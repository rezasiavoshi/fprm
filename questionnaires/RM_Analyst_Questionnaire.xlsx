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Guide" sheetId="2" state="visible" r:id="rId2"/>
    <sheet xmlns:r="http://schemas.openxmlformats.org/officeDocument/2006/relationships" name="Questions" sheetId="3" state="visible" r:id="rId3"/>
    <sheet xmlns:r="http://schemas.openxmlformats.org/officeDocument/2006/relationships" name="Materials" sheetId="4" state="visible" r:id="rId4"/>
    <sheet xmlns:r="http://schemas.openxmlformats.org/officeDocument/2006/relationships" name="Test catalog" sheetId="5" state="visible" r:id="rId5"/>
    <sheet xmlns:r="http://schemas.openxmlformats.org/officeDocument/2006/relationships" name="Test times" sheetId="6" state="visible" r:id="rId6"/>
    <sheet xmlns:r="http://schemas.openxmlformats.org/officeDocument/2006/relationships" name="Extra tests" sheetId="7" state="visible" r:id="rId7"/>
  </sheets>
  <definedNames>
    <definedName name="_xlnm._FilterDatabase" localSheetId="3" hidden="1">'Materials'!$A$1:$R$836</definedName>
    <definedName name="_xlnm._FilterDatabase" localSheetId="4" hidden="1">'Test catalog'!$A$1:$P$31</definedName>
    <definedName name="_xlnm._FilterDatabase" localSheetId="5" hidden="1">'Test times'!$A$1:$AE$1194</definedName>
    <definedName name="_xlnm._FilterDatabase" localSheetId="6" hidden="1">'Extra tests'!$A$1:$AA$41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4E78"/>
      <sz val="14"/>
    </font>
    <font>
      <i val="1"/>
      <color rgb="00595959"/>
    </font>
    <font>
      <b val="1"/>
    </font>
    <font>
      <b val="1"/>
      <color rgb="00FFFFFF"/>
    </font>
  </fonts>
  <fills count="6">
    <fill>
      <patternFill/>
    </fill>
    <fill>
      <patternFill patternType="gray125"/>
    </fill>
    <fill>
      <patternFill patternType="solid">
        <fgColor rgb="00FFF2CC"/>
      </patternFill>
    </fill>
    <fill>
      <patternFill patternType="solid">
        <fgColor rgb="001F4E78"/>
      </patternFill>
    </fill>
    <fill>
      <patternFill patternType="solid">
        <fgColor rgb="00DDEBF7"/>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0" fillId="2" borderId="1" applyAlignment="1" pivotButton="0" quotePrefix="0" xfId="0">
      <alignment vertical="top" wrapText="1"/>
    </xf>
    <xf numFmtId="0" fontId="4" fillId="3" borderId="1" pivotButton="0" quotePrefix="0" xfId="0"/>
    <xf numFmtId="0" fontId="3" fillId="0" borderId="1" applyAlignment="1" pivotButton="0" quotePrefix="0" xfId="0">
      <alignment vertical="top" wrapText="1"/>
    </xf>
    <xf numFmtId="0" fontId="0" fillId="0" borderId="1" applyAlignment="1" pivotButton="0" quotePrefix="0" xfId="0">
      <alignment vertical="top" wrapText="1"/>
    </xf>
    <xf numFmtId="0" fontId="3" fillId="5" borderId="1" applyAlignment="1" pivotButton="0" quotePrefix="0" xfId="0">
      <alignment vertical="top" wrapText="1"/>
    </xf>
    <xf numFmtId="0" fontId="0" fillId="5" borderId="1" applyAlignment="1" pivotButton="0" quotePrefix="0" xfId="0">
      <alignment vertical="top" wrapText="1"/>
    </xf>
    <xf numFmtId="0" fontId="3" fillId="4" borderId="0" pivotButton="0" quotePrefix="0" xfId="0"/>
    <xf numFmtId="0" fontId="0" fillId="4" borderId="0" pivotButton="0" quotePrefix="0" xfId="0"/>
    <xf numFmtId="0" fontId="4" fillId="3" borderId="1" applyAlignment="1" pivotButton="0" quotePrefix="0" xfId="0">
      <alignment vertical="top" wrapText="1"/>
    </xf>
    <xf numFmtId="2" fontId="0" fillId="5" borderId="1" applyAlignment="1" pivotButton="0" quotePrefix="0" xfId="0">
      <alignment vertical="top" wrapText="1"/>
    </xf>
    <xf numFmtId="9" fontId="0" fillId="2" borderId="1" applyAlignment="1" pivotButton="0" quotePrefix="0" xfId="0">
      <alignment vertical="top" wrapText="1"/>
    </xf>
  </cellXfs>
  <cellStyles count="1">
    <cellStyle name="Normal" xfId="0" builtinId="0" hidden="0"/>
  </cellStyles>
  <dxfs count="1">
    <dxf>
      <font>
        <color rgb="007F7F7F"/>
      </font>
      <fill>
        <patternFill patternType="solid">
          <fgColor rgb="00BFBFBF"/>
          <bgColor rgb="00BFBFB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110" customWidth="1" min="2" max="2"/>
  </cols>
  <sheetData>
    <row r="1">
      <c r="A1" s="1" t="inlineStr">
        <is>
          <t>Raw Material Analyst Questionnaire</t>
        </is>
      </c>
    </row>
    <row r="2">
      <c r="A2" s="2" t="inlineStr">
        <is>
          <t>Deliverable 2 - analyst edition. Part of the QC Laboratory Capacity, Staffing Gap and CAPEX Assessment.</t>
        </is>
      </c>
    </row>
    <row r="4">
      <c r="A4" s="3" t="inlineStr">
        <is>
          <t>Area</t>
        </is>
      </c>
      <c r="B4" s="4" t="inlineStr">
        <is>
          <t>QC Chemical Laboratory - raw materials (APIs, excipients, colorants, flavours, solvents)</t>
        </is>
      </c>
    </row>
    <row r="5">
      <c r="A5" s="3" t="inlineStr">
        <is>
          <t>Who fills it</t>
        </is>
      </c>
      <c r="B5" s="4" t="inlineStr">
        <is>
          <t>Each analyst who tests incoming raw materials (2-3 people). Each person fills a separate copy.</t>
        </is>
      </c>
    </row>
    <row r="6">
      <c r="A6" s="3" t="inlineStr">
        <is>
          <t>Time needed</t>
        </is>
      </c>
      <c r="B6" s="4" t="inlineStr">
        <is>
          <t>About 2 hours: questions 20 min, test catalog 30 min, the rest on the tables.</t>
        </is>
      </c>
    </row>
    <row r="7">
      <c r="A7" s="3" t="inlineStr"/>
      <c r="B7" s="4" t="inlineStr"/>
    </row>
    <row r="8">
      <c r="A8" s="3" t="inlineStr">
        <is>
          <t>Sheet: Guide</t>
        </is>
      </c>
      <c r="B8" s="4" t="inlineStr">
        <is>
          <t>Rules, and what each column means.</t>
        </is>
      </c>
    </row>
    <row r="9">
      <c r="A9" s="3" t="inlineStr">
        <is>
          <t>Sheet: Questions</t>
        </is>
      </c>
      <c r="B9" s="4" t="inlineStr">
        <is>
          <t>Answer sections A–E.</t>
        </is>
      </c>
    </row>
    <row r="10">
      <c r="A10" s="3" t="inlineStr">
        <is>
          <t>Sheet: Materials</t>
        </is>
      </c>
      <c r="B10" s="4" t="inlineStr">
        <is>
          <t>Lots/yr now and future, suppliers, reduced testing - and whether unlisted names are still tested.</t>
        </is>
      </c>
    </row>
    <row r="11">
      <c r="A11" s="3" t="inlineStr">
        <is>
          <t>Sheet: Test catalog</t>
        </is>
      </c>
      <c r="B11" s="4" t="inlineStr">
        <is>
          <t>Time each general test once (LOD, KF, pH, IR, titration ...).</t>
        </is>
      </c>
    </row>
    <row r="12">
      <c r="A12" s="3" t="inlineStr">
        <is>
          <t>Sheet: Test times</t>
        </is>
      </c>
      <c r="B12" s="4" t="inlineStr">
        <is>
          <t>One row per material x compendial test: confirm Applicable; time the HPLC/GC tests.</t>
        </is>
      </c>
    </row>
    <row r="13">
      <c r="A13" s="3" t="inlineStr">
        <is>
          <t>Sheet: Extra tests</t>
        </is>
      </c>
      <c r="B13" s="4" t="inlineStr">
        <is>
          <t>Tests you run that are missing from Test times (in-house tests, residual solvents, ICP ...).</t>
        </is>
      </c>
    </row>
    <row r="14">
      <c r="A14" s="3" t="inlineStr"/>
      <c r="B14" s="4" t="inlineStr"/>
    </row>
    <row r="15">
      <c r="A15" s="3" t="inlineStr">
        <is>
          <t>How to fill</t>
        </is>
      </c>
      <c r="B15" s="4" t="inlineStr">
        <is>
          <t>Read the 'Guide' sheet first: rules, which sheets take new rows, and what every column means.</t>
        </is>
      </c>
    </row>
    <row r="16">
      <c r="A16" s="3" t="inlineStr">
        <is>
          <t>Data basis</t>
        </is>
      </c>
      <c r="B16" s="4" t="inlineStr">
        <is>
          <t>180 materials on the master list; 129 have a USP-NF monograph, so their tests are listed one per row (1193 material x test rows in total).</t>
        </is>
      </c>
    </row>
    <row r="17">
      <c r="A17" s="3" t="inlineStr">
        <is>
          <t>Data basis</t>
        </is>
      </c>
      <c r="B17" s="4" t="inlineStr">
        <is>
          <t>30 general tests are timed once on 'Test catalog'; the material rows link to them.</t>
        </is>
      </c>
    </row>
    <row r="18">
      <c r="A18" s="3" t="inlineStr">
        <is>
          <t>Data basis</t>
        </is>
      </c>
      <c r="B18" s="4" t="inlineStr">
        <is>
          <t>Materials without a monograph keep the lab's recorded time per test set as a starting point.</t>
        </is>
      </c>
    </row>
    <row r="19">
      <c r="A19" s="3" t="inlineStr"/>
      <c r="B19" s="4" t="inlineStr"/>
    </row>
    <row r="20">
      <c r="A20" s="3" t="inlineStr">
        <is>
          <t>Respondent</t>
        </is>
      </c>
      <c r="B20" s="5" t="n"/>
    </row>
    <row r="21">
      <c r="A21" s="3" t="inlineStr">
        <is>
          <t>Date</t>
        </is>
      </c>
      <c r="B21" s="5" t="n"/>
    </row>
    <row r="22">
      <c r="A22" s="3" t="inlineStr">
        <is>
          <t>Reviewed by (unit head)</t>
        </is>
      </c>
      <c r="B22" s="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29"/>
  <sheetViews>
    <sheetView workbookViewId="0">
      <pane ySplit="1" topLeftCell="A2" activePane="bottomLeft" state="frozen"/>
      <selection pane="bottomLeft" activeCell="A1" sqref="A1"/>
    </sheetView>
  </sheetViews>
  <sheetFormatPr baseColWidth="8" defaultRowHeight="15"/>
  <cols>
    <col width="38" customWidth="1" min="1" max="1"/>
    <col width="110" customWidth="1" min="2" max="2"/>
  </cols>
  <sheetData>
    <row r="1">
      <c r="A1" s="6" t="inlineStr">
        <is>
          <t>How to fill</t>
        </is>
      </c>
      <c r="B1" s="6" t="inlineStr"/>
    </row>
    <row r="2">
      <c r="A2" s="7" t="inlineStr">
        <is>
          <t>Colours</t>
        </is>
      </c>
      <c r="B2" s="8" t="inlineStr">
        <is>
          <t>Yellow = you type. Grey = pre-filled or automatic; type over a grey value only if it is wrong. Dark-grey row = Applicable = N or Outsourced = Y (outsourced rows still take the in-house Prep time).</t>
        </is>
      </c>
    </row>
    <row r="3">
      <c r="A3" s="7" t="inlineStr">
        <is>
          <t>Units</t>
        </is>
      </c>
      <c r="B3" s="8" t="inlineStr">
        <is>
          <t>Times in HOURS (0.25 = 15 min) per sample unless the header says per sequence.</t>
        </is>
      </c>
    </row>
    <row r="4">
      <c r="A4" s="7" t="inlineStr">
        <is>
          <t>Minimum effort</t>
        </is>
      </c>
      <c r="B4" s="8" t="inlineStr">
        <is>
          <t>Only 'Prep – MOST LIKELY' is required; MIN and MAX are optional. Blank = not known.</t>
        </is>
      </c>
    </row>
    <row r="5">
      <c r="A5" s="7" t="inlineStr">
        <is>
          <t>Hands-on vs instrument</t>
        </is>
      </c>
      <c r="B5" s="8" t="inlineStr">
        <is>
          <t>Analyst columns = hands-on time only. Unattended time goes in 'Instrument run'.</t>
        </is>
      </c>
    </row>
    <row r="6">
      <c r="A6" s="7" t="inlineStr">
        <is>
          <t>Shared sample solution</t>
        </is>
      </c>
      <c r="B6" s="8" t="inlineStr">
        <is>
          <t>When one solution serves several tests (e.g. Assay + Related substances, or pH + Clarity from one solution), enter its preparation once, on the first test. On the other tests enter only their extra hands-on time and write 'solution shared with &lt;test&gt;' in Notes.</t>
        </is>
      </c>
    </row>
    <row r="7">
      <c r="A7" s="7" t="inlineStr">
        <is>
          <t>Shared sequence</t>
        </is>
      </c>
      <c r="B7" s="8" t="inlineStr">
        <is>
          <t>Tests run in the same instrument sequence get the same Campaign group code (column J); their setup time is then counted once.</t>
        </is>
      </c>
    </row>
    <row r="8">
      <c r="A8" s="7" t="inlineStr">
        <is>
          <t>Outsourced tests</t>
        </is>
      </c>
      <c r="B8" s="8" t="inlineStr">
        <is>
          <t>Outsourced = Y. Enter only in-house time (sampling, sending, checking the report) as Prep; leave instrument times blank.</t>
        </is>
      </c>
    </row>
    <row r="9">
      <c r="A9" s="7" t="inlineStr">
        <is>
          <t>Columns</t>
        </is>
      </c>
      <c r="B9" s="8" t="inlineStr">
        <is>
          <t>Do not insert, delete or reorder columns - answers are collected by column position.</t>
        </is>
      </c>
    </row>
    <row r="10">
      <c r="A10" s="7" t="inlineStr">
        <is>
          <t>Adding rows</t>
        </is>
      </c>
      <c r="B10" s="8" t="inlineStr">
        <is>
          <t>Use the empty rows at the bottom of a sheet. If you need more: select the last empty row, Ctrl+C, right-click the row number below it, 'Insert Copied Cells' - colours, dropdowns and formulas come with it.</t>
        </is>
      </c>
    </row>
    <row r="11">
      <c r="A11" s="7" t="inlineStr">
        <is>
          <t>Fill order</t>
        </is>
      </c>
      <c r="B11" s="8" t="inlineStr">
        <is>
          <t>1) Test catalog - each general test is timed once and copied to every material that uses it. 2) Test times - filter Instrument = HPLC or GC: only those rows (and materials without a monograph) need their own times. 3) Materials, then Questions.</t>
        </is>
      </c>
    </row>
    <row r="12">
      <c r="A12" s="7" t="inlineStr">
        <is>
          <t>Catalog time</t>
        </is>
      </c>
      <c r="B12" s="8" t="inlineStr">
        <is>
          <t>One catalog row = the time of ONE test on ONE sample (e.g. one chloride limit). Every Test times row with that Catalog code gets it, so Chloride and Sulfate rows are each counted once.</t>
        </is>
      </c>
    </row>
    <row r="13">
      <c r="A13" s="7" t="inlineStr">
        <is>
          <t>One test needs its own time</t>
        </is>
      </c>
      <c r="B13" s="8" t="inlineStr">
        <is>
          <t>e.g. Sulfate 18 min while the rest of LIMIT stays 15: on Test catalog copy the LIMIT row into a new row (Insert Copied Cells), give it a new Code (e.g. SULF) and its own times; on Test times filter Test = Sulfate and change Catalog code to SULF. Those rows then follow the new row.</t>
        </is>
      </c>
    </row>
    <row r="14">
      <c r="A14" s="7" t="inlineStr">
        <is>
          <t>One material differs</t>
        </is>
      </c>
      <c r="B14" s="8" t="inlineStr">
        <is>
          <t>Type over that row's grey cells on Test times (e.g. a Kjeldahl nitrogen titration). That cell then stops following the catalog.</t>
        </is>
      </c>
    </row>
    <row r="15">
      <c r="A15" s="7" t="inlineStr">
        <is>
          <t>Missing / unused tests</t>
        </is>
      </c>
      <c r="B15" s="8" t="inlineStr">
        <is>
          <t>Unused test: Applicable = N (do not delete the row). Missing test: add it on 'Extra tests'.</t>
        </is>
      </c>
    </row>
    <row r="17">
      <c r="A17" s="6" t="inlineStr">
        <is>
          <t>Sheet</t>
        </is>
      </c>
      <c r="B17" s="6" t="inlineStr">
        <is>
          <t>Use  ·  Can I add rows?</t>
        </is>
      </c>
    </row>
    <row r="18">
      <c r="A18" s="7" t="inlineStr">
        <is>
          <t>Overview</t>
        </is>
      </c>
      <c r="B18" s="8" t="inlineStr">
        <is>
          <t>Scope; your name and date.  ·  No.</t>
        </is>
      </c>
    </row>
    <row r="19">
      <c r="A19" s="7" t="inlineStr">
        <is>
          <t>Guide</t>
        </is>
      </c>
      <c r="B19" s="8" t="inlineStr">
        <is>
          <t>Rules, and what each column means.  ·  No.</t>
        </is>
      </c>
    </row>
    <row r="20">
      <c r="A20" s="7" t="inlineStr">
        <is>
          <t>Questions</t>
        </is>
      </c>
      <c r="B20" s="8" t="inlineStr">
        <is>
          <t>Answer sections A–E.  ·  No.</t>
        </is>
      </c>
    </row>
    <row r="21">
      <c r="A21" s="7" t="inlineStr">
        <is>
          <t>Materials</t>
        </is>
      </c>
      <c r="B21" s="8" t="inlineStr">
        <is>
          <t>Lots/yr now and future, suppliers, reduced testing - and whether unlisted names are still tested.  ·  Yes - 10 empty rows at the bottom for materials that are missing.</t>
        </is>
      </c>
    </row>
    <row r="22">
      <c r="A22" s="7" t="inlineStr">
        <is>
          <t>Test catalog</t>
        </is>
      </c>
      <c r="B22" s="8" t="inlineStr">
        <is>
          <t>Time each general test once (LOD, KF, pH, IR, titration ...).  ·  Only to give one test its own time (see 'One test needs its own time' above); do not sort or delete rows.</t>
        </is>
      </c>
    </row>
    <row r="23">
      <c r="A23" s="7" t="inlineStr">
        <is>
          <t>Test times</t>
        </is>
      </c>
      <c r="B23" s="8" t="inlineStr">
        <is>
          <t>One row per material x compendial test: confirm Applicable; time the HPLC/GC tests.  ·  No - set Applicable = N instead of deleting; missing tests go on 'Extra tests'. Sorting and filtering are fine.</t>
        </is>
      </c>
    </row>
    <row r="24">
      <c r="A24" s="7" t="inlineStr">
        <is>
          <t>Extra tests</t>
        </is>
      </c>
      <c r="B24" s="8" t="inlineStr">
        <is>
          <t>Tests you run that are missing from Test times (in-house tests, residual solvents, ICP ...).  ·  Yes - 40 empty rows; pick the material from the dropdown in column A.</t>
        </is>
      </c>
    </row>
    <row r="26">
      <c r="A26" s="6" t="inlineStr">
        <is>
          <t>Questions - columns</t>
        </is>
      </c>
      <c r="B26" s="6" t="inlineStr">
        <is>
          <t>Meaning</t>
        </is>
      </c>
    </row>
    <row r="27">
      <c r="A27" s="7" t="inlineStr">
        <is>
          <t>A · #</t>
        </is>
      </c>
      <c r="B27" s="8" t="inlineStr">
        <is>
          <t>Question number.</t>
        </is>
      </c>
    </row>
    <row r="28">
      <c r="A28" s="7" t="inlineStr">
        <is>
          <t>B · Question</t>
        </is>
      </c>
      <c r="B28" s="8" t="inlineStr">
        <is>
          <t>The question.</t>
        </is>
      </c>
    </row>
    <row r="29">
      <c r="A29" s="7" t="inlineStr">
        <is>
          <t>C · Answer</t>
        </is>
      </c>
      <c r="B29" s="8" t="inlineStr">
        <is>
          <t>Your answer - short is fine.</t>
        </is>
      </c>
    </row>
    <row r="31">
      <c r="A31" s="6" t="inlineStr">
        <is>
          <t>Materials - columns</t>
        </is>
      </c>
      <c r="B31" s="6" t="inlineStr">
        <is>
          <t>Meaning</t>
        </is>
      </c>
    </row>
    <row r="32">
      <c r="A32" s="7" t="inlineStr">
        <is>
          <t>A · Material</t>
        </is>
      </c>
      <c r="B32" s="8" t="inlineStr">
        <is>
          <t>Material name (master list first, then names found elsewhere).</t>
        </is>
      </c>
    </row>
    <row r="33">
      <c r="A33" s="7" t="inlineStr">
        <is>
          <t>B · Category</t>
        </is>
      </c>
      <c r="B33" s="8" t="inlineStr">
        <is>
          <t>Active, excipient, colorant, flavour, solvent ...</t>
        </is>
      </c>
    </row>
    <row r="34">
      <c r="A34" s="7" t="inlineStr">
        <is>
          <t>C · # products using (from product formulas)</t>
        </is>
      </c>
      <c r="B34" s="8" t="inlineStr">
        <is>
          <t>Number of products whose formula uses the material.</t>
        </is>
      </c>
    </row>
    <row r="35">
      <c r="A35" s="7" t="inlineStr">
        <is>
          <t>D · Lots / yr (now)</t>
        </is>
      </c>
      <c r="B35" s="8" t="inlineStr">
        <is>
          <t>Lots received and tested per year today.</t>
        </is>
      </c>
    </row>
    <row r="36">
      <c r="A36" s="7" t="inlineStr">
        <is>
          <t>E · Lots / yr (future, blank = growth %)</t>
        </is>
      </c>
      <c r="B36" s="8" t="inlineStr">
        <is>
          <t>Expected lots per year in 2-3 years; blank = the study's default growth.</t>
        </is>
      </c>
    </row>
    <row r="37">
      <c r="A37" s="9" t="inlineStr">
        <is>
          <t>F · Lots used future (auto)</t>
        </is>
      </c>
      <c r="B37" s="10" t="inlineStr">
        <is>
          <t>Hidden, calculated in the study. Leave empty.</t>
        </is>
      </c>
    </row>
    <row r="38">
      <c r="A38" s="7" t="inlineStr">
        <is>
          <t>G · Supplier / pharmacopoeia</t>
        </is>
      </c>
      <c r="B38" s="8" t="inlineStr">
        <is>
          <t>Main supplier(s) and the pharmacopoeia tested to (USP, BP, EP, supplier spec).</t>
        </is>
      </c>
    </row>
    <row r="39">
      <c r="A39" s="7" t="inlineStr">
        <is>
          <t>H · Notes</t>
        </is>
      </c>
      <c r="B39" s="8" t="inlineStr">
        <is>
          <t>Anything unusual.</t>
        </is>
      </c>
    </row>
    <row r="40">
      <c r="A40" s="7" t="inlineStr">
        <is>
          <t>I · Suppliers (number)</t>
        </is>
      </c>
      <c r="B40" s="8" t="inlineStr">
        <is>
          <t>How many approved suppliers.</t>
        </is>
      </c>
    </row>
    <row r="41">
      <c r="A41" s="7" t="inlineStr">
        <is>
          <t>J · Reduced testing? (none / ID+CoA / skip-lot)</t>
        </is>
      </c>
      <c r="B41" s="8" t="inlineStr">
        <is>
          <t>Whether some lots get reduced testing.</t>
        </is>
      </c>
    </row>
    <row r="42">
      <c r="A42" s="7" t="inlineStr">
        <is>
          <t>K · Status</t>
        </is>
      </c>
      <c r="B42" s="8" t="inlineStr">
        <is>
          <t>Where the name came from; 'Suggested - confirm' and 'Not on master list' rows need a check.</t>
        </is>
      </c>
    </row>
    <row r="43">
      <c r="A43" s="7" t="inlineStr">
        <is>
          <t>L · Same material as (master-list name)</t>
        </is>
      </c>
      <c r="B43" s="8" t="inlineStr">
        <is>
          <t>If this name is the same as a master-list material, give that name.</t>
        </is>
      </c>
    </row>
    <row r="44">
      <c r="A44" s="7" t="inlineStr">
        <is>
          <t>M · Still tested by QC? (Y/N)</t>
        </is>
      </c>
      <c r="B44" s="8" t="inlineStr">
        <is>
          <t>For names not on the master list: is it still tested?</t>
        </is>
      </c>
    </row>
    <row r="45">
      <c r="A45" s="7" t="inlineStr">
        <is>
          <t>N · Also listed as</t>
        </is>
      </c>
      <c r="B45" s="8" t="inlineStr">
        <is>
          <t>Other spellings of the same material.</t>
        </is>
      </c>
    </row>
    <row r="46">
      <c r="A46" s="7" t="inlineStr">
        <is>
          <t>O · USP-NF monograph</t>
        </is>
      </c>
      <c r="B46" s="8" t="inlineStr">
        <is>
          <t>Monograph used to list the tests ('confirm' = matched by hand).</t>
        </is>
      </c>
    </row>
    <row r="47">
      <c r="A47" s="7" t="inlineStr">
        <is>
          <t>P · Recorded h/lot (lab records, worst supplier)</t>
        </is>
      </c>
      <c r="B47" s="8" t="inlineStr">
        <is>
          <t>Reference: total recorded hours per lot.</t>
        </is>
      </c>
    </row>
    <row r="48">
      <c r="A48" s="7" t="inlineStr">
        <is>
          <t>Q · USP tests not in lab record</t>
        </is>
      </c>
      <c r="B48" s="8" t="inlineStr">
        <is>
          <t>Reference: tests the monograph has but the lab record does not.</t>
        </is>
      </c>
    </row>
    <row r="49">
      <c r="A49" s="7" t="inlineStr">
        <is>
          <t>R · Lab-record tests not in USP</t>
        </is>
      </c>
      <c r="B49" s="8" t="inlineStr">
        <is>
          <t>Reference: tests the lab record has but the monograph does not.</t>
        </is>
      </c>
    </row>
    <row r="51">
      <c r="A51" s="6" t="inlineStr">
        <is>
          <t>Test catalog - columns</t>
        </is>
      </c>
      <c r="B51" s="6" t="inlineStr">
        <is>
          <t>Meaning</t>
        </is>
      </c>
    </row>
    <row r="52">
      <c r="A52" s="7" t="inlineStr">
        <is>
          <t>A · Code</t>
        </is>
      </c>
      <c r="B52" s="8" t="inlineStr">
        <is>
          <t>Short code of the general test; Test times rows find their times by this code.</t>
        </is>
      </c>
    </row>
    <row r="53">
      <c r="A53" s="7" t="inlineStr">
        <is>
          <t>B · Test</t>
        </is>
      </c>
      <c r="B53" s="8" t="inlineStr">
        <is>
          <t>Test name.</t>
        </is>
      </c>
    </row>
    <row r="54">
      <c r="A54" s="7" t="inlineStr">
        <is>
          <t>C · Instrument</t>
        </is>
      </c>
      <c r="B54" s="8" t="inlineStr">
        <is>
          <t>Main instrument the test occupies.</t>
        </is>
      </c>
    </row>
    <row r="55">
      <c r="A55" s="7" t="inlineStr">
        <is>
          <t>D · Rows using it (auto)</t>
        </is>
      </c>
      <c r="B55" s="8" t="inlineStr">
        <is>
          <t>Automatic: number of Test times rows that use this test and are Applicable = Y.</t>
        </is>
      </c>
    </row>
    <row r="56">
      <c r="A56" s="7" t="inlineStr">
        <is>
          <t>E · Lab catalog time (min)</t>
        </is>
      </c>
      <c r="B56" s="8" t="inlineStr">
        <is>
          <t>Reference: minutes in the lab's existing test catalog.</t>
        </is>
      </c>
    </row>
    <row r="57">
      <c r="A57" s="7" t="inlineStr">
        <is>
          <t>F · Setup analyst h / sequence</t>
        </is>
      </c>
      <c r="B57" s="8" t="inlineStr">
        <is>
          <t>Hands-on hours to set up one sequence/run (mobile phase, standards, system suitability).</t>
        </is>
      </c>
    </row>
    <row r="58">
      <c r="A58" s="7" t="inlineStr">
        <is>
          <t>G · Setup instrument h / sequence</t>
        </is>
      </c>
      <c r="B58" s="8" t="inlineStr">
        <is>
          <t>Instrument hours per sequence that are not per sample (equilibration, blanks, standards).</t>
        </is>
      </c>
    </row>
    <row r="59">
      <c r="A59" s="7" t="inlineStr">
        <is>
          <t>H · Prep analyst h/sample – MIN</t>
        </is>
      </c>
      <c r="B59" s="8" t="inlineStr">
        <is>
          <t>Optional. Fastest realistic hands-on preparation per sample.</t>
        </is>
      </c>
    </row>
    <row r="60">
      <c r="A60" s="7" t="inlineStr">
        <is>
          <t>I · Prep – MOST LIKELY</t>
        </is>
      </c>
      <c r="B60" s="8" t="inlineStr">
        <is>
          <t>Required. Usual hands-on preparation per sample (weighing, dissolving, diluting, filtering).</t>
        </is>
      </c>
    </row>
    <row r="61">
      <c r="A61" s="7" t="inlineStr">
        <is>
          <t>J · Prep – MAX</t>
        </is>
      </c>
      <c r="B61" s="8" t="inlineStr">
        <is>
          <t>Optional. Slowest realistic preparation per sample.</t>
        </is>
      </c>
    </row>
    <row r="62">
      <c r="A62" s="7" t="inlineStr">
        <is>
          <t>K · Instrument run h / sample</t>
        </is>
      </c>
      <c r="B62" s="8" t="inlineStr">
        <is>
          <t>Unattended instrument time per sample (run time, oven/LOD time, titrator time).</t>
        </is>
      </c>
    </row>
    <row r="63">
      <c r="A63" s="7" t="inlineStr">
        <is>
          <t>L · Data processing + doc h / sample</t>
        </is>
      </c>
      <c r="B63" s="8" t="inlineStr">
        <is>
          <t>Integration, calculation, LIMS/logbook entries per sample.</t>
        </is>
      </c>
    </row>
    <row r="64">
      <c r="A64" s="7" t="inlineStr">
        <is>
          <t>M · Review h / sample</t>
        </is>
      </c>
      <c r="B64" s="8" t="inlineStr">
        <is>
          <t>Time a second person spends checking the data per sample.</t>
        </is>
      </c>
    </row>
    <row r="65">
      <c r="A65" s="7" t="inlineStr">
        <is>
          <t>N · Samples per sequence / run</t>
        </is>
      </c>
      <c r="B65" s="8" t="inlineStr">
        <is>
          <t>Typical number of samples run together.</t>
        </is>
      </c>
    </row>
    <row r="66">
      <c r="A66" s="7" t="inlineStr">
        <is>
          <t>O · Outsourced (Y/N)</t>
        </is>
      </c>
      <c r="B66" s="8" t="inlineStr">
        <is>
          <t>Y = sent to an external lab. Then enter only in-house time (sampling, sending, checking the report) as Prep; leave instrument times blank.</t>
        </is>
      </c>
    </row>
    <row r="67">
      <c r="A67" s="7" t="inlineStr">
        <is>
          <t>P · Notes</t>
        </is>
      </c>
      <c r="B67" s="8" t="inlineStr">
        <is>
          <t>Anything unusual.</t>
        </is>
      </c>
    </row>
    <row r="69">
      <c r="A69" s="6" t="inlineStr">
        <is>
          <t>Test times - columns</t>
        </is>
      </c>
      <c r="B69" s="6" t="inlineStr">
        <is>
          <t>Meaning</t>
        </is>
      </c>
    </row>
    <row r="70">
      <c r="A70" s="7" t="inlineStr">
        <is>
          <t>A · Key (Family ID / Material)</t>
        </is>
      </c>
      <c r="B70" s="8" t="inlineStr">
        <is>
          <t>The item tested: material name (raw materials) or method family ID (finished products).</t>
        </is>
      </c>
    </row>
    <row r="71">
      <c r="A71" s="7" t="inlineStr">
        <is>
          <t>B · Type</t>
        </is>
      </c>
      <c r="B71" s="8" t="inlineStr">
        <is>
          <t>RM = raw material, FP = finished product.</t>
        </is>
      </c>
    </row>
    <row r="72">
      <c r="A72" s="7" t="inlineStr">
        <is>
          <t>C · Description</t>
        </is>
      </c>
      <c r="B72" s="8" t="inlineStr">
        <is>
          <t>Material category, or the products in the family.</t>
        </is>
      </c>
    </row>
    <row r="73">
      <c r="A73" s="7" t="inlineStr">
        <is>
          <t>D · Test</t>
        </is>
      </c>
      <c r="B73" s="8" t="inlineStr">
        <is>
          <t>Test name.</t>
        </is>
      </c>
    </row>
    <row r="74">
      <c r="A74" s="9" t="inlineStr">
        <is>
          <t>E · Lookup key (auto)</t>
        </is>
      </c>
      <c r="B74" s="10" t="inlineStr">
        <is>
          <t>Hidden, automatic: Key | Test joined, used to match your answers back to the study. Do not type.</t>
        </is>
      </c>
    </row>
    <row r="75">
      <c r="A75" s="7" t="inlineStr">
        <is>
          <t>F · Applicable (Y/N)</t>
        </is>
      </c>
      <c r="B75" s="8" t="inlineStr">
        <is>
          <t>Y = you run this test on this item; N = you do not (do not delete the row).</t>
        </is>
      </c>
    </row>
    <row r="76">
      <c r="A76" s="7" t="inlineStr">
        <is>
          <t>G · Instrument</t>
        </is>
      </c>
      <c r="B76" s="8" t="inlineStr">
        <is>
          <t>Main instrument the test occupies.</t>
        </is>
      </c>
    </row>
    <row r="77">
      <c r="A77" s="7" t="inlineStr">
        <is>
          <t>H · Complexity</t>
        </is>
      </c>
      <c r="B77" s="8" t="inlineStr">
        <is>
          <t>Low / Medium / High - how demanding the test is.</t>
        </is>
      </c>
    </row>
    <row r="78">
      <c r="A78" s="7" t="inlineStr">
        <is>
          <t>I · No. of separate methods</t>
        </is>
      </c>
      <c r="B78" s="8" t="inlineStr">
        <is>
          <t>Separate runs this test needs (e.g. 2 actives with separate HPLC methods = 2). Usually 1.</t>
        </is>
      </c>
    </row>
    <row r="79">
      <c r="A79" s="7" t="inlineStr">
        <is>
          <t>J · Campaign group code</t>
        </is>
      </c>
      <c r="B79" s="8" t="inlineStr">
        <is>
          <t>Same code (e.g. G1) on tests run in one instrument sequence; their setup time is then counted once.</t>
        </is>
      </c>
    </row>
    <row r="80">
      <c r="A80" s="7" t="inlineStr">
        <is>
          <t>K · Setup analyst h / sequence</t>
        </is>
      </c>
      <c r="B80" s="8" t="inlineStr">
        <is>
          <t>Hands-on hours to set up one sequence/run (mobile phase, standards, system suitability).</t>
        </is>
      </c>
    </row>
    <row r="81">
      <c r="A81" s="7" t="inlineStr">
        <is>
          <t>L · Setup instrument h / sequence</t>
        </is>
      </c>
      <c r="B81" s="8" t="inlineStr">
        <is>
          <t>Instrument hours per sequence that are not per sample (equilibration, blanks, standards).</t>
        </is>
      </c>
    </row>
    <row r="82">
      <c r="A82" s="7" t="inlineStr">
        <is>
          <t>M · Prep analyst h/sample – MIN</t>
        </is>
      </c>
      <c r="B82" s="8" t="inlineStr">
        <is>
          <t>Optional. Fastest realistic hands-on preparation per sample.</t>
        </is>
      </c>
    </row>
    <row r="83">
      <c r="A83" s="7" t="inlineStr">
        <is>
          <t>N · Prep – MOST LIKELY</t>
        </is>
      </c>
      <c r="B83" s="8" t="inlineStr">
        <is>
          <t>Required. Usual hands-on preparation per sample (weighing, dissolving, diluting, filtering).</t>
        </is>
      </c>
    </row>
    <row r="84">
      <c r="A84" s="7" t="inlineStr">
        <is>
          <t>O · Prep – MAX</t>
        </is>
      </c>
      <c r="B84" s="8" t="inlineStr">
        <is>
          <t>Optional. Slowest realistic preparation per sample.</t>
        </is>
      </c>
    </row>
    <row r="85">
      <c r="A85" s="7" t="inlineStr">
        <is>
          <t>P · Prep PERT (auto)</t>
        </is>
      </c>
      <c r="B85" s="8" t="inlineStr">
        <is>
          <t>Automatic: (MIN + 4 x MOST LIKELY + MAX) / 6; equals MOST LIKELY if MIN or MAX is blank.</t>
        </is>
      </c>
    </row>
    <row r="86">
      <c r="A86" s="7" t="inlineStr">
        <is>
          <t>Q · Instrument run h / sample</t>
        </is>
      </c>
      <c r="B86" s="8" t="inlineStr">
        <is>
          <t>Unattended instrument time per sample (run time, oven/LOD time, titrator time).</t>
        </is>
      </c>
    </row>
    <row r="87">
      <c r="A87" s="9" t="inlineStr">
        <is>
          <t>R · Dissolution bath h / sample</t>
        </is>
      </c>
      <c r="B87" s="10" t="inlineStr">
        <is>
          <t>Finished products only: bath time per sample.</t>
        </is>
      </c>
    </row>
    <row r="88">
      <c r="A88" s="7" t="inlineStr">
        <is>
          <t>S · Data processing + doc h / sample</t>
        </is>
      </c>
      <c r="B88" s="8" t="inlineStr">
        <is>
          <t>Integration, calculation, LIMS/logbook entries per sample.</t>
        </is>
      </c>
    </row>
    <row r="89">
      <c r="A89" s="7" t="inlineStr">
        <is>
          <t>T · Review h / sample</t>
        </is>
      </c>
      <c r="B89" s="8" t="inlineStr">
        <is>
          <t>Time a second person spends checking the data per sample.</t>
        </is>
      </c>
    </row>
    <row r="90">
      <c r="A90" s="7" t="inlineStr">
        <is>
          <t>U · Samples per sequence</t>
        </is>
      </c>
      <c r="B90" s="8" t="inlineStr">
        <is>
          <t>Typical number of samples run together in one sequence/run.</t>
        </is>
      </c>
    </row>
    <row r="91">
      <c r="A91" s="7" t="inlineStr">
        <is>
          <t>V · Retest / OOS %</t>
        </is>
      </c>
      <c r="B91" s="8" t="inlineStr">
        <is>
          <t>Share of samples tested again (type 5 for 5%).</t>
        </is>
      </c>
    </row>
    <row r="92">
      <c r="A92" s="9" t="inlineStr">
        <is>
          <t>W · Applies to stability (Y/N)</t>
        </is>
      </c>
      <c r="B92" s="10" t="inlineStr">
        <is>
          <t>Finished products only: Y if the test is also run on stability samples.</t>
        </is>
      </c>
    </row>
    <row r="93">
      <c r="A93" s="7" t="inlineStr">
        <is>
          <t>X · Respondent(s) / source</t>
        </is>
      </c>
      <c r="B93" s="8" t="inlineStr">
        <is>
          <t>Who gave the time, or where it comes from.</t>
        </is>
      </c>
    </row>
    <row r="94">
      <c r="A94" s="7" t="inlineStr">
        <is>
          <t>Y · Confidence</t>
        </is>
      </c>
      <c r="B94" s="8" t="inlineStr">
        <is>
          <t>How sure you are of the times: High / Medium / Low.</t>
        </is>
      </c>
    </row>
    <row r="95">
      <c r="A95" s="7" t="inlineStr">
        <is>
          <t>Z · Notes / difficulty</t>
        </is>
      </c>
      <c r="B95" s="8" t="inlineStr">
        <is>
          <t>Anything unusual, e.g. 'solution shared with Assay'.</t>
        </is>
      </c>
    </row>
    <row r="96">
      <c r="A96" s="7" t="inlineStr">
        <is>
          <t>AA · Outsourced (Y/N)</t>
        </is>
      </c>
      <c r="B96" s="8" t="inlineStr">
        <is>
          <t>Y = sent to an external lab. Then enter only in-house time (sampling, sending, checking the report) as Prep; leave instrument times blank.</t>
        </is>
      </c>
    </row>
    <row r="97">
      <c r="A97" s="7" t="inlineStr">
        <is>
          <t>AB · Catalog code</t>
        </is>
      </c>
      <c r="B97" s="8" t="inlineStr">
        <is>
          <t>Raw materials: the Test catalog row this test takes its times from. Change it only to point to a different catalog test.</t>
        </is>
      </c>
    </row>
    <row r="98">
      <c r="A98" s="7" t="inlineStr">
        <is>
          <t>AC · USP-NF source</t>
        </is>
      </c>
      <c r="B98" s="8" t="inlineStr">
        <is>
          <t>Monograph and section the test comes from.</t>
        </is>
      </c>
    </row>
    <row r="99">
      <c r="A99" s="7" t="inlineStr">
        <is>
          <t>AD · Recorded h (lab records)</t>
        </is>
      </c>
      <c r="B99" s="8" t="inlineStr">
        <is>
          <t>Reference: hours recorded by the lab in the past for this test set.</t>
        </is>
      </c>
    </row>
    <row r="100">
      <c r="A100" s="7" t="inlineStr">
        <is>
          <t>AE · Recorded test list</t>
        </is>
      </c>
      <c r="B100" s="8" t="inlineStr">
        <is>
          <t>Reference: tests listed in the lab's past records.</t>
        </is>
      </c>
    </row>
    <row r="102">
      <c r="A102" s="6" t="inlineStr">
        <is>
          <t>Extra tests - columns</t>
        </is>
      </c>
      <c r="B102" s="6" t="inlineStr">
        <is>
          <t>Meaning</t>
        </is>
      </c>
    </row>
    <row r="103">
      <c r="A103" s="7" t="inlineStr">
        <is>
          <t>A · Key (Family ID / Material)</t>
        </is>
      </c>
      <c r="B103" s="8" t="inlineStr">
        <is>
          <t>The item tested: material name (raw materials) or method family ID (finished products).</t>
        </is>
      </c>
    </row>
    <row r="104">
      <c r="A104" s="7" t="inlineStr">
        <is>
          <t>B · Type</t>
        </is>
      </c>
      <c r="B104" s="8" t="inlineStr">
        <is>
          <t>RM = raw material, FP = finished product.</t>
        </is>
      </c>
    </row>
    <row r="105">
      <c r="A105" s="7" t="inlineStr">
        <is>
          <t>C · Description</t>
        </is>
      </c>
      <c r="B105" s="8" t="inlineStr">
        <is>
          <t>Material category, or the products in the family.</t>
        </is>
      </c>
    </row>
    <row r="106">
      <c r="A106" s="7" t="inlineStr">
        <is>
          <t>D · Test</t>
        </is>
      </c>
      <c r="B106" s="8" t="inlineStr">
        <is>
          <t>Test name.</t>
        </is>
      </c>
    </row>
    <row r="107">
      <c r="A107" s="9" t="inlineStr">
        <is>
          <t>E · Lookup key (auto)</t>
        </is>
      </c>
      <c r="B107" s="10" t="inlineStr">
        <is>
          <t>Hidden, automatic: Key | Test joined, used to match your answers back to the study. Do not type.</t>
        </is>
      </c>
    </row>
    <row r="108">
      <c r="A108" s="7" t="inlineStr">
        <is>
          <t>F · Applicable (Y/N)</t>
        </is>
      </c>
      <c r="B108" s="8" t="inlineStr">
        <is>
          <t>Y = you run this test on this item; N = you do not (do not delete the row).</t>
        </is>
      </c>
    </row>
    <row r="109">
      <c r="A109" s="7" t="inlineStr">
        <is>
          <t>G · Instrument</t>
        </is>
      </c>
      <c r="B109" s="8" t="inlineStr">
        <is>
          <t>Main instrument the test occupies.</t>
        </is>
      </c>
    </row>
    <row r="110">
      <c r="A110" s="7" t="inlineStr">
        <is>
          <t>H · Complexity</t>
        </is>
      </c>
      <c r="B110" s="8" t="inlineStr">
        <is>
          <t>Low / Medium / High - how demanding the test is.</t>
        </is>
      </c>
    </row>
    <row r="111">
      <c r="A111" s="7" t="inlineStr">
        <is>
          <t>I · No. of separate methods</t>
        </is>
      </c>
      <c r="B111" s="8" t="inlineStr">
        <is>
          <t>Separate runs this test needs (e.g. 2 actives with separate HPLC methods = 2). Usually 1.</t>
        </is>
      </c>
    </row>
    <row r="112">
      <c r="A112" s="7" t="inlineStr">
        <is>
          <t>J · Campaign group code</t>
        </is>
      </c>
      <c r="B112" s="8" t="inlineStr">
        <is>
          <t>Same code (e.g. G1) on tests run in one instrument sequence; their setup time is then counted once.</t>
        </is>
      </c>
    </row>
    <row r="113">
      <c r="A113" s="7" t="inlineStr">
        <is>
          <t>K · Setup analyst h / sequence</t>
        </is>
      </c>
      <c r="B113" s="8" t="inlineStr">
        <is>
          <t>Hands-on hours to set up one sequence/run (mobile phase, standards, system suitability).</t>
        </is>
      </c>
    </row>
    <row r="114">
      <c r="A114" s="7" t="inlineStr">
        <is>
          <t>L · Setup instrument h / sequence</t>
        </is>
      </c>
      <c r="B114" s="8" t="inlineStr">
        <is>
          <t>Instrument hours per sequence that are not per sample (equilibration, blanks, standards).</t>
        </is>
      </c>
    </row>
    <row r="115">
      <c r="A115" s="7" t="inlineStr">
        <is>
          <t>M · Prep analyst h/sample – MIN</t>
        </is>
      </c>
      <c r="B115" s="8" t="inlineStr">
        <is>
          <t>Optional. Fastest realistic hands-on preparation per sample.</t>
        </is>
      </c>
    </row>
    <row r="116">
      <c r="A116" s="7" t="inlineStr">
        <is>
          <t>N · Prep – MOST LIKELY</t>
        </is>
      </c>
      <c r="B116" s="8" t="inlineStr">
        <is>
          <t>Required. Usual hands-on preparation per sample (weighing, dissolving, diluting, filtering).</t>
        </is>
      </c>
    </row>
    <row r="117">
      <c r="A117" s="7" t="inlineStr">
        <is>
          <t>O · Prep – MAX</t>
        </is>
      </c>
      <c r="B117" s="8" t="inlineStr">
        <is>
          <t>Optional. Slowest realistic preparation per sample.</t>
        </is>
      </c>
    </row>
    <row r="118">
      <c r="A118" s="7" t="inlineStr">
        <is>
          <t>P · Prep PERT (auto)</t>
        </is>
      </c>
      <c r="B118" s="8" t="inlineStr">
        <is>
          <t>Automatic: (MIN + 4 x MOST LIKELY + MAX) / 6; equals MOST LIKELY if MIN or MAX is blank.</t>
        </is>
      </c>
    </row>
    <row r="119">
      <c r="A119" s="7" t="inlineStr">
        <is>
          <t>Q · Instrument run h / sample</t>
        </is>
      </c>
      <c r="B119" s="8" t="inlineStr">
        <is>
          <t>Unattended instrument time per sample (run time, oven/LOD time, titrator time).</t>
        </is>
      </c>
    </row>
    <row r="120">
      <c r="A120" s="7" t="inlineStr">
        <is>
          <t>R · Dissolution bath h / sample</t>
        </is>
      </c>
      <c r="B120" s="8" t="inlineStr">
        <is>
          <t>Finished products only: bath time per sample.</t>
        </is>
      </c>
    </row>
    <row r="121">
      <c r="A121" s="7" t="inlineStr">
        <is>
          <t>S · Data processing + doc h / sample</t>
        </is>
      </c>
      <c r="B121" s="8" t="inlineStr">
        <is>
          <t>Integration, calculation, LIMS/logbook entries per sample.</t>
        </is>
      </c>
    </row>
    <row r="122">
      <c r="A122" s="7" t="inlineStr">
        <is>
          <t>T · Review h / sample</t>
        </is>
      </c>
      <c r="B122" s="8" t="inlineStr">
        <is>
          <t>Time a second person spends checking the data per sample.</t>
        </is>
      </c>
    </row>
    <row r="123">
      <c r="A123" s="7" t="inlineStr">
        <is>
          <t>U · Samples per sequence</t>
        </is>
      </c>
      <c r="B123" s="8" t="inlineStr">
        <is>
          <t>Typical number of samples run together in one sequence/run.</t>
        </is>
      </c>
    </row>
    <row r="124">
      <c r="A124" s="7" t="inlineStr">
        <is>
          <t>V · Retest / OOS %</t>
        </is>
      </c>
      <c r="B124" s="8" t="inlineStr">
        <is>
          <t>Share of samples tested again (type 5 for 5%).</t>
        </is>
      </c>
    </row>
    <row r="125">
      <c r="A125" s="7" t="inlineStr">
        <is>
          <t>W · Applies to stability (Y/N)</t>
        </is>
      </c>
      <c r="B125" s="8" t="inlineStr">
        <is>
          <t>Finished products only: Y if the test is also run on stability samples.</t>
        </is>
      </c>
    </row>
    <row r="126">
      <c r="A126" s="7" t="inlineStr">
        <is>
          <t>X · Respondent(s) / source</t>
        </is>
      </c>
      <c r="B126" s="8" t="inlineStr">
        <is>
          <t>Who gave the time, or where it comes from.</t>
        </is>
      </c>
    </row>
    <row r="127">
      <c r="A127" s="7" t="inlineStr">
        <is>
          <t>Y · Confidence</t>
        </is>
      </c>
      <c r="B127" s="8" t="inlineStr">
        <is>
          <t>How sure you are of the times: High / Medium / Low.</t>
        </is>
      </c>
    </row>
    <row r="128">
      <c r="A128" s="7" t="inlineStr">
        <is>
          <t>Z · Notes / difficulty</t>
        </is>
      </c>
      <c r="B128" s="8" t="inlineStr">
        <is>
          <t>Anything unusual, e.g. 'solution shared with Assay'.</t>
        </is>
      </c>
    </row>
    <row r="129">
      <c r="A129" s="7" t="inlineStr">
        <is>
          <t>AA · Outsourced (Y/N)</t>
        </is>
      </c>
      <c r="B129" s="8" t="inlineStr">
        <is>
          <t>Y = sent to an external lab. Then enter only in-house time (sampling, sending, checking the report) as Prep; leave instrument times blank.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7" customWidth="1" min="1" max="1"/>
    <col width="70" customWidth="1" min="2" max="2"/>
    <col width="60" customWidth="1" min="3" max="3"/>
  </cols>
  <sheetData>
    <row r="1">
      <c r="A1" s="6" t="inlineStr">
        <is>
          <t>#</t>
        </is>
      </c>
      <c r="B1" s="6" t="inlineStr">
        <is>
          <t>Question</t>
        </is>
      </c>
      <c r="C1" s="6" t="inlineStr">
        <is>
          <t>Answer</t>
        </is>
      </c>
    </row>
    <row r="2">
      <c r="A2" s="11" t="inlineStr">
        <is>
          <t>A. Respondent</t>
        </is>
      </c>
      <c r="B2" s="12" t="n"/>
      <c r="C2" s="12" t="n"/>
    </row>
    <row r="3" ht="30" customHeight="1">
      <c r="A3" s="10" t="inlineStr">
        <is>
          <t>A1</t>
        </is>
      </c>
      <c r="B3" s="10" t="inlineStr">
        <is>
          <t>Name / ID, role, years of QC experience.</t>
        </is>
      </c>
      <c r="C3" s="5" t="n"/>
    </row>
    <row r="4" ht="30" customHeight="1">
      <c r="A4" s="10" t="inlineStr">
        <is>
          <t>A2</t>
        </is>
      </c>
      <c r="B4" s="10" t="inlineStr">
        <is>
          <t>Which techniques/instruments are you qualified on (HPLC, GC, UV-Vis, AAS/ICP, KF, titration, IR)?</t>
        </is>
      </c>
      <c r="C4" s="5" t="n"/>
    </row>
    <row r="5" ht="30" customHeight="1">
      <c r="A5" s="10" t="inlineStr">
        <is>
          <t>A3</t>
        </is>
      </c>
      <c r="B5" s="10" t="inlineStr">
        <is>
          <t>Contract hours per week and annual leave weeks.</t>
        </is>
      </c>
      <c r="C5" s="5" t="n"/>
    </row>
    <row r="6" ht="45" customHeight="1">
      <c r="A6" s="10" t="inlineStr">
        <is>
          <t>A4</t>
        </is>
      </c>
      <c r="B6" s="10" t="inlineStr">
        <is>
          <t>In a normal week, what % of your time is: testing / reviewing others' data / documentation &amp; LIMS / meetings &amp; training / cleaning &amp; housekeeping / investigations? (should add to 100%)</t>
        </is>
      </c>
      <c r="C6" s="5" t="n"/>
    </row>
    <row r="7" ht="30" customHeight="1">
      <c r="A7" s="10" t="inlineStr">
        <is>
          <t>A5</t>
        </is>
      </c>
      <c r="B7" s="10" t="inlineStr">
        <is>
          <t>Average overtime hours per month over the last 6 months, and the main reason.</t>
        </is>
      </c>
      <c r="C7" s="5" t="n"/>
    </row>
    <row r="8">
      <c r="A8" s="11" t="inlineStr">
        <is>
          <t>B. Receipt and sampling</t>
        </is>
      </c>
      <c r="B8" s="12" t="n"/>
      <c r="C8" s="12" t="n"/>
    </row>
    <row r="9" ht="30" customHeight="1">
      <c r="A9" s="10" t="inlineStr">
        <is>
          <t>B1</t>
        </is>
      </c>
      <c r="B9" s="10" t="inlineStr">
        <is>
          <t>Who samples incoming materials (QC analyst, sampler, warehouse)? QC hours per week spent on sampling, including walking to the warehouse.</t>
        </is>
      </c>
      <c r="C9" s="5" t="n"/>
    </row>
    <row r="10" ht="30" customHeight="1">
      <c r="A10" s="10" t="inlineStr">
        <is>
          <t>B2</t>
        </is>
      </c>
      <c r="B10" s="10" t="inlineStr">
        <is>
          <t>Which months have the most receipts, and about how many lots arrive in the peak month? (Lots per year per material go on 'Materials'.)</t>
        </is>
      </c>
      <c r="C10" s="5" t="n"/>
    </row>
    <row r="11" ht="30" customHeight="1">
      <c r="A11" s="10" t="inlineStr">
        <is>
          <t>B3</t>
        </is>
      </c>
      <c r="B11" s="10" t="inlineStr">
        <is>
          <t>Which materials are re-tested at re-test date or for shelf-life extension? Lots per year?</t>
        </is>
      </c>
      <c r="C11" s="5" t="n"/>
    </row>
    <row r="12">
      <c r="A12" s="11" t="inlineStr">
        <is>
          <t>C. Instruments</t>
        </is>
      </c>
      <c r="B12" s="12" t="n"/>
      <c r="C12" s="12" t="n"/>
    </row>
    <row r="13" ht="30" customHeight="1">
      <c r="A13" s="10" t="inlineStr">
        <is>
          <t>C1</t>
        </is>
      </c>
      <c r="B13" s="10" t="inlineStr">
        <is>
          <t>Which instrument do you wait for most (HPLC, GC, KF, AAS, oven)? How often per week, and how long each time?</t>
        </is>
      </c>
      <c r="C13" s="5" t="n"/>
    </row>
    <row r="14">
      <c r="A14" s="11" t="inlineStr">
        <is>
          <t>D. Workload and service level</t>
        </is>
      </c>
      <c r="B14" s="12" t="n"/>
      <c r="C14" s="12" t="n"/>
    </row>
    <row r="15" ht="30" customHeight="1">
      <c r="A15" s="10" t="inlineStr">
        <is>
          <t>D1</t>
        </is>
      </c>
      <c r="B15" s="10" t="inlineStr">
        <is>
          <t>Target turnaround from receipt to release (days) and actual typical turnaround. Has production ever waited for a raw material release?</t>
        </is>
      </c>
      <c r="C15" s="5" t="n"/>
    </row>
    <row r="16" ht="30" customHeight="1">
      <c r="A16" s="10" t="inlineStr">
        <is>
          <t>D2</t>
        </is>
      </c>
      <c r="B16" s="10" t="inlineStr">
        <is>
          <t>How many lots are typically waiting (in quarantine, not yet tested) at month end?</t>
        </is>
      </c>
      <c r="C16" s="5" t="n"/>
    </row>
    <row r="17" ht="60" customHeight="1">
      <c r="A17" s="10" t="inlineStr">
        <is>
          <t>D3</t>
        </is>
      </c>
      <c r="B17" s="10" t="inlineStr">
        <is>
          <t>Non-routine work - give number per year and hours each for: (a) new-supplier qualification (full testing of 3 lots); (b) method update and verification after a monograph change; (c) OOS investigations; (d) supplier complaints; (e) R&amp;D or trial samples.</t>
        </is>
      </c>
      <c r="C17" s="5" t="n"/>
    </row>
    <row r="18">
      <c r="A18" s="11" t="inlineStr">
        <is>
          <t>E. Closing</t>
        </is>
      </c>
      <c r="B18" s="12" t="n"/>
      <c r="C18" s="12" t="n"/>
    </row>
    <row r="19" ht="30" customHeight="1">
      <c r="A19" s="10" t="inlineStr">
        <is>
          <t>E1</t>
        </is>
      </c>
      <c r="B19" s="10" t="inlineStr">
        <is>
          <t>If you had one more analyst or one more instrument, what would change first?</t>
        </is>
      </c>
      <c r="C19" s="5" t="n"/>
    </row>
    <row r="20" ht="30" customHeight="1">
      <c r="A20" s="10" t="inlineStr">
        <is>
          <t>E2</t>
        </is>
      </c>
      <c r="B20" s="10" t="inlineStr">
        <is>
          <t>What is the biggest risk to on-time raw material release today?</t>
        </is>
      </c>
      <c r="C20"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8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9" customWidth="1" min="3" max="3"/>
    <col width="10" customWidth="1" min="4" max="4"/>
    <col width="12" customWidth="1" min="5" max="5"/>
    <col hidden="1" width="1" customWidth="1" min="6" max="6"/>
    <col width="20" customWidth="1" min="7" max="7"/>
    <col width="26" customWidth="1" min="8" max="8"/>
    <col width="10" customWidth="1" min="9" max="9"/>
    <col width="16" customWidth="1" min="10" max="10"/>
    <col width="22" customWidth="1" min="11" max="11"/>
    <col width="30" customWidth="1" min="12" max="12"/>
    <col width="10" customWidth="1" min="13" max="13"/>
    <col width="36" customWidth="1" min="14" max="14"/>
    <col width="30" customWidth="1" min="15" max="15"/>
    <col width="11" customWidth="1" min="16" max="16"/>
    <col width="22" customWidth="1" min="17" max="17"/>
    <col width="22" customWidth="1" min="18" max="18"/>
  </cols>
  <sheetData>
    <row r="1" ht="45" customHeight="1">
      <c r="A1" s="13" t="inlineStr">
        <is>
          <t>Material</t>
        </is>
      </c>
      <c r="B1" s="13" t="inlineStr">
        <is>
          <t>Category</t>
        </is>
      </c>
      <c r="C1" s="13" t="inlineStr">
        <is>
          <t># products using (from product formulas)</t>
        </is>
      </c>
      <c r="D1" s="13" t="inlineStr">
        <is>
          <t>Lots / yr (now)</t>
        </is>
      </c>
      <c r="E1" s="13" t="inlineStr">
        <is>
          <t>Lots / yr (future, blank = growth %)</t>
        </is>
      </c>
      <c r="F1" s="13" t="inlineStr">
        <is>
          <t>Lots used future (auto)</t>
        </is>
      </c>
      <c r="G1" s="13" t="inlineStr">
        <is>
          <t>Supplier / pharmacopoeia</t>
        </is>
      </c>
      <c r="H1" s="13" t="inlineStr">
        <is>
          <t>Notes</t>
        </is>
      </c>
      <c r="I1" s="13" t="inlineStr">
        <is>
          <t>Suppliers (number)</t>
        </is>
      </c>
      <c r="J1" s="13" t="inlineStr">
        <is>
          <t>Reduced testing? (none / ID+CoA / skip-lot)</t>
        </is>
      </c>
      <c r="K1" s="13" t="inlineStr">
        <is>
          <t>Status</t>
        </is>
      </c>
      <c r="L1" s="13" t="inlineStr">
        <is>
          <t>Same material as (master-list name)</t>
        </is>
      </c>
      <c r="M1" s="13" t="inlineStr">
        <is>
          <t>Still tested by QC? (Y/N)</t>
        </is>
      </c>
      <c r="N1" s="13" t="inlineStr">
        <is>
          <t>Also listed as</t>
        </is>
      </c>
      <c r="O1" s="13" t="inlineStr">
        <is>
          <t>USP-NF monograph</t>
        </is>
      </c>
      <c r="P1" s="13" t="inlineStr">
        <is>
          <t>Recorded h/lot (lab records, worst supplier)</t>
        </is>
      </c>
      <c r="Q1" s="13" t="inlineStr">
        <is>
          <t>USP tests not in lab record</t>
        </is>
      </c>
      <c r="R1" s="13" t="inlineStr">
        <is>
          <t>Lab-record tests not in USP</t>
        </is>
      </c>
    </row>
    <row r="2">
      <c r="A2" s="10" t="inlineStr">
        <is>
          <t>Acetaminophen</t>
        </is>
      </c>
      <c r="B2" s="10" t="inlineStr">
        <is>
          <t>Active</t>
        </is>
      </c>
      <c r="C2" s="10" t="n">
        <v>6</v>
      </c>
      <c r="D2" s="5" t="n"/>
      <c r="E2" s="5" t="n"/>
      <c r="F2" s="10" t="n"/>
      <c r="G2" s="5" t="n"/>
      <c r="H2" s="5" t="n"/>
      <c r="I2" s="5" t="n"/>
      <c r="J2" s="5" t="n"/>
      <c r="K2" s="10" t="inlineStr">
        <is>
          <t>Master list</t>
        </is>
      </c>
      <c r="L2" s="5" t="n"/>
      <c r="M2" s="5" t="n"/>
      <c r="N2" s="10" t="n"/>
      <c r="O2" s="10" t="inlineStr">
        <is>
          <t>Acetaminophen</t>
        </is>
      </c>
      <c r="P2" s="10" t="n">
        <v>16.72</v>
      </c>
      <c r="Q2" s="10" t="inlineStr">
        <is>
          <t>ID</t>
        </is>
      </c>
      <c r="R2" s="10" t="inlineStr">
        <is>
          <t>-</t>
        </is>
      </c>
    </row>
    <row r="3">
      <c r="A3" s="10" t="inlineStr">
        <is>
          <t>Amlodipine Besylate</t>
        </is>
      </c>
      <c r="B3" s="10" t="inlineStr">
        <is>
          <t>Active</t>
        </is>
      </c>
      <c r="C3" s="10" t="n">
        <v>4</v>
      </c>
      <c r="D3" s="5" t="n"/>
      <c r="E3" s="5" t="n"/>
      <c r="F3" s="10" t="n"/>
      <c r="G3" s="5" t="n"/>
      <c r="H3" s="5" t="n"/>
      <c r="I3" s="5" t="n"/>
      <c r="J3" s="5" t="n"/>
      <c r="K3" s="10" t="inlineStr">
        <is>
          <t>Master list</t>
        </is>
      </c>
      <c r="L3" s="5" t="n"/>
      <c r="M3" s="5" t="n"/>
      <c r="N3" s="10" t="n"/>
      <c r="O3" s="10" t="inlineStr">
        <is>
          <t>Amlodipine Besylate</t>
        </is>
      </c>
      <c r="P3" s="10" t="n">
        <v>2.18</v>
      </c>
      <c r="Q3" s="10" t="inlineStr">
        <is>
          <t>-</t>
        </is>
      </c>
      <c r="R3" s="10" t="inlineStr">
        <is>
          <t>-</t>
        </is>
      </c>
    </row>
    <row r="4">
      <c r="A4" s="10" t="inlineStr">
        <is>
          <t>Apium Graveolens Seed Dry Extract 6:1</t>
        </is>
      </c>
      <c r="B4" s="10" t="inlineStr">
        <is>
          <t>Active</t>
        </is>
      </c>
      <c r="C4" s="10" t="n">
        <v>1</v>
      </c>
      <c r="D4" s="5" t="n"/>
      <c r="E4" s="5" t="n"/>
      <c r="F4" s="10" t="n"/>
      <c r="G4" s="5" t="n"/>
      <c r="H4" s="5" t="n"/>
      <c r="I4" s="5" t="n"/>
      <c r="J4" s="5" t="n"/>
      <c r="K4" s="10" t="inlineStr">
        <is>
          <t>Master list</t>
        </is>
      </c>
      <c r="L4" s="5" t="n"/>
      <c r="M4" s="5" t="n"/>
      <c r="N4" s="10" t="inlineStr">
        <is>
          <t>Apium Graveolens; Apium Graveolens (Celery Seed Ext.)</t>
        </is>
      </c>
      <c r="O4" s="10" t="inlineStr">
        <is>
          <t>None - in-house / supplier spec</t>
        </is>
      </c>
      <c r="P4" s="10" t="n">
        <v>9.02</v>
      </c>
      <c r="Q4" s="10" t="n"/>
      <c r="R4" s="10" t="n"/>
    </row>
    <row r="5">
      <c r="A5" s="10" t="inlineStr">
        <is>
          <t>Apixaban</t>
        </is>
      </c>
      <c r="B5" s="10" t="inlineStr">
        <is>
          <t>Active</t>
        </is>
      </c>
      <c r="C5" s="10" t="n">
        <v>2</v>
      </c>
      <c r="D5" s="5" t="n"/>
      <c r="E5" s="5" t="n"/>
      <c r="F5" s="10" t="n"/>
      <c r="G5" s="5" t="n"/>
      <c r="H5" s="5" t="n"/>
      <c r="I5" s="5" t="n"/>
      <c r="J5" s="5" t="n"/>
      <c r="K5" s="10" t="inlineStr">
        <is>
          <t>Master list</t>
        </is>
      </c>
      <c r="L5" s="5" t="n"/>
      <c r="M5" s="5" t="n"/>
      <c r="N5" s="10" t="n"/>
      <c r="O5" s="10" t="inlineStr">
        <is>
          <t>None - in-house / supplier spec</t>
        </is>
      </c>
      <c r="P5" s="10" t="n"/>
      <c r="Q5" s="10" t="n"/>
      <c r="R5" s="10" t="n"/>
    </row>
    <row r="6">
      <c r="A6" s="10" t="inlineStr">
        <is>
          <t>Artichoke Dry Extract 25:1</t>
        </is>
      </c>
      <c r="B6" s="10" t="inlineStr">
        <is>
          <t>Active</t>
        </is>
      </c>
      <c r="C6" s="10" t="n">
        <v>1</v>
      </c>
      <c r="D6" s="5" t="n"/>
      <c r="E6" s="5" t="n"/>
      <c r="F6" s="10" t="n"/>
      <c r="G6" s="5" t="n"/>
      <c r="H6" s="5" t="n"/>
      <c r="I6" s="5" t="n"/>
      <c r="J6" s="5" t="n"/>
      <c r="K6" s="10" t="inlineStr">
        <is>
          <t>Master list</t>
        </is>
      </c>
      <c r="L6" s="5" t="n"/>
      <c r="M6" s="5" t="n"/>
      <c r="N6" s="10" t="inlineStr">
        <is>
          <t>Artichoke dry extract; Cynara Scolymus (Globe Artichoke Ext.) Dry Conc 25:1</t>
        </is>
      </c>
      <c r="O6" s="10" t="inlineStr">
        <is>
          <t>None - in-house / supplier spec</t>
        </is>
      </c>
      <c r="P6" s="10" t="n">
        <v>11.07</v>
      </c>
      <c r="Q6" s="10" t="n"/>
      <c r="R6" s="10" t="n"/>
    </row>
    <row r="7">
      <c r="A7" s="10" t="inlineStr">
        <is>
          <t>Ascorbic Acid (Vitamin C)</t>
        </is>
      </c>
      <c r="B7" s="10" t="inlineStr">
        <is>
          <t>Active</t>
        </is>
      </c>
      <c r="C7" s="10" t="n">
        <v>2</v>
      </c>
      <c r="D7" s="5" t="n"/>
      <c r="E7" s="5" t="n"/>
      <c r="F7" s="10" t="n"/>
      <c r="G7" s="5" t="n"/>
      <c r="H7" s="5" t="n"/>
      <c r="I7" s="5" t="n"/>
      <c r="J7" s="5" t="n"/>
      <c r="K7" s="10" t="inlineStr">
        <is>
          <t>Master list</t>
        </is>
      </c>
      <c r="L7" s="5" t="n"/>
      <c r="M7" s="5" t="n"/>
      <c r="N7" s="10" t="inlineStr">
        <is>
          <t>Ascorbic Acid; Vitamin C (Ascorbic Acid)</t>
        </is>
      </c>
      <c r="O7" s="10" t="inlineStr">
        <is>
          <t>Ascorbic Acid</t>
        </is>
      </c>
      <c r="P7" s="10" t="n"/>
      <c r="Q7" s="10" t="n"/>
      <c r="R7" s="10" t="n"/>
    </row>
    <row r="8">
      <c r="A8" s="10" t="inlineStr">
        <is>
          <t>Ascorbic Acid Coated 97%</t>
        </is>
      </c>
      <c r="B8" s="10" t="inlineStr">
        <is>
          <t>Active</t>
        </is>
      </c>
      <c r="C8" s="10" t="n">
        <v>12</v>
      </c>
      <c r="D8" s="5" t="n"/>
      <c r="E8" s="5" t="n"/>
      <c r="F8" s="10" t="n"/>
      <c r="G8" s="5" t="n"/>
      <c r="H8" s="5" t="n"/>
      <c r="I8" s="5" t="n"/>
      <c r="J8" s="5" t="n"/>
      <c r="K8" s="10" t="inlineStr">
        <is>
          <t>Master list</t>
        </is>
      </c>
      <c r="L8" s="5" t="n"/>
      <c r="M8" s="5" t="n"/>
      <c r="N8" s="10" t="inlineStr">
        <is>
          <t>Ascorbic Acid-Coated -97; Vitamin C Coated 97.5% (Ascorbic Acid Coated)</t>
        </is>
      </c>
      <c r="O8" s="10" t="inlineStr">
        <is>
          <t>Ascorbic Acid (confirm)</t>
        </is>
      </c>
      <c r="P8" s="10" t="n">
        <v>3.1</v>
      </c>
      <c r="Q8" s="10" t="inlineStr">
        <is>
          <t>ID, ROI / ash, Optical rotation</t>
        </is>
      </c>
      <c r="R8" s="10" t="inlineStr">
        <is>
          <t>LOD</t>
        </is>
      </c>
    </row>
    <row r="9">
      <c r="A9" s="10" t="inlineStr">
        <is>
          <t>Azelastine Hydrochloride</t>
        </is>
      </c>
      <c r="B9" s="10" t="inlineStr">
        <is>
          <t>Active</t>
        </is>
      </c>
      <c r="C9" s="10" t="n">
        <v>1</v>
      </c>
      <c r="D9" s="5" t="n"/>
      <c r="E9" s="5" t="n"/>
      <c r="F9" s="10" t="n"/>
      <c r="G9" s="5" t="n"/>
      <c r="H9" s="5" t="n"/>
      <c r="I9" s="5" t="n"/>
      <c r="J9" s="5" t="n"/>
      <c r="K9" s="10" t="inlineStr">
        <is>
          <t>Master list</t>
        </is>
      </c>
      <c r="L9" s="5" t="n"/>
      <c r="M9" s="5" t="n"/>
      <c r="N9" s="10" t="inlineStr">
        <is>
          <t>Azelastine HCL (MSN)</t>
        </is>
      </c>
      <c r="O9" s="10" t="inlineStr">
        <is>
          <t>Azelastine Hydrochloride</t>
        </is>
      </c>
      <c r="P9" s="10" t="n">
        <v>7.27</v>
      </c>
      <c r="Q9" s="10" t="inlineStr">
        <is>
          <t>Assay</t>
        </is>
      </c>
      <c r="R9" s="10" t="inlineStr">
        <is>
          <t>-</t>
        </is>
      </c>
    </row>
    <row r="10">
      <c r="A10" s="10" t="inlineStr">
        <is>
          <t>Beet Root</t>
        </is>
      </c>
      <c r="B10" s="10" t="inlineStr">
        <is>
          <t>Active</t>
        </is>
      </c>
      <c r="C10" s="10" t="n">
        <v>1</v>
      </c>
      <c r="D10" s="5" t="n"/>
      <c r="E10" s="5" t="n"/>
      <c r="F10" s="10" t="n"/>
      <c r="G10" s="5" t="n"/>
      <c r="H10" s="5" t="n"/>
      <c r="I10" s="5" t="n"/>
      <c r="J10" s="5" t="n"/>
      <c r="K10" s="10" t="inlineStr">
        <is>
          <t>Master list</t>
        </is>
      </c>
      <c r="L10" s="5" t="n"/>
      <c r="M10" s="5" t="n"/>
      <c r="N10" s="10" t="n"/>
      <c r="O10" s="10" t="inlineStr">
        <is>
          <t>None - in-house / supplier spec</t>
        </is>
      </c>
      <c r="P10" s="10" t="n"/>
      <c r="Q10" s="10" t="n"/>
      <c r="R10" s="10" t="n"/>
    </row>
    <row r="11">
      <c r="A11" s="10" t="inlineStr">
        <is>
          <t>Bempedoic Acid</t>
        </is>
      </c>
      <c r="B11" s="10" t="inlineStr">
        <is>
          <t>Active</t>
        </is>
      </c>
      <c r="C11" s="10" t="n">
        <v>2</v>
      </c>
      <c r="D11" s="5" t="n"/>
      <c r="E11" s="5" t="n"/>
      <c r="F11" s="10" t="n"/>
      <c r="G11" s="5" t="n"/>
      <c r="H11" s="5" t="n"/>
      <c r="I11" s="5" t="n"/>
      <c r="J11" s="5" t="n"/>
      <c r="K11" s="10" t="inlineStr">
        <is>
          <t>Master list</t>
        </is>
      </c>
      <c r="L11" s="5" t="n"/>
      <c r="M11" s="5" t="n"/>
      <c r="N11" s="10" t="n"/>
      <c r="O11" s="10" t="inlineStr">
        <is>
          <t>None - in-house / supplier spec</t>
        </is>
      </c>
      <c r="P11" s="10" t="n">
        <v>13.68</v>
      </c>
      <c r="Q11" s="10" t="n"/>
      <c r="R11" s="10" t="n"/>
    </row>
    <row r="12">
      <c r="A12" s="10" t="inlineStr">
        <is>
          <t>Beta-Carotene</t>
        </is>
      </c>
      <c r="B12" s="10" t="inlineStr">
        <is>
          <t>Active</t>
        </is>
      </c>
      <c r="C12" s="10" t="n">
        <v>5</v>
      </c>
      <c r="D12" s="5" t="n"/>
      <c r="E12" s="5" t="n"/>
      <c r="F12" s="10" t="n"/>
      <c r="G12" s="5" t="n"/>
      <c r="H12" s="5" t="n"/>
      <c r="I12" s="5" t="n"/>
      <c r="J12" s="5" t="n"/>
      <c r="K12" s="10" t="inlineStr">
        <is>
          <t>Master list</t>
        </is>
      </c>
      <c r="L12" s="5" t="n"/>
      <c r="M12" s="5" t="n"/>
      <c r="N12" s="10" t="inlineStr">
        <is>
          <t>Beta Carotene 10%; Beta-Carotene-10%</t>
        </is>
      </c>
      <c r="O12" s="10" t="inlineStr">
        <is>
          <t>Beta Carotene</t>
        </is>
      </c>
      <c r="P12" s="10" t="n">
        <v>6.6</v>
      </c>
      <c r="Q12" s="10" t="inlineStr">
        <is>
          <t>Impurities</t>
        </is>
      </c>
      <c r="R12" s="10" t="inlineStr">
        <is>
          <t>-</t>
        </is>
      </c>
    </row>
    <row r="13">
      <c r="A13" s="10" t="inlineStr">
        <is>
          <t>Biotin (Vitamin B7)</t>
        </is>
      </c>
      <c r="B13" s="10" t="inlineStr">
        <is>
          <t>Active</t>
        </is>
      </c>
      <c r="C13" s="10" t="n">
        <v>5</v>
      </c>
      <c r="D13" s="5" t="n"/>
      <c r="E13" s="5" t="n"/>
      <c r="F13" s="10" t="n"/>
      <c r="G13" s="5" t="n"/>
      <c r="H13" s="5" t="n"/>
      <c r="I13" s="5" t="n"/>
      <c r="J13" s="5" t="n"/>
      <c r="K13" s="10" t="inlineStr">
        <is>
          <t>Master list</t>
        </is>
      </c>
      <c r="L13" s="5" t="n"/>
      <c r="M13" s="5" t="n"/>
      <c r="N13" s="10" t="inlineStr">
        <is>
          <t>Biotin; D-Biotin</t>
        </is>
      </c>
      <c r="O13" s="10" t="inlineStr">
        <is>
          <t>Biotin</t>
        </is>
      </c>
      <c r="P13" s="10" t="n">
        <v>8.1</v>
      </c>
      <c r="Q13" s="10" t="inlineStr">
        <is>
          <t>-</t>
        </is>
      </c>
      <c r="R13" s="10" t="inlineStr">
        <is>
          <t>ROI / ash, Melting, Clarity / colour</t>
        </is>
      </c>
    </row>
    <row r="14">
      <c r="A14" s="10" t="inlineStr">
        <is>
          <t>Borax</t>
        </is>
      </c>
      <c r="B14" s="10" t="inlineStr">
        <is>
          <t>Active</t>
        </is>
      </c>
      <c r="C14" s="10" t="n">
        <v>1</v>
      </c>
      <c r="D14" s="5" t="n"/>
      <c r="E14" s="5" t="n"/>
      <c r="F14" s="10" t="n"/>
      <c r="G14" s="5" t="n"/>
      <c r="H14" s="5" t="n"/>
      <c r="I14" s="5" t="n"/>
      <c r="J14" s="5" t="n"/>
      <c r="K14" s="10" t="inlineStr">
        <is>
          <t>Master list</t>
        </is>
      </c>
      <c r="L14" s="5" t="n"/>
      <c r="M14" s="5" t="n"/>
      <c r="N14" s="10" t="n"/>
      <c r="O14" s="10" t="inlineStr">
        <is>
          <t>Sodium Borate (confirm)</t>
        </is>
      </c>
      <c r="P14" s="10" t="n">
        <v>1.52</v>
      </c>
      <c r="Q14" s="10" t="inlineStr">
        <is>
          <t>ID</t>
        </is>
      </c>
      <c r="R14" s="10" t="inlineStr">
        <is>
          <t>-</t>
        </is>
      </c>
    </row>
    <row r="15">
      <c r="A15" s="10" t="inlineStr">
        <is>
          <t>Caffeine (Base)</t>
        </is>
      </c>
      <c r="B15" s="10" t="inlineStr">
        <is>
          <t>Active</t>
        </is>
      </c>
      <c r="C15" s="10" t="n">
        <v>1</v>
      </c>
      <c r="D15" s="5" t="n"/>
      <c r="E15" s="5" t="n"/>
      <c r="F15" s="10" t="n"/>
      <c r="G15" s="5" t="n"/>
      <c r="H15" s="5" t="n"/>
      <c r="I15" s="5" t="n"/>
      <c r="J15" s="5" t="n"/>
      <c r="K15" s="10" t="inlineStr">
        <is>
          <t>Master list</t>
        </is>
      </c>
      <c r="L15" s="5" t="n"/>
      <c r="M15" s="5" t="n"/>
      <c r="N15" s="10" t="inlineStr">
        <is>
          <t>Caffeine</t>
        </is>
      </c>
      <c r="O15" s="10" t="inlineStr">
        <is>
          <t>Caffeine</t>
        </is>
      </c>
      <c r="P15" s="10" t="n">
        <v>18.1</v>
      </c>
      <c r="Q15" s="10" t="inlineStr">
        <is>
          <t>-</t>
        </is>
      </c>
      <c r="R15" s="10" t="inlineStr">
        <is>
          <t>-</t>
        </is>
      </c>
    </row>
    <row r="16">
      <c r="A16" s="10" t="inlineStr">
        <is>
          <t>Calcium Carbonate</t>
        </is>
      </c>
      <c r="B16" s="10" t="inlineStr">
        <is>
          <t>Active</t>
        </is>
      </c>
      <c r="C16" s="10" t="n">
        <v>1</v>
      </c>
      <c r="D16" s="5" t="n"/>
      <c r="E16" s="5" t="n"/>
      <c r="F16" s="10" t="n"/>
      <c r="G16" s="5" t="n"/>
      <c r="H16" s="5" t="n"/>
      <c r="I16" s="5" t="n"/>
      <c r="J16" s="5" t="n"/>
      <c r="K16" s="10" t="inlineStr">
        <is>
          <t>Master list</t>
        </is>
      </c>
      <c r="L16" s="5" t="n"/>
      <c r="M16" s="5" t="n"/>
      <c r="N16" s="10" t="inlineStr">
        <is>
          <t>Calcium Carbonate (Heavy)</t>
        </is>
      </c>
      <c r="O16" s="10" t="inlineStr">
        <is>
          <t>Calcium Carbonate</t>
        </is>
      </c>
      <c r="P16" s="10" t="n">
        <v>8.77</v>
      </c>
      <c r="Q16" s="10" t="inlineStr">
        <is>
          <t>-</t>
        </is>
      </c>
      <c r="R16" s="10" t="inlineStr">
        <is>
          <t>-</t>
        </is>
      </c>
    </row>
    <row r="17">
      <c r="A17" s="10" t="inlineStr">
        <is>
          <t>Calcium Carbonate Heavy</t>
        </is>
      </c>
      <c r="B17" s="10" t="inlineStr">
        <is>
          <t>Active</t>
        </is>
      </c>
      <c r="C17" s="10" t="n">
        <v>7</v>
      </c>
      <c r="D17" s="5" t="n"/>
      <c r="E17" s="5" t="n"/>
      <c r="F17" s="10" t="n"/>
      <c r="G17" s="5" t="n"/>
      <c r="H17" s="5" t="n"/>
      <c r="I17" s="5" t="n"/>
      <c r="J17" s="5" t="n"/>
      <c r="K17" s="10" t="inlineStr">
        <is>
          <t>Master list</t>
        </is>
      </c>
      <c r="L17" s="5" t="n"/>
      <c r="M17" s="5" t="n"/>
      <c r="N17" s="10" t="inlineStr">
        <is>
          <t>Calcium Carbonate (Heavy)</t>
        </is>
      </c>
      <c r="O17" s="10" t="inlineStr">
        <is>
          <t>Calcium Carbonate (confirm)</t>
        </is>
      </c>
      <c r="P17" s="10" t="n">
        <v>8.77</v>
      </c>
      <c r="Q17" s="10" t="inlineStr">
        <is>
          <t>-</t>
        </is>
      </c>
      <c r="R17" s="10" t="inlineStr">
        <is>
          <t>-</t>
        </is>
      </c>
    </row>
    <row r="18">
      <c r="A18" s="10" t="inlineStr">
        <is>
          <t>Calcium Pantothenate (Vitamin B5)</t>
        </is>
      </c>
      <c r="B18" s="10" t="inlineStr">
        <is>
          <t>Active</t>
        </is>
      </c>
      <c r="C18" s="10" t="n">
        <v>7</v>
      </c>
      <c r="D18" s="5" t="n"/>
      <c r="E18" s="5" t="n"/>
      <c r="F18" s="10" t="n"/>
      <c r="G18" s="5" t="n"/>
      <c r="H18" s="5" t="n"/>
      <c r="I18" s="5" t="n"/>
      <c r="J18" s="5" t="n"/>
      <c r="K18" s="10" t="inlineStr">
        <is>
          <t>Master list</t>
        </is>
      </c>
      <c r="L18" s="5" t="n"/>
      <c r="M18" s="5" t="n"/>
      <c r="N18" s="10" t="inlineStr">
        <is>
          <t>Vitamin B5 (Calcium Pantothenate); Vitamin B5 (D-Calcium- Pantotenate)</t>
        </is>
      </c>
      <c r="O18" s="10" t="inlineStr">
        <is>
          <t>Calcium Pantothenate</t>
        </is>
      </c>
      <c r="P18" s="10" t="n">
        <v>10.43</v>
      </c>
      <c r="Q18" s="10" t="inlineStr">
        <is>
          <t>ID, Impurities</t>
        </is>
      </c>
      <c r="R18" s="10" t="inlineStr">
        <is>
          <t>Optical rotation</t>
        </is>
      </c>
    </row>
    <row r="19">
      <c r="A19" s="10" t="inlineStr">
        <is>
          <t>Choline Bitartrate</t>
        </is>
      </c>
      <c r="B19" s="10" t="inlineStr">
        <is>
          <t>Active</t>
        </is>
      </c>
      <c r="C19" s="10" t="n">
        <v>2</v>
      </c>
      <c r="D19" s="5" t="n"/>
      <c r="E19" s="5" t="n"/>
      <c r="F19" s="10" t="n"/>
      <c r="G19" s="5" t="n"/>
      <c r="H19" s="5" t="n"/>
      <c r="I19" s="5" t="n"/>
      <c r="J19" s="5" t="n"/>
      <c r="K19" s="10" t="inlineStr">
        <is>
          <t>Master list</t>
        </is>
      </c>
      <c r="L19" s="5" t="n"/>
      <c r="M19" s="5" t="n"/>
      <c r="N19" s="10" t="inlineStr">
        <is>
          <t>Choline bitartrate</t>
        </is>
      </c>
      <c r="O19" s="10" t="inlineStr">
        <is>
          <t>Choline Bitartrate</t>
        </is>
      </c>
      <c r="P19" s="10" t="n">
        <v>2.93</v>
      </c>
      <c r="Q19" s="10" t="inlineStr">
        <is>
          <t>Assay, Impurities, Heavy metals / elements</t>
        </is>
      </c>
      <c r="R19" s="10" t="inlineStr">
        <is>
          <t>-</t>
        </is>
      </c>
    </row>
    <row r="20">
      <c r="A20" s="10" t="inlineStr">
        <is>
          <t>Chromium Picolinate</t>
        </is>
      </c>
      <c r="B20" s="10" t="inlineStr">
        <is>
          <t>Active</t>
        </is>
      </c>
      <c r="C20" s="10" t="n">
        <v>3</v>
      </c>
      <c r="D20" s="5" t="n"/>
      <c r="E20" s="5" t="n"/>
      <c r="F20" s="10" t="n"/>
      <c r="G20" s="5" t="n"/>
      <c r="H20" s="5" t="n"/>
      <c r="I20" s="5" t="n"/>
      <c r="J20" s="5" t="n"/>
      <c r="K20" s="10" t="inlineStr">
        <is>
          <t>Master list</t>
        </is>
      </c>
      <c r="L20" s="5" t="n"/>
      <c r="M20" s="5" t="n"/>
      <c r="N20" s="10" t="n"/>
      <c r="O20" s="10" t="inlineStr">
        <is>
          <t>Chromium Picolinate</t>
        </is>
      </c>
      <c r="P20" s="10" t="n">
        <v>5.18</v>
      </c>
      <c r="Q20" s="10" t="inlineStr">
        <is>
          <t>Assay</t>
        </is>
      </c>
      <c r="R20" s="10" t="inlineStr">
        <is>
          <t>-</t>
        </is>
      </c>
    </row>
    <row r="21">
      <c r="A21" s="10" t="inlineStr">
        <is>
          <t>Citicoline Sodium</t>
        </is>
      </c>
      <c r="B21" s="10" t="inlineStr">
        <is>
          <t>Active</t>
        </is>
      </c>
      <c r="C21" s="10" t="n">
        <v>1</v>
      </c>
      <c r="D21" s="5" t="n"/>
      <c r="E21" s="5" t="n"/>
      <c r="F21" s="10" t="n"/>
      <c r="G21" s="5" t="n"/>
      <c r="H21" s="5" t="n"/>
      <c r="I21" s="5" t="n"/>
      <c r="J21" s="5" t="n"/>
      <c r="K21" s="10" t="inlineStr">
        <is>
          <t>Master list</t>
        </is>
      </c>
      <c r="L21" s="5" t="n"/>
      <c r="M21" s="5" t="n"/>
      <c r="N21" s="10" t="inlineStr">
        <is>
          <t>Citicoline</t>
        </is>
      </c>
      <c r="O21" s="10" t="inlineStr">
        <is>
          <t>Citicoline Sodium</t>
        </is>
      </c>
      <c r="P21" s="10" t="n"/>
      <c r="Q21" s="10" t="n"/>
      <c r="R21" s="10" t="n"/>
    </row>
    <row r="22">
      <c r="A22" s="10" t="inlineStr">
        <is>
          <t>Coleus Forskohlii Root Dry Extract 10:1</t>
        </is>
      </c>
      <c r="B22" s="10" t="inlineStr">
        <is>
          <t>Active</t>
        </is>
      </c>
      <c r="C22" s="10" t="n">
        <v>1</v>
      </c>
      <c r="D22" s="5" t="n"/>
      <c r="E22" s="5" t="n"/>
      <c r="F22" s="10" t="n"/>
      <c r="G22" s="5" t="n"/>
      <c r="H22" s="5" t="n"/>
      <c r="I22" s="5" t="n"/>
      <c r="J22" s="5" t="n"/>
      <c r="K22" s="10" t="inlineStr">
        <is>
          <t>Master list</t>
        </is>
      </c>
      <c r="L22" s="5" t="n"/>
      <c r="M22" s="5" t="n"/>
      <c r="N22" s="10" t="n"/>
      <c r="O22" s="10" t="inlineStr">
        <is>
          <t>Powdered Forskohlii Extract (confirm)</t>
        </is>
      </c>
      <c r="P22" s="10" t="n"/>
      <c r="Q22" s="10" t="n"/>
      <c r="R22" s="10" t="n"/>
    </row>
    <row r="23">
      <c r="A23" s="10" t="inlineStr">
        <is>
          <t>Copper Gluconate</t>
        </is>
      </c>
      <c r="B23" s="10" t="inlineStr">
        <is>
          <t>Active</t>
        </is>
      </c>
      <c r="C23" s="10" t="n">
        <v>5</v>
      </c>
      <c r="D23" s="5" t="n"/>
      <c r="E23" s="5" t="n"/>
      <c r="F23" s="10" t="n"/>
      <c r="G23" s="5" t="n"/>
      <c r="H23" s="5" t="n"/>
      <c r="I23" s="5" t="n"/>
      <c r="J23" s="5" t="n"/>
      <c r="K23" s="10" t="inlineStr">
        <is>
          <t>Master list</t>
        </is>
      </c>
      <c r="L23" s="5" t="n"/>
      <c r="M23" s="5" t="n"/>
      <c r="N23" s="10" t="n"/>
      <c r="O23" s="10" t="inlineStr">
        <is>
          <t>Copper Gluconate</t>
        </is>
      </c>
      <c r="P23" s="10" t="n">
        <v>2.85</v>
      </c>
      <c r="Q23" s="10" t="inlineStr">
        <is>
          <t>Heavy metals / elements</t>
        </is>
      </c>
      <c r="R23" s="10" t="inlineStr">
        <is>
          <t>-</t>
        </is>
      </c>
    </row>
    <row r="24">
      <c r="A24" s="10" t="inlineStr">
        <is>
          <t>Cranberry Dry Extract 25:1</t>
        </is>
      </c>
      <c r="B24" s="10" t="inlineStr">
        <is>
          <t>Active</t>
        </is>
      </c>
      <c r="C24" s="10" t="n">
        <v>2</v>
      </c>
      <c r="D24" s="5" t="n"/>
      <c r="E24" s="5" t="n"/>
      <c r="F24" s="10" t="n"/>
      <c r="G24" s="5" t="n"/>
      <c r="H24" s="5" t="n"/>
      <c r="I24" s="5" t="n"/>
      <c r="J24" s="5" t="n"/>
      <c r="K24" s="10" t="inlineStr">
        <is>
          <t>Master list</t>
        </is>
      </c>
      <c r="L24" s="5" t="n"/>
      <c r="M24" s="5" t="n"/>
      <c r="N24" s="10" t="n"/>
      <c r="O24" s="10" t="inlineStr">
        <is>
          <t>None - in-house / supplier spec</t>
        </is>
      </c>
      <c r="P24" s="10" t="n"/>
      <c r="Q24" s="10" t="n"/>
      <c r="R24" s="10" t="n"/>
    </row>
    <row r="25">
      <c r="A25" s="10" t="inlineStr">
        <is>
          <t>Cyanocobalamin (Vitamin B12)</t>
        </is>
      </c>
      <c r="B25" s="10" t="inlineStr">
        <is>
          <t>Active</t>
        </is>
      </c>
      <c r="C25" s="10" t="n">
        <v>10</v>
      </c>
      <c r="D25" s="5" t="n"/>
      <c r="E25" s="5" t="n"/>
      <c r="F25" s="10" t="n"/>
      <c r="G25" s="5" t="n"/>
      <c r="H25" s="5" t="n"/>
      <c r="I25" s="5" t="n"/>
      <c r="J25" s="5" t="n"/>
      <c r="K25" s="10" t="inlineStr">
        <is>
          <t>Master list</t>
        </is>
      </c>
      <c r="L25" s="5" t="n"/>
      <c r="M25" s="5" t="n"/>
      <c r="N25" s="10" t="inlineStr">
        <is>
          <t>Cyanocobalamin; Vitamin B12; Vitamin B12 (Cyanocobalamine)</t>
        </is>
      </c>
      <c r="O25" s="10" t="inlineStr">
        <is>
          <t>Cyanocobalamin</t>
        </is>
      </c>
      <c r="P25" s="10" t="n">
        <v>11.18</v>
      </c>
      <c r="Q25" s="10" t="inlineStr">
        <is>
          <t>-</t>
        </is>
      </c>
      <c r="R25" s="10" t="inlineStr">
        <is>
          <t>ID</t>
        </is>
      </c>
    </row>
    <row r="26">
      <c r="A26" s="10" t="inlineStr">
        <is>
          <t>D-Alpha Tocopheryl Acetate 50% (Vitamin E)</t>
        </is>
      </c>
      <c r="B26" s="10" t="inlineStr">
        <is>
          <t>Active</t>
        </is>
      </c>
      <c r="C26" s="10" t="n">
        <v>1</v>
      </c>
      <c r="D26" s="5" t="n"/>
      <c r="E26" s="5" t="n"/>
      <c r="F26" s="10" t="n"/>
      <c r="G26" s="5" t="n"/>
      <c r="H26" s="5" t="n"/>
      <c r="I26" s="5" t="n"/>
      <c r="J26" s="5" t="n"/>
      <c r="K26" s="10" t="inlineStr">
        <is>
          <t>Master list</t>
        </is>
      </c>
      <c r="L26" s="5" t="n"/>
      <c r="M26" s="5" t="n"/>
      <c r="N26" s="10" t="inlineStr">
        <is>
          <t>VITAMIN E; Vitamin E (D-Alpha Tocopheryl Acetate)</t>
        </is>
      </c>
      <c r="O26" s="10" t="inlineStr">
        <is>
          <t>Vitamin E Preparation (confirm)</t>
        </is>
      </c>
      <c r="P26" s="10" t="n">
        <v>6.43</v>
      </c>
      <c r="Q26" s="10" t="inlineStr">
        <is>
          <t>ID, Optical rotation</t>
        </is>
      </c>
      <c r="R26" s="10" t="inlineStr">
        <is>
          <t>LOD</t>
        </is>
      </c>
    </row>
    <row r="27">
      <c r="A27" s="10" t="inlineStr">
        <is>
          <t>Dapagliflozin Propanediol Monohydrate</t>
        </is>
      </c>
      <c r="B27" s="10" t="inlineStr">
        <is>
          <t>Active</t>
        </is>
      </c>
      <c r="C27" s="10" t="n">
        <v>2</v>
      </c>
      <c r="D27" s="5" t="n"/>
      <c r="E27" s="5" t="n"/>
      <c r="F27" s="10" t="n"/>
      <c r="G27" s="5" t="n"/>
      <c r="H27" s="5" t="n"/>
      <c r="I27" s="5" t="n"/>
      <c r="J27" s="5" t="n"/>
      <c r="K27" s="10" t="inlineStr">
        <is>
          <t>Master list</t>
        </is>
      </c>
      <c r="L27" s="5" t="n"/>
      <c r="M27" s="5" t="n"/>
      <c r="N27" s="10" t="inlineStr">
        <is>
          <t>Dapagliflozine Propanediol Monohydrate (Alborz Darou); Dapagliflozine Propanediol Monohydrate (Tofigh Darou)</t>
        </is>
      </c>
      <c r="O27" s="10" t="inlineStr">
        <is>
          <t>Dapagliflozin Propanediol (confirm)</t>
        </is>
      </c>
      <c r="P27" s="10" t="n">
        <v>12.18</v>
      </c>
      <c r="Q27" s="10" t="inlineStr">
        <is>
          <t>ID</t>
        </is>
      </c>
      <c r="R27" s="10" t="inlineStr">
        <is>
          <t>ROI / ash, Melting</t>
        </is>
      </c>
    </row>
    <row r="28">
      <c r="A28" s="10" t="inlineStr">
        <is>
          <t>Devil's Claw Dry Extract 6:1</t>
        </is>
      </c>
      <c r="B28" s="10" t="inlineStr">
        <is>
          <t>Active</t>
        </is>
      </c>
      <c r="C28" s="10" t="n">
        <v>1</v>
      </c>
      <c r="D28" s="5" t="n"/>
      <c r="E28" s="5" t="n"/>
      <c r="F28" s="10" t="n"/>
      <c r="G28" s="5" t="n"/>
      <c r="H28" s="5" t="n"/>
      <c r="I28" s="5" t="n"/>
      <c r="J28" s="5" t="n"/>
      <c r="K28" s="10" t="inlineStr">
        <is>
          <t>Master list</t>
        </is>
      </c>
      <c r="L28" s="5" t="n"/>
      <c r="M28" s="5" t="n"/>
      <c r="N28" s="10" t="inlineStr">
        <is>
          <t>Harpagophytum Procombens (Devils Claw Ext.) Dry Conc 6:1</t>
        </is>
      </c>
      <c r="O28" s="10" t="inlineStr">
        <is>
          <t>None - in-house / supplier spec</t>
        </is>
      </c>
      <c r="P28" s="10" t="n">
        <v>3.57</v>
      </c>
      <c r="Q28" s="10" t="n"/>
      <c r="R28" s="10" t="n"/>
    </row>
    <row r="29">
      <c r="A29" s="10" t="inlineStr">
        <is>
          <t>Dexlansoprazole Pellets 20%</t>
        </is>
      </c>
      <c r="B29" s="10" t="inlineStr">
        <is>
          <t>Active</t>
        </is>
      </c>
      <c r="C29" s="10" t="n">
        <v>2</v>
      </c>
      <c r="D29" s="5" t="n"/>
      <c r="E29" s="5" t="n"/>
      <c r="F29" s="10" t="n"/>
      <c r="G29" s="5" t="n"/>
      <c r="H29" s="5" t="n"/>
      <c r="I29" s="5" t="n"/>
      <c r="J29" s="5" t="n"/>
      <c r="K29" s="10" t="inlineStr">
        <is>
          <t>Master list</t>
        </is>
      </c>
      <c r="L29" s="5" t="n"/>
      <c r="M29" s="5" t="n"/>
      <c r="N29" s="10" t="n"/>
      <c r="O29" s="10" t="inlineStr">
        <is>
          <t>None - in-house / supplier spec</t>
        </is>
      </c>
      <c r="P29" s="10" t="n"/>
      <c r="Q29" s="10" t="n"/>
      <c r="R29" s="10" t="n"/>
    </row>
    <row r="30">
      <c r="A30" s="10" t="inlineStr">
        <is>
          <t>Dextromethorphan HBr</t>
        </is>
      </c>
      <c r="B30" s="10" t="inlineStr">
        <is>
          <t>Active</t>
        </is>
      </c>
      <c r="C30" s="10" t="n">
        <v>2</v>
      </c>
      <c r="D30" s="5" t="n"/>
      <c r="E30" s="5" t="n"/>
      <c r="F30" s="10" t="n"/>
      <c r="G30" s="5" t="n"/>
      <c r="H30" s="5" t="n"/>
      <c r="I30" s="5" t="n"/>
      <c r="J30" s="5" t="n"/>
      <c r="K30" s="10" t="inlineStr">
        <is>
          <t>Master list</t>
        </is>
      </c>
      <c r="L30" s="5" t="n"/>
      <c r="M30" s="5" t="n"/>
      <c r="N30" s="10" t="inlineStr">
        <is>
          <t>Dextromethorphan</t>
        </is>
      </c>
      <c r="O30" s="10" t="inlineStr">
        <is>
          <t>Dextromethorphan Hydrobromide (confirm)</t>
        </is>
      </c>
      <c r="P30" s="10" t="n">
        <v>6.93</v>
      </c>
      <c r="Q30" s="10" t="inlineStr">
        <is>
          <t>ID, pH</t>
        </is>
      </c>
      <c r="R30" s="10" t="inlineStr">
        <is>
          <t>Impurities, Optical rotation, Melting</t>
        </is>
      </c>
    </row>
    <row r="31">
      <c r="A31" s="10" t="inlineStr">
        <is>
          <t>Diphenhydramine HCl</t>
        </is>
      </c>
      <c r="B31" s="10" t="inlineStr">
        <is>
          <t>Active</t>
        </is>
      </c>
      <c r="C31" s="10" t="n">
        <v>2</v>
      </c>
      <c r="D31" s="5" t="n"/>
      <c r="E31" s="5" t="n"/>
      <c r="F31" s="10" t="n"/>
      <c r="G31" s="5" t="n"/>
      <c r="H31" s="5" t="n"/>
      <c r="I31" s="5" t="n"/>
      <c r="J31" s="5" t="n"/>
      <c r="K31" s="10" t="inlineStr">
        <is>
          <t>Master list</t>
        </is>
      </c>
      <c r="L31" s="5" t="n"/>
      <c r="M31" s="5" t="n"/>
      <c r="N31" s="10" t="inlineStr">
        <is>
          <t>Diphenhydramine; Diphenhydramine HCL</t>
        </is>
      </c>
      <c r="O31" s="10" t="inlineStr">
        <is>
          <t>Diphenhydramine Hydrochloride (confirm)</t>
        </is>
      </c>
      <c r="P31" s="10" t="n">
        <v>16.68</v>
      </c>
      <c r="Q31" s="10" t="inlineStr">
        <is>
          <t>-</t>
        </is>
      </c>
      <c r="R31" s="10" t="inlineStr">
        <is>
          <t>-</t>
        </is>
      </c>
    </row>
    <row r="32">
      <c r="A32" s="10" t="inlineStr">
        <is>
          <t>dl-Alpha Tocopheryl Acetate 50% (Vitamin E)</t>
        </is>
      </c>
      <c r="B32" s="10" t="inlineStr">
        <is>
          <t>Active</t>
        </is>
      </c>
      <c r="C32" s="10" t="n">
        <v>4</v>
      </c>
      <c r="D32" s="5" t="n"/>
      <c r="E32" s="5" t="n"/>
      <c r="F32" s="10" t="n"/>
      <c r="G32" s="5" t="n"/>
      <c r="H32" s="5" t="n"/>
      <c r="I32" s="5" t="n"/>
      <c r="J32" s="5" t="n"/>
      <c r="K32" s="10" t="inlineStr">
        <is>
          <t>Master list</t>
        </is>
      </c>
      <c r="L32" s="5" t="n"/>
      <c r="M32" s="5" t="n"/>
      <c r="N32" s="10" t="n"/>
      <c r="O32" s="10" t="inlineStr">
        <is>
          <t>Vitamin E Preparation (confirm)</t>
        </is>
      </c>
      <c r="P32" s="10" t="n"/>
      <c r="Q32" s="10" t="n"/>
      <c r="R32" s="10" t="n"/>
    </row>
    <row r="33">
      <c r="A33" s="10" t="inlineStr">
        <is>
          <t>Echinacea Purpurea Dry Extract</t>
        </is>
      </c>
      <c r="B33" s="10" t="inlineStr">
        <is>
          <t>Active</t>
        </is>
      </c>
      <c r="C33" s="10" t="n">
        <v>2</v>
      </c>
      <c r="D33" s="5" t="n"/>
      <c r="E33" s="5" t="n"/>
      <c r="F33" s="10" t="n"/>
      <c r="G33" s="5" t="n"/>
      <c r="H33" s="5" t="n"/>
      <c r="I33" s="5" t="n"/>
      <c r="J33" s="5" t="n"/>
      <c r="K33" s="10" t="inlineStr">
        <is>
          <t>Master list</t>
        </is>
      </c>
      <c r="L33" s="5" t="n"/>
      <c r="M33" s="5" t="n"/>
      <c r="N33" s="10" t="inlineStr">
        <is>
          <t>Echinacea</t>
        </is>
      </c>
      <c r="O33" s="10" t="inlineStr">
        <is>
          <t>Powdered Echinacea purpurea Extract (confirm)</t>
        </is>
      </c>
      <c r="P33" s="10" t="n">
        <v>11.07</v>
      </c>
      <c r="Q33" s="10" t="inlineStr">
        <is>
          <t>Impurities</t>
        </is>
      </c>
      <c r="R33" s="10" t="inlineStr">
        <is>
          <t>ROI / ash</t>
        </is>
      </c>
    </row>
    <row r="34">
      <c r="A34" s="10" t="inlineStr">
        <is>
          <t>Empagliflozin</t>
        </is>
      </c>
      <c r="B34" s="10" t="inlineStr">
        <is>
          <t>Active</t>
        </is>
      </c>
      <c r="C34" s="10" t="n">
        <v>15</v>
      </c>
      <c r="D34" s="5" t="n"/>
      <c r="E34" s="5" t="n"/>
      <c r="F34" s="10" t="n"/>
      <c r="G34" s="5" t="n"/>
      <c r="H34" s="5" t="n"/>
      <c r="I34" s="5" t="n"/>
      <c r="J34" s="5" t="n"/>
      <c r="K34" s="10" t="inlineStr">
        <is>
          <t>Master list</t>
        </is>
      </c>
      <c r="L34" s="5" t="n"/>
      <c r="M34" s="5" t="n"/>
      <c r="N34" s="10" t="inlineStr">
        <is>
          <t>Empagliflozin (Alborz Pharmed); Empagliflozin (Morepen); Empagliflozin (Parsian); Empagliflozin (Tofigh Darou)</t>
        </is>
      </c>
      <c r="O34" s="10" t="inlineStr">
        <is>
          <t>None - in-house / supplier spec</t>
        </is>
      </c>
      <c r="P34" s="10" t="n">
        <v>18.43</v>
      </c>
      <c r="Q34" s="10" t="n"/>
      <c r="R34" s="10" t="n"/>
    </row>
    <row r="35">
      <c r="A35" s="10" t="inlineStr">
        <is>
          <t>Epimedium Grandiflorum (Horny Goat Weed) Dry Extract 20:1</t>
        </is>
      </c>
      <c r="B35" s="10" t="inlineStr">
        <is>
          <t>Active</t>
        </is>
      </c>
      <c r="C35" s="10" t="n">
        <v>2</v>
      </c>
      <c r="D35" s="5" t="n"/>
      <c r="E35" s="5" t="n"/>
      <c r="F35" s="10" t="n"/>
      <c r="G35" s="5" t="n"/>
      <c r="H35" s="5" t="n"/>
      <c r="I35" s="5" t="n"/>
      <c r="J35" s="5" t="n"/>
      <c r="K35" s="10" t="inlineStr">
        <is>
          <t>Master list</t>
        </is>
      </c>
      <c r="L35" s="5" t="n"/>
      <c r="M35" s="5" t="n"/>
      <c r="N35" s="10" t="inlineStr">
        <is>
          <t>Epimedium Grandiflorum (Horny Goat Weed Ext.) Dry Conc 20:1</t>
        </is>
      </c>
      <c r="O35" s="10" t="inlineStr">
        <is>
          <t>None - in-house / supplier spec</t>
        </is>
      </c>
      <c r="P35" s="10" t="n">
        <v>13.72</v>
      </c>
      <c r="Q35" s="10" t="n"/>
      <c r="R35" s="10" t="n"/>
    </row>
    <row r="36">
      <c r="A36" s="10" t="inlineStr">
        <is>
          <t>Ezetimibe</t>
        </is>
      </c>
      <c r="B36" s="10" t="inlineStr">
        <is>
          <t>Active</t>
        </is>
      </c>
      <c r="C36" s="10" t="n">
        <v>4</v>
      </c>
      <c r="D36" s="5" t="n"/>
      <c r="E36" s="5" t="n"/>
      <c r="F36" s="10" t="n"/>
      <c r="G36" s="5" t="n"/>
      <c r="H36" s="5" t="n"/>
      <c r="I36" s="5" t="n"/>
      <c r="J36" s="5" t="n"/>
      <c r="K36" s="10" t="inlineStr">
        <is>
          <t>Master list</t>
        </is>
      </c>
      <c r="L36" s="5" t="n"/>
      <c r="M36" s="5" t="n"/>
      <c r="N36" s="10" t="inlineStr">
        <is>
          <t>Ezetimibe (Chanyoo)</t>
        </is>
      </c>
      <c r="O36" s="10" t="inlineStr">
        <is>
          <t>Ezetimibe</t>
        </is>
      </c>
      <c r="P36" s="10" t="n">
        <v>1.93</v>
      </c>
      <c r="Q36" s="10" t="inlineStr">
        <is>
          <t>ID</t>
        </is>
      </c>
      <c r="R36" s="10" t="inlineStr">
        <is>
          <t>-</t>
        </is>
      </c>
    </row>
    <row r="37">
      <c r="A37" s="10" t="inlineStr">
        <is>
          <t>Fennel Dry Extract 5:1</t>
        </is>
      </c>
      <c r="B37" s="10" t="inlineStr">
        <is>
          <t>Active</t>
        </is>
      </c>
      <c r="C37" s="10" t="n">
        <v>2</v>
      </c>
      <c r="D37" s="5" t="n"/>
      <c r="E37" s="5" t="n"/>
      <c r="F37" s="10" t="n"/>
      <c r="G37" s="5" t="n"/>
      <c r="H37" s="5" t="n"/>
      <c r="I37" s="5" t="n"/>
      <c r="J37" s="5" t="n"/>
      <c r="K37" s="10" t="inlineStr">
        <is>
          <t>Master list</t>
        </is>
      </c>
      <c r="L37" s="5" t="n"/>
      <c r="M37" s="5" t="n"/>
      <c r="N37" s="10" t="inlineStr">
        <is>
          <t>Funiculum Vulgaris (Fennel Ext.) Dry Conc 5:1</t>
        </is>
      </c>
      <c r="O37" s="10" t="inlineStr">
        <is>
          <t>None - in-house / supplier spec</t>
        </is>
      </c>
      <c r="P37" s="10" t="n">
        <v>3.57</v>
      </c>
      <c r="Q37" s="10" t="n"/>
      <c r="R37" s="10" t="n"/>
    </row>
    <row r="38">
      <c r="A38" s="10" t="inlineStr">
        <is>
          <t>Ferrous Bisglycinate</t>
        </is>
      </c>
      <c r="B38" s="10" t="inlineStr">
        <is>
          <t>Active</t>
        </is>
      </c>
      <c r="C38" s="10" t="n">
        <v>2</v>
      </c>
      <c r="D38" s="5" t="n"/>
      <c r="E38" s="5" t="n"/>
      <c r="F38" s="10" t="n"/>
      <c r="G38" s="5" t="n"/>
      <c r="H38" s="5" t="n"/>
      <c r="I38" s="5" t="n"/>
      <c r="J38" s="5" t="n"/>
      <c r="K38" s="10" t="inlineStr">
        <is>
          <t>Master list</t>
        </is>
      </c>
      <c r="L38" s="5" t="n"/>
      <c r="M38" s="5" t="n"/>
      <c r="N38" s="10" t="inlineStr">
        <is>
          <t>Ferrous BisGlycinate 20%</t>
        </is>
      </c>
      <c r="O38" s="10" t="inlineStr">
        <is>
          <t>None - in-house / supplier spec</t>
        </is>
      </c>
      <c r="P38" s="10" t="n"/>
      <c r="Q38" s="10" t="n"/>
      <c r="R38" s="10" t="n"/>
    </row>
    <row r="39">
      <c r="A39" s="10" t="inlineStr">
        <is>
          <t>Ferrous Fumarate</t>
        </is>
      </c>
      <c r="B39" s="10" t="inlineStr">
        <is>
          <t>Active</t>
        </is>
      </c>
      <c r="C39" s="10" t="n">
        <v>3</v>
      </c>
      <c r="D39" s="5" t="n"/>
      <c r="E39" s="5" t="n"/>
      <c r="F39" s="10" t="n"/>
      <c r="G39" s="5" t="n"/>
      <c r="H39" s="5" t="n"/>
      <c r="I39" s="5" t="n"/>
      <c r="J39" s="5" t="n"/>
      <c r="K39" s="10" t="inlineStr">
        <is>
          <t>Master list</t>
        </is>
      </c>
      <c r="L39" s="5" t="n"/>
      <c r="M39" s="5" t="n"/>
      <c r="N39" s="10" t="n"/>
      <c r="O39" s="10" t="inlineStr">
        <is>
          <t>Ferrous Fumarate</t>
        </is>
      </c>
      <c r="P39" s="10" t="n">
        <v>19.6</v>
      </c>
      <c r="Q39" s="10" t="inlineStr">
        <is>
          <t>Heavy metals / elements</t>
        </is>
      </c>
      <c r="R39" s="10" t="inlineStr">
        <is>
          <t>-</t>
        </is>
      </c>
    </row>
    <row r="40">
      <c r="A40" s="10" t="inlineStr">
        <is>
          <t>Finerenone</t>
        </is>
      </c>
      <c r="B40" s="10" t="inlineStr">
        <is>
          <t>Active</t>
        </is>
      </c>
      <c r="C40" s="10" t="n">
        <v>2</v>
      </c>
      <c r="D40" s="5" t="n"/>
      <c r="E40" s="5" t="n"/>
      <c r="F40" s="10" t="n"/>
      <c r="G40" s="5" t="n"/>
      <c r="H40" s="5" t="n"/>
      <c r="I40" s="5" t="n"/>
      <c r="J40" s="5" t="n"/>
      <c r="K40" s="10" t="inlineStr">
        <is>
          <t>Master list</t>
        </is>
      </c>
      <c r="L40" s="5" t="n"/>
      <c r="M40" s="5" t="n"/>
      <c r="N40" s="10" t="n"/>
      <c r="O40" s="10" t="inlineStr">
        <is>
          <t>None - in-house / supplier spec</t>
        </is>
      </c>
      <c r="P40" s="10" t="n"/>
      <c r="Q40" s="10" t="n"/>
      <c r="R40" s="10" t="n"/>
    </row>
    <row r="41">
      <c r="A41" s="10" t="inlineStr">
        <is>
          <t>Fluticasone Propionate</t>
        </is>
      </c>
      <c r="B41" s="10" t="inlineStr">
        <is>
          <t>Active</t>
        </is>
      </c>
      <c r="C41" s="10" t="n">
        <v>1</v>
      </c>
      <c r="D41" s="5" t="n"/>
      <c r="E41" s="5" t="n"/>
      <c r="F41" s="10" t="n"/>
      <c r="G41" s="5" t="n"/>
      <c r="H41" s="5" t="n"/>
      <c r="I41" s="5" t="n"/>
      <c r="J41" s="5" t="n"/>
      <c r="K41" s="10" t="inlineStr">
        <is>
          <t>Master list</t>
        </is>
      </c>
      <c r="L41" s="5" t="n"/>
      <c r="M41" s="5" t="n"/>
      <c r="N41" s="10" t="inlineStr">
        <is>
          <t>Fluticasone Propionate Micronized</t>
        </is>
      </c>
      <c r="O41" s="10" t="inlineStr">
        <is>
          <t>Fluticasone Propionate</t>
        </is>
      </c>
      <c r="P41" s="10" t="n">
        <v>19.35</v>
      </c>
      <c r="Q41" s="10" t="inlineStr">
        <is>
          <t>ID</t>
        </is>
      </c>
      <c r="R41" s="10" t="inlineStr">
        <is>
          <t>-</t>
        </is>
      </c>
    </row>
    <row r="42">
      <c r="A42" s="10" t="inlineStr">
        <is>
          <t>Folic Acid (Vitamin B9)</t>
        </is>
      </c>
      <c r="B42" s="10" t="inlineStr">
        <is>
          <t>Active</t>
        </is>
      </c>
      <c r="C42" s="10" t="n">
        <v>7</v>
      </c>
      <c r="D42" s="5" t="n"/>
      <c r="E42" s="5" t="n"/>
      <c r="F42" s="10" t="n"/>
      <c r="G42" s="5" t="n"/>
      <c r="H42" s="5" t="n"/>
      <c r="I42" s="5" t="n"/>
      <c r="J42" s="5" t="n"/>
      <c r="K42" s="10" t="inlineStr">
        <is>
          <t>Master list</t>
        </is>
      </c>
      <c r="L42" s="5" t="n"/>
      <c r="M42" s="5" t="n"/>
      <c r="N42" s="10" t="inlineStr">
        <is>
          <t>Folic Acid; Folic Acid 10% Powder; Folic Acid 10% with Maltodextrin; Vitamin B9(Folic Acid)</t>
        </is>
      </c>
      <c r="O42" s="10" t="inlineStr">
        <is>
          <t>Folic Acid</t>
        </is>
      </c>
      <c r="P42" s="10" t="n"/>
      <c r="Q42" s="10" t="n"/>
      <c r="R42" s="10" t="n"/>
    </row>
    <row r="43">
      <c r="A43" s="10" t="inlineStr">
        <is>
          <t>Garcinia Cambogia Fruit Dry Extract 6:1</t>
        </is>
      </c>
      <c r="B43" s="10" t="inlineStr">
        <is>
          <t>Active</t>
        </is>
      </c>
      <c r="C43" s="10" t="n">
        <v>1</v>
      </c>
      <c r="D43" s="5" t="n"/>
      <c r="E43" s="5" t="n"/>
      <c r="F43" s="10" t="n"/>
      <c r="G43" s="5" t="n"/>
      <c r="H43" s="5" t="n"/>
      <c r="I43" s="5" t="n"/>
      <c r="J43" s="5" t="n"/>
      <c r="K43" s="10" t="inlineStr">
        <is>
          <t>Master list</t>
        </is>
      </c>
      <c r="L43" s="5" t="n"/>
      <c r="M43" s="5" t="n"/>
      <c r="N43" s="10" t="inlineStr">
        <is>
          <t>Garcinia Quaesita (Garcinia Ext.) Dry Conc 6:1</t>
        </is>
      </c>
      <c r="O43" s="10" t="inlineStr">
        <is>
          <t>Powdered Garcinia Hydroxycitrate Extract (confirm)</t>
        </is>
      </c>
      <c r="P43" s="10" t="n">
        <v>9.32</v>
      </c>
      <c r="Q43" s="10" t="inlineStr">
        <is>
          <t>ID, Impurities, LOD, ROI / ash</t>
        </is>
      </c>
      <c r="R43" s="10" t="inlineStr">
        <is>
          <t>Water (KF)</t>
        </is>
      </c>
    </row>
    <row r="44">
      <c r="A44" s="10" t="inlineStr">
        <is>
          <t>Gentian Dry Extract 4:1</t>
        </is>
      </c>
      <c r="B44" s="10" t="inlineStr">
        <is>
          <t>Active</t>
        </is>
      </c>
      <c r="C44" s="10" t="n">
        <v>2</v>
      </c>
      <c r="D44" s="5" t="n"/>
      <c r="E44" s="5" t="n"/>
      <c r="F44" s="10" t="n"/>
      <c r="G44" s="5" t="n"/>
      <c r="H44" s="5" t="n"/>
      <c r="I44" s="5" t="n"/>
      <c r="J44" s="5" t="n"/>
      <c r="K44" s="10" t="inlineStr">
        <is>
          <t>Master list</t>
        </is>
      </c>
      <c r="L44" s="5" t="n"/>
      <c r="M44" s="5" t="n"/>
      <c r="N44" s="10" t="inlineStr">
        <is>
          <t>Gentiana Lutea (Gentian Ext.) Dry Conc 4:1</t>
        </is>
      </c>
      <c r="O44" s="10" t="inlineStr">
        <is>
          <t>None - in-house / supplier spec</t>
        </is>
      </c>
      <c r="P44" s="10" t="n">
        <v>3.57</v>
      </c>
      <c r="Q44" s="10" t="n"/>
      <c r="R44" s="10" t="n"/>
    </row>
    <row r="45">
      <c r="A45" s="10" t="inlineStr">
        <is>
          <t>Ginger Dry Extract 10:1</t>
        </is>
      </c>
      <c r="B45" s="10" t="inlineStr">
        <is>
          <t>Active</t>
        </is>
      </c>
      <c r="C45" s="10" t="n">
        <v>2</v>
      </c>
      <c r="D45" s="5" t="n"/>
      <c r="E45" s="5" t="n"/>
      <c r="F45" s="10" t="n"/>
      <c r="G45" s="5" t="n"/>
      <c r="H45" s="5" t="n"/>
      <c r="I45" s="5" t="n"/>
      <c r="J45" s="5" t="n"/>
      <c r="K45" s="10" t="inlineStr">
        <is>
          <t>Master list</t>
        </is>
      </c>
      <c r="L45" s="5" t="n"/>
      <c r="M45" s="5" t="n"/>
      <c r="N45" s="10" t="n"/>
      <c r="O45" s="10" t="inlineStr">
        <is>
          <t>None - in-house / supplier spec</t>
        </is>
      </c>
      <c r="P45" s="10" t="n"/>
      <c r="Q45" s="10" t="n"/>
      <c r="R45" s="10" t="n"/>
    </row>
    <row r="46">
      <c r="A46" s="10" t="inlineStr">
        <is>
          <t>Ginger Dry Extract 5:1</t>
        </is>
      </c>
      <c r="B46" s="10" t="inlineStr">
        <is>
          <t>Active</t>
        </is>
      </c>
      <c r="C46" s="10" t="n">
        <v>1</v>
      </c>
      <c r="D46" s="5" t="n"/>
      <c r="E46" s="5" t="n"/>
      <c r="F46" s="10" t="n"/>
      <c r="G46" s="5" t="n"/>
      <c r="H46" s="5" t="n"/>
      <c r="I46" s="5" t="n"/>
      <c r="J46" s="5" t="n"/>
      <c r="K46" s="10" t="inlineStr">
        <is>
          <t>Master list</t>
        </is>
      </c>
      <c r="L46" s="5" t="n"/>
      <c r="M46" s="5" t="n"/>
      <c r="N46" s="10" t="inlineStr">
        <is>
          <t>Zingiber Officinals (Ginger Ext.) Dry Conc 5:1</t>
        </is>
      </c>
      <c r="O46" s="10" t="inlineStr">
        <is>
          <t>None - in-house / supplier spec</t>
        </is>
      </c>
      <c r="P46" s="10" t="n">
        <v>3.57</v>
      </c>
      <c r="Q46" s="10" t="n"/>
      <c r="R46" s="10" t="n"/>
    </row>
    <row r="47">
      <c r="A47" s="10" t="inlineStr">
        <is>
          <t>Ginkgo Biloba Leaf Dry Extract 50:1</t>
        </is>
      </c>
      <c r="B47" s="10" t="inlineStr">
        <is>
          <t>Active</t>
        </is>
      </c>
      <c r="C47" s="10" t="n">
        <v>1</v>
      </c>
      <c r="D47" s="5" t="n"/>
      <c r="E47" s="5" t="n"/>
      <c r="F47" s="10" t="n"/>
      <c r="G47" s="5" t="n"/>
      <c r="H47" s="5" t="n"/>
      <c r="I47" s="5" t="n"/>
      <c r="J47" s="5" t="n"/>
      <c r="K47" s="10" t="inlineStr">
        <is>
          <t>Master list</t>
        </is>
      </c>
      <c r="L47" s="5" t="n"/>
      <c r="M47" s="5" t="n"/>
      <c r="N47" s="10" t="inlineStr">
        <is>
          <t>Gink Biloba (GinKgo Ext.) Dry Conc 50:1</t>
        </is>
      </c>
      <c r="O47" s="10" t="inlineStr">
        <is>
          <t>Powdered Ginkgo Extract (confirm)</t>
        </is>
      </c>
      <c r="P47" s="10" t="n">
        <v>14.23</v>
      </c>
      <c r="Q47" s="10" t="inlineStr">
        <is>
          <t>-</t>
        </is>
      </c>
      <c r="R47" s="10" t="inlineStr">
        <is>
          <t>ROI / ash</t>
        </is>
      </c>
    </row>
    <row r="48">
      <c r="A48" s="10" t="inlineStr">
        <is>
          <t>Ginseng Panax</t>
        </is>
      </c>
      <c r="B48" s="10" t="inlineStr">
        <is>
          <t>Active</t>
        </is>
      </c>
      <c r="C48" s="10" t="n">
        <v>1</v>
      </c>
      <c r="D48" s="5" t="n"/>
      <c r="E48" s="5" t="n"/>
      <c r="F48" s="10" t="n"/>
      <c r="G48" s="5" t="n"/>
      <c r="H48" s="5" t="n"/>
      <c r="I48" s="5" t="n"/>
      <c r="J48" s="5" t="n"/>
      <c r="K48" s="10" t="inlineStr">
        <is>
          <t>Master list</t>
        </is>
      </c>
      <c r="L48" s="5" t="n"/>
      <c r="M48" s="5" t="n"/>
      <c r="N48" s="10" t="n"/>
      <c r="O48" s="10" t="inlineStr">
        <is>
          <t>None - in-house / supplier spec</t>
        </is>
      </c>
      <c r="P48" s="10" t="n"/>
      <c r="Q48" s="10" t="n"/>
      <c r="R48" s="10" t="n"/>
    </row>
    <row r="49">
      <c r="A49" s="10" t="inlineStr">
        <is>
          <t>Gymnema Sylvestre Leaf Dry Extract 10:1</t>
        </is>
      </c>
      <c r="B49" s="10" t="inlineStr">
        <is>
          <t>Active</t>
        </is>
      </c>
      <c r="C49" s="10" t="n">
        <v>1</v>
      </c>
      <c r="D49" s="5" t="n"/>
      <c r="E49" s="5" t="n"/>
      <c r="F49" s="10" t="n"/>
      <c r="G49" s="5" t="n"/>
      <c r="H49" s="5" t="n"/>
      <c r="I49" s="5" t="n"/>
      <c r="J49" s="5" t="n"/>
      <c r="K49" s="10" t="inlineStr">
        <is>
          <t>Master list</t>
        </is>
      </c>
      <c r="L49" s="5" t="n"/>
      <c r="M49" s="5" t="n"/>
      <c r="N49" s="10" t="inlineStr">
        <is>
          <t>Gymnema Sylvestre Leaf (Gymnema Ext.) Dry Conc 10:1</t>
        </is>
      </c>
      <c r="O49" s="10" t="inlineStr">
        <is>
          <t>Native Gymnema Extract (confirm)</t>
        </is>
      </c>
      <c r="P49" s="10" t="n">
        <v>5.07</v>
      </c>
      <c r="Q49" s="10" t="inlineStr">
        <is>
          <t>Assay</t>
        </is>
      </c>
      <c r="R49" s="10" t="inlineStr">
        <is>
          <t>-</t>
        </is>
      </c>
    </row>
    <row r="50">
      <c r="A50" s="10" t="inlineStr">
        <is>
          <t>Hydrochlorothiazide</t>
        </is>
      </c>
      <c r="B50" s="10" t="inlineStr">
        <is>
          <t>Active</t>
        </is>
      </c>
      <c r="C50" s="10" t="n">
        <v>3</v>
      </c>
      <c r="D50" s="5" t="n"/>
      <c r="E50" s="5" t="n"/>
      <c r="F50" s="10" t="n"/>
      <c r="G50" s="5" t="n"/>
      <c r="H50" s="5" t="n"/>
      <c r="I50" s="5" t="n"/>
      <c r="J50" s="5" t="n"/>
      <c r="K50" s="10" t="inlineStr">
        <is>
          <t>Master list</t>
        </is>
      </c>
      <c r="L50" s="5" t="n"/>
      <c r="M50" s="5" t="n"/>
      <c r="N50" s="10" t="n"/>
      <c r="O50" s="10" t="inlineStr">
        <is>
          <t>Hydrochlorothiazide</t>
        </is>
      </c>
      <c r="P50" s="10" t="n">
        <v>14.35</v>
      </c>
      <c r="Q50" s="10" t="inlineStr">
        <is>
          <t>-</t>
        </is>
      </c>
      <c r="R50" s="10" t="inlineStr">
        <is>
          <t>-</t>
        </is>
      </c>
    </row>
    <row r="51">
      <c r="A51" s="10" t="inlineStr">
        <is>
          <t>Inositol (Vitamin B8)</t>
        </is>
      </c>
      <c r="B51" s="10" t="inlineStr">
        <is>
          <t>Active</t>
        </is>
      </c>
      <c r="C51" s="10" t="n">
        <v>4</v>
      </c>
      <c r="D51" s="5" t="n"/>
      <c r="E51" s="5" t="n"/>
      <c r="F51" s="10" t="n"/>
      <c r="G51" s="5" t="n"/>
      <c r="H51" s="5" t="n"/>
      <c r="I51" s="5" t="n"/>
      <c r="J51" s="5" t="n"/>
      <c r="K51" s="10" t="inlineStr">
        <is>
          <t>Master list</t>
        </is>
      </c>
      <c r="L51" s="5" t="n"/>
      <c r="M51" s="5" t="n"/>
      <c r="N51" s="10" t="inlineStr">
        <is>
          <t>Inositol; Vitamin B8 (Inositol); VITAMINB8(INOSITOL)</t>
        </is>
      </c>
      <c r="O51" s="10" t="inlineStr">
        <is>
          <t>Inositol</t>
        </is>
      </c>
      <c r="P51" s="10" t="n">
        <v>2.93</v>
      </c>
      <c r="Q51" s="10" t="inlineStr">
        <is>
          <t>ID, Assay, Impurities, Heavy metals / elements</t>
        </is>
      </c>
      <c r="R51" s="10" t="inlineStr">
        <is>
          <t>-</t>
        </is>
      </c>
    </row>
    <row r="52">
      <c r="A52" s="10" t="inlineStr">
        <is>
          <t>Juniper Communis Fruit Dry Extract 2:1</t>
        </is>
      </c>
      <c r="B52" s="10" t="inlineStr">
        <is>
          <t>Active</t>
        </is>
      </c>
      <c r="C52" s="10" t="n">
        <v>1</v>
      </c>
      <c r="D52" s="5" t="n"/>
      <c r="E52" s="5" t="n"/>
      <c r="F52" s="10" t="n"/>
      <c r="G52" s="5" t="n"/>
      <c r="H52" s="5" t="n"/>
      <c r="I52" s="5" t="n"/>
      <c r="J52" s="5" t="n"/>
      <c r="K52" s="10" t="inlineStr">
        <is>
          <t>Master list</t>
        </is>
      </c>
      <c r="L52" s="5" t="n"/>
      <c r="M52" s="5" t="n"/>
      <c r="N52" s="10" t="inlineStr">
        <is>
          <t>Juniper</t>
        </is>
      </c>
      <c r="O52" s="10" t="inlineStr">
        <is>
          <t>None - in-house / supplier spec</t>
        </is>
      </c>
      <c r="P52" s="10" t="n">
        <v>3.55</v>
      </c>
      <c r="Q52" s="10" t="n"/>
      <c r="R52" s="10" t="n"/>
    </row>
    <row r="53">
      <c r="A53" s="10" t="inlineStr">
        <is>
          <t>L-Arginine</t>
        </is>
      </c>
      <c r="B53" s="10" t="inlineStr">
        <is>
          <t>Active</t>
        </is>
      </c>
      <c r="C53" s="10" t="n">
        <v>5</v>
      </c>
      <c r="D53" s="5" t="n"/>
      <c r="E53" s="5" t="n"/>
      <c r="F53" s="10" t="n"/>
      <c r="G53" s="5" t="n"/>
      <c r="H53" s="5" t="n"/>
      <c r="I53" s="5" t="n"/>
      <c r="J53" s="5" t="n"/>
      <c r="K53" s="10" t="inlineStr">
        <is>
          <t>Master list</t>
        </is>
      </c>
      <c r="L53" s="5" t="n"/>
      <c r="M53" s="5" t="n"/>
      <c r="N53" s="10" t="n"/>
      <c r="O53" s="10" t="inlineStr">
        <is>
          <t>Arginine (confirm)</t>
        </is>
      </c>
      <c r="P53" s="10" t="n">
        <v>3.68</v>
      </c>
      <c r="Q53" s="10" t="inlineStr">
        <is>
          <t>ID</t>
        </is>
      </c>
      <c r="R53" s="10" t="inlineStr">
        <is>
          <t>Impurities</t>
        </is>
      </c>
    </row>
    <row r="54">
      <c r="A54" s="10" t="inlineStr">
        <is>
          <t>L-Carnitine (Base)</t>
        </is>
      </c>
      <c r="B54" s="10" t="inlineStr">
        <is>
          <t>Active</t>
        </is>
      </c>
      <c r="C54" s="10" t="n">
        <v>3</v>
      </c>
      <c r="D54" s="5" t="n"/>
      <c r="E54" s="5" t="n"/>
      <c r="F54" s="10" t="n"/>
      <c r="G54" s="5" t="n"/>
      <c r="H54" s="5" t="n"/>
      <c r="I54" s="5" t="n"/>
      <c r="J54" s="5" t="n"/>
      <c r="K54" s="10" t="inlineStr">
        <is>
          <t>Master list</t>
        </is>
      </c>
      <c r="L54" s="5" t="n"/>
      <c r="M54" s="5" t="n"/>
      <c r="N54" s="10" t="n"/>
      <c r="O54" s="10" t="inlineStr">
        <is>
          <t>Levocarnitine (confirm)</t>
        </is>
      </c>
      <c r="P54" s="10" t="n"/>
      <c r="Q54" s="10" t="n"/>
      <c r="R54" s="10" t="n"/>
    </row>
    <row r="55">
      <c r="A55" s="10" t="inlineStr">
        <is>
          <t>L-Citrulline</t>
        </is>
      </c>
      <c r="B55" s="10" t="inlineStr">
        <is>
          <t>Active</t>
        </is>
      </c>
      <c r="C55" s="10" t="n">
        <v>1</v>
      </c>
      <c r="D55" s="5" t="n"/>
      <c r="E55" s="5" t="n"/>
      <c r="F55" s="10" t="n"/>
      <c r="G55" s="5" t="n"/>
      <c r="H55" s="5" t="n"/>
      <c r="I55" s="5" t="n"/>
      <c r="J55" s="5" t="n"/>
      <c r="K55" s="10" t="inlineStr">
        <is>
          <t>Master list</t>
        </is>
      </c>
      <c r="L55" s="5" t="n"/>
      <c r="M55" s="5" t="n"/>
      <c r="N55" s="10" t="n"/>
      <c r="O55" s="10" t="inlineStr">
        <is>
          <t>Citrulline (confirm)</t>
        </is>
      </c>
      <c r="P55" s="10" t="n"/>
      <c r="Q55" s="10" t="n"/>
      <c r="R55" s="10" t="n"/>
    </row>
    <row r="56">
      <c r="A56" s="10" t="inlineStr">
        <is>
          <t>L-Cystine</t>
        </is>
      </c>
      <c r="B56" s="10" t="inlineStr">
        <is>
          <t>Active</t>
        </is>
      </c>
      <c r="C56" s="10" t="n">
        <v>1</v>
      </c>
      <c r="D56" s="5" t="n"/>
      <c r="E56" s="5" t="n"/>
      <c r="F56" s="10" t="n"/>
      <c r="G56" s="5" t="n"/>
      <c r="H56" s="5" t="n"/>
      <c r="I56" s="5" t="n"/>
      <c r="J56" s="5" t="n"/>
      <c r="K56" s="10" t="inlineStr">
        <is>
          <t>Master list</t>
        </is>
      </c>
      <c r="L56" s="5" t="n"/>
      <c r="M56" s="5" t="n"/>
      <c r="N56" s="10" t="n"/>
      <c r="O56" s="10" t="inlineStr">
        <is>
          <t>Cystine (confirm)</t>
        </is>
      </c>
      <c r="P56" s="10" t="n">
        <v>3.68</v>
      </c>
      <c r="Q56" s="10" t="inlineStr">
        <is>
          <t>ID</t>
        </is>
      </c>
      <c r="R56" s="10" t="inlineStr">
        <is>
          <t>LOD</t>
        </is>
      </c>
    </row>
    <row r="57">
      <c r="A57" s="10" t="inlineStr">
        <is>
          <t>Linagliptin</t>
        </is>
      </c>
      <c r="B57" s="10" t="inlineStr">
        <is>
          <t>Active</t>
        </is>
      </c>
      <c r="C57" s="10" t="n">
        <v>9</v>
      </c>
      <c r="D57" s="5" t="n"/>
      <c r="E57" s="5" t="n"/>
      <c r="F57" s="10" t="n"/>
      <c r="G57" s="5" t="n"/>
      <c r="H57" s="5" t="n"/>
      <c r="I57" s="5" t="n"/>
      <c r="J57" s="5" t="n"/>
      <c r="K57" s="10" t="inlineStr">
        <is>
          <t>Master list</t>
        </is>
      </c>
      <c r="L57" s="5" t="n"/>
      <c r="M57" s="5" t="n"/>
      <c r="N57" s="10" t="inlineStr">
        <is>
          <t>Linagliptin (Morepen); Linagliptin (Parsian)</t>
        </is>
      </c>
      <c r="O57" s="10" t="inlineStr">
        <is>
          <t>None - in-house / supplier spec</t>
        </is>
      </c>
      <c r="P57" s="10" t="n">
        <v>19.52</v>
      </c>
      <c r="Q57" s="10" t="n"/>
      <c r="R57" s="10" t="n"/>
    </row>
    <row r="58">
      <c r="A58" s="10" t="inlineStr">
        <is>
          <t>Liquorice Dry Extract 8:1</t>
        </is>
      </c>
      <c r="B58" s="10" t="inlineStr">
        <is>
          <t>Active</t>
        </is>
      </c>
      <c r="C58" s="10" t="n">
        <v>2</v>
      </c>
      <c r="D58" s="5" t="n"/>
      <c r="E58" s="5" t="n"/>
      <c r="F58" s="10" t="n"/>
      <c r="G58" s="5" t="n"/>
      <c r="H58" s="5" t="n"/>
      <c r="I58" s="5" t="n"/>
      <c r="J58" s="5" t="n"/>
      <c r="K58" s="10" t="inlineStr">
        <is>
          <t>Master list</t>
        </is>
      </c>
      <c r="L58" s="5" t="n"/>
      <c r="M58" s="5" t="n"/>
      <c r="N58" s="10" t="inlineStr">
        <is>
          <t>Glycyrrhiza Glabra (Liquorice Ext.) Dry Conc 8:1</t>
        </is>
      </c>
      <c r="O58" s="10" t="inlineStr">
        <is>
          <t>Powdered Licorice Extract (confirm)</t>
        </is>
      </c>
      <c r="P58" s="10" t="n">
        <v>8.68</v>
      </c>
      <c r="Q58" s="10" t="inlineStr">
        <is>
          <t>ID</t>
        </is>
      </c>
      <c r="R58" s="10" t="inlineStr">
        <is>
          <t>Water (KF), pH</t>
        </is>
      </c>
    </row>
    <row r="59">
      <c r="A59" s="10" t="inlineStr">
        <is>
          <t>Loperamide HCl</t>
        </is>
      </c>
      <c r="B59" s="10" t="inlineStr">
        <is>
          <t>Active</t>
        </is>
      </c>
      <c r="C59" s="10" t="n">
        <v>1</v>
      </c>
      <c r="D59" s="5" t="n"/>
      <c r="E59" s="5" t="n"/>
      <c r="F59" s="10" t="n"/>
      <c r="G59" s="5" t="n"/>
      <c r="H59" s="5" t="n"/>
      <c r="I59" s="5" t="n"/>
      <c r="J59" s="5" t="n"/>
      <c r="K59" s="10" t="inlineStr">
        <is>
          <t>Master list</t>
        </is>
      </c>
      <c r="L59" s="5" t="n"/>
      <c r="M59" s="5" t="n"/>
      <c r="N59" s="10" t="inlineStr">
        <is>
          <t>Lopromaide HCL</t>
        </is>
      </c>
      <c r="O59" s="10" t="inlineStr">
        <is>
          <t>Loperamide Hydrochloride (confirm)</t>
        </is>
      </c>
      <c r="P59" s="10" t="n">
        <v>8.43</v>
      </c>
      <c r="Q59" s="10" t="inlineStr">
        <is>
          <t>ID</t>
        </is>
      </c>
      <c r="R59" s="10" t="inlineStr">
        <is>
          <t>Melting</t>
        </is>
      </c>
    </row>
    <row r="60">
      <c r="A60" s="10" t="inlineStr">
        <is>
          <t>Magnesium Oxide Heavy</t>
        </is>
      </c>
      <c r="B60" s="10" t="inlineStr">
        <is>
          <t>Active</t>
        </is>
      </c>
      <c r="C60" s="10" t="n">
        <v>8</v>
      </c>
      <c r="D60" s="5" t="n"/>
      <c r="E60" s="5" t="n"/>
      <c r="F60" s="10" t="n"/>
      <c r="G60" s="5" t="n"/>
      <c r="H60" s="5" t="n"/>
      <c r="I60" s="5" t="n"/>
      <c r="J60" s="5" t="n"/>
      <c r="K60" s="10" t="inlineStr">
        <is>
          <t>Master list</t>
        </is>
      </c>
      <c r="L60" s="5" t="n"/>
      <c r="M60" s="5" t="n"/>
      <c r="N60" s="10" t="inlineStr">
        <is>
          <t>Heavy Magnesium Oxide; Magnesium Oxide (Heavy); Magnesium Oxide heavy</t>
        </is>
      </c>
      <c r="O60" s="10" t="inlineStr">
        <is>
          <t>Magnesium Oxide (confirm)</t>
        </is>
      </c>
      <c r="P60" s="10" t="n">
        <v>4.85</v>
      </c>
      <c r="Q60" s="10" t="inlineStr">
        <is>
          <t>ID</t>
        </is>
      </c>
      <c r="R60" s="10" t="inlineStr">
        <is>
          <t>Chloride / sulfate</t>
        </is>
      </c>
    </row>
    <row r="61">
      <c r="A61" s="10" t="inlineStr">
        <is>
          <t>Manganese Sulfate Monohydrate</t>
        </is>
      </c>
      <c r="B61" s="10" t="inlineStr">
        <is>
          <t>Active</t>
        </is>
      </c>
      <c r="C61" s="10" t="n">
        <v>3</v>
      </c>
      <c r="D61" s="5" t="n"/>
      <c r="E61" s="5" t="n"/>
      <c r="F61" s="10" t="n"/>
      <c r="G61" s="5" t="n"/>
      <c r="H61" s="5" t="n"/>
      <c r="I61" s="5" t="n"/>
      <c r="J61" s="5" t="n"/>
      <c r="K61" s="10" t="inlineStr">
        <is>
          <t>Master list</t>
        </is>
      </c>
      <c r="L61" s="5" t="n"/>
      <c r="M61" s="5" t="n"/>
      <c r="N61" s="10" t="n"/>
      <c r="O61" s="10" t="inlineStr">
        <is>
          <t>Manganese Sulfate (confirm)</t>
        </is>
      </c>
      <c r="P61" s="10" t="n">
        <v>4.02</v>
      </c>
      <c r="Q61" s="10" t="inlineStr">
        <is>
          <t>-</t>
        </is>
      </c>
      <c r="R61" s="10" t="inlineStr">
        <is>
          <t>-</t>
        </is>
      </c>
    </row>
    <row r="62">
      <c r="A62" s="10" t="inlineStr">
        <is>
          <t>Marshmallow Dry Extract 3:1</t>
        </is>
      </c>
      <c r="B62" s="10" t="inlineStr">
        <is>
          <t>Active</t>
        </is>
      </c>
      <c r="C62" s="10" t="n">
        <v>2</v>
      </c>
      <c r="D62" s="5" t="n"/>
      <c r="E62" s="5" t="n"/>
      <c r="F62" s="10" t="n"/>
      <c r="G62" s="5" t="n"/>
      <c r="H62" s="5" t="n"/>
      <c r="I62" s="5" t="n"/>
      <c r="J62" s="5" t="n"/>
      <c r="K62" s="10" t="inlineStr">
        <is>
          <t>Master list</t>
        </is>
      </c>
      <c r="L62" s="5" t="n"/>
      <c r="M62" s="5" t="n"/>
      <c r="N62" s="10" t="n"/>
      <c r="O62" s="10" t="inlineStr">
        <is>
          <t>None - in-house / supplier spec</t>
        </is>
      </c>
      <c r="P62" s="10" t="n"/>
      <c r="Q62" s="10" t="n"/>
      <c r="R62" s="10" t="n"/>
    </row>
    <row r="63">
      <c r="A63" s="10" t="inlineStr">
        <is>
          <t>Metformin Hydrochloride</t>
        </is>
      </c>
      <c r="B63" s="10" t="inlineStr">
        <is>
          <t>Active</t>
        </is>
      </c>
      <c r="C63" s="10" t="n">
        <v>13</v>
      </c>
      <c r="D63" s="5" t="n"/>
      <c r="E63" s="5" t="n"/>
      <c r="F63" s="10" t="n"/>
      <c r="G63" s="5" t="n"/>
      <c r="H63" s="5" t="n"/>
      <c r="I63" s="5" t="n"/>
      <c r="J63" s="5" t="n"/>
      <c r="K63" s="10" t="inlineStr">
        <is>
          <t>Master list</t>
        </is>
      </c>
      <c r="L63" s="5" t="n"/>
      <c r="M63" s="5" t="n"/>
      <c r="N63" s="10" t="inlineStr">
        <is>
          <t>Metformin; Metformin Hydrochloride (Kimiagaran Emrouz); Metformin Hydrochloride (Mahban Chemi)</t>
        </is>
      </c>
      <c r="O63" s="10" t="inlineStr">
        <is>
          <t>Metformin Hydrochloride</t>
        </is>
      </c>
      <c r="P63" s="10" t="n">
        <v>15.77</v>
      </c>
      <c r="Q63" s="10" t="inlineStr">
        <is>
          <t>-</t>
        </is>
      </c>
      <c r="R63" s="10" t="inlineStr">
        <is>
          <t>-</t>
        </is>
      </c>
    </row>
    <row r="64">
      <c r="A64" s="10" t="inlineStr">
        <is>
          <t>Methionine</t>
        </is>
      </c>
      <c r="B64" s="10" t="inlineStr">
        <is>
          <t>Active</t>
        </is>
      </c>
      <c r="C64" s="10" t="n">
        <v>1</v>
      </c>
      <c r="D64" s="5" t="n"/>
      <c r="E64" s="5" t="n"/>
      <c r="F64" s="10" t="n"/>
      <c r="G64" s="5" t="n"/>
      <c r="H64" s="5" t="n"/>
      <c r="I64" s="5" t="n"/>
      <c r="J64" s="5" t="n"/>
      <c r="K64" s="10" t="inlineStr">
        <is>
          <t>Master list</t>
        </is>
      </c>
      <c r="L64" s="5" t="n"/>
      <c r="M64" s="5" t="n"/>
      <c r="N64" s="10" t="inlineStr">
        <is>
          <t>L-Methionine</t>
        </is>
      </c>
      <c r="O64" s="10" t="inlineStr">
        <is>
          <t>Methionine</t>
        </is>
      </c>
      <c r="P64" s="10" t="n">
        <v>14.52</v>
      </c>
      <c r="Q64" s="10" t="inlineStr">
        <is>
          <t>ID, ROI / ash, Optical rotation</t>
        </is>
      </c>
      <c r="R64" s="10" t="inlineStr">
        <is>
          <t>-</t>
        </is>
      </c>
    </row>
    <row r="65">
      <c r="A65" s="10" t="inlineStr">
        <is>
          <t>Methyl Sulphonyl Methane (MSM)</t>
        </is>
      </c>
      <c r="B65" s="10" t="inlineStr">
        <is>
          <t>Active</t>
        </is>
      </c>
      <c r="C65" s="10" t="n">
        <v>1</v>
      </c>
      <c r="D65" s="5" t="n"/>
      <c r="E65" s="5" t="n"/>
      <c r="F65" s="10" t="n"/>
      <c r="G65" s="5" t="n"/>
      <c r="H65" s="5" t="n"/>
      <c r="I65" s="5" t="n"/>
      <c r="J65" s="5" t="n"/>
      <c r="K65" s="10" t="inlineStr">
        <is>
          <t>Master list</t>
        </is>
      </c>
      <c r="L65" s="5" t="n"/>
      <c r="M65" s="5" t="n"/>
      <c r="N65" s="10" t="inlineStr">
        <is>
          <t>Methyl Sulphonyl Methan 99.4% (MSM); Methyl Sulphonyl Methane</t>
        </is>
      </c>
      <c r="O65" s="10" t="inlineStr">
        <is>
          <t>Methylsulfonylmethane (confirm)</t>
        </is>
      </c>
      <c r="P65" s="10" t="n">
        <v>0.85</v>
      </c>
      <c r="Q65" s="10" t="inlineStr">
        <is>
          <t>ID, Assay, Impurities</t>
        </is>
      </c>
      <c r="R65" s="10" t="inlineStr">
        <is>
          <t>Water (KF)</t>
        </is>
      </c>
    </row>
    <row r="66">
      <c r="A66" s="10" t="inlineStr">
        <is>
          <t>Milk Thistle Dry Extract 70:1</t>
        </is>
      </c>
      <c r="B66" s="10" t="inlineStr">
        <is>
          <t>Active</t>
        </is>
      </c>
      <c r="C66" s="10" t="n">
        <v>3</v>
      </c>
      <c r="D66" s="5" t="n"/>
      <c r="E66" s="5" t="n"/>
      <c r="F66" s="10" t="n"/>
      <c r="G66" s="5" t="n"/>
      <c r="H66" s="5" t="n"/>
      <c r="I66" s="5" t="n"/>
      <c r="J66" s="5" t="n"/>
      <c r="K66" s="10" t="inlineStr">
        <is>
          <t>Master list</t>
        </is>
      </c>
      <c r="L66" s="5" t="n"/>
      <c r="M66" s="5" t="n"/>
      <c r="N66" s="10" t="inlineStr">
        <is>
          <t>Silybum Marianum (Milk Thistle Ext.) Dry Conc 70:1</t>
        </is>
      </c>
      <c r="O66" s="10" t="inlineStr">
        <is>
          <t>Powdered Milk Thistle Extract (confirm)</t>
        </is>
      </c>
      <c r="P66" s="10" t="n">
        <v>20.82</v>
      </c>
      <c r="Q66" s="10" t="inlineStr">
        <is>
          <t>-</t>
        </is>
      </c>
      <c r="R66" s="10" t="inlineStr">
        <is>
          <t>ROI / ash</t>
        </is>
      </c>
    </row>
    <row r="67">
      <c r="A67" s="10" t="inlineStr">
        <is>
          <t>Naproxen</t>
        </is>
      </c>
      <c r="B67" s="10" t="inlineStr">
        <is>
          <t>Active</t>
        </is>
      </c>
      <c r="C67" s="10" t="n">
        <v>1</v>
      </c>
      <c r="D67" s="5" t="n"/>
      <c r="E67" s="5" t="n"/>
      <c r="F67" s="10" t="n"/>
      <c r="G67" s="5" t="n"/>
      <c r="H67" s="5" t="n"/>
      <c r="I67" s="5" t="n"/>
      <c r="J67" s="5" t="n"/>
      <c r="K67" s="10" t="inlineStr">
        <is>
          <t>Master list</t>
        </is>
      </c>
      <c r="L67" s="5" t="n"/>
      <c r="M67" s="5" t="n"/>
      <c r="N67" s="10" t="n"/>
      <c r="O67" s="10" t="inlineStr">
        <is>
          <t>Naproxen</t>
        </is>
      </c>
      <c r="P67" s="10" t="n">
        <v>5.52</v>
      </c>
      <c r="Q67" s="10" t="inlineStr">
        <is>
          <t>-</t>
        </is>
      </c>
      <c r="R67" s="10" t="inlineStr">
        <is>
          <t>-</t>
        </is>
      </c>
    </row>
    <row r="68">
      <c r="A68" s="10" t="inlineStr">
        <is>
          <t>Nicotinamide (Vitamin B3)</t>
        </is>
      </c>
      <c r="B68" s="10" t="inlineStr">
        <is>
          <t>Active</t>
        </is>
      </c>
      <c r="C68" s="10" t="n">
        <v>10</v>
      </c>
      <c r="D68" s="5" t="n"/>
      <c r="E68" s="5" t="n"/>
      <c r="F68" s="10" t="n"/>
      <c r="G68" s="5" t="n"/>
      <c r="H68" s="5" t="n"/>
      <c r="I68" s="5" t="n"/>
      <c r="J68" s="5" t="n"/>
      <c r="K68" s="10" t="inlineStr">
        <is>
          <t>Master list</t>
        </is>
      </c>
      <c r="L68" s="5" t="n"/>
      <c r="M68" s="5" t="n"/>
      <c r="N68" s="10" t="inlineStr">
        <is>
          <t>Vitamin B3 (Nicothinamide); Vitamin B3 (Nicotinamide)</t>
        </is>
      </c>
      <c r="O68" s="10" t="inlineStr">
        <is>
          <t>Niacinamide (confirm)</t>
        </is>
      </c>
      <c r="P68" s="10" t="n">
        <v>9.68</v>
      </c>
      <c r="Q68" s="10" t="inlineStr">
        <is>
          <t>ID, LOD, ROI / ash</t>
        </is>
      </c>
      <c r="R68" s="10" t="inlineStr">
        <is>
          <t>Water (KF), Optical rotation</t>
        </is>
      </c>
    </row>
    <row r="69">
      <c r="A69" s="10" t="inlineStr">
        <is>
          <t>Nicotinamide Mononucleotide (NMN) Granule</t>
        </is>
      </c>
      <c r="B69" s="10" t="inlineStr">
        <is>
          <t>Active</t>
        </is>
      </c>
      <c r="C69" s="10" t="n">
        <v>1</v>
      </c>
      <c r="D69" s="5" t="n"/>
      <c r="E69" s="5" t="n"/>
      <c r="F69" s="10" t="n"/>
      <c r="G69" s="5" t="n"/>
      <c r="H69" s="5" t="n"/>
      <c r="I69" s="5" t="n"/>
      <c r="J69" s="5" t="n"/>
      <c r="K69" s="10" t="inlineStr">
        <is>
          <t>Master list</t>
        </is>
      </c>
      <c r="L69" s="5" t="n"/>
      <c r="M69" s="5" t="n"/>
      <c r="N69" s="10" t="inlineStr">
        <is>
          <t>Nicotinamide MonoNucleotide (NMN)</t>
        </is>
      </c>
      <c r="O69" s="10" t="inlineStr">
        <is>
          <t>None - in-house / supplier spec</t>
        </is>
      </c>
      <c r="P69" s="10" t="n"/>
      <c r="Q69" s="10" t="n"/>
      <c r="R69" s="10" t="n"/>
    </row>
    <row r="70">
      <c r="A70" s="10" t="inlineStr">
        <is>
          <t>Omega 3 Powder (from Flax Seed Dry Extract)</t>
        </is>
      </c>
      <c r="B70" s="10" t="inlineStr">
        <is>
          <t>Active</t>
        </is>
      </c>
      <c r="C70" s="10" t="n">
        <v>1</v>
      </c>
      <c r="D70" s="5" t="n"/>
      <c r="E70" s="5" t="n"/>
      <c r="F70" s="10" t="n"/>
      <c r="G70" s="5" t="n"/>
      <c r="H70" s="5" t="n"/>
      <c r="I70" s="5" t="n"/>
      <c r="J70" s="5" t="n"/>
      <c r="K70" s="10" t="inlineStr">
        <is>
          <t>Master list</t>
        </is>
      </c>
      <c r="L70" s="5" t="n"/>
      <c r="M70" s="5" t="n"/>
      <c r="N70" s="10" t="inlineStr">
        <is>
          <t>Omega 3 (Flaxed Oil)</t>
        </is>
      </c>
      <c r="O70" s="10" t="inlineStr">
        <is>
          <t>None - in-house / supplier spec</t>
        </is>
      </c>
      <c r="P70" s="10" t="n"/>
      <c r="Q70" s="10" t="n"/>
      <c r="R70" s="10" t="n"/>
    </row>
    <row r="71">
      <c r="A71" s="10" t="inlineStr">
        <is>
          <t>Ozanimod Hydrochloride</t>
        </is>
      </c>
      <c r="B71" s="10" t="inlineStr">
        <is>
          <t>Active</t>
        </is>
      </c>
      <c r="C71" s="10" t="n">
        <v>2</v>
      </c>
      <c r="D71" s="5" t="n"/>
      <c r="E71" s="5" t="n"/>
      <c r="F71" s="10" t="n"/>
      <c r="G71" s="5" t="n"/>
      <c r="H71" s="5" t="n"/>
      <c r="I71" s="5" t="n"/>
      <c r="J71" s="5" t="n"/>
      <c r="K71" s="10" t="inlineStr">
        <is>
          <t>Master list</t>
        </is>
      </c>
      <c r="L71" s="5" t="n"/>
      <c r="M71" s="5" t="n"/>
      <c r="N71" s="10" t="inlineStr">
        <is>
          <t>Ozanimod</t>
        </is>
      </c>
      <c r="O71" s="10" t="inlineStr">
        <is>
          <t>None - in-house / supplier spec</t>
        </is>
      </c>
      <c r="P71" s="10" t="n"/>
      <c r="Q71" s="10" t="n"/>
      <c r="R71" s="10" t="n"/>
    </row>
    <row r="72">
      <c r="A72" s="10" t="inlineStr">
        <is>
          <t>Panax Ginseng (Asian Ginseng) Dry Extract 3:1</t>
        </is>
      </c>
      <c r="B72" s="10" t="inlineStr">
        <is>
          <t>Active</t>
        </is>
      </c>
      <c r="C72" s="10" t="n">
        <v>2</v>
      </c>
      <c r="D72" s="5" t="n"/>
      <c r="E72" s="5" t="n"/>
      <c r="F72" s="10" t="n"/>
      <c r="G72" s="5" t="n"/>
      <c r="H72" s="5" t="n"/>
      <c r="I72" s="5" t="n"/>
      <c r="J72" s="5" t="n"/>
      <c r="K72" s="10" t="inlineStr">
        <is>
          <t>Master list</t>
        </is>
      </c>
      <c r="L72" s="5" t="n"/>
      <c r="M72" s="5" t="n"/>
      <c r="N72" s="10" t="inlineStr">
        <is>
          <t>Panax Ginseng (Korean Ginseng Ext.) Dry Conc 3:1</t>
        </is>
      </c>
      <c r="O72" s="10" t="inlineStr">
        <is>
          <t>Asian Ginseng Root and Rhizome Dry Extract (confirm)</t>
        </is>
      </c>
      <c r="P72" s="10" t="n">
        <v>14.72</v>
      </c>
      <c r="Q72" s="10" t="inlineStr">
        <is>
          <t>Water (KF)</t>
        </is>
      </c>
      <c r="R72" s="10" t="inlineStr">
        <is>
          <t>LOD, ROI / ash</t>
        </is>
      </c>
    </row>
    <row r="73">
      <c r="A73" s="10" t="inlineStr">
        <is>
          <t>Peppermint Dry Extract</t>
        </is>
      </c>
      <c r="B73" s="10" t="inlineStr">
        <is>
          <t>Active</t>
        </is>
      </c>
      <c r="C73" s="10" t="n">
        <v>2</v>
      </c>
      <c r="D73" s="5" t="n"/>
      <c r="E73" s="5" t="n"/>
      <c r="F73" s="10" t="n"/>
      <c r="G73" s="5" t="n"/>
      <c r="H73" s="5" t="n"/>
      <c r="I73" s="5" t="n"/>
      <c r="J73" s="5" t="n"/>
      <c r="K73" s="10" t="inlineStr">
        <is>
          <t>Master list</t>
        </is>
      </c>
      <c r="L73" s="5" t="n"/>
      <c r="M73" s="5" t="n"/>
      <c r="N73" s="10" t="n"/>
      <c r="O73" s="10" t="inlineStr">
        <is>
          <t>None - in-house / supplier spec</t>
        </is>
      </c>
      <c r="P73" s="10" t="n"/>
      <c r="Q73" s="10" t="n"/>
      <c r="R73" s="10" t="n"/>
    </row>
    <row r="74">
      <c r="A74" s="10" t="inlineStr">
        <is>
          <t>Phenylephrine HCl</t>
        </is>
      </c>
      <c r="B74" s="10" t="inlineStr">
        <is>
          <t>Active</t>
        </is>
      </c>
      <c r="C74" s="10" t="n">
        <v>6</v>
      </c>
      <c r="D74" s="5" t="n"/>
      <c r="E74" s="5" t="n"/>
      <c r="F74" s="10" t="n"/>
      <c r="G74" s="5" t="n"/>
      <c r="H74" s="5" t="n"/>
      <c r="I74" s="5" t="n"/>
      <c r="J74" s="5" t="n"/>
      <c r="K74" s="10" t="inlineStr">
        <is>
          <t>Master list</t>
        </is>
      </c>
      <c r="L74" s="5" t="n"/>
      <c r="M74" s="5" t="n"/>
      <c r="N74" s="10" t="n"/>
      <c r="O74" s="10" t="inlineStr">
        <is>
          <t>Phenylephrine Hydrochloride (confirm)</t>
        </is>
      </c>
      <c r="P74" s="10" t="n"/>
      <c r="Q74" s="10" t="n"/>
      <c r="R74" s="10" t="n"/>
    </row>
    <row r="75">
      <c r="A75" s="10" t="inlineStr">
        <is>
          <t>Potassium Iodide</t>
        </is>
      </c>
      <c r="B75" s="10" t="inlineStr">
        <is>
          <t>Active</t>
        </is>
      </c>
      <c r="C75" s="10" t="n">
        <v>3</v>
      </c>
      <c r="D75" s="5" t="n"/>
      <c r="E75" s="5" t="n"/>
      <c r="F75" s="10" t="n"/>
      <c r="G75" s="5" t="n"/>
      <c r="H75" s="5" t="n"/>
      <c r="I75" s="5" t="n"/>
      <c r="J75" s="5" t="n"/>
      <c r="K75" s="10" t="inlineStr">
        <is>
          <t>Master list</t>
        </is>
      </c>
      <c r="L75" s="5" t="n"/>
      <c r="M75" s="5" t="n"/>
      <c r="N75" s="10" t="n"/>
      <c r="O75" s="10" t="inlineStr">
        <is>
          <t>Potassium Iodide</t>
        </is>
      </c>
      <c r="P75" s="10" t="n">
        <v>3.68</v>
      </c>
      <c r="Q75" s="10" t="inlineStr">
        <is>
          <t>-</t>
        </is>
      </c>
      <c r="R75" s="10" t="inlineStr">
        <is>
          <t>-</t>
        </is>
      </c>
    </row>
    <row r="76">
      <c r="A76" s="10" t="inlineStr">
        <is>
          <t>Premix Dermo Bella</t>
        </is>
      </c>
      <c r="B76" s="10" t="inlineStr">
        <is>
          <t>Active</t>
        </is>
      </c>
      <c r="C76" s="10" t="n">
        <v>1</v>
      </c>
      <c r="D76" s="5" t="n"/>
      <c r="E76" s="5" t="n"/>
      <c r="F76" s="10" t="n"/>
      <c r="G76" s="5" t="n"/>
      <c r="H76" s="5" t="n"/>
      <c r="I76" s="5" t="n"/>
      <c r="J76" s="5" t="n"/>
      <c r="K76" s="10" t="inlineStr">
        <is>
          <t>Master list</t>
        </is>
      </c>
      <c r="L76" s="5" t="n"/>
      <c r="M76" s="5" t="n"/>
      <c r="N76" s="10" t="inlineStr">
        <is>
          <t>Premix DermoBella</t>
        </is>
      </c>
      <c r="O76" s="10" t="inlineStr">
        <is>
          <t>None - in-house / supplier spec</t>
        </is>
      </c>
      <c r="P76" s="10" t="n">
        <v>10.02</v>
      </c>
      <c r="Q76" s="10" t="n"/>
      <c r="R76" s="10" t="n"/>
    </row>
    <row r="77">
      <c r="A77" s="10" t="inlineStr">
        <is>
          <t>Prucalopride Succinate</t>
        </is>
      </c>
      <c r="B77" s="10" t="inlineStr">
        <is>
          <t>Active</t>
        </is>
      </c>
      <c r="C77" s="10" t="n">
        <v>2</v>
      </c>
      <c r="D77" s="5" t="n"/>
      <c r="E77" s="5" t="n"/>
      <c r="F77" s="10" t="n"/>
      <c r="G77" s="5" t="n"/>
      <c r="H77" s="5" t="n"/>
      <c r="I77" s="5" t="n"/>
      <c r="J77" s="5" t="n"/>
      <c r="K77" s="10" t="inlineStr">
        <is>
          <t>Master list</t>
        </is>
      </c>
      <c r="L77" s="5" t="n"/>
      <c r="M77" s="5" t="n"/>
      <c r="N77" s="10" t="n"/>
      <c r="O77" s="10" t="inlineStr">
        <is>
          <t>None - in-house / supplier spec</t>
        </is>
      </c>
      <c r="P77" s="10" t="n"/>
      <c r="Q77" s="10" t="n"/>
      <c r="R77" s="10" t="n"/>
    </row>
    <row r="78">
      <c r="A78" s="10" t="inlineStr">
        <is>
          <t>Pyridoxine Hydrochloride (Vitamin B6)</t>
        </is>
      </c>
      <c r="B78" s="10" t="inlineStr">
        <is>
          <t>Active</t>
        </is>
      </c>
      <c r="C78" s="10" t="n">
        <v>13</v>
      </c>
      <c r="D78" s="5" t="n"/>
      <c r="E78" s="5" t="n"/>
      <c r="F78" s="10" t="n"/>
      <c r="G78" s="5" t="n"/>
      <c r="H78" s="5" t="n"/>
      <c r="I78" s="5" t="n"/>
      <c r="J78" s="5" t="n"/>
      <c r="K78" s="10" t="inlineStr">
        <is>
          <t>Master list</t>
        </is>
      </c>
      <c r="L78" s="5" t="n"/>
      <c r="M78" s="5" t="n"/>
      <c r="N78" s="10" t="inlineStr">
        <is>
          <t>Pyridoxin Hydrochloride (Vitamin B6); Pyridoxine Hydrochloride(Vitamin B6); Vitamin B6 ( Pyridoxine Hydrochloride); Vitamin B6 (Pyridoxin Hydrochloride)</t>
        </is>
      </c>
      <c r="O78" s="10" t="inlineStr">
        <is>
          <t>Pyridoxine Hydrochloride</t>
        </is>
      </c>
      <c r="P78" s="10" t="n">
        <v>10.68</v>
      </c>
      <c r="Q78" s="10" t="inlineStr">
        <is>
          <t>-</t>
        </is>
      </c>
      <c r="R78" s="10" t="inlineStr">
        <is>
          <t>-</t>
        </is>
      </c>
    </row>
    <row r="79">
      <c r="A79" s="10" t="inlineStr">
        <is>
          <t>Ranolazine</t>
        </is>
      </c>
      <c r="B79" s="10" t="inlineStr">
        <is>
          <t>Active</t>
        </is>
      </c>
      <c r="C79" s="10" t="n">
        <v>1</v>
      </c>
      <c r="D79" s="5" t="n"/>
      <c r="E79" s="5" t="n"/>
      <c r="F79" s="10" t="n"/>
      <c r="G79" s="5" t="n"/>
      <c r="H79" s="5" t="n"/>
      <c r="I79" s="5" t="n"/>
      <c r="J79" s="5" t="n"/>
      <c r="K79" s="10" t="inlineStr">
        <is>
          <t>Master list</t>
        </is>
      </c>
      <c r="L79" s="5" t="n"/>
      <c r="M79" s="5" t="n"/>
      <c r="N79" s="10" t="n"/>
      <c r="O79" s="10" t="inlineStr">
        <is>
          <t>None - in-house / supplier spec</t>
        </is>
      </c>
      <c r="P79" s="10" t="n"/>
      <c r="Q79" s="10" t="n"/>
      <c r="R79" s="10" t="n"/>
    </row>
    <row r="80">
      <c r="A80" s="10" t="inlineStr">
        <is>
          <t>Resmetirom</t>
        </is>
      </c>
      <c r="B80" s="10" t="inlineStr">
        <is>
          <t>Active</t>
        </is>
      </c>
      <c r="C80" s="10" t="n">
        <v>3</v>
      </c>
      <c r="D80" s="5" t="n"/>
      <c r="E80" s="5" t="n"/>
      <c r="F80" s="10" t="n"/>
      <c r="G80" s="5" t="n"/>
      <c r="H80" s="5" t="n"/>
      <c r="I80" s="5" t="n"/>
      <c r="J80" s="5" t="n"/>
      <c r="K80" s="10" t="inlineStr">
        <is>
          <t>Master list</t>
        </is>
      </c>
      <c r="L80" s="5" t="n"/>
      <c r="M80" s="5" t="n"/>
      <c r="N80" s="10" t="n"/>
      <c r="O80" s="10" t="inlineStr">
        <is>
          <t>None - in-house / supplier spec</t>
        </is>
      </c>
      <c r="P80" s="10" t="n"/>
      <c r="Q80" s="10" t="n"/>
      <c r="R80" s="10" t="n"/>
    </row>
    <row r="81">
      <c r="A81" s="10" t="inlineStr">
        <is>
          <t>Riboflavin (Vitamin B2)</t>
        </is>
      </c>
      <c r="B81" s="10" t="inlineStr">
        <is>
          <t>Active</t>
        </is>
      </c>
      <c r="C81" s="10" t="n">
        <v>9</v>
      </c>
      <c r="D81" s="5" t="n"/>
      <c r="E81" s="5" t="n"/>
      <c r="F81" s="10" t="n"/>
      <c r="G81" s="5" t="n"/>
      <c r="H81" s="5" t="n"/>
      <c r="I81" s="5" t="n"/>
      <c r="J81" s="5" t="n"/>
      <c r="K81" s="10" t="inlineStr">
        <is>
          <t>Master list</t>
        </is>
      </c>
      <c r="L81" s="5" t="n"/>
      <c r="M81" s="5" t="n"/>
      <c r="N81" s="10" t="inlineStr">
        <is>
          <t>Vitamin B2; Vitamin B2 (Riboflavine)</t>
        </is>
      </c>
      <c r="O81" s="10" t="inlineStr">
        <is>
          <t>Riboflavin</t>
        </is>
      </c>
      <c r="P81" s="10" t="n">
        <v>11.27</v>
      </c>
      <c r="Q81" s="10" t="inlineStr">
        <is>
          <t>-</t>
        </is>
      </c>
      <c r="R81" s="10" t="inlineStr">
        <is>
          <t>LOD</t>
        </is>
      </c>
    </row>
    <row r="82">
      <c r="A82" s="10" t="inlineStr">
        <is>
          <t>Rosuvastatin Calcium</t>
        </is>
      </c>
      <c r="B82" s="10" t="inlineStr">
        <is>
          <t>Active</t>
        </is>
      </c>
      <c r="C82" s="10" t="n">
        <v>3</v>
      </c>
      <c r="D82" s="5" t="n"/>
      <c r="E82" s="5" t="n"/>
      <c r="F82" s="10" t="n"/>
      <c r="G82" s="5" t="n"/>
      <c r="H82" s="5" t="n"/>
      <c r="I82" s="5" t="n"/>
      <c r="J82" s="5" t="n"/>
      <c r="K82" s="10" t="inlineStr">
        <is>
          <t>Master list</t>
        </is>
      </c>
      <c r="L82" s="5" t="n"/>
      <c r="M82" s="5" t="n"/>
      <c r="N82" s="10" t="n"/>
      <c r="O82" s="10" t="inlineStr">
        <is>
          <t>Rosuvastatin Calcium</t>
        </is>
      </c>
      <c r="P82" s="10" t="n"/>
      <c r="Q82" s="10" t="n"/>
      <c r="R82" s="10" t="n"/>
    </row>
    <row r="83">
      <c r="A83" s="10" t="inlineStr">
        <is>
          <t>Sacubitril/Valsartan 3Sodium 2.5H2O Co-crystal</t>
        </is>
      </c>
      <c r="B83" s="10" t="inlineStr">
        <is>
          <t>Active</t>
        </is>
      </c>
      <c r="C83" s="10" t="n">
        <v>3</v>
      </c>
      <c r="D83" s="5" t="n"/>
      <c r="E83" s="5" t="n"/>
      <c r="F83" s="10" t="n"/>
      <c r="G83" s="5" t="n"/>
      <c r="H83" s="5" t="n"/>
      <c r="I83" s="5" t="n"/>
      <c r="J83" s="5" t="n"/>
      <c r="K83" s="10" t="inlineStr">
        <is>
          <t>Master list</t>
        </is>
      </c>
      <c r="L83" s="5" t="n"/>
      <c r="M83" s="5" t="n"/>
      <c r="N83" s="10" t="inlineStr">
        <is>
          <t>Sacubitril Valsartan Sodium</t>
        </is>
      </c>
      <c r="O83" s="10" t="inlineStr">
        <is>
          <t>None - in-house / supplier spec</t>
        </is>
      </c>
      <c r="P83" s="10" t="n">
        <v>1.18</v>
      </c>
      <c r="Q83" s="10" t="n"/>
      <c r="R83" s="10" t="n"/>
    </row>
    <row r="84">
      <c r="A84" s="10" t="inlineStr">
        <is>
          <t>Saw Palmetto Dry Extract 4:1</t>
        </is>
      </c>
      <c r="B84" s="10" t="inlineStr">
        <is>
          <t>Active</t>
        </is>
      </c>
      <c r="C84" s="10" t="n">
        <v>1</v>
      </c>
      <c r="D84" s="5" t="n"/>
      <c r="E84" s="5" t="n"/>
      <c r="F84" s="10" t="n"/>
      <c r="G84" s="5" t="n"/>
      <c r="H84" s="5" t="n"/>
      <c r="I84" s="5" t="n"/>
      <c r="J84" s="5" t="n"/>
      <c r="K84" s="10" t="inlineStr">
        <is>
          <t>Master list</t>
        </is>
      </c>
      <c r="L84" s="5" t="n"/>
      <c r="M84" s="5" t="n"/>
      <c r="N84" s="10" t="inlineStr">
        <is>
          <t>Serenoa Repens (Sawpalmetto Ext.) Dry Conc 4:1</t>
        </is>
      </c>
      <c r="O84" s="10" t="inlineStr">
        <is>
          <t>Saw Palmetto Extract (confirm)</t>
        </is>
      </c>
      <c r="P84" s="10" t="n">
        <v>3.52</v>
      </c>
      <c r="Q84" s="10" t="inlineStr">
        <is>
          <t>Assay, Water (KF)</t>
        </is>
      </c>
      <c r="R84" s="10" t="inlineStr">
        <is>
          <t>LOD, ROI / ash</t>
        </is>
      </c>
    </row>
    <row r="85">
      <c r="A85" s="10" t="inlineStr">
        <is>
          <t>Siberian Ginseng Dry Extract 5:1</t>
        </is>
      </c>
      <c r="B85" s="10" t="inlineStr">
        <is>
          <t>Active</t>
        </is>
      </c>
      <c r="C85" s="10" t="n">
        <v>4</v>
      </c>
      <c r="D85" s="5" t="n"/>
      <c r="E85" s="5" t="n"/>
      <c r="F85" s="10" t="n"/>
      <c r="G85" s="5" t="n"/>
      <c r="H85" s="5" t="n"/>
      <c r="I85" s="5" t="n"/>
      <c r="J85" s="5" t="n"/>
      <c r="K85" s="10" t="inlineStr">
        <is>
          <t>Master list</t>
        </is>
      </c>
      <c r="L85" s="5" t="n"/>
      <c r="M85" s="5" t="n"/>
      <c r="N85" s="10" t="inlineStr">
        <is>
          <t>Eleutherococuss Senticosus (Siberian Ginseng Ext.) Dry Conc 5:1</t>
        </is>
      </c>
      <c r="O85" s="10" t="inlineStr">
        <is>
          <t>Eleuthero Root and Rhizome Dry Extract (confirm)</t>
        </is>
      </c>
      <c r="P85" s="10" t="n">
        <v>11.07</v>
      </c>
      <c r="Q85" s="10" t="inlineStr">
        <is>
          <t>Water (KF)</t>
        </is>
      </c>
      <c r="R85" s="10" t="inlineStr">
        <is>
          <t>LOD, ROI / ash</t>
        </is>
      </c>
    </row>
    <row r="86">
      <c r="A86" s="10" t="inlineStr">
        <is>
          <t>Sodium Selenate Anhydrous</t>
        </is>
      </c>
      <c r="B86" s="10" t="inlineStr">
        <is>
          <t>Active</t>
        </is>
      </c>
      <c r="C86" s="10" t="n">
        <v>1</v>
      </c>
      <c r="D86" s="5" t="n"/>
      <c r="E86" s="5" t="n"/>
      <c r="F86" s="10" t="n"/>
      <c r="G86" s="5" t="n"/>
      <c r="H86" s="5" t="n"/>
      <c r="I86" s="5" t="n"/>
      <c r="J86" s="5" t="n"/>
      <c r="K86" s="10" t="inlineStr">
        <is>
          <t>Master list</t>
        </is>
      </c>
      <c r="L86" s="5" t="n"/>
      <c r="M86" s="5" t="n"/>
      <c r="N86" s="10" t="n"/>
      <c r="O86" s="10" t="inlineStr">
        <is>
          <t>None - in-house / supplier spec</t>
        </is>
      </c>
      <c r="P86" s="10" t="n"/>
      <c r="Q86" s="10" t="n"/>
      <c r="R86" s="10" t="n"/>
    </row>
    <row r="87">
      <c r="A87" s="10" t="inlineStr">
        <is>
          <t>Sodium Selenite</t>
        </is>
      </c>
      <c r="B87" s="10" t="inlineStr">
        <is>
          <t>Active</t>
        </is>
      </c>
      <c r="C87" s="10" t="n">
        <v>4</v>
      </c>
      <c r="D87" s="5" t="n"/>
      <c r="E87" s="5" t="n"/>
      <c r="F87" s="10" t="n"/>
      <c r="G87" s="5" t="n"/>
      <c r="H87" s="5" t="n"/>
      <c r="I87" s="5" t="n"/>
      <c r="J87" s="5" t="n"/>
      <c r="K87" s="10" t="inlineStr">
        <is>
          <t>Master list</t>
        </is>
      </c>
      <c r="L87" s="5" t="n"/>
      <c r="M87" s="5" t="n"/>
      <c r="N87" s="10" t="inlineStr">
        <is>
          <t>Sodium Selenite Anhydrous</t>
        </is>
      </c>
      <c r="O87" s="10" t="inlineStr">
        <is>
          <t>None - in-house / supplier spec</t>
        </is>
      </c>
      <c r="P87" s="10" t="n">
        <v>5.02</v>
      </c>
      <c r="Q87" s="10" t="n"/>
      <c r="R87" s="10" t="n"/>
    </row>
    <row r="88">
      <c r="A88" s="10" t="inlineStr">
        <is>
          <t>Taurine</t>
        </is>
      </c>
      <c r="B88" s="10" t="inlineStr">
        <is>
          <t>Active</t>
        </is>
      </c>
      <c r="C88" s="10" t="n">
        <v>1</v>
      </c>
      <c r="D88" s="5" t="n"/>
      <c r="E88" s="5" t="n"/>
      <c r="F88" s="10" t="n"/>
      <c r="G88" s="5" t="n"/>
      <c r="H88" s="5" t="n"/>
      <c r="I88" s="5" t="n"/>
      <c r="J88" s="5" t="n"/>
      <c r="K88" s="10" t="inlineStr">
        <is>
          <t>Master list</t>
        </is>
      </c>
      <c r="L88" s="5" t="n"/>
      <c r="M88" s="5" t="n"/>
      <c r="N88" s="10" t="n"/>
      <c r="O88" s="10" t="inlineStr">
        <is>
          <t>Taurine</t>
        </is>
      </c>
      <c r="P88" s="10" t="n">
        <v>3.77</v>
      </c>
      <c r="Q88" s="10" t="inlineStr">
        <is>
          <t>ID</t>
        </is>
      </c>
      <c r="R88" s="10" t="inlineStr">
        <is>
          <t>-</t>
        </is>
      </c>
    </row>
    <row r="89">
      <c r="A89" s="10" t="inlineStr">
        <is>
          <t>Telmisartan</t>
        </is>
      </c>
      <c r="B89" s="10" t="inlineStr">
        <is>
          <t>Active</t>
        </is>
      </c>
      <c r="C89" s="10" t="n">
        <v>10</v>
      </c>
      <c r="D89" s="5" t="n"/>
      <c r="E89" s="5" t="n"/>
      <c r="F89" s="10" t="n"/>
      <c r="G89" s="5" t="n"/>
      <c r="H89" s="5" t="n"/>
      <c r="I89" s="5" t="n"/>
      <c r="J89" s="5" t="n"/>
      <c r="K89" s="10" t="inlineStr">
        <is>
          <t>Master list</t>
        </is>
      </c>
      <c r="L89" s="5" t="n"/>
      <c r="M89" s="5" t="n"/>
      <c r="N89" s="10" t="n"/>
      <c r="O89" s="10" t="inlineStr">
        <is>
          <t>Telmisartan</t>
        </is>
      </c>
      <c r="P89" s="10" t="n">
        <v>11.93</v>
      </c>
      <c r="Q89" s="10" t="inlineStr">
        <is>
          <t>ID</t>
        </is>
      </c>
      <c r="R89" s="10" t="inlineStr">
        <is>
          <t>-</t>
        </is>
      </c>
    </row>
    <row r="90">
      <c r="A90" s="10" t="inlineStr">
        <is>
          <t>Thiamine Hydrochloride (Vitamin B1)</t>
        </is>
      </c>
      <c r="B90" s="10" t="inlineStr">
        <is>
          <t>Active</t>
        </is>
      </c>
      <c r="C90" s="10" t="n">
        <v>9</v>
      </c>
      <c r="D90" s="5" t="n"/>
      <c r="E90" s="5" t="n"/>
      <c r="F90" s="10" t="n"/>
      <c r="G90" s="5" t="n"/>
      <c r="H90" s="5" t="n"/>
      <c r="I90" s="5" t="n"/>
      <c r="J90" s="5" t="n"/>
      <c r="K90" s="10" t="inlineStr">
        <is>
          <t>Master list</t>
        </is>
      </c>
      <c r="L90" s="5" t="n"/>
      <c r="M90" s="5" t="n"/>
      <c r="N90" s="10" t="inlineStr">
        <is>
          <t>Thiamine Hydrochloride (Vit B1); Vitamin B1 (Thiamin HCL); Vitamin B1(Thiamin Hydrochloride)</t>
        </is>
      </c>
      <c r="O90" s="10" t="inlineStr">
        <is>
          <t>Thiamine Hydrochloride</t>
        </is>
      </c>
      <c r="P90" s="10" t="n">
        <v>19.77</v>
      </c>
      <c r="Q90" s="10" t="inlineStr">
        <is>
          <t>-</t>
        </is>
      </c>
      <c r="R90" s="10" t="inlineStr">
        <is>
          <t>-</t>
        </is>
      </c>
    </row>
    <row r="91">
      <c r="A91" s="10" t="inlineStr">
        <is>
          <t>Tribulus Terrestris Dry Extract 50:1</t>
        </is>
      </c>
      <c r="B91" s="10" t="inlineStr">
        <is>
          <t>Active</t>
        </is>
      </c>
      <c r="C91" s="10" t="n">
        <v>2</v>
      </c>
      <c r="D91" s="5" t="n"/>
      <c r="E91" s="5" t="n"/>
      <c r="F91" s="10" t="n"/>
      <c r="G91" s="5" t="n"/>
      <c r="H91" s="5" t="n"/>
      <c r="I91" s="5" t="n"/>
      <c r="J91" s="5" t="n"/>
      <c r="K91" s="10" t="inlineStr">
        <is>
          <t>Master list</t>
        </is>
      </c>
      <c r="L91" s="5" t="n"/>
      <c r="M91" s="5" t="n"/>
      <c r="N91" s="10" t="inlineStr">
        <is>
          <t>Tribulus Tresstriss Ext. Dry Conc 50:1</t>
        </is>
      </c>
      <c r="O91" s="10" t="inlineStr">
        <is>
          <t>None - in-house / supplier spec</t>
        </is>
      </c>
      <c r="P91" s="10" t="n">
        <v>3.57</v>
      </c>
      <c r="Q91" s="10" t="n"/>
      <c r="R91" s="10" t="n"/>
    </row>
    <row r="92">
      <c r="A92" s="10" t="inlineStr">
        <is>
          <t>Ubidecarenone (Co-Q10)</t>
        </is>
      </c>
      <c r="B92" s="10" t="inlineStr">
        <is>
          <t>Active</t>
        </is>
      </c>
      <c r="C92" s="10" t="n">
        <v>3</v>
      </c>
      <c r="D92" s="5" t="n"/>
      <c r="E92" s="5" t="n"/>
      <c r="F92" s="10" t="n"/>
      <c r="G92" s="5" t="n"/>
      <c r="H92" s="5" t="n"/>
      <c r="I92" s="5" t="n"/>
      <c r="J92" s="5" t="n"/>
      <c r="K92" s="10" t="inlineStr">
        <is>
          <t>Master list</t>
        </is>
      </c>
      <c r="L92" s="5" t="n"/>
      <c r="M92" s="5" t="n"/>
      <c r="N92" s="10" t="inlineStr">
        <is>
          <t>Ubidecarenon (Co Enzyme Q10)</t>
        </is>
      </c>
      <c r="O92" s="10" t="inlineStr">
        <is>
          <t>Ubidecarenone</t>
        </is>
      </c>
      <c r="P92" s="10" t="n">
        <v>10.18</v>
      </c>
      <c r="Q92" s="10" t="inlineStr">
        <is>
          <t>ID, Impurities, Water (KF)</t>
        </is>
      </c>
      <c r="R92" s="10" t="inlineStr">
        <is>
          <t>Melting</t>
        </is>
      </c>
    </row>
    <row r="93">
      <c r="A93" s="10" t="inlineStr">
        <is>
          <t>Vitamin D3</t>
        </is>
      </c>
      <c r="B93" s="10" t="inlineStr">
        <is>
          <t>Active</t>
        </is>
      </c>
      <c r="C93" s="10" t="n">
        <v>8</v>
      </c>
      <c r="D93" s="5" t="n"/>
      <c r="E93" s="5" t="n"/>
      <c r="F93" s="10" t="n"/>
      <c r="G93" s="5" t="n"/>
      <c r="H93" s="5" t="n"/>
      <c r="I93" s="5" t="n"/>
      <c r="J93" s="5" t="n"/>
      <c r="K93" s="10" t="inlineStr">
        <is>
          <t>Master list</t>
        </is>
      </c>
      <c r="L93" s="5" t="n"/>
      <c r="M93" s="5" t="n"/>
      <c r="N93" s="10" t="inlineStr">
        <is>
          <t>Vitamin D3 100 Dry (Cholecalciferol); Vitamin D3 Liquid</t>
        </is>
      </c>
      <c r="O93" s="10" t="inlineStr">
        <is>
          <t>Cholecalciferol (confirm)</t>
        </is>
      </c>
      <c r="P93" s="10" t="n">
        <v>1.03</v>
      </c>
      <c r="Q93" s="10" t="inlineStr">
        <is>
          <t>ID, Optical rotation</t>
        </is>
      </c>
      <c r="R93" s="10" t="inlineStr">
        <is>
          <t>-</t>
        </is>
      </c>
    </row>
    <row r="94">
      <c r="A94" s="10" t="inlineStr">
        <is>
          <t>Vitamin K1</t>
        </is>
      </c>
      <c r="B94" s="10" t="inlineStr">
        <is>
          <t>Active</t>
        </is>
      </c>
      <c r="C94" s="10" t="n">
        <v>2</v>
      </c>
      <c r="D94" s="5" t="n"/>
      <c r="E94" s="5" t="n"/>
      <c r="F94" s="10" t="n"/>
      <c r="G94" s="5" t="n"/>
      <c r="H94" s="5" t="n"/>
      <c r="I94" s="5" t="n"/>
      <c r="J94" s="5" t="n"/>
      <c r="K94" s="10" t="inlineStr">
        <is>
          <t>Master list</t>
        </is>
      </c>
      <c r="L94" s="5" t="n"/>
      <c r="M94" s="5" t="n"/>
      <c r="N94" s="10" t="n"/>
      <c r="O94" s="10" t="inlineStr">
        <is>
          <t>Phytonadione (confirm)</t>
        </is>
      </c>
      <c r="P94" s="10" t="n">
        <v>6.43</v>
      </c>
      <c r="Q94" s="10" t="inlineStr">
        <is>
          <t>ID, Refractive index</t>
        </is>
      </c>
      <c r="R94" s="10" t="inlineStr">
        <is>
          <t>LOD</t>
        </is>
      </c>
    </row>
    <row r="95">
      <c r="A95" s="10" t="inlineStr">
        <is>
          <t>Zinc Gluconate</t>
        </is>
      </c>
      <c r="B95" s="10" t="inlineStr">
        <is>
          <t>Active</t>
        </is>
      </c>
      <c r="C95" s="10" t="n">
        <v>10</v>
      </c>
      <c r="D95" s="5" t="n"/>
      <c r="E95" s="5" t="n"/>
      <c r="F95" s="10" t="n"/>
      <c r="G95" s="5" t="n"/>
      <c r="H95" s="5" t="n"/>
      <c r="I95" s="5" t="n"/>
      <c r="J95" s="5" t="n"/>
      <c r="K95" s="10" t="inlineStr">
        <is>
          <t>Master list</t>
        </is>
      </c>
      <c r="L95" s="5" t="n"/>
      <c r="M95" s="5" t="n"/>
      <c r="N95" s="10" t="n"/>
      <c r="O95" s="10" t="inlineStr">
        <is>
          <t>Zinc Gluconate</t>
        </is>
      </c>
      <c r="P95" s="10" t="n">
        <v>3.93</v>
      </c>
      <c r="Q95" s="10" t="inlineStr">
        <is>
          <t>Heavy metals / elements</t>
        </is>
      </c>
      <c r="R95" s="10" t="inlineStr">
        <is>
          <t>-</t>
        </is>
      </c>
    </row>
    <row r="96">
      <c r="A96" s="10" t="inlineStr">
        <is>
          <t>Meglumine</t>
        </is>
      </c>
      <c r="B96" s="10" t="inlineStr">
        <is>
          <t>Alkalizer / Solubilizer</t>
        </is>
      </c>
      <c r="C96" s="10" t="n">
        <v>10</v>
      </c>
      <c r="D96" s="5" t="n"/>
      <c r="E96" s="5" t="n"/>
      <c r="F96" s="10" t="n"/>
      <c r="G96" s="5" t="n"/>
      <c r="H96" s="5" t="n"/>
      <c r="I96" s="5" t="n"/>
      <c r="J96" s="5" t="n"/>
      <c r="K96" s="10" t="inlineStr">
        <is>
          <t>Master list</t>
        </is>
      </c>
      <c r="L96" s="5" t="n"/>
      <c r="M96" s="5" t="n"/>
      <c r="N96" s="10" t="n"/>
      <c r="O96" s="10" t="inlineStr">
        <is>
          <t>Meglumine</t>
        </is>
      </c>
      <c r="P96" s="10" t="n"/>
      <c r="Q96" s="10" t="n"/>
      <c r="R96" s="10" t="n"/>
    </row>
    <row r="97">
      <c r="A97" s="10" t="inlineStr">
        <is>
          <t>Sodium Hydroxide</t>
        </is>
      </c>
      <c r="B97" s="10" t="inlineStr">
        <is>
          <t>Alkalizer / Solubilizer</t>
        </is>
      </c>
      <c r="C97" s="10" t="n">
        <v>11</v>
      </c>
      <c r="D97" s="5" t="n"/>
      <c r="E97" s="5" t="n"/>
      <c r="F97" s="10" t="n"/>
      <c r="G97" s="5" t="n"/>
      <c r="H97" s="5" t="n"/>
      <c r="I97" s="5" t="n"/>
      <c r="J97" s="5" t="n"/>
      <c r="K97" s="10" t="inlineStr">
        <is>
          <t>Master list</t>
        </is>
      </c>
      <c r="L97" s="5" t="n"/>
      <c r="M97" s="5" t="n"/>
      <c r="N97" s="10" t="inlineStr">
        <is>
          <t>Sodium Hydroxide (for Injection)</t>
        </is>
      </c>
      <c r="O97" s="10" t="inlineStr">
        <is>
          <t>Sodium Hydroxide</t>
        </is>
      </c>
      <c r="P97" s="10" t="n">
        <v>2.93</v>
      </c>
      <c r="Q97" s="10" t="inlineStr">
        <is>
          <t>-</t>
        </is>
      </c>
      <c r="R97" s="10" t="inlineStr">
        <is>
          <t>-</t>
        </is>
      </c>
    </row>
    <row r="98">
      <c r="A98" s="10" t="inlineStr">
        <is>
          <t>PVP K30</t>
        </is>
      </c>
      <c r="B98" s="10" t="inlineStr">
        <is>
          <t>Binder</t>
        </is>
      </c>
      <c r="C98" s="10" t="n">
        <v>54</v>
      </c>
      <c r="D98" s="5" t="n"/>
      <c r="E98" s="5" t="n"/>
      <c r="F98" s="10" t="n"/>
      <c r="G98" s="5" t="n"/>
      <c r="H98" s="5" t="n"/>
      <c r="I98" s="5" t="n"/>
      <c r="J98" s="5" t="n"/>
      <c r="K98" s="10" t="inlineStr">
        <is>
          <t>Master list</t>
        </is>
      </c>
      <c r="L98" s="5" t="n"/>
      <c r="M98" s="5" t="n"/>
      <c r="N98" s="10" t="inlineStr">
        <is>
          <t>Poly Vinil Pyrolidone K30 (PVP K30); Povidone K30</t>
        </is>
      </c>
      <c r="O98" s="10" t="inlineStr">
        <is>
          <t>Povidone (confirm)</t>
        </is>
      </c>
      <c r="P98" s="10" t="n">
        <v>11.1</v>
      </c>
      <c r="Q98" s="10" t="inlineStr">
        <is>
          <t>Assay, Impurities, Heavy metals / elements</t>
        </is>
      </c>
      <c r="R98" s="10" t="inlineStr">
        <is>
          <t>-</t>
        </is>
      </c>
    </row>
    <row r="99">
      <c r="A99" s="10" t="inlineStr">
        <is>
          <t>PVP K90</t>
        </is>
      </c>
      <c r="B99" s="10" t="inlineStr">
        <is>
          <t>Binder</t>
        </is>
      </c>
      <c r="C99" s="10" t="n">
        <v>12</v>
      </c>
      <c r="D99" s="5" t="n"/>
      <c r="E99" s="5" t="n"/>
      <c r="F99" s="10" t="n"/>
      <c r="G99" s="5" t="n"/>
      <c r="H99" s="5" t="n"/>
      <c r="I99" s="5" t="n"/>
      <c r="J99" s="5" t="n"/>
      <c r="K99" s="10" t="inlineStr">
        <is>
          <t>Master list</t>
        </is>
      </c>
      <c r="L99" s="5" t="n"/>
      <c r="M99" s="5" t="n"/>
      <c r="N99" s="10" t="inlineStr">
        <is>
          <t>Poly Vinil Pyrolidone K90 (PVP K90)</t>
        </is>
      </c>
      <c r="O99" s="10" t="inlineStr">
        <is>
          <t>Povidone (confirm)</t>
        </is>
      </c>
      <c r="P99" s="10" t="n">
        <v>11.1</v>
      </c>
      <c r="Q99" s="10" t="inlineStr">
        <is>
          <t>Assay, Impurities, Heavy metals / elements</t>
        </is>
      </c>
      <c r="R99" s="10" t="inlineStr">
        <is>
          <t>-</t>
        </is>
      </c>
    </row>
    <row r="100">
      <c r="A100" s="10" t="inlineStr">
        <is>
          <t>HPMC 15cps (Hypromellose)</t>
        </is>
      </c>
      <c r="B100" s="10" t="inlineStr">
        <is>
          <t>Binder / Coating Polymer</t>
        </is>
      </c>
      <c r="C100" s="10" t="n">
        <v>1</v>
      </c>
      <c r="D100" s="5" t="n"/>
      <c r="E100" s="5" t="n"/>
      <c r="F100" s="10" t="n"/>
      <c r="G100" s="5" t="n"/>
      <c r="H100" s="5" t="n"/>
      <c r="I100" s="5" t="n"/>
      <c r="J100" s="5" t="n"/>
      <c r="K100" s="10" t="inlineStr">
        <is>
          <t>Master list</t>
        </is>
      </c>
      <c r="L100" s="5" t="n"/>
      <c r="M100" s="5" t="n"/>
      <c r="N100" s="10" t="inlineStr">
        <is>
          <t>HPMC 15 CPS (Hydroxy Propyl Methyl Cellolose 15 CP)</t>
        </is>
      </c>
      <c r="O100" s="10" t="inlineStr">
        <is>
          <t>Hypromellose (confirm)</t>
        </is>
      </c>
      <c r="P100" s="10" t="n">
        <v>4.18</v>
      </c>
      <c r="Q100" s="10" t="inlineStr">
        <is>
          <t>Assay, Viscosity</t>
        </is>
      </c>
      <c r="R100" s="10" t="inlineStr">
        <is>
          <t>-</t>
        </is>
      </c>
    </row>
    <row r="101">
      <c r="A101" s="10" t="inlineStr">
        <is>
          <t>HPMC 6cps (Hypromellose)</t>
        </is>
      </c>
      <c r="B101" s="10" t="inlineStr">
        <is>
          <t>Binder / Coating Polymer</t>
        </is>
      </c>
      <c r="C101" s="10" t="n">
        <v>57</v>
      </c>
      <c r="D101" s="5" t="n"/>
      <c r="E101" s="5" t="n"/>
      <c r="F101" s="10" t="n"/>
      <c r="G101" s="5" t="n"/>
      <c r="H101" s="5" t="n"/>
      <c r="I101" s="5" t="n"/>
      <c r="J101" s="5" t="n"/>
      <c r="K101" s="10" t="inlineStr">
        <is>
          <t>Master list</t>
        </is>
      </c>
      <c r="L101" s="5" t="n"/>
      <c r="M101" s="5" t="n"/>
      <c r="N101" s="10" t="inlineStr">
        <is>
          <t>HPMC 6 CPS (Hydroxy Propyl Methyl Cellolose 6 CPS); Hydroxy Propyl Methyl Cellulose</t>
        </is>
      </c>
      <c r="O101" s="10" t="inlineStr">
        <is>
          <t>Hypromellose (confirm)</t>
        </is>
      </c>
      <c r="P101" s="10" t="n">
        <v>4.18</v>
      </c>
      <c r="Q101" s="10" t="inlineStr">
        <is>
          <t>Assay, Viscosity</t>
        </is>
      </c>
      <c r="R101" s="10" t="inlineStr">
        <is>
          <t>-</t>
        </is>
      </c>
    </row>
    <row r="102">
      <c r="A102" s="10" t="inlineStr">
        <is>
          <t>Hard Gelatin Capsule</t>
        </is>
      </c>
      <c r="B102" s="10" t="inlineStr">
        <is>
          <t>Capsule Shell</t>
        </is>
      </c>
      <c r="C102" s="10" t="n">
        <v>5</v>
      </c>
      <c r="D102" s="5" t="n"/>
      <c r="E102" s="5" t="n"/>
      <c r="F102" s="10" t="n"/>
      <c r="G102" s="5" t="n"/>
      <c r="H102" s="5" t="n"/>
      <c r="I102" s="5" t="n"/>
      <c r="J102" s="5" t="n"/>
      <c r="K102" s="10" t="inlineStr">
        <is>
          <t>Master list</t>
        </is>
      </c>
      <c r="L102" s="5" t="n"/>
      <c r="M102" s="5" t="n"/>
      <c r="N102" s="10" t="inlineStr">
        <is>
          <t>Hard Gelatin Capsule (Brown)</t>
        </is>
      </c>
      <c r="O102" s="10" t="inlineStr">
        <is>
          <t>None - in-house / supplier spec</t>
        </is>
      </c>
      <c r="P102" s="10" t="n"/>
      <c r="Q102" s="10" t="n"/>
      <c r="R102" s="10" t="n"/>
    </row>
    <row r="103">
      <c r="A103" s="10" t="inlineStr">
        <is>
          <t>Edetate Disodium</t>
        </is>
      </c>
      <c r="B103" s="10" t="inlineStr">
        <is>
          <t>Chelating Agent</t>
        </is>
      </c>
      <c r="C103" s="10" t="n">
        <v>6</v>
      </c>
      <c r="D103" s="5" t="n"/>
      <c r="E103" s="5" t="n"/>
      <c r="F103" s="10" t="n"/>
      <c r="G103" s="5" t="n"/>
      <c r="H103" s="5" t="n"/>
      <c r="I103" s="5" t="n"/>
      <c r="J103" s="5" t="n"/>
      <c r="K103" s="10" t="inlineStr">
        <is>
          <t>Master list</t>
        </is>
      </c>
      <c r="L103" s="5" t="n"/>
      <c r="M103" s="5" t="n"/>
      <c r="N103" s="10" t="n"/>
      <c r="O103" s="10" t="inlineStr">
        <is>
          <t>Edetate Disodium</t>
        </is>
      </c>
      <c r="P103" s="10" t="n">
        <v>10.68</v>
      </c>
      <c r="Q103" s="10" t="inlineStr">
        <is>
          <t>Impurities</t>
        </is>
      </c>
      <c r="R103" s="10" t="inlineStr">
        <is>
          <t>-</t>
        </is>
      </c>
    </row>
    <row r="104">
      <c r="A104" s="10" t="inlineStr">
        <is>
          <t>Allura Red</t>
        </is>
      </c>
      <c r="B104" s="10" t="inlineStr">
        <is>
          <t>Colorant</t>
        </is>
      </c>
      <c r="C104" s="10" t="n">
        <v>10</v>
      </c>
      <c r="D104" s="5" t="n"/>
      <c r="E104" s="5" t="n"/>
      <c r="F104" s="10" t="n"/>
      <c r="G104" s="5" t="n"/>
      <c r="H104" s="5" t="n"/>
      <c r="I104" s="5" t="n"/>
      <c r="J104" s="5" t="n"/>
      <c r="K104" s="10" t="inlineStr">
        <is>
          <t>Master list</t>
        </is>
      </c>
      <c r="L104" s="5" t="n"/>
      <c r="M104" s="5" t="n"/>
      <c r="N104" s="10" t="n"/>
      <c r="O104" s="10" t="inlineStr">
        <is>
          <t>None - in-house / supplier spec</t>
        </is>
      </c>
      <c r="P104" s="10" t="n">
        <v>6.1</v>
      </c>
      <c r="Q104" s="10" t="n"/>
      <c r="R104" s="10" t="n"/>
    </row>
    <row r="105">
      <c r="A105" s="10" t="inlineStr">
        <is>
          <t>Apple Green Color</t>
        </is>
      </c>
      <c r="B105" s="10" t="inlineStr">
        <is>
          <t>Colorant</t>
        </is>
      </c>
      <c r="C105" s="10" t="n">
        <v>2</v>
      </c>
      <c r="D105" s="5" t="n"/>
      <c r="E105" s="5" t="n"/>
      <c r="F105" s="10" t="n"/>
      <c r="G105" s="5" t="n"/>
      <c r="H105" s="5" t="n"/>
      <c r="I105" s="5" t="n"/>
      <c r="J105" s="5" t="n"/>
      <c r="K105" s="10" t="inlineStr">
        <is>
          <t>Master list</t>
        </is>
      </c>
      <c r="L105" s="5" t="n"/>
      <c r="M105" s="5" t="n"/>
      <c r="N105" s="10" t="inlineStr">
        <is>
          <t>Apple Green</t>
        </is>
      </c>
      <c r="O105" s="10" t="inlineStr">
        <is>
          <t>None - in-house / supplier spec</t>
        </is>
      </c>
      <c r="P105" s="10" t="n">
        <v>0.27</v>
      </c>
      <c r="Q105" s="10" t="n"/>
      <c r="R105" s="10" t="n"/>
    </row>
    <row r="106">
      <c r="A106" s="10" t="inlineStr">
        <is>
          <t>Apple Green Lake</t>
        </is>
      </c>
      <c r="B106" s="10" t="inlineStr">
        <is>
          <t>Colorant</t>
        </is>
      </c>
      <c r="C106" s="10" t="n">
        <v>4</v>
      </c>
      <c r="D106" s="5" t="n"/>
      <c r="E106" s="5" t="n"/>
      <c r="F106" s="10" t="n"/>
      <c r="G106" s="5" t="n"/>
      <c r="H106" s="5" t="n"/>
      <c r="I106" s="5" t="n"/>
      <c r="J106" s="5" t="n"/>
      <c r="K106" s="10" t="inlineStr">
        <is>
          <t>Master list</t>
        </is>
      </c>
      <c r="L106" s="5" t="n"/>
      <c r="M106" s="5" t="n"/>
      <c r="N106" s="10" t="n"/>
      <c r="O106" s="10" t="inlineStr">
        <is>
          <t>None - in-house / supplier spec</t>
        </is>
      </c>
      <c r="P106" s="10" t="n"/>
      <c r="Q106" s="10" t="n"/>
      <c r="R106" s="10" t="n"/>
    </row>
    <row r="107">
      <c r="A107" s="10" t="inlineStr">
        <is>
          <t>Blue Color No.2</t>
        </is>
      </c>
      <c r="B107" s="10" t="inlineStr">
        <is>
          <t>Colorant</t>
        </is>
      </c>
      <c r="C107" s="10" t="n">
        <v>1</v>
      </c>
      <c r="D107" s="5" t="n"/>
      <c r="E107" s="5" t="n"/>
      <c r="F107" s="10" t="n"/>
      <c r="G107" s="5" t="n"/>
      <c r="H107" s="5" t="n"/>
      <c r="I107" s="5" t="n"/>
      <c r="J107" s="5" t="n"/>
      <c r="K107" s="10" t="inlineStr">
        <is>
          <t>Master list</t>
        </is>
      </c>
      <c r="L107" s="5" t="n"/>
      <c r="M107" s="5" t="n"/>
      <c r="N107" s="10" t="n"/>
      <c r="O107" s="10" t="inlineStr">
        <is>
          <t>None - in-house / supplier spec</t>
        </is>
      </c>
      <c r="P107" s="10" t="n"/>
      <c r="Q107" s="10" t="n"/>
      <c r="R107" s="10" t="n"/>
    </row>
    <row r="108">
      <c r="A108" s="10" t="inlineStr">
        <is>
          <t>Brilliant Blue</t>
        </is>
      </c>
      <c r="B108" s="10" t="inlineStr">
        <is>
          <t>Colorant</t>
        </is>
      </c>
      <c r="C108" s="10" t="n">
        <v>3</v>
      </c>
      <c r="D108" s="5" t="n"/>
      <c r="E108" s="5" t="n"/>
      <c r="F108" s="10" t="n"/>
      <c r="G108" s="5" t="n"/>
      <c r="H108" s="5" t="n"/>
      <c r="I108" s="5" t="n"/>
      <c r="J108" s="5" t="n"/>
      <c r="K108" s="10" t="inlineStr">
        <is>
          <t>Master list</t>
        </is>
      </c>
      <c r="L108" s="5" t="n"/>
      <c r="M108" s="5" t="n"/>
      <c r="N108" s="10" t="inlineStr">
        <is>
          <t>BRILLIANT BLUE</t>
        </is>
      </c>
      <c r="O108" s="10" t="inlineStr">
        <is>
          <t>None - in-house / supplier spec</t>
        </is>
      </c>
      <c r="P108" s="10" t="n">
        <v>0.6</v>
      </c>
      <c r="Q108" s="10" t="n"/>
      <c r="R108" s="10" t="n"/>
    </row>
    <row r="109">
      <c r="A109" s="10" t="inlineStr">
        <is>
          <t>Brown Color</t>
        </is>
      </c>
      <c r="B109" s="10" t="inlineStr">
        <is>
          <t>Colorant</t>
        </is>
      </c>
      <c r="C109" s="10" t="n">
        <v>1</v>
      </c>
      <c r="D109" s="5" t="n"/>
      <c r="E109" s="5" t="n"/>
      <c r="F109" s="10" t="n"/>
      <c r="G109" s="5" t="n"/>
      <c r="H109" s="5" t="n"/>
      <c r="I109" s="5" t="n"/>
      <c r="J109" s="5" t="n"/>
      <c r="K109" s="10" t="inlineStr">
        <is>
          <t>Master list</t>
        </is>
      </c>
      <c r="L109" s="5" t="n"/>
      <c r="M109" s="5" t="n"/>
      <c r="N109" s="10" t="inlineStr">
        <is>
          <t>Brown  Color - Code 1005</t>
        </is>
      </c>
      <c r="O109" s="10" t="inlineStr">
        <is>
          <t>None - in-house / supplier spec</t>
        </is>
      </c>
      <c r="P109" s="10" t="n"/>
      <c r="Q109" s="10" t="n"/>
      <c r="R109" s="10" t="n"/>
    </row>
    <row r="110">
      <c r="A110" s="10" t="inlineStr">
        <is>
          <t>Caramel Colour</t>
        </is>
      </c>
      <c r="B110" s="10" t="inlineStr">
        <is>
          <t>Colorant</t>
        </is>
      </c>
      <c r="C110" s="10" t="n">
        <v>6</v>
      </c>
      <c r="D110" s="5" t="n"/>
      <c r="E110" s="5" t="n"/>
      <c r="F110" s="10" t="n"/>
      <c r="G110" s="5" t="n"/>
      <c r="H110" s="5" t="n"/>
      <c r="I110" s="5" t="n"/>
      <c r="J110" s="5" t="n"/>
      <c r="K110" s="10" t="inlineStr">
        <is>
          <t>Master list</t>
        </is>
      </c>
      <c r="L110" s="5" t="n"/>
      <c r="M110" s="5" t="n"/>
      <c r="N110" s="10" t="n"/>
      <c r="O110" s="10" t="inlineStr">
        <is>
          <t>Caramel (confirm)</t>
        </is>
      </c>
      <c r="P110" s="10" t="n"/>
      <c r="Q110" s="10" t="n"/>
      <c r="R110" s="10" t="n"/>
    </row>
    <row r="111">
      <c r="A111" s="10" t="inlineStr">
        <is>
          <t>Erythrosine Pink</t>
        </is>
      </c>
      <c r="B111" s="10" t="inlineStr">
        <is>
          <t>Colorant</t>
        </is>
      </c>
      <c r="C111" s="10" t="n">
        <v>4</v>
      </c>
      <c r="D111" s="5" t="n"/>
      <c r="E111" s="5" t="n"/>
      <c r="F111" s="10" t="n"/>
      <c r="G111" s="5" t="n"/>
      <c r="H111" s="5" t="n"/>
      <c r="I111" s="5" t="n"/>
      <c r="J111" s="5" t="n"/>
      <c r="K111" s="10" t="inlineStr">
        <is>
          <t>Master list</t>
        </is>
      </c>
      <c r="L111" s="5" t="n"/>
      <c r="M111" s="5" t="n"/>
      <c r="N111" s="10" t="inlineStr">
        <is>
          <t>ERYTHROSINE</t>
        </is>
      </c>
      <c r="O111" s="10" t="inlineStr">
        <is>
          <t>None - in-house / supplier spec</t>
        </is>
      </c>
      <c r="P111" s="10" t="n"/>
      <c r="Q111" s="10" t="n"/>
      <c r="R111" s="10" t="n"/>
    </row>
    <row r="112">
      <c r="A112" s="10" t="inlineStr">
        <is>
          <t>Exacol Brown HT</t>
        </is>
      </c>
      <c r="B112" s="10" t="inlineStr">
        <is>
          <t>Colorant</t>
        </is>
      </c>
      <c r="C112" s="10" t="n">
        <v>2</v>
      </c>
      <c r="D112" s="5" t="n"/>
      <c r="E112" s="5" t="n"/>
      <c r="F112" s="10" t="n"/>
      <c r="G112" s="5" t="n"/>
      <c r="H112" s="5" t="n"/>
      <c r="I112" s="5" t="n"/>
      <c r="J112" s="5" t="n"/>
      <c r="K112" s="10" t="inlineStr">
        <is>
          <t>Master list</t>
        </is>
      </c>
      <c r="L112" s="5" t="n"/>
      <c r="M112" s="5" t="n"/>
      <c r="N112" s="10" t="inlineStr">
        <is>
          <t>Exacol Brown</t>
        </is>
      </c>
      <c r="O112" s="10" t="inlineStr">
        <is>
          <t>None - in-house / supplier spec</t>
        </is>
      </c>
      <c r="P112" s="10" t="n">
        <v>1.77</v>
      </c>
      <c r="Q112" s="10" t="n"/>
      <c r="R112" s="10" t="n"/>
    </row>
    <row r="113">
      <c r="A113" s="10" t="inlineStr">
        <is>
          <t>Ferric Oxide Black</t>
        </is>
      </c>
      <c r="B113" s="10" t="inlineStr">
        <is>
          <t>Colorant</t>
        </is>
      </c>
      <c r="C113" s="10" t="n">
        <v>8</v>
      </c>
      <c r="D113" s="5" t="n"/>
      <c r="E113" s="5" t="n"/>
      <c r="F113" s="10" t="n"/>
      <c r="G113" s="5" t="n"/>
      <c r="H113" s="5" t="n"/>
      <c r="I113" s="5" t="n"/>
      <c r="J113" s="5" t="n"/>
      <c r="K113" s="10" t="inlineStr">
        <is>
          <t>Master list</t>
        </is>
      </c>
      <c r="L113" s="5" t="n"/>
      <c r="M113" s="5" t="n"/>
      <c r="N113" s="10" t="inlineStr">
        <is>
          <t>Black Iron Oxide</t>
        </is>
      </c>
      <c r="O113" s="10" t="inlineStr">
        <is>
          <t>Ferrosoferric Oxide (confirm)</t>
        </is>
      </c>
      <c r="P113" s="10" t="n">
        <v>5.6</v>
      </c>
      <c r="Q113" s="10" t="inlineStr">
        <is>
          <t>LOD, pH, Heavy metals / elements</t>
        </is>
      </c>
      <c r="R113" s="10" t="inlineStr">
        <is>
          <t>-</t>
        </is>
      </c>
    </row>
    <row r="114">
      <c r="A114" s="10" t="inlineStr">
        <is>
          <t>Ferric Oxide Red</t>
        </is>
      </c>
      <c r="B114" s="10" t="inlineStr">
        <is>
          <t>Colorant</t>
        </is>
      </c>
      <c r="C114" s="10" t="n">
        <v>15</v>
      </c>
      <c r="D114" s="5" t="n"/>
      <c r="E114" s="5" t="n"/>
      <c r="F114" s="10" t="n"/>
      <c r="G114" s="5" t="n"/>
      <c r="H114" s="5" t="n"/>
      <c r="I114" s="5" t="n"/>
      <c r="J114" s="5" t="n"/>
      <c r="K114" s="10" t="inlineStr">
        <is>
          <t>Master list</t>
        </is>
      </c>
      <c r="L114" s="5" t="n"/>
      <c r="M114" s="5" t="n"/>
      <c r="N114" s="10" t="inlineStr">
        <is>
          <t>RED IRON OXIDE; Red Iron Oxide</t>
        </is>
      </c>
      <c r="O114" s="10" t="inlineStr">
        <is>
          <t>Ferric Oxide (confirm)</t>
        </is>
      </c>
      <c r="P114" s="10" t="n">
        <v>5.32</v>
      </c>
      <c r="Q114" s="10" t="inlineStr">
        <is>
          <t>ID, Heavy metals / elements</t>
        </is>
      </c>
      <c r="R114" s="10" t="inlineStr">
        <is>
          <t>-</t>
        </is>
      </c>
    </row>
    <row r="115">
      <c r="A115" s="10" t="inlineStr">
        <is>
          <t>Ferric Oxide Yellow</t>
        </is>
      </c>
      <c r="B115" s="10" t="inlineStr">
        <is>
          <t>Colorant</t>
        </is>
      </c>
      <c r="C115" s="10" t="n">
        <v>20</v>
      </c>
      <c r="D115" s="5" t="n"/>
      <c r="E115" s="5" t="n"/>
      <c r="F115" s="10" t="n"/>
      <c r="G115" s="5" t="n"/>
      <c r="H115" s="5" t="n"/>
      <c r="I115" s="5" t="n"/>
      <c r="J115" s="5" t="n"/>
      <c r="K115" s="10" t="inlineStr">
        <is>
          <t>Master list</t>
        </is>
      </c>
      <c r="L115" s="5" t="n"/>
      <c r="M115" s="5" t="n"/>
      <c r="N115" s="10" t="inlineStr">
        <is>
          <t>Yellow Iron Oxide</t>
        </is>
      </c>
      <c r="O115" s="10" t="inlineStr">
        <is>
          <t>Ferric Oxide (confirm)</t>
        </is>
      </c>
      <c r="P115" s="10" t="n">
        <v>0.27</v>
      </c>
      <c r="Q115" s="10" t="inlineStr">
        <is>
          <t>ID, Heavy metals / elements</t>
        </is>
      </c>
      <c r="R115" s="10" t="inlineStr">
        <is>
          <t>-</t>
        </is>
      </c>
    </row>
    <row r="116">
      <c r="A116" s="10" t="inlineStr">
        <is>
          <t>Sunset Yellow</t>
        </is>
      </c>
      <c r="B116" s="10" t="inlineStr">
        <is>
          <t>Colorant</t>
        </is>
      </c>
      <c r="C116" s="10" t="n">
        <v>13</v>
      </c>
      <c r="D116" s="5" t="n"/>
      <c r="E116" s="5" t="n"/>
      <c r="F116" s="10" t="n"/>
      <c r="G116" s="5" t="n"/>
      <c r="H116" s="5" t="n"/>
      <c r="I116" s="5" t="n"/>
      <c r="J116" s="5" t="n"/>
      <c r="K116" s="10" t="inlineStr">
        <is>
          <t>Master list</t>
        </is>
      </c>
      <c r="L116" s="5" t="n"/>
      <c r="M116" s="5" t="n"/>
      <c r="N116" s="10" t="inlineStr">
        <is>
          <t>Sunset Yellow - FD&amp;C Yelloe No.6</t>
        </is>
      </c>
      <c r="O116" s="10" t="inlineStr">
        <is>
          <t>None - in-house / supplier spec</t>
        </is>
      </c>
      <c r="P116" s="10" t="n"/>
      <c r="Q116" s="10" t="n"/>
      <c r="R116" s="10" t="n"/>
    </row>
    <row r="117">
      <c r="A117" s="10" t="inlineStr">
        <is>
          <t>Croscarmellose Sodium</t>
        </is>
      </c>
      <c r="B117" s="10" t="inlineStr">
        <is>
          <t>Disintegrant</t>
        </is>
      </c>
      <c r="C117" s="10" t="n">
        <v>26</v>
      </c>
      <c r="D117" s="5" t="n"/>
      <c r="E117" s="5" t="n"/>
      <c r="F117" s="10" t="n"/>
      <c r="G117" s="5" t="n"/>
      <c r="H117" s="5" t="n"/>
      <c r="I117" s="5" t="n"/>
      <c r="J117" s="5" t="n"/>
      <c r="K117" s="10" t="inlineStr">
        <is>
          <t>Master list</t>
        </is>
      </c>
      <c r="L117" s="5" t="n"/>
      <c r="M117" s="5" t="n"/>
      <c r="N117" s="10" t="inlineStr">
        <is>
          <t>Cross Carmellose Sodium; Crosscarmellose Sodium</t>
        </is>
      </c>
      <c r="O117" s="10" t="inlineStr">
        <is>
          <t>Croscarmellose Sodium</t>
        </is>
      </c>
      <c r="P117" s="10" t="n">
        <v>9.43</v>
      </c>
      <c r="Q117" s="10" t="inlineStr">
        <is>
          <t>-</t>
        </is>
      </c>
      <c r="R117" s="10" t="inlineStr">
        <is>
          <t>-</t>
        </is>
      </c>
    </row>
    <row r="118">
      <c r="A118" s="10" t="inlineStr">
        <is>
          <t>Crospovidone</t>
        </is>
      </c>
      <c r="B118" s="10" t="inlineStr">
        <is>
          <t>Disintegrant</t>
        </is>
      </c>
      <c r="C118" s="10" t="n">
        <v>34</v>
      </c>
      <c r="D118" s="5" t="n"/>
      <c r="E118" s="5" t="n"/>
      <c r="F118" s="10" t="n"/>
      <c r="G118" s="5" t="n"/>
      <c r="H118" s="5" t="n"/>
      <c r="I118" s="5" t="n"/>
      <c r="J118" s="5" t="n"/>
      <c r="K118" s="10" t="inlineStr">
        <is>
          <t>Master list</t>
        </is>
      </c>
      <c r="L118" s="5" t="n"/>
      <c r="M118" s="5" t="n"/>
      <c r="N118" s="10" t="inlineStr">
        <is>
          <t>Crospovidone- Type A; Crosspovidone A</t>
        </is>
      </c>
      <c r="O118" s="10" t="inlineStr">
        <is>
          <t>Crospovidone</t>
        </is>
      </c>
      <c r="P118" s="10" t="n">
        <v>6.02</v>
      </c>
      <c r="Q118" s="10" t="inlineStr">
        <is>
          <t>Assay, Impurities</t>
        </is>
      </c>
      <c r="R118" s="10" t="inlineStr">
        <is>
          <t>pH</t>
        </is>
      </c>
    </row>
    <row r="119">
      <c r="A119" s="10" t="inlineStr">
        <is>
          <t>Sodium Starch Glycolate</t>
        </is>
      </c>
      <c r="B119" s="10" t="inlineStr">
        <is>
          <t>Disintegrant</t>
        </is>
      </c>
      <c r="C119" s="10" t="n">
        <v>1</v>
      </c>
      <c r="D119" s="5" t="n"/>
      <c r="E119" s="5" t="n"/>
      <c r="F119" s="10" t="n"/>
      <c r="G119" s="5" t="n"/>
      <c r="H119" s="5" t="n"/>
      <c r="I119" s="5" t="n"/>
      <c r="J119" s="5" t="n"/>
      <c r="K119" s="10" t="inlineStr">
        <is>
          <t>Master list</t>
        </is>
      </c>
      <c r="L119" s="5" t="n"/>
      <c r="M119" s="5" t="n"/>
      <c r="N119" s="10" t="n"/>
      <c r="O119" s="10" t="inlineStr">
        <is>
          <t>Sodium Starch Glycolate</t>
        </is>
      </c>
      <c r="P119" s="10" t="n">
        <v>4.93</v>
      </c>
      <c r="Q119" s="10" t="inlineStr">
        <is>
          <t>-</t>
        </is>
      </c>
      <c r="R119" s="10" t="inlineStr">
        <is>
          <t>-</t>
        </is>
      </c>
    </row>
    <row r="120">
      <c r="A120" s="10" t="inlineStr">
        <is>
          <t>Calcium Hydrogen Phosphate (Dicalcium Phosphate)</t>
        </is>
      </c>
      <c r="B120" s="10" t="inlineStr">
        <is>
          <t>Filler / Diluent</t>
        </is>
      </c>
      <c r="C120" s="10" t="n">
        <v>15</v>
      </c>
      <c r="D120" s="5" t="n"/>
      <c r="E120" s="5" t="n"/>
      <c r="F120" s="10" t="n"/>
      <c r="G120" s="5" t="n"/>
      <c r="H120" s="5" t="n"/>
      <c r="I120" s="5" t="n"/>
      <c r="J120" s="5" t="n"/>
      <c r="K120" s="10" t="inlineStr">
        <is>
          <t>Master list</t>
        </is>
      </c>
      <c r="L120" s="5" t="n"/>
      <c r="M120" s="5" t="n"/>
      <c r="N120" s="10" t="inlineStr">
        <is>
          <t>Calcium Hydrogen Phosphate; Calcium Hydrogen Phosphate (DC Grade); Dicalcium Phosphate Anhydrous</t>
        </is>
      </c>
      <c r="O120" s="10" t="inlineStr">
        <is>
          <t>Anhydrous Dibasic Calcium Phosphate (confirm)</t>
        </is>
      </c>
      <c r="P120" s="10" t="n">
        <v>5.18</v>
      </c>
      <c r="Q120" s="10" t="inlineStr">
        <is>
          <t>-</t>
        </is>
      </c>
      <c r="R120" s="10" t="inlineStr">
        <is>
          <t>-</t>
        </is>
      </c>
    </row>
    <row r="121">
      <c r="A121" s="10" t="inlineStr">
        <is>
          <t>Corn Starch</t>
        </is>
      </c>
      <c r="B121" s="10" t="inlineStr">
        <is>
          <t>Filler / Diluent</t>
        </is>
      </c>
      <c r="C121" s="10" t="n">
        <v>4</v>
      </c>
      <c r="D121" s="5" t="n"/>
      <c r="E121" s="5" t="n"/>
      <c r="F121" s="10" t="n"/>
      <c r="G121" s="5" t="n"/>
      <c r="H121" s="5" t="n"/>
      <c r="I121" s="5" t="n"/>
      <c r="J121" s="5" t="n"/>
      <c r="K121" s="10" t="inlineStr">
        <is>
          <t>Master list</t>
        </is>
      </c>
      <c r="L121" s="5" t="n"/>
      <c r="M121" s="5" t="n"/>
      <c r="N121" s="10" t="n"/>
      <c r="O121" s="10" t="inlineStr">
        <is>
          <t>Corn Starch</t>
        </is>
      </c>
      <c r="P121" s="10" t="n">
        <v>3.43</v>
      </c>
      <c r="Q121" s="10" t="inlineStr">
        <is>
          <t>-</t>
        </is>
      </c>
      <c r="R121" s="10" t="inlineStr">
        <is>
          <t>-</t>
        </is>
      </c>
    </row>
    <row r="122">
      <c r="A122" s="10" t="inlineStr">
        <is>
          <t>Dibasic Calcium Phosphate Dihydrate</t>
        </is>
      </c>
      <c r="B122" s="10" t="inlineStr">
        <is>
          <t>Filler / Diluent</t>
        </is>
      </c>
      <c r="C122" s="10" t="n">
        <v>1</v>
      </c>
      <c r="D122" s="5" t="n"/>
      <c r="E122" s="5" t="n"/>
      <c r="F122" s="10" t="n"/>
      <c r="G122" s="5" t="n"/>
      <c r="H122" s="5" t="n"/>
      <c r="I122" s="5" t="n"/>
      <c r="J122" s="5" t="n"/>
      <c r="K122" s="10" t="inlineStr">
        <is>
          <t>Master list</t>
        </is>
      </c>
      <c r="L122" s="5" t="n"/>
      <c r="M122" s="5" t="n"/>
      <c r="N122" s="10" t="n"/>
      <c r="O122" s="10" t="inlineStr">
        <is>
          <t>Dibasic Calcium Phosphate Dihydrate</t>
        </is>
      </c>
      <c r="P122" s="10" t="n"/>
      <c r="Q122" s="10" t="n"/>
      <c r="R122" s="10" t="n"/>
    </row>
    <row r="123">
      <c r="A123" s="10" t="inlineStr">
        <is>
          <t>Lactose Monohydrate</t>
        </is>
      </c>
      <c r="B123" s="10" t="inlineStr">
        <is>
          <t>Filler / Diluent</t>
        </is>
      </c>
      <c r="C123" s="10" t="n">
        <v>9</v>
      </c>
      <c r="D123" s="5" t="n"/>
      <c r="E123" s="5" t="n"/>
      <c r="F123" s="10" t="n"/>
      <c r="G123" s="5" t="n"/>
      <c r="H123" s="5" t="n"/>
      <c r="I123" s="5" t="n"/>
      <c r="J123" s="5" t="n"/>
      <c r="K123" s="10" t="inlineStr">
        <is>
          <t>Master list</t>
        </is>
      </c>
      <c r="L123" s="5" t="n"/>
      <c r="M123" s="5" t="n"/>
      <c r="N123" s="10" t="inlineStr">
        <is>
          <t>Lactose Monohydrate 200; Lactose Monohydrate 80; Lactose monohydrate mesh 80 DC grade; Lactose Monohydrate Mesh-80</t>
        </is>
      </c>
      <c r="O123" s="10" t="inlineStr">
        <is>
          <t>Lactose Monohydrate</t>
        </is>
      </c>
      <c r="P123" s="10" t="n">
        <v>4.6</v>
      </c>
      <c r="Q123" s="10" t="inlineStr">
        <is>
          <t>-</t>
        </is>
      </c>
      <c r="R123" s="10" t="inlineStr">
        <is>
          <t>-</t>
        </is>
      </c>
    </row>
    <row r="124">
      <c r="A124" s="10" t="inlineStr">
        <is>
          <t>Maltodextrin</t>
        </is>
      </c>
      <c r="B124" s="10" t="inlineStr">
        <is>
          <t>Filler / Diluent</t>
        </is>
      </c>
      <c r="C124" s="10" t="n">
        <v>1</v>
      </c>
      <c r="D124" s="5" t="n"/>
      <c r="E124" s="5" t="n"/>
      <c r="F124" s="10" t="n"/>
      <c r="G124" s="5" t="n"/>
      <c r="H124" s="5" t="n"/>
      <c r="I124" s="5" t="n"/>
      <c r="J124" s="5" t="n"/>
      <c r="K124" s="10" t="inlineStr">
        <is>
          <t>Master list</t>
        </is>
      </c>
      <c r="L124" s="5" t="n"/>
      <c r="M124" s="5" t="n"/>
      <c r="N124" s="10" t="n"/>
      <c r="O124" s="10" t="inlineStr">
        <is>
          <t>Maltodextrin</t>
        </is>
      </c>
      <c r="P124" s="10" t="n">
        <v>3.02</v>
      </c>
      <c r="Q124" s="10" t="inlineStr">
        <is>
          <t>-</t>
        </is>
      </c>
      <c r="R124" s="10" t="inlineStr">
        <is>
          <t>-</t>
        </is>
      </c>
    </row>
    <row r="125">
      <c r="A125" s="10" t="inlineStr">
        <is>
          <t>Mannitol</t>
        </is>
      </c>
      <c r="B125" s="10" t="inlineStr">
        <is>
          <t>Filler / Diluent</t>
        </is>
      </c>
      <c r="C125" s="10" t="n">
        <v>25</v>
      </c>
      <c r="D125" s="5" t="n"/>
      <c r="E125" s="5" t="n"/>
      <c r="F125" s="10" t="n"/>
      <c r="G125" s="5" t="n"/>
      <c r="H125" s="5" t="n"/>
      <c r="I125" s="5" t="n"/>
      <c r="J125" s="5" t="n"/>
      <c r="K125" s="10" t="inlineStr">
        <is>
          <t>Master list</t>
        </is>
      </c>
      <c r="L125" s="5" t="n"/>
      <c r="M125" s="5" t="n"/>
      <c r="N125" s="10" t="n"/>
      <c r="O125" s="10" t="inlineStr">
        <is>
          <t>Mannitol</t>
        </is>
      </c>
      <c r="P125" s="10" t="n">
        <v>2.35</v>
      </c>
      <c r="Q125" s="10" t="inlineStr">
        <is>
          <t>ID, Assay, Impurities, Heavy metals / elements</t>
        </is>
      </c>
      <c r="R125" s="10" t="inlineStr">
        <is>
          <t>-</t>
        </is>
      </c>
    </row>
    <row r="126">
      <c r="A126" s="10" t="inlineStr">
        <is>
          <t>Microcrystalline Cellulose PH 101</t>
        </is>
      </c>
      <c r="B126" s="10" t="inlineStr">
        <is>
          <t>Filler / Diluent</t>
        </is>
      </c>
      <c r="C126" s="10" t="n">
        <v>47</v>
      </c>
      <c r="D126" s="5" t="n"/>
      <c r="E126" s="5" t="n"/>
      <c r="F126" s="10" t="n"/>
      <c r="G126" s="5" t="n"/>
      <c r="H126" s="5" t="n"/>
      <c r="I126" s="5" t="n"/>
      <c r="J126" s="5" t="n"/>
      <c r="K126" s="10" t="inlineStr">
        <is>
          <t>Master list</t>
        </is>
      </c>
      <c r="L126" s="5" t="n"/>
      <c r="M126" s="5" t="n"/>
      <c r="N126" s="10" t="inlineStr">
        <is>
          <t>Micro Cryslaline Cellulose PH101 (Avicel PH101); Microcrystalline Cellulose; Microcrystalline Cellulose 101</t>
        </is>
      </c>
      <c r="O126" s="10" t="inlineStr">
        <is>
          <t>Microcrystalline Cellulose (confirm)</t>
        </is>
      </c>
      <c r="P126" s="10" t="n">
        <v>3.77</v>
      </c>
      <c r="Q126" s="10" t="inlineStr">
        <is>
          <t>-</t>
        </is>
      </c>
      <c r="R126" s="10" t="inlineStr">
        <is>
          <t>-</t>
        </is>
      </c>
    </row>
    <row r="127">
      <c r="A127" s="10" t="inlineStr">
        <is>
          <t>Microcrystalline Cellulose PH 102</t>
        </is>
      </c>
      <c r="B127" s="10" t="inlineStr">
        <is>
          <t>Filler / Diluent</t>
        </is>
      </c>
      <c r="C127" s="10" t="n">
        <v>28</v>
      </c>
      <c r="D127" s="5" t="n"/>
      <c r="E127" s="5" t="n"/>
      <c r="F127" s="10" t="n"/>
      <c r="G127" s="5" t="n"/>
      <c r="H127" s="5" t="n"/>
      <c r="I127" s="5" t="n"/>
      <c r="J127" s="5" t="n"/>
      <c r="K127" s="10" t="inlineStr">
        <is>
          <t>Master list</t>
        </is>
      </c>
      <c r="L127" s="5" t="n"/>
      <c r="M127" s="5" t="n"/>
      <c r="N127" s="10" t="inlineStr">
        <is>
          <t>Micro Cryslaline Cellulose PH102 (Avicel PH102); Microcrystalline Cellulose 102</t>
        </is>
      </c>
      <c r="O127" s="10" t="inlineStr">
        <is>
          <t>Microcrystalline Cellulose (confirm)</t>
        </is>
      </c>
      <c r="P127" s="10" t="n">
        <v>3.77</v>
      </c>
      <c r="Q127" s="10" t="inlineStr">
        <is>
          <t>-</t>
        </is>
      </c>
      <c r="R127" s="10" t="inlineStr">
        <is>
          <t>-</t>
        </is>
      </c>
    </row>
    <row r="128">
      <c r="A128" s="10" t="inlineStr">
        <is>
          <t>Pregelatinized Starch</t>
        </is>
      </c>
      <c r="B128" s="10" t="inlineStr">
        <is>
          <t>Filler / Diluent</t>
        </is>
      </c>
      <c r="C128" s="10" t="n">
        <v>1</v>
      </c>
      <c r="D128" s="5" t="n"/>
      <c r="E128" s="5" t="n"/>
      <c r="F128" s="10" t="n"/>
      <c r="G128" s="5" t="n"/>
      <c r="H128" s="5" t="n"/>
      <c r="I128" s="5" t="n"/>
      <c r="J128" s="5" t="n"/>
      <c r="K128" s="10" t="inlineStr">
        <is>
          <t>Master list</t>
        </is>
      </c>
      <c r="L128" s="5" t="n"/>
      <c r="M128" s="5" t="n"/>
      <c r="N128" s="10" t="inlineStr">
        <is>
          <t>Corn Starch 1500 Pregelatin</t>
        </is>
      </c>
      <c r="O128" s="10" t="inlineStr">
        <is>
          <t>Pregelatinized Starch</t>
        </is>
      </c>
      <c r="P128" s="10" t="n">
        <v>3.43</v>
      </c>
      <c r="Q128" s="10" t="inlineStr">
        <is>
          <t>-</t>
        </is>
      </c>
      <c r="R128" s="10" t="inlineStr">
        <is>
          <t>ID</t>
        </is>
      </c>
    </row>
    <row r="129">
      <c r="A129" s="10" t="inlineStr">
        <is>
          <t>Cola Flavour</t>
        </is>
      </c>
      <c r="B129" s="10" t="inlineStr">
        <is>
          <t>Flavour</t>
        </is>
      </c>
      <c r="C129" s="10" t="n">
        <v>1</v>
      </c>
      <c r="D129" s="5" t="n"/>
      <c r="E129" s="5" t="n"/>
      <c r="F129" s="10" t="n"/>
      <c r="G129" s="5" t="n"/>
      <c r="H129" s="5" t="n"/>
      <c r="I129" s="5" t="n"/>
      <c r="J129" s="5" t="n"/>
      <c r="K129" s="10" t="inlineStr">
        <is>
          <t>Master list</t>
        </is>
      </c>
      <c r="L129" s="5" t="n"/>
      <c r="M129" s="5" t="n"/>
      <c r="N129" s="10" t="inlineStr">
        <is>
          <t>Cola Flavour Powder</t>
        </is>
      </c>
      <c r="O129" s="10" t="inlineStr">
        <is>
          <t>None - in-house / supplier spec</t>
        </is>
      </c>
      <c r="P129" s="10" t="n"/>
      <c r="Q129" s="10" t="n"/>
      <c r="R129" s="10" t="n"/>
    </row>
    <row r="130">
      <c r="A130" s="10" t="inlineStr">
        <is>
          <t>Honey Flavour</t>
        </is>
      </c>
      <c r="B130" s="10" t="inlineStr">
        <is>
          <t>Flavour</t>
        </is>
      </c>
      <c r="C130" s="10" t="n">
        <v>6</v>
      </c>
      <c r="D130" s="5" t="n"/>
      <c r="E130" s="5" t="n"/>
      <c r="F130" s="10" t="n"/>
      <c r="G130" s="5" t="n"/>
      <c r="H130" s="5" t="n"/>
      <c r="I130" s="5" t="n"/>
      <c r="J130" s="5" t="n"/>
      <c r="K130" s="10" t="inlineStr">
        <is>
          <t>Master list</t>
        </is>
      </c>
      <c r="L130" s="5" t="n"/>
      <c r="M130" s="5" t="n"/>
      <c r="N130" s="10" t="inlineStr">
        <is>
          <t>Honey Flovour</t>
        </is>
      </c>
      <c r="O130" s="10" t="inlineStr">
        <is>
          <t>None - in-house / supplier spec</t>
        </is>
      </c>
      <c r="P130" s="10" t="n">
        <v>0.87</v>
      </c>
      <c r="Q130" s="10" t="n"/>
      <c r="R130" s="10" t="n"/>
    </row>
    <row r="131">
      <c r="A131" s="10" t="inlineStr">
        <is>
          <t>L-Menthol</t>
        </is>
      </c>
      <c r="B131" s="10" t="inlineStr">
        <is>
          <t>Flavour</t>
        </is>
      </c>
      <c r="C131" s="10" t="n">
        <v>7</v>
      </c>
      <c r="D131" s="5" t="n"/>
      <c r="E131" s="5" t="n"/>
      <c r="F131" s="10" t="n"/>
      <c r="G131" s="5" t="n"/>
      <c r="H131" s="5" t="n"/>
      <c r="I131" s="5" t="n"/>
      <c r="J131" s="5" t="n"/>
      <c r="K131" s="10" t="inlineStr">
        <is>
          <t>Master list</t>
        </is>
      </c>
      <c r="L131" s="5" t="n"/>
      <c r="M131" s="5" t="n"/>
      <c r="N131" s="10" t="n"/>
      <c r="O131" s="10" t="inlineStr">
        <is>
          <t>Menthol (confirm)</t>
        </is>
      </c>
      <c r="P131" s="10" t="n">
        <v>26.77</v>
      </c>
      <c r="Q131" s="10" t="inlineStr">
        <is>
          <t>ID, Assay, Impurities</t>
        </is>
      </c>
      <c r="R131" s="10" t="inlineStr">
        <is>
          <t>-</t>
        </is>
      </c>
    </row>
    <row r="132">
      <c r="A132" s="10" t="inlineStr">
        <is>
          <t>Lemon Essence</t>
        </is>
      </c>
      <c r="B132" s="10" t="inlineStr">
        <is>
          <t>Flavour</t>
        </is>
      </c>
      <c r="C132" s="10" t="n">
        <v>1</v>
      </c>
      <c r="D132" s="5" t="n"/>
      <c r="E132" s="5" t="n"/>
      <c r="F132" s="10" t="n"/>
      <c r="G132" s="5" t="n"/>
      <c r="H132" s="5" t="n"/>
      <c r="I132" s="5" t="n"/>
      <c r="J132" s="5" t="n"/>
      <c r="K132" s="10" t="inlineStr">
        <is>
          <t>Master list</t>
        </is>
      </c>
      <c r="L132" s="5" t="n"/>
      <c r="M132" s="5" t="n"/>
      <c r="N132" s="10" t="n"/>
      <c r="O132" s="10" t="inlineStr">
        <is>
          <t>None - in-house / supplier spec</t>
        </is>
      </c>
      <c r="P132" s="10" t="n"/>
      <c r="Q132" s="10" t="n"/>
      <c r="R132" s="10" t="n"/>
    </row>
    <row r="133">
      <c r="A133" s="10" t="inlineStr">
        <is>
          <t>Lemon Flavour</t>
        </is>
      </c>
      <c r="B133" s="10" t="inlineStr">
        <is>
          <t>Flavour</t>
        </is>
      </c>
      <c r="C133" s="10" t="n">
        <v>8</v>
      </c>
      <c r="D133" s="5" t="n"/>
      <c r="E133" s="5" t="n"/>
      <c r="F133" s="10" t="n"/>
      <c r="G133" s="5" t="n"/>
      <c r="H133" s="5" t="n"/>
      <c r="I133" s="5" t="n"/>
      <c r="J133" s="5" t="n"/>
      <c r="K133" s="10" t="inlineStr">
        <is>
          <t>Master list</t>
        </is>
      </c>
      <c r="L133" s="5" t="n"/>
      <c r="M133" s="5" t="n"/>
      <c r="N133" s="10" t="inlineStr">
        <is>
          <t>Lemon Flovour</t>
        </is>
      </c>
      <c r="O133" s="10" t="inlineStr">
        <is>
          <t>None - in-house / supplier spec</t>
        </is>
      </c>
      <c r="P133" s="10" t="n">
        <v>0.9</v>
      </c>
      <c r="Q133" s="10" t="n"/>
      <c r="R133" s="10" t="n"/>
    </row>
    <row r="134">
      <c r="A134" s="10" t="inlineStr">
        <is>
          <t>Mint Essence</t>
        </is>
      </c>
      <c r="B134" s="10" t="inlineStr">
        <is>
          <t>Flavour</t>
        </is>
      </c>
      <c r="C134" s="10" t="n">
        <v>1</v>
      </c>
      <c r="D134" s="5" t="n"/>
      <c r="E134" s="5" t="n"/>
      <c r="F134" s="10" t="n"/>
      <c r="G134" s="5" t="n"/>
      <c r="H134" s="5" t="n"/>
      <c r="I134" s="5" t="n"/>
      <c r="J134" s="5" t="n"/>
      <c r="K134" s="10" t="inlineStr">
        <is>
          <t>Master list</t>
        </is>
      </c>
      <c r="L134" s="5" t="n"/>
      <c r="M134" s="5" t="n"/>
      <c r="N134" s="10" t="n"/>
      <c r="O134" s="10" t="inlineStr">
        <is>
          <t>None - in-house / supplier spec</t>
        </is>
      </c>
      <c r="P134" s="10" t="n"/>
      <c r="Q134" s="10" t="n"/>
      <c r="R134" s="10" t="n"/>
    </row>
    <row r="135">
      <c r="A135" s="10" t="inlineStr">
        <is>
          <t>Mint Flavour</t>
        </is>
      </c>
      <c r="B135" s="10" t="inlineStr">
        <is>
          <t>Flavour</t>
        </is>
      </c>
      <c r="C135" s="10" t="n">
        <v>2</v>
      </c>
      <c r="D135" s="5" t="n"/>
      <c r="E135" s="5" t="n"/>
      <c r="F135" s="10" t="n"/>
      <c r="G135" s="5" t="n"/>
      <c r="H135" s="5" t="n"/>
      <c r="I135" s="5" t="n"/>
      <c r="J135" s="5" t="n"/>
      <c r="K135" s="10" t="inlineStr">
        <is>
          <t>Master list</t>
        </is>
      </c>
      <c r="L135" s="5" t="n"/>
      <c r="M135" s="5" t="n"/>
      <c r="N135" s="10" t="inlineStr">
        <is>
          <t>Mint Essence; Mint Flavour (Powder)</t>
        </is>
      </c>
      <c r="O135" s="10" t="inlineStr">
        <is>
          <t>None - in-house / supplier spec</t>
        </is>
      </c>
      <c r="P135" s="10" t="n"/>
      <c r="Q135" s="10" t="n"/>
      <c r="R135" s="10" t="n"/>
    </row>
    <row r="136">
      <c r="A136" s="10" t="inlineStr">
        <is>
          <t>Orange Flavour</t>
        </is>
      </c>
      <c r="B136" s="10" t="inlineStr">
        <is>
          <t>Flavour</t>
        </is>
      </c>
      <c r="C136" s="10" t="n">
        <v>6</v>
      </c>
      <c r="D136" s="5" t="n"/>
      <c r="E136" s="5" t="n"/>
      <c r="F136" s="10" t="n"/>
      <c r="G136" s="5" t="n"/>
      <c r="H136" s="5" t="n"/>
      <c r="I136" s="5" t="n"/>
      <c r="J136" s="5" t="n"/>
      <c r="K136" s="10" t="inlineStr">
        <is>
          <t>Master list</t>
        </is>
      </c>
      <c r="L136" s="5" t="n"/>
      <c r="M136" s="5" t="n"/>
      <c r="N136" s="10" t="inlineStr">
        <is>
          <t>Orange Flavour Liquid; Orange Flavour Powder (Firmenich 05605TP0551)</t>
        </is>
      </c>
      <c r="O136" s="10" t="inlineStr">
        <is>
          <t>None - in-house / supplier spec</t>
        </is>
      </c>
      <c r="P136" s="10" t="n">
        <v>0.37</v>
      </c>
      <c r="Q136" s="10" t="n"/>
      <c r="R136" s="10" t="n"/>
    </row>
    <row r="137">
      <c r="A137" s="10" t="inlineStr">
        <is>
          <t>Sour Cherry Flavour</t>
        </is>
      </c>
      <c r="B137" s="10" t="inlineStr">
        <is>
          <t>Flavour</t>
        </is>
      </c>
      <c r="C137" s="10" t="n">
        <v>1</v>
      </c>
      <c r="D137" s="5" t="n"/>
      <c r="E137" s="5" t="n"/>
      <c r="F137" s="10" t="n"/>
      <c r="G137" s="5" t="n"/>
      <c r="H137" s="5" t="n"/>
      <c r="I137" s="5" t="n"/>
      <c r="J137" s="5" t="n"/>
      <c r="K137" s="10" t="inlineStr">
        <is>
          <t>Master list</t>
        </is>
      </c>
      <c r="L137" s="5" t="n"/>
      <c r="M137" s="5" t="n"/>
      <c r="N137" s="10" t="inlineStr">
        <is>
          <t>Sour cherry Flavour; Sour Cherry Flovour</t>
        </is>
      </c>
      <c r="O137" s="10" t="inlineStr">
        <is>
          <t>None - in-house / supplier spec</t>
        </is>
      </c>
      <c r="P137" s="10" t="n">
        <v>0.35</v>
      </c>
      <c r="Q137" s="10" t="n"/>
      <c r="R137" s="10" t="n"/>
    </row>
    <row r="138">
      <c r="A138" s="10" t="inlineStr">
        <is>
          <t>Strawberry Flavour</t>
        </is>
      </c>
      <c r="B138" s="10" t="inlineStr">
        <is>
          <t>Flavour</t>
        </is>
      </c>
      <c r="C138" s="10" t="n">
        <v>1</v>
      </c>
      <c r="D138" s="5" t="n"/>
      <c r="E138" s="5" t="n"/>
      <c r="F138" s="10" t="n"/>
      <c r="G138" s="5" t="n"/>
      <c r="H138" s="5" t="n"/>
      <c r="I138" s="5" t="n"/>
      <c r="J138" s="5" t="n"/>
      <c r="K138" s="10" t="inlineStr">
        <is>
          <t>Master list</t>
        </is>
      </c>
      <c r="L138" s="5" t="n"/>
      <c r="M138" s="5" t="n"/>
      <c r="N138" s="10" t="inlineStr">
        <is>
          <t>Powder Strawberry Flovour (Firmenich); Strawberry Liquid Flovour; Strawberry Liquid Flovour (Firmenich 052311B)</t>
        </is>
      </c>
      <c r="O138" s="10" t="inlineStr">
        <is>
          <t>None - in-house / supplier spec</t>
        </is>
      </c>
      <c r="P138" s="10" t="n">
        <v>0.85</v>
      </c>
      <c r="Q138" s="10" t="n"/>
      <c r="R138" s="10" t="n"/>
    </row>
    <row r="139">
      <c r="A139" s="10" t="inlineStr">
        <is>
          <t>Colloidal Silicon Dioxide</t>
        </is>
      </c>
      <c r="B139" s="10" t="inlineStr">
        <is>
          <t>Glidant</t>
        </is>
      </c>
      <c r="C139" s="10" t="n">
        <v>75</v>
      </c>
      <c r="D139" s="5" t="n"/>
      <c r="E139" s="5" t="n"/>
      <c r="F139" s="10" t="n"/>
      <c r="G139" s="5" t="n"/>
      <c r="H139" s="5" t="n"/>
      <c r="I139" s="5" t="n"/>
      <c r="J139" s="5" t="n"/>
      <c r="K139" s="10" t="inlineStr">
        <is>
          <t>Master list</t>
        </is>
      </c>
      <c r="L139" s="5" t="n"/>
      <c r="M139" s="5" t="n"/>
      <c r="N139" s="10" t="inlineStr">
        <is>
          <t>Silica Colloidal Anhydrous (Aerosil)</t>
        </is>
      </c>
      <c r="O139" s="10" t="inlineStr">
        <is>
          <t>Colloidal Silicon Dioxide</t>
        </is>
      </c>
      <c r="P139" s="10" t="n">
        <v>1.85</v>
      </c>
      <c r="Q139" s="10" t="inlineStr">
        <is>
          <t>ID, LOD, Heavy metals / elements</t>
        </is>
      </c>
      <c r="R139" s="10" t="inlineStr">
        <is>
          <t>Chloride / sulfate</t>
        </is>
      </c>
    </row>
    <row r="140">
      <c r="A140" s="10" t="inlineStr">
        <is>
          <t>Talc</t>
        </is>
      </c>
      <c r="B140" s="10" t="inlineStr">
        <is>
          <t>Glidant / Anti-tacking</t>
        </is>
      </c>
      <c r="C140" s="10" t="n">
        <v>57</v>
      </c>
      <c r="D140" s="5" t="n"/>
      <c r="E140" s="5" t="n"/>
      <c r="F140" s="10" t="n"/>
      <c r="G140" s="5" t="n"/>
      <c r="H140" s="5" t="n"/>
      <c r="I140" s="5" t="n"/>
      <c r="J140" s="5" t="n"/>
      <c r="K140" s="10" t="inlineStr">
        <is>
          <t>Master list</t>
        </is>
      </c>
      <c r="L140" s="5" t="n"/>
      <c r="M140" s="5" t="n"/>
      <c r="N140" s="10" t="n"/>
      <c r="O140" s="10" t="inlineStr">
        <is>
          <t>Talc</t>
        </is>
      </c>
      <c r="P140" s="10" t="n">
        <v>4.27</v>
      </c>
      <c r="Q140" s="10" t="inlineStr">
        <is>
          <t>Assay, Heavy metals / elements</t>
        </is>
      </c>
      <c r="R140" s="10" t="inlineStr">
        <is>
          <t>-</t>
        </is>
      </c>
    </row>
    <row r="141">
      <c r="A141" s="10" t="inlineStr">
        <is>
          <t>Magnesium Stearate</t>
        </is>
      </c>
      <c r="B141" s="10" t="inlineStr">
        <is>
          <t>Lubricant</t>
        </is>
      </c>
      <c r="C141" s="10" t="n">
        <v>73</v>
      </c>
      <c r="D141" s="5" t="n"/>
      <c r="E141" s="5" t="n"/>
      <c r="F141" s="10" t="n"/>
      <c r="G141" s="5" t="n"/>
      <c r="H141" s="5" t="n"/>
      <c r="I141" s="5" t="n"/>
      <c r="J141" s="5" t="n"/>
      <c r="K141" s="10" t="inlineStr">
        <is>
          <t>Master list</t>
        </is>
      </c>
      <c r="L141" s="5" t="n"/>
      <c r="M141" s="5" t="n"/>
      <c r="N141" s="10" t="n"/>
      <c r="O141" s="10" t="inlineStr">
        <is>
          <t>Magnesium Stearate</t>
        </is>
      </c>
      <c r="P141" s="10" t="n">
        <v>3.52</v>
      </c>
      <c r="Q141" s="10" t="inlineStr">
        <is>
          <t>Heavy metals / elements</t>
        </is>
      </c>
      <c r="R141" s="10" t="inlineStr">
        <is>
          <t>-</t>
        </is>
      </c>
    </row>
    <row r="142">
      <c r="A142" s="10" t="inlineStr">
        <is>
          <t>Sodium Stearyl Fumarate</t>
        </is>
      </c>
      <c r="B142" s="10" t="inlineStr">
        <is>
          <t>Lubricant</t>
        </is>
      </c>
      <c r="C142" s="10" t="n">
        <v>11</v>
      </c>
      <c r="D142" s="5" t="n"/>
      <c r="E142" s="5" t="n"/>
      <c r="F142" s="10" t="n"/>
      <c r="G142" s="5" t="n"/>
      <c r="H142" s="5" t="n"/>
      <c r="I142" s="5" t="n"/>
      <c r="J142" s="5" t="n"/>
      <c r="K142" s="10" t="inlineStr">
        <is>
          <t>Master list</t>
        </is>
      </c>
      <c r="L142" s="5" t="n"/>
      <c r="M142" s="5" t="n"/>
      <c r="N142" s="10" t="n"/>
      <c r="O142" s="10" t="inlineStr">
        <is>
          <t>Sodium Stearyl Fumarate</t>
        </is>
      </c>
      <c r="P142" s="10" t="n">
        <v>4.35</v>
      </c>
      <c r="Q142" s="10" t="inlineStr">
        <is>
          <t>ID, Heavy metals / elements</t>
        </is>
      </c>
      <c r="R142" s="10" t="inlineStr">
        <is>
          <t>-</t>
        </is>
      </c>
    </row>
    <row r="143">
      <c r="A143" s="10" t="inlineStr">
        <is>
          <t>Titanium Dioxide</t>
        </is>
      </c>
      <c r="B143" s="10" t="inlineStr">
        <is>
          <t>Opacifier</t>
        </is>
      </c>
      <c r="C143" s="10" t="n">
        <v>57</v>
      </c>
      <c r="D143" s="5" t="n"/>
      <c r="E143" s="5" t="n"/>
      <c r="F143" s="10" t="n"/>
      <c r="G143" s="5" t="n"/>
      <c r="H143" s="5" t="n"/>
      <c r="I143" s="5" t="n"/>
      <c r="J143" s="5" t="n"/>
      <c r="K143" s="10" t="inlineStr">
        <is>
          <t>Master list</t>
        </is>
      </c>
      <c r="L143" s="5" t="n"/>
      <c r="M143" s="5" t="n"/>
      <c r="N143" s="10" t="n"/>
      <c r="O143" s="10" t="inlineStr">
        <is>
          <t>Titanium Dioxide</t>
        </is>
      </c>
      <c r="P143" s="10" t="n">
        <v>6.85</v>
      </c>
      <c r="Q143" s="10" t="inlineStr">
        <is>
          <t>Heavy metals / elements</t>
        </is>
      </c>
      <c r="R143" s="10" t="inlineStr">
        <is>
          <t>-</t>
        </is>
      </c>
    </row>
    <row r="144">
      <c r="A144" s="10" t="inlineStr">
        <is>
          <t>Phenylethyl Alcohol</t>
        </is>
      </c>
      <c r="B144" s="10" t="inlineStr">
        <is>
          <t>Other Excipient</t>
        </is>
      </c>
      <c r="C144" s="10" t="n">
        <v>1</v>
      </c>
      <c r="D144" s="5" t="n"/>
      <c r="E144" s="5" t="n"/>
      <c r="F144" s="10" t="n"/>
      <c r="G144" s="5" t="n"/>
      <c r="H144" s="5" t="n"/>
      <c r="I144" s="5" t="n"/>
      <c r="J144" s="5" t="n"/>
      <c r="K144" s="10" t="inlineStr">
        <is>
          <t>Master list</t>
        </is>
      </c>
      <c r="L144" s="5" t="n"/>
      <c r="M144" s="5" t="n"/>
      <c r="N144" s="10" t="n"/>
      <c r="O144" s="10" t="inlineStr">
        <is>
          <t>Phenylethyl Alcohol</t>
        </is>
      </c>
      <c r="P144" s="10" t="n"/>
      <c r="Q144" s="10" t="n"/>
      <c r="R144" s="10" t="n"/>
    </row>
    <row r="145">
      <c r="A145" s="10" t="inlineStr">
        <is>
          <t>Sodium Chloride</t>
        </is>
      </c>
      <c r="B145" s="10" t="inlineStr">
        <is>
          <t>Other Excipient</t>
        </is>
      </c>
      <c r="C145" s="10" t="n">
        <v>2</v>
      </c>
      <c r="D145" s="5" t="n"/>
      <c r="E145" s="5" t="n"/>
      <c r="F145" s="10" t="n"/>
      <c r="G145" s="5" t="n"/>
      <c r="H145" s="5" t="n"/>
      <c r="I145" s="5" t="n"/>
      <c r="J145" s="5" t="n"/>
      <c r="K145" s="10" t="inlineStr">
        <is>
          <t>Master list</t>
        </is>
      </c>
      <c r="L145" s="5" t="n"/>
      <c r="M145" s="5" t="n"/>
      <c r="N145" s="10" t="n"/>
      <c r="O145" s="10" t="inlineStr">
        <is>
          <t>Sodium Chloride</t>
        </is>
      </c>
      <c r="P145" s="10" t="n">
        <v>6.02</v>
      </c>
      <c r="Q145" s="10" t="inlineStr">
        <is>
          <t>Heavy metals / elements, Chloride / sulfate</t>
        </is>
      </c>
      <c r="R145" s="10" t="inlineStr">
        <is>
          <t>-</t>
        </is>
      </c>
    </row>
    <row r="146">
      <c r="A146" s="10" t="inlineStr">
        <is>
          <t>Polyethylene Glycol (grade not stated)</t>
        </is>
      </c>
      <c r="B146" s="10" t="inlineStr">
        <is>
          <t>Plasticizer</t>
        </is>
      </c>
      <c r="C146" s="10" t="n">
        <v>3</v>
      </c>
      <c r="D146" s="5" t="n"/>
      <c r="E146" s="5" t="n"/>
      <c r="F146" s="10" t="n"/>
      <c r="G146" s="5" t="n"/>
      <c r="H146" s="5" t="n"/>
      <c r="I146" s="5" t="n"/>
      <c r="J146" s="5" t="n"/>
      <c r="K146" s="10" t="inlineStr">
        <is>
          <t>Master list</t>
        </is>
      </c>
      <c r="L146" s="5" t="n"/>
      <c r="M146" s="5" t="n"/>
      <c r="N146" s="10" t="n"/>
      <c r="O146" s="10" t="inlineStr">
        <is>
          <t>Polyethylene Glycol</t>
        </is>
      </c>
      <c r="P146" s="10" t="n"/>
      <c r="Q146" s="10" t="n"/>
      <c r="R146" s="10" t="n"/>
    </row>
    <row r="147">
      <c r="A147" s="10" t="inlineStr">
        <is>
          <t>Polyethylene Glycol 4000 (PEG 4000)</t>
        </is>
      </c>
      <c r="B147" s="10" t="inlineStr">
        <is>
          <t>Plasticizer</t>
        </is>
      </c>
      <c r="C147" s="10" t="n">
        <v>54</v>
      </c>
      <c r="D147" s="5" t="n"/>
      <c r="E147" s="5" t="n"/>
      <c r="F147" s="10" t="n"/>
      <c r="G147" s="5" t="n"/>
      <c r="H147" s="5" t="n"/>
      <c r="I147" s="5" t="n"/>
      <c r="J147" s="5" t="n"/>
      <c r="K147" s="10" t="inlineStr">
        <is>
          <t>Master list</t>
        </is>
      </c>
      <c r="L147" s="5" t="n"/>
      <c r="M147" s="5" t="n"/>
      <c r="N147" s="10" t="inlineStr">
        <is>
          <t>PEG 4000; Poly Ethylen Glycol 4000 (PEG 4000); Polyethylene Glycol 4000</t>
        </is>
      </c>
      <c r="O147" s="10" t="inlineStr">
        <is>
          <t>Polyethylene Glycol (confirm)</t>
        </is>
      </c>
      <c r="P147" s="10" t="n">
        <v>3.6</v>
      </c>
      <c r="Q147" s="10" t="inlineStr">
        <is>
          <t>Assay, Impurities, Viscosity</t>
        </is>
      </c>
      <c r="R147" s="10" t="inlineStr">
        <is>
          <t>-</t>
        </is>
      </c>
    </row>
    <row r="148">
      <c r="A148" s="10" t="inlineStr">
        <is>
          <t>Triacetin</t>
        </is>
      </c>
      <c r="B148" s="10" t="inlineStr">
        <is>
          <t>Plasticizer</t>
        </is>
      </c>
      <c r="C148" s="10" t="n">
        <v>2</v>
      </c>
      <c r="D148" s="5" t="n"/>
      <c r="E148" s="5" t="n"/>
      <c r="F148" s="10" t="n"/>
      <c r="G148" s="5" t="n"/>
      <c r="H148" s="5" t="n"/>
      <c r="I148" s="5" t="n"/>
      <c r="J148" s="5" t="n"/>
      <c r="K148" s="10" t="inlineStr">
        <is>
          <t>Master list</t>
        </is>
      </c>
      <c r="L148" s="5" t="n"/>
      <c r="M148" s="5" t="n"/>
      <c r="N148" s="10" t="n"/>
      <c r="O148" s="10" t="inlineStr">
        <is>
          <t>Triacetin</t>
        </is>
      </c>
      <c r="P148" s="10" t="n">
        <v>1.1</v>
      </c>
      <c r="Q148" s="10" t="inlineStr">
        <is>
          <t>ID</t>
        </is>
      </c>
      <c r="R148" s="10" t="inlineStr">
        <is>
          <t>-</t>
        </is>
      </c>
    </row>
    <row r="149">
      <c r="A149" s="10" t="inlineStr">
        <is>
          <t>Glycerine</t>
        </is>
      </c>
      <c r="B149" s="10" t="inlineStr">
        <is>
          <t>Plasticizer / Humectant</t>
        </is>
      </c>
      <c r="C149" s="10" t="n">
        <v>1</v>
      </c>
      <c r="D149" s="5" t="n"/>
      <c r="E149" s="5" t="n"/>
      <c r="F149" s="10" t="n"/>
      <c r="G149" s="5" t="n"/>
      <c r="H149" s="5" t="n"/>
      <c r="I149" s="5" t="n"/>
      <c r="J149" s="5" t="n"/>
      <c r="K149" s="10" t="inlineStr">
        <is>
          <t>Master list</t>
        </is>
      </c>
      <c r="L149" s="5" t="n"/>
      <c r="M149" s="5" t="n"/>
      <c r="N149" s="10" t="n"/>
      <c r="O149" s="10" t="inlineStr">
        <is>
          <t>Glycerin (confirm)</t>
        </is>
      </c>
      <c r="P149" s="10" t="n">
        <v>3.93</v>
      </c>
      <c r="Q149" s="10" t="inlineStr">
        <is>
          <t>ID, Impurities</t>
        </is>
      </c>
      <c r="R149" s="10" t="inlineStr">
        <is>
          <t>-</t>
        </is>
      </c>
    </row>
    <row r="150">
      <c r="A150" s="10" t="inlineStr">
        <is>
          <t>Propylene Glycol</t>
        </is>
      </c>
      <c r="B150" s="10" t="inlineStr">
        <is>
          <t>Plasticizer / Humectant</t>
        </is>
      </c>
      <c r="C150" s="10" t="n">
        <v>6</v>
      </c>
      <c r="D150" s="5" t="n"/>
      <c r="E150" s="5" t="n"/>
      <c r="F150" s="10" t="n"/>
      <c r="G150" s="5" t="n"/>
      <c r="H150" s="5" t="n"/>
      <c r="I150" s="5" t="n"/>
      <c r="J150" s="5" t="n"/>
      <c r="K150" s="10" t="inlineStr">
        <is>
          <t>Master list</t>
        </is>
      </c>
      <c r="L150" s="5" t="n"/>
      <c r="M150" s="5" t="n"/>
      <c r="N150" s="10" t="inlineStr">
        <is>
          <t>Propylen Glaycol</t>
        </is>
      </c>
      <c r="O150" s="10" t="inlineStr">
        <is>
          <t>Propylene Glycol</t>
        </is>
      </c>
      <c r="P150" s="10" t="n"/>
      <c r="Q150" s="10" t="n"/>
      <c r="R150" s="10" t="n"/>
    </row>
    <row r="151">
      <c r="A151" s="10" t="inlineStr">
        <is>
          <t>Benzalkonium Alcohol 50%</t>
        </is>
      </c>
      <c r="B151" s="10" t="inlineStr">
        <is>
          <t>Preservative</t>
        </is>
      </c>
      <c r="C151" s="10" t="n">
        <v>1</v>
      </c>
      <c r="D151" s="5" t="n"/>
      <c r="E151" s="5" t="n"/>
      <c r="F151" s="10" t="n"/>
      <c r="G151" s="5" t="n"/>
      <c r="H151" s="5" t="n"/>
      <c r="I151" s="5" t="n"/>
      <c r="J151" s="5" t="n"/>
      <c r="K151" s="10" t="inlineStr">
        <is>
          <t>Master list</t>
        </is>
      </c>
      <c r="L151" s="5" t="n"/>
      <c r="M151" s="5" t="n"/>
      <c r="N151" s="10" t="inlineStr">
        <is>
          <t>Benzalkonium Chloride</t>
        </is>
      </c>
      <c r="O151" s="10" t="inlineStr">
        <is>
          <t>Benzalkonium Chloride Solution (confirm)</t>
        </is>
      </c>
      <c r="P151" s="10" t="n">
        <v>8.18</v>
      </c>
      <c r="Q151" s="10" t="inlineStr">
        <is>
          <t>Impurities</t>
        </is>
      </c>
      <c r="R151" s="10" t="inlineStr">
        <is>
          <t>Water (KF), ROI / ash</t>
        </is>
      </c>
    </row>
    <row r="152">
      <c r="A152" s="10" t="inlineStr">
        <is>
          <t>Methyl Paraben</t>
        </is>
      </c>
      <c r="B152" s="10" t="inlineStr">
        <is>
          <t>Preservative</t>
        </is>
      </c>
      <c r="C152" s="10" t="n">
        <v>5</v>
      </c>
      <c r="D152" s="5" t="n"/>
      <c r="E152" s="5" t="n"/>
      <c r="F152" s="10" t="n"/>
      <c r="G152" s="5" t="n"/>
      <c r="H152" s="5" t="n"/>
      <c r="I152" s="5" t="n"/>
      <c r="J152" s="5" t="n"/>
      <c r="K152" s="10" t="inlineStr">
        <is>
          <t>Master list</t>
        </is>
      </c>
      <c r="L152" s="5" t="n"/>
      <c r="M152" s="5" t="n"/>
      <c r="N152" s="10" t="n"/>
      <c r="O152" s="10" t="inlineStr">
        <is>
          <t>Methylparaben</t>
        </is>
      </c>
      <c r="P152" s="10" t="n">
        <v>9.52</v>
      </c>
      <c r="Q152" s="10" t="inlineStr">
        <is>
          <t>ID, Assay</t>
        </is>
      </c>
      <c r="R152" s="10" t="inlineStr">
        <is>
          <t>Melting</t>
        </is>
      </c>
    </row>
    <row r="153">
      <c r="A153" s="10" t="inlineStr">
        <is>
          <t>Propyl Paraben</t>
        </is>
      </c>
      <c r="B153" s="10" t="inlineStr">
        <is>
          <t>Preservative</t>
        </is>
      </c>
      <c r="C153" s="10" t="n">
        <v>5</v>
      </c>
      <c r="D153" s="5" t="n"/>
      <c r="E153" s="5" t="n"/>
      <c r="F153" s="10" t="n"/>
      <c r="G153" s="5" t="n"/>
      <c r="H153" s="5" t="n"/>
      <c r="I153" s="5" t="n"/>
      <c r="J153" s="5" t="n"/>
      <c r="K153" s="10" t="inlineStr">
        <is>
          <t>Master list</t>
        </is>
      </c>
      <c r="L153" s="5" t="n"/>
      <c r="M153" s="5" t="n"/>
      <c r="N153" s="10" t="n"/>
      <c r="O153" s="10" t="inlineStr">
        <is>
          <t>Propylparaben</t>
        </is>
      </c>
      <c r="P153" s="10" t="n"/>
      <c r="Q153" s="10" t="n"/>
      <c r="R153" s="10" t="n"/>
    </row>
    <row r="154">
      <c r="A154" s="10" t="inlineStr">
        <is>
          <t>Sodium Benzoate</t>
        </is>
      </c>
      <c r="B154" s="10" t="inlineStr">
        <is>
          <t>Preservative</t>
        </is>
      </c>
      <c r="C154" s="10" t="n">
        <v>5</v>
      </c>
      <c r="D154" s="5" t="n"/>
      <c r="E154" s="5" t="n"/>
      <c r="F154" s="10" t="n"/>
      <c r="G154" s="5" t="n"/>
      <c r="H154" s="5" t="n"/>
      <c r="I154" s="5" t="n"/>
      <c r="J154" s="5" t="n"/>
      <c r="K154" s="10" t="inlineStr">
        <is>
          <t>Master list</t>
        </is>
      </c>
      <c r="L154" s="5" t="n"/>
      <c r="M154" s="5" t="n"/>
      <c r="N154" s="10" t="inlineStr">
        <is>
          <t>Sodium benzoate</t>
        </is>
      </c>
      <c r="O154" s="10" t="inlineStr">
        <is>
          <t>Sodium Benzoate</t>
        </is>
      </c>
      <c r="P154" s="10" t="n">
        <v>7.27</v>
      </c>
      <c r="Q154" s="10" t="inlineStr">
        <is>
          <t>ID</t>
        </is>
      </c>
      <c r="R154" s="10" t="inlineStr">
        <is>
          <t>-</t>
        </is>
      </c>
    </row>
    <row r="155">
      <c r="A155" s="10" t="inlineStr">
        <is>
          <t>Glyceryl Behenate (Compritol 888 ATO)</t>
        </is>
      </c>
      <c r="B155" s="10" t="inlineStr">
        <is>
          <t>Release / Matrix Polymer</t>
        </is>
      </c>
      <c r="C155" s="10" t="n">
        <v>6</v>
      </c>
      <c r="D155" s="5" t="n"/>
      <c r="E155" s="5" t="n"/>
      <c r="F155" s="10" t="n"/>
      <c r="G155" s="5" t="n"/>
      <c r="H155" s="5" t="n"/>
      <c r="I155" s="5" t="n"/>
      <c r="J155" s="5" t="n"/>
      <c r="K155" s="10" t="inlineStr">
        <is>
          <t>Master list</t>
        </is>
      </c>
      <c r="L155" s="5" t="n"/>
      <c r="M155" s="5" t="n"/>
      <c r="N155" s="10" t="inlineStr">
        <is>
          <t>Compritol 888 ATO (Glyceryl Dibehenate)</t>
        </is>
      </c>
      <c r="O155" s="10" t="inlineStr">
        <is>
          <t>Glyceryl Dibehenate (confirm)</t>
        </is>
      </c>
      <c r="P155" s="10" t="n">
        <v>2.6</v>
      </c>
      <c r="Q155" s="10" t="inlineStr">
        <is>
          <t>ID, Assay, Impurities</t>
        </is>
      </c>
      <c r="R155" s="10" t="inlineStr">
        <is>
          <t>-</t>
        </is>
      </c>
    </row>
    <row r="156">
      <c r="A156" s="10" t="inlineStr">
        <is>
          <t>HPMC K100M (100,000 cps CR)</t>
        </is>
      </c>
      <c r="B156" s="10" t="inlineStr">
        <is>
          <t>Release / Matrix Polymer</t>
        </is>
      </c>
      <c r="C156" s="10" t="n">
        <v>8</v>
      </c>
      <c r="D156" s="5" t="n"/>
      <c r="E156" s="5" t="n"/>
      <c r="F156" s="10" t="n"/>
      <c r="G156" s="5" t="n"/>
      <c r="H156" s="5" t="n"/>
      <c r="I156" s="5" t="n"/>
      <c r="J156" s="5" t="n"/>
      <c r="K156" s="10" t="inlineStr">
        <is>
          <t>Master list</t>
        </is>
      </c>
      <c r="L156" s="5" t="n"/>
      <c r="M156" s="5" t="n"/>
      <c r="N156" s="10" t="n"/>
      <c r="O156" s="10" t="inlineStr">
        <is>
          <t>Hypromellose (confirm)</t>
        </is>
      </c>
      <c r="P156" s="10" t="n"/>
      <c r="Q156" s="10" t="n"/>
      <c r="R156" s="10" t="n"/>
    </row>
    <row r="157">
      <c r="A157" s="10" t="inlineStr">
        <is>
          <t>HPMC K15M (15,000 cps CR)</t>
        </is>
      </c>
      <c r="B157" s="10" t="inlineStr">
        <is>
          <t>Release / Matrix Polymer</t>
        </is>
      </c>
      <c r="C157" s="10" t="n">
        <v>1</v>
      </c>
      <c r="D157" s="5" t="n"/>
      <c r="E157" s="5" t="n"/>
      <c r="F157" s="10" t="n"/>
      <c r="G157" s="5" t="n"/>
      <c r="H157" s="5" t="n"/>
      <c r="I157" s="5" t="n"/>
      <c r="J157" s="5" t="n"/>
      <c r="K157" s="10" t="inlineStr">
        <is>
          <t>Master list</t>
        </is>
      </c>
      <c r="L157" s="5" t="n"/>
      <c r="M157" s="5" t="n"/>
      <c r="N157" s="10" t="inlineStr">
        <is>
          <t>HPMC K15M</t>
        </is>
      </c>
      <c r="O157" s="10" t="inlineStr">
        <is>
          <t>Hypromellose (confirm)</t>
        </is>
      </c>
      <c r="P157" s="10" t="n"/>
      <c r="Q157" s="10" t="n"/>
      <c r="R157" s="10" t="n"/>
    </row>
    <row r="158">
      <c r="A158" s="10" t="inlineStr">
        <is>
          <t>HPMC K4M</t>
        </is>
      </c>
      <c r="B158" s="10" t="inlineStr">
        <is>
          <t>Release / Matrix Polymer</t>
        </is>
      </c>
      <c r="C158" s="10" t="n">
        <v>4</v>
      </c>
      <c r="D158" s="5" t="n"/>
      <c r="E158" s="5" t="n"/>
      <c r="F158" s="10" t="n"/>
      <c r="G158" s="5" t="n"/>
      <c r="H158" s="5" t="n"/>
      <c r="I158" s="5" t="n"/>
      <c r="J158" s="5" t="n"/>
      <c r="K158" s="10" t="inlineStr">
        <is>
          <t>Master list</t>
        </is>
      </c>
      <c r="L158" s="5" t="n"/>
      <c r="M158" s="5" t="n"/>
      <c r="N158" s="10" t="inlineStr">
        <is>
          <t>HYDROXY PROPYL METHYL CELLULOSE-K4M; Hypermellose (HPMC Benecel E4M)</t>
        </is>
      </c>
      <c r="O158" s="10" t="inlineStr">
        <is>
          <t>Hypromellose (confirm)</t>
        </is>
      </c>
      <c r="P158" s="10" t="n"/>
      <c r="Q158" s="10" t="n"/>
      <c r="R158" s="10" t="n"/>
    </row>
    <row r="159">
      <c r="A159" s="10" t="inlineStr">
        <is>
          <t>Methacrylic Acid Copolymer (Eudragit L100-55)</t>
        </is>
      </c>
      <c r="B159" s="10" t="inlineStr">
        <is>
          <t>Release / Matrix Polymer</t>
        </is>
      </c>
      <c r="C159" s="10" t="n">
        <v>1</v>
      </c>
      <c r="D159" s="5" t="n"/>
      <c r="E159" s="5" t="n"/>
      <c r="F159" s="10" t="n"/>
      <c r="G159" s="5" t="n"/>
      <c r="H159" s="5" t="n"/>
      <c r="I159" s="5" t="n"/>
      <c r="J159" s="5" t="n"/>
      <c r="K159" s="10" t="inlineStr">
        <is>
          <t>Master list</t>
        </is>
      </c>
      <c r="L159" s="5" t="n"/>
      <c r="M159" s="5" t="n"/>
      <c r="N159" s="10" t="inlineStr">
        <is>
          <t>Metaacrylic Acid Copolymer (Type C) (Eudragit L100-55)</t>
        </is>
      </c>
      <c r="O159" s="10" t="inlineStr">
        <is>
          <t>Methacrylic Acid and Ethyl Acrylate Copolymer (confirm)</t>
        </is>
      </c>
      <c r="P159" s="10" t="n"/>
      <c r="Q159" s="10" t="n"/>
      <c r="R159" s="10" t="n"/>
    </row>
    <row r="160">
      <c r="A160" s="10" t="inlineStr">
        <is>
          <t>Deionized Water</t>
        </is>
      </c>
      <c r="B160" s="10" t="inlineStr">
        <is>
          <t>Solvent</t>
        </is>
      </c>
      <c r="C160" s="10" t="n">
        <v>3</v>
      </c>
      <c r="D160" s="5" t="n"/>
      <c r="E160" s="5" t="n"/>
      <c r="F160" s="10" t="n"/>
      <c r="G160" s="5" t="n"/>
      <c r="H160" s="5" t="n"/>
      <c r="I160" s="5" t="n"/>
      <c r="J160" s="5" t="n"/>
      <c r="K160" s="10" t="inlineStr">
        <is>
          <t>Master list</t>
        </is>
      </c>
      <c r="L160" s="5" t="n"/>
      <c r="M160" s="5" t="n"/>
      <c r="N160" s="10" t="n"/>
      <c r="O160" s="10" t="inlineStr">
        <is>
          <t>Purified Water (confirm)</t>
        </is>
      </c>
      <c r="P160" s="10" t="n"/>
      <c r="Q160" s="10" t="n"/>
      <c r="R160" s="10" t="n"/>
    </row>
    <row r="161">
      <c r="A161" s="10" t="inlineStr">
        <is>
          <t>Ethanol (% not stated)</t>
        </is>
      </c>
      <c r="B161" s="10" t="inlineStr">
        <is>
          <t>Solvent</t>
        </is>
      </c>
      <c r="C161" s="10" t="n">
        <v>7</v>
      </c>
      <c r="D161" s="5" t="n"/>
      <c r="E161" s="5" t="n"/>
      <c r="F161" s="10" t="n"/>
      <c r="G161" s="5" t="n"/>
      <c r="H161" s="5" t="n"/>
      <c r="I161" s="5" t="n"/>
      <c r="J161" s="5" t="n"/>
      <c r="K161" s="10" t="inlineStr">
        <is>
          <t>Master list</t>
        </is>
      </c>
      <c r="L161" s="5" t="n"/>
      <c r="M161" s="5" t="n"/>
      <c r="N161" s="10" t="inlineStr">
        <is>
          <t>Ethanol; Ethanol (Alcohol)</t>
        </is>
      </c>
      <c r="O161" s="10" t="inlineStr">
        <is>
          <t>Alcohol (confirm)</t>
        </is>
      </c>
      <c r="P161" s="10" t="n">
        <v>3.35</v>
      </c>
      <c r="Q161" s="10" t="inlineStr">
        <is>
          <t>ID</t>
        </is>
      </c>
      <c r="R161" s="10" t="inlineStr">
        <is>
          <t>-</t>
        </is>
      </c>
    </row>
    <row r="162">
      <c r="A162" s="10" t="inlineStr">
        <is>
          <t>Ethanol 96%</t>
        </is>
      </c>
      <c r="B162" s="10" t="inlineStr">
        <is>
          <t>Solvent</t>
        </is>
      </c>
      <c r="C162" s="10" t="n">
        <v>70</v>
      </c>
      <c r="D162" s="5" t="n"/>
      <c r="E162" s="5" t="n"/>
      <c r="F162" s="10" t="n"/>
      <c r="G162" s="5" t="n"/>
      <c r="H162" s="5" t="n"/>
      <c r="I162" s="5" t="n"/>
      <c r="J162" s="5" t="n"/>
      <c r="K162" s="10" t="inlineStr">
        <is>
          <t>Master list</t>
        </is>
      </c>
      <c r="L162" s="5" t="n"/>
      <c r="M162" s="5" t="n"/>
      <c r="N162" s="10" t="inlineStr">
        <is>
          <t>Alcohol 96% (Ethanol); Ethanol (Alcohol)</t>
        </is>
      </c>
      <c r="O162" s="10" t="inlineStr">
        <is>
          <t>Alcohol (confirm)</t>
        </is>
      </c>
      <c r="P162" s="10" t="n">
        <v>3.35</v>
      </c>
      <c r="Q162" s="10" t="inlineStr">
        <is>
          <t>ID</t>
        </is>
      </c>
      <c r="R162" s="10" t="inlineStr">
        <is>
          <t>-</t>
        </is>
      </c>
    </row>
    <row r="163">
      <c r="A163" s="10" t="inlineStr">
        <is>
          <t>Isopropyl Alcohol</t>
        </is>
      </c>
      <c r="B163" s="10" t="inlineStr">
        <is>
          <t>Solvent</t>
        </is>
      </c>
      <c r="C163" s="10" t="n">
        <v>6</v>
      </c>
      <c r="D163" s="5" t="n"/>
      <c r="E163" s="5" t="n"/>
      <c r="F163" s="10" t="n"/>
      <c r="G163" s="5" t="n"/>
      <c r="H163" s="5" t="n"/>
      <c r="I163" s="5" t="n"/>
      <c r="J163" s="5" t="n"/>
      <c r="K163" s="10" t="inlineStr">
        <is>
          <t>Master list</t>
        </is>
      </c>
      <c r="L163" s="5" t="n"/>
      <c r="M163" s="5" t="n"/>
      <c r="N163" s="10" t="n"/>
      <c r="O163" s="10" t="inlineStr">
        <is>
          <t>Isopropyl Alcohol</t>
        </is>
      </c>
      <c r="P163" s="10" t="n"/>
      <c r="Q163" s="10" t="n"/>
      <c r="R163" s="10" t="n"/>
    </row>
    <row r="164">
      <c r="A164" s="10" t="inlineStr">
        <is>
          <t>Purified Water</t>
        </is>
      </c>
      <c r="B164" s="10" t="inlineStr">
        <is>
          <t>Solvent</t>
        </is>
      </c>
      <c r="C164" s="10" t="n">
        <v>39</v>
      </c>
      <c r="D164" s="5" t="n"/>
      <c r="E164" s="5" t="n"/>
      <c r="F164" s="10" t="n"/>
      <c r="G164" s="5" t="n"/>
      <c r="H164" s="5" t="n"/>
      <c r="I164" s="5" t="n"/>
      <c r="J164" s="5" t="n"/>
      <c r="K164" s="10" t="inlineStr">
        <is>
          <t>Master list</t>
        </is>
      </c>
      <c r="L164" s="5" t="n"/>
      <c r="M164" s="5" t="n"/>
      <c r="N164" s="10" t="inlineStr">
        <is>
          <t>Purified Water (for HPLC)</t>
        </is>
      </c>
      <c r="O164" s="10" t="inlineStr">
        <is>
          <t>Purified Water</t>
        </is>
      </c>
      <c r="P164" s="10" t="n"/>
      <c r="Q164" s="10" t="n"/>
      <c r="R164" s="10" t="n"/>
    </row>
    <row r="165">
      <c r="A165" s="10" t="inlineStr">
        <is>
          <t>Water</t>
        </is>
      </c>
      <c r="B165" s="10" t="inlineStr">
        <is>
          <t>Solvent</t>
        </is>
      </c>
      <c r="C165" s="10" t="n">
        <v>45</v>
      </c>
      <c r="D165" s="5" t="n"/>
      <c r="E165" s="5" t="n"/>
      <c r="F165" s="10" t="n"/>
      <c r="G165" s="5" t="n"/>
      <c r="H165" s="5" t="n"/>
      <c r="I165" s="5" t="n"/>
      <c r="J165" s="5" t="n"/>
      <c r="K165" s="10" t="inlineStr">
        <is>
          <t>Master list</t>
        </is>
      </c>
      <c r="L165" s="5" t="n"/>
      <c r="M165" s="5" t="n"/>
      <c r="N165" s="10" t="n"/>
      <c r="O165" s="10" t="inlineStr">
        <is>
          <t>Purified Water (confirm)</t>
        </is>
      </c>
      <c r="P165" s="10" t="n"/>
      <c r="Q165" s="10" t="n"/>
      <c r="R165" s="10" t="n"/>
    </row>
    <row r="166">
      <c r="A166" s="10" t="inlineStr">
        <is>
          <t>Water for Injection (WFI)</t>
        </is>
      </c>
      <c r="B166" s="10" t="inlineStr">
        <is>
          <t>Solvent</t>
        </is>
      </c>
      <c r="C166" s="10" t="n">
        <v>1</v>
      </c>
      <c r="D166" s="5" t="n"/>
      <c r="E166" s="5" t="n"/>
      <c r="F166" s="10" t="n"/>
      <c r="G166" s="5" t="n"/>
      <c r="H166" s="5" t="n"/>
      <c r="I166" s="5" t="n"/>
      <c r="J166" s="5" t="n"/>
      <c r="K166" s="10" t="inlineStr">
        <is>
          <t>Master list</t>
        </is>
      </c>
      <c r="L166" s="5" t="n"/>
      <c r="M166" s="5" t="n"/>
      <c r="N166" s="10" t="n"/>
      <c r="O166" s="10" t="inlineStr">
        <is>
          <t>Water for Injection</t>
        </is>
      </c>
      <c r="P166" s="10" t="n"/>
      <c r="Q166" s="10" t="n"/>
      <c r="R166" s="10" t="n"/>
    </row>
    <row r="167">
      <c r="A167" s="10" t="inlineStr">
        <is>
          <t>Polysorbate 80</t>
        </is>
      </c>
      <c r="B167" s="10" t="inlineStr">
        <is>
          <t>Surfactant</t>
        </is>
      </c>
      <c r="C167" s="10" t="n">
        <v>1</v>
      </c>
      <c r="D167" s="5" t="n"/>
      <c r="E167" s="5" t="n"/>
      <c r="F167" s="10" t="n"/>
      <c r="G167" s="5" t="n"/>
      <c r="H167" s="5" t="n"/>
      <c r="I167" s="5" t="n"/>
      <c r="J167" s="5" t="n"/>
      <c r="K167" s="10" t="inlineStr">
        <is>
          <t>Master list</t>
        </is>
      </c>
      <c r="L167" s="5" t="n"/>
      <c r="M167" s="5" t="n"/>
      <c r="N167" s="10" t="n"/>
      <c r="O167" s="10" t="inlineStr">
        <is>
          <t>Polysorbate 80</t>
        </is>
      </c>
      <c r="P167" s="10" t="n">
        <v>3.52</v>
      </c>
      <c r="Q167" s="10" t="inlineStr">
        <is>
          <t>ID, Assay, Impurities, Viscosity</t>
        </is>
      </c>
      <c r="R167" s="10" t="inlineStr">
        <is>
          <t>-</t>
        </is>
      </c>
    </row>
    <row r="168">
      <c r="A168" s="10" t="inlineStr">
        <is>
          <t>Sodium Lauryl Sulfate</t>
        </is>
      </c>
      <c r="B168" s="10" t="inlineStr">
        <is>
          <t>Surfactant</t>
        </is>
      </c>
      <c r="C168" s="10" t="n">
        <v>25</v>
      </c>
      <c r="D168" s="5" t="n"/>
      <c r="E168" s="5" t="n"/>
      <c r="F168" s="10" t="n"/>
      <c r="G168" s="5" t="n"/>
      <c r="H168" s="5" t="n"/>
      <c r="I168" s="5" t="n"/>
      <c r="J168" s="5" t="n"/>
      <c r="K168" s="10" t="inlineStr">
        <is>
          <t>Master list</t>
        </is>
      </c>
      <c r="L168" s="5" t="n"/>
      <c r="M168" s="5" t="n"/>
      <c r="N168" s="10" t="inlineStr">
        <is>
          <t>Sodium Lauryl Sulfate (SLS)</t>
        </is>
      </c>
      <c r="O168" s="10" t="inlineStr">
        <is>
          <t>Sodium Lauryl Sulfate</t>
        </is>
      </c>
      <c r="P168" s="10" t="n">
        <v>3.77</v>
      </c>
      <c r="Q168" s="10" t="inlineStr">
        <is>
          <t>ID</t>
        </is>
      </c>
      <c r="R168" s="10" t="inlineStr">
        <is>
          <t>-</t>
        </is>
      </c>
    </row>
    <row r="169">
      <c r="A169" s="10" t="inlineStr">
        <is>
          <t>Microcrystalline Cellulose RC591</t>
        </is>
      </c>
      <c r="B169" s="10" t="inlineStr">
        <is>
          <t>Suspending Agent</t>
        </is>
      </c>
      <c r="C169" s="10" t="n">
        <v>1</v>
      </c>
      <c r="D169" s="5" t="n"/>
      <c r="E169" s="5" t="n"/>
      <c r="F169" s="10" t="n"/>
      <c r="G169" s="5" t="n"/>
      <c r="H169" s="5" t="n"/>
      <c r="I169" s="5" t="n"/>
      <c r="J169" s="5" t="n"/>
      <c r="K169" s="10" t="inlineStr">
        <is>
          <t>Master list</t>
        </is>
      </c>
      <c r="L169" s="5" t="n"/>
      <c r="M169" s="5" t="n"/>
      <c r="N169" s="10" t="inlineStr">
        <is>
          <t>Avicel RC 591</t>
        </is>
      </c>
      <c r="O169" s="10" t="inlineStr">
        <is>
          <t>Microcrystalline Cellulose and Carboxymethylcellulose Sodium (confirm)</t>
        </is>
      </c>
      <c r="P169" s="10" t="n">
        <v>5.1</v>
      </c>
      <c r="Q169" s="10" t="inlineStr">
        <is>
          <t>Assay, Optical rotation, Viscosity</t>
        </is>
      </c>
      <c r="R169" s="10" t="inlineStr">
        <is>
          <t>-</t>
        </is>
      </c>
    </row>
    <row r="170">
      <c r="A170" s="10" t="inlineStr">
        <is>
          <t>Sodium Carboxymethyl Cellulose (Medium Viscosity)</t>
        </is>
      </c>
      <c r="B170" s="10" t="inlineStr">
        <is>
          <t>Suspending Agent</t>
        </is>
      </c>
      <c r="C170" s="10" t="n">
        <v>1</v>
      </c>
      <c r="D170" s="5" t="n"/>
      <c r="E170" s="5" t="n"/>
      <c r="F170" s="10" t="n"/>
      <c r="G170" s="5" t="n"/>
      <c r="H170" s="5" t="n"/>
      <c r="I170" s="5" t="n"/>
      <c r="J170" s="5" t="n"/>
      <c r="K170" s="10" t="inlineStr">
        <is>
          <t>Master list</t>
        </is>
      </c>
      <c r="L170" s="5" t="n"/>
      <c r="M170" s="5" t="n"/>
      <c r="N170" s="10" t="inlineStr">
        <is>
          <t>Carboxymethyl Cellulose Sodium; Sodium Carboxymethyl Cellulose (CMC)</t>
        </is>
      </c>
      <c r="O170" s="10" t="inlineStr">
        <is>
          <t>Carboxymethylcellulose Sodium (confirm)</t>
        </is>
      </c>
      <c r="P170" s="10" t="n"/>
      <c r="Q170" s="10" t="n"/>
      <c r="R170" s="10" t="n"/>
    </row>
    <row r="171">
      <c r="A171" s="10" t="inlineStr">
        <is>
          <t>Neotame</t>
        </is>
      </c>
      <c r="B171" s="10" t="inlineStr">
        <is>
          <t>Sweetener</t>
        </is>
      </c>
      <c r="C171" s="10" t="n">
        <v>1</v>
      </c>
      <c r="D171" s="5" t="n"/>
      <c r="E171" s="5" t="n"/>
      <c r="F171" s="10" t="n"/>
      <c r="G171" s="5" t="n"/>
      <c r="H171" s="5" t="n"/>
      <c r="I171" s="5" t="n"/>
      <c r="J171" s="5" t="n"/>
      <c r="K171" s="10" t="inlineStr">
        <is>
          <t>Master list</t>
        </is>
      </c>
      <c r="L171" s="5" t="n"/>
      <c r="M171" s="5" t="n"/>
      <c r="N171" s="10" t="n"/>
      <c r="O171" s="10" t="inlineStr">
        <is>
          <t>Neotame</t>
        </is>
      </c>
      <c r="P171" s="10" t="n">
        <v>17.68</v>
      </c>
      <c r="Q171" s="10" t="inlineStr">
        <is>
          <t>ID, Heavy metals / elements</t>
        </is>
      </c>
      <c r="R171" s="10" t="inlineStr">
        <is>
          <t>-</t>
        </is>
      </c>
    </row>
    <row r="172">
      <c r="A172" s="10" t="inlineStr">
        <is>
          <t>Sorbitol Solution 70%</t>
        </is>
      </c>
      <c r="B172" s="10" t="inlineStr">
        <is>
          <t>Sweetener</t>
        </is>
      </c>
      <c r="C172" s="10" t="n">
        <v>5</v>
      </c>
      <c r="D172" s="5" t="n"/>
      <c r="E172" s="5" t="n"/>
      <c r="F172" s="10" t="n"/>
      <c r="G172" s="5" t="n"/>
      <c r="H172" s="5" t="n"/>
      <c r="I172" s="5" t="n"/>
      <c r="J172" s="5" t="n"/>
      <c r="K172" s="10" t="inlineStr">
        <is>
          <t>Master list</t>
        </is>
      </c>
      <c r="L172" s="5" t="n"/>
      <c r="M172" s="5" t="n"/>
      <c r="N172" s="10" t="n"/>
      <c r="O172" s="10" t="inlineStr">
        <is>
          <t>Sorbitol Solution (confirm)</t>
        </is>
      </c>
      <c r="P172" s="10" t="n"/>
      <c r="Q172" s="10" t="n"/>
      <c r="R172" s="10" t="n"/>
    </row>
    <row r="173">
      <c r="A173" s="10" t="inlineStr">
        <is>
          <t>Sucralose</t>
        </is>
      </c>
      <c r="B173" s="10" t="inlineStr">
        <is>
          <t>Sweetener</t>
        </is>
      </c>
      <c r="C173" s="10" t="n">
        <v>18</v>
      </c>
      <c r="D173" s="5" t="n"/>
      <c r="E173" s="5" t="n"/>
      <c r="F173" s="10" t="n"/>
      <c r="G173" s="5" t="n"/>
      <c r="H173" s="5" t="n"/>
      <c r="I173" s="5" t="n"/>
      <c r="J173" s="5" t="n"/>
      <c r="K173" s="10" t="inlineStr">
        <is>
          <t>Master list</t>
        </is>
      </c>
      <c r="L173" s="5" t="n"/>
      <c r="M173" s="5" t="n"/>
      <c r="N173" s="10" t="n"/>
      <c r="O173" s="10" t="inlineStr">
        <is>
          <t>Sucralose</t>
        </is>
      </c>
      <c r="P173" s="10" t="n">
        <v>9.43</v>
      </c>
      <c r="Q173" s="10" t="inlineStr">
        <is>
          <t>ID</t>
        </is>
      </c>
      <c r="R173" s="10" t="inlineStr">
        <is>
          <t>-</t>
        </is>
      </c>
    </row>
    <row r="174">
      <c r="A174" s="10" t="inlineStr">
        <is>
          <t>Sorbitol</t>
        </is>
      </c>
      <c r="B174" s="10" t="inlineStr">
        <is>
          <t>Sweetener / Filler</t>
        </is>
      </c>
      <c r="C174" s="10" t="n">
        <v>13</v>
      </c>
      <c r="D174" s="5" t="n"/>
      <c r="E174" s="5" t="n"/>
      <c r="F174" s="10" t="n"/>
      <c r="G174" s="5" t="n"/>
      <c r="H174" s="5" t="n"/>
      <c r="I174" s="5" t="n"/>
      <c r="J174" s="5" t="n"/>
      <c r="K174" s="10" t="inlineStr">
        <is>
          <t>Master list</t>
        </is>
      </c>
      <c r="L174" s="5" t="n"/>
      <c r="M174" s="5" t="n"/>
      <c r="N174" s="10" t="inlineStr">
        <is>
          <t>Sorbitol Powder</t>
        </is>
      </c>
      <c r="O174" s="10" t="inlineStr">
        <is>
          <t>Sorbitol</t>
        </is>
      </c>
      <c r="P174" s="10" t="n"/>
      <c r="Q174" s="10" t="n"/>
      <c r="R174" s="10" t="n"/>
    </row>
    <row r="175">
      <c r="A175" s="10" t="inlineStr">
        <is>
          <t>Sucrose</t>
        </is>
      </c>
      <c r="B175" s="10" t="inlineStr">
        <is>
          <t>Sweetener / Filler</t>
        </is>
      </c>
      <c r="C175" s="10" t="n">
        <v>3</v>
      </c>
      <c r="D175" s="5" t="n"/>
      <c r="E175" s="5" t="n"/>
      <c r="F175" s="10" t="n"/>
      <c r="G175" s="5" t="n"/>
      <c r="H175" s="5" t="n"/>
      <c r="I175" s="5" t="n"/>
      <c r="J175" s="5" t="n"/>
      <c r="K175" s="10" t="inlineStr">
        <is>
          <t>Master list</t>
        </is>
      </c>
      <c r="L175" s="5" t="n"/>
      <c r="M175" s="5" t="n"/>
      <c r="N175" s="10" t="inlineStr">
        <is>
          <t>Sacarose (Pharma Sugar)</t>
        </is>
      </c>
      <c r="O175" s="10" t="inlineStr">
        <is>
          <t>Sucrose</t>
        </is>
      </c>
      <c r="P175" s="10" t="n"/>
      <c r="Q175" s="10" t="n"/>
      <c r="R175" s="10" t="n"/>
    </row>
    <row r="176">
      <c r="A176" s="10" t="inlineStr">
        <is>
          <t>Citric Acid</t>
        </is>
      </c>
      <c r="B176" s="10" t="inlineStr">
        <is>
          <t>pH Modifier / Buffer</t>
        </is>
      </c>
      <c r="C176" s="10" t="n">
        <v>3</v>
      </c>
      <c r="D176" s="5" t="n"/>
      <c r="E176" s="5" t="n"/>
      <c r="F176" s="10" t="n"/>
      <c r="G176" s="5" t="n"/>
      <c r="H176" s="5" t="n"/>
      <c r="I176" s="5" t="n"/>
      <c r="J176" s="5" t="n"/>
      <c r="K176" s="10" t="inlineStr">
        <is>
          <t>Master list</t>
        </is>
      </c>
      <c r="L176" s="5" t="n"/>
      <c r="M176" s="5" t="n"/>
      <c r="N176" s="10" t="n"/>
      <c r="O176" s="10" t="inlineStr">
        <is>
          <t>Citric Acid Monohydrate (confirm)</t>
        </is>
      </c>
      <c r="P176" s="10" t="n"/>
      <c r="Q176" s="10" t="n"/>
      <c r="R176" s="10" t="n"/>
    </row>
    <row r="177">
      <c r="A177" s="10" t="inlineStr">
        <is>
          <t>Citric Acid Anhydrous</t>
        </is>
      </c>
      <c r="B177" s="10" t="inlineStr">
        <is>
          <t>pH Modifier / Buffer</t>
        </is>
      </c>
      <c r="C177" s="10" t="n">
        <v>13</v>
      </c>
      <c r="D177" s="5" t="n"/>
      <c r="E177" s="5" t="n"/>
      <c r="F177" s="10" t="n"/>
      <c r="G177" s="5" t="n"/>
      <c r="H177" s="5" t="n"/>
      <c r="I177" s="5" t="n"/>
      <c r="J177" s="5" t="n"/>
      <c r="K177" s="10" t="inlineStr">
        <is>
          <t>Master list</t>
        </is>
      </c>
      <c r="L177" s="5" t="n"/>
      <c r="M177" s="5" t="n"/>
      <c r="N177" s="10" t="inlineStr">
        <is>
          <t>Citric acid Anhydrous</t>
        </is>
      </c>
      <c r="O177" s="10" t="inlineStr">
        <is>
          <t>Anhydrous Citric Acid (confirm)</t>
        </is>
      </c>
      <c r="P177" s="10" t="n">
        <v>4.85</v>
      </c>
      <c r="Q177" s="10" t="inlineStr">
        <is>
          <t>ID, Water (KF)</t>
        </is>
      </c>
      <c r="R177" s="10" t="inlineStr">
        <is>
          <t>-</t>
        </is>
      </c>
    </row>
    <row r="178">
      <c r="A178" s="10" t="inlineStr">
        <is>
          <t>Hydrochloric Acid Solution 37%</t>
        </is>
      </c>
      <c r="B178" s="10" t="inlineStr">
        <is>
          <t>pH Modifier / Buffer</t>
        </is>
      </c>
      <c r="C178" s="10" t="n">
        <v>3</v>
      </c>
      <c r="D178" s="5" t="n"/>
      <c r="E178" s="5" t="n"/>
      <c r="F178" s="10" t="n"/>
      <c r="G178" s="5" t="n"/>
      <c r="H178" s="5" t="n"/>
      <c r="I178" s="5" t="n"/>
      <c r="J178" s="5" t="n"/>
      <c r="K178" s="10" t="inlineStr">
        <is>
          <t>Master list</t>
        </is>
      </c>
      <c r="L178" s="5" t="n"/>
      <c r="M178" s="5" t="n"/>
      <c r="N178" s="10" t="n"/>
      <c r="O178" s="10" t="inlineStr">
        <is>
          <t>Hydrochloric Acid (confirm)</t>
        </is>
      </c>
      <c r="P178" s="10" t="n"/>
      <c r="Q178" s="10" t="n"/>
      <c r="R178" s="10" t="n"/>
    </row>
    <row r="179">
      <c r="A179" s="10" t="inlineStr">
        <is>
          <t>Sodium Bicarbonate</t>
        </is>
      </c>
      <c r="B179" s="10" t="inlineStr">
        <is>
          <t>pH Modifier / Buffer</t>
        </is>
      </c>
      <c r="C179" s="10" t="n">
        <v>1</v>
      </c>
      <c r="D179" s="5" t="n"/>
      <c r="E179" s="5" t="n"/>
      <c r="F179" s="10" t="n"/>
      <c r="G179" s="5" t="n"/>
      <c r="H179" s="5" t="n"/>
      <c r="I179" s="5" t="n"/>
      <c r="J179" s="5" t="n"/>
      <c r="K179" s="10" t="inlineStr">
        <is>
          <t>Master list</t>
        </is>
      </c>
      <c r="L179" s="5" t="n"/>
      <c r="M179" s="5" t="n"/>
      <c r="N179" s="10" t="n"/>
      <c r="O179" s="10" t="inlineStr">
        <is>
          <t>Sodium Bicarbonate</t>
        </is>
      </c>
      <c r="P179" s="10" t="n">
        <v>9.77</v>
      </c>
      <c r="Q179" s="10" t="inlineStr">
        <is>
          <t>Impurities, Heavy metals / elements</t>
        </is>
      </c>
      <c r="R179" s="10" t="inlineStr">
        <is>
          <t>-</t>
        </is>
      </c>
    </row>
    <row r="180">
      <c r="A180" s="10" t="inlineStr">
        <is>
          <t>Sodium Citrate</t>
        </is>
      </c>
      <c r="B180" s="10" t="inlineStr">
        <is>
          <t>pH Modifier / Buffer</t>
        </is>
      </c>
      <c r="C180" s="10" t="n">
        <v>6</v>
      </c>
      <c r="D180" s="5" t="n"/>
      <c r="E180" s="5" t="n"/>
      <c r="F180" s="10" t="n"/>
      <c r="G180" s="5" t="n"/>
      <c r="H180" s="5" t="n"/>
      <c r="I180" s="5" t="n"/>
      <c r="J180" s="5" t="n"/>
      <c r="K180" s="10" t="inlineStr">
        <is>
          <t>Master list</t>
        </is>
      </c>
      <c r="L180" s="5" t="n"/>
      <c r="M180" s="5" t="n"/>
      <c r="N180" s="10" t="n"/>
      <c r="O180" s="10" t="inlineStr">
        <is>
          <t>Sodium Citrate</t>
        </is>
      </c>
      <c r="P180" s="10" t="n">
        <v>20.43</v>
      </c>
      <c r="Q180" s="10" t="inlineStr">
        <is>
          <t>-</t>
        </is>
      </c>
      <c r="R180" s="10" t="inlineStr">
        <is>
          <t>pH</t>
        </is>
      </c>
    </row>
    <row r="181">
      <c r="A181" s="10" t="inlineStr">
        <is>
          <t>Sodium Citrate Dihydrate</t>
        </is>
      </c>
      <c r="B181" s="10" t="inlineStr">
        <is>
          <t>pH Modifier / Buffer</t>
        </is>
      </c>
      <c r="C181" s="10" t="n">
        <v>5</v>
      </c>
      <c r="D181" s="5" t="n"/>
      <c r="E181" s="5" t="n"/>
      <c r="F181" s="10" t="n"/>
      <c r="G181" s="5" t="n"/>
      <c r="H181" s="5" t="n"/>
      <c r="I181" s="5" t="n"/>
      <c r="J181" s="5" t="n"/>
      <c r="K181" s="10" t="inlineStr">
        <is>
          <t>Master list</t>
        </is>
      </c>
      <c r="L181" s="5" t="n"/>
      <c r="M181" s="5" t="n"/>
      <c r="N181" s="10" t="inlineStr">
        <is>
          <t>Sodium Citrate</t>
        </is>
      </c>
      <c r="O181" s="10" t="inlineStr">
        <is>
          <t>Sodium Citrate (confirm)</t>
        </is>
      </c>
      <c r="P181" s="10" t="n">
        <v>20.43</v>
      </c>
      <c r="Q181" s="10" t="inlineStr">
        <is>
          <t>-</t>
        </is>
      </c>
      <c r="R181" s="10" t="inlineStr">
        <is>
          <t>pH</t>
        </is>
      </c>
    </row>
    <row r="182">
      <c r="A182" s="10" t="inlineStr">
        <is>
          <t>Acetaminophen DC</t>
        </is>
      </c>
      <c r="B182" s="10" t="n"/>
      <c r="C182" s="10" t="n"/>
      <c r="D182" s="5" t="n"/>
      <c r="E182" s="5" t="n"/>
      <c r="F182" s="10" t="n"/>
      <c r="G182" s="5" t="n"/>
      <c r="H182" s="5" t="n"/>
      <c r="I182" s="5" t="n"/>
      <c r="J182" s="5" t="n"/>
      <c r="K182" s="10" t="inlineStr">
        <is>
          <t>Suggested - confirm</t>
        </is>
      </c>
      <c r="L182" s="5" t="inlineStr">
        <is>
          <t>Acetaminophen</t>
        </is>
      </c>
      <c r="M182" s="5" t="n"/>
      <c r="N182" s="10" t="n"/>
      <c r="O182" s="10" t="n"/>
      <c r="P182" s="10" t="n"/>
      <c r="Q182" s="10" t="n"/>
      <c r="R182" s="10" t="n"/>
    </row>
    <row r="183">
      <c r="A183" s="10" t="inlineStr">
        <is>
          <t>Acetaminophen DC 96%</t>
        </is>
      </c>
      <c r="B183" s="10" t="n"/>
      <c r="C183" s="10" t="n"/>
      <c r="D183" s="5" t="n"/>
      <c r="E183" s="5" t="n"/>
      <c r="F183" s="10" t="n"/>
      <c r="G183" s="5" t="n"/>
      <c r="H183" s="5" t="n"/>
      <c r="I183" s="5" t="n"/>
      <c r="J183" s="5" t="n"/>
      <c r="K183" s="10" t="inlineStr">
        <is>
          <t>Suggested - confirm</t>
        </is>
      </c>
      <c r="L183" s="5" t="inlineStr">
        <is>
          <t>Acetaminophen</t>
        </is>
      </c>
      <c r="M183" s="5" t="n"/>
      <c r="N183" s="10" t="n"/>
      <c r="O183" s="10" t="n"/>
      <c r="P183" s="10" t="n"/>
      <c r="Q183" s="10" t="n"/>
      <c r="R183" s="10" t="n"/>
    </row>
    <row r="184">
      <c r="A184" s="10" t="inlineStr">
        <is>
          <t>Azelastine Hydrochloride USP</t>
        </is>
      </c>
      <c r="B184" s="10" t="n"/>
      <c r="C184" s="10" t="n"/>
      <c r="D184" s="5" t="n"/>
      <c r="E184" s="5" t="n"/>
      <c r="F184" s="10" t="n"/>
      <c r="G184" s="5" t="n"/>
      <c r="H184" s="5" t="n"/>
      <c r="I184" s="5" t="n"/>
      <c r="J184" s="5" t="n"/>
      <c r="K184" s="10" t="inlineStr">
        <is>
          <t>Suggested - confirm</t>
        </is>
      </c>
      <c r="L184" s="5" t="inlineStr">
        <is>
          <t>Azelastine Hydrochloride</t>
        </is>
      </c>
      <c r="M184" s="5" t="n"/>
      <c r="N184" s="10" t="n"/>
      <c r="O184" s="10" t="n"/>
      <c r="P184" s="10" t="n"/>
      <c r="Q184" s="10" t="n"/>
      <c r="R184" s="10" t="n"/>
    </row>
    <row r="185">
      <c r="A185" s="10" t="inlineStr">
        <is>
          <t>B-Carotene</t>
        </is>
      </c>
      <c r="B185" s="10" t="n"/>
      <c r="C185" s="10" t="n"/>
      <c r="D185" s="5" t="n"/>
      <c r="E185" s="5" t="n"/>
      <c r="F185" s="10" t="n"/>
      <c r="G185" s="5" t="n"/>
      <c r="H185" s="5" t="n"/>
      <c r="I185" s="5" t="n"/>
      <c r="J185" s="5" t="n"/>
      <c r="K185" s="10" t="inlineStr">
        <is>
          <t>Suggested - confirm</t>
        </is>
      </c>
      <c r="L185" s="5" t="inlineStr">
        <is>
          <t>Beta-Carotene</t>
        </is>
      </c>
      <c r="M185" s="5" t="n"/>
      <c r="N185" s="10" t="n"/>
      <c r="O185" s="10" t="n"/>
      <c r="P185" s="10" t="n"/>
      <c r="Q185" s="10" t="n"/>
      <c r="R185" s="10" t="n"/>
    </row>
    <row r="186">
      <c r="A186" s="10" t="inlineStr">
        <is>
          <t>B-Nicotinamide Mononucleotide(NMN)</t>
        </is>
      </c>
      <c r="B186" s="10" t="n"/>
      <c r="C186" s="10" t="n"/>
      <c r="D186" s="5" t="n"/>
      <c r="E186" s="5" t="n"/>
      <c r="F186" s="10" t="n"/>
      <c r="G186" s="5" t="n"/>
      <c r="H186" s="5" t="n"/>
      <c r="I186" s="5" t="n"/>
      <c r="J186" s="5" t="n"/>
      <c r="K186" s="10" t="inlineStr">
        <is>
          <t>Suggested - confirm</t>
        </is>
      </c>
      <c r="L186" s="5" t="inlineStr">
        <is>
          <t>Nicotinamide Mononucleotide (NMN) Granule</t>
        </is>
      </c>
      <c r="M186" s="5" t="n"/>
      <c r="N186" s="10" t="n"/>
      <c r="O186" s="10" t="n"/>
      <c r="P186" s="10" t="n"/>
      <c r="Q186" s="10" t="n"/>
      <c r="R186" s="10" t="n"/>
    </row>
    <row r="187">
      <c r="A187" s="10" t="inlineStr">
        <is>
          <t>Biotin-B7</t>
        </is>
      </c>
      <c r="B187" s="10" t="n"/>
      <c r="C187" s="10" t="n"/>
      <c r="D187" s="5" t="n"/>
      <c r="E187" s="5" t="n"/>
      <c r="F187" s="10" t="n"/>
      <c r="G187" s="5" t="n"/>
      <c r="H187" s="5" t="n"/>
      <c r="I187" s="5" t="n"/>
      <c r="J187" s="5" t="n"/>
      <c r="K187" s="10" t="inlineStr">
        <is>
          <t>Suggested - confirm</t>
        </is>
      </c>
      <c r="L187" s="5" t="inlineStr">
        <is>
          <t>Biotin (Vitamin B7)</t>
        </is>
      </c>
      <c r="M187" s="5" t="n"/>
      <c r="N187" s="10" t="n"/>
      <c r="O187" s="10" t="n"/>
      <c r="P187" s="10" t="n"/>
      <c r="Q187" s="10" t="n"/>
      <c r="R187" s="10" t="n"/>
    </row>
    <row r="188">
      <c r="A188" s="10" t="inlineStr">
        <is>
          <t>BRILLIANT BLUE (POWDER)-No. 1</t>
        </is>
      </c>
      <c r="B188" s="10" t="n"/>
      <c r="C188" s="10" t="n"/>
      <c r="D188" s="5" t="n"/>
      <c r="E188" s="5" t="n"/>
      <c r="F188" s="10" t="n"/>
      <c r="G188" s="5" t="n"/>
      <c r="H188" s="5" t="n"/>
      <c r="I188" s="5" t="n"/>
      <c r="J188" s="5" t="n"/>
      <c r="K188" s="10" t="inlineStr">
        <is>
          <t>Suggested - confirm</t>
        </is>
      </c>
      <c r="L188" s="5" t="inlineStr">
        <is>
          <t>Brilliant Blue</t>
        </is>
      </c>
      <c r="M188" s="5" t="n"/>
      <c r="N188" s="10" t="n"/>
      <c r="O188" s="10" t="n"/>
      <c r="P188" s="10" t="n"/>
      <c r="Q188" s="10" t="n"/>
      <c r="R188" s="10" t="n"/>
    </row>
    <row r="189">
      <c r="A189" s="10" t="inlineStr">
        <is>
          <t>Calcium carbonate extra heavy</t>
        </is>
      </c>
      <c r="B189" s="10" t="n"/>
      <c r="C189" s="10" t="n"/>
      <c r="D189" s="5" t="n"/>
      <c r="E189" s="5" t="n"/>
      <c r="F189" s="10" t="n"/>
      <c r="G189" s="5" t="n"/>
      <c r="H189" s="5" t="n"/>
      <c r="I189" s="5" t="n"/>
      <c r="J189" s="5" t="n"/>
      <c r="K189" s="10" t="inlineStr">
        <is>
          <t>Suggested - confirm</t>
        </is>
      </c>
      <c r="L189" s="5" t="inlineStr">
        <is>
          <t>Calcium Carbonate Heavy</t>
        </is>
      </c>
      <c r="M189" s="5" t="n"/>
      <c r="N189" s="10" t="n"/>
      <c r="O189" s="10" t="n"/>
      <c r="P189" s="10" t="n"/>
      <c r="Q189" s="10" t="n"/>
      <c r="R189" s="10" t="n"/>
    </row>
    <row r="190">
      <c r="A190" s="10" t="inlineStr">
        <is>
          <t>Calcium Carbonate Extre Heavy</t>
        </is>
      </c>
      <c r="B190" s="10" t="n"/>
      <c r="C190" s="10" t="n"/>
      <c r="D190" s="5" t="n"/>
      <c r="E190" s="5" t="n"/>
      <c r="F190" s="10" t="n"/>
      <c r="G190" s="5" t="n"/>
      <c r="H190" s="5" t="n"/>
      <c r="I190" s="5" t="n"/>
      <c r="J190" s="5" t="n"/>
      <c r="K190" s="10" t="inlineStr">
        <is>
          <t>Suggested - confirm</t>
        </is>
      </c>
      <c r="L190" s="5" t="inlineStr">
        <is>
          <t>Calcium Carbonate Heavy</t>
        </is>
      </c>
      <c r="M190" s="5" t="n"/>
      <c r="N190" s="10" t="n"/>
      <c r="O190" s="10" t="n"/>
      <c r="P190" s="10" t="n"/>
      <c r="Q190" s="10" t="n"/>
      <c r="R190" s="10" t="n"/>
    </row>
    <row r="191">
      <c r="A191" s="10" t="inlineStr">
        <is>
          <t>Caramel Color</t>
        </is>
      </c>
      <c r="B191" s="10" t="n"/>
      <c r="C191" s="10" t="n"/>
      <c r="D191" s="5" t="n"/>
      <c r="E191" s="5" t="n"/>
      <c r="F191" s="10" t="n"/>
      <c r="G191" s="5" t="n"/>
      <c r="H191" s="5" t="n"/>
      <c r="I191" s="5" t="n"/>
      <c r="J191" s="5" t="n"/>
      <c r="K191" s="10" t="inlineStr">
        <is>
          <t>Suggested - confirm</t>
        </is>
      </c>
      <c r="L191" s="5" t="inlineStr">
        <is>
          <t>Caramel Colour</t>
        </is>
      </c>
      <c r="M191" s="5" t="n"/>
      <c r="N191" s="10" t="n"/>
      <c r="O191" s="10" t="n"/>
      <c r="P191" s="10" t="n"/>
      <c r="Q191" s="10" t="n"/>
      <c r="R191" s="10" t="n"/>
    </row>
    <row r="192">
      <c r="A192" s="10" t="inlineStr">
        <is>
          <t>Cooper Gluconate</t>
        </is>
      </c>
      <c r="B192" s="10" t="n"/>
      <c r="C192" s="10" t="n"/>
      <c r="D192" s="5" t="n"/>
      <c r="E192" s="5" t="n"/>
      <c r="F192" s="10" t="n"/>
      <c r="G192" s="5" t="n"/>
      <c r="H192" s="5" t="n"/>
      <c r="I192" s="5" t="n"/>
      <c r="J192" s="5" t="n"/>
      <c r="K192" s="10" t="inlineStr">
        <is>
          <t>Suggested - confirm</t>
        </is>
      </c>
      <c r="L192" s="5" t="inlineStr">
        <is>
          <t>Copper Gluconate</t>
        </is>
      </c>
      <c r="M192" s="5" t="n"/>
      <c r="N192" s="10" t="n"/>
      <c r="O192" s="10" t="n"/>
      <c r="P192" s="10" t="n"/>
      <c r="Q192" s="10" t="n"/>
      <c r="R192" s="10" t="n"/>
    </row>
    <row r="193">
      <c r="A193" s="10" t="inlineStr">
        <is>
          <t>Croscarmellose Sodium-USP</t>
        </is>
      </c>
      <c r="B193" s="10" t="n"/>
      <c r="C193" s="10" t="n"/>
      <c r="D193" s="5" t="n"/>
      <c r="E193" s="5" t="n"/>
      <c r="F193" s="10" t="n"/>
      <c r="G193" s="5" t="n"/>
      <c r="H193" s="5" t="n"/>
      <c r="I193" s="5" t="n"/>
      <c r="J193" s="5" t="n"/>
      <c r="K193" s="10" t="inlineStr">
        <is>
          <t>Suggested - confirm</t>
        </is>
      </c>
      <c r="L193" s="5" t="inlineStr">
        <is>
          <t>Croscarmellose Sodium</t>
        </is>
      </c>
      <c r="M193" s="5" t="n"/>
      <c r="N193" s="10" t="n"/>
      <c r="O193" s="10" t="n"/>
      <c r="P193" s="10" t="n"/>
      <c r="Q193" s="10" t="n"/>
      <c r="R193" s="10" t="n"/>
    </row>
    <row r="194">
      <c r="A194" s="10" t="inlineStr">
        <is>
          <t>D-Calcium Pantothenate</t>
        </is>
      </c>
      <c r="B194" s="10" t="n"/>
      <c r="C194" s="10" t="n"/>
      <c r="D194" s="5" t="n"/>
      <c r="E194" s="5" t="n"/>
      <c r="F194" s="10" t="n"/>
      <c r="G194" s="5" t="n"/>
      <c r="H194" s="5" t="n"/>
      <c r="I194" s="5" t="n"/>
      <c r="J194" s="5" t="n"/>
      <c r="K194" s="10" t="inlineStr">
        <is>
          <t>Suggested - confirm</t>
        </is>
      </c>
      <c r="L194" s="5" t="inlineStr">
        <is>
          <t>Calcium Pantothenate (Vitamin B5)</t>
        </is>
      </c>
      <c r="M194" s="5" t="n"/>
      <c r="N194" s="10" t="n"/>
      <c r="O194" s="10" t="n"/>
      <c r="P194" s="10" t="n"/>
      <c r="Q194" s="10" t="n"/>
      <c r="R194" s="10" t="n"/>
    </row>
    <row r="195">
      <c r="A195" s="10" t="inlineStr">
        <is>
          <t>Dapagliflozin Propandiol Monohydrate</t>
        </is>
      </c>
      <c r="B195" s="10" t="n"/>
      <c r="C195" s="10" t="n"/>
      <c r="D195" s="5" t="n"/>
      <c r="E195" s="5" t="n"/>
      <c r="F195" s="10" t="n"/>
      <c r="G195" s="5" t="n"/>
      <c r="H195" s="5" t="n"/>
      <c r="I195" s="5" t="n"/>
      <c r="J195" s="5" t="n"/>
      <c r="K195" s="10" t="inlineStr">
        <is>
          <t>Suggested - confirm</t>
        </is>
      </c>
      <c r="L195" s="5" t="inlineStr">
        <is>
          <t>Dapagliflozin Propanediol Monohydrate</t>
        </is>
      </c>
      <c r="M195" s="5" t="n"/>
      <c r="N195" s="10" t="n"/>
      <c r="O195" s="10" t="n"/>
      <c r="P195" s="10" t="n"/>
      <c r="Q195" s="10" t="n"/>
      <c r="R195" s="10" t="n"/>
    </row>
    <row r="196">
      <c r="A196" s="10" t="inlineStr">
        <is>
          <t>Devil's Claw Extract</t>
        </is>
      </c>
      <c r="B196" s="10" t="n"/>
      <c r="C196" s="10" t="n"/>
      <c r="D196" s="5" t="n"/>
      <c r="E196" s="5" t="n"/>
      <c r="F196" s="10" t="n"/>
      <c r="G196" s="5" t="n"/>
      <c r="H196" s="5" t="n"/>
      <c r="I196" s="5" t="n"/>
      <c r="J196" s="5" t="n"/>
      <c r="K196" s="10" t="inlineStr">
        <is>
          <t>Suggested - confirm</t>
        </is>
      </c>
      <c r="L196" s="5" t="inlineStr">
        <is>
          <t>Devil's Claw Dry Extract 6:1</t>
        </is>
      </c>
      <c r="M196" s="5" t="n"/>
      <c r="N196" s="10" t="n"/>
      <c r="O196" s="10" t="n"/>
      <c r="P196" s="10" t="n"/>
      <c r="Q196" s="10" t="n"/>
      <c r="R196" s="10" t="n"/>
    </row>
    <row r="197">
      <c r="A197" s="10" t="inlineStr">
        <is>
          <t>Dexlansoprazole Pellets 20 % w/w</t>
        </is>
      </c>
      <c r="B197" s="10" t="n"/>
      <c r="C197" s="10" t="n"/>
      <c r="D197" s="5" t="n"/>
      <c r="E197" s="5" t="n"/>
      <c r="F197" s="10" t="n"/>
      <c r="G197" s="5" t="n"/>
      <c r="H197" s="5" t="n"/>
      <c r="I197" s="5" t="n"/>
      <c r="J197" s="5" t="n"/>
      <c r="K197" s="10" t="inlineStr">
        <is>
          <t>Suggested - confirm</t>
        </is>
      </c>
      <c r="L197" s="5" t="inlineStr">
        <is>
          <t>Dexlansoprazole Pellets 20%</t>
        </is>
      </c>
      <c r="M197" s="5" t="n"/>
      <c r="N197" s="10" t="n"/>
      <c r="O197" s="10" t="n"/>
      <c r="P197" s="10" t="n"/>
      <c r="Q197" s="10" t="n"/>
      <c r="R197" s="10" t="n"/>
    </row>
    <row r="198">
      <c r="A198" s="10" t="inlineStr">
        <is>
          <t>Dexlansoprazole Pellets 20.0% w/w</t>
        </is>
      </c>
      <c r="B198" s="10" t="n"/>
      <c r="C198" s="10" t="n"/>
      <c r="D198" s="5" t="n"/>
      <c r="E198" s="5" t="n"/>
      <c r="F198" s="10" t="n"/>
      <c r="G198" s="5" t="n"/>
      <c r="H198" s="5" t="n"/>
      <c r="I198" s="5" t="n"/>
      <c r="J198" s="5" t="n"/>
      <c r="K198" s="10" t="inlineStr">
        <is>
          <t>Suggested - confirm</t>
        </is>
      </c>
      <c r="L198" s="5" t="inlineStr">
        <is>
          <t>Dexlansoprazole Pellets 20%</t>
        </is>
      </c>
      <c r="M198" s="5" t="n"/>
      <c r="N198" s="10" t="n"/>
      <c r="O198" s="10" t="n"/>
      <c r="P198" s="10" t="n"/>
      <c r="Q198" s="10" t="n"/>
      <c r="R198" s="10" t="n"/>
    </row>
    <row r="199">
      <c r="A199" s="10" t="inlineStr">
        <is>
          <t>Ferrous Bisglycinate-20% Iron</t>
        </is>
      </c>
      <c r="B199" s="10" t="n"/>
      <c r="C199" s="10" t="n"/>
      <c r="D199" s="5" t="n"/>
      <c r="E199" s="5" t="n"/>
      <c r="F199" s="10" t="n"/>
      <c r="G199" s="5" t="n"/>
      <c r="H199" s="5" t="n"/>
      <c r="I199" s="5" t="n"/>
      <c r="J199" s="5" t="n"/>
      <c r="K199" s="10" t="inlineStr">
        <is>
          <t>Suggested - confirm</t>
        </is>
      </c>
      <c r="L199" s="5" t="inlineStr">
        <is>
          <t>Ferrous Bisglycinate</t>
        </is>
      </c>
      <c r="M199" s="5" t="n"/>
      <c r="N199" s="10" t="n"/>
      <c r="O199" s="10" t="n"/>
      <c r="P199" s="10" t="n"/>
      <c r="Q199" s="10" t="n"/>
      <c r="R199" s="10" t="n"/>
    </row>
    <row r="200">
      <c r="A200" s="10" t="inlineStr">
        <is>
          <t>Fluticasone Propionate USP</t>
        </is>
      </c>
      <c r="B200" s="10" t="n"/>
      <c r="C200" s="10" t="n"/>
      <c r="D200" s="5" t="n"/>
      <c r="E200" s="5" t="n"/>
      <c r="F200" s="10" t="n"/>
      <c r="G200" s="5" t="n"/>
      <c r="H200" s="5" t="n"/>
      <c r="I200" s="5" t="n"/>
      <c r="J200" s="5" t="n"/>
      <c r="K200" s="10" t="inlineStr">
        <is>
          <t>Suggested - confirm</t>
        </is>
      </c>
      <c r="L200" s="5" t="inlineStr">
        <is>
          <t>Fluticasone Propionate</t>
        </is>
      </c>
      <c r="M200" s="5" t="n"/>
      <c r="N200" s="10" t="n"/>
      <c r="O200" s="10" t="n"/>
      <c r="P200" s="10" t="n"/>
      <c r="Q200" s="10" t="n"/>
      <c r="R200" s="10" t="n"/>
    </row>
    <row r="201">
      <c r="A201" s="10" t="inlineStr">
        <is>
          <t>FOLIC ACID-B9</t>
        </is>
      </c>
      <c r="B201" s="10" t="n"/>
      <c r="C201" s="10" t="n"/>
      <c r="D201" s="5" t="n"/>
      <c r="E201" s="5" t="n"/>
      <c r="F201" s="10" t="n"/>
      <c r="G201" s="5" t="n"/>
      <c r="H201" s="5" t="n"/>
      <c r="I201" s="5" t="n"/>
      <c r="J201" s="5" t="n"/>
      <c r="K201" s="10" t="inlineStr">
        <is>
          <t>Suggested - confirm</t>
        </is>
      </c>
      <c r="L201" s="5" t="inlineStr">
        <is>
          <t>Folic Acid (Vitamin B9)</t>
        </is>
      </c>
      <c r="M201" s="5" t="n"/>
      <c r="N201" s="10" t="n"/>
      <c r="O201" s="10" t="n"/>
      <c r="P201" s="10" t="n"/>
      <c r="Q201" s="10" t="n"/>
      <c r="R201" s="10" t="n"/>
    </row>
    <row r="202">
      <c r="A202" s="10" t="inlineStr">
        <is>
          <t>Ginger Root Extract 5:1</t>
        </is>
      </c>
      <c r="B202" s="10" t="n"/>
      <c r="C202" s="10" t="n"/>
      <c r="D202" s="5" t="n"/>
      <c r="E202" s="5" t="n"/>
      <c r="F202" s="10" t="n"/>
      <c r="G202" s="5" t="n"/>
      <c r="H202" s="5" t="n"/>
      <c r="I202" s="5" t="n"/>
      <c r="J202" s="5" t="n"/>
      <c r="K202" s="10" t="inlineStr">
        <is>
          <t>Suggested - confirm</t>
        </is>
      </c>
      <c r="L202" s="5" t="inlineStr">
        <is>
          <t>Ginger Dry Extract 5:1</t>
        </is>
      </c>
      <c r="M202" s="5" t="n"/>
      <c r="N202" s="10" t="n"/>
      <c r="O202" s="10" t="n"/>
      <c r="P202" s="10" t="n"/>
      <c r="Q202" s="10" t="n"/>
      <c r="R202" s="10" t="n"/>
    </row>
    <row r="203">
      <c r="A203" s="10" t="inlineStr">
        <is>
          <t>Glycerin</t>
        </is>
      </c>
      <c r="B203" s="10" t="n"/>
      <c r="C203" s="10" t="n"/>
      <c r="D203" s="5" t="n"/>
      <c r="E203" s="5" t="n"/>
      <c r="F203" s="10" t="n"/>
      <c r="G203" s="5" t="n"/>
      <c r="H203" s="5" t="n"/>
      <c r="I203" s="5" t="n"/>
      <c r="J203" s="5" t="n"/>
      <c r="K203" s="10" t="inlineStr">
        <is>
          <t>Suggested - confirm</t>
        </is>
      </c>
      <c r="L203" s="5" t="inlineStr">
        <is>
          <t>Glycerine</t>
        </is>
      </c>
      <c r="M203" s="5" t="n"/>
      <c r="N203" s="10" t="n"/>
      <c r="O203" s="10" t="n"/>
      <c r="P203" s="10" t="n"/>
      <c r="Q203" s="10" t="n"/>
      <c r="R203" s="10" t="n"/>
    </row>
    <row r="204">
      <c r="A204" s="10" t="inlineStr">
        <is>
          <t>Glycerine 99.7%</t>
        </is>
      </c>
      <c r="B204" s="10" t="n"/>
      <c r="C204" s="10" t="n"/>
      <c r="D204" s="5" t="n"/>
      <c r="E204" s="5" t="n"/>
      <c r="F204" s="10" t="n"/>
      <c r="G204" s="5" t="n"/>
      <c r="H204" s="5" t="n"/>
      <c r="I204" s="5" t="n"/>
      <c r="J204" s="5" t="n"/>
      <c r="K204" s="10" t="inlineStr">
        <is>
          <t>Suggested - confirm</t>
        </is>
      </c>
      <c r="L204" s="5" t="inlineStr">
        <is>
          <t>Glycerine</t>
        </is>
      </c>
      <c r="M204" s="5" t="n"/>
      <c r="N204" s="10" t="n"/>
      <c r="O204" s="10" t="n"/>
      <c r="P204" s="10" t="n"/>
      <c r="Q204" s="10" t="n"/>
      <c r="R204" s="10" t="n"/>
    </row>
    <row r="205">
      <c r="A205" s="10" t="inlineStr">
        <is>
          <t>Hard Glatin Capsule</t>
        </is>
      </c>
      <c r="B205" s="10" t="n"/>
      <c r="C205" s="10" t="n"/>
      <c r="D205" s="5" t="n"/>
      <c r="E205" s="5" t="n"/>
      <c r="F205" s="10" t="n"/>
      <c r="G205" s="5" t="n"/>
      <c r="H205" s="5" t="n"/>
      <c r="I205" s="5" t="n"/>
      <c r="J205" s="5" t="n"/>
      <c r="K205" s="10" t="inlineStr">
        <is>
          <t>Suggested - confirm</t>
        </is>
      </c>
      <c r="L205" s="5" t="inlineStr">
        <is>
          <t>Hard Gelatin Capsule</t>
        </is>
      </c>
      <c r="M205" s="5" t="n"/>
      <c r="N205" s="10" t="n"/>
      <c r="O205" s="10" t="n"/>
      <c r="P205" s="10" t="n"/>
      <c r="Q205" s="10" t="n"/>
      <c r="R205" s="10" t="n"/>
    </row>
    <row r="206">
      <c r="A206" s="10" t="inlineStr">
        <is>
          <t>HPMC K100</t>
        </is>
      </c>
      <c r="B206" s="10" t="n"/>
      <c r="C206" s="10" t="n"/>
      <c r="D206" s="5" t="n"/>
      <c r="E206" s="5" t="n"/>
      <c r="F206" s="10" t="n"/>
      <c r="G206" s="5" t="n"/>
      <c r="H206" s="5" t="n"/>
      <c r="I206" s="5" t="n"/>
      <c r="J206" s="5" t="n"/>
      <c r="K206" s="10" t="inlineStr">
        <is>
          <t>Suggested - confirm</t>
        </is>
      </c>
      <c r="L206" s="5" t="inlineStr">
        <is>
          <t>HPMC K100M (100,000 cps CR)</t>
        </is>
      </c>
      <c r="M206" s="5" t="n"/>
      <c r="N206" s="10" t="n"/>
      <c r="O206" s="10" t="n"/>
      <c r="P206" s="10" t="n"/>
      <c r="Q206" s="10" t="n"/>
      <c r="R206" s="10" t="n"/>
    </row>
    <row r="207">
      <c r="A207" s="10" t="inlineStr">
        <is>
          <t>L-Cholin Bitartrate</t>
        </is>
      </c>
      <c r="B207" s="10" t="n"/>
      <c r="C207" s="10" t="n"/>
      <c r="D207" s="5" t="n"/>
      <c r="E207" s="5" t="n"/>
      <c r="F207" s="10" t="n"/>
      <c r="G207" s="5" t="n"/>
      <c r="H207" s="5" t="n"/>
      <c r="I207" s="5" t="n"/>
      <c r="J207" s="5" t="n"/>
      <c r="K207" s="10" t="inlineStr">
        <is>
          <t>Suggested - confirm</t>
        </is>
      </c>
      <c r="L207" s="5" t="inlineStr">
        <is>
          <t>Choline Bitartrate</t>
        </is>
      </c>
      <c r="M207" s="5" t="n"/>
      <c r="N207" s="10" t="n"/>
      <c r="O207" s="10" t="n"/>
      <c r="P207" s="10" t="n"/>
      <c r="Q207" s="10" t="n"/>
      <c r="R207" s="10" t="n"/>
    </row>
    <row r="208">
      <c r="A208" s="10" t="inlineStr">
        <is>
          <t>L-choline Bitartarate</t>
        </is>
      </c>
      <c r="B208" s="10" t="n"/>
      <c r="C208" s="10" t="n"/>
      <c r="D208" s="5" t="n"/>
      <c r="E208" s="5" t="n"/>
      <c r="F208" s="10" t="n"/>
      <c r="G208" s="5" t="n"/>
      <c r="H208" s="5" t="n"/>
      <c r="I208" s="5" t="n"/>
      <c r="J208" s="5" t="n"/>
      <c r="K208" s="10" t="inlineStr">
        <is>
          <t>Suggested - confirm</t>
        </is>
      </c>
      <c r="L208" s="5" t="inlineStr">
        <is>
          <t>Choline Bitartrate</t>
        </is>
      </c>
      <c r="M208" s="5" t="n"/>
      <c r="N208" s="10" t="n"/>
      <c r="O208" s="10" t="n"/>
      <c r="P208" s="10" t="n"/>
      <c r="Q208" s="10" t="n"/>
      <c r="R208" s="10" t="n"/>
    </row>
    <row r="209">
      <c r="A209" s="10" t="inlineStr">
        <is>
          <t>L-Choline Bitartrate</t>
        </is>
      </c>
      <c r="B209" s="10" t="n"/>
      <c r="C209" s="10" t="n"/>
      <c r="D209" s="5" t="n"/>
      <c r="E209" s="5" t="n"/>
      <c r="F209" s="10" t="n"/>
      <c r="G209" s="5" t="n"/>
      <c r="H209" s="5" t="n"/>
      <c r="I209" s="5" t="n"/>
      <c r="J209" s="5" t="n"/>
      <c r="K209" s="10" t="inlineStr">
        <is>
          <t>Suggested - confirm</t>
        </is>
      </c>
      <c r="L209" s="5" t="inlineStr">
        <is>
          <t>Choline Bitartrate</t>
        </is>
      </c>
      <c r="M209" s="5" t="n"/>
      <c r="N209" s="10" t="n"/>
      <c r="O209" s="10" t="n"/>
      <c r="P209" s="10" t="n"/>
      <c r="Q209" s="10" t="n"/>
      <c r="R209" s="10" t="n"/>
    </row>
    <row r="210">
      <c r="A210" s="10" t="inlineStr">
        <is>
          <t>Lactose Monohydrate 80 Mesh</t>
        </is>
      </c>
      <c r="B210" s="10" t="n"/>
      <c r="C210" s="10" t="n"/>
      <c r="D210" s="5" t="n"/>
      <c r="E210" s="5" t="n"/>
      <c r="F210" s="10" t="n"/>
      <c r="G210" s="5" t="n"/>
      <c r="H210" s="5" t="n"/>
      <c r="I210" s="5" t="n"/>
      <c r="J210" s="5" t="n"/>
      <c r="K210" s="10" t="inlineStr">
        <is>
          <t>Suggested - confirm</t>
        </is>
      </c>
      <c r="L210" s="5" t="inlineStr">
        <is>
          <t>Lactose Monohydrate</t>
        </is>
      </c>
      <c r="M210" s="5" t="n"/>
      <c r="N210" s="10" t="n"/>
      <c r="O210" s="10" t="n"/>
      <c r="P210" s="10" t="n"/>
      <c r="Q210" s="10" t="n"/>
      <c r="R210" s="10" t="n"/>
    </row>
    <row r="211">
      <c r="A211" s="10" t="inlineStr">
        <is>
          <t>Levocarnitine</t>
        </is>
      </c>
      <c r="B211" s="10" t="n"/>
      <c r="C211" s="10" t="n"/>
      <c r="D211" s="5" t="n"/>
      <c r="E211" s="5" t="n"/>
      <c r="F211" s="10" t="n"/>
      <c r="G211" s="5" t="n"/>
      <c r="H211" s="5" t="n"/>
      <c r="I211" s="5" t="n"/>
      <c r="J211" s="5" t="n"/>
      <c r="K211" s="10" t="inlineStr">
        <is>
          <t>Suggested - confirm</t>
        </is>
      </c>
      <c r="L211" s="5" t="inlineStr">
        <is>
          <t>L-Carnitine (Base)</t>
        </is>
      </c>
      <c r="M211" s="5" t="n"/>
      <c r="N211" s="10" t="n"/>
      <c r="O211" s="10" t="n"/>
      <c r="P211" s="10" t="n"/>
      <c r="Q211" s="10" t="n"/>
      <c r="R211" s="10" t="n"/>
    </row>
    <row r="212">
      <c r="A212" s="10" t="inlineStr">
        <is>
          <t>Magnesiun Oxide,Heavy</t>
        </is>
      </c>
      <c r="B212" s="10" t="n"/>
      <c r="C212" s="10" t="n"/>
      <c r="D212" s="5" t="n"/>
      <c r="E212" s="5" t="n"/>
      <c r="F212" s="10" t="n"/>
      <c r="G212" s="5" t="n"/>
      <c r="H212" s="5" t="n"/>
      <c r="I212" s="5" t="n"/>
      <c r="J212" s="5" t="n"/>
      <c r="K212" s="10" t="inlineStr">
        <is>
          <t>Suggested - confirm</t>
        </is>
      </c>
      <c r="L212" s="5" t="inlineStr">
        <is>
          <t>Magnesium Oxide Heavy</t>
        </is>
      </c>
      <c r="M212" s="5" t="n"/>
      <c r="N212" s="10" t="n"/>
      <c r="O212" s="10" t="n"/>
      <c r="P212" s="10" t="n"/>
      <c r="Q212" s="10" t="n"/>
      <c r="R212" s="10" t="n"/>
    </row>
    <row r="213">
      <c r="A213" s="10" t="inlineStr">
        <is>
          <t>Menthol</t>
        </is>
      </c>
      <c r="B213" s="10" t="n"/>
      <c r="C213" s="10" t="n"/>
      <c r="D213" s="5" t="n"/>
      <c r="E213" s="5" t="n"/>
      <c r="F213" s="10" t="n"/>
      <c r="G213" s="5" t="n"/>
      <c r="H213" s="5" t="n"/>
      <c r="I213" s="5" t="n"/>
      <c r="J213" s="5" t="n"/>
      <c r="K213" s="10" t="inlineStr">
        <is>
          <t>Suggested - confirm</t>
        </is>
      </c>
      <c r="L213" s="5" t="inlineStr">
        <is>
          <t>L-Menthol</t>
        </is>
      </c>
      <c r="M213" s="5" t="n"/>
      <c r="N213" s="10" t="n"/>
      <c r="O213" s="10" t="n"/>
      <c r="P213" s="10" t="n"/>
      <c r="Q213" s="10" t="n"/>
      <c r="R213" s="10" t="n"/>
    </row>
    <row r="214">
      <c r="A214" s="10" t="inlineStr">
        <is>
          <t>Metformin Hydrochloride USP</t>
        </is>
      </c>
      <c r="B214" s="10" t="n"/>
      <c r="C214" s="10" t="n"/>
      <c r="D214" s="5" t="n"/>
      <c r="E214" s="5" t="n"/>
      <c r="F214" s="10" t="n"/>
      <c r="G214" s="5" t="n"/>
      <c r="H214" s="5" t="n"/>
      <c r="I214" s="5" t="n"/>
      <c r="J214" s="5" t="n"/>
      <c r="K214" s="10" t="inlineStr">
        <is>
          <t>Suggested - confirm</t>
        </is>
      </c>
      <c r="L214" s="5" t="inlineStr">
        <is>
          <t>Metformin Hydrochloride</t>
        </is>
      </c>
      <c r="M214" s="5" t="n"/>
      <c r="N214" s="10" t="n"/>
      <c r="O214" s="10" t="n"/>
      <c r="P214" s="10" t="n"/>
      <c r="Q214" s="10" t="n"/>
      <c r="R214" s="10" t="n"/>
    </row>
    <row r="215">
      <c r="A215" s="10" t="inlineStr">
        <is>
          <t>Methyl Sulfonyl Methane (MSM)</t>
        </is>
      </c>
      <c r="B215" s="10" t="n"/>
      <c r="C215" s="10" t="n"/>
      <c r="D215" s="5" t="n"/>
      <c r="E215" s="5" t="n"/>
      <c r="F215" s="10" t="n"/>
      <c r="G215" s="5" t="n"/>
      <c r="H215" s="5" t="n"/>
      <c r="I215" s="5" t="n"/>
      <c r="J215" s="5" t="n"/>
      <c r="K215" s="10" t="inlineStr">
        <is>
          <t>Suggested - confirm</t>
        </is>
      </c>
      <c r="L215" s="5" t="inlineStr">
        <is>
          <t>Methyl Sulphonyl Methane (MSM)</t>
        </is>
      </c>
      <c r="M215" s="5" t="n"/>
      <c r="N215" s="10" t="n"/>
      <c r="O215" s="10" t="n"/>
      <c r="P215" s="10" t="n"/>
      <c r="Q215" s="10" t="n"/>
      <c r="R215" s="10" t="n"/>
    </row>
    <row r="216">
      <c r="A216" s="10" t="inlineStr">
        <is>
          <t>Methyl Sulfonyl Methane-MSM</t>
        </is>
      </c>
      <c r="B216" s="10" t="n"/>
      <c r="C216" s="10" t="n"/>
      <c r="D216" s="5" t="n"/>
      <c r="E216" s="5" t="n"/>
      <c r="F216" s="10" t="n"/>
      <c r="G216" s="5" t="n"/>
      <c r="H216" s="5" t="n"/>
      <c r="I216" s="5" t="n"/>
      <c r="J216" s="5" t="n"/>
      <c r="K216" s="10" t="inlineStr">
        <is>
          <t>Suggested - confirm</t>
        </is>
      </c>
      <c r="L216" s="5" t="inlineStr">
        <is>
          <t>Methyl Sulphonyl Methane (MSM)</t>
        </is>
      </c>
      <c r="M216" s="5" t="n"/>
      <c r="N216" s="10" t="n"/>
      <c r="O216" s="10" t="n"/>
      <c r="P216" s="10" t="n"/>
      <c r="Q216" s="10" t="n"/>
      <c r="R216" s="10" t="n"/>
    </row>
    <row r="217">
      <c r="A217" s="10" t="inlineStr">
        <is>
          <t>Microcrystalline Cellose 101(Avicel 101)</t>
        </is>
      </c>
      <c r="B217" s="10" t="n"/>
      <c r="C217" s="10" t="n"/>
      <c r="D217" s="5" t="n"/>
      <c r="E217" s="5" t="n"/>
      <c r="F217" s="10" t="n"/>
      <c r="G217" s="5" t="n"/>
      <c r="H217" s="5" t="n"/>
      <c r="I217" s="5" t="n"/>
      <c r="J217" s="5" t="n"/>
      <c r="K217" s="10" t="inlineStr">
        <is>
          <t>Suggested - confirm</t>
        </is>
      </c>
      <c r="L217" s="5" t="inlineStr">
        <is>
          <t>Microcrystalline Cellulose PH 101</t>
        </is>
      </c>
      <c r="M217" s="5" t="n"/>
      <c r="N217" s="10" t="n"/>
      <c r="O217" s="10" t="n"/>
      <c r="P217" s="10" t="n"/>
      <c r="Q217" s="10" t="n"/>
      <c r="R217" s="10" t="n"/>
    </row>
    <row r="218">
      <c r="A218" s="10" t="inlineStr">
        <is>
          <t>Microcrystalline Cellulse 101</t>
        </is>
      </c>
      <c r="B218" s="10" t="n"/>
      <c r="C218" s="10" t="n"/>
      <c r="D218" s="5" t="n"/>
      <c r="E218" s="5" t="n"/>
      <c r="F218" s="10" t="n"/>
      <c r="G218" s="5" t="n"/>
      <c r="H218" s="5" t="n"/>
      <c r="I218" s="5" t="n"/>
      <c r="J218" s="5" t="n"/>
      <c r="K218" s="10" t="inlineStr">
        <is>
          <t>Suggested - confirm</t>
        </is>
      </c>
      <c r="L218" s="5" t="inlineStr">
        <is>
          <t>Microcrystalline Cellulose PH 101</t>
        </is>
      </c>
      <c r="M218" s="5" t="n"/>
      <c r="N218" s="10" t="n"/>
      <c r="O218" s="10" t="n"/>
      <c r="P218" s="10" t="n"/>
      <c r="Q218" s="10" t="n"/>
      <c r="R218" s="10" t="n"/>
    </row>
    <row r="219">
      <c r="A219" s="10" t="inlineStr">
        <is>
          <t>Microcrystalline celluose RC591</t>
        </is>
      </c>
      <c r="B219" s="10" t="n"/>
      <c r="C219" s="10" t="n"/>
      <c r="D219" s="5" t="n"/>
      <c r="E219" s="5" t="n"/>
      <c r="F219" s="10" t="n"/>
      <c r="G219" s="5" t="n"/>
      <c r="H219" s="5" t="n"/>
      <c r="I219" s="5" t="n"/>
      <c r="J219" s="5" t="n"/>
      <c r="K219" s="10" t="inlineStr">
        <is>
          <t>Suggested - confirm</t>
        </is>
      </c>
      <c r="L219" s="5" t="inlineStr">
        <is>
          <t>Microcrystalline Cellulose RC591</t>
        </is>
      </c>
      <c r="M219" s="5" t="n"/>
      <c r="N219" s="10" t="n"/>
      <c r="O219" s="10" t="n"/>
      <c r="P219" s="10" t="n"/>
      <c r="Q219" s="10" t="n"/>
      <c r="R219" s="10" t="n"/>
    </row>
    <row r="220">
      <c r="A220" s="10" t="inlineStr">
        <is>
          <t>Nicothinamide (Vitamin B3)</t>
        </is>
      </c>
      <c r="B220" s="10" t="n"/>
      <c r="C220" s="10" t="n"/>
      <c r="D220" s="5" t="n"/>
      <c r="E220" s="5" t="n"/>
      <c r="F220" s="10" t="n"/>
      <c r="G220" s="5" t="n"/>
      <c r="H220" s="5" t="n"/>
      <c r="I220" s="5" t="n"/>
      <c r="J220" s="5" t="n"/>
      <c r="K220" s="10" t="inlineStr">
        <is>
          <t>Suggested - confirm</t>
        </is>
      </c>
      <c r="L220" s="5" t="inlineStr">
        <is>
          <t>Nicotinamide (Vitamin B3)</t>
        </is>
      </c>
      <c r="M220" s="5" t="n"/>
      <c r="N220" s="10" t="n"/>
      <c r="O220" s="10" t="n"/>
      <c r="P220" s="10" t="n"/>
      <c r="Q220" s="10" t="n"/>
      <c r="R220" s="10" t="n"/>
    </row>
    <row r="221">
      <c r="A221" s="10" t="inlineStr">
        <is>
          <t>NICOTINAMIDE-B3</t>
        </is>
      </c>
      <c r="B221" s="10" t="n"/>
      <c r="C221" s="10" t="n"/>
      <c r="D221" s="5" t="n"/>
      <c r="E221" s="5" t="n"/>
      <c r="F221" s="10" t="n"/>
      <c r="G221" s="5" t="n"/>
      <c r="H221" s="5" t="n"/>
      <c r="I221" s="5" t="n"/>
      <c r="J221" s="5" t="n"/>
      <c r="K221" s="10" t="inlineStr">
        <is>
          <t>Suggested - confirm</t>
        </is>
      </c>
      <c r="L221" s="5" t="inlineStr">
        <is>
          <t>Nicotinamide (Vitamin B3)</t>
        </is>
      </c>
      <c r="M221" s="5" t="n"/>
      <c r="N221" s="10" t="n"/>
      <c r="O221" s="10" t="n"/>
      <c r="P221" s="10" t="n"/>
      <c r="Q221" s="10" t="n"/>
      <c r="R221" s="10" t="n"/>
    </row>
    <row r="222">
      <c r="A222" s="10" t="inlineStr">
        <is>
          <t>Orang Flavour</t>
        </is>
      </c>
      <c r="B222" s="10" t="n"/>
      <c r="C222" s="10" t="n"/>
      <c r="D222" s="5" t="n"/>
      <c r="E222" s="5" t="n"/>
      <c r="F222" s="10" t="n"/>
      <c r="G222" s="5" t="n"/>
      <c r="H222" s="5" t="n"/>
      <c r="I222" s="5" t="n"/>
      <c r="J222" s="5" t="n"/>
      <c r="K222" s="10" t="inlineStr">
        <is>
          <t>Suggested - confirm</t>
        </is>
      </c>
      <c r="L222" s="5" t="inlineStr">
        <is>
          <t>Orange Flavour</t>
        </is>
      </c>
      <c r="M222" s="5" t="n"/>
      <c r="N222" s="10" t="n"/>
      <c r="O222" s="10" t="n"/>
      <c r="P222" s="10" t="n"/>
      <c r="Q222" s="10" t="n"/>
      <c r="R222" s="10" t="n"/>
    </row>
    <row r="223">
      <c r="A223" s="10" t="inlineStr">
        <is>
          <t>Orange Flavor</t>
        </is>
      </c>
      <c r="B223" s="10" t="n"/>
      <c r="C223" s="10" t="n"/>
      <c r="D223" s="5" t="n"/>
      <c r="E223" s="5" t="n"/>
      <c r="F223" s="10" t="n"/>
      <c r="G223" s="5" t="n"/>
      <c r="H223" s="5" t="n"/>
      <c r="I223" s="5" t="n"/>
      <c r="J223" s="5" t="n"/>
      <c r="K223" s="10" t="inlineStr">
        <is>
          <t>Suggested - confirm</t>
        </is>
      </c>
      <c r="L223" s="5" t="inlineStr">
        <is>
          <t>Orange Flavour</t>
        </is>
      </c>
      <c r="M223" s="5" t="n"/>
      <c r="N223" s="10" t="n"/>
      <c r="O223" s="10" t="n"/>
      <c r="P223" s="10" t="n"/>
      <c r="Q223" s="10" t="n"/>
      <c r="R223" s="10" t="n"/>
    </row>
    <row r="224">
      <c r="A224" s="10" t="inlineStr">
        <is>
          <t>Panax Ginseng Extract</t>
        </is>
      </c>
      <c r="B224" s="10" t="n"/>
      <c r="C224" s="10" t="n"/>
      <c r="D224" s="5" t="n"/>
      <c r="E224" s="5" t="n"/>
      <c r="F224" s="10" t="n"/>
      <c r="G224" s="5" t="n"/>
      <c r="H224" s="5" t="n"/>
      <c r="I224" s="5" t="n"/>
      <c r="J224" s="5" t="n"/>
      <c r="K224" s="10" t="inlineStr">
        <is>
          <t>Suggested - confirm</t>
        </is>
      </c>
      <c r="L224" s="5" t="inlineStr">
        <is>
          <t>Panax Ginseng (Asian Ginseng) Dry Extract 3:1</t>
        </is>
      </c>
      <c r="M224" s="5" t="n"/>
      <c r="N224" s="10" t="n"/>
      <c r="O224" s="10" t="n"/>
      <c r="P224" s="10" t="n"/>
      <c r="Q224" s="10" t="n"/>
      <c r="R224" s="10" t="n"/>
    </row>
    <row r="225">
      <c r="A225" s="10" t="inlineStr">
        <is>
          <t>Panax Ginseng Extract-10%</t>
        </is>
      </c>
      <c r="B225" s="10" t="n"/>
      <c r="C225" s="10" t="n"/>
      <c r="D225" s="5" t="n"/>
      <c r="E225" s="5" t="n"/>
      <c r="F225" s="10" t="n"/>
      <c r="G225" s="5" t="n"/>
      <c r="H225" s="5" t="n"/>
      <c r="I225" s="5" t="n"/>
      <c r="J225" s="5" t="n"/>
      <c r="K225" s="10" t="inlineStr">
        <is>
          <t>Suggested - confirm</t>
        </is>
      </c>
      <c r="L225" s="5" t="inlineStr">
        <is>
          <t>Panax Ginseng (Asian Ginseng) Dry Extract 3:1</t>
        </is>
      </c>
      <c r="M225" s="5" t="n"/>
      <c r="N225" s="10" t="n"/>
      <c r="O225" s="10" t="n"/>
      <c r="P225" s="10" t="n"/>
      <c r="Q225" s="10" t="n"/>
      <c r="R225" s="10" t="n"/>
    </row>
    <row r="226">
      <c r="A226" s="10" t="inlineStr">
        <is>
          <t>Peppermint Extract</t>
        </is>
      </c>
      <c r="B226" s="10" t="n"/>
      <c r="C226" s="10" t="n"/>
      <c r="D226" s="5" t="n"/>
      <c r="E226" s="5" t="n"/>
      <c r="F226" s="10" t="n"/>
      <c r="G226" s="5" t="n"/>
      <c r="H226" s="5" t="n"/>
      <c r="I226" s="5" t="n"/>
      <c r="J226" s="5" t="n"/>
      <c r="K226" s="10" t="inlineStr">
        <is>
          <t>Suggested - confirm</t>
        </is>
      </c>
      <c r="L226" s="5" t="inlineStr">
        <is>
          <t>Peppermint Dry Extract</t>
        </is>
      </c>
      <c r="M226" s="5" t="n"/>
      <c r="N226" s="10" t="n"/>
      <c r="O226" s="10" t="n"/>
      <c r="P226" s="10" t="n"/>
      <c r="Q226" s="10" t="n"/>
      <c r="R226" s="10" t="n"/>
    </row>
    <row r="227">
      <c r="A227" s="10" t="inlineStr">
        <is>
          <t>Peppermint Root Extract</t>
        </is>
      </c>
      <c r="B227" s="10" t="n"/>
      <c r="C227" s="10" t="n"/>
      <c r="D227" s="5" t="n"/>
      <c r="E227" s="5" t="n"/>
      <c r="F227" s="10" t="n"/>
      <c r="G227" s="5" t="n"/>
      <c r="H227" s="5" t="n"/>
      <c r="I227" s="5" t="n"/>
      <c r="J227" s="5" t="n"/>
      <c r="K227" s="10" t="inlineStr">
        <is>
          <t>Suggested - confirm</t>
        </is>
      </c>
      <c r="L227" s="5" t="inlineStr">
        <is>
          <t>Peppermint Dry Extract</t>
        </is>
      </c>
      <c r="M227" s="5" t="n"/>
      <c r="N227" s="10" t="n"/>
      <c r="O227" s="10" t="n"/>
      <c r="P227" s="10" t="n"/>
      <c r="Q227" s="10" t="n"/>
      <c r="R227" s="10" t="n"/>
    </row>
    <row r="228">
      <c r="A228" s="10" t="inlineStr">
        <is>
          <t>Permix Dermobella</t>
        </is>
      </c>
      <c r="B228" s="10" t="n"/>
      <c r="C228" s="10" t="n"/>
      <c r="D228" s="5" t="n"/>
      <c r="E228" s="5" t="n"/>
      <c r="F228" s="10" t="n"/>
      <c r="G228" s="5" t="n"/>
      <c r="H228" s="5" t="n"/>
      <c r="I228" s="5" t="n"/>
      <c r="J228" s="5" t="n"/>
      <c r="K228" s="10" t="inlineStr">
        <is>
          <t>Suggested - confirm</t>
        </is>
      </c>
      <c r="L228" s="5" t="inlineStr">
        <is>
          <t>Premix Dermo Bella</t>
        </is>
      </c>
      <c r="M228" s="5" t="n"/>
      <c r="N228" s="10" t="n"/>
      <c r="O228" s="10" t="n"/>
      <c r="P228" s="10" t="n"/>
      <c r="Q228" s="10" t="n"/>
      <c r="R228" s="10" t="n"/>
    </row>
    <row r="229">
      <c r="A229" s="10" t="inlineStr">
        <is>
          <t>Ribflavin-B2</t>
        </is>
      </c>
      <c r="B229" s="10" t="n"/>
      <c r="C229" s="10" t="n"/>
      <c r="D229" s="5" t="n"/>
      <c r="E229" s="5" t="n"/>
      <c r="F229" s="10" t="n"/>
      <c r="G229" s="5" t="n"/>
      <c r="H229" s="5" t="n"/>
      <c r="I229" s="5" t="n"/>
      <c r="J229" s="5" t="n"/>
      <c r="K229" s="10" t="inlineStr">
        <is>
          <t>Suggested - confirm</t>
        </is>
      </c>
      <c r="L229" s="5" t="inlineStr">
        <is>
          <t>Riboflavin (Vitamin B2)</t>
        </is>
      </c>
      <c r="M229" s="5" t="n"/>
      <c r="N229" s="10" t="n"/>
      <c r="O229" s="10" t="n"/>
      <c r="P229" s="10" t="n"/>
      <c r="Q229" s="10" t="n"/>
      <c r="R229" s="10" t="n"/>
    </row>
    <row r="230">
      <c r="A230" s="10" t="inlineStr">
        <is>
          <t>Riboflavine (Vitamin B2)</t>
        </is>
      </c>
      <c r="B230" s="10" t="n"/>
      <c r="C230" s="10" t="n"/>
      <c r="D230" s="5" t="n"/>
      <c r="E230" s="5" t="n"/>
      <c r="F230" s="10" t="n"/>
      <c r="G230" s="5" t="n"/>
      <c r="H230" s="5" t="n"/>
      <c r="I230" s="5" t="n"/>
      <c r="J230" s="5" t="n"/>
      <c r="K230" s="10" t="inlineStr">
        <is>
          <t>Suggested - confirm</t>
        </is>
      </c>
      <c r="L230" s="5" t="inlineStr">
        <is>
          <t>Riboflavin (Vitamin B2)</t>
        </is>
      </c>
      <c r="M230" s="5" t="n"/>
      <c r="N230" s="10" t="n"/>
      <c r="O230" s="10" t="n"/>
      <c r="P230" s="10" t="n"/>
      <c r="Q230" s="10" t="n"/>
      <c r="R230" s="10" t="n"/>
    </row>
    <row r="231">
      <c r="A231" s="10" t="inlineStr">
        <is>
          <t>Saiberian Ginseng Extract</t>
        </is>
      </c>
      <c r="B231" s="10" t="n"/>
      <c r="C231" s="10" t="n"/>
      <c r="D231" s="5" t="n"/>
      <c r="E231" s="5" t="n"/>
      <c r="F231" s="10" t="n"/>
      <c r="G231" s="5" t="n"/>
      <c r="H231" s="5" t="n"/>
      <c r="I231" s="5" t="n"/>
      <c r="J231" s="5" t="n"/>
      <c r="K231" s="10" t="inlineStr">
        <is>
          <t>Suggested - confirm</t>
        </is>
      </c>
      <c r="L231" s="5" t="inlineStr">
        <is>
          <t>Siberian Ginseng Dry Extract 5:1</t>
        </is>
      </c>
      <c r="M231" s="5" t="n"/>
      <c r="N231" s="10" t="n"/>
      <c r="O231" s="10" t="n"/>
      <c r="P231" s="10" t="n"/>
      <c r="Q231" s="10" t="n"/>
      <c r="R231" s="10" t="n"/>
    </row>
    <row r="232">
      <c r="A232" s="10" t="inlineStr">
        <is>
          <t>Saw Palmetto Extract</t>
        </is>
      </c>
      <c r="B232" s="10" t="n"/>
      <c r="C232" s="10" t="n"/>
      <c r="D232" s="5" t="n"/>
      <c r="E232" s="5" t="n"/>
      <c r="F232" s="10" t="n"/>
      <c r="G232" s="5" t="n"/>
      <c r="H232" s="5" t="n"/>
      <c r="I232" s="5" t="n"/>
      <c r="J232" s="5" t="n"/>
      <c r="K232" s="10" t="inlineStr">
        <is>
          <t>Suggested - confirm</t>
        </is>
      </c>
      <c r="L232" s="5" t="inlineStr">
        <is>
          <t>Saw Palmetto Dry Extract 4:1</t>
        </is>
      </c>
      <c r="M232" s="5" t="n"/>
      <c r="N232" s="10" t="n"/>
      <c r="O232" s="10" t="n"/>
      <c r="P232" s="10" t="n"/>
      <c r="Q232" s="10" t="n"/>
      <c r="R232" s="10" t="n"/>
    </row>
    <row r="233">
      <c r="A233" s="10" t="inlineStr">
        <is>
          <t>Siberian Ginseng Extract</t>
        </is>
      </c>
      <c r="B233" s="10" t="n"/>
      <c r="C233" s="10" t="n"/>
      <c r="D233" s="5" t="n"/>
      <c r="E233" s="5" t="n"/>
      <c r="F233" s="10" t="n"/>
      <c r="G233" s="5" t="n"/>
      <c r="H233" s="5" t="n"/>
      <c r="I233" s="5" t="n"/>
      <c r="J233" s="5" t="n"/>
      <c r="K233" s="10" t="inlineStr">
        <is>
          <t>Suggested - confirm</t>
        </is>
      </c>
      <c r="L233" s="5" t="inlineStr">
        <is>
          <t>Siberian Ginseng Dry Extract 5:1</t>
        </is>
      </c>
      <c r="M233" s="5" t="n"/>
      <c r="N233" s="10" t="n"/>
      <c r="O233" s="10" t="n"/>
      <c r="P233" s="10" t="n"/>
      <c r="Q233" s="10" t="n"/>
      <c r="R233" s="10" t="n"/>
    </row>
    <row r="234">
      <c r="A234" s="10" t="inlineStr">
        <is>
          <t>Sodium Banzoate</t>
        </is>
      </c>
      <c r="B234" s="10" t="n"/>
      <c r="C234" s="10" t="n"/>
      <c r="D234" s="5" t="n"/>
      <c r="E234" s="5" t="n"/>
      <c r="F234" s="10" t="n"/>
      <c r="G234" s="5" t="n"/>
      <c r="H234" s="5" t="n"/>
      <c r="I234" s="5" t="n"/>
      <c r="J234" s="5" t="n"/>
      <c r="K234" s="10" t="inlineStr">
        <is>
          <t>Suggested - confirm</t>
        </is>
      </c>
      <c r="L234" s="5" t="inlineStr">
        <is>
          <t>Sodium Benzoate</t>
        </is>
      </c>
      <c r="M234" s="5" t="n"/>
      <c r="N234" s="10" t="n"/>
      <c r="O234" s="10" t="n"/>
      <c r="P234" s="10" t="n"/>
      <c r="Q234" s="10" t="n"/>
      <c r="R234" s="10" t="n"/>
    </row>
    <row r="235">
      <c r="A235" s="10" t="inlineStr">
        <is>
          <t>Stawberry Flavour</t>
        </is>
      </c>
      <c r="B235" s="10" t="n"/>
      <c r="C235" s="10" t="n"/>
      <c r="D235" s="5" t="n"/>
      <c r="E235" s="5" t="n"/>
      <c r="F235" s="10" t="n"/>
      <c r="G235" s="5" t="n"/>
      <c r="H235" s="5" t="n"/>
      <c r="I235" s="5" t="n"/>
      <c r="J235" s="5" t="n"/>
      <c r="K235" s="10" t="inlineStr">
        <is>
          <t>Suggested - confirm</t>
        </is>
      </c>
      <c r="L235" s="5" t="inlineStr">
        <is>
          <t>Strawberry Flavour</t>
        </is>
      </c>
      <c r="M235" s="5" t="n"/>
      <c r="N235" s="10" t="n"/>
      <c r="O235" s="10" t="n"/>
      <c r="P235" s="10" t="n"/>
      <c r="Q235" s="10" t="n"/>
      <c r="R235" s="10" t="n"/>
    </row>
    <row r="236">
      <c r="A236" s="10" t="inlineStr">
        <is>
          <t>Strawberry Flavor</t>
        </is>
      </c>
      <c r="B236" s="10" t="n"/>
      <c r="C236" s="10" t="n"/>
      <c r="D236" s="5" t="n"/>
      <c r="E236" s="5" t="n"/>
      <c r="F236" s="10" t="n"/>
      <c r="G236" s="5" t="n"/>
      <c r="H236" s="5" t="n"/>
      <c r="I236" s="5" t="n"/>
      <c r="J236" s="5" t="n"/>
      <c r="K236" s="10" t="inlineStr">
        <is>
          <t>Suggested - confirm</t>
        </is>
      </c>
      <c r="L236" s="5" t="inlineStr">
        <is>
          <t>Strawberry Flavour</t>
        </is>
      </c>
      <c r="M236" s="5" t="n"/>
      <c r="N236" s="10" t="n"/>
      <c r="O236" s="10" t="n"/>
      <c r="P236" s="10" t="n"/>
      <c r="Q236" s="10" t="n"/>
      <c r="R236" s="10" t="n"/>
    </row>
    <row r="237">
      <c r="A237" s="10" t="inlineStr">
        <is>
          <t>SUNSET YELLOW FCF</t>
        </is>
      </c>
      <c r="B237" s="10" t="n"/>
      <c r="C237" s="10" t="n"/>
      <c r="D237" s="5" t="n"/>
      <c r="E237" s="5" t="n"/>
      <c r="F237" s="10" t="n"/>
      <c r="G237" s="5" t="n"/>
      <c r="H237" s="5" t="n"/>
      <c r="I237" s="5" t="n"/>
      <c r="J237" s="5" t="n"/>
      <c r="K237" s="10" t="inlineStr">
        <is>
          <t>Suggested - confirm</t>
        </is>
      </c>
      <c r="L237" s="5" t="inlineStr">
        <is>
          <t>Sunset Yellow</t>
        </is>
      </c>
      <c r="M237" s="5" t="n"/>
      <c r="N237" s="10" t="n"/>
      <c r="O237" s="10" t="n"/>
      <c r="P237" s="10" t="n"/>
      <c r="Q237" s="10" t="n"/>
      <c r="R237" s="10" t="n"/>
    </row>
    <row r="238">
      <c r="A238" s="10" t="inlineStr">
        <is>
          <t>Tocopheryl Acetate 50%(Vitamin E)</t>
        </is>
      </c>
      <c r="B238" s="10" t="n"/>
      <c r="C238" s="10" t="n"/>
      <c r="D238" s="5" t="n"/>
      <c r="E238" s="5" t="n"/>
      <c r="F238" s="10" t="n"/>
      <c r="G238" s="5" t="n"/>
      <c r="H238" s="5" t="n"/>
      <c r="I238" s="5" t="n"/>
      <c r="J238" s="5" t="n"/>
      <c r="K238" s="10" t="inlineStr">
        <is>
          <t>Suggested - confirm</t>
        </is>
      </c>
      <c r="L238" s="5" t="inlineStr">
        <is>
          <t>D-Alpha Tocopheryl Acetate 50% (Vitamin E)</t>
        </is>
      </c>
      <c r="M238" s="5" t="n"/>
      <c r="N238" s="10" t="n"/>
      <c r="O238" s="10" t="n"/>
      <c r="P238" s="10" t="n"/>
      <c r="Q238" s="10" t="n"/>
      <c r="R238" s="10" t="n"/>
    </row>
    <row r="239">
      <c r="A239" s="10" t="inlineStr">
        <is>
          <t>Tribulus terrestris Extract</t>
        </is>
      </c>
      <c r="B239" s="10" t="n"/>
      <c r="C239" s="10" t="n"/>
      <c r="D239" s="5" t="n"/>
      <c r="E239" s="5" t="n"/>
      <c r="F239" s="10" t="n"/>
      <c r="G239" s="5" t="n"/>
      <c r="H239" s="5" t="n"/>
      <c r="I239" s="5" t="n"/>
      <c r="J239" s="5" t="n"/>
      <c r="K239" s="10" t="inlineStr">
        <is>
          <t>Suggested - confirm</t>
        </is>
      </c>
      <c r="L239" s="5" t="inlineStr">
        <is>
          <t>Tribulus Terrestris Dry Extract 50:1</t>
        </is>
      </c>
      <c r="M239" s="5" t="n"/>
      <c r="N239" s="10" t="n"/>
      <c r="O239" s="10" t="n"/>
      <c r="P239" s="10" t="n"/>
      <c r="Q239" s="10" t="n"/>
      <c r="R239" s="10" t="n"/>
    </row>
    <row r="240">
      <c r="A240" s="10" t="inlineStr">
        <is>
          <t>Trisodium Citrate Dihydrate</t>
        </is>
      </c>
      <c r="B240" s="10" t="n"/>
      <c r="C240" s="10" t="n"/>
      <c r="D240" s="5" t="n"/>
      <c r="E240" s="5" t="n"/>
      <c r="F240" s="10" t="n"/>
      <c r="G240" s="5" t="n"/>
      <c r="H240" s="5" t="n"/>
      <c r="I240" s="5" t="n"/>
      <c r="J240" s="5" t="n"/>
      <c r="K240" s="10" t="inlineStr">
        <is>
          <t>Suggested - confirm</t>
        </is>
      </c>
      <c r="L240" s="5" t="inlineStr">
        <is>
          <t>Sodium Citrate Dihydrate</t>
        </is>
      </c>
      <c r="M240" s="5" t="n"/>
      <c r="N240" s="10" t="n"/>
      <c r="O240" s="10" t="n"/>
      <c r="P240" s="10" t="n"/>
      <c r="Q240" s="10" t="n"/>
      <c r="R240" s="10" t="n"/>
    </row>
    <row r="241">
      <c r="A241" s="10" t="inlineStr">
        <is>
          <t>Acacia Gum</t>
        </is>
      </c>
      <c r="B241" s="10" t="n"/>
      <c r="C241" s="10" t="n"/>
      <c r="D241" s="5" t="n"/>
      <c r="E241" s="5" t="n"/>
      <c r="F241" s="10" t="n"/>
      <c r="G241" s="5" t="n"/>
      <c r="H241" s="5" t="n"/>
      <c r="I241" s="5" t="n"/>
      <c r="J241" s="5" t="n"/>
      <c r="K241" s="10" t="inlineStr">
        <is>
          <t>Not on master list (time records)</t>
        </is>
      </c>
      <c r="L241" s="5" t="n"/>
      <c r="M241" s="5" t="n"/>
      <c r="N241" s="10" t="n"/>
      <c r="O241" s="10" t="n"/>
      <c r="P241" s="10" t="n"/>
      <c r="Q241" s="10" t="n"/>
      <c r="R241" s="10" t="n"/>
    </row>
    <row r="242">
      <c r="A242" s="10" t="inlineStr">
        <is>
          <t>Acesulfate</t>
        </is>
      </c>
      <c r="B242" s="10" t="n"/>
      <c r="C242" s="10" t="n"/>
      <c r="D242" s="5" t="n"/>
      <c r="E242" s="5" t="n"/>
      <c r="F242" s="10" t="n"/>
      <c r="G242" s="5" t="n"/>
      <c r="H242" s="5" t="n"/>
      <c r="I242" s="5" t="n"/>
      <c r="J242" s="5" t="n"/>
      <c r="K242" s="10" t="inlineStr">
        <is>
          <t>Not on master list (time records)</t>
        </is>
      </c>
      <c r="L242" s="5" t="n"/>
      <c r="M242" s="5" t="n"/>
      <c r="N242" s="10" t="n"/>
      <c r="O242" s="10" t="n"/>
      <c r="P242" s="10" t="n"/>
      <c r="Q242" s="10" t="n"/>
      <c r="R242" s="10" t="n"/>
    </row>
    <row r="243">
      <c r="A243" s="10" t="inlineStr">
        <is>
          <t>Acetaminphon DC (Temad)</t>
        </is>
      </c>
      <c r="B243" s="10" t="n"/>
      <c r="C243" s="10" t="n"/>
      <c r="D243" s="5" t="n"/>
      <c r="E243" s="5" t="n"/>
      <c r="F243" s="10" t="n"/>
      <c r="G243" s="5" t="n"/>
      <c r="H243" s="5" t="n"/>
      <c r="I243" s="5" t="n"/>
      <c r="J243" s="5" t="n"/>
      <c r="K243" s="10" t="inlineStr">
        <is>
          <t>Not on master list (time records)</t>
        </is>
      </c>
      <c r="L243" s="5" t="n"/>
      <c r="M243" s="5" t="n"/>
      <c r="N243" s="10" t="n"/>
      <c r="O243" s="10" t="n"/>
      <c r="P243" s="10" t="n"/>
      <c r="Q243" s="10" t="n"/>
      <c r="R243" s="10" t="n"/>
    </row>
    <row r="244">
      <c r="A244" s="10" t="inlineStr">
        <is>
          <t>Acetic Acid</t>
        </is>
      </c>
      <c r="B244" s="10" t="n"/>
      <c r="C244" s="10" t="n"/>
      <c r="D244" s="5" t="n"/>
      <c r="E244" s="5" t="n"/>
      <c r="F244" s="10" t="n"/>
      <c r="G244" s="5" t="n"/>
      <c r="H244" s="5" t="n"/>
      <c r="I244" s="5" t="n"/>
      <c r="J244" s="5" t="n"/>
      <c r="K244" s="10" t="inlineStr">
        <is>
          <t>Not on master list (time records)</t>
        </is>
      </c>
      <c r="L244" s="5" t="n"/>
      <c r="M244" s="5" t="n"/>
      <c r="N244" s="10" t="n"/>
      <c r="O244" s="10" t="n"/>
      <c r="P244" s="10" t="n"/>
      <c r="Q244" s="10" t="n"/>
      <c r="R244" s="10" t="n"/>
    </row>
    <row r="245">
      <c r="A245" s="10" t="inlineStr">
        <is>
          <t>Acetic Onhydride</t>
        </is>
      </c>
      <c r="B245" s="10" t="n"/>
      <c r="C245" s="10" t="n"/>
      <c r="D245" s="5" t="n"/>
      <c r="E245" s="5" t="n"/>
      <c r="F245" s="10" t="n"/>
      <c r="G245" s="5" t="n"/>
      <c r="H245" s="5" t="n"/>
      <c r="I245" s="5" t="n"/>
      <c r="J245" s="5" t="n"/>
      <c r="K245" s="10" t="inlineStr">
        <is>
          <t>Not on master list (time records)</t>
        </is>
      </c>
      <c r="L245" s="5" t="n"/>
      <c r="M245" s="5" t="n"/>
      <c r="N245" s="10" t="n"/>
      <c r="O245" s="10" t="n"/>
      <c r="P245" s="10" t="n"/>
      <c r="Q245" s="10" t="n"/>
      <c r="R245" s="10" t="n"/>
    </row>
    <row r="246">
      <c r="A246" s="10" t="inlineStr">
        <is>
          <t>Acetoxy Empagliflozin</t>
        </is>
      </c>
      <c r="B246" s="10" t="n"/>
      <c r="C246" s="10" t="n"/>
      <c r="D246" s="5" t="n"/>
      <c r="E246" s="5" t="n"/>
      <c r="F246" s="10" t="n"/>
      <c r="G246" s="5" t="n"/>
      <c r="H246" s="5" t="n"/>
      <c r="I246" s="5" t="n"/>
      <c r="J246" s="5" t="n"/>
      <c r="K246" s="10" t="inlineStr">
        <is>
          <t>Not on master list (time records)</t>
        </is>
      </c>
      <c r="L246" s="5" t="n"/>
      <c r="M246" s="5" t="n"/>
      <c r="N246" s="10" t="n"/>
      <c r="O246" s="10" t="n"/>
      <c r="P246" s="10" t="n"/>
      <c r="Q246" s="10" t="n"/>
      <c r="R246" s="10" t="n"/>
    </row>
    <row r="247">
      <c r="A247" s="10" t="inlineStr">
        <is>
          <t>Acorus Tatarinowii Dried Rhizome</t>
        </is>
      </c>
      <c r="B247" s="10" t="n"/>
      <c r="C247" s="10" t="n"/>
      <c r="D247" s="5" t="n"/>
      <c r="E247" s="5" t="n"/>
      <c r="F247" s="10" t="n"/>
      <c r="G247" s="5" t="n"/>
      <c r="H247" s="5" t="n"/>
      <c r="I247" s="5" t="n"/>
      <c r="J247" s="5" t="n"/>
      <c r="K247" s="10" t="inlineStr">
        <is>
          <t>Not on master list (time records)</t>
        </is>
      </c>
      <c r="L247" s="5" t="n"/>
      <c r="M247" s="5" t="n"/>
      <c r="N247" s="10" t="n"/>
      <c r="O247" s="10" t="n"/>
      <c r="P247" s="10" t="n"/>
      <c r="Q247" s="10" t="n"/>
      <c r="R247" s="10" t="n"/>
    </row>
    <row r="248">
      <c r="A248" s="10" t="inlineStr">
        <is>
          <t>Aerosil</t>
        </is>
      </c>
      <c r="B248" s="10" t="n"/>
      <c r="C248" s="10" t="n"/>
      <c r="D248" s="5" t="n"/>
      <c r="E248" s="5" t="n"/>
      <c r="F248" s="10" t="n"/>
      <c r="G248" s="5" t="n"/>
      <c r="H248" s="5" t="n"/>
      <c r="I248" s="5" t="n"/>
      <c r="J248" s="5" t="n"/>
      <c r="K248" s="10" t="inlineStr">
        <is>
          <t>Not on master list (purchase list)</t>
        </is>
      </c>
      <c r="L248" s="5" t="n"/>
      <c r="M248" s="5" t="n"/>
      <c r="N248" s="10" t="n"/>
      <c r="O248" s="10" t="n"/>
      <c r="P248" s="10" t="n"/>
      <c r="Q248" s="10" t="n"/>
      <c r="R248" s="10" t="n"/>
    </row>
    <row r="249">
      <c r="A249" s="10" t="inlineStr">
        <is>
          <t>Alginic Acid</t>
        </is>
      </c>
      <c r="B249" s="10" t="n"/>
      <c r="C249" s="10" t="n"/>
      <c r="D249" s="5" t="n"/>
      <c r="E249" s="5" t="n"/>
      <c r="F249" s="10" t="n"/>
      <c r="G249" s="5" t="n"/>
      <c r="H249" s="5" t="n"/>
      <c r="I249" s="5" t="n"/>
      <c r="J249" s="5" t="n"/>
      <c r="K249" s="10" t="inlineStr">
        <is>
          <t>Not on master list (time records)</t>
        </is>
      </c>
      <c r="L249" s="5" t="n"/>
      <c r="M249" s="5" t="n"/>
      <c r="N249" s="10" t="n"/>
      <c r="O249" s="10" t="n"/>
      <c r="P249" s="10" t="n"/>
      <c r="Q249" s="10" t="n"/>
      <c r="R249" s="10" t="n"/>
    </row>
    <row r="250">
      <c r="A250" s="10" t="inlineStr">
        <is>
          <t>all-rac-a-Tocopheryl Acetate Powder</t>
        </is>
      </c>
      <c r="B250" s="10" t="n"/>
      <c r="C250" s="10" t="n"/>
      <c r="D250" s="5" t="n"/>
      <c r="E250" s="5" t="n"/>
      <c r="F250" s="10" t="n"/>
      <c r="G250" s="5" t="n"/>
      <c r="H250" s="5" t="n"/>
      <c r="I250" s="5" t="n"/>
      <c r="J250" s="5" t="n"/>
      <c r="K250" s="10" t="inlineStr">
        <is>
          <t>Not on master list (purchase list)</t>
        </is>
      </c>
      <c r="L250" s="5" t="n"/>
      <c r="M250" s="5" t="n"/>
      <c r="N250" s="10" t="n"/>
      <c r="O250" s="10" t="n"/>
      <c r="P250" s="10" t="n"/>
      <c r="Q250" s="10" t="n"/>
      <c r="R250" s="10" t="n"/>
    </row>
    <row r="251">
      <c r="A251" s="10" t="inlineStr">
        <is>
          <t>All-rac-a-Tocopheryl Acetate powder(Vit-E)-50%</t>
        </is>
      </c>
      <c r="B251" s="10" t="n"/>
      <c r="C251" s="10" t="n"/>
      <c r="D251" s="5" t="n"/>
      <c r="E251" s="5" t="n"/>
      <c r="F251" s="10" t="n"/>
      <c r="G251" s="5" t="n"/>
      <c r="H251" s="5" t="n"/>
      <c r="I251" s="5" t="n"/>
      <c r="J251" s="5" t="n"/>
      <c r="K251" s="10" t="inlineStr">
        <is>
          <t>Not on master list (purchase list)</t>
        </is>
      </c>
      <c r="L251" s="5" t="n"/>
      <c r="M251" s="5" t="n"/>
      <c r="N251" s="10" t="n"/>
      <c r="O251" s="10" t="n"/>
      <c r="P251" s="10" t="n"/>
      <c r="Q251" s="10" t="n"/>
      <c r="R251" s="10" t="n"/>
    </row>
    <row r="252">
      <c r="A252" s="10" t="inlineStr">
        <is>
          <t>Aloevera Ext.</t>
        </is>
      </c>
      <c r="B252" s="10" t="n"/>
      <c r="C252" s="10" t="n"/>
      <c r="D252" s="5" t="n"/>
      <c r="E252" s="5" t="n"/>
      <c r="F252" s="10" t="n"/>
      <c r="G252" s="5" t="n"/>
      <c r="H252" s="5" t="n"/>
      <c r="I252" s="5" t="n"/>
      <c r="J252" s="5" t="n"/>
      <c r="K252" s="10" t="inlineStr">
        <is>
          <t>Not on master list (time records)</t>
        </is>
      </c>
      <c r="L252" s="5" t="n"/>
      <c r="M252" s="5" t="n"/>
      <c r="N252" s="10" t="n"/>
      <c r="O252" s="10" t="n"/>
      <c r="P252" s="10" t="n"/>
      <c r="Q252" s="10" t="n"/>
      <c r="R252" s="10" t="n"/>
    </row>
    <row r="253">
      <c r="A253" s="10" t="inlineStr">
        <is>
          <t>Alpha Lipoic Acid</t>
        </is>
      </c>
      <c r="B253" s="10" t="n"/>
      <c r="C253" s="10" t="n"/>
      <c r="D253" s="5" t="n"/>
      <c r="E253" s="5" t="n"/>
      <c r="F253" s="10" t="n"/>
      <c r="G253" s="5" t="n"/>
      <c r="H253" s="5" t="n"/>
      <c r="I253" s="5" t="n"/>
      <c r="J253" s="5" t="n"/>
      <c r="K253" s="10" t="inlineStr">
        <is>
          <t>Not on master list (time records)</t>
        </is>
      </c>
      <c r="L253" s="5" t="n"/>
      <c r="M253" s="5" t="n"/>
      <c r="N253" s="10" t="n"/>
      <c r="O253" s="10" t="n"/>
      <c r="P253" s="10" t="n"/>
      <c r="Q253" s="10" t="n"/>
      <c r="R253" s="10" t="n"/>
    </row>
    <row r="254">
      <c r="A254" s="10" t="inlineStr">
        <is>
          <t>Aluminium Hydroxid</t>
        </is>
      </c>
      <c r="B254" s="10" t="n"/>
      <c r="C254" s="10" t="n"/>
      <c r="D254" s="5" t="n"/>
      <c r="E254" s="5" t="n"/>
      <c r="F254" s="10" t="n"/>
      <c r="G254" s="5" t="n"/>
      <c r="H254" s="5" t="n"/>
      <c r="I254" s="5" t="n"/>
      <c r="J254" s="5" t="n"/>
      <c r="K254" s="10" t="inlineStr">
        <is>
          <t>Not on master list (time records)</t>
        </is>
      </c>
      <c r="L254" s="5" t="n"/>
      <c r="M254" s="5" t="n"/>
      <c r="N254" s="10" t="n"/>
      <c r="O254" s="10" t="n"/>
      <c r="P254" s="10" t="n"/>
      <c r="Q254" s="10" t="n"/>
      <c r="R254" s="10" t="n"/>
    </row>
    <row r="255">
      <c r="A255" s="10" t="inlineStr">
        <is>
          <t>Amomonium Dihydrogen Phosphate</t>
        </is>
      </c>
      <c r="B255" s="10" t="n"/>
      <c r="C255" s="10" t="n"/>
      <c r="D255" s="5" t="n"/>
      <c r="E255" s="5" t="n"/>
      <c r="F255" s="10" t="n"/>
      <c r="G255" s="5" t="n"/>
      <c r="H255" s="5" t="n"/>
      <c r="I255" s="5" t="n"/>
      <c r="J255" s="5" t="n"/>
      <c r="K255" s="10" t="inlineStr">
        <is>
          <t>Not on master list (time records)</t>
        </is>
      </c>
      <c r="L255" s="5" t="n"/>
      <c r="M255" s="5" t="n"/>
      <c r="N255" s="10" t="n"/>
      <c r="O255" s="10" t="n"/>
      <c r="P255" s="10" t="n"/>
      <c r="Q255" s="10" t="n"/>
      <c r="R255" s="10" t="n"/>
    </row>
    <row r="256">
      <c r="A256" s="10" t="inlineStr">
        <is>
          <t>Angelica Sinensis Dried Root</t>
        </is>
      </c>
      <c r="B256" s="10" t="n"/>
      <c r="C256" s="10" t="n"/>
      <c r="D256" s="5" t="n"/>
      <c r="E256" s="5" t="n"/>
      <c r="F256" s="10" t="n"/>
      <c r="G256" s="5" t="n"/>
      <c r="H256" s="5" t="n"/>
      <c r="I256" s="5" t="n"/>
      <c r="J256" s="5" t="n"/>
      <c r="K256" s="10" t="inlineStr">
        <is>
          <t>Not on master list (time records)</t>
        </is>
      </c>
      <c r="L256" s="5" t="n"/>
      <c r="M256" s="5" t="n"/>
      <c r="N256" s="10" t="n"/>
      <c r="O256" s="10" t="n"/>
      <c r="P256" s="10" t="n"/>
      <c r="Q256" s="10" t="n"/>
      <c r="R256" s="10" t="n"/>
    </row>
    <row r="257">
      <c r="A257" s="10" t="inlineStr">
        <is>
          <t>Anhydrous Dibasic Calcium Phosphate</t>
        </is>
      </c>
      <c r="B257" s="10" t="n"/>
      <c r="C257" s="10" t="n"/>
      <c r="D257" s="5" t="n"/>
      <c r="E257" s="5" t="n"/>
      <c r="F257" s="10" t="n"/>
      <c r="G257" s="5" t="n"/>
      <c r="H257" s="5" t="n"/>
      <c r="I257" s="5" t="n"/>
      <c r="J257" s="5" t="n"/>
      <c r="K257" s="10" t="inlineStr">
        <is>
          <t>Not on master list (purchase list)</t>
        </is>
      </c>
      <c r="L257" s="5" t="n"/>
      <c r="M257" s="5" t="n"/>
      <c r="N257" s="10" t="n"/>
      <c r="O257" s="10" t="n"/>
      <c r="P257" s="10" t="n"/>
      <c r="Q257" s="10" t="n"/>
      <c r="R257" s="10" t="n"/>
    </row>
    <row r="258">
      <c r="A258" s="10" t="inlineStr">
        <is>
          <t>Apium</t>
        </is>
      </c>
      <c r="B258" s="10" t="n"/>
      <c r="C258" s="10" t="n"/>
      <c r="D258" s="5" t="n"/>
      <c r="E258" s="5" t="n"/>
      <c r="F258" s="10" t="n"/>
      <c r="G258" s="5" t="n"/>
      <c r="H258" s="5" t="n"/>
      <c r="I258" s="5" t="n"/>
      <c r="J258" s="5" t="n"/>
      <c r="K258" s="10" t="inlineStr">
        <is>
          <t>Not on master list (purchase list)</t>
        </is>
      </c>
      <c r="L258" s="5" t="n"/>
      <c r="M258" s="5" t="n"/>
      <c r="N258" s="10" t="n"/>
      <c r="O258" s="10" t="n"/>
      <c r="P258" s="10" t="n"/>
      <c r="Q258" s="10" t="n"/>
      <c r="R258" s="10" t="n"/>
    </row>
    <row r="259">
      <c r="A259" s="10" t="inlineStr">
        <is>
          <t>Apium Graveolens Extract</t>
        </is>
      </c>
      <c r="B259" s="10" t="n"/>
      <c r="C259" s="10" t="n"/>
      <c r="D259" s="5" t="n"/>
      <c r="E259" s="5" t="n"/>
      <c r="F259" s="10" t="n"/>
      <c r="G259" s="5" t="n"/>
      <c r="H259" s="5" t="n"/>
      <c r="I259" s="5" t="n"/>
      <c r="J259" s="5" t="n"/>
      <c r="K259" s="10" t="inlineStr">
        <is>
          <t>Not on master list (purchase list)</t>
        </is>
      </c>
      <c r="L259" s="5" t="n"/>
      <c r="M259" s="5" t="n"/>
      <c r="N259" s="10" t="n"/>
      <c r="O259" s="10" t="n"/>
      <c r="P259" s="10" t="n"/>
      <c r="Q259" s="10" t="n"/>
      <c r="R259" s="10" t="n"/>
    </row>
    <row r="260">
      <c r="A260" s="10" t="inlineStr">
        <is>
          <t>Apixaban Granule 2.5%</t>
        </is>
      </c>
      <c r="B260" s="10" t="n"/>
      <c r="C260" s="10" t="n"/>
      <c r="D260" s="5" t="n"/>
      <c r="E260" s="5" t="n"/>
      <c r="F260" s="10" t="n"/>
      <c r="G260" s="5" t="n"/>
      <c r="H260" s="5" t="n"/>
      <c r="I260" s="5" t="n"/>
      <c r="J260" s="5" t="n"/>
      <c r="K260" s="10" t="inlineStr">
        <is>
          <t>Not on master list (purchase list)</t>
        </is>
      </c>
      <c r="L260" s="5" t="n"/>
      <c r="M260" s="5" t="n"/>
      <c r="N260" s="10" t="n"/>
      <c r="O260" s="10" t="n"/>
      <c r="P260" s="10" t="n"/>
      <c r="Q260" s="10" t="n"/>
      <c r="R260" s="10" t="n"/>
    </row>
    <row r="261">
      <c r="A261" s="10" t="inlineStr">
        <is>
          <t>Apixaban Granule Ready to Press(tofigh Darou)</t>
        </is>
      </c>
      <c r="B261" s="10" t="n"/>
      <c r="C261" s="10" t="n"/>
      <c r="D261" s="5" t="n"/>
      <c r="E261" s="5" t="n"/>
      <c r="F261" s="10" t="n"/>
      <c r="G261" s="5" t="n"/>
      <c r="H261" s="5" t="n"/>
      <c r="I261" s="5" t="n"/>
      <c r="J261" s="5" t="n"/>
      <c r="K261" s="10" t="inlineStr">
        <is>
          <t>Not on master list (time records)</t>
        </is>
      </c>
      <c r="L261" s="5" t="n"/>
      <c r="M261" s="5" t="n"/>
      <c r="N261" s="10" t="n"/>
      <c r="O261" s="10" t="n"/>
      <c r="P261" s="10" t="n"/>
      <c r="Q261" s="10" t="n"/>
      <c r="R261" s="10" t="n"/>
    </row>
    <row r="262">
      <c r="A262" s="10" t="inlineStr">
        <is>
          <t>Apixaban micronized</t>
        </is>
      </c>
      <c r="B262" s="10" t="n"/>
      <c r="C262" s="10" t="n"/>
      <c r="D262" s="5" t="n"/>
      <c r="E262" s="5" t="n"/>
      <c r="F262" s="10" t="n"/>
      <c r="G262" s="5" t="n"/>
      <c r="H262" s="5" t="n"/>
      <c r="I262" s="5" t="n"/>
      <c r="J262" s="5" t="n"/>
      <c r="K262" s="10" t="inlineStr">
        <is>
          <t>Not on master list (purchase list)</t>
        </is>
      </c>
      <c r="L262" s="5" t="n"/>
      <c r="M262" s="5" t="n"/>
      <c r="N262" s="10" t="n"/>
      <c r="O262" s="10" t="n"/>
      <c r="P262" s="10" t="n"/>
      <c r="Q262" s="10" t="n"/>
      <c r="R262" s="10" t="n"/>
    </row>
    <row r="263">
      <c r="A263" s="10" t="inlineStr">
        <is>
          <t>Appel Green</t>
        </is>
      </c>
      <c r="B263" s="10" t="n"/>
      <c r="C263" s="10" t="n"/>
      <c r="D263" s="5" t="n"/>
      <c r="E263" s="5" t="n"/>
      <c r="F263" s="10" t="n"/>
      <c r="G263" s="5" t="n"/>
      <c r="H263" s="5" t="n"/>
      <c r="I263" s="5" t="n"/>
      <c r="J263" s="5" t="n"/>
      <c r="K263" s="10" t="inlineStr">
        <is>
          <t>Not on master list (purchase list)</t>
        </is>
      </c>
      <c r="L263" s="5" t="n"/>
      <c r="M263" s="5" t="n"/>
      <c r="N263" s="10" t="n"/>
      <c r="O263" s="10" t="n"/>
      <c r="P263" s="10" t="n"/>
      <c r="Q263" s="10" t="n"/>
      <c r="R263" s="10" t="n"/>
    </row>
    <row r="264">
      <c r="A264" s="10" t="inlineStr">
        <is>
          <t>Apple Green R3030</t>
        </is>
      </c>
      <c r="B264" s="10" t="n"/>
      <c r="C264" s="10" t="n"/>
      <c r="D264" s="5" t="n"/>
      <c r="E264" s="5" t="n"/>
      <c r="F264" s="10" t="n"/>
      <c r="G264" s="5" t="n"/>
      <c r="H264" s="5" t="n"/>
      <c r="I264" s="5" t="n"/>
      <c r="J264" s="5" t="n"/>
      <c r="K264" s="10" t="inlineStr">
        <is>
          <t>Not on master list (purchase list)</t>
        </is>
      </c>
      <c r="L264" s="5" t="n"/>
      <c r="M264" s="5" t="n"/>
      <c r="N264" s="10" t="n"/>
      <c r="O264" s="10" t="n"/>
      <c r="P264" s="10" t="n"/>
      <c r="Q264" s="10" t="n"/>
      <c r="R264" s="10" t="n"/>
    </row>
    <row r="265">
      <c r="A265" s="10" t="inlineStr">
        <is>
          <t>Artichoke</t>
        </is>
      </c>
      <c r="B265" s="10" t="n"/>
      <c r="C265" s="10" t="n"/>
      <c r="D265" s="5" t="n"/>
      <c r="E265" s="5" t="n"/>
      <c r="F265" s="10" t="n"/>
      <c r="G265" s="5" t="n"/>
      <c r="H265" s="5" t="n"/>
      <c r="I265" s="5" t="n"/>
      <c r="J265" s="5" t="n"/>
      <c r="K265" s="10" t="inlineStr">
        <is>
          <t>Not on master list (purchase list)</t>
        </is>
      </c>
      <c r="L265" s="5" t="n"/>
      <c r="M265" s="5" t="n"/>
      <c r="N265" s="10" t="n"/>
      <c r="O265" s="10" t="n"/>
      <c r="P265" s="10" t="n"/>
      <c r="Q265" s="10" t="n"/>
      <c r="R265" s="10" t="n"/>
    </row>
    <row r="266">
      <c r="A266" s="10" t="inlineStr">
        <is>
          <t>Artichoke Exteract Powder</t>
        </is>
      </c>
      <c r="B266" s="10" t="n"/>
      <c r="C266" s="10" t="n"/>
      <c r="D266" s="5" t="n"/>
      <c r="E266" s="5" t="n"/>
      <c r="F266" s="10" t="n"/>
      <c r="G266" s="5" t="n"/>
      <c r="H266" s="5" t="n"/>
      <c r="I266" s="5" t="n"/>
      <c r="J266" s="5" t="n"/>
      <c r="K266" s="10" t="inlineStr">
        <is>
          <t>Not on master list (purchase list)</t>
        </is>
      </c>
      <c r="L266" s="5" t="n"/>
      <c r="M266" s="5" t="n"/>
      <c r="N266" s="10" t="n"/>
      <c r="O266" s="10" t="n"/>
      <c r="P266" s="10" t="n"/>
      <c r="Q266" s="10" t="n"/>
      <c r="R266" s="10" t="n"/>
    </row>
    <row r="267">
      <c r="A267" s="10" t="inlineStr">
        <is>
          <t>Artichoke extract powder</t>
        </is>
      </c>
      <c r="B267" s="10" t="n"/>
      <c r="C267" s="10" t="n"/>
      <c r="D267" s="5" t="n"/>
      <c r="E267" s="5" t="n"/>
      <c r="F267" s="10" t="n"/>
      <c r="G267" s="5" t="n"/>
      <c r="H267" s="5" t="n"/>
      <c r="I267" s="5" t="n"/>
      <c r="J267" s="5" t="n"/>
      <c r="K267" s="10" t="inlineStr">
        <is>
          <t>Not on master list (purchase list)</t>
        </is>
      </c>
      <c r="L267" s="5" t="n"/>
      <c r="M267" s="5" t="n"/>
      <c r="N267" s="10" t="n"/>
      <c r="O267" s="10" t="n"/>
      <c r="P267" s="10" t="n"/>
      <c r="Q267" s="10" t="n"/>
      <c r="R267" s="10" t="n"/>
    </row>
    <row r="268">
      <c r="A268" s="10" t="inlineStr">
        <is>
          <t>AshwagandhaExt.</t>
        </is>
      </c>
      <c r="B268" s="10" t="n"/>
      <c r="C268" s="10" t="n"/>
      <c r="D268" s="5" t="n"/>
      <c r="E268" s="5" t="n"/>
      <c r="F268" s="10" t="n"/>
      <c r="G268" s="5" t="n"/>
      <c r="H268" s="5" t="n"/>
      <c r="I268" s="5" t="n"/>
      <c r="J268" s="5" t="n"/>
      <c r="K268" s="10" t="inlineStr">
        <is>
          <t>Not on master list (time records)</t>
        </is>
      </c>
      <c r="L268" s="5" t="n"/>
      <c r="M268" s="5" t="n"/>
      <c r="N268" s="10" t="n"/>
      <c r="O268" s="10" t="n"/>
      <c r="P268" s="10" t="n"/>
      <c r="Q268" s="10" t="n"/>
      <c r="R268" s="10" t="n"/>
    </row>
    <row r="269">
      <c r="A269" s="10" t="inlineStr">
        <is>
          <t>Aspargine</t>
        </is>
      </c>
      <c r="B269" s="10" t="n"/>
      <c r="C269" s="10" t="n"/>
      <c r="D269" s="5" t="n"/>
      <c r="E269" s="5" t="n"/>
      <c r="F269" s="10" t="n"/>
      <c r="G269" s="5" t="n"/>
      <c r="H269" s="5" t="n"/>
      <c r="I269" s="5" t="n"/>
      <c r="J269" s="5" t="n"/>
      <c r="K269" s="10" t="inlineStr">
        <is>
          <t>Not on master list (time records)</t>
        </is>
      </c>
      <c r="L269" s="5" t="n"/>
      <c r="M269" s="5" t="n"/>
      <c r="N269" s="10" t="n"/>
      <c r="O269" s="10" t="n"/>
      <c r="P269" s="10" t="n"/>
      <c r="Q269" s="10" t="n"/>
      <c r="R269" s="10" t="n"/>
    </row>
    <row r="270">
      <c r="A270" s="10" t="inlineStr">
        <is>
          <t>Aspartam</t>
        </is>
      </c>
      <c r="B270" s="10" t="n"/>
      <c r="C270" s="10" t="n"/>
      <c r="D270" s="5" t="n"/>
      <c r="E270" s="5" t="n"/>
      <c r="F270" s="10" t="n"/>
      <c r="G270" s="5" t="n"/>
      <c r="H270" s="5" t="n"/>
      <c r="I270" s="5" t="n"/>
      <c r="J270" s="5" t="n"/>
      <c r="K270" s="10" t="inlineStr">
        <is>
          <t>Not on master list (time records)</t>
        </is>
      </c>
      <c r="L270" s="5" t="n"/>
      <c r="M270" s="5" t="n"/>
      <c r="N270" s="10" t="n"/>
      <c r="O270" s="10" t="n"/>
      <c r="P270" s="10" t="n"/>
      <c r="Q270" s="10" t="n"/>
      <c r="R270" s="10" t="n"/>
    </row>
    <row r="271">
      <c r="A271" s="10" t="inlineStr">
        <is>
          <t>Aspartic Acid</t>
        </is>
      </c>
      <c r="B271" s="10" t="n"/>
      <c r="C271" s="10" t="n"/>
      <c r="D271" s="5" t="n"/>
      <c r="E271" s="5" t="n"/>
      <c r="F271" s="10" t="n"/>
      <c r="G271" s="5" t="n"/>
      <c r="H271" s="5" t="n"/>
      <c r="I271" s="5" t="n"/>
      <c r="J271" s="5" t="n"/>
      <c r="K271" s="10" t="inlineStr">
        <is>
          <t>Not on master list (time records)</t>
        </is>
      </c>
      <c r="L271" s="5" t="n"/>
      <c r="M271" s="5" t="n"/>
      <c r="N271" s="10" t="n"/>
      <c r="O271" s="10" t="n"/>
      <c r="P271" s="10" t="n"/>
      <c r="Q271" s="10" t="n"/>
      <c r="R271" s="10" t="n"/>
    </row>
    <row r="272">
      <c r="A272" s="10" t="inlineStr">
        <is>
          <t>Astaxanthin</t>
        </is>
      </c>
      <c r="B272" s="10" t="n"/>
      <c r="C272" s="10" t="n"/>
      <c r="D272" s="5" t="n"/>
      <c r="E272" s="5" t="n"/>
      <c r="F272" s="10" t="n"/>
      <c r="G272" s="5" t="n"/>
      <c r="H272" s="5" t="n"/>
      <c r="I272" s="5" t="n"/>
      <c r="J272" s="5" t="n"/>
      <c r="K272" s="10" t="inlineStr">
        <is>
          <t>Not on master list (time records)</t>
        </is>
      </c>
      <c r="L272" s="5" t="n"/>
      <c r="M272" s="5" t="n"/>
      <c r="N272" s="10" t="n"/>
      <c r="O272" s="10" t="n"/>
      <c r="P272" s="10" t="n"/>
      <c r="Q272" s="10" t="n"/>
      <c r="R272" s="10" t="n"/>
    </row>
    <row r="273">
      <c r="A273" s="10" t="inlineStr">
        <is>
          <t>Astragalus Membranceus  Dried Root</t>
        </is>
      </c>
      <c r="B273" s="10" t="n"/>
      <c r="C273" s="10" t="n"/>
      <c r="D273" s="5" t="n"/>
      <c r="E273" s="5" t="n"/>
      <c r="F273" s="10" t="n"/>
      <c r="G273" s="5" t="n"/>
      <c r="H273" s="5" t="n"/>
      <c r="I273" s="5" t="n"/>
      <c r="J273" s="5" t="n"/>
      <c r="K273" s="10" t="inlineStr">
        <is>
          <t>Not on master list (time records)</t>
        </is>
      </c>
      <c r="L273" s="5" t="n"/>
      <c r="M273" s="5" t="n"/>
      <c r="N273" s="10" t="n"/>
      <c r="O273" s="10" t="n"/>
      <c r="P273" s="10" t="n"/>
      <c r="Q273" s="10" t="n"/>
      <c r="R273" s="10" t="n"/>
    </row>
    <row r="274">
      <c r="A274" s="10" t="inlineStr">
        <is>
          <t>Avacado Ext.</t>
        </is>
      </c>
      <c r="B274" s="10" t="n"/>
      <c r="C274" s="10" t="n"/>
      <c r="D274" s="5" t="n"/>
      <c r="E274" s="5" t="n"/>
      <c r="F274" s="10" t="n"/>
      <c r="G274" s="5" t="n"/>
      <c r="H274" s="5" t="n"/>
      <c r="I274" s="5" t="n"/>
      <c r="J274" s="5" t="n"/>
      <c r="K274" s="10" t="inlineStr">
        <is>
          <t>Not on master list (time records)</t>
        </is>
      </c>
      <c r="L274" s="5" t="n"/>
      <c r="M274" s="5" t="n"/>
      <c r="N274" s="10" t="n"/>
      <c r="O274" s="10" t="n"/>
      <c r="P274" s="10" t="n"/>
      <c r="Q274" s="10" t="n"/>
      <c r="R274" s="10" t="n"/>
    </row>
    <row r="275">
      <c r="A275" s="10" t="inlineStr">
        <is>
          <t>Avacado/Soy Bean Unsaponifiables Ext.</t>
        </is>
      </c>
      <c r="B275" s="10" t="n"/>
      <c r="C275" s="10" t="n"/>
      <c r="D275" s="5" t="n"/>
      <c r="E275" s="5" t="n"/>
      <c r="F275" s="10" t="n"/>
      <c r="G275" s="5" t="n"/>
      <c r="H275" s="5" t="n"/>
      <c r="I275" s="5" t="n"/>
      <c r="J275" s="5" t="n"/>
      <c r="K275" s="10" t="inlineStr">
        <is>
          <t>Not on master list (time records)</t>
        </is>
      </c>
      <c r="L275" s="5" t="n"/>
      <c r="M275" s="5" t="n"/>
      <c r="N275" s="10" t="n"/>
      <c r="O275" s="10" t="n"/>
      <c r="P275" s="10" t="n"/>
      <c r="Q275" s="10" t="n"/>
      <c r="R275" s="10" t="n"/>
    </row>
    <row r="276">
      <c r="A276" s="10" t="inlineStr">
        <is>
          <t>Avicel 102</t>
        </is>
      </c>
      <c r="B276" s="10" t="n"/>
      <c r="C276" s="10" t="n"/>
      <c r="D276" s="5" t="n"/>
      <c r="E276" s="5" t="n"/>
      <c r="F276" s="10" t="n"/>
      <c r="G276" s="5" t="n"/>
      <c r="H276" s="5" t="n"/>
      <c r="I276" s="5" t="n"/>
      <c r="J276" s="5" t="n"/>
      <c r="K276" s="10" t="inlineStr">
        <is>
          <t>Not on master list (purchase list)</t>
        </is>
      </c>
      <c r="L276" s="5" t="n"/>
      <c r="M276" s="5" t="n"/>
      <c r="N276" s="10" t="n"/>
      <c r="O276" s="10" t="n"/>
      <c r="P276" s="10" t="n"/>
      <c r="Q276" s="10" t="n"/>
      <c r="R276" s="10" t="n"/>
    </row>
    <row r="277">
      <c r="A277" s="10" t="inlineStr">
        <is>
          <t>Avicel CE15</t>
        </is>
      </c>
      <c r="B277" s="10" t="n"/>
      <c r="C277" s="10" t="n"/>
      <c r="D277" s="5" t="n"/>
      <c r="E277" s="5" t="n"/>
      <c r="F277" s="10" t="n"/>
      <c r="G277" s="5" t="n"/>
      <c r="H277" s="5" t="n"/>
      <c r="I277" s="5" t="n"/>
      <c r="J277" s="5" t="n"/>
      <c r="K277" s="10" t="inlineStr">
        <is>
          <t>Not on master list (time records)</t>
        </is>
      </c>
      <c r="L277" s="5" t="n"/>
      <c r="M277" s="5" t="n"/>
      <c r="N277" s="10" t="n"/>
      <c r="O277" s="10" t="n"/>
      <c r="P277" s="10" t="n">
        <v>5.1</v>
      </c>
      <c r="Q277" s="10" t="n"/>
      <c r="R277" s="10" t="n"/>
    </row>
    <row r="278">
      <c r="A278" s="10" t="inlineStr">
        <is>
          <t>B-Alanine</t>
        </is>
      </c>
      <c r="B278" s="10" t="n"/>
      <c r="C278" s="10" t="n"/>
      <c r="D278" s="5" t="n"/>
      <c r="E278" s="5" t="n"/>
      <c r="F278" s="10" t="n"/>
      <c r="G278" s="5" t="n"/>
      <c r="H278" s="5" t="n"/>
      <c r="I278" s="5" t="n"/>
      <c r="J278" s="5" t="n"/>
      <c r="K278" s="10" t="inlineStr">
        <is>
          <t>Not on master list (time records)</t>
        </is>
      </c>
      <c r="L278" s="5" t="n"/>
      <c r="M278" s="5" t="n"/>
      <c r="N278" s="10" t="n"/>
      <c r="O278" s="10" t="n"/>
      <c r="P278" s="10" t="n">
        <v>3.1</v>
      </c>
      <c r="Q278" s="10" t="n"/>
      <c r="R278" s="10" t="n"/>
    </row>
    <row r="279">
      <c r="A279" s="10" t="inlineStr">
        <is>
          <t>B-Nicotinamide Mononucleotide NMN Powder</t>
        </is>
      </c>
      <c r="B279" s="10" t="n"/>
      <c r="C279" s="10" t="n"/>
      <c r="D279" s="5" t="n"/>
      <c r="E279" s="5" t="n"/>
      <c r="F279" s="10" t="n"/>
      <c r="G279" s="5" t="n"/>
      <c r="H279" s="5" t="n"/>
      <c r="I279" s="5" t="n"/>
      <c r="J279" s="5" t="n"/>
      <c r="K279" s="10" t="inlineStr">
        <is>
          <t>Not on master list (purchase list)</t>
        </is>
      </c>
      <c r="L279" s="5" t="n"/>
      <c r="M279" s="5" t="n"/>
      <c r="N279" s="10" t="n"/>
      <c r="O279" s="10" t="n"/>
      <c r="P279" s="10" t="n"/>
      <c r="Q279" s="10" t="n"/>
      <c r="R279" s="10" t="n"/>
    </row>
    <row r="280">
      <c r="A280" s="10" t="inlineStr">
        <is>
          <t>Bacopa Ext.</t>
        </is>
      </c>
      <c r="B280" s="10" t="n"/>
      <c r="C280" s="10" t="n"/>
      <c r="D280" s="5" t="n"/>
      <c r="E280" s="5" t="n"/>
      <c r="F280" s="10" t="n"/>
      <c r="G280" s="5" t="n"/>
      <c r="H280" s="5" t="n"/>
      <c r="I280" s="5" t="n"/>
      <c r="J280" s="5" t="n"/>
      <c r="K280" s="10" t="inlineStr">
        <is>
          <t>Not on master list (time records)</t>
        </is>
      </c>
      <c r="L280" s="5" t="n"/>
      <c r="M280" s="5" t="n"/>
      <c r="N280" s="10" t="n"/>
      <c r="O280" s="10" t="n"/>
      <c r="P280" s="10" t="n"/>
      <c r="Q280" s="10" t="n"/>
      <c r="R280" s="10" t="n"/>
    </row>
    <row r="281">
      <c r="A281" s="10" t="inlineStr">
        <is>
          <t>Banana Flovour</t>
        </is>
      </c>
      <c r="B281" s="10" t="n"/>
      <c r="C281" s="10" t="n"/>
      <c r="D281" s="5" t="n"/>
      <c r="E281" s="5" t="n"/>
      <c r="F281" s="10" t="n"/>
      <c r="G281" s="5" t="n"/>
      <c r="H281" s="5" t="n"/>
      <c r="I281" s="5" t="n"/>
      <c r="J281" s="5" t="n"/>
      <c r="K281" s="10" t="inlineStr">
        <is>
          <t>Not on master list (time records)</t>
        </is>
      </c>
      <c r="L281" s="5" t="n"/>
      <c r="M281" s="5" t="n"/>
      <c r="N281" s="10" t="n"/>
      <c r="O281" s="10" t="n"/>
      <c r="P281" s="10" t="n"/>
      <c r="Q281" s="10" t="n"/>
      <c r="R281" s="10" t="n"/>
    </row>
    <row r="282">
      <c r="A282" s="10" t="inlineStr">
        <is>
          <t>BCAA</t>
        </is>
      </c>
      <c r="B282" s="10" t="n"/>
      <c r="C282" s="10" t="n"/>
      <c r="D282" s="5" t="n"/>
      <c r="E282" s="5" t="n"/>
      <c r="F282" s="10" t="n"/>
      <c r="G282" s="5" t="n"/>
      <c r="H282" s="5" t="n"/>
      <c r="I282" s="5" t="n"/>
      <c r="J282" s="5" t="n"/>
      <c r="K282" s="10" t="inlineStr">
        <is>
          <t>Not on master list (time records)</t>
        </is>
      </c>
      <c r="L282" s="5" t="n"/>
      <c r="M282" s="5" t="n"/>
      <c r="N282" s="10" t="n"/>
      <c r="O282" s="10" t="n"/>
      <c r="P282" s="10" t="n"/>
      <c r="Q282" s="10" t="n"/>
      <c r="R282" s="10" t="n"/>
    </row>
    <row r="283">
      <c r="A283" s="10" t="inlineStr">
        <is>
          <t>Bee Propolis</t>
        </is>
      </c>
      <c r="B283" s="10" t="n"/>
      <c r="C283" s="10" t="n"/>
      <c r="D283" s="5" t="n"/>
      <c r="E283" s="5" t="n"/>
      <c r="F283" s="10" t="n"/>
      <c r="G283" s="5" t="n"/>
      <c r="H283" s="5" t="n"/>
      <c r="I283" s="5" t="n"/>
      <c r="J283" s="5" t="n"/>
      <c r="K283" s="10" t="inlineStr">
        <is>
          <t>Not on master list (time records)</t>
        </is>
      </c>
      <c r="L283" s="5" t="n"/>
      <c r="M283" s="5" t="n"/>
      <c r="N283" s="10" t="n"/>
      <c r="O283" s="10" t="n"/>
      <c r="P283" s="10" t="n"/>
      <c r="Q283" s="10" t="n"/>
      <c r="R283" s="10" t="n"/>
    </row>
    <row r="284">
      <c r="A284" s="10" t="inlineStr">
        <is>
          <t>Benfotiamine</t>
        </is>
      </c>
      <c r="B284" s="10" t="n"/>
      <c r="C284" s="10" t="n"/>
      <c r="D284" s="5" t="n"/>
      <c r="E284" s="5" t="n"/>
      <c r="F284" s="10" t="n"/>
      <c r="G284" s="5" t="n"/>
      <c r="H284" s="5" t="n"/>
      <c r="I284" s="5" t="n"/>
      <c r="J284" s="5" t="n"/>
      <c r="K284" s="10" t="inlineStr">
        <is>
          <t>Not on master list (time records)</t>
        </is>
      </c>
      <c r="L284" s="5" t="n"/>
      <c r="M284" s="5" t="n"/>
      <c r="N284" s="10" t="n"/>
      <c r="O284" s="10" t="n"/>
      <c r="P284" s="10" t="n"/>
      <c r="Q284" s="10" t="n"/>
      <c r="R284" s="10" t="n"/>
    </row>
    <row r="285">
      <c r="A285" s="10" t="inlineStr">
        <is>
          <t>Benzalkonim Chloride</t>
        </is>
      </c>
      <c r="B285" s="10" t="n"/>
      <c r="C285" s="10" t="n"/>
      <c r="D285" s="5" t="n"/>
      <c r="E285" s="5" t="n"/>
      <c r="F285" s="10" t="n"/>
      <c r="G285" s="5" t="n"/>
      <c r="H285" s="5" t="n"/>
      <c r="I285" s="5" t="n"/>
      <c r="J285" s="5" t="n"/>
      <c r="K285" s="10" t="inlineStr">
        <is>
          <t>Not on master list (purchase list)</t>
        </is>
      </c>
      <c r="L285" s="5" t="n"/>
      <c r="M285" s="5" t="n"/>
      <c r="N285" s="10" t="n"/>
      <c r="O285" s="10" t="n"/>
      <c r="P285" s="10" t="n"/>
      <c r="Q285" s="10" t="n"/>
      <c r="R285" s="10" t="n"/>
    </row>
    <row r="286">
      <c r="A286" s="10" t="inlineStr">
        <is>
          <t>Benzyl Alcohol</t>
        </is>
      </c>
      <c r="B286" s="10" t="n"/>
      <c r="C286" s="10" t="n"/>
      <c r="D286" s="5" t="n"/>
      <c r="E286" s="5" t="n"/>
      <c r="F286" s="10" t="n"/>
      <c r="G286" s="5" t="n"/>
      <c r="H286" s="5" t="n"/>
      <c r="I286" s="5" t="n"/>
      <c r="J286" s="5" t="n"/>
      <c r="K286" s="10" t="inlineStr">
        <is>
          <t>Not on master list (time records)</t>
        </is>
      </c>
      <c r="L286" s="5" t="n"/>
      <c r="M286" s="5" t="n"/>
      <c r="N286" s="10" t="n"/>
      <c r="O286" s="10" t="n"/>
      <c r="P286" s="10" t="n"/>
      <c r="Q286" s="10" t="n"/>
      <c r="R286" s="10" t="n"/>
    </row>
    <row r="287">
      <c r="A287" s="10" t="inlineStr">
        <is>
          <t>Berberine Hcl</t>
        </is>
      </c>
      <c r="B287" s="10" t="n"/>
      <c r="C287" s="10" t="n"/>
      <c r="D287" s="5" t="n"/>
      <c r="E287" s="5" t="n"/>
      <c r="F287" s="10" t="n"/>
      <c r="G287" s="5" t="n"/>
      <c r="H287" s="5" t="n"/>
      <c r="I287" s="5" t="n"/>
      <c r="J287" s="5" t="n"/>
      <c r="K287" s="10" t="inlineStr">
        <is>
          <t>Not on master list (time records)</t>
        </is>
      </c>
      <c r="L287" s="5" t="n"/>
      <c r="M287" s="5" t="n"/>
      <c r="N287" s="10" t="n"/>
      <c r="O287" s="10" t="n"/>
      <c r="P287" s="10" t="n"/>
      <c r="Q287" s="10" t="n"/>
      <c r="R287" s="10" t="n"/>
    </row>
    <row r="288">
      <c r="A288" s="10" t="inlineStr">
        <is>
          <t>Berry Flovour</t>
        </is>
      </c>
      <c r="B288" s="10" t="n"/>
      <c r="C288" s="10" t="n"/>
      <c r="D288" s="5" t="n"/>
      <c r="E288" s="5" t="n"/>
      <c r="F288" s="10" t="n"/>
      <c r="G288" s="5" t="n"/>
      <c r="H288" s="5" t="n"/>
      <c r="I288" s="5" t="n"/>
      <c r="J288" s="5" t="n"/>
      <c r="K288" s="10" t="inlineStr">
        <is>
          <t>Not on master list (time records)</t>
        </is>
      </c>
      <c r="L288" s="5" t="n"/>
      <c r="M288" s="5" t="n"/>
      <c r="N288" s="10" t="n"/>
      <c r="O288" s="10" t="n"/>
      <c r="P288" s="10" t="n"/>
      <c r="Q288" s="10" t="n"/>
      <c r="R288" s="10" t="n"/>
    </row>
    <row r="289">
      <c r="A289" s="10" t="inlineStr">
        <is>
          <t>Beta Carotene Powder-10%</t>
        </is>
      </c>
      <c r="B289" s="10" t="n"/>
      <c r="C289" s="10" t="n"/>
      <c r="D289" s="5" t="n"/>
      <c r="E289" s="5" t="n"/>
      <c r="F289" s="10" t="n"/>
      <c r="G289" s="5" t="n"/>
      <c r="H289" s="5" t="n"/>
      <c r="I289" s="5" t="n"/>
      <c r="J289" s="5" t="n"/>
      <c r="K289" s="10" t="inlineStr">
        <is>
          <t>Not on master list (purchase list)</t>
        </is>
      </c>
      <c r="L289" s="5" t="n"/>
      <c r="M289" s="5" t="n"/>
      <c r="N289" s="10" t="n"/>
      <c r="O289" s="10" t="n"/>
      <c r="P289" s="10" t="n"/>
      <c r="Q289" s="10" t="n"/>
      <c r="R289" s="10" t="n"/>
    </row>
    <row r="290">
      <c r="A290" s="10" t="inlineStr">
        <is>
          <t>beta-carotene powder</t>
        </is>
      </c>
      <c r="B290" s="10" t="n"/>
      <c r="C290" s="10" t="n"/>
      <c r="D290" s="5" t="n"/>
      <c r="E290" s="5" t="n"/>
      <c r="F290" s="10" t="n"/>
      <c r="G290" s="5" t="n"/>
      <c r="H290" s="5" t="n"/>
      <c r="I290" s="5" t="n"/>
      <c r="J290" s="5" t="n"/>
      <c r="K290" s="10" t="inlineStr">
        <is>
          <t>Not on master list (purchase list)</t>
        </is>
      </c>
      <c r="L290" s="5" t="n"/>
      <c r="M290" s="5" t="n"/>
      <c r="N290" s="10" t="n"/>
      <c r="O290" s="10" t="n"/>
      <c r="P290" s="10" t="n"/>
      <c r="Q290" s="10" t="n"/>
      <c r="R290" s="10" t="n"/>
    </row>
    <row r="291">
      <c r="A291" s="10" t="inlineStr">
        <is>
          <t>Betadex Sulfobutly Ether Sodium</t>
        </is>
      </c>
      <c r="B291" s="10" t="n"/>
      <c r="C291" s="10" t="n"/>
      <c r="D291" s="5" t="n"/>
      <c r="E291" s="5" t="n"/>
      <c r="F291" s="10" t="n"/>
      <c r="G291" s="5" t="n"/>
      <c r="H291" s="5" t="n"/>
      <c r="I291" s="5" t="n"/>
      <c r="J291" s="5" t="n"/>
      <c r="K291" s="10" t="inlineStr">
        <is>
          <t>Not on master list (purchase list)</t>
        </is>
      </c>
      <c r="L291" s="5" t="n"/>
      <c r="M291" s="5" t="n"/>
      <c r="N291" s="10" t="n"/>
      <c r="O291" s="10" t="n"/>
      <c r="P291" s="10" t="n"/>
      <c r="Q291" s="10" t="n"/>
      <c r="R291" s="10" t="n"/>
    </row>
    <row r="292">
      <c r="A292" s="10" t="inlineStr">
        <is>
          <t>Betadex Sulfobutyl Ether Sodium-</t>
        </is>
      </c>
      <c r="B292" s="10" t="n"/>
      <c r="C292" s="10" t="n"/>
      <c r="D292" s="5" t="n"/>
      <c r="E292" s="5" t="n"/>
      <c r="F292" s="10" t="n"/>
      <c r="G292" s="5" t="n"/>
      <c r="H292" s="5" t="n"/>
      <c r="I292" s="5" t="n"/>
      <c r="J292" s="5" t="n"/>
      <c r="K292" s="10" t="inlineStr">
        <is>
          <t>Not on master list (purchase list + time records)</t>
        </is>
      </c>
      <c r="L292" s="5" t="n"/>
      <c r="M292" s="5" t="n"/>
      <c r="N292" s="10" t="inlineStr">
        <is>
          <t>Betadex Sulfobutyl Ether Sodium</t>
        </is>
      </c>
      <c r="O292" s="10" t="n"/>
      <c r="P292" s="10" t="n"/>
      <c r="Q292" s="10" t="n"/>
      <c r="R292" s="10" t="n"/>
    </row>
    <row r="293">
      <c r="A293" s="10" t="inlineStr">
        <is>
          <t>Bifidobacterium Bifidum</t>
        </is>
      </c>
      <c r="B293" s="10" t="n"/>
      <c r="C293" s="10" t="n"/>
      <c r="D293" s="5" t="n"/>
      <c r="E293" s="5" t="n"/>
      <c r="F293" s="10" t="n"/>
      <c r="G293" s="5" t="n"/>
      <c r="H293" s="5" t="n"/>
      <c r="I293" s="5" t="n"/>
      <c r="J293" s="5" t="n"/>
      <c r="K293" s="10" t="inlineStr">
        <is>
          <t>Not on master list (time records)</t>
        </is>
      </c>
      <c r="L293" s="5" t="n"/>
      <c r="M293" s="5" t="n"/>
      <c r="N293" s="10" t="n"/>
      <c r="O293" s="10" t="n"/>
      <c r="P293" s="10" t="n"/>
      <c r="Q293" s="10" t="n"/>
      <c r="R293" s="10" t="n"/>
    </row>
    <row r="294">
      <c r="A294" s="10" t="inlineStr">
        <is>
          <t>Bifidobacterium Infantis</t>
        </is>
      </c>
      <c r="B294" s="10" t="n"/>
      <c r="C294" s="10" t="n"/>
      <c r="D294" s="5" t="n"/>
      <c r="E294" s="5" t="n"/>
      <c r="F294" s="10" t="n"/>
      <c r="G294" s="5" t="n"/>
      <c r="H294" s="5" t="n"/>
      <c r="I294" s="5" t="n"/>
      <c r="J294" s="5" t="n"/>
      <c r="K294" s="10" t="inlineStr">
        <is>
          <t>Not on master list (time records)</t>
        </is>
      </c>
      <c r="L294" s="5" t="n"/>
      <c r="M294" s="5" t="n"/>
      <c r="N294" s="10" t="n"/>
      <c r="O294" s="10" t="n"/>
      <c r="P294" s="10" t="n"/>
      <c r="Q294" s="10" t="n"/>
      <c r="R294" s="10" t="n"/>
    </row>
    <row r="295">
      <c r="A295" s="10" t="inlineStr">
        <is>
          <t>Bifidobacterium Lactis</t>
        </is>
      </c>
      <c r="B295" s="10" t="n"/>
      <c r="C295" s="10" t="n"/>
      <c r="D295" s="5" t="n"/>
      <c r="E295" s="5" t="n"/>
      <c r="F295" s="10" t="n"/>
      <c r="G295" s="5" t="n"/>
      <c r="H295" s="5" t="n"/>
      <c r="I295" s="5" t="n"/>
      <c r="J295" s="5" t="n"/>
      <c r="K295" s="10" t="inlineStr">
        <is>
          <t>Not on master list (time records)</t>
        </is>
      </c>
      <c r="L295" s="5" t="n"/>
      <c r="M295" s="5" t="n"/>
      <c r="N295" s="10" t="n"/>
      <c r="O295" s="10" t="n"/>
      <c r="P295" s="10" t="n"/>
      <c r="Q295" s="10" t="n"/>
      <c r="R295" s="10" t="n"/>
    </row>
    <row r="296">
      <c r="A296" s="10" t="inlineStr">
        <is>
          <t>Bifidobacterium Longum</t>
        </is>
      </c>
      <c r="B296" s="10" t="n"/>
      <c r="C296" s="10" t="n"/>
      <c r="D296" s="5" t="n"/>
      <c r="E296" s="5" t="n"/>
      <c r="F296" s="10" t="n"/>
      <c r="G296" s="5" t="n"/>
      <c r="H296" s="5" t="n"/>
      <c r="I296" s="5" t="n"/>
      <c r="J296" s="5" t="n"/>
      <c r="K296" s="10" t="inlineStr">
        <is>
          <t>Not on master list (time records)</t>
        </is>
      </c>
      <c r="L296" s="5" t="n"/>
      <c r="M296" s="5" t="n"/>
      <c r="N296" s="10" t="n"/>
      <c r="O296" s="10" t="n"/>
      <c r="P296" s="10" t="n"/>
      <c r="Q296" s="10" t="n"/>
      <c r="R296" s="10" t="n"/>
    </row>
    <row r="297">
      <c r="A297" s="10" t="inlineStr">
        <is>
          <t>Bioflavonoids</t>
        </is>
      </c>
      <c r="B297" s="10" t="n"/>
      <c r="C297" s="10" t="n"/>
      <c r="D297" s="5" t="n"/>
      <c r="E297" s="5" t="n"/>
      <c r="F297" s="10" t="n"/>
      <c r="G297" s="5" t="n"/>
      <c r="H297" s="5" t="n"/>
      <c r="I297" s="5" t="n"/>
      <c r="J297" s="5" t="n"/>
      <c r="K297" s="10" t="inlineStr">
        <is>
          <t>Not on master list (time records)</t>
        </is>
      </c>
      <c r="L297" s="5" t="n"/>
      <c r="M297" s="5" t="n"/>
      <c r="N297" s="10" t="n"/>
      <c r="O297" s="10" t="n"/>
      <c r="P297" s="10" t="n"/>
      <c r="Q297" s="10" t="n"/>
      <c r="R297" s="10" t="n"/>
    </row>
    <row r="298">
      <c r="A298" s="10" t="inlineStr">
        <is>
          <t>Bitter Melon Ext.</t>
        </is>
      </c>
      <c r="B298" s="10" t="n"/>
      <c r="C298" s="10" t="n"/>
      <c r="D298" s="5" t="n"/>
      <c r="E298" s="5" t="n"/>
      <c r="F298" s="10" t="n"/>
      <c r="G298" s="5" t="n"/>
      <c r="H298" s="5" t="n"/>
      <c r="I298" s="5" t="n"/>
      <c r="J298" s="5" t="n"/>
      <c r="K298" s="10" t="inlineStr">
        <is>
          <t>Not on master list (time records)</t>
        </is>
      </c>
      <c r="L298" s="5" t="n"/>
      <c r="M298" s="5" t="n"/>
      <c r="N298" s="10" t="n"/>
      <c r="O298" s="10" t="n"/>
      <c r="P298" s="10" t="n"/>
      <c r="Q298" s="10" t="n"/>
      <c r="R298" s="10" t="n"/>
    </row>
    <row r="299">
      <c r="A299" s="10" t="inlineStr">
        <is>
          <t>Black Coninor E-172</t>
        </is>
      </c>
      <c r="B299" s="10" t="n"/>
      <c r="C299" s="10" t="n"/>
      <c r="D299" s="5" t="n"/>
      <c r="E299" s="5" t="n"/>
      <c r="F299" s="10" t="n"/>
      <c r="G299" s="5" t="n"/>
      <c r="H299" s="5" t="n"/>
      <c r="I299" s="5" t="n"/>
      <c r="J299" s="5" t="n"/>
      <c r="K299" s="10" t="inlineStr">
        <is>
          <t>Not on master list (purchase list)</t>
        </is>
      </c>
      <c r="L299" s="5" t="n"/>
      <c r="M299" s="5" t="n"/>
      <c r="N299" s="10" t="n"/>
      <c r="O299" s="10" t="n"/>
      <c r="P299" s="10" t="n"/>
      <c r="Q299" s="10" t="n"/>
      <c r="R299" s="10" t="n"/>
    </row>
    <row r="300">
      <c r="A300" s="10" t="inlineStr">
        <is>
          <t>Black Cumim seed</t>
        </is>
      </c>
      <c r="B300" s="10" t="n"/>
      <c r="C300" s="10" t="n"/>
      <c r="D300" s="5" t="n"/>
      <c r="E300" s="5" t="n"/>
      <c r="F300" s="10" t="n"/>
      <c r="G300" s="5" t="n"/>
      <c r="H300" s="5" t="n"/>
      <c r="I300" s="5" t="n"/>
      <c r="J300" s="5" t="n"/>
      <c r="K300" s="10" t="inlineStr">
        <is>
          <t>Not on master list (time records)</t>
        </is>
      </c>
      <c r="L300" s="5" t="n"/>
      <c r="M300" s="5" t="n"/>
      <c r="N300" s="10" t="n"/>
      <c r="O300" s="10" t="n"/>
      <c r="P300" s="10" t="n"/>
      <c r="Q300" s="10" t="n"/>
      <c r="R300" s="10" t="n"/>
    </row>
    <row r="301">
      <c r="A301" s="10" t="inlineStr">
        <is>
          <t>Black Currant Ext.</t>
        </is>
      </c>
      <c r="B301" s="10" t="n"/>
      <c r="C301" s="10" t="n"/>
      <c r="D301" s="5" t="n"/>
      <c r="E301" s="5" t="n"/>
      <c r="F301" s="10" t="n"/>
      <c r="G301" s="5" t="n"/>
      <c r="H301" s="5" t="n"/>
      <c r="I301" s="5" t="n"/>
      <c r="J301" s="5" t="n"/>
      <c r="K301" s="10" t="inlineStr">
        <is>
          <t>Not on master list (time records)</t>
        </is>
      </c>
      <c r="L301" s="5" t="n"/>
      <c r="M301" s="5" t="n"/>
      <c r="N301" s="10" t="n"/>
      <c r="O301" s="10" t="n"/>
      <c r="P301" s="10" t="n"/>
      <c r="Q301" s="10" t="n"/>
      <c r="R301" s="10" t="n"/>
    </row>
    <row r="302">
      <c r="A302" s="10" t="inlineStr">
        <is>
          <t>Black Elderberry Ext.</t>
        </is>
      </c>
      <c r="B302" s="10" t="n"/>
      <c r="C302" s="10" t="n"/>
      <c r="D302" s="5" t="n"/>
      <c r="E302" s="5" t="n"/>
      <c r="F302" s="10" t="n"/>
      <c r="G302" s="5" t="n"/>
      <c r="H302" s="5" t="n"/>
      <c r="I302" s="5" t="n"/>
      <c r="J302" s="5" t="n"/>
      <c r="K302" s="10" t="inlineStr">
        <is>
          <t>Not on master list (time records)</t>
        </is>
      </c>
      <c r="L302" s="5" t="n"/>
      <c r="M302" s="5" t="n"/>
      <c r="N302" s="10" t="n"/>
      <c r="O302" s="10" t="n"/>
      <c r="P302" s="10" t="n"/>
      <c r="Q302" s="10" t="n"/>
      <c r="R302" s="10" t="n"/>
    </row>
    <row r="303">
      <c r="A303" s="10" t="inlineStr">
        <is>
          <t>Black Pepper Ext.</t>
        </is>
      </c>
      <c r="B303" s="10" t="n"/>
      <c r="C303" s="10" t="n"/>
      <c r="D303" s="5" t="n"/>
      <c r="E303" s="5" t="n"/>
      <c r="F303" s="10" t="n"/>
      <c r="G303" s="5" t="n"/>
      <c r="H303" s="5" t="n"/>
      <c r="I303" s="5" t="n"/>
      <c r="J303" s="5" t="n"/>
      <c r="K303" s="10" t="inlineStr">
        <is>
          <t>Not on master list (time records)</t>
        </is>
      </c>
      <c r="L303" s="5" t="n"/>
      <c r="M303" s="5" t="n"/>
      <c r="N303" s="10" t="n"/>
      <c r="O303" s="10" t="n"/>
      <c r="P303" s="10" t="n"/>
      <c r="Q303" s="10" t="n"/>
      <c r="R303" s="10" t="n"/>
    </row>
    <row r="304">
      <c r="A304" s="10" t="inlineStr">
        <is>
          <t>Blue color number 2</t>
        </is>
      </c>
      <c r="B304" s="10" t="n"/>
      <c r="C304" s="10" t="n"/>
      <c r="D304" s="5" t="n"/>
      <c r="E304" s="5" t="n"/>
      <c r="F304" s="10" t="n"/>
      <c r="G304" s="5" t="n"/>
      <c r="H304" s="5" t="n"/>
      <c r="I304" s="5" t="n"/>
      <c r="J304" s="5" t="n"/>
      <c r="K304" s="10" t="inlineStr">
        <is>
          <t>Not on master list (purchase list)</t>
        </is>
      </c>
      <c r="L304" s="5" t="n"/>
      <c r="M304" s="5" t="n"/>
      <c r="N304" s="10" t="n"/>
      <c r="O304" s="10" t="n"/>
      <c r="P304" s="10" t="n"/>
      <c r="Q304" s="10" t="n"/>
      <c r="R304" s="10" t="n"/>
    </row>
    <row r="305">
      <c r="A305" s="10" t="inlineStr">
        <is>
          <t>Boswellia Flovour</t>
        </is>
      </c>
      <c r="B305" s="10" t="n"/>
      <c r="C305" s="10" t="n"/>
      <c r="D305" s="5" t="n"/>
      <c r="E305" s="5" t="n"/>
      <c r="F305" s="10" t="n"/>
      <c r="G305" s="5" t="n"/>
      <c r="H305" s="5" t="n"/>
      <c r="I305" s="5" t="n"/>
      <c r="J305" s="5" t="n"/>
      <c r="K305" s="10" t="inlineStr">
        <is>
          <t>Not on master list (time records)</t>
        </is>
      </c>
      <c r="L305" s="5" t="n"/>
      <c r="M305" s="5" t="n"/>
      <c r="N305" s="10" t="n"/>
      <c r="O305" s="10" t="n"/>
      <c r="P305" s="10" t="n"/>
      <c r="Q305" s="10" t="n"/>
      <c r="R305" s="10" t="n"/>
    </row>
    <row r="306">
      <c r="A306" s="10" t="inlineStr">
        <is>
          <t>Brich Leaf Ext.</t>
        </is>
      </c>
      <c r="B306" s="10" t="n"/>
      <c r="C306" s="10" t="n"/>
      <c r="D306" s="5" t="n"/>
      <c r="E306" s="5" t="n"/>
      <c r="F306" s="10" t="n"/>
      <c r="G306" s="5" t="n"/>
      <c r="H306" s="5" t="n"/>
      <c r="I306" s="5" t="n"/>
      <c r="J306" s="5" t="n"/>
      <c r="K306" s="10" t="inlineStr">
        <is>
          <t>Not on master list (time records)</t>
        </is>
      </c>
      <c r="L306" s="5" t="n"/>
      <c r="M306" s="5" t="n"/>
      <c r="N306" s="10" t="n"/>
      <c r="O306" s="10" t="n"/>
      <c r="P306" s="10" t="n"/>
      <c r="Q306" s="10" t="n"/>
      <c r="R306" s="10" t="n"/>
    </row>
    <row r="307">
      <c r="A307" s="10" t="inlineStr">
        <is>
          <t>Broccoli Ext.</t>
        </is>
      </c>
      <c r="B307" s="10" t="n"/>
      <c r="C307" s="10" t="n"/>
      <c r="D307" s="5" t="n"/>
      <c r="E307" s="5" t="n"/>
      <c r="F307" s="10" t="n"/>
      <c r="G307" s="5" t="n"/>
      <c r="H307" s="5" t="n"/>
      <c r="I307" s="5" t="n"/>
      <c r="J307" s="5" t="n"/>
      <c r="K307" s="10" t="inlineStr">
        <is>
          <t>Not on master list (time records)</t>
        </is>
      </c>
      <c r="L307" s="5" t="n"/>
      <c r="M307" s="5" t="n"/>
      <c r="N307" s="10" t="n"/>
      <c r="O307" s="10" t="n"/>
      <c r="P307" s="10" t="n"/>
      <c r="Q307" s="10" t="n"/>
      <c r="R307" s="10" t="n"/>
    </row>
    <row r="308">
      <c r="A308" s="10" t="inlineStr">
        <is>
          <t>Bromelain Ext.</t>
        </is>
      </c>
      <c r="B308" s="10" t="n"/>
      <c r="C308" s="10" t="n"/>
      <c r="D308" s="5" t="n"/>
      <c r="E308" s="5" t="n"/>
      <c r="F308" s="10" t="n"/>
      <c r="G308" s="5" t="n"/>
      <c r="H308" s="5" t="n"/>
      <c r="I308" s="5" t="n"/>
      <c r="J308" s="5" t="n"/>
      <c r="K308" s="10" t="inlineStr">
        <is>
          <t>Not on master list (time records)</t>
        </is>
      </c>
      <c r="L308" s="5" t="n"/>
      <c r="M308" s="5" t="n"/>
      <c r="N308" s="10" t="n"/>
      <c r="O308" s="10" t="n"/>
      <c r="P308" s="10" t="n"/>
      <c r="Q308" s="10" t="n"/>
      <c r="R308" s="10" t="n"/>
    </row>
    <row r="309">
      <c r="A309" s="10" t="inlineStr">
        <is>
          <t>Bromelian</t>
        </is>
      </c>
      <c r="B309" s="10" t="n"/>
      <c r="C309" s="10" t="n"/>
      <c r="D309" s="5" t="n"/>
      <c r="E309" s="5" t="n"/>
      <c r="F309" s="10" t="n"/>
      <c r="G309" s="5" t="n"/>
      <c r="H309" s="5" t="n"/>
      <c r="I309" s="5" t="n"/>
      <c r="J309" s="5" t="n"/>
      <c r="K309" s="10" t="inlineStr">
        <is>
          <t>Not on master list (time records)</t>
        </is>
      </c>
      <c r="L309" s="5" t="n"/>
      <c r="M309" s="5" t="n"/>
      <c r="N309" s="10" t="n"/>
      <c r="O309" s="10" t="n"/>
      <c r="P309" s="10" t="n"/>
      <c r="Q309" s="10" t="n"/>
      <c r="R309" s="10" t="n"/>
    </row>
    <row r="310">
      <c r="A310" s="10" t="inlineStr">
        <is>
          <t>Budesonide Micronized</t>
        </is>
      </c>
      <c r="B310" s="10" t="n"/>
      <c r="C310" s="10" t="n"/>
      <c r="D310" s="5" t="n"/>
      <c r="E310" s="5" t="n"/>
      <c r="F310" s="10" t="n"/>
      <c r="G310" s="5" t="n"/>
      <c r="H310" s="5" t="n"/>
      <c r="I310" s="5" t="n"/>
      <c r="J310" s="5" t="n"/>
      <c r="K310" s="10" t="inlineStr">
        <is>
          <t>Not on master list (time records)</t>
        </is>
      </c>
      <c r="L310" s="5" t="n"/>
      <c r="M310" s="5" t="n"/>
      <c r="N310" s="10" t="n"/>
      <c r="O310" s="10" t="n"/>
      <c r="P310" s="10" t="n"/>
      <c r="Q310" s="10" t="n"/>
      <c r="R310" s="10" t="n"/>
    </row>
    <row r="311">
      <c r="A311" s="10" t="inlineStr">
        <is>
          <t>BurningFat Marketing Sachet</t>
        </is>
      </c>
      <c r="B311" s="10" t="n"/>
      <c r="C311" s="10" t="n"/>
      <c r="D311" s="5" t="n"/>
      <c r="E311" s="5" t="n"/>
      <c r="F311" s="10" t="n"/>
      <c r="G311" s="5" t="n"/>
      <c r="H311" s="5" t="n"/>
      <c r="I311" s="5" t="n"/>
      <c r="J311" s="5" t="n"/>
      <c r="K311" s="10" t="inlineStr">
        <is>
          <t>Not on master list (time records)</t>
        </is>
      </c>
      <c r="L311" s="5" t="n"/>
      <c r="M311" s="5" t="n"/>
      <c r="N311" s="10" t="n"/>
      <c r="O311" s="10" t="n"/>
      <c r="P311" s="10" t="n">
        <v>6.52</v>
      </c>
      <c r="Q311" s="10" t="n"/>
      <c r="R311" s="10" t="n"/>
    </row>
    <row r="312">
      <c r="A312" s="10" t="inlineStr">
        <is>
          <t>Butylated Hydroxy Anisole (BHA)</t>
        </is>
      </c>
      <c r="B312" s="10" t="n"/>
      <c r="C312" s="10" t="n"/>
      <c r="D312" s="5" t="n"/>
      <c r="E312" s="5" t="n"/>
      <c r="F312" s="10" t="n"/>
      <c r="G312" s="5" t="n"/>
      <c r="H312" s="5" t="n"/>
      <c r="I312" s="5" t="n"/>
      <c r="J312" s="5" t="n"/>
      <c r="K312" s="10" t="inlineStr">
        <is>
          <t>Not on master list (time records)</t>
        </is>
      </c>
      <c r="L312" s="5" t="n"/>
      <c r="M312" s="5" t="n"/>
      <c r="N312" s="10" t="n"/>
      <c r="O312" s="10" t="n"/>
      <c r="P312" s="10" t="n"/>
      <c r="Q312" s="10" t="n"/>
      <c r="R312" s="10" t="n"/>
    </row>
    <row r="313">
      <c r="A313" s="10" t="inlineStr">
        <is>
          <t>Calcium Ascorbate</t>
        </is>
      </c>
      <c r="B313" s="10" t="n"/>
      <c r="C313" s="10" t="n"/>
      <c r="D313" s="5" t="n"/>
      <c r="E313" s="5" t="n"/>
      <c r="F313" s="10" t="n"/>
      <c r="G313" s="5" t="n"/>
      <c r="H313" s="5" t="n"/>
      <c r="I313" s="5" t="n"/>
      <c r="J313" s="5" t="n"/>
      <c r="K313" s="10" t="inlineStr">
        <is>
          <t>Not on master list (time records)</t>
        </is>
      </c>
      <c r="L313" s="5" t="n"/>
      <c r="M313" s="5" t="n"/>
      <c r="N313" s="10" t="n"/>
      <c r="O313" s="10" t="n"/>
      <c r="P313" s="10" t="n"/>
      <c r="Q313" s="10" t="n"/>
      <c r="R313" s="10" t="n"/>
    </row>
    <row r="314">
      <c r="A314" s="10" t="inlineStr">
        <is>
          <t>Calcium Carbonate Light</t>
        </is>
      </c>
      <c r="B314" s="10" t="n"/>
      <c r="C314" s="10" t="n"/>
      <c r="D314" s="5" t="n"/>
      <c r="E314" s="5" t="n"/>
      <c r="F314" s="10" t="n"/>
      <c r="G314" s="5" t="n"/>
      <c r="H314" s="5" t="n"/>
      <c r="I314" s="5" t="n"/>
      <c r="J314" s="5" t="n"/>
      <c r="K314" s="10" t="inlineStr">
        <is>
          <t>Not on master list (time records)</t>
        </is>
      </c>
      <c r="L314" s="5" t="n"/>
      <c r="M314" s="5" t="n"/>
      <c r="N314" s="10" t="n"/>
      <c r="O314" s="10" t="n"/>
      <c r="P314" s="10" t="n"/>
      <c r="Q314" s="10" t="n"/>
      <c r="R314" s="10" t="n"/>
    </row>
    <row r="315">
      <c r="A315" s="10" t="inlineStr">
        <is>
          <t>Calcium Palmitate</t>
        </is>
      </c>
      <c r="B315" s="10" t="n"/>
      <c r="C315" s="10" t="n"/>
      <c r="D315" s="5" t="n"/>
      <c r="E315" s="5" t="n"/>
      <c r="F315" s="10" t="n"/>
      <c r="G315" s="5" t="n"/>
      <c r="H315" s="5" t="n"/>
      <c r="I315" s="5" t="n"/>
      <c r="J315" s="5" t="n"/>
      <c r="K315" s="10" t="inlineStr">
        <is>
          <t>Not on master list (time records)</t>
        </is>
      </c>
      <c r="L315" s="5" t="n"/>
      <c r="M315" s="5" t="n"/>
      <c r="N315" s="10" t="n"/>
      <c r="O315" s="10" t="n"/>
      <c r="P315" s="10" t="n"/>
      <c r="Q315" s="10" t="n"/>
      <c r="R315" s="10" t="n"/>
    </row>
    <row r="316">
      <c r="A316" s="10" t="inlineStr">
        <is>
          <t>Calcium Silicate</t>
        </is>
      </c>
      <c r="B316" s="10" t="n"/>
      <c r="C316" s="10" t="n"/>
      <c r="D316" s="5" t="n"/>
      <c r="E316" s="5" t="n"/>
      <c r="F316" s="10" t="n"/>
      <c r="G316" s="5" t="n"/>
      <c r="H316" s="5" t="n"/>
      <c r="I316" s="5" t="n"/>
      <c r="J316" s="5" t="n"/>
      <c r="K316" s="10" t="inlineStr">
        <is>
          <t>Not on master list (purchase list)</t>
        </is>
      </c>
      <c r="L316" s="5" t="n"/>
      <c r="M316" s="5" t="n"/>
      <c r="N316" s="10" t="n"/>
      <c r="O316" s="10" t="n"/>
      <c r="P316" s="10" t="n"/>
      <c r="Q316" s="10" t="n"/>
      <c r="R316" s="10" t="n"/>
    </row>
    <row r="317">
      <c r="A317" s="10" t="inlineStr">
        <is>
          <t>Calcium Stearate</t>
        </is>
      </c>
      <c r="B317" s="10" t="n"/>
      <c r="C317" s="10" t="n"/>
      <c r="D317" s="5" t="n"/>
      <c r="E317" s="5" t="n"/>
      <c r="F317" s="10" t="n"/>
      <c r="G317" s="5" t="n"/>
      <c r="H317" s="5" t="n"/>
      <c r="I317" s="5" t="n"/>
      <c r="J317" s="5" t="n"/>
      <c r="K317" s="10" t="inlineStr">
        <is>
          <t>Not on master list (time records)</t>
        </is>
      </c>
      <c r="L317" s="5" t="n"/>
      <c r="M317" s="5" t="n"/>
      <c r="N317" s="10" t="n"/>
      <c r="O317" s="10" t="n"/>
      <c r="P317" s="10" t="n"/>
      <c r="Q317" s="10" t="n"/>
      <c r="R317" s="10" t="n"/>
    </row>
    <row r="318">
      <c r="A318" s="10" t="inlineStr">
        <is>
          <t>Camphor Flovour</t>
        </is>
      </c>
      <c r="B318" s="10" t="n"/>
      <c r="C318" s="10" t="n"/>
      <c r="D318" s="5" t="n"/>
      <c r="E318" s="5" t="n"/>
      <c r="F318" s="10" t="n"/>
      <c r="G318" s="5" t="n"/>
      <c r="H318" s="5" t="n"/>
      <c r="I318" s="5" t="n"/>
      <c r="J318" s="5" t="n"/>
      <c r="K318" s="10" t="inlineStr">
        <is>
          <t>Not on master list (time records)</t>
        </is>
      </c>
      <c r="L318" s="5" t="n"/>
      <c r="M318" s="5" t="n"/>
      <c r="N318" s="10" t="n"/>
      <c r="O318" s="10" t="n"/>
      <c r="P318" s="10" t="n"/>
      <c r="Q318" s="10" t="n"/>
      <c r="R318" s="10" t="n"/>
    </row>
    <row r="319">
      <c r="A319" s="10" t="inlineStr">
        <is>
          <t>Caramel Flavour</t>
        </is>
      </c>
      <c r="B319" s="10" t="n"/>
      <c r="C319" s="10" t="n"/>
      <c r="D319" s="5" t="n"/>
      <c r="E319" s="5" t="n"/>
      <c r="F319" s="10" t="n"/>
      <c r="G319" s="5" t="n"/>
      <c r="H319" s="5" t="n"/>
      <c r="I319" s="5" t="n"/>
      <c r="J319" s="5" t="n"/>
      <c r="K319" s="10" t="inlineStr">
        <is>
          <t>Not on master list (purchase list)</t>
        </is>
      </c>
      <c r="L319" s="5" t="n"/>
      <c r="M319" s="5" t="n"/>
      <c r="N319" s="10" t="n"/>
      <c r="O319" s="10" t="n"/>
      <c r="P319" s="10" t="n"/>
      <c r="Q319" s="10" t="n"/>
      <c r="R319" s="10" t="n"/>
    </row>
    <row r="320">
      <c r="A320" s="10" t="inlineStr">
        <is>
          <t>Caramel Powder Color</t>
        </is>
      </c>
      <c r="B320" s="10" t="n"/>
      <c r="C320" s="10" t="n"/>
      <c r="D320" s="5" t="n"/>
      <c r="E320" s="5" t="n"/>
      <c r="F320" s="10" t="n"/>
      <c r="G320" s="5" t="n"/>
      <c r="H320" s="5" t="n"/>
      <c r="I320" s="5" t="n"/>
      <c r="J320" s="5" t="n"/>
      <c r="K320" s="10" t="inlineStr">
        <is>
          <t>Not on master list (purchase list)</t>
        </is>
      </c>
      <c r="L320" s="5" t="n"/>
      <c r="M320" s="5" t="n"/>
      <c r="N320" s="10" t="n"/>
      <c r="O320" s="10" t="n"/>
      <c r="P320" s="10" t="n"/>
      <c r="Q320" s="10" t="n"/>
      <c r="R320" s="10" t="n"/>
    </row>
    <row r="321">
      <c r="A321" s="10" t="inlineStr">
        <is>
          <t>Caramel Powder Essence</t>
        </is>
      </c>
      <c r="B321" s="10" t="n"/>
      <c r="C321" s="10" t="n"/>
      <c r="D321" s="5" t="n"/>
      <c r="E321" s="5" t="n"/>
      <c r="F321" s="10" t="n"/>
      <c r="G321" s="5" t="n"/>
      <c r="H321" s="5" t="n"/>
      <c r="I321" s="5" t="n"/>
      <c r="J321" s="5" t="n"/>
      <c r="K321" s="10" t="inlineStr">
        <is>
          <t>Not on master list (time records)</t>
        </is>
      </c>
      <c r="L321" s="5" t="n"/>
      <c r="M321" s="5" t="n"/>
      <c r="N321" s="10" t="n"/>
      <c r="O321" s="10" t="n"/>
      <c r="P321" s="10" t="n">
        <v>1.77</v>
      </c>
      <c r="Q321" s="10" t="n"/>
      <c r="R321" s="10" t="n"/>
    </row>
    <row r="322">
      <c r="A322" s="10" t="inlineStr">
        <is>
          <t>Caraml</t>
        </is>
      </c>
      <c r="B322" s="10" t="n"/>
      <c r="C322" s="10" t="n"/>
      <c r="D322" s="5" t="n"/>
      <c r="E322" s="5" t="n"/>
      <c r="F322" s="10" t="n"/>
      <c r="G322" s="5" t="n"/>
      <c r="H322" s="5" t="n"/>
      <c r="I322" s="5" t="n"/>
      <c r="J322" s="5" t="n"/>
      <c r="K322" s="10" t="inlineStr">
        <is>
          <t>Not on master list (time records)</t>
        </is>
      </c>
      <c r="L322" s="5" t="n"/>
      <c r="M322" s="5" t="n"/>
      <c r="N322" s="10" t="n"/>
      <c r="O322" s="10" t="n"/>
      <c r="P322" s="10" t="n">
        <v>1.77</v>
      </c>
      <c r="Q322" s="10" t="n"/>
      <c r="R322" s="10" t="n"/>
    </row>
    <row r="323">
      <c r="A323" s="10" t="inlineStr">
        <is>
          <t>Carbetosin</t>
        </is>
      </c>
      <c r="B323" s="10" t="n"/>
      <c r="C323" s="10" t="n"/>
      <c r="D323" s="5" t="n"/>
      <c r="E323" s="5" t="n"/>
      <c r="F323" s="10" t="n"/>
      <c r="G323" s="5" t="n"/>
      <c r="H323" s="5" t="n"/>
      <c r="I323" s="5" t="n"/>
      <c r="J323" s="5" t="n"/>
      <c r="K323" s="10" t="inlineStr">
        <is>
          <t>Not on master list (time records)</t>
        </is>
      </c>
      <c r="L323" s="5" t="n"/>
      <c r="M323" s="5" t="n"/>
      <c r="N323" s="10" t="n"/>
      <c r="O323" s="10" t="n"/>
      <c r="P323" s="10" t="n"/>
      <c r="Q323" s="10" t="n"/>
      <c r="R323" s="10" t="n"/>
    </row>
    <row r="324">
      <c r="A324" s="10" t="inlineStr">
        <is>
          <t>Carbomer 940</t>
        </is>
      </c>
      <c r="B324" s="10" t="n"/>
      <c r="C324" s="10" t="n"/>
      <c r="D324" s="5" t="n"/>
      <c r="E324" s="5" t="n"/>
      <c r="F324" s="10" t="n"/>
      <c r="G324" s="5" t="n"/>
      <c r="H324" s="5" t="n"/>
      <c r="I324" s="5" t="n"/>
      <c r="J324" s="5" t="n"/>
      <c r="K324" s="10" t="inlineStr">
        <is>
          <t>Not on master list (time records)</t>
        </is>
      </c>
      <c r="L324" s="5" t="n"/>
      <c r="M324" s="5" t="n"/>
      <c r="N324" s="10" t="n"/>
      <c r="O324" s="10" t="n"/>
      <c r="P324" s="10" t="n"/>
      <c r="Q324" s="10" t="n"/>
      <c r="R324" s="10" t="n"/>
    </row>
    <row r="325">
      <c r="A325" s="10" t="inlineStr">
        <is>
          <t>Carmoisime Lake</t>
        </is>
      </c>
      <c r="B325" s="10" t="n"/>
      <c r="C325" s="10" t="n"/>
      <c r="D325" s="5" t="n"/>
      <c r="E325" s="5" t="n"/>
      <c r="F325" s="10" t="n"/>
      <c r="G325" s="5" t="n"/>
      <c r="H325" s="5" t="n"/>
      <c r="I325" s="5" t="n"/>
      <c r="J325" s="5" t="n"/>
      <c r="K325" s="10" t="inlineStr">
        <is>
          <t>Not on master list (time records)</t>
        </is>
      </c>
      <c r="L325" s="5" t="n"/>
      <c r="M325" s="5" t="n"/>
      <c r="N325" s="10" t="n"/>
      <c r="O325" s="10" t="n"/>
      <c r="P325" s="10" t="n"/>
      <c r="Q325" s="10" t="n"/>
      <c r="R325" s="10" t="n"/>
    </row>
    <row r="326">
      <c r="A326" s="10" t="inlineStr">
        <is>
          <t>Carnaubawax</t>
        </is>
      </c>
      <c r="B326" s="10" t="n"/>
      <c r="C326" s="10" t="n"/>
      <c r="D326" s="5" t="n"/>
      <c r="E326" s="5" t="n"/>
      <c r="F326" s="10" t="n"/>
      <c r="G326" s="5" t="n"/>
      <c r="H326" s="5" t="n"/>
      <c r="I326" s="5" t="n"/>
      <c r="J326" s="5" t="n"/>
      <c r="K326" s="10" t="inlineStr">
        <is>
          <t>Not on master list (time records)</t>
        </is>
      </c>
      <c r="L326" s="5" t="n"/>
      <c r="M326" s="5" t="n"/>
      <c r="N326" s="10" t="n"/>
      <c r="O326" s="10" t="n"/>
      <c r="P326" s="10" t="n"/>
      <c r="Q326" s="10" t="n"/>
      <c r="R326" s="10" t="n"/>
    </row>
    <row r="327">
      <c r="A327" s="10" t="inlineStr">
        <is>
          <t>Carthamus Tinctorius Dried Flower</t>
        </is>
      </c>
      <c r="B327" s="10" t="n"/>
      <c r="C327" s="10" t="n"/>
      <c r="D327" s="5" t="n"/>
      <c r="E327" s="5" t="n"/>
      <c r="F327" s="10" t="n"/>
      <c r="G327" s="5" t="n"/>
      <c r="H327" s="5" t="n"/>
      <c r="I327" s="5" t="n"/>
      <c r="J327" s="5" t="n"/>
      <c r="K327" s="10" t="inlineStr">
        <is>
          <t>Not on master list (time records)</t>
        </is>
      </c>
      <c r="L327" s="5" t="n"/>
      <c r="M327" s="5" t="n"/>
      <c r="N327" s="10" t="n"/>
      <c r="O327" s="10" t="n"/>
      <c r="P327" s="10" t="n"/>
      <c r="Q327" s="10" t="n"/>
      <c r="R327" s="10" t="n"/>
    </row>
    <row r="328">
      <c r="A328" s="10" t="inlineStr">
        <is>
          <t>Caviar Liquid</t>
        </is>
      </c>
      <c r="B328" s="10" t="n"/>
      <c r="C328" s="10" t="n"/>
      <c r="D328" s="5" t="n"/>
      <c r="E328" s="5" t="n"/>
      <c r="F328" s="10" t="n"/>
      <c r="G328" s="5" t="n"/>
      <c r="H328" s="5" t="n"/>
      <c r="I328" s="5" t="n"/>
      <c r="J328" s="5" t="n"/>
      <c r="K328" s="10" t="inlineStr">
        <is>
          <t>Not on master list (time records)</t>
        </is>
      </c>
      <c r="L328" s="5" t="n"/>
      <c r="M328" s="5" t="n"/>
      <c r="N328" s="10" t="n"/>
      <c r="O328" s="10" t="n"/>
      <c r="P328" s="10" t="n"/>
      <c r="Q328" s="10" t="n"/>
      <c r="R328" s="10" t="n"/>
    </row>
    <row r="329">
      <c r="A329" s="10" t="inlineStr">
        <is>
          <t>Cetyl Alcohol</t>
        </is>
      </c>
      <c r="B329" s="10" t="n"/>
      <c r="C329" s="10" t="n"/>
      <c r="D329" s="5" t="n"/>
      <c r="E329" s="5" t="n"/>
      <c r="F329" s="10" t="n"/>
      <c r="G329" s="5" t="n"/>
      <c r="H329" s="5" t="n"/>
      <c r="I329" s="5" t="n"/>
      <c r="J329" s="5" t="n"/>
      <c r="K329" s="10" t="inlineStr">
        <is>
          <t>Not on master list (time records)</t>
        </is>
      </c>
      <c r="L329" s="5" t="n"/>
      <c r="M329" s="5" t="n"/>
      <c r="N329" s="10" t="n"/>
      <c r="O329" s="10" t="n"/>
      <c r="P329" s="10" t="n"/>
      <c r="Q329" s="10" t="n"/>
      <c r="R329" s="10" t="n"/>
    </row>
    <row r="330">
      <c r="A330" s="10" t="inlineStr">
        <is>
          <t>Chasteberry Powder</t>
        </is>
      </c>
      <c r="B330" s="10" t="n"/>
      <c r="C330" s="10" t="n"/>
      <c r="D330" s="5" t="n"/>
      <c r="E330" s="5" t="n"/>
      <c r="F330" s="10" t="n"/>
      <c r="G330" s="5" t="n"/>
      <c r="H330" s="5" t="n"/>
      <c r="I330" s="5" t="n"/>
      <c r="J330" s="5" t="n"/>
      <c r="K330" s="10" t="inlineStr">
        <is>
          <t>Not on master list (time records)</t>
        </is>
      </c>
      <c r="L330" s="5" t="n"/>
      <c r="M330" s="5" t="n"/>
      <c r="N330" s="10" t="n"/>
      <c r="O330" s="10" t="n"/>
      <c r="P330" s="10" t="n"/>
      <c r="Q330" s="10" t="n"/>
      <c r="R330" s="10" t="n"/>
    </row>
    <row r="331">
      <c r="A331" s="10" t="inlineStr">
        <is>
          <t>Chlorphenamine Maleate</t>
        </is>
      </c>
      <c r="B331" s="10" t="n"/>
      <c r="C331" s="10" t="n"/>
      <c r="D331" s="5" t="n"/>
      <c r="E331" s="5" t="n"/>
      <c r="F331" s="10" t="n"/>
      <c r="G331" s="5" t="n"/>
      <c r="H331" s="5" t="n"/>
      <c r="I331" s="5" t="n"/>
      <c r="J331" s="5" t="n"/>
      <c r="K331" s="10" t="inlineStr">
        <is>
          <t>Not on master list (purchase list)</t>
        </is>
      </c>
      <c r="L331" s="5" t="n"/>
      <c r="M331" s="5" t="n"/>
      <c r="N331" s="10" t="n"/>
      <c r="O331" s="10" t="n"/>
      <c r="P331" s="10" t="n"/>
      <c r="Q331" s="10" t="n"/>
      <c r="R331" s="10" t="n"/>
    </row>
    <row r="332">
      <c r="A332" s="10" t="inlineStr">
        <is>
          <t>Chlorpheniramin Maleate</t>
        </is>
      </c>
      <c r="B332" s="10" t="n"/>
      <c r="C332" s="10" t="n"/>
      <c r="D332" s="5" t="n"/>
      <c r="E332" s="5" t="n"/>
      <c r="F332" s="10" t="n"/>
      <c r="G332" s="5" t="n"/>
      <c r="H332" s="5" t="n"/>
      <c r="I332" s="5" t="n"/>
      <c r="J332" s="5" t="n"/>
      <c r="K332" s="10" t="inlineStr">
        <is>
          <t>Not on master list (time records)</t>
        </is>
      </c>
      <c r="L332" s="5" t="n"/>
      <c r="M332" s="5" t="n"/>
      <c r="N332" s="10" t="n"/>
      <c r="O332" s="10" t="n"/>
      <c r="P332" s="10" t="n">
        <v>16.68</v>
      </c>
      <c r="Q332" s="10" t="n"/>
      <c r="R332" s="10" t="n"/>
    </row>
    <row r="333">
      <c r="A333" s="10" t="inlineStr">
        <is>
          <t>Chlorpheniramine maleate</t>
        </is>
      </c>
      <c r="B333" s="10" t="n"/>
      <c r="C333" s="10" t="n"/>
      <c r="D333" s="5" t="n"/>
      <c r="E333" s="5" t="n"/>
      <c r="F333" s="10" t="n"/>
      <c r="G333" s="5" t="n"/>
      <c r="H333" s="5" t="n"/>
      <c r="I333" s="5" t="n"/>
      <c r="J333" s="5" t="n"/>
      <c r="K333" s="10" t="inlineStr">
        <is>
          <t>Not on master list (purchase list)</t>
        </is>
      </c>
      <c r="L333" s="5" t="n"/>
      <c r="M333" s="5" t="n"/>
      <c r="N333" s="10" t="n"/>
      <c r="O333" s="10" t="n"/>
      <c r="P333" s="10" t="n"/>
      <c r="Q333" s="10" t="n"/>
      <c r="R333" s="10" t="n"/>
    </row>
    <row r="334">
      <c r="A334" s="10" t="inlineStr">
        <is>
          <t>Chocolate Flavour</t>
        </is>
      </c>
      <c r="B334" s="10" t="n"/>
      <c r="C334" s="10" t="n"/>
      <c r="D334" s="5" t="n"/>
      <c r="E334" s="5" t="n"/>
      <c r="F334" s="10" t="n"/>
      <c r="G334" s="5" t="n"/>
      <c r="H334" s="5" t="n"/>
      <c r="I334" s="5" t="n"/>
      <c r="J334" s="5" t="n"/>
      <c r="K334" s="10" t="inlineStr">
        <is>
          <t>Not on master list (time records)</t>
        </is>
      </c>
      <c r="L334" s="5" t="n"/>
      <c r="M334" s="5" t="n"/>
      <c r="N334" s="10" t="n"/>
      <c r="O334" s="10" t="n"/>
      <c r="P334" s="10" t="n"/>
      <c r="Q334" s="10" t="n"/>
      <c r="R334" s="10" t="n"/>
    </row>
    <row r="335">
      <c r="A335" s="10" t="inlineStr">
        <is>
          <t>Chocolate Mint Flovour</t>
        </is>
      </c>
      <c r="B335" s="10" t="n"/>
      <c r="C335" s="10" t="n"/>
      <c r="D335" s="5" t="n"/>
      <c r="E335" s="5" t="n"/>
      <c r="F335" s="10" t="n"/>
      <c r="G335" s="5" t="n"/>
      <c r="H335" s="5" t="n"/>
      <c r="I335" s="5" t="n"/>
      <c r="J335" s="5" t="n"/>
      <c r="K335" s="10" t="inlineStr">
        <is>
          <t>Not on master list (time records)</t>
        </is>
      </c>
      <c r="L335" s="5" t="n"/>
      <c r="M335" s="5" t="n"/>
      <c r="N335" s="10" t="n"/>
      <c r="O335" s="10" t="n"/>
      <c r="P335" s="10" t="n"/>
      <c r="Q335" s="10" t="n"/>
      <c r="R335" s="10" t="n"/>
    </row>
    <row r="336">
      <c r="A336" s="10" t="inlineStr">
        <is>
          <t>CHOCOLATI BROWN HT</t>
        </is>
      </c>
      <c r="B336" s="10" t="n"/>
      <c r="C336" s="10" t="n"/>
      <c r="D336" s="5" t="n"/>
      <c r="E336" s="5" t="n"/>
      <c r="F336" s="10" t="n"/>
      <c r="G336" s="5" t="n"/>
      <c r="H336" s="5" t="n"/>
      <c r="I336" s="5" t="n"/>
      <c r="J336" s="5" t="n"/>
      <c r="K336" s="10" t="inlineStr">
        <is>
          <t>Not on master list (purchase list)</t>
        </is>
      </c>
      <c r="L336" s="5" t="n"/>
      <c r="M336" s="5" t="n"/>
      <c r="N336" s="10" t="n"/>
      <c r="O336" s="10" t="n"/>
      <c r="P336" s="10" t="n"/>
      <c r="Q336" s="10" t="n"/>
      <c r="R336" s="10" t="n"/>
    </row>
    <row r="337">
      <c r="A337" s="10" t="inlineStr">
        <is>
          <t>Choleus Forskohlii Ext. Dry Conc 110:1</t>
        </is>
      </c>
      <c r="B337" s="10" t="n"/>
      <c r="C337" s="10" t="n"/>
      <c r="D337" s="5" t="n"/>
      <c r="E337" s="5" t="n"/>
      <c r="F337" s="10" t="n"/>
      <c r="G337" s="5" t="n"/>
      <c r="H337" s="5" t="n"/>
      <c r="I337" s="5" t="n"/>
      <c r="J337" s="5" t="n"/>
      <c r="K337" s="10" t="inlineStr">
        <is>
          <t>Not on master list (time records)</t>
        </is>
      </c>
      <c r="L337" s="5" t="n"/>
      <c r="M337" s="5" t="n"/>
      <c r="N337" s="10" t="n"/>
      <c r="O337" s="10" t="n"/>
      <c r="P337" s="10" t="n">
        <v>12.72</v>
      </c>
      <c r="Q337" s="10" t="n"/>
      <c r="R337" s="10" t="n"/>
    </row>
    <row r="338">
      <c r="A338" s="10" t="inlineStr">
        <is>
          <t>Choline Chloride</t>
        </is>
      </c>
      <c r="B338" s="10" t="n"/>
      <c r="C338" s="10" t="n"/>
      <c r="D338" s="5" t="n"/>
      <c r="E338" s="5" t="n"/>
      <c r="F338" s="10" t="n"/>
      <c r="G338" s="5" t="n"/>
      <c r="H338" s="5" t="n"/>
      <c r="I338" s="5" t="n"/>
      <c r="J338" s="5" t="n"/>
      <c r="K338" s="10" t="inlineStr">
        <is>
          <t>Not on master list (purchase list + time records)</t>
        </is>
      </c>
      <c r="L338" s="5" t="n"/>
      <c r="M338" s="5" t="n"/>
      <c r="N338" s="10" t="n"/>
      <c r="O338" s="10" t="n"/>
      <c r="P338" s="10" t="n"/>
      <c r="Q338" s="10" t="n"/>
      <c r="R338" s="10" t="n"/>
    </row>
    <row r="339">
      <c r="A339" s="10" t="inlineStr">
        <is>
          <t>Citrous</t>
        </is>
      </c>
      <c r="B339" s="10" t="n"/>
      <c r="C339" s="10" t="n"/>
      <c r="D339" s="5" t="n"/>
      <c r="E339" s="5" t="n"/>
      <c r="F339" s="10" t="n"/>
      <c r="G339" s="5" t="n"/>
      <c r="H339" s="5" t="n"/>
      <c r="I339" s="5" t="n"/>
      <c r="J339" s="5" t="n"/>
      <c r="K339" s="10" t="inlineStr">
        <is>
          <t>Not on master list (time records)</t>
        </is>
      </c>
      <c r="L339" s="5" t="n"/>
      <c r="M339" s="5" t="n"/>
      <c r="N339" s="10" t="n"/>
      <c r="O339" s="10" t="n"/>
      <c r="P339" s="10" t="n"/>
      <c r="Q339" s="10" t="n"/>
      <c r="R339" s="10" t="n"/>
    </row>
    <row r="340">
      <c r="A340" s="10" t="inlineStr">
        <is>
          <t>Co Enzyme Q10 100mg Marketing Sachet</t>
        </is>
      </c>
      <c r="B340" s="10" t="n"/>
      <c r="C340" s="10" t="n"/>
      <c r="D340" s="5" t="n"/>
      <c r="E340" s="5" t="n"/>
      <c r="F340" s="10" t="n"/>
      <c r="G340" s="5" t="n"/>
      <c r="H340" s="5" t="n"/>
      <c r="I340" s="5" t="n"/>
      <c r="J340" s="5" t="n"/>
      <c r="K340" s="10" t="inlineStr">
        <is>
          <t>Not on master list (time records)</t>
        </is>
      </c>
      <c r="L340" s="5" t="n"/>
      <c r="M340" s="5" t="n"/>
      <c r="N340" s="10" t="n"/>
      <c r="O340" s="10" t="n"/>
      <c r="P340" s="10" t="n"/>
      <c r="Q340" s="10" t="n"/>
      <c r="R340" s="10" t="n"/>
    </row>
    <row r="341">
      <c r="A341" s="10" t="inlineStr">
        <is>
          <t>Co Enzyme Q10 30mg Marketing Sachet</t>
        </is>
      </c>
      <c r="B341" s="10" t="n"/>
      <c r="C341" s="10" t="n"/>
      <c r="D341" s="5" t="n"/>
      <c r="E341" s="5" t="n"/>
      <c r="F341" s="10" t="n"/>
      <c r="G341" s="5" t="n"/>
      <c r="H341" s="5" t="n"/>
      <c r="I341" s="5" t="n"/>
      <c r="J341" s="5" t="n"/>
      <c r="K341" s="10" t="inlineStr">
        <is>
          <t>Not on master list (time records)</t>
        </is>
      </c>
      <c r="L341" s="5" t="n"/>
      <c r="M341" s="5" t="n"/>
      <c r="N341" s="10" t="n"/>
      <c r="O341" s="10" t="n"/>
      <c r="P341" s="10" t="n"/>
      <c r="Q341" s="10" t="n"/>
      <c r="R341" s="10" t="n"/>
    </row>
    <row r="342">
      <c r="A342" s="10" t="inlineStr">
        <is>
          <t>Coated Ascorbic Acid</t>
        </is>
      </c>
      <c r="B342" s="10" t="n"/>
      <c r="C342" s="10" t="n"/>
      <c r="D342" s="5" t="n"/>
      <c r="E342" s="5" t="n"/>
      <c r="F342" s="10" t="n"/>
      <c r="G342" s="5" t="n"/>
      <c r="H342" s="5" t="n"/>
      <c r="I342" s="5" t="n"/>
      <c r="J342" s="5" t="n"/>
      <c r="K342" s="10" t="inlineStr">
        <is>
          <t>Not on master list (purchase list)</t>
        </is>
      </c>
      <c r="L342" s="5" t="n"/>
      <c r="M342" s="5" t="n"/>
      <c r="N342" s="10" t="n"/>
      <c r="O342" s="10" t="n"/>
      <c r="P342" s="10" t="n"/>
      <c r="Q342" s="10" t="n"/>
      <c r="R342" s="10" t="n"/>
    </row>
    <row r="343">
      <c r="A343" s="10" t="inlineStr">
        <is>
          <t>Coated Ascorbic Acid- 97 (Vitamin C)</t>
        </is>
      </c>
      <c r="B343" s="10" t="n"/>
      <c r="C343" s="10" t="n"/>
      <c r="D343" s="5" t="n"/>
      <c r="E343" s="5" t="n"/>
      <c r="F343" s="10" t="n"/>
      <c r="G343" s="5" t="n"/>
      <c r="H343" s="5" t="n"/>
      <c r="I343" s="5" t="n"/>
      <c r="J343" s="5" t="n"/>
      <c r="K343" s="10" t="inlineStr">
        <is>
          <t>Not on master list (purchase list)</t>
        </is>
      </c>
      <c r="L343" s="5" t="n"/>
      <c r="M343" s="5" t="n"/>
      <c r="N343" s="10" t="n"/>
      <c r="O343" s="10" t="n"/>
      <c r="P343" s="10" t="n"/>
      <c r="Q343" s="10" t="n"/>
      <c r="R343" s="10" t="n"/>
    </row>
    <row r="344">
      <c r="A344" s="10" t="inlineStr">
        <is>
          <t>Coconut Oil Powder</t>
        </is>
      </c>
      <c r="B344" s="10" t="n"/>
      <c r="C344" s="10" t="n"/>
      <c r="D344" s="5" t="n"/>
      <c r="E344" s="5" t="n"/>
      <c r="F344" s="10" t="n"/>
      <c r="G344" s="5" t="n"/>
      <c r="H344" s="5" t="n"/>
      <c r="I344" s="5" t="n"/>
      <c r="J344" s="5" t="n"/>
      <c r="K344" s="10" t="inlineStr">
        <is>
          <t>Not on master list (time records)</t>
        </is>
      </c>
      <c r="L344" s="5" t="n"/>
      <c r="M344" s="5" t="n"/>
      <c r="N344" s="10" t="n"/>
      <c r="O344" s="10" t="n"/>
      <c r="P344" s="10" t="n"/>
      <c r="Q344" s="10" t="n"/>
      <c r="R344" s="10" t="n"/>
    </row>
    <row r="345">
      <c r="A345" s="10" t="inlineStr">
        <is>
          <t>Coenzyme Q10</t>
        </is>
      </c>
      <c r="B345" s="10" t="n"/>
      <c r="C345" s="10" t="n"/>
      <c r="D345" s="5" t="n"/>
      <c r="E345" s="5" t="n"/>
      <c r="F345" s="10" t="n"/>
      <c r="G345" s="5" t="n"/>
      <c r="H345" s="5" t="n"/>
      <c r="I345" s="5" t="n"/>
      <c r="J345" s="5" t="n"/>
      <c r="K345" s="10" t="inlineStr">
        <is>
          <t>Not on master list (purchase list)</t>
        </is>
      </c>
      <c r="L345" s="5" t="n"/>
      <c r="M345" s="5" t="n"/>
      <c r="N345" s="10" t="n"/>
      <c r="O345" s="10" t="n"/>
      <c r="P345" s="10" t="n"/>
      <c r="Q345" s="10" t="n"/>
      <c r="R345" s="10" t="n"/>
    </row>
    <row r="346">
      <c r="A346" s="10" t="inlineStr">
        <is>
          <t>Coenzyme Q10 98%Coenzyme Q10</t>
        </is>
      </c>
      <c r="B346" s="10" t="n"/>
      <c r="C346" s="10" t="n"/>
      <c r="D346" s="5" t="n"/>
      <c r="E346" s="5" t="n"/>
      <c r="F346" s="10" t="n"/>
      <c r="G346" s="5" t="n"/>
      <c r="H346" s="5" t="n"/>
      <c r="I346" s="5" t="n"/>
      <c r="J346" s="5" t="n"/>
      <c r="K346" s="10" t="inlineStr">
        <is>
          <t>Not on master list (purchase list)</t>
        </is>
      </c>
      <c r="L346" s="5" t="n"/>
      <c r="M346" s="5" t="n"/>
      <c r="N346" s="10" t="n"/>
      <c r="O346" s="10" t="n"/>
      <c r="P346" s="10" t="n"/>
      <c r="Q346" s="10" t="n"/>
      <c r="R346" s="10" t="n"/>
    </row>
    <row r="347">
      <c r="A347" s="10" t="inlineStr">
        <is>
          <t>Coleus Forskohlii</t>
        </is>
      </c>
      <c r="B347" s="10" t="n"/>
      <c r="C347" s="10" t="n"/>
      <c r="D347" s="5" t="n"/>
      <c r="E347" s="5" t="n"/>
      <c r="F347" s="10" t="n"/>
      <c r="G347" s="5" t="n"/>
      <c r="H347" s="5" t="n"/>
      <c r="I347" s="5" t="n"/>
      <c r="J347" s="5" t="n"/>
      <c r="K347" s="10" t="inlineStr">
        <is>
          <t>Not on master list (purchase list)</t>
        </is>
      </c>
      <c r="L347" s="5" t="n"/>
      <c r="M347" s="5" t="n"/>
      <c r="N347" s="10" t="n"/>
      <c r="O347" s="10" t="n"/>
      <c r="P347" s="10" t="n"/>
      <c r="Q347" s="10" t="n"/>
      <c r="R347" s="10" t="n"/>
    </row>
    <row r="348">
      <c r="A348" s="10" t="inlineStr">
        <is>
          <t>Coleus Forskohlii Extract</t>
        </is>
      </c>
      <c r="B348" s="10" t="n"/>
      <c r="C348" s="10" t="n"/>
      <c r="D348" s="5" t="n"/>
      <c r="E348" s="5" t="n"/>
      <c r="F348" s="10" t="n"/>
      <c r="G348" s="5" t="n"/>
      <c r="H348" s="5" t="n"/>
      <c r="I348" s="5" t="n"/>
      <c r="J348" s="5" t="n"/>
      <c r="K348" s="10" t="inlineStr">
        <is>
          <t>Not on master list (purchase list)</t>
        </is>
      </c>
      <c r="L348" s="5" t="n"/>
      <c r="M348" s="5" t="n"/>
      <c r="N348" s="10" t="n"/>
      <c r="O348" s="10" t="n"/>
      <c r="P348" s="10" t="n"/>
      <c r="Q348" s="10" t="n"/>
      <c r="R348" s="10" t="n"/>
    </row>
    <row r="349">
      <c r="A349" s="10" t="inlineStr">
        <is>
          <t>Coleus froskohlii Extract</t>
        </is>
      </c>
      <c r="B349" s="10" t="n"/>
      <c r="C349" s="10" t="n"/>
      <c r="D349" s="5" t="n"/>
      <c r="E349" s="5" t="n"/>
      <c r="F349" s="10" t="n"/>
      <c r="G349" s="5" t="n"/>
      <c r="H349" s="5" t="n"/>
      <c r="I349" s="5" t="n"/>
      <c r="J349" s="5" t="n"/>
      <c r="K349" s="10" t="inlineStr">
        <is>
          <t>Not on master list (purchase list)</t>
        </is>
      </c>
      <c r="L349" s="5" t="n"/>
      <c r="M349" s="5" t="n"/>
      <c r="N349" s="10" t="n"/>
      <c r="O349" s="10" t="n"/>
      <c r="P349" s="10" t="n"/>
      <c r="Q349" s="10" t="n"/>
      <c r="R349" s="10" t="n"/>
    </row>
    <row r="350">
      <c r="A350" s="10" t="inlineStr">
        <is>
          <t>Comfort Formula Marketing Sachet</t>
        </is>
      </c>
      <c r="B350" s="10" t="n"/>
      <c r="C350" s="10" t="n"/>
      <c r="D350" s="5" t="n"/>
      <c r="E350" s="5" t="n"/>
      <c r="F350" s="10" t="n"/>
      <c r="G350" s="5" t="n"/>
      <c r="H350" s="5" t="n"/>
      <c r="I350" s="5" t="n"/>
      <c r="J350" s="5" t="n"/>
      <c r="K350" s="10" t="inlineStr">
        <is>
          <t>Not on master list (time records)</t>
        </is>
      </c>
      <c r="L350" s="5" t="n"/>
      <c r="M350" s="5" t="n"/>
      <c r="N350" s="10" t="n"/>
      <c r="O350" s="10" t="n"/>
      <c r="P350" s="10" t="n"/>
      <c r="Q350" s="10" t="n"/>
      <c r="R350" s="10" t="n"/>
    </row>
    <row r="351">
      <c r="A351" s="10" t="inlineStr">
        <is>
          <t>Compritol</t>
        </is>
      </c>
      <c r="B351" s="10" t="n"/>
      <c r="C351" s="10" t="n"/>
      <c r="D351" s="5" t="n"/>
      <c r="E351" s="5" t="n"/>
      <c r="F351" s="10" t="n"/>
      <c r="G351" s="5" t="n"/>
      <c r="H351" s="5" t="n"/>
      <c r="I351" s="5" t="n"/>
      <c r="J351" s="5" t="n"/>
      <c r="K351" s="10" t="inlineStr">
        <is>
          <t>Not on master list (purchase list)</t>
        </is>
      </c>
      <c r="L351" s="5" t="n"/>
      <c r="M351" s="5" t="n"/>
      <c r="N351" s="10" t="n"/>
      <c r="O351" s="10" t="n"/>
      <c r="P351" s="10" t="n"/>
      <c r="Q351" s="10" t="n"/>
      <c r="R351" s="10" t="n"/>
    </row>
    <row r="352">
      <c r="A352" s="10" t="inlineStr">
        <is>
          <t>Compritol 888 ATP</t>
        </is>
      </c>
      <c r="B352" s="10" t="n"/>
      <c r="C352" s="10" t="n"/>
      <c r="D352" s="5" t="n"/>
      <c r="E352" s="5" t="n"/>
      <c r="F352" s="10" t="n"/>
      <c r="G352" s="5" t="n"/>
      <c r="H352" s="5" t="n"/>
      <c r="I352" s="5" t="n"/>
      <c r="J352" s="5" t="n"/>
      <c r="K352" s="10" t="inlineStr">
        <is>
          <t>Not on master list (purchase list)</t>
        </is>
      </c>
      <c r="L352" s="5" t="n"/>
      <c r="M352" s="5" t="n"/>
      <c r="N352" s="10" t="n"/>
      <c r="O352" s="10" t="n"/>
      <c r="P352" s="10" t="n"/>
      <c r="Q352" s="10" t="n"/>
      <c r="R352" s="10" t="n"/>
    </row>
    <row r="353">
      <c r="A353" s="10" t="inlineStr">
        <is>
          <t>Condexsed Milk Flavour</t>
        </is>
      </c>
      <c r="B353" s="10" t="n"/>
      <c r="C353" s="10" t="n"/>
      <c r="D353" s="5" t="n"/>
      <c r="E353" s="5" t="n"/>
      <c r="F353" s="10" t="n"/>
      <c r="G353" s="5" t="n"/>
      <c r="H353" s="5" t="n"/>
      <c r="I353" s="5" t="n"/>
      <c r="J353" s="5" t="n"/>
      <c r="K353" s="10" t="inlineStr">
        <is>
          <t>Not on master list (time records)</t>
        </is>
      </c>
      <c r="L353" s="5" t="n"/>
      <c r="M353" s="5" t="n"/>
      <c r="N353" s="10" t="n"/>
      <c r="O353" s="10" t="n"/>
      <c r="P353" s="10" t="n"/>
      <c r="Q353" s="10" t="n"/>
      <c r="R353" s="10" t="n"/>
    </row>
    <row r="354">
      <c r="A354" s="10" t="inlineStr">
        <is>
          <t>Conjugated Linoleic Acid</t>
        </is>
      </c>
      <c r="B354" s="10" t="n"/>
      <c r="C354" s="10" t="n"/>
      <c r="D354" s="5" t="n"/>
      <c r="E354" s="5" t="n"/>
      <c r="F354" s="10" t="n"/>
      <c r="G354" s="5" t="n"/>
      <c r="H354" s="5" t="n"/>
      <c r="I354" s="5" t="n"/>
      <c r="J354" s="5" t="n"/>
      <c r="K354" s="10" t="inlineStr">
        <is>
          <t>Not on master list (time records)</t>
        </is>
      </c>
      <c r="L354" s="5" t="n"/>
      <c r="M354" s="5" t="n"/>
      <c r="N354" s="10" t="n"/>
      <c r="O354" s="10" t="n"/>
      <c r="P354" s="10" t="n"/>
      <c r="Q354" s="10" t="n"/>
      <c r="R354" s="10" t="n"/>
    </row>
    <row r="355">
      <c r="A355" s="10" t="inlineStr">
        <is>
          <t>Copper Sulfate</t>
        </is>
      </c>
      <c r="B355" s="10" t="n"/>
      <c r="C355" s="10" t="n"/>
      <c r="D355" s="5" t="n"/>
      <c r="E355" s="5" t="n"/>
      <c r="F355" s="10" t="n"/>
      <c r="G355" s="5" t="n"/>
      <c r="H355" s="5" t="n"/>
      <c r="I355" s="5" t="n"/>
      <c r="J355" s="5" t="n"/>
      <c r="K355" s="10" t="inlineStr">
        <is>
          <t>Not on master list (time records)</t>
        </is>
      </c>
      <c r="L355" s="5" t="n"/>
      <c r="M355" s="5" t="n"/>
      <c r="N355" s="10" t="n"/>
      <c r="O355" s="10" t="n"/>
      <c r="P355" s="10" t="n"/>
      <c r="Q355" s="10" t="n"/>
      <c r="R355" s="10" t="n"/>
    </row>
    <row r="356">
      <c r="A356" s="10" t="inlineStr">
        <is>
          <t>Corn Starch 1500 (Pergelatinized)</t>
        </is>
      </c>
      <c r="B356" s="10" t="n"/>
      <c r="C356" s="10" t="n"/>
      <c r="D356" s="5" t="n"/>
      <c r="E356" s="5" t="n"/>
      <c r="F356" s="10" t="n"/>
      <c r="G356" s="5" t="n"/>
      <c r="H356" s="5" t="n"/>
      <c r="I356" s="5" t="n"/>
      <c r="J356" s="5" t="n"/>
      <c r="K356" s="10" t="inlineStr">
        <is>
          <t>Not on master list (purchase list)</t>
        </is>
      </c>
      <c r="L356" s="5" t="n"/>
      <c r="M356" s="5" t="n"/>
      <c r="N356" s="10" t="n"/>
      <c r="O356" s="10" t="n"/>
      <c r="P356" s="10" t="n"/>
      <c r="Q356" s="10" t="n"/>
      <c r="R356" s="10" t="n"/>
    </row>
    <row r="357">
      <c r="A357" s="10" t="inlineStr">
        <is>
          <t>Corn Syrup Solid</t>
        </is>
      </c>
      <c r="B357" s="10" t="n"/>
      <c r="C357" s="10" t="n"/>
      <c r="D357" s="5" t="n"/>
      <c r="E357" s="5" t="n"/>
      <c r="F357" s="10" t="n"/>
      <c r="G357" s="5" t="n"/>
      <c r="H357" s="5" t="n"/>
      <c r="I357" s="5" t="n"/>
      <c r="J357" s="5" t="n"/>
      <c r="K357" s="10" t="inlineStr">
        <is>
          <t>Not on master list (time records)</t>
        </is>
      </c>
      <c r="L357" s="5" t="n"/>
      <c r="M357" s="5" t="n"/>
      <c r="N357" s="10" t="n"/>
      <c r="O357" s="10" t="n"/>
      <c r="P357" s="10" t="n"/>
      <c r="Q357" s="10" t="n"/>
      <c r="R357" s="10" t="n"/>
    </row>
    <row r="358">
      <c r="A358" s="10" t="inlineStr">
        <is>
          <t>Cranberry Extract</t>
        </is>
      </c>
      <c r="B358" s="10" t="n"/>
      <c r="C358" s="10" t="n"/>
      <c r="D358" s="5" t="n"/>
      <c r="E358" s="5" t="n"/>
      <c r="F358" s="10" t="n"/>
      <c r="G358" s="5" t="n"/>
      <c r="H358" s="5" t="n"/>
      <c r="I358" s="5" t="n"/>
      <c r="J358" s="5" t="n"/>
      <c r="K358" s="10" t="inlineStr">
        <is>
          <t>Not on master list (purchase list)</t>
        </is>
      </c>
      <c r="L358" s="5" t="n"/>
      <c r="M358" s="5" t="n"/>
      <c r="N358" s="10" t="n"/>
      <c r="O358" s="10" t="n"/>
      <c r="P358" s="10" t="n"/>
      <c r="Q358" s="10" t="n"/>
      <c r="R358" s="10" t="n"/>
    </row>
    <row r="359">
      <c r="A359" s="10" t="inlineStr">
        <is>
          <t>D-Mannose</t>
        </is>
      </c>
      <c r="B359" s="10" t="n"/>
      <c r="C359" s="10" t="n"/>
      <c r="D359" s="5" t="n"/>
      <c r="E359" s="5" t="n"/>
      <c r="F359" s="10" t="n"/>
      <c r="G359" s="5" t="n"/>
      <c r="H359" s="5" t="n"/>
      <c r="I359" s="5" t="n"/>
      <c r="J359" s="5" t="n"/>
      <c r="K359" s="10" t="inlineStr">
        <is>
          <t>Not on master list (time records)</t>
        </is>
      </c>
      <c r="L359" s="5" t="n"/>
      <c r="M359" s="5" t="n"/>
      <c r="N359" s="10" t="n"/>
      <c r="O359" s="10" t="n"/>
      <c r="P359" s="10" t="n"/>
      <c r="Q359" s="10" t="n"/>
      <c r="R359" s="10" t="n"/>
    </row>
    <row r="360">
      <c r="A360" s="10" t="inlineStr">
        <is>
          <t>Damiana Extract</t>
        </is>
      </c>
      <c r="B360" s="10" t="n"/>
      <c r="C360" s="10" t="n"/>
      <c r="D360" s="5" t="n"/>
      <c r="E360" s="5" t="n"/>
      <c r="F360" s="10" t="n"/>
      <c r="G360" s="5" t="n"/>
      <c r="H360" s="5" t="n"/>
      <c r="I360" s="5" t="n"/>
      <c r="J360" s="5" t="n"/>
      <c r="K360" s="10" t="inlineStr">
        <is>
          <t>Not on master list (purchase list)</t>
        </is>
      </c>
      <c r="L360" s="5" t="n"/>
      <c r="M360" s="5" t="n"/>
      <c r="N360" s="10" t="n"/>
      <c r="O360" s="10" t="n"/>
      <c r="P360" s="10" t="n"/>
      <c r="Q360" s="10" t="n"/>
      <c r="R360" s="10" t="n"/>
    </row>
    <row r="361">
      <c r="A361" s="10" t="inlineStr">
        <is>
          <t>Damiana Extract 10:1</t>
        </is>
      </c>
      <c r="B361" s="10" t="n"/>
      <c r="C361" s="10" t="n"/>
      <c r="D361" s="5" t="n"/>
      <c r="E361" s="5" t="n"/>
      <c r="F361" s="10" t="n"/>
      <c r="G361" s="5" t="n"/>
      <c r="H361" s="5" t="n"/>
      <c r="I361" s="5" t="n"/>
      <c r="J361" s="5" t="n"/>
      <c r="K361" s="10" t="inlineStr">
        <is>
          <t>Not on master list (purchase list)</t>
        </is>
      </c>
      <c r="L361" s="5" t="n"/>
      <c r="M361" s="5" t="n"/>
      <c r="N361" s="10" t="n"/>
      <c r="O361" s="10" t="n"/>
      <c r="P361" s="10" t="n"/>
      <c r="Q361" s="10" t="n"/>
      <c r="R361" s="10" t="n"/>
    </row>
    <row r="362">
      <c r="A362" s="10" t="inlineStr">
        <is>
          <t>Dapagliflozine Propanediol Monohydrate (Parsian)</t>
        </is>
      </c>
      <c r="B362" s="10" t="n"/>
      <c r="C362" s="10" t="n"/>
      <c r="D362" s="5" t="n"/>
      <c r="E362" s="5" t="n"/>
      <c r="F362" s="10" t="n"/>
      <c r="G362" s="5" t="n"/>
      <c r="H362" s="5" t="n"/>
      <c r="I362" s="5" t="n"/>
      <c r="J362" s="5" t="n"/>
      <c r="K362" s="10" t="inlineStr">
        <is>
          <t>Not on master list (time records)</t>
        </is>
      </c>
      <c r="L362" s="5" t="n"/>
      <c r="M362" s="5" t="n"/>
      <c r="N362" s="10" t="n"/>
      <c r="O362" s="10" t="n"/>
      <c r="P362" s="10" t="n">
        <v>7.18</v>
      </c>
      <c r="Q362" s="10" t="n"/>
      <c r="R362" s="10" t="n"/>
    </row>
    <row r="363">
      <c r="A363" s="10" t="inlineStr">
        <is>
          <t>DermoBella Marketing Sachet</t>
        </is>
      </c>
      <c r="B363" s="10" t="n"/>
      <c r="C363" s="10" t="n"/>
      <c r="D363" s="5" t="n"/>
      <c r="E363" s="5" t="n"/>
      <c r="F363" s="10" t="n"/>
      <c r="G363" s="5" t="n"/>
      <c r="H363" s="5" t="n"/>
      <c r="I363" s="5" t="n"/>
      <c r="J363" s="5" t="n"/>
      <c r="K363" s="10" t="inlineStr">
        <is>
          <t>Not on master list (time records)</t>
        </is>
      </c>
      <c r="L363" s="5" t="n"/>
      <c r="M363" s="5" t="n"/>
      <c r="N363" s="10" t="n"/>
      <c r="O363" s="10" t="n"/>
      <c r="P363" s="10" t="n"/>
      <c r="Q363" s="10" t="n"/>
      <c r="R363" s="10" t="n"/>
    </row>
    <row r="364">
      <c r="A364" s="10" t="inlineStr">
        <is>
          <t>Devil's Claw</t>
        </is>
      </c>
      <c r="B364" s="10" t="n"/>
      <c r="C364" s="10" t="n"/>
      <c r="D364" s="5" t="n"/>
      <c r="E364" s="5" t="n"/>
      <c r="F364" s="10" t="n"/>
      <c r="G364" s="5" t="n"/>
      <c r="H364" s="5" t="n"/>
      <c r="I364" s="5" t="n"/>
      <c r="J364" s="5" t="n"/>
      <c r="K364" s="10" t="inlineStr">
        <is>
          <t>Not on master list (purchase list)</t>
        </is>
      </c>
      <c r="L364" s="5" t="n"/>
      <c r="M364" s="5" t="n"/>
      <c r="N364" s="10" t="n"/>
      <c r="O364" s="10" t="n"/>
      <c r="P364" s="10" t="n"/>
      <c r="Q364" s="10" t="n"/>
      <c r="R364" s="10" t="n"/>
    </row>
    <row r="365">
      <c r="A365" s="10" t="inlineStr">
        <is>
          <t>Dexlansoprazole Pellets 22.5 %</t>
        </is>
      </c>
      <c r="B365" s="10" t="n"/>
      <c r="C365" s="10" t="n"/>
      <c r="D365" s="5" t="n"/>
      <c r="E365" s="5" t="n"/>
      <c r="F365" s="10" t="n"/>
      <c r="G365" s="5" t="n"/>
      <c r="H365" s="5" t="n"/>
      <c r="I365" s="5" t="n"/>
      <c r="J365" s="5" t="n"/>
      <c r="K365" s="10" t="inlineStr">
        <is>
          <t>Not on master list (time records)</t>
        </is>
      </c>
      <c r="L365" s="5" t="n"/>
      <c r="M365" s="5" t="n"/>
      <c r="N365" s="10" t="n"/>
      <c r="O365" s="10" t="n"/>
      <c r="P365" s="10" t="n"/>
      <c r="Q365" s="10" t="n"/>
      <c r="R365" s="10" t="n"/>
    </row>
    <row r="366">
      <c r="A366" s="10" t="inlineStr">
        <is>
          <t>Dextromethorphan Hydrobromide</t>
        </is>
      </c>
      <c r="B366" s="10" t="n"/>
      <c r="C366" s="10" t="n"/>
      <c r="D366" s="5" t="n"/>
      <c r="E366" s="5" t="n"/>
      <c r="F366" s="10" t="n"/>
      <c r="G366" s="5" t="n"/>
      <c r="H366" s="5" t="n"/>
      <c r="I366" s="5" t="n"/>
      <c r="J366" s="5" t="n"/>
      <c r="K366" s="10" t="inlineStr">
        <is>
          <t>Not on master list (purchase list)</t>
        </is>
      </c>
      <c r="L366" s="5" t="n"/>
      <c r="M366" s="5" t="n"/>
      <c r="N366" s="10" t="n"/>
      <c r="O366" s="10" t="n"/>
      <c r="P366" s="10" t="n"/>
      <c r="Q366" s="10" t="n"/>
      <c r="R366" s="10" t="n"/>
    </row>
    <row r="367">
      <c r="A367" s="10" t="inlineStr">
        <is>
          <t>Dicalcium Phosphat Anhydrous</t>
        </is>
      </c>
      <c r="B367" s="10" t="n"/>
      <c r="C367" s="10" t="n"/>
      <c r="D367" s="5" t="n"/>
      <c r="E367" s="5" t="n"/>
      <c r="F367" s="10" t="n"/>
      <c r="G367" s="5" t="n"/>
      <c r="H367" s="5" t="n"/>
      <c r="I367" s="5" t="n"/>
      <c r="J367" s="5" t="n"/>
      <c r="K367" s="10" t="inlineStr">
        <is>
          <t>Not on master list (time records)</t>
        </is>
      </c>
      <c r="L367" s="5" t="n"/>
      <c r="M367" s="5" t="n"/>
      <c r="N367" s="10" t="n"/>
      <c r="O367" s="10" t="n"/>
      <c r="P367" s="10" t="n"/>
      <c r="Q367" s="10" t="n"/>
      <c r="R367" s="10" t="n"/>
    </row>
    <row r="368">
      <c r="A368" s="10" t="inlineStr">
        <is>
          <t>Dicalcium Phosphate (Calcium Hydrogen Phosphate )</t>
        </is>
      </c>
      <c r="B368" s="10" t="n"/>
      <c r="C368" s="10" t="n"/>
      <c r="D368" s="5" t="n"/>
      <c r="E368" s="5" t="n"/>
      <c r="F368" s="10" t="n"/>
      <c r="G368" s="5" t="n"/>
      <c r="H368" s="5" t="n"/>
      <c r="I368" s="5" t="n"/>
      <c r="J368" s="5" t="n"/>
      <c r="K368" s="10" t="inlineStr">
        <is>
          <t>Not on master list (purchase list)</t>
        </is>
      </c>
      <c r="L368" s="5" t="n"/>
      <c r="M368" s="5" t="n"/>
      <c r="N368" s="10" t="n"/>
      <c r="O368" s="10" t="n"/>
      <c r="P368" s="10" t="n"/>
      <c r="Q368" s="10" t="n"/>
      <c r="R368" s="10" t="n"/>
    </row>
    <row r="369">
      <c r="A369" s="10" t="inlineStr">
        <is>
          <t>Digestive Aid Marketing Sachet</t>
        </is>
      </c>
      <c r="B369" s="10" t="n"/>
      <c r="C369" s="10" t="n"/>
      <c r="D369" s="5" t="n"/>
      <c r="E369" s="5" t="n"/>
      <c r="F369" s="10" t="n"/>
      <c r="G369" s="5" t="n"/>
      <c r="H369" s="5" t="n"/>
      <c r="I369" s="5" t="n"/>
      <c r="J369" s="5" t="n"/>
      <c r="K369" s="10" t="inlineStr">
        <is>
          <t>Not on master list (time records)</t>
        </is>
      </c>
      <c r="L369" s="5" t="n"/>
      <c r="M369" s="5" t="n"/>
      <c r="N369" s="10" t="n"/>
      <c r="O369" s="10" t="n"/>
      <c r="P369" s="10" t="n"/>
      <c r="Q369" s="10" t="n"/>
      <c r="R369" s="10" t="n"/>
    </row>
    <row r="370">
      <c r="A370" s="10" t="inlineStr">
        <is>
          <t>Digestive Enzyme Blended</t>
        </is>
      </c>
      <c r="B370" s="10" t="n"/>
      <c r="C370" s="10" t="n"/>
      <c r="D370" s="5" t="n"/>
      <c r="E370" s="5" t="n"/>
      <c r="F370" s="10" t="n"/>
      <c r="G370" s="5" t="n"/>
      <c r="H370" s="5" t="n"/>
      <c r="I370" s="5" t="n"/>
      <c r="J370" s="5" t="n"/>
      <c r="K370" s="10" t="inlineStr">
        <is>
          <t>Not on master list (time records)</t>
        </is>
      </c>
      <c r="L370" s="5" t="n"/>
      <c r="M370" s="5" t="n"/>
      <c r="N370" s="10" t="n"/>
      <c r="O370" s="10" t="n"/>
      <c r="P370" s="10" t="n"/>
      <c r="Q370" s="10" t="n"/>
      <c r="R370" s="10" t="n"/>
    </row>
    <row r="371">
      <c r="A371" s="10" t="inlineStr">
        <is>
          <t>DIsodium Phosphate Dihydrate</t>
        </is>
      </c>
      <c r="B371" s="10" t="n"/>
      <c r="C371" s="10" t="n"/>
      <c r="D371" s="5" t="n"/>
      <c r="E371" s="5" t="n"/>
      <c r="F371" s="10" t="n"/>
      <c r="G371" s="5" t="n"/>
      <c r="H371" s="5" t="n"/>
      <c r="I371" s="5" t="n"/>
      <c r="J371" s="5" t="n"/>
      <c r="K371" s="10" t="inlineStr">
        <is>
          <t>Not on master list (time records)</t>
        </is>
      </c>
      <c r="L371" s="5" t="n"/>
      <c r="M371" s="5" t="n"/>
      <c r="N371" s="10" t="n"/>
      <c r="O371" s="10" t="n"/>
      <c r="P371" s="10" t="n"/>
      <c r="Q371" s="10" t="n"/>
      <c r="R371" s="10" t="n"/>
    </row>
    <row r="372">
      <c r="A372" s="10" t="inlineStr">
        <is>
          <t>Divalproex sodium</t>
        </is>
      </c>
      <c r="B372" s="10" t="n"/>
      <c r="C372" s="10" t="n"/>
      <c r="D372" s="5" t="n"/>
      <c r="E372" s="5" t="n"/>
      <c r="F372" s="10" t="n"/>
      <c r="G372" s="5" t="n"/>
      <c r="H372" s="5" t="n"/>
      <c r="I372" s="5" t="n"/>
      <c r="J372" s="5" t="n"/>
      <c r="K372" s="10" t="inlineStr">
        <is>
          <t>Not on master list (time records)</t>
        </is>
      </c>
      <c r="L372" s="5" t="n"/>
      <c r="M372" s="5" t="n"/>
      <c r="N372" s="10" t="n"/>
      <c r="O372" s="10" t="n"/>
      <c r="P372" s="10" t="n"/>
      <c r="Q372" s="10" t="n"/>
      <c r="R372" s="10" t="n"/>
    </row>
    <row r="373">
      <c r="A373" s="10" t="inlineStr">
        <is>
          <t>Dulaglutide</t>
        </is>
      </c>
      <c r="B373" s="10" t="n"/>
      <c r="C373" s="10" t="n"/>
      <c r="D373" s="5" t="n"/>
      <c r="E373" s="5" t="n"/>
      <c r="F373" s="10" t="n"/>
      <c r="G373" s="5" t="n"/>
      <c r="H373" s="5" t="n"/>
      <c r="I373" s="5" t="n"/>
      <c r="J373" s="5" t="n"/>
      <c r="K373" s="10" t="inlineStr">
        <is>
          <t>Not on master list (time records)</t>
        </is>
      </c>
      <c r="L373" s="5" t="n"/>
      <c r="M373" s="5" t="n"/>
      <c r="N373" s="10" t="n"/>
      <c r="O373" s="10" t="n"/>
      <c r="P373" s="10" t="n"/>
      <c r="Q373" s="10" t="n"/>
      <c r="R373" s="10" t="n"/>
    </row>
    <row r="374">
      <c r="A374" s="10" t="inlineStr">
        <is>
          <t>Echinacea purpurea L</t>
        </is>
      </c>
      <c r="B374" s="10" t="n"/>
      <c r="C374" s="10" t="n"/>
      <c r="D374" s="5" t="n"/>
      <c r="E374" s="5" t="n"/>
      <c r="F374" s="10" t="n"/>
      <c r="G374" s="5" t="n"/>
      <c r="H374" s="5" t="n"/>
      <c r="I374" s="5" t="n"/>
      <c r="J374" s="5" t="n"/>
      <c r="K374" s="10" t="inlineStr">
        <is>
          <t>Not on master list (purchase list)</t>
        </is>
      </c>
      <c r="L374" s="5" t="n"/>
      <c r="M374" s="5" t="n"/>
      <c r="N374" s="10" t="n"/>
      <c r="O374" s="10" t="n"/>
      <c r="P374" s="10" t="n"/>
      <c r="Q374" s="10" t="n"/>
      <c r="R374" s="10" t="n"/>
    </row>
    <row r="375">
      <c r="A375" s="10" t="inlineStr">
        <is>
          <t>Empty Hard Gelatin Capsule Shell</t>
        </is>
      </c>
      <c r="B375" s="10" t="n"/>
      <c r="C375" s="10" t="n"/>
      <c r="D375" s="5" t="n"/>
      <c r="E375" s="5" t="n"/>
      <c r="F375" s="10" t="n"/>
      <c r="G375" s="5" t="n"/>
      <c r="H375" s="5" t="n"/>
      <c r="I375" s="5" t="n"/>
      <c r="J375" s="5" t="n"/>
      <c r="K375" s="10" t="inlineStr">
        <is>
          <t>Not on master list (purchase list)</t>
        </is>
      </c>
      <c r="L375" s="5" t="n"/>
      <c r="M375" s="5" t="n"/>
      <c r="N375" s="10" t="n"/>
      <c r="O375" s="10" t="n"/>
      <c r="P375" s="10" t="n"/>
      <c r="Q375" s="10" t="n"/>
      <c r="R375" s="10" t="n"/>
    </row>
    <row r="376">
      <c r="A376" s="10" t="inlineStr">
        <is>
          <t>EnergX Marketing Sachet</t>
        </is>
      </c>
      <c r="B376" s="10" t="n"/>
      <c r="C376" s="10" t="n"/>
      <c r="D376" s="5" t="n"/>
      <c r="E376" s="5" t="n"/>
      <c r="F376" s="10" t="n"/>
      <c r="G376" s="5" t="n"/>
      <c r="H376" s="5" t="n"/>
      <c r="I376" s="5" t="n"/>
      <c r="J376" s="5" t="n"/>
      <c r="K376" s="10" t="inlineStr">
        <is>
          <t>Not on master list (time records)</t>
        </is>
      </c>
      <c r="L376" s="5" t="n"/>
      <c r="M376" s="5" t="n"/>
      <c r="N376" s="10" t="n"/>
      <c r="O376" s="10" t="n"/>
      <c r="P376" s="10" t="n"/>
      <c r="Q376" s="10" t="n"/>
      <c r="R376" s="10" t="n"/>
    </row>
    <row r="377">
      <c r="A377" s="10" t="inlineStr">
        <is>
          <t>Enzalutamide</t>
        </is>
      </c>
      <c r="B377" s="10" t="n"/>
      <c r="C377" s="10" t="n"/>
      <c r="D377" s="5" t="n"/>
      <c r="E377" s="5" t="n"/>
      <c r="F377" s="10" t="n"/>
      <c r="G377" s="5" t="n"/>
      <c r="H377" s="5" t="n"/>
      <c r="I377" s="5" t="n"/>
      <c r="J377" s="5" t="n"/>
      <c r="K377" s="10" t="inlineStr">
        <is>
          <t>Not on master list (time records)</t>
        </is>
      </c>
      <c r="L377" s="5" t="n"/>
      <c r="M377" s="5" t="n"/>
      <c r="N377" s="10" t="n"/>
      <c r="O377" s="10" t="n"/>
      <c r="P377" s="10" t="n"/>
      <c r="Q377" s="10" t="n"/>
      <c r="R377" s="10" t="n"/>
    </row>
    <row r="378">
      <c r="A378" s="10" t="inlineStr">
        <is>
          <t>Epimedium Extract</t>
        </is>
      </c>
      <c r="B378" s="10" t="n"/>
      <c r="C378" s="10" t="n"/>
      <c r="D378" s="5" t="n"/>
      <c r="E378" s="5" t="n"/>
      <c r="F378" s="10" t="n"/>
      <c r="G378" s="5" t="n"/>
      <c r="H378" s="5" t="n"/>
      <c r="I378" s="5" t="n"/>
      <c r="J378" s="5" t="n"/>
      <c r="K378" s="10" t="inlineStr">
        <is>
          <t>Not on master list (purchase list)</t>
        </is>
      </c>
      <c r="L378" s="5" t="n"/>
      <c r="M378" s="5" t="n"/>
      <c r="N378" s="10" t="n"/>
      <c r="O378" s="10" t="n"/>
      <c r="P378" s="10" t="n"/>
      <c r="Q378" s="10" t="n"/>
      <c r="R378" s="10" t="n"/>
    </row>
    <row r="379">
      <c r="A379" s="10" t="inlineStr">
        <is>
          <t>Ertuglifluzin L-Pyroglutamin Acid</t>
        </is>
      </c>
      <c r="B379" s="10" t="n"/>
      <c r="C379" s="10" t="n"/>
      <c r="D379" s="5" t="n"/>
      <c r="E379" s="5" t="n"/>
      <c r="F379" s="10" t="n"/>
      <c r="G379" s="5" t="n"/>
      <c r="H379" s="5" t="n"/>
      <c r="I379" s="5" t="n"/>
      <c r="J379" s="5" t="n"/>
      <c r="K379" s="10" t="inlineStr">
        <is>
          <t>Not on master list (time records)</t>
        </is>
      </c>
      <c r="L379" s="5" t="n"/>
      <c r="M379" s="5" t="n"/>
      <c r="N379" s="10" t="n"/>
      <c r="O379" s="10" t="n"/>
      <c r="P379" s="10" t="n"/>
      <c r="Q379" s="10" t="n"/>
      <c r="R379" s="10" t="n"/>
    </row>
    <row r="380">
      <c r="A380" s="10" t="inlineStr">
        <is>
          <t>Ethyl Vanillin</t>
        </is>
      </c>
      <c r="B380" s="10" t="n"/>
      <c r="C380" s="10" t="n"/>
      <c r="D380" s="5" t="n"/>
      <c r="E380" s="5" t="n"/>
      <c r="F380" s="10" t="n"/>
      <c r="G380" s="5" t="n"/>
      <c r="H380" s="5" t="n"/>
      <c r="I380" s="5" t="n"/>
      <c r="J380" s="5" t="n"/>
      <c r="K380" s="10" t="inlineStr">
        <is>
          <t>Not on master list (time records)</t>
        </is>
      </c>
      <c r="L380" s="5" t="n"/>
      <c r="M380" s="5" t="n"/>
      <c r="N380" s="10" t="n"/>
      <c r="O380" s="10" t="n"/>
      <c r="P380" s="10" t="n"/>
      <c r="Q380" s="10" t="n"/>
      <c r="R380" s="10" t="n"/>
    </row>
    <row r="381">
      <c r="A381" s="10" t="inlineStr">
        <is>
          <t>Eucalyptus Flovour</t>
        </is>
      </c>
      <c r="B381" s="10" t="n"/>
      <c r="C381" s="10" t="n"/>
      <c r="D381" s="5" t="n"/>
      <c r="E381" s="5" t="n"/>
      <c r="F381" s="10" t="n"/>
      <c r="G381" s="5" t="n"/>
      <c r="H381" s="5" t="n"/>
      <c r="I381" s="5" t="n"/>
      <c r="J381" s="5" t="n"/>
      <c r="K381" s="10" t="inlineStr">
        <is>
          <t>Not on master list (time records)</t>
        </is>
      </c>
      <c r="L381" s="5" t="n"/>
      <c r="M381" s="5" t="n"/>
      <c r="N381" s="10" t="n"/>
      <c r="O381" s="10" t="n"/>
      <c r="P381" s="10" t="n"/>
      <c r="Q381" s="10" t="n"/>
      <c r="R381" s="10" t="n"/>
    </row>
    <row r="382">
      <c r="A382" s="10" t="inlineStr">
        <is>
          <t>Eudragit</t>
        </is>
      </c>
      <c r="B382" s="10" t="n"/>
      <c r="C382" s="10" t="n"/>
      <c r="D382" s="5" t="n"/>
      <c r="E382" s="5" t="n"/>
      <c r="F382" s="10" t="n"/>
      <c r="G382" s="5" t="n"/>
      <c r="H382" s="5" t="n"/>
      <c r="I382" s="5" t="n"/>
      <c r="J382" s="5" t="n"/>
      <c r="K382" s="10" t="inlineStr">
        <is>
          <t>Not on master list (purchase list)</t>
        </is>
      </c>
      <c r="L382" s="5" t="n"/>
      <c r="M382" s="5" t="n"/>
      <c r="N382" s="10" t="n"/>
      <c r="O382" s="10" t="n"/>
      <c r="P382" s="10" t="n"/>
      <c r="Q382" s="10" t="n"/>
      <c r="R382" s="10" t="n"/>
    </row>
    <row r="383">
      <c r="A383" s="10" t="inlineStr">
        <is>
          <t>Evening Primrose Oil</t>
        </is>
      </c>
      <c r="B383" s="10" t="n"/>
      <c r="C383" s="10" t="n"/>
      <c r="D383" s="5" t="n"/>
      <c r="E383" s="5" t="n"/>
      <c r="F383" s="10" t="n"/>
      <c r="G383" s="5" t="n"/>
      <c r="H383" s="5" t="n"/>
      <c r="I383" s="5" t="n"/>
      <c r="J383" s="5" t="n"/>
      <c r="K383" s="10" t="inlineStr">
        <is>
          <t>Not on master list (time records)</t>
        </is>
      </c>
      <c r="L383" s="5" t="n"/>
      <c r="M383" s="5" t="n"/>
      <c r="N383" s="10" t="n"/>
      <c r="O383" s="10" t="n"/>
      <c r="P383" s="10" t="n"/>
      <c r="Q383" s="10" t="n"/>
      <c r="R383" s="10" t="n"/>
    </row>
    <row r="384">
      <c r="A384" s="10" t="inlineStr">
        <is>
          <t>Famotidine</t>
        </is>
      </c>
      <c r="B384" s="10" t="n"/>
      <c r="C384" s="10" t="n"/>
      <c r="D384" s="5" t="n"/>
      <c r="E384" s="5" t="n"/>
      <c r="F384" s="10" t="n"/>
      <c r="G384" s="5" t="n"/>
      <c r="H384" s="5" t="n"/>
      <c r="I384" s="5" t="n"/>
      <c r="J384" s="5" t="n"/>
      <c r="K384" s="10" t="inlineStr">
        <is>
          <t>Not on master list (time records)</t>
        </is>
      </c>
      <c r="L384" s="5" t="n"/>
      <c r="M384" s="5" t="n"/>
      <c r="N384" s="10" t="n"/>
      <c r="O384" s="10" t="n"/>
      <c r="P384" s="10" t="n"/>
      <c r="Q384" s="10" t="n"/>
      <c r="R384" s="10" t="n"/>
    </row>
    <row r="385">
      <c r="A385" s="10" t="inlineStr">
        <is>
          <t>FD&amp;C Blue dye No.1</t>
        </is>
      </c>
      <c r="B385" s="10" t="n"/>
      <c r="C385" s="10" t="n"/>
      <c r="D385" s="5" t="n"/>
      <c r="E385" s="5" t="n"/>
      <c r="F385" s="10" t="n"/>
      <c r="G385" s="5" t="n"/>
      <c r="H385" s="5" t="n"/>
      <c r="I385" s="5" t="n"/>
      <c r="J385" s="5" t="n"/>
      <c r="K385" s="10" t="inlineStr">
        <is>
          <t>Not on master list (time records)</t>
        </is>
      </c>
      <c r="L385" s="5" t="n"/>
      <c r="M385" s="5" t="n"/>
      <c r="N385" s="10" t="n"/>
      <c r="O385" s="10" t="n"/>
      <c r="P385" s="10" t="n"/>
      <c r="Q385" s="10" t="n"/>
      <c r="R385" s="10" t="n"/>
    </row>
    <row r="386">
      <c r="A386" s="10" t="inlineStr">
        <is>
          <t>FD&amp;C Red NO.40</t>
        </is>
      </c>
      <c r="B386" s="10" t="n"/>
      <c r="C386" s="10" t="n"/>
      <c r="D386" s="5" t="n"/>
      <c r="E386" s="5" t="n"/>
      <c r="F386" s="10" t="n"/>
      <c r="G386" s="5" t="n"/>
      <c r="H386" s="5" t="n"/>
      <c r="I386" s="5" t="n"/>
      <c r="J386" s="5" t="n"/>
      <c r="K386" s="10" t="inlineStr">
        <is>
          <t>Not on master list (purchase list)</t>
        </is>
      </c>
      <c r="L386" s="5" t="n"/>
      <c r="M386" s="5" t="n"/>
      <c r="N386" s="10" t="n"/>
      <c r="O386" s="10" t="n"/>
      <c r="P386" s="10" t="n"/>
      <c r="Q386" s="10" t="n"/>
      <c r="R386" s="10" t="n"/>
    </row>
    <row r="387">
      <c r="A387" s="10" t="inlineStr">
        <is>
          <t>FD&amp;C RED No.40-ALLURA RED( E129)</t>
        </is>
      </c>
      <c r="B387" s="10" t="n"/>
      <c r="C387" s="10" t="n"/>
      <c r="D387" s="5" t="n"/>
      <c r="E387" s="5" t="n"/>
      <c r="F387" s="10" t="n"/>
      <c r="G387" s="5" t="n"/>
      <c r="H387" s="5" t="n"/>
      <c r="I387" s="5" t="n"/>
      <c r="J387" s="5" t="n"/>
      <c r="K387" s="10" t="inlineStr">
        <is>
          <t>Not on master list (purchase list)</t>
        </is>
      </c>
      <c r="L387" s="5" t="n"/>
      <c r="M387" s="5" t="n"/>
      <c r="N387" s="10" t="n"/>
      <c r="O387" s="10" t="n"/>
      <c r="P387" s="10" t="n"/>
      <c r="Q387" s="10" t="n"/>
      <c r="R387" s="10" t="n"/>
    </row>
    <row r="388">
      <c r="A388" s="10" t="inlineStr">
        <is>
          <t>Fennel Seed Extract</t>
        </is>
      </c>
      <c r="B388" s="10" t="n"/>
      <c r="C388" s="10" t="n"/>
      <c r="D388" s="5" t="n"/>
      <c r="E388" s="5" t="n"/>
      <c r="F388" s="10" t="n"/>
      <c r="G388" s="5" t="n"/>
      <c r="H388" s="5" t="n"/>
      <c r="I388" s="5" t="n"/>
      <c r="J388" s="5" t="n"/>
      <c r="K388" s="10" t="inlineStr">
        <is>
          <t>Not on master list (purchase list)</t>
        </is>
      </c>
      <c r="L388" s="5" t="n"/>
      <c r="M388" s="5" t="n"/>
      <c r="N388" s="10" t="n"/>
      <c r="O388" s="10" t="n"/>
      <c r="P388" s="10" t="n"/>
      <c r="Q388" s="10" t="n"/>
      <c r="R388" s="10" t="n"/>
    </row>
    <row r="389">
      <c r="A389" s="10" t="inlineStr">
        <is>
          <t>Feroral Marketing Sachet</t>
        </is>
      </c>
      <c r="B389" s="10" t="n"/>
      <c r="C389" s="10" t="n"/>
      <c r="D389" s="5" t="n"/>
      <c r="E389" s="5" t="n"/>
      <c r="F389" s="10" t="n"/>
      <c r="G389" s="5" t="n"/>
      <c r="H389" s="5" t="n"/>
      <c r="I389" s="5" t="n"/>
      <c r="J389" s="5" t="n"/>
      <c r="K389" s="10" t="inlineStr">
        <is>
          <t>Not on master list (time records)</t>
        </is>
      </c>
      <c r="L389" s="5" t="n"/>
      <c r="M389" s="5" t="n"/>
      <c r="N389" s="10" t="n"/>
      <c r="O389" s="10" t="n"/>
      <c r="P389" s="10" t="n"/>
      <c r="Q389" s="10" t="n"/>
      <c r="R389" s="10" t="n"/>
    </row>
    <row r="390">
      <c r="A390" s="10" t="inlineStr">
        <is>
          <t>Ferrous Bisglycinate20 mg+Vitamin C90mg+Vitamin B12 0.0027mg+ Vitamin B6 1.3mg +Folic Acid0.4mg  Pellets</t>
        </is>
      </c>
      <c r="B390" s="10" t="n"/>
      <c r="C390" s="10" t="n"/>
      <c r="D390" s="5" t="n"/>
      <c r="E390" s="5" t="n"/>
      <c r="F390" s="10" t="n"/>
      <c r="G390" s="5" t="n"/>
      <c r="H390" s="5" t="n"/>
      <c r="I390" s="5" t="n"/>
      <c r="J390" s="5" t="n"/>
      <c r="K390" s="10" t="inlineStr">
        <is>
          <t>Not on master list (time records)</t>
        </is>
      </c>
      <c r="L390" s="5" t="n"/>
      <c r="M390" s="5" t="n"/>
      <c r="N390" s="10" t="n"/>
      <c r="O390" s="10" t="n"/>
      <c r="P390" s="10" t="n"/>
      <c r="Q390" s="10" t="n"/>
      <c r="R390" s="10" t="n"/>
    </row>
    <row r="391">
      <c r="A391" s="10" t="inlineStr">
        <is>
          <t>Fisetin</t>
        </is>
      </c>
      <c r="B391" s="10" t="n"/>
      <c r="C391" s="10" t="n"/>
      <c r="D391" s="5" t="n"/>
      <c r="E391" s="5" t="n"/>
      <c r="F391" s="10" t="n"/>
      <c r="G391" s="5" t="n"/>
      <c r="H391" s="5" t="n"/>
      <c r="I391" s="5" t="n"/>
      <c r="J391" s="5" t="n"/>
      <c r="K391" s="10" t="inlineStr">
        <is>
          <t>Not on master list (time records)</t>
        </is>
      </c>
      <c r="L391" s="5" t="n"/>
      <c r="M391" s="5" t="n"/>
      <c r="N391" s="10" t="n"/>
      <c r="O391" s="10" t="n"/>
      <c r="P391" s="10" t="n"/>
      <c r="Q391" s="10" t="n"/>
      <c r="R391" s="10" t="n"/>
    </row>
    <row r="392">
      <c r="A392" s="10" t="inlineStr">
        <is>
          <t>Fish Collagen Powder</t>
        </is>
      </c>
      <c r="B392" s="10" t="n"/>
      <c r="C392" s="10" t="n"/>
      <c r="D392" s="5" t="n"/>
      <c r="E392" s="5" t="n"/>
      <c r="F392" s="10" t="n"/>
      <c r="G392" s="5" t="n"/>
      <c r="H392" s="5" t="n"/>
      <c r="I392" s="5" t="n"/>
      <c r="J392" s="5" t="n"/>
      <c r="K392" s="10" t="inlineStr">
        <is>
          <t>Not on master list (time records)</t>
        </is>
      </c>
      <c r="L392" s="5" t="n"/>
      <c r="M392" s="5" t="n"/>
      <c r="N392" s="10" t="n"/>
      <c r="O392" s="10" t="n"/>
      <c r="P392" s="10" t="n"/>
      <c r="Q392" s="10" t="n"/>
      <c r="R392" s="10" t="n"/>
    </row>
    <row r="393">
      <c r="A393" s="10" t="inlineStr">
        <is>
          <t>Fish Ext.</t>
        </is>
      </c>
      <c r="B393" s="10" t="n"/>
      <c r="C393" s="10" t="n"/>
      <c r="D393" s="5" t="n"/>
      <c r="E393" s="5" t="n"/>
      <c r="F393" s="10" t="n"/>
      <c r="G393" s="5" t="n"/>
      <c r="H393" s="5" t="n"/>
      <c r="I393" s="5" t="n"/>
      <c r="J393" s="5" t="n"/>
      <c r="K393" s="10" t="inlineStr">
        <is>
          <t>Not on master list (time records)</t>
        </is>
      </c>
      <c r="L393" s="5" t="n"/>
      <c r="M393" s="5" t="n"/>
      <c r="N393" s="10" t="n"/>
      <c r="O393" s="10" t="n"/>
      <c r="P393" s="10" t="n"/>
      <c r="Q393" s="10" t="n"/>
      <c r="R393" s="10" t="n"/>
    </row>
    <row r="394">
      <c r="A394" s="10" t="inlineStr">
        <is>
          <t>Fish Oil (Omega 3)</t>
        </is>
      </c>
      <c r="B394" s="10" t="n"/>
      <c r="C394" s="10" t="n"/>
      <c r="D394" s="5" t="n"/>
      <c r="E394" s="5" t="n"/>
      <c r="F394" s="10" t="n"/>
      <c r="G394" s="5" t="n"/>
      <c r="H394" s="5" t="n"/>
      <c r="I394" s="5" t="n"/>
      <c r="J394" s="5" t="n"/>
      <c r="K394" s="10" t="inlineStr">
        <is>
          <t>Not on master list (purchase list)</t>
        </is>
      </c>
      <c r="L394" s="5" t="n"/>
      <c r="M394" s="5" t="n"/>
      <c r="N394" s="10" t="n"/>
      <c r="O394" s="10" t="n"/>
      <c r="P394" s="10" t="n"/>
      <c r="Q394" s="10" t="n"/>
      <c r="R394" s="10" t="n"/>
    </row>
    <row r="395">
      <c r="A395" s="10" t="inlineStr">
        <is>
          <t>Flax Seeds</t>
        </is>
      </c>
      <c r="B395" s="10" t="n"/>
      <c r="C395" s="10" t="n"/>
      <c r="D395" s="5" t="n"/>
      <c r="E395" s="5" t="n"/>
      <c r="F395" s="10" t="n"/>
      <c r="G395" s="5" t="n"/>
      <c r="H395" s="5" t="n"/>
      <c r="I395" s="5" t="n"/>
      <c r="J395" s="5" t="n"/>
      <c r="K395" s="10" t="inlineStr">
        <is>
          <t>Not on master list (purchase list)</t>
        </is>
      </c>
      <c r="L395" s="5" t="n"/>
      <c r="M395" s="5" t="n"/>
      <c r="N395" s="10" t="n"/>
      <c r="O395" s="10" t="n"/>
      <c r="P395" s="10" t="n"/>
      <c r="Q395" s="10" t="n"/>
      <c r="R395" s="10" t="n"/>
    </row>
    <row r="396">
      <c r="A396" s="10" t="inlineStr">
        <is>
          <t>Flax Seeds Extract</t>
        </is>
      </c>
      <c r="B396" s="10" t="n"/>
      <c r="C396" s="10" t="n"/>
      <c r="D396" s="5" t="n"/>
      <c r="E396" s="5" t="n"/>
      <c r="F396" s="10" t="n"/>
      <c r="G396" s="5" t="n"/>
      <c r="H396" s="5" t="n"/>
      <c r="I396" s="5" t="n"/>
      <c r="J396" s="5" t="n"/>
      <c r="K396" s="10" t="inlineStr">
        <is>
          <t>Not on master list (purchase list)</t>
        </is>
      </c>
      <c r="L396" s="5" t="n"/>
      <c r="M396" s="5" t="n"/>
      <c r="N396" s="10" t="n"/>
      <c r="O396" s="10" t="n"/>
      <c r="P396" s="10" t="n"/>
      <c r="Q396" s="10" t="n"/>
      <c r="R396" s="10" t="n"/>
    </row>
    <row r="397">
      <c r="A397" s="10" t="inlineStr">
        <is>
          <t>Flax Seeds Extract-Omega 3</t>
        </is>
      </c>
      <c r="B397" s="10" t="n"/>
      <c r="C397" s="10" t="n"/>
      <c r="D397" s="5" t="n"/>
      <c r="E397" s="5" t="n"/>
      <c r="F397" s="10" t="n"/>
      <c r="G397" s="5" t="n"/>
      <c r="H397" s="5" t="n"/>
      <c r="I397" s="5" t="n"/>
      <c r="J397" s="5" t="n"/>
      <c r="K397" s="10" t="inlineStr">
        <is>
          <t>Not on master list (purchase list)</t>
        </is>
      </c>
      <c r="L397" s="5" t="n"/>
      <c r="M397" s="5" t="n"/>
      <c r="N397" s="10" t="n"/>
      <c r="O397" s="10" t="n"/>
      <c r="P397" s="10" t="n"/>
      <c r="Q397" s="10" t="n"/>
      <c r="R397" s="10" t="n"/>
    </row>
    <row r="398">
      <c r="A398" s="10" t="inlineStr">
        <is>
          <t>Fluticasone Valerate</t>
        </is>
      </c>
      <c r="B398" s="10" t="n"/>
      <c r="C398" s="10" t="n"/>
      <c r="D398" s="5" t="n"/>
      <c r="E398" s="5" t="n"/>
      <c r="F398" s="10" t="n"/>
      <c r="G398" s="5" t="n"/>
      <c r="H398" s="5" t="n"/>
      <c r="I398" s="5" t="n"/>
      <c r="J398" s="5" t="n"/>
      <c r="K398" s="10" t="inlineStr">
        <is>
          <t>Not on master list (time records)</t>
        </is>
      </c>
      <c r="L398" s="5" t="n"/>
      <c r="M398" s="5" t="n"/>
      <c r="N398" s="10" t="n"/>
      <c r="O398" s="10" t="n"/>
      <c r="P398" s="10" t="n"/>
      <c r="Q398" s="10" t="n"/>
      <c r="R398" s="10" t="n"/>
    </row>
    <row r="399">
      <c r="A399" s="10" t="inlineStr">
        <is>
          <t>Foil Brinux 90</t>
        </is>
      </c>
      <c r="B399" s="10" t="n"/>
      <c r="C399" s="10" t="n"/>
      <c r="D399" s="5" t="n"/>
      <c r="E399" s="5" t="n"/>
      <c r="F399" s="10" t="n"/>
      <c r="G399" s="5" t="n"/>
      <c r="H399" s="5" t="n"/>
      <c r="I399" s="5" t="n"/>
      <c r="J399" s="5" t="n"/>
      <c r="K399" s="10" t="inlineStr">
        <is>
          <t>Not on master list (purchase list)</t>
        </is>
      </c>
      <c r="L399" s="5" t="n"/>
      <c r="M399" s="5" t="n"/>
      <c r="N399" s="10" t="n"/>
      <c r="O399" s="10" t="n"/>
      <c r="P399" s="10" t="n"/>
      <c r="Q399" s="10" t="n"/>
      <c r="R399" s="10" t="n"/>
    </row>
    <row r="400">
      <c r="A400" s="10" t="inlineStr">
        <is>
          <t>Foil Vitamin C 150mg</t>
        </is>
      </c>
      <c r="B400" s="10" t="n"/>
      <c r="C400" s="10" t="n"/>
      <c r="D400" s="5" t="n"/>
      <c r="E400" s="5" t="n"/>
      <c r="F400" s="10" t="n"/>
      <c r="G400" s="5" t="n"/>
      <c r="H400" s="5" t="n"/>
      <c r="I400" s="5" t="n"/>
      <c r="J400" s="5" t="n"/>
      <c r="K400" s="10" t="inlineStr">
        <is>
          <t>Not on master list (purchase list)</t>
        </is>
      </c>
      <c r="L400" s="5" t="n"/>
      <c r="M400" s="5" t="n"/>
      <c r="N400" s="10" t="n"/>
      <c r="O400" s="10" t="n"/>
      <c r="P400" s="10" t="n"/>
      <c r="Q400" s="10" t="n"/>
      <c r="R400" s="10" t="n"/>
    </row>
    <row r="401">
      <c r="A401" s="10" t="inlineStr">
        <is>
          <t>Fructooligosacaharides</t>
        </is>
      </c>
      <c r="B401" s="10" t="n"/>
      <c r="C401" s="10" t="n"/>
      <c r="D401" s="5" t="n"/>
      <c r="E401" s="5" t="n"/>
      <c r="F401" s="10" t="n"/>
      <c r="G401" s="5" t="n"/>
      <c r="H401" s="5" t="n"/>
      <c r="I401" s="5" t="n"/>
      <c r="J401" s="5" t="n"/>
      <c r="K401" s="10" t="inlineStr">
        <is>
          <t>Not on master list (time records)</t>
        </is>
      </c>
      <c r="L401" s="5" t="n"/>
      <c r="M401" s="5" t="n"/>
      <c r="N401" s="10" t="n"/>
      <c r="O401" s="10" t="n"/>
      <c r="P401" s="10" t="n"/>
      <c r="Q401" s="10" t="n"/>
      <c r="R401" s="10" t="n"/>
    </row>
    <row r="402">
      <c r="A402" s="10" t="inlineStr">
        <is>
          <t>Fucoidan Ext. (Brown Kelp)</t>
        </is>
      </c>
      <c r="B402" s="10" t="n"/>
      <c r="C402" s="10" t="n"/>
      <c r="D402" s="5" t="n"/>
      <c r="E402" s="5" t="n"/>
      <c r="F402" s="10" t="n"/>
      <c r="G402" s="5" t="n"/>
      <c r="H402" s="5" t="n"/>
      <c r="I402" s="5" t="n"/>
      <c r="J402" s="5" t="n"/>
      <c r="K402" s="10" t="inlineStr">
        <is>
          <t>Not on master list (time records)</t>
        </is>
      </c>
      <c r="L402" s="5" t="n"/>
      <c r="M402" s="5" t="n"/>
      <c r="N402" s="10" t="n"/>
      <c r="O402" s="10" t="n"/>
      <c r="P402" s="10" t="n"/>
      <c r="Q402" s="10" t="n"/>
      <c r="R402" s="10" t="n"/>
    </row>
    <row r="403">
      <c r="A403" s="10" t="inlineStr">
        <is>
          <t>Fumaric Acid</t>
        </is>
      </c>
      <c r="B403" s="10" t="n"/>
      <c r="C403" s="10" t="n"/>
      <c r="D403" s="5" t="n"/>
      <c r="E403" s="5" t="n"/>
      <c r="F403" s="10" t="n"/>
      <c r="G403" s="5" t="n"/>
      <c r="H403" s="5" t="n"/>
      <c r="I403" s="5" t="n"/>
      <c r="J403" s="5" t="n"/>
      <c r="K403" s="10" t="inlineStr">
        <is>
          <t>Not on master list (purchase list)</t>
        </is>
      </c>
      <c r="L403" s="5" t="n"/>
      <c r="M403" s="5" t="n"/>
      <c r="N403" s="10" t="n"/>
      <c r="O403" s="10" t="n"/>
      <c r="P403" s="10" t="n"/>
      <c r="Q403" s="10" t="n"/>
      <c r="R403" s="10" t="n"/>
    </row>
    <row r="404">
      <c r="A404" s="10" t="inlineStr">
        <is>
          <t>Galanga Ext.</t>
        </is>
      </c>
      <c r="B404" s="10" t="n"/>
      <c r="C404" s="10" t="n"/>
      <c r="D404" s="5" t="n"/>
      <c r="E404" s="5" t="n"/>
      <c r="F404" s="10" t="n"/>
      <c r="G404" s="5" t="n"/>
      <c r="H404" s="5" t="n"/>
      <c r="I404" s="5" t="n"/>
      <c r="J404" s="5" t="n"/>
      <c r="K404" s="10" t="inlineStr">
        <is>
          <t>Not on master list (time records)</t>
        </is>
      </c>
      <c r="L404" s="5" t="n"/>
      <c r="M404" s="5" t="n"/>
      <c r="N404" s="10" t="n"/>
      <c r="O404" s="10" t="n"/>
      <c r="P404" s="10" t="n"/>
      <c r="Q404" s="10" t="n"/>
      <c r="R404" s="10" t="n"/>
    </row>
    <row r="405">
      <c r="A405" s="10" t="inlineStr">
        <is>
          <t>Garcinia Cambogia</t>
        </is>
      </c>
      <c r="B405" s="10" t="n"/>
      <c r="C405" s="10" t="n"/>
      <c r="D405" s="5" t="n"/>
      <c r="E405" s="5" t="n"/>
      <c r="F405" s="10" t="n"/>
      <c r="G405" s="5" t="n"/>
      <c r="H405" s="5" t="n"/>
      <c r="I405" s="5" t="n"/>
      <c r="J405" s="5" t="n"/>
      <c r="K405" s="10" t="inlineStr">
        <is>
          <t>Not on master list (purchase list)</t>
        </is>
      </c>
      <c r="L405" s="5" t="n"/>
      <c r="M405" s="5" t="n"/>
      <c r="N405" s="10" t="n"/>
      <c r="O405" s="10" t="n"/>
      <c r="P405" s="10" t="n"/>
      <c r="Q405" s="10" t="n"/>
      <c r="R405" s="10" t="n"/>
    </row>
    <row r="406">
      <c r="A406" s="10" t="inlineStr">
        <is>
          <t>Garcinia Cambogia Extract</t>
        </is>
      </c>
      <c r="B406" s="10" t="n"/>
      <c r="C406" s="10" t="n"/>
      <c r="D406" s="5" t="n"/>
      <c r="E406" s="5" t="n"/>
      <c r="F406" s="10" t="n"/>
      <c r="G406" s="5" t="n"/>
      <c r="H406" s="5" t="n"/>
      <c r="I406" s="5" t="n"/>
      <c r="J406" s="5" t="n"/>
      <c r="K406" s="10" t="inlineStr">
        <is>
          <t>Not on master list (purchase list)</t>
        </is>
      </c>
      <c r="L406" s="5" t="n"/>
      <c r="M406" s="5" t="n"/>
      <c r="N406" s="10" t="n"/>
      <c r="O406" s="10" t="n"/>
      <c r="P406" s="10" t="n"/>
      <c r="Q406" s="10" t="n"/>
      <c r="R406" s="10" t="n"/>
    </row>
    <row r="407">
      <c r="A407" s="10" t="inlineStr">
        <is>
          <t>Garcinia Cimbogia</t>
        </is>
      </c>
      <c r="B407" s="10" t="n"/>
      <c r="C407" s="10" t="n"/>
      <c r="D407" s="5" t="n"/>
      <c r="E407" s="5" t="n"/>
      <c r="F407" s="10" t="n"/>
      <c r="G407" s="5" t="n"/>
      <c r="H407" s="5" t="n"/>
      <c r="I407" s="5" t="n"/>
      <c r="J407" s="5" t="n"/>
      <c r="K407" s="10" t="inlineStr">
        <is>
          <t>Not on master list (purchase list)</t>
        </is>
      </c>
      <c r="L407" s="5" t="n"/>
      <c r="M407" s="5" t="n"/>
      <c r="N407" s="10" t="n"/>
      <c r="O407" s="10" t="n"/>
      <c r="P407" s="10" t="n"/>
      <c r="Q407" s="10" t="n"/>
      <c r="R407" s="10" t="n"/>
    </row>
    <row r="408">
      <c r="A408" s="10" t="inlineStr">
        <is>
          <t>Garlic Powder</t>
        </is>
      </c>
      <c r="B408" s="10" t="n"/>
      <c r="C408" s="10" t="n"/>
      <c r="D408" s="5" t="n"/>
      <c r="E408" s="5" t="n"/>
      <c r="F408" s="10" t="n"/>
      <c r="G408" s="5" t="n"/>
      <c r="H408" s="5" t="n"/>
      <c r="I408" s="5" t="n"/>
      <c r="J408" s="5" t="n"/>
      <c r="K408" s="10" t="inlineStr">
        <is>
          <t>Not on master list (time records)</t>
        </is>
      </c>
      <c r="L408" s="5" t="n"/>
      <c r="M408" s="5" t="n"/>
      <c r="N408" s="10" t="n"/>
      <c r="O408" s="10" t="n"/>
      <c r="P408" s="10" t="n"/>
      <c r="Q408" s="10" t="n"/>
      <c r="R408" s="10" t="n"/>
    </row>
    <row r="409">
      <c r="A409" s="10" t="inlineStr">
        <is>
          <t>GB Green C&amp;F</t>
        </is>
      </c>
      <c r="B409" s="10" t="n"/>
      <c r="C409" s="10" t="n"/>
      <c r="D409" s="5" t="n"/>
      <c r="E409" s="5" t="n"/>
      <c r="F409" s="10" t="n"/>
      <c r="G409" s="5" t="n"/>
      <c r="H409" s="5" t="n"/>
      <c r="I409" s="5" t="n"/>
      <c r="J409" s="5" t="n"/>
      <c r="K409" s="10" t="inlineStr">
        <is>
          <t>Not on master list (purchase list)</t>
        </is>
      </c>
      <c r="L409" s="5" t="n"/>
      <c r="M409" s="5" t="n"/>
      <c r="N409" s="10" t="n"/>
      <c r="O409" s="10" t="n"/>
      <c r="P409" s="10" t="n"/>
      <c r="Q409" s="10" t="n"/>
      <c r="R409" s="10" t="n"/>
    </row>
    <row r="410">
      <c r="A410" s="10" t="inlineStr">
        <is>
          <t>Gelatin</t>
        </is>
      </c>
      <c r="B410" s="10" t="n"/>
      <c r="C410" s="10" t="n"/>
      <c r="D410" s="5" t="n"/>
      <c r="E410" s="5" t="n"/>
      <c r="F410" s="10" t="n"/>
      <c r="G410" s="5" t="n"/>
      <c r="H410" s="5" t="n"/>
      <c r="I410" s="5" t="n"/>
      <c r="J410" s="5" t="n"/>
      <c r="K410" s="10" t="inlineStr">
        <is>
          <t>Not on master list (time records)</t>
        </is>
      </c>
      <c r="L410" s="5" t="n"/>
      <c r="M410" s="5" t="n"/>
      <c r="N410" s="10" t="n"/>
      <c r="O410" s="10" t="n"/>
      <c r="P410" s="10" t="n"/>
      <c r="Q410" s="10" t="n"/>
      <c r="R410" s="10" t="n"/>
    </row>
    <row r="411">
      <c r="A411" s="10" t="inlineStr">
        <is>
          <t>Genistein</t>
        </is>
      </c>
      <c r="B411" s="10" t="n"/>
      <c r="C411" s="10" t="n"/>
      <c r="D411" s="5" t="n"/>
      <c r="E411" s="5" t="n"/>
      <c r="F411" s="10" t="n"/>
      <c r="G411" s="5" t="n"/>
      <c r="H411" s="5" t="n"/>
      <c r="I411" s="5" t="n"/>
      <c r="J411" s="5" t="n"/>
      <c r="K411" s="10" t="inlineStr">
        <is>
          <t>Not on master list (time records)</t>
        </is>
      </c>
      <c r="L411" s="5" t="n"/>
      <c r="M411" s="5" t="n"/>
      <c r="N411" s="10" t="n"/>
      <c r="O411" s="10" t="n"/>
      <c r="P411" s="10" t="n"/>
      <c r="Q411" s="10" t="n"/>
      <c r="R411" s="10" t="n"/>
    </row>
    <row r="412">
      <c r="A412" s="10" t="inlineStr">
        <is>
          <t>Gentian Root</t>
        </is>
      </c>
      <c r="B412" s="10" t="n"/>
      <c r="C412" s="10" t="n"/>
      <c r="D412" s="5" t="n"/>
      <c r="E412" s="5" t="n"/>
      <c r="F412" s="10" t="n"/>
      <c r="G412" s="5" t="n"/>
      <c r="H412" s="5" t="n"/>
      <c r="I412" s="5" t="n"/>
      <c r="J412" s="5" t="n"/>
      <c r="K412" s="10" t="inlineStr">
        <is>
          <t>Not on master list (purchase list)</t>
        </is>
      </c>
      <c r="L412" s="5" t="n"/>
      <c r="M412" s="5" t="n"/>
      <c r="N412" s="10" t="n"/>
      <c r="O412" s="10" t="n"/>
      <c r="P412" s="10" t="n"/>
      <c r="Q412" s="10" t="n"/>
      <c r="R412" s="10" t="n"/>
    </row>
    <row r="413">
      <c r="A413" s="10" t="inlineStr">
        <is>
          <t>Gentian Root Extract</t>
        </is>
      </c>
      <c r="B413" s="10" t="n"/>
      <c r="C413" s="10" t="n"/>
      <c r="D413" s="5" t="n"/>
      <c r="E413" s="5" t="n"/>
      <c r="F413" s="10" t="n"/>
      <c r="G413" s="5" t="n"/>
      <c r="H413" s="5" t="n"/>
      <c r="I413" s="5" t="n"/>
      <c r="J413" s="5" t="n"/>
      <c r="K413" s="10" t="inlineStr">
        <is>
          <t>Not on master list (purchase list)</t>
        </is>
      </c>
      <c r="L413" s="5" t="n"/>
      <c r="M413" s="5" t="n"/>
      <c r="N413" s="10" t="n"/>
      <c r="O413" s="10" t="n"/>
      <c r="P413" s="10" t="n"/>
      <c r="Q413" s="10" t="n"/>
      <c r="R413" s="10" t="n"/>
    </row>
    <row r="414">
      <c r="A414" s="10" t="inlineStr">
        <is>
          <t>Ginc Active Marketing Sachet</t>
        </is>
      </c>
      <c r="B414" s="10" t="n"/>
      <c r="C414" s="10" t="n"/>
      <c r="D414" s="5" t="n"/>
      <c r="E414" s="5" t="n"/>
      <c r="F414" s="10" t="n"/>
      <c r="G414" s="5" t="n"/>
      <c r="H414" s="5" t="n"/>
      <c r="I414" s="5" t="n"/>
      <c r="J414" s="5" t="n"/>
      <c r="K414" s="10" t="inlineStr">
        <is>
          <t>Not on master list (time records)</t>
        </is>
      </c>
      <c r="L414" s="5" t="n"/>
      <c r="M414" s="5" t="n"/>
      <c r="N414" s="10" t="n"/>
      <c r="O414" s="10" t="n"/>
      <c r="P414" s="10" t="n"/>
      <c r="Q414" s="10" t="n"/>
      <c r="R414" s="10" t="n"/>
    </row>
    <row r="415">
      <c r="A415" s="10" t="inlineStr">
        <is>
          <t>Ginger Extract</t>
        </is>
      </c>
      <c r="B415" s="10" t="n"/>
      <c r="C415" s="10" t="n"/>
      <c r="D415" s="5" t="n"/>
      <c r="E415" s="5" t="n"/>
      <c r="F415" s="10" t="n"/>
      <c r="G415" s="5" t="n"/>
      <c r="H415" s="5" t="n"/>
      <c r="I415" s="5" t="n"/>
      <c r="J415" s="5" t="n"/>
      <c r="K415" s="10" t="inlineStr">
        <is>
          <t>Not on master list (purchase list)</t>
        </is>
      </c>
      <c r="L415" s="5" t="n"/>
      <c r="M415" s="5" t="n"/>
      <c r="N415" s="10" t="n"/>
      <c r="O415" s="10" t="n"/>
      <c r="P415" s="10" t="n"/>
      <c r="Q415" s="10" t="n"/>
      <c r="R415" s="10" t="n"/>
    </row>
    <row r="416">
      <c r="A416" s="10" t="inlineStr">
        <is>
          <t>Ginger Root</t>
        </is>
      </c>
      <c r="B416" s="10" t="n"/>
      <c r="C416" s="10" t="n"/>
      <c r="D416" s="5" t="n"/>
      <c r="E416" s="5" t="n"/>
      <c r="F416" s="10" t="n"/>
      <c r="G416" s="5" t="n"/>
      <c r="H416" s="5" t="n"/>
      <c r="I416" s="5" t="n"/>
      <c r="J416" s="5" t="n"/>
      <c r="K416" s="10" t="inlineStr">
        <is>
          <t>Not on master list (purchase list)</t>
        </is>
      </c>
      <c r="L416" s="5" t="n"/>
      <c r="M416" s="5" t="n"/>
      <c r="N416" s="10" t="n"/>
      <c r="O416" s="10" t="n"/>
      <c r="P416" s="10" t="n"/>
      <c r="Q416" s="10" t="n"/>
      <c r="R416" s="10" t="n"/>
    </row>
    <row r="417">
      <c r="A417" s="10" t="inlineStr">
        <is>
          <t>Ginger Root Extract</t>
        </is>
      </c>
      <c r="B417" s="10" t="n"/>
      <c r="C417" s="10" t="n"/>
      <c r="D417" s="5" t="n"/>
      <c r="E417" s="5" t="n"/>
      <c r="F417" s="10" t="n"/>
      <c r="G417" s="5" t="n"/>
      <c r="H417" s="5" t="n"/>
      <c r="I417" s="5" t="n"/>
      <c r="J417" s="5" t="n"/>
      <c r="K417" s="10" t="inlineStr">
        <is>
          <t>Not on master list (purchase list)</t>
        </is>
      </c>
      <c r="L417" s="5" t="n"/>
      <c r="M417" s="5" t="n"/>
      <c r="N417" s="10" t="n"/>
      <c r="O417" s="10" t="n"/>
      <c r="P417" s="10" t="n"/>
      <c r="Q417" s="10" t="n"/>
      <c r="R417" s="10" t="n"/>
    </row>
    <row r="418">
      <c r="A418" s="10" t="inlineStr">
        <is>
          <t>Ginkgo Biloba</t>
        </is>
      </c>
      <c r="B418" s="10" t="n"/>
      <c r="C418" s="10" t="n"/>
      <c r="D418" s="5" t="n"/>
      <c r="E418" s="5" t="n"/>
      <c r="F418" s="10" t="n"/>
      <c r="G418" s="5" t="n"/>
      <c r="H418" s="5" t="n"/>
      <c r="I418" s="5" t="n"/>
      <c r="J418" s="5" t="n"/>
      <c r="K418" s="10" t="inlineStr">
        <is>
          <t>Not on master list (purchase list)</t>
        </is>
      </c>
      <c r="L418" s="5" t="n"/>
      <c r="M418" s="5" t="n"/>
      <c r="N418" s="10" t="n"/>
      <c r="O418" s="10" t="n"/>
      <c r="P418" s="10" t="n"/>
      <c r="Q418" s="10" t="n"/>
      <c r="R418" s="10" t="n"/>
    </row>
    <row r="419">
      <c r="A419" s="10" t="inlineStr">
        <is>
          <t>Ginkgo Biloba Extract</t>
        </is>
      </c>
      <c r="B419" s="10" t="n"/>
      <c r="C419" s="10" t="n"/>
      <c r="D419" s="5" t="n"/>
      <c r="E419" s="5" t="n"/>
      <c r="F419" s="10" t="n"/>
      <c r="G419" s="5" t="n"/>
      <c r="H419" s="5" t="n"/>
      <c r="I419" s="5" t="n"/>
      <c r="J419" s="5" t="n"/>
      <c r="K419" s="10" t="inlineStr">
        <is>
          <t>Not on master list (purchase list)</t>
        </is>
      </c>
      <c r="L419" s="5" t="n"/>
      <c r="M419" s="5" t="n"/>
      <c r="N419" s="10" t="n"/>
      <c r="O419" s="10" t="n"/>
      <c r="P419" s="10" t="n"/>
      <c r="Q419" s="10" t="n"/>
      <c r="R419" s="10" t="n"/>
    </row>
    <row r="420">
      <c r="A420" s="10" t="inlineStr">
        <is>
          <t>Ginkgo Biloba L.</t>
        </is>
      </c>
      <c r="B420" s="10" t="n"/>
      <c r="C420" s="10" t="n"/>
      <c r="D420" s="5" t="n"/>
      <c r="E420" s="5" t="n"/>
      <c r="F420" s="10" t="n"/>
      <c r="G420" s="5" t="n"/>
      <c r="H420" s="5" t="n"/>
      <c r="I420" s="5" t="n"/>
      <c r="J420" s="5" t="n"/>
      <c r="K420" s="10" t="inlineStr">
        <is>
          <t>Not on master list (purchase list)</t>
        </is>
      </c>
      <c r="L420" s="5" t="n"/>
      <c r="M420" s="5" t="n"/>
      <c r="N420" s="10" t="n"/>
      <c r="O420" s="10" t="n"/>
      <c r="P420" s="10" t="n"/>
      <c r="Q420" s="10" t="n"/>
      <c r="R420" s="10" t="n"/>
    </row>
    <row r="421">
      <c r="A421" s="10" t="inlineStr">
        <is>
          <t>Ginseng Extract 10% Ginsenosides</t>
        </is>
      </c>
      <c r="B421" s="10" t="n"/>
      <c r="C421" s="10" t="n"/>
      <c r="D421" s="5" t="n"/>
      <c r="E421" s="5" t="n"/>
      <c r="F421" s="10" t="n"/>
      <c r="G421" s="5" t="n"/>
      <c r="H421" s="5" t="n"/>
      <c r="I421" s="5" t="n"/>
      <c r="J421" s="5" t="n"/>
      <c r="K421" s="10" t="inlineStr">
        <is>
          <t>Not on master list (purchase list)</t>
        </is>
      </c>
      <c r="L421" s="5" t="n"/>
      <c r="M421" s="5" t="n"/>
      <c r="N421" s="10" t="n"/>
      <c r="O421" s="10" t="n"/>
      <c r="P421" s="10" t="n"/>
      <c r="Q421" s="10" t="n"/>
      <c r="R421" s="10" t="n"/>
    </row>
    <row r="422">
      <c r="A422" s="10" t="inlineStr">
        <is>
          <t>Glimepride</t>
        </is>
      </c>
      <c r="B422" s="10" t="n"/>
      <c r="C422" s="10" t="n"/>
      <c r="D422" s="5" t="n"/>
      <c r="E422" s="5" t="n"/>
      <c r="F422" s="10" t="n"/>
      <c r="G422" s="5" t="n"/>
      <c r="H422" s="5" t="n"/>
      <c r="I422" s="5" t="n"/>
      <c r="J422" s="5" t="n"/>
      <c r="K422" s="10" t="inlineStr">
        <is>
          <t>Not on master list (time records)</t>
        </is>
      </c>
      <c r="L422" s="5" t="n"/>
      <c r="M422" s="5" t="n"/>
      <c r="N422" s="10" t="n"/>
      <c r="O422" s="10" t="n"/>
      <c r="P422" s="10" t="n"/>
      <c r="Q422" s="10" t="n"/>
      <c r="R422" s="10" t="n"/>
    </row>
    <row r="423">
      <c r="A423" s="10" t="inlineStr">
        <is>
          <t>Glucire 44.14</t>
        </is>
      </c>
      <c r="B423" s="10" t="n"/>
      <c r="C423" s="10" t="n"/>
      <c r="D423" s="5" t="n"/>
      <c r="E423" s="5" t="n"/>
      <c r="F423" s="10" t="n"/>
      <c r="G423" s="5" t="n"/>
      <c r="H423" s="5" t="n"/>
      <c r="I423" s="5" t="n"/>
      <c r="J423" s="5" t="n"/>
      <c r="K423" s="10" t="inlineStr">
        <is>
          <t>Not on master list (time records)</t>
        </is>
      </c>
      <c r="L423" s="5" t="n"/>
      <c r="M423" s="5" t="n"/>
      <c r="N423" s="10" t="n"/>
      <c r="O423" s="10" t="n"/>
      <c r="P423" s="10" t="n"/>
      <c r="Q423" s="10" t="n"/>
      <c r="R423" s="10" t="n"/>
    </row>
    <row r="424">
      <c r="A424" s="10" t="inlineStr">
        <is>
          <t>Glucire 48/16</t>
        </is>
      </c>
      <c r="B424" s="10" t="n"/>
      <c r="C424" s="10" t="n"/>
      <c r="D424" s="5" t="n"/>
      <c r="E424" s="5" t="n"/>
      <c r="F424" s="10" t="n"/>
      <c r="G424" s="5" t="n"/>
      <c r="H424" s="5" t="n"/>
      <c r="I424" s="5" t="n"/>
      <c r="J424" s="5" t="n"/>
      <c r="K424" s="10" t="inlineStr">
        <is>
          <t>Not on master list (time records)</t>
        </is>
      </c>
      <c r="L424" s="5" t="n"/>
      <c r="M424" s="5" t="n"/>
      <c r="N424" s="10" t="n"/>
      <c r="O424" s="10" t="n"/>
      <c r="P424" s="10" t="n"/>
      <c r="Q424" s="10" t="n"/>
      <c r="R424" s="10" t="n"/>
    </row>
    <row r="425">
      <c r="A425" s="10" t="inlineStr">
        <is>
          <t>Glucire 50/13</t>
        </is>
      </c>
      <c r="B425" s="10" t="n"/>
      <c r="C425" s="10" t="n"/>
      <c r="D425" s="5" t="n"/>
      <c r="E425" s="5" t="n"/>
      <c r="F425" s="10" t="n"/>
      <c r="G425" s="5" t="n"/>
      <c r="H425" s="5" t="n"/>
      <c r="I425" s="5" t="n"/>
      <c r="J425" s="5" t="n"/>
      <c r="K425" s="10" t="inlineStr">
        <is>
          <t>Not on master list (time records)</t>
        </is>
      </c>
      <c r="L425" s="5" t="n"/>
      <c r="M425" s="5" t="n"/>
      <c r="N425" s="10" t="n"/>
      <c r="O425" s="10" t="n"/>
      <c r="P425" s="10" t="n"/>
      <c r="Q425" s="10" t="n"/>
      <c r="R425" s="10" t="n"/>
    </row>
    <row r="426">
      <c r="A426" s="10" t="inlineStr">
        <is>
          <t>Glucire 59/14</t>
        </is>
      </c>
      <c r="B426" s="10" t="n"/>
      <c r="C426" s="10" t="n"/>
      <c r="D426" s="5" t="n"/>
      <c r="E426" s="5" t="n"/>
      <c r="F426" s="10" t="n"/>
      <c r="G426" s="5" t="n"/>
      <c r="H426" s="5" t="n"/>
      <c r="I426" s="5" t="n"/>
      <c r="J426" s="5" t="n"/>
      <c r="K426" s="10" t="inlineStr">
        <is>
          <t>Not on master list (time records)</t>
        </is>
      </c>
      <c r="L426" s="5" t="n"/>
      <c r="M426" s="5" t="n"/>
      <c r="N426" s="10" t="n"/>
      <c r="O426" s="10" t="n"/>
      <c r="P426" s="10" t="n"/>
      <c r="Q426" s="10" t="n"/>
      <c r="R426" s="10" t="n"/>
    </row>
    <row r="427">
      <c r="A427" s="10" t="inlineStr">
        <is>
          <t>Glutamine</t>
        </is>
      </c>
      <c r="B427" s="10" t="n"/>
      <c r="C427" s="10" t="n"/>
      <c r="D427" s="5" t="n"/>
      <c r="E427" s="5" t="n"/>
      <c r="F427" s="10" t="n"/>
      <c r="G427" s="5" t="n"/>
      <c r="H427" s="5" t="n"/>
      <c r="I427" s="5" t="n"/>
      <c r="J427" s="5" t="n"/>
      <c r="K427" s="10" t="inlineStr">
        <is>
          <t>Not on master list (time records)</t>
        </is>
      </c>
      <c r="L427" s="5" t="n"/>
      <c r="M427" s="5" t="n"/>
      <c r="N427" s="10" t="n"/>
      <c r="O427" s="10" t="n"/>
      <c r="P427" s="10" t="n"/>
      <c r="Q427" s="10" t="n"/>
      <c r="R427" s="10" t="n"/>
    </row>
    <row r="428">
      <c r="A428" s="10" t="inlineStr">
        <is>
          <t>Glyceryl Monocaprylocaprate</t>
        </is>
      </c>
      <c r="B428" s="10" t="n"/>
      <c r="C428" s="10" t="n"/>
      <c r="D428" s="5" t="n"/>
      <c r="E428" s="5" t="n"/>
      <c r="F428" s="10" t="n"/>
      <c r="G428" s="5" t="n"/>
      <c r="H428" s="5" t="n"/>
      <c r="I428" s="5" t="n"/>
      <c r="J428" s="5" t="n"/>
      <c r="K428" s="10" t="inlineStr">
        <is>
          <t>Not on master list (time records)</t>
        </is>
      </c>
      <c r="L428" s="5" t="n"/>
      <c r="M428" s="5" t="n"/>
      <c r="N428" s="10" t="n"/>
      <c r="O428" s="10" t="n"/>
      <c r="P428" s="10" t="n"/>
      <c r="Q428" s="10" t="n"/>
      <c r="R428" s="10" t="n"/>
    </row>
    <row r="429">
      <c r="A429" s="10" t="inlineStr">
        <is>
          <t>Gold</t>
        </is>
      </c>
      <c r="B429" s="10" t="n"/>
      <c r="C429" s="10" t="n"/>
      <c r="D429" s="5" t="n"/>
      <c r="E429" s="5" t="n"/>
      <c r="F429" s="10" t="n"/>
      <c r="G429" s="5" t="n"/>
      <c r="H429" s="5" t="n"/>
      <c r="I429" s="5" t="n"/>
      <c r="J429" s="5" t="n"/>
      <c r="K429" s="10" t="inlineStr">
        <is>
          <t>Not on master list (time records)</t>
        </is>
      </c>
      <c r="L429" s="5" t="n"/>
      <c r="M429" s="5" t="n"/>
      <c r="N429" s="10" t="n"/>
      <c r="O429" s="10" t="n"/>
      <c r="P429" s="10" t="n"/>
      <c r="Q429" s="10" t="n"/>
      <c r="R429" s="10" t="n"/>
    </row>
    <row r="430">
      <c r="A430" s="10" t="inlineStr">
        <is>
          <t>Green  Color - Code 611</t>
        </is>
      </c>
      <c r="B430" s="10" t="n"/>
      <c r="C430" s="10" t="n"/>
      <c r="D430" s="5" t="n"/>
      <c r="E430" s="5" t="n"/>
      <c r="F430" s="10" t="n"/>
      <c r="G430" s="5" t="n"/>
      <c r="H430" s="5" t="n"/>
      <c r="I430" s="5" t="n"/>
      <c r="J430" s="5" t="n"/>
      <c r="K430" s="10" t="inlineStr">
        <is>
          <t>Not on master list (time records)</t>
        </is>
      </c>
      <c r="L430" s="5" t="n"/>
      <c r="M430" s="5" t="n"/>
      <c r="N430" s="10" t="n"/>
      <c r="O430" s="10" t="n"/>
      <c r="P430" s="10" t="n"/>
      <c r="Q430" s="10" t="n"/>
      <c r="R430" s="10" t="n"/>
    </row>
    <row r="431">
      <c r="A431" s="10" t="inlineStr">
        <is>
          <t>Green Coffee 50% Ext.</t>
        </is>
      </c>
      <c r="B431" s="10" t="n"/>
      <c r="C431" s="10" t="n"/>
      <c r="D431" s="5" t="n"/>
      <c r="E431" s="5" t="n"/>
      <c r="F431" s="10" t="n"/>
      <c r="G431" s="5" t="n"/>
      <c r="H431" s="5" t="n"/>
      <c r="I431" s="5" t="n"/>
      <c r="J431" s="5" t="n"/>
      <c r="K431" s="10" t="inlineStr">
        <is>
          <t>Not on master list (time records)</t>
        </is>
      </c>
      <c r="L431" s="5" t="n"/>
      <c r="M431" s="5" t="n"/>
      <c r="N431" s="10" t="n"/>
      <c r="O431" s="10" t="n"/>
      <c r="P431" s="10" t="n"/>
      <c r="Q431" s="10" t="n"/>
      <c r="R431" s="10" t="n"/>
    </row>
    <row r="432">
      <c r="A432" s="10" t="inlineStr">
        <is>
          <t>Green Tea Ext.</t>
        </is>
      </c>
      <c r="B432" s="10" t="n"/>
      <c r="C432" s="10" t="n"/>
      <c r="D432" s="5" t="n"/>
      <c r="E432" s="5" t="n"/>
      <c r="F432" s="10" t="n"/>
      <c r="G432" s="5" t="n"/>
      <c r="H432" s="5" t="n"/>
      <c r="I432" s="5" t="n"/>
      <c r="J432" s="5" t="n"/>
      <c r="K432" s="10" t="inlineStr">
        <is>
          <t>Not on master list (time records)</t>
        </is>
      </c>
      <c r="L432" s="5" t="n"/>
      <c r="M432" s="5" t="n"/>
      <c r="N432" s="10" t="n"/>
      <c r="O432" s="10" t="n"/>
      <c r="P432" s="10" t="n"/>
      <c r="Q432" s="10" t="n"/>
      <c r="R432" s="10" t="n"/>
    </row>
    <row r="433">
      <c r="A433" s="10" t="inlineStr">
        <is>
          <t>Guarana Caffein Ext.</t>
        </is>
      </c>
      <c r="B433" s="10" t="n"/>
      <c r="C433" s="10" t="n"/>
      <c r="D433" s="5" t="n"/>
      <c r="E433" s="5" t="n"/>
      <c r="F433" s="10" t="n"/>
      <c r="G433" s="5" t="n"/>
      <c r="H433" s="5" t="n"/>
      <c r="I433" s="5" t="n"/>
      <c r="J433" s="5" t="n"/>
      <c r="K433" s="10" t="inlineStr">
        <is>
          <t>Not on master list (time records)</t>
        </is>
      </c>
      <c r="L433" s="5" t="n"/>
      <c r="M433" s="5" t="n"/>
      <c r="N433" s="10" t="n"/>
      <c r="O433" s="10" t="n"/>
      <c r="P433" s="10" t="n"/>
      <c r="Q433" s="10" t="n"/>
      <c r="R433" s="10" t="n"/>
    </row>
    <row r="434">
      <c r="A434" s="10" t="inlineStr">
        <is>
          <t>Gymnema Sylvestre</t>
        </is>
      </c>
      <c r="B434" s="10" t="n"/>
      <c r="C434" s="10" t="n"/>
      <c r="D434" s="5" t="n"/>
      <c r="E434" s="5" t="n"/>
      <c r="F434" s="10" t="n"/>
      <c r="G434" s="5" t="n"/>
      <c r="H434" s="5" t="n"/>
      <c r="I434" s="5" t="n"/>
      <c r="J434" s="5" t="n"/>
      <c r="K434" s="10" t="inlineStr">
        <is>
          <t>Not on master list (purchase list)</t>
        </is>
      </c>
      <c r="L434" s="5" t="n"/>
      <c r="M434" s="5" t="n"/>
      <c r="N434" s="10" t="n"/>
      <c r="O434" s="10" t="n"/>
      <c r="P434" s="10" t="n"/>
      <c r="Q434" s="10" t="n"/>
      <c r="R434" s="10" t="n"/>
    </row>
    <row r="435">
      <c r="A435" s="10" t="inlineStr">
        <is>
          <t>Gymnema Sylvestre Extract</t>
        </is>
      </c>
      <c r="B435" s="10" t="n"/>
      <c r="C435" s="10" t="n"/>
      <c r="D435" s="5" t="n"/>
      <c r="E435" s="5" t="n"/>
      <c r="F435" s="10" t="n"/>
      <c r="G435" s="5" t="n"/>
      <c r="H435" s="5" t="n"/>
      <c r="I435" s="5" t="n"/>
      <c r="J435" s="5" t="n"/>
      <c r="K435" s="10" t="inlineStr">
        <is>
          <t>Not on master list (purchase list)</t>
        </is>
      </c>
      <c r="L435" s="5" t="n"/>
      <c r="M435" s="5" t="n"/>
      <c r="N435" s="10" t="n"/>
      <c r="O435" s="10" t="n"/>
      <c r="P435" s="10" t="n"/>
      <c r="Q435" s="10" t="n"/>
      <c r="R435" s="10" t="n"/>
    </row>
    <row r="436">
      <c r="A436" s="10" t="inlineStr">
        <is>
          <t>Hard gelatin (Blue-Dark Blue) Size 1</t>
        </is>
      </c>
      <c r="B436" s="10" t="n"/>
      <c r="C436" s="10" t="n"/>
      <c r="D436" s="5" t="n"/>
      <c r="E436" s="5" t="n"/>
      <c r="F436" s="10" t="n"/>
      <c r="G436" s="5" t="n"/>
      <c r="H436" s="5" t="n"/>
      <c r="I436" s="5" t="n"/>
      <c r="J436" s="5" t="n"/>
      <c r="K436" s="10" t="inlineStr">
        <is>
          <t>Not on master list (purchase list)</t>
        </is>
      </c>
      <c r="L436" s="5" t="n"/>
      <c r="M436" s="5" t="n"/>
      <c r="N436" s="10" t="n"/>
      <c r="O436" s="10" t="n"/>
      <c r="P436" s="10" t="n"/>
      <c r="Q436" s="10" t="n"/>
      <c r="R436" s="10" t="n"/>
    </row>
    <row r="437">
      <c r="A437" s="10" t="inlineStr">
        <is>
          <t>Hard gelatin (Yellow-Yellow) Size 2</t>
        </is>
      </c>
      <c r="B437" s="10" t="n"/>
      <c r="C437" s="10" t="n"/>
      <c r="D437" s="5" t="n"/>
      <c r="E437" s="5" t="n"/>
      <c r="F437" s="10" t="n"/>
      <c r="G437" s="5" t="n"/>
      <c r="H437" s="5" t="n"/>
      <c r="I437" s="5" t="n"/>
      <c r="J437" s="5" t="n"/>
      <c r="K437" s="10" t="inlineStr">
        <is>
          <t>Not on master list (purchase list)</t>
        </is>
      </c>
      <c r="L437" s="5" t="n"/>
      <c r="M437" s="5" t="n"/>
      <c r="N437" s="10" t="n"/>
      <c r="O437" s="10" t="n"/>
      <c r="P437" s="10" t="n"/>
      <c r="Q437" s="10" t="n"/>
      <c r="R437" s="10" t="n"/>
    </row>
    <row r="438">
      <c r="A438" s="10" t="inlineStr">
        <is>
          <t>Hard Gelatin Capsule Brown Size 1</t>
        </is>
      </c>
      <c r="B438" s="10" t="n"/>
      <c r="C438" s="10" t="n"/>
      <c r="D438" s="5" t="n"/>
      <c r="E438" s="5" t="n"/>
      <c r="F438" s="10" t="n"/>
      <c r="G438" s="5" t="n"/>
      <c r="H438" s="5" t="n"/>
      <c r="I438" s="5" t="n"/>
      <c r="J438" s="5" t="n"/>
      <c r="K438" s="10" t="inlineStr">
        <is>
          <t>Not on master list (purchase list)</t>
        </is>
      </c>
      <c r="L438" s="5" t="n"/>
      <c r="M438" s="5" t="n"/>
      <c r="N438" s="10" t="n"/>
      <c r="O438" s="10" t="n"/>
      <c r="P438" s="10" t="n"/>
      <c r="Q438" s="10" t="n"/>
      <c r="R438" s="10" t="n"/>
    </row>
    <row r="439">
      <c r="A439" s="10" t="inlineStr">
        <is>
          <t>HCL Solution 37%</t>
        </is>
      </c>
      <c r="B439" s="10" t="n"/>
      <c r="C439" s="10" t="n"/>
      <c r="D439" s="5" t="n"/>
      <c r="E439" s="5" t="n"/>
      <c r="F439" s="10" t="n"/>
      <c r="G439" s="5" t="n"/>
      <c r="H439" s="5" t="n"/>
      <c r="I439" s="5" t="n"/>
      <c r="J439" s="5" t="n"/>
      <c r="K439" s="10" t="inlineStr">
        <is>
          <t>Not on master list (time records)</t>
        </is>
      </c>
      <c r="L439" s="5" t="n"/>
      <c r="M439" s="5" t="n"/>
      <c r="N439" s="10" t="n"/>
      <c r="O439" s="10" t="n"/>
      <c r="P439" s="10" t="n"/>
      <c r="Q439" s="10" t="n"/>
      <c r="R439" s="10" t="n"/>
    </row>
    <row r="440">
      <c r="A440" s="10" t="inlineStr">
        <is>
          <t>Healthy Liver Marketing Sachet</t>
        </is>
      </c>
      <c r="B440" s="10" t="n"/>
      <c r="C440" s="10" t="n"/>
      <c r="D440" s="5" t="n"/>
      <c r="E440" s="5" t="n"/>
      <c r="F440" s="10" t="n"/>
      <c r="G440" s="5" t="n"/>
      <c r="H440" s="5" t="n"/>
      <c r="I440" s="5" t="n"/>
      <c r="J440" s="5" t="n"/>
      <c r="K440" s="10" t="inlineStr">
        <is>
          <t>Not on master list (time records)</t>
        </is>
      </c>
      <c r="L440" s="5" t="n"/>
      <c r="M440" s="5" t="n"/>
      <c r="N440" s="10" t="n"/>
      <c r="O440" s="10" t="n"/>
      <c r="P440" s="10" t="n"/>
      <c r="Q440" s="10" t="n"/>
      <c r="R440" s="10" t="n"/>
    </row>
    <row r="441">
      <c r="A441" s="10" t="inlineStr">
        <is>
          <t>Hiciscus Ext.</t>
        </is>
      </c>
      <c r="B441" s="10" t="n"/>
      <c r="C441" s="10" t="n"/>
      <c r="D441" s="5" t="n"/>
      <c r="E441" s="5" t="n"/>
      <c r="F441" s="10" t="n"/>
      <c r="G441" s="5" t="n"/>
      <c r="H441" s="5" t="n"/>
      <c r="I441" s="5" t="n"/>
      <c r="J441" s="5" t="n"/>
      <c r="K441" s="10" t="inlineStr">
        <is>
          <t>Not on master list (time records)</t>
        </is>
      </c>
      <c r="L441" s="5" t="n"/>
      <c r="M441" s="5" t="n"/>
      <c r="N441" s="10" t="n"/>
      <c r="O441" s="10" t="n"/>
      <c r="P441" s="10" t="n"/>
      <c r="Q441" s="10" t="n"/>
      <c r="R441" s="10" t="n"/>
    </row>
    <row r="442">
      <c r="A442" s="10" t="inlineStr">
        <is>
          <t>Histidine</t>
        </is>
      </c>
      <c r="B442" s="10" t="n"/>
      <c r="C442" s="10" t="n"/>
      <c r="D442" s="5" t="n"/>
      <c r="E442" s="5" t="n"/>
      <c r="F442" s="10" t="n"/>
      <c r="G442" s="5" t="n"/>
      <c r="H442" s="5" t="n"/>
      <c r="I442" s="5" t="n"/>
      <c r="J442" s="5" t="n"/>
      <c r="K442" s="10" t="inlineStr">
        <is>
          <t>Not on master list (time records)</t>
        </is>
      </c>
      <c r="L442" s="5" t="n"/>
      <c r="M442" s="5" t="n"/>
      <c r="N442" s="10" t="n"/>
      <c r="O442" s="10" t="n"/>
      <c r="P442" s="10" t="n"/>
      <c r="Q442" s="10" t="n"/>
      <c r="R442" s="10" t="n"/>
    </row>
    <row r="443">
      <c r="A443" s="10" t="inlineStr">
        <is>
          <t>Holder XAde 60pcs</t>
        </is>
      </c>
      <c r="B443" s="10" t="n"/>
      <c r="C443" s="10" t="n"/>
      <c r="D443" s="5" t="n"/>
      <c r="E443" s="5" t="n"/>
      <c r="F443" s="10" t="n"/>
      <c r="G443" s="5" t="n"/>
      <c r="H443" s="5" t="n"/>
      <c r="I443" s="5" t="n"/>
      <c r="J443" s="5" t="n"/>
      <c r="K443" s="10" t="inlineStr">
        <is>
          <t>Not on master list (time records)</t>
        </is>
      </c>
      <c r="L443" s="5" t="n"/>
      <c r="M443" s="5" t="n"/>
      <c r="N443" s="10" t="n"/>
      <c r="O443" s="10" t="n"/>
      <c r="P443" s="10" t="n"/>
      <c r="Q443" s="10" t="n"/>
      <c r="R443" s="10" t="n"/>
    </row>
    <row r="444">
      <c r="A444" s="10" t="inlineStr">
        <is>
          <t>Horehound</t>
        </is>
      </c>
      <c r="B444" s="10" t="n"/>
      <c r="C444" s="10" t="n"/>
      <c r="D444" s="5" t="n"/>
      <c r="E444" s="5" t="n"/>
      <c r="F444" s="10" t="n"/>
      <c r="G444" s="5" t="n"/>
      <c r="H444" s="5" t="n"/>
      <c r="I444" s="5" t="n"/>
      <c r="J444" s="5" t="n"/>
      <c r="K444" s="10" t="inlineStr">
        <is>
          <t>Not on master list (time records)</t>
        </is>
      </c>
      <c r="L444" s="5" t="n"/>
      <c r="M444" s="5" t="n"/>
      <c r="N444" s="10" t="n"/>
      <c r="O444" s="10" t="n"/>
      <c r="P444" s="10" t="n"/>
      <c r="Q444" s="10" t="n"/>
      <c r="R444" s="10" t="n"/>
    </row>
    <row r="445">
      <c r="A445" s="10" t="inlineStr">
        <is>
          <t>Horse Tail</t>
        </is>
      </c>
      <c r="B445" s="10" t="n"/>
      <c r="C445" s="10" t="n"/>
      <c r="D445" s="5" t="n"/>
      <c r="E445" s="5" t="n"/>
      <c r="F445" s="10" t="n"/>
      <c r="G445" s="5" t="n"/>
      <c r="H445" s="5" t="n"/>
      <c r="I445" s="5" t="n"/>
      <c r="J445" s="5" t="n"/>
      <c r="K445" s="10" t="inlineStr">
        <is>
          <t>Not on master list (time records)</t>
        </is>
      </c>
      <c r="L445" s="5" t="n"/>
      <c r="M445" s="5" t="n"/>
      <c r="N445" s="10" t="n"/>
      <c r="O445" s="10" t="n"/>
      <c r="P445" s="10" t="n"/>
      <c r="Q445" s="10" t="n"/>
      <c r="R445" s="10" t="n"/>
    </row>
    <row r="446">
      <c r="A446" s="10" t="inlineStr">
        <is>
          <t>HPMC</t>
        </is>
      </c>
      <c r="B446" s="10" t="n"/>
      <c r="C446" s="10" t="n"/>
      <c r="D446" s="5" t="n"/>
      <c r="E446" s="5" t="n"/>
      <c r="F446" s="10" t="n"/>
      <c r="G446" s="5" t="n"/>
      <c r="H446" s="5" t="n"/>
      <c r="I446" s="5" t="n"/>
      <c r="J446" s="5" t="n"/>
      <c r="K446" s="10" t="inlineStr">
        <is>
          <t>Not on master list (purchase list)</t>
        </is>
      </c>
      <c r="L446" s="5" t="n"/>
      <c r="M446" s="5" t="n"/>
      <c r="N446" s="10" t="n"/>
      <c r="O446" s="10" t="n"/>
      <c r="P446" s="10" t="n"/>
      <c r="Q446" s="10" t="n"/>
      <c r="R446" s="10" t="n"/>
    </row>
    <row r="447">
      <c r="A447" s="10" t="inlineStr">
        <is>
          <t>HPMC 15</t>
        </is>
      </c>
      <c r="B447" s="10" t="n"/>
      <c r="C447" s="10" t="n"/>
      <c r="D447" s="5" t="n"/>
      <c r="E447" s="5" t="n"/>
      <c r="F447" s="10" t="n"/>
      <c r="G447" s="5" t="n"/>
      <c r="H447" s="5" t="n"/>
      <c r="I447" s="5" t="n"/>
      <c r="J447" s="5" t="n"/>
      <c r="K447" s="10" t="inlineStr">
        <is>
          <t>Not on master list (purchase list)</t>
        </is>
      </c>
      <c r="L447" s="5" t="n"/>
      <c r="M447" s="5" t="n"/>
      <c r="N447" s="10" t="n"/>
      <c r="O447" s="10" t="n"/>
      <c r="P447" s="10" t="n"/>
      <c r="Q447" s="10" t="n"/>
      <c r="R447" s="10" t="n"/>
    </row>
    <row r="448">
      <c r="A448" s="10" t="inlineStr">
        <is>
          <t>HPMC 6E</t>
        </is>
      </c>
      <c r="B448" s="10" t="n"/>
      <c r="C448" s="10" t="n"/>
      <c r="D448" s="5" t="n"/>
      <c r="E448" s="5" t="n"/>
      <c r="F448" s="10" t="n"/>
      <c r="G448" s="5" t="n"/>
      <c r="H448" s="5" t="n"/>
      <c r="I448" s="5" t="n"/>
      <c r="J448" s="5" t="n"/>
      <c r="K448" s="10" t="inlineStr">
        <is>
          <t>Not on master list (purchase list)</t>
        </is>
      </c>
      <c r="L448" s="5" t="n"/>
      <c r="M448" s="5" t="n"/>
      <c r="N448" s="10" t="n"/>
      <c r="O448" s="10" t="n"/>
      <c r="P448" s="10" t="n"/>
      <c r="Q448" s="10" t="n"/>
      <c r="R448" s="10" t="n"/>
    </row>
    <row r="449">
      <c r="A449" s="10" t="inlineStr">
        <is>
          <t>HPMC E6</t>
        </is>
      </c>
      <c r="B449" s="10" t="n"/>
      <c r="C449" s="10" t="n"/>
      <c r="D449" s="5" t="n"/>
      <c r="E449" s="5" t="n"/>
      <c r="F449" s="10" t="n"/>
      <c r="G449" s="5" t="n"/>
      <c r="H449" s="5" t="n"/>
      <c r="I449" s="5" t="n"/>
      <c r="J449" s="5" t="n"/>
      <c r="K449" s="10" t="inlineStr">
        <is>
          <t>Not on master list (purchase list)</t>
        </is>
      </c>
      <c r="L449" s="5" t="n"/>
      <c r="M449" s="5" t="n"/>
      <c r="N449" s="10" t="n"/>
      <c r="O449" s="10" t="n"/>
      <c r="P449" s="10" t="n"/>
      <c r="Q449" s="10" t="n"/>
      <c r="R449" s="10" t="n"/>
    </row>
    <row r="450">
      <c r="A450" s="10" t="inlineStr">
        <is>
          <t>Hyaluronic Acid</t>
        </is>
      </c>
      <c r="B450" s="10" t="n"/>
      <c r="C450" s="10" t="n"/>
      <c r="D450" s="5" t="n"/>
      <c r="E450" s="5" t="n"/>
      <c r="F450" s="10" t="n"/>
      <c r="G450" s="5" t="n"/>
      <c r="H450" s="5" t="n"/>
      <c r="I450" s="5" t="n"/>
      <c r="J450" s="5" t="n"/>
      <c r="K450" s="10" t="inlineStr">
        <is>
          <t>Not on master list (time records)</t>
        </is>
      </c>
      <c r="L450" s="5" t="n"/>
      <c r="M450" s="5" t="n"/>
      <c r="N450" s="10" t="n"/>
      <c r="O450" s="10" t="n"/>
      <c r="P450" s="10" t="n"/>
      <c r="Q450" s="10" t="n"/>
      <c r="R450" s="10" t="n"/>
    </row>
    <row r="451">
      <c r="A451" s="10" t="inlineStr">
        <is>
          <t>Hydrochloricacid furming 37%</t>
        </is>
      </c>
      <c r="B451" s="10" t="n"/>
      <c r="C451" s="10" t="n"/>
      <c r="D451" s="5" t="n"/>
      <c r="E451" s="5" t="n"/>
      <c r="F451" s="10" t="n"/>
      <c r="G451" s="5" t="n"/>
      <c r="H451" s="5" t="n"/>
      <c r="I451" s="5" t="n"/>
      <c r="J451" s="5" t="n"/>
      <c r="K451" s="10" t="inlineStr">
        <is>
          <t>Not on master list (purchase list)</t>
        </is>
      </c>
      <c r="L451" s="5" t="n"/>
      <c r="M451" s="5" t="n"/>
      <c r="N451" s="10" t="n"/>
      <c r="O451" s="10" t="n"/>
      <c r="P451" s="10" t="n"/>
      <c r="Q451" s="10" t="n"/>
      <c r="R451" s="10" t="n"/>
    </row>
    <row r="452">
      <c r="A452" s="10" t="inlineStr">
        <is>
          <t>Hydrochlorid Acid</t>
        </is>
      </c>
      <c r="B452" s="10" t="n"/>
      <c r="C452" s="10" t="n"/>
      <c r="D452" s="5" t="n"/>
      <c r="E452" s="5" t="n"/>
      <c r="F452" s="10" t="n"/>
      <c r="G452" s="5" t="n"/>
      <c r="H452" s="5" t="n"/>
      <c r="I452" s="5" t="n"/>
      <c r="J452" s="5" t="n"/>
      <c r="K452" s="10" t="inlineStr">
        <is>
          <t>Not on master list (time records)</t>
        </is>
      </c>
      <c r="L452" s="5" t="n"/>
      <c r="M452" s="5" t="n"/>
      <c r="N452" s="10" t="n"/>
      <c r="O452" s="10" t="n"/>
      <c r="P452" s="10" t="n"/>
      <c r="Q452" s="10" t="n"/>
      <c r="R452" s="10" t="n"/>
    </row>
    <row r="453">
      <c r="A453" s="10" t="inlineStr">
        <is>
          <t>Hydrolized Gelatine</t>
        </is>
      </c>
      <c r="B453" s="10" t="n"/>
      <c r="C453" s="10" t="n"/>
      <c r="D453" s="5" t="n"/>
      <c r="E453" s="5" t="n"/>
      <c r="F453" s="10" t="n"/>
      <c r="G453" s="5" t="n"/>
      <c r="H453" s="5" t="n"/>
      <c r="I453" s="5" t="n"/>
      <c r="J453" s="5" t="n"/>
      <c r="K453" s="10" t="inlineStr">
        <is>
          <t>Not on master list (time records)</t>
        </is>
      </c>
      <c r="L453" s="5" t="n"/>
      <c r="M453" s="5" t="n"/>
      <c r="N453" s="10" t="n"/>
      <c r="O453" s="10" t="n"/>
      <c r="P453" s="10" t="n"/>
      <c r="Q453" s="10" t="n"/>
      <c r="R453" s="10" t="n"/>
    </row>
    <row r="454">
      <c r="A454" s="10" t="inlineStr">
        <is>
          <t>Hydrolized Polyvinyl Alcohol (HPA)</t>
        </is>
      </c>
      <c r="B454" s="10" t="n"/>
      <c r="C454" s="10" t="n"/>
      <c r="D454" s="5" t="n"/>
      <c r="E454" s="5" t="n"/>
      <c r="F454" s="10" t="n"/>
      <c r="G454" s="5" t="n"/>
      <c r="H454" s="5" t="n"/>
      <c r="I454" s="5" t="n"/>
      <c r="J454" s="5" t="n"/>
      <c r="K454" s="10" t="inlineStr">
        <is>
          <t>Not on master list (time records)</t>
        </is>
      </c>
      <c r="L454" s="5" t="n"/>
      <c r="M454" s="5" t="n"/>
      <c r="N454" s="10" t="n"/>
      <c r="O454" s="10" t="n"/>
      <c r="P454" s="10" t="n"/>
      <c r="Q454" s="10" t="n"/>
      <c r="R454" s="10" t="n"/>
    </row>
    <row r="455">
      <c r="A455" s="10" t="inlineStr">
        <is>
          <t>Hydrolyzed Keratin</t>
        </is>
      </c>
      <c r="B455" s="10" t="n"/>
      <c r="C455" s="10" t="n"/>
      <c r="D455" s="5" t="n"/>
      <c r="E455" s="5" t="n"/>
      <c r="F455" s="10" t="n"/>
      <c r="G455" s="5" t="n"/>
      <c r="H455" s="5" t="n"/>
      <c r="I455" s="5" t="n"/>
      <c r="J455" s="5" t="n"/>
      <c r="K455" s="10" t="inlineStr">
        <is>
          <t>Not on master list (time records)</t>
        </is>
      </c>
      <c r="L455" s="5" t="n"/>
      <c r="M455" s="5" t="n"/>
      <c r="N455" s="10" t="n"/>
      <c r="O455" s="10" t="n"/>
      <c r="P455" s="10" t="n"/>
      <c r="Q455" s="10" t="n"/>
      <c r="R455" s="10" t="n"/>
    </row>
    <row r="456">
      <c r="A456" s="10" t="inlineStr">
        <is>
          <t>Hydroxy Propyl Cellulose H</t>
        </is>
      </c>
      <c r="B456" s="10" t="n"/>
      <c r="C456" s="10" t="n"/>
      <c r="D456" s="5" t="n"/>
      <c r="E456" s="5" t="n"/>
      <c r="F456" s="10" t="n"/>
      <c r="G456" s="5" t="n"/>
      <c r="H456" s="5" t="n"/>
      <c r="I456" s="5" t="n"/>
      <c r="J456" s="5" t="n"/>
      <c r="K456" s="10" t="inlineStr">
        <is>
          <t>Not on master list (time records)</t>
        </is>
      </c>
      <c r="L456" s="5" t="n"/>
      <c r="M456" s="5" t="n"/>
      <c r="N456" s="10" t="n"/>
      <c r="O456" s="10" t="n"/>
      <c r="P456" s="10" t="n"/>
      <c r="Q456" s="10" t="n"/>
      <c r="R456" s="10" t="n"/>
    </row>
    <row r="457">
      <c r="A457" s="10" t="inlineStr">
        <is>
          <t>Hydroxy Propyl Cellulose VH</t>
        </is>
      </c>
      <c r="B457" s="10" t="n"/>
      <c r="C457" s="10" t="n"/>
      <c r="D457" s="5" t="n"/>
      <c r="E457" s="5" t="n"/>
      <c r="F457" s="10" t="n"/>
      <c r="G457" s="5" t="n"/>
      <c r="H457" s="5" t="n"/>
      <c r="I457" s="5" t="n"/>
      <c r="J457" s="5" t="n"/>
      <c r="K457" s="10" t="inlineStr">
        <is>
          <t>Not on master list (time records)</t>
        </is>
      </c>
      <c r="L457" s="5" t="n"/>
      <c r="M457" s="5" t="n"/>
      <c r="N457" s="10" t="n"/>
      <c r="O457" s="10" t="n"/>
      <c r="P457" s="10" t="n"/>
      <c r="Q457" s="10" t="n"/>
      <c r="R457" s="10" t="n"/>
    </row>
    <row r="458">
      <c r="A458" s="10" t="inlineStr">
        <is>
          <t>Hydroxy Propyl Methyl Cellulose 15000cps (K15M CR)</t>
        </is>
      </c>
      <c r="B458" s="10" t="n"/>
      <c r="C458" s="10" t="n"/>
      <c r="D458" s="5" t="n"/>
      <c r="E458" s="5" t="n"/>
      <c r="F458" s="10" t="n"/>
      <c r="G458" s="5" t="n"/>
      <c r="H458" s="5" t="n"/>
      <c r="I458" s="5" t="n"/>
      <c r="J458" s="5" t="n"/>
      <c r="K458" s="10" t="inlineStr">
        <is>
          <t>Not on master list (time records)</t>
        </is>
      </c>
      <c r="L458" s="5" t="n"/>
      <c r="M458" s="5" t="n"/>
      <c r="N458" s="10" t="n"/>
      <c r="O458" s="10" t="n"/>
      <c r="P458" s="10" t="n">
        <v>4.18</v>
      </c>
      <c r="Q458" s="10" t="n"/>
      <c r="R458" s="10" t="n"/>
    </row>
    <row r="459">
      <c r="A459" s="10" t="inlineStr">
        <is>
          <t>Hydroxy Propyl Methyl Cellulose-6</t>
        </is>
      </c>
      <c r="B459" s="10" t="n"/>
      <c r="C459" s="10" t="n"/>
      <c r="D459" s="5" t="n"/>
      <c r="E459" s="5" t="n"/>
      <c r="F459" s="10" t="n"/>
      <c r="G459" s="5" t="n"/>
      <c r="H459" s="5" t="n"/>
      <c r="I459" s="5" t="n"/>
      <c r="J459" s="5" t="n"/>
      <c r="K459" s="10" t="inlineStr">
        <is>
          <t>Not on master list (purchase list)</t>
        </is>
      </c>
      <c r="L459" s="5" t="n"/>
      <c r="M459" s="5" t="n"/>
      <c r="N459" s="10" t="n"/>
      <c r="O459" s="10" t="n"/>
      <c r="P459" s="10" t="n"/>
      <c r="Q459" s="10" t="n"/>
      <c r="R459" s="10" t="n"/>
    </row>
    <row r="460">
      <c r="A460" s="10" t="inlineStr">
        <is>
          <t>Hydroxy Trypto Phan (HTP)</t>
        </is>
      </c>
      <c r="B460" s="10" t="n"/>
      <c r="C460" s="10" t="n"/>
      <c r="D460" s="5" t="n"/>
      <c r="E460" s="5" t="n"/>
      <c r="F460" s="10" t="n"/>
      <c r="G460" s="5" t="n"/>
      <c r="H460" s="5" t="n"/>
      <c r="I460" s="5" t="n"/>
      <c r="J460" s="5" t="n"/>
      <c r="K460" s="10" t="inlineStr">
        <is>
          <t>Not on master list (time records)</t>
        </is>
      </c>
      <c r="L460" s="5" t="n"/>
      <c r="M460" s="5" t="n"/>
      <c r="N460" s="10" t="n"/>
      <c r="O460" s="10" t="n"/>
      <c r="P460" s="10" t="n"/>
      <c r="Q460" s="10" t="n"/>
      <c r="R460" s="10" t="n"/>
    </row>
    <row r="461">
      <c r="A461" s="10" t="inlineStr">
        <is>
          <t>Hydroxypropyl Methyl Cellulose E15</t>
        </is>
      </c>
      <c r="B461" s="10" t="n"/>
      <c r="C461" s="10" t="n"/>
      <c r="D461" s="5" t="n"/>
      <c r="E461" s="5" t="n"/>
      <c r="F461" s="10" t="n"/>
      <c r="G461" s="5" t="n"/>
      <c r="H461" s="5" t="n"/>
      <c r="I461" s="5" t="n"/>
      <c r="J461" s="5" t="n"/>
      <c r="K461" s="10" t="inlineStr">
        <is>
          <t>Not on master list (purchase list)</t>
        </is>
      </c>
      <c r="L461" s="5" t="n"/>
      <c r="M461" s="5" t="n"/>
      <c r="N461" s="10" t="n"/>
      <c r="O461" s="10" t="n"/>
      <c r="P461" s="10" t="n"/>
      <c r="Q461" s="10" t="n"/>
      <c r="R461" s="10" t="n"/>
    </row>
    <row r="462">
      <c r="A462" s="10" t="inlineStr">
        <is>
          <t>Hydroxypropyl Methyl Cellulose E6</t>
        </is>
      </c>
      <c r="B462" s="10" t="n"/>
      <c r="C462" s="10" t="n"/>
      <c r="D462" s="5" t="n"/>
      <c r="E462" s="5" t="n"/>
      <c r="F462" s="10" t="n"/>
      <c r="G462" s="5" t="n"/>
      <c r="H462" s="5" t="n"/>
      <c r="I462" s="5" t="n"/>
      <c r="J462" s="5" t="n"/>
      <c r="K462" s="10" t="inlineStr">
        <is>
          <t>Not on master list (purchase list)</t>
        </is>
      </c>
      <c r="L462" s="5" t="n"/>
      <c r="M462" s="5" t="n"/>
      <c r="N462" s="10" t="n"/>
      <c r="O462" s="10" t="n"/>
      <c r="P462" s="10" t="n"/>
      <c r="Q462" s="10" t="n"/>
      <c r="R462" s="10" t="n"/>
    </row>
    <row r="463">
      <c r="A463" s="10" t="inlineStr">
        <is>
          <t>Hydroxypropyl Methyl Cellulose K100M</t>
        </is>
      </c>
      <c r="B463" s="10" t="n"/>
      <c r="C463" s="10" t="n"/>
      <c r="D463" s="5" t="n"/>
      <c r="E463" s="5" t="n"/>
      <c r="F463" s="10" t="n"/>
      <c r="G463" s="5" t="n"/>
      <c r="H463" s="5" t="n"/>
      <c r="I463" s="5" t="n"/>
      <c r="J463" s="5" t="n"/>
      <c r="K463" s="10" t="inlineStr">
        <is>
          <t>Not on master list (time records)</t>
        </is>
      </c>
      <c r="L463" s="5" t="n"/>
      <c r="M463" s="5" t="n"/>
      <c r="N463" s="10" t="n"/>
      <c r="O463" s="10" t="n"/>
      <c r="P463" s="10" t="n">
        <v>4.18</v>
      </c>
      <c r="Q463" s="10" t="n"/>
      <c r="R463" s="10" t="n"/>
    </row>
    <row r="464">
      <c r="A464" s="10" t="inlineStr">
        <is>
          <t>Hypromellose-6</t>
        </is>
      </c>
      <c r="B464" s="10" t="n"/>
      <c r="C464" s="10" t="n"/>
      <c r="D464" s="5" t="n"/>
      <c r="E464" s="5" t="n"/>
      <c r="F464" s="10" t="n"/>
      <c r="G464" s="5" t="n"/>
      <c r="H464" s="5" t="n"/>
      <c r="I464" s="5" t="n"/>
      <c r="J464" s="5" t="n"/>
      <c r="K464" s="10" t="inlineStr">
        <is>
          <t>Not on master list (purchase list)</t>
        </is>
      </c>
      <c r="L464" s="5" t="n"/>
      <c r="M464" s="5" t="n"/>
      <c r="N464" s="10" t="n"/>
      <c r="O464" s="10" t="n"/>
      <c r="P464" s="10" t="n"/>
      <c r="Q464" s="10" t="n"/>
      <c r="R464" s="10" t="n"/>
    </row>
    <row r="465">
      <c r="A465" s="10" t="inlineStr">
        <is>
          <t>Hypromellose-E-15</t>
        </is>
      </c>
      <c r="B465" s="10" t="n"/>
      <c r="C465" s="10" t="n"/>
      <c r="D465" s="5" t="n"/>
      <c r="E465" s="5" t="n"/>
      <c r="F465" s="10" t="n"/>
      <c r="G465" s="5" t="n"/>
      <c r="H465" s="5" t="n"/>
      <c r="I465" s="5" t="n"/>
      <c r="J465" s="5" t="n"/>
      <c r="K465" s="10" t="inlineStr">
        <is>
          <t>Not on master list (purchase list)</t>
        </is>
      </c>
      <c r="L465" s="5" t="n"/>
      <c r="M465" s="5" t="n"/>
      <c r="N465" s="10" t="n"/>
      <c r="O465" s="10" t="n"/>
      <c r="P465" s="10" t="n"/>
      <c r="Q465" s="10" t="n"/>
      <c r="R465" s="10" t="n"/>
    </row>
    <row r="466">
      <c r="A466" s="10" t="inlineStr">
        <is>
          <t>Hypromellose-K4m</t>
        </is>
      </c>
      <c r="B466" s="10" t="n"/>
      <c r="C466" s="10" t="n"/>
      <c r="D466" s="5" t="n"/>
      <c r="E466" s="5" t="n"/>
      <c r="F466" s="10" t="n"/>
      <c r="G466" s="5" t="n"/>
      <c r="H466" s="5" t="n"/>
      <c r="I466" s="5" t="n"/>
      <c r="J466" s="5" t="n"/>
      <c r="K466" s="10" t="inlineStr">
        <is>
          <t>Not on master list (purchase list)</t>
        </is>
      </c>
      <c r="L466" s="5" t="n"/>
      <c r="M466" s="5" t="n"/>
      <c r="N466" s="10" t="n"/>
      <c r="O466" s="10" t="n"/>
      <c r="P466" s="10" t="n"/>
      <c r="Q466" s="10" t="n"/>
      <c r="R466" s="10" t="n"/>
    </row>
    <row r="467">
      <c r="A467" s="10" t="inlineStr">
        <is>
          <t>Hyrochloric Acid (for Injection)</t>
        </is>
      </c>
      <c r="B467" s="10" t="n"/>
      <c r="C467" s="10" t="n"/>
      <c r="D467" s="5" t="n"/>
      <c r="E467" s="5" t="n"/>
      <c r="F467" s="10" t="n"/>
      <c r="G467" s="5" t="n"/>
      <c r="H467" s="5" t="n"/>
      <c r="I467" s="5" t="n"/>
      <c r="J467" s="5" t="n"/>
      <c r="K467" s="10" t="inlineStr">
        <is>
          <t>Not on master list (time records)</t>
        </is>
      </c>
      <c r="L467" s="5" t="n"/>
      <c r="M467" s="5" t="n"/>
      <c r="N467" s="10" t="n"/>
      <c r="O467" s="10" t="n"/>
      <c r="P467" s="10" t="n"/>
      <c r="Q467" s="10" t="n"/>
      <c r="R467" s="10" t="n"/>
    </row>
    <row r="468">
      <c r="A468" s="10" t="inlineStr">
        <is>
          <t>Ibrutinib</t>
        </is>
      </c>
      <c r="B468" s="10" t="n"/>
      <c r="C468" s="10" t="n"/>
      <c r="D468" s="5" t="n"/>
      <c r="E468" s="5" t="n"/>
      <c r="F468" s="10" t="n"/>
      <c r="G468" s="5" t="n"/>
      <c r="H468" s="5" t="n"/>
      <c r="I468" s="5" t="n"/>
      <c r="J468" s="5" t="n"/>
      <c r="K468" s="10" t="inlineStr">
        <is>
          <t>Not on master list (time records)</t>
        </is>
      </c>
      <c r="L468" s="5" t="n"/>
      <c r="M468" s="5" t="n"/>
      <c r="N468" s="10" t="n"/>
      <c r="O468" s="10" t="n"/>
      <c r="P468" s="10" t="n"/>
      <c r="Q468" s="10" t="n"/>
      <c r="R468" s="10" t="n"/>
    </row>
    <row r="469">
      <c r="A469" s="10" t="inlineStr">
        <is>
          <t>Ibrutinib Granule Ready to Press</t>
        </is>
      </c>
      <c r="B469" s="10" t="n"/>
      <c r="C469" s="10" t="n"/>
      <c r="D469" s="5" t="n"/>
      <c r="E469" s="5" t="n"/>
      <c r="F469" s="10" t="n"/>
      <c r="G469" s="5" t="n"/>
      <c r="H469" s="5" t="n"/>
      <c r="I469" s="5" t="n"/>
      <c r="J469" s="5" t="n"/>
      <c r="K469" s="10" t="inlineStr">
        <is>
          <t>Not on master list (time records)</t>
        </is>
      </c>
      <c r="L469" s="5" t="n"/>
      <c r="M469" s="5" t="n"/>
      <c r="N469" s="10" t="n"/>
      <c r="O469" s="10" t="n"/>
      <c r="P469" s="10" t="n"/>
      <c r="Q469" s="10" t="n"/>
      <c r="R469" s="10" t="n"/>
    </row>
    <row r="470">
      <c r="A470" s="10" t="inlineStr">
        <is>
          <t>Ibuprofen</t>
        </is>
      </c>
      <c r="B470" s="10" t="n"/>
      <c r="C470" s="10" t="n"/>
      <c r="D470" s="5" t="n"/>
      <c r="E470" s="5" t="n"/>
      <c r="F470" s="10" t="n"/>
      <c r="G470" s="5" t="n"/>
      <c r="H470" s="5" t="n"/>
      <c r="I470" s="5" t="n"/>
      <c r="J470" s="5" t="n"/>
      <c r="K470" s="10" t="inlineStr">
        <is>
          <t>Not on master list (time records)</t>
        </is>
      </c>
      <c r="L470" s="5" t="n"/>
      <c r="M470" s="5" t="n"/>
      <c r="N470" s="10" t="n"/>
      <c r="O470" s="10" t="n"/>
      <c r="P470" s="10" t="n"/>
      <c r="Q470" s="10" t="n"/>
      <c r="R470" s="10" t="n"/>
    </row>
    <row r="471">
      <c r="A471" s="10" t="inlineStr">
        <is>
          <t>Indigo Carmine, FD&amp;C Blue No.2</t>
        </is>
      </c>
      <c r="B471" s="10" t="n"/>
      <c r="C471" s="10" t="n"/>
      <c r="D471" s="5" t="n"/>
      <c r="E471" s="5" t="n"/>
      <c r="F471" s="10" t="n"/>
      <c r="G471" s="5" t="n"/>
      <c r="H471" s="5" t="n"/>
      <c r="I471" s="5" t="n"/>
      <c r="J471" s="5" t="n"/>
      <c r="K471" s="10" t="inlineStr">
        <is>
          <t>Not on master list (time records)</t>
        </is>
      </c>
      <c r="L471" s="5" t="n"/>
      <c r="M471" s="5" t="n"/>
      <c r="N471" s="10" t="n"/>
      <c r="O471" s="10" t="n"/>
      <c r="P471" s="10" t="n"/>
      <c r="Q471" s="10" t="n"/>
      <c r="R471" s="10" t="n"/>
    </row>
    <row r="472">
      <c r="A472" s="10" t="inlineStr">
        <is>
          <t>Inolin</t>
        </is>
      </c>
      <c r="B472" s="10" t="n"/>
      <c r="C472" s="10" t="n"/>
      <c r="D472" s="5" t="n"/>
      <c r="E472" s="5" t="n"/>
      <c r="F472" s="10" t="n"/>
      <c r="G472" s="5" t="n"/>
      <c r="H472" s="5" t="n"/>
      <c r="I472" s="5" t="n"/>
      <c r="J472" s="5" t="n"/>
      <c r="K472" s="10" t="inlineStr">
        <is>
          <t>Not on master list (time records)</t>
        </is>
      </c>
      <c r="L472" s="5" t="n"/>
      <c r="M472" s="5" t="n"/>
      <c r="N472" s="10" t="n"/>
      <c r="O472" s="10" t="n"/>
      <c r="P472" s="10" t="n"/>
      <c r="Q472" s="10" t="n"/>
      <c r="R472" s="10" t="n"/>
    </row>
    <row r="473">
      <c r="A473" s="10" t="inlineStr">
        <is>
          <t>Iodin Solution O.IN</t>
        </is>
      </c>
      <c r="B473" s="10" t="n"/>
      <c r="C473" s="10" t="n"/>
      <c r="D473" s="5" t="n"/>
      <c r="E473" s="5" t="n"/>
      <c r="F473" s="10" t="n"/>
      <c r="G473" s="5" t="n"/>
      <c r="H473" s="5" t="n"/>
      <c r="I473" s="5" t="n"/>
      <c r="J473" s="5" t="n"/>
      <c r="K473" s="10" t="inlineStr">
        <is>
          <t>Not on master list (time records)</t>
        </is>
      </c>
      <c r="L473" s="5" t="n"/>
      <c r="M473" s="5" t="n"/>
      <c r="N473" s="10" t="n"/>
      <c r="O473" s="10" t="n"/>
      <c r="P473" s="10" t="n"/>
      <c r="Q473" s="10" t="n"/>
      <c r="R473" s="10" t="n"/>
    </row>
    <row r="474">
      <c r="A474" s="10" t="inlineStr">
        <is>
          <t>Iron Bis Glycinate</t>
        </is>
      </c>
      <c r="B474" s="10" t="n"/>
      <c r="C474" s="10" t="n"/>
      <c r="D474" s="5" t="n"/>
      <c r="E474" s="5" t="n"/>
      <c r="F474" s="10" t="n"/>
      <c r="G474" s="5" t="n"/>
      <c r="H474" s="5" t="n"/>
      <c r="I474" s="5" t="n"/>
      <c r="J474" s="5" t="n"/>
      <c r="K474" s="10" t="inlineStr">
        <is>
          <t>Not on master list (purchase list)</t>
        </is>
      </c>
      <c r="L474" s="5" t="n"/>
      <c r="M474" s="5" t="n"/>
      <c r="N474" s="10" t="n"/>
      <c r="O474" s="10" t="n"/>
      <c r="P474" s="10" t="n"/>
      <c r="Q474" s="10" t="n"/>
      <c r="R474" s="10" t="n"/>
    </row>
    <row r="475">
      <c r="A475" s="10" t="inlineStr">
        <is>
          <t>Iron Liposomal</t>
        </is>
      </c>
      <c r="B475" s="10" t="n"/>
      <c r="C475" s="10" t="n"/>
      <c r="D475" s="5" t="n"/>
      <c r="E475" s="5" t="n"/>
      <c r="F475" s="10" t="n"/>
      <c r="G475" s="5" t="n"/>
      <c r="H475" s="5" t="n"/>
      <c r="I475" s="5" t="n"/>
      <c r="J475" s="5" t="n"/>
      <c r="K475" s="10" t="inlineStr">
        <is>
          <t>Not on master list (time records)</t>
        </is>
      </c>
      <c r="L475" s="5" t="n"/>
      <c r="M475" s="5" t="n"/>
      <c r="N475" s="10" t="n"/>
      <c r="O475" s="10" t="n"/>
      <c r="P475" s="10" t="n"/>
      <c r="Q475" s="10" t="n"/>
      <c r="R475" s="10" t="n"/>
    </row>
    <row r="476">
      <c r="A476" s="10" t="inlineStr">
        <is>
          <t>Isolucine</t>
        </is>
      </c>
      <c r="B476" s="10" t="n"/>
      <c r="C476" s="10" t="n"/>
      <c r="D476" s="5" t="n"/>
      <c r="E476" s="5" t="n"/>
      <c r="F476" s="10" t="n"/>
      <c r="G476" s="5" t="n"/>
      <c r="H476" s="5" t="n"/>
      <c r="I476" s="5" t="n"/>
      <c r="J476" s="5" t="n"/>
      <c r="K476" s="10" t="inlineStr">
        <is>
          <t>Not on master list (time records)</t>
        </is>
      </c>
      <c r="L476" s="5" t="n"/>
      <c r="M476" s="5" t="n"/>
      <c r="N476" s="10" t="n"/>
      <c r="O476" s="10" t="n"/>
      <c r="P476" s="10" t="n"/>
      <c r="Q476" s="10" t="n"/>
      <c r="R476" s="10" t="n"/>
    </row>
    <row r="477">
      <c r="A477" s="10" t="inlineStr">
        <is>
          <t>Isotretinoin</t>
        </is>
      </c>
      <c r="B477" s="10" t="n"/>
      <c r="C477" s="10" t="n"/>
      <c r="D477" s="5" t="n"/>
      <c r="E477" s="5" t="n"/>
      <c r="F477" s="10" t="n"/>
      <c r="G477" s="5" t="n"/>
      <c r="H477" s="5" t="n"/>
      <c r="I477" s="5" t="n"/>
      <c r="J477" s="5" t="n"/>
      <c r="K477" s="10" t="inlineStr">
        <is>
          <t>Not on master list (time records)</t>
        </is>
      </c>
      <c r="L477" s="5" t="n"/>
      <c r="M477" s="5" t="n"/>
      <c r="N477" s="10" t="n"/>
      <c r="O477" s="10" t="n"/>
      <c r="P477" s="10" t="n"/>
      <c r="Q477" s="10" t="n"/>
      <c r="R477" s="10" t="n"/>
    </row>
    <row r="478">
      <c r="A478" s="10" t="inlineStr">
        <is>
          <t>Juniper Communis</t>
        </is>
      </c>
      <c r="B478" s="10" t="n"/>
      <c r="C478" s="10" t="n"/>
      <c r="D478" s="5" t="n"/>
      <c r="E478" s="5" t="n"/>
      <c r="F478" s="10" t="n"/>
      <c r="G478" s="5" t="n"/>
      <c r="H478" s="5" t="n"/>
      <c r="I478" s="5" t="n"/>
      <c r="J478" s="5" t="n"/>
      <c r="K478" s="10" t="inlineStr">
        <is>
          <t>Not on master list (purchase list)</t>
        </is>
      </c>
      <c r="L478" s="5" t="n"/>
      <c r="M478" s="5" t="n"/>
      <c r="N478" s="10" t="n"/>
      <c r="O478" s="10" t="n"/>
      <c r="P478" s="10" t="n"/>
      <c r="Q478" s="10" t="n"/>
      <c r="R478" s="10" t="n"/>
    </row>
    <row r="479">
      <c r="A479" s="10" t="inlineStr">
        <is>
          <t>Juniper Communis Extract</t>
        </is>
      </c>
      <c r="B479" s="10" t="n"/>
      <c r="C479" s="10" t="n"/>
      <c r="D479" s="5" t="n"/>
      <c r="E479" s="5" t="n"/>
      <c r="F479" s="10" t="n"/>
      <c r="G479" s="5" t="n"/>
      <c r="H479" s="5" t="n"/>
      <c r="I479" s="5" t="n"/>
      <c r="J479" s="5" t="n"/>
      <c r="K479" s="10" t="inlineStr">
        <is>
          <t>Not on master list (purchase list)</t>
        </is>
      </c>
      <c r="L479" s="5" t="n"/>
      <c r="M479" s="5" t="n"/>
      <c r="N479" s="10" t="n"/>
      <c r="O479" s="10" t="n"/>
      <c r="P479" s="10" t="n"/>
      <c r="Q479" s="10" t="n"/>
      <c r="R479" s="10" t="n"/>
    </row>
    <row r="480">
      <c r="A480" s="10" t="inlineStr">
        <is>
          <t>Juniper Extract</t>
        </is>
      </c>
      <c r="B480" s="10" t="n"/>
      <c r="C480" s="10" t="n"/>
      <c r="D480" s="5" t="n"/>
      <c r="E480" s="5" t="n"/>
      <c r="F480" s="10" t="n"/>
      <c r="G480" s="5" t="n"/>
      <c r="H480" s="5" t="n"/>
      <c r="I480" s="5" t="n"/>
      <c r="J480" s="5" t="n"/>
      <c r="K480" s="10" t="inlineStr">
        <is>
          <t>Not on master list (purchase list)</t>
        </is>
      </c>
      <c r="L480" s="5" t="n"/>
      <c r="M480" s="5" t="n"/>
      <c r="N480" s="10" t="n"/>
      <c r="O480" s="10" t="n"/>
      <c r="P480" s="10" t="n"/>
      <c r="Q480" s="10" t="n"/>
      <c r="R480" s="10" t="n"/>
    </row>
    <row r="481">
      <c r="A481" s="10" t="inlineStr">
        <is>
          <t>Kale (Cabbage Ext.)</t>
        </is>
      </c>
      <c r="B481" s="10" t="n"/>
      <c r="C481" s="10" t="n"/>
      <c r="D481" s="5" t="n"/>
      <c r="E481" s="5" t="n"/>
      <c r="F481" s="10" t="n"/>
      <c r="G481" s="5" t="n"/>
      <c r="H481" s="5" t="n"/>
      <c r="I481" s="5" t="n"/>
      <c r="J481" s="5" t="n"/>
      <c r="K481" s="10" t="inlineStr">
        <is>
          <t>Not on master list (time records)</t>
        </is>
      </c>
      <c r="L481" s="5" t="n"/>
      <c r="M481" s="5" t="n"/>
      <c r="N481" s="10" t="n"/>
      <c r="O481" s="10" t="n"/>
      <c r="P481" s="10" t="n"/>
      <c r="Q481" s="10" t="n"/>
      <c r="R481" s="10" t="n"/>
    </row>
    <row r="482">
      <c r="A482" s="10" t="inlineStr">
        <is>
          <t>Kamasutra Marketing Sachet</t>
        </is>
      </c>
      <c r="B482" s="10" t="n"/>
      <c r="C482" s="10" t="n"/>
      <c r="D482" s="5" t="n"/>
      <c r="E482" s="5" t="n"/>
      <c r="F482" s="10" t="n"/>
      <c r="G482" s="5" t="n"/>
      <c r="H482" s="5" t="n"/>
      <c r="I482" s="5" t="n"/>
      <c r="J482" s="5" t="n"/>
      <c r="K482" s="10" t="inlineStr">
        <is>
          <t>Not on master list (time records)</t>
        </is>
      </c>
      <c r="L482" s="5" t="n"/>
      <c r="M482" s="5" t="n"/>
      <c r="N482" s="10" t="n"/>
      <c r="O482" s="10" t="n"/>
      <c r="P482" s="10" t="n"/>
      <c r="Q482" s="10" t="n"/>
      <c r="R482" s="10" t="n"/>
    </row>
    <row r="483">
      <c r="A483" s="10" t="inlineStr">
        <is>
          <t>Kelp Ext.</t>
        </is>
      </c>
      <c r="B483" s="10" t="n"/>
      <c r="C483" s="10" t="n"/>
      <c r="D483" s="5" t="n"/>
      <c r="E483" s="5" t="n"/>
      <c r="F483" s="10" t="n"/>
      <c r="G483" s="5" t="n"/>
      <c r="H483" s="5" t="n"/>
      <c r="I483" s="5" t="n"/>
      <c r="J483" s="5" t="n"/>
      <c r="K483" s="10" t="inlineStr">
        <is>
          <t>Not on master list (time records)</t>
        </is>
      </c>
      <c r="L483" s="5" t="n"/>
      <c r="M483" s="5" t="n"/>
      <c r="N483" s="10" t="n"/>
      <c r="O483" s="10" t="n"/>
      <c r="P483" s="10" t="n"/>
      <c r="Q483" s="10" t="n"/>
      <c r="R483" s="10" t="n"/>
    </row>
    <row r="484">
      <c r="A484" s="10" t="inlineStr">
        <is>
          <t>Kolidon (BASF) CL-SF</t>
        </is>
      </c>
      <c r="B484" s="10" t="n"/>
      <c r="C484" s="10" t="n"/>
      <c r="D484" s="5" t="n"/>
      <c r="E484" s="5" t="n"/>
      <c r="F484" s="10" t="n"/>
      <c r="G484" s="5" t="n"/>
      <c r="H484" s="5" t="n"/>
      <c r="I484" s="5" t="n"/>
      <c r="J484" s="5" t="n"/>
      <c r="K484" s="10" t="inlineStr">
        <is>
          <t>Not on master list (time records)</t>
        </is>
      </c>
      <c r="L484" s="5" t="n"/>
      <c r="M484" s="5" t="n"/>
      <c r="N484" s="10" t="n"/>
      <c r="O484" s="10" t="n"/>
      <c r="P484" s="10" t="n"/>
      <c r="Q484" s="10" t="n"/>
      <c r="R484" s="10" t="n"/>
    </row>
    <row r="485">
      <c r="A485" s="10" t="inlineStr">
        <is>
          <t>Kollidon VA64</t>
        </is>
      </c>
      <c r="B485" s="10" t="n"/>
      <c r="C485" s="10" t="n"/>
      <c r="D485" s="5" t="n"/>
      <c r="E485" s="5" t="n"/>
      <c r="F485" s="10" t="n"/>
      <c r="G485" s="5" t="n"/>
      <c r="H485" s="5" t="n"/>
      <c r="I485" s="5" t="n"/>
      <c r="J485" s="5" t="n"/>
      <c r="K485" s="10" t="inlineStr">
        <is>
          <t>Not on master list (purchase list)</t>
        </is>
      </c>
      <c r="L485" s="5" t="n"/>
      <c r="M485" s="5" t="n"/>
      <c r="N485" s="10" t="n"/>
      <c r="O485" s="10" t="n"/>
      <c r="P485" s="10" t="n"/>
      <c r="Q485" s="10" t="n"/>
      <c r="R485" s="10" t="n"/>
    </row>
    <row r="486">
      <c r="A486" s="10" t="inlineStr">
        <is>
          <t>Kollidone VA 64</t>
        </is>
      </c>
      <c r="B486" s="10" t="n"/>
      <c r="C486" s="10" t="n"/>
      <c r="D486" s="5" t="n"/>
      <c r="E486" s="5" t="n"/>
      <c r="F486" s="10" t="n"/>
      <c r="G486" s="5" t="n"/>
      <c r="H486" s="5" t="n"/>
      <c r="I486" s="5" t="n"/>
      <c r="J486" s="5" t="n"/>
      <c r="K486" s="10" t="inlineStr">
        <is>
          <t>Not on master list (time records)</t>
        </is>
      </c>
      <c r="L486" s="5" t="n"/>
      <c r="M486" s="5" t="n"/>
      <c r="N486" s="10" t="n"/>
      <c r="O486" s="10" t="n"/>
      <c r="P486" s="10" t="n">
        <v>12.77</v>
      </c>
      <c r="Q486" s="10" t="n"/>
      <c r="R486" s="10" t="n"/>
    </row>
    <row r="487">
      <c r="A487" s="10" t="inlineStr">
        <is>
          <t>Kovidone VA64</t>
        </is>
      </c>
      <c r="B487" s="10" t="n"/>
      <c r="C487" s="10" t="n"/>
      <c r="D487" s="5" t="n"/>
      <c r="E487" s="5" t="n"/>
      <c r="F487" s="10" t="n"/>
      <c r="G487" s="5" t="n"/>
      <c r="H487" s="5" t="n"/>
      <c r="I487" s="5" t="n"/>
      <c r="J487" s="5" t="n"/>
      <c r="K487" s="10" t="inlineStr">
        <is>
          <t>Not on master list (purchase list)</t>
        </is>
      </c>
      <c r="L487" s="5" t="n"/>
      <c r="M487" s="5" t="n"/>
      <c r="N487" s="10" t="n"/>
      <c r="O487" s="10" t="n"/>
      <c r="P487" s="10" t="n"/>
      <c r="Q487" s="10" t="n"/>
      <c r="R487" s="10" t="n"/>
    </row>
    <row r="488">
      <c r="A488" s="10" t="inlineStr">
        <is>
          <t>L Arginine Base</t>
        </is>
      </c>
      <c r="B488" s="10" t="n"/>
      <c r="C488" s="10" t="n"/>
      <c r="D488" s="5" t="n"/>
      <c r="E488" s="5" t="n"/>
      <c r="F488" s="10" t="n"/>
      <c r="G488" s="5" t="n"/>
      <c r="H488" s="5" t="n"/>
      <c r="I488" s="5" t="n"/>
      <c r="J488" s="5" t="n"/>
      <c r="K488" s="10" t="inlineStr">
        <is>
          <t>Not on master list (purchase list)</t>
        </is>
      </c>
      <c r="L488" s="5" t="n"/>
      <c r="M488" s="5" t="n"/>
      <c r="N488" s="10" t="n"/>
      <c r="O488" s="10" t="n"/>
      <c r="P488" s="10" t="n"/>
      <c r="Q488" s="10" t="n"/>
      <c r="R488" s="10" t="n"/>
    </row>
    <row r="489">
      <c r="A489" s="10" t="inlineStr">
        <is>
          <t>L-Argenine (Base)</t>
        </is>
      </c>
      <c r="B489" s="10" t="n"/>
      <c r="C489" s="10" t="n"/>
      <c r="D489" s="5" t="n"/>
      <c r="E489" s="5" t="n"/>
      <c r="F489" s="10" t="n"/>
      <c r="G489" s="5" t="n"/>
      <c r="H489" s="5" t="n"/>
      <c r="I489" s="5" t="n"/>
      <c r="J489" s="5" t="n"/>
      <c r="K489" s="10" t="inlineStr">
        <is>
          <t>Not on master list (time records)</t>
        </is>
      </c>
      <c r="L489" s="5" t="n"/>
      <c r="M489" s="5" t="n"/>
      <c r="N489" s="10" t="n"/>
      <c r="O489" s="10" t="n"/>
      <c r="P489" s="10" t="n"/>
      <c r="Q489" s="10" t="n"/>
      <c r="R489" s="10" t="n"/>
    </row>
    <row r="490">
      <c r="A490" s="10" t="inlineStr">
        <is>
          <t>L-Arginine HCL</t>
        </is>
      </c>
      <c r="B490" s="10" t="n"/>
      <c r="C490" s="10" t="n"/>
      <c r="D490" s="5" t="n"/>
      <c r="E490" s="5" t="n"/>
      <c r="F490" s="10" t="n"/>
      <c r="G490" s="5" t="n"/>
      <c r="H490" s="5" t="n"/>
      <c r="I490" s="5" t="n"/>
      <c r="J490" s="5" t="n"/>
      <c r="K490" s="10" t="inlineStr">
        <is>
          <t>Not on master list (time records)</t>
        </is>
      </c>
      <c r="L490" s="5" t="n"/>
      <c r="M490" s="5" t="n"/>
      <c r="N490" s="10" t="n"/>
      <c r="O490" s="10" t="n"/>
      <c r="P490" s="10" t="n"/>
      <c r="Q490" s="10" t="n"/>
      <c r="R490" s="10" t="n"/>
    </row>
    <row r="491">
      <c r="A491" s="10" t="inlineStr">
        <is>
          <t>L-Carnetine Base</t>
        </is>
      </c>
      <c r="B491" s="10" t="n"/>
      <c r="C491" s="10" t="n"/>
      <c r="D491" s="5" t="n"/>
      <c r="E491" s="5" t="n"/>
      <c r="F491" s="10" t="n"/>
      <c r="G491" s="5" t="n"/>
      <c r="H491" s="5" t="n"/>
      <c r="I491" s="5" t="n"/>
      <c r="J491" s="5" t="n"/>
      <c r="K491" s="10" t="inlineStr">
        <is>
          <t>Not on master list (time records)</t>
        </is>
      </c>
      <c r="L491" s="5" t="n"/>
      <c r="M491" s="5" t="n"/>
      <c r="N491" s="10" t="n"/>
      <c r="O491" s="10" t="n"/>
      <c r="P491" s="10" t="n"/>
      <c r="Q491" s="10" t="n"/>
      <c r="R491" s="10" t="n"/>
    </row>
    <row r="492">
      <c r="A492" s="10" t="inlineStr">
        <is>
          <t>L-Carnetine Tartarate</t>
        </is>
      </c>
      <c r="B492" s="10" t="n"/>
      <c r="C492" s="10" t="n"/>
      <c r="D492" s="5" t="n"/>
      <c r="E492" s="5" t="n"/>
      <c r="F492" s="10" t="n"/>
      <c r="G492" s="5" t="n"/>
      <c r="H492" s="5" t="n"/>
      <c r="I492" s="5" t="n"/>
      <c r="J492" s="5" t="n"/>
      <c r="K492" s="10" t="inlineStr">
        <is>
          <t>Not on master list (time records)</t>
        </is>
      </c>
      <c r="L492" s="5" t="n"/>
      <c r="M492" s="5" t="n"/>
      <c r="N492" s="10" t="n"/>
      <c r="O492" s="10" t="n"/>
      <c r="P492" s="10" t="n"/>
      <c r="Q492" s="10" t="n"/>
      <c r="R492" s="10" t="n"/>
    </row>
    <row r="493">
      <c r="A493" s="10" t="inlineStr">
        <is>
          <t>L-Cysteine</t>
        </is>
      </c>
      <c r="B493" s="10" t="n"/>
      <c r="C493" s="10" t="n"/>
      <c r="D493" s="5" t="n"/>
      <c r="E493" s="5" t="n"/>
      <c r="F493" s="10" t="n"/>
      <c r="G493" s="5" t="n"/>
      <c r="H493" s="5" t="n"/>
      <c r="I493" s="5" t="n"/>
      <c r="J493" s="5" t="n"/>
      <c r="K493" s="10" t="inlineStr">
        <is>
          <t>Not on master list (time records)</t>
        </is>
      </c>
      <c r="L493" s="5" t="n"/>
      <c r="M493" s="5" t="n"/>
      <c r="N493" s="10" t="n"/>
      <c r="O493" s="10" t="n"/>
      <c r="P493" s="10" t="n">
        <v>4.77</v>
      </c>
      <c r="Q493" s="10" t="n"/>
      <c r="R493" s="10" t="n"/>
    </row>
    <row r="494">
      <c r="A494" s="10" t="inlineStr">
        <is>
          <t>L-Glutamine</t>
        </is>
      </c>
      <c r="B494" s="10" t="n"/>
      <c r="C494" s="10" t="n"/>
      <c r="D494" s="5" t="n"/>
      <c r="E494" s="5" t="n"/>
      <c r="F494" s="10" t="n"/>
      <c r="G494" s="5" t="n"/>
      <c r="H494" s="5" t="n"/>
      <c r="I494" s="5" t="n"/>
      <c r="J494" s="5" t="n"/>
      <c r="K494" s="10" t="inlineStr">
        <is>
          <t>Not on master list (time records)</t>
        </is>
      </c>
      <c r="L494" s="5" t="n"/>
      <c r="M494" s="5" t="n"/>
      <c r="N494" s="10" t="n"/>
      <c r="O494" s="10" t="n"/>
      <c r="P494" s="10" t="n"/>
      <c r="Q494" s="10" t="n"/>
      <c r="R494" s="10" t="n"/>
    </row>
    <row r="495">
      <c r="A495" s="10" t="inlineStr">
        <is>
          <t>L-Glutathion</t>
        </is>
      </c>
      <c r="B495" s="10" t="n"/>
      <c r="C495" s="10" t="n"/>
      <c r="D495" s="5" t="n"/>
      <c r="E495" s="5" t="n"/>
      <c r="F495" s="10" t="n"/>
      <c r="G495" s="5" t="n"/>
      <c r="H495" s="5" t="n"/>
      <c r="I495" s="5" t="n"/>
      <c r="J495" s="5" t="n"/>
      <c r="K495" s="10" t="inlineStr">
        <is>
          <t>Not on master list (time records)</t>
        </is>
      </c>
      <c r="L495" s="5" t="n"/>
      <c r="M495" s="5" t="n"/>
      <c r="N495" s="10" t="n"/>
      <c r="O495" s="10" t="n"/>
      <c r="P495" s="10" t="n"/>
      <c r="Q495" s="10" t="n"/>
      <c r="R495" s="10" t="n"/>
    </row>
    <row r="496">
      <c r="A496" s="10" t="inlineStr">
        <is>
          <t>L-Glutathione Reduced</t>
        </is>
      </c>
      <c r="B496" s="10" t="n"/>
      <c r="C496" s="10" t="n"/>
      <c r="D496" s="5" t="n"/>
      <c r="E496" s="5" t="n"/>
      <c r="F496" s="10" t="n"/>
      <c r="G496" s="5" t="n"/>
      <c r="H496" s="5" t="n"/>
      <c r="I496" s="5" t="n"/>
      <c r="J496" s="5" t="n"/>
      <c r="K496" s="10" t="inlineStr">
        <is>
          <t>Not on master list (time records)</t>
        </is>
      </c>
      <c r="L496" s="5" t="n"/>
      <c r="M496" s="5" t="n"/>
      <c r="N496" s="10" t="n"/>
      <c r="O496" s="10" t="n"/>
      <c r="P496" s="10" t="n"/>
      <c r="Q496" s="10" t="n"/>
      <c r="R496" s="10" t="n"/>
    </row>
    <row r="497">
      <c r="A497" s="10" t="inlineStr">
        <is>
          <t>L-Methionin Liquid</t>
        </is>
      </c>
      <c r="B497" s="10" t="n"/>
      <c r="C497" s="10" t="n"/>
      <c r="D497" s="5" t="n"/>
      <c r="E497" s="5" t="n"/>
      <c r="F497" s="10" t="n"/>
      <c r="G497" s="5" t="n"/>
      <c r="H497" s="5" t="n"/>
      <c r="I497" s="5" t="n"/>
      <c r="J497" s="5" t="n"/>
      <c r="K497" s="10" t="inlineStr">
        <is>
          <t>Not on master list (time records)</t>
        </is>
      </c>
      <c r="L497" s="5" t="n"/>
      <c r="M497" s="5" t="n"/>
      <c r="N497" s="10" t="n"/>
      <c r="O497" s="10" t="n"/>
      <c r="P497" s="10" t="n"/>
      <c r="Q497" s="10" t="n"/>
      <c r="R497" s="10" t="n"/>
    </row>
    <row r="498">
      <c r="A498" s="10" t="inlineStr">
        <is>
          <t>L-Theanine</t>
        </is>
      </c>
      <c r="B498" s="10" t="n"/>
      <c r="C498" s="10" t="n"/>
      <c r="D498" s="5" t="n"/>
      <c r="E498" s="5" t="n"/>
      <c r="F498" s="10" t="n"/>
      <c r="G498" s="5" t="n"/>
      <c r="H498" s="5" t="n"/>
      <c r="I498" s="5" t="n"/>
      <c r="J498" s="5" t="n"/>
      <c r="K498" s="10" t="inlineStr">
        <is>
          <t>Not on master list (time records)</t>
        </is>
      </c>
      <c r="L498" s="5" t="n"/>
      <c r="M498" s="5" t="n"/>
      <c r="N498" s="10" t="n"/>
      <c r="O498" s="10" t="n"/>
      <c r="P498" s="10" t="n"/>
      <c r="Q498" s="10" t="n"/>
      <c r="R498" s="10" t="n"/>
    </row>
    <row r="499">
      <c r="A499" s="10" t="inlineStr">
        <is>
          <t>Lactobacillus Acidophilus</t>
        </is>
      </c>
      <c r="B499" s="10" t="n"/>
      <c r="C499" s="10" t="n"/>
      <c r="D499" s="5" t="n"/>
      <c r="E499" s="5" t="n"/>
      <c r="F499" s="10" t="n"/>
      <c r="G499" s="5" t="n"/>
      <c r="H499" s="5" t="n"/>
      <c r="I499" s="5" t="n"/>
      <c r="J499" s="5" t="n"/>
      <c r="K499" s="10" t="inlineStr">
        <is>
          <t>Not on master list (time records)</t>
        </is>
      </c>
      <c r="L499" s="5" t="n"/>
      <c r="M499" s="5" t="n"/>
      <c r="N499" s="10" t="n"/>
      <c r="O499" s="10" t="n"/>
      <c r="P499" s="10" t="n"/>
      <c r="Q499" s="10" t="n"/>
      <c r="R499" s="10" t="n"/>
    </row>
    <row r="500">
      <c r="A500" s="10" t="inlineStr">
        <is>
          <t>Lactobacillus Casei</t>
        </is>
      </c>
      <c r="B500" s="10" t="n"/>
      <c r="C500" s="10" t="n"/>
      <c r="D500" s="5" t="n"/>
      <c r="E500" s="5" t="n"/>
      <c r="F500" s="10" t="n"/>
      <c r="G500" s="5" t="n"/>
      <c r="H500" s="5" t="n"/>
      <c r="I500" s="5" t="n"/>
      <c r="J500" s="5" t="n"/>
      <c r="K500" s="10" t="inlineStr">
        <is>
          <t>Not on master list (time records)</t>
        </is>
      </c>
      <c r="L500" s="5" t="n"/>
      <c r="M500" s="5" t="n"/>
      <c r="N500" s="10" t="n"/>
      <c r="O500" s="10" t="n"/>
      <c r="P500" s="10" t="n"/>
      <c r="Q500" s="10" t="n"/>
      <c r="R500" s="10" t="n"/>
    </row>
    <row r="501">
      <c r="A501" s="10" t="inlineStr">
        <is>
          <t>Lactobacillus Fermentum</t>
        </is>
      </c>
      <c r="B501" s="10" t="n"/>
      <c r="C501" s="10" t="n"/>
      <c r="D501" s="5" t="n"/>
      <c r="E501" s="5" t="n"/>
      <c r="F501" s="10" t="n"/>
      <c r="G501" s="5" t="n"/>
      <c r="H501" s="5" t="n"/>
      <c r="I501" s="5" t="n"/>
      <c r="J501" s="5" t="n"/>
      <c r="K501" s="10" t="inlineStr">
        <is>
          <t>Not on master list (time records)</t>
        </is>
      </c>
      <c r="L501" s="5" t="n"/>
      <c r="M501" s="5" t="n"/>
      <c r="N501" s="10" t="n"/>
      <c r="O501" s="10" t="n"/>
      <c r="P501" s="10" t="n"/>
      <c r="Q501" s="10" t="n"/>
      <c r="R501" s="10" t="n"/>
    </row>
    <row r="502">
      <c r="A502" s="10" t="inlineStr">
        <is>
          <t>Lactobacillus Gasseri</t>
        </is>
      </c>
      <c r="B502" s="10" t="n"/>
      <c r="C502" s="10" t="n"/>
      <c r="D502" s="5" t="n"/>
      <c r="E502" s="5" t="n"/>
      <c r="F502" s="10" t="n"/>
      <c r="G502" s="5" t="n"/>
      <c r="H502" s="5" t="n"/>
      <c r="I502" s="5" t="n"/>
      <c r="J502" s="5" t="n"/>
      <c r="K502" s="10" t="inlineStr">
        <is>
          <t>Not on master list (time records)</t>
        </is>
      </c>
      <c r="L502" s="5" t="n"/>
      <c r="M502" s="5" t="n"/>
      <c r="N502" s="10" t="n"/>
      <c r="O502" s="10" t="n"/>
      <c r="P502" s="10" t="n"/>
      <c r="Q502" s="10" t="n"/>
      <c r="R502" s="10" t="n"/>
    </row>
    <row r="503">
      <c r="A503" s="10" t="inlineStr">
        <is>
          <t>Lactobacillus Paracasei</t>
        </is>
      </c>
      <c r="B503" s="10" t="n"/>
      <c r="C503" s="10" t="n"/>
      <c r="D503" s="5" t="n"/>
      <c r="E503" s="5" t="n"/>
      <c r="F503" s="10" t="n"/>
      <c r="G503" s="5" t="n"/>
      <c r="H503" s="5" t="n"/>
      <c r="I503" s="5" t="n"/>
      <c r="J503" s="5" t="n"/>
      <c r="K503" s="10" t="inlineStr">
        <is>
          <t>Not on master list (time records)</t>
        </is>
      </c>
      <c r="L503" s="5" t="n"/>
      <c r="M503" s="5" t="n"/>
      <c r="N503" s="10" t="n"/>
      <c r="O503" s="10" t="n"/>
      <c r="P503" s="10" t="n"/>
      <c r="Q503" s="10" t="n"/>
      <c r="R503" s="10" t="n"/>
    </row>
    <row r="504">
      <c r="A504" s="10" t="inlineStr">
        <is>
          <t>Lactobacillus Rhamnosus</t>
        </is>
      </c>
      <c r="B504" s="10" t="n"/>
      <c r="C504" s="10" t="n"/>
      <c r="D504" s="5" t="n"/>
      <c r="E504" s="5" t="n"/>
      <c r="F504" s="10" t="n"/>
      <c r="G504" s="5" t="n"/>
      <c r="H504" s="5" t="n"/>
      <c r="I504" s="5" t="n"/>
      <c r="J504" s="5" t="n"/>
      <c r="K504" s="10" t="inlineStr">
        <is>
          <t>Not on master list (time records)</t>
        </is>
      </c>
      <c r="L504" s="5" t="n"/>
      <c r="M504" s="5" t="n"/>
      <c r="N504" s="10" t="n"/>
      <c r="O504" s="10" t="n"/>
      <c r="P504" s="10" t="n"/>
      <c r="Q504" s="10" t="n"/>
      <c r="R504" s="10" t="n"/>
    </row>
    <row r="505">
      <c r="A505" s="10" t="inlineStr">
        <is>
          <t>Lactobacillus Roteri</t>
        </is>
      </c>
      <c r="B505" s="10" t="n"/>
      <c r="C505" s="10" t="n"/>
      <c r="D505" s="5" t="n"/>
      <c r="E505" s="5" t="n"/>
      <c r="F505" s="10" t="n"/>
      <c r="G505" s="5" t="n"/>
      <c r="H505" s="5" t="n"/>
      <c r="I505" s="5" t="n"/>
      <c r="J505" s="5" t="n"/>
      <c r="K505" s="10" t="inlineStr">
        <is>
          <t>Not on master list (time records)</t>
        </is>
      </c>
      <c r="L505" s="5" t="n"/>
      <c r="M505" s="5" t="n"/>
      <c r="N505" s="10" t="n"/>
      <c r="O505" s="10" t="n"/>
      <c r="P505" s="10" t="n"/>
      <c r="Q505" s="10" t="n"/>
      <c r="R505" s="10" t="n"/>
    </row>
    <row r="506">
      <c r="A506" s="10" t="inlineStr">
        <is>
          <t>Lactose</t>
        </is>
      </c>
      <c r="B506" s="10" t="n"/>
      <c r="C506" s="10" t="n"/>
      <c r="D506" s="5" t="n"/>
      <c r="E506" s="5" t="n"/>
      <c r="F506" s="10" t="n"/>
      <c r="G506" s="5" t="n"/>
      <c r="H506" s="5" t="n"/>
      <c r="I506" s="5" t="n"/>
      <c r="J506" s="5" t="n"/>
      <c r="K506" s="10" t="inlineStr">
        <is>
          <t>Not on master list (purchase list)</t>
        </is>
      </c>
      <c r="L506" s="5" t="n"/>
      <c r="M506" s="5" t="n"/>
      <c r="N506" s="10" t="n"/>
      <c r="O506" s="10" t="n"/>
      <c r="P506" s="10" t="n"/>
      <c r="Q506" s="10" t="n"/>
      <c r="R506" s="10" t="n"/>
    </row>
    <row r="507">
      <c r="A507" s="10" t="inlineStr">
        <is>
          <t>Lactose DC 100</t>
        </is>
      </c>
      <c r="B507" s="10" t="n"/>
      <c r="C507" s="10" t="n"/>
      <c r="D507" s="5" t="n"/>
      <c r="E507" s="5" t="n"/>
      <c r="F507" s="10" t="n"/>
      <c r="G507" s="5" t="n"/>
      <c r="H507" s="5" t="n"/>
      <c r="I507" s="5" t="n"/>
      <c r="J507" s="5" t="n"/>
      <c r="K507" s="10" t="inlineStr">
        <is>
          <t>Not on master list (time records)</t>
        </is>
      </c>
      <c r="L507" s="5" t="n"/>
      <c r="M507" s="5" t="n"/>
      <c r="N507" s="10" t="n"/>
      <c r="O507" s="10" t="n"/>
      <c r="P507" s="10" t="n">
        <v>4.6</v>
      </c>
      <c r="Q507" s="10" t="n"/>
      <c r="R507" s="10" t="n"/>
    </row>
    <row r="508">
      <c r="A508" s="10" t="inlineStr">
        <is>
          <t>Lactose DC 90</t>
        </is>
      </c>
      <c r="B508" s="10" t="n"/>
      <c r="C508" s="10" t="n"/>
      <c r="D508" s="5" t="n"/>
      <c r="E508" s="5" t="n"/>
      <c r="F508" s="10" t="n"/>
      <c r="G508" s="5" t="n"/>
      <c r="H508" s="5" t="n"/>
      <c r="I508" s="5" t="n"/>
      <c r="J508" s="5" t="n"/>
      <c r="K508" s="10" t="inlineStr">
        <is>
          <t>Not on master list (time records)</t>
        </is>
      </c>
      <c r="L508" s="5" t="n"/>
      <c r="M508" s="5" t="n"/>
      <c r="N508" s="10" t="n"/>
      <c r="O508" s="10" t="n"/>
      <c r="P508" s="10" t="n"/>
      <c r="Q508" s="10" t="n"/>
      <c r="R508" s="10" t="n"/>
    </row>
    <row r="509">
      <c r="A509" s="10" t="inlineStr">
        <is>
          <t>Lactose Flolac 90-100</t>
        </is>
      </c>
      <c r="B509" s="10" t="n"/>
      <c r="C509" s="10" t="n"/>
      <c r="D509" s="5" t="n"/>
      <c r="E509" s="5" t="n"/>
      <c r="F509" s="10" t="n"/>
      <c r="G509" s="5" t="n"/>
      <c r="H509" s="5" t="n"/>
      <c r="I509" s="5" t="n"/>
      <c r="J509" s="5" t="n"/>
      <c r="K509" s="10" t="inlineStr">
        <is>
          <t>Not on master list (time records)</t>
        </is>
      </c>
      <c r="L509" s="5" t="n"/>
      <c r="M509" s="5" t="n"/>
      <c r="N509" s="10" t="n"/>
      <c r="O509" s="10" t="n"/>
      <c r="P509" s="10" t="n"/>
      <c r="Q509" s="10" t="n"/>
      <c r="R509" s="10" t="n"/>
    </row>
    <row r="510">
      <c r="A510" s="10" t="inlineStr">
        <is>
          <t>Lactose Monohydrate 200 Mesh</t>
        </is>
      </c>
      <c r="B510" s="10" t="n"/>
      <c r="C510" s="10" t="n"/>
      <c r="D510" s="5" t="n"/>
      <c r="E510" s="5" t="n"/>
      <c r="F510" s="10" t="n"/>
      <c r="G510" s="5" t="n"/>
      <c r="H510" s="5" t="n"/>
      <c r="I510" s="5" t="n"/>
      <c r="J510" s="5" t="n"/>
      <c r="K510" s="10" t="inlineStr">
        <is>
          <t>Not on master list (purchase list)</t>
        </is>
      </c>
      <c r="L510" s="5" t="n"/>
      <c r="M510" s="5" t="n"/>
      <c r="N510" s="10" t="n"/>
      <c r="O510" s="10" t="n"/>
      <c r="P510" s="10" t="n"/>
      <c r="Q510" s="10" t="n"/>
      <c r="R510" s="10" t="n"/>
    </row>
    <row r="511">
      <c r="A511" s="10" t="inlineStr">
        <is>
          <t>Lactose Monohydrate Granulac 80</t>
        </is>
      </c>
      <c r="B511" s="10" t="n"/>
      <c r="C511" s="10" t="n"/>
      <c r="D511" s="5" t="n"/>
      <c r="E511" s="5" t="n"/>
      <c r="F511" s="10" t="n"/>
      <c r="G511" s="5" t="n"/>
      <c r="H511" s="5" t="n"/>
      <c r="I511" s="5" t="n"/>
      <c r="J511" s="5" t="n"/>
      <c r="K511" s="10" t="inlineStr">
        <is>
          <t>Not on master list (purchase list)</t>
        </is>
      </c>
      <c r="L511" s="5" t="n"/>
      <c r="M511" s="5" t="n"/>
      <c r="N511" s="10" t="n"/>
      <c r="O511" s="10" t="n"/>
      <c r="P511" s="10" t="n"/>
      <c r="Q511" s="10" t="n"/>
      <c r="R511" s="10" t="n"/>
    </row>
    <row r="512">
      <c r="A512" s="10" t="inlineStr">
        <is>
          <t>Lactose Spray Dried 100</t>
        </is>
      </c>
      <c r="B512" s="10" t="n"/>
      <c r="C512" s="10" t="n"/>
      <c r="D512" s="5" t="n"/>
      <c r="E512" s="5" t="n"/>
      <c r="F512" s="10" t="n"/>
      <c r="G512" s="5" t="n"/>
      <c r="H512" s="5" t="n"/>
      <c r="I512" s="5" t="n"/>
      <c r="J512" s="5" t="n"/>
      <c r="K512" s="10" t="inlineStr">
        <is>
          <t>Not on master list (time records)</t>
        </is>
      </c>
      <c r="L512" s="5" t="n"/>
      <c r="M512" s="5" t="n"/>
      <c r="N512" s="10" t="n"/>
      <c r="O512" s="10" t="n"/>
      <c r="P512" s="10" t="n"/>
      <c r="Q512" s="10" t="n"/>
      <c r="R512" s="10" t="n"/>
    </row>
    <row r="513">
      <c r="A513" s="10" t="inlineStr">
        <is>
          <t>Lactulose</t>
        </is>
      </c>
      <c r="B513" s="10" t="n"/>
      <c r="C513" s="10" t="n"/>
      <c r="D513" s="5" t="n"/>
      <c r="E513" s="5" t="n"/>
      <c r="F513" s="10" t="n"/>
      <c r="G513" s="5" t="n"/>
      <c r="H513" s="5" t="n"/>
      <c r="I513" s="5" t="n"/>
      <c r="J513" s="5" t="n"/>
      <c r="K513" s="10" t="inlineStr">
        <is>
          <t>Not on master list (time records)</t>
        </is>
      </c>
      <c r="L513" s="5" t="n"/>
      <c r="M513" s="5" t="n"/>
      <c r="N513" s="10" t="n"/>
      <c r="O513" s="10" t="n"/>
      <c r="P513" s="10" t="n"/>
      <c r="Q513" s="10" t="n"/>
      <c r="R513" s="10" t="n"/>
    </row>
    <row r="514">
      <c r="A514" s="10" t="inlineStr">
        <is>
          <t>Lapermaide HCL</t>
        </is>
      </c>
      <c r="B514" s="10" t="n"/>
      <c r="C514" s="10" t="n"/>
      <c r="D514" s="5" t="n"/>
      <c r="E514" s="5" t="n"/>
      <c r="F514" s="10" t="n"/>
      <c r="G514" s="5" t="n"/>
      <c r="H514" s="5" t="n"/>
      <c r="I514" s="5" t="n"/>
      <c r="J514" s="5" t="n"/>
      <c r="K514" s="10" t="inlineStr">
        <is>
          <t>Not on master list (time records)</t>
        </is>
      </c>
      <c r="L514" s="5" t="n"/>
      <c r="M514" s="5" t="n"/>
      <c r="N514" s="10" t="n"/>
      <c r="O514" s="10" t="n"/>
      <c r="P514" s="10" t="n"/>
      <c r="Q514" s="10" t="n"/>
      <c r="R514" s="10" t="n"/>
    </row>
    <row r="515">
      <c r="A515" s="10" t="inlineStr">
        <is>
          <t>Lecithin</t>
        </is>
      </c>
      <c r="B515" s="10" t="n"/>
      <c r="C515" s="10" t="n"/>
      <c r="D515" s="5" t="n"/>
      <c r="E515" s="5" t="n"/>
      <c r="F515" s="10" t="n"/>
      <c r="G515" s="5" t="n"/>
      <c r="H515" s="5" t="n"/>
      <c r="I515" s="5" t="n"/>
      <c r="J515" s="5" t="n"/>
      <c r="K515" s="10" t="inlineStr">
        <is>
          <t>Not on master list (time records)</t>
        </is>
      </c>
      <c r="L515" s="5" t="n"/>
      <c r="M515" s="5" t="n"/>
      <c r="N515" s="10" t="n"/>
      <c r="O515" s="10" t="n"/>
      <c r="P515" s="10" t="n"/>
      <c r="Q515" s="10" t="n"/>
      <c r="R515" s="10" t="n"/>
    </row>
    <row r="516">
      <c r="A516" s="10" t="inlineStr">
        <is>
          <t>Lenalidomide</t>
        </is>
      </c>
      <c r="B516" s="10" t="n"/>
      <c r="C516" s="10" t="n"/>
      <c r="D516" s="5" t="n"/>
      <c r="E516" s="5" t="n"/>
      <c r="F516" s="10" t="n"/>
      <c r="G516" s="5" t="n"/>
      <c r="H516" s="5" t="n"/>
      <c r="I516" s="5" t="n"/>
      <c r="J516" s="5" t="n"/>
      <c r="K516" s="10" t="inlineStr">
        <is>
          <t>Not on master list (time records)</t>
        </is>
      </c>
      <c r="L516" s="5" t="n"/>
      <c r="M516" s="5" t="n"/>
      <c r="N516" s="10" t="n"/>
      <c r="O516" s="10" t="n"/>
      <c r="P516" s="10" t="n"/>
      <c r="Q516" s="10" t="n"/>
      <c r="R516" s="10" t="n"/>
    </row>
    <row r="517">
      <c r="A517" s="10" t="inlineStr">
        <is>
          <t>Leucine</t>
        </is>
      </c>
      <c r="B517" s="10" t="n"/>
      <c r="C517" s="10" t="n"/>
      <c r="D517" s="5" t="n"/>
      <c r="E517" s="5" t="n"/>
      <c r="F517" s="10" t="n"/>
      <c r="G517" s="5" t="n"/>
      <c r="H517" s="5" t="n"/>
      <c r="I517" s="5" t="n"/>
      <c r="J517" s="5" t="n"/>
      <c r="K517" s="10" t="inlineStr">
        <is>
          <t>Not on master list (time records)</t>
        </is>
      </c>
      <c r="L517" s="5" t="n"/>
      <c r="M517" s="5" t="n"/>
      <c r="N517" s="10" t="n"/>
      <c r="O517" s="10" t="n"/>
      <c r="P517" s="10" t="n"/>
      <c r="Q517" s="10" t="n"/>
      <c r="R517" s="10" t="n"/>
    </row>
    <row r="518">
      <c r="A518" s="10" t="inlineStr">
        <is>
          <t>Licorice Etraacted Powder</t>
        </is>
      </c>
      <c r="B518" s="10" t="n"/>
      <c r="C518" s="10" t="n"/>
      <c r="D518" s="5" t="n"/>
      <c r="E518" s="5" t="n"/>
      <c r="F518" s="10" t="n"/>
      <c r="G518" s="5" t="n"/>
      <c r="H518" s="5" t="n"/>
      <c r="I518" s="5" t="n"/>
      <c r="J518" s="5" t="n"/>
      <c r="K518" s="10" t="inlineStr">
        <is>
          <t>Not on master list (purchase list)</t>
        </is>
      </c>
      <c r="L518" s="5" t="n"/>
      <c r="M518" s="5" t="n"/>
      <c r="N518" s="10" t="n"/>
      <c r="O518" s="10" t="n"/>
      <c r="P518" s="10" t="n"/>
      <c r="Q518" s="10" t="n"/>
      <c r="R518" s="10" t="n"/>
    </row>
    <row r="519">
      <c r="A519" s="10" t="inlineStr">
        <is>
          <t>Licorice Extraacted Powder</t>
        </is>
      </c>
      <c r="B519" s="10" t="n"/>
      <c r="C519" s="10" t="n"/>
      <c r="D519" s="5" t="n"/>
      <c r="E519" s="5" t="n"/>
      <c r="F519" s="10" t="n"/>
      <c r="G519" s="5" t="n"/>
      <c r="H519" s="5" t="n"/>
      <c r="I519" s="5" t="n"/>
      <c r="J519" s="5" t="n"/>
      <c r="K519" s="10" t="inlineStr">
        <is>
          <t>Not on master list (purchase list)</t>
        </is>
      </c>
      <c r="L519" s="5" t="n"/>
      <c r="M519" s="5" t="n"/>
      <c r="N519" s="10" t="n"/>
      <c r="O519" s="10" t="n"/>
      <c r="P519" s="10" t="n"/>
      <c r="Q519" s="10" t="n"/>
      <c r="R519" s="10" t="n"/>
    </row>
    <row r="520">
      <c r="A520" s="10" t="inlineStr">
        <is>
          <t>Licorice Extract Powder</t>
        </is>
      </c>
      <c r="B520" s="10" t="n"/>
      <c r="C520" s="10" t="n"/>
      <c r="D520" s="5" t="n"/>
      <c r="E520" s="5" t="n"/>
      <c r="F520" s="10" t="n"/>
      <c r="G520" s="5" t="n"/>
      <c r="H520" s="5" t="n"/>
      <c r="I520" s="5" t="n"/>
      <c r="J520" s="5" t="n"/>
      <c r="K520" s="10" t="inlineStr">
        <is>
          <t>Not on master list (purchase list)</t>
        </is>
      </c>
      <c r="L520" s="5" t="n"/>
      <c r="M520" s="5" t="n"/>
      <c r="N520" s="10" t="n"/>
      <c r="O520" s="10" t="n"/>
      <c r="P520" s="10" t="n"/>
      <c r="Q520" s="10" t="n"/>
      <c r="R520" s="10" t="n"/>
    </row>
    <row r="521">
      <c r="A521" s="10" t="inlineStr">
        <is>
          <t>Light Hydroxy Propyl Cellulose 22</t>
        </is>
      </c>
      <c r="B521" s="10" t="n"/>
      <c r="C521" s="10" t="n"/>
      <c r="D521" s="5" t="n"/>
      <c r="E521" s="5" t="n"/>
      <c r="F521" s="10" t="n"/>
      <c r="G521" s="5" t="n"/>
      <c r="H521" s="5" t="n"/>
      <c r="I521" s="5" t="n"/>
      <c r="J521" s="5" t="n"/>
      <c r="K521" s="10" t="inlineStr">
        <is>
          <t>Not on master list (time records)</t>
        </is>
      </c>
      <c r="L521" s="5" t="n"/>
      <c r="M521" s="5" t="n"/>
      <c r="N521" s="10" t="n"/>
      <c r="O521" s="10" t="n"/>
      <c r="P521" s="10" t="n"/>
      <c r="Q521" s="10" t="n"/>
      <c r="R521" s="10" t="n"/>
    </row>
    <row r="522">
      <c r="A522" s="10" t="inlineStr">
        <is>
          <t>Light Substituted Hydroxy Propyl Cellulose 21</t>
        </is>
      </c>
      <c r="B522" s="10" t="n"/>
      <c r="C522" s="10" t="n"/>
      <c r="D522" s="5" t="n"/>
      <c r="E522" s="5" t="n"/>
      <c r="F522" s="10" t="n"/>
      <c r="G522" s="5" t="n"/>
      <c r="H522" s="5" t="n"/>
      <c r="I522" s="5" t="n"/>
      <c r="J522" s="5" t="n"/>
      <c r="K522" s="10" t="inlineStr">
        <is>
          <t>Not on master list (time records)</t>
        </is>
      </c>
      <c r="L522" s="5" t="n"/>
      <c r="M522" s="5" t="n"/>
      <c r="N522" s="10" t="n"/>
      <c r="O522" s="10" t="n"/>
      <c r="P522" s="10" t="n"/>
      <c r="Q522" s="10" t="n"/>
      <c r="R522" s="10" t="n"/>
    </row>
    <row r="523">
      <c r="A523" s="10" t="inlineStr">
        <is>
          <t>Liguisticum Sinensis Dried Root</t>
        </is>
      </c>
      <c r="B523" s="10" t="n"/>
      <c r="C523" s="10" t="n"/>
      <c r="D523" s="5" t="n"/>
      <c r="E523" s="5" t="n"/>
      <c r="F523" s="10" t="n"/>
      <c r="G523" s="5" t="n"/>
      <c r="H523" s="5" t="n"/>
      <c r="I523" s="5" t="n"/>
      <c r="J523" s="5" t="n"/>
      <c r="K523" s="10" t="inlineStr">
        <is>
          <t>Not on master list (time records)</t>
        </is>
      </c>
      <c r="L523" s="5" t="n"/>
      <c r="M523" s="5" t="n"/>
      <c r="N523" s="10" t="n"/>
      <c r="O523" s="10" t="n"/>
      <c r="P523" s="10" t="n"/>
      <c r="Q523" s="10" t="n"/>
      <c r="R523" s="10" t="n"/>
    </row>
    <row r="524">
      <c r="A524" s="10" t="inlineStr">
        <is>
          <t>Linaclotide IR Pellets 0.09% w/w</t>
        </is>
      </c>
      <c r="B524" s="10" t="n"/>
      <c r="C524" s="10" t="n"/>
      <c r="D524" s="5" t="n"/>
      <c r="E524" s="5" t="n"/>
      <c r="F524" s="10" t="n"/>
      <c r="G524" s="5" t="n"/>
      <c r="H524" s="5" t="n"/>
      <c r="I524" s="5" t="n"/>
      <c r="J524" s="5" t="n"/>
      <c r="K524" s="10" t="inlineStr">
        <is>
          <t>Not on master list (purchase list)</t>
        </is>
      </c>
      <c r="L524" s="5" t="n"/>
      <c r="M524" s="5" t="n"/>
      <c r="N524" s="10" t="n"/>
      <c r="O524" s="10" t="n"/>
      <c r="P524" s="10" t="n"/>
      <c r="Q524" s="10" t="n"/>
      <c r="R524" s="10" t="n"/>
    </row>
    <row r="525">
      <c r="A525" s="10" t="inlineStr">
        <is>
          <t>Lipofer</t>
        </is>
      </c>
      <c r="B525" s="10" t="n"/>
      <c r="C525" s="10" t="n"/>
      <c r="D525" s="5" t="n"/>
      <c r="E525" s="5" t="n"/>
      <c r="F525" s="10" t="n"/>
      <c r="G525" s="5" t="n"/>
      <c r="H525" s="5" t="n"/>
      <c r="I525" s="5" t="n"/>
      <c r="J525" s="5" t="n"/>
      <c r="K525" s="10" t="inlineStr">
        <is>
          <t>Not on master list (purchase list)</t>
        </is>
      </c>
      <c r="L525" s="5" t="n"/>
      <c r="M525" s="5" t="n"/>
      <c r="N525" s="10" t="n"/>
      <c r="O525" s="10" t="n"/>
      <c r="P525" s="10" t="n"/>
      <c r="Q525" s="10" t="n"/>
      <c r="R525" s="10" t="n"/>
    </row>
    <row r="526">
      <c r="A526" s="10" t="inlineStr">
        <is>
          <t>Liposomal Ferrous</t>
        </is>
      </c>
      <c r="B526" s="10" t="n"/>
      <c r="C526" s="10" t="n"/>
      <c r="D526" s="5" t="n"/>
      <c r="E526" s="5" t="n"/>
      <c r="F526" s="10" t="n"/>
      <c r="G526" s="5" t="n"/>
      <c r="H526" s="5" t="n"/>
      <c r="I526" s="5" t="n"/>
      <c r="J526" s="5" t="n"/>
      <c r="K526" s="10" t="inlineStr">
        <is>
          <t>Not on master list (time records)</t>
        </is>
      </c>
      <c r="L526" s="5" t="n"/>
      <c r="M526" s="5" t="n"/>
      <c r="N526" s="10" t="n"/>
      <c r="O526" s="10" t="n"/>
      <c r="P526" s="10" t="n"/>
      <c r="Q526" s="10" t="n"/>
      <c r="R526" s="10" t="n"/>
    </row>
    <row r="527">
      <c r="A527" s="10" t="inlineStr">
        <is>
          <t>Liraglutide</t>
        </is>
      </c>
      <c r="B527" s="10" t="n"/>
      <c r="C527" s="10" t="n"/>
      <c r="D527" s="5" t="n"/>
      <c r="E527" s="5" t="n"/>
      <c r="F527" s="10" t="n"/>
      <c r="G527" s="5" t="n"/>
      <c r="H527" s="5" t="n"/>
      <c r="I527" s="5" t="n"/>
      <c r="J527" s="5" t="n"/>
      <c r="K527" s="10" t="inlineStr">
        <is>
          <t>Not on master list (time records)</t>
        </is>
      </c>
      <c r="L527" s="5" t="n"/>
      <c r="M527" s="5" t="n"/>
      <c r="N527" s="10" t="n"/>
      <c r="O527" s="10" t="n"/>
      <c r="P527" s="10" t="n"/>
      <c r="Q527" s="10" t="n"/>
      <c r="R527" s="10" t="n"/>
    </row>
    <row r="528">
      <c r="A528" s="10" t="inlineStr">
        <is>
          <t>Loperamid Hydrochloride BP</t>
        </is>
      </c>
      <c r="B528" s="10" t="n"/>
      <c r="C528" s="10" t="n"/>
      <c r="D528" s="5" t="n"/>
      <c r="E528" s="5" t="n"/>
      <c r="F528" s="10" t="n"/>
      <c r="G528" s="5" t="n"/>
      <c r="H528" s="5" t="n"/>
      <c r="I528" s="5" t="n"/>
      <c r="J528" s="5" t="n"/>
      <c r="K528" s="10" t="inlineStr">
        <is>
          <t>Not on master list (purchase list)</t>
        </is>
      </c>
      <c r="L528" s="5" t="n"/>
      <c r="M528" s="5" t="n"/>
      <c r="N528" s="10" t="n"/>
      <c r="O528" s="10" t="n"/>
      <c r="P528" s="10" t="n"/>
      <c r="Q528" s="10" t="n"/>
      <c r="R528" s="10" t="n"/>
    </row>
    <row r="529">
      <c r="A529" s="10" t="inlineStr">
        <is>
          <t>Ludi Flash</t>
        </is>
      </c>
      <c r="B529" s="10" t="n"/>
      <c r="C529" s="10" t="n"/>
      <c r="D529" s="5" t="n"/>
      <c r="E529" s="5" t="n"/>
      <c r="F529" s="10" t="n"/>
      <c r="G529" s="5" t="n"/>
      <c r="H529" s="5" t="n"/>
      <c r="I529" s="5" t="n"/>
      <c r="J529" s="5" t="n"/>
      <c r="K529" s="10" t="inlineStr">
        <is>
          <t>Not on master list (time records)</t>
        </is>
      </c>
      <c r="L529" s="5" t="n"/>
      <c r="M529" s="5" t="n"/>
      <c r="N529" s="10" t="n"/>
      <c r="O529" s="10" t="n"/>
      <c r="P529" s="10" t="n"/>
      <c r="Q529" s="10" t="n"/>
      <c r="R529" s="10" t="n"/>
    </row>
    <row r="530">
      <c r="A530" s="10" t="inlineStr">
        <is>
          <t>Lutein Marigold Ext.</t>
        </is>
      </c>
      <c r="B530" s="10" t="n"/>
      <c r="C530" s="10" t="n"/>
      <c r="D530" s="5" t="n"/>
      <c r="E530" s="5" t="n"/>
      <c r="F530" s="10" t="n"/>
      <c r="G530" s="5" t="n"/>
      <c r="H530" s="5" t="n"/>
      <c r="I530" s="5" t="n"/>
      <c r="J530" s="5" t="n"/>
      <c r="K530" s="10" t="inlineStr">
        <is>
          <t>Not on master list (time records)</t>
        </is>
      </c>
      <c r="L530" s="5" t="n"/>
      <c r="M530" s="5" t="n"/>
      <c r="N530" s="10" t="n"/>
      <c r="O530" s="10" t="n"/>
      <c r="P530" s="10" t="n"/>
      <c r="Q530" s="10" t="n"/>
      <c r="R530" s="10" t="n"/>
    </row>
    <row r="531">
      <c r="A531" s="10" t="inlineStr">
        <is>
          <t>Lutein Oil 20%</t>
        </is>
      </c>
      <c r="B531" s="10" t="n"/>
      <c r="C531" s="10" t="n"/>
      <c r="D531" s="5" t="n"/>
      <c r="E531" s="5" t="n"/>
      <c r="F531" s="10" t="n"/>
      <c r="G531" s="5" t="n"/>
      <c r="H531" s="5" t="n"/>
      <c r="I531" s="5" t="n"/>
      <c r="J531" s="5" t="n"/>
      <c r="K531" s="10" t="inlineStr">
        <is>
          <t>Not on master list (time records)</t>
        </is>
      </c>
      <c r="L531" s="5" t="n"/>
      <c r="M531" s="5" t="n"/>
      <c r="N531" s="10" t="n"/>
      <c r="O531" s="10" t="n"/>
      <c r="P531" s="10" t="n"/>
      <c r="Q531" s="10" t="n"/>
      <c r="R531" s="10" t="n"/>
    </row>
    <row r="532">
      <c r="A532" s="10" t="inlineStr">
        <is>
          <t>Luteolin</t>
        </is>
      </c>
      <c r="B532" s="10" t="n"/>
      <c r="C532" s="10" t="n"/>
      <c r="D532" s="5" t="n"/>
      <c r="E532" s="5" t="n"/>
      <c r="F532" s="10" t="n"/>
      <c r="G532" s="5" t="n"/>
      <c r="H532" s="5" t="n"/>
      <c r="I532" s="5" t="n"/>
      <c r="J532" s="5" t="n"/>
      <c r="K532" s="10" t="inlineStr">
        <is>
          <t>Not on master list (time records)</t>
        </is>
      </c>
      <c r="L532" s="5" t="n"/>
      <c r="M532" s="5" t="n"/>
      <c r="N532" s="10" t="n"/>
      <c r="O532" s="10" t="n"/>
      <c r="P532" s="10" t="n"/>
      <c r="Q532" s="10" t="n"/>
      <c r="R532" s="10" t="n"/>
    </row>
    <row r="533">
      <c r="A533" s="10" t="inlineStr">
        <is>
          <t>Lycopene</t>
        </is>
      </c>
      <c r="B533" s="10" t="n"/>
      <c r="C533" s="10" t="n"/>
      <c r="D533" s="5" t="n"/>
      <c r="E533" s="5" t="n"/>
      <c r="F533" s="10" t="n"/>
      <c r="G533" s="5" t="n"/>
      <c r="H533" s="5" t="n"/>
      <c r="I533" s="5" t="n"/>
      <c r="J533" s="5" t="n"/>
      <c r="K533" s="10" t="inlineStr">
        <is>
          <t>Not on master list (time records)</t>
        </is>
      </c>
      <c r="L533" s="5" t="n"/>
      <c r="M533" s="5" t="n"/>
      <c r="N533" s="10" t="n"/>
      <c r="O533" s="10" t="n"/>
      <c r="P533" s="10" t="n"/>
      <c r="Q533" s="10" t="n"/>
      <c r="R533" s="10" t="n"/>
    </row>
    <row r="534">
      <c r="A534" s="10" t="inlineStr">
        <is>
          <t>Lysine</t>
        </is>
      </c>
      <c r="B534" s="10" t="n"/>
      <c r="C534" s="10" t="n"/>
      <c r="D534" s="5" t="n"/>
      <c r="E534" s="5" t="n"/>
      <c r="F534" s="10" t="n"/>
      <c r="G534" s="5" t="n"/>
      <c r="H534" s="5" t="n"/>
      <c r="I534" s="5" t="n"/>
      <c r="J534" s="5" t="n"/>
      <c r="K534" s="10" t="inlineStr">
        <is>
          <t>Not on master list (time records)</t>
        </is>
      </c>
      <c r="L534" s="5" t="n"/>
      <c r="M534" s="5" t="n"/>
      <c r="N534" s="10" t="n"/>
      <c r="O534" s="10" t="n"/>
      <c r="P534" s="10" t="n"/>
      <c r="Q534" s="10" t="n"/>
      <c r="R534" s="10" t="n"/>
    </row>
    <row r="535">
      <c r="A535" s="10" t="inlineStr">
        <is>
          <t>Maca Ext.</t>
        </is>
      </c>
      <c r="B535" s="10" t="n"/>
      <c r="C535" s="10" t="n"/>
      <c r="D535" s="5" t="n"/>
      <c r="E535" s="5" t="n"/>
      <c r="F535" s="10" t="n"/>
      <c r="G535" s="5" t="n"/>
      <c r="H535" s="5" t="n"/>
      <c r="I535" s="5" t="n"/>
      <c r="J535" s="5" t="n"/>
      <c r="K535" s="10" t="inlineStr">
        <is>
          <t>Not on master list (time records)</t>
        </is>
      </c>
      <c r="L535" s="5" t="n"/>
      <c r="M535" s="5" t="n"/>
      <c r="N535" s="10" t="n"/>
      <c r="O535" s="10" t="n"/>
      <c r="P535" s="10" t="n"/>
      <c r="Q535" s="10" t="n"/>
      <c r="R535" s="10" t="n"/>
    </row>
    <row r="536">
      <c r="A536" s="10" t="inlineStr">
        <is>
          <t>Macitentan</t>
        </is>
      </c>
      <c r="B536" s="10" t="n"/>
      <c r="C536" s="10" t="n"/>
      <c r="D536" s="5" t="n"/>
      <c r="E536" s="5" t="n"/>
      <c r="F536" s="10" t="n"/>
      <c r="G536" s="5" t="n"/>
      <c r="H536" s="5" t="n"/>
      <c r="I536" s="5" t="n"/>
      <c r="J536" s="5" t="n"/>
      <c r="K536" s="10" t="inlineStr">
        <is>
          <t>Not on master list (time records)</t>
        </is>
      </c>
      <c r="L536" s="5" t="n"/>
      <c r="M536" s="5" t="n"/>
      <c r="N536" s="10" t="n"/>
      <c r="O536" s="10" t="n"/>
      <c r="P536" s="10" t="n"/>
      <c r="Q536" s="10" t="n"/>
      <c r="R536" s="10" t="n"/>
    </row>
    <row r="537">
      <c r="A537" s="10" t="inlineStr">
        <is>
          <t>Macrogol 20000</t>
        </is>
      </c>
      <c r="B537" s="10" t="n"/>
      <c r="C537" s="10" t="n"/>
      <c r="D537" s="5" t="n"/>
      <c r="E537" s="5" t="n"/>
      <c r="F537" s="10" t="n"/>
      <c r="G537" s="5" t="n"/>
      <c r="H537" s="5" t="n"/>
      <c r="I537" s="5" t="n"/>
      <c r="J537" s="5" t="n"/>
      <c r="K537" s="10" t="inlineStr">
        <is>
          <t>Not on master list (time records)</t>
        </is>
      </c>
      <c r="L537" s="5" t="n"/>
      <c r="M537" s="5" t="n"/>
      <c r="N537" s="10" t="n"/>
      <c r="O537" s="10" t="n"/>
      <c r="P537" s="10" t="n"/>
      <c r="Q537" s="10" t="n"/>
      <c r="R537" s="10" t="n"/>
    </row>
    <row r="538">
      <c r="A538" s="10" t="inlineStr">
        <is>
          <t>Magnesium Aspartate</t>
        </is>
      </c>
      <c r="B538" s="10" t="n"/>
      <c r="C538" s="10" t="n"/>
      <c r="D538" s="5" t="n"/>
      <c r="E538" s="5" t="n"/>
      <c r="F538" s="10" t="n"/>
      <c r="G538" s="5" t="n"/>
      <c r="H538" s="5" t="n"/>
      <c r="I538" s="5" t="n"/>
      <c r="J538" s="5" t="n"/>
      <c r="K538" s="10" t="inlineStr">
        <is>
          <t>Not on master list (time records)</t>
        </is>
      </c>
      <c r="L538" s="5" t="n"/>
      <c r="M538" s="5" t="n"/>
      <c r="N538" s="10" t="n"/>
      <c r="O538" s="10" t="n"/>
      <c r="P538" s="10" t="n"/>
      <c r="Q538" s="10" t="n"/>
      <c r="R538" s="10" t="n"/>
    </row>
    <row r="539">
      <c r="A539" s="10" t="inlineStr">
        <is>
          <t>Magnesium Carbonate Heavy</t>
        </is>
      </c>
      <c r="B539" s="10" t="n"/>
      <c r="C539" s="10" t="n"/>
      <c r="D539" s="5" t="n"/>
      <c r="E539" s="5" t="n"/>
      <c r="F539" s="10" t="n"/>
      <c r="G539" s="5" t="n"/>
      <c r="H539" s="5" t="n"/>
      <c r="I539" s="5" t="n"/>
      <c r="J539" s="5" t="n"/>
      <c r="K539" s="10" t="inlineStr">
        <is>
          <t>Not on master list (time records)</t>
        </is>
      </c>
      <c r="L539" s="5" t="n"/>
      <c r="M539" s="5" t="n"/>
      <c r="N539" s="10" t="n"/>
      <c r="O539" s="10" t="n"/>
      <c r="P539" s="10" t="n"/>
      <c r="Q539" s="10" t="n"/>
      <c r="R539" s="10" t="n"/>
    </row>
    <row r="540">
      <c r="A540" s="10" t="inlineStr">
        <is>
          <t>Maitake Ext.</t>
        </is>
      </c>
      <c r="B540" s="10" t="n"/>
      <c r="C540" s="10" t="n"/>
      <c r="D540" s="5" t="n"/>
      <c r="E540" s="5" t="n"/>
      <c r="F540" s="10" t="n"/>
      <c r="G540" s="5" t="n"/>
      <c r="H540" s="5" t="n"/>
      <c r="I540" s="5" t="n"/>
      <c r="J540" s="5" t="n"/>
      <c r="K540" s="10" t="inlineStr">
        <is>
          <t>Not on master list (time records)</t>
        </is>
      </c>
      <c r="L540" s="5" t="n"/>
      <c r="M540" s="5" t="n"/>
      <c r="N540" s="10" t="n"/>
      <c r="O540" s="10" t="n"/>
      <c r="P540" s="10" t="n"/>
      <c r="Q540" s="10" t="n"/>
      <c r="R540" s="10" t="n"/>
    </row>
    <row r="541">
      <c r="A541" s="10" t="inlineStr">
        <is>
          <t>Mango Flavour Powder</t>
        </is>
      </c>
      <c r="B541" s="10" t="n"/>
      <c r="C541" s="10" t="n"/>
      <c r="D541" s="5" t="n"/>
      <c r="E541" s="5" t="n"/>
      <c r="F541" s="10" t="n"/>
      <c r="G541" s="5" t="n"/>
      <c r="H541" s="5" t="n"/>
      <c r="I541" s="5" t="n"/>
      <c r="J541" s="5" t="n"/>
      <c r="K541" s="10" t="inlineStr">
        <is>
          <t>Not on master list (time records)</t>
        </is>
      </c>
      <c r="L541" s="5" t="n"/>
      <c r="M541" s="5" t="n"/>
      <c r="N541" s="10" t="n"/>
      <c r="O541" s="10" t="n"/>
      <c r="P541" s="10" t="n"/>
      <c r="Q541" s="10" t="n"/>
      <c r="R541" s="10" t="n"/>
    </row>
    <row r="542">
      <c r="A542" s="10" t="inlineStr">
        <is>
          <t>Mannitol 200 SD</t>
        </is>
      </c>
      <c r="B542" s="10" t="n"/>
      <c r="C542" s="10" t="n"/>
      <c r="D542" s="5" t="n"/>
      <c r="E542" s="5" t="n"/>
      <c r="F542" s="10" t="n"/>
      <c r="G542" s="5" t="n"/>
      <c r="H542" s="5" t="n"/>
      <c r="I542" s="5" t="n"/>
      <c r="J542" s="5" t="n"/>
      <c r="K542" s="10" t="inlineStr">
        <is>
          <t>Not on master list (purchase list)</t>
        </is>
      </c>
      <c r="L542" s="5" t="n"/>
      <c r="M542" s="5" t="n"/>
      <c r="N542" s="10" t="n"/>
      <c r="O542" s="10" t="n"/>
      <c r="P542" s="10" t="n"/>
      <c r="Q542" s="10" t="n"/>
      <c r="R542" s="10" t="n"/>
    </row>
    <row r="543">
      <c r="A543" s="10" t="inlineStr">
        <is>
          <t>Mannitol DC 400</t>
        </is>
      </c>
      <c r="B543" s="10" t="n"/>
      <c r="C543" s="10" t="n"/>
      <c r="D543" s="5" t="n"/>
      <c r="E543" s="5" t="n"/>
      <c r="F543" s="10" t="n"/>
      <c r="G543" s="5" t="n"/>
      <c r="H543" s="5" t="n"/>
      <c r="I543" s="5" t="n"/>
      <c r="J543" s="5" t="n"/>
      <c r="K543" s="10" t="inlineStr">
        <is>
          <t>Not on master list (time records)</t>
        </is>
      </c>
      <c r="L543" s="5" t="n"/>
      <c r="M543" s="5" t="n"/>
      <c r="N543" s="10" t="n"/>
      <c r="O543" s="10" t="n"/>
      <c r="P543" s="10" t="n"/>
      <c r="Q543" s="10" t="n"/>
      <c r="R543" s="10" t="n"/>
    </row>
    <row r="544">
      <c r="A544" s="10" t="inlineStr">
        <is>
          <t>Mannitol Liquid</t>
        </is>
      </c>
      <c r="B544" s="10" t="n"/>
      <c r="C544" s="10" t="n"/>
      <c r="D544" s="5" t="n"/>
      <c r="E544" s="5" t="n"/>
      <c r="F544" s="10" t="n"/>
      <c r="G544" s="5" t="n"/>
      <c r="H544" s="5" t="n"/>
      <c r="I544" s="5" t="n"/>
      <c r="J544" s="5" t="n"/>
      <c r="K544" s="10" t="inlineStr">
        <is>
          <t>Not on master list (time records)</t>
        </is>
      </c>
      <c r="L544" s="5" t="n"/>
      <c r="M544" s="5" t="n"/>
      <c r="N544" s="10" t="n"/>
      <c r="O544" s="10" t="n"/>
      <c r="P544" s="10" t="n"/>
      <c r="Q544" s="10" t="n"/>
      <c r="R544" s="10" t="n"/>
    </row>
    <row r="545">
      <c r="A545" s="10" t="inlineStr">
        <is>
          <t>Mapcol Allura Red</t>
        </is>
      </c>
      <c r="B545" s="10" t="n"/>
      <c r="C545" s="10" t="n"/>
      <c r="D545" s="5" t="n"/>
      <c r="E545" s="5" t="n"/>
      <c r="F545" s="10" t="n"/>
      <c r="G545" s="5" t="n"/>
      <c r="H545" s="5" t="n"/>
      <c r="I545" s="5" t="n"/>
      <c r="J545" s="5" t="n"/>
      <c r="K545" s="10" t="inlineStr">
        <is>
          <t>Not on master list (purchase list)</t>
        </is>
      </c>
      <c r="L545" s="5" t="n"/>
      <c r="M545" s="5" t="n"/>
      <c r="N545" s="10" t="n"/>
      <c r="O545" s="10" t="n"/>
      <c r="P545" s="10" t="n"/>
      <c r="Q545" s="10" t="n"/>
      <c r="R545" s="10" t="n"/>
    </row>
    <row r="546">
      <c r="A546" s="10" t="inlineStr">
        <is>
          <t>Marshmallow</t>
        </is>
      </c>
      <c r="B546" s="10" t="n"/>
      <c r="C546" s="10" t="n"/>
      <c r="D546" s="5" t="n"/>
      <c r="E546" s="5" t="n"/>
      <c r="F546" s="10" t="n"/>
      <c r="G546" s="5" t="n"/>
      <c r="H546" s="5" t="n"/>
      <c r="I546" s="5" t="n"/>
      <c r="J546" s="5" t="n"/>
      <c r="K546" s="10" t="inlineStr">
        <is>
          <t>Not on master list (purchase list)</t>
        </is>
      </c>
      <c r="L546" s="5" t="n"/>
      <c r="M546" s="5" t="n"/>
      <c r="N546" s="10" t="n"/>
      <c r="O546" s="10" t="n"/>
      <c r="P546" s="10" t="n"/>
      <c r="Q546" s="10" t="n"/>
      <c r="R546" s="10" t="n"/>
    </row>
    <row r="547">
      <c r="A547" s="10" t="inlineStr">
        <is>
          <t>Marshmallow Root</t>
        </is>
      </c>
      <c r="B547" s="10" t="n"/>
      <c r="C547" s="10" t="n"/>
      <c r="D547" s="5" t="n"/>
      <c r="E547" s="5" t="n"/>
      <c r="F547" s="10" t="n"/>
      <c r="G547" s="5" t="n"/>
      <c r="H547" s="5" t="n"/>
      <c r="I547" s="5" t="n"/>
      <c r="J547" s="5" t="n"/>
      <c r="K547" s="10" t="inlineStr">
        <is>
          <t>Not on master list (purchase list)</t>
        </is>
      </c>
      <c r="L547" s="5" t="n"/>
      <c r="M547" s="5" t="n"/>
      <c r="N547" s="10" t="n"/>
      <c r="O547" s="10" t="n"/>
      <c r="P547" s="10" t="n"/>
      <c r="Q547" s="10" t="n"/>
      <c r="R547" s="10" t="n"/>
    </row>
    <row r="548">
      <c r="A548" s="10" t="inlineStr">
        <is>
          <t>Marshmallow Root Extract</t>
        </is>
      </c>
      <c r="B548" s="10" t="n"/>
      <c r="C548" s="10" t="n"/>
      <c r="D548" s="5" t="n"/>
      <c r="E548" s="5" t="n"/>
      <c r="F548" s="10" t="n"/>
      <c r="G548" s="5" t="n"/>
      <c r="H548" s="5" t="n"/>
      <c r="I548" s="5" t="n"/>
      <c r="J548" s="5" t="n"/>
      <c r="K548" s="10" t="inlineStr">
        <is>
          <t>Not on master list (purchase list)</t>
        </is>
      </c>
      <c r="L548" s="5" t="n"/>
      <c r="M548" s="5" t="n"/>
      <c r="N548" s="10" t="n"/>
      <c r="O548" s="10" t="n"/>
      <c r="P548" s="10" t="n"/>
      <c r="Q548" s="10" t="n"/>
      <c r="R548" s="10" t="n"/>
    </row>
    <row r="549">
      <c r="A549" s="10" t="inlineStr">
        <is>
          <t>Mashroom Shiitake Ext.</t>
        </is>
      </c>
      <c r="B549" s="10" t="n"/>
      <c r="C549" s="10" t="n"/>
      <c r="D549" s="5" t="n"/>
      <c r="E549" s="5" t="n"/>
      <c r="F549" s="10" t="n"/>
      <c r="G549" s="5" t="n"/>
      <c r="H549" s="5" t="n"/>
      <c r="I549" s="5" t="n"/>
      <c r="J549" s="5" t="n"/>
      <c r="K549" s="10" t="inlineStr">
        <is>
          <t>Not on master list (time records)</t>
        </is>
      </c>
      <c r="L549" s="5" t="n"/>
      <c r="M549" s="5" t="n"/>
      <c r="N549" s="10" t="n"/>
      <c r="O549" s="10" t="n"/>
      <c r="P549" s="10" t="n"/>
      <c r="Q549" s="10" t="n"/>
      <c r="R549" s="10" t="n"/>
    </row>
    <row r="550">
      <c r="A550" s="10" t="inlineStr">
        <is>
          <t>Maxi CareX Marketing Sachet</t>
        </is>
      </c>
      <c r="B550" s="10" t="n"/>
      <c r="C550" s="10" t="n"/>
      <c r="D550" s="5" t="n"/>
      <c r="E550" s="5" t="n"/>
      <c r="F550" s="10" t="n"/>
      <c r="G550" s="5" t="n"/>
      <c r="H550" s="5" t="n"/>
      <c r="I550" s="5" t="n"/>
      <c r="J550" s="5" t="n"/>
      <c r="K550" s="10" t="inlineStr">
        <is>
          <t>Not on master list (time records)</t>
        </is>
      </c>
      <c r="L550" s="5" t="n"/>
      <c r="M550" s="5" t="n"/>
      <c r="N550" s="10" t="n"/>
      <c r="O550" s="10" t="n"/>
      <c r="P550" s="10" t="n"/>
      <c r="Q550" s="10" t="n"/>
      <c r="R550" s="10" t="n"/>
    </row>
    <row r="551">
      <c r="A551" s="10" t="inlineStr">
        <is>
          <t>MCT OIL (Medium Chain Triglycride)</t>
        </is>
      </c>
      <c r="B551" s="10" t="n"/>
      <c r="C551" s="10" t="n"/>
      <c r="D551" s="5" t="n"/>
      <c r="E551" s="5" t="n"/>
      <c r="F551" s="10" t="n"/>
      <c r="G551" s="5" t="n"/>
      <c r="H551" s="5" t="n"/>
      <c r="I551" s="5" t="n"/>
      <c r="J551" s="5" t="n"/>
      <c r="K551" s="10" t="inlineStr">
        <is>
          <t>Not on master list (time records)</t>
        </is>
      </c>
      <c r="L551" s="5" t="n"/>
      <c r="M551" s="5" t="n"/>
      <c r="N551" s="10" t="n"/>
      <c r="O551" s="10" t="n"/>
      <c r="P551" s="10" t="n"/>
      <c r="Q551" s="10" t="n"/>
      <c r="R551" s="10" t="n"/>
    </row>
    <row r="552">
      <c r="A552" s="10" t="inlineStr">
        <is>
          <t>Melatonin</t>
        </is>
      </c>
      <c r="B552" s="10" t="n"/>
      <c r="C552" s="10" t="n"/>
      <c r="D552" s="5" t="n"/>
      <c r="E552" s="5" t="n"/>
      <c r="F552" s="10" t="n"/>
      <c r="G552" s="5" t="n"/>
      <c r="H552" s="5" t="n"/>
      <c r="I552" s="5" t="n"/>
      <c r="J552" s="5" t="n"/>
      <c r="K552" s="10" t="inlineStr">
        <is>
          <t>Not on master list (purchase list + time records)</t>
        </is>
      </c>
      <c r="L552" s="5" t="n"/>
      <c r="M552" s="5" t="n"/>
      <c r="N552" s="10" t="n"/>
      <c r="O552" s="10" t="n"/>
      <c r="P552" s="10" t="n">
        <v>15.93</v>
      </c>
      <c r="Q552" s="10" t="n"/>
      <c r="R552" s="10" t="n"/>
    </row>
    <row r="553">
      <c r="A553" s="10" t="inlineStr">
        <is>
          <t>Melatonin BP</t>
        </is>
      </c>
      <c r="B553" s="10" t="n"/>
      <c r="C553" s="10" t="n"/>
      <c r="D553" s="5" t="n"/>
      <c r="E553" s="5" t="n"/>
      <c r="F553" s="10" t="n"/>
      <c r="G553" s="5" t="n"/>
      <c r="H553" s="5" t="n"/>
      <c r="I553" s="5" t="n"/>
      <c r="J553" s="5" t="n"/>
      <c r="K553" s="10" t="inlineStr">
        <is>
          <t>Not on master list (purchase list)</t>
        </is>
      </c>
      <c r="L553" s="5" t="n"/>
      <c r="M553" s="5" t="n"/>
      <c r="N553" s="10" t="n"/>
      <c r="O553" s="10" t="n"/>
      <c r="P553" s="10" t="n"/>
      <c r="Q553" s="10" t="n"/>
      <c r="R553" s="10" t="n"/>
    </row>
    <row r="554">
      <c r="A554" s="10" t="inlineStr">
        <is>
          <t>Mentha Pipperita (Peppermint)</t>
        </is>
      </c>
      <c r="B554" s="10" t="n"/>
      <c r="C554" s="10" t="n"/>
      <c r="D554" s="5" t="n"/>
      <c r="E554" s="5" t="n"/>
      <c r="F554" s="10" t="n"/>
      <c r="G554" s="5" t="n"/>
      <c r="H554" s="5" t="n"/>
      <c r="I554" s="5" t="n"/>
      <c r="J554" s="5" t="n"/>
      <c r="K554" s="10" t="inlineStr">
        <is>
          <t>Not on master list (time records)</t>
        </is>
      </c>
      <c r="L554" s="5" t="n"/>
      <c r="M554" s="5" t="n"/>
      <c r="N554" s="10" t="n"/>
      <c r="O554" s="10" t="n"/>
      <c r="P554" s="10" t="n">
        <v>3.57</v>
      </c>
      <c r="Q554" s="10" t="n"/>
      <c r="R554" s="10" t="n"/>
    </row>
    <row r="555">
      <c r="A555" s="10" t="inlineStr">
        <is>
          <t>Menthol Crystal</t>
        </is>
      </c>
      <c r="B555" s="10" t="n"/>
      <c r="C555" s="10" t="n"/>
      <c r="D555" s="5" t="n"/>
      <c r="E555" s="5" t="n"/>
      <c r="F555" s="10" t="n"/>
      <c r="G555" s="5" t="n"/>
      <c r="H555" s="5" t="n"/>
      <c r="I555" s="5" t="n"/>
      <c r="J555" s="5" t="n"/>
      <c r="K555" s="10" t="inlineStr">
        <is>
          <t>Not on master list (purchase list)</t>
        </is>
      </c>
      <c r="L555" s="5" t="n"/>
      <c r="M555" s="5" t="n"/>
      <c r="N555" s="10" t="n"/>
      <c r="O555" s="10" t="n"/>
      <c r="P555" s="10" t="n"/>
      <c r="Q555" s="10" t="n"/>
      <c r="R555" s="10" t="n"/>
    </row>
    <row r="556">
      <c r="A556" s="10" t="inlineStr">
        <is>
          <t>Menthol Crystals</t>
        </is>
      </c>
      <c r="B556" s="10" t="n"/>
      <c r="C556" s="10" t="n"/>
      <c r="D556" s="5" t="n"/>
      <c r="E556" s="5" t="n"/>
      <c r="F556" s="10" t="n"/>
      <c r="G556" s="5" t="n"/>
      <c r="H556" s="5" t="n"/>
      <c r="I556" s="5" t="n"/>
      <c r="J556" s="5" t="n"/>
      <c r="K556" s="10" t="inlineStr">
        <is>
          <t>Not on master list (purchase list)</t>
        </is>
      </c>
      <c r="L556" s="5" t="n"/>
      <c r="M556" s="5" t="n"/>
      <c r="N556" s="10" t="n"/>
      <c r="O556" s="10" t="n"/>
      <c r="P556" s="10" t="n"/>
      <c r="Q556" s="10" t="n"/>
      <c r="R556" s="10" t="n"/>
    </row>
    <row r="557">
      <c r="A557" s="10" t="inlineStr">
        <is>
          <t>Mesalazine</t>
        </is>
      </c>
      <c r="B557" s="10" t="n"/>
      <c r="C557" s="10" t="n"/>
      <c r="D557" s="5" t="n"/>
      <c r="E557" s="5" t="n"/>
      <c r="F557" s="10" t="n"/>
      <c r="G557" s="5" t="n"/>
      <c r="H557" s="5" t="n"/>
      <c r="I557" s="5" t="n"/>
      <c r="J557" s="5" t="n"/>
      <c r="K557" s="10" t="inlineStr">
        <is>
          <t>Not on master list (time records)</t>
        </is>
      </c>
      <c r="L557" s="5" t="n"/>
      <c r="M557" s="5" t="n"/>
      <c r="N557" s="10" t="n"/>
      <c r="O557" s="10" t="n"/>
      <c r="P557" s="10" t="n"/>
      <c r="Q557" s="10" t="n"/>
      <c r="R557" s="10" t="n"/>
    </row>
    <row r="558">
      <c r="A558" s="10" t="inlineStr">
        <is>
          <t>Metformin DC Extended Release</t>
        </is>
      </c>
      <c r="B558" s="10" t="n"/>
      <c r="C558" s="10" t="n"/>
      <c r="D558" s="5" t="n"/>
      <c r="E558" s="5" t="n"/>
      <c r="F558" s="10" t="n"/>
      <c r="G558" s="5" t="n"/>
      <c r="H558" s="5" t="n"/>
      <c r="I558" s="5" t="n"/>
      <c r="J558" s="5" t="n"/>
      <c r="K558" s="10" t="inlineStr">
        <is>
          <t>Not on master list (time records)</t>
        </is>
      </c>
      <c r="L558" s="5" t="n"/>
      <c r="M558" s="5" t="n"/>
      <c r="N558" s="10" t="n"/>
      <c r="O558" s="10" t="n"/>
      <c r="P558" s="10" t="n"/>
      <c r="Q558" s="10" t="n"/>
      <c r="R558" s="10" t="n"/>
    </row>
    <row r="559">
      <c r="A559" s="10" t="inlineStr">
        <is>
          <t>Methacrylic Acid Ethyl Acrylate Copolymer-L100</t>
        </is>
      </c>
      <c r="B559" s="10" t="n"/>
      <c r="C559" s="10" t="n"/>
      <c r="D559" s="5" t="n"/>
      <c r="E559" s="5" t="n"/>
      <c r="F559" s="10" t="n"/>
      <c r="G559" s="5" t="n"/>
      <c r="H559" s="5" t="n"/>
      <c r="I559" s="5" t="n"/>
      <c r="J559" s="5" t="n"/>
      <c r="K559" s="10" t="inlineStr">
        <is>
          <t>Not on master list (purchase list)</t>
        </is>
      </c>
      <c r="L559" s="5" t="n"/>
      <c r="M559" s="5" t="n"/>
      <c r="N559" s="10" t="n"/>
      <c r="O559" s="10" t="n"/>
      <c r="P559" s="10" t="n"/>
      <c r="Q559" s="10" t="n"/>
      <c r="R559" s="10" t="n"/>
    </row>
    <row r="560">
      <c r="A560" s="10" t="inlineStr">
        <is>
          <t>Methanamine</t>
        </is>
      </c>
      <c r="B560" s="10" t="n"/>
      <c r="C560" s="10" t="n"/>
      <c r="D560" s="5" t="n"/>
      <c r="E560" s="5" t="n"/>
      <c r="F560" s="10" t="n"/>
      <c r="G560" s="5" t="n"/>
      <c r="H560" s="5" t="n"/>
      <c r="I560" s="5" t="n"/>
      <c r="J560" s="5" t="n"/>
      <c r="K560" s="10" t="inlineStr">
        <is>
          <t>Not on master list (time records)</t>
        </is>
      </c>
      <c r="L560" s="5" t="n"/>
      <c r="M560" s="5" t="n"/>
      <c r="N560" s="10" t="n"/>
      <c r="O560" s="10" t="n"/>
      <c r="P560" s="10" t="n"/>
      <c r="Q560" s="10" t="n"/>
      <c r="R560" s="10" t="n"/>
    </row>
    <row r="561">
      <c r="A561" s="10" t="inlineStr">
        <is>
          <t>Methylfolate</t>
        </is>
      </c>
      <c r="B561" s="10" t="n"/>
      <c r="C561" s="10" t="n"/>
      <c r="D561" s="5" t="n"/>
      <c r="E561" s="5" t="n"/>
      <c r="F561" s="10" t="n"/>
      <c r="G561" s="5" t="n"/>
      <c r="H561" s="5" t="n"/>
      <c r="I561" s="5" t="n"/>
      <c r="J561" s="5" t="n"/>
      <c r="K561" s="10" t="inlineStr">
        <is>
          <t>Not on master list (time records)</t>
        </is>
      </c>
      <c r="L561" s="5" t="n"/>
      <c r="M561" s="5" t="n"/>
      <c r="N561" s="10" t="n"/>
      <c r="O561" s="10" t="n"/>
      <c r="P561" s="10" t="n"/>
      <c r="Q561" s="10" t="n"/>
      <c r="R561" s="10" t="n"/>
    </row>
    <row r="562">
      <c r="A562" s="10" t="inlineStr">
        <is>
          <t>Methylred</t>
        </is>
      </c>
      <c r="B562" s="10" t="n"/>
      <c r="C562" s="10" t="n"/>
      <c r="D562" s="5" t="n"/>
      <c r="E562" s="5" t="n"/>
      <c r="F562" s="10" t="n"/>
      <c r="G562" s="5" t="n"/>
      <c r="H562" s="5" t="n"/>
      <c r="I562" s="5" t="n"/>
      <c r="J562" s="5" t="n"/>
      <c r="K562" s="10" t="inlineStr">
        <is>
          <t>Not on master list (time records)</t>
        </is>
      </c>
      <c r="L562" s="5" t="n"/>
      <c r="M562" s="5" t="n"/>
      <c r="N562" s="10" t="n"/>
      <c r="O562" s="10" t="n"/>
      <c r="P562" s="10" t="n"/>
      <c r="Q562" s="10" t="n"/>
      <c r="R562" s="10" t="n"/>
    </row>
    <row r="563">
      <c r="A563" s="10" t="inlineStr">
        <is>
          <t>Micro Crystalline Cellulose Neo-C91SD  Colloidal</t>
        </is>
      </c>
      <c r="B563" s="10" t="n"/>
      <c r="C563" s="10" t="n"/>
      <c r="D563" s="5" t="n"/>
      <c r="E563" s="5" t="n"/>
      <c r="F563" s="10" t="n"/>
      <c r="G563" s="5" t="n"/>
      <c r="H563" s="5" t="n"/>
      <c r="I563" s="5" t="n"/>
      <c r="J563" s="5" t="n"/>
      <c r="K563" s="10" t="inlineStr">
        <is>
          <t>Not on master list (time records)</t>
        </is>
      </c>
      <c r="L563" s="5" t="n"/>
      <c r="M563" s="5" t="n"/>
      <c r="N563" s="10" t="n"/>
      <c r="O563" s="10" t="n"/>
      <c r="P563" s="10" t="n">
        <v>3.77</v>
      </c>
      <c r="Q563" s="10" t="n"/>
      <c r="R563" s="10" t="n"/>
    </row>
    <row r="564">
      <c r="A564" s="10" t="inlineStr">
        <is>
          <t>MicroCrystaline Cellulose PH112 (Avicel PH112)</t>
        </is>
      </c>
      <c r="B564" s="10" t="n"/>
      <c r="C564" s="10" t="n"/>
      <c r="D564" s="5" t="n"/>
      <c r="E564" s="5" t="n"/>
      <c r="F564" s="10" t="n"/>
      <c r="G564" s="5" t="n"/>
      <c r="H564" s="5" t="n"/>
      <c r="I564" s="5" t="n"/>
      <c r="J564" s="5" t="n"/>
      <c r="K564" s="10" t="inlineStr">
        <is>
          <t>Not on master list (time records)</t>
        </is>
      </c>
      <c r="L564" s="5" t="n"/>
      <c r="M564" s="5" t="n"/>
      <c r="N564" s="10" t="n"/>
      <c r="O564" s="10" t="n"/>
      <c r="P564" s="10" t="n"/>
      <c r="Q564" s="10" t="n"/>
      <c r="R564" s="10" t="n"/>
    </row>
    <row r="565">
      <c r="A565" s="10" t="inlineStr">
        <is>
          <t>Microcrystalline 101</t>
        </is>
      </c>
      <c r="B565" s="10" t="n"/>
      <c r="C565" s="10" t="n"/>
      <c r="D565" s="5" t="n"/>
      <c r="E565" s="5" t="n"/>
      <c r="F565" s="10" t="n"/>
      <c r="G565" s="5" t="n"/>
      <c r="H565" s="5" t="n"/>
      <c r="I565" s="5" t="n"/>
      <c r="J565" s="5" t="n"/>
      <c r="K565" s="10" t="inlineStr">
        <is>
          <t>Not on master list (purchase list)</t>
        </is>
      </c>
      <c r="L565" s="5" t="n"/>
      <c r="M565" s="5" t="n"/>
      <c r="N565" s="10" t="n"/>
      <c r="O565" s="10" t="n"/>
      <c r="P565" s="10" t="n"/>
      <c r="Q565" s="10" t="n"/>
      <c r="R565" s="10" t="n"/>
    </row>
    <row r="566">
      <c r="A566" s="10" t="inlineStr">
        <is>
          <t>Micronized HPMC</t>
        </is>
      </c>
      <c r="B566" s="10" t="n"/>
      <c r="C566" s="10" t="n"/>
      <c r="D566" s="5" t="n"/>
      <c r="E566" s="5" t="n"/>
      <c r="F566" s="10" t="n"/>
      <c r="G566" s="5" t="n"/>
      <c r="H566" s="5" t="n"/>
      <c r="I566" s="5" t="n"/>
      <c r="J566" s="5" t="n"/>
      <c r="K566" s="10" t="inlineStr">
        <is>
          <t>Not on master list (time records)</t>
        </is>
      </c>
      <c r="L566" s="5" t="n"/>
      <c r="M566" s="5" t="n"/>
      <c r="N566" s="10" t="n"/>
      <c r="O566" s="10" t="n"/>
      <c r="P566" s="10" t="n"/>
      <c r="Q566" s="10" t="n"/>
      <c r="R566" s="10" t="n"/>
    </row>
    <row r="567">
      <c r="A567" s="10" t="inlineStr">
        <is>
          <t>Mirabegron</t>
        </is>
      </c>
      <c r="B567" s="10" t="n"/>
      <c r="C567" s="10" t="n"/>
      <c r="D567" s="5" t="n"/>
      <c r="E567" s="5" t="n"/>
      <c r="F567" s="10" t="n"/>
      <c r="G567" s="5" t="n"/>
      <c r="H567" s="5" t="n"/>
      <c r="I567" s="5" t="n"/>
      <c r="J567" s="5" t="n"/>
      <c r="K567" s="10" t="inlineStr">
        <is>
          <t>Not on master list (time records)</t>
        </is>
      </c>
      <c r="L567" s="5" t="n"/>
      <c r="M567" s="5" t="n"/>
      <c r="N567" s="10" t="n"/>
      <c r="O567" s="10" t="n"/>
      <c r="P567" s="10" t="n"/>
      <c r="Q567" s="10" t="n"/>
      <c r="R567" s="10" t="n"/>
    </row>
    <row r="568">
      <c r="A568" s="10" t="inlineStr">
        <is>
          <t>Molnupiravir</t>
        </is>
      </c>
      <c r="B568" s="10" t="n"/>
      <c r="C568" s="10" t="n"/>
      <c r="D568" s="5" t="n"/>
      <c r="E568" s="5" t="n"/>
      <c r="F568" s="10" t="n"/>
      <c r="G568" s="5" t="n"/>
      <c r="H568" s="5" t="n"/>
      <c r="I568" s="5" t="n"/>
      <c r="J568" s="5" t="n"/>
      <c r="K568" s="10" t="inlineStr">
        <is>
          <t>Not on master list (time records)</t>
        </is>
      </c>
      <c r="L568" s="5" t="n"/>
      <c r="M568" s="5" t="n"/>
      <c r="N568" s="10" t="n"/>
      <c r="O568" s="10" t="n"/>
      <c r="P568" s="10" t="n"/>
      <c r="Q568" s="10" t="n"/>
      <c r="R568" s="10" t="n"/>
    </row>
    <row r="569">
      <c r="A569" s="10" t="inlineStr">
        <is>
          <t>MonoAmmonium Glycyrrhizinate</t>
        </is>
      </c>
      <c r="B569" s="10" t="n"/>
      <c r="C569" s="10" t="n"/>
      <c r="D569" s="5" t="n"/>
      <c r="E569" s="5" t="n"/>
      <c r="F569" s="10" t="n"/>
      <c r="G569" s="5" t="n"/>
      <c r="H569" s="5" t="n"/>
      <c r="I569" s="5" t="n"/>
      <c r="J569" s="5" t="n"/>
      <c r="K569" s="10" t="inlineStr">
        <is>
          <t>Not on master list (time records)</t>
        </is>
      </c>
      <c r="L569" s="5" t="n"/>
      <c r="M569" s="5" t="n"/>
      <c r="N569" s="10" t="n"/>
      <c r="O569" s="10" t="n"/>
      <c r="P569" s="10" t="n"/>
      <c r="Q569" s="10" t="n"/>
      <c r="R569" s="10" t="n"/>
    </row>
    <row r="570">
      <c r="A570" s="10" t="inlineStr">
        <is>
          <t>Moxifloxacin HCL</t>
        </is>
      </c>
      <c r="B570" s="10" t="n"/>
      <c r="C570" s="10" t="n"/>
      <c r="D570" s="5" t="n"/>
      <c r="E570" s="5" t="n"/>
      <c r="F570" s="10" t="n"/>
      <c r="G570" s="5" t="n"/>
      <c r="H570" s="5" t="n"/>
      <c r="I570" s="5" t="n"/>
      <c r="J570" s="5" t="n"/>
      <c r="K570" s="10" t="inlineStr">
        <is>
          <t>Not on master list (time records)</t>
        </is>
      </c>
      <c r="L570" s="5" t="n"/>
      <c r="M570" s="5" t="n"/>
      <c r="N570" s="10" t="n"/>
      <c r="O570" s="10" t="n"/>
      <c r="P570" s="10" t="n"/>
      <c r="Q570" s="10" t="n"/>
      <c r="R570" s="10" t="n"/>
    </row>
    <row r="571">
      <c r="A571" s="10" t="inlineStr">
        <is>
          <t>Mullien</t>
        </is>
      </c>
      <c r="B571" s="10" t="n"/>
      <c r="C571" s="10" t="n"/>
      <c r="D571" s="5" t="n"/>
      <c r="E571" s="5" t="n"/>
      <c r="F571" s="10" t="n"/>
      <c r="G571" s="5" t="n"/>
      <c r="H571" s="5" t="n"/>
      <c r="I571" s="5" t="n"/>
      <c r="J571" s="5" t="n"/>
      <c r="K571" s="10" t="inlineStr">
        <is>
          <t>Not on master list (time records)</t>
        </is>
      </c>
      <c r="L571" s="5" t="n"/>
      <c r="M571" s="5" t="n"/>
      <c r="N571" s="10" t="n"/>
      <c r="O571" s="10" t="n"/>
      <c r="P571" s="10" t="n"/>
      <c r="Q571" s="10" t="n"/>
      <c r="R571" s="10" t="n"/>
    </row>
    <row r="572">
      <c r="A572" s="10" t="inlineStr">
        <is>
          <t>Myricetin</t>
        </is>
      </c>
      <c r="B572" s="10" t="n"/>
      <c r="C572" s="10" t="n"/>
      <c r="D572" s="5" t="n"/>
      <c r="E572" s="5" t="n"/>
      <c r="F572" s="10" t="n"/>
      <c r="G572" s="5" t="n"/>
      <c r="H572" s="5" t="n"/>
      <c r="I572" s="5" t="n"/>
      <c r="J572" s="5" t="n"/>
      <c r="K572" s="10" t="inlineStr">
        <is>
          <t>Not on master list (time records)</t>
        </is>
      </c>
      <c r="L572" s="5" t="n"/>
      <c r="M572" s="5" t="n"/>
      <c r="N572" s="10" t="n"/>
      <c r="O572" s="10" t="n"/>
      <c r="P572" s="10" t="n"/>
      <c r="Q572" s="10" t="n"/>
      <c r="R572" s="10" t="n"/>
    </row>
    <row r="573">
      <c r="A573" s="10" t="inlineStr">
        <is>
          <t>N-Acetyle L-Cysteene</t>
        </is>
      </c>
      <c r="B573" s="10" t="n"/>
      <c r="C573" s="10" t="n"/>
      <c r="D573" s="5" t="n"/>
      <c r="E573" s="5" t="n"/>
      <c r="F573" s="10" t="n"/>
      <c r="G573" s="5" t="n"/>
      <c r="H573" s="5" t="n"/>
      <c r="I573" s="5" t="n"/>
      <c r="J573" s="5" t="n"/>
      <c r="K573" s="10" t="inlineStr">
        <is>
          <t>Not on master list (time records)</t>
        </is>
      </c>
      <c r="L573" s="5" t="n"/>
      <c r="M573" s="5" t="n"/>
      <c r="N573" s="10" t="n"/>
      <c r="O573" s="10" t="n"/>
      <c r="P573" s="10" t="n"/>
      <c r="Q573" s="10" t="n"/>
      <c r="R573" s="10" t="n"/>
    </row>
    <row r="574">
      <c r="A574" s="10" t="inlineStr">
        <is>
          <t>Naproxen Base</t>
        </is>
      </c>
      <c r="B574" s="10" t="n"/>
      <c r="C574" s="10" t="n"/>
      <c r="D574" s="5" t="n"/>
      <c r="E574" s="5" t="n"/>
      <c r="F574" s="10" t="n"/>
      <c r="G574" s="5" t="n"/>
      <c r="H574" s="5" t="n"/>
      <c r="I574" s="5" t="n"/>
      <c r="J574" s="5" t="n"/>
      <c r="K574" s="10" t="inlineStr">
        <is>
          <t>Not on master list (purchase list)</t>
        </is>
      </c>
      <c r="L574" s="5" t="n"/>
      <c r="M574" s="5" t="n"/>
      <c r="N574" s="10" t="n"/>
      <c r="O574" s="10" t="n"/>
      <c r="P574" s="10" t="n"/>
      <c r="Q574" s="10" t="n"/>
      <c r="R574" s="10" t="n"/>
    </row>
    <row r="575">
      <c r="A575" s="10" t="inlineStr">
        <is>
          <t>Nebivolol Hydrochloride Micronized</t>
        </is>
      </c>
      <c r="B575" s="10" t="n"/>
      <c r="C575" s="10" t="n"/>
      <c r="D575" s="5" t="n"/>
      <c r="E575" s="5" t="n"/>
      <c r="F575" s="10" t="n"/>
      <c r="G575" s="5" t="n"/>
      <c r="H575" s="5" t="n"/>
      <c r="I575" s="5" t="n"/>
      <c r="J575" s="5" t="n"/>
      <c r="K575" s="10" t="inlineStr">
        <is>
          <t>Not on master list (time records)</t>
        </is>
      </c>
      <c r="L575" s="5" t="n"/>
      <c r="M575" s="5" t="n"/>
      <c r="N575" s="10" t="n"/>
      <c r="O575" s="10" t="n"/>
      <c r="P575" s="10" t="n"/>
      <c r="Q575" s="10" t="n"/>
      <c r="R575" s="10" t="n"/>
    </row>
    <row r="576">
      <c r="A576" s="10" t="inlineStr">
        <is>
          <t>Neelicol Caramel</t>
        </is>
      </c>
      <c r="B576" s="10" t="n"/>
      <c r="C576" s="10" t="n"/>
      <c r="D576" s="5" t="n"/>
      <c r="E576" s="5" t="n"/>
      <c r="F576" s="10" t="n"/>
      <c r="G576" s="5" t="n"/>
      <c r="H576" s="5" t="n"/>
      <c r="I576" s="5" t="n"/>
      <c r="J576" s="5" t="n"/>
      <c r="K576" s="10" t="inlineStr">
        <is>
          <t>Not on master list (purchase list)</t>
        </is>
      </c>
      <c r="L576" s="5" t="n"/>
      <c r="M576" s="5" t="n"/>
      <c r="N576" s="10" t="n"/>
      <c r="O576" s="10" t="n"/>
      <c r="P576" s="10" t="n"/>
      <c r="Q576" s="10" t="n"/>
      <c r="R576" s="10" t="n"/>
    </row>
    <row r="577">
      <c r="A577" s="10" t="inlineStr">
        <is>
          <t>Nettel Ext.</t>
        </is>
      </c>
      <c r="B577" s="10" t="n"/>
      <c r="C577" s="10" t="n"/>
      <c r="D577" s="5" t="n"/>
      <c r="E577" s="5" t="n"/>
      <c r="F577" s="10" t="n"/>
      <c r="G577" s="5" t="n"/>
      <c r="H577" s="5" t="n"/>
      <c r="I577" s="5" t="n"/>
      <c r="J577" s="5" t="n"/>
      <c r="K577" s="10" t="inlineStr">
        <is>
          <t>Not on master list (time records)</t>
        </is>
      </c>
      <c r="L577" s="5" t="n"/>
      <c r="M577" s="5" t="n"/>
      <c r="N577" s="10" t="n"/>
      <c r="O577" s="10" t="n"/>
      <c r="P577" s="10" t="n"/>
      <c r="Q577" s="10" t="n"/>
      <c r="R577" s="10" t="n"/>
    </row>
    <row r="578">
      <c r="A578" s="10" t="inlineStr">
        <is>
          <t>Ondansetron Base</t>
        </is>
      </c>
      <c r="B578" s="10" t="n"/>
      <c r="C578" s="10" t="n"/>
      <c r="D578" s="5" t="n"/>
      <c r="E578" s="5" t="n"/>
      <c r="F578" s="10" t="n"/>
      <c r="G578" s="5" t="n"/>
      <c r="H578" s="5" t="n"/>
      <c r="I578" s="5" t="n"/>
      <c r="J578" s="5" t="n"/>
      <c r="K578" s="10" t="inlineStr">
        <is>
          <t>Not on master list (time records)</t>
        </is>
      </c>
      <c r="L578" s="5" t="n"/>
      <c r="M578" s="5" t="n"/>
      <c r="N578" s="10" t="n"/>
      <c r="O578" s="10" t="n"/>
      <c r="P578" s="10" t="n"/>
      <c r="Q578" s="10" t="n"/>
      <c r="R578" s="10" t="n"/>
    </row>
    <row r="579">
      <c r="A579" s="10" t="inlineStr">
        <is>
          <t>Opadry White (85F18422)</t>
        </is>
      </c>
      <c r="B579" s="10" t="n"/>
      <c r="C579" s="10" t="n"/>
      <c r="D579" s="5" t="n"/>
      <c r="E579" s="5" t="n"/>
      <c r="F579" s="10" t="n"/>
      <c r="G579" s="5" t="n"/>
      <c r="H579" s="5" t="n"/>
      <c r="I579" s="5" t="n"/>
      <c r="J579" s="5" t="n"/>
      <c r="K579" s="10" t="inlineStr">
        <is>
          <t>Not on master list (time records)</t>
        </is>
      </c>
      <c r="L579" s="5" t="n"/>
      <c r="M579" s="5" t="n"/>
      <c r="N579" s="10" t="n"/>
      <c r="O579" s="10" t="n"/>
      <c r="P579" s="10" t="n"/>
      <c r="Q579" s="10" t="n"/>
      <c r="R579" s="10" t="n"/>
    </row>
    <row r="580">
      <c r="A580" s="10" t="inlineStr">
        <is>
          <t>Opadry Yellow</t>
        </is>
      </c>
      <c r="B580" s="10" t="n"/>
      <c r="C580" s="10" t="n"/>
      <c r="D580" s="5" t="n"/>
      <c r="E580" s="5" t="n"/>
      <c r="F580" s="10" t="n"/>
      <c r="G580" s="5" t="n"/>
      <c r="H580" s="5" t="n"/>
      <c r="I580" s="5" t="n"/>
      <c r="J580" s="5" t="n"/>
      <c r="K580" s="10" t="inlineStr">
        <is>
          <t>Not on master list (time records)</t>
        </is>
      </c>
      <c r="L580" s="5" t="n"/>
      <c r="M580" s="5" t="n"/>
      <c r="N580" s="10" t="n"/>
      <c r="O580" s="10" t="n"/>
      <c r="P580" s="10" t="n"/>
      <c r="Q580" s="10" t="n"/>
      <c r="R580" s="10" t="n"/>
    </row>
    <row r="581">
      <c r="A581" s="10" t="inlineStr">
        <is>
          <t>Orange Flovour Powder Olbrichtarom</t>
        </is>
      </c>
      <c r="B581" s="10" t="n"/>
      <c r="C581" s="10" t="n"/>
      <c r="D581" s="5" t="n"/>
      <c r="E581" s="5" t="n"/>
      <c r="F581" s="10" t="n"/>
      <c r="G581" s="5" t="n"/>
      <c r="H581" s="5" t="n"/>
      <c r="I581" s="5" t="n"/>
      <c r="J581" s="5" t="n"/>
      <c r="K581" s="10" t="inlineStr">
        <is>
          <t>Not on master list (time records)</t>
        </is>
      </c>
      <c r="L581" s="5" t="n"/>
      <c r="M581" s="5" t="n"/>
      <c r="N581" s="10" t="n"/>
      <c r="O581" s="10" t="n"/>
      <c r="P581" s="10" t="n">
        <v>0.37</v>
      </c>
      <c r="Q581" s="10" t="n"/>
      <c r="R581" s="10" t="n"/>
    </row>
    <row r="582">
      <c r="A582" s="10" t="inlineStr">
        <is>
          <t>Orforglipron hemicalcium (OGLG)</t>
        </is>
      </c>
      <c r="B582" s="10" t="n"/>
      <c r="C582" s="10" t="n"/>
      <c r="D582" s="5" t="n"/>
      <c r="E582" s="5" t="n"/>
      <c r="F582" s="10" t="n"/>
      <c r="G582" s="5" t="n"/>
      <c r="H582" s="5" t="n"/>
      <c r="I582" s="5" t="n"/>
      <c r="J582" s="5" t="n"/>
      <c r="K582" s="10" t="inlineStr">
        <is>
          <t>Not on master list (purchase list)</t>
        </is>
      </c>
      <c r="L582" s="5" t="n"/>
      <c r="M582" s="5" t="n"/>
      <c r="N582" s="10" t="n"/>
      <c r="O582" s="10" t="n"/>
      <c r="P582" s="10" t="n"/>
      <c r="Q582" s="10" t="n"/>
      <c r="R582" s="10" t="n"/>
    </row>
    <row r="583">
      <c r="A583" s="10" t="inlineStr">
        <is>
          <t>Orlistat</t>
        </is>
      </c>
      <c r="B583" s="10" t="n"/>
      <c r="C583" s="10" t="n"/>
      <c r="D583" s="5" t="n"/>
      <c r="E583" s="5" t="n"/>
      <c r="F583" s="10" t="n"/>
      <c r="G583" s="5" t="n"/>
      <c r="H583" s="5" t="n"/>
      <c r="I583" s="5" t="n"/>
      <c r="J583" s="5" t="n"/>
      <c r="K583" s="10" t="inlineStr">
        <is>
          <t>Not on master list (time records)</t>
        </is>
      </c>
      <c r="L583" s="5" t="n"/>
      <c r="M583" s="5" t="n"/>
      <c r="N583" s="10" t="n"/>
      <c r="O583" s="10" t="n"/>
      <c r="P583" s="10" t="n"/>
      <c r="Q583" s="10" t="n"/>
      <c r="R583" s="10" t="n"/>
    </row>
    <row r="584">
      <c r="A584" s="10" t="inlineStr">
        <is>
          <t>OXIDE IRON RED</t>
        </is>
      </c>
      <c r="B584" s="10" t="n"/>
      <c r="C584" s="10" t="n"/>
      <c r="D584" s="5" t="n"/>
      <c r="E584" s="5" t="n"/>
      <c r="F584" s="10" t="n"/>
      <c r="G584" s="5" t="n"/>
      <c r="H584" s="5" t="n"/>
      <c r="I584" s="5" t="n"/>
      <c r="J584" s="5" t="n"/>
      <c r="K584" s="10" t="inlineStr">
        <is>
          <t>Not on master list (purchase list)</t>
        </is>
      </c>
      <c r="L584" s="5" t="n"/>
      <c r="M584" s="5" t="n"/>
      <c r="N584" s="10" t="n"/>
      <c r="O584" s="10" t="n"/>
      <c r="P584" s="10" t="n"/>
      <c r="Q584" s="10" t="n"/>
      <c r="R584" s="10" t="n"/>
    </row>
    <row r="585">
      <c r="A585" s="10" t="inlineStr">
        <is>
          <t>Ozonimod</t>
        </is>
      </c>
      <c r="B585" s="10" t="n"/>
      <c r="C585" s="10" t="n"/>
      <c r="D585" s="5" t="n"/>
      <c r="E585" s="5" t="n"/>
      <c r="F585" s="10" t="n"/>
      <c r="G585" s="5" t="n"/>
      <c r="H585" s="5" t="n"/>
      <c r="I585" s="5" t="n"/>
      <c r="J585" s="5" t="n"/>
      <c r="K585" s="10" t="inlineStr">
        <is>
          <t>Not on master list (purchase list)</t>
        </is>
      </c>
      <c r="L585" s="5" t="n"/>
      <c r="M585" s="5" t="n"/>
      <c r="N585" s="10" t="n"/>
      <c r="O585" s="10" t="n"/>
      <c r="P585" s="10" t="n"/>
      <c r="Q585" s="10" t="n"/>
      <c r="R585" s="10" t="n"/>
    </row>
    <row r="586">
      <c r="A586" s="10" t="inlineStr">
        <is>
          <t>P-Aminobenzoic Acid (Paba)</t>
        </is>
      </c>
      <c r="B586" s="10" t="n"/>
      <c r="C586" s="10" t="n"/>
      <c r="D586" s="5" t="n"/>
      <c r="E586" s="5" t="n"/>
      <c r="F586" s="10" t="n"/>
      <c r="G586" s="5" t="n"/>
      <c r="H586" s="5" t="n"/>
      <c r="I586" s="5" t="n"/>
      <c r="J586" s="5" t="n"/>
      <c r="K586" s="10" t="inlineStr">
        <is>
          <t>Not on master list (time records)</t>
        </is>
      </c>
      <c r="L586" s="5" t="n"/>
      <c r="M586" s="5" t="n"/>
      <c r="N586" s="10" t="n"/>
      <c r="O586" s="10" t="n"/>
      <c r="P586" s="10" t="n"/>
      <c r="Q586" s="10" t="n"/>
      <c r="R586" s="10" t="n"/>
    </row>
    <row r="587">
      <c r="A587" s="10" t="inlineStr">
        <is>
          <t>Paeonia Rubra Dried Root</t>
        </is>
      </c>
      <c r="B587" s="10" t="n"/>
      <c r="C587" s="10" t="n"/>
      <c r="D587" s="5" t="n"/>
      <c r="E587" s="5" t="n"/>
      <c r="F587" s="10" t="n"/>
      <c r="G587" s="5" t="n"/>
      <c r="H587" s="5" t="n"/>
      <c r="I587" s="5" t="n"/>
      <c r="J587" s="5" t="n"/>
      <c r="K587" s="10" t="inlineStr">
        <is>
          <t>Not on master list (time records)</t>
        </is>
      </c>
      <c r="L587" s="5" t="n"/>
      <c r="M587" s="5" t="n"/>
      <c r="N587" s="10" t="n"/>
      <c r="O587" s="10" t="n"/>
      <c r="P587" s="10" t="n"/>
      <c r="Q587" s="10" t="n"/>
      <c r="R587" s="10" t="n"/>
    </row>
    <row r="588">
      <c r="A588" s="10" t="inlineStr">
        <is>
          <t>Paeoniae Rubra Dried Root</t>
        </is>
      </c>
      <c r="B588" s="10" t="n"/>
      <c r="C588" s="10" t="n"/>
      <c r="D588" s="5" t="n"/>
      <c r="E588" s="5" t="n"/>
      <c r="F588" s="10" t="n"/>
      <c r="G588" s="5" t="n"/>
      <c r="H588" s="5" t="n"/>
      <c r="I588" s="5" t="n"/>
      <c r="J588" s="5" t="n"/>
      <c r="K588" s="10" t="inlineStr">
        <is>
          <t>Not on master list (time records)</t>
        </is>
      </c>
      <c r="L588" s="5" t="n"/>
      <c r="M588" s="5" t="n"/>
      <c r="N588" s="10" t="n"/>
      <c r="O588" s="10" t="n"/>
      <c r="P588" s="10" t="n"/>
      <c r="Q588" s="10" t="n"/>
      <c r="R588" s="10" t="n"/>
    </row>
    <row r="589">
      <c r="A589" s="10" t="inlineStr">
        <is>
          <t>Panax Ginseng Extract 3% Ginsenosides</t>
        </is>
      </c>
      <c r="B589" s="10" t="n"/>
      <c r="C589" s="10" t="n"/>
      <c r="D589" s="5" t="n"/>
      <c r="E589" s="5" t="n"/>
      <c r="F589" s="10" t="n"/>
      <c r="G589" s="5" t="n"/>
      <c r="H589" s="5" t="n"/>
      <c r="I589" s="5" t="n"/>
      <c r="J589" s="5" t="n"/>
      <c r="K589" s="10" t="inlineStr">
        <is>
          <t>Not on master list (purchase list)</t>
        </is>
      </c>
      <c r="L589" s="5" t="n"/>
      <c r="M589" s="5" t="n"/>
      <c r="N589" s="10" t="n"/>
      <c r="O589" s="10" t="n"/>
      <c r="P589" s="10" t="n"/>
      <c r="Q589" s="10" t="n"/>
      <c r="R589" s="10" t="n"/>
    </row>
    <row r="590">
      <c r="A590" s="10" t="inlineStr">
        <is>
          <t>Pantothenic Acid</t>
        </is>
      </c>
      <c r="B590" s="10" t="n"/>
      <c r="C590" s="10" t="n"/>
      <c r="D590" s="5" t="n"/>
      <c r="E590" s="5" t="n"/>
      <c r="F590" s="10" t="n"/>
      <c r="G590" s="5" t="n"/>
      <c r="H590" s="5" t="n"/>
      <c r="I590" s="5" t="n"/>
      <c r="J590" s="5" t="n"/>
      <c r="K590" s="10" t="inlineStr">
        <is>
          <t>Not on master list (time records)</t>
        </is>
      </c>
      <c r="L590" s="5" t="n"/>
      <c r="M590" s="5" t="n"/>
      <c r="N590" s="10" t="n"/>
      <c r="O590" s="10" t="n"/>
      <c r="P590" s="10" t="n"/>
      <c r="Q590" s="10" t="n"/>
      <c r="R590" s="10" t="n"/>
    </row>
    <row r="591">
      <c r="A591" s="10" t="inlineStr">
        <is>
          <t>Para Omino Benzoic Acid</t>
        </is>
      </c>
      <c r="B591" s="10" t="n"/>
      <c r="C591" s="10" t="n"/>
      <c r="D591" s="5" t="n"/>
      <c r="E591" s="5" t="n"/>
      <c r="F591" s="10" t="n"/>
      <c r="G591" s="5" t="n"/>
      <c r="H591" s="5" t="n"/>
      <c r="I591" s="5" t="n"/>
      <c r="J591" s="5" t="n"/>
      <c r="K591" s="10" t="inlineStr">
        <is>
          <t>Not on master list (time records)</t>
        </is>
      </c>
      <c r="L591" s="5" t="n"/>
      <c r="M591" s="5" t="n"/>
      <c r="N591" s="10" t="n"/>
      <c r="O591" s="10" t="n"/>
      <c r="P591" s="10" t="n"/>
      <c r="Q591" s="10" t="n"/>
      <c r="R591" s="10" t="n"/>
    </row>
    <row r="592">
      <c r="A592" s="10" t="inlineStr">
        <is>
          <t>Passiflora Incarnata (Passion Flower Ext.) Dry Conc 4:1</t>
        </is>
      </c>
      <c r="B592" s="10" t="n"/>
      <c r="C592" s="10" t="n"/>
      <c r="D592" s="5" t="n"/>
      <c r="E592" s="5" t="n"/>
      <c r="F592" s="10" t="n"/>
      <c r="G592" s="5" t="n"/>
      <c r="H592" s="5" t="n"/>
      <c r="I592" s="5" t="n"/>
      <c r="J592" s="5" t="n"/>
      <c r="K592" s="10" t="inlineStr">
        <is>
          <t>Not on master list (time records)</t>
        </is>
      </c>
      <c r="L592" s="5" t="n"/>
      <c r="M592" s="5" t="n"/>
      <c r="N592" s="10" t="n"/>
      <c r="O592" s="10" t="n"/>
      <c r="P592" s="10" t="n">
        <v>3.55</v>
      </c>
      <c r="Q592" s="10" t="n"/>
      <c r="R592" s="10" t="n"/>
    </row>
    <row r="593">
      <c r="A593" s="10" t="inlineStr">
        <is>
          <t>Passion Flower Extract</t>
        </is>
      </c>
      <c r="B593" s="10" t="n"/>
      <c r="C593" s="10" t="n"/>
      <c r="D593" s="5" t="n"/>
      <c r="E593" s="5" t="n"/>
      <c r="F593" s="10" t="n"/>
      <c r="G593" s="5" t="n"/>
      <c r="H593" s="5" t="n"/>
      <c r="I593" s="5" t="n"/>
      <c r="J593" s="5" t="n"/>
      <c r="K593" s="10" t="inlineStr">
        <is>
          <t>Not on master list (purchase list)</t>
        </is>
      </c>
      <c r="L593" s="5" t="n"/>
      <c r="M593" s="5" t="n"/>
      <c r="N593" s="10" t="n"/>
      <c r="O593" s="10" t="n"/>
      <c r="P593" s="10" t="n"/>
      <c r="Q593" s="10" t="n"/>
      <c r="R593" s="10" t="n"/>
    </row>
    <row r="594">
      <c r="A594" s="10" t="inlineStr">
        <is>
          <t>PEG 400</t>
        </is>
      </c>
      <c r="B594" s="10" t="n"/>
      <c r="C594" s="10" t="n"/>
      <c r="D594" s="5" t="n"/>
      <c r="E594" s="5" t="n"/>
      <c r="F594" s="10" t="n"/>
      <c r="G594" s="5" t="n"/>
      <c r="H594" s="5" t="n"/>
      <c r="I594" s="5" t="n"/>
      <c r="J594" s="5" t="n"/>
      <c r="K594" s="10" t="inlineStr">
        <is>
          <t>Not on master list (purchase list)</t>
        </is>
      </c>
      <c r="L594" s="5" t="n"/>
      <c r="M594" s="5" t="n"/>
      <c r="N594" s="10" t="n"/>
      <c r="O594" s="10" t="n"/>
      <c r="P594" s="10" t="n"/>
      <c r="Q594" s="10" t="n"/>
      <c r="R594" s="10" t="n"/>
    </row>
    <row r="595">
      <c r="A595" s="10" t="inlineStr">
        <is>
          <t>Peppermint</t>
        </is>
      </c>
      <c r="B595" s="10" t="n"/>
      <c r="C595" s="10" t="n"/>
      <c r="D595" s="5" t="n"/>
      <c r="E595" s="5" t="n"/>
      <c r="F595" s="10" t="n"/>
      <c r="G595" s="5" t="n"/>
      <c r="H595" s="5" t="n"/>
      <c r="I595" s="5" t="n"/>
      <c r="J595" s="5" t="n"/>
      <c r="K595" s="10" t="inlineStr">
        <is>
          <t>Not on master list (purchase list)</t>
        </is>
      </c>
      <c r="L595" s="5" t="n"/>
      <c r="M595" s="5" t="n"/>
      <c r="N595" s="10" t="n"/>
      <c r="O595" s="10" t="n"/>
      <c r="P595" s="10" t="n"/>
      <c r="Q595" s="10" t="n"/>
      <c r="R595" s="10" t="n"/>
    </row>
    <row r="596">
      <c r="A596" s="10" t="inlineStr">
        <is>
          <t>Peppermint Oil</t>
        </is>
      </c>
      <c r="B596" s="10" t="n"/>
      <c r="C596" s="10" t="n"/>
      <c r="D596" s="5" t="n"/>
      <c r="E596" s="5" t="n"/>
      <c r="F596" s="10" t="n"/>
      <c r="G596" s="5" t="n"/>
      <c r="H596" s="5" t="n"/>
      <c r="I596" s="5" t="n"/>
      <c r="J596" s="5" t="n"/>
      <c r="K596" s="10" t="inlineStr">
        <is>
          <t>Not on master list (time records)</t>
        </is>
      </c>
      <c r="L596" s="5" t="n"/>
      <c r="M596" s="5" t="n"/>
      <c r="N596" s="10" t="n"/>
      <c r="O596" s="10" t="n"/>
      <c r="P596" s="10" t="n"/>
      <c r="Q596" s="10" t="n"/>
      <c r="R596" s="10" t="n"/>
    </row>
    <row r="597">
      <c r="A597" s="10" t="inlineStr">
        <is>
          <t>Permix Burning Fat</t>
        </is>
      </c>
      <c r="B597" s="10" t="n"/>
      <c r="C597" s="10" t="n"/>
      <c r="D597" s="5" t="n"/>
      <c r="E597" s="5" t="n"/>
      <c r="F597" s="10" t="n"/>
      <c r="G597" s="5" t="n"/>
      <c r="H597" s="5" t="n"/>
      <c r="I597" s="5" t="n"/>
      <c r="J597" s="5" t="n"/>
      <c r="K597" s="10" t="inlineStr">
        <is>
          <t>Not on master list (purchase list)</t>
        </is>
      </c>
      <c r="L597" s="5" t="n"/>
      <c r="M597" s="5" t="n"/>
      <c r="N597" s="10" t="n"/>
      <c r="O597" s="10" t="n"/>
      <c r="P597" s="10" t="n"/>
      <c r="Q597" s="10" t="n"/>
      <c r="R597" s="10" t="n"/>
    </row>
    <row r="598">
      <c r="A598" s="10" t="inlineStr">
        <is>
          <t>Permix Celer-X Forte</t>
        </is>
      </c>
      <c r="B598" s="10" t="n"/>
      <c r="C598" s="10" t="n"/>
      <c r="D598" s="5" t="n"/>
      <c r="E598" s="5" t="n"/>
      <c r="F598" s="10" t="n"/>
      <c r="G598" s="5" t="n"/>
      <c r="H598" s="5" t="n"/>
      <c r="I598" s="5" t="n"/>
      <c r="J598" s="5" t="n"/>
      <c r="K598" s="10" t="inlineStr">
        <is>
          <t>Not on master list (purchase list)</t>
        </is>
      </c>
      <c r="L598" s="5" t="n"/>
      <c r="M598" s="5" t="n"/>
      <c r="N598" s="10" t="n"/>
      <c r="O598" s="10" t="n"/>
      <c r="P598" s="10" t="n"/>
      <c r="Q598" s="10" t="n"/>
      <c r="R598" s="10" t="n"/>
    </row>
    <row r="599">
      <c r="A599" s="10" t="inlineStr">
        <is>
          <t>Permix Digestive Aid</t>
        </is>
      </c>
      <c r="B599" s="10" t="n"/>
      <c r="C599" s="10" t="n"/>
      <c r="D599" s="5" t="n"/>
      <c r="E599" s="5" t="n"/>
      <c r="F599" s="10" t="n"/>
      <c r="G599" s="5" t="n"/>
      <c r="H599" s="5" t="n"/>
      <c r="I599" s="5" t="n"/>
      <c r="J599" s="5" t="n"/>
      <c r="K599" s="10" t="inlineStr">
        <is>
          <t>Not on master list (purchase list)</t>
        </is>
      </c>
      <c r="L599" s="5" t="n"/>
      <c r="M599" s="5" t="n"/>
      <c r="N599" s="10" t="n"/>
      <c r="O599" s="10" t="n"/>
      <c r="P599" s="10" t="n"/>
      <c r="Q599" s="10" t="n"/>
      <c r="R599" s="10" t="n"/>
    </row>
    <row r="600">
      <c r="A600" s="10" t="inlineStr">
        <is>
          <t>Permix Energe-X</t>
        </is>
      </c>
      <c r="B600" s="10" t="n"/>
      <c r="C600" s="10" t="n"/>
      <c r="D600" s="5" t="n"/>
      <c r="E600" s="5" t="n"/>
      <c r="F600" s="10" t="n"/>
      <c r="G600" s="5" t="n"/>
      <c r="H600" s="5" t="n"/>
      <c r="I600" s="5" t="n"/>
      <c r="J600" s="5" t="n"/>
      <c r="K600" s="10" t="inlineStr">
        <is>
          <t>Not on master list (purchase list)</t>
        </is>
      </c>
      <c r="L600" s="5" t="n"/>
      <c r="M600" s="5" t="n"/>
      <c r="N600" s="10" t="n"/>
      <c r="O600" s="10" t="n"/>
      <c r="P600" s="10" t="n"/>
      <c r="Q600" s="10" t="n"/>
      <c r="R600" s="10" t="n"/>
    </row>
    <row r="601">
      <c r="A601" s="10" t="inlineStr">
        <is>
          <t>Permix FerOral</t>
        </is>
      </c>
      <c r="B601" s="10" t="n"/>
      <c r="C601" s="10" t="n"/>
      <c r="D601" s="5" t="n"/>
      <c r="E601" s="5" t="n"/>
      <c r="F601" s="10" t="n"/>
      <c r="G601" s="5" t="n"/>
      <c r="H601" s="5" t="n"/>
      <c r="I601" s="5" t="n"/>
      <c r="J601" s="5" t="n"/>
      <c r="K601" s="10" t="inlineStr">
        <is>
          <t>Not on master list (purchase list)</t>
        </is>
      </c>
      <c r="L601" s="5" t="n"/>
      <c r="M601" s="5" t="n"/>
      <c r="N601" s="10" t="n"/>
      <c r="O601" s="10" t="n"/>
      <c r="P601" s="10" t="n"/>
      <c r="Q601" s="10" t="n"/>
      <c r="R601" s="10" t="n"/>
    </row>
    <row r="602">
      <c r="A602" s="10" t="inlineStr">
        <is>
          <t>Permix Ginc Active</t>
        </is>
      </c>
      <c r="B602" s="10" t="n"/>
      <c r="C602" s="10" t="n"/>
      <c r="D602" s="5" t="n"/>
      <c r="E602" s="5" t="n"/>
      <c r="F602" s="10" t="n"/>
      <c r="G602" s="5" t="n"/>
      <c r="H602" s="5" t="n"/>
      <c r="I602" s="5" t="n"/>
      <c r="J602" s="5" t="n"/>
      <c r="K602" s="10" t="inlineStr">
        <is>
          <t>Not on master list (purchase list)</t>
        </is>
      </c>
      <c r="L602" s="5" t="n"/>
      <c r="M602" s="5" t="n"/>
      <c r="N602" s="10" t="n"/>
      <c r="O602" s="10" t="n"/>
      <c r="P602" s="10" t="n"/>
      <c r="Q602" s="10" t="n"/>
      <c r="R602" s="10" t="n"/>
    </row>
    <row r="603">
      <c r="A603" s="10" t="inlineStr">
        <is>
          <t>Permix Healthy Liver</t>
        </is>
      </c>
      <c r="B603" s="10" t="n"/>
      <c r="C603" s="10" t="n"/>
      <c r="D603" s="5" t="n"/>
      <c r="E603" s="5" t="n"/>
      <c r="F603" s="10" t="n"/>
      <c r="G603" s="5" t="n"/>
      <c r="H603" s="5" t="n"/>
      <c r="I603" s="5" t="n"/>
      <c r="J603" s="5" t="n"/>
      <c r="K603" s="10" t="inlineStr">
        <is>
          <t>Not on master list (purchase list)</t>
        </is>
      </c>
      <c r="L603" s="5" t="n"/>
      <c r="M603" s="5" t="n"/>
      <c r="N603" s="10" t="n"/>
      <c r="O603" s="10" t="n"/>
      <c r="P603" s="10" t="n"/>
      <c r="Q603" s="10" t="n"/>
      <c r="R603" s="10" t="n"/>
    </row>
    <row r="604">
      <c r="A604" s="10" t="inlineStr">
        <is>
          <t>Permix Kamasotra</t>
        </is>
      </c>
      <c r="B604" s="10" t="n"/>
      <c r="C604" s="10" t="n"/>
      <c r="D604" s="5" t="n"/>
      <c r="E604" s="5" t="n"/>
      <c r="F604" s="10" t="n"/>
      <c r="G604" s="5" t="n"/>
      <c r="H604" s="5" t="n"/>
      <c r="I604" s="5" t="n"/>
      <c r="J604" s="5" t="n"/>
      <c r="K604" s="10" t="inlineStr">
        <is>
          <t>Not on master list (purchase list)</t>
        </is>
      </c>
      <c r="L604" s="5" t="n"/>
      <c r="M604" s="5" t="n"/>
      <c r="N604" s="10" t="n"/>
      <c r="O604" s="10" t="n"/>
      <c r="P604" s="10" t="n"/>
      <c r="Q604" s="10" t="n"/>
      <c r="R604" s="10" t="n"/>
    </row>
    <row r="605">
      <c r="A605" s="10" t="inlineStr">
        <is>
          <t>Permix Optiwoman</t>
        </is>
      </c>
      <c r="B605" s="10" t="n"/>
      <c r="C605" s="10" t="n"/>
      <c r="D605" s="5" t="n"/>
      <c r="E605" s="5" t="n"/>
      <c r="F605" s="10" t="n"/>
      <c r="G605" s="5" t="n"/>
      <c r="H605" s="5" t="n"/>
      <c r="I605" s="5" t="n"/>
      <c r="J605" s="5" t="n"/>
      <c r="K605" s="10" t="inlineStr">
        <is>
          <t>Not on master list (purchase list)</t>
        </is>
      </c>
      <c r="L605" s="5" t="n"/>
      <c r="M605" s="5" t="n"/>
      <c r="N605" s="10" t="n"/>
      <c r="O605" s="10" t="n"/>
      <c r="P605" s="10" t="n"/>
      <c r="Q605" s="10" t="n"/>
      <c r="R605" s="10" t="n"/>
    </row>
    <row r="606">
      <c r="A606" s="10" t="inlineStr">
        <is>
          <t>Permix Painlys</t>
        </is>
      </c>
      <c r="B606" s="10" t="n"/>
      <c r="C606" s="10" t="n"/>
      <c r="D606" s="5" t="n"/>
      <c r="E606" s="5" t="n"/>
      <c r="F606" s="10" t="n"/>
      <c r="G606" s="5" t="n"/>
      <c r="H606" s="5" t="n"/>
      <c r="I606" s="5" t="n"/>
      <c r="J606" s="5" t="n"/>
      <c r="K606" s="10" t="inlineStr">
        <is>
          <t>Not on master list (purchase list)</t>
        </is>
      </c>
      <c r="L606" s="5" t="n"/>
      <c r="M606" s="5" t="n"/>
      <c r="N606" s="10" t="n"/>
      <c r="O606" s="10" t="n"/>
      <c r="P606" s="10" t="n"/>
      <c r="Q606" s="10" t="n"/>
      <c r="R606" s="10" t="n"/>
    </row>
    <row r="607">
      <c r="A607" s="10" t="inlineStr">
        <is>
          <t>Permix Pregnalife</t>
        </is>
      </c>
      <c r="B607" s="10" t="n"/>
      <c r="C607" s="10" t="n"/>
      <c r="D607" s="5" t="n"/>
      <c r="E607" s="5" t="n"/>
      <c r="F607" s="10" t="n"/>
      <c r="G607" s="5" t="n"/>
      <c r="H607" s="5" t="n"/>
      <c r="I607" s="5" t="n"/>
      <c r="J607" s="5" t="n"/>
      <c r="K607" s="10" t="inlineStr">
        <is>
          <t>Not on master list (purchase list)</t>
        </is>
      </c>
      <c r="L607" s="5" t="n"/>
      <c r="M607" s="5" t="n"/>
      <c r="N607" s="10" t="n"/>
      <c r="O607" s="10" t="n"/>
      <c r="P607" s="10" t="n"/>
      <c r="Q607" s="10" t="n"/>
      <c r="R607" s="10" t="n"/>
    </row>
    <row r="608">
      <c r="A608" s="10" t="inlineStr">
        <is>
          <t>Permix Prostica</t>
        </is>
      </c>
      <c r="B608" s="10" t="n"/>
      <c r="C608" s="10" t="n"/>
      <c r="D608" s="5" t="n"/>
      <c r="E608" s="5" t="n"/>
      <c r="F608" s="10" t="n"/>
      <c r="G608" s="5" t="n"/>
      <c r="H608" s="5" t="n"/>
      <c r="I608" s="5" t="n"/>
      <c r="J608" s="5" t="n"/>
      <c r="K608" s="10" t="inlineStr">
        <is>
          <t>Not on master list (purchase list)</t>
        </is>
      </c>
      <c r="L608" s="5" t="n"/>
      <c r="M608" s="5" t="n"/>
      <c r="N608" s="10" t="n"/>
      <c r="O608" s="10" t="n"/>
      <c r="P608" s="10" t="n"/>
      <c r="Q608" s="10" t="n"/>
      <c r="R608" s="10" t="n"/>
    </row>
    <row r="609">
      <c r="A609" s="10" t="inlineStr">
        <is>
          <t>Permix Uromax</t>
        </is>
      </c>
      <c r="B609" s="10" t="n"/>
      <c r="C609" s="10" t="n"/>
      <c r="D609" s="5" t="n"/>
      <c r="E609" s="5" t="n"/>
      <c r="F609" s="10" t="n"/>
      <c r="G609" s="5" t="n"/>
      <c r="H609" s="5" t="n"/>
      <c r="I609" s="5" t="n"/>
      <c r="J609" s="5" t="n"/>
      <c r="K609" s="10" t="inlineStr">
        <is>
          <t>Not on master list (purchase list)</t>
        </is>
      </c>
      <c r="L609" s="5" t="n"/>
      <c r="M609" s="5" t="n"/>
      <c r="N609" s="10" t="n"/>
      <c r="O609" s="10" t="n"/>
      <c r="P609" s="10" t="n"/>
      <c r="Q609" s="10" t="n"/>
      <c r="R609" s="10" t="n"/>
    </row>
    <row r="610">
      <c r="A610" s="10" t="inlineStr">
        <is>
          <t>Permix Vitacal Forte</t>
        </is>
      </c>
      <c r="B610" s="10" t="n"/>
      <c r="C610" s="10" t="n"/>
      <c r="D610" s="5" t="n"/>
      <c r="E610" s="5" t="n"/>
      <c r="F610" s="10" t="n"/>
      <c r="G610" s="5" t="n"/>
      <c r="H610" s="5" t="n"/>
      <c r="I610" s="5" t="n"/>
      <c r="J610" s="5" t="n"/>
      <c r="K610" s="10" t="inlineStr">
        <is>
          <t>Not on master list (purchase list)</t>
        </is>
      </c>
      <c r="L610" s="5" t="n"/>
      <c r="M610" s="5" t="n"/>
      <c r="N610" s="10" t="n"/>
      <c r="O610" s="10" t="n"/>
      <c r="P610" s="10" t="n"/>
      <c r="Q610" s="10" t="n"/>
      <c r="R610" s="10" t="n"/>
    </row>
    <row r="611">
      <c r="A611" s="10" t="inlineStr">
        <is>
          <t>Permix Vitacl Forte</t>
        </is>
      </c>
      <c r="B611" s="10" t="n"/>
      <c r="C611" s="10" t="n"/>
      <c r="D611" s="5" t="n"/>
      <c r="E611" s="5" t="n"/>
      <c r="F611" s="10" t="n"/>
      <c r="G611" s="5" t="n"/>
      <c r="H611" s="5" t="n"/>
      <c r="I611" s="5" t="n"/>
      <c r="J611" s="5" t="n"/>
      <c r="K611" s="10" t="inlineStr">
        <is>
          <t>Not on master list (purchase list)</t>
        </is>
      </c>
      <c r="L611" s="5" t="n"/>
      <c r="M611" s="5" t="n"/>
      <c r="N611" s="10" t="n"/>
      <c r="O611" s="10" t="n"/>
      <c r="P611" s="10" t="n"/>
      <c r="Q611" s="10" t="n"/>
      <c r="R611" s="10" t="n"/>
    </row>
    <row r="612">
      <c r="A612" s="10" t="inlineStr">
        <is>
          <t>Permix X-Ade</t>
        </is>
      </c>
      <c r="B612" s="10" t="n"/>
      <c r="C612" s="10" t="n"/>
      <c r="D612" s="5" t="n"/>
      <c r="E612" s="5" t="n"/>
      <c r="F612" s="10" t="n"/>
      <c r="G612" s="5" t="n"/>
      <c r="H612" s="5" t="n"/>
      <c r="I612" s="5" t="n"/>
      <c r="J612" s="5" t="n"/>
      <c r="K612" s="10" t="inlineStr">
        <is>
          <t>Not on master list (purchase list)</t>
        </is>
      </c>
      <c r="L612" s="5" t="n"/>
      <c r="M612" s="5" t="n"/>
      <c r="N612" s="10" t="n"/>
      <c r="O612" s="10" t="n"/>
      <c r="P612" s="10" t="n"/>
      <c r="Q612" s="10" t="n"/>
      <c r="R612" s="10" t="n"/>
    </row>
    <row r="613">
      <c r="A613" s="10" t="inlineStr">
        <is>
          <t>Phenol</t>
        </is>
      </c>
      <c r="B613" s="10" t="n"/>
      <c r="C613" s="10" t="n"/>
      <c r="D613" s="5" t="n"/>
      <c r="E613" s="5" t="n"/>
      <c r="F613" s="10" t="n"/>
      <c r="G613" s="5" t="n"/>
      <c r="H613" s="5" t="n"/>
      <c r="I613" s="5" t="n"/>
      <c r="J613" s="5" t="n"/>
      <c r="K613" s="10" t="inlineStr">
        <is>
          <t>Not on master list (time records)</t>
        </is>
      </c>
      <c r="L613" s="5" t="n"/>
      <c r="M613" s="5" t="n"/>
      <c r="N613" s="10" t="n"/>
      <c r="O613" s="10" t="n"/>
      <c r="P613" s="10" t="n"/>
      <c r="Q613" s="10" t="n"/>
      <c r="R613" s="10" t="n"/>
    </row>
    <row r="614">
      <c r="A614" s="10" t="inlineStr">
        <is>
          <t>Phenylalanine</t>
        </is>
      </c>
      <c r="B614" s="10" t="n"/>
      <c r="C614" s="10" t="n"/>
      <c r="D614" s="5" t="n"/>
      <c r="E614" s="5" t="n"/>
      <c r="F614" s="10" t="n"/>
      <c r="G614" s="5" t="n"/>
      <c r="H614" s="5" t="n"/>
      <c r="I614" s="5" t="n"/>
      <c r="J614" s="5" t="n"/>
      <c r="K614" s="10" t="inlineStr">
        <is>
          <t>Not on master list (time records)</t>
        </is>
      </c>
      <c r="L614" s="5" t="n"/>
      <c r="M614" s="5" t="n"/>
      <c r="N614" s="10" t="n"/>
      <c r="O614" s="10" t="n"/>
      <c r="P614" s="10" t="n"/>
      <c r="Q614" s="10" t="n"/>
      <c r="R614" s="10" t="n"/>
    </row>
    <row r="615">
      <c r="A615" s="10" t="inlineStr">
        <is>
          <t>Phenylephrine Hydrochloride</t>
        </is>
      </c>
      <c r="B615" s="10" t="n"/>
      <c r="C615" s="10" t="n"/>
      <c r="D615" s="5" t="n"/>
      <c r="E615" s="5" t="n"/>
      <c r="F615" s="10" t="n"/>
      <c r="G615" s="5" t="n"/>
      <c r="H615" s="5" t="n"/>
      <c r="I615" s="5" t="n"/>
      <c r="J615" s="5" t="n"/>
      <c r="K615" s="10" t="inlineStr">
        <is>
          <t>Not on master list (purchase list)</t>
        </is>
      </c>
      <c r="L615" s="5" t="n"/>
      <c r="M615" s="5" t="n"/>
      <c r="N615" s="10" t="n"/>
      <c r="O615" s="10" t="n"/>
      <c r="P615" s="10" t="n"/>
      <c r="Q615" s="10" t="n"/>
      <c r="R615" s="10" t="n"/>
    </row>
    <row r="616">
      <c r="A616" s="10" t="inlineStr">
        <is>
          <t>Phloral</t>
        </is>
      </c>
      <c r="B616" s="10" t="n"/>
      <c r="C616" s="10" t="n"/>
      <c r="D616" s="5" t="n"/>
      <c r="E616" s="5" t="n"/>
      <c r="F616" s="10" t="n"/>
      <c r="G616" s="5" t="n"/>
      <c r="H616" s="5" t="n"/>
      <c r="I616" s="5" t="n"/>
      <c r="J616" s="5" t="n"/>
      <c r="K616" s="10" t="inlineStr">
        <is>
          <t>Not on master list (time records)</t>
        </is>
      </c>
      <c r="L616" s="5" t="n"/>
      <c r="M616" s="5" t="n"/>
      <c r="N616" s="10" t="n"/>
      <c r="O616" s="10" t="n"/>
      <c r="P616" s="10" t="n"/>
      <c r="Q616" s="10" t="n"/>
      <c r="R616" s="10" t="n"/>
    </row>
    <row r="617">
      <c r="A617" s="10" t="inlineStr">
        <is>
          <t>Phosphatidylserine</t>
        </is>
      </c>
      <c r="B617" s="10" t="n"/>
      <c r="C617" s="10" t="n"/>
      <c r="D617" s="5" t="n"/>
      <c r="E617" s="5" t="n"/>
      <c r="F617" s="10" t="n"/>
      <c r="G617" s="5" t="n"/>
      <c r="H617" s="5" t="n"/>
      <c r="I617" s="5" t="n"/>
      <c r="J617" s="5" t="n"/>
      <c r="K617" s="10" t="inlineStr">
        <is>
          <t>Not on master list (time records)</t>
        </is>
      </c>
      <c r="L617" s="5" t="n"/>
      <c r="M617" s="5" t="n"/>
      <c r="N617" s="10" t="n"/>
      <c r="O617" s="10" t="n"/>
      <c r="P617" s="10" t="n"/>
      <c r="Q617" s="10" t="n"/>
      <c r="R617" s="10" t="n"/>
    </row>
    <row r="618">
      <c r="A618" s="10" t="inlineStr">
        <is>
          <t>Phytosterol</t>
        </is>
      </c>
      <c r="B618" s="10" t="n"/>
      <c r="C618" s="10" t="n"/>
      <c r="D618" s="5" t="n"/>
      <c r="E618" s="5" t="n"/>
      <c r="F618" s="10" t="n"/>
      <c r="G618" s="5" t="n"/>
      <c r="H618" s="5" t="n"/>
      <c r="I618" s="5" t="n"/>
      <c r="J618" s="5" t="n"/>
      <c r="K618" s="10" t="inlineStr">
        <is>
          <t>Not on master list (time records)</t>
        </is>
      </c>
      <c r="L618" s="5" t="n"/>
      <c r="M618" s="5" t="n"/>
      <c r="N618" s="10" t="n"/>
      <c r="O618" s="10" t="n"/>
      <c r="P618" s="10" t="n"/>
      <c r="Q618" s="10" t="n"/>
      <c r="R618" s="10" t="n"/>
    </row>
    <row r="619">
      <c r="A619" s="10" t="inlineStr">
        <is>
          <t>Picrorhiza kurroa</t>
        </is>
      </c>
      <c r="B619" s="10" t="n"/>
      <c r="C619" s="10" t="n"/>
      <c r="D619" s="5" t="n"/>
      <c r="E619" s="5" t="n"/>
      <c r="F619" s="10" t="n"/>
      <c r="G619" s="5" t="n"/>
      <c r="H619" s="5" t="n"/>
      <c r="I619" s="5" t="n"/>
      <c r="J619" s="5" t="n"/>
      <c r="K619" s="10" t="inlineStr">
        <is>
          <t>Not on master list (time records)</t>
        </is>
      </c>
      <c r="L619" s="5" t="n"/>
      <c r="M619" s="5" t="n"/>
      <c r="N619" s="10" t="n"/>
      <c r="O619" s="10" t="n"/>
      <c r="P619" s="10" t="n"/>
      <c r="Q619" s="10" t="n"/>
      <c r="R619" s="10" t="n"/>
    </row>
    <row r="620">
      <c r="A620" s="10" t="inlineStr">
        <is>
          <t>Pink Color - Code 313</t>
        </is>
      </c>
      <c r="B620" s="10" t="n"/>
      <c r="C620" s="10" t="n"/>
      <c r="D620" s="5" t="n"/>
      <c r="E620" s="5" t="n"/>
      <c r="F620" s="10" t="n"/>
      <c r="G620" s="5" t="n"/>
      <c r="H620" s="5" t="n"/>
      <c r="I620" s="5" t="n"/>
      <c r="J620" s="5" t="n"/>
      <c r="K620" s="10" t="inlineStr">
        <is>
          <t>Not on master list (time records)</t>
        </is>
      </c>
      <c r="L620" s="5" t="n"/>
      <c r="M620" s="5" t="n"/>
      <c r="N620" s="10" t="n"/>
      <c r="O620" s="10" t="n"/>
      <c r="P620" s="10" t="n"/>
      <c r="Q620" s="10" t="n"/>
      <c r="R620" s="10" t="n"/>
    </row>
    <row r="621">
      <c r="A621" s="10" t="inlineStr">
        <is>
          <t>Pink Iron Oxide</t>
        </is>
      </c>
      <c r="B621" s="10" t="n"/>
      <c r="C621" s="10" t="n"/>
      <c r="D621" s="5" t="n"/>
      <c r="E621" s="5" t="n"/>
      <c r="F621" s="10" t="n"/>
      <c r="G621" s="5" t="n"/>
      <c r="H621" s="5" t="n"/>
      <c r="I621" s="5" t="n"/>
      <c r="J621" s="5" t="n"/>
      <c r="K621" s="10" t="inlineStr">
        <is>
          <t>Not on master list (time records)</t>
        </is>
      </c>
      <c r="L621" s="5" t="n"/>
      <c r="M621" s="5" t="n"/>
      <c r="N621" s="10" t="n"/>
      <c r="O621" s="10" t="n"/>
      <c r="P621" s="10" t="n"/>
      <c r="Q621" s="10" t="n"/>
      <c r="R621" s="10" t="n"/>
    </row>
    <row r="622">
      <c r="A622" s="10" t="inlineStr">
        <is>
          <t>Pollen (Aqueous Pollen Ext.)</t>
        </is>
      </c>
      <c r="B622" s="10" t="n"/>
      <c r="C622" s="10" t="n"/>
      <c r="D622" s="5" t="n"/>
      <c r="E622" s="5" t="n"/>
      <c r="F622" s="10" t="n"/>
      <c r="G622" s="5" t="n"/>
      <c r="H622" s="5" t="n"/>
      <c r="I622" s="5" t="n"/>
      <c r="J622" s="5" t="n"/>
      <c r="K622" s="10" t="inlineStr">
        <is>
          <t>Not on master list (time records)</t>
        </is>
      </c>
      <c r="L622" s="5" t="n"/>
      <c r="M622" s="5" t="n"/>
      <c r="N622" s="10" t="n"/>
      <c r="O622" s="10" t="n"/>
      <c r="P622" s="10" t="n"/>
      <c r="Q622" s="10" t="n"/>
      <c r="R622" s="10" t="n"/>
    </row>
    <row r="623">
      <c r="A623" s="10" t="inlineStr">
        <is>
          <t>Poloxamer 188</t>
        </is>
      </c>
      <c r="B623" s="10" t="n"/>
      <c r="C623" s="10" t="n"/>
      <c r="D623" s="5" t="n"/>
      <c r="E623" s="5" t="n"/>
      <c r="F623" s="10" t="n"/>
      <c r="G623" s="5" t="n"/>
      <c r="H623" s="5" t="n"/>
      <c r="I623" s="5" t="n"/>
      <c r="J623" s="5" t="n"/>
      <c r="K623" s="10" t="inlineStr">
        <is>
          <t>Not on master list (time records)</t>
        </is>
      </c>
      <c r="L623" s="5" t="n"/>
      <c r="M623" s="5" t="n"/>
      <c r="N623" s="10" t="n"/>
      <c r="O623" s="10" t="n"/>
      <c r="P623" s="10" t="n"/>
      <c r="Q623" s="10" t="n"/>
      <c r="R623" s="10" t="n"/>
    </row>
    <row r="624">
      <c r="A624" s="10" t="inlineStr">
        <is>
          <t>Poly Ethylen Glycol 3000 (PEG 3000)</t>
        </is>
      </c>
      <c r="B624" s="10" t="n"/>
      <c r="C624" s="10" t="n"/>
      <c r="D624" s="5" t="n"/>
      <c r="E624" s="5" t="n"/>
      <c r="F624" s="10" t="n"/>
      <c r="G624" s="5" t="n"/>
      <c r="H624" s="5" t="n"/>
      <c r="I624" s="5" t="n"/>
      <c r="J624" s="5" t="n"/>
      <c r="K624" s="10" t="inlineStr">
        <is>
          <t>Not on master list (time records)</t>
        </is>
      </c>
      <c r="L624" s="5" t="n"/>
      <c r="M624" s="5" t="n"/>
      <c r="N624" s="10" t="n"/>
      <c r="O624" s="10" t="n"/>
      <c r="P624" s="10" t="n"/>
      <c r="Q624" s="10" t="n"/>
      <c r="R624" s="10" t="n"/>
    </row>
    <row r="625">
      <c r="A625" s="10" t="inlineStr">
        <is>
          <t>Poly Ethylen Glycol 400 (PEG 400)</t>
        </is>
      </c>
      <c r="B625" s="10" t="n"/>
      <c r="C625" s="10" t="n"/>
      <c r="D625" s="5" t="n"/>
      <c r="E625" s="5" t="n"/>
      <c r="F625" s="10" t="n"/>
      <c r="G625" s="5" t="n"/>
      <c r="H625" s="5" t="n"/>
      <c r="I625" s="5" t="n"/>
      <c r="J625" s="5" t="n"/>
      <c r="K625" s="10" t="inlineStr">
        <is>
          <t>Not on master list (time records)</t>
        </is>
      </c>
      <c r="L625" s="5" t="n"/>
      <c r="M625" s="5" t="n"/>
      <c r="N625" s="10" t="n"/>
      <c r="O625" s="10" t="n"/>
      <c r="P625" s="10" t="n">
        <v>3.6</v>
      </c>
      <c r="Q625" s="10" t="n"/>
      <c r="R625" s="10" t="n"/>
    </row>
    <row r="626">
      <c r="A626" s="10" t="inlineStr">
        <is>
          <t>Poly Vinil Pyrolidone K25 (PVP K25)</t>
        </is>
      </c>
      <c r="B626" s="10" t="n"/>
      <c r="C626" s="10" t="n"/>
      <c r="D626" s="5" t="n"/>
      <c r="E626" s="5" t="n"/>
      <c r="F626" s="10" t="n"/>
      <c r="G626" s="5" t="n"/>
      <c r="H626" s="5" t="n"/>
      <c r="I626" s="5" t="n"/>
      <c r="J626" s="5" t="n"/>
      <c r="K626" s="10" t="inlineStr">
        <is>
          <t>Not on master list (time records)</t>
        </is>
      </c>
      <c r="L626" s="5" t="n"/>
      <c r="M626" s="5" t="n"/>
      <c r="N626" s="10" t="n"/>
      <c r="O626" s="10" t="n"/>
      <c r="P626" s="10" t="n"/>
      <c r="Q626" s="10" t="n"/>
      <c r="R626" s="10" t="n"/>
    </row>
    <row r="627">
      <c r="A627" s="10" t="inlineStr">
        <is>
          <t>Polygala Tenuifolia Dried Root</t>
        </is>
      </c>
      <c r="B627" s="10" t="n"/>
      <c r="C627" s="10" t="n"/>
      <c r="D627" s="5" t="n"/>
      <c r="E627" s="5" t="n"/>
      <c r="F627" s="10" t="n"/>
      <c r="G627" s="5" t="n"/>
      <c r="H627" s="5" t="n"/>
      <c r="I627" s="5" t="n"/>
      <c r="J627" s="5" t="n"/>
      <c r="K627" s="10" t="inlineStr">
        <is>
          <t>Not on master list (time records)</t>
        </is>
      </c>
      <c r="L627" s="5" t="n"/>
      <c r="M627" s="5" t="n"/>
      <c r="N627" s="10" t="n"/>
      <c r="O627" s="10" t="n"/>
      <c r="P627" s="10" t="n"/>
      <c r="Q627" s="10" t="n"/>
      <c r="R627" s="10" t="n"/>
    </row>
    <row r="628">
      <c r="A628" s="10" t="inlineStr">
        <is>
          <t>Potasium Nitrate</t>
        </is>
      </c>
      <c r="B628" s="10" t="n"/>
      <c r="C628" s="10" t="n"/>
      <c r="D628" s="5" t="n"/>
      <c r="E628" s="5" t="n"/>
      <c r="F628" s="10" t="n"/>
      <c r="G628" s="5" t="n"/>
      <c r="H628" s="5" t="n"/>
      <c r="I628" s="5" t="n"/>
      <c r="J628" s="5" t="n"/>
      <c r="K628" s="10" t="inlineStr">
        <is>
          <t>Not on master list (time records)</t>
        </is>
      </c>
      <c r="L628" s="5" t="n"/>
      <c r="M628" s="5" t="n"/>
      <c r="N628" s="10" t="n"/>
      <c r="O628" s="10" t="n"/>
      <c r="P628" s="10" t="n"/>
      <c r="Q628" s="10" t="n"/>
      <c r="R628" s="10" t="n"/>
    </row>
    <row r="629">
      <c r="A629" s="10" t="inlineStr">
        <is>
          <t>Potassium Aluminium Silicate</t>
        </is>
      </c>
      <c r="B629" s="10" t="n"/>
      <c r="C629" s="10" t="n"/>
      <c r="D629" s="5" t="n"/>
      <c r="E629" s="5" t="n"/>
      <c r="F629" s="10" t="n"/>
      <c r="G629" s="5" t="n"/>
      <c r="H629" s="5" t="n"/>
      <c r="I629" s="5" t="n"/>
      <c r="J629" s="5" t="n"/>
      <c r="K629" s="10" t="inlineStr">
        <is>
          <t>Not on master list (time records)</t>
        </is>
      </c>
      <c r="L629" s="5" t="n"/>
      <c r="M629" s="5" t="n"/>
      <c r="N629" s="10" t="n"/>
      <c r="O629" s="10" t="n"/>
      <c r="P629" s="10" t="n"/>
      <c r="Q629" s="10" t="n"/>
      <c r="R629" s="10" t="n"/>
    </row>
    <row r="630">
      <c r="A630" s="10" t="inlineStr">
        <is>
          <t>Potassium Hydroxide Solutin</t>
        </is>
      </c>
      <c r="B630" s="10" t="n"/>
      <c r="C630" s="10" t="n"/>
      <c r="D630" s="5" t="n"/>
      <c r="E630" s="5" t="n"/>
      <c r="F630" s="10" t="n"/>
      <c r="G630" s="5" t="n"/>
      <c r="H630" s="5" t="n"/>
      <c r="I630" s="5" t="n"/>
      <c r="J630" s="5" t="n"/>
      <c r="K630" s="10" t="inlineStr">
        <is>
          <t>Not on master list (purchase list)</t>
        </is>
      </c>
      <c r="L630" s="5" t="n"/>
      <c r="M630" s="5" t="n"/>
      <c r="N630" s="10" t="n"/>
      <c r="O630" s="10" t="n"/>
      <c r="P630" s="10" t="n"/>
      <c r="Q630" s="10" t="n"/>
      <c r="R630" s="10" t="n"/>
    </row>
    <row r="631">
      <c r="A631" s="10" t="inlineStr">
        <is>
          <t>Potassium Phosphate Monobasic</t>
        </is>
      </c>
      <c r="B631" s="10" t="n"/>
      <c r="C631" s="10" t="n"/>
      <c r="D631" s="5" t="n"/>
      <c r="E631" s="5" t="n"/>
      <c r="F631" s="10" t="n"/>
      <c r="G631" s="5" t="n"/>
      <c r="H631" s="5" t="n"/>
      <c r="I631" s="5" t="n"/>
      <c r="J631" s="5" t="n"/>
      <c r="K631" s="10" t="inlineStr">
        <is>
          <t>Not on master list (purchase list)</t>
        </is>
      </c>
      <c r="L631" s="5" t="n"/>
      <c r="M631" s="5" t="n"/>
      <c r="N631" s="10" t="n"/>
      <c r="O631" s="10" t="n"/>
      <c r="P631" s="10" t="n"/>
      <c r="Q631" s="10" t="n"/>
      <c r="R631" s="10" t="n"/>
    </row>
    <row r="632">
      <c r="A632" s="10" t="inlineStr">
        <is>
          <t>Potassium Sorbate</t>
        </is>
      </c>
      <c r="B632" s="10" t="n"/>
      <c r="C632" s="10" t="n"/>
      <c r="D632" s="5" t="n"/>
      <c r="E632" s="5" t="n"/>
      <c r="F632" s="10" t="n"/>
      <c r="G632" s="5" t="n"/>
      <c r="H632" s="5" t="n"/>
      <c r="I632" s="5" t="n"/>
      <c r="J632" s="5" t="n"/>
      <c r="K632" s="10" t="inlineStr">
        <is>
          <t>Not on master list (purchase list + time records)</t>
        </is>
      </c>
      <c r="L632" s="5" t="n"/>
      <c r="M632" s="5" t="n"/>
      <c r="N632" s="10" t="n"/>
      <c r="O632" s="10" t="n"/>
      <c r="P632" s="10" t="n">
        <v>10.43</v>
      </c>
      <c r="Q632" s="10" t="n"/>
      <c r="R632" s="10" t="n"/>
    </row>
    <row r="633">
      <c r="A633" s="10" t="inlineStr">
        <is>
          <t>Potassium Sorbate Food Grade</t>
        </is>
      </c>
      <c r="B633" s="10" t="n"/>
      <c r="C633" s="10" t="n"/>
      <c r="D633" s="5" t="n"/>
      <c r="E633" s="5" t="n"/>
      <c r="F633" s="10" t="n"/>
      <c r="G633" s="5" t="n"/>
      <c r="H633" s="5" t="n"/>
      <c r="I633" s="5" t="n"/>
      <c r="J633" s="5" t="n"/>
      <c r="K633" s="10" t="inlineStr">
        <is>
          <t>Not on master list (purchase list)</t>
        </is>
      </c>
      <c r="L633" s="5" t="n"/>
      <c r="M633" s="5" t="n"/>
      <c r="N633" s="10" t="n"/>
      <c r="O633" s="10" t="n"/>
      <c r="P633" s="10" t="n"/>
      <c r="Q633" s="10" t="n"/>
      <c r="R633" s="10" t="n"/>
    </row>
    <row r="634">
      <c r="A634" s="10" t="inlineStr">
        <is>
          <t>Potassiun Hydroxide Liquid 50%</t>
        </is>
      </c>
      <c r="B634" s="10" t="n"/>
      <c r="C634" s="10" t="n"/>
      <c r="D634" s="5" t="n"/>
      <c r="E634" s="5" t="n"/>
      <c r="F634" s="10" t="n"/>
      <c r="G634" s="5" t="n"/>
      <c r="H634" s="5" t="n"/>
      <c r="I634" s="5" t="n"/>
      <c r="J634" s="5" t="n"/>
      <c r="K634" s="10" t="inlineStr">
        <is>
          <t>Not on master list (time records)</t>
        </is>
      </c>
      <c r="L634" s="5" t="n"/>
      <c r="M634" s="5" t="n"/>
      <c r="N634" s="10" t="n"/>
      <c r="O634" s="10" t="n"/>
      <c r="P634" s="10" t="n"/>
      <c r="Q634" s="10" t="n"/>
      <c r="R634" s="10" t="n"/>
    </row>
    <row r="635">
      <c r="A635" s="10" t="inlineStr">
        <is>
          <t>Povidone</t>
        </is>
      </c>
      <c r="B635" s="10" t="n"/>
      <c r="C635" s="10" t="n"/>
      <c r="D635" s="5" t="n"/>
      <c r="E635" s="5" t="n"/>
      <c r="F635" s="10" t="n"/>
      <c r="G635" s="5" t="n"/>
      <c r="H635" s="5" t="n"/>
      <c r="I635" s="5" t="n"/>
      <c r="J635" s="5" t="n"/>
      <c r="K635" s="10" t="inlineStr">
        <is>
          <t>Not on master list (purchase list)</t>
        </is>
      </c>
      <c r="L635" s="5" t="n"/>
      <c r="M635" s="5" t="n"/>
      <c r="N635" s="10" t="n"/>
      <c r="O635" s="10" t="n"/>
      <c r="P635" s="10" t="n"/>
      <c r="Q635" s="10" t="n"/>
      <c r="R635" s="10" t="n"/>
    </row>
    <row r="636">
      <c r="A636" s="10" t="inlineStr">
        <is>
          <t>Povidone K90</t>
        </is>
      </c>
      <c r="B636" s="10" t="n"/>
      <c r="C636" s="10" t="n"/>
      <c r="D636" s="5" t="n"/>
      <c r="E636" s="5" t="n"/>
      <c r="F636" s="10" t="n"/>
      <c r="G636" s="5" t="n"/>
      <c r="H636" s="5" t="n"/>
      <c r="I636" s="5" t="n"/>
      <c r="J636" s="5" t="n"/>
      <c r="K636" s="10" t="inlineStr">
        <is>
          <t>Not on master list (purchase list)</t>
        </is>
      </c>
      <c r="L636" s="5" t="n"/>
      <c r="M636" s="5" t="n"/>
      <c r="N636" s="10" t="n"/>
      <c r="O636" s="10" t="n"/>
      <c r="P636" s="10" t="n"/>
      <c r="Q636" s="10" t="n"/>
      <c r="R636" s="10" t="n"/>
    </row>
    <row r="637">
      <c r="A637" s="10" t="inlineStr">
        <is>
          <t>Precirol ATO5</t>
        </is>
      </c>
      <c r="B637" s="10" t="n"/>
      <c r="C637" s="10" t="n"/>
      <c r="D637" s="5" t="n"/>
      <c r="E637" s="5" t="n"/>
      <c r="F637" s="10" t="n"/>
      <c r="G637" s="5" t="n"/>
      <c r="H637" s="5" t="n"/>
      <c r="I637" s="5" t="n"/>
      <c r="J637" s="5" t="n"/>
      <c r="K637" s="10" t="inlineStr">
        <is>
          <t>Not on master list (time records)</t>
        </is>
      </c>
      <c r="L637" s="5" t="n"/>
      <c r="M637" s="5" t="n"/>
      <c r="N637" s="10" t="n"/>
      <c r="O637" s="10" t="n"/>
      <c r="P637" s="10" t="n"/>
      <c r="Q637" s="10" t="n"/>
      <c r="R637" s="10" t="n"/>
    </row>
    <row r="638">
      <c r="A638" s="10" t="inlineStr">
        <is>
          <t>Premix Burning Fat</t>
        </is>
      </c>
      <c r="B638" s="10" t="n"/>
      <c r="C638" s="10" t="n"/>
      <c r="D638" s="5" t="n"/>
      <c r="E638" s="5" t="n"/>
      <c r="F638" s="10" t="n"/>
      <c r="G638" s="5" t="n"/>
      <c r="H638" s="5" t="n"/>
      <c r="I638" s="5" t="n"/>
      <c r="J638" s="5" t="n"/>
      <c r="K638" s="10" t="inlineStr">
        <is>
          <t>Not on master list (time records)</t>
        </is>
      </c>
      <c r="L638" s="5" t="n"/>
      <c r="M638" s="5" t="n"/>
      <c r="N638" s="10" t="n"/>
      <c r="O638" s="10" t="n"/>
      <c r="P638" s="10" t="n">
        <v>19.52</v>
      </c>
      <c r="Q638" s="10" t="n"/>
      <c r="R638" s="10" t="n"/>
    </row>
    <row r="639">
      <c r="A639" s="10" t="inlineStr">
        <is>
          <t>Premix CelerX Forte</t>
        </is>
      </c>
      <c r="B639" s="10" t="n"/>
      <c r="C639" s="10" t="n"/>
      <c r="D639" s="5" t="n"/>
      <c r="E639" s="5" t="n"/>
      <c r="F639" s="10" t="n"/>
      <c r="G639" s="5" t="n"/>
      <c r="H639" s="5" t="n"/>
      <c r="I639" s="5" t="n"/>
      <c r="J639" s="5" t="n"/>
      <c r="K639" s="10" t="inlineStr">
        <is>
          <t>Not on master list (time records)</t>
        </is>
      </c>
      <c r="L639" s="5" t="n"/>
      <c r="M639" s="5" t="n"/>
      <c r="N639" s="10" t="n"/>
      <c r="O639" s="10" t="n"/>
      <c r="P639" s="10" t="n">
        <v>7.77</v>
      </c>
      <c r="Q639" s="10" t="n"/>
      <c r="R639" s="10" t="n"/>
    </row>
    <row r="640">
      <c r="A640" s="10" t="inlineStr">
        <is>
          <t>Premix Co Enzyme Q10 100mg</t>
        </is>
      </c>
      <c r="B640" s="10" t="n"/>
      <c r="C640" s="10" t="n"/>
      <c r="D640" s="5" t="n"/>
      <c r="E640" s="5" t="n"/>
      <c r="F640" s="10" t="n"/>
      <c r="G640" s="5" t="n"/>
      <c r="H640" s="5" t="n"/>
      <c r="I640" s="5" t="n"/>
      <c r="J640" s="5" t="n"/>
      <c r="K640" s="10" t="inlineStr">
        <is>
          <t>Not on master list (time records)</t>
        </is>
      </c>
      <c r="L640" s="5" t="n"/>
      <c r="M640" s="5" t="n"/>
      <c r="N640" s="10" t="n"/>
      <c r="O640" s="10" t="n"/>
      <c r="P640" s="10" t="n"/>
      <c r="Q640" s="10" t="n"/>
      <c r="R640" s="10" t="n"/>
    </row>
    <row r="641">
      <c r="A641" s="10" t="inlineStr">
        <is>
          <t>Premix Co Enzyme Q10 30mg</t>
        </is>
      </c>
      <c r="B641" s="10" t="n"/>
      <c r="C641" s="10" t="n"/>
      <c r="D641" s="5" t="n"/>
      <c r="E641" s="5" t="n"/>
      <c r="F641" s="10" t="n"/>
      <c r="G641" s="5" t="n"/>
      <c r="H641" s="5" t="n"/>
      <c r="I641" s="5" t="n"/>
      <c r="J641" s="5" t="n"/>
      <c r="K641" s="10" t="inlineStr">
        <is>
          <t>Not on master list (time records)</t>
        </is>
      </c>
      <c r="L641" s="5" t="n"/>
      <c r="M641" s="5" t="n"/>
      <c r="N641" s="10" t="n"/>
      <c r="O641" s="10" t="n"/>
      <c r="P641" s="10" t="n"/>
      <c r="Q641" s="10" t="n"/>
      <c r="R641" s="10" t="n"/>
    </row>
    <row r="642">
      <c r="A642" s="10" t="inlineStr">
        <is>
          <t>Premix Comfort Formula (Relaxation Formula)</t>
        </is>
      </c>
      <c r="B642" s="10" t="n"/>
      <c r="C642" s="10" t="n"/>
      <c r="D642" s="5" t="n"/>
      <c r="E642" s="5" t="n"/>
      <c r="F642" s="10" t="n"/>
      <c r="G642" s="5" t="n"/>
      <c r="H642" s="5" t="n"/>
      <c r="I642" s="5" t="n"/>
      <c r="J642" s="5" t="n"/>
      <c r="K642" s="10" t="inlineStr">
        <is>
          <t>Not on master list (time records)</t>
        </is>
      </c>
      <c r="L642" s="5" t="n"/>
      <c r="M642" s="5" t="n"/>
      <c r="N642" s="10" t="n"/>
      <c r="O642" s="10" t="n"/>
      <c r="P642" s="10" t="n"/>
      <c r="Q642" s="10" t="n"/>
      <c r="R642" s="10" t="n"/>
    </row>
    <row r="643">
      <c r="A643" s="10" t="inlineStr">
        <is>
          <t>Premix Digestive Aid</t>
        </is>
      </c>
      <c r="B643" s="10" t="n"/>
      <c r="C643" s="10" t="n"/>
      <c r="D643" s="5" t="n"/>
      <c r="E643" s="5" t="n"/>
      <c r="F643" s="10" t="n"/>
      <c r="G643" s="5" t="n"/>
      <c r="H643" s="5" t="n"/>
      <c r="I643" s="5" t="n"/>
      <c r="J643" s="5" t="n"/>
      <c r="K643" s="10" t="inlineStr">
        <is>
          <t>Not on master list (time records)</t>
        </is>
      </c>
      <c r="L643" s="5" t="n"/>
      <c r="M643" s="5" t="n"/>
      <c r="N643" s="10" t="n"/>
      <c r="O643" s="10" t="n"/>
      <c r="P643" s="10" t="n">
        <v>10.27</v>
      </c>
      <c r="Q643" s="10" t="n"/>
      <c r="R643" s="10" t="n"/>
    </row>
    <row r="644">
      <c r="A644" s="10" t="inlineStr">
        <is>
          <t>Premix EnergeX</t>
        </is>
      </c>
      <c r="B644" s="10" t="n"/>
      <c r="C644" s="10" t="n"/>
      <c r="D644" s="5" t="n"/>
      <c r="E644" s="5" t="n"/>
      <c r="F644" s="10" t="n"/>
      <c r="G644" s="5" t="n"/>
      <c r="H644" s="5" t="n"/>
      <c r="I644" s="5" t="n"/>
      <c r="J644" s="5" t="n"/>
      <c r="K644" s="10" t="inlineStr">
        <is>
          <t>Not on master list (time records)</t>
        </is>
      </c>
      <c r="L644" s="5" t="n"/>
      <c r="M644" s="5" t="n"/>
      <c r="N644" s="10" t="n"/>
      <c r="O644" s="10" t="n"/>
      <c r="P644" s="10" t="n">
        <v>41.77</v>
      </c>
      <c r="Q644" s="10" t="n"/>
      <c r="R644" s="10" t="n"/>
    </row>
    <row r="645">
      <c r="A645" s="10" t="inlineStr">
        <is>
          <t>Premix Feroral</t>
        </is>
      </c>
      <c r="B645" s="10" t="n"/>
      <c r="C645" s="10" t="n"/>
      <c r="D645" s="5" t="n"/>
      <c r="E645" s="5" t="n"/>
      <c r="F645" s="10" t="n"/>
      <c r="G645" s="5" t="n"/>
      <c r="H645" s="5" t="n"/>
      <c r="I645" s="5" t="n"/>
      <c r="J645" s="5" t="n"/>
      <c r="K645" s="10" t="inlineStr">
        <is>
          <t>Not on master list (time records)</t>
        </is>
      </c>
      <c r="L645" s="5" t="n"/>
      <c r="M645" s="5" t="n"/>
      <c r="N645" s="10" t="n"/>
      <c r="O645" s="10" t="n"/>
      <c r="P645" s="10" t="n">
        <v>7.52</v>
      </c>
      <c r="Q645" s="10" t="n"/>
      <c r="R645" s="10" t="n"/>
    </row>
    <row r="646">
      <c r="A646" s="10" t="inlineStr">
        <is>
          <t>Premix Ginc Active</t>
        </is>
      </c>
      <c r="B646" s="10" t="n"/>
      <c r="C646" s="10" t="n"/>
      <c r="D646" s="5" t="n"/>
      <c r="E646" s="5" t="n"/>
      <c r="F646" s="10" t="n"/>
      <c r="G646" s="5" t="n"/>
      <c r="H646" s="5" t="n"/>
      <c r="I646" s="5" t="n"/>
      <c r="J646" s="5" t="n"/>
      <c r="K646" s="10" t="inlineStr">
        <is>
          <t>Not on master list (time records)</t>
        </is>
      </c>
      <c r="L646" s="5" t="n"/>
      <c r="M646" s="5" t="n"/>
      <c r="N646" s="10" t="n"/>
      <c r="O646" s="10" t="n"/>
      <c r="P646" s="10" t="n">
        <v>6.77</v>
      </c>
      <c r="Q646" s="10" t="n"/>
      <c r="R646" s="10" t="n"/>
    </row>
    <row r="647">
      <c r="A647" s="10" t="inlineStr">
        <is>
          <t>Premix Healthy Liver</t>
        </is>
      </c>
      <c r="B647" s="10" t="n"/>
      <c r="C647" s="10" t="n"/>
      <c r="D647" s="5" t="n"/>
      <c r="E647" s="5" t="n"/>
      <c r="F647" s="10" t="n"/>
      <c r="G647" s="5" t="n"/>
      <c r="H647" s="5" t="n"/>
      <c r="I647" s="5" t="n"/>
      <c r="J647" s="5" t="n"/>
      <c r="K647" s="10" t="inlineStr">
        <is>
          <t>Not on master list (time records)</t>
        </is>
      </c>
      <c r="L647" s="5" t="n"/>
      <c r="M647" s="5" t="n"/>
      <c r="N647" s="10" t="n"/>
      <c r="O647" s="10" t="n"/>
      <c r="P647" s="10" t="n">
        <v>21.77</v>
      </c>
      <c r="Q647" s="10" t="n"/>
      <c r="R647" s="10" t="n"/>
    </row>
    <row r="648">
      <c r="A648" s="10" t="inlineStr">
        <is>
          <t>Premix Kamasotra</t>
        </is>
      </c>
      <c r="B648" s="10" t="n"/>
      <c r="C648" s="10" t="n"/>
      <c r="D648" s="5" t="n"/>
      <c r="E648" s="5" t="n"/>
      <c r="F648" s="10" t="n"/>
      <c r="G648" s="5" t="n"/>
      <c r="H648" s="5" t="n"/>
      <c r="I648" s="5" t="n"/>
      <c r="J648" s="5" t="n"/>
      <c r="K648" s="10" t="inlineStr">
        <is>
          <t>Not on master list (time records)</t>
        </is>
      </c>
      <c r="L648" s="5" t="n"/>
      <c r="M648" s="5" t="n"/>
      <c r="N648" s="10" t="n"/>
      <c r="O648" s="10" t="n"/>
      <c r="P648" s="10" t="n">
        <v>19.22</v>
      </c>
      <c r="Q648" s="10" t="n"/>
      <c r="R648" s="10" t="n"/>
    </row>
    <row r="649">
      <c r="A649" s="10" t="inlineStr">
        <is>
          <t>Premix Maxi CareX</t>
        </is>
      </c>
      <c r="B649" s="10" t="n"/>
      <c r="C649" s="10" t="n"/>
      <c r="D649" s="5" t="n"/>
      <c r="E649" s="5" t="n"/>
      <c r="F649" s="10" t="n"/>
      <c r="G649" s="5" t="n"/>
      <c r="H649" s="5" t="n"/>
      <c r="I649" s="5" t="n"/>
      <c r="J649" s="5" t="n"/>
      <c r="K649" s="10" t="inlineStr">
        <is>
          <t>Not on master list (time records)</t>
        </is>
      </c>
      <c r="L649" s="5" t="n"/>
      <c r="M649" s="5" t="n"/>
      <c r="N649" s="10" t="n"/>
      <c r="O649" s="10" t="n"/>
      <c r="P649" s="10" t="n">
        <v>2.02</v>
      </c>
      <c r="Q649" s="10" t="n"/>
      <c r="R649" s="10" t="n"/>
    </row>
    <row r="650">
      <c r="A650" s="10" t="inlineStr">
        <is>
          <t>Premix Optiwoman</t>
        </is>
      </c>
      <c r="B650" s="10" t="n"/>
      <c r="C650" s="10" t="n"/>
      <c r="D650" s="5" t="n"/>
      <c r="E650" s="5" t="n"/>
      <c r="F650" s="10" t="n"/>
      <c r="G650" s="5" t="n"/>
      <c r="H650" s="5" t="n"/>
      <c r="I650" s="5" t="n"/>
      <c r="J650" s="5" t="n"/>
      <c r="K650" s="10" t="inlineStr">
        <is>
          <t>Not on master list (time records)</t>
        </is>
      </c>
      <c r="L650" s="5" t="n"/>
      <c r="M650" s="5" t="n"/>
      <c r="N650" s="10" t="n"/>
      <c r="O650" s="10" t="n"/>
      <c r="P650" s="10" t="n">
        <v>22.97</v>
      </c>
      <c r="Q650" s="10" t="n"/>
      <c r="R650" s="10" t="n"/>
    </row>
    <row r="651">
      <c r="A651" s="10" t="inlineStr">
        <is>
          <t>Premix Painlys</t>
        </is>
      </c>
      <c r="B651" s="10" t="n"/>
      <c r="C651" s="10" t="n"/>
      <c r="D651" s="5" t="n"/>
      <c r="E651" s="5" t="n"/>
      <c r="F651" s="10" t="n"/>
      <c r="G651" s="5" t="n"/>
      <c r="H651" s="5" t="n"/>
      <c r="I651" s="5" t="n"/>
      <c r="J651" s="5" t="n"/>
      <c r="K651" s="10" t="inlineStr">
        <is>
          <t>Not on master list (time records)</t>
        </is>
      </c>
      <c r="L651" s="5" t="n"/>
      <c r="M651" s="5" t="n"/>
      <c r="N651" s="10" t="n"/>
      <c r="O651" s="10" t="n"/>
      <c r="P651" s="10" t="n"/>
      <c r="Q651" s="10" t="n"/>
      <c r="R651" s="10" t="n"/>
    </row>
    <row r="652">
      <c r="A652" s="10" t="inlineStr">
        <is>
          <t>Premix Powder of Burning Fat</t>
        </is>
      </c>
      <c r="B652" s="10" t="n"/>
      <c r="C652" s="10" t="n"/>
      <c r="D652" s="5" t="n"/>
      <c r="E652" s="5" t="n"/>
      <c r="F652" s="10" t="n"/>
      <c r="G652" s="5" t="n"/>
      <c r="H652" s="5" t="n"/>
      <c r="I652" s="5" t="n"/>
      <c r="J652" s="5" t="n"/>
      <c r="K652" s="10" t="inlineStr">
        <is>
          <t>Not on master list (purchase list)</t>
        </is>
      </c>
      <c r="L652" s="5" t="n"/>
      <c r="M652" s="5" t="n"/>
      <c r="N652" s="10" t="n"/>
      <c r="O652" s="10" t="n"/>
      <c r="P652" s="10" t="n"/>
      <c r="Q652" s="10" t="n"/>
      <c r="R652" s="10" t="n"/>
    </row>
    <row r="653">
      <c r="A653" s="10" t="inlineStr">
        <is>
          <t>Premix Powder of Celerex</t>
        </is>
      </c>
      <c r="B653" s="10" t="n"/>
      <c r="C653" s="10" t="n"/>
      <c r="D653" s="5" t="n"/>
      <c r="E653" s="5" t="n"/>
      <c r="F653" s="10" t="n"/>
      <c r="G653" s="5" t="n"/>
      <c r="H653" s="5" t="n"/>
      <c r="I653" s="5" t="n"/>
      <c r="J653" s="5" t="n"/>
      <c r="K653" s="10" t="inlineStr">
        <is>
          <t>Not on master list (purchase list)</t>
        </is>
      </c>
      <c r="L653" s="5" t="n"/>
      <c r="M653" s="5" t="n"/>
      <c r="N653" s="10" t="n"/>
      <c r="O653" s="10" t="n"/>
      <c r="P653" s="10" t="n"/>
      <c r="Q653" s="10" t="n"/>
      <c r="R653" s="10" t="n"/>
    </row>
    <row r="654">
      <c r="A654" s="10" t="inlineStr">
        <is>
          <t>Premix Powder of Dermobella</t>
        </is>
      </c>
      <c r="B654" s="10" t="n"/>
      <c r="C654" s="10" t="n"/>
      <c r="D654" s="5" t="n"/>
      <c r="E654" s="5" t="n"/>
      <c r="F654" s="10" t="n"/>
      <c r="G654" s="5" t="n"/>
      <c r="H654" s="5" t="n"/>
      <c r="I654" s="5" t="n"/>
      <c r="J654" s="5" t="n"/>
      <c r="K654" s="10" t="inlineStr">
        <is>
          <t>Not on master list (purchase list)</t>
        </is>
      </c>
      <c r="L654" s="5" t="n"/>
      <c r="M654" s="5" t="n"/>
      <c r="N654" s="10" t="n"/>
      <c r="O654" s="10" t="n"/>
      <c r="P654" s="10" t="n"/>
      <c r="Q654" s="10" t="n"/>
      <c r="R654" s="10" t="n"/>
    </row>
    <row r="655">
      <c r="A655" s="10" t="inlineStr">
        <is>
          <t>Premix Powder of Digestive Aid</t>
        </is>
      </c>
      <c r="B655" s="10" t="n"/>
      <c r="C655" s="10" t="n"/>
      <c r="D655" s="5" t="n"/>
      <c r="E655" s="5" t="n"/>
      <c r="F655" s="10" t="n"/>
      <c r="G655" s="5" t="n"/>
      <c r="H655" s="5" t="n"/>
      <c r="I655" s="5" t="n"/>
      <c r="J655" s="5" t="n"/>
      <c r="K655" s="10" t="inlineStr">
        <is>
          <t>Not on master list (purchase list)</t>
        </is>
      </c>
      <c r="L655" s="5" t="n"/>
      <c r="M655" s="5" t="n"/>
      <c r="N655" s="10" t="n"/>
      <c r="O655" s="10" t="n"/>
      <c r="P655" s="10" t="n"/>
      <c r="Q655" s="10" t="n"/>
      <c r="R655" s="10" t="n"/>
    </row>
    <row r="656">
      <c r="A656" s="10" t="inlineStr">
        <is>
          <t>Premix powder of Energex</t>
        </is>
      </c>
      <c r="B656" s="10" t="n"/>
      <c r="C656" s="10" t="n"/>
      <c r="D656" s="5" t="n"/>
      <c r="E656" s="5" t="n"/>
      <c r="F656" s="10" t="n"/>
      <c r="G656" s="5" t="n"/>
      <c r="H656" s="5" t="n"/>
      <c r="I656" s="5" t="n"/>
      <c r="J656" s="5" t="n"/>
      <c r="K656" s="10" t="inlineStr">
        <is>
          <t>Not on master list (purchase list)</t>
        </is>
      </c>
      <c r="L656" s="5" t="n"/>
      <c r="M656" s="5" t="n"/>
      <c r="N656" s="10" t="n"/>
      <c r="O656" s="10" t="n"/>
      <c r="P656" s="10" t="n"/>
      <c r="Q656" s="10" t="n"/>
      <c r="R656" s="10" t="n"/>
    </row>
    <row r="657">
      <c r="A657" s="10" t="inlineStr">
        <is>
          <t>Premix powder of healthy Liver</t>
        </is>
      </c>
      <c r="B657" s="10" t="n"/>
      <c r="C657" s="10" t="n"/>
      <c r="D657" s="5" t="n"/>
      <c r="E657" s="5" t="n"/>
      <c r="F657" s="10" t="n"/>
      <c r="G657" s="5" t="n"/>
      <c r="H657" s="5" t="n"/>
      <c r="I657" s="5" t="n"/>
      <c r="J657" s="5" t="n"/>
      <c r="K657" s="10" t="inlineStr">
        <is>
          <t>Not on master list (purchase list)</t>
        </is>
      </c>
      <c r="L657" s="5" t="n"/>
      <c r="M657" s="5" t="n"/>
      <c r="N657" s="10" t="n"/>
      <c r="O657" s="10" t="n"/>
      <c r="P657" s="10" t="n"/>
      <c r="Q657" s="10" t="n"/>
      <c r="R657" s="10" t="n"/>
    </row>
    <row r="658">
      <c r="A658" s="10" t="inlineStr">
        <is>
          <t>Premix Powder of Optiwoman</t>
        </is>
      </c>
      <c r="B658" s="10" t="n"/>
      <c r="C658" s="10" t="n"/>
      <c r="D658" s="5" t="n"/>
      <c r="E658" s="5" t="n"/>
      <c r="F658" s="10" t="n"/>
      <c r="G658" s="5" t="n"/>
      <c r="H658" s="5" t="n"/>
      <c r="I658" s="5" t="n"/>
      <c r="J658" s="5" t="n"/>
      <c r="K658" s="10" t="inlineStr">
        <is>
          <t>Not on master list (purchase list)</t>
        </is>
      </c>
      <c r="L658" s="5" t="n"/>
      <c r="M658" s="5" t="n"/>
      <c r="N658" s="10" t="n"/>
      <c r="O658" s="10" t="n"/>
      <c r="P658" s="10" t="n"/>
      <c r="Q658" s="10" t="n"/>
      <c r="R658" s="10" t="n"/>
    </row>
    <row r="659">
      <c r="A659" s="10" t="inlineStr">
        <is>
          <t>Premix Powder of Painlys</t>
        </is>
      </c>
      <c r="B659" s="10" t="n"/>
      <c r="C659" s="10" t="n"/>
      <c r="D659" s="5" t="n"/>
      <c r="E659" s="5" t="n"/>
      <c r="F659" s="10" t="n"/>
      <c r="G659" s="5" t="n"/>
      <c r="H659" s="5" t="n"/>
      <c r="I659" s="5" t="n"/>
      <c r="J659" s="5" t="n"/>
      <c r="K659" s="10" t="inlineStr">
        <is>
          <t>Not on master list (purchase list)</t>
        </is>
      </c>
      <c r="L659" s="5" t="n"/>
      <c r="M659" s="5" t="n"/>
      <c r="N659" s="10" t="n"/>
      <c r="O659" s="10" t="n"/>
      <c r="P659" s="10" t="n"/>
      <c r="Q659" s="10" t="n"/>
      <c r="R659" s="10" t="n"/>
    </row>
    <row r="660">
      <c r="A660" s="10" t="inlineStr">
        <is>
          <t>Premix Powder of Pregna Life</t>
        </is>
      </c>
      <c r="B660" s="10" t="n"/>
      <c r="C660" s="10" t="n"/>
      <c r="D660" s="5" t="n"/>
      <c r="E660" s="5" t="n"/>
      <c r="F660" s="10" t="n"/>
      <c r="G660" s="5" t="n"/>
      <c r="H660" s="5" t="n"/>
      <c r="I660" s="5" t="n"/>
      <c r="J660" s="5" t="n"/>
      <c r="K660" s="10" t="inlineStr">
        <is>
          <t>Not on master list (purchase list)</t>
        </is>
      </c>
      <c r="L660" s="5" t="n"/>
      <c r="M660" s="5" t="n"/>
      <c r="N660" s="10" t="n"/>
      <c r="O660" s="10" t="n"/>
      <c r="P660" s="10" t="n"/>
      <c r="Q660" s="10" t="n"/>
      <c r="R660" s="10" t="n"/>
    </row>
    <row r="661">
      <c r="A661" s="10" t="inlineStr">
        <is>
          <t>Premix Powder of Prostica</t>
        </is>
      </c>
      <c r="B661" s="10" t="n"/>
      <c r="C661" s="10" t="n"/>
      <c r="D661" s="5" t="n"/>
      <c r="E661" s="5" t="n"/>
      <c r="F661" s="10" t="n"/>
      <c r="G661" s="5" t="n"/>
      <c r="H661" s="5" t="n"/>
      <c r="I661" s="5" t="n"/>
      <c r="J661" s="5" t="n"/>
      <c r="K661" s="10" t="inlineStr">
        <is>
          <t>Not on master list (purchase list)</t>
        </is>
      </c>
      <c r="L661" s="5" t="n"/>
      <c r="M661" s="5" t="n"/>
      <c r="N661" s="10" t="n"/>
      <c r="O661" s="10" t="n"/>
      <c r="P661" s="10" t="n"/>
      <c r="Q661" s="10" t="n"/>
      <c r="R661" s="10" t="n"/>
    </row>
    <row r="662">
      <c r="A662" s="10" t="inlineStr">
        <is>
          <t>Premix Powder of Uromax</t>
        </is>
      </c>
      <c r="B662" s="10" t="n"/>
      <c r="C662" s="10" t="n"/>
      <c r="D662" s="5" t="n"/>
      <c r="E662" s="5" t="n"/>
      <c r="F662" s="10" t="n"/>
      <c r="G662" s="5" t="n"/>
      <c r="H662" s="5" t="n"/>
      <c r="I662" s="5" t="n"/>
      <c r="J662" s="5" t="n"/>
      <c r="K662" s="10" t="inlineStr">
        <is>
          <t>Not on master list (purchase list)</t>
        </is>
      </c>
      <c r="L662" s="5" t="n"/>
      <c r="M662" s="5" t="n"/>
      <c r="N662" s="10" t="n"/>
      <c r="O662" s="10" t="n"/>
      <c r="P662" s="10" t="n"/>
      <c r="Q662" s="10" t="n"/>
      <c r="R662" s="10" t="n"/>
    </row>
    <row r="663">
      <c r="A663" s="10" t="inlineStr">
        <is>
          <t>Premix Powder of X-Ade</t>
        </is>
      </c>
      <c r="B663" s="10" t="n"/>
      <c r="C663" s="10" t="n"/>
      <c r="D663" s="5" t="n"/>
      <c r="E663" s="5" t="n"/>
      <c r="F663" s="10" t="n"/>
      <c r="G663" s="5" t="n"/>
      <c r="H663" s="5" t="n"/>
      <c r="I663" s="5" t="n"/>
      <c r="J663" s="5" t="n"/>
      <c r="K663" s="10" t="inlineStr">
        <is>
          <t>Not on master list (purchase list)</t>
        </is>
      </c>
      <c r="L663" s="5" t="n"/>
      <c r="M663" s="5" t="n"/>
      <c r="N663" s="10" t="n"/>
      <c r="O663" s="10" t="n"/>
      <c r="P663" s="10" t="n"/>
      <c r="Q663" s="10" t="n"/>
      <c r="R663" s="10" t="n"/>
    </row>
    <row r="664">
      <c r="A664" s="10" t="inlineStr">
        <is>
          <t>Premix powder Optiwoman</t>
        </is>
      </c>
      <c r="B664" s="10" t="n"/>
      <c r="C664" s="10" t="n"/>
      <c r="D664" s="5" t="n"/>
      <c r="E664" s="5" t="n"/>
      <c r="F664" s="10" t="n"/>
      <c r="G664" s="5" t="n"/>
      <c r="H664" s="5" t="n"/>
      <c r="I664" s="5" t="n"/>
      <c r="J664" s="5" t="n"/>
      <c r="K664" s="10" t="inlineStr">
        <is>
          <t>Not on master list (purchase list)</t>
        </is>
      </c>
      <c r="L664" s="5" t="n"/>
      <c r="M664" s="5" t="n"/>
      <c r="N664" s="10" t="n"/>
      <c r="O664" s="10" t="n"/>
      <c r="P664" s="10" t="n"/>
      <c r="Q664" s="10" t="n"/>
      <c r="R664" s="10" t="n"/>
    </row>
    <row r="665">
      <c r="A665" s="10" t="inlineStr">
        <is>
          <t>Premix PregnaLife</t>
        </is>
      </c>
      <c r="B665" s="10" t="n"/>
      <c r="C665" s="10" t="n"/>
      <c r="D665" s="5" t="n"/>
      <c r="E665" s="5" t="n"/>
      <c r="F665" s="10" t="n"/>
      <c r="G665" s="5" t="n"/>
      <c r="H665" s="5" t="n"/>
      <c r="I665" s="5" t="n"/>
      <c r="J665" s="5" t="n"/>
      <c r="K665" s="10" t="inlineStr">
        <is>
          <t>Not on master list (time records)</t>
        </is>
      </c>
      <c r="L665" s="5" t="n"/>
      <c r="M665" s="5" t="n"/>
      <c r="N665" s="10" t="n"/>
      <c r="O665" s="10" t="n"/>
      <c r="P665" s="10" t="n">
        <v>33.02</v>
      </c>
      <c r="Q665" s="10" t="n"/>
      <c r="R665" s="10" t="n"/>
    </row>
    <row r="666">
      <c r="A666" s="10" t="inlineStr">
        <is>
          <t>Premix Prostica</t>
        </is>
      </c>
      <c r="B666" s="10" t="n"/>
      <c r="C666" s="10" t="n"/>
      <c r="D666" s="5" t="n"/>
      <c r="E666" s="5" t="n"/>
      <c r="F666" s="10" t="n"/>
      <c r="G666" s="5" t="n"/>
      <c r="H666" s="5" t="n"/>
      <c r="I666" s="5" t="n"/>
      <c r="J666" s="5" t="n"/>
      <c r="K666" s="10" t="inlineStr">
        <is>
          <t>Not on master list (time records)</t>
        </is>
      </c>
      <c r="L666" s="5" t="n"/>
      <c r="M666" s="5" t="n"/>
      <c r="N666" s="10" t="n"/>
      <c r="O666" s="10" t="n"/>
      <c r="P666" s="10" t="n"/>
      <c r="Q666" s="10" t="n"/>
      <c r="R666" s="10" t="n"/>
    </row>
    <row r="667">
      <c r="A667" s="10" t="inlineStr">
        <is>
          <t>Premix Sleep Care</t>
        </is>
      </c>
      <c r="B667" s="10" t="n"/>
      <c r="C667" s="10" t="n"/>
      <c r="D667" s="5" t="n"/>
      <c r="E667" s="5" t="n"/>
      <c r="F667" s="10" t="n"/>
      <c r="G667" s="5" t="n"/>
      <c r="H667" s="5" t="n"/>
      <c r="I667" s="5" t="n"/>
      <c r="J667" s="5" t="n"/>
      <c r="K667" s="10" t="inlineStr">
        <is>
          <t>Not on master list (time records)</t>
        </is>
      </c>
      <c r="L667" s="5" t="n"/>
      <c r="M667" s="5" t="n"/>
      <c r="N667" s="10" t="n"/>
      <c r="O667" s="10" t="n"/>
      <c r="P667" s="10" t="n">
        <v>0.02</v>
      </c>
      <c r="Q667" s="10" t="n"/>
      <c r="R667" s="10" t="n"/>
    </row>
    <row r="668">
      <c r="A668" s="10" t="inlineStr">
        <is>
          <t>Premix Uromax</t>
        </is>
      </c>
      <c r="B668" s="10" t="n"/>
      <c r="C668" s="10" t="n"/>
      <c r="D668" s="5" t="n"/>
      <c r="E668" s="5" t="n"/>
      <c r="F668" s="10" t="n"/>
      <c r="G668" s="5" t="n"/>
      <c r="H668" s="5" t="n"/>
      <c r="I668" s="5" t="n"/>
      <c r="J668" s="5" t="n"/>
      <c r="K668" s="10" t="inlineStr">
        <is>
          <t>Not on master list (time records)</t>
        </is>
      </c>
      <c r="L668" s="5" t="n"/>
      <c r="M668" s="5" t="n"/>
      <c r="N668" s="10" t="n"/>
      <c r="O668" s="10" t="n"/>
      <c r="P668" s="10" t="n">
        <v>3.52</v>
      </c>
      <c r="Q668" s="10" t="n"/>
      <c r="R668" s="10" t="n"/>
    </row>
    <row r="669">
      <c r="A669" s="10" t="inlineStr">
        <is>
          <t>Premix Vitacal Forte</t>
        </is>
      </c>
      <c r="B669" s="10" t="n"/>
      <c r="C669" s="10" t="n"/>
      <c r="D669" s="5" t="n"/>
      <c r="E669" s="5" t="n"/>
      <c r="F669" s="10" t="n"/>
      <c r="G669" s="5" t="n"/>
      <c r="H669" s="5" t="n"/>
      <c r="I669" s="5" t="n"/>
      <c r="J669" s="5" t="n"/>
      <c r="K669" s="10" t="inlineStr">
        <is>
          <t>Not on master list (time records)</t>
        </is>
      </c>
      <c r="L669" s="5" t="n"/>
      <c r="M669" s="5" t="n"/>
      <c r="N669" s="10" t="n"/>
      <c r="O669" s="10" t="n"/>
      <c r="P669" s="10" t="n">
        <v>5.52</v>
      </c>
      <c r="Q669" s="10" t="n"/>
      <c r="R669" s="10" t="n"/>
    </row>
    <row r="670">
      <c r="A670" s="10" t="inlineStr">
        <is>
          <t>Premix Xade</t>
        </is>
      </c>
      <c r="B670" s="10" t="n"/>
      <c r="C670" s="10" t="n"/>
      <c r="D670" s="5" t="n"/>
      <c r="E670" s="5" t="n"/>
      <c r="F670" s="10" t="n"/>
      <c r="G670" s="5" t="n"/>
      <c r="H670" s="5" t="n"/>
      <c r="I670" s="5" t="n"/>
      <c r="J670" s="5" t="n"/>
      <c r="K670" s="10" t="inlineStr">
        <is>
          <t>Not on master list (time records)</t>
        </is>
      </c>
      <c r="L670" s="5" t="n"/>
      <c r="M670" s="5" t="n"/>
      <c r="N670" s="10" t="n"/>
      <c r="O670" s="10" t="n"/>
      <c r="P670" s="10" t="n">
        <v>43.47</v>
      </c>
      <c r="Q670" s="10" t="n"/>
      <c r="R670" s="10" t="n"/>
    </row>
    <row r="671">
      <c r="A671" s="10" t="inlineStr">
        <is>
          <t>Proline</t>
        </is>
      </c>
      <c r="B671" s="10" t="n"/>
      <c r="C671" s="10" t="n"/>
      <c r="D671" s="5" t="n"/>
      <c r="E671" s="5" t="n"/>
      <c r="F671" s="10" t="n"/>
      <c r="G671" s="5" t="n"/>
      <c r="H671" s="5" t="n"/>
      <c r="I671" s="5" t="n"/>
      <c r="J671" s="5" t="n"/>
      <c r="K671" s="10" t="inlineStr">
        <is>
          <t>Not on master list (time records)</t>
        </is>
      </c>
      <c r="L671" s="5" t="n"/>
      <c r="M671" s="5" t="n"/>
      <c r="N671" s="10" t="n"/>
      <c r="O671" s="10" t="n"/>
      <c r="P671" s="10" t="n"/>
      <c r="Q671" s="10" t="n"/>
      <c r="R671" s="10" t="n"/>
    </row>
    <row r="672">
      <c r="A672" s="10" t="inlineStr">
        <is>
          <t>Propan-2-ol</t>
        </is>
      </c>
      <c r="B672" s="10" t="n"/>
      <c r="C672" s="10" t="n"/>
      <c r="D672" s="5" t="n"/>
      <c r="E672" s="5" t="n"/>
      <c r="F672" s="10" t="n"/>
      <c r="G672" s="5" t="n"/>
      <c r="H672" s="5" t="n"/>
      <c r="I672" s="5" t="n"/>
      <c r="J672" s="5" t="n"/>
      <c r="K672" s="10" t="inlineStr">
        <is>
          <t>Not on master list (purchase list)</t>
        </is>
      </c>
      <c r="L672" s="5" t="n"/>
      <c r="M672" s="5" t="n"/>
      <c r="N672" s="10" t="n"/>
      <c r="O672" s="10" t="n"/>
      <c r="P672" s="10" t="n"/>
      <c r="Q672" s="10" t="n"/>
      <c r="R672" s="10" t="n"/>
    </row>
    <row r="673">
      <c r="A673" s="10" t="inlineStr">
        <is>
          <t>Propyl Gallate</t>
        </is>
      </c>
      <c r="B673" s="10" t="n"/>
      <c r="C673" s="10" t="n"/>
      <c r="D673" s="5" t="n"/>
      <c r="E673" s="5" t="n"/>
      <c r="F673" s="10" t="n"/>
      <c r="G673" s="5" t="n"/>
      <c r="H673" s="5" t="n"/>
      <c r="I673" s="5" t="n"/>
      <c r="J673" s="5" t="n"/>
      <c r="K673" s="10" t="inlineStr">
        <is>
          <t>Not on master list (time records)</t>
        </is>
      </c>
      <c r="L673" s="5" t="n"/>
      <c r="M673" s="5" t="n"/>
      <c r="N673" s="10" t="n"/>
      <c r="O673" s="10" t="n"/>
      <c r="P673" s="10" t="n"/>
      <c r="Q673" s="10" t="n"/>
      <c r="R673" s="10" t="n"/>
    </row>
    <row r="674">
      <c r="A674" s="10" t="inlineStr">
        <is>
          <t>Propyl Glaycol</t>
        </is>
      </c>
      <c r="B674" s="10" t="n"/>
      <c r="C674" s="10" t="n"/>
      <c r="D674" s="5" t="n"/>
      <c r="E674" s="5" t="n"/>
      <c r="F674" s="10" t="n"/>
      <c r="G674" s="5" t="n"/>
      <c r="H674" s="5" t="n"/>
      <c r="I674" s="5" t="n"/>
      <c r="J674" s="5" t="n"/>
      <c r="K674" s="10" t="inlineStr">
        <is>
          <t>Not on master list (time records)</t>
        </is>
      </c>
      <c r="L674" s="5" t="n"/>
      <c r="M674" s="5" t="n"/>
      <c r="N674" s="10" t="n"/>
      <c r="O674" s="10" t="n"/>
      <c r="P674" s="10" t="n"/>
      <c r="Q674" s="10" t="n"/>
      <c r="R674" s="10" t="n"/>
    </row>
    <row r="675">
      <c r="A675" s="10" t="inlineStr">
        <is>
          <t>Propyylen Glycol Apyrogen (for Injection)</t>
        </is>
      </c>
      <c r="B675" s="10" t="n"/>
      <c r="C675" s="10" t="n"/>
      <c r="D675" s="5" t="n"/>
      <c r="E675" s="5" t="n"/>
      <c r="F675" s="10" t="n"/>
      <c r="G675" s="5" t="n"/>
      <c r="H675" s="5" t="n"/>
      <c r="I675" s="5" t="n"/>
      <c r="J675" s="5" t="n"/>
      <c r="K675" s="10" t="inlineStr">
        <is>
          <t>Not on master list (time records)</t>
        </is>
      </c>
      <c r="L675" s="5" t="n"/>
      <c r="M675" s="5" t="n"/>
      <c r="N675" s="10" t="n"/>
      <c r="O675" s="10" t="n"/>
      <c r="P675" s="10" t="n"/>
      <c r="Q675" s="10" t="n"/>
      <c r="R675" s="10" t="n"/>
    </row>
    <row r="676">
      <c r="A676" s="10" t="inlineStr">
        <is>
          <t>Prunus Persica Dried Ripe Seed</t>
        </is>
      </c>
      <c r="B676" s="10" t="n"/>
      <c r="C676" s="10" t="n"/>
      <c r="D676" s="5" t="n"/>
      <c r="E676" s="5" t="n"/>
      <c r="F676" s="10" t="n"/>
      <c r="G676" s="5" t="n"/>
      <c r="H676" s="5" t="n"/>
      <c r="I676" s="5" t="n"/>
      <c r="J676" s="5" t="n"/>
      <c r="K676" s="10" t="inlineStr">
        <is>
          <t>Not on master list (time records)</t>
        </is>
      </c>
      <c r="L676" s="5" t="n"/>
      <c r="M676" s="5" t="n"/>
      <c r="N676" s="10" t="n"/>
      <c r="O676" s="10" t="n"/>
      <c r="P676" s="10" t="n"/>
      <c r="Q676" s="10" t="n"/>
      <c r="R676" s="10" t="n"/>
    </row>
    <row r="677">
      <c r="A677" s="10" t="inlineStr">
        <is>
          <t>Pumpkin Ext.</t>
        </is>
      </c>
      <c r="B677" s="10" t="n"/>
      <c r="C677" s="10" t="n"/>
      <c r="D677" s="5" t="n"/>
      <c r="E677" s="5" t="n"/>
      <c r="F677" s="10" t="n"/>
      <c r="G677" s="5" t="n"/>
      <c r="H677" s="5" t="n"/>
      <c r="I677" s="5" t="n"/>
      <c r="J677" s="5" t="n"/>
      <c r="K677" s="10" t="inlineStr">
        <is>
          <t>Not on master list (time records)</t>
        </is>
      </c>
      <c r="L677" s="5" t="n"/>
      <c r="M677" s="5" t="n"/>
      <c r="N677" s="10" t="n"/>
      <c r="O677" s="10" t="n"/>
      <c r="P677" s="10" t="n"/>
      <c r="Q677" s="10" t="n"/>
      <c r="R677" s="10" t="n"/>
    </row>
    <row r="678">
      <c r="A678" s="10" t="inlineStr">
        <is>
          <t>Purple  Color - Code 807</t>
        </is>
      </c>
      <c r="B678" s="10" t="n"/>
      <c r="C678" s="10" t="n"/>
      <c r="D678" s="5" t="n"/>
      <c r="E678" s="5" t="n"/>
      <c r="F678" s="10" t="n"/>
      <c r="G678" s="5" t="n"/>
      <c r="H678" s="5" t="n"/>
      <c r="I678" s="5" t="n"/>
      <c r="J678" s="5" t="n"/>
      <c r="K678" s="10" t="inlineStr">
        <is>
          <t>Not on master list (time records)</t>
        </is>
      </c>
      <c r="L678" s="5" t="n"/>
      <c r="M678" s="5" t="n"/>
      <c r="N678" s="10" t="n"/>
      <c r="O678" s="10" t="n"/>
      <c r="P678" s="10" t="n"/>
      <c r="Q678" s="10" t="n"/>
      <c r="R678" s="10" t="n"/>
    </row>
    <row r="679">
      <c r="A679" s="10" t="inlineStr">
        <is>
          <t>Purple Coneflower dry extra(Echinacea Purpurea)</t>
        </is>
      </c>
      <c r="B679" s="10" t="n"/>
      <c r="C679" s="10" t="n"/>
      <c r="D679" s="5" t="n"/>
      <c r="E679" s="5" t="n"/>
      <c r="F679" s="10" t="n"/>
      <c r="G679" s="5" t="n"/>
      <c r="H679" s="5" t="n"/>
      <c r="I679" s="5" t="n"/>
      <c r="J679" s="5" t="n"/>
      <c r="K679" s="10" t="inlineStr">
        <is>
          <t>Not on master list (purchase list)</t>
        </is>
      </c>
      <c r="L679" s="5" t="n"/>
      <c r="M679" s="5" t="n"/>
      <c r="N679" s="10" t="n"/>
      <c r="O679" s="10" t="n"/>
      <c r="P679" s="10" t="n"/>
      <c r="Q679" s="10" t="n"/>
      <c r="R679" s="10" t="n"/>
    </row>
    <row r="680">
      <c r="A680" s="10" t="inlineStr">
        <is>
          <t>PVP (K30)</t>
        </is>
      </c>
      <c r="B680" s="10" t="n"/>
      <c r="C680" s="10" t="n"/>
      <c r="D680" s="5" t="n"/>
      <c r="E680" s="5" t="n"/>
      <c r="F680" s="10" t="n"/>
      <c r="G680" s="5" t="n"/>
      <c r="H680" s="5" t="n"/>
      <c r="I680" s="5" t="n"/>
      <c r="J680" s="5" t="n"/>
      <c r="K680" s="10" t="inlineStr">
        <is>
          <t>Not on master list (purchase list)</t>
        </is>
      </c>
      <c r="L680" s="5" t="n"/>
      <c r="M680" s="5" t="n"/>
      <c r="N680" s="10" t="n"/>
      <c r="O680" s="10" t="n"/>
      <c r="P680" s="10" t="n"/>
      <c r="Q680" s="10" t="n"/>
      <c r="R680" s="10" t="n"/>
    </row>
    <row r="681">
      <c r="A681" s="10" t="inlineStr">
        <is>
          <t>Pygeum Africanum Ext.</t>
        </is>
      </c>
      <c r="B681" s="10" t="n"/>
      <c r="C681" s="10" t="n"/>
      <c r="D681" s="5" t="n"/>
      <c r="E681" s="5" t="n"/>
      <c r="F681" s="10" t="n"/>
      <c r="G681" s="5" t="n"/>
      <c r="H681" s="5" t="n"/>
      <c r="I681" s="5" t="n"/>
      <c r="J681" s="5" t="n"/>
      <c r="K681" s="10" t="inlineStr">
        <is>
          <t>Not on master list (time records)</t>
        </is>
      </c>
      <c r="L681" s="5" t="n"/>
      <c r="M681" s="5" t="n"/>
      <c r="N681" s="10" t="n"/>
      <c r="O681" s="10" t="n"/>
      <c r="P681" s="10" t="n"/>
      <c r="Q681" s="10" t="n"/>
      <c r="R681" s="10" t="n"/>
    </row>
    <row r="682">
      <c r="A682" s="10" t="inlineStr">
        <is>
          <t>Pyroglutamic Acid</t>
        </is>
      </c>
      <c r="B682" s="10" t="n"/>
      <c r="C682" s="10" t="n"/>
      <c r="D682" s="5" t="n"/>
      <c r="E682" s="5" t="n"/>
      <c r="F682" s="10" t="n"/>
      <c r="G682" s="5" t="n"/>
      <c r="H682" s="5" t="n"/>
      <c r="I682" s="5" t="n"/>
      <c r="J682" s="5" t="n"/>
      <c r="K682" s="10" t="inlineStr">
        <is>
          <t>Not on master list (time records)</t>
        </is>
      </c>
      <c r="L682" s="5" t="n"/>
      <c r="M682" s="5" t="n"/>
      <c r="N682" s="10" t="n"/>
      <c r="O682" s="10" t="n"/>
      <c r="P682" s="10" t="n"/>
      <c r="Q682" s="10" t="n"/>
      <c r="R682" s="10" t="n"/>
    </row>
    <row r="683">
      <c r="A683" s="10" t="inlineStr">
        <is>
          <t>Quercetin</t>
        </is>
      </c>
      <c r="B683" s="10" t="n"/>
      <c r="C683" s="10" t="n"/>
      <c r="D683" s="5" t="n"/>
      <c r="E683" s="5" t="n"/>
      <c r="F683" s="10" t="n"/>
      <c r="G683" s="5" t="n"/>
      <c r="H683" s="5" t="n"/>
      <c r="I683" s="5" t="n"/>
      <c r="J683" s="5" t="n"/>
      <c r="K683" s="10" t="inlineStr">
        <is>
          <t>Not on master list (time records)</t>
        </is>
      </c>
      <c r="L683" s="5" t="n"/>
      <c r="M683" s="5" t="n"/>
      <c r="N683" s="10" t="n"/>
      <c r="O683" s="10" t="n"/>
      <c r="P683" s="10" t="n"/>
      <c r="Q683" s="10" t="n"/>
      <c r="R683" s="10" t="n"/>
    </row>
    <row r="684">
      <c r="A684" s="10" t="inlineStr">
        <is>
          <t>Ramipril</t>
        </is>
      </c>
      <c r="B684" s="10" t="n"/>
      <c r="C684" s="10" t="n"/>
      <c r="D684" s="5" t="n"/>
      <c r="E684" s="5" t="n"/>
      <c r="F684" s="10" t="n"/>
      <c r="G684" s="5" t="n"/>
      <c r="H684" s="5" t="n"/>
      <c r="I684" s="5" t="n"/>
      <c r="J684" s="5" t="n"/>
      <c r="K684" s="10" t="inlineStr">
        <is>
          <t>Not on master list (time records)</t>
        </is>
      </c>
      <c r="L684" s="5" t="n"/>
      <c r="M684" s="5" t="n"/>
      <c r="N684" s="10" t="n"/>
      <c r="O684" s="10" t="n"/>
      <c r="P684" s="10" t="n"/>
      <c r="Q684" s="10" t="n"/>
      <c r="R684" s="10" t="n"/>
    </row>
    <row r="685">
      <c r="A685" s="10" t="inlineStr">
        <is>
          <t>Raspberry Flavour</t>
        </is>
      </c>
      <c r="B685" s="10" t="n"/>
      <c r="C685" s="10" t="n"/>
      <c r="D685" s="5" t="n"/>
      <c r="E685" s="5" t="n"/>
      <c r="F685" s="10" t="n"/>
      <c r="G685" s="5" t="n"/>
      <c r="H685" s="5" t="n"/>
      <c r="I685" s="5" t="n"/>
      <c r="J685" s="5" t="n"/>
      <c r="K685" s="10" t="inlineStr">
        <is>
          <t>Not on master list (time records)</t>
        </is>
      </c>
      <c r="L685" s="5" t="n"/>
      <c r="M685" s="5" t="n"/>
      <c r="N685" s="10" t="n"/>
      <c r="O685" s="10" t="n"/>
      <c r="P685" s="10" t="n"/>
      <c r="Q685" s="10" t="n"/>
      <c r="R685" s="10" t="n"/>
    </row>
    <row r="686">
      <c r="A686" s="10" t="inlineStr">
        <is>
          <t>Red Color - Code 219</t>
        </is>
      </c>
      <c r="B686" s="10" t="n"/>
      <c r="C686" s="10" t="n"/>
      <c r="D686" s="5" t="n"/>
      <c r="E686" s="5" t="n"/>
      <c r="F686" s="10" t="n"/>
      <c r="G686" s="5" t="n"/>
      <c r="H686" s="5" t="n"/>
      <c r="I686" s="5" t="n"/>
      <c r="J686" s="5" t="n"/>
      <c r="K686" s="10" t="inlineStr">
        <is>
          <t>Not on master list (time records)</t>
        </is>
      </c>
      <c r="L686" s="5" t="n"/>
      <c r="M686" s="5" t="n"/>
      <c r="N686" s="10" t="n"/>
      <c r="O686" s="10" t="n"/>
      <c r="P686" s="10" t="n"/>
      <c r="Q686" s="10" t="n"/>
      <c r="R686" s="10" t="n"/>
    </row>
    <row r="687">
      <c r="A687" s="10" t="inlineStr">
        <is>
          <t>Reishi Polysaccharides 30%</t>
        </is>
      </c>
      <c r="B687" s="10" t="n"/>
      <c r="C687" s="10" t="n"/>
      <c r="D687" s="5" t="n"/>
      <c r="E687" s="5" t="n"/>
      <c r="F687" s="10" t="n"/>
      <c r="G687" s="5" t="n"/>
      <c r="H687" s="5" t="n"/>
      <c r="I687" s="5" t="n"/>
      <c r="J687" s="5" t="n"/>
      <c r="K687" s="10" t="inlineStr">
        <is>
          <t>Not on master list (time records)</t>
        </is>
      </c>
      <c r="L687" s="5" t="n"/>
      <c r="M687" s="5" t="n"/>
      <c r="N687" s="10" t="n"/>
      <c r="O687" s="10" t="n"/>
      <c r="P687" s="10" t="n"/>
      <c r="Q687" s="10" t="n"/>
      <c r="R687" s="10" t="n"/>
    </row>
    <row r="688">
      <c r="A688" s="10" t="inlineStr">
        <is>
          <t>Remdesevir</t>
        </is>
      </c>
      <c r="B688" s="10" t="n"/>
      <c r="C688" s="10" t="n"/>
      <c r="D688" s="5" t="n"/>
      <c r="E688" s="5" t="n"/>
      <c r="F688" s="10" t="n"/>
      <c r="G688" s="5" t="n"/>
      <c r="H688" s="5" t="n"/>
      <c r="I688" s="5" t="n"/>
      <c r="J688" s="5" t="n"/>
      <c r="K688" s="10" t="inlineStr">
        <is>
          <t>Not on master list (time records)</t>
        </is>
      </c>
      <c r="L688" s="5" t="n"/>
      <c r="M688" s="5" t="n"/>
      <c r="N688" s="10" t="n"/>
      <c r="O688" s="10" t="n"/>
      <c r="P688" s="10" t="n"/>
      <c r="Q688" s="10" t="n"/>
      <c r="R688" s="10" t="n"/>
    </row>
    <row r="689">
      <c r="A689" s="10" t="inlineStr">
        <is>
          <t>Resmetirom -DC Granules 20 % w/w</t>
        </is>
      </c>
      <c r="B689" s="10" t="n"/>
      <c r="C689" s="10" t="n"/>
      <c r="D689" s="5" t="n"/>
      <c r="E689" s="5" t="n"/>
      <c r="F689" s="10" t="n"/>
      <c r="G689" s="5" t="n"/>
      <c r="H689" s="5" t="n"/>
      <c r="I689" s="5" t="n"/>
      <c r="J689" s="5" t="n"/>
      <c r="K689" s="10" t="inlineStr">
        <is>
          <t>Not on master list (purchase list)</t>
        </is>
      </c>
      <c r="L689" s="5" t="n"/>
      <c r="M689" s="5" t="n"/>
      <c r="N689" s="10" t="n"/>
      <c r="O689" s="10" t="n"/>
      <c r="P689" s="10" t="n"/>
      <c r="Q689" s="10" t="n"/>
      <c r="R689" s="10" t="n"/>
    </row>
    <row r="690">
      <c r="A690" s="10" t="inlineStr">
        <is>
          <t>Resveratrol</t>
        </is>
      </c>
      <c r="B690" s="10" t="n"/>
      <c r="C690" s="10" t="n"/>
      <c r="D690" s="5" t="n"/>
      <c r="E690" s="5" t="n"/>
      <c r="F690" s="10" t="n"/>
      <c r="G690" s="5" t="n"/>
      <c r="H690" s="5" t="n"/>
      <c r="I690" s="5" t="n"/>
      <c r="J690" s="5" t="n"/>
      <c r="K690" s="10" t="inlineStr">
        <is>
          <t>Not on master list (time records)</t>
        </is>
      </c>
      <c r="L690" s="5" t="n"/>
      <c r="M690" s="5" t="n"/>
      <c r="N690" s="10" t="n"/>
      <c r="O690" s="10" t="n"/>
      <c r="P690" s="10" t="n"/>
      <c r="Q690" s="10" t="n"/>
      <c r="R690" s="10" t="n"/>
    </row>
    <row r="691">
      <c r="A691" s="10" t="inlineStr">
        <is>
          <t>Retinyl Acetate</t>
        </is>
      </c>
      <c r="B691" s="10" t="n"/>
      <c r="C691" s="10" t="n"/>
      <c r="D691" s="5" t="n"/>
      <c r="E691" s="5" t="n"/>
      <c r="F691" s="10" t="n"/>
      <c r="G691" s="5" t="n"/>
      <c r="H691" s="5" t="n"/>
      <c r="I691" s="5" t="n"/>
      <c r="J691" s="5" t="n"/>
      <c r="K691" s="10" t="inlineStr">
        <is>
          <t>Not on master list (time records)</t>
        </is>
      </c>
      <c r="L691" s="5" t="n"/>
      <c r="M691" s="5" t="n"/>
      <c r="N691" s="10" t="n"/>
      <c r="O691" s="10" t="n"/>
      <c r="P691" s="10" t="n"/>
      <c r="Q691" s="10" t="n"/>
      <c r="R691" s="10" t="n"/>
    </row>
    <row r="692">
      <c r="A692" s="10" t="inlineStr">
        <is>
          <t>Rhodiola Rosea Ext.</t>
        </is>
      </c>
      <c r="B692" s="10" t="n"/>
      <c r="C692" s="10" t="n"/>
      <c r="D692" s="5" t="n"/>
      <c r="E692" s="5" t="n"/>
      <c r="F692" s="10" t="n"/>
      <c r="G692" s="5" t="n"/>
      <c r="H692" s="5" t="n"/>
      <c r="I692" s="5" t="n"/>
      <c r="J692" s="5" t="n"/>
      <c r="K692" s="10" t="inlineStr">
        <is>
          <t>Not on master list (time records)</t>
        </is>
      </c>
      <c r="L692" s="5" t="n"/>
      <c r="M692" s="5" t="n"/>
      <c r="N692" s="10" t="n"/>
      <c r="O692" s="10" t="n"/>
      <c r="P692" s="10" t="n"/>
      <c r="Q692" s="10" t="n"/>
      <c r="R692" s="10" t="n"/>
    </row>
    <row r="693">
      <c r="A693" s="10" t="inlineStr">
        <is>
          <t>Rhubarb Ext.</t>
        </is>
      </c>
      <c r="B693" s="10" t="n"/>
      <c r="C693" s="10" t="n"/>
      <c r="D693" s="5" t="n"/>
      <c r="E693" s="5" t="n"/>
      <c r="F693" s="10" t="n"/>
      <c r="G693" s="5" t="n"/>
      <c r="H693" s="5" t="n"/>
      <c r="I693" s="5" t="n"/>
      <c r="J693" s="5" t="n"/>
      <c r="K693" s="10" t="inlineStr">
        <is>
          <t>Not on master list (time records)</t>
        </is>
      </c>
      <c r="L693" s="5" t="n"/>
      <c r="M693" s="5" t="n"/>
      <c r="N693" s="10" t="n"/>
      <c r="O693" s="10" t="n"/>
      <c r="P693" s="10" t="n"/>
      <c r="Q693" s="10" t="n"/>
      <c r="R693" s="10" t="n"/>
    </row>
    <row r="694">
      <c r="A694" s="10" t="inlineStr">
        <is>
          <t>Rivaroxaban</t>
        </is>
      </c>
      <c r="B694" s="10" t="n"/>
      <c r="C694" s="10" t="n"/>
      <c r="D694" s="5" t="n"/>
      <c r="E694" s="5" t="n"/>
      <c r="F694" s="10" t="n"/>
      <c r="G694" s="5" t="n"/>
      <c r="H694" s="5" t="n"/>
      <c r="I694" s="5" t="n"/>
      <c r="J694" s="5" t="n"/>
      <c r="K694" s="10" t="inlineStr">
        <is>
          <t>Not on master list (time records)</t>
        </is>
      </c>
      <c r="L694" s="5" t="n"/>
      <c r="M694" s="5" t="n"/>
      <c r="N694" s="10" t="n"/>
      <c r="O694" s="10" t="n"/>
      <c r="P694" s="10" t="n"/>
      <c r="Q694" s="10" t="n"/>
      <c r="R694" s="10" t="n"/>
    </row>
    <row r="695">
      <c r="A695" s="10" t="inlineStr">
        <is>
          <t>Rober Stopper</t>
        </is>
      </c>
      <c r="B695" s="10" t="n"/>
      <c r="C695" s="10" t="n"/>
      <c r="D695" s="5" t="n"/>
      <c r="E695" s="5" t="n"/>
      <c r="F695" s="10" t="n"/>
      <c r="G695" s="5" t="n"/>
      <c r="H695" s="5" t="n"/>
      <c r="I695" s="5" t="n"/>
      <c r="J695" s="5" t="n"/>
      <c r="K695" s="10" t="inlineStr">
        <is>
          <t>Not on master list (time records)</t>
        </is>
      </c>
      <c r="L695" s="5" t="n"/>
      <c r="M695" s="5" t="n"/>
      <c r="N695" s="10" t="n"/>
      <c r="O695" s="10" t="n"/>
      <c r="P695" s="10" t="n"/>
      <c r="Q695" s="10" t="n"/>
      <c r="R695" s="10" t="n"/>
    </row>
    <row r="696">
      <c r="A696" s="10" t="inlineStr">
        <is>
          <t>Royal Jelly</t>
        </is>
      </c>
      <c r="B696" s="10" t="n"/>
      <c r="C696" s="10" t="n"/>
      <c r="D696" s="5" t="n"/>
      <c r="E696" s="5" t="n"/>
      <c r="F696" s="10" t="n"/>
      <c r="G696" s="5" t="n"/>
      <c r="H696" s="5" t="n"/>
      <c r="I696" s="5" t="n"/>
      <c r="J696" s="5" t="n"/>
      <c r="K696" s="10" t="inlineStr">
        <is>
          <t>Not on master list (time records)</t>
        </is>
      </c>
      <c r="L696" s="5" t="n"/>
      <c r="M696" s="5" t="n"/>
      <c r="N696" s="10" t="n"/>
      <c r="O696" s="10" t="n"/>
      <c r="P696" s="10" t="n"/>
      <c r="Q696" s="10" t="n"/>
      <c r="R696" s="10" t="n"/>
    </row>
    <row r="697">
      <c r="A697" s="10" t="inlineStr">
        <is>
          <t>Royal Jelly Powder</t>
        </is>
      </c>
      <c r="B697" s="10" t="n"/>
      <c r="C697" s="10" t="n"/>
      <c r="D697" s="5" t="n"/>
      <c r="E697" s="5" t="n"/>
      <c r="F697" s="10" t="n"/>
      <c r="G697" s="5" t="n"/>
      <c r="H697" s="5" t="n"/>
      <c r="I697" s="5" t="n"/>
      <c r="J697" s="5" t="n"/>
      <c r="K697" s="10" t="inlineStr">
        <is>
          <t>Not on master list (purchase list)</t>
        </is>
      </c>
      <c r="L697" s="5" t="n"/>
      <c r="M697" s="5" t="n"/>
      <c r="N697" s="10" t="n"/>
      <c r="O697" s="10" t="n"/>
      <c r="P697" s="10" t="n"/>
      <c r="Q697" s="10" t="n"/>
      <c r="R697" s="10" t="n"/>
    </row>
    <row r="698">
      <c r="A698" s="10" t="inlineStr">
        <is>
          <t>Rutin</t>
        </is>
      </c>
      <c r="B698" s="10" t="n"/>
      <c r="C698" s="10" t="n"/>
      <c r="D698" s="5" t="n"/>
      <c r="E698" s="5" t="n"/>
      <c r="F698" s="10" t="n"/>
      <c r="G698" s="5" t="n"/>
      <c r="H698" s="5" t="n"/>
      <c r="I698" s="5" t="n"/>
      <c r="J698" s="5" t="n"/>
      <c r="K698" s="10" t="inlineStr">
        <is>
          <t>Not on master list (time records)</t>
        </is>
      </c>
      <c r="L698" s="5" t="n"/>
      <c r="M698" s="5" t="n"/>
      <c r="N698" s="10" t="n"/>
      <c r="O698" s="10" t="n"/>
      <c r="P698" s="10" t="n"/>
      <c r="Q698" s="10" t="n"/>
      <c r="R698" s="10" t="n"/>
    </row>
    <row r="699">
      <c r="A699" s="10" t="inlineStr">
        <is>
          <t>Saccharomces Cerevisiae</t>
        </is>
      </c>
      <c r="B699" s="10" t="n"/>
      <c r="C699" s="10" t="n"/>
      <c r="D699" s="5" t="n"/>
      <c r="E699" s="5" t="n"/>
      <c r="F699" s="10" t="n"/>
      <c r="G699" s="5" t="n"/>
      <c r="H699" s="5" t="n"/>
      <c r="I699" s="5" t="n"/>
      <c r="J699" s="5" t="n"/>
      <c r="K699" s="10" t="inlineStr">
        <is>
          <t>Not on master list (time records)</t>
        </is>
      </c>
      <c r="L699" s="5" t="n"/>
      <c r="M699" s="5" t="n"/>
      <c r="N699" s="10" t="n"/>
      <c r="O699" s="10" t="n"/>
      <c r="P699" s="10" t="n"/>
      <c r="Q699" s="10" t="n"/>
      <c r="R699" s="10" t="n"/>
    </row>
    <row r="700">
      <c r="A700" s="10" t="inlineStr">
        <is>
          <t>SACHELAC®80</t>
        </is>
      </c>
      <c r="B700" s="10" t="n"/>
      <c r="C700" s="10" t="n"/>
      <c r="D700" s="5" t="n"/>
      <c r="E700" s="5" t="n"/>
      <c r="F700" s="10" t="n"/>
      <c r="G700" s="5" t="n"/>
      <c r="H700" s="5" t="n"/>
      <c r="I700" s="5" t="n"/>
      <c r="J700" s="5" t="n"/>
      <c r="K700" s="10" t="inlineStr">
        <is>
          <t>Not on master list (purchase list)</t>
        </is>
      </c>
      <c r="L700" s="5" t="n"/>
      <c r="M700" s="5" t="n"/>
      <c r="N700" s="10" t="n"/>
      <c r="O700" s="10" t="n"/>
      <c r="P700" s="10" t="n"/>
      <c r="Q700" s="10" t="n"/>
      <c r="R700" s="10" t="n"/>
    </row>
    <row r="701">
      <c r="A701" s="10" t="inlineStr">
        <is>
          <t>Sacubitril-Valsartan 3Na Complex</t>
        </is>
      </c>
      <c r="B701" s="10" t="n"/>
      <c r="C701" s="10" t="n"/>
      <c r="D701" s="5" t="n"/>
      <c r="E701" s="5" t="n"/>
      <c r="F701" s="10" t="n"/>
      <c r="G701" s="5" t="n"/>
      <c r="H701" s="5" t="n"/>
      <c r="I701" s="5" t="n"/>
      <c r="J701" s="5" t="n"/>
      <c r="K701" s="10" t="inlineStr">
        <is>
          <t>Not on master list (purchase list)</t>
        </is>
      </c>
      <c r="L701" s="5" t="n"/>
      <c r="M701" s="5" t="n"/>
      <c r="N701" s="10" t="n"/>
      <c r="O701" s="10" t="n"/>
      <c r="P701" s="10" t="n"/>
      <c r="Q701" s="10" t="n"/>
      <c r="R701" s="10" t="n"/>
    </row>
    <row r="702">
      <c r="A702" s="10" t="inlineStr">
        <is>
          <t>Safinamide Mesylate</t>
        </is>
      </c>
      <c r="B702" s="10" t="n"/>
      <c r="C702" s="10" t="n"/>
      <c r="D702" s="5" t="n"/>
      <c r="E702" s="5" t="n"/>
      <c r="F702" s="10" t="n"/>
      <c r="G702" s="5" t="n"/>
      <c r="H702" s="5" t="n"/>
      <c r="I702" s="5" t="n"/>
      <c r="J702" s="5" t="n"/>
      <c r="K702" s="10" t="inlineStr">
        <is>
          <t>Not on master list (time records)</t>
        </is>
      </c>
      <c r="L702" s="5" t="n"/>
      <c r="M702" s="5" t="n"/>
      <c r="N702" s="10" t="n"/>
      <c r="O702" s="10" t="n"/>
      <c r="P702" s="10" t="n"/>
      <c r="Q702" s="10" t="n"/>
      <c r="R702" s="10" t="n"/>
    </row>
    <row r="703">
      <c r="A703" s="10" t="inlineStr">
        <is>
          <t>Salcaprozate Sodium</t>
        </is>
      </c>
      <c r="B703" s="10" t="n"/>
      <c r="C703" s="10" t="n"/>
      <c r="D703" s="5" t="n"/>
      <c r="E703" s="5" t="n"/>
      <c r="F703" s="10" t="n"/>
      <c r="G703" s="5" t="n"/>
      <c r="H703" s="5" t="n"/>
      <c r="I703" s="5" t="n"/>
      <c r="J703" s="5" t="n"/>
      <c r="K703" s="10" t="inlineStr">
        <is>
          <t>Not on master list (time records)</t>
        </is>
      </c>
      <c r="L703" s="5" t="n"/>
      <c r="M703" s="5" t="n"/>
      <c r="N703" s="10" t="n"/>
      <c r="O703" s="10" t="n"/>
      <c r="P703" s="10" t="n"/>
      <c r="Q703" s="10" t="n"/>
      <c r="R703" s="10" t="n"/>
    </row>
    <row r="704">
      <c r="A704" s="10" t="inlineStr">
        <is>
          <t>Salvia Miltiorrhiza Dried Root</t>
        </is>
      </c>
      <c r="B704" s="10" t="n"/>
      <c r="C704" s="10" t="n"/>
      <c r="D704" s="5" t="n"/>
      <c r="E704" s="5" t="n"/>
      <c r="F704" s="10" t="n"/>
      <c r="G704" s="5" t="n"/>
      <c r="H704" s="5" t="n"/>
      <c r="I704" s="5" t="n"/>
      <c r="J704" s="5" t="n"/>
      <c r="K704" s="10" t="inlineStr">
        <is>
          <t>Not on master list (time records)</t>
        </is>
      </c>
      <c r="L704" s="5" t="n"/>
      <c r="M704" s="5" t="n"/>
      <c r="N704" s="10" t="n"/>
      <c r="O704" s="10" t="n"/>
      <c r="P704" s="10" t="n"/>
      <c r="Q704" s="10" t="n"/>
      <c r="R704" s="10" t="n"/>
    </row>
    <row r="705">
      <c r="A705" s="10" t="inlineStr">
        <is>
          <t>Saproptrin Dihydrochloride</t>
        </is>
      </c>
      <c r="B705" s="10" t="n"/>
      <c r="C705" s="10" t="n"/>
      <c r="D705" s="5" t="n"/>
      <c r="E705" s="5" t="n"/>
      <c r="F705" s="10" t="n"/>
      <c r="G705" s="5" t="n"/>
      <c r="H705" s="5" t="n"/>
      <c r="I705" s="5" t="n"/>
      <c r="J705" s="5" t="n"/>
      <c r="K705" s="10" t="inlineStr">
        <is>
          <t>Not on master list (time records)</t>
        </is>
      </c>
      <c r="L705" s="5" t="n"/>
      <c r="M705" s="5" t="n"/>
      <c r="N705" s="10" t="n"/>
      <c r="O705" s="10" t="n"/>
      <c r="P705" s="10" t="n"/>
      <c r="Q705" s="10" t="n"/>
      <c r="R705" s="10" t="n"/>
    </row>
    <row r="706">
      <c r="A706" s="10" t="inlineStr">
        <is>
          <t>Sarsaparilla Ext.</t>
        </is>
      </c>
      <c r="B706" s="10" t="n"/>
      <c r="C706" s="10" t="n"/>
      <c r="D706" s="5" t="n"/>
      <c r="E706" s="5" t="n"/>
      <c r="F706" s="10" t="n"/>
      <c r="G706" s="5" t="n"/>
      <c r="H706" s="5" t="n"/>
      <c r="I706" s="5" t="n"/>
      <c r="J706" s="5" t="n"/>
      <c r="K706" s="10" t="inlineStr">
        <is>
          <t>Not on master list (time records)</t>
        </is>
      </c>
      <c r="L706" s="5" t="n"/>
      <c r="M706" s="5" t="n"/>
      <c r="N706" s="10" t="n"/>
      <c r="O706" s="10" t="n"/>
      <c r="P706" s="10" t="n"/>
      <c r="Q706" s="10" t="n"/>
      <c r="R706" s="10" t="n"/>
    </row>
    <row r="707">
      <c r="A707" s="10" t="inlineStr">
        <is>
          <t>Saw Palmetto</t>
        </is>
      </c>
      <c r="B707" s="10" t="n"/>
      <c r="C707" s="10" t="n"/>
      <c r="D707" s="5" t="n"/>
      <c r="E707" s="5" t="n"/>
      <c r="F707" s="10" t="n"/>
      <c r="G707" s="5" t="n"/>
      <c r="H707" s="5" t="n"/>
      <c r="I707" s="5" t="n"/>
      <c r="J707" s="5" t="n"/>
      <c r="K707" s="10" t="inlineStr">
        <is>
          <t>Not on master list (purchase list)</t>
        </is>
      </c>
      <c r="L707" s="5" t="n"/>
      <c r="M707" s="5" t="n"/>
      <c r="N707" s="10" t="n"/>
      <c r="O707" s="10" t="n"/>
      <c r="P707" s="10" t="n"/>
      <c r="Q707" s="10" t="n"/>
      <c r="R707" s="10" t="n"/>
    </row>
    <row r="708">
      <c r="A708" s="10" t="inlineStr">
        <is>
          <t>Selenium Glycinate</t>
        </is>
      </c>
      <c r="B708" s="10" t="n"/>
      <c r="C708" s="10" t="n"/>
      <c r="D708" s="5" t="n"/>
      <c r="E708" s="5" t="n"/>
      <c r="F708" s="10" t="n"/>
      <c r="G708" s="5" t="n"/>
      <c r="H708" s="5" t="n"/>
      <c r="I708" s="5" t="n"/>
      <c r="J708" s="5" t="n"/>
      <c r="K708" s="10" t="inlineStr">
        <is>
          <t>Not on master list (time records)</t>
        </is>
      </c>
      <c r="L708" s="5" t="n"/>
      <c r="M708" s="5" t="n"/>
      <c r="N708" s="10" t="n"/>
      <c r="O708" s="10" t="n"/>
      <c r="P708" s="10" t="n"/>
      <c r="Q708" s="10" t="n"/>
      <c r="R708" s="10" t="n"/>
    </row>
    <row r="709">
      <c r="A709" s="10" t="inlineStr">
        <is>
          <t>Selenomethionin</t>
        </is>
      </c>
      <c r="B709" s="10" t="n"/>
      <c r="C709" s="10" t="n"/>
      <c r="D709" s="5" t="n"/>
      <c r="E709" s="5" t="n"/>
      <c r="F709" s="10" t="n"/>
      <c r="G709" s="5" t="n"/>
      <c r="H709" s="5" t="n"/>
      <c r="I709" s="5" t="n"/>
      <c r="J709" s="5" t="n"/>
      <c r="K709" s="10" t="inlineStr">
        <is>
          <t>Not on master list (time records)</t>
        </is>
      </c>
      <c r="L709" s="5" t="n"/>
      <c r="M709" s="5" t="n"/>
      <c r="N709" s="10" t="n"/>
      <c r="O709" s="10" t="n"/>
      <c r="P709" s="10" t="n"/>
      <c r="Q709" s="10" t="n"/>
      <c r="R709" s="10" t="n"/>
    </row>
    <row r="710">
      <c r="A710" s="10" t="inlineStr">
        <is>
          <t>Semaglutide</t>
        </is>
      </c>
      <c r="B710" s="10" t="n"/>
      <c r="C710" s="10" t="n"/>
      <c r="D710" s="5" t="n"/>
      <c r="E710" s="5" t="n"/>
      <c r="F710" s="10" t="n"/>
      <c r="G710" s="5" t="n"/>
      <c r="H710" s="5" t="n"/>
      <c r="I710" s="5" t="n"/>
      <c r="J710" s="5" t="n"/>
      <c r="K710" s="10" t="inlineStr">
        <is>
          <t>Not on master list (time records)</t>
        </is>
      </c>
      <c r="L710" s="5" t="n"/>
      <c r="M710" s="5" t="n"/>
      <c r="N710" s="10" t="n"/>
      <c r="O710" s="10" t="n"/>
      <c r="P710" s="10" t="n"/>
      <c r="Q710" s="10" t="n"/>
      <c r="R710" s="10" t="n"/>
    </row>
    <row r="711">
      <c r="A711" s="10" t="inlineStr">
        <is>
          <t>Senna Ext.</t>
        </is>
      </c>
      <c r="B711" s="10" t="n"/>
      <c r="C711" s="10" t="n"/>
      <c r="D711" s="5" t="n"/>
      <c r="E711" s="5" t="n"/>
      <c r="F711" s="10" t="n"/>
      <c r="G711" s="5" t="n"/>
      <c r="H711" s="5" t="n"/>
      <c r="I711" s="5" t="n"/>
      <c r="J711" s="5" t="n"/>
      <c r="K711" s="10" t="inlineStr">
        <is>
          <t>Not on master list (time records)</t>
        </is>
      </c>
      <c r="L711" s="5" t="n"/>
      <c r="M711" s="5" t="n"/>
      <c r="N711" s="10" t="n"/>
      <c r="O711" s="10" t="n"/>
      <c r="P711" s="10" t="n"/>
      <c r="Q711" s="10" t="n"/>
      <c r="R711" s="10" t="n"/>
    </row>
    <row r="712">
      <c r="A712" s="10" t="inlineStr">
        <is>
          <t>Serine</t>
        </is>
      </c>
      <c r="B712" s="10" t="n"/>
      <c r="C712" s="10" t="n"/>
      <c r="D712" s="5" t="n"/>
      <c r="E712" s="5" t="n"/>
      <c r="F712" s="10" t="n"/>
      <c r="G712" s="5" t="n"/>
      <c r="H712" s="5" t="n"/>
      <c r="I712" s="5" t="n"/>
      <c r="J712" s="5" t="n"/>
      <c r="K712" s="10" t="inlineStr">
        <is>
          <t>Not on master list (time records)</t>
        </is>
      </c>
      <c r="L712" s="5" t="n"/>
      <c r="M712" s="5" t="n"/>
      <c r="N712" s="10" t="n"/>
      <c r="O712" s="10" t="n"/>
      <c r="P712" s="10" t="n"/>
      <c r="Q712" s="10" t="n"/>
      <c r="R712" s="10" t="n"/>
    </row>
    <row r="713">
      <c r="A713" s="10" t="inlineStr">
        <is>
          <t>Shiitake Ext.</t>
        </is>
      </c>
      <c r="B713" s="10" t="n"/>
      <c r="C713" s="10" t="n"/>
      <c r="D713" s="5" t="n"/>
      <c r="E713" s="5" t="n"/>
      <c r="F713" s="10" t="n"/>
      <c r="G713" s="5" t="n"/>
      <c r="H713" s="5" t="n"/>
      <c r="I713" s="5" t="n"/>
      <c r="J713" s="5" t="n"/>
      <c r="K713" s="10" t="inlineStr">
        <is>
          <t>Not on master list (time records)</t>
        </is>
      </c>
      <c r="L713" s="5" t="n"/>
      <c r="M713" s="5" t="n"/>
      <c r="N713" s="10" t="n"/>
      <c r="O713" s="10" t="n"/>
      <c r="P713" s="10" t="n"/>
      <c r="Q713" s="10" t="n"/>
      <c r="R713" s="10" t="n"/>
    </row>
    <row r="714">
      <c r="A714" s="10" t="inlineStr">
        <is>
          <t>Siberian Ginseng</t>
        </is>
      </c>
      <c r="B714" s="10" t="n"/>
      <c r="C714" s="10" t="n"/>
      <c r="D714" s="5" t="n"/>
      <c r="E714" s="5" t="n"/>
      <c r="F714" s="10" t="n"/>
      <c r="G714" s="5" t="n"/>
      <c r="H714" s="5" t="n"/>
      <c r="I714" s="5" t="n"/>
      <c r="J714" s="5" t="n"/>
      <c r="K714" s="10" t="inlineStr">
        <is>
          <t>Not on master list (purchase list)</t>
        </is>
      </c>
      <c r="L714" s="5" t="n"/>
      <c r="M714" s="5" t="n"/>
      <c r="N714" s="10" t="n"/>
      <c r="O714" s="10" t="n"/>
      <c r="P714" s="10" t="n"/>
      <c r="Q714" s="10" t="n"/>
      <c r="R714" s="10" t="n"/>
    </row>
    <row r="715">
      <c r="A715" s="10" t="inlineStr">
        <is>
          <t>Silica gel</t>
        </is>
      </c>
      <c r="B715" s="10" t="n"/>
      <c r="C715" s="10" t="n"/>
      <c r="D715" s="5" t="n"/>
      <c r="E715" s="5" t="n"/>
      <c r="F715" s="10" t="n"/>
      <c r="G715" s="5" t="n"/>
      <c r="H715" s="5" t="n"/>
      <c r="I715" s="5" t="n"/>
      <c r="J715" s="5" t="n"/>
      <c r="K715" s="10" t="inlineStr">
        <is>
          <t>Not on master list (purchase list)</t>
        </is>
      </c>
      <c r="L715" s="5" t="n"/>
      <c r="M715" s="5" t="n"/>
      <c r="N715" s="10" t="n"/>
      <c r="O715" s="10" t="n"/>
      <c r="P715" s="10" t="n"/>
      <c r="Q715" s="10" t="n"/>
      <c r="R715" s="10" t="n"/>
    </row>
    <row r="716">
      <c r="A716" s="10" t="inlineStr">
        <is>
          <t>Silicone Oil</t>
        </is>
      </c>
      <c r="B716" s="10" t="n"/>
      <c r="C716" s="10" t="n"/>
      <c r="D716" s="5" t="n"/>
      <c r="E716" s="5" t="n"/>
      <c r="F716" s="10" t="n"/>
      <c r="G716" s="5" t="n"/>
      <c r="H716" s="5" t="n"/>
      <c r="I716" s="5" t="n"/>
      <c r="J716" s="5" t="n"/>
      <c r="K716" s="10" t="inlineStr">
        <is>
          <t>Not on master list (time records)</t>
        </is>
      </c>
      <c r="L716" s="5" t="n"/>
      <c r="M716" s="5" t="n"/>
      <c r="N716" s="10" t="n"/>
      <c r="O716" s="10" t="n"/>
      <c r="P716" s="10" t="n"/>
      <c r="Q716" s="10" t="n"/>
      <c r="R716" s="10" t="n"/>
    </row>
    <row r="717">
      <c r="A717" s="10" t="inlineStr">
        <is>
          <t>Silybum Marianum(Milk Thistle)</t>
        </is>
      </c>
      <c r="B717" s="10" t="n"/>
      <c r="C717" s="10" t="n"/>
      <c r="D717" s="5" t="n"/>
      <c r="E717" s="5" t="n"/>
      <c r="F717" s="10" t="n"/>
      <c r="G717" s="5" t="n"/>
      <c r="H717" s="5" t="n"/>
      <c r="I717" s="5" t="n"/>
      <c r="J717" s="5" t="n"/>
      <c r="K717" s="10" t="inlineStr">
        <is>
          <t>Not on master list (purchase list)</t>
        </is>
      </c>
      <c r="L717" s="5" t="n"/>
      <c r="M717" s="5" t="n"/>
      <c r="N717" s="10" t="n"/>
      <c r="O717" s="10" t="n"/>
      <c r="P717" s="10" t="n"/>
      <c r="Q717" s="10" t="n"/>
      <c r="R717" s="10" t="n"/>
    </row>
    <row r="718">
      <c r="A718" s="10" t="inlineStr">
        <is>
          <t>Silymarin</t>
        </is>
      </c>
      <c r="B718" s="10" t="n"/>
      <c r="C718" s="10" t="n"/>
      <c r="D718" s="5" t="n"/>
      <c r="E718" s="5" t="n"/>
      <c r="F718" s="10" t="n"/>
      <c r="G718" s="5" t="n"/>
      <c r="H718" s="5" t="n"/>
      <c r="I718" s="5" t="n"/>
      <c r="J718" s="5" t="n"/>
      <c r="K718" s="10" t="inlineStr">
        <is>
          <t>Not on master list (purchase list)</t>
        </is>
      </c>
      <c r="L718" s="5" t="n"/>
      <c r="M718" s="5" t="n"/>
      <c r="N718" s="10" t="n"/>
      <c r="O718" s="10" t="n"/>
      <c r="P718" s="10" t="n"/>
      <c r="Q718" s="10" t="n"/>
      <c r="R718" s="10" t="n"/>
    </row>
    <row r="719">
      <c r="A719" s="10" t="inlineStr">
        <is>
          <t>Silymarin Extract</t>
        </is>
      </c>
      <c r="B719" s="10" t="n"/>
      <c r="C719" s="10" t="n"/>
      <c r="D719" s="5" t="n"/>
      <c r="E719" s="5" t="n"/>
      <c r="F719" s="10" t="n"/>
      <c r="G719" s="5" t="n"/>
      <c r="H719" s="5" t="n"/>
      <c r="I719" s="5" t="n"/>
      <c r="J719" s="5" t="n"/>
      <c r="K719" s="10" t="inlineStr">
        <is>
          <t>Not on master list (purchase list)</t>
        </is>
      </c>
      <c r="L719" s="5" t="n"/>
      <c r="M719" s="5" t="n"/>
      <c r="N719" s="10" t="n"/>
      <c r="O719" s="10" t="n"/>
      <c r="P719" s="10" t="n"/>
      <c r="Q719" s="10" t="n"/>
      <c r="R719" s="10" t="n"/>
    </row>
    <row r="720">
      <c r="A720" s="10" t="inlineStr">
        <is>
          <t>Simethicon Emulsion</t>
        </is>
      </c>
      <c r="B720" s="10" t="n"/>
      <c r="C720" s="10" t="n"/>
      <c r="D720" s="5" t="n"/>
      <c r="E720" s="5" t="n"/>
      <c r="F720" s="10" t="n"/>
      <c r="G720" s="5" t="n"/>
      <c r="H720" s="5" t="n"/>
      <c r="I720" s="5" t="n"/>
      <c r="J720" s="5" t="n"/>
      <c r="K720" s="10" t="inlineStr">
        <is>
          <t>Not on master list (time records)</t>
        </is>
      </c>
      <c r="L720" s="5" t="n"/>
      <c r="M720" s="5" t="n"/>
      <c r="N720" s="10" t="n"/>
      <c r="O720" s="10" t="n"/>
      <c r="P720" s="10" t="n"/>
      <c r="Q720" s="10" t="n"/>
      <c r="R720" s="10" t="n"/>
    </row>
    <row r="721">
      <c r="A721" s="10" t="inlineStr">
        <is>
          <t>Sitagliptin Phosphate Monohydrate</t>
        </is>
      </c>
      <c r="B721" s="10" t="n"/>
      <c r="C721" s="10" t="n"/>
      <c r="D721" s="5" t="n"/>
      <c r="E721" s="5" t="n"/>
      <c r="F721" s="10" t="n"/>
      <c r="G721" s="5" t="n"/>
      <c r="H721" s="5" t="n"/>
      <c r="I721" s="5" t="n"/>
      <c r="J721" s="5" t="n"/>
      <c r="K721" s="10" t="inlineStr">
        <is>
          <t>Not on master list (purchase list + time records)</t>
        </is>
      </c>
      <c r="L721" s="5" t="n"/>
      <c r="M721" s="5" t="n"/>
      <c r="N721" s="10" t="n"/>
      <c r="O721" s="10" t="n"/>
      <c r="P721" s="10" t="n">
        <v>14.85</v>
      </c>
      <c r="Q721" s="10" t="n"/>
      <c r="R721" s="10" t="n"/>
    </row>
    <row r="722">
      <c r="A722" s="10" t="inlineStr">
        <is>
          <t>Sodium algenate</t>
        </is>
      </c>
      <c r="B722" s="10" t="n"/>
      <c r="C722" s="10" t="n"/>
      <c r="D722" s="5" t="n"/>
      <c r="E722" s="5" t="n"/>
      <c r="F722" s="10" t="n"/>
      <c r="G722" s="5" t="n"/>
      <c r="H722" s="5" t="n"/>
      <c r="I722" s="5" t="n"/>
      <c r="J722" s="5" t="n"/>
      <c r="K722" s="10" t="inlineStr">
        <is>
          <t>Not on master list (purchase list)</t>
        </is>
      </c>
      <c r="L722" s="5" t="n"/>
      <c r="M722" s="5" t="n"/>
      <c r="N722" s="10" t="n"/>
      <c r="O722" s="10" t="n"/>
      <c r="P722" s="10" t="n"/>
      <c r="Q722" s="10" t="n"/>
      <c r="R722" s="10" t="n"/>
    </row>
    <row r="723">
      <c r="A723" s="10" t="inlineStr">
        <is>
          <t>Sodium Alginate</t>
        </is>
      </c>
      <c r="B723" s="10" t="n"/>
      <c r="C723" s="10" t="n"/>
      <c r="D723" s="5" t="n"/>
      <c r="E723" s="5" t="n"/>
      <c r="F723" s="10" t="n"/>
      <c r="G723" s="5" t="n"/>
      <c r="H723" s="5" t="n"/>
      <c r="I723" s="5" t="n"/>
      <c r="J723" s="5" t="n"/>
      <c r="K723" s="10" t="inlineStr">
        <is>
          <t>Not on master list (time records)</t>
        </is>
      </c>
      <c r="L723" s="5" t="n"/>
      <c r="M723" s="5" t="n"/>
      <c r="N723" s="10" t="n"/>
      <c r="O723" s="10" t="n"/>
      <c r="P723" s="10" t="n"/>
      <c r="Q723" s="10" t="n"/>
      <c r="R723" s="10" t="n"/>
    </row>
    <row r="724">
      <c r="A724" s="10" t="inlineStr">
        <is>
          <t>Sodium Ascorbate</t>
        </is>
      </c>
      <c r="B724" s="10" t="n"/>
      <c r="C724" s="10" t="n"/>
      <c r="D724" s="5" t="n"/>
      <c r="E724" s="5" t="n"/>
      <c r="F724" s="10" t="n"/>
      <c r="G724" s="5" t="n"/>
      <c r="H724" s="5" t="n"/>
      <c r="I724" s="5" t="n"/>
      <c r="J724" s="5" t="n"/>
      <c r="K724" s="10" t="inlineStr">
        <is>
          <t>Not on master list (time records)</t>
        </is>
      </c>
      <c r="L724" s="5" t="n"/>
      <c r="M724" s="5" t="n"/>
      <c r="N724" s="10" t="n"/>
      <c r="O724" s="10" t="n"/>
      <c r="P724" s="10" t="n"/>
      <c r="Q724" s="10" t="n"/>
      <c r="R724" s="10" t="n"/>
    </row>
    <row r="725">
      <c r="A725" s="10" t="inlineStr">
        <is>
          <t>Sodium Bitartarat</t>
        </is>
      </c>
      <c r="B725" s="10" t="n"/>
      <c r="C725" s="10" t="n"/>
      <c r="D725" s="5" t="n"/>
      <c r="E725" s="5" t="n"/>
      <c r="F725" s="10" t="n"/>
      <c r="G725" s="5" t="n"/>
      <c r="H725" s="5" t="n"/>
      <c r="I725" s="5" t="n"/>
      <c r="J725" s="5" t="n"/>
      <c r="K725" s="10" t="inlineStr">
        <is>
          <t>Not on master list (time records)</t>
        </is>
      </c>
      <c r="L725" s="5" t="n"/>
      <c r="M725" s="5" t="n"/>
      <c r="N725" s="10" t="n"/>
      <c r="O725" s="10" t="n"/>
      <c r="P725" s="10" t="n"/>
      <c r="Q725" s="10" t="n"/>
      <c r="R725" s="10" t="n"/>
    </row>
    <row r="726">
      <c r="A726" s="10" t="inlineStr">
        <is>
          <t>Sodium Borate Decahydrate</t>
        </is>
      </c>
      <c r="B726" s="10" t="n"/>
      <c r="C726" s="10" t="n"/>
      <c r="D726" s="5" t="n"/>
      <c r="E726" s="5" t="n"/>
      <c r="F726" s="10" t="n"/>
      <c r="G726" s="5" t="n"/>
      <c r="H726" s="5" t="n"/>
      <c r="I726" s="5" t="n"/>
      <c r="J726" s="5" t="n"/>
      <c r="K726" s="10" t="inlineStr">
        <is>
          <t>Not on master list (purchase list)</t>
        </is>
      </c>
      <c r="L726" s="5" t="n"/>
      <c r="M726" s="5" t="n"/>
      <c r="N726" s="10" t="n"/>
      <c r="O726" s="10" t="n"/>
      <c r="P726" s="10" t="n"/>
      <c r="Q726" s="10" t="n"/>
      <c r="R726" s="10" t="n"/>
    </row>
    <row r="727">
      <c r="A727" s="10" t="inlineStr">
        <is>
          <t>Sodium Carbonate</t>
        </is>
      </c>
      <c r="B727" s="10" t="n"/>
      <c r="C727" s="10" t="n"/>
      <c r="D727" s="5" t="n"/>
      <c r="E727" s="5" t="n"/>
      <c r="F727" s="10" t="n"/>
      <c r="G727" s="5" t="n"/>
      <c r="H727" s="5" t="n"/>
      <c r="I727" s="5" t="n"/>
      <c r="J727" s="5" t="n"/>
      <c r="K727" s="10" t="inlineStr">
        <is>
          <t>Not on master list (time records)</t>
        </is>
      </c>
      <c r="L727" s="5" t="n"/>
      <c r="M727" s="5" t="n"/>
      <c r="N727" s="10" t="n"/>
      <c r="O727" s="10" t="n"/>
      <c r="P727" s="10" t="n">
        <v>2.27</v>
      </c>
      <c r="Q727" s="10" t="n"/>
      <c r="R727" s="10" t="n"/>
    </row>
    <row r="728">
      <c r="A728" s="10" t="inlineStr">
        <is>
          <t>Sodium Carbonate Anhydrous</t>
        </is>
      </c>
      <c r="B728" s="10" t="n"/>
      <c r="C728" s="10" t="n"/>
      <c r="D728" s="5" t="n"/>
      <c r="E728" s="5" t="n"/>
      <c r="F728" s="10" t="n"/>
      <c r="G728" s="5" t="n"/>
      <c r="H728" s="5" t="n"/>
      <c r="I728" s="5" t="n"/>
      <c r="J728" s="5" t="n"/>
      <c r="K728" s="10" t="inlineStr">
        <is>
          <t>Not on master list (purchase list)</t>
        </is>
      </c>
      <c r="L728" s="5" t="n"/>
      <c r="M728" s="5" t="n"/>
      <c r="N728" s="10" t="n"/>
      <c r="O728" s="10" t="n"/>
      <c r="P728" s="10" t="n"/>
      <c r="Q728" s="10" t="n"/>
      <c r="R728" s="10" t="n"/>
    </row>
    <row r="729">
      <c r="A729" s="10" t="inlineStr">
        <is>
          <t>Sodium Croscarmellose</t>
        </is>
      </c>
      <c r="B729" s="10" t="n"/>
      <c r="C729" s="10" t="n"/>
      <c r="D729" s="5" t="n"/>
      <c r="E729" s="5" t="n"/>
      <c r="F729" s="10" t="n"/>
      <c r="G729" s="5" t="n"/>
      <c r="H729" s="5" t="n"/>
      <c r="I729" s="5" t="n"/>
      <c r="J729" s="5" t="n"/>
      <c r="K729" s="10" t="inlineStr">
        <is>
          <t>Not on master list (purchase list)</t>
        </is>
      </c>
      <c r="L729" s="5" t="n"/>
      <c r="M729" s="5" t="n"/>
      <c r="N729" s="10" t="n"/>
      <c r="O729" s="10" t="n"/>
      <c r="P729" s="10" t="n"/>
      <c r="Q729" s="10" t="n"/>
      <c r="R729" s="10" t="n"/>
    </row>
    <row r="730">
      <c r="A730" s="10" t="inlineStr">
        <is>
          <t>Sodium dodecyl Sulfate Ph Eur</t>
        </is>
      </c>
      <c r="B730" s="10" t="n"/>
      <c r="C730" s="10" t="n"/>
      <c r="D730" s="5" t="n"/>
      <c r="E730" s="5" t="n"/>
      <c r="F730" s="10" t="n"/>
      <c r="G730" s="5" t="n"/>
      <c r="H730" s="5" t="n"/>
      <c r="I730" s="5" t="n"/>
      <c r="J730" s="5" t="n"/>
      <c r="K730" s="10" t="inlineStr">
        <is>
          <t>Not on master list (purchase list)</t>
        </is>
      </c>
      <c r="L730" s="5" t="n"/>
      <c r="M730" s="5" t="n"/>
      <c r="N730" s="10" t="n"/>
      <c r="O730" s="10" t="n"/>
      <c r="P730" s="10" t="n"/>
      <c r="Q730" s="10" t="n"/>
      <c r="R730" s="10" t="n"/>
    </row>
    <row r="731">
      <c r="A731" s="10" t="inlineStr">
        <is>
          <t>Sodium Hydroxide granulated</t>
        </is>
      </c>
      <c r="B731" s="10" t="n"/>
      <c r="C731" s="10" t="n"/>
      <c r="D731" s="5" t="n"/>
      <c r="E731" s="5" t="n"/>
      <c r="F731" s="10" t="n"/>
      <c r="G731" s="5" t="n"/>
      <c r="H731" s="5" t="n"/>
      <c r="I731" s="5" t="n"/>
      <c r="J731" s="5" t="n"/>
      <c r="K731" s="10" t="inlineStr">
        <is>
          <t>Not on master list (purchase list)</t>
        </is>
      </c>
      <c r="L731" s="5" t="n"/>
      <c r="M731" s="5" t="n"/>
      <c r="N731" s="10" t="n"/>
      <c r="O731" s="10" t="n"/>
      <c r="P731" s="10" t="n"/>
      <c r="Q731" s="10" t="n"/>
      <c r="R731" s="10" t="n"/>
    </row>
    <row r="732">
      <c r="A732" s="10" t="inlineStr">
        <is>
          <t>Sodium Louryl Sulfate (SLS) Fine</t>
        </is>
      </c>
      <c r="B732" s="10" t="n"/>
      <c r="C732" s="10" t="n"/>
      <c r="D732" s="5" t="n"/>
      <c r="E732" s="5" t="n"/>
      <c r="F732" s="10" t="n"/>
      <c r="G732" s="5" t="n"/>
      <c r="H732" s="5" t="n"/>
      <c r="I732" s="5" t="n"/>
      <c r="J732" s="5" t="n"/>
      <c r="K732" s="10" t="inlineStr">
        <is>
          <t>Not on master list (time records)</t>
        </is>
      </c>
      <c r="L732" s="5" t="n"/>
      <c r="M732" s="5" t="n"/>
      <c r="N732" s="10" t="n"/>
      <c r="O732" s="10" t="n"/>
      <c r="P732" s="10" t="n"/>
      <c r="Q732" s="10" t="n"/>
      <c r="R732" s="10" t="n"/>
    </row>
    <row r="733">
      <c r="A733" s="10" t="inlineStr">
        <is>
          <t>Sodium Molybdate</t>
        </is>
      </c>
      <c r="B733" s="10" t="n"/>
      <c r="C733" s="10" t="n"/>
      <c r="D733" s="5" t="n"/>
      <c r="E733" s="5" t="n"/>
      <c r="F733" s="10" t="n"/>
      <c r="G733" s="5" t="n"/>
      <c r="H733" s="5" t="n"/>
      <c r="I733" s="5" t="n"/>
      <c r="J733" s="5" t="n"/>
      <c r="K733" s="10" t="inlineStr">
        <is>
          <t>Not on master list (time records)</t>
        </is>
      </c>
      <c r="L733" s="5" t="n"/>
      <c r="M733" s="5" t="n"/>
      <c r="N733" s="10" t="n"/>
      <c r="O733" s="10" t="n"/>
      <c r="P733" s="10" t="n"/>
      <c r="Q733" s="10" t="n"/>
      <c r="R733" s="10" t="n"/>
    </row>
    <row r="734">
      <c r="A734" s="10" t="inlineStr">
        <is>
          <t>Sodium Nitrite</t>
        </is>
      </c>
      <c r="B734" s="10" t="n"/>
      <c r="C734" s="10" t="n"/>
      <c r="D734" s="5" t="n"/>
      <c r="E734" s="5" t="n"/>
      <c r="F734" s="10" t="n"/>
      <c r="G734" s="5" t="n"/>
      <c r="H734" s="5" t="n"/>
      <c r="I734" s="5" t="n"/>
      <c r="J734" s="5" t="n"/>
      <c r="K734" s="10" t="inlineStr">
        <is>
          <t>Not on master list (time records)</t>
        </is>
      </c>
      <c r="L734" s="5" t="n"/>
      <c r="M734" s="5" t="n"/>
      <c r="N734" s="10" t="n"/>
      <c r="O734" s="10" t="n"/>
      <c r="P734" s="10" t="n"/>
      <c r="Q734" s="10" t="n"/>
      <c r="R734" s="10" t="n"/>
    </row>
    <row r="735">
      <c r="A735" s="10" t="inlineStr">
        <is>
          <t>Sodium Sacharine</t>
        </is>
      </c>
      <c r="B735" s="10" t="n"/>
      <c r="C735" s="10" t="n"/>
      <c r="D735" s="5" t="n"/>
      <c r="E735" s="5" t="n"/>
      <c r="F735" s="10" t="n"/>
      <c r="G735" s="5" t="n"/>
      <c r="H735" s="5" t="n"/>
      <c r="I735" s="5" t="n"/>
      <c r="J735" s="5" t="n"/>
      <c r="K735" s="10" t="inlineStr">
        <is>
          <t>Not on master list (time records)</t>
        </is>
      </c>
      <c r="L735" s="5" t="n"/>
      <c r="M735" s="5" t="n"/>
      <c r="N735" s="10" t="n"/>
      <c r="O735" s="10" t="n"/>
      <c r="P735" s="10" t="n"/>
      <c r="Q735" s="10" t="n"/>
      <c r="R735" s="10" t="n"/>
    </row>
    <row r="736">
      <c r="A736" s="10" t="inlineStr">
        <is>
          <t>Sophora Japonica Ext.</t>
        </is>
      </c>
      <c r="B736" s="10" t="n"/>
      <c r="C736" s="10" t="n"/>
      <c r="D736" s="5" t="n"/>
      <c r="E736" s="5" t="n"/>
      <c r="F736" s="10" t="n"/>
      <c r="G736" s="5" t="n"/>
      <c r="H736" s="5" t="n"/>
      <c r="I736" s="5" t="n"/>
      <c r="J736" s="5" t="n"/>
      <c r="K736" s="10" t="inlineStr">
        <is>
          <t>Not on master list (time records)</t>
        </is>
      </c>
      <c r="L736" s="5" t="n"/>
      <c r="M736" s="5" t="n"/>
      <c r="N736" s="10" t="n"/>
      <c r="O736" s="10" t="n"/>
      <c r="P736" s="10" t="n"/>
      <c r="Q736" s="10" t="n"/>
      <c r="R736" s="10" t="n"/>
    </row>
    <row r="737">
      <c r="A737" s="10" t="inlineStr">
        <is>
          <t>Sorbitol 70%</t>
        </is>
      </c>
      <c r="B737" s="10" t="n"/>
      <c r="C737" s="10" t="n"/>
      <c r="D737" s="5" t="n"/>
      <c r="E737" s="5" t="n"/>
      <c r="F737" s="10" t="n"/>
      <c r="G737" s="5" t="n"/>
      <c r="H737" s="5" t="n"/>
      <c r="I737" s="5" t="n"/>
      <c r="J737" s="5" t="n"/>
      <c r="K737" s="10" t="inlineStr">
        <is>
          <t>Not on master list (time records)</t>
        </is>
      </c>
      <c r="L737" s="5" t="n"/>
      <c r="M737" s="5" t="n"/>
      <c r="N737" s="10" t="n"/>
      <c r="O737" s="10" t="n"/>
      <c r="P737" s="10" t="n"/>
      <c r="Q737" s="10" t="n"/>
      <c r="R737" s="10" t="n"/>
    </row>
    <row r="738">
      <c r="A738" s="10" t="inlineStr">
        <is>
          <t>Sorbitol Liquid</t>
        </is>
      </c>
      <c r="B738" s="10" t="n"/>
      <c r="C738" s="10" t="n"/>
      <c r="D738" s="5" t="n"/>
      <c r="E738" s="5" t="n"/>
      <c r="F738" s="10" t="n"/>
      <c r="G738" s="5" t="n"/>
      <c r="H738" s="5" t="n"/>
      <c r="I738" s="5" t="n"/>
      <c r="J738" s="5" t="n"/>
      <c r="K738" s="10" t="inlineStr">
        <is>
          <t>Not on master list (purchase list)</t>
        </is>
      </c>
      <c r="L738" s="5" t="n"/>
      <c r="M738" s="5" t="n"/>
      <c r="N738" s="10" t="n"/>
      <c r="O738" s="10" t="n"/>
      <c r="P738" s="10" t="n"/>
      <c r="Q738" s="10" t="n"/>
      <c r="R738" s="10" t="n"/>
    </row>
    <row r="739">
      <c r="A739" s="10" t="inlineStr">
        <is>
          <t>Sorbitol Liquid-70%</t>
        </is>
      </c>
      <c r="B739" s="10" t="n"/>
      <c r="C739" s="10" t="n"/>
      <c r="D739" s="5" t="n"/>
      <c r="E739" s="5" t="n"/>
      <c r="F739" s="10" t="n"/>
      <c r="G739" s="5" t="n"/>
      <c r="H739" s="5" t="n"/>
      <c r="I739" s="5" t="n"/>
      <c r="J739" s="5" t="n"/>
      <c r="K739" s="10" t="inlineStr">
        <is>
          <t>Not on master list (purchase list)</t>
        </is>
      </c>
      <c r="L739" s="5" t="n"/>
      <c r="M739" s="5" t="n"/>
      <c r="N739" s="10" t="n"/>
      <c r="O739" s="10" t="n"/>
      <c r="P739" s="10" t="n"/>
      <c r="Q739" s="10" t="n"/>
      <c r="R739" s="10" t="n"/>
    </row>
    <row r="740">
      <c r="A740" s="10" t="inlineStr">
        <is>
          <t>Soy Isoflavones</t>
        </is>
      </c>
      <c r="B740" s="10" t="n"/>
      <c r="C740" s="10" t="n"/>
      <c r="D740" s="5" t="n"/>
      <c r="E740" s="5" t="n"/>
      <c r="F740" s="10" t="n"/>
      <c r="G740" s="5" t="n"/>
      <c r="H740" s="5" t="n"/>
      <c r="I740" s="5" t="n"/>
      <c r="J740" s="5" t="n"/>
      <c r="K740" s="10" t="inlineStr">
        <is>
          <t>Not on master list (time records)</t>
        </is>
      </c>
      <c r="L740" s="5" t="n"/>
      <c r="M740" s="5" t="n"/>
      <c r="N740" s="10" t="n"/>
      <c r="O740" s="10" t="n"/>
      <c r="P740" s="10" t="n"/>
      <c r="Q740" s="10" t="n"/>
      <c r="R740" s="10" t="n"/>
    </row>
    <row r="741">
      <c r="A741" s="10" t="inlineStr">
        <is>
          <t>Soybean Ext.</t>
        </is>
      </c>
      <c r="B741" s="10" t="n"/>
      <c r="C741" s="10" t="n"/>
      <c r="D741" s="5" t="n"/>
      <c r="E741" s="5" t="n"/>
      <c r="F741" s="10" t="n"/>
      <c r="G741" s="5" t="n"/>
      <c r="H741" s="5" t="n"/>
      <c r="I741" s="5" t="n"/>
      <c r="J741" s="5" t="n"/>
      <c r="K741" s="10" t="inlineStr">
        <is>
          <t>Not on master list (time records)</t>
        </is>
      </c>
      <c r="L741" s="5" t="n"/>
      <c r="M741" s="5" t="n"/>
      <c r="N741" s="10" t="n"/>
      <c r="O741" s="10" t="n"/>
      <c r="P741" s="10" t="n"/>
      <c r="Q741" s="10" t="n"/>
      <c r="R741" s="10" t="n"/>
    </row>
    <row r="742">
      <c r="A742" s="10" t="inlineStr">
        <is>
          <t>Soybean Lecithin</t>
        </is>
      </c>
      <c r="B742" s="10" t="n"/>
      <c r="C742" s="10" t="n"/>
      <c r="D742" s="5" t="n"/>
      <c r="E742" s="5" t="n"/>
      <c r="F742" s="10" t="n"/>
      <c r="G742" s="5" t="n"/>
      <c r="H742" s="5" t="n"/>
      <c r="I742" s="5" t="n"/>
      <c r="J742" s="5" t="n"/>
      <c r="K742" s="10" t="inlineStr">
        <is>
          <t>Not on master list (time records)</t>
        </is>
      </c>
      <c r="L742" s="5" t="n"/>
      <c r="M742" s="5" t="n"/>
      <c r="N742" s="10" t="n"/>
      <c r="O742" s="10" t="n"/>
      <c r="P742" s="10" t="n"/>
      <c r="Q742" s="10" t="n"/>
      <c r="R742" s="10" t="n"/>
    </row>
    <row r="743">
      <c r="A743" s="10" t="inlineStr">
        <is>
          <t>Spinach Powder</t>
        </is>
      </c>
      <c r="B743" s="10" t="n"/>
      <c r="C743" s="10" t="n"/>
      <c r="D743" s="5" t="n"/>
      <c r="E743" s="5" t="n"/>
      <c r="F743" s="10" t="n"/>
      <c r="G743" s="5" t="n"/>
      <c r="H743" s="5" t="n"/>
      <c r="I743" s="5" t="n"/>
      <c r="J743" s="5" t="n"/>
      <c r="K743" s="10" t="inlineStr">
        <is>
          <t>Not on master list (time records)</t>
        </is>
      </c>
      <c r="L743" s="5" t="n"/>
      <c r="M743" s="5" t="n"/>
      <c r="N743" s="10" t="n"/>
      <c r="O743" s="10" t="n"/>
      <c r="P743" s="10" t="n"/>
      <c r="Q743" s="10" t="n"/>
      <c r="R743" s="10" t="n"/>
    </row>
    <row r="744">
      <c r="A744" s="10" t="inlineStr">
        <is>
          <t>Spirulina Ext.</t>
        </is>
      </c>
      <c r="B744" s="10" t="n"/>
      <c r="C744" s="10" t="n"/>
      <c r="D744" s="5" t="n"/>
      <c r="E744" s="5" t="n"/>
      <c r="F744" s="10" t="n"/>
      <c r="G744" s="5" t="n"/>
      <c r="H744" s="5" t="n"/>
      <c r="I744" s="5" t="n"/>
      <c r="J744" s="5" t="n"/>
      <c r="K744" s="10" t="inlineStr">
        <is>
          <t>Not on master list (time records)</t>
        </is>
      </c>
      <c r="L744" s="5" t="n"/>
      <c r="M744" s="5" t="n"/>
      <c r="N744" s="10" t="n"/>
      <c r="O744" s="10" t="n"/>
      <c r="P744" s="10" t="n"/>
      <c r="Q744" s="10" t="n"/>
      <c r="R744" s="10" t="n"/>
    </row>
    <row r="745">
      <c r="A745" s="10" t="inlineStr">
        <is>
          <t>Spray Dirid Licorice Extract Powder</t>
        </is>
      </c>
      <c r="B745" s="10" t="n"/>
      <c r="C745" s="10" t="n"/>
      <c r="D745" s="5" t="n"/>
      <c r="E745" s="5" t="n"/>
      <c r="F745" s="10" t="n"/>
      <c r="G745" s="5" t="n"/>
      <c r="H745" s="5" t="n"/>
      <c r="I745" s="5" t="n"/>
      <c r="J745" s="5" t="n"/>
      <c r="K745" s="10" t="inlineStr">
        <is>
          <t>Not on master list (purchase list)</t>
        </is>
      </c>
      <c r="L745" s="5" t="n"/>
      <c r="M745" s="5" t="n"/>
      <c r="N745" s="10" t="n"/>
      <c r="O745" s="10" t="n"/>
      <c r="P745" s="10" t="n"/>
      <c r="Q745" s="10" t="n"/>
      <c r="R745" s="10" t="n"/>
    </row>
    <row r="746">
      <c r="A746" s="10" t="inlineStr">
        <is>
          <t>Star Flower Oil</t>
        </is>
      </c>
      <c r="B746" s="10" t="n"/>
      <c r="C746" s="10" t="n"/>
      <c r="D746" s="5" t="n"/>
      <c r="E746" s="5" t="n"/>
      <c r="F746" s="10" t="n"/>
      <c r="G746" s="5" t="n"/>
      <c r="H746" s="5" t="n"/>
      <c r="I746" s="5" t="n"/>
      <c r="J746" s="5" t="n"/>
      <c r="K746" s="10" t="inlineStr">
        <is>
          <t>Not on master list (time records)</t>
        </is>
      </c>
      <c r="L746" s="5" t="n"/>
      <c r="M746" s="5" t="n"/>
      <c r="N746" s="10" t="n"/>
      <c r="O746" s="10" t="n"/>
      <c r="P746" s="10" t="n"/>
      <c r="Q746" s="10" t="n"/>
      <c r="R746" s="10" t="n"/>
    </row>
    <row r="747">
      <c r="A747" s="10" t="inlineStr">
        <is>
          <t>Stearic Acid</t>
        </is>
      </c>
      <c r="B747" s="10" t="n"/>
      <c r="C747" s="10" t="n"/>
      <c r="D747" s="5" t="n"/>
      <c r="E747" s="5" t="n"/>
      <c r="F747" s="10" t="n"/>
      <c r="G747" s="5" t="n"/>
      <c r="H747" s="5" t="n"/>
      <c r="I747" s="5" t="n"/>
      <c r="J747" s="5" t="n"/>
      <c r="K747" s="10" t="inlineStr">
        <is>
          <t>Not on master list (purchase list + time records)</t>
        </is>
      </c>
      <c r="L747" s="5" t="n"/>
      <c r="M747" s="5" t="n"/>
      <c r="N747" s="10" t="n"/>
      <c r="O747" s="10" t="n"/>
      <c r="P747" s="10" t="n">
        <v>2.1</v>
      </c>
      <c r="Q747" s="10" t="n"/>
      <c r="R747" s="10" t="n"/>
    </row>
    <row r="748">
      <c r="A748" s="10" t="inlineStr">
        <is>
          <t>Stevia Ext.</t>
        </is>
      </c>
      <c r="B748" s="10" t="n"/>
      <c r="C748" s="10" t="n"/>
      <c r="D748" s="5" t="n"/>
      <c r="E748" s="5" t="n"/>
      <c r="F748" s="10" t="n"/>
      <c r="G748" s="5" t="n"/>
      <c r="H748" s="5" t="n"/>
      <c r="I748" s="5" t="n"/>
      <c r="J748" s="5" t="n"/>
      <c r="K748" s="10" t="inlineStr">
        <is>
          <t>Not on master list (time records)</t>
        </is>
      </c>
      <c r="L748" s="5" t="n"/>
      <c r="M748" s="5" t="n"/>
      <c r="N748" s="10" t="n"/>
      <c r="O748" s="10" t="n"/>
      <c r="P748" s="10" t="n"/>
      <c r="Q748" s="10" t="n"/>
      <c r="R748" s="10" t="n"/>
    </row>
    <row r="749">
      <c r="A749" s="10" t="inlineStr">
        <is>
          <t>Strawberry Flavor Liquid</t>
        </is>
      </c>
      <c r="B749" s="10" t="n"/>
      <c r="C749" s="10" t="n"/>
      <c r="D749" s="5" t="n"/>
      <c r="E749" s="5" t="n"/>
      <c r="F749" s="10" t="n"/>
      <c r="G749" s="5" t="n"/>
      <c r="H749" s="5" t="n"/>
      <c r="I749" s="5" t="n"/>
      <c r="J749" s="5" t="n"/>
      <c r="K749" s="10" t="inlineStr">
        <is>
          <t>Not on master list (purchase list)</t>
        </is>
      </c>
      <c r="L749" s="5" t="n"/>
      <c r="M749" s="5" t="n"/>
      <c r="N749" s="10" t="n"/>
      <c r="O749" s="10" t="n"/>
      <c r="P749" s="10" t="n"/>
      <c r="Q749" s="10" t="n"/>
      <c r="R749" s="10" t="n"/>
    </row>
    <row r="750">
      <c r="A750" s="10" t="inlineStr">
        <is>
          <t>Suceinic Acid (for Injection)</t>
        </is>
      </c>
      <c r="B750" s="10" t="n"/>
      <c r="C750" s="10" t="n"/>
      <c r="D750" s="5" t="n"/>
      <c r="E750" s="5" t="n"/>
      <c r="F750" s="10" t="n"/>
      <c r="G750" s="5" t="n"/>
      <c r="H750" s="5" t="n"/>
      <c r="I750" s="5" t="n"/>
      <c r="J750" s="5" t="n"/>
      <c r="K750" s="10" t="inlineStr">
        <is>
          <t>Not on master list (time records)</t>
        </is>
      </c>
      <c r="L750" s="5" t="n"/>
      <c r="M750" s="5" t="n"/>
      <c r="N750" s="10" t="n"/>
      <c r="O750" s="10" t="n"/>
      <c r="P750" s="10" t="n"/>
      <c r="Q750" s="10" t="n"/>
      <c r="R750" s="10" t="n"/>
    </row>
    <row r="751">
      <c r="A751" s="10" t="inlineStr">
        <is>
          <t>Sucralose+B650:L650</t>
        </is>
      </c>
      <c r="B751" s="10" t="n"/>
      <c r="C751" s="10" t="n"/>
      <c r="D751" s="5" t="n"/>
      <c r="E751" s="5" t="n"/>
      <c r="F751" s="10" t="n"/>
      <c r="G751" s="5" t="n"/>
      <c r="H751" s="5" t="n"/>
      <c r="I751" s="5" t="n"/>
      <c r="J751" s="5" t="n"/>
      <c r="K751" s="10" t="inlineStr">
        <is>
          <t>Not on master list (purchase list)</t>
        </is>
      </c>
      <c r="L751" s="5" t="n"/>
      <c r="M751" s="5" t="n"/>
      <c r="N751" s="10" t="n"/>
      <c r="O751" s="10" t="n"/>
      <c r="P751" s="10" t="n"/>
      <c r="Q751" s="10" t="n"/>
      <c r="R751" s="10" t="n"/>
    </row>
    <row r="752">
      <c r="A752" s="10" t="inlineStr">
        <is>
          <t>Sucrosomial</t>
        </is>
      </c>
      <c r="B752" s="10" t="n"/>
      <c r="C752" s="10" t="n"/>
      <c r="D752" s="5" t="n"/>
      <c r="E752" s="5" t="n"/>
      <c r="F752" s="10" t="n"/>
      <c r="G752" s="5" t="n"/>
      <c r="H752" s="5" t="n"/>
      <c r="I752" s="5" t="n"/>
      <c r="J752" s="5" t="n"/>
      <c r="K752" s="10" t="inlineStr">
        <is>
          <t>Not on master list (time records)</t>
        </is>
      </c>
      <c r="L752" s="5" t="n"/>
      <c r="M752" s="5" t="n"/>
      <c r="N752" s="10" t="n"/>
      <c r="O752" s="10" t="n"/>
      <c r="P752" s="10" t="n"/>
      <c r="Q752" s="10" t="n"/>
      <c r="R752" s="10" t="n"/>
    </row>
    <row r="753">
      <c r="A753" s="10" t="inlineStr">
        <is>
          <t>Sugar</t>
        </is>
      </c>
      <c r="B753" s="10" t="n"/>
      <c r="C753" s="10" t="n"/>
      <c r="D753" s="5" t="n"/>
      <c r="E753" s="5" t="n"/>
      <c r="F753" s="10" t="n"/>
      <c r="G753" s="5" t="n"/>
      <c r="H753" s="5" t="n"/>
      <c r="I753" s="5" t="n"/>
      <c r="J753" s="5" t="n"/>
      <c r="K753" s="10" t="inlineStr">
        <is>
          <t>Not on master list (purchase list)</t>
        </is>
      </c>
      <c r="L753" s="5" t="n"/>
      <c r="M753" s="5" t="n"/>
      <c r="N753" s="10" t="n"/>
      <c r="O753" s="10" t="n"/>
      <c r="P753" s="10" t="n"/>
      <c r="Q753" s="10" t="n"/>
      <c r="R753" s="10" t="n"/>
    </row>
    <row r="754">
      <c r="A754" s="10" t="inlineStr">
        <is>
          <t>Sun Flower Oil</t>
        </is>
      </c>
      <c r="B754" s="10" t="n"/>
      <c r="C754" s="10" t="n"/>
      <c r="D754" s="5" t="n"/>
      <c r="E754" s="5" t="n"/>
      <c r="F754" s="10" t="n"/>
      <c r="G754" s="5" t="n"/>
      <c r="H754" s="5" t="n"/>
      <c r="I754" s="5" t="n"/>
      <c r="J754" s="5" t="n"/>
      <c r="K754" s="10" t="inlineStr">
        <is>
          <t>Not on master list (time records)</t>
        </is>
      </c>
      <c r="L754" s="5" t="n"/>
      <c r="M754" s="5" t="n"/>
      <c r="N754" s="10" t="n"/>
      <c r="O754" s="10" t="n"/>
      <c r="P754" s="10" t="n"/>
      <c r="Q754" s="10" t="n"/>
      <c r="R754" s="10" t="n"/>
    </row>
    <row r="755">
      <c r="A755" s="10" t="inlineStr">
        <is>
          <t>Sweetmint Flavour</t>
        </is>
      </c>
      <c r="B755" s="10" t="n"/>
      <c r="C755" s="10" t="n"/>
      <c r="D755" s="5" t="n"/>
      <c r="E755" s="5" t="n"/>
      <c r="F755" s="10" t="n"/>
      <c r="G755" s="5" t="n"/>
      <c r="H755" s="5" t="n"/>
      <c r="I755" s="5" t="n"/>
      <c r="J755" s="5" t="n"/>
      <c r="K755" s="10" t="inlineStr">
        <is>
          <t>Not on master list (purchase list)</t>
        </is>
      </c>
      <c r="L755" s="5" t="n"/>
      <c r="M755" s="5" t="n"/>
      <c r="N755" s="10" t="n"/>
      <c r="O755" s="10" t="n"/>
      <c r="P755" s="10" t="n"/>
      <c r="Q755" s="10" t="n"/>
      <c r="R755" s="10" t="n"/>
    </row>
    <row r="756">
      <c r="A756" s="10" t="inlineStr">
        <is>
          <t>Tadalafil</t>
        </is>
      </c>
      <c r="B756" s="10" t="n"/>
      <c r="C756" s="10" t="n"/>
      <c r="D756" s="5" t="n"/>
      <c r="E756" s="5" t="n"/>
      <c r="F756" s="10" t="n"/>
      <c r="G756" s="5" t="n"/>
      <c r="H756" s="5" t="n"/>
      <c r="I756" s="5" t="n"/>
      <c r="J756" s="5" t="n"/>
      <c r="K756" s="10" t="inlineStr">
        <is>
          <t>Not on master list (time records)</t>
        </is>
      </c>
      <c r="L756" s="5" t="n"/>
      <c r="M756" s="5" t="n"/>
      <c r="N756" s="10" t="n"/>
      <c r="O756" s="10" t="n"/>
      <c r="P756" s="10" t="n"/>
      <c r="Q756" s="10" t="n"/>
      <c r="R756" s="10" t="n"/>
    </row>
    <row r="757">
      <c r="A757" s="10" t="inlineStr">
        <is>
          <t>Talc USP</t>
        </is>
      </c>
      <c r="B757" s="10" t="n"/>
      <c r="C757" s="10" t="n"/>
      <c r="D757" s="5" t="n"/>
      <c r="E757" s="5" t="n"/>
      <c r="F757" s="10" t="n"/>
      <c r="G757" s="5" t="n"/>
      <c r="H757" s="5" t="n"/>
      <c r="I757" s="5" t="n"/>
      <c r="J757" s="5" t="n"/>
      <c r="K757" s="10" t="inlineStr">
        <is>
          <t>Not on master list (purchase list)</t>
        </is>
      </c>
      <c r="L757" s="5" t="n"/>
      <c r="M757" s="5" t="n"/>
      <c r="N757" s="10" t="n"/>
      <c r="O757" s="10" t="n"/>
      <c r="P757" s="10" t="n"/>
      <c r="Q757" s="10" t="n"/>
      <c r="R757" s="10" t="n"/>
    </row>
    <row r="758">
      <c r="A758" s="10" t="inlineStr">
        <is>
          <t>Taraxacam</t>
        </is>
      </c>
      <c r="B758" s="10" t="n"/>
      <c r="C758" s="10" t="n"/>
      <c r="D758" s="5" t="n"/>
      <c r="E758" s="5" t="n"/>
      <c r="F758" s="10" t="n"/>
      <c r="G758" s="5" t="n"/>
      <c r="H758" s="5" t="n"/>
      <c r="I758" s="5" t="n"/>
      <c r="J758" s="5" t="n"/>
      <c r="K758" s="10" t="inlineStr">
        <is>
          <t>Not on master list (time records)</t>
        </is>
      </c>
      <c r="L758" s="5" t="n"/>
      <c r="M758" s="5" t="n"/>
      <c r="N758" s="10" t="n"/>
      <c r="O758" s="10" t="n"/>
      <c r="P758" s="10" t="n"/>
      <c r="Q758" s="10" t="n"/>
      <c r="R758" s="10" t="n"/>
    </row>
    <row r="759">
      <c r="A759" s="10" t="inlineStr">
        <is>
          <t>Thereonine</t>
        </is>
      </c>
      <c r="B759" s="10" t="n"/>
      <c r="C759" s="10" t="n"/>
      <c r="D759" s="5" t="n"/>
      <c r="E759" s="5" t="n"/>
      <c r="F759" s="10" t="n"/>
      <c r="G759" s="5" t="n"/>
      <c r="H759" s="5" t="n"/>
      <c r="I759" s="5" t="n"/>
      <c r="J759" s="5" t="n"/>
      <c r="K759" s="10" t="inlineStr">
        <is>
          <t>Not on master list (time records)</t>
        </is>
      </c>
      <c r="L759" s="5" t="n"/>
      <c r="M759" s="5" t="n"/>
      <c r="N759" s="10" t="n"/>
      <c r="O759" s="10" t="n"/>
      <c r="P759" s="10" t="n"/>
      <c r="Q759" s="10" t="n"/>
      <c r="R759" s="10" t="n"/>
    </row>
    <row r="760">
      <c r="A760" s="10" t="inlineStr">
        <is>
          <t>Ticagrelor Base</t>
        </is>
      </c>
      <c r="B760" s="10" t="n"/>
      <c r="C760" s="10" t="n"/>
      <c r="D760" s="5" t="n"/>
      <c r="E760" s="5" t="n"/>
      <c r="F760" s="10" t="n"/>
      <c r="G760" s="5" t="n"/>
      <c r="H760" s="5" t="n"/>
      <c r="I760" s="5" t="n"/>
      <c r="J760" s="5" t="n"/>
      <c r="K760" s="10" t="inlineStr">
        <is>
          <t>Not on master list (time records)</t>
        </is>
      </c>
      <c r="L760" s="5" t="n"/>
      <c r="M760" s="5" t="n"/>
      <c r="N760" s="10" t="n"/>
      <c r="O760" s="10" t="n"/>
      <c r="P760" s="10" t="n"/>
      <c r="Q760" s="10" t="n"/>
      <c r="R760" s="10" t="n"/>
    </row>
    <row r="761">
      <c r="A761" s="10" t="inlineStr">
        <is>
          <t>Tin (II) Chloride</t>
        </is>
      </c>
      <c r="B761" s="10" t="n"/>
      <c r="C761" s="10" t="n"/>
      <c r="D761" s="5" t="n"/>
      <c r="E761" s="5" t="n"/>
      <c r="F761" s="10" t="n"/>
      <c r="G761" s="5" t="n"/>
      <c r="H761" s="5" t="n"/>
      <c r="I761" s="5" t="n"/>
      <c r="J761" s="5" t="n"/>
      <c r="K761" s="10" t="inlineStr">
        <is>
          <t>Not on master list (time records)</t>
        </is>
      </c>
      <c r="L761" s="5" t="n"/>
      <c r="M761" s="5" t="n"/>
      <c r="N761" s="10" t="n"/>
      <c r="O761" s="10" t="n"/>
      <c r="P761" s="10" t="n">
        <v>3.27</v>
      </c>
      <c r="Q761" s="10" t="n"/>
      <c r="R761" s="10" t="n"/>
    </row>
    <row r="762">
      <c r="A762" s="10" t="inlineStr">
        <is>
          <t>Titanium</t>
        </is>
      </c>
      <c r="B762" s="10" t="n"/>
      <c r="C762" s="10" t="n"/>
      <c r="D762" s="5" t="n"/>
      <c r="E762" s="5" t="n"/>
      <c r="F762" s="10" t="n"/>
      <c r="G762" s="5" t="n"/>
      <c r="H762" s="5" t="n"/>
      <c r="I762" s="5" t="n"/>
      <c r="J762" s="5" t="n"/>
      <c r="K762" s="10" t="inlineStr">
        <is>
          <t>Not on master list (purchase list)</t>
        </is>
      </c>
      <c r="L762" s="5" t="n"/>
      <c r="M762" s="5" t="n"/>
      <c r="N762" s="10" t="n"/>
      <c r="O762" s="10" t="n"/>
      <c r="P762" s="10" t="n"/>
      <c r="Q762" s="10" t="n"/>
      <c r="R762" s="10" t="n"/>
    </row>
    <row r="763">
      <c r="A763" s="10" t="inlineStr">
        <is>
          <t>Titriplex</t>
        </is>
      </c>
      <c r="B763" s="10" t="n"/>
      <c r="C763" s="10" t="n"/>
      <c r="D763" s="5" t="n"/>
      <c r="E763" s="5" t="n"/>
      <c r="F763" s="10" t="n"/>
      <c r="G763" s="5" t="n"/>
      <c r="H763" s="5" t="n"/>
      <c r="I763" s="5" t="n"/>
      <c r="J763" s="5" t="n"/>
      <c r="K763" s="10" t="inlineStr">
        <is>
          <t>Not on master list (purchase list)</t>
        </is>
      </c>
      <c r="L763" s="5" t="n"/>
      <c r="M763" s="5" t="n"/>
      <c r="N763" s="10" t="n"/>
      <c r="O763" s="10" t="n"/>
      <c r="P763" s="10" t="n"/>
      <c r="Q763" s="10" t="n"/>
      <c r="R763" s="10" t="n"/>
    </row>
    <row r="764">
      <c r="A764" s="10" t="inlineStr">
        <is>
          <t>Titriplex III</t>
        </is>
      </c>
      <c r="B764" s="10" t="n"/>
      <c r="C764" s="10" t="n"/>
      <c r="D764" s="5" t="n"/>
      <c r="E764" s="5" t="n"/>
      <c r="F764" s="10" t="n"/>
      <c r="G764" s="5" t="n"/>
      <c r="H764" s="5" t="n"/>
      <c r="I764" s="5" t="n"/>
      <c r="J764" s="5" t="n"/>
      <c r="K764" s="10" t="inlineStr">
        <is>
          <t>Not on master list (purchase list)</t>
        </is>
      </c>
      <c r="L764" s="5" t="n"/>
      <c r="M764" s="5" t="n"/>
      <c r="N764" s="10" t="n"/>
      <c r="O764" s="10" t="n"/>
      <c r="P764" s="10" t="n"/>
      <c r="Q764" s="10" t="n"/>
      <c r="R764" s="10" t="n"/>
    </row>
    <row r="765">
      <c r="A765" s="10" t="inlineStr">
        <is>
          <t>Tofacitinib Citrate</t>
        </is>
      </c>
      <c r="B765" s="10" t="n"/>
      <c r="C765" s="10" t="n"/>
      <c r="D765" s="5" t="n"/>
      <c r="E765" s="5" t="n"/>
      <c r="F765" s="10" t="n"/>
      <c r="G765" s="5" t="n"/>
      <c r="H765" s="5" t="n"/>
      <c r="I765" s="5" t="n"/>
      <c r="J765" s="5" t="n"/>
      <c r="K765" s="10" t="inlineStr">
        <is>
          <t>Not on master list (time records)</t>
        </is>
      </c>
      <c r="L765" s="5" t="n"/>
      <c r="M765" s="5" t="n"/>
      <c r="N765" s="10" t="n"/>
      <c r="O765" s="10" t="n"/>
      <c r="P765" s="10" t="n"/>
      <c r="Q765" s="10" t="n"/>
      <c r="R765" s="10" t="n"/>
    </row>
    <row r="766">
      <c r="A766" s="10" t="inlineStr">
        <is>
          <t>Tomato Ext.</t>
        </is>
      </c>
      <c r="B766" s="10" t="n"/>
      <c r="C766" s="10" t="n"/>
      <c r="D766" s="5" t="n"/>
      <c r="E766" s="5" t="n"/>
      <c r="F766" s="10" t="n"/>
      <c r="G766" s="5" t="n"/>
      <c r="H766" s="5" t="n"/>
      <c r="I766" s="5" t="n"/>
      <c r="J766" s="5" t="n"/>
      <c r="K766" s="10" t="inlineStr">
        <is>
          <t>Not on master list (time records)</t>
        </is>
      </c>
      <c r="L766" s="5" t="n"/>
      <c r="M766" s="5" t="n"/>
      <c r="N766" s="10" t="n"/>
      <c r="O766" s="10" t="n"/>
      <c r="P766" s="10" t="n"/>
      <c r="Q766" s="10" t="n"/>
      <c r="R766" s="10" t="n"/>
    </row>
    <row r="767">
      <c r="A767" s="10" t="inlineStr">
        <is>
          <t>Tongkat Ali Ext.</t>
        </is>
      </c>
      <c r="B767" s="10" t="n"/>
      <c r="C767" s="10" t="n"/>
      <c r="D767" s="5" t="n"/>
      <c r="E767" s="5" t="n"/>
      <c r="F767" s="10" t="n"/>
      <c r="G767" s="5" t="n"/>
      <c r="H767" s="5" t="n"/>
      <c r="I767" s="5" t="n"/>
      <c r="J767" s="5" t="n"/>
      <c r="K767" s="10" t="inlineStr">
        <is>
          <t>Not on master list (time records)</t>
        </is>
      </c>
      <c r="L767" s="5" t="n"/>
      <c r="M767" s="5" t="n"/>
      <c r="N767" s="10" t="n"/>
      <c r="O767" s="10" t="n"/>
      <c r="P767" s="10" t="n"/>
      <c r="Q767" s="10" t="n"/>
      <c r="R767" s="10" t="n"/>
    </row>
    <row r="768">
      <c r="A768" s="10" t="inlineStr">
        <is>
          <t>Trisodium Citrate (for Injection)</t>
        </is>
      </c>
      <c r="B768" s="10" t="n"/>
      <c r="C768" s="10" t="n"/>
      <c r="D768" s="5" t="n"/>
      <c r="E768" s="5" t="n"/>
      <c r="F768" s="10" t="n"/>
      <c r="G768" s="5" t="n"/>
      <c r="H768" s="5" t="n"/>
      <c r="I768" s="5" t="n"/>
      <c r="J768" s="5" t="n"/>
      <c r="K768" s="10" t="inlineStr">
        <is>
          <t>Not on master list (time records)</t>
        </is>
      </c>
      <c r="L768" s="5" t="n"/>
      <c r="M768" s="5" t="n"/>
      <c r="N768" s="10" t="n"/>
      <c r="O768" s="10" t="n"/>
      <c r="P768" s="10" t="n"/>
      <c r="Q768" s="10" t="n"/>
      <c r="R768" s="10" t="n"/>
    </row>
    <row r="769">
      <c r="A769" s="10" t="inlineStr">
        <is>
          <t>Tryptophan</t>
        </is>
      </c>
      <c r="B769" s="10" t="n"/>
      <c r="C769" s="10" t="n"/>
      <c r="D769" s="5" t="n"/>
      <c r="E769" s="5" t="n"/>
      <c r="F769" s="10" t="n"/>
      <c r="G769" s="5" t="n"/>
      <c r="H769" s="5" t="n"/>
      <c r="I769" s="5" t="n"/>
      <c r="J769" s="5" t="n"/>
      <c r="K769" s="10" t="inlineStr">
        <is>
          <t>Not on master list (time records)</t>
        </is>
      </c>
      <c r="L769" s="5" t="n"/>
      <c r="M769" s="5" t="n"/>
      <c r="N769" s="10" t="n"/>
      <c r="O769" s="10" t="n"/>
      <c r="P769" s="10" t="n"/>
      <c r="Q769" s="10" t="n"/>
      <c r="R769" s="10" t="n"/>
    </row>
    <row r="770">
      <c r="A770" s="10" t="inlineStr">
        <is>
          <t>Tumeric Ext.</t>
        </is>
      </c>
      <c r="B770" s="10" t="n"/>
      <c r="C770" s="10" t="n"/>
      <c r="D770" s="5" t="n"/>
      <c r="E770" s="5" t="n"/>
      <c r="F770" s="10" t="n"/>
      <c r="G770" s="5" t="n"/>
      <c r="H770" s="5" t="n"/>
      <c r="I770" s="5" t="n"/>
      <c r="J770" s="5" t="n"/>
      <c r="K770" s="10" t="inlineStr">
        <is>
          <t>Not on master list (time records)</t>
        </is>
      </c>
      <c r="L770" s="5" t="n"/>
      <c r="M770" s="5" t="n"/>
      <c r="N770" s="10" t="n"/>
      <c r="O770" s="10" t="n"/>
      <c r="P770" s="10" t="n"/>
      <c r="Q770" s="10" t="n"/>
      <c r="R770" s="10" t="n"/>
    </row>
    <row r="771">
      <c r="A771" s="10" t="inlineStr">
        <is>
          <t>Turnera Diffusa (Damiana Ext.) Dry 5:1</t>
        </is>
      </c>
      <c r="B771" s="10" t="n"/>
      <c r="C771" s="10" t="n"/>
      <c r="D771" s="5" t="n"/>
      <c r="E771" s="5" t="n"/>
      <c r="F771" s="10" t="n"/>
      <c r="G771" s="5" t="n"/>
      <c r="H771" s="5" t="n"/>
      <c r="I771" s="5" t="n"/>
      <c r="J771" s="5" t="n"/>
      <c r="K771" s="10" t="inlineStr">
        <is>
          <t>Not on master list (time records)</t>
        </is>
      </c>
      <c r="L771" s="5" t="n"/>
      <c r="M771" s="5" t="n"/>
      <c r="N771" s="10" t="n"/>
      <c r="O771" s="10" t="n"/>
      <c r="P771" s="10" t="n">
        <v>3.57</v>
      </c>
      <c r="Q771" s="10" t="n"/>
      <c r="R771" s="10" t="n"/>
    </row>
    <row r="772">
      <c r="A772" s="10" t="inlineStr">
        <is>
          <t>Tyrosine</t>
        </is>
      </c>
      <c r="B772" s="10" t="n"/>
      <c r="C772" s="10" t="n"/>
      <c r="D772" s="5" t="n"/>
      <c r="E772" s="5" t="n"/>
      <c r="F772" s="10" t="n"/>
      <c r="G772" s="5" t="n"/>
      <c r="H772" s="5" t="n"/>
      <c r="I772" s="5" t="n"/>
      <c r="J772" s="5" t="n"/>
      <c r="K772" s="10" t="inlineStr">
        <is>
          <t>Not on master list (time records)</t>
        </is>
      </c>
      <c r="L772" s="5" t="n"/>
      <c r="M772" s="5" t="n"/>
      <c r="N772" s="10" t="n"/>
      <c r="O772" s="10" t="n"/>
      <c r="P772" s="10" t="n"/>
      <c r="Q772" s="10" t="n"/>
      <c r="R772" s="10" t="n"/>
    </row>
    <row r="773">
      <c r="A773" s="10" t="inlineStr">
        <is>
          <t>Uromax Marketing Sachet</t>
        </is>
      </c>
      <c r="B773" s="10" t="n"/>
      <c r="C773" s="10" t="n"/>
      <c r="D773" s="5" t="n"/>
      <c r="E773" s="5" t="n"/>
      <c r="F773" s="10" t="n"/>
      <c r="G773" s="5" t="n"/>
      <c r="H773" s="5" t="n"/>
      <c r="I773" s="5" t="n"/>
      <c r="J773" s="5" t="n"/>
      <c r="K773" s="10" t="inlineStr">
        <is>
          <t>Not on master list (time records)</t>
        </is>
      </c>
      <c r="L773" s="5" t="n"/>
      <c r="M773" s="5" t="n"/>
      <c r="N773" s="10" t="n"/>
      <c r="O773" s="10" t="n"/>
      <c r="P773" s="10" t="n"/>
      <c r="Q773" s="10" t="n"/>
      <c r="R773" s="10" t="n"/>
    </row>
    <row r="774">
      <c r="A774" s="10" t="inlineStr">
        <is>
          <t>Valerian Root Extract</t>
        </is>
      </c>
      <c r="B774" s="10" t="n"/>
      <c r="C774" s="10" t="n"/>
      <c r="D774" s="5" t="n"/>
      <c r="E774" s="5" t="n"/>
      <c r="F774" s="10" t="n"/>
      <c r="G774" s="5" t="n"/>
      <c r="H774" s="5" t="n"/>
      <c r="I774" s="5" t="n"/>
      <c r="J774" s="5" t="n"/>
      <c r="K774" s="10" t="inlineStr">
        <is>
          <t>Not on master list (purchase list)</t>
        </is>
      </c>
      <c r="L774" s="5" t="n"/>
      <c r="M774" s="5" t="n"/>
      <c r="N774" s="10" t="n"/>
      <c r="O774" s="10" t="n"/>
      <c r="P774" s="10" t="n"/>
      <c r="Q774" s="10" t="n"/>
      <c r="R774" s="10" t="n"/>
    </row>
    <row r="775">
      <c r="A775" s="10" t="inlineStr">
        <is>
          <t>Valeriana Officinals (Valerian Ext.) Dry Conc 5:1</t>
        </is>
      </c>
      <c r="B775" s="10" t="n"/>
      <c r="C775" s="10" t="n"/>
      <c r="D775" s="5" t="n"/>
      <c r="E775" s="5" t="n"/>
      <c r="F775" s="10" t="n"/>
      <c r="G775" s="5" t="n"/>
      <c r="H775" s="5" t="n"/>
      <c r="I775" s="5" t="n"/>
      <c r="J775" s="5" t="n"/>
      <c r="K775" s="10" t="inlineStr">
        <is>
          <t>Not on master list (time records)</t>
        </is>
      </c>
      <c r="L775" s="5" t="n"/>
      <c r="M775" s="5" t="n"/>
      <c r="N775" s="10" t="n"/>
      <c r="O775" s="10" t="n"/>
      <c r="P775" s="10" t="n">
        <v>3.57</v>
      </c>
      <c r="Q775" s="10" t="n"/>
      <c r="R775" s="10" t="n"/>
    </row>
    <row r="776">
      <c r="A776" s="10" t="inlineStr">
        <is>
          <t>Valine</t>
        </is>
      </c>
      <c r="B776" s="10" t="n"/>
      <c r="C776" s="10" t="n"/>
      <c r="D776" s="5" t="n"/>
      <c r="E776" s="5" t="n"/>
      <c r="F776" s="10" t="n"/>
      <c r="G776" s="5" t="n"/>
      <c r="H776" s="5" t="n"/>
      <c r="I776" s="5" t="n"/>
      <c r="J776" s="5" t="n"/>
      <c r="K776" s="10" t="inlineStr">
        <is>
          <t>Not on master list (time records)</t>
        </is>
      </c>
      <c r="L776" s="5" t="n"/>
      <c r="M776" s="5" t="n"/>
      <c r="N776" s="10" t="n"/>
      <c r="O776" s="10" t="n"/>
      <c r="P776" s="10" t="n"/>
      <c r="Q776" s="10" t="n"/>
      <c r="R776" s="10" t="n"/>
    </row>
    <row r="777">
      <c r="A777" s="10" t="inlineStr">
        <is>
          <t>Valsartan</t>
        </is>
      </c>
      <c r="B777" s="10" t="n"/>
      <c r="C777" s="10" t="n"/>
      <c r="D777" s="5" t="n"/>
      <c r="E777" s="5" t="n"/>
      <c r="F777" s="10" t="n"/>
      <c r="G777" s="5" t="n"/>
      <c r="H777" s="5" t="n"/>
      <c r="I777" s="5" t="n"/>
      <c r="J777" s="5" t="n"/>
      <c r="K777" s="10" t="inlineStr">
        <is>
          <t>Not on master list (time records)</t>
        </is>
      </c>
      <c r="L777" s="5" t="n"/>
      <c r="M777" s="5" t="n"/>
      <c r="N777" s="10" t="n"/>
      <c r="O777" s="10" t="n"/>
      <c r="P777" s="10" t="n">
        <v>1.93</v>
      </c>
      <c r="Q777" s="10" t="n"/>
      <c r="R777" s="10" t="n"/>
    </row>
    <row r="778">
      <c r="A778" s="10" t="inlineStr">
        <is>
          <t>Vanadium (III) Sulfate</t>
        </is>
      </c>
      <c r="B778" s="10" t="n"/>
      <c r="C778" s="10" t="n"/>
      <c r="D778" s="5" t="n"/>
      <c r="E778" s="5" t="n"/>
      <c r="F778" s="10" t="n"/>
      <c r="G778" s="5" t="n"/>
      <c r="H778" s="5" t="n"/>
      <c r="I778" s="5" t="n"/>
      <c r="J778" s="5" t="n"/>
      <c r="K778" s="10" t="inlineStr">
        <is>
          <t>Not on master list (time records)</t>
        </is>
      </c>
      <c r="L778" s="5" t="n"/>
      <c r="M778" s="5" t="n"/>
      <c r="N778" s="10" t="n"/>
      <c r="O778" s="10" t="n"/>
      <c r="P778" s="10" t="n"/>
      <c r="Q778" s="10" t="n"/>
      <c r="R778" s="10" t="n"/>
    </row>
    <row r="779">
      <c r="A779" s="10" t="inlineStr">
        <is>
          <t>Vanila &amp; Toffie Liquid Flovour</t>
        </is>
      </c>
      <c r="B779" s="10" t="n"/>
      <c r="C779" s="10" t="n"/>
      <c r="D779" s="5" t="n"/>
      <c r="E779" s="5" t="n"/>
      <c r="F779" s="10" t="n"/>
      <c r="G779" s="5" t="n"/>
      <c r="H779" s="5" t="n"/>
      <c r="I779" s="5" t="n"/>
      <c r="J779" s="5" t="n"/>
      <c r="K779" s="10" t="inlineStr">
        <is>
          <t>Not on master list (time records)</t>
        </is>
      </c>
      <c r="L779" s="5" t="n"/>
      <c r="M779" s="5" t="n"/>
      <c r="N779" s="10" t="n"/>
      <c r="O779" s="10" t="n"/>
      <c r="P779" s="10" t="n"/>
      <c r="Q779" s="10" t="n"/>
      <c r="R779" s="10" t="n"/>
    </row>
    <row r="780">
      <c r="A780" s="10" t="inlineStr">
        <is>
          <t>Vanilla Flavor</t>
        </is>
      </c>
      <c r="B780" s="10" t="n"/>
      <c r="C780" s="10" t="n"/>
      <c r="D780" s="5" t="n"/>
      <c r="E780" s="5" t="n"/>
      <c r="F780" s="10" t="n"/>
      <c r="G780" s="5" t="n"/>
      <c r="H780" s="5" t="n"/>
      <c r="I780" s="5" t="n"/>
      <c r="J780" s="5" t="n"/>
      <c r="K780" s="10" t="inlineStr">
        <is>
          <t>Not on master list (purchase list)</t>
        </is>
      </c>
      <c r="L780" s="5" t="n"/>
      <c r="M780" s="5" t="n"/>
      <c r="N780" s="10" t="n"/>
      <c r="O780" s="10" t="n"/>
      <c r="P780" s="10" t="n"/>
      <c r="Q780" s="10" t="n"/>
      <c r="R780" s="10" t="n"/>
    </row>
    <row r="781">
      <c r="A781" s="10" t="inlineStr">
        <is>
          <t>Vanilla Flovour</t>
        </is>
      </c>
      <c r="B781" s="10" t="n"/>
      <c r="C781" s="10" t="n"/>
      <c r="D781" s="5" t="n"/>
      <c r="E781" s="5" t="n"/>
      <c r="F781" s="10" t="n"/>
      <c r="G781" s="5" t="n"/>
      <c r="H781" s="5" t="n"/>
      <c r="I781" s="5" t="n"/>
      <c r="J781" s="5" t="n"/>
      <c r="K781" s="10" t="inlineStr">
        <is>
          <t>Not on master list (time records)</t>
        </is>
      </c>
      <c r="L781" s="5" t="n"/>
      <c r="M781" s="5" t="n"/>
      <c r="N781" s="10" t="n"/>
      <c r="O781" s="10" t="n"/>
      <c r="P781" s="10" t="n">
        <v>1.93</v>
      </c>
      <c r="Q781" s="10" t="n"/>
      <c r="R781" s="10" t="n"/>
    </row>
    <row r="782">
      <c r="A782" s="10" t="inlineStr">
        <is>
          <t>Vanilla Toffee</t>
        </is>
      </c>
      <c r="B782" s="10" t="n"/>
      <c r="C782" s="10" t="n"/>
      <c r="D782" s="5" t="n"/>
      <c r="E782" s="5" t="n"/>
      <c r="F782" s="10" t="n"/>
      <c r="G782" s="5" t="n"/>
      <c r="H782" s="5" t="n"/>
      <c r="I782" s="5" t="n"/>
      <c r="J782" s="5" t="n"/>
      <c r="K782" s="10" t="inlineStr">
        <is>
          <t>Not on master list (purchase list)</t>
        </is>
      </c>
      <c r="L782" s="5" t="n"/>
      <c r="M782" s="5" t="n"/>
      <c r="N782" s="10" t="n"/>
      <c r="O782" s="10" t="n"/>
      <c r="P782" s="10" t="n"/>
      <c r="Q782" s="10" t="n"/>
      <c r="R782" s="10" t="n"/>
    </row>
    <row r="783">
      <c r="A783" s="10" t="inlineStr">
        <is>
          <t>Vericiguat (VCG)</t>
        </is>
      </c>
      <c r="B783" s="10" t="n"/>
      <c r="C783" s="10" t="n"/>
      <c r="D783" s="5" t="n"/>
      <c r="E783" s="5" t="n"/>
      <c r="F783" s="10" t="n"/>
      <c r="G783" s="5" t="n"/>
      <c r="H783" s="5" t="n"/>
      <c r="I783" s="5" t="n"/>
      <c r="J783" s="5" t="n"/>
      <c r="K783" s="10" t="inlineStr">
        <is>
          <t>Not on master list (purchase list)</t>
        </is>
      </c>
      <c r="L783" s="5" t="n"/>
      <c r="M783" s="5" t="n"/>
      <c r="N783" s="10" t="n"/>
      <c r="O783" s="10" t="n"/>
      <c r="P783" s="10" t="n"/>
      <c r="Q783" s="10" t="n"/>
      <c r="R783" s="10" t="n"/>
    </row>
    <row r="784">
      <c r="A784" s="10" t="inlineStr">
        <is>
          <t>Vibegron-WB</t>
        </is>
      </c>
      <c r="B784" s="10" t="n"/>
      <c r="C784" s="10" t="n"/>
      <c r="D784" s="5" t="n"/>
      <c r="E784" s="5" t="n"/>
      <c r="F784" s="10" t="n"/>
      <c r="G784" s="5" t="n"/>
      <c r="H784" s="5" t="n"/>
      <c r="I784" s="5" t="n"/>
      <c r="J784" s="5" t="n"/>
      <c r="K784" s="10" t="inlineStr">
        <is>
          <t>Not on master list (purchase list)</t>
        </is>
      </c>
      <c r="L784" s="5" t="n"/>
      <c r="M784" s="5" t="n"/>
      <c r="N784" s="10" t="n"/>
      <c r="O784" s="10" t="n"/>
      <c r="P784" s="10" t="n"/>
      <c r="Q784" s="10" t="n"/>
      <c r="R784" s="10" t="n"/>
    </row>
    <row r="785">
      <c r="A785" s="10" t="inlineStr">
        <is>
          <t>Vildagliptin</t>
        </is>
      </c>
      <c r="B785" s="10" t="n"/>
      <c r="C785" s="10" t="n"/>
      <c r="D785" s="5" t="n"/>
      <c r="E785" s="5" t="n"/>
      <c r="F785" s="10" t="n"/>
      <c r="G785" s="5" t="n"/>
      <c r="H785" s="5" t="n"/>
      <c r="I785" s="5" t="n"/>
      <c r="J785" s="5" t="n"/>
      <c r="K785" s="10" t="inlineStr">
        <is>
          <t>Not on master list (time records)</t>
        </is>
      </c>
      <c r="L785" s="5" t="n"/>
      <c r="M785" s="5" t="n"/>
      <c r="N785" s="10" t="n"/>
      <c r="O785" s="10" t="n"/>
      <c r="P785" s="10" t="n"/>
      <c r="Q785" s="10" t="n"/>
      <c r="R785" s="10" t="n"/>
    </row>
    <row r="786">
      <c r="A786" s="10" t="inlineStr">
        <is>
          <t>Vitacal Forte Marketing Sachet</t>
        </is>
      </c>
      <c r="B786" s="10" t="n"/>
      <c r="C786" s="10" t="n"/>
      <c r="D786" s="5" t="n"/>
      <c r="E786" s="5" t="n"/>
      <c r="F786" s="10" t="n"/>
      <c r="G786" s="5" t="n"/>
      <c r="H786" s="5" t="n"/>
      <c r="I786" s="5" t="n"/>
      <c r="J786" s="5" t="n"/>
      <c r="K786" s="10" t="inlineStr">
        <is>
          <t>Not on master list (time records)</t>
        </is>
      </c>
      <c r="L786" s="5" t="n"/>
      <c r="M786" s="5" t="n"/>
      <c r="N786" s="10" t="n"/>
      <c r="O786" s="10" t="n"/>
      <c r="P786" s="10" t="n"/>
      <c r="Q786" s="10" t="n"/>
      <c r="R786" s="10" t="n"/>
    </row>
    <row r="787">
      <c r="A787" s="10" t="inlineStr">
        <is>
          <t>Vitamin A</t>
        </is>
      </c>
      <c r="B787" s="10" t="n"/>
      <c r="C787" s="10" t="n"/>
      <c r="D787" s="5" t="n"/>
      <c r="E787" s="5" t="n"/>
      <c r="F787" s="10" t="n"/>
      <c r="G787" s="5" t="n"/>
      <c r="H787" s="5" t="n"/>
      <c r="I787" s="5" t="n"/>
      <c r="J787" s="5" t="n"/>
      <c r="K787" s="10" t="inlineStr">
        <is>
          <t>Not on master list (purchase list)</t>
        </is>
      </c>
      <c r="L787" s="5" t="n"/>
      <c r="M787" s="5" t="n"/>
      <c r="N787" s="10" t="n"/>
      <c r="O787" s="10" t="n"/>
      <c r="P787" s="10" t="n"/>
      <c r="Q787" s="10" t="n"/>
      <c r="R787" s="10" t="n"/>
    </row>
    <row r="788">
      <c r="A788" s="10" t="inlineStr">
        <is>
          <t>Vitamin A Acetate 1000000 Dry</t>
        </is>
      </c>
      <c r="B788" s="10" t="n"/>
      <c r="C788" s="10" t="n"/>
      <c r="D788" s="5" t="n"/>
      <c r="E788" s="5" t="n"/>
      <c r="F788" s="10" t="n"/>
      <c r="G788" s="5" t="n"/>
      <c r="H788" s="5" t="n"/>
      <c r="I788" s="5" t="n"/>
      <c r="J788" s="5" t="n"/>
      <c r="K788" s="10" t="inlineStr">
        <is>
          <t>Not on master list (time records)</t>
        </is>
      </c>
      <c r="L788" s="5" t="n"/>
      <c r="M788" s="5" t="n"/>
      <c r="N788" s="10" t="n"/>
      <c r="O788" s="10" t="n"/>
      <c r="P788" s="10" t="n"/>
      <c r="Q788" s="10" t="n"/>
      <c r="R788" s="10" t="n"/>
    </row>
    <row r="789">
      <c r="A789" s="10" t="inlineStr">
        <is>
          <t>vitamin A Acetate 500 SD CWS/A</t>
        </is>
      </c>
      <c r="B789" s="10" t="n"/>
      <c r="C789" s="10" t="n"/>
      <c r="D789" s="5" t="n"/>
      <c r="E789" s="5" t="n"/>
      <c r="F789" s="10" t="n"/>
      <c r="G789" s="5" t="n"/>
      <c r="H789" s="5" t="n"/>
      <c r="I789" s="5" t="n"/>
      <c r="J789" s="5" t="n"/>
      <c r="K789" s="10" t="inlineStr">
        <is>
          <t>Not on master list (purchase list)</t>
        </is>
      </c>
      <c r="L789" s="5" t="n"/>
      <c r="M789" s="5" t="n"/>
      <c r="N789" s="10" t="n"/>
      <c r="O789" s="10" t="n"/>
      <c r="P789" s="10" t="n"/>
      <c r="Q789" s="10" t="n"/>
      <c r="R789" s="10" t="n"/>
    </row>
    <row r="790">
      <c r="A790" s="10" t="inlineStr">
        <is>
          <t>Vitamin A Acetate 500000 Dry</t>
        </is>
      </c>
      <c r="B790" s="10" t="n"/>
      <c r="C790" s="10" t="n"/>
      <c r="D790" s="5" t="n"/>
      <c r="E790" s="5" t="n"/>
      <c r="F790" s="10" t="n"/>
      <c r="G790" s="5" t="n"/>
      <c r="H790" s="5" t="n"/>
      <c r="I790" s="5" t="n"/>
      <c r="J790" s="5" t="n"/>
      <c r="K790" s="10" t="inlineStr">
        <is>
          <t>Not on master list (time records)</t>
        </is>
      </c>
      <c r="L790" s="5" t="n"/>
      <c r="M790" s="5" t="n"/>
      <c r="N790" s="10" t="n"/>
      <c r="O790" s="10" t="n"/>
      <c r="P790" s="10" t="n"/>
      <c r="Q790" s="10" t="n"/>
      <c r="R790" s="10" t="n"/>
    </row>
    <row r="791">
      <c r="A791" s="10" t="inlineStr">
        <is>
          <t>Vitamin A acetate Powder</t>
        </is>
      </c>
      <c r="B791" s="10" t="n"/>
      <c r="C791" s="10" t="n"/>
      <c r="D791" s="5" t="n"/>
      <c r="E791" s="5" t="n"/>
      <c r="F791" s="10" t="n"/>
      <c r="G791" s="5" t="n"/>
      <c r="H791" s="5" t="n"/>
      <c r="I791" s="5" t="n"/>
      <c r="J791" s="5" t="n"/>
      <c r="K791" s="10" t="inlineStr">
        <is>
          <t>Not on master list (purchase list)</t>
        </is>
      </c>
      <c r="L791" s="5" t="n"/>
      <c r="M791" s="5" t="n"/>
      <c r="N791" s="10" t="n"/>
      <c r="O791" s="10" t="n"/>
      <c r="P791" s="10" t="n"/>
      <c r="Q791" s="10" t="n"/>
      <c r="R791" s="10" t="n"/>
    </row>
    <row r="792">
      <c r="A792" s="10" t="inlineStr">
        <is>
          <t>Vitamin A Palmitate</t>
        </is>
      </c>
      <c r="B792" s="10" t="n"/>
      <c r="C792" s="10" t="n"/>
      <c r="D792" s="5" t="n"/>
      <c r="E792" s="5" t="n"/>
      <c r="F792" s="10" t="n"/>
      <c r="G792" s="5" t="n"/>
      <c r="H792" s="5" t="n"/>
      <c r="I792" s="5" t="n"/>
      <c r="J792" s="5" t="n"/>
      <c r="K792" s="10" t="inlineStr">
        <is>
          <t>Not on master list (time records)</t>
        </is>
      </c>
      <c r="L792" s="5" t="n"/>
      <c r="M792" s="5" t="n"/>
      <c r="N792" s="10" t="n"/>
      <c r="O792" s="10" t="n"/>
      <c r="P792" s="10" t="n"/>
      <c r="Q792" s="10" t="n"/>
      <c r="R792" s="10" t="n"/>
    </row>
    <row r="793">
      <c r="A793" s="10" t="inlineStr">
        <is>
          <t>Vitamin A Powder</t>
        </is>
      </c>
      <c r="B793" s="10" t="n"/>
      <c r="C793" s="10" t="n"/>
      <c r="D793" s="5" t="n"/>
      <c r="E793" s="5" t="n"/>
      <c r="F793" s="10" t="n"/>
      <c r="G793" s="5" t="n"/>
      <c r="H793" s="5" t="n"/>
      <c r="I793" s="5" t="n"/>
      <c r="J793" s="5" t="n"/>
      <c r="K793" s="10" t="inlineStr">
        <is>
          <t>Not on master list (purchase list)</t>
        </is>
      </c>
      <c r="L793" s="5" t="n"/>
      <c r="M793" s="5" t="n"/>
      <c r="N793" s="10" t="n"/>
      <c r="O793" s="10" t="n"/>
      <c r="P793" s="10" t="n"/>
      <c r="Q793" s="10" t="n"/>
      <c r="R793" s="10" t="n"/>
    </row>
    <row r="794">
      <c r="A794" s="10" t="inlineStr">
        <is>
          <t>Vitamin A Powder-50000</t>
        </is>
      </c>
      <c r="B794" s="10" t="n"/>
      <c r="C794" s="10" t="n"/>
      <c r="D794" s="5" t="n"/>
      <c r="E794" s="5" t="n"/>
      <c r="F794" s="10" t="n"/>
      <c r="G794" s="5" t="n"/>
      <c r="H794" s="5" t="n"/>
      <c r="I794" s="5" t="n"/>
      <c r="J794" s="5" t="n"/>
      <c r="K794" s="10" t="inlineStr">
        <is>
          <t>Not on master list (purchase list)</t>
        </is>
      </c>
      <c r="L794" s="5" t="n"/>
      <c r="M794" s="5" t="n"/>
      <c r="N794" s="10" t="n"/>
      <c r="O794" s="10" t="n"/>
      <c r="P794" s="10" t="n"/>
      <c r="Q794" s="10" t="n"/>
      <c r="R794" s="10" t="n"/>
    </row>
    <row r="795">
      <c r="A795" s="10" t="inlineStr">
        <is>
          <t>Vitamin B 6- Food Grade</t>
        </is>
      </c>
      <c r="B795" s="10" t="n"/>
      <c r="C795" s="10" t="n"/>
      <c r="D795" s="5" t="n"/>
      <c r="E795" s="5" t="n"/>
      <c r="F795" s="10" t="n"/>
      <c r="G795" s="5" t="n"/>
      <c r="H795" s="5" t="n"/>
      <c r="I795" s="5" t="n"/>
      <c r="J795" s="5" t="n"/>
      <c r="K795" s="10" t="inlineStr">
        <is>
          <t>Not on master list (purchase list)</t>
        </is>
      </c>
      <c r="L795" s="5" t="n"/>
      <c r="M795" s="5" t="n"/>
      <c r="N795" s="10" t="n"/>
      <c r="O795" s="10" t="n"/>
      <c r="P795" s="10" t="n"/>
      <c r="Q795" s="10" t="n"/>
      <c r="R795" s="10" t="n"/>
    </row>
    <row r="796">
      <c r="A796" s="10" t="inlineStr">
        <is>
          <t>Vitamin B1 (Thiamin Monohydrate)</t>
        </is>
      </c>
      <c r="B796" s="10" t="n"/>
      <c r="C796" s="10" t="n"/>
      <c r="D796" s="5" t="n"/>
      <c r="E796" s="5" t="n"/>
      <c r="F796" s="10" t="n"/>
      <c r="G796" s="5" t="n"/>
      <c r="H796" s="5" t="n"/>
      <c r="I796" s="5" t="n"/>
      <c r="J796" s="5" t="n"/>
      <c r="K796" s="10" t="inlineStr">
        <is>
          <t>Not on master list (time records)</t>
        </is>
      </c>
      <c r="L796" s="5" t="n"/>
      <c r="M796" s="5" t="n"/>
      <c r="N796" s="10" t="n"/>
      <c r="O796" s="10" t="n"/>
      <c r="P796" s="10" t="n"/>
      <c r="Q796" s="10" t="n"/>
      <c r="R796" s="10" t="n"/>
    </row>
    <row r="797">
      <c r="A797" s="10" t="inlineStr">
        <is>
          <t>Vitamin B2(Riboflavin</t>
        </is>
      </c>
      <c r="B797" s="10" t="n"/>
      <c r="C797" s="10" t="n"/>
      <c r="D797" s="5" t="n"/>
      <c r="E797" s="5" t="n"/>
      <c r="F797" s="10" t="n"/>
      <c r="G797" s="5" t="n"/>
      <c r="H797" s="5" t="n"/>
      <c r="I797" s="5" t="n"/>
      <c r="J797" s="5" t="n"/>
      <c r="K797" s="10" t="inlineStr">
        <is>
          <t>Not on master list (purchase list)</t>
        </is>
      </c>
      <c r="L797" s="5" t="n"/>
      <c r="M797" s="5" t="n"/>
      <c r="N797" s="10" t="n"/>
      <c r="O797" s="10" t="n"/>
      <c r="P797" s="10" t="n"/>
      <c r="Q797" s="10" t="n"/>
      <c r="R797" s="10" t="n"/>
    </row>
    <row r="798">
      <c r="A798" s="10" t="inlineStr">
        <is>
          <t>Vitamin B7 (Biotin)</t>
        </is>
      </c>
      <c r="B798" s="10" t="n"/>
      <c r="C798" s="10" t="n"/>
      <c r="D798" s="5" t="n"/>
      <c r="E798" s="5" t="n"/>
      <c r="F798" s="10" t="n"/>
      <c r="G798" s="5" t="n"/>
      <c r="H798" s="5" t="n"/>
      <c r="I798" s="5" t="n"/>
      <c r="J798" s="5" t="n"/>
      <c r="K798" s="10" t="inlineStr">
        <is>
          <t>Not on master list (time records)</t>
        </is>
      </c>
      <c r="L798" s="5" t="n"/>
      <c r="M798" s="5" t="n"/>
      <c r="N798" s="10" t="n"/>
      <c r="O798" s="10" t="n"/>
      <c r="P798" s="10" t="n">
        <v>12.68</v>
      </c>
      <c r="Q798" s="10" t="n"/>
      <c r="R798" s="10" t="n"/>
    </row>
    <row r="799">
      <c r="A799" s="10" t="inlineStr">
        <is>
          <t>Vitamin B9 (Folic Acid)</t>
        </is>
      </c>
      <c r="B799" s="10" t="n"/>
      <c r="C799" s="10" t="n"/>
      <c r="D799" s="5" t="n"/>
      <c r="E799" s="5" t="n"/>
      <c r="F799" s="10" t="n"/>
      <c r="G799" s="5" t="n"/>
      <c r="H799" s="5" t="n"/>
      <c r="I799" s="5" t="n"/>
      <c r="J799" s="5" t="n"/>
      <c r="K799" s="10" t="inlineStr">
        <is>
          <t>Not on master list (time records)</t>
        </is>
      </c>
      <c r="L799" s="5" t="n"/>
      <c r="M799" s="5" t="n"/>
      <c r="N799" s="10" t="n"/>
      <c r="O799" s="10" t="n"/>
      <c r="P799" s="10" t="n">
        <v>11.35</v>
      </c>
      <c r="Q799" s="10" t="n"/>
      <c r="R799" s="10" t="n"/>
    </row>
    <row r="800">
      <c r="A800" s="10" t="inlineStr">
        <is>
          <t>Vitamin C Coated Lipid</t>
        </is>
      </c>
      <c r="B800" s="10" t="n"/>
      <c r="C800" s="10" t="n"/>
      <c r="D800" s="5" t="n"/>
      <c r="E800" s="5" t="n"/>
      <c r="F800" s="10" t="n"/>
      <c r="G800" s="5" t="n"/>
      <c r="H800" s="5" t="n"/>
      <c r="I800" s="5" t="n"/>
      <c r="J800" s="5" t="n"/>
      <c r="K800" s="10" t="inlineStr">
        <is>
          <t>Not on master list (time records)</t>
        </is>
      </c>
      <c r="L800" s="5" t="n"/>
      <c r="M800" s="5" t="n"/>
      <c r="N800" s="10" t="n"/>
      <c r="O800" s="10" t="n"/>
      <c r="P800" s="10" t="n"/>
      <c r="Q800" s="10" t="n"/>
      <c r="R800" s="10" t="n"/>
    </row>
    <row r="801">
      <c r="A801" s="10" t="inlineStr">
        <is>
          <t>VITAMIN C COATED-97.05%</t>
        </is>
      </c>
      <c r="B801" s="10" t="n"/>
      <c r="C801" s="10" t="n"/>
      <c r="D801" s="5" t="n"/>
      <c r="E801" s="5" t="n"/>
      <c r="F801" s="10" t="n"/>
      <c r="G801" s="5" t="n"/>
      <c r="H801" s="5" t="n"/>
      <c r="I801" s="5" t="n"/>
      <c r="J801" s="5" t="n"/>
      <c r="K801" s="10" t="inlineStr">
        <is>
          <t>Not on master list (purchase list)</t>
        </is>
      </c>
      <c r="L801" s="5" t="n"/>
      <c r="M801" s="5" t="n"/>
      <c r="N801" s="10" t="n"/>
      <c r="O801" s="10" t="n"/>
      <c r="P801" s="10" t="n"/>
      <c r="Q801" s="10" t="n"/>
      <c r="R801" s="10" t="n"/>
    </row>
    <row r="802">
      <c r="A802" s="10" t="inlineStr">
        <is>
          <t>Vitamin D3 -100000</t>
        </is>
      </c>
      <c r="B802" s="10" t="n"/>
      <c r="C802" s="10" t="n"/>
      <c r="D802" s="5" t="n"/>
      <c r="E802" s="5" t="n"/>
      <c r="F802" s="10" t="n"/>
      <c r="G802" s="5" t="n"/>
      <c r="H802" s="5" t="n"/>
      <c r="I802" s="5" t="n"/>
      <c r="J802" s="5" t="n"/>
      <c r="K802" s="10" t="inlineStr">
        <is>
          <t>Not on master list (purchase list)</t>
        </is>
      </c>
      <c r="L802" s="5" t="n"/>
      <c r="M802" s="5" t="n"/>
      <c r="N802" s="10" t="n"/>
      <c r="O802" s="10" t="n"/>
      <c r="P802" s="10" t="n"/>
      <c r="Q802" s="10" t="n"/>
      <c r="R802" s="10" t="n"/>
    </row>
    <row r="803">
      <c r="A803" s="10" t="inlineStr">
        <is>
          <t>Vitamin D3 Powder</t>
        </is>
      </c>
      <c r="B803" s="10" t="n"/>
      <c r="C803" s="10" t="n"/>
      <c r="D803" s="5" t="n"/>
      <c r="E803" s="5" t="n"/>
      <c r="F803" s="10" t="n"/>
      <c r="G803" s="5" t="n"/>
      <c r="H803" s="5" t="n"/>
      <c r="I803" s="5" t="n"/>
      <c r="J803" s="5" t="n"/>
      <c r="K803" s="10" t="inlineStr">
        <is>
          <t>Not on master list (purchase list)</t>
        </is>
      </c>
      <c r="L803" s="5" t="n"/>
      <c r="M803" s="5" t="n"/>
      <c r="N803" s="10" t="n"/>
      <c r="O803" s="10" t="n"/>
      <c r="P803" s="10" t="n"/>
      <c r="Q803" s="10" t="n"/>
      <c r="R803" s="10" t="n"/>
    </row>
    <row r="804">
      <c r="A804" s="10" t="inlineStr">
        <is>
          <t>Vitamin E (demoxinate E) liquid</t>
        </is>
      </c>
      <c r="B804" s="10" t="n"/>
      <c r="C804" s="10" t="n"/>
      <c r="D804" s="5" t="n"/>
      <c r="E804" s="5" t="n"/>
      <c r="F804" s="10" t="n"/>
      <c r="G804" s="5" t="n"/>
      <c r="H804" s="5" t="n"/>
      <c r="I804" s="5" t="n"/>
      <c r="J804" s="5" t="n"/>
      <c r="K804" s="10" t="inlineStr">
        <is>
          <t>Not on master list (time records)</t>
        </is>
      </c>
      <c r="L804" s="5" t="n"/>
      <c r="M804" s="5" t="n"/>
      <c r="N804" s="10" t="n"/>
      <c r="O804" s="10" t="n"/>
      <c r="P804" s="10" t="n"/>
      <c r="Q804" s="10" t="n"/>
      <c r="R804" s="10" t="n"/>
    </row>
    <row r="805">
      <c r="A805" s="10" t="inlineStr">
        <is>
          <t>Vitamin K1 5% Powder</t>
        </is>
      </c>
      <c r="B805" s="10" t="n"/>
      <c r="C805" s="10" t="n"/>
      <c r="D805" s="5" t="n"/>
      <c r="E805" s="5" t="n"/>
      <c r="F805" s="10" t="n"/>
      <c r="G805" s="5" t="n"/>
      <c r="H805" s="5" t="n"/>
      <c r="I805" s="5" t="n"/>
      <c r="J805" s="5" t="n"/>
      <c r="K805" s="10" t="inlineStr">
        <is>
          <t>Not on master list (purchase list)</t>
        </is>
      </c>
      <c r="L805" s="5" t="n"/>
      <c r="M805" s="5" t="n"/>
      <c r="N805" s="10" t="n"/>
      <c r="O805" s="10" t="n"/>
      <c r="P805" s="10" t="n"/>
      <c r="Q805" s="10" t="n"/>
      <c r="R805" s="10" t="n"/>
    </row>
    <row r="806">
      <c r="A806" s="10" t="inlineStr">
        <is>
          <t>Vitamin k1-Sample</t>
        </is>
      </c>
      <c r="B806" s="10" t="n"/>
      <c r="C806" s="10" t="n"/>
      <c r="D806" s="5" t="n"/>
      <c r="E806" s="5" t="n"/>
      <c r="F806" s="10" t="n"/>
      <c r="G806" s="5" t="n"/>
      <c r="H806" s="5" t="n"/>
      <c r="I806" s="5" t="n"/>
      <c r="J806" s="5" t="n"/>
      <c r="K806" s="10" t="inlineStr">
        <is>
          <t>Not on master list (purchase list)</t>
        </is>
      </c>
      <c r="L806" s="5" t="n"/>
      <c r="M806" s="5" t="n"/>
      <c r="N806" s="10" t="n"/>
      <c r="O806" s="10" t="n"/>
      <c r="P806" s="10" t="n"/>
      <c r="Q806" s="10" t="n"/>
      <c r="R806" s="10" t="n"/>
    </row>
    <row r="807">
      <c r="A807" s="10" t="inlineStr">
        <is>
          <t>Vitamin k2</t>
        </is>
      </c>
      <c r="B807" s="10" t="n"/>
      <c r="C807" s="10" t="n"/>
      <c r="D807" s="5" t="n"/>
      <c r="E807" s="5" t="n"/>
      <c r="F807" s="10" t="n"/>
      <c r="G807" s="5" t="n"/>
      <c r="H807" s="5" t="n"/>
      <c r="I807" s="5" t="n"/>
      <c r="J807" s="5" t="n"/>
      <c r="K807" s="10" t="inlineStr">
        <is>
          <t>Not on master list (purchase list)</t>
        </is>
      </c>
      <c r="L807" s="5" t="n"/>
      <c r="M807" s="5" t="n"/>
      <c r="N807" s="10" t="n"/>
      <c r="O807" s="10" t="n"/>
      <c r="P807" s="10" t="n"/>
      <c r="Q807" s="10" t="n"/>
      <c r="R807" s="10" t="n"/>
    </row>
    <row r="808">
      <c r="A808" s="10" t="inlineStr">
        <is>
          <t>Vitamin K2 Fermentation</t>
        </is>
      </c>
      <c r="B808" s="10" t="n"/>
      <c r="C808" s="10" t="n"/>
      <c r="D808" s="5" t="n"/>
      <c r="E808" s="5" t="n"/>
      <c r="F808" s="10" t="n"/>
      <c r="G808" s="5" t="n"/>
      <c r="H808" s="5" t="n"/>
      <c r="I808" s="5" t="n"/>
      <c r="J808" s="5" t="n"/>
      <c r="K808" s="10" t="inlineStr">
        <is>
          <t>Not on master list (time records)</t>
        </is>
      </c>
      <c r="L808" s="5" t="n"/>
      <c r="M808" s="5" t="n"/>
      <c r="N808" s="10" t="n"/>
      <c r="O808" s="10" t="n"/>
      <c r="P808" s="10" t="n"/>
      <c r="Q808" s="10" t="n"/>
      <c r="R808" s="10" t="n"/>
    </row>
    <row r="809">
      <c r="A809" s="10" t="inlineStr">
        <is>
          <t>Vitamin K2 Synthesis</t>
        </is>
      </c>
      <c r="B809" s="10" t="n"/>
      <c r="C809" s="10" t="n"/>
      <c r="D809" s="5" t="n"/>
      <c r="E809" s="5" t="n"/>
      <c r="F809" s="10" t="n"/>
      <c r="G809" s="5" t="n"/>
      <c r="H809" s="5" t="n"/>
      <c r="I809" s="5" t="n"/>
      <c r="J809" s="5" t="n"/>
      <c r="K809" s="10" t="inlineStr">
        <is>
          <t>Not on master list (time records)</t>
        </is>
      </c>
      <c r="L809" s="5" t="n"/>
      <c r="M809" s="5" t="n"/>
      <c r="N809" s="10" t="n"/>
      <c r="O809" s="10" t="n"/>
      <c r="P809" s="10" t="n"/>
      <c r="Q809" s="10" t="n"/>
      <c r="R809" s="10" t="n"/>
    </row>
    <row r="810">
      <c r="A810" s="10" t="inlineStr">
        <is>
          <t>Vonoprazan Fumarate IH</t>
        </is>
      </c>
      <c r="B810" s="10" t="n"/>
      <c r="C810" s="10" t="n"/>
      <c r="D810" s="5" t="n"/>
      <c r="E810" s="5" t="n"/>
      <c r="F810" s="10" t="n"/>
      <c r="G810" s="5" t="n"/>
      <c r="H810" s="5" t="n"/>
      <c r="I810" s="5" t="n"/>
      <c r="J810" s="5" t="n"/>
      <c r="K810" s="10" t="inlineStr">
        <is>
          <t>Not on master list (purchase list)</t>
        </is>
      </c>
      <c r="L810" s="5" t="n"/>
      <c r="M810" s="5" t="n"/>
      <c r="N810" s="10" t="n"/>
      <c r="O810" s="10" t="n"/>
      <c r="P810" s="10" t="n"/>
      <c r="Q810" s="10" t="n"/>
      <c r="R810" s="10" t="n"/>
    </row>
    <row r="811">
      <c r="A811" s="10" t="inlineStr">
        <is>
          <t>Wattle Ext.</t>
        </is>
      </c>
      <c r="B811" s="10" t="n"/>
      <c r="C811" s="10" t="n"/>
      <c r="D811" s="5" t="n"/>
      <c r="E811" s="5" t="n"/>
      <c r="F811" s="10" t="n"/>
      <c r="G811" s="5" t="n"/>
      <c r="H811" s="5" t="n"/>
      <c r="I811" s="5" t="n"/>
      <c r="J811" s="5" t="n"/>
      <c r="K811" s="10" t="inlineStr">
        <is>
          <t>Not on master list (time records)</t>
        </is>
      </c>
      <c r="L811" s="5" t="n"/>
      <c r="M811" s="5" t="n"/>
      <c r="N811" s="10" t="n"/>
      <c r="O811" s="10" t="n"/>
      <c r="P811" s="10" t="n"/>
      <c r="Q811" s="10" t="n"/>
      <c r="R811" s="10" t="n"/>
    </row>
    <row r="812">
      <c r="A812" s="10" t="inlineStr">
        <is>
          <t>Wild Cherry Ext.</t>
        </is>
      </c>
      <c r="B812" s="10" t="n"/>
      <c r="C812" s="10" t="n"/>
      <c r="D812" s="5" t="n"/>
      <c r="E812" s="5" t="n"/>
      <c r="F812" s="10" t="n"/>
      <c r="G812" s="5" t="n"/>
      <c r="H812" s="5" t="n"/>
      <c r="I812" s="5" t="n"/>
      <c r="J812" s="5" t="n"/>
      <c r="K812" s="10" t="inlineStr">
        <is>
          <t>Not on master list (time records)</t>
        </is>
      </c>
      <c r="L812" s="5" t="n"/>
      <c r="M812" s="5" t="n"/>
      <c r="N812" s="10" t="n"/>
      <c r="O812" s="10" t="n"/>
      <c r="P812" s="10" t="n"/>
      <c r="Q812" s="10" t="n"/>
      <c r="R812" s="10" t="n"/>
    </row>
    <row r="813">
      <c r="A813" s="10" t="inlineStr">
        <is>
          <t>Wine Tea Extract</t>
        </is>
      </c>
      <c r="B813" s="10" t="n"/>
      <c r="C813" s="10" t="n"/>
      <c r="D813" s="5" t="n"/>
      <c r="E813" s="5" t="n"/>
      <c r="F813" s="10" t="n"/>
      <c r="G813" s="5" t="n"/>
      <c r="H813" s="5" t="n"/>
      <c r="I813" s="5" t="n"/>
      <c r="J813" s="5" t="n"/>
      <c r="K813" s="10" t="inlineStr">
        <is>
          <t>Not on master list (time records)</t>
        </is>
      </c>
      <c r="L813" s="5" t="n"/>
      <c r="M813" s="5" t="n"/>
      <c r="N813" s="10" t="n"/>
      <c r="O813" s="10" t="n"/>
      <c r="P813" s="10" t="n"/>
      <c r="Q813" s="10" t="n"/>
      <c r="R813" s="10" t="n"/>
    </row>
    <row r="814">
      <c r="A814" s="10" t="inlineStr">
        <is>
          <t>Working Standard Colchicine</t>
        </is>
      </c>
      <c r="B814" s="10" t="n"/>
      <c r="C814" s="10" t="n"/>
      <c r="D814" s="5" t="n"/>
      <c r="E814" s="5" t="n"/>
      <c r="F814" s="10" t="n"/>
      <c r="G814" s="5" t="n"/>
      <c r="H814" s="5" t="n"/>
      <c r="I814" s="5" t="n"/>
      <c r="J814" s="5" t="n"/>
      <c r="K814" s="10" t="inlineStr">
        <is>
          <t>Not on master list (time records)</t>
        </is>
      </c>
      <c r="L814" s="5" t="n"/>
      <c r="M814" s="5" t="n"/>
      <c r="N814" s="10" t="n"/>
      <c r="O814" s="10" t="n"/>
      <c r="P814" s="10" t="n"/>
      <c r="Q814" s="10" t="n"/>
      <c r="R814" s="10" t="n"/>
    </row>
    <row r="815">
      <c r="A815" s="10" t="inlineStr">
        <is>
          <t>Wrapper Triplex (PUC/PE/PVDC)</t>
        </is>
      </c>
      <c r="B815" s="10" t="n"/>
      <c r="C815" s="10" t="n"/>
      <c r="D815" s="5" t="n"/>
      <c r="E815" s="5" t="n"/>
      <c r="F815" s="10" t="n"/>
      <c r="G815" s="5" t="n"/>
      <c r="H815" s="5" t="n"/>
      <c r="I815" s="5" t="n"/>
      <c r="J815" s="5" t="n"/>
      <c r="K815" s="10" t="inlineStr">
        <is>
          <t>Not on master list (time records)</t>
        </is>
      </c>
      <c r="L815" s="5" t="n"/>
      <c r="M815" s="5" t="n"/>
      <c r="N815" s="10" t="n"/>
      <c r="O815" s="10" t="n"/>
      <c r="P815" s="10" t="n"/>
      <c r="Q815" s="10" t="n"/>
      <c r="R815" s="10" t="n"/>
    </row>
    <row r="816">
      <c r="A816" s="10" t="inlineStr">
        <is>
          <t>Xanthan Gum</t>
        </is>
      </c>
      <c r="B816" s="10" t="n"/>
      <c r="C816" s="10" t="n"/>
      <c r="D816" s="5" t="n"/>
      <c r="E816" s="5" t="n"/>
      <c r="F816" s="10" t="n"/>
      <c r="G816" s="5" t="n"/>
      <c r="H816" s="5" t="n"/>
      <c r="I816" s="5" t="n"/>
      <c r="J816" s="5" t="n"/>
      <c r="K816" s="10" t="inlineStr">
        <is>
          <t>Not on master list (purchase list + time records)</t>
        </is>
      </c>
      <c r="L816" s="5" t="n"/>
      <c r="M816" s="5" t="n"/>
      <c r="N816" s="10" t="inlineStr">
        <is>
          <t>Xanthan Gum(SUPER GELL 6010)</t>
        </is>
      </c>
      <c r="O816" s="10" t="n"/>
      <c r="P816" s="10" t="n">
        <v>2.77</v>
      </c>
      <c r="Q816" s="10" t="n"/>
      <c r="R816" s="10" t="n"/>
    </row>
    <row r="817">
      <c r="A817" s="10" t="inlineStr">
        <is>
          <t>Xylene</t>
        </is>
      </c>
      <c r="B817" s="10" t="n"/>
      <c r="C817" s="10" t="n"/>
      <c r="D817" s="5" t="n"/>
      <c r="E817" s="5" t="n"/>
      <c r="F817" s="10" t="n"/>
      <c r="G817" s="5" t="n"/>
      <c r="H817" s="5" t="n"/>
      <c r="I817" s="5" t="n"/>
      <c r="J817" s="5" t="n"/>
      <c r="K817" s="10" t="inlineStr">
        <is>
          <t>Not on master list (time records)</t>
        </is>
      </c>
      <c r="L817" s="5" t="n"/>
      <c r="M817" s="5" t="n"/>
      <c r="N817" s="10" t="n"/>
      <c r="O817" s="10" t="n"/>
      <c r="P817" s="10" t="n"/>
      <c r="Q817" s="10" t="n"/>
      <c r="R817" s="10" t="n"/>
    </row>
    <row r="818">
      <c r="A818" s="10" t="inlineStr">
        <is>
          <t>Xylitol</t>
        </is>
      </c>
      <c r="B818" s="10" t="n"/>
      <c r="C818" s="10" t="n"/>
      <c r="D818" s="5" t="n"/>
      <c r="E818" s="5" t="n"/>
      <c r="F818" s="10" t="n"/>
      <c r="G818" s="5" t="n"/>
      <c r="H818" s="5" t="n"/>
      <c r="I818" s="5" t="n"/>
      <c r="J818" s="5" t="n"/>
      <c r="K818" s="10" t="inlineStr">
        <is>
          <t>Not on master list (purchase list + time records)</t>
        </is>
      </c>
      <c r="L818" s="5" t="n"/>
      <c r="M818" s="5" t="n"/>
      <c r="N818" s="10" t="n"/>
      <c r="O818" s="10" t="n"/>
      <c r="P818" s="10" t="n"/>
      <c r="Q818" s="10" t="n"/>
      <c r="R818" s="10" t="n"/>
    </row>
    <row r="819">
      <c r="A819" s="10" t="inlineStr">
        <is>
          <t>Yeast</t>
        </is>
      </c>
      <c r="B819" s="10" t="n"/>
      <c r="C819" s="10" t="n"/>
      <c r="D819" s="5" t="n"/>
      <c r="E819" s="5" t="n"/>
      <c r="F819" s="10" t="n"/>
      <c r="G819" s="5" t="n"/>
      <c r="H819" s="5" t="n"/>
      <c r="I819" s="5" t="n"/>
      <c r="J819" s="5" t="n"/>
      <c r="K819" s="10" t="inlineStr">
        <is>
          <t>Not on master list (time records)</t>
        </is>
      </c>
      <c r="L819" s="5" t="n"/>
      <c r="M819" s="5" t="n"/>
      <c r="N819" s="10" t="n"/>
      <c r="O819" s="10" t="n"/>
      <c r="P819" s="10" t="n"/>
      <c r="Q819" s="10" t="n"/>
      <c r="R819" s="10" t="n"/>
    </row>
    <row r="820">
      <c r="A820" s="10" t="inlineStr">
        <is>
          <t>Yellow Cap Probiotic Drop</t>
        </is>
      </c>
      <c r="B820" s="10" t="n"/>
      <c r="C820" s="10" t="n"/>
      <c r="D820" s="5" t="n"/>
      <c r="E820" s="5" t="n"/>
      <c r="F820" s="10" t="n"/>
      <c r="G820" s="5" t="n"/>
      <c r="H820" s="5" t="n"/>
      <c r="I820" s="5" t="n"/>
      <c r="J820" s="5" t="n"/>
      <c r="K820" s="10" t="inlineStr">
        <is>
          <t>Not on master list (time records)</t>
        </is>
      </c>
      <c r="L820" s="5" t="n"/>
      <c r="M820" s="5" t="n"/>
      <c r="N820" s="10" t="n"/>
      <c r="O820" s="10" t="n"/>
      <c r="P820" s="10" t="n"/>
      <c r="Q820" s="10" t="n"/>
      <c r="R820" s="10" t="n"/>
    </row>
    <row r="821">
      <c r="A821" s="10" t="inlineStr">
        <is>
          <t>Yohembine</t>
        </is>
      </c>
      <c r="B821" s="10" t="n"/>
      <c r="C821" s="10" t="n"/>
      <c r="D821" s="5" t="n"/>
      <c r="E821" s="5" t="n"/>
      <c r="F821" s="10" t="n"/>
      <c r="G821" s="5" t="n"/>
      <c r="H821" s="5" t="n"/>
      <c r="I821" s="5" t="n"/>
      <c r="J821" s="5" t="n"/>
      <c r="K821" s="10" t="inlineStr">
        <is>
          <t>Not on master list (time records)</t>
        </is>
      </c>
      <c r="L821" s="5" t="n"/>
      <c r="M821" s="5" t="n"/>
      <c r="N821" s="10" t="n"/>
      <c r="O821" s="10" t="n"/>
      <c r="P821" s="10" t="n"/>
      <c r="Q821" s="10" t="n"/>
      <c r="R821" s="10" t="n"/>
    </row>
    <row r="822">
      <c r="A822" s="10" t="inlineStr">
        <is>
          <t>Zeaxanthin Marigold Ext.</t>
        </is>
      </c>
      <c r="B822" s="10" t="n"/>
      <c r="C822" s="10" t="n"/>
      <c r="D822" s="5" t="n"/>
      <c r="E822" s="5" t="n"/>
      <c r="F822" s="10" t="n"/>
      <c r="G822" s="5" t="n"/>
      <c r="H822" s="5" t="n"/>
      <c r="I822" s="5" t="n"/>
      <c r="J822" s="5" t="n"/>
      <c r="K822" s="10" t="inlineStr">
        <is>
          <t>Not on master list (time records)</t>
        </is>
      </c>
      <c r="L822" s="5" t="n"/>
      <c r="M822" s="5" t="n"/>
      <c r="N822" s="10" t="n"/>
      <c r="O822" s="10" t="n"/>
      <c r="P822" s="10" t="n"/>
      <c r="Q822" s="10" t="n"/>
      <c r="R822" s="10" t="n"/>
    </row>
    <row r="823">
      <c r="A823" s="10" t="inlineStr">
        <is>
          <t>Zinc Sulfate</t>
        </is>
      </c>
      <c r="B823" s="10" t="n"/>
      <c r="C823" s="10" t="n"/>
      <c r="D823" s="5" t="n"/>
      <c r="E823" s="5" t="n"/>
      <c r="F823" s="10" t="n"/>
      <c r="G823" s="5" t="n"/>
      <c r="H823" s="5" t="n"/>
      <c r="I823" s="5" t="n"/>
      <c r="J823" s="5" t="n"/>
      <c r="K823" s="10" t="inlineStr">
        <is>
          <t>Not on master list (time records)</t>
        </is>
      </c>
      <c r="L823" s="5" t="n"/>
      <c r="M823" s="5" t="n"/>
      <c r="N823" s="10" t="n"/>
      <c r="O823" s="10" t="n"/>
      <c r="P823" s="10" t="n">
        <v>2.6</v>
      </c>
      <c r="Q823" s="10" t="n"/>
      <c r="R823" s="10" t="n"/>
    </row>
    <row r="824">
      <c r="A824" s="10" t="inlineStr">
        <is>
          <t>Zinc Sulfate Solution Titrisol</t>
        </is>
      </c>
      <c r="B824" s="10" t="n"/>
      <c r="C824" s="10" t="n"/>
      <c r="D824" s="5" t="n"/>
      <c r="E824" s="5" t="n"/>
      <c r="F824" s="10" t="n"/>
      <c r="G824" s="5" t="n"/>
      <c r="H824" s="5" t="n"/>
      <c r="I824" s="5" t="n"/>
      <c r="J824" s="5" t="n"/>
      <c r="K824" s="10" t="inlineStr">
        <is>
          <t>Not on master list (time records)</t>
        </is>
      </c>
      <c r="L824" s="5" t="n"/>
      <c r="M824" s="5" t="n"/>
      <c r="N824" s="10" t="n"/>
      <c r="O824" s="10" t="n"/>
      <c r="P824" s="10" t="n"/>
      <c r="Q824" s="10" t="n"/>
      <c r="R824" s="10" t="n"/>
    </row>
    <row r="825">
      <c r="A825" s="10" t="inlineStr">
        <is>
          <t>رنگ کارامل</t>
        </is>
      </c>
      <c r="B825" s="10" t="n"/>
      <c r="C825" s="10" t="n"/>
      <c r="D825" s="5" t="n"/>
      <c r="E825" s="5" t="n"/>
      <c r="F825" s="10" t="n"/>
      <c r="G825" s="5" t="n"/>
      <c r="H825" s="5" t="n"/>
      <c r="I825" s="5" t="n"/>
      <c r="J825" s="5" t="n"/>
      <c r="K825" s="10" t="inlineStr">
        <is>
          <t>Not on master list (purchase list)</t>
        </is>
      </c>
      <c r="L825" s="5" t="n"/>
      <c r="M825" s="5" t="n"/>
      <c r="N825" s="10" t="inlineStr">
        <is>
          <t>شکر دارویی</t>
        </is>
      </c>
      <c r="O825" s="10" t="n"/>
      <c r="P825" s="10" t="n"/>
      <c r="Q825" s="10" t="n"/>
      <c r="R825" s="10" t="n"/>
    </row>
    <row r="826">
      <c r="A826" s="10" t="inlineStr">
        <is>
          <t>پلی اتیلن گلیکول 4000 (PEG4000)</t>
        </is>
      </c>
      <c r="B826" s="10" t="n"/>
      <c r="C826" s="10" t="n"/>
      <c r="D826" s="5" t="n"/>
      <c r="E826" s="5" t="n"/>
      <c r="F826" s="10" t="n"/>
      <c r="G826" s="5" t="n"/>
      <c r="H826" s="5" t="n"/>
      <c r="I826" s="5" t="n"/>
      <c r="J826" s="5" t="n"/>
      <c r="K826" s="10" t="inlineStr">
        <is>
          <t>Not on master list (purchase list)</t>
        </is>
      </c>
      <c r="L826" s="5" t="n"/>
      <c r="M826" s="5" t="n"/>
      <c r="N826" s="10" t="n"/>
      <c r="O826" s="10" t="n"/>
      <c r="P826" s="10" t="n"/>
      <c r="Q826" s="10" t="n"/>
      <c r="R826" s="10" t="n"/>
    </row>
    <row r="827">
      <c r="A827" s="5" t="n"/>
      <c r="B827" s="10" t="n"/>
      <c r="C827" s="10" t="n"/>
      <c r="D827" s="5" t="n"/>
      <c r="E827" s="5" t="n"/>
      <c r="F827" s="10" t="n"/>
      <c r="G827" s="5" t="n"/>
      <c r="H827" s="5" t="n"/>
      <c r="I827" s="5" t="n"/>
      <c r="J827" s="5" t="n"/>
      <c r="K827" s="10" t="inlineStr">
        <is>
          <t>New - add name</t>
        </is>
      </c>
      <c r="L827" s="5" t="n"/>
      <c r="M827" s="5" t="inlineStr">
        <is>
          <t>Y</t>
        </is>
      </c>
      <c r="N827" s="10" t="n"/>
      <c r="O827" s="10" t="n"/>
      <c r="P827" s="10" t="n"/>
      <c r="Q827" s="10" t="n"/>
      <c r="R827" s="10" t="n"/>
    </row>
    <row r="828">
      <c r="A828" s="5" t="n"/>
      <c r="B828" s="10" t="n"/>
      <c r="C828" s="10" t="n"/>
      <c r="D828" s="5" t="n"/>
      <c r="E828" s="5" t="n"/>
      <c r="F828" s="10" t="n"/>
      <c r="G828" s="5" t="n"/>
      <c r="H828" s="5" t="n"/>
      <c r="I828" s="5" t="n"/>
      <c r="J828" s="5" t="n"/>
      <c r="K828" s="10" t="inlineStr">
        <is>
          <t>New - add name</t>
        </is>
      </c>
      <c r="L828" s="5" t="n"/>
      <c r="M828" s="5" t="inlineStr">
        <is>
          <t>Y</t>
        </is>
      </c>
      <c r="N828" s="10" t="n"/>
      <c r="O828" s="10" t="n"/>
      <c r="P828" s="10" t="n"/>
      <c r="Q828" s="10" t="n"/>
      <c r="R828" s="10" t="n"/>
    </row>
    <row r="829">
      <c r="A829" s="5" t="n"/>
      <c r="B829" s="10" t="n"/>
      <c r="C829" s="10" t="n"/>
      <c r="D829" s="5" t="n"/>
      <c r="E829" s="5" t="n"/>
      <c r="F829" s="10" t="n"/>
      <c r="G829" s="5" t="n"/>
      <c r="H829" s="5" t="n"/>
      <c r="I829" s="5" t="n"/>
      <c r="J829" s="5" t="n"/>
      <c r="K829" s="10" t="inlineStr">
        <is>
          <t>New - add name</t>
        </is>
      </c>
      <c r="L829" s="5" t="n"/>
      <c r="M829" s="5" t="inlineStr">
        <is>
          <t>Y</t>
        </is>
      </c>
      <c r="N829" s="10" t="n"/>
      <c r="O829" s="10" t="n"/>
      <c r="P829" s="10" t="n"/>
      <c r="Q829" s="10" t="n"/>
      <c r="R829" s="10" t="n"/>
    </row>
    <row r="830">
      <c r="A830" s="5" t="n"/>
      <c r="B830" s="10" t="n"/>
      <c r="C830" s="10" t="n"/>
      <c r="D830" s="5" t="n"/>
      <c r="E830" s="5" t="n"/>
      <c r="F830" s="10" t="n"/>
      <c r="G830" s="5" t="n"/>
      <c r="H830" s="5" t="n"/>
      <c r="I830" s="5" t="n"/>
      <c r="J830" s="5" t="n"/>
      <c r="K830" s="10" t="inlineStr">
        <is>
          <t>New - add name</t>
        </is>
      </c>
      <c r="L830" s="5" t="n"/>
      <c r="M830" s="5" t="inlineStr">
        <is>
          <t>Y</t>
        </is>
      </c>
      <c r="N830" s="10" t="n"/>
      <c r="O830" s="10" t="n"/>
      <c r="P830" s="10" t="n"/>
      <c r="Q830" s="10" t="n"/>
      <c r="R830" s="10" t="n"/>
    </row>
    <row r="831">
      <c r="A831" s="5" t="n"/>
      <c r="B831" s="10" t="n"/>
      <c r="C831" s="10" t="n"/>
      <c r="D831" s="5" t="n"/>
      <c r="E831" s="5" t="n"/>
      <c r="F831" s="10" t="n"/>
      <c r="G831" s="5" t="n"/>
      <c r="H831" s="5" t="n"/>
      <c r="I831" s="5" t="n"/>
      <c r="J831" s="5" t="n"/>
      <c r="K831" s="10" t="inlineStr">
        <is>
          <t>New - add name</t>
        </is>
      </c>
      <c r="L831" s="5" t="n"/>
      <c r="M831" s="5" t="inlineStr">
        <is>
          <t>Y</t>
        </is>
      </c>
      <c r="N831" s="10" t="n"/>
      <c r="O831" s="10" t="n"/>
      <c r="P831" s="10" t="n"/>
      <c r="Q831" s="10" t="n"/>
      <c r="R831" s="10" t="n"/>
    </row>
    <row r="832">
      <c r="A832" s="5" t="n"/>
      <c r="B832" s="10" t="n"/>
      <c r="C832" s="10" t="n"/>
      <c r="D832" s="5" t="n"/>
      <c r="E832" s="5" t="n"/>
      <c r="F832" s="10" t="n"/>
      <c r="G832" s="5" t="n"/>
      <c r="H832" s="5" t="n"/>
      <c r="I832" s="5" t="n"/>
      <c r="J832" s="5" t="n"/>
      <c r="K832" s="10" t="inlineStr">
        <is>
          <t>New - add name</t>
        </is>
      </c>
      <c r="L832" s="5" t="n"/>
      <c r="M832" s="5" t="inlineStr">
        <is>
          <t>Y</t>
        </is>
      </c>
      <c r="N832" s="10" t="n"/>
      <c r="O832" s="10" t="n"/>
      <c r="P832" s="10" t="n"/>
      <c r="Q832" s="10" t="n"/>
      <c r="R832" s="10" t="n"/>
    </row>
    <row r="833">
      <c r="A833" s="5" t="n"/>
      <c r="B833" s="10" t="n"/>
      <c r="C833" s="10" t="n"/>
      <c r="D833" s="5" t="n"/>
      <c r="E833" s="5" t="n"/>
      <c r="F833" s="10" t="n"/>
      <c r="G833" s="5" t="n"/>
      <c r="H833" s="5" t="n"/>
      <c r="I833" s="5" t="n"/>
      <c r="J833" s="5" t="n"/>
      <c r="K833" s="10" t="inlineStr">
        <is>
          <t>New - add name</t>
        </is>
      </c>
      <c r="L833" s="5" t="n"/>
      <c r="M833" s="5" t="inlineStr">
        <is>
          <t>Y</t>
        </is>
      </c>
      <c r="N833" s="10" t="n"/>
      <c r="O833" s="10" t="n"/>
      <c r="P833" s="10" t="n"/>
      <c r="Q833" s="10" t="n"/>
      <c r="R833" s="10" t="n"/>
    </row>
    <row r="834">
      <c r="A834" s="5" t="n"/>
      <c r="B834" s="10" t="n"/>
      <c r="C834" s="10" t="n"/>
      <c r="D834" s="5" t="n"/>
      <c r="E834" s="5" t="n"/>
      <c r="F834" s="10" t="n"/>
      <c r="G834" s="5" t="n"/>
      <c r="H834" s="5" t="n"/>
      <c r="I834" s="5" t="n"/>
      <c r="J834" s="5" t="n"/>
      <c r="K834" s="10" t="inlineStr">
        <is>
          <t>New - add name</t>
        </is>
      </c>
      <c r="L834" s="5" t="n"/>
      <c r="M834" s="5" t="inlineStr">
        <is>
          <t>Y</t>
        </is>
      </c>
      <c r="N834" s="10" t="n"/>
      <c r="O834" s="10" t="n"/>
      <c r="P834" s="10" t="n"/>
      <c r="Q834" s="10" t="n"/>
      <c r="R834" s="10" t="n"/>
    </row>
    <row r="835">
      <c r="A835" s="5" t="n"/>
      <c r="B835" s="10" t="n"/>
      <c r="C835" s="10" t="n"/>
      <c r="D835" s="5" t="n"/>
      <c r="E835" s="5" t="n"/>
      <c r="F835" s="10" t="n"/>
      <c r="G835" s="5" t="n"/>
      <c r="H835" s="5" t="n"/>
      <c r="I835" s="5" t="n"/>
      <c r="J835" s="5" t="n"/>
      <c r="K835" s="10" t="inlineStr">
        <is>
          <t>New - add name</t>
        </is>
      </c>
      <c r="L835" s="5" t="n"/>
      <c r="M835" s="5" t="inlineStr">
        <is>
          <t>Y</t>
        </is>
      </c>
      <c r="N835" s="10" t="n"/>
      <c r="O835" s="10" t="n"/>
      <c r="P835" s="10" t="n"/>
      <c r="Q835" s="10" t="n"/>
      <c r="R835" s="10" t="n"/>
    </row>
    <row r="836">
      <c r="A836" s="5" t="n"/>
      <c r="B836" s="10" t="n"/>
      <c r="C836" s="10" t="n"/>
      <c r="D836" s="5" t="n"/>
      <c r="E836" s="5" t="n"/>
      <c r="F836" s="10" t="n"/>
      <c r="G836" s="5" t="n"/>
      <c r="H836" s="5" t="n"/>
      <c r="I836" s="5" t="n"/>
      <c r="J836" s="5" t="n"/>
      <c r="K836" s="10" t="inlineStr">
        <is>
          <t>New - add name</t>
        </is>
      </c>
      <c r="L836" s="5" t="n"/>
      <c r="M836" s="5" t="inlineStr">
        <is>
          <t>Y</t>
        </is>
      </c>
      <c r="N836" s="10" t="n"/>
      <c r="O836" s="10" t="n"/>
      <c r="P836" s="10" t="n"/>
      <c r="Q836" s="10" t="n"/>
      <c r="R836" s="10" t="n"/>
    </row>
  </sheetData>
  <autoFilter ref="A1:R836"/>
  <dataValidations count="2">
    <dataValidation sqref="J2:J1036" showDropDown="0" showInputMessage="0" showErrorMessage="0" allowBlank="1" type="list">
      <formula1>"None,ID + CoA,Skip-lot"</formula1>
    </dataValidation>
    <dataValidation sqref="M2:M1036" showDropDown="0" showInputMessage="0" showErrorMessage="0" allowBlank="1" type="list">
      <formula1>"Y,N"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13" customWidth="1" min="3" max="3"/>
    <col width="8" customWidth="1" min="4" max="4"/>
    <col width="18"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30" customWidth="1" min="16" max="16"/>
  </cols>
  <sheetData>
    <row r="1" ht="45" customHeight="1">
      <c r="A1" s="13" t="inlineStr">
        <is>
          <t>Code</t>
        </is>
      </c>
      <c r="B1" s="13" t="inlineStr">
        <is>
          <t>Test</t>
        </is>
      </c>
      <c r="C1" s="13" t="inlineStr">
        <is>
          <t>Instrument</t>
        </is>
      </c>
      <c r="D1" s="13" t="inlineStr">
        <is>
          <t>Rows using it (auto)</t>
        </is>
      </c>
      <c r="E1" s="13" t="inlineStr">
        <is>
          <t>Lab catalog time (min)</t>
        </is>
      </c>
      <c r="F1" s="13" t="inlineStr">
        <is>
          <t>Setup analyst h / sequence</t>
        </is>
      </c>
      <c r="G1" s="13" t="inlineStr">
        <is>
          <t>Setup instrument h / sequence</t>
        </is>
      </c>
      <c r="H1" s="13" t="inlineStr">
        <is>
          <t>Prep analyst h/sample – MIN</t>
        </is>
      </c>
      <c r="I1" s="13" t="inlineStr">
        <is>
          <t>Prep – MOST LIKELY</t>
        </is>
      </c>
      <c r="J1" s="13" t="inlineStr">
        <is>
          <t>Prep – MAX</t>
        </is>
      </c>
      <c r="K1" s="13" t="inlineStr">
        <is>
          <t>Instrument run h / sample</t>
        </is>
      </c>
      <c r="L1" s="13" t="inlineStr">
        <is>
          <t>Data processing + doc h / sample</t>
        </is>
      </c>
      <c r="M1" s="13" t="inlineStr">
        <is>
          <t>Review h / sample</t>
        </is>
      </c>
      <c r="N1" s="13" t="inlineStr">
        <is>
          <t>Samples per sequence / run</t>
        </is>
      </c>
      <c r="O1" s="13" t="inlineStr">
        <is>
          <t>Outsourced (Y/N)</t>
        </is>
      </c>
      <c r="P1" s="13" t="inlineStr">
        <is>
          <t>Notes</t>
        </is>
      </c>
    </row>
    <row r="2">
      <c r="A2" s="10" t="inlineStr">
        <is>
          <t>APPEAR</t>
        </is>
      </c>
      <c r="B2" s="10" t="inlineStr">
        <is>
          <t>Appearance / description and solubility</t>
        </is>
      </c>
      <c r="C2" s="10" t="inlineStr">
        <is>
          <t>Other / bench</t>
        </is>
      </c>
      <c r="D2" s="10">
        <f>COUNTIFS('Test times'!$AB:$AB,$A2,'Test times'!$F:$F,"Y")</f>
        <v/>
      </c>
      <c r="E2" s="10" t="inlineStr">
        <is>
          <t>Description 1; Soluibility 15</t>
        </is>
      </c>
      <c r="F2" s="5" t="n"/>
      <c r="G2" s="5" t="n"/>
      <c r="H2" s="5" t="n"/>
      <c r="I2" s="5" t="n"/>
      <c r="J2" s="5" t="n"/>
      <c r="K2" s="5" t="n"/>
      <c r="L2" s="5" t="n"/>
      <c r="M2" s="5" t="n"/>
      <c r="N2" s="5" t="n"/>
      <c r="O2" s="5" t="n"/>
      <c r="P2" s="5" t="n"/>
    </row>
    <row r="3">
      <c r="A3" s="10" t="inlineStr">
        <is>
          <t>ID_IR</t>
        </is>
      </c>
      <c r="B3" s="10" t="inlineStr">
        <is>
          <t>Identification - IR spectrum</t>
        </is>
      </c>
      <c r="C3" s="10" t="inlineStr">
        <is>
          <t>Other / bench</t>
        </is>
      </c>
      <c r="D3" s="10">
        <f>COUNTIFS('Test times'!$AB:$AB,$A3,'Test times'!$F:$F,"Y")</f>
        <v/>
      </c>
      <c r="E3" s="10" t="n"/>
      <c r="F3" s="5" t="n"/>
      <c r="G3" s="5" t="n"/>
      <c r="H3" s="5" t="n"/>
      <c r="I3" s="5" t="n"/>
      <c r="J3" s="5" t="n"/>
      <c r="K3" s="5" t="n"/>
      <c r="L3" s="5" t="n"/>
      <c r="M3" s="5" t="n"/>
      <c r="N3" s="5" t="n"/>
      <c r="O3" s="5" t="n"/>
      <c r="P3" s="5" t="n"/>
    </row>
    <row r="4">
      <c r="A4" s="10" t="inlineStr">
        <is>
          <t>ID_UV</t>
        </is>
      </c>
      <c r="B4" s="10" t="inlineStr">
        <is>
          <t>Identification - UV spectrum</t>
        </is>
      </c>
      <c r="C4" s="10" t="inlineStr">
        <is>
          <t>UV-Vis</t>
        </is>
      </c>
      <c r="D4" s="10">
        <f>COUNTIFS('Test times'!$AB:$AB,$A4,'Test times'!$F:$F,"Y")</f>
        <v/>
      </c>
      <c r="E4" s="10" t="n"/>
      <c r="F4" s="5" t="n"/>
      <c r="G4" s="5" t="n"/>
      <c r="H4" s="5" t="n"/>
      <c r="I4" s="5" t="n"/>
      <c r="J4" s="5" t="n"/>
      <c r="K4" s="5" t="n"/>
      <c r="L4" s="5" t="n"/>
      <c r="M4" s="5" t="n"/>
      <c r="N4" s="5" t="n"/>
      <c r="O4" s="5" t="n"/>
      <c r="P4" s="5" t="n"/>
    </row>
    <row r="5">
      <c r="A5" s="10" t="inlineStr">
        <is>
          <t>ID_CHEM</t>
        </is>
      </c>
      <c r="B5" s="10" t="inlineStr">
        <is>
          <t>Identification - chemical reaction (incl. &lt;191&gt;)</t>
        </is>
      </c>
      <c r="C5" s="10" t="inlineStr">
        <is>
          <t>Other / bench</t>
        </is>
      </c>
      <c r="D5" s="10">
        <f>COUNTIFS('Test times'!$AB:$AB,$A5,'Test times'!$F:$F,"Y")</f>
        <v/>
      </c>
      <c r="E5" s="10" t="n"/>
      <c r="F5" s="5" t="n"/>
      <c r="G5" s="5" t="n"/>
      <c r="H5" s="5" t="n"/>
      <c r="I5" s="5" t="n"/>
      <c r="J5" s="5" t="n"/>
      <c r="K5" s="5" t="n"/>
      <c r="L5" s="5" t="n"/>
      <c r="M5" s="5" t="n"/>
      <c r="N5" s="5" t="n"/>
      <c r="O5" s="5" t="n"/>
      <c r="P5" s="5" t="n"/>
    </row>
    <row r="6">
      <c r="A6" s="10" t="inlineStr">
        <is>
          <t>TLC</t>
        </is>
      </c>
      <c r="B6" s="10" t="inlineStr">
        <is>
          <t>TLC (identification or limit)</t>
        </is>
      </c>
      <c r="C6" s="10" t="inlineStr">
        <is>
          <t>Other / bench</t>
        </is>
      </c>
      <c r="D6" s="10">
        <f>COUNTIFS('Test times'!$AB:$AB,$A6,'Test times'!$F:$F,"Y")</f>
        <v/>
      </c>
      <c r="E6" s="10" t="inlineStr">
        <is>
          <t>TLC (drug) 30</t>
        </is>
      </c>
      <c r="F6" s="5" t="n"/>
      <c r="G6" s="5" t="n"/>
      <c r="H6" s="5" t="n"/>
      <c r="I6" s="5" t="n"/>
      <c r="J6" s="5" t="n"/>
      <c r="K6" s="5" t="n"/>
      <c r="L6" s="5" t="n"/>
      <c r="M6" s="5" t="n"/>
      <c r="N6" s="5" t="n"/>
      <c r="O6" s="5" t="n"/>
      <c r="P6" s="5" t="n"/>
    </row>
    <row r="7">
      <c r="A7" s="10" t="inlineStr">
        <is>
          <t>LOD</t>
        </is>
      </c>
      <c r="B7" s="10" t="inlineStr">
        <is>
          <t>Loss on drying</t>
        </is>
      </c>
      <c r="C7" s="10" t="inlineStr">
        <is>
          <t>Other / bench</t>
        </is>
      </c>
      <c r="D7" s="10">
        <f>COUNTIFS('Test times'!$AB:$AB,$A7,'Test times'!$F:$F,"Y")</f>
        <v/>
      </c>
      <c r="E7" s="10" t="inlineStr">
        <is>
          <t>LOD (60 min) 70</t>
        </is>
      </c>
      <c r="F7" s="5" t="n"/>
      <c r="G7" s="5" t="n"/>
      <c r="H7" s="5" t="n"/>
      <c r="I7" s="5" t="n"/>
      <c r="J7" s="5" t="n"/>
      <c r="K7" s="5" t="n"/>
      <c r="L7" s="5" t="n"/>
      <c r="M7" s="5" t="n"/>
      <c r="N7" s="5" t="n"/>
      <c r="O7" s="5" t="n"/>
      <c r="P7" s="5" t="n"/>
    </row>
    <row r="8">
      <c r="A8" s="10" t="inlineStr">
        <is>
          <t>KF</t>
        </is>
      </c>
      <c r="B8" s="10" t="inlineStr">
        <is>
          <t>Water - Karl Fischer</t>
        </is>
      </c>
      <c r="C8" s="10" t="inlineStr">
        <is>
          <t>KF titrator</t>
        </is>
      </c>
      <c r="D8" s="10">
        <f>COUNTIFS('Test times'!$AB:$AB,$A8,'Test times'!$F:$F,"Y")</f>
        <v/>
      </c>
      <c r="E8" s="10" t="inlineStr">
        <is>
          <t>Water content 20</t>
        </is>
      </c>
      <c r="F8" s="5" t="n"/>
      <c r="G8" s="5" t="n"/>
      <c r="H8" s="5" t="n"/>
      <c r="I8" s="5" t="n"/>
      <c r="J8" s="5" t="n"/>
      <c r="K8" s="5" t="n"/>
      <c r="L8" s="5" t="n"/>
      <c r="M8" s="5" t="n"/>
      <c r="N8" s="5" t="n"/>
      <c r="O8" s="5" t="n"/>
      <c r="P8" s="5" t="n"/>
    </row>
    <row r="9">
      <c r="A9" s="10" t="inlineStr">
        <is>
          <t>ROI</t>
        </is>
      </c>
      <c r="B9" s="10" t="inlineStr">
        <is>
          <t>Residue on ignition / sulfated ash</t>
        </is>
      </c>
      <c r="C9" s="10" t="inlineStr">
        <is>
          <t>Other / bench</t>
        </is>
      </c>
      <c r="D9" s="10">
        <f>COUNTIFS('Test times'!$AB:$AB,$A9,'Test times'!$F:$F,"Y")</f>
        <v/>
      </c>
      <c r="E9" s="10" t="inlineStr">
        <is>
          <t>Ash 80</t>
        </is>
      </c>
      <c r="F9" s="5" t="n"/>
      <c r="G9" s="5" t="n"/>
      <c r="H9" s="5" t="n"/>
      <c r="I9" s="5" t="n"/>
      <c r="J9" s="5" t="n"/>
      <c r="K9" s="5" t="n"/>
      <c r="L9" s="5" t="n"/>
      <c r="M9" s="5" t="n"/>
      <c r="N9" s="5" t="n"/>
      <c r="O9" s="5" t="n"/>
      <c r="P9" s="5" t="n"/>
    </row>
    <row r="10">
      <c r="A10" s="10" t="inlineStr">
        <is>
          <t>LOI</t>
        </is>
      </c>
      <c r="B10" s="10" t="inlineStr">
        <is>
          <t>Loss on ignition</t>
        </is>
      </c>
      <c r="C10" s="10" t="inlineStr">
        <is>
          <t>Other / bench</t>
        </is>
      </c>
      <c r="D10" s="10">
        <f>COUNTIFS('Test times'!$AB:$AB,$A10,'Test times'!$F:$F,"Y")</f>
        <v/>
      </c>
      <c r="E10" s="10" t="n"/>
      <c r="F10" s="5" t="n"/>
      <c r="G10" s="5" t="n"/>
      <c r="H10" s="5" t="n"/>
      <c r="I10" s="5" t="n"/>
      <c r="J10" s="5" t="n"/>
      <c r="K10" s="5" t="n"/>
      <c r="L10" s="5" t="n"/>
      <c r="M10" s="5" t="n"/>
      <c r="N10" s="5" t="n"/>
      <c r="O10" s="5" t="n"/>
      <c r="P10" s="5" t="n"/>
    </row>
    <row r="11">
      <c r="A11" s="10" t="inlineStr">
        <is>
          <t>ASH</t>
        </is>
      </c>
      <c r="B11" s="10" t="inlineStr">
        <is>
          <t>Total / acid-insoluble ash (botanical)</t>
        </is>
      </c>
      <c r="C11" s="10" t="inlineStr">
        <is>
          <t>Other / bench</t>
        </is>
      </c>
      <c r="D11" s="10">
        <f>COUNTIFS('Test times'!$AB:$AB,$A11,'Test times'!$F:$F,"Y")</f>
        <v/>
      </c>
      <c r="E11" s="10" t="inlineStr">
        <is>
          <t>Ash 80</t>
        </is>
      </c>
      <c r="F11" s="5" t="n"/>
      <c r="G11" s="5" t="n"/>
      <c r="H11" s="5" t="n"/>
      <c r="I11" s="5" t="n"/>
      <c r="J11" s="5" t="n"/>
      <c r="K11" s="5" t="n"/>
      <c r="L11" s="5" t="n"/>
      <c r="M11" s="5" t="n"/>
      <c r="N11" s="5" t="n"/>
      <c r="O11" s="5" t="n"/>
      <c r="P11" s="5" t="n"/>
    </row>
    <row r="12">
      <c r="A12" s="10" t="inlineStr">
        <is>
          <t>PH</t>
        </is>
      </c>
      <c r="B12" s="10" t="inlineStr">
        <is>
          <t>pH</t>
        </is>
      </c>
      <c r="C12" s="10" t="inlineStr">
        <is>
          <t>Other / bench</t>
        </is>
      </c>
      <c r="D12" s="10">
        <f>COUNTIFS('Test times'!$AB:$AB,$A12,'Test times'!$F:$F,"Y")</f>
        <v/>
      </c>
      <c r="E12" s="10" t="inlineStr">
        <is>
          <t>pH 15</t>
        </is>
      </c>
      <c r="F12" s="5" t="n"/>
      <c r="G12" s="5" t="n"/>
      <c r="H12" s="5" t="n"/>
      <c r="I12" s="5" t="n"/>
      <c r="J12" s="5" t="n"/>
      <c r="K12" s="5" t="n"/>
      <c r="L12" s="5" t="n"/>
      <c r="M12" s="5" t="n"/>
      <c r="N12" s="5" t="n"/>
      <c r="O12" s="5" t="n"/>
      <c r="P12" s="5" t="n"/>
    </row>
    <row r="13">
      <c r="A13" s="10" t="inlineStr">
        <is>
          <t>ACID</t>
        </is>
      </c>
      <c r="B13" s="10" t="inlineStr">
        <is>
          <t>Acidity / alkalinity (indicator titration)</t>
        </is>
      </c>
      <c r="C13" s="10" t="inlineStr">
        <is>
          <t>Other / bench</t>
        </is>
      </c>
      <c r="D13" s="10">
        <f>COUNTIFS('Test times'!$AB:$AB,$A13,'Test times'!$F:$F,"Y")</f>
        <v/>
      </c>
      <c r="E13" s="10" t="inlineStr">
        <is>
          <t>Acidity/Alkalinity 30</t>
        </is>
      </c>
      <c r="F13" s="5" t="n"/>
      <c r="G13" s="5" t="n"/>
      <c r="H13" s="5" t="n"/>
      <c r="I13" s="5" t="n"/>
      <c r="J13" s="5" t="n"/>
      <c r="K13" s="5" t="n"/>
      <c r="L13" s="5" t="n"/>
      <c r="M13" s="5" t="n"/>
      <c r="N13" s="5" t="n"/>
      <c r="O13" s="5" t="n"/>
      <c r="P13" s="5" t="n"/>
    </row>
    <row r="14">
      <c r="A14" s="10" t="inlineStr">
        <is>
          <t>OR</t>
        </is>
      </c>
      <c r="B14" s="10" t="inlineStr">
        <is>
          <t>Optical rotation</t>
        </is>
      </c>
      <c r="C14" s="10" t="inlineStr">
        <is>
          <t>Other / bench</t>
        </is>
      </c>
      <c r="D14" s="10">
        <f>COUNTIFS('Test times'!$AB:$AB,$A14,'Test times'!$F:$F,"Y")</f>
        <v/>
      </c>
      <c r="E14" s="10" t="inlineStr">
        <is>
          <t>Optical rotation 15</t>
        </is>
      </c>
      <c r="F14" s="5" t="n"/>
      <c r="G14" s="5" t="n"/>
      <c r="H14" s="5" t="n"/>
      <c r="I14" s="5" t="n"/>
      <c r="J14" s="5" t="n"/>
      <c r="K14" s="5" t="n"/>
      <c r="L14" s="5" t="n"/>
      <c r="M14" s="5" t="n"/>
      <c r="N14" s="5" t="n"/>
      <c r="O14" s="5" t="n"/>
      <c r="P14" s="5" t="n"/>
    </row>
    <row r="15">
      <c r="A15" s="10" t="inlineStr">
        <is>
          <t>MP</t>
        </is>
      </c>
      <c r="B15" s="10" t="inlineStr">
        <is>
          <t>Melting range</t>
        </is>
      </c>
      <c r="C15" s="10" t="inlineStr">
        <is>
          <t>Other / bench</t>
        </is>
      </c>
      <c r="D15" s="10">
        <f>COUNTIFS('Test times'!$AB:$AB,$A15,'Test times'!$F:$F,"Y")</f>
        <v/>
      </c>
      <c r="E15" s="10" t="inlineStr">
        <is>
          <t>Melting point 15</t>
        </is>
      </c>
      <c r="F15" s="5" t="n"/>
      <c r="G15" s="5" t="n"/>
      <c r="H15" s="5" t="n"/>
      <c r="I15" s="5" t="n"/>
      <c r="J15" s="5" t="n"/>
      <c r="K15" s="5" t="n"/>
      <c r="L15" s="5" t="n"/>
      <c r="M15" s="5" t="n"/>
      <c r="N15" s="5" t="n"/>
      <c r="O15" s="5" t="n"/>
      <c r="P15" s="5" t="n"/>
    </row>
    <row r="16">
      <c r="A16" s="10" t="inlineStr">
        <is>
          <t>SG</t>
        </is>
      </c>
      <c r="B16" s="10" t="inlineStr">
        <is>
          <t>Specific gravity / density</t>
        </is>
      </c>
      <c r="C16" s="10" t="inlineStr">
        <is>
          <t>Other / bench</t>
        </is>
      </c>
      <c r="D16" s="10">
        <f>COUNTIFS('Test times'!$AB:$AB,$A16,'Test times'!$F:$F,"Y")</f>
        <v/>
      </c>
      <c r="E16" s="10" t="inlineStr">
        <is>
          <t>SPECIFIC GRAVITY 15</t>
        </is>
      </c>
      <c r="F16" s="5" t="n"/>
      <c r="G16" s="5" t="n"/>
      <c r="H16" s="5" t="n"/>
      <c r="I16" s="5" t="n"/>
      <c r="J16" s="5" t="n"/>
      <c r="K16" s="5" t="n"/>
      <c r="L16" s="5" t="n"/>
      <c r="M16" s="5" t="n"/>
      <c r="N16" s="5" t="n"/>
      <c r="O16" s="5" t="n"/>
      <c r="P16" s="5" t="n"/>
    </row>
    <row r="17">
      <c r="A17" s="10" t="inlineStr">
        <is>
          <t>RI</t>
        </is>
      </c>
      <c r="B17" s="10" t="inlineStr">
        <is>
          <t>Refractive index</t>
        </is>
      </c>
      <c r="C17" s="10" t="inlineStr">
        <is>
          <t>Other / bench</t>
        </is>
      </c>
      <c r="D17" s="10">
        <f>COUNTIFS('Test times'!$AB:$AB,$A17,'Test times'!$F:$F,"Y")</f>
        <v/>
      </c>
      <c r="E17" s="10" t="n"/>
      <c r="F17" s="5" t="n"/>
      <c r="G17" s="5" t="n"/>
      <c r="H17" s="5" t="n"/>
      <c r="I17" s="5" t="n"/>
      <c r="J17" s="5" t="n"/>
      <c r="K17" s="5" t="n"/>
      <c r="L17" s="5" t="n"/>
      <c r="M17" s="5" t="n"/>
      <c r="N17" s="5" t="n"/>
      <c r="O17" s="5" t="n"/>
      <c r="P17" s="5" t="n"/>
    </row>
    <row r="18">
      <c r="A18" s="10" t="inlineStr">
        <is>
          <t>VISC</t>
        </is>
      </c>
      <c r="B18" s="10" t="inlineStr">
        <is>
          <t>Viscosity</t>
        </is>
      </c>
      <c r="C18" s="10" t="inlineStr">
        <is>
          <t>Other / bench</t>
        </is>
      </c>
      <c r="D18" s="10">
        <f>COUNTIFS('Test times'!$AB:$AB,$A18,'Test times'!$F:$F,"Y")</f>
        <v/>
      </c>
      <c r="E18" s="10" t="n"/>
      <c r="F18" s="5" t="n"/>
      <c r="G18" s="5" t="n"/>
      <c r="H18" s="5" t="n"/>
      <c r="I18" s="5" t="n"/>
      <c r="J18" s="5" t="n"/>
      <c r="K18" s="5" t="n"/>
      <c r="L18" s="5" t="n"/>
      <c r="M18" s="5" t="n"/>
      <c r="N18" s="5" t="n"/>
      <c r="O18" s="5" t="n"/>
      <c r="P18" s="5" t="n"/>
    </row>
    <row r="19">
      <c r="A19" s="10" t="inlineStr">
        <is>
          <t>COND</t>
        </is>
      </c>
      <c r="B19" s="10" t="inlineStr">
        <is>
          <t>Conductivity</t>
        </is>
      </c>
      <c r="C19" s="10" t="inlineStr">
        <is>
          <t>Other / bench</t>
        </is>
      </c>
      <c r="D19" s="10">
        <f>COUNTIFS('Test times'!$AB:$AB,$A19,'Test times'!$F:$F,"Y")</f>
        <v/>
      </c>
      <c r="E19" s="10" t="inlineStr">
        <is>
          <t>Conductivity 10</t>
        </is>
      </c>
      <c r="F19" s="5" t="n"/>
      <c r="G19" s="5" t="n"/>
      <c r="H19" s="5" t="n"/>
      <c r="I19" s="5" t="n"/>
      <c r="J19" s="5" t="n"/>
      <c r="K19" s="5" t="n"/>
      <c r="L19" s="5" t="n"/>
      <c r="M19" s="5" t="n"/>
      <c r="N19" s="5" t="n"/>
      <c r="O19" s="5" t="n"/>
      <c r="P19" s="5" t="n"/>
    </row>
    <row r="20">
      <c r="A20" s="10" t="inlineStr">
        <is>
          <t>TOC</t>
        </is>
      </c>
      <c r="B20" s="10" t="inlineStr">
        <is>
          <t>Total organic carbon</t>
        </is>
      </c>
      <c r="C20" s="10" t="inlineStr">
        <is>
          <t>Other / bench</t>
        </is>
      </c>
      <c r="D20" s="10">
        <f>COUNTIFS('Test times'!$AB:$AB,$A20,'Test times'!$F:$F,"Y")</f>
        <v/>
      </c>
      <c r="E20" s="10" t="n"/>
      <c r="F20" s="5" t="n"/>
      <c r="G20" s="5" t="n"/>
      <c r="H20" s="5" t="n"/>
      <c r="I20" s="5" t="n"/>
      <c r="J20" s="5" t="n"/>
      <c r="K20" s="5" t="n"/>
      <c r="L20" s="5" t="n"/>
      <c r="M20" s="5" t="n"/>
      <c r="N20" s="5" t="n"/>
      <c r="O20" s="5" t="n"/>
      <c r="P20" s="5" t="n"/>
    </row>
    <row r="21">
      <c r="A21" s="10" t="inlineStr">
        <is>
          <t>CLAR</t>
        </is>
      </c>
      <c r="B21" s="10" t="inlineStr">
        <is>
          <t>Clarity / colour of solution</t>
        </is>
      </c>
      <c r="C21" s="10" t="inlineStr">
        <is>
          <t>Other / bench</t>
        </is>
      </c>
      <c r="D21" s="10">
        <f>COUNTIFS('Test times'!$AB:$AB,$A21,'Test times'!$F:$F,"Y")</f>
        <v/>
      </c>
      <c r="E21" s="10" t="inlineStr">
        <is>
          <t>Clarity of solution 60; Color of Solution 60</t>
        </is>
      </c>
      <c r="F21" s="5" t="n"/>
      <c r="G21" s="5" t="n"/>
      <c r="H21" s="5" t="n"/>
      <c r="I21" s="5" t="n"/>
      <c r="J21" s="5" t="n"/>
      <c r="K21" s="5" t="n"/>
      <c r="L21" s="5" t="n"/>
      <c r="M21" s="5" t="n"/>
      <c r="N21" s="5" t="n"/>
      <c r="O21" s="5" t="n"/>
      <c r="P21" s="5" t="n"/>
    </row>
    <row r="22">
      <c r="A22" s="10" t="inlineStr">
        <is>
          <t>LIMIT</t>
        </is>
      </c>
      <c r="B22" s="10" t="inlineStr">
        <is>
          <t>Limit test - wet chemistry (chloride, sulfate, iron, barium, ...)</t>
        </is>
      </c>
      <c r="C22" s="10" t="inlineStr">
        <is>
          <t>Other / bench</t>
        </is>
      </c>
      <c r="D22" s="10">
        <f>COUNTIFS('Test times'!$AB:$AB,$A22,'Test times'!$F:$F,"Y")</f>
        <v/>
      </c>
      <c r="E22" s="10" t="inlineStr">
        <is>
          <t>Chloride 15; Sulfate 15</t>
        </is>
      </c>
      <c r="F22" s="5" t="n"/>
      <c r="G22" s="5" t="n"/>
      <c r="H22" s="5" t="n"/>
      <c r="I22" s="5" t="n"/>
      <c r="J22" s="5" t="n"/>
      <c r="K22" s="5" t="n"/>
      <c r="L22" s="5" t="n"/>
      <c r="M22" s="5" t="n"/>
      <c r="N22" s="5" t="n"/>
      <c r="O22" s="5" t="n"/>
      <c r="P22" s="5" t="n"/>
    </row>
    <row r="23">
      <c r="A23" s="10" t="inlineStr">
        <is>
          <t>LIM_TOX</t>
        </is>
      </c>
      <c r="B23" s="10" t="inlineStr">
        <is>
          <t>Arsenic / lead / mercury limit (digestion or special apparatus)</t>
        </is>
      </c>
      <c r="C23" s="10" t="inlineStr">
        <is>
          <t>Other / bench</t>
        </is>
      </c>
      <c r="D23" s="10">
        <f>COUNTIFS('Test times'!$AB:$AB,$A23,'Test times'!$F:$F,"Y")</f>
        <v/>
      </c>
      <c r="E23" s="10" t="n"/>
      <c r="F23" s="5" t="n"/>
      <c r="G23" s="5" t="n"/>
      <c r="H23" s="5" t="n"/>
      <c r="I23" s="5" t="n"/>
      <c r="J23" s="5" t="n"/>
      <c r="K23" s="5" t="n"/>
      <c r="L23" s="5" t="n"/>
      <c r="M23" s="5" t="n"/>
      <c r="N23" s="5" t="n"/>
      <c r="O23" s="5" t="n"/>
      <c r="P23" s="5" t="n"/>
    </row>
    <row r="24">
      <c r="A24" s="10" t="inlineStr">
        <is>
          <t>GRAV</t>
        </is>
      </c>
      <c r="B24" s="10" t="inlineStr">
        <is>
          <t>Gravimetric limit (water-soluble, insoluble matter, residue on evaporation)</t>
        </is>
      </c>
      <c r="C24" s="10" t="inlineStr">
        <is>
          <t>Other / bench</t>
        </is>
      </c>
      <c r="D24" s="10">
        <f>COUNTIFS('Test times'!$AB:$AB,$A24,'Test times'!$F:$F,"Y")</f>
        <v/>
      </c>
      <c r="E24" s="10" t="inlineStr">
        <is>
          <t>Residue on evaporation 105</t>
        </is>
      </c>
      <c r="F24" s="5" t="n"/>
      <c r="G24" s="5" t="n"/>
      <c r="H24" s="5" t="n"/>
      <c r="I24" s="5" t="n"/>
      <c r="J24" s="5" t="n"/>
      <c r="K24" s="5" t="n"/>
      <c r="L24" s="5" t="n"/>
      <c r="M24" s="5" t="n"/>
      <c r="N24" s="5" t="n"/>
      <c r="O24" s="5" t="n"/>
      <c r="P24" s="5" t="n"/>
    </row>
    <row r="25">
      <c r="A25" s="10" t="inlineStr">
        <is>
          <t>AAS</t>
        </is>
      </c>
      <c r="B25" s="10" t="inlineStr">
        <is>
          <t>Element limit by AAS / ICP (Pb, Cd, Ni, Al, ...)</t>
        </is>
      </c>
      <c r="C25" s="10" t="inlineStr">
        <is>
          <t>AAS / ICP</t>
        </is>
      </c>
      <c r="D25" s="10">
        <f>COUNTIFS('Test times'!$AB:$AB,$A25,'Test times'!$F:$F,"Y")</f>
        <v/>
      </c>
      <c r="E25" s="10" t="n"/>
      <c r="F25" s="5" t="n"/>
      <c r="G25" s="5" t="n"/>
      <c r="H25" s="5" t="n"/>
      <c r="I25" s="5" t="n"/>
      <c r="J25" s="5" t="n"/>
      <c r="K25" s="5" t="n"/>
      <c r="L25" s="5" t="n"/>
      <c r="M25" s="5" t="n"/>
      <c r="N25" s="5" t="n"/>
      <c r="O25" s="5" t="n"/>
      <c r="P25" s="5" t="n"/>
    </row>
    <row r="26">
      <c r="A26" s="10" t="inlineStr">
        <is>
          <t>TITR</t>
        </is>
      </c>
      <c r="B26" s="10" t="inlineStr">
        <is>
          <t>Assay or test by titration</t>
        </is>
      </c>
      <c r="C26" s="10" t="inlineStr">
        <is>
          <t>Other / bench</t>
        </is>
      </c>
      <c r="D26" s="10">
        <f>COUNTIFS('Test times'!$AB:$AB,$A26,'Test times'!$F:$F,"Y")</f>
        <v/>
      </c>
      <c r="E26" s="10" t="n"/>
      <c r="F26" s="5" t="n"/>
      <c r="G26" s="5" t="n"/>
      <c r="H26" s="5" t="n"/>
      <c r="I26" s="5" t="n"/>
      <c r="J26" s="5" t="n"/>
      <c r="K26" s="5" t="n"/>
      <c r="L26" s="5" t="n"/>
      <c r="M26" s="5" t="n"/>
      <c r="N26" s="5" t="n"/>
      <c r="O26" s="5" t="n"/>
      <c r="P26" s="5" t="n"/>
    </row>
    <row r="27">
      <c r="A27" s="10" t="inlineStr">
        <is>
          <t>UV</t>
        </is>
      </c>
      <c r="B27" s="10" t="inlineStr">
        <is>
          <t>Assay or limit by UV-Vis</t>
        </is>
      </c>
      <c r="C27" s="10" t="inlineStr">
        <is>
          <t>UV-Vis</t>
        </is>
      </c>
      <c r="D27" s="10">
        <f>COUNTIFS('Test times'!$AB:$AB,$A27,'Test times'!$F:$F,"Y")</f>
        <v/>
      </c>
      <c r="E27" s="10" t="n"/>
      <c r="F27" s="5" t="n"/>
      <c r="G27" s="5" t="n"/>
      <c r="H27" s="5" t="n"/>
      <c r="I27" s="5" t="n"/>
      <c r="J27" s="5" t="n"/>
      <c r="K27" s="5" t="n"/>
      <c r="L27" s="5" t="n"/>
      <c r="M27" s="5" t="n"/>
      <c r="N27" s="5" t="n"/>
      <c r="O27" s="5" t="n"/>
      <c r="P27" s="5" t="n"/>
    </row>
    <row r="28">
      <c r="A28" s="10" t="inlineStr">
        <is>
          <t>FATS</t>
        </is>
      </c>
      <c r="B28" s="10" t="inlineStr">
        <is>
          <t>Fats and oils value (acid, iodine, peroxide, saponification, hydroxyl)</t>
        </is>
      </c>
      <c r="C28" s="10" t="inlineStr">
        <is>
          <t>Other / bench</t>
        </is>
      </c>
      <c r="D28" s="10">
        <f>COUNTIFS('Test times'!$AB:$AB,$A28,'Test times'!$F:$F,"Y")</f>
        <v/>
      </c>
      <c r="E28" s="10" t="inlineStr">
        <is>
          <t>Acid value 30, 25; Peroxide value 15</t>
        </is>
      </c>
      <c r="F28" s="5" t="n"/>
      <c r="G28" s="5" t="n"/>
      <c r="H28" s="5" t="n"/>
      <c r="I28" s="5" t="n"/>
      <c r="J28" s="5" t="n"/>
      <c r="K28" s="5" t="n"/>
      <c r="L28" s="5" t="n"/>
      <c r="M28" s="5" t="n"/>
      <c r="N28" s="5" t="n"/>
      <c r="O28" s="5" t="n"/>
      <c r="P28" s="5" t="n"/>
    </row>
    <row r="29">
      <c r="A29" s="10" t="inlineStr">
        <is>
          <t>PHYS</t>
        </is>
      </c>
      <c r="B29" s="10" t="inlineStr">
        <is>
          <t>Powder physical test (bulk density, surface area, settling volume)</t>
        </is>
      </c>
      <c r="C29" s="10" t="inlineStr">
        <is>
          <t>Other / bench</t>
        </is>
      </c>
      <c r="D29" s="10">
        <f>COUNTIFS('Test times'!$AB:$AB,$A29,'Test times'!$F:$F,"Y")</f>
        <v/>
      </c>
      <c r="E29" s="10" t="inlineStr">
        <is>
          <t>Density Bulk 10; Settling volume 30</t>
        </is>
      </c>
      <c r="F29" s="5" t="n"/>
      <c r="G29" s="5" t="n"/>
      <c r="H29" s="5" t="n"/>
      <c r="I29" s="5" t="n"/>
      <c r="J29" s="5" t="n"/>
      <c r="K29" s="5" t="n"/>
      <c r="L29" s="5" t="n"/>
      <c r="M29" s="5" t="n"/>
      <c r="N29" s="5" t="n"/>
      <c r="O29" s="5" t="n"/>
      <c r="P29" s="5" t="n"/>
    </row>
    <row r="30">
      <c r="A30" s="10" t="inlineStr">
        <is>
          <t>RS_GC</t>
        </is>
      </c>
      <c r="B30" s="10" t="inlineStr">
        <is>
          <t>Residual solvents by GC (&lt;467&gt;, &lt;565&gt;)</t>
        </is>
      </c>
      <c r="C30" s="10" t="inlineStr">
        <is>
          <t>GC</t>
        </is>
      </c>
      <c r="D30" s="10">
        <f>COUNTIFS('Test times'!$AB:$AB,$A30,'Test times'!$F:$F,"Y")</f>
        <v/>
      </c>
      <c r="E30" s="10" t="n"/>
      <c r="F30" s="5" t="n"/>
      <c r="G30" s="5" t="n"/>
      <c r="H30" s="5" t="n"/>
      <c r="I30" s="5" t="n"/>
      <c r="J30" s="5" t="n"/>
      <c r="K30" s="5" t="n"/>
      <c r="L30" s="5" t="n"/>
      <c r="M30" s="5" t="n"/>
      <c r="N30" s="5" t="n"/>
      <c r="O30" s="5" t="n"/>
      <c r="P30" s="5" t="n"/>
    </row>
    <row r="31">
      <c r="A31" s="10" t="inlineStr">
        <is>
          <t>PEST</t>
        </is>
      </c>
      <c r="B31" s="10" t="inlineStr">
        <is>
          <t>Pesticide residues (&lt;561&gt;, &lt;565&gt;)</t>
        </is>
      </c>
      <c r="C31" s="10" t="inlineStr">
        <is>
          <t>GC</t>
        </is>
      </c>
      <c r="D31" s="10">
        <f>COUNTIFS('Test times'!$AB:$AB,$A31,'Test times'!$F:$F,"Y")</f>
        <v/>
      </c>
      <c r="E31" s="10" t="n"/>
      <c r="F31" s="5" t="n"/>
      <c r="G31" s="5" t="n"/>
      <c r="H31" s="5" t="n"/>
      <c r="I31" s="5" t="n"/>
      <c r="J31" s="5" t="n"/>
      <c r="K31" s="5" t="n"/>
      <c r="L31" s="5" t="n"/>
      <c r="M31" s="5" t="n"/>
      <c r="N31" s="5" t="n"/>
      <c r="O31" s="5" t="n"/>
      <c r="P31" s="5" t="n"/>
    </row>
  </sheetData>
  <autoFilter ref="A1:P31"/>
  <conditionalFormatting sqref="A2:P231">
    <cfRule type="expression" priority="1" dxfId="0" stopIfTrue="0">
      <formula>OR($O2="Y")</formula>
    </cfRule>
  </conditionalFormatting>
  <dataValidations count="1">
    <dataValidation sqref="O2:O231"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F119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26" customWidth="1" min="4" max="4"/>
    <col hidden="1" width="1" customWidth="1" min="5" max="5"/>
    <col width="9" customWidth="1" min="6" max="6"/>
    <col width="13" customWidth="1" min="7" max="7"/>
    <col width="10" customWidth="1" min="8" max="8"/>
    <col width="9" customWidth="1" min="9" max="9"/>
    <col width="10" customWidth="1" min="10" max="10"/>
    <col width="10" customWidth="1" min="11" max="11"/>
    <col width="10" customWidth="1" min="12" max="12"/>
    <col width="10" customWidth="1" min="13" max="13"/>
    <col width="10" customWidth="1" min="14" max="14"/>
    <col width="10" customWidth="1" min="15" max="15"/>
    <col width="9" customWidth="1" min="16" max="16"/>
    <col width="10" customWidth="1" min="17" max="17"/>
    <col hidden="1" width="10" customWidth="1" min="18" max="18"/>
    <col width="10" customWidth="1" min="19" max="19"/>
    <col width="10" customWidth="1" min="20" max="20"/>
    <col width="10" customWidth="1" min="21" max="21"/>
    <col width="9" customWidth="1" min="22" max="22"/>
    <col hidden="1" width="10" customWidth="1" min="23" max="23"/>
    <col width="16" customWidth="1" min="24" max="24"/>
    <col width="11" customWidth="1" min="25" max="25"/>
    <col width="30" customWidth="1" min="26" max="26"/>
    <col width="10" customWidth="1" min="27" max="27"/>
    <col width="9" customWidth="1" min="28" max="28"/>
    <col width="40" customWidth="1" min="29" max="29"/>
    <col width="11" customWidth="1" min="30" max="30"/>
    <col width="50" customWidth="1" min="31" max="31"/>
  </cols>
  <sheetData>
    <row r="1" ht="45" customHeight="1">
      <c r="A1" s="13" t="inlineStr">
        <is>
          <t>Key (Family ID / Material)</t>
        </is>
      </c>
      <c r="B1" s="13" t="inlineStr">
        <is>
          <t>Type</t>
        </is>
      </c>
      <c r="C1" s="13" t="inlineStr">
        <is>
          <t>Description</t>
        </is>
      </c>
      <c r="D1" s="13" t="inlineStr">
        <is>
          <t>Test</t>
        </is>
      </c>
      <c r="E1" s="13" t="inlineStr">
        <is>
          <t>Lookup key (auto)</t>
        </is>
      </c>
      <c r="F1" s="13" t="inlineStr">
        <is>
          <t>Applicable (Y/N)</t>
        </is>
      </c>
      <c r="G1" s="13" t="inlineStr">
        <is>
          <t>Instrument</t>
        </is>
      </c>
      <c r="H1" s="13" t="inlineStr">
        <is>
          <t>Complexity</t>
        </is>
      </c>
      <c r="I1" s="13" t="inlineStr">
        <is>
          <t>No. of separate methods</t>
        </is>
      </c>
      <c r="J1" s="13" t="inlineStr">
        <is>
          <t>Campaign group code</t>
        </is>
      </c>
      <c r="K1" s="13" t="inlineStr">
        <is>
          <t>Setup analyst h / sequence</t>
        </is>
      </c>
      <c r="L1" s="13" t="inlineStr">
        <is>
          <t>Setup instrument h / sequence</t>
        </is>
      </c>
      <c r="M1" s="13" t="inlineStr">
        <is>
          <t>Prep analyst h/sample – MIN</t>
        </is>
      </c>
      <c r="N1" s="13" t="inlineStr">
        <is>
          <t>Prep – MOST LIKELY</t>
        </is>
      </c>
      <c r="O1" s="13" t="inlineStr">
        <is>
          <t>Prep – MAX</t>
        </is>
      </c>
      <c r="P1" s="13" t="inlineStr">
        <is>
          <t>Prep PERT (auto)</t>
        </is>
      </c>
      <c r="Q1" s="13" t="inlineStr">
        <is>
          <t>Instrument run h / sample</t>
        </is>
      </c>
      <c r="R1" s="13" t="inlineStr">
        <is>
          <t>Dissolution bath h / sample</t>
        </is>
      </c>
      <c r="S1" s="13" t="inlineStr">
        <is>
          <t>Data processing + doc h / sample</t>
        </is>
      </c>
      <c r="T1" s="13" t="inlineStr">
        <is>
          <t>Review h / sample</t>
        </is>
      </c>
      <c r="U1" s="13" t="inlineStr">
        <is>
          <t>Samples per sequence</t>
        </is>
      </c>
      <c r="V1" s="13" t="inlineStr">
        <is>
          <t>Retest / OOS %</t>
        </is>
      </c>
      <c r="W1" s="13" t="inlineStr">
        <is>
          <t>Applies to stability (Y/N)</t>
        </is>
      </c>
      <c r="X1" s="13" t="inlineStr">
        <is>
          <t>Respondent(s) / source</t>
        </is>
      </c>
      <c r="Y1" s="13" t="inlineStr">
        <is>
          <t>Confidence</t>
        </is>
      </c>
      <c r="Z1" s="13" t="inlineStr">
        <is>
          <t>Notes / difficulty</t>
        </is>
      </c>
      <c r="AA1" s="13" t="inlineStr">
        <is>
          <t>Outsourced (Y/N)</t>
        </is>
      </c>
      <c r="AB1" s="13" t="inlineStr">
        <is>
          <t>Catalog code</t>
        </is>
      </c>
      <c r="AC1" s="13" t="inlineStr">
        <is>
          <t>USP-NF source</t>
        </is>
      </c>
      <c r="AD1" s="13" t="inlineStr">
        <is>
          <t>Recorded h (lab records)</t>
        </is>
      </c>
      <c r="AE1" s="13" t="inlineStr">
        <is>
          <t>Recorded test list</t>
        </is>
      </c>
    </row>
    <row r="2">
      <c r="A2" s="10" t="inlineStr">
        <is>
          <t>Acetaminophen</t>
        </is>
      </c>
      <c r="B2" s="10" t="inlineStr">
        <is>
          <t>RM</t>
        </is>
      </c>
      <c r="C2" s="10" t="inlineStr">
        <is>
          <t>Active</t>
        </is>
      </c>
      <c r="D2" s="10" t="inlineStr">
        <is>
          <t>Appearance / description and solubility</t>
        </is>
      </c>
      <c r="E2" s="10">
        <f>IF(A2="","",A2&amp;"|"&amp;D2)</f>
        <v/>
      </c>
      <c r="F2" s="5" t="inlineStr">
        <is>
          <t>Y</t>
        </is>
      </c>
      <c r="G2" s="5" t="inlineStr">
        <is>
          <t>Other / bench</t>
        </is>
      </c>
      <c r="H2" s="5" t="inlineStr">
        <is>
          <t>Low</t>
        </is>
      </c>
      <c r="I2" s="5" t="n">
        <v>1</v>
      </c>
      <c r="J2" s="5" t="n"/>
      <c r="K2" s="10">
        <f>IFERROR(IF(INDEX('Test catalog'!$F$2:$F$200,MATCH($AB2,'Test catalog'!$A$2:$A$200,0))="","",INDEX('Test catalog'!$F$2:$F$200,MATCH($AB2,'Test catalog'!$A$2:$A$200,0))),"")</f>
        <v/>
      </c>
      <c r="L2" s="10">
        <f>IFERROR(IF(INDEX('Test catalog'!$G$2:$G$200,MATCH($AB2,'Test catalog'!$A$2:$A$200,0))="","",INDEX('Test catalog'!$G$2:$G$200,MATCH($AB2,'Test catalog'!$A$2:$A$200,0))),"")</f>
        <v/>
      </c>
      <c r="M2" s="10">
        <f>IFERROR(IF(INDEX('Test catalog'!$H$2:$H$200,MATCH($AB2,'Test catalog'!$A$2:$A$200,0))="","",INDEX('Test catalog'!$H$2:$H$200,MATCH($AB2,'Test catalog'!$A$2:$A$200,0))),"")</f>
        <v/>
      </c>
      <c r="N2" s="10">
        <f>IFERROR(IF(INDEX('Test catalog'!$I$2:$I$200,MATCH($AB2,'Test catalog'!$A$2:$A$200,0))="","",INDEX('Test catalog'!$I$2:$I$200,MATCH($AB2,'Test catalog'!$A$2:$A$200,0))),"")</f>
        <v/>
      </c>
      <c r="O2" s="10">
        <f>IFERROR(IF(INDEX('Test catalog'!$J$2:$J$200,MATCH($AB2,'Test catalog'!$A$2:$A$200,0))="","",INDEX('Test catalog'!$J$2:$J$200,MATCH($AB2,'Test catalog'!$A$2:$A$200,0))),"")</f>
        <v/>
      </c>
      <c r="P2" s="14">
        <f>IF(N2="","",IF(OR(M2="",O2=""),N2,(M2+4*N2+O2)/6))</f>
        <v/>
      </c>
      <c r="Q2" s="10">
        <f>IFERROR(IF(INDEX('Test catalog'!$K$2:$K$200,MATCH($AB2,'Test catalog'!$A$2:$A$200,0))="","",INDEX('Test catalog'!$K$2:$K$200,MATCH($AB2,'Test catalog'!$A$2:$A$200,0))),"")</f>
        <v/>
      </c>
      <c r="R2" s="5" t="n"/>
      <c r="S2" s="10">
        <f>IFERROR(IF(INDEX('Test catalog'!$L$2:$L$200,MATCH($AB2,'Test catalog'!$A$2:$A$200,0))="","",INDEX('Test catalog'!$L$2:$L$200,MATCH($AB2,'Test catalog'!$A$2:$A$200,0))),"")</f>
        <v/>
      </c>
      <c r="T2" s="10">
        <f>IFERROR(IF(INDEX('Test catalog'!$M$2:$M$200,MATCH($AB2,'Test catalog'!$A$2:$A$200,0))="","",INDEX('Test catalog'!$M$2:$M$200,MATCH($AB2,'Test catalog'!$A$2:$A$200,0))),"")</f>
        <v/>
      </c>
      <c r="U2" s="10">
        <f>IFERROR(IF(INDEX('Test catalog'!$N$2:$N$200,MATCH($AB2,'Test catalog'!$A$2:$A$200,0))="","",INDEX('Test catalog'!$N$2:$N$200,MATCH($AB2,'Test catalog'!$A$2:$A$200,0))),"")</f>
        <v/>
      </c>
      <c r="V2" s="15" t="n"/>
      <c r="W2" s="5" t="inlineStr">
        <is>
          <t>N</t>
        </is>
      </c>
      <c r="X2" s="5" t="n"/>
      <c r="Y2" s="5" t="n"/>
      <c r="Z2" s="5" t="n"/>
      <c r="AA2" s="10">
        <f>IFERROR(IF(INDEX('Test catalog'!$O$2:$O$200,MATCH($AB2,'Test catalog'!$A$2:$A$200,0))="","",INDEX('Test catalog'!$O$2:$O$200,MATCH($AB2,'Test catalog'!$A$2:$A$200,0))),"")</f>
        <v/>
      </c>
      <c r="AB2" s="10" t="inlineStr">
        <is>
          <t>APPEAR</t>
        </is>
      </c>
      <c r="AC2" s="10" t="inlineStr">
        <is>
          <t>Lab practice (not a USP test)</t>
        </is>
      </c>
      <c r="AD2" s="10" t="n"/>
      <c r="AE2" s="10" t="n"/>
    </row>
    <row r="3">
      <c r="A3" s="10" t="inlineStr">
        <is>
          <t>Acetaminophen</t>
        </is>
      </c>
      <c r="B3" s="10" t="inlineStr">
        <is>
          <t>RM</t>
        </is>
      </c>
      <c r="C3" s="10" t="inlineStr">
        <is>
          <t>Active</t>
        </is>
      </c>
      <c r="D3" s="10" t="inlineStr">
        <is>
          <t>ID A - IR spectrum</t>
        </is>
      </c>
      <c r="E3" s="10">
        <f>IF(A3="","",A3&amp;"|"&amp;D3)</f>
        <v/>
      </c>
      <c r="F3" s="5" t="inlineStr">
        <is>
          <t>Y</t>
        </is>
      </c>
      <c r="G3" s="5" t="inlineStr">
        <is>
          <t>Other / bench</t>
        </is>
      </c>
      <c r="H3" s="5" t="inlineStr">
        <is>
          <t>Low</t>
        </is>
      </c>
      <c r="I3" s="5" t="n">
        <v>1</v>
      </c>
      <c r="J3" s="5" t="n"/>
      <c r="K3" s="10">
        <f>IFERROR(IF(INDEX('Test catalog'!$F$2:$F$200,MATCH($AB3,'Test catalog'!$A$2:$A$200,0))="","",INDEX('Test catalog'!$F$2:$F$200,MATCH($AB3,'Test catalog'!$A$2:$A$200,0))),"")</f>
        <v/>
      </c>
      <c r="L3" s="10">
        <f>IFERROR(IF(INDEX('Test catalog'!$G$2:$G$200,MATCH($AB3,'Test catalog'!$A$2:$A$200,0))="","",INDEX('Test catalog'!$G$2:$G$200,MATCH($AB3,'Test catalog'!$A$2:$A$200,0))),"")</f>
        <v/>
      </c>
      <c r="M3" s="10">
        <f>IFERROR(IF(INDEX('Test catalog'!$H$2:$H$200,MATCH($AB3,'Test catalog'!$A$2:$A$200,0))="","",INDEX('Test catalog'!$H$2:$H$200,MATCH($AB3,'Test catalog'!$A$2:$A$200,0))),"")</f>
        <v/>
      </c>
      <c r="N3" s="10">
        <f>IFERROR(IF(INDEX('Test catalog'!$I$2:$I$200,MATCH($AB3,'Test catalog'!$A$2:$A$200,0))="","",INDEX('Test catalog'!$I$2:$I$200,MATCH($AB3,'Test catalog'!$A$2:$A$200,0))),"")</f>
        <v/>
      </c>
      <c r="O3" s="10">
        <f>IFERROR(IF(INDEX('Test catalog'!$J$2:$J$200,MATCH($AB3,'Test catalog'!$A$2:$A$200,0))="","",INDEX('Test catalog'!$J$2:$J$200,MATCH($AB3,'Test catalog'!$A$2:$A$200,0))),"")</f>
        <v/>
      </c>
      <c r="P3" s="14">
        <f>IF(N3="","",IF(OR(M3="",O3=""),N3,(M3+4*N3+O3)/6))</f>
        <v/>
      </c>
      <c r="Q3" s="10">
        <f>IFERROR(IF(INDEX('Test catalog'!$K$2:$K$200,MATCH($AB3,'Test catalog'!$A$2:$A$200,0))="","",INDEX('Test catalog'!$K$2:$K$200,MATCH($AB3,'Test catalog'!$A$2:$A$200,0))),"")</f>
        <v/>
      </c>
      <c r="R3" s="5" t="n"/>
      <c r="S3" s="10">
        <f>IFERROR(IF(INDEX('Test catalog'!$L$2:$L$200,MATCH($AB3,'Test catalog'!$A$2:$A$200,0))="","",INDEX('Test catalog'!$L$2:$L$200,MATCH($AB3,'Test catalog'!$A$2:$A$200,0))),"")</f>
        <v/>
      </c>
      <c r="T3" s="10">
        <f>IFERROR(IF(INDEX('Test catalog'!$M$2:$M$200,MATCH($AB3,'Test catalog'!$A$2:$A$200,0))="","",INDEX('Test catalog'!$M$2:$M$200,MATCH($AB3,'Test catalog'!$A$2:$A$200,0))),"")</f>
        <v/>
      </c>
      <c r="U3" s="10">
        <f>IFERROR(IF(INDEX('Test catalog'!$N$2:$N$200,MATCH($AB3,'Test catalog'!$A$2:$A$200,0))="","",INDEX('Test catalog'!$N$2:$N$200,MATCH($AB3,'Test catalog'!$A$2:$A$200,0))),"")</f>
        <v/>
      </c>
      <c r="V3" s="15" t="n"/>
      <c r="W3" s="5" t="inlineStr">
        <is>
          <t>N</t>
        </is>
      </c>
      <c r="X3" s="5" t="n"/>
      <c r="Y3" s="5" t="n"/>
      <c r="Z3" s="5" t="n"/>
      <c r="AA3" s="10">
        <f>IFERROR(IF(INDEX('Test catalog'!$O$2:$O$200,MATCH($AB3,'Test catalog'!$A$2:$A$200,0))="","",INDEX('Test catalog'!$O$2:$O$200,MATCH($AB3,'Test catalog'!$A$2:$A$200,0))),"")</f>
        <v/>
      </c>
      <c r="AB3" s="10" t="inlineStr">
        <is>
          <t>ID_IR</t>
        </is>
      </c>
      <c r="AC3" s="10" t="inlineStr">
        <is>
          <t>Acetaminophen · Identification &lt;197&gt;</t>
        </is>
      </c>
      <c r="AD3" s="10" t="n"/>
      <c r="AE3" s="10" t="n"/>
    </row>
    <row r="4">
      <c r="A4" s="10" t="inlineStr">
        <is>
          <t>Acetaminophen</t>
        </is>
      </c>
      <c r="B4" s="10" t="inlineStr">
        <is>
          <t>RM</t>
        </is>
      </c>
      <c r="C4" s="10" t="inlineStr">
        <is>
          <t>Active</t>
        </is>
      </c>
      <c r="D4" s="10" t="inlineStr">
        <is>
          <t>Assay (HPLC)</t>
        </is>
      </c>
      <c r="E4" s="10">
        <f>IF(A4="","",A4&amp;"|"&amp;D4)</f>
        <v/>
      </c>
      <c r="F4" s="5" t="inlineStr">
        <is>
          <t>Y</t>
        </is>
      </c>
      <c r="G4" s="5" t="inlineStr">
        <is>
          <t>HPLC</t>
        </is>
      </c>
      <c r="H4" s="5" t="inlineStr">
        <is>
          <t>Medium</t>
        </is>
      </c>
      <c r="I4" s="5" t="n">
        <v>1</v>
      </c>
      <c r="J4" s="5" t="n"/>
      <c r="K4" s="5" t="n"/>
      <c r="L4" s="5" t="n"/>
      <c r="M4" s="5" t="n"/>
      <c r="N4" s="5" t="n"/>
      <c r="O4" s="5" t="n"/>
      <c r="P4" s="14">
        <f>IF(N4="","",IF(OR(M4="",O4=""),N4,(M4+4*N4+O4)/6))</f>
        <v/>
      </c>
      <c r="Q4" s="5" t="n"/>
      <c r="R4" s="5" t="n"/>
      <c r="S4" s="5" t="n"/>
      <c r="T4" s="5" t="n"/>
      <c r="U4" s="5" t="n"/>
      <c r="V4" s="15" t="n"/>
      <c r="W4" s="5" t="inlineStr">
        <is>
          <t>N</t>
        </is>
      </c>
      <c r="X4" s="5" t="n"/>
      <c r="Y4" s="5" t="n"/>
      <c r="Z4" s="5" t="n"/>
      <c r="AA4" s="5" t="n"/>
      <c r="AB4" s="10" t="n"/>
      <c r="AC4" s="10" t="inlineStr">
        <is>
          <t>Acetaminophen · Assay</t>
        </is>
      </c>
      <c r="AD4" s="10" t="n"/>
      <c r="AE4" s="10" t="n"/>
    </row>
    <row r="5">
      <c r="A5" s="10" t="inlineStr">
        <is>
          <t>Acetaminophen</t>
        </is>
      </c>
      <c r="B5" s="10" t="inlineStr">
        <is>
          <t>RM</t>
        </is>
      </c>
      <c r="C5" s="10" t="inlineStr">
        <is>
          <t>Active</t>
        </is>
      </c>
      <c r="D5" s="10" t="inlineStr">
        <is>
          <t>Residue on Ignition</t>
        </is>
      </c>
      <c r="E5" s="10">
        <f>IF(A5="","",A5&amp;"|"&amp;D5)</f>
        <v/>
      </c>
      <c r="F5" s="5" t="inlineStr">
        <is>
          <t>Y</t>
        </is>
      </c>
      <c r="G5" s="5" t="inlineStr">
        <is>
          <t>Other / bench</t>
        </is>
      </c>
      <c r="H5" s="5" t="inlineStr">
        <is>
          <t>Low</t>
        </is>
      </c>
      <c r="I5" s="5" t="n">
        <v>1</v>
      </c>
      <c r="J5" s="5" t="n"/>
      <c r="K5" s="10">
        <f>IFERROR(IF(INDEX('Test catalog'!$F$2:$F$200,MATCH($AB5,'Test catalog'!$A$2:$A$200,0))="","",INDEX('Test catalog'!$F$2:$F$200,MATCH($AB5,'Test catalog'!$A$2:$A$200,0))),"")</f>
        <v/>
      </c>
      <c r="L5" s="10">
        <f>IFERROR(IF(INDEX('Test catalog'!$G$2:$G$200,MATCH($AB5,'Test catalog'!$A$2:$A$200,0))="","",INDEX('Test catalog'!$G$2:$G$200,MATCH($AB5,'Test catalog'!$A$2:$A$200,0))),"")</f>
        <v/>
      </c>
      <c r="M5" s="10">
        <f>IFERROR(IF(INDEX('Test catalog'!$H$2:$H$200,MATCH($AB5,'Test catalog'!$A$2:$A$200,0))="","",INDEX('Test catalog'!$H$2:$H$200,MATCH($AB5,'Test catalog'!$A$2:$A$200,0))),"")</f>
        <v/>
      </c>
      <c r="N5" s="10">
        <f>IFERROR(IF(INDEX('Test catalog'!$I$2:$I$200,MATCH($AB5,'Test catalog'!$A$2:$A$200,0))="","",INDEX('Test catalog'!$I$2:$I$200,MATCH($AB5,'Test catalog'!$A$2:$A$200,0))),"")</f>
        <v/>
      </c>
      <c r="O5" s="10">
        <f>IFERROR(IF(INDEX('Test catalog'!$J$2:$J$200,MATCH($AB5,'Test catalog'!$A$2:$A$200,0))="","",INDEX('Test catalog'!$J$2:$J$200,MATCH($AB5,'Test catalog'!$A$2:$A$200,0))),"")</f>
        <v/>
      </c>
      <c r="P5" s="14">
        <f>IF(N5="","",IF(OR(M5="",O5=""),N5,(M5+4*N5+O5)/6))</f>
        <v/>
      </c>
      <c r="Q5" s="10">
        <f>IFERROR(IF(INDEX('Test catalog'!$K$2:$K$200,MATCH($AB5,'Test catalog'!$A$2:$A$200,0))="","",INDEX('Test catalog'!$K$2:$K$200,MATCH($AB5,'Test catalog'!$A$2:$A$200,0))),"")</f>
        <v/>
      </c>
      <c r="R5" s="5" t="n"/>
      <c r="S5" s="10">
        <f>IFERROR(IF(INDEX('Test catalog'!$L$2:$L$200,MATCH($AB5,'Test catalog'!$A$2:$A$200,0))="","",INDEX('Test catalog'!$L$2:$L$200,MATCH($AB5,'Test catalog'!$A$2:$A$200,0))),"")</f>
        <v/>
      </c>
      <c r="T5" s="10">
        <f>IFERROR(IF(INDEX('Test catalog'!$M$2:$M$200,MATCH($AB5,'Test catalog'!$A$2:$A$200,0))="","",INDEX('Test catalog'!$M$2:$M$200,MATCH($AB5,'Test catalog'!$A$2:$A$200,0))),"")</f>
        <v/>
      </c>
      <c r="U5" s="10">
        <f>IFERROR(IF(INDEX('Test catalog'!$N$2:$N$200,MATCH($AB5,'Test catalog'!$A$2:$A$200,0))="","",INDEX('Test catalog'!$N$2:$N$200,MATCH($AB5,'Test catalog'!$A$2:$A$200,0))),"")</f>
        <v/>
      </c>
      <c r="V5" s="15" t="n"/>
      <c r="W5" s="5" t="inlineStr">
        <is>
          <t>N</t>
        </is>
      </c>
      <c r="X5" s="5" t="n"/>
      <c r="Y5" s="5" t="n"/>
      <c r="Z5" s="5" t="n"/>
      <c r="AA5" s="10">
        <f>IFERROR(IF(INDEX('Test catalog'!$O$2:$O$200,MATCH($AB5,'Test catalog'!$A$2:$A$200,0))="","",INDEX('Test catalog'!$O$2:$O$200,MATCH($AB5,'Test catalog'!$A$2:$A$200,0))),"")</f>
        <v/>
      </c>
      <c r="AB5" s="10" t="inlineStr">
        <is>
          <t>ROI</t>
        </is>
      </c>
      <c r="AC5" s="10" t="inlineStr">
        <is>
          <t>Acetaminophen · Impurities &lt;281&gt;</t>
        </is>
      </c>
      <c r="AD5" s="10" t="n"/>
      <c r="AE5" s="10" t="n"/>
    </row>
    <row r="6">
      <c r="A6" s="10" t="inlineStr">
        <is>
          <t>Acetaminophen</t>
        </is>
      </c>
      <c r="B6" s="10" t="inlineStr">
        <is>
          <t>RM</t>
        </is>
      </c>
      <c r="C6" s="10" t="inlineStr">
        <is>
          <t>Active</t>
        </is>
      </c>
      <c r="D6" s="10" t="inlineStr">
        <is>
          <t>Limit of Free 4-Aminophenol (HPLC)</t>
        </is>
      </c>
      <c r="E6" s="10">
        <f>IF(A6="","",A6&amp;"|"&amp;D6)</f>
        <v/>
      </c>
      <c r="F6" s="5" t="inlineStr">
        <is>
          <t>Y</t>
        </is>
      </c>
      <c r="G6" s="5" t="inlineStr">
        <is>
          <t>HPLC</t>
        </is>
      </c>
      <c r="H6" s="5" t="inlineStr">
        <is>
          <t>Medium</t>
        </is>
      </c>
      <c r="I6" s="5" t="n">
        <v>1</v>
      </c>
      <c r="J6" s="5" t="n"/>
      <c r="K6" s="5" t="n"/>
      <c r="L6" s="5" t="n"/>
      <c r="M6" s="5" t="n"/>
      <c r="N6" s="5" t="n"/>
      <c r="O6" s="5" t="n"/>
      <c r="P6" s="14">
        <f>IF(N6="","",IF(OR(M6="",O6=""),N6,(M6+4*N6+O6)/6))</f>
        <v/>
      </c>
      <c r="Q6" s="5" t="n"/>
      <c r="R6" s="5" t="n"/>
      <c r="S6" s="5" t="n"/>
      <c r="T6" s="5" t="n"/>
      <c r="U6" s="5" t="n"/>
      <c r="V6" s="15" t="n"/>
      <c r="W6" s="5" t="inlineStr">
        <is>
          <t>N</t>
        </is>
      </c>
      <c r="X6" s="5" t="n"/>
      <c r="Y6" s="5" t="n"/>
      <c r="Z6" s="5" t="n"/>
      <c r="AA6" s="5" t="n"/>
      <c r="AB6" s="10" t="n"/>
      <c r="AC6" s="10" t="inlineStr">
        <is>
          <t>Acetaminophen · Impurities</t>
        </is>
      </c>
      <c r="AD6" s="10" t="n"/>
      <c r="AE6" s="10" t="n"/>
    </row>
    <row r="7">
      <c r="A7" s="10" t="inlineStr">
        <is>
          <t>Acetaminophen</t>
        </is>
      </c>
      <c r="B7" s="10" t="inlineStr">
        <is>
          <t>RM</t>
        </is>
      </c>
      <c r="C7" s="10" t="inlineStr">
        <is>
          <t>Active</t>
        </is>
      </c>
      <c r="D7" s="10" t="inlineStr">
        <is>
          <t>Organic Impurities (HPLC)</t>
        </is>
      </c>
      <c r="E7" s="10">
        <f>IF(A7="","",A7&amp;"|"&amp;D7)</f>
        <v/>
      </c>
      <c r="F7" s="5" t="inlineStr">
        <is>
          <t>Y</t>
        </is>
      </c>
      <c r="G7" s="5" t="inlineStr">
        <is>
          <t>HPLC</t>
        </is>
      </c>
      <c r="H7" s="5" t="inlineStr">
        <is>
          <t>Medium</t>
        </is>
      </c>
      <c r="I7" s="5" t="n">
        <v>1</v>
      </c>
      <c r="J7" s="5" t="n"/>
      <c r="K7" s="5" t="n"/>
      <c r="L7" s="5" t="n"/>
      <c r="M7" s="5" t="n"/>
      <c r="N7" s="5" t="n"/>
      <c r="O7" s="5" t="n"/>
      <c r="P7" s="14">
        <f>IF(N7="","",IF(OR(M7="",O7=""),N7,(M7+4*N7+O7)/6))</f>
        <v/>
      </c>
      <c r="Q7" s="5" t="n"/>
      <c r="R7" s="5" t="n"/>
      <c r="S7" s="5" t="n"/>
      <c r="T7" s="5" t="n"/>
      <c r="U7" s="5" t="n"/>
      <c r="V7" s="15" t="n"/>
      <c r="W7" s="5" t="inlineStr">
        <is>
          <t>N</t>
        </is>
      </c>
      <c r="X7" s="5" t="n"/>
      <c r="Y7" s="5" t="n"/>
      <c r="Z7" s="5" t="n"/>
      <c r="AA7" s="5" t="n"/>
      <c r="AB7" s="10" t="n"/>
      <c r="AC7" s="10" t="inlineStr">
        <is>
          <t>Acetaminophen · Impurities</t>
        </is>
      </c>
      <c r="AD7" s="10" t="n"/>
      <c r="AE7" s="10" t="n"/>
    </row>
    <row r="8">
      <c r="A8" s="10" t="inlineStr">
        <is>
          <t>Acetaminophen</t>
        </is>
      </c>
      <c r="B8" s="10" t="inlineStr">
        <is>
          <t>RM</t>
        </is>
      </c>
      <c r="C8" s="10" t="inlineStr">
        <is>
          <t>Active</t>
        </is>
      </c>
      <c r="D8" s="10" t="inlineStr">
        <is>
          <t>Loss on Drying</t>
        </is>
      </c>
      <c r="E8" s="10">
        <f>IF(A8="","",A8&amp;"|"&amp;D8)</f>
        <v/>
      </c>
      <c r="F8" s="5" t="inlineStr">
        <is>
          <t>Y</t>
        </is>
      </c>
      <c r="G8" s="5" t="inlineStr">
        <is>
          <t>Other / bench</t>
        </is>
      </c>
      <c r="H8" s="5" t="inlineStr">
        <is>
          <t>Low</t>
        </is>
      </c>
      <c r="I8" s="5" t="n">
        <v>1</v>
      </c>
      <c r="J8" s="5" t="n"/>
      <c r="K8" s="10">
        <f>IFERROR(IF(INDEX('Test catalog'!$F$2:$F$200,MATCH($AB8,'Test catalog'!$A$2:$A$200,0))="","",INDEX('Test catalog'!$F$2:$F$200,MATCH($AB8,'Test catalog'!$A$2:$A$200,0))),"")</f>
        <v/>
      </c>
      <c r="L8" s="10">
        <f>IFERROR(IF(INDEX('Test catalog'!$G$2:$G$200,MATCH($AB8,'Test catalog'!$A$2:$A$200,0))="","",INDEX('Test catalog'!$G$2:$G$200,MATCH($AB8,'Test catalog'!$A$2:$A$200,0))),"")</f>
        <v/>
      </c>
      <c r="M8" s="10">
        <f>IFERROR(IF(INDEX('Test catalog'!$H$2:$H$200,MATCH($AB8,'Test catalog'!$A$2:$A$200,0))="","",INDEX('Test catalog'!$H$2:$H$200,MATCH($AB8,'Test catalog'!$A$2:$A$200,0))),"")</f>
        <v/>
      </c>
      <c r="N8" s="10">
        <f>IFERROR(IF(INDEX('Test catalog'!$I$2:$I$200,MATCH($AB8,'Test catalog'!$A$2:$A$200,0))="","",INDEX('Test catalog'!$I$2:$I$200,MATCH($AB8,'Test catalog'!$A$2:$A$200,0))),"")</f>
        <v/>
      </c>
      <c r="O8" s="10">
        <f>IFERROR(IF(INDEX('Test catalog'!$J$2:$J$200,MATCH($AB8,'Test catalog'!$A$2:$A$200,0))="","",INDEX('Test catalog'!$J$2:$J$200,MATCH($AB8,'Test catalog'!$A$2:$A$200,0))),"")</f>
        <v/>
      </c>
      <c r="P8" s="14">
        <f>IF(N8="","",IF(OR(M8="",O8=""),N8,(M8+4*N8+O8)/6))</f>
        <v/>
      </c>
      <c r="Q8" s="10">
        <f>IFERROR(IF(INDEX('Test catalog'!$K$2:$K$200,MATCH($AB8,'Test catalog'!$A$2:$A$200,0))="","",INDEX('Test catalog'!$K$2:$K$200,MATCH($AB8,'Test catalog'!$A$2:$A$200,0))),"")</f>
        <v/>
      </c>
      <c r="R8" s="5" t="n"/>
      <c r="S8" s="10">
        <f>IFERROR(IF(INDEX('Test catalog'!$L$2:$L$200,MATCH($AB8,'Test catalog'!$A$2:$A$200,0))="","",INDEX('Test catalog'!$L$2:$L$200,MATCH($AB8,'Test catalog'!$A$2:$A$200,0))),"")</f>
        <v/>
      </c>
      <c r="T8" s="10">
        <f>IFERROR(IF(INDEX('Test catalog'!$M$2:$M$200,MATCH($AB8,'Test catalog'!$A$2:$A$200,0))="","",INDEX('Test catalog'!$M$2:$M$200,MATCH($AB8,'Test catalog'!$A$2:$A$200,0))),"")</f>
        <v/>
      </c>
      <c r="U8" s="10">
        <f>IFERROR(IF(INDEX('Test catalog'!$N$2:$N$200,MATCH($AB8,'Test catalog'!$A$2:$A$200,0))="","",INDEX('Test catalog'!$N$2:$N$200,MATCH($AB8,'Test catalog'!$A$2:$A$200,0))),"")</f>
        <v/>
      </c>
      <c r="V8" s="15" t="n"/>
      <c r="W8" s="5" t="inlineStr">
        <is>
          <t>N</t>
        </is>
      </c>
      <c r="X8" s="5" t="n"/>
      <c r="Y8" s="5" t="n"/>
      <c r="Z8" s="5" t="n"/>
      <c r="AA8" s="10">
        <f>IFERROR(IF(INDEX('Test catalog'!$O$2:$O$200,MATCH($AB8,'Test catalog'!$A$2:$A$200,0))="","",INDEX('Test catalog'!$O$2:$O$200,MATCH($AB8,'Test catalog'!$A$2:$A$200,0))),"")</f>
        <v/>
      </c>
      <c r="AB8" s="10" t="inlineStr">
        <is>
          <t>LOD</t>
        </is>
      </c>
      <c r="AC8" s="10" t="inlineStr">
        <is>
          <t>Acetaminophen · Specific Tests &lt;731&gt;</t>
        </is>
      </c>
      <c r="AD8" s="10" t="n"/>
      <c r="AE8" s="10" t="n"/>
    </row>
    <row r="9">
      <c r="A9" s="10" t="inlineStr">
        <is>
          <t>Amlodipine Besylate</t>
        </is>
      </c>
      <c r="B9" s="10" t="inlineStr">
        <is>
          <t>RM</t>
        </is>
      </c>
      <c r="C9" s="10" t="inlineStr">
        <is>
          <t>Active</t>
        </is>
      </c>
      <c r="D9" s="10" t="inlineStr">
        <is>
          <t>Appearance / description and solubility</t>
        </is>
      </c>
      <c r="E9" s="10">
        <f>IF(A9="","",A9&amp;"|"&amp;D9)</f>
        <v/>
      </c>
      <c r="F9" s="5" t="inlineStr">
        <is>
          <t>Y</t>
        </is>
      </c>
      <c r="G9" s="5" t="inlineStr">
        <is>
          <t>Other / bench</t>
        </is>
      </c>
      <c r="H9" s="5" t="inlineStr">
        <is>
          <t>Low</t>
        </is>
      </c>
      <c r="I9" s="5" t="n">
        <v>1</v>
      </c>
      <c r="J9" s="5" t="n"/>
      <c r="K9" s="10">
        <f>IFERROR(IF(INDEX('Test catalog'!$F$2:$F$200,MATCH($AB9,'Test catalog'!$A$2:$A$200,0))="","",INDEX('Test catalog'!$F$2:$F$200,MATCH($AB9,'Test catalog'!$A$2:$A$200,0))),"")</f>
        <v/>
      </c>
      <c r="L9" s="10">
        <f>IFERROR(IF(INDEX('Test catalog'!$G$2:$G$200,MATCH($AB9,'Test catalog'!$A$2:$A$200,0))="","",INDEX('Test catalog'!$G$2:$G$200,MATCH($AB9,'Test catalog'!$A$2:$A$200,0))),"")</f>
        <v/>
      </c>
      <c r="M9" s="10">
        <f>IFERROR(IF(INDEX('Test catalog'!$H$2:$H$200,MATCH($AB9,'Test catalog'!$A$2:$A$200,0))="","",INDEX('Test catalog'!$H$2:$H$200,MATCH($AB9,'Test catalog'!$A$2:$A$200,0))),"")</f>
        <v/>
      </c>
      <c r="N9" s="10">
        <f>IFERROR(IF(INDEX('Test catalog'!$I$2:$I$200,MATCH($AB9,'Test catalog'!$A$2:$A$200,0))="","",INDEX('Test catalog'!$I$2:$I$200,MATCH($AB9,'Test catalog'!$A$2:$A$200,0))),"")</f>
        <v/>
      </c>
      <c r="O9" s="10">
        <f>IFERROR(IF(INDEX('Test catalog'!$J$2:$J$200,MATCH($AB9,'Test catalog'!$A$2:$A$200,0))="","",INDEX('Test catalog'!$J$2:$J$200,MATCH($AB9,'Test catalog'!$A$2:$A$200,0))),"")</f>
        <v/>
      </c>
      <c r="P9" s="14">
        <f>IF(N9="","",IF(OR(M9="",O9=""),N9,(M9+4*N9+O9)/6))</f>
        <v/>
      </c>
      <c r="Q9" s="10">
        <f>IFERROR(IF(INDEX('Test catalog'!$K$2:$K$200,MATCH($AB9,'Test catalog'!$A$2:$A$200,0))="","",INDEX('Test catalog'!$K$2:$K$200,MATCH($AB9,'Test catalog'!$A$2:$A$200,0))),"")</f>
        <v/>
      </c>
      <c r="R9" s="5" t="n"/>
      <c r="S9" s="10">
        <f>IFERROR(IF(INDEX('Test catalog'!$L$2:$L$200,MATCH($AB9,'Test catalog'!$A$2:$A$200,0))="","",INDEX('Test catalog'!$L$2:$L$200,MATCH($AB9,'Test catalog'!$A$2:$A$200,0))),"")</f>
        <v/>
      </c>
      <c r="T9" s="10">
        <f>IFERROR(IF(INDEX('Test catalog'!$M$2:$M$200,MATCH($AB9,'Test catalog'!$A$2:$A$200,0))="","",INDEX('Test catalog'!$M$2:$M$200,MATCH($AB9,'Test catalog'!$A$2:$A$200,0))),"")</f>
        <v/>
      </c>
      <c r="U9" s="10">
        <f>IFERROR(IF(INDEX('Test catalog'!$N$2:$N$200,MATCH($AB9,'Test catalog'!$A$2:$A$200,0))="","",INDEX('Test catalog'!$N$2:$N$200,MATCH($AB9,'Test catalog'!$A$2:$A$200,0))),"")</f>
        <v/>
      </c>
      <c r="V9" s="15" t="n"/>
      <c r="W9" s="5" t="inlineStr">
        <is>
          <t>N</t>
        </is>
      </c>
      <c r="X9" s="5" t="n"/>
      <c r="Y9" s="5" t="n"/>
      <c r="Z9" s="5" t="n"/>
      <c r="AA9" s="10">
        <f>IFERROR(IF(INDEX('Test catalog'!$O$2:$O$200,MATCH($AB9,'Test catalog'!$A$2:$A$200,0))="","",INDEX('Test catalog'!$O$2:$O$200,MATCH($AB9,'Test catalog'!$A$2:$A$200,0))),"")</f>
        <v/>
      </c>
      <c r="AB9" s="10" t="inlineStr">
        <is>
          <t>APPEAR</t>
        </is>
      </c>
      <c r="AC9" s="10" t="inlineStr">
        <is>
          <t>Lab practice (not a USP test)</t>
        </is>
      </c>
      <c r="AD9" s="10" t="n"/>
      <c r="AE9" s="10" t="n"/>
    </row>
    <row r="10">
      <c r="A10" s="10" t="inlineStr">
        <is>
          <t>Amlodipine Besylate</t>
        </is>
      </c>
      <c r="B10" s="10" t="inlineStr">
        <is>
          <t>RM</t>
        </is>
      </c>
      <c r="C10" s="10" t="inlineStr">
        <is>
          <t>Active</t>
        </is>
      </c>
      <c r="D10" s="10" t="inlineStr">
        <is>
          <t>Assay (HPLC)</t>
        </is>
      </c>
      <c r="E10" s="10">
        <f>IF(A10="","",A10&amp;"|"&amp;D10)</f>
        <v/>
      </c>
      <c r="F10" s="5" t="inlineStr">
        <is>
          <t>Y</t>
        </is>
      </c>
      <c r="G10" s="5" t="inlineStr">
        <is>
          <t>HPLC</t>
        </is>
      </c>
      <c r="H10" s="5" t="inlineStr">
        <is>
          <t>Medium</t>
        </is>
      </c>
      <c r="I10" s="5" t="n">
        <v>1</v>
      </c>
      <c r="J10" s="5" t="n"/>
      <c r="K10" s="5" t="n"/>
      <c r="L10" s="5" t="n"/>
      <c r="M10" s="5" t="n"/>
      <c r="N10" s="5" t="n"/>
      <c r="O10" s="5" t="n"/>
      <c r="P10" s="14">
        <f>IF(N10="","",IF(OR(M10="",O10=""),N10,(M10+4*N10+O10)/6))</f>
        <v/>
      </c>
      <c r="Q10" s="5" t="n"/>
      <c r="R10" s="5" t="n"/>
      <c r="S10" s="5" t="n"/>
      <c r="T10" s="5" t="n"/>
      <c r="U10" s="5" t="n"/>
      <c r="V10" s="15" t="n"/>
      <c r="W10" s="5" t="inlineStr">
        <is>
          <t>N</t>
        </is>
      </c>
      <c r="X10" s="5" t="n"/>
      <c r="Y10" s="5" t="n"/>
      <c r="Z10" s="5" t="n"/>
      <c r="AA10" s="5" t="n"/>
      <c r="AB10" s="10" t="n"/>
      <c r="AC10" s="10" t="inlineStr">
        <is>
          <t>Amlodipine Besylate · Assay</t>
        </is>
      </c>
      <c r="AD10" s="10" t="n"/>
      <c r="AE10" s="10" t="n"/>
    </row>
    <row r="11">
      <c r="A11" s="10" t="inlineStr">
        <is>
          <t>Amlodipine Besylate</t>
        </is>
      </c>
      <c r="B11" s="10" t="inlineStr">
        <is>
          <t>RM</t>
        </is>
      </c>
      <c r="C11" s="10" t="inlineStr">
        <is>
          <t>Active</t>
        </is>
      </c>
      <c r="D11" s="10" t="inlineStr">
        <is>
          <t>Residue on Ignition</t>
        </is>
      </c>
      <c r="E11" s="10">
        <f>IF(A11="","",A11&amp;"|"&amp;D11)</f>
        <v/>
      </c>
      <c r="F11" s="5" t="inlineStr">
        <is>
          <t>Y</t>
        </is>
      </c>
      <c r="G11" s="5" t="inlineStr">
        <is>
          <t>Other / bench</t>
        </is>
      </c>
      <c r="H11" s="5" t="inlineStr">
        <is>
          <t>Low</t>
        </is>
      </c>
      <c r="I11" s="5" t="n">
        <v>1</v>
      </c>
      <c r="J11" s="5" t="n"/>
      <c r="K11" s="10">
        <f>IFERROR(IF(INDEX('Test catalog'!$F$2:$F$200,MATCH($AB11,'Test catalog'!$A$2:$A$200,0))="","",INDEX('Test catalog'!$F$2:$F$200,MATCH($AB11,'Test catalog'!$A$2:$A$200,0))),"")</f>
        <v/>
      </c>
      <c r="L11" s="10">
        <f>IFERROR(IF(INDEX('Test catalog'!$G$2:$G$200,MATCH($AB11,'Test catalog'!$A$2:$A$200,0))="","",INDEX('Test catalog'!$G$2:$G$200,MATCH($AB11,'Test catalog'!$A$2:$A$200,0))),"")</f>
        <v/>
      </c>
      <c r="M11" s="10">
        <f>IFERROR(IF(INDEX('Test catalog'!$H$2:$H$200,MATCH($AB11,'Test catalog'!$A$2:$A$200,0))="","",INDEX('Test catalog'!$H$2:$H$200,MATCH($AB11,'Test catalog'!$A$2:$A$200,0))),"")</f>
        <v/>
      </c>
      <c r="N11" s="10">
        <f>IFERROR(IF(INDEX('Test catalog'!$I$2:$I$200,MATCH($AB11,'Test catalog'!$A$2:$A$200,0))="","",INDEX('Test catalog'!$I$2:$I$200,MATCH($AB11,'Test catalog'!$A$2:$A$200,0))),"")</f>
        <v/>
      </c>
      <c r="O11" s="10">
        <f>IFERROR(IF(INDEX('Test catalog'!$J$2:$J$200,MATCH($AB11,'Test catalog'!$A$2:$A$200,0))="","",INDEX('Test catalog'!$J$2:$J$200,MATCH($AB11,'Test catalog'!$A$2:$A$200,0))),"")</f>
        <v/>
      </c>
      <c r="P11" s="14">
        <f>IF(N11="","",IF(OR(M11="",O11=""),N11,(M11+4*N11+O11)/6))</f>
        <v/>
      </c>
      <c r="Q11" s="10">
        <f>IFERROR(IF(INDEX('Test catalog'!$K$2:$K$200,MATCH($AB11,'Test catalog'!$A$2:$A$200,0))="","",INDEX('Test catalog'!$K$2:$K$200,MATCH($AB11,'Test catalog'!$A$2:$A$200,0))),"")</f>
        <v/>
      </c>
      <c r="R11" s="5" t="n"/>
      <c r="S11" s="10">
        <f>IFERROR(IF(INDEX('Test catalog'!$L$2:$L$200,MATCH($AB11,'Test catalog'!$A$2:$A$200,0))="","",INDEX('Test catalog'!$L$2:$L$200,MATCH($AB11,'Test catalog'!$A$2:$A$200,0))),"")</f>
        <v/>
      </c>
      <c r="T11" s="10">
        <f>IFERROR(IF(INDEX('Test catalog'!$M$2:$M$200,MATCH($AB11,'Test catalog'!$A$2:$A$200,0))="","",INDEX('Test catalog'!$M$2:$M$200,MATCH($AB11,'Test catalog'!$A$2:$A$200,0))),"")</f>
        <v/>
      </c>
      <c r="U11" s="10">
        <f>IFERROR(IF(INDEX('Test catalog'!$N$2:$N$200,MATCH($AB11,'Test catalog'!$A$2:$A$200,0))="","",INDEX('Test catalog'!$N$2:$N$200,MATCH($AB11,'Test catalog'!$A$2:$A$200,0))),"")</f>
        <v/>
      </c>
      <c r="V11" s="15" t="n"/>
      <c r="W11" s="5" t="inlineStr">
        <is>
          <t>N</t>
        </is>
      </c>
      <c r="X11" s="5" t="n"/>
      <c r="Y11" s="5" t="n"/>
      <c r="Z11" s="5" t="n"/>
      <c r="AA11" s="10">
        <f>IFERROR(IF(INDEX('Test catalog'!$O$2:$O$200,MATCH($AB11,'Test catalog'!$A$2:$A$200,0))="","",INDEX('Test catalog'!$O$2:$O$200,MATCH($AB11,'Test catalog'!$A$2:$A$200,0))),"")</f>
        <v/>
      </c>
      <c r="AB11" s="10" t="inlineStr">
        <is>
          <t>ROI</t>
        </is>
      </c>
      <c r="AC11" s="10" t="inlineStr">
        <is>
          <t>Amlodipine Besylate · Impurities &lt;281&gt;</t>
        </is>
      </c>
      <c r="AD11" s="10" t="n"/>
      <c r="AE11" s="10" t="n"/>
    </row>
    <row r="12">
      <c r="A12" s="10" t="inlineStr">
        <is>
          <t>Amlodipine Besylate</t>
        </is>
      </c>
      <c r="B12" s="10" t="inlineStr">
        <is>
          <t>RM</t>
        </is>
      </c>
      <c r="C12" s="10" t="inlineStr">
        <is>
          <t>Active</t>
        </is>
      </c>
      <c r="D12" s="10" t="inlineStr">
        <is>
          <t>Organic Impurities (HPLC)</t>
        </is>
      </c>
      <c r="E12" s="10">
        <f>IF(A12="","",A12&amp;"|"&amp;D12)</f>
        <v/>
      </c>
      <c r="F12" s="5" t="inlineStr">
        <is>
          <t>Y</t>
        </is>
      </c>
      <c r="G12" s="5" t="inlineStr">
        <is>
          <t>HPLC</t>
        </is>
      </c>
      <c r="H12" s="5" t="inlineStr">
        <is>
          <t>Medium</t>
        </is>
      </c>
      <c r="I12" s="5" t="n">
        <v>1</v>
      </c>
      <c r="J12" s="5" t="n"/>
      <c r="K12" s="5" t="n"/>
      <c r="L12" s="5" t="n"/>
      <c r="M12" s="5" t="n"/>
      <c r="N12" s="5" t="n"/>
      <c r="O12" s="5" t="n"/>
      <c r="P12" s="14">
        <f>IF(N12="","",IF(OR(M12="",O12=""),N12,(M12+4*N12+O12)/6))</f>
        <v/>
      </c>
      <c r="Q12" s="5" t="n"/>
      <c r="R12" s="5" t="n"/>
      <c r="S12" s="5" t="n"/>
      <c r="T12" s="5" t="n"/>
      <c r="U12" s="5" t="n"/>
      <c r="V12" s="15" t="n"/>
      <c r="W12" s="5" t="inlineStr">
        <is>
          <t>N</t>
        </is>
      </c>
      <c r="X12" s="5" t="n"/>
      <c r="Y12" s="5" t="n"/>
      <c r="Z12" s="5" t="n"/>
      <c r="AA12" s="5" t="n"/>
      <c r="AB12" s="10" t="n"/>
      <c r="AC12" s="10" t="inlineStr">
        <is>
          <t>Amlodipine Besylate · Impurities</t>
        </is>
      </c>
      <c r="AD12" s="10" t="n"/>
      <c r="AE12" s="10" t="n"/>
    </row>
    <row r="13">
      <c r="A13" s="10" t="inlineStr">
        <is>
          <t>Amlodipine Besylate</t>
        </is>
      </c>
      <c r="B13" s="10" t="inlineStr">
        <is>
          <t>RM</t>
        </is>
      </c>
      <c r="C13" s="10" t="inlineStr">
        <is>
          <t>Active</t>
        </is>
      </c>
      <c r="D13" s="10" t="inlineStr">
        <is>
          <t>Optical Rotation</t>
        </is>
      </c>
      <c r="E13" s="10">
        <f>IF(A13="","",A13&amp;"|"&amp;D13)</f>
        <v/>
      </c>
      <c r="F13" s="5" t="inlineStr">
        <is>
          <t>Y</t>
        </is>
      </c>
      <c r="G13" s="5" t="inlineStr">
        <is>
          <t>Other / bench</t>
        </is>
      </c>
      <c r="H13" s="5" t="inlineStr">
        <is>
          <t>Low</t>
        </is>
      </c>
      <c r="I13" s="5" t="n">
        <v>1</v>
      </c>
      <c r="J13" s="5" t="n"/>
      <c r="K13" s="10">
        <f>IFERROR(IF(INDEX('Test catalog'!$F$2:$F$200,MATCH($AB13,'Test catalog'!$A$2:$A$200,0))="","",INDEX('Test catalog'!$F$2:$F$200,MATCH($AB13,'Test catalog'!$A$2:$A$200,0))),"")</f>
        <v/>
      </c>
      <c r="L13" s="10">
        <f>IFERROR(IF(INDEX('Test catalog'!$G$2:$G$200,MATCH($AB13,'Test catalog'!$A$2:$A$200,0))="","",INDEX('Test catalog'!$G$2:$G$200,MATCH($AB13,'Test catalog'!$A$2:$A$200,0))),"")</f>
        <v/>
      </c>
      <c r="M13" s="10">
        <f>IFERROR(IF(INDEX('Test catalog'!$H$2:$H$200,MATCH($AB13,'Test catalog'!$A$2:$A$200,0))="","",INDEX('Test catalog'!$H$2:$H$200,MATCH($AB13,'Test catalog'!$A$2:$A$200,0))),"")</f>
        <v/>
      </c>
      <c r="N13" s="10">
        <f>IFERROR(IF(INDEX('Test catalog'!$I$2:$I$200,MATCH($AB13,'Test catalog'!$A$2:$A$200,0))="","",INDEX('Test catalog'!$I$2:$I$200,MATCH($AB13,'Test catalog'!$A$2:$A$200,0))),"")</f>
        <v/>
      </c>
      <c r="O13" s="10">
        <f>IFERROR(IF(INDEX('Test catalog'!$J$2:$J$200,MATCH($AB13,'Test catalog'!$A$2:$A$200,0))="","",INDEX('Test catalog'!$J$2:$J$200,MATCH($AB13,'Test catalog'!$A$2:$A$200,0))),"")</f>
        <v/>
      </c>
      <c r="P13" s="14">
        <f>IF(N13="","",IF(OR(M13="",O13=""),N13,(M13+4*N13+O13)/6))</f>
        <v/>
      </c>
      <c r="Q13" s="10">
        <f>IFERROR(IF(INDEX('Test catalog'!$K$2:$K$200,MATCH($AB13,'Test catalog'!$A$2:$A$200,0))="","",INDEX('Test catalog'!$K$2:$K$200,MATCH($AB13,'Test catalog'!$A$2:$A$200,0))),"")</f>
        <v/>
      </c>
      <c r="R13" s="5" t="n"/>
      <c r="S13" s="10">
        <f>IFERROR(IF(INDEX('Test catalog'!$L$2:$L$200,MATCH($AB13,'Test catalog'!$A$2:$A$200,0))="","",INDEX('Test catalog'!$L$2:$L$200,MATCH($AB13,'Test catalog'!$A$2:$A$200,0))),"")</f>
        <v/>
      </c>
      <c r="T13" s="10">
        <f>IFERROR(IF(INDEX('Test catalog'!$M$2:$M$200,MATCH($AB13,'Test catalog'!$A$2:$A$200,0))="","",INDEX('Test catalog'!$M$2:$M$200,MATCH($AB13,'Test catalog'!$A$2:$A$200,0))),"")</f>
        <v/>
      </c>
      <c r="U13" s="10">
        <f>IFERROR(IF(INDEX('Test catalog'!$N$2:$N$200,MATCH($AB13,'Test catalog'!$A$2:$A$200,0))="","",INDEX('Test catalog'!$N$2:$N$200,MATCH($AB13,'Test catalog'!$A$2:$A$200,0))),"")</f>
        <v/>
      </c>
      <c r="V13" s="15" t="n"/>
      <c r="W13" s="5" t="inlineStr">
        <is>
          <t>N</t>
        </is>
      </c>
      <c r="X13" s="5" t="n"/>
      <c r="Y13" s="5" t="n"/>
      <c r="Z13" s="5" t="n"/>
      <c r="AA13" s="10">
        <f>IFERROR(IF(INDEX('Test catalog'!$O$2:$O$200,MATCH($AB13,'Test catalog'!$A$2:$A$200,0))="","",INDEX('Test catalog'!$O$2:$O$200,MATCH($AB13,'Test catalog'!$A$2:$A$200,0))),"")</f>
        <v/>
      </c>
      <c r="AB13" s="10" t="inlineStr">
        <is>
          <t>OR</t>
        </is>
      </c>
      <c r="AC13" s="10" t="inlineStr">
        <is>
          <t>Amlodipine Besylate · Specific Tests &lt;781&gt;</t>
        </is>
      </c>
      <c r="AD13" s="10" t="n"/>
      <c r="AE13" s="10" t="n"/>
    </row>
    <row r="14">
      <c r="A14" s="10" t="inlineStr">
        <is>
          <t>Amlodipine Besylate</t>
        </is>
      </c>
      <c r="B14" s="10" t="inlineStr">
        <is>
          <t>RM</t>
        </is>
      </c>
      <c r="C14" s="10" t="inlineStr">
        <is>
          <t>Active</t>
        </is>
      </c>
      <c r="D14" s="10" t="inlineStr">
        <is>
          <t>Water Determination</t>
        </is>
      </c>
      <c r="E14" s="10">
        <f>IF(A14="","",A14&amp;"|"&amp;D14)</f>
        <v/>
      </c>
      <c r="F14" s="5" t="inlineStr">
        <is>
          <t>Y</t>
        </is>
      </c>
      <c r="G14" s="5" t="inlineStr">
        <is>
          <t>KF titrator</t>
        </is>
      </c>
      <c r="H14" s="5" t="inlineStr">
        <is>
          <t>Low</t>
        </is>
      </c>
      <c r="I14" s="5" t="n">
        <v>1</v>
      </c>
      <c r="J14" s="5" t="n"/>
      <c r="K14" s="10">
        <f>IFERROR(IF(INDEX('Test catalog'!$F$2:$F$200,MATCH($AB14,'Test catalog'!$A$2:$A$200,0))="","",INDEX('Test catalog'!$F$2:$F$200,MATCH($AB14,'Test catalog'!$A$2:$A$200,0))),"")</f>
        <v/>
      </c>
      <c r="L14" s="10">
        <f>IFERROR(IF(INDEX('Test catalog'!$G$2:$G$200,MATCH($AB14,'Test catalog'!$A$2:$A$200,0))="","",INDEX('Test catalog'!$G$2:$G$200,MATCH($AB14,'Test catalog'!$A$2:$A$200,0))),"")</f>
        <v/>
      </c>
      <c r="M14" s="10">
        <f>IFERROR(IF(INDEX('Test catalog'!$H$2:$H$200,MATCH($AB14,'Test catalog'!$A$2:$A$200,0))="","",INDEX('Test catalog'!$H$2:$H$200,MATCH($AB14,'Test catalog'!$A$2:$A$200,0))),"")</f>
        <v/>
      </c>
      <c r="N14" s="10">
        <f>IFERROR(IF(INDEX('Test catalog'!$I$2:$I$200,MATCH($AB14,'Test catalog'!$A$2:$A$200,0))="","",INDEX('Test catalog'!$I$2:$I$200,MATCH($AB14,'Test catalog'!$A$2:$A$200,0))),"")</f>
        <v/>
      </c>
      <c r="O14" s="10">
        <f>IFERROR(IF(INDEX('Test catalog'!$J$2:$J$200,MATCH($AB14,'Test catalog'!$A$2:$A$200,0))="","",INDEX('Test catalog'!$J$2:$J$200,MATCH($AB14,'Test catalog'!$A$2:$A$200,0))),"")</f>
        <v/>
      </c>
      <c r="P14" s="14">
        <f>IF(N14="","",IF(OR(M14="",O14=""),N14,(M14+4*N14+O14)/6))</f>
        <v/>
      </c>
      <c r="Q14" s="10">
        <f>IFERROR(IF(INDEX('Test catalog'!$K$2:$K$200,MATCH($AB14,'Test catalog'!$A$2:$A$200,0))="","",INDEX('Test catalog'!$K$2:$K$200,MATCH($AB14,'Test catalog'!$A$2:$A$200,0))),"")</f>
        <v/>
      </c>
      <c r="R14" s="5" t="n"/>
      <c r="S14" s="10">
        <f>IFERROR(IF(INDEX('Test catalog'!$L$2:$L$200,MATCH($AB14,'Test catalog'!$A$2:$A$200,0))="","",INDEX('Test catalog'!$L$2:$L$200,MATCH($AB14,'Test catalog'!$A$2:$A$200,0))),"")</f>
        <v/>
      </c>
      <c r="T14" s="10">
        <f>IFERROR(IF(INDEX('Test catalog'!$M$2:$M$200,MATCH($AB14,'Test catalog'!$A$2:$A$200,0))="","",INDEX('Test catalog'!$M$2:$M$200,MATCH($AB14,'Test catalog'!$A$2:$A$200,0))),"")</f>
        <v/>
      </c>
      <c r="U14" s="10">
        <f>IFERROR(IF(INDEX('Test catalog'!$N$2:$N$200,MATCH($AB14,'Test catalog'!$A$2:$A$200,0))="","",INDEX('Test catalog'!$N$2:$N$200,MATCH($AB14,'Test catalog'!$A$2:$A$200,0))),"")</f>
        <v/>
      </c>
      <c r="V14" s="15" t="n"/>
      <c r="W14" s="5" t="inlineStr">
        <is>
          <t>N</t>
        </is>
      </c>
      <c r="X14" s="5" t="n"/>
      <c r="Y14" s="5" t="n"/>
      <c r="Z14" s="5" t="n"/>
      <c r="AA14" s="10">
        <f>IFERROR(IF(INDEX('Test catalog'!$O$2:$O$200,MATCH($AB14,'Test catalog'!$A$2:$A$200,0))="","",INDEX('Test catalog'!$O$2:$O$200,MATCH($AB14,'Test catalog'!$A$2:$A$200,0))),"")</f>
        <v/>
      </c>
      <c r="AB14" s="10" t="inlineStr">
        <is>
          <t>KF</t>
        </is>
      </c>
      <c r="AC14" s="10" t="inlineStr">
        <is>
          <t>Amlodipine Besylate · Specific Tests &lt;921&gt;</t>
        </is>
      </c>
      <c r="AD14" s="10" t="n"/>
      <c r="AE14" s="10" t="n"/>
    </row>
    <row r="15">
      <c r="A15" s="10" t="inlineStr">
        <is>
          <t>Apium Graveolens Seed Dry Extract 6:1</t>
        </is>
      </c>
      <c r="B15" s="10" t="inlineStr">
        <is>
          <t>RM</t>
        </is>
      </c>
      <c r="C15" s="10" t="inlineStr">
        <is>
          <t>Active</t>
        </is>
      </c>
      <c r="D15" s="10" t="inlineStr">
        <is>
          <t>Assay + related substances</t>
        </is>
      </c>
      <c r="E15" s="10">
        <f>IF(A15="","",A15&amp;"|"&amp;D15)</f>
        <v/>
      </c>
      <c r="F15" s="5" t="inlineStr">
        <is>
          <t>Y</t>
        </is>
      </c>
      <c r="G15" s="5" t="inlineStr">
        <is>
          <t>HPLC</t>
        </is>
      </c>
      <c r="H15" s="5" t="inlineStr">
        <is>
          <t>Medium</t>
        </is>
      </c>
      <c r="I15" s="5" t="n">
        <v>1</v>
      </c>
      <c r="J15" s="5" t="n"/>
      <c r="K15" s="5" t="n"/>
      <c r="L15" s="5" t="n"/>
      <c r="M15" s="5" t="n"/>
      <c r="N15" s="5" t="n"/>
      <c r="O15" s="5" t="n"/>
      <c r="P15" s="14">
        <f>IF(N15="","",IF(OR(M15="",O15=""),N15,(M15+4*N15+O15)/6))</f>
        <v/>
      </c>
      <c r="Q15" s="5" t="n"/>
      <c r="R15" s="5" t="n"/>
      <c r="S15" s="5" t="n"/>
      <c r="T15" s="5" t="n"/>
      <c r="U15" s="5" t="n"/>
      <c r="V15" s="15" t="n"/>
      <c r="W15" s="5" t="inlineStr">
        <is>
          <t>N</t>
        </is>
      </c>
      <c r="X15" s="5" t="n"/>
      <c r="Y15" s="5" t="n"/>
      <c r="Z15" s="5" t="n"/>
      <c r="AA15" s="5" t="n"/>
      <c r="AB15" s="10" t="n"/>
      <c r="AC15" s="10" t="n"/>
      <c r="AD15" s="10" t="inlineStr">
        <is>
          <t>No USP-NF monograph - in-house / supplier spec</t>
        </is>
      </c>
      <c r="AE15" s="10" t="n">
        <v>6</v>
      </c>
      <c r="AF15" s="10" t="inlineStr">
        <is>
          <t>Assay</t>
        </is>
      </c>
    </row>
    <row r="16">
      <c r="A16" s="10" t="inlineStr">
        <is>
          <t>Apium Graveolens Seed Dry Extract 6:1</t>
        </is>
      </c>
      <c r="B16" s="10" t="inlineStr">
        <is>
          <t>RM</t>
        </is>
      </c>
      <c r="C16" s="10" t="inlineStr">
        <is>
          <t>Active</t>
        </is>
      </c>
      <c r="D16" s="10" t="inlineStr">
        <is>
          <t>Other compendial tests (ID, LOD/KF, heavy metals...)</t>
        </is>
      </c>
      <c r="E16" s="10">
        <f>IF(A16="","",A16&amp;"|"&amp;D16)</f>
        <v/>
      </c>
      <c r="F16" s="5" t="inlineStr">
        <is>
          <t>Y</t>
        </is>
      </c>
      <c r="G16" s="5" t="inlineStr">
        <is>
          <t>Other / bench</t>
        </is>
      </c>
      <c r="H16" s="5" t="inlineStr">
        <is>
          <t>Low</t>
        </is>
      </c>
      <c r="I16" s="5" t="n">
        <v>1</v>
      </c>
      <c r="J16" s="5" t="n"/>
      <c r="K16" s="5" t="n"/>
      <c r="L16" s="5" t="n"/>
      <c r="M16" s="5" t="n"/>
      <c r="N16" s="5" t="n"/>
      <c r="O16" s="5" t="n"/>
      <c r="P16" s="14">
        <f>IF(N16="","",IF(OR(M16="",O16=""),N16,(M16+4*N16+O16)/6))</f>
        <v/>
      </c>
      <c r="Q16" s="5" t="n"/>
      <c r="R16" s="5" t="n"/>
      <c r="S16" s="5" t="n"/>
      <c r="T16" s="5" t="n"/>
      <c r="U16" s="5" t="n"/>
      <c r="V16" s="15" t="n"/>
      <c r="W16" s="5" t="inlineStr">
        <is>
          <t>N</t>
        </is>
      </c>
      <c r="X16" s="5" t="n"/>
      <c r="Y16" s="5" t="n"/>
      <c r="Z16" s="5" t="n"/>
      <c r="AA16" s="5" t="n"/>
      <c r="AB16" s="10" t="n"/>
      <c r="AC16" s="10" t="n"/>
      <c r="AD16" s="10" t="inlineStr">
        <is>
          <t>No USP-NF monograph - in-house / supplier spec</t>
        </is>
      </c>
      <c r="AE16" s="10" t="n">
        <v>3.02</v>
      </c>
      <c r="AF16" s="10" t="inlineStr">
        <is>
          <t>Appearance-Particle size-Loss on Drying-Ash</t>
        </is>
      </c>
    </row>
    <row r="17">
      <c r="A17" s="10" t="inlineStr">
        <is>
          <t>Apixaban</t>
        </is>
      </c>
      <c r="B17" s="10" t="inlineStr">
        <is>
          <t>RM</t>
        </is>
      </c>
      <c r="C17" s="10" t="inlineStr">
        <is>
          <t>Active</t>
        </is>
      </c>
      <c r="D17" s="10" t="inlineStr">
        <is>
          <t>Assay + related substances</t>
        </is>
      </c>
      <c r="E17" s="10">
        <f>IF(A17="","",A17&amp;"|"&amp;D17)</f>
        <v/>
      </c>
      <c r="F17" s="5" t="inlineStr">
        <is>
          <t>Y</t>
        </is>
      </c>
      <c r="G17" s="5" t="inlineStr">
        <is>
          <t>HPLC</t>
        </is>
      </c>
      <c r="H17" s="5" t="inlineStr">
        <is>
          <t>Medium</t>
        </is>
      </c>
      <c r="I17" s="5" t="n">
        <v>1</v>
      </c>
      <c r="J17" s="5" t="n"/>
      <c r="K17" s="5" t="n"/>
      <c r="L17" s="5" t="n"/>
      <c r="M17" s="5" t="n"/>
      <c r="N17" s="5" t="n"/>
      <c r="O17" s="5" t="n"/>
      <c r="P17" s="14">
        <f>IF(N17="","",IF(OR(M17="",O17=""),N17,(M17+4*N17+O17)/6))</f>
        <v/>
      </c>
      <c r="Q17" s="5" t="n"/>
      <c r="R17" s="5" t="n"/>
      <c r="S17" s="5" t="n"/>
      <c r="T17" s="5" t="n"/>
      <c r="U17" s="5" t="n"/>
      <c r="V17" s="15" t="n"/>
      <c r="W17" s="5" t="inlineStr">
        <is>
          <t>N</t>
        </is>
      </c>
      <c r="X17" s="5" t="n"/>
      <c r="Y17" s="5" t="n"/>
      <c r="Z17" s="5" t="n"/>
      <c r="AA17" s="5" t="n"/>
      <c r="AB17" s="10" t="n"/>
      <c r="AC17" s="10" t="n"/>
      <c r="AD17" s="10" t="inlineStr">
        <is>
          <t>No USP-NF monograph - in-house / supplier spec</t>
        </is>
      </c>
      <c r="AE17" s="10" t="n"/>
      <c r="AF17" s="10" t="n"/>
    </row>
    <row r="18">
      <c r="A18" s="10" t="inlineStr">
        <is>
          <t>Apixaban</t>
        </is>
      </c>
      <c r="B18" s="10" t="inlineStr">
        <is>
          <t>RM</t>
        </is>
      </c>
      <c r="C18" s="10" t="inlineStr">
        <is>
          <t>Active</t>
        </is>
      </c>
      <c r="D18" s="10" t="inlineStr">
        <is>
          <t>Other compendial tests (ID, LOD/KF, heavy metals...)</t>
        </is>
      </c>
      <c r="E18" s="10">
        <f>IF(A18="","",A18&amp;"|"&amp;D18)</f>
        <v/>
      </c>
      <c r="F18" s="5" t="inlineStr">
        <is>
          <t>Y</t>
        </is>
      </c>
      <c r="G18" s="5" t="inlineStr">
        <is>
          <t>Other / bench</t>
        </is>
      </c>
      <c r="H18" s="5" t="inlineStr">
        <is>
          <t>Low</t>
        </is>
      </c>
      <c r="I18" s="5" t="n">
        <v>1</v>
      </c>
      <c r="J18" s="5" t="n"/>
      <c r="K18" s="5" t="n"/>
      <c r="L18" s="5" t="n"/>
      <c r="M18" s="5" t="n"/>
      <c r="N18" s="5" t="n"/>
      <c r="O18" s="5" t="n"/>
      <c r="P18" s="14">
        <f>IF(N18="","",IF(OR(M18="",O18=""),N18,(M18+4*N18+O18)/6))</f>
        <v/>
      </c>
      <c r="Q18" s="5" t="n"/>
      <c r="R18" s="5" t="n"/>
      <c r="S18" s="5" t="n"/>
      <c r="T18" s="5" t="n"/>
      <c r="U18" s="5" t="n"/>
      <c r="V18" s="15" t="n"/>
      <c r="W18" s="5" t="inlineStr">
        <is>
          <t>N</t>
        </is>
      </c>
      <c r="X18" s="5" t="n"/>
      <c r="Y18" s="5" t="n"/>
      <c r="Z18" s="5" t="n"/>
      <c r="AA18" s="5" t="n"/>
      <c r="AB18" s="10" t="n"/>
      <c r="AC18" s="10" t="n"/>
      <c r="AD18" s="10" t="inlineStr">
        <is>
          <t>No USP-NF monograph - in-house / supplier spec</t>
        </is>
      </c>
      <c r="AE18" s="10" t="n"/>
      <c r="AF18" s="10" t="n"/>
    </row>
    <row r="19">
      <c r="A19" s="10" t="inlineStr">
        <is>
          <t>Artichoke Dry Extract 25:1</t>
        </is>
      </c>
      <c r="B19" s="10" t="inlineStr">
        <is>
          <t>RM</t>
        </is>
      </c>
      <c r="C19" s="10" t="inlineStr">
        <is>
          <t>Active</t>
        </is>
      </c>
      <c r="D19" s="10" t="inlineStr">
        <is>
          <t>Assay + related substances</t>
        </is>
      </c>
      <c r="E19" s="10">
        <f>IF(A19="","",A19&amp;"|"&amp;D19)</f>
        <v/>
      </c>
      <c r="F19" s="5" t="inlineStr">
        <is>
          <t>Y</t>
        </is>
      </c>
      <c r="G19" s="5" t="inlineStr">
        <is>
          <t>HPLC</t>
        </is>
      </c>
      <c r="H19" s="5" t="inlineStr">
        <is>
          <t>Medium</t>
        </is>
      </c>
      <c r="I19" s="5" t="n">
        <v>1</v>
      </c>
      <c r="J19" s="5" t="n"/>
      <c r="K19" s="5" t="n"/>
      <c r="L19" s="5" t="n"/>
      <c r="M19" s="5" t="n"/>
      <c r="N19" s="5" t="n"/>
      <c r="O19" s="5" t="n"/>
      <c r="P19" s="14">
        <f>IF(N19="","",IF(OR(M19="",O19=""),N19,(M19+4*N19+O19)/6))</f>
        <v/>
      </c>
      <c r="Q19" s="5" t="n"/>
      <c r="R19" s="5" t="n"/>
      <c r="S19" s="5" t="n"/>
      <c r="T19" s="5" t="n"/>
      <c r="U19" s="5" t="n"/>
      <c r="V19" s="15" t="n"/>
      <c r="W19" s="5" t="inlineStr">
        <is>
          <t>N</t>
        </is>
      </c>
      <c r="X19" s="5" t="n"/>
      <c r="Y19" s="5" t="n"/>
      <c r="Z19" s="5" t="n"/>
      <c r="AA19" s="5" t="n"/>
      <c r="AB19" s="10" t="n"/>
      <c r="AC19" s="10" t="n"/>
      <c r="AD19" s="10" t="inlineStr">
        <is>
          <t>No USP-NF monograph - in-house / supplier spec</t>
        </is>
      </c>
      <c r="AE19" s="10" t="n">
        <v>8</v>
      </c>
      <c r="AF19" s="10" t="inlineStr">
        <is>
          <t>Assay</t>
        </is>
      </c>
    </row>
    <row r="20">
      <c r="A20" s="10" t="inlineStr">
        <is>
          <t>Artichoke Dry Extract 25:1</t>
        </is>
      </c>
      <c r="B20" s="10" t="inlineStr">
        <is>
          <t>RM</t>
        </is>
      </c>
      <c r="C20" s="10" t="inlineStr">
        <is>
          <t>Active</t>
        </is>
      </c>
      <c r="D20" s="10" t="inlineStr">
        <is>
          <t>Other compendial tests (ID, LOD/KF, heavy metals...)</t>
        </is>
      </c>
      <c r="E20" s="10">
        <f>IF(A20="","",A20&amp;"|"&amp;D20)</f>
        <v/>
      </c>
      <c r="F20" s="5" t="inlineStr">
        <is>
          <t>Y</t>
        </is>
      </c>
      <c r="G20" s="5" t="inlineStr">
        <is>
          <t>Other / bench</t>
        </is>
      </c>
      <c r="H20" s="5" t="inlineStr">
        <is>
          <t>Low</t>
        </is>
      </c>
      <c r="I20" s="5" t="n">
        <v>1</v>
      </c>
      <c r="J20" s="5" t="n"/>
      <c r="K20" s="5" t="n"/>
      <c r="L20" s="5" t="n"/>
      <c r="M20" s="5" t="n"/>
      <c r="N20" s="5" t="n"/>
      <c r="O20" s="5" t="n"/>
      <c r="P20" s="14">
        <f>IF(N20="","",IF(OR(M20="",O20=""),N20,(M20+4*N20+O20)/6))</f>
        <v/>
      </c>
      <c r="Q20" s="5" t="n"/>
      <c r="R20" s="5" t="n"/>
      <c r="S20" s="5" t="n"/>
      <c r="T20" s="5" t="n"/>
      <c r="U20" s="5" t="n"/>
      <c r="V20" s="15" t="n"/>
      <c r="W20" s="5" t="inlineStr">
        <is>
          <t>N</t>
        </is>
      </c>
      <c r="X20" s="5" t="n"/>
      <c r="Y20" s="5" t="n"/>
      <c r="Z20" s="5" t="n"/>
      <c r="AA20" s="5" t="n"/>
      <c r="AB20" s="10" t="n"/>
      <c r="AC20" s="10" t="n"/>
      <c r="AD20" s="10" t="inlineStr">
        <is>
          <t>No USP-NF monograph - in-house / supplier spec</t>
        </is>
      </c>
      <c r="AE20" s="10" t="n">
        <v>3.07</v>
      </c>
      <c r="AF20" s="10" t="inlineStr">
        <is>
          <t>Appearance- Odour- Colour- Taste- Particle size- LOD- Ash-Solubility</t>
        </is>
      </c>
    </row>
    <row r="21">
      <c r="A21" s="10" t="inlineStr">
        <is>
          <t>Ascorbic Acid (Vitamin C)</t>
        </is>
      </c>
      <c r="B21" s="10" t="inlineStr">
        <is>
          <t>RM</t>
        </is>
      </c>
      <c r="C21" s="10" t="inlineStr">
        <is>
          <t>Active</t>
        </is>
      </c>
      <c r="D21" s="10" t="inlineStr">
        <is>
          <t>Appearance / description and solubility</t>
        </is>
      </c>
      <c r="E21" s="10">
        <f>IF(A21="","",A21&amp;"|"&amp;D21)</f>
        <v/>
      </c>
      <c r="F21" s="5" t="inlineStr">
        <is>
          <t>Y</t>
        </is>
      </c>
      <c r="G21" s="5" t="inlineStr">
        <is>
          <t>Other / bench</t>
        </is>
      </c>
      <c r="H21" s="5" t="inlineStr">
        <is>
          <t>Low</t>
        </is>
      </c>
      <c r="I21" s="5" t="n">
        <v>1</v>
      </c>
      <c r="J21" s="5" t="n"/>
      <c r="K21" s="10">
        <f>IFERROR(IF(INDEX('Test catalog'!$F$2:$F$200,MATCH($AB21,'Test catalog'!$A$2:$A$200,0))="","",INDEX('Test catalog'!$F$2:$F$200,MATCH($AB21,'Test catalog'!$A$2:$A$200,0))),"")</f>
        <v/>
      </c>
      <c r="L21" s="10">
        <f>IFERROR(IF(INDEX('Test catalog'!$G$2:$G$200,MATCH($AB21,'Test catalog'!$A$2:$A$200,0))="","",INDEX('Test catalog'!$G$2:$G$200,MATCH($AB21,'Test catalog'!$A$2:$A$200,0))),"")</f>
        <v/>
      </c>
      <c r="M21" s="10">
        <f>IFERROR(IF(INDEX('Test catalog'!$H$2:$H$200,MATCH($AB21,'Test catalog'!$A$2:$A$200,0))="","",INDEX('Test catalog'!$H$2:$H$200,MATCH($AB21,'Test catalog'!$A$2:$A$200,0))),"")</f>
        <v/>
      </c>
      <c r="N21" s="10">
        <f>IFERROR(IF(INDEX('Test catalog'!$I$2:$I$200,MATCH($AB21,'Test catalog'!$A$2:$A$200,0))="","",INDEX('Test catalog'!$I$2:$I$200,MATCH($AB21,'Test catalog'!$A$2:$A$200,0))),"")</f>
        <v/>
      </c>
      <c r="O21" s="10">
        <f>IFERROR(IF(INDEX('Test catalog'!$J$2:$J$200,MATCH($AB21,'Test catalog'!$A$2:$A$200,0))="","",INDEX('Test catalog'!$J$2:$J$200,MATCH($AB21,'Test catalog'!$A$2:$A$200,0))),"")</f>
        <v/>
      </c>
      <c r="P21" s="14">
        <f>IF(N21="","",IF(OR(M21="",O21=""),N21,(M21+4*N21+O21)/6))</f>
        <v/>
      </c>
      <c r="Q21" s="10">
        <f>IFERROR(IF(INDEX('Test catalog'!$K$2:$K$200,MATCH($AB21,'Test catalog'!$A$2:$A$200,0))="","",INDEX('Test catalog'!$K$2:$K$200,MATCH($AB21,'Test catalog'!$A$2:$A$200,0))),"")</f>
        <v/>
      </c>
      <c r="R21" s="5" t="n"/>
      <c r="S21" s="10">
        <f>IFERROR(IF(INDEX('Test catalog'!$L$2:$L$200,MATCH($AB21,'Test catalog'!$A$2:$A$200,0))="","",INDEX('Test catalog'!$L$2:$L$200,MATCH($AB21,'Test catalog'!$A$2:$A$200,0))),"")</f>
        <v/>
      </c>
      <c r="T21" s="10">
        <f>IFERROR(IF(INDEX('Test catalog'!$M$2:$M$200,MATCH($AB21,'Test catalog'!$A$2:$A$200,0))="","",INDEX('Test catalog'!$M$2:$M$200,MATCH($AB21,'Test catalog'!$A$2:$A$200,0))),"")</f>
        <v/>
      </c>
      <c r="U21" s="10">
        <f>IFERROR(IF(INDEX('Test catalog'!$N$2:$N$200,MATCH($AB21,'Test catalog'!$A$2:$A$200,0))="","",INDEX('Test catalog'!$N$2:$N$200,MATCH($AB21,'Test catalog'!$A$2:$A$200,0))),"")</f>
        <v/>
      </c>
      <c r="V21" s="15" t="n"/>
      <c r="W21" s="5" t="inlineStr">
        <is>
          <t>N</t>
        </is>
      </c>
      <c r="X21" s="5" t="n"/>
      <c r="Y21" s="5" t="n"/>
      <c r="Z21" s="5" t="n"/>
      <c r="AA21" s="10">
        <f>IFERROR(IF(INDEX('Test catalog'!$O$2:$O$200,MATCH($AB21,'Test catalog'!$A$2:$A$200,0))="","",INDEX('Test catalog'!$O$2:$O$200,MATCH($AB21,'Test catalog'!$A$2:$A$200,0))),"")</f>
        <v/>
      </c>
      <c r="AB21" s="10" t="inlineStr">
        <is>
          <t>APPEAR</t>
        </is>
      </c>
      <c r="AC21" s="10" t="inlineStr">
        <is>
          <t>Lab practice (not a USP test)</t>
        </is>
      </c>
      <c r="AD21" s="10" t="n"/>
      <c r="AE21" s="10" t="n"/>
    </row>
    <row r="22">
      <c r="A22" s="10" t="inlineStr">
        <is>
          <t>Ascorbic Acid (Vitamin C)</t>
        </is>
      </c>
      <c r="B22" s="10" t="inlineStr">
        <is>
          <t>RM</t>
        </is>
      </c>
      <c r="C22" s="10" t="inlineStr">
        <is>
          <t>Active</t>
        </is>
      </c>
      <c r="D22" s="10" t="inlineStr">
        <is>
          <t>ID A - IR spectrum</t>
        </is>
      </c>
      <c r="E22" s="10">
        <f>IF(A22="","",A22&amp;"|"&amp;D22)</f>
        <v/>
      </c>
      <c r="F22" s="5" t="inlineStr">
        <is>
          <t>Y</t>
        </is>
      </c>
      <c r="G22" s="5" t="inlineStr">
        <is>
          <t>Other / bench</t>
        </is>
      </c>
      <c r="H22" s="5" t="inlineStr">
        <is>
          <t>Low</t>
        </is>
      </c>
      <c r="I22" s="5" t="n">
        <v>1</v>
      </c>
      <c r="J22" s="5" t="n"/>
      <c r="K22" s="10">
        <f>IFERROR(IF(INDEX('Test catalog'!$F$2:$F$200,MATCH($AB22,'Test catalog'!$A$2:$A$200,0))="","",INDEX('Test catalog'!$F$2:$F$200,MATCH($AB22,'Test catalog'!$A$2:$A$200,0))),"")</f>
        <v/>
      </c>
      <c r="L22" s="10">
        <f>IFERROR(IF(INDEX('Test catalog'!$G$2:$G$200,MATCH($AB22,'Test catalog'!$A$2:$A$200,0))="","",INDEX('Test catalog'!$G$2:$G$200,MATCH($AB22,'Test catalog'!$A$2:$A$200,0))),"")</f>
        <v/>
      </c>
      <c r="M22" s="10">
        <f>IFERROR(IF(INDEX('Test catalog'!$H$2:$H$200,MATCH($AB22,'Test catalog'!$A$2:$A$200,0))="","",INDEX('Test catalog'!$H$2:$H$200,MATCH($AB22,'Test catalog'!$A$2:$A$200,0))),"")</f>
        <v/>
      </c>
      <c r="N22" s="10">
        <f>IFERROR(IF(INDEX('Test catalog'!$I$2:$I$200,MATCH($AB22,'Test catalog'!$A$2:$A$200,0))="","",INDEX('Test catalog'!$I$2:$I$200,MATCH($AB22,'Test catalog'!$A$2:$A$200,0))),"")</f>
        <v/>
      </c>
      <c r="O22" s="10">
        <f>IFERROR(IF(INDEX('Test catalog'!$J$2:$J$200,MATCH($AB22,'Test catalog'!$A$2:$A$200,0))="","",INDEX('Test catalog'!$J$2:$J$200,MATCH($AB22,'Test catalog'!$A$2:$A$200,0))),"")</f>
        <v/>
      </c>
      <c r="P22" s="14">
        <f>IF(N22="","",IF(OR(M22="",O22=""),N22,(M22+4*N22+O22)/6))</f>
        <v/>
      </c>
      <c r="Q22" s="10">
        <f>IFERROR(IF(INDEX('Test catalog'!$K$2:$K$200,MATCH($AB22,'Test catalog'!$A$2:$A$200,0))="","",INDEX('Test catalog'!$K$2:$K$200,MATCH($AB22,'Test catalog'!$A$2:$A$200,0))),"")</f>
        <v/>
      </c>
      <c r="R22" s="5" t="n"/>
      <c r="S22" s="10">
        <f>IFERROR(IF(INDEX('Test catalog'!$L$2:$L$200,MATCH($AB22,'Test catalog'!$A$2:$A$200,0))="","",INDEX('Test catalog'!$L$2:$L$200,MATCH($AB22,'Test catalog'!$A$2:$A$200,0))),"")</f>
        <v/>
      </c>
      <c r="T22" s="10">
        <f>IFERROR(IF(INDEX('Test catalog'!$M$2:$M$200,MATCH($AB22,'Test catalog'!$A$2:$A$200,0))="","",INDEX('Test catalog'!$M$2:$M$200,MATCH($AB22,'Test catalog'!$A$2:$A$200,0))),"")</f>
        <v/>
      </c>
      <c r="U22" s="10">
        <f>IFERROR(IF(INDEX('Test catalog'!$N$2:$N$200,MATCH($AB22,'Test catalog'!$A$2:$A$200,0))="","",INDEX('Test catalog'!$N$2:$N$200,MATCH($AB22,'Test catalog'!$A$2:$A$200,0))),"")</f>
        <v/>
      </c>
      <c r="V22" s="15" t="n"/>
      <c r="W22" s="5" t="inlineStr">
        <is>
          <t>N</t>
        </is>
      </c>
      <c r="X22" s="5" t="n"/>
      <c r="Y22" s="5" t="n"/>
      <c r="Z22" s="5" t="n"/>
      <c r="AA22" s="10">
        <f>IFERROR(IF(INDEX('Test catalog'!$O$2:$O$200,MATCH($AB22,'Test catalog'!$A$2:$A$200,0))="","",INDEX('Test catalog'!$O$2:$O$200,MATCH($AB22,'Test catalog'!$A$2:$A$200,0))),"")</f>
        <v/>
      </c>
      <c r="AB22" s="10" t="inlineStr">
        <is>
          <t>ID_IR</t>
        </is>
      </c>
      <c r="AC22" s="10" t="inlineStr">
        <is>
          <t>Ascorbic Acid · Identification &lt;197&gt;</t>
        </is>
      </c>
      <c r="AD22" s="10" t="n"/>
      <c r="AE22" s="10" t="n"/>
    </row>
    <row r="23">
      <c r="A23" s="10" t="inlineStr">
        <is>
          <t>Ascorbic Acid (Vitamin C)</t>
        </is>
      </c>
      <c r="B23" s="10" t="inlineStr">
        <is>
          <t>RM</t>
        </is>
      </c>
      <c r="C23" s="10" t="inlineStr">
        <is>
          <t>Active</t>
        </is>
      </c>
      <c r="D23" s="10" t="inlineStr">
        <is>
          <t>ID B - chemical reaction</t>
        </is>
      </c>
      <c r="E23" s="10">
        <f>IF(A23="","",A23&amp;"|"&amp;D23)</f>
        <v/>
      </c>
      <c r="F23" s="5" t="inlineStr">
        <is>
          <t>Y</t>
        </is>
      </c>
      <c r="G23" s="5" t="inlineStr">
        <is>
          <t>Other / bench</t>
        </is>
      </c>
      <c r="H23" s="5" t="inlineStr">
        <is>
          <t>Low</t>
        </is>
      </c>
      <c r="I23" s="5" t="n">
        <v>1</v>
      </c>
      <c r="J23" s="5" t="n"/>
      <c r="K23" s="10">
        <f>IFERROR(IF(INDEX('Test catalog'!$F$2:$F$200,MATCH($AB23,'Test catalog'!$A$2:$A$200,0))="","",INDEX('Test catalog'!$F$2:$F$200,MATCH($AB23,'Test catalog'!$A$2:$A$200,0))),"")</f>
        <v/>
      </c>
      <c r="L23" s="10">
        <f>IFERROR(IF(INDEX('Test catalog'!$G$2:$G$200,MATCH($AB23,'Test catalog'!$A$2:$A$200,0))="","",INDEX('Test catalog'!$G$2:$G$200,MATCH($AB23,'Test catalog'!$A$2:$A$200,0))),"")</f>
        <v/>
      </c>
      <c r="M23" s="10">
        <f>IFERROR(IF(INDEX('Test catalog'!$H$2:$H$200,MATCH($AB23,'Test catalog'!$A$2:$A$200,0))="","",INDEX('Test catalog'!$H$2:$H$200,MATCH($AB23,'Test catalog'!$A$2:$A$200,0))),"")</f>
        <v/>
      </c>
      <c r="N23" s="10">
        <f>IFERROR(IF(INDEX('Test catalog'!$I$2:$I$200,MATCH($AB23,'Test catalog'!$A$2:$A$200,0))="","",INDEX('Test catalog'!$I$2:$I$200,MATCH($AB23,'Test catalog'!$A$2:$A$200,0))),"")</f>
        <v/>
      </c>
      <c r="O23" s="10">
        <f>IFERROR(IF(INDEX('Test catalog'!$J$2:$J$200,MATCH($AB23,'Test catalog'!$A$2:$A$200,0))="","",INDEX('Test catalog'!$J$2:$J$200,MATCH($AB23,'Test catalog'!$A$2:$A$200,0))),"")</f>
        <v/>
      </c>
      <c r="P23" s="14">
        <f>IF(N23="","",IF(OR(M23="",O23=""),N23,(M23+4*N23+O23)/6))</f>
        <v/>
      </c>
      <c r="Q23" s="10">
        <f>IFERROR(IF(INDEX('Test catalog'!$K$2:$K$200,MATCH($AB23,'Test catalog'!$A$2:$A$200,0))="","",INDEX('Test catalog'!$K$2:$K$200,MATCH($AB23,'Test catalog'!$A$2:$A$200,0))),"")</f>
        <v/>
      </c>
      <c r="R23" s="5" t="n"/>
      <c r="S23" s="10">
        <f>IFERROR(IF(INDEX('Test catalog'!$L$2:$L$200,MATCH($AB23,'Test catalog'!$A$2:$A$200,0))="","",INDEX('Test catalog'!$L$2:$L$200,MATCH($AB23,'Test catalog'!$A$2:$A$200,0))),"")</f>
        <v/>
      </c>
      <c r="T23" s="10">
        <f>IFERROR(IF(INDEX('Test catalog'!$M$2:$M$200,MATCH($AB23,'Test catalog'!$A$2:$A$200,0))="","",INDEX('Test catalog'!$M$2:$M$200,MATCH($AB23,'Test catalog'!$A$2:$A$200,0))),"")</f>
        <v/>
      </c>
      <c r="U23" s="10">
        <f>IFERROR(IF(INDEX('Test catalog'!$N$2:$N$200,MATCH($AB23,'Test catalog'!$A$2:$A$200,0))="","",INDEX('Test catalog'!$N$2:$N$200,MATCH($AB23,'Test catalog'!$A$2:$A$200,0))),"")</f>
        <v/>
      </c>
      <c r="V23" s="15" t="n"/>
      <c r="W23" s="5" t="inlineStr">
        <is>
          <t>N</t>
        </is>
      </c>
      <c r="X23" s="5" t="n"/>
      <c r="Y23" s="5" t="n"/>
      <c r="Z23" s="5" t="n"/>
      <c r="AA23" s="10">
        <f>IFERROR(IF(INDEX('Test catalog'!$O$2:$O$200,MATCH($AB23,'Test catalog'!$A$2:$A$200,0))="","",INDEX('Test catalog'!$O$2:$O$200,MATCH($AB23,'Test catalog'!$A$2:$A$200,0))),"")</f>
        <v/>
      </c>
      <c r="AB23" s="10" t="inlineStr">
        <is>
          <t>ID_CHEM</t>
        </is>
      </c>
      <c r="AC23" s="10" t="inlineStr">
        <is>
          <t>Ascorbic Acid · Identification</t>
        </is>
      </c>
      <c r="AD23" s="10" t="n"/>
      <c r="AE23" s="10" t="n"/>
    </row>
    <row r="24">
      <c r="A24" s="10" t="inlineStr">
        <is>
          <t>Ascorbic Acid (Vitamin C)</t>
        </is>
      </c>
      <c r="B24" s="10" t="inlineStr">
        <is>
          <t>RM</t>
        </is>
      </c>
      <c r="C24" s="10" t="inlineStr">
        <is>
          <t>Active</t>
        </is>
      </c>
      <c r="D24" s="10" t="inlineStr">
        <is>
          <t>ID - Assay or test by titration</t>
        </is>
      </c>
      <c r="E24" s="10">
        <f>IF(A24="","",A24&amp;"|"&amp;D24)</f>
        <v/>
      </c>
      <c r="F24" s="5" t="inlineStr">
        <is>
          <t>Y</t>
        </is>
      </c>
      <c r="G24" s="5" t="inlineStr">
        <is>
          <t>Other / bench</t>
        </is>
      </c>
      <c r="H24" s="5" t="inlineStr">
        <is>
          <t>Low</t>
        </is>
      </c>
      <c r="I24" s="5" t="n">
        <v>1</v>
      </c>
      <c r="J24" s="5" t="n"/>
      <c r="K24" s="10">
        <f>IFERROR(IF(INDEX('Test catalog'!$F$2:$F$200,MATCH($AB24,'Test catalog'!$A$2:$A$200,0))="","",INDEX('Test catalog'!$F$2:$F$200,MATCH($AB24,'Test catalog'!$A$2:$A$200,0))),"")</f>
        <v/>
      </c>
      <c r="L24" s="10">
        <f>IFERROR(IF(INDEX('Test catalog'!$G$2:$G$200,MATCH($AB24,'Test catalog'!$A$2:$A$200,0))="","",INDEX('Test catalog'!$G$2:$G$200,MATCH($AB24,'Test catalog'!$A$2:$A$200,0))),"")</f>
        <v/>
      </c>
      <c r="M24" s="10">
        <f>IFERROR(IF(INDEX('Test catalog'!$H$2:$H$200,MATCH($AB24,'Test catalog'!$A$2:$A$200,0))="","",INDEX('Test catalog'!$H$2:$H$200,MATCH($AB24,'Test catalog'!$A$2:$A$200,0))),"")</f>
        <v/>
      </c>
      <c r="N24" s="10">
        <f>IFERROR(IF(INDEX('Test catalog'!$I$2:$I$200,MATCH($AB24,'Test catalog'!$A$2:$A$200,0))="","",INDEX('Test catalog'!$I$2:$I$200,MATCH($AB24,'Test catalog'!$A$2:$A$200,0))),"")</f>
        <v/>
      </c>
      <c r="O24" s="10">
        <f>IFERROR(IF(INDEX('Test catalog'!$J$2:$J$200,MATCH($AB24,'Test catalog'!$A$2:$A$200,0))="","",INDEX('Test catalog'!$J$2:$J$200,MATCH($AB24,'Test catalog'!$A$2:$A$200,0))),"")</f>
        <v/>
      </c>
      <c r="P24" s="14">
        <f>IF(N24="","",IF(OR(M24="",O24=""),N24,(M24+4*N24+O24)/6))</f>
        <v/>
      </c>
      <c r="Q24" s="10">
        <f>IFERROR(IF(INDEX('Test catalog'!$K$2:$K$200,MATCH($AB24,'Test catalog'!$A$2:$A$200,0))="","",INDEX('Test catalog'!$K$2:$K$200,MATCH($AB24,'Test catalog'!$A$2:$A$200,0))),"")</f>
        <v/>
      </c>
      <c r="R24" s="5" t="n"/>
      <c r="S24" s="10">
        <f>IFERROR(IF(INDEX('Test catalog'!$L$2:$L$200,MATCH($AB24,'Test catalog'!$A$2:$A$200,0))="","",INDEX('Test catalog'!$L$2:$L$200,MATCH($AB24,'Test catalog'!$A$2:$A$200,0))),"")</f>
        <v/>
      </c>
      <c r="T24" s="10">
        <f>IFERROR(IF(INDEX('Test catalog'!$M$2:$M$200,MATCH($AB24,'Test catalog'!$A$2:$A$200,0))="","",INDEX('Test catalog'!$M$2:$M$200,MATCH($AB24,'Test catalog'!$A$2:$A$200,0))),"")</f>
        <v/>
      </c>
      <c r="U24" s="10">
        <f>IFERROR(IF(INDEX('Test catalog'!$N$2:$N$200,MATCH($AB24,'Test catalog'!$A$2:$A$200,0))="","",INDEX('Test catalog'!$N$2:$N$200,MATCH($AB24,'Test catalog'!$A$2:$A$200,0))),"")</f>
        <v/>
      </c>
      <c r="V24" s="15" t="n"/>
      <c r="W24" s="5" t="inlineStr">
        <is>
          <t>N</t>
        </is>
      </c>
      <c r="X24" s="5" t="n"/>
      <c r="Y24" s="5" t="n"/>
      <c r="Z24" s="5" t="n"/>
      <c r="AA24" s="10">
        <f>IFERROR(IF(INDEX('Test catalog'!$O$2:$O$200,MATCH($AB24,'Test catalog'!$A$2:$A$200,0))="","",INDEX('Test catalog'!$O$2:$O$200,MATCH($AB24,'Test catalog'!$A$2:$A$200,0))),"")</f>
        <v/>
      </c>
      <c r="AB24" s="10" t="inlineStr">
        <is>
          <t>TITR</t>
        </is>
      </c>
      <c r="AC24" s="10" t="inlineStr">
        <is>
          <t>Ascorbic Acid · Identification &lt;541&gt;</t>
        </is>
      </c>
      <c r="AD24" s="10" t="n"/>
      <c r="AE24" s="10" t="n"/>
    </row>
    <row r="25">
      <c r="A25" s="10" t="inlineStr">
        <is>
          <t>Ascorbic Acid (Vitamin C)</t>
        </is>
      </c>
      <c r="B25" s="10" t="inlineStr">
        <is>
          <t>RM</t>
        </is>
      </c>
      <c r="C25" s="10" t="inlineStr">
        <is>
          <t>Active</t>
        </is>
      </c>
      <c r="D25" s="10" t="inlineStr">
        <is>
          <t>Residue on Ignition</t>
        </is>
      </c>
      <c r="E25" s="10">
        <f>IF(A25="","",A25&amp;"|"&amp;D25)</f>
        <v/>
      </c>
      <c r="F25" s="5" t="inlineStr">
        <is>
          <t>Y</t>
        </is>
      </c>
      <c r="G25" s="5" t="inlineStr">
        <is>
          <t>Other / bench</t>
        </is>
      </c>
      <c r="H25" s="5" t="inlineStr">
        <is>
          <t>Low</t>
        </is>
      </c>
      <c r="I25" s="5" t="n">
        <v>1</v>
      </c>
      <c r="J25" s="5" t="n"/>
      <c r="K25" s="10">
        <f>IFERROR(IF(INDEX('Test catalog'!$F$2:$F$200,MATCH($AB25,'Test catalog'!$A$2:$A$200,0))="","",INDEX('Test catalog'!$F$2:$F$200,MATCH($AB25,'Test catalog'!$A$2:$A$200,0))),"")</f>
        <v/>
      </c>
      <c r="L25" s="10">
        <f>IFERROR(IF(INDEX('Test catalog'!$G$2:$G$200,MATCH($AB25,'Test catalog'!$A$2:$A$200,0))="","",INDEX('Test catalog'!$G$2:$G$200,MATCH($AB25,'Test catalog'!$A$2:$A$200,0))),"")</f>
        <v/>
      </c>
      <c r="M25" s="10">
        <f>IFERROR(IF(INDEX('Test catalog'!$H$2:$H$200,MATCH($AB25,'Test catalog'!$A$2:$A$200,0))="","",INDEX('Test catalog'!$H$2:$H$200,MATCH($AB25,'Test catalog'!$A$2:$A$200,0))),"")</f>
        <v/>
      </c>
      <c r="N25" s="10">
        <f>IFERROR(IF(INDEX('Test catalog'!$I$2:$I$200,MATCH($AB25,'Test catalog'!$A$2:$A$200,0))="","",INDEX('Test catalog'!$I$2:$I$200,MATCH($AB25,'Test catalog'!$A$2:$A$200,0))),"")</f>
        <v/>
      </c>
      <c r="O25" s="10">
        <f>IFERROR(IF(INDEX('Test catalog'!$J$2:$J$200,MATCH($AB25,'Test catalog'!$A$2:$A$200,0))="","",INDEX('Test catalog'!$J$2:$J$200,MATCH($AB25,'Test catalog'!$A$2:$A$200,0))),"")</f>
        <v/>
      </c>
      <c r="P25" s="14">
        <f>IF(N25="","",IF(OR(M25="",O25=""),N25,(M25+4*N25+O25)/6))</f>
        <v/>
      </c>
      <c r="Q25" s="10">
        <f>IFERROR(IF(INDEX('Test catalog'!$K$2:$K$200,MATCH($AB25,'Test catalog'!$A$2:$A$200,0))="","",INDEX('Test catalog'!$K$2:$K$200,MATCH($AB25,'Test catalog'!$A$2:$A$200,0))),"")</f>
        <v/>
      </c>
      <c r="R25" s="5" t="n"/>
      <c r="S25" s="10">
        <f>IFERROR(IF(INDEX('Test catalog'!$L$2:$L$200,MATCH($AB25,'Test catalog'!$A$2:$A$200,0))="","",INDEX('Test catalog'!$L$2:$L$200,MATCH($AB25,'Test catalog'!$A$2:$A$200,0))),"")</f>
        <v/>
      </c>
      <c r="T25" s="10">
        <f>IFERROR(IF(INDEX('Test catalog'!$M$2:$M$200,MATCH($AB25,'Test catalog'!$A$2:$A$200,0))="","",INDEX('Test catalog'!$M$2:$M$200,MATCH($AB25,'Test catalog'!$A$2:$A$200,0))),"")</f>
        <v/>
      </c>
      <c r="U25" s="10">
        <f>IFERROR(IF(INDEX('Test catalog'!$N$2:$N$200,MATCH($AB25,'Test catalog'!$A$2:$A$200,0))="","",INDEX('Test catalog'!$N$2:$N$200,MATCH($AB25,'Test catalog'!$A$2:$A$200,0))),"")</f>
        <v/>
      </c>
      <c r="V25" s="15" t="n"/>
      <c r="W25" s="5" t="inlineStr">
        <is>
          <t>N</t>
        </is>
      </c>
      <c r="X25" s="5" t="n"/>
      <c r="Y25" s="5" t="n"/>
      <c r="Z25" s="5" t="n"/>
      <c r="AA25" s="10">
        <f>IFERROR(IF(INDEX('Test catalog'!$O$2:$O$200,MATCH($AB25,'Test catalog'!$A$2:$A$200,0))="","",INDEX('Test catalog'!$O$2:$O$200,MATCH($AB25,'Test catalog'!$A$2:$A$200,0))),"")</f>
        <v/>
      </c>
      <c r="AB25" s="10" t="inlineStr">
        <is>
          <t>ROI</t>
        </is>
      </c>
      <c r="AC25" s="10" t="inlineStr">
        <is>
          <t>Ascorbic Acid · Impurities &lt;281&gt;</t>
        </is>
      </c>
      <c r="AD25" s="10" t="n"/>
      <c r="AE25" s="10" t="n"/>
    </row>
    <row r="26">
      <c r="A26" s="10" t="inlineStr">
        <is>
          <t>Ascorbic Acid (Vitamin C)</t>
        </is>
      </c>
      <c r="B26" s="10" t="inlineStr">
        <is>
          <t>RM</t>
        </is>
      </c>
      <c r="C26" s="10" t="inlineStr">
        <is>
          <t>Active</t>
        </is>
      </c>
      <c r="D26" s="10" t="inlineStr">
        <is>
          <t>Optical Rotation, Specific Rotation</t>
        </is>
      </c>
      <c r="E26" s="10">
        <f>IF(A26="","",A26&amp;"|"&amp;D26)</f>
        <v/>
      </c>
      <c r="F26" s="5" t="inlineStr">
        <is>
          <t>Y</t>
        </is>
      </c>
      <c r="G26" s="5" t="inlineStr">
        <is>
          <t>Other / bench</t>
        </is>
      </c>
      <c r="H26" s="5" t="inlineStr">
        <is>
          <t>Low</t>
        </is>
      </c>
      <c r="I26" s="5" t="n">
        <v>1</v>
      </c>
      <c r="J26" s="5" t="n"/>
      <c r="K26" s="10">
        <f>IFERROR(IF(INDEX('Test catalog'!$F$2:$F$200,MATCH($AB26,'Test catalog'!$A$2:$A$200,0))="","",INDEX('Test catalog'!$F$2:$F$200,MATCH($AB26,'Test catalog'!$A$2:$A$200,0))),"")</f>
        <v/>
      </c>
      <c r="L26" s="10">
        <f>IFERROR(IF(INDEX('Test catalog'!$G$2:$G$200,MATCH($AB26,'Test catalog'!$A$2:$A$200,0))="","",INDEX('Test catalog'!$G$2:$G$200,MATCH($AB26,'Test catalog'!$A$2:$A$200,0))),"")</f>
        <v/>
      </c>
      <c r="M26" s="10">
        <f>IFERROR(IF(INDEX('Test catalog'!$H$2:$H$200,MATCH($AB26,'Test catalog'!$A$2:$A$200,0))="","",INDEX('Test catalog'!$H$2:$H$200,MATCH($AB26,'Test catalog'!$A$2:$A$200,0))),"")</f>
        <v/>
      </c>
      <c r="N26" s="10">
        <f>IFERROR(IF(INDEX('Test catalog'!$I$2:$I$200,MATCH($AB26,'Test catalog'!$A$2:$A$200,0))="","",INDEX('Test catalog'!$I$2:$I$200,MATCH($AB26,'Test catalog'!$A$2:$A$200,0))),"")</f>
        <v/>
      </c>
      <c r="O26" s="10">
        <f>IFERROR(IF(INDEX('Test catalog'!$J$2:$J$200,MATCH($AB26,'Test catalog'!$A$2:$A$200,0))="","",INDEX('Test catalog'!$J$2:$J$200,MATCH($AB26,'Test catalog'!$A$2:$A$200,0))),"")</f>
        <v/>
      </c>
      <c r="P26" s="14">
        <f>IF(N26="","",IF(OR(M26="",O26=""),N26,(M26+4*N26+O26)/6))</f>
        <v/>
      </c>
      <c r="Q26" s="10">
        <f>IFERROR(IF(INDEX('Test catalog'!$K$2:$K$200,MATCH($AB26,'Test catalog'!$A$2:$A$200,0))="","",INDEX('Test catalog'!$K$2:$K$200,MATCH($AB26,'Test catalog'!$A$2:$A$200,0))),"")</f>
        <v/>
      </c>
      <c r="R26" s="5" t="n"/>
      <c r="S26" s="10">
        <f>IFERROR(IF(INDEX('Test catalog'!$L$2:$L$200,MATCH($AB26,'Test catalog'!$A$2:$A$200,0))="","",INDEX('Test catalog'!$L$2:$L$200,MATCH($AB26,'Test catalog'!$A$2:$A$200,0))),"")</f>
        <v/>
      </c>
      <c r="T26" s="10">
        <f>IFERROR(IF(INDEX('Test catalog'!$M$2:$M$200,MATCH($AB26,'Test catalog'!$A$2:$A$200,0))="","",INDEX('Test catalog'!$M$2:$M$200,MATCH($AB26,'Test catalog'!$A$2:$A$200,0))),"")</f>
        <v/>
      </c>
      <c r="U26" s="10">
        <f>IFERROR(IF(INDEX('Test catalog'!$N$2:$N$200,MATCH($AB26,'Test catalog'!$A$2:$A$200,0))="","",INDEX('Test catalog'!$N$2:$N$200,MATCH($AB26,'Test catalog'!$A$2:$A$200,0))),"")</f>
        <v/>
      </c>
      <c r="V26" s="15" t="n"/>
      <c r="W26" s="5" t="inlineStr">
        <is>
          <t>N</t>
        </is>
      </c>
      <c r="X26" s="5" t="n"/>
      <c r="Y26" s="5" t="n"/>
      <c r="Z26" s="5" t="n"/>
      <c r="AA26" s="10">
        <f>IFERROR(IF(INDEX('Test catalog'!$O$2:$O$200,MATCH($AB26,'Test catalog'!$A$2:$A$200,0))="","",INDEX('Test catalog'!$O$2:$O$200,MATCH($AB26,'Test catalog'!$A$2:$A$200,0))),"")</f>
        <v/>
      </c>
      <c r="AB26" s="10" t="inlineStr">
        <is>
          <t>OR</t>
        </is>
      </c>
      <c r="AC26" s="10" t="inlineStr">
        <is>
          <t>Ascorbic Acid · Specific Tests &lt;781&gt;</t>
        </is>
      </c>
      <c r="AD26" s="10" t="n"/>
      <c r="AE26" s="10" t="n"/>
    </row>
    <row r="27">
      <c r="A27" s="10" t="inlineStr">
        <is>
          <t>Ascorbic Acid Coated 97%</t>
        </is>
      </c>
      <c r="B27" s="10" t="inlineStr">
        <is>
          <t>RM</t>
        </is>
      </c>
      <c r="C27" s="10" t="inlineStr">
        <is>
          <t>Active</t>
        </is>
      </c>
      <c r="D27" s="10" t="inlineStr">
        <is>
          <t>Appearance / description and solubility</t>
        </is>
      </c>
      <c r="E27" s="10">
        <f>IF(A27="","",A27&amp;"|"&amp;D27)</f>
        <v/>
      </c>
      <c r="F27" s="5" t="inlineStr">
        <is>
          <t>Y</t>
        </is>
      </c>
      <c r="G27" s="5" t="inlineStr">
        <is>
          <t>Other / bench</t>
        </is>
      </c>
      <c r="H27" s="5" t="inlineStr">
        <is>
          <t>Low</t>
        </is>
      </c>
      <c r="I27" s="5" t="n">
        <v>1</v>
      </c>
      <c r="J27" s="5" t="n"/>
      <c r="K27" s="10">
        <f>IFERROR(IF(INDEX('Test catalog'!$F$2:$F$200,MATCH($AB27,'Test catalog'!$A$2:$A$200,0))="","",INDEX('Test catalog'!$F$2:$F$200,MATCH($AB27,'Test catalog'!$A$2:$A$200,0))),"")</f>
        <v/>
      </c>
      <c r="L27" s="10">
        <f>IFERROR(IF(INDEX('Test catalog'!$G$2:$G$200,MATCH($AB27,'Test catalog'!$A$2:$A$200,0))="","",INDEX('Test catalog'!$G$2:$G$200,MATCH($AB27,'Test catalog'!$A$2:$A$200,0))),"")</f>
        <v/>
      </c>
      <c r="M27" s="10">
        <f>IFERROR(IF(INDEX('Test catalog'!$H$2:$H$200,MATCH($AB27,'Test catalog'!$A$2:$A$200,0))="","",INDEX('Test catalog'!$H$2:$H$200,MATCH($AB27,'Test catalog'!$A$2:$A$200,0))),"")</f>
        <v/>
      </c>
      <c r="N27" s="10">
        <f>IFERROR(IF(INDEX('Test catalog'!$I$2:$I$200,MATCH($AB27,'Test catalog'!$A$2:$A$200,0))="","",INDEX('Test catalog'!$I$2:$I$200,MATCH($AB27,'Test catalog'!$A$2:$A$200,0))),"")</f>
        <v/>
      </c>
      <c r="O27" s="10">
        <f>IFERROR(IF(INDEX('Test catalog'!$J$2:$J$200,MATCH($AB27,'Test catalog'!$A$2:$A$200,0))="","",INDEX('Test catalog'!$J$2:$J$200,MATCH($AB27,'Test catalog'!$A$2:$A$200,0))),"")</f>
        <v/>
      </c>
      <c r="P27" s="14">
        <f>IF(N27="","",IF(OR(M27="",O27=""),N27,(M27+4*N27+O27)/6))</f>
        <v/>
      </c>
      <c r="Q27" s="10">
        <f>IFERROR(IF(INDEX('Test catalog'!$K$2:$K$200,MATCH($AB27,'Test catalog'!$A$2:$A$200,0))="","",INDEX('Test catalog'!$K$2:$K$200,MATCH($AB27,'Test catalog'!$A$2:$A$200,0))),"")</f>
        <v/>
      </c>
      <c r="R27" s="5" t="n"/>
      <c r="S27" s="10">
        <f>IFERROR(IF(INDEX('Test catalog'!$L$2:$L$200,MATCH($AB27,'Test catalog'!$A$2:$A$200,0))="","",INDEX('Test catalog'!$L$2:$L$200,MATCH($AB27,'Test catalog'!$A$2:$A$200,0))),"")</f>
        <v/>
      </c>
      <c r="T27" s="10">
        <f>IFERROR(IF(INDEX('Test catalog'!$M$2:$M$200,MATCH($AB27,'Test catalog'!$A$2:$A$200,0))="","",INDEX('Test catalog'!$M$2:$M$200,MATCH($AB27,'Test catalog'!$A$2:$A$200,0))),"")</f>
        <v/>
      </c>
      <c r="U27" s="10">
        <f>IFERROR(IF(INDEX('Test catalog'!$N$2:$N$200,MATCH($AB27,'Test catalog'!$A$2:$A$200,0))="","",INDEX('Test catalog'!$N$2:$N$200,MATCH($AB27,'Test catalog'!$A$2:$A$200,0))),"")</f>
        <v/>
      </c>
      <c r="V27" s="15" t="n"/>
      <c r="W27" s="5" t="inlineStr">
        <is>
          <t>N</t>
        </is>
      </c>
      <c r="X27" s="5" t="n"/>
      <c r="Y27" s="5" t="n"/>
      <c r="Z27" s="5" t="n"/>
      <c r="AA27" s="10">
        <f>IFERROR(IF(INDEX('Test catalog'!$O$2:$O$200,MATCH($AB27,'Test catalog'!$A$2:$A$200,0))="","",INDEX('Test catalog'!$O$2:$O$200,MATCH($AB27,'Test catalog'!$A$2:$A$200,0))),"")</f>
        <v/>
      </c>
      <c r="AB27" s="10" t="inlineStr">
        <is>
          <t>APPEAR</t>
        </is>
      </c>
      <c r="AC27" s="10" t="inlineStr">
        <is>
          <t>Lab practice (not a USP test)</t>
        </is>
      </c>
      <c r="AD27" s="10" t="n"/>
      <c r="AE27" s="10" t="n"/>
    </row>
    <row r="28">
      <c r="A28" s="10" t="inlineStr">
        <is>
          <t>Ascorbic Acid Coated 97%</t>
        </is>
      </c>
      <c r="B28" s="10" t="inlineStr">
        <is>
          <t>RM</t>
        </is>
      </c>
      <c r="C28" s="10" t="inlineStr">
        <is>
          <t>Active</t>
        </is>
      </c>
      <c r="D28" s="10" t="inlineStr">
        <is>
          <t>ID A - IR spectrum</t>
        </is>
      </c>
      <c r="E28" s="10">
        <f>IF(A28="","",A28&amp;"|"&amp;D28)</f>
        <v/>
      </c>
      <c r="F28" s="5" t="inlineStr">
        <is>
          <t>Y</t>
        </is>
      </c>
      <c r="G28" s="5" t="inlineStr">
        <is>
          <t>Other / bench</t>
        </is>
      </c>
      <c r="H28" s="5" t="inlineStr">
        <is>
          <t>Low</t>
        </is>
      </c>
      <c r="I28" s="5" t="n">
        <v>1</v>
      </c>
      <c r="J28" s="5" t="n"/>
      <c r="K28" s="10">
        <f>IFERROR(IF(INDEX('Test catalog'!$F$2:$F$200,MATCH($AB28,'Test catalog'!$A$2:$A$200,0))="","",INDEX('Test catalog'!$F$2:$F$200,MATCH($AB28,'Test catalog'!$A$2:$A$200,0))),"")</f>
        <v/>
      </c>
      <c r="L28" s="10">
        <f>IFERROR(IF(INDEX('Test catalog'!$G$2:$G$200,MATCH($AB28,'Test catalog'!$A$2:$A$200,0))="","",INDEX('Test catalog'!$G$2:$G$200,MATCH($AB28,'Test catalog'!$A$2:$A$200,0))),"")</f>
        <v/>
      </c>
      <c r="M28" s="10">
        <f>IFERROR(IF(INDEX('Test catalog'!$H$2:$H$200,MATCH($AB28,'Test catalog'!$A$2:$A$200,0))="","",INDEX('Test catalog'!$H$2:$H$200,MATCH($AB28,'Test catalog'!$A$2:$A$200,0))),"")</f>
        <v/>
      </c>
      <c r="N28" s="10">
        <f>IFERROR(IF(INDEX('Test catalog'!$I$2:$I$200,MATCH($AB28,'Test catalog'!$A$2:$A$200,0))="","",INDEX('Test catalog'!$I$2:$I$200,MATCH($AB28,'Test catalog'!$A$2:$A$200,0))),"")</f>
        <v/>
      </c>
      <c r="O28" s="10">
        <f>IFERROR(IF(INDEX('Test catalog'!$J$2:$J$200,MATCH($AB28,'Test catalog'!$A$2:$A$200,0))="","",INDEX('Test catalog'!$J$2:$J$200,MATCH($AB28,'Test catalog'!$A$2:$A$200,0))),"")</f>
        <v/>
      </c>
      <c r="P28" s="14">
        <f>IF(N28="","",IF(OR(M28="",O28=""),N28,(M28+4*N28+O28)/6))</f>
        <v/>
      </c>
      <c r="Q28" s="10">
        <f>IFERROR(IF(INDEX('Test catalog'!$K$2:$K$200,MATCH($AB28,'Test catalog'!$A$2:$A$200,0))="","",INDEX('Test catalog'!$K$2:$K$200,MATCH($AB28,'Test catalog'!$A$2:$A$200,0))),"")</f>
        <v/>
      </c>
      <c r="R28" s="5" t="n"/>
      <c r="S28" s="10">
        <f>IFERROR(IF(INDEX('Test catalog'!$L$2:$L$200,MATCH($AB28,'Test catalog'!$A$2:$A$200,0))="","",INDEX('Test catalog'!$L$2:$L$200,MATCH($AB28,'Test catalog'!$A$2:$A$200,0))),"")</f>
        <v/>
      </c>
      <c r="T28" s="10">
        <f>IFERROR(IF(INDEX('Test catalog'!$M$2:$M$200,MATCH($AB28,'Test catalog'!$A$2:$A$200,0))="","",INDEX('Test catalog'!$M$2:$M$200,MATCH($AB28,'Test catalog'!$A$2:$A$200,0))),"")</f>
        <v/>
      </c>
      <c r="U28" s="10">
        <f>IFERROR(IF(INDEX('Test catalog'!$N$2:$N$200,MATCH($AB28,'Test catalog'!$A$2:$A$200,0))="","",INDEX('Test catalog'!$N$2:$N$200,MATCH($AB28,'Test catalog'!$A$2:$A$200,0))),"")</f>
        <v/>
      </c>
      <c r="V28" s="15" t="n"/>
      <c r="W28" s="5" t="inlineStr">
        <is>
          <t>N</t>
        </is>
      </c>
      <c r="X28" s="5" t="n"/>
      <c r="Y28" s="5" t="n"/>
      <c r="Z28" s="5" t="n"/>
      <c r="AA28" s="10">
        <f>IFERROR(IF(INDEX('Test catalog'!$O$2:$O$200,MATCH($AB28,'Test catalog'!$A$2:$A$200,0))="","",INDEX('Test catalog'!$O$2:$O$200,MATCH($AB28,'Test catalog'!$A$2:$A$200,0))),"")</f>
        <v/>
      </c>
      <c r="AB28" s="10" t="inlineStr">
        <is>
          <t>ID_IR</t>
        </is>
      </c>
      <c r="AC28" s="10" t="inlineStr">
        <is>
          <t>Ascorbic Acid · Identification &lt;197&gt;</t>
        </is>
      </c>
      <c r="AD28" s="10" t="n"/>
      <c r="AE28" s="10" t="n"/>
    </row>
    <row r="29">
      <c r="A29" s="10" t="inlineStr">
        <is>
          <t>Ascorbic Acid Coated 97%</t>
        </is>
      </c>
      <c r="B29" s="10" t="inlineStr">
        <is>
          <t>RM</t>
        </is>
      </c>
      <c r="C29" s="10" t="inlineStr">
        <is>
          <t>Active</t>
        </is>
      </c>
      <c r="D29" s="10" t="inlineStr">
        <is>
          <t>ID B - chemical reaction</t>
        </is>
      </c>
      <c r="E29" s="10">
        <f>IF(A29="","",A29&amp;"|"&amp;D29)</f>
        <v/>
      </c>
      <c r="F29" s="5" t="inlineStr">
        <is>
          <t>Y</t>
        </is>
      </c>
      <c r="G29" s="5" t="inlineStr">
        <is>
          <t>Other / bench</t>
        </is>
      </c>
      <c r="H29" s="5" t="inlineStr">
        <is>
          <t>Low</t>
        </is>
      </c>
      <c r="I29" s="5" t="n">
        <v>1</v>
      </c>
      <c r="J29" s="5" t="n"/>
      <c r="K29" s="10">
        <f>IFERROR(IF(INDEX('Test catalog'!$F$2:$F$200,MATCH($AB29,'Test catalog'!$A$2:$A$200,0))="","",INDEX('Test catalog'!$F$2:$F$200,MATCH($AB29,'Test catalog'!$A$2:$A$200,0))),"")</f>
        <v/>
      </c>
      <c r="L29" s="10">
        <f>IFERROR(IF(INDEX('Test catalog'!$G$2:$G$200,MATCH($AB29,'Test catalog'!$A$2:$A$200,0))="","",INDEX('Test catalog'!$G$2:$G$200,MATCH($AB29,'Test catalog'!$A$2:$A$200,0))),"")</f>
        <v/>
      </c>
      <c r="M29" s="10">
        <f>IFERROR(IF(INDEX('Test catalog'!$H$2:$H$200,MATCH($AB29,'Test catalog'!$A$2:$A$200,0))="","",INDEX('Test catalog'!$H$2:$H$200,MATCH($AB29,'Test catalog'!$A$2:$A$200,0))),"")</f>
        <v/>
      </c>
      <c r="N29" s="10">
        <f>IFERROR(IF(INDEX('Test catalog'!$I$2:$I$200,MATCH($AB29,'Test catalog'!$A$2:$A$200,0))="","",INDEX('Test catalog'!$I$2:$I$200,MATCH($AB29,'Test catalog'!$A$2:$A$200,0))),"")</f>
        <v/>
      </c>
      <c r="O29" s="10">
        <f>IFERROR(IF(INDEX('Test catalog'!$J$2:$J$200,MATCH($AB29,'Test catalog'!$A$2:$A$200,0))="","",INDEX('Test catalog'!$J$2:$J$200,MATCH($AB29,'Test catalog'!$A$2:$A$200,0))),"")</f>
        <v/>
      </c>
      <c r="P29" s="14">
        <f>IF(N29="","",IF(OR(M29="",O29=""),N29,(M29+4*N29+O29)/6))</f>
        <v/>
      </c>
      <c r="Q29" s="10">
        <f>IFERROR(IF(INDEX('Test catalog'!$K$2:$K$200,MATCH($AB29,'Test catalog'!$A$2:$A$200,0))="","",INDEX('Test catalog'!$K$2:$K$200,MATCH($AB29,'Test catalog'!$A$2:$A$200,0))),"")</f>
        <v/>
      </c>
      <c r="R29" s="5" t="n"/>
      <c r="S29" s="10">
        <f>IFERROR(IF(INDEX('Test catalog'!$L$2:$L$200,MATCH($AB29,'Test catalog'!$A$2:$A$200,0))="","",INDEX('Test catalog'!$L$2:$L$200,MATCH($AB29,'Test catalog'!$A$2:$A$200,0))),"")</f>
        <v/>
      </c>
      <c r="T29" s="10">
        <f>IFERROR(IF(INDEX('Test catalog'!$M$2:$M$200,MATCH($AB29,'Test catalog'!$A$2:$A$200,0))="","",INDEX('Test catalog'!$M$2:$M$200,MATCH($AB29,'Test catalog'!$A$2:$A$200,0))),"")</f>
        <v/>
      </c>
      <c r="U29" s="10">
        <f>IFERROR(IF(INDEX('Test catalog'!$N$2:$N$200,MATCH($AB29,'Test catalog'!$A$2:$A$200,0))="","",INDEX('Test catalog'!$N$2:$N$200,MATCH($AB29,'Test catalog'!$A$2:$A$200,0))),"")</f>
        <v/>
      </c>
      <c r="V29" s="15" t="n"/>
      <c r="W29" s="5" t="inlineStr">
        <is>
          <t>N</t>
        </is>
      </c>
      <c r="X29" s="5" t="n"/>
      <c r="Y29" s="5" t="n"/>
      <c r="Z29" s="5" t="n"/>
      <c r="AA29" s="10">
        <f>IFERROR(IF(INDEX('Test catalog'!$O$2:$O$200,MATCH($AB29,'Test catalog'!$A$2:$A$200,0))="","",INDEX('Test catalog'!$O$2:$O$200,MATCH($AB29,'Test catalog'!$A$2:$A$200,0))),"")</f>
        <v/>
      </c>
      <c r="AB29" s="10" t="inlineStr">
        <is>
          <t>ID_CHEM</t>
        </is>
      </c>
      <c r="AC29" s="10" t="inlineStr">
        <is>
          <t>Ascorbic Acid · Identification</t>
        </is>
      </c>
      <c r="AD29" s="10" t="n"/>
      <c r="AE29" s="10" t="n"/>
    </row>
    <row r="30">
      <c r="A30" s="10" t="inlineStr">
        <is>
          <t>Ascorbic Acid Coated 97%</t>
        </is>
      </c>
      <c r="B30" s="10" t="inlineStr">
        <is>
          <t>RM</t>
        </is>
      </c>
      <c r="C30" s="10" t="inlineStr">
        <is>
          <t>Active</t>
        </is>
      </c>
      <c r="D30" s="10" t="inlineStr">
        <is>
          <t>ID - Assay or test by titration</t>
        </is>
      </c>
      <c r="E30" s="10">
        <f>IF(A30="","",A30&amp;"|"&amp;D30)</f>
        <v/>
      </c>
      <c r="F30" s="5" t="inlineStr">
        <is>
          <t>Y</t>
        </is>
      </c>
      <c r="G30" s="5" t="inlineStr">
        <is>
          <t>Other / bench</t>
        </is>
      </c>
      <c r="H30" s="5" t="inlineStr">
        <is>
          <t>Low</t>
        </is>
      </c>
      <c r="I30" s="5" t="n">
        <v>1</v>
      </c>
      <c r="J30" s="5" t="n"/>
      <c r="K30" s="10">
        <f>IFERROR(IF(INDEX('Test catalog'!$F$2:$F$200,MATCH($AB30,'Test catalog'!$A$2:$A$200,0))="","",INDEX('Test catalog'!$F$2:$F$200,MATCH($AB30,'Test catalog'!$A$2:$A$200,0))),"")</f>
        <v/>
      </c>
      <c r="L30" s="10">
        <f>IFERROR(IF(INDEX('Test catalog'!$G$2:$G$200,MATCH($AB30,'Test catalog'!$A$2:$A$200,0))="","",INDEX('Test catalog'!$G$2:$G$200,MATCH($AB30,'Test catalog'!$A$2:$A$200,0))),"")</f>
        <v/>
      </c>
      <c r="M30" s="10">
        <f>IFERROR(IF(INDEX('Test catalog'!$H$2:$H$200,MATCH($AB30,'Test catalog'!$A$2:$A$200,0))="","",INDEX('Test catalog'!$H$2:$H$200,MATCH($AB30,'Test catalog'!$A$2:$A$200,0))),"")</f>
        <v/>
      </c>
      <c r="N30" s="10">
        <f>IFERROR(IF(INDEX('Test catalog'!$I$2:$I$200,MATCH($AB30,'Test catalog'!$A$2:$A$200,0))="","",INDEX('Test catalog'!$I$2:$I$200,MATCH($AB30,'Test catalog'!$A$2:$A$200,0))),"")</f>
        <v/>
      </c>
      <c r="O30" s="10">
        <f>IFERROR(IF(INDEX('Test catalog'!$J$2:$J$200,MATCH($AB30,'Test catalog'!$A$2:$A$200,0))="","",INDEX('Test catalog'!$J$2:$J$200,MATCH($AB30,'Test catalog'!$A$2:$A$200,0))),"")</f>
        <v/>
      </c>
      <c r="P30" s="14">
        <f>IF(N30="","",IF(OR(M30="",O30=""),N30,(M30+4*N30+O30)/6))</f>
        <v/>
      </c>
      <c r="Q30" s="10">
        <f>IFERROR(IF(INDEX('Test catalog'!$K$2:$K$200,MATCH($AB30,'Test catalog'!$A$2:$A$200,0))="","",INDEX('Test catalog'!$K$2:$K$200,MATCH($AB30,'Test catalog'!$A$2:$A$200,0))),"")</f>
        <v/>
      </c>
      <c r="R30" s="5" t="n"/>
      <c r="S30" s="10">
        <f>IFERROR(IF(INDEX('Test catalog'!$L$2:$L$200,MATCH($AB30,'Test catalog'!$A$2:$A$200,0))="","",INDEX('Test catalog'!$L$2:$L$200,MATCH($AB30,'Test catalog'!$A$2:$A$200,0))),"")</f>
        <v/>
      </c>
      <c r="T30" s="10">
        <f>IFERROR(IF(INDEX('Test catalog'!$M$2:$M$200,MATCH($AB30,'Test catalog'!$A$2:$A$200,0))="","",INDEX('Test catalog'!$M$2:$M$200,MATCH($AB30,'Test catalog'!$A$2:$A$200,0))),"")</f>
        <v/>
      </c>
      <c r="U30" s="10">
        <f>IFERROR(IF(INDEX('Test catalog'!$N$2:$N$200,MATCH($AB30,'Test catalog'!$A$2:$A$200,0))="","",INDEX('Test catalog'!$N$2:$N$200,MATCH($AB30,'Test catalog'!$A$2:$A$200,0))),"")</f>
        <v/>
      </c>
      <c r="V30" s="15" t="n"/>
      <c r="W30" s="5" t="inlineStr">
        <is>
          <t>N</t>
        </is>
      </c>
      <c r="X30" s="5" t="n"/>
      <c r="Y30" s="5" t="n"/>
      <c r="Z30" s="5" t="n"/>
      <c r="AA30" s="10">
        <f>IFERROR(IF(INDEX('Test catalog'!$O$2:$O$200,MATCH($AB30,'Test catalog'!$A$2:$A$200,0))="","",INDEX('Test catalog'!$O$2:$O$200,MATCH($AB30,'Test catalog'!$A$2:$A$200,0))),"")</f>
        <v/>
      </c>
      <c r="AB30" s="10" t="inlineStr">
        <is>
          <t>TITR</t>
        </is>
      </c>
      <c r="AC30" s="10" t="inlineStr">
        <is>
          <t>Ascorbic Acid · Identification &lt;541&gt;</t>
        </is>
      </c>
      <c r="AD30" s="10" t="n"/>
      <c r="AE30" s="10" t="n"/>
    </row>
    <row r="31">
      <c r="A31" s="10" t="inlineStr">
        <is>
          <t>Ascorbic Acid Coated 97%</t>
        </is>
      </c>
      <c r="B31" s="10" t="inlineStr">
        <is>
          <t>RM</t>
        </is>
      </c>
      <c r="C31" s="10" t="inlineStr">
        <is>
          <t>Active</t>
        </is>
      </c>
      <c r="D31" s="10" t="inlineStr">
        <is>
          <t>Residue on Ignition</t>
        </is>
      </c>
      <c r="E31" s="10">
        <f>IF(A31="","",A31&amp;"|"&amp;D31)</f>
        <v/>
      </c>
      <c r="F31" s="5" t="inlineStr">
        <is>
          <t>Y</t>
        </is>
      </c>
      <c r="G31" s="5" t="inlineStr">
        <is>
          <t>Other / bench</t>
        </is>
      </c>
      <c r="H31" s="5" t="inlineStr">
        <is>
          <t>Low</t>
        </is>
      </c>
      <c r="I31" s="5" t="n">
        <v>1</v>
      </c>
      <c r="J31" s="5" t="n"/>
      <c r="K31" s="10">
        <f>IFERROR(IF(INDEX('Test catalog'!$F$2:$F$200,MATCH($AB31,'Test catalog'!$A$2:$A$200,0))="","",INDEX('Test catalog'!$F$2:$F$200,MATCH($AB31,'Test catalog'!$A$2:$A$200,0))),"")</f>
        <v/>
      </c>
      <c r="L31" s="10">
        <f>IFERROR(IF(INDEX('Test catalog'!$G$2:$G$200,MATCH($AB31,'Test catalog'!$A$2:$A$200,0))="","",INDEX('Test catalog'!$G$2:$G$200,MATCH($AB31,'Test catalog'!$A$2:$A$200,0))),"")</f>
        <v/>
      </c>
      <c r="M31" s="10">
        <f>IFERROR(IF(INDEX('Test catalog'!$H$2:$H$200,MATCH($AB31,'Test catalog'!$A$2:$A$200,0))="","",INDEX('Test catalog'!$H$2:$H$200,MATCH($AB31,'Test catalog'!$A$2:$A$200,0))),"")</f>
        <v/>
      </c>
      <c r="N31" s="10">
        <f>IFERROR(IF(INDEX('Test catalog'!$I$2:$I$200,MATCH($AB31,'Test catalog'!$A$2:$A$200,0))="","",INDEX('Test catalog'!$I$2:$I$200,MATCH($AB31,'Test catalog'!$A$2:$A$200,0))),"")</f>
        <v/>
      </c>
      <c r="O31" s="10">
        <f>IFERROR(IF(INDEX('Test catalog'!$J$2:$J$200,MATCH($AB31,'Test catalog'!$A$2:$A$200,0))="","",INDEX('Test catalog'!$J$2:$J$200,MATCH($AB31,'Test catalog'!$A$2:$A$200,0))),"")</f>
        <v/>
      </c>
      <c r="P31" s="14">
        <f>IF(N31="","",IF(OR(M31="",O31=""),N31,(M31+4*N31+O31)/6))</f>
        <v/>
      </c>
      <c r="Q31" s="10">
        <f>IFERROR(IF(INDEX('Test catalog'!$K$2:$K$200,MATCH($AB31,'Test catalog'!$A$2:$A$200,0))="","",INDEX('Test catalog'!$K$2:$K$200,MATCH($AB31,'Test catalog'!$A$2:$A$200,0))),"")</f>
        <v/>
      </c>
      <c r="R31" s="5" t="n"/>
      <c r="S31" s="10">
        <f>IFERROR(IF(INDEX('Test catalog'!$L$2:$L$200,MATCH($AB31,'Test catalog'!$A$2:$A$200,0))="","",INDEX('Test catalog'!$L$2:$L$200,MATCH($AB31,'Test catalog'!$A$2:$A$200,0))),"")</f>
        <v/>
      </c>
      <c r="T31" s="10">
        <f>IFERROR(IF(INDEX('Test catalog'!$M$2:$M$200,MATCH($AB31,'Test catalog'!$A$2:$A$200,0))="","",INDEX('Test catalog'!$M$2:$M$200,MATCH($AB31,'Test catalog'!$A$2:$A$200,0))),"")</f>
        <v/>
      </c>
      <c r="U31" s="10">
        <f>IFERROR(IF(INDEX('Test catalog'!$N$2:$N$200,MATCH($AB31,'Test catalog'!$A$2:$A$200,0))="","",INDEX('Test catalog'!$N$2:$N$200,MATCH($AB31,'Test catalog'!$A$2:$A$200,0))),"")</f>
        <v/>
      </c>
      <c r="V31" s="15" t="n"/>
      <c r="W31" s="5" t="inlineStr">
        <is>
          <t>N</t>
        </is>
      </c>
      <c r="X31" s="5" t="n"/>
      <c r="Y31" s="5" t="n"/>
      <c r="Z31" s="5" t="n"/>
      <c r="AA31" s="10">
        <f>IFERROR(IF(INDEX('Test catalog'!$O$2:$O$200,MATCH($AB31,'Test catalog'!$A$2:$A$200,0))="","",INDEX('Test catalog'!$O$2:$O$200,MATCH($AB31,'Test catalog'!$A$2:$A$200,0))),"")</f>
        <v/>
      </c>
      <c r="AB31" s="10" t="inlineStr">
        <is>
          <t>ROI</t>
        </is>
      </c>
      <c r="AC31" s="10" t="inlineStr">
        <is>
          <t>Ascorbic Acid · Impurities &lt;281&gt;</t>
        </is>
      </c>
      <c r="AD31" s="10" t="n"/>
      <c r="AE31" s="10" t="n"/>
    </row>
    <row r="32">
      <c r="A32" s="10" t="inlineStr">
        <is>
          <t>Ascorbic Acid Coated 97%</t>
        </is>
      </c>
      <c r="B32" s="10" t="inlineStr">
        <is>
          <t>RM</t>
        </is>
      </c>
      <c r="C32" s="10" t="inlineStr">
        <is>
          <t>Active</t>
        </is>
      </c>
      <c r="D32" s="10" t="inlineStr">
        <is>
          <t>Optical Rotation, Specific Rotation</t>
        </is>
      </c>
      <c r="E32" s="10">
        <f>IF(A32="","",A32&amp;"|"&amp;D32)</f>
        <v/>
      </c>
      <c r="F32" s="5" t="inlineStr">
        <is>
          <t>Y</t>
        </is>
      </c>
      <c r="G32" s="5" t="inlineStr">
        <is>
          <t>Other / bench</t>
        </is>
      </c>
      <c r="H32" s="5" t="inlineStr">
        <is>
          <t>Low</t>
        </is>
      </c>
      <c r="I32" s="5" t="n">
        <v>1</v>
      </c>
      <c r="J32" s="5" t="n"/>
      <c r="K32" s="10">
        <f>IFERROR(IF(INDEX('Test catalog'!$F$2:$F$200,MATCH($AB32,'Test catalog'!$A$2:$A$200,0))="","",INDEX('Test catalog'!$F$2:$F$200,MATCH($AB32,'Test catalog'!$A$2:$A$200,0))),"")</f>
        <v/>
      </c>
      <c r="L32" s="10">
        <f>IFERROR(IF(INDEX('Test catalog'!$G$2:$G$200,MATCH($AB32,'Test catalog'!$A$2:$A$200,0))="","",INDEX('Test catalog'!$G$2:$G$200,MATCH($AB32,'Test catalog'!$A$2:$A$200,0))),"")</f>
        <v/>
      </c>
      <c r="M32" s="10">
        <f>IFERROR(IF(INDEX('Test catalog'!$H$2:$H$200,MATCH($AB32,'Test catalog'!$A$2:$A$200,0))="","",INDEX('Test catalog'!$H$2:$H$200,MATCH($AB32,'Test catalog'!$A$2:$A$200,0))),"")</f>
        <v/>
      </c>
      <c r="N32" s="10">
        <f>IFERROR(IF(INDEX('Test catalog'!$I$2:$I$200,MATCH($AB32,'Test catalog'!$A$2:$A$200,0))="","",INDEX('Test catalog'!$I$2:$I$200,MATCH($AB32,'Test catalog'!$A$2:$A$200,0))),"")</f>
        <v/>
      </c>
      <c r="O32" s="10">
        <f>IFERROR(IF(INDEX('Test catalog'!$J$2:$J$200,MATCH($AB32,'Test catalog'!$A$2:$A$200,0))="","",INDEX('Test catalog'!$J$2:$J$200,MATCH($AB32,'Test catalog'!$A$2:$A$200,0))),"")</f>
        <v/>
      </c>
      <c r="P32" s="14">
        <f>IF(N32="","",IF(OR(M32="",O32=""),N32,(M32+4*N32+O32)/6))</f>
        <v/>
      </c>
      <c r="Q32" s="10">
        <f>IFERROR(IF(INDEX('Test catalog'!$K$2:$K$200,MATCH($AB32,'Test catalog'!$A$2:$A$200,0))="","",INDEX('Test catalog'!$K$2:$K$200,MATCH($AB32,'Test catalog'!$A$2:$A$200,0))),"")</f>
        <v/>
      </c>
      <c r="R32" s="5" t="n"/>
      <c r="S32" s="10">
        <f>IFERROR(IF(INDEX('Test catalog'!$L$2:$L$200,MATCH($AB32,'Test catalog'!$A$2:$A$200,0))="","",INDEX('Test catalog'!$L$2:$L$200,MATCH($AB32,'Test catalog'!$A$2:$A$200,0))),"")</f>
        <v/>
      </c>
      <c r="T32" s="10">
        <f>IFERROR(IF(INDEX('Test catalog'!$M$2:$M$200,MATCH($AB32,'Test catalog'!$A$2:$A$200,0))="","",INDEX('Test catalog'!$M$2:$M$200,MATCH($AB32,'Test catalog'!$A$2:$A$200,0))),"")</f>
        <v/>
      </c>
      <c r="U32" s="10">
        <f>IFERROR(IF(INDEX('Test catalog'!$N$2:$N$200,MATCH($AB32,'Test catalog'!$A$2:$A$200,0))="","",INDEX('Test catalog'!$N$2:$N$200,MATCH($AB32,'Test catalog'!$A$2:$A$200,0))),"")</f>
        <v/>
      </c>
      <c r="V32" s="15" t="n"/>
      <c r="W32" s="5" t="inlineStr">
        <is>
          <t>N</t>
        </is>
      </c>
      <c r="X32" s="5" t="n"/>
      <c r="Y32" s="5" t="n"/>
      <c r="Z32" s="5" t="n"/>
      <c r="AA32" s="10">
        <f>IFERROR(IF(INDEX('Test catalog'!$O$2:$O$200,MATCH($AB32,'Test catalog'!$A$2:$A$200,0))="","",INDEX('Test catalog'!$O$2:$O$200,MATCH($AB32,'Test catalog'!$A$2:$A$200,0))),"")</f>
        <v/>
      </c>
      <c r="AB32" s="10" t="inlineStr">
        <is>
          <t>OR</t>
        </is>
      </c>
      <c r="AC32" s="10" t="inlineStr">
        <is>
          <t>Ascorbic Acid · Specific Tests &lt;781&gt;</t>
        </is>
      </c>
      <c r="AD32" s="10" t="n"/>
      <c r="AE32" s="10" t="n"/>
    </row>
    <row r="33">
      <c r="A33" s="10" t="inlineStr">
        <is>
          <t>Azelastine Hydrochloride</t>
        </is>
      </c>
      <c r="B33" s="10" t="inlineStr">
        <is>
          <t>RM</t>
        </is>
      </c>
      <c r="C33" s="10" t="inlineStr">
        <is>
          <t>Active</t>
        </is>
      </c>
      <c r="D33" s="10" t="inlineStr">
        <is>
          <t>Appearance / description and solubility</t>
        </is>
      </c>
      <c r="E33" s="10">
        <f>IF(A33="","",A33&amp;"|"&amp;D33)</f>
        <v/>
      </c>
      <c r="F33" s="5" t="inlineStr">
        <is>
          <t>Y</t>
        </is>
      </c>
      <c r="G33" s="5" t="inlineStr">
        <is>
          <t>Other / bench</t>
        </is>
      </c>
      <c r="H33" s="5" t="inlineStr">
        <is>
          <t>Low</t>
        </is>
      </c>
      <c r="I33" s="5" t="n">
        <v>1</v>
      </c>
      <c r="J33" s="5" t="n"/>
      <c r="K33" s="10">
        <f>IFERROR(IF(INDEX('Test catalog'!$F$2:$F$200,MATCH($AB33,'Test catalog'!$A$2:$A$200,0))="","",INDEX('Test catalog'!$F$2:$F$200,MATCH($AB33,'Test catalog'!$A$2:$A$200,0))),"")</f>
        <v/>
      </c>
      <c r="L33" s="10">
        <f>IFERROR(IF(INDEX('Test catalog'!$G$2:$G$200,MATCH($AB33,'Test catalog'!$A$2:$A$200,0))="","",INDEX('Test catalog'!$G$2:$G$200,MATCH($AB33,'Test catalog'!$A$2:$A$200,0))),"")</f>
        <v/>
      </c>
      <c r="M33" s="10">
        <f>IFERROR(IF(INDEX('Test catalog'!$H$2:$H$200,MATCH($AB33,'Test catalog'!$A$2:$A$200,0))="","",INDEX('Test catalog'!$H$2:$H$200,MATCH($AB33,'Test catalog'!$A$2:$A$200,0))),"")</f>
        <v/>
      </c>
      <c r="N33" s="10">
        <f>IFERROR(IF(INDEX('Test catalog'!$I$2:$I$200,MATCH($AB33,'Test catalog'!$A$2:$A$200,0))="","",INDEX('Test catalog'!$I$2:$I$200,MATCH($AB33,'Test catalog'!$A$2:$A$200,0))),"")</f>
        <v/>
      </c>
      <c r="O33" s="10">
        <f>IFERROR(IF(INDEX('Test catalog'!$J$2:$J$200,MATCH($AB33,'Test catalog'!$A$2:$A$200,0))="","",INDEX('Test catalog'!$J$2:$J$200,MATCH($AB33,'Test catalog'!$A$2:$A$200,0))),"")</f>
        <v/>
      </c>
      <c r="P33" s="14">
        <f>IF(N33="","",IF(OR(M33="",O33=""),N33,(M33+4*N33+O33)/6))</f>
        <v/>
      </c>
      <c r="Q33" s="10">
        <f>IFERROR(IF(INDEX('Test catalog'!$K$2:$K$200,MATCH($AB33,'Test catalog'!$A$2:$A$200,0))="","",INDEX('Test catalog'!$K$2:$K$200,MATCH($AB33,'Test catalog'!$A$2:$A$200,0))),"")</f>
        <v/>
      </c>
      <c r="R33" s="5" t="n"/>
      <c r="S33" s="10">
        <f>IFERROR(IF(INDEX('Test catalog'!$L$2:$L$200,MATCH($AB33,'Test catalog'!$A$2:$A$200,0))="","",INDEX('Test catalog'!$L$2:$L$200,MATCH($AB33,'Test catalog'!$A$2:$A$200,0))),"")</f>
        <v/>
      </c>
      <c r="T33" s="10">
        <f>IFERROR(IF(INDEX('Test catalog'!$M$2:$M$200,MATCH($AB33,'Test catalog'!$A$2:$A$200,0))="","",INDEX('Test catalog'!$M$2:$M$200,MATCH($AB33,'Test catalog'!$A$2:$A$200,0))),"")</f>
        <v/>
      </c>
      <c r="U33" s="10">
        <f>IFERROR(IF(INDEX('Test catalog'!$N$2:$N$200,MATCH($AB33,'Test catalog'!$A$2:$A$200,0))="","",INDEX('Test catalog'!$N$2:$N$200,MATCH($AB33,'Test catalog'!$A$2:$A$200,0))),"")</f>
        <v/>
      </c>
      <c r="V33" s="15" t="n"/>
      <c r="W33" s="5" t="inlineStr">
        <is>
          <t>N</t>
        </is>
      </c>
      <c r="X33" s="5" t="n"/>
      <c r="Y33" s="5" t="n"/>
      <c r="Z33" s="5" t="n"/>
      <c r="AA33" s="10">
        <f>IFERROR(IF(INDEX('Test catalog'!$O$2:$O$200,MATCH($AB33,'Test catalog'!$A$2:$A$200,0))="","",INDEX('Test catalog'!$O$2:$O$200,MATCH($AB33,'Test catalog'!$A$2:$A$200,0))),"")</f>
        <v/>
      </c>
      <c r="AB33" s="10" t="inlineStr">
        <is>
          <t>APPEAR</t>
        </is>
      </c>
      <c r="AC33" s="10" t="inlineStr">
        <is>
          <t>Lab practice (not a USP test)</t>
        </is>
      </c>
      <c r="AD33" s="10" t="n"/>
      <c r="AE33" s="10" t="n"/>
    </row>
    <row r="34">
      <c r="A34" s="10" t="inlineStr">
        <is>
          <t>Azelastine Hydrochloride</t>
        </is>
      </c>
      <c r="B34" s="10" t="inlineStr">
        <is>
          <t>RM</t>
        </is>
      </c>
      <c r="C34" s="10" t="inlineStr">
        <is>
          <t>Active</t>
        </is>
      </c>
      <c r="D34" s="10" t="inlineStr">
        <is>
          <t>ID A - IR spectrum</t>
        </is>
      </c>
      <c r="E34" s="10">
        <f>IF(A34="","",A34&amp;"|"&amp;D34)</f>
        <v/>
      </c>
      <c r="F34" s="5" t="inlineStr">
        <is>
          <t>Y</t>
        </is>
      </c>
      <c r="G34" s="5" t="inlineStr">
        <is>
          <t>Other / bench</t>
        </is>
      </c>
      <c r="H34" s="5" t="inlineStr">
        <is>
          <t>Low</t>
        </is>
      </c>
      <c r="I34" s="5" t="n">
        <v>1</v>
      </c>
      <c r="J34" s="5" t="n"/>
      <c r="K34" s="10">
        <f>IFERROR(IF(INDEX('Test catalog'!$F$2:$F$200,MATCH($AB34,'Test catalog'!$A$2:$A$200,0))="","",INDEX('Test catalog'!$F$2:$F$200,MATCH($AB34,'Test catalog'!$A$2:$A$200,0))),"")</f>
        <v/>
      </c>
      <c r="L34" s="10">
        <f>IFERROR(IF(INDEX('Test catalog'!$G$2:$G$200,MATCH($AB34,'Test catalog'!$A$2:$A$200,0))="","",INDEX('Test catalog'!$G$2:$G$200,MATCH($AB34,'Test catalog'!$A$2:$A$200,0))),"")</f>
        <v/>
      </c>
      <c r="M34" s="10">
        <f>IFERROR(IF(INDEX('Test catalog'!$H$2:$H$200,MATCH($AB34,'Test catalog'!$A$2:$A$200,0))="","",INDEX('Test catalog'!$H$2:$H$200,MATCH($AB34,'Test catalog'!$A$2:$A$200,0))),"")</f>
        <v/>
      </c>
      <c r="N34" s="10">
        <f>IFERROR(IF(INDEX('Test catalog'!$I$2:$I$200,MATCH($AB34,'Test catalog'!$A$2:$A$200,0))="","",INDEX('Test catalog'!$I$2:$I$200,MATCH($AB34,'Test catalog'!$A$2:$A$200,0))),"")</f>
        <v/>
      </c>
      <c r="O34" s="10">
        <f>IFERROR(IF(INDEX('Test catalog'!$J$2:$J$200,MATCH($AB34,'Test catalog'!$A$2:$A$200,0))="","",INDEX('Test catalog'!$J$2:$J$200,MATCH($AB34,'Test catalog'!$A$2:$A$200,0))),"")</f>
        <v/>
      </c>
      <c r="P34" s="14">
        <f>IF(N34="","",IF(OR(M34="",O34=""),N34,(M34+4*N34+O34)/6))</f>
        <v/>
      </c>
      <c r="Q34" s="10">
        <f>IFERROR(IF(INDEX('Test catalog'!$K$2:$K$200,MATCH($AB34,'Test catalog'!$A$2:$A$200,0))="","",INDEX('Test catalog'!$K$2:$K$200,MATCH($AB34,'Test catalog'!$A$2:$A$200,0))),"")</f>
        <v/>
      </c>
      <c r="R34" s="5" t="n"/>
      <c r="S34" s="10">
        <f>IFERROR(IF(INDEX('Test catalog'!$L$2:$L$200,MATCH($AB34,'Test catalog'!$A$2:$A$200,0))="","",INDEX('Test catalog'!$L$2:$L$200,MATCH($AB34,'Test catalog'!$A$2:$A$200,0))),"")</f>
        <v/>
      </c>
      <c r="T34" s="10">
        <f>IFERROR(IF(INDEX('Test catalog'!$M$2:$M$200,MATCH($AB34,'Test catalog'!$A$2:$A$200,0))="","",INDEX('Test catalog'!$M$2:$M$200,MATCH($AB34,'Test catalog'!$A$2:$A$200,0))),"")</f>
        <v/>
      </c>
      <c r="U34" s="10">
        <f>IFERROR(IF(INDEX('Test catalog'!$N$2:$N$200,MATCH($AB34,'Test catalog'!$A$2:$A$200,0))="","",INDEX('Test catalog'!$N$2:$N$200,MATCH($AB34,'Test catalog'!$A$2:$A$200,0))),"")</f>
        <v/>
      </c>
      <c r="V34" s="15" t="n"/>
      <c r="W34" s="5" t="inlineStr">
        <is>
          <t>N</t>
        </is>
      </c>
      <c r="X34" s="5" t="n"/>
      <c r="Y34" s="5" t="n"/>
      <c r="Z34" s="5" t="n"/>
      <c r="AA34" s="10">
        <f>IFERROR(IF(INDEX('Test catalog'!$O$2:$O$200,MATCH($AB34,'Test catalog'!$A$2:$A$200,0))="","",INDEX('Test catalog'!$O$2:$O$200,MATCH($AB34,'Test catalog'!$A$2:$A$200,0))),"")</f>
        <v/>
      </c>
      <c r="AB34" s="10" t="inlineStr">
        <is>
          <t>ID_IR</t>
        </is>
      </c>
      <c r="AC34" s="10" t="inlineStr">
        <is>
          <t>Azelastine Hydrochloride · Identification &lt;197&gt;</t>
        </is>
      </c>
      <c r="AD34" s="10" t="n"/>
      <c r="AE34" s="10" t="n"/>
    </row>
    <row r="35">
      <c r="A35" s="10" t="inlineStr">
        <is>
          <t>Azelastine Hydrochloride</t>
        </is>
      </c>
      <c r="B35" s="10" t="inlineStr">
        <is>
          <t>RM</t>
        </is>
      </c>
      <c r="C35" s="10" t="inlineStr">
        <is>
          <t>Active</t>
        </is>
      </c>
      <c r="D35" s="10" t="inlineStr">
        <is>
          <t>Assay</t>
        </is>
      </c>
      <c r="E35" s="10">
        <f>IF(A35="","",A35&amp;"|"&amp;D35)</f>
        <v/>
      </c>
      <c r="F35" s="5" t="inlineStr">
        <is>
          <t>Y</t>
        </is>
      </c>
      <c r="G35" s="5" t="inlineStr">
        <is>
          <t>Other / bench</t>
        </is>
      </c>
      <c r="H35" s="5" t="inlineStr">
        <is>
          <t>Low</t>
        </is>
      </c>
      <c r="I35" s="5" t="n">
        <v>1</v>
      </c>
      <c r="J35" s="5" t="n"/>
      <c r="K35" s="10">
        <f>IFERROR(IF(INDEX('Test catalog'!$F$2:$F$200,MATCH($AB35,'Test catalog'!$A$2:$A$200,0))="","",INDEX('Test catalog'!$F$2:$F$200,MATCH($AB35,'Test catalog'!$A$2:$A$200,0))),"")</f>
        <v/>
      </c>
      <c r="L35" s="10">
        <f>IFERROR(IF(INDEX('Test catalog'!$G$2:$G$200,MATCH($AB35,'Test catalog'!$A$2:$A$200,0))="","",INDEX('Test catalog'!$G$2:$G$200,MATCH($AB35,'Test catalog'!$A$2:$A$200,0))),"")</f>
        <v/>
      </c>
      <c r="M35" s="10">
        <f>IFERROR(IF(INDEX('Test catalog'!$H$2:$H$200,MATCH($AB35,'Test catalog'!$A$2:$A$200,0))="","",INDEX('Test catalog'!$H$2:$H$200,MATCH($AB35,'Test catalog'!$A$2:$A$200,0))),"")</f>
        <v/>
      </c>
      <c r="N35" s="10">
        <f>IFERROR(IF(INDEX('Test catalog'!$I$2:$I$200,MATCH($AB35,'Test catalog'!$A$2:$A$200,0))="","",INDEX('Test catalog'!$I$2:$I$200,MATCH($AB35,'Test catalog'!$A$2:$A$200,0))),"")</f>
        <v/>
      </c>
      <c r="O35" s="10">
        <f>IFERROR(IF(INDEX('Test catalog'!$J$2:$J$200,MATCH($AB35,'Test catalog'!$A$2:$A$200,0))="","",INDEX('Test catalog'!$J$2:$J$200,MATCH($AB35,'Test catalog'!$A$2:$A$200,0))),"")</f>
        <v/>
      </c>
      <c r="P35" s="14">
        <f>IF(N35="","",IF(OR(M35="",O35=""),N35,(M35+4*N35+O35)/6))</f>
        <v/>
      </c>
      <c r="Q35" s="10">
        <f>IFERROR(IF(INDEX('Test catalog'!$K$2:$K$200,MATCH($AB35,'Test catalog'!$A$2:$A$200,0))="","",INDEX('Test catalog'!$K$2:$K$200,MATCH($AB35,'Test catalog'!$A$2:$A$200,0))),"")</f>
        <v/>
      </c>
      <c r="R35" s="5" t="n"/>
      <c r="S35" s="10">
        <f>IFERROR(IF(INDEX('Test catalog'!$L$2:$L$200,MATCH($AB35,'Test catalog'!$A$2:$A$200,0))="","",INDEX('Test catalog'!$L$2:$L$200,MATCH($AB35,'Test catalog'!$A$2:$A$200,0))),"")</f>
        <v/>
      </c>
      <c r="T35" s="10">
        <f>IFERROR(IF(INDEX('Test catalog'!$M$2:$M$200,MATCH($AB35,'Test catalog'!$A$2:$A$200,0))="","",INDEX('Test catalog'!$M$2:$M$200,MATCH($AB35,'Test catalog'!$A$2:$A$200,0))),"")</f>
        <v/>
      </c>
      <c r="U35" s="10">
        <f>IFERROR(IF(INDEX('Test catalog'!$N$2:$N$200,MATCH($AB35,'Test catalog'!$A$2:$A$200,0))="","",INDEX('Test catalog'!$N$2:$N$200,MATCH($AB35,'Test catalog'!$A$2:$A$200,0))),"")</f>
        <v/>
      </c>
      <c r="V35" s="15" t="n"/>
      <c r="W35" s="5" t="inlineStr">
        <is>
          <t>N</t>
        </is>
      </c>
      <c r="X35" s="5" t="n"/>
      <c r="Y35" s="5" t="n"/>
      <c r="Z35" s="5" t="n"/>
      <c r="AA35" s="10">
        <f>IFERROR(IF(INDEX('Test catalog'!$O$2:$O$200,MATCH($AB35,'Test catalog'!$A$2:$A$200,0))="","",INDEX('Test catalog'!$O$2:$O$200,MATCH($AB35,'Test catalog'!$A$2:$A$200,0))),"")</f>
        <v/>
      </c>
      <c r="AB35" s="10" t="inlineStr">
        <is>
          <t>TITR</t>
        </is>
      </c>
      <c r="AC35" s="10" t="inlineStr">
        <is>
          <t>Azelastine Hydrochloride · Assay &lt;541&gt;</t>
        </is>
      </c>
      <c r="AD35" s="10" t="n"/>
      <c r="AE35" s="10" t="n"/>
    </row>
    <row r="36">
      <c r="A36" s="10" t="inlineStr">
        <is>
          <t>Azelastine Hydrochloride</t>
        </is>
      </c>
      <c r="B36" s="10" t="inlineStr">
        <is>
          <t>RM</t>
        </is>
      </c>
      <c r="C36" s="10" t="inlineStr">
        <is>
          <t>Active</t>
        </is>
      </c>
      <c r="D36" s="10" t="inlineStr">
        <is>
          <t>Residue on Ignition</t>
        </is>
      </c>
      <c r="E36" s="10">
        <f>IF(A36="","",A36&amp;"|"&amp;D36)</f>
        <v/>
      </c>
      <c r="F36" s="5" t="inlineStr">
        <is>
          <t>Y</t>
        </is>
      </c>
      <c r="G36" s="5" t="inlineStr">
        <is>
          <t>Other / bench</t>
        </is>
      </c>
      <c r="H36" s="5" t="inlineStr">
        <is>
          <t>Low</t>
        </is>
      </c>
      <c r="I36" s="5" t="n">
        <v>1</v>
      </c>
      <c r="J36" s="5" t="n"/>
      <c r="K36" s="10">
        <f>IFERROR(IF(INDEX('Test catalog'!$F$2:$F$200,MATCH($AB36,'Test catalog'!$A$2:$A$200,0))="","",INDEX('Test catalog'!$F$2:$F$200,MATCH($AB36,'Test catalog'!$A$2:$A$200,0))),"")</f>
        <v/>
      </c>
      <c r="L36" s="10">
        <f>IFERROR(IF(INDEX('Test catalog'!$G$2:$G$200,MATCH($AB36,'Test catalog'!$A$2:$A$200,0))="","",INDEX('Test catalog'!$G$2:$G$200,MATCH($AB36,'Test catalog'!$A$2:$A$200,0))),"")</f>
        <v/>
      </c>
      <c r="M36" s="10">
        <f>IFERROR(IF(INDEX('Test catalog'!$H$2:$H$200,MATCH($AB36,'Test catalog'!$A$2:$A$200,0))="","",INDEX('Test catalog'!$H$2:$H$200,MATCH($AB36,'Test catalog'!$A$2:$A$200,0))),"")</f>
        <v/>
      </c>
      <c r="N36" s="10">
        <f>IFERROR(IF(INDEX('Test catalog'!$I$2:$I$200,MATCH($AB36,'Test catalog'!$A$2:$A$200,0))="","",INDEX('Test catalog'!$I$2:$I$200,MATCH($AB36,'Test catalog'!$A$2:$A$200,0))),"")</f>
        <v/>
      </c>
      <c r="O36" s="10">
        <f>IFERROR(IF(INDEX('Test catalog'!$J$2:$J$200,MATCH($AB36,'Test catalog'!$A$2:$A$200,0))="","",INDEX('Test catalog'!$J$2:$J$200,MATCH($AB36,'Test catalog'!$A$2:$A$200,0))),"")</f>
        <v/>
      </c>
      <c r="P36" s="14">
        <f>IF(N36="","",IF(OR(M36="",O36=""),N36,(M36+4*N36+O36)/6))</f>
        <v/>
      </c>
      <c r="Q36" s="10">
        <f>IFERROR(IF(INDEX('Test catalog'!$K$2:$K$200,MATCH($AB36,'Test catalog'!$A$2:$A$200,0))="","",INDEX('Test catalog'!$K$2:$K$200,MATCH($AB36,'Test catalog'!$A$2:$A$200,0))),"")</f>
        <v/>
      </c>
      <c r="R36" s="5" t="n"/>
      <c r="S36" s="10">
        <f>IFERROR(IF(INDEX('Test catalog'!$L$2:$L$200,MATCH($AB36,'Test catalog'!$A$2:$A$200,0))="","",INDEX('Test catalog'!$L$2:$L$200,MATCH($AB36,'Test catalog'!$A$2:$A$200,0))),"")</f>
        <v/>
      </c>
      <c r="T36" s="10">
        <f>IFERROR(IF(INDEX('Test catalog'!$M$2:$M$200,MATCH($AB36,'Test catalog'!$A$2:$A$200,0))="","",INDEX('Test catalog'!$M$2:$M$200,MATCH($AB36,'Test catalog'!$A$2:$A$200,0))),"")</f>
        <v/>
      </c>
      <c r="U36" s="10">
        <f>IFERROR(IF(INDEX('Test catalog'!$N$2:$N$200,MATCH($AB36,'Test catalog'!$A$2:$A$200,0))="","",INDEX('Test catalog'!$N$2:$N$200,MATCH($AB36,'Test catalog'!$A$2:$A$200,0))),"")</f>
        <v/>
      </c>
      <c r="V36" s="15" t="n"/>
      <c r="W36" s="5" t="inlineStr">
        <is>
          <t>N</t>
        </is>
      </c>
      <c r="X36" s="5" t="n"/>
      <c r="Y36" s="5" t="n"/>
      <c r="Z36" s="5" t="n"/>
      <c r="AA36" s="10">
        <f>IFERROR(IF(INDEX('Test catalog'!$O$2:$O$200,MATCH($AB36,'Test catalog'!$A$2:$A$200,0))="","",INDEX('Test catalog'!$O$2:$O$200,MATCH($AB36,'Test catalog'!$A$2:$A$200,0))),"")</f>
        <v/>
      </c>
      <c r="AB36" s="10" t="inlineStr">
        <is>
          <t>ROI</t>
        </is>
      </c>
      <c r="AC36" s="10" t="inlineStr">
        <is>
          <t>Azelastine Hydrochloride · Impurities &lt;281&gt;</t>
        </is>
      </c>
      <c r="AD36" s="10" t="n"/>
      <c r="AE36" s="10" t="n"/>
    </row>
    <row r="37">
      <c r="A37" s="10" t="inlineStr">
        <is>
          <t>Azelastine Hydrochloride</t>
        </is>
      </c>
      <c r="B37" s="10" t="inlineStr">
        <is>
          <t>RM</t>
        </is>
      </c>
      <c r="C37" s="10" t="inlineStr">
        <is>
          <t>Active</t>
        </is>
      </c>
      <c r="D37" s="10" t="inlineStr">
        <is>
          <t>Organic Impurities (HPLC)</t>
        </is>
      </c>
      <c r="E37" s="10">
        <f>IF(A37="","",A37&amp;"|"&amp;D37)</f>
        <v/>
      </c>
      <c r="F37" s="5" t="inlineStr">
        <is>
          <t>Y</t>
        </is>
      </c>
      <c r="G37" s="5" t="inlineStr">
        <is>
          <t>HPLC</t>
        </is>
      </c>
      <c r="H37" s="5" t="inlineStr">
        <is>
          <t>Medium</t>
        </is>
      </c>
      <c r="I37" s="5" t="n">
        <v>1</v>
      </c>
      <c r="J37" s="5" t="n"/>
      <c r="K37" s="5" t="n"/>
      <c r="L37" s="5" t="n"/>
      <c r="M37" s="5" t="n"/>
      <c r="N37" s="5" t="n"/>
      <c r="O37" s="5" t="n"/>
      <c r="P37" s="14">
        <f>IF(N37="","",IF(OR(M37="",O37=""),N37,(M37+4*N37+O37)/6))</f>
        <v/>
      </c>
      <c r="Q37" s="5" t="n"/>
      <c r="R37" s="5" t="n"/>
      <c r="S37" s="5" t="n"/>
      <c r="T37" s="5" t="n"/>
      <c r="U37" s="5" t="n"/>
      <c r="V37" s="15" t="n"/>
      <c r="W37" s="5" t="inlineStr">
        <is>
          <t>N</t>
        </is>
      </c>
      <c r="X37" s="5" t="n"/>
      <c r="Y37" s="5" t="n"/>
      <c r="Z37" s="5" t="n"/>
      <c r="AA37" s="5" t="n"/>
      <c r="AB37" s="10" t="n"/>
      <c r="AC37" s="10" t="inlineStr">
        <is>
          <t>Azelastine Hydrochloride · Impurities</t>
        </is>
      </c>
      <c r="AD37" s="10" t="n"/>
      <c r="AE37" s="10" t="n"/>
    </row>
    <row r="38">
      <c r="A38" s="10" t="inlineStr">
        <is>
          <t>Azelastine Hydrochloride</t>
        </is>
      </c>
      <c r="B38" s="10" t="inlineStr">
        <is>
          <t>RM</t>
        </is>
      </c>
      <c r="C38" s="10" t="inlineStr">
        <is>
          <t>Active</t>
        </is>
      </c>
      <c r="D38" s="10" t="inlineStr">
        <is>
          <t>Loss on Drying</t>
        </is>
      </c>
      <c r="E38" s="10">
        <f>IF(A38="","",A38&amp;"|"&amp;D38)</f>
        <v/>
      </c>
      <c r="F38" s="5" t="inlineStr">
        <is>
          <t>Y</t>
        </is>
      </c>
      <c r="G38" s="5" t="inlineStr">
        <is>
          <t>Other / bench</t>
        </is>
      </c>
      <c r="H38" s="5" t="inlineStr">
        <is>
          <t>Low</t>
        </is>
      </c>
      <c r="I38" s="5" t="n">
        <v>1</v>
      </c>
      <c r="J38" s="5" t="n"/>
      <c r="K38" s="10">
        <f>IFERROR(IF(INDEX('Test catalog'!$F$2:$F$200,MATCH($AB38,'Test catalog'!$A$2:$A$200,0))="","",INDEX('Test catalog'!$F$2:$F$200,MATCH($AB38,'Test catalog'!$A$2:$A$200,0))),"")</f>
        <v/>
      </c>
      <c r="L38" s="10">
        <f>IFERROR(IF(INDEX('Test catalog'!$G$2:$G$200,MATCH($AB38,'Test catalog'!$A$2:$A$200,0))="","",INDEX('Test catalog'!$G$2:$G$200,MATCH($AB38,'Test catalog'!$A$2:$A$200,0))),"")</f>
        <v/>
      </c>
      <c r="M38" s="10">
        <f>IFERROR(IF(INDEX('Test catalog'!$H$2:$H$200,MATCH($AB38,'Test catalog'!$A$2:$A$200,0))="","",INDEX('Test catalog'!$H$2:$H$200,MATCH($AB38,'Test catalog'!$A$2:$A$200,0))),"")</f>
        <v/>
      </c>
      <c r="N38" s="10">
        <f>IFERROR(IF(INDEX('Test catalog'!$I$2:$I$200,MATCH($AB38,'Test catalog'!$A$2:$A$200,0))="","",INDEX('Test catalog'!$I$2:$I$200,MATCH($AB38,'Test catalog'!$A$2:$A$200,0))),"")</f>
        <v/>
      </c>
      <c r="O38" s="10">
        <f>IFERROR(IF(INDEX('Test catalog'!$J$2:$J$200,MATCH($AB38,'Test catalog'!$A$2:$A$200,0))="","",INDEX('Test catalog'!$J$2:$J$200,MATCH($AB38,'Test catalog'!$A$2:$A$200,0))),"")</f>
        <v/>
      </c>
      <c r="P38" s="14">
        <f>IF(N38="","",IF(OR(M38="",O38=""),N38,(M38+4*N38+O38)/6))</f>
        <v/>
      </c>
      <c r="Q38" s="10">
        <f>IFERROR(IF(INDEX('Test catalog'!$K$2:$K$200,MATCH($AB38,'Test catalog'!$A$2:$A$200,0))="","",INDEX('Test catalog'!$K$2:$K$200,MATCH($AB38,'Test catalog'!$A$2:$A$200,0))),"")</f>
        <v/>
      </c>
      <c r="R38" s="5" t="n"/>
      <c r="S38" s="10">
        <f>IFERROR(IF(INDEX('Test catalog'!$L$2:$L$200,MATCH($AB38,'Test catalog'!$A$2:$A$200,0))="","",INDEX('Test catalog'!$L$2:$L$200,MATCH($AB38,'Test catalog'!$A$2:$A$200,0))),"")</f>
        <v/>
      </c>
      <c r="T38" s="10">
        <f>IFERROR(IF(INDEX('Test catalog'!$M$2:$M$200,MATCH($AB38,'Test catalog'!$A$2:$A$200,0))="","",INDEX('Test catalog'!$M$2:$M$200,MATCH($AB38,'Test catalog'!$A$2:$A$200,0))),"")</f>
        <v/>
      </c>
      <c r="U38" s="10">
        <f>IFERROR(IF(INDEX('Test catalog'!$N$2:$N$200,MATCH($AB38,'Test catalog'!$A$2:$A$200,0))="","",INDEX('Test catalog'!$N$2:$N$200,MATCH($AB38,'Test catalog'!$A$2:$A$200,0))),"")</f>
        <v/>
      </c>
      <c r="V38" s="15" t="n"/>
      <c r="W38" s="5" t="inlineStr">
        <is>
          <t>N</t>
        </is>
      </c>
      <c r="X38" s="5" t="n"/>
      <c r="Y38" s="5" t="n"/>
      <c r="Z38" s="5" t="n"/>
      <c r="AA38" s="10">
        <f>IFERROR(IF(INDEX('Test catalog'!$O$2:$O$200,MATCH($AB38,'Test catalog'!$A$2:$A$200,0))="","",INDEX('Test catalog'!$O$2:$O$200,MATCH($AB38,'Test catalog'!$A$2:$A$200,0))),"")</f>
        <v/>
      </c>
      <c r="AB38" s="10" t="inlineStr">
        <is>
          <t>LOD</t>
        </is>
      </c>
      <c r="AC38" s="10" t="inlineStr">
        <is>
          <t>Azelastine Hydrochloride · Specific Tests &lt;731&gt;</t>
        </is>
      </c>
      <c r="AD38" s="10" t="n"/>
      <c r="AE38" s="10" t="n"/>
    </row>
    <row r="39">
      <c r="A39" s="10" t="inlineStr">
        <is>
          <t>Beet Root</t>
        </is>
      </c>
      <c r="B39" s="10" t="inlineStr">
        <is>
          <t>RM</t>
        </is>
      </c>
      <c r="C39" s="10" t="inlineStr">
        <is>
          <t>Active</t>
        </is>
      </c>
      <c r="D39" s="10" t="inlineStr">
        <is>
          <t>Assay + related substances</t>
        </is>
      </c>
      <c r="E39" s="10">
        <f>IF(A39="","",A39&amp;"|"&amp;D39)</f>
        <v/>
      </c>
      <c r="F39" s="5" t="inlineStr">
        <is>
          <t>Y</t>
        </is>
      </c>
      <c r="G39" s="5" t="inlineStr">
        <is>
          <t>HPLC</t>
        </is>
      </c>
      <c r="H39" s="5" t="inlineStr">
        <is>
          <t>Medium</t>
        </is>
      </c>
      <c r="I39" s="5" t="n">
        <v>1</v>
      </c>
      <c r="J39" s="5" t="n"/>
      <c r="K39" s="5" t="n"/>
      <c r="L39" s="5" t="n"/>
      <c r="M39" s="5" t="n"/>
      <c r="N39" s="5" t="n"/>
      <c r="O39" s="5" t="n"/>
      <c r="P39" s="14">
        <f>IF(N39="","",IF(OR(M39="",O39=""),N39,(M39+4*N39+O39)/6))</f>
        <v/>
      </c>
      <c r="Q39" s="5" t="n"/>
      <c r="R39" s="5" t="n"/>
      <c r="S39" s="5" t="n"/>
      <c r="T39" s="5" t="n"/>
      <c r="U39" s="5" t="n"/>
      <c r="V39" s="15" t="n"/>
      <c r="W39" s="5" t="inlineStr">
        <is>
          <t>N</t>
        </is>
      </c>
      <c r="X39" s="5" t="n"/>
      <c r="Y39" s="5" t="n"/>
      <c r="Z39" s="5" t="n"/>
      <c r="AA39" s="5" t="n"/>
      <c r="AB39" s="10" t="n"/>
      <c r="AC39" s="10" t="n"/>
      <c r="AD39" s="10" t="inlineStr">
        <is>
          <t>No USP-NF monograph - in-house / supplier spec</t>
        </is>
      </c>
      <c r="AE39" s="10" t="n"/>
      <c r="AF39" s="10" t="n"/>
    </row>
    <row r="40">
      <c r="A40" s="10" t="inlineStr">
        <is>
          <t>Beet Root</t>
        </is>
      </c>
      <c r="B40" s="10" t="inlineStr">
        <is>
          <t>RM</t>
        </is>
      </c>
      <c r="C40" s="10" t="inlineStr">
        <is>
          <t>Active</t>
        </is>
      </c>
      <c r="D40" s="10" t="inlineStr">
        <is>
          <t>Other compendial tests (ID, LOD/KF, heavy metals...)</t>
        </is>
      </c>
      <c r="E40" s="10">
        <f>IF(A40="","",A40&amp;"|"&amp;D40)</f>
        <v/>
      </c>
      <c r="F40" s="5" t="inlineStr">
        <is>
          <t>Y</t>
        </is>
      </c>
      <c r="G40" s="5" t="inlineStr">
        <is>
          <t>Other / bench</t>
        </is>
      </c>
      <c r="H40" s="5" t="inlineStr">
        <is>
          <t>Low</t>
        </is>
      </c>
      <c r="I40" s="5" t="n">
        <v>1</v>
      </c>
      <c r="J40" s="5" t="n"/>
      <c r="K40" s="5" t="n"/>
      <c r="L40" s="5" t="n"/>
      <c r="M40" s="5" t="n"/>
      <c r="N40" s="5" t="n"/>
      <c r="O40" s="5" t="n"/>
      <c r="P40" s="14">
        <f>IF(N40="","",IF(OR(M40="",O40=""),N40,(M40+4*N40+O40)/6))</f>
        <v/>
      </c>
      <c r="Q40" s="5" t="n"/>
      <c r="R40" s="5" t="n"/>
      <c r="S40" s="5" t="n"/>
      <c r="T40" s="5" t="n"/>
      <c r="U40" s="5" t="n"/>
      <c r="V40" s="15" t="n"/>
      <c r="W40" s="5" t="inlineStr">
        <is>
          <t>N</t>
        </is>
      </c>
      <c r="X40" s="5" t="n"/>
      <c r="Y40" s="5" t="n"/>
      <c r="Z40" s="5" t="n"/>
      <c r="AA40" s="5" t="n"/>
      <c r="AB40" s="10" t="n"/>
      <c r="AC40" s="10" t="n"/>
      <c r="AD40" s="10" t="inlineStr">
        <is>
          <t>No USP-NF monograph - in-house / supplier spec</t>
        </is>
      </c>
      <c r="AE40" s="10" t="n"/>
      <c r="AF40" s="10" t="n"/>
    </row>
    <row r="41">
      <c r="A41" s="10" t="inlineStr">
        <is>
          <t>Bempedoic Acid</t>
        </is>
      </c>
      <c r="B41" s="10" t="inlineStr">
        <is>
          <t>RM</t>
        </is>
      </c>
      <c r="C41" s="10" t="inlineStr">
        <is>
          <t>Active</t>
        </is>
      </c>
      <c r="D41" s="10" t="inlineStr">
        <is>
          <t>Assay + related substances</t>
        </is>
      </c>
      <c r="E41" s="10">
        <f>IF(A41="","",A41&amp;"|"&amp;D41)</f>
        <v/>
      </c>
      <c r="F41" s="5" t="inlineStr">
        <is>
          <t>Y</t>
        </is>
      </c>
      <c r="G41" s="5" t="inlineStr">
        <is>
          <t>HPLC</t>
        </is>
      </c>
      <c r="H41" s="5" t="inlineStr">
        <is>
          <t>Medium</t>
        </is>
      </c>
      <c r="I41" s="5" t="n">
        <v>1</v>
      </c>
      <c r="J41" s="5" t="n"/>
      <c r="K41" s="5" t="n"/>
      <c r="L41" s="5" t="n"/>
      <c r="M41" s="5" t="n"/>
      <c r="N41" s="5" t="n"/>
      <c r="O41" s="5" t="n"/>
      <c r="P41" s="14">
        <f>IF(N41="","",IF(OR(M41="",O41=""),N41,(M41+4*N41+O41)/6))</f>
        <v/>
      </c>
      <c r="Q41" s="5" t="n"/>
      <c r="R41" s="5" t="n"/>
      <c r="S41" s="5" t="n"/>
      <c r="T41" s="5" t="n"/>
      <c r="U41" s="5" t="n"/>
      <c r="V41" s="15" t="n"/>
      <c r="W41" s="5" t="inlineStr">
        <is>
          <t>N</t>
        </is>
      </c>
      <c r="X41" s="5" t="n"/>
      <c r="Y41" s="5" t="n"/>
      <c r="Z41" s="5" t="n"/>
      <c r="AA41" s="5" t="n"/>
      <c r="AB41" s="10" t="n"/>
      <c r="AC41" s="10" t="n"/>
      <c r="AD41" s="10" t="inlineStr">
        <is>
          <t>No USP-NF monograph - in-house / supplier spec</t>
        </is>
      </c>
      <c r="AE41" s="10" t="n">
        <v>11.75</v>
      </c>
      <c r="AF41" s="10" t="inlineStr">
        <is>
          <t>Related substance- Assay-</t>
        </is>
      </c>
    </row>
    <row r="42">
      <c r="A42" s="10" t="inlineStr">
        <is>
          <t>Bempedoic Acid</t>
        </is>
      </c>
      <c r="B42" s="10" t="inlineStr">
        <is>
          <t>RM</t>
        </is>
      </c>
      <c r="C42" s="10" t="inlineStr">
        <is>
          <t>Active</t>
        </is>
      </c>
      <c r="D42" s="10" t="inlineStr">
        <is>
          <t>Other compendial tests (ID, LOD/KF, heavy metals...)</t>
        </is>
      </c>
      <c r="E42" s="10">
        <f>IF(A42="","",A42&amp;"|"&amp;D42)</f>
        <v/>
      </c>
      <c r="F42" s="5" t="inlineStr">
        <is>
          <t>Y</t>
        </is>
      </c>
      <c r="G42" s="5" t="inlineStr">
        <is>
          <t>Other / bench</t>
        </is>
      </c>
      <c r="H42" s="5" t="inlineStr">
        <is>
          <t>Low</t>
        </is>
      </c>
      <c r="I42" s="5" t="n">
        <v>1</v>
      </c>
      <c r="J42" s="5" t="n"/>
      <c r="K42" s="5" t="n"/>
      <c r="L42" s="5" t="n"/>
      <c r="M42" s="5" t="n"/>
      <c r="N42" s="5" t="n"/>
      <c r="O42" s="5" t="n"/>
      <c r="P42" s="14">
        <f>IF(N42="","",IF(OR(M42="",O42=""),N42,(M42+4*N42+O42)/6))</f>
        <v/>
      </c>
      <c r="Q42" s="5" t="n"/>
      <c r="R42" s="5" t="n"/>
      <c r="S42" s="5" t="n"/>
      <c r="T42" s="5" t="n"/>
      <c r="U42" s="5" t="n"/>
      <c r="V42" s="15" t="n"/>
      <c r="W42" s="5" t="inlineStr">
        <is>
          <t>N</t>
        </is>
      </c>
      <c r="X42" s="5" t="n"/>
      <c r="Y42" s="5" t="n"/>
      <c r="Z42" s="5" t="n"/>
      <c r="AA42" s="5" t="n"/>
      <c r="AB42" s="10" t="n"/>
      <c r="AC42" s="10" t="n"/>
      <c r="AD42" s="10" t="inlineStr">
        <is>
          <t>No USP-NF monograph - in-house / supplier spec</t>
        </is>
      </c>
      <c r="AE42" s="10" t="n">
        <v>1.93</v>
      </c>
      <c r="AF42" s="10" t="inlineStr">
        <is>
          <t>Appearance- Solubility- ROI-Water determination-</t>
        </is>
      </c>
    </row>
    <row r="43">
      <c r="A43" s="10" t="inlineStr">
        <is>
          <t>Beta-Carotene</t>
        </is>
      </c>
      <c r="B43" s="10" t="inlineStr">
        <is>
          <t>RM</t>
        </is>
      </c>
      <c r="C43" s="10" t="inlineStr">
        <is>
          <t>Active</t>
        </is>
      </c>
      <c r="D43" s="10" t="inlineStr">
        <is>
          <t>Appearance / description and solubility</t>
        </is>
      </c>
      <c r="E43" s="10">
        <f>IF(A43="","",A43&amp;"|"&amp;D43)</f>
        <v/>
      </c>
      <c r="F43" s="5" t="inlineStr">
        <is>
          <t>Y</t>
        </is>
      </c>
      <c r="G43" s="5" t="inlineStr">
        <is>
          <t>Other / bench</t>
        </is>
      </c>
      <c r="H43" s="5" t="inlineStr">
        <is>
          <t>Low</t>
        </is>
      </c>
      <c r="I43" s="5" t="n">
        <v>1</v>
      </c>
      <c r="J43" s="5" t="n"/>
      <c r="K43" s="10">
        <f>IFERROR(IF(INDEX('Test catalog'!$F$2:$F$200,MATCH($AB43,'Test catalog'!$A$2:$A$200,0))="","",INDEX('Test catalog'!$F$2:$F$200,MATCH($AB43,'Test catalog'!$A$2:$A$200,0))),"")</f>
        <v/>
      </c>
      <c r="L43" s="10">
        <f>IFERROR(IF(INDEX('Test catalog'!$G$2:$G$200,MATCH($AB43,'Test catalog'!$A$2:$A$200,0))="","",INDEX('Test catalog'!$G$2:$G$200,MATCH($AB43,'Test catalog'!$A$2:$A$200,0))),"")</f>
        <v/>
      </c>
      <c r="M43" s="10">
        <f>IFERROR(IF(INDEX('Test catalog'!$H$2:$H$200,MATCH($AB43,'Test catalog'!$A$2:$A$200,0))="","",INDEX('Test catalog'!$H$2:$H$200,MATCH($AB43,'Test catalog'!$A$2:$A$200,0))),"")</f>
        <v/>
      </c>
      <c r="N43" s="10">
        <f>IFERROR(IF(INDEX('Test catalog'!$I$2:$I$200,MATCH($AB43,'Test catalog'!$A$2:$A$200,0))="","",INDEX('Test catalog'!$I$2:$I$200,MATCH($AB43,'Test catalog'!$A$2:$A$200,0))),"")</f>
        <v/>
      </c>
      <c r="O43" s="10">
        <f>IFERROR(IF(INDEX('Test catalog'!$J$2:$J$200,MATCH($AB43,'Test catalog'!$A$2:$A$200,0))="","",INDEX('Test catalog'!$J$2:$J$200,MATCH($AB43,'Test catalog'!$A$2:$A$200,0))),"")</f>
        <v/>
      </c>
      <c r="P43" s="14">
        <f>IF(N43="","",IF(OR(M43="",O43=""),N43,(M43+4*N43+O43)/6))</f>
        <v/>
      </c>
      <c r="Q43" s="10">
        <f>IFERROR(IF(INDEX('Test catalog'!$K$2:$K$200,MATCH($AB43,'Test catalog'!$A$2:$A$200,0))="","",INDEX('Test catalog'!$K$2:$K$200,MATCH($AB43,'Test catalog'!$A$2:$A$200,0))),"")</f>
        <v/>
      </c>
      <c r="R43" s="5" t="n"/>
      <c r="S43" s="10">
        <f>IFERROR(IF(INDEX('Test catalog'!$L$2:$L$200,MATCH($AB43,'Test catalog'!$A$2:$A$200,0))="","",INDEX('Test catalog'!$L$2:$L$200,MATCH($AB43,'Test catalog'!$A$2:$A$200,0))),"")</f>
        <v/>
      </c>
      <c r="T43" s="10">
        <f>IFERROR(IF(INDEX('Test catalog'!$M$2:$M$200,MATCH($AB43,'Test catalog'!$A$2:$A$200,0))="","",INDEX('Test catalog'!$M$2:$M$200,MATCH($AB43,'Test catalog'!$A$2:$A$200,0))),"")</f>
        <v/>
      </c>
      <c r="U43" s="10">
        <f>IFERROR(IF(INDEX('Test catalog'!$N$2:$N$200,MATCH($AB43,'Test catalog'!$A$2:$A$200,0))="","",INDEX('Test catalog'!$N$2:$N$200,MATCH($AB43,'Test catalog'!$A$2:$A$200,0))),"")</f>
        <v/>
      </c>
      <c r="V43" s="15" t="n"/>
      <c r="W43" s="5" t="inlineStr">
        <is>
          <t>N</t>
        </is>
      </c>
      <c r="X43" s="5" t="n"/>
      <c r="Y43" s="5" t="n"/>
      <c r="Z43" s="5" t="n"/>
      <c r="AA43" s="10">
        <f>IFERROR(IF(INDEX('Test catalog'!$O$2:$O$200,MATCH($AB43,'Test catalog'!$A$2:$A$200,0))="","",INDEX('Test catalog'!$O$2:$O$200,MATCH($AB43,'Test catalog'!$A$2:$A$200,0))),"")</f>
        <v/>
      </c>
      <c r="AB43" s="10" t="inlineStr">
        <is>
          <t>APPEAR</t>
        </is>
      </c>
      <c r="AC43" s="10" t="inlineStr">
        <is>
          <t>Lab practice (not a USP test)</t>
        </is>
      </c>
      <c r="AD43" s="10" t="n"/>
      <c r="AE43" s="10" t="n"/>
    </row>
    <row r="44">
      <c r="A44" s="10" t="inlineStr">
        <is>
          <t>Beta-Carotene</t>
        </is>
      </c>
      <c r="B44" s="10" t="inlineStr">
        <is>
          <t>RM</t>
        </is>
      </c>
      <c r="C44" s="10" t="inlineStr">
        <is>
          <t>Active</t>
        </is>
      </c>
      <c r="D44" s="10" t="inlineStr">
        <is>
          <t>ID A - UV spectrum</t>
        </is>
      </c>
      <c r="E44" s="10">
        <f>IF(A44="","",A44&amp;"|"&amp;D44)</f>
        <v/>
      </c>
      <c r="F44" s="5" t="inlineStr">
        <is>
          <t>Y</t>
        </is>
      </c>
      <c r="G44" s="5" t="inlineStr">
        <is>
          <t>UV-Vis</t>
        </is>
      </c>
      <c r="H44" s="5" t="inlineStr">
        <is>
          <t>Low</t>
        </is>
      </c>
      <c r="I44" s="5" t="n">
        <v>1</v>
      </c>
      <c r="J44" s="5" t="n"/>
      <c r="K44" s="10">
        <f>IFERROR(IF(INDEX('Test catalog'!$F$2:$F$200,MATCH($AB44,'Test catalog'!$A$2:$A$200,0))="","",INDEX('Test catalog'!$F$2:$F$200,MATCH($AB44,'Test catalog'!$A$2:$A$200,0))),"")</f>
        <v/>
      </c>
      <c r="L44" s="10">
        <f>IFERROR(IF(INDEX('Test catalog'!$G$2:$G$200,MATCH($AB44,'Test catalog'!$A$2:$A$200,0))="","",INDEX('Test catalog'!$G$2:$G$200,MATCH($AB44,'Test catalog'!$A$2:$A$200,0))),"")</f>
        <v/>
      </c>
      <c r="M44" s="10">
        <f>IFERROR(IF(INDEX('Test catalog'!$H$2:$H$200,MATCH($AB44,'Test catalog'!$A$2:$A$200,0))="","",INDEX('Test catalog'!$H$2:$H$200,MATCH($AB44,'Test catalog'!$A$2:$A$200,0))),"")</f>
        <v/>
      </c>
      <c r="N44" s="10">
        <f>IFERROR(IF(INDEX('Test catalog'!$I$2:$I$200,MATCH($AB44,'Test catalog'!$A$2:$A$200,0))="","",INDEX('Test catalog'!$I$2:$I$200,MATCH($AB44,'Test catalog'!$A$2:$A$200,0))),"")</f>
        <v/>
      </c>
      <c r="O44" s="10">
        <f>IFERROR(IF(INDEX('Test catalog'!$J$2:$J$200,MATCH($AB44,'Test catalog'!$A$2:$A$200,0))="","",INDEX('Test catalog'!$J$2:$J$200,MATCH($AB44,'Test catalog'!$A$2:$A$200,0))),"")</f>
        <v/>
      </c>
      <c r="P44" s="14">
        <f>IF(N44="","",IF(OR(M44="",O44=""),N44,(M44+4*N44+O44)/6))</f>
        <v/>
      </c>
      <c r="Q44" s="10">
        <f>IFERROR(IF(INDEX('Test catalog'!$K$2:$K$200,MATCH($AB44,'Test catalog'!$A$2:$A$200,0))="","",INDEX('Test catalog'!$K$2:$K$200,MATCH($AB44,'Test catalog'!$A$2:$A$200,0))),"")</f>
        <v/>
      </c>
      <c r="R44" s="5" t="n"/>
      <c r="S44" s="10">
        <f>IFERROR(IF(INDEX('Test catalog'!$L$2:$L$200,MATCH($AB44,'Test catalog'!$A$2:$A$200,0))="","",INDEX('Test catalog'!$L$2:$L$200,MATCH($AB44,'Test catalog'!$A$2:$A$200,0))),"")</f>
        <v/>
      </c>
      <c r="T44" s="10">
        <f>IFERROR(IF(INDEX('Test catalog'!$M$2:$M$200,MATCH($AB44,'Test catalog'!$A$2:$A$200,0))="","",INDEX('Test catalog'!$M$2:$M$200,MATCH($AB44,'Test catalog'!$A$2:$A$200,0))),"")</f>
        <v/>
      </c>
      <c r="U44" s="10">
        <f>IFERROR(IF(INDEX('Test catalog'!$N$2:$N$200,MATCH($AB44,'Test catalog'!$A$2:$A$200,0))="","",INDEX('Test catalog'!$N$2:$N$200,MATCH($AB44,'Test catalog'!$A$2:$A$200,0))),"")</f>
        <v/>
      </c>
      <c r="V44" s="15" t="n"/>
      <c r="W44" s="5" t="inlineStr">
        <is>
          <t>N</t>
        </is>
      </c>
      <c r="X44" s="5" t="n"/>
      <c r="Y44" s="5" t="n"/>
      <c r="Z44" s="5" t="n"/>
      <c r="AA44" s="10">
        <f>IFERROR(IF(INDEX('Test catalog'!$O$2:$O$200,MATCH($AB44,'Test catalog'!$A$2:$A$200,0))="","",INDEX('Test catalog'!$O$2:$O$200,MATCH($AB44,'Test catalog'!$A$2:$A$200,0))),"")</f>
        <v/>
      </c>
      <c r="AB44" s="10" t="inlineStr">
        <is>
          <t>ID_UV</t>
        </is>
      </c>
      <c r="AC44" s="10" t="inlineStr">
        <is>
          <t>Beta Carotene · Identification</t>
        </is>
      </c>
      <c r="AD44" s="10" t="n"/>
      <c r="AE44" s="10" t="n"/>
    </row>
    <row r="45">
      <c r="A45" s="10" t="inlineStr">
        <is>
          <t>Beta-Carotene</t>
        </is>
      </c>
      <c r="B45" s="10" t="inlineStr">
        <is>
          <t>RM</t>
        </is>
      </c>
      <c r="C45" s="10" t="inlineStr">
        <is>
          <t>Active</t>
        </is>
      </c>
      <c r="D45" s="10" t="inlineStr">
        <is>
          <t>Content of Total Carotenoids</t>
        </is>
      </c>
      <c r="E45" s="10">
        <f>IF(A45="","",A45&amp;"|"&amp;D45)</f>
        <v/>
      </c>
      <c r="F45" s="5" t="inlineStr">
        <is>
          <t>Y</t>
        </is>
      </c>
      <c r="G45" s="5" t="inlineStr">
        <is>
          <t>UV-Vis</t>
        </is>
      </c>
      <c r="H45" s="5" t="inlineStr">
        <is>
          <t>Low</t>
        </is>
      </c>
      <c r="I45" s="5" t="n">
        <v>1</v>
      </c>
      <c r="J45" s="5" t="n"/>
      <c r="K45" s="10">
        <f>IFERROR(IF(INDEX('Test catalog'!$F$2:$F$200,MATCH($AB45,'Test catalog'!$A$2:$A$200,0))="","",INDEX('Test catalog'!$F$2:$F$200,MATCH($AB45,'Test catalog'!$A$2:$A$200,0))),"")</f>
        <v/>
      </c>
      <c r="L45" s="10">
        <f>IFERROR(IF(INDEX('Test catalog'!$G$2:$G$200,MATCH($AB45,'Test catalog'!$A$2:$A$200,0))="","",INDEX('Test catalog'!$G$2:$G$200,MATCH($AB45,'Test catalog'!$A$2:$A$200,0))),"")</f>
        <v/>
      </c>
      <c r="M45" s="10">
        <f>IFERROR(IF(INDEX('Test catalog'!$H$2:$H$200,MATCH($AB45,'Test catalog'!$A$2:$A$200,0))="","",INDEX('Test catalog'!$H$2:$H$200,MATCH($AB45,'Test catalog'!$A$2:$A$200,0))),"")</f>
        <v/>
      </c>
      <c r="N45" s="10">
        <f>IFERROR(IF(INDEX('Test catalog'!$I$2:$I$200,MATCH($AB45,'Test catalog'!$A$2:$A$200,0))="","",INDEX('Test catalog'!$I$2:$I$200,MATCH($AB45,'Test catalog'!$A$2:$A$200,0))),"")</f>
        <v/>
      </c>
      <c r="O45" s="10">
        <f>IFERROR(IF(INDEX('Test catalog'!$J$2:$J$200,MATCH($AB45,'Test catalog'!$A$2:$A$200,0))="","",INDEX('Test catalog'!$J$2:$J$200,MATCH($AB45,'Test catalog'!$A$2:$A$200,0))),"")</f>
        <v/>
      </c>
      <c r="P45" s="14">
        <f>IF(N45="","",IF(OR(M45="",O45=""),N45,(M45+4*N45+O45)/6))</f>
        <v/>
      </c>
      <c r="Q45" s="10">
        <f>IFERROR(IF(INDEX('Test catalog'!$K$2:$K$200,MATCH($AB45,'Test catalog'!$A$2:$A$200,0))="","",INDEX('Test catalog'!$K$2:$K$200,MATCH($AB45,'Test catalog'!$A$2:$A$200,0))),"")</f>
        <v/>
      </c>
      <c r="R45" s="5" t="n"/>
      <c r="S45" s="10">
        <f>IFERROR(IF(INDEX('Test catalog'!$L$2:$L$200,MATCH($AB45,'Test catalog'!$A$2:$A$200,0))="","",INDEX('Test catalog'!$L$2:$L$200,MATCH($AB45,'Test catalog'!$A$2:$A$200,0))),"")</f>
        <v/>
      </c>
      <c r="T45" s="10">
        <f>IFERROR(IF(INDEX('Test catalog'!$M$2:$M$200,MATCH($AB45,'Test catalog'!$A$2:$A$200,0))="","",INDEX('Test catalog'!$M$2:$M$200,MATCH($AB45,'Test catalog'!$A$2:$A$200,0))),"")</f>
        <v/>
      </c>
      <c r="U45" s="10">
        <f>IFERROR(IF(INDEX('Test catalog'!$N$2:$N$200,MATCH($AB45,'Test catalog'!$A$2:$A$200,0))="","",INDEX('Test catalog'!$N$2:$N$200,MATCH($AB45,'Test catalog'!$A$2:$A$200,0))),"")</f>
        <v/>
      </c>
      <c r="V45" s="15" t="n"/>
      <c r="W45" s="5" t="inlineStr">
        <is>
          <t>N</t>
        </is>
      </c>
      <c r="X45" s="5" t="n"/>
      <c r="Y45" s="5" t="n"/>
      <c r="Z45" s="5" t="n"/>
      <c r="AA45" s="10">
        <f>IFERROR(IF(INDEX('Test catalog'!$O$2:$O$200,MATCH($AB45,'Test catalog'!$A$2:$A$200,0))="","",INDEX('Test catalog'!$O$2:$O$200,MATCH($AB45,'Test catalog'!$A$2:$A$200,0))),"")</f>
        <v/>
      </c>
      <c r="AB45" s="10" t="inlineStr">
        <is>
          <t>UV</t>
        </is>
      </c>
      <c r="AC45" s="10" t="inlineStr">
        <is>
          <t>Beta Carotene · Composition &lt;857&gt;</t>
        </is>
      </c>
      <c r="AD45" s="10" t="n"/>
      <c r="AE45" s="10" t="n"/>
    </row>
    <row r="46">
      <c r="A46" s="10" t="inlineStr">
        <is>
          <t>Beta-Carotene</t>
        </is>
      </c>
      <c r="B46" s="10" t="inlineStr">
        <is>
          <t>RM</t>
        </is>
      </c>
      <c r="C46" s="10" t="inlineStr">
        <is>
          <t>Active</t>
        </is>
      </c>
      <c r="D46" s="10" t="inlineStr">
        <is>
          <t>Content of Beta Carotene (HPLC)</t>
        </is>
      </c>
      <c r="E46" s="10">
        <f>IF(A46="","",A46&amp;"|"&amp;D46)</f>
        <v/>
      </c>
      <c r="F46" s="5" t="inlineStr">
        <is>
          <t>Y</t>
        </is>
      </c>
      <c r="G46" s="5" t="inlineStr">
        <is>
          <t>HPLC</t>
        </is>
      </c>
      <c r="H46" s="5" t="inlineStr">
        <is>
          <t>Medium</t>
        </is>
      </c>
      <c r="I46" s="5" t="n">
        <v>1</v>
      </c>
      <c r="J46" s="5" t="n"/>
      <c r="K46" s="5" t="n"/>
      <c r="L46" s="5" t="n"/>
      <c r="M46" s="5" t="n"/>
      <c r="N46" s="5" t="n"/>
      <c r="O46" s="5" t="n"/>
      <c r="P46" s="14">
        <f>IF(N46="","",IF(OR(M46="",O46=""),N46,(M46+4*N46+O46)/6))</f>
        <v/>
      </c>
      <c r="Q46" s="5" t="n"/>
      <c r="R46" s="5" t="n"/>
      <c r="S46" s="5" t="n"/>
      <c r="T46" s="5" t="n"/>
      <c r="U46" s="5" t="n"/>
      <c r="V46" s="15" t="n"/>
      <c r="W46" s="5" t="inlineStr">
        <is>
          <t>N</t>
        </is>
      </c>
      <c r="X46" s="5" t="n"/>
      <c r="Y46" s="5" t="n"/>
      <c r="Z46" s="5" t="n"/>
      <c r="AA46" s="5" t="n"/>
      <c r="AB46" s="10" t="n"/>
      <c r="AC46" s="10" t="inlineStr">
        <is>
          <t>Beta Carotene · Composition</t>
        </is>
      </c>
      <c r="AD46" s="10" t="n"/>
      <c r="AE46" s="10" t="n"/>
    </row>
    <row r="47">
      <c r="A47" s="10" t="inlineStr">
        <is>
          <t>Beta-Carotene</t>
        </is>
      </c>
      <c r="B47" s="10" t="inlineStr">
        <is>
          <t>RM</t>
        </is>
      </c>
      <c r="C47" s="10" t="inlineStr">
        <is>
          <t>Active</t>
        </is>
      </c>
      <c r="D47" s="10" t="inlineStr">
        <is>
          <t>Alpha Carotene and Other Related Compounds (HPLC)</t>
        </is>
      </c>
      <c r="E47" s="10">
        <f>IF(A47="","",A47&amp;"|"&amp;D47)</f>
        <v/>
      </c>
      <c r="F47" s="5" t="inlineStr">
        <is>
          <t>Y</t>
        </is>
      </c>
      <c r="G47" s="5" t="inlineStr">
        <is>
          <t>HPLC</t>
        </is>
      </c>
      <c r="H47" s="5" t="inlineStr">
        <is>
          <t>Medium</t>
        </is>
      </c>
      <c r="I47" s="5" t="n">
        <v>1</v>
      </c>
      <c r="J47" s="5" t="n"/>
      <c r="K47" s="5" t="n"/>
      <c r="L47" s="5" t="n"/>
      <c r="M47" s="5" t="n"/>
      <c r="N47" s="5" t="n"/>
      <c r="O47" s="5" t="n"/>
      <c r="P47" s="14">
        <f>IF(N47="","",IF(OR(M47="",O47=""),N47,(M47+4*N47+O47)/6))</f>
        <v/>
      </c>
      <c r="Q47" s="5" t="n"/>
      <c r="R47" s="5" t="n"/>
      <c r="S47" s="5" t="n"/>
      <c r="T47" s="5" t="n"/>
      <c r="U47" s="5" t="n"/>
      <c r="V47" s="15" t="n"/>
      <c r="W47" s="5" t="inlineStr">
        <is>
          <t>N</t>
        </is>
      </c>
      <c r="X47" s="5" t="n"/>
      <c r="Y47" s="5" t="n"/>
      <c r="Z47" s="5" t="n"/>
      <c r="AA47" s="5" t="n"/>
      <c r="AB47" s="10" t="n"/>
      <c r="AC47" s="10" t="inlineStr">
        <is>
          <t>Beta Carotene · Composition</t>
        </is>
      </c>
      <c r="AD47" s="10" t="n"/>
      <c r="AE47" s="10" t="n"/>
    </row>
    <row r="48">
      <c r="A48" s="10" t="inlineStr">
        <is>
          <t>Beta-Carotene</t>
        </is>
      </c>
      <c r="B48" s="10" t="inlineStr">
        <is>
          <t>RM</t>
        </is>
      </c>
      <c r="C48" s="10" t="inlineStr">
        <is>
          <t>Active</t>
        </is>
      </c>
      <c r="D48" s="10" t="inlineStr">
        <is>
          <t>Residue on Ignition</t>
        </is>
      </c>
      <c r="E48" s="10">
        <f>IF(A48="","",A48&amp;"|"&amp;D48)</f>
        <v/>
      </c>
      <c r="F48" s="5" t="inlineStr">
        <is>
          <t>Y</t>
        </is>
      </c>
      <c r="G48" s="5" t="inlineStr">
        <is>
          <t>Other / bench</t>
        </is>
      </c>
      <c r="H48" s="5" t="inlineStr">
        <is>
          <t>Low</t>
        </is>
      </c>
      <c r="I48" s="5" t="n">
        <v>1</v>
      </c>
      <c r="J48" s="5" t="n"/>
      <c r="K48" s="10">
        <f>IFERROR(IF(INDEX('Test catalog'!$F$2:$F$200,MATCH($AB48,'Test catalog'!$A$2:$A$200,0))="","",INDEX('Test catalog'!$F$2:$F$200,MATCH($AB48,'Test catalog'!$A$2:$A$200,0))),"")</f>
        <v/>
      </c>
      <c r="L48" s="10">
        <f>IFERROR(IF(INDEX('Test catalog'!$G$2:$G$200,MATCH($AB48,'Test catalog'!$A$2:$A$200,0))="","",INDEX('Test catalog'!$G$2:$G$200,MATCH($AB48,'Test catalog'!$A$2:$A$200,0))),"")</f>
        <v/>
      </c>
      <c r="M48" s="10">
        <f>IFERROR(IF(INDEX('Test catalog'!$H$2:$H$200,MATCH($AB48,'Test catalog'!$A$2:$A$200,0))="","",INDEX('Test catalog'!$H$2:$H$200,MATCH($AB48,'Test catalog'!$A$2:$A$200,0))),"")</f>
        <v/>
      </c>
      <c r="N48" s="10">
        <f>IFERROR(IF(INDEX('Test catalog'!$I$2:$I$200,MATCH($AB48,'Test catalog'!$A$2:$A$200,0))="","",INDEX('Test catalog'!$I$2:$I$200,MATCH($AB48,'Test catalog'!$A$2:$A$200,0))),"")</f>
        <v/>
      </c>
      <c r="O48" s="10">
        <f>IFERROR(IF(INDEX('Test catalog'!$J$2:$J$200,MATCH($AB48,'Test catalog'!$A$2:$A$200,0))="","",INDEX('Test catalog'!$J$2:$J$200,MATCH($AB48,'Test catalog'!$A$2:$A$200,0))),"")</f>
        <v/>
      </c>
      <c r="P48" s="14">
        <f>IF(N48="","",IF(OR(M48="",O48=""),N48,(M48+4*N48+O48)/6))</f>
        <v/>
      </c>
      <c r="Q48" s="10">
        <f>IFERROR(IF(INDEX('Test catalog'!$K$2:$K$200,MATCH($AB48,'Test catalog'!$A$2:$A$200,0))="","",INDEX('Test catalog'!$K$2:$K$200,MATCH($AB48,'Test catalog'!$A$2:$A$200,0))),"")</f>
        <v/>
      </c>
      <c r="R48" s="5" t="n"/>
      <c r="S48" s="10">
        <f>IFERROR(IF(INDEX('Test catalog'!$L$2:$L$200,MATCH($AB48,'Test catalog'!$A$2:$A$200,0))="","",INDEX('Test catalog'!$L$2:$L$200,MATCH($AB48,'Test catalog'!$A$2:$A$200,0))),"")</f>
        <v/>
      </c>
      <c r="T48" s="10">
        <f>IFERROR(IF(INDEX('Test catalog'!$M$2:$M$200,MATCH($AB48,'Test catalog'!$A$2:$A$200,0))="","",INDEX('Test catalog'!$M$2:$M$200,MATCH($AB48,'Test catalog'!$A$2:$A$200,0))),"")</f>
        <v/>
      </c>
      <c r="U48" s="10">
        <f>IFERROR(IF(INDEX('Test catalog'!$N$2:$N$200,MATCH($AB48,'Test catalog'!$A$2:$A$200,0))="","",INDEX('Test catalog'!$N$2:$N$200,MATCH($AB48,'Test catalog'!$A$2:$A$200,0))),"")</f>
        <v/>
      </c>
      <c r="V48" s="15" t="n"/>
      <c r="W48" s="5" t="inlineStr">
        <is>
          <t>N</t>
        </is>
      </c>
      <c r="X48" s="5" t="n"/>
      <c r="Y48" s="5" t="n"/>
      <c r="Z48" s="5" t="n"/>
      <c r="AA48" s="10">
        <f>IFERROR(IF(INDEX('Test catalog'!$O$2:$O$200,MATCH($AB48,'Test catalog'!$A$2:$A$200,0))="","",INDEX('Test catalog'!$O$2:$O$200,MATCH($AB48,'Test catalog'!$A$2:$A$200,0))),"")</f>
        <v/>
      </c>
      <c r="AB48" s="10" t="inlineStr">
        <is>
          <t>ROI</t>
        </is>
      </c>
      <c r="AC48" s="10" t="inlineStr">
        <is>
          <t>Beta Carotene · Impurities &lt;281&gt;</t>
        </is>
      </c>
      <c r="AD48" s="10" t="n"/>
      <c r="AE48" s="10" t="n"/>
    </row>
    <row r="49">
      <c r="A49" s="10" t="inlineStr">
        <is>
          <t>Beta-Carotene</t>
        </is>
      </c>
      <c r="B49" s="10" t="inlineStr">
        <is>
          <t>RM</t>
        </is>
      </c>
      <c r="C49" s="10" t="inlineStr">
        <is>
          <t>Active</t>
        </is>
      </c>
      <c r="D49" s="10" t="inlineStr">
        <is>
          <t>Loss on Drying</t>
        </is>
      </c>
      <c r="E49" s="10">
        <f>IF(A49="","",A49&amp;"|"&amp;D49)</f>
        <v/>
      </c>
      <c r="F49" s="5" t="inlineStr">
        <is>
          <t>Y</t>
        </is>
      </c>
      <c r="G49" s="5" t="inlineStr">
        <is>
          <t>Other / bench</t>
        </is>
      </c>
      <c r="H49" s="5" t="inlineStr">
        <is>
          <t>Low</t>
        </is>
      </c>
      <c r="I49" s="5" t="n">
        <v>1</v>
      </c>
      <c r="J49" s="5" t="n"/>
      <c r="K49" s="10">
        <f>IFERROR(IF(INDEX('Test catalog'!$F$2:$F$200,MATCH($AB49,'Test catalog'!$A$2:$A$200,0))="","",INDEX('Test catalog'!$F$2:$F$200,MATCH($AB49,'Test catalog'!$A$2:$A$200,0))),"")</f>
        <v/>
      </c>
      <c r="L49" s="10">
        <f>IFERROR(IF(INDEX('Test catalog'!$G$2:$G$200,MATCH($AB49,'Test catalog'!$A$2:$A$200,0))="","",INDEX('Test catalog'!$G$2:$G$200,MATCH($AB49,'Test catalog'!$A$2:$A$200,0))),"")</f>
        <v/>
      </c>
      <c r="M49" s="10">
        <f>IFERROR(IF(INDEX('Test catalog'!$H$2:$H$200,MATCH($AB49,'Test catalog'!$A$2:$A$200,0))="","",INDEX('Test catalog'!$H$2:$H$200,MATCH($AB49,'Test catalog'!$A$2:$A$200,0))),"")</f>
        <v/>
      </c>
      <c r="N49" s="10">
        <f>IFERROR(IF(INDEX('Test catalog'!$I$2:$I$200,MATCH($AB49,'Test catalog'!$A$2:$A$200,0))="","",INDEX('Test catalog'!$I$2:$I$200,MATCH($AB49,'Test catalog'!$A$2:$A$200,0))),"")</f>
        <v/>
      </c>
      <c r="O49" s="10">
        <f>IFERROR(IF(INDEX('Test catalog'!$J$2:$J$200,MATCH($AB49,'Test catalog'!$A$2:$A$200,0))="","",INDEX('Test catalog'!$J$2:$J$200,MATCH($AB49,'Test catalog'!$A$2:$A$200,0))),"")</f>
        <v/>
      </c>
      <c r="P49" s="14">
        <f>IF(N49="","",IF(OR(M49="",O49=""),N49,(M49+4*N49+O49)/6))</f>
        <v/>
      </c>
      <c r="Q49" s="10">
        <f>IFERROR(IF(INDEX('Test catalog'!$K$2:$K$200,MATCH($AB49,'Test catalog'!$A$2:$A$200,0))="","",INDEX('Test catalog'!$K$2:$K$200,MATCH($AB49,'Test catalog'!$A$2:$A$200,0))),"")</f>
        <v/>
      </c>
      <c r="R49" s="5" t="n"/>
      <c r="S49" s="10">
        <f>IFERROR(IF(INDEX('Test catalog'!$L$2:$L$200,MATCH($AB49,'Test catalog'!$A$2:$A$200,0))="","",INDEX('Test catalog'!$L$2:$L$200,MATCH($AB49,'Test catalog'!$A$2:$A$200,0))),"")</f>
        <v/>
      </c>
      <c r="T49" s="10">
        <f>IFERROR(IF(INDEX('Test catalog'!$M$2:$M$200,MATCH($AB49,'Test catalog'!$A$2:$A$200,0))="","",INDEX('Test catalog'!$M$2:$M$200,MATCH($AB49,'Test catalog'!$A$2:$A$200,0))),"")</f>
        <v/>
      </c>
      <c r="U49" s="10">
        <f>IFERROR(IF(INDEX('Test catalog'!$N$2:$N$200,MATCH($AB49,'Test catalog'!$A$2:$A$200,0))="","",INDEX('Test catalog'!$N$2:$N$200,MATCH($AB49,'Test catalog'!$A$2:$A$200,0))),"")</f>
        <v/>
      </c>
      <c r="V49" s="15" t="n"/>
      <c r="W49" s="5" t="inlineStr">
        <is>
          <t>N</t>
        </is>
      </c>
      <c r="X49" s="5" t="n"/>
      <c r="Y49" s="5" t="n"/>
      <c r="Z49" s="5" t="n"/>
      <c r="AA49" s="10">
        <f>IFERROR(IF(INDEX('Test catalog'!$O$2:$O$200,MATCH($AB49,'Test catalog'!$A$2:$A$200,0))="","",INDEX('Test catalog'!$O$2:$O$200,MATCH($AB49,'Test catalog'!$A$2:$A$200,0))),"")</f>
        <v/>
      </c>
      <c r="AB49" s="10" t="inlineStr">
        <is>
          <t>LOD</t>
        </is>
      </c>
      <c r="AC49" s="10" t="inlineStr">
        <is>
          <t>Beta Carotene · Specific Tests &lt;731&gt;</t>
        </is>
      </c>
      <c r="AD49" s="10" t="n"/>
      <c r="AE49" s="10" t="n"/>
    </row>
    <row r="50">
      <c r="A50" s="10" t="inlineStr">
        <is>
          <t>Biotin (Vitamin B7)</t>
        </is>
      </c>
      <c r="B50" s="10" t="inlineStr">
        <is>
          <t>RM</t>
        </is>
      </c>
      <c r="C50" s="10" t="inlineStr">
        <is>
          <t>Active</t>
        </is>
      </c>
      <c r="D50" s="10" t="inlineStr">
        <is>
          <t>Appearance / description and solubility</t>
        </is>
      </c>
      <c r="E50" s="10">
        <f>IF(A50="","",A50&amp;"|"&amp;D50)</f>
        <v/>
      </c>
      <c r="F50" s="5" t="inlineStr">
        <is>
          <t>Y</t>
        </is>
      </c>
      <c r="G50" s="5" t="inlineStr">
        <is>
          <t>Other / bench</t>
        </is>
      </c>
      <c r="H50" s="5" t="inlineStr">
        <is>
          <t>Low</t>
        </is>
      </c>
      <c r="I50" s="5" t="n">
        <v>1</v>
      </c>
      <c r="J50" s="5" t="n"/>
      <c r="K50" s="10">
        <f>IFERROR(IF(INDEX('Test catalog'!$F$2:$F$200,MATCH($AB50,'Test catalog'!$A$2:$A$200,0))="","",INDEX('Test catalog'!$F$2:$F$200,MATCH($AB50,'Test catalog'!$A$2:$A$200,0))),"")</f>
        <v/>
      </c>
      <c r="L50" s="10">
        <f>IFERROR(IF(INDEX('Test catalog'!$G$2:$G$200,MATCH($AB50,'Test catalog'!$A$2:$A$200,0))="","",INDEX('Test catalog'!$G$2:$G$200,MATCH($AB50,'Test catalog'!$A$2:$A$200,0))),"")</f>
        <v/>
      </c>
      <c r="M50" s="10">
        <f>IFERROR(IF(INDEX('Test catalog'!$H$2:$H$200,MATCH($AB50,'Test catalog'!$A$2:$A$200,0))="","",INDEX('Test catalog'!$H$2:$H$200,MATCH($AB50,'Test catalog'!$A$2:$A$200,0))),"")</f>
        <v/>
      </c>
      <c r="N50" s="10">
        <f>IFERROR(IF(INDEX('Test catalog'!$I$2:$I$200,MATCH($AB50,'Test catalog'!$A$2:$A$200,0))="","",INDEX('Test catalog'!$I$2:$I$200,MATCH($AB50,'Test catalog'!$A$2:$A$200,0))),"")</f>
        <v/>
      </c>
      <c r="O50" s="10">
        <f>IFERROR(IF(INDEX('Test catalog'!$J$2:$J$200,MATCH($AB50,'Test catalog'!$A$2:$A$200,0))="","",INDEX('Test catalog'!$J$2:$J$200,MATCH($AB50,'Test catalog'!$A$2:$A$200,0))),"")</f>
        <v/>
      </c>
      <c r="P50" s="14">
        <f>IF(N50="","",IF(OR(M50="",O50=""),N50,(M50+4*N50+O50)/6))</f>
        <v/>
      </c>
      <c r="Q50" s="10">
        <f>IFERROR(IF(INDEX('Test catalog'!$K$2:$K$200,MATCH($AB50,'Test catalog'!$A$2:$A$200,0))="","",INDEX('Test catalog'!$K$2:$K$200,MATCH($AB50,'Test catalog'!$A$2:$A$200,0))),"")</f>
        <v/>
      </c>
      <c r="R50" s="5" t="n"/>
      <c r="S50" s="10">
        <f>IFERROR(IF(INDEX('Test catalog'!$L$2:$L$200,MATCH($AB50,'Test catalog'!$A$2:$A$200,0))="","",INDEX('Test catalog'!$L$2:$L$200,MATCH($AB50,'Test catalog'!$A$2:$A$200,0))),"")</f>
        <v/>
      </c>
      <c r="T50" s="10">
        <f>IFERROR(IF(INDEX('Test catalog'!$M$2:$M$200,MATCH($AB50,'Test catalog'!$A$2:$A$200,0))="","",INDEX('Test catalog'!$M$2:$M$200,MATCH($AB50,'Test catalog'!$A$2:$A$200,0))),"")</f>
        <v/>
      </c>
      <c r="U50" s="10">
        <f>IFERROR(IF(INDEX('Test catalog'!$N$2:$N$200,MATCH($AB50,'Test catalog'!$A$2:$A$200,0))="","",INDEX('Test catalog'!$N$2:$N$200,MATCH($AB50,'Test catalog'!$A$2:$A$200,0))),"")</f>
        <v/>
      </c>
      <c r="V50" s="15" t="n"/>
      <c r="W50" s="5" t="inlineStr">
        <is>
          <t>N</t>
        </is>
      </c>
      <c r="X50" s="5" t="n"/>
      <c r="Y50" s="5" t="n"/>
      <c r="Z50" s="5" t="n"/>
      <c r="AA50" s="10">
        <f>IFERROR(IF(INDEX('Test catalog'!$O$2:$O$200,MATCH($AB50,'Test catalog'!$A$2:$A$200,0))="","",INDEX('Test catalog'!$O$2:$O$200,MATCH($AB50,'Test catalog'!$A$2:$A$200,0))),"")</f>
        <v/>
      </c>
      <c r="AB50" s="10" t="inlineStr">
        <is>
          <t>APPEAR</t>
        </is>
      </c>
      <c r="AC50" s="10" t="inlineStr">
        <is>
          <t>Lab practice (not a USP test)</t>
        </is>
      </c>
      <c r="AD50" s="10" t="n"/>
      <c r="AE50" s="10" t="n"/>
    </row>
    <row r="51">
      <c r="A51" s="10" t="inlineStr">
        <is>
          <t>Biotin (Vitamin B7)</t>
        </is>
      </c>
      <c r="B51" s="10" t="inlineStr">
        <is>
          <t>RM</t>
        </is>
      </c>
      <c r="C51" s="10" t="inlineStr">
        <is>
          <t>Active</t>
        </is>
      </c>
      <c r="D51" s="10" t="inlineStr">
        <is>
          <t>ID A - IR spectrum</t>
        </is>
      </c>
      <c r="E51" s="10">
        <f>IF(A51="","",A51&amp;"|"&amp;D51)</f>
        <v/>
      </c>
      <c r="F51" s="5" t="inlineStr">
        <is>
          <t>Y</t>
        </is>
      </c>
      <c r="G51" s="5" t="inlineStr">
        <is>
          <t>Other / bench</t>
        </is>
      </c>
      <c r="H51" s="5" t="inlineStr">
        <is>
          <t>Low</t>
        </is>
      </c>
      <c r="I51" s="5" t="n">
        <v>1</v>
      </c>
      <c r="J51" s="5" t="n"/>
      <c r="K51" s="10">
        <f>IFERROR(IF(INDEX('Test catalog'!$F$2:$F$200,MATCH($AB51,'Test catalog'!$A$2:$A$200,0))="","",INDEX('Test catalog'!$F$2:$F$200,MATCH($AB51,'Test catalog'!$A$2:$A$200,0))),"")</f>
        <v/>
      </c>
      <c r="L51" s="10">
        <f>IFERROR(IF(INDEX('Test catalog'!$G$2:$G$200,MATCH($AB51,'Test catalog'!$A$2:$A$200,0))="","",INDEX('Test catalog'!$G$2:$G$200,MATCH($AB51,'Test catalog'!$A$2:$A$200,0))),"")</f>
        <v/>
      </c>
      <c r="M51" s="10">
        <f>IFERROR(IF(INDEX('Test catalog'!$H$2:$H$200,MATCH($AB51,'Test catalog'!$A$2:$A$200,0))="","",INDEX('Test catalog'!$H$2:$H$200,MATCH($AB51,'Test catalog'!$A$2:$A$200,0))),"")</f>
        <v/>
      </c>
      <c r="N51" s="10">
        <f>IFERROR(IF(INDEX('Test catalog'!$I$2:$I$200,MATCH($AB51,'Test catalog'!$A$2:$A$200,0))="","",INDEX('Test catalog'!$I$2:$I$200,MATCH($AB51,'Test catalog'!$A$2:$A$200,0))),"")</f>
        <v/>
      </c>
      <c r="O51" s="10">
        <f>IFERROR(IF(INDEX('Test catalog'!$J$2:$J$200,MATCH($AB51,'Test catalog'!$A$2:$A$200,0))="","",INDEX('Test catalog'!$J$2:$J$200,MATCH($AB51,'Test catalog'!$A$2:$A$200,0))),"")</f>
        <v/>
      </c>
      <c r="P51" s="14">
        <f>IF(N51="","",IF(OR(M51="",O51=""),N51,(M51+4*N51+O51)/6))</f>
        <v/>
      </c>
      <c r="Q51" s="10">
        <f>IFERROR(IF(INDEX('Test catalog'!$K$2:$K$200,MATCH($AB51,'Test catalog'!$A$2:$A$200,0))="","",INDEX('Test catalog'!$K$2:$K$200,MATCH($AB51,'Test catalog'!$A$2:$A$200,0))),"")</f>
        <v/>
      </c>
      <c r="R51" s="5" t="n"/>
      <c r="S51" s="10">
        <f>IFERROR(IF(INDEX('Test catalog'!$L$2:$L$200,MATCH($AB51,'Test catalog'!$A$2:$A$200,0))="","",INDEX('Test catalog'!$L$2:$L$200,MATCH($AB51,'Test catalog'!$A$2:$A$200,0))),"")</f>
        <v/>
      </c>
      <c r="T51" s="10">
        <f>IFERROR(IF(INDEX('Test catalog'!$M$2:$M$200,MATCH($AB51,'Test catalog'!$A$2:$A$200,0))="","",INDEX('Test catalog'!$M$2:$M$200,MATCH($AB51,'Test catalog'!$A$2:$A$200,0))),"")</f>
        <v/>
      </c>
      <c r="U51" s="10">
        <f>IFERROR(IF(INDEX('Test catalog'!$N$2:$N$200,MATCH($AB51,'Test catalog'!$A$2:$A$200,0))="","",INDEX('Test catalog'!$N$2:$N$200,MATCH($AB51,'Test catalog'!$A$2:$A$200,0))),"")</f>
        <v/>
      </c>
      <c r="V51" s="15" t="n"/>
      <c r="W51" s="5" t="inlineStr">
        <is>
          <t>N</t>
        </is>
      </c>
      <c r="X51" s="5" t="n"/>
      <c r="Y51" s="5" t="n"/>
      <c r="Z51" s="5" t="n"/>
      <c r="AA51" s="10">
        <f>IFERROR(IF(INDEX('Test catalog'!$O$2:$O$200,MATCH($AB51,'Test catalog'!$A$2:$A$200,0))="","",INDEX('Test catalog'!$O$2:$O$200,MATCH($AB51,'Test catalog'!$A$2:$A$200,0))),"")</f>
        <v/>
      </c>
      <c r="AB51" s="10" t="inlineStr">
        <is>
          <t>ID_IR</t>
        </is>
      </c>
      <c r="AC51" s="10" t="inlineStr">
        <is>
          <t>Biotin · Identification &lt;197&gt;</t>
        </is>
      </c>
      <c r="AD51" s="10" t="n"/>
      <c r="AE51" s="10" t="n"/>
    </row>
    <row r="52">
      <c r="A52" s="10" t="inlineStr">
        <is>
          <t>Biotin (Vitamin B7)</t>
        </is>
      </c>
      <c r="B52" s="10" t="inlineStr">
        <is>
          <t>RM</t>
        </is>
      </c>
      <c r="C52" s="10" t="inlineStr">
        <is>
          <t>Active</t>
        </is>
      </c>
      <c r="D52" s="10" t="inlineStr">
        <is>
          <t>ID B - Optical rotation</t>
        </is>
      </c>
      <c r="E52" s="10">
        <f>IF(A52="","",A52&amp;"|"&amp;D52)</f>
        <v/>
      </c>
      <c r="F52" s="5" t="inlineStr">
        <is>
          <t>Y</t>
        </is>
      </c>
      <c r="G52" s="5" t="inlineStr">
        <is>
          <t>Other / bench</t>
        </is>
      </c>
      <c r="H52" s="5" t="inlineStr">
        <is>
          <t>Low</t>
        </is>
      </c>
      <c r="I52" s="5" t="n">
        <v>1</v>
      </c>
      <c r="J52" s="5" t="n"/>
      <c r="K52" s="10">
        <f>IFERROR(IF(INDEX('Test catalog'!$F$2:$F$200,MATCH($AB52,'Test catalog'!$A$2:$A$200,0))="","",INDEX('Test catalog'!$F$2:$F$200,MATCH($AB52,'Test catalog'!$A$2:$A$200,0))),"")</f>
        <v/>
      </c>
      <c r="L52" s="10">
        <f>IFERROR(IF(INDEX('Test catalog'!$G$2:$G$200,MATCH($AB52,'Test catalog'!$A$2:$A$200,0))="","",INDEX('Test catalog'!$G$2:$G$200,MATCH($AB52,'Test catalog'!$A$2:$A$200,0))),"")</f>
        <v/>
      </c>
      <c r="M52" s="10">
        <f>IFERROR(IF(INDEX('Test catalog'!$H$2:$H$200,MATCH($AB52,'Test catalog'!$A$2:$A$200,0))="","",INDEX('Test catalog'!$H$2:$H$200,MATCH($AB52,'Test catalog'!$A$2:$A$200,0))),"")</f>
        <v/>
      </c>
      <c r="N52" s="10">
        <f>IFERROR(IF(INDEX('Test catalog'!$I$2:$I$200,MATCH($AB52,'Test catalog'!$A$2:$A$200,0))="","",INDEX('Test catalog'!$I$2:$I$200,MATCH($AB52,'Test catalog'!$A$2:$A$200,0))),"")</f>
        <v/>
      </c>
      <c r="O52" s="10">
        <f>IFERROR(IF(INDEX('Test catalog'!$J$2:$J$200,MATCH($AB52,'Test catalog'!$A$2:$A$200,0))="","",INDEX('Test catalog'!$J$2:$J$200,MATCH($AB52,'Test catalog'!$A$2:$A$200,0))),"")</f>
        <v/>
      </c>
      <c r="P52" s="14">
        <f>IF(N52="","",IF(OR(M52="",O52=""),N52,(M52+4*N52+O52)/6))</f>
        <v/>
      </c>
      <c r="Q52" s="10">
        <f>IFERROR(IF(INDEX('Test catalog'!$K$2:$K$200,MATCH($AB52,'Test catalog'!$A$2:$A$200,0))="","",INDEX('Test catalog'!$K$2:$K$200,MATCH($AB52,'Test catalog'!$A$2:$A$200,0))),"")</f>
        <v/>
      </c>
      <c r="R52" s="5" t="n"/>
      <c r="S52" s="10">
        <f>IFERROR(IF(INDEX('Test catalog'!$L$2:$L$200,MATCH($AB52,'Test catalog'!$A$2:$A$200,0))="","",INDEX('Test catalog'!$L$2:$L$200,MATCH($AB52,'Test catalog'!$A$2:$A$200,0))),"")</f>
        <v/>
      </c>
      <c r="T52" s="10">
        <f>IFERROR(IF(INDEX('Test catalog'!$M$2:$M$200,MATCH($AB52,'Test catalog'!$A$2:$A$200,0))="","",INDEX('Test catalog'!$M$2:$M$200,MATCH($AB52,'Test catalog'!$A$2:$A$200,0))),"")</f>
        <v/>
      </c>
      <c r="U52" s="10">
        <f>IFERROR(IF(INDEX('Test catalog'!$N$2:$N$200,MATCH($AB52,'Test catalog'!$A$2:$A$200,0))="","",INDEX('Test catalog'!$N$2:$N$200,MATCH($AB52,'Test catalog'!$A$2:$A$200,0))),"")</f>
        <v/>
      </c>
      <c r="V52" s="15" t="n"/>
      <c r="W52" s="5" t="inlineStr">
        <is>
          <t>N</t>
        </is>
      </c>
      <c r="X52" s="5" t="n"/>
      <c r="Y52" s="5" t="n"/>
      <c r="Z52" s="5" t="n"/>
      <c r="AA52" s="10">
        <f>IFERROR(IF(INDEX('Test catalog'!$O$2:$O$200,MATCH($AB52,'Test catalog'!$A$2:$A$200,0))="","",INDEX('Test catalog'!$O$2:$O$200,MATCH($AB52,'Test catalog'!$A$2:$A$200,0))),"")</f>
        <v/>
      </c>
      <c r="AB52" s="10" t="inlineStr">
        <is>
          <t>OR</t>
        </is>
      </c>
      <c r="AC52" s="10" t="inlineStr">
        <is>
          <t>Biotin · Identification &lt;781&gt;</t>
        </is>
      </c>
      <c r="AD52" s="10" t="n"/>
      <c r="AE52" s="10" t="n"/>
    </row>
    <row r="53">
      <c r="A53" s="10" t="inlineStr">
        <is>
          <t>Biotin (Vitamin B7)</t>
        </is>
      </c>
      <c r="B53" s="10" t="inlineStr">
        <is>
          <t>RM</t>
        </is>
      </c>
      <c r="C53" s="10" t="inlineStr">
        <is>
          <t>Active</t>
        </is>
      </c>
      <c r="D53" s="10" t="inlineStr">
        <is>
          <t>Assay (HPLC)</t>
        </is>
      </c>
      <c r="E53" s="10">
        <f>IF(A53="","",A53&amp;"|"&amp;D53)</f>
        <v/>
      </c>
      <c r="F53" s="5" t="inlineStr">
        <is>
          <t>Y</t>
        </is>
      </c>
      <c r="G53" s="5" t="inlineStr">
        <is>
          <t>HPLC</t>
        </is>
      </c>
      <c r="H53" s="5" t="inlineStr">
        <is>
          <t>Medium</t>
        </is>
      </c>
      <c r="I53" s="5" t="n">
        <v>1</v>
      </c>
      <c r="J53" s="5" t="n"/>
      <c r="K53" s="5" t="n"/>
      <c r="L53" s="5" t="n"/>
      <c r="M53" s="5" t="n"/>
      <c r="N53" s="5" t="n"/>
      <c r="O53" s="5" t="n"/>
      <c r="P53" s="14">
        <f>IF(N53="","",IF(OR(M53="",O53=""),N53,(M53+4*N53+O53)/6))</f>
        <v/>
      </c>
      <c r="Q53" s="5" t="n"/>
      <c r="R53" s="5" t="n"/>
      <c r="S53" s="5" t="n"/>
      <c r="T53" s="5" t="n"/>
      <c r="U53" s="5" t="n"/>
      <c r="V53" s="15" t="n"/>
      <c r="W53" s="5" t="inlineStr">
        <is>
          <t>N</t>
        </is>
      </c>
      <c r="X53" s="5" t="n"/>
      <c r="Y53" s="5" t="n"/>
      <c r="Z53" s="5" t="n"/>
      <c r="AA53" s="5" t="n"/>
      <c r="AB53" s="10" t="n"/>
      <c r="AC53" s="10" t="inlineStr">
        <is>
          <t>Biotin · Assay</t>
        </is>
      </c>
      <c r="AD53" s="10" t="n"/>
      <c r="AE53" s="10" t="n"/>
    </row>
    <row r="54">
      <c r="A54" s="10" t="inlineStr">
        <is>
          <t>Biotin (Vitamin B7)</t>
        </is>
      </c>
      <c r="B54" s="10" t="inlineStr">
        <is>
          <t>RM</t>
        </is>
      </c>
      <c r="C54" s="10" t="inlineStr">
        <is>
          <t>Active</t>
        </is>
      </c>
      <c r="D54" s="10" t="inlineStr">
        <is>
          <t>Related Compounds (HPLC)</t>
        </is>
      </c>
      <c r="E54" s="10">
        <f>IF(A54="","",A54&amp;"|"&amp;D54)</f>
        <v/>
      </c>
      <c r="F54" s="5" t="inlineStr">
        <is>
          <t>Y</t>
        </is>
      </c>
      <c r="G54" s="5" t="inlineStr">
        <is>
          <t>HPLC</t>
        </is>
      </c>
      <c r="H54" s="5" t="inlineStr">
        <is>
          <t>Medium</t>
        </is>
      </c>
      <c r="I54" s="5" t="n">
        <v>1</v>
      </c>
      <c r="J54" s="5" t="n"/>
      <c r="K54" s="5" t="n"/>
      <c r="L54" s="5" t="n"/>
      <c r="M54" s="5" t="n"/>
      <c r="N54" s="5" t="n"/>
      <c r="O54" s="5" t="n"/>
      <c r="P54" s="14">
        <f>IF(N54="","",IF(OR(M54="",O54=""),N54,(M54+4*N54+O54)/6))</f>
        <v/>
      </c>
      <c r="Q54" s="5" t="n"/>
      <c r="R54" s="5" t="n"/>
      <c r="S54" s="5" t="n"/>
      <c r="T54" s="5" t="n"/>
      <c r="U54" s="5" t="n"/>
      <c r="V54" s="15" t="n"/>
      <c r="W54" s="5" t="inlineStr">
        <is>
          <t>N</t>
        </is>
      </c>
      <c r="X54" s="5" t="n"/>
      <c r="Y54" s="5" t="n"/>
      <c r="Z54" s="5" t="n"/>
      <c r="AA54" s="5" t="n"/>
      <c r="AB54" s="10" t="n"/>
      <c r="AC54" s="10" t="inlineStr">
        <is>
          <t>Biotin · Impurities</t>
        </is>
      </c>
      <c r="AD54" s="10" t="n"/>
      <c r="AE54" s="10" t="n"/>
    </row>
    <row r="55">
      <c r="A55" s="10" t="inlineStr">
        <is>
          <t>Biotin (Vitamin B7)</t>
        </is>
      </c>
      <c r="B55" s="10" t="inlineStr">
        <is>
          <t>RM</t>
        </is>
      </c>
      <c r="C55" s="10" t="inlineStr">
        <is>
          <t>Active</t>
        </is>
      </c>
      <c r="D55" s="10" t="inlineStr">
        <is>
          <t>Optical Rotation, Specific Rotation</t>
        </is>
      </c>
      <c r="E55" s="10">
        <f>IF(A55="","",A55&amp;"|"&amp;D55)</f>
        <v/>
      </c>
      <c r="F55" s="5" t="inlineStr">
        <is>
          <t>Y</t>
        </is>
      </c>
      <c r="G55" s="5" t="inlineStr">
        <is>
          <t>Other / bench</t>
        </is>
      </c>
      <c r="H55" s="5" t="inlineStr">
        <is>
          <t>Low</t>
        </is>
      </c>
      <c r="I55" s="5" t="n">
        <v>1</v>
      </c>
      <c r="J55" s="5" t="n"/>
      <c r="K55" s="10">
        <f>IFERROR(IF(INDEX('Test catalog'!$F$2:$F$200,MATCH($AB55,'Test catalog'!$A$2:$A$200,0))="","",INDEX('Test catalog'!$F$2:$F$200,MATCH($AB55,'Test catalog'!$A$2:$A$200,0))),"")</f>
        <v/>
      </c>
      <c r="L55" s="10">
        <f>IFERROR(IF(INDEX('Test catalog'!$G$2:$G$200,MATCH($AB55,'Test catalog'!$A$2:$A$200,0))="","",INDEX('Test catalog'!$G$2:$G$200,MATCH($AB55,'Test catalog'!$A$2:$A$200,0))),"")</f>
        <v/>
      </c>
      <c r="M55" s="10">
        <f>IFERROR(IF(INDEX('Test catalog'!$H$2:$H$200,MATCH($AB55,'Test catalog'!$A$2:$A$200,0))="","",INDEX('Test catalog'!$H$2:$H$200,MATCH($AB55,'Test catalog'!$A$2:$A$200,0))),"")</f>
        <v/>
      </c>
      <c r="N55" s="10">
        <f>IFERROR(IF(INDEX('Test catalog'!$I$2:$I$200,MATCH($AB55,'Test catalog'!$A$2:$A$200,0))="","",INDEX('Test catalog'!$I$2:$I$200,MATCH($AB55,'Test catalog'!$A$2:$A$200,0))),"")</f>
        <v/>
      </c>
      <c r="O55" s="10">
        <f>IFERROR(IF(INDEX('Test catalog'!$J$2:$J$200,MATCH($AB55,'Test catalog'!$A$2:$A$200,0))="","",INDEX('Test catalog'!$J$2:$J$200,MATCH($AB55,'Test catalog'!$A$2:$A$200,0))),"")</f>
        <v/>
      </c>
      <c r="P55" s="14">
        <f>IF(N55="","",IF(OR(M55="",O55=""),N55,(M55+4*N55+O55)/6))</f>
        <v/>
      </c>
      <c r="Q55" s="10">
        <f>IFERROR(IF(INDEX('Test catalog'!$K$2:$K$200,MATCH($AB55,'Test catalog'!$A$2:$A$200,0))="","",INDEX('Test catalog'!$K$2:$K$200,MATCH($AB55,'Test catalog'!$A$2:$A$200,0))),"")</f>
        <v/>
      </c>
      <c r="R55" s="5" t="n"/>
      <c r="S55" s="10">
        <f>IFERROR(IF(INDEX('Test catalog'!$L$2:$L$200,MATCH($AB55,'Test catalog'!$A$2:$A$200,0))="","",INDEX('Test catalog'!$L$2:$L$200,MATCH($AB55,'Test catalog'!$A$2:$A$200,0))),"")</f>
        <v/>
      </c>
      <c r="T55" s="10">
        <f>IFERROR(IF(INDEX('Test catalog'!$M$2:$M$200,MATCH($AB55,'Test catalog'!$A$2:$A$200,0))="","",INDEX('Test catalog'!$M$2:$M$200,MATCH($AB55,'Test catalog'!$A$2:$A$200,0))),"")</f>
        <v/>
      </c>
      <c r="U55" s="10">
        <f>IFERROR(IF(INDEX('Test catalog'!$N$2:$N$200,MATCH($AB55,'Test catalog'!$A$2:$A$200,0))="","",INDEX('Test catalog'!$N$2:$N$200,MATCH($AB55,'Test catalog'!$A$2:$A$200,0))),"")</f>
        <v/>
      </c>
      <c r="V55" s="15" t="n"/>
      <c r="W55" s="5" t="inlineStr">
        <is>
          <t>N</t>
        </is>
      </c>
      <c r="X55" s="5" t="n"/>
      <c r="Y55" s="5" t="n"/>
      <c r="Z55" s="5" t="n"/>
      <c r="AA55" s="10">
        <f>IFERROR(IF(INDEX('Test catalog'!$O$2:$O$200,MATCH($AB55,'Test catalog'!$A$2:$A$200,0))="","",INDEX('Test catalog'!$O$2:$O$200,MATCH($AB55,'Test catalog'!$A$2:$A$200,0))),"")</f>
        <v/>
      </c>
      <c r="AB55" s="10" t="inlineStr">
        <is>
          <t>OR</t>
        </is>
      </c>
      <c r="AC55" s="10" t="inlineStr">
        <is>
          <t>Biotin · Specific Tests &lt;781&gt;</t>
        </is>
      </c>
      <c r="AD55" s="10" t="n"/>
      <c r="AE55" s="10" t="n"/>
    </row>
    <row r="56">
      <c r="A56" s="10" t="inlineStr">
        <is>
          <t>Borax</t>
        </is>
      </c>
      <c r="B56" s="10" t="inlineStr">
        <is>
          <t>RM</t>
        </is>
      </c>
      <c r="C56" s="10" t="inlineStr">
        <is>
          <t>Active</t>
        </is>
      </c>
      <c r="D56" s="10" t="inlineStr">
        <is>
          <t>Appearance / description and solubility</t>
        </is>
      </c>
      <c r="E56" s="10">
        <f>IF(A56="","",A56&amp;"|"&amp;D56)</f>
        <v/>
      </c>
      <c r="F56" s="5" t="inlineStr">
        <is>
          <t>Y</t>
        </is>
      </c>
      <c r="G56" s="5" t="inlineStr">
        <is>
          <t>Other / bench</t>
        </is>
      </c>
      <c r="H56" s="5" t="inlineStr">
        <is>
          <t>Low</t>
        </is>
      </c>
      <c r="I56" s="5" t="n">
        <v>1</v>
      </c>
      <c r="J56" s="5" t="n"/>
      <c r="K56" s="10">
        <f>IFERROR(IF(INDEX('Test catalog'!$F$2:$F$200,MATCH($AB56,'Test catalog'!$A$2:$A$200,0))="","",INDEX('Test catalog'!$F$2:$F$200,MATCH($AB56,'Test catalog'!$A$2:$A$200,0))),"")</f>
        <v/>
      </c>
      <c r="L56" s="10">
        <f>IFERROR(IF(INDEX('Test catalog'!$G$2:$G$200,MATCH($AB56,'Test catalog'!$A$2:$A$200,0))="","",INDEX('Test catalog'!$G$2:$G$200,MATCH($AB56,'Test catalog'!$A$2:$A$200,0))),"")</f>
        <v/>
      </c>
      <c r="M56" s="10">
        <f>IFERROR(IF(INDEX('Test catalog'!$H$2:$H$200,MATCH($AB56,'Test catalog'!$A$2:$A$200,0))="","",INDEX('Test catalog'!$H$2:$H$200,MATCH($AB56,'Test catalog'!$A$2:$A$200,0))),"")</f>
        <v/>
      </c>
      <c r="N56" s="10">
        <f>IFERROR(IF(INDEX('Test catalog'!$I$2:$I$200,MATCH($AB56,'Test catalog'!$A$2:$A$200,0))="","",INDEX('Test catalog'!$I$2:$I$200,MATCH($AB56,'Test catalog'!$A$2:$A$200,0))),"")</f>
        <v/>
      </c>
      <c r="O56" s="10">
        <f>IFERROR(IF(INDEX('Test catalog'!$J$2:$J$200,MATCH($AB56,'Test catalog'!$A$2:$A$200,0))="","",INDEX('Test catalog'!$J$2:$J$200,MATCH($AB56,'Test catalog'!$A$2:$A$200,0))),"")</f>
        <v/>
      </c>
      <c r="P56" s="14">
        <f>IF(N56="","",IF(OR(M56="",O56=""),N56,(M56+4*N56+O56)/6))</f>
        <v/>
      </c>
      <c r="Q56" s="10">
        <f>IFERROR(IF(INDEX('Test catalog'!$K$2:$K$200,MATCH($AB56,'Test catalog'!$A$2:$A$200,0))="","",INDEX('Test catalog'!$K$2:$K$200,MATCH($AB56,'Test catalog'!$A$2:$A$200,0))),"")</f>
        <v/>
      </c>
      <c r="R56" s="5" t="n"/>
      <c r="S56" s="10">
        <f>IFERROR(IF(INDEX('Test catalog'!$L$2:$L$200,MATCH($AB56,'Test catalog'!$A$2:$A$200,0))="","",INDEX('Test catalog'!$L$2:$L$200,MATCH($AB56,'Test catalog'!$A$2:$A$200,0))),"")</f>
        <v/>
      </c>
      <c r="T56" s="10">
        <f>IFERROR(IF(INDEX('Test catalog'!$M$2:$M$200,MATCH($AB56,'Test catalog'!$A$2:$A$200,0))="","",INDEX('Test catalog'!$M$2:$M$200,MATCH($AB56,'Test catalog'!$A$2:$A$200,0))),"")</f>
        <v/>
      </c>
      <c r="U56" s="10">
        <f>IFERROR(IF(INDEX('Test catalog'!$N$2:$N$200,MATCH($AB56,'Test catalog'!$A$2:$A$200,0))="","",INDEX('Test catalog'!$N$2:$N$200,MATCH($AB56,'Test catalog'!$A$2:$A$200,0))),"")</f>
        <v/>
      </c>
      <c r="V56" s="15" t="n"/>
      <c r="W56" s="5" t="inlineStr">
        <is>
          <t>N</t>
        </is>
      </c>
      <c r="X56" s="5" t="n"/>
      <c r="Y56" s="5" t="n"/>
      <c r="Z56" s="5" t="n"/>
      <c r="AA56" s="10">
        <f>IFERROR(IF(INDEX('Test catalog'!$O$2:$O$200,MATCH($AB56,'Test catalog'!$A$2:$A$200,0))="","",INDEX('Test catalog'!$O$2:$O$200,MATCH($AB56,'Test catalog'!$A$2:$A$200,0))),"")</f>
        <v/>
      </c>
      <c r="AB56" s="10" t="inlineStr">
        <is>
          <t>APPEAR</t>
        </is>
      </c>
      <c r="AC56" s="10" t="inlineStr">
        <is>
          <t>Lab practice (not a USP test)</t>
        </is>
      </c>
      <c r="AD56" s="10" t="n"/>
      <c r="AE56" s="10" t="n"/>
    </row>
    <row r="57">
      <c r="A57" s="10" t="inlineStr">
        <is>
          <t>Borax</t>
        </is>
      </c>
      <c r="B57" s="10" t="inlineStr">
        <is>
          <t>RM</t>
        </is>
      </c>
      <c r="C57" s="10" t="inlineStr">
        <is>
          <t>Active</t>
        </is>
      </c>
      <c r="D57" s="10" t="inlineStr">
        <is>
          <t>ID A - chemical reaction</t>
        </is>
      </c>
      <c r="E57" s="10">
        <f>IF(A57="","",A57&amp;"|"&amp;D57)</f>
        <v/>
      </c>
      <c r="F57" s="5" t="inlineStr">
        <is>
          <t>Y</t>
        </is>
      </c>
      <c r="G57" s="5" t="inlineStr">
        <is>
          <t>Other / bench</t>
        </is>
      </c>
      <c r="H57" s="5" t="inlineStr">
        <is>
          <t>Low</t>
        </is>
      </c>
      <c r="I57" s="5" t="n">
        <v>1</v>
      </c>
      <c r="J57" s="5" t="n"/>
      <c r="K57" s="10">
        <f>IFERROR(IF(INDEX('Test catalog'!$F$2:$F$200,MATCH($AB57,'Test catalog'!$A$2:$A$200,0))="","",INDEX('Test catalog'!$F$2:$F$200,MATCH($AB57,'Test catalog'!$A$2:$A$200,0))),"")</f>
        <v/>
      </c>
      <c r="L57" s="10">
        <f>IFERROR(IF(INDEX('Test catalog'!$G$2:$G$200,MATCH($AB57,'Test catalog'!$A$2:$A$200,0))="","",INDEX('Test catalog'!$G$2:$G$200,MATCH($AB57,'Test catalog'!$A$2:$A$200,0))),"")</f>
        <v/>
      </c>
      <c r="M57" s="10">
        <f>IFERROR(IF(INDEX('Test catalog'!$H$2:$H$200,MATCH($AB57,'Test catalog'!$A$2:$A$200,0))="","",INDEX('Test catalog'!$H$2:$H$200,MATCH($AB57,'Test catalog'!$A$2:$A$200,0))),"")</f>
        <v/>
      </c>
      <c r="N57" s="10">
        <f>IFERROR(IF(INDEX('Test catalog'!$I$2:$I$200,MATCH($AB57,'Test catalog'!$A$2:$A$200,0))="","",INDEX('Test catalog'!$I$2:$I$200,MATCH($AB57,'Test catalog'!$A$2:$A$200,0))),"")</f>
        <v/>
      </c>
      <c r="O57" s="10">
        <f>IFERROR(IF(INDEX('Test catalog'!$J$2:$J$200,MATCH($AB57,'Test catalog'!$A$2:$A$200,0))="","",INDEX('Test catalog'!$J$2:$J$200,MATCH($AB57,'Test catalog'!$A$2:$A$200,0))),"")</f>
        <v/>
      </c>
      <c r="P57" s="14">
        <f>IF(N57="","",IF(OR(M57="",O57=""),N57,(M57+4*N57+O57)/6))</f>
        <v/>
      </c>
      <c r="Q57" s="10">
        <f>IFERROR(IF(INDEX('Test catalog'!$K$2:$K$200,MATCH($AB57,'Test catalog'!$A$2:$A$200,0))="","",INDEX('Test catalog'!$K$2:$K$200,MATCH($AB57,'Test catalog'!$A$2:$A$200,0))),"")</f>
        <v/>
      </c>
      <c r="R57" s="5" t="n"/>
      <c r="S57" s="10">
        <f>IFERROR(IF(INDEX('Test catalog'!$L$2:$L$200,MATCH($AB57,'Test catalog'!$A$2:$A$200,0))="","",INDEX('Test catalog'!$L$2:$L$200,MATCH($AB57,'Test catalog'!$A$2:$A$200,0))),"")</f>
        <v/>
      </c>
      <c r="T57" s="10">
        <f>IFERROR(IF(INDEX('Test catalog'!$M$2:$M$200,MATCH($AB57,'Test catalog'!$A$2:$A$200,0))="","",INDEX('Test catalog'!$M$2:$M$200,MATCH($AB57,'Test catalog'!$A$2:$A$200,0))),"")</f>
        <v/>
      </c>
      <c r="U57" s="10">
        <f>IFERROR(IF(INDEX('Test catalog'!$N$2:$N$200,MATCH($AB57,'Test catalog'!$A$2:$A$200,0))="","",INDEX('Test catalog'!$N$2:$N$200,MATCH($AB57,'Test catalog'!$A$2:$A$200,0))),"")</f>
        <v/>
      </c>
      <c r="V57" s="15" t="n"/>
      <c r="W57" s="5" t="inlineStr">
        <is>
          <t>N</t>
        </is>
      </c>
      <c r="X57" s="5" t="n"/>
      <c r="Y57" s="5" t="n"/>
      <c r="Z57" s="5" t="n"/>
      <c r="AA57" s="10">
        <f>IFERROR(IF(INDEX('Test catalog'!$O$2:$O$200,MATCH($AB57,'Test catalog'!$A$2:$A$200,0))="","",INDEX('Test catalog'!$O$2:$O$200,MATCH($AB57,'Test catalog'!$A$2:$A$200,0))),"")</f>
        <v/>
      </c>
      <c r="AB57" s="10" t="inlineStr">
        <is>
          <t>ID_CHEM</t>
        </is>
      </c>
      <c r="AC57" s="10" t="inlineStr">
        <is>
          <t>Sodium Borate · Identification &lt;191&gt;</t>
        </is>
      </c>
      <c r="AD57" s="10" t="n"/>
      <c r="AE57" s="10" t="n"/>
    </row>
    <row r="58">
      <c r="A58" s="10" t="inlineStr">
        <is>
          <t>Borax</t>
        </is>
      </c>
      <c r="B58" s="10" t="inlineStr">
        <is>
          <t>RM</t>
        </is>
      </c>
      <c r="C58" s="10" t="inlineStr">
        <is>
          <t>Active</t>
        </is>
      </c>
      <c r="D58" s="10" t="inlineStr">
        <is>
          <t>ID B - chemical reaction</t>
        </is>
      </c>
      <c r="E58" s="10">
        <f>IF(A58="","",A58&amp;"|"&amp;D58)</f>
        <v/>
      </c>
      <c r="F58" s="5" t="inlineStr">
        <is>
          <t>Y</t>
        </is>
      </c>
      <c r="G58" s="5" t="inlineStr">
        <is>
          <t>Other / bench</t>
        </is>
      </c>
      <c r="H58" s="5" t="inlineStr">
        <is>
          <t>Low</t>
        </is>
      </c>
      <c r="I58" s="5" t="n">
        <v>1</v>
      </c>
      <c r="J58" s="5" t="n"/>
      <c r="K58" s="10">
        <f>IFERROR(IF(INDEX('Test catalog'!$F$2:$F$200,MATCH($AB58,'Test catalog'!$A$2:$A$200,0))="","",INDEX('Test catalog'!$F$2:$F$200,MATCH($AB58,'Test catalog'!$A$2:$A$200,0))),"")</f>
        <v/>
      </c>
      <c r="L58" s="10">
        <f>IFERROR(IF(INDEX('Test catalog'!$G$2:$G$200,MATCH($AB58,'Test catalog'!$A$2:$A$200,0))="","",INDEX('Test catalog'!$G$2:$G$200,MATCH($AB58,'Test catalog'!$A$2:$A$200,0))),"")</f>
        <v/>
      </c>
      <c r="M58" s="10">
        <f>IFERROR(IF(INDEX('Test catalog'!$H$2:$H$200,MATCH($AB58,'Test catalog'!$A$2:$A$200,0))="","",INDEX('Test catalog'!$H$2:$H$200,MATCH($AB58,'Test catalog'!$A$2:$A$200,0))),"")</f>
        <v/>
      </c>
      <c r="N58" s="10">
        <f>IFERROR(IF(INDEX('Test catalog'!$I$2:$I$200,MATCH($AB58,'Test catalog'!$A$2:$A$200,0))="","",INDEX('Test catalog'!$I$2:$I$200,MATCH($AB58,'Test catalog'!$A$2:$A$200,0))),"")</f>
        <v/>
      </c>
      <c r="O58" s="10">
        <f>IFERROR(IF(INDEX('Test catalog'!$J$2:$J$200,MATCH($AB58,'Test catalog'!$A$2:$A$200,0))="","",INDEX('Test catalog'!$J$2:$J$200,MATCH($AB58,'Test catalog'!$A$2:$A$200,0))),"")</f>
        <v/>
      </c>
      <c r="P58" s="14">
        <f>IF(N58="","",IF(OR(M58="",O58=""),N58,(M58+4*N58+O58)/6))</f>
        <v/>
      </c>
      <c r="Q58" s="10">
        <f>IFERROR(IF(INDEX('Test catalog'!$K$2:$K$200,MATCH($AB58,'Test catalog'!$A$2:$A$200,0))="","",INDEX('Test catalog'!$K$2:$K$200,MATCH($AB58,'Test catalog'!$A$2:$A$200,0))),"")</f>
        <v/>
      </c>
      <c r="R58" s="5" t="n"/>
      <c r="S58" s="10">
        <f>IFERROR(IF(INDEX('Test catalog'!$L$2:$L$200,MATCH($AB58,'Test catalog'!$A$2:$A$200,0))="","",INDEX('Test catalog'!$L$2:$L$200,MATCH($AB58,'Test catalog'!$A$2:$A$200,0))),"")</f>
        <v/>
      </c>
      <c r="T58" s="10">
        <f>IFERROR(IF(INDEX('Test catalog'!$M$2:$M$200,MATCH($AB58,'Test catalog'!$A$2:$A$200,0))="","",INDEX('Test catalog'!$M$2:$M$200,MATCH($AB58,'Test catalog'!$A$2:$A$200,0))),"")</f>
        <v/>
      </c>
      <c r="U58" s="10">
        <f>IFERROR(IF(INDEX('Test catalog'!$N$2:$N$200,MATCH($AB58,'Test catalog'!$A$2:$A$200,0))="","",INDEX('Test catalog'!$N$2:$N$200,MATCH($AB58,'Test catalog'!$A$2:$A$200,0))),"")</f>
        <v/>
      </c>
      <c r="V58" s="15" t="n"/>
      <c r="W58" s="5" t="inlineStr">
        <is>
          <t>N</t>
        </is>
      </c>
      <c r="X58" s="5" t="n"/>
      <c r="Y58" s="5" t="n"/>
      <c r="Z58" s="5" t="n"/>
      <c r="AA58" s="10">
        <f>IFERROR(IF(INDEX('Test catalog'!$O$2:$O$200,MATCH($AB58,'Test catalog'!$A$2:$A$200,0))="","",INDEX('Test catalog'!$O$2:$O$200,MATCH($AB58,'Test catalog'!$A$2:$A$200,0))),"")</f>
        <v/>
      </c>
      <c r="AB58" s="10" t="inlineStr">
        <is>
          <t>ID_CHEM</t>
        </is>
      </c>
      <c r="AC58" s="10" t="inlineStr">
        <is>
          <t>Sodium Borate · Identification &lt;191&gt;</t>
        </is>
      </c>
      <c r="AD58" s="10" t="n"/>
      <c r="AE58" s="10" t="n"/>
    </row>
    <row r="59">
      <c r="A59" s="10" t="inlineStr">
        <is>
          <t>Borax</t>
        </is>
      </c>
      <c r="B59" s="10" t="inlineStr">
        <is>
          <t>RM</t>
        </is>
      </c>
      <c r="C59" s="10" t="inlineStr">
        <is>
          <t>Active</t>
        </is>
      </c>
      <c r="D59" s="10" t="inlineStr">
        <is>
          <t>ID - Assay or test by titration</t>
        </is>
      </c>
      <c r="E59" s="10">
        <f>IF(A59="","",A59&amp;"|"&amp;D59)</f>
        <v/>
      </c>
      <c r="F59" s="5" t="inlineStr">
        <is>
          <t>Y</t>
        </is>
      </c>
      <c r="G59" s="5" t="inlineStr">
        <is>
          <t>Other / bench</t>
        </is>
      </c>
      <c r="H59" s="5" t="inlineStr">
        <is>
          <t>Low</t>
        </is>
      </c>
      <c r="I59" s="5" t="n">
        <v>1</v>
      </c>
      <c r="J59" s="5" t="n"/>
      <c r="K59" s="10">
        <f>IFERROR(IF(INDEX('Test catalog'!$F$2:$F$200,MATCH($AB59,'Test catalog'!$A$2:$A$200,0))="","",INDEX('Test catalog'!$F$2:$F$200,MATCH($AB59,'Test catalog'!$A$2:$A$200,0))),"")</f>
        <v/>
      </c>
      <c r="L59" s="10">
        <f>IFERROR(IF(INDEX('Test catalog'!$G$2:$G$200,MATCH($AB59,'Test catalog'!$A$2:$A$200,0))="","",INDEX('Test catalog'!$G$2:$G$200,MATCH($AB59,'Test catalog'!$A$2:$A$200,0))),"")</f>
        <v/>
      </c>
      <c r="M59" s="10">
        <f>IFERROR(IF(INDEX('Test catalog'!$H$2:$H$200,MATCH($AB59,'Test catalog'!$A$2:$A$200,0))="","",INDEX('Test catalog'!$H$2:$H$200,MATCH($AB59,'Test catalog'!$A$2:$A$200,0))),"")</f>
        <v/>
      </c>
      <c r="N59" s="10">
        <f>IFERROR(IF(INDEX('Test catalog'!$I$2:$I$200,MATCH($AB59,'Test catalog'!$A$2:$A$200,0))="","",INDEX('Test catalog'!$I$2:$I$200,MATCH($AB59,'Test catalog'!$A$2:$A$200,0))),"")</f>
        <v/>
      </c>
      <c r="O59" s="10">
        <f>IFERROR(IF(INDEX('Test catalog'!$J$2:$J$200,MATCH($AB59,'Test catalog'!$A$2:$A$200,0))="","",INDEX('Test catalog'!$J$2:$J$200,MATCH($AB59,'Test catalog'!$A$2:$A$200,0))),"")</f>
        <v/>
      </c>
      <c r="P59" s="14">
        <f>IF(N59="","",IF(OR(M59="",O59=""),N59,(M59+4*N59+O59)/6))</f>
        <v/>
      </c>
      <c r="Q59" s="10">
        <f>IFERROR(IF(INDEX('Test catalog'!$K$2:$K$200,MATCH($AB59,'Test catalog'!$A$2:$A$200,0))="","",INDEX('Test catalog'!$K$2:$K$200,MATCH($AB59,'Test catalog'!$A$2:$A$200,0))),"")</f>
        <v/>
      </c>
      <c r="R59" s="5" t="n"/>
      <c r="S59" s="10">
        <f>IFERROR(IF(INDEX('Test catalog'!$L$2:$L$200,MATCH($AB59,'Test catalog'!$A$2:$A$200,0))="","",INDEX('Test catalog'!$L$2:$L$200,MATCH($AB59,'Test catalog'!$A$2:$A$200,0))),"")</f>
        <v/>
      </c>
      <c r="T59" s="10">
        <f>IFERROR(IF(INDEX('Test catalog'!$M$2:$M$200,MATCH($AB59,'Test catalog'!$A$2:$A$200,0))="","",INDEX('Test catalog'!$M$2:$M$200,MATCH($AB59,'Test catalog'!$A$2:$A$200,0))),"")</f>
        <v/>
      </c>
      <c r="U59" s="10">
        <f>IFERROR(IF(INDEX('Test catalog'!$N$2:$N$200,MATCH($AB59,'Test catalog'!$A$2:$A$200,0))="","",INDEX('Test catalog'!$N$2:$N$200,MATCH($AB59,'Test catalog'!$A$2:$A$200,0))),"")</f>
        <v/>
      </c>
      <c r="V59" s="15" t="n"/>
      <c r="W59" s="5" t="inlineStr">
        <is>
          <t>N</t>
        </is>
      </c>
      <c r="X59" s="5" t="n"/>
      <c r="Y59" s="5" t="n"/>
      <c r="Z59" s="5" t="n"/>
      <c r="AA59" s="10">
        <f>IFERROR(IF(INDEX('Test catalog'!$O$2:$O$200,MATCH($AB59,'Test catalog'!$A$2:$A$200,0))="","",INDEX('Test catalog'!$O$2:$O$200,MATCH($AB59,'Test catalog'!$A$2:$A$200,0))),"")</f>
        <v/>
      </c>
      <c r="AB59" s="10" t="inlineStr">
        <is>
          <t>TITR</t>
        </is>
      </c>
      <c r="AC59" s="10" t="inlineStr">
        <is>
          <t>Sodium Borate · Identification &lt;541&gt;</t>
        </is>
      </c>
      <c r="AD59" s="10" t="n"/>
      <c r="AE59" s="10" t="n"/>
    </row>
    <row r="60">
      <c r="A60" s="10" t="inlineStr">
        <is>
          <t>Borax</t>
        </is>
      </c>
      <c r="B60" s="10" t="inlineStr">
        <is>
          <t>RM</t>
        </is>
      </c>
      <c r="C60" s="10" t="inlineStr">
        <is>
          <t>Active</t>
        </is>
      </c>
      <c r="D60" s="10" t="inlineStr">
        <is>
          <t>Carbonate and Bicarbonate</t>
        </is>
      </c>
      <c r="E60" s="10">
        <f>IF(A60="","",A60&amp;"|"&amp;D60)</f>
        <v/>
      </c>
      <c r="F60" s="5" t="inlineStr">
        <is>
          <t>Y</t>
        </is>
      </c>
      <c r="G60" s="5" t="inlineStr">
        <is>
          <t>Other / bench</t>
        </is>
      </c>
      <c r="H60" s="5" t="inlineStr">
        <is>
          <t>Low</t>
        </is>
      </c>
      <c r="I60" s="5" t="n">
        <v>1</v>
      </c>
      <c r="J60" s="5" t="n"/>
      <c r="K60" s="10">
        <f>IFERROR(IF(INDEX('Test catalog'!$F$2:$F$200,MATCH($AB60,'Test catalog'!$A$2:$A$200,0))="","",INDEX('Test catalog'!$F$2:$F$200,MATCH($AB60,'Test catalog'!$A$2:$A$200,0))),"")</f>
        <v/>
      </c>
      <c r="L60" s="10">
        <f>IFERROR(IF(INDEX('Test catalog'!$G$2:$G$200,MATCH($AB60,'Test catalog'!$A$2:$A$200,0))="","",INDEX('Test catalog'!$G$2:$G$200,MATCH($AB60,'Test catalog'!$A$2:$A$200,0))),"")</f>
        <v/>
      </c>
      <c r="M60" s="10">
        <f>IFERROR(IF(INDEX('Test catalog'!$H$2:$H$200,MATCH($AB60,'Test catalog'!$A$2:$A$200,0))="","",INDEX('Test catalog'!$H$2:$H$200,MATCH($AB60,'Test catalog'!$A$2:$A$200,0))),"")</f>
        <v/>
      </c>
      <c r="N60" s="10">
        <f>IFERROR(IF(INDEX('Test catalog'!$I$2:$I$200,MATCH($AB60,'Test catalog'!$A$2:$A$200,0))="","",INDEX('Test catalog'!$I$2:$I$200,MATCH($AB60,'Test catalog'!$A$2:$A$200,0))),"")</f>
        <v/>
      </c>
      <c r="O60" s="10">
        <f>IFERROR(IF(INDEX('Test catalog'!$J$2:$J$200,MATCH($AB60,'Test catalog'!$A$2:$A$200,0))="","",INDEX('Test catalog'!$J$2:$J$200,MATCH($AB60,'Test catalog'!$A$2:$A$200,0))),"")</f>
        <v/>
      </c>
      <c r="P60" s="14">
        <f>IF(N60="","",IF(OR(M60="",O60=""),N60,(M60+4*N60+O60)/6))</f>
        <v/>
      </c>
      <c r="Q60" s="10">
        <f>IFERROR(IF(INDEX('Test catalog'!$K$2:$K$200,MATCH($AB60,'Test catalog'!$A$2:$A$200,0))="","",INDEX('Test catalog'!$K$2:$K$200,MATCH($AB60,'Test catalog'!$A$2:$A$200,0))),"")</f>
        <v/>
      </c>
      <c r="R60" s="5" t="n"/>
      <c r="S60" s="10">
        <f>IFERROR(IF(INDEX('Test catalog'!$L$2:$L$200,MATCH($AB60,'Test catalog'!$A$2:$A$200,0))="","",INDEX('Test catalog'!$L$2:$L$200,MATCH($AB60,'Test catalog'!$A$2:$A$200,0))),"")</f>
        <v/>
      </c>
      <c r="T60" s="10">
        <f>IFERROR(IF(INDEX('Test catalog'!$M$2:$M$200,MATCH($AB60,'Test catalog'!$A$2:$A$200,0))="","",INDEX('Test catalog'!$M$2:$M$200,MATCH($AB60,'Test catalog'!$A$2:$A$200,0))),"")</f>
        <v/>
      </c>
      <c r="U60" s="10">
        <f>IFERROR(IF(INDEX('Test catalog'!$N$2:$N$200,MATCH($AB60,'Test catalog'!$A$2:$A$200,0))="","",INDEX('Test catalog'!$N$2:$N$200,MATCH($AB60,'Test catalog'!$A$2:$A$200,0))),"")</f>
        <v/>
      </c>
      <c r="V60" s="15" t="n"/>
      <c r="W60" s="5" t="inlineStr">
        <is>
          <t>N</t>
        </is>
      </c>
      <c r="X60" s="5" t="n"/>
      <c r="Y60" s="5" t="n"/>
      <c r="Z60" s="5" t="n"/>
      <c r="AA60" s="10">
        <f>IFERROR(IF(INDEX('Test catalog'!$O$2:$O$200,MATCH($AB60,'Test catalog'!$A$2:$A$200,0))="","",INDEX('Test catalog'!$O$2:$O$200,MATCH($AB60,'Test catalog'!$A$2:$A$200,0))),"")</f>
        <v/>
      </c>
      <c r="AB60" s="10" t="inlineStr">
        <is>
          <t>LIMIT</t>
        </is>
      </c>
      <c r="AC60" s="10" t="inlineStr">
        <is>
          <t>Sodium Borate · Impurities</t>
        </is>
      </c>
      <c r="AD60" s="10" t="n"/>
      <c r="AE60" s="10" t="n"/>
    </row>
    <row r="61">
      <c r="A61" s="10" t="inlineStr">
        <is>
          <t>Caffeine (Base)</t>
        </is>
      </c>
      <c r="B61" s="10" t="inlineStr">
        <is>
          <t>RM</t>
        </is>
      </c>
      <c r="C61" s="10" t="inlineStr">
        <is>
          <t>Active</t>
        </is>
      </c>
      <c r="D61" s="10" t="inlineStr">
        <is>
          <t>Appearance / description and solubility</t>
        </is>
      </c>
      <c r="E61" s="10">
        <f>IF(A61="","",A61&amp;"|"&amp;D61)</f>
        <v/>
      </c>
      <c r="F61" s="5" t="inlineStr">
        <is>
          <t>Y</t>
        </is>
      </c>
      <c r="G61" s="5" t="inlineStr">
        <is>
          <t>Other / bench</t>
        </is>
      </c>
      <c r="H61" s="5" t="inlineStr">
        <is>
          <t>Low</t>
        </is>
      </c>
      <c r="I61" s="5" t="n">
        <v>1</v>
      </c>
      <c r="J61" s="5" t="n"/>
      <c r="K61" s="10">
        <f>IFERROR(IF(INDEX('Test catalog'!$F$2:$F$200,MATCH($AB61,'Test catalog'!$A$2:$A$200,0))="","",INDEX('Test catalog'!$F$2:$F$200,MATCH($AB61,'Test catalog'!$A$2:$A$200,0))),"")</f>
        <v/>
      </c>
      <c r="L61" s="10">
        <f>IFERROR(IF(INDEX('Test catalog'!$G$2:$G$200,MATCH($AB61,'Test catalog'!$A$2:$A$200,0))="","",INDEX('Test catalog'!$G$2:$G$200,MATCH($AB61,'Test catalog'!$A$2:$A$200,0))),"")</f>
        <v/>
      </c>
      <c r="M61" s="10">
        <f>IFERROR(IF(INDEX('Test catalog'!$H$2:$H$200,MATCH($AB61,'Test catalog'!$A$2:$A$200,0))="","",INDEX('Test catalog'!$H$2:$H$200,MATCH($AB61,'Test catalog'!$A$2:$A$200,0))),"")</f>
        <v/>
      </c>
      <c r="N61" s="10">
        <f>IFERROR(IF(INDEX('Test catalog'!$I$2:$I$200,MATCH($AB61,'Test catalog'!$A$2:$A$200,0))="","",INDEX('Test catalog'!$I$2:$I$200,MATCH($AB61,'Test catalog'!$A$2:$A$200,0))),"")</f>
        <v/>
      </c>
      <c r="O61" s="10">
        <f>IFERROR(IF(INDEX('Test catalog'!$J$2:$J$200,MATCH($AB61,'Test catalog'!$A$2:$A$200,0))="","",INDEX('Test catalog'!$J$2:$J$200,MATCH($AB61,'Test catalog'!$A$2:$A$200,0))),"")</f>
        <v/>
      </c>
      <c r="P61" s="14">
        <f>IF(N61="","",IF(OR(M61="",O61=""),N61,(M61+4*N61+O61)/6))</f>
        <v/>
      </c>
      <c r="Q61" s="10">
        <f>IFERROR(IF(INDEX('Test catalog'!$K$2:$K$200,MATCH($AB61,'Test catalog'!$A$2:$A$200,0))="","",INDEX('Test catalog'!$K$2:$K$200,MATCH($AB61,'Test catalog'!$A$2:$A$200,0))),"")</f>
        <v/>
      </c>
      <c r="R61" s="5" t="n"/>
      <c r="S61" s="10">
        <f>IFERROR(IF(INDEX('Test catalog'!$L$2:$L$200,MATCH($AB61,'Test catalog'!$A$2:$A$200,0))="","",INDEX('Test catalog'!$L$2:$L$200,MATCH($AB61,'Test catalog'!$A$2:$A$200,0))),"")</f>
        <v/>
      </c>
      <c r="T61" s="10">
        <f>IFERROR(IF(INDEX('Test catalog'!$M$2:$M$200,MATCH($AB61,'Test catalog'!$A$2:$A$200,0))="","",INDEX('Test catalog'!$M$2:$M$200,MATCH($AB61,'Test catalog'!$A$2:$A$200,0))),"")</f>
        <v/>
      </c>
      <c r="U61" s="10">
        <f>IFERROR(IF(INDEX('Test catalog'!$N$2:$N$200,MATCH($AB61,'Test catalog'!$A$2:$A$200,0))="","",INDEX('Test catalog'!$N$2:$N$200,MATCH($AB61,'Test catalog'!$A$2:$A$200,0))),"")</f>
        <v/>
      </c>
      <c r="V61" s="15" t="n"/>
      <c r="W61" s="5" t="inlineStr">
        <is>
          <t>N</t>
        </is>
      </c>
      <c r="X61" s="5" t="n"/>
      <c r="Y61" s="5" t="n"/>
      <c r="Z61" s="5" t="n"/>
      <c r="AA61" s="10">
        <f>IFERROR(IF(INDEX('Test catalog'!$O$2:$O$200,MATCH($AB61,'Test catalog'!$A$2:$A$200,0))="","",INDEX('Test catalog'!$O$2:$O$200,MATCH($AB61,'Test catalog'!$A$2:$A$200,0))),"")</f>
        <v/>
      </c>
      <c r="AB61" s="10" t="inlineStr">
        <is>
          <t>APPEAR</t>
        </is>
      </c>
      <c r="AC61" s="10" t="inlineStr">
        <is>
          <t>Lab practice (not a USP test)</t>
        </is>
      </c>
      <c r="AD61" s="10" t="n"/>
      <c r="AE61" s="10" t="n"/>
    </row>
    <row r="62">
      <c r="A62" s="10" t="inlineStr">
        <is>
          <t>Caffeine (Base)</t>
        </is>
      </c>
      <c r="B62" s="10" t="inlineStr">
        <is>
          <t>RM</t>
        </is>
      </c>
      <c r="C62" s="10" t="inlineStr">
        <is>
          <t>Active</t>
        </is>
      </c>
      <c r="D62" s="10" t="inlineStr">
        <is>
          <t>ID A - IR spectrum</t>
        </is>
      </c>
      <c r="E62" s="10">
        <f>IF(A62="","",A62&amp;"|"&amp;D62)</f>
        <v/>
      </c>
      <c r="F62" s="5" t="inlineStr">
        <is>
          <t>Y</t>
        </is>
      </c>
      <c r="G62" s="5" t="inlineStr">
        <is>
          <t>Other / bench</t>
        </is>
      </c>
      <c r="H62" s="5" t="inlineStr">
        <is>
          <t>Low</t>
        </is>
      </c>
      <c r="I62" s="5" t="n">
        <v>1</v>
      </c>
      <c r="J62" s="5" t="n"/>
      <c r="K62" s="10">
        <f>IFERROR(IF(INDEX('Test catalog'!$F$2:$F$200,MATCH($AB62,'Test catalog'!$A$2:$A$200,0))="","",INDEX('Test catalog'!$F$2:$F$200,MATCH($AB62,'Test catalog'!$A$2:$A$200,0))),"")</f>
        <v/>
      </c>
      <c r="L62" s="10">
        <f>IFERROR(IF(INDEX('Test catalog'!$G$2:$G$200,MATCH($AB62,'Test catalog'!$A$2:$A$200,0))="","",INDEX('Test catalog'!$G$2:$G$200,MATCH($AB62,'Test catalog'!$A$2:$A$200,0))),"")</f>
        <v/>
      </c>
      <c r="M62" s="10">
        <f>IFERROR(IF(INDEX('Test catalog'!$H$2:$H$200,MATCH($AB62,'Test catalog'!$A$2:$A$200,0))="","",INDEX('Test catalog'!$H$2:$H$200,MATCH($AB62,'Test catalog'!$A$2:$A$200,0))),"")</f>
        <v/>
      </c>
      <c r="N62" s="10">
        <f>IFERROR(IF(INDEX('Test catalog'!$I$2:$I$200,MATCH($AB62,'Test catalog'!$A$2:$A$200,0))="","",INDEX('Test catalog'!$I$2:$I$200,MATCH($AB62,'Test catalog'!$A$2:$A$200,0))),"")</f>
        <v/>
      </c>
      <c r="O62" s="10">
        <f>IFERROR(IF(INDEX('Test catalog'!$J$2:$J$200,MATCH($AB62,'Test catalog'!$A$2:$A$200,0))="","",INDEX('Test catalog'!$J$2:$J$200,MATCH($AB62,'Test catalog'!$A$2:$A$200,0))),"")</f>
        <v/>
      </c>
      <c r="P62" s="14">
        <f>IF(N62="","",IF(OR(M62="",O62=""),N62,(M62+4*N62+O62)/6))</f>
        <v/>
      </c>
      <c r="Q62" s="10">
        <f>IFERROR(IF(INDEX('Test catalog'!$K$2:$K$200,MATCH($AB62,'Test catalog'!$A$2:$A$200,0))="","",INDEX('Test catalog'!$K$2:$K$200,MATCH($AB62,'Test catalog'!$A$2:$A$200,0))),"")</f>
        <v/>
      </c>
      <c r="R62" s="5" t="n"/>
      <c r="S62" s="10">
        <f>IFERROR(IF(INDEX('Test catalog'!$L$2:$L$200,MATCH($AB62,'Test catalog'!$A$2:$A$200,0))="","",INDEX('Test catalog'!$L$2:$L$200,MATCH($AB62,'Test catalog'!$A$2:$A$200,0))),"")</f>
        <v/>
      </c>
      <c r="T62" s="10">
        <f>IFERROR(IF(INDEX('Test catalog'!$M$2:$M$200,MATCH($AB62,'Test catalog'!$A$2:$A$200,0))="","",INDEX('Test catalog'!$M$2:$M$200,MATCH($AB62,'Test catalog'!$A$2:$A$200,0))),"")</f>
        <v/>
      </c>
      <c r="U62" s="10">
        <f>IFERROR(IF(INDEX('Test catalog'!$N$2:$N$200,MATCH($AB62,'Test catalog'!$A$2:$A$200,0))="","",INDEX('Test catalog'!$N$2:$N$200,MATCH($AB62,'Test catalog'!$A$2:$A$200,0))),"")</f>
        <v/>
      </c>
      <c r="V62" s="15" t="n"/>
      <c r="W62" s="5" t="inlineStr">
        <is>
          <t>N</t>
        </is>
      </c>
      <c r="X62" s="5" t="n"/>
      <c r="Y62" s="5" t="n"/>
      <c r="Z62" s="5" t="n"/>
      <c r="AA62" s="10">
        <f>IFERROR(IF(INDEX('Test catalog'!$O$2:$O$200,MATCH($AB62,'Test catalog'!$A$2:$A$200,0))="","",INDEX('Test catalog'!$O$2:$O$200,MATCH($AB62,'Test catalog'!$A$2:$A$200,0))),"")</f>
        <v/>
      </c>
      <c r="AB62" s="10" t="inlineStr">
        <is>
          <t>ID_IR</t>
        </is>
      </c>
      <c r="AC62" s="10" t="inlineStr">
        <is>
          <t>Caffeine · Identification &lt;197&gt;</t>
        </is>
      </c>
      <c r="AD62" s="10" t="n"/>
      <c r="AE62" s="10" t="n"/>
    </row>
    <row r="63">
      <c r="A63" s="10" t="inlineStr">
        <is>
          <t>Caffeine (Base)</t>
        </is>
      </c>
      <c r="B63" s="10" t="inlineStr">
        <is>
          <t>RM</t>
        </is>
      </c>
      <c r="C63" s="10" t="inlineStr">
        <is>
          <t>Active</t>
        </is>
      </c>
      <c r="D63" s="10" t="inlineStr">
        <is>
          <t>Assay (HPLC)</t>
        </is>
      </c>
      <c r="E63" s="10">
        <f>IF(A63="","",A63&amp;"|"&amp;D63)</f>
        <v/>
      </c>
      <c r="F63" s="5" t="inlineStr">
        <is>
          <t>Y</t>
        </is>
      </c>
      <c r="G63" s="5" t="inlineStr">
        <is>
          <t>HPLC</t>
        </is>
      </c>
      <c r="H63" s="5" t="inlineStr">
        <is>
          <t>Medium</t>
        </is>
      </c>
      <c r="I63" s="5" t="n">
        <v>1</v>
      </c>
      <c r="J63" s="5" t="n"/>
      <c r="K63" s="5" t="n"/>
      <c r="L63" s="5" t="n"/>
      <c r="M63" s="5" t="n"/>
      <c r="N63" s="5" t="n"/>
      <c r="O63" s="5" t="n"/>
      <c r="P63" s="14">
        <f>IF(N63="","",IF(OR(M63="",O63=""),N63,(M63+4*N63+O63)/6))</f>
        <v/>
      </c>
      <c r="Q63" s="5" t="n"/>
      <c r="R63" s="5" t="n"/>
      <c r="S63" s="5" t="n"/>
      <c r="T63" s="5" t="n"/>
      <c r="U63" s="5" t="n"/>
      <c r="V63" s="15" t="n"/>
      <c r="W63" s="5" t="inlineStr">
        <is>
          <t>N</t>
        </is>
      </c>
      <c r="X63" s="5" t="n"/>
      <c r="Y63" s="5" t="n"/>
      <c r="Z63" s="5" t="n"/>
      <c r="AA63" s="5" t="n"/>
      <c r="AB63" s="10" t="n"/>
      <c r="AC63" s="10" t="inlineStr">
        <is>
          <t>Caffeine · Assay</t>
        </is>
      </c>
      <c r="AD63" s="10" t="n"/>
      <c r="AE63" s="10" t="n"/>
    </row>
    <row r="64">
      <c r="A64" s="10" t="inlineStr">
        <is>
          <t>Caffeine (Base)</t>
        </is>
      </c>
      <c r="B64" s="10" t="inlineStr">
        <is>
          <t>RM</t>
        </is>
      </c>
      <c r="C64" s="10" t="inlineStr">
        <is>
          <t>Active</t>
        </is>
      </c>
      <c r="D64" s="10" t="inlineStr">
        <is>
          <t>Residue on Ignition</t>
        </is>
      </c>
      <c r="E64" s="10">
        <f>IF(A64="","",A64&amp;"|"&amp;D64)</f>
        <v/>
      </c>
      <c r="F64" s="5" t="inlineStr">
        <is>
          <t>Y</t>
        </is>
      </c>
      <c r="G64" s="5" t="inlineStr">
        <is>
          <t>Other / bench</t>
        </is>
      </c>
      <c r="H64" s="5" t="inlineStr">
        <is>
          <t>Low</t>
        </is>
      </c>
      <c r="I64" s="5" t="n">
        <v>1</v>
      </c>
      <c r="J64" s="5" t="n"/>
      <c r="K64" s="10">
        <f>IFERROR(IF(INDEX('Test catalog'!$F$2:$F$200,MATCH($AB64,'Test catalog'!$A$2:$A$200,0))="","",INDEX('Test catalog'!$F$2:$F$200,MATCH($AB64,'Test catalog'!$A$2:$A$200,0))),"")</f>
        <v/>
      </c>
      <c r="L64" s="10">
        <f>IFERROR(IF(INDEX('Test catalog'!$G$2:$G$200,MATCH($AB64,'Test catalog'!$A$2:$A$200,0))="","",INDEX('Test catalog'!$G$2:$G$200,MATCH($AB64,'Test catalog'!$A$2:$A$200,0))),"")</f>
        <v/>
      </c>
      <c r="M64" s="10">
        <f>IFERROR(IF(INDEX('Test catalog'!$H$2:$H$200,MATCH($AB64,'Test catalog'!$A$2:$A$200,0))="","",INDEX('Test catalog'!$H$2:$H$200,MATCH($AB64,'Test catalog'!$A$2:$A$200,0))),"")</f>
        <v/>
      </c>
      <c r="N64" s="10">
        <f>IFERROR(IF(INDEX('Test catalog'!$I$2:$I$200,MATCH($AB64,'Test catalog'!$A$2:$A$200,0))="","",INDEX('Test catalog'!$I$2:$I$200,MATCH($AB64,'Test catalog'!$A$2:$A$200,0))),"")</f>
        <v/>
      </c>
      <c r="O64" s="10">
        <f>IFERROR(IF(INDEX('Test catalog'!$J$2:$J$200,MATCH($AB64,'Test catalog'!$A$2:$A$200,0))="","",INDEX('Test catalog'!$J$2:$J$200,MATCH($AB64,'Test catalog'!$A$2:$A$200,0))),"")</f>
        <v/>
      </c>
      <c r="P64" s="14">
        <f>IF(N64="","",IF(OR(M64="",O64=""),N64,(M64+4*N64+O64)/6))</f>
        <v/>
      </c>
      <c r="Q64" s="10">
        <f>IFERROR(IF(INDEX('Test catalog'!$K$2:$K$200,MATCH($AB64,'Test catalog'!$A$2:$A$200,0))="","",INDEX('Test catalog'!$K$2:$K$200,MATCH($AB64,'Test catalog'!$A$2:$A$200,0))),"")</f>
        <v/>
      </c>
      <c r="R64" s="5" t="n"/>
      <c r="S64" s="10">
        <f>IFERROR(IF(INDEX('Test catalog'!$L$2:$L$200,MATCH($AB64,'Test catalog'!$A$2:$A$200,0))="","",INDEX('Test catalog'!$L$2:$L$200,MATCH($AB64,'Test catalog'!$A$2:$A$200,0))),"")</f>
        <v/>
      </c>
      <c r="T64" s="10">
        <f>IFERROR(IF(INDEX('Test catalog'!$M$2:$M$200,MATCH($AB64,'Test catalog'!$A$2:$A$200,0))="","",INDEX('Test catalog'!$M$2:$M$200,MATCH($AB64,'Test catalog'!$A$2:$A$200,0))),"")</f>
        <v/>
      </c>
      <c r="U64" s="10">
        <f>IFERROR(IF(INDEX('Test catalog'!$N$2:$N$200,MATCH($AB64,'Test catalog'!$A$2:$A$200,0))="","",INDEX('Test catalog'!$N$2:$N$200,MATCH($AB64,'Test catalog'!$A$2:$A$200,0))),"")</f>
        <v/>
      </c>
      <c r="V64" s="15" t="n"/>
      <c r="W64" s="5" t="inlineStr">
        <is>
          <t>N</t>
        </is>
      </c>
      <c r="X64" s="5" t="n"/>
      <c r="Y64" s="5" t="n"/>
      <c r="Z64" s="5" t="n"/>
      <c r="AA64" s="10">
        <f>IFERROR(IF(INDEX('Test catalog'!$O$2:$O$200,MATCH($AB64,'Test catalog'!$A$2:$A$200,0))="","",INDEX('Test catalog'!$O$2:$O$200,MATCH($AB64,'Test catalog'!$A$2:$A$200,0))),"")</f>
        <v/>
      </c>
      <c r="AB64" s="10" t="inlineStr">
        <is>
          <t>ROI</t>
        </is>
      </c>
      <c r="AC64" s="10" t="inlineStr">
        <is>
          <t>Caffeine · Impurities &lt;281&gt;</t>
        </is>
      </c>
      <c r="AD64" s="10" t="n"/>
      <c r="AE64" s="10" t="n"/>
    </row>
    <row r="65">
      <c r="A65" s="10" t="inlineStr">
        <is>
          <t>Caffeine (Base)</t>
        </is>
      </c>
      <c r="B65" s="10" t="inlineStr">
        <is>
          <t>RM</t>
        </is>
      </c>
      <c r="C65" s="10" t="inlineStr">
        <is>
          <t>Active</t>
        </is>
      </c>
      <c r="D65" s="10" t="inlineStr">
        <is>
          <t>Organic Impurities (HPLC)</t>
        </is>
      </c>
      <c r="E65" s="10">
        <f>IF(A65="","",A65&amp;"|"&amp;D65)</f>
        <v/>
      </c>
      <c r="F65" s="5" t="inlineStr">
        <is>
          <t>Y</t>
        </is>
      </c>
      <c r="G65" s="5" t="inlineStr">
        <is>
          <t>HPLC</t>
        </is>
      </c>
      <c r="H65" s="5" t="inlineStr">
        <is>
          <t>Medium</t>
        </is>
      </c>
      <c r="I65" s="5" t="n">
        <v>1</v>
      </c>
      <c r="J65" s="5" t="n"/>
      <c r="K65" s="5" t="n"/>
      <c r="L65" s="5" t="n"/>
      <c r="M65" s="5" t="n"/>
      <c r="N65" s="5" t="n"/>
      <c r="O65" s="5" t="n"/>
      <c r="P65" s="14">
        <f>IF(N65="","",IF(OR(M65="",O65=""),N65,(M65+4*N65+O65)/6))</f>
        <v/>
      </c>
      <c r="Q65" s="5" t="n"/>
      <c r="R65" s="5" t="n"/>
      <c r="S65" s="5" t="n"/>
      <c r="T65" s="5" t="n"/>
      <c r="U65" s="5" t="n"/>
      <c r="V65" s="15" t="n"/>
      <c r="W65" s="5" t="inlineStr">
        <is>
          <t>N</t>
        </is>
      </c>
      <c r="X65" s="5" t="n"/>
      <c r="Y65" s="5" t="n"/>
      <c r="Z65" s="5" t="n"/>
      <c r="AA65" s="5" t="n"/>
      <c r="AB65" s="10" t="n"/>
      <c r="AC65" s="10" t="inlineStr">
        <is>
          <t>Caffeine · Impurities</t>
        </is>
      </c>
      <c r="AD65" s="10" t="n"/>
      <c r="AE65" s="10" t="n"/>
    </row>
    <row r="66">
      <c r="A66" s="10" t="inlineStr">
        <is>
          <t>Caffeine (Base)</t>
        </is>
      </c>
      <c r="B66" s="10" t="inlineStr">
        <is>
          <t>RM</t>
        </is>
      </c>
      <c r="C66" s="10" t="inlineStr">
        <is>
          <t>Active</t>
        </is>
      </c>
      <c r="D66" s="10" t="inlineStr">
        <is>
          <t>Water Determination, Method III</t>
        </is>
      </c>
      <c r="E66" s="10">
        <f>IF(A66="","",A66&amp;"|"&amp;D66)</f>
        <v/>
      </c>
      <c r="F66" s="5" t="inlineStr">
        <is>
          <t>Y</t>
        </is>
      </c>
      <c r="G66" s="5" t="inlineStr">
        <is>
          <t>Other / bench</t>
        </is>
      </c>
      <c r="H66" s="5" t="inlineStr">
        <is>
          <t>Low</t>
        </is>
      </c>
      <c r="I66" s="5" t="n">
        <v>1</v>
      </c>
      <c r="J66" s="5" t="n"/>
      <c r="K66" s="10">
        <f>IFERROR(IF(INDEX('Test catalog'!$F$2:$F$200,MATCH($AB66,'Test catalog'!$A$2:$A$200,0))="","",INDEX('Test catalog'!$F$2:$F$200,MATCH($AB66,'Test catalog'!$A$2:$A$200,0))),"")</f>
        <v/>
      </c>
      <c r="L66" s="10">
        <f>IFERROR(IF(INDEX('Test catalog'!$G$2:$G$200,MATCH($AB66,'Test catalog'!$A$2:$A$200,0))="","",INDEX('Test catalog'!$G$2:$G$200,MATCH($AB66,'Test catalog'!$A$2:$A$200,0))),"")</f>
        <v/>
      </c>
      <c r="M66" s="10">
        <f>IFERROR(IF(INDEX('Test catalog'!$H$2:$H$200,MATCH($AB66,'Test catalog'!$A$2:$A$200,0))="","",INDEX('Test catalog'!$H$2:$H$200,MATCH($AB66,'Test catalog'!$A$2:$A$200,0))),"")</f>
        <v/>
      </c>
      <c r="N66" s="10">
        <f>IFERROR(IF(INDEX('Test catalog'!$I$2:$I$200,MATCH($AB66,'Test catalog'!$A$2:$A$200,0))="","",INDEX('Test catalog'!$I$2:$I$200,MATCH($AB66,'Test catalog'!$A$2:$A$200,0))),"")</f>
        <v/>
      </c>
      <c r="O66" s="10">
        <f>IFERROR(IF(INDEX('Test catalog'!$J$2:$J$200,MATCH($AB66,'Test catalog'!$A$2:$A$200,0))="","",INDEX('Test catalog'!$J$2:$J$200,MATCH($AB66,'Test catalog'!$A$2:$A$200,0))),"")</f>
        <v/>
      </c>
      <c r="P66" s="14">
        <f>IF(N66="","",IF(OR(M66="",O66=""),N66,(M66+4*N66+O66)/6))</f>
        <v/>
      </c>
      <c r="Q66" s="10">
        <f>IFERROR(IF(INDEX('Test catalog'!$K$2:$K$200,MATCH($AB66,'Test catalog'!$A$2:$A$200,0))="","",INDEX('Test catalog'!$K$2:$K$200,MATCH($AB66,'Test catalog'!$A$2:$A$200,0))),"")</f>
        <v/>
      </c>
      <c r="R66" s="5" t="n"/>
      <c r="S66" s="10">
        <f>IFERROR(IF(INDEX('Test catalog'!$L$2:$L$200,MATCH($AB66,'Test catalog'!$A$2:$A$200,0))="","",INDEX('Test catalog'!$L$2:$L$200,MATCH($AB66,'Test catalog'!$A$2:$A$200,0))),"")</f>
        <v/>
      </c>
      <c r="T66" s="10">
        <f>IFERROR(IF(INDEX('Test catalog'!$M$2:$M$200,MATCH($AB66,'Test catalog'!$A$2:$A$200,0))="","",INDEX('Test catalog'!$M$2:$M$200,MATCH($AB66,'Test catalog'!$A$2:$A$200,0))),"")</f>
        <v/>
      </c>
      <c r="U66" s="10">
        <f>IFERROR(IF(INDEX('Test catalog'!$N$2:$N$200,MATCH($AB66,'Test catalog'!$A$2:$A$200,0))="","",INDEX('Test catalog'!$N$2:$N$200,MATCH($AB66,'Test catalog'!$A$2:$A$200,0))),"")</f>
        <v/>
      </c>
      <c r="V66" s="15" t="n"/>
      <c r="W66" s="5" t="inlineStr">
        <is>
          <t>N</t>
        </is>
      </c>
      <c r="X66" s="5" t="n"/>
      <c r="Y66" s="5" t="n"/>
      <c r="Z66" s="5" t="n"/>
      <c r="AA66" s="10">
        <f>IFERROR(IF(INDEX('Test catalog'!$O$2:$O$200,MATCH($AB66,'Test catalog'!$A$2:$A$200,0))="","",INDEX('Test catalog'!$O$2:$O$200,MATCH($AB66,'Test catalog'!$A$2:$A$200,0))),"")</f>
        <v/>
      </c>
      <c r="AB66" s="10" t="inlineStr">
        <is>
          <t>LOD</t>
        </is>
      </c>
      <c r="AC66" s="10" t="inlineStr">
        <is>
          <t>Caffeine · Specific Tests &lt;921&gt;</t>
        </is>
      </c>
      <c r="AD66" s="10" t="n"/>
      <c r="AE66" s="10" t="n"/>
    </row>
    <row r="67">
      <c r="A67" s="10" t="inlineStr">
        <is>
          <t>Calcium Carbonate</t>
        </is>
      </c>
      <c r="B67" s="10" t="inlineStr">
        <is>
          <t>RM</t>
        </is>
      </c>
      <c r="C67" s="10" t="inlineStr">
        <is>
          <t>Active</t>
        </is>
      </c>
      <c r="D67" s="10" t="inlineStr">
        <is>
          <t>Appearance / description and solubility</t>
        </is>
      </c>
      <c r="E67" s="10">
        <f>IF(A67="","",A67&amp;"|"&amp;D67)</f>
        <v/>
      </c>
      <c r="F67" s="5" t="inlineStr">
        <is>
          <t>Y</t>
        </is>
      </c>
      <c r="G67" s="5" t="inlineStr">
        <is>
          <t>Other / bench</t>
        </is>
      </c>
      <c r="H67" s="5" t="inlineStr">
        <is>
          <t>Low</t>
        </is>
      </c>
      <c r="I67" s="5" t="n">
        <v>1</v>
      </c>
      <c r="J67" s="5" t="n"/>
      <c r="K67" s="10">
        <f>IFERROR(IF(INDEX('Test catalog'!$F$2:$F$200,MATCH($AB67,'Test catalog'!$A$2:$A$200,0))="","",INDEX('Test catalog'!$F$2:$F$200,MATCH($AB67,'Test catalog'!$A$2:$A$200,0))),"")</f>
        <v/>
      </c>
      <c r="L67" s="10">
        <f>IFERROR(IF(INDEX('Test catalog'!$G$2:$G$200,MATCH($AB67,'Test catalog'!$A$2:$A$200,0))="","",INDEX('Test catalog'!$G$2:$G$200,MATCH($AB67,'Test catalog'!$A$2:$A$200,0))),"")</f>
        <v/>
      </c>
      <c r="M67" s="10">
        <f>IFERROR(IF(INDEX('Test catalog'!$H$2:$H$200,MATCH($AB67,'Test catalog'!$A$2:$A$200,0))="","",INDEX('Test catalog'!$H$2:$H$200,MATCH($AB67,'Test catalog'!$A$2:$A$200,0))),"")</f>
        <v/>
      </c>
      <c r="N67" s="10">
        <f>IFERROR(IF(INDEX('Test catalog'!$I$2:$I$200,MATCH($AB67,'Test catalog'!$A$2:$A$200,0))="","",INDEX('Test catalog'!$I$2:$I$200,MATCH($AB67,'Test catalog'!$A$2:$A$200,0))),"")</f>
        <v/>
      </c>
      <c r="O67" s="10">
        <f>IFERROR(IF(INDEX('Test catalog'!$J$2:$J$200,MATCH($AB67,'Test catalog'!$A$2:$A$200,0))="","",INDEX('Test catalog'!$J$2:$J$200,MATCH($AB67,'Test catalog'!$A$2:$A$200,0))),"")</f>
        <v/>
      </c>
      <c r="P67" s="14">
        <f>IF(N67="","",IF(OR(M67="",O67=""),N67,(M67+4*N67+O67)/6))</f>
        <v/>
      </c>
      <c r="Q67" s="10">
        <f>IFERROR(IF(INDEX('Test catalog'!$K$2:$K$200,MATCH($AB67,'Test catalog'!$A$2:$A$200,0))="","",INDEX('Test catalog'!$K$2:$K$200,MATCH($AB67,'Test catalog'!$A$2:$A$200,0))),"")</f>
        <v/>
      </c>
      <c r="R67" s="5" t="n"/>
      <c r="S67" s="10">
        <f>IFERROR(IF(INDEX('Test catalog'!$L$2:$L$200,MATCH($AB67,'Test catalog'!$A$2:$A$200,0))="","",INDEX('Test catalog'!$L$2:$L$200,MATCH($AB67,'Test catalog'!$A$2:$A$200,0))),"")</f>
        <v/>
      </c>
      <c r="T67" s="10">
        <f>IFERROR(IF(INDEX('Test catalog'!$M$2:$M$200,MATCH($AB67,'Test catalog'!$A$2:$A$200,0))="","",INDEX('Test catalog'!$M$2:$M$200,MATCH($AB67,'Test catalog'!$A$2:$A$200,0))),"")</f>
        <v/>
      </c>
      <c r="U67" s="10">
        <f>IFERROR(IF(INDEX('Test catalog'!$N$2:$N$200,MATCH($AB67,'Test catalog'!$A$2:$A$200,0))="","",INDEX('Test catalog'!$N$2:$N$200,MATCH($AB67,'Test catalog'!$A$2:$A$200,0))),"")</f>
        <v/>
      </c>
      <c r="V67" s="15" t="n"/>
      <c r="W67" s="5" t="inlineStr">
        <is>
          <t>N</t>
        </is>
      </c>
      <c r="X67" s="5" t="n"/>
      <c r="Y67" s="5" t="n"/>
      <c r="Z67" s="5" t="n"/>
      <c r="AA67" s="10">
        <f>IFERROR(IF(INDEX('Test catalog'!$O$2:$O$200,MATCH($AB67,'Test catalog'!$A$2:$A$200,0))="","",INDEX('Test catalog'!$O$2:$O$200,MATCH($AB67,'Test catalog'!$A$2:$A$200,0))),"")</f>
        <v/>
      </c>
      <c r="AB67" s="10" t="inlineStr">
        <is>
          <t>APPEAR</t>
        </is>
      </c>
      <c r="AC67" s="10" t="inlineStr">
        <is>
          <t>Lab practice (not a USP test)</t>
        </is>
      </c>
      <c r="AD67" s="10" t="n"/>
      <c r="AE67" s="10" t="n"/>
    </row>
    <row r="68">
      <c r="A68" s="10" t="inlineStr">
        <is>
          <t>Calcium Carbonate</t>
        </is>
      </c>
      <c r="B68" s="10" t="inlineStr">
        <is>
          <t>RM</t>
        </is>
      </c>
      <c r="C68" s="10" t="inlineStr">
        <is>
          <t>Active</t>
        </is>
      </c>
      <c r="D68" s="10" t="inlineStr">
        <is>
          <t>ID A - chemical reaction</t>
        </is>
      </c>
      <c r="E68" s="10">
        <f>IF(A68="","",A68&amp;"|"&amp;D68)</f>
        <v/>
      </c>
      <c r="F68" s="5" t="inlineStr">
        <is>
          <t>Y</t>
        </is>
      </c>
      <c r="G68" s="5" t="inlineStr">
        <is>
          <t>Other / bench</t>
        </is>
      </c>
      <c r="H68" s="5" t="inlineStr">
        <is>
          <t>Low</t>
        </is>
      </c>
      <c r="I68" s="5" t="n">
        <v>1</v>
      </c>
      <c r="J68" s="5" t="n"/>
      <c r="K68" s="10">
        <f>IFERROR(IF(INDEX('Test catalog'!$F$2:$F$200,MATCH($AB68,'Test catalog'!$A$2:$A$200,0))="","",INDEX('Test catalog'!$F$2:$F$200,MATCH($AB68,'Test catalog'!$A$2:$A$200,0))),"")</f>
        <v/>
      </c>
      <c r="L68" s="10">
        <f>IFERROR(IF(INDEX('Test catalog'!$G$2:$G$200,MATCH($AB68,'Test catalog'!$A$2:$A$200,0))="","",INDEX('Test catalog'!$G$2:$G$200,MATCH($AB68,'Test catalog'!$A$2:$A$200,0))),"")</f>
        <v/>
      </c>
      <c r="M68" s="10">
        <f>IFERROR(IF(INDEX('Test catalog'!$H$2:$H$200,MATCH($AB68,'Test catalog'!$A$2:$A$200,0))="","",INDEX('Test catalog'!$H$2:$H$200,MATCH($AB68,'Test catalog'!$A$2:$A$200,0))),"")</f>
        <v/>
      </c>
      <c r="N68" s="10">
        <f>IFERROR(IF(INDEX('Test catalog'!$I$2:$I$200,MATCH($AB68,'Test catalog'!$A$2:$A$200,0))="","",INDEX('Test catalog'!$I$2:$I$200,MATCH($AB68,'Test catalog'!$A$2:$A$200,0))),"")</f>
        <v/>
      </c>
      <c r="O68" s="10">
        <f>IFERROR(IF(INDEX('Test catalog'!$J$2:$J$200,MATCH($AB68,'Test catalog'!$A$2:$A$200,0))="","",INDEX('Test catalog'!$J$2:$J$200,MATCH($AB68,'Test catalog'!$A$2:$A$200,0))),"")</f>
        <v/>
      </c>
      <c r="P68" s="14">
        <f>IF(N68="","",IF(OR(M68="",O68=""),N68,(M68+4*N68+O68)/6))</f>
        <v/>
      </c>
      <c r="Q68" s="10">
        <f>IFERROR(IF(INDEX('Test catalog'!$K$2:$K$200,MATCH($AB68,'Test catalog'!$A$2:$A$200,0))="","",INDEX('Test catalog'!$K$2:$K$200,MATCH($AB68,'Test catalog'!$A$2:$A$200,0))),"")</f>
        <v/>
      </c>
      <c r="R68" s="5" t="n"/>
      <c r="S68" s="10">
        <f>IFERROR(IF(INDEX('Test catalog'!$L$2:$L$200,MATCH($AB68,'Test catalog'!$A$2:$A$200,0))="","",INDEX('Test catalog'!$L$2:$L$200,MATCH($AB68,'Test catalog'!$A$2:$A$200,0))),"")</f>
        <v/>
      </c>
      <c r="T68" s="10">
        <f>IFERROR(IF(INDEX('Test catalog'!$M$2:$M$200,MATCH($AB68,'Test catalog'!$A$2:$A$200,0))="","",INDEX('Test catalog'!$M$2:$M$200,MATCH($AB68,'Test catalog'!$A$2:$A$200,0))),"")</f>
        <v/>
      </c>
      <c r="U68" s="10">
        <f>IFERROR(IF(INDEX('Test catalog'!$N$2:$N$200,MATCH($AB68,'Test catalog'!$A$2:$A$200,0))="","",INDEX('Test catalog'!$N$2:$N$200,MATCH($AB68,'Test catalog'!$A$2:$A$200,0))),"")</f>
        <v/>
      </c>
      <c r="V68" s="15" t="n"/>
      <c r="W68" s="5" t="inlineStr">
        <is>
          <t>N</t>
        </is>
      </c>
      <c r="X68" s="5" t="n"/>
      <c r="Y68" s="5" t="n"/>
      <c r="Z68" s="5" t="n"/>
      <c r="AA68" s="10">
        <f>IFERROR(IF(INDEX('Test catalog'!$O$2:$O$200,MATCH($AB68,'Test catalog'!$A$2:$A$200,0))="","",INDEX('Test catalog'!$O$2:$O$200,MATCH($AB68,'Test catalog'!$A$2:$A$200,0))),"")</f>
        <v/>
      </c>
      <c r="AB68" s="10" t="inlineStr">
        <is>
          <t>ID_CHEM</t>
        </is>
      </c>
      <c r="AC68" s="10" t="inlineStr">
        <is>
          <t>Calcium Carbonate · Identification &lt;191&gt;</t>
        </is>
      </c>
      <c r="AD68" s="10" t="n"/>
      <c r="AE68" s="10" t="n"/>
    </row>
    <row r="69">
      <c r="A69" s="10" t="inlineStr">
        <is>
          <t>Calcium Carbonate</t>
        </is>
      </c>
      <c r="B69" s="10" t="inlineStr">
        <is>
          <t>RM</t>
        </is>
      </c>
      <c r="C69" s="10" t="inlineStr">
        <is>
          <t>Active</t>
        </is>
      </c>
      <c r="D69" s="10" t="inlineStr">
        <is>
          <t>Assay - Titrimetry</t>
        </is>
      </c>
      <c r="E69" s="10">
        <f>IF(A69="","",A69&amp;"|"&amp;D69)</f>
        <v/>
      </c>
      <c r="F69" s="5" t="inlineStr">
        <is>
          <t>Y</t>
        </is>
      </c>
      <c r="G69" s="5" t="inlineStr">
        <is>
          <t>Other / bench</t>
        </is>
      </c>
      <c r="H69" s="5" t="inlineStr">
        <is>
          <t>Low</t>
        </is>
      </c>
      <c r="I69" s="5" t="n">
        <v>1</v>
      </c>
      <c r="J69" s="5" t="n"/>
      <c r="K69" s="10">
        <f>IFERROR(IF(INDEX('Test catalog'!$F$2:$F$200,MATCH($AB69,'Test catalog'!$A$2:$A$200,0))="","",INDEX('Test catalog'!$F$2:$F$200,MATCH($AB69,'Test catalog'!$A$2:$A$200,0))),"")</f>
        <v/>
      </c>
      <c r="L69" s="10">
        <f>IFERROR(IF(INDEX('Test catalog'!$G$2:$G$200,MATCH($AB69,'Test catalog'!$A$2:$A$200,0))="","",INDEX('Test catalog'!$G$2:$G$200,MATCH($AB69,'Test catalog'!$A$2:$A$200,0))),"")</f>
        <v/>
      </c>
      <c r="M69" s="10">
        <f>IFERROR(IF(INDEX('Test catalog'!$H$2:$H$200,MATCH($AB69,'Test catalog'!$A$2:$A$200,0))="","",INDEX('Test catalog'!$H$2:$H$200,MATCH($AB69,'Test catalog'!$A$2:$A$200,0))),"")</f>
        <v/>
      </c>
      <c r="N69" s="10">
        <f>IFERROR(IF(INDEX('Test catalog'!$I$2:$I$200,MATCH($AB69,'Test catalog'!$A$2:$A$200,0))="","",INDEX('Test catalog'!$I$2:$I$200,MATCH($AB69,'Test catalog'!$A$2:$A$200,0))),"")</f>
        <v/>
      </c>
      <c r="O69" s="10">
        <f>IFERROR(IF(INDEX('Test catalog'!$J$2:$J$200,MATCH($AB69,'Test catalog'!$A$2:$A$200,0))="","",INDEX('Test catalog'!$J$2:$J$200,MATCH($AB69,'Test catalog'!$A$2:$A$200,0))),"")</f>
        <v/>
      </c>
      <c r="P69" s="14">
        <f>IF(N69="","",IF(OR(M69="",O69=""),N69,(M69+4*N69+O69)/6))</f>
        <v/>
      </c>
      <c r="Q69" s="10">
        <f>IFERROR(IF(INDEX('Test catalog'!$K$2:$K$200,MATCH($AB69,'Test catalog'!$A$2:$A$200,0))="","",INDEX('Test catalog'!$K$2:$K$200,MATCH($AB69,'Test catalog'!$A$2:$A$200,0))),"")</f>
        <v/>
      </c>
      <c r="R69" s="5" t="n"/>
      <c r="S69" s="10">
        <f>IFERROR(IF(INDEX('Test catalog'!$L$2:$L$200,MATCH($AB69,'Test catalog'!$A$2:$A$200,0))="","",INDEX('Test catalog'!$L$2:$L$200,MATCH($AB69,'Test catalog'!$A$2:$A$200,0))),"")</f>
        <v/>
      </c>
      <c r="T69" s="10">
        <f>IFERROR(IF(INDEX('Test catalog'!$M$2:$M$200,MATCH($AB69,'Test catalog'!$A$2:$A$200,0))="","",INDEX('Test catalog'!$M$2:$M$200,MATCH($AB69,'Test catalog'!$A$2:$A$200,0))),"")</f>
        <v/>
      </c>
      <c r="U69" s="10">
        <f>IFERROR(IF(INDEX('Test catalog'!$N$2:$N$200,MATCH($AB69,'Test catalog'!$A$2:$A$200,0))="","",INDEX('Test catalog'!$N$2:$N$200,MATCH($AB69,'Test catalog'!$A$2:$A$200,0))),"")</f>
        <v/>
      </c>
      <c r="V69" s="15" t="n"/>
      <c r="W69" s="5" t="inlineStr">
        <is>
          <t>N</t>
        </is>
      </c>
      <c r="X69" s="5" t="n"/>
      <c r="Y69" s="5" t="n"/>
      <c r="Z69" s="5" t="n"/>
      <c r="AA69" s="10">
        <f>IFERROR(IF(INDEX('Test catalog'!$O$2:$O$200,MATCH($AB69,'Test catalog'!$A$2:$A$200,0))="","",INDEX('Test catalog'!$O$2:$O$200,MATCH($AB69,'Test catalog'!$A$2:$A$200,0))),"")</f>
        <v/>
      </c>
      <c r="AB69" s="10" t="inlineStr">
        <is>
          <t>TITR</t>
        </is>
      </c>
      <c r="AC69" s="10" t="inlineStr">
        <is>
          <t>Calcium Carbonate · Assay &lt;541&gt;</t>
        </is>
      </c>
      <c r="AD69" s="10" t="n"/>
      <c r="AE69" s="10" t="n"/>
    </row>
    <row r="70">
      <c r="A70" s="10" t="inlineStr">
        <is>
          <t>Calcium Carbonate</t>
        </is>
      </c>
      <c r="B70" s="10" t="inlineStr">
        <is>
          <t>RM</t>
        </is>
      </c>
      <c r="C70" s="10" t="inlineStr">
        <is>
          <t>Active</t>
        </is>
      </c>
      <c r="D70" s="10" t="inlineStr">
        <is>
          <t>Acid-Insoluble Substances</t>
        </is>
      </c>
      <c r="E70" s="10">
        <f>IF(A70="","",A70&amp;"|"&amp;D70)</f>
        <v/>
      </c>
      <c r="F70" s="5" t="inlineStr">
        <is>
          <t>Y</t>
        </is>
      </c>
      <c r="G70" s="5" t="inlineStr">
        <is>
          <t>Other / bench</t>
        </is>
      </c>
      <c r="H70" s="5" t="inlineStr">
        <is>
          <t>Low</t>
        </is>
      </c>
      <c r="I70" s="5" t="n">
        <v>1</v>
      </c>
      <c r="J70" s="5" t="n"/>
      <c r="K70" s="10">
        <f>IFERROR(IF(INDEX('Test catalog'!$F$2:$F$200,MATCH($AB70,'Test catalog'!$A$2:$A$200,0))="","",INDEX('Test catalog'!$F$2:$F$200,MATCH($AB70,'Test catalog'!$A$2:$A$200,0))),"")</f>
        <v/>
      </c>
      <c r="L70" s="10">
        <f>IFERROR(IF(INDEX('Test catalog'!$G$2:$G$200,MATCH($AB70,'Test catalog'!$A$2:$A$200,0))="","",INDEX('Test catalog'!$G$2:$G$200,MATCH($AB70,'Test catalog'!$A$2:$A$200,0))),"")</f>
        <v/>
      </c>
      <c r="M70" s="10">
        <f>IFERROR(IF(INDEX('Test catalog'!$H$2:$H$200,MATCH($AB70,'Test catalog'!$A$2:$A$200,0))="","",INDEX('Test catalog'!$H$2:$H$200,MATCH($AB70,'Test catalog'!$A$2:$A$200,0))),"")</f>
        <v/>
      </c>
      <c r="N70" s="10">
        <f>IFERROR(IF(INDEX('Test catalog'!$I$2:$I$200,MATCH($AB70,'Test catalog'!$A$2:$A$200,0))="","",INDEX('Test catalog'!$I$2:$I$200,MATCH($AB70,'Test catalog'!$A$2:$A$200,0))),"")</f>
        <v/>
      </c>
      <c r="O70" s="10">
        <f>IFERROR(IF(INDEX('Test catalog'!$J$2:$J$200,MATCH($AB70,'Test catalog'!$A$2:$A$200,0))="","",INDEX('Test catalog'!$J$2:$J$200,MATCH($AB70,'Test catalog'!$A$2:$A$200,0))),"")</f>
        <v/>
      </c>
      <c r="P70" s="14">
        <f>IF(N70="","",IF(OR(M70="",O70=""),N70,(M70+4*N70+O70)/6))</f>
        <v/>
      </c>
      <c r="Q70" s="10">
        <f>IFERROR(IF(INDEX('Test catalog'!$K$2:$K$200,MATCH($AB70,'Test catalog'!$A$2:$A$200,0))="","",INDEX('Test catalog'!$K$2:$K$200,MATCH($AB70,'Test catalog'!$A$2:$A$200,0))),"")</f>
        <v/>
      </c>
      <c r="R70" s="5" t="n"/>
      <c r="S70" s="10">
        <f>IFERROR(IF(INDEX('Test catalog'!$L$2:$L$200,MATCH($AB70,'Test catalog'!$A$2:$A$200,0))="","",INDEX('Test catalog'!$L$2:$L$200,MATCH($AB70,'Test catalog'!$A$2:$A$200,0))),"")</f>
        <v/>
      </c>
      <c r="T70" s="10">
        <f>IFERROR(IF(INDEX('Test catalog'!$M$2:$M$200,MATCH($AB70,'Test catalog'!$A$2:$A$200,0))="","",INDEX('Test catalog'!$M$2:$M$200,MATCH($AB70,'Test catalog'!$A$2:$A$200,0))),"")</f>
        <v/>
      </c>
      <c r="U70" s="10">
        <f>IFERROR(IF(INDEX('Test catalog'!$N$2:$N$200,MATCH($AB70,'Test catalog'!$A$2:$A$200,0))="","",INDEX('Test catalog'!$N$2:$N$200,MATCH($AB70,'Test catalog'!$A$2:$A$200,0))),"")</f>
        <v/>
      </c>
      <c r="V70" s="15" t="n"/>
      <c r="W70" s="5" t="inlineStr">
        <is>
          <t>N</t>
        </is>
      </c>
      <c r="X70" s="5" t="n"/>
      <c r="Y70" s="5" t="n"/>
      <c r="Z70" s="5" t="n"/>
      <c r="AA70" s="10">
        <f>IFERROR(IF(INDEX('Test catalog'!$O$2:$O$200,MATCH($AB70,'Test catalog'!$A$2:$A$200,0))="","",INDEX('Test catalog'!$O$2:$O$200,MATCH($AB70,'Test catalog'!$A$2:$A$200,0))),"")</f>
        <v/>
      </c>
      <c r="AB70" s="10" t="inlineStr">
        <is>
          <t>GRAV</t>
        </is>
      </c>
      <c r="AC70" s="10" t="inlineStr">
        <is>
          <t>Calcium Carbonate · Impurities</t>
        </is>
      </c>
      <c r="AD70" s="10" t="n"/>
      <c r="AE70" s="10" t="n"/>
    </row>
    <row r="71">
      <c r="A71" s="10" t="inlineStr">
        <is>
          <t>Calcium Carbonate</t>
        </is>
      </c>
      <c r="B71" s="10" t="inlineStr">
        <is>
          <t>RM</t>
        </is>
      </c>
      <c r="C71" s="10" t="inlineStr">
        <is>
          <t>Active</t>
        </is>
      </c>
      <c r="D71" s="10" t="inlineStr">
        <is>
          <t>Arsenic</t>
        </is>
      </c>
      <c r="E71" s="10">
        <f>IF(A71="","",A71&amp;"|"&amp;D71)</f>
        <v/>
      </c>
      <c r="F71" s="5" t="inlineStr">
        <is>
          <t>Y</t>
        </is>
      </c>
      <c r="G71" s="5" t="inlineStr">
        <is>
          <t>Other / bench</t>
        </is>
      </c>
      <c r="H71" s="5" t="inlineStr">
        <is>
          <t>Low</t>
        </is>
      </c>
      <c r="I71" s="5" t="n">
        <v>1</v>
      </c>
      <c r="J71" s="5" t="n"/>
      <c r="K71" s="10">
        <f>IFERROR(IF(INDEX('Test catalog'!$F$2:$F$200,MATCH($AB71,'Test catalog'!$A$2:$A$200,0))="","",INDEX('Test catalog'!$F$2:$F$200,MATCH($AB71,'Test catalog'!$A$2:$A$200,0))),"")</f>
        <v/>
      </c>
      <c r="L71" s="10">
        <f>IFERROR(IF(INDEX('Test catalog'!$G$2:$G$200,MATCH($AB71,'Test catalog'!$A$2:$A$200,0))="","",INDEX('Test catalog'!$G$2:$G$200,MATCH($AB71,'Test catalog'!$A$2:$A$200,0))),"")</f>
        <v/>
      </c>
      <c r="M71" s="10">
        <f>IFERROR(IF(INDEX('Test catalog'!$H$2:$H$200,MATCH($AB71,'Test catalog'!$A$2:$A$200,0))="","",INDEX('Test catalog'!$H$2:$H$200,MATCH($AB71,'Test catalog'!$A$2:$A$200,0))),"")</f>
        <v/>
      </c>
      <c r="N71" s="10">
        <f>IFERROR(IF(INDEX('Test catalog'!$I$2:$I$200,MATCH($AB71,'Test catalog'!$A$2:$A$200,0))="","",INDEX('Test catalog'!$I$2:$I$200,MATCH($AB71,'Test catalog'!$A$2:$A$200,0))),"")</f>
        <v/>
      </c>
      <c r="O71" s="10">
        <f>IFERROR(IF(INDEX('Test catalog'!$J$2:$J$200,MATCH($AB71,'Test catalog'!$A$2:$A$200,0))="","",INDEX('Test catalog'!$J$2:$J$200,MATCH($AB71,'Test catalog'!$A$2:$A$200,0))),"")</f>
        <v/>
      </c>
      <c r="P71" s="14">
        <f>IF(N71="","",IF(OR(M71="",O71=""),N71,(M71+4*N71+O71)/6))</f>
        <v/>
      </c>
      <c r="Q71" s="10">
        <f>IFERROR(IF(INDEX('Test catalog'!$K$2:$K$200,MATCH($AB71,'Test catalog'!$A$2:$A$200,0))="","",INDEX('Test catalog'!$K$2:$K$200,MATCH($AB71,'Test catalog'!$A$2:$A$200,0))),"")</f>
        <v/>
      </c>
      <c r="R71" s="5" t="n"/>
      <c r="S71" s="10">
        <f>IFERROR(IF(INDEX('Test catalog'!$L$2:$L$200,MATCH($AB71,'Test catalog'!$A$2:$A$200,0))="","",INDEX('Test catalog'!$L$2:$L$200,MATCH($AB71,'Test catalog'!$A$2:$A$200,0))),"")</f>
        <v/>
      </c>
      <c r="T71" s="10">
        <f>IFERROR(IF(INDEX('Test catalog'!$M$2:$M$200,MATCH($AB71,'Test catalog'!$A$2:$A$200,0))="","",INDEX('Test catalog'!$M$2:$M$200,MATCH($AB71,'Test catalog'!$A$2:$A$200,0))),"")</f>
        <v/>
      </c>
      <c r="U71" s="10">
        <f>IFERROR(IF(INDEX('Test catalog'!$N$2:$N$200,MATCH($AB71,'Test catalog'!$A$2:$A$200,0))="","",INDEX('Test catalog'!$N$2:$N$200,MATCH($AB71,'Test catalog'!$A$2:$A$200,0))),"")</f>
        <v/>
      </c>
      <c r="V71" s="15" t="n"/>
      <c r="W71" s="5" t="inlineStr">
        <is>
          <t>N</t>
        </is>
      </c>
      <c r="X71" s="5" t="n"/>
      <c r="Y71" s="5" t="n"/>
      <c r="Z71" s="5" t="n"/>
      <c r="AA71" s="10">
        <f>IFERROR(IF(INDEX('Test catalog'!$O$2:$O$200,MATCH($AB71,'Test catalog'!$A$2:$A$200,0))="","",INDEX('Test catalog'!$O$2:$O$200,MATCH($AB71,'Test catalog'!$A$2:$A$200,0))),"")</f>
        <v/>
      </c>
      <c r="AB71" s="10" t="inlineStr">
        <is>
          <t>LIM_TOX</t>
        </is>
      </c>
      <c r="AC71" s="10" t="inlineStr">
        <is>
          <t>Calcium Carbonate · Impurities &lt;211&gt;</t>
        </is>
      </c>
      <c r="AD71" s="10" t="n"/>
      <c r="AE71" s="10" t="n"/>
    </row>
    <row r="72">
      <c r="A72" s="10" t="inlineStr">
        <is>
          <t>Calcium Carbonate</t>
        </is>
      </c>
      <c r="B72" s="10" t="inlineStr">
        <is>
          <t>RM</t>
        </is>
      </c>
      <c r="C72" s="10" t="inlineStr">
        <is>
          <t>Active</t>
        </is>
      </c>
      <c r="D72" s="10" t="inlineStr">
        <is>
          <t>Barium</t>
        </is>
      </c>
      <c r="E72" s="10">
        <f>IF(A72="","",A72&amp;"|"&amp;D72)</f>
        <v/>
      </c>
      <c r="F72" s="5" t="inlineStr">
        <is>
          <t>Y</t>
        </is>
      </c>
      <c r="G72" s="5" t="inlineStr">
        <is>
          <t>Other / bench</t>
        </is>
      </c>
      <c r="H72" s="5" t="inlineStr">
        <is>
          <t>Low</t>
        </is>
      </c>
      <c r="I72" s="5" t="n">
        <v>1</v>
      </c>
      <c r="J72" s="5" t="n"/>
      <c r="K72" s="10">
        <f>IFERROR(IF(INDEX('Test catalog'!$F$2:$F$200,MATCH($AB72,'Test catalog'!$A$2:$A$200,0))="","",INDEX('Test catalog'!$F$2:$F$200,MATCH($AB72,'Test catalog'!$A$2:$A$200,0))),"")</f>
        <v/>
      </c>
      <c r="L72" s="10">
        <f>IFERROR(IF(INDEX('Test catalog'!$G$2:$G$200,MATCH($AB72,'Test catalog'!$A$2:$A$200,0))="","",INDEX('Test catalog'!$G$2:$G$200,MATCH($AB72,'Test catalog'!$A$2:$A$200,0))),"")</f>
        <v/>
      </c>
      <c r="M72" s="10">
        <f>IFERROR(IF(INDEX('Test catalog'!$H$2:$H$200,MATCH($AB72,'Test catalog'!$A$2:$A$200,0))="","",INDEX('Test catalog'!$H$2:$H$200,MATCH($AB72,'Test catalog'!$A$2:$A$200,0))),"")</f>
        <v/>
      </c>
      <c r="N72" s="10">
        <f>IFERROR(IF(INDEX('Test catalog'!$I$2:$I$200,MATCH($AB72,'Test catalog'!$A$2:$A$200,0))="","",INDEX('Test catalog'!$I$2:$I$200,MATCH($AB72,'Test catalog'!$A$2:$A$200,0))),"")</f>
        <v/>
      </c>
      <c r="O72" s="10">
        <f>IFERROR(IF(INDEX('Test catalog'!$J$2:$J$200,MATCH($AB72,'Test catalog'!$A$2:$A$200,0))="","",INDEX('Test catalog'!$J$2:$J$200,MATCH($AB72,'Test catalog'!$A$2:$A$200,0))),"")</f>
        <v/>
      </c>
      <c r="P72" s="14">
        <f>IF(N72="","",IF(OR(M72="",O72=""),N72,(M72+4*N72+O72)/6))</f>
        <v/>
      </c>
      <c r="Q72" s="10">
        <f>IFERROR(IF(INDEX('Test catalog'!$K$2:$K$200,MATCH($AB72,'Test catalog'!$A$2:$A$200,0))="","",INDEX('Test catalog'!$K$2:$K$200,MATCH($AB72,'Test catalog'!$A$2:$A$200,0))),"")</f>
        <v/>
      </c>
      <c r="R72" s="5" t="n"/>
      <c r="S72" s="10">
        <f>IFERROR(IF(INDEX('Test catalog'!$L$2:$L$200,MATCH($AB72,'Test catalog'!$A$2:$A$200,0))="","",INDEX('Test catalog'!$L$2:$L$200,MATCH($AB72,'Test catalog'!$A$2:$A$200,0))),"")</f>
        <v/>
      </c>
      <c r="T72" s="10">
        <f>IFERROR(IF(INDEX('Test catalog'!$M$2:$M$200,MATCH($AB72,'Test catalog'!$A$2:$A$200,0))="","",INDEX('Test catalog'!$M$2:$M$200,MATCH($AB72,'Test catalog'!$A$2:$A$200,0))),"")</f>
        <v/>
      </c>
      <c r="U72" s="10">
        <f>IFERROR(IF(INDEX('Test catalog'!$N$2:$N$200,MATCH($AB72,'Test catalog'!$A$2:$A$200,0))="","",INDEX('Test catalog'!$N$2:$N$200,MATCH($AB72,'Test catalog'!$A$2:$A$200,0))),"")</f>
        <v/>
      </c>
      <c r="V72" s="15" t="n"/>
      <c r="W72" s="5" t="inlineStr">
        <is>
          <t>N</t>
        </is>
      </c>
      <c r="X72" s="5" t="n"/>
      <c r="Y72" s="5" t="n"/>
      <c r="Z72" s="5" t="n"/>
      <c r="AA72" s="10">
        <f>IFERROR(IF(INDEX('Test catalog'!$O$2:$O$200,MATCH($AB72,'Test catalog'!$A$2:$A$200,0))="","",INDEX('Test catalog'!$O$2:$O$200,MATCH($AB72,'Test catalog'!$A$2:$A$200,0))),"")</f>
        <v/>
      </c>
      <c r="AB72" s="10" t="inlineStr">
        <is>
          <t>GRAV</t>
        </is>
      </c>
      <c r="AC72" s="10" t="inlineStr">
        <is>
          <t>Calcium Carbonate · Impurities</t>
        </is>
      </c>
      <c r="AD72" s="10" t="n"/>
      <c r="AE72" s="10" t="n"/>
    </row>
    <row r="73">
      <c r="A73" s="10" t="inlineStr">
        <is>
          <t>Calcium Carbonate</t>
        </is>
      </c>
      <c r="B73" s="10" t="inlineStr">
        <is>
          <t>RM</t>
        </is>
      </c>
      <c r="C73" s="10" t="inlineStr">
        <is>
          <t>Active</t>
        </is>
      </c>
      <c r="D73" s="10" t="inlineStr">
        <is>
          <t>Iron</t>
        </is>
      </c>
      <c r="E73" s="10">
        <f>IF(A73="","",A73&amp;"|"&amp;D73)</f>
        <v/>
      </c>
      <c r="F73" s="5" t="inlineStr">
        <is>
          <t>Y</t>
        </is>
      </c>
      <c r="G73" s="5" t="inlineStr">
        <is>
          <t>Other / bench</t>
        </is>
      </c>
      <c r="H73" s="5" t="inlineStr">
        <is>
          <t>Low</t>
        </is>
      </c>
      <c r="I73" s="5" t="n">
        <v>1</v>
      </c>
      <c r="J73" s="5" t="n"/>
      <c r="K73" s="10">
        <f>IFERROR(IF(INDEX('Test catalog'!$F$2:$F$200,MATCH($AB73,'Test catalog'!$A$2:$A$200,0))="","",INDEX('Test catalog'!$F$2:$F$200,MATCH($AB73,'Test catalog'!$A$2:$A$200,0))),"")</f>
        <v/>
      </c>
      <c r="L73" s="10">
        <f>IFERROR(IF(INDEX('Test catalog'!$G$2:$G$200,MATCH($AB73,'Test catalog'!$A$2:$A$200,0))="","",INDEX('Test catalog'!$G$2:$G$200,MATCH($AB73,'Test catalog'!$A$2:$A$200,0))),"")</f>
        <v/>
      </c>
      <c r="M73" s="10">
        <f>IFERROR(IF(INDEX('Test catalog'!$H$2:$H$200,MATCH($AB73,'Test catalog'!$A$2:$A$200,0))="","",INDEX('Test catalog'!$H$2:$H$200,MATCH($AB73,'Test catalog'!$A$2:$A$200,0))),"")</f>
        <v/>
      </c>
      <c r="N73" s="10">
        <f>IFERROR(IF(INDEX('Test catalog'!$I$2:$I$200,MATCH($AB73,'Test catalog'!$A$2:$A$200,0))="","",INDEX('Test catalog'!$I$2:$I$200,MATCH($AB73,'Test catalog'!$A$2:$A$200,0))),"")</f>
        <v/>
      </c>
      <c r="O73" s="10">
        <f>IFERROR(IF(INDEX('Test catalog'!$J$2:$J$200,MATCH($AB73,'Test catalog'!$A$2:$A$200,0))="","",INDEX('Test catalog'!$J$2:$J$200,MATCH($AB73,'Test catalog'!$A$2:$A$200,0))),"")</f>
        <v/>
      </c>
      <c r="P73" s="14">
        <f>IF(N73="","",IF(OR(M73="",O73=""),N73,(M73+4*N73+O73)/6))</f>
        <v/>
      </c>
      <c r="Q73" s="10">
        <f>IFERROR(IF(INDEX('Test catalog'!$K$2:$K$200,MATCH($AB73,'Test catalog'!$A$2:$A$200,0))="","",INDEX('Test catalog'!$K$2:$K$200,MATCH($AB73,'Test catalog'!$A$2:$A$200,0))),"")</f>
        <v/>
      </c>
      <c r="R73" s="5" t="n"/>
      <c r="S73" s="10">
        <f>IFERROR(IF(INDEX('Test catalog'!$L$2:$L$200,MATCH($AB73,'Test catalog'!$A$2:$A$200,0))="","",INDEX('Test catalog'!$L$2:$L$200,MATCH($AB73,'Test catalog'!$A$2:$A$200,0))),"")</f>
        <v/>
      </c>
      <c r="T73" s="10">
        <f>IFERROR(IF(INDEX('Test catalog'!$M$2:$M$200,MATCH($AB73,'Test catalog'!$A$2:$A$200,0))="","",INDEX('Test catalog'!$M$2:$M$200,MATCH($AB73,'Test catalog'!$A$2:$A$200,0))),"")</f>
        <v/>
      </c>
      <c r="U73" s="10">
        <f>IFERROR(IF(INDEX('Test catalog'!$N$2:$N$200,MATCH($AB73,'Test catalog'!$A$2:$A$200,0))="","",INDEX('Test catalog'!$N$2:$N$200,MATCH($AB73,'Test catalog'!$A$2:$A$200,0))),"")</f>
        <v/>
      </c>
      <c r="V73" s="15" t="n"/>
      <c r="W73" s="5" t="inlineStr">
        <is>
          <t>N</t>
        </is>
      </c>
      <c r="X73" s="5" t="n"/>
      <c r="Y73" s="5" t="n"/>
      <c r="Z73" s="5" t="n"/>
      <c r="AA73" s="10">
        <f>IFERROR(IF(INDEX('Test catalog'!$O$2:$O$200,MATCH($AB73,'Test catalog'!$A$2:$A$200,0))="","",INDEX('Test catalog'!$O$2:$O$200,MATCH($AB73,'Test catalog'!$A$2:$A$200,0))),"")</f>
        <v/>
      </c>
      <c r="AB73" s="10" t="inlineStr">
        <is>
          <t>LIMIT</t>
        </is>
      </c>
      <c r="AC73" s="10" t="inlineStr">
        <is>
          <t>Calcium Carbonate · Impurities &lt;241&gt;</t>
        </is>
      </c>
      <c r="AD73" s="10" t="n"/>
      <c r="AE73" s="10" t="n"/>
    </row>
    <row r="74">
      <c r="A74" s="10" t="inlineStr">
        <is>
          <t>Calcium Carbonate</t>
        </is>
      </c>
      <c r="B74" s="10" t="inlineStr">
        <is>
          <t>RM</t>
        </is>
      </c>
      <c r="C74" s="10" t="inlineStr">
        <is>
          <t>Active</t>
        </is>
      </c>
      <c r="D74" s="10" t="inlineStr">
        <is>
          <t>Lead</t>
        </is>
      </c>
      <c r="E74" s="10">
        <f>IF(A74="","",A74&amp;"|"&amp;D74)</f>
        <v/>
      </c>
      <c r="F74" s="5" t="inlineStr">
        <is>
          <t>Y</t>
        </is>
      </c>
      <c r="G74" s="5" t="inlineStr">
        <is>
          <t>Other / bench</t>
        </is>
      </c>
      <c r="H74" s="5" t="inlineStr">
        <is>
          <t>Low</t>
        </is>
      </c>
      <c r="I74" s="5" t="n">
        <v>1</v>
      </c>
      <c r="J74" s="5" t="n"/>
      <c r="K74" s="10">
        <f>IFERROR(IF(INDEX('Test catalog'!$F$2:$F$200,MATCH($AB74,'Test catalog'!$A$2:$A$200,0))="","",INDEX('Test catalog'!$F$2:$F$200,MATCH($AB74,'Test catalog'!$A$2:$A$200,0))),"")</f>
        <v/>
      </c>
      <c r="L74" s="10">
        <f>IFERROR(IF(INDEX('Test catalog'!$G$2:$G$200,MATCH($AB74,'Test catalog'!$A$2:$A$200,0))="","",INDEX('Test catalog'!$G$2:$G$200,MATCH($AB74,'Test catalog'!$A$2:$A$200,0))),"")</f>
        <v/>
      </c>
      <c r="M74" s="10">
        <f>IFERROR(IF(INDEX('Test catalog'!$H$2:$H$200,MATCH($AB74,'Test catalog'!$A$2:$A$200,0))="","",INDEX('Test catalog'!$H$2:$H$200,MATCH($AB74,'Test catalog'!$A$2:$A$200,0))),"")</f>
        <v/>
      </c>
      <c r="N74" s="10">
        <f>IFERROR(IF(INDEX('Test catalog'!$I$2:$I$200,MATCH($AB74,'Test catalog'!$A$2:$A$200,0))="","",INDEX('Test catalog'!$I$2:$I$200,MATCH($AB74,'Test catalog'!$A$2:$A$200,0))),"")</f>
        <v/>
      </c>
      <c r="O74" s="10">
        <f>IFERROR(IF(INDEX('Test catalog'!$J$2:$J$200,MATCH($AB74,'Test catalog'!$A$2:$A$200,0))="","",INDEX('Test catalog'!$J$2:$J$200,MATCH($AB74,'Test catalog'!$A$2:$A$200,0))),"")</f>
        <v/>
      </c>
      <c r="P74" s="14">
        <f>IF(N74="","",IF(OR(M74="",O74=""),N74,(M74+4*N74+O74)/6))</f>
        <v/>
      </c>
      <c r="Q74" s="10">
        <f>IFERROR(IF(INDEX('Test catalog'!$K$2:$K$200,MATCH($AB74,'Test catalog'!$A$2:$A$200,0))="","",INDEX('Test catalog'!$K$2:$K$200,MATCH($AB74,'Test catalog'!$A$2:$A$200,0))),"")</f>
        <v/>
      </c>
      <c r="R74" s="5" t="n"/>
      <c r="S74" s="10">
        <f>IFERROR(IF(INDEX('Test catalog'!$L$2:$L$200,MATCH($AB74,'Test catalog'!$A$2:$A$200,0))="","",INDEX('Test catalog'!$L$2:$L$200,MATCH($AB74,'Test catalog'!$A$2:$A$200,0))),"")</f>
        <v/>
      </c>
      <c r="T74" s="10">
        <f>IFERROR(IF(INDEX('Test catalog'!$M$2:$M$200,MATCH($AB74,'Test catalog'!$A$2:$A$200,0))="","",INDEX('Test catalog'!$M$2:$M$200,MATCH($AB74,'Test catalog'!$A$2:$A$200,0))),"")</f>
        <v/>
      </c>
      <c r="U74" s="10">
        <f>IFERROR(IF(INDEX('Test catalog'!$N$2:$N$200,MATCH($AB74,'Test catalog'!$A$2:$A$200,0))="","",INDEX('Test catalog'!$N$2:$N$200,MATCH($AB74,'Test catalog'!$A$2:$A$200,0))),"")</f>
        <v/>
      </c>
      <c r="V74" s="15" t="n"/>
      <c r="W74" s="5" t="inlineStr">
        <is>
          <t>N</t>
        </is>
      </c>
      <c r="X74" s="5" t="n"/>
      <c r="Y74" s="5" t="n"/>
      <c r="Z74" s="5" t="n"/>
      <c r="AA74" s="10">
        <f>IFERROR(IF(INDEX('Test catalog'!$O$2:$O$200,MATCH($AB74,'Test catalog'!$A$2:$A$200,0))="","",INDEX('Test catalog'!$O$2:$O$200,MATCH($AB74,'Test catalog'!$A$2:$A$200,0))),"")</f>
        <v/>
      </c>
      <c r="AB74" s="10" t="inlineStr">
        <is>
          <t>LIM_TOX</t>
        </is>
      </c>
      <c r="AC74" s="10" t="inlineStr">
        <is>
          <t>Calcium Carbonate · Impurities &lt;251&gt;</t>
        </is>
      </c>
      <c r="AD74" s="10" t="n"/>
      <c r="AE74" s="10" t="n"/>
    </row>
    <row r="75">
      <c r="A75" s="10" t="inlineStr">
        <is>
          <t>Calcium Carbonate</t>
        </is>
      </c>
      <c r="B75" s="10" t="inlineStr">
        <is>
          <t>RM</t>
        </is>
      </c>
      <c r="C75" s="10" t="inlineStr">
        <is>
          <t>Active</t>
        </is>
      </c>
      <c r="D75" s="10" t="inlineStr">
        <is>
          <t>Limit of Fluoride</t>
        </is>
      </c>
      <c r="E75" s="10">
        <f>IF(A75="","",A75&amp;"|"&amp;D75)</f>
        <v/>
      </c>
      <c r="F75" s="5" t="inlineStr">
        <is>
          <t>Y</t>
        </is>
      </c>
      <c r="G75" s="5" t="inlineStr">
        <is>
          <t>Other / bench</t>
        </is>
      </c>
      <c r="H75" s="5" t="inlineStr">
        <is>
          <t>Low</t>
        </is>
      </c>
      <c r="I75" s="5" t="n">
        <v>1</v>
      </c>
      <c r="J75" s="5" t="n"/>
      <c r="K75" s="10">
        <f>IFERROR(IF(INDEX('Test catalog'!$F$2:$F$200,MATCH($AB75,'Test catalog'!$A$2:$A$200,0))="","",INDEX('Test catalog'!$F$2:$F$200,MATCH($AB75,'Test catalog'!$A$2:$A$200,0))),"")</f>
        <v/>
      </c>
      <c r="L75" s="10">
        <f>IFERROR(IF(INDEX('Test catalog'!$G$2:$G$200,MATCH($AB75,'Test catalog'!$A$2:$A$200,0))="","",INDEX('Test catalog'!$G$2:$G$200,MATCH($AB75,'Test catalog'!$A$2:$A$200,0))),"")</f>
        <v/>
      </c>
      <c r="M75" s="10">
        <f>IFERROR(IF(INDEX('Test catalog'!$H$2:$H$200,MATCH($AB75,'Test catalog'!$A$2:$A$200,0))="","",INDEX('Test catalog'!$H$2:$H$200,MATCH($AB75,'Test catalog'!$A$2:$A$200,0))),"")</f>
        <v/>
      </c>
      <c r="N75" s="10">
        <f>IFERROR(IF(INDEX('Test catalog'!$I$2:$I$200,MATCH($AB75,'Test catalog'!$A$2:$A$200,0))="","",INDEX('Test catalog'!$I$2:$I$200,MATCH($AB75,'Test catalog'!$A$2:$A$200,0))),"")</f>
        <v/>
      </c>
      <c r="O75" s="10">
        <f>IFERROR(IF(INDEX('Test catalog'!$J$2:$J$200,MATCH($AB75,'Test catalog'!$A$2:$A$200,0))="","",INDEX('Test catalog'!$J$2:$J$200,MATCH($AB75,'Test catalog'!$A$2:$A$200,0))),"")</f>
        <v/>
      </c>
      <c r="P75" s="14">
        <f>IF(N75="","",IF(OR(M75="",O75=""),N75,(M75+4*N75+O75)/6))</f>
        <v/>
      </c>
      <c r="Q75" s="10">
        <f>IFERROR(IF(INDEX('Test catalog'!$K$2:$K$200,MATCH($AB75,'Test catalog'!$A$2:$A$200,0))="","",INDEX('Test catalog'!$K$2:$K$200,MATCH($AB75,'Test catalog'!$A$2:$A$200,0))),"")</f>
        <v/>
      </c>
      <c r="R75" s="5" t="n"/>
      <c r="S75" s="10">
        <f>IFERROR(IF(INDEX('Test catalog'!$L$2:$L$200,MATCH($AB75,'Test catalog'!$A$2:$A$200,0))="","",INDEX('Test catalog'!$L$2:$L$200,MATCH($AB75,'Test catalog'!$A$2:$A$200,0))),"")</f>
        <v/>
      </c>
      <c r="T75" s="10">
        <f>IFERROR(IF(INDEX('Test catalog'!$M$2:$M$200,MATCH($AB75,'Test catalog'!$A$2:$A$200,0))="","",INDEX('Test catalog'!$M$2:$M$200,MATCH($AB75,'Test catalog'!$A$2:$A$200,0))),"")</f>
        <v/>
      </c>
      <c r="U75" s="10">
        <f>IFERROR(IF(INDEX('Test catalog'!$N$2:$N$200,MATCH($AB75,'Test catalog'!$A$2:$A$200,0))="","",INDEX('Test catalog'!$N$2:$N$200,MATCH($AB75,'Test catalog'!$A$2:$A$200,0))),"")</f>
        <v/>
      </c>
      <c r="V75" s="15" t="n"/>
      <c r="W75" s="5" t="inlineStr">
        <is>
          <t>N</t>
        </is>
      </c>
      <c r="X75" s="5" t="n"/>
      <c r="Y75" s="5" t="n"/>
      <c r="Z75" s="5" t="n"/>
      <c r="AA75" s="10">
        <f>IFERROR(IF(INDEX('Test catalog'!$O$2:$O$200,MATCH($AB75,'Test catalog'!$A$2:$A$200,0))="","",INDEX('Test catalog'!$O$2:$O$200,MATCH($AB75,'Test catalog'!$A$2:$A$200,0))),"")</f>
        <v/>
      </c>
      <c r="AB75" s="10" t="inlineStr">
        <is>
          <t>LIMIT</t>
        </is>
      </c>
      <c r="AC75" s="10" t="inlineStr">
        <is>
          <t>Calcium Carbonate · Impurities</t>
        </is>
      </c>
      <c r="AD75" s="10" t="n"/>
      <c r="AE75" s="10" t="n"/>
    </row>
    <row r="76">
      <c r="A76" s="10" t="inlineStr">
        <is>
          <t>Calcium Carbonate</t>
        </is>
      </c>
      <c r="B76" s="10" t="inlineStr">
        <is>
          <t>RM</t>
        </is>
      </c>
      <c r="C76" s="10" t="inlineStr">
        <is>
          <t>Active</t>
        </is>
      </c>
      <c r="D76" s="10" t="inlineStr">
        <is>
          <t>Limit of Magnesium and Alkali Salts</t>
        </is>
      </c>
      <c r="E76" s="10">
        <f>IF(A76="","",A76&amp;"|"&amp;D76)</f>
        <v/>
      </c>
      <c r="F76" s="5" t="inlineStr">
        <is>
          <t>Y</t>
        </is>
      </c>
      <c r="G76" s="5" t="inlineStr">
        <is>
          <t>Other / bench</t>
        </is>
      </c>
      <c r="H76" s="5" t="inlineStr">
        <is>
          <t>Low</t>
        </is>
      </c>
      <c r="I76" s="5" t="n">
        <v>1</v>
      </c>
      <c r="J76" s="5" t="n"/>
      <c r="K76" s="10">
        <f>IFERROR(IF(INDEX('Test catalog'!$F$2:$F$200,MATCH($AB76,'Test catalog'!$A$2:$A$200,0))="","",INDEX('Test catalog'!$F$2:$F$200,MATCH($AB76,'Test catalog'!$A$2:$A$200,0))),"")</f>
        <v/>
      </c>
      <c r="L76" s="10">
        <f>IFERROR(IF(INDEX('Test catalog'!$G$2:$G$200,MATCH($AB76,'Test catalog'!$A$2:$A$200,0))="","",INDEX('Test catalog'!$G$2:$G$200,MATCH($AB76,'Test catalog'!$A$2:$A$200,0))),"")</f>
        <v/>
      </c>
      <c r="M76" s="10">
        <f>IFERROR(IF(INDEX('Test catalog'!$H$2:$H$200,MATCH($AB76,'Test catalog'!$A$2:$A$200,0))="","",INDEX('Test catalog'!$H$2:$H$200,MATCH($AB76,'Test catalog'!$A$2:$A$200,0))),"")</f>
        <v/>
      </c>
      <c r="N76" s="10">
        <f>IFERROR(IF(INDEX('Test catalog'!$I$2:$I$200,MATCH($AB76,'Test catalog'!$A$2:$A$200,0))="","",INDEX('Test catalog'!$I$2:$I$200,MATCH($AB76,'Test catalog'!$A$2:$A$200,0))),"")</f>
        <v/>
      </c>
      <c r="O76" s="10">
        <f>IFERROR(IF(INDEX('Test catalog'!$J$2:$J$200,MATCH($AB76,'Test catalog'!$A$2:$A$200,0))="","",INDEX('Test catalog'!$J$2:$J$200,MATCH($AB76,'Test catalog'!$A$2:$A$200,0))),"")</f>
        <v/>
      </c>
      <c r="P76" s="14">
        <f>IF(N76="","",IF(OR(M76="",O76=""),N76,(M76+4*N76+O76)/6))</f>
        <v/>
      </c>
      <c r="Q76" s="10">
        <f>IFERROR(IF(INDEX('Test catalog'!$K$2:$K$200,MATCH($AB76,'Test catalog'!$A$2:$A$200,0))="","",INDEX('Test catalog'!$K$2:$K$200,MATCH($AB76,'Test catalog'!$A$2:$A$200,0))),"")</f>
        <v/>
      </c>
      <c r="R76" s="5" t="n"/>
      <c r="S76" s="10">
        <f>IFERROR(IF(INDEX('Test catalog'!$L$2:$L$200,MATCH($AB76,'Test catalog'!$A$2:$A$200,0))="","",INDEX('Test catalog'!$L$2:$L$200,MATCH($AB76,'Test catalog'!$A$2:$A$200,0))),"")</f>
        <v/>
      </c>
      <c r="T76" s="10">
        <f>IFERROR(IF(INDEX('Test catalog'!$M$2:$M$200,MATCH($AB76,'Test catalog'!$A$2:$A$200,0))="","",INDEX('Test catalog'!$M$2:$M$200,MATCH($AB76,'Test catalog'!$A$2:$A$200,0))),"")</f>
        <v/>
      </c>
      <c r="U76" s="10">
        <f>IFERROR(IF(INDEX('Test catalog'!$N$2:$N$200,MATCH($AB76,'Test catalog'!$A$2:$A$200,0))="","",INDEX('Test catalog'!$N$2:$N$200,MATCH($AB76,'Test catalog'!$A$2:$A$200,0))),"")</f>
        <v/>
      </c>
      <c r="V76" s="15" t="n"/>
      <c r="W76" s="5" t="inlineStr">
        <is>
          <t>N</t>
        </is>
      </c>
      <c r="X76" s="5" t="n"/>
      <c r="Y76" s="5" t="n"/>
      <c r="Z76" s="5" t="n"/>
      <c r="AA76" s="10">
        <f>IFERROR(IF(INDEX('Test catalog'!$O$2:$O$200,MATCH($AB76,'Test catalog'!$A$2:$A$200,0))="","",INDEX('Test catalog'!$O$2:$O$200,MATCH($AB76,'Test catalog'!$A$2:$A$200,0))),"")</f>
        <v/>
      </c>
      <c r="AB76" s="10" t="inlineStr">
        <is>
          <t>LIMIT</t>
        </is>
      </c>
      <c r="AC76" s="10" t="inlineStr">
        <is>
          <t>Calcium Carbonate · Impurities</t>
        </is>
      </c>
      <c r="AD76" s="10" t="n"/>
      <c r="AE76" s="10" t="n"/>
    </row>
    <row r="77">
      <c r="A77" s="10" t="inlineStr">
        <is>
          <t>Calcium Carbonate</t>
        </is>
      </c>
      <c r="B77" s="10" t="inlineStr">
        <is>
          <t>RM</t>
        </is>
      </c>
      <c r="C77" s="10" t="inlineStr">
        <is>
          <t>Active</t>
        </is>
      </c>
      <c r="D77" s="10" t="inlineStr">
        <is>
          <t>Mercury</t>
        </is>
      </c>
      <c r="E77" s="10">
        <f>IF(A77="","",A77&amp;"|"&amp;D77)</f>
        <v/>
      </c>
      <c r="F77" s="5" t="inlineStr">
        <is>
          <t>Y</t>
        </is>
      </c>
      <c r="G77" s="5" t="inlineStr">
        <is>
          <t>Other / bench</t>
        </is>
      </c>
      <c r="H77" s="5" t="inlineStr">
        <is>
          <t>Low</t>
        </is>
      </c>
      <c r="I77" s="5" t="n">
        <v>1</v>
      </c>
      <c r="J77" s="5" t="n"/>
      <c r="K77" s="10">
        <f>IFERROR(IF(INDEX('Test catalog'!$F$2:$F$200,MATCH($AB77,'Test catalog'!$A$2:$A$200,0))="","",INDEX('Test catalog'!$F$2:$F$200,MATCH($AB77,'Test catalog'!$A$2:$A$200,0))),"")</f>
        <v/>
      </c>
      <c r="L77" s="10">
        <f>IFERROR(IF(INDEX('Test catalog'!$G$2:$G$200,MATCH($AB77,'Test catalog'!$A$2:$A$200,0))="","",INDEX('Test catalog'!$G$2:$G$200,MATCH($AB77,'Test catalog'!$A$2:$A$200,0))),"")</f>
        <v/>
      </c>
      <c r="M77" s="10">
        <f>IFERROR(IF(INDEX('Test catalog'!$H$2:$H$200,MATCH($AB77,'Test catalog'!$A$2:$A$200,0))="","",INDEX('Test catalog'!$H$2:$H$200,MATCH($AB77,'Test catalog'!$A$2:$A$200,0))),"")</f>
        <v/>
      </c>
      <c r="N77" s="10">
        <f>IFERROR(IF(INDEX('Test catalog'!$I$2:$I$200,MATCH($AB77,'Test catalog'!$A$2:$A$200,0))="","",INDEX('Test catalog'!$I$2:$I$200,MATCH($AB77,'Test catalog'!$A$2:$A$200,0))),"")</f>
        <v/>
      </c>
      <c r="O77" s="10">
        <f>IFERROR(IF(INDEX('Test catalog'!$J$2:$J$200,MATCH($AB77,'Test catalog'!$A$2:$A$200,0))="","",INDEX('Test catalog'!$J$2:$J$200,MATCH($AB77,'Test catalog'!$A$2:$A$200,0))),"")</f>
        <v/>
      </c>
      <c r="P77" s="14">
        <f>IF(N77="","",IF(OR(M77="",O77=""),N77,(M77+4*N77+O77)/6))</f>
        <v/>
      </c>
      <c r="Q77" s="10">
        <f>IFERROR(IF(INDEX('Test catalog'!$K$2:$K$200,MATCH($AB77,'Test catalog'!$A$2:$A$200,0))="","",INDEX('Test catalog'!$K$2:$K$200,MATCH($AB77,'Test catalog'!$A$2:$A$200,0))),"")</f>
        <v/>
      </c>
      <c r="R77" s="5" t="n"/>
      <c r="S77" s="10">
        <f>IFERROR(IF(INDEX('Test catalog'!$L$2:$L$200,MATCH($AB77,'Test catalog'!$A$2:$A$200,0))="","",INDEX('Test catalog'!$L$2:$L$200,MATCH($AB77,'Test catalog'!$A$2:$A$200,0))),"")</f>
        <v/>
      </c>
      <c r="T77" s="10">
        <f>IFERROR(IF(INDEX('Test catalog'!$M$2:$M$200,MATCH($AB77,'Test catalog'!$A$2:$A$200,0))="","",INDEX('Test catalog'!$M$2:$M$200,MATCH($AB77,'Test catalog'!$A$2:$A$200,0))),"")</f>
        <v/>
      </c>
      <c r="U77" s="10">
        <f>IFERROR(IF(INDEX('Test catalog'!$N$2:$N$200,MATCH($AB77,'Test catalog'!$A$2:$A$200,0))="","",INDEX('Test catalog'!$N$2:$N$200,MATCH($AB77,'Test catalog'!$A$2:$A$200,0))),"")</f>
        <v/>
      </c>
      <c r="V77" s="15" t="n"/>
      <c r="W77" s="5" t="inlineStr">
        <is>
          <t>N</t>
        </is>
      </c>
      <c r="X77" s="5" t="n"/>
      <c r="Y77" s="5" t="n"/>
      <c r="Z77" s="5" t="n"/>
      <c r="AA77" s="10">
        <f>IFERROR(IF(INDEX('Test catalog'!$O$2:$O$200,MATCH($AB77,'Test catalog'!$A$2:$A$200,0))="","",INDEX('Test catalog'!$O$2:$O$200,MATCH($AB77,'Test catalog'!$A$2:$A$200,0))),"")</f>
        <v/>
      </c>
      <c r="AB77" s="10" t="inlineStr">
        <is>
          <t>LIM_TOX</t>
        </is>
      </c>
      <c r="AC77" s="10" t="inlineStr">
        <is>
          <t>Calcium Carbonate · Impurities &lt;261&gt;</t>
        </is>
      </c>
      <c r="AD77" s="10" t="n"/>
      <c r="AE77" s="10" t="n"/>
    </row>
    <row r="78">
      <c r="A78" s="10" t="inlineStr">
        <is>
          <t>Calcium Carbonate</t>
        </is>
      </c>
      <c r="B78" s="10" t="inlineStr">
        <is>
          <t>RM</t>
        </is>
      </c>
      <c r="C78" s="10" t="inlineStr">
        <is>
          <t>Active</t>
        </is>
      </c>
      <c r="D78" s="10" t="inlineStr">
        <is>
          <t>Loss on Drying</t>
        </is>
      </c>
      <c r="E78" s="10">
        <f>IF(A78="","",A78&amp;"|"&amp;D78)</f>
        <v/>
      </c>
      <c r="F78" s="5" t="inlineStr">
        <is>
          <t>Y</t>
        </is>
      </c>
      <c r="G78" s="5" t="inlineStr">
        <is>
          <t>Other / bench</t>
        </is>
      </c>
      <c r="H78" s="5" t="inlineStr">
        <is>
          <t>Low</t>
        </is>
      </c>
      <c r="I78" s="5" t="n">
        <v>1</v>
      </c>
      <c r="J78" s="5" t="n"/>
      <c r="K78" s="10">
        <f>IFERROR(IF(INDEX('Test catalog'!$F$2:$F$200,MATCH($AB78,'Test catalog'!$A$2:$A$200,0))="","",INDEX('Test catalog'!$F$2:$F$200,MATCH($AB78,'Test catalog'!$A$2:$A$200,0))),"")</f>
        <v/>
      </c>
      <c r="L78" s="10">
        <f>IFERROR(IF(INDEX('Test catalog'!$G$2:$G$200,MATCH($AB78,'Test catalog'!$A$2:$A$200,0))="","",INDEX('Test catalog'!$G$2:$G$200,MATCH($AB78,'Test catalog'!$A$2:$A$200,0))),"")</f>
        <v/>
      </c>
      <c r="M78" s="10">
        <f>IFERROR(IF(INDEX('Test catalog'!$H$2:$H$200,MATCH($AB78,'Test catalog'!$A$2:$A$200,0))="","",INDEX('Test catalog'!$H$2:$H$200,MATCH($AB78,'Test catalog'!$A$2:$A$200,0))),"")</f>
        <v/>
      </c>
      <c r="N78" s="10">
        <f>IFERROR(IF(INDEX('Test catalog'!$I$2:$I$200,MATCH($AB78,'Test catalog'!$A$2:$A$200,0))="","",INDEX('Test catalog'!$I$2:$I$200,MATCH($AB78,'Test catalog'!$A$2:$A$200,0))),"")</f>
        <v/>
      </c>
      <c r="O78" s="10">
        <f>IFERROR(IF(INDEX('Test catalog'!$J$2:$J$200,MATCH($AB78,'Test catalog'!$A$2:$A$200,0))="","",INDEX('Test catalog'!$J$2:$J$200,MATCH($AB78,'Test catalog'!$A$2:$A$200,0))),"")</f>
        <v/>
      </c>
      <c r="P78" s="14">
        <f>IF(N78="","",IF(OR(M78="",O78=""),N78,(M78+4*N78+O78)/6))</f>
        <v/>
      </c>
      <c r="Q78" s="10">
        <f>IFERROR(IF(INDEX('Test catalog'!$K$2:$K$200,MATCH($AB78,'Test catalog'!$A$2:$A$200,0))="","",INDEX('Test catalog'!$K$2:$K$200,MATCH($AB78,'Test catalog'!$A$2:$A$200,0))),"")</f>
        <v/>
      </c>
      <c r="R78" s="5" t="n"/>
      <c r="S78" s="10">
        <f>IFERROR(IF(INDEX('Test catalog'!$L$2:$L$200,MATCH($AB78,'Test catalog'!$A$2:$A$200,0))="","",INDEX('Test catalog'!$L$2:$L$200,MATCH($AB78,'Test catalog'!$A$2:$A$200,0))),"")</f>
        <v/>
      </c>
      <c r="T78" s="10">
        <f>IFERROR(IF(INDEX('Test catalog'!$M$2:$M$200,MATCH($AB78,'Test catalog'!$A$2:$A$200,0))="","",INDEX('Test catalog'!$M$2:$M$200,MATCH($AB78,'Test catalog'!$A$2:$A$200,0))),"")</f>
        <v/>
      </c>
      <c r="U78" s="10">
        <f>IFERROR(IF(INDEX('Test catalog'!$N$2:$N$200,MATCH($AB78,'Test catalog'!$A$2:$A$200,0))="","",INDEX('Test catalog'!$N$2:$N$200,MATCH($AB78,'Test catalog'!$A$2:$A$200,0))),"")</f>
        <v/>
      </c>
      <c r="V78" s="15" t="n"/>
      <c r="W78" s="5" t="inlineStr">
        <is>
          <t>N</t>
        </is>
      </c>
      <c r="X78" s="5" t="n"/>
      <c r="Y78" s="5" t="n"/>
      <c r="Z78" s="5" t="n"/>
      <c r="AA78" s="10">
        <f>IFERROR(IF(INDEX('Test catalog'!$O$2:$O$200,MATCH($AB78,'Test catalog'!$A$2:$A$200,0))="","",INDEX('Test catalog'!$O$2:$O$200,MATCH($AB78,'Test catalog'!$A$2:$A$200,0))),"")</f>
        <v/>
      </c>
      <c r="AB78" s="10" t="inlineStr">
        <is>
          <t>LOD</t>
        </is>
      </c>
      <c r="AC78" s="10" t="inlineStr">
        <is>
          <t>Calcium Carbonate · Specific Tests &lt;731&gt;</t>
        </is>
      </c>
      <c r="AD78" s="10" t="n"/>
      <c r="AE78" s="10" t="n"/>
    </row>
    <row r="79">
      <c r="A79" s="10" t="inlineStr">
        <is>
          <t>Calcium Carbonate Heavy</t>
        </is>
      </c>
      <c r="B79" s="10" t="inlineStr">
        <is>
          <t>RM</t>
        </is>
      </c>
      <c r="C79" s="10" t="inlineStr">
        <is>
          <t>Active</t>
        </is>
      </c>
      <c r="D79" s="10" t="inlineStr">
        <is>
          <t>Appearance / description and solubility</t>
        </is>
      </c>
      <c r="E79" s="10">
        <f>IF(A79="","",A79&amp;"|"&amp;D79)</f>
        <v/>
      </c>
      <c r="F79" s="5" t="inlineStr">
        <is>
          <t>Y</t>
        </is>
      </c>
      <c r="G79" s="5" t="inlineStr">
        <is>
          <t>Other / bench</t>
        </is>
      </c>
      <c r="H79" s="5" t="inlineStr">
        <is>
          <t>Low</t>
        </is>
      </c>
      <c r="I79" s="5" t="n">
        <v>1</v>
      </c>
      <c r="J79" s="5" t="n"/>
      <c r="K79" s="10">
        <f>IFERROR(IF(INDEX('Test catalog'!$F$2:$F$200,MATCH($AB79,'Test catalog'!$A$2:$A$200,0))="","",INDEX('Test catalog'!$F$2:$F$200,MATCH($AB79,'Test catalog'!$A$2:$A$200,0))),"")</f>
        <v/>
      </c>
      <c r="L79" s="10">
        <f>IFERROR(IF(INDEX('Test catalog'!$G$2:$G$200,MATCH($AB79,'Test catalog'!$A$2:$A$200,0))="","",INDEX('Test catalog'!$G$2:$G$200,MATCH($AB79,'Test catalog'!$A$2:$A$200,0))),"")</f>
        <v/>
      </c>
      <c r="M79" s="10">
        <f>IFERROR(IF(INDEX('Test catalog'!$H$2:$H$200,MATCH($AB79,'Test catalog'!$A$2:$A$200,0))="","",INDEX('Test catalog'!$H$2:$H$200,MATCH($AB79,'Test catalog'!$A$2:$A$200,0))),"")</f>
        <v/>
      </c>
      <c r="N79" s="10">
        <f>IFERROR(IF(INDEX('Test catalog'!$I$2:$I$200,MATCH($AB79,'Test catalog'!$A$2:$A$200,0))="","",INDEX('Test catalog'!$I$2:$I$200,MATCH($AB79,'Test catalog'!$A$2:$A$200,0))),"")</f>
        <v/>
      </c>
      <c r="O79" s="10">
        <f>IFERROR(IF(INDEX('Test catalog'!$J$2:$J$200,MATCH($AB79,'Test catalog'!$A$2:$A$200,0))="","",INDEX('Test catalog'!$J$2:$J$200,MATCH($AB79,'Test catalog'!$A$2:$A$200,0))),"")</f>
        <v/>
      </c>
      <c r="P79" s="14">
        <f>IF(N79="","",IF(OR(M79="",O79=""),N79,(M79+4*N79+O79)/6))</f>
        <v/>
      </c>
      <c r="Q79" s="10">
        <f>IFERROR(IF(INDEX('Test catalog'!$K$2:$K$200,MATCH($AB79,'Test catalog'!$A$2:$A$200,0))="","",INDEX('Test catalog'!$K$2:$K$200,MATCH($AB79,'Test catalog'!$A$2:$A$200,0))),"")</f>
        <v/>
      </c>
      <c r="R79" s="5" t="n"/>
      <c r="S79" s="10">
        <f>IFERROR(IF(INDEX('Test catalog'!$L$2:$L$200,MATCH($AB79,'Test catalog'!$A$2:$A$200,0))="","",INDEX('Test catalog'!$L$2:$L$200,MATCH($AB79,'Test catalog'!$A$2:$A$200,0))),"")</f>
        <v/>
      </c>
      <c r="T79" s="10">
        <f>IFERROR(IF(INDEX('Test catalog'!$M$2:$M$200,MATCH($AB79,'Test catalog'!$A$2:$A$200,0))="","",INDEX('Test catalog'!$M$2:$M$200,MATCH($AB79,'Test catalog'!$A$2:$A$200,0))),"")</f>
        <v/>
      </c>
      <c r="U79" s="10">
        <f>IFERROR(IF(INDEX('Test catalog'!$N$2:$N$200,MATCH($AB79,'Test catalog'!$A$2:$A$200,0))="","",INDEX('Test catalog'!$N$2:$N$200,MATCH($AB79,'Test catalog'!$A$2:$A$200,0))),"")</f>
        <v/>
      </c>
      <c r="V79" s="15" t="n"/>
      <c r="W79" s="5" t="inlineStr">
        <is>
          <t>N</t>
        </is>
      </c>
      <c r="X79" s="5" t="n"/>
      <c r="Y79" s="5" t="n"/>
      <c r="Z79" s="5" t="n"/>
      <c r="AA79" s="10">
        <f>IFERROR(IF(INDEX('Test catalog'!$O$2:$O$200,MATCH($AB79,'Test catalog'!$A$2:$A$200,0))="","",INDEX('Test catalog'!$O$2:$O$200,MATCH($AB79,'Test catalog'!$A$2:$A$200,0))),"")</f>
        <v/>
      </c>
      <c r="AB79" s="10" t="inlineStr">
        <is>
          <t>APPEAR</t>
        </is>
      </c>
      <c r="AC79" s="10" t="inlineStr">
        <is>
          <t>Lab practice (not a USP test)</t>
        </is>
      </c>
      <c r="AD79" s="10" t="n"/>
      <c r="AE79" s="10" t="n"/>
    </row>
    <row r="80">
      <c r="A80" s="10" t="inlineStr">
        <is>
          <t>Calcium Carbonate Heavy</t>
        </is>
      </c>
      <c r="B80" s="10" t="inlineStr">
        <is>
          <t>RM</t>
        </is>
      </c>
      <c r="C80" s="10" t="inlineStr">
        <is>
          <t>Active</t>
        </is>
      </c>
      <c r="D80" s="10" t="inlineStr">
        <is>
          <t>ID A - chemical reaction</t>
        </is>
      </c>
      <c r="E80" s="10">
        <f>IF(A80="","",A80&amp;"|"&amp;D80)</f>
        <v/>
      </c>
      <c r="F80" s="5" t="inlineStr">
        <is>
          <t>Y</t>
        </is>
      </c>
      <c r="G80" s="5" t="inlineStr">
        <is>
          <t>Other / bench</t>
        </is>
      </c>
      <c r="H80" s="5" t="inlineStr">
        <is>
          <t>Low</t>
        </is>
      </c>
      <c r="I80" s="5" t="n">
        <v>1</v>
      </c>
      <c r="J80" s="5" t="n"/>
      <c r="K80" s="10">
        <f>IFERROR(IF(INDEX('Test catalog'!$F$2:$F$200,MATCH($AB80,'Test catalog'!$A$2:$A$200,0))="","",INDEX('Test catalog'!$F$2:$F$200,MATCH($AB80,'Test catalog'!$A$2:$A$200,0))),"")</f>
        <v/>
      </c>
      <c r="L80" s="10">
        <f>IFERROR(IF(INDEX('Test catalog'!$G$2:$G$200,MATCH($AB80,'Test catalog'!$A$2:$A$200,0))="","",INDEX('Test catalog'!$G$2:$G$200,MATCH($AB80,'Test catalog'!$A$2:$A$200,0))),"")</f>
        <v/>
      </c>
      <c r="M80" s="10">
        <f>IFERROR(IF(INDEX('Test catalog'!$H$2:$H$200,MATCH($AB80,'Test catalog'!$A$2:$A$200,0))="","",INDEX('Test catalog'!$H$2:$H$200,MATCH($AB80,'Test catalog'!$A$2:$A$200,0))),"")</f>
        <v/>
      </c>
      <c r="N80" s="10">
        <f>IFERROR(IF(INDEX('Test catalog'!$I$2:$I$200,MATCH($AB80,'Test catalog'!$A$2:$A$200,0))="","",INDEX('Test catalog'!$I$2:$I$200,MATCH($AB80,'Test catalog'!$A$2:$A$200,0))),"")</f>
        <v/>
      </c>
      <c r="O80" s="10">
        <f>IFERROR(IF(INDEX('Test catalog'!$J$2:$J$200,MATCH($AB80,'Test catalog'!$A$2:$A$200,0))="","",INDEX('Test catalog'!$J$2:$J$200,MATCH($AB80,'Test catalog'!$A$2:$A$200,0))),"")</f>
        <v/>
      </c>
      <c r="P80" s="14">
        <f>IF(N80="","",IF(OR(M80="",O80=""),N80,(M80+4*N80+O80)/6))</f>
        <v/>
      </c>
      <c r="Q80" s="10">
        <f>IFERROR(IF(INDEX('Test catalog'!$K$2:$K$200,MATCH($AB80,'Test catalog'!$A$2:$A$200,0))="","",INDEX('Test catalog'!$K$2:$K$200,MATCH($AB80,'Test catalog'!$A$2:$A$200,0))),"")</f>
        <v/>
      </c>
      <c r="R80" s="5" t="n"/>
      <c r="S80" s="10">
        <f>IFERROR(IF(INDEX('Test catalog'!$L$2:$L$200,MATCH($AB80,'Test catalog'!$A$2:$A$200,0))="","",INDEX('Test catalog'!$L$2:$L$200,MATCH($AB80,'Test catalog'!$A$2:$A$200,0))),"")</f>
        <v/>
      </c>
      <c r="T80" s="10">
        <f>IFERROR(IF(INDEX('Test catalog'!$M$2:$M$200,MATCH($AB80,'Test catalog'!$A$2:$A$200,0))="","",INDEX('Test catalog'!$M$2:$M$200,MATCH($AB80,'Test catalog'!$A$2:$A$200,0))),"")</f>
        <v/>
      </c>
      <c r="U80" s="10">
        <f>IFERROR(IF(INDEX('Test catalog'!$N$2:$N$200,MATCH($AB80,'Test catalog'!$A$2:$A$200,0))="","",INDEX('Test catalog'!$N$2:$N$200,MATCH($AB80,'Test catalog'!$A$2:$A$200,0))),"")</f>
        <v/>
      </c>
      <c r="V80" s="15" t="n"/>
      <c r="W80" s="5" t="inlineStr">
        <is>
          <t>N</t>
        </is>
      </c>
      <c r="X80" s="5" t="n"/>
      <c r="Y80" s="5" t="n"/>
      <c r="Z80" s="5" t="n"/>
      <c r="AA80" s="10">
        <f>IFERROR(IF(INDEX('Test catalog'!$O$2:$O$200,MATCH($AB80,'Test catalog'!$A$2:$A$200,0))="","",INDEX('Test catalog'!$O$2:$O$200,MATCH($AB80,'Test catalog'!$A$2:$A$200,0))),"")</f>
        <v/>
      </c>
      <c r="AB80" s="10" t="inlineStr">
        <is>
          <t>ID_CHEM</t>
        </is>
      </c>
      <c r="AC80" s="10" t="inlineStr">
        <is>
          <t>Calcium Carbonate · Identification &lt;191&gt;</t>
        </is>
      </c>
      <c r="AD80" s="10" t="n"/>
      <c r="AE80" s="10" t="n"/>
    </row>
    <row r="81">
      <c r="A81" s="10" t="inlineStr">
        <is>
          <t>Calcium Carbonate Heavy</t>
        </is>
      </c>
      <c r="B81" s="10" t="inlineStr">
        <is>
          <t>RM</t>
        </is>
      </c>
      <c r="C81" s="10" t="inlineStr">
        <is>
          <t>Active</t>
        </is>
      </c>
      <c r="D81" s="10" t="inlineStr">
        <is>
          <t>Assay - Titrimetry</t>
        </is>
      </c>
      <c r="E81" s="10">
        <f>IF(A81="","",A81&amp;"|"&amp;D81)</f>
        <v/>
      </c>
      <c r="F81" s="5" t="inlineStr">
        <is>
          <t>Y</t>
        </is>
      </c>
      <c r="G81" s="5" t="inlineStr">
        <is>
          <t>Other / bench</t>
        </is>
      </c>
      <c r="H81" s="5" t="inlineStr">
        <is>
          <t>Low</t>
        </is>
      </c>
      <c r="I81" s="5" t="n">
        <v>1</v>
      </c>
      <c r="J81" s="5" t="n"/>
      <c r="K81" s="10">
        <f>IFERROR(IF(INDEX('Test catalog'!$F$2:$F$200,MATCH($AB81,'Test catalog'!$A$2:$A$200,0))="","",INDEX('Test catalog'!$F$2:$F$200,MATCH($AB81,'Test catalog'!$A$2:$A$200,0))),"")</f>
        <v/>
      </c>
      <c r="L81" s="10">
        <f>IFERROR(IF(INDEX('Test catalog'!$G$2:$G$200,MATCH($AB81,'Test catalog'!$A$2:$A$200,0))="","",INDEX('Test catalog'!$G$2:$G$200,MATCH($AB81,'Test catalog'!$A$2:$A$200,0))),"")</f>
        <v/>
      </c>
      <c r="M81" s="10">
        <f>IFERROR(IF(INDEX('Test catalog'!$H$2:$H$200,MATCH($AB81,'Test catalog'!$A$2:$A$200,0))="","",INDEX('Test catalog'!$H$2:$H$200,MATCH($AB81,'Test catalog'!$A$2:$A$200,0))),"")</f>
        <v/>
      </c>
      <c r="N81" s="10">
        <f>IFERROR(IF(INDEX('Test catalog'!$I$2:$I$200,MATCH($AB81,'Test catalog'!$A$2:$A$200,0))="","",INDEX('Test catalog'!$I$2:$I$200,MATCH($AB81,'Test catalog'!$A$2:$A$200,0))),"")</f>
        <v/>
      </c>
      <c r="O81" s="10">
        <f>IFERROR(IF(INDEX('Test catalog'!$J$2:$J$200,MATCH($AB81,'Test catalog'!$A$2:$A$200,0))="","",INDEX('Test catalog'!$J$2:$J$200,MATCH($AB81,'Test catalog'!$A$2:$A$200,0))),"")</f>
        <v/>
      </c>
      <c r="P81" s="14">
        <f>IF(N81="","",IF(OR(M81="",O81=""),N81,(M81+4*N81+O81)/6))</f>
        <v/>
      </c>
      <c r="Q81" s="10">
        <f>IFERROR(IF(INDEX('Test catalog'!$K$2:$K$200,MATCH($AB81,'Test catalog'!$A$2:$A$200,0))="","",INDEX('Test catalog'!$K$2:$K$200,MATCH($AB81,'Test catalog'!$A$2:$A$200,0))),"")</f>
        <v/>
      </c>
      <c r="R81" s="5" t="n"/>
      <c r="S81" s="10">
        <f>IFERROR(IF(INDEX('Test catalog'!$L$2:$L$200,MATCH($AB81,'Test catalog'!$A$2:$A$200,0))="","",INDEX('Test catalog'!$L$2:$L$200,MATCH($AB81,'Test catalog'!$A$2:$A$200,0))),"")</f>
        <v/>
      </c>
      <c r="T81" s="10">
        <f>IFERROR(IF(INDEX('Test catalog'!$M$2:$M$200,MATCH($AB81,'Test catalog'!$A$2:$A$200,0))="","",INDEX('Test catalog'!$M$2:$M$200,MATCH($AB81,'Test catalog'!$A$2:$A$200,0))),"")</f>
        <v/>
      </c>
      <c r="U81" s="10">
        <f>IFERROR(IF(INDEX('Test catalog'!$N$2:$N$200,MATCH($AB81,'Test catalog'!$A$2:$A$200,0))="","",INDEX('Test catalog'!$N$2:$N$200,MATCH($AB81,'Test catalog'!$A$2:$A$200,0))),"")</f>
        <v/>
      </c>
      <c r="V81" s="15" t="n"/>
      <c r="W81" s="5" t="inlineStr">
        <is>
          <t>N</t>
        </is>
      </c>
      <c r="X81" s="5" t="n"/>
      <c r="Y81" s="5" t="n"/>
      <c r="Z81" s="5" t="n"/>
      <c r="AA81" s="10">
        <f>IFERROR(IF(INDEX('Test catalog'!$O$2:$O$200,MATCH($AB81,'Test catalog'!$A$2:$A$200,0))="","",INDEX('Test catalog'!$O$2:$O$200,MATCH($AB81,'Test catalog'!$A$2:$A$200,0))),"")</f>
        <v/>
      </c>
      <c r="AB81" s="10" t="inlineStr">
        <is>
          <t>TITR</t>
        </is>
      </c>
      <c r="AC81" s="10" t="inlineStr">
        <is>
          <t>Calcium Carbonate · Assay &lt;541&gt;</t>
        </is>
      </c>
      <c r="AD81" s="10" t="n"/>
      <c r="AE81" s="10" t="n"/>
    </row>
    <row r="82">
      <c r="A82" s="10" t="inlineStr">
        <is>
          <t>Calcium Carbonate Heavy</t>
        </is>
      </c>
      <c r="B82" s="10" t="inlineStr">
        <is>
          <t>RM</t>
        </is>
      </c>
      <c r="C82" s="10" t="inlineStr">
        <is>
          <t>Active</t>
        </is>
      </c>
      <c r="D82" s="10" t="inlineStr">
        <is>
          <t>Acid-Insoluble Substances</t>
        </is>
      </c>
      <c r="E82" s="10">
        <f>IF(A82="","",A82&amp;"|"&amp;D82)</f>
        <v/>
      </c>
      <c r="F82" s="5" t="inlineStr">
        <is>
          <t>Y</t>
        </is>
      </c>
      <c r="G82" s="5" t="inlineStr">
        <is>
          <t>Other / bench</t>
        </is>
      </c>
      <c r="H82" s="5" t="inlineStr">
        <is>
          <t>Low</t>
        </is>
      </c>
      <c r="I82" s="5" t="n">
        <v>1</v>
      </c>
      <c r="J82" s="5" t="n"/>
      <c r="K82" s="10">
        <f>IFERROR(IF(INDEX('Test catalog'!$F$2:$F$200,MATCH($AB82,'Test catalog'!$A$2:$A$200,0))="","",INDEX('Test catalog'!$F$2:$F$200,MATCH($AB82,'Test catalog'!$A$2:$A$200,0))),"")</f>
        <v/>
      </c>
      <c r="L82" s="10">
        <f>IFERROR(IF(INDEX('Test catalog'!$G$2:$G$200,MATCH($AB82,'Test catalog'!$A$2:$A$200,0))="","",INDEX('Test catalog'!$G$2:$G$200,MATCH($AB82,'Test catalog'!$A$2:$A$200,0))),"")</f>
        <v/>
      </c>
      <c r="M82" s="10">
        <f>IFERROR(IF(INDEX('Test catalog'!$H$2:$H$200,MATCH($AB82,'Test catalog'!$A$2:$A$200,0))="","",INDEX('Test catalog'!$H$2:$H$200,MATCH($AB82,'Test catalog'!$A$2:$A$200,0))),"")</f>
        <v/>
      </c>
      <c r="N82" s="10">
        <f>IFERROR(IF(INDEX('Test catalog'!$I$2:$I$200,MATCH($AB82,'Test catalog'!$A$2:$A$200,0))="","",INDEX('Test catalog'!$I$2:$I$200,MATCH($AB82,'Test catalog'!$A$2:$A$200,0))),"")</f>
        <v/>
      </c>
      <c r="O82" s="10">
        <f>IFERROR(IF(INDEX('Test catalog'!$J$2:$J$200,MATCH($AB82,'Test catalog'!$A$2:$A$200,0))="","",INDEX('Test catalog'!$J$2:$J$200,MATCH($AB82,'Test catalog'!$A$2:$A$200,0))),"")</f>
        <v/>
      </c>
      <c r="P82" s="14">
        <f>IF(N82="","",IF(OR(M82="",O82=""),N82,(M82+4*N82+O82)/6))</f>
        <v/>
      </c>
      <c r="Q82" s="10">
        <f>IFERROR(IF(INDEX('Test catalog'!$K$2:$K$200,MATCH($AB82,'Test catalog'!$A$2:$A$200,0))="","",INDEX('Test catalog'!$K$2:$K$200,MATCH($AB82,'Test catalog'!$A$2:$A$200,0))),"")</f>
        <v/>
      </c>
      <c r="R82" s="5" t="n"/>
      <c r="S82" s="10">
        <f>IFERROR(IF(INDEX('Test catalog'!$L$2:$L$200,MATCH($AB82,'Test catalog'!$A$2:$A$200,0))="","",INDEX('Test catalog'!$L$2:$L$200,MATCH($AB82,'Test catalog'!$A$2:$A$200,0))),"")</f>
        <v/>
      </c>
      <c r="T82" s="10">
        <f>IFERROR(IF(INDEX('Test catalog'!$M$2:$M$200,MATCH($AB82,'Test catalog'!$A$2:$A$200,0))="","",INDEX('Test catalog'!$M$2:$M$200,MATCH($AB82,'Test catalog'!$A$2:$A$200,0))),"")</f>
        <v/>
      </c>
      <c r="U82" s="10">
        <f>IFERROR(IF(INDEX('Test catalog'!$N$2:$N$200,MATCH($AB82,'Test catalog'!$A$2:$A$200,0))="","",INDEX('Test catalog'!$N$2:$N$200,MATCH($AB82,'Test catalog'!$A$2:$A$200,0))),"")</f>
        <v/>
      </c>
      <c r="V82" s="15" t="n"/>
      <c r="W82" s="5" t="inlineStr">
        <is>
          <t>N</t>
        </is>
      </c>
      <c r="X82" s="5" t="n"/>
      <c r="Y82" s="5" t="n"/>
      <c r="Z82" s="5" t="n"/>
      <c r="AA82" s="10">
        <f>IFERROR(IF(INDEX('Test catalog'!$O$2:$O$200,MATCH($AB82,'Test catalog'!$A$2:$A$200,0))="","",INDEX('Test catalog'!$O$2:$O$200,MATCH($AB82,'Test catalog'!$A$2:$A$200,0))),"")</f>
        <v/>
      </c>
      <c r="AB82" s="10" t="inlineStr">
        <is>
          <t>GRAV</t>
        </is>
      </c>
      <c r="AC82" s="10" t="inlineStr">
        <is>
          <t>Calcium Carbonate · Impurities</t>
        </is>
      </c>
      <c r="AD82" s="10" t="n"/>
      <c r="AE82" s="10" t="n"/>
    </row>
    <row r="83">
      <c r="A83" s="10" t="inlineStr">
        <is>
          <t>Calcium Carbonate Heavy</t>
        </is>
      </c>
      <c r="B83" s="10" t="inlineStr">
        <is>
          <t>RM</t>
        </is>
      </c>
      <c r="C83" s="10" t="inlineStr">
        <is>
          <t>Active</t>
        </is>
      </c>
      <c r="D83" s="10" t="inlineStr">
        <is>
          <t>Arsenic</t>
        </is>
      </c>
      <c r="E83" s="10">
        <f>IF(A83="","",A83&amp;"|"&amp;D83)</f>
        <v/>
      </c>
      <c r="F83" s="5" t="inlineStr">
        <is>
          <t>Y</t>
        </is>
      </c>
      <c r="G83" s="5" t="inlineStr">
        <is>
          <t>Other / bench</t>
        </is>
      </c>
      <c r="H83" s="5" t="inlineStr">
        <is>
          <t>Low</t>
        </is>
      </c>
      <c r="I83" s="5" t="n">
        <v>1</v>
      </c>
      <c r="J83" s="5" t="n"/>
      <c r="K83" s="10">
        <f>IFERROR(IF(INDEX('Test catalog'!$F$2:$F$200,MATCH($AB83,'Test catalog'!$A$2:$A$200,0))="","",INDEX('Test catalog'!$F$2:$F$200,MATCH($AB83,'Test catalog'!$A$2:$A$200,0))),"")</f>
        <v/>
      </c>
      <c r="L83" s="10">
        <f>IFERROR(IF(INDEX('Test catalog'!$G$2:$G$200,MATCH($AB83,'Test catalog'!$A$2:$A$200,0))="","",INDEX('Test catalog'!$G$2:$G$200,MATCH($AB83,'Test catalog'!$A$2:$A$200,0))),"")</f>
        <v/>
      </c>
      <c r="M83" s="10">
        <f>IFERROR(IF(INDEX('Test catalog'!$H$2:$H$200,MATCH($AB83,'Test catalog'!$A$2:$A$200,0))="","",INDEX('Test catalog'!$H$2:$H$200,MATCH($AB83,'Test catalog'!$A$2:$A$200,0))),"")</f>
        <v/>
      </c>
      <c r="N83" s="10">
        <f>IFERROR(IF(INDEX('Test catalog'!$I$2:$I$200,MATCH($AB83,'Test catalog'!$A$2:$A$200,0))="","",INDEX('Test catalog'!$I$2:$I$200,MATCH($AB83,'Test catalog'!$A$2:$A$200,0))),"")</f>
        <v/>
      </c>
      <c r="O83" s="10">
        <f>IFERROR(IF(INDEX('Test catalog'!$J$2:$J$200,MATCH($AB83,'Test catalog'!$A$2:$A$200,0))="","",INDEX('Test catalog'!$J$2:$J$200,MATCH($AB83,'Test catalog'!$A$2:$A$200,0))),"")</f>
        <v/>
      </c>
      <c r="P83" s="14">
        <f>IF(N83="","",IF(OR(M83="",O83=""),N83,(M83+4*N83+O83)/6))</f>
        <v/>
      </c>
      <c r="Q83" s="10">
        <f>IFERROR(IF(INDEX('Test catalog'!$K$2:$K$200,MATCH($AB83,'Test catalog'!$A$2:$A$200,0))="","",INDEX('Test catalog'!$K$2:$K$200,MATCH($AB83,'Test catalog'!$A$2:$A$200,0))),"")</f>
        <v/>
      </c>
      <c r="R83" s="5" t="n"/>
      <c r="S83" s="10">
        <f>IFERROR(IF(INDEX('Test catalog'!$L$2:$L$200,MATCH($AB83,'Test catalog'!$A$2:$A$200,0))="","",INDEX('Test catalog'!$L$2:$L$200,MATCH($AB83,'Test catalog'!$A$2:$A$200,0))),"")</f>
        <v/>
      </c>
      <c r="T83" s="10">
        <f>IFERROR(IF(INDEX('Test catalog'!$M$2:$M$200,MATCH($AB83,'Test catalog'!$A$2:$A$200,0))="","",INDEX('Test catalog'!$M$2:$M$200,MATCH($AB83,'Test catalog'!$A$2:$A$200,0))),"")</f>
        <v/>
      </c>
      <c r="U83" s="10">
        <f>IFERROR(IF(INDEX('Test catalog'!$N$2:$N$200,MATCH($AB83,'Test catalog'!$A$2:$A$200,0))="","",INDEX('Test catalog'!$N$2:$N$200,MATCH($AB83,'Test catalog'!$A$2:$A$200,0))),"")</f>
        <v/>
      </c>
      <c r="V83" s="15" t="n"/>
      <c r="W83" s="5" t="inlineStr">
        <is>
          <t>N</t>
        </is>
      </c>
      <c r="X83" s="5" t="n"/>
      <c r="Y83" s="5" t="n"/>
      <c r="Z83" s="5" t="n"/>
      <c r="AA83" s="10">
        <f>IFERROR(IF(INDEX('Test catalog'!$O$2:$O$200,MATCH($AB83,'Test catalog'!$A$2:$A$200,0))="","",INDEX('Test catalog'!$O$2:$O$200,MATCH($AB83,'Test catalog'!$A$2:$A$200,0))),"")</f>
        <v/>
      </c>
      <c r="AB83" s="10" t="inlineStr">
        <is>
          <t>LIM_TOX</t>
        </is>
      </c>
      <c r="AC83" s="10" t="inlineStr">
        <is>
          <t>Calcium Carbonate · Impurities &lt;211&gt;</t>
        </is>
      </c>
      <c r="AD83" s="10" t="n"/>
      <c r="AE83" s="10" t="n"/>
    </row>
    <row r="84">
      <c r="A84" s="10" t="inlineStr">
        <is>
          <t>Calcium Carbonate Heavy</t>
        </is>
      </c>
      <c r="B84" s="10" t="inlineStr">
        <is>
          <t>RM</t>
        </is>
      </c>
      <c r="C84" s="10" t="inlineStr">
        <is>
          <t>Active</t>
        </is>
      </c>
      <c r="D84" s="10" t="inlineStr">
        <is>
          <t>Barium</t>
        </is>
      </c>
      <c r="E84" s="10">
        <f>IF(A84="","",A84&amp;"|"&amp;D84)</f>
        <v/>
      </c>
      <c r="F84" s="5" t="inlineStr">
        <is>
          <t>Y</t>
        </is>
      </c>
      <c r="G84" s="5" t="inlineStr">
        <is>
          <t>Other / bench</t>
        </is>
      </c>
      <c r="H84" s="5" t="inlineStr">
        <is>
          <t>Low</t>
        </is>
      </c>
      <c r="I84" s="5" t="n">
        <v>1</v>
      </c>
      <c r="J84" s="5" t="n"/>
      <c r="K84" s="10">
        <f>IFERROR(IF(INDEX('Test catalog'!$F$2:$F$200,MATCH($AB84,'Test catalog'!$A$2:$A$200,0))="","",INDEX('Test catalog'!$F$2:$F$200,MATCH($AB84,'Test catalog'!$A$2:$A$200,0))),"")</f>
        <v/>
      </c>
      <c r="L84" s="10">
        <f>IFERROR(IF(INDEX('Test catalog'!$G$2:$G$200,MATCH($AB84,'Test catalog'!$A$2:$A$200,0))="","",INDEX('Test catalog'!$G$2:$G$200,MATCH($AB84,'Test catalog'!$A$2:$A$200,0))),"")</f>
        <v/>
      </c>
      <c r="M84" s="10">
        <f>IFERROR(IF(INDEX('Test catalog'!$H$2:$H$200,MATCH($AB84,'Test catalog'!$A$2:$A$200,0))="","",INDEX('Test catalog'!$H$2:$H$200,MATCH($AB84,'Test catalog'!$A$2:$A$200,0))),"")</f>
        <v/>
      </c>
      <c r="N84" s="10">
        <f>IFERROR(IF(INDEX('Test catalog'!$I$2:$I$200,MATCH($AB84,'Test catalog'!$A$2:$A$200,0))="","",INDEX('Test catalog'!$I$2:$I$200,MATCH($AB84,'Test catalog'!$A$2:$A$200,0))),"")</f>
        <v/>
      </c>
      <c r="O84" s="10">
        <f>IFERROR(IF(INDEX('Test catalog'!$J$2:$J$200,MATCH($AB84,'Test catalog'!$A$2:$A$200,0))="","",INDEX('Test catalog'!$J$2:$J$200,MATCH($AB84,'Test catalog'!$A$2:$A$200,0))),"")</f>
        <v/>
      </c>
      <c r="P84" s="14">
        <f>IF(N84="","",IF(OR(M84="",O84=""),N84,(M84+4*N84+O84)/6))</f>
        <v/>
      </c>
      <c r="Q84" s="10">
        <f>IFERROR(IF(INDEX('Test catalog'!$K$2:$K$200,MATCH($AB84,'Test catalog'!$A$2:$A$200,0))="","",INDEX('Test catalog'!$K$2:$K$200,MATCH($AB84,'Test catalog'!$A$2:$A$200,0))),"")</f>
        <v/>
      </c>
      <c r="R84" s="5" t="n"/>
      <c r="S84" s="10">
        <f>IFERROR(IF(INDEX('Test catalog'!$L$2:$L$200,MATCH($AB84,'Test catalog'!$A$2:$A$200,0))="","",INDEX('Test catalog'!$L$2:$L$200,MATCH($AB84,'Test catalog'!$A$2:$A$200,0))),"")</f>
        <v/>
      </c>
      <c r="T84" s="10">
        <f>IFERROR(IF(INDEX('Test catalog'!$M$2:$M$200,MATCH($AB84,'Test catalog'!$A$2:$A$200,0))="","",INDEX('Test catalog'!$M$2:$M$200,MATCH($AB84,'Test catalog'!$A$2:$A$200,0))),"")</f>
        <v/>
      </c>
      <c r="U84" s="10">
        <f>IFERROR(IF(INDEX('Test catalog'!$N$2:$N$200,MATCH($AB84,'Test catalog'!$A$2:$A$200,0))="","",INDEX('Test catalog'!$N$2:$N$200,MATCH($AB84,'Test catalog'!$A$2:$A$200,0))),"")</f>
        <v/>
      </c>
      <c r="V84" s="15" t="n"/>
      <c r="W84" s="5" t="inlineStr">
        <is>
          <t>N</t>
        </is>
      </c>
      <c r="X84" s="5" t="n"/>
      <c r="Y84" s="5" t="n"/>
      <c r="Z84" s="5" t="n"/>
      <c r="AA84" s="10">
        <f>IFERROR(IF(INDEX('Test catalog'!$O$2:$O$200,MATCH($AB84,'Test catalog'!$A$2:$A$200,0))="","",INDEX('Test catalog'!$O$2:$O$200,MATCH($AB84,'Test catalog'!$A$2:$A$200,0))),"")</f>
        <v/>
      </c>
      <c r="AB84" s="10" t="inlineStr">
        <is>
          <t>GRAV</t>
        </is>
      </c>
      <c r="AC84" s="10" t="inlineStr">
        <is>
          <t>Calcium Carbonate · Impurities</t>
        </is>
      </c>
      <c r="AD84" s="10" t="n"/>
      <c r="AE84" s="10" t="n"/>
    </row>
    <row r="85">
      <c r="A85" s="10" t="inlineStr">
        <is>
          <t>Calcium Carbonate Heavy</t>
        </is>
      </c>
      <c r="B85" s="10" t="inlineStr">
        <is>
          <t>RM</t>
        </is>
      </c>
      <c r="C85" s="10" t="inlineStr">
        <is>
          <t>Active</t>
        </is>
      </c>
      <c r="D85" s="10" t="inlineStr">
        <is>
          <t>Iron</t>
        </is>
      </c>
      <c r="E85" s="10">
        <f>IF(A85="","",A85&amp;"|"&amp;D85)</f>
        <v/>
      </c>
      <c r="F85" s="5" t="inlineStr">
        <is>
          <t>Y</t>
        </is>
      </c>
      <c r="G85" s="5" t="inlineStr">
        <is>
          <t>Other / bench</t>
        </is>
      </c>
      <c r="H85" s="5" t="inlineStr">
        <is>
          <t>Low</t>
        </is>
      </c>
      <c r="I85" s="5" t="n">
        <v>1</v>
      </c>
      <c r="J85" s="5" t="n"/>
      <c r="K85" s="10">
        <f>IFERROR(IF(INDEX('Test catalog'!$F$2:$F$200,MATCH($AB85,'Test catalog'!$A$2:$A$200,0))="","",INDEX('Test catalog'!$F$2:$F$200,MATCH($AB85,'Test catalog'!$A$2:$A$200,0))),"")</f>
        <v/>
      </c>
      <c r="L85" s="10">
        <f>IFERROR(IF(INDEX('Test catalog'!$G$2:$G$200,MATCH($AB85,'Test catalog'!$A$2:$A$200,0))="","",INDEX('Test catalog'!$G$2:$G$200,MATCH($AB85,'Test catalog'!$A$2:$A$200,0))),"")</f>
        <v/>
      </c>
      <c r="M85" s="10">
        <f>IFERROR(IF(INDEX('Test catalog'!$H$2:$H$200,MATCH($AB85,'Test catalog'!$A$2:$A$200,0))="","",INDEX('Test catalog'!$H$2:$H$200,MATCH($AB85,'Test catalog'!$A$2:$A$200,0))),"")</f>
        <v/>
      </c>
      <c r="N85" s="10">
        <f>IFERROR(IF(INDEX('Test catalog'!$I$2:$I$200,MATCH($AB85,'Test catalog'!$A$2:$A$200,0))="","",INDEX('Test catalog'!$I$2:$I$200,MATCH($AB85,'Test catalog'!$A$2:$A$200,0))),"")</f>
        <v/>
      </c>
      <c r="O85" s="10">
        <f>IFERROR(IF(INDEX('Test catalog'!$J$2:$J$200,MATCH($AB85,'Test catalog'!$A$2:$A$200,0))="","",INDEX('Test catalog'!$J$2:$J$200,MATCH($AB85,'Test catalog'!$A$2:$A$200,0))),"")</f>
        <v/>
      </c>
      <c r="P85" s="14">
        <f>IF(N85="","",IF(OR(M85="",O85=""),N85,(M85+4*N85+O85)/6))</f>
        <v/>
      </c>
      <c r="Q85" s="10">
        <f>IFERROR(IF(INDEX('Test catalog'!$K$2:$K$200,MATCH($AB85,'Test catalog'!$A$2:$A$200,0))="","",INDEX('Test catalog'!$K$2:$K$200,MATCH($AB85,'Test catalog'!$A$2:$A$200,0))),"")</f>
        <v/>
      </c>
      <c r="R85" s="5" t="n"/>
      <c r="S85" s="10">
        <f>IFERROR(IF(INDEX('Test catalog'!$L$2:$L$200,MATCH($AB85,'Test catalog'!$A$2:$A$200,0))="","",INDEX('Test catalog'!$L$2:$L$200,MATCH($AB85,'Test catalog'!$A$2:$A$200,0))),"")</f>
        <v/>
      </c>
      <c r="T85" s="10">
        <f>IFERROR(IF(INDEX('Test catalog'!$M$2:$M$200,MATCH($AB85,'Test catalog'!$A$2:$A$200,0))="","",INDEX('Test catalog'!$M$2:$M$200,MATCH($AB85,'Test catalog'!$A$2:$A$200,0))),"")</f>
        <v/>
      </c>
      <c r="U85" s="10">
        <f>IFERROR(IF(INDEX('Test catalog'!$N$2:$N$200,MATCH($AB85,'Test catalog'!$A$2:$A$200,0))="","",INDEX('Test catalog'!$N$2:$N$200,MATCH($AB85,'Test catalog'!$A$2:$A$200,0))),"")</f>
        <v/>
      </c>
      <c r="V85" s="15" t="n"/>
      <c r="W85" s="5" t="inlineStr">
        <is>
          <t>N</t>
        </is>
      </c>
      <c r="X85" s="5" t="n"/>
      <c r="Y85" s="5" t="n"/>
      <c r="Z85" s="5" t="n"/>
      <c r="AA85" s="10">
        <f>IFERROR(IF(INDEX('Test catalog'!$O$2:$O$200,MATCH($AB85,'Test catalog'!$A$2:$A$200,0))="","",INDEX('Test catalog'!$O$2:$O$200,MATCH($AB85,'Test catalog'!$A$2:$A$200,0))),"")</f>
        <v/>
      </c>
      <c r="AB85" s="10" t="inlineStr">
        <is>
          <t>LIMIT</t>
        </is>
      </c>
      <c r="AC85" s="10" t="inlineStr">
        <is>
          <t>Calcium Carbonate · Impurities &lt;241&gt;</t>
        </is>
      </c>
      <c r="AD85" s="10" t="n"/>
      <c r="AE85" s="10" t="n"/>
    </row>
    <row r="86">
      <c r="A86" s="10" t="inlineStr">
        <is>
          <t>Calcium Carbonate Heavy</t>
        </is>
      </c>
      <c r="B86" s="10" t="inlineStr">
        <is>
          <t>RM</t>
        </is>
      </c>
      <c r="C86" s="10" t="inlineStr">
        <is>
          <t>Active</t>
        </is>
      </c>
      <c r="D86" s="10" t="inlineStr">
        <is>
          <t>Lead</t>
        </is>
      </c>
      <c r="E86" s="10">
        <f>IF(A86="","",A86&amp;"|"&amp;D86)</f>
        <v/>
      </c>
      <c r="F86" s="5" t="inlineStr">
        <is>
          <t>Y</t>
        </is>
      </c>
      <c r="G86" s="5" t="inlineStr">
        <is>
          <t>Other / bench</t>
        </is>
      </c>
      <c r="H86" s="5" t="inlineStr">
        <is>
          <t>Low</t>
        </is>
      </c>
      <c r="I86" s="5" t="n">
        <v>1</v>
      </c>
      <c r="J86" s="5" t="n"/>
      <c r="K86" s="10">
        <f>IFERROR(IF(INDEX('Test catalog'!$F$2:$F$200,MATCH($AB86,'Test catalog'!$A$2:$A$200,0))="","",INDEX('Test catalog'!$F$2:$F$200,MATCH($AB86,'Test catalog'!$A$2:$A$200,0))),"")</f>
        <v/>
      </c>
      <c r="L86" s="10">
        <f>IFERROR(IF(INDEX('Test catalog'!$G$2:$G$200,MATCH($AB86,'Test catalog'!$A$2:$A$200,0))="","",INDEX('Test catalog'!$G$2:$G$200,MATCH($AB86,'Test catalog'!$A$2:$A$200,0))),"")</f>
        <v/>
      </c>
      <c r="M86" s="10">
        <f>IFERROR(IF(INDEX('Test catalog'!$H$2:$H$200,MATCH($AB86,'Test catalog'!$A$2:$A$200,0))="","",INDEX('Test catalog'!$H$2:$H$200,MATCH($AB86,'Test catalog'!$A$2:$A$200,0))),"")</f>
        <v/>
      </c>
      <c r="N86" s="10">
        <f>IFERROR(IF(INDEX('Test catalog'!$I$2:$I$200,MATCH($AB86,'Test catalog'!$A$2:$A$200,0))="","",INDEX('Test catalog'!$I$2:$I$200,MATCH($AB86,'Test catalog'!$A$2:$A$200,0))),"")</f>
        <v/>
      </c>
      <c r="O86" s="10">
        <f>IFERROR(IF(INDEX('Test catalog'!$J$2:$J$200,MATCH($AB86,'Test catalog'!$A$2:$A$200,0))="","",INDEX('Test catalog'!$J$2:$J$200,MATCH($AB86,'Test catalog'!$A$2:$A$200,0))),"")</f>
        <v/>
      </c>
      <c r="P86" s="14">
        <f>IF(N86="","",IF(OR(M86="",O86=""),N86,(M86+4*N86+O86)/6))</f>
        <v/>
      </c>
      <c r="Q86" s="10">
        <f>IFERROR(IF(INDEX('Test catalog'!$K$2:$K$200,MATCH($AB86,'Test catalog'!$A$2:$A$200,0))="","",INDEX('Test catalog'!$K$2:$K$200,MATCH($AB86,'Test catalog'!$A$2:$A$200,0))),"")</f>
        <v/>
      </c>
      <c r="R86" s="5" t="n"/>
      <c r="S86" s="10">
        <f>IFERROR(IF(INDEX('Test catalog'!$L$2:$L$200,MATCH($AB86,'Test catalog'!$A$2:$A$200,0))="","",INDEX('Test catalog'!$L$2:$L$200,MATCH($AB86,'Test catalog'!$A$2:$A$200,0))),"")</f>
        <v/>
      </c>
      <c r="T86" s="10">
        <f>IFERROR(IF(INDEX('Test catalog'!$M$2:$M$200,MATCH($AB86,'Test catalog'!$A$2:$A$200,0))="","",INDEX('Test catalog'!$M$2:$M$200,MATCH($AB86,'Test catalog'!$A$2:$A$200,0))),"")</f>
        <v/>
      </c>
      <c r="U86" s="10">
        <f>IFERROR(IF(INDEX('Test catalog'!$N$2:$N$200,MATCH($AB86,'Test catalog'!$A$2:$A$200,0))="","",INDEX('Test catalog'!$N$2:$N$200,MATCH($AB86,'Test catalog'!$A$2:$A$200,0))),"")</f>
        <v/>
      </c>
      <c r="V86" s="15" t="n"/>
      <c r="W86" s="5" t="inlineStr">
        <is>
          <t>N</t>
        </is>
      </c>
      <c r="X86" s="5" t="n"/>
      <c r="Y86" s="5" t="n"/>
      <c r="Z86" s="5" t="n"/>
      <c r="AA86" s="10">
        <f>IFERROR(IF(INDEX('Test catalog'!$O$2:$O$200,MATCH($AB86,'Test catalog'!$A$2:$A$200,0))="","",INDEX('Test catalog'!$O$2:$O$200,MATCH($AB86,'Test catalog'!$A$2:$A$200,0))),"")</f>
        <v/>
      </c>
      <c r="AB86" s="10" t="inlineStr">
        <is>
          <t>LIM_TOX</t>
        </is>
      </c>
      <c r="AC86" s="10" t="inlineStr">
        <is>
          <t>Calcium Carbonate · Impurities &lt;251&gt;</t>
        </is>
      </c>
      <c r="AD86" s="10" t="n"/>
      <c r="AE86" s="10" t="n"/>
    </row>
    <row r="87">
      <c r="A87" s="10" t="inlineStr">
        <is>
          <t>Calcium Carbonate Heavy</t>
        </is>
      </c>
      <c r="B87" s="10" t="inlineStr">
        <is>
          <t>RM</t>
        </is>
      </c>
      <c r="C87" s="10" t="inlineStr">
        <is>
          <t>Active</t>
        </is>
      </c>
      <c r="D87" s="10" t="inlineStr">
        <is>
          <t>Limit of Fluoride</t>
        </is>
      </c>
      <c r="E87" s="10">
        <f>IF(A87="","",A87&amp;"|"&amp;D87)</f>
        <v/>
      </c>
      <c r="F87" s="5" t="inlineStr">
        <is>
          <t>Y</t>
        </is>
      </c>
      <c r="G87" s="5" t="inlineStr">
        <is>
          <t>Other / bench</t>
        </is>
      </c>
      <c r="H87" s="5" t="inlineStr">
        <is>
          <t>Low</t>
        </is>
      </c>
      <c r="I87" s="5" t="n">
        <v>1</v>
      </c>
      <c r="J87" s="5" t="n"/>
      <c r="K87" s="10">
        <f>IFERROR(IF(INDEX('Test catalog'!$F$2:$F$200,MATCH($AB87,'Test catalog'!$A$2:$A$200,0))="","",INDEX('Test catalog'!$F$2:$F$200,MATCH($AB87,'Test catalog'!$A$2:$A$200,0))),"")</f>
        <v/>
      </c>
      <c r="L87" s="10">
        <f>IFERROR(IF(INDEX('Test catalog'!$G$2:$G$200,MATCH($AB87,'Test catalog'!$A$2:$A$200,0))="","",INDEX('Test catalog'!$G$2:$G$200,MATCH($AB87,'Test catalog'!$A$2:$A$200,0))),"")</f>
        <v/>
      </c>
      <c r="M87" s="10">
        <f>IFERROR(IF(INDEX('Test catalog'!$H$2:$H$200,MATCH($AB87,'Test catalog'!$A$2:$A$200,0))="","",INDEX('Test catalog'!$H$2:$H$200,MATCH($AB87,'Test catalog'!$A$2:$A$200,0))),"")</f>
        <v/>
      </c>
      <c r="N87" s="10">
        <f>IFERROR(IF(INDEX('Test catalog'!$I$2:$I$200,MATCH($AB87,'Test catalog'!$A$2:$A$200,0))="","",INDEX('Test catalog'!$I$2:$I$200,MATCH($AB87,'Test catalog'!$A$2:$A$200,0))),"")</f>
        <v/>
      </c>
      <c r="O87" s="10">
        <f>IFERROR(IF(INDEX('Test catalog'!$J$2:$J$200,MATCH($AB87,'Test catalog'!$A$2:$A$200,0))="","",INDEX('Test catalog'!$J$2:$J$200,MATCH($AB87,'Test catalog'!$A$2:$A$200,0))),"")</f>
        <v/>
      </c>
      <c r="P87" s="14">
        <f>IF(N87="","",IF(OR(M87="",O87=""),N87,(M87+4*N87+O87)/6))</f>
        <v/>
      </c>
      <c r="Q87" s="10">
        <f>IFERROR(IF(INDEX('Test catalog'!$K$2:$K$200,MATCH($AB87,'Test catalog'!$A$2:$A$200,0))="","",INDEX('Test catalog'!$K$2:$K$200,MATCH($AB87,'Test catalog'!$A$2:$A$200,0))),"")</f>
        <v/>
      </c>
      <c r="R87" s="5" t="n"/>
      <c r="S87" s="10">
        <f>IFERROR(IF(INDEX('Test catalog'!$L$2:$L$200,MATCH($AB87,'Test catalog'!$A$2:$A$200,0))="","",INDEX('Test catalog'!$L$2:$L$200,MATCH($AB87,'Test catalog'!$A$2:$A$200,0))),"")</f>
        <v/>
      </c>
      <c r="T87" s="10">
        <f>IFERROR(IF(INDEX('Test catalog'!$M$2:$M$200,MATCH($AB87,'Test catalog'!$A$2:$A$200,0))="","",INDEX('Test catalog'!$M$2:$M$200,MATCH($AB87,'Test catalog'!$A$2:$A$200,0))),"")</f>
        <v/>
      </c>
      <c r="U87" s="10">
        <f>IFERROR(IF(INDEX('Test catalog'!$N$2:$N$200,MATCH($AB87,'Test catalog'!$A$2:$A$200,0))="","",INDEX('Test catalog'!$N$2:$N$200,MATCH($AB87,'Test catalog'!$A$2:$A$200,0))),"")</f>
        <v/>
      </c>
      <c r="V87" s="15" t="n"/>
      <c r="W87" s="5" t="inlineStr">
        <is>
          <t>N</t>
        </is>
      </c>
      <c r="X87" s="5" t="n"/>
      <c r="Y87" s="5" t="n"/>
      <c r="Z87" s="5" t="n"/>
      <c r="AA87" s="10">
        <f>IFERROR(IF(INDEX('Test catalog'!$O$2:$O$200,MATCH($AB87,'Test catalog'!$A$2:$A$200,0))="","",INDEX('Test catalog'!$O$2:$O$200,MATCH($AB87,'Test catalog'!$A$2:$A$200,0))),"")</f>
        <v/>
      </c>
      <c r="AB87" s="10" t="inlineStr">
        <is>
          <t>LIMIT</t>
        </is>
      </c>
      <c r="AC87" s="10" t="inlineStr">
        <is>
          <t>Calcium Carbonate · Impurities</t>
        </is>
      </c>
      <c r="AD87" s="10" t="n"/>
      <c r="AE87" s="10" t="n"/>
    </row>
    <row r="88">
      <c r="A88" s="10" t="inlineStr">
        <is>
          <t>Calcium Carbonate Heavy</t>
        </is>
      </c>
      <c r="B88" s="10" t="inlineStr">
        <is>
          <t>RM</t>
        </is>
      </c>
      <c r="C88" s="10" t="inlineStr">
        <is>
          <t>Active</t>
        </is>
      </c>
      <c r="D88" s="10" t="inlineStr">
        <is>
          <t>Limit of Magnesium and Alkali Salts</t>
        </is>
      </c>
      <c r="E88" s="10">
        <f>IF(A88="","",A88&amp;"|"&amp;D88)</f>
        <v/>
      </c>
      <c r="F88" s="5" t="inlineStr">
        <is>
          <t>Y</t>
        </is>
      </c>
      <c r="G88" s="5" t="inlineStr">
        <is>
          <t>Other / bench</t>
        </is>
      </c>
      <c r="H88" s="5" t="inlineStr">
        <is>
          <t>Low</t>
        </is>
      </c>
      <c r="I88" s="5" t="n">
        <v>1</v>
      </c>
      <c r="J88" s="5" t="n"/>
      <c r="K88" s="10">
        <f>IFERROR(IF(INDEX('Test catalog'!$F$2:$F$200,MATCH($AB88,'Test catalog'!$A$2:$A$200,0))="","",INDEX('Test catalog'!$F$2:$F$200,MATCH($AB88,'Test catalog'!$A$2:$A$200,0))),"")</f>
        <v/>
      </c>
      <c r="L88" s="10">
        <f>IFERROR(IF(INDEX('Test catalog'!$G$2:$G$200,MATCH($AB88,'Test catalog'!$A$2:$A$200,0))="","",INDEX('Test catalog'!$G$2:$G$200,MATCH($AB88,'Test catalog'!$A$2:$A$200,0))),"")</f>
        <v/>
      </c>
      <c r="M88" s="10">
        <f>IFERROR(IF(INDEX('Test catalog'!$H$2:$H$200,MATCH($AB88,'Test catalog'!$A$2:$A$200,0))="","",INDEX('Test catalog'!$H$2:$H$200,MATCH($AB88,'Test catalog'!$A$2:$A$200,0))),"")</f>
        <v/>
      </c>
      <c r="N88" s="10">
        <f>IFERROR(IF(INDEX('Test catalog'!$I$2:$I$200,MATCH($AB88,'Test catalog'!$A$2:$A$200,0))="","",INDEX('Test catalog'!$I$2:$I$200,MATCH($AB88,'Test catalog'!$A$2:$A$200,0))),"")</f>
        <v/>
      </c>
      <c r="O88" s="10">
        <f>IFERROR(IF(INDEX('Test catalog'!$J$2:$J$200,MATCH($AB88,'Test catalog'!$A$2:$A$200,0))="","",INDEX('Test catalog'!$J$2:$J$200,MATCH($AB88,'Test catalog'!$A$2:$A$200,0))),"")</f>
        <v/>
      </c>
      <c r="P88" s="14">
        <f>IF(N88="","",IF(OR(M88="",O88=""),N88,(M88+4*N88+O88)/6))</f>
        <v/>
      </c>
      <c r="Q88" s="10">
        <f>IFERROR(IF(INDEX('Test catalog'!$K$2:$K$200,MATCH($AB88,'Test catalog'!$A$2:$A$200,0))="","",INDEX('Test catalog'!$K$2:$K$200,MATCH($AB88,'Test catalog'!$A$2:$A$200,0))),"")</f>
        <v/>
      </c>
      <c r="R88" s="5" t="n"/>
      <c r="S88" s="10">
        <f>IFERROR(IF(INDEX('Test catalog'!$L$2:$L$200,MATCH($AB88,'Test catalog'!$A$2:$A$200,0))="","",INDEX('Test catalog'!$L$2:$L$200,MATCH($AB88,'Test catalog'!$A$2:$A$200,0))),"")</f>
        <v/>
      </c>
      <c r="T88" s="10">
        <f>IFERROR(IF(INDEX('Test catalog'!$M$2:$M$200,MATCH($AB88,'Test catalog'!$A$2:$A$200,0))="","",INDEX('Test catalog'!$M$2:$M$200,MATCH($AB88,'Test catalog'!$A$2:$A$200,0))),"")</f>
        <v/>
      </c>
      <c r="U88" s="10">
        <f>IFERROR(IF(INDEX('Test catalog'!$N$2:$N$200,MATCH($AB88,'Test catalog'!$A$2:$A$200,0))="","",INDEX('Test catalog'!$N$2:$N$200,MATCH($AB88,'Test catalog'!$A$2:$A$200,0))),"")</f>
        <v/>
      </c>
      <c r="V88" s="15" t="n"/>
      <c r="W88" s="5" t="inlineStr">
        <is>
          <t>N</t>
        </is>
      </c>
      <c r="X88" s="5" t="n"/>
      <c r="Y88" s="5" t="n"/>
      <c r="Z88" s="5" t="n"/>
      <c r="AA88" s="10">
        <f>IFERROR(IF(INDEX('Test catalog'!$O$2:$O$200,MATCH($AB88,'Test catalog'!$A$2:$A$200,0))="","",INDEX('Test catalog'!$O$2:$O$200,MATCH($AB88,'Test catalog'!$A$2:$A$200,0))),"")</f>
        <v/>
      </c>
      <c r="AB88" s="10" t="inlineStr">
        <is>
          <t>LIMIT</t>
        </is>
      </c>
      <c r="AC88" s="10" t="inlineStr">
        <is>
          <t>Calcium Carbonate · Impurities</t>
        </is>
      </c>
      <c r="AD88" s="10" t="n"/>
      <c r="AE88" s="10" t="n"/>
    </row>
    <row r="89">
      <c r="A89" s="10" t="inlineStr">
        <is>
          <t>Calcium Carbonate Heavy</t>
        </is>
      </c>
      <c r="B89" s="10" t="inlineStr">
        <is>
          <t>RM</t>
        </is>
      </c>
      <c r="C89" s="10" t="inlineStr">
        <is>
          <t>Active</t>
        </is>
      </c>
      <c r="D89" s="10" t="inlineStr">
        <is>
          <t>Mercury</t>
        </is>
      </c>
      <c r="E89" s="10">
        <f>IF(A89="","",A89&amp;"|"&amp;D89)</f>
        <v/>
      </c>
      <c r="F89" s="5" t="inlineStr">
        <is>
          <t>Y</t>
        </is>
      </c>
      <c r="G89" s="5" t="inlineStr">
        <is>
          <t>Other / bench</t>
        </is>
      </c>
      <c r="H89" s="5" t="inlineStr">
        <is>
          <t>Low</t>
        </is>
      </c>
      <c r="I89" s="5" t="n">
        <v>1</v>
      </c>
      <c r="J89" s="5" t="n"/>
      <c r="K89" s="10">
        <f>IFERROR(IF(INDEX('Test catalog'!$F$2:$F$200,MATCH($AB89,'Test catalog'!$A$2:$A$200,0))="","",INDEX('Test catalog'!$F$2:$F$200,MATCH($AB89,'Test catalog'!$A$2:$A$200,0))),"")</f>
        <v/>
      </c>
      <c r="L89" s="10">
        <f>IFERROR(IF(INDEX('Test catalog'!$G$2:$G$200,MATCH($AB89,'Test catalog'!$A$2:$A$200,0))="","",INDEX('Test catalog'!$G$2:$G$200,MATCH($AB89,'Test catalog'!$A$2:$A$200,0))),"")</f>
        <v/>
      </c>
      <c r="M89" s="10">
        <f>IFERROR(IF(INDEX('Test catalog'!$H$2:$H$200,MATCH($AB89,'Test catalog'!$A$2:$A$200,0))="","",INDEX('Test catalog'!$H$2:$H$200,MATCH($AB89,'Test catalog'!$A$2:$A$200,0))),"")</f>
        <v/>
      </c>
      <c r="N89" s="10">
        <f>IFERROR(IF(INDEX('Test catalog'!$I$2:$I$200,MATCH($AB89,'Test catalog'!$A$2:$A$200,0))="","",INDEX('Test catalog'!$I$2:$I$200,MATCH($AB89,'Test catalog'!$A$2:$A$200,0))),"")</f>
        <v/>
      </c>
      <c r="O89" s="10">
        <f>IFERROR(IF(INDEX('Test catalog'!$J$2:$J$200,MATCH($AB89,'Test catalog'!$A$2:$A$200,0))="","",INDEX('Test catalog'!$J$2:$J$200,MATCH($AB89,'Test catalog'!$A$2:$A$200,0))),"")</f>
        <v/>
      </c>
      <c r="P89" s="14">
        <f>IF(N89="","",IF(OR(M89="",O89=""),N89,(M89+4*N89+O89)/6))</f>
        <v/>
      </c>
      <c r="Q89" s="10">
        <f>IFERROR(IF(INDEX('Test catalog'!$K$2:$K$200,MATCH($AB89,'Test catalog'!$A$2:$A$200,0))="","",INDEX('Test catalog'!$K$2:$K$200,MATCH($AB89,'Test catalog'!$A$2:$A$200,0))),"")</f>
        <v/>
      </c>
      <c r="R89" s="5" t="n"/>
      <c r="S89" s="10">
        <f>IFERROR(IF(INDEX('Test catalog'!$L$2:$L$200,MATCH($AB89,'Test catalog'!$A$2:$A$200,0))="","",INDEX('Test catalog'!$L$2:$L$200,MATCH($AB89,'Test catalog'!$A$2:$A$200,0))),"")</f>
        <v/>
      </c>
      <c r="T89" s="10">
        <f>IFERROR(IF(INDEX('Test catalog'!$M$2:$M$200,MATCH($AB89,'Test catalog'!$A$2:$A$200,0))="","",INDEX('Test catalog'!$M$2:$M$200,MATCH($AB89,'Test catalog'!$A$2:$A$200,0))),"")</f>
        <v/>
      </c>
      <c r="U89" s="10">
        <f>IFERROR(IF(INDEX('Test catalog'!$N$2:$N$200,MATCH($AB89,'Test catalog'!$A$2:$A$200,0))="","",INDEX('Test catalog'!$N$2:$N$200,MATCH($AB89,'Test catalog'!$A$2:$A$200,0))),"")</f>
        <v/>
      </c>
      <c r="V89" s="15" t="n"/>
      <c r="W89" s="5" t="inlineStr">
        <is>
          <t>N</t>
        </is>
      </c>
      <c r="X89" s="5" t="n"/>
      <c r="Y89" s="5" t="n"/>
      <c r="Z89" s="5" t="n"/>
      <c r="AA89" s="10">
        <f>IFERROR(IF(INDEX('Test catalog'!$O$2:$O$200,MATCH($AB89,'Test catalog'!$A$2:$A$200,0))="","",INDEX('Test catalog'!$O$2:$O$200,MATCH($AB89,'Test catalog'!$A$2:$A$200,0))),"")</f>
        <v/>
      </c>
      <c r="AB89" s="10" t="inlineStr">
        <is>
          <t>LIM_TOX</t>
        </is>
      </c>
      <c r="AC89" s="10" t="inlineStr">
        <is>
          <t>Calcium Carbonate · Impurities &lt;261&gt;</t>
        </is>
      </c>
      <c r="AD89" s="10" t="n"/>
      <c r="AE89" s="10" t="n"/>
    </row>
    <row r="90">
      <c r="A90" s="10" t="inlineStr">
        <is>
          <t>Calcium Carbonate Heavy</t>
        </is>
      </c>
      <c r="B90" s="10" t="inlineStr">
        <is>
          <t>RM</t>
        </is>
      </c>
      <c r="C90" s="10" t="inlineStr">
        <is>
          <t>Active</t>
        </is>
      </c>
      <c r="D90" s="10" t="inlineStr">
        <is>
          <t>Loss on Drying</t>
        </is>
      </c>
      <c r="E90" s="10">
        <f>IF(A90="","",A90&amp;"|"&amp;D90)</f>
        <v/>
      </c>
      <c r="F90" s="5" t="inlineStr">
        <is>
          <t>Y</t>
        </is>
      </c>
      <c r="G90" s="5" t="inlineStr">
        <is>
          <t>Other / bench</t>
        </is>
      </c>
      <c r="H90" s="5" t="inlineStr">
        <is>
          <t>Low</t>
        </is>
      </c>
      <c r="I90" s="5" t="n">
        <v>1</v>
      </c>
      <c r="J90" s="5" t="n"/>
      <c r="K90" s="10">
        <f>IFERROR(IF(INDEX('Test catalog'!$F$2:$F$200,MATCH($AB90,'Test catalog'!$A$2:$A$200,0))="","",INDEX('Test catalog'!$F$2:$F$200,MATCH($AB90,'Test catalog'!$A$2:$A$200,0))),"")</f>
        <v/>
      </c>
      <c r="L90" s="10">
        <f>IFERROR(IF(INDEX('Test catalog'!$G$2:$G$200,MATCH($AB90,'Test catalog'!$A$2:$A$200,0))="","",INDEX('Test catalog'!$G$2:$G$200,MATCH($AB90,'Test catalog'!$A$2:$A$200,0))),"")</f>
        <v/>
      </c>
      <c r="M90" s="10">
        <f>IFERROR(IF(INDEX('Test catalog'!$H$2:$H$200,MATCH($AB90,'Test catalog'!$A$2:$A$200,0))="","",INDEX('Test catalog'!$H$2:$H$200,MATCH($AB90,'Test catalog'!$A$2:$A$200,0))),"")</f>
        <v/>
      </c>
      <c r="N90" s="10">
        <f>IFERROR(IF(INDEX('Test catalog'!$I$2:$I$200,MATCH($AB90,'Test catalog'!$A$2:$A$200,0))="","",INDEX('Test catalog'!$I$2:$I$200,MATCH($AB90,'Test catalog'!$A$2:$A$200,0))),"")</f>
        <v/>
      </c>
      <c r="O90" s="10">
        <f>IFERROR(IF(INDEX('Test catalog'!$J$2:$J$200,MATCH($AB90,'Test catalog'!$A$2:$A$200,0))="","",INDEX('Test catalog'!$J$2:$J$200,MATCH($AB90,'Test catalog'!$A$2:$A$200,0))),"")</f>
        <v/>
      </c>
      <c r="P90" s="14">
        <f>IF(N90="","",IF(OR(M90="",O90=""),N90,(M90+4*N90+O90)/6))</f>
        <v/>
      </c>
      <c r="Q90" s="10">
        <f>IFERROR(IF(INDEX('Test catalog'!$K$2:$K$200,MATCH($AB90,'Test catalog'!$A$2:$A$200,0))="","",INDEX('Test catalog'!$K$2:$K$200,MATCH($AB90,'Test catalog'!$A$2:$A$200,0))),"")</f>
        <v/>
      </c>
      <c r="R90" s="5" t="n"/>
      <c r="S90" s="10">
        <f>IFERROR(IF(INDEX('Test catalog'!$L$2:$L$200,MATCH($AB90,'Test catalog'!$A$2:$A$200,0))="","",INDEX('Test catalog'!$L$2:$L$200,MATCH($AB90,'Test catalog'!$A$2:$A$200,0))),"")</f>
        <v/>
      </c>
      <c r="T90" s="10">
        <f>IFERROR(IF(INDEX('Test catalog'!$M$2:$M$200,MATCH($AB90,'Test catalog'!$A$2:$A$200,0))="","",INDEX('Test catalog'!$M$2:$M$200,MATCH($AB90,'Test catalog'!$A$2:$A$200,0))),"")</f>
        <v/>
      </c>
      <c r="U90" s="10">
        <f>IFERROR(IF(INDEX('Test catalog'!$N$2:$N$200,MATCH($AB90,'Test catalog'!$A$2:$A$200,0))="","",INDEX('Test catalog'!$N$2:$N$200,MATCH($AB90,'Test catalog'!$A$2:$A$200,0))),"")</f>
        <v/>
      </c>
      <c r="V90" s="15" t="n"/>
      <c r="W90" s="5" t="inlineStr">
        <is>
          <t>N</t>
        </is>
      </c>
      <c r="X90" s="5" t="n"/>
      <c r="Y90" s="5" t="n"/>
      <c r="Z90" s="5" t="n"/>
      <c r="AA90" s="10">
        <f>IFERROR(IF(INDEX('Test catalog'!$O$2:$O$200,MATCH($AB90,'Test catalog'!$A$2:$A$200,0))="","",INDEX('Test catalog'!$O$2:$O$200,MATCH($AB90,'Test catalog'!$A$2:$A$200,0))),"")</f>
        <v/>
      </c>
      <c r="AB90" s="10" t="inlineStr">
        <is>
          <t>LOD</t>
        </is>
      </c>
      <c r="AC90" s="10" t="inlineStr">
        <is>
          <t>Calcium Carbonate · Specific Tests &lt;731&gt;</t>
        </is>
      </c>
      <c r="AD90" s="10" t="n"/>
      <c r="AE90" s="10" t="n"/>
    </row>
    <row r="91">
      <c r="A91" s="10" t="inlineStr">
        <is>
          <t>Calcium Pantothenate (Vitamin B5)</t>
        </is>
      </c>
      <c r="B91" s="10" t="inlineStr">
        <is>
          <t>RM</t>
        </is>
      </c>
      <c r="C91" s="10" t="inlineStr">
        <is>
          <t>Active</t>
        </is>
      </c>
      <c r="D91" s="10" t="inlineStr">
        <is>
          <t>Appearance / description and solubility</t>
        </is>
      </c>
      <c r="E91" s="10">
        <f>IF(A91="","",A91&amp;"|"&amp;D91)</f>
        <v/>
      </c>
      <c r="F91" s="5" t="inlineStr">
        <is>
          <t>Y</t>
        </is>
      </c>
      <c r="G91" s="5" t="inlineStr">
        <is>
          <t>Other / bench</t>
        </is>
      </c>
      <c r="H91" s="5" t="inlineStr">
        <is>
          <t>Low</t>
        </is>
      </c>
      <c r="I91" s="5" t="n">
        <v>1</v>
      </c>
      <c r="J91" s="5" t="n"/>
      <c r="K91" s="10">
        <f>IFERROR(IF(INDEX('Test catalog'!$F$2:$F$200,MATCH($AB91,'Test catalog'!$A$2:$A$200,0))="","",INDEX('Test catalog'!$F$2:$F$200,MATCH($AB91,'Test catalog'!$A$2:$A$200,0))),"")</f>
        <v/>
      </c>
      <c r="L91" s="10">
        <f>IFERROR(IF(INDEX('Test catalog'!$G$2:$G$200,MATCH($AB91,'Test catalog'!$A$2:$A$200,0))="","",INDEX('Test catalog'!$G$2:$G$200,MATCH($AB91,'Test catalog'!$A$2:$A$200,0))),"")</f>
        <v/>
      </c>
      <c r="M91" s="10">
        <f>IFERROR(IF(INDEX('Test catalog'!$H$2:$H$200,MATCH($AB91,'Test catalog'!$A$2:$A$200,0))="","",INDEX('Test catalog'!$H$2:$H$200,MATCH($AB91,'Test catalog'!$A$2:$A$200,0))),"")</f>
        <v/>
      </c>
      <c r="N91" s="10">
        <f>IFERROR(IF(INDEX('Test catalog'!$I$2:$I$200,MATCH($AB91,'Test catalog'!$A$2:$A$200,0))="","",INDEX('Test catalog'!$I$2:$I$200,MATCH($AB91,'Test catalog'!$A$2:$A$200,0))),"")</f>
        <v/>
      </c>
      <c r="O91" s="10">
        <f>IFERROR(IF(INDEX('Test catalog'!$J$2:$J$200,MATCH($AB91,'Test catalog'!$A$2:$A$200,0))="","",INDEX('Test catalog'!$J$2:$J$200,MATCH($AB91,'Test catalog'!$A$2:$A$200,0))),"")</f>
        <v/>
      </c>
      <c r="P91" s="14">
        <f>IF(N91="","",IF(OR(M91="",O91=""),N91,(M91+4*N91+O91)/6))</f>
        <v/>
      </c>
      <c r="Q91" s="10">
        <f>IFERROR(IF(INDEX('Test catalog'!$K$2:$K$200,MATCH($AB91,'Test catalog'!$A$2:$A$200,0))="","",INDEX('Test catalog'!$K$2:$K$200,MATCH($AB91,'Test catalog'!$A$2:$A$200,0))),"")</f>
        <v/>
      </c>
      <c r="R91" s="5" t="n"/>
      <c r="S91" s="10">
        <f>IFERROR(IF(INDEX('Test catalog'!$L$2:$L$200,MATCH($AB91,'Test catalog'!$A$2:$A$200,0))="","",INDEX('Test catalog'!$L$2:$L$200,MATCH($AB91,'Test catalog'!$A$2:$A$200,0))),"")</f>
        <v/>
      </c>
      <c r="T91" s="10">
        <f>IFERROR(IF(INDEX('Test catalog'!$M$2:$M$200,MATCH($AB91,'Test catalog'!$A$2:$A$200,0))="","",INDEX('Test catalog'!$M$2:$M$200,MATCH($AB91,'Test catalog'!$A$2:$A$200,0))),"")</f>
        <v/>
      </c>
      <c r="U91" s="10">
        <f>IFERROR(IF(INDEX('Test catalog'!$N$2:$N$200,MATCH($AB91,'Test catalog'!$A$2:$A$200,0))="","",INDEX('Test catalog'!$N$2:$N$200,MATCH($AB91,'Test catalog'!$A$2:$A$200,0))),"")</f>
        <v/>
      </c>
      <c r="V91" s="15" t="n"/>
      <c r="W91" s="5" t="inlineStr">
        <is>
          <t>N</t>
        </is>
      </c>
      <c r="X91" s="5" t="n"/>
      <c r="Y91" s="5" t="n"/>
      <c r="Z91" s="5" t="n"/>
      <c r="AA91" s="10">
        <f>IFERROR(IF(INDEX('Test catalog'!$O$2:$O$200,MATCH($AB91,'Test catalog'!$A$2:$A$200,0))="","",INDEX('Test catalog'!$O$2:$O$200,MATCH($AB91,'Test catalog'!$A$2:$A$200,0))),"")</f>
        <v/>
      </c>
      <c r="AB91" s="10" t="inlineStr">
        <is>
          <t>APPEAR</t>
        </is>
      </c>
      <c r="AC91" s="10" t="inlineStr">
        <is>
          <t>Lab practice (not a USP test)</t>
        </is>
      </c>
      <c r="AD91" s="10" t="n"/>
      <c r="AE91" s="10" t="n"/>
    </row>
    <row r="92">
      <c r="A92" s="10" t="inlineStr">
        <is>
          <t>Calcium Pantothenate (Vitamin B5)</t>
        </is>
      </c>
      <c r="B92" s="10" t="inlineStr">
        <is>
          <t>RM</t>
        </is>
      </c>
      <c r="C92" s="10" t="inlineStr">
        <is>
          <t>Active</t>
        </is>
      </c>
      <c r="D92" s="10" t="inlineStr">
        <is>
          <t>ID A - IR spectrum</t>
        </is>
      </c>
      <c r="E92" s="10">
        <f>IF(A92="","",A92&amp;"|"&amp;D92)</f>
        <v/>
      </c>
      <c r="F92" s="5" t="inlineStr">
        <is>
          <t>Y</t>
        </is>
      </c>
      <c r="G92" s="5" t="inlineStr">
        <is>
          <t>Other / bench</t>
        </is>
      </c>
      <c r="H92" s="5" t="inlineStr">
        <is>
          <t>Low</t>
        </is>
      </c>
      <c r="I92" s="5" t="n">
        <v>1</v>
      </c>
      <c r="J92" s="5" t="n"/>
      <c r="K92" s="10">
        <f>IFERROR(IF(INDEX('Test catalog'!$F$2:$F$200,MATCH($AB92,'Test catalog'!$A$2:$A$200,0))="","",INDEX('Test catalog'!$F$2:$F$200,MATCH($AB92,'Test catalog'!$A$2:$A$200,0))),"")</f>
        <v/>
      </c>
      <c r="L92" s="10">
        <f>IFERROR(IF(INDEX('Test catalog'!$G$2:$G$200,MATCH($AB92,'Test catalog'!$A$2:$A$200,0))="","",INDEX('Test catalog'!$G$2:$G$200,MATCH($AB92,'Test catalog'!$A$2:$A$200,0))),"")</f>
        <v/>
      </c>
      <c r="M92" s="10">
        <f>IFERROR(IF(INDEX('Test catalog'!$H$2:$H$200,MATCH($AB92,'Test catalog'!$A$2:$A$200,0))="","",INDEX('Test catalog'!$H$2:$H$200,MATCH($AB92,'Test catalog'!$A$2:$A$200,0))),"")</f>
        <v/>
      </c>
      <c r="N92" s="10">
        <f>IFERROR(IF(INDEX('Test catalog'!$I$2:$I$200,MATCH($AB92,'Test catalog'!$A$2:$A$200,0))="","",INDEX('Test catalog'!$I$2:$I$200,MATCH($AB92,'Test catalog'!$A$2:$A$200,0))),"")</f>
        <v/>
      </c>
      <c r="O92" s="10">
        <f>IFERROR(IF(INDEX('Test catalog'!$J$2:$J$200,MATCH($AB92,'Test catalog'!$A$2:$A$200,0))="","",INDEX('Test catalog'!$J$2:$J$200,MATCH($AB92,'Test catalog'!$A$2:$A$200,0))),"")</f>
        <v/>
      </c>
      <c r="P92" s="14">
        <f>IF(N92="","",IF(OR(M92="",O92=""),N92,(M92+4*N92+O92)/6))</f>
        <v/>
      </c>
      <c r="Q92" s="10">
        <f>IFERROR(IF(INDEX('Test catalog'!$K$2:$K$200,MATCH($AB92,'Test catalog'!$A$2:$A$200,0))="","",INDEX('Test catalog'!$K$2:$K$200,MATCH($AB92,'Test catalog'!$A$2:$A$200,0))),"")</f>
        <v/>
      </c>
      <c r="R92" s="5" t="n"/>
      <c r="S92" s="10">
        <f>IFERROR(IF(INDEX('Test catalog'!$L$2:$L$200,MATCH($AB92,'Test catalog'!$A$2:$A$200,0))="","",INDEX('Test catalog'!$L$2:$L$200,MATCH($AB92,'Test catalog'!$A$2:$A$200,0))),"")</f>
        <v/>
      </c>
      <c r="T92" s="10">
        <f>IFERROR(IF(INDEX('Test catalog'!$M$2:$M$200,MATCH($AB92,'Test catalog'!$A$2:$A$200,0))="","",INDEX('Test catalog'!$M$2:$M$200,MATCH($AB92,'Test catalog'!$A$2:$A$200,0))),"")</f>
        <v/>
      </c>
      <c r="U92" s="10">
        <f>IFERROR(IF(INDEX('Test catalog'!$N$2:$N$200,MATCH($AB92,'Test catalog'!$A$2:$A$200,0))="","",INDEX('Test catalog'!$N$2:$N$200,MATCH($AB92,'Test catalog'!$A$2:$A$200,0))),"")</f>
        <v/>
      </c>
      <c r="V92" s="15" t="n"/>
      <c r="W92" s="5" t="inlineStr">
        <is>
          <t>N</t>
        </is>
      </c>
      <c r="X92" s="5" t="n"/>
      <c r="Y92" s="5" t="n"/>
      <c r="Z92" s="5" t="n"/>
      <c r="AA92" s="10">
        <f>IFERROR(IF(INDEX('Test catalog'!$O$2:$O$200,MATCH($AB92,'Test catalog'!$A$2:$A$200,0))="","",INDEX('Test catalog'!$O$2:$O$200,MATCH($AB92,'Test catalog'!$A$2:$A$200,0))),"")</f>
        <v/>
      </c>
      <c r="AB92" s="10" t="inlineStr">
        <is>
          <t>ID_IR</t>
        </is>
      </c>
      <c r="AC92" s="10" t="inlineStr">
        <is>
          <t>Calcium Pantothenate · Identification &lt;197&gt;</t>
        </is>
      </c>
      <c r="AD92" s="10" t="n"/>
      <c r="AE92" s="10" t="n"/>
    </row>
    <row r="93">
      <c r="A93" s="10" t="inlineStr">
        <is>
          <t>Calcium Pantothenate (Vitamin B5)</t>
        </is>
      </c>
      <c r="B93" s="10" t="inlineStr">
        <is>
          <t>RM</t>
        </is>
      </c>
      <c r="C93" s="10" t="inlineStr">
        <is>
          <t>Active</t>
        </is>
      </c>
      <c r="D93" s="10" t="inlineStr">
        <is>
          <t>ID B - chemical reaction</t>
        </is>
      </c>
      <c r="E93" s="10">
        <f>IF(A93="","",A93&amp;"|"&amp;D93)</f>
        <v/>
      </c>
      <c r="F93" s="5" t="inlineStr">
        <is>
          <t>Y</t>
        </is>
      </c>
      <c r="G93" s="5" t="inlineStr">
        <is>
          <t>Other / bench</t>
        </is>
      </c>
      <c r="H93" s="5" t="inlineStr">
        <is>
          <t>Low</t>
        </is>
      </c>
      <c r="I93" s="5" t="n">
        <v>1</v>
      </c>
      <c r="J93" s="5" t="n"/>
      <c r="K93" s="10">
        <f>IFERROR(IF(INDEX('Test catalog'!$F$2:$F$200,MATCH($AB93,'Test catalog'!$A$2:$A$200,0))="","",INDEX('Test catalog'!$F$2:$F$200,MATCH($AB93,'Test catalog'!$A$2:$A$200,0))),"")</f>
        <v/>
      </c>
      <c r="L93" s="10">
        <f>IFERROR(IF(INDEX('Test catalog'!$G$2:$G$200,MATCH($AB93,'Test catalog'!$A$2:$A$200,0))="","",INDEX('Test catalog'!$G$2:$G$200,MATCH($AB93,'Test catalog'!$A$2:$A$200,0))),"")</f>
        <v/>
      </c>
      <c r="M93" s="10">
        <f>IFERROR(IF(INDEX('Test catalog'!$H$2:$H$200,MATCH($AB93,'Test catalog'!$A$2:$A$200,0))="","",INDEX('Test catalog'!$H$2:$H$200,MATCH($AB93,'Test catalog'!$A$2:$A$200,0))),"")</f>
        <v/>
      </c>
      <c r="N93" s="10">
        <f>IFERROR(IF(INDEX('Test catalog'!$I$2:$I$200,MATCH($AB93,'Test catalog'!$A$2:$A$200,0))="","",INDEX('Test catalog'!$I$2:$I$200,MATCH($AB93,'Test catalog'!$A$2:$A$200,0))),"")</f>
        <v/>
      </c>
      <c r="O93" s="10">
        <f>IFERROR(IF(INDEX('Test catalog'!$J$2:$J$200,MATCH($AB93,'Test catalog'!$A$2:$A$200,0))="","",INDEX('Test catalog'!$J$2:$J$200,MATCH($AB93,'Test catalog'!$A$2:$A$200,0))),"")</f>
        <v/>
      </c>
      <c r="P93" s="14">
        <f>IF(N93="","",IF(OR(M93="",O93=""),N93,(M93+4*N93+O93)/6))</f>
        <v/>
      </c>
      <c r="Q93" s="10">
        <f>IFERROR(IF(INDEX('Test catalog'!$K$2:$K$200,MATCH($AB93,'Test catalog'!$A$2:$A$200,0))="","",INDEX('Test catalog'!$K$2:$K$200,MATCH($AB93,'Test catalog'!$A$2:$A$200,0))),"")</f>
        <v/>
      </c>
      <c r="R93" s="5" t="n"/>
      <c r="S93" s="10">
        <f>IFERROR(IF(INDEX('Test catalog'!$L$2:$L$200,MATCH($AB93,'Test catalog'!$A$2:$A$200,0))="","",INDEX('Test catalog'!$L$2:$L$200,MATCH($AB93,'Test catalog'!$A$2:$A$200,0))),"")</f>
        <v/>
      </c>
      <c r="T93" s="10">
        <f>IFERROR(IF(INDEX('Test catalog'!$M$2:$M$200,MATCH($AB93,'Test catalog'!$A$2:$A$200,0))="","",INDEX('Test catalog'!$M$2:$M$200,MATCH($AB93,'Test catalog'!$A$2:$A$200,0))),"")</f>
        <v/>
      </c>
      <c r="U93" s="10">
        <f>IFERROR(IF(INDEX('Test catalog'!$N$2:$N$200,MATCH($AB93,'Test catalog'!$A$2:$A$200,0))="","",INDEX('Test catalog'!$N$2:$N$200,MATCH($AB93,'Test catalog'!$A$2:$A$200,0))),"")</f>
        <v/>
      </c>
      <c r="V93" s="15" t="n"/>
      <c r="W93" s="5" t="inlineStr">
        <is>
          <t>N</t>
        </is>
      </c>
      <c r="X93" s="5" t="n"/>
      <c r="Y93" s="5" t="n"/>
      <c r="Z93" s="5" t="n"/>
      <c r="AA93" s="10">
        <f>IFERROR(IF(INDEX('Test catalog'!$O$2:$O$200,MATCH($AB93,'Test catalog'!$A$2:$A$200,0))="","",INDEX('Test catalog'!$O$2:$O$200,MATCH($AB93,'Test catalog'!$A$2:$A$200,0))),"")</f>
        <v/>
      </c>
      <c r="AB93" s="10" t="inlineStr">
        <is>
          <t>ID_CHEM</t>
        </is>
      </c>
      <c r="AC93" s="10" t="inlineStr">
        <is>
          <t>Calcium Pantothenate · Identification &lt;191&gt;</t>
        </is>
      </c>
      <c r="AD93" s="10" t="n"/>
      <c r="AE93" s="10" t="n"/>
    </row>
    <row r="94">
      <c r="A94" s="10" t="inlineStr">
        <is>
          <t>Calcium Pantothenate (Vitamin B5)</t>
        </is>
      </c>
      <c r="B94" s="10" t="inlineStr">
        <is>
          <t>RM</t>
        </is>
      </c>
      <c r="C94" s="10" t="inlineStr">
        <is>
          <t>Active</t>
        </is>
      </c>
      <c r="D94" s="10" t="inlineStr">
        <is>
          <t>Assay (HPLC)</t>
        </is>
      </c>
      <c r="E94" s="10">
        <f>IF(A94="","",A94&amp;"|"&amp;D94)</f>
        <v/>
      </c>
      <c r="F94" s="5" t="inlineStr">
        <is>
          <t>Y</t>
        </is>
      </c>
      <c r="G94" s="5" t="inlineStr">
        <is>
          <t>HPLC</t>
        </is>
      </c>
      <c r="H94" s="5" t="inlineStr">
        <is>
          <t>Medium</t>
        </is>
      </c>
      <c r="I94" s="5" t="n">
        <v>1</v>
      </c>
      <c r="J94" s="5" t="n"/>
      <c r="K94" s="5" t="n"/>
      <c r="L94" s="5" t="n"/>
      <c r="M94" s="5" t="n"/>
      <c r="N94" s="5" t="n"/>
      <c r="O94" s="5" t="n"/>
      <c r="P94" s="14">
        <f>IF(N94="","",IF(OR(M94="",O94=""),N94,(M94+4*N94+O94)/6))</f>
        <v/>
      </c>
      <c r="Q94" s="5" t="n"/>
      <c r="R94" s="5" t="n"/>
      <c r="S94" s="5" t="n"/>
      <c r="T94" s="5" t="n"/>
      <c r="U94" s="5" t="n"/>
      <c r="V94" s="15" t="n"/>
      <c r="W94" s="5" t="inlineStr">
        <is>
          <t>N</t>
        </is>
      </c>
      <c r="X94" s="5" t="n"/>
      <c r="Y94" s="5" t="n"/>
      <c r="Z94" s="5" t="n"/>
      <c r="AA94" s="5" t="n"/>
      <c r="AB94" s="10" t="n"/>
      <c r="AC94" s="10" t="inlineStr">
        <is>
          <t>Calcium Pantothenate · Assay &lt;781&gt;</t>
        </is>
      </c>
      <c r="AD94" s="10" t="n"/>
      <c r="AE94" s="10" t="n"/>
    </row>
    <row r="95">
      <c r="A95" s="10" t="inlineStr">
        <is>
          <t>Calcium Pantothenate (Vitamin B5)</t>
        </is>
      </c>
      <c r="B95" s="10" t="inlineStr">
        <is>
          <t>RM</t>
        </is>
      </c>
      <c r="C95" s="10" t="inlineStr">
        <is>
          <t>Active</t>
        </is>
      </c>
      <c r="D95" s="10" t="inlineStr">
        <is>
          <t>ID C - HPLC</t>
        </is>
      </c>
      <c r="E95" s="10">
        <f>IF(A95="","",A95&amp;"|"&amp;D95)</f>
        <v/>
      </c>
      <c r="F95" s="5" t="inlineStr">
        <is>
          <t>Y</t>
        </is>
      </c>
      <c r="G95" s="5" t="inlineStr">
        <is>
          <t>HPLC</t>
        </is>
      </c>
      <c r="H95" s="5" t="inlineStr">
        <is>
          <t>Medium</t>
        </is>
      </c>
      <c r="I95" s="5" t="n">
        <v>1</v>
      </c>
      <c r="J95" s="5" t="n"/>
      <c r="K95" s="5" t="n"/>
      <c r="L95" s="5" t="n"/>
      <c r="M95" s="5" t="n"/>
      <c r="N95" s="5" t="n"/>
      <c r="O95" s="5" t="n"/>
      <c r="P95" s="14">
        <f>IF(N95="","",IF(OR(M95="",O95=""),N95,(M95+4*N95+O95)/6))</f>
        <v/>
      </c>
      <c r="Q95" s="5" t="n"/>
      <c r="R95" s="5" t="n"/>
      <c r="S95" s="5" t="n"/>
      <c r="T95" s="5" t="n"/>
      <c r="U95" s="5" t="n"/>
      <c r="V95" s="15" t="n"/>
      <c r="W95" s="5" t="inlineStr">
        <is>
          <t>N</t>
        </is>
      </c>
      <c r="X95" s="5" t="n"/>
      <c r="Y95" s="5" t="n"/>
      <c r="Z95" s="5" t="n"/>
      <c r="AA95" s="5" t="n"/>
      <c r="AB95" s="10" t="n"/>
      <c r="AC95" s="10" t="inlineStr">
        <is>
          <t>Calcium Pantothenate · Identification &lt;781&gt;</t>
        </is>
      </c>
      <c r="AD95" s="10" t="n"/>
      <c r="AE95" s="10" t="n"/>
    </row>
    <row r="96">
      <c r="A96" s="10" t="inlineStr">
        <is>
          <t>Calcium Pantothenate (Vitamin B5)</t>
        </is>
      </c>
      <c r="B96" s="10" t="inlineStr">
        <is>
          <t>RM</t>
        </is>
      </c>
      <c r="C96" s="10" t="inlineStr">
        <is>
          <t>Active</t>
        </is>
      </c>
      <c r="D96" s="10" t="inlineStr">
        <is>
          <t>Content of Calcium</t>
        </is>
      </c>
      <c r="E96" s="10">
        <f>IF(A96="","",A96&amp;"|"&amp;D96)</f>
        <v/>
      </c>
      <c r="F96" s="5" t="inlineStr">
        <is>
          <t>Y</t>
        </is>
      </c>
      <c r="G96" s="5" t="inlineStr">
        <is>
          <t>Other / bench</t>
        </is>
      </c>
      <c r="H96" s="5" t="inlineStr">
        <is>
          <t>Low</t>
        </is>
      </c>
      <c r="I96" s="5" t="n">
        <v>1</v>
      </c>
      <c r="J96" s="5" t="n"/>
      <c r="K96" s="10">
        <f>IFERROR(IF(INDEX('Test catalog'!$F$2:$F$200,MATCH($AB96,'Test catalog'!$A$2:$A$200,0))="","",INDEX('Test catalog'!$F$2:$F$200,MATCH($AB96,'Test catalog'!$A$2:$A$200,0))),"")</f>
        <v/>
      </c>
      <c r="L96" s="10">
        <f>IFERROR(IF(INDEX('Test catalog'!$G$2:$G$200,MATCH($AB96,'Test catalog'!$A$2:$A$200,0))="","",INDEX('Test catalog'!$G$2:$G$200,MATCH($AB96,'Test catalog'!$A$2:$A$200,0))),"")</f>
        <v/>
      </c>
      <c r="M96" s="10">
        <f>IFERROR(IF(INDEX('Test catalog'!$H$2:$H$200,MATCH($AB96,'Test catalog'!$A$2:$A$200,0))="","",INDEX('Test catalog'!$H$2:$H$200,MATCH($AB96,'Test catalog'!$A$2:$A$200,0))),"")</f>
        <v/>
      </c>
      <c r="N96" s="10">
        <f>IFERROR(IF(INDEX('Test catalog'!$I$2:$I$200,MATCH($AB96,'Test catalog'!$A$2:$A$200,0))="","",INDEX('Test catalog'!$I$2:$I$200,MATCH($AB96,'Test catalog'!$A$2:$A$200,0))),"")</f>
        <v/>
      </c>
      <c r="O96" s="10">
        <f>IFERROR(IF(INDEX('Test catalog'!$J$2:$J$200,MATCH($AB96,'Test catalog'!$A$2:$A$200,0))="","",INDEX('Test catalog'!$J$2:$J$200,MATCH($AB96,'Test catalog'!$A$2:$A$200,0))),"")</f>
        <v/>
      </c>
      <c r="P96" s="14">
        <f>IF(N96="","",IF(OR(M96="",O96=""),N96,(M96+4*N96+O96)/6))</f>
        <v/>
      </c>
      <c r="Q96" s="10">
        <f>IFERROR(IF(INDEX('Test catalog'!$K$2:$K$200,MATCH($AB96,'Test catalog'!$A$2:$A$200,0))="","",INDEX('Test catalog'!$K$2:$K$200,MATCH($AB96,'Test catalog'!$A$2:$A$200,0))),"")</f>
        <v/>
      </c>
      <c r="R96" s="5" t="n"/>
      <c r="S96" s="10">
        <f>IFERROR(IF(INDEX('Test catalog'!$L$2:$L$200,MATCH($AB96,'Test catalog'!$A$2:$A$200,0))="","",INDEX('Test catalog'!$L$2:$L$200,MATCH($AB96,'Test catalog'!$A$2:$A$200,0))),"")</f>
        <v/>
      </c>
      <c r="T96" s="10">
        <f>IFERROR(IF(INDEX('Test catalog'!$M$2:$M$200,MATCH($AB96,'Test catalog'!$A$2:$A$200,0))="","",INDEX('Test catalog'!$M$2:$M$200,MATCH($AB96,'Test catalog'!$A$2:$A$200,0))),"")</f>
        <v/>
      </c>
      <c r="U96" s="10">
        <f>IFERROR(IF(INDEX('Test catalog'!$N$2:$N$200,MATCH($AB96,'Test catalog'!$A$2:$A$200,0))="","",INDEX('Test catalog'!$N$2:$N$200,MATCH($AB96,'Test catalog'!$A$2:$A$200,0))),"")</f>
        <v/>
      </c>
      <c r="V96" s="15" t="n"/>
      <c r="W96" s="5" t="inlineStr">
        <is>
          <t>N</t>
        </is>
      </c>
      <c r="X96" s="5" t="n"/>
      <c r="Y96" s="5" t="n"/>
      <c r="Z96" s="5" t="n"/>
      <c r="AA96" s="10">
        <f>IFERROR(IF(INDEX('Test catalog'!$O$2:$O$200,MATCH($AB96,'Test catalog'!$A$2:$A$200,0))="","",INDEX('Test catalog'!$O$2:$O$200,MATCH($AB96,'Test catalog'!$A$2:$A$200,0))),"")</f>
        <v/>
      </c>
      <c r="AB96" s="10" t="inlineStr">
        <is>
          <t>TITR</t>
        </is>
      </c>
      <c r="AC96" s="10" t="inlineStr">
        <is>
          <t>Calcium Pantothenate · Other Components &lt;541&gt;</t>
        </is>
      </c>
      <c r="AD96" s="10" t="n"/>
      <c r="AE96" s="10" t="n"/>
    </row>
    <row r="97">
      <c r="A97" s="10" t="inlineStr">
        <is>
          <t>Calcium Pantothenate (Vitamin B5)</t>
        </is>
      </c>
      <c r="B97" s="10" t="inlineStr">
        <is>
          <t>RM</t>
        </is>
      </c>
      <c r="C97" s="10" t="inlineStr">
        <is>
          <t>Active</t>
        </is>
      </c>
      <c r="D97" s="10" t="inlineStr">
        <is>
          <t>Beta Alanine and Other Aminocarboxylic Acid Impurities</t>
        </is>
      </c>
      <c r="E97" s="10">
        <f>IF(A97="","",A97&amp;"|"&amp;D97)</f>
        <v/>
      </c>
      <c r="F97" s="5" t="inlineStr">
        <is>
          <t>Y</t>
        </is>
      </c>
      <c r="G97" s="5" t="inlineStr">
        <is>
          <t>Other / bench</t>
        </is>
      </c>
      <c r="H97" s="5" t="inlineStr">
        <is>
          <t>Low</t>
        </is>
      </c>
      <c r="I97" s="5" t="n">
        <v>1</v>
      </c>
      <c r="J97" s="5" t="n"/>
      <c r="K97" s="10">
        <f>IFERROR(IF(INDEX('Test catalog'!$F$2:$F$200,MATCH($AB97,'Test catalog'!$A$2:$A$200,0))="","",INDEX('Test catalog'!$F$2:$F$200,MATCH($AB97,'Test catalog'!$A$2:$A$200,0))),"")</f>
        <v/>
      </c>
      <c r="L97" s="10">
        <f>IFERROR(IF(INDEX('Test catalog'!$G$2:$G$200,MATCH($AB97,'Test catalog'!$A$2:$A$200,0))="","",INDEX('Test catalog'!$G$2:$G$200,MATCH($AB97,'Test catalog'!$A$2:$A$200,0))),"")</f>
        <v/>
      </c>
      <c r="M97" s="10">
        <f>IFERROR(IF(INDEX('Test catalog'!$H$2:$H$200,MATCH($AB97,'Test catalog'!$A$2:$A$200,0))="","",INDEX('Test catalog'!$H$2:$H$200,MATCH($AB97,'Test catalog'!$A$2:$A$200,0))),"")</f>
        <v/>
      </c>
      <c r="N97" s="10">
        <f>IFERROR(IF(INDEX('Test catalog'!$I$2:$I$200,MATCH($AB97,'Test catalog'!$A$2:$A$200,0))="","",INDEX('Test catalog'!$I$2:$I$200,MATCH($AB97,'Test catalog'!$A$2:$A$200,0))),"")</f>
        <v/>
      </c>
      <c r="O97" s="10">
        <f>IFERROR(IF(INDEX('Test catalog'!$J$2:$J$200,MATCH($AB97,'Test catalog'!$A$2:$A$200,0))="","",INDEX('Test catalog'!$J$2:$J$200,MATCH($AB97,'Test catalog'!$A$2:$A$200,0))),"")</f>
        <v/>
      </c>
      <c r="P97" s="14">
        <f>IF(N97="","",IF(OR(M97="",O97=""),N97,(M97+4*N97+O97)/6))</f>
        <v/>
      </c>
      <c r="Q97" s="10">
        <f>IFERROR(IF(INDEX('Test catalog'!$K$2:$K$200,MATCH($AB97,'Test catalog'!$A$2:$A$200,0))="","",INDEX('Test catalog'!$K$2:$K$200,MATCH($AB97,'Test catalog'!$A$2:$A$200,0))),"")</f>
        <v/>
      </c>
      <c r="R97" s="5" t="n"/>
      <c r="S97" s="10">
        <f>IFERROR(IF(INDEX('Test catalog'!$L$2:$L$200,MATCH($AB97,'Test catalog'!$A$2:$A$200,0))="","",INDEX('Test catalog'!$L$2:$L$200,MATCH($AB97,'Test catalog'!$A$2:$A$200,0))),"")</f>
        <v/>
      </c>
      <c r="T97" s="10">
        <f>IFERROR(IF(INDEX('Test catalog'!$M$2:$M$200,MATCH($AB97,'Test catalog'!$A$2:$A$200,0))="","",INDEX('Test catalog'!$M$2:$M$200,MATCH($AB97,'Test catalog'!$A$2:$A$200,0))),"")</f>
        <v/>
      </c>
      <c r="U97" s="10">
        <f>IFERROR(IF(INDEX('Test catalog'!$N$2:$N$200,MATCH($AB97,'Test catalog'!$A$2:$A$200,0))="","",INDEX('Test catalog'!$N$2:$N$200,MATCH($AB97,'Test catalog'!$A$2:$A$200,0))),"")</f>
        <v/>
      </c>
      <c r="V97" s="15" t="n"/>
      <c r="W97" s="5" t="inlineStr">
        <is>
          <t>N</t>
        </is>
      </c>
      <c r="X97" s="5" t="n"/>
      <c r="Y97" s="5" t="n"/>
      <c r="Z97" s="5" t="n"/>
      <c r="AA97" s="10">
        <f>IFERROR(IF(INDEX('Test catalog'!$O$2:$O$200,MATCH($AB97,'Test catalog'!$A$2:$A$200,0))="","",INDEX('Test catalog'!$O$2:$O$200,MATCH($AB97,'Test catalog'!$A$2:$A$200,0))),"")</f>
        <v/>
      </c>
      <c r="AB97" s="10" t="inlineStr">
        <is>
          <t>TITR</t>
        </is>
      </c>
      <c r="AC97" s="10" t="inlineStr">
        <is>
          <t>Calcium Pantothenate · Impurities &lt;541&gt;</t>
        </is>
      </c>
      <c r="AD97" s="10" t="n"/>
      <c r="AE97" s="10" t="n"/>
    </row>
    <row r="98">
      <c r="A98" s="10" t="inlineStr">
        <is>
          <t>Calcium Pantothenate (Vitamin B5)</t>
        </is>
      </c>
      <c r="B98" s="10" t="inlineStr">
        <is>
          <t>RM</t>
        </is>
      </c>
      <c r="C98" s="10" t="inlineStr">
        <is>
          <t>Active</t>
        </is>
      </c>
      <c r="D98" s="10" t="inlineStr">
        <is>
          <t>Other Related Substances (HPLC)</t>
        </is>
      </c>
      <c r="E98" s="10">
        <f>IF(A98="","",A98&amp;"|"&amp;D98)</f>
        <v/>
      </c>
      <c r="F98" s="5" t="inlineStr">
        <is>
          <t>Y</t>
        </is>
      </c>
      <c r="G98" s="5" t="inlineStr">
        <is>
          <t>HPLC</t>
        </is>
      </c>
      <c r="H98" s="5" t="inlineStr">
        <is>
          <t>Medium</t>
        </is>
      </c>
      <c r="I98" s="5" t="n">
        <v>1</v>
      </c>
      <c r="J98" s="5" t="n"/>
      <c r="K98" s="5" t="n"/>
      <c r="L98" s="5" t="n"/>
      <c r="M98" s="5" t="n"/>
      <c r="N98" s="5" t="n"/>
      <c r="O98" s="5" t="n"/>
      <c r="P98" s="14">
        <f>IF(N98="","",IF(OR(M98="",O98=""),N98,(M98+4*N98+O98)/6))</f>
        <v/>
      </c>
      <c r="Q98" s="5" t="n"/>
      <c r="R98" s="5" t="n"/>
      <c r="S98" s="5" t="n"/>
      <c r="T98" s="5" t="n"/>
      <c r="U98" s="5" t="n"/>
      <c r="V98" s="15" t="n"/>
      <c r="W98" s="5" t="inlineStr">
        <is>
          <t>N</t>
        </is>
      </c>
      <c r="X98" s="5" t="n"/>
      <c r="Y98" s="5" t="n"/>
      <c r="Z98" s="5" t="n"/>
      <c r="AA98" s="5" t="n"/>
      <c r="AB98" s="10" t="n"/>
      <c r="AC98" s="10" t="inlineStr">
        <is>
          <t>Calcium Pantothenate · Impurities</t>
        </is>
      </c>
      <c r="AD98" s="10" t="n"/>
      <c r="AE98" s="10" t="n"/>
    </row>
    <row r="99">
      <c r="A99" s="10" t="inlineStr">
        <is>
          <t>Calcium Pantothenate (Vitamin B5)</t>
        </is>
      </c>
      <c r="B99" s="10" t="inlineStr">
        <is>
          <t>RM</t>
        </is>
      </c>
      <c r="C99" s="10" t="inlineStr">
        <is>
          <t>Active</t>
        </is>
      </c>
      <c r="D99" s="10" t="inlineStr">
        <is>
          <t>Alkalinity</t>
        </is>
      </c>
      <c r="E99" s="10">
        <f>IF(A99="","",A99&amp;"|"&amp;D99)</f>
        <v/>
      </c>
      <c r="F99" s="5" t="inlineStr">
        <is>
          <t>Y</t>
        </is>
      </c>
      <c r="G99" s="5" t="inlineStr">
        <is>
          <t>Other / bench</t>
        </is>
      </c>
      <c r="H99" s="5" t="inlineStr">
        <is>
          <t>Low</t>
        </is>
      </c>
      <c r="I99" s="5" t="n">
        <v>1</v>
      </c>
      <c r="J99" s="5" t="n"/>
      <c r="K99" s="10">
        <f>IFERROR(IF(INDEX('Test catalog'!$F$2:$F$200,MATCH($AB99,'Test catalog'!$A$2:$A$200,0))="","",INDEX('Test catalog'!$F$2:$F$200,MATCH($AB99,'Test catalog'!$A$2:$A$200,0))),"")</f>
        <v/>
      </c>
      <c r="L99" s="10">
        <f>IFERROR(IF(INDEX('Test catalog'!$G$2:$G$200,MATCH($AB99,'Test catalog'!$A$2:$A$200,0))="","",INDEX('Test catalog'!$G$2:$G$200,MATCH($AB99,'Test catalog'!$A$2:$A$200,0))),"")</f>
        <v/>
      </c>
      <c r="M99" s="10">
        <f>IFERROR(IF(INDEX('Test catalog'!$H$2:$H$200,MATCH($AB99,'Test catalog'!$A$2:$A$200,0))="","",INDEX('Test catalog'!$H$2:$H$200,MATCH($AB99,'Test catalog'!$A$2:$A$200,0))),"")</f>
        <v/>
      </c>
      <c r="N99" s="10">
        <f>IFERROR(IF(INDEX('Test catalog'!$I$2:$I$200,MATCH($AB99,'Test catalog'!$A$2:$A$200,0))="","",INDEX('Test catalog'!$I$2:$I$200,MATCH($AB99,'Test catalog'!$A$2:$A$200,0))),"")</f>
        <v/>
      </c>
      <c r="O99" s="10">
        <f>IFERROR(IF(INDEX('Test catalog'!$J$2:$J$200,MATCH($AB99,'Test catalog'!$A$2:$A$200,0))="","",INDEX('Test catalog'!$J$2:$J$200,MATCH($AB99,'Test catalog'!$A$2:$A$200,0))),"")</f>
        <v/>
      </c>
      <c r="P99" s="14">
        <f>IF(N99="","",IF(OR(M99="",O99=""),N99,(M99+4*N99+O99)/6))</f>
        <v/>
      </c>
      <c r="Q99" s="10">
        <f>IFERROR(IF(INDEX('Test catalog'!$K$2:$K$200,MATCH($AB99,'Test catalog'!$A$2:$A$200,0))="","",INDEX('Test catalog'!$K$2:$K$200,MATCH($AB99,'Test catalog'!$A$2:$A$200,0))),"")</f>
        <v/>
      </c>
      <c r="R99" s="5" t="n"/>
      <c r="S99" s="10">
        <f>IFERROR(IF(INDEX('Test catalog'!$L$2:$L$200,MATCH($AB99,'Test catalog'!$A$2:$A$200,0))="","",INDEX('Test catalog'!$L$2:$L$200,MATCH($AB99,'Test catalog'!$A$2:$A$200,0))),"")</f>
        <v/>
      </c>
      <c r="T99" s="10">
        <f>IFERROR(IF(INDEX('Test catalog'!$M$2:$M$200,MATCH($AB99,'Test catalog'!$A$2:$A$200,0))="","",INDEX('Test catalog'!$M$2:$M$200,MATCH($AB99,'Test catalog'!$A$2:$A$200,0))),"")</f>
        <v/>
      </c>
      <c r="U99" s="10">
        <f>IFERROR(IF(INDEX('Test catalog'!$N$2:$N$200,MATCH($AB99,'Test catalog'!$A$2:$A$200,0))="","",INDEX('Test catalog'!$N$2:$N$200,MATCH($AB99,'Test catalog'!$A$2:$A$200,0))),"")</f>
        <v/>
      </c>
      <c r="V99" s="15" t="n"/>
      <c r="W99" s="5" t="inlineStr">
        <is>
          <t>N</t>
        </is>
      </c>
      <c r="X99" s="5" t="n"/>
      <c r="Y99" s="5" t="n"/>
      <c r="Z99" s="5" t="n"/>
      <c r="AA99" s="10">
        <f>IFERROR(IF(INDEX('Test catalog'!$O$2:$O$200,MATCH($AB99,'Test catalog'!$A$2:$A$200,0))="","",INDEX('Test catalog'!$O$2:$O$200,MATCH($AB99,'Test catalog'!$A$2:$A$200,0))),"")</f>
        <v/>
      </c>
      <c r="AB99" s="10" t="inlineStr">
        <is>
          <t>ACID</t>
        </is>
      </c>
      <c r="AC99" s="10" t="inlineStr">
        <is>
          <t>Calcium Pantothenate · Specific Tests</t>
        </is>
      </c>
      <c r="AD99" s="10" t="n"/>
      <c r="AE99" s="10" t="n"/>
    </row>
    <row r="100">
      <c r="A100" s="10" t="inlineStr">
        <is>
          <t>Calcium Pantothenate (Vitamin B5)</t>
        </is>
      </c>
      <c r="B100" s="10" t="inlineStr">
        <is>
          <t>RM</t>
        </is>
      </c>
      <c r="C100" s="10" t="inlineStr">
        <is>
          <t>Active</t>
        </is>
      </c>
      <c r="D100" s="10" t="inlineStr">
        <is>
          <t>Loss on Drying</t>
        </is>
      </c>
      <c r="E100" s="10">
        <f>IF(A100="","",A100&amp;"|"&amp;D100)</f>
        <v/>
      </c>
      <c r="F100" s="5" t="inlineStr">
        <is>
          <t>Y</t>
        </is>
      </c>
      <c r="G100" s="5" t="inlineStr">
        <is>
          <t>Other / bench</t>
        </is>
      </c>
      <c r="H100" s="5" t="inlineStr">
        <is>
          <t>Low</t>
        </is>
      </c>
      <c r="I100" s="5" t="n">
        <v>1</v>
      </c>
      <c r="J100" s="5" t="n"/>
      <c r="K100" s="10">
        <f>IFERROR(IF(INDEX('Test catalog'!$F$2:$F$200,MATCH($AB100,'Test catalog'!$A$2:$A$200,0))="","",INDEX('Test catalog'!$F$2:$F$200,MATCH($AB100,'Test catalog'!$A$2:$A$200,0))),"")</f>
        <v/>
      </c>
      <c r="L100" s="10">
        <f>IFERROR(IF(INDEX('Test catalog'!$G$2:$G$200,MATCH($AB100,'Test catalog'!$A$2:$A$200,0))="","",INDEX('Test catalog'!$G$2:$G$200,MATCH($AB100,'Test catalog'!$A$2:$A$200,0))),"")</f>
        <v/>
      </c>
      <c r="M100" s="10">
        <f>IFERROR(IF(INDEX('Test catalog'!$H$2:$H$200,MATCH($AB100,'Test catalog'!$A$2:$A$200,0))="","",INDEX('Test catalog'!$H$2:$H$200,MATCH($AB100,'Test catalog'!$A$2:$A$200,0))),"")</f>
        <v/>
      </c>
      <c r="N100" s="10">
        <f>IFERROR(IF(INDEX('Test catalog'!$I$2:$I$200,MATCH($AB100,'Test catalog'!$A$2:$A$200,0))="","",INDEX('Test catalog'!$I$2:$I$200,MATCH($AB100,'Test catalog'!$A$2:$A$200,0))),"")</f>
        <v/>
      </c>
      <c r="O100" s="10">
        <f>IFERROR(IF(INDEX('Test catalog'!$J$2:$J$200,MATCH($AB100,'Test catalog'!$A$2:$A$200,0))="","",INDEX('Test catalog'!$J$2:$J$200,MATCH($AB100,'Test catalog'!$A$2:$A$200,0))),"")</f>
        <v/>
      </c>
      <c r="P100" s="14">
        <f>IF(N100="","",IF(OR(M100="",O100=""),N100,(M100+4*N100+O100)/6))</f>
        <v/>
      </c>
      <c r="Q100" s="10">
        <f>IFERROR(IF(INDEX('Test catalog'!$K$2:$K$200,MATCH($AB100,'Test catalog'!$A$2:$A$200,0))="","",INDEX('Test catalog'!$K$2:$K$200,MATCH($AB100,'Test catalog'!$A$2:$A$200,0))),"")</f>
        <v/>
      </c>
      <c r="R100" s="5" t="n"/>
      <c r="S100" s="10">
        <f>IFERROR(IF(INDEX('Test catalog'!$L$2:$L$200,MATCH($AB100,'Test catalog'!$A$2:$A$200,0))="","",INDEX('Test catalog'!$L$2:$L$200,MATCH($AB100,'Test catalog'!$A$2:$A$200,0))),"")</f>
        <v/>
      </c>
      <c r="T100" s="10">
        <f>IFERROR(IF(INDEX('Test catalog'!$M$2:$M$200,MATCH($AB100,'Test catalog'!$A$2:$A$200,0))="","",INDEX('Test catalog'!$M$2:$M$200,MATCH($AB100,'Test catalog'!$A$2:$A$200,0))),"")</f>
        <v/>
      </c>
      <c r="U100" s="10">
        <f>IFERROR(IF(INDEX('Test catalog'!$N$2:$N$200,MATCH($AB100,'Test catalog'!$A$2:$A$200,0))="","",INDEX('Test catalog'!$N$2:$N$200,MATCH($AB100,'Test catalog'!$A$2:$A$200,0))),"")</f>
        <v/>
      </c>
      <c r="V100" s="15" t="n"/>
      <c r="W100" s="5" t="inlineStr">
        <is>
          <t>N</t>
        </is>
      </c>
      <c r="X100" s="5" t="n"/>
      <c r="Y100" s="5" t="n"/>
      <c r="Z100" s="5" t="n"/>
      <c r="AA100" s="10">
        <f>IFERROR(IF(INDEX('Test catalog'!$O$2:$O$200,MATCH($AB100,'Test catalog'!$A$2:$A$200,0))="","",INDEX('Test catalog'!$O$2:$O$200,MATCH($AB100,'Test catalog'!$A$2:$A$200,0))),"")</f>
        <v/>
      </c>
      <c r="AB100" s="10" t="inlineStr">
        <is>
          <t>LOD</t>
        </is>
      </c>
      <c r="AC100" s="10" t="inlineStr">
        <is>
          <t>Calcium Pantothenate · Specific Tests &lt;731&gt;</t>
        </is>
      </c>
      <c r="AD100" s="10" t="n"/>
      <c r="AE100" s="10" t="n"/>
    </row>
    <row r="101">
      <c r="A101" s="10" t="inlineStr">
        <is>
          <t>Choline Bitartrate</t>
        </is>
      </c>
      <c r="B101" s="10" t="inlineStr">
        <is>
          <t>RM</t>
        </is>
      </c>
      <c r="C101" s="10" t="inlineStr">
        <is>
          <t>Active</t>
        </is>
      </c>
      <c r="D101" s="10" t="inlineStr">
        <is>
          <t>Appearance / description and solubility</t>
        </is>
      </c>
      <c r="E101" s="10">
        <f>IF(A101="","",A101&amp;"|"&amp;D101)</f>
        <v/>
      </c>
      <c r="F101" s="5" t="inlineStr">
        <is>
          <t>Y</t>
        </is>
      </c>
      <c r="G101" s="5" t="inlineStr">
        <is>
          <t>Other / bench</t>
        </is>
      </c>
      <c r="H101" s="5" t="inlineStr">
        <is>
          <t>Low</t>
        </is>
      </c>
      <c r="I101" s="5" t="n">
        <v>1</v>
      </c>
      <c r="J101" s="5" t="n"/>
      <c r="K101" s="10">
        <f>IFERROR(IF(INDEX('Test catalog'!$F$2:$F$200,MATCH($AB101,'Test catalog'!$A$2:$A$200,0))="","",INDEX('Test catalog'!$F$2:$F$200,MATCH($AB101,'Test catalog'!$A$2:$A$200,0))),"")</f>
        <v/>
      </c>
      <c r="L101" s="10">
        <f>IFERROR(IF(INDEX('Test catalog'!$G$2:$G$200,MATCH($AB101,'Test catalog'!$A$2:$A$200,0))="","",INDEX('Test catalog'!$G$2:$G$200,MATCH($AB101,'Test catalog'!$A$2:$A$200,0))),"")</f>
        <v/>
      </c>
      <c r="M101" s="10">
        <f>IFERROR(IF(INDEX('Test catalog'!$H$2:$H$200,MATCH($AB101,'Test catalog'!$A$2:$A$200,0))="","",INDEX('Test catalog'!$H$2:$H$200,MATCH($AB101,'Test catalog'!$A$2:$A$200,0))),"")</f>
        <v/>
      </c>
      <c r="N101" s="10">
        <f>IFERROR(IF(INDEX('Test catalog'!$I$2:$I$200,MATCH($AB101,'Test catalog'!$A$2:$A$200,0))="","",INDEX('Test catalog'!$I$2:$I$200,MATCH($AB101,'Test catalog'!$A$2:$A$200,0))),"")</f>
        <v/>
      </c>
      <c r="O101" s="10">
        <f>IFERROR(IF(INDEX('Test catalog'!$J$2:$J$200,MATCH($AB101,'Test catalog'!$A$2:$A$200,0))="","",INDEX('Test catalog'!$J$2:$J$200,MATCH($AB101,'Test catalog'!$A$2:$A$200,0))),"")</f>
        <v/>
      </c>
      <c r="P101" s="14">
        <f>IF(N101="","",IF(OR(M101="",O101=""),N101,(M101+4*N101+O101)/6))</f>
        <v/>
      </c>
      <c r="Q101" s="10">
        <f>IFERROR(IF(INDEX('Test catalog'!$K$2:$K$200,MATCH($AB101,'Test catalog'!$A$2:$A$200,0))="","",INDEX('Test catalog'!$K$2:$K$200,MATCH($AB101,'Test catalog'!$A$2:$A$200,0))),"")</f>
        <v/>
      </c>
      <c r="R101" s="5" t="n"/>
      <c r="S101" s="10">
        <f>IFERROR(IF(INDEX('Test catalog'!$L$2:$L$200,MATCH($AB101,'Test catalog'!$A$2:$A$200,0))="","",INDEX('Test catalog'!$L$2:$L$200,MATCH($AB101,'Test catalog'!$A$2:$A$200,0))),"")</f>
        <v/>
      </c>
      <c r="T101" s="10">
        <f>IFERROR(IF(INDEX('Test catalog'!$M$2:$M$200,MATCH($AB101,'Test catalog'!$A$2:$A$200,0))="","",INDEX('Test catalog'!$M$2:$M$200,MATCH($AB101,'Test catalog'!$A$2:$A$200,0))),"")</f>
        <v/>
      </c>
      <c r="U101" s="10">
        <f>IFERROR(IF(INDEX('Test catalog'!$N$2:$N$200,MATCH($AB101,'Test catalog'!$A$2:$A$200,0))="","",INDEX('Test catalog'!$N$2:$N$200,MATCH($AB101,'Test catalog'!$A$2:$A$200,0))),"")</f>
        <v/>
      </c>
      <c r="V101" s="15" t="n"/>
      <c r="W101" s="5" t="inlineStr">
        <is>
          <t>N</t>
        </is>
      </c>
      <c r="X101" s="5" t="n"/>
      <c r="Y101" s="5" t="n"/>
      <c r="Z101" s="5" t="n"/>
      <c r="AA101" s="10">
        <f>IFERROR(IF(INDEX('Test catalog'!$O$2:$O$200,MATCH($AB101,'Test catalog'!$A$2:$A$200,0))="","",INDEX('Test catalog'!$O$2:$O$200,MATCH($AB101,'Test catalog'!$A$2:$A$200,0))),"")</f>
        <v/>
      </c>
      <c r="AB101" s="10" t="inlineStr">
        <is>
          <t>APPEAR</t>
        </is>
      </c>
      <c r="AC101" s="10" t="inlineStr">
        <is>
          <t>Lab practice (not a USP test)</t>
        </is>
      </c>
      <c r="AD101" s="10" t="n"/>
      <c r="AE101" s="10" t="n"/>
    </row>
    <row r="102">
      <c r="A102" s="10" t="inlineStr">
        <is>
          <t>Choline Bitartrate</t>
        </is>
      </c>
      <c r="B102" s="10" t="inlineStr">
        <is>
          <t>RM</t>
        </is>
      </c>
      <c r="C102" s="10" t="inlineStr">
        <is>
          <t>Active</t>
        </is>
      </c>
      <c r="D102" s="10" t="inlineStr">
        <is>
          <t>ID A - IR spectrum</t>
        </is>
      </c>
      <c r="E102" s="10">
        <f>IF(A102="","",A102&amp;"|"&amp;D102)</f>
        <v/>
      </c>
      <c r="F102" s="5" t="inlineStr">
        <is>
          <t>Y</t>
        </is>
      </c>
      <c r="G102" s="5" t="inlineStr">
        <is>
          <t>Other / bench</t>
        </is>
      </c>
      <c r="H102" s="5" t="inlineStr">
        <is>
          <t>Low</t>
        </is>
      </c>
      <c r="I102" s="5" t="n">
        <v>1</v>
      </c>
      <c r="J102" s="5" t="n"/>
      <c r="K102" s="10">
        <f>IFERROR(IF(INDEX('Test catalog'!$F$2:$F$200,MATCH($AB102,'Test catalog'!$A$2:$A$200,0))="","",INDEX('Test catalog'!$F$2:$F$200,MATCH($AB102,'Test catalog'!$A$2:$A$200,0))),"")</f>
        <v/>
      </c>
      <c r="L102" s="10">
        <f>IFERROR(IF(INDEX('Test catalog'!$G$2:$G$200,MATCH($AB102,'Test catalog'!$A$2:$A$200,0))="","",INDEX('Test catalog'!$G$2:$G$200,MATCH($AB102,'Test catalog'!$A$2:$A$200,0))),"")</f>
        <v/>
      </c>
      <c r="M102" s="10">
        <f>IFERROR(IF(INDEX('Test catalog'!$H$2:$H$200,MATCH($AB102,'Test catalog'!$A$2:$A$200,0))="","",INDEX('Test catalog'!$H$2:$H$200,MATCH($AB102,'Test catalog'!$A$2:$A$200,0))),"")</f>
        <v/>
      </c>
      <c r="N102" s="10">
        <f>IFERROR(IF(INDEX('Test catalog'!$I$2:$I$200,MATCH($AB102,'Test catalog'!$A$2:$A$200,0))="","",INDEX('Test catalog'!$I$2:$I$200,MATCH($AB102,'Test catalog'!$A$2:$A$200,0))),"")</f>
        <v/>
      </c>
      <c r="O102" s="10">
        <f>IFERROR(IF(INDEX('Test catalog'!$J$2:$J$200,MATCH($AB102,'Test catalog'!$A$2:$A$200,0))="","",INDEX('Test catalog'!$J$2:$J$200,MATCH($AB102,'Test catalog'!$A$2:$A$200,0))),"")</f>
        <v/>
      </c>
      <c r="P102" s="14">
        <f>IF(N102="","",IF(OR(M102="",O102=""),N102,(M102+4*N102+O102)/6))</f>
        <v/>
      </c>
      <c r="Q102" s="10">
        <f>IFERROR(IF(INDEX('Test catalog'!$K$2:$K$200,MATCH($AB102,'Test catalog'!$A$2:$A$200,0))="","",INDEX('Test catalog'!$K$2:$K$200,MATCH($AB102,'Test catalog'!$A$2:$A$200,0))),"")</f>
        <v/>
      </c>
      <c r="R102" s="5" t="n"/>
      <c r="S102" s="10">
        <f>IFERROR(IF(INDEX('Test catalog'!$L$2:$L$200,MATCH($AB102,'Test catalog'!$A$2:$A$200,0))="","",INDEX('Test catalog'!$L$2:$L$200,MATCH($AB102,'Test catalog'!$A$2:$A$200,0))),"")</f>
        <v/>
      </c>
      <c r="T102" s="10">
        <f>IFERROR(IF(INDEX('Test catalog'!$M$2:$M$200,MATCH($AB102,'Test catalog'!$A$2:$A$200,0))="","",INDEX('Test catalog'!$M$2:$M$200,MATCH($AB102,'Test catalog'!$A$2:$A$200,0))),"")</f>
        <v/>
      </c>
      <c r="U102" s="10">
        <f>IFERROR(IF(INDEX('Test catalog'!$N$2:$N$200,MATCH($AB102,'Test catalog'!$A$2:$A$200,0))="","",INDEX('Test catalog'!$N$2:$N$200,MATCH($AB102,'Test catalog'!$A$2:$A$200,0))),"")</f>
        <v/>
      </c>
      <c r="V102" s="15" t="n"/>
      <c r="W102" s="5" t="inlineStr">
        <is>
          <t>N</t>
        </is>
      </c>
      <c r="X102" s="5" t="n"/>
      <c r="Y102" s="5" t="n"/>
      <c r="Z102" s="5" t="n"/>
      <c r="AA102" s="10">
        <f>IFERROR(IF(INDEX('Test catalog'!$O$2:$O$200,MATCH($AB102,'Test catalog'!$A$2:$A$200,0))="","",INDEX('Test catalog'!$O$2:$O$200,MATCH($AB102,'Test catalog'!$A$2:$A$200,0))),"")</f>
        <v/>
      </c>
      <c r="AB102" s="10" t="inlineStr">
        <is>
          <t>ID_IR</t>
        </is>
      </c>
      <c r="AC102" s="10" t="inlineStr">
        <is>
          <t>Choline Bitartrate · Identification &lt;197&gt;</t>
        </is>
      </c>
      <c r="AD102" s="10" t="n"/>
      <c r="AE102" s="10" t="n"/>
    </row>
    <row r="103">
      <c r="A103" s="10" t="inlineStr">
        <is>
          <t>Choline Bitartrate</t>
        </is>
      </c>
      <c r="B103" s="10" t="inlineStr">
        <is>
          <t>RM</t>
        </is>
      </c>
      <c r="C103" s="10" t="inlineStr">
        <is>
          <t>Active</t>
        </is>
      </c>
      <c r="D103" s="10" t="inlineStr">
        <is>
          <t>ID B - chemical reaction</t>
        </is>
      </c>
      <c r="E103" s="10">
        <f>IF(A103="","",A103&amp;"|"&amp;D103)</f>
        <v/>
      </c>
      <c r="F103" s="5" t="inlineStr">
        <is>
          <t>Y</t>
        </is>
      </c>
      <c r="G103" s="5" t="inlineStr">
        <is>
          <t>Other / bench</t>
        </is>
      </c>
      <c r="H103" s="5" t="inlineStr">
        <is>
          <t>Low</t>
        </is>
      </c>
      <c r="I103" s="5" t="n">
        <v>1</v>
      </c>
      <c r="J103" s="5" t="n"/>
      <c r="K103" s="10">
        <f>IFERROR(IF(INDEX('Test catalog'!$F$2:$F$200,MATCH($AB103,'Test catalog'!$A$2:$A$200,0))="","",INDEX('Test catalog'!$F$2:$F$200,MATCH($AB103,'Test catalog'!$A$2:$A$200,0))),"")</f>
        <v/>
      </c>
      <c r="L103" s="10">
        <f>IFERROR(IF(INDEX('Test catalog'!$G$2:$G$200,MATCH($AB103,'Test catalog'!$A$2:$A$200,0))="","",INDEX('Test catalog'!$G$2:$G$200,MATCH($AB103,'Test catalog'!$A$2:$A$200,0))),"")</f>
        <v/>
      </c>
      <c r="M103" s="10">
        <f>IFERROR(IF(INDEX('Test catalog'!$H$2:$H$200,MATCH($AB103,'Test catalog'!$A$2:$A$200,0))="","",INDEX('Test catalog'!$H$2:$H$200,MATCH($AB103,'Test catalog'!$A$2:$A$200,0))),"")</f>
        <v/>
      </c>
      <c r="N103" s="10">
        <f>IFERROR(IF(INDEX('Test catalog'!$I$2:$I$200,MATCH($AB103,'Test catalog'!$A$2:$A$200,0))="","",INDEX('Test catalog'!$I$2:$I$200,MATCH($AB103,'Test catalog'!$A$2:$A$200,0))),"")</f>
        <v/>
      </c>
      <c r="O103" s="10">
        <f>IFERROR(IF(INDEX('Test catalog'!$J$2:$J$200,MATCH($AB103,'Test catalog'!$A$2:$A$200,0))="","",INDEX('Test catalog'!$J$2:$J$200,MATCH($AB103,'Test catalog'!$A$2:$A$200,0))),"")</f>
        <v/>
      </c>
      <c r="P103" s="14">
        <f>IF(N103="","",IF(OR(M103="",O103=""),N103,(M103+4*N103+O103)/6))</f>
        <v/>
      </c>
      <c r="Q103" s="10">
        <f>IFERROR(IF(INDEX('Test catalog'!$K$2:$K$200,MATCH($AB103,'Test catalog'!$A$2:$A$200,0))="","",INDEX('Test catalog'!$K$2:$K$200,MATCH($AB103,'Test catalog'!$A$2:$A$200,0))),"")</f>
        <v/>
      </c>
      <c r="R103" s="5" t="n"/>
      <c r="S103" s="10">
        <f>IFERROR(IF(INDEX('Test catalog'!$L$2:$L$200,MATCH($AB103,'Test catalog'!$A$2:$A$200,0))="","",INDEX('Test catalog'!$L$2:$L$200,MATCH($AB103,'Test catalog'!$A$2:$A$200,0))),"")</f>
        <v/>
      </c>
      <c r="T103" s="10">
        <f>IFERROR(IF(INDEX('Test catalog'!$M$2:$M$200,MATCH($AB103,'Test catalog'!$A$2:$A$200,0))="","",INDEX('Test catalog'!$M$2:$M$200,MATCH($AB103,'Test catalog'!$A$2:$A$200,0))),"")</f>
        <v/>
      </c>
      <c r="U103" s="10">
        <f>IFERROR(IF(INDEX('Test catalog'!$N$2:$N$200,MATCH($AB103,'Test catalog'!$A$2:$A$200,0))="","",INDEX('Test catalog'!$N$2:$N$200,MATCH($AB103,'Test catalog'!$A$2:$A$200,0))),"")</f>
        <v/>
      </c>
      <c r="V103" s="15" t="n"/>
      <c r="W103" s="5" t="inlineStr">
        <is>
          <t>N</t>
        </is>
      </c>
      <c r="X103" s="5" t="n"/>
      <c r="Y103" s="5" t="n"/>
      <c r="Z103" s="5" t="n"/>
      <c r="AA103" s="10">
        <f>IFERROR(IF(INDEX('Test catalog'!$O$2:$O$200,MATCH($AB103,'Test catalog'!$A$2:$A$200,0))="","",INDEX('Test catalog'!$O$2:$O$200,MATCH($AB103,'Test catalog'!$A$2:$A$200,0))),"")</f>
        <v/>
      </c>
      <c r="AB103" s="10" t="inlineStr">
        <is>
          <t>ID_CHEM</t>
        </is>
      </c>
      <c r="AC103" s="10" t="inlineStr">
        <is>
          <t>Choline Bitartrate · Identification</t>
        </is>
      </c>
      <c r="AD103" s="10" t="n"/>
      <c r="AE103" s="10" t="n"/>
    </row>
    <row r="104">
      <c r="A104" s="10" t="inlineStr">
        <is>
          <t>Choline Bitartrate</t>
        </is>
      </c>
      <c r="B104" s="10" t="inlineStr">
        <is>
          <t>RM</t>
        </is>
      </c>
      <c r="C104" s="10" t="inlineStr">
        <is>
          <t>Active</t>
        </is>
      </c>
      <c r="D104" s="10" t="inlineStr">
        <is>
          <t>Content of Choline (HPLC)</t>
        </is>
      </c>
      <c r="E104" s="10">
        <f>IF(A104="","",A104&amp;"|"&amp;D104)</f>
        <v/>
      </c>
      <c r="F104" s="5" t="inlineStr">
        <is>
          <t>Y</t>
        </is>
      </c>
      <c r="G104" s="5" t="inlineStr">
        <is>
          <t>HPLC</t>
        </is>
      </c>
      <c r="H104" s="5" t="inlineStr">
        <is>
          <t>Medium</t>
        </is>
      </c>
      <c r="I104" s="5" t="n">
        <v>1</v>
      </c>
      <c r="J104" s="5" t="n"/>
      <c r="K104" s="5" t="n"/>
      <c r="L104" s="5" t="n"/>
      <c r="M104" s="5" t="n"/>
      <c r="N104" s="5" t="n"/>
      <c r="O104" s="5" t="n"/>
      <c r="P104" s="14">
        <f>IF(N104="","",IF(OR(M104="",O104=""),N104,(M104+4*N104+O104)/6))</f>
        <v/>
      </c>
      <c r="Q104" s="5" t="n"/>
      <c r="R104" s="5" t="n"/>
      <c r="S104" s="5" t="n"/>
      <c r="T104" s="5" t="n"/>
      <c r="U104" s="5" t="n"/>
      <c r="V104" s="15" t="n"/>
      <c r="W104" s="5" t="inlineStr">
        <is>
          <t>N</t>
        </is>
      </c>
      <c r="X104" s="5" t="n"/>
      <c r="Y104" s="5" t="n"/>
      <c r="Z104" s="5" t="inlineStr">
        <is>
          <t>Alternative assays - keep only the one you run</t>
        </is>
      </c>
      <c r="AA104" s="5" t="n"/>
      <c r="AB104" s="10" t="n"/>
      <c r="AC104" s="10" t="inlineStr">
        <is>
          <t>Choline Bitartrate · Assay</t>
        </is>
      </c>
      <c r="AD104" s="10" t="n"/>
      <c r="AE104" s="10" t="n"/>
    </row>
    <row r="105">
      <c r="A105" s="10" t="inlineStr">
        <is>
          <t>Choline Bitartrate</t>
        </is>
      </c>
      <c r="B105" s="10" t="inlineStr">
        <is>
          <t>RM</t>
        </is>
      </c>
      <c r="C105" s="10" t="inlineStr">
        <is>
          <t>Active</t>
        </is>
      </c>
      <c r="D105" s="10" t="inlineStr">
        <is>
          <t>Content of Bitartrate (HPLC)</t>
        </is>
      </c>
      <c r="E105" s="10">
        <f>IF(A105="","",A105&amp;"|"&amp;D105)</f>
        <v/>
      </c>
      <c r="F105" s="5" t="inlineStr">
        <is>
          <t>Y</t>
        </is>
      </c>
      <c r="G105" s="5" t="inlineStr">
        <is>
          <t>HPLC</t>
        </is>
      </c>
      <c r="H105" s="5" t="inlineStr">
        <is>
          <t>Medium</t>
        </is>
      </c>
      <c r="I105" s="5" t="n">
        <v>1</v>
      </c>
      <c r="J105" s="5" t="n"/>
      <c r="K105" s="5" t="n"/>
      <c r="L105" s="5" t="n"/>
      <c r="M105" s="5" t="n"/>
      <c r="N105" s="5" t="n"/>
      <c r="O105" s="5" t="n"/>
      <c r="P105" s="14">
        <f>IF(N105="","",IF(OR(M105="",O105=""),N105,(M105+4*N105+O105)/6))</f>
        <v/>
      </c>
      <c r="Q105" s="5" t="n"/>
      <c r="R105" s="5" t="n"/>
      <c r="S105" s="5" t="n"/>
      <c r="T105" s="5" t="n"/>
      <c r="U105" s="5" t="n"/>
      <c r="V105" s="15" t="n"/>
      <c r="W105" s="5" t="inlineStr">
        <is>
          <t>N</t>
        </is>
      </c>
      <c r="X105" s="5" t="n"/>
      <c r="Y105" s="5" t="n"/>
      <c r="Z105" s="5" t="inlineStr">
        <is>
          <t>Alternative assays - keep only the one you run</t>
        </is>
      </c>
      <c r="AA105" s="5" t="n"/>
      <c r="AB105" s="10" t="n"/>
      <c r="AC105" s="10" t="inlineStr">
        <is>
          <t>Choline Bitartrate · Assay</t>
        </is>
      </c>
      <c r="AD105" s="10" t="n"/>
      <c r="AE105" s="10" t="n"/>
    </row>
    <row r="106">
      <c r="A106" s="10" t="inlineStr">
        <is>
          <t>Choline Bitartrate</t>
        </is>
      </c>
      <c r="B106" s="10" t="inlineStr">
        <is>
          <t>RM</t>
        </is>
      </c>
      <c r="C106" s="10" t="inlineStr">
        <is>
          <t>Active</t>
        </is>
      </c>
      <c r="D106" s="10" t="inlineStr">
        <is>
          <t>Residual Solvents</t>
        </is>
      </c>
      <c r="E106" s="10">
        <f>IF(A106="","",A106&amp;"|"&amp;D106)</f>
        <v/>
      </c>
      <c r="F106" s="5" t="inlineStr">
        <is>
          <t>Y</t>
        </is>
      </c>
      <c r="G106" s="5" t="inlineStr">
        <is>
          <t>GC</t>
        </is>
      </c>
      <c r="H106" s="5" t="inlineStr">
        <is>
          <t>Medium</t>
        </is>
      </c>
      <c r="I106" s="5" t="n">
        <v>1</v>
      </c>
      <c r="J106" s="5" t="n"/>
      <c r="K106" s="10">
        <f>IFERROR(IF(INDEX('Test catalog'!$F$2:$F$200,MATCH($AB106,'Test catalog'!$A$2:$A$200,0))="","",INDEX('Test catalog'!$F$2:$F$200,MATCH($AB106,'Test catalog'!$A$2:$A$200,0))),"")</f>
        <v/>
      </c>
      <c r="L106" s="10">
        <f>IFERROR(IF(INDEX('Test catalog'!$G$2:$G$200,MATCH($AB106,'Test catalog'!$A$2:$A$200,0))="","",INDEX('Test catalog'!$G$2:$G$200,MATCH($AB106,'Test catalog'!$A$2:$A$200,0))),"")</f>
        <v/>
      </c>
      <c r="M106" s="10">
        <f>IFERROR(IF(INDEX('Test catalog'!$H$2:$H$200,MATCH($AB106,'Test catalog'!$A$2:$A$200,0))="","",INDEX('Test catalog'!$H$2:$H$200,MATCH($AB106,'Test catalog'!$A$2:$A$200,0))),"")</f>
        <v/>
      </c>
      <c r="N106" s="10">
        <f>IFERROR(IF(INDEX('Test catalog'!$I$2:$I$200,MATCH($AB106,'Test catalog'!$A$2:$A$200,0))="","",INDEX('Test catalog'!$I$2:$I$200,MATCH($AB106,'Test catalog'!$A$2:$A$200,0))),"")</f>
        <v/>
      </c>
      <c r="O106" s="10">
        <f>IFERROR(IF(INDEX('Test catalog'!$J$2:$J$200,MATCH($AB106,'Test catalog'!$A$2:$A$200,0))="","",INDEX('Test catalog'!$J$2:$J$200,MATCH($AB106,'Test catalog'!$A$2:$A$200,0))),"")</f>
        <v/>
      </c>
      <c r="P106" s="14">
        <f>IF(N106="","",IF(OR(M106="",O106=""),N106,(M106+4*N106+O106)/6))</f>
        <v/>
      </c>
      <c r="Q106" s="10">
        <f>IFERROR(IF(INDEX('Test catalog'!$K$2:$K$200,MATCH($AB106,'Test catalog'!$A$2:$A$200,0))="","",INDEX('Test catalog'!$K$2:$K$200,MATCH($AB106,'Test catalog'!$A$2:$A$200,0))),"")</f>
        <v/>
      </c>
      <c r="R106" s="5" t="n"/>
      <c r="S106" s="10">
        <f>IFERROR(IF(INDEX('Test catalog'!$L$2:$L$200,MATCH($AB106,'Test catalog'!$A$2:$A$200,0))="","",INDEX('Test catalog'!$L$2:$L$200,MATCH($AB106,'Test catalog'!$A$2:$A$200,0))),"")</f>
        <v/>
      </c>
      <c r="T106" s="10">
        <f>IFERROR(IF(INDEX('Test catalog'!$M$2:$M$200,MATCH($AB106,'Test catalog'!$A$2:$A$200,0))="","",INDEX('Test catalog'!$M$2:$M$200,MATCH($AB106,'Test catalog'!$A$2:$A$200,0))),"")</f>
        <v/>
      </c>
      <c r="U106" s="10">
        <f>IFERROR(IF(INDEX('Test catalog'!$N$2:$N$200,MATCH($AB106,'Test catalog'!$A$2:$A$200,0))="","",INDEX('Test catalog'!$N$2:$N$200,MATCH($AB106,'Test catalog'!$A$2:$A$200,0))),"")</f>
        <v/>
      </c>
      <c r="V106" s="15" t="n"/>
      <c r="W106" s="5" t="inlineStr">
        <is>
          <t>N</t>
        </is>
      </c>
      <c r="X106" s="5" t="n"/>
      <c r="Y106" s="5" t="n"/>
      <c r="Z106" s="5" t="n"/>
      <c r="AA106" s="10">
        <f>IFERROR(IF(INDEX('Test catalog'!$O$2:$O$200,MATCH($AB106,'Test catalog'!$A$2:$A$200,0))="","",INDEX('Test catalog'!$O$2:$O$200,MATCH($AB106,'Test catalog'!$A$2:$A$200,0))),"")</f>
        <v/>
      </c>
      <c r="AB106" s="10" t="inlineStr">
        <is>
          <t>RS_GC</t>
        </is>
      </c>
      <c r="AC106" s="10" t="inlineStr">
        <is>
          <t>Choline Bitartrate · Impurities &lt;467&gt;</t>
        </is>
      </c>
      <c r="AD106" s="10" t="n"/>
      <c r="AE106" s="10" t="n"/>
    </row>
    <row r="107">
      <c r="A107" s="10" t="inlineStr">
        <is>
          <t>Choline Bitartrate</t>
        </is>
      </c>
      <c r="B107" s="10" t="inlineStr">
        <is>
          <t>RM</t>
        </is>
      </c>
      <c r="C107" s="10" t="inlineStr">
        <is>
          <t>Active</t>
        </is>
      </c>
      <c r="D107" s="10" t="inlineStr">
        <is>
          <t>Residue on Ignition</t>
        </is>
      </c>
      <c r="E107" s="10">
        <f>IF(A107="","",A107&amp;"|"&amp;D107)</f>
        <v/>
      </c>
      <c r="F107" s="5" t="inlineStr">
        <is>
          <t>Y</t>
        </is>
      </c>
      <c r="G107" s="5" t="inlineStr">
        <is>
          <t>Other / bench</t>
        </is>
      </c>
      <c r="H107" s="5" t="inlineStr">
        <is>
          <t>Low</t>
        </is>
      </c>
      <c r="I107" s="5" t="n">
        <v>1</v>
      </c>
      <c r="J107" s="5" t="n"/>
      <c r="K107" s="10">
        <f>IFERROR(IF(INDEX('Test catalog'!$F$2:$F$200,MATCH($AB107,'Test catalog'!$A$2:$A$200,0))="","",INDEX('Test catalog'!$F$2:$F$200,MATCH($AB107,'Test catalog'!$A$2:$A$200,0))),"")</f>
        <v/>
      </c>
      <c r="L107" s="10">
        <f>IFERROR(IF(INDEX('Test catalog'!$G$2:$G$200,MATCH($AB107,'Test catalog'!$A$2:$A$200,0))="","",INDEX('Test catalog'!$G$2:$G$200,MATCH($AB107,'Test catalog'!$A$2:$A$200,0))),"")</f>
        <v/>
      </c>
      <c r="M107" s="10">
        <f>IFERROR(IF(INDEX('Test catalog'!$H$2:$H$200,MATCH($AB107,'Test catalog'!$A$2:$A$200,0))="","",INDEX('Test catalog'!$H$2:$H$200,MATCH($AB107,'Test catalog'!$A$2:$A$200,0))),"")</f>
        <v/>
      </c>
      <c r="N107" s="10">
        <f>IFERROR(IF(INDEX('Test catalog'!$I$2:$I$200,MATCH($AB107,'Test catalog'!$A$2:$A$200,0))="","",INDEX('Test catalog'!$I$2:$I$200,MATCH($AB107,'Test catalog'!$A$2:$A$200,0))),"")</f>
        <v/>
      </c>
      <c r="O107" s="10">
        <f>IFERROR(IF(INDEX('Test catalog'!$J$2:$J$200,MATCH($AB107,'Test catalog'!$A$2:$A$200,0))="","",INDEX('Test catalog'!$J$2:$J$200,MATCH($AB107,'Test catalog'!$A$2:$A$200,0))),"")</f>
        <v/>
      </c>
      <c r="P107" s="14">
        <f>IF(N107="","",IF(OR(M107="",O107=""),N107,(M107+4*N107+O107)/6))</f>
        <v/>
      </c>
      <c r="Q107" s="10">
        <f>IFERROR(IF(INDEX('Test catalog'!$K$2:$K$200,MATCH($AB107,'Test catalog'!$A$2:$A$200,0))="","",INDEX('Test catalog'!$K$2:$K$200,MATCH($AB107,'Test catalog'!$A$2:$A$200,0))),"")</f>
        <v/>
      </c>
      <c r="R107" s="5" t="n"/>
      <c r="S107" s="10">
        <f>IFERROR(IF(INDEX('Test catalog'!$L$2:$L$200,MATCH($AB107,'Test catalog'!$A$2:$A$200,0))="","",INDEX('Test catalog'!$L$2:$L$200,MATCH($AB107,'Test catalog'!$A$2:$A$200,0))),"")</f>
        <v/>
      </c>
      <c r="T107" s="10">
        <f>IFERROR(IF(INDEX('Test catalog'!$M$2:$M$200,MATCH($AB107,'Test catalog'!$A$2:$A$200,0))="","",INDEX('Test catalog'!$M$2:$M$200,MATCH($AB107,'Test catalog'!$A$2:$A$200,0))),"")</f>
        <v/>
      </c>
      <c r="U107" s="10">
        <f>IFERROR(IF(INDEX('Test catalog'!$N$2:$N$200,MATCH($AB107,'Test catalog'!$A$2:$A$200,0))="","",INDEX('Test catalog'!$N$2:$N$200,MATCH($AB107,'Test catalog'!$A$2:$A$200,0))),"")</f>
        <v/>
      </c>
      <c r="V107" s="15" t="n"/>
      <c r="W107" s="5" t="inlineStr">
        <is>
          <t>N</t>
        </is>
      </c>
      <c r="X107" s="5" t="n"/>
      <c r="Y107" s="5" t="n"/>
      <c r="Z107" s="5" t="n"/>
      <c r="AA107" s="10">
        <f>IFERROR(IF(INDEX('Test catalog'!$O$2:$O$200,MATCH($AB107,'Test catalog'!$A$2:$A$200,0))="","",INDEX('Test catalog'!$O$2:$O$200,MATCH($AB107,'Test catalog'!$A$2:$A$200,0))),"")</f>
        <v/>
      </c>
      <c r="AB107" s="10" t="inlineStr">
        <is>
          <t>ROI</t>
        </is>
      </c>
      <c r="AC107" s="10" t="inlineStr">
        <is>
          <t>Choline Bitartrate · Impurities &lt;281&gt;</t>
        </is>
      </c>
      <c r="AD107" s="10" t="n"/>
      <c r="AE107" s="10" t="n"/>
    </row>
    <row r="108">
      <c r="A108" s="10" t="inlineStr">
        <is>
          <t>Choline Bitartrate</t>
        </is>
      </c>
      <c r="B108" s="10" t="inlineStr">
        <is>
          <t>RM</t>
        </is>
      </c>
      <c r="C108" s="10" t="inlineStr">
        <is>
          <t>Active</t>
        </is>
      </c>
      <c r="D108" s="10" t="inlineStr">
        <is>
          <t>Arsenic</t>
        </is>
      </c>
      <c r="E108" s="10">
        <f>IF(A108="","",A108&amp;"|"&amp;D108)</f>
        <v/>
      </c>
      <c r="F108" s="5" t="inlineStr">
        <is>
          <t>Y</t>
        </is>
      </c>
      <c r="G108" s="5" t="inlineStr">
        <is>
          <t>Other / bench</t>
        </is>
      </c>
      <c r="H108" s="5" t="inlineStr">
        <is>
          <t>Low</t>
        </is>
      </c>
      <c r="I108" s="5" t="n">
        <v>1</v>
      </c>
      <c r="J108" s="5" t="n"/>
      <c r="K108" s="10">
        <f>IFERROR(IF(INDEX('Test catalog'!$F$2:$F$200,MATCH($AB108,'Test catalog'!$A$2:$A$200,0))="","",INDEX('Test catalog'!$F$2:$F$200,MATCH($AB108,'Test catalog'!$A$2:$A$200,0))),"")</f>
        <v/>
      </c>
      <c r="L108" s="10">
        <f>IFERROR(IF(INDEX('Test catalog'!$G$2:$G$200,MATCH($AB108,'Test catalog'!$A$2:$A$200,0))="","",INDEX('Test catalog'!$G$2:$G$200,MATCH($AB108,'Test catalog'!$A$2:$A$200,0))),"")</f>
        <v/>
      </c>
      <c r="M108" s="10">
        <f>IFERROR(IF(INDEX('Test catalog'!$H$2:$H$200,MATCH($AB108,'Test catalog'!$A$2:$A$200,0))="","",INDEX('Test catalog'!$H$2:$H$200,MATCH($AB108,'Test catalog'!$A$2:$A$200,0))),"")</f>
        <v/>
      </c>
      <c r="N108" s="10">
        <f>IFERROR(IF(INDEX('Test catalog'!$I$2:$I$200,MATCH($AB108,'Test catalog'!$A$2:$A$200,0))="","",INDEX('Test catalog'!$I$2:$I$200,MATCH($AB108,'Test catalog'!$A$2:$A$200,0))),"")</f>
        <v/>
      </c>
      <c r="O108" s="10">
        <f>IFERROR(IF(INDEX('Test catalog'!$J$2:$J$200,MATCH($AB108,'Test catalog'!$A$2:$A$200,0))="","",INDEX('Test catalog'!$J$2:$J$200,MATCH($AB108,'Test catalog'!$A$2:$A$200,0))),"")</f>
        <v/>
      </c>
      <c r="P108" s="14">
        <f>IF(N108="","",IF(OR(M108="",O108=""),N108,(M108+4*N108+O108)/6))</f>
        <v/>
      </c>
      <c r="Q108" s="10">
        <f>IFERROR(IF(INDEX('Test catalog'!$K$2:$K$200,MATCH($AB108,'Test catalog'!$A$2:$A$200,0))="","",INDEX('Test catalog'!$K$2:$K$200,MATCH($AB108,'Test catalog'!$A$2:$A$200,0))),"")</f>
        <v/>
      </c>
      <c r="R108" s="5" t="n"/>
      <c r="S108" s="10">
        <f>IFERROR(IF(INDEX('Test catalog'!$L$2:$L$200,MATCH($AB108,'Test catalog'!$A$2:$A$200,0))="","",INDEX('Test catalog'!$L$2:$L$200,MATCH($AB108,'Test catalog'!$A$2:$A$200,0))),"")</f>
        <v/>
      </c>
      <c r="T108" s="10">
        <f>IFERROR(IF(INDEX('Test catalog'!$M$2:$M$200,MATCH($AB108,'Test catalog'!$A$2:$A$200,0))="","",INDEX('Test catalog'!$M$2:$M$200,MATCH($AB108,'Test catalog'!$A$2:$A$200,0))),"")</f>
        <v/>
      </c>
      <c r="U108" s="10">
        <f>IFERROR(IF(INDEX('Test catalog'!$N$2:$N$200,MATCH($AB108,'Test catalog'!$A$2:$A$200,0))="","",INDEX('Test catalog'!$N$2:$N$200,MATCH($AB108,'Test catalog'!$A$2:$A$200,0))),"")</f>
        <v/>
      </c>
      <c r="V108" s="15" t="n"/>
      <c r="W108" s="5" t="inlineStr">
        <is>
          <t>N</t>
        </is>
      </c>
      <c r="X108" s="5" t="n"/>
      <c r="Y108" s="5" t="n"/>
      <c r="Z108" s="5" t="n"/>
      <c r="AA108" s="10">
        <f>IFERROR(IF(INDEX('Test catalog'!$O$2:$O$200,MATCH($AB108,'Test catalog'!$A$2:$A$200,0))="","",INDEX('Test catalog'!$O$2:$O$200,MATCH($AB108,'Test catalog'!$A$2:$A$200,0))),"")</f>
        <v/>
      </c>
      <c r="AB108" s="10" t="inlineStr">
        <is>
          <t>LIM_TOX</t>
        </is>
      </c>
      <c r="AC108" s="10" t="inlineStr">
        <is>
          <t>Choline Bitartrate · Impurities &lt;211&gt;</t>
        </is>
      </c>
      <c r="AD108" s="10" t="n"/>
      <c r="AE108" s="10" t="n"/>
    </row>
    <row r="109">
      <c r="A109" s="10" t="inlineStr">
        <is>
          <t>Choline Bitartrate</t>
        </is>
      </c>
      <c r="B109" s="10" t="inlineStr">
        <is>
          <t>RM</t>
        </is>
      </c>
      <c r="C109" s="10" t="inlineStr">
        <is>
          <t>Active</t>
        </is>
      </c>
      <c r="D109" s="10" t="inlineStr">
        <is>
          <t>Lead</t>
        </is>
      </c>
      <c r="E109" s="10">
        <f>IF(A109="","",A109&amp;"|"&amp;D109)</f>
        <v/>
      </c>
      <c r="F109" s="5" t="inlineStr">
        <is>
          <t>Y</t>
        </is>
      </c>
      <c r="G109" s="5" t="inlineStr">
        <is>
          <t>Other / bench</t>
        </is>
      </c>
      <c r="H109" s="5" t="inlineStr">
        <is>
          <t>Low</t>
        </is>
      </c>
      <c r="I109" s="5" t="n">
        <v>1</v>
      </c>
      <c r="J109" s="5" t="n"/>
      <c r="K109" s="10">
        <f>IFERROR(IF(INDEX('Test catalog'!$F$2:$F$200,MATCH($AB109,'Test catalog'!$A$2:$A$200,0))="","",INDEX('Test catalog'!$F$2:$F$200,MATCH($AB109,'Test catalog'!$A$2:$A$200,0))),"")</f>
        <v/>
      </c>
      <c r="L109" s="10">
        <f>IFERROR(IF(INDEX('Test catalog'!$G$2:$G$200,MATCH($AB109,'Test catalog'!$A$2:$A$200,0))="","",INDEX('Test catalog'!$G$2:$G$200,MATCH($AB109,'Test catalog'!$A$2:$A$200,0))),"")</f>
        <v/>
      </c>
      <c r="M109" s="10">
        <f>IFERROR(IF(INDEX('Test catalog'!$H$2:$H$200,MATCH($AB109,'Test catalog'!$A$2:$A$200,0))="","",INDEX('Test catalog'!$H$2:$H$200,MATCH($AB109,'Test catalog'!$A$2:$A$200,0))),"")</f>
        <v/>
      </c>
      <c r="N109" s="10">
        <f>IFERROR(IF(INDEX('Test catalog'!$I$2:$I$200,MATCH($AB109,'Test catalog'!$A$2:$A$200,0))="","",INDEX('Test catalog'!$I$2:$I$200,MATCH($AB109,'Test catalog'!$A$2:$A$200,0))),"")</f>
        <v/>
      </c>
      <c r="O109" s="10">
        <f>IFERROR(IF(INDEX('Test catalog'!$J$2:$J$200,MATCH($AB109,'Test catalog'!$A$2:$A$200,0))="","",INDEX('Test catalog'!$J$2:$J$200,MATCH($AB109,'Test catalog'!$A$2:$A$200,0))),"")</f>
        <v/>
      </c>
      <c r="P109" s="14">
        <f>IF(N109="","",IF(OR(M109="",O109=""),N109,(M109+4*N109+O109)/6))</f>
        <v/>
      </c>
      <c r="Q109" s="10">
        <f>IFERROR(IF(INDEX('Test catalog'!$K$2:$K$200,MATCH($AB109,'Test catalog'!$A$2:$A$200,0))="","",INDEX('Test catalog'!$K$2:$K$200,MATCH($AB109,'Test catalog'!$A$2:$A$200,0))),"")</f>
        <v/>
      </c>
      <c r="R109" s="5" t="n"/>
      <c r="S109" s="10">
        <f>IFERROR(IF(INDEX('Test catalog'!$L$2:$L$200,MATCH($AB109,'Test catalog'!$A$2:$A$200,0))="","",INDEX('Test catalog'!$L$2:$L$200,MATCH($AB109,'Test catalog'!$A$2:$A$200,0))),"")</f>
        <v/>
      </c>
      <c r="T109" s="10">
        <f>IFERROR(IF(INDEX('Test catalog'!$M$2:$M$200,MATCH($AB109,'Test catalog'!$A$2:$A$200,0))="","",INDEX('Test catalog'!$M$2:$M$200,MATCH($AB109,'Test catalog'!$A$2:$A$200,0))),"")</f>
        <v/>
      </c>
      <c r="U109" s="10">
        <f>IFERROR(IF(INDEX('Test catalog'!$N$2:$N$200,MATCH($AB109,'Test catalog'!$A$2:$A$200,0))="","",INDEX('Test catalog'!$N$2:$N$200,MATCH($AB109,'Test catalog'!$A$2:$A$200,0))),"")</f>
        <v/>
      </c>
      <c r="V109" s="15" t="n"/>
      <c r="W109" s="5" t="inlineStr">
        <is>
          <t>N</t>
        </is>
      </c>
      <c r="X109" s="5" t="n"/>
      <c r="Y109" s="5" t="n"/>
      <c r="Z109" s="5" t="n"/>
      <c r="AA109" s="10">
        <f>IFERROR(IF(INDEX('Test catalog'!$O$2:$O$200,MATCH($AB109,'Test catalog'!$A$2:$A$200,0))="","",INDEX('Test catalog'!$O$2:$O$200,MATCH($AB109,'Test catalog'!$A$2:$A$200,0))),"")</f>
        <v/>
      </c>
      <c r="AB109" s="10" t="inlineStr">
        <is>
          <t>LIM_TOX</t>
        </is>
      </c>
      <c r="AC109" s="10" t="inlineStr">
        <is>
          <t>Choline Bitartrate · Impurities &lt;251&gt;</t>
        </is>
      </c>
      <c r="AD109" s="10" t="n"/>
      <c r="AE109" s="10" t="n"/>
    </row>
    <row r="110">
      <c r="A110" s="10" t="inlineStr">
        <is>
          <t>Choline Bitartrate</t>
        </is>
      </c>
      <c r="B110" s="10" t="inlineStr">
        <is>
          <t>RM</t>
        </is>
      </c>
      <c r="C110" s="10" t="inlineStr">
        <is>
          <t>Active</t>
        </is>
      </c>
      <c r="D110" s="10" t="inlineStr">
        <is>
          <t>Limit of Total Amines (HPLC)</t>
        </is>
      </c>
      <c r="E110" s="10">
        <f>IF(A110="","",A110&amp;"|"&amp;D110)</f>
        <v/>
      </c>
      <c r="F110" s="5" t="inlineStr">
        <is>
          <t>Y</t>
        </is>
      </c>
      <c r="G110" s="5" t="inlineStr">
        <is>
          <t>HPLC</t>
        </is>
      </c>
      <c r="H110" s="5" t="inlineStr">
        <is>
          <t>Medium</t>
        </is>
      </c>
      <c r="I110" s="5" t="n">
        <v>1</v>
      </c>
      <c r="J110" s="5" t="n"/>
      <c r="K110" s="5" t="n"/>
      <c r="L110" s="5" t="n"/>
      <c r="M110" s="5" t="n"/>
      <c r="N110" s="5" t="n"/>
      <c r="O110" s="5" t="n"/>
      <c r="P110" s="14">
        <f>IF(N110="","",IF(OR(M110="",O110=""),N110,(M110+4*N110+O110)/6))</f>
        <v/>
      </c>
      <c r="Q110" s="5" t="n"/>
      <c r="R110" s="5" t="n"/>
      <c r="S110" s="5" t="n"/>
      <c r="T110" s="5" t="n"/>
      <c r="U110" s="5" t="n"/>
      <c r="V110" s="15" t="n"/>
      <c r="W110" s="5" t="inlineStr">
        <is>
          <t>N</t>
        </is>
      </c>
      <c r="X110" s="5" t="n"/>
      <c r="Y110" s="5" t="n"/>
      <c r="Z110" s="5" t="n"/>
      <c r="AA110" s="5" t="n"/>
      <c r="AB110" s="10" t="n"/>
      <c r="AC110" s="10" t="inlineStr">
        <is>
          <t>Choline Bitartrate · Impurities</t>
        </is>
      </c>
      <c r="AD110" s="10" t="n"/>
      <c r="AE110" s="10" t="n"/>
    </row>
    <row r="111">
      <c r="A111" s="10" t="inlineStr">
        <is>
          <t>Choline Bitartrate</t>
        </is>
      </c>
      <c r="B111" s="10" t="inlineStr">
        <is>
          <t>RM</t>
        </is>
      </c>
      <c r="C111" s="10" t="inlineStr">
        <is>
          <t>Active</t>
        </is>
      </c>
      <c r="D111" s="10" t="inlineStr">
        <is>
          <t>Related Compounds (HPLC)</t>
        </is>
      </c>
      <c r="E111" s="10">
        <f>IF(A111="","",A111&amp;"|"&amp;D111)</f>
        <v/>
      </c>
      <c r="F111" s="5" t="inlineStr">
        <is>
          <t>Y</t>
        </is>
      </c>
      <c r="G111" s="5" t="inlineStr">
        <is>
          <t>HPLC</t>
        </is>
      </c>
      <c r="H111" s="5" t="inlineStr">
        <is>
          <t>Medium</t>
        </is>
      </c>
      <c r="I111" s="5" t="n">
        <v>1</v>
      </c>
      <c r="J111" s="5" t="n"/>
      <c r="K111" s="5" t="n"/>
      <c r="L111" s="5" t="n"/>
      <c r="M111" s="5" t="n"/>
      <c r="N111" s="5" t="n"/>
      <c r="O111" s="5" t="n"/>
      <c r="P111" s="14">
        <f>IF(N111="","",IF(OR(M111="",O111=""),N111,(M111+4*N111+O111)/6))</f>
        <v/>
      </c>
      <c r="Q111" s="5" t="n"/>
      <c r="R111" s="5" t="n"/>
      <c r="S111" s="5" t="n"/>
      <c r="T111" s="5" t="n"/>
      <c r="U111" s="5" t="n"/>
      <c r="V111" s="15" t="n"/>
      <c r="W111" s="5" t="inlineStr">
        <is>
          <t>N</t>
        </is>
      </c>
      <c r="X111" s="5" t="n"/>
      <c r="Y111" s="5" t="n"/>
      <c r="Z111" s="5" t="n"/>
      <c r="AA111" s="5" t="n"/>
      <c r="AB111" s="10" t="n"/>
      <c r="AC111" s="10" t="inlineStr">
        <is>
          <t>Choline Bitartrate · Impurities</t>
        </is>
      </c>
      <c r="AD111" s="10" t="n"/>
      <c r="AE111" s="10" t="n"/>
    </row>
    <row r="112">
      <c r="A112" s="10" t="inlineStr">
        <is>
          <t>Choline Bitartrate</t>
        </is>
      </c>
      <c r="B112" s="10" t="inlineStr">
        <is>
          <t>RM</t>
        </is>
      </c>
      <c r="C112" s="10" t="inlineStr">
        <is>
          <t>Active</t>
        </is>
      </c>
      <c r="D112" s="10" t="inlineStr">
        <is>
          <t>Optical Rotation</t>
        </is>
      </c>
      <c r="E112" s="10">
        <f>IF(A112="","",A112&amp;"|"&amp;D112)</f>
        <v/>
      </c>
      <c r="F112" s="5" t="inlineStr">
        <is>
          <t>Y</t>
        </is>
      </c>
      <c r="G112" s="5" t="inlineStr">
        <is>
          <t>Other / bench</t>
        </is>
      </c>
      <c r="H112" s="5" t="inlineStr">
        <is>
          <t>Low</t>
        </is>
      </c>
      <c r="I112" s="5" t="n">
        <v>1</v>
      </c>
      <c r="J112" s="5" t="n"/>
      <c r="K112" s="10">
        <f>IFERROR(IF(INDEX('Test catalog'!$F$2:$F$200,MATCH($AB112,'Test catalog'!$A$2:$A$200,0))="","",INDEX('Test catalog'!$F$2:$F$200,MATCH($AB112,'Test catalog'!$A$2:$A$200,0))),"")</f>
        <v/>
      </c>
      <c r="L112" s="10">
        <f>IFERROR(IF(INDEX('Test catalog'!$G$2:$G$200,MATCH($AB112,'Test catalog'!$A$2:$A$200,0))="","",INDEX('Test catalog'!$G$2:$G$200,MATCH($AB112,'Test catalog'!$A$2:$A$200,0))),"")</f>
        <v/>
      </c>
      <c r="M112" s="10">
        <f>IFERROR(IF(INDEX('Test catalog'!$H$2:$H$200,MATCH($AB112,'Test catalog'!$A$2:$A$200,0))="","",INDEX('Test catalog'!$H$2:$H$200,MATCH($AB112,'Test catalog'!$A$2:$A$200,0))),"")</f>
        <v/>
      </c>
      <c r="N112" s="10">
        <f>IFERROR(IF(INDEX('Test catalog'!$I$2:$I$200,MATCH($AB112,'Test catalog'!$A$2:$A$200,0))="","",INDEX('Test catalog'!$I$2:$I$200,MATCH($AB112,'Test catalog'!$A$2:$A$200,0))),"")</f>
        <v/>
      </c>
      <c r="O112" s="10">
        <f>IFERROR(IF(INDEX('Test catalog'!$J$2:$J$200,MATCH($AB112,'Test catalog'!$A$2:$A$200,0))="","",INDEX('Test catalog'!$J$2:$J$200,MATCH($AB112,'Test catalog'!$A$2:$A$200,0))),"")</f>
        <v/>
      </c>
      <c r="P112" s="14">
        <f>IF(N112="","",IF(OR(M112="",O112=""),N112,(M112+4*N112+O112)/6))</f>
        <v/>
      </c>
      <c r="Q112" s="10">
        <f>IFERROR(IF(INDEX('Test catalog'!$K$2:$K$200,MATCH($AB112,'Test catalog'!$A$2:$A$200,0))="","",INDEX('Test catalog'!$K$2:$K$200,MATCH($AB112,'Test catalog'!$A$2:$A$200,0))),"")</f>
        <v/>
      </c>
      <c r="R112" s="5" t="n"/>
      <c r="S112" s="10">
        <f>IFERROR(IF(INDEX('Test catalog'!$L$2:$L$200,MATCH($AB112,'Test catalog'!$A$2:$A$200,0))="","",INDEX('Test catalog'!$L$2:$L$200,MATCH($AB112,'Test catalog'!$A$2:$A$200,0))),"")</f>
        <v/>
      </c>
      <c r="T112" s="10">
        <f>IFERROR(IF(INDEX('Test catalog'!$M$2:$M$200,MATCH($AB112,'Test catalog'!$A$2:$A$200,0))="","",INDEX('Test catalog'!$M$2:$M$200,MATCH($AB112,'Test catalog'!$A$2:$A$200,0))),"")</f>
        <v/>
      </c>
      <c r="U112" s="10">
        <f>IFERROR(IF(INDEX('Test catalog'!$N$2:$N$200,MATCH($AB112,'Test catalog'!$A$2:$A$200,0))="","",INDEX('Test catalog'!$N$2:$N$200,MATCH($AB112,'Test catalog'!$A$2:$A$200,0))),"")</f>
        <v/>
      </c>
      <c r="V112" s="15" t="n"/>
      <c r="W112" s="5" t="inlineStr">
        <is>
          <t>N</t>
        </is>
      </c>
      <c r="X112" s="5" t="n"/>
      <c r="Y112" s="5" t="n"/>
      <c r="Z112" s="5" t="n"/>
      <c r="AA112" s="10">
        <f>IFERROR(IF(INDEX('Test catalog'!$O$2:$O$200,MATCH($AB112,'Test catalog'!$A$2:$A$200,0))="","",INDEX('Test catalog'!$O$2:$O$200,MATCH($AB112,'Test catalog'!$A$2:$A$200,0))),"")</f>
        <v/>
      </c>
      <c r="AB112" s="10" t="inlineStr">
        <is>
          <t>OR</t>
        </is>
      </c>
      <c r="AC112" s="10" t="inlineStr">
        <is>
          <t>Choline Bitartrate · Specific Tests &lt;781&gt;</t>
        </is>
      </c>
      <c r="AD112" s="10" t="n"/>
      <c r="AE112" s="10" t="n"/>
    </row>
    <row r="113">
      <c r="A113" s="10" t="inlineStr">
        <is>
          <t>Choline Bitartrate</t>
        </is>
      </c>
      <c r="B113" s="10" t="inlineStr">
        <is>
          <t>RM</t>
        </is>
      </c>
      <c r="C113" s="10" t="inlineStr">
        <is>
          <t>Active</t>
        </is>
      </c>
      <c r="D113" s="10" t="inlineStr">
        <is>
          <t>pH</t>
        </is>
      </c>
      <c r="E113" s="10">
        <f>IF(A113="","",A113&amp;"|"&amp;D113)</f>
        <v/>
      </c>
      <c r="F113" s="5" t="inlineStr">
        <is>
          <t>Y</t>
        </is>
      </c>
      <c r="G113" s="5" t="inlineStr">
        <is>
          <t>Other / bench</t>
        </is>
      </c>
      <c r="H113" s="5" t="inlineStr">
        <is>
          <t>Low</t>
        </is>
      </c>
      <c r="I113" s="5" t="n">
        <v>1</v>
      </c>
      <c r="J113" s="5" t="n"/>
      <c r="K113" s="10">
        <f>IFERROR(IF(INDEX('Test catalog'!$F$2:$F$200,MATCH($AB113,'Test catalog'!$A$2:$A$200,0))="","",INDEX('Test catalog'!$F$2:$F$200,MATCH($AB113,'Test catalog'!$A$2:$A$200,0))),"")</f>
        <v/>
      </c>
      <c r="L113" s="10">
        <f>IFERROR(IF(INDEX('Test catalog'!$G$2:$G$200,MATCH($AB113,'Test catalog'!$A$2:$A$200,0))="","",INDEX('Test catalog'!$G$2:$G$200,MATCH($AB113,'Test catalog'!$A$2:$A$200,0))),"")</f>
        <v/>
      </c>
      <c r="M113" s="10">
        <f>IFERROR(IF(INDEX('Test catalog'!$H$2:$H$200,MATCH($AB113,'Test catalog'!$A$2:$A$200,0))="","",INDEX('Test catalog'!$H$2:$H$200,MATCH($AB113,'Test catalog'!$A$2:$A$200,0))),"")</f>
        <v/>
      </c>
      <c r="N113" s="10">
        <f>IFERROR(IF(INDEX('Test catalog'!$I$2:$I$200,MATCH($AB113,'Test catalog'!$A$2:$A$200,0))="","",INDEX('Test catalog'!$I$2:$I$200,MATCH($AB113,'Test catalog'!$A$2:$A$200,0))),"")</f>
        <v/>
      </c>
      <c r="O113" s="10">
        <f>IFERROR(IF(INDEX('Test catalog'!$J$2:$J$200,MATCH($AB113,'Test catalog'!$A$2:$A$200,0))="","",INDEX('Test catalog'!$J$2:$J$200,MATCH($AB113,'Test catalog'!$A$2:$A$200,0))),"")</f>
        <v/>
      </c>
      <c r="P113" s="14">
        <f>IF(N113="","",IF(OR(M113="",O113=""),N113,(M113+4*N113+O113)/6))</f>
        <v/>
      </c>
      <c r="Q113" s="10">
        <f>IFERROR(IF(INDEX('Test catalog'!$K$2:$K$200,MATCH($AB113,'Test catalog'!$A$2:$A$200,0))="","",INDEX('Test catalog'!$K$2:$K$200,MATCH($AB113,'Test catalog'!$A$2:$A$200,0))),"")</f>
        <v/>
      </c>
      <c r="R113" s="5" t="n"/>
      <c r="S113" s="10">
        <f>IFERROR(IF(INDEX('Test catalog'!$L$2:$L$200,MATCH($AB113,'Test catalog'!$A$2:$A$200,0))="","",INDEX('Test catalog'!$L$2:$L$200,MATCH($AB113,'Test catalog'!$A$2:$A$200,0))),"")</f>
        <v/>
      </c>
      <c r="T113" s="10">
        <f>IFERROR(IF(INDEX('Test catalog'!$M$2:$M$200,MATCH($AB113,'Test catalog'!$A$2:$A$200,0))="","",INDEX('Test catalog'!$M$2:$M$200,MATCH($AB113,'Test catalog'!$A$2:$A$200,0))),"")</f>
        <v/>
      </c>
      <c r="U113" s="10">
        <f>IFERROR(IF(INDEX('Test catalog'!$N$2:$N$200,MATCH($AB113,'Test catalog'!$A$2:$A$200,0))="","",INDEX('Test catalog'!$N$2:$N$200,MATCH($AB113,'Test catalog'!$A$2:$A$200,0))),"")</f>
        <v/>
      </c>
      <c r="V113" s="15" t="n"/>
      <c r="W113" s="5" t="inlineStr">
        <is>
          <t>N</t>
        </is>
      </c>
      <c r="X113" s="5" t="n"/>
      <c r="Y113" s="5" t="n"/>
      <c r="Z113" s="5" t="n"/>
      <c r="AA113" s="10">
        <f>IFERROR(IF(INDEX('Test catalog'!$O$2:$O$200,MATCH($AB113,'Test catalog'!$A$2:$A$200,0))="","",INDEX('Test catalog'!$O$2:$O$200,MATCH($AB113,'Test catalog'!$A$2:$A$200,0))),"")</f>
        <v/>
      </c>
      <c r="AB113" s="10" t="inlineStr">
        <is>
          <t>PH</t>
        </is>
      </c>
      <c r="AC113" s="10" t="inlineStr">
        <is>
          <t>Choline Bitartrate · Specific Tests &lt;791&gt;</t>
        </is>
      </c>
      <c r="AD113" s="10" t="n"/>
      <c r="AE113" s="10" t="n"/>
    </row>
    <row r="114">
      <c r="A114" s="10" t="inlineStr">
        <is>
          <t>Choline Bitartrate</t>
        </is>
      </c>
      <c r="B114" s="10" t="inlineStr">
        <is>
          <t>RM</t>
        </is>
      </c>
      <c r="C114" s="10" t="inlineStr">
        <is>
          <t>Active</t>
        </is>
      </c>
      <c r="D114" s="10" t="inlineStr">
        <is>
          <t>Water Determination</t>
        </is>
      </c>
      <c r="E114" s="10">
        <f>IF(A114="","",A114&amp;"|"&amp;D114)</f>
        <v/>
      </c>
      <c r="F114" s="5" t="inlineStr">
        <is>
          <t>Y</t>
        </is>
      </c>
      <c r="G114" s="5" t="inlineStr">
        <is>
          <t>KF titrator</t>
        </is>
      </c>
      <c r="H114" s="5" t="inlineStr">
        <is>
          <t>Low</t>
        </is>
      </c>
      <c r="I114" s="5" t="n">
        <v>1</v>
      </c>
      <c r="J114" s="5" t="n"/>
      <c r="K114" s="10">
        <f>IFERROR(IF(INDEX('Test catalog'!$F$2:$F$200,MATCH($AB114,'Test catalog'!$A$2:$A$200,0))="","",INDEX('Test catalog'!$F$2:$F$200,MATCH($AB114,'Test catalog'!$A$2:$A$200,0))),"")</f>
        <v/>
      </c>
      <c r="L114" s="10">
        <f>IFERROR(IF(INDEX('Test catalog'!$G$2:$G$200,MATCH($AB114,'Test catalog'!$A$2:$A$200,0))="","",INDEX('Test catalog'!$G$2:$G$200,MATCH($AB114,'Test catalog'!$A$2:$A$200,0))),"")</f>
        <v/>
      </c>
      <c r="M114" s="10">
        <f>IFERROR(IF(INDEX('Test catalog'!$H$2:$H$200,MATCH($AB114,'Test catalog'!$A$2:$A$200,0))="","",INDEX('Test catalog'!$H$2:$H$200,MATCH($AB114,'Test catalog'!$A$2:$A$200,0))),"")</f>
        <v/>
      </c>
      <c r="N114" s="10">
        <f>IFERROR(IF(INDEX('Test catalog'!$I$2:$I$200,MATCH($AB114,'Test catalog'!$A$2:$A$200,0))="","",INDEX('Test catalog'!$I$2:$I$200,MATCH($AB114,'Test catalog'!$A$2:$A$200,0))),"")</f>
        <v/>
      </c>
      <c r="O114" s="10">
        <f>IFERROR(IF(INDEX('Test catalog'!$J$2:$J$200,MATCH($AB114,'Test catalog'!$A$2:$A$200,0))="","",INDEX('Test catalog'!$J$2:$J$200,MATCH($AB114,'Test catalog'!$A$2:$A$200,0))),"")</f>
        <v/>
      </c>
      <c r="P114" s="14">
        <f>IF(N114="","",IF(OR(M114="",O114=""),N114,(M114+4*N114+O114)/6))</f>
        <v/>
      </c>
      <c r="Q114" s="10">
        <f>IFERROR(IF(INDEX('Test catalog'!$K$2:$K$200,MATCH($AB114,'Test catalog'!$A$2:$A$200,0))="","",INDEX('Test catalog'!$K$2:$K$200,MATCH($AB114,'Test catalog'!$A$2:$A$200,0))),"")</f>
        <v/>
      </c>
      <c r="R114" s="5" t="n"/>
      <c r="S114" s="10">
        <f>IFERROR(IF(INDEX('Test catalog'!$L$2:$L$200,MATCH($AB114,'Test catalog'!$A$2:$A$200,0))="","",INDEX('Test catalog'!$L$2:$L$200,MATCH($AB114,'Test catalog'!$A$2:$A$200,0))),"")</f>
        <v/>
      </c>
      <c r="T114" s="10">
        <f>IFERROR(IF(INDEX('Test catalog'!$M$2:$M$200,MATCH($AB114,'Test catalog'!$A$2:$A$200,0))="","",INDEX('Test catalog'!$M$2:$M$200,MATCH($AB114,'Test catalog'!$A$2:$A$200,0))),"")</f>
        <v/>
      </c>
      <c r="U114" s="10">
        <f>IFERROR(IF(INDEX('Test catalog'!$N$2:$N$200,MATCH($AB114,'Test catalog'!$A$2:$A$200,0))="","",INDEX('Test catalog'!$N$2:$N$200,MATCH($AB114,'Test catalog'!$A$2:$A$200,0))),"")</f>
        <v/>
      </c>
      <c r="V114" s="15" t="n"/>
      <c r="W114" s="5" t="inlineStr">
        <is>
          <t>N</t>
        </is>
      </c>
      <c r="X114" s="5" t="n"/>
      <c r="Y114" s="5" t="n"/>
      <c r="Z114" s="5" t="n"/>
      <c r="AA114" s="10">
        <f>IFERROR(IF(INDEX('Test catalog'!$O$2:$O$200,MATCH($AB114,'Test catalog'!$A$2:$A$200,0))="","",INDEX('Test catalog'!$O$2:$O$200,MATCH($AB114,'Test catalog'!$A$2:$A$200,0))),"")</f>
        <v/>
      </c>
      <c r="AB114" s="10" t="inlineStr">
        <is>
          <t>KF</t>
        </is>
      </c>
      <c r="AC114" s="10" t="inlineStr">
        <is>
          <t>Choline Bitartrate · Specific Tests &lt;921&gt;</t>
        </is>
      </c>
      <c r="AD114" s="10" t="n"/>
      <c r="AE114" s="10" t="n"/>
    </row>
    <row r="115">
      <c r="A115" s="10" t="inlineStr">
        <is>
          <t>Chromium Picolinate</t>
        </is>
      </c>
      <c r="B115" s="10" t="inlineStr">
        <is>
          <t>RM</t>
        </is>
      </c>
      <c r="C115" s="10" t="inlineStr">
        <is>
          <t>Active</t>
        </is>
      </c>
      <c r="D115" s="10" t="inlineStr">
        <is>
          <t>Appearance / description and solubility</t>
        </is>
      </c>
      <c r="E115" s="10">
        <f>IF(A115="","",A115&amp;"|"&amp;D115)</f>
        <v/>
      </c>
      <c r="F115" s="5" t="inlineStr">
        <is>
          <t>Y</t>
        </is>
      </c>
      <c r="G115" s="5" t="inlineStr">
        <is>
          <t>Other / bench</t>
        </is>
      </c>
      <c r="H115" s="5" t="inlineStr">
        <is>
          <t>Low</t>
        </is>
      </c>
      <c r="I115" s="5" t="n">
        <v>1</v>
      </c>
      <c r="J115" s="5" t="n"/>
      <c r="K115" s="10">
        <f>IFERROR(IF(INDEX('Test catalog'!$F$2:$F$200,MATCH($AB115,'Test catalog'!$A$2:$A$200,0))="","",INDEX('Test catalog'!$F$2:$F$200,MATCH($AB115,'Test catalog'!$A$2:$A$200,0))),"")</f>
        <v/>
      </c>
      <c r="L115" s="10">
        <f>IFERROR(IF(INDEX('Test catalog'!$G$2:$G$200,MATCH($AB115,'Test catalog'!$A$2:$A$200,0))="","",INDEX('Test catalog'!$G$2:$G$200,MATCH($AB115,'Test catalog'!$A$2:$A$200,0))),"")</f>
        <v/>
      </c>
      <c r="M115" s="10">
        <f>IFERROR(IF(INDEX('Test catalog'!$H$2:$H$200,MATCH($AB115,'Test catalog'!$A$2:$A$200,0))="","",INDEX('Test catalog'!$H$2:$H$200,MATCH($AB115,'Test catalog'!$A$2:$A$200,0))),"")</f>
        <v/>
      </c>
      <c r="N115" s="10">
        <f>IFERROR(IF(INDEX('Test catalog'!$I$2:$I$200,MATCH($AB115,'Test catalog'!$A$2:$A$200,0))="","",INDEX('Test catalog'!$I$2:$I$200,MATCH($AB115,'Test catalog'!$A$2:$A$200,0))),"")</f>
        <v/>
      </c>
      <c r="O115" s="10">
        <f>IFERROR(IF(INDEX('Test catalog'!$J$2:$J$200,MATCH($AB115,'Test catalog'!$A$2:$A$200,0))="","",INDEX('Test catalog'!$J$2:$J$200,MATCH($AB115,'Test catalog'!$A$2:$A$200,0))),"")</f>
        <v/>
      </c>
      <c r="P115" s="14">
        <f>IF(N115="","",IF(OR(M115="",O115=""),N115,(M115+4*N115+O115)/6))</f>
        <v/>
      </c>
      <c r="Q115" s="10">
        <f>IFERROR(IF(INDEX('Test catalog'!$K$2:$K$200,MATCH($AB115,'Test catalog'!$A$2:$A$200,0))="","",INDEX('Test catalog'!$K$2:$K$200,MATCH($AB115,'Test catalog'!$A$2:$A$200,0))),"")</f>
        <v/>
      </c>
      <c r="R115" s="5" t="n"/>
      <c r="S115" s="10">
        <f>IFERROR(IF(INDEX('Test catalog'!$L$2:$L$200,MATCH($AB115,'Test catalog'!$A$2:$A$200,0))="","",INDEX('Test catalog'!$L$2:$L$200,MATCH($AB115,'Test catalog'!$A$2:$A$200,0))),"")</f>
        <v/>
      </c>
      <c r="T115" s="10">
        <f>IFERROR(IF(INDEX('Test catalog'!$M$2:$M$200,MATCH($AB115,'Test catalog'!$A$2:$A$200,0))="","",INDEX('Test catalog'!$M$2:$M$200,MATCH($AB115,'Test catalog'!$A$2:$A$200,0))),"")</f>
        <v/>
      </c>
      <c r="U115" s="10">
        <f>IFERROR(IF(INDEX('Test catalog'!$N$2:$N$200,MATCH($AB115,'Test catalog'!$A$2:$A$200,0))="","",INDEX('Test catalog'!$N$2:$N$200,MATCH($AB115,'Test catalog'!$A$2:$A$200,0))),"")</f>
        <v/>
      </c>
      <c r="V115" s="15" t="n"/>
      <c r="W115" s="5" t="inlineStr">
        <is>
          <t>N</t>
        </is>
      </c>
      <c r="X115" s="5" t="n"/>
      <c r="Y115" s="5" t="n"/>
      <c r="Z115" s="5" t="n"/>
      <c r="AA115" s="10">
        <f>IFERROR(IF(INDEX('Test catalog'!$O$2:$O$200,MATCH($AB115,'Test catalog'!$A$2:$A$200,0))="","",INDEX('Test catalog'!$O$2:$O$200,MATCH($AB115,'Test catalog'!$A$2:$A$200,0))),"")</f>
        <v/>
      </c>
      <c r="AB115" s="10" t="inlineStr">
        <is>
          <t>APPEAR</t>
        </is>
      </c>
      <c r="AC115" s="10" t="inlineStr">
        <is>
          <t>Lab practice (not a USP test)</t>
        </is>
      </c>
      <c r="AD115" s="10" t="n"/>
      <c r="AE115" s="10" t="n"/>
    </row>
    <row r="116">
      <c r="A116" s="10" t="inlineStr">
        <is>
          <t>Chromium Picolinate</t>
        </is>
      </c>
      <c r="B116" s="10" t="inlineStr">
        <is>
          <t>RM</t>
        </is>
      </c>
      <c r="C116" s="10" t="inlineStr">
        <is>
          <t>Active</t>
        </is>
      </c>
      <c r="D116" s="10" t="inlineStr">
        <is>
          <t>ID A - IR spectrum</t>
        </is>
      </c>
      <c r="E116" s="10">
        <f>IF(A116="","",A116&amp;"|"&amp;D116)</f>
        <v/>
      </c>
      <c r="F116" s="5" t="inlineStr">
        <is>
          <t>Y</t>
        </is>
      </c>
      <c r="G116" s="5" t="inlineStr">
        <is>
          <t>Other / bench</t>
        </is>
      </c>
      <c r="H116" s="5" t="inlineStr">
        <is>
          <t>Low</t>
        </is>
      </c>
      <c r="I116" s="5" t="n">
        <v>1</v>
      </c>
      <c r="J116" s="5" t="n"/>
      <c r="K116" s="10">
        <f>IFERROR(IF(INDEX('Test catalog'!$F$2:$F$200,MATCH($AB116,'Test catalog'!$A$2:$A$200,0))="","",INDEX('Test catalog'!$F$2:$F$200,MATCH($AB116,'Test catalog'!$A$2:$A$200,0))),"")</f>
        <v/>
      </c>
      <c r="L116" s="10">
        <f>IFERROR(IF(INDEX('Test catalog'!$G$2:$G$200,MATCH($AB116,'Test catalog'!$A$2:$A$200,0))="","",INDEX('Test catalog'!$G$2:$G$200,MATCH($AB116,'Test catalog'!$A$2:$A$200,0))),"")</f>
        <v/>
      </c>
      <c r="M116" s="10">
        <f>IFERROR(IF(INDEX('Test catalog'!$H$2:$H$200,MATCH($AB116,'Test catalog'!$A$2:$A$200,0))="","",INDEX('Test catalog'!$H$2:$H$200,MATCH($AB116,'Test catalog'!$A$2:$A$200,0))),"")</f>
        <v/>
      </c>
      <c r="N116" s="10">
        <f>IFERROR(IF(INDEX('Test catalog'!$I$2:$I$200,MATCH($AB116,'Test catalog'!$A$2:$A$200,0))="","",INDEX('Test catalog'!$I$2:$I$200,MATCH($AB116,'Test catalog'!$A$2:$A$200,0))),"")</f>
        <v/>
      </c>
      <c r="O116" s="10">
        <f>IFERROR(IF(INDEX('Test catalog'!$J$2:$J$200,MATCH($AB116,'Test catalog'!$A$2:$A$200,0))="","",INDEX('Test catalog'!$J$2:$J$200,MATCH($AB116,'Test catalog'!$A$2:$A$200,0))),"")</f>
        <v/>
      </c>
      <c r="P116" s="14">
        <f>IF(N116="","",IF(OR(M116="",O116=""),N116,(M116+4*N116+O116)/6))</f>
        <v/>
      </c>
      <c r="Q116" s="10">
        <f>IFERROR(IF(INDEX('Test catalog'!$K$2:$K$200,MATCH($AB116,'Test catalog'!$A$2:$A$200,0))="","",INDEX('Test catalog'!$K$2:$K$200,MATCH($AB116,'Test catalog'!$A$2:$A$200,0))),"")</f>
        <v/>
      </c>
      <c r="R116" s="5" t="n"/>
      <c r="S116" s="10">
        <f>IFERROR(IF(INDEX('Test catalog'!$L$2:$L$200,MATCH($AB116,'Test catalog'!$A$2:$A$200,0))="","",INDEX('Test catalog'!$L$2:$L$200,MATCH($AB116,'Test catalog'!$A$2:$A$200,0))),"")</f>
        <v/>
      </c>
      <c r="T116" s="10">
        <f>IFERROR(IF(INDEX('Test catalog'!$M$2:$M$200,MATCH($AB116,'Test catalog'!$A$2:$A$200,0))="","",INDEX('Test catalog'!$M$2:$M$200,MATCH($AB116,'Test catalog'!$A$2:$A$200,0))),"")</f>
        <v/>
      </c>
      <c r="U116" s="10">
        <f>IFERROR(IF(INDEX('Test catalog'!$N$2:$N$200,MATCH($AB116,'Test catalog'!$A$2:$A$200,0))="","",INDEX('Test catalog'!$N$2:$N$200,MATCH($AB116,'Test catalog'!$A$2:$A$200,0))),"")</f>
        <v/>
      </c>
      <c r="V116" s="15" t="n"/>
      <c r="W116" s="5" t="inlineStr">
        <is>
          <t>N</t>
        </is>
      </c>
      <c r="X116" s="5" t="n"/>
      <c r="Y116" s="5" t="n"/>
      <c r="Z116" s="5" t="n"/>
      <c r="AA116" s="10">
        <f>IFERROR(IF(INDEX('Test catalog'!$O$2:$O$200,MATCH($AB116,'Test catalog'!$A$2:$A$200,0))="","",INDEX('Test catalog'!$O$2:$O$200,MATCH($AB116,'Test catalog'!$A$2:$A$200,0))),"")</f>
        <v/>
      </c>
      <c r="AB116" s="10" t="inlineStr">
        <is>
          <t>ID_IR</t>
        </is>
      </c>
      <c r="AC116" s="10" t="inlineStr">
        <is>
          <t>Chromium Picolinate · Identification &lt;197&gt;</t>
        </is>
      </c>
      <c r="AD116" s="10" t="n"/>
      <c r="AE116" s="10" t="n"/>
    </row>
    <row r="117">
      <c r="A117" s="10" t="inlineStr">
        <is>
          <t>Chromium Picolinate</t>
        </is>
      </c>
      <c r="B117" s="10" t="inlineStr">
        <is>
          <t>RM</t>
        </is>
      </c>
      <c r="C117" s="10" t="inlineStr">
        <is>
          <t>Active</t>
        </is>
      </c>
      <c r="D117" s="10" t="inlineStr">
        <is>
          <t>ID B - chemical reaction</t>
        </is>
      </c>
      <c r="E117" s="10">
        <f>IF(A117="","",A117&amp;"|"&amp;D117)</f>
        <v/>
      </c>
      <c r="F117" s="5" t="inlineStr">
        <is>
          <t>Y</t>
        </is>
      </c>
      <c r="G117" s="5" t="inlineStr">
        <is>
          <t>Other / bench</t>
        </is>
      </c>
      <c r="H117" s="5" t="inlineStr">
        <is>
          <t>Low</t>
        </is>
      </c>
      <c r="I117" s="5" t="n">
        <v>1</v>
      </c>
      <c r="J117" s="5" t="n"/>
      <c r="K117" s="10">
        <f>IFERROR(IF(INDEX('Test catalog'!$F$2:$F$200,MATCH($AB117,'Test catalog'!$A$2:$A$200,0))="","",INDEX('Test catalog'!$F$2:$F$200,MATCH($AB117,'Test catalog'!$A$2:$A$200,0))),"")</f>
        <v/>
      </c>
      <c r="L117" s="10">
        <f>IFERROR(IF(INDEX('Test catalog'!$G$2:$G$200,MATCH($AB117,'Test catalog'!$A$2:$A$200,0))="","",INDEX('Test catalog'!$G$2:$G$200,MATCH($AB117,'Test catalog'!$A$2:$A$200,0))),"")</f>
        <v/>
      </c>
      <c r="M117" s="10">
        <f>IFERROR(IF(INDEX('Test catalog'!$H$2:$H$200,MATCH($AB117,'Test catalog'!$A$2:$A$200,0))="","",INDEX('Test catalog'!$H$2:$H$200,MATCH($AB117,'Test catalog'!$A$2:$A$200,0))),"")</f>
        <v/>
      </c>
      <c r="N117" s="10">
        <f>IFERROR(IF(INDEX('Test catalog'!$I$2:$I$200,MATCH($AB117,'Test catalog'!$A$2:$A$200,0))="","",INDEX('Test catalog'!$I$2:$I$200,MATCH($AB117,'Test catalog'!$A$2:$A$200,0))),"")</f>
        <v/>
      </c>
      <c r="O117" s="10">
        <f>IFERROR(IF(INDEX('Test catalog'!$J$2:$J$200,MATCH($AB117,'Test catalog'!$A$2:$A$200,0))="","",INDEX('Test catalog'!$J$2:$J$200,MATCH($AB117,'Test catalog'!$A$2:$A$200,0))),"")</f>
        <v/>
      </c>
      <c r="P117" s="14">
        <f>IF(N117="","",IF(OR(M117="",O117=""),N117,(M117+4*N117+O117)/6))</f>
        <v/>
      </c>
      <c r="Q117" s="10">
        <f>IFERROR(IF(INDEX('Test catalog'!$K$2:$K$200,MATCH($AB117,'Test catalog'!$A$2:$A$200,0))="","",INDEX('Test catalog'!$K$2:$K$200,MATCH($AB117,'Test catalog'!$A$2:$A$200,0))),"")</f>
        <v/>
      </c>
      <c r="R117" s="5" t="n"/>
      <c r="S117" s="10">
        <f>IFERROR(IF(INDEX('Test catalog'!$L$2:$L$200,MATCH($AB117,'Test catalog'!$A$2:$A$200,0))="","",INDEX('Test catalog'!$L$2:$L$200,MATCH($AB117,'Test catalog'!$A$2:$A$200,0))),"")</f>
        <v/>
      </c>
      <c r="T117" s="10">
        <f>IFERROR(IF(INDEX('Test catalog'!$M$2:$M$200,MATCH($AB117,'Test catalog'!$A$2:$A$200,0))="","",INDEX('Test catalog'!$M$2:$M$200,MATCH($AB117,'Test catalog'!$A$2:$A$200,0))),"")</f>
        <v/>
      </c>
      <c r="U117" s="10">
        <f>IFERROR(IF(INDEX('Test catalog'!$N$2:$N$200,MATCH($AB117,'Test catalog'!$A$2:$A$200,0))="","",INDEX('Test catalog'!$N$2:$N$200,MATCH($AB117,'Test catalog'!$A$2:$A$200,0))),"")</f>
        <v/>
      </c>
      <c r="V117" s="15" t="n"/>
      <c r="W117" s="5" t="inlineStr">
        <is>
          <t>N</t>
        </is>
      </c>
      <c r="X117" s="5" t="n"/>
      <c r="Y117" s="5" t="n"/>
      <c r="Z117" s="5" t="n"/>
      <c r="AA117" s="10">
        <f>IFERROR(IF(INDEX('Test catalog'!$O$2:$O$200,MATCH($AB117,'Test catalog'!$A$2:$A$200,0))="","",INDEX('Test catalog'!$O$2:$O$200,MATCH($AB117,'Test catalog'!$A$2:$A$200,0))),"")</f>
        <v/>
      </c>
      <c r="AB117" s="10" t="inlineStr">
        <is>
          <t>ID_CHEM</t>
        </is>
      </c>
      <c r="AC117" s="10" t="inlineStr">
        <is>
          <t>Chromium Picolinate · Identification</t>
        </is>
      </c>
      <c r="AD117" s="10" t="n"/>
      <c r="AE117" s="10" t="n"/>
    </row>
    <row r="118">
      <c r="A118" s="10" t="inlineStr">
        <is>
          <t>Chromium Picolinate</t>
        </is>
      </c>
      <c r="B118" s="10" t="inlineStr">
        <is>
          <t>RM</t>
        </is>
      </c>
      <c r="C118" s="10" t="inlineStr">
        <is>
          <t>Active</t>
        </is>
      </c>
      <c r="D118" s="10" t="inlineStr">
        <is>
          <t>Assay</t>
        </is>
      </c>
      <c r="E118" s="10">
        <f>IF(A118="","",A118&amp;"|"&amp;D118)</f>
        <v/>
      </c>
      <c r="F118" s="5" t="inlineStr">
        <is>
          <t>Y</t>
        </is>
      </c>
      <c r="G118" s="5" t="inlineStr">
        <is>
          <t>AAS / ICP</t>
        </is>
      </c>
      <c r="H118" s="5" t="inlineStr">
        <is>
          <t>Low</t>
        </is>
      </c>
      <c r="I118" s="5" t="n">
        <v>1</v>
      </c>
      <c r="J118" s="5" t="n"/>
      <c r="K118" s="10">
        <f>IFERROR(IF(INDEX('Test catalog'!$F$2:$F$200,MATCH($AB118,'Test catalog'!$A$2:$A$200,0))="","",INDEX('Test catalog'!$F$2:$F$200,MATCH($AB118,'Test catalog'!$A$2:$A$200,0))),"")</f>
        <v/>
      </c>
      <c r="L118" s="10">
        <f>IFERROR(IF(INDEX('Test catalog'!$G$2:$G$200,MATCH($AB118,'Test catalog'!$A$2:$A$200,0))="","",INDEX('Test catalog'!$G$2:$G$200,MATCH($AB118,'Test catalog'!$A$2:$A$200,0))),"")</f>
        <v/>
      </c>
      <c r="M118" s="10">
        <f>IFERROR(IF(INDEX('Test catalog'!$H$2:$H$200,MATCH($AB118,'Test catalog'!$A$2:$A$200,0))="","",INDEX('Test catalog'!$H$2:$H$200,MATCH($AB118,'Test catalog'!$A$2:$A$200,0))),"")</f>
        <v/>
      </c>
      <c r="N118" s="10">
        <f>IFERROR(IF(INDEX('Test catalog'!$I$2:$I$200,MATCH($AB118,'Test catalog'!$A$2:$A$200,0))="","",INDEX('Test catalog'!$I$2:$I$200,MATCH($AB118,'Test catalog'!$A$2:$A$200,0))),"")</f>
        <v/>
      </c>
      <c r="O118" s="10">
        <f>IFERROR(IF(INDEX('Test catalog'!$J$2:$J$200,MATCH($AB118,'Test catalog'!$A$2:$A$200,0))="","",INDEX('Test catalog'!$J$2:$J$200,MATCH($AB118,'Test catalog'!$A$2:$A$200,0))),"")</f>
        <v/>
      </c>
      <c r="P118" s="14">
        <f>IF(N118="","",IF(OR(M118="",O118=""),N118,(M118+4*N118+O118)/6))</f>
        <v/>
      </c>
      <c r="Q118" s="10">
        <f>IFERROR(IF(INDEX('Test catalog'!$K$2:$K$200,MATCH($AB118,'Test catalog'!$A$2:$A$200,0))="","",INDEX('Test catalog'!$K$2:$K$200,MATCH($AB118,'Test catalog'!$A$2:$A$200,0))),"")</f>
        <v/>
      </c>
      <c r="R118" s="5" t="n"/>
      <c r="S118" s="10">
        <f>IFERROR(IF(INDEX('Test catalog'!$L$2:$L$200,MATCH($AB118,'Test catalog'!$A$2:$A$200,0))="","",INDEX('Test catalog'!$L$2:$L$200,MATCH($AB118,'Test catalog'!$A$2:$A$200,0))),"")</f>
        <v/>
      </c>
      <c r="T118" s="10">
        <f>IFERROR(IF(INDEX('Test catalog'!$M$2:$M$200,MATCH($AB118,'Test catalog'!$A$2:$A$200,0))="","",INDEX('Test catalog'!$M$2:$M$200,MATCH($AB118,'Test catalog'!$A$2:$A$200,0))),"")</f>
        <v/>
      </c>
      <c r="U118" s="10">
        <f>IFERROR(IF(INDEX('Test catalog'!$N$2:$N$200,MATCH($AB118,'Test catalog'!$A$2:$A$200,0))="","",INDEX('Test catalog'!$N$2:$N$200,MATCH($AB118,'Test catalog'!$A$2:$A$200,0))),"")</f>
        <v/>
      </c>
      <c r="V118" s="15" t="n"/>
      <c r="W118" s="5" t="inlineStr">
        <is>
          <t>N</t>
        </is>
      </c>
      <c r="X118" s="5" t="n"/>
      <c r="Y118" s="5" t="n"/>
      <c r="Z118" s="5" t="n"/>
      <c r="AA118" s="10">
        <f>IFERROR(IF(INDEX('Test catalog'!$O$2:$O$200,MATCH($AB118,'Test catalog'!$A$2:$A$200,0))="","",INDEX('Test catalog'!$O$2:$O$200,MATCH($AB118,'Test catalog'!$A$2:$A$200,0))),"")</f>
        <v/>
      </c>
      <c r="AB118" s="10" t="inlineStr">
        <is>
          <t>AAS</t>
        </is>
      </c>
      <c r="AC118" s="10" t="inlineStr">
        <is>
          <t>Chromium Picolinate · Assay</t>
        </is>
      </c>
      <c r="AD118" s="10" t="n"/>
      <c r="AE118" s="10" t="n"/>
    </row>
    <row r="119">
      <c r="A119" s="10" t="inlineStr">
        <is>
          <t>Chromium Picolinate</t>
        </is>
      </c>
      <c r="B119" s="10" t="inlineStr">
        <is>
          <t>RM</t>
        </is>
      </c>
      <c r="C119" s="10" t="inlineStr">
        <is>
          <t>Active</t>
        </is>
      </c>
      <c r="D119" s="10" t="inlineStr">
        <is>
          <t>Chloride and Sulfate</t>
        </is>
      </c>
      <c r="E119" s="10">
        <f>IF(A119="","",A119&amp;"|"&amp;D119)</f>
        <v/>
      </c>
      <c r="F119" s="5" t="inlineStr">
        <is>
          <t>Y</t>
        </is>
      </c>
      <c r="G119" s="5" t="inlineStr">
        <is>
          <t>Other / bench</t>
        </is>
      </c>
      <c r="H119" s="5" t="inlineStr">
        <is>
          <t>Low</t>
        </is>
      </c>
      <c r="I119" s="5" t="n">
        <v>1</v>
      </c>
      <c r="J119" s="5" t="n"/>
      <c r="K119" s="10">
        <f>IFERROR(IF(INDEX('Test catalog'!$F$2:$F$200,MATCH($AB119,'Test catalog'!$A$2:$A$200,0))="","",INDEX('Test catalog'!$F$2:$F$200,MATCH($AB119,'Test catalog'!$A$2:$A$200,0))),"")</f>
        <v/>
      </c>
      <c r="L119" s="10">
        <f>IFERROR(IF(INDEX('Test catalog'!$G$2:$G$200,MATCH($AB119,'Test catalog'!$A$2:$A$200,0))="","",INDEX('Test catalog'!$G$2:$G$200,MATCH($AB119,'Test catalog'!$A$2:$A$200,0))),"")</f>
        <v/>
      </c>
      <c r="M119" s="10">
        <f>IFERROR(IF(INDEX('Test catalog'!$H$2:$H$200,MATCH($AB119,'Test catalog'!$A$2:$A$200,0))="","",INDEX('Test catalog'!$H$2:$H$200,MATCH($AB119,'Test catalog'!$A$2:$A$200,0))),"")</f>
        <v/>
      </c>
      <c r="N119" s="10">
        <f>IFERROR(IF(INDEX('Test catalog'!$I$2:$I$200,MATCH($AB119,'Test catalog'!$A$2:$A$200,0))="","",INDEX('Test catalog'!$I$2:$I$200,MATCH($AB119,'Test catalog'!$A$2:$A$200,0))),"")</f>
        <v/>
      </c>
      <c r="O119" s="10">
        <f>IFERROR(IF(INDEX('Test catalog'!$J$2:$J$200,MATCH($AB119,'Test catalog'!$A$2:$A$200,0))="","",INDEX('Test catalog'!$J$2:$J$200,MATCH($AB119,'Test catalog'!$A$2:$A$200,0))),"")</f>
        <v/>
      </c>
      <c r="P119" s="14">
        <f>IF(N119="","",IF(OR(M119="",O119=""),N119,(M119+4*N119+O119)/6))</f>
        <v/>
      </c>
      <c r="Q119" s="10">
        <f>IFERROR(IF(INDEX('Test catalog'!$K$2:$K$200,MATCH($AB119,'Test catalog'!$A$2:$A$200,0))="","",INDEX('Test catalog'!$K$2:$K$200,MATCH($AB119,'Test catalog'!$A$2:$A$200,0))),"")</f>
        <v/>
      </c>
      <c r="R119" s="5" t="n"/>
      <c r="S119" s="10">
        <f>IFERROR(IF(INDEX('Test catalog'!$L$2:$L$200,MATCH($AB119,'Test catalog'!$A$2:$A$200,0))="","",INDEX('Test catalog'!$L$2:$L$200,MATCH($AB119,'Test catalog'!$A$2:$A$200,0))),"")</f>
        <v/>
      </c>
      <c r="T119" s="10">
        <f>IFERROR(IF(INDEX('Test catalog'!$M$2:$M$200,MATCH($AB119,'Test catalog'!$A$2:$A$200,0))="","",INDEX('Test catalog'!$M$2:$M$200,MATCH($AB119,'Test catalog'!$A$2:$A$200,0))),"")</f>
        <v/>
      </c>
      <c r="U119" s="10">
        <f>IFERROR(IF(INDEX('Test catalog'!$N$2:$N$200,MATCH($AB119,'Test catalog'!$A$2:$A$200,0))="","",INDEX('Test catalog'!$N$2:$N$200,MATCH($AB119,'Test catalog'!$A$2:$A$200,0))),"")</f>
        <v/>
      </c>
      <c r="V119" s="15" t="n"/>
      <c r="W119" s="5" t="inlineStr">
        <is>
          <t>N</t>
        </is>
      </c>
      <c r="X119" s="5" t="n"/>
      <c r="Y119" s="5" t="n"/>
      <c r="Z119" s="5" t="n"/>
      <c r="AA119" s="10">
        <f>IFERROR(IF(INDEX('Test catalog'!$O$2:$O$200,MATCH($AB119,'Test catalog'!$A$2:$A$200,0))="","",INDEX('Test catalog'!$O$2:$O$200,MATCH($AB119,'Test catalog'!$A$2:$A$200,0))),"")</f>
        <v/>
      </c>
      <c r="AB119" s="10" t="inlineStr">
        <is>
          <t>LIMIT</t>
        </is>
      </c>
      <c r="AC119" s="10" t="inlineStr">
        <is>
          <t>Chromium Picolinate · Impurities &lt;221&gt;</t>
        </is>
      </c>
      <c r="AD119" s="10" t="n"/>
      <c r="AE119" s="10" t="n"/>
    </row>
    <row r="120">
      <c r="A120" s="10" t="inlineStr">
        <is>
          <t>Chromium Picolinate</t>
        </is>
      </c>
      <c r="B120" s="10" t="inlineStr">
        <is>
          <t>RM</t>
        </is>
      </c>
      <c r="C120" s="10" t="inlineStr">
        <is>
          <t>Active</t>
        </is>
      </c>
      <c r="D120" s="10" t="inlineStr">
        <is>
          <t>Loss on Drying</t>
        </is>
      </c>
      <c r="E120" s="10">
        <f>IF(A120="","",A120&amp;"|"&amp;D120)</f>
        <v/>
      </c>
      <c r="F120" s="5" t="inlineStr">
        <is>
          <t>Y</t>
        </is>
      </c>
      <c r="G120" s="5" t="inlineStr">
        <is>
          <t>Other / bench</t>
        </is>
      </c>
      <c r="H120" s="5" t="inlineStr">
        <is>
          <t>Low</t>
        </is>
      </c>
      <c r="I120" s="5" t="n">
        <v>1</v>
      </c>
      <c r="J120" s="5" t="n"/>
      <c r="K120" s="10">
        <f>IFERROR(IF(INDEX('Test catalog'!$F$2:$F$200,MATCH($AB120,'Test catalog'!$A$2:$A$200,0))="","",INDEX('Test catalog'!$F$2:$F$200,MATCH($AB120,'Test catalog'!$A$2:$A$200,0))),"")</f>
        <v/>
      </c>
      <c r="L120" s="10">
        <f>IFERROR(IF(INDEX('Test catalog'!$G$2:$G$200,MATCH($AB120,'Test catalog'!$A$2:$A$200,0))="","",INDEX('Test catalog'!$G$2:$G$200,MATCH($AB120,'Test catalog'!$A$2:$A$200,0))),"")</f>
        <v/>
      </c>
      <c r="M120" s="10">
        <f>IFERROR(IF(INDEX('Test catalog'!$H$2:$H$200,MATCH($AB120,'Test catalog'!$A$2:$A$200,0))="","",INDEX('Test catalog'!$H$2:$H$200,MATCH($AB120,'Test catalog'!$A$2:$A$200,0))),"")</f>
        <v/>
      </c>
      <c r="N120" s="10">
        <f>IFERROR(IF(INDEX('Test catalog'!$I$2:$I$200,MATCH($AB120,'Test catalog'!$A$2:$A$200,0))="","",INDEX('Test catalog'!$I$2:$I$200,MATCH($AB120,'Test catalog'!$A$2:$A$200,0))),"")</f>
        <v/>
      </c>
      <c r="O120" s="10">
        <f>IFERROR(IF(INDEX('Test catalog'!$J$2:$J$200,MATCH($AB120,'Test catalog'!$A$2:$A$200,0))="","",INDEX('Test catalog'!$J$2:$J$200,MATCH($AB120,'Test catalog'!$A$2:$A$200,0))),"")</f>
        <v/>
      </c>
      <c r="P120" s="14">
        <f>IF(N120="","",IF(OR(M120="",O120=""),N120,(M120+4*N120+O120)/6))</f>
        <v/>
      </c>
      <c r="Q120" s="10">
        <f>IFERROR(IF(INDEX('Test catalog'!$K$2:$K$200,MATCH($AB120,'Test catalog'!$A$2:$A$200,0))="","",INDEX('Test catalog'!$K$2:$K$200,MATCH($AB120,'Test catalog'!$A$2:$A$200,0))),"")</f>
        <v/>
      </c>
      <c r="R120" s="5" t="n"/>
      <c r="S120" s="10">
        <f>IFERROR(IF(INDEX('Test catalog'!$L$2:$L$200,MATCH($AB120,'Test catalog'!$A$2:$A$200,0))="","",INDEX('Test catalog'!$L$2:$L$200,MATCH($AB120,'Test catalog'!$A$2:$A$200,0))),"")</f>
        <v/>
      </c>
      <c r="T120" s="10">
        <f>IFERROR(IF(INDEX('Test catalog'!$M$2:$M$200,MATCH($AB120,'Test catalog'!$A$2:$A$200,0))="","",INDEX('Test catalog'!$M$2:$M$200,MATCH($AB120,'Test catalog'!$A$2:$A$200,0))),"")</f>
        <v/>
      </c>
      <c r="U120" s="10">
        <f>IFERROR(IF(INDEX('Test catalog'!$N$2:$N$200,MATCH($AB120,'Test catalog'!$A$2:$A$200,0))="","",INDEX('Test catalog'!$N$2:$N$200,MATCH($AB120,'Test catalog'!$A$2:$A$200,0))),"")</f>
        <v/>
      </c>
      <c r="V120" s="15" t="n"/>
      <c r="W120" s="5" t="inlineStr">
        <is>
          <t>N</t>
        </is>
      </c>
      <c r="X120" s="5" t="n"/>
      <c r="Y120" s="5" t="n"/>
      <c r="Z120" s="5" t="n"/>
      <c r="AA120" s="10">
        <f>IFERROR(IF(INDEX('Test catalog'!$O$2:$O$200,MATCH($AB120,'Test catalog'!$A$2:$A$200,0))="","",INDEX('Test catalog'!$O$2:$O$200,MATCH($AB120,'Test catalog'!$A$2:$A$200,0))),"")</f>
        <v/>
      </c>
      <c r="AB120" s="10" t="inlineStr">
        <is>
          <t>LOD</t>
        </is>
      </c>
      <c r="AC120" s="10" t="inlineStr">
        <is>
          <t>Chromium Picolinate · Specific Tests &lt;731&gt;</t>
        </is>
      </c>
      <c r="AD120" s="10" t="n"/>
      <c r="AE120" s="10" t="n"/>
    </row>
    <row r="121">
      <c r="A121" s="10" t="inlineStr">
        <is>
          <t>Citicoline Sodium</t>
        </is>
      </c>
      <c r="B121" s="10" t="inlineStr">
        <is>
          <t>RM</t>
        </is>
      </c>
      <c r="C121" s="10" t="inlineStr">
        <is>
          <t>Active</t>
        </is>
      </c>
      <c r="D121" s="10" t="inlineStr">
        <is>
          <t>Appearance / description and solubility</t>
        </is>
      </c>
      <c r="E121" s="10">
        <f>IF(A121="","",A121&amp;"|"&amp;D121)</f>
        <v/>
      </c>
      <c r="F121" s="5" t="inlineStr">
        <is>
          <t>Y</t>
        </is>
      </c>
      <c r="G121" s="5" t="inlineStr">
        <is>
          <t>Other / bench</t>
        </is>
      </c>
      <c r="H121" s="5" t="inlineStr">
        <is>
          <t>Low</t>
        </is>
      </c>
      <c r="I121" s="5" t="n">
        <v>1</v>
      </c>
      <c r="J121" s="5" t="n"/>
      <c r="K121" s="10">
        <f>IFERROR(IF(INDEX('Test catalog'!$F$2:$F$200,MATCH($AB121,'Test catalog'!$A$2:$A$200,0))="","",INDEX('Test catalog'!$F$2:$F$200,MATCH($AB121,'Test catalog'!$A$2:$A$200,0))),"")</f>
        <v/>
      </c>
      <c r="L121" s="10">
        <f>IFERROR(IF(INDEX('Test catalog'!$G$2:$G$200,MATCH($AB121,'Test catalog'!$A$2:$A$200,0))="","",INDEX('Test catalog'!$G$2:$G$200,MATCH($AB121,'Test catalog'!$A$2:$A$200,0))),"")</f>
        <v/>
      </c>
      <c r="M121" s="10">
        <f>IFERROR(IF(INDEX('Test catalog'!$H$2:$H$200,MATCH($AB121,'Test catalog'!$A$2:$A$200,0))="","",INDEX('Test catalog'!$H$2:$H$200,MATCH($AB121,'Test catalog'!$A$2:$A$200,0))),"")</f>
        <v/>
      </c>
      <c r="N121" s="10">
        <f>IFERROR(IF(INDEX('Test catalog'!$I$2:$I$200,MATCH($AB121,'Test catalog'!$A$2:$A$200,0))="","",INDEX('Test catalog'!$I$2:$I$200,MATCH($AB121,'Test catalog'!$A$2:$A$200,0))),"")</f>
        <v/>
      </c>
      <c r="O121" s="10">
        <f>IFERROR(IF(INDEX('Test catalog'!$J$2:$J$200,MATCH($AB121,'Test catalog'!$A$2:$A$200,0))="","",INDEX('Test catalog'!$J$2:$J$200,MATCH($AB121,'Test catalog'!$A$2:$A$200,0))),"")</f>
        <v/>
      </c>
      <c r="P121" s="14">
        <f>IF(N121="","",IF(OR(M121="",O121=""),N121,(M121+4*N121+O121)/6))</f>
        <v/>
      </c>
      <c r="Q121" s="10">
        <f>IFERROR(IF(INDEX('Test catalog'!$K$2:$K$200,MATCH($AB121,'Test catalog'!$A$2:$A$200,0))="","",INDEX('Test catalog'!$K$2:$K$200,MATCH($AB121,'Test catalog'!$A$2:$A$200,0))),"")</f>
        <v/>
      </c>
      <c r="R121" s="5" t="n"/>
      <c r="S121" s="10">
        <f>IFERROR(IF(INDEX('Test catalog'!$L$2:$L$200,MATCH($AB121,'Test catalog'!$A$2:$A$200,0))="","",INDEX('Test catalog'!$L$2:$L$200,MATCH($AB121,'Test catalog'!$A$2:$A$200,0))),"")</f>
        <v/>
      </c>
      <c r="T121" s="10">
        <f>IFERROR(IF(INDEX('Test catalog'!$M$2:$M$200,MATCH($AB121,'Test catalog'!$A$2:$A$200,0))="","",INDEX('Test catalog'!$M$2:$M$200,MATCH($AB121,'Test catalog'!$A$2:$A$200,0))),"")</f>
        <v/>
      </c>
      <c r="U121" s="10">
        <f>IFERROR(IF(INDEX('Test catalog'!$N$2:$N$200,MATCH($AB121,'Test catalog'!$A$2:$A$200,0))="","",INDEX('Test catalog'!$N$2:$N$200,MATCH($AB121,'Test catalog'!$A$2:$A$200,0))),"")</f>
        <v/>
      </c>
      <c r="V121" s="15" t="n"/>
      <c r="W121" s="5" t="inlineStr">
        <is>
          <t>N</t>
        </is>
      </c>
      <c r="X121" s="5" t="n"/>
      <c r="Y121" s="5" t="n"/>
      <c r="Z121" s="5" t="n"/>
      <c r="AA121" s="10">
        <f>IFERROR(IF(INDEX('Test catalog'!$O$2:$O$200,MATCH($AB121,'Test catalog'!$A$2:$A$200,0))="","",INDEX('Test catalog'!$O$2:$O$200,MATCH($AB121,'Test catalog'!$A$2:$A$200,0))),"")</f>
        <v/>
      </c>
      <c r="AB121" s="10" t="inlineStr">
        <is>
          <t>APPEAR</t>
        </is>
      </c>
      <c r="AC121" s="10" t="inlineStr">
        <is>
          <t>Lab practice (not a USP test)</t>
        </is>
      </c>
      <c r="AD121" s="10" t="n"/>
      <c r="AE121" s="10" t="n"/>
    </row>
    <row r="122">
      <c r="A122" s="10" t="inlineStr">
        <is>
          <t>Citicoline Sodium</t>
        </is>
      </c>
      <c r="B122" s="10" t="inlineStr">
        <is>
          <t>RM</t>
        </is>
      </c>
      <c r="C122" s="10" t="inlineStr">
        <is>
          <t>Active</t>
        </is>
      </c>
      <c r="D122" s="10" t="inlineStr">
        <is>
          <t>ID A - IR spectrum</t>
        </is>
      </c>
      <c r="E122" s="10">
        <f>IF(A122="","",A122&amp;"|"&amp;D122)</f>
        <v/>
      </c>
      <c r="F122" s="5" t="inlineStr">
        <is>
          <t>Y</t>
        </is>
      </c>
      <c r="G122" s="5" t="inlineStr">
        <is>
          <t>Other / bench</t>
        </is>
      </c>
      <c r="H122" s="5" t="inlineStr">
        <is>
          <t>Low</t>
        </is>
      </c>
      <c r="I122" s="5" t="n">
        <v>1</v>
      </c>
      <c r="J122" s="5" t="n"/>
      <c r="K122" s="10">
        <f>IFERROR(IF(INDEX('Test catalog'!$F$2:$F$200,MATCH($AB122,'Test catalog'!$A$2:$A$200,0))="","",INDEX('Test catalog'!$F$2:$F$200,MATCH($AB122,'Test catalog'!$A$2:$A$200,0))),"")</f>
        <v/>
      </c>
      <c r="L122" s="10">
        <f>IFERROR(IF(INDEX('Test catalog'!$G$2:$G$200,MATCH($AB122,'Test catalog'!$A$2:$A$200,0))="","",INDEX('Test catalog'!$G$2:$G$200,MATCH($AB122,'Test catalog'!$A$2:$A$200,0))),"")</f>
        <v/>
      </c>
      <c r="M122" s="10">
        <f>IFERROR(IF(INDEX('Test catalog'!$H$2:$H$200,MATCH($AB122,'Test catalog'!$A$2:$A$200,0))="","",INDEX('Test catalog'!$H$2:$H$200,MATCH($AB122,'Test catalog'!$A$2:$A$200,0))),"")</f>
        <v/>
      </c>
      <c r="N122" s="10">
        <f>IFERROR(IF(INDEX('Test catalog'!$I$2:$I$200,MATCH($AB122,'Test catalog'!$A$2:$A$200,0))="","",INDEX('Test catalog'!$I$2:$I$200,MATCH($AB122,'Test catalog'!$A$2:$A$200,0))),"")</f>
        <v/>
      </c>
      <c r="O122" s="10">
        <f>IFERROR(IF(INDEX('Test catalog'!$J$2:$J$200,MATCH($AB122,'Test catalog'!$A$2:$A$200,0))="","",INDEX('Test catalog'!$J$2:$J$200,MATCH($AB122,'Test catalog'!$A$2:$A$200,0))),"")</f>
        <v/>
      </c>
      <c r="P122" s="14">
        <f>IF(N122="","",IF(OR(M122="",O122=""),N122,(M122+4*N122+O122)/6))</f>
        <v/>
      </c>
      <c r="Q122" s="10">
        <f>IFERROR(IF(INDEX('Test catalog'!$K$2:$K$200,MATCH($AB122,'Test catalog'!$A$2:$A$200,0))="","",INDEX('Test catalog'!$K$2:$K$200,MATCH($AB122,'Test catalog'!$A$2:$A$200,0))),"")</f>
        <v/>
      </c>
      <c r="R122" s="5" t="n"/>
      <c r="S122" s="10">
        <f>IFERROR(IF(INDEX('Test catalog'!$L$2:$L$200,MATCH($AB122,'Test catalog'!$A$2:$A$200,0))="","",INDEX('Test catalog'!$L$2:$L$200,MATCH($AB122,'Test catalog'!$A$2:$A$200,0))),"")</f>
        <v/>
      </c>
      <c r="T122" s="10">
        <f>IFERROR(IF(INDEX('Test catalog'!$M$2:$M$200,MATCH($AB122,'Test catalog'!$A$2:$A$200,0))="","",INDEX('Test catalog'!$M$2:$M$200,MATCH($AB122,'Test catalog'!$A$2:$A$200,0))),"")</f>
        <v/>
      </c>
      <c r="U122" s="10">
        <f>IFERROR(IF(INDEX('Test catalog'!$N$2:$N$200,MATCH($AB122,'Test catalog'!$A$2:$A$200,0))="","",INDEX('Test catalog'!$N$2:$N$200,MATCH($AB122,'Test catalog'!$A$2:$A$200,0))),"")</f>
        <v/>
      </c>
      <c r="V122" s="15" t="n"/>
      <c r="W122" s="5" t="inlineStr">
        <is>
          <t>N</t>
        </is>
      </c>
      <c r="X122" s="5" t="n"/>
      <c r="Y122" s="5" t="n"/>
      <c r="Z122" s="5" t="n"/>
      <c r="AA122" s="10">
        <f>IFERROR(IF(INDEX('Test catalog'!$O$2:$O$200,MATCH($AB122,'Test catalog'!$A$2:$A$200,0))="","",INDEX('Test catalog'!$O$2:$O$200,MATCH($AB122,'Test catalog'!$A$2:$A$200,0))),"")</f>
        <v/>
      </c>
      <c r="AB122" s="10" t="inlineStr">
        <is>
          <t>ID_IR</t>
        </is>
      </c>
      <c r="AC122" s="10" t="inlineStr">
        <is>
          <t>Citicoline Sodium · Identification &lt;197&gt;</t>
        </is>
      </c>
      <c r="AD122" s="10" t="n"/>
      <c r="AE122" s="10" t="n"/>
    </row>
    <row r="123">
      <c r="A123" s="10" t="inlineStr">
        <is>
          <t>Citicoline Sodium</t>
        </is>
      </c>
      <c r="B123" s="10" t="inlineStr">
        <is>
          <t>RM</t>
        </is>
      </c>
      <c r="C123" s="10" t="inlineStr">
        <is>
          <t>Active</t>
        </is>
      </c>
      <c r="D123" s="10" t="inlineStr">
        <is>
          <t>Assay (HPLC)</t>
        </is>
      </c>
      <c r="E123" s="10">
        <f>IF(A123="","",A123&amp;"|"&amp;D123)</f>
        <v/>
      </c>
      <c r="F123" s="5" t="inlineStr">
        <is>
          <t>Y</t>
        </is>
      </c>
      <c r="G123" s="5" t="inlineStr">
        <is>
          <t>HPLC</t>
        </is>
      </c>
      <c r="H123" s="5" t="inlineStr">
        <is>
          <t>Medium</t>
        </is>
      </c>
      <c r="I123" s="5" t="n">
        <v>1</v>
      </c>
      <c r="J123" s="5" t="n"/>
      <c r="K123" s="5" t="n"/>
      <c r="L123" s="5" t="n"/>
      <c r="M123" s="5" t="n"/>
      <c r="N123" s="5" t="n"/>
      <c r="O123" s="5" t="n"/>
      <c r="P123" s="14">
        <f>IF(N123="","",IF(OR(M123="",O123=""),N123,(M123+4*N123+O123)/6))</f>
        <v/>
      </c>
      <c r="Q123" s="5" t="n"/>
      <c r="R123" s="5" t="n"/>
      <c r="S123" s="5" t="n"/>
      <c r="T123" s="5" t="n"/>
      <c r="U123" s="5" t="n"/>
      <c r="V123" s="15" t="n"/>
      <c r="W123" s="5" t="inlineStr">
        <is>
          <t>N</t>
        </is>
      </c>
      <c r="X123" s="5" t="n"/>
      <c r="Y123" s="5" t="n"/>
      <c r="Z123" s="5" t="n"/>
      <c r="AA123" s="5" t="n"/>
      <c r="AB123" s="10" t="n"/>
      <c r="AC123" s="10" t="inlineStr">
        <is>
          <t>Citicoline Sodium · Assay &lt;621&gt;</t>
        </is>
      </c>
      <c r="AD123" s="10" t="n"/>
      <c r="AE123" s="10" t="n"/>
    </row>
    <row r="124">
      <c r="A124" s="10" t="inlineStr">
        <is>
          <t>Citicoline Sodium</t>
        </is>
      </c>
      <c r="B124" s="10" t="inlineStr">
        <is>
          <t>RM</t>
        </is>
      </c>
      <c r="C124" s="10" t="inlineStr">
        <is>
          <t>Active</t>
        </is>
      </c>
      <c r="D124" s="10" t="inlineStr">
        <is>
          <t>Chloride</t>
        </is>
      </c>
      <c r="E124" s="10">
        <f>IF(A124="","",A124&amp;"|"&amp;D124)</f>
        <v/>
      </c>
      <c r="F124" s="5" t="inlineStr">
        <is>
          <t>Y</t>
        </is>
      </c>
      <c r="G124" s="5" t="inlineStr">
        <is>
          <t>Other / bench</t>
        </is>
      </c>
      <c r="H124" s="5" t="inlineStr">
        <is>
          <t>Low</t>
        </is>
      </c>
      <c r="I124" s="5" t="n">
        <v>1</v>
      </c>
      <c r="J124" s="5" t="n"/>
      <c r="K124" s="10">
        <f>IFERROR(IF(INDEX('Test catalog'!$F$2:$F$200,MATCH($AB124,'Test catalog'!$A$2:$A$200,0))="","",INDEX('Test catalog'!$F$2:$F$200,MATCH($AB124,'Test catalog'!$A$2:$A$200,0))),"")</f>
        <v/>
      </c>
      <c r="L124" s="10">
        <f>IFERROR(IF(INDEX('Test catalog'!$G$2:$G$200,MATCH($AB124,'Test catalog'!$A$2:$A$200,0))="","",INDEX('Test catalog'!$G$2:$G$200,MATCH($AB124,'Test catalog'!$A$2:$A$200,0))),"")</f>
        <v/>
      </c>
      <c r="M124" s="10">
        <f>IFERROR(IF(INDEX('Test catalog'!$H$2:$H$200,MATCH($AB124,'Test catalog'!$A$2:$A$200,0))="","",INDEX('Test catalog'!$H$2:$H$200,MATCH($AB124,'Test catalog'!$A$2:$A$200,0))),"")</f>
        <v/>
      </c>
      <c r="N124" s="10">
        <f>IFERROR(IF(INDEX('Test catalog'!$I$2:$I$200,MATCH($AB124,'Test catalog'!$A$2:$A$200,0))="","",INDEX('Test catalog'!$I$2:$I$200,MATCH($AB124,'Test catalog'!$A$2:$A$200,0))),"")</f>
        <v/>
      </c>
      <c r="O124" s="10">
        <f>IFERROR(IF(INDEX('Test catalog'!$J$2:$J$200,MATCH($AB124,'Test catalog'!$A$2:$A$200,0))="","",INDEX('Test catalog'!$J$2:$J$200,MATCH($AB124,'Test catalog'!$A$2:$A$200,0))),"")</f>
        <v/>
      </c>
      <c r="P124" s="14">
        <f>IF(N124="","",IF(OR(M124="",O124=""),N124,(M124+4*N124+O124)/6))</f>
        <v/>
      </c>
      <c r="Q124" s="10">
        <f>IFERROR(IF(INDEX('Test catalog'!$K$2:$K$200,MATCH($AB124,'Test catalog'!$A$2:$A$200,0))="","",INDEX('Test catalog'!$K$2:$K$200,MATCH($AB124,'Test catalog'!$A$2:$A$200,0))),"")</f>
        <v/>
      </c>
      <c r="R124" s="5" t="n"/>
      <c r="S124" s="10">
        <f>IFERROR(IF(INDEX('Test catalog'!$L$2:$L$200,MATCH($AB124,'Test catalog'!$A$2:$A$200,0))="","",INDEX('Test catalog'!$L$2:$L$200,MATCH($AB124,'Test catalog'!$A$2:$A$200,0))),"")</f>
        <v/>
      </c>
      <c r="T124" s="10">
        <f>IFERROR(IF(INDEX('Test catalog'!$M$2:$M$200,MATCH($AB124,'Test catalog'!$A$2:$A$200,0))="","",INDEX('Test catalog'!$M$2:$M$200,MATCH($AB124,'Test catalog'!$A$2:$A$200,0))),"")</f>
        <v/>
      </c>
      <c r="U124" s="10">
        <f>IFERROR(IF(INDEX('Test catalog'!$N$2:$N$200,MATCH($AB124,'Test catalog'!$A$2:$A$200,0))="","",INDEX('Test catalog'!$N$2:$N$200,MATCH($AB124,'Test catalog'!$A$2:$A$200,0))),"")</f>
        <v/>
      </c>
      <c r="V124" s="15" t="n"/>
      <c r="W124" s="5" t="inlineStr">
        <is>
          <t>N</t>
        </is>
      </c>
      <c r="X124" s="5" t="n"/>
      <c r="Y124" s="5" t="n"/>
      <c r="Z124" s="5" t="n"/>
      <c r="AA124" s="10">
        <f>IFERROR(IF(INDEX('Test catalog'!$O$2:$O$200,MATCH($AB124,'Test catalog'!$A$2:$A$200,0))="","",INDEX('Test catalog'!$O$2:$O$200,MATCH($AB124,'Test catalog'!$A$2:$A$200,0))),"")</f>
        <v/>
      </c>
      <c r="AB124" s="10" t="inlineStr">
        <is>
          <t>LIMIT</t>
        </is>
      </c>
      <c r="AC124" s="10" t="inlineStr">
        <is>
          <t>Citicoline Sodium · Impurities &lt;221&gt;</t>
        </is>
      </c>
      <c r="AD124" s="10" t="n"/>
      <c r="AE124" s="10" t="n"/>
    </row>
    <row r="125">
      <c r="A125" s="10" t="inlineStr">
        <is>
          <t>Citicoline Sodium</t>
        </is>
      </c>
      <c r="B125" s="10" t="inlineStr">
        <is>
          <t>RM</t>
        </is>
      </c>
      <c r="C125" s="10" t="inlineStr">
        <is>
          <t>Active</t>
        </is>
      </c>
      <c r="D125" s="10" t="inlineStr">
        <is>
          <t>Sulfate</t>
        </is>
      </c>
      <c r="E125" s="10">
        <f>IF(A125="","",A125&amp;"|"&amp;D125)</f>
        <v/>
      </c>
      <c r="F125" s="5" t="inlineStr">
        <is>
          <t>Y</t>
        </is>
      </c>
      <c r="G125" s="5" t="inlineStr">
        <is>
          <t>Other / bench</t>
        </is>
      </c>
      <c r="H125" s="5" t="inlineStr">
        <is>
          <t>Low</t>
        </is>
      </c>
      <c r="I125" s="5" t="n">
        <v>1</v>
      </c>
      <c r="J125" s="5" t="n"/>
      <c r="K125" s="10">
        <f>IFERROR(IF(INDEX('Test catalog'!$F$2:$F$200,MATCH($AB125,'Test catalog'!$A$2:$A$200,0))="","",INDEX('Test catalog'!$F$2:$F$200,MATCH($AB125,'Test catalog'!$A$2:$A$200,0))),"")</f>
        <v/>
      </c>
      <c r="L125" s="10">
        <f>IFERROR(IF(INDEX('Test catalog'!$G$2:$G$200,MATCH($AB125,'Test catalog'!$A$2:$A$200,0))="","",INDEX('Test catalog'!$G$2:$G$200,MATCH($AB125,'Test catalog'!$A$2:$A$200,0))),"")</f>
        <v/>
      </c>
      <c r="M125" s="10">
        <f>IFERROR(IF(INDEX('Test catalog'!$H$2:$H$200,MATCH($AB125,'Test catalog'!$A$2:$A$200,0))="","",INDEX('Test catalog'!$H$2:$H$200,MATCH($AB125,'Test catalog'!$A$2:$A$200,0))),"")</f>
        <v/>
      </c>
      <c r="N125" s="10">
        <f>IFERROR(IF(INDEX('Test catalog'!$I$2:$I$200,MATCH($AB125,'Test catalog'!$A$2:$A$200,0))="","",INDEX('Test catalog'!$I$2:$I$200,MATCH($AB125,'Test catalog'!$A$2:$A$200,0))),"")</f>
        <v/>
      </c>
      <c r="O125" s="10">
        <f>IFERROR(IF(INDEX('Test catalog'!$J$2:$J$200,MATCH($AB125,'Test catalog'!$A$2:$A$200,0))="","",INDEX('Test catalog'!$J$2:$J$200,MATCH($AB125,'Test catalog'!$A$2:$A$200,0))),"")</f>
        <v/>
      </c>
      <c r="P125" s="14">
        <f>IF(N125="","",IF(OR(M125="",O125=""),N125,(M125+4*N125+O125)/6))</f>
        <v/>
      </c>
      <c r="Q125" s="10">
        <f>IFERROR(IF(INDEX('Test catalog'!$K$2:$K$200,MATCH($AB125,'Test catalog'!$A$2:$A$200,0))="","",INDEX('Test catalog'!$K$2:$K$200,MATCH($AB125,'Test catalog'!$A$2:$A$200,0))),"")</f>
        <v/>
      </c>
      <c r="R125" s="5" t="n"/>
      <c r="S125" s="10">
        <f>IFERROR(IF(INDEX('Test catalog'!$L$2:$L$200,MATCH($AB125,'Test catalog'!$A$2:$A$200,0))="","",INDEX('Test catalog'!$L$2:$L$200,MATCH($AB125,'Test catalog'!$A$2:$A$200,0))),"")</f>
        <v/>
      </c>
      <c r="T125" s="10">
        <f>IFERROR(IF(INDEX('Test catalog'!$M$2:$M$200,MATCH($AB125,'Test catalog'!$A$2:$A$200,0))="","",INDEX('Test catalog'!$M$2:$M$200,MATCH($AB125,'Test catalog'!$A$2:$A$200,0))),"")</f>
        <v/>
      </c>
      <c r="U125" s="10">
        <f>IFERROR(IF(INDEX('Test catalog'!$N$2:$N$200,MATCH($AB125,'Test catalog'!$A$2:$A$200,0))="","",INDEX('Test catalog'!$N$2:$N$200,MATCH($AB125,'Test catalog'!$A$2:$A$200,0))),"")</f>
        <v/>
      </c>
      <c r="V125" s="15" t="n"/>
      <c r="W125" s="5" t="inlineStr">
        <is>
          <t>N</t>
        </is>
      </c>
      <c r="X125" s="5" t="n"/>
      <c r="Y125" s="5" t="n"/>
      <c r="Z125" s="5" t="n"/>
      <c r="AA125" s="10">
        <f>IFERROR(IF(INDEX('Test catalog'!$O$2:$O$200,MATCH($AB125,'Test catalog'!$A$2:$A$200,0))="","",INDEX('Test catalog'!$O$2:$O$200,MATCH($AB125,'Test catalog'!$A$2:$A$200,0))),"")</f>
        <v/>
      </c>
      <c r="AB125" s="10" t="inlineStr">
        <is>
          <t>LIMIT</t>
        </is>
      </c>
      <c r="AC125" s="10" t="inlineStr">
        <is>
          <t>Citicoline Sodium · Impurities &lt;221&gt;</t>
        </is>
      </c>
      <c r="AD125" s="10" t="n"/>
      <c r="AE125" s="10" t="n"/>
    </row>
    <row r="126">
      <c r="A126" s="10" t="inlineStr">
        <is>
          <t>Citicoline Sodium</t>
        </is>
      </c>
      <c r="B126" s="10" t="inlineStr">
        <is>
          <t>RM</t>
        </is>
      </c>
      <c r="C126" s="10" t="inlineStr">
        <is>
          <t>Active</t>
        </is>
      </c>
      <c r="D126" s="10" t="inlineStr">
        <is>
          <t>Related Compounds (HPLC)</t>
        </is>
      </c>
      <c r="E126" s="10">
        <f>IF(A126="","",A126&amp;"|"&amp;D126)</f>
        <v/>
      </c>
      <c r="F126" s="5" t="inlineStr">
        <is>
          <t>Y</t>
        </is>
      </c>
      <c r="G126" s="5" t="inlineStr">
        <is>
          <t>HPLC</t>
        </is>
      </c>
      <c r="H126" s="5" t="inlineStr">
        <is>
          <t>Medium</t>
        </is>
      </c>
      <c r="I126" s="5" t="n">
        <v>1</v>
      </c>
      <c r="J126" s="5" t="n"/>
      <c r="K126" s="5" t="n"/>
      <c r="L126" s="5" t="n"/>
      <c r="M126" s="5" t="n"/>
      <c r="N126" s="5" t="n"/>
      <c r="O126" s="5" t="n"/>
      <c r="P126" s="14">
        <f>IF(N126="","",IF(OR(M126="",O126=""),N126,(M126+4*N126+O126)/6))</f>
        <v/>
      </c>
      <c r="Q126" s="5" t="n"/>
      <c r="R126" s="5" t="n"/>
      <c r="S126" s="5" t="n"/>
      <c r="T126" s="5" t="n"/>
      <c r="U126" s="5" t="n"/>
      <c r="V126" s="15" t="n"/>
      <c r="W126" s="5" t="inlineStr">
        <is>
          <t>N</t>
        </is>
      </c>
      <c r="X126" s="5" t="n"/>
      <c r="Y126" s="5" t="n"/>
      <c r="Z126" s="5" t="n"/>
      <c r="AA126" s="5" t="n"/>
      <c r="AB126" s="10" t="n"/>
      <c r="AC126" s="10" t="inlineStr">
        <is>
          <t>Citicoline Sodium · Impurities</t>
        </is>
      </c>
      <c r="AD126" s="10" t="n"/>
      <c r="AE126" s="10" t="n"/>
    </row>
    <row r="127">
      <c r="A127" s="10" t="inlineStr">
        <is>
          <t>Citicoline Sodium</t>
        </is>
      </c>
      <c r="B127" s="10" t="inlineStr">
        <is>
          <t>RM</t>
        </is>
      </c>
      <c r="C127" s="10" t="inlineStr">
        <is>
          <t>Active</t>
        </is>
      </c>
      <c r="D127" s="10" t="inlineStr">
        <is>
          <t>Water Determination</t>
        </is>
      </c>
      <c r="E127" s="10">
        <f>IF(A127="","",A127&amp;"|"&amp;D127)</f>
        <v/>
      </c>
      <c r="F127" s="5" t="inlineStr">
        <is>
          <t>Y</t>
        </is>
      </c>
      <c r="G127" s="5" t="inlineStr">
        <is>
          <t>KF titrator</t>
        </is>
      </c>
      <c r="H127" s="5" t="inlineStr">
        <is>
          <t>Low</t>
        </is>
      </c>
      <c r="I127" s="5" t="n">
        <v>1</v>
      </c>
      <c r="J127" s="5" t="n"/>
      <c r="K127" s="10">
        <f>IFERROR(IF(INDEX('Test catalog'!$F$2:$F$200,MATCH($AB127,'Test catalog'!$A$2:$A$200,0))="","",INDEX('Test catalog'!$F$2:$F$200,MATCH($AB127,'Test catalog'!$A$2:$A$200,0))),"")</f>
        <v/>
      </c>
      <c r="L127" s="10">
        <f>IFERROR(IF(INDEX('Test catalog'!$G$2:$G$200,MATCH($AB127,'Test catalog'!$A$2:$A$200,0))="","",INDEX('Test catalog'!$G$2:$G$200,MATCH($AB127,'Test catalog'!$A$2:$A$200,0))),"")</f>
        <v/>
      </c>
      <c r="M127" s="10">
        <f>IFERROR(IF(INDEX('Test catalog'!$H$2:$H$200,MATCH($AB127,'Test catalog'!$A$2:$A$200,0))="","",INDEX('Test catalog'!$H$2:$H$200,MATCH($AB127,'Test catalog'!$A$2:$A$200,0))),"")</f>
        <v/>
      </c>
      <c r="N127" s="10">
        <f>IFERROR(IF(INDEX('Test catalog'!$I$2:$I$200,MATCH($AB127,'Test catalog'!$A$2:$A$200,0))="","",INDEX('Test catalog'!$I$2:$I$200,MATCH($AB127,'Test catalog'!$A$2:$A$200,0))),"")</f>
        <v/>
      </c>
      <c r="O127" s="10">
        <f>IFERROR(IF(INDEX('Test catalog'!$J$2:$J$200,MATCH($AB127,'Test catalog'!$A$2:$A$200,0))="","",INDEX('Test catalog'!$J$2:$J$200,MATCH($AB127,'Test catalog'!$A$2:$A$200,0))),"")</f>
        <v/>
      </c>
      <c r="P127" s="14">
        <f>IF(N127="","",IF(OR(M127="",O127=""),N127,(M127+4*N127+O127)/6))</f>
        <v/>
      </c>
      <c r="Q127" s="10">
        <f>IFERROR(IF(INDEX('Test catalog'!$K$2:$K$200,MATCH($AB127,'Test catalog'!$A$2:$A$200,0))="","",INDEX('Test catalog'!$K$2:$K$200,MATCH($AB127,'Test catalog'!$A$2:$A$200,0))),"")</f>
        <v/>
      </c>
      <c r="R127" s="5" t="n"/>
      <c r="S127" s="10">
        <f>IFERROR(IF(INDEX('Test catalog'!$L$2:$L$200,MATCH($AB127,'Test catalog'!$A$2:$A$200,0))="","",INDEX('Test catalog'!$L$2:$L$200,MATCH($AB127,'Test catalog'!$A$2:$A$200,0))),"")</f>
        <v/>
      </c>
      <c r="T127" s="10">
        <f>IFERROR(IF(INDEX('Test catalog'!$M$2:$M$200,MATCH($AB127,'Test catalog'!$A$2:$A$200,0))="","",INDEX('Test catalog'!$M$2:$M$200,MATCH($AB127,'Test catalog'!$A$2:$A$200,0))),"")</f>
        <v/>
      </c>
      <c r="U127" s="10">
        <f>IFERROR(IF(INDEX('Test catalog'!$N$2:$N$200,MATCH($AB127,'Test catalog'!$A$2:$A$200,0))="","",INDEX('Test catalog'!$N$2:$N$200,MATCH($AB127,'Test catalog'!$A$2:$A$200,0))),"")</f>
        <v/>
      </c>
      <c r="V127" s="15" t="n"/>
      <c r="W127" s="5" t="inlineStr">
        <is>
          <t>N</t>
        </is>
      </c>
      <c r="X127" s="5" t="n"/>
      <c r="Y127" s="5" t="n"/>
      <c r="Z127" s="5" t="n"/>
      <c r="AA127" s="10">
        <f>IFERROR(IF(INDEX('Test catalog'!$O$2:$O$200,MATCH($AB127,'Test catalog'!$A$2:$A$200,0))="","",INDEX('Test catalog'!$O$2:$O$200,MATCH($AB127,'Test catalog'!$A$2:$A$200,0))),"")</f>
        <v/>
      </c>
      <c r="AB127" s="10" t="inlineStr">
        <is>
          <t>KF</t>
        </is>
      </c>
      <c r="AC127" s="10" t="inlineStr">
        <is>
          <t>Citicoline Sodium · Specific Tests &lt;921&gt;</t>
        </is>
      </c>
      <c r="AD127" s="10" t="n"/>
      <c r="AE127" s="10" t="n"/>
    </row>
    <row r="128">
      <c r="A128" s="10" t="inlineStr">
        <is>
          <t>Coleus Forskohlii Root Dry Extract 10:1</t>
        </is>
      </c>
      <c r="B128" s="10" t="inlineStr">
        <is>
          <t>RM</t>
        </is>
      </c>
      <c r="C128" s="10" t="inlineStr">
        <is>
          <t>Active</t>
        </is>
      </c>
      <c r="D128" s="10" t="inlineStr">
        <is>
          <t>Appearance / description and solubility</t>
        </is>
      </c>
      <c r="E128" s="10">
        <f>IF(A128="","",A128&amp;"|"&amp;D128)</f>
        <v/>
      </c>
      <c r="F128" s="5" t="inlineStr">
        <is>
          <t>Y</t>
        </is>
      </c>
      <c r="G128" s="5" t="inlineStr">
        <is>
          <t>Other / bench</t>
        </is>
      </c>
      <c r="H128" s="5" t="inlineStr">
        <is>
          <t>Low</t>
        </is>
      </c>
      <c r="I128" s="5" t="n">
        <v>1</v>
      </c>
      <c r="J128" s="5" t="n"/>
      <c r="K128" s="10">
        <f>IFERROR(IF(INDEX('Test catalog'!$F$2:$F$200,MATCH($AB128,'Test catalog'!$A$2:$A$200,0))="","",INDEX('Test catalog'!$F$2:$F$200,MATCH($AB128,'Test catalog'!$A$2:$A$200,0))),"")</f>
        <v/>
      </c>
      <c r="L128" s="10">
        <f>IFERROR(IF(INDEX('Test catalog'!$G$2:$G$200,MATCH($AB128,'Test catalog'!$A$2:$A$200,0))="","",INDEX('Test catalog'!$G$2:$G$200,MATCH($AB128,'Test catalog'!$A$2:$A$200,0))),"")</f>
        <v/>
      </c>
      <c r="M128" s="10">
        <f>IFERROR(IF(INDEX('Test catalog'!$H$2:$H$200,MATCH($AB128,'Test catalog'!$A$2:$A$200,0))="","",INDEX('Test catalog'!$H$2:$H$200,MATCH($AB128,'Test catalog'!$A$2:$A$200,0))),"")</f>
        <v/>
      </c>
      <c r="N128" s="10">
        <f>IFERROR(IF(INDEX('Test catalog'!$I$2:$I$200,MATCH($AB128,'Test catalog'!$A$2:$A$200,0))="","",INDEX('Test catalog'!$I$2:$I$200,MATCH($AB128,'Test catalog'!$A$2:$A$200,0))),"")</f>
        <v/>
      </c>
      <c r="O128" s="10">
        <f>IFERROR(IF(INDEX('Test catalog'!$J$2:$J$200,MATCH($AB128,'Test catalog'!$A$2:$A$200,0))="","",INDEX('Test catalog'!$J$2:$J$200,MATCH($AB128,'Test catalog'!$A$2:$A$200,0))),"")</f>
        <v/>
      </c>
      <c r="P128" s="14">
        <f>IF(N128="","",IF(OR(M128="",O128=""),N128,(M128+4*N128+O128)/6))</f>
        <v/>
      </c>
      <c r="Q128" s="10">
        <f>IFERROR(IF(INDEX('Test catalog'!$K$2:$K$200,MATCH($AB128,'Test catalog'!$A$2:$A$200,0))="","",INDEX('Test catalog'!$K$2:$K$200,MATCH($AB128,'Test catalog'!$A$2:$A$200,0))),"")</f>
        <v/>
      </c>
      <c r="R128" s="5" t="n"/>
      <c r="S128" s="10">
        <f>IFERROR(IF(INDEX('Test catalog'!$L$2:$L$200,MATCH($AB128,'Test catalog'!$A$2:$A$200,0))="","",INDEX('Test catalog'!$L$2:$L$200,MATCH($AB128,'Test catalog'!$A$2:$A$200,0))),"")</f>
        <v/>
      </c>
      <c r="T128" s="10">
        <f>IFERROR(IF(INDEX('Test catalog'!$M$2:$M$200,MATCH($AB128,'Test catalog'!$A$2:$A$200,0))="","",INDEX('Test catalog'!$M$2:$M$200,MATCH($AB128,'Test catalog'!$A$2:$A$200,0))),"")</f>
        <v/>
      </c>
      <c r="U128" s="10">
        <f>IFERROR(IF(INDEX('Test catalog'!$N$2:$N$200,MATCH($AB128,'Test catalog'!$A$2:$A$200,0))="","",INDEX('Test catalog'!$N$2:$N$200,MATCH($AB128,'Test catalog'!$A$2:$A$200,0))),"")</f>
        <v/>
      </c>
      <c r="V128" s="15" t="n"/>
      <c r="W128" s="5" t="inlineStr">
        <is>
          <t>N</t>
        </is>
      </c>
      <c r="X128" s="5" t="n"/>
      <c r="Y128" s="5" t="n"/>
      <c r="Z128" s="5" t="n"/>
      <c r="AA128" s="10">
        <f>IFERROR(IF(INDEX('Test catalog'!$O$2:$O$200,MATCH($AB128,'Test catalog'!$A$2:$A$200,0))="","",INDEX('Test catalog'!$O$2:$O$200,MATCH($AB128,'Test catalog'!$A$2:$A$200,0))),"")</f>
        <v/>
      </c>
      <c r="AB128" s="10" t="inlineStr">
        <is>
          <t>APPEAR</t>
        </is>
      </c>
      <c r="AC128" s="10" t="inlineStr">
        <is>
          <t>Lab practice (not a USP test)</t>
        </is>
      </c>
      <c r="AD128" s="10" t="n"/>
      <c r="AE128" s="10" t="n"/>
    </row>
    <row r="129">
      <c r="A129" s="10" t="inlineStr">
        <is>
          <t>Coleus Forskohlii Root Dry Extract 10:1</t>
        </is>
      </c>
      <c r="B129" s="10" t="inlineStr">
        <is>
          <t>RM</t>
        </is>
      </c>
      <c r="C129" s="10" t="inlineStr">
        <is>
          <t>Active</t>
        </is>
      </c>
      <c r="D129" s="10" t="inlineStr">
        <is>
          <t>ID A - TLC</t>
        </is>
      </c>
      <c r="E129" s="10">
        <f>IF(A129="","",A129&amp;"|"&amp;D129)</f>
        <v/>
      </c>
      <c r="F129" s="5" t="inlineStr">
        <is>
          <t>Y</t>
        </is>
      </c>
      <c r="G129" s="5" t="inlineStr">
        <is>
          <t>Other / bench</t>
        </is>
      </c>
      <c r="H129" s="5" t="inlineStr">
        <is>
          <t>Low</t>
        </is>
      </c>
      <c r="I129" s="5" t="n">
        <v>1</v>
      </c>
      <c r="J129" s="5" t="n"/>
      <c r="K129" s="10">
        <f>IFERROR(IF(INDEX('Test catalog'!$F$2:$F$200,MATCH($AB129,'Test catalog'!$A$2:$A$200,0))="","",INDEX('Test catalog'!$F$2:$F$200,MATCH($AB129,'Test catalog'!$A$2:$A$200,0))),"")</f>
        <v/>
      </c>
      <c r="L129" s="10">
        <f>IFERROR(IF(INDEX('Test catalog'!$G$2:$G$200,MATCH($AB129,'Test catalog'!$A$2:$A$200,0))="","",INDEX('Test catalog'!$G$2:$G$200,MATCH($AB129,'Test catalog'!$A$2:$A$200,0))),"")</f>
        <v/>
      </c>
      <c r="M129" s="10">
        <f>IFERROR(IF(INDEX('Test catalog'!$H$2:$H$200,MATCH($AB129,'Test catalog'!$A$2:$A$200,0))="","",INDEX('Test catalog'!$H$2:$H$200,MATCH($AB129,'Test catalog'!$A$2:$A$200,0))),"")</f>
        <v/>
      </c>
      <c r="N129" s="10">
        <f>IFERROR(IF(INDEX('Test catalog'!$I$2:$I$200,MATCH($AB129,'Test catalog'!$A$2:$A$200,0))="","",INDEX('Test catalog'!$I$2:$I$200,MATCH($AB129,'Test catalog'!$A$2:$A$200,0))),"")</f>
        <v/>
      </c>
      <c r="O129" s="10">
        <f>IFERROR(IF(INDEX('Test catalog'!$J$2:$J$200,MATCH($AB129,'Test catalog'!$A$2:$A$200,0))="","",INDEX('Test catalog'!$J$2:$J$200,MATCH($AB129,'Test catalog'!$A$2:$A$200,0))),"")</f>
        <v/>
      </c>
      <c r="P129" s="14">
        <f>IF(N129="","",IF(OR(M129="",O129=""),N129,(M129+4*N129+O129)/6))</f>
        <v/>
      </c>
      <c r="Q129" s="10">
        <f>IFERROR(IF(INDEX('Test catalog'!$K$2:$K$200,MATCH($AB129,'Test catalog'!$A$2:$A$200,0))="","",INDEX('Test catalog'!$K$2:$K$200,MATCH($AB129,'Test catalog'!$A$2:$A$200,0))),"")</f>
        <v/>
      </c>
      <c r="R129" s="5" t="n"/>
      <c r="S129" s="10">
        <f>IFERROR(IF(INDEX('Test catalog'!$L$2:$L$200,MATCH($AB129,'Test catalog'!$A$2:$A$200,0))="","",INDEX('Test catalog'!$L$2:$L$200,MATCH($AB129,'Test catalog'!$A$2:$A$200,0))),"")</f>
        <v/>
      </c>
      <c r="T129" s="10">
        <f>IFERROR(IF(INDEX('Test catalog'!$M$2:$M$200,MATCH($AB129,'Test catalog'!$A$2:$A$200,0))="","",INDEX('Test catalog'!$M$2:$M$200,MATCH($AB129,'Test catalog'!$A$2:$A$200,0))),"")</f>
        <v/>
      </c>
      <c r="U129" s="10">
        <f>IFERROR(IF(INDEX('Test catalog'!$N$2:$N$200,MATCH($AB129,'Test catalog'!$A$2:$A$200,0))="","",INDEX('Test catalog'!$N$2:$N$200,MATCH($AB129,'Test catalog'!$A$2:$A$200,0))),"")</f>
        <v/>
      </c>
      <c r="V129" s="15" t="n"/>
      <c r="W129" s="5" t="inlineStr">
        <is>
          <t>N</t>
        </is>
      </c>
      <c r="X129" s="5" t="n"/>
      <c r="Y129" s="5" t="n"/>
      <c r="Z129" s="5" t="n"/>
      <c r="AA129" s="10">
        <f>IFERROR(IF(INDEX('Test catalog'!$O$2:$O$200,MATCH($AB129,'Test catalog'!$A$2:$A$200,0))="","",INDEX('Test catalog'!$O$2:$O$200,MATCH($AB129,'Test catalog'!$A$2:$A$200,0))),"")</f>
        <v/>
      </c>
      <c r="AB129" s="10" t="inlineStr">
        <is>
          <t>TLC</t>
        </is>
      </c>
      <c r="AC129" s="10" t="inlineStr">
        <is>
          <t>Powdered Forskohlii Extract · Identification &lt;201&gt;</t>
        </is>
      </c>
      <c r="AD129" s="10" t="n"/>
      <c r="AE129" s="10" t="n"/>
    </row>
    <row r="130">
      <c r="A130" s="10" t="inlineStr">
        <is>
          <t>Coleus Forskohlii Root Dry Extract 10:1</t>
        </is>
      </c>
      <c r="B130" s="10" t="inlineStr">
        <is>
          <t>RM</t>
        </is>
      </c>
      <c r="C130" s="10" t="inlineStr">
        <is>
          <t>Active</t>
        </is>
      </c>
      <c r="D130" s="10" t="inlineStr">
        <is>
          <t>ID - HPLC</t>
        </is>
      </c>
      <c r="E130" s="10">
        <f>IF(A130="","",A130&amp;"|"&amp;D130)</f>
        <v/>
      </c>
      <c r="F130" s="5" t="inlineStr">
        <is>
          <t>Y</t>
        </is>
      </c>
      <c r="G130" s="5" t="inlineStr">
        <is>
          <t>HPLC</t>
        </is>
      </c>
      <c r="H130" s="5" t="inlineStr">
        <is>
          <t>Medium</t>
        </is>
      </c>
      <c r="I130" s="5" t="n">
        <v>1</v>
      </c>
      <c r="J130" s="5" t="n"/>
      <c r="K130" s="5" t="n"/>
      <c r="L130" s="5" t="n"/>
      <c r="M130" s="5" t="n"/>
      <c r="N130" s="5" t="n"/>
      <c r="O130" s="5" t="n"/>
      <c r="P130" s="14">
        <f>IF(N130="","",IF(OR(M130="",O130=""),N130,(M130+4*N130+O130)/6))</f>
        <v/>
      </c>
      <c r="Q130" s="5" t="n"/>
      <c r="R130" s="5" t="n"/>
      <c r="S130" s="5" t="n"/>
      <c r="T130" s="5" t="n"/>
      <c r="U130" s="5" t="n"/>
      <c r="V130" s="15" t="n"/>
      <c r="W130" s="5" t="inlineStr">
        <is>
          <t>N</t>
        </is>
      </c>
      <c r="X130" s="5" t="n"/>
      <c r="Y130" s="5" t="n"/>
      <c r="Z130" s="5" t="n"/>
      <c r="AA130" s="5" t="n"/>
      <c r="AB130" s="10" t="n"/>
      <c r="AC130" s="10" t="inlineStr">
        <is>
          <t>Powdered Forskohlii Extract · Identification</t>
        </is>
      </c>
      <c r="AD130" s="10" t="n"/>
      <c r="AE130" s="10" t="n"/>
    </row>
    <row r="131">
      <c r="A131" s="10" t="inlineStr">
        <is>
          <t>Coleus Forskohlii Root Dry Extract 10:1</t>
        </is>
      </c>
      <c r="B131" s="10" t="inlineStr">
        <is>
          <t>RM</t>
        </is>
      </c>
      <c r="C131" s="10" t="inlineStr">
        <is>
          <t>Active</t>
        </is>
      </c>
      <c r="D131" s="10" t="inlineStr">
        <is>
          <t>Procedure</t>
        </is>
      </c>
      <c r="E131" s="10">
        <f>IF(A131="","",A131&amp;"|"&amp;D131)</f>
        <v/>
      </c>
      <c r="F131" s="5" t="inlineStr">
        <is>
          <t>Y</t>
        </is>
      </c>
      <c r="G131" s="5" t="inlineStr">
        <is>
          <t>GC</t>
        </is>
      </c>
      <c r="H131" s="5" t="inlineStr">
        <is>
          <t>Medium</t>
        </is>
      </c>
      <c r="I131" s="5" t="n">
        <v>1</v>
      </c>
      <c r="J131" s="5" t="n"/>
      <c r="K131" s="10">
        <f>IFERROR(IF(INDEX('Test catalog'!$F$2:$F$200,MATCH($AB131,'Test catalog'!$A$2:$A$200,0))="","",INDEX('Test catalog'!$F$2:$F$200,MATCH($AB131,'Test catalog'!$A$2:$A$200,0))),"")</f>
        <v/>
      </c>
      <c r="L131" s="10">
        <f>IFERROR(IF(INDEX('Test catalog'!$G$2:$G$200,MATCH($AB131,'Test catalog'!$A$2:$A$200,0))="","",INDEX('Test catalog'!$G$2:$G$200,MATCH($AB131,'Test catalog'!$A$2:$A$200,0))),"")</f>
        <v/>
      </c>
      <c r="M131" s="10">
        <f>IFERROR(IF(INDEX('Test catalog'!$H$2:$H$200,MATCH($AB131,'Test catalog'!$A$2:$A$200,0))="","",INDEX('Test catalog'!$H$2:$H$200,MATCH($AB131,'Test catalog'!$A$2:$A$200,0))),"")</f>
        <v/>
      </c>
      <c r="N131" s="10">
        <f>IFERROR(IF(INDEX('Test catalog'!$I$2:$I$200,MATCH($AB131,'Test catalog'!$A$2:$A$200,0))="","",INDEX('Test catalog'!$I$2:$I$200,MATCH($AB131,'Test catalog'!$A$2:$A$200,0))),"")</f>
        <v/>
      </c>
      <c r="O131" s="10">
        <f>IFERROR(IF(INDEX('Test catalog'!$J$2:$J$200,MATCH($AB131,'Test catalog'!$A$2:$A$200,0))="","",INDEX('Test catalog'!$J$2:$J$200,MATCH($AB131,'Test catalog'!$A$2:$A$200,0))),"")</f>
        <v/>
      </c>
      <c r="P131" s="14">
        <f>IF(N131="","",IF(OR(M131="",O131=""),N131,(M131+4*N131+O131)/6))</f>
        <v/>
      </c>
      <c r="Q131" s="10">
        <f>IFERROR(IF(INDEX('Test catalog'!$K$2:$K$200,MATCH($AB131,'Test catalog'!$A$2:$A$200,0))="","",INDEX('Test catalog'!$K$2:$K$200,MATCH($AB131,'Test catalog'!$A$2:$A$200,0))),"")</f>
        <v/>
      </c>
      <c r="R131" s="5" t="n"/>
      <c r="S131" s="10">
        <f>IFERROR(IF(INDEX('Test catalog'!$L$2:$L$200,MATCH($AB131,'Test catalog'!$A$2:$A$200,0))="","",INDEX('Test catalog'!$L$2:$L$200,MATCH($AB131,'Test catalog'!$A$2:$A$200,0))),"")</f>
        <v/>
      </c>
      <c r="T131" s="10">
        <f>IFERROR(IF(INDEX('Test catalog'!$M$2:$M$200,MATCH($AB131,'Test catalog'!$A$2:$A$200,0))="","",INDEX('Test catalog'!$M$2:$M$200,MATCH($AB131,'Test catalog'!$A$2:$A$200,0))),"")</f>
        <v/>
      </c>
      <c r="U131" s="10">
        <f>IFERROR(IF(INDEX('Test catalog'!$N$2:$N$200,MATCH($AB131,'Test catalog'!$A$2:$A$200,0))="","",INDEX('Test catalog'!$N$2:$N$200,MATCH($AB131,'Test catalog'!$A$2:$A$200,0))),"")</f>
        <v/>
      </c>
      <c r="V131" s="15" t="n"/>
      <c r="W131" s="5" t="inlineStr">
        <is>
          <t>N</t>
        </is>
      </c>
      <c r="X131" s="5" t="n"/>
      <c r="Y131" s="5" t="n"/>
      <c r="Z131" s="5" t="n"/>
      <c r="AA131" s="10">
        <f>IFERROR(IF(INDEX('Test catalog'!$O$2:$O$200,MATCH($AB131,'Test catalog'!$A$2:$A$200,0))="","",INDEX('Test catalog'!$O$2:$O$200,MATCH($AB131,'Test catalog'!$A$2:$A$200,0))),"")</f>
        <v/>
      </c>
      <c r="AB131" s="10" t="inlineStr">
        <is>
          <t>PEST</t>
        </is>
      </c>
      <c r="AC131" s="10" t="inlineStr">
        <is>
          <t>Powdered Forskohlii Extract · Impurities &lt;565&gt;</t>
        </is>
      </c>
      <c r="AD131" s="10" t="n"/>
      <c r="AE131" s="10" t="n"/>
    </row>
    <row r="132">
      <c r="A132" s="10" t="inlineStr">
        <is>
          <t>Coleus Forskohlii Root Dry Extract 10:1</t>
        </is>
      </c>
      <c r="B132" s="10" t="inlineStr">
        <is>
          <t>RM</t>
        </is>
      </c>
      <c r="C132" s="10" t="inlineStr">
        <is>
          <t>Active</t>
        </is>
      </c>
      <c r="D132" s="10" t="inlineStr">
        <is>
          <t>Loss on Drying</t>
        </is>
      </c>
      <c r="E132" s="10">
        <f>IF(A132="","",A132&amp;"|"&amp;D132)</f>
        <v/>
      </c>
      <c r="F132" s="5" t="inlineStr">
        <is>
          <t>Y</t>
        </is>
      </c>
      <c r="G132" s="5" t="inlineStr">
        <is>
          <t>Other / bench</t>
        </is>
      </c>
      <c r="H132" s="5" t="inlineStr">
        <is>
          <t>Low</t>
        </is>
      </c>
      <c r="I132" s="5" t="n">
        <v>1</v>
      </c>
      <c r="J132" s="5" t="n"/>
      <c r="K132" s="10">
        <f>IFERROR(IF(INDEX('Test catalog'!$F$2:$F$200,MATCH($AB132,'Test catalog'!$A$2:$A$200,0))="","",INDEX('Test catalog'!$F$2:$F$200,MATCH($AB132,'Test catalog'!$A$2:$A$200,0))),"")</f>
        <v/>
      </c>
      <c r="L132" s="10">
        <f>IFERROR(IF(INDEX('Test catalog'!$G$2:$G$200,MATCH($AB132,'Test catalog'!$A$2:$A$200,0))="","",INDEX('Test catalog'!$G$2:$G$200,MATCH($AB132,'Test catalog'!$A$2:$A$200,0))),"")</f>
        <v/>
      </c>
      <c r="M132" s="10">
        <f>IFERROR(IF(INDEX('Test catalog'!$H$2:$H$200,MATCH($AB132,'Test catalog'!$A$2:$A$200,0))="","",INDEX('Test catalog'!$H$2:$H$200,MATCH($AB132,'Test catalog'!$A$2:$A$200,0))),"")</f>
        <v/>
      </c>
      <c r="N132" s="10">
        <f>IFERROR(IF(INDEX('Test catalog'!$I$2:$I$200,MATCH($AB132,'Test catalog'!$A$2:$A$200,0))="","",INDEX('Test catalog'!$I$2:$I$200,MATCH($AB132,'Test catalog'!$A$2:$A$200,0))),"")</f>
        <v/>
      </c>
      <c r="O132" s="10">
        <f>IFERROR(IF(INDEX('Test catalog'!$J$2:$J$200,MATCH($AB132,'Test catalog'!$A$2:$A$200,0))="","",INDEX('Test catalog'!$J$2:$J$200,MATCH($AB132,'Test catalog'!$A$2:$A$200,0))),"")</f>
        <v/>
      </c>
      <c r="P132" s="14">
        <f>IF(N132="","",IF(OR(M132="",O132=""),N132,(M132+4*N132+O132)/6))</f>
        <v/>
      </c>
      <c r="Q132" s="10">
        <f>IFERROR(IF(INDEX('Test catalog'!$K$2:$K$200,MATCH($AB132,'Test catalog'!$A$2:$A$200,0))="","",INDEX('Test catalog'!$K$2:$K$200,MATCH($AB132,'Test catalog'!$A$2:$A$200,0))),"")</f>
        <v/>
      </c>
      <c r="R132" s="5" t="n"/>
      <c r="S132" s="10">
        <f>IFERROR(IF(INDEX('Test catalog'!$L$2:$L$200,MATCH($AB132,'Test catalog'!$A$2:$A$200,0))="","",INDEX('Test catalog'!$L$2:$L$200,MATCH($AB132,'Test catalog'!$A$2:$A$200,0))),"")</f>
        <v/>
      </c>
      <c r="T132" s="10">
        <f>IFERROR(IF(INDEX('Test catalog'!$M$2:$M$200,MATCH($AB132,'Test catalog'!$A$2:$A$200,0))="","",INDEX('Test catalog'!$M$2:$M$200,MATCH($AB132,'Test catalog'!$A$2:$A$200,0))),"")</f>
        <v/>
      </c>
      <c r="U132" s="10">
        <f>IFERROR(IF(INDEX('Test catalog'!$N$2:$N$200,MATCH($AB132,'Test catalog'!$A$2:$A$200,0))="","",INDEX('Test catalog'!$N$2:$N$200,MATCH($AB132,'Test catalog'!$A$2:$A$200,0))),"")</f>
        <v/>
      </c>
      <c r="V132" s="15" t="n"/>
      <c r="W132" s="5" t="inlineStr">
        <is>
          <t>N</t>
        </is>
      </c>
      <c r="X132" s="5" t="n"/>
      <c r="Y132" s="5" t="n"/>
      <c r="Z132" s="5" t="n"/>
      <c r="AA132" s="10">
        <f>IFERROR(IF(INDEX('Test catalog'!$O$2:$O$200,MATCH($AB132,'Test catalog'!$A$2:$A$200,0))="","",INDEX('Test catalog'!$O$2:$O$200,MATCH($AB132,'Test catalog'!$A$2:$A$200,0))),"")</f>
        <v/>
      </c>
      <c r="AB132" s="10" t="inlineStr">
        <is>
          <t>LOD</t>
        </is>
      </c>
      <c r="AC132" s="10" t="inlineStr">
        <is>
          <t>Powdered Forskohlii Extract · Specific Tests &lt;731&gt;</t>
        </is>
      </c>
      <c r="AD132" s="10" t="n"/>
      <c r="AE132" s="10" t="n"/>
    </row>
    <row r="133">
      <c r="A133" s="10" t="inlineStr">
        <is>
          <t>Coleus Forskohlii Root Dry Extract 10:1</t>
        </is>
      </c>
      <c r="B133" s="10" t="inlineStr">
        <is>
          <t>RM</t>
        </is>
      </c>
      <c r="C133" s="10" t="inlineStr">
        <is>
          <t>Active</t>
        </is>
      </c>
      <c r="D133" s="10" t="inlineStr">
        <is>
          <t>Articles of Botanical Origin, Test for Aflatoxins (HPLC)</t>
        </is>
      </c>
      <c r="E133" s="10">
        <f>IF(A133="","",A133&amp;"|"&amp;D133)</f>
        <v/>
      </c>
      <c r="F133" s="5" t="inlineStr">
        <is>
          <t>Y</t>
        </is>
      </c>
      <c r="G133" s="5" t="inlineStr">
        <is>
          <t>HPLC</t>
        </is>
      </c>
      <c r="H133" s="5" t="inlineStr">
        <is>
          <t>Medium</t>
        </is>
      </c>
      <c r="I133" s="5" t="n">
        <v>1</v>
      </c>
      <c r="J133" s="5" t="n"/>
      <c r="K133" s="5" t="n"/>
      <c r="L133" s="5" t="n"/>
      <c r="M133" s="5" t="n"/>
      <c r="N133" s="5" t="n"/>
      <c r="O133" s="5" t="n"/>
      <c r="P133" s="14">
        <f>IF(N133="","",IF(OR(M133="",O133=""),N133,(M133+4*N133+O133)/6))</f>
        <v/>
      </c>
      <c r="Q133" s="5" t="n"/>
      <c r="R133" s="5" t="n"/>
      <c r="S133" s="5" t="n"/>
      <c r="T133" s="5" t="n"/>
      <c r="U133" s="5" t="n"/>
      <c r="V133" s="15" t="n"/>
      <c r="W133" s="5" t="inlineStr">
        <is>
          <t>N</t>
        </is>
      </c>
      <c r="X133" s="5" t="n"/>
      <c r="Y133" s="5" t="n"/>
      <c r="Z133" s="5" t="n"/>
      <c r="AA133" s="5" t="n"/>
      <c r="AB133" s="10" t="n"/>
      <c r="AC133" s="10" t="inlineStr">
        <is>
          <t>Powdered Forskohlii Extract · Specific Tests &lt;561&gt;</t>
        </is>
      </c>
      <c r="AD133" s="10" t="n"/>
      <c r="AE133" s="10" t="n"/>
    </row>
    <row r="134">
      <c r="A134" s="10" t="inlineStr">
        <is>
          <t>Copper Gluconate</t>
        </is>
      </c>
      <c r="B134" s="10" t="inlineStr">
        <is>
          <t>RM</t>
        </is>
      </c>
      <c r="C134" s="10" t="inlineStr">
        <is>
          <t>Active</t>
        </is>
      </c>
      <c r="D134" s="10" t="inlineStr">
        <is>
          <t>Appearance / description and solubility</t>
        </is>
      </c>
      <c r="E134" s="10">
        <f>IF(A134="","",A134&amp;"|"&amp;D134)</f>
        <v/>
      </c>
      <c r="F134" s="5" t="inlineStr">
        <is>
          <t>Y</t>
        </is>
      </c>
      <c r="G134" s="5" t="inlineStr">
        <is>
          <t>Other / bench</t>
        </is>
      </c>
      <c r="H134" s="5" t="inlineStr">
        <is>
          <t>Low</t>
        </is>
      </c>
      <c r="I134" s="5" t="n">
        <v>1</v>
      </c>
      <c r="J134" s="5" t="n"/>
      <c r="K134" s="10">
        <f>IFERROR(IF(INDEX('Test catalog'!$F$2:$F$200,MATCH($AB134,'Test catalog'!$A$2:$A$200,0))="","",INDEX('Test catalog'!$F$2:$F$200,MATCH($AB134,'Test catalog'!$A$2:$A$200,0))),"")</f>
        <v/>
      </c>
      <c r="L134" s="10">
        <f>IFERROR(IF(INDEX('Test catalog'!$G$2:$G$200,MATCH($AB134,'Test catalog'!$A$2:$A$200,0))="","",INDEX('Test catalog'!$G$2:$G$200,MATCH($AB134,'Test catalog'!$A$2:$A$200,0))),"")</f>
        <v/>
      </c>
      <c r="M134" s="10">
        <f>IFERROR(IF(INDEX('Test catalog'!$H$2:$H$200,MATCH($AB134,'Test catalog'!$A$2:$A$200,0))="","",INDEX('Test catalog'!$H$2:$H$200,MATCH($AB134,'Test catalog'!$A$2:$A$200,0))),"")</f>
        <v/>
      </c>
      <c r="N134" s="10">
        <f>IFERROR(IF(INDEX('Test catalog'!$I$2:$I$200,MATCH($AB134,'Test catalog'!$A$2:$A$200,0))="","",INDEX('Test catalog'!$I$2:$I$200,MATCH($AB134,'Test catalog'!$A$2:$A$200,0))),"")</f>
        <v/>
      </c>
      <c r="O134" s="10">
        <f>IFERROR(IF(INDEX('Test catalog'!$J$2:$J$200,MATCH($AB134,'Test catalog'!$A$2:$A$200,0))="","",INDEX('Test catalog'!$J$2:$J$200,MATCH($AB134,'Test catalog'!$A$2:$A$200,0))),"")</f>
        <v/>
      </c>
      <c r="P134" s="14">
        <f>IF(N134="","",IF(OR(M134="",O134=""),N134,(M134+4*N134+O134)/6))</f>
        <v/>
      </c>
      <c r="Q134" s="10">
        <f>IFERROR(IF(INDEX('Test catalog'!$K$2:$K$200,MATCH($AB134,'Test catalog'!$A$2:$A$200,0))="","",INDEX('Test catalog'!$K$2:$K$200,MATCH($AB134,'Test catalog'!$A$2:$A$200,0))),"")</f>
        <v/>
      </c>
      <c r="R134" s="5" t="n"/>
      <c r="S134" s="10">
        <f>IFERROR(IF(INDEX('Test catalog'!$L$2:$L$200,MATCH($AB134,'Test catalog'!$A$2:$A$200,0))="","",INDEX('Test catalog'!$L$2:$L$200,MATCH($AB134,'Test catalog'!$A$2:$A$200,0))),"")</f>
        <v/>
      </c>
      <c r="T134" s="10">
        <f>IFERROR(IF(INDEX('Test catalog'!$M$2:$M$200,MATCH($AB134,'Test catalog'!$A$2:$A$200,0))="","",INDEX('Test catalog'!$M$2:$M$200,MATCH($AB134,'Test catalog'!$A$2:$A$200,0))),"")</f>
        <v/>
      </c>
      <c r="U134" s="10">
        <f>IFERROR(IF(INDEX('Test catalog'!$N$2:$N$200,MATCH($AB134,'Test catalog'!$A$2:$A$200,0))="","",INDEX('Test catalog'!$N$2:$N$200,MATCH($AB134,'Test catalog'!$A$2:$A$200,0))),"")</f>
        <v/>
      </c>
      <c r="V134" s="15" t="n"/>
      <c r="W134" s="5" t="inlineStr">
        <is>
          <t>N</t>
        </is>
      </c>
      <c r="X134" s="5" t="n"/>
      <c r="Y134" s="5" t="n"/>
      <c r="Z134" s="5" t="n"/>
      <c r="AA134" s="10">
        <f>IFERROR(IF(INDEX('Test catalog'!$O$2:$O$200,MATCH($AB134,'Test catalog'!$A$2:$A$200,0))="","",INDEX('Test catalog'!$O$2:$O$200,MATCH($AB134,'Test catalog'!$A$2:$A$200,0))),"")</f>
        <v/>
      </c>
      <c r="AB134" s="10" t="inlineStr">
        <is>
          <t>APPEAR</t>
        </is>
      </c>
      <c r="AC134" s="10" t="inlineStr">
        <is>
          <t>Lab practice (not a USP test)</t>
        </is>
      </c>
      <c r="AD134" s="10" t="n"/>
      <c r="AE134" s="10" t="n"/>
    </row>
    <row r="135">
      <c r="A135" s="10" t="inlineStr">
        <is>
          <t>Copper Gluconate</t>
        </is>
      </c>
      <c r="B135" s="10" t="inlineStr">
        <is>
          <t>RM</t>
        </is>
      </c>
      <c r="C135" s="10" t="inlineStr">
        <is>
          <t>Active</t>
        </is>
      </c>
      <c r="D135" s="10" t="inlineStr">
        <is>
          <t>ID B - TLC</t>
        </is>
      </c>
      <c r="E135" s="10">
        <f>IF(A135="","",A135&amp;"|"&amp;D135)</f>
        <v/>
      </c>
      <c r="F135" s="5" t="inlineStr">
        <is>
          <t>Y</t>
        </is>
      </c>
      <c r="G135" s="5" t="inlineStr">
        <is>
          <t>Other / bench</t>
        </is>
      </c>
      <c r="H135" s="5" t="inlineStr">
        <is>
          <t>Low</t>
        </is>
      </c>
      <c r="I135" s="5" t="n">
        <v>1</v>
      </c>
      <c r="J135" s="5" t="n"/>
      <c r="K135" s="10">
        <f>IFERROR(IF(INDEX('Test catalog'!$F$2:$F$200,MATCH($AB135,'Test catalog'!$A$2:$A$200,0))="","",INDEX('Test catalog'!$F$2:$F$200,MATCH($AB135,'Test catalog'!$A$2:$A$200,0))),"")</f>
        <v/>
      </c>
      <c r="L135" s="10">
        <f>IFERROR(IF(INDEX('Test catalog'!$G$2:$G$200,MATCH($AB135,'Test catalog'!$A$2:$A$200,0))="","",INDEX('Test catalog'!$G$2:$G$200,MATCH($AB135,'Test catalog'!$A$2:$A$200,0))),"")</f>
        <v/>
      </c>
      <c r="M135" s="10">
        <f>IFERROR(IF(INDEX('Test catalog'!$H$2:$H$200,MATCH($AB135,'Test catalog'!$A$2:$A$200,0))="","",INDEX('Test catalog'!$H$2:$H$200,MATCH($AB135,'Test catalog'!$A$2:$A$200,0))),"")</f>
        <v/>
      </c>
      <c r="N135" s="10">
        <f>IFERROR(IF(INDEX('Test catalog'!$I$2:$I$200,MATCH($AB135,'Test catalog'!$A$2:$A$200,0))="","",INDEX('Test catalog'!$I$2:$I$200,MATCH($AB135,'Test catalog'!$A$2:$A$200,0))),"")</f>
        <v/>
      </c>
      <c r="O135" s="10">
        <f>IFERROR(IF(INDEX('Test catalog'!$J$2:$J$200,MATCH($AB135,'Test catalog'!$A$2:$A$200,0))="","",INDEX('Test catalog'!$J$2:$J$200,MATCH($AB135,'Test catalog'!$A$2:$A$200,0))),"")</f>
        <v/>
      </c>
      <c r="P135" s="14">
        <f>IF(N135="","",IF(OR(M135="",O135=""),N135,(M135+4*N135+O135)/6))</f>
        <v/>
      </c>
      <c r="Q135" s="10">
        <f>IFERROR(IF(INDEX('Test catalog'!$K$2:$K$200,MATCH($AB135,'Test catalog'!$A$2:$A$200,0))="","",INDEX('Test catalog'!$K$2:$K$200,MATCH($AB135,'Test catalog'!$A$2:$A$200,0))),"")</f>
        <v/>
      </c>
      <c r="R135" s="5" t="n"/>
      <c r="S135" s="10">
        <f>IFERROR(IF(INDEX('Test catalog'!$L$2:$L$200,MATCH($AB135,'Test catalog'!$A$2:$A$200,0))="","",INDEX('Test catalog'!$L$2:$L$200,MATCH($AB135,'Test catalog'!$A$2:$A$200,0))),"")</f>
        <v/>
      </c>
      <c r="T135" s="10">
        <f>IFERROR(IF(INDEX('Test catalog'!$M$2:$M$200,MATCH($AB135,'Test catalog'!$A$2:$A$200,0))="","",INDEX('Test catalog'!$M$2:$M$200,MATCH($AB135,'Test catalog'!$A$2:$A$200,0))),"")</f>
        <v/>
      </c>
      <c r="U135" s="10">
        <f>IFERROR(IF(INDEX('Test catalog'!$N$2:$N$200,MATCH($AB135,'Test catalog'!$A$2:$A$200,0))="","",INDEX('Test catalog'!$N$2:$N$200,MATCH($AB135,'Test catalog'!$A$2:$A$200,0))),"")</f>
        <v/>
      </c>
      <c r="V135" s="15" t="n"/>
      <c r="W135" s="5" t="inlineStr">
        <is>
          <t>N</t>
        </is>
      </c>
      <c r="X135" s="5" t="n"/>
      <c r="Y135" s="5" t="n"/>
      <c r="Z135" s="5" t="n"/>
      <c r="AA135" s="10">
        <f>IFERROR(IF(INDEX('Test catalog'!$O$2:$O$200,MATCH($AB135,'Test catalog'!$A$2:$A$200,0))="","",INDEX('Test catalog'!$O$2:$O$200,MATCH($AB135,'Test catalog'!$A$2:$A$200,0))),"")</f>
        <v/>
      </c>
      <c r="AB135" s="10" t="inlineStr">
        <is>
          <t>TLC</t>
        </is>
      </c>
      <c r="AC135" s="10" t="inlineStr">
        <is>
          <t>Copper Gluconate · Identification</t>
        </is>
      </c>
      <c r="AD135" s="10" t="n"/>
      <c r="AE135" s="10" t="n"/>
    </row>
    <row r="136">
      <c r="A136" s="10" t="inlineStr">
        <is>
          <t>Copper Gluconate</t>
        </is>
      </c>
      <c r="B136" s="10" t="inlineStr">
        <is>
          <t>RM</t>
        </is>
      </c>
      <c r="C136" s="10" t="inlineStr">
        <is>
          <t>Active</t>
        </is>
      </c>
      <c r="D136" s="10" t="inlineStr">
        <is>
          <t>ID A - chemical reaction</t>
        </is>
      </c>
      <c r="E136" s="10">
        <f>IF(A136="","",A136&amp;"|"&amp;D136)</f>
        <v/>
      </c>
      <c r="F136" s="5" t="inlineStr">
        <is>
          <t>Y</t>
        </is>
      </c>
      <c r="G136" s="5" t="inlineStr">
        <is>
          <t>Other / bench</t>
        </is>
      </c>
      <c r="H136" s="5" t="inlineStr">
        <is>
          <t>Low</t>
        </is>
      </c>
      <c r="I136" s="5" t="n">
        <v>1</v>
      </c>
      <c r="J136" s="5" t="n"/>
      <c r="K136" s="10">
        <f>IFERROR(IF(INDEX('Test catalog'!$F$2:$F$200,MATCH($AB136,'Test catalog'!$A$2:$A$200,0))="","",INDEX('Test catalog'!$F$2:$F$200,MATCH($AB136,'Test catalog'!$A$2:$A$200,0))),"")</f>
        <v/>
      </c>
      <c r="L136" s="10">
        <f>IFERROR(IF(INDEX('Test catalog'!$G$2:$G$200,MATCH($AB136,'Test catalog'!$A$2:$A$200,0))="","",INDEX('Test catalog'!$G$2:$G$200,MATCH($AB136,'Test catalog'!$A$2:$A$200,0))),"")</f>
        <v/>
      </c>
      <c r="M136" s="10">
        <f>IFERROR(IF(INDEX('Test catalog'!$H$2:$H$200,MATCH($AB136,'Test catalog'!$A$2:$A$200,0))="","",INDEX('Test catalog'!$H$2:$H$200,MATCH($AB136,'Test catalog'!$A$2:$A$200,0))),"")</f>
        <v/>
      </c>
      <c r="N136" s="10">
        <f>IFERROR(IF(INDEX('Test catalog'!$I$2:$I$200,MATCH($AB136,'Test catalog'!$A$2:$A$200,0))="","",INDEX('Test catalog'!$I$2:$I$200,MATCH($AB136,'Test catalog'!$A$2:$A$200,0))),"")</f>
        <v/>
      </c>
      <c r="O136" s="10">
        <f>IFERROR(IF(INDEX('Test catalog'!$J$2:$J$200,MATCH($AB136,'Test catalog'!$A$2:$A$200,0))="","",INDEX('Test catalog'!$J$2:$J$200,MATCH($AB136,'Test catalog'!$A$2:$A$200,0))),"")</f>
        <v/>
      </c>
      <c r="P136" s="14">
        <f>IF(N136="","",IF(OR(M136="",O136=""),N136,(M136+4*N136+O136)/6))</f>
        <v/>
      </c>
      <c r="Q136" s="10">
        <f>IFERROR(IF(INDEX('Test catalog'!$K$2:$K$200,MATCH($AB136,'Test catalog'!$A$2:$A$200,0))="","",INDEX('Test catalog'!$K$2:$K$200,MATCH($AB136,'Test catalog'!$A$2:$A$200,0))),"")</f>
        <v/>
      </c>
      <c r="R136" s="5" t="n"/>
      <c r="S136" s="10">
        <f>IFERROR(IF(INDEX('Test catalog'!$L$2:$L$200,MATCH($AB136,'Test catalog'!$A$2:$A$200,0))="","",INDEX('Test catalog'!$L$2:$L$200,MATCH($AB136,'Test catalog'!$A$2:$A$200,0))),"")</f>
        <v/>
      </c>
      <c r="T136" s="10">
        <f>IFERROR(IF(INDEX('Test catalog'!$M$2:$M$200,MATCH($AB136,'Test catalog'!$A$2:$A$200,0))="","",INDEX('Test catalog'!$M$2:$M$200,MATCH($AB136,'Test catalog'!$A$2:$A$200,0))),"")</f>
        <v/>
      </c>
      <c r="U136" s="10">
        <f>IFERROR(IF(INDEX('Test catalog'!$N$2:$N$200,MATCH($AB136,'Test catalog'!$A$2:$A$200,0))="","",INDEX('Test catalog'!$N$2:$N$200,MATCH($AB136,'Test catalog'!$A$2:$A$200,0))),"")</f>
        <v/>
      </c>
      <c r="V136" s="15" t="n"/>
      <c r="W136" s="5" t="inlineStr">
        <is>
          <t>N</t>
        </is>
      </c>
      <c r="X136" s="5" t="n"/>
      <c r="Y136" s="5" t="n"/>
      <c r="Z136" s="5" t="n"/>
      <c r="AA136" s="10">
        <f>IFERROR(IF(INDEX('Test catalog'!$O$2:$O$200,MATCH($AB136,'Test catalog'!$A$2:$A$200,0))="","",INDEX('Test catalog'!$O$2:$O$200,MATCH($AB136,'Test catalog'!$A$2:$A$200,0))),"")</f>
        <v/>
      </c>
      <c r="AB136" s="10" t="inlineStr">
        <is>
          <t>ID_CHEM</t>
        </is>
      </c>
      <c r="AC136" s="10" t="inlineStr">
        <is>
          <t>Copper Gluconate · Identification &lt;191,621&gt;</t>
        </is>
      </c>
      <c r="AD136" s="10" t="n"/>
      <c r="AE136" s="10" t="n"/>
    </row>
    <row r="137">
      <c r="A137" s="10" t="inlineStr">
        <is>
          <t>Copper Gluconate</t>
        </is>
      </c>
      <c r="B137" s="10" t="inlineStr">
        <is>
          <t>RM</t>
        </is>
      </c>
      <c r="C137" s="10" t="inlineStr">
        <is>
          <t>Active</t>
        </is>
      </c>
      <c r="D137" s="10" t="inlineStr">
        <is>
          <t>Assay</t>
        </is>
      </c>
      <c r="E137" s="10">
        <f>IF(A137="","",A137&amp;"|"&amp;D137)</f>
        <v/>
      </c>
      <c r="F137" s="5" t="inlineStr">
        <is>
          <t>Y</t>
        </is>
      </c>
      <c r="G137" s="5" t="inlineStr">
        <is>
          <t>Other / bench</t>
        </is>
      </c>
      <c r="H137" s="5" t="inlineStr">
        <is>
          <t>Low</t>
        </is>
      </c>
      <c r="I137" s="5" t="n">
        <v>1</v>
      </c>
      <c r="J137" s="5" t="n"/>
      <c r="K137" s="10">
        <f>IFERROR(IF(INDEX('Test catalog'!$F$2:$F$200,MATCH($AB137,'Test catalog'!$A$2:$A$200,0))="","",INDEX('Test catalog'!$F$2:$F$200,MATCH($AB137,'Test catalog'!$A$2:$A$200,0))),"")</f>
        <v/>
      </c>
      <c r="L137" s="10">
        <f>IFERROR(IF(INDEX('Test catalog'!$G$2:$G$200,MATCH($AB137,'Test catalog'!$A$2:$A$200,0))="","",INDEX('Test catalog'!$G$2:$G$200,MATCH($AB137,'Test catalog'!$A$2:$A$200,0))),"")</f>
        <v/>
      </c>
      <c r="M137" s="10">
        <f>IFERROR(IF(INDEX('Test catalog'!$H$2:$H$200,MATCH($AB137,'Test catalog'!$A$2:$A$200,0))="","",INDEX('Test catalog'!$H$2:$H$200,MATCH($AB137,'Test catalog'!$A$2:$A$200,0))),"")</f>
        <v/>
      </c>
      <c r="N137" s="10">
        <f>IFERROR(IF(INDEX('Test catalog'!$I$2:$I$200,MATCH($AB137,'Test catalog'!$A$2:$A$200,0))="","",INDEX('Test catalog'!$I$2:$I$200,MATCH($AB137,'Test catalog'!$A$2:$A$200,0))),"")</f>
        <v/>
      </c>
      <c r="O137" s="10">
        <f>IFERROR(IF(INDEX('Test catalog'!$J$2:$J$200,MATCH($AB137,'Test catalog'!$A$2:$A$200,0))="","",INDEX('Test catalog'!$J$2:$J$200,MATCH($AB137,'Test catalog'!$A$2:$A$200,0))),"")</f>
        <v/>
      </c>
      <c r="P137" s="14">
        <f>IF(N137="","",IF(OR(M137="",O137=""),N137,(M137+4*N137+O137)/6))</f>
        <v/>
      </c>
      <c r="Q137" s="10">
        <f>IFERROR(IF(INDEX('Test catalog'!$K$2:$K$200,MATCH($AB137,'Test catalog'!$A$2:$A$200,0))="","",INDEX('Test catalog'!$K$2:$K$200,MATCH($AB137,'Test catalog'!$A$2:$A$200,0))),"")</f>
        <v/>
      </c>
      <c r="R137" s="5" t="n"/>
      <c r="S137" s="10">
        <f>IFERROR(IF(INDEX('Test catalog'!$L$2:$L$200,MATCH($AB137,'Test catalog'!$A$2:$A$200,0))="","",INDEX('Test catalog'!$L$2:$L$200,MATCH($AB137,'Test catalog'!$A$2:$A$200,0))),"")</f>
        <v/>
      </c>
      <c r="T137" s="10">
        <f>IFERROR(IF(INDEX('Test catalog'!$M$2:$M$200,MATCH($AB137,'Test catalog'!$A$2:$A$200,0))="","",INDEX('Test catalog'!$M$2:$M$200,MATCH($AB137,'Test catalog'!$A$2:$A$200,0))),"")</f>
        <v/>
      </c>
      <c r="U137" s="10">
        <f>IFERROR(IF(INDEX('Test catalog'!$N$2:$N$200,MATCH($AB137,'Test catalog'!$A$2:$A$200,0))="","",INDEX('Test catalog'!$N$2:$N$200,MATCH($AB137,'Test catalog'!$A$2:$A$200,0))),"")</f>
        <v/>
      </c>
      <c r="V137" s="15" t="n"/>
      <c r="W137" s="5" t="inlineStr">
        <is>
          <t>N</t>
        </is>
      </c>
      <c r="X137" s="5" t="n"/>
      <c r="Y137" s="5" t="n"/>
      <c r="Z137" s="5" t="n"/>
      <c r="AA137" s="10">
        <f>IFERROR(IF(INDEX('Test catalog'!$O$2:$O$200,MATCH($AB137,'Test catalog'!$A$2:$A$200,0))="","",INDEX('Test catalog'!$O$2:$O$200,MATCH($AB137,'Test catalog'!$A$2:$A$200,0))),"")</f>
        <v/>
      </c>
      <c r="AB137" s="10" t="inlineStr">
        <is>
          <t>TITR</t>
        </is>
      </c>
      <c r="AC137" s="10" t="inlineStr">
        <is>
          <t>Copper Gluconate · Assay &lt;541&gt;</t>
        </is>
      </c>
      <c r="AD137" s="10" t="n"/>
      <c r="AE137" s="10" t="n"/>
    </row>
    <row r="138">
      <c r="A138" s="10" t="inlineStr">
        <is>
          <t>Copper Gluconate</t>
        </is>
      </c>
      <c r="B138" s="10" t="inlineStr">
        <is>
          <t>RM</t>
        </is>
      </c>
      <c r="C138" s="10" t="inlineStr">
        <is>
          <t>Active</t>
        </is>
      </c>
      <c r="D138" s="10" t="inlineStr">
        <is>
          <t>Chloride and Sulfate</t>
        </is>
      </c>
      <c r="E138" s="10">
        <f>IF(A138="","",A138&amp;"|"&amp;D138)</f>
        <v/>
      </c>
      <c r="F138" s="5" t="inlineStr">
        <is>
          <t>Y</t>
        </is>
      </c>
      <c r="G138" s="5" t="inlineStr">
        <is>
          <t>Other / bench</t>
        </is>
      </c>
      <c r="H138" s="5" t="inlineStr">
        <is>
          <t>Low</t>
        </is>
      </c>
      <c r="I138" s="5" t="n">
        <v>1</v>
      </c>
      <c r="J138" s="5" t="n"/>
      <c r="K138" s="10">
        <f>IFERROR(IF(INDEX('Test catalog'!$F$2:$F$200,MATCH($AB138,'Test catalog'!$A$2:$A$200,0))="","",INDEX('Test catalog'!$F$2:$F$200,MATCH($AB138,'Test catalog'!$A$2:$A$200,0))),"")</f>
        <v/>
      </c>
      <c r="L138" s="10">
        <f>IFERROR(IF(INDEX('Test catalog'!$G$2:$G$200,MATCH($AB138,'Test catalog'!$A$2:$A$200,0))="","",INDEX('Test catalog'!$G$2:$G$200,MATCH($AB138,'Test catalog'!$A$2:$A$200,0))),"")</f>
        <v/>
      </c>
      <c r="M138" s="10">
        <f>IFERROR(IF(INDEX('Test catalog'!$H$2:$H$200,MATCH($AB138,'Test catalog'!$A$2:$A$200,0))="","",INDEX('Test catalog'!$H$2:$H$200,MATCH($AB138,'Test catalog'!$A$2:$A$200,0))),"")</f>
        <v/>
      </c>
      <c r="N138" s="10">
        <f>IFERROR(IF(INDEX('Test catalog'!$I$2:$I$200,MATCH($AB138,'Test catalog'!$A$2:$A$200,0))="","",INDEX('Test catalog'!$I$2:$I$200,MATCH($AB138,'Test catalog'!$A$2:$A$200,0))),"")</f>
        <v/>
      </c>
      <c r="O138" s="10">
        <f>IFERROR(IF(INDEX('Test catalog'!$J$2:$J$200,MATCH($AB138,'Test catalog'!$A$2:$A$200,0))="","",INDEX('Test catalog'!$J$2:$J$200,MATCH($AB138,'Test catalog'!$A$2:$A$200,0))),"")</f>
        <v/>
      </c>
      <c r="P138" s="14">
        <f>IF(N138="","",IF(OR(M138="",O138=""),N138,(M138+4*N138+O138)/6))</f>
        <v/>
      </c>
      <c r="Q138" s="10">
        <f>IFERROR(IF(INDEX('Test catalog'!$K$2:$K$200,MATCH($AB138,'Test catalog'!$A$2:$A$200,0))="","",INDEX('Test catalog'!$K$2:$K$200,MATCH($AB138,'Test catalog'!$A$2:$A$200,0))),"")</f>
        <v/>
      </c>
      <c r="R138" s="5" t="n"/>
      <c r="S138" s="10">
        <f>IFERROR(IF(INDEX('Test catalog'!$L$2:$L$200,MATCH($AB138,'Test catalog'!$A$2:$A$200,0))="","",INDEX('Test catalog'!$L$2:$L$200,MATCH($AB138,'Test catalog'!$A$2:$A$200,0))),"")</f>
        <v/>
      </c>
      <c r="T138" s="10">
        <f>IFERROR(IF(INDEX('Test catalog'!$M$2:$M$200,MATCH($AB138,'Test catalog'!$A$2:$A$200,0))="","",INDEX('Test catalog'!$M$2:$M$200,MATCH($AB138,'Test catalog'!$A$2:$A$200,0))),"")</f>
        <v/>
      </c>
      <c r="U138" s="10">
        <f>IFERROR(IF(INDEX('Test catalog'!$N$2:$N$200,MATCH($AB138,'Test catalog'!$A$2:$A$200,0))="","",INDEX('Test catalog'!$N$2:$N$200,MATCH($AB138,'Test catalog'!$A$2:$A$200,0))),"")</f>
        <v/>
      </c>
      <c r="V138" s="15" t="n"/>
      <c r="W138" s="5" t="inlineStr">
        <is>
          <t>N</t>
        </is>
      </c>
      <c r="X138" s="5" t="n"/>
      <c r="Y138" s="5" t="n"/>
      <c r="Z138" s="5" t="n"/>
      <c r="AA138" s="10">
        <f>IFERROR(IF(INDEX('Test catalog'!$O$2:$O$200,MATCH($AB138,'Test catalog'!$A$2:$A$200,0))="","",INDEX('Test catalog'!$O$2:$O$200,MATCH($AB138,'Test catalog'!$A$2:$A$200,0))),"")</f>
        <v/>
      </c>
      <c r="AB138" s="10" t="inlineStr">
        <is>
          <t>LIMIT</t>
        </is>
      </c>
      <c r="AC138" s="10" t="inlineStr">
        <is>
          <t>Copper Gluconate · Impurities &lt;221&gt;</t>
        </is>
      </c>
      <c r="AD138" s="10" t="n"/>
      <c r="AE138" s="10" t="n"/>
    </row>
    <row r="139">
      <c r="A139" s="10" t="inlineStr">
        <is>
          <t>Copper Gluconate</t>
        </is>
      </c>
      <c r="B139" s="10" t="inlineStr">
        <is>
          <t>RM</t>
        </is>
      </c>
      <c r="C139" s="10" t="inlineStr">
        <is>
          <t>Active</t>
        </is>
      </c>
      <c r="D139" s="10" t="inlineStr">
        <is>
          <t>Arsenic</t>
        </is>
      </c>
      <c r="E139" s="10">
        <f>IF(A139="","",A139&amp;"|"&amp;D139)</f>
        <v/>
      </c>
      <c r="F139" s="5" t="inlineStr">
        <is>
          <t>Y</t>
        </is>
      </c>
      <c r="G139" s="5" t="inlineStr">
        <is>
          <t>Other / bench</t>
        </is>
      </c>
      <c r="H139" s="5" t="inlineStr">
        <is>
          <t>Low</t>
        </is>
      </c>
      <c r="I139" s="5" t="n">
        <v>1</v>
      </c>
      <c r="J139" s="5" t="n"/>
      <c r="K139" s="10">
        <f>IFERROR(IF(INDEX('Test catalog'!$F$2:$F$200,MATCH($AB139,'Test catalog'!$A$2:$A$200,0))="","",INDEX('Test catalog'!$F$2:$F$200,MATCH($AB139,'Test catalog'!$A$2:$A$200,0))),"")</f>
        <v/>
      </c>
      <c r="L139" s="10">
        <f>IFERROR(IF(INDEX('Test catalog'!$G$2:$G$200,MATCH($AB139,'Test catalog'!$A$2:$A$200,0))="","",INDEX('Test catalog'!$G$2:$G$200,MATCH($AB139,'Test catalog'!$A$2:$A$200,0))),"")</f>
        <v/>
      </c>
      <c r="M139" s="10">
        <f>IFERROR(IF(INDEX('Test catalog'!$H$2:$H$200,MATCH($AB139,'Test catalog'!$A$2:$A$200,0))="","",INDEX('Test catalog'!$H$2:$H$200,MATCH($AB139,'Test catalog'!$A$2:$A$200,0))),"")</f>
        <v/>
      </c>
      <c r="N139" s="10">
        <f>IFERROR(IF(INDEX('Test catalog'!$I$2:$I$200,MATCH($AB139,'Test catalog'!$A$2:$A$200,0))="","",INDEX('Test catalog'!$I$2:$I$200,MATCH($AB139,'Test catalog'!$A$2:$A$200,0))),"")</f>
        <v/>
      </c>
      <c r="O139" s="10">
        <f>IFERROR(IF(INDEX('Test catalog'!$J$2:$J$200,MATCH($AB139,'Test catalog'!$A$2:$A$200,0))="","",INDEX('Test catalog'!$J$2:$J$200,MATCH($AB139,'Test catalog'!$A$2:$A$200,0))),"")</f>
        <v/>
      </c>
      <c r="P139" s="14">
        <f>IF(N139="","",IF(OR(M139="",O139=""),N139,(M139+4*N139+O139)/6))</f>
        <v/>
      </c>
      <c r="Q139" s="10">
        <f>IFERROR(IF(INDEX('Test catalog'!$K$2:$K$200,MATCH($AB139,'Test catalog'!$A$2:$A$200,0))="","",INDEX('Test catalog'!$K$2:$K$200,MATCH($AB139,'Test catalog'!$A$2:$A$200,0))),"")</f>
        <v/>
      </c>
      <c r="R139" s="5" t="n"/>
      <c r="S139" s="10">
        <f>IFERROR(IF(INDEX('Test catalog'!$L$2:$L$200,MATCH($AB139,'Test catalog'!$A$2:$A$200,0))="","",INDEX('Test catalog'!$L$2:$L$200,MATCH($AB139,'Test catalog'!$A$2:$A$200,0))),"")</f>
        <v/>
      </c>
      <c r="T139" s="10">
        <f>IFERROR(IF(INDEX('Test catalog'!$M$2:$M$200,MATCH($AB139,'Test catalog'!$A$2:$A$200,0))="","",INDEX('Test catalog'!$M$2:$M$200,MATCH($AB139,'Test catalog'!$A$2:$A$200,0))),"")</f>
        <v/>
      </c>
      <c r="U139" s="10">
        <f>IFERROR(IF(INDEX('Test catalog'!$N$2:$N$200,MATCH($AB139,'Test catalog'!$A$2:$A$200,0))="","",INDEX('Test catalog'!$N$2:$N$200,MATCH($AB139,'Test catalog'!$A$2:$A$200,0))),"")</f>
        <v/>
      </c>
      <c r="V139" s="15" t="n"/>
      <c r="W139" s="5" t="inlineStr">
        <is>
          <t>N</t>
        </is>
      </c>
      <c r="X139" s="5" t="n"/>
      <c r="Y139" s="5" t="n"/>
      <c r="Z139" s="5" t="n"/>
      <c r="AA139" s="10">
        <f>IFERROR(IF(INDEX('Test catalog'!$O$2:$O$200,MATCH($AB139,'Test catalog'!$A$2:$A$200,0))="","",INDEX('Test catalog'!$O$2:$O$200,MATCH($AB139,'Test catalog'!$A$2:$A$200,0))),"")</f>
        <v/>
      </c>
      <c r="AB139" s="10" t="inlineStr">
        <is>
          <t>LIM_TOX</t>
        </is>
      </c>
      <c r="AC139" s="10" t="inlineStr">
        <is>
          <t>Copper Gluconate · Impurities &lt;211&gt;</t>
        </is>
      </c>
      <c r="AD139" s="10" t="n"/>
      <c r="AE139" s="10" t="n"/>
    </row>
    <row r="140">
      <c r="A140" s="10" t="inlineStr">
        <is>
          <t>Copper Gluconate</t>
        </is>
      </c>
      <c r="B140" s="10" t="inlineStr">
        <is>
          <t>RM</t>
        </is>
      </c>
      <c r="C140" s="10" t="inlineStr">
        <is>
          <t>Active</t>
        </is>
      </c>
      <c r="D140" s="10" t="inlineStr">
        <is>
          <t>Limit of Lead</t>
        </is>
      </c>
      <c r="E140" s="10">
        <f>IF(A140="","",A140&amp;"|"&amp;D140)</f>
        <v/>
      </c>
      <c r="F140" s="5" t="inlineStr">
        <is>
          <t>Y</t>
        </is>
      </c>
      <c r="G140" s="5" t="inlineStr">
        <is>
          <t>AAS / ICP</t>
        </is>
      </c>
      <c r="H140" s="5" t="inlineStr">
        <is>
          <t>Low</t>
        </is>
      </c>
      <c r="I140" s="5" t="n">
        <v>1</v>
      </c>
      <c r="J140" s="5" t="n"/>
      <c r="K140" s="10">
        <f>IFERROR(IF(INDEX('Test catalog'!$F$2:$F$200,MATCH($AB140,'Test catalog'!$A$2:$A$200,0))="","",INDEX('Test catalog'!$F$2:$F$200,MATCH($AB140,'Test catalog'!$A$2:$A$200,0))),"")</f>
        <v/>
      </c>
      <c r="L140" s="10">
        <f>IFERROR(IF(INDEX('Test catalog'!$G$2:$G$200,MATCH($AB140,'Test catalog'!$A$2:$A$200,0))="","",INDEX('Test catalog'!$G$2:$G$200,MATCH($AB140,'Test catalog'!$A$2:$A$200,0))),"")</f>
        <v/>
      </c>
      <c r="M140" s="10">
        <f>IFERROR(IF(INDEX('Test catalog'!$H$2:$H$200,MATCH($AB140,'Test catalog'!$A$2:$A$200,0))="","",INDEX('Test catalog'!$H$2:$H$200,MATCH($AB140,'Test catalog'!$A$2:$A$200,0))),"")</f>
        <v/>
      </c>
      <c r="N140" s="10">
        <f>IFERROR(IF(INDEX('Test catalog'!$I$2:$I$200,MATCH($AB140,'Test catalog'!$A$2:$A$200,0))="","",INDEX('Test catalog'!$I$2:$I$200,MATCH($AB140,'Test catalog'!$A$2:$A$200,0))),"")</f>
        <v/>
      </c>
      <c r="O140" s="10">
        <f>IFERROR(IF(INDEX('Test catalog'!$J$2:$J$200,MATCH($AB140,'Test catalog'!$A$2:$A$200,0))="","",INDEX('Test catalog'!$J$2:$J$200,MATCH($AB140,'Test catalog'!$A$2:$A$200,0))),"")</f>
        <v/>
      </c>
      <c r="P140" s="14">
        <f>IF(N140="","",IF(OR(M140="",O140=""),N140,(M140+4*N140+O140)/6))</f>
        <v/>
      </c>
      <c r="Q140" s="10">
        <f>IFERROR(IF(INDEX('Test catalog'!$K$2:$K$200,MATCH($AB140,'Test catalog'!$A$2:$A$200,0))="","",INDEX('Test catalog'!$K$2:$K$200,MATCH($AB140,'Test catalog'!$A$2:$A$200,0))),"")</f>
        <v/>
      </c>
      <c r="R140" s="5" t="n"/>
      <c r="S140" s="10">
        <f>IFERROR(IF(INDEX('Test catalog'!$L$2:$L$200,MATCH($AB140,'Test catalog'!$A$2:$A$200,0))="","",INDEX('Test catalog'!$L$2:$L$200,MATCH($AB140,'Test catalog'!$A$2:$A$200,0))),"")</f>
        <v/>
      </c>
      <c r="T140" s="10">
        <f>IFERROR(IF(INDEX('Test catalog'!$M$2:$M$200,MATCH($AB140,'Test catalog'!$A$2:$A$200,0))="","",INDEX('Test catalog'!$M$2:$M$200,MATCH($AB140,'Test catalog'!$A$2:$A$200,0))),"")</f>
        <v/>
      </c>
      <c r="U140" s="10">
        <f>IFERROR(IF(INDEX('Test catalog'!$N$2:$N$200,MATCH($AB140,'Test catalog'!$A$2:$A$200,0))="","",INDEX('Test catalog'!$N$2:$N$200,MATCH($AB140,'Test catalog'!$A$2:$A$200,0))),"")</f>
        <v/>
      </c>
      <c r="V140" s="15" t="n"/>
      <c r="W140" s="5" t="inlineStr">
        <is>
          <t>N</t>
        </is>
      </c>
      <c r="X140" s="5" t="n"/>
      <c r="Y140" s="5" t="n"/>
      <c r="Z140" s="5" t="n"/>
      <c r="AA140" s="10">
        <f>IFERROR(IF(INDEX('Test catalog'!$O$2:$O$200,MATCH($AB140,'Test catalog'!$A$2:$A$200,0))="","",INDEX('Test catalog'!$O$2:$O$200,MATCH($AB140,'Test catalog'!$A$2:$A$200,0))),"")</f>
        <v/>
      </c>
      <c r="AB140" s="10" t="inlineStr">
        <is>
          <t>AAS</t>
        </is>
      </c>
      <c r="AC140" s="10" t="inlineStr">
        <is>
          <t>Copper Gluconate · Impurities</t>
        </is>
      </c>
      <c r="AD140" s="10" t="n"/>
      <c r="AE140" s="10" t="n"/>
    </row>
    <row r="141">
      <c r="A141" s="10" t="inlineStr">
        <is>
          <t>Copper Gluconate</t>
        </is>
      </c>
      <c r="B141" s="10" t="inlineStr">
        <is>
          <t>RM</t>
        </is>
      </c>
      <c r="C141" s="10" t="inlineStr">
        <is>
          <t>Active</t>
        </is>
      </c>
      <c r="D141" s="10" t="inlineStr">
        <is>
          <t>Reducing Substances</t>
        </is>
      </c>
      <c r="E141" s="10">
        <f>IF(A141="","",A141&amp;"|"&amp;D141)</f>
        <v/>
      </c>
      <c r="F141" s="5" t="inlineStr">
        <is>
          <t>Y</t>
        </is>
      </c>
      <c r="G141" s="5" t="inlineStr">
        <is>
          <t>Other / bench</t>
        </is>
      </c>
      <c r="H141" s="5" t="inlineStr">
        <is>
          <t>Low</t>
        </is>
      </c>
      <c r="I141" s="5" t="n">
        <v>1</v>
      </c>
      <c r="J141" s="5" t="n"/>
      <c r="K141" s="10">
        <f>IFERROR(IF(INDEX('Test catalog'!$F$2:$F$200,MATCH($AB141,'Test catalog'!$A$2:$A$200,0))="","",INDEX('Test catalog'!$F$2:$F$200,MATCH($AB141,'Test catalog'!$A$2:$A$200,0))),"")</f>
        <v/>
      </c>
      <c r="L141" s="10">
        <f>IFERROR(IF(INDEX('Test catalog'!$G$2:$G$200,MATCH($AB141,'Test catalog'!$A$2:$A$200,0))="","",INDEX('Test catalog'!$G$2:$G$200,MATCH($AB141,'Test catalog'!$A$2:$A$200,0))),"")</f>
        <v/>
      </c>
      <c r="M141" s="10">
        <f>IFERROR(IF(INDEX('Test catalog'!$H$2:$H$200,MATCH($AB141,'Test catalog'!$A$2:$A$200,0))="","",INDEX('Test catalog'!$H$2:$H$200,MATCH($AB141,'Test catalog'!$A$2:$A$200,0))),"")</f>
        <v/>
      </c>
      <c r="N141" s="10">
        <f>IFERROR(IF(INDEX('Test catalog'!$I$2:$I$200,MATCH($AB141,'Test catalog'!$A$2:$A$200,0))="","",INDEX('Test catalog'!$I$2:$I$200,MATCH($AB141,'Test catalog'!$A$2:$A$200,0))),"")</f>
        <v/>
      </c>
      <c r="O141" s="10">
        <f>IFERROR(IF(INDEX('Test catalog'!$J$2:$J$200,MATCH($AB141,'Test catalog'!$A$2:$A$200,0))="","",INDEX('Test catalog'!$J$2:$J$200,MATCH($AB141,'Test catalog'!$A$2:$A$200,0))),"")</f>
        <v/>
      </c>
      <c r="P141" s="14">
        <f>IF(N141="","",IF(OR(M141="",O141=""),N141,(M141+4*N141+O141)/6))</f>
        <v/>
      </c>
      <c r="Q141" s="10">
        <f>IFERROR(IF(INDEX('Test catalog'!$K$2:$K$200,MATCH($AB141,'Test catalog'!$A$2:$A$200,0))="","",INDEX('Test catalog'!$K$2:$K$200,MATCH($AB141,'Test catalog'!$A$2:$A$200,0))),"")</f>
        <v/>
      </c>
      <c r="R141" s="5" t="n"/>
      <c r="S141" s="10">
        <f>IFERROR(IF(INDEX('Test catalog'!$L$2:$L$200,MATCH($AB141,'Test catalog'!$A$2:$A$200,0))="","",INDEX('Test catalog'!$L$2:$L$200,MATCH($AB141,'Test catalog'!$A$2:$A$200,0))),"")</f>
        <v/>
      </c>
      <c r="T141" s="10">
        <f>IFERROR(IF(INDEX('Test catalog'!$M$2:$M$200,MATCH($AB141,'Test catalog'!$A$2:$A$200,0))="","",INDEX('Test catalog'!$M$2:$M$200,MATCH($AB141,'Test catalog'!$A$2:$A$200,0))),"")</f>
        <v/>
      </c>
      <c r="U141" s="10">
        <f>IFERROR(IF(INDEX('Test catalog'!$N$2:$N$200,MATCH($AB141,'Test catalog'!$A$2:$A$200,0))="","",INDEX('Test catalog'!$N$2:$N$200,MATCH($AB141,'Test catalog'!$A$2:$A$200,0))),"")</f>
        <v/>
      </c>
      <c r="V141" s="15" t="n"/>
      <c r="W141" s="5" t="inlineStr">
        <is>
          <t>N</t>
        </is>
      </c>
      <c r="X141" s="5" t="n"/>
      <c r="Y141" s="5" t="n"/>
      <c r="Z141" s="5" t="n"/>
      <c r="AA141" s="10">
        <f>IFERROR(IF(INDEX('Test catalog'!$O$2:$O$200,MATCH($AB141,'Test catalog'!$A$2:$A$200,0))="","",INDEX('Test catalog'!$O$2:$O$200,MATCH($AB141,'Test catalog'!$A$2:$A$200,0))),"")</f>
        <v/>
      </c>
      <c r="AB141" s="10" t="inlineStr">
        <is>
          <t>TITR</t>
        </is>
      </c>
      <c r="AC141" s="10" t="inlineStr">
        <is>
          <t>Copper Gluconate · Impurities &lt;541&gt;</t>
        </is>
      </c>
      <c r="AD141" s="10" t="n"/>
      <c r="AE141" s="10" t="n"/>
    </row>
    <row r="142">
      <c r="A142" s="10" t="inlineStr">
        <is>
          <t>Cranberry Dry Extract 25:1</t>
        </is>
      </c>
      <c r="B142" s="10" t="inlineStr">
        <is>
          <t>RM</t>
        </is>
      </c>
      <c r="C142" s="10" t="inlineStr">
        <is>
          <t>Active</t>
        </is>
      </c>
      <c r="D142" s="10" t="inlineStr">
        <is>
          <t>Assay + related substances</t>
        </is>
      </c>
      <c r="E142" s="10">
        <f>IF(A142="","",A142&amp;"|"&amp;D142)</f>
        <v/>
      </c>
      <c r="F142" s="5" t="inlineStr">
        <is>
          <t>Y</t>
        </is>
      </c>
      <c r="G142" s="5" t="inlineStr">
        <is>
          <t>HPLC</t>
        </is>
      </c>
      <c r="H142" s="5" t="inlineStr">
        <is>
          <t>Medium</t>
        </is>
      </c>
      <c r="I142" s="5" t="n">
        <v>1</v>
      </c>
      <c r="J142" s="5" t="n"/>
      <c r="K142" s="5" t="n"/>
      <c r="L142" s="5" t="n"/>
      <c r="M142" s="5" t="n"/>
      <c r="N142" s="5" t="n"/>
      <c r="O142" s="5" t="n"/>
      <c r="P142" s="14">
        <f>IF(N142="","",IF(OR(M142="",O142=""),N142,(M142+4*N142+O142)/6))</f>
        <v/>
      </c>
      <c r="Q142" s="5" t="n"/>
      <c r="R142" s="5" t="n"/>
      <c r="S142" s="5" t="n"/>
      <c r="T142" s="5" t="n"/>
      <c r="U142" s="5" t="n"/>
      <c r="V142" s="15" t="n"/>
      <c r="W142" s="5" t="inlineStr">
        <is>
          <t>N</t>
        </is>
      </c>
      <c r="X142" s="5" t="n"/>
      <c r="Y142" s="5" t="n"/>
      <c r="Z142" s="5" t="n"/>
      <c r="AA142" s="5" t="n"/>
      <c r="AB142" s="10" t="n"/>
      <c r="AC142" s="10" t="n"/>
      <c r="AD142" s="10" t="inlineStr">
        <is>
          <t>No USP-NF monograph - in-house / supplier spec</t>
        </is>
      </c>
      <c r="AE142" s="10" t="n"/>
      <c r="AF142" s="10" t="n"/>
    </row>
    <row r="143">
      <c r="A143" s="10" t="inlineStr">
        <is>
          <t>Cranberry Dry Extract 25:1</t>
        </is>
      </c>
      <c r="B143" s="10" t="inlineStr">
        <is>
          <t>RM</t>
        </is>
      </c>
      <c r="C143" s="10" t="inlineStr">
        <is>
          <t>Active</t>
        </is>
      </c>
      <c r="D143" s="10" t="inlineStr">
        <is>
          <t>Other compendial tests (ID, LOD/KF, heavy metals...)</t>
        </is>
      </c>
      <c r="E143" s="10">
        <f>IF(A143="","",A143&amp;"|"&amp;D143)</f>
        <v/>
      </c>
      <c r="F143" s="5" t="inlineStr">
        <is>
          <t>Y</t>
        </is>
      </c>
      <c r="G143" s="5" t="inlineStr">
        <is>
          <t>Other / bench</t>
        </is>
      </c>
      <c r="H143" s="5" t="inlineStr">
        <is>
          <t>Low</t>
        </is>
      </c>
      <c r="I143" s="5" t="n">
        <v>1</v>
      </c>
      <c r="J143" s="5" t="n"/>
      <c r="K143" s="5" t="n"/>
      <c r="L143" s="5" t="n"/>
      <c r="M143" s="5" t="n"/>
      <c r="N143" s="5" t="n"/>
      <c r="O143" s="5" t="n"/>
      <c r="P143" s="14">
        <f>IF(N143="","",IF(OR(M143="",O143=""),N143,(M143+4*N143+O143)/6))</f>
        <v/>
      </c>
      <c r="Q143" s="5" t="n"/>
      <c r="R143" s="5" t="n"/>
      <c r="S143" s="5" t="n"/>
      <c r="T143" s="5" t="n"/>
      <c r="U143" s="5" t="n"/>
      <c r="V143" s="15" t="n"/>
      <c r="W143" s="5" t="inlineStr">
        <is>
          <t>N</t>
        </is>
      </c>
      <c r="X143" s="5" t="n"/>
      <c r="Y143" s="5" t="n"/>
      <c r="Z143" s="5" t="n"/>
      <c r="AA143" s="5" t="n"/>
      <c r="AB143" s="10" t="n"/>
      <c r="AC143" s="10" t="n"/>
      <c r="AD143" s="10" t="inlineStr">
        <is>
          <t>No USP-NF monograph - in-house / supplier spec</t>
        </is>
      </c>
      <c r="AE143" s="10" t="n"/>
      <c r="AF143" s="10" t="n"/>
    </row>
    <row r="144">
      <c r="A144" s="10" t="inlineStr">
        <is>
          <t>Cyanocobalamin (Vitamin B12)</t>
        </is>
      </c>
      <c r="B144" s="10" t="inlineStr">
        <is>
          <t>RM</t>
        </is>
      </c>
      <c r="C144" s="10" t="inlineStr">
        <is>
          <t>Active</t>
        </is>
      </c>
      <c r="D144" s="10" t="inlineStr">
        <is>
          <t>Appearance / description and solubility</t>
        </is>
      </c>
      <c r="E144" s="10">
        <f>IF(A144="","",A144&amp;"|"&amp;D144)</f>
        <v/>
      </c>
      <c r="F144" s="5" t="inlineStr">
        <is>
          <t>Y</t>
        </is>
      </c>
      <c r="G144" s="5" t="inlineStr">
        <is>
          <t>Other / bench</t>
        </is>
      </c>
      <c r="H144" s="5" t="inlineStr">
        <is>
          <t>Low</t>
        </is>
      </c>
      <c r="I144" s="5" t="n">
        <v>1</v>
      </c>
      <c r="J144" s="5" t="n"/>
      <c r="K144" s="10">
        <f>IFERROR(IF(INDEX('Test catalog'!$F$2:$F$200,MATCH($AB144,'Test catalog'!$A$2:$A$200,0))="","",INDEX('Test catalog'!$F$2:$F$200,MATCH($AB144,'Test catalog'!$A$2:$A$200,0))),"")</f>
        <v/>
      </c>
      <c r="L144" s="10">
        <f>IFERROR(IF(INDEX('Test catalog'!$G$2:$G$200,MATCH($AB144,'Test catalog'!$A$2:$A$200,0))="","",INDEX('Test catalog'!$G$2:$G$200,MATCH($AB144,'Test catalog'!$A$2:$A$200,0))),"")</f>
        <v/>
      </c>
      <c r="M144" s="10">
        <f>IFERROR(IF(INDEX('Test catalog'!$H$2:$H$200,MATCH($AB144,'Test catalog'!$A$2:$A$200,0))="","",INDEX('Test catalog'!$H$2:$H$200,MATCH($AB144,'Test catalog'!$A$2:$A$200,0))),"")</f>
        <v/>
      </c>
      <c r="N144" s="10">
        <f>IFERROR(IF(INDEX('Test catalog'!$I$2:$I$200,MATCH($AB144,'Test catalog'!$A$2:$A$200,0))="","",INDEX('Test catalog'!$I$2:$I$200,MATCH($AB144,'Test catalog'!$A$2:$A$200,0))),"")</f>
        <v/>
      </c>
      <c r="O144" s="10">
        <f>IFERROR(IF(INDEX('Test catalog'!$J$2:$J$200,MATCH($AB144,'Test catalog'!$A$2:$A$200,0))="","",INDEX('Test catalog'!$J$2:$J$200,MATCH($AB144,'Test catalog'!$A$2:$A$200,0))),"")</f>
        <v/>
      </c>
      <c r="P144" s="14">
        <f>IF(N144="","",IF(OR(M144="",O144=""),N144,(M144+4*N144+O144)/6))</f>
        <v/>
      </c>
      <c r="Q144" s="10">
        <f>IFERROR(IF(INDEX('Test catalog'!$K$2:$K$200,MATCH($AB144,'Test catalog'!$A$2:$A$200,0))="","",INDEX('Test catalog'!$K$2:$K$200,MATCH($AB144,'Test catalog'!$A$2:$A$200,0))),"")</f>
        <v/>
      </c>
      <c r="R144" s="5" t="n"/>
      <c r="S144" s="10">
        <f>IFERROR(IF(INDEX('Test catalog'!$L$2:$L$200,MATCH($AB144,'Test catalog'!$A$2:$A$200,0))="","",INDEX('Test catalog'!$L$2:$L$200,MATCH($AB144,'Test catalog'!$A$2:$A$200,0))),"")</f>
        <v/>
      </c>
      <c r="T144" s="10">
        <f>IFERROR(IF(INDEX('Test catalog'!$M$2:$M$200,MATCH($AB144,'Test catalog'!$A$2:$A$200,0))="","",INDEX('Test catalog'!$M$2:$M$200,MATCH($AB144,'Test catalog'!$A$2:$A$200,0))),"")</f>
        <v/>
      </c>
      <c r="U144" s="10">
        <f>IFERROR(IF(INDEX('Test catalog'!$N$2:$N$200,MATCH($AB144,'Test catalog'!$A$2:$A$200,0))="","",INDEX('Test catalog'!$N$2:$N$200,MATCH($AB144,'Test catalog'!$A$2:$A$200,0))),"")</f>
        <v/>
      </c>
      <c r="V144" s="15" t="n"/>
      <c r="W144" s="5" t="inlineStr">
        <is>
          <t>N</t>
        </is>
      </c>
      <c r="X144" s="5" t="n"/>
      <c r="Y144" s="5" t="n"/>
      <c r="Z144" s="5" t="n"/>
      <c r="AA144" s="10">
        <f>IFERROR(IF(INDEX('Test catalog'!$O$2:$O$200,MATCH($AB144,'Test catalog'!$A$2:$A$200,0))="","",INDEX('Test catalog'!$O$2:$O$200,MATCH($AB144,'Test catalog'!$A$2:$A$200,0))),"")</f>
        <v/>
      </c>
      <c r="AB144" s="10" t="inlineStr">
        <is>
          <t>APPEAR</t>
        </is>
      </c>
      <c r="AC144" s="10" t="inlineStr">
        <is>
          <t>Lab practice (not a USP test)</t>
        </is>
      </c>
      <c r="AD144" s="10" t="n"/>
      <c r="AE144" s="10" t="n"/>
    </row>
    <row r="145">
      <c r="A145" s="10" t="inlineStr">
        <is>
          <t>Cyanocobalamin (Vitamin B12)</t>
        </is>
      </c>
      <c r="B145" s="10" t="inlineStr">
        <is>
          <t>RM</t>
        </is>
      </c>
      <c r="C145" s="10" t="inlineStr">
        <is>
          <t>Active</t>
        </is>
      </c>
      <c r="D145" s="10" t="inlineStr">
        <is>
          <t>Assay</t>
        </is>
      </c>
      <c r="E145" s="10">
        <f>IF(A145="","",A145&amp;"|"&amp;D145)</f>
        <v/>
      </c>
      <c r="F145" s="5" t="inlineStr">
        <is>
          <t>Y</t>
        </is>
      </c>
      <c r="G145" s="5" t="inlineStr">
        <is>
          <t>UV-Vis</t>
        </is>
      </c>
      <c r="H145" s="5" t="inlineStr">
        <is>
          <t>Low</t>
        </is>
      </c>
      <c r="I145" s="5" t="n">
        <v>1</v>
      </c>
      <c r="J145" s="5" t="n"/>
      <c r="K145" s="10">
        <f>IFERROR(IF(INDEX('Test catalog'!$F$2:$F$200,MATCH($AB145,'Test catalog'!$A$2:$A$200,0))="","",INDEX('Test catalog'!$F$2:$F$200,MATCH($AB145,'Test catalog'!$A$2:$A$200,0))),"")</f>
        <v/>
      </c>
      <c r="L145" s="10">
        <f>IFERROR(IF(INDEX('Test catalog'!$G$2:$G$200,MATCH($AB145,'Test catalog'!$A$2:$A$200,0))="","",INDEX('Test catalog'!$G$2:$G$200,MATCH($AB145,'Test catalog'!$A$2:$A$200,0))),"")</f>
        <v/>
      </c>
      <c r="M145" s="10">
        <f>IFERROR(IF(INDEX('Test catalog'!$H$2:$H$200,MATCH($AB145,'Test catalog'!$A$2:$A$200,0))="","",INDEX('Test catalog'!$H$2:$H$200,MATCH($AB145,'Test catalog'!$A$2:$A$200,0))),"")</f>
        <v/>
      </c>
      <c r="N145" s="10">
        <f>IFERROR(IF(INDEX('Test catalog'!$I$2:$I$200,MATCH($AB145,'Test catalog'!$A$2:$A$200,0))="","",INDEX('Test catalog'!$I$2:$I$200,MATCH($AB145,'Test catalog'!$A$2:$A$200,0))),"")</f>
        <v/>
      </c>
      <c r="O145" s="10">
        <f>IFERROR(IF(INDEX('Test catalog'!$J$2:$J$200,MATCH($AB145,'Test catalog'!$A$2:$A$200,0))="","",INDEX('Test catalog'!$J$2:$J$200,MATCH($AB145,'Test catalog'!$A$2:$A$200,0))),"")</f>
        <v/>
      </c>
      <c r="P145" s="14">
        <f>IF(N145="","",IF(OR(M145="",O145=""),N145,(M145+4*N145+O145)/6))</f>
        <v/>
      </c>
      <c r="Q145" s="10">
        <f>IFERROR(IF(INDEX('Test catalog'!$K$2:$K$200,MATCH($AB145,'Test catalog'!$A$2:$A$200,0))="","",INDEX('Test catalog'!$K$2:$K$200,MATCH($AB145,'Test catalog'!$A$2:$A$200,0))),"")</f>
        <v/>
      </c>
      <c r="R145" s="5" t="n"/>
      <c r="S145" s="10">
        <f>IFERROR(IF(INDEX('Test catalog'!$L$2:$L$200,MATCH($AB145,'Test catalog'!$A$2:$A$200,0))="","",INDEX('Test catalog'!$L$2:$L$200,MATCH($AB145,'Test catalog'!$A$2:$A$200,0))),"")</f>
        <v/>
      </c>
      <c r="T145" s="10">
        <f>IFERROR(IF(INDEX('Test catalog'!$M$2:$M$200,MATCH($AB145,'Test catalog'!$A$2:$A$200,0))="","",INDEX('Test catalog'!$M$2:$M$200,MATCH($AB145,'Test catalog'!$A$2:$A$200,0))),"")</f>
        <v/>
      </c>
      <c r="U145" s="10">
        <f>IFERROR(IF(INDEX('Test catalog'!$N$2:$N$200,MATCH($AB145,'Test catalog'!$A$2:$A$200,0))="","",INDEX('Test catalog'!$N$2:$N$200,MATCH($AB145,'Test catalog'!$A$2:$A$200,0))),"")</f>
        <v/>
      </c>
      <c r="V145" s="15" t="n"/>
      <c r="W145" s="5" t="inlineStr">
        <is>
          <t>N</t>
        </is>
      </c>
      <c r="X145" s="5" t="n"/>
      <c r="Y145" s="5" t="n"/>
      <c r="Z145" s="5" t="n"/>
      <c r="AA145" s="10">
        <f>IFERROR(IF(INDEX('Test catalog'!$O$2:$O$200,MATCH($AB145,'Test catalog'!$A$2:$A$200,0))="","",INDEX('Test catalog'!$O$2:$O$200,MATCH($AB145,'Test catalog'!$A$2:$A$200,0))),"")</f>
        <v/>
      </c>
      <c r="AB145" s="10" t="inlineStr">
        <is>
          <t>UV</t>
        </is>
      </c>
      <c r="AC145" s="10" t="inlineStr">
        <is>
          <t>Cyanocobalamin · Assay &lt;857&gt;</t>
        </is>
      </c>
      <c r="AD145" s="10" t="n"/>
      <c r="AE145" s="10" t="n"/>
    </row>
    <row r="146">
      <c r="A146" s="10" t="inlineStr">
        <is>
          <t>Cyanocobalamin (Vitamin B12)</t>
        </is>
      </c>
      <c r="B146" s="10" t="inlineStr">
        <is>
          <t>RM</t>
        </is>
      </c>
      <c r="C146" s="10" t="inlineStr">
        <is>
          <t>Active</t>
        </is>
      </c>
      <c r="D146" s="10" t="inlineStr">
        <is>
          <t>Related Compounds (HPLC)</t>
        </is>
      </c>
      <c r="E146" s="10">
        <f>IF(A146="","",A146&amp;"|"&amp;D146)</f>
        <v/>
      </c>
      <c r="F146" s="5" t="inlineStr">
        <is>
          <t>Y</t>
        </is>
      </c>
      <c r="G146" s="5" t="inlineStr">
        <is>
          <t>HPLC</t>
        </is>
      </c>
      <c r="H146" s="5" t="inlineStr">
        <is>
          <t>Medium</t>
        </is>
      </c>
      <c r="I146" s="5" t="n">
        <v>1</v>
      </c>
      <c r="J146" s="5" t="n"/>
      <c r="K146" s="5" t="n"/>
      <c r="L146" s="5" t="n"/>
      <c r="M146" s="5" t="n"/>
      <c r="N146" s="5" t="n"/>
      <c r="O146" s="5" t="n"/>
      <c r="P146" s="14">
        <f>IF(N146="","",IF(OR(M146="",O146=""),N146,(M146+4*N146+O146)/6))</f>
        <v/>
      </c>
      <c r="Q146" s="5" t="n"/>
      <c r="R146" s="5" t="n"/>
      <c r="S146" s="5" t="n"/>
      <c r="T146" s="5" t="n"/>
      <c r="U146" s="5" t="n"/>
      <c r="V146" s="15" t="n"/>
      <c r="W146" s="5" t="inlineStr">
        <is>
          <t>N</t>
        </is>
      </c>
      <c r="X146" s="5" t="n"/>
      <c r="Y146" s="5" t="n"/>
      <c r="Z146" s="5" t="n"/>
      <c r="AA146" s="5" t="n"/>
      <c r="AB146" s="10" t="n"/>
      <c r="AC146" s="10" t="inlineStr">
        <is>
          <t>Cyanocobalamin · Impurities</t>
        </is>
      </c>
      <c r="AD146" s="10" t="n"/>
      <c r="AE146" s="10" t="n"/>
    </row>
    <row r="147">
      <c r="A147" s="10" t="inlineStr">
        <is>
          <t>Cyanocobalamin (Vitamin B12)</t>
        </is>
      </c>
      <c r="B147" s="10" t="inlineStr">
        <is>
          <t>RM</t>
        </is>
      </c>
      <c r="C147" s="10" t="inlineStr">
        <is>
          <t>Active</t>
        </is>
      </c>
      <c r="D147" s="10" t="inlineStr">
        <is>
          <t>Loss on Drying</t>
        </is>
      </c>
      <c r="E147" s="10">
        <f>IF(A147="","",A147&amp;"|"&amp;D147)</f>
        <v/>
      </c>
      <c r="F147" s="5" t="inlineStr">
        <is>
          <t>Y</t>
        </is>
      </c>
      <c r="G147" s="5" t="inlineStr">
        <is>
          <t>Other / bench</t>
        </is>
      </c>
      <c r="H147" s="5" t="inlineStr">
        <is>
          <t>Low</t>
        </is>
      </c>
      <c r="I147" s="5" t="n">
        <v>1</v>
      </c>
      <c r="J147" s="5" t="n"/>
      <c r="K147" s="10">
        <f>IFERROR(IF(INDEX('Test catalog'!$F$2:$F$200,MATCH($AB147,'Test catalog'!$A$2:$A$200,0))="","",INDEX('Test catalog'!$F$2:$F$200,MATCH($AB147,'Test catalog'!$A$2:$A$200,0))),"")</f>
        <v/>
      </c>
      <c r="L147" s="10">
        <f>IFERROR(IF(INDEX('Test catalog'!$G$2:$G$200,MATCH($AB147,'Test catalog'!$A$2:$A$200,0))="","",INDEX('Test catalog'!$G$2:$G$200,MATCH($AB147,'Test catalog'!$A$2:$A$200,0))),"")</f>
        <v/>
      </c>
      <c r="M147" s="10">
        <f>IFERROR(IF(INDEX('Test catalog'!$H$2:$H$200,MATCH($AB147,'Test catalog'!$A$2:$A$200,0))="","",INDEX('Test catalog'!$H$2:$H$200,MATCH($AB147,'Test catalog'!$A$2:$A$200,0))),"")</f>
        <v/>
      </c>
      <c r="N147" s="10">
        <f>IFERROR(IF(INDEX('Test catalog'!$I$2:$I$200,MATCH($AB147,'Test catalog'!$A$2:$A$200,0))="","",INDEX('Test catalog'!$I$2:$I$200,MATCH($AB147,'Test catalog'!$A$2:$A$200,0))),"")</f>
        <v/>
      </c>
      <c r="O147" s="10">
        <f>IFERROR(IF(INDEX('Test catalog'!$J$2:$J$200,MATCH($AB147,'Test catalog'!$A$2:$A$200,0))="","",INDEX('Test catalog'!$J$2:$J$200,MATCH($AB147,'Test catalog'!$A$2:$A$200,0))),"")</f>
        <v/>
      </c>
      <c r="P147" s="14">
        <f>IF(N147="","",IF(OR(M147="",O147=""),N147,(M147+4*N147+O147)/6))</f>
        <v/>
      </c>
      <c r="Q147" s="10">
        <f>IFERROR(IF(INDEX('Test catalog'!$K$2:$K$200,MATCH($AB147,'Test catalog'!$A$2:$A$200,0))="","",INDEX('Test catalog'!$K$2:$K$200,MATCH($AB147,'Test catalog'!$A$2:$A$200,0))),"")</f>
        <v/>
      </c>
      <c r="R147" s="5" t="n"/>
      <c r="S147" s="10">
        <f>IFERROR(IF(INDEX('Test catalog'!$L$2:$L$200,MATCH($AB147,'Test catalog'!$A$2:$A$200,0))="","",INDEX('Test catalog'!$L$2:$L$200,MATCH($AB147,'Test catalog'!$A$2:$A$200,0))),"")</f>
        <v/>
      </c>
      <c r="T147" s="10">
        <f>IFERROR(IF(INDEX('Test catalog'!$M$2:$M$200,MATCH($AB147,'Test catalog'!$A$2:$A$200,0))="","",INDEX('Test catalog'!$M$2:$M$200,MATCH($AB147,'Test catalog'!$A$2:$A$200,0))),"")</f>
        <v/>
      </c>
      <c r="U147" s="10">
        <f>IFERROR(IF(INDEX('Test catalog'!$N$2:$N$200,MATCH($AB147,'Test catalog'!$A$2:$A$200,0))="","",INDEX('Test catalog'!$N$2:$N$200,MATCH($AB147,'Test catalog'!$A$2:$A$200,0))),"")</f>
        <v/>
      </c>
      <c r="V147" s="15" t="n"/>
      <c r="W147" s="5" t="inlineStr">
        <is>
          <t>N</t>
        </is>
      </c>
      <c r="X147" s="5" t="n"/>
      <c r="Y147" s="5" t="n"/>
      <c r="Z147" s="5" t="n"/>
      <c r="AA147" s="10">
        <f>IFERROR(IF(INDEX('Test catalog'!$O$2:$O$200,MATCH($AB147,'Test catalog'!$A$2:$A$200,0))="","",INDEX('Test catalog'!$O$2:$O$200,MATCH($AB147,'Test catalog'!$A$2:$A$200,0))),"")</f>
        <v/>
      </c>
      <c r="AB147" s="10" t="inlineStr">
        <is>
          <t>LOD</t>
        </is>
      </c>
      <c r="AC147" s="10" t="inlineStr">
        <is>
          <t>Cyanocobalamin · Specific Tests &lt;731&gt;</t>
        </is>
      </c>
      <c r="AD147" s="10" t="n"/>
      <c r="AE147" s="10" t="n"/>
    </row>
    <row r="148">
      <c r="A148" s="10" t="inlineStr">
        <is>
          <t>D-Alpha Tocopheryl Acetate 50% (Vitamin E)</t>
        </is>
      </c>
      <c r="B148" s="10" t="inlineStr">
        <is>
          <t>RM</t>
        </is>
      </c>
      <c r="C148" s="10" t="inlineStr">
        <is>
          <t>Active</t>
        </is>
      </c>
      <c r="D148" s="10" t="inlineStr">
        <is>
          <t>Appearance / description and solubility</t>
        </is>
      </c>
      <c r="E148" s="10">
        <f>IF(A148="","",A148&amp;"|"&amp;D148)</f>
        <v/>
      </c>
      <c r="F148" s="5" t="inlineStr">
        <is>
          <t>Y</t>
        </is>
      </c>
      <c r="G148" s="5" t="inlineStr">
        <is>
          <t>Other / bench</t>
        </is>
      </c>
      <c r="H148" s="5" t="inlineStr">
        <is>
          <t>Low</t>
        </is>
      </c>
      <c r="I148" s="5" t="n">
        <v>1</v>
      </c>
      <c r="J148" s="5" t="n"/>
      <c r="K148" s="10">
        <f>IFERROR(IF(INDEX('Test catalog'!$F$2:$F$200,MATCH($AB148,'Test catalog'!$A$2:$A$200,0))="","",INDEX('Test catalog'!$F$2:$F$200,MATCH($AB148,'Test catalog'!$A$2:$A$200,0))),"")</f>
        <v/>
      </c>
      <c r="L148" s="10">
        <f>IFERROR(IF(INDEX('Test catalog'!$G$2:$G$200,MATCH($AB148,'Test catalog'!$A$2:$A$200,0))="","",INDEX('Test catalog'!$G$2:$G$200,MATCH($AB148,'Test catalog'!$A$2:$A$200,0))),"")</f>
        <v/>
      </c>
      <c r="M148" s="10">
        <f>IFERROR(IF(INDEX('Test catalog'!$H$2:$H$200,MATCH($AB148,'Test catalog'!$A$2:$A$200,0))="","",INDEX('Test catalog'!$H$2:$H$200,MATCH($AB148,'Test catalog'!$A$2:$A$200,0))),"")</f>
        <v/>
      </c>
      <c r="N148" s="10">
        <f>IFERROR(IF(INDEX('Test catalog'!$I$2:$I$200,MATCH($AB148,'Test catalog'!$A$2:$A$200,0))="","",INDEX('Test catalog'!$I$2:$I$200,MATCH($AB148,'Test catalog'!$A$2:$A$200,0))),"")</f>
        <v/>
      </c>
      <c r="O148" s="10">
        <f>IFERROR(IF(INDEX('Test catalog'!$J$2:$J$200,MATCH($AB148,'Test catalog'!$A$2:$A$200,0))="","",INDEX('Test catalog'!$J$2:$J$200,MATCH($AB148,'Test catalog'!$A$2:$A$200,0))),"")</f>
        <v/>
      </c>
      <c r="P148" s="14">
        <f>IF(N148="","",IF(OR(M148="",O148=""),N148,(M148+4*N148+O148)/6))</f>
        <v/>
      </c>
      <c r="Q148" s="10">
        <f>IFERROR(IF(INDEX('Test catalog'!$K$2:$K$200,MATCH($AB148,'Test catalog'!$A$2:$A$200,0))="","",INDEX('Test catalog'!$K$2:$K$200,MATCH($AB148,'Test catalog'!$A$2:$A$200,0))),"")</f>
        <v/>
      </c>
      <c r="R148" s="5" t="n"/>
      <c r="S148" s="10">
        <f>IFERROR(IF(INDEX('Test catalog'!$L$2:$L$200,MATCH($AB148,'Test catalog'!$A$2:$A$200,0))="","",INDEX('Test catalog'!$L$2:$L$200,MATCH($AB148,'Test catalog'!$A$2:$A$200,0))),"")</f>
        <v/>
      </c>
      <c r="T148" s="10">
        <f>IFERROR(IF(INDEX('Test catalog'!$M$2:$M$200,MATCH($AB148,'Test catalog'!$A$2:$A$200,0))="","",INDEX('Test catalog'!$M$2:$M$200,MATCH($AB148,'Test catalog'!$A$2:$A$200,0))),"")</f>
        <v/>
      </c>
      <c r="U148" s="10">
        <f>IFERROR(IF(INDEX('Test catalog'!$N$2:$N$200,MATCH($AB148,'Test catalog'!$A$2:$A$200,0))="","",INDEX('Test catalog'!$N$2:$N$200,MATCH($AB148,'Test catalog'!$A$2:$A$200,0))),"")</f>
        <v/>
      </c>
      <c r="V148" s="15" t="n"/>
      <c r="W148" s="5" t="inlineStr">
        <is>
          <t>N</t>
        </is>
      </c>
      <c r="X148" s="5" t="n"/>
      <c r="Y148" s="5" t="n"/>
      <c r="Z148" s="5" t="n"/>
      <c r="AA148" s="10">
        <f>IFERROR(IF(INDEX('Test catalog'!$O$2:$O$200,MATCH($AB148,'Test catalog'!$A$2:$A$200,0))="","",INDEX('Test catalog'!$O$2:$O$200,MATCH($AB148,'Test catalog'!$A$2:$A$200,0))),"")</f>
        <v/>
      </c>
      <c r="AB148" s="10" t="inlineStr">
        <is>
          <t>APPEAR</t>
        </is>
      </c>
      <c r="AC148" s="10" t="inlineStr">
        <is>
          <t>Lab practice (not a USP test)</t>
        </is>
      </c>
      <c r="AD148" s="10" t="n"/>
      <c r="AE148" s="10" t="n"/>
    </row>
    <row r="149">
      <c r="A149" s="10" t="inlineStr">
        <is>
          <t>D-Alpha Tocopheryl Acetate 50% (Vitamin E)</t>
        </is>
      </c>
      <c r="B149" s="10" t="inlineStr">
        <is>
          <t>RM</t>
        </is>
      </c>
      <c r="C149" s="10" t="inlineStr">
        <is>
          <t>Active</t>
        </is>
      </c>
      <c r="D149" s="10" t="inlineStr">
        <is>
          <t>ID A - chemical reaction</t>
        </is>
      </c>
      <c r="E149" s="10">
        <f>IF(A149="","",A149&amp;"|"&amp;D149)</f>
        <v/>
      </c>
      <c r="F149" s="5" t="inlineStr">
        <is>
          <t>Y</t>
        </is>
      </c>
      <c r="G149" s="5" t="inlineStr">
        <is>
          <t>Other / bench</t>
        </is>
      </c>
      <c r="H149" s="5" t="inlineStr">
        <is>
          <t>Low</t>
        </is>
      </c>
      <c r="I149" s="5" t="n">
        <v>1</v>
      </c>
      <c r="J149" s="5" t="n"/>
      <c r="K149" s="10">
        <f>IFERROR(IF(INDEX('Test catalog'!$F$2:$F$200,MATCH($AB149,'Test catalog'!$A$2:$A$200,0))="","",INDEX('Test catalog'!$F$2:$F$200,MATCH($AB149,'Test catalog'!$A$2:$A$200,0))),"")</f>
        <v/>
      </c>
      <c r="L149" s="10">
        <f>IFERROR(IF(INDEX('Test catalog'!$G$2:$G$200,MATCH($AB149,'Test catalog'!$A$2:$A$200,0))="","",INDEX('Test catalog'!$G$2:$G$200,MATCH($AB149,'Test catalog'!$A$2:$A$200,0))),"")</f>
        <v/>
      </c>
      <c r="M149" s="10">
        <f>IFERROR(IF(INDEX('Test catalog'!$H$2:$H$200,MATCH($AB149,'Test catalog'!$A$2:$A$200,0))="","",INDEX('Test catalog'!$H$2:$H$200,MATCH($AB149,'Test catalog'!$A$2:$A$200,0))),"")</f>
        <v/>
      </c>
      <c r="N149" s="10">
        <f>IFERROR(IF(INDEX('Test catalog'!$I$2:$I$200,MATCH($AB149,'Test catalog'!$A$2:$A$200,0))="","",INDEX('Test catalog'!$I$2:$I$200,MATCH($AB149,'Test catalog'!$A$2:$A$200,0))),"")</f>
        <v/>
      </c>
      <c r="O149" s="10">
        <f>IFERROR(IF(INDEX('Test catalog'!$J$2:$J$200,MATCH($AB149,'Test catalog'!$A$2:$A$200,0))="","",INDEX('Test catalog'!$J$2:$J$200,MATCH($AB149,'Test catalog'!$A$2:$A$200,0))),"")</f>
        <v/>
      </c>
      <c r="P149" s="14">
        <f>IF(N149="","",IF(OR(M149="",O149=""),N149,(M149+4*N149+O149)/6))</f>
        <v/>
      </c>
      <c r="Q149" s="10">
        <f>IFERROR(IF(INDEX('Test catalog'!$K$2:$K$200,MATCH($AB149,'Test catalog'!$A$2:$A$200,0))="","",INDEX('Test catalog'!$K$2:$K$200,MATCH($AB149,'Test catalog'!$A$2:$A$200,0))),"")</f>
        <v/>
      </c>
      <c r="R149" s="5" t="n"/>
      <c r="S149" s="10">
        <f>IFERROR(IF(INDEX('Test catalog'!$L$2:$L$200,MATCH($AB149,'Test catalog'!$A$2:$A$200,0))="","",INDEX('Test catalog'!$L$2:$L$200,MATCH($AB149,'Test catalog'!$A$2:$A$200,0))),"")</f>
        <v/>
      </c>
      <c r="T149" s="10">
        <f>IFERROR(IF(INDEX('Test catalog'!$M$2:$M$200,MATCH($AB149,'Test catalog'!$A$2:$A$200,0))="","",INDEX('Test catalog'!$M$2:$M$200,MATCH($AB149,'Test catalog'!$A$2:$A$200,0))),"")</f>
        <v/>
      </c>
      <c r="U149" s="10">
        <f>IFERROR(IF(INDEX('Test catalog'!$N$2:$N$200,MATCH($AB149,'Test catalog'!$A$2:$A$200,0))="","",INDEX('Test catalog'!$N$2:$N$200,MATCH($AB149,'Test catalog'!$A$2:$A$200,0))),"")</f>
        <v/>
      </c>
      <c r="V149" s="15" t="n"/>
      <c r="W149" s="5" t="inlineStr">
        <is>
          <t>N</t>
        </is>
      </c>
      <c r="X149" s="5" t="n"/>
      <c r="Y149" s="5" t="n"/>
      <c r="Z149" s="5" t="n"/>
      <c r="AA149" s="10">
        <f>IFERROR(IF(INDEX('Test catalog'!$O$2:$O$200,MATCH($AB149,'Test catalog'!$A$2:$A$200,0))="","",INDEX('Test catalog'!$O$2:$O$200,MATCH($AB149,'Test catalog'!$A$2:$A$200,0))),"")</f>
        <v/>
      </c>
      <c r="AB149" s="10" t="inlineStr">
        <is>
          <t>ID_CHEM</t>
        </is>
      </c>
      <c r="AC149" s="10" t="inlineStr">
        <is>
          <t>Vitamin E Preparation · Identification</t>
        </is>
      </c>
      <c r="AD149" s="10" t="n"/>
      <c r="AE149" s="10" t="n"/>
    </row>
    <row r="150">
      <c r="A150" s="10" t="inlineStr">
        <is>
          <t>D-Alpha Tocopheryl Acetate 50% (Vitamin E)</t>
        </is>
      </c>
      <c r="B150" s="10" t="inlineStr">
        <is>
          <t>RM</t>
        </is>
      </c>
      <c r="C150" s="10" t="inlineStr">
        <is>
          <t>Active</t>
        </is>
      </c>
      <c r="D150" s="10" t="inlineStr">
        <is>
          <t>ID B - Optical rotation</t>
        </is>
      </c>
      <c r="E150" s="10">
        <f>IF(A150="","",A150&amp;"|"&amp;D150)</f>
        <v/>
      </c>
      <c r="F150" s="5" t="inlineStr">
        <is>
          <t>Y</t>
        </is>
      </c>
      <c r="G150" s="5" t="inlineStr">
        <is>
          <t>Other / bench</t>
        </is>
      </c>
      <c r="H150" s="5" t="inlineStr">
        <is>
          <t>Low</t>
        </is>
      </c>
      <c r="I150" s="5" t="n">
        <v>1</v>
      </c>
      <c r="J150" s="5" t="n"/>
      <c r="K150" s="10">
        <f>IFERROR(IF(INDEX('Test catalog'!$F$2:$F$200,MATCH($AB150,'Test catalog'!$A$2:$A$200,0))="","",INDEX('Test catalog'!$F$2:$F$200,MATCH($AB150,'Test catalog'!$A$2:$A$200,0))),"")</f>
        <v/>
      </c>
      <c r="L150" s="10">
        <f>IFERROR(IF(INDEX('Test catalog'!$G$2:$G$200,MATCH($AB150,'Test catalog'!$A$2:$A$200,0))="","",INDEX('Test catalog'!$G$2:$G$200,MATCH($AB150,'Test catalog'!$A$2:$A$200,0))),"")</f>
        <v/>
      </c>
      <c r="M150" s="10">
        <f>IFERROR(IF(INDEX('Test catalog'!$H$2:$H$200,MATCH($AB150,'Test catalog'!$A$2:$A$200,0))="","",INDEX('Test catalog'!$H$2:$H$200,MATCH($AB150,'Test catalog'!$A$2:$A$200,0))),"")</f>
        <v/>
      </c>
      <c r="N150" s="10">
        <f>IFERROR(IF(INDEX('Test catalog'!$I$2:$I$200,MATCH($AB150,'Test catalog'!$A$2:$A$200,0))="","",INDEX('Test catalog'!$I$2:$I$200,MATCH($AB150,'Test catalog'!$A$2:$A$200,0))),"")</f>
        <v/>
      </c>
      <c r="O150" s="10">
        <f>IFERROR(IF(INDEX('Test catalog'!$J$2:$J$200,MATCH($AB150,'Test catalog'!$A$2:$A$200,0))="","",INDEX('Test catalog'!$J$2:$J$200,MATCH($AB150,'Test catalog'!$A$2:$A$200,0))),"")</f>
        <v/>
      </c>
      <c r="P150" s="14">
        <f>IF(N150="","",IF(OR(M150="",O150=""),N150,(M150+4*N150+O150)/6))</f>
        <v/>
      </c>
      <c r="Q150" s="10">
        <f>IFERROR(IF(INDEX('Test catalog'!$K$2:$K$200,MATCH($AB150,'Test catalog'!$A$2:$A$200,0))="","",INDEX('Test catalog'!$K$2:$K$200,MATCH($AB150,'Test catalog'!$A$2:$A$200,0))),"")</f>
        <v/>
      </c>
      <c r="R150" s="5" t="n"/>
      <c r="S150" s="10">
        <f>IFERROR(IF(INDEX('Test catalog'!$L$2:$L$200,MATCH($AB150,'Test catalog'!$A$2:$A$200,0))="","",INDEX('Test catalog'!$L$2:$L$200,MATCH($AB150,'Test catalog'!$A$2:$A$200,0))),"")</f>
        <v/>
      </c>
      <c r="T150" s="10">
        <f>IFERROR(IF(INDEX('Test catalog'!$M$2:$M$200,MATCH($AB150,'Test catalog'!$A$2:$A$200,0))="","",INDEX('Test catalog'!$M$2:$M$200,MATCH($AB150,'Test catalog'!$A$2:$A$200,0))),"")</f>
        <v/>
      </c>
      <c r="U150" s="10">
        <f>IFERROR(IF(INDEX('Test catalog'!$N$2:$N$200,MATCH($AB150,'Test catalog'!$A$2:$A$200,0))="","",INDEX('Test catalog'!$N$2:$N$200,MATCH($AB150,'Test catalog'!$A$2:$A$200,0))),"")</f>
        <v/>
      </c>
      <c r="V150" s="15" t="n"/>
      <c r="W150" s="5" t="inlineStr">
        <is>
          <t>N</t>
        </is>
      </c>
      <c r="X150" s="5" t="n"/>
      <c r="Y150" s="5" t="n"/>
      <c r="Z150" s="5" t="n"/>
      <c r="AA150" s="10">
        <f>IFERROR(IF(INDEX('Test catalog'!$O$2:$O$200,MATCH($AB150,'Test catalog'!$A$2:$A$200,0))="","",INDEX('Test catalog'!$O$2:$O$200,MATCH($AB150,'Test catalog'!$A$2:$A$200,0))),"")</f>
        <v/>
      </c>
      <c r="AB150" s="10" t="inlineStr">
        <is>
          <t>OR</t>
        </is>
      </c>
      <c r="AC150" s="10" t="inlineStr">
        <is>
          <t>Vitamin E Preparation · Identification &lt;781&gt;</t>
        </is>
      </c>
      <c r="AD150" s="10" t="n"/>
      <c r="AE150" s="10" t="n"/>
    </row>
    <row r="151">
      <c r="A151" s="10" t="inlineStr">
        <is>
          <t>D-Alpha Tocopheryl Acetate 50% (Vitamin E)</t>
        </is>
      </c>
      <c r="B151" s="10" t="inlineStr">
        <is>
          <t>RM</t>
        </is>
      </c>
      <c r="C151" s="10" t="inlineStr">
        <is>
          <t>Active</t>
        </is>
      </c>
      <c r="D151" s="10" t="inlineStr">
        <is>
          <t>Assay - Alpha Tocopherol (GC)</t>
        </is>
      </c>
      <c r="E151" s="10">
        <f>IF(A151="","",A151&amp;"|"&amp;D151)</f>
        <v/>
      </c>
      <c r="F151" s="5" t="inlineStr">
        <is>
          <t>Y</t>
        </is>
      </c>
      <c r="G151" s="5" t="inlineStr">
        <is>
          <t>GC</t>
        </is>
      </c>
      <c r="H151" s="5" t="inlineStr">
        <is>
          <t>Medium</t>
        </is>
      </c>
      <c r="I151" s="5" t="n">
        <v>1</v>
      </c>
      <c r="J151" s="5" t="n"/>
      <c r="K151" s="5" t="n"/>
      <c r="L151" s="5" t="n"/>
      <c r="M151" s="5" t="n"/>
      <c r="N151" s="5" t="n"/>
      <c r="O151" s="5" t="n"/>
      <c r="P151" s="14">
        <f>IF(N151="","",IF(OR(M151="",O151=""),N151,(M151+4*N151+O151)/6))</f>
        <v/>
      </c>
      <c r="Q151" s="5" t="n"/>
      <c r="R151" s="5" t="n"/>
      <c r="S151" s="5" t="n"/>
      <c r="T151" s="5" t="n"/>
      <c r="U151" s="5" t="n"/>
      <c r="V151" s="15" t="n"/>
      <c r="W151" s="5" t="inlineStr">
        <is>
          <t>N</t>
        </is>
      </c>
      <c r="X151" s="5" t="n"/>
      <c r="Y151" s="5" t="n"/>
      <c r="Z151" s="5" t="inlineStr">
        <is>
          <t>Alternative assays - keep only the one you run</t>
        </is>
      </c>
      <c r="AA151" s="5" t="n"/>
      <c r="AB151" s="10" t="n"/>
      <c r="AC151" s="10" t="inlineStr">
        <is>
          <t>Vitamin E Preparation · Assay</t>
        </is>
      </c>
      <c r="AD151" s="10" t="n"/>
      <c r="AE151" s="10" t="n"/>
    </row>
    <row r="152">
      <c r="A152" s="10" t="inlineStr">
        <is>
          <t>D-Alpha Tocopheryl Acetate 50% (Vitamin E)</t>
        </is>
      </c>
      <c r="B152" s="10" t="inlineStr">
        <is>
          <t>RM</t>
        </is>
      </c>
      <c r="C152" s="10" t="inlineStr">
        <is>
          <t>Active</t>
        </is>
      </c>
      <c r="D152" s="10" t="inlineStr">
        <is>
          <t>Assay - Alpha Tocopheryl Acetate (GC)</t>
        </is>
      </c>
      <c r="E152" s="10">
        <f>IF(A152="","",A152&amp;"|"&amp;D152)</f>
        <v/>
      </c>
      <c r="F152" s="5" t="inlineStr">
        <is>
          <t>Y</t>
        </is>
      </c>
      <c r="G152" s="5" t="inlineStr">
        <is>
          <t>GC</t>
        </is>
      </c>
      <c r="H152" s="5" t="inlineStr">
        <is>
          <t>Medium</t>
        </is>
      </c>
      <c r="I152" s="5" t="n">
        <v>1</v>
      </c>
      <c r="J152" s="5" t="n"/>
      <c r="K152" s="5" t="n"/>
      <c r="L152" s="5" t="n"/>
      <c r="M152" s="5" t="n"/>
      <c r="N152" s="5" t="n"/>
      <c r="O152" s="5" t="n"/>
      <c r="P152" s="14">
        <f>IF(N152="","",IF(OR(M152="",O152=""),N152,(M152+4*N152+O152)/6))</f>
        <v/>
      </c>
      <c r="Q152" s="5" t="n"/>
      <c r="R152" s="5" t="n"/>
      <c r="S152" s="5" t="n"/>
      <c r="T152" s="5" t="n"/>
      <c r="U152" s="5" t="n"/>
      <c r="V152" s="15" t="n"/>
      <c r="W152" s="5" t="inlineStr">
        <is>
          <t>N</t>
        </is>
      </c>
      <c r="X152" s="5" t="n"/>
      <c r="Y152" s="5" t="n"/>
      <c r="Z152" s="5" t="inlineStr">
        <is>
          <t>Alternative assays - keep only the one you run</t>
        </is>
      </c>
      <c r="AA152" s="5" t="n"/>
      <c r="AB152" s="10" t="n"/>
      <c r="AC152" s="10" t="inlineStr">
        <is>
          <t>Vitamin E Preparation · Assay</t>
        </is>
      </c>
      <c r="AD152" s="10" t="n"/>
      <c r="AE152" s="10" t="n"/>
    </row>
    <row r="153">
      <c r="A153" s="10" t="inlineStr">
        <is>
          <t>D-Alpha Tocopheryl Acetate 50% (Vitamin E)</t>
        </is>
      </c>
      <c r="B153" s="10" t="inlineStr">
        <is>
          <t>RM</t>
        </is>
      </c>
      <c r="C153" s="10" t="inlineStr">
        <is>
          <t>Active</t>
        </is>
      </c>
      <c r="D153" s="10" t="inlineStr">
        <is>
          <t>Assay - Alpha Tocopheryl Acid Succinate (GC)</t>
        </is>
      </c>
      <c r="E153" s="10">
        <f>IF(A153="","",A153&amp;"|"&amp;D153)</f>
        <v/>
      </c>
      <c r="F153" s="5" t="inlineStr">
        <is>
          <t>Y</t>
        </is>
      </c>
      <c r="G153" s="5" t="inlineStr">
        <is>
          <t>GC</t>
        </is>
      </c>
      <c r="H153" s="5" t="inlineStr">
        <is>
          <t>Medium</t>
        </is>
      </c>
      <c r="I153" s="5" t="n">
        <v>1</v>
      </c>
      <c r="J153" s="5" t="n"/>
      <c r="K153" s="5" t="n"/>
      <c r="L153" s="5" t="n"/>
      <c r="M153" s="5" t="n"/>
      <c r="N153" s="5" t="n"/>
      <c r="O153" s="5" t="n"/>
      <c r="P153" s="14">
        <f>IF(N153="","",IF(OR(M153="",O153=""),N153,(M153+4*N153+O153)/6))</f>
        <v/>
      </c>
      <c r="Q153" s="5" t="n"/>
      <c r="R153" s="5" t="n"/>
      <c r="S153" s="5" t="n"/>
      <c r="T153" s="5" t="n"/>
      <c r="U153" s="5" t="n"/>
      <c r="V153" s="15" t="n"/>
      <c r="W153" s="5" t="inlineStr">
        <is>
          <t>N</t>
        </is>
      </c>
      <c r="X153" s="5" t="n"/>
      <c r="Y153" s="5" t="n"/>
      <c r="Z153" s="5" t="inlineStr">
        <is>
          <t>Alternative assays - keep only the one you run</t>
        </is>
      </c>
      <c r="AA153" s="5" t="n"/>
      <c r="AB153" s="10" t="n"/>
      <c r="AC153" s="10" t="inlineStr">
        <is>
          <t>Vitamin E Preparation · Assay</t>
        </is>
      </c>
      <c r="AD153" s="10" t="n"/>
      <c r="AE153" s="10" t="n"/>
    </row>
    <row r="154">
      <c r="A154" s="10" t="inlineStr">
        <is>
          <t>D-Alpha Tocopheryl Acetate 50% (Vitamin E)</t>
        </is>
      </c>
      <c r="B154" s="10" t="inlineStr">
        <is>
          <t>RM</t>
        </is>
      </c>
      <c r="C154" s="10" t="inlineStr">
        <is>
          <t>Active</t>
        </is>
      </c>
      <c r="D154" s="10" t="inlineStr">
        <is>
          <t>Acidity (for Vitamin E Preparation in liquid form)</t>
        </is>
      </c>
      <c r="E154" s="10">
        <f>IF(A154="","",A154&amp;"|"&amp;D154)</f>
        <v/>
      </c>
      <c r="F154" s="5" t="inlineStr">
        <is>
          <t>Y</t>
        </is>
      </c>
      <c r="G154" s="5" t="inlineStr">
        <is>
          <t>Other / bench</t>
        </is>
      </c>
      <c r="H154" s="5" t="inlineStr">
        <is>
          <t>Low</t>
        </is>
      </c>
      <c r="I154" s="5" t="n">
        <v>1</v>
      </c>
      <c r="J154" s="5" t="n"/>
      <c r="K154" s="10">
        <f>IFERROR(IF(INDEX('Test catalog'!$F$2:$F$200,MATCH($AB154,'Test catalog'!$A$2:$A$200,0))="","",INDEX('Test catalog'!$F$2:$F$200,MATCH($AB154,'Test catalog'!$A$2:$A$200,0))),"")</f>
        <v/>
      </c>
      <c r="L154" s="10">
        <f>IFERROR(IF(INDEX('Test catalog'!$G$2:$G$200,MATCH($AB154,'Test catalog'!$A$2:$A$200,0))="","",INDEX('Test catalog'!$G$2:$G$200,MATCH($AB154,'Test catalog'!$A$2:$A$200,0))),"")</f>
        <v/>
      </c>
      <c r="M154" s="10">
        <f>IFERROR(IF(INDEX('Test catalog'!$H$2:$H$200,MATCH($AB154,'Test catalog'!$A$2:$A$200,0))="","",INDEX('Test catalog'!$H$2:$H$200,MATCH($AB154,'Test catalog'!$A$2:$A$200,0))),"")</f>
        <v/>
      </c>
      <c r="N154" s="10">
        <f>IFERROR(IF(INDEX('Test catalog'!$I$2:$I$200,MATCH($AB154,'Test catalog'!$A$2:$A$200,0))="","",INDEX('Test catalog'!$I$2:$I$200,MATCH($AB154,'Test catalog'!$A$2:$A$200,0))),"")</f>
        <v/>
      </c>
      <c r="O154" s="10">
        <f>IFERROR(IF(INDEX('Test catalog'!$J$2:$J$200,MATCH($AB154,'Test catalog'!$A$2:$A$200,0))="","",INDEX('Test catalog'!$J$2:$J$200,MATCH($AB154,'Test catalog'!$A$2:$A$200,0))),"")</f>
        <v/>
      </c>
      <c r="P154" s="14">
        <f>IF(N154="","",IF(OR(M154="",O154=""),N154,(M154+4*N154+O154)/6))</f>
        <v/>
      </c>
      <c r="Q154" s="10">
        <f>IFERROR(IF(INDEX('Test catalog'!$K$2:$K$200,MATCH($AB154,'Test catalog'!$A$2:$A$200,0))="","",INDEX('Test catalog'!$K$2:$K$200,MATCH($AB154,'Test catalog'!$A$2:$A$200,0))),"")</f>
        <v/>
      </c>
      <c r="R154" s="5" t="n"/>
      <c r="S154" s="10">
        <f>IFERROR(IF(INDEX('Test catalog'!$L$2:$L$200,MATCH($AB154,'Test catalog'!$A$2:$A$200,0))="","",INDEX('Test catalog'!$L$2:$L$200,MATCH($AB154,'Test catalog'!$A$2:$A$200,0))),"")</f>
        <v/>
      </c>
      <c r="T154" s="10">
        <f>IFERROR(IF(INDEX('Test catalog'!$M$2:$M$200,MATCH($AB154,'Test catalog'!$A$2:$A$200,0))="","",INDEX('Test catalog'!$M$2:$M$200,MATCH($AB154,'Test catalog'!$A$2:$A$200,0))),"")</f>
        <v/>
      </c>
      <c r="U154" s="10">
        <f>IFERROR(IF(INDEX('Test catalog'!$N$2:$N$200,MATCH($AB154,'Test catalog'!$A$2:$A$200,0))="","",INDEX('Test catalog'!$N$2:$N$200,MATCH($AB154,'Test catalog'!$A$2:$A$200,0))),"")</f>
        <v/>
      </c>
      <c r="V154" s="15" t="n"/>
      <c r="W154" s="5" t="inlineStr">
        <is>
          <t>N</t>
        </is>
      </c>
      <c r="X154" s="5" t="n"/>
      <c r="Y154" s="5" t="n"/>
      <c r="Z154" s="5" t="n"/>
      <c r="AA154" s="10">
        <f>IFERROR(IF(INDEX('Test catalog'!$O$2:$O$200,MATCH($AB154,'Test catalog'!$A$2:$A$200,0))="","",INDEX('Test catalog'!$O$2:$O$200,MATCH($AB154,'Test catalog'!$A$2:$A$200,0))),"")</f>
        <v/>
      </c>
      <c r="AB154" s="10" t="inlineStr">
        <is>
          <t>ACID</t>
        </is>
      </c>
      <c r="AC154" s="10" t="inlineStr">
        <is>
          <t>Vitamin E Preparation · Specific Tests</t>
        </is>
      </c>
      <c r="AD154" s="10" t="n"/>
      <c r="AE154" s="10" t="n"/>
    </row>
    <row r="155">
      <c r="A155" s="10" t="inlineStr">
        <is>
          <t>Dapagliflozin Propanediol Monohydrate</t>
        </is>
      </c>
      <c r="B155" s="10" t="inlineStr">
        <is>
          <t>RM</t>
        </is>
      </c>
      <c r="C155" s="10" t="inlineStr">
        <is>
          <t>Active</t>
        </is>
      </c>
      <c r="D155" s="10" t="inlineStr">
        <is>
          <t>Appearance / description and solubility</t>
        </is>
      </c>
      <c r="E155" s="10">
        <f>IF(A155="","",A155&amp;"|"&amp;D155)</f>
        <v/>
      </c>
      <c r="F155" s="5" t="inlineStr">
        <is>
          <t>Y</t>
        </is>
      </c>
      <c r="G155" s="5" t="inlineStr">
        <is>
          <t>Other / bench</t>
        </is>
      </c>
      <c r="H155" s="5" t="inlineStr">
        <is>
          <t>Low</t>
        </is>
      </c>
      <c r="I155" s="5" t="n">
        <v>1</v>
      </c>
      <c r="J155" s="5" t="n"/>
      <c r="K155" s="10">
        <f>IFERROR(IF(INDEX('Test catalog'!$F$2:$F$200,MATCH($AB155,'Test catalog'!$A$2:$A$200,0))="","",INDEX('Test catalog'!$F$2:$F$200,MATCH($AB155,'Test catalog'!$A$2:$A$200,0))),"")</f>
        <v/>
      </c>
      <c r="L155" s="10">
        <f>IFERROR(IF(INDEX('Test catalog'!$G$2:$G$200,MATCH($AB155,'Test catalog'!$A$2:$A$200,0))="","",INDEX('Test catalog'!$G$2:$G$200,MATCH($AB155,'Test catalog'!$A$2:$A$200,0))),"")</f>
        <v/>
      </c>
      <c r="M155" s="10">
        <f>IFERROR(IF(INDEX('Test catalog'!$H$2:$H$200,MATCH($AB155,'Test catalog'!$A$2:$A$200,0))="","",INDEX('Test catalog'!$H$2:$H$200,MATCH($AB155,'Test catalog'!$A$2:$A$200,0))),"")</f>
        <v/>
      </c>
      <c r="N155" s="10">
        <f>IFERROR(IF(INDEX('Test catalog'!$I$2:$I$200,MATCH($AB155,'Test catalog'!$A$2:$A$200,0))="","",INDEX('Test catalog'!$I$2:$I$200,MATCH($AB155,'Test catalog'!$A$2:$A$200,0))),"")</f>
        <v/>
      </c>
      <c r="O155" s="10">
        <f>IFERROR(IF(INDEX('Test catalog'!$J$2:$J$200,MATCH($AB155,'Test catalog'!$A$2:$A$200,0))="","",INDEX('Test catalog'!$J$2:$J$200,MATCH($AB155,'Test catalog'!$A$2:$A$200,0))),"")</f>
        <v/>
      </c>
      <c r="P155" s="14">
        <f>IF(N155="","",IF(OR(M155="",O155=""),N155,(M155+4*N155+O155)/6))</f>
        <v/>
      </c>
      <c r="Q155" s="10">
        <f>IFERROR(IF(INDEX('Test catalog'!$K$2:$K$200,MATCH($AB155,'Test catalog'!$A$2:$A$200,0))="","",INDEX('Test catalog'!$K$2:$K$200,MATCH($AB155,'Test catalog'!$A$2:$A$200,0))),"")</f>
        <v/>
      </c>
      <c r="R155" s="5" t="n"/>
      <c r="S155" s="10">
        <f>IFERROR(IF(INDEX('Test catalog'!$L$2:$L$200,MATCH($AB155,'Test catalog'!$A$2:$A$200,0))="","",INDEX('Test catalog'!$L$2:$L$200,MATCH($AB155,'Test catalog'!$A$2:$A$200,0))),"")</f>
        <v/>
      </c>
      <c r="T155" s="10">
        <f>IFERROR(IF(INDEX('Test catalog'!$M$2:$M$200,MATCH($AB155,'Test catalog'!$A$2:$A$200,0))="","",INDEX('Test catalog'!$M$2:$M$200,MATCH($AB155,'Test catalog'!$A$2:$A$200,0))),"")</f>
        <v/>
      </c>
      <c r="U155" s="10">
        <f>IFERROR(IF(INDEX('Test catalog'!$N$2:$N$200,MATCH($AB155,'Test catalog'!$A$2:$A$200,0))="","",INDEX('Test catalog'!$N$2:$N$200,MATCH($AB155,'Test catalog'!$A$2:$A$200,0))),"")</f>
        <v/>
      </c>
      <c r="V155" s="15" t="n"/>
      <c r="W155" s="5" t="inlineStr">
        <is>
          <t>N</t>
        </is>
      </c>
      <c r="X155" s="5" t="n"/>
      <c r="Y155" s="5" t="n"/>
      <c r="Z155" s="5" t="n"/>
      <c r="AA155" s="10">
        <f>IFERROR(IF(INDEX('Test catalog'!$O$2:$O$200,MATCH($AB155,'Test catalog'!$A$2:$A$200,0))="","",INDEX('Test catalog'!$O$2:$O$200,MATCH($AB155,'Test catalog'!$A$2:$A$200,0))),"")</f>
        <v/>
      </c>
      <c r="AB155" s="10" t="inlineStr">
        <is>
          <t>APPEAR</t>
        </is>
      </c>
      <c r="AC155" s="10" t="inlineStr">
        <is>
          <t>Lab practice (not a USP test)</t>
        </is>
      </c>
      <c r="AD155" s="10" t="n"/>
      <c r="AE155" s="10" t="n"/>
    </row>
    <row r="156">
      <c r="A156" s="10" t="inlineStr">
        <is>
          <t>Dapagliflozin Propanediol Monohydrate</t>
        </is>
      </c>
      <c r="B156" s="10" t="inlineStr">
        <is>
          <t>RM</t>
        </is>
      </c>
      <c r="C156" s="10" t="inlineStr">
        <is>
          <t>Active</t>
        </is>
      </c>
      <c r="D156" s="10" t="inlineStr">
        <is>
          <t>ID A - IR spectrum</t>
        </is>
      </c>
      <c r="E156" s="10">
        <f>IF(A156="","",A156&amp;"|"&amp;D156)</f>
        <v/>
      </c>
      <c r="F156" s="5" t="inlineStr">
        <is>
          <t>Y</t>
        </is>
      </c>
      <c r="G156" s="5" t="inlineStr">
        <is>
          <t>Other / bench</t>
        </is>
      </c>
      <c r="H156" s="5" t="inlineStr">
        <is>
          <t>Low</t>
        </is>
      </c>
      <c r="I156" s="5" t="n">
        <v>1</v>
      </c>
      <c r="J156" s="5" t="n"/>
      <c r="K156" s="10">
        <f>IFERROR(IF(INDEX('Test catalog'!$F$2:$F$200,MATCH($AB156,'Test catalog'!$A$2:$A$200,0))="","",INDEX('Test catalog'!$F$2:$F$200,MATCH($AB156,'Test catalog'!$A$2:$A$200,0))),"")</f>
        <v/>
      </c>
      <c r="L156" s="10">
        <f>IFERROR(IF(INDEX('Test catalog'!$G$2:$G$200,MATCH($AB156,'Test catalog'!$A$2:$A$200,0))="","",INDEX('Test catalog'!$G$2:$G$200,MATCH($AB156,'Test catalog'!$A$2:$A$200,0))),"")</f>
        <v/>
      </c>
      <c r="M156" s="10">
        <f>IFERROR(IF(INDEX('Test catalog'!$H$2:$H$200,MATCH($AB156,'Test catalog'!$A$2:$A$200,0))="","",INDEX('Test catalog'!$H$2:$H$200,MATCH($AB156,'Test catalog'!$A$2:$A$200,0))),"")</f>
        <v/>
      </c>
      <c r="N156" s="10">
        <f>IFERROR(IF(INDEX('Test catalog'!$I$2:$I$200,MATCH($AB156,'Test catalog'!$A$2:$A$200,0))="","",INDEX('Test catalog'!$I$2:$I$200,MATCH($AB156,'Test catalog'!$A$2:$A$200,0))),"")</f>
        <v/>
      </c>
      <c r="O156" s="10">
        <f>IFERROR(IF(INDEX('Test catalog'!$J$2:$J$200,MATCH($AB156,'Test catalog'!$A$2:$A$200,0))="","",INDEX('Test catalog'!$J$2:$J$200,MATCH($AB156,'Test catalog'!$A$2:$A$200,0))),"")</f>
        <v/>
      </c>
      <c r="P156" s="14">
        <f>IF(N156="","",IF(OR(M156="",O156=""),N156,(M156+4*N156+O156)/6))</f>
        <v/>
      </c>
      <c r="Q156" s="10">
        <f>IFERROR(IF(INDEX('Test catalog'!$K$2:$K$200,MATCH($AB156,'Test catalog'!$A$2:$A$200,0))="","",INDEX('Test catalog'!$K$2:$K$200,MATCH($AB156,'Test catalog'!$A$2:$A$200,0))),"")</f>
        <v/>
      </c>
      <c r="R156" s="5" t="n"/>
      <c r="S156" s="10">
        <f>IFERROR(IF(INDEX('Test catalog'!$L$2:$L$200,MATCH($AB156,'Test catalog'!$A$2:$A$200,0))="","",INDEX('Test catalog'!$L$2:$L$200,MATCH($AB156,'Test catalog'!$A$2:$A$200,0))),"")</f>
        <v/>
      </c>
      <c r="T156" s="10">
        <f>IFERROR(IF(INDEX('Test catalog'!$M$2:$M$200,MATCH($AB156,'Test catalog'!$A$2:$A$200,0))="","",INDEX('Test catalog'!$M$2:$M$200,MATCH($AB156,'Test catalog'!$A$2:$A$200,0))),"")</f>
        <v/>
      </c>
      <c r="U156" s="10">
        <f>IFERROR(IF(INDEX('Test catalog'!$N$2:$N$200,MATCH($AB156,'Test catalog'!$A$2:$A$200,0))="","",INDEX('Test catalog'!$N$2:$N$200,MATCH($AB156,'Test catalog'!$A$2:$A$200,0))),"")</f>
        <v/>
      </c>
      <c r="V156" s="15" t="n"/>
      <c r="W156" s="5" t="inlineStr">
        <is>
          <t>N</t>
        </is>
      </c>
      <c r="X156" s="5" t="n"/>
      <c r="Y156" s="5" t="n"/>
      <c r="Z156" s="5" t="n"/>
      <c r="AA156" s="10">
        <f>IFERROR(IF(INDEX('Test catalog'!$O$2:$O$200,MATCH($AB156,'Test catalog'!$A$2:$A$200,0))="","",INDEX('Test catalog'!$O$2:$O$200,MATCH($AB156,'Test catalog'!$A$2:$A$200,0))),"")</f>
        <v/>
      </c>
      <c r="AB156" s="10" t="inlineStr">
        <is>
          <t>ID_IR</t>
        </is>
      </c>
      <c r="AC156" s="10" t="inlineStr">
        <is>
          <t>Dapagliflozin Propanediol · Identification &lt;197&gt;</t>
        </is>
      </c>
      <c r="AD156" s="10" t="n"/>
      <c r="AE156" s="10" t="n"/>
    </row>
    <row r="157">
      <c r="A157" s="10" t="inlineStr">
        <is>
          <t>Dapagliflozin Propanediol Monohydrate</t>
        </is>
      </c>
      <c r="B157" s="10" t="inlineStr">
        <is>
          <t>RM</t>
        </is>
      </c>
      <c r="C157" s="10" t="inlineStr">
        <is>
          <t>Active</t>
        </is>
      </c>
      <c r="D157" s="10" t="inlineStr">
        <is>
          <t>Assay (HPLC)</t>
        </is>
      </c>
      <c r="E157" s="10">
        <f>IF(A157="","",A157&amp;"|"&amp;D157)</f>
        <v/>
      </c>
      <c r="F157" s="5" t="inlineStr">
        <is>
          <t>Y</t>
        </is>
      </c>
      <c r="G157" s="5" t="inlineStr">
        <is>
          <t>HPLC</t>
        </is>
      </c>
      <c r="H157" s="5" t="inlineStr">
        <is>
          <t>Medium</t>
        </is>
      </c>
      <c r="I157" s="5" t="n">
        <v>1</v>
      </c>
      <c r="J157" s="5" t="n"/>
      <c r="K157" s="5" t="n"/>
      <c r="L157" s="5" t="n"/>
      <c r="M157" s="5" t="n"/>
      <c r="N157" s="5" t="n"/>
      <c r="O157" s="5" t="n"/>
      <c r="P157" s="14">
        <f>IF(N157="","",IF(OR(M157="",O157=""),N157,(M157+4*N157+O157)/6))</f>
        <v/>
      </c>
      <c r="Q157" s="5" t="n"/>
      <c r="R157" s="5" t="n"/>
      <c r="S157" s="5" t="n"/>
      <c r="T157" s="5" t="n"/>
      <c r="U157" s="5" t="n"/>
      <c r="V157" s="15" t="n"/>
      <c r="W157" s="5" t="inlineStr">
        <is>
          <t>N</t>
        </is>
      </c>
      <c r="X157" s="5" t="n"/>
      <c r="Y157" s="5" t="n"/>
      <c r="Z157" s="5" t="n"/>
      <c r="AA157" s="5" t="n"/>
      <c r="AB157" s="10" t="n"/>
      <c r="AC157" s="10" t="inlineStr">
        <is>
          <t>Dapagliflozin Propanediol · Assay</t>
        </is>
      </c>
      <c r="AD157" s="10" t="n"/>
      <c r="AE157" s="10" t="n"/>
    </row>
    <row r="158">
      <c r="A158" s="10" t="inlineStr">
        <is>
          <t>Dapagliflozin Propanediol Monohydrate</t>
        </is>
      </c>
      <c r="B158" s="10" t="inlineStr">
        <is>
          <t>RM</t>
        </is>
      </c>
      <c r="C158" s="10" t="inlineStr">
        <is>
          <t>Active</t>
        </is>
      </c>
      <c r="D158" s="10" t="inlineStr">
        <is>
          <t>Content of Propanediol (GC)</t>
        </is>
      </c>
      <c r="E158" s="10">
        <f>IF(A158="","",A158&amp;"|"&amp;D158)</f>
        <v/>
      </c>
      <c r="F158" s="5" t="inlineStr">
        <is>
          <t>Y</t>
        </is>
      </c>
      <c r="G158" s="5" t="inlineStr">
        <is>
          <t>GC</t>
        </is>
      </c>
      <c r="H158" s="5" t="inlineStr">
        <is>
          <t>Medium</t>
        </is>
      </c>
      <c r="I158" s="5" t="n">
        <v>1</v>
      </c>
      <c r="J158" s="5" t="n"/>
      <c r="K158" s="5" t="n"/>
      <c r="L158" s="5" t="n"/>
      <c r="M158" s="5" t="n"/>
      <c r="N158" s="5" t="n"/>
      <c r="O158" s="5" t="n"/>
      <c r="P158" s="14">
        <f>IF(N158="","",IF(OR(M158="",O158=""),N158,(M158+4*N158+O158)/6))</f>
        <v/>
      </c>
      <c r="Q158" s="5" t="n"/>
      <c r="R158" s="5" t="n"/>
      <c r="S158" s="5" t="n"/>
      <c r="T158" s="5" t="n"/>
      <c r="U158" s="5" t="n"/>
      <c r="V158" s="15" t="n"/>
      <c r="W158" s="5" t="inlineStr">
        <is>
          <t>N</t>
        </is>
      </c>
      <c r="X158" s="5" t="n"/>
      <c r="Y158" s="5" t="n"/>
      <c r="Z158" s="5" t="n"/>
      <c r="AA158" s="5" t="n"/>
      <c r="AB158" s="10" t="n"/>
      <c r="AC158" s="10" t="inlineStr">
        <is>
          <t>Dapagliflozin Propanediol · Other Components &lt;621&gt;</t>
        </is>
      </c>
      <c r="AD158" s="10" t="n"/>
      <c r="AE158" s="10" t="n"/>
    </row>
    <row r="159">
      <c r="A159" s="10" t="inlineStr">
        <is>
          <t>Dapagliflozin Propanediol Monohydrate</t>
        </is>
      </c>
      <c r="B159" s="10" t="inlineStr">
        <is>
          <t>RM</t>
        </is>
      </c>
      <c r="C159" s="10" t="inlineStr">
        <is>
          <t>Active</t>
        </is>
      </c>
      <c r="D159" s="10" t="inlineStr">
        <is>
          <t>Organic Impurities (HPLC)</t>
        </is>
      </c>
      <c r="E159" s="10">
        <f>IF(A159="","",A159&amp;"|"&amp;D159)</f>
        <v/>
      </c>
      <c r="F159" s="5" t="inlineStr">
        <is>
          <t>Y</t>
        </is>
      </c>
      <c r="G159" s="5" t="inlineStr">
        <is>
          <t>HPLC</t>
        </is>
      </c>
      <c r="H159" s="5" t="inlineStr">
        <is>
          <t>Medium</t>
        </is>
      </c>
      <c r="I159" s="5" t="n">
        <v>1</v>
      </c>
      <c r="J159" s="5" t="n"/>
      <c r="K159" s="5" t="n"/>
      <c r="L159" s="5" t="n"/>
      <c r="M159" s="5" t="n"/>
      <c r="N159" s="5" t="n"/>
      <c r="O159" s="5" t="n"/>
      <c r="P159" s="14">
        <f>IF(N159="","",IF(OR(M159="",O159=""),N159,(M159+4*N159+O159)/6))</f>
        <v/>
      </c>
      <c r="Q159" s="5" t="n"/>
      <c r="R159" s="5" t="n"/>
      <c r="S159" s="5" t="n"/>
      <c r="T159" s="5" t="n"/>
      <c r="U159" s="5" t="n"/>
      <c r="V159" s="15" t="n"/>
      <c r="W159" s="5" t="inlineStr">
        <is>
          <t>N</t>
        </is>
      </c>
      <c r="X159" s="5" t="n"/>
      <c r="Y159" s="5" t="n"/>
      <c r="Z159" s="5" t="n"/>
      <c r="AA159" s="5" t="n"/>
      <c r="AB159" s="10" t="n"/>
      <c r="AC159" s="10" t="inlineStr">
        <is>
          <t>Dapagliflozin Propanediol · Impurities</t>
        </is>
      </c>
      <c r="AD159" s="10" t="n"/>
      <c r="AE159" s="10" t="n"/>
    </row>
    <row r="160">
      <c r="A160" s="10" t="inlineStr">
        <is>
          <t>Dapagliflozin Propanediol Monohydrate</t>
        </is>
      </c>
      <c r="B160" s="10" t="inlineStr">
        <is>
          <t>RM</t>
        </is>
      </c>
      <c r="C160" s="10" t="inlineStr">
        <is>
          <t>Active</t>
        </is>
      </c>
      <c r="D160" s="10" t="inlineStr">
        <is>
          <t>Water Determination</t>
        </is>
      </c>
      <c r="E160" s="10">
        <f>IF(A160="","",A160&amp;"|"&amp;D160)</f>
        <v/>
      </c>
      <c r="F160" s="5" t="inlineStr">
        <is>
          <t>Y</t>
        </is>
      </c>
      <c r="G160" s="5" t="inlineStr">
        <is>
          <t>KF titrator</t>
        </is>
      </c>
      <c r="H160" s="5" t="inlineStr">
        <is>
          <t>Low</t>
        </is>
      </c>
      <c r="I160" s="5" t="n">
        <v>1</v>
      </c>
      <c r="J160" s="5" t="n"/>
      <c r="K160" s="10">
        <f>IFERROR(IF(INDEX('Test catalog'!$F$2:$F$200,MATCH($AB160,'Test catalog'!$A$2:$A$200,0))="","",INDEX('Test catalog'!$F$2:$F$200,MATCH($AB160,'Test catalog'!$A$2:$A$200,0))),"")</f>
        <v/>
      </c>
      <c r="L160" s="10">
        <f>IFERROR(IF(INDEX('Test catalog'!$G$2:$G$200,MATCH($AB160,'Test catalog'!$A$2:$A$200,0))="","",INDEX('Test catalog'!$G$2:$G$200,MATCH($AB160,'Test catalog'!$A$2:$A$200,0))),"")</f>
        <v/>
      </c>
      <c r="M160" s="10">
        <f>IFERROR(IF(INDEX('Test catalog'!$H$2:$H$200,MATCH($AB160,'Test catalog'!$A$2:$A$200,0))="","",INDEX('Test catalog'!$H$2:$H$200,MATCH($AB160,'Test catalog'!$A$2:$A$200,0))),"")</f>
        <v/>
      </c>
      <c r="N160" s="10">
        <f>IFERROR(IF(INDEX('Test catalog'!$I$2:$I$200,MATCH($AB160,'Test catalog'!$A$2:$A$200,0))="","",INDEX('Test catalog'!$I$2:$I$200,MATCH($AB160,'Test catalog'!$A$2:$A$200,0))),"")</f>
        <v/>
      </c>
      <c r="O160" s="10">
        <f>IFERROR(IF(INDEX('Test catalog'!$J$2:$J$200,MATCH($AB160,'Test catalog'!$A$2:$A$200,0))="","",INDEX('Test catalog'!$J$2:$J$200,MATCH($AB160,'Test catalog'!$A$2:$A$200,0))),"")</f>
        <v/>
      </c>
      <c r="P160" s="14">
        <f>IF(N160="","",IF(OR(M160="",O160=""),N160,(M160+4*N160+O160)/6))</f>
        <v/>
      </c>
      <c r="Q160" s="10">
        <f>IFERROR(IF(INDEX('Test catalog'!$K$2:$K$200,MATCH($AB160,'Test catalog'!$A$2:$A$200,0))="","",INDEX('Test catalog'!$K$2:$K$200,MATCH($AB160,'Test catalog'!$A$2:$A$200,0))),"")</f>
        <v/>
      </c>
      <c r="R160" s="5" t="n"/>
      <c r="S160" s="10">
        <f>IFERROR(IF(INDEX('Test catalog'!$L$2:$L$200,MATCH($AB160,'Test catalog'!$A$2:$A$200,0))="","",INDEX('Test catalog'!$L$2:$L$200,MATCH($AB160,'Test catalog'!$A$2:$A$200,0))),"")</f>
        <v/>
      </c>
      <c r="T160" s="10">
        <f>IFERROR(IF(INDEX('Test catalog'!$M$2:$M$200,MATCH($AB160,'Test catalog'!$A$2:$A$200,0))="","",INDEX('Test catalog'!$M$2:$M$200,MATCH($AB160,'Test catalog'!$A$2:$A$200,0))),"")</f>
        <v/>
      </c>
      <c r="U160" s="10">
        <f>IFERROR(IF(INDEX('Test catalog'!$N$2:$N$200,MATCH($AB160,'Test catalog'!$A$2:$A$200,0))="","",INDEX('Test catalog'!$N$2:$N$200,MATCH($AB160,'Test catalog'!$A$2:$A$200,0))),"")</f>
        <v/>
      </c>
      <c r="V160" s="15" t="n"/>
      <c r="W160" s="5" t="inlineStr">
        <is>
          <t>N</t>
        </is>
      </c>
      <c r="X160" s="5" t="n"/>
      <c r="Y160" s="5" t="n"/>
      <c r="Z160" s="5" t="n"/>
      <c r="AA160" s="10">
        <f>IFERROR(IF(INDEX('Test catalog'!$O$2:$O$200,MATCH($AB160,'Test catalog'!$A$2:$A$200,0))="","",INDEX('Test catalog'!$O$2:$O$200,MATCH($AB160,'Test catalog'!$A$2:$A$200,0))),"")</f>
        <v/>
      </c>
      <c r="AB160" s="10" t="inlineStr">
        <is>
          <t>KF</t>
        </is>
      </c>
      <c r="AC160" s="10" t="inlineStr">
        <is>
          <t>Dapagliflozin Propanediol · Specific Tests &lt;921&gt;</t>
        </is>
      </c>
      <c r="AD160" s="10" t="n"/>
      <c r="AE160" s="10" t="n"/>
    </row>
    <row r="161">
      <c r="A161" s="10" t="inlineStr">
        <is>
          <t>Devil's Claw Dry Extract 6:1</t>
        </is>
      </c>
      <c r="B161" s="10" t="inlineStr">
        <is>
          <t>RM</t>
        </is>
      </c>
      <c r="C161" s="10" t="inlineStr">
        <is>
          <t>Active</t>
        </is>
      </c>
      <c r="D161" s="10" t="inlineStr">
        <is>
          <t>Assay + related substances</t>
        </is>
      </c>
      <c r="E161" s="10">
        <f>IF(A161="","",A161&amp;"|"&amp;D161)</f>
        <v/>
      </c>
      <c r="F161" s="5" t="inlineStr">
        <is>
          <t>Y</t>
        </is>
      </c>
      <c r="G161" s="5" t="inlineStr">
        <is>
          <t>HPLC</t>
        </is>
      </c>
      <c r="H161" s="5" t="inlineStr">
        <is>
          <t>Medium</t>
        </is>
      </c>
      <c r="I161" s="5" t="n">
        <v>1</v>
      </c>
      <c r="J161" s="5" t="n"/>
      <c r="K161" s="5" t="n"/>
      <c r="L161" s="5" t="n"/>
      <c r="M161" s="5" t="n"/>
      <c r="N161" s="5" t="n"/>
      <c r="O161" s="5" t="n"/>
      <c r="P161" s="14">
        <f>IF(N161="","",IF(OR(M161="",O161=""),N161,(M161+4*N161+O161)/6))</f>
        <v/>
      </c>
      <c r="Q161" s="5" t="n"/>
      <c r="R161" s="5" t="n"/>
      <c r="S161" s="5" t="n"/>
      <c r="T161" s="5" t="n"/>
      <c r="U161" s="5" t="n"/>
      <c r="V161" s="15" t="n"/>
      <c r="W161" s="5" t="inlineStr">
        <is>
          <t>N</t>
        </is>
      </c>
      <c r="X161" s="5" t="n"/>
      <c r="Y161" s="5" t="n"/>
      <c r="Z161" s="5" t="n"/>
      <c r="AA161" s="5" t="n"/>
      <c r="AB161" s="10" t="n"/>
      <c r="AC161" s="10" t="n"/>
      <c r="AD161" s="10" t="inlineStr">
        <is>
          <t>No USP-NF monograph - in-house / supplier spec</t>
        </is>
      </c>
      <c r="AE161" s="10" t="n">
        <v>0.5</v>
      </c>
      <c r="AF161" s="10" t="inlineStr">
        <is>
          <t>Identification</t>
        </is>
      </c>
    </row>
    <row r="162">
      <c r="A162" s="10" t="inlineStr">
        <is>
          <t>Devil's Claw Dry Extract 6:1</t>
        </is>
      </c>
      <c r="B162" s="10" t="inlineStr">
        <is>
          <t>RM</t>
        </is>
      </c>
      <c r="C162" s="10" t="inlineStr">
        <is>
          <t>Active</t>
        </is>
      </c>
      <c r="D162" s="10" t="inlineStr">
        <is>
          <t>Other compendial tests (ID, LOD/KF, heavy metals...)</t>
        </is>
      </c>
      <c r="E162" s="10">
        <f>IF(A162="","",A162&amp;"|"&amp;D162)</f>
        <v/>
      </c>
      <c r="F162" s="5" t="inlineStr">
        <is>
          <t>Y</t>
        </is>
      </c>
      <c r="G162" s="5" t="inlineStr">
        <is>
          <t>Other / bench</t>
        </is>
      </c>
      <c r="H162" s="5" t="inlineStr">
        <is>
          <t>Low</t>
        </is>
      </c>
      <c r="I162" s="5" t="n">
        <v>1</v>
      </c>
      <c r="J162" s="5" t="n"/>
      <c r="K162" s="5" t="n"/>
      <c r="L162" s="5" t="n"/>
      <c r="M162" s="5" t="n"/>
      <c r="N162" s="5" t="n"/>
      <c r="O162" s="5" t="n"/>
      <c r="P162" s="14">
        <f>IF(N162="","",IF(OR(M162="",O162=""),N162,(M162+4*N162+O162)/6))</f>
        <v/>
      </c>
      <c r="Q162" s="5" t="n"/>
      <c r="R162" s="5" t="n"/>
      <c r="S162" s="5" t="n"/>
      <c r="T162" s="5" t="n"/>
      <c r="U162" s="5" t="n"/>
      <c r="V162" s="15" t="n"/>
      <c r="W162" s="5" t="inlineStr">
        <is>
          <t>N</t>
        </is>
      </c>
      <c r="X162" s="5" t="n"/>
      <c r="Y162" s="5" t="n"/>
      <c r="Z162" s="5" t="n"/>
      <c r="AA162" s="5" t="n"/>
      <c r="AB162" s="10" t="n"/>
      <c r="AC162" s="10" t="n"/>
      <c r="AD162" s="10" t="inlineStr">
        <is>
          <t>No USP-NF monograph - in-house / supplier spec</t>
        </is>
      </c>
      <c r="AE162" s="10" t="n">
        <v>3.07</v>
      </c>
      <c r="AF162" s="10" t="inlineStr">
        <is>
          <t>Appearance- Colour- Odour-Particle Size-Loss on drying- Ash Content</t>
        </is>
      </c>
    </row>
    <row r="163">
      <c r="A163" s="10" t="inlineStr">
        <is>
          <t>Dexlansoprazole Pellets 20%</t>
        </is>
      </c>
      <c r="B163" s="10" t="inlineStr">
        <is>
          <t>RM</t>
        </is>
      </c>
      <c r="C163" s="10" t="inlineStr">
        <is>
          <t>Active</t>
        </is>
      </c>
      <c r="D163" s="10" t="inlineStr">
        <is>
          <t>Assay + related substances</t>
        </is>
      </c>
      <c r="E163" s="10">
        <f>IF(A163="","",A163&amp;"|"&amp;D163)</f>
        <v/>
      </c>
      <c r="F163" s="5" t="inlineStr">
        <is>
          <t>Y</t>
        </is>
      </c>
      <c r="G163" s="5" t="inlineStr">
        <is>
          <t>HPLC</t>
        </is>
      </c>
      <c r="H163" s="5" t="inlineStr">
        <is>
          <t>Medium</t>
        </is>
      </c>
      <c r="I163" s="5" t="n">
        <v>1</v>
      </c>
      <c r="J163" s="5" t="n"/>
      <c r="K163" s="5" t="n"/>
      <c r="L163" s="5" t="n"/>
      <c r="M163" s="5" t="n"/>
      <c r="N163" s="5" t="n"/>
      <c r="O163" s="5" t="n"/>
      <c r="P163" s="14">
        <f>IF(N163="","",IF(OR(M163="",O163=""),N163,(M163+4*N163+O163)/6))</f>
        <v/>
      </c>
      <c r="Q163" s="5" t="n"/>
      <c r="R163" s="5" t="n"/>
      <c r="S163" s="5" t="n"/>
      <c r="T163" s="5" t="n"/>
      <c r="U163" s="5" t="n"/>
      <c r="V163" s="15" t="n"/>
      <c r="W163" s="5" t="inlineStr">
        <is>
          <t>N</t>
        </is>
      </c>
      <c r="X163" s="5" t="n"/>
      <c r="Y163" s="5" t="n"/>
      <c r="Z163" s="5" t="n"/>
      <c r="AA163" s="5" t="n"/>
      <c r="AB163" s="10" t="n"/>
      <c r="AC163" s="10" t="n"/>
      <c r="AD163" s="10" t="inlineStr">
        <is>
          <t>No USP-NF monograph - in-house / supplier spec</t>
        </is>
      </c>
      <c r="AE163" s="10" t="n"/>
      <c r="AF163" s="10" t="n"/>
    </row>
    <row r="164">
      <c r="A164" s="10" t="inlineStr">
        <is>
          <t>Dexlansoprazole Pellets 20%</t>
        </is>
      </c>
      <c r="B164" s="10" t="inlineStr">
        <is>
          <t>RM</t>
        </is>
      </c>
      <c r="C164" s="10" t="inlineStr">
        <is>
          <t>Active</t>
        </is>
      </c>
      <c r="D164" s="10" t="inlineStr">
        <is>
          <t>Other compendial tests (ID, LOD/KF, heavy metals...)</t>
        </is>
      </c>
      <c r="E164" s="10">
        <f>IF(A164="","",A164&amp;"|"&amp;D164)</f>
        <v/>
      </c>
      <c r="F164" s="5" t="inlineStr">
        <is>
          <t>Y</t>
        </is>
      </c>
      <c r="G164" s="5" t="inlineStr">
        <is>
          <t>Other / bench</t>
        </is>
      </c>
      <c r="H164" s="5" t="inlineStr">
        <is>
          <t>Low</t>
        </is>
      </c>
      <c r="I164" s="5" t="n">
        <v>1</v>
      </c>
      <c r="J164" s="5" t="n"/>
      <c r="K164" s="5" t="n"/>
      <c r="L164" s="5" t="n"/>
      <c r="M164" s="5" t="n"/>
      <c r="N164" s="5" t="n"/>
      <c r="O164" s="5" t="n"/>
      <c r="P164" s="14">
        <f>IF(N164="","",IF(OR(M164="",O164=""),N164,(M164+4*N164+O164)/6))</f>
        <v/>
      </c>
      <c r="Q164" s="5" t="n"/>
      <c r="R164" s="5" t="n"/>
      <c r="S164" s="5" t="n"/>
      <c r="T164" s="5" t="n"/>
      <c r="U164" s="5" t="n"/>
      <c r="V164" s="15" t="n"/>
      <c r="W164" s="5" t="inlineStr">
        <is>
          <t>N</t>
        </is>
      </c>
      <c r="X164" s="5" t="n"/>
      <c r="Y164" s="5" t="n"/>
      <c r="Z164" s="5" t="n"/>
      <c r="AA164" s="5" t="n"/>
      <c r="AB164" s="10" t="n"/>
      <c r="AC164" s="10" t="n"/>
      <c r="AD164" s="10" t="inlineStr">
        <is>
          <t>No USP-NF monograph - in-house / supplier spec</t>
        </is>
      </c>
      <c r="AE164" s="10" t="n"/>
      <c r="AF164" s="10" t="n"/>
    </row>
    <row r="165">
      <c r="A165" s="10" t="inlineStr">
        <is>
          <t>Dextromethorphan HBr</t>
        </is>
      </c>
      <c r="B165" s="10" t="inlineStr">
        <is>
          <t>RM</t>
        </is>
      </c>
      <c r="C165" s="10" t="inlineStr">
        <is>
          <t>Active</t>
        </is>
      </c>
      <c r="D165" s="10" t="inlineStr">
        <is>
          <t>Appearance / description and solubility</t>
        </is>
      </c>
      <c r="E165" s="10">
        <f>IF(A165="","",A165&amp;"|"&amp;D165)</f>
        <v/>
      </c>
      <c r="F165" s="5" t="inlineStr">
        <is>
          <t>Y</t>
        </is>
      </c>
      <c r="G165" s="5" t="inlineStr">
        <is>
          <t>Other / bench</t>
        </is>
      </c>
      <c r="H165" s="5" t="inlineStr">
        <is>
          <t>Low</t>
        </is>
      </c>
      <c r="I165" s="5" t="n">
        <v>1</v>
      </c>
      <c r="J165" s="5" t="n"/>
      <c r="K165" s="10">
        <f>IFERROR(IF(INDEX('Test catalog'!$F$2:$F$200,MATCH($AB165,'Test catalog'!$A$2:$A$200,0))="","",INDEX('Test catalog'!$F$2:$F$200,MATCH($AB165,'Test catalog'!$A$2:$A$200,0))),"")</f>
        <v/>
      </c>
      <c r="L165" s="10">
        <f>IFERROR(IF(INDEX('Test catalog'!$G$2:$G$200,MATCH($AB165,'Test catalog'!$A$2:$A$200,0))="","",INDEX('Test catalog'!$G$2:$G$200,MATCH($AB165,'Test catalog'!$A$2:$A$200,0))),"")</f>
        <v/>
      </c>
      <c r="M165" s="10">
        <f>IFERROR(IF(INDEX('Test catalog'!$H$2:$H$200,MATCH($AB165,'Test catalog'!$A$2:$A$200,0))="","",INDEX('Test catalog'!$H$2:$H$200,MATCH($AB165,'Test catalog'!$A$2:$A$200,0))),"")</f>
        <v/>
      </c>
      <c r="N165" s="10">
        <f>IFERROR(IF(INDEX('Test catalog'!$I$2:$I$200,MATCH($AB165,'Test catalog'!$A$2:$A$200,0))="","",INDEX('Test catalog'!$I$2:$I$200,MATCH($AB165,'Test catalog'!$A$2:$A$200,0))),"")</f>
        <v/>
      </c>
      <c r="O165" s="10">
        <f>IFERROR(IF(INDEX('Test catalog'!$J$2:$J$200,MATCH($AB165,'Test catalog'!$A$2:$A$200,0))="","",INDEX('Test catalog'!$J$2:$J$200,MATCH($AB165,'Test catalog'!$A$2:$A$200,0))),"")</f>
        <v/>
      </c>
      <c r="P165" s="14">
        <f>IF(N165="","",IF(OR(M165="",O165=""),N165,(M165+4*N165+O165)/6))</f>
        <v/>
      </c>
      <c r="Q165" s="10">
        <f>IFERROR(IF(INDEX('Test catalog'!$K$2:$K$200,MATCH($AB165,'Test catalog'!$A$2:$A$200,0))="","",INDEX('Test catalog'!$K$2:$K$200,MATCH($AB165,'Test catalog'!$A$2:$A$200,0))),"")</f>
        <v/>
      </c>
      <c r="R165" s="5" t="n"/>
      <c r="S165" s="10">
        <f>IFERROR(IF(INDEX('Test catalog'!$L$2:$L$200,MATCH($AB165,'Test catalog'!$A$2:$A$200,0))="","",INDEX('Test catalog'!$L$2:$L$200,MATCH($AB165,'Test catalog'!$A$2:$A$200,0))),"")</f>
        <v/>
      </c>
      <c r="T165" s="10">
        <f>IFERROR(IF(INDEX('Test catalog'!$M$2:$M$200,MATCH($AB165,'Test catalog'!$A$2:$A$200,0))="","",INDEX('Test catalog'!$M$2:$M$200,MATCH($AB165,'Test catalog'!$A$2:$A$200,0))),"")</f>
        <v/>
      </c>
      <c r="U165" s="10">
        <f>IFERROR(IF(INDEX('Test catalog'!$N$2:$N$200,MATCH($AB165,'Test catalog'!$A$2:$A$200,0))="","",INDEX('Test catalog'!$N$2:$N$200,MATCH($AB165,'Test catalog'!$A$2:$A$200,0))),"")</f>
        <v/>
      </c>
      <c r="V165" s="15" t="n"/>
      <c r="W165" s="5" t="inlineStr">
        <is>
          <t>N</t>
        </is>
      </c>
      <c r="X165" s="5" t="n"/>
      <c r="Y165" s="5" t="n"/>
      <c r="Z165" s="5" t="n"/>
      <c r="AA165" s="10">
        <f>IFERROR(IF(INDEX('Test catalog'!$O$2:$O$200,MATCH($AB165,'Test catalog'!$A$2:$A$200,0))="","",INDEX('Test catalog'!$O$2:$O$200,MATCH($AB165,'Test catalog'!$A$2:$A$200,0))),"")</f>
        <v/>
      </c>
      <c r="AB165" s="10" t="inlineStr">
        <is>
          <t>APPEAR</t>
        </is>
      </c>
      <c r="AC165" s="10" t="inlineStr">
        <is>
          <t>Lab practice (not a USP test)</t>
        </is>
      </c>
      <c r="AD165" s="10" t="n"/>
      <c r="AE165" s="10" t="n"/>
    </row>
    <row r="166">
      <c r="A166" s="10" t="inlineStr">
        <is>
          <t>Dextromethorphan HBr</t>
        </is>
      </c>
      <c r="B166" s="10" t="inlineStr">
        <is>
          <t>RM</t>
        </is>
      </c>
      <c r="C166" s="10" t="inlineStr">
        <is>
          <t>Active</t>
        </is>
      </c>
      <c r="D166" s="10" t="inlineStr">
        <is>
          <t>ID A - IR spectrum</t>
        </is>
      </c>
      <c r="E166" s="10">
        <f>IF(A166="","",A166&amp;"|"&amp;D166)</f>
        <v/>
      </c>
      <c r="F166" s="5" t="inlineStr">
        <is>
          <t>Y</t>
        </is>
      </c>
      <c r="G166" s="5" t="inlineStr">
        <is>
          <t>Other / bench</t>
        </is>
      </c>
      <c r="H166" s="5" t="inlineStr">
        <is>
          <t>Low</t>
        </is>
      </c>
      <c r="I166" s="5" t="n">
        <v>1</v>
      </c>
      <c r="J166" s="5" t="n"/>
      <c r="K166" s="10">
        <f>IFERROR(IF(INDEX('Test catalog'!$F$2:$F$200,MATCH($AB166,'Test catalog'!$A$2:$A$200,0))="","",INDEX('Test catalog'!$F$2:$F$200,MATCH($AB166,'Test catalog'!$A$2:$A$200,0))),"")</f>
        <v/>
      </c>
      <c r="L166" s="10">
        <f>IFERROR(IF(INDEX('Test catalog'!$G$2:$G$200,MATCH($AB166,'Test catalog'!$A$2:$A$200,0))="","",INDEX('Test catalog'!$G$2:$G$200,MATCH($AB166,'Test catalog'!$A$2:$A$200,0))),"")</f>
        <v/>
      </c>
      <c r="M166" s="10">
        <f>IFERROR(IF(INDEX('Test catalog'!$H$2:$H$200,MATCH($AB166,'Test catalog'!$A$2:$A$200,0))="","",INDEX('Test catalog'!$H$2:$H$200,MATCH($AB166,'Test catalog'!$A$2:$A$200,0))),"")</f>
        <v/>
      </c>
      <c r="N166" s="10">
        <f>IFERROR(IF(INDEX('Test catalog'!$I$2:$I$200,MATCH($AB166,'Test catalog'!$A$2:$A$200,0))="","",INDEX('Test catalog'!$I$2:$I$200,MATCH($AB166,'Test catalog'!$A$2:$A$200,0))),"")</f>
        <v/>
      </c>
      <c r="O166" s="10">
        <f>IFERROR(IF(INDEX('Test catalog'!$J$2:$J$200,MATCH($AB166,'Test catalog'!$A$2:$A$200,0))="","",INDEX('Test catalog'!$J$2:$J$200,MATCH($AB166,'Test catalog'!$A$2:$A$200,0))),"")</f>
        <v/>
      </c>
      <c r="P166" s="14">
        <f>IF(N166="","",IF(OR(M166="",O166=""),N166,(M166+4*N166+O166)/6))</f>
        <v/>
      </c>
      <c r="Q166" s="10">
        <f>IFERROR(IF(INDEX('Test catalog'!$K$2:$K$200,MATCH($AB166,'Test catalog'!$A$2:$A$200,0))="","",INDEX('Test catalog'!$K$2:$K$200,MATCH($AB166,'Test catalog'!$A$2:$A$200,0))),"")</f>
        <v/>
      </c>
      <c r="R166" s="5" t="n"/>
      <c r="S166" s="10">
        <f>IFERROR(IF(INDEX('Test catalog'!$L$2:$L$200,MATCH($AB166,'Test catalog'!$A$2:$A$200,0))="","",INDEX('Test catalog'!$L$2:$L$200,MATCH($AB166,'Test catalog'!$A$2:$A$200,0))),"")</f>
        <v/>
      </c>
      <c r="T166" s="10">
        <f>IFERROR(IF(INDEX('Test catalog'!$M$2:$M$200,MATCH($AB166,'Test catalog'!$A$2:$A$200,0))="","",INDEX('Test catalog'!$M$2:$M$200,MATCH($AB166,'Test catalog'!$A$2:$A$200,0))),"")</f>
        <v/>
      </c>
      <c r="U166" s="10">
        <f>IFERROR(IF(INDEX('Test catalog'!$N$2:$N$200,MATCH($AB166,'Test catalog'!$A$2:$A$200,0))="","",INDEX('Test catalog'!$N$2:$N$200,MATCH($AB166,'Test catalog'!$A$2:$A$200,0))),"")</f>
        <v/>
      </c>
      <c r="V166" s="15" t="n"/>
      <c r="W166" s="5" t="inlineStr">
        <is>
          <t>N</t>
        </is>
      </c>
      <c r="X166" s="5" t="n"/>
      <c r="Y166" s="5" t="n"/>
      <c r="Z166" s="5" t="n"/>
      <c r="AA166" s="10">
        <f>IFERROR(IF(INDEX('Test catalog'!$O$2:$O$200,MATCH($AB166,'Test catalog'!$A$2:$A$200,0))="","",INDEX('Test catalog'!$O$2:$O$200,MATCH($AB166,'Test catalog'!$A$2:$A$200,0))),"")</f>
        <v/>
      </c>
      <c r="AB166" s="10" t="inlineStr">
        <is>
          <t>ID_IR</t>
        </is>
      </c>
      <c r="AC166" s="10" t="inlineStr">
        <is>
          <t>Dextromethorphan Hydrobromide · Identification &lt;197&gt;</t>
        </is>
      </c>
      <c r="AD166" s="10" t="n"/>
      <c r="AE166" s="10" t="n"/>
    </row>
    <row r="167">
      <c r="A167" s="10" t="inlineStr">
        <is>
          <t>Dextromethorphan HBr</t>
        </is>
      </c>
      <c r="B167" s="10" t="inlineStr">
        <is>
          <t>RM</t>
        </is>
      </c>
      <c r="C167" s="10" t="inlineStr">
        <is>
          <t>Active</t>
        </is>
      </c>
      <c r="D167" s="10" t="inlineStr">
        <is>
          <t>ID B - HPLC</t>
        </is>
      </c>
      <c r="E167" s="10">
        <f>IF(A167="","",A167&amp;"|"&amp;D167)</f>
        <v/>
      </c>
      <c r="F167" s="5" t="inlineStr">
        <is>
          <t>Y</t>
        </is>
      </c>
      <c r="G167" s="5" t="inlineStr">
        <is>
          <t>HPLC</t>
        </is>
      </c>
      <c r="H167" s="5" t="inlineStr">
        <is>
          <t>Medium</t>
        </is>
      </c>
      <c r="I167" s="5" t="n">
        <v>1</v>
      </c>
      <c r="J167" s="5" t="n"/>
      <c r="K167" s="5" t="n"/>
      <c r="L167" s="5" t="n"/>
      <c r="M167" s="5" t="n"/>
      <c r="N167" s="5" t="n"/>
      <c r="O167" s="5" t="n"/>
      <c r="P167" s="14">
        <f>IF(N167="","",IF(OR(M167="",O167=""),N167,(M167+4*N167+O167)/6))</f>
        <v/>
      </c>
      <c r="Q167" s="5" t="n"/>
      <c r="R167" s="5" t="n"/>
      <c r="S167" s="5" t="n"/>
      <c r="T167" s="5" t="n"/>
      <c r="U167" s="5" t="n"/>
      <c r="V167" s="15" t="n"/>
      <c r="W167" s="5" t="inlineStr">
        <is>
          <t>N</t>
        </is>
      </c>
      <c r="X167" s="5" t="n"/>
      <c r="Y167" s="5" t="n"/>
      <c r="Z167" s="5" t="n"/>
      <c r="AA167" s="5" t="n"/>
      <c r="AB167" s="10" t="n"/>
      <c r="AC167" s="10" t="inlineStr">
        <is>
          <t>Dextromethorphan Hydrobromide · Identification</t>
        </is>
      </c>
      <c r="AD167" s="10" t="n"/>
      <c r="AE167" s="10" t="n"/>
    </row>
    <row r="168">
      <c r="A168" s="10" t="inlineStr">
        <is>
          <t>Dextromethorphan HBr</t>
        </is>
      </c>
      <c r="B168" s="10" t="inlineStr">
        <is>
          <t>RM</t>
        </is>
      </c>
      <c r="C168" s="10" t="inlineStr">
        <is>
          <t>Active</t>
        </is>
      </c>
      <c r="D168" s="10" t="inlineStr">
        <is>
          <t>Assay (HPLC)</t>
        </is>
      </c>
      <c r="E168" s="10">
        <f>IF(A168="","",A168&amp;"|"&amp;D168)</f>
        <v/>
      </c>
      <c r="F168" s="5" t="inlineStr">
        <is>
          <t>Y</t>
        </is>
      </c>
      <c r="G168" s="5" t="inlineStr">
        <is>
          <t>HPLC</t>
        </is>
      </c>
      <c r="H168" s="5" t="inlineStr">
        <is>
          <t>Medium</t>
        </is>
      </c>
      <c r="I168" s="5" t="n">
        <v>1</v>
      </c>
      <c r="J168" s="5" t="n"/>
      <c r="K168" s="5" t="n"/>
      <c r="L168" s="5" t="n"/>
      <c r="M168" s="5" t="n"/>
      <c r="N168" s="5" t="n"/>
      <c r="O168" s="5" t="n"/>
      <c r="P168" s="14">
        <f>IF(N168="","",IF(OR(M168="",O168=""),N168,(M168+4*N168+O168)/6))</f>
        <v/>
      </c>
      <c r="Q168" s="5" t="n"/>
      <c r="R168" s="5" t="n"/>
      <c r="S168" s="5" t="n"/>
      <c r="T168" s="5" t="n"/>
      <c r="U168" s="5" t="n"/>
      <c r="V168" s="15" t="n"/>
      <c r="W168" s="5" t="inlineStr">
        <is>
          <t>N</t>
        </is>
      </c>
      <c r="X168" s="5" t="n"/>
      <c r="Y168" s="5" t="n"/>
      <c r="Z168" s="5" t="n"/>
      <c r="AA168" s="5" t="n"/>
      <c r="AB168" s="10" t="n"/>
      <c r="AC168" s="10" t="inlineStr">
        <is>
          <t>Dextromethorphan Hydrobromide · Assay</t>
        </is>
      </c>
      <c r="AD168" s="10" t="n"/>
      <c r="AE168" s="10" t="n"/>
    </row>
    <row r="169">
      <c r="A169" s="10" t="inlineStr">
        <is>
          <t>Dextromethorphan HBr</t>
        </is>
      </c>
      <c r="B169" s="10" t="inlineStr">
        <is>
          <t>RM</t>
        </is>
      </c>
      <c r="C169" s="10" t="inlineStr">
        <is>
          <t>Active</t>
        </is>
      </c>
      <c r="D169" s="10" t="inlineStr">
        <is>
          <t>Residue on Ignition</t>
        </is>
      </c>
      <c r="E169" s="10">
        <f>IF(A169="","",A169&amp;"|"&amp;D169)</f>
        <v/>
      </c>
      <c r="F169" s="5" t="inlineStr">
        <is>
          <t>Y</t>
        </is>
      </c>
      <c r="G169" s="5" t="inlineStr">
        <is>
          <t>Other / bench</t>
        </is>
      </c>
      <c r="H169" s="5" t="inlineStr">
        <is>
          <t>Low</t>
        </is>
      </c>
      <c r="I169" s="5" t="n">
        <v>1</v>
      </c>
      <c r="J169" s="5" t="n"/>
      <c r="K169" s="10">
        <f>IFERROR(IF(INDEX('Test catalog'!$F$2:$F$200,MATCH($AB169,'Test catalog'!$A$2:$A$200,0))="","",INDEX('Test catalog'!$F$2:$F$200,MATCH($AB169,'Test catalog'!$A$2:$A$200,0))),"")</f>
        <v/>
      </c>
      <c r="L169" s="10">
        <f>IFERROR(IF(INDEX('Test catalog'!$G$2:$G$200,MATCH($AB169,'Test catalog'!$A$2:$A$200,0))="","",INDEX('Test catalog'!$G$2:$G$200,MATCH($AB169,'Test catalog'!$A$2:$A$200,0))),"")</f>
        <v/>
      </c>
      <c r="M169" s="10">
        <f>IFERROR(IF(INDEX('Test catalog'!$H$2:$H$200,MATCH($AB169,'Test catalog'!$A$2:$A$200,0))="","",INDEX('Test catalog'!$H$2:$H$200,MATCH($AB169,'Test catalog'!$A$2:$A$200,0))),"")</f>
        <v/>
      </c>
      <c r="N169" s="10">
        <f>IFERROR(IF(INDEX('Test catalog'!$I$2:$I$200,MATCH($AB169,'Test catalog'!$A$2:$A$200,0))="","",INDEX('Test catalog'!$I$2:$I$200,MATCH($AB169,'Test catalog'!$A$2:$A$200,0))),"")</f>
        <v/>
      </c>
      <c r="O169" s="10">
        <f>IFERROR(IF(INDEX('Test catalog'!$J$2:$J$200,MATCH($AB169,'Test catalog'!$A$2:$A$200,0))="","",INDEX('Test catalog'!$J$2:$J$200,MATCH($AB169,'Test catalog'!$A$2:$A$200,0))),"")</f>
        <v/>
      </c>
      <c r="P169" s="14">
        <f>IF(N169="","",IF(OR(M169="",O169=""),N169,(M169+4*N169+O169)/6))</f>
        <v/>
      </c>
      <c r="Q169" s="10">
        <f>IFERROR(IF(INDEX('Test catalog'!$K$2:$K$200,MATCH($AB169,'Test catalog'!$A$2:$A$200,0))="","",INDEX('Test catalog'!$K$2:$K$200,MATCH($AB169,'Test catalog'!$A$2:$A$200,0))),"")</f>
        <v/>
      </c>
      <c r="R169" s="5" t="n"/>
      <c r="S169" s="10">
        <f>IFERROR(IF(INDEX('Test catalog'!$L$2:$L$200,MATCH($AB169,'Test catalog'!$A$2:$A$200,0))="","",INDEX('Test catalog'!$L$2:$L$200,MATCH($AB169,'Test catalog'!$A$2:$A$200,0))),"")</f>
        <v/>
      </c>
      <c r="T169" s="10">
        <f>IFERROR(IF(INDEX('Test catalog'!$M$2:$M$200,MATCH($AB169,'Test catalog'!$A$2:$A$200,0))="","",INDEX('Test catalog'!$M$2:$M$200,MATCH($AB169,'Test catalog'!$A$2:$A$200,0))),"")</f>
        <v/>
      </c>
      <c r="U169" s="10">
        <f>IFERROR(IF(INDEX('Test catalog'!$N$2:$N$200,MATCH($AB169,'Test catalog'!$A$2:$A$200,0))="","",INDEX('Test catalog'!$N$2:$N$200,MATCH($AB169,'Test catalog'!$A$2:$A$200,0))),"")</f>
        <v/>
      </c>
      <c r="V169" s="15" t="n"/>
      <c r="W169" s="5" t="inlineStr">
        <is>
          <t>N</t>
        </is>
      </c>
      <c r="X169" s="5" t="n"/>
      <c r="Y169" s="5" t="n"/>
      <c r="Z169" s="5" t="n"/>
      <c r="AA169" s="10">
        <f>IFERROR(IF(INDEX('Test catalog'!$O$2:$O$200,MATCH($AB169,'Test catalog'!$A$2:$A$200,0))="","",INDEX('Test catalog'!$O$2:$O$200,MATCH($AB169,'Test catalog'!$A$2:$A$200,0))),"")</f>
        <v/>
      </c>
      <c r="AB169" s="10" t="inlineStr">
        <is>
          <t>ROI</t>
        </is>
      </c>
      <c r="AC169" s="10" t="inlineStr">
        <is>
          <t>Dextromethorphan Hydrobromide · Impurities &lt;281&gt;</t>
        </is>
      </c>
      <c r="AD169" s="10" t="n"/>
      <c r="AE169" s="10" t="n"/>
    </row>
    <row r="170">
      <c r="A170" s="10" t="inlineStr">
        <is>
          <t>Dextromethorphan HBr</t>
        </is>
      </c>
      <c r="B170" s="10" t="inlineStr">
        <is>
          <t>RM</t>
        </is>
      </c>
      <c r="C170" s="10" t="inlineStr">
        <is>
          <t>Active</t>
        </is>
      </c>
      <c r="D170" s="10" t="inlineStr">
        <is>
          <t>Limit of Phenolic Compounds</t>
        </is>
      </c>
      <c r="E170" s="10">
        <f>IF(A170="","",A170&amp;"|"&amp;D170)</f>
        <v/>
      </c>
      <c r="F170" s="5" t="inlineStr">
        <is>
          <t>Y</t>
        </is>
      </c>
      <c r="G170" s="5" t="inlineStr">
        <is>
          <t>Other / bench</t>
        </is>
      </c>
      <c r="H170" s="5" t="inlineStr">
        <is>
          <t>Low</t>
        </is>
      </c>
      <c r="I170" s="5" t="n">
        <v>1</v>
      </c>
      <c r="J170" s="5" t="n"/>
      <c r="K170" s="10">
        <f>IFERROR(IF(INDEX('Test catalog'!$F$2:$F$200,MATCH($AB170,'Test catalog'!$A$2:$A$200,0))="","",INDEX('Test catalog'!$F$2:$F$200,MATCH($AB170,'Test catalog'!$A$2:$A$200,0))),"")</f>
        <v/>
      </c>
      <c r="L170" s="10">
        <f>IFERROR(IF(INDEX('Test catalog'!$G$2:$G$200,MATCH($AB170,'Test catalog'!$A$2:$A$200,0))="","",INDEX('Test catalog'!$G$2:$G$200,MATCH($AB170,'Test catalog'!$A$2:$A$200,0))),"")</f>
        <v/>
      </c>
      <c r="M170" s="10">
        <f>IFERROR(IF(INDEX('Test catalog'!$H$2:$H$200,MATCH($AB170,'Test catalog'!$A$2:$A$200,0))="","",INDEX('Test catalog'!$H$2:$H$200,MATCH($AB170,'Test catalog'!$A$2:$A$200,0))),"")</f>
        <v/>
      </c>
      <c r="N170" s="10">
        <f>IFERROR(IF(INDEX('Test catalog'!$I$2:$I$200,MATCH($AB170,'Test catalog'!$A$2:$A$200,0))="","",INDEX('Test catalog'!$I$2:$I$200,MATCH($AB170,'Test catalog'!$A$2:$A$200,0))),"")</f>
        <v/>
      </c>
      <c r="O170" s="10">
        <f>IFERROR(IF(INDEX('Test catalog'!$J$2:$J$200,MATCH($AB170,'Test catalog'!$A$2:$A$200,0))="","",INDEX('Test catalog'!$J$2:$J$200,MATCH($AB170,'Test catalog'!$A$2:$A$200,0))),"")</f>
        <v/>
      </c>
      <c r="P170" s="14">
        <f>IF(N170="","",IF(OR(M170="",O170=""),N170,(M170+4*N170+O170)/6))</f>
        <v/>
      </c>
      <c r="Q170" s="10">
        <f>IFERROR(IF(INDEX('Test catalog'!$K$2:$K$200,MATCH($AB170,'Test catalog'!$A$2:$A$200,0))="","",INDEX('Test catalog'!$K$2:$K$200,MATCH($AB170,'Test catalog'!$A$2:$A$200,0))),"")</f>
        <v/>
      </c>
      <c r="R170" s="5" t="n"/>
      <c r="S170" s="10">
        <f>IFERROR(IF(INDEX('Test catalog'!$L$2:$L$200,MATCH($AB170,'Test catalog'!$A$2:$A$200,0))="","",INDEX('Test catalog'!$L$2:$L$200,MATCH($AB170,'Test catalog'!$A$2:$A$200,0))),"")</f>
        <v/>
      </c>
      <c r="T170" s="10">
        <f>IFERROR(IF(INDEX('Test catalog'!$M$2:$M$200,MATCH($AB170,'Test catalog'!$A$2:$A$200,0))="","",INDEX('Test catalog'!$M$2:$M$200,MATCH($AB170,'Test catalog'!$A$2:$A$200,0))),"")</f>
        <v/>
      </c>
      <c r="U170" s="10">
        <f>IFERROR(IF(INDEX('Test catalog'!$N$2:$N$200,MATCH($AB170,'Test catalog'!$A$2:$A$200,0))="","",INDEX('Test catalog'!$N$2:$N$200,MATCH($AB170,'Test catalog'!$A$2:$A$200,0))),"")</f>
        <v/>
      </c>
      <c r="V170" s="15" t="n"/>
      <c r="W170" s="5" t="inlineStr">
        <is>
          <t>N</t>
        </is>
      </c>
      <c r="X170" s="5" t="n"/>
      <c r="Y170" s="5" t="n"/>
      <c r="Z170" s="5" t="n"/>
      <c r="AA170" s="10">
        <f>IFERROR(IF(INDEX('Test catalog'!$O$2:$O$200,MATCH($AB170,'Test catalog'!$A$2:$A$200,0))="","",INDEX('Test catalog'!$O$2:$O$200,MATCH($AB170,'Test catalog'!$A$2:$A$200,0))),"")</f>
        <v/>
      </c>
      <c r="AB170" s="10" t="inlineStr">
        <is>
          <t>LIMIT</t>
        </is>
      </c>
      <c r="AC170" s="10" t="inlineStr">
        <is>
          <t>Dextromethorphan Hydrobromide · Impurities</t>
        </is>
      </c>
      <c r="AD170" s="10" t="n"/>
      <c r="AE170" s="10" t="n"/>
    </row>
    <row r="171">
      <c r="A171" s="10" t="inlineStr">
        <is>
          <t>Dextromethorphan HBr</t>
        </is>
      </c>
      <c r="B171" s="10" t="inlineStr">
        <is>
          <t>RM</t>
        </is>
      </c>
      <c r="C171" s="10" t="inlineStr">
        <is>
          <t>Active</t>
        </is>
      </c>
      <c r="D171" s="10" t="inlineStr">
        <is>
          <t>Limit of N</t>
        </is>
      </c>
      <c r="E171" s="10">
        <f>IF(A171="","",A171&amp;"|"&amp;D171)</f>
        <v/>
      </c>
      <c r="F171" s="5" t="inlineStr">
        <is>
          <t>Y</t>
        </is>
      </c>
      <c r="G171" s="5" t="inlineStr">
        <is>
          <t>Other / bench</t>
        </is>
      </c>
      <c r="H171" s="5" t="inlineStr">
        <is>
          <t>Low</t>
        </is>
      </c>
      <c r="I171" s="5" t="n">
        <v>1</v>
      </c>
      <c r="J171" s="5" t="n"/>
      <c r="K171" s="10">
        <f>IFERROR(IF(INDEX('Test catalog'!$F$2:$F$200,MATCH($AB171,'Test catalog'!$A$2:$A$200,0))="","",INDEX('Test catalog'!$F$2:$F$200,MATCH($AB171,'Test catalog'!$A$2:$A$200,0))),"")</f>
        <v/>
      </c>
      <c r="L171" s="10">
        <f>IFERROR(IF(INDEX('Test catalog'!$G$2:$G$200,MATCH($AB171,'Test catalog'!$A$2:$A$200,0))="","",INDEX('Test catalog'!$G$2:$G$200,MATCH($AB171,'Test catalog'!$A$2:$A$200,0))),"")</f>
        <v/>
      </c>
      <c r="M171" s="10">
        <f>IFERROR(IF(INDEX('Test catalog'!$H$2:$H$200,MATCH($AB171,'Test catalog'!$A$2:$A$200,0))="","",INDEX('Test catalog'!$H$2:$H$200,MATCH($AB171,'Test catalog'!$A$2:$A$200,0))),"")</f>
        <v/>
      </c>
      <c r="N171" s="10">
        <f>IFERROR(IF(INDEX('Test catalog'!$I$2:$I$200,MATCH($AB171,'Test catalog'!$A$2:$A$200,0))="","",INDEX('Test catalog'!$I$2:$I$200,MATCH($AB171,'Test catalog'!$A$2:$A$200,0))),"")</f>
        <v/>
      </c>
      <c r="O171" s="10">
        <f>IFERROR(IF(INDEX('Test catalog'!$J$2:$J$200,MATCH($AB171,'Test catalog'!$A$2:$A$200,0))="","",INDEX('Test catalog'!$J$2:$J$200,MATCH($AB171,'Test catalog'!$A$2:$A$200,0))),"")</f>
        <v/>
      </c>
      <c r="P171" s="14">
        <f>IF(N171="","",IF(OR(M171="",O171=""),N171,(M171+4*N171+O171)/6))</f>
        <v/>
      </c>
      <c r="Q171" s="10">
        <f>IFERROR(IF(INDEX('Test catalog'!$K$2:$K$200,MATCH($AB171,'Test catalog'!$A$2:$A$200,0))="","",INDEX('Test catalog'!$K$2:$K$200,MATCH($AB171,'Test catalog'!$A$2:$A$200,0))),"")</f>
        <v/>
      </c>
      <c r="R171" s="5" t="n"/>
      <c r="S171" s="10">
        <f>IFERROR(IF(INDEX('Test catalog'!$L$2:$L$200,MATCH($AB171,'Test catalog'!$A$2:$A$200,0))="","",INDEX('Test catalog'!$L$2:$L$200,MATCH($AB171,'Test catalog'!$A$2:$A$200,0))),"")</f>
        <v/>
      </c>
      <c r="T171" s="10">
        <f>IFERROR(IF(INDEX('Test catalog'!$M$2:$M$200,MATCH($AB171,'Test catalog'!$A$2:$A$200,0))="","",INDEX('Test catalog'!$M$2:$M$200,MATCH($AB171,'Test catalog'!$A$2:$A$200,0))),"")</f>
        <v/>
      </c>
      <c r="U171" s="10">
        <f>IFERROR(IF(INDEX('Test catalog'!$N$2:$N$200,MATCH($AB171,'Test catalog'!$A$2:$A$200,0))="","",INDEX('Test catalog'!$N$2:$N$200,MATCH($AB171,'Test catalog'!$A$2:$A$200,0))),"")</f>
        <v/>
      </c>
      <c r="V171" s="15" t="n"/>
      <c r="W171" s="5" t="inlineStr">
        <is>
          <t>N</t>
        </is>
      </c>
      <c r="X171" s="5" t="n"/>
      <c r="Y171" s="5" t="n"/>
      <c r="Z171" s="5" t="n"/>
      <c r="AA171" s="10">
        <f>IFERROR(IF(INDEX('Test catalog'!$O$2:$O$200,MATCH($AB171,'Test catalog'!$A$2:$A$200,0))="","",INDEX('Test catalog'!$O$2:$O$200,MATCH($AB171,'Test catalog'!$A$2:$A$200,0))),"")</f>
        <v/>
      </c>
      <c r="AB171" s="10" t="inlineStr">
        <is>
          <t>LIMIT</t>
        </is>
      </c>
      <c r="AC171" s="10" t="inlineStr">
        <is>
          <t>Dextromethorphan Hydrobromide · Impurities</t>
        </is>
      </c>
      <c r="AD171" s="10" t="n"/>
      <c r="AE171" s="10" t="n"/>
    </row>
    <row r="172">
      <c r="A172" s="10" t="inlineStr">
        <is>
          <t>Dextromethorphan HBr</t>
        </is>
      </c>
      <c r="B172" s="10" t="inlineStr">
        <is>
          <t>RM</t>
        </is>
      </c>
      <c r="C172" s="10" t="inlineStr">
        <is>
          <t>Active</t>
        </is>
      </c>
      <c r="D172" s="10" t="inlineStr">
        <is>
          <t>pH</t>
        </is>
      </c>
      <c r="E172" s="10">
        <f>IF(A172="","",A172&amp;"|"&amp;D172)</f>
        <v/>
      </c>
      <c r="F172" s="5" t="inlineStr">
        <is>
          <t>Y</t>
        </is>
      </c>
      <c r="G172" s="5" t="inlineStr">
        <is>
          <t>Other / bench</t>
        </is>
      </c>
      <c r="H172" s="5" t="inlineStr">
        <is>
          <t>Low</t>
        </is>
      </c>
      <c r="I172" s="5" t="n">
        <v>1</v>
      </c>
      <c r="J172" s="5" t="n"/>
      <c r="K172" s="10">
        <f>IFERROR(IF(INDEX('Test catalog'!$F$2:$F$200,MATCH($AB172,'Test catalog'!$A$2:$A$200,0))="","",INDEX('Test catalog'!$F$2:$F$200,MATCH($AB172,'Test catalog'!$A$2:$A$200,0))),"")</f>
        <v/>
      </c>
      <c r="L172" s="10">
        <f>IFERROR(IF(INDEX('Test catalog'!$G$2:$G$200,MATCH($AB172,'Test catalog'!$A$2:$A$200,0))="","",INDEX('Test catalog'!$G$2:$G$200,MATCH($AB172,'Test catalog'!$A$2:$A$200,0))),"")</f>
        <v/>
      </c>
      <c r="M172" s="10">
        <f>IFERROR(IF(INDEX('Test catalog'!$H$2:$H$200,MATCH($AB172,'Test catalog'!$A$2:$A$200,0))="","",INDEX('Test catalog'!$H$2:$H$200,MATCH($AB172,'Test catalog'!$A$2:$A$200,0))),"")</f>
        <v/>
      </c>
      <c r="N172" s="10">
        <f>IFERROR(IF(INDEX('Test catalog'!$I$2:$I$200,MATCH($AB172,'Test catalog'!$A$2:$A$200,0))="","",INDEX('Test catalog'!$I$2:$I$200,MATCH($AB172,'Test catalog'!$A$2:$A$200,0))),"")</f>
        <v/>
      </c>
      <c r="O172" s="10">
        <f>IFERROR(IF(INDEX('Test catalog'!$J$2:$J$200,MATCH($AB172,'Test catalog'!$A$2:$A$200,0))="","",INDEX('Test catalog'!$J$2:$J$200,MATCH($AB172,'Test catalog'!$A$2:$A$200,0))),"")</f>
        <v/>
      </c>
      <c r="P172" s="14">
        <f>IF(N172="","",IF(OR(M172="",O172=""),N172,(M172+4*N172+O172)/6))</f>
        <v/>
      </c>
      <c r="Q172" s="10">
        <f>IFERROR(IF(INDEX('Test catalog'!$K$2:$K$200,MATCH($AB172,'Test catalog'!$A$2:$A$200,0))="","",INDEX('Test catalog'!$K$2:$K$200,MATCH($AB172,'Test catalog'!$A$2:$A$200,0))),"")</f>
        <v/>
      </c>
      <c r="R172" s="5" t="n"/>
      <c r="S172" s="10">
        <f>IFERROR(IF(INDEX('Test catalog'!$L$2:$L$200,MATCH($AB172,'Test catalog'!$A$2:$A$200,0))="","",INDEX('Test catalog'!$L$2:$L$200,MATCH($AB172,'Test catalog'!$A$2:$A$200,0))),"")</f>
        <v/>
      </c>
      <c r="T172" s="10">
        <f>IFERROR(IF(INDEX('Test catalog'!$M$2:$M$200,MATCH($AB172,'Test catalog'!$A$2:$A$200,0))="","",INDEX('Test catalog'!$M$2:$M$200,MATCH($AB172,'Test catalog'!$A$2:$A$200,0))),"")</f>
        <v/>
      </c>
      <c r="U172" s="10">
        <f>IFERROR(IF(INDEX('Test catalog'!$N$2:$N$200,MATCH($AB172,'Test catalog'!$A$2:$A$200,0))="","",INDEX('Test catalog'!$N$2:$N$200,MATCH($AB172,'Test catalog'!$A$2:$A$200,0))),"")</f>
        <v/>
      </c>
      <c r="V172" s="15" t="n"/>
      <c r="W172" s="5" t="inlineStr">
        <is>
          <t>N</t>
        </is>
      </c>
      <c r="X172" s="5" t="n"/>
      <c r="Y172" s="5" t="n"/>
      <c r="Z172" s="5" t="n"/>
      <c r="AA172" s="10">
        <f>IFERROR(IF(INDEX('Test catalog'!$O$2:$O$200,MATCH($AB172,'Test catalog'!$A$2:$A$200,0))="","",INDEX('Test catalog'!$O$2:$O$200,MATCH($AB172,'Test catalog'!$A$2:$A$200,0))),"")</f>
        <v/>
      </c>
      <c r="AB172" s="10" t="inlineStr">
        <is>
          <t>PH</t>
        </is>
      </c>
      <c r="AC172" s="10" t="inlineStr">
        <is>
          <t>Dextromethorphan Hydrobromide · Specific Tests &lt;791&gt;</t>
        </is>
      </c>
      <c r="AD172" s="10" t="n"/>
      <c r="AE172" s="10" t="n"/>
    </row>
    <row r="173">
      <c r="A173" s="10" t="inlineStr">
        <is>
          <t>Dextromethorphan HBr</t>
        </is>
      </c>
      <c r="B173" s="10" t="inlineStr">
        <is>
          <t>RM</t>
        </is>
      </c>
      <c r="C173" s="10" t="inlineStr">
        <is>
          <t>Active</t>
        </is>
      </c>
      <c r="D173" s="10" t="inlineStr">
        <is>
          <t>Water Determination</t>
        </is>
      </c>
      <c r="E173" s="10">
        <f>IF(A173="","",A173&amp;"|"&amp;D173)</f>
        <v/>
      </c>
      <c r="F173" s="5" t="inlineStr">
        <is>
          <t>Y</t>
        </is>
      </c>
      <c r="G173" s="5" t="inlineStr">
        <is>
          <t>KF titrator</t>
        </is>
      </c>
      <c r="H173" s="5" t="inlineStr">
        <is>
          <t>Low</t>
        </is>
      </c>
      <c r="I173" s="5" t="n">
        <v>1</v>
      </c>
      <c r="J173" s="5" t="n"/>
      <c r="K173" s="10">
        <f>IFERROR(IF(INDEX('Test catalog'!$F$2:$F$200,MATCH($AB173,'Test catalog'!$A$2:$A$200,0))="","",INDEX('Test catalog'!$F$2:$F$200,MATCH($AB173,'Test catalog'!$A$2:$A$200,0))),"")</f>
        <v/>
      </c>
      <c r="L173" s="10">
        <f>IFERROR(IF(INDEX('Test catalog'!$G$2:$G$200,MATCH($AB173,'Test catalog'!$A$2:$A$200,0))="","",INDEX('Test catalog'!$G$2:$G$200,MATCH($AB173,'Test catalog'!$A$2:$A$200,0))),"")</f>
        <v/>
      </c>
      <c r="M173" s="10">
        <f>IFERROR(IF(INDEX('Test catalog'!$H$2:$H$200,MATCH($AB173,'Test catalog'!$A$2:$A$200,0))="","",INDEX('Test catalog'!$H$2:$H$200,MATCH($AB173,'Test catalog'!$A$2:$A$200,0))),"")</f>
        <v/>
      </c>
      <c r="N173" s="10">
        <f>IFERROR(IF(INDEX('Test catalog'!$I$2:$I$200,MATCH($AB173,'Test catalog'!$A$2:$A$200,0))="","",INDEX('Test catalog'!$I$2:$I$200,MATCH($AB173,'Test catalog'!$A$2:$A$200,0))),"")</f>
        <v/>
      </c>
      <c r="O173" s="10">
        <f>IFERROR(IF(INDEX('Test catalog'!$J$2:$J$200,MATCH($AB173,'Test catalog'!$A$2:$A$200,0))="","",INDEX('Test catalog'!$J$2:$J$200,MATCH($AB173,'Test catalog'!$A$2:$A$200,0))),"")</f>
        <v/>
      </c>
      <c r="P173" s="14">
        <f>IF(N173="","",IF(OR(M173="",O173=""),N173,(M173+4*N173+O173)/6))</f>
        <v/>
      </c>
      <c r="Q173" s="10">
        <f>IFERROR(IF(INDEX('Test catalog'!$K$2:$K$200,MATCH($AB173,'Test catalog'!$A$2:$A$200,0))="","",INDEX('Test catalog'!$K$2:$K$200,MATCH($AB173,'Test catalog'!$A$2:$A$200,0))),"")</f>
        <v/>
      </c>
      <c r="R173" s="5" t="n"/>
      <c r="S173" s="10">
        <f>IFERROR(IF(INDEX('Test catalog'!$L$2:$L$200,MATCH($AB173,'Test catalog'!$A$2:$A$200,0))="","",INDEX('Test catalog'!$L$2:$L$200,MATCH($AB173,'Test catalog'!$A$2:$A$200,0))),"")</f>
        <v/>
      </c>
      <c r="T173" s="10">
        <f>IFERROR(IF(INDEX('Test catalog'!$M$2:$M$200,MATCH($AB173,'Test catalog'!$A$2:$A$200,0))="","",INDEX('Test catalog'!$M$2:$M$200,MATCH($AB173,'Test catalog'!$A$2:$A$200,0))),"")</f>
        <v/>
      </c>
      <c r="U173" s="10">
        <f>IFERROR(IF(INDEX('Test catalog'!$N$2:$N$200,MATCH($AB173,'Test catalog'!$A$2:$A$200,0))="","",INDEX('Test catalog'!$N$2:$N$200,MATCH($AB173,'Test catalog'!$A$2:$A$200,0))),"")</f>
        <v/>
      </c>
      <c r="V173" s="15" t="n"/>
      <c r="W173" s="5" t="inlineStr">
        <is>
          <t>N</t>
        </is>
      </c>
      <c r="X173" s="5" t="n"/>
      <c r="Y173" s="5" t="n"/>
      <c r="Z173" s="5" t="n"/>
      <c r="AA173" s="10">
        <f>IFERROR(IF(INDEX('Test catalog'!$O$2:$O$200,MATCH($AB173,'Test catalog'!$A$2:$A$200,0))="","",INDEX('Test catalog'!$O$2:$O$200,MATCH($AB173,'Test catalog'!$A$2:$A$200,0))),"")</f>
        <v/>
      </c>
      <c r="AB173" s="10" t="inlineStr">
        <is>
          <t>KF</t>
        </is>
      </c>
      <c r="AC173" s="10" t="inlineStr">
        <is>
          <t>Dextromethorphan Hydrobromide · Specific Tests &lt;921&gt;</t>
        </is>
      </c>
      <c r="AD173" s="10" t="n"/>
      <c r="AE173" s="10" t="n"/>
    </row>
    <row r="174">
      <c r="A174" s="10" t="inlineStr">
        <is>
          <t>Diphenhydramine HCl</t>
        </is>
      </c>
      <c r="B174" s="10" t="inlineStr">
        <is>
          <t>RM</t>
        </is>
      </c>
      <c r="C174" s="10" t="inlineStr">
        <is>
          <t>Active</t>
        </is>
      </c>
      <c r="D174" s="10" t="inlineStr">
        <is>
          <t>Appearance / description and solubility</t>
        </is>
      </c>
      <c r="E174" s="10">
        <f>IF(A174="","",A174&amp;"|"&amp;D174)</f>
        <v/>
      </c>
      <c r="F174" s="5" t="inlineStr">
        <is>
          <t>Y</t>
        </is>
      </c>
      <c r="G174" s="5" t="inlineStr">
        <is>
          <t>Other / bench</t>
        </is>
      </c>
      <c r="H174" s="5" t="inlineStr">
        <is>
          <t>Low</t>
        </is>
      </c>
      <c r="I174" s="5" t="n">
        <v>1</v>
      </c>
      <c r="J174" s="5" t="n"/>
      <c r="K174" s="10">
        <f>IFERROR(IF(INDEX('Test catalog'!$F$2:$F$200,MATCH($AB174,'Test catalog'!$A$2:$A$200,0))="","",INDEX('Test catalog'!$F$2:$F$200,MATCH($AB174,'Test catalog'!$A$2:$A$200,0))),"")</f>
        <v/>
      </c>
      <c r="L174" s="10">
        <f>IFERROR(IF(INDEX('Test catalog'!$G$2:$G$200,MATCH($AB174,'Test catalog'!$A$2:$A$200,0))="","",INDEX('Test catalog'!$G$2:$G$200,MATCH($AB174,'Test catalog'!$A$2:$A$200,0))),"")</f>
        <v/>
      </c>
      <c r="M174" s="10">
        <f>IFERROR(IF(INDEX('Test catalog'!$H$2:$H$200,MATCH($AB174,'Test catalog'!$A$2:$A$200,0))="","",INDEX('Test catalog'!$H$2:$H$200,MATCH($AB174,'Test catalog'!$A$2:$A$200,0))),"")</f>
        <v/>
      </c>
      <c r="N174" s="10">
        <f>IFERROR(IF(INDEX('Test catalog'!$I$2:$I$200,MATCH($AB174,'Test catalog'!$A$2:$A$200,0))="","",INDEX('Test catalog'!$I$2:$I$200,MATCH($AB174,'Test catalog'!$A$2:$A$200,0))),"")</f>
        <v/>
      </c>
      <c r="O174" s="10">
        <f>IFERROR(IF(INDEX('Test catalog'!$J$2:$J$200,MATCH($AB174,'Test catalog'!$A$2:$A$200,0))="","",INDEX('Test catalog'!$J$2:$J$200,MATCH($AB174,'Test catalog'!$A$2:$A$200,0))),"")</f>
        <v/>
      </c>
      <c r="P174" s="14">
        <f>IF(N174="","",IF(OR(M174="",O174=""),N174,(M174+4*N174+O174)/6))</f>
        <v/>
      </c>
      <c r="Q174" s="10">
        <f>IFERROR(IF(INDEX('Test catalog'!$K$2:$K$200,MATCH($AB174,'Test catalog'!$A$2:$A$200,0))="","",INDEX('Test catalog'!$K$2:$K$200,MATCH($AB174,'Test catalog'!$A$2:$A$200,0))),"")</f>
        <v/>
      </c>
      <c r="R174" s="5" t="n"/>
      <c r="S174" s="10">
        <f>IFERROR(IF(INDEX('Test catalog'!$L$2:$L$200,MATCH($AB174,'Test catalog'!$A$2:$A$200,0))="","",INDEX('Test catalog'!$L$2:$L$200,MATCH($AB174,'Test catalog'!$A$2:$A$200,0))),"")</f>
        <v/>
      </c>
      <c r="T174" s="10">
        <f>IFERROR(IF(INDEX('Test catalog'!$M$2:$M$200,MATCH($AB174,'Test catalog'!$A$2:$A$200,0))="","",INDEX('Test catalog'!$M$2:$M$200,MATCH($AB174,'Test catalog'!$A$2:$A$200,0))),"")</f>
        <v/>
      </c>
      <c r="U174" s="10">
        <f>IFERROR(IF(INDEX('Test catalog'!$N$2:$N$200,MATCH($AB174,'Test catalog'!$A$2:$A$200,0))="","",INDEX('Test catalog'!$N$2:$N$200,MATCH($AB174,'Test catalog'!$A$2:$A$200,0))),"")</f>
        <v/>
      </c>
      <c r="V174" s="15" t="n"/>
      <c r="W174" s="5" t="inlineStr">
        <is>
          <t>N</t>
        </is>
      </c>
      <c r="X174" s="5" t="n"/>
      <c r="Y174" s="5" t="n"/>
      <c r="Z174" s="5" t="n"/>
      <c r="AA174" s="10">
        <f>IFERROR(IF(INDEX('Test catalog'!$O$2:$O$200,MATCH($AB174,'Test catalog'!$A$2:$A$200,0))="","",INDEX('Test catalog'!$O$2:$O$200,MATCH($AB174,'Test catalog'!$A$2:$A$200,0))),"")</f>
        <v/>
      </c>
      <c r="AB174" s="10" t="inlineStr">
        <is>
          <t>APPEAR</t>
        </is>
      </c>
      <c r="AC174" s="10" t="inlineStr">
        <is>
          <t>Lab practice (not a USP test)</t>
        </is>
      </c>
      <c r="AD174" s="10" t="n"/>
      <c r="AE174" s="10" t="n"/>
    </row>
    <row r="175">
      <c r="A175" s="10" t="inlineStr">
        <is>
          <t>Diphenhydramine HCl</t>
        </is>
      </c>
      <c r="B175" s="10" t="inlineStr">
        <is>
          <t>RM</t>
        </is>
      </c>
      <c r="C175" s="10" t="inlineStr">
        <is>
          <t>Active</t>
        </is>
      </c>
      <c r="D175" s="10" t="inlineStr">
        <is>
          <t>ID A - IR spectrum</t>
        </is>
      </c>
      <c r="E175" s="10">
        <f>IF(A175="","",A175&amp;"|"&amp;D175)</f>
        <v/>
      </c>
      <c r="F175" s="5" t="inlineStr">
        <is>
          <t>Y</t>
        </is>
      </c>
      <c r="G175" s="5" t="inlineStr">
        <is>
          <t>Other / bench</t>
        </is>
      </c>
      <c r="H175" s="5" t="inlineStr">
        <is>
          <t>Low</t>
        </is>
      </c>
      <c r="I175" s="5" t="n">
        <v>1</v>
      </c>
      <c r="J175" s="5" t="n"/>
      <c r="K175" s="10">
        <f>IFERROR(IF(INDEX('Test catalog'!$F$2:$F$200,MATCH($AB175,'Test catalog'!$A$2:$A$200,0))="","",INDEX('Test catalog'!$F$2:$F$200,MATCH($AB175,'Test catalog'!$A$2:$A$200,0))),"")</f>
        <v/>
      </c>
      <c r="L175" s="10">
        <f>IFERROR(IF(INDEX('Test catalog'!$G$2:$G$200,MATCH($AB175,'Test catalog'!$A$2:$A$200,0))="","",INDEX('Test catalog'!$G$2:$G$200,MATCH($AB175,'Test catalog'!$A$2:$A$200,0))),"")</f>
        <v/>
      </c>
      <c r="M175" s="10">
        <f>IFERROR(IF(INDEX('Test catalog'!$H$2:$H$200,MATCH($AB175,'Test catalog'!$A$2:$A$200,0))="","",INDEX('Test catalog'!$H$2:$H$200,MATCH($AB175,'Test catalog'!$A$2:$A$200,0))),"")</f>
        <v/>
      </c>
      <c r="N175" s="10">
        <f>IFERROR(IF(INDEX('Test catalog'!$I$2:$I$200,MATCH($AB175,'Test catalog'!$A$2:$A$200,0))="","",INDEX('Test catalog'!$I$2:$I$200,MATCH($AB175,'Test catalog'!$A$2:$A$200,0))),"")</f>
        <v/>
      </c>
      <c r="O175" s="10">
        <f>IFERROR(IF(INDEX('Test catalog'!$J$2:$J$200,MATCH($AB175,'Test catalog'!$A$2:$A$200,0))="","",INDEX('Test catalog'!$J$2:$J$200,MATCH($AB175,'Test catalog'!$A$2:$A$200,0))),"")</f>
        <v/>
      </c>
      <c r="P175" s="14">
        <f>IF(N175="","",IF(OR(M175="",O175=""),N175,(M175+4*N175+O175)/6))</f>
        <v/>
      </c>
      <c r="Q175" s="10">
        <f>IFERROR(IF(INDEX('Test catalog'!$K$2:$K$200,MATCH($AB175,'Test catalog'!$A$2:$A$200,0))="","",INDEX('Test catalog'!$K$2:$K$200,MATCH($AB175,'Test catalog'!$A$2:$A$200,0))),"")</f>
        <v/>
      </c>
      <c r="R175" s="5" t="n"/>
      <c r="S175" s="10">
        <f>IFERROR(IF(INDEX('Test catalog'!$L$2:$L$200,MATCH($AB175,'Test catalog'!$A$2:$A$200,0))="","",INDEX('Test catalog'!$L$2:$L$200,MATCH($AB175,'Test catalog'!$A$2:$A$200,0))),"")</f>
        <v/>
      </c>
      <c r="T175" s="10">
        <f>IFERROR(IF(INDEX('Test catalog'!$M$2:$M$200,MATCH($AB175,'Test catalog'!$A$2:$A$200,0))="","",INDEX('Test catalog'!$M$2:$M$200,MATCH($AB175,'Test catalog'!$A$2:$A$200,0))),"")</f>
        <v/>
      </c>
      <c r="U175" s="10">
        <f>IFERROR(IF(INDEX('Test catalog'!$N$2:$N$200,MATCH($AB175,'Test catalog'!$A$2:$A$200,0))="","",INDEX('Test catalog'!$N$2:$N$200,MATCH($AB175,'Test catalog'!$A$2:$A$200,0))),"")</f>
        <v/>
      </c>
      <c r="V175" s="15" t="n"/>
      <c r="W175" s="5" t="inlineStr">
        <is>
          <t>N</t>
        </is>
      </c>
      <c r="X175" s="5" t="n"/>
      <c r="Y175" s="5" t="n"/>
      <c r="Z175" s="5" t="n"/>
      <c r="AA175" s="10">
        <f>IFERROR(IF(INDEX('Test catalog'!$O$2:$O$200,MATCH($AB175,'Test catalog'!$A$2:$A$200,0))="","",INDEX('Test catalog'!$O$2:$O$200,MATCH($AB175,'Test catalog'!$A$2:$A$200,0))),"")</f>
        <v/>
      </c>
      <c r="AB175" s="10" t="inlineStr">
        <is>
          <t>ID_IR</t>
        </is>
      </c>
      <c r="AC175" s="10" t="inlineStr">
        <is>
          <t>Diphenhydramine Hydrochloride · Identification &lt;197&gt;</t>
        </is>
      </c>
      <c r="AD175" s="10" t="n"/>
      <c r="AE175" s="10" t="n"/>
    </row>
    <row r="176">
      <c r="A176" s="10" t="inlineStr">
        <is>
          <t>Diphenhydramine HCl</t>
        </is>
      </c>
      <c r="B176" s="10" t="inlineStr">
        <is>
          <t>RM</t>
        </is>
      </c>
      <c r="C176" s="10" t="inlineStr">
        <is>
          <t>Active</t>
        </is>
      </c>
      <c r="D176" s="10" t="inlineStr">
        <is>
          <t>ID C - chemical reaction</t>
        </is>
      </c>
      <c r="E176" s="10">
        <f>IF(A176="","",A176&amp;"|"&amp;D176)</f>
        <v/>
      </c>
      <c r="F176" s="5" t="inlineStr">
        <is>
          <t>Y</t>
        </is>
      </c>
      <c r="G176" s="5" t="inlineStr">
        <is>
          <t>Other / bench</t>
        </is>
      </c>
      <c r="H176" s="5" t="inlineStr">
        <is>
          <t>Low</t>
        </is>
      </c>
      <c r="I176" s="5" t="n">
        <v>1</v>
      </c>
      <c r="J176" s="5" t="n"/>
      <c r="K176" s="10">
        <f>IFERROR(IF(INDEX('Test catalog'!$F$2:$F$200,MATCH($AB176,'Test catalog'!$A$2:$A$200,0))="","",INDEX('Test catalog'!$F$2:$F$200,MATCH($AB176,'Test catalog'!$A$2:$A$200,0))),"")</f>
        <v/>
      </c>
      <c r="L176" s="10">
        <f>IFERROR(IF(INDEX('Test catalog'!$G$2:$G$200,MATCH($AB176,'Test catalog'!$A$2:$A$200,0))="","",INDEX('Test catalog'!$G$2:$G$200,MATCH($AB176,'Test catalog'!$A$2:$A$200,0))),"")</f>
        <v/>
      </c>
      <c r="M176" s="10">
        <f>IFERROR(IF(INDEX('Test catalog'!$H$2:$H$200,MATCH($AB176,'Test catalog'!$A$2:$A$200,0))="","",INDEX('Test catalog'!$H$2:$H$200,MATCH($AB176,'Test catalog'!$A$2:$A$200,0))),"")</f>
        <v/>
      </c>
      <c r="N176" s="10">
        <f>IFERROR(IF(INDEX('Test catalog'!$I$2:$I$200,MATCH($AB176,'Test catalog'!$A$2:$A$200,0))="","",INDEX('Test catalog'!$I$2:$I$200,MATCH($AB176,'Test catalog'!$A$2:$A$200,0))),"")</f>
        <v/>
      </c>
      <c r="O176" s="10">
        <f>IFERROR(IF(INDEX('Test catalog'!$J$2:$J$200,MATCH($AB176,'Test catalog'!$A$2:$A$200,0))="","",INDEX('Test catalog'!$J$2:$J$200,MATCH($AB176,'Test catalog'!$A$2:$A$200,0))),"")</f>
        <v/>
      </c>
      <c r="P176" s="14">
        <f>IF(N176="","",IF(OR(M176="",O176=""),N176,(M176+4*N176+O176)/6))</f>
        <v/>
      </c>
      <c r="Q176" s="10">
        <f>IFERROR(IF(INDEX('Test catalog'!$K$2:$K$200,MATCH($AB176,'Test catalog'!$A$2:$A$200,0))="","",INDEX('Test catalog'!$K$2:$K$200,MATCH($AB176,'Test catalog'!$A$2:$A$200,0))),"")</f>
        <v/>
      </c>
      <c r="R176" s="5" t="n"/>
      <c r="S176" s="10">
        <f>IFERROR(IF(INDEX('Test catalog'!$L$2:$L$200,MATCH($AB176,'Test catalog'!$A$2:$A$200,0))="","",INDEX('Test catalog'!$L$2:$L$200,MATCH($AB176,'Test catalog'!$A$2:$A$200,0))),"")</f>
        <v/>
      </c>
      <c r="T176" s="10">
        <f>IFERROR(IF(INDEX('Test catalog'!$M$2:$M$200,MATCH($AB176,'Test catalog'!$A$2:$A$200,0))="","",INDEX('Test catalog'!$M$2:$M$200,MATCH($AB176,'Test catalog'!$A$2:$A$200,0))),"")</f>
        <v/>
      </c>
      <c r="U176" s="10">
        <f>IFERROR(IF(INDEX('Test catalog'!$N$2:$N$200,MATCH($AB176,'Test catalog'!$A$2:$A$200,0))="","",INDEX('Test catalog'!$N$2:$N$200,MATCH($AB176,'Test catalog'!$A$2:$A$200,0))),"")</f>
        <v/>
      </c>
      <c r="V176" s="15" t="n"/>
      <c r="W176" s="5" t="inlineStr">
        <is>
          <t>N</t>
        </is>
      </c>
      <c r="X176" s="5" t="n"/>
      <c r="Y176" s="5" t="n"/>
      <c r="Z176" s="5" t="n"/>
      <c r="AA176" s="10">
        <f>IFERROR(IF(INDEX('Test catalog'!$O$2:$O$200,MATCH($AB176,'Test catalog'!$A$2:$A$200,0))="","",INDEX('Test catalog'!$O$2:$O$200,MATCH($AB176,'Test catalog'!$A$2:$A$200,0))),"")</f>
        <v/>
      </c>
      <c r="AB176" s="10" t="inlineStr">
        <is>
          <t>ID_CHEM</t>
        </is>
      </c>
      <c r="AC176" s="10" t="inlineStr">
        <is>
          <t>Diphenhydramine Hydrochloride · Identification &lt;191&gt;</t>
        </is>
      </c>
      <c r="AD176" s="10" t="n"/>
      <c r="AE176" s="10" t="n"/>
    </row>
    <row r="177">
      <c r="A177" s="10" t="inlineStr">
        <is>
          <t>Diphenhydramine HCl</t>
        </is>
      </c>
      <c r="B177" s="10" t="inlineStr">
        <is>
          <t>RM</t>
        </is>
      </c>
      <c r="C177" s="10" t="inlineStr">
        <is>
          <t>Active</t>
        </is>
      </c>
      <c r="D177" s="10" t="inlineStr">
        <is>
          <t>Assay (HPLC)</t>
        </is>
      </c>
      <c r="E177" s="10">
        <f>IF(A177="","",A177&amp;"|"&amp;D177)</f>
        <v/>
      </c>
      <c r="F177" s="5" t="inlineStr">
        <is>
          <t>Y</t>
        </is>
      </c>
      <c r="G177" s="5" t="inlineStr">
        <is>
          <t>HPLC</t>
        </is>
      </c>
      <c r="H177" s="5" t="inlineStr">
        <is>
          <t>Medium</t>
        </is>
      </c>
      <c r="I177" s="5" t="n">
        <v>1</v>
      </c>
      <c r="J177" s="5" t="n"/>
      <c r="K177" s="5" t="n"/>
      <c r="L177" s="5" t="n"/>
      <c r="M177" s="5" t="n"/>
      <c r="N177" s="5" t="n"/>
      <c r="O177" s="5" t="n"/>
      <c r="P177" s="14">
        <f>IF(N177="","",IF(OR(M177="",O177=""),N177,(M177+4*N177+O177)/6))</f>
        <v/>
      </c>
      <c r="Q177" s="5" t="n"/>
      <c r="R177" s="5" t="n"/>
      <c r="S177" s="5" t="n"/>
      <c r="T177" s="5" t="n"/>
      <c r="U177" s="5" t="n"/>
      <c r="V177" s="15" t="n"/>
      <c r="W177" s="5" t="inlineStr">
        <is>
          <t>N</t>
        </is>
      </c>
      <c r="X177" s="5" t="n"/>
      <c r="Y177" s="5" t="n"/>
      <c r="Z177" s="5" t="n"/>
      <c r="AA177" s="5" t="n"/>
      <c r="AB177" s="10" t="n"/>
      <c r="AC177" s="10" t="inlineStr">
        <is>
          <t>Diphenhydramine Hydrochloride · Assay</t>
        </is>
      </c>
      <c r="AD177" s="10" t="n"/>
      <c r="AE177" s="10" t="n"/>
    </row>
    <row r="178">
      <c r="A178" s="10" t="inlineStr">
        <is>
          <t>Diphenhydramine HCl</t>
        </is>
      </c>
      <c r="B178" s="10" t="inlineStr">
        <is>
          <t>RM</t>
        </is>
      </c>
      <c r="C178" s="10" t="inlineStr">
        <is>
          <t>Active</t>
        </is>
      </c>
      <c r="D178" s="10" t="inlineStr">
        <is>
          <t>Residue on Ignition</t>
        </is>
      </c>
      <c r="E178" s="10">
        <f>IF(A178="","",A178&amp;"|"&amp;D178)</f>
        <v/>
      </c>
      <c r="F178" s="5" t="inlineStr">
        <is>
          <t>Y</t>
        </is>
      </c>
      <c r="G178" s="5" t="inlineStr">
        <is>
          <t>Other / bench</t>
        </is>
      </c>
      <c r="H178" s="5" t="inlineStr">
        <is>
          <t>Low</t>
        </is>
      </c>
      <c r="I178" s="5" t="n">
        <v>1</v>
      </c>
      <c r="J178" s="5" t="n"/>
      <c r="K178" s="10">
        <f>IFERROR(IF(INDEX('Test catalog'!$F$2:$F$200,MATCH($AB178,'Test catalog'!$A$2:$A$200,0))="","",INDEX('Test catalog'!$F$2:$F$200,MATCH($AB178,'Test catalog'!$A$2:$A$200,0))),"")</f>
        <v/>
      </c>
      <c r="L178" s="10">
        <f>IFERROR(IF(INDEX('Test catalog'!$G$2:$G$200,MATCH($AB178,'Test catalog'!$A$2:$A$200,0))="","",INDEX('Test catalog'!$G$2:$G$200,MATCH($AB178,'Test catalog'!$A$2:$A$200,0))),"")</f>
        <v/>
      </c>
      <c r="M178" s="10">
        <f>IFERROR(IF(INDEX('Test catalog'!$H$2:$H$200,MATCH($AB178,'Test catalog'!$A$2:$A$200,0))="","",INDEX('Test catalog'!$H$2:$H$200,MATCH($AB178,'Test catalog'!$A$2:$A$200,0))),"")</f>
        <v/>
      </c>
      <c r="N178" s="10">
        <f>IFERROR(IF(INDEX('Test catalog'!$I$2:$I$200,MATCH($AB178,'Test catalog'!$A$2:$A$200,0))="","",INDEX('Test catalog'!$I$2:$I$200,MATCH($AB178,'Test catalog'!$A$2:$A$200,0))),"")</f>
        <v/>
      </c>
      <c r="O178" s="10">
        <f>IFERROR(IF(INDEX('Test catalog'!$J$2:$J$200,MATCH($AB178,'Test catalog'!$A$2:$A$200,0))="","",INDEX('Test catalog'!$J$2:$J$200,MATCH($AB178,'Test catalog'!$A$2:$A$200,0))),"")</f>
        <v/>
      </c>
      <c r="P178" s="14">
        <f>IF(N178="","",IF(OR(M178="",O178=""),N178,(M178+4*N178+O178)/6))</f>
        <v/>
      </c>
      <c r="Q178" s="10">
        <f>IFERROR(IF(INDEX('Test catalog'!$K$2:$K$200,MATCH($AB178,'Test catalog'!$A$2:$A$200,0))="","",INDEX('Test catalog'!$K$2:$K$200,MATCH($AB178,'Test catalog'!$A$2:$A$200,0))),"")</f>
        <v/>
      </c>
      <c r="R178" s="5" t="n"/>
      <c r="S178" s="10">
        <f>IFERROR(IF(INDEX('Test catalog'!$L$2:$L$200,MATCH($AB178,'Test catalog'!$A$2:$A$200,0))="","",INDEX('Test catalog'!$L$2:$L$200,MATCH($AB178,'Test catalog'!$A$2:$A$200,0))),"")</f>
        <v/>
      </c>
      <c r="T178" s="10">
        <f>IFERROR(IF(INDEX('Test catalog'!$M$2:$M$200,MATCH($AB178,'Test catalog'!$A$2:$A$200,0))="","",INDEX('Test catalog'!$M$2:$M$200,MATCH($AB178,'Test catalog'!$A$2:$A$200,0))),"")</f>
        <v/>
      </c>
      <c r="U178" s="10">
        <f>IFERROR(IF(INDEX('Test catalog'!$N$2:$N$200,MATCH($AB178,'Test catalog'!$A$2:$A$200,0))="","",INDEX('Test catalog'!$N$2:$N$200,MATCH($AB178,'Test catalog'!$A$2:$A$200,0))),"")</f>
        <v/>
      </c>
      <c r="V178" s="15" t="n"/>
      <c r="W178" s="5" t="inlineStr">
        <is>
          <t>N</t>
        </is>
      </c>
      <c r="X178" s="5" t="n"/>
      <c r="Y178" s="5" t="n"/>
      <c r="Z178" s="5" t="n"/>
      <c r="AA178" s="10">
        <f>IFERROR(IF(INDEX('Test catalog'!$O$2:$O$200,MATCH($AB178,'Test catalog'!$A$2:$A$200,0))="","",INDEX('Test catalog'!$O$2:$O$200,MATCH($AB178,'Test catalog'!$A$2:$A$200,0))),"")</f>
        <v/>
      </c>
      <c r="AB178" s="10" t="inlineStr">
        <is>
          <t>ROI</t>
        </is>
      </c>
      <c r="AC178" s="10" t="inlineStr">
        <is>
          <t>Diphenhydramine Hydrochloride · Impurities &lt;281&gt;</t>
        </is>
      </c>
      <c r="AD178" s="10" t="n"/>
      <c r="AE178" s="10" t="n"/>
    </row>
    <row r="179">
      <c r="A179" s="10" t="inlineStr">
        <is>
          <t>Diphenhydramine HCl</t>
        </is>
      </c>
      <c r="B179" s="10" t="inlineStr">
        <is>
          <t>RM</t>
        </is>
      </c>
      <c r="C179" s="10" t="inlineStr">
        <is>
          <t>Active</t>
        </is>
      </c>
      <c r="D179" s="10" t="inlineStr">
        <is>
          <t>Organic Impurities (HPLC)</t>
        </is>
      </c>
      <c r="E179" s="10">
        <f>IF(A179="","",A179&amp;"|"&amp;D179)</f>
        <v/>
      </c>
      <c r="F179" s="5" t="inlineStr">
        <is>
          <t>Y</t>
        </is>
      </c>
      <c r="G179" s="5" t="inlineStr">
        <is>
          <t>HPLC</t>
        </is>
      </c>
      <c r="H179" s="5" t="inlineStr">
        <is>
          <t>Medium</t>
        </is>
      </c>
      <c r="I179" s="5" t="n">
        <v>1</v>
      </c>
      <c r="J179" s="5" t="n"/>
      <c r="K179" s="5" t="n"/>
      <c r="L179" s="5" t="n"/>
      <c r="M179" s="5" t="n"/>
      <c r="N179" s="5" t="n"/>
      <c r="O179" s="5" t="n"/>
      <c r="P179" s="14">
        <f>IF(N179="","",IF(OR(M179="",O179=""),N179,(M179+4*N179+O179)/6))</f>
        <v/>
      </c>
      <c r="Q179" s="5" t="n"/>
      <c r="R179" s="5" t="n"/>
      <c r="S179" s="5" t="n"/>
      <c r="T179" s="5" t="n"/>
      <c r="U179" s="5" t="n"/>
      <c r="V179" s="15" t="n"/>
      <c r="W179" s="5" t="inlineStr">
        <is>
          <t>N</t>
        </is>
      </c>
      <c r="X179" s="5" t="n"/>
      <c r="Y179" s="5" t="n"/>
      <c r="Z179" s="5" t="n"/>
      <c r="AA179" s="5" t="n"/>
      <c r="AB179" s="10" t="n"/>
      <c r="AC179" s="10" t="inlineStr">
        <is>
          <t>Diphenhydramine Hydrochloride · Impurities</t>
        </is>
      </c>
      <c r="AD179" s="10" t="n"/>
      <c r="AE179" s="10" t="n"/>
    </row>
    <row r="180">
      <c r="A180" s="10" t="inlineStr">
        <is>
          <t>Diphenhydramine HCl</t>
        </is>
      </c>
      <c r="B180" s="10" t="inlineStr">
        <is>
          <t>RM</t>
        </is>
      </c>
      <c r="C180" s="10" t="inlineStr">
        <is>
          <t>Active</t>
        </is>
      </c>
      <c r="D180" s="10" t="inlineStr">
        <is>
          <t>Acidity or Alkalinity (HPLC)</t>
        </is>
      </c>
      <c r="E180" s="10">
        <f>IF(A180="","",A180&amp;"|"&amp;D180)</f>
        <v/>
      </c>
      <c r="F180" s="5" t="inlineStr">
        <is>
          <t>Y</t>
        </is>
      </c>
      <c r="G180" s="5" t="inlineStr">
        <is>
          <t>HPLC</t>
        </is>
      </c>
      <c r="H180" s="5" t="inlineStr">
        <is>
          <t>Medium</t>
        </is>
      </c>
      <c r="I180" s="5" t="n">
        <v>1</v>
      </c>
      <c r="J180" s="5" t="n"/>
      <c r="K180" s="5" t="n"/>
      <c r="L180" s="5" t="n"/>
      <c r="M180" s="5" t="n"/>
      <c r="N180" s="5" t="n"/>
      <c r="O180" s="5" t="n"/>
      <c r="P180" s="14">
        <f>IF(N180="","",IF(OR(M180="",O180=""),N180,(M180+4*N180+O180)/6))</f>
        <v/>
      </c>
      <c r="Q180" s="5" t="n"/>
      <c r="R180" s="5" t="n"/>
      <c r="S180" s="5" t="n"/>
      <c r="T180" s="5" t="n"/>
      <c r="U180" s="5" t="n"/>
      <c r="V180" s="15" t="n"/>
      <c r="W180" s="5" t="inlineStr">
        <is>
          <t>N</t>
        </is>
      </c>
      <c r="X180" s="5" t="n"/>
      <c r="Y180" s="5" t="n"/>
      <c r="Z180" s="5" t="n"/>
      <c r="AA180" s="5" t="n"/>
      <c r="AB180" s="10" t="n"/>
      <c r="AC180" s="10" t="inlineStr">
        <is>
          <t>Diphenhydramine Hydrochloride · Specific Tests</t>
        </is>
      </c>
      <c r="AD180" s="10" t="n"/>
      <c r="AE180" s="10" t="n"/>
    </row>
    <row r="181">
      <c r="A181" s="10" t="inlineStr">
        <is>
          <t>Diphenhydramine HCl</t>
        </is>
      </c>
      <c r="B181" s="10" t="inlineStr">
        <is>
          <t>RM</t>
        </is>
      </c>
      <c r="C181" s="10" t="inlineStr">
        <is>
          <t>Active</t>
        </is>
      </c>
      <c r="D181" s="10" t="inlineStr">
        <is>
          <t>Loss on Drying</t>
        </is>
      </c>
      <c r="E181" s="10">
        <f>IF(A181="","",A181&amp;"|"&amp;D181)</f>
        <v/>
      </c>
      <c r="F181" s="5" t="inlineStr">
        <is>
          <t>Y</t>
        </is>
      </c>
      <c r="G181" s="5" t="inlineStr">
        <is>
          <t>Other / bench</t>
        </is>
      </c>
      <c r="H181" s="5" t="inlineStr">
        <is>
          <t>Low</t>
        </is>
      </c>
      <c r="I181" s="5" t="n">
        <v>1</v>
      </c>
      <c r="J181" s="5" t="n"/>
      <c r="K181" s="10">
        <f>IFERROR(IF(INDEX('Test catalog'!$F$2:$F$200,MATCH($AB181,'Test catalog'!$A$2:$A$200,0))="","",INDEX('Test catalog'!$F$2:$F$200,MATCH($AB181,'Test catalog'!$A$2:$A$200,0))),"")</f>
        <v/>
      </c>
      <c r="L181" s="10">
        <f>IFERROR(IF(INDEX('Test catalog'!$G$2:$G$200,MATCH($AB181,'Test catalog'!$A$2:$A$200,0))="","",INDEX('Test catalog'!$G$2:$G$200,MATCH($AB181,'Test catalog'!$A$2:$A$200,0))),"")</f>
        <v/>
      </c>
      <c r="M181" s="10">
        <f>IFERROR(IF(INDEX('Test catalog'!$H$2:$H$200,MATCH($AB181,'Test catalog'!$A$2:$A$200,0))="","",INDEX('Test catalog'!$H$2:$H$200,MATCH($AB181,'Test catalog'!$A$2:$A$200,0))),"")</f>
        <v/>
      </c>
      <c r="N181" s="10">
        <f>IFERROR(IF(INDEX('Test catalog'!$I$2:$I$200,MATCH($AB181,'Test catalog'!$A$2:$A$200,0))="","",INDEX('Test catalog'!$I$2:$I$200,MATCH($AB181,'Test catalog'!$A$2:$A$200,0))),"")</f>
        <v/>
      </c>
      <c r="O181" s="10">
        <f>IFERROR(IF(INDEX('Test catalog'!$J$2:$J$200,MATCH($AB181,'Test catalog'!$A$2:$A$200,0))="","",INDEX('Test catalog'!$J$2:$J$200,MATCH($AB181,'Test catalog'!$A$2:$A$200,0))),"")</f>
        <v/>
      </c>
      <c r="P181" s="14">
        <f>IF(N181="","",IF(OR(M181="",O181=""),N181,(M181+4*N181+O181)/6))</f>
        <v/>
      </c>
      <c r="Q181" s="10">
        <f>IFERROR(IF(INDEX('Test catalog'!$K$2:$K$200,MATCH($AB181,'Test catalog'!$A$2:$A$200,0))="","",INDEX('Test catalog'!$K$2:$K$200,MATCH($AB181,'Test catalog'!$A$2:$A$200,0))),"")</f>
        <v/>
      </c>
      <c r="R181" s="5" t="n"/>
      <c r="S181" s="10">
        <f>IFERROR(IF(INDEX('Test catalog'!$L$2:$L$200,MATCH($AB181,'Test catalog'!$A$2:$A$200,0))="","",INDEX('Test catalog'!$L$2:$L$200,MATCH($AB181,'Test catalog'!$A$2:$A$200,0))),"")</f>
        <v/>
      </c>
      <c r="T181" s="10">
        <f>IFERROR(IF(INDEX('Test catalog'!$M$2:$M$200,MATCH($AB181,'Test catalog'!$A$2:$A$200,0))="","",INDEX('Test catalog'!$M$2:$M$200,MATCH($AB181,'Test catalog'!$A$2:$A$200,0))),"")</f>
        <v/>
      </c>
      <c r="U181" s="10">
        <f>IFERROR(IF(INDEX('Test catalog'!$N$2:$N$200,MATCH($AB181,'Test catalog'!$A$2:$A$200,0))="","",INDEX('Test catalog'!$N$2:$N$200,MATCH($AB181,'Test catalog'!$A$2:$A$200,0))),"")</f>
        <v/>
      </c>
      <c r="V181" s="15" t="n"/>
      <c r="W181" s="5" t="inlineStr">
        <is>
          <t>N</t>
        </is>
      </c>
      <c r="X181" s="5" t="n"/>
      <c r="Y181" s="5" t="n"/>
      <c r="Z181" s="5" t="n"/>
      <c r="AA181" s="10">
        <f>IFERROR(IF(INDEX('Test catalog'!$O$2:$O$200,MATCH($AB181,'Test catalog'!$A$2:$A$200,0))="","",INDEX('Test catalog'!$O$2:$O$200,MATCH($AB181,'Test catalog'!$A$2:$A$200,0))),"")</f>
        <v/>
      </c>
      <c r="AB181" s="10" t="inlineStr">
        <is>
          <t>LOD</t>
        </is>
      </c>
      <c r="AC181" s="10" t="inlineStr">
        <is>
          <t>Diphenhydramine Hydrochloride · Specific Tests &lt;731&gt;</t>
        </is>
      </c>
      <c r="AD181" s="10" t="n"/>
      <c r="AE181" s="10" t="n"/>
    </row>
    <row r="182">
      <c r="A182" s="10" t="inlineStr">
        <is>
          <t>dl-Alpha Tocopheryl Acetate 50% (Vitamin E)</t>
        </is>
      </c>
      <c r="B182" s="10" t="inlineStr">
        <is>
          <t>RM</t>
        </is>
      </c>
      <c r="C182" s="10" t="inlineStr">
        <is>
          <t>Active</t>
        </is>
      </c>
      <c r="D182" s="10" t="inlineStr">
        <is>
          <t>Appearance / description and solubility</t>
        </is>
      </c>
      <c r="E182" s="10">
        <f>IF(A182="","",A182&amp;"|"&amp;D182)</f>
        <v/>
      </c>
      <c r="F182" s="5" t="inlineStr">
        <is>
          <t>Y</t>
        </is>
      </c>
      <c r="G182" s="5" t="inlineStr">
        <is>
          <t>Other / bench</t>
        </is>
      </c>
      <c r="H182" s="5" t="inlineStr">
        <is>
          <t>Low</t>
        </is>
      </c>
      <c r="I182" s="5" t="n">
        <v>1</v>
      </c>
      <c r="J182" s="5" t="n"/>
      <c r="K182" s="10">
        <f>IFERROR(IF(INDEX('Test catalog'!$F$2:$F$200,MATCH($AB182,'Test catalog'!$A$2:$A$200,0))="","",INDEX('Test catalog'!$F$2:$F$200,MATCH($AB182,'Test catalog'!$A$2:$A$200,0))),"")</f>
        <v/>
      </c>
      <c r="L182" s="10">
        <f>IFERROR(IF(INDEX('Test catalog'!$G$2:$G$200,MATCH($AB182,'Test catalog'!$A$2:$A$200,0))="","",INDEX('Test catalog'!$G$2:$G$200,MATCH($AB182,'Test catalog'!$A$2:$A$200,0))),"")</f>
        <v/>
      </c>
      <c r="M182" s="10">
        <f>IFERROR(IF(INDEX('Test catalog'!$H$2:$H$200,MATCH($AB182,'Test catalog'!$A$2:$A$200,0))="","",INDEX('Test catalog'!$H$2:$H$200,MATCH($AB182,'Test catalog'!$A$2:$A$200,0))),"")</f>
        <v/>
      </c>
      <c r="N182" s="10">
        <f>IFERROR(IF(INDEX('Test catalog'!$I$2:$I$200,MATCH($AB182,'Test catalog'!$A$2:$A$200,0))="","",INDEX('Test catalog'!$I$2:$I$200,MATCH($AB182,'Test catalog'!$A$2:$A$200,0))),"")</f>
        <v/>
      </c>
      <c r="O182" s="10">
        <f>IFERROR(IF(INDEX('Test catalog'!$J$2:$J$200,MATCH($AB182,'Test catalog'!$A$2:$A$200,0))="","",INDEX('Test catalog'!$J$2:$J$200,MATCH($AB182,'Test catalog'!$A$2:$A$200,0))),"")</f>
        <v/>
      </c>
      <c r="P182" s="14">
        <f>IF(N182="","",IF(OR(M182="",O182=""),N182,(M182+4*N182+O182)/6))</f>
        <v/>
      </c>
      <c r="Q182" s="10">
        <f>IFERROR(IF(INDEX('Test catalog'!$K$2:$K$200,MATCH($AB182,'Test catalog'!$A$2:$A$200,0))="","",INDEX('Test catalog'!$K$2:$K$200,MATCH($AB182,'Test catalog'!$A$2:$A$200,0))),"")</f>
        <v/>
      </c>
      <c r="R182" s="5" t="n"/>
      <c r="S182" s="10">
        <f>IFERROR(IF(INDEX('Test catalog'!$L$2:$L$200,MATCH($AB182,'Test catalog'!$A$2:$A$200,0))="","",INDEX('Test catalog'!$L$2:$L$200,MATCH($AB182,'Test catalog'!$A$2:$A$200,0))),"")</f>
        <v/>
      </c>
      <c r="T182" s="10">
        <f>IFERROR(IF(INDEX('Test catalog'!$M$2:$M$200,MATCH($AB182,'Test catalog'!$A$2:$A$200,0))="","",INDEX('Test catalog'!$M$2:$M$200,MATCH($AB182,'Test catalog'!$A$2:$A$200,0))),"")</f>
        <v/>
      </c>
      <c r="U182" s="10">
        <f>IFERROR(IF(INDEX('Test catalog'!$N$2:$N$200,MATCH($AB182,'Test catalog'!$A$2:$A$200,0))="","",INDEX('Test catalog'!$N$2:$N$200,MATCH($AB182,'Test catalog'!$A$2:$A$200,0))),"")</f>
        <v/>
      </c>
      <c r="V182" s="15" t="n"/>
      <c r="W182" s="5" t="inlineStr">
        <is>
          <t>N</t>
        </is>
      </c>
      <c r="X182" s="5" t="n"/>
      <c r="Y182" s="5" t="n"/>
      <c r="Z182" s="5" t="n"/>
      <c r="AA182" s="10">
        <f>IFERROR(IF(INDEX('Test catalog'!$O$2:$O$200,MATCH($AB182,'Test catalog'!$A$2:$A$200,0))="","",INDEX('Test catalog'!$O$2:$O$200,MATCH($AB182,'Test catalog'!$A$2:$A$200,0))),"")</f>
        <v/>
      </c>
      <c r="AB182" s="10" t="inlineStr">
        <is>
          <t>APPEAR</t>
        </is>
      </c>
      <c r="AC182" s="10" t="inlineStr">
        <is>
          <t>Lab practice (not a USP test)</t>
        </is>
      </c>
      <c r="AD182" s="10" t="n"/>
      <c r="AE182" s="10" t="n"/>
    </row>
    <row r="183">
      <c r="A183" s="10" t="inlineStr">
        <is>
          <t>dl-Alpha Tocopheryl Acetate 50% (Vitamin E)</t>
        </is>
      </c>
      <c r="B183" s="10" t="inlineStr">
        <is>
          <t>RM</t>
        </is>
      </c>
      <c r="C183" s="10" t="inlineStr">
        <is>
          <t>Active</t>
        </is>
      </c>
      <c r="D183" s="10" t="inlineStr">
        <is>
          <t>ID A - chemical reaction</t>
        </is>
      </c>
      <c r="E183" s="10">
        <f>IF(A183="","",A183&amp;"|"&amp;D183)</f>
        <v/>
      </c>
      <c r="F183" s="5" t="inlineStr">
        <is>
          <t>Y</t>
        </is>
      </c>
      <c r="G183" s="5" t="inlineStr">
        <is>
          <t>Other / bench</t>
        </is>
      </c>
      <c r="H183" s="5" t="inlineStr">
        <is>
          <t>Low</t>
        </is>
      </c>
      <c r="I183" s="5" t="n">
        <v>1</v>
      </c>
      <c r="J183" s="5" t="n"/>
      <c r="K183" s="10">
        <f>IFERROR(IF(INDEX('Test catalog'!$F$2:$F$200,MATCH($AB183,'Test catalog'!$A$2:$A$200,0))="","",INDEX('Test catalog'!$F$2:$F$200,MATCH($AB183,'Test catalog'!$A$2:$A$200,0))),"")</f>
        <v/>
      </c>
      <c r="L183" s="10">
        <f>IFERROR(IF(INDEX('Test catalog'!$G$2:$G$200,MATCH($AB183,'Test catalog'!$A$2:$A$200,0))="","",INDEX('Test catalog'!$G$2:$G$200,MATCH($AB183,'Test catalog'!$A$2:$A$200,0))),"")</f>
        <v/>
      </c>
      <c r="M183" s="10">
        <f>IFERROR(IF(INDEX('Test catalog'!$H$2:$H$200,MATCH($AB183,'Test catalog'!$A$2:$A$200,0))="","",INDEX('Test catalog'!$H$2:$H$200,MATCH($AB183,'Test catalog'!$A$2:$A$200,0))),"")</f>
        <v/>
      </c>
      <c r="N183" s="10">
        <f>IFERROR(IF(INDEX('Test catalog'!$I$2:$I$200,MATCH($AB183,'Test catalog'!$A$2:$A$200,0))="","",INDEX('Test catalog'!$I$2:$I$200,MATCH($AB183,'Test catalog'!$A$2:$A$200,0))),"")</f>
        <v/>
      </c>
      <c r="O183" s="10">
        <f>IFERROR(IF(INDEX('Test catalog'!$J$2:$J$200,MATCH($AB183,'Test catalog'!$A$2:$A$200,0))="","",INDEX('Test catalog'!$J$2:$J$200,MATCH($AB183,'Test catalog'!$A$2:$A$200,0))),"")</f>
        <v/>
      </c>
      <c r="P183" s="14">
        <f>IF(N183="","",IF(OR(M183="",O183=""),N183,(M183+4*N183+O183)/6))</f>
        <v/>
      </c>
      <c r="Q183" s="10">
        <f>IFERROR(IF(INDEX('Test catalog'!$K$2:$K$200,MATCH($AB183,'Test catalog'!$A$2:$A$200,0))="","",INDEX('Test catalog'!$K$2:$K$200,MATCH($AB183,'Test catalog'!$A$2:$A$200,0))),"")</f>
        <v/>
      </c>
      <c r="R183" s="5" t="n"/>
      <c r="S183" s="10">
        <f>IFERROR(IF(INDEX('Test catalog'!$L$2:$L$200,MATCH($AB183,'Test catalog'!$A$2:$A$200,0))="","",INDEX('Test catalog'!$L$2:$L$200,MATCH($AB183,'Test catalog'!$A$2:$A$200,0))),"")</f>
        <v/>
      </c>
      <c r="T183" s="10">
        <f>IFERROR(IF(INDEX('Test catalog'!$M$2:$M$200,MATCH($AB183,'Test catalog'!$A$2:$A$200,0))="","",INDEX('Test catalog'!$M$2:$M$200,MATCH($AB183,'Test catalog'!$A$2:$A$200,0))),"")</f>
        <v/>
      </c>
      <c r="U183" s="10">
        <f>IFERROR(IF(INDEX('Test catalog'!$N$2:$N$200,MATCH($AB183,'Test catalog'!$A$2:$A$200,0))="","",INDEX('Test catalog'!$N$2:$N$200,MATCH($AB183,'Test catalog'!$A$2:$A$200,0))),"")</f>
        <v/>
      </c>
      <c r="V183" s="15" t="n"/>
      <c r="W183" s="5" t="inlineStr">
        <is>
          <t>N</t>
        </is>
      </c>
      <c r="X183" s="5" t="n"/>
      <c r="Y183" s="5" t="n"/>
      <c r="Z183" s="5" t="n"/>
      <c r="AA183" s="10">
        <f>IFERROR(IF(INDEX('Test catalog'!$O$2:$O$200,MATCH($AB183,'Test catalog'!$A$2:$A$200,0))="","",INDEX('Test catalog'!$O$2:$O$200,MATCH($AB183,'Test catalog'!$A$2:$A$200,0))),"")</f>
        <v/>
      </c>
      <c r="AB183" s="10" t="inlineStr">
        <is>
          <t>ID_CHEM</t>
        </is>
      </c>
      <c r="AC183" s="10" t="inlineStr">
        <is>
          <t>Vitamin E Preparation · Identification</t>
        </is>
      </c>
      <c r="AD183" s="10" t="n"/>
      <c r="AE183" s="10" t="n"/>
    </row>
    <row r="184">
      <c r="A184" s="10" t="inlineStr">
        <is>
          <t>dl-Alpha Tocopheryl Acetate 50% (Vitamin E)</t>
        </is>
      </c>
      <c r="B184" s="10" t="inlineStr">
        <is>
          <t>RM</t>
        </is>
      </c>
      <c r="C184" s="10" t="inlineStr">
        <is>
          <t>Active</t>
        </is>
      </c>
      <c r="D184" s="10" t="inlineStr">
        <is>
          <t>ID B - Optical rotation</t>
        </is>
      </c>
      <c r="E184" s="10">
        <f>IF(A184="","",A184&amp;"|"&amp;D184)</f>
        <v/>
      </c>
      <c r="F184" s="5" t="inlineStr">
        <is>
          <t>Y</t>
        </is>
      </c>
      <c r="G184" s="5" t="inlineStr">
        <is>
          <t>Other / bench</t>
        </is>
      </c>
      <c r="H184" s="5" t="inlineStr">
        <is>
          <t>Low</t>
        </is>
      </c>
      <c r="I184" s="5" t="n">
        <v>1</v>
      </c>
      <c r="J184" s="5" t="n"/>
      <c r="K184" s="10">
        <f>IFERROR(IF(INDEX('Test catalog'!$F$2:$F$200,MATCH($AB184,'Test catalog'!$A$2:$A$200,0))="","",INDEX('Test catalog'!$F$2:$F$200,MATCH($AB184,'Test catalog'!$A$2:$A$200,0))),"")</f>
        <v/>
      </c>
      <c r="L184" s="10">
        <f>IFERROR(IF(INDEX('Test catalog'!$G$2:$G$200,MATCH($AB184,'Test catalog'!$A$2:$A$200,0))="","",INDEX('Test catalog'!$G$2:$G$200,MATCH($AB184,'Test catalog'!$A$2:$A$200,0))),"")</f>
        <v/>
      </c>
      <c r="M184" s="10">
        <f>IFERROR(IF(INDEX('Test catalog'!$H$2:$H$200,MATCH($AB184,'Test catalog'!$A$2:$A$200,0))="","",INDEX('Test catalog'!$H$2:$H$200,MATCH($AB184,'Test catalog'!$A$2:$A$200,0))),"")</f>
        <v/>
      </c>
      <c r="N184" s="10">
        <f>IFERROR(IF(INDEX('Test catalog'!$I$2:$I$200,MATCH($AB184,'Test catalog'!$A$2:$A$200,0))="","",INDEX('Test catalog'!$I$2:$I$200,MATCH($AB184,'Test catalog'!$A$2:$A$200,0))),"")</f>
        <v/>
      </c>
      <c r="O184" s="10">
        <f>IFERROR(IF(INDEX('Test catalog'!$J$2:$J$200,MATCH($AB184,'Test catalog'!$A$2:$A$200,0))="","",INDEX('Test catalog'!$J$2:$J$200,MATCH($AB184,'Test catalog'!$A$2:$A$200,0))),"")</f>
        <v/>
      </c>
      <c r="P184" s="14">
        <f>IF(N184="","",IF(OR(M184="",O184=""),N184,(M184+4*N184+O184)/6))</f>
        <v/>
      </c>
      <c r="Q184" s="10">
        <f>IFERROR(IF(INDEX('Test catalog'!$K$2:$K$200,MATCH($AB184,'Test catalog'!$A$2:$A$200,0))="","",INDEX('Test catalog'!$K$2:$K$200,MATCH($AB184,'Test catalog'!$A$2:$A$200,0))),"")</f>
        <v/>
      </c>
      <c r="R184" s="5" t="n"/>
      <c r="S184" s="10">
        <f>IFERROR(IF(INDEX('Test catalog'!$L$2:$L$200,MATCH($AB184,'Test catalog'!$A$2:$A$200,0))="","",INDEX('Test catalog'!$L$2:$L$200,MATCH($AB184,'Test catalog'!$A$2:$A$200,0))),"")</f>
        <v/>
      </c>
      <c r="T184" s="10">
        <f>IFERROR(IF(INDEX('Test catalog'!$M$2:$M$200,MATCH($AB184,'Test catalog'!$A$2:$A$200,0))="","",INDEX('Test catalog'!$M$2:$M$200,MATCH($AB184,'Test catalog'!$A$2:$A$200,0))),"")</f>
        <v/>
      </c>
      <c r="U184" s="10">
        <f>IFERROR(IF(INDEX('Test catalog'!$N$2:$N$200,MATCH($AB184,'Test catalog'!$A$2:$A$200,0))="","",INDEX('Test catalog'!$N$2:$N$200,MATCH($AB184,'Test catalog'!$A$2:$A$200,0))),"")</f>
        <v/>
      </c>
      <c r="V184" s="15" t="n"/>
      <c r="W184" s="5" t="inlineStr">
        <is>
          <t>N</t>
        </is>
      </c>
      <c r="X184" s="5" t="n"/>
      <c r="Y184" s="5" t="n"/>
      <c r="Z184" s="5" t="n"/>
      <c r="AA184" s="10">
        <f>IFERROR(IF(INDEX('Test catalog'!$O$2:$O$200,MATCH($AB184,'Test catalog'!$A$2:$A$200,0))="","",INDEX('Test catalog'!$O$2:$O$200,MATCH($AB184,'Test catalog'!$A$2:$A$200,0))),"")</f>
        <v/>
      </c>
      <c r="AB184" s="10" t="inlineStr">
        <is>
          <t>OR</t>
        </is>
      </c>
      <c r="AC184" s="10" t="inlineStr">
        <is>
          <t>Vitamin E Preparation · Identification &lt;781&gt;</t>
        </is>
      </c>
      <c r="AD184" s="10" t="n"/>
      <c r="AE184" s="10" t="n"/>
    </row>
    <row r="185">
      <c r="A185" s="10" t="inlineStr">
        <is>
          <t>dl-Alpha Tocopheryl Acetate 50% (Vitamin E)</t>
        </is>
      </c>
      <c r="B185" s="10" t="inlineStr">
        <is>
          <t>RM</t>
        </is>
      </c>
      <c r="C185" s="10" t="inlineStr">
        <is>
          <t>Active</t>
        </is>
      </c>
      <c r="D185" s="10" t="inlineStr">
        <is>
          <t>Assay - Alpha Tocopherol (GC)</t>
        </is>
      </c>
      <c r="E185" s="10">
        <f>IF(A185="","",A185&amp;"|"&amp;D185)</f>
        <v/>
      </c>
      <c r="F185" s="5" t="inlineStr">
        <is>
          <t>Y</t>
        </is>
      </c>
      <c r="G185" s="5" t="inlineStr">
        <is>
          <t>GC</t>
        </is>
      </c>
      <c r="H185" s="5" t="inlineStr">
        <is>
          <t>Medium</t>
        </is>
      </c>
      <c r="I185" s="5" t="n">
        <v>1</v>
      </c>
      <c r="J185" s="5" t="n"/>
      <c r="K185" s="5" t="n"/>
      <c r="L185" s="5" t="n"/>
      <c r="M185" s="5" t="n"/>
      <c r="N185" s="5" t="n"/>
      <c r="O185" s="5" t="n"/>
      <c r="P185" s="14">
        <f>IF(N185="","",IF(OR(M185="",O185=""),N185,(M185+4*N185+O185)/6))</f>
        <v/>
      </c>
      <c r="Q185" s="5" t="n"/>
      <c r="R185" s="5" t="n"/>
      <c r="S185" s="5" t="n"/>
      <c r="T185" s="5" t="n"/>
      <c r="U185" s="5" t="n"/>
      <c r="V185" s="15" t="n"/>
      <c r="W185" s="5" t="inlineStr">
        <is>
          <t>N</t>
        </is>
      </c>
      <c r="X185" s="5" t="n"/>
      <c r="Y185" s="5" t="n"/>
      <c r="Z185" s="5" t="inlineStr">
        <is>
          <t>Alternative assays - keep only the one you run</t>
        </is>
      </c>
      <c r="AA185" s="5" t="n"/>
      <c r="AB185" s="10" t="n"/>
      <c r="AC185" s="10" t="inlineStr">
        <is>
          <t>Vitamin E Preparation · Assay</t>
        </is>
      </c>
      <c r="AD185" s="10" t="n"/>
      <c r="AE185" s="10" t="n"/>
    </row>
    <row r="186">
      <c r="A186" s="10" t="inlineStr">
        <is>
          <t>dl-Alpha Tocopheryl Acetate 50% (Vitamin E)</t>
        </is>
      </c>
      <c r="B186" s="10" t="inlineStr">
        <is>
          <t>RM</t>
        </is>
      </c>
      <c r="C186" s="10" t="inlineStr">
        <is>
          <t>Active</t>
        </is>
      </c>
      <c r="D186" s="10" t="inlineStr">
        <is>
          <t>Assay - Alpha Tocopheryl Acetate (GC)</t>
        </is>
      </c>
      <c r="E186" s="10">
        <f>IF(A186="","",A186&amp;"|"&amp;D186)</f>
        <v/>
      </c>
      <c r="F186" s="5" t="inlineStr">
        <is>
          <t>Y</t>
        </is>
      </c>
      <c r="G186" s="5" t="inlineStr">
        <is>
          <t>GC</t>
        </is>
      </c>
      <c r="H186" s="5" t="inlineStr">
        <is>
          <t>Medium</t>
        </is>
      </c>
      <c r="I186" s="5" t="n">
        <v>1</v>
      </c>
      <c r="J186" s="5" t="n"/>
      <c r="K186" s="5" t="n"/>
      <c r="L186" s="5" t="n"/>
      <c r="M186" s="5" t="n"/>
      <c r="N186" s="5" t="n"/>
      <c r="O186" s="5" t="n"/>
      <c r="P186" s="14">
        <f>IF(N186="","",IF(OR(M186="",O186=""),N186,(M186+4*N186+O186)/6))</f>
        <v/>
      </c>
      <c r="Q186" s="5" t="n"/>
      <c r="R186" s="5" t="n"/>
      <c r="S186" s="5" t="n"/>
      <c r="T186" s="5" t="n"/>
      <c r="U186" s="5" t="n"/>
      <c r="V186" s="15" t="n"/>
      <c r="W186" s="5" t="inlineStr">
        <is>
          <t>N</t>
        </is>
      </c>
      <c r="X186" s="5" t="n"/>
      <c r="Y186" s="5" t="n"/>
      <c r="Z186" s="5" t="inlineStr">
        <is>
          <t>Alternative assays - keep only the one you run</t>
        </is>
      </c>
      <c r="AA186" s="5" t="n"/>
      <c r="AB186" s="10" t="n"/>
      <c r="AC186" s="10" t="inlineStr">
        <is>
          <t>Vitamin E Preparation · Assay</t>
        </is>
      </c>
      <c r="AD186" s="10" t="n"/>
      <c r="AE186" s="10" t="n"/>
    </row>
    <row r="187">
      <c r="A187" s="10" t="inlineStr">
        <is>
          <t>dl-Alpha Tocopheryl Acetate 50% (Vitamin E)</t>
        </is>
      </c>
      <c r="B187" s="10" t="inlineStr">
        <is>
          <t>RM</t>
        </is>
      </c>
      <c r="C187" s="10" t="inlineStr">
        <is>
          <t>Active</t>
        </is>
      </c>
      <c r="D187" s="10" t="inlineStr">
        <is>
          <t>Assay - Alpha Tocopheryl Acid Succinate (GC)</t>
        </is>
      </c>
      <c r="E187" s="10">
        <f>IF(A187="","",A187&amp;"|"&amp;D187)</f>
        <v/>
      </c>
      <c r="F187" s="5" t="inlineStr">
        <is>
          <t>Y</t>
        </is>
      </c>
      <c r="G187" s="5" t="inlineStr">
        <is>
          <t>GC</t>
        </is>
      </c>
      <c r="H187" s="5" t="inlineStr">
        <is>
          <t>Medium</t>
        </is>
      </c>
      <c r="I187" s="5" t="n">
        <v>1</v>
      </c>
      <c r="J187" s="5" t="n"/>
      <c r="K187" s="5" t="n"/>
      <c r="L187" s="5" t="n"/>
      <c r="M187" s="5" t="n"/>
      <c r="N187" s="5" t="n"/>
      <c r="O187" s="5" t="n"/>
      <c r="P187" s="14">
        <f>IF(N187="","",IF(OR(M187="",O187=""),N187,(M187+4*N187+O187)/6))</f>
        <v/>
      </c>
      <c r="Q187" s="5" t="n"/>
      <c r="R187" s="5" t="n"/>
      <c r="S187" s="5" t="n"/>
      <c r="T187" s="5" t="n"/>
      <c r="U187" s="5" t="n"/>
      <c r="V187" s="15" t="n"/>
      <c r="W187" s="5" t="inlineStr">
        <is>
          <t>N</t>
        </is>
      </c>
      <c r="X187" s="5" t="n"/>
      <c r="Y187" s="5" t="n"/>
      <c r="Z187" s="5" t="inlineStr">
        <is>
          <t>Alternative assays - keep only the one you run</t>
        </is>
      </c>
      <c r="AA187" s="5" t="n"/>
      <c r="AB187" s="10" t="n"/>
      <c r="AC187" s="10" t="inlineStr">
        <is>
          <t>Vitamin E Preparation · Assay</t>
        </is>
      </c>
      <c r="AD187" s="10" t="n"/>
      <c r="AE187" s="10" t="n"/>
    </row>
    <row r="188">
      <c r="A188" s="10" t="inlineStr">
        <is>
          <t>dl-Alpha Tocopheryl Acetate 50% (Vitamin E)</t>
        </is>
      </c>
      <c r="B188" s="10" t="inlineStr">
        <is>
          <t>RM</t>
        </is>
      </c>
      <c r="C188" s="10" t="inlineStr">
        <is>
          <t>Active</t>
        </is>
      </c>
      <c r="D188" s="10" t="inlineStr">
        <is>
          <t>Acidity (for Vitamin E Preparation in liquid form)</t>
        </is>
      </c>
      <c r="E188" s="10">
        <f>IF(A188="","",A188&amp;"|"&amp;D188)</f>
        <v/>
      </c>
      <c r="F188" s="5" t="inlineStr">
        <is>
          <t>Y</t>
        </is>
      </c>
      <c r="G188" s="5" t="inlineStr">
        <is>
          <t>Other / bench</t>
        </is>
      </c>
      <c r="H188" s="5" t="inlineStr">
        <is>
          <t>Low</t>
        </is>
      </c>
      <c r="I188" s="5" t="n">
        <v>1</v>
      </c>
      <c r="J188" s="5" t="n"/>
      <c r="K188" s="10">
        <f>IFERROR(IF(INDEX('Test catalog'!$F$2:$F$200,MATCH($AB188,'Test catalog'!$A$2:$A$200,0))="","",INDEX('Test catalog'!$F$2:$F$200,MATCH($AB188,'Test catalog'!$A$2:$A$200,0))),"")</f>
        <v/>
      </c>
      <c r="L188" s="10">
        <f>IFERROR(IF(INDEX('Test catalog'!$G$2:$G$200,MATCH($AB188,'Test catalog'!$A$2:$A$200,0))="","",INDEX('Test catalog'!$G$2:$G$200,MATCH($AB188,'Test catalog'!$A$2:$A$200,0))),"")</f>
        <v/>
      </c>
      <c r="M188" s="10">
        <f>IFERROR(IF(INDEX('Test catalog'!$H$2:$H$200,MATCH($AB188,'Test catalog'!$A$2:$A$200,0))="","",INDEX('Test catalog'!$H$2:$H$200,MATCH($AB188,'Test catalog'!$A$2:$A$200,0))),"")</f>
        <v/>
      </c>
      <c r="N188" s="10">
        <f>IFERROR(IF(INDEX('Test catalog'!$I$2:$I$200,MATCH($AB188,'Test catalog'!$A$2:$A$200,0))="","",INDEX('Test catalog'!$I$2:$I$200,MATCH($AB188,'Test catalog'!$A$2:$A$200,0))),"")</f>
        <v/>
      </c>
      <c r="O188" s="10">
        <f>IFERROR(IF(INDEX('Test catalog'!$J$2:$J$200,MATCH($AB188,'Test catalog'!$A$2:$A$200,0))="","",INDEX('Test catalog'!$J$2:$J$200,MATCH($AB188,'Test catalog'!$A$2:$A$200,0))),"")</f>
        <v/>
      </c>
      <c r="P188" s="14">
        <f>IF(N188="","",IF(OR(M188="",O188=""),N188,(M188+4*N188+O188)/6))</f>
        <v/>
      </c>
      <c r="Q188" s="10">
        <f>IFERROR(IF(INDEX('Test catalog'!$K$2:$K$200,MATCH($AB188,'Test catalog'!$A$2:$A$200,0))="","",INDEX('Test catalog'!$K$2:$K$200,MATCH($AB188,'Test catalog'!$A$2:$A$200,0))),"")</f>
        <v/>
      </c>
      <c r="R188" s="5" t="n"/>
      <c r="S188" s="10">
        <f>IFERROR(IF(INDEX('Test catalog'!$L$2:$L$200,MATCH($AB188,'Test catalog'!$A$2:$A$200,0))="","",INDEX('Test catalog'!$L$2:$L$200,MATCH($AB188,'Test catalog'!$A$2:$A$200,0))),"")</f>
        <v/>
      </c>
      <c r="T188" s="10">
        <f>IFERROR(IF(INDEX('Test catalog'!$M$2:$M$200,MATCH($AB188,'Test catalog'!$A$2:$A$200,0))="","",INDEX('Test catalog'!$M$2:$M$200,MATCH($AB188,'Test catalog'!$A$2:$A$200,0))),"")</f>
        <v/>
      </c>
      <c r="U188" s="10">
        <f>IFERROR(IF(INDEX('Test catalog'!$N$2:$N$200,MATCH($AB188,'Test catalog'!$A$2:$A$200,0))="","",INDEX('Test catalog'!$N$2:$N$200,MATCH($AB188,'Test catalog'!$A$2:$A$200,0))),"")</f>
        <v/>
      </c>
      <c r="V188" s="15" t="n"/>
      <c r="W188" s="5" t="inlineStr">
        <is>
          <t>N</t>
        </is>
      </c>
      <c r="X188" s="5" t="n"/>
      <c r="Y188" s="5" t="n"/>
      <c r="Z188" s="5" t="n"/>
      <c r="AA188" s="10">
        <f>IFERROR(IF(INDEX('Test catalog'!$O$2:$O$200,MATCH($AB188,'Test catalog'!$A$2:$A$200,0))="","",INDEX('Test catalog'!$O$2:$O$200,MATCH($AB188,'Test catalog'!$A$2:$A$200,0))),"")</f>
        <v/>
      </c>
      <c r="AB188" s="10" t="inlineStr">
        <is>
          <t>ACID</t>
        </is>
      </c>
      <c r="AC188" s="10" t="inlineStr">
        <is>
          <t>Vitamin E Preparation · Specific Tests</t>
        </is>
      </c>
      <c r="AD188" s="10" t="n"/>
      <c r="AE188" s="10" t="n"/>
    </row>
    <row r="189">
      <c r="A189" s="10" t="inlineStr">
        <is>
          <t>Echinacea Purpurea Dry Extract</t>
        </is>
      </c>
      <c r="B189" s="10" t="inlineStr">
        <is>
          <t>RM</t>
        </is>
      </c>
      <c r="C189" s="10" t="inlineStr">
        <is>
          <t>Active</t>
        </is>
      </c>
      <c r="D189" s="10" t="inlineStr">
        <is>
          <t>Appearance / description and solubility</t>
        </is>
      </c>
      <c r="E189" s="10">
        <f>IF(A189="","",A189&amp;"|"&amp;D189)</f>
        <v/>
      </c>
      <c r="F189" s="5" t="inlineStr">
        <is>
          <t>Y</t>
        </is>
      </c>
      <c r="G189" s="5" t="inlineStr">
        <is>
          <t>Other / bench</t>
        </is>
      </c>
      <c r="H189" s="5" t="inlineStr">
        <is>
          <t>Low</t>
        </is>
      </c>
      <c r="I189" s="5" t="n">
        <v>1</v>
      </c>
      <c r="J189" s="5" t="n"/>
      <c r="K189" s="10">
        <f>IFERROR(IF(INDEX('Test catalog'!$F$2:$F$200,MATCH($AB189,'Test catalog'!$A$2:$A$200,0))="","",INDEX('Test catalog'!$F$2:$F$200,MATCH($AB189,'Test catalog'!$A$2:$A$200,0))),"")</f>
        <v/>
      </c>
      <c r="L189" s="10">
        <f>IFERROR(IF(INDEX('Test catalog'!$G$2:$G$200,MATCH($AB189,'Test catalog'!$A$2:$A$200,0))="","",INDEX('Test catalog'!$G$2:$G$200,MATCH($AB189,'Test catalog'!$A$2:$A$200,0))),"")</f>
        <v/>
      </c>
      <c r="M189" s="10">
        <f>IFERROR(IF(INDEX('Test catalog'!$H$2:$H$200,MATCH($AB189,'Test catalog'!$A$2:$A$200,0))="","",INDEX('Test catalog'!$H$2:$H$200,MATCH($AB189,'Test catalog'!$A$2:$A$200,0))),"")</f>
        <v/>
      </c>
      <c r="N189" s="10">
        <f>IFERROR(IF(INDEX('Test catalog'!$I$2:$I$200,MATCH($AB189,'Test catalog'!$A$2:$A$200,0))="","",INDEX('Test catalog'!$I$2:$I$200,MATCH($AB189,'Test catalog'!$A$2:$A$200,0))),"")</f>
        <v/>
      </c>
      <c r="O189" s="10">
        <f>IFERROR(IF(INDEX('Test catalog'!$J$2:$J$200,MATCH($AB189,'Test catalog'!$A$2:$A$200,0))="","",INDEX('Test catalog'!$J$2:$J$200,MATCH($AB189,'Test catalog'!$A$2:$A$200,0))),"")</f>
        <v/>
      </c>
      <c r="P189" s="14">
        <f>IF(N189="","",IF(OR(M189="",O189=""),N189,(M189+4*N189+O189)/6))</f>
        <v/>
      </c>
      <c r="Q189" s="10">
        <f>IFERROR(IF(INDEX('Test catalog'!$K$2:$K$200,MATCH($AB189,'Test catalog'!$A$2:$A$200,0))="","",INDEX('Test catalog'!$K$2:$K$200,MATCH($AB189,'Test catalog'!$A$2:$A$200,0))),"")</f>
        <v/>
      </c>
      <c r="R189" s="5" t="n"/>
      <c r="S189" s="10">
        <f>IFERROR(IF(INDEX('Test catalog'!$L$2:$L$200,MATCH($AB189,'Test catalog'!$A$2:$A$200,0))="","",INDEX('Test catalog'!$L$2:$L$200,MATCH($AB189,'Test catalog'!$A$2:$A$200,0))),"")</f>
        <v/>
      </c>
      <c r="T189" s="10">
        <f>IFERROR(IF(INDEX('Test catalog'!$M$2:$M$200,MATCH($AB189,'Test catalog'!$A$2:$A$200,0))="","",INDEX('Test catalog'!$M$2:$M$200,MATCH($AB189,'Test catalog'!$A$2:$A$200,0))),"")</f>
        <v/>
      </c>
      <c r="U189" s="10">
        <f>IFERROR(IF(INDEX('Test catalog'!$N$2:$N$200,MATCH($AB189,'Test catalog'!$A$2:$A$200,0))="","",INDEX('Test catalog'!$N$2:$N$200,MATCH($AB189,'Test catalog'!$A$2:$A$200,0))),"")</f>
        <v/>
      </c>
      <c r="V189" s="15" t="n"/>
      <c r="W189" s="5" t="inlineStr">
        <is>
          <t>N</t>
        </is>
      </c>
      <c r="X189" s="5" t="n"/>
      <c r="Y189" s="5" t="n"/>
      <c r="Z189" s="5" t="n"/>
      <c r="AA189" s="10">
        <f>IFERROR(IF(INDEX('Test catalog'!$O$2:$O$200,MATCH($AB189,'Test catalog'!$A$2:$A$200,0))="","",INDEX('Test catalog'!$O$2:$O$200,MATCH($AB189,'Test catalog'!$A$2:$A$200,0))),"")</f>
        <v/>
      </c>
      <c r="AB189" s="10" t="inlineStr">
        <is>
          <t>APPEAR</t>
        </is>
      </c>
      <c r="AC189" s="10" t="inlineStr">
        <is>
          <t>Lab practice (not a USP test)</t>
        </is>
      </c>
      <c r="AD189" s="10" t="n"/>
      <c r="AE189" s="10" t="n"/>
    </row>
    <row r="190">
      <c r="A190" s="10" t="inlineStr">
        <is>
          <t>Echinacea Purpurea Dry Extract</t>
        </is>
      </c>
      <c r="B190" s="10" t="inlineStr">
        <is>
          <t>RM</t>
        </is>
      </c>
      <c r="C190" s="10" t="inlineStr">
        <is>
          <t>Active</t>
        </is>
      </c>
      <c r="D190" s="10" t="inlineStr">
        <is>
          <t>ID A - TLC</t>
        </is>
      </c>
      <c r="E190" s="10">
        <f>IF(A190="","",A190&amp;"|"&amp;D190)</f>
        <v/>
      </c>
      <c r="F190" s="5" t="inlineStr">
        <is>
          <t>Y</t>
        </is>
      </c>
      <c r="G190" s="5" t="inlineStr">
        <is>
          <t>Other / bench</t>
        </is>
      </c>
      <c r="H190" s="5" t="inlineStr">
        <is>
          <t>Low</t>
        </is>
      </c>
      <c r="I190" s="5" t="n">
        <v>1</v>
      </c>
      <c r="J190" s="5" t="n"/>
      <c r="K190" s="10">
        <f>IFERROR(IF(INDEX('Test catalog'!$F$2:$F$200,MATCH($AB190,'Test catalog'!$A$2:$A$200,0))="","",INDEX('Test catalog'!$F$2:$F$200,MATCH($AB190,'Test catalog'!$A$2:$A$200,0))),"")</f>
        <v/>
      </c>
      <c r="L190" s="10">
        <f>IFERROR(IF(INDEX('Test catalog'!$G$2:$G$200,MATCH($AB190,'Test catalog'!$A$2:$A$200,0))="","",INDEX('Test catalog'!$G$2:$G$200,MATCH($AB190,'Test catalog'!$A$2:$A$200,0))),"")</f>
        <v/>
      </c>
      <c r="M190" s="10">
        <f>IFERROR(IF(INDEX('Test catalog'!$H$2:$H$200,MATCH($AB190,'Test catalog'!$A$2:$A$200,0))="","",INDEX('Test catalog'!$H$2:$H$200,MATCH($AB190,'Test catalog'!$A$2:$A$200,0))),"")</f>
        <v/>
      </c>
      <c r="N190" s="10">
        <f>IFERROR(IF(INDEX('Test catalog'!$I$2:$I$200,MATCH($AB190,'Test catalog'!$A$2:$A$200,0))="","",INDEX('Test catalog'!$I$2:$I$200,MATCH($AB190,'Test catalog'!$A$2:$A$200,0))),"")</f>
        <v/>
      </c>
      <c r="O190" s="10">
        <f>IFERROR(IF(INDEX('Test catalog'!$J$2:$J$200,MATCH($AB190,'Test catalog'!$A$2:$A$200,0))="","",INDEX('Test catalog'!$J$2:$J$200,MATCH($AB190,'Test catalog'!$A$2:$A$200,0))),"")</f>
        <v/>
      </c>
      <c r="P190" s="14">
        <f>IF(N190="","",IF(OR(M190="",O190=""),N190,(M190+4*N190+O190)/6))</f>
        <v/>
      </c>
      <c r="Q190" s="10">
        <f>IFERROR(IF(INDEX('Test catalog'!$K$2:$K$200,MATCH($AB190,'Test catalog'!$A$2:$A$200,0))="","",INDEX('Test catalog'!$K$2:$K$200,MATCH($AB190,'Test catalog'!$A$2:$A$200,0))),"")</f>
        <v/>
      </c>
      <c r="R190" s="5" t="n"/>
      <c r="S190" s="10">
        <f>IFERROR(IF(INDEX('Test catalog'!$L$2:$L$200,MATCH($AB190,'Test catalog'!$A$2:$A$200,0))="","",INDEX('Test catalog'!$L$2:$L$200,MATCH($AB190,'Test catalog'!$A$2:$A$200,0))),"")</f>
        <v/>
      </c>
      <c r="T190" s="10">
        <f>IFERROR(IF(INDEX('Test catalog'!$M$2:$M$200,MATCH($AB190,'Test catalog'!$A$2:$A$200,0))="","",INDEX('Test catalog'!$M$2:$M$200,MATCH($AB190,'Test catalog'!$A$2:$A$200,0))),"")</f>
        <v/>
      </c>
      <c r="U190" s="10">
        <f>IFERROR(IF(INDEX('Test catalog'!$N$2:$N$200,MATCH($AB190,'Test catalog'!$A$2:$A$200,0))="","",INDEX('Test catalog'!$N$2:$N$200,MATCH($AB190,'Test catalog'!$A$2:$A$200,0))),"")</f>
        <v/>
      </c>
      <c r="V190" s="15" t="n"/>
      <c r="W190" s="5" t="inlineStr">
        <is>
          <t>N</t>
        </is>
      </c>
      <c r="X190" s="5" t="n"/>
      <c r="Y190" s="5" t="n"/>
      <c r="Z190" s="5" t="n"/>
      <c r="AA190" s="10">
        <f>IFERROR(IF(INDEX('Test catalog'!$O$2:$O$200,MATCH($AB190,'Test catalog'!$A$2:$A$200,0))="","",INDEX('Test catalog'!$O$2:$O$200,MATCH($AB190,'Test catalog'!$A$2:$A$200,0))),"")</f>
        <v/>
      </c>
      <c r="AB190" s="10" t="inlineStr">
        <is>
          <t>TLC</t>
        </is>
      </c>
      <c r="AC190" s="10" t="inlineStr">
        <is>
          <t>Powdered Echinacea purpurea Extract · Identification</t>
        </is>
      </c>
      <c r="AD190" s="10" t="n"/>
      <c r="AE190" s="10" t="n"/>
    </row>
    <row r="191">
      <c r="A191" s="10" t="inlineStr">
        <is>
          <t>Echinacea Purpurea Dry Extract</t>
        </is>
      </c>
      <c r="B191" s="10" t="inlineStr">
        <is>
          <t>RM</t>
        </is>
      </c>
      <c r="C191" s="10" t="inlineStr">
        <is>
          <t>Active</t>
        </is>
      </c>
      <c r="D191" s="10" t="inlineStr">
        <is>
          <t>ID B - TLC</t>
        </is>
      </c>
      <c r="E191" s="10">
        <f>IF(A191="","",A191&amp;"|"&amp;D191)</f>
        <v/>
      </c>
      <c r="F191" s="5" t="inlineStr">
        <is>
          <t>Y</t>
        </is>
      </c>
      <c r="G191" s="5" t="inlineStr">
        <is>
          <t>Other / bench</t>
        </is>
      </c>
      <c r="H191" s="5" t="inlineStr">
        <is>
          <t>Low</t>
        </is>
      </c>
      <c r="I191" s="5" t="n">
        <v>1</v>
      </c>
      <c r="J191" s="5" t="n"/>
      <c r="K191" s="10">
        <f>IFERROR(IF(INDEX('Test catalog'!$F$2:$F$200,MATCH($AB191,'Test catalog'!$A$2:$A$200,0))="","",INDEX('Test catalog'!$F$2:$F$200,MATCH($AB191,'Test catalog'!$A$2:$A$200,0))),"")</f>
        <v/>
      </c>
      <c r="L191" s="10">
        <f>IFERROR(IF(INDEX('Test catalog'!$G$2:$G$200,MATCH($AB191,'Test catalog'!$A$2:$A$200,0))="","",INDEX('Test catalog'!$G$2:$G$200,MATCH($AB191,'Test catalog'!$A$2:$A$200,0))),"")</f>
        <v/>
      </c>
      <c r="M191" s="10">
        <f>IFERROR(IF(INDEX('Test catalog'!$H$2:$H$200,MATCH($AB191,'Test catalog'!$A$2:$A$200,0))="","",INDEX('Test catalog'!$H$2:$H$200,MATCH($AB191,'Test catalog'!$A$2:$A$200,0))),"")</f>
        <v/>
      </c>
      <c r="N191" s="10">
        <f>IFERROR(IF(INDEX('Test catalog'!$I$2:$I$200,MATCH($AB191,'Test catalog'!$A$2:$A$200,0))="","",INDEX('Test catalog'!$I$2:$I$200,MATCH($AB191,'Test catalog'!$A$2:$A$200,0))),"")</f>
        <v/>
      </c>
      <c r="O191" s="10">
        <f>IFERROR(IF(INDEX('Test catalog'!$J$2:$J$200,MATCH($AB191,'Test catalog'!$A$2:$A$200,0))="","",INDEX('Test catalog'!$J$2:$J$200,MATCH($AB191,'Test catalog'!$A$2:$A$200,0))),"")</f>
        <v/>
      </c>
      <c r="P191" s="14">
        <f>IF(N191="","",IF(OR(M191="",O191=""),N191,(M191+4*N191+O191)/6))</f>
        <v/>
      </c>
      <c r="Q191" s="10">
        <f>IFERROR(IF(INDEX('Test catalog'!$K$2:$K$200,MATCH($AB191,'Test catalog'!$A$2:$A$200,0))="","",INDEX('Test catalog'!$K$2:$K$200,MATCH($AB191,'Test catalog'!$A$2:$A$200,0))),"")</f>
        <v/>
      </c>
      <c r="R191" s="5" t="n"/>
      <c r="S191" s="10">
        <f>IFERROR(IF(INDEX('Test catalog'!$L$2:$L$200,MATCH($AB191,'Test catalog'!$A$2:$A$200,0))="","",INDEX('Test catalog'!$L$2:$L$200,MATCH($AB191,'Test catalog'!$A$2:$A$200,0))),"")</f>
        <v/>
      </c>
      <c r="T191" s="10">
        <f>IFERROR(IF(INDEX('Test catalog'!$M$2:$M$200,MATCH($AB191,'Test catalog'!$A$2:$A$200,0))="","",INDEX('Test catalog'!$M$2:$M$200,MATCH($AB191,'Test catalog'!$A$2:$A$200,0))),"")</f>
        <v/>
      </c>
      <c r="U191" s="10">
        <f>IFERROR(IF(INDEX('Test catalog'!$N$2:$N$200,MATCH($AB191,'Test catalog'!$A$2:$A$200,0))="","",INDEX('Test catalog'!$N$2:$N$200,MATCH($AB191,'Test catalog'!$A$2:$A$200,0))),"")</f>
        <v/>
      </c>
      <c r="V191" s="15" t="n"/>
      <c r="W191" s="5" t="inlineStr">
        <is>
          <t>N</t>
        </is>
      </c>
      <c r="X191" s="5" t="n"/>
      <c r="Y191" s="5" t="n"/>
      <c r="Z191" s="5" t="n"/>
      <c r="AA191" s="10">
        <f>IFERROR(IF(INDEX('Test catalog'!$O$2:$O$200,MATCH($AB191,'Test catalog'!$A$2:$A$200,0))="","",INDEX('Test catalog'!$O$2:$O$200,MATCH($AB191,'Test catalog'!$A$2:$A$200,0))),"")</f>
        <v/>
      </c>
      <c r="AB191" s="10" t="inlineStr">
        <is>
          <t>TLC</t>
        </is>
      </c>
      <c r="AC191" s="10" t="inlineStr">
        <is>
          <t>Powdered Echinacea purpurea Extract · Identification</t>
        </is>
      </c>
      <c r="AD191" s="10" t="n"/>
      <c r="AE191" s="10" t="n"/>
    </row>
    <row r="192">
      <c r="A192" s="10" t="inlineStr">
        <is>
          <t>Echinacea Purpurea Dry Extract</t>
        </is>
      </c>
      <c r="B192" s="10" t="inlineStr">
        <is>
          <t>RM</t>
        </is>
      </c>
      <c r="C192" s="10" t="inlineStr">
        <is>
          <t>Active</t>
        </is>
      </c>
      <c r="D192" s="10" t="inlineStr">
        <is>
          <t>Content of Total Phenols (HPLC)</t>
        </is>
      </c>
      <c r="E192" s="10">
        <f>IF(A192="","",A192&amp;"|"&amp;D192)</f>
        <v/>
      </c>
      <c r="F192" s="5" t="inlineStr">
        <is>
          <t>Y</t>
        </is>
      </c>
      <c r="G192" s="5" t="inlineStr">
        <is>
          <t>HPLC</t>
        </is>
      </c>
      <c r="H192" s="5" t="inlineStr">
        <is>
          <t>Medium</t>
        </is>
      </c>
      <c r="I192" s="5" t="n">
        <v>1</v>
      </c>
      <c r="J192" s="5" t="n"/>
      <c r="K192" s="5" t="n"/>
      <c r="L192" s="5" t="n"/>
      <c r="M192" s="5" t="n"/>
      <c r="N192" s="5" t="n"/>
      <c r="O192" s="5" t="n"/>
      <c r="P192" s="14">
        <f>IF(N192="","",IF(OR(M192="",O192=""),N192,(M192+4*N192+O192)/6))</f>
        <v/>
      </c>
      <c r="Q192" s="5" t="n"/>
      <c r="R192" s="5" t="n"/>
      <c r="S192" s="5" t="n"/>
      <c r="T192" s="5" t="n"/>
      <c r="U192" s="5" t="n"/>
      <c r="V192" s="15" t="n"/>
      <c r="W192" s="5" t="inlineStr">
        <is>
          <t>N</t>
        </is>
      </c>
      <c r="X192" s="5" t="n"/>
      <c r="Y192" s="5" t="n"/>
      <c r="Z192" s="5" t="n"/>
      <c r="AA192" s="5" t="n"/>
      <c r="AB192" s="10" t="n"/>
      <c r="AC192" s="10" t="inlineStr">
        <is>
          <t>Powdered Echinacea purpurea Extract · Composition</t>
        </is>
      </c>
      <c r="AD192" s="10" t="n"/>
      <c r="AE192" s="10" t="n"/>
    </row>
    <row r="193">
      <c r="A193" s="10" t="inlineStr">
        <is>
          <t>Echinacea Purpurea Dry Extract</t>
        </is>
      </c>
      <c r="B193" s="10" t="inlineStr">
        <is>
          <t>RM</t>
        </is>
      </c>
      <c r="C193" s="10" t="inlineStr">
        <is>
          <t>Active</t>
        </is>
      </c>
      <c r="D193" s="10" t="inlineStr">
        <is>
          <t>Content of Dodecatetraenoic Acid Isobutylamides (HPLC)</t>
        </is>
      </c>
      <c r="E193" s="10">
        <f>IF(A193="","",A193&amp;"|"&amp;D193)</f>
        <v/>
      </c>
      <c r="F193" s="5" t="inlineStr">
        <is>
          <t>Y</t>
        </is>
      </c>
      <c r="G193" s="5" t="inlineStr">
        <is>
          <t>HPLC</t>
        </is>
      </c>
      <c r="H193" s="5" t="inlineStr">
        <is>
          <t>Medium</t>
        </is>
      </c>
      <c r="I193" s="5" t="n">
        <v>1</v>
      </c>
      <c r="J193" s="5" t="n"/>
      <c r="K193" s="5" t="n"/>
      <c r="L193" s="5" t="n"/>
      <c r="M193" s="5" t="n"/>
      <c r="N193" s="5" t="n"/>
      <c r="O193" s="5" t="n"/>
      <c r="P193" s="14">
        <f>IF(N193="","",IF(OR(M193="",O193=""),N193,(M193+4*N193+O193)/6))</f>
        <v/>
      </c>
      <c r="Q193" s="5" t="n"/>
      <c r="R193" s="5" t="n"/>
      <c r="S193" s="5" t="n"/>
      <c r="T193" s="5" t="n"/>
      <c r="U193" s="5" t="n"/>
      <c r="V193" s="15" t="n"/>
      <c r="W193" s="5" t="inlineStr">
        <is>
          <t>N</t>
        </is>
      </c>
      <c r="X193" s="5" t="n"/>
      <c r="Y193" s="5" t="n"/>
      <c r="Z193" s="5" t="n"/>
      <c r="AA193" s="5" t="n"/>
      <c r="AB193" s="10" t="n"/>
      <c r="AC193" s="10" t="inlineStr">
        <is>
          <t>Powdered Echinacea purpurea Extract · Composition</t>
        </is>
      </c>
      <c r="AD193" s="10" t="n"/>
      <c r="AE193" s="10" t="n"/>
    </row>
    <row r="194">
      <c r="A194" s="10" t="inlineStr">
        <is>
          <t>Echinacea Purpurea Dry Extract</t>
        </is>
      </c>
      <c r="B194" s="10" t="inlineStr">
        <is>
          <t>RM</t>
        </is>
      </c>
      <c r="C194" s="10" t="inlineStr">
        <is>
          <t>Active</t>
        </is>
      </c>
      <c r="D194" s="10" t="inlineStr">
        <is>
          <t>Elemental Impurities—Procedures</t>
        </is>
      </c>
      <c r="E194" s="10">
        <f>IF(A194="","",A194&amp;"|"&amp;D194)</f>
        <v/>
      </c>
      <c r="F194" s="5" t="inlineStr">
        <is>
          <t>Y</t>
        </is>
      </c>
      <c r="G194" s="5" t="inlineStr">
        <is>
          <t>AAS / ICP</t>
        </is>
      </c>
      <c r="H194" s="5" t="inlineStr">
        <is>
          <t>Low</t>
        </is>
      </c>
      <c r="I194" s="5" t="n">
        <v>1</v>
      </c>
      <c r="J194" s="5" t="n"/>
      <c r="K194" s="10">
        <f>IFERROR(IF(INDEX('Test catalog'!$F$2:$F$200,MATCH($AB194,'Test catalog'!$A$2:$A$200,0))="","",INDEX('Test catalog'!$F$2:$F$200,MATCH($AB194,'Test catalog'!$A$2:$A$200,0))),"")</f>
        <v/>
      </c>
      <c r="L194" s="10">
        <f>IFERROR(IF(INDEX('Test catalog'!$G$2:$G$200,MATCH($AB194,'Test catalog'!$A$2:$A$200,0))="","",INDEX('Test catalog'!$G$2:$G$200,MATCH($AB194,'Test catalog'!$A$2:$A$200,0))),"")</f>
        <v/>
      </c>
      <c r="M194" s="10">
        <f>IFERROR(IF(INDEX('Test catalog'!$H$2:$H$200,MATCH($AB194,'Test catalog'!$A$2:$A$200,0))="","",INDEX('Test catalog'!$H$2:$H$200,MATCH($AB194,'Test catalog'!$A$2:$A$200,0))),"")</f>
        <v/>
      </c>
      <c r="N194" s="10">
        <f>IFERROR(IF(INDEX('Test catalog'!$I$2:$I$200,MATCH($AB194,'Test catalog'!$A$2:$A$200,0))="","",INDEX('Test catalog'!$I$2:$I$200,MATCH($AB194,'Test catalog'!$A$2:$A$200,0))),"")</f>
        <v/>
      </c>
      <c r="O194" s="10">
        <f>IFERROR(IF(INDEX('Test catalog'!$J$2:$J$200,MATCH($AB194,'Test catalog'!$A$2:$A$200,0))="","",INDEX('Test catalog'!$J$2:$J$200,MATCH($AB194,'Test catalog'!$A$2:$A$200,0))),"")</f>
        <v/>
      </c>
      <c r="P194" s="14">
        <f>IF(N194="","",IF(OR(M194="",O194=""),N194,(M194+4*N194+O194)/6))</f>
        <v/>
      </c>
      <c r="Q194" s="10">
        <f>IFERROR(IF(INDEX('Test catalog'!$K$2:$K$200,MATCH($AB194,'Test catalog'!$A$2:$A$200,0))="","",INDEX('Test catalog'!$K$2:$K$200,MATCH($AB194,'Test catalog'!$A$2:$A$200,0))),"")</f>
        <v/>
      </c>
      <c r="R194" s="5" t="n"/>
      <c r="S194" s="10">
        <f>IFERROR(IF(INDEX('Test catalog'!$L$2:$L$200,MATCH($AB194,'Test catalog'!$A$2:$A$200,0))="","",INDEX('Test catalog'!$L$2:$L$200,MATCH($AB194,'Test catalog'!$A$2:$A$200,0))),"")</f>
        <v/>
      </c>
      <c r="T194" s="10">
        <f>IFERROR(IF(INDEX('Test catalog'!$M$2:$M$200,MATCH($AB194,'Test catalog'!$A$2:$A$200,0))="","",INDEX('Test catalog'!$M$2:$M$200,MATCH($AB194,'Test catalog'!$A$2:$A$200,0))),"")</f>
        <v/>
      </c>
      <c r="U194" s="10">
        <f>IFERROR(IF(INDEX('Test catalog'!$N$2:$N$200,MATCH($AB194,'Test catalog'!$A$2:$A$200,0))="","",INDEX('Test catalog'!$N$2:$N$200,MATCH($AB194,'Test catalog'!$A$2:$A$200,0))),"")</f>
        <v/>
      </c>
      <c r="V194" s="15" t="n"/>
      <c r="W194" s="5" t="inlineStr">
        <is>
          <t>N</t>
        </is>
      </c>
      <c r="X194" s="5" t="n"/>
      <c r="Y194" s="5" t="n"/>
      <c r="Z194" s="5" t="n"/>
      <c r="AA194" s="10">
        <f>IFERROR(IF(INDEX('Test catalog'!$O$2:$O$200,MATCH($AB194,'Test catalog'!$A$2:$A$200,0))="","",INDEX('Test catalog'!$O$2:$O$200,MATCH($AB194,'Test catalog'!$A$2:$A$200,0))),"")</f>
        <v/>
      </c>
      <c r="AB194" s="10" t="inlineStr">
        <is>
          <t>AAS</t>
        </is>
      </c>
      <c r="AC194" s="10" t="inlineStr">
        <is>
          <t>Powdered Echinacea purpurea Extract · Contaminants &lt;233&gt;</t>
        </is>
      </c>
      <c r="AD194" s="10" t="n"/>
      <c r="AE194" s="10" t="n"/>
    </row>
    <row r="195">
      <c r="A195" s="10" t="inlineStr">
        <is>
          <t>Echinacea Purpurea Dry Extract</t>
        </is>
      </c>
      <c r="B195" s="10" t="inlineStr">
        <is>
          <t>RM</t>
        </is>
      </c>
      <c r="C195" s="10" t="inlineStr">
        <is>
          <t>Active</t>
        </is>
      </c>
      <c r="D195" s="10" t="inlineStr">
        <is>
          <t>Botanical Extracts</t>
        </is>
      </c>
      <c r="E195" s="10">
        <f>IF(A195="","",A195&amp;"|"&amp;D195)</f>
        <v/>
      </c>
      <c r="F195" s="5" t="inlineStr">
        <is>
          <t>Y</t>
        </is>
      </c>
      <c r="G195" s="5" t="inlineStr">
        <is>
          <t>GC</t>
        </is>
      </c>
      <c r="H195" s="5" t="inlineStr">
        <is>
          <t>Medium</t>
        </is>
      </c>
      <c r="I195" s="5" t="n">
        <v>1</v>
      </c>
      <c r="J195" s="5" t="n"/>
      <c r="K195" s="10">
        <f>IFERROR(IF(INDEX('Test catalog'!$F$2:$F$200,MATCH($AB195,'Test catalog'!$A$2:$A$200,0))="","",INDEX('Test catalog'!$F$2:$F$200,MATCH($AB195,'Test catalog'!$A$2:$A$200,0))),"")</f>
        <v/>
      </c>
      <c r="L195" s="10">
        <f>IFERROR(IF(INDEX('Test catalog'!$G$2:$G$200,MATCH($AB195,'Test catalog'!$A$2:$A$200,0))="","",INDEX('Test catalog'!$G$2:$G$200,MATCH($AB195,'Test catalog'!$A$2:$A$200,0))),"")</f>
        <v/>
      </c>
      <c r="M195" s="10">
        <f>IFERROR(IF(INDEX('Test catalog'!$H$2:$H$200,MATCH($AB195,'Test catalog'!$A$2:$A$200,0))="","",INDEX('Test catalog'!$H$2:$H$200,MATCH($AB195,'Test catalog'!$A$2:$A$200,0))),"")</f>
        <v/>
      </c>
      <c r="N195" s="10">
        <f>IFERROR(IF(INDEX('Test catalog'!$I$2:$I$200,MATCH($AB195,'Test catalog'!$A$2:$A$200,0))="","",INDEX('Test catalog'!$I$2:$I$200,MATCH($AB195,'Test catalog'!$A$2:$A$200,0))),"")</f>
        <v/>
      </c>
      <c r="O195" s="10">
        <f>IFERROR(IF(INDEX('Test catalog'!$J$2:$J$200,MATCH($AB195,'Test catalog'!$A$2:$A$200,0))="","",INDEX('Test catalog'!$J$2:$J$200,MATCH($AB195,'Test catalog'!$A$2:$A$200,0))),"")</f>
        <v/>
      </c>
      <c r="P195" s="14">
        <f>IF(N195="","",IF(OR(M195="",O195=""),N195,(M195+4*N195+O195)/6))</f>
        <v/>
      </c>
      <c r="Q195" s="10">
        <f>IFERROR(IF(INDEX('Test catalog'!$K$2:$K$200,MATCH($AB195,'Test catalog'!$A$2:$A$200,0))="","",INDEX('Test catalog'!$K$2:$K$200,MATCH($AB195,'Test catalog'!$A$2:$A$200,0))),"")</f>
        <v/>
      </c>
      <c r="R195" s="5" t="n"/>
      <c r="S195" s="10">
        <f>IFERROR(IF(INDEX('Test catalog'!$L$2:$L$200,MATCH($AB195,'Test catalog'!$A$2:$A$200,0))="","",INDEX('Test catalog'!$L$2:$L$200,MATCH($AB195,'Test catalog'!$A$2:$A$200,0))),"")</f>
        <v/>
      </c>
      <c r="T195" s="10">
        <f>IFERROR(IF(INDEX('Test catalog'!$M$2:$M$200,MATCH($AB195,'Test catalog'!$A$2:$A$200,0))="","",INDEX('Test catalog'!$M$2:$M$200,MATCH($AB195,'Test catalog'!$A$2:$A$200,0))),"")</f>
        <v/>
      </c>
      <c r="U195" s="10">
        <f>IFERROR(IF(INDEX('Test catalog'!$N$2:$N$200,MATCH($AB195,'Test catalog'!$A$2:$A$200,0))="","",INDEX('Test catalog'!$N$2:$N$200,MATCH($AB195,'Test catalog'!$A$2:$A$200,0))),"")</f>
        <v/>
      </c>
      <c r="V195" s="15" t="n"/>
      <c r="W195" s="5" t="inlineStr">
        <is>
          <t>N</t>
        </is>
      </c>
      <c r="X195" s="5" t="n"/>
      <c r="Y195" s="5" t="n"/>
      <c r="Z195" s="5" t="n"/>
      <c r="AA195" s="10">
        <f>IFERROR(IF(INDEX('Test catalog'!$O$2:$O$200,MATCH($AB195,'Test catalog'!$A$2:$A$200,0))="","",INDEX('Test catalog'!$O$2:$O$200,MATCH($AB195,'Test catalog'!$A$2:$A$200,0))),"")</f>
        <v/>
      </c>
      <c r="AB195" s="10" t="inlineStr">
        <is>
          <t>PEST</t>
        </is>
      </c>
      <c r="AC195" s="10" t="inlineStr">
        <is>
          <t>Powdered Echinacea purpurea Extract · Contaminants &lt;565&gt;</t>
        </is>
      </c>
      <c r="AD195" s="10" t="n"/>
      <c r="AE195" s="10" t="n"/>
    </row>
    <row r="196">
      <c r="A196" s="10" t="inlineStr">
        <is>
          <t>Echinacea Purpurea Dry Extract</t>
        </is>
      </c>
      <c r="B196" s="10" t="inlineStr">
        <is>
          <t>RM</t>
        </is>
      </c>
      <c r="C196" s="10" t="inlineStr">
        <is>
          <t>Active</t>
        </is>
      </c>
      <c r="D196" s="10" t="inlineStr">
        <is>
          <t>Botanical Extracts, Residual Solvents</t>
        </is>
      </c>
      <c r="E196" s="10">
        <f>IF(A196="","",A196&amp;"|"&amp;D196)</f>
        <v/>
      </c>
      <c r="F196" s="5" t="inlineStr">
        <is>
          <t>Y</t>
        </is>
      </c>
      <c r="G196" s="5" t="inlineStr">
        <is>
          <t>GC</t>
        </is>
      </c>
      <c r="H196" s="5" t="inlineStr">
        <is>
          <t>Medium</t>
        </is>
      </c>
      <c r="I196" s="5" t="n">
        <v>1</v>
      </c>
      <c r="J196" s="5" t="n"/>
      <c r="K196" s="10">
        <f>IFERROR(IF(INDEX('Test catalog'!$F$2:$F$200,MATCH($AB196,'Test catalog'!$A$2:$A$200,0))="","",INDEX('Test catalog'!$F$2:$F$200,MATCH($AB196,'Test catalog'!$A$2:$A$200,0))),"")</f>
        <v/>
      </c>
      <c r="L196" s="10">
        <f>IFERROR(IF(INDEX('Test catalog'!$G$2:$G$200,MATCH($AB196,'Test catalog'!$A$2:$A$200,0))="","",INDEX('Test catalog'!$G$2:$G$200,MATCH($AB196,'Test catalog'!$A$2:$A$200,0))),"")</f>
        <v/>
      </c>
      <c r="M196" s="10">
        <f>IFERROR(IF(INDEX('Test catalog'!$H$2:$H$200,MATCH($AB196,'Test catalog'!$A$2:$A$200,0))="","",INDEX('Test catalog'!$H$2:$H$200,MATCH($AB196,'Test catalog'!$A$2:$A$200,0))),"")</f>
        <v/>
      </c>
      <c r="N196" s="10">
        <f>IFERROR(IF(INDEX('Test catalog'!$I$2:$I$200,MATCH($AB196,'Test catalog'!$A$2:$A$200,0))="","",INDEX('Test catalog'!$I$2:$I$200,MATCH($AB196,'Test catalog'!$A$2:$A$200,0))),"")</f>
        <v/>
      </c>
      <c r="O196" s="10">
        <f>IFERROR(IF(INDEX('Test catalog'!$J$2:$J$200,MATCH($AB196,'Test catalog'!$A$2:$A$200,0))="","",INDEX('Test catalog'!$J$2:$J$200,MATCH($AB196,'Test catalog'!$A$2:$A$200,0))),"")</f>
        <v/>
      </c>
      <c r="P196" s="14">
        <f>IF(N196="","",IF(OR(M196="",O196=""),N196,(M196+4*N196+O196)/6))</f>
        <v/>
      </c>
      <c r="Q196" s="10">
        <f>IFERROR(IF(INDEX('Test catalog'!$K$2:$K$200,MATCH($AB196,'Test catalog'!$A$2:$A$200,0))="","",INDEX('Test catalog'!$K$2:$K$200,MATCH($AB196,'Test catalog'!$A$2:$A$200,0))),"")</f>
        <v/>
      </c>
      <c r="R196" s="5" t="n"/>
      <c r="S196" s="10">
        <f>IFERROR(IF(INDEX('Test catalog'!$L$2:$L$200,MATCH($AB196,'Test catalog'!$A$2:$A$200,0))="","",INDEX('Test catalog'!$L$2:$L$200,MATCH($AB196,'Test catalog'!$A$2:$A$200,0))),"")</f>
        <v/>
      </c>
      <c r="T196" s="10">
        <f>IFERROR(IF(INDEX('Test catalog'!$M$2:$M$200,MATCH($AB196,'Test catalog'!$A$2:$A$200,0))="","",INDEX('Test catalog'!$M$2:$M$200,MATCH($AB196,'Test catalog'!$A$2:$A$200,0))),"")</f>
        <v/>
      </c>
      <c r="U196" s="10">
        <f>IFERROR(IF(INDEX('Test catalog'!$N$2:$N$200,MATCH($AB196,'Test catalog'!$A$2:$A$200,0))="","",INDEX('Test catalog'!$N$2:$N$200,MATCH($AB196,'Test catalog'!$A$2:$A$200,0))),"")</f>
        <v/>
      </c>
      <c r="V196" s="15" t="n"/>
      <c r="W196" s="5" t="inlineStr">
        <is>
          <t>N</t>
        </is>
      </c>
      <c r="X196" s="5" t="n"/>
      <c r="Y196" s="5" t="n"/>
      <c r="Z196" s="5" t="n"/>
      <c r="AA196" s="10">
        <f>IFERROR(IF(INDEX('Test catalog'!$O$2:$O$200,MATCH($AB196,'Test catalog'!$A$2:$A$200,0))="","",INDEX('Test catalog'!$O$2:$O$200,MATCH($AB196,'Test catalog'!$A$2:$A$200,0))),"")</f>
        <v/>
      </c>
      <c r="AB196" s="10" t="inlineStr">
        <is>
          <t>RS_GC</t>
        </is>
      </c>
      <c r="AC196" s="10" t="inlineStr">
        <is>
          <t>Powdered Echinacea purpurea Extract · Contaminants &lt;565&gt;</t>
        </is>
      </c>
      <c r="AD196" s="10" t="n"/>
      <c r="AE196" s="10" t="n"/>
    </row>
    <row r="197">
      <c r="A197" s="10" t="inlineStr">
        <is>
          <t>Echinacea Purpurea Dry Extract</t>
        </is>
      </c>
      <c r="B197" s="10" t="inlineStr">
        <is>
          <t>RM</t>
        </is>
      </c>
      <c r="C197" s="10" t="inlineStr">
        <is>
          <t>Active</t>
        </is>
      </c>
      <c r="D197" s="10" t="inlineStr">
        <is>
          <t>Loss on Drying</t>
        </is>
      </c>
      <c r="E197" s="10">
        <f>IF(A197="","",A197&amp;"|"&amp;D197)</f>
        <v/>
      </c>
      <c r="F197" s="5" t="inlineStr">
        <is>
          <t>Y</t>
        </is>
      </c>
      <c r="G197" s="5" t="inlineStr">
        <is>
          <t>Other / bench</t>
        </is>
      </c>
      <c r="H197" s="5" t="inlineStr">
        <is>
          <t>Low</t>
        </is>
      </c>
      <c r="I197" s="5" t="n">
        <v>1</v>
      </c>
      <c r="J197" s="5" t="n"/>
      <c r="K197" s="10">
        <f>IFERROR(IF(INDEX('Test catalog'!$F$2:$F$200,MATCH($AB197,'Test catalog'!$A$2:$A$200,0))="","",INDEX('Test catalog'!$F$2:$F$200,MATCH($AB197,'Test catalog'!$A$2:$A$200,0))),"")</f>
        <v/>
      </c>
      <c r="L197" s="10">
        <f>IFERROR(IF(INDEX('Test catalog'!$G$2:$G$200,MATCH($AB197,'Test catalog'!$A$2:$A$200,0))="","",INDEX('Test catalog'!$G$2:$G$200,MATCH($AB197,'Test catalog'!$A$2:$A$200,0))),"")</f>
        <v/>
      </c>
      <c r="M197" s="10">
        <f>IFERROR(IF(INDEX('Test catalog'!$H$2:$H$200,MATCH($AB197,'Test catalog'!$A$2:$A$200,0))="","",INDEX('Test catalog'!$H$2:$H$200,MATCH($AB197,'Test catalog'!$A$2:$A$200,0))),"")</f>
        <v/>
      </c>
      <c r="N197" s="10">
        <f>IFERROR(IF(INDEX('Test catalog'!$I$2:$I$200,MATCH($AB197,'Test catalog'!$A$2:$A$200,0))="","",INDEX('Test catalog'!$I$2:$I$200,MATCH($AB197,'Test catalog'!$A$2:$A$200,0))),"")</f>
        <v/>
      </c>
      <c r="O197" s="10">
        <f>IFERROR(IF(INDEX('Test catalog'!$J$2:$J$200,MATCH($AB197,'Test catalog'!$A$2:$A$200,0))="","",INDEX('Test catalog'!$J$2:$J$200,MATCH($AB197,'Test catalog'!$A$2:$A$200,0))),"")</f>
        <v/>
      </c>
      <c r="P197" s="14">
        <f>IF(N197="","",IF(OR(M197="",O197=""),N197,(M197+4*N197+O197)/6))</f>
        <v/>
      </c>
      <c r="Q197" s="10">
        <f>IFERROR(IF(INDEX('Test catalog'!$K$2:$K$200,MATCH($AB197,'Test catalog'!$A$2:$A$200,0))="","",INDEX('Test catalog'!$K$2:$K$200,MATCH($AB197,'Test catalog'!$A$2:$A$200,0))),"")</f>
        <v/>
      </c>
      <c r="R197" s="5" t="n"/>
      <c r="S197" s="10">
        <f>IFERROR(IF(INDEX('Test catalog'!$L$2:$L$200,MATCH($AB197,'Test catalog'!$A$2:$A$200,0))="","",INDEX('Test catalog'!$L$2:$L$200,MATCH($AB197,'Test catalog'!$A$2:$A$200,0))),"")</f>
        <v/>
      </c>
      <c r="T197" s="10">
        <f>IFERROR(IF(INDEX('Test catalog'!$M$2:$M$200,MATCH($AB197,'Test catalog'!$A$2:$A$200,0))="","",INDEX('Test catalog'!$M$2:$M$200,MATCH($AB197,'Test catalog'!$A$2:$A$200,0))),"")</f>
        <v/>
      </c>
      <c r="U197" s="10">
        <f>IFERROR(IF(INDEX('Test catalog'!$N$2:$N$200,MATCH($AB197,'Test catalog'!$A$2:$A$200,0))="","",INDEX('Test catalog'!$N$2:$N$200,MATCH($AB197,'Test catalog'!$A$2:$A$200,0))),"")</f>
        <v/>
      </c>
      <c r="V197" s="15" t="n"/>
      <c r="W197" s="5" t="inlineStr">
        <is>
          <t>N</t>
        </is>
      </c>
      <c r="X197" s="5" t="n"/>
      <c r="Y197" s="5" t="n"/>
      <c r="Z197" s="5" t="n"/>
      <c r="AA197" s="10">
        <f>IFERROR(IF(INDEX('Test catalog'!$O$2:$O$200,MATCH($AB197,'Test catalog'!$A$2:$A$200,0))="","",INDEX('Test catalog'!$O$2:$O$200,MATCH($AB197,'Test catalog'!$A$2:$A$200,0))),"")</f>
        <v/>
      </c>
      <c r="AB197" s="10" t="inlineStr">
        <is>
          <t>LOD</t>
        </is>
      </c>
      <c r="AC197" s="10" t="inlineStr">
        <is>
          <t>Powdered Echinacea purpurea Extract · Specific Tests &lt;731&gt;</t>
        </is>
      </c>
      <c r="AD197" s="10" t="n"/>
      <c r="AE197" s="10" t="n"/>
    </row>
    <row r="198">
      <c r="A198" s="10" t="inlineStr">
        <is>
          <t>Empagliflozin</t>
        </is>
      </c>
      <c r="B198" s="10" t="inlineStr">
        <is>
          <t>RM</t>
        </is>
      </c>
      <c r="C198" s="10" t="inlineStr">
        <is>
          <t>Active</t>
        </is>
      </c>
      <c r="D198" s="10" t="inlineStr">
        <is>
          <t>Assay + related substances</t>
        </is>
      </c>
      <c r="E198" s="10">
        <f>IF(A198="","",A198&amp;"|"&amp;D198)</f>
        <v/>
      </c>
      <c r="F198" s="5" t="inlineStr">
        <is>
          <t>Y</t>
        </is>
      </c>
      <c r="G198" s="5" t="inlineStr">
        <is>
          <t>HPLC</t>
        </is>
      </c>
      <c r="H198" s="5" t="inlineStr">
        <is>
          <t>Medium</t>
        </is>
      </c>
      <c r="I198" s="5" t="n">
        <v>1</v>
      </c>
      <c r="J198" s="5" t="n"/>
      <c r="K198" s="5" t="n"/>
      <c r="L198" s="5" t="n"/>
      <c r="M198" s="5" t="n"/>
      <c r="N198" s="5" t="n"/>
      <c r="O198" s="5" t="n"/>
      <c r="P198" s="14">
        <f>IF(N198="","",IF(OR(M198="",O198=""),N198,(M198+4*N198+O198)/6))</f>
        <v/>
      </c>
      <c r="Q198" s="5" t="n"/>
      <c r="R198" s="5" t="n"/>
      <c r="S198" s="5" t="n"/>
      <c r="T198" s="5" t="n"/>
      <c r="U198" s="5" t="n"/>
      <c r="V198" s="15" t="n"/>
      <c r="W198" s="5" t="inlineStr">
        <is>
          <t>N</t>
        </is>
      </c>
      <c r="X198" s="5" t="n"/>
      <c r="Y198" s="5" t="n"/>
      <c r="Z198" s="5" t="n"/>
      <c r="AA198" s="5" t="n"/>
      <c r="AB198" s="10" t="n"/>
      <c r="AC198" s="10" t="n"/>
      <c r="AD198" s="10" t="inlineStr">
        <is>
          <t>No USP-NF monograph - in-house / supplier spec</t>
        </is>
      </c>
      <c r="AE198" s="10" t="n">
        <v>15.73</v>
      </c>
      <c r="AF198" s="10" t="inlineStr">
        <is>
          <t>Assay-Related substance; Identification B- Related Substances- Assay; Related compound- Assay</t>
        </is>
      </c>
    </row>
    <row r="199">
      <c r="A199" s="10" t="inlineStr">
        <is>
          <t>Empagliflozin</t>
        </is>
      </c>
      <c r="B199" s="10" t="inlineStr">
        <is>
          <t>RM</t>
        </is>
      </c>
      <c r="C199" s="10" t="inlineStr">
        <is>
          <t>Active</t>
        </is>
      </c>
      <c r="D199" s="10" t="inlineStr">
        <is>
          <t>Other compendial tests (ID, LOD/KF, heavy metals...)</t>
        </is>
      </c>
      <c r="E199" s="10">
        <f>IF(A199="","",A199&amp;"|"&amp;D199)</f>
        <v/>
      </c>
      <c r="F199" s="5" t="inlineStr">
        <is>
          <t>Y</t>
        </is>
      </c>
      <c r="G199" s="5" t="inlineStr">
        <is>
          <t>Other / bench</t>
        </is>
      </c>
      <c r="H199" s="5" t="inlineStr">
        <is>
          <t>Low</t>
        </is>
      </c>
      <c r="I199" s="5" t="n">
        <v>1</v>
      </c>
      <c r="J199" s="5" t="n"/>
      <c r="K199" s="5" t="n"/>
      <c r="L199" s="5" t="n"/>
      <c r="M199" s="5" t="n"/>
      <c r="N199" s="5" t="n"/>
      <c r="O199" s="5" t="n"/>
      <c r="P199" s="14">
        <f>IF(N199="","",IF(OR(M199="",O199=""),N199,(M199+4*N199+O199)/6))</f>
        <v/>
      </c>
      <c r="Q199" s="5" t="n"/>
      <c r="R199" s="5" t="n"/>
      <c r="S199" s="5" t="n"/>
      <c r="T199" s="5" t="n"/>
      <c r="U199" s="5" t="n"/>
      <c r="V199" s="15" t="n"/>
      <c r="W199" s="5" t="inlineStr">
        <is>
          <t>N</t>
        </is>
      </c>
      <c r="X199" s="5" t="n"/>
      <c r="Y199" s="5" t="n"/>
      <c r="Z199" s="5" t="n"/>
      <c r="AA199" s="5" t="n"/>
      <c r="AB199" s="10" t="n"/>
      <c r="AC199" s="10" t="n"/>
      <c r="AD199" s="10" t="inlineStr">
        <is>
          <t>No USP-NF monograph - in-house / supplier spec</t>
        </is>
      </c>
      <c r="AE199" s="10" t="n">
        <v>3.77</v>
      </c>
      <c r="AF199" s="10" t="inlineStr">
        <is>
          <t>Appearance- Solubility- Water determination- Residue on ignition- Specific optical rotation; Appearance- Solubility-Melting point- Loss on drying- Residue on ignition- Optical rotation- Particle size; Appearance- solubility- Melting point- Water dete</t>
        </is>
      </c>
    </row>
    <row r="200">
      <c r="A200" s="10" t="inlineStr">
        <is>
          <t>Epimedium Grandiflorum (Horny Goat Weed) Dry Extract 20:1</t>
        </is>
      </c>
      <c r="B200" s="10" t="inlineStr">
        <is>
          <t>RM</t>
        </is>
      </c>
      <c r="C200" s="10" t="inlineStr">
        <is>
          <t>Active</t>
        </is>
      </c>
      <c r="D200" s="10" t="inlineStr">
        <is>
          <t>Assay + related substances</t>
        </is>
      </c>
      <c r="E200" s="10">
        <f>IF(A200="","",A200&amp;"|"&amp;D200)</f>
        <v/>
      </c>
      <c r="F200" s="5" t="inlineStr">
        <is>
          <t>Y</t>
        </is>
      </c>
      <c r="G200" s="5" t="inlineStr">
        <is>
          <t>HPLC</t>
        </is>
      </c>
      <c r="H200" s="5" t="inlineStr">
        <is>
          <t>Medium</t>
        </is>
      </c>
      <c r="I200" s="5" t="n">
        <v>1</v>
      </c>
      <c r="J200" s="5" t="n"/>
      <c r="K200" s="5" t="n"/>
      <c r="L200" s="5" t="n"/>
      <c r="M200" s="5" t="n"/>
      <c r="N200" s="5" t="n"/>
      <c r="O200" s="5" t="n"/>
      <c r="P200" s="14">
        <f>IF(N200="","",IF(OR(M200="",O200=""),N200,(M200+4*N200+O200)/6))</f>
        <v/>
      </c>
      <c r="Q200" s="5" t="n"/>
      <c r="R200" s="5" t="n"/>
      <c r="S200" s="5" t="n"/>
      <c r="T200" s="5" t="n"/>
      <c r="U200" s="5" t="n"/>
      <c r="V200" s="15" t="n"/>
      <c r="W200" s="5" t="inlineStr">
        <is>
          <t>N</t>
        </is>
      </c>
      <c r="X200" s="5" t="n"/>
      <c r="Y200" s="5" t="n"/>
      <c r="Z200" s="5" t="n"/>
      <c r="AA200" s="5" t="n"/>
      <c r="AB200" s="10" t="n"/>
      <c r="AC200" s="10" t="n"/>
      <c r="AD200" s="10" t="inlineStr">
        <is>
          <t>No USP-NF monograph - in-house / supplier spec</t>
        </is>
      </c>
      <c r="AE200" s="10" t="n">
        <v>9.75</v>
      </c>
      <c r="AF200" s="10" t="inlineStr">
        <is>
          <t>Assay</t>
        </is>
      </c>
    </row>
    <row r="201">
      <c r="A201" s="10" t="inlineStr">
        <is>
          <t>Epimedium Grandiflorum (Horny Goat Weed) Dry Extract 20:1</t>
        </is>
      </c>
      <c r="B201" s="10" t="inlineStr">
        <is>
          <t>RM</t>
        </is>
      </c>
      <c r="C201" s="10" t="inlineStr">
        <is>
          <t>Active</t>
        </is>
      </c>
      <c r="D201" s="10" t="inlineStr">
        <is>
          <t>Other compendial tests (ID, LOD/KF, heavy metals...)</t>
        </is>
      </c>
      <c r="E201" s="10">
        <f>IF(A201="","",A201&amp;"|"&amp;D201)</f>
        <v/>
      </c>
      <c r="F201" s="5" t="inlineStr">
        <is>
          <t>Y</t>
        </is>
      </c>
      <c r="G201" s="5" t="inlineStr">
        <is>
          <t>Other / bench</t>
        </is>
      </c>
      <c r="H201" s="5" t="inlineStr">
        <is>
          <t>Low</t>
        </is>
      </c>
      <c r="I201" s="5" t="n">
        <v>1</v>
      </c>
      <c r="J201" s="5" t="n"/>
      <c r="K201" s="5" t="n"/>
      <c r="L201" s="5" t="n"/>
      <c r="M201" s="5" t="n"/>
      <c r="N201" s="5" t="n"/>
      <c r="O201" s="5" t="n"/>
      <c r="P201" s="14">
        <f>IF(N201="","",IF(OR(M201="",O201=""),N201,(M201+4*N201+O201)/6))</f>
        <v/>
      </c>
      <c r="Q201" s="5" t="n"/>
      <c r="R201" s="5" t="n"/>
      <c r="S201" s="5" t="n"/>
      <c r="T201" s="5" t="n"/>
      <c r="U201" s="5" t="n"/>
      <c r="V201" s="15" t="n"/>
      <c r="W201" s="5" t="inlineStr">
        <is>
          <t>N</t>
        </is>
      </c>
      <c r="X201" s="5" t="n"/>
      <c r="Y201" s="5" t="n"/>
      <c r="Z201" s="5" t="n"/>
      <c r="AA201" s="5" t="n"/>
      <c r="AB201" s="10" t="n"/>
      <c r="AC201" s="10" t="n"/>
      <c r="AD201" s="10" t="inlineStr">
        <is>
          <t>No USP-NF monograph - in-house / supplier spec</t>
        </is>
      </c>
      <c r="AE201" s="10" t="n">
        <v>3.97</v>
      </c>
      <c r="AF201" s="10" t="inlineStr">
        <is>
          <t>Appearance- Odor- taste- Particle size-Moisture- Ash content- Slack Density-Tight Density</t>
        </is>
      </c>
    </row>
    <row r="202">
      <c r="A202" s="10" t="inlineStr">
        <is>
          <t>Ezetimibe</t>
        </is>
      </c>
      <c r="B202" s="10" t="inlineStr">
        <is>
          <t>RM</t>
        </is>
      </c>
      <c r="C202" s="10" t="inlineStr">
        <is>
          <t>Active</t>
        </is>
      </c>
      <c r="D202" s="10" t="inlineStr">
        <is>
          <t>Appearance / description and solubility</t>
        </is>
      </c>
      <c r="E202" s="10">
        <f>IF(A202="","",A202&amp;"|"&amp;D202)</f>
        <v/>
      </c>
      <c r="F202" s="5" t="inlineStr">
        <is>
          <t>Y</t>
        </is>
      </c>
      <c r="G202" s="5" t="inlineStr">
        <is>
          <t>Other / bench</t>
        </is>
      </c>
      <c r="H202" s="5" t="inlineStr">
        <is>
          <t>Low</t>
        </is>
      </c>
      <c r="I202" s="5" t="n">
        <v>1</v>
      </c>
      <c r="J202" s="5" t="n"/>
      <c r="K202" s="10">
        <f>IFERROR(IF(INDEX('Test catalog'!$F$2:$F$200,MATCH($AB202,'Test catalog'!$A$2:$A$200,0))="","",INDEX('Test catalog'!$F$2:$F$200,MATCH($AB202,'Test catalog'!$A$2:$A$200,0))),"")</f>
        <v/>
      </c>
      <c r="L202" s="10">
        <f>IFERROR(IF(INDEX('Test catalog'!$G$2:$G$200,MATCH($AB202,'Test catalog'!$A$2:$A$200,0))="","",INDEX('Test catalog'!$G$2:$G$200,MATCH($AB202,'Test catalog'!$A$2:$A$200,0))),"")</f>
        <v/>
      </c>
      <c r="M202" s="10">
        <f>IFERROR(IF(INDEX('Test catalog'!$H$2:$H$200,MATCH($AB202,'Test catalog'!$A$2:$A$200,0))="","",INDEX('Test catalog'!$H$2:$H$200,MATCH($AB202,'Test catalog'!$A$2:$A$200,0))),"")</f>
        <v/>
      </c>
      <c r="N202" s="10">
        <f>IFERROR(IF(INDEX('Test catalog'!$I$2:$I$200,MATCH($AB202,'Test catalog'!$A$2:$A$200,0))="","",INDEX('Test catalog'!$I$2:$I$200,MATCH($AB202,'Test catalog'!$A$2:$A$200,0))),"")</f>
        <v/>
      </c>
      <c r="O202" s="10">
        <f>IFERROR(IF(INDEX('Test catalog'!$J$2:$J$200,MATCH($AB202,'Test catalog'!$A$2:$A$200,0))="","",INDEX('Test catalog'!$J$2:$J$200,MATCH($AB202,'Test catalog'!$A$2:$A$200,0))),"")</f>
        <v/>
      </c>
      <c r="P202" s="14">
        <f>IF(N202="","",IF(OR(M202="",O202=""),N202,(M202+4*N202+O202)/6))</f>
        <v/>
      </c>
      <c r="Q202" s="10">
        <f>IFERROR(IF(INDEX('Test catalog'!$K$2:$K$200,MATCH($AB202,'Test catalog'!$A$2:$A$200,0))="","",INDEX('Test catalog'!$K$2:$K$200,MATCH($AB202,'Test catalog'!$A$2:$A$200,0))),"")</f>
        <v/>
      </c>
      <c r="R202" s="5" t="n"/>
      <c r="S202" s="10">
        <f>IFERROR(IF(INDEX('Test catalog'!$L$2:$L$200,MATCH($AB202,'Test catalog'!$A$2:$A$200,0))="","",INDEX('Test catalog'!$L$2:$L$200,MATCH($AB202,'Test catalog'!$A$2:$A$200,0))),"")</f>
        <v/>
      </c>
      <c r="T202" s="10">
        <f>IFERROR(IF(INDEX('Test catalog'!$M$2:$M$200,MATCH($AB202,'Test catalog'!$A$2:$A$200,0))="","",INDEX('Test catalog'!$M$2:$M$200,MATCH($AB202,'Test catalog'!$A$2:$A$200,0))),"")</f>
        <v/>
      </c>
      <c r="U202" s="10">
        <f>IFERROR(IF(INDEX('Test catalog'!$N$2:$N$200,MATCH($AB202,'Test catalog'!$A$2:$A$200,0))="","",INDEX('Test catalog'!$N$2:$N$200,MATCH($AB202,'Test catalog'!$A$2:$A$200,0))),"")</f>
        <v/>
      </c>
      <c r="V202" s="15" t="n"/>
      <c r="W202" s="5" t="inlineStr">
        <is>
          <t>N</t>
        </is>
      </c>
      <c r="X202" s="5" t="n"/>
      <c r="Y202" s="5" t="n"/>
      <c r="Z202" s="5" t="n"/>
      <c r="AA202" s="10">
        <f>IFERROR(IF(INDEX('Test catalog'!$O$2:$O$200,MATCH($AB202,'Test catalog'!$A$2:$A$200,0))="","",INDEX('Test catalog'!$O$2:$O$200,MATCH($AB202,'Test catalog'!$A$2:$A$200,0))),"")</f>
        <v/>
      </c>
      <c r="AB202" s="10" t="inlineStr">
        <is>
          <t>APPEAR</t>
        </is>
      </c>
      <c r="AC202" s="10" t="inlineStr">
        <is>
          <t>Lab practice (not a USP test)</t>
        </is>
      </c>
      <c r="AD202" s="10" t="n"/>
      <c r="AE202" s="10" t="n"/>
    </row>
    <row r="203">
      <c r="A203" s="10" t="inlineStr">
        <is>
          <t>Ezetimibe</t>
        </is>
      </c>
      <c r="B203" s="10" t="inlineStr">
        <is>
          <t>RM</t>
        </is>
      </c>
      <c r="C203" s="10" t="inlineStr">
        <is>
          <t>Active</t>
        </is>
      </c>
      <c r="D203" s="10" t="inlineStr">
        <is>
          <t>ID A - IR spectrum</t>
        </is>
      </c>
      <c r="E203" s="10">
        <f>IF(A203="","",A203&amp;"|"&amp;D203)</f>
        <v/>
      </c>
      <c r="F203" s="5" t="inlineStr">
        <is>
          <t>Y</t>
        </is>
      </c>
      <c r="G203" s="5" t="inlineStr">
        <is>
          <t>Other / bench</t>
        </is>
      </c>
      <c r="H203" s="5" t="inlineStr">
        <is>
          <t>Low</t>
        </is>
      </c>
      <c r="I203" s="5" t="n">
        <v>1</v>
      </c>
      <c r="J203" s="5" t="n"/>
      <c r="K203" s="10">
        <f>IFERROR(IF(INDEX('Test catalog'!$F$2:$F$200,MATCH($AB203,'Test catalog'!$A$2:$A$200,0))="","",INDEX('Test catalog'!$F$2:$F$200,MATCH($AB203,'Test catalog'!$A$2:$A$200,0))),"")</f>
        <v/>
      </c>
      <c r="L203" s="10">
        <f>IFERROR(IF(INDEX('Test catalog'!$G$2:$G$200,MATCH($AB203,'Test catalog'!$A$2:$A$200,0))="","",INDEX('Test catalog'!$G$2:$G$200,MATCH($AB203,'Test catalog'!$A$2:$A$200,0))),"")</f>
        <v/>
      </c>
      <c r="M203" s="10">
        <f>IFERROR(IF(INDEX('Test catalog'!$H$2:$H$200,MATCH($AB203,'Test catalog'!$A$2:$A$200,0))="","",INDEX('Test catalog'!$H$2:$H$200,MATCH($AB203,'Test catalog'!$A$2:$A$200,0))),"")</f>
        <v/>
      </c>
      <c r="N203" s="10">
        <f>IFERROR(IF(INDEX('Test catalog'!$I$2:$I$200,MATCH($AB203,'Test catalog'!$A$2:$A$200,0))="","",INDEX('Test catalog'!$I$2:$I$200,MATCH($AB203,'Test catalog'!$A$2:$A$200,0))),"")</f>
        <v/>
      </c>
      <c r="O203" s="10">
        <f>IFERROR(IF(INDEX('Test catalog'!$J$2:$J$200,MATCH($AB203,'Test catalog'!$A$2:$A$200,0))="","",INDEX('Test catalog'!$J$2:$J$200,MATCH($AB203,'Test catalog'!$A$2:$A$200,0))),"")</f>
        <v/>
      </c>
      <c r="P203" s="14">
        <f>IF(N203="","",IF(OR(M203="",O203=""),N203,(M203+4*N203+O203)/6))</f>
        <v/>
      </c>
      <c r="Q203" s="10">
        <f>IFERROR(IF(INDEX('Test catalog'!$K$2:$K$200,MATCH($AB203,'Test catalog'!$A$2:$A$200,0))="","",INDEX('Test catalog'!$K$2:$K$200,MATCH($AB203,'Test catalog'!$A$2:$A$200,0))),"")</f>
        <v/>
      </c>
      <c r="R203" s="5" t="n"/>
      <c r="S203" s="10">
        <f>IFERROR(IF(INDEX('Test catalog'!$L$2:$L$200,MATCH($AB203,'Test catalog'!$A$2:$A$200,0))="","",INDEX('Test catalog'!$L$2:$L$200,MATCH($AB203,'Test catalog'!$A$2:$A$200,0))),"")</f>
        <v/>
      </c>
      <c r="T203" s="10">
        <f>IFERROR(IF(INDEX('Test catalog'!$M$2:$M$200,MATCH($AB203,'Test catalog'!$A$2:$A$200,0))="","",INDEX('Test catalog'!$M$2:$M$200,MATCH($AB203,'Test catalog'!$A$2:$A$200,0))),"")</f>
        <v/>
      </c>
      <c r="U203" s="10">
        <f>IFERROR(IF(INDEX('Test catalog'!$N$2:$N$200,MATCH($AB203,'Test catalog'!$A$2:$A$200,0))="","",INDEX('Test catalog'!$N$2:$N$200,MATCH($AB203,'Test catalog'!$A$2:$A$200,0))),"")</f>
        <v/>
      </c>
      <c r="V203" s="15" t="n"/>
      <c r="W203" s="5" t="inlineStr">
        <is>
          <t>N</t>
        </is>
      </c>
      <c r="X203" s="5" t="n"/>
      <c r="Y203" s="5" t="n"/>
      <c r="Z203" s="5" t="n"/>
      <c r="AA203" s="10">
        <f>IFERROR(IF(INDEX('Test catalog'!$O$2:$O$200,MATCH($AB203,'Test catalog'!$A$2:$A$200,0))="","",INDEX('Test catalog'!$O$2:$O$200,MATCH($AB203,'Test catalog'!$A$2:$A$200,0))),"")</f>
        <v/>
      </c>
      <c r="AB203" s="10" t="inlineStr">
        <is>
          <t>ID_IR</t>
        </is>
      </c>
      <c r="AC203" s="10" t="inlineStr">
        <is>
          <t>Ezetimibe · Identification &lt;197&gt;</t>
        </is>
      </c>
      <c r="AD203" s="10" t="n"/>
      <c r="AE203" s="10" t="n"/>
    </row>
    <row r="204">
      <c r="A204" s="10" t="inlineStr">
        <is>
          <t>Ezetimibe</t>
        </is>
      </c>
      <c r="B204" s="10" t="inlineStr">
        <is>
          <t>RM</t>
        </is>
      </c>
      <c r="C204" s="10" t="inlineStr">
        <is>
          <t>Active</t>
        </is>
      </c>
      <c r="D204" s="10" t="inlineStr">
        <is>
          <t>Assay (HPLC)</t>
        </is>
      </c>
      <c r="E204" s="10">
        <f>IF(A204="","",A204&amp;"|"&amp;D204)</f>
        <v/>
      </c>
      <c r="F204" s="5" t="inlineStr">
        <is>
          <t>Y</t>
        </is>
      </c>
      <c r="G204" s="5" t="inlineStr">
        <is>
          <t>HPLC</t>
        </is>
      </c>
      <c r="H204" s="5" t="inlineStr">
        <is>
          <t>Medium</t>
        </is>
      </c>
      <c r="I204" s="5" t="n">
        <v>1</v>
      </c>
      <c r="J204" s="5" t="n"/>
      <c r="K204" s="5" t="n"/>
      <c r="L204" s="5" t="n"/>
      <c r="M204" s="5" t="n"/>
      <c r="N204" s="5" t="n"/>
      <c r="O204" s="5" t="n"/>
      <c r="P204" s="14">
        <f>IF(N204="","",IF(OR(M204="",O204=""),N204,(M204+4*N204+O204)/6))</f>
        <v/>
      </c>
      <c r="Q204" s="5" t="n"/>
      <c r="R204" s="5" t="n"/>
      <c r="S204" s="5" t="n"/>
      <c r="T204" s="5" t="n"/>
      <c r="U204" s="5" t="n"/>
      <c r="V204" s="15" t="n"/>
      <c r="W204" s="5" t="inlineStr">
        <is>
          <t>N</t>
        </is>
      </c>
      <c r="X204" s="5" t="n"/>
      <c r="Y204" s="5" t="n"/>
      <c r="Z204" s="5" t="n"/>
      <c r="AA204" s="5" t="n"/>
      <c r="AB204" s="10" t="n"/>
      <c r="AC204" s="10" t="inlineStr">
        <is>
          <t>Ezetimibe · Assay</t>
        </is>
      </c>
      <c r="AD204" s="10" t="n"/>
      <c r="AE204" s="10" t="n"/>
    </row>
    <row r="205">
      <c r="A205" s="10" t="inlineStr">
        <is>
          <t>Ezetimibe</t>
        </is>
      </c>
      <c r="B205" s="10" t="inlineStr">
        <is>
          <t>RM</t>
        </is>
      </c>
      <c r="C205" s="10" t="inlineStr">
        <is>
          <t>Active</t>
        </is>
      </c>
      <c r="D205" s="10" t="inlineStr">
        <is>
          <t>Residue on Ignition</t>
        </is>
      </c>
      <c r="E205" s="10">
        <f>IF(A205="","",A205&amp;"|"&amp;D205)</f>
        <v/>
      </c>
      <c r="F205" s="5" t="inlineStr">
        <is>
          <t>Y</t>
        </is>
      </c>
      <c r="G205" s="5" t="inlineStr">
        <is>
          <t>Other / bench</t>
        </is>
      </c>
      <c r="H205" s="5" t="inlineStr">
        <is>
          <t>Low</t>
        </is>
      </c>
      <c r="I205" s="5" t="n">
        <v>1</v>
      </c>
      <c r="J205" s="5" t="n"/>
      <c r="K205" s="10">
        <f>IFERROR(IF(INDEX('Test catalog'!$F$2:$F$200,MATCH($AB205,'Test catalog'!$A$2:$A$200,0))="","",INDEX('Test catalog'!$F$2:$F$200,MATCH($AB205,'Test catalog'!$A$2:$A$200,0))),"")</f>
        <v/>
      </c>
      <c r="L205" s="10">
        <f>IFERROR(IF(INDEX('Test catalog'!$G$2:$G$200,MATCH($AB205,'Test catalog'!$A$2:$A$200,0))="","",INDEX('Test catalog'!$G$2:$G$200,MATCH($AB205,'Test catalog'!$A$2:$A$200,0))),"")</f>
        <v/>
      </c>
      <c r="M205" s="10">
        <f>IFERROR(IF(INDEX('Test catalog'!$H$2:$H$200,MATCH($AB205,'Test catalog'!$A$2:$A$200,0))="","",INDEX('Test catalog'!$H$2:$H$200,MATCH($AB205,'Test catalog'!$A$2:$A$200,0))),"")</f>
        <v/>
      </c>
      <c r="N205" s="10">
        <f>IFERROR(IF(INDEX('Test catalog'!$I$2:$I$200,MATCH($AB205,'Test catalog'!$A$2:$A$200,0))="","",INDEX('Test catalog'!$I$2:$I$200,MATCH($AB205,'Test catalog'!$A$2:$A$200,0))),"")</f>
        <v/>
      </c>
      <c r="O205" s="10">
        <f>IFERROR(IF(INDEX('Test catalog'!$J$2:$J$200,MATCH($AB205,'Test catalog'!$A$2:$A$200,0))="","",INDEX('Test catalog'!$J$2:$J$200,MATCH($AB205,'Test catalog'!$A$2:$A$200,0))),"")</f>
        <v/>
      </c>
      <c r="P205" s="14">
        <f>IF(N205="","",IF(OR(M205="",O205=""),N205,(M205+4*N205+O205)/6))</f>
        <v/>
      </c>
      <c r="Q205" s="10">
        <f>IFERROR(IF(INDEX('Test catalog'!$K$2:$K$200,MATCH($AB205,'Test catalog'!$A$2:$A$200,0))="","",INDEX('Test catalog'!$K$2:$K$200,MATCH($AB205,'Test catalog'!$A$2:$A$200,0))),"")</f>
        <v/>
      </c>
      <c r="R205" s="5" t="n"/>
      <c r="S205" s="10">
        <f>IFERROR(IF(INDEX('Test catalog'!$L$2:$L$200,MATCH($AB205,'Test catalog'!$A$2:$A$200,0))="","",INDEX('Test catalog'!$L$2:$L$200,MATCH($AB205,'Test catalog'!$A$2:$A$200,0))),"")</f>
        <v/>
      </c>
      <c r="T205" s="10">
        <f>IFERROR(IF(INDEX('Test catalog'!$M$2:$M$200,MATCH($AB205,'Test catalog'!$A$2:$A$200,0))="","",INDEX('Test catalog'!$M$2:$M$200,MATCH($AB205,'Test catalog'!$A$2:$A$200,0))),"")</f>
        <v/>
      </c>
      <c r="U205" s="10">
        <f>IFERROR(IF(INDEX('Test catalog'!$N$2:$N$200,MATCH($AB205,'Test catalog'!$A$2:$A$200,0))="","",INDEX('Test catalog'!$N$2:$N$200,MATCH($AB205,'Test catalog'!$A$2:$A$200,0))),"")</f>
        <v/>
      </c>
      <c r="V205" s="15" t="n"/>
      <c r="W205" s="5" t="inlineStr">
        <is>
          <t>N</t>
        </is>
      </c>
      <c r="X205" s="5" t="n"/>
      <c r="Y205" s="5" t="n"/>
      <c r="Z205" s="5" t="n"/>
      <c r="AA205" s="10">
        <f>IFERROR(IF(INDEX('Test catalog'!$O$2:$O$200,MATCH($AB205,'Test catalog'!$A$2:$A$200,0))="","",INDEX('Test catalog'!$O$2:$O$200,MATCH($AB205,'Test catalog'!$A$2:$A$200,0))),"")</f>
        <v/>
      </c>
      <c r="AB205" s="10" t="inlineStr">
        <is>
          <t>ROI</t>
        </is>
      </c>
      <c r="AC205" s="10" t="inlineStr">
        <is>
          <t>Ezetimibe · Impurities &lt;281&gt;</t>
        </is>
      </c>
      <c r="AD205" s="10" t="n"/>
      <c r="AE205" s="10" t="n"/>
    </row>
    <row r="206">
      <c r="A206" s="10" t="inlineStr">
        <is>
          <t>Ezetimibe</t>
        </is>
      </c>
      <c r="B206" s="10" t="inlineStr">
        <is>
          <t>RM</t>
        </is>
      </c>
      <c r="C206" s="10" t="inlineStr">
        <is>
          <t>Active</t>
        </is>
      </c>
      <c r="D206" s="10" t="inlineStr">
        <is>
          <t>Organic Impurities, Procedure 1 (HPLC)</t>
        </is>
      </c>
      <c r="E206" s="10">
        <f>IF(A206="","",A206&amp;"|"&amp;D206)</f>
        <v/>
      </c>
      <c r="F206" s="5" t="inlineStr">
        <is>
          <t>Y</t>
        </is>
      </c>
      <c r="G206" s="5" t="inlineStr">
        <is>
          <t>HPLC</t>
        </is>
      </c>
      <c r="H206" s="5" t="inlineStr">
        <is>
          <t>Medium</t>
        </is>
      </c>
      <c r="I206" s="5" t="n">
        <v>1</v>
      </c>
      <c r="J206" s="5" t="n"/>
      <c r="K206" s="5" t="n"/>
      <c r="L206" s="5" t="n"/>
      <c r="M206" s="5" t="n"/>
      <c r="N206" s="5" t="n"/>
      <c r="O206" s="5" t="n"/>
      <c r="P206" s="14">
        <f>IF(N206="","",IF(OR(M206="",O206=""),N206,(M206+4*N206+O206)/6))</f>
        <v/>
      </c>
      <c r="Q206" s="5" t="n"/>
      <c r="R206" s="5" t="n"/>
      <c r="S206" s="5" t="n"/>
      <c r="T206" s="5" t="n"/>
      <c r="U206" s="5" t="n"/>
      <c r="V206" s="15" t="n"/>
      <c r="W206" s="5" t="inlineStr">
        <is>
          <t>N</t>
        </is>
      </c>
      <c r="X206" s="5" t="n"/>
      <c r="Y206" s="5" t="n"/>
      <c r="Z206" s="5" t="n"/>
      <c r="AA206" s="5" t="n"/>
      <c r="AB206" s="10" t="n"/>
      <c r="AC206" s="10" t="inlineStr">
        <is>
          <t>Ezetimibe · Impurities</t>
        </is>
      </c>
      <c r="AD206" s="10" t="n"/>
      <c r="AE206" s="10" t="n"/>
    </row>
    <row r="207">
      <c r="A207" s="10" t="inlineStr">
        <is>
          <t>Ezetimibe</t>
        </is>
      </c>
      <c r="B207" s="10" t="inlineStr">
        <is>
          <t>RM</t>
        </is>
      </c>
      <c r="C207" s="10" t="inlineStr">
        <is>
          <t>Active</t>
        </is>
      </c>
      <c r="D207" s="10" t="inlineStr">
        <is>
          <t>Organic Impurities, Procedure 2 (HPLC)</t>
        </is>
      </c>
      <c r="E207" s="10">
        <f>IF(A207="","",A207&amp;"|"&amp;D207)</f>
        <v/>
      </c>
      <c r="F207" s="5" t="inlineStr">
        <is>
          <t>Y</t>
        </is>
      </c>
      <c r="G207" s="5" t="inlineStr">
        <is>
          <t>HPLC</t>
        </is>
      </c>
      <c r="H207" s="5" t="inlineStr">
        <is>
          <t>Medium</t>
        </is>
      </c>
      <c r="I207" s="5" t="n">
        <v>1</v>
      </c>
      <c r="J207" s="5" t="n"/>
      <c r="K207" s="5" t="n"/>
      <c r="L207" s="5" t="n"/>
      <c r="M207" s="5" t="n"/>
      <c r="N207" s="5" t="n"/>
      <c r="O207" s="5" t="n"/>
      <c r="P207" s="14">
        <f>IF(N207="","",IF(OR(M207="",O207=""),N207,(M207+4*N207+O207)/6))</f>
        <v/>
      </c>
      <c r="Q207" s="5" t="n"/>
      <c r="R207" s="5" t="n"/>
      <c r="S207" s="5" t="n"/>
      <c r="T207" s="5" t="n"/>
      <c r="U207" s="5" t="n"/>
      <c r="V207" s="15" t="n"/>
      <c r="W207" s="5" t="inlineStr">
        <is>
          <t>N</t>
        </is>
      </c>
      <c r="X207" s="5" t="n"/>
      <c r="Y207" s="5" t="n"/>
      <c r="Z207" s="5" t="n"/>
      <c r="AA207" s="5" t="n"/>
      <c r="AB207" s="10" t="n"/>
      <c r="AC207" s="10" t="inlineStr">
        <is>
          <t>Ezetimibe · Impurities &lt;621&gt;</t>
        </is>
      </c>
      <c r="AD207" s="10" t="n"/>
      <c r="AE207" s="10" t="n"/>
    </row>
    <row r="208">
      <c r="A208" s="10" t="inlineStr">
        <is>
          <t>Ezetimibe</t>
        </is>
      </c>
      <c r="B208" s="10" t="inlineStr">
        <is>
          <t>RM</t>
        </is>
      </c>
      <c r="C208" s="10" t="inlineStr">
        <is>
          <t>Active</t>
        </is>
      </c>
      <c r="D208" s="10" t="inlineStr">
        <is>
          <t>Water Determination</t>
        </is>
      </c>
      <c r="E208" s="10">
        <f>IF(A208="","",A208&amp;"|"&amp;D208)</f>
        <v/>
      </c>
      <c r="F208" s="5" t="inlineStr">
        <is>
          <t>Y</t>
        </is>
      </c>
      <c r="G208" s="5" t="inlineStr">
        <is>
          <t>KF titrator</t>
        </is>
      </c>
      <c r="H208" s="5" t="inlineStr">
        <is>
          <t>Low</t>
        </is>
      </c>
      <c r="I208" s="5" t="n">
        <v>1</v>
      </c>
      <c r="J208" s="5" t="n"/>
      <c r="K208" s="10">
        <f>IFERROR(IF(INDEX('Test catalog'!$F$2:$F$200,MATCH($AB208,'Test catalog'!$A$2:$A$200,0))="","",INDEX('Test catalog'!$F$2:$F$200,MATCH($AB208,'Test catalog'!$A$2:$A$200,0))),"")</f>
        <v/>
      </c>
      <c r="L208" s="10">
        <f>IFERROR(IF(INDEX('Test catalog'!$G$2:$G$200,MATCH($AB208,'Test catalog'!$A$2:$A$200,0))="","",INDEX('Test catalog'!$G$2:$G$200,MATCH($AB208,'Test catalog'!$A$2:$A$200,0))),"")</f>
        <v/>
      </c>
      <c r="M208" s="10">
        <f>IFERROR(IF(INDEX('Test catalog'!$H$2:$H$200,MATCH($AB208,'Test catalog'!$A$2:$A$200,0))="","",INDEX('Test catalog'!$H$2:$H$200,MATCH($AB208,'Test catalog'!$A$2:$A$200,0))),"")</f>
        <v/>
      </c>
      <c r="N208" s="10">
        <f>IFERROR(IF(INDEX('Test catalog'!$I$2:$I$200,MATCH($AB208,'Test catalog'!$A$2:$A$200,0))="","",INDEX('Test catalog'!$I$2:$I$200,MATCH($AB208,'Test catalog'!$A$2:$A$200,0))),"")</f>
        <v/>
      </c>
      <c r="O208" s="10">
        <f>IFERROR(IF(INDEX('Test catalog'!$J$2:$J$200,MATCH($AB208,'Test catalog'!$A$2:$A$200,0))="","",INDEX('Test catalog'!$J$2:$J$200,MATCH($AB208,'Test catalog'!$A$2:$A$200,0))),"")</f>
        <v/>
      </c>
      <c r="P208" s="14">
        <f>IF(N208="","",IF(OR(M208="",O208=""),N208,(M208+4*N208+O208)/6))</f>
        <v/>
      </c>
      <c r="Q208" s="10">
        <f>IFERROR(IF(INDEX('Test catalog'!$K$2:$K$200,MATCH($AB208,'Test catalog'!$A$2:$A$200,0))="","",INDEX('Test catalog'!$K$2:$K$200,MATCH($AB208,'Test catalog'!$A$2:$A$200,0))),"")</f>
        <v/>
      </c>
      <c r="R208" s="5" t="n"/>
      <c r="S208" s="10">
        <f>IFERROR(IF(INDEX('Test catalog'!$L$2:$L$200,MATCH($AB208,'Test catalog'!$A$2:$A$200,0))="","",INDEX('Test catalog'!$L$2:$L$200,MATCH($AB208,'Test catalog'!$A$2:$A$200,0))),"")</f>
        <v/>
      </c>
      <c r="T208" s="10">
        <f>IFERROR(IF(INDEX('Test catalog'!$M$2:$M$200,MATCH($AB208,'Test catalog'!$A$2:$A$200,0))="","",INDEX('Test catalog'!$M$2:$M$200,MATCH($AB208,'Test catalog'!$A$2:$A$200,0))),"")</f>
        <v/>
      </c>
      <c r="U208" s="10">
        <f>IFERROR(IF(INDEX('Test catalog'!$N$2:$N$200,MATCH($AB208,'Test catalog'!$A$2:$A$200,0))="","",INDEX('Test catalog'!$N$2:$N$200,MATCH($AB208,'Test catalog'!$A$2:$A$200,0))),"")</f>
        <v/>
      </c>
      <c r="V208" s="15" t="n"/>
      <c r="W208" s="5" t="inlineStr">
        <is>
          <t>N</t>
        </is>
      </c>
      <c r="X208" s="5" t="n"/>
      <c r="Y208" s="5" t="n"/>
      <c r="Z208" s="5" t="n"/>
      <c r="AA208" s="10">
        <f>IFERROR(IF(INDEX('Test catalog'!$O$2:$O$200,MATCH($AB208,'Test catalog'!$A$2:$A$200,0))="","",INDEX('Test catalog'!$O$2:$O$200,MATCH($AB208,'Test catalog'!$A$2:$A$200,0))),"")</f>
        <v/>
      </c>
      <c r="AB208" s="10" t="inlineStr">
        <is>
          <t>KF</t>
        </is>
      </c>
      <c r="AC208" s="10" t="inlineStr">
        <is>
          <t>Ezetimibe · Specific Tests &lt;921&gt;</t>
        </is>
      </c>
      <c r="AD208" s="10" t="n"/>
      <c r="AE208" s="10" t="n"/>
    </row>
    <row r="209">
      <c r="A209" s="10" t="inlineStr">
        <is>
          <t>Ezetimibe</t>
        </is>
      </c>
      <c r="B209" s="10" t="inlineStr">
        <is>
          <t>RM</t>
        </is>
      </c>
      <c r="C209" s="10" t="inlineStr">
        <is>
          <t>Active</t>
        </is>
      </c>
      <c r="D209" s="10" t="inlineStr">
        <is>
          <t>Optical Rotation</t>
        </is>
      </c>
      <c r="E209" s="10">
        <f>IF(A209="","",A209&amp;"|"&amp;D209)</f>
        <v/>
      </c>
      <c r="F209" s="5" t="inlineStr">
        <is>
          <t>Y</t>
        </is>
      </c>
      <c r="G209" s="5" t="inlineStr">
        <is>
          <t>Other / bench</t>
        </is>
      </c>
      <c r="H209" s="5" t="inlineStr">
        <is>
          <t>Low</t>
        </is>
      </c>
      <c r="I209" s="5" t="n">
        <v>1</v>
      </c>
      <c r="J209" s="5" t="n"/>
      <c r="K209" s="10">
        <f>IFERROR(IF(INDEX('Test catalog'!$F$2:$F$200,MATCH($AB209,'Test catalog'!$A$2:$A$200,0))="","",INDEX('Test catalog'!$F$2:$F$200,MATCH($AB209,'Test catalog'!$A$2:$A$200,0))),"")</f>
        <v/>
      </c>
      <c r="L209" s="10">
        <f>IFERROR(IF(INDEX('Test catalog'!$G$2:$G$200,MATCH($AB209,'Test catalog'!$A$2:$A$200,0))="","",INDEX('Test catalog'!$G$2:$G$200,MATCH($AB209,'Test catalog'!$A$2:$A$200,0))),"")</f>
        <v/>
      </c>
      <c r="M209" s="10">
        <f>IFERROR(IF(INDEX('Test catalog'!$H$2:$H$200,MATCH($AB209,'Test catalog'!$A$2:$A$200,0))="","",INDEX('Test catalog'!$H$2:$H$200,MATCH($AB209,'Test catalog'!$A$2:$A$200,0))),"")</f>
        <v/>
      </c>
      <c r="N209" s="10">
        <f>IFERROR(IF(INDEX('Test catalog'!$I$2:$I$200,MATCH($AB209,'Test catalog'!$A$2:$A$200,0))="","",INDEX('Test catalog'!$I$2:$I$200,MATCH($AB209,'Test catalog'!$A$2:$A$200,0))),"")</f>
        <v/>
      </c>
      <c r="O209" s="10">
        <f>IFERROR(IF(INDEX('Test catalog'!$J$2:$J$200,MATCH($AB209,'Test catalog'!$A$2:$A$200,0))="","",INDEX('Test catalog'!$J$2:$J$200,MATCH($AB209,'Test catalog'!$A$2:$A$200,0))),"")</f>
        <v/>
      </c>
      <c r="P209" s="14">
        <f>IF(N209="","",IF(OR(M209="",O209=""),N209,(M209+4*N209+O209)/6))</f>
        <v/>
      </c>
      <c r="Q209" s="10">
        <f>IFERROR(IF(INDEX('Test catalog'!$K$2:$K$200,MATCH($AB209,'Test catalog'!$A$2:$A$200,0))="","",INDEX('Test catalog'!$K$2:$K$200,MATCH($AB209,'Test catalog'!$A$2:$A$200,0))),"")</f>
        <v/>
      </c>
      <c r="R209" s="5" t="n"/>
      <c r="S209" s="10">
        <f>IFERROR(IF(INDEX('Test catalog'!$L$2:$L$200,MATCH($AB209,'Test catalog'!$A$2:$A$200,0))="","",INDEX('Test catalog'!$L$2:$L$200,MATCH($AB209,'Test catalog'!$A$2:$A$200,0))),"")</f>
        <v/>
      </c>
      <c r="T209" s="10">
        <f>IFERROR(IF(INDEX('Test catalog'!$M$2:$M$200,MATCH($AB209,'Test catalog'!$A$2:$A$200,0))="","",INDEX('Test catalog'!$M$2:$M$200,MATCH($AB209,'Test catalog'!$A$2:$A$200,0))),"")</f>
        <v/>
      </c>
      <c r="U209" s="10">
        <f>IFERROR(IF(INDEX('Test catalog'!$N$2:$N$200,MATCH($AB209,'Test catalog'!$A$2:$A$200,0))="","",INDEX('Test catalog'!$N$2:$N$200,MATCH($AB209,'Test catalog'!$A$2:$A$200,0))),"")</f>
        <v/>
      </c>
      <c r="V209" s="15" t="n"/>
      <c r="W209" s="5" t="inlineStr">
        <is>
          <t>N</t>
        </is>
      </c>
      <c r="X209" s="5" t="n"/>
      <c r="Y209" s="5" t="n"/>
      <c r="Z209" s="5" t="n"/>
      <c r="AA209" s="10">
        <f>IFERROR(IF(INDEX('Test catalog'!$O$2:$O$200,MATCH($AB209,'Test catalog'!$A$2:$A$200,0))="","",INDEX('Test catalog'!$O$2:$O$200,MATCH($AB209,'Test catalog'!$A$2:$A$200,0))),"")</f>
        <v/>
      </c>
      <c r="AB209" s="10" t="inlineStr">
        <is>
          <t>OR</t>
        </is>
      </c>
      <c r="AC209" s="10" t="inlineStr">
        <is>
          <t>Ezetimibe · Specific Tests &lt;781&gt;</t>
        </is>
      </c>
      <c r="AD209" s="10" t="n"/>
      <c r="AE209" s="10" t="n"/>
    </row>
    <row r="210">
      <c r="A210" s="10" t="inlineStr">
        <is>
          <t>Fennel Dry Extract 5:1</t>
        </is>
      </c>
      <c r="B210" s="10" t="inlineStr">
        <is>
          <t>RM</t>
        </is>
      </c>
      <c r="C210" s="10" t="inlineStr">
        <is>
          <t>Active</t>
        </is>
      </c>
      <c r="D210" s="10" t="inlineStr">
        <is>
          <t>Assay + related substances</t>
        </is>
      </c>
      <c r="E210" s="10">
        <f>IF(A210="","",A210&amp;"|"&amp;D210)</f>
        <v/>
      </c>
      <c r="F210" s="5" t="inlineStr">
        <is>
          <t>Y</t>
        </is>
      </c>
      <c r="G210" s="5" t="inlineStr">
        <is>
          <t>HPLC</t>
        </is>
      </c>
      <c r="H210" s="5" t="inlineStr">
        <is>
          <t>Medium</t>
        </is>
      </c>
      <c r="I210" s="5" t="n">
        <v>1</v>
      </c>
      <c r="J210" s="5" t="n"/>
      <c r="K210" s="5" t="n"/>
      <c r="L210" s="5" t="n"/>
      <c r="M210" s="5" t="n"/>
      <c r="N210" s="5" t="n"/>
      <c r="O210" s="5" t="n"/>
      <c r="P210" s="14">
        <f>IF(N210="","",IF(OR(M210="",O210=""),N210,(M210+4*N210+O210)/6))</f>
        <v/>
      </c>
      <c r="Q210" s="5" t="n"/>
      <c r="R210" s="5" t="n"/>
      <c r="S210" s="5" t="n"/>
      <c r="T210" s="5" t="n"/>
      <c r="U210" s="5" t="n"/>
      <c r="V210" s="15" t="n"/>
      <c r="W210" s="5" t="inlineStr">
        <is>
          <t>N</t>
        </is>
      </c>
      <c r="X210" s="5" t="n"/>
      <c r="Y210" s="5" t="n"/>
      <c r="Z210" s="5" t="n"/>
      <c r="AA210" s="5" t="n"/>
      <c r="AB210" s="10" t="n"/>
      <c r="AC210" s="10" t="n"/>
      <c r="AD210" s="10" t="inlineStr">
        <is>
          <t>No USP-NF monograph - in-house / supplier spec</t>
        </is>
      </c>
      <c r="AE210" s="10" t="n">
        <v>0.5</v>
      </c>
      <c r="AF210" s="10" t="inlineStr">
        <is>
          <t>Identification</t>
        </is>
      </c>
    </row>
    <row r="211">
      <c r="A211" s="10" t="inlineStr">
        <is>
          <t>Fennel Dry Extract 5:1</t>
        </is>
      </c>
      <c r="B211" s="10" t="inlineStr">
        <is>
          <t>RM</t>
        </is>
      </c>
      <c r="C211" s="10" t="inlineStr">
        <is>
          <t>Active</t>
        </is>
      </c>
      <c r="D211" s="10" t="inlineStr">
        <is>
          <t>Other compendial tests (ID, LOD/KF, heavy metals...)</t>
        </is>
      </c>
      <c r="E211" s="10">
        <f>IF(A211="","",A211&amp;"|"&amp;D211)</f>
        <v/>
      </c>
      <c r="F211" s="5" t="inlineStr">
        <is>
          <t>Y</t>
        </is>
      </c>
      <c r="G211" s="5" t="inlineStr">
        <is>
          <t>Other / bench</t>
        </is>
      </c>
      <c r="H211" s="5" t="inlineStr">
        <is>
          <t>Low</t>
        </is>
      </c>
      <c r="I211" s="5" t="n">
        <v>1</v>
      </c>
      <c r="J211" s="5" t="n"/>
      <c r="K211" s="5" t="n"/>
      <c r="L211" s="5" t="n"/>
      <c r="M211" s="5" t="n"/>
      <c r="N211" s="5" t="n"/>
      <c r="O211" s="5" t="n"/>
      <c r="P211" s="14">
        <f>IF(N211="","",IF(OR(M211="",O211=""),N211,(M211+4*N211+O211)/6))</f>
        <v/>
      </c>
      <c r="Q211" s="5" t="n"/>
      <c r="R211" s="5" t="n"/>
      <c r="S211" s="5" t="n"/>
      <c r="T211" s="5" t="n"/>
      <c r="U211" s="5" t="n"/>
      <c r="V211" s="15" t="n"/>
      <c r="W211" s="5" t="inlineStr">
        <is>
          <t>N</t>
        </is>
      </c>
      <c r="X211" s="5" t="n"/>
      <c r="Y211" s="5" t="n"/>
      <c r="Z211" s="5" t="n"/>
      <c r="AA211" s="5" t="n"/>
      <c r="AB211" s="10" t="n"/>
      <c r="AC211" s="10" t="n"/>
      <c r="AD211" s="10" t="inlineStr">
        <is>
          <t>No USP-NF monograph - in-house / supplier spec</t>
        </is>
      </c>
      <c r="AE211" s="10" t="n">
        <v>3.07</v>
      </c>
      <c r="AF211" s="10" t="inlineStr">
        <is>
          <t>Appearance- Colour- Odour- Particle size- Loss on drying- Ash</t>
        </is>
      </c>
    </row>
    <row r="212">
      <c r="A212" s="10" t="inlineStr">
        <is>
          <t>Ferrous Bisglycinate</t>
        </is>
      </c>
      <c r="B212" s="10" t="inlineStr">
        <is>
          <t>RM</t>
        </is>
      </c>
      <c r="C212" s="10" t="inlineStr">
        <is>
          <t>Active</t>
        </is>
      </c>
      <c r="D212" s="10" t="inlineStr">
        <is>
          <t>Assay + related substances</t>
        </is>
      </c>
      <c r="E212" s="10">
        <f>IF(A212="","",A212&amp;"|"&amp;D212)</f>
        <v/>
      </c>
      <c r="F212" s="5" t="inlineStr">
        <is>
          <t>Y</t>
        </is>
      </c>
      <c r="G212" s="5" t="inlineStr">
        <is>
          <t>HPLC</t>
        </is>
      </c>
      <c r="H212" s="5" t="inlineStr">
        <is>
          <t>Medium</t>
        </is>
      </c>
      <c r="I212" s="5" t="n">
        <v>1</v>
      </c>
      <c r="J212" s="5" t="n"/>
      <c r="K212" s="5" t="n"/>
      <c r="L212" s="5" t="n"/>
      <c r="M212" s="5" t="n"/>
      <c r="N212" s="5" t="n"/>
      <c r="O212" s="5" t="n"/>
      <c r="P212" s="14">
        <f>IF(N212="","",IF(OR(M212="",O212=""),N212,(M212+4*N212+O212)/6))</f>
        <v/>
      </c>
      <c r="Q212" s="5" t="n"/>
      <c r="R212" s="5" t="n"/>
      <c r="S212" s="5" t="n"/>
      <c r="T212" s="5" t="n"/>
      <c r="U212" s="5" t="n"/>
      <c r="V212" s="15" t="n"/>
      <c r="W212" s="5" t="inlineStr">
        <is>
          <t>N</t>
        </is>
      </c>
      <c r="X212" s="5" t="n"/>
      <c r="Y212" s="5" t="n"/>
      <c r="Z212" s="5" t="n"/>
      <c r="AA212" s="5" t="n"/>
      <c r="AB212" s="10" t="n"/>
      <c r="AC212" s="10" t="n"/>
      <c r="AD212" s="10" t="inlineStr">
        <is>
          <t>No USP-NF monograph - in-house / supplier spec</t>
        </is>
      </c>
      <c r="AE212" s="10" t="n"/>
      <c r="AF212" s="10" t="n"/>
    </row>
    <row r="213">
      <c r="A213" s="10" t="inlineStr">
        <is>
          <t>Ferrous Bisglycinate</t>
        </is>
      </c>
      <c r="B213" s="10" t="inlineStr">
        <is>
          <t>RM</t>
        </is>
      </c>
      <c r="C213" s="10" t="inlineStr">
        <is>
          <t>Active</t>
        </is>
      </c>
      <c r="D213" s="10" t="inlineStr">
        <is>
          <t>Other compendial tests (ID, LOD/KF, heavy metals...)</t>
        </is>
      </c>
      <c r="E213" s="10">
        <f>IF(A213="","",A213&amp;"|"&amp;D213)</f>
        <v/>
      </c>
      <c r="F213" s="5" t="inlineStr">
        <is>
          <t>Y</t>
        </is>
      </c>
      <c r="G213" s="5" t="inlineStr">
        <is>
          <t>Other / bench</t>
        </is>
      </c>
      <c r="H213" s="5" t="inlineStr">
        <is>
          <t>Low</t>
        </is>
      </c>
      <c r="I213" s="5" t="n">
        <v>1</v>
      </c>
      <c r="J213" s="5" t="n"/>
      <c r="K213" s="5" t="n"/>
      <c r="L213" s="5" t="n"/>
      <c r="M213" s="5" t="n"/>
      <c r="N213" s="5" t="n"/>
      <c r="O213" s="5" t="n"/>
      <c r="P213" s="14">
        <f>IF(N213="","",IF(OR(M213="",O213=""),N213,(M213+4*N213+O213)/6))</f>
        <v/>
      </c>
      <c r="Q213" s="5" t="n"/>
      <c r="R213" s="5" t="n"/>
      <c r="S213" s="5" t="n"/>
      <c r="T213" s="5" t="n"/>
      <c r="U213" s="5" t="n"/>
      <c r="V213" s="15" t="n"/>
      <c r="W213" s="5" t="inlineStr">
        <is>
          <t>N</t>
        </is>
      </c>
      <c r="X213" s="5" t="n"/>
      <c r="Y213" s="5" t="n"/>
      <c r="Z213" s="5" t="n"/>
      <c r="AA213" s="5" t="n"/>
      <c r="AB213" s="10" t="n"/>
      <c r="AC213" s="10" t="n"/>
      <c r="AD213" s="10" t="inlineStr">
        <is>
          <t>No USP-NF monograph - in-house / supplier spec</t>
        </is>
      </c>
      <c r="AE213" s="10" t="n"/>
      <c r="AF213" s="10" t="n"/>
    </row>
    <row r="214">
      <c r="A214" s="10" t="inlineStr">
        <is>
          <t>Ferrous Fumarate</t>
        </is>
      </c>
      <c r="B214" s="10" t="inlineStr">
        <is>
          <t>RM</t>
        </is>
      </c>
      <c r="C214" s="10" t="inlineStr">
        <is>
          <t>Active</t>
        </is>
      </c>
      <c r="D214" s="10" t="inlineStr">
        <is>
          <t>Appearance / description and solubility</t>
        </is>
      </c>
      <c r="E214" s="10">
        <f>IF(A214="","",A214&amp;"|"&amp;D214)</f>
        <v/>
      </c>
      <c r="F214" s="5" t="inlineStr">
        <is>
          <t>Y</t>
        </is>
      </c>
      <c r="G214" s="5" t="inlineStr">
        <is>
          <t>Other / bench</t>
        </is>
      </c>
      <c r="H214" s="5" t="inlineStr">
        <is>
          <t>Low</t>
        </is>
      </c>
      <c r="I214" s="5" t="n">
        <v>1</v>
      </c>
      <c r="J214" s="5" t="n"/>
      <c r="K214" s="10">
        <f>IFERROR(IF(INDEX('Test catalog'!$F$2:$F$200,MATCH($AB214,'Test catalog'!$A$2:$A$200,0))="","",INDEX('Test catalog'!$F$2:$F$200,MATCH($AB214,'Test catalog'!$A$2:$A$200,0))),"")</f>
        <v/>
      </c>
      <c r="L214" s="10">
        <f>IFERROR(IF(INDEX('Test catalog'!$G$2:$G$200,MATCH($AB214,'Test catalog'!$A$2:$A$200,0))="","",INDEX('Test catalog'!$G$2:$G$200,MATCH($AB214,'Test catalog'!$A$2:$A$200,0))),"")</f>
        <v/>
      </c>
      <c r="M214" s="10">
        <f>IFERROR(IF(INDEX('Test catalog'!$H$2:$H$200,MATCH($AB214,'Test catalog'!$A$2:$A$200,0))="","",INDEX('Test catalog'!$H$2:$H$200,MATCH($AB214,'Test catalog'!$A$2:$A$200,0))),"")</f>
        <v/>
      </c>
      <c r="N214" s="10">
        <f>IFERROR(IF(INDEX('Test catalog'!$I$2:$I$200,MATCH($AB214,'Test catalog'!$A$2:$A$200,0))="","",INDEX('Test catalog'!$I$2:$I$200,MATCH($AB214,'Test catalog'!$A$2:$A$200,0))),"")</f>
        <v/>
      </c>
      <c r="O214" s="10">
        <f>IFERROR(IF(INDEX('Test catalog'!$J$2:$J$200,MATCH($AB214,'Test catalog'!$A$2:$A$200,0))="","",INDEX('Test catalog'!$J$2:$J$200,MATCH($AB214,'Test catalog'!$A$2:$A$200,0))),"")</f>
        <v/>
      </c>
      <c r="P214" s="14">
        <f>IF(N214="","",IF(OR(M214="",O214=""),N214,(M214+4*N214+O214)/6))</f>
        <v/>
      </c>
      <c r="Q214" s="10">
        <f>IFERROR(IF(INDEX('Test catalog'!$K$2:$K$200,MATCH($AB214,'Test catalog'!$A$2:$A$200,0))="","",INDEX('Test catalog'!$K$2:$K$200,MATCH($AB214,'Test catalog'!$A$2:$A$200,0))),"")</f>
        <v/>
      </c>
      <c r="R214" s="5" t="n"/>
      <c r="S214" s="10">
        <f>IFERROR(IF(INDEX('Test catalog'!$L$2:$L$200,MATCH($AB214,'Test catalog'!$A$2:$A$200,0))="","",INDEX('Test catalog'!$L$2:$L$200,MATCH($AB214,'Test catalog'!$A$2:$A$200,0))),"")</f>
        <v/>
      </c>
      <c r="T214" s="10">
        <f>IFERROR(IF(INDEX('Test catalog'!$M$2:$M$200,MATCH($AB214,'Test catalog'!$A$2:$A$200,0))="","",INDEX('Test catalog'!$M$2:$M$200,MATCH($AB214,'Test catalog'!$A$2:$A$200,0))),"")</f>
        <v/>
      </c>
      <c r="U214" s="10">
        <f>IFERROR(IF(INDEX('Test catalog'!$N$2:$N$200,MATCH($AB214,'Test catalog'!$A$2:$A$200,0))="","",INDEX('Test catalog'!$N$2:$N$200,MATCH($AB214,'Test catalog'!$A$2:$A$200,0))),"")</f>
        <v/>
      </c>
      <c r="V214" s="15" t="n"/>
      <c r="W214" s="5" t="inlineStr">
        <is>
          <t>N</t>
        </is>
      </c>
      <c r="X214" s="5" t="n"/>
      <c r="Y214" s="5" t="n"/>
      <c r="Z214" s="5" t="n"/>
      <c r="AA214" s="10">
        <f>IFERROR(IF(INDEX('Test catalog'!$O$2:$O$200,MATCH($AB214,'Test catalog'!$A$2:$A$200,0))="","",INDEX('Test catalog'!$O$2:$O$200,MATCH($AB214,'Test catalog'!$A$2:$A$200,0))),"")</f>
        <v/>
      </c>
      <c r="AB214" s="10" t="inlineStr">
        <is>
          <t>APPEAR</t>
        </is>
      </c>
      <c r="AC214" s="10" t="inlineStr">
        <is>
          <t>Lab practice (not a USP test)</t>
        </is>
      </c>
      <c r="AD214" s="10" t="n"/>
      <c r="AE214" s="10" t="n"/>
    </row>
    <row r="215">
      <c r="A215" s="10" t="inlineStr">
        <is>
          <t>Ferrous Fumarate</t>
        </is>
      </c>
      <c r="B215" s="10" t="inlineStr">
        <is>
          <t>RM</t>
        </is>
      </c>
      <c r="C215" s="10" t="inlineStr">
        <is>
          <t>Active</t>
        </is>
      </c>
      <c r="D215" s="10" t="inlineStr">
        <is>
          <t>ID A - IR spectrum</t>
        </is>
      </c>
      <c r="E215" s="10">
        <f>IF(A215="","",A215&amp;"|"&amp;D215)</f>
        <v/>
      </c>
      <c r="F215" s="5" t="inlineStr">
        <is>
          <t>Y</t>
        </is>
      </c>
      <c r="G215" s="5" t="inlineStr">
        <is>
          <t>Other / bench</t>
        </is>
      </c>
      <c r="H215" s="5" t="inlineStr">
        <is>
          <t>Low</t>
        </is>
      </c>
      <c r="I215" s="5" t="n">
        <v>1</v>
      </c>
      <c r="J215" s="5" t="n"/>
      <c r="K215" s="10">
        <f>IFERROR(IF(INDEX('Test catalog'!$F$2:$F$200,MATCH($AB215,'Test catalog'!$A$2:$A$200,0))="","",INDEX('Test catalog'!$F$2:$F$200,MATCH($AB215,'Test catalog'!$A$2:$A$200,0))),"")</f>
        <v/>
      </c>
      <c r="L215" s="10">
        <f>IFERROR(IF(INDEX('Test catalog'!$G$2:$G$200,MATCH($AB215,'Test catalog'!$A$2:$A$200,0))="","",INDEX('Test catalog'!$G$2:$G$200,MATCH($AB215,'Test catalog'!$A$2:$A$200,0))),"")</f>
        <v/>
      </c>
      <c r="M215" s="10">
        <f>IFERROR(IF(INDEX('Test catalog'!$H$2:$H$200,MATCH($AB215,'Test catalog'!$A$2:$A$200,0))="","",INDEX('Test catalog'!$H$2:$H$200,MATCH($AB215,'Test catalog'!$A$2:$A$200,0))),"")</f>
        <v/>
      </c>
      <c r="N215" s="10">
        <f>IFERROR(IF(INDEX('Test catalog'!$I$2:$I$200,MATCH($AB215,'Test catalog'!$A$2:$A$200,0))="","",INDEX('Test catalog'!$I$2:$I$200,MATCH($AB215,'Test catalog'!$A$2:$A$200,0))),"")</f>
        <v/>
      </c>
      <c r="O215" s="10">
        <f>IFERROR(IF(INDEX('Test catalog'!$J$2:$J$200,MATCH($AB215,'Test catalog'!$A$2:$A$200,0))="","",INDEX('Test catalog'!$J$2:$J$200,MATCH($AB215,'Test catalog'!$A$2:$A$200,0))),"")</f>
        <v/>
      </c>
      <c r="P215" s="14">
        <f>IF(N215="","",IF(OR(M215="",O215=""),N215,(M215+4*N215+O215)/6))</f>
        <v/>
      </c>
      <c r="Q215" s="10">
        <f>IFERROR(IF(INDEX('Test catalog'!$K$2:$K$200,MATCH($AB215,'Test catalog'!$A$2:$A$200,0))="","",INDEX('Test catalog'!$K$2:$K$200,MATCH($AB215,'Test catalog'!$A$2:$A$200,0))),"")</f>
        <v/>
      </c>
      <c r="R215" s="5" t="n"/>
      <c r="S215" s="10">
        <f>IFERROR(IF(INDEX('Test catalog'!$L$2:$L$200,MATCH($AB215,'Test catalog'!$A$2:$A$200,0))="","",INDEX('Test catalog'!$L$2:$L$200,MATCH($AB215,'Test catalog'!$A$2:$A$200,0))),"")</f>
        <v/>
      </c>
      <c r="T215" s="10">
        <f>IFERROR(IF(INDEX('Test catalog'!$M$2:$M$200,MATCH($AB215,'Test catalog'!$A$2:$A$200,0))="","",INDEX('Test catalog'!$M$2:$M$200,MATCH($AB215,'Test catalog'!$A$2:$A$200,0))),"")</f>
        <v/>
      </c>
      <c r="U215" s="10">
        <f>IFERROR(IF(INDEX('Test catalog'!$N$2:$N$200,MATCH($AB215,'Test catalog'!$A$2:$A$200,0))="","",INDEX('Test catalog'!$N$2:$N$200,MATCH($AB215,'Test catalog'!$A$2:$A$200,0))),"")</f>
        <v/>
      </c>
      <c r="V215" s="15" t="n"/>
      <c r="W215" s="5" t="inlineStr">
        <is>
          <t>N</t>
        </is>
      </c>
      <c r="X215" s="5" t="n"/>
      <c r="Y215" s="5" t="n"/>
      <c r="Z215" s="5" t="n"/>
      <c r="AA215" s="10">
        <f>IFERROR(IF(INDEX('Test catalog'!$O$2:$O$200,MATCH($AB215,'Test catalog'!$A$2:$A$200,0))="","",INDEX('Test catalog'!$O$2:$O$200,MATCH($AB215,'Test catalog'!$A$2:$A$200,0))),"")</f>
        <v/>
      </c>
      <c r="AB215" s="10" t="inlineStr">
        <is>
          <t>ID_IR</t>
        </is>
      </c>
      <c r="AC215" s="10" t="inlineStr">
        <is>
          <t>Ferrous Fumarate · Identification</t>
        </is>
      </c>
      <c r="AD215" s="10" t="n"/>
      <c r="AE215" s="10" t="n"/>
    </row>
    <row r="216">
      <c r="A216" s="10" t="inlineStr">
        <is>
          <t>Ferrous Fumarate</t>
        </is>
      </c>
      <c r="B216" s="10" t="inlineStr">
        <is>
          <t>RM</t>
        </is>
      </c>
      <c r="C216" s="10" t="inlineStr">
        <is>
          <t>Active</t>
        </is>
      </c>
      <c r="D216" s="10" t="inlineStr">
        <is>
          <t>ID B - chemical reaction</t>
        </is>
      </c>
      <c r="E216" s="10">
        <f>IF(A216="","",A216&amp;"|"&amp;D216)</f>
        <v/>
      </c>
      <c r="F216" s="5" t="inlineStr">
        <is>
          <t>Y</t>
        </is>
      </c>
      <c r="G216" s="5" t="inlineStr">
        <is>
          <t>Other / bench</t>
        </is>
      </c>
      <c r="H216" s="5" t="inlineStr">
        <is>
          <t>Low</t>
        </is>
      </c>
      <c r="I216" s="5" t="n">
        <v>1</v>
      </c>
      <c r="J216" s="5" t="n"/>
      <c r="K216" s="10">
        <f>IFERROR(IF(INDEX('Test catalog'!$F$2:$F$200,MATCH($AB216,'Test catalog'!$A$2:$A$200,0))="","",INDEX('Test catalog'!$F$2:$F$200,MATCH($AB216,'Test catalog'!$A$2:$A$200,0))),"")</f>
        <v/>
      </c>
      <c r="L216" s="10">
        <f>IFERROR(IF(INDEX('Test catalog'!$G$2:$G$200,MATCH($AB216,'Test catalog'!$A$2:$A$200,0))="","",INDEX('Test catalog'!$G$2:$G$200,MATCH($AB216,'Test catalog'!$A$2:$A$200,0))),"")</f>
        <v/>
      </c>
      <c r="M216" s="10">
        <f>IFERROR(IF(INDEX('Test catalog'!$H$2:$H$200,MATCH($AB216,'Test catalog'!$A$2:$A$200,0))="","",INDEX('Test catalog'!$H$2:$H$200,MATCH($AB216,'Test catalog'!$A$2:$A$200,0))),"")</f>
        <v/>
      </c>
      <c r="N216" s="10">
        <f>IFERROR(IF(INDEX('Test catalog'!$I$2:$I$200,MATCH($AB216,'Test catalog'!$A$2:$A$200,0))="","",INDEX('Test catalog'!$I$2:$I$200,MATCH($AB216,'Test catalog'!$A$2:$A$200,0))),"")</f>
        <v/>
      </c>
      <c r="O216" s="10">
        <f>IFERROR(IF(INDEX('Test catalog'!$J$2:$J$200,MATCH($AB216,'Test catalog'!$A$2:$A$200,0))="","",INDEX('Test catalog'!$J$2:$J$200,MATCH($AB216,'Test catalog'!$A$2:$A$200,0))),"")</f>
        <v/>
      </c>
      <c r="P216" s="14">
        <f>IF(N216="","",IF(OR(M216="",O216=""),N216,(M216+4*N216+O216)/6))</f>
        <v/>
      </c>
      <c r="Q216" s="10">
        <f>IFERROR(IF(INDEX('Test catalog'!$K$2:$K$200,MATCH($AB216,'Test catalog'!$A$2:$A$200,0))="","",INDEX('Test catalog'!$K$2:$K$200,MATCH($AB216,'Test catalog'!$A$2:$A$200,0))),"")</f>
        <v/>
      </c>
      <c r="R216" s="5" t="n"/>
      <c r="S216" s="10">
        <f>IFERROR(IF(INDEX('Test catalog'!$L$2:$L$200,MATCH($AB216,'Test catalog'!$A$2:$A$200,0))="","",INDEX('Test catalog'!$L$2:$L$200,MATCH($AB216,'Test catalog'!$A$2:$A$200,0))),"")</f>
        <v/>
      </c>
      <c r="T216" s="10">
        <f>IFERROR(IF(INDEX('Test catalog'!$M$2:$M$200,MATCH($AB216,'Test catalog'!$A$2:$A$200,0))="","",INDEX('Test catalog'!$M$2:$M$200,MATCH($AB216,'Test catalog'!$A$2:$A$200,0))),"")</f>
        <v/>
      </c>
      <c r="U216" s="10">
        <f>IFERROR(IF(INDEX('Test catalog'!$N$2:$N$200,MATCH($AB216,'Test catalog'!$A$2:$A$200,0))="","",INDEX('Test catalog'!$N$2:$N$200,MATCH($AB216,'Test catalog'!$A$2:$A$200,0))),"")</f>
        <v/>
      </c>
      <c r="V216" s="15" t="n"/>
      <c r="W216" s="5" t="inlineStr">
        <is>
          <t>N</t>
        </is>
      </c>
      <c r="X216" s="5" t="n"/>
      <c r="Y216" s="5" t="n"/>
      <c r="Z216" s="5" t="n"/>
      <c r="AA216" s="10">
        <f>IFERROR(IF(INDEX('Test catalog'!$O$2:$O$200,MATCH($AB216,'Test catalog'!$A$2:$A$200,0))="","",INDEX('Test catalog'!$O$2:$O$200,MATCH($AB216,'Test catalog'!$A$2:$A$200,0))),"")</f>
        <v/>
      </c>
      <c r="AB216" s="10" t="inlineStr">
        <is>
          <t>ID_CHEM</t>
        </is>
      </c>
      <c r="AC216" s="10" t="inlineStr">
        <is>
          <t>Ferrous Fumarate · Identification &lt;191&gt;</t>
        </is>
      </c>
      <c r="AD216" s="10" t="n"/>
      <c r="AE216" s="10" t="n"/>
    </row>
    <row r="217">
      <c r="A217" s="10" t="inlineStr">
        <is>
          <t>Ferrous Fumarate</t>
        </is>
      </c>
      <c r="B217" s="10" t="inlineStr">
        <is>
          <t>RM</t>
        </is>
      </c>
      <c r="C217" s="10" t="inlineStr">
        <is>
          <t>Active</t>
        </is>
      </c>
      <c r="D217" s="10" t="inlineStr">
        <is>
          <t>Assay</t>
        </is>
      </c>
      <c r="E217" s="10">
        <f>IF(A217="","",A217&amp;"|"&amp;D217)</f>
        <v/>
      </c>
      <c r="F217" s="5" t="inlineStr">
        <is>
          <t>Y</t>
        </is>
      </c>
      <c r="G217" s="5" t="inlineStr">
        <is>
          <t>Other / bench</t>
        </is>
      </c>
      <c r="H217" s="5" t="inlineStr">
        <is>
          <t>Low</t>
        </is>
      </c>
      <c r="I217" s="5" t="n">
        <v>1</v>
      </c>
      <c r="J217" s="5" t="n"/>
      <c r="K217" s="10">
        <f>IFERROR(IF(INDEX('Test catalog'!$F$2:$F$200,MATCH($AB217,'Test catalog'!$A$2:$A$200,0))="","",INDEX('Test catalog'!$F$2:$F$200,MATCH($AB217,'Test catalog'!$A$2:$A$200,0))),"")</f>
        <v/>
      </c>
      <c r="L217" s="10">
        <f>IFERROR(IF(INDEX('Test catalog'!$G$2:$G$200,MATCH($AB217,'Test catalog'!$A$2:$A$200,0))="","",INDEX('Test catalog'!$G$2:$G$200,MATCH($AB217,'Test catalog'!$A$2:$A$200,0))),"")</f>
        <v/>
      </c>
      <c r="M217" s="10">
        <f>IFERROR(IF(INDEX('Test catalog'!$H$2:$H$200,MATCH($AB217,'Test catalog'!$A$2:$A$200,0))="","",INDEX('Test catalog'!$H$2:$H$200,MATCH($AB217,'Test catalog'!$A$2:$A$200,0))),"")</f>
        <v/>
      </c>
      <c r="N217" s="10">
        <f>IFERROR(IF(INDEX('Test catalog'!$I$2:$I$200,MATCH($AB217,'Test catalog'!$A$2:$A$200,0))="","",INDEX('Test catalog'!$I$2:$I$200,MATCH($AB217,'Test catalog'!$A$2:$A$200,0))),"")</f>
        <v/>
      </c>
      <c r="O217" s="10">
        <f>IFERROR(IF(INDEX('Test catalog'!$J$2:$J$200,MATCH($AB217,'Test catalog'!$A$2:$A$200,0))="","",INDEX('Test catalog'!$J$2:$J$200,MATCH($AB217,'Test catalog'!$A$2:$A$200,0))),"")</f>
        <v/>
      </c>
      <c r="P217" s="14">
        <f>IF(N217="","",IF(OR(M217="",O217=""),N217,(M217+4*N217+O217)/6))</f>
        <v/>
      </c>
      <c r="Q217" s="10">
        <f>IFERROR(IF(INDEX('Test catalog'!$K$2:$K$200,MATCH($AB217,'Test catalog'!$A$2:$A$200,0))="","",INDEX('Test catalog'!$K$2:$K$200,MATCH($AB217,'Test catalog'!$A$2:$A$200,0))),"")</f>
        <v/>
      </c>
      <c r="R217" s="5" t="n"/>
      <c r="S217" s="10">
        <f>IFERROR(IF(INDEX('Test catalog'!$L$2:$L$200,MATCH($AB217,'Test catalog'!$A$2:$A$200,0))="","",INDEX('Test catalog'!$L$2:$L$200,MATCH($AB217,'Test catalog'!$A$2:$A$200,0))),"")</f>
        <v/>
      </c>
      <c r="T217" s="10">
        <f>IFERROR(IF(INDEX('Test catalog'!$M$2:$M$200,MATCH($AB217,'Test catalog'!$A$2:$A$200,0))="","",INDEX('Test catalog'!$M$2:$M$200,MATCH($AB217,'Test catalog'!$A$2:$A$200,0))),"")</f>
        <v/>
      </c>
      <c r="U217" s="10">
        <f>IFERROR(IF(INDEX('Test catalog'!$N$2:$N$200,MATCH($AB217,'Test catalog'!$A$2:$A$200,0))="","",INDEX('Test catalog'!$N$2:$N$200,MATCH($AB217,'Test catalog'!$A$2:$A$200,0))),"")</f>
        <v/>
      </c>
      <c r="V217" s="15" t="n"/>
      <c r="W217" s="5" t="inlineStr">
        <is>
          <t>N</t>
        </is>
      </c>
      <c r="X217" s="5" t="n"/>
      <c r="Y217" s="5" t="n"/>
      <c r="Z217" s="5" t="n"/>
      <c r="AA217" s="10">
        <f>IFERROR(IF(INDEX('Test catalog'!$O$2:$O$200,MATCH($AB217,'Test catalog'!$A$2:$A$200,0))="","",INDEX('Test catalog'!$O$2:$O$200,MATCH($AB217,'Test catalog'!$A$2:$A$200,0))),"")</f>
        <v/>
      </c>
      <c r="AB217" s="10" t="inlineStr">
        <is>
          <t>TITR</t>
        </is>
      </c>
      <c r="AC217" s="10" t="inlineStr">
        <is>
          <t>Ferrous Fumarate · Assay &lt;541&gt;</t>
        </is>
      </c>
      <c r="AD217" s="10" t="n"/>
      <c r="AE217" s="10" t="n"/>
    </row>
    <row r="218">
      <c r="A218" s="10" t="inlineStr">
        <is>
          <t>Ferrous Fumarate</t>
        </is>
      </c>
      <c r="B218" s="10" t="inlineStr">
        <is>
          <t>RM</t>
        </is>
      </c>
      <c r="C218" s="10" t="inlineStr">
        <is>
          <t>Active</t>
        </is>
      </c>
      <c r="D218" s="10" t="inlineStr">
        <is>
          <t>Sulfate</t>
        </is>
      </c>
      <c r="E218" s="10">
        <f>IF(A218="","",A218&amp;"|"&amp;D218)</f>
        <v/>
      </c>
      <c r="F218" s="5" t="inlineStr">
        <is>
          <t>Y</t>
        </is>
      </c>
      <c r="G218" s="5" t="inlineStr">
        <is>
          <t>Other / bench</t>
        </is>
      </c>
      <c r="H218" s="5" t="inlineStr">
        <is>
          <t>Low</t>
        </is>
      </c>
      <c r="I218" s="5" t="n">
        <v>1</v>
      </c>
      <c r="J218" s="5" t="n"/>
      <c r="K218" s="10">
        <f>IFERROR(IF(INDEX('Test catalog'!$F$2:$F$200,MATCH($AB218,'Test catalog'!$A$2:$A$200,0))="","",INDEX('Test catalog'!$F$2:$F$200,MATCH($AB218,'Test catalog'!$A$2:$A$200,0))),"")</f>
        <v/>
      </c>
      <c r="L218" s="10">
        <f>IFERROR(IF(INDEX('Test catalog'!$G$2:$G$200,MATCH($AB218,'Test catalog'!$A$2:$A$200,0))="","",INDEX('Test catalog'!$G$2:$G$200,MATCH($AB218,'Test catalog'!$A$2:$A$200,0))),"")</f>
        <v/>
      </c>
      <c r="M218" s="10">
        <f>IFERROR(IF(INDEX('Test catalog'!$H$2:$H$200,MATCH($AB218,'Test catalog'!$A$2:$A$200,0))="","",INDEX('Test catalog'!$H$2:$H$200,MATCH($AB218,'Test catalog'!$A$2:$A$200,0))),"")</f>
        <v/>
      </c>
      <c r="N218" s="10">
        <f>IFERROR(IF(INDEX('Test catalog'!$I$2:$I$200,MATCH($AB218,'Test catalog'!$A$2:$A$200,0))="","",INDEX('Test catalog'!$I$2:$I$200,MATCH($AB218,'Test catalog'!$A$2:$A$200,0))),"")</f>
        <v/>
      </c>
      <c r="O218" s="10">
        <f>IFERROR(IF(INDEX('Test catalog'!$J$2:$J$200,MATCH($AB218,'Test catalog'!$A$2:$A$200,0))="","",INDEX('Test catalog'!$J$2:$J$200,MATCH($AB218,'Test catalog'!$A$2:$A$200,0))),"")</f>
        <v/>
      </c>
      <c r="P218" s="14">
        <f>IF(N218="","",IF(OR(M218="",O218=""),N218,(M218+4*N218+O218)/6))</f>
        <v/>
      </c>
      <c r="Q218" s="10">
        <f>IFERROR(IF(INDEX('Test catalog'!$K$2:$K$200,MATCH($AB218,'Test catalog'!$A$2:$A$200,0))="","",INDEX('Test catalog'!$K$2:$K$200,MATCH($AB218,'Test catalog'!$A$2:$A$200,0))),"")</f>
        <v/>
      </c>
      <c r="R218" s="5" t="n"/>
      <c r="S218" s="10">
        <f>IFERROR(IF(INDEX('Test catalog'!$L$2:$L$200,MATCH($AB218,'Test catalog'!$A$2:$A$200,0))="","",INDEX('Test catalog'!$L$2:$L$200,MATCH($AB218,'Test catalog'!$A$2:$A$200,0))),"")</f>
        <v/>
      </c>
      <c r="T218" s="10">
        <f>IFERROR(IF(INDEX('Test catalog'!$M$2:$M$200,MATCH($AB218,'Test catalog'!$A$2:$A$200,0))="","",INDEX('Test catalog'!$M$2:$M$200,MATCH($AB218,'Test catalog'!$A$2:$A$200,0))),"")</f>
        <v/>
      </c>
      <c r="U218" s="10">
        <f>IFERROR(IF(INDEX('Test catalog'!$N$2:$N$200,MATCH($AB218,'Test catalog'!$A$2:$A$200,0))="","",INDEX('Test catalog'!$N$2:$N$200,MATCH($AB218,'Test catalog'!$A$2:$A$200,0))),"")</f>
        <v/>
      </c>
      <c r="V218" s="15" t="n"/>
      <c r="W218" s="5" t="inlineStr">
        <is>
          <t>N</t>
        </is>
      </c>
      <c r="X218" s="5" t="n"/>
      <c r="Y218" s="5" t="n"/>
      <c r="Z218" s="5" t="n"/>
      <c r="AA218" s="10">
        <f>IFERROR(IF(INDEX('Test catalog'!$O$2:$O$200,MATCH($AB218,'Test catalog'!$A$2:$A$200,0))="","",INDEX('Test catalog'!$O$2:$O$200,MATCH($AB218,'Test catalog'!$A$2:$A$200,0))),"")</f>
        <v/>
      </c>
      <c r="AB218" s="10" t="inlineStr">
        <is>
          <t>LIMIT</t>
        </is>
      </c>
      <c r="AC218" s="10" t="inlineStr">
        <is>
          <t>Ferrous Fumarate · Impurities</t>
        </is>
      </c>
      <c r="AD218" s="10" t="n"/>
      <c r="AE218" s="10" t="n"/>
    </row>
    <row r="219">
      <c r="A219" s="10" t="inlineStr">
        <is>
          <t>Ferrous Fumarate</t>
        </is>
      </c>
      <c r="B219" s="10" t="inlineStr">
        <is>
          <t>RM</t>
        </is>
      </c>
      <c r="C219" s="10" t="inlineStr">
        <is>
          <t>Active</t>
        </is>
      </c>
      <c r="D219" s="10" t="inlineStr">
        <is>
          <t>Arsenic</t>
        </is>
      </c>
      <c r="E219" s="10">
        <f>IF(A219="","",A219&amp;"|"&amp;D219)</f>
        <v/>
      </c>
      <c r="F219" s="5" t="inlineStr">
        <is>
          <t>Y</t>
        </is>
      </c>
      <c r="G219" s="5" t="inlineStr">
        <is>
          <t>Other / bench</t>
        </is>
      </c>
      <c r="H219" s="5" t="inlineStr">
        <is>
          <t>Low</t>
        </is>
      </c>
      <c r="I219" s="5" t="n">
        <v>1</v>
      </c>
      <c r="J219" s="5" t="n"/>
      <c r="K219" s="10">
        <f>IFERROR(IF(INDEX('Test catalog'!$F$2:$F$200,MATCH($AB219,'Test catalog'!$A$2:$A$200,0))="","",INDEX('Test catalog'!$F$2:$F$200,MATCH($AB219,'Test catalog'!$A$2:$A$200,0))),"")</f>
        <v/>
      </c>
      <c r="L219" s="10">
        <f>IFERROR(IF(INDEX('Test catalog'!$G$2:$G$200,MATCH($AB219,'Test catalog'!$A$2:$A$200,0))="","",INDEX('Test catalog'!$G$2:$G$200,MATCH($AB219,'Test catalog'!$A$2:$A$200,0))),"")</f>
        <v/>
      </c>
      <c r="M219" s="10">
        <f>IFERROR(IF(INDEX('Test catalog'!$H$2:$H$200,MATCH($AB219,'Test catalog'!$A$2:$A$200,0))="","",INDEX('Test catalog'!$H$2:$H$200,MATCH($AB219,'Test catalog'!$A$2:$A$200,0))),"")</f>
        <v/>
      </c>
      <c r="N219" s="10">
        <f>IFERROR(IF(INDEX('Test catalog'!$I$2:$I$200,MATCH($AB219,'Test catalog'!$A$2:$A$200,0))="","",INDEX('Test catalog'!$I$2:$I$200,MATCH($AB219,'Test catalog'!$A$2:$A$200,0))),"")</f>
        <v/>
      </c>
      <c r="O219" s="10">
        <f>IFERROR(IF(INDEX('Test catalog'!$J$2:$J$200,MATCH($AB219,'Test catalog'!$A$2:$A$200,0))="","",INDEX('Test catalog'!$J$2:$J$200,MATCH($AB219,'Test catalog'!$A$2:$A$200,0))),"")</f>
        <v/>
      </c>
      <c r="P219" s="14">
        <f>IF(N219="","",IF(OR(M219="",O219=""),N219,(M219+4*N219+O219)/6))</f>
        <v/>
      </c>
      <c r="Q219" s="10">
        <f>IFERROR(IF(INDEX('Test catalog'!$K$2:$K$200,MATCH($AB219,'Test catalog'!$A$2:$A$200,0))="","",INDEX('Test catalog'!$K$2:$K$200,MATCH($AB219,'Test catalog'!$A$2:$A$200,0))),"")</f>
        <v/>
      </c>
      <c r="R219" s="5" t="n"/>
      <c r="S219" s="10">
        <f>IFERROR(IF(INDEX('Test catalog'!$L$2:$L$200,MATCH($AB219,'Test catalog'!$A$2:$A$200,0))="","",INDEX('Test catalog'!$L$2:$L$200,MATCH($AB219,'Test catalog'!$A$2:$A$200,0))),"")</f>
        <v/>
      </c>
      <c r="T219" s="10">
        <f>IFERROR(IF(INDEX('Test catalog'!$M$2:$M$200,MATCH($AB219,'Test catalog'!$A$2:$A$200,0))="","",INDEX('Test catalog'!$M$2:$M$200,MATCH($AB219,'Test catalog'!$A$2:$A$200,0))),"")</f>
        <v/>
      </c>
      <c r="U219" s="10">
        <f>IFERROR(IF(INDEX('Test catalog'!$N$2:$N$200,MATCH($AB219,'Test catalog'!$A$2:$A$200,0))="","",INDEX('Test catalog'!$N$2:$N$200,MATCH($AB219,'Test catalog'!$A$2:$A$200,0))),"")</f>
        <v/>
      </c>
      <c r="V219" s="15" t="n"/>
      <c r="W219" s="5" t="inlineStr">
        <is>
          <t>N</t>
        </is>
      </c>
      <c r="X219" s="5" t="n"/>
      <c r="Y219" s="5" t="n"/>
      <c r="Z219" s="5" t="n"/>
      <c r="AA219" s="10">
        <f>IFERROR(IF(INDEX('Test catalog'!$O$2:$O$200,MATCH($AB219,'Test catalog'!$A$2:$A$200,0))="","",INDEX('Test catalog'!$O$2:$O$200,MATCH($AB219,'Test catalog'!$A$2:$A$200,0))),"")</f>
        <v/>
      </c>
      <c r="AB219" s="10" t="inlineStr">
        <is>
          <t>LIM_TOX</t>
        </is>
      </c>
      <c r="AC219" s="10" t="inlineStr">
        <is>
          <t>Ferrous Fumarate · Impurities &lt;211&gt;</t>
        </is>
      </c>
      <c r="AD219" s="10" t="n"/>
      <c r="AE219" s="10" t="n"/>
    </row>
    <row r="220">
      <c r="A220" s="10" t="inlineStr">
        <is>
          <t>Ferrous Fumarate</t>
        </is>
      </c>
      <c r="B220" s="10" t="inlineStr">
        <is>
          <t>RM</t>
        </is>
      </c>
      <c r="C220" s="10" t="inlineStr">
        <is>
          <t>Active</t>
        </is>
      </c>
      <c r="D220" s="10" t="inlineStr">
        <is>
          <t>Limit of Ferric Iron</t>
        </is>
      </c>
      <c r="E220" s="10">
        <f>IF(A220="","",A220&amp;"|"&amp;D220)</f>
        <v/>
      </c>
      <c r="F220" s="5" t="inlineStr">
        <is>
          <t>Y</t>
        </is>
      </c>
      <c r="G220" s="5" t="inlineStr">
        <is>
          <t>Other / bench</t>
        </is>
      </c>
      <c r="H220" s="5" t="inlineStr">
        <is>
          <t>Low</t>
        </is>
      </c>
      <c r="I220" s="5" t="n">
        <v>1</v>
      </c>
      <c r="J220" s="5" t="n"/>
      <c r="K220" s="10">
        <f>IFERROR(IF(INDEX('Test catalog'!$F$2:$F$200,MATCH($AB220,'Test catalog'!$A$2:$A$200,0))="","",INDEX('Test catalog'!$F$2:$F$200,MATCH($AB220,'Test catalog'!$A$2:$A$200,0))),"")</f>
        <v/>
      </c>
      <c r="L220" s="10">
        <f>IFERROR(IF(INDEX('Test catalog'!$G$2:$G$200,MATCH($AB220,'Test catalog'!$A$2:$A$200,0))="","",INDEX('Test catalog'!$G$2:$G$200,MATCH($AB220,'Test catalog'!$A$2:$A$200,0))),"")</f>
        <v/>
      </c>
      <c r="M220" s="10">
        <f>IFERROR(IF(INDEX('Test catalog'!$H$2:$H$200,MATCH($AB220,'Test catalog'!$A$2:$A$200,0))="","",INDEX('Test catalog'!$H$2:$H$200,MATCH($AB220,'Test catalog'!$A$2:$A$200,0))),"")</f>
        <v/>
      </c>
      <c r="N220" s="10">
        <f>IFERROR(IF(INDEX('Test catalog'!$I$2:$I$200,MATCH($AB220,'Test catalog'!$A$2:$A$200,0))="","",INDEX('Test catalog'!$I$2:$I$200,MATCH($AB220,'Test catalog'!$A$2:$A$200,0))),"")</f>
        <v/>
      </c>
      <c r="O220" s="10">
        <f>IFERROR(IF(INDEX('Test catalog'!$J$2:$J$200,MATCH($AB220,'Test catalog'!$A$2:$A$200,0))="","",INDEX('Test catalog'!$J$2:$J$200,MATCH($AB220,'Test catalog'!$A$2:$A$200,0))),"")</f>
        <v/>
      </c>
      <c r="P220" s="14">
        <f>IF(N220="","",IF(OR(M220="",O220=""),N220,(M220+4*N220+O220)/6))</f>
        <v/>
      </c>
      <c r="Q220" s="10">
        <f>IFERROR(IF(INDEX('Test catalog'!$K$2:$K$200,MATCH($AB220,'Test catalog'!$A$2:$A$200,0))="","",INDEX('Test catalog'!$K$2:$K$200,MATCH($AB220,'Test catalog'!$A$2:$A$200,0))),"")</f>
        <v/>
      </c>
      <c r="R220" s="5" t="n"/>
      <c r="S220" s="10">
        <f>IFERROR(IF(INDEX('Test catalog'!$L$2:$L$200,MATCH($AB220,'Test catalog'!$A$2:$A$200,0))="","",INDEX('Test catalog'!$L$2:$L$200,MATCH($AB220,'Test catalog'!$A$2:$A$200,0))),"")</f>
        <v/>
      </c>
      <c r="T220" s="10">
        <f>IFERROR(IF(INDEX('Test catalog'!$M$2:$M$200,MATCH($AB220,'Test catalog'!$A$2:$A$200,0))="","",INDEX('Test catalog'!$M$2:$M$200,MATCH($AB220,'Test catalog'!$A$2:$A$200,0))),"")</f>
        <v/>
      </c>
      <c r="U220" s="10">
        <f>IFERROR(IF(INDEX('Test catalog'!$N$2:$N$200,MATCH($AB220,'Test catalog'!$A$2:$A$200,0))="","",INDEX('Test catalog'!$N$2:$N$200,MATCH($AB220,'Test catalog'!$A$2:$A$200,0))),"")</f>
        <v/>
      </c>
      <c r="V220" s="15" t="n"/>
      <c r="W220" s="5" t="inlineStr">
        <is>
          <t>N</t>
        </is>
      </c>
      <c r="X220" s="5" t="n"/>
      <c r="Y220" s="5" t="n"/>
      <c r="Z220" s="5" t="n"/>
      <c r="AA220" s="10">
        <f>IFERROR(IF(INDEX('Test catalog'!$O$2:$O$200,MATCH($AB220,'Test catalog'!$A$2:$A$200,0))="","",INDEX('Test catalog'!$O$2:$O$200,MATCH($AB220,'Test catalog'!$A$2:$A$200,0))),"")</f>
        <v/>
      </c>
      <c r="AB220" s="10" t="inlineStr">
        <is>
          <t>TITR</t>
        </is>
      </c>
      <c r="AC220" s="10" t="inlineStr">
        <is>
          <t>Ferrous Fumarate · Impurities &lt;541&gt;</t>
        </is>
      </c>
      <c r="AD220" s="10" t="n"/>
      <c r="AE220" s="10" t="n"/>
    </row>
    <row r="221">
      <c r="A221" s="10" t="inlineStr">
        <is>
          <t>Ferrous Fumarate</t>
        </is>
      </c>
      <c r="B221" s="10" t="inlineStr">
        <is>
          <t>RM</t>
        </is>
      </c>
      <c r="C221" s="10" t="inlineStr">
        <is>
          <t>Active</t>
        </is>
      </c>
      <c r="D221" s="10" t="inlineStr">
        <is>
          <t>Limit of Lead</t>
        </is>
      </c>
      <c r="E221" s="10">
        <f>IF(A221="","",A221&amp;"|"&amp;D221)</f>
        <v/>
      </c>
      <c r="F221" s="5" t="inlineStr">
        <is>
          <t>Y</t>
        </is>
      </c>
      <c r="G221" s="5" t="inlineStr">
        <is>
          <t>AAS / ICP</t>
        </is>
      </c>
      <c r="H221" s="5" t="inlineStr">
        <is>
          <t>Low</t>
        </is>
      </c>
      <c r="I221" s="5" t="n">
        <v>1</v>
      </c>
      <c r="J221" s="5" t="n"/>
      <c r="K221" s="10">
        <f>IFERROR(IF(INDEX('Test catalog'!$F$2:$F$200,MATCH($AB221,'Test catalog'!$A$2:$A$200,0))="","",INDEX('Test catalog'!$F$2:$F$200,MATCH($AB221,'Test catalog'!$A$2:$A$200,0))),"")</f>
        <v/>
      </c>
      <c r="L221" s="10">
        <f>IFERROR(IF(INDEX('Test catalog'!$G$2:$G$200,MATCH($AB221,'Test catalog'!$A$2:$A$200,0))="","",INDEX('Test catalog'!$G$2:$G$200,MATCH($AB221,'Test catalog'!$A$2:$A$200,0))),"")</f>
        <v/>
      </c>
      <c r="M221" s="10">
        <f>IFERROR(IF(INDEX('Test catalog'!$H$2:$H$200,MATCH($AB221,'Test catalog'!$A$2:$A$200,0))="","",INDEX('Test catalog'!$H$2:$H$200,MATCH($AB221,'Test catalog'!$A$2:$A$200,0))),"")</f>
        <v/>
      </c>
      <c r="N221" s="10">
        <f>IFERROR(IF(INDEX('Test catalog'!$I$2:$I$200,MATCH($AB221,'Test catalog'!$A$2:$A$200,0))="","",INDEX('Test catalog'!$I$2:$I$200,MATCH($AB221,'Test catalog'!$A$2:$A$200,0))),"")</f>
        <v/>
      </c>
      <c r="O221" s="10">
        <f>IFERROR(IF(INDEX('Test catalog'!$J$2:$J$200,MATCH($AB221,'Test catalog'!$A$2:$A$200,0))="","",INDEX('Test catalog'!$J$2:$J$200,MATCH($AB221,'Test catalog'!$A$2:$A$200,0))),"")</f>
        <v/>
      </c>
      <c r="P221" s="14">
        <f>IF(N221="","",IF(OR(M221="",O221=""),N221,(M221+4*N221+O221)/6))</f>
        <v/>
      </c>
      <c r="Q221" s="10">
        <f>IFERROR(IF(INDEX('Test catalog'!$K$2:$K$200,MATCH($AB221,'Test catalog'!$A$2:$A$200,0))="","",INDEX('Test catalog'!$K$2:$K$200,MATCH($AB221,'Test catalog'!$A$2:$A$200,0))),"")</f>
        <v/>
      </c>
      <c r="R221" s="5" t="n"/>
      <c r="S221" s="10">
        <f>IFERROR(IF(INDEX('Test catalog'!$L$2:$L$200,MATCH($AB221,'Test catalog'!$A$2:$A$200,0))="","",INDEX('Test catalog'!$L$2:$L$200,MATCH($AB221,'Test catalog'!$A$2:$A$200,0))),"")</f>
        <v/>
      </c>
      <c r="T221" s="10">
        <f>IFERROR(IF(INDEX('Test catalog'!$M$2:$M$200,MATCH($AB221,'Test catalog'!$A$2:$A$200,0))="","",INDEX('Test catalog'!$M$2:$M$200,MATCH($AB221,'Test catalog'!$A$2:$A$200,0))),"")</f>
        <v/>
      </c>
      <c r="U221" s="10">
        <f>IFERROR(IF(INDEX('Test catalog'!$N$2:$N$200,MATCH($AB221,'Test catalog'!$A$2:$A$200,0))="","",INDEX('Test catalog'!$N$2:$N$200,MATCH($AB221,'Test catalog'!$A$2:$A$200,0))),"")</f>
        <v/>
      </c>
      <c r="V221" s="15" t="n"/>
      <c r="W221" s="5" t="inlineStr">
        <is>
          <t>N</t>
        </is>
      </c>
      <c r="X221" s="5" t="n"/>
      <c r="Y221" s="5" t="n"/>
      <c r="Z221" s="5" t="n"/>
      <c r="AA221" s="10">
        <f>IFERROR(IF(INDEX('Test catalog'!$O$2:$O$200,MATCH($AB221,'Test catalog'!$A$2:$A$200,0))="","",INDEX('Test catalog'!$O$2:$O$200,MATCH($AB221,'Test catalog'!$A$2:$A$200,0))),"")</f>
        <v/>
      </c>
      <c r="AB221" s="10" t="inlineStr">
        <is>
          <t>AAS</t>
        </is>
      </c>
      <c r="AC221" s="10" t="inlineStr">
        <is>
          <t>Ferrous Fumarate · Impurities</t>
        </is>
      </c>
      <c r="AD221" s="10" t="n"/>
      <c r="AE221" s="10" t="n"/>
    </row>
    <row r="222">
      <c r="A222" s="10" t="inlineStr">
        <is>
          <t>Ferrous Fumarate</t>
        </is>
      </c>
      <c r="B222" s="10" t="inlineStr">
        <is>
          <t>RM</t>
        </is>
      </c>
      <c r="C222" s="10" t="inlineStr">
        <is>
          <t>Active</t>
        </is>
      </c>
      <c r="D222" s="10" t="inlineStr">
        <is>
          <t>Mercury</t>
        </is>
      </c>
      <c r="E222" s="10">
        <f>IF(A222="","",A222&amp;"|"&amp;D222)</f>
        <v/>
      </c>
      <c r="F222" s="5" t="inlineStr">
        <is>
          <t>Y</t>
        </is>
      </c>
      <c r="G222" s="5" t="inlineStr">
        <is>
          <t>Other / bench</t>
        </is>
      </c>
      <c r="H222" s="5" t="inlineStr">
        <is>
          <t>Low</t>
        </is>
      </c>
      <c r="I222" s="5" t="n">
        <v>1</v>
      </c>
      <c r="J222" s="5" t="n"/>
      <c r="K222" s="10">
        <f>IFERROR(IF(INDEX('Test catalog'!$F$2:$F$200,MATCH($AB222,'Test catalog'!$A$2:$A$200,0))="","",INDEX('Test catalog'!$F$2:$F$200,MATCH($AB222,'Test catalog'!$A$2:$A$200,0))),"")</f>
        <v/>
      </c>
      <c r="L222" s="10">
        <f>IFERROR(IF(INDEX('Test catalog'!$G$2:$G$200,MATCH($AB222,'Test catalog'!$A$2:$A$200,0))="","",INDEX('Test catalog'!$G$2:$G$200,MATCH($AB222,'Test catalog'!$A$2:$A$200,0))),"")</f>
        <v/>
      </c>
      <c r="M222" s="10">
        <f>IFERROR(IF(INDEX('Test catalog'!$H$2:$H$200,MATCH($AB222,'Test catalog'!$A$2:$A$200,0))="","",INDEX('Test catalog'!$H$2:$H$200,MATCH($AB222,'Test catalog'!$A$2:$A$200,0))),"")</f>
        <v/>
      </c>
      <c r="N222" s="10">
        <f>IFERROR(IF(INDEX('Test catalog'!$I$2:$I$200,MATCH($AB222,'Test catalog'!$A$2:$A$200,0))="","",INDEX('Test catalog'!$I$2:$I$200,MATCH($AB222,'Test catalog'!$A$2:$A$200,0))),"")</f>
        <v/>
      </c>
      <c r="O222" s="10">
        <f>IFERROR(IF(INDEX('Test catalog'!$J$2:$J$200,MATCH($AB222,'Test catalog'!$A$2:$A$200,0))="","",INDEX('Test catalog'!$J$2:$J$200,MATCH($AB222,'Test catalog'!$A$2:$A$200,0))),"")</f>
        <v/>
      </c>
      <c r="P222" s="14">
        <f>IF(N222="","",IF(OR(M222="",O222=""),N222,(M222+4*N222+O222)/6))</f>
        <v/>
      </c>
      <c r="Q222" s="10">
        <f>IFERROR(IF(INDEX('Test catalog'!$K$2:$K$200,MATCH($AB222,'Test catalog'!$A$2:$A$200,0))="","",INDEX('Test catalog'!$K$2:$K$200,MATCH($AB222,'Test catalog'!$A$2:$A$200,0))),"")</f>
        <v/>
      </c>
      <c r="R222" s="5" t="n"/>
      <c r="S222" s="10">
        <f>IFERROR(IF(INDEX('Test catalog'!$L$2:$L$200,MATCH($AB222,'Test catalog'!$A$2:$A$200,0))="","",INDEX('Test catalog'!$L$2:$L$200,MATCH($AB222,'Test catalog'!$A$2:$A$200,0))),"")</f>
        <v/>
      </c>
      <c r="T222" s="10">
        <f>IFERROR(IF(INDEX('Test catalog'!$M$2:$M$200,MATCH($AB222,'Test catalog'!$A$2:$A$200,0))="","",INDEX('Test catalog'!$M$2:$M$200,MATCH($AB222,'Test catalog'!$A$2:$A$200,0))),"")</f>
        <v/>
      </c>
      <c r="U222" s="10">
        <f>IFERROR(IF(INDEX('Test catalog'!$N$2:$N$200,MATCH($AB222,'Test catalog'!$A$2:$A$200,0))="","",INDEX('Test catalog'!$N$2:$N$200,MATCH($AB222,'Test catalog'!$A$2:$A$200,0))),"")</f>
        <v/>
      </c>
      <c r="V222" s="15" t="n"/>
      <c r="W222" s="5" t="inlineStr">
        <is>
          <t>N</t>
        </is>
      </c>
      <c r="X222" s="5" t="n"/>
      <c r="Y222" s="5" t="n"/>
      <c r="Z222" s="5" t="n"/>
      <c r="AA222" s="10">
        <f>IFERROR(IF(INDEX('Test catalog'!$O$2:$O$200,MATCH($AB222,'Test catalog'!$A$2:$A$200,0))="","",INDEX('Test catalog'!$O$2:$O$200,MATCH($AB222,'Test catalog'!$A$2:$A$200,0))),"")</f>
        <v/>
      </c>
      <c r="AB222" s="10" t="inlineStr">
        <is>
          <t>LIM_TOX</t>
        </is>
      </c>
      <c r="AC222" s="10" t="inlineStr">
        <is>
          <t>Ferrous Fumarate · Impurities &lt;261&gt;</t>
        </is>
      </c>
      <c r="AD222" s="10" t="n"/>
      <c r="AE222" s="10" t="n"/>
    </row>
    <row r="223">
      <c r="A223" s="10" t="inlineStr">
        <is>
          <t>Ferrous Fumarate</t>
        </is>
      </c>
      <c r="B223" s="10" t="inlineStr">
        <is>
          <t>RM</t>
        </is>
      </c>
      <c r="C223" s="10" t="inlineStr">
        <is>
          <t>Active</t>
        </is>
      </c>
      <c r="D223" s="10" t="inlineStr">
        <is>
          <t>Loss on Drying</t>
        </is>
      </c>
      <c r="E223" s="10">
        <f>IF(A223="","",A223&amp;"|"&amp;D223)</f>
        <v/>
      </c>
      <c r="F223" s="5" t="inlineStr">
        <is>
          <t>Y</t>
        </is>
      </c>
      <c r="G223" s="5" t="inlineStr">
        <is>
          <t>Other / bench</t>
        </is>
      </c>
      <c r="H223" s="5" t="inlineStr">
        <is>
          <t>Low</t>
        </is>
      </c>
      <c r="I223" s="5" t="n">
        <v>1</v>
      </c>
      <c r="J223" s="5" t="n"/>
      <c r="K223" s="10">
        <f>IFERROR(IF(INDEX('Test catalog'!$F$2:$F$200,MATCH($AB223,'Test catalog'!$A$2:$A$200,0))="","",INDEX('Test catalog'!$F$2:$F$200,MATCH($AB223,'Test catalog'!$A$2:$A$200,0))),"")</f>
        <v/>
      </c>
      <c r="L223" s="10">
        <f>IFERROR(IF(INDEX('Test catalog'!$G$2:$G$200,MATCH($AB223,'Test catalog'!$A$2:$A$200,0))="","",INDEX('Test catalog'!$G$2:$G$200,MATCH($AB223,'Test catalog'!$A$2:$A$200,0))),"")</f>
        <v/>
      </c>
      <c r="M223" s="10">
        <f>IFERROR(IF(INDEX('Test catalog'!$H$2:$H$200,MATCH($AB223,'Test catalog'!$A$2:$A$200,0))="","",INDEX('Test catalog'!$H$2:$H$200,MATCH($AB223,'Test catalog'!$A$2:$A$200,0))),"")</f>
        <v/>
      </c>
      <c r="N223" s="10">
        <f>IFERROR(IF(INDEX('Test catalog'!$I$2:$I$200,MATCH($AB223,'Test catalog'!$A$2:$A$200,0))="","",INDEX('Test catalog'!$I$2:$I$200,MATCH($AB223,'Test catalog'!$A$2:$A$200,0))),"")</f>
        <v/>
      </c>
      <c r="O223" s="10">
        <f>IFERROR(IF(INDEX('Test catalog'!$J$2:$J$200,MATCH($AB223,'Test catalog'!$A$2:$A$200,0))="","",INDEX('Test catalog'!$J$2:$J$200,MATCH($AB223,'Test catalog'!$A$2:$A$200,0))),"")</f>
        <v/>
      </c>
      <c r="P223" s="14">
        <f>IF(N223="","",IF(OR(M223="",O223=""),N223,(M223+4*N223+O223)/6))</f>
        <v/>
      </c>
      <c r="Q223" s="10">
        <f>IFERROR(IF(INDEX('Test catalog'!$K$2:$K$200,MATCH($AB223,'Test catalog'!$A$2:$A$200,0))="","",INDEX('Test catalog'!$K$2:$K$200,MATCH($AB223,'Test catalog'!$A$2:$A$200,0))),"")</f>
        <v/>
      </c>
      <c r="R223" s="5" t="n"/>
      <c r="S223" s="10">
        <f>IFERROR(IF(INDEX('Test catalog'!$L$2:$L$200,MATCH($AB223,'Test catalog'!$A$2:$A$200,0))="","",INDEX('Test catalog'!$L$2:$L$200,MATCH($AB223,'Test catalog'!$A$2:$A$200,0))),"")</f>
        <v/>
      </c>
      <c r="T223" s="10">
        <f>IFERROR(IF(INDEX('Test catalog'!$M$2:$M$200,MATCH($AB223,'Test catalog'!$A$2:$A$200,0))="","",INDEX('Test catalog'!$M$2:$M$200,MATCH($AB223,'Test catalog'!$A$2:$A$200,0))),"")</f>
        <v/>
      </c>
      <c r="U223" s="10">
        <f>IFERROR(IF(INDEX('Test catalog'!$N$2:$N$200,MATCH($AB223,'Test catalog'!$A$2:$A$200,0))="","",INDEX('Test catalog'!$N$2:$N$200,MATCH($AB223,'Test catalog'!$A$2:$A$200,0))),"")</f>
        <v/>
      </c>
      <c r="V223" s="15" t="n"/>
      <c r="W223" s="5" t="inlineStr">
        <is>
          <t>N</t>
        </is>
      </c>
      <c r="X223" s="5" t="n"/>
      <c r="Y223" s="5" t="n"/>
      <c r="Z223" s="5" t="n"/>
      <c r="AA223" s="10">
        <f>IFERROR(IF(INDEX('Test catalog'!$O$2:$O$200,MATCH($AB223,'Test catalog'!$A$2:$A$200,0))="","",INDEX('Test catalog'!$O$2:$O$200,MATCH($AB223,'Test catalog'!$A$2:$A$200,0))),"")</f>
        <v/>
      </c>
      <c r="AB223" s="10" t="inlineStr">
        <is>
          <t>LOD</t>
        </is>
      </c>
      <c r="AC223" s="10" t="inlineStr">
        <is>
          <t>Ferrous Fumarate · Specific Tests &lt;731&gt;</t>
        </is>
      </c>
      <c r="AD223" s="10" t="n"/>
      <c r="AE223" s="10" t="n"/>
    </row>
    <row r="224">
      <c r="A224" s="10" t="inlineStr">
        <is>
          <t>Finerenone</t>
        </is>
      </c>
      <c r="B224" s="10" t="inlineStr">
        <is>
          <t>RM</t>
        </is>
      </c>
      <c r="C224" s="10" t="inlineStr">
        <is>
          <t>Active</t>
        </is>
      </c>
      <c r="D224" s="10" t="inlineStr">
        <is>
          <t>Assay + related substances</t>
        </is>
      </c>
      <c r="E224" s="10">
        <f>IF(A224="","",A224&amp;"|"&amp;D224)</f>
        <v/>
      </c>
      <c r="F224" s="5" t="inlineStr">
        <is>
          <t>Y</t>
        </is>
      </c>
      <c r="G224" s="5" t="inlineStr">
        <is>
          <t>HPLC</t>
        </is>
      </c>
      <c r="H224" s="5" t="inlineStr">
        <is>
          <t>Medium</t>
        </is>
      </c>
      <c r="I224" s="5" t="n">
        <v>1</v>
      </c>
      <c r="J224" s="5" t="n"/>
      <c r="K224" s="5" t="n"/>
      <c r="L224" s="5" t="n"/>
      <c r="M224" s="5" t="n"/>
      <c r="N224" s="5" t="n"/>
      <c r="O224" s="5" t="n"/>
      <c r="P224" s="14">
        <f>IF(N224="","",IF(OR(M224="",O224=""),N224,(M224+4*N224+O224)/6))</f>
        <v/>
      </c>
      <c r="Q224" s="5" t="n"/>
      <c r="R224" s="5" t="n"/>
      <c r="S224" s="5" t="n"/>
      <c r="T224" s="5" t="n"/>
      <c r="U224" s="5" t="n"/>
      <c r="V224" s="15" t="n"/>
      <c r="W224" s="5" t="inlineStr">
        <is>
          <t>N</t>
        </is>
      </c>
      <c r="X224" s="5" t="n"/>
      <c r="Y224" s="5" t="n"/>
      <c r="Z224" s="5" t="n"/>
      <c r="AA224" s="5" t="n"/>
      <c r="AB224" s="10" t="n"/>
      <c r="AC224" s="10" t="n"/>
      <c r="AD224" s="10" t="inlineStr">
        <is>
          <t>No USP-NF monograph - in-house / supplier spec</t>
        </is>
      </c>
      <c r="AE224" s="10" t="n"/>
      <c r="AF224" s="10" t="n"/>
    </row>
    <row r="225">
      <c r="A225" s="10" t="inlineStr">
        <is>
          <t>Finerenone</t>
        </is>
      </c>
      <c r="B225" s="10" t="inlineStr">
        <is>
          <t>RM</t>
        </is>
      </c>
      <c r="C225" s="10" t="inlineStr">
        <is>
          <t>Active</t>
        </is>
      </c>
      <c r="D225" s="10" t="inlineStr">
        <is>
          <t>Other compendial tests (ID, LOD/KF, heavy metals...)</t>
        </is>
      </c>
      <c r="E225" s="10">
        <f>IF(A225="","",A225&amp;"|"&amp;D225)</f>
        <v/>
      </c>
      <c r="F225" s="5" t="inlineStr">
        <is>
          <t>Y</t>
        </is>
      </c>
      <c r="G225" s="5" t="inlineStr">
        <is>
          <t>Other / bench</t>
        </is>
      </c>
      <c r="H225" s="5" t="inlineStr">
        <is>
          <t>Low</t>
        </is>
      </c>
      <c r="I225" s="5" t="n">
        <v>1</v>
      </c>
      <c r="J225" s="5" t="n"/>
      <c r="K225" s="5" t="n"/>
      <c r="L225" s="5" t="n"/>
      <c r="M225" s="5" t="n"/>
      <c r="N225" s="5" t="n"/>
      <c r="O225" s="5" t="n"/>
      <c r="P225" s="14">
        <f>IF(N225="","",IF(OR(M225="",O225=""),N225,(M225+4*N225+O225)/6))</f>
        <v/>
      </c>
      <c r="Q225" s="5" t="n"/>
      <c r="R225" s="5" t="n"/>
      <c r="S225" s="5" t="n"/>
      <c r="T225" s="5" t="n"/>
      <c r="U225" s="5" t="n"/>
      <c r="V225" s="15" t="n"/>
      <c r="W225" s="5" t="inlineStr">
        <is>
          <t>N</t>
        </is>
      </c>
      <c r="X225" s="5" t="n"/>
      <c r="Y225" s="5" t="n"/>
      <c r="Z225" s="5" t="n"/>
      <c r="AA225" s="5" t="n"/>
      <c r="AB225" s="10" t="n"/>
      <c r="AC225" s="10" t="n"/>
      <c r="AD225" s="10" t="inlineStr">
        <is>
          <t>No USP-NF monograph - in-house / supplier spec</t>
        </is>
      </c>
      <c r="AE225" s="10" t="n"/>
      <c r="AF225" s="10" t="n"/>
    </row>
    <row r="226">
      <c r="A226" s="10" t="inlineStr">
        <is>
          <t>Fluticasone Propionate</t>
        </is>
      </c>
      <c r="B226" s="10" t="inlineStr">
        <is>
          <t>RM</t>
        </is>
      </c>
      <c r="C226" s="10" t="inlineStr">
        <is>
          <t>Active</t>
        </is>
      </c>
      <c r="D226" s="10" t="inlineStr">
        <is>
          <t>Appearance / description and solubility</t>
        </is>
      </c>
      <c r="E226" s="10">
        <f>IF(A226="","",A226&amp;"|"&amp;D226)</f>
        <v/>
      </c>
      <c r="F226" s="5" t="inlineStr">
        <is>
          <t>Y</t>
        </is>
      </c>
      <c r="G226" s="5" t="inlineStr">
        <is>
          <t>Other / bench</t>
        </is>
      </c>
      <c r="H226" s="5" t="inlineStr">
        <is>
          <t>Low</t>
        </is>
      </c>
      <c r="I226" s="5" t="n">
        <v>1</v>
      </c>
      <c r="J226" s="5" t="n"/>
      <c r="K226" s="10">
        <f>IFERROR(IF(INDEX('Test catalog'!$F$2:$F$200,MATCH($AB226,'Test catalog'!$A$2:$A$200,0))="","",INDEX('Test catalog'!$F$2:$F$200,MATCH($AB226,'Test catalog'!$A$2:$A$200,0))),"")</f>
        <v/>
      </c>
      <c r="L226" s="10">
        <f>IFERROR(IF(INDEX('Test catalog'!$G$2:$G$200,MATCH($AB226,'Test catalog'!$A$2:$A$200,0))="","",INDEX('Test catalog'!$G$2:$G$200,MATCH($AB226,'Test catalog'!$A$2:$A$200,0))),"")</f>
        <v/>
      </c>
      <c r="M226" s="10">
        <f>IFERROR(IF(INDEX('Test catalog'!$H$2:$H$200,MATCH($AB226,'Test catalog'!$A$2:$A$200,0))="","",INDEX('Test catalog'!$H$2:$H$200,MATCH($AB226,'Test catalog'!$A$2:$A$200,0))),"")</f>
        <v/>
      </c>
      <c r="N226" s="10">
        <f>IFERROR(IF(INDEX('Test catalog'!$I$2:$I$200,MATCH($AB226,'Test catalog'!$A$2:$A$200,0))="","",INDEX('Test catalog'!$I$2:$I$200,MATCH($AB226,'Test catalog'!$A$2:$A$200,0))),"")</f>
        <v/>
      </c>
      <c r="O226" s="10">
        <f>IFERROR(IF(INDEX('Test catalog'!$J$2:$J$200,MATCH($AB226,'Test catalog'!$A$2:$A$200,0))="","",INDEX('Test catalog'!$J$2:$J$200,MATCH($AB226,'Test catalog'!$A$2:$A$200,0))),"")</f>
        <v/>
      </c>
      <c r="P226" s="14">
        <f>IF(N226="","",IF(OR(M226="",O226=""),N226,(M226+4*N226+O226)/6))</f>
        <v/>
      </c>
      <c r="Q226" s="10">
        <f>IFERROR(IF(INDEX('Test catalog'!$K$2:$K$200,MATCH($AB226,'Test catalog'!$A$2:$A$200,0))="","",INDEX('Test catalog'!$K$2:$K$200,MATCH($AB226,'Test catalog'!$A$2:$A$200,0))),"")</f>
        <v/>
      </c>
      <c r="R226" s="5" t="n"/>
      <c r="S226" s="10">
        <f>IFERROR(IF(INDEX('Test catalog'!$L$2:$L$200,MATCH($AB226,'Test catalog'!$A$2:$A$200,0))="","",INDEX('Test catalog'!$L$2:$L$200,MATCH($AB226,'Test catalog'!$A$2:$A$200,0))),"")</f>
        <v/>
      </c>
      <c r="T226" s="10">
        <f>IFERROR(IF(INDEX('Test catalog'!$M$2:$M$200,MATCH($AB226,'Test catalog'!$A$2:$A$200,0))="","",INDEX('Test catalog'!$M$2:$M$200,MATCH($AB226,'Test catalog'!$A$2:$A$200,0))),"")</f>
        <v/>
      </c>
      <c r="U226" s="10">
        <f>IFERROR(IF(INDEX('Test catalog'!$N$2:$N$200,MATCH($AB226,'Test catalog'!$A$2:$A$200,0))="","",INDEX('Test catalog'!$N$2:$N$200,MATCH($AB226,'Test catalog'!$A$2:$A$200,0))),"")</f>
        <v/>
      </c>
      <c r="V226" s="15" t="n"/>
      <c r="W226" s="5" t="inlineStr">
        <is>
          <t>N</t>
        </is>
      </c>
      <c r="X226" s="5" t="n"/>
      <c r="Y226" s="5" t="n"/>
      <c r="Z226" s="5" t="n"/>
      <c r="AA226" s="10">
        <f>IFERROR(IF(INDEX('Test catalog'!$O$2:$O$200,MATCH($AB226,'Test catalog'!$A$2:$A$200,0))="","",INDEX('Test catalog'!$O$2:$O$200,MATCH($AB226,'Test catalog'!$A$2:$A$200,0))),"")</f>
        <v/>
      </c>
      <c r="AB226" s="10" t="inlineStr">
        <is>
          <t>APPEAR</t>
        </is>
      </c>
      <c r="AC226" s="10" t="inlineStr">
        <is>
          <t>Lab practice (not a USP test)</t>
        </is>
      </c>
      <c r="AD226" s="10" t="n"/>
      <c r="AE226" s="10" t="n"/>
    </row>
    <row r="227">
      <c r="A227" s="10" t="inlineStr">
        <is>
          <t>Fluticasone Propionate</t>
        </is>
      </c>
      <c r="B227" s="10" t="inlineStr">
        <is>
          <t>RM</t>
        </is>
      </c>
      <c r="C227" s="10" t="inlineStr">
        <is>
          <t>Active</t>
        </is>
      </c>
      <c r="D227" s="10" t="inlineStr">
        <is>
          <t>ID A - IR spectrum</t>
        </is>
      </c>
      <c r="E227" s="10">
        <f>IF(A227="","",A227&amp;"|"&amp;D227)</f>
        <v/>
      </c>
      <c r="F227" s="5" t="inlineStr">
        <is>
          <t>Y</t>
        </is>
      </c>
      <c r="G227" s="5" t="inlineStr">
        <is>
          <t>Other / bench</t>
        </is>
      </c>
      <c r="H227" s="5" t="inlineStr">
        <is>
          <t>Low</t>
        </is>
      </c>
      <c r="I227" s="5" t="n">
        <v>1</v>
      </c>
      <c r="J227" s="5" t="n"/>
      <c r="K227" s="10">
        <f>IFERROR(IF(INDEX('Test catalog'!$F$2:$F$200,MATCH($AB227,'Test catalog'!$A$2:$A$200,0))="","",INDEX('Test catalog'!$F$2:$F$200,MATCH($AB227,'Test catalog'!$A$2:$A$200,0))),"")</f>
        <v/>
      </c>
      <c r="L227" s="10">
        <f>IFERROR(IF(INDEX('Test catalog'!$G$2:$G$200,MATCH($AB227,'Test catalog'!$A$2:$A$200,0))="","",INDEX('Test catalog'!$G$2:$G$200,MATCH($AB227,'Test catalog'!$A$2:$A$200,0))),"")</f>
        <v/>
      </c>
      <c r="M227" s="10">
        <f>IFERROR(IF(INDEX('Test catalog'!$H$2:$H$200,MATCH($AB227,'Test catalog'!$A$2:$A$200,0))="","",INDEX('Test catalog'!$H$2:$H$200,MATCH($AB227,'Test catalog'!$A$2:$A$200,0))),"")</f>
        <v/>
      </c>
      <c r="N227" s="10">
        <f>IFERROR(IF(INDEX('Test catalog'!$I$2:$I$200,MATCH($AB227,'Test catalog'!$A$2:$A$200,0))="","",INDEX('Test catalog'!$I$2:$I$200,MATCH($AB227,'Test catalog'!$A$2:$A$200,0))),"")</f>
        <v/>
      </c>
      <c r="O227" s="10">
        <f>IFERROR(IF(INDEX('Test catalog'!$J$2:$J$200,MATCH($AB227,'Test catalog'!$A$2:$A$200,0))="","",INDEX('Test catalog'!$J$2:$J$200,MATCH($AB227,'Test catalog'!$A$2:$A$200,0))),"")</f>
        <v/>
      </c>
      <c r="P227" s="14">
        <f>IF(N227="","",IF(OR(M227="",O227=""),N227,(M227+4*N227+O227)/6))</f>
        <v/>
      </c>
      <c r="Q227" s="10">
        <f>IFERROR(IF(INDEX('Test catalog'!$K$2:$K$200,MATCH($AB227,'Test catalog'!$A$2:$A$200,0))="","",INDEX('Test catalog'!$K$2:$K$200,MATCH($AB227,'Test catalog'!$A$2:$A$200,0))),"")</f>
        <v/>
      </c>
      <c r="R227" s="5" t="n"/>
      <c r="S227" s="10">
        <f>IFERROR(IF(INDEX('Test catalog'!$L$2:$L$200,MATCH($AB227,'Test catalog'!$A$2:$A$200,0))="","",INDEX('Test catalog'!$L$2:$L$200,MATCH($AB227,'Test catalog'!$A$2:$A$200,0))),"")</f>
        <v/>
      </c>
      <c r="T227" s="10">
        <f>IFERROR(IF(INDEX('Test catalog'!$M$2:$M$200,MATCH($AB227,'Test catalog'!$A$2:$A$200,0))="","",INDEX('Test catalog'!$M$2:$M$200,MATCH($AB227,'Test catalog'!$A$2:$A$200,0))),"")</f>
        <v/>
      </c>
      <c r="U227" s="10">
        <f>IFERROR(IF(INDEX('Test catalog'!$N$2:$N$200,MATCH($AB227,'Test catalog'!$A$2:$A$200,0))="","",INDEX('Test catalog'!$N$2:$N$200,MATCH($AB227,'Test catalog'!$A$2:$A$200,0))),"")</f>
        <v/>
      </c>
      <c r="V227" s="15" t="n"/>
      <c r="W227" s="5" t="inlineStr">
        <is>
          <t>N</t>
        </is>
      </c>
      <c r="X227" s="5" t="n"/>
      <c r="Y227" s="5" t="n"/>
      <c r="Z227" s="5" t="n"/>
      <c r="AA227" s="10">
        <f>IFERROR(IF(INDEX('Test catalog'!$O$2:$O$200,MATCH($AB227,'Test catalog'!$A$2:$A$200,0))="","",INDEX('Test catalog'!$O$2:$O$200,MATCH($AB227,'Test catalog'!$A$2:$A$200,0))),"")</f>
        <v/>
      </c>
      <c r="AB227" s="10" t="inlineStr">
        <is>
          <t>ID_IR</t>
        </is>
      </c>
      <c r="AC227" s="10" t="inlineStr">
        <is>
          <t>Fluticasone Propionate · Identification &lt;197&gt;</t>
        </is>
      </c>
      <c r="AD227" s="10" t="n"/>
      <c r="AE227" s="10" t="n"/>
    </row>
    <row r="228">
      <c r="A228" s="10" t="inlineStr">
        <is>
          <t>Fluticasone Propionate</t>
        </is>
      </c>
      <c r="B228" s="10" t="inlineStr">
        <is>
          <t>RM</t>
        </is>
      </c>
      <c r="C228" s="10" t="inlineStr">
        <is>
          <t>Active</t>
        </is>
      </c>
      <c r="D228" s="10" t="inlineStr">
        <is>
          <t>Assay (HPLC)</t>
        </is>
      </c>
      <c r="E228" s="10">
        <f>IF(A228="","",A228&amp;"|"&amp;D228)</f>
        <v/>
      </c>
      <c r="F228" s="5" t="inlineStr">
        <is>
          <t>Y</t>
        </is>
      </c>
      <c r="G228" s="5" t="inlineStr">
        <is>
          <t>HPLC</t>
        </is>
      </c>
      <c r="H228" s="5" t="inlineStr">
        <is>
          <t>Medium</t>
        </is>
      </c>
      <c r="I228" s="5" t="n">
        <v>1</v>
      </c>
      <c r="J228" s="5" t="n"/>
      <c r="K228" s="5" t="n"/>
      <c r="L228" s="5" t="n"/>
      <c r="M228" s="5" t="n"/>
      <c r="N228" s="5" t="n"/>
      <c r="O228" s="5" t="n"/>
      <c r="P228" s="14">
        <f>IF(N228="","",IF(OR(M228="",O228=""),N228,(M228+4*N228+O228)/6))</f>
        <v/>
      </c>
      <c r="Q228" s="5" t="n"/>
      <c r="R228" s="5" t="n"/>
      <c r="S228" s="5" t="n"/>
      <c r="T228" s="5" t="n"/>
      <c r="U228" s="5" t="n"/>
      <c r="V228" s="15" t="n"/>
      <c r="W228" s="5" t="inlineStr">
        <is>
          <t>N</t>
        </is>
      </c>
      <c r="X228" s="5" t="n"/>
      <c r="Y228" s="5" t="n"/>
      <c r="Z228" s="5" t="n"/>
      <c r="AA228" s="5" t="n"/>
      <c r="AB228" s="10" t="n"/>
      <c r="AC228" s="10" t="inlineStr">
        <is>
          <t>Fluticasone Propionate · Assay</t>
        </is>
      </c>
      <c r="AD228" s="10" t="n"/>
      <c r="AE228" s="10" t="n"/>
    </row>
    <row r="229">
      <c r="A229" s="10" t="inlineStr">
        <is>
          <t>Fluticasone Propionate</t>
        </is>
      </c>
      <c r="B229" s="10" t="inlineStr">
        <is>
          <t>RM</t>
        </is>
      </c>
      <c r="C229" s="10" t="inlineStr">
        <is>
          <t>Active</t>
        </is>
      </c>
      <c r="D229" s="10" t="inlineStr">
        <is>
          <t>Organic Impurities (HPLC)</t>
        </is>
      </c>
      <c r="E229" s="10">
        <f>IF(A229="","",A229&amp;"|"&amp;D229)</f>
        <v/>
      </c>
      <c r="F229" s="5" t="inlineStr">
        <is>
          <t>Y</t>
        </is>
      </c>
      <c r="G229" s="5" t="inlineStr">
        <is>
          <t>HPLC</t>
        </is>
      </c>
      <c r="H229" s="5" t="inlineStr">
        <is>
          <t>Medium</t>
        </is>
      </c>
      <c r="I229" s="5" t="n">
        <v>1</v>
      </c>
      <c r="J229" s="5" t="n"/>
      <c r="K229" s="5" t="n"/>
      <c r="L229" s="5" t="n"/>
      <c r="M229" s="5" t="n"/>
      <c r="N229" s="5" t="n"/>
      <c r="O229" s="5" t="n"/>
      <c r="P229" s="14">
        <f>IF(N229="","",IF(OR(M229="",O229=""),N229,(M229+4*N229+O229)/6))</f>
        <v/>
      </c>
      <c r="Q229" s="5" t="n"/>
      <c r="R229" s="5" t="n"/>
      <c r="S229" s="5" t="n"/>
      <c r="T229" s="5" t="n"/>
      <c r="U229" s="5" t="n"/>
      <c r="V229" s="15" t="n"/>
      <c r="W229" s="5" t="inlineStr">
        <is>
          <t>N</t>
        </is>
      </c>
      <c r="X229" s="5" t="n"/>
      <c r="Y229" s="5" t="n"/>
      <c r="Z229" s="5" t="n"/>
      <c r="AA229" s="5" t="n"/>
      <c r="AB229" s="10" t="n"/>
      <c r="AC229" s="10" t="inlineStr">
        <is>
          <t>Fluticasone Propionate · Impurities</t>
        </is>
      </c>
      <c r="AD229" s="10" t="n"/>
      <c r="AE229" s="10" t="n"/>
    </row>
    <row r="230">
      <c r="A230" s="10" t="inlineStr">
        <is>
          <t>Fluticasone Propionate</t>
        </is>
      </c>
      <c r="B230" s="10" t="inlineStr">
        <is>
          <t>RM</t>
        </is>
      </c>
      <c r="C230" s="10" t="inlineStr">
        <is>
          <t>Active</t>
        </is>
      </c>
      <c r="D230" s="10" t="inlineStr">
        <is>
          <t>Limit of Acetone (GC)</t>
        </is>
      </c>
      <c r="E230" s="10">
        <f>IF(A230="","",A230&amp;"|"&amp;D230)</f>
        <v/>
      </c>
      <c r="F230" s="5" t="inlineStr">
        <is>
          <t>Y</t>
        </is>
      </c>
      <c r="G230" s="5" t="inlineStr">
        <is>
          <t>GC</t>
        </is>
      </c>
      <c r="H230" s="5" t="inlineStr">
        <is>
          <t>Medium</t>
        </is>
      </c>
      <c r="I230" s="5" t="n">
        <v>1</v>
      </c>
      <c r="J230" s="5" t="n"/>
      <c r="K230" s="5" t="n"/>
      <c r="L230" s="5" t="n"/>
      <c r="M230" s="5" t="n"/>
      <c r="N230" s="5" t="n"/>
      <c r="O230" s="5" t="n"/>
      <c r="P230" s="14">
        <f>IF(N230="","",IF(OR(M230="",O230=""),N230,(M230+4*N230+O230)/6))</f>
        <v/>
      </c>
      <c r="Q230" s="5" t="n"/>
      <c r="R230" s="5" t="n"/>
      <c r="S230" s="5" t="n"/>
      <c r="T230" s="5" t="n"/>
      <c r="U230" s="5" t="n"/>
      <c r="V230" s="15" t="n"/>
      <c r="W230" s="5" t="inlineStr">
        <is>
          <t>N</t>
        </is>
      </c>
      <c r="X230" s="5" t="n"/>
      <c r="Y230" s="5" t="n"/>
      <c r="Z230" s="5" t="n"/>
      <c r="AA230" s="5" t="n"/>
      <c r="AB230" s="10" t="n"/>
      <c r="AC230" s="10" t="inlineStr">
        <is>
          <t>Fluticasone Propionate · Impurities</t>
        </is>
      </c>
      <c r="AD230" s="10" t="n"/>
      <c r="AE230" s="10" t="n"/>
    </row>
    <row r="231">
      <c r="A231" s="10" t="inlineStr">
        <is>
          <t>Fluticasone Propionate</t>
        </is>
      </c>
      <c r="B231" s="10" t="inlineStr">
        <is>
          <t>RM</t>
        </is>
      </c>
      <c r="C231" s="10" t="inlineStr">
        <is>
          <t>Active</t>
        </is>
      </c>
      <c r="D231" s="10" t="inlineStr">
        <is>
          <t>Optical Rotation</t>
        </is>
      </c>
      <c r="E231" s="10">
        <f>IF(A231="","",A231&amp;"|"&amp;D231)</f>
        <v/>
      </c>
      <c r="F231" s="5" t="inlineStr">
        <is>
          <t>Y</t>
        </is>
      </c>
      <c r="G231" s="5" t="inlineStr">
        <is>
          <t>Other / bench</t>
        </is>
      </c>
      <c r="H231" s="5" t="inlineStr">
        <is>
          <t>Low</t>
        </is>
      </c>
      <c r="I231" s="5" t="n">
        <v>1</v>
      </c>
      <c r="J231" s="5" t="n"/>
      <c r="K231" s="10">
        <f>IFERROR(IF(INDEX('Test catalog'!$F$2:$F$200,MATCH($AB231,'Test catalog'!$A$2:$A$200,0))="","",INDEX('Test catalog'!$F$2:$F$200,MATCH($AB231,'Test catalog'!$A$2:$A$200,0))),"")</f>
        <v/>
      </c>
      <c r="L231" s="10">
        <f>IFERROR(IF(INDEX('Test catalog'!$G$2:$G$200,MATCH($AB231,'Test catalog'!$A$2:$A$200,0))="","",INDEX('Test catalog'!$G$2:$G$200,MATCH($AB231,'Test catalog'!$A$2:$A$200,0))),"")</f>
        <v/>
      </c>
      <c r="M231" s="10">
        <f>IFERROR(IF(INDEX('Test catalog'!$H$2:$H$200,MATCH($AB231,'Test catalog'!$A$2:$A$200,0))="","",INDEX('Test catalog'!$H$2:$H$200,MATCH($AB231,'Test catalog'!$A$2:$A$200,0))),"")</f>
        <v/>
      </c>
      <c r="N231" s="10">
        <f>IFERROR(IF(INDEX('Test catalog'!$I$2:$I$200,MATCH($AB231,'Test catalog'!$A$2:$A$200,0))="","",INDEX('Test catalog'!$I$2:$I$200,MATCH($AB231,'Test catalog'!$A$2:$A$200,0))),"")</f>
        <v/>
      </c>
      <c r="O231" s="10">
        <f>IFERROR(IF(INDEX('Test catalog'!$J$2:$J$200,MATCH($AB231,'Test catalog'!$A$2:$A$200,0))="","",INDEX('Test catalog'!$J$2:$J$200,MATCH($AB231,'Test catalog'!$A$2:$A$200,0))),"")</f>
        <v/>
      </c>
      <c r="P231" s="14">
        <f>IF(N231="","",IF(OR(M231="",O231=""),N231,(M231+4*N231+O231)/6))</f>
        <v/>
      </c>
      <c r="Q231" s="10">
        <f>IFERROR(IF(INDEX('Test catalog'!$K$2:$K$200,MATCH($AB231,'Test catalog'!$A$2:$A$200,0))="","",INDEX('Test catalog'!$K$2:$K$200,MATCH($AB231,'Test catalog'!$A$2:$A$200,0))),"")</f>
        <v/>
      </c>
      <c r="R231" s="5" t="n"/>
      <c r="S231" s="10">
        <f>IFERROR(IF(INDEX('Test catalog'!$L$2:$L$200,MATCH($AB231,'Test catalog'!$A$2:$A$200,0))="","",INDEX('Test catalog'!$L$2:$L$200,MATCH($AB231,'Test catalog'!$A$2:$A$200,0))),"")</f>
        <v/>
      </c>
      <c r="T231" s="10">
        <f>IFERROR(IF(INDEX('Test catalog'!$M$2:$M$200,MATCH($AB231,'Test catalog'!$A$2:$A$200,0))="","",INDEX('Test catalog'!$M$2:$M$200,MATCH($AB231,'Test catalog'!$A$2:$A$200,0))),"")</f>
        <v/>
      </c>
      <c r="U231" s="10">
        <f>IFERROR(IF(INDEX('Test catalog'!$N$2:$N$200,MATCH($AB231,'Test catalog'!$A$2:$A$200,0))="","",INDEX('Test catalog'!$N$2:$N$200,MATCH($AB231,'Test catalog'!$A$2:$A$200,0))),"")</f>
        <v/>
      </c>
      <c r="V231" s="15" t="n"/>
      <c r="W231" s="5" t="inlineStr">
        <is>
          <t>N</t>
        </is>
      </c>
      <c r="X231" s="5" t="n"/>
      <c r="Y231" s="5" t="n"/>
      <c r="Z231" s="5" t="n"/>
      <c r="AA231" s="10">
        <f>IFERROR(IF(INDEX('Test catalog'!$O$2:$O$200,MATCH($AB231,'Test catalog'!$A$2:$A$200,0))="","",INDEX('Test catalog'!$O$2:$O$200,MATCH($AB231,'Test catalog'!$A$2:$A$200,0))),"")</f>
        <v/>
      </c>
      <c r="AB231" s="10" t="inlineStr">
        <is>
          <t>OR</t>
        </is>
      </c>
      <c r="AC231" s="10" t="inlineStr">
        <is>
          <t>Fluticasone Propionate · Specific Tests &lt;781&gt;</t>
        </is>
      </c>
      <c r="AD231" s="10" t="n"/>
      <c r="AE231" s="10" t="n"/>
    </row>
    <row r="232">
      <c r="A232" s="10" t="inlineStr">
        <is>
          <t>Fluticasone Propionate</t>
        </is>
      </c>
      <c r="B232" s="10" t="inlineStr">
        <is>
          <t>RM</t>
        </is>
      </c>
      <c r="C232" s="10" t="inlineStr">
        <is>
          <t>Active</t>
        </is>
      </c>
      <c r="D232" s="10" t="inlineStr">
        <is>
          <t>Water Determination</t>
        </is>
      </c>
      <c r="E232" s="10">
        <f>IF(A232="","",A232&amp;"|"&amp;D232)</f>
        <v/>
      </c>
      <c r="F232" s="5" t="inlineStr">
        <is>
          <t>Y</t>
        </is>
      </c>
      <c r="G232" s="5" t="inlineStr">
        <is>
          <t>KF titrator</t>
        </is>
      </c>
      <c r="H232" s="5" t="inlineStr">
        <is>
          <t>Low</t>
        </is>
      </c>
      <c r="I232" s="5" t="n">
        <v>1</v>
      </c>
      <c r="J232" s="5" t="n"/>
      <c r="K232" s="10">
        <f>IFERROR(IF(INDEX('Test catalog'!$F$2:$F$200,MATCH($AB232,'Test catalog'!$A$2:$A$200,0))="","",INDEX('Test catalog'!$F$2:$F$200,MATCH($AB232,'Test catalog'!$A$2:$A$200,0))),"")</f>
        <v/>
      </c>
      <c r="L232" s="10">
        <f>IFERROR(IF(INDEX('Test catalog'!$G$2:$G$200,MATCH($AB232,'Test catalog'!$A$2:$A$200,0))="","",INDEX('Test catalog'!$G$2:$G$200,MATCH($AB232,'Test catalog'!$A$2:$A$200,0))),"")</f>
        <v/>
      </c>
      <c r="M232" s="10">
        <f>IFERROR(IF(INDEX('Test catalog'!$H$2:$H$200,MATCH($AB232,'Test catalog'!$A$2:$A$200,0))="","",INDEX('Test catalog'!$H$2:$H$200,MATCH($AB232,'Test catalog'!$A$2:$A$200,0))),"")</f>
        <v/>
      </c>
      <c r="N232" s="10">
        <f>IFERROR(IF(INDEX('Test catalog'!$I$2:$I$200,MATCH($AB232,'Test catalog'!$A$2:$A$200,0))="","",INDEX('Test catalog'!$I$2:$I$200,MATCH($AB232,'Test catalog'!$A$2:$A$200,0))),"")</f>
        <v/>
      </c>
      <c r="O232" s="10">
        <f>IFERROR(IF(INDEX('Test catalog'!$J$2:$J$200,MATCH($AB232,'Test catalog'!$A$2:$A$200,0))="","",INDEX('Test catalog'!$J$2:$J$200,MATCH($AB232,'Test catalog'!$A$2:$A$200,0))),"")</f>
        <v/>
      </c>
      <c r="P232" s="14">
        <f>IF(N232="","",IF(OR(M232="",O232=""),N232,(M232+4*N232+O232)/6))</f>
        <v/>
      </c>
      <c r="Q232" s="10">
        <f>IFERROR(IF(INDEX('Test catalog'!$K$2:$K$200,MATCH($AB232,'Test catalog'!$A$2:$A$200,0))="","",INDEX('Test catalog'!$K$2:$K$200,MATCH($AB232,'Test catalog'!$A$2:$A$200,0))),"")</f>
        <v/>
      </c>
      <c r="R232" s="5" t="n"/>
      <c r="S232" s="10">
        <f>IFERROR(IF(INDEX('Test catalog'!$L$2:$L$200,MATCH($AB232,'Test catalog'!$A$2:$A$200,0))="","",INDEX('Test catalog'!$L$2:$L$200,MATCH($AB232,'Test catalog'!$A$2:$A$200,0))),"")</f>
        <v/>
      </c>
      <c r="T232" s="10">
        <f>IFERROR(IF(INDEX('Test catalog'!$M$2:$M$200,MATCH($AB232,'Test catalog'!$A$2:$A$200,0))="","",INDEX('Test catalog'!$M$2:$M$200,MATCH($AB232,'Test catalog'!$A$2:$A$200,0))),"")</f>
        <v/>
      </c>
      <c r="U232" s="10">
        <f>IFERROR(IF(INDEX('Test catalog'!$N$2:$N$200,MATCH($AB232,'Test catalog'!$A$2:$A$200,0))="","",INDEX('Test catalog'!$N$2:$N$200,MATCH($AB232,'Test catalog'!$A$2:$A$200,0))),"")</f>
        <v/>
      </c>
      <c r="V232" s="15" t="n"/>
      <c r="W232" s="5" t="inlineStr">
        <is>
          <t>N</t>
        </is>
      </c>
      <c r="X232" s="5" t="n"/>
      <c r="Y232" s="5" t="n"/>
      <c r="Z232" s="5" t="n"/>
      <c r="AA232" s="10">
        <f>IFERROR(IF(INDEX('Test catalog'!$O$2:$O$200,MATCH($AB232,'Test catalog'!$A$2:$A$200,0))="","",INDEX('Test catalog'!$O$2:$O$200,MATCH($AB232,'Test catalog'!$A$2:$A$200,0))),"")</f>
        <v/>
      </c>
      <c r="AB232" s="10" t="inlineStr">
        <is>
          <t>KF</t>
        </is>
      </c>
      <c r="AC232" s="10" t="inlineStr">
        <is>
          <t>Fluticasone Propionate · Specific Tests &lt;921&gt;</t>
        </is>
      </c>
      <c r="AD232" s="10" t="n"/>
      <c r="AE232" s="10" t="n"/>
    </row>
    <row r="233">
      <c r="A233" s="10" t="inlineStr">
        <is>
          <t>Folic Acid (Vitamin B9)</t>
        </is>
      </c>
      <c r="B233" s="10" t="inlineStr">
        <is>
          <t>RM</t>
        </is>
      </c>
      <c r="C233" s="10" t="inlineStr">
        <is>
          <t>Active</t>
        </is>
      </c>
      <c r="D233" s="10" t="inlineStr">
        <is>
          <t>Appearance / description and solubility</t>
        </is>
      </c>
      <c r="E233" s="10">
        <f>IF(A233="","",A233&amp;"|"&amp;D233)</f>
        <v/>
      </c>
      <c r="F233" s="5" t="inlineStr">
        <is>
          <t>Y</t>
        </is>
      </c>
      <c r="G233" s="5" t="inlineStr">
        <is>
          <t>Other / bench</t>
        </is>
      </c>
      <c r="H233" s="5" t="inlineStr">
        <is>
          <t>Low</t>
        </is>
      </c>
      <c r="I233" s="5" t="n">
        <v>1</v>
      </c>
      <c r="J233" s="5" t="n"/>
      <c r="K233" s="10">
        <f>IFERROR(IF(INDEX('Test catalog'!$F$2:$F$200,MATCH($AB233,'Test catalog'!$A$2:$A$200,0))="","",INDEX('Test catalog'!$F$2:$F$200,MATCH($AB233,'Test catalog'!$A$2:$A$200,0))),"")</f>
        <v/>
      </c>
      <c r="L233" s="10">
        <f>IFERROR(IF(INDEX('Test catalog'!$G$2:$G$200,MATCH($AB233,'Test catalog'!$A$2:$A$200,0))="","",INDEX('Test catalog'!$G$2:$G$200,MATCH($AB233,'Test catalog'!$A$2:$A$200,0))),"")</f>
        <v/>
      </c>
      <c r="M233" s="10">
        <f>IFERROR(IF(INDEX('Test catalog'!$H$2:$H$200,MATCH($AB233,'Test catalog'!$A$2:$A$200,0))="","",INDEX('Test catalog'!$H$2:$H$200,MATCH($AB233,'Test catalog'!$A$2:$A$200,0))),"")</f>
        <v/>
      </c>
      <c r="N233" s="10">
        <f>IFERROR(IF(INDEX('Test catalog'!$I$2:$I$200,MATCH($AB233,'Test catalog'!$A$2:$A$200,0))="","",INDEX('Test catalog'!$I$2:$I$200,MATCH($AB233,'Test catalog'!$A$2:$A$200,0))),"")</f>
        <v/>
      </c>
      <c r="O233" s="10">
        <f>IFERROR(IF(INDEX('Test catalog'!$J$2:$J$200,MATCH($AB233,'Test catalog'!$A$2:$A$200,0))="","",INDEX('Test catalog'!$J$2:$J$200,MATCH($AB233,'Test catalog'!$A$2:$A$200,0))),"")</f>
        <v/>
      </c>
      <c r="P233" s="14">
        <f>IF(N233="","",IF(OR(M233="",O233=""),N233,(M233+4*N233+O233)/6))</f>
        <v/>
      </c>
      <c r="Q233" s="10">
        <f>IFERROR(IF(INDEX('Test catalog'!$K$2:$K$200,MATCH($AB233,'Test catalog'!$A$2:$A$200,0))="","",INDEX('Test catalog'!$K$2:$K$200,MATCH($AB233,'Test catalog'!$A$2:$A$200,0))),"")</f>
        <v/>
      </c>
      <c r="R233" s="5" t="n"/>
      <c r="S233" s="10">
        <f>IFERROR(IF(INDEX('Test catalog'!$L$2:$L$200,MATCH($AB233,'Test catalog'!$A$2:$A$200,0))="","",INDEX('Test catalog'!$L$2:$L$200,MATCH($AB233,'Test catalog'!$A$2:$A$200,0))),"")</f>
        <v/>
      </c>
      <c r="T233" s="10">
        <f>IFERROR(IF(INDEX('Test catalog'!$M$2:$M$200,MATCH($AB233,'Test catalog'!$A$2:$A$200,0))="","",INDEX('Test catalog'!$M$2:$M$200,MATCH($AB233,'Test catalog'!$A$2:$A$200,0))),"")</f>
        <v/>
      </c>
      <c r="U233" s="10">
        <f>IFERROR(IF(INDEX('Test catalog'!$N$2:$N$200,MATCH($AB233,'Test catalog'!$A$2:$A$200,0))="","",INDEX('Test catalog'!$N$2:$N$200,MATCH($AB233,'Test catalog'!$A$2:$A$200,0))),"")</f>
        <v/>
      </c>
      <c r="V233" s="15" t="n"/>
      <c r="W233" s="5" t="inlineStr">
        <is>
          <t>N</t>
        </is>
      </c>
      <c r="X233" s="5" t="n"/>
      <c r="Y233" s="5" t="n"/>
      <c r="Z233" s="5" t="n"/>
      <c r="AA233" s="10">
        <f>IFERROR(IF(INDEX('Test catalog'!$O$2:$O$200,MATCH($AB233,'Test catalog'!$A$2:$A$200,0))="","",INDEX('Test catalog'!$O$2:$O$200,MATCH($AB233,'Test catalog'!$A$2:$A$200,0))),"")</f>
        <v/>
      </c>
      <c r="AB233" s="10" t="inlineStr">
        <is>
          <t>APPEAR</t>
        </is>
      </c>
      <c r="AC233" s="10" t="inlineStr">
        <is>
          <t>Lab practice (not a USP test)</t>
        </is>
      </c>
      <c r="AD233" s="10" t="n"/>
      <c r="AE233" s="10" t="n"/>
    </row>
    <row r="234">
      <c r="A234" s="10" t="inlineStr">
        <is>
          <t>Folic Acid (Vitamin B9)</t>
        </is>
      </c>
      <c r="B234" s="10" t="inlineStr">
        <is>
          <t>RM</t>
        </is>
      </c>
      <c r="C234" s="10" t="inlineStr">
        <is>
          <t>Active</t>
        </is>
      </c>
      <c r="D234" s="10" t="inlineStr">
        <is>
          <t>ID A - IR spectrum</t>
        </is>
      </c>
      <c r="E234" s="10">
        <f>IF(A234="","",A234&amp;"|"&amp;D234)</f>
        <v/>
      </c>
      <c r="F234" s="5" t="inlineStr">
        <is>
          <t>Y</t>
        </is>
      </c>
      <c r="G234" s="5" t="inlineStr">
        <is>
          <t>Other / bench</t>
        </is>
      </c>
      <c r="H234" s="5" t="inlineStr">
        <is>
          <t>Low</t>
        </is>
      </c>
      <c r="I234" s="5" t="n">
        <v>1</v>
      </c>
      <c r="J234" s="5" t="n"/>
      <c r="K234" s="10">
        <f>IFERROR(IF(INDEX('Test catalog'!$F$2:$F$200,MATCH($AB234,'Test catalog'!$A$2:$A$200,0))="","",INDEX('Test catalog'!$F$2:$F$200,MATCH($AB234,'Test catalog'!$A$2:$A$200,0))),"")</f>
        <v/>
      </c>
      <c r="L234" s="10">
        <f>IFERROR(IF(INDEX('Test catalog'!$G$2:$G$200,MATCH($AB234,'Test catalog'!$A$2:$A$200,0))="","",INDEX('Test catalog'!$G$2:$G$200,MATCH($AB234,'Test catalog'!$A$2:$A$200,0))),"")</f>
        <v/>
      </c>
      <c r="M234" s="10">
        <f>IFERROR(IF(INDEX('Test catalog'!$H$2:$H$200,MATCH($AB234,'Test catalog'!$A$2:$A$200,0))="","",INDEX('Test catalog'!$H$2:$H$200,MATCH($AB234,'Test catalog'!$A$2:$A$200,0))),"")</f>
        <v/>
      </c>
      <c r="N234" s="10">
        <f>IFERROR(IF(INDEX('Test catalog'!$I$2:$I$200,MATCH($AB234,'Test catalog'!$A$2:$A$200,0))="","",INDEX('Test catalog'!$I$2:$I$200,MATCH($AB234,'Test catalog'!$A$2:$A$200,0))),"")</f>
        <v/>
      </c>
      <c r="O234" s="10">
        <f>IFERROR(IF(INDEX('Test catalog'!$J$2:$J$200,MATCH($AB234,'Test catalog'!$A$2:$A$200,0))="","",INDEX('Test catalog'!$J$2:$J$200,MATCH($AB234,'Test catalog'!$A$2:$A$200,0))),"")</f>
        <v/>
      </c>
      <c r="P234" s="14">
        <f>IF(N234="","",IF(OR(M234="",O234=""),N234,(M234+4*N234+O234)/6))</f>
        <v/>
      </c>
      <c r="Q234" s="10">
        <f>IFERROR(IF(INDEX('Test catalog'!$K$2:$K$200,MATCH($AB234,'Test catalog'!$A$2:$A$200,0))="","",INDEX('Test catalog'!$K$2:$K$200,MATCH($AB234,'Test catalog'!$A$2:$A$200,0))),"")</f>
        <v/>
      </c>
      <c r="R234" s="5" t="n"/>
      <c r="S234" s="10">
        <f>IFERROR(IF(INDEX('Test catalog'!$L$2:$L$200,MATCH($AB234,'Test catalog'!$A$2:$A$200,0))="","",INDEX('Test catalog'!$L$2:$L$200,MATCH($AB234,'Test catalog'!$A$2:$A$200,0))),"")</f>
        <v/>
      </c>
      <c r="T234" s="10">
        <f>IFERROR(IF(INDEX('Test catalog'!$M$2:$M$200,MATCH($AB234,'Test catalog'!$A$2:$A$200,0))="","",INDEX('Test catalog'!$M$2:$M$200,MATCH($AB234,'Test catalog'!$A$2:$A$200,0))),"")</f>
        <v/>
      </c>
      <c r="U234" s="10">
        <f>IFERROR(IF(INDEX('Test catalog'!$N$2:$N$200,MATCH($AB234,'Test catalog'!$A$2:$A$200,0))="","",INDEX('Test catalog'!$N$2:$N$200,MATCH($AB234,'Test catalog'!$A$2:$A$200,0))),"")</f>
        <v/>
      </c>
      <c r="V234" s="15" t="n"/>
      <c r="W234" s="5" t="inlineStr">
        <is>
          <t>N</t>
        </is>
      </c>
      <c r="X234" s="5" t="n"/>
      <c r="Y234" s="5" t="n"/>
      <c r="Z234" s="5" t="n"/>
      <c r="AA234" s="10">
        <f>IFERROR(IF(INDEX('Test catalog'!$O$2:$O$200,MATCH($AB234,'Test catalog'!$A$2:$A$200,0))="","",INDEX('Test catalog'!$O$2:$O$200,MATCH($AB234,'Test catalog'!$A$2:$A$200,0))),"")</f>
        <v/>
      </c>
      <c r="AB234" s="10" t="inlineStr">
        <is>
          <t>ID_IR</t>
        </is>
      </c>
      <c r="AC234" s="10" t="inlineStr">
        <is>
          <t>Folic Acid · Identification &lt;197&gt;</t>
        </is>
      </c>
      <c r="AD234" s="10" t="n"/>
      <c r="AE234" s="10" t="n"/>
    </row>
    <row r="235">
      <c r="A235" s="10" t="inlineStr">
        <is>
          <t>Folic Acid (Vitamin B9)</t>
        </is>
      </c>
      <c r="B235" s="10" t="inlineStr">
        <is>
          <t>RM</t>
        </is>
      </c>
      <c r="C235" s="10" t="inlineStr">
        <is>
          <t>Active</t>
        </is>
      </c>
      <c r="D235" s="10" t="inlineStr">
        <is>
          <t>Assay (HPLC)</t>
        </is>
      </c>
      <c r="E235" s="10">
        <f>IF(A235="","",A235&amp;"|"&amp;D235)</f>
        <v/>
      </c>
      <c r="F235" s="5" t="inlineStr">
        <is>
          <t>Y</t>
        </is>
      </c>
      <c r="G235" s="5" t="inlineStr">
        <is>
          <t>HPLC</t>
        </is>
      </c>
      <c r="H235" s="5" t="inlineStr">
        <is>
          <t>Medium</t>
        </is>
      </c>
      <c r="I235" s="5" t="n">
        <v>1</v>
      </c>
      <c r="J235" s="5" t="n"/>
      <c r="K235" s="5" t="n"/>
      <c r="L235" s="5" t="n"/>
      <c r="M235" s="5" t="n"/>
      <c r="N235" s="5" t="n"/>
      <c r="O235" s="5" t="n"/>
      <c r="P235" s="14">
        <f>IF(N235="","",IF(OR(M235="",O235=""),N235,(M235+4*N235+O235)/6))</f>
        <v/>
      </c>
      <c r="Q235" s="5" t="n"/>
      <c r="R235" s="5" t="n"/>
      <c r="S235" s="5" t="n"/>
      <c r="T235" s="5" t="n"/>
      <c r="U235" s="5" t="n"/>
      <c r="V235" s="15" t="n"/>
      <c r="W235" s="5" t="inlineStr">
        <is>
          <t>N</t>
        </is>
      </c>
      <c r="X235" s="5" t="n"/>
      <c r="Y235" s="5" t="n"/>
      <c r="Z235" s="5" t="n"/>
      <c r="AA235" s="5" t="n"/>
      <c r="AB235" s="10" t="n"/>
      <c r="AC235" s="10" t="inlineStr">
        <is>
          <t>Folic Acid · Assay</t>
        </is>
      </c>
      <c r="AD235" s="10" t="n"/>
      <c r="AE235" s="10" t="n"/>
    </row>
    <row r="236">
      <c r="A236" s="10" t="inlineStr">
        <is>
          <t>Folic Acid (Vitamin B9)</t>
        </is>
      </c>
      <c r="B236" s="10" t="inlineStr">
        <is>
          <t>RM</t>
        </is>
      </c>
      <c r="C236" s="10" t="inlineStr">
        <is>
          <t>Active</t>
        </is>
      </c>
      <c r="D236" s="10" t="inlineStr">
        <is>
          <t>Residue on Ignition</t>
        </is>
      </c>
      <c r="E236" s="10">
        <f>IF(A236="","",A236&amp;"|"&amp;D236)</f>
        <v/>
      </c>
      <c r="F236" s="5" t="inlineStr">
        <is>
          <t>Y</t>
        </is>
      </c>
      <c r="G236" s="5" t="inlineStr">
        <is>
          <t>Other / bench</t>
        </is>
      </c>
      <c r="H236" s="5" t="inlineStr">
        <is>
          <t>Low</t>
        </is>
      </c>
      <c r="I236" s="5" t="n">
        <v>1</v>
      </c>
      <c r="J236" s="5" t="n"/>
      <c r="K236" s="10">
        <f>IFERROR(IF(INDEX('Test catalog'!$F$2:$F$200,MATCH($AB236,'Test catalog'!$A$2:$A$200,0))="","",INDEX('Test catalog'!$F$2:$F$200,MATCH($AB236,'Test catalog'!$A$2:$A$200,0))),"")</f>
        <v/>
      </c>
      <c r="L236" s="10">
        <f>IFERROR(IF(INDEX('Test catalog'!$G$2:$G$200,MATCH($AB236,'Test catalog'!$A$2:$A$200,0))="","",INDEX('Test catalog'!$G$2:$G$200,MATCH($AB236,'Test catalog'!$A$2:$A$200,0))),"")</f>
        <v/>
      </c>
      <c r="M236" s="10">
        <f>IFERROR(IF(INDEX('Test catalog'!$H$2:$H$200,MATCH($AB236,'Test catalog'!$A$2:$A$200,0))="","",INDEX('Test catalog'!$H$2:$H$200,MATCH($AB236,'Test catalog'!$A$2:$A$200,0))),"")</f>
        <v/>
      </c>
      <c r="N236" s="10">
        <f>IFERROR(IF(INDEX('Test catalog'!$I$2:$I$200,MATCH($AB236,'Test catalog'!$A$2:$A$200,0))="","",INDEX('Test catalog'!$I$2:$I$200,MATCH($AB236,'Test catalog'!$A$2:$A$200,0))),"")</f>
        <v/>
      </c>
      <c r="O236" s="10">
        <f>IFERROR(IF(INDEX('Test catalog'!$J$2:$J$200,MATCH($AB236,'Test catalog'!$A$2:$A$200,0))="","",INDEX('Test catalog'!$J$2:$J$200,MATCH($AB236,'Test catalog'!$A$2:$A$200,0))),"")</f>
        <v/>
      </c>
      <c r="P236" s="14">
        <f>IF(N236="","",IF(OR(M236="",O236=""),N236,(M236+4*N236+O236)/6))</f>
        <v/>
      </c>
      <c r="Q236" s="10">
        <f>IFERROR(IF(INDEX('Test catalog'!$K$2:$K$200,MATCH($AB236,'Test catalog'!$A$2:$A$200,0))="","",INDEX('Test catalog'!$K$2:$K$200,MATCH($AB236,'Test catalog'!$A$2:$A$200,0))),"")</f>
        <v/>
      </c>
      <c r="R236" s="5" t="n"/>
      <c r="S236" s="10">
        <f>IFERROR(IF(INDEX('Test catalog'!$L$2:$L$200,MATCH($AB236,'Test catalog'!$A$2:$A$200,0))="","",INDEX('Test catalog'!$L$2:$L$200,MATCH($AB236,'Test catalog'!$A$2:$A$200,0))),"")</f>
        <v/>
      </c>
      <c r="T236" s="10">
        <f>IFERROR(IF(INDEX('Test catalog'!$M$2:$M$200,MATCH($AB236,'Test catalog'!$A$2:$A$200,0))="","",INDEX('Test catalog'!$M$2:$M$200,MATCH($AB236,'Test catalog'!$A$2:$A$200,0))),"")</f>
        <v/>
      </c>
      <c r="U236" s="10">
        <f>IFERROR(IF(INDEX('Test catalog'!$N$2:$N$200,MATCH($AB236,'Test catalog'!$A$2:$A$200,0))="","",INDEX('Test catalog'!$N$2:$N$200,MATCH($AB236,'Test catalog'!$A$2:$A$200,0))),"")</f>
        <v/>
      </c>
      <c r="V236" s="15" t="n"/>
      <c r="W236" s="5" t="inlineStr">
        <is>
          <t>N</t>
        </is>
      </c>
      <c r="X236" s="5" t="n"/>
      <c r="Y236" s="5" t="n"/>
      <c r="Z236" s="5" t="n"/>
      <c r="AA236" s="10">
        <f>IFERROR(IF(INDEX('Test catalog'!$O$2:$O$200,MATCH($AB236,'Test catalog'!$A$2:$A$200,0))="","",INDEX('Test catalog'!$O$2:$O$200,MATCH($AB236,'Test catalog'!$A$2:$A$200,0))),"")</f>
        <v/>
      </c>
      <c r="AB236" s="10" t="inlineStr">
        <is>
          <t>ROI</t>
        </is>
      </c>
      <c r="AC236" s="10" t="inlineStr">
        <is>
          <t>Folic Acid · Impurities &lt;281&gt;</t>
        </is>
      </c>
      <c r="AD236" s="10" t="n"/>
      <c r="AE236" s="10" t="n"/>
    </row>
    <row r="237">
      <c r="A237" s="10" t="inlineStr">
        <is>
          <t>Folic Acid (Vitamin B9)</t>
        </is>
      </c>
      <c r="B237" s="10" t="inlineStr">
        <is>
          <t>RM</t>
        </is>
      </c>
      <c r="C237" s="10" t="inlineStr">
        <is>
          <t>Active</t>
        </is>
      </c>
      <c r="D237" s="10" t="inlineStr">
        <is>
          <t>Related Compounds (HPLC)</t>
        </is>
      </c>
      <c r="E237" s="10">
        <f>IF(A237="","",A237&amp;"|"&amp;D237)</f>
        <v/>
      </c>
      <c r="F237" s="5" t="inlineStr">
        <is>
          <t>Y</t>
        </is>
      </c>
      <c r="G237" s="5" t="inlineStr">
        <is>
          <t>HPLC</t>
        </is>
      </c>
      <c r="H237" s="5" t="inlineStr">
        <is>
          <t>Medium</t>
        </is>
      </c>
      <c r="I237" s="5" t="n">
        <v>1</v>
      </c>
      <c r="J237" s="5" t="n"/>
      <c r="K237" s="5" t="n"/>
      <c r="L237" s="5" t="n"/>
      <c r="M237" s="5" t="n"/>
      <c r="N237" s="5" t="n"/>
      <c r="O237" s="5" t="n"/>
      <c r="P237" s="14">
        <f>IF(N237="","",IF(OR(M237="",O237=""),N237,(M237+4*N237+O237)/6))</f>
        <v/>
      </c>
      <c r="Q237" s="5" t="n"/>
      <c r="R237" s="5" t="n"/>
      <c r="S237" s="5" t="n"/>
      <c r="T237" s="5" t="n"/>
      <c r="U237" s="5" t="n"/>
      <c r="V237" s="15" t="n"/>
      <c r="W237" s="5" t="inlineStr">
        <is>
          <t>N</t>
        </is>
      </c>
      <c r="X237" s="5" t="n"/>
      <c r="Y237" s="5" t="n"/>
      <c r="Z237" s="5" t="n"/>
      <c r="AA237" s="5" t="n"/>
      <c r="AB237" s="10" t="n"/>
      <c r="AC237" s="10" t="inlineStr">
        <is>
          <t>Folic Acid · Impurities</t>
        </is>
      </c>
      <c r="AD237" s="10" t="n"/>
      <c r="AE237" s="10" t="n"/>
    </row>
    <row r="238">
      <c r="A238" s="10" t="inlineStr">
        <is>
          <t>Folic Acid (Vitamin B9)</t>
        </is>
      </c>
      <c r="B238" s="10" t="inlineStr">
        <is>
          <t>RM</t>
        </is>
      </c>
      <c r="C238" s="10" t="inlineStr">
        <is>
          <t>Active</t>
        </is>
      </c>
      <c r="D238" s="10" t="inlineStr">
        <is>
          <t>Water Determination, Method I</t>
        </is>
      </c>
      <c r="E238" s="10">
        <f>IF(A238="","",A238&amp;"|"&amp;D238)</f>
        <v/>
      </c>
      <c r="F238" s="5" t="inlineStr">
        <is>
          <t>Y</t>
        </is>
      </c>
      <c r="G238" s="5" t="inlineStr">
        <is>
          <t>KF titrator</t>
        </is>
      </c>
      <c r="H238" s="5" t="inlineStr">
        <is>
          <t>Low</t>
        </is>
      </c>
      <c r="I238" s="5" t="n">
        <v>1</v>
      </c>
      <c r="J238" s="5" t="n"/>
      <c r="K238" s="10">
        <f>IFERROR(IF(INDEX('Test catalog'!$F$2:$F$200,MATCH($AB238,'Test catalog'!$A$2:$A$200,0))="","",INDEX('Test catalog'!$F$2:$F$200,MATCH($AB238,'Test catalog'!$A$2:$A$200,0))),"")</f>
        <v/>
      </c>
      <c r="L238" s="10">
        <f>IFERROR(IF(INDEX('Test catalog'!$G$2:$G$200,MATCH($AB238,'Test catalog'!$A$2:$A$200,0))="","",INDEX('Test catalog'!$G$2:$G$200,MATCH($AB238,'Test catalog'!$A$2:$A$200,0))),"")</f>
        <v/>
      </c>
      <c r="M238" s="10">
        <f>IFERROR(IF(INDEX('Test catalog'!$H$2:$H$200,MATCH($AB238,'Test catalog'!$A$2:$A$200,0))="","",INDEX('Test catalog'!$H$2:$H$200,MATCH($AB238,'Test catalog'!$A$2:$A$200,0))),"")</f>
        <v/>
      </c>
      <c r="N238" s="10">
        <f>IFERROR(IF(INDEX('Test catalog'!$I$2:$I$200,MATCH($AB238,'Test catalog'!$A$2:$A$200,0))="","",INDEX('Test catalog'!$I$2:$I$200,MATCH($AB238,'Test catalog'!$A$2:$A$200,0))),"")</f>
        <v/>
      </c>
      <c r="O238" s="10">
        <f>IFERROR(IF(INDEX('Test catalog'!$J$2:$J$200,MATCH($AB238,'Test catalog'!$A$2:$A$200,0))="","",INDEX('Test catalog'!$J$2:$J$200,MATCH($AB238,'Test catalog'!$A$2:$A$200,0))),"")</f>
        <v/>
      </c>
      <c r="P238" s="14">
        <f>IF(N238="","",IF(OR(M238="",O238=""),N238,(M238+4*N238+O238)/6))</f>
        <v/>
      </c>
      <c r="Q238" s="10">
        <f>IFERROR(IF(INDEX('Test catalog'!$K$2:$K$200,MATCH($AB238,'Test catalog'!$A$2:$A$200,0))="","",INDEX('Test catalog'!$K$2:$K$200,MATCH($AB238,'Test catalog'!$A$2:$A$200,0))),"")</f>
        <v/>
      </c>
      <c r="R238" s="5" t="n"/>
      <c r="S238" s="10">
        <f>IFERROR(IF(INDEX('Test catalog'!$L$2:$L$200,MATCH($AB238,'Test catalog'!$A$2:$A$200,0))="","",INDEX('Test catalog'!$L$2:$L$200,MATCH($AB238,'Test catalog'!$A$2:$A$200,0))),"")</f>
        <v/>
      </c>
      <c r="T238" s="10">
        <f>IFERROR(IF(INDEX('Test catalog'!$M$2:$M$200,MATCH($AB238,'Test catalog'!$A$2:$A$200,0))="","",INDEX('Test catalog'!$M$2:$M$200,MATCH($AB238,'Test catalog'!$A$2:$A$200,0))),"")</f>
        <v/>
      </c>
      <c r="U238" s="10">
        <f>IFERROR(IF(INDEX('Test catalog'!$N$2:$N$200,MATCH($AB238,'Test catalog'!$A$2:$A$200,0))="","",INDEX('Test catalog'!$N$2:$N$200,MATCH($AB238,'Test catalog'!$A$2:$A$200,0))),"")</f>
        <v/>
      </c>
      <c r="V238" s="15" t="n"/>
      <c r="W238" s="5" t="inlineStr">
        <is>
          <t>N</t>
        </is>
      </c>
      <c r="X238" s="5" t="n"/>
      <c r="Y238" s="5" t="n"/>
      <c r="Z238" s="5" t="n"/>
      <c r="AA238" s="10">
        <f>IFERROR(IF(INDEX('Test catalog'!$O$2:$O$200,MATCH($AB238,'Test catalog'!$A$2:$A$200,0))="","",INDEX('Test catalog'!$O$2:$O$200,MATCH($AB238,'Test catalog'!$A$2:$A$200,0))),"")</f>
        <v/>
      </c>
      <c r="AB238" s="10" t="inlineStr">
        <is>
          <t>KF</t>
        </is>
      </c>
      <c r="AC238" s="10" t="inlineStr">
        <is>
          <t>Folic Acid · Specific Tests &lt;921&gt;</t>
        </is>
      </c>
      <c r="AD238" s="10" t="n"/>
      <c r="AE238" s="10" t="n"/>
    </row>
    <row r="239">
      <c r="A239" s="10" t="inlineStr">
        <is>
          <t>Garcinia Cambogia Fruit Dry Extract 6:1</t>
        </is>
      </c>
      <c r="B239" s="10" t="inlineStr">
        <is>
          <t>RM</t>
        </is>
      </c>
      <c r="C239" s="10" t="inlineStr">
        <is>
          <t>Active</t>
        </is>
      </c>
      <c r="D239" s="10" t="inlineStr">
        <is>
          <t>Appearance / description and solubility</t>
        </is>
      </c>
      <c r="E239" s="10">
        <f>IF(A239="","",A239&amp;"|"&amp;D239)</f>
        <v/>
      </c>
      <c r="F239" s="5" t="inlineStr">
        <is>
          <t>Y</t>
        </is>
      </c>
      <c r="G239" s="5" t="inlineStr">
        <is>
          <t>Other / bench</t>
        </is>
      </c>
      <c r="H239" s="5" t="inlineStr">
        <is>
          <t>Low</t>
        </is>
      </c>
      <c r="I239" s="5" t="n">
        <v>1</v>
      </c>
      <c r="J239" s="5" t="n"/>
      <c r="K239" s="10">
        <f>IFERROR(IF(INDEX('Test catalog'!$F$2:$F$200,MATCH($AB239,'Test catalog'!$A$2:$A$200,0))="","",INDEX('Test catalog'!$F$2:$F$200,MATCH($AB239,'Test catalog'!$A$2:$A$200,0))),"")</f>
        <v/>
      </c>
      <c r="L239" s="10">
        <f>IFERROR(IF(INDEX('Test catalog'!$G$2:$G$200,MATCH($AB239,'Test catalog'!$A$2:$A$200,0))="","",INDEX('Test catalog'!$G$2:$G$200,MATCH($AB239,'Test catalog'!$A$2:$A$200,0))),"")</f>
        <v/>
      </c>
      <c r="M239" s="10">
        <f>IFERROR(IF(INDEX('Test catalog'!$H$2:$H$200,MATCH($AB239,'Test catalog'!$A$2:$A$200,0))="","",INDEX('Test catalog'!$H$2:$H$200,MATCH($AB239,'Test catalog'!$A$2:$A$200,0))),"")</f>
        <v/>
      </c>
      <c r="N239" s="10">
        <f>IFERROR(IF(INDEX('Test catalog'!$I$2:$I$200,MATCH($AB239,'Test catalog'!$A$2:$A$200,0))="","",INDEX('Test catalog'!$I$2:$I$200,MATCH($AB239,'Test catalog'!$A$2:$A$200,0))),"")</f>
        <v/>
      </c>
      <c r="O239" s="10">
        <f>IFERROR(IF(INDEX('Test catalog'!$J$2:$J$200,MATCH($AB239,'Test catalog'!$A$2:$A$200,0))="","",INDEX('Test catalog'!$J$2:$J$200,MATCH($AB239,'Test catalog'!$A$2:$A$200,0))),"")</f>
        <v/>
      </c>
      <c r="P239" s="14">
        <f>IF(N239="","",IF(OR(M239="",O239=""),N239,(M239+4*N239+O239)/6))</f>
        <v/>
      </c>
      <c r="Q239" s="10">
        <f>IFERROR(IF(INDEX('Test catalog'!$K$2:$K$200,MATCH($AB239,'Test catalog'!$A$2:$A$200,0))="","",INDEX('Test catalog'!$K$2:$K$200,MATCH($AB239,'Test catalog'!$A$2:$A$200,0))),"")</f>
        <v/>
      </c>
      <c r="R239" s="5" t="n"/>
      <c r="S239" s="10">
        <f>IFERROR(IF(INDEX('Test catalog'!$L$2:$L$200,MATCH($AB239,'Test catalog'!$A$2:$A$200,0))="","",INDEX('Test catalog'!$L$2:$L$200,MATCH($AB239,'Test catalog'!$A$2:$A$200,0))),"")</f>
        <v/>
      </c>
      <c r="T239" s="10">
        <f>IFERROR(IF(INDEX('Test catalog'!$M$2:$M$200,MATCH($AB239,'Test catalog'!$A$2:$A$200,0))="","",INDEX('Test catalog'!$M$2:$M$200,MATCH($AB239,'Test catalog'!$A$2:$A$200,0))),"")</f>
        <v/>
      </c>
      <c r="U239" s="10">
        <f>IFERROR(IF(INDEX('Test catalog'!$N$2:$N$200,MATCH($AB239,'Test catalog'!$A$2:$A$200,0))="","",INDEX('Test catalog'!$N$2:$N$200,MATCH($AB239,'Test catalog'!$A$2:$A$200,0))),"")</f>
        <v/>
      </c>
      <c r="V239" s="15" t="n"/>
      <c r="W239" s="5" t="inlineStr">
        <is>
          <t>N</t>
        </is>
      </c>
      <c r="X239" s="5" t="n"/>
      <c r="Y239" s="5" t="n"/>
      <c r="Z239" s="5" t="n"/>
      <c r="AA239" s="10">
        <f>IFERROR(IF(INDEX('Test catalog'!$O$2:$O$200,MATCH($AB239,'Test catalog'!$A$2:$A$200,0))="","",INDEX('Test catalog'!$O$2:$O$200,MATCH($AB239,'Test catalog'!$A$2:$A$200,0))),"")</f>
        <v/>
      </c>
      <c r="AB239" s="10" t="inlineStr">
        <is>
          <t>APPEAR</t>
        </is>
      </c>
      <c r="AC239" s="10" t="inlineStr">
        <is>
          <t>Lab practice (not a USP test)</t>
        </is>
      </c>
      <c r="AD239" s="10" t="n"/>
      <c r="AE239" s="10" t="n"/>
    </row>
    <row r="240">
      <c r="A240" s="10" t="inlineStr">
        <is>
          <t>Garcinia Cambogia Fruit Dry Extract 6:1</t>
        </is>
      </c>
      <c r="B240" s="10" t="inlineStr">
        <is>
          <t>RM</t>
        </is>
      </c>
      <c r="C240" s="10" t="inlineStr">
        <is>
          <t>Active</t>
        </is>
      </c>
      <c r="D240" s="10" t="inlineStr">
        <is>
          <t>Content of (–)-Hydroxycitric Acid and Limit of (–)-Hydroxycitric Acid Lactone (HPLC)</t>
        </is>
      </c>
      <c r="E240" s="10">
        <f>IF(A240="","",A240&amp;"|"&amp;D240)</f>
        <v/>
      </c>
      <c r="F240" s="5" t="inlineStr">
        <is>
          <t>Y</t>
        </is>
      </c>
      <c r="G240" s="5" t="inlineStr">
        <is>
          <t>HPLC</t>
        </is>
      </c>
      <c r="H240" s="5" t="inlineStr">
        <is>
          <t>Medium</t>
        </is>
      </c>
      <c r="I240" s="5" t="n">
        <v>1</v>
      </c>
      <c r="J240" s="5" t="n"/>
      <c r="K240" s="5" t="n"/>
      <c r="L240" s="5" t="n"/>
      <c r="M240" s="5" t="n"/>
      <c r="N240" s="5" t="n"/>
      <c r="O240" s="5" t="n"/>
      <c r="P240" s="14">
        <f>IF(N240="","",IF(OR(M240="",O240=""),N240,(M240+4*N240+O240)/6))</f>
        <v/>
      </c>
      <c r="Q240" s="5" t="n"/>
      <c r="R240" s="5" t="n"/>
      <c r="S240" s="5" t="n"/>
      <c r="T240" s="5" t="n"/>
      <c r="U240" s="5" t="n"/>
      <c r="V240" s="15" t="n"/>
      <c r="W240" s="5" t="inlineStr">
        <is>
          <t>N</t>
        </is>
      </c>
      <c r="X240" s="5" t="n"/>
      <c r="Y240" s="5" t="n"/>
      <c r="Z240" s="5" t="n"/>
      <c r="AA240" s="5" t="n"/>
      <c r="AB240" s="10" t="n"/>
      <c r="AC240" s="10" t="inlineStr">
        <is>
          <t>Powdered Garcinia Hydroxycitrate Extract · Composition</t>
        </is>
      </c>
      <c r="AD240" s="10" t="n"/>
      <c r="AE240" s="10" t="n"/>
    </row>
    <row r="241">
      <c r="A241" s="10" t="inlineStr">
        <is>
          <t>Garcinia Cambogia Fruit Dry Extract 6:1</t>
        </is>
      </c>
      <c r="B241" s="10" t="inlineStr">
        <is>
          <t>RM</t>
        </is>
      </c>
      <c r="C241" s="10" t="inlineStr">
        <is>
          <t>Active</t>
        </is>
      </c>
      <c r="D241" s="10" t="inlineStr">
        <is>
          <t>Articles of Botanical Origin, Acid-Insoluble Ash</t>
        </is>
      </c>
      <c r="E241" s="10">
        <f>IF(A241="","",A241&amp;"|"&amp;D241)</f>
        <v/>
      </c>
      <c r="F241" s="5" t="inlineStr">
        <is>
          <t>Y</t>
        </is>
      </c>
      <c r="G241" s="5" t="inlineStr">
        <is>
          <t>Other / bench</t>
        </is>
      </c>
      <c r="H241" s="5" t="inlineStr">
        <is>
          <t>Low</t>
        </is>
      </c>
      <c r="I241" s="5" t="n">
        <v>1</v>
      </c>
      <c r="J241" s="5" t="n"/>
      <c r="K241" s="10">
        <f>IFERROR(IF(INDEX('Test catalog'!$F$2:$F$200,MATCH($AB241,'Test catalog'!$A$2:$A$200,0))="","",INDEX('Test catalog'!$F$2:$F$200,MATCH($AB241,'Test catalog'!$A$2:$A$200,0))),"")</f>
        <v/>
      </c>
      <c r="L241" s="10">
        <f>IFERROR(IF(INDEX('Test catalog'!$G$2:$G$200,MATCH($AB241,'Test catalog'!$A$2:$A$200,0))="","",INDEX('Test catalog'!$G$2:$G$200,MATCH($AB241,'Test catalog'!$A$2:$A$200,0))),"")</f>
        <v/>
      </c>
      <c r="M241" s="10">
        <f>IFERROR(IF(INDEX('Test catalog'!$H$2:$H$200,MATCH($AB241,'Test catalog'!$A$2:$A$200,0))="","",INDEX('Test catalog'!$H$2:$H$200,MATCH($AB241,'Test catalog'!$A$2:$A$200,0))),"")</f>
        <v/>
      </c>
      <c r="N241" s="10">
        <f>IFERROR(IF(INDEX('Test catalog'!$I$2:$I$200,MATCH($AB241,'Test catalog'!$A$2:$A$200,0))="","",INDEX('Test catalog'!$I$2:$I$200,MATCH($AB241,'Test catalog'!$A$2:$A$200,0))),"")</f>
        <v/>
      </c>
      <c r="O241" s="10">
        <f>IFERROR(IF(INDEX('Test catalog'!$J$2:$J$200,MATCH($AB241,'Test catalog'!$A$2:$A$200,0))="","",INDEX('Test catalog'!$J$2:$J$200,MATCH($AB241,'Test catalog'!$A$2:$A$200,0))),"")</f>
        <v/>
      </c>
      <c r="P241" s="14">
        <f>IF(N241="","",IF(OR(M241="",O241=""),N241,(M241+4*N241+O241)/6))</f>
        <v/>
      </c>
      <c r="Q241" s="10">
        <f>IFERROR(IF(INDEX('Test catalog'!$K$2:$K$200,MATCH($AB241,'Test catalog'!$A$2:$A$200,0))="","",INDEX('Test catalog'!$K$2:$K$200,MATCH($AB241,'Test catalog'!$A$2:$A$200,0))),"")</f>
        <v/>
      </c>
      <c r="R241" s="5" t="n"/>
      <c r="S241" s="10">
        <f>IFERROR(IF(INDEX('Test catalog'!$L$2:$L$200,MATCH($AB241,'Test catalog'!$A$2:$A$200,0))="","",INDEX('Test catalog'!$L$2:$L$200,MATCH($AB241,'Test catalog'!$A$2:$A$200,0))),"")</f>
        <v/>
      </c>
      <c r="T241" s="10">
        <f>IFERROR(IF(INDEX('Test catalog'!$M$2:$M$200,MATCH($AB241,'Test catalog'!$A$2:$A$200,0))="","",INDEX('Test catalog'!$M$2:$M$200,MATCH($AB241,'Test catalog'!$A$2:$A$200,0))),"")</f>
        <v/>
      </c>
      <c r="U241" s="10">
        <f>IFERROR(IF(INDEX('Test catalog'!$N$2:$N$200,MATCH($AB241,'Test catalog'!$A$2:$A$200,0))="","",INDEX('Test catalog'!$N$2:$N$200,MATCH($AB241,'Test catalog'!$A$2:$A$200,0))),"")</f>
        <v/>
      </c>
      <c r="V241" s="15" t="n"/>
      <c r="W241" s="5" t="inlineStr">
        <is>
          <t>N</t>
        </is>
      </c>
      <c r="X241" s="5" t="n"/>
      <c r="Y241" s="5" t="n"/>
      <c r="Z241" s="5" t="n"/>
      <c r="AA241" s="10">
        <f>IFERROR(IF(INDEX('Test catalog'!$O$2:$O$200,MATCH($AB241,'Test catalog'!$A$2:$A$200,0))="","",INDEX('Test catalog'!$O$2:$O$200,MATCH($AB241,'Test catalog'!$A$2:$A$200,0))),"")</f>
        <v/>
      </c>
      <c r="AB241" s="10" t="inlineStr">
        <is>
          <t>ASH</t>
        </is>
      </c>
      <c r="AC241" s="10" t="inlineStr">
        <is>
          <t>Powdered Garcinia Hydroxycitrate Extract · Impurities &lt;561&gt;</t>
        </is>
      </c>
      <c r="AD241" s="10" t="n"/>
      <c r="AE241" s="10" t="n"/>
    </row>
    <row r="242">
      <c r="A242" s="10" t="inlineStr">
        <is>
          <t>Garcinia Cambogia Fruit Dry Extract 6:1</t>
        </is>
      </c>
      <c r="B242" s="10" t="inlineStr">
        <is>
          <t>RM</t>
        </is>
      </c>
      <c r="C242" s="10" t="inlineStr">
        <is>
          <t>Active</t>
        </is>
      </c>
      <c r="D242" s="10" t="inlineStr">
        <is>
          <t>Procedure</t>
        </is>
      </c>
      <c r="E242" s="10">
        <f>IF(A242="","",A242&amp;"|"&amp;D242)</f>
        <v/>
      </c>
      <c r="F242" s="5" t="inlineStr">
        <is>
          <t>Y</t>
        </is>
      </c>
      <c r="G242" s="5" t="inlineStr">
        <is>
          <t>GC</t>
        </is>
      </c>
      <c r="H242" s="5" t="inlineStr">
        <is>
          <t>Medium</t>
        </is>
      </c>
      <c r="I242" s="5" t="n">
        <v>1</v>
      </c>
      <c r="J242" s="5" t="n"/>
      <c r="K242" s="10">
        <f>IFERROR(IF(INDEX('Test catalog'!$F$2:$F$200,MATCH($AB242,'Test catalog'!$A$2:$A$200,0))="","",INDEX('Test catalog'!$F$2:$F$200,MATCH($AB242,'Test catalog'!$A$2:$A$200,0))),"")</f>
        <v/>
      </c>
      <c r="L242" s="10">
        <f>IFERROR(IF(INDEX('Test catalog'!$G$2:$G$200,MATCH($AB242,'Test catalog'!$A$2:$A$200,0))="","",INDEX('Test catalog'!$G$2:$G$200,MATCH($AB242,'Test catalog'!$A$2:$A$200,0))),"")</f>
        <v/>
      </c>
      <c r="M242" s="10">
        <f>IFERROR(IF(INDEX('Test catalog'!$H$2:$H$200,MATCH($AB242,'Test catalog'!$A$2:$A$200,0))="","",INDEX('Test catalog'!$H$2:$H$200,MATCH($AB242,'Test catalog'!$A$2:$A$200,0))),"")</f>
        <v/>
      </c>
      <c r="N242" s="10">
        <f>IFERROR(IF(INDEX('Test catalog'!$I$2:$I$200,MATCH($AB242,'Test catalog'!$A$2:$A$200,0))="","",INDEX('Test catalog'!$I$2:$I$200,MATCH($AB242,'Test catalog'!$A$2:$A$200,0))),"")</f>
        <v/>
      </c>
      <c r="O242" s="10">
        <f>IFERROR(IF(INDEX('Test catalog'!$J$2:$J$200,MATCH($AB242,'Test catalog'!$A$2:$A$200,0))="","",INDEX('Test catalog'!$J$2:$J$200,MATCH($AB242,'Test catalog'!$A$2:$A$200,0))),"")</f>
        <v/>
      </c>
      <c r="P242" s="14">
        <f>IF(N242="","",IF(OR(M242="",O242=""),N242,(M242+4*N242+O242)/6))</f>
        <v/>
      </c>
      <c r="Q242" s="10">
        <f>IFERROR(IF(INDEX('Test catalog'!$K$2:$K$200,MATCH($AB242,'Test catalog'!$A$2:$A$200,0))="","",INDEX('Test catalog'!$K$2:$K$200,MATCH($AB242,'Test catalog'!$A$2:$A$200,0))),"")</f>
        <v/>
      </c>
      <c r="R242" s="5" t="n"/>
      <c r="S242" s="10">
        <f>IFERROR(IF(INDEX('Test catalog'!$L$2:$L$200,MATCH($AB242,'Test catalog'!$A$2:$A$200,0))="","",INDEX('Test catalog'!$L$2:$L$200,MATCH($AB242,'Test catalog'!$A$2:$A$200,0))),"")</f>
        <v/>
      </c>
      <c r="T242" s="10">
        <f>IFERROR(IF(INDEX('Test catalog'!$M$2:$M$200,MATCH($AB242,'Test catalog'!$A$2:$A$200,0))="","",INDEX('Test catalog'!$M$2:$M$200,MATCH($AB242,'Test catalog'!$A$2:$A$200,0))),"")</f>
        <v/>
      </c>
      <c r="U242" s="10">
        <f>IFERROR(IF(INDEX('Test catalog'!$N$2:$N$200,MATCH($AB242,'Test catalog'!$A$2:$A$200,0))="","",INDEX('Test catalog'!$N$2:$N$200,MATCH($AB242,'Test catalog'!$A$2:$A$200,0))),"")</f>
        <v/>
      </c>
      <c r="V242" s="15" t="n"/>
      <c r="W242" s="5" t="inlineStr">
        <is>
          <t>N</t>
        </is>
      </c>
      <c r="X242" s="5" t="n"/>
      <c r="Y242" s="5" t="n"/>
      <c r="Z242" s="5" t="n"/>
      <c r="AA242" s="10">
        <f>IFERROR(IF(INDEX('Test catalog'!$O$2:$O$200,MATCH($AB242,'Test catalog'!$A$2:$A$200,0))="","",INDEX('Test catalog'!$O$2:$O$200,MATCH($AB242,'Test catalog'!$A$2:$A$200,0))),"")</f>
        <v/>
      </c>
      <c r="AB242" s="10" t="inlineStr">
        <is>
          <t>PEST</t>
        </is>
      </c>
      <c r="AC242" s="10" t="inlineStr">
        <is>
          <t>Powdered Garcinia Hydroxycitrate Extract · Impurities &lt;565&gt;</t>
        </is>
      </c>
      <c r="AD242" s="10" t="n"/>
      <c r="AE242" s="10" t="n"/>
    </row>
    <row r="243">
      <c r="A243" s="10" t="inlineStr">
        <is>
          <t>Garcinia Cambogia Fruit Dry Extract 6:1</t>
        </is>
      </c>
      <c r="B243" s="10" t="inlineStr">
        <is>
          <t>RM</t>
        </is>
      </c>
      <c r="C243" s="10" t="inlineStr">
        <is>
          <t>Active</t>
        </is>
      </c>
      <c r="D243" s="10" t="inlineStr">
        <is>
          <t>Limit of Citric Acid</t>
        </is>
      </c>
      <c r="E243" s="10">
        <f>IF(A243="","",A243&amp;"|"&amp;D243)</f>
        <v/>
      </c>
      <c r="F243" s="5" t="inlineStr">
        <is>
          <t>Y</t>
        </is>
      </c>
      <c r="G243" s="5" t="inlineStr">
        <is>
          <t>Other / bench</t>
        </is>
      </c>
      <c r="H243" s="5" t="inlineStr">
        <is>
          <t>Low</t>
        </is>
      </c>
      <c r="I243" s="5" t="n">
        <v>1</v>
      </c>
      <c r="J243" s="5" t="n"/>
      <c r="K243" s="10">
        <f>IFERROR(IF(INDEX('Test catalog'!$F$2:$F$200,MATCH($AB243,'Test catalog'!$A$2:$A$200,0))="","",INDEX('Test catalog'!$F$2:$F$200,MATCH($AB243,'Test catalog'!$A$2:$A$200,0))),"")</f>
        <v/>
      </c>
      <c r="L243" s="10">
        <f>IFERROR(IF(INDEX('Test catalog'!$G$2:$G$200,MATCH($AB243,'Test catalog'!$A$2:$A$200,0))="","",INDEX('Test catalog'!$G$2:$G$200,MATCH($AB243,'Test catalog'!$A$2:$A$200,0))),"")</f>
        <v/>
      </c>
      <c r="M243" s="10">
        <f>IFERROR(IF(INDEX('Test catalog'!$H$2:$H$200,MATCH($AB243,'Test catalog'!$A$2:$A$200,0))="","",INDEX('Test catalog'!$H$2:$H$200,MATCH($AB243,'Test catalog'!$A$2:$A$200,0))),"")</f>
        <v/>
      </c>
      <c r="N243" s="10">
        <f>IFERROR(IF(INDEX('Test catalog'!$I$2:$I$200,MATCH($AB243,'Test catalog'!$A$2:$A$200,0))="","",INDEX('Test catalog'!$I$2:$I$200,MATCH($AB243,'Test catalog'!$A$2:$A$200,0))),"")</f>
        <v/>
      </c>
      <c r="O243" s="10">
        <f>IFERROR(IF(INDEX('Test catalog'!$J$2:$J$200,MATCH($AB243,'Test catalog'!$A$2:$A$200,0))="","",INDEX('Test catalog'!$J$2:$J$200,MATCH($AB243,'Test catalog'!$A$2:$A$200,0))),"")</f>
        <v/>
      </c>
      <c r="P243" s="14">
        <f>IF(N243="","",IF(OR(M243="",O243=""),N243,(M243+4*N243+O243)/6))</f>
        <v/>
      </c>
      <c r="Q243" s="10">
        <f>IFERROR(IF(INDEX('Test catalog'!$K$2:$K$200,MATCH($AB243,'Test catalog'!$A$2:$A$200,0))="","",INDEX('Test catalog'!$K$2:$K$200,MATCH($AB243,'Test catalog'!$A$2:$A$200,0))),"")</f>
        <v/>
      </c>
      <c r="R243" s="5" t="n"/>
      <c r="S243" s="10">
        <f>IFERROR(IF(INDEX('Test catalog'!$L$2:$L$200,MATCH($AB243,'Test catalog'!$A$2:$A$200,0))="","",INDEX('Test catalog'!$L$2:$L$200,MATCH($AB243,'Test catalog'!$A$2:$A$200,0))),"")</f>
        <v/>
      </c>
      <c r="T243" s="10">
        <f>IFERROR(IF(INDEX('Test catalog'!$M$2:$M$200,MATCH($AB243,'Test catalog'!$A$2:$A$200,0))="","",INDEX('Test catalog'!$M$2:$M$200,MATCH($AB243,'Test catalog'!$A$2:$A$200,0))),"")</f>
        <v/>
      </c>
      <c r="U243" s="10">
        <f>IFERROR(IF(INDEX('Test catalog'!$N$2:$N$200,MATCH($AB243,'Test catalog'!$A$2:$A$200,0))="","",INDEX('Test catalog'!$N$2:$N$200,MATCH($AB243,'Test catalog'!$A$2:$A$200,0))),"")</f>
        <v/>
      </c>
      <c r="V243" s="15" t="n"/>
      <c r="W243" s="5" t="inlineStr">
        <is>
          <t>N</t>
        </is>
      </c>
      <c r="X243" s="5" t="n"/>
      <c r="Y243" s="5" t="n"/>
      <c r="Z243" s="5" t="n"/>
      <c r="AA243" s="10">
        <f>IFERROR(IF(INDEX('Test catalog'!$O$2:$O$200,MATCH($AB243,'Test catalog'!$A$2:$A$200,0))="","",INDEX('Test catalog'!$O$2:$O$200,MATCH($AB243,'Test catalog'!$A$2:$A$200,0))),"")</f>
        <v/>
      </c>
      <c r="AB243" s="10" t="inlineStr">
        <is>
          <t>LIMIT</t>
        </is>
      </c>
      <c r="AC243" s="10" t="inlineStr">
        <is>
          <t>Powdered Garcinia Hydroxycitrate Extract · Specific Tests</t>
        </is>
      </c>
      <c r="AD243" s="10" t="n"/>
      <c r="AE243" s="10" t="n"/>
    </row>
    <row r="244">
      <c r="A244" s="10" t="inlineStr">
        <is>
          <t>Garcinia Cambogia Fruit Dry Extract 6:1</t>
        </is>
      </c>
      <c r="B244" s="10" t="inlineStr">
        <is>
          <t>RM</t>
        </is>
      </c>
      <c r="C244" s="10" t="inlineStr">
        <is>
          <t>Active</t>
        </is>
      </c>
      <c r="D244" s="10" t="inlineStr">
        <is>
          <t>Identification Tests—General</t>
        </is>
      </c>
      <c r="E244" s="10">
        <f>IF(A244="","",A244&amp;"|"&amp;D244)</f>
        <v/>
      </c>
      <c r="F244" s="5" t="inlineStr">
        <is>
          <t>Y</t>
        </is>
      </c>
      <c r="G244" s="5" t="inlineStr">
        <is>
          <t>Other / bench</t>
        </is>
      </c>
      <c r="H244" s="5" t="inlineStr">
        <is>
          <t>Low</t>
        </is>
      </c>
      <c r="I244" s="5" t="n">
        <v>1</v>
      </c>
      <c r="J244" s="5" t="n"/>
      <c r="K244" s="10">
        <f>IFERROR(IF(INDEX('Test catalog'!$F$2:$F$200,MATCH($AB244,'Test catalog'!$A$2:$A$200,0))="","",INDEX('Test catalog'!$F$2:$F$200,MATCH($AB244,'Test catalog'!$A$2:$A$200,0))),"")</f>
        <v/>
      </c>
      <c r="L244" s="10">
        <f>IFERROR(IF(INDEX('Test catalog'!$G$2:$G$200,MATCH($AB244,'Test catalog'!$A$2:$A$200,0))="","",INDEX('Test catalog'!$G$2:$G$200,MATCH($AB244,'Test catalog'!$A$2:$A$200,0))),"")</f>
        <v/>
      </c>
      <c r="M244" s="10">
        <f>IFERROR(IF(INDEX('Test catalog'!$H$2:$H$200,MATCH($AB244,'Test catalog'!$A$2:$A$200,0))="","",INDEX('Test catalog'!$H$2:$H$200,MATCH($AB244,'Test catalog'!$A$2:$A$200,0))),"")</f>
        <v/>
      </c>
      <c r="N244" s="10">
        <f>IFERROR(IF(INDEX('Test catalog'!$I$2:$I$200,MATCH($AB244,'Test catalog'!$A$2:$A$200,0))="","",INDEX('Test catalog'!$I$2:$I$200,MATCH($AB244,'Test catalog'!$A$2:$A$200,0))),"")</f>
        <v/>
      </c>
      <c r="O244" s="10">
        <f>IFERROR(IF(INDEX('Test catalog'!$J$2:$J$200,MATCH($AB244,'Test catalog'!$A$2:$A$200,0))="","",INDEX('Test catalog'!$J$2:$J$200,MATCH($AB244,'Test catalog'!$A$2:$A$200,0))),"")</f>
        <v/>
      </c>
      <c r="P244" s="14">
        <f>IF(N244="","",IF(OR(M244="",O244=""),N244,(M244+4*N244+O244)/6))</f>
        <v/>
      </c>
      <c r="Q244" s="10">
        <f>IFERROR(IF(INDEX('Test catalog'!$K$2:$K$200,MATCH($AB244,'Test catalog'!$A$2:$A$200,0))="","",INDEX('Test catalog'!$K$2:$K$200,MATCH($AB244,'Test catalog'!$A$2:$A$200,0))),"")</f>
        <v/>
      </c>
      <c r="R244" s="5" t="n"/>
      <c r="S244" s="10">
        <f>IFERROR(IF(INDEX('Test catalog'!$L$2:$L$200,MATCH($AB244,'Test catalog'!$A$2:$A$200,0))="","",INDEX('Test catalog'!$L$2:$L$200,MATCH($AB244,'Test catalog'!$A$2:$A$200,0))),"")</f>
        <v/>
      </c>
      <c r="T244" s="10">
        <f>IFERROR(IF(INDEX('Test catalog'!$M$2:$M$200,MATCH($AB244,'Test catalog'!$A$2:$A$200,0))="","",INDEX('Test catalog'!$M$2:$M$200,MATCH($AB244,'Test catalog'!$A$2:$A$200,0))),"")</f>
        <v/>
      </c>
      <c r="U244" s="10">
        <f>IFERROR(IF(INDEX('Test catalog'!$N$2:$N$200,MATCH($AB244,'Test catalog'!$A$2:$A$200,0))="","",INDEX('Test catalog'!$N$2:$N$200,MATCH($AB244,'Test catalog'!$A$2:$A$200,0))),"")</f>
        <v/>
      </c>
      <c r="V244" s="15" t="n"/>
      <c r="W244" s="5" t="inlineStr">
        <is>
          <t>N</t>
        </is>
      </c>
      <c r="X244" s="5" t="n"/>
      <c r="Y244" s="5" t="n"/>
      <c r="Z244" s="5" t="n"/>
      <c r="AA244" s="10">
        <f>IFERROR(IF(INDEX('Test catalog'!$O$2:$O$200,MATCH($AB244,'Test catalog'!$A$2:$A$200,0))="","",INDEX('Test catalog'!$O$2:$O$200,MATCH($AB244,'Test catalog'!$A$2:$A$200,0))),"")</f>
        <v/>
      </c>
      <c r="AB244" s="10" t="inlineStr">
        <is>
          <t>ID_CHEM</t>
        </is>
      </c>
      <c r="AC244" s="10" t="inlineStr">
        <is>
          <t>Powdered Garcinia Hydroxycitrate Extract · Specific Tests &lt;191&gt;</t>
        </is>
      </c>
      <c r="AD244" s="10" t="n"/>
      <c r="AE244" s="10" t="n"/>
    </row>
    <row r="245">
      <c r="A245" s="10" t="inlineStr">
        <is>
          <t>Garcinia Cambogia Fruit Dry Extract 6:1</t>
        </is>
      </c>
      <c r="B245" s="10" t="inlineStr">
        <is>
          <t>RM</t>
        </is>
      </c>
      <c r="C245" s="10" t="inlineStr">
        <is>
          <t>Active</t>
        </is>
      </c>
      <c r="D245" s="10" t="inlineStr">
        <is>
          <t>Loss on Drying</t>
        </is>
      </c>
      <c r="E245" s="10">
        <f>IF(A245="","",A245&amp;"|"&amp;D245)</f>
        <v/>
      </c>
      <c r="F245" s="5" t="inlineStr">
        <is>
          <t>Y</t>
        </is>
      </c>
      <c r="G245" s="5" t="inlineStr">
        <is>
          <t>Other / bench</t>
        </is>
      </c>
      <c r="H245" s="5" t="inlineStr">
        <is>
          <t>Low</t>
        </is>
      </c>
      <c r="I245" s="5" t="n">
        <v>1</v>
      </c>
      <c r="J245" s="5" t="n"/>
      <c r="K245" s="10">
        <f>IFERROR(IF(INDEX('Test catalog'!$F$2:$F$200,MATCH($AB245,'Test catalog'!$A$2:$A$200,0))="","",INDEX('Test catalog'!$F$2:$F$200,MATCH($AB245,'Test catalog'!$A$2:$A$200,0))),"")</f>
        <v/>
      </c>
      <c r="L245" s="10">
        <f>IFERROR(IF(INDEX('Test catalog'!$G$2:$G$200,MATCH($AB245,'Test catalog'!$A$2:$A$200,0))="","",INDEX('Test catalog'!$G$2:$G$200,MATCH($AB245,'Test catalog'!$A$2:$A$200,0))),"")</f>
        <v/>
      </c>
      <c r="M245" s="10">
        <f>IFERROR(IF(INDEX('Test catalog'!$H$2:$H$200,MATCH($AB245,'Test catalog'!$A$2:$A$200,0))="","",INDEX('Test catalog'!$H$2:$H$200,MATCH($AB245,'Test catalog'!$A$2:$A$200,0))),"")</f>
        <v/>
      </c>
      <c r="N245" s="10">
        <f>IFERROR(IF(INDEX('Test catalog'!$I$2:$I$200,MATCH($AB245,'Test catalog'!$A$2:$A$200,0))="","",INDEX('Test catalog'!$I$2:$I$200,MATCH($AB245,'Test catalog'!$A$2:$A$200,0))),"")</f>
        <v/>
      </c>
      <c r="O245" s="10">
        <f>IFERROR(IF(INDEX('Test catalog'!$J$2:$J$200,MATCH($AB245,'Test catalog'!$A$2:$A$200,0))="","",INDEX('Test catalog'!$J$2:$J$200,MATCH($AB245,'Test catalog'!$A$2:$A$200,0))),"")</f>
        <v/>
      </c>
      <c r="P245" s="14">
        <f>IF(N245="","",IF(OR(M245="",O245=""),N245,(M245+4*N245+O245)/6))</f>
        <v/>
      </c>
      <c r="Q245" s="10">
        <f>IFERROR(IF(INDEX('Test catalog'!$K$2:$K$200,MATCH($AB245,'Test catalog'!$A$2:$A$200,0))="","",INDEX('Test catalog'!$K$2:$K$200,MATCH($AB245,'Test catalog'!$A$2:$A$200,0))),"")</f>
        <v/>
      </c>
      <c r="R245" s="5" t="n"/>
      <c r="S245" s="10">
        <f>IFERROR(IF(INDEX('Test catalog'!$L$2:$L$200,MATCH($AB245,'Test catalog'!$A$2:$A$200,0))="","",INDEX('Test catalog'!$L$2:$L$200,MATCH($AB245,'Test catalog'!$A$2:$A$200,0))),"")</f>
        <v/>
      </c>
      <c r="T245" s="10">
        <f>IFERROR(IF(INDEX('Test catalog'!$M$2:$M$200,MATCH($AB245,'Test catalog'!$A$2:$A$200,0))="","",INDEX('Test catalog'!$M$2:$M$200,MATCH($AB245,'Test catalog'!$A$2:$A$200,0))),"")</f>
        <v/>
      </c>
      <c r="U245" s="10">
        <f>IFERROR(IF(INDEX('Test catalog'!$N$2:$N$200,MATCH($AB245,'Test catalog'!$A$2:$A$200,0))="","",INDEX('Test catalog'!$N$2:$N$200,MATCH($AB245,'Test catalog'!$A$2:$A$200,0))),"")</f>
        <v/>
      </c>
      <c r="V245" s="15" t="n"/>
      <c r="W245" s="5" t="inlineStr">
        <is>
          <t>N</t>
        </is>
      </c>
      <c r="X245" s="5" t="n"/>
      <c r="Y245" s="5" t="n"/>
      <c r="Z245" s="5" t="n"/>
      <c r="AA245" s="10">
        <f>IFERROR(IF(INDEX('Test catalog'!$O$2:$O$200,MATCH($AB245,'Test catalog'!$A$2:$A$200,0))="","",INDEX('Test catalog'!$O$2:$O$200,MATCH($AB245,'Test catalog'!$A$2:$A$200,0))),"")</f>
        <v/>
      </c>
      <c r="AB245" s="10" t="inlineStr">
        <is>
          <t>LOD</t>
        </is>
      </c>
      <c r="AC245" s="10" t="inlineStr">
        <is>
          <t>Powdered Garcinia Hydroxycitrate Extract · Specific Tests &lt;731&gt;</t>
        </is>
      </c>
      <c r="AD245" s="10" t="n"/>
      <c r="AE245" s="10" t="n"/>
    </row>
    <row r="246">
      <c r="A246" s="10" t="inlineStr">
        <is>
          <t>Garcinia Cambogia Fruit Dry Extract 6:1</t>
        </is>
      </c>
      <c r="B246" s="10" t="inlineStr">
        <is>
          <t>RM</t>
        </is>
      </c>
      <c r="C246" s="10" t="inlineStr">
        <is>
          <t>Active</t>
        </is>
      </c>
      <c r="D246" s="10" t="inlineStr">
        <is>
          <t>Other Requirements</t>
        </is>
      </c>
      <c r="E246" s="10">
        <f>IF(A246="","",A246&amp;"|"&amp;D246)</f>
        <v/>
      </c>
      <c r="F246" s="5" t="inlineStr">
        <is>
          <t>Y</t>
        </is>
      </c>
      <c r="G246" s="5" t="inlineStr">
        <is>
          <t>GC</t>
        </is>
      </c>
      <c r="H246" s="5" t="inlineStr">
        <is>
          <t>Medium</t>
        </is>
      </c>
      <c r="I246" s="5" t="n">
        <v>1</v>
      </c>
      <c r="J246" s="5" t="n"/>
      <c r="K246" s="10">
        <f>IFERROR(IF(INDEX('Test catalog'!$F$2:$F$200,MATCH($AB246,'Test catalog'!$A$2:$A$200,0))="","",INDEX('Test catalog'!$F$2:$F$200,MATCH($AB246,'Test catalog'!$A$2:$A$200,0))),"")</f>
        <v/>
      </c>
      <c r="L246" s="10">
        <f>IFERROR(IF(INDEX('Test catalog'!$G$2:$G$200,MATCH($AB246,'Test catalog'!$A$2:$A$200,0))="","",INDEX('Test catalog'!$G$2:$G$200,MATCH($AB246,'Test catalog'!$A$2:$A$200,0))),"")</f>
        <v/>
      </c>
      <c r="M246" s="10">
        <f>IFERROR(IF(INDEX('Test catalog'!$H$2:$H$200,MATCH($AB246,'Test catalog'!$A$2:$A$200,0))="","",INDEX('Test catalog'!$H$2:$H$200,MATCH($AB246,'Test catalog'!$A$2:$A$200,0))),"")</f>
        <v/>
      </c>
      <c r="N246" s="10">
        <f>IFERROR(IF(INDEX('Test catalog'!$I$2:$I$200,MATCH($AB246,'Test catalog'!$A$2:$A$200,0))="","",INDEX('Test catalog'!$I$2:$I$200,MATCH($AB246,'Test catalog'!$A$2:$A$200,0))),"")</f>
        <v/>
      </c>
      <c r="O246" s="10">
        <f>IFERROR(IF(INDEX('Test catalog'!$J$2:$J$200,MATCH($AB246,'Test catalog'!$A$2:$A$200,0))="","",INDEX('Test catalog'!$J$2:$J$200,MATCH($AB246,'Test catalog'!$A$2:$A$200,0))),"")</f>
        <v/>
      </c>
      <c r="P246" s="14">
        <f>IF(N246="","",IF(OR(M246="",O246=""),N246,(M246+4*N246+O246)/6))</f>
        <v/>
      </c>
      <c r="Q246" s="10">
        <f>IFERROR(IF(INDEX('Test catalog'!$K$2:$K$200,MATCH($AB246,'Test catalog'!$A$2:$A$200,0))="","",INDEX('Test catalog'!$K$2:$K$200,MATCH($AB246,'Test catalog'!$A$2:$A$200,0))),"")</f>
        <v/>
      </c>
      <c r="R246" s="5" t="n"/>
      <c r="S246" s="10">
        <f>IFERROR(IF(INDEX('Test catalog'!$L$2:$L$200,MATCH($AB246,'Test catalog'!$A$2:$A$200,0))="","",INDEX('Test catalog'!$L$2:$L$200,MATCH($AB246,'Test catalog'!$A$2:$A$200,0))),"")</f>
        <v/>
      </c>
      <c r="T246" s="10">
        <f>IFERROR(IF(INDEX('Test catalog'!$M$2:$M$200,MATCH($AB246,'Test catalog'!$A$2:$A$200,0))="","",INDEX('Test catalog'!$M$2:$M$200,MATCH($AB246,'Test catalog'!$A$2:$A$200,0))),"")</f>
        <v/>
      </c>
      <c r="U246" s="10">
        <f>IFERROR(IF(INDEX('Test catalog'!$N$2:$N$200,MATCH($AB246,'Test catalog'!$A$2:$A$200,0))="","",INDEX('Test catalog'!$N$2:$N$200,MATCH($AB246,'Test catalog'!$A$2:$A$200,0))),"")</f>
        <v/>
      </c>
      <c r="V246" s="15" t="n"/>
      <c r="W246" s="5" t="inlineStr">
        <is>
          <t>N</t>
        </is>
      </c>
      <c r="X246" s="5" t="n"/>
      <c r="Y246" s="5" t="n"/>
      <c r="Z246" s="5" t="n"/>
      <c r="AA246" s="10">
        <f>IFERROR(IF(INDEX('Test catalog'!$O$2:$O$200,MATCH($AB246,'Test catalog'!$A$2:$A$200,0))="","",INDEX('Test catalog'!$O$2:$O$200,MATCH($AB246,'Test catalog'!$A$2:$A$200,0))),"")</f>
        <v/>
      </c>
      <c r="AB246" s="10" t="inlineStr">
        <is>
          <t>RS_GC</t>
        </is>
      </c>
      <c r="AC246" s="10" t="inlineStr">
        <is>
          <t>Powdered Garcinia Hydroxycitrate Extract · Specific Tests &lt;565&gt;</t>
        </is>
      </c>
      <c r="AD246" s="10" t="n"/>
      <c r="AE246" s="10" t="n"/>
    </row>
    <row r="247">
      <c r="A247" s="10" t="inlineStr">
        <is>
          <t>Gentian Dry Extract 4:1</t>
        </is>
      </c>
      <c r="B247" s="10" t="inlineStr">
        <is>
          <t>RM</t>
        </is>
      </c>
      <c r="C247" s="10" t="inlineStr">
        <is>
          <t>Active</t>
        </is>
      </c>
      <c r="D247" s="10" t="inlineStr">
        <is>
          <t>Assay + related substances</t>
        </is>
      </c>
      <c r="E247" s="10">
        <f>IF(A247="","",A247&amp;"|"&amp;D247)</f>
        <v/>
      </c>
      <c r="F247" s="5" t="inlineStr">
        <is>
          <t>Y</t>
        </is>
      </c>
      <c r="G247" s="5" t="inlineStr">
        <is>
          <t>HPLC</t>
        </is>
      </c>
      <c r="H247" s="5" t="inlineStr">
        <is>
          <t>Medium</t>
        </is>
      </c>
      <c r="I247" s="5" t="n">
        <v>1</v>
      </c>
      <c r="J247" s="5" t="n"/>
      <c r="K247" s="5" t="n"/>
      <c r="L247" s="5" t="n"/>
      <c r="M247" s="5" t="n"/>
      <c r="N247" s="5" t="n"/>
      <c r="O247" s="5" t="n"/>
      <c r="P247" s="14">
        <f>IF(N247="","",IF(OR(M247="",O247=""),N247,(M247+4*N247+O247)/6))</f>
        <v/>
      </c>
      <c r="Q247" s="5" t="n"/>
      <c r="R247" s="5" t="n"/>
      <c r="S247" s="5" t="n"/>
      <c r="T247" s="5" t="n"/>
      <c r="U247" s="5" t="n"/>
      <c r="V247" s="15" t="n"/>
      <c r="W247" s="5" t="inlineStr">
        <is>
          <t>N</t>
        </is>
      </c>
      <c r="X247" s="5" t="n"/>
      <c r="Y247" s="5" t="n"/>
      <c r="Z247" s="5" t="n"/>
      <c r="AA247" s="5" t="n"/>
      <c r="AB247" s="10" t="n"/>
      <c r="AC247" s="10" t="n"/>
      <c r="AD247" s="10" t="inlineStr">
        <is>
          <t>No USP-NF monograph - in-house / supplier spec</t>
        </is>
      </c>
      <c r="AE247" s="10" t="n">
        <v>0.5</v>
      </c>
      <c r="AF247" s="10" t="inlineStr">
        <is>
          <t>Identification(TLC)</t>
        </is>
      </c>
    </row>
    <row r="248">
      <c r="A248" s="10" t="inlineStr">
        <is>
          <t>Gentian Dry Extract 4:1</t>
        </is>
      </c>
      <c r="B248" s="10" t="inlineStr">
        <is>
          <t>RM</t>
        </is>
      </c>
      <c r="C248" s="10" t="inlineStr">
        <is>
          <t>Active</t>
        </is>
      </c>
      <c r="D248" s="10" t="inlineStr">
        <is>
          <t>Other compendial tests (ID, LOD/KF, heavy metals...)</t>
        </is>
      </c>
      <c r="E248" s="10">
        <f>IF(A248="","",A248&amp;"|"&amp;D248)</f>
        <v/>
      </c>
      <c r="F248" s="5" t="inlineStr">
        <is>
          <t>Y</t>
        </is>
      </c>
      <c r="G248" s="5" t="inlineStr">
        <is>
          <t>Other / bench</t>
        </is>
      </c>
      <c r="H248" s="5" t="inlineStr">
        <is>
          <t>Low</t>
        </is>
      </c>
      <c r="I248" s="5" t="n">
        <v>1</v>
      </c>
      <c r="J248" s="5" t="n"/>
      <c r="K248" s="5" t="n"/>
      <c r="L248" s="5" t="n"/>
      <c r="M248" s="5" t="n"/>
      <c r="N248" s="5" t="n"/>
      <c r="O248" s="5" t="n"/>
      <c r="P248" s="14">
        <f>IF(N248="","",IF(OR(M248="",O248=""),N248,(M248+4*N248+O248)/6))</f>
        <v/>
      </c>
      <c r="Q248" s="5" t="n"/>
      <c r="R248" s="5" t="n"/>
      <c r="S248" s="5" t="n"/>
      <c r="T248" s="5" t="n"/>
      <c r="U248" s="5" t="n"/>
      <c r="V248" s="15" t="n"/>
      <c r="W248" s="5" t="inlineStr">
        <is>
          <t>N</t>
        </is>
      </c>
      <c r="X248" s="5" t="n"/>
      <c r="Y248" s="5" t="n"/>
      <c r="Z248" s="5" t="n"/>
      <c r="AA248" s="5" t="n"/>
      <c r="AB248" s="10" t="n"/>
      <c r="AC248" s="10" t="n"/>
      <c r="AD248" s="10" t="inlineStr">
        <is>
          <t>No USP-NF monograph - in-house / supplier spec</t>
        </is>
      </c>
      <c r="AE248" s="10" t="n">
        <v>3.07</v>
      </c>
      <c r="AF248" s="10" t="inlineStr">
        <is>
          <t>Appearance- Colour- Odour- Particle size- Loss on drying- Ash content</t>
        </is>
      </c>
    </row>
    <row r="249">
      <c r="A249" s="10" t="inlineStr">
        <is>
          <t>Ginger Dry Extract 10:1</t>
        </is>
      </c>
      <c r="B249" s="10" t="inlineStr">
        <is>
          <t>RM</t>
        </is>
      </c>
      <c r="C249" s="10" t="inlineStr">
        <is>
          <t>Active</t>
        </is>
      </c>
      <c r="D249" s="10" t="inlineStr">
        <is>
          <t>Assay + related substances</t>
        </is>
      </c>
      <c r="E249" s="10">
        <f>IF(A249="","",A249&amp;"|"&amp;D249)</f>
        <v/>
      </c>
      <c r="F249" s="5" t="inlineStr">
        <is>
          <t>Y</t>
        </is>
      </c>
      <c r="G249" s="5" t="inlineStr">
        <is>
          <t>HPLC</t>
        </is>
      </c>
      <c r="H249" s="5" t="inlineStr">
        <is>
          <t>Medium</t>
        </is>
      </c>
      <c r="I249" s="5" t="n">
        <v>1</v>
      </c>
      <c r="J249" s="5" t="n"/>
      <c r="K249" s="5" t="n"/>
      <c r="L249" s="5" t="n"/>
      <c r="M249" s="5" t="n"/>
      <c r="N249" s="5" t="n"/>
      <c r="O249" s="5" t="n"/>
      <c r="P249" s="14">
        <f>IF(N249="","",IF(OR(M249="",O249=""),N249,(M249+4*N249+O249)/6))</f>
        <v/>
      </c>
      <c r="Q249" s="5" t="n"/>
      <c r="R249" s="5" t="n"/>
      <c r="S249" s="5" t="n"/>
      <c r="T249" s="5" t="n"/>
      <c r="U249" s="5" t="n"/>
      <c r="V249" s="15" t="n"/>
      <c r="W249" s="5" t="inlineStr">
        <is>
          <t>N</t>
        </is>
      </c>
      <c r="X249" s="5" t="n"/>
      <c r="Y249" s="5" t="n"/>
      <c r="Z249" s="5" t="n"/>
      <c r="AA249" s="5" t="n"/>
      <c r="AB249" s="10" t="n"/>
      <c r="AC249" s="10" t="n"/>
      <c r="AD249" s="10" t="inlineStr">
        <is>
          <t>No USP-NF monograph - in-house / supplier spec</t>
        </is>
      </c>
      <c r="AE249" s="10" t="n"/>
      <c r="AF249" s="10" t="n"/>
    </row>
    <row r="250">
      <c r="A250" s="10" t="inlineStr">
        <is>
          <t>Ginger Dry Extract 10:1</t>
        </is>
      </c>
      <c r="B250" s="10" t="inlineStr">
        <is>
          <t>RM</t>
        </is>
      </c>
      <c r="C250" s="10" t="inlineStr">
        <is>
          <t>Active</t>
        </is>
      </c>
      <c r="D250" s="10" t="inlineStr">
        <is>
          <t>Other compendial tests (ID, LOD/KF, heavy metals...)</t>
        </is>
      </c>
      <c r="E250" s="10">
        <f>IF(A250="","",A250&amp;"|"&amp;D250)</f>
        <v/>
      </c>
      <c r="F250" s="5" t="inlineStr">
        <is>
          <t>Y</t>
        </is>
      </c>
      <c r="G250" s="5" t="inlineStr">
        <is>
          <t>Other / bench</t>
        </is>
      </c>
      <c r="H250" s="5" t="inlineStr">
        <is>
          <t>Low</t>
        </is>
      </c>
      <c r="I250" s="5" t="n">
        <v>1</v>
      </c>
      <c r="J250" s="5" t="n"/>
      <c r="K250" s="5" t="n"/>
      <c r="L250" s="5" t="n"/>
      <c r="M250" s="5" t="n"/>
      <c r="N250" s="5" t="n"/>
      <c r="O250" s="5" t="n"/>
      <c r="P250" s="14">
        <f>IF(N250="","",IF(OR(M250="",O250=""),N250,(M250+4*N250+O250)/6))</f>
        <v/>
      </c>
      <c r="Q250" s="5" t="n"/>
      <c r="R250" s="5" t="n"/>
      <c r="S250" s="5" t="n"/>
      <c r="T250" s="5" t="n"/>
      <c r="U250" s="5" t="n"/>
      <c r="V250" s="15" t="n"/>
      <c r="W250" s="5" t="inlineStr">
        <is>
          <t>N</t>
        </is>
      </c>
      <c r="X250" s="5" t="n"/>
      <c r="Y250" s="5" t="n"/>
      <c r="Z250" s="5" t="n"/>
      <c r="AA250" s="5" t="n"/>
      <c r="AB250" s="10" t="n"/>
      <c r="AC250" s="10" t="n"/>
      <c r="AD250" s="10" t="inlineStr">
        <is>
          <t>No USP-NF monograph - in-house / supplier spec</t>
        </is>
      </c>
      <c r="AE250" s="10" t="n"/>
      <c r="AF250" s="10" t="n"/>
    </row>
    <row r="251">
      <c r="A251" s="10" t="inlineStr">
        <is>
          <t>Ginger Dry Extract 5:1</t>
        </is>
      </c>
      <c r="B251" s="10" t="inlineStr">
        <is>
          <t>RM</t>
        </is>
      </c>
      <c r="C251" s="10" t="inlineStr">
        <is>
          <t>Active</t>
        </is>
      </c>
      <c r="D251" s="10" t="inlineStr">
        <is>
          <t>Assay + related substances</t>
        </is>
      </c>
      <c r="E251" s="10">
        <f>IF(A251="","",A251&amp;"|"&amp;D251)</f>
        <v/>
      </c>
      <c r="F251" s="5" t="inlineStr">
        <is>
          <t>Y</t>
        </is>
      </c>
      <c r="G251" s="5" t="inlineStr">
        <is>
          <t>HPLC</t>
        </is>
      </c>
      <c r="H251" s="5" t="inlineStr">
        <is>
          <t>Medium</t>
        </is>
      </c>
      <c r="I251" s="5" t="n">
        <v>1</v>
      </c>
      <c r="J251" s="5" t="n"/>
      <c r="K251" s="5" t="n"/>
      <c r="L251" s="5" t="n"/>
      <c r="M251" s="5" t="n"/>
      <c r="N251" s="5" t="n"/>
      <c r="O251" s="5" t="n"/>
      <c r="P251" s="14">
        <f>IF(N251="","",IF(OR(M251="",O251=""),N251,(M251+4*N251+O251)/6))</f>
        <v/>
      </c>
      <c r="Q251" s="5" t="n"/>
      <c r="R251" s="5" t="n"/>
      <c r="S251" s="5" t="n"/>
      <c r="T251" s="5" t="n"/>
      <c r="U251" s="5" t="n"/>
      <c r="V251" s="15" t="n"/>
      <c r="W251" s="5" t="inlineStr">
        <is>
          <t>N</t>
        </is>
      </c>
      <c r="X251" s="5" t="n"/>
      <c r="Y251" s="5" t="n"/>
      <c r="Z251" s="5" t="n"/>
      <c r="AA251" s="5" t="n"/>
      <c r="AB251" s="10" t="n"/>
      <c r="AC251" s="10" t="n"/>
      <c r="AD251" s="10" t="inlineStr">
        <is>
          <t>No USP-NF monograph - in-house / supplier spec</t>
        </is>
      </c>
      <c r="AE251" s="10" t="n">
        <v>0.5</v>
      </c>
      <c r="AF251" s="10" t="inlineStr">
        <is>
          <t>Identification</t>
        </is>
      </c>
    </row>
    <row r="252">
      <c r="A252" s="10" t="inlineStr">
        <is>
          <t>Ginger Dry Extract 5:1</t>
        </is>
      </c>
      <c r="B252" s="10" t="inlineStr">
        <is>
          <t>RM</t>
        </is>
      </c>
      <c r="C252" s="10" t="inlineStr">
        <is>
          <t>Active</t>
        </is>
      </c>
      <c r="D252" s="10" t="inlineStr">
        <is>
          <t>Other compendial tests (ID, LOD/KF, heavy metals...)</t>
        </is>
      </c>
      <c r="E252" s="10">
        <f>IF(A252="","",A252&amp;"|"&amp;D252)</f>
        <v/>
      </c>
      <c r="F252" s="5" t="inlineStr">
        <is>
          <t>Y</t>
        </is>
      </c>
      <c r="G252" s="5" t="inlineStr">
        <is>
          <t>Other / bench</t>
        </is>
      </c>
      <c r="H252" s="5" t="inlineStr">
        <is>
          <t>Low</t>
        </is>
      </c>
      <c r="I252" s="5" t="n">
        <v>1</v>
      </c>
      <c r="J252" s="5" t="n"/>
      <c r="K252" s="5" t="n"/>
      <c r="L252" s="5" t="n"/>
      <c r="M252" s="5" t="n"/>
      <c r="N252" s="5" t="n"/>
      <c r="O252" s="5" t="n"/>
      <c r="P252" s="14">
        <f>IF(N252="","",IF(OR(M252="",O252=""),N252,(M252+4*N252+O252)/6))</f>
        <v/>
      </c>
      <c r="Q252" s="5" t="n"/>
      <c r="R252" s="5" t="n"/>
      <c r="S252" s="5" t="n"/>
      <c r="T252" s="5" t="n"/>
      <c r="U252" s="5" t="n"/>
      <c r="V252" s="15" t="n"/>
      <c r="W252" s="5" t="inlineStr">
        <is>
          <t>N</t>
        </is>
      </c>
      <c r="X252" s="5" t="n"/>
      <c r="Y252" s="5" t="n"/>
      <c r="Z252" s="5" t="n"/>
      <c r="AA252" s="5" t="n"/>
      <c r="AB252" s="10" t="n"/>
      <c r="AC252" s="10" t="n"/>
      <c r="AD252" s="10" t="inlineStr">
        <is>
          <t>No USP-NF monograph - in-house / supplier spec</t>
        </is>
      </c>
      <c r="AE252" s="10" t="n">
        <v>3.07</v>
      </c>
      <c r="AF252" s="10" t="inlineStr">
        <is>
          <t>Appearance- Colour- Odour- Particle Size- Loss on drying- Ash content</t>
        </is>
      </c>
    </row>
    <row r="253">
      <c r="A253" s="10" t="inlineStr">
        <is>
          <t>Ginkgo Biloba Leaf Dry Extract 50:1</t>
        </is>
      </c>
      <c r="B253" s="10" t="inlineStr">
        <is>
          <t>RM</t>
        </is>
      </c>
      <c r="C253" s="10" t="inlineStr">
        <is>
          <t>Active</t>
        </is>
      </c>
      <c r="D253" s="10" t="inlineStr">
        <is>
          <t>Appearance / description and solubility</t>
        </is>
      </c>
      <c r="E253" s="10">
        <f>IF(A253="","",A253&amp;"|"&amp;D253)</f>
        <v/>
      </c>
      <c r="F253" s="5" t="inlineStr">
        <is>
          <t>Y</t>
        </is>
      </c>
      <c r="G253" s="5" t="inlineStr">
        <is>
          <t>Other / bench</t>
        </is>
      </c>
      <c r="H253" s="5" t="inlineStr">
        <is>
          <t>Low</t>
        </is>
      </c>
      <c r="I253" s="5" t="n">
        <v>1</v>
      </c>
      <c r="J253" s="5" t="n"/>
      <c r="K253" s="10">
        <f>IFERROR(IF(INDEX('Test catalog'!$F$2:$F$200,MATCH($AB253,'Test catalog'!$A$2:$A$200,0))="","",INDEX('Test catalog'!$F$2:$F$200,MATCH($AB253,'Test catalog'!$A$2:$A$200,0))),"")</f>
        <v/>
      </c>
      <c r="L253" s="10">
        <f>IFERROR(IF(INDEX('Test catalog'!$G$2:$G$200,MATCH($AB253,'Test catalog'!$A$2:$A$200,0))="","",INDEX('Test catalog'!$G$2:$G$200,MATCH($AB253,'Test catalog'!$A$2:$A$200,0))),"")</f>
        <v/>
      </c>
      <c r="M253" s="10">
        <f>IFERROR(IF(INDEX('Test catalog'!$H$2:$H$200,MATCH($AB253,'Test catalog'!$A$2:$A$200,0))="","",INDEX('Test catalog'!$H$2:$H$200,MATCH($AB253,'Test catalog'!$A$2:$A$200,0))),"")</f>
        <v/>
      </c>
      <c r="N253" s="10">
        <f>IFERROR(IF(INDEX('Test catalog'!$I$2:$I$200,MATCH($AB253,'Test catalog'!$A$2:$A$200,0))="","",INDEX('Test catalog'!$I$2:$I$200,MATCH($AB253,'Test catalog'!$A$2:$A$200,0))),"")</f>
        <v/>
      </c>
      <c r="O253" s="10">
        <f>IFERROR(IF(INDEX('Test catalog'!$J$2:$J$200,MATCH($AB253,'Test catalog'!$A$2:$A$200,0))="","",INDEX('Test catalog'!$J$2:$J$200,MATCH($AB253,'Test catalog'!$A$2:$A$200,0))),"")</f>
        <v/>
      </c>
      <c r="P253" s="14">
        <f>IF(N253="","",IF(OR(M253="",O253=""),N253,(M253+4*N253+O253)/6))</f>
        <v/>
      </c>
      <c r="Q253" s="10">
        <f>IFERROR(IF(INDEX('Test catalog'!$K$2:$K$200,MATCH($AB253,'Test catalog'!$A$2:$A$200,0))="","",INDEX('Test catalog'!$K$2:$K$200,MATCH($AB253,'Test catalog'!$A$2:$A$200,0))),"")</f>
        <v/>
      </c>
      <c r="R253" s="5" t="n"/>
      <c r="S253" s="10">
        <f>IFERROR(IF(INDEX('Test catalog'!$L$2:$L$200,MATCH($AB253,'Test catalog'!$A$2:$A$200,0))="","",INDEX('Test catalog'!$L$2:$L$200,MATCH($AB253,'Test catalog'!$A$2:$A$200,0))),"")</f>
        <v/>
      </c>
      <c r="T253" s="10">
        <f>IFERROR(IF(INDEX('Test catalog'!$M$2:$M$200,MATCH($AB253,'Test catalog'!$A$2:$A$200,0))="","",INDEX('Test catalog'!$M$2:$M$200,MATCH($AB253,'Test catalog'!$A$2:$A$200,0))),"")</f>
        <v/>
      </c>
      <c r="U253" s="10">
        <f>IFERROR(IF(INDEX('Test catalog'!$N$2:$N$200,MATCH($AB253,'Test catalog'!$A$2:$A$200,0))="","",INDEX('Test catalog'!$N$2:$N$200,MATCH($AB253,'Test catalog'!$A$2:$A$200,0))),"")</f>
        <v/>
      </c>
      <c r="V253" s="15" t="n"/>
      <c r="W253" s="5" t="inlineStr">
        <is>
          <t>N</t>
        </is>
      </c>
      <c r="X253" s="5" t="n"/>
      <c r="Y253" s="5" t="n"/>
      <c r="Z253" s="5" t="n"/>
      <c r="AA253" s="10">
        <f>IFERROR(IF(INDEX('Test catalog'!$O$2:$O$200,MATCH($AB253,'Test catalog'!$A$2:$A$200,0))="","",INDEX('Test catalog'!$O$2:$O$200,MATCH($AB253,'Test catalog'!$A$2:$A$200,0))),"")</f>
        <v/>
      </c>
      <c r="AB253" s="10" t="inlineStr">
        <is>
          <t>APPEAR</t>
        </is>
      </c>
      <c r="AC253" s="10" t="inlineStr">
        <is>
          <t>Lab practice (not a USP test)</t>
        </is>
      </c>
      <c r="AD253" s="10" t="n"/>
      <c r="AE253" s="10" t="n"/>
    </row>
    <row r="254">
      <c r="A254" s="10" t="inlineStr">
        <is>
          <t>Ginkgo Biloba Leaf Dry Extract 50:1</t>
        </is>
      </c>
      <c r="B254" s="10" t="inlineStr">
        <is>
          <t>RM</t>
        </is>
      </c>
      <c r="C254" s="10" t="inlineStr">
        <is>
          <t>Active</t>
        </is>
      </c>
      <c r="D254" s="10" t="inlineStr">
        <is>
          <t>ID A - TLC</t>
        </is>
      </c>
      <c r="E254" s="10">
        <f>IF(A254="","",A254&amp;"|"&amp;D254)</f>
        <v/>
      </c>
      <c r="F254" s="5" t="inlineStr">
        <is>
          <t>Y</t>
        </is>
      </c>
      <c r="G254" s="5" t="inlineStr">
        <is>
          <t>Other / bench</t>
        </is>
      </c>
      <c r="H254" s="5" t="inlineStr">
        <is>
          <t>Low</t>
        </is>
      </c>
      <c r="I254" s="5" t="n">
        <v>1</v>
      </c>
      <c r="J254" s="5" t="n"/>
      <c r="K254" s="10">
        <f>IFERROR(IF(INDEX('Test catalog'!$F$2:$F$200,MATCH($AB254,'Test catalog'!$A$2:$A$200,0))="","",INDEX('Test catalog'!$F$2:$F$200,MATCH($AB254,'Test catalog'!$A$2:$A$200,0))),"")</f>
        <v/>
      </c>
      <c r="L254" s="10">
        <f>IFERROR(IF(INDEX('Test catalog'!$G$2:$G$200,MATCH($AB254,'Test catalog'!$A$2:$A$200,0))="","",INDEX('Test catalog'!$G$2:$G$200,MATCH($AB254,'Test catalog'!$A$2:$A$200,0))),"")</f>
        <v/>
      </c>
      <c r="M254" s="10">
        <f>IFERROR(IF(INDEX('Test catalog'!$H$2:$H$200,MATCH($AB254,'Test catalog'!$A$2:$A$200,0))="","",INDEX('Test catalog'!$H$2:$H$200,MATCH($AB254,'Test catalog'!$A$2:$A$200,0))),"")</f>
        <v/>
      </c>
      <c r="N254" s="10">
        <f>IFERROR(IF(INDEX('Test catalog'!$I$2:$I$200,MATCH($AB254,'Test catalog'!$A$2:$A$200,0))="","",INDEX('Test catalog'!$I$2:$I$200,MATCH($AB254,'Test catalog'!$A$2:$A$200,0))),"")</f>
        <v/>
      </c>
      <c r="O254" s="10">
        <f>IFERROR(IF(INDEX('Test catalog'!$J$2:$J$200,MATCH($AB254,'Test catalog'!$A$2:$A$200,0))="","",INDEX('Test catalog'!$J$2:$J$200,MATCH($AB254,'Test catalog'!$A$2:$A$200,0))),"")</f>
        <v/>
      </c>
      <c r="P254" s="14">
        <f>IF(N254="","",IF(OR(M254="",O254=""),N254,(M254+4*N254+O254)/6))</f>
        <v/>
      </c>
      <c r="Q254" s="10">
        <f>IFERROR(IF(INDEX('Test catalog'!$K$2:$K$200,MATCH($AB254,'Test catalog'!$A$2:$A$200,0))="","",INDEX('Test catalog'!$K$2:$K$200,MATCH($AB254,'Test catalog'!$A$2:$A$200,0))),"")</f>
        <v/>
      </c>
      <c r="R254" s="5" t="n"/>
      <c r="S254" s="10">
        <f>IFERROR(IF(INDEX('Test catalog'!$L$2:$L$200,MATCH($AB254,'Test catalog'!$A$2:$A$200,0))="","",INDEX('Test catalog'!$L$2:$L$200,MATCH($AB254,'Test catalog'!$A$2:$A$200,0))),"")</f>
        <v/>
      </c>
      <c r="T254" s="10">
        <f>IFERROR(IF(INDEX('Test catalog'!$M$2:$M$200,MATCH($AB254,'Test catalog'!$A$2:$A$200,0))="","",INDEX('Test catalog'!$M$2:$M$200,MATCH($AB254,'Test catalog'!$A$2:$A$200,0))),"")</f>
        <v/>
      </c>
      <c r="U254" s="10">
        <f>IFERROR(IF(INDEX('Test catalog'!$N$2:$N$200,MATCH($AB254,'Test catalog'!$A$2:$A$200,0))="","",INDEX('Test catalog'!$N$2:$N$200,MATCH($AB254,'Test catalog'!$A$2:$A$200,0))),"")</f>
        <v/>
      </c>
      <c r="V254" s="15" t="n"/>
      <c r="W254" s="5" t="inlineStr">
        <is>
          <t>N</t>
        </is>
      </c>
      <c r="X254" s="5" t="n"/>
      <c r="Y254" s="5" t="n"/>
      <c r="Z254" s="5" t="n"/>
      <c r="AA254" s="10">
        <f>IFERROR(IF(INDEX('Test catalog'!$O$2:$O$200,MATCH($AB254,'Test catalog'!$A$2:$A$200,0))="","",INDEX('Test catalog'!$O$2:$O$200,MATCH($AB254,'Test catalog'!$A$2:$A$200,0))),"")</f>
        <v/>
      </c>
      <c r="AB254" s="10" t="inlineStr">
        <is>
          <t>TLC</t>
        </is>
      </c>
      <c r="AC254" s="10" t="inlineStr">
        <is>
          <t>Powdered Ginkgo Extract · Identification &lt;201&gt;</t>
        </is>
      </c>
      <c r="AD254" s="10" t="n"/>
      <c r="AE254" s="10" t="n"/>
    </row>
    <row r="255">
      <c r="A255" s="10" t="inlineStr">
        <is>
          <t>Ginkgo Biloba Leaf Dry Extract 50:1</t>
        </is>
      </c>
      <c r="B255" s="10" t="inlineStr">
        <is>
          <t>RM</t>
        </is>
      </c>
      <c r="C255" s="10" t="inlineStr">
        <is>
          <t>Active</t>
        </is>
      </c>
      <c r="D255" s="10" t="inlineStr">
        <is>
          <t>Content of Flavonol Glycosides (HPLC)</t>
        </is>
      </c>
      <c r="E255" s="10">
        <f>IF(A255="","",A255&amp;"|"&amp;D255)</f>
        <v/>
      </c>
      <c r="F255" s="5" t="inlineStr">
        <is>
          <t>Y</t>
        </is>
      </c>
      <c r="G255" s="5" t="inlineStr">
        <is>
          <t>HPLC</t>
        </is>
      </c>
      <c r="H255" s="5" t="inlineStr">
        <is>
          <t>Medium</t>
        </is>
      </c>
      <c r="I255" s="5" t="n">
        <v>1</v>
      </c>
      <c r="J255" s="5" t="n"/>
      <c r="K255" s="5" t="n"/>
      <c r="L255" s="5" t="n"/>
      <c r="M255" s="5" t="n"/>
      <c r="N255" s="5" t="n"/>
      <c r="O255" s="5" t="n"/>
      <c r="P255" s="14">
        <f>IF(N255="","",IF(OR(M255="",O255=""),N255,(M255+4*N255+O255)/6))</f>
        <v/>
      </c>
      <c r="Q255" s="5" t="n"/>
      <c r="R255" s="5" t="n"/>
      <c r="S255" s="5" t="n"/>
      <c r="T255" s="5" t="n"/>
      <c r="U255" s="5" t="n"/>
      <c r="V255" s="15" t="n"/>
      <c r="W255" s="5" t="inlineStr">
        <is>
          <t>N</t>
        </is>
      </c>
      <c r="X255" s="5" t="n"/>
      <c r="Y255" s="5" t="n"/>
      <c r="Z255" s="5" t="n"/>
      <c r="AA255" s="5" t="n"/>
      <c r="AB255" s="10" t="n"/>
      <c r="AC255" s="10" t="inlineStr">
        <is>
          <t>Powdered Ginkgo Extract · Composition</t>
        </is>
      </c>
      <c r="AD255" s="10" t="n"/>
      <c r="AE255" s="10" t="n"/>
    </row>
    <row r="256">
      <c r="A256" s="10" t="inlineStr">
        <is>
          <t>Ginkgo Biloba Leaf Dry Extract 50:1</t>
        </is>
      </c>
      <c r="B256" s="10" t="inlineStr">
        <is>
          <t>RM</t>
        </is>
      </c>
      <c r="C256" s="10" t="inlineStr">
        <is>
          <t>Active</t>
        </is>
      </c>
      <c r="D256" s="10" t="inlineStr">
        <is>
          <t>Content of Terpene Lactones (HPLC)</t>
        </is>
      </c>
      <c r="E256" s="10">
        <f>IF(A256="","",A256&amp;"|"&amp;D256)</f>
        <v/>
      </c>
      <c r="F256" s="5" t="inlineStr">
        <is>
          <t>Y</t>
        </is>
      </c>
      <c r="G256" s="5" t="inlineStr">
        <is>
          <t>HPLC</t>
        </is>
      </c>
      <c r="H256" s="5" t="inlineStr">
        <is>
          <t>Medium</t>
        </is>
      </c>
      <c r="I256" s="5" t="n">
        <v>1</v>
      </c>
      <c r="J256" s="5" t="n"/>
      <c r="K256" s="5" t="n"/>
      <c r="L256" s="5" t="n"/>
      <c r="M256" s="5" t="n"/>
      <c r="N256" s="5" t="n"/>
      <c r="O256" s="5" t="n"/>
      <c r="P256" s="14">
        <f>IF(N256="","",IF(OR(M256="",O256=""),N256,(M256+4*N256+O256)/6))</f>
        <v/>
      </c>
      <c r="Q256" s="5" t="n"/>
      <c r="R256" s="5" t="n"/>
      <c r="S256" s="5" t="n"/>
      <c r="T256" s="5" t="n"/>
      <c r="U256" s="5" t="n"/>
      <c r="V256" s="15" t="n"/>
      <c r="W256" s="5" t="inlineStr">
        <is>
          <t>N</t>
        </is>
      </c>
      <c r="X256" s="5" t="n"/>
      <c r="Y256" s="5" t="n"/>
      <c r="Z256" s="5" t="n"/>
      <c r="AA256" s="5" t="n"/>
      <c r="AB256" s="10" t="n"/>
      <c r="AC256" s="10" t="inlineStr">
        <is>
          <t>Powdered Ginkgo Extract · Composition</t>
        </is>
      </c>
      <c r="AD256" s="10" t="n"/>
      <c r="AE256" s="10" t="n"/>
    </row>
    <row r="257">
      <c r="A257" s="10" t="inlineStr">
        <is>
          <t>Ginkgo Biloba Leaf Dry Extract 50:1</t>
        </is>
      </c>
      <c r="B257" s="10" t="inlineStr">
        <is>
          <t>RM</t>
        </is>
      </c>
      <c r="C257" s="10" t="inlineStr">
        <is>
          <t>Active</t>
        </is>
      </c>
      <c r="D257" s="10" t="inlineStr">
        <is>
          <t>Botanical Extracts</t>
        </is>
      </c>
      <c r="E257" s="10">
        <f>IF(A257="","",A257&amp;"|"&amp;D257)</f>
        <v/>
      </c>
      <c r="F257" s="5" t="inlineStr">
        <is>
          <t>Y</t>
        </is>
      </c>
      <c r="G257" s="5" t="inlineStr">
        <is>
          <t>GC</t>
        </is>
      </c>
      <c r="H257" s="5" t="inlineStr">
        <is>
          <t>Medium</t>
        </is>
      </c>
      <c r="I257" s="5" t="n">
        <v>1</v>
      </c>
      <c r="J257" s="5" t="n"/>
      <c r="K257" s="10">
        <f>IFERROR(IF(INDEX('Test catalog'!$F$2:$F$200,MATCH($AB257,'Test catalog'!$A$2:$A$200,0))="","",INDEX('Test catalog'!$F$2:$F$200,MATCH($AB257,'Test catalog'!$A$2:$A$200,0))),"")</f>
        <v/>
      </c>
      <c r="L257" s="10">
        <f>IFERROR(IF(INDEX('Test catalog'!$G$2:$G$200,MATCH($AB257,'Test catalog'!$A$2:$A$200,0))="","",INDEX('Test catalog'!$G$2:$G$200,MATCH($AB257,'Test catalog'!$A$2:$A$200,0))),"")</f>
        <v/>
      </c>
      <c r="M257" s="10">
        <f>IFERROR(IF(INDEX('Test catalog'!$H$2:$H$200,MATCH($AB257,'Test catalog'!$A$2:$A$200,0))="","",INDEX('Test catalog'!$H$2:$H$200,MATCH($AB257,'Test catalog'!$A$2:$A$200,0))),"")</f>
        <v/>
      </c>
      <c r="N257" s="10">
        <f>IFERROR(IF(INDEX('Test catalog'!$I$2:$I$200,MATCH($AB257,'Test catalog'!$A$2:$A$200,0))="","",INDEX('Test catalog'!$I$2:$I$200,MATCH($AB257,'Test catalog'!$A$2:$A$200,0))),"")</f>
        <v/>
      </c>
      <c r="O257" s="10">
        <f>IFERROR(IF(INDEX('Test catalog'!$J$2:$J$200,MATCH($AB257,'Test catalog'!$A$2:$A$200,0))="","",INDEX('Test catalog'!$J$2:$J$200,MATCH($AB257,'Test catalog'!$A$2:$A$200,0))),"")</f>
        <v/>
      </c>
      <c r="P257" s="14">
        <f>IF(N257="","",IF(OR(M257="",O257=""),N257,(M257+4*N257+O257)/6))</f>
        <v/>
      </c>
      <c r="Q257" s="10">
        <f>IFERROR(IF(INDEX('Test catalog'!$K$2:$K$200,MATCH($AB257,'Test catalog'!$A$2:$A$200,0))="","",INDEX('Test catalog'!$K$2:$K$200,MATCH($AB257,'Test catalog'!$A$2:$A$200,0))),"")</f>
        <v/>
      </c>
      <c r="R257" s="5" t="n"/>
      <c r="S257" s="10">
        <f>IFERROR(IF(INDEX('Test catalog'!$L$2:$L$200,MATCH($AB257,'Test catalog'!$A$2:$A$200,0))="","",INDEX('Test catalog'!$L$2:$L$200,MATCH($AB257,'Test catalog'!$A$2:$A$200,0))),"")</f>
        <v/>
      </c>
      <c r="T257" s="10">
        <f>IFERROR(IF(INDEX('Test catalog'!$M$2:$M$200,MATCH($AB257,'Test catalog'!$A$2:$A$200,0))="","",INDEX('Test catalog'!$M$2:$M$200,MATCH($AB257,'Test catalog'!$A$2:$A$200,0))),"")</f>
        <v/>
      </c>
      <c r="U257" s="10">
        <f>IFERROR(IF(INDEX('Test catalog'!$N$2:$N$200,MATCH($AB257,'Test catalog'!$A$2:$A$200,0))="","",INDEX('Test catalog'!$N$2:$N$200,MATCH($AB257,'Test catalog'!$A$2:$A$200,0))),"")</f>
        <v/>
      </c>
      <c r="V257" s="15" t="n"/>
      <c r="W257" s="5" t="inlineStr">
        <is>
          <t>N</t>
        </is>
      </c>
      <c r="X257" s="5" t="n"/>
      <c r="Y257" s="5" t="n"/>
      <c r="Z257" s="5" t="n"/>
      <c r="AA257" s="10">
        <f>IFERROR(IF(INDEX('Test catalog'!$O$2:$O$200,MATCH($AB257,'Test catalog'!$A$2:$A$200,0))="","",INDEX('Test catalog'!$O$2:$O$200,MATCH($AB257,'Test catalog'!$A$2:$A$200,0))),"")</f>
        <v/>
      </c>
      <c r="AB257" s="10" t="inlineStr">
        <is>
          <t>PEST</t>
        </is>
      </c>
      <c r="AC257" s="10" t="inlineStr">
        <is>
          <t>Powdered Ginkgo Extract · Contaminants &lt;565&gt;</t>
        </is>
      </c>
      <c r="AD257" s="10" t="n"/>
      <c r="AE257" s="10" t="n"/>
    </row>
    <row r="258">
      <c r="A258" s="10" t="inlineStr">
        <is>
          <t>Ginkgo Biloba Leaf Dry Extract 50:1</t>
        </is>
      </c>
      <c r="B258" s="10" t="inlineStr">
        <is>
          <t>RM</t>
        </is>
      </c>
      <c r="C258" s="10" t="inlineStr">
        <is>
          <t>Active</t>
        </is>
      </c>
      <c r="D258" s="10" t="inlineStr">
        <is>
          <t>Limit of Rutin and Quercetin (HPLC)</t>
        </is>
      </c>
      <c r="E258" s="10">
        <f>IF(A258="","",A258&amp;"|"&amp;D258)</f>
        <v/>
      </c>
      <c r="F258" s="5" t="inlineStr">
        <is>
          <t>Y</t>
        </is>
      </c>
      <c r="G258" s="5" t="inlineStr">
        <is>
          <t>HPLC</t>
        </is>
      </c>
      <c r="H258" s="5" t="inlineStr">
        <is>
          <t>Medium</t>
        </is>
      </c>
      <c r="I258" s="5" t="n">
        <v>1</v>
      </c>
      <c r="J258" s="5" t="n"/>
      <c r="K258" s="5" t="n"/>
      <c r="L258" s="5" t="n"/>
      <c r="M258" s="5" t="n"/>
      <c r="N258" s="5" t="n"/>
      <c r="O258" s="5" t="n"/>
      <c r="P258" s="14">
        <f>IF(N258="","",IF(OR(M258="",O258=""),N258,(M258+4*N258+O258)/6))</f>
        <v/>
      </c>
      <c r="Q258" s="5" t="n"/>
      <c r="R258" s="5" t="n"/>
      <c r="S258" s="5" t="n"/>
      <c r="T258" s="5" t="n"/>
      <c r="U258" s="5" t="n"/>
      <c r="V258" s="15" t="n"/>
      <c r="W258" s="5" t="inlineStr">
        <is>
          <t>N</t>
        </is>
      </c>
      <c r="X258" s="5" t="n"/>
      <c r="Y258" s="5" t="n"/>
      <c r="Z258" s="5" t="n"/>
      <c r="AA258" s="5" t="n"/>
      <c r="AB258" s="10" t="n"/>
      <c r="AC258" s="10" t="inlineStr">
        <is>
          <t>Powdered Ginkgo Extract · Specific Tests</t>
        </is>
      </c>
      <c r="AD258" s="10" t="n"/>
      <c r="AE258" s="10" t="n"/>
    </row>
    <row r="259">
      <c r="A259" s="10" t="inlineStr">
        <is>
          <t>Ginkgo Biloba Leaf Dry Extract 50:1</t>
        </is>
      </c>
      <c r="B259" s="10" t="inlineStr">
        <is>
          <t>RM</t>
        </is>
      </c>
      <c r="C259" s="10" t="inlineStr">
        <is>
          <t>Active</t>
        </is>
      </c>
      <c r="D259" s="10" t="inlineStr">
        <is>
          <t>Limit of Ginkgolic Acids (HPLC)</t>
        </is>
      </c>
      <c r="E259" s="10">
        <f>IF(A259="","",A259&amp;"|"&amp;D259)</f>
        <v/>
      </c>
      <c r="F259" s="5" t="inlineStr">
        <is>
          <t>Y</t>
        </is>
      </c>
      <c r="G259" s="5" t="inlineStr">
        <is>
          <t>HPLC</t>
        </is>
      </c>
      <c r="H259" s="5" t="inlineStr">
        <is>
          <t>Medium</t>
        </is>
      </c>
      <c r="I259" s="5" t="n">
        <v>1</v>
      </c>
      <c r="J259" s="5" t="n"/>
      <c r="K259" s="5" t="n"/>
      <c r="L259" s="5" t="n"/>
      <c r="M259" s="5" t="n"/>
      <c r="N259" s="5" t="n"/>
      <c r="O259" s="5" t="n"/>
      <c r="P259" s="14">
        <f>IF(N259="","",IF(OR(M259="",O259=""),N259,(M259+4*N259+O259)/6))</f>
        <v/>
      </c>
      <c r="Q259" s="5" t="n"/>
      <c r="R259" s="5" t="n"/>
      <c r="S259" s="5" t="n"/>
      <c r="T259" s="5" t="n"/>
      <c r="U259" s="5" t="n"/>
      <c r="V259" s="15" t="n"/>
      <c r="W259" s="5" t="inlineStr">
        <is>
          <t>N</t>
        </is>
      </c>
      <c r="X259" s="5" t="n"/>
      <c r="Y259" s="5" t="n"/>
      <c r="Z259" s="5" t="n"/>
      <c r="AA259" s="5" t="n"/>
      <c r="AB259" s="10" t="n"/>
      <c r="AC259" s="10" t="inlineStr">
        <is>
          <t>Powdered Ginkgo Extract · Specific Tests</t>
        </is>
      </c>
      <c r="AD259" s="10" t="n"/>
      <c r="AE259" s="10" t="n"/>
    </row>
    <row r="260">
      <c r="A260" s="10" t="inlineStr">
        <is>
          <t>Ginkgo Biloba Leaf Dry Extract 50:1</t>
        </is>
      </c>
      <c r="B260" s="10" t="inlineStr">
        <is>
          <t>RM</t>
        </is>
      </c>
      <c r="C260" s="10" t="inlineStr">
        <is>
          <t>Active</t>
        </is>
      </c>
      <c r="D260" s="10" t="inlineStr">
        <is>
          <t>Loss on Drying</t>
        </is>
      </c>
      <c r="E260" s="10">
        <f>IF(A260="","",A260&amp;"|"&amp;D260)</f>
        <v/>
      </c>
      <c r="F260" s="5" t="inlineStr">
        <is>
          <t>Y</t>
        </is>
      </c>
      <c r="G260" s="5" t="inlineStr">
        <is>
          <t>Other / bench</t>
        </is>
      </c>
      <c r="H260" s="5" t="inlineStr">
        <is>
          <t>Low</t>
        </is>
      </c>
      <c r="I260" s="5" t="n">
        <v>1</v>
      </c>
      <c r="J260" s="5" t="n"/>
      <c r="K260" s="10">
        <f>IFERROR(IF(INDEX('Test catalog'!$F$2:$F$200,MATCH($AB260,'Test catalog'!$A$2:$A$200,0))="","",INDEX('Test catalog'!$F$2:$F$200,MATCH($AB260,'Test catalog'!$A$2:$A$200,0))),"")</f>
        <v/>
      </c>
      <c r="L260" s="10">
        <f>IFERROR(IF(INDEX('Test catalog'!$G$2:$G$200,MATCH($AB260,'Test catalog'!$A$2:$A$200,0))="","",INDEX('Test catalog'!$G$2:$G$200,MATCH($AB260,'Test catalog'!$A$2:$A$200,0))),"")</f>
        <v/>
      </c>
      <c r="M260" s="10">
        <f>IFERROR(IF(INDEX('Test catalog'!$H$2:$H$200,MATCH($AB260,'Test catalog'!$A$2:$A$200,0))="","",INDEX('Test catalog'!$H$2:$H$200,MATCH($AB260,'Test catalog'!$A$2:$A$200,0))),"")</f>
        <v/>
      </c>
      <c r="N260" s="10">
        <f>IFERROR(IF(INDEX('Test catalog'!$I$2:$I$200,MATCH($AB260,'Test catalog'!$A$2:$A$200,0))="","",INDEX('Test catalog'!$I$2:$I$200,MATCH($AB260,'Test catalog'!$A$2:$A$200,0))),"")</f>
        <v/>
      </c>
      <c r="O260" s="10">
        <f>IFERROR(IF(INDEX('Test catalog'!$J$2:$J$200,MATCH($AB260,'Test catalog'!$A$2:$A$200,0))="","",INDEX('Test catalog'!$J$2:$J$200,MATCH($AB260,'Test catalog'!$A$2:$A$200,0))),"")</f>
        <v/>
      </c>
      <c r="P260" s="14">
        <f>IF(N260="","",IF(OR(M260="",O260=""),N260,(M260+4*N260+O260)/6))</f>
        <v/>
      </c>
      <c r="Q260" s="10">
        <f>IFERROR(IF(INDEX('Test catalog'!$K$2:$K$200,MATCH($AB260,'Test catalog'!$A$2:$A$200,0))="","",INDEX('Test catalog'!$K$2:$K$200,MATCH($AB260,'Test catalog'!$A$2:$A$200,0))),"")</f>
        <v/>
      </c>
      <c r="R260" s="5" t="n"/>
      <c r="S260" s="10">
        <f>IFERROR(IF(INDEX('Test catalog'!$L$2:$L$200,MATCH($AB260,'Test catalog'!$A$2:$A$200,0))="","",INDEX('Test catalog'!$L$2:$L$200,MATCH($AB260,'Test catalog'!$A$2:$A$200,0))),"")</f>
        <v/>
      </c>
      <c r="T260" s="10">
        <f>IFERROR(IF(INDEX('Test catalog'!$M$2:$M$200,MATCH($AB260,'Test catalog'!$A$2:$A$200,0))="","",INDEX('Test catalog'!$M$2:$M$200,MATCH($AB260,'Test catalog'!$A$2:$A$200,0))),"")</f>
        <v/>
      </c>
      <c r="U260" s="10">
        <f>IFERROR(IF(INDEX('Test catalog'!$N$2:$N$200,MATCH($AB260,'Test catalog'!$A$2:$A$200,0))="","",INDEX('Test catalog'!$N$2:$N$200,MATCH($AB260,'Test catalog'!$A$2:$A$200,0))),"")</f>
        <v/>
      </c>
      <c r="V260" s="15" t="n"/>
      <c r="W260" s="5" t="inlineStr">
        <is>
          <t>N</t>
        </is>
      </c>
      <c r="X260" s="5" t="n"/>
      <c r="Y260" s="5" t="n"/>
      <c r="Z260" s="5" t="n"/>
      <c r="AA260" s="10">
        <f>IFERROR(IF(INDEX('Test catalog'!$O$2:$O$200,MATCH($AB260,'Test catalog'!$A$2:$A$200,0))="","",INDEX('Test catalog'!$O$2:$O$200,MATCH($AB260,'Test catalog'!$A$2:$A$200,0))),"")</f>
        <v/>
      </c>
      <c r="AB260" s="10" t="inlineStr">
        <is>
          <t>LOD</t>
        </is>
      </c>
      <c r="AC260" s="10" t="inlineStr">
        <is>
          <t>Powdered Ginkgo Extract · Specific Tests &lt;731&gt;</t>
        </is>
      </c>
      <c r="AD260" s="10" t="n"/>
      <c r="AE260" s="10" t="n"/>
    </row>
    <row r="261">
      <c r="A261" s="10" t="inlineStr">
        <is>
          <t>Ginkgo Biloba Leaf Dry Extract 50:1</t>
        </is>
      </c>
      <c r="B261" s="10" t="inlineStr">
        <is>
          <t>RM</t>
        </is>
      </c>
      <c r="C261" s="10" t="inlineStr">
        <is>
          <t>Active</t>
        </is>
      </c>
      <c r="D261" s="10" t="inlineStr">
        <is>
          <t>Other Requirements</t>
        </is>
      </c>
      <c r="E261" s="10">
        <f>IF(A261="","",A261&amp;"|"&amp;D261)</f>
        <v/>
      </c>
      <c r="F261" s="5" t="inlineStr">
        <is>
          <t>Y</t>
        </is>
      </c>
      <c r="G261" s="5" t="inlineStr">
        <is>
          <t>GC</t>
        </is>
      </c>
      <c r="H261" s="5" t="inlineStr">
        <is>
          <t>Medium</t>
        </is>
      </c>
      <c r="I261" s="5" t="n">
        <v>1</v>
      </c>
      <c r="J261" s="5" t="n"/>
      <c r="K261" s="10">
        <f>IFERROR(IF(INDEX('Test catalog'!$F$2:$F$200,MATCH($AB261,'Test catalog'!$A$2:$A$200,0))="","",INDEX('Test catalog'!$F$2:$F$200,MATCH($AB261,'Test catalog'!$A$2:$A$200,0))),"")</f>
        <v/>
      </c>
      <c r="L261" s="10">
        <f>IFERROR(IF(INDEX('Test catalog'!$G$2:$G$200,MATCH($AB261,'Test catalog'!$A$2:$A$200,0))="","",INDEX('Test catalog'!$G$2:$G$200,MATCH($AB261,'Test catalog'!$A$2:$A$200,0))),"")</f>
        <v/>
      </c>
      <c r="M261" s="10">
        <f>IFERROR(IF(INDEX('Test catalog'!$H$2:$H$200,MATCH($AB261,'Test catalog'!$A$2:$A$200,0))="","",INDEX('Test catalog'!$H$2:$H$200,MATCH($AB261,'Test catalog'!$A$2:$A$200,0))),"")</f>
        <v/>
      </c>
      <c r="N261" s="10">
        <f>IFERROR(IF(INDEX('Test catalog'!$I$2:$I$200,MATCH($AB261,'Test catalog'!$A$2:$A$200,0))="","",INDEX('Test catalog'!$I$2:$I$200,MATCH($AB261,'Test catalog'!$A$2:$A$200,0))),"")</f>
        <v/>
      </c>
      <c r="O261" s="10">
        <f>IFERROR(IF(INDEX('Test catalog'!$J$2:$J$200,MATCH($AB261,'Test catalog'!$A$2:$A$200,0))="","",INDEX('Test catalog'!$J$2:$J$200,MATCH($AB261,'Test catalog'!$A$2:$A$200,0))),"")</f>
        <v/>
      </c>
      <c r="P261" s="14">
        <f>IF(N261="","",IF(OR(M261="",O261=""),N261,(M261+4*N261+O261)/6))</f>
        <v/>
      </c>
      <c r="Q261" s="10">
        <f>IFERROR(IF(INDEX('Test catalog'!$K$2:$K$200,MATCH($AB261,'Test catalog'!$A$2:$A$200,0))="","",INDEX('Test catalog'!$K$2:$K$200,MATCH($AB261,'Test catalog'!$A$2:$A$200,0))),"")</f>
        <v/>
      </c>
      <c r="R261" s="5" t="n"/>
      <c r="S261" s="10">
        <f>IFERROR(IF(INDEX('Test catalog'!$L$2:$L$200,MATCH($AB261,'Test catalog'!$A$2:$A$200,0))="","",INDEX('Test catalog'!$L$2:$L$200,MATCH($AB261,'Test catalog'!$A$2:$A$200,0))),"")</f>
        <v/>
      </c>
      <c r="T261" s="10">
        <f>IFERROR(IF(INDEX('Test catalog'!$M$2:$M$200,MATCH($AB261,'Test catalog'!$A$2:$A$200,0))="","",INDEX('Test catalog'!$M$2:$M$200,MATCH($AB261,'Test catalog'!$A$2:$A$200,0))),"")</f>
        <v/>
      </c>
      <c r="U261" s="10">
        <f>IFERROR(IF(INDEX('Test catalog'!$N$2:$N$200,MATCH($AB261,'Test catalog'!$A$2:$A$200,0))="","",INDEX('Test catalog'!$N$2:$N$200,MATCH($AB261,'Test catalog'!$A$2:$A$200,0))),"")</f>
        <v/>
      </c>
      <c r="V261" s="15" t="n"/>
      <c r="W261" s="5" t="inlineStr">
        <is>
          <t>N</t>
        </is>
      </c>
      <c r="X261" s="5" t="n"/>
      <c r="Y261" s="5" t="n"/>
      <c r="Z261" s="5" t="n"/>
      <c r="AA261" s="10">
        <f>IFERROR(IF(INDEX('Test catalog'!$O$2:$O$200,MATCH($AB261,'Test catalog'!$A$2:$A$200,0))="","",INDEX('Test catalog'!$O$2:$O$200,MATCH($AB261,'Test catalog'!$A$2:$A$200,0))),"")</f>
        <v/>
      </c>
      <c r="AB261" s="10" t="inlineStr">
        <is>
          <t>RS_GC</t>
        </is>
      </c>
      <c r="AC261" s="10" t="inlineStr">
        <is>
          <t>Powdered Ginkgo Extract · Specific Tests &lt;565&gt;</t>
        </is>
      </c>
      <c r="AD261" s="10" t="n"/>
      <c r="AE261" s="10" t="n"/>
    </row>
    <row r="262">
      <c r="A262" s="10" t="inlineStr">
        <is>
          <t>Ginseng Panax</t>
        </is>
      </c>
      <c r="B262" s="10" t="inlineStr">
        <is>
          <t>RM</t>
        </is>
      </c>
      <c r="C262" s="10" t="inlineStr">
        <is>
          <t>Active</t>
        </is>
      </c>
      <c r="D262" s="10" t="inlineStr">
        <is>
          <t>Assay + related substances</t>
        </is>
      </c>
      <c r="E262" s="10">
        <f>IF(A262="","",A262&amp;"|"&amp;D262)</f>
        <v/>
      </c>
      <c r="F262" s="5" t="inlineStr">
        <is>
          <t>Y</t>
        </is>
      </c>
      <c r="G262" s="5" t="inlineStr">
        <is>
          <t>HPLC</t>
        </is>
      </c>
      <c r="H262" s="5" t="inlineStr">
        <is>
          <t>Medium</t>
        </is>
      </c>
      <c r="I262" s="5" t="n">
        <v>1</v>
      </c>
      <c r="J262" s="5" t="n"/>
      <c r="K262" s="5" t="n"/>
      <c r="L262" s="5" t="n"/>
      <c r="M262" s="5" t="n"/>
      <c r="N262" s="5" t="n"/>
      <c r="O262" s="5" t="n"/>
      <c r="P262" s="14">
        <f>IF(N262="","",IF(OR(M262="",O262=""),N262,(M262+4*N262+O262)/6))</f>
        <v/>
      </c>
      <c r="Q262" s="5" t="n"/>
      <c r="R262" s="5" t="n"/>
      <c r="S262" s="5" t="n"/>
      <c r="T262" s="5" t="n"/>
      <c r="U262" s="5" t="n"/>
      <c r="V262" s="15" t="n"/>
      <c r="W262" s="5" t="inlineStr">
        <is>
          <t>N</t>
        </is>
      </c>
      <c r="X262" s="5" t="n"/>
      <c r="Y262" s="5" t="n"/>
      <c r="Z262" s="5" t="n"/>
      <c r="AA262" s="5" t="n"/>
      <c r="AB262" s="10" t="n"/>
      <c r="AC262" s="10" t="n"/>
      <c r="AD262" s="10" t="inlineStr">
        <is>
          <t>No USP-NF monograph - in-house / supplier spec</t>
        </is>
      </c>
      <c r="AE262" s="10" t="n"/>
      <c r="AF262" s="10" t="n"/>
    </row>
    <row r="263">
      <c r="A263" s="10" t="inlineStr">
        <is>
          <t>Ginseng Panax</t>
        </is>
      </c>
      <c r="B263" s="10" t="inlineStr">
        <is>
          <t>RM</t>
        </is>
      </c>
      <c r="C263" s="10" t="inlineStr">
        <is>
          <t>Active</t>
        </is>
      </c>
      <c r="D263" s="10" t="inlineStr">
        <is>
          <t>Other compendial tests (ID, LOD/KF, heavy metals...)</t>
        </is>
      </c>
      <c r="E263" s="10">
        <f>IF(A263="","",A263&amp;"|"&amp;D263)</f>
        <v/>
      </c>
      <c r="F263" s="5" t="inlineStr">
        <is>
          <t>Y</t>
        </is>
      </c>
      <c r="G263" s="5" t="inlineStr">
        <is>
          <t>Other / bench</t>
        </is>
      </c>
      <c r="H263" s="5" t="inlineStr">
        <is>
          <t>Low</t>
        </is>
      </c>
      <c r="I263" s="5" t="n">
        <v>1</v>
      </c>
      <c r="J263" s="5" t="n"/>
      <c r="K263" s="5" t="n"/>
      <c r="L263" s="5" t="n"/>
      <c r="M263" s="5" t="n"/>
      <c r="N263" s="5" t="n"/>
      <c r="O263" s="5" t="n"/>
      <c r="P263" s="14">
        <f>IF(N263="","",IF(OR(M263="",O263=""),N263,(M263+4*N263+O263)/6))</f>
        <v/>
      </c>
      <c r="Q263" s="5" t="n"/>
      <c r="R263" s="5" t="n"/>
      <c r="S263" s="5" t="n"/>
      <c r="T263" s="5" t="n"/>
      <c r="U263" s="5" t="n"/>
      <c r="V263" s="15" t="n"/>
      <c r="W263" s="5" t="inlineStr">
        <is>
          <t>N</t>
        </is>
      </c>
      <c r="X263" s="5" t="n"/>
      <c r="Y263" s="5" t="n"/>
      <c r="Z263" s="5" t="n"/>
      <c r="AA263" s="5" t="n"/>
      <c r="AB263" s="10" t="n"/>
      <c r="AC263" s="10" t="n"/>
      <c r="AD263" s="10" t="inlineStr">
        <is>
          <t>No USP-NF monograph - in-house / supplier spec</t>
        </is>
      </c>
      <c r="AE263" s="10" t="n"/>
      <c r="AF263" s="10" t="n"/>
    </row>
    <row r="264">
      <c r="A264" s="10" t="inlineStr">
        <is>
          <t>Gymnema Sylvestre Leaf Dry Extract 10:1</t>
        </is>
      </c>
      <c r="B264" s="10" t="inlineStr">
        <is>
          <t>RM</t>
        </is>
      </c>
      <c r="C264" s="10" t="inlineStr">
        <is>
          <t>Active</t>
        </is>
      </c>
      <c r="D264" s="10" t="inlineStr">
        <is>
          <t>Appearance / description and solubility</t>
        </is>
      </c>
      <c r="E264" s="10">
        <f>IF(A264="","",A264&amp;"|"&amp;D264)</f>
        <v/>
      </c>
      <c r="F264" s="5" t="inlineStr">
        <is>
          <t>Y</t>
        </is>
      </c>
      <c r="G264" s="5" t="inlineStr">
        <is>
          <t>Other / bench</t>
        </is>
      </c>
      <c r="H264" s="5" t="inlineStr">
        <is>
          <t>Low</t>
        </is>
      </c>
      <c r="I264" s="5" t="n">
        <v>1</v>
      </c>
      <c r="J264" s="5" t="n"/>
      <c r="K264" s="10">
        <f>IFERROR(IF(INDEX('Test catalog'!$F$2:$F$200,MATCH($AB264,'Test catalog'!$A$2:$A$200,0))="","",INDEX('Test catalog'!$F$2:$F$200,MATCH($AB264,'Test catalog'!$A$2:$A$200,0))),"")</f>
        <v/>
      </c>
      <c r="L264" s="10">
        <f>IFERROR(IF(INDEX('Test catalog'!$G$2:$G$200,MATCH($AB264,'Test catalog'!$A$2:$A$200,0))="","",INDEX('Test catalog'!$G$2:$G$200,MATCH($AB264,'Test catalog'!$A$2:$A$200,0))),"")</f>
        <v/>
      </c>
      <c r="M264" s="10">
        <f>IFERROR(IF(INDEX('Test catalog'!$H$2:$H$200,MATCH($AB264,'Test catalog'!$A$2:$A$200,0))="","",INDEX('Test catalog'!$H$2:$H$200,MATCH($AB264,'Test catalog'!$A$2:$A$200,0))),"")</f>
        <v/>
      </c>
      <c r="N264" s="10">
        <f>IFERROR(IF(INDEX('Test catalog'!$I$2:$I$200,MATCH($AB264,'Test catalog'!$A$2:$A$200,0))="","",INDEX('Test catalog'!$I$2:$I$200,MATCH($AB264,'Test catalog'!$A$2:$A$200,0))),"")</f>
        <v/>
      </c>
      <c r="O264" s="10">
        <f>IFERROR(IF(INDEX('Test catalog'!$J$2:$J$200,MATCH($AB264,'Test catalog'!$A$2:$A$200,0))="","",INDEX('Test catalog'!$J$2:$J$200,MATCH($AB264,'Test catalog'!$A$2:$A$200,0))),"")</f>
        <v/>
      </c>
      <c r="P264" s="14">
        <f>IF(N264="","",IF(OR(M264="",O264=""),N264,(M264+4*N264+O264)/6))</f>
        <v/>
      </c>
      <c r="Q264" s="10">
        <f>IFERROR(IF(INDEX('Test catalog'!$K$2:$K$200,MATCH($AB264,'Test catalog'!$A$2:$A$200,0))="","",INDEX('Test catalog'!$K$2:$K$200,MATCH($AB264,'Test catalog'!$A$2:$A$200,0))),"")</f>
        <v/>
      </c>
      <c r="R264" s="5" t="n"/>
      <c r="S264" s="10">
        <f>IFERROR(IF(INDEX('Test catalog'!$L$2:$L$200,MATCH($AB264,'Test catalog'!$A$2:$A$200,0))="","",INDEX('Test catalog'!$L$2:$L$200,MATCH($AB264,'Test catalog'!$A$2:$A$200,0))),"")</f>
        <v/>
      </c>
      <c r="T264" s="10">
        <f>IFERROR(IF(INDEX('Test catalog'!$M$2:$M$200,MATCH($AB264,'Test catalog'!$A$2:$A$200,0))="","",INDEX('Test catalog'!$M$2:$M$200,MATCH($AB264,'Test catalog'!$A$2:$A$200,0))),"")</f>
        <v/>
      </c>
      <c r="U264" s="10">
        <f>IFERROR(IF(INDEX('Test catalog'!$N$2:$N$200,MATCH($AB264,'Test catalog'!$A$2:$A$200,0))="","",INDEX('Test catalog'!$N$2:$N$200,MATCH($AB264,'Test catalog'!$A$2:$A$200,0))),"")</f>
        <v/>
      </c>
      <c r="V264" s="15" t="n"/>
      <c r="W264" s="5" t="inlineStr">
        <is>
          <t>N</t>
        </is>
      </c>
      <c r="X264" s="5" t="n"/>
      <c r="Y264" s="5" t="n"/>
      <c r="Z264" s="5" t="n"/>
      <c r="AA264" s="10">
        <f>IFERROR(IF(INDEX('Test catalog'!$O$2:$O$200,MATCH($AB264,'Test catalog'!$A$2:$A$200,0))="","",INDEX('Test catalog'!$O$2:$O$200,MATCH($AB264,'Test catalog'!$A$2:$A$200,0))),"")</f>
        <v/>
      </c>
      <c r="AB264" s="10" t="inlineStr">
        <is>
          <t>APPEAR</t>
        </is>
      </c>
      <c r="AC264" s="10" t="inlineStr">
        <is>
          <t>Lab practice (not a USP test)</t>
        </is>
      </c>
      <c r="AD264" s="10" t="n"/>
      <c r="AE264" s="10" t="n"/>
    </row>
    <row r="265">
      <c r="A265" s="10" t="inlineStr">
        <is>
          <t>Gymnema Sylvestre Leaf Dry Extract 10:1</t>
        </is>
      </c>
      <c r="B265" s="10" t="inlineStr">
        <is>
          <t>RM</t>
        </is>
      </c>
      <c r="C265" s="10" t="inlineStr">
        <is>
          <t>Active</t>
        </is>
      </c>
      <c r="D265" s="10" t="inlineStr">
        <is>
          <t>ID A - TLC</t>
        </is>
      </c>
      <c r="E265" s="10">
        <f>IF(A265="","",A265&amp;"|"&amp;D265)</f>
        <v/>
      </c>
      <c r="F265" s="5" t="inlineStr">
        <is>
          <t>Y</t>
        </is>
      </c>
      <c r="G265" s="5" t="inlineStr">
        <is>
          <t>Other / bench</t>
        </is>
      </c>
      <c r="H265" s="5" t="inlineStr">
        <is>
          <t>Low</t>
        </is>
      </c>
      <c r="I265" s="5" t="n">
        <v>1</v>
      </c>
      <c r="J265" s="5" t="n"/>
      <c r="K265" s="10">
        <f>IFERROR(IF(INDEX('Test catalog'!$F$2:$F$200,MATCH($AB265,'Test catalog'!$A$2:$A$200,0))="","",INDEX('Test catalog'!$F$2:$F$200,MATCH($AB265,'Test catalog'!$A$2:$A$200,0))),"")</f>
        <v/>
      </c>
      <c r="L265" s="10">
        <f>IFERROR(IF(INDEX('Test catalog'!$G$2:$G$200,MATCH($AB265,'Test catalog'!$A$2:$A$200,0))="","",INDEX('Test catalog'!$G$2:$G$200,MATCH($AB265,'Test catalog'!$A$2:$A$200,0))),"")</f>
        <v/>
      </c>
      <c r="M265" s="10">
        <f>IFERROR(IF(INDEX('Test catalog'!$H$2:$H$200,MATCH($AB265,'Test catalog'!$A$2:$A$200,0))="","",INDEX('Test catalog'!$H$2:$H$200,MATCH($AB265,'Test catalog'!$A$2:$A$200,0))),"")</f>
        <v/>
      </c>
      <c r="N265" s="10">
        <f>IFERROR(IF(INDEX('Test catalog'!$I$2:$I$200,MATCH($AB265,'Test catalog'!$A$2:$A$200,0))="","",INDEX('Test catalog'!$I$2:$I$200,MATCH($AB265,'Test catalog'!$A$2:$A$200,0))),"")</f>
        <v/>
      </c>
      <c r="O265" s="10">
        <f>IFERROR(IF(INDEX('Test catalog'!$J$2:$J$200,MATCH($AB265,'Test catalog'!$A$2:$A$200,0))="","",INDEX('Test catalog'!$J$2:$J$200,MATCH($AB265,'Test catalog'!$A$2:$A$200,0))),"")</f>
        <v/>
      </c>
      <c r="P265" s="14">
        <f>IF(N265="","",IF(OR(M265="",O265=""),N265,(M265+4*N265+O265)/6))</f>
        <v/>
      </c>
      <c r="Q265" s="10">
        <f>IFERROR(IF(INDEX('Test catalog'!$K$2:$K$200,MATCH($AB265,'Test catalog'!$A$2:$A$200,0))="","",INDEX('Test catalog'!$K$2:$K$200,MATCH($AB265,'Test catalog'!$A$2:$A$200,0))),"")</f>
        <v/>
      </c>
      <c r="R265" s="5" t="n"/>
      <c r="S265" s="10">
        <f>IFERROR(IF(INDEX('Test catalog'!$L$2:$L$200,MATCH($AB265,'Test catalog'!$A$2:$A$200,0))="","",INDEX('Test catalog'!$L$2:$L$200,MATCH($AB265,'Test catalog'!$A$2:$A$200,0))),"")</f>
        <v/>
      </c>
      <c r="T265" s="10">
        <f>IFERROR(IF(INDEX('Test catalog'!$M$2:$M$200,MATCH($AB265,'Test catalog'!$A$2:$A$200,0))="","",INDEX('Test catalog'!$M$2:$M$200,MATCH($AB265,'Test catalog'!$A$2:$A$200,0))),"")</f>
        <v/>
      </c>
      <c r="U265" s="10">
        <f>IFERROR(IF(INDEX('Test catalog'!$N$2:$N$200,MATCH($AB265,'Test catalog'!$A$2:$A$200,0))="","",INDEX('Test catalog'!$N$2:$N$200,MATCH($AB265,'Test catalog'!$A$2:$A$200,0))),"")</f>
        <v/>
      </c>
      <c r="V265" s="15" t="n"/>
      <c r="W265" s="5" t="inlineStr">
        <is>
          <t>N</t>
        </is>
      </c>
      <c r="X265" s="5" t="n"/>
      <c r="Y265" s="5" t="n"/>
      <c r="Z265" s="5" t="n"/>
      <c r="AA265" s="10">
        <f>IFERROR(IF(INDEX('Test catalog'!$O$2:$O$200,MATCH($AB265,'Test catalog'!$A$2:$A$200,0))="","",INDEX('Test catalog'!$O$2:$O$200,MATCH($AB265,'Test catalog'!$A$2:$A$200,0))),"")</f>
        <v/>
      </c>
      <c r="AB265" s="10" t="inlineStr">
        <is>
          <t>TLC</t>
        </is>
      </c>
      <c r="AC265" s="10" t="inlineStr">
        <is>
          <t>Native Gymnema Extract · Identification</t>
        </is>
      </c>
      <c r="AD265" s="10" t="n"/>
      <c r="AE265" s="10" t="n"/>
    </row>
    <row r="266">
      <c r="A266" s="10" t="inlineStr">
        <is>
          <t>Gymnema Sylvestre Leaf Dry Extract 10:1</t>
        </is>
      </c>
      <c r="B266" s="10" t="inlineStr">
        <is>
          <t>RM</t>
        </is>
      </c>
      <c r="C266" s="10" t="inlineStr">
        <is>
          <t>Active</t>
        </is>
      </c>
      <c r="D266" s="10" t="inlineStr">
        <is>
          <t>Content of Gymnemic Acids (HPLC)</t>
        </is>
      </c>
      <c r="E266" s="10">
        <f>IF(A266="","",A266&amp;"|"&amp;D266)</f>
        <v/>
      </c>
      <c r="F266" s="5" t="inlineStr">
        <is>
          <t>Y</t>
        </is>
      </c>
      <c r="G266" s="5" t="inlineStr">
        <is>
          <t>HPLC</t>
        </is>
      </c>
      <c r="H266" s="5" t="inlineStr">
        <is>
          <t>Medium</t>
        </is>
      </c>
      <c r="I266" s="5" t="n">
        <v>1</v>
      </c>
      <c r="J266" s="5" t="n"/>
      <c r="K266" s="5" t="n"/>
      <c r="L266" s="5" t="n"/>
      <c r="M266" s="5" t="n"/>
      <c r="N266" s="5" t="n"/>
      <c r="O266" s="5" t="n"/>
      <c r="P266" s="14">
        <f>IF(N266="","",IF(OR(M266="",O266=""),N266,(M266+4*N266+O266)/6))</f>
        <v/>
      </c>
      <c r="Q266" s="5" t="n"/>
      <c r="R266" s="5" t="n"/>
      <c r="S266" s="5" t="n"/>
      <c r="T266" s="5" t="n"/>
      <c r="U266" s="5" t="n"/>
      <c r="V266" s="15" t="n"/>
      <c r="W266" s="5" t="inlineStr">
        <is>
          <t>N</t>
        </is>
      </c>
      <c r="X266" s="5" t="n"/>
      <c r="Y266" s="5" t="n"/>
      <c r="Z266" s="5" t="n"/>
      <c r="AA266" s="5" t="n"/>
      <c r="AB266" s="10" t="n"/>
      <c r="AC266" s="10" t="inlineStr">
        <is>
          <t>Native Gymnema Extract · Composition</t>
        </is>
      </c>
      <c r="AD266" s="10" t="n"/>
      <c r="AE266" s="10" t="n"/>
    </row>
    <row r="267">
      <c r="A267" s="10" t="inlineStr">
        <is>
          <t>Gymnema Sylvestre Leaf Dry Extract 10:1</t>
        </is>
      </c>
      <c r="B267" s="10" t="inlineStr">
        <is>
          <t>RM</t>
        </is>
      </c>
      <c r="C267" s="10" t="inlineStr">
        <is>
          <t>Active</t>
        </is>
      </c>
      <c r="D267" s="10" t="inlineStr">
        <is>
          <t>Botanical Extracts</t>
        </is>
      </c>
      <c r="E267" s="10">
        <f>IF(A267="","",A267&amp;"|"&amp;D267)</f>
        <v/>
      </c>
      <c r="F267" s="5" t="inlineStr">
        <is>
          <t>Y</t>
        </is>
      </c>
      <c r="G267" s="5" t="inlineStr">
        <is>
          <t>GC</t>
        </is>
      </c>
      <c r="H267" s="5" t="inlineStr">
        <is>
          <t>Medium</t>
        </is>
      </c>
      <c r="I267" s="5" t="n">
        <v>1</v>
      </c>
      <c r="J267" s="5" t="n"/>
      <c r="K267" s="10">
        <f>IFERROR(IF(INDEX('Test catalog'!$F$2:$F$200,MATCH($AB267,'Test catalog'!$A$2:$A$200,0))="","",INDEX('Test catalog'!$F$2:$F$200,MATCH($AB267,'Test catalog'!$A$2:$A$200,0))),"")</f>
        <v/>
      </c>
      <c r="L267" s="10">
        <f>IFERROR(IF(INDEX('Test catalog'!$G$2:$G$200,MATCH($AB267,'Test catalog'!$A$2:$A$200,0))="","",INDEX('Test catalog'!$G$2:$G$200,MATCH($AB267,'Test catalog'!$A$2:$A$200,0))),"")</f>
        <v/>
      </c>
      <c r="M267" s="10">
        <f>IFERROR(IF(INDEX('Test catalog'!$H$2:$H$200,MATCH($AB267,'Test catalog'!$A$2:$A$200,0))="","",INDEX('Test catalog'!$H$2:$H$200,MATCH($AB267,'Test catalog'!$A$2:$A$200,0))),"")</f>
        <v/>
      </c>
      <c r="N267" s="10">
        <f>IFERROR(IF(INDEX('Test catalog'!$I$2:$I$200,MATCH($AB267,'Test catalog'!$A$2:$A$200,0))="","",INDEX('Test catalog'!$I$2:$I$200,MATCH($AB267,'Test catalog'!$A$2:$A$200,0))),"")</f>
        <v/>
      </c>
      <c r="O267" s="10">
        <f>IFERROR(IF(INDEX('Test catalog'!$J$2:$J$200,MATCH($AB267,'Test catalog'!$A$2:$A$200,0))="","",INDEX('Test catalog'!$J$2:$J$200,MATCH($AB267,'Test catalog'!$A$2:$A$200,0))),"")</f>
        <v/>
      </c>
      <c r="P267" s="14">
        <f>IF(N267="","",IF(OR(M267="",O267=""),N267,(M267+4*N267+O267)/6))</f>
        <v/>
      </c>
      <c r="Q267" s="10">
        <f>IFERROR(IF(INDEX('Test catalog'!$K$2:$K$200,MATCH($AB267,'Test catalog'!$A$2:$A$200,0))="","",INDEX('Test catalog'!$K$2:$K$200,MATCH($AB267,'Test catalog'!$A$2:$A$200,0))),"")</f>
        <v/>
      </c>
      <c r="R267" s="5" t="n"/>
      <c r="S267" s="10">
        <f>IFERROR(IF(INDEX('Test catalog'!$L$2:$L$200,MATCH($AB267,'Test catalog'!$A$2:$A$200,0))="","",INDEX('Test catalog'!$L$2:$L$200,MATCH($AB267,'Test catalog'!$A$2:$A$200,0))),"")</f>
        <v/>
      </c>
      <c r="T267" s="10">
        <f>IFERROR(IF(INDEX('Test catalog'!$M$2:$M$200,MATCH($AB267,'Test catalog'!$A$2:$A$200,0))="","",INDEX('Test catalog'!$M$2:$M$200,MATCH($AB267,'Test catalog'!$A$2:$A$200,0))),"")</f>
        <v/>
      </c>
      <c r="U267" s="10">
        <f>IFERROR(IF(INDEX('Test catalog'!$N$2:$N$200,MATCH($AB267,'Test catalog'!$A$2:$A$200,0))="","",INDEX('Test catalog'!$N$2:$N$200,MATCH($AB267,'Test catalog'!$A$2:$A$200,0))),"")</f>
        <v/>
      </c>
      <c r="V267" s="15" t="n"/>
      <c r="W267" s="5" t="inlineStr">
        <is>
          <t>N</t>
        </is>
      </c>
      <c r="X267" s="5" t="n"/>
      <c r="Y267" s="5" t="n"/>
      <c r="Z267" s="5" t="n"/>
      <c r="AA267" s="10">
        <f>IFERROR(IF(INDEX('Test catalog'!$O$2:$O$200,MATCH($AB267,'Test catalog'!$A$2:$A$200,0))="","",INDEX('Test catalog'!$O$2:$O$200,MATCH($AB267,'Test catalog'!$A$2:$A$200,0))),"")</f>
        <v/>
      </c>
      <c r="AB267" s="10" t="inlineStr">
        <is>
          <t>PEST</t>
        </is>
      </c>
      <c r="AC267" s="10" t="inlineStr">
        <is>
          <t>Native Gymnema Extract · Contaminants &lt;565&gt;</t>
        </is>
      </c>
      <c r="AD267" s="10" t="n"/>
      <c r="AE267" s="10" t="n"/>
    </row>
    <row r="268">
      <c r="A268" s="10" t="inlineStr">
        <is>
          <t>Gymnema Sylvestre Leaf Dry Extract 10:1</t>
        </is>
      </c>
      <c r="B268" s="10" t="inlineStr">
        <is>
          <t>RM</t>
        </is>
      </c>
      <c r="C268" s="10" t="inlineStr">
        <is>
          <t>Active</t>
        </is>
      </c>
      <c r="D268" s="10" t="inlineStr">
        <is>
          <t>Loss on Drying</t>
        </is>
      </c>
      <c r="E268" s="10">
        <f>IF(A268="","",A268&amp;"|"&amp;D268)</f>
        <v/>
      </c>
      <c r="F268" s="5" t="inlineStr">
        <is>
          <t>Y</t>
        </is>
      </c>
      <c r="G268" s="5" t="inlineStr">
        <is>
          <t>Other / bench</t>
        </is>
      </c>
      <c r="H268" s="5" t="inlineStr">
        <is>
          <t>Low</t>
        </is>
      </c>
      <c r="I268" s="5" t="n">
        <v>1</v>
      </c>
      <c r="J268" s="5" t="n"/>
      <c r="K268" s="10">
        <f>IFERROR(IF(INDEX('Test catalog'!$F$2:$F$200,MATCH($AB268,'Test catalog'!$A$2:$A$200,0))="","",INDEX('Test catalog'!$F$2:$F$200,MATCH($AB268,'Test catalog'!$A$2:$A$200,0))),"")</f>
        <v/>
      </c>
      <c r="L268" s="10">
        <f>IFERROR(IF(INDEX('Test catalog'!$G$2:$G$200,MATCH($AB268,'Test catalog'!$A$2:$A$200,0))="","",INDEX('Test catalog'!$G$2:$G$200,MATCH($AB268,'Test catalog'!$A$2:$A$200,0))),"")</f>
        <v/>
      </c>
      <c r="M268" s="10">
        <f>IFERROR(IF(INDEX('Test catalog'!$H$2:$H$200,MATCH($AB268,'Test catalog'!$A$2:$A$200,0))="","",INDEX('Test catalog'!$H$2:$H$200,MATCH($AB268,'Test catalog'!$A$2:$A$200,0))),"")</f>
        <v/>
      </c>
      <c r="N268" s="10">
        <f>IFERROR(IF(INDEX('Test catalog'!$I$2:$I$200,MATCH($AB268,'Test catalog'!$A$2:$A$200,0))="","",INDEX('Test catalog'!$I$2:$I$200,MATCH($AB268,'Test catalog'!$A$2:$A$200,0))),"")</f>
        <v/>
      </c>
      <c r="O268" s="10">
        <f>IFERROR(IF(INDEX('Test catalog'!$J$2:$J$200,MATCH($AB268,'Test catalog'!$A$2:$A$200,0))="","",INDEX('Test catalog'!$J$2:$J$200,MATCH($AB268,'Test catalog'!$A$2:$A$200,0))),"")</f>
        <v/>
      </c>
      <c r="P268" s="14">
        <f>IF(N268="","",IF(OR(M268="",O268=""),N268,(M268+4*N268+O268)/6))</f>
        <v/>
      </c>
      <c r="Q268" s="10">
        <f>IFERROR(IF(INDEX('Test catalog'!$K$2:$K$200,MATCH($AB268,'Test catalog'!$A$2:$A$200,0))="","",INDEX('Test catalog'!$K$2:$K$200,MATCH($AB268,'Test catalog'!$A$2:$A$200,0))),"")</f>
        <v/>
      </c>
      <c r="R268" s="5" t="n"/>
      <c r="S268" s="10">
        <f>IFERROR(IF(INDEX('Test catalog'!$L$2:$L$200,MATCH($AB268,'Test catalog'!$A$2:$A$200,0))="","",INDEX('Test catalog'!$L$2:$L$200,MATCH($AB268,'Test catalog'!$A$2:$A$200,0))),"")</f>
        <v/>
      </c>
      <c r="T268" s="10">
        <f>IFERROR(IF(INDEX('Test catalog'!$M$2:$M$200,MATCH($AB268,'Test catalog'!$A$2:$A$200,0))="","",INDEX('Test catalog'!$M$2:$M$200,MATCH($AB268,'Test catalog'!$A$2:$A$200,0))),"")</f>
        <v/>
      </c>
      <c r="U268" s="10">
        <f>IFERROR(IF(INDEX('Test catalog'!$N$2:$N$200,MATCH($AB268,'Test catalog'!$A$2:$A$200,0))="","",INDEX('Test catalog'!$N$2:$N$200,MATCH($AB268,'Test catalog'!$A$2:$A$200,0))),"")</f>
        <v/>
      </c>
      <c r="V268" s="15" t="n"/>
      <c r="W268" s="5" t="inlineStr">
        <is>
          <t>N</t>
        </is>
      </c>
      <c r="X268" s="5" t="n"/>
      <c r="Y268" s="5" t="n"/>
      <c r="Z268" s="5" t="n"/>
      <c r="AA268" s="10">
        <f>IFERROR(IF(INDEX('Test catalog'!$O$2:$O$200,MATCH($AB268,'Test catalog'!$A$2:$A$200,0))="","",INDEX('Test catalog'!$O$2:$O$200,MATCH($AB268,'Test catalog'!$A$2:$A$200,0))),"")</f>
        <v/>
      </c>
      <c r="AB268" s="10" t="inlineStr">
        <is>
          <t>LOD</t>
        </is>
      </c>
      <c r="AC268" s="10" t="inlineStr">
        <is>
          <t>Native Gymnema Extract · Specific Tests &lt;731&gt;</t>
        </is>
      </c>
      <c r="AD268" s="10" t="n"/>
      <c r="AE268" s="10" t="n"/>
    </row>
    <row r="269">
      <c r="A269" s="10" t="inlineStr">
        <is>
          <t>Gymnema Sylvestre Leaf Dry Extract 10:1</t>
        </is>
      </c>
      <c r="B269" s="10" t="inlineStr">
        <is>
          <t>RM</t>
        </is>
      </c>
      <c r="C269" s="10" t="inlineStr">
        <is>
          <t>Active</t>
        </is>
      </c>
      <c r="D269" s="10" t="inlineStr">
        <is>
          <t>Articles of Botanical Origin, Total Ash</t>
        </is>
      </c>
      <c r="E269" s="10">
        <f>IF(A269="","",A269&amp;"|"&amp;D269)</f>
        <v/>
      </c>
      <c r="F269" s="5" t="inlineStr">
        <is>
          <t>Y</t>
        </is>
      </c>
      <c r="G269" s="5" t="inlineStr">
        <is>
          <t>Other / bench</t>
        </is>
      </c>
      <c r="H269" s="5" t="inlineStr">
        <is>
          <t>Low</t>
        </is>
      </c>
      <c r="I269" s="5" t="n">
        <v>1</v>
      </c>
      <c r="J269" s="5" t="n"/>
      <c r="K269" s="10">
        <f>IFERROR(IF(INDEX('Test catalog'!$F$2:$F$200,MATCH($AB269,'Test catalog'!$A$2:$A$200,0))="","",INDEX('Test catalog'!$F$2:$F$200,MATCH($AB269,'Test catalog'!$A$2:$A$200,0))),"")</f>
        <v/>
      </c>
      <c r="L269" s="10">
        <f>IFERROR(IF(INDEX('Test catalog'!$G$2:$G$200,MATCH($AB269,'Test catalog'!$A$2:$A$200,0))="","",INDEX('Test catalog'!$G$2:$G$200,MATCH($AB269,'Test catalog'!$A$2:$A$200,0))),"")</f>
        <v/>
      </c>
      <c r="M269" s="10">
        <f>IFERROR(IF(INDEX('Test catalog'!$H$2:$H$200,MATCH($AB269,'Test catalog'!$A$2:$A$200,0))="","",INDEX('Test catalog'!$H$2:$H$200,MATCH($AB269,'Test catalog'!$A$2:$A$200,0))),"")</f>
        <v/>
      </c>
      <c r="N269" s="10">
        <f>IFERROR(IF(INDEX('Test catalog'!$I$2:$I$200,MATCH($AB269,'Test catalog'!$A$2:$A$200,0))="","",INDEX('Test catalog'!$I$2:$I$200,MATCH($AB269,'Test catalog'!$A$2:$A$200,0))),"")</f>
        <v/>
      </c>
      <c r="O269" s="10">
        <f>IFERROR(IF(INDEX('Test catalog'!$J$2:$J$200,MATCH($AB269,'Test catalog'!$A$2:$A$200,0))="","",INDEX('Test catalog'!$J$2:$J$200,MATCH($AB269,'Test catalog'!$A$2:$A$200,0))),"")</f>
        <v/>
      </c>
      <c r="P269" s="14">
        <f>IF(N269="","",IF(OR(M269="",O269=""),N269,(M269+4*N269+O269)/6))</f>
        <v/>
      </c>
      <c r="Q269" s="10">
        <f>IFERROR(IF(INDEX('Test catalog'!$K$2:$K$200,MATCH($AB269,'Test catalog'!$A$2:$A$200,0))="","",INDEX('Test catalog'!$K$2:$K$200,MATCH($AB269,'Test catalog'!$A$2:$A$200,0))),"")</f>
        <v/>
      </c>
      <c r="R269" s="5" t="n"/>
      <c r="S269" s="10">
        <f>IFERROR(IF(INDEX('Test catalog'!$L$2:$L$200,MATCH($AB269,'Test catalog'!$A$2:$A$200,0))="","",INDEX('Test catalog'!$L$2:$L$200,MATCH($AB269,'Test catalog'!$A$2:$A$200,0))),"")</f>
        <v/>
      </c>
      <c r="T269" s="10">
        <f>IFERROR(IF(INDEX('Test catalog'!$M$2:$M$200,MATCH($AB269,'Test catalog'!$A$2:$A$200,0))="","",INDEX('Test catalog'!$M$2:$M$200,MATCH($AB269,'Test catalog'!$A$2:$A$200,0))),"")</f>
        <v/>
      </c>
      <c r="U269" s="10">
        <f>IFERROR(IF(INDEX('Test catalog'!$N$2:$N$200,MATCH($AB269,'Test catalog'!$A$2:$A$200,0))="","",INDEX('Test catalog'!$N$2:$N$200,MATCH($AB269,'Test catalog'!$A$2:$A$200,0))),"")</f>
        <v/>
      </c>
      <c r="V269" s="15" t="n"/>
      <c r="W269" s="5" t="inlineStr">
        <is>
          <t>N</t>
        </is>
      </c>
      <c r="X269" s="5" t="n"/>
      <c r="Y269" s="5" t="n"/>
      <c r="Z269" s="5" t="n"/>
      <c r="AA269" s="10">
        <f>IFERROR(IF(INDEX('Test catalog'!$O$2:$O$200,MATCH($AB269,'Test catalog'!$A$2:$A$200,0))="","",INDEX('Test catalog'!$O$2:$O$200,MATCH($AB269,'Test catalog'!$A$2:$A$200,0))),"")</f>
        <v/>
      </c>
      <c r="AB269" s="10" t="inlineStr">
        <is>
          <t>ASH</t>
        </is>
      </c>
      <c r="AC269" s="10" t="inlineStr">
        <is>
          <t>Native Gymnema Extract · Specific Tests &lt;561&gt;</t>
        </is>
      </c>
      <c r="AD269" s="10" t="n"/>
      <c r="AE269" s="10" t="n"/>
    </row>
    <row r="270">
      <c r="A270" s="10" t="inlineStr">
        <is>
          <t>Hydrochlorothiazide</t>
        </is>
      </c>
      <c r="B270" s="10" t="inlineStr">
        <is>
          <t>RM</t>
        </is>
      </c>
      <c r="C270" s="10" t="inlineStr">
        <is>
          <t>Active</t>
        </is>
      </c>
      <c r="D270" s="10" t="inlineStr">
        <is>
          <t>Appearance / description and solubility</t>
        </is>
      </c>
      <c r="E270" s="10">
        <f>IF(A270="","",A270&amp;"|"&amp;D270)</f>
        <v/>
      </c>
      <c r="F270" s="5" t="inlineStr">
        <is>
          <t>Y</t>
        </is>
      </c>
      <c r="G270" s="5" t="inlineStr">
        <is>
          <t>Other / bench</t>
        </is>
      </c>
      <c r="H270" s="5" t="inlineStr">
        <is>
          <t>Low</t>
        </is>
      </c>
      <c r="I270" s="5" t="n">
        <v>1</v>
      </c>
      <c r="J270" s="5" t="n"/>
      <c r="K270" s="10">
        <f>IFERROR(IF(INDEX('Test catalog'!$F$2:$F$200,MATCH($AB270,'Test catalog'!$A$2:$A$200,0))="","",INDEX('Test catalog'!$F$2:$F$200,MATCH($AB270,'Test catalog'!$A$2:$A$200,0))),"")</f>
        <v/>
      </c>
      <c r="L270" s="10">
        <f>IFERROR(IF(INDEX('Test catalog'!$G$2:$G$200,MATCH($AB270,'Test catalog'!$A$2:$A$200,0))="","",INDEX('Test catalog'!$G$2:$G$200,MATCH($AB270,'Test catalog'!$A$2:$A$200,0))),"")</f>
        <v/>
      </c>
      <c r="M270" s="10">
        <f>IFERROR(IF(INDEX('Test catalog'!$H$2:$H$200,MATCH($AB270,'Test catalog'!$A$2:$A$200,0))="","",INDEX('Test catalog'!$H$2:$H$200,MATCH($AB270,'Test catalog'!$A$2:$A$200,0))),"")</f>
        <v/>
      </c>
      <c r="N270" s="10">
        <f>IFERROR(IF(INDEX('Test catalog'!$I$2:$I$200,MATCH($AB270,'Test catalog'!$A$2:$A$200,0))="","",INDEX('Test catalog'!$I$2:$I$200,MATCH($AB270,'Test catalog'!$A$2:$A$200,0))),"")</f>
        <v/>
      </c>
      <c r="O270" s="10">
        <f>IFERROR(IF(INDEX('Test catalog'!$J$2:$J$200,MATCH($AB270,'Test catalog'!$A$2:$A$200,0))="","",INDEX('Test catalog'!$J$2:$J$200,MATCH($AB270,'Test catalog'!$A$2:$A$200,0))),"")</f>
        <v/>
      </c>
      <c r="P270" s="14">
        <f>IF(N270="","",IF(OR(M270="",O270=""),N270,(M270+4*N270+O270)/6))</f>
        <v/>
      </c>
      <c r="Q270" s="10">
        <f>IFERROR(IF(INDEX('Test catalog'!$K$2:$K$200,MATCH($AB270,'Test catalog'!$A$2:$A$200,0))="","",INDEX('Test catalog'!$K$2:$K$200,MATCH($AB270,'Test catalog'!$A$2:$A$200,0))),"")</f>
        <v/>
      </c>
      <c r="R270" s="5" t="n"/>
      <c r="S270" s="10">
        <f>IFERROR(IF(INDEX('Test catalog'!$L$2:$L$200,MATCH($AB270,'Test catalog'!$A$2:$A$200,0))="","",INDEX('Test catalog'!$L$2:$L$200,MATCH($AB270,'Test catalog'!$A$2:$A$200,0))),"")</f>
        <v/>
      </c>
      <c r="T270" s="10">
        <f>IFERROR(IF(INDEX('Test catalog'!$M$2:$M$200,MATCH($AB270,'Test catalog'!$A$2:$A$200,0))="","",INDEX('Test catalog'!$M$2:$M$200,MATCH($AB270,'Test catalog'!$A$2:$A$200,0))),"")</f>
        <v/>
      </c>
      <c r="U270" s="10">
        <f>IFERROR(IF(INDEX('Test catalog'!$N$2:$N$200,MATCH($AB270,'Test catalog'!$A$2:$A$200,0))="","",INDEX('Test catalog'!$N$2:$N$200,MATCH($AB270,'Test catalog'!$A$2:$A$200,0))),"")</f>
        <v/>
      </c>
      <c r="V270" s="15" t="n"/>
      <c r="W270" s="5" t="inlineStr">
        <is>
          <t>N</t>
        </is>
      </c>
      <c r="X270" s="5" t="n"/>
      <c r="Y270" s="5" t="n"/>
      <c r="Z270" s="5" t="n"/>
      <c r="AA270" s="10">
        <f>IFERROR(IF(INDEX('Test catalog'!$O$2:$O$200,MATCH($AB270,'Test catalog'!$A$2:$A$200,0))="","",INDEX('Test catalog'!$O$2:$O$200,MATCH($AB270,'Test catalog'!$A$2:$A$200,0))),"")</f>
        <v/>
      </c>
      <c r="AB270" s="10" t="inlineStr">
        <is>
          <t>APPEAR</t>
        </is>
      </c>
      <c r="AC270" s="10" t="inlineStr">
        <is>
          <t>Lab practice (not a USP test)</t>
        </is>
      </c>
      <c r="AD270" s="10" t="n"/>
      <c r="AE270" s="10" t="n"/>
    </row>
    <row r="271">
      <c r="A271" s="10" t="inlineStr">
        <is>
          <t>Hydrochlorothiazide</t>
        </is>
      </c>
      <c r="B271" s="10" t="inlineStr">
        <is>
          <t>RM</t>
        </is>
      </c>
      <c r="C271" s="10" t="inlineStr">
        <is>
          <t>Active</t>
        </is>
      </c>
      <c r="D271" s="10" t="inlineStr">
        <is>
          <t>Assay (HPLC)</t>
        </is>
      </c>
      <c r="E271" s="10">
        <f>IF(A271="","",A271&amp;"|"&amp;D271)</f>
        <v/>
      </c>
      <c r="F271" s="5" t="inlineStr">
        <is>
          <t>Y</t>
        </is>
      </c>
      <c r="G271" s="5" t="inlineStr">
        <is>
          <t>HPLC</t>
        </is>
      </c>
      <c r="H271" s="5" t="inlineStr">
        <is>
          <t>Medium</t>
        </is>
      </c>
      <c r="I271" s="5" t="n">
        <v>1</v>
      </c>
      <c r="J271" s="5" t="n"/>
      <c r="K271" s="5" t="n"/>
      <c r="L271" s="5" t="n"/>
      <c r="M271" s="5" t="n"/>
      <c r="N271" s="5" t="n"/>
      <c r="O271" s="5" t="n"/>
      <c r="P271" s="14">
        <f>IF(N271="","",IF(OR(M271="",O271=""),N271,(M271+4*N271+O271)/6))</f>
        <v/>
      </c>
      <c r="Q271" s="5" t="n"/>
      <c r="R271" s="5" t="n"/>
      <c r="S271" s="5" t="n"/>
      <c r="T271" s="5" t="n"/>
      <c r="U271" s="5" t="n"/>
      <c r="V271" s="15" t="n"/>
      <c r="W271" s="5" t="inlineStr">
        <is>
          <t>N</t>
        </is>
      </c>
      <c r="X271" s="5" t="n"/>
      <c r="Y271" s="5" t="n"/>
      <c r="Z271" s="5" t="n"/>
      <c r="AA271" s="5" t="n"/>
      <c r="AB271" s="10" t="n"/>
      <c r="AC271" s="10" t="inlineStr">
        <is>
          <t>Hydrochlorothiazide · Assay</t>
        </is>
      </c>
      <c r="AD271" s="10" t="n"/>
      <c r="AE271" s="10" t="n"/>
    </row>
    <row r="272">
      <c r="A272" s="10" t="inlineStr">
        <is>
          <t>Hydrochlorothiazide</t>
        </is>
      </c>
      <c r="B272" s="10" t="inlineStr">
        <is>
          <t>RM</t>
        </is>
      </c>
      <c r="C272" s="10" t="inlineStr">
        <is>
          <t>Active</t>
        </is>
      </c>
      <c r="D272" s="10" t="inlineStr">
        <is>
          <t>Residue on Ignition</t>
        </is>
      </c>
      <c r="E272" s="10">
        <f>IF(A272="","",A272&amp;"|"&amp;D272)</f>
        <v/>
      </c>
      <c r="F272" s="5" t="inlineStr">
        <is>
          <t>Y</t>
        </is>
      </c>
      <c r="G272" s="5" t="inlineStr">
        <is>
          <t>Other / bench</t>
        </is>
      </c>
      <c r="H272" s="5" t="inlineStr">
        <is>
          <t>Low</t>
        </is>
      </c>
      <c r="I272" s="5" t="n">
        <v>1</v>
      </c>
      <c r="J272" s="5" t="n"/>
      <c r="K272" s="10">
        <f>IFERROR(IF(INDEX('Test catalog'!$F$2:$F$200,MATCH($AB272,'Test catalog'!$A$2:$A$200,0))="","",INDEX('Test catalog'!$F$2:$F$200,MATCH($AB272,'Test catalog'!$A$2:$A$200,0))),"")</f>
        <v/>
      </c>
      <c r="L272" s="10">
        <f>IFERROR(IF(INDEX('Test catalog'!$G$2:$G$200,MATCH($AB272,'Test catalog'!$A$2:$A$200,0))="","",INDEX('Test catalog'!$G$2:$G$200,MATCH($AB272,'Test catalog'!$A$2:$A$200,0))),"")</f>
        <v/>
      </c>
      <c r="M272" s="10">
        <f>IFERROR(IF(INDEX('Test catalog'!$H$2:$H$200,MATCH($AB272,'Test catalog'!$A$2:$A$200,0))="","",INDEX('Test catalog'!$H$2:$H$200,MATCH($AB272,'Test catalog'!$A$2:$A$200,0))),"")</f>
        <v/>
      </c>
      <c r="N272" s="10">
        <f>IFERROR(IF(INDEX('Test catalog'!$I$2:$I$200,MATCH($AB272,'Test catalog'!$A$2:$A$200,0))="","",INDEX('Test catalog'!$I$2:$I$200,MATCH($AB272,'Test catalog'!$A$2:$A$200,0))),"")</f>
        <v/>
      </c>
      <c r="O272" s="10">
        <f>IFERROR(IF(INDEX('Test catalog'!$J$2:$J$200,MATCH($AB272,'Test catalog'!$A$2:$A$200,0))="","",INDEX('Test catalog'!$J$2:$J$200,MATCH($AB272,'Test catalog'!$A$2:$A$200,0))),"")</f>
        <v/>
      </c>
      <c r="P272" s="14">
        <f>IF(N272="","",IF(OR(M272="",O272=""),N272,(M272+4*N272+O272)/6))</f>
        <v/>
      </c>
      <c r="Q272" s="10">
        <f>IFERROR(IF(INDEX('Test catalog'!$K$2:$K$200,MATCH($AB272,'Test catalog'!$A$2:$A$200,0))="","",INDEX('Test catalog'!$K$2:$K$200,MATCH($AB272,'Test catalog'!$A$2:$A$200,0))),"")</f>
        <v/>
      </c>
      <c r="R272" s="5" t="n"/>
      <c r="S272" s="10">
        <f>IFERROR(IF(INDEX('Test catalog'!$L$2:$L$200,MATCH($AB272,'Test catalog'!$A$2:$A$200,0))="","",INDEX('Test catalog'!$L$2:$L$200,MATCH($AB272,'Test catalog'!$A$2:$A$200,0))),"")</f>
        <v/>
      </c>
      <c r="T272" s="10">
        <f>IFERROR(IF(INDEX('Test catalog'!$M$2:$M$200,MATCH($AB272,'Test catalog'!$A$2:$A$200,0))="","",INDEX('Test catalog'!$M$2:$M$200,MATCH($AB272,'Test catalog'!$A$2:$A$200,0))),"")</f>
        <v/>
      </c>
      <c r="U272" s="10">
        <f>IFERROR(IF(INDEX('Test catalog'!$N$2:$N$200,MATCH($AB272,'Test catalog'!$A$2:$A$200,0))="","",INDEX('Test catalog'!$N$2:$N$200,MATCH($AB272,'Test catalog'!$A$2:$A$200,0))),"")</f>
        <v/>
      </c>
      <c r="V272" s="15" t="n"/>
      <c r="W272" s="5" t="inlineStr">
        <is>
          <t>N</t>
        </is>
      </c>
      <c r="X272" s="5" t="n"/>
      <c r="Y272" s="5" t="n"/>
      <c r="Z272" s="5" t="n"/>
      <c r="AA272" s="10">
        <f>IFERROR(IF(INDEX('Test catalog'!$O$2:$O$200,MATCH($AB272,'Test catalog'!$A$2:$A$200,0))="","",INDEX('Test catalog'!$O$2:$O$200,MATCH($AB272,'Test catalog'!$A$2:$A$200,0))),"")</f>
        <v/>
      </c>
      <c r="AB272" s="10" t="inlineStr">
        <is>
          <t>ROI</t>
        </is>
      </c>
      <c r="AC272" s="10" t="inlineStr">
        <is>
          <t>Hydrochlorothiazide · Impurities &lt;281&gt;</t>
        </is>
      </c>
      <c r="AD272" s="10" t="n"/>
      <c r="AE272" s="10" t="n"/>
    </row>
    <row r="273">
      <c r="A273" s="10" t="inlineStr">
        <is>
          <t>Hydrochlorothiazide</t>
        </is>
      </c>
      <c r="B273" s="10" t="inlineStr">
        <is>
          <t>RM</t>
        </is>
      </c>
      <c r="C273" s="10" t="inlineStr">
        <is>
          <t>Active</t>
        </is>
      </c>
      <c r="D273" s="10" t="inlineStr">
        <is>
          <t>Chloride</t>
        </is>
      </c>
      <c r="E273" s="10">
        <f>IF(A273="","",A273&amp;"|"&amp;D273)</f>
        <v/>
      </c>
      <c r="F273" s="5" t="inlineStr">
        <is>
          <t>Y</t>
        </is>
      </c>
      <c r="G273" s="5" t="inlineStr">
        <is>
          <t>Other / bench</t>
        </is>
      </c>
      <c r="H273" s="5" t="inlineStr">
        <is>
          <t>Low</t>
        </is>
      </c>
      <c r="I273" s="5" t="n">
        <v>1</v>
      </c>
      <c r="J273" s="5" t="n"/>
      <c r="K273" s="10">
        <f>IFERROR(IF(INDEX('Test catalog'!$F$2:$F$200,MATCH($AB273,'Test catalog'!$A$2:$A$200,0))="","",INDEX('Test catalog'!$F$2:$F$200,MATCH($AB273,'Test catalog'!$A$2:$A$200,0))),"")</f>
        <v/>
      </c>
      <c r="L273" s="10">
        <f>IFERROR(IF(INDEX('Test catalog'!$G$2:$G$200,MATCH($AB273,'Test catalog'!$A$2:$A$200,0))="","",INDEX('Test catalog'!$G$2:$G$200,MATCH($AB273,'Test catalog'!$A$2:$A$200,0))),"")</f>
        <v/>
      </c>
      <c r="M273" s="10">
        <f>IFERROR(IF(INDEX('Test catalog'!$H$2:$H$200,MATCH($AB273,'Test catalog'!$A$2:$A$200,0))="","",INDEX('Test catalog'!$H$2:$H$200,MATCH($AB273,'Test catalog'!$A$2:$A$200,0))),"")</f>
        <v/>
      </c>
      <c r="N273" s="10">
        <f>IFERROR(IF(INDEX('Test catalog'!$I$2:$I$200,MATCH($AB273,'Test catalog'!$A$2:$A$200,0))="","",INDEX('Test catalog'!$I$2:$I$200,MATCH($AB273,'Test catalog'!$A$2:$A$200,0))),"")</f>
        <v/>
      </c>
      <c r="O273" s="10">
        <f>IFERROR(IF(INDEX('Test catalog'!$J$2:$J$200,MATCH($AB273,'Test catalog'!$A$2:$A$200,0))="","",INDEX('Test catalog'!$J$2:$J$200,MATCH($AB273,'Test catalog'!$A$2:$A$200,0))),"")</f>
        <v/>
      </c>
      <c r="P273" s="14">
        <f>IF(N273="","",IF(OR(M273="",O273=""),N273,(M273+4*N273+O273)/6))</f>
        <v/>
      </c>
      <c r="Q273" s="10">
        <f>IFERROR(IF(INDEX('Test catalog'!$K$2:$K$200,MATCH($AB273,'Test catalog'!$A$2:$A$200,0))="","",INDEX('Test catalog'!$K$2:$K$200,MATCH($AB273,'Test catalog'!$A$2:$A$200,0))),"")</f>
        <v/>
      </c>
      <c r="R273" s="5" t="n"/>
      <c r="S273" s="10">
        <f>IFERROR(IF(INDEX('Test catalog'!$L$2:$L$200,MATCH($AB273,'Test catalog'!$A$2:$A$200,0))="","",INDEX('Test catalog'!$L$2:$L$200,MATCH($AB273,'Test catalog'!$A$2:$A$200,0))),"")</f>
        <v/>
      </c>
      <c r="T273" s="10">
        <f>IFERROR(IF(INDEX('Test catalog'!$M$2:$M$200,MATCH($AB273,'Test catalog'!$A$2:$A$200,0))="","",INDEX('Test catalog'!$M$2:$M$200,MATCH($AB273,'Test catalog'!$A$2:$A$200,0))),"")</f>
        <v/>
      </c>
      <c r="U273" s="10">
        <f>IFERROR(IF(INDEX('Test catalog'!$N$2:$N$200,MATCH($AB273,'Test catalog'!$A$2:$A$200,0))="","",INDEX('Test catalog'!$N$2:$N$200,MATCH($AB273,'Test catalog'!$A$2:$A$200,0))),"")</f>
        <v/>
      </c>
      <c r="V273" s="15" t="n"/>
      <c r="W273" s="5" t="inlineStr">
        <is>
          <t>N</t>
        </is>
      </c>
      <c r="X273" s="5" t="n"/>
      <c r="Y273" s="5" t="n"/>
      <c r="Z273" s="5" t="n"/>
      <c r="AA273" s="10">
        <f>IFERROR(IF(INDEX('Test catalog'!$O$2:$O$200,MATCH($AB273,'Test catalog'!$A$2:$A$200,0))="","",INDEX('Test catalog'!$O$2:$O$200,MATCH($AB273,'Test catalog'!$A$2:$A$200,0))),"")</f>
        <v/>
      </c>
      <c r="AB273" s="10" t="inlineStr">
        <is>
          <t>LIMIT</t>
        </is>
      </c>
      <c r="AC273" s="10" t="inlineStr">
        <is>
          <t>Hydrochlorothiazide · Impurities &lt;221,291&gt;</t>
        </is>
      </c>
      <c r="AD273" s="10" t="n"/>
      <c r="AE273" s="10" t="n"/>
    </row>
    <row r="274">
      <c r="A274" s="10" t="inlineStr">
        <is>
          <t>Hydrochlorothiazide</t>
        </is>
      </c>
      <c r="B274" s="10" t="inlineStr">
        <is>
          <t>RM</t>
        </is>
      </c>
      <c r="C274" s="10" t="inlineStr">
        <is>
          <t>Active</t>
        </is>
      </c>
      <c r="D274" s="10" t="inlineStr">
        <is>
          <t>Sulfate</t>
        </is>
      </c>
      <c r="E274" s="10">
        <f>IF(A274="","",A274&amp;"|"&amp;D274)</f>
        <v/>
      </c>
      <c r="F274" s="5" t="inlineStr">
        <is>
          <t>Y</t>
        </is>
      </c>
      <c r="G274" s="5" t="inlineStr">
        <is>
          <t>Other / bench</t>
        </is>
      </c>
      <c r="H274" s="5" t="inlineStr">
        <is>
          <t>Low</t>
        </is>
      </c>
      <c r="I274" s="5" t="n">
        <v>1</v>
      </c>
      <c r="J274" s="5" t="n"/>
      <c r="K274" s="10">
        <f>IFERROR(IF(INDEX('Test catalog'!$F$2:$F$200,MATCH($AB274,'Test catalog'!$A$2:$A$200,0))="","",INDEX('Test catalog'!$F$2:$F$200,MATCH($AB274,'Test catalog'!$A$2:$A$200,0))),"")</f>
        <v/>
      </c>
      <c r="L274" s="10">
        <f>IFERROR(IF(INDEX('Test catalog'!$G$2:$G$200,MATCH($AB274,'Test catalog'!$A$2:$A$200,0))="","",INDEX('Test catalog'!$G$2:$G$200,MATCH($AB274,'Test catalog'!$A$2:$A$200,0))),"")</f>
        <v/>
      </c>
      <c r="M274" s="10">
        <f>IFERROR(IF(INDEX('Test catalog'!$H$2:$H$200,MATCH($AB274,'Test catalog'!$A$2:$A$200,0))="","",INDEX('Test catalog'!$H$2:$H$200,MATCH($AB274,'Test catalog'!$A$2:$A$200,0))),"")</f>
        <v/>
      </c>
      <c r="N274" s="10">
        <f>IFERROR(IF(INDEX('Test catalog'!$I$2:$I$200,MATCH($AB274,'Test catalog'!$A$2:$A$200,0))="","",INDEX('Test catalog'!$I$2:$I$200,MATCH($AB274,'Test catalog'!$A$2:$A$200,0))),"")</f>
        <v/>
      </c>
      <c r="O274" s="10">
        <f>IFERROR(IF(INDEX('Test catalog'!$J$2:$J$200,MATCH($AB274,'Test catalog'!$A$2:$A$200,0))="","",INDEX('Test catalog'!$J$2:$J$200,MATCH($AB274,'Test catalog'!$A$2:$A$200,0))),"")</f>
        <v/>
      </c>
      <c r="P274" s="14">
        <f>IF(N274="","",IF(OR(M274="",O274=""),N274,(M274+4*N274+O274)/6))</f>
        <v/>
      </c>
      <c r="Q274" s="10">
        <f>IFERROR(IF(INDEX('Test catalog'!$K$2:$K$200,MATCH($AB274,'Test catalog'!$A$2:$A$200,0))="","",INDEX('Test catalog'!$K$2:$K$200,MATCH($AB274,'Test catalog'!$A$2:$A$200,0))),"")</f>
        <v/>
      </c>
      <c r="R274" s="5" t="n"/>
      <c r="S274" s="10">
        <f>IFERROR(IF(INDEX('Test catalog'!$L$2:$L$200,MATCH($AB274,'Test catalog'!$A$2:$A$200,0))="","",INDEX('Test catalog'!$L$2:$L$200,MATCH($AB274,'Test catalog'!$A$2:$A$200,0))),"")</f>
        <v/>
      </c>
      <c r="T274" s="10">
        <f>IFERROR(IF(INDEX('Test catalog'!$M$2:$M$200,MATCH($AB274,'Test catalog'!$A$2:$A$200,0))="","",INDEX('Test catalog'!$M$2:$M$200,MATCH($AB274,'Test catalog'!$A$2:$A$200,0))),"")</f>
        <v/>
      </c>
      <c r="U274" s="10">
        <f>IFERROR(IF(INDEX('Test catalog'!$N$2:$N$200,MATCH($AB274,'Test catalog'!$A$2:$A$200,0))="","",INDEX('Test catalog'!$N$2:$N$200,MATCH($AB274,'Test catalog'!$A$2:$A$200,0))),"")</f>
        <v/>
      </c>
      <c r="V274" s="15" t="n"/>
      <c r="W274" s="5" t="inlineStr">
        <is>
          <t>N</t>
        </is>
      </c>
      <c r="X274" s="5" t="n"/>
      <c r="Y274" s="5" t="n"/>
      <c r="Z274" s="5" t="n"/>
      <c r="AA274" s="10">
        <f>IFERROR(IF(INDEX('Test catalog'!$O$2:$O$200,MATCH($AB274,'Test catalog'!$A$2:$A$200,0))="","",INDEX('Test catalog'!$O$2:$O$200,MATCH($AB274,'Test catalog'!$A$2:$A$200,0))),"")</f>
        <v/>
      </c>
      <c r="AB274" s="10" t="inlineStr">
        <is>
          <t>LIMIT</t>
        </is>
      </c>
      <c r="AC274" s="10" t="inlineStr">
        <is>
          <t>Hydrochlorothiazide · Impurities &lt;221,291&gt;</t>
        </is>
      </c>
      <c r="AD274" s="10" t="n"/>
      <c r="AE274" s="10" t="n"/>
    </row>
    <row r="275">
      <c r="A275" s="10" t="inlineStr">
        <is>
          <t>Hydrochlorothiazide</t>
        </is>
      </c>
      <c r="B275" s="10" t="inlineStr">
        <is>
          <t>RM</t>
        </is>
      </c>
      <c r="C275" s="10" t="inlineStr">
        <is>
          <t>Active</t>
        </is>
      </c>
      <c r="D275" s="10" t="inlineStr">
        <is>
          <t>Organic Impurities (HPLC)</t>
        </is>
      </c>
      <c r="E275" s="10">
        <f>IF(A275="","",A275&amp;"|"&amp;D275)</f>
        <v/>
      </c>
      <c r="F275" s="5" t="inlineStr">
        <is>
          <t>Y</t>
        </is>
      </c>
      <c r="G275" s="5" t="inlineStr">
        <is>
          <t>HPLC</t>
        </is>
      </c>
      <c r="H275" s="5" t="inlineStr">
        <is>
          <t>Medium</t>
        </is>
      </c>
      <c r="I275" s="5" t="n">
        <v>1</v>
      </c>
      <c r="J275" s="5" t="n"/>
      <c r="K275" s="5" t="n"/>
      <c r="L275" s="5" t="n"/>
      <c r="M275" s="5" t="n"/>
      <c r="N275" s="5" t="n"/>
      <c r="O275" s="5" t="n"/>
      <c r="P275" s="14">
        <f>IF(N275="","",IF(OR(M275="",O275=""),N275,(M275+4*N275+O275)/6))</f>
        <v/>
      </c>
      <c r="Q275" s="5" t="n"/>
      <c r="R275" s="5" t="n"/>
      <c r="S275" s="5" t="n"/>
      <c r="T275" s="5" t="n"/>
      <c r="U275" s="5" t="n"/>
      <c r="V275" s="15" t="n"/>
      <c r="W275" s="5" t="inlineStr">
        <is>
          <t>N</t>
        </is>
      </c>
      <c r="X275" s="5" t="n"/>
      <c r="Y275" s="5" t="n"/>
      <c r="Z275" s="5" t="n"/>
      <c r="AA275" s="5" t="n"/>
      <c r="AB275" s="10" t="n"/>
      <c r="AC275" s="10" t="inlineStr">
        <is>
          <t>Hydrochlorothiazide · Impurities</t>
        </is>
      </c>
      <c r="AD275" s="10" t="n"/>
      <c r="AE275" s="10" t="n"/>
    </row>
    <row r="276">
      <c r="A276" s="10" t="inlineStr">
        <is>
          <t>Hydrochlorothiazide</t>
        </is>
      </c>
      <c r="B276" s="10" t="inlineStr">
        <is>
          <t>RM</t>
        </is>
      </c>
      <c r="C276" s="10" t="inlineStr">
        <is>
          <t>Active</t>
        </is>
      </c>
      <c r="D276" s="10" t="inlineStr">
        <is>
          <t>Loss on Drying</t>
        </is>
      </c>
      <c r="E276" s="10">
        <f>IF(A276="","",A276&amp;"|"&amp;D276)</f>
        <v/>
      </c>
      <c r="F276" s="5" t="inlineStr">
        <is>
          <t>Y</t>
        </is>
      </c>
      <c r="G276" s="5" t="inlineStr">
        <is>
          <t>Other / bench</t>
        </is>
      </c>
      <c r="H276" s="5" t="inlineStr">
        <is>
          <t>Low</t>
        </is>
      </c>
      <c r="I276" s="5" t="n">
        <v>1</v>
      </c>
      <c r="J276" s="5" t="n"/>
      <c r="K276" s="10">
        <f>IFERROR(IF(INDEX('Test catalog'!$F$2:$F$200,MATCH($AB276,'Test catalog'!$A$2:$A$200,0))="","",INDEX('Test catalog'!$F$2:$F$200,MATCH($AB276,'Test catalog'!$A$2:$A$200,0))),"")</f>
        <v/>
      </c>
      <c r="L276" s="10">
        <f>IFERROR(IF(INDEX('Test catalog'!$G$2:$G$200,MATCH($AB276,'Test catalog'!$A$2:$A$200,0))="","",INDEX('Test catalog'!$G$2:$G$200,MATCH($AB276,'Test catalog'!$A$2:$A$200,0))),"")</f>
        <v/>
      </c>
      <c r="M276" s="10">
        <f>IFERROR(IF(INDEX('Test catalog'!$H$2:$H$200,MATCH($AB276,'Test catalog'!$A$2:$A$200,0))="","",INDEX('Test catalog'!$H$2:$H$200,MATCH($AB276,'Test catalog'!$A$2:$A$200,0))),"")</f>
        <v/>
      </c>
      <c r="N276" s="10">
        <f>IFERROR(IF(INDEX('Test catalog'!$I$2:$I$200,MATCH($AB276,'Test catalog'!$A$2:$A$200,0))="","",INDEX('Test catalog'!$I$2:$I$200,MATCH($AB276,'Test catalog'!$A$2:$A$200,0))),"")</f>
        <v/>
      </c>
      <c r="O276" s="10">
        <f>IFERROR(IF(INDEX('Test catalog'!$J$2:$J$200,MATCH($AB276,'Test catalog'!$A$2:$A$200,0))="","",INDEX('Test catalog'!$J$2:$J$200,MATCH($AB276,'Test catalog'!$A$2:$A$200,0))),"")</f>
        <v/>
      </c>
      <c r="P276" s="14">
        <f>IF(N276="","",IF(OR(M276="",O276=""),N276,(M276+4*N276+O276)/6))</f>
        <v/>
      </c>
      <c r="Q276" s="10">
        <f>IFERROR(IF(INDEX('Test catalog'!$K$2:$K$200,MATCH($AB276,'Test catalog'!$A$2:$A$200,0))="","",INDEX('Test catalog'!$K$2:$K$200,MATCH($AB276,'Test catalog'!$A$2:$A$200,0))),"")</f>
        <v/>
      </c>
      <c r="R276" s="5" t="n"/>
      <c r="S276" s="10">
        <f>IFERROR(IF(INDEX('Test catalog'!$L$2:$L$200,MATCH($AB276,'Test catalog'!$A$2:$A$200,0))="","",INDEX('Test catalog'!$L$2:$L$200,MATCH($AB276,'Test catalog'!$A$2:$A$200,0))),"")</f>
        <v/>
      </c>
      <c r="T276" s="10">
        <f>IFERROR(IF(INDEX('Test catalog'!$M$2:$M$200,MATCH($AB276,'Test catalog'!$A$2:$A$200,0))="","",INDEX('Test catalog'!$M$2:$M$200,MATCH($AB276,'Test catalog'!$A$2:$A$200,0))),"")</f>
        <v/>
      </c>
      <c r="U276" s="10">
        <f>IFERROR(IF(INDEX('Test catalog'!$N$2:$N$200,MATCH($AB276,'Test catalog'!$A$2:$A$200,0))="","",INDEX('Test catalog'!$N$2:$N$200,MATCH($AB276,'Test catalog'!$A$2:$A$200,0))),"")</f>
        <v/>
      </c>
      <c r="V276" s="15" t="n"/>
      <c r="W276" s="5" t="inlineStr">
        <is>
          <t>N</t>
        </is>
      </c>
      <c r="X276" s="5" t="n"/>
      <c r="Y276" s="5" t="n"/>
      <c r="Z276" s="5" t="n"/>
      <c r="AA276" s="10">
        <f>IFERROR(IF(INDEX('Test catalog'!$O$2:$O$200,MATCH($AB276,'Test catalog'!$A$2:$A$200,0))="","",INDEX('Test catalog'!$O$2:$O$200,MATCH($AB276,'Test catalog'!$A$2:$A$200,0))),"")</f>
        <v/>
      </c>
      <c r="AB276" s="10" t="inlineStr">
        <is>
          <t>LOD</t>
        </is>
      </c>
      <c r="AC276" s="10" t="inlineStr">
        <is>
          <t>Hydrochlorothiazide · Specific Tests &lt;731&gt;</t>
        </is>
      </c>
      <c r="AD276" s="10" t="n"/>
      <c r="AE276" s="10" t="n"/>
    </row>
    <row r="277">
      <c r="A277" s="10" t="inlineStr">
        <is>
          <t>Inositol (Vitamin B8)</t>
        </is>
      </c>
      <c r="B277" s="10" t="inlineStr">
        <is>
          <t>RM</t>
        </is>
      </c>
      <c r="C277" s="10" t="inlineStr">
        <is>
          <t>Active</t>
        </is>
      </c>
      <c r="D277" s="10" t="inlineStr">
        <is>
          <t>Appearance / description and solubility</t>
        </is>
      </c>
      <c r="E277" s="10">
        <f>IF(A277="","",A277&amp;"|"&amp;D277)</f>
        <v/>
      </c>
      <c r="F277" s="5" t="inlineStr">
        <is>
          <t>Y</t>
        </is>
      </c>
      <c r="G277" s="5" t="inlineStr">
        <is>
          <t>Other / bench</t>
        </is>
      </c>
      <c r="H277" s="5" t="inlineStr">
        <is>
          <t>Low</t>
        </is>
      </c>
      <c r="I277" s="5" t="n">
        <v>1</v>
      </c>
      <c r="J277" s="5" t="n"/>
      <c r="K277" s="10">
        <f>IFERROR(IF(INDEX('Test catalog'!$F$2:$F$200,MATCH($AB277,'Test catalog'!$A$2:$A$200,0))="","",INDEX('Test catalog'!$F$2:$F$200,MATCH($AB277,'Test catalog'!$A$2:$A$200,0))),"")</f>
        <v/>
      </c>
      <c r="L277" s="10">
        <f>IFERROR(IF(INDEX('Test catalog'!$G$2:$G$200,MATCH($AB277,'Test catalog'!$A$2:$A$200,0))="","",INDEX('Test catalog'!$G$2:$G$200,MATCH($AB277,'Test catalog'!$A$2:$A$200,0))),"")</f>
        <v/>
      </c>
      <c r="M277" s="10">
        <f>IFERROR(IF(INDEX('Test catalog'!$H$2:$H$200,MATCH($AB277,'Test catalog'!$A$2:$A$200,0))="","",INDEX('Test catalog'!$H$2:$H$200,MATCH($AB277,'Test catalog'!$A$2:$A$200,0))),"")</f>
        <v/>
      </c>
      <c r="N277" s="10">
        <f>IFERROR(IF(INDEX('Test catalog'!$I$2:$I$200,MATCH($AB277,'Test catalog'!$A$2:$A$200,0))="","",INDEX('Test catalog'!$I$2:$I$200,MATCH($AB277,'Test catalog'!$A$2:$A$200,0))),"")</f>
        <v/>
      </c>
      <c r="O277" s="10">
        <f>IFERROR(IF(INDEX('Test catalog'!$J$2:$J$200,MATCH($AB277,'Test catalog'!$A$2:$A$200,0))="","",INDEX('Test catalog'!$J$2:$J$200,MATCH($AB277,'Test catalog'!$A$2:$A$200,0))),"")</f>
        <v/>
      </c>
      <c r="P277" s="14">
        <f>IF(N277="","",IF(OR(M277="",O277=""),N277,(M277+4*N277+O277)/6))</f>
        <v/>
      </c>
      <c r="Q277" s="10">
        <f>IFERROR(IF(INDEX('Test catalog'!$K$2:$K$200,MATCH($AB277,'Test catalog'!$A$2:$A$200,0))="","",INDEX('Test catalog'!$K$2:$K$200,MATCH($AB277,'Test catalog'!$A$2:$A$200,0))),"")</f>
        <v/>
      </c>
      <c r="R277" s="5" t="n"/>
      <c r="S277" s="10">
        <f>IFERROR(IF(INDEX('Test catalog'!$L$2:$L$200,MATCH($AB277,'Test catalog'!$A$2:$A$200,0))="","",INDEX('Test catalog'!$L$2:$L$200,MATCH($AB277,'Test catalog'!$A$2:$A$200,0))),"")</f>
        <v/>
      </c>
      <c r="T277" s="10">
        <f>IFERROR(IF(INDEX('Test catalog'!$M$2:$M$200,MATCH($AB277,'Test catalog'!$A$2:$A$200,0))="","",INDEX('Test catalog'!$M$2:$M$200,MATCH($AB277,'Test catalog'!$A$2:$A$200,0))),"")</f>
        <v/>
      </c>
      <c r="U277" s="10">
        <f>IFERROR(IF(INDEX('Test catalog'!$N$2:$N$200,MATCH($AB277,'Test catalog'!$A$2:$A$200,0))="","",INDEX('Test catalog'!$N$2:$N$200,MATCH($AB277,'Test catalog'!$A$2:$A$200,0))),"")</f>
        <v/>
      </c>
      <c r="V277" s="15" t="n"/>
      <c r="W277" s="5" t="inlineStr">
        <is>
          <t>N</t>
        </is>
      </c>
      <c r="X277" s="5" t="n"/>
      <c r="Y277" s="5" t="n"/>
      <c r="Z277" s="5" t="n"/>
      <c r="AA277" s="10">
        <f>IFERROR(IF(INDEX('Test catalog'!$O$2:$O$200,MATCH($AB277,'Test catalog'!$A$2:$A$200,0))="","",INDEX('Test catalog'!$O$2:$O$200,MATCH($AB277,'Test catalog'!$A$2:$A$200,0))),"")</f>
        <v/>
      </c>
      <c r="AB277" s="10" t="inlineStr">
        <is>
          <t>APPEAR</t>
        </is>
      </c>
      <c r="AC277" s="10" t="inlineStr">
        <is>
          <t>Lab practice (not a USP test)</t>
        </is>
      </c>
      <c r="AD277" s="10" t="n"/>
      <c r="AE277" s="10" t="n"/>
    </row>
    <row r="278">
      <c r="A278" s="10" t="inlineStr">
        <is>
          <t>Inositol (Vitamin B8)</t>
        </is>
      </c>
      <c r="B278" s="10" t="inlineStr">
        <is>
          <t>RM</t>
        </is>
      </c>
      <c r="C278" s="10" t="inlineStr">
        <is>
          <t>Active</t>
        </is>
      </c>
      <c r="D278" s="10" t="inlineStr">
        <is>
          <t>ID A - IR spectrum</t>
        </is>
      </c>
      <c r="E278" s="10">
        <f>IF(A278="","",A278&amp;"|"&amp;D278)</f>
        <v/>
      </c>
      <c r="F278" s="5" t="inlineStr">
        <is>
          <t>Y</t>
        </is>
      </c>
      <c r="G278" s="5" t="inlineStr">
        <is>
          <t>Other / bench</t>
        </is>
      </c>
      <c r="H278" s="5" t="inlineStr">
        <is>
          <t>Low</t>
        </is>
      </c>
      <c r="I278" s="5" t="n">
        <v>1</v>
      </c>
      <c r="J278" s="5" t="n"/>
      <c r="K278" s="10">
        <f>IFERROR(IF(INDEX('Test catalog'!$F$2:$F$200,MATCH($AB278,'Test catalog'!$A$2:$A$200,0))="","",INDEX('Test catalog'!$F$2:$F$200,MATCH($AB278,'Test catalog'!$A$2:$A$200,0))),"")</f>
        <v/>
      </c>
      <c r="L278" s="10">
        <f>IFERROR(IF(INDEX('Test catalog'!$G$2:$G$200,MATCH($AB278,'Test catalog'!$A$2:$A$200,0))="","",INDEX('Test catalog'!$G$2:$G$200,MATCH($AB278,'Test catalog'!$A$2:$A$200,0))),"")</f>
        <v/>
      </c>
      <c r="M278" s="10">
        <f>IFERROR(IF(INDEX('Test catalog'!$H$2:$H$200,MATCH($AB278,'Test catalog'!$A$2:$A$200,0))="","",INDEX('Test catalog'!$H$2:$H$200,MATCH($AB278,'Test catalog'!$A$2:$A$200,0))),"")</f>
        <v/>
      </c>
      <c r="N278" s="10">
        <f>IFERROR(IF(INDEX('Test catalog'!$I$2:$I$200,MATCH($AB278,'Test catalog'!$A$2:$A$200,0))="","",INDEX('Test catalog'!$I$2:$I$200,MATCH($AB278,'Test catalog'!$A$2:$A$200,0))),"")</f>
        <v/>
      </c>
      <c r="O278" s="10">
        <f>IFERROR(IF(INDEX('Test catalog'!$J$2:$J$200,MATCH($AB278,'Test catalog'!$A$2:$A$200,0))="","",INDEX('Test catalog'!$J$2:$J$200,MATCH($AB278,'Test catalog'!$A$2:$A$200,0))),"")</f>
        <v/>
      </c>
      <c r="P278" s="14">
        <f>IF(N278="","",IF(OR(M278="",O278=""),N278,(M278+4*N278+O278)/6))</f>
        <v/>
      </c>
      <c r="Q278" s="10">
        <f>IFERROR(IF(INDEX('Test catalog'!$K$2:$K$200,MATCH($AB278,'Test catalog'!$A$2:$A$200,0))="","",INDEX('Test catalog'!$K$2:$K$200,MATCH($AB278,'Test catalog'!$A$2:$A$200,0))),"")</f>
        <v/>
      </c>
      <c r="R278" s="5" t="n"/>
      <c r="S278" s="10">
        <f>IFERROR(IF(INDEX('Test catalog'!$L$2:$L$200,MATCH($AB278,'Test catalog'!$A$2:$A$200,0))="","",INDEX('Test catalog'!$L$2:$L$200,MATCH($AB278,'Test catalog'!$A$2:$A$200,0))),"")</f>
        <v/>
      </c>
      <c r="T278" s="10">
        <f>IFERROR(IF(INDEX('Test catalog'!$M$2:$M$200,MATCH($AB278,'Test catalog'!$A$2:$A$200,0))="","",INDEX('Test catalog'!$M$2:$M$200,MATCH($AB278,'Test catalog'!$A$2:$A$200,0))),"")</f>
        <v/>
      </c>
      <c r="U278" s="10">
        <f>IFERROR(IF(INDEX('Test catalog'!$N$2:$N$200,MATCH($AB278,'Test catalog'!$A$2:$A$200,0))="","",INDEX('Test catalog'!$N$2:$N$200,MATCH($AB278,'Test catalog'!$A$2:$A$200,0))),"")</f>
        <v/>
      </c>
      <c r="V278" s="15" t="n"/>
      <c r="W278" s="5" t="inlineStr">
        <is>
          <t>N</t>
        </is>
      </c>
      <c r="X278" s="5" t="n"/>
      <c r="Y278" s="5" t="n"/>
      <c r="Z278" s="5" t="n"/>
      <c r="AA278" s="10">
        <f>IFERROR(IF(INDEX('Test catalog'!$O$2:$O$200,MATCH($AB278,'Test catalog'!$A$2:$A$200,0))="","",INDEX('Test catalog'!$O$2:$O$200,MATCH($AB278,'Test catalog'!$A$2:$A$200,0))),"")</f>
        <v/>
      </c>
      <c r="AB278" s="10" t="inlineStr">
        <is>
          <t>ID_IR</t>
        </is>
      </c>
      <c r="AC278" s="10" t="inlineStr">
        <is>
          <t>Inositol · Identification &lt;197&gt;</t>
        </is>
      </c>
      <c r="AD278" s="10" t="n"/>
      <c r="AE278" s="10" t="n"/>
    </row>
    <row r="279">
      <c r="A279" s="10" t="inlineStr">
        <is>
          <t>Inositol (Vitamin B8)</t>
        </is>
      </c>
      <c r="B279" s="10" t="inlineStr">
        <is>
          <t>RM</t>
        </is>
      </c>
      <c r="C279" s="10" t="inlineStr">
        <is>
          <t>Active</t>
        </is>
      </c>
      <c r="D279" s="10" t="inlineStr">
        <is>
          <t>Assay (HPLC)</t>
        </is>
      </c>
      <c r="E279" s="10">
        <f>IF(A279="","",A279&amp;"|"&amp;D279)</f>
        <v/>
      </c>
      <c r="F279" s="5" t="inlineStr">
        <is>
          <t>Y</t>
        </is>
      </c>
      <c r="G279" s="5" t="inlineStr">
        <is>
          <t>HPLC</t>
        </is>
      </c>
      <c r="H279" s="5" t="inlineStr">
        <is>
          <t>Medium</t>
        </is>
      </c>
      <c r="I279" s="5" t="n">
        <v>1</v>
      </c>
      <c r="J279" s="5" t="n"/>
      <c r="K279" s="5" t="n"/>
      <c r="L279" s="5" t="n"/>
      <c r="M279" s="5" t="n"/>
      <c r="N279" s="5" t="n"/>
      <c r="O279" s="5" t="n"/>
      <c r="P279" s="14">
        <f>IF(N279="","",IF(OR(M279="",O279=""),N279,(M279+4*N279+O279)/6))</f>
        <v/>
      </c>
      <c r="Q279" s="5" t="n"/>
      <c r="R279" s="5" t="n"/>
      <c r="S279" s="5" t="n"/>
      <c r="T279" s="5" t="n"/>
      <c r="U279" s="5" t="n"/>
      <c r="V279" s="15" t="n"/>
      <c r="W279" s="5" t="inlineStr">
        <is>
          <t>N</t>
        </is>
      </c>
      <c r="X279" s="5" t="n"/>
      <c r="Y279" s="5" t="n"/>
      <c r="Z279" s="5" t="n"/>
      <c r="AA279" s="5" t="n"/>
      <c r="AB279" s="10" t="n"/>
      <c r="AC279" s="10" t="inlineStr">
        <is>
          <t>Inositol · Assay &lt;621&gt;</t>
        </is>
      </c>
      <c r="AD279" s="10" t="n"/>
      <c r="AE279" s="10" t="n"/>
    </row>
    <row r="280">
      <c r="A280" s="10" t="inlineStr">
        <is>
          <t>Inositol (Vitamin B8)</t>
        </is>
      </c>
      <c r="B280" s="10" t="inlineStr">
        <is>
          <t>RM</t>
        </is>
      </c>
      <c r="C280" s="10" t="inlineStr">
        <is>
          <t>Active</t>
        </is>
      </c>
      <c r="D280" s="10" t="inlineStr">
        <is>
          <t>Barium</t>
        </is>
      </c>
      <c r="E280" s="10">
        <f>IF(A280="","",A280&amp;"|"&amp;D280)</f>
        <v/>
      </c>
      <c r="F280" s="5" t="inlineStr">
        <is>
          <t>Y</t>
        </is>
      </c>
      <c r="G280" s="5" t="inlineStr">
        <is>
          <t>Other / bench</t>
        </is>
      </c>
      <c r="H280" s="5" t="inlineStr">
        <is>
          <t>Low</t>
        </is>
      </c>
      <c r="I280" s="5" t="n">
        <v>1</v>
      </c>
      <c r="J280" s="5" t="n"/>
      <c r="K280" s="10">
        <f>IFERROR(IF(INDEX('Test catalog'!$F$2:$F$200,MATCH($AB280,'Test catalog'!$A$2:$A$200,0))="","",INDEX('Test catalog'!$F$2:$F$200,MATCH($AB280,'Test catalog'!$A$2:$A$200,0))),"")</f>
        <v/>
      </c>
      <c r="L280" s="10">
        <f>IFERROR(IF(INDEX('Test catalog'!$G$2:$G$200,MATCH($AB280,'Test catalog'!$A$2:$A$200,0))="","",INDEX('Test catalog'!$G$2:$G$200,MATCH($AB280,'Test catalog'!$A$2:$A$200,0))),"")</f>
        <v/>
      </c>
      <c r="M280" s="10">
        <f>IFERROR(IF(INDEX('Test catalog'!$H$2:$H$200,MATCH($AB280,'Test catalog'!$A$2:$A$200,0))="","",INDEX('Test catalog'!$H$2:$H$200,MATCH($AB280,'Test catalog'!$A$2:$A$200,0))),"")</f>
        <v/>
      </c>
      <c r="N280" s="10">
        <f>IFERROR(IF(INDEX('Test catalog'!$I$2:$I$200,MATCH($AB280,'Test catalog'!$A$2:$A$200,0))="","",INDEX('Test catalog'!$I$2:$I$200,MATCH($AB280,'Test catalog'!$A$2:$A$200,0))),"")</f>
        <v/>
      </c>
      <c r="O280" s="10">
        <f>IFERROR(IF(INDEX('Test catalog'!$J$2:$J$200,MATCH($AB280,'Test catalog'!$A$2:$A$200,0))="","",INDEX('Test catalog'!$J$2:$J$200,MATCH($AB280,'Test catalog'!$A$2:$A$200,0))),"")</f>
        <v/>
      </c>
      <c r="P280" s="14">
        <f>IF(N280="","",IF(OR(M280="",O280=""),N280,(M280+4*N280+O280)/6))</f>
        <v/>
      </c>
      <c r="Q280" s="10">
        <f>IFERROR(IF(INDEX('Test catalog'!$K$2:$K$200,MATCH($AB280,'Test catalog'!$A$2:$A$200,0))="","",INDEX('Test catalog'!$K$2:$K$200,MATCH($AB280,'Test catalog'!$A$2:$A$200,0))),"")</f>
        <v/>
      </c>
      <c r="R280" s="5" t="n"/>
      <c r="S280" s="10">
        <f>IFERROR(IF(INDEX('Test catalog'!$L$2:$L$200,MATCH($AB280,'Test catalog'!$A$2:$A$200,0))="","",INDEX('Test catalog'!$L$2:$L$200,MATCH($AB280,'Test catalog'!$A$2:$A$200,0))),"")</f>
        <v/>
      </c>
      <c r="T280" s="10">
        <f>IFERROR(IF(INDEX('Test catalog'!$M$2:$M$200,MATCH($AB280,'Test catalog'!$A$2:$A$200,0))="","",INDEX('Test catalog'!$M$2:$M$200,MATCH($AB280,'Test catalog'!$A$2:$A$200,0))),"")</f>
        <v/>
      </c>
      <c r="U280" s="10">
        <f>IFERROR(IF(INDEX('Test catalog'!$N$2:$N$200,MATCH($AB280,'Test catalog'!$A$2:$A$200,0))="","",INDEX('Test catalog'!$N$2:$N$200,MATCH($AB280,'Test catalog'!$A$2:$A$200,0))),"")</f>
        <v/>
      </c>
      <c r="V280" s="15" t="n"/>
      <c r="W280" s="5" t="inlineStr">
        <is>
          <t>N</t>
        </is>
      </c>
      <c r="X280" s="5" t="n"/>
      <c r="Y280" s="5" t="n"/>
      <c r="Z280" s="5" t="n"/>
      <c r="AA280" s="10">
        <f>IFERROR(IF(INDEX('Test catalog'!$O$2:$O$200,MATCH($AB280,'Test catalog'!$A$2:$A$200,0))="","",INDEX('Test catalog'!$O$2:$O$200,MATCH($AB280,'Test catalog'!$A$2:$A$200,0))),"")</f>
        <v/>
      </c>
      <c r="AB280" s="10" t="inlineStr">
        <is>
          <t>LIMIT</t>
        </is>
      </c>
      <c r="AC280" s="10" t="inlineStr">
        <is>
          <t>Inositol · Impurities</t>
        </is>
      </c>
      <c r="AD280" s="10" t="n"/>
      <c r="AE280" s="10" t="n"/>
    </row>
    <row r="281">
      <c r="A281" s="10" t="inlineStr">
        <is>
          <t>Inositol (Vitamin B8)</t>
        </is>
      </c>
      <c r="B281" s="10" t="inlineStr">
        <is>
          <t>RM</t>
        </is>
      </c>
      <c r="C281" s="10" t="inlineStr">
        <is>
          <t>Active</t>
        </is>
      </c>
      <c r="D281" s="10" t="inlineStr">
        <is>
          <t>Limit of Lead</t>
        </is>
      </c>
      <c r="E281" s="10">
        <f>IF(A281="","",A281&amp;"|"&amp;D281)</f>
        <v/>
      </c>
      <c r="F281" s="5" t="inlineStr">
        <is>
          <t>Y</t>
        </is>
      </c>
      <c r="G281" s="5" t="inlineStr">
        <is>
          <t>AAS / ICP</t>
        </is>
      </c>
      <c r="H281" s="5" t="inlineStr">
        <is>
          <t>Low</t>
        </is>
      </c>
      <c r="I281" s="5" t="n">
        <v>1</v>
      </c>
      <c r="J281" s="5" t="n"/>
      <c r="K281" s="10">
        <f>IFERROR(IF(INDEX('Test catalog'!$F$2:$F$200,MATCH($AB281,'Test catalog'!$A$2:$A$200,0))="","",INDEX('Test catalog'!$F$2:$F$200,MATCH($AB281,'Test catalog'!$A$2:$A$200,0))),"")</f>
        <v/>
      </c>
      <c r="L281" s="10">
        <f>IFERROR(IF(INDEX('Test catalog'!$G$2:$G$200,MATCH($AB281,'Test catalog'!$A$2:$A$200,0))="","",INDEX('Test catalog'!$G$2:$G$200,MATCH($AB281,'Test catalog'!$A$2:$A$200,0))),"")</f>
        <v/>
      </c>
      <c r="M281" s="10">
        <f>IFERROR(IF(INDEX('Test catalog'!$H$2:$H$200,MATCH($AB281,'Test catalog'!$A$2:$A$200,0))="","",INDEX('Test catalog'!$H$2:$H$200,MATCH($AB281,'Test catalog'!$A$2:$A$200,0))),"")</f>
        <v/>
      </c>
      <c r="N281" s="10">
        <f>IFERROR(IF(INDEX('Test catalog'!$I$2:$I$200,MATCH($AB281,'Test catalog'!$A$2:$A$200,0))="","",INDEX('Test catalog'!$I$2:$I$200,MATCH($AB281,'Test catalog'!$A$2:$A$200,0))),"")</f>
        <v/>
      </c>
      <c r="O281" s="10">
        <f>IFERROR(IF(INDEX('Test catalog'!$J$2:$J$200,MATCH($AB281,'Test catalog'!$A$2:$A$200,0))="","",INDEX('Test catalog'!$J$2:$J$200,MATCH($AB281,'Test catalog'!$A$2:$A$200,0))),"")</f>
        <v/>
      </c>
      <c r="P281" s="14">
        <f>IF(N281="","",IF(OR(M281="",O281=""),N281,(M281+4*N281+O281)/6))</f>
        <v/>
      </c>
      <c r="Q281" s="10">
        <f>IFERROR(IF(INDEX('Test catalog'!$K$2:$K$200,MATCH($AB281,'Test catalog'!$A$2:$A$200,0))="","",INDEX('Test catalog'!$K$2:$K$200,MATCH($AB281,'Test catalog'!$A$2:$A$200,0))),"")</f>
        <v/>
      </c>
      <c r="R281" s="5" t="n"/>
      <c r="S281" s="10">
        <f>IFERROR(IF(INDEX('Test catalog'!$L$2:$L$200,MATCH($AB281,'Test catalog'!$A$2:$A$200,0))="","",INDEX('Test catalog'!$L$2:$L$200,MATCH($AB281,'Test catalog'!$A$2:$A$200,0))),"")</f>
        <v/>
      </c>
      <c r="T281" s="10">
        <f>IFERROR(IF(INDEX('Test catalog'!$M$2:$M$200,MATCH($AB281,'Test catalog'!$A$2:$A$200,0))="","",INDEX('Test catalog'!$M$2:$M$200,MATCH($AB281,'Test catalog'!$A$2:$A$200,0))),"")</f>
        <v/>
      </c>
      <c r="U281" s="10">
        <f>IFERROR(IF(INDEX('Test catalog'!$N$2:$N$200,MATCH($AB281,'Test catalog'!$A$2:$A$200,0))="","",INDEX('Test catalog'!$N$2:$N$200,MATCH($AB281,'Test catalog'!$A$2:$A$200,0))),"")</f>
        <v/>
      </c>
      <c r="V281" s="15" t="n"/>
      <c r="W281" s="5" t="inlineStr">
        <is>
          <t>N</t>
        </is>
      </c>
      <c r="X281" s="5" t="n"/>
      <c r="Y281" s="5" t="n"/>
      <c r="Z281" s="5" t="n"/>
      <c r="AA281" s="10">
        <f>IFERROR(IF(INDEX('Test catalog'!$O$2:$O$200,MATCH($AB281,'Test catalog'!$A$2:$A$200,0))="","",INDEX('Test catalog'!$O$2:$O$200,MATCH($AB281,'Test catalog'!$A$2:$A$200,0))),"")</f>
        <v/>
      </c>
      <c r="AB281" s="10" t="inlineStr">
        <is>
          <t>AAS</t>
        </is>
      </c>
      <c r="AC281" s="10" t="inlineStr">
        <is>
          <t>Inositol · Impurities</t>
        </is>
      </c>
      <c r="AD281" s="10" t="n"/>
      <c r="AE281" s="10" t="n"/>
    </row>
    <row r="282">
      <c r="A282" s="10" t="inlineStr">
        <is>
          <t>Inositol (Vitamin B8)</t>
        </is>
      </c>
      <c r="B282" s="10" t="inlineStr">
        <is>
          <t>RM</t>
        </is>
      </c>
      <c r="C282" s="10" t="inlineStr">
        <is>
          <t>Active</t>
        </is>
      </c>
      <c r="D282" s="10" t="inlineStr">
        <is>
          <t>Organic Impurities (HPLC)</t>
        </is>
      </c>
      <c r="E282" s="10">
        <f>IF(A282="","",A282&amp;"|"&amp;D282)</f>
        <v/>
      </c>
      <c r="F282" s="5" t="inlineStr">
        <is>
          <t>Y</t>
        </is>
      </c>
      <c r="G282" s="5" t="inlineStr">
        <is>
          <t>HPLC</t>
        </is>
      </c>
      <c r="H282" s="5" t="inlineStr">
        <is>
          <t>Medium</t>
        </is>
      </c>
      <c r="I282" s="5" t="n">
        <v>1</v>
      </c>
      <c r="J282" s="5" t="n"/>
      <c r="K282" s="5" t="n"/>
      <c r="L282" s="5" t="n"/>
      <c r="M282" s="5" t="n"/>
      <c r="N282" s="5" t="n"/>
      <c r="O282" s="5" t="n"/>
      <c r="P282" s="14">
        <f>IF(N282="","",IF(OR(M282="",O282=""),N282,(M282+4*N282+O282)/6))</f>
        <v/>
      </c>
      <c r="Q282" s="5" t="n"/>
      <c r="R282" s="5" t="n"/>
      <c r="S282" s="5" t="n"/>
      <c r="T282" s="5" t="n"/>
      <c r="U282" s="5" t="n"/>
      <c r="V282" s="15" t="n"/>
      <c r="W282" s="5" t="inlineStr">
        <is>
          <t>N</t>
        </is>
      </c>
      <c r="X282" s="5" t="n"/>
      <c r="Y282" s="5" t="n"/>
      <c r="Z282" s="5" t="n"/>
      <c r="AA282" s="5" t="n"/>
      <c r="AB282" s="10" t="n"/>
      <c r="AC282" s="10" t="inlineStr">
        <is>
          <t>Inositol · Impurities</t>
        </is>
      </c>
      <c r="AD282" s="10" t="n"/>
      <c r="AE282" s="10" t="n"/>
    </row>
    <row r="283">
      <c r="A283" s="10" t="inlineStr">
        <is>
          <t>Inositol (Vitamin B8)</t>
        </is>
      </c>
      <c r="B283" s="10" t="inlineStr">
        <is>
          <t>RM</t>
        </is>
      </c>
      <c r="C283" s="10" t="inlineStr">
        <is>
          <t>Active</t>
        </is>
      </c>
      <c r="D283" s="10" t="inlineStr">
        <is>
          <t>Clarity of Solution</t>
        </is>
      </c>
      <c r="E283" s="10">
        <f>IF(A283="","",A283&amp;"|"&amp;D283)</f>
        <v/>
      </c>
      <c r="F283" s="5" t="inlineStr">
        <is>
          <t>Y</t>
        </is>
      </c>
      <c r="G283" s="5" t="inlineStr">
        <is>
          <t>Other / bench</t>
        </is>
      </c>
      <c r="H283" s="5" t="inlineStr">
        <is>
          <t>Low</t>
        </is>
      </c>
      <c r="I283" s="5" t="n">
        <v>1</v>
      </c>
      <c r="J283" s="5" t="n"/>
      <c r="K283" s="10">
        <f>IFERROR(IF(INDEX('Test catalog'!$F$2:$F$200,MATCH($AB283,'Test catalog'!$A$2:$A$200,0))="","",INDEX('Test catalog'!$F$2:$F$200,MATCH($AB283,'Test catalog'!$A$2:$A$200,0))),"")</f>
        <v/>
      </c>
      <c r="L283" s="10">
        <f>IFERROR(IF(INDEX('Test catalog'!$G$2:$G$200,MATCH($AB283,'Test catalog'!$A$2:$A$200,0))="","",INDEX('Test catalog'!$G$2:$G$200,MATCH($AB283,'Test catalog'!$A$2:$A$200,0))),"")</f>
        <v/>
      </c>
      <c r="M283" s="10">
        <f>IFERROR(IF(INDEX('Test catalog'!$H$2:$H$200,MATCH($AB283,'Test catalog'!$A$2:$A$200,0))="","",INDEX('Test catalog'!$H$2:$H$200,MATCH($AB283,'Test catalog'!$A$2:$A$200,0))),"")</f>
        <v/>
      </c>
      <c r="N283" s="10">
        <f>IFERROR(IF(INDEX('Test catalog'!$I$2:$I$200,MATCH($AB283,'Test catalog'!$A$2:$A$200,0))="","",INDEX('Test catalog'!$I$2:$I$200,MATCH($AB283,'Test catalog'!$A$2:$A$200,0))),"")</f>
        <v/>
      </c>
      <c r="O283" s="10">
        <f>IFERROR(IF(INDEX('Test catalog'!$J$2:$J$200,MATCH($AB283,'Test catalog'!$A$2:$A$200,0))="","",INDEX('Test catalog'!$J$2:$J$200,MATCH($AB283,'Test catalog'!$A$2:$A$200,0))),"")</f>
        <v/>
      </c>
      <c r="P283" s="14">
        <f>IF(N283="","",IF(OR(M283="",O283=""),N283,(M283+4*N283+O283)/6))</f>
        <v/>
      </c>
      <c r="Q283" s="10">
        <f>IFERROR(IF(INDEX('Test catalog'!$K$2:$K$200,MATCH($AB283,'Test catalog'!$A$2:$A$200,0))="","",INDEX('Test catalog'!$K$2:$K$200,MATCH($AB283,'Test catalog'!$A$2:$A$200,0))),"")</f>
        <v/>
      </c>
      <c r="R283" s="5" t="n"/>
      <c r="S283" s="10">
        <f>IFERROR(IF(INDEX('Test catalog'!$L$2:$L$200,MATCH($AB283,'Test catalog'!$A$2:$A$200,0))="","",INDEX('Test catalog'!$L$2:$L$200,MATCH($AB283,'Test catalog'!$A$2:$A$200,0))),"")</f>
        <v/>
      </c>
      <c r="T283" s="10">
        <f>IFERROR(IF(INDEX('Test catalog'!$M$2:$M$200,MATCH($AB283,'Test catalog'!$A$2:$A$200,0))="","",INDEX('Test catalog'!$M$2:$M$200,MATCH($AB283,'Test catalog'!$A$2:$A$200,0))),"")</f>
        <v/>
      </c>
      <c r="U283" s="10">
        <f>IFERROR(IF(INDEX('Test catalog'!$N$2:$N$200,MATCH($AB283,'Test catalog'!$A$2:$A$200,0))="","",INDEX('Test catalog'!$N$2:$N$200,MATCH($AB283,'Test catalog'!$A$2:$A$200,0))),"")</f>
        <v/>
      </c>
      <c r="V283" s="15" t="n"/>
      <c r="W283" s="5" t="inlineStr">
        <is>
          <t>N</t>
        </is>
      </c>
      <c r="X283" s="5" t="n"/>
      <c r="Y283" s="5" t="n"/>
      <c r="Z283" s="5" t="n"/>
      <c r="AA283" s="10">
        <f>IFERROR(IF(INDEX('Test catalog'!$O$2:$O$200,MATCH($AB283,'Test catalog'!$A$2:$A$200,0))="","",INDEX('Test catalog'!$O$2:$O$200,MATCH($AB283,'Test catalog'!$A$2:$A$200,0))),"")</f>
        <v/>
      </c>
      <c r="AB283" s="10" t="inlineStr">
        <is>
          <t>CLAR</t>
        </is>
      </c>
      <c r="AC283" s="10" t="inlineStr">
        <is>
          <t>Inositol · Specific Tests</t>
        </is>
      </c>
      <c r="AD283" s="10" t="n"/>
      <c r="AE283" s="10" t="n"/>
    </row>
    <row r="284">
      <c r="A284" s="10" t="inlineStr">
        <is>
          <t>Inositol (Vitamin B8)</t>
        </is>
      </c>
      <c r="B284" s="10" t="inlineStr">
        <is>
          <t>RM</t>
        </is>
      </c>
      <c r="C284" s="10" t="inlineStr">
        <is>
          <t>Active</t>
        </is>
      </c>
      <c r="D284" s="10" t="inlineStr">
        <is>
          <t>Color of Solution</t>
        </is>
      </c>
      <c r="E284" s="10">
        <f>IF(A284="","",A284&amp;"|"&amp;D284)</f>
        <v/>
      </c>
      <c r="F284" s="5" t="inlineStr">
        <is>
          <t>Y</t>
        </is>
      </c>
      <c r="G284" s="5" t="inlineStr">
        <is>
          <t>Other / bench</t>
        </is>
      </c>
      <c r="H284" s="5" t="inlineStr">
        <is>
          <t>Low</t>
        </is>
      </c>
      <c r="I284" s="5" t="n">
        <v>1</v>
      </c>
      <c r="J284" s="5" t="n"/>
      <c r="K284" s="10">
        <f>IFERROR(IF(INDEX('Test catalog'!$F$2:$F$200,MATCH($AB284,'Test catalog'!$A$2:$A$200,0))="","",INDEX('Test catalog'!$F$2:$F$200,MATCH($AB284,'Test catalog'!$A$2:$A$200,0))),"")</f>
        <v/>
      </c>
      <c r="L284" s="10">
        <f>IFERROR(IF(INDEX('Test catalog'!$G$2:$G$200,MATCH($AB284,'Test catalog'!$A$2:$A$200,0))="","",INDEX('Test catalog'!$G$2:$G$200,MATCH($AB284,'Test catalog'!$A$2:$A$200,0))),"")</f>
        <v/>
      </c>
      <c r="M284" s="10">
        <f>IFERROR(IF(INDEX('Test catalog'!$H$2:$H$200,MATCH($AB284,'Test catalog'!$A$2:$A$200,0))="","",INDEX('Test catalog'!$H$2:$H$200,MATCH($AB284,'Test catalog'!$A$2:$A$200,0))),"")</f>
        <v/>
      </c>
      <c r="N284" s="10">
        <f>IFERROR(IF(INDEX('Test catalog'!$I$2:$I$200,MATCH($AB284,'Test catalog'!$A$2:$A$200,0))="","",INDEX('Test catalog'!$I$2:$I$200,MATCH($AB284,'Test catalog'!$A$2:$A$200,0))),"")</f>
        <v/>
      </c>
      <c r="O284" s="10">
        <f>IFERROR(IF(INDEX('Test catalog'!$J$2:$J$200,MATCH($AB284,'Test catalog'!$A$2:$A$200,0))="","",INDEX('Test catalog'!$J$2:$J$200,MATCH($AB284,'Test catalog'!$A$2:$A$200,0))),"")</f>
        <v/>
      </c>
      <c r="P284" s="14">
        <f>IF(N284="","",IF(OR(M284="",O284=""),N284,(M284+4*N284+O284)/6))</f>
        <v/>
      </c>
      <c r="Q284" s="10">
        <f>IFERROR(IF(INDEX('Test catalog'!$K$2:$K$200,MATCH($AB284,'Test catalog'!$A$2:$A$200,0))="","",INDEX('Test catalog'!$K$2:$K$200,MATCH($AB284,'Test catalog'!$A$2:$A$200,0))),"")</f>
        <v/>
      </c>
      <c r="R284" s="5" t="n"/>
      <c r="S284" s="10">
        <f>IFERROR(IF(INDEX('Test catalog'!$L$2:$L$200,MATCH($AB284,'Test catalog'!$A$2:$A$200,0))="","",INDEX('Test catalog'!$L$2:$L$200,MATCH($AB284,'Test catalog'!$A$2:$A$200,0))),"")</f>
        <v/>
      </c>
      <c r="T284" s="10">
        <f>IFERROR(IF(INDEX('Test catalog'!$M$2:$M$200,MATCH($AB284,'Test catalog'!$A$2:$A$200,0))="","",INDEX('Test catalog'!$M$2:$M$200,MATCH($AB284,'Test catalog'!$A$2:$A$200,0))),"")</f>
        <v/>
      </c>
      <c r="U284" s="10">
        <f>IFERROR(IF(INDEX('Test catalog'!$N$2:$N$200,MATCH($AB284,'Test catalog'!$A$2:$A$200,0))="","",INDEX('Test catalog'!$N$2:$N$200,MATCH($AB284,'Test catalog'!$A$2:$A$200,0))),"")</f>
        <v/>
      </c>
      <c r="V284" s="15" t="n"/>
      <c r="W284" s="5" t="inlineStr">
        <is>
          <t>N</t>
        </is>
      </c>
      <c r="X284" s="5" t="n"/>
      <c r="Y284" s="5" t="n"/>
      <c r="Z284" s="5" t="n"/>
      <c r="AA284" s="10">
        <f>IFERROR(IF(INDEX('Test catalog'!$O$2:$O$200,MATCH($AB284,'Test catalog'!$A$2:$A$200,0))="","",INDEX('Test catalog'!$O$2:$O$200,MATCH($AB284,'Test catalog'!$A$2:$A$200,0))),"")</f>
        <v/>
      </c>
      <c r="AB284" s="10" t="inlineStr">
        <is>
          <t>CLAR</t>
        </is>
      </c>
      <c r="AC284" s="10" t="inlineStr">
        <is>
          <t>Inositol · Specific Tests</t>
        </is>
      </c>
      <c r="AD284" s="10" t="n"/>
      <c r="AE284" s="10" t="n"/>
    </row>
    <row r="285">
      <c r="A285" s="10" t="inlineStr">
        <is>
          <t>Inositol (Vitamin B8)</t>
        </is>
      </c>
      <c r="B285" s="10" t="inlineStr">
        <is>
          <t>RM</t>
        </is>
      </c>
      <c r="C285" s="10" t="inlineStr">
        <is>
          <t>Active</t>
        </is>
      </c>
      <c r="D285" s="10" t="inlineStr">
        <is>
          <t>Conductivity</t>
        </is>
      </c>
      <c r="E285" s="10">
        <f>IF(A285="","",A285&amp;"|"&amp;D285)</f>
        <v/>
      </c>
      <c r="F285" s="5" t="inlineStr">
        <is>
          <t>Y</t>
        </is>
      </c>
      <c r="G285" s="5" t="inlineStr">
        <is>
          <t>Other / bench</t>
        </is>
      </c>
      <c r="H285" s="5" t="inlineStr">
        <is>
          <t>Low</t>
        </is>
      </c>
      <c r="I285" s="5" t="n">
        <v>1</v>
      </c>
      <c r="J285" s="5" t="n"/>
      <c r="K285" s="10">
        <f>IFERROR(IF(INDEX('Test catalog'!$F$2:$F$200,MATCH($AB285,'Test catalog'!$A$2:$A$200,0))="","",INDEX('Test catalog'!$F$2:$F$200,MATCH($AB285,'Test catalog'!$A$2:$A$200,0))),"")</f>
        <v/>
      </c>
      <c r="L285" s="10">
        <f>IFERROR(IF(INDEX('Test catalog'!$G$2:$G$200,MATCH($AB285,'Test catalog'!$A$2:$A$200,0))="","",INDEX('Test catalog'!$G$2:$G$200,MATCH($AB285,'Test catalog'!$A$2:$A$200,0))),"")</f>
        <v/>
      </c>
      <c r="M285" s="10">
        <f>IFERROR(IF(INDEX('Test catalog'!$H$2:$H$200,MATCH($AB285,'Test catalog'!$A$2:$A$200,0))="","",INDEX('Test catalog'!$H$2:$H$200,MATCH($AB285,'Test catalog'!$A$2:$A$200,0))),"")</f>
        <v/>
      </c>
      <c r="N285" s="10">
        <f>IFERROR(IF(INDEX('Test catalog'!$I$2:$I$200,MATCH($AB285,'Test catalog'!$A$2:$A$200,0))="","",INDEX('Test catalog'!$I$2:$I$200,MATCH($AB285,'Test catalog'!$A$2:$A$200,0))),"")</f>
        <v/>
      </c>
      <c r="O285" s="10">
        <f>IFERROR(IF(INDEX('Test catalog'!$J$2:$J$200,MATCH($AB285,'Test catalog'!$A$2:$A$200,0))="","",INDEX('Test catalog'!$J$2:$J$200,MATCH($AB285,'Test catalog'!$A$2:$A$200,0))),"")</f>
        <v/>
      </c>
      <c r="P285" s="14">
        <f>IF(N285="","",IF(OR(M285="",O285=""),N285,(M285+4*N285+O285)/6))</f>
        <v/>
      </c>
      <c r="Q285" s="10">
        <f>IFERROR(IF(INDEX('Test catalog'!$K$2:$K$200,MATCH($AB285,'Test catalog'!$A$2:$A$200,0))="","",INDEX('Test catalog'!$K$2:$K$200,MATCH($AB285,'Test catalog'!$A$2:$A$200,0))),"")</f>
        <v/>
      </c>
      <c r="R285" s="5" t="n"/>
      <c r="S285" s="10">
        <f>IFERROR(IF(INDEX('Test catalog'!$L$2:$L$200,MATCH($AB285,'Test catalog'!$A$2:$A$200,0))="","",INDEX('Test catalog'!$L$2:$L$200,MATCH($AB285,'Test catalog'!$A$2:$A$200,0))),"")</f>
        <v/>
      </c>
      <c r="T285" s="10">
        <f>IFERROR(IF(INDEX('Test catalog'!$M$2:$M$200,MATCH($AB285,'Test catalog'!$A$2:$A$200,0))="","",INDEX('Test catalog'!$M$2:$M$200,MATCH($AB285,'Test catalog'!$A$2:$A$200,0))),"")</f>
        <v/>
      </c>
      <c r="U285" s="10">
        <f>IFERROR(IF(INDEX('Test catalog'!$N$2:$N$200,MATCH($AB285,'Test catalog'!$A$2:$A$200,0))="","",INDEX('Test catalog'!$N$2:$N$200,MATCH($AB285,'Test catalog'!$A$2:$A$200,0))),"")</f>
        <v/>
      </c>
      <c r="V285" s="15" t="n"/>
      <c r="W285" s="5" t="inlineStr">
        <is>
          <t>N</t>
        </is>
      </c>
      <c r="X285" s="5" t="n"/>
      <c r="Y285" s="5" t="n"/>
      <c r="Z285" s="5" t="n"/>
      <c r="AA285" s="10">
        <f>IFERROR(IF(INDEX('Test catalog'!$O$2:$O$200,MATCH($AB285,'Test catalog'!$A$2:$A$200,0))="","",INDEX('Test catalog'!$O$2:$O$200,MATCH($AB285,'Test catalog'!$A$2:$A$200,0))),"")</f>
        <v/>
      </c>
      <c r="AB285" s="10" t="inlineStr">
        <is>
          <t>COND</t>
        </is>
      </c>
      <c r="AC285" s="10" t="inlineStr">
        <is>
          <t>Inositol · Specific Tests</t>
        </is>
      </c>
      <c r="AD285" s="10" t="n"/>
      <c r="AE285" s="10" t="n"/>
    </row>
    <row r="286">
      <c r="A286" s="10" t="inlineStr">
        <is>
          <t>Inositol (Vitamin B8)</t>
        </is>
      </c>
      <c r="B286" s="10" t="inlineStr">
        <is>
          <t>RM</t>
        </is>
      </c>
      <c r="C286" s="10" t="inlineStr">
        <is>
          <t>Active</t>
        </is>
      </c>
      <c r="D286" s="10" t="inlineStr">
        <is>
          <t>Water Determination, Method I</t>
        </is>
      </c>
      <c r="E286" s="10">
        <f>IF(A286="","",A286&amp;"|"&amp;D286)</f>
        <v/>
      </c>
      <c r="F286" s="5" t="inlineStr">
        <is>
          <t>Y</t>
        </is>
      </c>
      <c r="G286" s="5" t="inlineStr">
        <is>
          <t>KF titrator</t>
        </is>
      </c>
      <c r="H286" s="5" t="inlineStr">
        <is>
          <t>Low</t>
        </is>
      </c>
      <c r="I286" s="5" t="n">
        <v>1</v>
      </c>
      <c r="J286" s="5" t="n"/>
      <c r="K286" s="10">
        <f>IFERROR(IF(INDEX('Test catalog'!$F$2:$F$200,MATCH($AB286,'Test catalog'!$A$2:$A$200,0))="","",INDEX('Test catalog'!$F$2:$F$200,MATCH($AB286,'Test catalog'!$A$2:$A$200,0))),"")</f>
        <v/>
      </c>
      <c r="L286" s="10">
        <f>IFERROR(IF(INDEX('Test catalog'!$G$2:$G$200,MATCH($AB286,'Test catalog'!$A$2:$A$200,0))="","",INDEX('Test catalog'!$G$2:$G$200,MATCH($AB286,'Test catalog'!$A$2:$A$200,0))),"")</f>
        <v/>
      </c>
      <c r="M286" s="10">
        <f>IFERROR(IF(INDEX('Test catalog'!$H$2:$H$200,MATCH($AB286,'Test catalog'!$A$2:$A$200,0))="","",INDEX('Test catalog'!$H$2:$H$200,MATCH($AB286,'Test catalog'!$A$2:$A$200,0))),"")</f>
        <v/>
      </c>
      <c r="N286" s="10">
        <f>IFERROR(IF(INDEX('Test catalog'!$I$2:$I$200,MATCH($AB286,'Test catalog'!$A$2:$A$200,0))="","",INDEX('Test catalog'!$I$2:$I$200,MATCH($AB286,'Test catalog'!$A$2:$A$200,0))),"")</f>
        <v/>
      </c>
      <c r="O286" s="10">
        <f>IFERROR(IF(INDEX('Test catalog'!$J$2:$J$200,MATCH($AB286,'Test catalog'!$A$2:$A$200,0))="","",INDEX('Test catalog'!$J$2:$J$200,MATCH($AB286,'Test catalog'!$A$2:$A$200,0))),"")</f>
        <v/>
      </c>
      <c r="P286" s="14">
        <f>IF(N286="","",IF(OR(M286="",O286=""),N286,(M286+4*N286+O286)/6))</f>
        <v/>
      </c>
      <c r="Q286" s="10">
        <f>IFERROR(IF(INDEX('Test catalog'!$K$2:$K$200,MATCH($AB286,'Test catalog'!$A$2:$A$200,0))="","",INDEX('Test catalog'!$K$2:$K$200,MATCH($AB286,'Test catalog'!$A$2:$A$200,0))),"")</f>
        <v/>
      </c>
      <c r="R286" s="5" t="n"/>
      <c r="S286" s="10">
        <f>IFERROR(IF(INDEX('Test catalog'!$L$2:$L$200,MATCH($AB286,'Test catalog'!$A$2:$A$200,0))="","",INDEX('Test catalog'!$L$2:$L$200,MATCH($AB286,'Test catalog'!$A$2:$A$200,0))),"")</f>
        <v/>
      </c>
      <c r="T286" s="10">
        <f>IFERROR(IF(INDEX('Test catalog'!$M$2:$M$200,MATCH($AB286,'Test catalog'!$A$2:$A$200,0))="","",INDEX('Test catalog'!$M$2:$M$200,MATCH($AB286,'Test catalog'!$A$2:$A$200,0))),"")</f>
        <v/>
      </c>
      <c r="U286" s="10">
        <f>IFERROR(IF(INDEX('Test catalog'!$N$2:$N$200,MATCH($AB286,'Test catalog'!$A$2:$A$200,0))="","",INDEX('Test catalog'!$N$2:$N$200,MATCH($AB286,'Test catalog'!$A$2:$A$200,0))),"")</f>
        <v/>
      </c>
      <c r="V286" s="15" t="n"/>
      <c r="W286" s="5" t="inlineStr">
        <is>
          <t>N</t>
        </is>
      </c>
      <c r="X286" s="5" t="n"/>
      <c r="Y286" s="5" t="n"/>
      <c r="Z286" s="5" t="n"/>
      <c r="AA286" s="10">
        <f>IFERROR(IF(INDEX('Test catalog'!$O$2:$O$200,MATCH($AB286,'Test catalog'!$A$2:$A$200,0))="","",INDEX('Test catalog'!$O$2:$O$200,MATCH($AB286,'Test catalog'!$A$2:$A$200,0))),"")</f>
        <v/>
      </c>
      <c r="AB286" s="10" t="inlineStr">
        <is>
          <t>KF</t>
        </is>
      </c>
      <c r="AC286" s="10" t="inlineStr">
        <is>
          <t>Inositol · Specific Tests &lt;921&gt;</t>
        </is>
      </c>
      <c r="AD286" s="10" t="n"/>
      <c r="AE286" s="10" t="n"/>
    </row>
    <row r="287">
      <c r="A287" s="10" t="inlineStr">
        <is>
          <t>Juniper Communis Fruit Dry Extract 2:1</t>
        </is>
      </c>
      <c r="B287" s="10" t="inlineStr">
        <is>
          <t>RM</t>
        </is>
      </c>
      <c r="C287" s="10" t="inlineStr">
        <is>
          <t>Active</t>
        </is>
      </c>
      <c r="D287" s="10" t="inlineStr">
        <is>
          <t>Assay + related substances</t>
        </is>
      </c>
      <c r="E287" s="10">
        <f>IF(A287="","",A287&amp;"|"&amp;D287)</f>
        <v/>
      </c>
      <c r="F287" s="5" t="inlineStr">
        <is>
          <t>Y</t>
        </is>
      </c>
      <c r="G287" s="5" t="inlineStr">
        <is>
          <t>HPLC</t>
        </is>
      </c>
      <c r="H287" s="5" t="inlineStr">
        <is>
          <t>Medium</t>
        </is>
      </c>
      <c r="I287" s="5" t="n">
        <v>1</v>
      </c>
      <c r="J287" s="5" t="n"/>
      <c r="K287" s="5" t="n"/>
      <c r="L287" s="5" t="n"/>
      <c r="M287" s="5" t="n"/>
      <c r="N287" s="5" t="n"/>
      <c r="O287" s="5" t="n"/>
      <c r="P287" s="14">
        <f>IF(N287="","",IF(OR(M287="",O287=""),N287,(M287+4*N287+O287)/6))</f>
        <v/>
      </c>
      <c r="Q287" s="5" t="n"/>
      <c r="R287" s="5" t="n"/>
      <c r="S287" s="5" t="n"/>
      <c r="T287" s="5" t="n"/>
      <c r="U287" s="5" t="n"/>
      <c r="V287" s="15" t="n"/>
      <c r="W287" s="5" t="inlineStr">
        <is>
          <t>N</t>
        </is>
      </c>
      <c r="X287" s="5" t="n"/>
      <c r="Y287" s="5" t="n"/>
      <c r="Z287" s="5" t="n"/>
      <c r="AA287" s="5" t="n"/>
      <c r="AB287" s="10" t="n"/>
      <c r="AC287" s="10" t="n"/>
      <c r="AD287" s="10" t="inlineStr">
        <is>
          <t>No USP-NF monograph - in-house / supplier spec</t>
        </is>
      </c>
      <c r="AE287" s="10" t="n">
        <v>0.5</v>
      </c>
      <c r="AF287" s="10" t="inlineStr">
        <is>
          <t>Identification</t>
        </is>
      </c>
    </row>
    <row r="288">
      <c r="A288" s="10" t="inlineStr">
        <is>
          <t>Juniper Communis Fruit Dry Extract 2:1</t>
        </is>
      </c>
      <c r="B288" s="10" t="inlineStr">
        <is>
          <t>RM</t>
        </is>
      </c>
      <c r="C288" s="10" t="inlineStr">
        <is>
          <t>Active</t>
        </is>
      </c>
      <c r="D288" s="10" t="inlineStr">
        <is>
          <t>Other compendial tests (ID, LOD/KF, heavy metals...)</t>
        </is>
      </c>
      <c r="E288" s="10">
        <f>IF(A288="","",A288&amp;"|"&amp;D288)</f>
        <v/>
      </c>
      <c r="F288" s="5" t="inlineStr">
        <is>
          <t>Y</t>
        </is>
      </c>
      <c r="G288" s="5" t="inlineStr">
        <is>
          <t>Other / bench</t>
        </is>
      </c>
      <c r="H288" s="5" t="inlineStr">
        <is>
          <t>Low</t>
        </is>
      </c>
      <c r="I288" s="5" t="n">
        <v>1</v>
      </c>
      <c r="J288" s="5" t="n"/>
      <c r="K288" s="5" t="n"/>
      <c r="L288" s="5" t="n"/>
      <c r="M288" s="5" t="n"/>
      <c r="N288" s="5" t="n"/>
      <c r="O288" s="5" t="n"/>
      <c r="P288" s="14">
        <f>IF(N288="","",IF(OR(M288="",O288=""),N288,(M288+4*N288+O288)/6))</f>
        <v/>
      </c>
      <c r="Q288" s="5" t="n"/>
      <c r="R288" s="5" t="n"/>
      <c r="S288" s="5" t="n"/>
      <c r="T288" s="5" t="n"/>
      <c r="U288" s="5" t="n"/>
      <c r="V288" s="15" t="n"/>
      <c r="W288" s="5" t="inlineStr">
        <is>
          <t>N</t>
        </is>
      </c>
      <c r="X288" s="5" t="n"/>
      <c r="Y288" s="5" t="n"/>
      <c r="Z288" s="5" t="n"/>
      <c r="AA288" s="5" t="n"/>
      <c r="AB288" s="10" t="n"/>
      <c r="AC288" s="10" t="n"/>
      <c r="AD288" s="10" t="inlineStr">
        <is>
          <t>No USP-NF monograph - in-house / supplier spec</t>
        </is>
      </c>
      <c r="AE288" s="10" t="n">
        <v>3.05</v>
      </c>
      <c r="AF288" s="10" t="inlineStr">
        <is>
          <t>Appearance-Colour-Odour- Particle Size-Loss on Drying- Ash Content</t>
        </is>
      </c>
    </row>
    <row r="289">
      <c r="A289" s="10" t="inlineStr">
        <is>
          <t>L-Arginine</t>
        </is>
      </c>
      <c r="B289" s="10" t="inlineStr">
        <is>
          <t>RM</t>
        </is>
      </c>
      <c r="C289" s="10" t="inlineStr">
        <is>
          <t>Active</t>
        </is>
      </c>
      <c r="D289" s="10" t="inlineStr">
        <is>
          <t>Appearance / description and solubility</t>
        </is>
      </c>
      <c r="E289" s="10">
        <f>IF(A289="","",A289&amp;"|"&amp;D289)</f>
        <v/>
      </c>
      <c r="F289" s="5" t="inlineStr">
        <is>
          <t>Y</t>
        </is>
      </c>
      <c r="G289" s="5" t="inlineStr">
        <is>
          <t>Other / bench</t>
        </is>
      </c>
      <c r="H289" s="5" t="inlineStr">
        <is>
          <t>Low</t>
        </is>
      </c>
      <c r="I289" s="5" t="n">
        <v>1</v>
      </c>
      <c r="J289" s="5" t="n"/>
      <c r="K289" s="10">
        <f>IFERROR(IF(INDEX('Test catalog'!$F$2:$F$200,MATCH($AB289,'Test catalog'!$A$2:$A$200,0))="","",INDEX('Test catalog'!$F$2:$F$200,MATCH($AB289,'Test catalog'!$A$2:$A$200,0))),"")</f>
        <v/>
      </c>
      <c r="L289" s="10">
        <f>IFERROR(IF(INDEX('Test catalog'!$G$2:$G$200,MATCH($AB289,'Test catalog'!$A$2:$A$200,0))="","",INDEX('Test catalog'!$G$2:$G$200,MATCH($AB289,'Test catalog'!$A$2:$A$200,0))),"")</f>
        <v/>
      </c>
      <c r="M289" s="10">
        <f>IFERROR(IF(INDEX('Test catalog'!$H$2:$H$200,MATCH($AB289,'Test catalog'!$A$2:$A$200,0))="","",INDEX('Test catalog'!$H$2:$H$200,MATCH($AB289,'Test catalog'!$A$2:$A$200,0))),"")</f>
        <v/>
      </c>
      <c r="N289" s="10">
        <f>IFERROR(IF(INDEX('Test catalog'!$I$2:$I$200,MATCH($AB289,'Test catalog'!$A$2:$A$200,0))="","",INDEX('Test catalog'!$I$2:$I$200,MATCH($AB289,'Test catalog'!$A$2:$A$200,0))),"")</f>
        <v/>
      </c>
      <c r="O289" s="10">
        <f>IFERROR(IF(INDEX('Test catalog'!$J$2:$J$200,MATCH($AB289,'Test catalog'!$A$2:$A$200,0))="","",INDEX('Test catalog'!$J$2:$J$200,MATCH($AB289,'Test catalog'!$A$2:$A$200,0))),"")</f>
        <v/>
      </c>
      <c r="P289" s="14">
        <f>IF(N289="","",IF(OR(M289="",O289=""),N289,(M289+4*N289+O289)/6))</f>
        <v/>
      </c>
      <c r="Q289" s="10">
        <f>IFERROR(IF(INDEX('Test catalog'!$K$2:$K$200,MATCH($AB289,'Test catalog'!$A$2:$A$200,0))="","",INDEX('Test catalog'!$K$2:$K$200,MATCH($AB289,'Test catalog'!$A$2:$A$200,0))),"")</f>
        <v/>
      </c>
      <c r="R289" s="5" t="n"/>
      <c r="S289" s="10">
        <f>IFERROR(IF(INDEX('Test catalog'!$L$2:$L$200,MATCH($AB289,'Test catalog'!$A$2:$A$200,0))="","",INDEX('Test catalog'!$L$2:$L$200,MATCH($AB289,'Test catalog'!$A$2:$A$200,0))),"")</f>
        <v/>
      </c>
      <c r="T289" s="10">
        <f>IFERROR(IF(INDEX('Test catalog'!$M$2:$M$200,MATCH($AB289,'Test catalog'!$A$2:$A$200,0))="","",INDEX('Test catalog'!$M$2:$M$200,MATCH($AB289,'Test catalog'!$A$2:$A$200,0))),"")</f>
        <v/>
      </c>
      <c r="U289" s="10">
        <f>IFERROR(IF(INDEX('Test catalog'!$N$2:$N$200,MATCH($AB289,'Test catalog'!$A$2:$A$200,0))="","",INDEX('Test catalog'!$N$2:$N$200,MATCH($AB289,'Test catalog'!$A$2:$A$200,0))),"")</f>
        <v/>
      </c>
      <c r="V289" s="15" t="n"/>
      <c r="W289" s="5" t="inlineStr">
        <is>
          <t>N</t>
        </is>
      </c>
      <c r="X289" s="5" t="n"/>
      <c r="Y289" s="5" t="n"/>
      <c r="Z289" s="5" t="n"/>
      <c r="AA289" s="10">
        <f>IFERROR(IF(INDEX('Test catalog'!$O$2:$O$200,MATCH($AB289,'Test catalog'!$A$2:$A$200,0))="","",INDEX('Test catalog'!$O$2:$O$200,MATCH($AB289,'Test catalog'!$A$2:$A$200,0))),"")</f>
        <v/>
      </c>
      <c r="AB289" s="10" t="inlineStr">
        <is>
          <t>APPEAR</t>
        </is>
      </c>
      <c r="AC289" s="10" t="inlineStr">
        <is>
          <t>Lab practice (not a USP test)</t>
        </is>
      </c>
      <c r="AD289" s="10" t="n"/>
      <c r="AE289" s="10" t="n"/>
    </row>
    <row r="290">
      <c r="A290" s="10" t="inlineStr">
        <is>
          <t>L-Arginine</t>
        </is>
      </c>
      <c r="B290" s="10" t="inlineStr">
        <is>
          <t>RM</t>
        </is>
      </c>
      <c r="C290" s="10" t="inlineStr">
        <is>
          <t>Active</t>
        </is>
      </c>
      <c r="D290" s="10" t="inlineStr">
        <is>
          <t>ID - IR spectrum</t>
        </is>
      </c>
      <c r="E290" s="10">
        <f>IF(A290="","",A290&amp;"|"&amp;D290)</f>
        <v/>
      </c>
      <c r="F290" s="5" t="inlineStr">
        <is>
          <t>Y</t>
        </is>
      </c>
      <c r="G290" s="5" t="inlineStr">
        <is>
          <t>Other / bench</t>
        </is>
      </c>
      <c r="H290" s="5" t="inlineStr">
        <is>
          <t>Low</t>
        </is>
      </c>
      <c r="I290" s="5" t="n">
        <v>1</v>
      </c>
      <c r="J290" s="5" t="n"/>
      <c r="K290" s="10">
        <f>IFERROR(IF(INDEX('Test catalog'!$F$2:$F$200,MATCH($AB290,'Test catalog'!$A$2:$A$200,0))="","",INDEX('Test catalog'!$F$2:$F$200,MATCH($AB290,'Test catalog'!$A$2:$A$200,0))),"")</f>
        <v/>
      </c>
      <c r="L290" s="10">
        <f>IFERROR(IF(INDEX('Test catalog'!$G$2:$G$200,MATCH($AB290,'Test catalog'!$A$2:$A$200,0))="","",INDEX('Test catalog'!$G$2:$G$200,MATCH($AB290,'Test catalog'!$A$2:$A$200,0))),"")</f>
        <v/>
      </c>
      <c r="M290" s="10">
        <f>IFERROR(IF(INDEX('Test catalog'!$H$2:$H$200,MATCH($AB290,'Test catalog'!$A$2:$A$200,0))="","",INDEX('Test catalog'!$H$2:$H$200,MATCH($AB290,'Test catalog'!$A$2:$A$200,0))),"")</f>
        <v/>
      </c>
      <c r="N290" s="10">
        <f>IFERROR(IF(INDEX('Test catalog'!$I$2:$I$200,MATCH($AB290,'Test catalog'!$A$2:$A$200,0))="","",INDEX('Test catalog'!$I$2:$I$200,MATCH($AB290,'Test catalog'!$A$2:$A$200,0))),"")</f>
        <v/>
      </c>
      <c r="O290" s="10">
        <f>IFERROR(IF(INDEX('Test catalog'!$J$2:$J$200,MATCH($AB290,'Test catalog'!$A$2:$A$200,0))="","",INDEX('Test catalog'!$J$2:$J$200,MATCH($AB290,'Test catalog'!$A$2:$A$200,0))),"")</f>
        <v/>
      </c>
      <c r="P290" s="14">
        <f>IF(N290="","",IF(OR(M290="",O290=""),N290,(M290+4*N290+O290)/6))</f>
        <v/>
      </c>
      <c r="Q290" s="10">
        <f>IFERROR(IF(INDEX('Test catalog'!$K$2:$K$200,MATCH($AB290,'Test catalog'!$A$2:$A$200,0))="","",INDEX('Test catalog'!$K$2:$K$200,MATCH($AB290,'Test catalog'!$A$2:$A$200,0))),"")</f>
        <v/>
      </c>
      <c r="R290" s="5" t="n"/>
      <c r="S290" s="10">
        <f>IFERROR(IF(INDEX('Test catalog'!$L$2:$L$200,MATCH($AB290,'Test catalog'!$A$2:$A$200,0))="","",INDEX('Test catalog'!$L$2:$L$200,MATCH($AB290,'Test catalog'!$A$2:$A$200,0))),"")</f>
        <v/>
      </c>
      <c r="T290" s="10">
        <f>IFERROR(IF(INDEX('Test catalog'!$M$2:$M$200,MATCH($AB290,'Test catalog'!$A$2:$A$200,0))="","",INDEX('Test catalog'!$M$2:$M$200,MATCH($AB290,'Test catalog'!$A$2:$A$200,0))),"")</f>
        <v/>
      </c>
      <c r="U290" s="10">
        <f>IFERROR(IF(INDEX('Test catalog'!$N$2:$N$200,MATCH($AB290,'Test catalog'!$A$2:$A$200,0))="","",INDEX('Test catalog'!$N$2:$N$200,MATCH($AB290,'Test catalog'!$A$2:$A$200,0))),"")</f>
        <v/>
      </c>
      <c r="V290" s="15" t="n"/>
      <c r="W290" s="5" t="inlineStr">
        <is>
          <t>N</t>
        </is>
      </c>
      <c r="X290" s="5" t="n"/>
      <c r="Y290" s="5" t="n"/>
      <c r="Z290" s="5" t="n"/>
      <c r="AA290" s="10">
        <f>IFERROR(IF(INDEX('Test catalog'!$O$2:$O$200,MATCH($AB290,'Test catalog'!$A$2:$A$200,0))="","",INDEX('Test catalog'!$O$2:$O$200,MATCH($AB290,'Test catalog'!$A$2:$A$200,0))),"")</f>
        <v/>
      </c>
      <c r="AB290" s="10" t="inlineStr">
        <is>
          <t>ID_IR</t>
        </is>
      </c>
      <c r="AC290" s="10" t="inlineStr">
        <is>
          <t>Arginine · Identification &lt;197&gt;</t>
        </is>
      </c>
      <c r="AD290" s="10" t="n"/>
      <c r="AE290" s="10" t="n"/>
    </row>
    <row r="291">
      <c r="A291" s="10" t="inlineStr">
        <is>
          <t>L-Arginine</t>
        </is>
      </c>
      <c r="B291" s="10" t="inlineStr">
        <is>
          <t>RM</t>
        </is>
      </c>
      <c r="C291" s="10" t="inlineStr">
        <is>
          <t>Active</t>
        </is>
      </c>
      <c r="D291" s="10" t="inlineStr">
        <is>
          <t>Assay</t>
        </is>
      </c>
      <c r="E291" s="10">
        <f>IF(A291="","",A291&amp;"|"&amp;D291)</f>
        <v/>
      </c>
      <c r="F291" s="5" t="inlineStr">
        <is>
          <t>Y</t>
        </is>
      </c>
      <c r="G291" s="5" t="inlineStr">
        <is>
          <t>Other / bench</t>
        </is>
      </c>
      <c r="H291" s="5" t="inlineStr">
        <is>
          <t>Low</t>
        </is>
      </c>
      <c r="I291" s="5" t="n">
        <v>1</v>
      </c>
      <c r="J291" s="5" t="n"/>
      <c r="K291" s="10">
        <f>IFERROR(IF(INDEX('Test catalog'!$F$2:$F$200,MATCH($AB291,'Test catalog'!$A$2:$A$200,0))="","",INDEX('Test catalog'!$F$2:$F$200,MATCH($AB291,'Test catalog'!$A$2:$A$200,0))),"")</f>
        <v/>
      </c>
      <c r="L291" s="10">
        <f>IFERROR(IF(INDEX('Test catalog'!$G$2:$G$200,MATCH($AB291,'Test catalog'!$A$2:$A$200,0))="","",INDEX('Test catalog'!$G$2:$G$200,MATCH($AB291,'Test catalog'!$A$2:$A$200,0))),"")</f>
        <v/>
      </c>
      <c r="M291" s="10">
        <f>IFERROR(IF(INDEX('Test catalog'!$H$2:$H$200,MATCH($AB291,'Test catalog'!$A$2:$A$200,0))="","",INDEX('Test catalog'!$H$2:$H$200,MATCH($AB291,'Test catalog'!$A$2:$A$200,0))),"")</f>
        <v/>
      </c>
      <c r="N291" s="10">
        <f>IFERROR(IF(INDEX('Test catalog'!$I$2:$I$200,MATCH($AB291,'Test catalog'!$A$2:$A$200,0))="","",INDEX('Test catalog'!$I$2:$I$200,MATCH($AB291,'Test catalog'!$A$2:$A$200,0))),"")</f>
        <v/>
      </c>
      <c r="O291" s="10">
        <f>IFERROR(IF(INDEX('Test catalog'!$J$2:$J$200,MATCH($AB291,'Test catalog'!$A$2:$A$200,0))="","",INDEX('Test catalog'!$J$2:$J$200,MATCH($AB291,'Test catalog'!$A$2:$A$200,0))),"")</f>
        <v/>
      </c>
      <c r="P291" s="14">
        <f>IF(N291="","",IF(OR(M291="",O291=""),N291,(M291+4*N291+O291)/6))</f>
        <v/>
      </c>
      <c r="Q291" s="10">
        <f>IFERROR(IF(INDEX('Test catalog'!$K$2:$K$200,MATCH($AB291,'Test catalog'!$A$2:$A$200,0))="","",INDEX('Test catalog'!$K$2:$K$200,MATCH($AB291,'Test catalog'!$A$2:$A$200,0))),"")</f>
        <v/>
      </c>
      <c r="R291" s="5" t="n"/>
      <c r="S291" s="10">
        <f>IFERROR(IF(INDEX('Test catalog'!$L$2:$L$200,MATCH($AB291,'Test catalog'!$A$2:$A$200,0))="","",INDEX('Test catalog'!$L$2:$L$200,MATCH($AB291,'Test catalog'!$A$2:$A$200,0))),"")</f>
        <v/>
      </c>
      <c r="T291" s="10">
        <f>IFERROR(IF(INDEX('Test catalog'!$M$2:$M$200,MATCH($AB291,'Test catalog'!$A$2:$A$200,0))="","",INDEX('Test catalog'!$M$2:$M$200,MATCH($AB291,'Test catalog'!$A$2:$A$200,0))),"")</f>
        <v/>
      </c>
      <c r="U291" s="10">
        <f>IFERROR(IF(INDEX('Test catalog'!$N$2:$N$200,MATCH($AB291,'Test catalog'!$A$2:$A$200,0))="","",INDEX('Test catalog'!$N$2:$N$200,MATCH($AB291,'Test catalog'!$A$2:$A$200,0))),"")</f>
        <v/>
      </c>
      <c r="V291" s="15" t="n"/>
      <c r="W291" s="5" t="inlineStr">
        <is>
          <t>N</t>
        </is>
      </c>
      <c r="X291" s="5" t="n"/>
      <c r="Y291" s="5" t="n"/>
      <c r="Z291" s="5" t="n"/>
      <c r="AA291" s="10">
        <f>IFERROR(IF(INDEX('Test catalog'!$O$2:$O$200,MATCH($AB291,'Test catalog'!$A$2:$A$200,0))="","",INDEX('Test catalog'!$O$2:$O$200,MATCH($AB291,'Test catalog'!$A$2:$A$200,0))),"")</f>
        <v/>
      </c>
      <c r="AB291" s="10" t="inlineStr">
        <is>
          <t>TITR</t>
        </is>
      </c>
      <c r="AC291" s="10" t="inlineStr">
        <is>
          <t>Arginine · Assay &lt;541&gt;</t>
        </is>
      </c>
      <c r="AD291" s="10" t="n"/>
      <c r="AE291" s="10" t="n"/>
    </row>
    <row r="292">
      <c r="A292" s="10" t="inlineStr">
        <is>
          <t>L-Arginine</t>
        </is>
      </c>
      <c r="B292" s="10" t="inlineStr">
        <is>
          <t>RM</t>
        </is>
      </c>
      <c r="C292" s="10" t="inlineStr">
        <is>
          <t>Active</t>
        </is>
      </c>
      <c r="D292" s="10" t="inlineStr">
        <is>
          <t>Residue on Ignition</t>
        </is>
      </c>
      <c r="E292" s="10">
        <f>IF(A292="","",A292&amp;"|"&amp;D292)</f>
        <v/>
      </c>
      <c r="F292" s="5" t="inlineStr">
        <is>
          <t>Y</t>
        </is>
      </c>
      <c r="G292" s="5" t="inlineStr">
        <is>
          <t>Other / bench</t>
        </is>
      </c>
      <c r="H292" s="5" t="inlineStr">
        <is>
          <t>Low</t>
        </is>
      </c>
      <c r="I292" s="5" t="n">
        <v>1</v>
      </c>
      <c r="J292" s="5" t="n"/>
      <c r="K292" s="10">
        <f>IFERROR(IF(INDEX('Test catalog'!$F$2:$F$200,MATCH($AB292,'Test catalog'!$A$2:$A$200,0))="","",INDEX('Test catalog'!$F$2:$F$200,MATCH($AB292,'Test catalog'!$A$2:$A$200,0))),"")</f>
        <v/>
      </c>
      <c r="L292" s="10">
        <f>IFERROR(IF(INDEX('Test catalog'!$G$2:$G$200,MATCH($AB292,'Test catalog'!$A$2:$A$200,0))="","",INDEX('Test catalog'!$G$2:$G$200,MATCH($AB292,'Test catalog'!$A$2:$A$200,0))),"")</f>
        <v/>
      </c>
      <c r="M292" s="10">
        <f>IFERROR(IF(INDEX('Test catalog'!$H$2:$H$200,MATCH($AB292,'Test catalog'!$A$2:$A$200,0))="","",INDEX('Test catalog'!$H$2:$H$200,MATCH($AB292,'Test catalog'!$A$2:$A$200,0))),"")</f>
        <v/>
      </c>
      <c r="N292" s="10">
        <f>IFERROR(IF(INDEX('Test catalog'!$I$2:$I$200,MATCH($AB292,'Test catalog'!$A$2:$A$200,0))="","",INDEX('Test catalog'!$I$2:$I$200,MATCH($AB292,'Test catalog'!$A$2:$A$200,0))),"")</f>
        <v/>
      </c>
      <c r="O292" s="10">
        <f>IFERROR(IF(INDEX('Test catalog'!$J$2:$J$200,MATCH($AB292,'Test catalog'!$A$2:$A$200,0))="","",INDEX('Test catalog'!$J$2:$J$200,MATCH($AB292,'Test catalog'!$A$2:$A$200,0))),"")</f>
        <v/>
      </c>
      <c r="P292" s="14">
        <f>IF(N292="","",IF(OR(M292="",O292=""),N292,(M292+4*N292+O292)/6))</f>
        <v/>
      </c>
      <c r="Q292" s="10">
        <f>IFERROR(IF(INDEX('Test catalog'!$K$2:$K$200,MATCH($AB292,'Test catalog'!$A$2:$A$200,0))="","",INDEX('Test catalog'!$K$2:$K$200,MATCH($AB292,'Test catalog'!$A$2:$A$200,0))),"")</f>
        <v/>
      </c>
      <c r="R292" s="5" t="n"/>
      <c r="S292" s="10">
        <f>IFERROR(IF(INDEX('Test catalog'!$L$2:$L$200,MATCH($AB292,'Test catalog'!$A$2:$A$200,0))="","",INDEX('Test catalog'!$L$2:$L$200,MATCH($AB292,'Test catalog'!$A$2:$A$200,0))),"")</f>
        <v/>
      </c>
      <c r="T292" s="10">
        <f>IFERROR(IF(INDEX('Test catalog'!$M$2:$M$200,MATCH($AB292,'Test catalog'!$A$2:$A$200,0))="","",INDEX('Test catalog'!$M$2:$M$200,MATCH($AB292,'Test catalog'!$A$2:$A$200,0))),"")</f>
        <v/>
      </c>
      <c r="U292" s="10">
        <f>IFERROR(IF(INDEX('Test catalog'!$N$2:$N$200,MATCH($AB292,'Test catalog'!$A$2:$A$200,0))="","",INDEX('Test catalog'!$N$2:$N$200,MATCH($AB292,'Test catalog'!$A$2:$A$200,0))),"")</f>
        <v/>
      </c>
      <c r="V292" s="15" t="n"/>
      <c r="W292" s="5" t="inlineStr">
        <is>
          <t>N</t>
        </is>
      </c>
      <c r="X292" s="5" t="n"/>
      <c r="Y292" s="5" t="n"/>
      <c r="Z292" s="5" t="n"/>
      <c r="AA292" s="10">
        <f>IFERROR(IF(INDEX('Test catalog'!$O$2:$O$200,MATCH($AB292,'Test catalog'!$A$2:$A$200,0))="","",INDEX('Test catalog'!$O$2:$O$200,MATCH($AB292,'Test catalog'!$A$2:$A$200,0))),"")</f>
        <v/>
      </c>
      <c r="AB292" s="10" t="inlineStr">
        <is>
          <t>ROI</t>
        </is>
      </c>
      <c r="AC292" s="10" t="inlineStr">
        <is>
          <t>Arginine · Impurities &lt;281&gt;</t>
        </is>
      </c>
      <c r="AD292" s="10" t="n"/>
      <c r="AE292" s="10" t="n"/>
    </row>
    <row r="293">
      <c r="A293" s="10" t="inlineStr">
        <is>
          <t>L-Arginine</t>
        </is>
      </c>
      <c r="B293" s="10" t="inlineStr">
        <is>
          <t>RM</t>
        </is>
      </c>
      <c r="C293" s="10" t="inlineStr">
        <is>
          <t>Active</t>
        </is>
      </c>
      <c r="D293" s="10" t="inlineStr">
        <is>
          <t>Chloride and Sulfate</t>
        </is>
      </c>
      <c r="E293" s="10">
        <f>IF(A293="","",A293&amp;"|"&amp;D293)</f>
        <v/>
      </c>
      <c r="F293" s="5" t="inlineStr">
        <is>
          <t>Y</t>
        </is>
      </c>
      <c r="G293" s="5" t="inlineStr">
        <is>
          <t>Other / bench</t>
        </is>
      </c>
      <c r="H293" s="5" t="inlineStr">
        <is>
          <t>Low</t>
        </is>
      </c>
      <c r="I293" s="5" t="n">
        <v>1</v>
      </c>
      <c r="J293" s="5" t="n"/>
      <c r="K293" s="10">
        <f>IFERROR(IF(INDEX('Test catalog'!$F$2:$F$200,MATCH($AB293,'Test catalog'!$A$2:$A$200,0))="","",INDEX('Test catalog'!$F$2:$F$200,MATCH($AB293,'Test catalog'!$A$2:$A$200,0))),"")</f>
        <v/>
      </c>
      <c r="L293" s="10">
        <f>IFERROR(IF(INDEX('Test catalog'!$G$2:$G$200,MATCH($AB293,'Test catalog'!$A$2:$A$200,0))="","",INDEX('Test catalog'!$G$2:$G$200,MATCH($AB293,'Test catalog'!$A$2:$A$200,0))),"")</f>
        <v/>
      </c>
      <c r="M293" s="10">
        <f>IFERROR(IF(INDEX('Test catalog'!$H$2:$H$200,MATCH($AB293,'Test catalog'!$A$2:$A$200,0))="","",INDEX('Test catalog'!$H$2:$H$200,MATCH($AB293,'Test catalog'!$A$2:$A$200,0))),"")</f>
        <v/>
      </c>
      <c r="N293" s="10">
        <f>IFERROR(IF(INDEX('Test catalog'!$I$2:$I$200,MATCH($AB293,'Test catalog'!$A$2:$A$200,0))="","",INDEX('Test catalog'!$I$2:$I$200,MATCH($AB293,'Test catalog'!$A$2:$A$200,0))),"")</f>
        <v/>
      </c>
      <c r="O293" s="10">
        <f>IFERROR(IF(INDEX('Test catalog'!$J$2:$J$200,MATCH($AB293,'Test catalog'!$A$2:$A$200,0))="","",INDEX('Test catalog'!$J$2:$J$200,MATCH($AB293,'Test catalog'!$A$2:$A$200,0))),"")</f>
        <v/>
      </c>
      <c r="P293" s="14">
        <f>IF(N293="","",IF(OR(M293="",O293=""),N293,(M293+4*N293+O293)/6))</f>
        <v/>
      </c>
      <c r="Q293" s="10">
        <f>IFERROR(IF(INDEX('Test catalog'!$K$2:$K$200,MATCH($AB293,'Test catalog'!$A$2:$A$200,0))="","",INDEX('Test catalog'!$K$2:$K$200,MATCH($AB293,'Test catalog'!$A$2:$A$200,0))),"")</f>
        <v/>
      </c>
      <c r="R293" s="5" t="n"/>
      <c r="S293" s="10">
        <f>IFERROR(IF(INDEX('Test catalog'!$L$2:$L$200,MATCH($AB293,'Test catalog'!$A$2:$A$200,0))="","",INDEX('Test catalog'!$L$2:$L$200,MATCH($AB293,'Test catalog'!$A$2:$A$200,0))),"")</f>
        <v/>
      </c>
      <c r="T293" s="10">
        <f>IFERROR(IF(INDEX('Test catalog'!$M$2:$M$200,MATCH($AB293,'Test catalog'!$A$2:$A$200,0))="","",INDEX('Test catalog'!$M$2:$M$200,MATCH($AB293,'Test catalog'!$A$2:$A$200,0))),"")</f>
        <v/>
      </c>
      <c r="U293" s="10">
        <f>IFERROR(IF(INDEX('Test catalog'!$N$2:$N$200,MATCH($AB293,'Test catalog'!$A$2:$A$200,0))="","",INDEX('Test catalog'!$N$2:$N$200,MATCH($AB293,'Test catalog'!$A$2:$A$200,0))),"")</f>
        <v/>
      </c>
      <c r="V293" s="15" t="n"/>
      <c r="W293" s="5" t="inlineStr">
        <is>
          <t>N</t>
        </is>
      </c>
      <c r="X293" s="5" t="n"/>
      <c r="Y293" s="5" t="n"/>
      <c r="Z293" s="5" t="n"/>
      <c r="AA293" s="10">
        <f>IFERROR(IF(INDEX('Test catalog'!$O$2:$O$200,MATCH($AB293,'Test catalog'!$A$2:$A$200,0))="","",INDEX('Test catalog'!$O$2:$O$200,MATCH($AB293,'Test catalog'!$A$2:$A$200,0))),"")</f>
        <v/>
      </c>
      <c r="AB293" s="10" t="inlineStr">
        <is>
          <t>LIMIT</t>
        </is>
      </c>
      <c r="AC293" s="10" t="inlineStr">
        <is>
          <t>Arginine · Impurities &lt;221&gt;</t>
        </is>
      </c>
      <c r="AD293" s="10" t="n"/>
      <c r="AE293" s="10" t="n"/>
    </row>
    <row r="294">
      <c r="A294" s="10" t="inlineStr">
        <is>
          <t>L-Arginine</t>
        </is>
      </c>
      <c r="B294" s="10" t="inlineStr">
        <is>
          <t>RM</t>
        </is>
      </c>
      <c r="C294" s="10" t="inlineStr">
        <is>
          <t>Active</t>
        </is>
      </c>
      <c r="D294" s="10" t="inlineStr">
        <is>
          <t>Iron</t>
        </is>
      </c>
      <c r="E294" s="10">
        <f>IF(A294="","",A294&amp;"|"&amp;D294)</f>
        <v/>
      </c>
      <c r="F294" s="5" t="inlineStr">
        <is>
          <t>Y</t>
        </is>
      </c>
      <c r="G294" s="5" t="inlineStr">
        <is>
          <t>Other / bench</t>
        </is>
      </c>
      <c r="H294" s="5" t="inlineStr">
        <is>
          <t>Low</t>
        </is>
      </c>
      <c r="I294" s="5" t="n">
        <v>1</v>
      </c>
      <c r="J294" s="5" t="n"/>
      <c r="K294" s="10">
        <f>IFERROR(IF(INDEX('Test catalog'!$F$2:$F$200,MATCH($AB294,'Test catalog'!$A$2:$A$200,0))="","",INDEX('Test catalog'!$F$2:$F$200,MATCH($AB294,'Test catalog'!$A$2:$A$200,0))),"")</f>
        <v/>
      </c>
      <c r="L294" s="10">
        <f>IFERROR(IF(INDEX('Test catalog'!$G$2:$G$200,MATCH($AB294,'Test catalog'!$A$2:$A$200,0))="","",INDEX('Test catalog'!$G$2:$G$200,MATCH($AB294,'Test catalog'!$A$2:$A$200,0))),"")</f>
        <v/>
      </c>
      <c r="M294" s="10">
        <f>IFERROR(IF(INDEX('Test catalog'!$H$2:$H$200,MATCH($AB294,'Test catalog'!$A$2:$A$200,0))="","",INDEX('Test catalog'!$H$2:$H$200,MATCH($AB294,'Test catalog'!$A$2:$A$200,0))),"")</f>
        <v/>
      </c>
      <c r="N294" s="10">
        <f>IFERROR(IF(INDEX('Test catalog'!$I$2:$I$200,MATCH($AB294,'Test catalog'!$A$2:$A$200,0))="","",INDEX('Test catalog'!$I$2:$I$200,MATCH($AB294,'Test catalog'!$A$2:$A$200,0))),"")</f>
        <v/>
      </c>
      <c r="O294" s="10">
        <f>IFERROR(IF(INDEX('Test catalog'!$J$2:$J$200,MATCH($AB294,'Test catalog'!$A$2:$A$200,0))="","",INDEX('Test catalog'!$J$2:$J$200,MATCH($AB294,'Test catalog'!$A$2:$A$200,0))),"")</f>
        <v/>
      </c>
      <c r="P294" s="14">
        <f>IF(N294="","",IF(OR(M294="",O294=""),N294,(M294+4*N294+O294)/6))</f>
        <v/>
      </c>
      <c r="Q294" s="10">
        <f>IFERROR(IF(INDEX('Test catalog'!$K$2:$K$200,MATCH($AB294,'Test catalog'!$A$2:$A$200,0))="","",INDEX('Test catalog'!$K$2:$K$200,MATCH($AB294,'Test catalog'!$A$2:$A$200,0))),"")</f>
        <v/>
      </c>
      <c r="R294" s="5" t="n"/>
      <c r="S294" s="10">
        <f>IFERROR(IF(INDEX('Test catalog'!$L$2:$L$200,MATCH($AB294,'Test catalog'!$A$2:$A$200,0))="","",INDEX('Test catalog'!$L$2:$L$200,MATCH($AB294,'Test catalog'!$A$2:$A$200,0))),"")</f>
        <v/>
      </c>
      <c r="T294" s="10">
        <f>IFERROR(IF(INDEX('Test catalog'!$M$2:$M$200,MATCH($AB294,'Test catalog'!$A$2:$A$200,0))="","",INDEX('Test catalog'!$M$2:$M$200,MATCH($AB294,'Test catalog'!$A$2:$A$200,0))),"")</f>
        <v/>
      </c>
      <c r="U294" s="10">
        <f>IFERROR(IF(INDEX('Test catalog'!$N$2:$N$200,MATCH($AB294,'Test catalog'!$A$2:$A$200,0))="","",INDEX('Test catalog'!$N$2:$N$200,MATCH($AB294,'Test catalog'!$A$2:$A$200,0))),"")</f>
        <v/>
      </c>
      <c r="V294" s="15" t="n"/>
      <c r="W294" s="5" t="inlineStr">
        <is>
          <t>N</t>
        </is>
      </c>
      <c r="X294" s="5" t="n"/>
      <c r="Y294" s="5" t="n"/>
      <c r="Z294" s="5" t="n"/>
      <c r="AA294" s="10">
        <f>IFERROR(IF(INDEX('Test catalog'!$O$2:$O$200,MATCH($AB294,'Test catalog'!$A$2:$A$200,0))="","",INDEX('Test catalog'!$O$2:$O$200,MATCH($AB294,'Test catalog'!$A$2:$A$200,0))),"")</f>
        <v/>
      </c>
      <c r="AB294" s="10" t="inlineStr">
        <is>
          <t>LIMIT</t>
        </is>
      </c>
      <c r="AC294" s="10" t="inlineStr">
        <is>
          <t>Arginine · Impurities &lt;241&gt;</t>
        </is>
      </c>
      <c r="AD294" s="10" t="n"/>
      <c r="AE294" s="10" t="n"/>
    </row>
    <row r="295">
      <c r="A295" s="10" t="inlineStr">
        <is>
          <t>L-Arginine</t>
        </is>
      </c>
      <c r="B295" s="10" t="inlineStr">
        <is>
          <t>RM</t>
        </is>
      </c>
      <c r="C295" s="10" t="inlineStr">
        <is>
          <t>Active</t>
        </is>
      </c>
      <c r="D295" s="10" t="inlineStr">
        <is>
          <t>Procedure</t>
        </is>
      </c>
      <c r="E295" s="10">
        <f>IF(A295="","",A295&amp;"|"&amp;D295)</f>
        <v/>
      </c>
      <c r="F295" s="5" t="inlineStr">
        <is>
          <t>Y</t>
        </is>
      </c>
      <c r="G295" s="5" t="inlineStr">
        <is>
          <t>Other / bench</t>
        </is>
      </c>
      <c r="H295" s="5" t="inlineStr">
        <is>
          <t>Low</t>
        </is>
      </c>
      <c r="I295" s="5" t="n">
        <v>1</v>
      </c>
      <c r="J295" s="5" t="n"/>
      <c r="K295" s="10">
        <f>IFERROR(IF(INDEX('Test catalog'!$F$2:$F$200,MATCH($AB295,'Test catalog'!$A$2:$A$200,0))="","",INDEX('Test catalog'!$F$2:$F$200,MATCH($AB295,'Test catalog'!$A$2:$A$200,0))),"")</f>
        <v/>
      </c>
      <c r="L295" s="10">
        <f>IFERROR(IF(INDEX('Test catalog'!$G$2:$G$200,MATCH($AB295,'Test catalog'!$A$2:$A$200,0))="","",INDEX('Test catalog'!$G$2:$G$200,MATCH($AB295,'Test catalog'!$A$2:$A$200,0))),"")</f>
        <v/>
      </c>
      <c r="M295" s="10">
        <f>IFERROR(IF(INDEX('Test catalog'!$H$2:$H$200,MATCH($AB295,'Test catalog'!$A$2:$A$200,0))="","",INDEX('Test catalog'!$H$2:$H$200,MATCH($AB295,'Test catalog'!$A$2:$A$200,0))),"")</f>
        <v/>
      </c>
      <c r="N295" s="10">
        <f>IFERROR(IF(INDEX('Test catalog'!$I$2:$I$200,MATCH($AB295,'Test catalog'!$A$2:$A$200,0))="","",INDEX('Test catalog'!$I$2:$I$200,MATCH($AB295,'Test catalog'!$A$2:$A$200,0))),"")</f>
        <v/>
      </c>
      <c r="O295" s="10">
        <f>IFERROR(IF(INDEX('Test catalog'!$J$2:$J$200,MATCH($AB295,'Test catalog'!$A$2:$A$200,0))="","",INDEX('Test catalog'!$J$2:$J$200,MATCH($AB295,'Test catalog'!$A$2:$A$200,0))),"")</f>
        <v/>
      </c>
      <c r="P295" s="14">
        <f>IF(N295="","",IF(OR(M295="",O295=""),N295,(M295+4*N295+O295)/6))</f>
        <v/>
      </c>
      <c r="Q295" s="10">
        <f>IFERROR(IF(INDEX('Test catalog'!$K$2:$K$200,MATCH($AB295,'Test catalog'!$A$2:$A$200,0))="","",INDEX('Test catalog'!$K$2:$K$200,MATCH($AB295,'Test catalog'!$A$2:$A$200,0))),"")</f>
        <v/>
      </c>
      <c r="R295" s="5" t="n"/>
      <c r="S295" s="10">
        <f>IFERROR(IF(INDEX('Test catalog'!$L$2:$L$200,MATCH($AB295,'Test catalog'!$A$2:$A$200,0))="","",INDEX('Test catalog'!$L$2:$L$200,MATCH($AB295,'Test catalog'!$A$2:$A$200,0))),"")</f>
        <v/>
      </c>
      <c r="T295" s="10">
        <f>IFERROR(IF(INDEX('Test catalog'!$M$2:$M$200,MATCH($AB295,'Test catalog'!$A$2:$A$200,0))="","",INDEX('Test catalog'!$M$2:$M$200,MATCH($AB295,'Test catalog'!$A$2:$A$200,0))),"")</f>
        <v/>
      </c>
      <c r="U295" s="10">
        <f>IFERROR(IF(INDEX('Test catalog'!$N$2:$N$200,MATCH($AB295,'Test catalog'!$A$2:$A$200,0))="","",INDEX('Test catalog'!$N$2:$N$200,MATCH($AB295,'Test catalog'!$A$2:$A$200,0))),"")</f>
        <v/>
      </c>
      <c r="V295" s="15" t="n"/>
      <c r="W295" s="5" t="inlineStr">
        <is>
          <t>N</t>
        </is>
      </c>
      <c r="X295" s="5" t="n"/>
      <c r="Y295" s="5" t="n"/>
      <c r="Z295" s="5" t="n"/>
      <c r="AA295" s="10">
        <f>IFERROR(IF(INDEX('Test catalog'!$O$2:$O$200,MATCH($AB295,'Test catalog'!$A$2:$A$200,0))="","",INDEX('Test catalog'!$O$2:$O$200,MATCH($AB295,'Test catalog'!$A$2:$A$200,0))),"")</f>
        <v/>
      </c>
      <c r="AB295" s="10" t="inlineStr">
        <is>
          <t>TLC</t>
        </is>
      </c>
      <c r="AC295" s="10" t="inlineStr">
        <is>
          <t>Arginine · Impurities</t>
        </is>
      </c>
      <c r="AD295" s="10" t="n"/>
      <c r="AE295" s="10" t="n"/>
    </row>
    <row r="296">
      <c r="A296" s="10" t="inlineStr">
        <is>
          <t>L-Arginine</t>
        </is>
      </c>
      <c r="B296" s="10" t="inlineStr">
        <is>
          <t>RM</t>
        </is>
      </c>
      <c r="C296" s="10" t="inlineStr">
        <is>
          <t>Active</t>
        </is>
      </c>
      <c r="D296" s="10" t="inlineStr">
        <is>
          <t>Optical Rotation, Specific Rotation</t>
        </is>
      </c>
      <c r="E296" s="10">
        <f>IF(A296="","",A296&amp;"|"&amp;D296)</f>
        <v/>
      </c>
      <c r="F296" s="5" t="inlineStr">
        <is>
          <t>Y</t>
        </is>
      </c>
      <c r="G296" s="5" t="inlineStr">
        <is>
          <t>Other / bench</t>
        </is>
      </c>
      <c r="H296" s="5" t="inlineStr">
        <is>
          <t>Low</t>
        </is>
      </c>
      <c r="I296" s="5" t="n">
        <v>1</v>
      </c>
      <c r="J296" s="5" t="n"/>
      <c r="K296" s="10">
        <f>IFERROR(IF(INDEX('Test catalog'!$F$2:$F$200,MATCH($AB296,'Test catalog'!$A$2:$A$200,0))="","",INDEX('Test catalog'!$F$2:$F$200,MATCH($AB296,'Test catalog'!$A$2:$A$200,0))),"")</f>
        <v/>
      </c>
      <c r="L296" s="10">
        <f>IFERROR(IF(INDEX('Test catalog'!$G$2:$G$200,MATCH($AB296,'Test catalog'!$A$2:$A$200,0))="","",INDEX('Test catalog'!$G$2:$G$200,MATCH($AB296,'Test catalog'!$A$2:$A$200,0))),"")</f>
        <v/>
      </c>
      <c r="M296" s="10">
        <f>IFERROR(IF(INDEX('Test catalog'!$H$2:$H$200,MATCH($AB296,'Test catalog'!$A$2:$A$200,0))="","",INDEX('Test catalog'!$H$2:$H$200,MATCH($AB296,'Test catalog'!$A$2:$A$200,0))),"")</f>
        <v/>
      </c>
      <c r="N296" s="10">
        <f>IFERROR(IF(INDEX('Test catalog'!$I$2:$I$200,MATCH($AB296,'Test catalog'!$A$2:$A$200,0))="","",INDEX('Test catalog'!$I$2:$I$200,MATCH($AB296,'Test catalog'!$A$2:$A$200,0))),"")</f>
        <v/>
      </c>
      <c r="O296" s="10">
        <f>IFERROR(IF(INDEX('Test catalog'!$J$2:$J$200,MATCH($AB296,'Test catalog'!$A$2:$A$200,0))="","",INDEX('Test catalog'!$J$2:$J$200,MATCH($AB296,'Test catalog'!$A$2:$A$200,0))),"")</f>
        <v/>
      </c>
      <c r="P296" s="14">
        <f>IF(N296="","",IF(OR(M296="",O296=""),N296,(M296+4*N296+O296)/6))</f>
        <v/>
      </c>
      <c r="Q296" s="10">
        <f>IFERROR(IF(INDEX('Test catalog'!$K$2:$K$200,MATCH($AB296,'Test catalog'!$A$2:$A$200,0))="","",INDEX('Test catalog'!$K$2:$K$200,MATCH($AB296,'Test catalog'!$A$2:$A$200,0))),"")</f>
        <v/>
      </c>
      <c r="R296" s="5" t="n"/>
      <c r="S296" s="10">
        <f>IFERROR(IF(INDEX('Test catalog'!$L$2:$L$200,MATCH($AB296,'Test catalog'!$A$2:$A$200,0))="","",INDEX('Test catalog'!$L$2:$L$200,MATCH($AB296,'Test catalog'!$A$2:$A$200,0))),"")</f>
        <v/>
      </c>
      <c r="T296" s="10">
        <f>IFERROR(IF(INDEX('Test catalog'!$M$2:$M$200,MATCH($AB296,'Test catalog'!$A$2:$A$200,0))="","",INDEX('Test catalog'!$M$2:$M$200,MATCH($AB296,'Test catalog'!$A$2:$A$200,0))),"")</f>
        <v/>
      </c>
      <c r="U296" s="10">
        <f>IFERROR(IF(INDEX('Test catalog'!$N$2:$N$200,MATCH($AB296,'Test catalog'!$A$2:$A$200,0))="","",INDEX('Test catalog'!$N$2:$N$200,MATCH($AB296,'Test catalog'!$A$2:$A$200,0))),"")</f>
        <v/>
      </c>
      <c r="V296" s="15" t="n"/>
      <c r="W296" s="5" t="inlineStr">
        <is>
          <t>N</t>
        </is>
      </c>
      <c r="X296" s="5" t="n"/>
      <c r="Y296" s="5" t="n"/>
      <c r="Z296" s="5" t="n"/>
      <c r="AA296" s="10">
        <f>IFERROR(IF(INDEX('Test catalog'!$O$2:$O$200,MATCH($AB296,'Test catalog'!$A$2:$A$200,0))="","",INDEX('Test catalog'!$O$2:$O$200,MATCH($AB296,'Test catalog'!$A$2:$A$200,0))),"")</f>
        <v/>
      </c>
      <c r="AB296" s="10" t="inlineStr">
        <is>
          <t>OR</t>
        </is>
      </c>
      <c r="AC296" s="10" t="inlineStr">
        <is>
          <t>Arginine · Specific Tests &lt;781&gt;</t>
        </is>
      </c>
      <c r="AD296" s="10" t="n"/>
      <c r="AE296" s="10" t="n"/>
    </row>
    <row r="297">
      <c r="A297" s="10" t="inlineStr">
        <is>
          <t>L-Arginine</t>
        </is>
      </c>
      <c r="B297" s="10" t="inlineStr">
        <is>
          <t>RM</t>
        </is>
      </c>
      <c r="C297" s="10" t="inlineStr">
        <is>
          <t>Active</t>
        </is>
      </c>
      <c r="D297" s="10" t="inlineStr">
        <is>
          <t>Loss on Drying</t>
        </is>
      </c>
      <c r="E297" s="10">
        <f>IF(A297="","",A297&amp;"|"&amp;D297)</f>
        <v/>
      </c>
      <c r="F297" s="5" t="inlineStr">
        <is>
          <t>Y</t>
        </is>
      </c>
      <c r="G297" s="5" t="inlineStr">
        <is>
          <t>Other / bench</t>
        </is>
      </c>
      <c r="H297" s="5" t="inlineStr">
        <is>
          <t>Low</t>
        </is>
      </c>
      <c r="I297" s="5" t="n">
        <v>1</v>
      </c>
      <c r="J297" s="5" t="n"/>
      <c r="K297" s="10">
        <f>IFERROR(IF(INDEX('Test catalog'!$F$2:$F$200,MATCH($AB297,'Test catalog'!$A$2:$A$200,0))="","",INDEX('Test catalog'!$F$2:$F$200,MATCH($AB297,'Test catalog'!$A$2:$A$200,0))),"")</f>
        <v/>
      </c>
      <c r="L297" s="10">
        <f>IFERROR(IF(INDEX('Test catalog'!$G$2:$G$200,MATCH($AB297,'Test catalog'!$A$2:$A$200,0))="","",INDEX('Test catalog'!$G$2:$G$200,MATCH($AB297,'Test catalog'!$A$2:$A$200,0))),"")</f>
        <v/>
      </c>
      <c r="M297" s="10">
        <f>IFERROR(IF(INDEX('Test catalog'!$H$2:$H$200,MATCH($AB297,'Test catalog'!$A$2:$A$200,0))="","",INDEX('Test catalog'!$H$2:$H$200,MATCH($AB297,'Test catalog'!$A$2:$A$200,0))),"")</f>
        <v/>
      </c>
      <c r="N297" s="10">
        <f>IFERROR(IF(INDEX('Test catalog'!$I$2:$I$200,MATCH($AB297,'Test catalog'!$A$2:$A$200,0))="","",INDEX('Test catalog'!$I$2:$I$200,MATCH($AB297,'Test catalog'!$A$2:$A$200,0))),"")</f>
        <v/>
      </c>
      <c r="O297" s="10">
        <f>IFERROR(IF(INDEX('Test catalog'!$J$2:$J$200,MATCH($AB297,'Test catalog'!$A$2:$A$200,0))="","",INDEX('Test catalog'!$J$2:$J$200,MATCH($AB297,'Test catalog'!$A$2:$A$200,0))),"")</f>
        <v/>
      </c>
      <c r="P297" s="14">
        <f>IF(N297="","",IF(OR(M297="",O297=""),N297,(M297+4*N297+O297)/6))</f>
        <v/>
      </c>
      <c r="Q297" s="10">
        <f>IFERROR(IF(INDEX('Test catalog'!$K$2:$K$200,MATCH($AB297,'Test catalog'!$A$2:$A$200,0))="","",INDEX('Test catalog'!$K$2:$K$200,MATCH($AB297,'Test catalog'!$A$2:$A$200,0))),"")</f>
        <v/>
      </c>
      <c r="R297" s="5" t="n"/>
      <c r="S297" s="10">
        <f>IFERROR(IF(INDEX('Test catalog'!$L$2:$L$200,MATCH($AB297,'Test catalog'!$A$2:$A$200,0))="","",INDEX('Test catalog'!$L$2:$L$200,MATCH($AB297,'Test catalog'!$A$2:$A$200,0))),"")</f>
        <v/>
      </c>
      <c r="T297" s="10">
        <f>IFERROR(IF(INDEX('Test catalog'!$M$2:$M$200,MATCH($AB297,'Test catalog'!$A$2:$A$200,0))="","",INDEX('Test catalog'!$M$2:$M$200,MATCH($AB297,'Test catalog'!$A$2:$A$200,0))),"")</f>
        <v/>
      </c>
      <c r="U297" s="10">
        <f>IFERROR(IF(INDEX('Test catalog'!$N$2:$N$200,MATCH($AB297,'Test catalog'!$A$2:$A$200,0))="","",INDEX('Test catalog'!$N$2:$N$200,MATCH($AB297,'Test catalog'!$A$2:$A$200,0))),"")</f>
        <v/>
      </c>
      <c r="V297" s="15" t="n"/>
      <c r="W297" s="5" t="inlineStr">
        <is>
          <t>N</t>
        </is>
      </c>
      <c r="X297" s="5" t="n"/>
      <c r="Y297" s="5" t="n"/>
      <c r="Z297" s="5" t="n"/>
      <c r="AA297" s="10">
        <f>IFERROR(IF(INDEX('Test catalog'!$O$2:$O$200,MATCH($AB297,'Test catalog'!$A$2:$A$200,0))="","",INDEX('Test catalog'!$O$2:$O$200,MATCH($AB297,'Test catalog'!$A$2:$A$200,0))),"")</f>
        <v/>
      </c>
      <c r="AB297" s="10" t="inlineStr">
        <is>
          <t>LOD</t>
        </is>
      </c>
      <c r="AC297" s="10" t="inlineStr">
        <is>
          <t>Arginine · Specific Tests &lt;731&gt;</t>
        </is>
      </c>
      <c r="AD297" s="10" t="n"/>
      <c r="AE297" s="10" t="n"/>
    </row>
    <row r="298">
      <c r="A298" s="10" t="inlineStr">
        <is>
          <t>L-Carnitine (Base)</t>
        </is>
      </c>
      <c r="B298" s="10" t="inlineStr">
        <is>
          <t>RM</t>
        </is>
      </c>
      <c r="C298" s="10" t="inlineStr">
        <is>
          <t>Active</t>
        </is>
      </c>
      <c r="D298" s="10" t="inlineStr">
        <is>
          <t>Appearance / description and solubility</t>
        </is>
      </c>
      <c r="E298" s="10">
        <f>IF(A298="","",A298&amp;"|"&amp;D298)</f>
        <v/>
      </c>
      <c r="F298" s="5" t="inlineStr">
        <is>
          <t>Y</t>
        </is>
      </c>
      <c r="G298" s="5" t="inlineStr">
        <is>
          <t>Other / bench</t>
        </is>
      </c>
      <c r="H298" s="5" t="inlineStr">
        <is>
          <t>Low</t>
        </is>
      </c>
      <c r="I298" s="5" t="n">
        <v>1</v>
      </c>
      <c r="J298" s="5" t="n"/>
      <c r="K298" s="10">
        <f>IFERROR(IF(INDEX('Test catalog'!$F$2:$F$200,MATCH($AB298,'Test catalog'!$A$2:$A$200,0))="","",INDEX('Test catalog'!$F$2:$F$200,MATCH($AB298,'Test catalog'!$A$2:$A$200,0))),"")</f>
        <v/>
      </c>
      <c r="L298" s="10">
        <f>IFERROR(IF(INDEX('Test catalog'!$G$2:$G$200,MATCH($AB298,'Test catalog'!$A$2:$A$200,0))="","",INDEX('Test catalog'!$G$2:$G$200,MATCH($AB298,'Test catalog'!$A$2:$A$200,0))),"")</f>
        <v/>
      </c>
      <c r="M298" s="10">
        <f>IFERROR(IF(INDEX('Test catalog'!$H$2:$H$200,MATCH($AB298,'Test catalog'!$A$2:$A$200,0))="","",INDEX('Test catalog'!$H$2:$H$200,MATCH($AB298,'Test catalog'!$A$2:$A$200,0))),"")</f>
        <v/>
      </c>
      <c r="N298" s="10">
        <f>IFERROR(IF(INDEX('Test catalog'!$I$2:$I$200,MATCH($AB298,'Test catalog'!$A$2:$A$200,0))="","",INDEX('Test catalog'!$I$2:$I$200,MATCH($AB298,'Test catalog'!$A$2:$A$200,0))),"")</f>
        <v/>
      </c>
      <c r="O298" s="10">
        <f>IFERROR(IF(INDEX('Test catalog'!$J$2:$J$200,MATCH($AB298,'Test catalog'!$A$2:$A$200,0))="","",INDEX('Test catalog'!$J$2:$J$200,MATCH($AB298,'Test catalog'!$A$2:$A$200,0))),"")</f>
        <v/>
      </c>
      <c r="P298" s="14">
        <f>IF(N298="","",IF(OR(M298="",O298=""),N298,(M298+4*N298+O298)/6))</f>
        <v/>
      </c>
      <c r="Q298" s="10">
        <f>IFERROR(IF(INDEX('Test catalog'!$K$2:$K$200,MATCH($AB298,'Test catalog'!$A$2:$A$200,0))="","",INDEX('Test catalog'!$K$2:$K$200,MATCH($AB298,'Test catalog'!$A$2:$A$200,0))),"")</f>
        <v/>
      </c>
      <c r="R298" s="5" t="n"/>
      <c r="S298" s="10">
        <f>IFERROR(IF(INDEX('Test catalog'!$L$2:$L$200,MATCH($AB298,'Test catalog'!$A$2:$A$200,0))="","",INDEX('Test catalog'!$L$2:$L$200,MATCH($AB298,'Test catalog'!$A$2:$A$200,0))),"")</f>
        <v/>
      </c>
      <c r="T298" s="10">
        <f>IFERROR(IF(INDEX('Test catalog'!$M$2:$M$200,MATCH($AB298,'Test catalog'!$A$2:$A$200,0))="","",INDEX('Test catalog'!$M$2:$M$200,MATCH($AB298,'Test catalog'!$A$2:$A$200,0))),"")</f>
        <v/>
      </c>
      <c r="U298" s="10">
        <f>IFERROR(IF(INDEX('Test catalog'!$N$2:$N$200,MATCH($AB298,'Test catalog'!$A$2:$A$200,0))="","",INDEX('Test catalog'!$N$2:$N$200,MATCH($AB298,'Test catalog'!$A$2:$A$200,0))),"")</f>
        <v/>
      </c>
      <c r="V298" s="15" t="n"/>
      <c r="W298" s="5" t="inlineStr">
        <is>
          <t>N</t>
        </is>
      </c>
      <c r="X298" s="5" t="n"/>
      <c r="Y298" s="5" t="n"/>
      <c r="Z298" s="5" t="n"/>
      <c r="AA298" s="10">
        <f>IFERROR(IF(INDEX('Test catalog'!$O$2:$O$200,MATCH($AB298,'Test catalog'!$A$2:$A$200,0))="","",INDEX('Test catalog'!$O$2:$O$200,MATCH($AB298,'Test catalog'!$A$2:$A$200,0))),"")</f>
        <v/>
      </c>
      <c r="AB298" s="10" t="inlineStr">
        <is>
          <t>APPEAR</t>
        </is>
      </c>
      <c r="AC298" s="10" t="inlineStr">
        <is>
          <t>Lab practice (not a USP test)</t>
        </is>
      </c>
      <c r="AD298" s="10" t="n"/>
      <c r="AE298" s="10" t="n"/>
    </row>
    <row r="299">
      <c r="A299" s="10" t="inlineStr">
        <is>
          <t>L-Carnitine (Base)</t>
        </is>
      </c>
      <c r="B299" s="10" t="inlineStr">
        <is>
          <t>RM</t>
        </is>
      </c>
      <c r="C299" s="10" t="inlineStr">
        <is>
          <t>Active</t>
        </is>
      </c>
      <c r="D299" s="10" t="inlineStr">
        <is>
          <t>ID - chemical reaction</t>
        </is>
      </c>
      <c r="E299" s="10">
        <f>IF(A299="","",A299&amp;"|"&amp;D299)</f>
        <v/>
      </c>
      <c r="F299" s="5" t="inlineStr">
        <is>
          <t>Y</t>
        </is>
      </c>
      <c r="G299" s="5" t="inlineStr">
        <is>
          <t>Other / bench</t>
        </is>
      </c>
      <c r="H299" s="5" t="inlineStr">
        <is>
          <t>Low</t>
        </is>
      </c>
      <c r="I299" s="5" t="n">
        <v>1</v>
      </c>
      <c r="J299" s="5" t="n"/>
      <c r="K299" s="10">
        <f>IFERROR(IF(INDEX('Test catalog'!$F$2:$F$200,MATCH($AB299,'Test catalog'!$A$2:$A$200,0))="","",INDEX('Test catalog'!$F$2:$F$200,MATCH($AB299,'Test catalog'!$A$2:$A$200,0))),"")</f>
        <v/>
      </c>
      <c r="L299" s="10">
        <f>IFERROR(IF(INDEX('Test catalog'!$G$2:$G$200,MATCH($AB299,'Test catalog'!$A$2:$A$200,0))="","",INDEX('Test catalog'!$G$2:$G$200,MATCH($AB299,'Test catalog'!$A$2:$A$200,0))),"")</f>
        <v/>
      </c>
      <c r="M299" s="10">
        <f>IFERROR(IF(INDEX('Test catalog'!$H$2:$H$200,MATCH($AB299,'Test catalog'!$A$2:$A$200,0))="","",INDEX('Test catalog'!$H$2:$H$200,MATCH($AB299,'Test catalog'!$A$2:$A$200,0))),"")</f>
        <v/>
      </c>
      <c r="N299" s="10">
        <f>IFERROR(IF(INDEX('Test catalog'!$I$2:$I$200,MATCH($AB299,'Test catalog'!$A$2:$A$200,0))="","",INDEX('Test catalog'!$I$2:$I$200,MATCH($AB299,'Test catalog'!$A$2:$A$200,0))),"")</f>
        <v/>
      </c>
      <c r="O299" s="10">
        <f>IFERROR(IF(INDEX('Test catalog'!$J$2:$J$200,MATCH($AB299,'Test catalog'!$A$2:$A$200,0))="","",INDEX('Test catalog'!$J$2:$J$200,MATCH($AB299,'Test catalog'!$A$2:$A$200,0))),"")</f>
        <v/>
      </c>
      <c r="P299" s="14">
        <f>IF(N299="","",IF(OR(M299="",O299=""),N299,(M299+4*N299+O299)/6))</f>
        <v/>
      </c>
      <c r="Q299" s="10">
        <f>IFERROR(IF(INDEX('Test catalog'!$K$2:$K$200,MATCH($AB299,'Test catalog'!$A$2:$A$200,0))="","",INDEX('Test catalog'!$K$2:$K$200,MATCH($AB299,'Test catalog'!$A$2:$A$200,0))),"")</f>
        <v/>
      </c>
      <c r="R299" s="5" t="n"/>
      <c r="S299" s="10">
        <f>IFERROR(IF(INDEX('Test catalog'!$L$2:$L$200,MATCH($AB299,'Test catalog'!$A$2:$A$200,0))="","",INDEX('Test catalog'!$L$2:$L$200,MATCH($AB299,'Test catalog'!$A$2:$A$200,0))),"")</f>
        <v/>
      </c>
      <c r="T299" s="10">
        <f>IFERROR(IF(INDEX('Test catalog'!$M$2:$M$200,MATCH($AB299,'Test catalog'!$A$2:$A$200,0))="","",INDEX('Test catalog'!$M$2:$M$200,MATCH($AB299,'Test catalog'!$A$2:$A$200,0))),"")</f>
        <v/>
      </c>
      <c r="U299" s="10">
        <f>IFERROR(IF(INDEX('Test catalog'!$N$2:$N$200,MATCH($AB299,'Test catalog'!$A$2:$A$200,0))="","",INDEX('Test catalog'!$N$2:$N$200,MATCH($AB299,'Test catalog'!$A$2:$A$200,0))),"")</f>
        <v/>
      </c>
      <c r="V299" s="15" t="n"/>
      <c r="W299" s="5" t="inlineStr">
        <is>
          <t>N</t>
        </is>
      </c>
      <c r="X299" s="5" t="n"/>
      <c r="Y299" s="5" t="n"/>
      <c r="Z299" s="5" t="n"/>
      <c r="AA299" s="10">
        <f>IFERROR(IF(INDEX('Test catalog'!$O$2:$O$200,MATCH($AB299,'Test catalog'!$A$2:$A$200,0))="","",INDEX('Test catalog'!$O$2:$O$200,MATCH($AB299,'Test catalog'!$A$2:$A$200,0))),"")</f>
        <v/>
      </c>
      <c r="AB299" s="10" t="inlineStr">
        <is>
          <t>ID_CHEM</t>
        </is>
      </c>
      <c r="AC299" s="10" t="inlineStr">
        <is>
          <t>Levocarnitine · Identification</t>
        </is>
      </c>
      <c r="AD299" s="10" t="n"/>
      <c r="AE299" s="10" t="n"/>
    </row>
    <row r="300">
      <c r="A300" s="10" t="inlineStr">
        <is>
          <t>L-Carnitine (Base)</t>
        </is>
      </c>
      <c r="B300" s="10" t="inlineStr">
        <is>
          <t>RM</t>
        </is>
      </c>
      <c r="C300" s="10" t="inlineStr">
        <is>
          <t>Active</t>
        </is>
      </c>
      <c r="D300" s="10" t="inlineStr">
        <is>
          <t>Residue on Ignition</t>
        </is>
      </c>
      <c r="E300" s="10">
        <f>IF(A300="","",A300&amp;"|"&amp;D300)</f>
        <v/>
      </c>
      <c r="F300" s="5" t="inlineStr">
        <is>
          <t>Y</t>
        </is>
      </c>
      <c r="G300" s="5" t="inlineStr">
        <is>
          <t>Other / bench</t>
        </is>
      </c>
      <c r="H300" s="5" t="inlineStr">
        <is>
          <t>Low</t>
        </is>
      </c>
      <c r="I300" s="5" t="n">
        <v>1</v>
      </c>
      <c r="J300" s="5" t="n"/>
      <c r="K300" s="10">
        <f>IFERROR(IF(INDEX('Test catalog'!$F$2:$F$200,MATCH($AB300,'Test catalog'!$A$2:$A$200,0))="","",INDEX('Test catalog'!$F$2:$F$200,MATCH($AB300,'Test catalog'!$A$2:$A$200,0))),"")</f>
        <v/>
      </c>
      <c r="L300" s="10">
        <f>IFERROR(IF(INDEX('Test catalog'!$G$2:$G$200,MATCH($AB300,'Test catalog'!$A$2:$A$200,0))="","",INDEX('Test catalog'!$G$2:$G$200,MATCH($AB300,'Test catalog'!$A$2:$A$200,0))),"")</f>
        <v/>
      </c>
      <c r="M300" s="10">
        <f>IFERROR(IF(INDEX('Test catalog'!$H$2:$H$200,MATCH($AB300,'Test catalog'!$A$2:$A$200,0))="","",INDEX('Test catalog'!$H$2:$H$200,MATCH($AB300,'Test catalog'!$A$2:$A$200,0))),"")</f>
        <v/>
      </c>
      <c r="N300" s="10">
        <f>IFERROR(IF(INDEX('Test catalog'!$I$2:$I$200,MATCH($AB300,'Test catalog'!$A$2:$A$200,0))="","",INDEX('Test catalog'!$I$2:$I$200,MATCH($AB300,'Test catalog'!$A$2:$A$200,0))),"")</f>
        <v/>
      </c>
      <c r="O300" s="10">
        <f>IFERROR(IF(INDEX('Test catalog'!$J$2:$J$200,MATCH($AB300,'Test catalog'!$A$2:$A$200,0))="","",INDEX('Test catalog'!$J$2:$J$200,MATCH($AB300,'Test catalog'!$A$2:$A$200,0))),"")</f>
        <v/>
      </c>
      <c r="P300" s="14">
        <f>IF(N300="","",IF(OR(M300="",O300=""),N300,(M300+4*N300+O300)/6))</f>
        <v/>
      </c>
      <c r="Q300" s="10">
        <f>IFERROR(IF(INDEX('Test catalog'!$K$2:$K$200,MATCH($AB300,'Test catalog'!$A$2:$A$200,0))="","",INDEX('Test catalog'!$K$2:$K$200,MATCH($AB300,'Test catalog'!$A$2:$A$200,0))),"")</f>
        <v/>
      </c>
      <c r="R300" s="5" t="n"/>
      <c r="S300" s="10">
        <f>IFERROR(IF(INDEX('Test catalog'!$L$2:$L$200,MATCH($AB300,'Test catalog'!$A$2:$A$200,0))="","",INDEX('Test catalog'!$L$2:$L$200,MATCH($AB300,'Test catalog'!$A$2:$A$200,0))),"")</f>
        <v/>
      </c>
      <c r="T300" s="10">
        <f>IFERROR(IF(INDEX('Test catalog'!$M$2:$M$200,MATCH($AB300,'Test catalog'!$A$2:$A$200,0))="","",INDEX('Test catalog'!$M$2:$M$200,MATCH($AB300,'Test catalog'!$A$2:$A$200,0))),"")</f>
        <v/>
      </c>
      <c r="U300" s="10">
        <f>IFERROR(IF(INDEX('Test catalog'!$N$2:$N$200,MATCH($AB300,'Test catalog'!$A$2:$A$200,0))="","",INDEX('Test catalog'!$N$2:$N$200,MATCH($AB300,'Test catalog'!$A$2:$A$200,0))),"")</f>
        <v/>
      </c>
      <c r="V300" s="15" t="n"/>
      <c r="W300" s="5" t="inlineStr">
        <is>
          <t>N</t>
        </is>
      </c>
      <c r="X300" s="5" t="n"/>
      <c r="Y300" s="5" t="n"/>
      <c r="Z300" s="5" t="n"/>
      <c r="AA300" s="10">
        <f>IFERROR(IF(INDEX('Test catalog'!$O$2:$O$200,MATCH($AB300,'Test catalog'!$A$2:$A$200,0))="","",INDEX('Test catalog'!$O$2:$O$200,MATCH($AB300,'Test catalog'!$A$2:$A$200,0))),"")</f>
        <v/>
      </c>
      <c r="AB300" s="10" t="inlineStr">
        <is>
          <t>ROI</t>
        </is>
      </c>
      <c r="AC300" s="10" t="inlineStr">
        <is>
          <t>Levocarnitine · Impurities &lt;281&gt;</t>
        </is>
      </c>
      <c r="AD300" s="10" t="n"/>
      <c r="AE300" s="10" t="n"/>
    </row>
    <row r="301">
      <c r="A301" s="10" t="inlineStr">
        <is>
          <t>L-Carnitine (Base)</t>
        </is>
      </c>
      <c r="B301" s="10" t="inlineStr">
        <is>
          <t>RM</t>
        </is>
      </c>
      <c r="C301" s="10" t="inlineStr">
        <is>
          <t>Active</t>
        </is>
      </c>
      <c r="D301" s="10" t="inlineStr">
        <is>
          <t>Chloride</t>
        </is>
      </c>
      <c r="E301" s="10">
        <f>IF(A301="","",A301&amp;"|"&amp;D301)</f>
        <v/>
      </c>
      <c r="F301" s="5" t="inlineStr">
        <is>
          <t>Y</t>
        </is>
      </c>
      <c r="G301" s="5" t="inlineStr">
        <is>
          <t>Other / bench</t>
        </is>
      </c>
      <c r="H301" s="5" t="inlineStr">
        <is>
          <t>Low</t>
        </is>
      </c>
      <c r="I301" s="5" t="n">
        <v>1</v>
      </c>
      <c r="J301" s="5" t="n"/>
      <c r="K301" s="10">
        <f>IFERROR(IF(INDEX('Test catalog'!$F$2:$F$200,MATCH($AB301,'Test catalog'!$A$2:$A$200,0))="","",INDEX('Test catalog'!$F$2:$F$200,MATCH($AB301,'Test catalog'!$A$2:$A$200,0))),"")</f>
        <v/>
      </c>
      <c r="L301" s="10">
        <f>IFERROR(IF(INDEX('Test catalog'!$G$2:$G$200,MATCH($AB301,'Test catalog'!$A$2:$A$200,0))="","",INDEX('Test catalog'!$G$2:$G$200,MATCH($AB301,'Test catalog'!$A$2:$A$200,0))),"")</f>
        <v/>
      </c>
      <c r="M301" s="10">
        <f>IFERROR(IF(INDEX('Test catalog'!$H$2:$H$200,MATCH($AB301,'Test catalog'!$A$2:$A$200,0))="","",INDEX('Test catalog'!$H$2:$H$200,MATCH($AB301,'Test catalog'!$A$2:$A$200,0))),"")</f>
        <v/>
      </c>
      <c r="N301" s="10">
        <f>IFERROR(IF(INDEX('Test catalog'!$I$2:$I$200,MATCH($AB301,'Test catalog'!$A$2:$A$200,0))="","",INDEX('Test catalog'!$I$2:$I$200,MATCH($AB301,'Test catalog'!$A$2:$A$200,0))),"")</f>
        <v/>
      </c>
      <c r="O301" s="10">
        <f>IFERROR(IF(INDEX('Test catalog'!$J$2:$J$200,MATCH($AB301,'Test catalog'!$A$2:$A$200,0))="","",INDEX('Test catalog'!$J$2:$J$200,MATCH($AB301,'Test catalog'!$A$2:$A$200,0))),"")</f>
        <v/>
      </c>
      <c r="P301" s="14">
        <f>IF(N301="","",IF(OR(M301="",O301=""),N301,(M301+4*N301+O301)/6))</f>
        <v/>
      </c>
      <c r="Q301" s="10">
        <f>IFERROR(IF(INDEX('Test catalog'!$K$2:$K$200,MATCH($AB301,'Test catalog'!$A$2:$A$200,0))="","",INDEX('Test catalog'!$K$2:$K$200,MATCH($AB301,'Test catalog'!$A$2:$A$200,0))),"")</f>
        <v/>
      </c>
      <c r="R301" s="5" t="n"/>
      <c r="S301" s="10">
        <f>IFERROR(IF(INDEX('Test catalog'!$L$2:$L$200,MATCH($AB301,'Test catalog'!$A$2:$A$200,0))="","",INDEX('Test catalog'!$L$2:$L$200,MATCH($AB301,'Test catalog'!$A$2:$A$200,0))),"")</f>
        <v/>
      </c>
      <c r="T301" s="10">
        <f>IFERROR(IF(INDEX('Test catalog'!$M$2:$M$200,MATCH($AB301,'Test catalog'!$A$2:$A$200,0))="","",INDEX('Test catalog'!$M$2:$M$200,MATCH($AB301,'Test catalog'!$A$2:$A$200,0))),"")</f>
        <v/>
      </c>
      <c r="U301" s="10">
        <f>IFERROR(IF(INDEX('Test catalog'!$N$2:$N$200,MATCH($AB301,'Test catalog'!$A$2:$A$200,0))="","",INDEX('Test catalog'!$N$2:$N$200,MATCH($AB301,'Test catalog'!$A$2:$A$200,0))),"")</f>
        <v/>
      </c>
      <c r="V301" s="15" t="n"/>
      <c r="W301" s="5" t="inlineStr">
        <is>
          <t>N</t>
        </is>
      </c>
      <c r="X301" s="5" t="n"/>
      <c r="Y301" s="5" t="n"/>
      <c r="Z301" s="5" t="n"/>
      <c r="AA301" s="10">
        <f>IFERROR(IF(INDEX('Test catalog'!$O$2:$O$200,MATCH($AB301,'Test catalog'!$A$2:$A$200,0))="","",INDEX('Test catalog'!$O$2:$O$200,MATCH($AB301,'Test catalog'!$A$2:$A$200,0))),"")</f>
        <v/>
      </c>
      <c r="AB301" s="10" t="inlineStr">
        <is>
          <t>LIMIT</t>
        </is>
      </c>
      <c r="AC301" s="10" t="inlineStr">
        <is>
          <t>Levocarnitine · Impurities &lt;221&gt;</t>
        </is>
      </c>
      <c r="AD301" s="10" t="n"/>
      <c r="AE301" s="10" t="n"/>
    </row>
    <row r="302">
      <c r="A302" s="10" t="inlineStr">
        <is>
          <t>L-Carnitine (Base)</t>
        </is>
      </c>
      <c r="B302" s="10" t="inlineStr">
        <is>
          <t>RM</t>
        </is>
      </c>
      <c r="C302" s="10" t="inlineStr">
        <is>
          <t>Active</t>
        </is>
      </c>
      <c r="D302" s="10" t="inlineStr">
        <is>
          <t>Sulfate</t>
        </is>
      </c>
      <c r="E302" s="10">
        <f>IF(A302="","",A302&amp;"|"&amp;D302)</f>
        <v/>
      </c>
      <c r="F302" s="5" t="inlineStr">
        <is>
          <t>Y</t>
        </is>
      </c>
      <c r="G302" s="5" t="inlineStr">
        <is>
          <t>Other / bench</t>
        </is>
      </c>
      <c r="H302" s="5" t="inlineStr">
        <is>
          <t>Low</t>
        </is>
      </c>
      <c r="I302" s="5" t="n">
        <v>1</v>
      </c>
      <c r="J302" s="5" t="n"/>
      <c r="K302" s="10">
        <f>IFERROR(IF(INDEX('Test catalog'!$F$2:$F$200,MATCH($AB302,'Test catalog'!$A$2:$A$200,0))="","",INDEX('Test catalog'!$F$2:$F$200,MATCH($AB302,'Test catalog'!$A$2:$A$200,0))),"")</f>
        <v/>
      </c>
      <c r="L302" s="10">
        <f>IFERROR(IF(INDEX('Test catalog'!$G$2:$G$200,MATCH($AB302,'Test catalog'!$A$2:$A$200,0))="","",INDEX('Test catalog'!$G$2:$G$200,MATCH($AB302,'Test catalog'!$A$2:$A$200,0))),"")</f>
        <v/>
      </c>
      <c r="M302" s="10">
        <f>IFERROR(IF(INDEX('Test catalog'!$H$2:$H$200,MATCH($AB302,'Test catalog'!$A$2:$A$200,0))="","",INDEX('Test catalog'!$H$2:$H$200,MATCH($AB302,'Test catalog'!$A$2:$A$200,0))),"")</f>
        <v/>
      </c>
      <c r="N302" s="10">
        <f>IFERROR(IF(INDEX('Test catalog'!$I$2:$I$200,MATCH($AB302,'Test catalog'!$A$2:$A$200,0))="","",INDEX('Test catalog'!$I$2:$I$200,MATCH($AB302,'Test catalog'!$A$2:$A$200,0))),"")</f>
        <v/>
      </c>
      <c r="O302" s="10">
        <f>IFERROR(IF(INDEX('Test catalog'!$J$2:$J$200,MATCH($AB302,'Test catalog'!$A$2:$A$200,0))="","",INDEX('Test catalog'!$J$2:$J$200,MATCH($AB302,'Test catalog'!$A$2:$A$200,0))),"")</f>
        <v/>
      </c>
      <c r="P302" s="14">
        <f>IF(N302="","",IF(OR(M302="",O302=""),N302,(M302+4*N302+O302)/6))</f>
        <v/>
      </c>
      <c r="Q302" s="10">
        <f>IFERROR(IF(INDEX('Test catalog'!$K$2:$K$200,MATCH($AB302,'Test catalog'!$A$2:$A$200,0))="","",INDEX('Test catalog'!$K$2:$K$200,MATCH($AB302,'Test catalog'!$A$2:$A$200,0))),"")</f>
        <v/>
      </c>
      <c r="R302" s="5" t="n"/>
      <c r="S302" s="10">
        <f>IFERROR(IF(INDEX('Test catalog'!$L$2:$L$200,MATCH($AB302,'Test catalog'!$A$2:$A$200,0))="","",INDEX('Test catalog'!$L$2:$L$200,MATCH($AB302,'Test catalog'!$A$2:$A$200,0))),"")</f>
        <v/>
      </c>
      <c r="T302" s="10">
        <f>IFERROR(IF(INDEX('Test catalog'!$M$2:$M$200,MATCH($AB302,'Test catalog'!$A$2:$A$200,0))="","",INDEX('Test catalog'!$M$2:$M$200,MATCH($AB302,'Test catalog'!$A$2:$A$200,0))),"")</f>
        <v/>
      </c>
      <c r="U302" s="10">
        <f>IFERROR(IF(INDEX('Test catalog'!$N$2:$N$200,MATCH($AB302,'Test catalog'!$A$2:$A$200,0))="","",INDEX('Test catalog'!$N$2:$N$200,MATCH($AB302,'Test catalog'!$A$2:$A$200,0))),"")</f>
        <v/>
      </c>
      <c r="V302" s="15" t="n"/>
      <c r="W302" s="5" t="inlineStr">
        <is>
          <t>N</t>
        </is>
      </c>
      <c r="X302" s="5" t="n"/>
      <c r="Y302" s="5" t="n"/>
      <c r="Z302" s="5" t="n"/>
      <c r="AA302" s="10">
        <f>IFERROR(IF(INDEX('Test catalog'!$O$2:$O$200,MATCH($AB302,'Test catalog'!$A$2:$A$200,0))="","",INDEX('Test catalog'!$O$2:$O$200,MATCH($AB302,'Test catalog'!$A$2:$A$200,0))),"")</f>
        <v/>
      </c>
      <c r="AB302" s="10" t="inlineStr">
        <is>
          <t>LIMIT</t>
        </is>
      </c>
      <c r="AC302" s="10" t="inlineStr">
        <is>
          <t>Levocarnitine · Impurities &lt;221&gt;</t>
        </is>
      </c>
      <c r="AD302" s="10" t="n"/>
      <c r="AE302" s="10" t="n"/>
    </row>
    <row r="303">
      <c r="A303" s="10" t="inlineStr">
        <is>
          <t>L-Carnitine (Base)</t>
        </is>
      </c>
      <c r="B303" s="10" t="inlineStr">
        <is>
          <t>RM</t>
        </is>
      </c>
      <c r="C303" s="10" t="inlineStr">
        <is>
          <t>Active</t>
        </is>
      </c>
      <c r="D303" s="10" t="inlineStr">
        <is>
          <t>Enantiomeric Purity (HPLC)</t>
        </is>
      </c>
      <c r="E303" s="10">
        <f>IF(A303="","",A303&amp;"|"&amp;D303)</f>
        <v/>
      </c>
      <c r="F303" s="5" t="inlineStr">
        <is>
          <t>Y</t>
        </is>
      </c>
      <c r="G303" s="5" t="inlineStr">
        <is>
          <t>HPLC</t>
        </is>
      </c>
      <c r="H303" s="5" t="inlineStr">
        <is>
          <t>Medium</t>
        </is>
      </c>
      <c r="I303" s="5" t="n">
        <v>1</v>
      </c>
      <c r="J303" s="5" t="n"/>
      <c r="K303" s="5" t="n"/>
      <c r="L303" s="5" t="n"/>
      <c r="M303" s="5" t="n"/>
      <c r="N303" s="5" t="n"/>
      <c r="O303" s="5" t="n"/>
      <c r="P303" s="14">
        <f>IF(N303="","",IF(OR(M303="",O303=""),N303,(M303+4*N303+O303)/6))</f>
        <v/>
      </c>
      <c r="Q303" s="5" t="n"/>
      <c r="R303" s="5" t="n"/>
      <c r="S303" s="5" t="n"/>
      <c r="T303" s="5" t="n"/>
      <c r="U303" s="5" t="n"/>
      <c r="V303" s="15" t="n"/>
      <c r="W303" s="5" t="inlineStr">
        <is>
          <t>N</t>
        </is>
      </c>
      <c r="X303" s="5" t="n"/>
      <c r="Y303" s="5" t="n"/>
      <c r="Z303" s="5" t="n"/>
      <c r="AA303" s="5" t="n"/>
      <c r="AB303" s="10" t="n"/>
      <c r="AC303" s="10" t="inlineStr">
        <is>
          <t>Levocarnitine · Impurities</t>
        </is>
      </c>
      <c r="AD303" s="10" t="n"/>
      <c r="AE303" s="10" t="n"/>
    </row>
    <row r="304">
      <c r="A304" s="10" t="inlineStr">
        <is>
          <t>L-Carnitine (Base)</t>
        </is>
      </c>
      <c r="B304" s="10" t="inlineStr">
        <is>
          <t>RM</t>
        </is>
      </c>
      <c r="C304" s="10" t="inlineStr">
        <is>
          <t>Active</t>
        </is>
      </c>
      <c r="D304" s="10" t="inlineStr">
        <is>
          <t>Limit of Potassium</t>
        </is>
      </c>
      <c r="E304" s="10">
        <f>IF(A304="","",A304&amp;"|"&amp;D304)</f>
        <v/>
      </c>
      <c r="F304" s="5" t="inlineStr">
        <is>
          <t>Y</t>
        </is>
      </c>
      <c r="G304" s="5" t="inlineStr">
        <is>
          <t>AAS / ICP</t>
        </is>
      </c>
      <c r="H304" s="5" t="inlineStr">
        <is>
          <t>Low</t>
        </is>
      </c>
      <c r="I304" s="5" t="n">
        <v>1</v>
      </c>
      <c r="J304" s="5" t="n"/>
      <c r="K304" s="10">
        <f>IFERROR(IF(INDEX('Test catalog'!$F$2:$F$200,MATCH($AB304,'Test catalog'!$A$2:$A$200,0))="","",INDEX('Test catalog'!$F$2:$F$200,MATCH($AB304,'Test catalog'!$A$2:$A$200,0))),"")</f>
        <v/>
      </c>
      <c r="L304" s="10">
        <f>IFERROR(IF(INDEX('Test catalog'!$G$2:$G$200,MATCH($AB304,'Test catalog'!$A$2:$A$200,0))="","",INDEX('Test catalog'!$G$2:$G$200,MATCH($AB304,'Test catalog'!$A$2:$A$200,0))),"")</f>
        <v/>
      </c>
      <c r="M304" s="10">
        <f>IFERROR(IF(INDEX('Test catalog'!$H$2:$H$200,MATCH($AB304,'Test catalog'!$A$2:$A$200,0))="","",INDEX('Test catalog'!$H$2:$H$200,MATCH($AB304,'Test catalog'!$A$2:$A$200,0))),"")</f>
        <v/>
      </c>
      <c r="N304" s="10">
        <f>IFERROR(IF(INDEX('Test catalog'!$I$2:$I$200,MATCH($AB304,'Test catalog'!$A$2:$A$200,0))="","",INDEX('Test catalog'!$I$2:$I$200,MATCH($AB304,'Test catalog'!$A$2:$A$200,0))),"")</f>
        <v/>
      </c>
      <c r="O304" s="10">
        <f>IFERROR(IF(INDEX('Test catalog'!$J$2:$J$200,MATCH($AB304,'Test catalog'!$A$2:$A$200,0))="","",INDEX('Test catalog'!$J$2:$J$200,MATCH($AB304,'Test catalog'!$A$2:$A$200,0))),"")</f>
        <v/>
      </c>
      <c r="P304" s="14">
        <f>IF(N304="","",IF(OR(M304="",O304=""),N304,(M304+4*N304+O304)/6))</f>
        <v/>
      </c>
      <c r="Q304" s="10">
        <f>IFERROR(IF(INDEX('Test catalog'!$K$2:$K$200,MATCH($AB304,'Test catalog'!$A$2:$A$200,0))="","",INDEX('Test catalog'!$K$2:$K$200,MATCH($AB304,'Test catalog'!$A$2:$A$200,0))),"")</f>
        <v/>
      </c>
      <c r="R304" s="5" t="n"/>
      <c r="S304" s="10">
        <f>IFERROR(IF(INDEX('Test catalog'!$L$2:$L$200,MATCH($AB304,'Test catalog'!$A$2:$A$200,0))="","",INDEX('Test catalog'!$L$2:$L$200,MATCH($AB304,'Test catalog'!$A$2:$A$200,0))),"")</f>
        <v/>
      </c>
      <c r="T304" s="10">
        <f>IFERROR(IF(INDEX('Test catalog'!$M$2:$M$200,MATCH($AB304,'Test catalog'!$A$2:$A$200,0))="","",INDEX('Test catalog'!$M$2:$M$200,MATCH($AB304,'Test catalog'!$A$2:$A$200,0))),"")</f>
        <v/>
      </c>
      <c r="U304" s="10">
        <f>IFERROR(IF(INDEX('Test catalog'!$N$2:$N$200,MATCH($AB304,'Test catalog'!$A$2:$A$200,0))="","",INDEX('Test catalog'!$N$2:$N$200,MATCH($AB304,'Test catalog'!$A$2:$A$200,0))),"")</f>
        <v/>
      </c>
      <c r="V304" s="15" t="n"/>
      <c r="W304" s="5" t="inlineStr">
        <is>
          <t>N</t>
        </is>
      </c>
      <c r="X304" s="5" t="n"/>
      <c r="Y304" s="5" t="n"/>
      <c r="Z304" s="5" t="n"/>
      <c r="AA304" s="10">
        <f>IFERROR(IF(INDEX('Test catalog'!$O$2:$O$200,MATCH($AB304,'Test catalog'!$A$2:$A$200,0))="","",INDEX('Test catalog'!$O$2:$O$200,MATCH($AB304,'Test catalog'!$A$2:$A$200,0))),"")</f>
        <v/>
      </c>
      <c r="AB304" s="10" t="inlineStr">
        <is>
          <t>AAS</t>
        </is>
      </c>
      <c r="AC304" s="10" t="inlineStr">
        <is>
          <t>Levocarnitine · Impurities</t>
        </is>
      </c>
      <c r="AD304" s="10" t="n"/>
      <c r="AE304" s="10" t="n"/>
    </row>
    <row r="305">
      <c r="A305" s="10" t="inlineStr">
        <is>
          <t>L-Carnitine (Base)</t>
        </is>
      </c>
      <c r="B305" s="10" t="inlineStr">
        <is>
          <t>RM</t>
        </is>
      </c>
      <c r="C305" s="10" t="inlineStr">
        <is>
          <t>Active</t>
        </is>
      </c>
      <c r="D305" s="10" t="inlineStr">
        <is>
          <t>Limit of Sodium</t>
        </is>
      </c>
      <c r="E305" s="10">
        <f>IF(A305="","",A305&amp;"|"&amp;D305)</f>
        <v/>
      </c>
      <c r="F305" s="5" t="inlineStr">
        <is>
          <t>Y</t>
        </is>
      </c>
      <c r="G305" s="5" t="inlineStr">
        <is>
          <t>AAS / ICP</t>
        </is>
      </c>
      <c r="H305" s="5" t="inlineStr">
        <is>
          <t>Low</t>
        </is>
      </c>
      <c r="I305" s="5" t="n">
        <v>1</v>
      </c>
      <c r="J305" s="5" t="n"/>
      <c r="K305" s="10">
        <f>IFERROR(IF(INDEX('Test catalog'!$F$2:$F$200,MATCH($AB305,'Test catalog'!$A$2:$A$200,0))="","",INDEX('Test catalog'!$F$2:$F$200,MATCH($AB305,'Test catalog'!$A$2:$A$200,0))),"")</f>
        <v/>
      </c>
      <c r="L305" s="10">
        <f>IFERROR(IF(INDEX('Test catalog'!$G$2:$G$200,MATCH($AB305,'Test catalog'!$A$2:$A$200,0))="","",INDEX('Test catalog'!$G$2:$G$200,MATCH($AB305,'Test catalog'!$A$2:$A$200,0))),"")</f>
        <v/>
      </c>
      <c r="M305" s="10">
        <f>IFERROR(IF(INDEX('Test catalog'!$H$2:$H$200,MATCH($AB305,'Test catalog'!$A$2:$A$200,0))="","",INDEX('Test catalog'!$H$2:$H$200,MATCH($AB305,'Test catalog'!$A$2:$A$200,0))),"")</f>
        <v/>
      </c>
      <c r="N305" s="10">
        <f>IFERROR(IF(INDEX('Test catalog'!$I$2:$I$200,MATCH($AB305,'Test catalog'!$A$2:$A$200,0))="","",INDEX('Test catalog'!$I$2:$I$200,MATCH($AB305,'Test catalog'!$A$2:$A$200,0))),"")</f>
        <v/>
      </c>
      <c r="O305" s="10">
        <f>IFERROR(IF(INDEX('Test catalog'!$J$2:$J$200,MATCH($AB305,'Test catalog'!$A$2:$A$200,0))="","",INDEX('Test catalog'!$J$2:$J$200,MATCH($AB305,'Test catalog'!$A$2:$A$200,0))),"")</f>
        <v/>
      </c>
      <c r="P305" s="14">
        <f>IF(N305="","",IF(OR(M305="",O305=""),N305,(M305+4*N305+O305)/6))</f>
        <v/>
      </c>
      <c r="Q305" s="10">
        <f>IFERROR(IF(INDEX('Test catalog'!$K$2:$K$200,MATCH($AB305,'Test catalog'!$A$2:$A$200,0))="","",INDEX('Test catalog'!$K$2:$K$200,MATCH($AB305,'Test catalog'!$A$2:$A$200,0))),"")</f>
        <v/>
      </c>
      <c r="R305" s="5" t="n"/>
      <c r="S305" s="10">
        <f>IFERROR(IF(INDEX('Test catalog'!$L$2:$L$200,MATCH($AB305,'Test catalog'!$A$2:$A$200,0))="","",INDEX('Test catalog'!$L$2:$L$200,MATCH($AB305,'Test catalog'!$A$2:$A$200,0))),"")</f>
        <v/>
      </c>
      <c r="T305" s="10">
        <f>IFERROR(IF(INDEX('Test catalog'!$M$2:$M$200,MATCH($AB305,'Test catalog'!$A$2:$A$200,0))="","",INDEX('Test catalog'!$M$2:$M$200,MATCH($AB305,'Test catalog'!$A$2:$A$200,0))),"")</f>
        <v/>
      </c>
      <c r="U305" s="10">
        <f>IFERROR(IF(INDEX('Test catalog'!$N$2:$N$200,MATCH($AB305,'Test catalog'!$A$2:$A$200,0))="","",INDEX('Test catalog'!$N$2:$N$200,MATCH($AB305,'Test catalog'!$A$2:$A$200,0))),"")</f>
        <v/>
      </c>
      <c r="V305" s="15" t="n"/>
      <c r="W305" s="5" t="inlineStr">
        <is>
          <t>N</t>
        </is>
      </c>
      <c r="X305" s="5" t="n"/>
      <c r="Y305" s="5" t="n"/>
      <c r="Z305" s="5" t="n"/>
      <c r="AA305" s="10">
        <f>IFERROR(IF(INDEX('Test catalog'!$O$2:$O$200,MATCH($AB305,'Test catalog'!$A$2:$A$200,0))="","",INDEX('Test catalog'!$O$2:$O$200,MATCH($AB305,'Test catalog'!$A$2:$A$200,0))),"")</f>
        <v/>
      </c>
      <c r="AB305" s="10" t="inlineStr">
        <is>
          <t>AAS</t>
        </is>
      </c>
      <c r="AC305" s="10" t="inlineStr">
        <is>
          <t>Levocarnitine · Impurities</t>
        </is>
      </c>
      <c r="AD305" s="10" t="n"/>
      <c r="AE305" s="10" t="n"/>
    </row>
    <row r="306">
      <c r="A306" s="10" t="inlineStr">
        <is>
          <t>L-Carnitine (Base)</t>
        </is>
      </c>
      <c r="B306" s="10" t="inlineStr">
        <is>
          <t>RM</t>
        </is>
      </c>
      <c r="C306" s="10" t="inlineStr">
        <is>
          <t>Active</t>
        </is>
      </c>
      <c r="D306" s="10" t="inlineStr">
        <is>
          <t>pH</t>
        </is>
      </c>
      <c r="E306" s="10">
        <f>IF(A306="","",A306&amp;"|"&amp;D306)</f>
        <v/>
      </c>
      <c r="F306" s="5" t="inlineStr">
        <is>
          <t>Y</t>
        </is>
      </c>
      <c r="G306" s="5" t="inlineStr">
        <is>
          <t>Other / bench</t>
        </is>
      </c>
      <c r="H306" s="5" t="inlineStr">
        <is>
          <t>Low</t>
        </is>
      </c>
      <c r="I306" s="5" t="n">
        <v>1</v>
      </c>
      <c r="J306" s="5" t="n"/>
      <c r="K306" s="10">
        <f>IFERROR(IF(INDEX('Test catalog'!$F$2:$F$200,MATCH($AB306,'Test catalog'!$A$2:$A$200,0))="","",INDEX('Test catalog'!$F$2:$F$200,MATCH($AB306,'Test catalog'!$A$2:$A$200,0))),"")</f>
        <v/>
      </c>
      <c r="L306" s="10">
        <f>IFERROR(IF(INDEX('Test catalog'!$G$2:$G$200,MATCH($AB306,'Test catalog'!$A$2:$A$200,0))="","",INDEX('Test catalog'!$G$2:$G$200,MATCH($AB306,'Test catalog'!$A$2:$A$200,0))),"")</f>
        <v/>
      </c>
      <c r="M306" s="10">
        <f>IFERROR(IF(INDEX('Test catalog'!$H$2:$H$200,MATCH($AB306,'Test catalog'!$A$2:$A$200,0))="","",INDEX('Test catalog'!$H$2:$H$200,MATCH($AB306,'Test catalog'!$A$2:$A$200,0))),"")</f>
        <v/>
      </c>
      <c r="N306" s="10">
        <f>IFERROR(IF(INDEX('Test catalog'!$I$2:$I$200,MATCH($AB306,'Test catalog'!$A$2:$A$200,0))="","",INDEX('Test catalog'!$I$2:$I$200,MATCH($AB306,'Test catalog'!$A$2:$A$200,0))),"")</f>
        <v/>
      </c>
      <c r="O306" s="10">
        <f>IFERROR(IF(INDEX('Test catalog'!$J$2:$J$200,MATCH($AB306,'Test catalog'!$A$2:$A$200,0))="","",INDEX('Test catalog'!$J$2:$J$200,MATCH($AB306,'Test catalog'!$A$2:$A$200,0))),"")</f>
        <v/>
      </c>
      <c r="P306" s="14">
        <f>IF(N306="","",IF(OR(M306="",O306=""),N306,(M306+4*N306+O306)/6))</f>
        <v/>
      </c>
      <c r="Q306" s="10">
        <f>IFERROR(IF(INDEX('Test catalog'!$K$2:$K$200,MATCH($AB306,'Test catalog'!$A$2:$A$200,0))="","",INDEX('Test catalog'!$K$2:$K$200,MATCH($AB306,'Test catalog'!$A$2:$A$200,0))),"")</f>
        <v/>
      </c>
      <c r="R306" s="5" t="n"/>
      <c r="S306" s="10">
        <f>IFERROR(IF(INDEX('Test catalog'!$L$2:$L$200,MATCH($AB306,'Test catalog'!$A$2:$A$200,0))="","",INDEX('Test catalog'!$L$2:$L$200,MATCH($AB306,'Test catalog'!$A$2:$A$200,0))),"")</f>
        <v/>
      </c>
      <c r="T306" s="10">
        <f>IFERROR(IF(INDEX('Test catalog'!$M$2:$M$200,MATCH($AB306,'Test catalog'!$A$2:$A$200,0))="","",INDEX('Test catalog'!$M$2:$M$200,MATCH($AB306,'Test catalog'!$A$2:$A$200,0))),"")</f>
        <v/>
      </c>
      <c r="U306" s="10">
        <f>IFERROR(IF(INDEX('Test catalog'!$N$2:$N$200,MATCH($AB306,'Test catalog'!$A$2:$A$200,0))="","",INDEX('Test catalog'!$N$2:$N$200,MATCH($AB306,'Test catalog'!$A$2:$A$200,0))),"")</f>
        <v/>
      </c>
      <c r="V306" s="15" t="n"/>
      <c r="W306" s="5" t="inlineStr">
        <is>
          <t>N</t>
        </is>
      </c>
      <c r="X306" s="5" t="n"/>
      <c r="Y306" s="5" t="n"/>
      <c r="Z306" s="5" t="n"/>
      <c r="AA306" s="10">
        <f>IFERROR(IF(INDEX('Test catalog'!$O$2:$O$200,MATCH($AB306,'Test catalog'!$A$2:$A$200,0))="","",INDEX('Test catalog'!$O$2:$O$200,MATCH($AB306,'Test catalog'!$A$2:$A$200,0))),"")</f>
        <v/>
      </c>
      <c r="AB306" s="10" t="inlineStr">
        <is>
          <t>PH</t>
        </is>
      </c>
      <c r="AC306" s="10" t="inlineStr">
        <is>
          <t>Levocarnitine · Specific Tests &lt;791&gt;</t>
        </is>
      </c>
      <c r="AD306" s="10" t="n"/>
      <c r="AE306" s="10" t="n"/>
    </row>
    <row r="307">
      <c r="A307" s="10" t="inlineStr">
        <is>
          <t>L-Carnitine (Base)</t>
        </is>
      </c>
      <c r="B307" s="10" t="inlineStr">
        <is>
          <t>RM</t>
        </is>
      </c>
      <c r="C307" s="10" t="inlineStr">
        <is>
          <t>Active</t>
        </is>
      </c>
      <c r="D307" s="10" t="inlineStr">
        <is>
          <t>Water Determination</t>
        </is>
      </c>
      <c r="E307" s="10">
        <f>IF(A307="","",A307&amp;"|"&amp;D307)</f>
        <v/>
      </c>
      <c r="F307" s="5" t="inlineStr">
        <is>
          <t>Y</t>
        </is>
      </c>
      <c r="G307" s="5" t="inlineStr">
        <is>
          <t>KF titrator</t>
        </is>
      </c>
      <c r="H307" s="5" t="inlineStr">
        <is>
          <t>Low</t>
        </is>
      </c>
      <c r="I307" s="5" t="n">
        <v>1</v>
      </c>
      <c r="J307" s="5" t="n"/>
      <c r="K307" s="10">
        <f>IFERROR(IF(INDEX('Test catalog'!$F$2:$F$200,MATCH($AB307,'Test catalog'!$A$2:$A$200,0))="","",INDEX('Test catalog'!$F$2:$F$200,MATCH($AB307,'Test catalog'!$A$2:$A$200,0))),"")</f>
        <v/>
      </c>
      <c r="L307" s="10">
        <f>IFERROR(IF(INDEX('Test catalog'!$G$2:$G$200,MATCH($AB307,'Test catalog'!$A$2:$A$200,0))="","",INDEX('Test catalog'!$G$2:$G$200,MATCH($AB307,'Test catalog'!$A$2:$A$200,0))),"")</f>
        <v/>
      </c>
      <c r="M307" s="10">
        <f>IFERROR(IF(INDEX('Test catalog'!$H$2:$H$200,MATCH($AB307,'Test catalog'!$A$2:$A$200,0))="","",INDEX('Test catalog'!$H$2:$H$200,MATCH($AB307,'Test catalog'!$A$2:$A$200,0))),"")</f>
        <v/>
      </c>
      <c r="N307" s="10">
        <f>IFERROR(IF(INDEX('Test catalog'!$I$2:$I$200,MATCH($AB307,'Test catalog'!$A$2:$A$200,0))="","",INDEX('Test catalog'!$I$2:$I$200,MATCH($AB307,'Test catalog'!$A$2:$A$200,0))),"")</f>
        <v/>
      </c>
      <c r="O307" s="10">
        <f>IFERROR(IF(INDEX('Test catalog'!$J$2:$J$200,MATCH($AB307,'Test catalog'!$A$2:$A$200,0))="","",INDEX('Test catalog'!$J$2:$J$200,MATCH($AB307,'Test catalog'!$A$2:$A$200,0))),"")</f>
        <v/>
      </c>
      <c r="P307" s="14">
        <f>IF(N307="","",IF(OR(M307="",O307=""),N307,(M307+4*N307+O307)/6))</f>
        <v/>
      </c>
      <c r="Q307" s="10">
        <f>IFERROR(IF(INDEX('Test catalog'!$K$2:$K$200,MATCH($AB307,'Test catalog'!$A$2:$A$200,0))="","",INDEX('Test catalog'!$K$2:$K$200,MATCH($AB307,'Test catalog'!$A$2:$A$200,0))),"")</f>
        <v/>
      </c>
      <c r="R307" s="5" t="n"/>
      <c r="S307" s="10">
        <f>IFERROR(IF(INDEX('Test catalog'!$L$2:$L$200,MATCH($AB307,'Test catalog'!$A$2:$A$200,0))="","",INDEX('Test catalog'!$L$2:$L$200,MATCH($AB307,'Test catalog'!$A$2:$A$200,0))),"")</f>
        <v/>
      </c>
      <c r="T307" s="10">
        <f>IFERROR(IF(INDEX('Test catalog'!$M$2:$M$200,MATCH($AB307,'Test catalog'!$A$2:$A$200,0))="","",INDEX('Test catalog'!$M$2:$M$200,MATCH($AB307,'Test catalog'!$A$2:$A$200,0))),"")</f>
        <v/>
      </c>
      <c r="U307" s="10">
        <f>IFERROR(IF(INDEX('Test catalog'!$N$2:$N$200,MATCH($AB307,'Test catalog'!$A$2:$A$200,0))="","",INDEX('Test catalog'!$N$2:$N$200,MATCH($AB307,'Test catalog'!$A$2:$A$200,0))),"")</f>
        <v/>
      </c>
      <c r="V307" s="15" t="n"/>
      <c r="W307" s="5" t="inlineStr">
        <is>
          <t>N</t>
        </is>
      </c>
      <c r="X307" s="5" t="n"/>
      <c r="Y307" s="5" t="n"/>
      <c r="Z307" s="5" t="n"/>
      <c r="AA307" s="10">
        <f>IFERROR(IF(INDEX('Test catalog'!$O$2:$O$200,MATCH($AB307,'Test catalog'!$A$2:$A$200,0))="","",INDEX('Test catalog'!$O$2:$O$200,MATCH($AB307,'Test catalog'!$A$2:$A$200,0))),"")</f>
        <v/>
      </c>
      <c r="AB307" s="10" t="inlineStr">
        <is>
          <t>KF</t>
        </is>
      </c>
      <c r="AC307" s="10" t="inlineStr">
        <is>
          <t>Levocarnitine · Specific Tests &lt;921&gt;</t>
        </is>
      </c>
      <c r="AD307" s="10" t="n"/>
      <c r="AE307" s="10" t="n"/>
    </row>
    <row r="308">
      <c r="A308" s="10" t="inlineStr">
        <is>
          <t>L-Citrulline</t>
        </is>
      </c>
      <c r="B308" s="10" t="inlineStr">
        <is>
          <t>RM</t>
        </is>
      </c>
      <c r="C308" s="10" t="inlineStr">
        <is>
          <t>Active</t>
        </is>
      </c>
      <c r="D308" s="10" t="inlineStr">
        <is>
          <t>Appearance / description and solubility</t>
        </is>
      </c>
      <c r="E308" s="10">
        <f>IF(A308="","",A308&amp;"|"&amp;D308)</f>
        <v/>
      </c>
      <c r="F308" s="5" t="inlineStr">
        <is>
          <t>Y</t>
        </is>
      </c>
      <c r="G308" s="5" t="inlineStr">
        <is>
          <t>Other / bench</t>
        </is>
      </c>
      <c r="H308" s="5" t="inlineStr">
        <is>
          <t>Low</t>
        </is>
      </c>
      <c r="I308" s="5" t="n">
        <v>1</v>
      </c>
      <c r="J308" s="5" t="n"/>
      <c r="K308" s="10">
        <f>IFERROR(IF(INDEX('Test catalog'!$F$2:$F$200,MATCH($AB308,'Test catalog'!$A$2:$A$200,0))="","",INDEX('Test catalog'!$F$2:$F$200,MATCH($AB308,'Test catalog'!$A$2:$A$200,0))),"")</f>
        <v/>
      </c>
      <c r="L308" s="10">
        <f>IFERROR(IF(INDEX('Test catalog'!$G$2:$G$200,MATCH($AB308,'Test catalog'!$A$2:$A$200,0))="","",INDEX('Test catalog'!$G$2:$G$200,MATCH($AB308,'Test catalog'!$A$2:$A$200,0))),"")</f>
        <v/>
      </c>
      <c r="M308" s="10">
        <f>IFERROR(IF(INDEX('Test catalog'!$H$2:$H$200,MATCH($AB308,'Test catalog'!$A$2:$A$200,0))="","",INDEX('Test catalog'!$H$2:$H$200,MATCH($AB308,'Test catalog'!$A$2:$A$200,0))),"")</f>
        <v/>
      </c>
      <c r="N308" s="10">
        <f>IFERROR(IF(INDEX('Test catalog'!$I$2:$I$200,MATCH($AB308,'Test catalog'!$A$2:$A$200,0))="","",INDEX('Test catalog'!$I$2:$I$200,MATCH($AB308,'Test catalog'!$A$2:$A$200,0))),"")</f>
        <v/>
      </c>
      <c r="O308" s="10">
        <f>IFERROR(IF(INDEX('Test catalog'!$J$2:$J$200,MATCH($AB308,'Test catalog'!$A$2:$A$200,0))="","",INDEX('Test catalog'!$J$2:$J$200,MATCH($AB308,'Test catalog'!$A$2:$A$200,0))),"")</f>
        <v/>
      </c>
      <c r="P308" s="14">
        <f>IF(N308="","",IF(OR(M308="",O308=""),N308,(M308+4*N308+O308)/6))</f>
        <v/>
      </c>
      <c r="Q308" s="10">
        <f>IFERROR(IF(INDEX('Test catalog'!$K$2:$K$200,MATCH($AB308,'Test catalog'!$A$2:$A$200,0))="","",INDEX('Test catalog'!$K$2:$K$200,MATCH($AB308,'Test catalog'!$A$2:$A$200,0))),"")</f>
        <v/>
      </c>
      <c r="R308" s="5" t="n"/>
      <c r="S308" s="10">
        <f>IFERROR(IF(INDEX('Test catalog'!$L$2:$L$200,MATCH($AB308,'Test catalog'!$A$2:$A$200,0))="","",INDEX('Test catalog'!$L$2:$L$200,MATCH($AB308,'Test catalog'!$A$2:$A$200,0))),"")</f>
        <v/>
      </c>
      <c r="T308" s="10">
        <f>IFERROR(IF(INDEX('Test catalog'!$M$2:$M$200,MATCH($AB308,'Test catalog'!$A$2:$A$200,0))="","",INDEX('Test catalog'!$M$2:$M$200,MATCH($AB308,'Test catalog'!$A$2:$A$200,0))),"")</f>
        <v/>
      </c>
      <c r="U308" s="10">
        <f>IFERROR(IF(INDEX('Test catalog'!$N$2:$N$200,MATCH($AB308,'Test catalog'!$A$2:$A$200,0))="","",INDEX('Test catalog'!$N$2:$N$200,MATCH($AB308,'Test catalog'!$A$2:$A$200,0))),"")</f>
        <v/>
      </c>
      <c r="V308" s="15" t="n"/>
      <c r="W308" s="5" t="inlineStr">
        <is>
          <t>N</t>
        </is>
      </c>
      <c r="X308" s="5" t="n"/>
      <c r="Y308" s="5" t="n"/>
      <c r="Z308" s="5" t="n"/>
      <c r="AA308" s="10">
        <f>IFERROR(IF(INDEX('Test catalog'!$O$2:$O$200,MATCH($AB308,'Test catalog'!$A$2:$A$200,0))="","",INDEX('Test catalog'!$O$2:$O$200,MATCH($AB308,'Test catalog'!$A$2:$A$200,0))),"")</f>
        <v/>
      </c>
      <c r="AB308" s="10" t="inlineStr">
        <is>
          <t>APPEAR</t>
        </is>
      </c>
      <c r="AC308" s="10" t="inlineStr">
        <is>
          <t>Lab practice (not a USP test)</t>
        </is>
      </c>
      <c r="AD308" s="10" t="n"/>
      <c r="AE308" s="10" t="n"/>
    </row>
    <row r="309">
      <c r="A309" s="10" t="inlineStr">
        <is>
          <t>L-Citrulline</t>
        </is>
      </c>
      <c r="B309" s="10" t="inlineStr">
        <is>
          <t>RM</t>
        </is>
      </c>
      <c r="C309" s="10" t="inlineStr">
        <is>
          <t>Active</t>
        </is>
      </c>
      <c r="D309" s="10" t="inlineStr">
        <is>
          <t>ID A - IR spectrum</t>
        </is>
      </c>
      <c r="E309" s="10">
        <f>IF(A309="","",A309&amp;"|"&amp;D309)</f>
        <v/>
      </c>
      <c r="F309" s="5" t="inlineStr">
        <is>
          <t>Y</t>
        </is>
      </c>
      <c r="G309" s="5" t="inlineStr">
        <is>
          <t>Other / bench</t>
        </is>
      </c>
      <c r="H309" s="5" t="inlineStr">
        <is>
          <t>Low</t>
        </is>
      </c>
      <c r="I309" s="5" t="n">
        <v>1</v>
      </c>
      <c r="J309" s="5" t="n"/>
      <c r="K309" s="10">
        <f>IFERROR(IF(INDEX('Test catalog'!$F$2:$F$200,MATCH($AB309,'Test catalog'!$A$2:$A$200,0))="","",INDEX('Test catalog'!$F$2:$F$200,MATCH($AB309,'Test catalog'!$A$2:$A$200,0))),"")</f>
        <v/>
      </c>
      <c r="L309" s="10">
        <f>IFERROR(IF(INDEX('Test catalog'!$G$2:$G$200,MATCH($AB309,'Test catalog'!$A$2:$A$200,0))="","",INDEX('Test catalog'!$G$2:$G$200,MATCH($AB309,'Test catalog'!$A$2:$A$200,0))),"")</f>
        <v/>
      </c>
      <c r="M309" s="10">
        <f>IFERROR(IF(INDEX('Test catalog'!$H$2:$H$200,MATCH($AB309,'Test catalog'!$A$2:$A$200,0))="","",INDEX('Test catalog'!$H$2:$H$200,MATCH($AB309,'Test catalog'!$A$2:$A$200,0))),"")</f>
        <v/>
      </c>
      <c r="N309" s="10">
        <f>IFERROR(IF(INDEX('Test catalog'!$I$2:$I$200,MATCH($AB309,'Test catalog'!$A$2:$A$200,0))="","",INDEX('Test catalog'!$I$2:$I$200,MATCH($AB309,'Test catalog'!$A$2:$A$200,0))),"")</f>
        <v/>
      </c>
      <c r="O309" s="10">
        <f>IFERROR(IF(INDEX('Test catalog'!$J$2:$J$200,MATCH($AB309,'Test catalog'!$A$2:$A$200,0))="","",INDEX('Test catalog'!$J$2:$J$200,MATCH($AB309,'Test catalog'!$A$2:$A$200,0))),"")</f>
        <v/>
      </c>
      <c r="P309" s="14">
        <f>IF(N309="","",IF(OR(M309="",O309=""),N309,(M309+4*N309+O309)/6))</f>
        <v/>
      </c>
      <c r="Q309" s="10">
        <f>IFERROR(IF(INDEX('Test catalog'!$K$2:$K$200,MATCH($AB309,'Test catalog'!$A$2:$A$200,0))="","",INDEX('Test catalog'!$K$2:$K$200,MATCH($AB309,'Test catalog'!$A$2:$A$200,0))),"")</f>
        <v/>
      </c>
      <c r="R309" s="5" t="n"/>
      <c r="S309" s="10">
        <f>IFERROR(IF(INDEX('Test catalog'!$L$2:$L$200,MATCH($AB309,'Test catalog'!$A$2:$A$200,0))="","",INDEX('Test catalog'!$L$2:$L$200,MATCH($AB309,'Test catalog'!$A$2:$A$200,0))),"")</f>
        <v/>
      </c>
      <c r="T309" s="10">
        <f>IFERROR(IF(INDEX('Test catalog'!$M$2:$M$200,MATCH($AB309,'Test catalog'!$A$2:$A$200,0))="","",INDEX('Test catalog'!$M$2:$M$200,MATCH($AB309,'Test catalog'!$A$2:$A$200,0))),"")</f>
        <v/>
      </c>
      <c r="U309" s="10">
        <f>IFERROR(IF(INDEX('Test catalog'!$N$2:$N$200,MATCH($AB309,'Test catalog'!$A$2:$A$200,0))="","",INDEX('Test catalog'!$N$2:$N$200,MATCH($AB309,'Test catalog'!$A$2:$A$200,0))),"")</f>
        <v/>
      </c>
      <c r="V309" s="15" t="n"/>
      <c r="W309" s="5" t="inlineStr">
        <is>
          <t>N</t>
        </is>
      </c>
      <c r="X309" s="5" t="n"/>
      <c r="Y309" s="5" t="n"/>
      <c r="Z309" s="5" t="n"/>
      <c r="AA309" s="10">
        <f>IFERROR(IF(INDEX('Test catalog'!$O$2:$O$200,MATCH($AB309,'Test catalog'!$A$2:$A$200,0))="","",INDEX('Test catalog'!$O$2:$O$200,MATCH($AB309,'Test catalog'!$A$2:$A$200,0))),"")</f>
        <v/>
      </c>
      <c r="AB309" s="10" t="inlineStr">
        <is>
          <t>ID_IR</t>
        </is>
      </c>
      <c r="AC309" s="10" t="inlineStr">
        <is>
          <t>Citrulline · Identification &lt;197&gt;</t>
        </is>
      </c>
      <c r="AD309" s="10" t="n"/>
      <c r="AE309" s="10" t="n"/>
    </row>
    <row r="310">
      <c r="A310" s="10" t="inlineStr">
        <is>
          <t>L-Citrulline</t>
        </is>
      </c>
      <c r="B310" s="10" t="inlineStr">
        <is>
          <t>RM</t>
        </is>
      </c>
      <c r="C310" s="10" t="inlineStr">
        <is>
          <t>Active</t>
        </is>
      </c>
      <c r="D310" s="10" t="inlineStr">
        <is>
          <t>ID B - Optical rotation</t>
        </is>
      </c>
      <c r="E310" s="10">
        <f>IF(A310="","",A310&amp;"|"&amp;D310)</f>
        <v/>
      </c>
      <c r="F310" s="5" t="inlineStr">
        <is>
          <t>Y</t>
        </is>
      </c>
      <c r="G310" s="5" t="inlineStr">
        <is>
          <t>Other / bench</t>
        </is>
      </c>
      <c r="H310" s="5" t="inlineStr">
        <is>
          <t>Low</t>
        </is>
      </c>
      <c r="I310" s="5" t="n">
        <v>1</v>
      </c>
      <c r="J310" s="5" t="n"/>
      <c r="K310" s="10">
        <f>IFERROR(IF(INDEX('Test catalog'!$F$2:$F$200,MATCH($AB310,'Test catalog'!$A$2:$A$200,0))="","",INDEX('Test catalog'!$F$2:$F$200,MATCH($AB310,'Test catalog'!$A$2:$A$200,0))),"")</f>
        <v/>
      </c>
      <c r="L310" s="10">
        <f>IFERROR(IF(INDEX('Test catalog'!$G$2:$G$200,MATCH($AB310,'Test catalog'!$A$2:$A$200,0))="","",INDEX('Test catalog'!$G$2:$G$200,MATCH($AB310,'Test catalog'!$A$2:$A$200,0))),"")</f>
        <v/>
      </c>
      <c r="M310" s="10">
        <f>IFERROR(IF(INDEX('Test catalog'!$H$2:$H$200,MATCH($AB310,'Test catalog'!$A$2:$A$200,0))="","",INDEX('Test catalog'!$H$2:$H$200,MATCH($AB310,'Test catalog'!$A$2:$A$200,0))),"")</f>
        <v/>
      </c>
      <c r="N310" s="10">
        <f>IFERROR(IF(INDEX('Test catalog'!$I$2:$I$200,MATCH($AB310,'Test catalog'!$A$2:$A$200,0))="","",INDEX('Test catalog'!$I$2:$I$200,MATCH($AB310,'Test catalog'!$A$2:$A$200,0))),"")</f>
        <v/>
      </c>
      <c r="O310" s="10">
        <f>IFERROR(IF(INDEX('Test catalog'!$J$2:$J$200,MATCH($AB310,'Test catalog'!$A$2:$A$200,0))="","",INDEX('Test catalog'!$J$2:$J$200,MATCH($AB310,'Test catalog'!$A$2:$A$200,0))),"")</f>
        <v/>
      </c>
      <c r="P310" s="14">
        <f>IF(N310="","",IF(OR(M310="",O310=""),N310,(M310+4*N310+O310)/6))</f>
        <v/>
      </c>
      <c r="Q310" s="10">
        <f>IFERROR(IF(INDEX('Test catalog'!$K$2:$K$200,MATCH($AB310,'Test catalog'!$A$2:$A$200,0))="","",INDEX('Test catalog'!$K$2:$K$200,MATCH($AB310,'Test catalog'!$A$2:$A$200,0))),"")</f>
        <v/>
      </c>
      <c r="R310" s="5" t="n"/>
      <c r="S310" s="10">
        <f>IFERROR(IF(INDEX('Test catalog'!$L$2:$L$200,MATCH($AB310,'Test catalog'!$A$2:$A$200,0))="","",INDEX('Test catalog'!$L$2:$L$200,MATCH($AB310,'Test catalog'!$A$2:$A$200,0))),"")</f>
        <v/>
      </c>
      <c r="T310" s="10">
        <f>IFERROR(IF(INDEX('Test catalog'!$M$2:$M$200,MATCH($AB310,'Test catalog'!$A$2:$A$200,0))="","",INDEX('Test catalog'!$M$2:$M$200,MATCH($AB310,'Test catalog'!$A$2:$A$200,0))),"")</f>
        <v/>
      </c>
      <c r="U310" s="10">
        <f>IFERROR(IF(INDEX('Test catalog'!$N$2:$N$200,MATCH($AB310,'Test catalog'!$A$2:$A$200,0))="","",INDEX('Test catalog'!$N$2:$N$200,MATCH($AB310,'Test catalog'!$A$2:$A$200,0))),"")</f>
        <v/>
      </c>
      <c r="V310" s="15" t="n"/>
      <c r="W310" s="5" t="inlineStr">
        <is>
          <t>N</t>
        </is>
      </c>
      <c r="X310" s="5" t="n"/>
      <c r="Y310" s="5" t="n"/>
      <c r="Z310" s="5" t="n"/>
      <c r="AA310" s="10">
        <f>IFERROR(IF(INDEX('Test catalog'!$O$2:$O$200,MATCH($AB310,'Test catalog'!$A$2:$A$200,0))="","",INDEX('Test catalog'!$O$2:$O$200,MATCH($AB310,'Test catalog'!$A$2:$A$200,0))),"")</f>
        <v/>
      </c>
      <c r="AB310" s="10" t="inlineStr">
        <is>
          <t>OR</t>
        </is>
      </c>
      <c r="AC310" s="10" t="inlineStr">
        <is>
          <t>Citrulline · Identification</t>
        </is>
      </c>
      <c r="AD310" s="10" t="n"/>
      <c r="AE310" s="10" t="n"/>
    </row>
    <row r="311">
      <c r="A311" s="10" t="inlineStr">
        <is>
          <t>L-Citrulline</t>
        </is>
      </c>
      <c r="B311" s="10" t="inlineStr">
        <is>
          <t>RM</t>
        </is>
      </c>
      <c r="C311" s="10" t="inlineStr">
        <is>
          <t>Active</t>
        </is>
      </c>
      <c r="D311" s="10" t="inlineStr">
        <is>
          <t>Assay (HPLC)</t>
        </is>
      </c>
      <c r="E311" s="10">
        <f>IF(A311="","",A311&amp;"|"&amp;D311)</f>
        <v/>
      </c>
      <c r="F311" s="5" t="inlineStr">
        <is>
          <t>Y</t>
        </is>
      </c>
      <c r="G311" s="5" t="inlineStr">
        <is>
          <t>HPLC</t>
        </is>
      </c>
      <c r="H311" s="5" t="inlineStr">
        <is>
          <t>Medium</t>
        </is>
      </c>
      <c r="I311" s="5" t="n">
        <v>1</v>
      </c>
      <c r="J311" s="5" t="n"/>
      <c r="K311" s="5" t="n"/>
      <c r="L311" s="5" t="n"/>
      <c r="M311" s="5" t="n"/>
      <c r="N311" s="5" t="n"/>
      <c r="O311" s="5" t="n"/>
      <c r="P311" s="14">
        <f>IF(N311="","",IF(OR(M311="",O311=""),N311,(M311+4*N311+O311)/6))</f>
        <v/>
      </c>
      <c r="Q311" s="5" t="n"/>
      <c r="R311" s="5" t="n"/>
      <c r="S311" s="5" t="n"/>
      <c r="T311" s="5" t="n"/>
      <c r="U311" s="5" t="n"/>
      <c r="V311" s="15" t="n"/>
      <c r="W311" s="5" t="inlineStr">
        <is>
          <t>N</t>
        </is>
      </c>
      <c r="X311" s="5" t="n"/>
      <c r="Y311" s="5" t="n"/>
      <c r="Z311" s="5" t="n"/>
      <c r="AA311" s="5" t="n"/>
      <c r="AB311" s="10" t="n"/>
      <c r="AC311" s="10" t="inlineStr">
        <is>
          <t>Citrulline · Assay</t>
        </is>
      </c>
      <c r="AD311" s="10" t="n"/>
      <c r="AE311" s="10" t="n"/>
    </row>
    <row r="312">
      <c r="A312" s="10" t="inlineStr">
        <is>
          <t>L-Citrulline</t>
        </is>
      </c>
      <c r="B312" s="10" t="inlineStr">
        <is>
          <t>RM</t>
        </is>
      </c>
      <c r="C312" s="10" t="inlineStr">
        <is>
          <t>Active</t>
        </is>
      </c>
      <c r="D312" s="10" t="inlineStr">
        <is>
          <t>Residue on Ignition</t>
        </is>
      </c>
      <c r="E312" s="10">
        <f>IF(A312="","",A312&amp;"|"&amp;D312)</f>
        <v/>
      </c>
      <c r="F312" s="5" t="inlineStr">
        <is>
          <t>Y</t>
        </is>
      </c>
      <c r="G312" s="5" t="inlineStr">
        <is>
          <t>Other / bench</t>
        </is>
      </c>
      <c r="H312" s="5" t="inlineStr">
        <is>
          <t>Low</t>
        </is>
      </c>
      <c r="I312" s="5" t="n">
        <v>1</v>
      </c>
      <c r="J312" s="5" t="n"/>
      <c r="K312" s="10">
        <f>IFERROR(IF(INDEX('Test catalog'!$F$2:$F$200,MATCH($AB312,'Test catalog'!$A$2:$A$200,0))="","",INDEX('Test catalog'!$F$2:$F$200,MATCH($AB312,'Test catalog'!$A$2:$A$200,0))),"")</f>
        <v/>
      </c>
      <c r="L312" s="10">
        <f>IFERROR(IF(INDEX('Test catalog'!$G$2:$G$200,MATCH($AB312,'Test catalog'!$A$2:$A$200,0))="","",INDEX('Test catalog'!$G$2:$G$200,MATCH($AB312,'Test catalog'!$A$2:$A$200,0))),"")</f>
        <v/>
      </c>
      <c r="M312" s="10">
        <f>IFERROR(IF(INDEX('Test catalog'!$H$2:$H$200,MATCH($AB312,'Test catalog'!$A$2:$A$200,0))="","",INDEX('Test catalog'!$H$2:$H$200,MATCH($AB312,'Test catalog'!$A$2:$A$200,0))),"")</f>
        <v/>
      </c>
      <c r="N312" s="10">
        <f>IFERROR(IF(INDEX('Test catalog'!$I$2:$I$200,MATCH($AB312,'Test catalog'!$A$2:$A$200,0))="","",INDEX('Test catalog'!$I$2:$I$200,MATCH($AB312,'Test catalog'!$A$2:$A$200,0))),"")</f>
        <v/>
      </c>
      <c r="O312" s="10">
        <f>IFERROR(IF(INDEX('Test catalog'!$J$2:$J$200,MATCH($AB312,'Test catalog'!$A$2:$A$200,0))="","",INDEX('Test catalog'!$J$2:$J$200,MATCH($AB312,'Test catalog'!$A$2:$A$200,0))),"")</f>
        <v/>
      </c>
      <c r="P312" s="14">
        <f>IF(N312="","",IF(OR(M312="",O312=""),N312,(M312+4*N312+O312)/6))</f>
        <v/>
      </c>
      <c r="Q312" s="10">
        <f>IFERROR(IF(INDEX('Test catalog'!$K$2:$K$200,MATCH($AB312,'Test catalog'!$A$2:$A$200,0))="","",INDEX('Test catalog'!$K$2:$K$200,MATCH($AB312,'Test catalog'!$A$2:$A$200,0))),"")</f>
        <v/>
      </c>
      <c r="R312" s="5" t="n"/>
      <c r="S312" s="10">
        <f>IFERROR(IF(INDEX('Test catalog'!$L$2:$L$200,MATCH($AB312,'Test catalog'!$A$2:$A$200,0))="","",INDEX('Test catalog'!$L$2:$L$200,MATCH($AB312,'Test catalog'!$A$2:$A$200,0))),"")</f>
        <v/>
      </c>
      <c r="T312" s="10">
        <f>IFERROR(IF(INDEX('Test catalog'!$M$2:$M$200,MATCH($AB312,'Test catalog'!$A$2:$A$200,0))="","",INDEX('Test catalog'!$M$2:$M$200,MATCH($AB312,'Test catalog'!$A$2:$A$200,0))),"")</f>
        <v/>
      </c>
      <c r="U312" s="10">
        <f>IFERROR(IF(INDEX('Test catalog'!$N$2:$N$200,MATCH($AB312,'Test catalog'!$A$2:$A$200,0))="","",INDEX('Test catalog'!$N$2:$N$200,MATCH($AB312,'Test catalog'!$A$2:$A$200,0))),"")</f>
        <v/>
      </c>
      <c r="V312" s="15" t="n"/>
      <c r="W312" s="5" t="inlineStr">
        <is>
          <t>N</t>
        </is>
      </c>
      <c r="X312" s="5" t="n"/>
      <c r="Y312" s="5" t="n"/>
      <c r="Z312" s="5" t="n"/>
      <c r="AA312" s="10">
        <f>IFERROR(IF(INDEX('Test catalog'!$O$2:$O$200,MATCH($AB312,'Test catalog'!$A$2:$A$200,0))="","",INDEX('Test catalog'!$O$2:$O$200,MATCH($AB312,'Test catalog'!$A$2:$A$200,0))),"")</f>
        <v/>
      </c>
      <c r="AB312" s="10" t="inlineStr">
        <is>
          <t>ROI</t>
        </is>
      </c>
      <c r="AC312" s="10" t="inlineStr">
        <is>
          <t>Citrulline · Impurities &lt;281&gt;</t>
        </is>
      </c>
      <c r="AD312" s="10" t="n"/>
      <c r="AE312" s="10" t="n"/>
    </row>
    <row r="313">
      <c r="A313" s="10" t="inlineStr">
        <is>
          <t>L-Citrulline</t>
        </is>
      </c>
      <c r="B313" s="10" t="inlineStr">
        <is>
          <t>RM</t>
        </is>
      </c>
      <c r="C313" s="10" t="inlineStr">
        <is>
          <t>Active</t>
        </is>
      </c>
      <c r="D313" s="10" t="inlineStr">
        <is>
          <t>Chloride</t>
        </is>
      </c>
      <c r="E313" s="10">
        <f>IF(A313="","",A313&amp;"|"&amp;D313)</f>
        <v/>
      </c>
      <c r="F313" s="5" t="inlineStr">
        <is>
          <t>Y</t>
        </is>
      </c>
      <c r="G313" s="5" t="inlineStr">
        <is>
          <t>Other / bench</t>
        </is>
      </c>
      <c r="H313" s="5" t="inlineStr">
        <is>
          <t>Low</t>
        </is>
      </c>
      <c r="I313" s="5" t="n">
        <v>1</v>
      </c>
      <c r="J313" s="5" t="n"/>
      <c r="K313" s="10">
        <f>IFERROR(IF(INDEX('Test catalog'!$F$2:$F$200,MATCH($AB313,'Test catalog'!$A$2:$A$200,0))="","",INDEX('Test catalog'!$F$2:$F$200,MATCH($AB313,'Test catalog'!$A$2:$A$200,0))),"")</f>
        <v/>
      </c>
      <c r="L313" s="10">
        <f>IFERROR(IF(INDEX('Test catalog'!$G$2:$G$200,MATCH($AB313,'Test catalog'!$A$2:$A$200,0))="","",INDEX('Test catalog'!$G$2:$G$200,MATCH($AB313,'Test catalog'!$A$2:$A$200,0))),"")</f>
        <v/>
      </c>
      <c r="M313" s="10">
        <f>IFERROR(IF(INDEX('Test catalog'!$H$2:$H$200,MATCH($AB313,'Test catalog'!$A$2:$A$200,0))="","",INDEX('Test catalog'!$H$2:$H$200,MATCH($AB313,'Test catalog'!$A$2:$A$200,0))),"")</f>
        <v/>
      </c>
      <c r="N313" s="10">
        <f>IFERROR(IF(INDEX('Test catalog'!$I$2:$I$200,MATCH($AB313,'Test catalog'!$A$2:$A$200,0))="","",INDEX('Test catalog'!$I$2:$I$200,MATCH($AB313,'Test catalog'!$A$2:$A$200,0))),"")</f>
        <v/>
      </c>
      <c r="O313" s="10">
        <f>IFERROR(IF(INDEX('Test catalog'!$J$2:$J$200,MATCH($AB313,'Test catalog'!$A$2:$A$200,0))="","",INDEX('Test catalog'!$J$2:$J$200,MATCH($AB313,'Test catalog'!$A$2:$A$200,0))),"")</f>
        <v/>
      </c>
      <c r="P313" s="14">
        <f>IF(N313="","",IF(OR(M313="",O313=""),N313,(M313+4*N313+O313)/6))</f>
        <v/>
      </c>
      <c r="Q313" s="10">
        <f>IFERROR(IF(INDEX('Test catalog'!$K$2:$K$200,MATCH($AB313,'Test catalog'!$A$2:$A$200,0))="","",INDEX('Test catalog'!$K$2:$K$200,MATCH($AB313,'Test catalog'!$A$2:$A$200,0))),"")</f>
        <v/>
      </c>
      <c r="R313" s="5" t="n"/>
      <c r="S313" s="10">
        <f>IFERROR(IF(INDEX('Test catalog'!$L$2:$L$200,MATCH($AB313,'Test catalog'!$A$2:$A$200,0))="","",INDEX('Test catalog'!$L$2:$L$200,MATCH($AB313,'Test catalog'!$A$2:$A$200,0))),"")</f>
        <v/>
      </c>
      <c r="T313" s="10">
        <f>IFERROR(IF(INDEX('Test catalog'!$M$2:$M$200,MATCH($AB313,'Test catalog'!$A$2:$A$200,0))="","",INDEX('Test catalog'!$M$2:$M$200,MATCH($AB313,'Test catalog'!$A$2:$A$200,0))),"")</f>
        <v/>
      </c>
      <c r="U313" s="10">
        <f>IFERROR(IF(INDEX('Test catalog'!$N$2:$N$200,MATCH($AB313,'Test catalog'!$A$2:$A$200,0))="","",INDEX('Test catalog'!$N$2:$N$200,MATCH($AB313,'Test catalog'!$A$2:$A$200,0))),"")</f>
        <v/>
      </c>
      <c r="V313" s="15" t="n"/>
      <c r="W313" s="5" t="inlineStr">
        <is>
          <t>N</t>
        </is>
      </c>
      <c r="X313" s="5" t="n"/>
      <c r="Y313" s="5" t="n"/>
      <c r="Z313" s="5" t="n"/>
      <c r="AA313" s="10">
        <f>IFERROR(IF(INDEX('Test catalog'!$O$2:$O$200,MATCH($AB313,'Test catalog'!$A$2:$A$200,0))="","",INDEX('Test catalog'!$O$2:$O$200,MATCH($AB313,'Test catalog'!$A$2:$A$200,0))),"")</f>
        <v/>
      </c>
      <c r="AB313" s="10" t="inlineStr">
        <is>
          <t>LIMIT</t>
        </is>
      </c>
      <c r="AC313" s="10" t="inlineStr">
        <is>
          <t>Citrulline · Impurities &lt;221&gt;</t>
        </is>
      </c>
      <c r="AD313" s="10" t="n"/>
      <c r="AE313" s="10" t="n"/>
    </row>
    <row r="314">
      <c r="A314" s="10" t="inlineStr">
        <is>
          <t>L-Citrulline</t>
        </is>
      </c>
      <c r="B314" s="10" t="inlineStr">
        <is>
          <t>RM</t>
        </is>
      </c>
      <c r="C314" s="10" t="inlineStr">
        <is>
          <t>Active</t>
        </is>
      </c>
      <c r="D314" s="10" t="inlineStr">
        <is>
          <t>Sulfate</t>
        </is>
      </c>
      <c r="E314" s="10">
        <f>IF(A314="","",A314&amp;"|"&amp;D314)</f>
        <v/>
      </c>
      <c r="F314" s="5" t="inlineStr">
        <is>
          <t>Y</t>
        </is>
      </c>
      <c r="G314" s="5" t="inlineStr">
        <is>
          <t>Other / bench</t>
        </is>
      </c>
      <c r="H314" s="5" t="inlineStr">
        <is>
          <t>Low</t>
        </is>
      </c>
      <c r="I314" s="5" t="n">
        <v>1</v>
      </c>
      <c r="J314" s="5" t="n"/>
      <c r="K314" s="10">
        <f>IFERROR(IF(INDEX('Test catalog'!$F$2:$F$200,MATCH($AB314,'Test catalog'!$A$2:$A$200,0))="","",INDEX('Test catalog'!$F$2:$F$200,MATCH($AB314,'Test catalog'!$A$2:$A$200,0))),"")</f>
        <v/>
      </c>
      <c r="L314" s="10">
        <f>IFERROR(IF(INDEX('Test catalog'!$G$2:$G$200,MATCH($AB314,'Test catalog'!$A$2:$A$200,0))="","",INDEX('Test catalog'!$G$2:$G$200,MATCH($AB314,'Test catalog'!$A$2:$A$200,0))),"")</f>
        <v/>
      </c>
      <c r="M314" s="10">
        <f>IFERROR(IF(INDEX('Test catalog'!$H$2:$H$200,MATCH($AB314,'Test catalog'!$A$2:$A$200,0))="","",INDEX('Test catalog'!$H$2:$H$200,MATCH($AB314,'Test catalog'!$A$2:$A$200,0))),"")</f>
        <v/>
      </c>
      <c r="N314" s="10">
        <f>IFERROR(IF(INDEX('Test catalog'!$I$2:$I$200,MATCH($AB314,'Test catalog'!$A$2:$A$200,0))="","",INDEX('Test catalog'!$I$2:$I$200,MATCH($AB314,'Test catalog'!$A$2:$A$200,0))),"")</f>
        <v/>
      </c>
      <c r="O314" s="10">
        <f>IFERROR(IF(INDEX('Test catalog'!$J$2:$J$200,MATCH($AB314,'Test catalog'!$A$2:$A$200,0))="","",INDEX('Test catalog'!$J$2:$J$200,MATCH($AB314,'Test catalog'!$A$2:$A$200,0))),"")</f>
        <v/>
      </c>
      <c r="P314" s="14">
        <f>IF(N314="","",IF(OR(M314="",O314=""),N314,(M314+4*N314+O314)/6))</f>
        <v/>
      </c>
      <c r="Q314" s="10">
        <f>IFERROR(IF(INDEX('Test catalog'!$K$2:$K$200,MATCH($AB314,'Test catalog'!$A$2:$A$200,0))="","",INDEX('Test catalog'!$K$2:$K$200,MATCH($AB314,'Test catalog'!$A$2:$A$200,0))),"")</f>
        <v/>
      </c>
      <c r="R314" s="5" t="n"/>
      <c r="S314" s="10">
        <f>IFERROR(IF(INDEX('Test catalog'!$L$2:$L$200,MATCH($AB314,'Test catalog'!$A$2:$A$200,0))="","",INDEX('Test catalog'!$L$2:$L$200,MATCH($AB314,'Test catalog'!$A$2:$A$200,0))),"")</f>
        <v/>
      </c>
      <c r="T314" s="10">
        <f>IFERROR(IF(INDEX('Test catalog'!$M$2:$M$200,MATCH($AB314,'Test catalog'!$A$2:$A$200,0))="","",INDEX('Test catalog'!$M$2:$M$200,MATCH($AB314,'Test catalog'!$A$2:$A$200,0))),"")</f>
        <v/>
      </c>
      <c r="U314" s="10">
        <f>IFERROR(IF(INDEX('Test catalog'!$N$2:$N$200,MATCH($AB314,'Test catalog'!$A$2:$A$200,0))="","",INDEX('Test catalog'!$N$2:$N$200,MATCH($AB314,'Test catalog'!$A$2:$A$200,0))),"")</f>
        <v/>
      </c>
      <c r="V314" s="15" t="n"/>
      <c r="W314" s="5" t="inlineStr">
        <is>
          <t>N</t>
        </is>
      </c>
      <c r="X314" s="5" t="n"/>
      <c r="Y314" s="5" t="n"/>
      <c r="Z314" s="5" t="n"/>
      <c r="AA314" s="10">
        <f>IFERROR(IF(INDEX('Test catalog'!$O$2:$O$200,MATCH($AB314,'Test catalog'!$A$2:$A$200,0))="","",INDEX('Test catalog'!$O$2:$O$200,MATCH($AB314,'Test catalog'!$A$2:$A$200,0))),"")</f>
        <v/>
      </c>
      <c r="AB314" s="10" t="inlineStr">
        <is>
          <t>LIMIT</t>
        </is>
      </c>
      <c r="AC314" s="10" t="inlineStr">
        <is>
          <t>Citrulline · Impurities &lt;221&gt;</t>
        </is>
      </c>
      <c r="AD314" s="10" t="n"/>
      <c r="AE314" s="10" t="n"/>
    </row>
    <row r="315">
      <c r="A315" s="10" t="inlineStr">
        <is>
          <t>L-Citrulline</t>
        </is>
      </c>
      <c r="B315" s="10" t="inlineStr">
        <is>
          <t>RM</t>
        </is>
      </c>
      <c r="C315" s="10" t="inlineStr">
        <is>
          <t>Active</t>
        </is>
      </c>
      <c r="D315" s="10" t="inlineStr">
        <is>
          <t>Related Compounds (HPLC)</t>
        </is>
      </c>
      <c r="E315" s="10">
        <f>IF(A315="","",A315&amp;"|"&amp;D315)</f>
        <v/>
      </c>
      <c r="F315" s="5" t="inlineStr">
        <is>
          <t>Y</t>
        </is>
      </c>
      <c r="G315" s="5" t="inlineStr">
        <is>
          <t>HPLC</t>
        </is>
      </c>
      <c r="H315" s="5" t="inlineStr">
        <is>
          <t>Medium</t>
        </is>
      </c>
      <c r="I315" s="5" t="n">
        <v>1</v>
      </c>
      <c r="J315" s="5" t="n"/>
      <c r="K315" s="5" t="n"/>
      <c r="L315" s="5" t="n"/>
      <c r="M315" s="5" t="n"/>
      <c r="N315" s="5" t="n"/>
      <c r="O315" s="5" t="n"/>
      <c r="P315" s="14">
        <f>IF(N315="","",IF(OR(M315="",O315=""),N315,(M315+4*N315+O315)/6))</f>
        <v/>
      </c>
      <c r="Q315" s="5" t="n"/>
      <c r="R315" s="5" t="n"/>
      <c r="S315" s="5" t="n"/>
      <c r="T315" s="5" t="n"/>
      <c r="U315" s="5" t="n"/>
      <c r="V315" s="15" t="n"/>
      <c r="W315" s="5" t="inlineStr">
        <is>
          <t>N</t>
        </is>
      </c>
      <c r="X315" s="5" t="n"/>
      <c r="Y315" s="5" t="n"/>
      <c r="Z315" s="5" t="n"/>
      <c r="AA315" s="5" t="n"/>
      <c r="AB315" s="10" t="n"/>
      <c r="AC315" s="10" t="inlineStr">
        <is>
          <t>Citrulline · Impurities</t>
        </is>
      </c>
      <c r="AD315" s="10" t="n"/>
      <c r="AE315" s="10" t="n"/>
    </row>
    <row r="316">
      <c r="A316" s="10" t="inlineStr">
        <is>
          <t>L-Citrulline</t>
        </is>
      </c>
      <c r="B316" s="10" t="inlineStr">
        <is>
          <t>RM</t>
        </is>
      </c>
      <c r="C316" s="10" t="inlineStr">
        <is>
          <t>Active</t>
        </is>
      </c>
      <c r="D316" s="10" t="inlineStr">
        <is>
          <t>Optical Rotation</t>
        </is>
      </c>
      <c r="E316" s="10">
        <f>IF(A316="","",A316&amp;"|"&amp;D316)</f>
        <v/>
      </c>
      <c r="F316" s="5" t="inlineStr">
        <is>
          <t>Y</t>
        </is>
      </c>
      <c r="G316" s="5" t="inlineStr">
        <is>
          <t>Other / bench</t>
        </is>
      </c>
      <c r="H316" s="5" t="inlineStr">
        <is>
          <t>Low</t>
        </is>
      </c>
      <c r="I316" s="5" t="n">
        <v>1</v>
      </c>
      <c r="J316" s="5" t="n"/>
      <c r="K316" s="10">
        <f>IFERROR(IF(INDEX('Test catalog'!$F$2:$F$200,MATCH($AB316,'Test catalog'!$A$2:$A$200,0))="","",INDEX('Test catalog'!$F$2:$F$200,MATCH($AB316,'Test catalog'!$A$2:$A$200,0))),"")</f>
        <v/>
      </c>
      <c r="L316" s="10">
        <f>IFERROR(IF(INDEX('Test catalog'!$G$2:$G$200,MATCH($AB316,'Test catalog'!$A$2:$A$200,0))="","",INDEX('Test catalog'!$G$2:$G$200,MATCH($AB316,'Test catalog'!$A$2:$A$200,0))),"")</f>
        <v/>
      </c>
      <c r="M316" s="10">
        <f>IFERROR(IF(INDEX('Test catalog'!$H$2:$H$200,MATCH($AB316,'Test catalog'!$A$2:$A$200,0))="","",INDEX('Test catalog'!$H$2:$H$200,MATCH($AB316,'Test catalog'!$A$2:$A$200,0))),"")</f>
        <v/>
      </c>
      <c r="N316" s="10">
        <f>IFERROR(IF(INDEX('Test catalog'!$I$2:$I$200,MATCH($AB316,'Test catalog'!$A$2:$A$200,0))="","",INDEX('Test catalog'!$I$2:$I$200,MATCH($AB316,'Test catalog'!$A$2:$A$200,0))),"")</f>
        <v/>
      </c>
      <c r="O316" s="10">
        <f>IFERROR(IF(INDEX('Test catalog'!$J$2:$J$200,MATCH($AB316,'Test catalog'!$A$2:$A$200,0))="","",INDEX('Test catalog'!$J$2:$J$200,MATCH($AB316,'Test catalog'!$A$2:$A$200,0))),"")</f>
        <v/>
      </c>
      <c r="P316" s="14">
        <f>IF(N316="","",IF(OR(M316="",O316=""),N316,(M316+4*N316+O316)/6))</f>
        <v/>
      </c>
      <c r="Q316" s="10">
        <f>IFERROR(IF(INDEX('Test catalog'!$K$2:$K$200,MATCH($AB316,'Test catalog'!$A$2:$A$200,0))="","",INDEX('Test catalog'!$K$2:$K$200,MATCH($AB316,'Test catalog'!$A$2:$A$200,0))),"")</f>
        <v/>
      </c>
      <c r="R316" s="5" t="n"/>
      <c r="S316" s="10">
        <f>IFERROR(IF(INDEX('Test catalog'!$L$2:$L$200,MATCH($AB316,'Test catalog'!$A$2:$A$200,0))="","",INDEX('Test catalog'!$L$2:$L$200,MATCH($AB316,'Test catalog'!$A$2:$A$200,0))),"")</f>
        <v/>
      </c>
      <c r="T316" s="10">
        <f>IFERROR(IF(INDEX('Test catalog'!$M$2:$M$200,MATCH($AB316,'Test catalog'!$A$2:$A$200,0))="","",INDEX('Test catalog'!$M$2:$M$200,MATCH($AB316,'Test catalog'!$A$2:$A$200,0))),"")</f>
        <v/>
      </c>
      <c r="U316" s="10">
        <f>IFERROR(IF(INDEX('Test catalog'!$N$2:$N$200,MATCH($AB316,'Test catalog'!$A$2:$A$200,0))="","",INDEX('Test catalog'!$N$2:$N$200,MATCH($AB316,'Test catalog'!$A$2:$A$200,0))),"")</f>
        <v/>
      </c>
      <c r="V316" s="15" t="n"/>
      <c r="W316" s="5" t="inlineStr">
        <is>
          <t>N</t>
        </is>
      </c>
      <c r="X316" s="5" t="n"/>
      <c r="Y316" s="5" t="n"/>
      <c r="Z316" s="5" t="n"/>
      <c r="AA316" s="10">
        <f>IFERROR(IF(INDEX('Test catalog'!$O$2:$O$200,MATCH($AB316,'Test catalog'!$A$2:$A$200,0))="","",INDEX('Test catalog'!$O$2:$O$200,MATCH($AB316,'Test catalog'!$A$2:$A$200,0))),"")</f>
        <v/>
      </c>
      <c r="AB316" s="10" t="inlineStr">
        <is>
          <t>OR</t>
        </is>
      </c>
      <c r="AC316" s="10" t="inlineStr">
        <is>
          <t>Citrulline · Specific Tests &lt;781&gt;</t>
        </is>
      </c>
      <c r="AD316" s="10" t="n"/>
      <c r="AE316" s="10" t="n"/>
    </row>
    <row r="317">
      <c r="A317" s="10" t="inlineStr">
        <is>
          <t>L-Citrulline</t>
        </is>
      </c>
      <c r="B317" s="10" t="inlineStr">
        <is>
          <t>RM</t>
        </is>
      </c>
      <c r="C317" s="10" t="inlineStr">
        <is>
          <t>Active</t>
        </is>
      </c>
      <c r="D317" s="10" t="inlineStr">
        <is>
          <t>Loss on Drying</t>
        </is>
      </c>
      <c r="E317" s="10">
        <f>IF(A317="","",A317&amp;"|"&amp;D317)</f>
        <v/>
      </c>
      <c r="F317" s="5" t="inlineStr">
        <is>
          <t>Y</t>
        </is>
      </c>
      <c r="G317" s="5" t="inlineStr">
        <is>
          <t>Other / bench</t>
        </is>
      </c>
      <c r="H317" s="5" t="inlineStr">
        <is>
          <t>Low</t>
        </is>
      </c>
      <c r="I317" s="5" t="n">
        <v>1</v>
      </c>
      <c r="J317" s="5" t="n"/>
      <c r="K317" s="10">
        <f>IFERROR(IF(INDEX('Test catalog'!$F$2:$F$200,MATCH($AB317,'Test catalog'!$A$2:$A$200,0))="","",INDEX('Test catalog'!$F$2:$F$200,MATCH($AB317,'Test catalog'!$A$2:$A$200,0))),"")</f>
        <v/>
      </c>
      <c r="L317" s="10">
        <f>IFERROR(IF(INDEX('Test catalog'!$G$2:$G$200,MATCH($AB317,'Test catalog'!$A$2:$A$200,0))="","",INDEX('Test catalog'!$G$2:$G$200,MATCH($AB317,'Test catalog'!$A$2:$A$200,0))),"")</f>
        <v/>
      </c>
      <c r="M317" s="10">
        <f>IFERROR(IF(INDEX('Test catalog'!$H$2:$H$200,MATCH($AB317,'Test catalog'!$A$2:$A$200,0))="","",INDEX('Test catalog'!$H$2:$H$200,MATCH($AB317,'Test catalog'!$A$2:$A$200,0))),"")</f>
        <v/>
      </c>
      <c r="N317" s="10">
        <f>IFERROR(IF(INDEX('Test catalog'!$I$2:$I$200,MATCH($AB317,'Test catalog'!$A$2:$A$200,0))="","",INDEX('Test catalog'!$I$2:$I$200,MATCH($AB317,'Test catalog'!$A$2:$A$200,0))),"")</f>
        <v/>
      </c>
      <c r="O317" s="10">
        <f>IFERROR(IF(INDEX('Test catalog'!$J$2:$J$200,MATCH($AB317,'Test catalog'!$A$2:$A$200,0))="","",INDEX('Test catalog'!$J$2:$J$200,MATCH($AB317,'Test catalog'!$A$2:$A$200,0))),"")</f>
        <v/>
      </c>
      <c r="P317" s="14">
        <f>IF(N317="","",IF(OR(M317="",O317=""),N317,(M317+4*N317+O317)/6))</f>
        <v/>
      </c>
      <c r="Q317" s="10">
        <f>IFERROR(IF(INDEX('Test catalog'!$K$2:$K$200,MATCH($AB317,'Test catalog'!$A$2:$A$200,0))="","",INDEX('Test catalog'!$K$2:$K$200,MATCH($AB317,'Test catalog'!$A$2:$A$200,0))),"")</f>
        <v/>
      </c>
      <c r="R317" s="5" t="n"/>
      <c r="S317" s="10">
        <f>IFERROR(IF(INDEX('Test catalog'!$L$2:$L$200,MATCH($AB317,'Test catalog'!$A$2:$A$200,0))="","",INDEX('Test catalog'!$L$2:$L$200,MATCH($AB317,'Test catalog'!$A$2:$A$200,0))),"")</f>
        <v/>
      </c>
      <c r="T317" s="10">
        <f>IFERROR(IF(INDEX('Test catalog'!$M$2:$M$200,MATCH($AB317,'Test catalog'!$A$2:$A$200,0))="","",INDEX('Test catalog'!$M$2:$M$200,MATCH($AB317,'Test catalog'!$A$2:$A$200,0))),"")</f>
        <v/>
      </c>
      <c r="U317" s="10">
        <f>IFERROR(IF(INDEX('Test catalog'!$N$2:$N$200,MATCH($AB317,'Test catalog'!$A$2:$A$200,0))="","",INDEX('Test catalog'!$N$2:$N$200,MATCH($AB317,'Test catalog'!$A$2:$A$200,0))),"")</f>
        <v/>
      </c>
      <c r="V317" s="15" t="n"/>
      <c r="W317" s="5" t="inlineStr">
        <is>
          <t>N</t>
        </is>
      </c>
      <c r="X317" s="5" t="n"/>
      <c r="Y317" s="5" t="n"/>
      <c r="Z317" s="5" t="n"/>
      <c r="AA317" s="10">
        <f>IFERROR(IF(INDEX('Test catalog'!$O$2:$O$200,MATCH($AB317,'Test catalog'!$A$2:$A$200,0))="","",INDEX('Test catalog'!$O$2:$O$200,MATCH($AB317,'Test catalog'!$A$2:$A$200,0))),"")</f>
        <v/>
      </c>
      <c r="AB317" s="10" t="inlineStr">
        <is>
          <t>LOD</t>
        </is>
      </c>
      <c r="AC317" s="10" t="inlineStr">
        <is>
          <t>Citrulline · Specific Tests &lt;731&gt;</t>
        </is>
      </c>
      <c r="AD317" s="10" t="n"/>
      <c r="AE317" s="10" t="n"/>
    </row>
    <row r="318">
      <c r="A318" s="10" t="inlineStr">
        <is>
          <t>L-Cystine</t>
        </is>
      </c>
      <c r="B318" s="10" t="inlineStr">
        <is>
          <t>RM</t>
        </is>
      </c>
      <c r="C318" s="10" t="inlineStr">
        <is>
          <t>Active</t>
        </is>
      </c>
      <c r="D318" s="10" t="inlineStr">
        <is>
          <t>Appearance / description and solubility</t>
        </is>
      </c>
      <c r="E318" s="10">
        <f>IF(A318="","",A318&amp;"|"&amp;D318)</f>
        <v/>
      </c>
      <c r="F318" s="5" t="inlineStr">
        <is>
          <t>Y</t>
        </is>
      </c>
      <c r="G318" s="5" t="inlineStr">
        <is>
          <t>Other / bench</t>
        </is>
      </c>
      <c r="H318" s="5" t="inlineStr">
        <is>
          <t>Low</t>
        </is>
      </c>
      <c r="I318" s="5" t="n">
        <v>1</v>
      </c>
      <c r="J318" s="5" t="n"/>
      <c r="K318" s="10">
        <f>IFERROR(IF(INDEX('Test catalog'!$F$2:$F$200,MATCH($AB318,'Test catalog'!$A$2:$A$200,0))="","",INDEX('Test catalog'!$F$2:$F$200,MATCH($AB318,'Test catalog'!$A$2:$A$200,0))),"")</f>
        <v/>
      </c>
      <c r="L318" s="10">
        <f>IFERROR(IF(INDEX('Test catalog'!$G$2:$G$200,MATCH($AB318,'Test catalog'!$A$2:$A$200,0))="","",INDEX('Test catalog'!$G$2:$G$200,MATCH($AB318,'Test catalog'!$A$2:$A$200,0))),"")</f>
        <v/>
      </c>
      <c r="M318" s="10">
        <f>IFERROR(IF(INDEX('Test catalog'!$H$2:$H$200,MATCH($AB318,'Test catalog'!$A$2:$A$200,0))="","",INDEX('Test catalog'!$H$2:$H$200,MATCH($AB318,'Test catalog'!$A$2:$A$200,0))),"")</f>
        <v/>
      </c>
      <c r="N318" s="10">
        <f>IFERROR(IF(INDEX('Test catalog'!$I$2:$I$200,MATCH($AB318,'Test catalog'!$A$2:$A$200,0))="","",INDEX('Test catalog'!$I$2:$I$200,MATCH($AB318,'Test catalog'!$A$2:$A$200,0))),"")</f>
        <v/>
      </c>
      <c r="O318" s="10">
        <f>IFERROR(IF(INDEX('Test catalog'!$J$2:$J$200,MATCH($AB318,'Test catalog'!$A$2:$A$200,0))="","",INDEX('Test catalog'!$J$2:$J$200,MATCH($AB318,'Test catalog'!$A$2:$A$200,0))),"")</f>
        <v/>
      </c>
      <c r="P318" s="14">
        <f>IF(N318="","",IF(OR(M318="",O318=""),N318,(M318+4*N318+O318)/6))</f>
        <v/>
      </c>
      <c r="Q318" s="10">
        <f>IFERROR(IF(INDEX('Test catalog'!$K$2:$K$200,MATCH($AB318,'Test catalog'!$A$2:$A$200,0))="","",INDEX('Test catalog'!$K$2:$K$200,MATCH($AB318,'Test catalog'!$A$2:$A$200,0))),"")</f>
        <v/>
      </c>
      <c r="R318" s="5" t="n"/>
      <c r="S318" s="10">
        <f>IFERROR(IF(INDEX('Test catalog'!$L$2:$L$200,MATCH($AB318,'Test catalog'!$A$2:$A$200,0))="","",INDEX('Test catalog'!$L$2:$L$200,MATCH($AB318,'Test catalog'!$A$2:$A$200,0))),"")</f>
        <v/>
      </c>
      <c r="T318" s="10">
        <f>IFERROR(IF(INDEX('Test catalog'!$M$2:$M$200,MATCH($AB318,'Test catalog'!$A$2:$A$200,0))="","",INDEX('Test catalog'!$M$2:$M$200,MATCH($AB318,'Test catalog'!$A$2:$A$200,0))),"")</f>
        <v/>
      </c>
      <c r="U318" s="10">
        <f>IFERROR(IF(INDEX('Test catalog'!$N$2:$N$200,MATCH($AB318,'Test catalog'!$A$2:$A$200,0))="","",INDEX('Test catalog'!$N$2:$N$200,MATCH($AB318,'Test catalog'!$A$2:$A$200,0))),"")</f>
        <v/>
      </c>
      <c r="V318" s="15" t="n"/>
      <c r="W318" s="5" t="inlineStr">
        <is>
          <t>N</t>
        </is>
      </c>
      <c r="X318" s="5" t="n"/>
      <c r="Y318" s="5" t="n"/>
      <c r="Z318" s="5" t="n"/>
      <c r="AA318" s="10">
        <f>IFERROR(IF(INDEX('Test catalog'!$O$2:$O$200,MATCH($AB318,'Test catalog'!$A$2:$A$200,0))="","",INDEX('Test catalog'!$O$2:$O$200,MATCH($AB318,'Test catalog'!$A$2:$A$200,0))),"")</f>
        <v/>
      </c>
      <c r="AB318" s="10" t="inlineStr">
        <is>
          <t>APPEAR</t>
        </is>
      </c>
      <c r="AC318" s="10" t="inlineStr">
        <is>
          <t>Lab practice (not a USP test)</t>
        </is>
      </c>
      <c r="AD318" s="10" t="n"/>
      <c r="AE318" s="10" t="n"/>
    </row>
    <row r="319">
      <c r="A319" s="10" t="inlineStr">
        <is>
          <t>L-Cystine</t>
        </is>
      </c>
      <c r="B319" s="10" t="inlineStr">
        <is>
          <t>RM</t>
        </is>
      </c>
      <c r="C319" s="10" t="inlineStr">
        <is>
          <t>Active</t>
        </is>
      </c>
      <c r="D319" s="10" t="inlineStr">
        <is>
          <t>ID B - Optical rotation</t>
        </is>
      </c>
      <c r="E319" s="10">
        <f>IF(A319="","",A319&amp;"|"&amp;D319)</f>
        <v/>
      </c>
      <c r="F319" s="5" t="inlineStr">
        <is>
          <t>Y</t>
        </is>
      </c>
      <c r="G319" s="5" t="inlineStr">
        <is>
          <t>Other / bench</t>
        </is>
      </c>
      <c r="H319" s="5" t="inlineStr">
        <is>
          <t>Low</t>
        </is>
      </c>
      <c r="I319" s="5" t="n">
        <v>1</v>
      </c>
      <c r="J319" s="5" t="n"/>
      <c r="K319" s="10">
        <f>IFERROR(IF(INDEX('Test catalog'!$F$2:$F$200,MATCH($AB319,'Test catalog'!$A$2:$A$200,0))="","",INDEX('Test catalog'!$F$2:$F$200,MATCH($AB319,'Test catalog'!$A$2:$A$200,0))),"")</f>
        <v/>
      </c>
      <c r="L319" s="10">
        <f>IFERROR(IF(INDEX('Test catalog'!$G$2:$G$200,MATCH($AB319,'Test catalog'!$A$2:$A$200,0))="","",INDEX('Test catalog'!$G$2:$G$200,MATCH($AB319,'Test catalog'!$A$2:$A$200,0))),"")</f>
        <v/>
      </c>
      <c r="M319" s="10">
        <f>IFERROR(IF(INDEX('Test catalog'!$H$2:$H$200,MATCH($AB319,'Test catalog'!$A$2:$A$200,0))="","",INDEX('Test catalog'!$H$2:$H$200,MATCH($AB319,'Test catalog'!$A$2:$A$200,0))),"")</f>
        <v/>
      </c>
      <c r="N319" s="10">
        <f>IFERROR(IF(INDEX('Test catalog'!$I$2:$I$200,MATCH($AB319,'Test catalog'!$A$2:$A$200,0))="","",INDEX('Test catalog'!$I$2:$I$200,MATCH($AB319,'Test catalog'!$A$2:$A$200,0))),"")</f>
        <v/>
      </c>
      <c r="O319" s="10">
        <f>IFERROR(IF(INDEX('Test catalog'!$J$2:$J$200,MATCH($AB319,'Test catalog'!$A$2:$A$200,0))="","",INDEX('Test catalog'!$J$2:$J$200,MATCH($AB319,'Test catalog'!$A$2:$A$200,0))),"")</f>
        <v/>
      </c>
      <c r="P319" s="14">
        <f>IF(N319="","",IF(OR(M319="",O319=""),N319,(M319+4*N319+O319)/6))</f>
        <v/>
      </c>
      <c r="Q319" s="10">
        <f>IFERROR(IF(INDEX('Test catalog'!$K$2:$K$200,MATCH($AB319,'Test catalog'!$A$2:$A$200,0))="","",INDEX('Test catalog'!$K$2:$K$200,MATCH($AB319,'Test catalog'!$A$2:$A$200,0))),"")</f>
        <v/>
      </c>
      <c r="R319" s="5" t="n"/>
      <c r="S319" s="10">
        <f>IFERROR(IF(INDEX('Test catalog'!$L$2:$L$200,MATCH($AB319,'Test catalog'!$A$2:$A$200,0))="","",INDEX('Test catalog'!$L$2:$L$200,MATCH($AB319,'Test catalog'!$A$2:$A$200,0))),"")</f>
        <v/>
      </c>
      <c r="T319" s="10">
        <f>IFERROR(IF(INDEX('Test catalog'!$M$2:$M$200,MATCH($AB319,'Test catalog'!$A$2:$A$200,0))="","",INDEX('Test catalog'!$M$2:$M$200,MATCH($AB319,'Test catalog'!$A$2:$A$200,0))),"")</f>
        <v/>
      </c>
      <c r="U319" s="10">
        <f>IFERROR(IF(INDEX('Test catalog'!$N$2:$N$200,MATCH($AB319,'Test catalog'!$A$2:$A$200,0))="","",INDEX('Test catalog'!$N$2:$N$200,MATCH($AB319,'Test catalog'!$A$2:$A$200,0))),"")</f>
        <v/>
      </c>
      <c r="V319" s="15" t="n"/>
      <c r="W319" s="5" t="inlineStr">
        <is>
          <t>N</t>
        </is>
      </c>
      <c r="X319" s="5" t="n"/>
      <c r="Y319" s="5" t="n"/>
      <c r="Z319" s="5" t="n"/>
      <c r="AA319" s="10">
        <f>IFERROR(IF(INDEX('Test catalog'!$O$2:$O$200,MATCH($AB319,'Test catalog'!$A$2:$A$200,0))="","",INDEX('Test catalog'!$O$2:$O$200,MATCH($AB319,'Test catalog'!$A$2:$A$200,0))),"")</f>
        <v/>
      </c>
      <c r="AB319" s="10" t="inlineStr">
        <is>
          <t>OR</t>
        </is>
      </c>
      <c r="AC319" s="10" t="inlineStr">
        <is>
          <t>Cystine · Identification &lt;781&gt;</t>
        </is>
      </c>
      <c r="AD319" s="10" t="n"/>
      <c r="AE319" s="10" t="n"/>
    </row>
    <row r="320">
      <c r="A320" s="10" t="inlineStr">
        <is>
          <t>L-Cystine</t>
        </is>
      </c>
      <c r="B320" s="10" t="inlineStr">
        <is>
          <t>RM</t>
        </is>
      </c>
      <c r="C320" s="10" t="inlineStr">
        <is>
          <t>Active</t>
        </is>
      </c>
      <c r="D320" s="10" t="inlineStr">
        <is>
          <t>ID A - IR spectrum</t>
        </is>
      </c>
      <c r="E320" s="10">
        <f>IF(A320="","",A320&amp;"|"&amp;D320)</f>
        <v/>
      </c>
      <c r="F320" s="5" t="inlineStr">
        <is>
          <t>Y</t>
        </is>
      </c>
      <c r="G320" s="5" t="inlineStr">
        <is>
          <t>Other / bench</t>
        </is>
      </c>
      <c r="H320" s="5" t="inlineStr">
        <is>
          <t>Low</t>
        </is>
      </c>
      <c r="I320" s="5" t="n">
        <v>1</v>
      </c>
      <c r="J320" s="5" t="n"/>
      <c r="K320" s="10">
        <f>IFERROR(IF(INDEX('Test catalog'!$F$2:$F$200,MATCH($AB320,'Test catalog'!$A$2:$A$200,0))="","",INDEX('Test catalog'!$F$2:$F$200,MATCH($AB320,'Test catalog'!$A$2:$A$200,0))),"")</f>
        <v/>
      </c>
      <c r="L320" s="10">
        <f>IFERROR(IF(INDEX('Test catalog'!$G$2:$G$200,MATCH($AB320,'Test catalog'!$A$2:$A$200,0))="","",INDEX('Test catalog'!$G$2:$G$200,MATCH($AB320,'Test catalog'!$A$2:$A$200,0))),"")</f>
        <v/>
      </c>
      <c r="M320" s="10">
        <f>IFERROR(IF(INDEX('Test catalog'!$H$2:$H$200,MATCH($AB320,'Test catalog'!$A$2:$A$200,0))="","",INDEX('Test catalog'!$H$2:$H$200,MATCH($AB320,'Test catalog'!$A$2:$A$200,0))),"")</f>
        <v/>
      </c>
      <c r="N320" s="10">
        <f>IFERROR(IF(INDEX('Test catalog'!$I$2:$I$200,MATCH($AB320,'Test catalog'!$A$2:$A$200,0))="","",INDEX('Test catalog'!$I$2:$I$200,MATCH($AB320,'Test catalog'!$A$2:$A$200,0))),"")</f>
        <v/>
      </c>
      <c r="O320" s="10">
        <f>IFERROR(IF(INDEX('Test catalog'!$J$2:$J$200,MATCH($AB320,'Test catalog'!$A$2:$A$200,0))="","",INDEX('Test catalog'!$J$2:$J$200,MATCH($AB320,'Test catalog'!$A$2:$A$200,0))),"")</f>
        <v/>
      </c>
      <c r="P320" s="14">
        <f>IF(N320="","",IF(OR(M320="",O320=""),N320,(M320+4*N320+O320)/6))</f>
        <v/>
      </c>
      <c r="Q320" s="10">
        <f>IFERROR(IF(INDEX('Test catalog'!$K$2:$K$200,MATCH($AB320,'Test catalog'!$A$2:$A$200,0))="","",INDEX('Test catalog'!$K$2:$K$200,MATCH($AB320,'Test catalog'!$A$2:$A$200,0))),"")</f>
        <v/>
      </c>
      <c r="R320" s="5" t="n"/>
      <c r="S320" s="10">
        <f>IFERROR(IF(INDEX('Test catalog'!$L$2:$L$200,MATCH($AB320,'Test catalog'!$A$2:$A$200,0))="","",INDEX('Test catalog'!$L$2:$L$200,MATCH($AB320,'Test catalog'!$A$2:$A$200,0))),"")</f>
        <v/>
      </c>
      <c r="T320" s="10">
        <f>IFERROR(IF(INDEX('Test catalog'!$M$2:$M$200,MATCH($AB320,'Test catalog'!$A$2:$A$200,0))="","",INDEX('Test catalog'!$M$2:$M$200,MATCH($AB320,'Test catalog'!$A$2:$A$200,0))),"")</f>
        <v/>
      </c>
      <c r="U320" s="10">
        <f>IFERROR(IF(INDEX('Test catalog'!$N$2:$N$200,MATCH($AB320,'Test catalog'!$A$2:$A$200,0))="","",INDEX('Test catalog'!$N$2:$N$200,MATCH($AB320,'Test catalog'!$A$2:$A$200,0))),"")</f>
        <v/>
      </c>
      <c r="V320" s="15" t="n"/>
      <c r="W320" s="5" t="inlineStr">
        <is>
          <t>N</t>
        </is>
      </c>
      <c r="X320" s="5" t="n"/>
      <c r="Y320" s="5" t="n"/>
      <c r="Z320" s="5" t="n"/>
      <c r="AA320" s="10">
        <f>IFERROR(IF(INDEX('Test catalog'!$O$2:$O$200,MATCH($AB320,'Test catalog'!$A$2:$A$200,0))="","",INDEX('Test catalog'!$O$2:$O$200,MATCH($AB320,'Test catalog'!$A$2:$A$200,0))),"")</f>
        <v/>
      </c>
      <c r="AB320" s="10" t="inlineStr">
        <is>
          <t>ID_IR</t>
        </is>
      </c>
      <c r="AC320" s="10" t="inlineStr">
        <is>
          <t>Cystine · Identification &lt;197&gt;</t>
        </is>
      </c>
      <c r="AD320" s="10" t="n"/>
      <c r="AE320" s="10" t="n"/>
    </row>
    <row r="321">
      <c r="A321" s="10" t="inlineStr">
        <is>
          <t>L-Cystine</t>
        </is>
      </c>
      <c r="B321" s="10" t="inlineStr">
        <is>
          <t>RM</t>
        </is>
      </c>
      <c r="C321" s="10" t="inlineStr">
        <is>
          <t>Active</t>
        </is>
      </c>
      <c r="D321" s="10" t="inlineStr">
        <is>
          <t>Assay</t>
        </is>
      </c>
      <c r="E321" s="10">
        <f>IF(A321="","",A321&amp;"|"&amp;D321)</f>
        <v/>
      </c>
      <c r="F321" s="5" t="inlineStr">
        <is>
          <t>Y</t>
        </is>
      </c>
      <c r="G321" s="5" t="inlineStr">
        <is>
          <t>Other / bench</t>
        </is>
      </c>
      <c r="H321" s="5" t="inlineStr">
        <is>
          <t>Low</t>
        </is>
      </c>
      <c r="I321" s="5" t="n">
        <v>1</v>
      </c>
      <c r="J321" s="5" t="n"/>
      <c r="K321" s="10">
        <f>IFERROR(IF(INDEX('Test catalog'!$F$2:$F$200,MATCH($AB321,'Test catalog'!$A$2:$A$200,0))="","",INDEX('Test catalog'!$F$2:$F$200,MATCH($AB321,'Test catalog'!$A$2:$A$200,0))),"")</f>
        <v/>
      </c>
      <c r="L321" s="10">
        <f>IFERROR(IF(INDEX('Test catalog'!$G$2:$G$200,MATCH($AB321,'Test catalog'!$A$2:$A$200,0))="","",INDEX('Test catalog'!$G$2:$G$200,MATCH($AB321,'Test catalog'!$A$2:$A$200,0))),"")</f>
        <v/>
      </c>
      <c r="M321" s="10">
        <f>IFERROR(IF(INDEX('Test catalog'!$H$2:$H$200,MATCH($AB321,'Test catalog'!$A$2:$A$200,0))="","",INDEX('Test catalog'!$H$2:$H$200,MATCH($AB321,'Test catalog'!$A$2:$A$200,0))),"")</f>
        <v/>
      </c>
      <c r="N321" s="10">
        <f>IFERROR(IF(INDEX('Test catalog'!$I$2:$I$200,MATCH($AB321,'Test catalog'!$A$2:$A$200,0))="","",INDEX('Test catalog'!$I$2:$I$200,MATCH($AB321,'Test catalog'!$A$2:$A$200,0))),"")</f>
        <v/>
      </c>
      <c r="O321" s="10">
        <f>IFERROR(IF(INDEX('Test catalog'!$J$2:$J$200,MATCH($AB321,'Test catalog'!$A$2:$A$200,0))="","",INDEX('Test catalog'!$J$2:$J$200,MATCH($AB321,'Test catalog'!$A$2:$A$200,0))),"")</f>
        <v/>
      </c>
      <c r="P321" s="14">
        <f>IF(N321="","",IF(OR(M321="",O321=""),N321,(M321+4*N321+O321)/6))</f>
        <v/>
      </c>
      <c r="Q321" s="10">
        <f>IFERROR(IF(INDEX('Test catalog'!$K$2:$K$200,MATCH($AB321,'Test catalog'!$A$2:$A$200,0))="","",INDEX('Test catalog'!$K$2:$K$200,MATCH($AB321,'Test catalog'!$A$2:$A$200,0))),"")</f>
        <v/>
      </c>
      <c r="R321" s="5" t="n"/>
      <c r="S321" s="10">
        <f>IFERROR(IF(INDEX('Test catalog'!$L$2:$L$200,MATCH($AB321,'Test catalog'!$A$2:$A$200,0))="","",INDEX('Test catalog'!$L$2:$L$200,MATCH($AB321,'Test catalog'!$A$2:$A$200,0))),"")</f>
        <v/>
      </c>
      <c r="T321" s="10">
        <f>IFERROR(IF(INDEX('Test catalog'!$M$2:$M$200,MATCH($AB321,'Test catalog'!$A$2:$A$200,0))="","",INDEX('Test catalog'!$M$2:$M$200,MATCH($AB321,'Test catalog'!$A$2:$A$200,0))),"")</f>
        <v/>
      </c>
      <c r="U321" s="10">
        <f>IFERROR(IF(INDEX('Test catalog'!$N$2:$N$200,MATCH($AB321,'Test catalog'!$A$2:$A$200,0))="","",INDEX('Test catalog'!$N$2:$N$200,MATCH($AB321,'Test catalog'!$A$2:$A$200,0))),"")</f>
        <v/>
      </c>
      <c r="V321" s="15" t="n"/>
      <c r="W321" s="5" t="inlineStr">
        <is>
          <t>N</t>
        </is>
      </c>
      <c r="X321" s="5" t="n"/>
      <c r="Y321" s="5" t="n"/>
      <c r="Z321" s="5" t="n"/>
      <c r="AA321" s="10">
        <f>IFERROR(IF(INDEX('Test catalog'!$O$2:$O$200,MATCH($AB321,'Test catalog'!$A$2:$A$200,0))="","",INDEX('Test catalog'!$O$2:$O$200,MATCH($AB321,'Test catalog'!$A$2:$A$200,0))),"")</f>
        <v/>
      </c>
      <c r="AB321" s="10" t="inlineStr">
        <is>
          <t>TITR</t>
        </is>
      </c>
      <c r="AC321" s="10" t="inlineStr">
        <is>
          <t>Cystine · Assay</t>
        </is>
      </c>
      <c r="AD321" s="10" t="n"/>
      <c r="AE321" s="10" t="n"/>
    </row>
    <row r="322">
      <c r="A322" s="10" t="inlineStr">
        <is>
          <t>L-Cystine</t>
        </is>
      </c>
      <c r="B322" s="10" t="inlineStr">
        <is>
          <t>RM</t>
        </is>
      </c>
      <c r="C322" s="10" t="inlineStr">
        <is>
          <t>Active</t>
        </is>
      </c>
      <c r="D322" s="10" t="inlineStr">
        <is>
          <t>Residue on Ignition</t>
        </is>
      </c>
      <c r="E322" s="10">
        <f>IF(A322="","",A322&amp;"|"&amp;D322)</f>
        <v/>
      </c>
      <c r="F322" s="5" t="inlineStr">
        <is>
          <t>Y</t>
        </is>
      </c>
      <c r="G322" s="5" t="inlineStr">
        <is>
          <t>Other / bench</t>
        </is>
      </c>
      <c r="H322" s="5" t="inlineStr">
        <is>
          <t>Low</t>
        </is>
      </c>
      <c r="I322" s="5" t="n">
        <v>1</v>
      </c>
      <c r="J322" s="5" t="n"/>
      <c r="K322" s="10">
        <f>IFERROR(IF(INDEX('Test catalog'!$F$2:$F$200,MATCH($AB322,'Test catalog'!$A$2:$A$200,0))="","",INDEX('Test catalog'!$F$2:$F$200,MATCH($AB322,'Test catalog'!$A$2:$A$200,0))),"")</f>
        <v/>
      </c>
      <c r="L322" s="10">
        <f>IFERROR(IF(INDEX('Test catalog'!$G$2:$G$200,MATCH($AB322,'Test catalog'!$A$2:$A$200,0))="","",INDEX('Test catalog'!$G$2:$G$200,MATCH($AB322,'Test catalog'!$A$2:$A$200,0))),"")</f>
        <v/>
      </c>
      <c r="M322" s="10">
        <f>IFERROR(IF(INDEX('Test catalog'!$H$2:$H$200,MATCH($AB322,'Test catalog'!$A$2:$A$200,0))="","",INDEX('Test catalog'!$H$2:$H$200,MATCH($AB322,'Test catalog'!$A$2:$A$200,0))),"")</f>
        <v/>
      </c>
      <c r="N322" s="10">
        <f>IFERROR(IF(INDEX('Test catalog'!$I$2:$I$200,MATCH($AB322,'Test catalog'!$A$2:$A$200,0))="","",INDEX('Test catalog'!$I$2:$I$200,MATCH($AB322,'Test catalog'!$A$2:$A$200,0))),"")</f>
        <v/>
      </c>
      <c r="O322" s="10">
        <f>IFERROR(IF(INDEX('Test catalog'!$J$2:$J$200,MATCH($AB322,'Test catalog'!$A$2:$A$200,0))="","",INDEX('Test catalog'!$J$2:$J$200,MATCH($AB322,'Test catalog'!$A$2:$A$200,0))),"")</f>
        <v/>
      </c>
      <c r="P322" s="14">
        <f>IF(N322="","",IF(OR(M322="",O322=""),N322,(M322+4*N322+O322)/6))</f>
        <v/>
      </c>
      <c r="Q322" s="10">
        <f>IFERROR(IF(INDEX('Test catalog'!$K$2:$K$200,MATCH($AB322,'Test catalog'!$A$2:$A$200,0))="","",INDEX('Test catalog'!$K$2:$K$200,MATCH($AB322,'Test catalog'!$A$2:$A$200,0))),"")</f>
        <v/>
      </c>
      <c r="R322" s="5" t="n"/>
      <c r="S322" s="10">
        <f>IFERROR(IF(INDEX('Test catalog'!$L$2:$L$200,MATCH($AB322,'Test catalog'!$A$2:$A$200,0))="","",INDEX('Test catalog'!$L$2:$L$200,MATCH($AB322,'Test catalog'!$A$2:$A$200,0))),"")</f>
        <v/>
      </c>
      <c r="T322" s="10">
        <f>IFERROR(IF(INDEX('Test catalog'!$M$2:$M$200,MATCH($AB322,'Test catalog'!$A$2:$A$200,0))="","",INDEX('Test catalog'!$M$2:$M$200,MATCH($AB322,'Test catalog'!$A$2:$A$200,0))),"")</f>
        <v/>
      </c>
      <c r="U322" s="10">
        <f>IFERROR(IF(INDEX('Test catalog'!$N$2:$N$200,MATCH($AB322,'Test catalog'!$A$2:$A$200,0))="","",INDEX('Test catalog'!$N$2:$N$200,MATCH($AB322,'Test catalog'!$A$2:$A$200,0))),"")</f>
        <v/>
      </c>
      <c r="V322" s="15" t="n"/>
      <c r="W322" s="5" t="inlineStr">
        <is>
          <t>N</t>
        </is>
      </c>
      <c r="X322" s="5" t="n"/>
      <c r="Y322" s="5" t="n"/>
      <c r="Z322" s="5" t="n"/>
      <c r="AA322" s="10">
        <f>IFERROR(IF(INDEX('Test catalog'!$O$2:$O$200,MATCH($AB322,'Test catalog'!$A$2:$A$200,0))="","",INDEX('Test catalog'!$O$2:$O$200,MATCH($AB322,'Test catalog'!$A$2:$A$200,0))),"")</f>
        <v/>
      </c>
      <c r="AB322" s="10" t="inlineStr">
        <is>
          <t>ROI</t>
        </is>
      </c>
      <c r="AC322" s="10" t="inlineStr">
        <is>
          <t>Cystine · Impurities &lt;281&gt;</t>
        </is>
      </c>
      <c r="AD322" s="10" t="n"/>
      <c r="AE322" s="10" t="n"/>
    </row>
    <row r="323">
      <c r="A323" s="10" t="inlineStr">
        <is>
          <t>L-Cystine</t>
        </is>
      </c>
      <c r="B323" s="10" t="inlineStr">
        <is>
          <t>RM</t>
        </is>
      </c>
      <c r="C323" s="10" t="inlineStr">
        <is>
          <t>Active</t>
        </is>
      </c>
      <c r="D323" s="10" t="inlineStr">
        <is>
          <t>Chloride</t>
        </is>
      </c>
      <c r="E323" s="10">
        <f>IF(A323="","",A323&amp;"|"&amp;D323)</f>
        <v/>
      </c>
      <c r="F323" s="5" t="inlineStr">
        <is>
          <t>Y</t>
        </is>
      </c>
      <c r="G323" s="5" t="inlineStr">
        <is>
          <t>Other / bench</t>
        </is>
      </c>
      <c r="H323" s="5" t="inlineStr">
        <is>
          <t>Low</t>
        </is>
      </c>
      <c r="I323" s="5" t="n">
        <v>1</v>
      </c>
      <c r="J323" s="5" t="n"/>
      <c r="K323" s="10">
        <f>IFERROR(IF(INDEX('Test catalog'!$F$2:$F$200,MATCH($AB323,'Test catalog'!$A$2:$A$200,0))="","",INDEX('Test catalog'!$F$2:$F$200,MATCH($AB323,'Test catalog'!$A$2:$A$200,0))),"")</f>
        <v/>
      </c>
      <c r="L323" s="10">
        <f>IFERROR(IF(INDEX('Test catalog'!$G$2:$G$200,MATCH($AB323,'Test catalog'!$A$2:$A$200,0))="","",INDEX('Test catalog'!$G$2:$G$200,MATCH($AB323,'Test catalog'!$A$2:$A$200,0))),"")</f>
        <v/>
      </c>
      <c r="M323" s="10">
        <f>IFERROR(IF(INDEX('Test catalog'!$H$2:$H$200,MATCH($AB323,'Test catalog'!$A$2:$A$200,0))="","",INDEX('Test catalog'!$H$2:$H$200,MATCH($AB323,'Test catalog'!$A$2:$A$200,0))),"")</f>
        <v/>
      </c>
      <c r="N323" s="10">
        <f>IFERROR(IF(INDEX('Test catalog'!$I$2:$I$200,MATCH($AB323,'Test catalog'!$A$2:$A$200,0))="","",INDEX('Test catalog'!$I$2:$I$200,MATCH($AB323,'Test catalog'!$A$2:$A$200,0))),"")</f>
        <v/>
      </c>
      <c r="O323" s="10">
        <f>IFERROR(IF(INDEX('Test catalog'!$J$2:$J$200,MATCH($AB323,'Test catalog'!$A$2:$A$200,0))="","",INDEX('Test catalog'!$J$2:$J$200,MATCH($AB323,'Test catalog'!$A$2:$A$200,0))),"")</f>
        <v/>
      </c>
      <c r="P323" s="14">
        <f>IF(N323="","",IF(OR(M323="",O323=""),N323,(M323+4*N323+O323)/6))</f>
        <v/>
      </c>
      <c r="Q323" s="10">
        <f>IFERROR(IF(INDEX('Test catalog'!$K$2:$K$200,MATCH($AB323,'Test catalog'!$A$2:$A$200,0))="","",INDEX('Test catalog'!$K$2:$K$200,MATCH($AB323,'Test catalog'!$A$2:$A$200,0))),"")</f>
        <v/>
      </c>
      <c r="R323" s="5" t="n"/>
      <c r="S323" s="10">
        <f>IFERROR(IF(INDEX('Test catalog'!$L$2:$L$200,MATCH($AB323,'Test catalog'!$A$2:$A$200,0))="","",INDEX('Test catalog'!$L$2:$L$200,MATCH($AB323,'Test catalog'!$A$2:$A$200,0))),"")</f>
        <v/>
      </c>
      <c r="T323" s="10">
        <f>IFERROR(IF(INDEX('Test catalog'!$M$2:$M$200,MATCH($AB323,'Test catalog'!$A$2:$A$200,0))="","",INDEX('Test catalog'!$M$2:$M$200,MATCH($AB323,'Test catalog'!$A$2:$A$200,0))),"")</f>
        <v/>
      </c>
      <c r="U323" s="10">
        <f>IFERROR(IF(INDEX('Test catalog'!$N$2:$N$200,MATCH($AB323,'Test catalog'!$A$2:$A$200,0))="","",INDEX('Test catalog'!$N$2:$N$200,MATCH($AB323,'Test catalog'!$A$2:$A$200,0))),"")</f>
        <v/>
      </c>
      <c r="V323" s="15" t="n"/>
      <c r="W323" s="5" t="inlineStr">
        <is>
          <t>N</t>
        </is>
      </c>
      <c r="X323" s="5" t="n"/>
      <c r="Y323" s="5" t="n"/>
      <c r="Z323" s="5" t="n"/>
      <c r="AA323" s="10">
        <f>IFERROR(IF(INDEX('Test catalog'!$O$2:$O$200,MATCH($AB323,'Test catalog'!$A$2:$A$200,0))="","",INDEX('Test catalog'!$O$2:$O$200,MATCH($AB323,'Test catalog'!$A$2:$A$200,0))),"")</f>
        <v/>
      </c>
      <c r="AB323" s="10" t="inlineStr">
        <is>
          <t>LIMIT</t>
        </is>
      </c>
      <c r="AC323" s="10" t="inlineStr">
        <is>
          <t>Cystine · Impurities &lt;221&gt;</t>
        </is>
      </c>
      <c r="AD323" s="10" t="n"/>
      <c r="AE323" s="10" t="n"/>
    </row>
    <row r="324">
      <c r="A324" s="10" t="inlineStr">
        <is>
          <t>L-Cystine</t>
        </is>
      </c>
      <c r="B324" s="10" t="inlineStr">
        <is>
          <t>RM</t>
        </is>
      </c>
      <c r="C324" s="10" t="inlineStr">
        <is>
          <t>Active</t>
        </is>
      </c>
      <c r="D324" s="10" t="inlineStr">
        <is>
          <t>Sulfate</t>
        </is>
      </c>
      <c r="E324" s="10">
        <f>IF(A324="","",A324&amp;"|"&amp;D324)</f>
        <v/>
      </c>
      <c r="F324" s="5" t="inlineStr">
        <is>
          <t>Y</t>
        </is>
      </c>
      <c r="G324" s="5" t="inlineStr">
        <is>
          <t>Other / bench</t>
        </is>
      </c>
      <c r="H324" s="5" t="inlineStr">
        <is>
          <t>Low</t>
        </is>
      </c>
      <c r="I324" s="5" t="n">
        <v>1</v>
      </c>
      <c r="J324" s="5" t="n"/>
      <c r="K324" s="10">
        <f>IFERROR(IF(INDEX('Test catalog'!$F$2:$F$200,MATCH($AB324,'Test catalog'!$A$2:$A$200,0))="","",INDEX('Test catalog'!$F$2:$F$200,MATCH($AB324,'Test catalog'!$A$2:$A$200,0))),"")</f>
        <v/>
      </c>
      <c r="L324" s="10">
        <f>IFERROR(IF(INDEX('Test catalog'!$G$2:$G$200,MATCH($AB324,'Test catalog'!$A$2:$A$200,0))="","",INDEX('Test catalog'!$G$2:$G$200,MATCH($AB324,'Test catalog'!$A$2:$A$200,0))),"")</f>
        <v/>
      </c>
      <c r="M324" s="10">
        <f>IFERROR(IF(INDEX('Test catalog'!$H$2:$H$200,MATCH($AB324,'Test catalog'!$A$2:$A$200,0))="","",INDEX('Test catalog'!$H$2:$H$200,MATCH($AB324,'Test catalog'!$A$2:$A$200,0))),"")</f>
        <v/>
      </c>
      <c r="N324" s="10">
        <f>IFERROR(IF(INDEX('Test catalog'!$I$2:$I$200,MATCH($AB324,'Test catalog'!$A$2:$A$200,0))="","",INDEX('Test catalog'!$I$2:$I$200,MATCH($AB324,'Test catalog'!$A$2:$A$200,0))),"")</f>
        <v/>
      </c>
      <c r="O324" s="10">
        <f>IFERROR(IF(INDEX('Test catalog'!$J$2:$J$200,MATCH($AB324,'Test catalog'!$A$2:$A$200,0))="","",INDEX('Test catalog'!$J$2:$J$200,MATCH($AB324,'Test catalog'!$A$2:$A$200,0))),"")</f>
        <v/>
      </c>
      <c r="P324" s="14">
        <f>IF(N324="","",IF(OR(M324="",O324=""),N324,(M324+4*N324+O324)/6))</f>
        <v/>
      </c>
      <c r="Q324" s="10">
        <f>IFERROR(IF(INDEX('Test catalog'!$K$2:$K$200,MATCH($AB324,'Test catalog'!$A$2:$A$200,0))="","",INDEX('Test catalog'!$K$2:$K$200,MATCH($AB324,'Test catalog'!$A$2:$A$200,0))),"")</f>
        <v/>
      </c>
      <c r="R324" s="5" t="n"/>
      <c r="S324" s="10">
        <f>IFERROR(IF(INDEX('Test catalog'!$L$2:$L$200,MATCH($AB324,'Test catalog'!$A$2:$A$200,0))="","",INDEX('Test catalog'!$L$2:$L$200,MATCH($AB324,'Test catalog'!$A$2:$A$200,0))),"")</f>
        <v/>
      </c>
      <c r="T324" s="10">
        <f>IFERROR(IF(INDEX('Test catalog'!$M$2:$M$200,MATCH($AB324,'Test catalog'!$A$2:$A$200,0))="","",INDEX('Test catalog'!$M$2:$M$200,MATCH($AB324,'Test catalog'!$A$2:$A$200,0))),"")</f>
        <v/>
      </c>
      <c r="U324" s="10">
        <f>IFERROR(IF(INDEX('Test catalog'!$N$2:$N$200,MATCH($AB324,'Test catalog'!$A$2:$A$200,0))="","",INDEX('Test catalog'!$N$2:$N$200,MATCH($AB324,'Test catalog'!$A$2:$A$200,0))),"")</f>
        <v/>
      </c>
      <c r="V324" s="15" t="n"/>
      <c r="W324" s="5" t="inlineStr">
        <is>
          <t>N</t>
        </is>
      </c>
      <c r="X324" s="5" t="n"/>
      <c r="Y324" s="5" t="n"/>
      <c r="Z324" s="5" t="n"/>
      <c r="AA324" s="10">
        <f>IFERROR(IF(INDEX('Test catalog'!$O$2:$O$200,MATCH($AB324,'Test catalog'!$A$2:$A$200,0))="","",INDEX('Test catalog'!$O$2:$O$200,MATCH($AB324,'Test catalog'!$A$2:$A$200,0))),"")</f>
        <v/>
      </c>
      <c r="AB324" s="10" t="inlineStr">
        <is>
          <t>LIMIT</t>
        </is>
      </c>
      <c r="AC324" s="10" t="inlineStr">
        <is>
          <t>Cystine · Impurities &lt;221&gt;</t>
        </is>
      </c>
      <c r="AD324" s="10" t="n"/>
      <c r="AE324" s="10" t="n"/>
    </row>
    <row r="325">
      <c r="A325" s="10" t="inlineStr">
        <is>
          <t>L-Cystine</t>
        </is>
      </c>
      <c r="B325" s="10" t="inlineStr">
        <is>
          <t>RM</t>
        </is>
      </c>
      <c r="C325" s="10" t="inlineStr">
        <is>
          <t>Active</t>
        </is>
      </c>
      <c r="D325" s="10" t="inlineStr">
        <is>
          <t>Iron</t>
        </is>
      </c>
      <c r="E325" s="10">
        <f>IF(A325="","",A325&amp;"|"&amp;D325)</f>
        <v/>
      </c>
      <c r="F325" s="5" t="inlineStr">
        <is>
          <t>Y</t>
        </is>
      </c>
      <c r="G325" s="5" t="inlineStr">
        <is>
          <t>Other / bench</t>
        </is>
      </c>
      <c r="H325" s="5" t="inlineStr">
        <is>
          <t>Low</t>
        </is>
      </c>
      <c r="I325" s="5" t="n">
        <v>1</v>
      </c>
      <c r="J325" s="5" t="n"/>
      <c r="K325" s="10">
        <f>IFERROR(IF(INDEX('Test catalog'!$F$2:$F$200,MATCH($AB325,'Test catalog'!$A$2:$A$200,0))="","",INDEX('Test catalog'!$F$2:$F$200,MATCH($AB325,'Test catalog'!$A$2:$A$200,0))),"")</f>
        <v/>
      </c>
      <c r="L325" s="10">
        <f>IFERROR(IF(INDEX('Test catalog'!$G$2:$G$200,MATCH($AB325,'Test catalog'!$A$2:$A$200,0))="","",INDEX('Test catalog'!$G$2:$G$200,MATCH($AB325,'Test catalog'!$A$2:$A$200,0))),"")</f>
        <v/>
      </c>
      <c r="M325" s="10">
        <f>IFERROR(IF(INDEX('Test catalog'!$H$2:$H$200,MATCH($AB325,'Test catalog'!$A$2:$A$200,0))="","",INDEX('Test catalog'!$H$2:$H$200,MATCH($AB325,'Test catalog'!$A$2:$A$200,0))),"")</f>
        <v/>
      </c>
      <c r="N325" s="10">
        <f>IFERROR(IF(INDEX('Test catalog'!$I$2:$I$200,MATCH($AB325,'Test catalog'!$A$2:$A$200,0))="","",INDEX('Test catalog'!$I$2:$I$200,MATCH($AB325,'Test catalog'!$A$2:$A$200,0))),"")</f>
        <v/>
      </c>
      <c r="O325" s="10">
        <f>IFERROR(IF(INDEX('Test catalog'!$J$2:$J$200,MATCH($AB325,'Test catalog'!$A$2:$A$200,0))="","",INDEX('Test catalog'!$J$2:$J$200,MATCH($AB325,'Test catalog'!$A$2:$A$200,0))),"")</f>
        <v/>
      </c>
      <c r="P325" s="14">
        <f>IF(N325="","",IF(OR(M325="",O325=""),N325,(M325+4*N325+O325)/6))</f>
        <v/>
      </c>
      <c r="Q325" s="10">
        <f>IFERROR(IF(INDEX('Test catalog'!$K$2:$K$200,MATCH($AB325,'Test catalog'!$A$2:$A$200,0))="","",INDEX('Test catalog'!$K$2:$K$200,MATCH($AB325,'Test catalog'!$A$2:$A$200,0))),"")</f>
        <v/>
      </c>
      <c r="R325" s="5" t="n"/>
      <c r="S325" s="10">
        <f>IFERROR(IF(INDEX('Test catalog'!$L$2:$L$200,MATCH($AB325,'Test catalog'!$A$2:$A$200,0))="","",INDEX('Test catalog'!$L$2:$L$200,MATCH($AB325,'Test catalog'!$A$2:$A$200,0))),"")</f>
        <v/>
      </c>
      <c r="T325" s="10">
        <f>IFERROR(IF(INDEX('Test catalog'!$M$2:$M$200,MATCH($AB325,'Test catalog'!$A$2:$A$200,0))="","",INDEX('Test catalog'!$M$2:$M$200,MATCH($AB325,'Test catalog'!$A$2:$A$200,0))),"")</f>
        <v/>
      </c>
      <c r="U325" s="10">
        <f>IFERROR(IF(INDEX('Test catalog'!$N$2:$N$200,MATCH($AB325,'Test catalog'!$A$2:$A$200,0))="","",INDEX('Test catalog'!$N$2:$N$200,MATCH($AB325,'Test catalog'!$A$2:$A$200,0))),"")</f>
        <v/>
      </c>
      <c r="V325" s="15" t="n"/>
      <c r="W325" s="5" t="inlineStr">
        <is>
          <t>N</t>
        </is>
      </c>
      <c r="X325" s="5" t="n"/>
      <c r="Y325" s="5" t="n"/>
      <c r="Z325" s="5" t="n"/>
      <c r="AA325" s="10">
        <f>IFERROR(IF(INDEX('Test catalog'!$O$2:$O$200,MATCH($AB325,'Test catalog'!$A$2:$A$200,0))="","",INDEX('Test catalog'!$O$2:$O$200,MATCH($AB325,'Test catalog'!$A$2:$A$200,0))),"")</f>
        <v/>
      </c>
      <c r="AB325" s="10" t="inlineStr">
        <is>
          <t>LIMIT</t>
        </is>
      </c>
      <c r="AC325" s="10" t="inlineStr">
        <is>
          <t>Cystine · Impurities &lt;241&gt;</t>
        </is>
      </c>
      <c r="AD325" s="10" t="n"/>
      <c r="AE325" s="10" t="n"/>
    </row>
    <row r="326">
      <c r="A326" s="10" t="inlineStr">
        <is>
          <t>L-Cystine</t>
        </is>
      </c>
      <c r="B326" s="10" t="inlineStr">
        <is>
          <t>RM</t>
        </is>
      </c>
      <c r="C326" s="10" t="inlineStr">
        <is>
          <t>Active</t>
        </is>
      </c>
      <c r="D326" s="10" t="inlineStr">
        <is>
          <t>Organic Impurities</t>
        </is>
      </c>
      <c r="E326" s="10">
        <f>IF(A326="","",A326&amp;"|"&amp;D326)</f>
        <v/>
      </c>
      <c r="F326" s="5" t="inlineStr">
        <is>
          <t>Y</t>
        </is>
      </c>
      <c r="G326" s="5" t="inlineStr">
        <is>
          <t>Other / bench</t>
        </is>
      </c>
      <c r="H326" s="5" t="inlineStr">
        <is>
          <t>Low</t>
        </is>
      </c>
      <c r="I326" s="5" t="n">
        <v>1</v>
      </c>
      <c r="J326" s="5" t="n"/>
      <c r="K326" s="10">
        <f>IFERROR(IF(INDEX('Test catalog'!$F$2:$F$200,MATCH($AB326,'Test catalog'!$A$2:$A$200,0))="","",INDEX('Test catalog'!$F$2:$F$200,MATCH($AB326,'Test catalog'!$A$2:$A$200,0))),"")</f>
        <v/>
      </c>
      <c r="L326" s="10">
        <f>IFERROR(IF(INDEX('Test catalog'!$G$2:$G$200,MATCH($AB326,'Test catalog'!$A$2:$A$200,0))="","",INDEX('Test catalog'!$G$2:$G$200,MATCH($AB326,'Test catalog'!$A$2:$A$200,0))),"")</f>
        <v/>
      </c>
      <c r="M326" s="10">
        <f>IFERROR(IF(INDEX('Test catalog'!$H$2:$H$200,MATCH($AB326,'Test catalog'!$A$2:$A$200,0))="","",INDEX('Test catalog'!$H$2:$H$200,MATCH($AB326,'Test catalog'!$A$2:$A$200,0))),"")</f>
        <v/>
      </c>
      <c r="N326" s="10">
        <f>IFERROR(IF(INDEX('Test catalog'!$I$2:$I$200,MATCH($AB326,'Test catalog'!$A$2:$A$200,0))="","",INDEX('Test catalog'!$I$2:$I$200,MATCH($AB326,'Test catalog'!$A$2:$A$200,0))),"")</f>
        <v/>
      </c>
      <c r="O326" s="10">
        <f>IFERROR(IF(INDEX('Test catalog'!$J$2:$J$200,MATCH($AB326,'Test catalog'!$A$2:$A$200,0))="","",INDEX('Test catalog'!$J$2:$J$200,MATCH($AB326,'Test catalog'!$A$2:$A$200,0))),"")</f>
        <v/>
      </c>
      <c r="P326" s="14">
        <f>IF(N326="","",IF(OR(M326="",O326=""),N326,(M326+4*N326+O326)/6))</f>
        <v/>
      </c>
      <c r="Q326" s="10">
        <f>IFERROR(IF(INDEX('Test catalog'!$K$2:$K$200,MATCH($AB326,'Test catalog'!$A$2:$A$200,0))="","",INDEX('Test catalog'!$K$2:$K$200,MATCH($AB326,'Test catalog'!$A$2:$A$200,0))),"")</f>
        <v/>
      </c>
      <c r="R326" s="5" t="n"/>
      <c r="S326" s="10">
        <f>IFERROR(IF(INDEX('Test catalog'!$L$2:$L$200,MATCH($AB326,'Test catalog'!$A$2:$A$200,0))="","",INDEX('Test catalog'!$L$2:$L$200,MATCH($AB326,'Test catalog'!$A$2:$A$200,0))),"")</f>
        <v/>
      </c>
      <c r="T326" s="10">
        <f>IFERROR(IF(INDEX('Test catalog'!$M$2:$M$200,MATCH($AB326,'Test catalog'!$A$2:$A$200,0))="","",INDEX('Test catalog'!$M$2:$M$200,MATCH($AB326,'Test catalog'!$A$2:$A$200,0))),"")</f>
        <v/>
      </c>
      <c r="U326" s="10">
        <f>IFERROR(IF(INDEX('Test catalog'!$N$2:$N$200,MATCH($AB326,'Test catalog'!$A$2:$A$200,0))="","",INDEX('Test catalog'!$N$2:$N$200,MATCH($AB326,'Test catalog'!$A$2:$A$200,0))),"")</f>
        <v/>
      </c>
      <c r="V326" s="15" t="n"/>
      <c r="W326" s="5" t="inlineStr">
        <is>
          <t>N</t>
        </is>
      </c>
      <c r="X326" s="5" t="n"/>
      <c r="Y326" s="5" t="n"/>
      <c r="Z326" s="5" t="n"/>
      <c r="AA326" s="10">
        <f>IFERROR(IF(INDEX('Test catalog'!$O$2:$O$200,MATCH($AB326,'Test catalog'!$A$2:$A$200,0))="","",INDEX('Test catalog'!$O$2:$O$200,MATCH($AB326,'Test catalog'!$A$2:$A$200,0))),"")</f>
        <v/>
      </c>
      <c r="AB326" s="10" t="inlineStr">
        <is>
          <t>TLC</t>
        </is>
      </c>
      <c r="AC326" s="10" t="inlineStr">
        <is>
          <t>Cystine · Impurities</t>
        </is>
      </c>
      <c r="AD326" s="10" t="n"/>
      <c r="AE326" s="10" t="n"/>
    </row>
    <row r="327">
      <c r="A327" s="10" t="inlineStr">
        <is>
          <t>Linagliptin</t>
        </is>
      </c>
      <c r="B327" s="10" t="inlineStr">
        <is>
          <t>RM</t>
        </is>
      </c>
      <c r="C327" s="10" t="inlineStr">
        <is>
          <t>Active</t>
        </is>
      </c>
      <c r="D327" s="10" t="inlineStr">
        <is>
          <t>Assay + related substances</t>
        </is>
      </c>
      <c r="E327" s="10">
        <f>IF(A327="","",A327&amp;"|"&amp;D327)</f>
        <v/>
      </c>
      <c r="F327" s="5" t="inlineStr">
        <is>
          <t>Y</t>
        </is>
      </c>
      <c r="G327" s="5" t="inlineStr">
        <is>
          <t>HPLC</t>
        </is>
      </c>
      <c r="H327" s="5" t="inlineStr">
        <is>
          <t>Medium</t>
        </is>
      </c>
      <c r="I327" s="5" t="n">
        <v>1</v>
      </c>
      <c r="J327" s="5" t="n"/>
      <c r="K327" s="5" t="n"/>
      <c r="L327" s="5" t="n"/>
      <c r="M327" s="5" t="n"/>
      <c r="N327" s="5" t="n"/>
      <c r="O327" s="5" t="n"/>
      <c r="P327" s="14">
        <f>IF(N327="","",IF(OR(M327="",O327=""),N327,(M327+4*N327+O327)/6))</f>
        <v/>
      </c>
      <c r="Q327" s="5" t="n"/>
      <c r="R327" s="5" t="n"/>
      <c r="S327" s="5" t="n"/>
      <c r="T327" s="5" t="n"/>
      <c r="U327" s="5" t="n"/>
      <c r="V327" s="15" t="n"/>
      <c r="W327" s="5" t="inlineStr">
        <is>
          <t>N</t>
        </is>
      </c>
      <c r="X327" s="5" t="n"/>
      <c r="Y327" s="5" t="n"/>
      <c r="Z327" s="5" t="n"/>
      <c r="AA327" s="5" t="n"/>
      <c r="AB327" s="10" t="n"/>
      <c r="AC327" s="10" t="n"/>
      <c r="AD327" s="10" t="inlineStr">
        <is>
          <t>No USP-NF monograph - in-house / supplier spec</t>
        </is>
      </c>
      <c r="AE327" s="10" t="n">
        <v>17.08</v>
      </c>
      <c r="AF327" s="10" t="inlineStr">
        <is>
          <t>Assay-Related compounds; Identification B-Related compound- Assay</t>
        </is>
      </c>
    </row>
    <row r="328">
      <c r="A328" s="10" t="inlineStr">
        <is>
          <t>Linagliptin</t>
        </is>
      </c>
      <c r="B328" s="10" t="inlineStr">
        <is>
          <t>RM</t>
        </is>
      </c>
      <c r="C328" s="10" t="inlineStr">
        <is>
          <t>Active</t>
        </is>
      </c>
      <c r="D328" s="10" t="inlineStr">
        <is>
          <t>Other compendial tests (ID, LOD/KF, heavy metals...)</t>
        </is>
      </c>
      <c r="E328" s="10">
        <f>IF(A328="","",A328&amp;"|"&amp;D328)</f>
        <v/>
      </c>
      <c r="F328" s="5" t="inlineStr">
        <is>
          <t>Y</t>
        </is>
      </c>
      <c r="G328" s="5" t="inlineStr">
        <is>
          <t>Other / bench</t>
        </is>
      </c>
      <c r="H328" s="5" t="inlineStr">
        <is>
          <t>Low</t>
        </is>
      </c>
      <c r="I328" s="5" t="n">
        <v>1</v>
      </c>
      <c r="J328" s="5" t="n"/>
      <c r="K328" s="5" t="n"/>
      <c r="L328" s="5" t="n"/>
      <c r="M328" s="5" t="n"/>
      <c r="N328" s="5" t="n"/>
      <c r="O328" s="5" t="n"/>
      <c r="P328" s="14">
        <f>IF(N328="","",IF(OR(M328="",O328=""),N328,(M328+4*N328+O328)/6))</f>
        <v/>
      </c>
      <c r="Q328" s="5" t="n"/>
      <c r="R328" s="5" t="n"/>
      <c r="S328" s="5" t="n"/>
      <c r="T328" s="5" t="n"/>
      <c r="U328" s="5" t="n"/>
      <c r="V328" s="15" t="n"/>
      <c r="W328" s="5" t="inlineStr">
        <is>
          <t>N</t>
        </is>
      </c>
      <c r="X328" s="5" t="n"/>
      <c r="Y328" s="5" t="n"/>
      <c r="Z328" s="5" t="n"/>
      <c r="AA328" s="5" t="n"/>
      <c r="AB328" s="10" t="n"/>
      <c r="AC328" s="10" t="n"/>
      <c r="AD328" s="10" t="inlineStr">
        <is>
          <t>No USP-NF monograph - in-house / supplier spec</t>
        </is>
      </c>
      <c r="AE328" s="10" t="n">
        <v>2.43</v>
      </c>
      <c r="AF328" s="10" t="inlineStr">
        <is>
          <t>Appearance- Solubility- Water content-Residue on ignition; Appearance- Solubility- Water content-Residue on ignition-Particle size</t>
        </is>
      </c>
    </row>
    <row r="329">
      <c r="A329" s="10" t="inlineStr">
        <is>
          <t>Liquorice Dry Extract 8:1</t>
        </is>
      </c>
      <c r="B329" s="10" t="inlineStr">
        <is>
          <t>RM</t>
        </is>
      </c>
      <c r="C329" s="10" t="inlineStr">
        <is>
          <t>Active</t>
        </is>
      </c>
      <c r="D329" s="10" t="inlineStr">
        <is>
          <t>Appearance / description and solubility</t>
        </is>
      </c>
      <c r="E329" s="10">
        <f>IF(A329="","",A329&amp;"|"&amp;D329)</f>
        <v/>
      </c>
      <c r="F329" s="5" t="inlineStr">
        <is>
          <t>Y</t>
        </is>
      </c>
      <c r="G329" s="5" t="inlineStr">
        <is>
          <t>Other / bench</t>
        </is>
      </c>
      <c r="H329" s="5" t="inlineStr">
        <is>
          <t>Low</t>
        </is>
      </c>
      <c r="I329" s="5" t="n">
        <v>1</v>
      </c>
      <c r="J329" s="5" t="n"/>
      <c r="K329" s="10">
        <f>IFERROR(IF(INDEX('Test catalog'!$F$2:$F$200,MATCH($AB329,'Test catalog'!$A$2:$A$200,0))="","",INDEX('Test catalog'!$F$2:$F$200,MATCH($AB329,'Test catalog'!$A$2:$A$200,0))),"")</f>
        <v/>
      </c>
      <c r="L329" s="10">
        <f>IFERROR(IF(INDEX('Test catalog'!$G$2:$G$200,MATCH($AB329,'Test catalog'!$A$2:$A$200,0))="","",INDEX('Test catalog'!$G$2:$G$200,MATCH($AB329,'Test catalog'!$A$2:$A$200,0))),"")</f>
        <v/>
      </c>
      <c r="M329" s="10">
        <f>IFERROR(IF(INDEX('Test catalog'!$H$2:$H$200,MATCH($AB329,'Test catalog'!$A$2:$A$200,0))="","",INDEX('Test catalog'!$H$2:$H$200,MATCH($AB329,'Test catalog'!$A$2:$A$200,0))),"")</f>
        <v/>
      </c>
      <c r="N329" s="10">
        <f>IFERROR(IF(INDEX('Test catalog'!$I$2:$I$200,MATCH($AB329,'Test catalog'!$A$2:$A$200,0))="","",INDEX('Test catalog'!$I$2:$I$200,MATCH($AB329,'Test catalog'!$A$2:$A$200,0))),"")</f>
        <v/>
      </c>
      <c r="O329" s="10">
        <f>IFERROR(IF(INDEX('Test catalog'!$J$2:$J$200,MATCH($AB329,'Test catalog'!$A$2:$A$200,0))="","",INDEX('Test catalog'!$J$2:$J$200,MATCH($AB329,'Test catalog'!$A$2:$A$200,0))),"")</f>
        <v/>
      </c>
      <c r="P329" s="14">
        <f>IF(N329="","",IF(OR(M329="",O329=""),N329,(M329+4*N329+O329)/6))</f>
        <v/>
      </c>
      <c r="Q329" s="10">
        <f>IFERROR(IF(INDEX('Test catalog'!$K$2:$K$200,MATCH($AB329,'Test catalog'!$A$2:$A$200,0))="","",INDEX('Test catalog'!$K$2:$K$200,MATCH($AB329,'Test catalog'!$A$2:$A$200,0))),"")</f>
        <v/>
      </c>
      <c r="R329" s="5" t="n"/>
      <c r="S329" s="10">
        <f>IFERROR(IF(INDEX('Test catalog'!$L$2:$L$200,MATCH($AB329,'Test catalog'!$A$2:$A$200,0))="","",INDEX('Test catalog'!$L$2:$L$200,MATCH($AB329,'Test catalog'!$A$2:$A$200,0))),"")</f>
        <v/>
      </c>
      <c r="T329" s="10">
        <f>IFERROR(IF(INDEX('Test catalog'!$M$2:$M$200,MATCH($AB329,'Test catalog'!$A$2:$A$200,0))="","",INDEX('Test catalog'!$M$2:$M$200,MATCH($AB329,'Test catalog'!$A$2:$A$200,0))),"")</f>
        <v/>
      </c>
      <c r="U329" s="10">
        <f>IFERROR(IF(INDEX('Test catalog'!$N$2:$N$200,MATCH($AB329,'Test catalog'!$A$2:$A$200,0))="","",INDEX('Test catalog'!$N$2:$N$200,MATCH($AB329,'Test catalog'!$A$2:$A$200,0))),"")</f>
        <v/>
      </c>
      <c r="V329" s="15" t="n"/>
      <c r="W329" s="5" t="inlineStr">
        <is>
          <t>N</t>
        </is>
      </c>
      <c r="X329" s="5" t="n"/>
      <c r="Y329" s="5" t="n"/>
      <c r="Z329" s="5" t="n"/>
      <c r="AA329" s="10">
        <f>IFERROR(IF(INDEX('Test catalog'!$O$2:$O$200,MATCH($AB329,'Test catalog'!$A$2:$A$200,0))="","",INDEX('Test catalog'!$O$2:$O$200,MATCH($AB329,'Test catalog'!$A$2:$A$200,0))),"")</f>
        <v/>
      </c>
      <c r="AB329" s="10" t="inlineStr">
        <is>
          <t>APPEAR</t>
        </is>
      </c>
      <c r="AC329" s="10" t="inlineStr">
        <is>
          <t>Lab practice (not a USP test)</t>
        </is>
      </c>
      <c r="AD329" s="10" t="n"/>
      <c r="AE329" s="10" t="n"/>
    </row>
    <row r="330">
      <c r="A330" s="10" t="inlineStr">
        <is>
          <t>Liquorice Dry Extract 8:1</t>
        </is>
      </c>
      <c r="B330" s="10" t="inlineStr">
        <is>
          <t>RM</t>
        </is>
      </c>
      <c r="C330" s="10" t="inlineStr">
        <is>
          <t>Active</t>
        </is>
      </c>
      <c r="D330" s="10" t="inlineStr">
        <is>
          <t>ID A - TLC</t>
        </is>
      </c>
      <c r="E330" s="10">
        <f>IF(A330="","",A330&amp;"|"&amp;D330)</f>
        <v/>
      </c>
      <c r="F330" s="5" t="inlineStr">
        <is>
          <t>Y</t>
        </is>
      </c>
      <c r="G330" s="5" t="inlineStr">
        <is>
          <t>Other / bench</t>
        </is>
      </c>
      <c r="H330" s="5" t="inlineStr">
        <is>
          <t>Low</t>
        </is>
      </c>
      <c r="I330" s="5" t="n">
        <v>1</v>
      </c>
      <c r="J330" s="5" t="n"/>
      <c r="K330" s="10">
        <f>IFERROR(IF(INDEX('Test catalog'!$F$2:$F$200,MATCH($AB330,'Test catalog'!$A$2:$A$200,0))="","",INDEX('Test catalog'!$F$2:$F$200,MATCH($AB330,'Test catalog'!$A$2:$A$200,0))),"")</f>
        <v/>
      </c>
      <c r="L330" s="10">
        <f>IFERROR(IF(INDEX('Test catalog'!$G$2:$G$200,MATCH($AB330,'Test catalog'!$A$2:$A$200,0))="","",INDEX('Test catalog'!$G$2:$G$200,MATCH($AB330,'Test catalog'!$A$2:$A$200,0))),"")</f>
        <v/>
      </c>
      <c r="M330" s="10">
        <f>IFERROR(IF(INDEX('Test catalog'!$H$2:$H$200,MATCH($AB330,'Test catalog'!$A$2:$A$200,0))="","",INDEX('Test catalog'!$H$2:$H$200,MATCH($AB330,'Test catalog'!$A$2:$A$200,0))),"")</f>
        <v/>
      </c>
      <c r="N330" s="10">
        <f>IFERROR(IF(INDEX('Test catalog'!$I$2:$I$200,MATCH($AB330,'Test catalog'!$A$2:$A$200,0))="","",INDEX('Test catalog'!$I$2:$I$200,MATCH($AB330,'Test catalog'!$A$2:$A$200,0))),"")</f>
        <v/>
      </c>
      <c r="O330" s="10">
        <f>IFERROR(IF(INDEX('Test catalog'!$J$2:$J$200,MATCH($AB330,'Test catalog'!$A$2:$A$200,0))="","",INDEX('Test catalog'!$J$2:$J$200,MATCH($AB330,'Test catalog'!$A$2:$A$200,0))),"")</f>
        <v/>
      </c>
      <c r="P330" s="14">
        <f>IF(N330="","",IF(OR(M330="",O330=""),N330,(M330+4*N330+O330)/6))</f>
        <v/>
      </c>
      <c r="Q330" s="10">
        <f>IFERROR(IF(INDEX('Test catalog'!$K$2:$K$200,MATCH($AB330,'Test catalog'!$A$2:$A$200,0))="","",INDEX('Test catalog'!$K$2:$K$200,MATCH($AB330,'Test catalog'!$A$2:$A$200,0))),"")</f>
        <v/>
      </c>
      <c r="R330" s="5" t="n"/>
      <c r="S330" s="10">
        <f>IFERROR(IF(INDEX('Test catalog'!$L$2:$L$200,MATCH($AB330,'Test catalog'!$A$2:$A$200,0))="","",INDEX('Test catalog'!$L$2:$L$200,MATCH($AB330,'Test catalog'!$A$2:$A$200,0))),"")</f>
        <v/>
      </c>
      <c r="T330" s="10">
        <f>IFERROR(IF(INDEX('Test catalog'!$M$2:$M$200,MATCH($AB330,'Test catalog'!$A$2:$A$200,0))="","",INDEX('Test catalog'!$M$2:$M$200,MATCH($AB330,'Test catalog'!$A$2:$A$200,0))),"")</f>
        <v/>
      </c>
      <c r="U330" s="10">
        <f>IFERROR(IF(INDEX('Test catalog'!$N$2:$N$200,MATCH($AB330,'Test catalog'!$A$2:$A$200,0))="","",INDEX('Test catalog'!$N$2:$N$200,MATCH($AB330,'Test catalog'!$A$2:$A$200,0))),"")</f>
        <v/>
      </c>
      <c r="V330" s="15" t="n"/>
      <c r="W330" s="5" t="inlineStr">
        <is>
          <t>N</t>
        </is>
      </c>
      <c r="X330" s="5" t="n"/>
      <c r="Y330" s="5" t="n"/>
      <c r="Z330" s="5" t="n"/>
      <c r="AA330" s="10">
        <f>IFERROR(IF(INDEX('Test catalog'!$O$2:$O$200,MATCH($AB330,'Test catalog'!$A$2:$A$200,0))="","",INDEX('Test catalog'!$O$2:$O$200,MATCH($AB330,'Test catalog'!$A$2:$A$200,0))),"")</f>
        <v/>
      </c>
      <c r="AB330" s="10" t="inlineStr">
        <is>
          <t>TLC</t>
        </is>
      </c>
      <c r="AC330" s="10" t="inlineStr">
        <is>
          <t>Powdered Licorice Extract · Identification &lt;621&gt;</t>
        </is>
      </c>
      <c r="AD330" s="10" t="n"/>
      <c r="AE330" s="10" t="n"/>
    </row>
    <row r="331">
      <c r="A331" s="10" t="inlineStr">
        <is>
          <t>Liquorice Dry Extract 8:1</t>
        </is>
      </c>
      <c r="B331" s="10" t="inlineStr">
        <is>
          <t>RM</t>
        </is>
      </c>
      <c r="C331" s="10" t="inlineStr">
        <is>
          <t>Active</t>
        </is>
      </c>
      <c r="D331" s="10" t="inlineStr">
        <is>
          <t>Content of Glycyrrhizic Acid (HPLC)</t>
        </is>
      </c>
      <c r="E331" s="10">
        <f>IF(A331="","",A331&amp;"|"&amp;D331)</f>
        <v/>
      </c>
      <c r="F331" s="5" t="inlineStr">
        <is>
          <t>Y</t>
        </is>
      </c>
      <c r="G331" s="5" t="inlineStr">
        <is>
          <t>HPLC</t>
        </is>
      </c>
      <c r="H331" s="5" t="inlineStr">
        <is>
          <t>Medium</t>
        </is>
      </c>
      <c r="I331" s="5" t="n">
        <v>1</v>
      </c>
      <c r="J331" s="5" t="n"/>
      <c r="K331" s="5" t="n"/>
      <c r="L331" s="5" t="n"/>
      <c r="M331" s="5" t="n"/>
      <c r="N331" s="5" t="n"/>
      <c r="O331" s="5" t="n"/>
      <c r="P331" s="14">
        <f>IF(N331="","",IF(OR(M331="",O331=""),N331,(M331+4*N331+O331)/6))</f>
        <v/>
      </c>
      <c r="Q331" s="5" t="n"/>
      <c r="R331" s="5" t="n"/>
      <c r="S331" s="5" t="n"/>
      <c r="T331" s="5" t="n"/>
      <c r="U331" s="5" t="n"/>
      <c r="V331" s="15" t="n"/>
      <c r="W331" s="5" t="inlineStr">
        <is>
          <t>N</t>
        </is>
      </c>
      <c r="X331" s="5" t="n"/>
      <c r="Y331" s="5" t="n"/>
      <c r="Z331" s="5" t="n"/>
      <c r="AA331" s="5" t="n"/>
      <c r="AB331" s="10" t="n"/>
      <c r="AC331" s="10" t="inlineStr">
        <is>
          <t>Powdered Licorice Extract · Composition</t>
        </is>
      </c>
      <c r="AD331" s="10" t="n"/>
      <c r="AE331" s="10" t="n"/>
    </row>
    <row r="332">
      <c r="A332" s="10" t="inlineStr">
        <is>
          <t>Liquorice Dry Extract 8:1</t>
        </is>
      </c>
      <c r="B332" s="10" t="inlineStr">
        <is>
          <t>RM</t>
        </is>
      </c>
      <c r="C332" s="10" t="inlineStr">
        <is>
          <t>Active</t>
        </is>
      </c>
      <c r="D332" s="10" t="inlineStr">
        <is>
          <t>Botanical Extracts</t>
        </is>
      </c>
      <c r="E332" s="10">
        <f>IF(A332="","",A332&amp;"|"&amp;D332)</f>
        <v/>
      </c>
      <c r="F332" s="5" t="inlineStr">
        <is>
          <t>Y</t>
        </is>
      </c>
      <c r="G332" s="5" t="inlineStr">
        <is>
          <t>GC</t>
        </is>
      </c>
      <c r="H332" s="5" t="inlineStr">
        <is>
          <t>Medium</t>
        </is>
      </c>
      <c r="I332" s="5" t="n">
        <v>1</v>
      </c>
      <c r="J332" s="5" t="n"/>
      <c r="K332" s="10">
        <f>IFERROR(IF(INDEX('Test catalog'!$F$2:$F$200,MATCH($AB332,'Test catalog'!$A$2:$A$200,0))="","",INDEX('Test catalog'!$F$2:$F$200,MATCH($AB332,'Test catalog'!$A$2:$A$200,0))),"")</f>
        <v/>
      </c>
      <c r="L332" s="10">
        <f>IFERROR(IF(INDEX('Test catalog'!$G$2:$G$200,MATCH($AB332,'Test catalog'!$A$2:$A$200,0))="","",INDEX('Test catalog'!$G$2:$G$200,MATCH($AB332,'Test catalog'!$A$2:$A$200,0))),"")</f>
        <v/>
      </c>
      <c r="M332" s="10">
        <f>IFERROR(IF(INDEX('Test catalog'!$H$2:$H$200,MATCH($AB332,'Test catalog'!$A$2:$A$200,0))="","",INDEX('Test catalog'!$H$2:$H$200,MATCH($AB332,'Test catalog'!$A$2:$A$200,0))),"")</f>
        <v/>
      </c>
      <c r="N332" s="10">
        <f>IFERROR(IF(INDEX('Test catalog'!$I$2:$I$200,MATCH($AB332,'Test catalog'!$A$2:$A$200,0))="","",INDEX('Test catalog'!$I$2:$I$200,MATCH($AB332,'Test catalog'!$A$2:$A$200,0))),"")</f>
        <v/>
      </c>
      <c r="O332" s="10">
        <f>IFERROR(IF(INDEX('Test catalog'!$J$2:$J$200,MATCH($AB332,'Test catalog'!$A$2:$A$200,0))="","",INDEX('Test catalog'!$J$2:$J$200,MATCH($AB332,'Test catalog'!$A$2:$A$200,0))),"")</f>
        <v/>
      </c>
      <c r="P332" s="14">
        <f>IF(N332="","",IF(OR(M332="",O332=""),N332,(M332+4*N332+O332)/6))</f>
        <v/>
      </c>
      <c r="Q332" s="10">
        <f>IFERROR(IF(INDEX('Test catalog'!$K$2:$K$200,MATCH($AB332,'Test catalog'!$A$2:$A$200,0))="","",INDEX('Test catalog'!$K$2:$K$200,MATCH($AB332,'Test catalog'!$A$2:$A$200,0))),"")</f>
        <v/>
      </c>
      <c r="R332" s="5" t="n"/>
      <c r="S332" s="10">
        <f>IFERROR(IF(INDEX('Test catalog'!$L$2:$L$200,MATCH($AB332,'Test catalog'!$A$2:$A$200,0))="","",INDEX('Test catalog'!$L$2:$L$200,MATCH($AB332,'Test catalog'!$A$2:$A$200,0))),"")</f>
        <v/>
      </c>
      <c r="T332" s="10">
        <f>IFERROR(IF(INDEX('Test catalog'!$M$2:$M$200,MATCH($AB332,'Test catalog'!$A$2:$A$200,0))="","",INDEX('Test catalog'!$M$2:$M$200,MATCH($AB332,'Test catalog'!$A$2:$A$200,0))),"")</f>
        <v/>
      </c>
      <c r="U332" s="10">
        <f>IFERROR(IF(INDEX('Test catalog'!$N$2:$N$200,MATCH($AB332,'Test catalog'!$A$2:$A$200,0))="","",INDEX('Test catalog'!$N$2:$N$200,MATCH($AB332,'Test catalog'!$A$2:$A$200,0))),"")</f>
        <v/>
      </c>
      <c r="V332" s="15" t="n"/>
      <c r="W332" s="5" t="inlineStr">
        <is>
          <t>N</t>
        </is>
      </c>
      <c r="X332" s="5" t="n"/>
      <c r="Y332" s="5" t="n"/>
      <c r="Z332" s="5" t="n"/>
      <c r="AA332" s="10">
        <f>IFERROR(IF(INDEX('Test catalog'!$O$2:$O$200,MATCH($AB332,'Test catalog'!$A$2:$A$200,0))="","",INDEX('Test catalog'!$O$2:$O$200,MATCH($AB332,'Test catalog'!$A$2:$A$200,0))),"")</f>
        <v/>
      </c>
      <c r="AB332" s="10" t="inlineStr">
        <is>
          <t>PEST</t>
        </is>
      </c>
      <c r="AC332" s="10" t="inlineStr">
        <is>
          <t>Powdered Licorice Extract · Contaminants &lt;565&gt;</t>
        </is>
      </c>
      <c r="AD332" s="10" t="n"/>
      <c r="AE332" s="10" t="n"/>
    </row>
    <row r="333">
      <c r="A333" s="10" t="inlineStr">
        <is>
          <t>Liquorice Dry Extract 8:1</t>
        </is>
      </c>
      <c r="B333" s="10" t="inlineStr">
        <is>
          <t>RM</t>
        </is>
      </c>
      <c r="C333" s="10" t="inlineStr">
        <is>
          <t>Active</t>
        </is>
      </c>
      <c r="D333" s="10" t="inlineStr">
        <is>
          <t>Loss on Drying</t>
        </is>
      </c>
      <c r="E333" s="10">
        <f>IF(A333="","",A333&amp;"|"&amp;D333)</f>
        <v/>
      </c>
      <c r="F333" s="5" t="inlineStr">
        <is>
          <t>Y</t>
        </is>
      </c>
      <c r="G333" s="5" t="inlineStr">
        <is>
          <t>Other / bench</t>
        </is>
      </c>
      <c r="H333" s="5" t="inlineStr">
        <is>
          <t>Low</t>
        </is>
      </c>
      <c r="I333" s="5" t="n">
        <v>1</v>
      </c>
      <c r="J333" s="5" t="n"/>
      <c r="K333" s="10">
        <f>IFERROR(IF(INDEX('Test catalog'!$F$2:$F$200,MATCH($AB333,'Test catalog'!$A$2:$A$200,0))="","",INDEX('Test catalog'!$F$2:$F$200,MATCH($AB333,'Test catalog'!$A$2:$A$200,0))),"")</f>
        <v/>
      </c>
      <c r="L333" s="10">
        <f>IFERROR(IF(INDEX('Test catalog'!$G$2:$G$200,MATCH($AB333,'Test catalog'!$A$2:$A$200,0))="","",INDEX('Test catalog'!$G$2:$G$200,MATCH($AB333,'Test catalog'!$A$2:$A$200,0))),"")</f>
        <v/>
      </c>
      <c r="M333" s="10">
        <f>IFERROR(IF(INDEX('Test catalog'!$H$2:$H$200,MATCH($AB333,'Test catalog'!$A$2:$A$200,0))="","",INDEX('Test catalog'!$H$2:$H$200,MATCH($AB333,'Test catalog'!$A$2:$A$200,0))),"")</f>
        <v/>
      </c>
      <c r="N333" s="10">
        <f>IFERROR(IF(INDEX('Test catalog'!$I$2:$I$200,MATCH($AB333,'Test catalog'!$A$2:$A$200,0))="","",INDEX('Test catalog'!$I$2:$I$200,MATCH($AB333,'Test catalog'!$A$2:$A$200,0))),"")</f>
        <v/>
      </c>
      <c r="O333" s="10">
        <f>IFERROR(IF(INDEX('Test catalog'!$J$2:$J$200,MATCH($AB333,'Test catalog'!$A$2:$A$200,0))="","",INDEX('Test catalog'!$J$2:$J$200,MATCH($AB333,'Test catalog'!$A$2:$A$200,0))),"")</f>
        <v/>
      </c>
      <c r="P333" s="14">
        <f>IF(N333="","",IF(OR(M333="",O333=""),N333,(M333+4*N333+O333)/6))</f>
        <v/>
      </c>
      <c r="Q333" s="10">
        <f>IFERROR(IF(INDEX('Test catalog'!$K$2:$K$200,MATCH($AB333,'Test catalog'!$A$2:$A$200,0))="","",INDEX('Test catalog'!$K$2:$K$200,MATCH($AB333,'Test catalog'!$A$2:$A$200,0))),"")</f>
        <v/>
      </c>
      <c r="R333" s="5" t="n"/>
      <c r="S333" s="10">
        <f>IFERROR(IF(INDEX('Test catalog'!$L$2:$L$200,MATCH($AB333,'Test catalog'!$A$2:$A$200,0))="","",INDEX('Test catalog'!$L$2:$L$200,MATCH($AB333,'Test catalog'!$A$2:$A$200,0))),"")</f>
        <v/>
      </c>
      <c r="T333" s="10">
        <f>IFERROR(IF(INDEX('Test catalog'!$M$2:$M$200,MATCH($AB333,'Test catalog'!$A$2:$A$200,0))="","",INDEX('Test catalog'!$M$2:$M$200,MATCH($AB333,'Test catalog'!$A$2:$A$200,0))),"")</f>
        <v/>
      </c>
      <c r="U333" s="10">
        <f>IFERROR(IF(INDEX('Test catalog'!$N$2:$N$200,MATCH($AB333,'Test catalog'!$A$2:$A$200,0))="","",INDEX('Test catalog'!$N$2:$N$200,MATCH($AB333,'Test catalog'!$A$2:$A$200,0))),"")</f>
        <v/>
      </c>
      <c r="V333" s="15" t="n"/>
      <c r="W333" s="5" t="inlineStr">
        <is>
          <t>N</t>
        </is>
      </c>
      <c r="X333" s="5" t="n"/>
      <c r="Y333" s="5" t="n"/>
      <c r="Z333" s="5" t="n"/>
      <c r="AA333" s="10">
        <f>IFERROR(IF(INDEX('Test catalog'!$O$2:$O$200,MATCH($AB333,'Test catalog'!$A$2:$A$200,0))="","",INDEX('Test catalog'!$O$2:$O$200,MATCH($AB333,'Test catalog'!$A$2:$A$200,0))),"")</f>
        <v/>
      </c>
      <c r="AB333" s="10" t="inlineStr">
        <is>
          <t>LOD</t>
        </is>
      </c>
      <c r="AC333" s="10" t="inlineStr">
        <is>
          <t>Powdered Licorice Extract · Specific Tests &lt;731&gt;</t>
        </is>
      </c>
      <c r="AD333" s="10" t="n"/>
      <c r="AE333" s="10" t="n"/>
    </row>
    <row r="334">
      <c r="A334" s="10" t="inlineStr">
        <is>
          <t>Liquorice Dry Extract 8:1</t>
        </is>
      </c>
      <c r="B334" s="10" t="inlineStr">
        <is>
          <t>RM</t>
        </is>
      </c>
      <c r="C334" s="10" t="inlineStr">
        <is>
          <t>Active</t>
        </is>
      </c>
      <c r="D334" s="10" t="inlineStr">
        <is>
          <t>Articles of Botanical Origin, Total Ash</t>
        </is>
      </c>
      <c r="E334" s="10">
        <f>IF(A334="","",A334&amp;"|"&amp;D334)</f>
        <v/>
      </c>
      <c r="F334" s="5" t="inlineStr">
        <is>
          <t>Y</t>
        </is>
      </c>
      <c r="G334" s="5" t="inlineStr">
        <is>
          <t>Other / bench</t>
        </is>
      </c>
      <c r="H334" s="5" t="inlineStr">
        <is>
          <t>Low</t>
        </is>
      </c>
      <c r="I334" s="5" t="n">
        <v>1</v>
      </c>
      <c r="J334" s="5" t="n"/>
      <c r="K334" s="10">
        <f>IFERROR(IF(INDEX('Test catalog'!$F$2:$F$200,MATCH($AB334,'Test catalog'!$A$2:$A$200,0))="","",INDEX('Test catalog'!$F$2:$F$200,MATCH($AB334,'Test catalog'!$A$2:$A$200,0))),"")</f>
        <v/>
      </c>
      <c r="L334" s="10">
        <f>IFERROR(IF(INDEX('Test catalog'!$G$2:$G$200,MATCH($AB334,'Test catalog'!$A$2:$A$200,0))="","",INDEX('Test catalog'!$G$2:$G$200,MATCH($AB334,'Test catalog'!$A$2:$A$200,0))),"")</f>
        <v/>
      </c>
      <c r="M334" s="10">
        <f>IFERROR(IF(INDEX('Test catalog'!$H$2:$H$200,MATCH($AB334,'Test catalog'!$A$2:$A$200,0))="","",INDEX('Test catalog'!$H$2:$H$200,MATCH($AB334,'Test catalog'!$A$2:$A$200,0))),"")</f>
        <v/>
      </c>
      <c r="N334" s="10">
        <f>IFERROR(IF(INDEX('Test catalog'!$I$2:$I$200,MATCH($AB334,'Test catalog'!$A$2:$A$200,0))="","",INDEX('Test catalog'!$I$2:$I$200,MATCH($AB334,'Test catalog'!$A$2:$A$200,0))),"")</f>
        <v/>
      </c>
      <c r="O334" s="10">
        <f>IFERROR(IF(INDEX('Test catalog'!$J$2:$J$200,MATCH($AB334,'Test catalog'!$A$2:$A$200,0))="","",INDEX('Test catalog'!$J$2:$J$200,MATCH($AB334,'Test catalog'!$A$2:$A$200,0))),"")</f>
        <v/>
      </c>
      <c r="P334" s="14">
        <f>IF(N334="","",IF(OR(M334="",O334=""),N334,(M334+4*N334+O334)/6))</f>
        <v/>
      </c>
      <c r="Q334" s="10">
        <f>IFERROR(IF(INDEX('Test catalog'!$K$2:$K$200,MATCH($AB334,'Test catalog'!$A$2:$A$200,0))="","",INDEX('Test catalog'!$K$2:$K$200,MATCH($AB334,'Test catalog'!$A$2:$A$200,0))),"")</f>
        <v/>
      </c>
      <c r="R334" s="5" t="n"/>
      <c r="S334" s="10">
        <f>IFERROR(IF(INDEX('Test catalog'!$L$2:$L$200,MATCH($AB334,'Test catalog'!$A$2:$A$200,0))="","",INDEX('Test catalog'!$L$2:$L$200,MATCH($AB334,'Test catalog'!$A$2:$A$200,0))),"")</f>
        <v/>
      </c>
      <c r="T334" s="10">
        <f>IFERROR(IF(INDEX('Test catalog'!$M$2:$M$200,MATCH($AB334,'Test catalog'!$A$2:$A$200,0))="","",INDEX('Test catalog'!$M$2:$M$200,MATCH($AB334,'Test catalog'!$A$2:$A$200,0))),"")</f>
        <v/>
      </c>
      <c r="U334" s="10">
        <f>IFERROR(IF(INDEX('Test catalog'!$N$2:$N$200,MATCH($AB334,'Test catalog'!$A$2:$A$200,0))="","",INDEX('Test catalog'!$N$2:$N$200,MATCH($AB334,'Test catalog'!$A$2:$A$200,0))),"")</f>
        <v/>
      </c>
      <c r="V334" s="15" t="n"/>
      <c r="W334" s="5" t="inlineStr">
        <is>
          <t>N</t>
        </is>
      </c>
      <c r="X334" s="5" t="n"/>
      <c r="Y334" s="5" t="n"/>
      <c r="Z334" s="5" t="n"/>
      <c r="AA334" s="10">
        <f>IFERROR(IF(INDEX('Test catalog'!$O$2:$O$200,MATCH($AB334,'Test catalog'!$A$2:$A$200,0))="","",INDEX('Test catalog'!$O$2:$O$200,MATCH($AB334,'Test catalog'!$A$2:$A$200,0))),"")</f>
        <v/>
      </c>
      <c r="AB334" s="10" t="inlineStr">
        <is>
          <t>ASH</t>
        </is>
      </c>
      <c r="AC334" s="10" t="inlineStr">
        <is>
          <t>Powdered Licorice Extract · Specific Tests &lt;561&gt;</t>
        </is>
      </c>
      <c r="AD334" s="10" t="n"/>
      <c r="AE334" s="10" t="n"/>
    </row>
    <row r="335">
      <c r="A335" s="10" t="inlineStr">
        <is>
          <t>Loperamide HCl</t>
        </is>
      </c>
      <c r="B335" s="10" t="inlineStr">
        <is>
          <t>RM</t>
        </is>
      </c>
      <c r="C335" s="10" t="inlineStr">
        <is>
          <t>Active</t>
        </is>
      </c>
      <c r="D335" s="10" t="inlineStr">
        <is>
          <t>Appearance / description and solubility</t>
        </is>
      </c>
      <c r="E335" s="10">
        <f>IF(A335="","",A335&amp;"|"&amp;D335)</f>
        <v/>
      </c>
      <c r="F335" s="5" t="inlineStr">
        <is>
          <t>Y</t>
        </is>
      </c>
      <c r="G335" s="5" t="inlineStr">
        <is>
          <t>Other / bench</t>
        </is>
      </c>
      <c r="H335" s="5" t="inlineStr">
        <is>
          <t>Low</t>
        </is>
      </c>
      <c r="I335" s="5" t="n">
        <v>1</v>
      </c>
      <c r="J335" s="5" t="n"/>
      <c r="K335" s="10">
        <f>IFERROR(IF(INDEX('Test catalog'!$F$2:$F$200,MATCH($AB335,'Test catalog'!$A$2:$A$200,0))="","",INDEX('Test catalog'!$F$2:$F$200,MATCH($AB335,'Test catalog'!$A$2:$A$200,0))),"")</f>
        <v/>
      </c>
      <c r="L335" s="10">
        <f>IFERROR(IF(INDEX('Test catalog'!$G$2:$G$200,MATCH($AB335,'Test catalog'!$A$2:$A$200,0))="","",INDEX('Test catalog'!$G$2:$G$200,MATCH($AB335,'Test catalog'!$A$2:$A$200,0))),"")</f>
        <v/>
      </c>
      <c r="M335" s="10">
        <f>IFERROR(IF(INDEX('Test catalog'!$H$2:$H$200,MATCH($AB335,'Test catalog'!$A$2:$A$200,0))="","",INDEX('Test catalog'!$H$2:$H$200,MATCH($AB335,'Test catalog'!$A$2:$A$200,0))),"")</f>
        <v/>
      </c>
      <c r="N335" s="10">
        <f>IFERROR(IF(INDEX('Test catalog'!$I$2:$I$200,MATCH($AB335,'Test catalog'!$A$2:$A$200,0))="","",INDEX('Test catalog'!$I$2:$I$200,MATCH($AB335,'Test catalog'!$A$2:$A$200,0))),"")</f>
        <v/>
      </c>
      <c r="O335" s="10">
        <f>IFERROR(IF(INDEX('Test catalog'!$J$2:$J$200,MATCH($AB335,'Test catalog'!$A$2:$A$200,0))="","",INDEX('Test catalog'!$J$2:$J$200,MATCH($AB335,'Test catalog'!$A$2:$A$200,0))),"")</f>
        <v/>
      </c>
      <c r="P335" s="14">
        <f>IF(N335="","",IF(OR(M335="",O335=""),N335,(M335+4*N335+O335)/6))</f>
        <v/>
      </c>
      <c r="Q335" s="10">
        <f>IFERROR(IF(INDEX('Test catalog'!$K$2:$K$200,MATCH($AB335,'Test catalog'!$A$2:$A$200,0))="","",INDEX('Test catalog'!$K$2:$K$200,MATCH($AB335,'Test catalog'!$A$2:$A$200,0))),"")</f>
        <v/>
      </c>
      <c r="R335" s="5" t="n"/>
      <c r="S335" s="10">
        <f>IFERROR(IF(INDEX('Test catalog'!$L$2:$L$200,MATCH($AB335,'Test catalog'!$A$2:$A$200,0))="","",INDEX('Test catalog'!$L$2:$L$200,MATCH($AB335,'Test catalog'!$A$2:$A$200,0))),"")</f>
        <v/>
      </c>
      <c r="T335" s="10">
        <f>IFERROR(IF(INDEX('Test catalog'!$M$2:$M$200,MATCH($AB335,'Test catalog'!$A$2:$A$200,0))="","",INDEX('Test catalog'!$M$2:$M$200,MATCH($AB335,'Test catalog'!$A$2:$A$200,0))),"")</f>
        <v/>
      </c>
      <c r="U335" s="10">
        <f>IFERROR(IF(INDEX('Test catalog'!$N$2:$N$200,MATCH($AB335,'Test catalog'!$A$2:$A$200,0))="","",INDEX('Test catalog'!$N$2:$N$200,MATCH($AB335,'Test catalog'!$A$2:$A$200,0))),"")</f>
        <v/>
      </c>
      <c r="V335" s="15" t="n"/>
      <c r="W335" s="5" t="inlineStr">
        <is>
          <t>N</t>
        </is>
      </c>
      <c r="X335" s="5" t="n"/>
      <c r="Y335" s="5" t="n"/>
      <c r="Z335" s="5" t="n"/>
      <c r="AA335" s="10">
        <f>IFERROR(IF(INDEX('Test catalog'!$O$2:$O$200,MATCH($AB335,'Test catalog'!$A$2:$A$200,0))="","",INDEX('Test catalog'!$O$2:$O$200,MATCH($AB335,'Test catalog'!$A$2:$A$200,0))),"")</f>
        <v/>
      </c>
      <c r="AB335" s="10" t="inlineStr">
        <is>
          <t>APPEAR</t>
        </is>
      </c>
      <c r="AC335" s="10" t="inlineStr">
        <is>
          <t>Lab practice (not a USP test)</t>
        </is>
      </c>
      <c r="AD335" s="10" t="n"/>
      <c r="AE335" s="10" t="n"/>
    </row>
    <row r="336">
      <c r="A336" s="10" t="inlineStr">
        <is>
          <t>Loperamide HCl</t>
        </is>
      </c>
      <c r="B336" s="10" t="inlineStr">
        <is>
          <t>RM</t>
        </is>
      </c>
      <c r="C336" s="10" t="inlineStr">
        <is>
          <t>Active</t>
        </is>
      </c>
      <c r="D336" s="10" t="inlineStr">
        <is>
          <t>ID A - IR spectrum</t>
        </is>
      </c>
      <c r="E336" s="10">
        <f>IF(A336="","",A336&amp;"|"&amp;D336)</f>
        <v/>
      </c>
      <c r="F336" s="5" t="inlineStr">
        <is>
          <t>Y</t>
        </is>
      </c>
      <c r="G336" s="5" t="inlineStr">
        <is>
          <t>Other / bench</t>
        </is>
      </c>
      <c r="H336" s="5" t="inlineStr">
        <is>
          <t>Low</t>
        </is>
      </c>
      <c r="I336" s="5" t="n">
        <v>1</v>
      </c>
      <c r="J336" s="5" t="n"/>
      <c r="K336" s="10">
        <f>IFERROR(IF(INDEX('Test catalog'!$F$2:$F$200,MATCH($AB336,'Test catalog'!$A$2:$A$200,0))="","",INDEX('Test catalog'!$F$2:$F$200,MATCH($AB336,'Test catalog'!$A$2:$A$200,0))),"")</f>
        <v/>
      </c>
      <c r="L336" s="10">
        <f>IFERROR(IF(INDEX('Test catalog'!$G$2:$G$200,MATCH($AB336,'Test catalog'!$A$2:$A$200,0))="","",INDEX('Test catalog'!$G$2:$G$200,MATCH($AB336,'Test catalog'!$A$2:$A$200,0))),"")</f>
        <v/>
      </c>
      <c r="M336" s="10">
        <f>IFERROR(IF(INDEX('Test catalog'!$H$2:$H$200,MATCH($AB336,'Test catalog'!$A$2:$A$200,0))="","",INDEX('Test catalog'!$H$2:$H$200,MATCH($AB336,'Test catalog'!$A$2:$A$200,0))),"")</f>
        <v/>
      </c>
      <c r="N336" s="10">
        <f>IFERROR(IF(INDEX('Test catalog'!$I$2:$I$200,MATCH($AB336,'Test catalog'!$A$2:$A$200,0))="","",INDEX('Test catalog'!$I$2:$I$200,MATCH($AB336,'Test catalog'!$A$2:$A$200,0))),"")</f>
        <v/>
      </c>
      <c r="O336" s="10">
        <f>IFERROR(IF(INDEX('Test catalog'!$J$2:$J$200,MATCH($AB336,'Test catalog'!$A$2:$A$200,0))="","",INDEX('Test catalog'!$J$2:$J$200,MATCH($AB336,'Test catalog'!$A$2:$A$200,0))),"")</f>
        <v/>
      </c>
      <c r="P336" s="14">
        <f>IF(N336="","",IF(OR(M336="",O336=""),N336,(M336+4*N336+O336)/6))</f>
        <v/>
      </c>
      <c r="Q336" s="10">
        <f>IFERROR(IF(INDEX('Test catalog'!$K$2:$K$200,MATCH($AB336,'Test catalog'!$A$2:$A$200,0))="","",INDEX('Test catalog'!$K$2:$K$200,MATCH($AB336,'Test catalog'!$A$2:$A$200,0))),"")</f>
        <v/>
      </c>
      <c r="R336" s="5" t="n"/>
      <c r="S336" s="10">
        <f>IFERROR(IF(INDEX('Test catalog'!$L$2:$L$200,MATCH($AB336,'Test catalog'!$A$2:$A$200,0))="","",INDEX('Test catalog'!$L$2:$L$200,MATCH($AB336,'Test catalog'!$A$2:$A$200,0))),"")</f>
        <v/>
      </c>
      <c r="T336" s="10">
        <f>IFERROR(IF(INDEX('Test catalog'!$M$2:$M$200,MATCH($AB336,'Test catalog'!$A$2:$A$200,0))="","",INDEX('Test catalog'!$M$2:$M$200,MATCH($AB336,'Test catalog'!$A$2:$A$200,0))),"")</f>
        <v/>
      </c>
      <c r="U336" s="10">
        <f>IFERROR(IF(INDEX('Test catalog'!$N$2:$N$200,MATCH($AB336,'Test catalog'!$A$2:$A$200,0))="","",INDEX('Test catalog'!$N$2:$N$200,MATCH($AB336,'Test catalog'!$A$2:$A$200,0))),"")</f>
        <v/>
      </c>
      <c r="V336" s="15" t="n"/>
      <c r="W336" s="5" t="inlineStr">
        <is>
          <t>N</t>
        </is>
      </c>
      <c r="X336" s="5" t="n"/>
      <c r="Y336" s="5" t="n"/>
      <c r="Z336" s="5" t="n"/>
      <c r="AA336" s="10">
        <f>IFERROR(IF(INDEX('Test catalog'!$O$2:$O$200,MATCH($AB336,'Test catalog'!$A$2:$A$200,0))="","",INDEX('Test catalog'!$O$2:$O$200,MATCH($AB336,'Test catalog'!$A$2:$A$200,0))),"")</f>
        <v/>
      </c>
      <c r="AB336" s="10" t="inlineStr">
        <is>
          <t>ID_IR</t>
        </is>
      </c>
      <c r="AC336" s="10" t="inlineStr">
        <is>
          <t>Loperamide Hydrochloride · Identification &lt;197&gt;</t>
        </is>
      </c>
      <c r="AD336" s="10" t="n"/>
      <c r="AE336" s="10" t="n"/>
    </row>
    <row r="337">
      <c r="A337" s="10" t="inlineStr">
        <is>
          <t>Loperamide HCl</t>
        </is>
      </c>
      <c r="B337" s="10" t="inlineStr">
        <is>
          <t>RM</t>
        </is>
      </c>
      <c r="C337" s="10" t="inlineStr">
        <is>
          <t>Active</t>
        </is>
      </c>
      <c r="D337" s="10" t="inlineStr">
        <is>
          <t>ID B - chemical reaction</t>
        </is>
      </c>
      <c r="E337" s="10">
        <f>IF(A337="","",A337&amp;"|"&amp;D337)</f>
        <v/>
      </c>
      <c r="F337" s="5" t="inlineStr">
        <is>
          <t>Y</t>
        </is>
      </c>
      <c r="G337" s="5" t="inlineStr">
        <is>
          <t>Other / bench</t>
        </is>
      </c>
      <c r="H337" s="5" t="inlineStr">
        <is>
          <t>Low</t>
        </is>
      </c>
      <c r="I337" s="5" t="n">
        <v>1</v>
      </c>
      <c r="J337" s="5" t="n"/>
      <c r="K337" s="10">
        <f>IFERROR(IF(INDEX('Test catalog'!$F$2:$F$200,MATCH($AB337,'Test catalog'!$A$2:$A$200,0))="","",INDEX('Test catalog'!$F$2:$F$200,MATCH($AB337,'Test catalog'!$A$2:$A$200,0))),"")</f>
        <v/>
      </c>
      <c r="L337" s="10">
        <f>IFERROR(IF(INDEX('Test catalog'!$G$2:$G$200,MATCH($AB337,'Test catalog'!$A$2:$A$200,0))="","",INDEX('Test catalog'!$G$2:$G$200,MATCH($AB337,'Test catalog'!$A$2:$A$200,0))),"")</f>
        <v/>
      </c>
      <c r="M337" s="10">
        <f>IFERROR(IF(INDEX('Test catalog'!$H$2:$H$200,MATCH($AB337,'Test catalog'!$A$2:$A$200,0))="","",INDEX('Test catalog'!$H$2:$H$200,MATCH($AB337,'Test catalog'!$A$2:$A$200,0))),"")</f>
        <v/>
      </c>
      <c r="N337" s="10">
        <f>IFERROR(IF(INDEX('Test catalog'!$I$2:$I$200,MATCH($AB337,'Test catalog'!$A$2:$A$200,0))="","",INDEX('Test catalog'!$I$2:$I$200,MATCH($AB337,'Test catalog'!$A$2:$A$200,0))),"")</f>
        <v/>
      </c>
      <c r="O337" s="10">
        <f>IFERROR(IF(INDEX('Test catalog'!$J$2:$J$200,MATCH($AB337,'Test catalog'!$A$2:$A$200,0))="","",INDEX('Test catalog'!$J$2:$J$200,MATCH($AB337,'Test catalog'!$A$2:$A$200,0))),"")</f>
        <v/>
      </c>
      <c r="P337" s="14">
        <f>IF(N337="","",IF(OR(M337="",O337=""),N337,(M337+4*N337+O337)/6))</f>
        <v/>
      </c>
      <c r="Q337" s="10">
        <f>IFERROR(IF(INDEX('Test catalog'!$K$2:$K$200,MATCH($AB337,'Test catalog'!$A$2:$A$200,0))="","",INDEX('Test catalog'!$K$2:$K$200,MATCH($AB337,'Test catalog'!$A$2:$A$200,0))),"")</f>
        <v/>
      </c>
      <c r="R337" s="5" t="n"/>
      <c r="S337" s="10">
        <f>IFERROR(IF(INDEX('Test catalog'!$L$2:$L$200,MATCH($AB337,'Test catalog'!$A$2:$A$200,0))="","",INDEX('Test catalog'!$L$2:$L$200,MATCH($AB337,'Test catalog'!$A$2:$A$200,0))),"")</f>
        <v/>
      </c>
      <c r="T337" s="10">
        <f>IFERROR(IF(INDEX('Test catalog'!$M$2:$M$200,MATCH($AB337,'Test catalog'!$A$2:$A$200,0))="","",INDEX('Test catalog'!$M$2:$M$200,MATCH($AB337,'Test catalog'!$A$2:$A$200,0))),"")</f>
        <v/>
      </c>
      <c r="U337" s="10">
        <f>IFERROR(IF(INDEX('Test catalog'!$N$2:$N$200,MATCH($AB337,'Test catalog'!$A$2:$A$200,0))="","",INDEX('Test catalog'!$N$2:$N$200,MATCH($AB337,'Test catalog'!$A$2:$A$200,0))),"")</f>
        <v/>
      </c>
      <c r="V337" s="15" t="n"/>
      <c r="W337" s="5" t="inlineStr">
        <is>
          <t>N</t>
        </is>
      </c>
      <c r="X337" s="5" t="n"/>
      <c r="Y337" s="5" t="n"/>
      <c r="Z337" s="5" t="n"/>
      <c r="AA337" s="10">
        <f>IFERROR(IF(INDEX('Test catalog'!$O$2:$O$200,MATCH($AB337,'Test catalog'!$A$2:$A$200,0))="","",INDEX('Test catalog'!$O$2:$O$200,MATCH($AB337,'Test catalog'!$A$2:$A$200,0))),"")</f>
        <v/>
      </c>
      <c r="AB337" s="10" t="inlineStr">
        <is>
          <t>ID_CHEM</t>
        </is>
      </c>
      <c r="AC337" s="10" t="inlineStr">
        <is>
          <t>Loperamide Hydrochloride · Identification &lt;191&gt;</t>
        </is>
      </c>
      <c r="AD337" s="10" t="n"/>
      <c r="AE337" s="10" t="n"/>
    </row>
    <row r="338">
      <c r="A338" s="10" t="inlineStr">
        <is>
          <t>Loperamide HCl</t>
        </is>
      </c>
      <c r="B338" s="10" t="inlineStr">
        <is>
          <t>RM</t>
        </is>
      </c>
      <c r="C338" s="10" t="inlineStr">
        <is>
          <t>Active</t>
        </is>
      </c>
      <c r="D338" s="10" t="inlineStr">
        <is>
          <t>Assay</t>
        </is>
      </c>
      <c r="E338" s="10">
        <f>IF(A338="","",A338&amp;"|"&amp;D338)</f>
        <v/>
      </c>
      <c r="F338" s="5" t="inlineStr">
        <is>
          <t>Y</t>
        </is>
      </c>
      <c r="G338" s="5" t="inlineStr">
        <is>
          <t>Other / bench</t>
        </is>
      </c>
      <c r="H338" s="5" t="inlineStr">
        <is>
          <t>Low</t>
        </is>
      </c>
      <c r="I338" s="5" t="n">
        <v>1</v>
      </c>
      <c r="J338" s="5" t="n"/>
      <c r="K338" s="10">
        <f>IFERROR(IF(INDEX('Test catalog'!$F$2:$F$200,MATCH($AB338,'Test catalog'!$A$2:$A$200,0))="","",INDEX('Test catalog'!$F$2:$F$200,MATCH($AB338,'Test catalog'!$A$2:$A$200,0))),"")</f>
        <v/>
      </c>
      <c r="L338" s="10">
        <f>IFERROR(IF(INDEX('Test catalog'!$G$2:$G$200,MATCH($AB338,'Test catalog'!$A$2:$A$200,0))="","",INDEX('Test catalog'!$G$2:$G$200,MATCH($AB338,'Test catalog'!$A$2:$A$200,0))),"")</f>
        <v/>
      </c>
      <c r="M338" s="10">
        <f>IFERROR(IF(INDEX('Test catalog'!$H$2:$H$200,MATCH($AB338,'Test catalog'!$A$2:$A$200,0))="","",INDEX('Test catalog'!$H$2:$H$200,MATCH($AB338,'Test catalog'!$A$2:$A$200,0))),"")</f>
        <v/>
      </c>
      <c r="N338" s="10">
        <f>IFERROR(IF(INDEX('Test catalog'!$I$2:$I$200,MATCH($AB338,'Test catalog'!$A$2:$A$200,0))="","",INDEX('Test catalog'!$I$2:$I$200,MATCH($AB338,'Test catalog'!$A$2:$A$200,0))),"")</f>
        <v/>
      </c>
      <c r="O338" s="10">
        <f>IFERROR(IF(INDEX('Test catalog'!$J$2:$J$200,MATCH($AB338,'Test catalog'!$A$2:$A$200,0))="","",INDEX('Test catalog'!$J$2:$J$200,MATCH($AB338,'Test catalog'!$A$2:$A$200,0))),"")</f>
        <v/>
      </c>
      <c r="P338" s="14">
        <f>IF(N338="","",IF(OR(M338="",O338=""),N338,(M338+4*N338+O338)/6))</f>
        <v/>
      </c>
      <c r="Q338" s="10">
        <f>IFERROR(IF(INDEX('Test catalog'!$K$2:$K$200,MATCH($AB338,'Test catalog'!$A$2:$A$200,0))="","",INDEX('Test catalog'!$K$2:$K$200,MATCH($AB338,'Test catalog'!$A$2:$A$200,0))),"")</f>
        <v/>
      </c>
      <c r="R338" s="5" t="n"/>
      <c r="S338" s="10">
        <f>IFERROR(IF(INDEX('Test catalog'!$L$2:$L$200,MATCH($AB338,'Test catalog'!$A$2:$A$200,0))="","",INDEX('Test catalog'!$L$2:$L$200,MATCH($AB338,'Test catalog'!$A$2:$A$200,0))),"")</f>
        <v/>
      </c>
      <c r="T338" s="10">
        <f>IFERROR(IF(INDEX('Test catalog'!$M$2:$M$200,MATCH($AB338,'Test catalog'!$A$2:$A$200,0))="","",INDEX('Test catalog'!$M$2:$M$200,MATCH($AB338,'Test catalog'!$A$2:$A$200,0))),"")</f>
        <v/>
      </c>
      <c r="U338" s="10">
        <f>IFERROR(IF(INDEX('Test catalog'!$N$2:$N$200,MATCH($AB338,'Test catalog'!$A$2:$A$200,0))="","",INDEX('Test catalog'!$N$2:$N$200,MATCH($AB338,'Test catalog'!$A$2:$A$200,0))),"")</f>
        <v/>
      </c>
      <c r="V338" s="15" t="n"/>
      <c r="W338" s="5" t="inlineStr">
        <is>
          <t>N</t>
        </is>
      </c>
      <c r="X338" s="5" t="n"/>
      <c r="Y338" s="5" t="n"/>
      <c r="Z338" s="5" t="n"/>
      <c r="AA338" s="10">
        <f>IFERROR(IF(INDEX('Test catalog'!$O$2:$O$200,MATCH($AB338,'Test catalog'!$A$2:$A$200,0))="","",INDEX('Test catalog'!$O$2:$O$200,MATCH($AB338,'Test catalog'!$A$2:$A$200,0))),"")</f>
        <v/>
      </c>
      <c r="AB338" s="10" t="inlineStr">
        <is>
          <t>TITR</t>
        </is>
      </c>
      <c r="AC338" s="10" t="inlineStr">
        <is>
          <t>Loperamide Hydrochloride · Assay &lt;541&gt;</t>
        </is>
      </c>
      <c r="AD338" s="10" t="n"/>
      <c r="AE338" s="10" t="n"/>
    </row>
    <row r="339">
      <c r="A339" s="10" t="inlineStr">
        <is>
          <t>Loperamide HCl</t>
        </is>
      </c>
      <c r="B339" s="10" t="inlineStr">
        <is>
          <t>RM</t>
        </is>
      </c>
      <c r="C339" s="10" t="inlineStr">
        <is>
          <t>Active</t>
        </is>
      </c>
      <c r="D339" s="10" t="inlineStr">
        <is>
          <t>Residue on Ignition</t>
        </is>
      </c>
      <c r="E339" s="10">
        <f>IF(A339="","",A339&amp;"|"&amp;D339)</f>
        <v/>
      </c>
      <c r="F339" s="5" t="inlineStr">
        <is>
          <t>Y</t>
        </is>
      </c>
      <c r="G339" s="5" t="inlineStr">
        <is>
          <t>Other / bench</t>
        </is>
      </c>
      <c r="H339" s="5" t="inlineStr">
        <is>
          <t>Low</t>
        </is>
      </c>
      <c r="I339" s="5" t="n">
        <v>1</v>
      </c>
      <c r="J339" s="5" t="n"/>
      <c r="K339" s="10">
        <f>IFERROR(IF(INDEX('Test catalog'!$F$2:$F$200,MATCH($AB339,'Test catalog'!$A$2:$A$200,0))="","",INDEX('Test catalog'!$F$2:$F$200,MATCH($AB339,'Test catalog'!$A$2:$A$200,0))),"")</f>
        <v/>
      </c>
      <c r="L339" s="10">
        <f>IFERROR(IF(INDEX('Test catalog'!$G$2:$G$200,MATCH($AB339,'Test catalog'!$A$2:$A$200,0))="","",INDEX('Test catalog'!$G$2:$G$200,MATCH($AB339,'Test catalog'!$A$2:$A$200,0))),"")</f>
        <v/>
      </c>
      <c r="M339" s="10">
        <f>IFERROR(IF(INDEX('Test catalog'!$H$2:$H$200,MATCH($AB339,'Test catalog'!$A$2:$A$200,0))="","",INDEX('Test catalog'!$H$2:$H$200,MATCH($AB339,'Test catalog'!$A$2:$A$200,0))),"")</f>
        <v/>
      </c>
      <c r="N339" s="10">
        <f>IFERROR(IF(INDEX('Test catalog'!$I$2:$I$200,MATCH($AB339,'Test catalog'!$A$2:$A$200,0))="","",INDEX('Test catalog'!$I$2:$I$200,MATCH($AB339,'Test catalog'!$A$2:$A$200,0))),"")</f>
        <v/>
      </c>
      <c r="O339" s="10">
        <f>IFERROR(IF(INDEX('Test catalog'!$J$2:$J$200,MATCH($AB339,'Test catalog'!$A$2:$A$200,0))="","",INDEX('Test catalog'!$J$2:$J$200,MATCH($AB339,'Test catalog'!$A$2:$A$200,0))),"")</f>
        <v/>
      </c>
      <c r="P339" s="14">
        <f>IF(N339="","",IF(OR(M339="",O339=""),N339,(M339+4*N339+O339)/6))</f>
        <v/>
      </c>
      <c r="Q339" s="10">
        <f>IFERROR(IF(INDEX('Test catalog'!$K$2:$K$200,MATCH($AB339,'Test catalog'!$A$2:$A$200,0))="","",INDEX('Test catalog'!$K$2:$K$200,MATCH($AB339,'Test catalog'!$A$2:$A$200,0))),"")</f>
        <v/>
      </c>
      <c r="R339" s="5" t="n"/>
      <c r="S339" s="10">
        <f>IFERROR(IF(INDEX('Test catalog'!$L$2:$L$200,MATCH($AB339,'Test catalog'!$A$2:$A$200,0))="","",INDEX('Test catalog'!$L$2:$L$200,MATCH($AB339,'Test catalog'!$A$2:$A$200,0))),"")</f>
        <v/>
      </c>
      <c r="T339" s="10">
        <f>IFERROR(IF(INDEX('Test catalog'!$M$2:$M$200,MATCH($AB339,'Test catalog'!$A$2:$A$200,0))="","",INDEX('Test catalog'!$M$2:$M$200,MATCH($AB339,'Test catalog'!$A$2:$A$200,0))),"")</f>
        <v/>
      </c>
      <c r="U339" s="10">
        <f>IFERROR(IF(INDEX('Test catalog'!$N$2:$N$200,MATCH($AB339,'Test catalog'!$A$2:$A$200,0))="","",INDEX('Test catalog'!$N$2:$N$200,MATCH($AB339,'Test catalog'!$A$2:$A$200,0))),"")</f>
        <v/>
      </c>
      <c r="V339" s="15" t="n"/>
      <c r="W339" s="5" t="inlineStr">
        <is>
          <t>N</t>
        </is>
      </c>
      <c r="X339" s="5" t="n"/>
      <c r="Y339" s="5" t="n"/>
      <c r="Z339" s="5" t="n"/>
      <c r="AA339" s="10">
        <f>IFERROR(IF(INDEX('Test catalog'!$O$2:$O$200,MATCH($AB339,'Test catalog'!$A$2:$A$200,0))="","",INDEX('Test catalog'!$O$2:$O$200,MATCH($AB339,'Test catalog'!$A$2:$A$200,0))),"")</f>
        <v/>
      </c>
      <c r="AB339" s="10" t="inlineStr">
        <is>
          <t>ROI</t>
        </is>
      </c>
      <c r="AC339" s="10" t="inlineStr">
        <is>
          <t>Loperamide Hydrochloride · Impurities &lt;281&gt;</t>
        </is>
      </c>
      <c r="AD339" s="10" t="n"/>
      <c r="AE339" s="10" t="n"/>
    </row>
    <row r="340">
      <c r="A340" s="10" t="inlineStr">
        <is>
          <t>Loperamide HCl</t>
        </is>
      </c>
      <c r="B340" s="10" t="inlineStr">
        <is>
          <t>RM</t>
        </is>
      </c>
      <c r="C340" s="10" t="inlineStr">
        <is>
          <t>Active</t>
        </is>
      </c>
      <c r="D340" s="10" t="inlineStr">
        <is>
          <t>Organic Impurities (HPLC)</t>
        </is>
      </c>
      <c r="E340" s="10">
        <f>IF(A340="","",A340&amp;"|"&amp;D340)</f>
        <v/>
      </c>
      <c r="F340" s="5" t="inlineStr">
        <is>
          <t>Y</t>
        </is>
      </c>
      <c r="G340" s="5" t="inlineStr">
        <is>
          <t>HPLC</t>
        </is>
      </c>
      <c r="H340" s="5" t="inlineStr">
        <is>
          <t>Medium</t>
        </is>
      </c>
      <c r="I340" s="5" t="n">
        <v>1</v>
      </c>
      <c r="J340" s="5" t="n"/>
      <c r="K340" s="5" t="n"/>
      <c r="L340" s="5" t="n"/>
      <c r="M340" s="5" t="n"/>
      <c r="N340" s="5" t="n"/>
      <c r="O340" s="5" t="n"/>
      <c r="P340" s="14">
        <f>IF(N340="","",IF(OR(M340="",O340=""),N340,(M340+4*N340+O340)/6))</f>
        <v/>
      </c>
      <c r="Q340" s="5" t="n"/>
      <c r="R340" s="5" t="n"/>
      <c r="S340" s="5" t="n"/>
      <c r="T340" s="5" t="n"/>
      <c r="U340" s="5" t="n"/>
      <c r="V340" s="15" t="n"/>
      <c r="W340" s="5" t="inlineStr">
        <is>
          <t>N</t>
        </is>
      </c>
      <c r="X340" s="5" t="n"/>
      <c r="Y340" s="5" t="n"/>
      <c r="Z340" s="5" t="n"/>
      <c r="AA340" s="5" t="n"/>
      <c r="AB340" s="10" t="n"/>
      <c r="AC340" s="10" t="inlineStr">
        <is>
          <t>Loperamide Hydrochloride · Impurities</t>
        </is>
      </c>
      <c r="AD340" s="10" t="n"/>
      <c r="AE340" s="10" t="n"/>
    </row>
    <row r="341">
      <c r="A341" s="10" t="inlineStr">
        <is>
          <t>Loperamide HCl</t>
        </is>
      </c>
      <c r="B341" s="10" t="inlineStr">
        <is>
          <t>RM</t>
        </is>
      </c>
      <c r="C341" s="10" t="inlineStr">
        <is>
          <t>Active</t>
        </is>
      </c>
      <c r="D341" s="10" t="inlineStr">
        <is>
          <t>Loss on Drying</t>
        </is>
      </c>
      <c r="E341" s="10">
        <f>IF(A341="","",A341&amp;"|"&amp;D341)</f>
        <v/>
      </c>
      <c r="F341" s="5" t="inlineStr">
        <is>
          <t>Y</t>
        </is>
      </c>
      <c r="G341" s="5" t="inlineStr">
        <is>
          <t>Other / bench</t>
        </is>
      </c>
      <c r="H341" s="5" t="inlineStr">
        <is>
          <t>Low</t>
        </is>
      </c>
      <c r="I341" s="5" t="n">
        <v>1</v>
      </c>
      <c r="J341" s="5" t="n"/>
      <c r="K341" s="10">
        <f>IFERROR(IF(INDEX('Test catalog'!$F$2:$F$200,MATCH($AB341,'Test catalog'!$A$2:$A$200,0))="","",INDEX('Test catalog'!$F$2:$F$200,MATCH($AB341,'Test catalog'!$A$2:$A$200,0))),"")</f>
        <v/>
      </c>
      <c r="L341" s="10">
        <f>IFERROR(IF(INDEX('Test catalog'!$G$2:$G$200,MATCH($AB341,'Test catalog'!$A$2:$A$200,0))="","",INDEX('Test catalog'!$G$2:$G$200,MATCH($AB341,'Test catalog'!$A$2:$A$200,0))),"")</f>
        <v/>
      </c>
      <c r="M341" s="10">
        <f>IFERROR(IF(INDEX('Test catalog'!$H$2:$H$200,MATCH($AB341,'Test catalog'!$A$2:$A$200,0))="","",INDEX('Test catalog'!$H$2:$H$200,MATCH($AB341,'Test catalog'!$A$2:$A$200,0))),"")</f>
        <v/>
      </c>
      <c r="N341" s="10">
        <f>IFERROR(IF(INDEX('Test catalog'!$I$2:$I$200,MATCH($AB341,'Test catalog'!$A$2:$A$200,0))="","",INDEX('Test catalog'!$I$2:$I$200,MATCH($AB341,'Test catalog'!$A$2:$A$200,0))),"")</f>
        <v/>
      </c>
      <c r="O341" s="10">
        <f>IFERROR(IF(INDEX('Test catalog'!$J$2:$J$200,MATCH($AB341,'Test catalog'!$A$2:$A$200,0))="","",INDEX('Test catalog'!$J$2:$J$200,MATCH($AB341,'Test catalog'!$A$2:$A$200,0))),"")</f>
        <v/>
      </c>
      <c r="P341" s="14">
        <f>IF(N341="","",IF(OR(M341="",O341=""),N341,(M341+4*N341+O341)/6))</f>
        <v/>
      </c>
      <c r="Q341" s="10">
        <f>IFERROR(IF(INDEX('Test catalog'!$K$2:$K$200,MATCH($AB341,'Test catalog'!$A$2:$A$200,0))="","",INDEX('Test catalog'!$K$2:$K$200,MATCH($AB341,'Test catalog'!$A$2:$A$200,0))),"")</f>
        <v/>
      </c>
      <c r="R341" s="5" t="n"/>
      <c r="S341" s="10">
        <f>IFERROR(IF(INDEX('Test catalog'!$L$2:$L$200,MATCH($AB341,'Test catalog'!$A$2:$A$200,0))="","",INDEX('Test catalog'!$L$2:$L$200,MATCH($AB341,'Test catalog'!$A$2:$A$200,0))),"")</f>
        <v/>
      </c>
      <c r="T341" s="10">
        <f>IFERROR(IF(INDEX('Test catalog'!$M$2:$M$200,MATCH($AB341,'Test catalog'!$A$2:$A$200,0))="","",INDEX('Test catalog'!$M$2:$M$200,MATCH($AB341,'Test catalog'!$A$2:$A$200,0))),"")</f>
        <v/>
      </c>
      <c r="U341" s="10">
        <f>IFERROR(IF(INDEX('Test catalog'!$N$2:$N$200,MATCH($AB341,'Test catalog'!$A$2:$A$200,0))="","",INDEX('Test catalog'!$N$2:$N$200,MATCH($AB341,'Test catalog'!$A$2:$A$200,0))),"")</f>
        <v/>
      </c>
      <c r="V341" s="15" t="n"/>
      <c r="W341" s="5" t="inlineStr">
        <is>
          <t>N</t>
        </is>
      </c>
      <c r="X341" s="5" t="n"/>
      <c r="Y341" s="5" t="n"/>
      <c r="Z341" s="5" t="n"/>
      <c r="AA341" s="10">
        <f>IFERROR(IF(INDEX('Test catalog'!$O$2:$O$200,MATCH($AB341,'Test catalog'!$A$2:$A$200,0))="","",INDEX('Test catalog'!$O$2:$O$200,MATCH($AB341,'Test catalog'!$A$2:$A$200,0))),"")</f>
        <v/>
      </c>
      <c r="AB341" s="10" t="inlineStr">
        <is>
          <t>LOD</t>
        </is>
      </c>
      <c r="AC341" s="10" t="inlineStr">
        <is>
          <t>Loperamide Hydrochloride · Specific Tests &lt;731&gt;</t>
        </is>
      </c>
      <c r="AD341" s="10" t="n"/>
      <c r="AE341" s="10" t="n"/>
    </row>
    <row r="342">
      <c r="A342" s="10" t="inlineStr">
        <is>
          <t>Magnesium Oxide Heavy</t>
        </is>
      </c>
      <c r="B342" s="10" t="inlineStr">
        <is>
          <t>RM</t>
        </is>
      </c>
      <c r="C342" s="10" t="inlineStr">
        <is>
          <t>Active</t>
        </is>
      </c>
      <c r="D342" s="10" t="inlineStr">
        <is>
          <t>Appearance / description and solubility</t>
        </is>
      </c>
      <c r="E342" s="10">
        <f>IF(A342="","",A342&amp;"|"&amp;D342)</f>
        <v/>
      </c>
      <c r="F342" s="5" t="inlineStr">
        <is>
          <t>Y</t>
        </is>
      </c>
      <c r="G342" s="5" t="inlineStr">
        <is>
          <t>Other / bench</t>
        </is>
      </c>
      <c r="H342" s="5" t="inlineStr">
        <is>
          <t>Low</t>
        </is>
      </c>
      <c r="I342" s="5" t="n">
        <v>1</v>
      </c>
      <c r="J342" s="5" t="n"/>
      <c r="K342" s="10">
        <f>IFERROR(IF(INDEX('Test catalog'!$F$2:$F$200,MATCH($AB342,'Test catalog'!$A$2:$A$200,0))="","",INDEX('Test catalog'!$F$2:$F$200,MATCH($AB342,'Test catalog'!$A$2:$A$200,0))),"")</f>
        <v/>
      </c>
      <c r="L342" s="10">
        <f>IFERROR(IF(INDEX('Test catalog'!$G$2:$G$200,MATCH($AB342,'Test catalog'!$A$2:$A$200,0))="","",INDEX('Test catalog'!$G$2:$G$200,MATCH($AB342,'Test catalog'!$A$2:$A$200,0))),"")</f>
        <v/>
      </c>
      <c r="M342" s="10">
        <f>IFERROR(IF(INDEX('Test catalog'!$H$2:$H$200,MATCH($AB342,'Test catalog'!$A$2:$A$200,0))="","",INDEX('Test catalog'!$H$2:$H$200,MATCH($AB342,'Test catalog'!$A$2:$A$200,0))),"")</f>
        <v/>
      </c>
      <c r="N342" s="10">
        <f>IFERROR(IF(INDEX('Test catalog'!$I$2:$I$200,MATCH($AB342,'Test catalog'!$A$2:$A$200,0))="","",INDEX('Test catalog'!$I$2:$I$200,MATCH($AB342,'Test catalog'!$A$2:$A$200,0))),"")</f>
        <v/>
      </c>
      <c r="O342" s="10">
        <f>IFERROR(IF(INDEX('Test catalog'!$J$2:$J$200,MATCH($AB342,'Test catalog'!$A$2:$A$200,0))="","",INDEX('Test catalog'!$J$2:$J$200,MATCH($AB342,'Test catalog'!$A$2:$A$200,0))),"")</f>
        <v/>
      </c>
      <c r="P342" s="14">
        <f>IF(N342="","",IF(OR(M342="",O342=""),N342,(M342+4*N342+O342)/6))</f>
        <v/>
      </c>
      <c r="Q342" s="10">
        <f>IFERROR(IF(INDEX('Test catalog'!$K$2:$K$200,MATCH($AB342,'Test catalog'!$A$2:$A$200,0))="","",INDEX('Test catalog'!$K$2:$K$200,MATCH($AB342,'Test catalog'!$A$2:$A$200,0))),"")</f>
        <v/>
      </c>
      <c r="R342" s="5" t="n"/>
      <c r="S342" s="10">
        <f>IFERROR(IF(INDEX('Test catalog'!$L$2:$L$200,MATCH($AB342,'Test catalog'!$A$2:$A$200,0))="","",INDEX('Test catalog'!$L$2:$L$200,MATCH($AB342,'Test catalog'!$A$2:$A$200,0))),"")</f>
        <v/>
      </c>
      <c r="T342" s="10">
        <f>IFERROR(IF(INDEX('Test catalog'!$M$2:$M$200,MATCH($AB342,'Test catalog'!$A$2:$A$200,0))="","",INDEX('Test catalog'!$M$2:$M$200,MATCH($AB342,'Test catalog'!$A$2:$A$200,0))),"")</f>
        <v/>
      </c>
      <c r="U342" s="10">
        <f>IFERROR(IF(INDEX('Test catalog'!$N$2:$N$200,MATCH($AB342,'Test catalog'!$A$2:$A$200,0))="","",INDEX('Test catalog'!$N$2:$N$200,MATCH($AB342,'Test catalog'!$A$2:$A$200,0))),"")</f>
        <v/>
      </c>
      <c r="V342" s="15" t="n"/>
      <c r="W342" s="5" t="inlineStr">
        <is>
          <t>N</t>
        </is>
      </c>
      <c r="X342" s="5" t="n"/>
      <c r="Y342" s="5" t="n"/>
      <c r="Z342" s="5" t="n"/>
      <c r="AA342" s="10">
        <f>IFERROR(IF(INDEX('Test catalog'!$O$2:$O$200,MATCH($AB342,'Test catalog'!$A$2:$A$200,0))="","",INDEX('Test catalog'!$O$2:$O$200,MATCH($AB342,'Test catalog'!$A$2:$A$200,0))),"")</f>
        <v/>
      </c>
      <c r="AB342" s="10" t="inlineStr">
        <is>
          <t>APPEAR</t>
        </is>
      </c>
      <c r="AC342" s="10" t="inlineStr">
        <is>
          <t>Lab practice (not a USP test)</t>
        </is>
      </c>
      <c r="AD342" s="10" t="n"/>
      <c r="AE342" s="10" t="n"/>
    </row>
    <row r="343">
      <c r="A343" s="10" t="inlineStr">
        <is>
          <t>Magnesium Oxide Heavy</t>
        </is>
      </c>
      <c r="B343" s="10" t="inlineStr">
        <is>
          <t>RM</t>
        </is>
      </c>
      <c r="C343" s="10" t="inlineStr">
        <is>
          <t>Active</t>
        </is>
      </c>
      <c r="D343" s="10" t="inlineStr">
        <is>
          <t>ID A - chemical reaction</t>
        </is>
      </c>
      <c r="E343" s="10">
        <f>IF(A343="","",A343&amp;"|"&amp;D343)</f>
        <v/>
      </c>
      <c r="F343" s="5" t="inlineStr">
        <is>
          <t>Y</t>
        </is>
      </c>
      <c r="G343" s="5" t="inlineStr">
        <is>
          <t>Other / bench</t>
        </is>
      </c>
      <c r="H343" s="5" t="inlineStr">
        <is>
          <t>Low</t>
        </is>
      </c>
      <c r="I343" s="5" t="n">
        <v>1</v>
      </c>
      <c r="J343" s="5" t="n"/>
      <c r="K343" s="10">
        <f>IFERROR(IF(INDEX('Test catalog'!$F$2:$F$200,MATCH($AB343,'Test catalog'!$A$2:$A$200,0))="","",INDEX('Test catalog'!$F$2:$F$200,MATCH($AB343,'Test catalog'!$A$2:$A$200,0))),"")</f>
        <v/>
      </c>
      <c r="L343" s="10">
        <f>IFERROR(IF(INDEX('Test catalog'!$G$2:$G$200,MATCH($AB343,'Test catalog'!$A$2:$A$200,0))="","",INDEX('Test catalog'!$G$2:$G$200,MATCH($AB343,'Test catalog'!$A$2:$A$200,0))),"")</f>
        <v/>
      </c>
      <c r="M343" s="10">
        <f>IFERROR(IF(INDEX('Test catalog'!$H$2:$H$200,MATCH($AB343,'Test catalog'!$A$2:$A$200,0))="","",INDEX('Test catalog'!$H$2:$H$200,MATCH($AB343,'Test catalog'!$A$2:$A$200,0))),"")</f>
        <v/>
      </c>
      <c r="N343" s="10">
        <f>IFERROR(IF(INDEX('Test catalog'!$I$2:$I$200,MATCH($AB343,'Test catalog'!$A$2:$A$200,0))="","",INDEX('Test catalog'!$I$2:$I$200,MATCH($AB343,'Test catalog'!$A$2:$A$200,0))),"")</f>
        <v/>
      </c>
      <c r="O343" s="10">
        <f>IFERROR(IF(INDEX('Test catalog'!$J$2:$J$200,MATCH($AB343,'Test catalog'!$A$2:$A$200,0))="","",INDEX('Test catalog'!$J$2:$J$200,MATCH($AB343,'Test catalog'!$A$2:$A$200,0))),"")</f>
        <v/>
      </c>
      <c r="P343" s="14">
        <f>IF(N343="","",IF(OR(M343="",O343=""),N343,(M343+4*N343+O343)/6))</f>
        <v/>
      </c>
      <c r="Q343" s="10">
        <f>IFERROR(IF(INDEX('Test catalog'!$K$2:$K$200,MATCH($AB343,'Test catalog'!$A$2:$A$200,0))="","",INDEX('Test catalog'!$K$2:$K$200,MATCH($AB343,'Test catalog'!$A$2:$A$200,0))),"")</f>
        <v/>
      </c>
      <c r="R343" s="5" t="n"/>
      <c r="S343" s="10">
        <f>IFERROR(IF(INDEX('Test catalog'!$L$2:$L$200,MATCH($AB343,'Test catalog'!$A$2:$A$200,0))="","",INDEX('Test catalog'!$L$2:$L$200,MATCH($AB343,'Test catalog'!$A$2:$A$200,0))),"")</f>
        <v/>
      </c>
      <c r="T343" s="10">
        <f>IFERROR(IF(INDEX('Test catalog'!$M$2:$M$200,MATCH($AB343,'Test catalog'!$A$2:$A$200,0))="","",INDEX('Test catalog'!$M$2:$M$200,MATCH($AB343,'Test catalog'!$A$2:$A$200,0))),"")</f>
        <v/>
      </c>
      <c r="U343" s="10">
        <f>IFERROR(IF(INDEX('Test catalog'!$N$2:$N$200,MATCH($AB343,'Test catalog'!$A$2:$A$200,0))="","",INDEX('Test catalog'!$N$2:$N$200,MATCH($AB343,'Test catalog'!$A$2:$A$200,0))),"")</f>
        <v/>
      </c>
      <c r="V343" s="15" t="n"/>
      <c r="W343" s="5" t="inlineStr">
        <is>
          <t>N</t>
        </is>
      </c>
      <c r="X343" s="5" t="n"/>
      <c r="Y343" s="5" t="n"/>
      <c r="Z343" s="5" t="n"/>
      <c r="AA343" s="10">
        <f>IFERROR(IF(INDEX('Test catalog'!$O$2:$O$200,MATCH($AB343,'Test catalog'!$A$2:$A$200,0))="","",INDEX('Test catalog'!$O$2:$O$200,MATCH($AB343,'Test catalog'!$A$2:$A$200,0))),"")</f>
        <v/>
      </c>
      <c r="AB343" s="10" t="inlineStr">
        <is>
          <t>ID_CHEM</t>
        </is>
      </c>
      <c r="AC343" s="10" t="inlineStr">
        <is>
          <t>Magnesium Oxide · Identification &lt;191&gt;</t>
        </is>
      </c>
      <c r="AD343" s="10" t="n"/>
      <c r="AE343" s="10" t="n"/>
    </row>
    <row r="344">
      <c r="A344" s="10" t="inlineStr">
        <is>
          <t>Magnesium Oxide Heavy</t>
        </is>
      </c>
      <c r="B344" s="10" t="inlineStr">
        <is>
          <t>RM</t>
        </is>
      </c>
      <c r="C344" s="10" t="inlineStr">
        <is>
          <t>Active</t>
        </is>
      </c>
      <c r="D344" s="10" t="inlineStr">
        <is>
          <t>Assay</t>
        </is>
      </c>
      <c r="E344" s="10">
        <f>IF(A344="","",A344&amp;"|"&amp;D344)</f>
        <v/>
      </c>
      <c r="F344" s="5" t="inlineStr">
        <is>
          <t>Y</t>
        </is>
      </c>
      <c r="G344" s="5" t="inlineStr">
        <is>
          <t>Other / bench</t>
        </is>
      </c>
      <c r="H344" s="5" t="inlineStr">
        <is>
          <t>Low</t>
        </is>
      </c>
      <c r="I344" s="5" t="n">
        <v>1</v>
      </c>
      <c r="J344" s="5" t="n"/>
      <c r="K344" s="10">
        <f>IFERROR(IF(INDEX('Test catalog'!$F$2:$F$200,MATCH($AB344,'Test catalog'!$A$2:$A$200,0))="","",INDEX('Test catalog'!$F$2:$F$200,MATCH($AB344,'Test catalog'!$A$2:$A$200,0))),"")</f>
        <v/>
      </c>
      <c r="L344" s="10">
        <f>IFERROR(IF(INDEX('Test catalog'!$G$2:$G$200,MATCH($AB344,'Test catalog'!$A$2:$A$200,0))="","",INDEX('Test catalog'!$G$2:$G$200,MATCH($AB344,'Test catalog'!$A$2:$A$200,0))),"")</f>
        <v/>
      </c>
      <c r="M344" s="10">
        <f>IFERROR(IF(INDEX('Test catalog'!$H$2:$H$200,MATCH($AB344,'Test catalog'!$A$2:$A$200,0))="","",INDEX('Test catalog'!$H$2:$H$200,MATCH($AB344,'Test catalog'!$A$2:$A$200,0))),"")</f>
        <v/>
      </c>
      <c r="N344" s="10">
        <f>IFERROR(IF(INDEX('Test catalog'!$I$2:$I$200,MATCH($AB344,'Test catalog'!$A$2:$A$200,0))="","",INDEX('Test catalog'!$I$2:$I$200,MATCH($AB344,'Test catalog'!$A$2:$A$200,0))),"")</f>
        <v/>
      </c>
      <c r="O344" s="10">
        <f>IFERROR(IF(INDEX('Test catalog'!$J$2:$J$200,MATCH($AB344,'Test catalog'!$A$2:$A$200,0))="","",INDEX('Test catalog'!$J$2:$J$200,MATCH($AB344,'Test catalog'!$A$2:$A$200,0))),"")</f>
        <v/>
      </c>
      <c r="P344" s="14">
        <f>IF(N344="","",IF(OR(M344="",O344=""),N344,(M344+4*N344+O344)/6))</f>
        <v/>
      </c>
      <c r="Q344" s="10">
        <f>IFERROR(IF(INDEX('Test catalog'!$K$2:$K$200,MATCH($AB344,'Test catalog'!$A$2:$A$200,0))="","",INDEX('Test catalog'!$K$2:$K$200,MATCH($AB344,'Test catalog'!$A$2:$A$200,0))),"")</f>
        <v/>
      </c>
      <c r="R344" s="5" t="n"/>
      <c r="S344" s="10">
        <f>IFERROR(IF(INDEX('Test catalog'!$L$2:$L$200,MATCH($AB344,'Test catalog'!$A$2:$A$200,0))="","",INDEX('Test catalog'!$L$2:$L$200,MATCH($AB344,'Test catalog'!$A$2:$A$200,0))),"")</f>
        <v/>
      </c>
      <c r="T344" s="10">
        <f>IFERROR(IF(INDEX('Test catalog'!$M$2:$M$200,MATCH($AB344,'Test catalog'!$A$2:$A$200,0))="","",INDEX('Test catalog'!$M$2:$M$200,MATCH($AB344,'Test catalog'!$A$2:$A$200,0))),"")</f>
        <v/>
      </c>
      <c r="U344" s="10">
        <f>IFERROR(IF(INDEX('Test catalog'!$N$2:$N$200,MATCH($AB344,'Test catalog'!$A$2:$A$200,0))="","",INDEX('Test catalog'!$N$2:$N$200,MATCH($AB344,'Test catalog'!$A$2:$A$200,0))),"")</f>
        <v/>
      </c>
      <c r="V344" s="15" t="n"/>
      <c r="W344" s="5" t="inlineStr">
        <is>
          <t>N</t>
        </is>
      </c>
      <c r="X344" s="5" t="n"/>
      <c r="Y344" s="5" t="n"/>
      <c r="Z344" s="5" t="n"/>
      <c r="AA344" s="10">
        <f>IFERROR(IF(INDEX('Test catalog'!$O$2:$O$200,MATCH($AB344,'Test catalog'!$A$2:$A$200,0))="","",INDEX('Test catalog'!$O$2:$O$200,MATCH($AB344,'Test catalog'!$A$2:$A$200,0))),"")</f>
        <v/>
      </c>
      <c r="AB344" s="10" t="inlineStr">
        <is>
          <t>TITR</t>
        </is>
      </c>
      <c r="AC344" s="10" t="inlineStr">
        <is>
          <t>Magnesium Oxide · Assay</t>
        </is>
      </c>
      <c r="AD344" s="10" t="n"/>
      <c r="AE344" s="10" t="n"/>
    </row>
    <row r="345">
      <c r="A345" s="10" t="inlineStr">
        <is>
          <t>Magnesium Oxide Heavy</t>
        </is>
      </c>
      <c r="B345" s="10" t="inlineStr">
        <is>
          <t>RM</t>
        </is>
      </c>
      <c r="C345" s="10" t="inlineStr">
        <is>
          <t>Active</t>
        </is>
      </c>
      <c r="D345" s="10" t="inlineStr">
        <is>
          <t>Free Alkali and Soluble Salts</t>
        </is>
      </c>
      <c r="E345" s="10">
        <f>IF(A345="","",A345&amp;"|"&amp;D345)</f>
        <v/>
      </c>
      <c r="F345" s="5" t="inlineStr">
        <is>
          <t>Y</t>
        </is>
      </c>
      <c r="G345" s="5" t="inlineStr">
        <is>
          <t>Other / bench</t>
        </is>
      </c>
      <c r="H345" s="5" t="inlineStr">
        <is>
          <t>Low</t>
        </is>
      </c>
      <c r="I345" s="5" t="n">
        <v>1</v>
      </c>
      <c r="J345" s="5" t="n"/>
      <c r="K345" s="10">
        <f>IFERROR(IF(INDEX('Test catalog'!$F$2:$F$200,MATCH($AB345,'Test catalog'!$A$2:$A$200,0))="","",INDEX('Test catalog'!$F$2:$F$200,MATCH($AB345,'Test catalog'!$A$2:$A$200,0))),"")</f>
        <v/>
      </c>
      <c r="L345" s="10">
        <f>IFERROR(IF(INDEX('Test catalog'!$G$2:$G$200,MATCH($AB345,'Test catalog'!$A$2:$A$200,0))="","",INDEX('Test catalog'!$G$2:$G$200,MATCH($AB345,'Test catalog'!$A$2:$A$200,0))),"")</f>
        <v/>
      </c>
      <c r="M345" s="10">
        <f>IFERROR(IF(INDEX('Test catalog'!$H$2:$H$200,MATCH($AB345,'Test catalog'!$A$2:$A$200,0))="","",INDEX('Test catalog'!$H$2:$H$200,MATCH($AB345,'Test catalog'!$A$2:$A$200,0))),"")</f>
        <v/>
      </c>
      <c r="N345" s="10">
        <f>IFERROR(IF(INDEX('Test catalog'!$I$2:$I$200,MATCH($AB345,'Test catalog'!$A$2:$A$200,0))="","",INDEX('Test catalog'!$I$2:$I$200,MATCH($AB345,'Test catalog'!$A$2:$A$200,0))),"")</f>
        <v/>
      </c>
      <c r="O345" s="10">
        <f>IFERROR(IF(INDEX('Test catalog'!$J$2:$J$200,MATCH($AB345,'Test catalog'!$A$2:$A$200,0))="","",INDEX('Test catalog'!$J$2:$J$200,MATCH($AB345,'Test catalog'!$A$2:$A$200,0))),"")</f>
        <v/>
      </c>
      <c r="P345" s="14">
        <f>IF(N345="","",IF(OR(M345="",O345=""),N345,(M345+4*N345+O345)/6))</f>
        <v/>
      </c>
      <c r="Q345" s="10">
        <f>IFERROR(IF(INDEX('Test catalog'!$K$2:$K$200,MATCH($AB345,'Test catalog'!$A$2:$A$200,0))="","",INDEX('Test catalog'!$K$2:$K$200,MATCH($AB345,'Test catalog'!$A$2:$A$200,0))),"")</f>
        <v/>
      </c>
      <c r="R345" s="5" t="n"/>
      <c r="S345" s="10">
        <f>IFERROR(IF(INDEX('Test catalog'!$L$2:$L$200,MATCH($AB345,'Test catalog'!$A$2:$A$200,0))="","",INDEX('Test catalog'!$L$2:$L$200,MATCH($AB345,'Test catalog'!$A$2:$A$200,0))),"")</f>
        <v/>
      </c>
      <c r="T345" s="10">
        <f>IFERROR(IF(INDEX('Test catalog'!$M$2:$M$200,MATCH($AB345,'Test catalog'!$A$2:$A$200,0))="","",INDEX('Test catalog'!$M$2:$M$200,MATCH($AB345,'Test catalog'!$A$2:$A$200,0))),"")</f>
        <v/>
      </c>
      <c r="U345" s="10">
        <f>IFERROR(IF(INDEX('Test catalog'!$N$2:$N$200,MATCH($AB345,'Test catalog'!$A$2:$A$200,0))="","",INDEX('Test catalog'!$N$2:$N$200,MATCH($AB345,'Test catalog'!$A$2:$A$200,0))),"")</f>
        <v/>
      </c>
      <c r="V345" s="15" t="n"/>
      <c r="W345" s="5" t="inlineStr">
        <is>
          <t>N</t>
        </is>
      </c>
      <c r="X345" s="5" t="n"/>
      <c r="Y345" s="5" t="n"/>
      <c r="Z345" s="5" t="n"/>
      <c r="AA345" s="10">
        <f>IFERROR(IF(INDEX('Test catalog'!$O$2:$O$200,MATCH($AB345,'Test catalog'!$A$2:$A$200,0))="","",INDEX('Test catalog'!$O$2:$O$200,MATCH($AB345,'Test catalog'!$A$2:$A$200,0))),"")</f>
        <v/>
      </c>
      <c r="AB345" s="10" t="inlineStr">
        <is>
          <t>TITR</t>
        </is>
      </c>
      <c r="AC345" s="10" t="inlineStr">
        <is>
          <t>Magnesium Oxide · Impurities</t>
        </is>
      </c>
      <c r="AD345" s="10" t="n"/>
      <c r="AE345" s="10" t="n"/>
    </row>
    <row r="346">
      <c r="A346" s="10" t="inlineStr">
        <is>
          <t>Magnesium Oxide Heavy</t>
        </is>
      </c>
      <c r="B346" s="10" t="inlineStr">
        <is>
          <t>RM</t>
        </is>
      </c>
      <c r="C346" s="10" t="inlineStr">
        <is>
          <t>Active</t>
        </is>
      </c>
      <c r="D346" s="10" t="inlineStr">
        <is>
          <t>Acid-Insoluble Substances</t>
        </is>
      </c>
      <c r="E346" s="10">
        <f>IF(A346="","",A346&amp;"|"&amp;D346)</f>
        <v/>
      </c>
      <c r="F346" s="5" t="inlineStr">
        <is>
          <t>Y</t>
        </is>
      </c>
      <c r="G346" s="5" t="inlineStr">
        <is>
          <t>Other / bench</t>
        </is>
      </c>
      <c r="H346" s="5" t="inlineStr">
        <is>
          <t>Low</t>
        </is>
      </c>
      <c r="I346" s="5" t="n">
        <v>1</v>
      </c>
      <c r="J346" s="5" t="n"/>
      <c r="K346" s="10">
        <f>IFERROR(IF(INDEX('Test catalog'!$F$2:$F$200,MATCH($AB346,'Test catalog'!$A$2:$A$200,0))="","",INDEX('Test catalog'!$F$2:$F$200,MATCH($AB346,'Test catalog'!$A$2:$A$200,0))),"")</f>
        <v/>
      </c>
      <c r="L346" s="10">
        <f>IFERROR(IF(INDEX('Test catalog'!$G$2:$G$200,MATCH($AB346,'Test catalog'!$A$2:$A$200,0))="","",INDEX('Test catalog'!$G$2:$G$200,MATCH($AB346,'Test catalog'!$A$2:$A$200,0))),"")</f>
        <v/>
      </c>
      <c r="M346" s="10">
        <f>IFERROR(IF(INDEX('Test catalog'!$H$2:$H$200,MATCH($AB346,'Test catalog'!$A$2:$A$200,0))="","",INDEX('Test catalog'!$H$2:$H$200,MATCH($AB346,'Test catalog'!$A$2:$A$200,0))),"")</f>
        <v/>
      </c>
      <c r="N346" s="10">
        <f>IFERROR(IF(INDEX('Test catalog'!$I$2:$I$200,MATCH($AB346,'Test catalog'!$A$2:$A$200,0))="","",INDEX('Test catalog'!$I$2:$I$200,MATCH($AB346,'Test catalog'!$A$2:$A$200,0))),"")</f>
        <v/>
      </c>
      <c r="O346" s="10">
        <f>IFERROR(IF(INDEX('Test catalog'!$J$2:$J$200,MATCH($AB346,'Test catalog'!$A$2:$A$200,0))="","",INDEX('Test catalog'!$J$2:$J$200,MATCH($AB346,'Test catalog'!$A$2:$A$200,0))),"")</f>
        <v/>
      </c>
      <c r="P346" s="14">
        <f>IF(N346="","",IF(OR(M346="",O346=""),N346,(M346+4*N346+O346)/6))</f>
        <v/>
      </c>
      <c r="Q346" s="10">
        <f>IFERROR(IF(INDEX('Test catalog'!$K$2:$K$200,MATCH($AB346,'Test catalog'!$A$2:$A$200,0))="","",INDEX('Test catalog'!$K$2:$K$200,MATCH($AB346,'Test catalog'!$A$2:$A$200,0))),"")</f>
        <v/>
      </c>
      <c r="R346" s="5" t="n"/>
      <c r="S346" s="10">
        <f>IFERROR(IF(INDEX('Test catalog'!$L$2:$L$200,MATCH($AB346,'Test catalog'!$A$2:$A$200,0))="","",INDEX('Test catalog'!$L$2:$L$200,MATCH($AB346,'Test catalog'!$A$2:$A$200,0))),"")</f>
        <v/>
      </c>
      <c r="T346" s="10">
        <f>IFERROR(IF(INDEX('Test catalog'!$M$2:$M$200,MATCH($AB346,'Test catalog'!$A$2:$A$200,0))="","",INDEX('Test catalog'!$M$2:$M$200,MATCH($AB346,'Test catalog'!$A$2:$A$200,0))),"")</f>
        <v/>
      </c>
      <c r="U346" s="10">
        <f>IFERROR(IF(INDEX('Test catalog'!$N$2:$N$200,MATCH($AB346,'Test catalog'!$A$2:$A$200,0))="","",INDEX('Test catalog'!$N$2:$N$200,MATCH($AB346,'Test catalog'!$A$2:$A$200,0))),"")</f>
        <v/>
      </c>
      <c r="V346" s="15" t="n"/>
      <c r="W346" s="5" t="inlineStr">
        <is>
          <t>N</t>
        </is>
      </c>
      <c r="X346" s="5" t="n"/>
      <c r="Y346" s="5" t="n"/>
      <c r="Z346" s="5" t="n"/>
      <c r="AA346" s="10">
        <f>IFERROR(IF(INDEX('Test catalog'!$O$2:$O$200,MATCH($AB346,'Test catalog'!$A$2:$A$200,0))="","",INDEX('Test catalog'!$O$2:$O$200,MATCH($AB346,'Test catalog'!$A$2:$A$200,0))),"")</f>
        <v/>
      </c>
      <c r="AB346" s="10" t="inlineStr">
        <is>
          <t>GRAV</t>
        </is>
      </c>
      <c r="AC346" s="10" t="inlineStr">
        <is>
          <t>Magnesium Oxide · Impurities</t>
        </is>
      </c>
      <c r="AD346" s="10" t="n"/>
      <c r="AE346" s="10" t="n"/>
    </row>
    <row r="347">
      <c r="A347" s="10" t="inlineStr">
        <is>
          <t>Magnesium Oxide Heavy</t>
        </is>
      </c>
      <c r="B347" s="10" t="inlineStr">
        <is>
          <t>RM</t>
        </is>
      </c>
      <c r="C347" s="10" t="inlineStr">
        <is>
          <t>Active</t>
        </is>
      </c>
      <c r="D347" s="10" t="inlineStr">
        <is>
          <t>Limit of Calcium</t>
        </is>
      </c>
      <c r="E347" s="10">
        <f>IF(A347="","",A347&amp;"|"&amp;D347)</f>
        <v/>
      </c>
      <c r="F347" s="5" t="inlineStr">
        <is>
          <t>Y</t>
        </is>
      </c>
      <c r="G347" s="5" t="inlineStr">
        <is>
          <t>AAS / ICP</t>
        </is>
      </c>
      <c r="H347" s="5" t="inlineStr">
        <is>
          <t>Low</t>
        </is>
      </c>
      <c r="I347" s="5" t="n">
        <v>1</v>
      </c>
      <c r="J347" s="5" t="n"/>
      <c r="K347" s="10">
        <f>IFERROR(IF(INDEX('Test catalog'!$F$2:$F$200,MATCH($AB347,'Test catalog'!$A$2:$A$200,0))="","",INDEX('Test catalog'!$F$2:$F$200,MATCH($AB347,'Test catalog'!$A$2:$A$200,0))),"")</f>
        <v/>
      </c>
      <c r="L347" s="10">
        <f>IFERROR(IF(INDEX('Test catalog'!$G$2:$G$200,MATCH($AB347,'Test catalog'!$A$2:$A$200,0))="","",INDEX('Test catalog'!$G$2:$G$200,MATCH($AB347,'Test catalog'!$A$2:$A$200,0))),"")</f>
        <v/>
      </c>
      <c r="M347" s="10">
        <f>IFERROR(IF(INDEX('Test catalog'!$H$2:$H$200,MATCH($AB347,'Test catalog'!$A$2:$A$200,0))="","",INDEX('Test catalog'!$H$2:$H$200,MATCH($AB347,'Test catalog'!$A$2:$A$200,0))),"")</f>
        <v/>
      </c>
      <c r="N347" s="10">
        <f>IFERROR(IF(INDEX('Test catalog'!$I$2:$I$200,MATCH($AB347,'Test catalog'!$A$2:$A$200,0))="","",INDEX('Test catalog'!$I$2:$I$200,MATCH($AB347,'Test catalog'!$A$2:$A$200,0))),"")</f>
        <v/>
      </c>
      <c r="O347" s="10">
        <f>IFERROR(IF(INDEX('Test catalog'!$J$2:$J$200,MATCH($AB347,'Test catalog'!$A$2:$A$200,0))="","",INDEX('Test catalog'!$J$2:$J$200,MATCH($AB347,'Test catalog'!$A$2:$A$200,0))),"")</f>
        <v/>
      </c>
      <c r="P347" s="14">
        <f>IF(N347="","",IF(OR(M347="",O347=""),N347,(M347+4*N347+O347)/6))</f>
        <v/>
      </c>
      <c r="Q347" s="10">
        <f>IFERROR(IF(INDEX('Test catalog'!$K$2:$K$200,MATCH($AB347,'Test catalog'!$A$2:$A$200,0))="","",INDEX('Test catalog'!$K$2:$K$200,MATCH($AB347,'Test catalog'!$A$2:$A$200,0))),"")</f>
        <v/>
      </c>
      <c r="R347" s="5" t="n"/>
      <c r="S347" s="10">
        <f>IFERROR(IF(INDEX('Test catalog'!$L$2:$L$200,MATCH($AB347,'Test catalog'!$A$2:$A$200,0))="","",INDEX('Test catalog'!$L$2:$L$200,MATCH($AB347,'Test catalog'!$A$2:$A$200,0))),"")</f>
        <v/>
      </c>
      <c r="T347" s="10">
        <f>IFERROR(IF(INDEX('Test catalog'!$M$2:$M$200,MATCH($AB347,'Test catalog'!$A$2:$A$200,0))="","",INDEX('Test catalog'!$M$2:$M$200,MATCH($AB347,'Test catalog'!$A$2:$A$200,0))),"")</f>
        <v/>
      </c>
      <c r="U347" s="10">
        <f>IFERROR(IF(INDEX('Test catalog'!$N$2:$N$200,MATCH($AB347,'Test catalog'!$A$2:$A$200,0))="","",INDEX('Test catalog'!$N$2:$N$200,MATCH($AB347,'Test catalog'!$A$2:$A$200,0))),"")</f>
        <v/>
      </c>
      <c r="V347" s="15" t="n"/>
      <c r="W347" s="5" t="inlineStr">
        <is>
          <t>N</t>
        </is>
      </c>
      <c r="X347" s="5" t="n"/>
      <c r="Y347" s="5" t="n"/>
      <c r="Z347" s="5" t="n"/>
      <c r="AA347" s="10">
        <f>IFERROR(IF(INDEX('Test catalog'!$O$2:$O$200,MATCH($AB347,'Test catalog'!$A$2:$A$200,0))="","",INDEX('Test catalog'!$O$2:$O$200,MATCH($AB347,'Test catalog'!$A$2:$A$200,0))),"")</f>
        <v/>
      </c>
      <c r="AB347" s="10" t="inlineStr">
        <is>
          <t>AAS</t>
        </is>
      </c>
      <c r="AC347" s="10" t="inlineStr">
        <is>
          <t>Magnesium Oxide · Impurities</t>
        </is>
      </c>
      <c r="AD347" s="10" t="n"/>
      <c r="AE347" s="10" t="n"/>
    </row>
    <row r="348">
      <c r="A348" s="10" t="inlineStr">
        <is>
          <t>Magnesium Oxide Heavy</t>
        </is>
      </c>
      <c r="B348" s="10" t="inlineStr">
        <is>
          <t>RM</t>
        </is>
      </c>
      <c r="C348" s="10" t="inlineStr">
        <is>
          <t>Active</t>
        </is>
      </c>
      <c r="D348" s="10" t="inlineStr">
        <is>
          <t>Iron</t>
        </is>
      </c>
      <c r="E348" s="10">
        <f>IF(A348="","",A348&amp;"|"&amp;D348)</f>
        <v/>
      </c>
      <c r="F348" s="5" t="inlineStr">
        <is>
          <t>Y</t>
        </is>
      </c>
      <c r="G348" s="5" t="inlineStr">
        <is>
          <t>Other / bench</t>
        </is>
      </c>
      <c r="H348" s="5" t="inlineStr">
        <is>
          <t>Low</t>
        </is>
      </c>
      <c r="I348" s="5" t="n">
        <v>1</v>
      </c>
      <c r="J348" s="5" t="n"/>
      <c r="K348" s="10">
        <f>IFERROR(IF(INDEX('Test catalog'!$F$2:$F$200,MATCH($AB348,'Test catalog'!$A$2:$A$200,0))="","",INDEX('Test catalog'!$F$2:$F$200,MATCH($AB348,'Test catalog'!$A$2:$A$200,0))),"")</f>
        <v/>
      </c>
      <c r="L348" s="10">
        <f>IFERROR(IF(INDEX('Test catalog'!$G$2:$G$200,MATCH($AB348,'Test catalog'!$A$2:$A$200,0))="","",INDEX('Test catalog'!$G$2:$G$200,MATCH($AB348,'Test catalog'!$A$2:$A$200,0))),"")</f>
        <v/>
      </c>
      <c r="M348" s="10">
        <f>IFERROR(IF(INDEX('Test catalog'!$H$2:$H$200,MATCH($AB348,'Test catalog'!$A$2:$A$200,0))="","",INDEX('Test catalog'!$H$2:$H$200,MATCH($AB348,'Test catalog'!$A$2:$A$200,0))),"")</f>
        <v/>
      </c>
      <c r="N348" s="10">
        <f>IFERROR(IF(INDEX('Test catalog'!$I$2:$I$200,MATCH($AB348,'Test catalog'!$A$2:$A$200,0))="","",INDEX('Test catalog'!$I$2:$I$200,MATCH($AB348,'Test catalog'!$A$2:$A$200,0))),"")</f>
        <v/>
      </c>
      <c r="O348" s="10">
        <f>IFERROR(IF(INDEX('Test catalog'!$J$2:$J$200,MATCH($AB348,'Test catalog'!$A$2:$A$200,0))="","",INDEX('Test catalog'!$J$2:$J$200,MATCH($AB348,'Test catalog'!$A$2:$A$200,0))),"")</f>
        <v/>
      </c>
      <c r="P348" s="14">
        <f>IF(N348="","",IF(OR(M348="",O348=""),N348,(M348+4*N348+O348)/6))</f>
        <v/>
      </c>
      <c r="Q348" s="10">
        <f>IFERROR(IF(INDEX('Test catalog'!$K$2:$K$200,MATCH($AB348,'Test catalog'!$A$2:$A$200,0))="","",INDEX('Test catalog'!$K$2:$K$200,MATCH($AB348,'Test catalog'!$A$2:$A$200,0))),"")</f>
        <v/>
      </c>
      <c r="R348" s="5" t="n"/>
      <c r="S348" s="10">
        <f>IFERROR(IF(INDEX('Test catalog'!$L$2:$L$200,MATCH($AB348,'Test catalog'!$A$2:$A$200,0))="","",INDEX('Test catalog'!$L$2:$L$200,MATCH($AB348,'Test catalog'!$A$2:$A$200,0))),"")</f>
        <v/>
      </c>
      <c r="T348" s="10">
        <f>IFERROR(IF(INDEX('Test catalog'!$M$2:$M$200,MATCH($AB348,'Test catalog'!$A$2:$A$200,0))="","",INDEX('Test catalog'!$M$2:$M$200,MATCH($AB348,'Test catalog'!$A$2:$A$200,0))),"")</f>
        <v/>
      </c>
      <c r="U348" s="10">
        <f>IFERROR(IF(INDEX('Test catalog'!$N$2:$N$200,MATCH($AB348,'Test catalog'!$A$2:$A$200,0))="","",INDEX('Test catalog'!$N$2:$N$200,MATCH($AB348,'Test catalog'!$A$2:$A$200,0))),"")</f>
        <v/>
      </c>
      <c r="V348" s="15" t="n"/>
      <c r="W348" s="5" t="inlineStr">
        <is>
          <t>N</t>
        </is>
      </c>
      <c r="X348" s="5" t="n"/>
      <c r="Y348" s="5" t="n"/>
      <c r="Z348" s="5" t="n"/>
      <c r="AA348" s="10">
        <f>IFERROR(IF(INDEX('Test catalog'!$O$2:$O$200,MATCH($AB348,'Test catalog'!$A$2:$A$200,0))="","",INDEX('Test catalog'!$O$2:$O$200,MATCH($AB348,'Test catalog'!$A$2:$A$200,0))),"")</f>
        <v/>
      </c>
      <c r="AB348" s="10" t="inlineStr">
        <is>
          <t>LIMIT</t>
        </is>
      </c>
      <c r="AC348" s="10" t="inlineStr">
        <is>
          <t>Magnesium Oxide · Impurities &lt;241&gt;</t>
        </is>
      </c>
      <c r="AD348" s="10" t="n"/>
      <c r="AE348" s="10" t="n"/>
    </row>
    <row r="349">
      <c r="A349" s="10" t="inlineStr">
        <is>
          <t>Magnesium Oxide Heavy</t>
        </is>
      </c>
      <c r="B349" s="10" t="inlineStr">
        <is>
          <t>RM</t>
        </is>
      </c>
      <c r="C349" s="10" t="inlineStr">
        <is>
          <t>Active</t>
        </is>
      </c>
      <c r="D349" s="10" t="inlineStr">
        <is>
          <t>Loss on Ignition</t>
        </is>
      </c>
      <c r="E349" s="10">
        <f>IF(A349="","",A349&amp;"|"&amp;D349)</f>
        <v/>
      </c>
      <c r="F349" s="5" t="inlineStr">
        <is>
          <t>Y</t>
        </is>
      </c>
      <c r="G349" s="5" t="inlineStr">
        <is>
          <t>Other / bench</t>
        </is>
      </c>
      <c r="H349" s="5" t="inlineStr">
        <is>
          <t>Low</t>
        </is>
      </c>
      <c r="I349" s="5" t="n">
        <v>1</v>
      </c>
      <c r="J349" s="5" t="n"/>
      <c r="K349" s="10">
        <f>IFERROR(IF(INDEX('Test catalog'!$F$2:$F$200,MATCH($AB349,'Test catalog'!$A$2:$A$200,0))="","",INDEX('Test catalog'!$F$2:$F$200,MATCH($AB349,'Test catalog'!$A$2:$A$200,0))),"")</f>
        <v/>
      </c>
      <c r="L349" s="10">
        <f>IFERROR(IF(INDEX('Test catalog'!$G$2:$G$200,MATCH($AB349,'Test catalog'!$A$2:$A$200,0))="","",INDEX('Test catalog'!$G$2:$G$200,MATCH($AB349,'Test catalog'!$A$2:$A$200,0))),"")</f>
        <v/>
      </c>
      <c r="M349" s="10">
        <f>IFERROR(IF(INDEX('Test catalog'!$H$2:$H$200,MATCH($AB349,'Test catalog'!$A$2:$A$200,0))="","",INDEX('Test catalog'!$H$2:$H$200,MATCH($AB349,'Test catalog'!$A$2:$A$200,0))),"")</f>
        <v/>
      </c>
      <c r="N349" s="10">
        <f>IFERROR(IF(INDEX('Test catalog'!$I$2:$I$200,MATCH($AB349,'Test catalog'!$A$2:$A$200,0))="","",INDEX('Test catalog'!$I$2:$I$200,MATCH($AB349,'Test catalog'!$A$2:$A$200,0))),"")</f>
        <v/>
      </c>
      <c r="O349" s="10">
        <f>IFERROR(IF(INDEX('Test catalog'!$J$2:$J$200,MATCH($AB349,'Test catalog'!$A$2:$A$200,0))="","",INDEX('Test catalog'!$J$2:$J$200,MATCH($AB349,'Test catalog'!$A$2:$A$200,0))),"")</f>
        <v/>
      </c>
      <c r="P349" s="14">
        <f>IF(N349="","",IF(OR(M349="",O349=""),N349,(M349+4*N349+O349)/6))</f>
        <v/>
      </c>
      <c r="Q349" s="10">
        <f>IFERROR(IF(INDEX('Test catalog'!$K$2:$K$200,MATCH($AB349,'Test catalog'!$A$2:$A$200,0))="","",INDEX('Test catalog'!$K$2:$K$200,MATCH($AB349,'Test catalog'!$A$2:$A$200,0))),"")</f>
        <v/>
      </c>
      <c r="R349" s="5" t="n"/>
      <c r="S349" s="10">
        <f>IFERROR(IF(INDEX('Test catalog'!$L$2:$L$200,MATCH($AB349,'Test catalog'!$A$2:$A$200,0))="","",INDEX('Test catalog'!$L$2:$L$200,MATCH($AB349,'Test catalog'!$A$2:$A$200,0))),"")</f>
        <v/>
      </c>
      <c r="T349" s="10">
        <f>IFERROR(IF(INDEX('Test catalog'!$M$2:$M$200,MATCH($AB349,'Test catalog'!$A$2:$A$200,0))="","",INDEX('Test catalog'!$M$2:$M$200,MATCH($AB349,'Test catalog'!$A$2:$A$200,0))),"")</f>
        <v/>
      </c>
      <c r="U349" s="10">
        <f>IFERROR(IF(INDEX('Test catalog'!$N$2:$N$200,MATCH($AB349,'Test catalog'!$A$2:$A$200,0))="","",INDEX('Test catalog'!$N$2:$N$200,MATCH($AB349,'Test catalog'!$A$2:$A$200,0))),"")</f>
        <v/>
      </c>
      <c r="V349" s="15" t="n"/>
      <c r="W349" s="5" t="inlineStr">
        <is>
          <t>N</t>
        </is>
      </c>
      <c r="X349" s="5" t="n"/>
      <c r="Y349" s="5" t="n"/>
      <c r="Z349" s="5" t="n"/>
      <c r="AA349" s="10">
        <f>IFERROR(IF(INDEX('Test catalog'!$O$2:$O$200,MATCH($AB349,'Test catalog'!$A$2:$A$200,0))="","",INDEX('Test catalog'!$O$2:$O$200,MATCH($AB349,'Test catalog'!$A$2:$A$200,0))),"")</f>
        <v/>
      </c>
      <c r="AB349" s="10" t="inlineStr">
        <is>
          <t>LOI</t>
        </is>
      </c>
      <c r="AC349" s="10" t="inlineStr">
        <is>
          <t>Magnesium Oxide · Specific Tests &lt;733&gt;</t>
        </is>
      </c>
      <c r="AD349" s="10" t="n"/>
      <c r="AE349" s="10" t="n"/>
    </row>
    <row r="350">
      <c r="A350" s="10" t="inlineStr">
        <is>
          <t>Magnesium Oxide Heavy</t>
        </is>
      </c>
      <c r="B350" s="10" t="inlineStr">
        <is>
          <t>RM</t>
        </is>
      </c>
      <c r="C350" s="10" t="inlineStr">
        <is>
          <t>Active</t>
        </is>
      </c>
      <c r="D350" s="10" t="inlineStr">
        <is>
          <t>Bulk Density of Powders</t>
        </is>
      </c>
      <c r="E350" s="10">
        <f>IF(A350="","",A350&amp;"|"&amp;D350)</f>
        <v/>
      </c>
      <c r="F350" s="5" t="inlineStr">
        <is>
          <t>Y</t>
        </is>
      </c>
      <c r="G350" s="5" t="inlineStr">
        <is>
          <t>Other / bench</t>
        </is>
      </c>
      <c r="H350" s="5" t="inlineStr">
        <is>
          <t>Low</t>
        </is>
      </c>
      <c r="I350" s="5" t="n">
        <v>1</v>
      </c>
      <c r="J350" s="5" t="n"/>
      <c r="K350" s="10">
        <f>IFERROR(IF(INDEX('Test catalog'!$F$2:$F$200,MATCH($AB350,'Test catalog'!$A$2:$A$200,0))="","",INDEX('Test catalog'!$F$2:$F$200,MATCH($AB350,'Test catalog'!$A$2:$A$200,0))),"")</f>
        <v/>
      </c>
      <c r="L350" s="10">
        <f>IFERROR(IF(INDEX('Test catalog'!$G$2:$G$200,MATCH($AB350,'Test catalog'!$A$2:$A$200,0))="","",INDEX('Test catalog'!$G$2:$G$200,MATCH($AB350,'Test catalog'!$A$2:$A$200,0))),"")</f>
        <v/>
      </c>
      <c r="M350" s="10">
        <f>IFERROR(IF(INDEX('Test catalog'!$H$2:$H$200,MATCH($AB350,'Test catalog'!$A$2:$A$200,0))="","",INDEX('Test catalog'!$H$2:$H$200,MATCH($AB350,'Test catalog'!$A$2:$A$200,0))),"")</f>
        <v/>
      </c>
      <c r="N350" s="10">
        <f>IFERROR(IF(INDEX('Test catalog'!$I$2:$I$200,MATCH($AB350,'Test catalog'!$A$2:$A$200,0))="","",INDEX('Test catalog'!$I$2:$I$200,MATCH($AB350,'Test catalog'!$A$2:$A$200,0))),"")</f>
        <v/>
      </c>
      <c r="O350" s="10">
        <f>IFERROR(IF(INDEX('Test catalog'!$J$2:$J$200,MATCH($AB350,'Test catalog'!$A$2:$A$200,0))="","",INDEX('Test catalog'!$J$2:$J$200,MATCH($AB350,'Test catalog'!$A$2:$A$200,0))),"")</f>
        <v/>
      </c>
      <c r="P350" s="14">
        <f>IF(N350="","",IF(OR(M350="",O350=""),N350,(M350+4*N350+O350)/6))</f>
        <v/>
      </c>
      <c r="Q350" s="10">
        <f>IFERROR(IF(INDEX('Test catalog'!$K$2:$K$200,MATCH($AB350,'Test catalog'!$A$2:$A$200,0))="","",INDEX('Test catalog'!$K$2:$K$200,MATCH($AB350,'Test catalog'!$A$2:$A$200,0))),"")</f>
        <v/>
      </c>
      <c r="R350" s="5" t="n"/>
      <c r="S350" s="10">
        <f>IFERROR(IF(INDEX('Test catalog'!$L$2:$L$200,MATCH($AB350,'Test catalog'!$A$2:$A$200,0))="","",INDEX('Test catalog'!$L$2:$L$200,MATCH($AB350,'Test catalog'!$A$2:$A$200,0))),"")</f>
        <v/>
      </c>
      <c r="T350" s="10">
        <f>IFERROR(IF(INDEX('Test catalog'!$M$2:$M$200,MATCH($AB350,'Test catalog'!$A$2:$A$200,0))="","",INDEX('Test catalog'!$M$2:$M$200,MATCH($AB350,'Test catalog'!$A$2:$A$200,0))),"")</f>
        <v/>
      </c>
      <c r="U350" s="10">
        <f>IFERROR(IF(INDEX('Test catalog'!$N$2:$N$200,MATCH($AB350,'Test catalog'!$A$2:$A$200,0))="","",INDEX('Test catalog'!$N$2:$N$200,MATCH($AB350,'Test catalog'!$A$2:$A$200,0))),"")</f>
        <v/>
      </c>
      <c r="V350" s="15" t="n"/>
      <c r="W350" s="5" t="inlineStr">
        <is>
          <t>N</t>
        </is>
      </c>
      <c r="X350" s="5" t="n"/>
      <c r="Y350" s="5" t="n"/>
      <c r="Z350" s="5" t="n"/>
      <c r="AA350" s="10">
        <f>IFERROR(IF(INDEX('Test catalog'!$O$2:$O$200,MATCH($AB350,'Test catalog'!$A$2:$A$200,0))="","",INDEX('Test catalog'!$O$2:$O$200,MATCH($AB350,'Test catalog'!$A$2:$A$200,0))),"")</f>
        <v/>
      </c>
      <c r="AB350" s="10" t="inlineStr">
        <is>
          <t>PHYS</t>
        </is>
      </c>
      <c r="AC350" s="10" t="inlineStr">
        <is>
          <t>Magnesium Oxide · Specific Tests &lt;616&gt;</t>
        </is>
      </c>
      <c r="AD350" s="10" t="n"/>
      <c r="AE350" s="10" t="n"/>
    </row>
    <row r="351">
      <c r="A351" s="10" t="inlineStr">
        <is>
          <t>Manganese Sulfate Monohydrate</t>
        </is>
      </c>
      <c r="B351" s="10" t="inlineStr">
        <is>
          <t>RM</t>
        </is>
      </c>
      <c r="C351" s="10" t="inlineStr">
        <is>
          <t>Active</t>
        </is>
      </c>
      <c r="D351" s="10" t="inlineStr">
        <is>
          <t>Appearance / description and solubility</t>
        </is>
      </c>
      <c r="E351" s="10">
        <f>IF(A351="","",A351&amp;"|"&amp;D351)</f>
        <v/>
      </c>
      <c r="F351" s="5" t="inlineStr">
        <is>
          <t>Y</t>
        </is>
      </c>
      <c r="G351" s="5" t="inlineStr">
        <is>
          <t>Other / bench</t>
        </is>
      </c>
      <c r="H351" s="5" t="inlineStr">
        <is>
          <t>Low</t>
        </is>
      </c>
      <c r="I351" s="5" t="n">
        <v>1</v>
      </c>
      <c r="J351" s="5" t="n"/>
      <c r="K351" s="10">
        <f>IFERROR(IF(INDEX('Test catalog'!$F$2:$F$200,MATCH($AB351,'Test catalog'!$A$2:$A$200,0))="","",INDEX('Test catalog'!$F$2:$F$200,MATCH($AB351,'Test catalog'!$A$2:$A$200,0))),"")</f>
        <v/>
      </c>
      <c r="L351" s="10">
        <f>IFERROR(IF(INDEX('Test catalog'!$G$2:$G$200,MATCH($AB351,'Test catalog'!$A$2:$A$200,0))="","",INDEX('Test catalog'!$G$2:$G$200,MATCH($AB351,'Test catalog'!$A$2:$A$200,0))),"")</f>
        <v/>
      </c>
      <c r="M351" s="10">
        <f>IFERROR(IF(INDEX('Test catalog'!$H$2:$H$200,MATCH($AB351,'Test catalog'!$A$2:$A$200,0))="","",INDEX('Test catalog'!$H$2:$H$200,MATCH($AB351,'Test catalog'!$A$2:$A$200,0))),"")</f>
        <v/>
      </c>
      <c r="N351" s="10">
        <f>IFERROR(IF(INDEX('Test catalog'!$I$2:$I$200,MATCH($AB351,'Test catalog'!$A$2:$A$200,0))="","",INDEX('Test catalog'!$I$2:$I$200,MATCH($AB351,'Test catalog'!$A$2:$A$200,0))),"")</f>
        <v/>
      </c>
      <c r="O351" s="10">
        <f>IFERROR(IF(INDEX('Test catalog'!$J$2:$J$200,MATCH($AB351,'Test catalog'!$A$2:$A$200,0))="","",INDEX('Test catalog'!$J$2:$J$200,MATCH($AB351,'Test catalog'!$A$2:$A$200,0))),"")</f>
        <v/>
      </c>
      <c r="P351" s="14">
        <f>IF(N351="","",IF(OR(M351="",O351=""),N351,(M351+4*N351+O351)/6))</f>
        <v/>
      </c>
      <c r="Q351" s="10">
        <f>IFERROR(IF(INDEX('Test catalog'!$K$2:$K$200,MATCH($AB351,'Test catalog'!$A$2:$A$200,0))="","",INDEX('Test catalog'!$K$2:$K$200,MATCH($AB351,'Test catalog'!$A$2:$A$200,0))),"")</f>
        <v/>
      </c>
      <c r="R351" s="5" t="n"/>
      <c r="S351" s="10">
        <f>IFERROR(IF(INDEX('Test catalog'!$L$2:$L$200,MATCH($AB351,'Test catalog'!$A$2:$A$200,0))="","",INDEX('Test catalog'!$L$2:$L$200,MATCH($AB351,'Test catalog'!$A$2:$A$200,0))),"")</f>
        <v/>
      </c>
      <c r="T351" s="10">
        <f>IFERROR(IF(INDEX('Test catalog'!$M$2:$M$200,MATCH($AB351,'Test catalog'!$A$2:$A$200,0))="","",INDEX('Test catalog'!$M$2:$M$200,MATCH($AB351,'Test catalog'!$A$2:$A$200,0))),"")</f>
        <v/>
      </c>
      <c r="U351" s="10">
        <f>IFERROR(IF(INDEX('Test catalog'!$N$2:$N$200,MATCH($AB351,'Test catalog'!$A$2:$A$200,0))="","",INDEX('Test catalog'!$N$2:$N$200,MATCH($AB351,'Test catalog'!$A$2:$A$200,0))),"")</f>
        <v/>
      </c>
      <c r="V351" s="15" t="n"/>
      <c r="W351" s="5" t="inlineStr">
        <is>
          <t>N</t>
        </is>
      </c>
      <c r="X351" s="5" t="n"/>
      <c r="Y351" s="5" t="n"/>
      <c r="Z351" s="5" t="n"/>
      <c r="AA351" s="10">
        <f>IFERROR(IF(INDEX('Test catalog'!$O$2:$O$200,MATCH($AB351,'Test catalog'!$A$2:$A$200,0))="","",INDEX('Test catalog'!$O$2:$O$200,MATCH($AB351,'Test catalog'!$A$2:$A$200,0))),"")</f>
        <v/>
      </c>
      <c r="AB351" s="10" t="inlineStr">
        <is>
          <t>APPEAR</t>
        </is>
      </c>
      <c r="AC351" s="10" t="inlineStr">
        <is>
          <t>Lab practice (not a USP test)</t>
        </is>
      </c>
      <c r="AD351" s="10" t="n"/>
      <c r="AE351" s="10" t="n"/>
    </row>
    <row r="352">
      <c r="A352" s="10" t="inlineStr">
        <is>
          <t>Manganese Sulfate Monohydrate</t>
        </is>
      </c>
      <c r="B352" s="10" t="inlineStr">
        <is>
          <t>RM</t>
        </is>
      </c>
      <c r="C352" s="10" t="inlineStr">
        <is>
          <t>Active</t>
        </is>
      </c>
      <c r="D352" s="10" t="inlineStr">
        <is>
          <t>ID A - chemical reaction</t>
        </is>
      </c>
      <c r="E352" s="10">
        <f>IF(A352="","",A352&amp;"|"&amp;D352)</f>
        <v/>
      </c>
      <c r="F352" s="5" t="inlineStr">
        <is>
          <t>Y</t>
        </is>
      </c>
      <c r="G352" s="5" t="inlineStr">
        <is>
          <t>Other / bench</t>
        </is>
      </c>
      <c r="H352" s="5" t="inlineStr">
        <is>
          <t>Low</t>
        </is>
      </c>
      <c r="I352" s="5" t="n">
        <v>1</v>
      </c>
      <c r="J352" s="5" t="n"/>
      <c r="K352" s="10">
        <f>IFERROR(IF(INDEX('Test catalog'!$F$2:$F$200,MATCH($AB352,'Test catalog'!$A$2:$A$200,0))="","",INDEX('Test catalog'!$F$2:$F$200,MATCH($AB352,'Test catalog'!$A$2:$A$200,0))),"")</f>
        <v/>
      </c>
      <c r="L352" s="10">
        <f>IFERROR(IF(INDEX('Test catalog'!$G$2:$G$200,MATCH($AB352,'Test catalog'!$A$2:$A$200,0))="","",INDEX('Test catalog'!$G$2:$G$200,MATCH($AB352,'Test catalog'!$A$2:$A$200,0))),"")</f>
        <v/>
      </c>
      <c r="M352" s="10">
        <f>IFERROR(IF(INDEX('Test catalog'!$H$2:$H$200,MATCH($AB352,'Test catalog'!$A$2:$A$200,0))="","",INDEX('Test catalog'!$H$2:$H$200,MATCH($AB352,'Test catalog'!$A$2:$A$200,0))),"")</f>
        <v/>
      </c>
      <c r="N352" s="10">
        <f>IFERROR(IF(INDEX('Test catalog'!$I$2:$I$200,MATCH($AB352,'Test catalog'!$A$2:$A$200,0))="","",INDEX('Test catalog'!$I$2:$I$200,MATCH($AB352,'Test catalog'!$A$2:$A$200,0))),"")</f>
        <v/>
      </c>
      <c r="O352" s="10">
        <f>IFERROR(IF(INDEX('Test catalog'!$J$2:$J$200,MATCH($AB352,'Test catalog'!$A$2:$A$200,0))="","",INDEX('Test catalog'!$J$2:$J$200,MATCH($AB352,'Test catalog'!$A$2:$A$200,0))),"")</f>
        <v/>
      </c>
      <c r="P352" s="14">
        <f>IF(N352="","",IF(OR(M352="",O352=""),N352,(M352+4*N352+O352)/6))</f>
        <v/>
      </c>
      <c r="Q352" s="10">
        <f>IFERROR(IF(INDEX('Test catalog'!$K$2:$K$200,MATCH($AB352,'Test catalog'!$A$2:$A$200,0))="","",INDEX('Test catalog'!$K$2:$K$200,MATCH($AB352,'Test catalog'!$A$2:$A$200,0))),"")</f>
        <v/>
      </c>
      <c r="R352" s="5" t="n"/>
      <c r="S352" s="10">
        <f>IFERROR(IF(INDEX('Test catalog'!$L$2:$L$200,MATCH($AB352,'Test catalog'!$A$2:$A$200,0))="","",INDEX('Test catalog'!$L$2:$L$200,MATCH($AB352,'Test catalog'!$A$2:$A$200,0))),"")</f>
        <v/>
      </c>
      <c r="T352" s="10">
        <f>IFERROR(IF(INDEX('Test catalog'!$M$2:$M$200,MATCH($AB352,'Test catalog'!$A$2:$A$200,0))="","",INDEX('Test catalog'!$M$2:$M$200,MATCH($AB352,'Test catalog'!$A$2:$A$200,0))),"")</f>
        <v/>
      </c>
      <c r="U352" s="10">
        <f>IFERROR(IF(INDEX('Test catalog'!$N$2:$N$200,MATCH($AB352,'Test catalog'!$A$2:$A$200,0))="","",INDEX('Test catalog'!$N$2:$N$200,MATCH($AB352,'Test catalog'!$A$2:$A$200,0))),"")</f>
        <v/>
      </c>
      <c r="V352" s="15" t="n"/>
      <c r="W352" s="5" t="inlineStr">
        <is>
          <t>N</t>
        </is>
      </c>
      <c r="X352" s="5" t="n"/>
      <c r="Y352" s="5" t="n"/>
      <c r="Z352" s="5" t="n"/>
      <c r="AA352" s="10">
        <f>IFERROR(IF(INDEX('Test catalog'!$O$2:$O$200,MATCH($AB352,'Test catalog'!$A$2:$A$200,0))="","",INDEX('Test catalog'!$O$2:$O$200,MATCH($AB352,'Test catalog'!$A$2:$A$200,0))),"")</f>
        <v/>
      </c>
      <c r="AB352" s="10" t="inlineStr">
        <is>
          <t>ID_CHEM</t>
        </is>
      </c>
      <c r="AC352" s="10" t="inlineStr">
        <is>
          <t>Manganese Sulfate · Identification &lt;191&gt;</t>
        </is>
      </c>
      <c r="AD352" s="10" t="n"/>
      <c r="AE352" s="10" t="n"/>
    </row>
    <row r="353">
      <c r="A353" s="10" t="inlineStr">
        <is>
          <t>Manganese Sulfate Monohydrate</t>
        </is>
      </c>
      <c r="B353" s="10" t="inlineStr">
        <is>
          <t>RM</t>
        </is>
      </c>
      <c r="C353" s="10" t="inlineStr">
        <is>
          <t>Active</t>
        </is>
      </c>
      <c r="D353" s="10" t="inlineStr">
        <is>
          <t>ID B - chemical reaction</t>
        </is>
      </c>
      <c r="E353" s="10">
        <f>IF(A353="","",A353&amp;"|"&amp;D353)</f>
        <v/>
      </c>
      <c r="F353" s="5" t="inlineStr">
        <is>
          <t>Y</t>
        </is>
      </c>
      <c r="G353" s="5" t="inlineStr">
        <is>
          <t>Other / bench</t>
        </is>
      </c>
      <c r="H353" s="5" t="inlineStr">
        <is>
          <t>Low</t>
        </is>
      </c>
      <c r="I353" s="5" t="n">
        <v>1</v>
      </c>
      <c r="J353" s="5" t="n"/>
      <c r="K353" s="10">
        <f>IFERROR(IF(INDEX('Test catalog'!$F$2:$F$200,MATCH($AB353,'Test catalog'!$A$2:$A$200,0))="","",INDEX('Test catalog'!$F$2:$F$200,MATCH($AB353,'Test catalog'!$A$2:$A$200,0))),"")</f>
        <v/>
      </c>
      <c r="L353" s="10">
        <f>IFERROR(IF(INDEX('Test catalog'!$G$2:$G$200,MATCH($AB353,'Test catalog'!$A$2:$A$200,0))="","",INDEX('Test catalog'!$G$2:$G$200,MATCH($AB353,'Test catalog'!$A$2:$A$200,0))),"")</f>
        <v/>
      </c>
      <c r="M353" s="10">
        <f>IFERROR(IF(INDEX('Test catalog'!$H$2:$H$200,MATCH($AB353,'Test catalog'!$A$2:$A$200,0))="","",INDEX('Test catalog'!$H$2:$H$200,MATCH($AB353,'Test catalog'!$A$2:$A$200,0))),"")</f>
        <v/>
      </c>
      <c r="N353" s="10">
        <f>IFERROR(IF(INDEX('Test catalog'!$I$2:$I$200,MATCH($AB353,'Test catalog'!$A$2:$A$200,0))="","",INDEX('Test catalog'!$I$2:$I$200,MATCH($AB353,'Test catalog'!$A$2:$A$200,0))),"")</f>
        <v/>
      </c>
      <c r="O353" s="10">
        <f>IFERROR(IF(INDEX('Test catalog'!$J$2:$J$200,MATCH($AB353,'Test catalog'!$A$2:$A$200,0))="","",INDEX('Test catalog'!$J$2:$J$200,MATCH($AB353,'Test catalog'!$A$2:$A$200,0))),"")</f>
        <v/>
      </c>
      <c r="P353" s="14">
        <f>IF(N353="","",IF(OR(M353="",O353=""),N353,(M353+4*N353+O353)/6))</f>
        <v/>
      </c>
      <c r="Q353" s="10">
        <f>IFERROR(IF(INDEX('Test catalog'!$K$2:$K$200,MATCH($AB353,'Test catalog'!$A$2:$A$200,0))="","",INDEX('Test catalog'!$K$2:$K$200,MATCH($AB353,'Test catalog'!$A$2:$A$200,0))),"")</f>
        <v/>
      </c>
      <c r="R353" s="5" t="n"/>
      <c r="S353" s="10">
        <f>IFERROR(IF(INDEX('Test catalog'!$L$2:$L$200,MATCH($AB353,'Test catalog'!$A$2:$A$200,0))="","",INDEX('Test catalog'!$L$2:$L$200,MATCH($AB353,'Test catalog'!$A$2:$A$200,0))),"")</f>
        <v/>
      </c>
      <c r="T353" s="10">
        <f>IFERROR(IF(INDEX('Test catalog'!$M$2:$M$200,MATCH($AB353,'Test catalog'!$A$2:$A$200,0))="","",INDEX('Test catalog'!$M$2:$M$200,MATCH($AB353,'Test catalog'!$A$2:$A$200,0))),"")</f>
        <v/>
      </c>
      <c r="U353" s="10">
        <f>IFERROR(IF(INDEX('Test catalog'!$N$2:$N$200,MATCH($AB353,'Test catalog'!$A$2:$A$200,0))="","",INDEX('Test catalog'!$N$2:$N$200,MATCH($AB353,'Test catalog'!$A$2:$A$200,0))),"")</f>
        <v/>
      </c>
      <c r="V353" s="15" t="n"/>
      <c r="W353" s="5" t="inlineStr">
        <is>
          <t>N</t>
        </is>
      </c>
      <c r="X353" s="5" t="n"/>
      <c r="Y353" s="5" t="n"/>
      <c r="Z353" s="5" t="n"/>
      <c r="AA353" s="10">
        <f>IFERROR(IF(INDEX('Test catalog'!$O$2:$O$200,MATCH($AB353,'Test catalog'!$A$2:$A$200,0))="","",INDEX('Test catalog'!$O$2:$O$200,MATCH($AB353,'Test catalog'!$A$2:$A$200,0))),"")</f>
        <v/>
      </c>
      <c r="AB353" s="10" t="inlineStr">
        <is>
          <t>ID_CHEM</t>
        </is>
      </c>
      <c r="AC353" s="10" t="inlineStr">
        <is>
          <t>Manganese Sulfate · Identification &lt;191&gt;</t>
        </is>
      </c>
      <c r="AD353" s="10" t="n"/>
      <c r="AE353" s="10" t="n"/>
    </row>
    <row r="354">
      <c r="A354" s="10" t="inlineStr">
        <is>
          <t>Manganese Sulfate Monohydrate</t>
        </is>
      </c>
      <c r="B354" s="10" t="inlineStr">
        <is>
          <t>RM</t>
        </is>
      </c>
      <c r="C354" s="10" t="inlineStr">
        <is>
          <t>Active</t>
        </is>
      </c>
      <c r="D354" s="10" t="inlineStr">
        <is>
          <t>Assay</t>
        </is>
      </c>
      <c r="E354" s="10">
        <f>IF(A354="","",A354&amp;"|"&amp;D354)</f>
        <v/>
      </c>
      <c r="F354" s="5" t="inlineStr">
        <is>
          <t>Y</t>
        </is>
      </c>
      <c r="G354" s="5" t="inlineStr">
        <is>
          <t>Other / bench</t>
        </is>
      </c>
      <c r="H354" s="5" t="inlineStr">
        <is>
          <t>Low</t>
        </is>
      </c>
      <c r="I354" s="5" t="n">
        <v>1</v>
      </c>
      <c r="J354" s="5" t="n"/>
      <c r="K354" s="10">
        <f>IFERROR(IF(INDEX('Test catalog'!$F$2:$F$200,MATCH($AB354,'Test catalog'!$A$2:$A$200,0))="","",INDEX('Test catalog'!$F$2:$F$200,MATCH($AB354,'Test catalog'!$A$2:$A$200,0))),"")</f>
        <v/>
      </c>
      <c r="L354" s="10">
        <f>IFERROR(IF(INDEX('Test catalog'!$G$2:$G$200,MATCH($AB354,'Test catalog'!$A$2:$A$200,0))="","",INDEX('Test catalog'!$G$2:$G$200,MATCH($AB354,'Test catalog'!$A$2:$A$200,0))),"")</f>
        <v/>
      </c>
      <c r="M354" s="10">
        <f>IFERROR(IF(INDEX('Test catalog'!$H$2:$H$200,MATCH($AB354,'Test catalog'!$A$2:$A$200,0))="","",INDEX('Test catalog'!$H$2:$H$200,MATCH($AB354,'Test catalog'!$A$2:$A$200,0))),"")</f>
        <v/>
      </c>
      <c r="N354" s="10">
        <f>IFERROR(IF(INDEX('Test catalog'!$I$2:$I$200,MATCH($AB354,'Test catalog'!$A$2:$A$200,0))="","",INDEX('Test catalog'!$I$2:$I$200,MATCH($AB354,'Test catalog'!$A$2:$A$200,0))),"")</f>
        <v/>
      </c>
      <c r="O354" s="10">
        <f>IFERROR(IF(INDEX('Test catalog'!$J$2:$J$200,MATCH($AB354,'Test catalog'!$A$2:$A$200,0))="","",INDEX('Test catalog'!$J$2:$J$200,MATCH($AB354,'Test catalog'!$A$2:$A$200,0))),"")</f>
        <v/>
      </c>
      <c r="P354" s="14">
        <f>IF(N354="","",IF(OR(M354="",O354=""),N354,(M354+4*N354+O354)/6))</f>
        <v/>
      </c>
      <c r="Q354" s="10">
        <f>IFERROR(IF(INDEX('Test catalog'!$K$2:$K$200,MATCH($AB354,'Test catalog'!$A$2:$A$200,0))="","",INDEX('Test catalog'!$K$2:$K$200,MATCH($AB354,'Test catalog'!$A$2:$A$200,0))),"")</f>
        <v/>
      </c>
      <c r="R354" s="5" t="n"/>
      <c r="S354" s="10">
        <f>IFERROR(IF(INDEX('Test catalog'!$L$2:$L$200,MATCH($AB354,'Test catalog'!$A$2:$A$200,0))="","",INDEX('Test catalog'!$L$2:$L$200,MATCH($AB354,'Test catalog'!$A$2:$A$200,0))),"")</f>
        <v/>
      </c>
      <c r="T354" s="10">
        <f>IFERROR(IF(INDEX('Test catalog'!$M$2:$M$200,MATCH($AB354,'Test catalog'!$A$2:$A$200,0))="","",INDEX('Test catalog'!$M$2:$M$200,MATCH($AB354,'Test catalog'!$A$2:$A$200,0))),"")</f>
        <v/>
      </c>
      <c r="U354" s="10">
        <f>IFERROR(IF(INDEX('Test catalog'!$N$2:$N$200,MATCH($AB354,'Test catalog'!$A$2:$A$200,0))="","",INDEX('Test catalog'!$N$2:$N$200,MATCH($AB354,'Test catalog'!$A$2:$A$200,0))),"")</f>
        <v/>
      </c>
      <c r="V354" s="15" t="n"/>
      <c r="W354" s="5" t="inlineStr">
        <is>
          <t>N</t>
        </is>
      </c>
      <c r="X354" s="5" t="n"/>
      <c r="Y354" s="5" t="n"/>
      <c r="Z354" s="5" t="n"/>
      <c r="AA354" s="10">
        <f>IFERROR(IF(INDEX('Test catalog'!$O$2:$O$200,MATCH($AB354,'Test catalog'!$A$2:$A$200,0))="","",INDEX('Test catalog'!$O$2:$O$200,MATCH($AB354,'Test catalog'!$A$2:$A$200,0))),"")</f>
        <v/>
      </c>
      <c r="AB354" s="10" t="inlineStr">
        <is>
          <t>TITR</t>
        </is>
      </c>
      <c r="AC354" s="10" t="inlineStr">
        <is>
          <t>Manganese Sulfate · Assay</t>
        </is>
      </c>
      <c r="AD354" s="10" t="n"/>
      <c r="AE354" s="10" t="n"/>
    </row>
    <row r="355">
      <c r="A355" s="10" t="inlineStr">
        <is>
          <t>Manganese Sulfate Monohydrate</t>
        </is>
      </c>
      <c r="B355" s="10" t="inlineStr">
        <is>
          <t>RM</t>
        </is>
      </c>
      <c r="C355" s="10" t="inlineStr">
        <is>
          <t>Active</t>
        </is>
      </c>
      <c r="D355" s="10" t="inlineStr">
        <is>
          <t>Substances Not Precipitated by Ammonium Sulfide</t>
        </is>
      </c>
      <c r="E355" s="10">
        <f>IF(A355="","",A355&amp;"|"&amp;D355)</f>
        <v/>
      </c>
      <c r="F355" s="5" t="inlineStr">
        <is>
          <t>Y</t>
        </is>
      </c>
      <c r="G355" s="5" t="inlineStr">
        <is>
          <t>Other / bench</t>
        </is>
      </c>
      <c r="H355" s="5" t="inlineStr">
        <is>
          <t>Low</t>
        </is>
      </c>
      <c r="I355" s="5" t="n">
        <v>1</v>
      </c>
      <c r="J355" s="5" t="n"/>
      <c r="K355" s="10">
        <f>IFERROR(IF(INDEX('Test catalog'!$F$2:$F$200,MATCH($AB355,'Test catalog'!$A$2:$A$200,0))="","",INDEX('Test catalog'!$F$2:$F$200,MATCH($AB355,'Test catalog'!$A$2:$A$200,0))),"")</f>
        <v/>
      </c>
      <c r="L355" s="10">
        <f>IFERROR(IF(INDEX('Test catalog'!$G$2:$G$200,MATCH($AB355,'Test catalog'!$A$2:$A$200,0))="","",INDEX('Test catalog'!$G$2:$G$200,MATCH($AB355,'Test catalog'!$A$2:$A$200,0))),"")</f>
        <v/>
      </c>
      <c r="M355" s="10">
        <f>IFERROR(IF(INDEX('Test catalog'!$H$2:$H$200,MATCH($AB355,'Test catalog'!$A$2:$A$200,0))="","",INDEX('Test catalog'!$H$2:$H$200,MATCH($AB355,'Test catalog'!$A$2:$A$200,0))),"")</f>
        <v/>
      </c>
      <c r="N355" s="10">
        <f>IFERROR(IF(INDEX('Test catalog'!$I$2:$I$200,MATCH($AB355,'Test catalog'!$A$2:$A$200,0))="","",INDEX('Test catalog'!$I$2:$I$200,MATCH($AB355,'Test catalog'!$A$2:$A$200,0))),"")</f>
        <v/>
      </c>
      <c r="O355" s="10">
        <f>IFERROR(IF(INDEX('Test catalog'!$J$2:$J$200,MATCH($AB355,'Test catalog'!$A$2:$A$200,0))="","",INDEX('Test catalog'!$J$2:$J$200,MATCH($AB355,'Test catalog'!$A$2:$A$200,0))),"")</f>
        <v/>
      </c>
      <c r="P355" s="14">
        <f>IF(N355="","",IF(OR(M355="",O355=""),N355,(M355+4*N355+O355)/6))</f>
        <v/>
      </c>
      <c r="Q355" s="10">
        <f>IFERROR(IF(INDEX('Test catalog'!$K$2:$K$200,MATCH($AB355,'Test catalog'!$A$2:$A$200,0))="","",INDEX('Test catalog'!$K$2:$K$200,MATCH($AB355,'Test catalog'!$A$2:$A$200,0))),"")</f>
        <v/>
      </c>
      <c r="R355" s="5" t="n"/>
      <c r="S355" s="10">
        <f>IFERROR(IF(INDEX('Test catalog'!$L$2:$L$200,MATCH($AB355,'Test catalog'!$A$2:$A$200,0))="","",INDEX('Test catalog'!$L$2:$L$200,MATCH($AB355,'Test catalog'!$A$2:$A$200,0))),"")</f>
        <v/>
      </c>
      <c r="T355" s="10">
        <f>IFERROR(IF(INDEX('Test catalog'!$M$2:$M$200,MATCH($AB355,'Test catalog'!$A$2:$A$200,0))="","",INDEX('Test catalog'!$M$2:$M$200,MATCH($AB355,'Test catalog'!$A$2:$A$200,0))),"")</f>
        <v/>
      </c>
      <c r="U355" s="10">
        <f>IFERROR(IF(INDEX('Test catalog'!$N$2:$N$200,MATCH($AB355,'Test catalog'!$A$2:$A$200,0))="","",INDEX('Test catalog'!$N$2:$N$200,MATCH($AB355,'Test catalog'!$A$2:$A$200,0))),"")</f>
        <v/>
      </c>
      <c r="V355" s="15" t="n"/>
      <c r="W355" s="5" t="inlineStr">
        <is>
          <t>N</t>
        </is>
      </c>
      <c r="X355" s="5" t="n"/>
      <c r="Y355" s="5" t="n"/>
      <c r="Z355" s="5" t="n"/>
      <c r="AA355" s="10">
        <f>IFERROR(IF(INDEX('Test catalog'!$O$2:$O$200,MATCH($AB355,'Test catalog'!$A$2:$A$200,0))="","",INDEX('Test catalog'!$O$2:$O$200,MATCH($AB355,'Test catalog'!$A$2:$A$200,0))),"")</f>
        <v/>
      </c>
      <c r="AB355" s="10" t="inlineStr">
        <is>
          <t>LIMIT</t>
        </is>
      </c>
      <c r="AC355" s="10" t="inlineStr">
        <is>
          <t>Manganese Sulfate · Impurities</t>
        </is>
      </c>
      <c r="AD355" s="10" t="n"/>
      <c r="AE355" s="10" t="n"/>
    </row>
    <row r="356">
      <c r="A356" s="10" t="inlineStr">
        <is>
          <t>Manganese Sulfate Monohydrate</t>
        </is>
      </c>
      <c r="B356" s="10" t="inlineStr">
        <is>
          <t>RM</t>
        </is>
      </c>
      <c r="C356" s="10" t="inlineStr">
        <is>
          <t>Active</t>
        </is>
      </c>
      <c r="D356" s="10" t="inlineStr">
        <is>
          <t>Loss on Ignition</t>
        </is>
      </c>
      <c r="E356" s="10">
        <f>IF(A356="","",A356&amp;"|"&amp;D356)</f>
        <v/>
      </c>
      <c r="F356" s="5" t="inlineStr">
        <is>
          <t>Y</t>
        </is>
      </c>
      <c r="G356" s="5" t="inlineStr">
        <is>
          <t>Other / bench</t>
        </is>
      </c>
      <c r="H356" s="5" t="inlineStr">
        <is>
          <t>Low</t>
        </is>
      </c>
      <c r="I356" s="5" t="n">
        <v>1</v>
      </c>
      <c r="J356" s="5" t="n"/>
      <c r="K356" s="10">
        <f>IFERROR(IF(INDEX('Test catalog'!$F$2:$F$200,MATCH($AB356,'Test catalog'!$A$2:$A$200,0))="","",INDEX('Test catalog'!$F$2:$F$200,MATCH($AB356,'Test catalog'!$A$2:$A$200,0))),"")</f>
        <v/>
      </c>
      <c r="L356" s="10">
        <f>IFERROR(IF(INDEX('Test catalog'!$G$2:$G$200,MATCH($AB356,'Test catalog'!$A$2:$A$200,0))="","",INDEX('Test catalog'!$G$2:$G$200,MATCH($AB356,'Test catalog'!$A$2:$A$200,0))),"")</f>
        <v/>
      </c>
      <c r="M356" s="10">
        <f>IFERROR(IF(INDEX('Test catalog'!$H$2:$H$200,MATCH($AB356,'Test catalog'!$A$2:$A$200,0))="","",INDEX('Test catalog'!$H$2:$H$200,MATCH($AB356,'Test catalog'!$A$2:$A$200,0))),"")</f>
        <v/>
      </c>
      <c r="N356" s="10">
        <f>IFERROR(IF(INDEX('Test catalog'!$I$2:$I$200,MATCH($AB356,'Test catalog'!$A$2:$A$200,0))="","",INDEX('Test catalog'!$I$2:$I$200,MATCH($AB356,'Test catalog'!$A$2:$A$200,0))),"")</f>
        <v/>
      </c>
      <c r="O356" s="10">
        <f>IFERROR(IF(INDEX('Test catalog'!$J$2:$J$200,MATCH($AB356,'Test catalog'!$A$2:$A$200,0))="","",INDEX('Test catalog'!$J$2:$J$200,MATCH($AB356,'Test catalog'!$A$2:$A$200,0))),"")</f>
        <v/>
      </c>
      <c r="P356" s="14">
        <f>IF(N356="","",IF(OR(M356="",O356=""),N356,(M356+4*N356+O356)/6))</f>
        <v/>
      </c>
      <c r="Q356" s="10">
        <f>IFERROR(IF(INDEX('Test catalog'!$K$2:$K$200,MATCH($AB356,'Test catalog'!$A$2:$A$200,0))="","",INDEX('Test catalog'!$K$2:$K$200,MATCH($AB356,'Test catalog'!$A$2:$A$200,0))),"")</f>
        <v/>
      </c>
      <c r="R356" s="5" t="n"/>
      <c r="S356" s="10">
        <f>IFERROR(IF(INDEX('Test catalog'!$L$2:$L$200,MATCH($AB356,'Test catalog'!$A$2:$A$200,0))="","",INDEX('Test catalog'!$L$2:$L$200,MATCH($AB356,'Test catalog'!$A$2:$A$200,0))),"")</f>
        <v/>
      </c>
      <c r="T356" s="10">
        <f>IFERROR(IF(INDEX('Test catalog'!$M$2:$M$200,MATCH($AB356,'Test catalog'!$A$2:$A$200,0))="","",INDEX('Test catalog'!$M$2:$M$200,MATCH($AB356,'Test catalog'!$A$2:$A$200,0))),"")</f>
        <v/>
      </c>
      <c r="U356" s="10">
        <f>IFERROR(IF(INDEX('Test catalog'!$N$2:$N$200,MATCH($AB356,'Test catalog'!$A$2:$A$200,0))="","",INDEX('Test catalog'!$N$2:$N$200,MATCH($AB356,'Test catalog'!$A$2:$A$200,0))),"")</f>
        <v/>
      </c>
      <c r="V356" s="15" t="n"/>
      <c r="W356" s="5" t="inlineStr">
        <is>
          <t>N</t>
        </is>
      </c>
      <c r="X356" s="5" t="n"/>
      <c r="Y356" s="5" t="n"/>
      <c r="Z356" s="5" t="n"/>
      <c r="AA356" s="10">
        <f>IFERROR(IF(INDEX('Test catalog'!$O$2:$O$200,MATCH($AB356,'Test catalog'!$A$2:$A$200,0))="","",INDEX('Test catalog'!$O$2:$O$200,MATCH($AB356,'Test catalog'!$A$2:$A$200,0))),"")</f>
        <v/>
      </c>
      <c r="AB356" s="10" t="inlineStr">
        <is>
          <t>LOI</t>
        </is>
      </c>
      <c r="AC356" s="10" t="inlineStr">
        <is>
          <t>Manganese Sulfate · Specific Tests &lt;733&gt;</t>
        </is>
      </c>
      <c r="AD356" s="10" t="n"/>
      <c r="AE356" s="10" t="n"/>
    </row>
    <row r="357">
      <c r="A357" s="10" t="inlineStr">
        <is>
          <t>Marshmallow Dry Extract 3:1</t>
        </is>
      </c>
      <c r="B357" s="10" t="inlineStr">
        <is>
          <t>RM</t>
        </is>
      </c>
      <c r="C357" s="10" t="inlineStr">
        <is>
          <t>Active</t>
        </is>
      </c>
      <c r="D357" s="10" t="inlineStr">
        <is>
          <t>Assay + related substances</t>
        </is>
      </c>
      <c r="E357" s="10">
        <f>IF(A357="","",A357&amp;"|"&amp;D357)</f>
        <v/>
      </c>
      <c r="F357" s="5" t="inlineStr">
        <is>
          <t>Y</t>
        </is>
      </c>
      <c r="G357" s="5" t="inlineStr">
        <is>
          <t>HPLC</t>
        </is>
      </c>
      <c r="H357" s="5" t="inlineStr">
        <is>
          <t>Medium</t>
        </is>
      </c>
      <c r="I357" s="5" t="n">
        <v>1</v>
      </c>
      <c r="J357" s="5" t="n"/>
      <c r="K357" s="5" t="n"/>
      <c r="L357" s="5" t="n"/>
      <c r="M357" s="5" t="n"/>
      <c r="N357" s="5" t="n"/>
      <c r="O357" s="5" t="n"/>
      <c r="P357" s="14">
        <f>IF(N357="","",IF(OR(M357="",O357=""),N357,(M357+4*N357+O357)/6))</f>
        <v/>
      </c>
      <c r="Q357" s="5" t="n"/>
      <c r="R357" s="5" t="n"/>
      <c r="S357" s="5" t="n"/>
      <c r="T357" s="5" t="n"/>
      <c r="U357" s="5" t="n"/>
      <c r="V357" s="15" t="n"/>
      <c r="W357" s="5" t="inlineStr">
        <is>
          <t>N</t>
        </is>
      </c>
      <c r="X357" s="5" t="n"/>
      <c r="Y357" s="5" t="n"/>
      <c r="Z357" s="5" t="n"/>
      <c r="AA357" s="5" t="n"/>
      <c r="AB357" s="10" t="n"/>
      <c r="AC357" s="10" t="n"/>
      <c r="AD357" s="10" t="inlineStr">
        <is>
          <t>No USP-NF monograph - in-house / supplier spec</t>
        </is>
      </c>
      <c r="AE357" s="10" t="n"/>
      <c r="AF357" s="10" t="n"/>
    </row>
    <row r="358">
      <c r="A358" s="10" t="inlineStr">
        <is>
          <t>Marshmallow Dry Extract 3:1</t>
        </is>
      </c>
      <c r="B358" s="10" t="inlineStr">
        <is>
          <t>RM</t>
        </is>
      </c>
      <c r="C358" s="10" t="inlineStr">
        <is>
          <t>Active</t>
        </is>
      </c>
      <c r="D358" s="10" t="inlineStr">
        <is>
          <t>Other compendial tests (ID, LOD/KF, heavy metals...)</t>
        </is>
      </c>
      <c r="E358" s="10">
        <f>IF(A358="","",A358&amp;"|"&amp;D358)</f>
        <v/>
      </c>
      <c r="F358" s="5" t="inlineStr">
        <is>
          <t>Y</t>
        </is>
      </c>
      <c r="G358" s="5" t="inlineStr">
        <is>
          <t>Other / bench</t>
        </is>
      </c>
      <c r="H358" s="5" t="inlineStr">
        <is>
          <t>Low</t>
        </is>
      </c>
      <c r="I358" s="5" t="n">
        <v>1</v>
      </c>
      <c r="J358" s="5" t="n"/>
      <c r="K358" s="5" t="n"/>
      <c r="L358" s="5" t="n"/>
      <c r="M358" s="5" t="n"/>
      <c r="N358" s="5" t="n"/>
      <c r="O358" s="5" t="n"/>
      <c r="P358" s="14">
        <f>IF(N358="","",IF(OR(M358="",O358=""),N358,(M358+4*N358+O358)/6))</f>
        <v/>
      </c>
      <c r="Q358" s="5" t="n"/>
      <c r="R358" s="5" t="n"/>
      <c r="S358" s="5" t="n"/>
      <c r="T358" s="5" t="n"/>
      <c r="U358" s="5" t="n"/>
      <c r="V358" s="15" t="n"/>
      <c r="W358" s="5" t="inlineStr">
        <is>
          <t>N</t>
        </is>
      </c>
      <c r="X358" s="5" t="n"/>
      <c r="Y358" s="5" t="n"/>
      <c r="Z358" s="5" t="n"/>
      <c r="AA358" s="5" t="n"/>
      <c r="AB358" s="10" t="n"/>
      <c r="AC358" s="10" t="n"/>
      <c r="AD358" s="10" t="inlineStr">
        <is>
          <t>No USP-NF monograph - in-house / supplier spec</t>
        </is>
      </c>
      <c r="AE358" s="10" t="n"/>
      <c r="AF358" s="10" t="n"/>
    </row>
    <row r="359">
      <c r="A359" s="10" t="inlineStr">
        <is>
          <t>Metformin Hydrochloride</t>
        </is>
      </c>
      <c r="B359" s="10" t="inlineStr">
        <is>
          <t>RM</t>
        </is>
      </c>
      <c r="C359" s="10" t="inlineStr">
        <is>
          <t>Active</t>
        </is>
      </c>
      <c r="D359" s="10" t="inlineStr">
        <is>
          <t>Appearance / description and solubility</t>
        </is>
      </c>
      <c r="E359" s="10">
        <f>IF(A359="","",A359&amp;"|"&amp;D359)</f>
        <v/>
      </c>
      <c r="F359" s="5" t="inlineStr">
        <is>
          <t>Y</t>
        </is>
      </c>
      <c r="G359" s="5" t="inlineStr">
        <is>
          <t>Other / bench</t>
        </is>
      </c>
      <c r="H359" s="5" t="inlineStr">
        <is>
          <t>Low</t>
        </is>
      </c>
      <c r="I359" s="5" t="n">
        <v>1</v>
      </c>
      <c r="J359" s="5" t="n"/>
      <c r="K359" s="10">
        <f>IFERROR(IF(INDEX('Test catalog'!$F$2:$F$200,MATCH($AB359,'Test catalog'!$A$2:$A$200,0))="","",INDEX('Test catalog'!$F$2:$F$200,MATCH($AB359,'Test catalog'!$A$2:$A$200,0))),"")</f>
        <v/>
      </c>
      <c r="L359" s="10">
        <f>IFERROR(IF(INDEX('Test catalog'!$G$2:$G$200,MATCH($AB359,'Test catalog'!$A$2:$A$200,0))="","",INDEX('Test catalog'!$G$2:$G$200,MATCH($AB359,'Test catalog'!$A$2:$A$200,0))),"")</f>
        <v/>
      </c>
      <c r="M359" s="10">
        <f>IFERROR(IF(INDEX('Test catalog'!$H$2:$H$200,MATCH($AB359,'Test catalog'!$A$2:$A$200,0))="","",INDEX('Test catalog'!$H$2:$H$200,MATCH($AB359,'Test catalog'!$A$2:$A$200,0))),"")</f>
        <v/>
      </c>
      <c r="N359" s="10">
        <f>IFERROR(IF(INDEX('Test catalog'!$I$2:$I$200,MATCH($AB359,'Test catalog'!$A$2:$A$200,0))="","",INDEX('Test catalog'!$I$2:$I$200,MATCH($AB359,'Test catalog'!$A$2:$A$200,0))),"")</f>
        <v/>
      </c>
      <c r="O359" s="10">
        <f>IFERROR(IF(INDEX('Test catalog'!$J$2:$J$200,MATCH($AB359,'Test catalog'!$A$2:$A$200,0))="","",INDEX('Test catalog'!$J$2:$J$200,MATCH($AB359,'Test catalog'!$A$2:$A$200,0))),"")</f>
        <v/>
      </c>
      <c r="P359" s="14">
        <f>IF(N359="","",IF(OR(M359="",O359=""),N359,(M359+4*N359+O359)/6))</f>
        <v/>
      </c>
      <c r="Q359" s="10">
        <f>IFERROR(IF(INDEX('Test catalog'!$K$2:$K$200,MATCH($AB359,'Test catalog'!$A$2:$A$200,0))="","",INDEX('Test catalog'!$K$2:$K$200,MATCH($AB359,'Test catalog'!$A$2:$A$200,0))),"")</f>
        <v/>
      </c>
      <c r="R359" s="5" t="n"/>
      <c r="S359" s="10">
        <f>IFERROR(IF(INDEX('Test catalog'!$L$2:$L$200,MATCH($AB359,'Test catalog'!$A$2:$A$200,0))="","",INDEX('Test catalog'!$L$2:$L$200,MATCH($AB359,'Test catalog'!$A$2:$A$200,0))),"")</f>
        <v/>
      </c>
      <c r="T359" s="10">
        <f>IFERROR(IF(INDEX('Test catalog'!$M$2:$M$200,MATCH($AB359,'Test catalog'!$A$2:$A$200,0))="","",INDEX('Test catalog'!$M$2:$M$200,MATCH($AB359,'Test catalog'!$A$2:$A$200,0))),"")</f>
        <v/>
      </c>
      <c r="U359" s="10">
        <f>IFERROR(IF(INDEX('Test catalog'!$N$2:$N$200,MATCH($AB359,'Test catalog'!$A$2:$A$200,0))="","",INDEX('Test catalog'!$N$2:$N$200,MATCH($AB359,'Test catalog'!$A$2:$A$200,0))),"")</f>
        <v/>
      </c>
      <c r="V359" s="15" t="n"/>
      <c r="W359" s="5" t="inlineStr">
        <is>
          <t>N</t>
        </is>
      </c>
      <c r="X359" s="5" t="n"/>
      <c r="Y359" s="5" t="n"/>
      <c r="Z359" s="5" t="n"/>
      <c r="AA359" s="10">
        <f>IFERROR(IF(INDEX('Test catalog'!$O$2:$O$200,MATCH($AB359,'Test catalog'!$A$2:$A$200,0))="","",INDEX('Test catalog'!$O$2:$O$200,MATCH($AB359,'Test catalog'!$A$2:$A$200,0))),"")</f>
        <v/>
      </c>
      <c r="AB359" s="10" t="inlineStr">
        <is>
          <t>APPEAR</t>
        </is>
      </c>
      <c r="AC359" s="10" t="inlineStr">
        <is>
          <t>Lab practice (not a USP test)</t>
        </is>
      </c>
      <c r="AD359" s="10" t="n"/>
      <c r="AE359" s="10" t="n"/>
    </row>
    <row r="360">
      <c r="A360" s="10" t="inlineStr">
        <is>
          <t>Metformin Hydrochloride</t>
        </is>
      </c>
      <c r="B360" s="10" t="inlineStr">
        <is>
          <t>RM</t>
        </is>
      </c>
      <c r="C360" s="10" t="inlineStr">
        <is>
          <t>Active</t>
        </is>
      </c>
      <c r="D360" s="10" t="inlineStr">
        <is>
          <t>ID A - IR spectrum</t>
        </is>
      </c>
      <c r="E360" s="10">
        <f>IF(A360="","",A360&amp;"|"&amp;D360)</f>
        <v/>
      </c>
      <c r="F360" s="5" t="inlineStr">
        <is>
          <t>Y</t>
        </is>
      </c>
      <c r="G360" s="5" t="inlineStr">
        <is>
          <t>Other / bench</t>
        </is>
      </c>
      <c r="H360" s="5" t="inlineStr">
        <is>
          <t>Low</t>
        </is>
      </c>
      <c r="I360" s="5" t="n">
        <v>1</v>
      </c>
      <c r="J360" s="5" t="n"/>
      <c r="K360" s="10">
        <f>IFERROR(IF(INDEX('Test catalog'!$F$2:$F$200,MATCH($AB360,'Test catalog'!$A$2:$A$200,0))="","",INDEX('Test catalog'!$F$2:$F$200,MATCH($AB360,'Test catalog'!$A$2:$A$200,0))),"")</f>
        <v/>
      </c>
      <c r="L360" s="10">
        <f>IFERROR(IF(INDEX('Test catalog'!$G$2:$G$200,MATCH($AB360,'Test catalog'!$A$2:$A$200,0))="","",INDEX('Test catalog'!$G$2:$G$200,MATCH($AB360,'Test catalog'!$A$2:$A$200,0))),"")</f>
        <v/>
      </c>
      <c r="M360" s="10">
        <f>IFERROR(IF(INDEX('Test catalog'!$H$2:$H$200,MATCH($AB360,'Test catalog'!$A$2:$A$200,0))="","",INDEX('Test catalog'!$H$2:$H$200,MATCH($AB360,'Test catalog'!$A$2:$A$200,0))),"")</f>
        <v/>
      </c>
      <c r="N360" s="10">
        <f>IFERROR(IF(INDEX('Test catalog'!$I$2:$I$200,MATCH($AB360,'Test catalog'!$A$2:$A$200,0))="","",INDEX('Test catalog'!$I$2:$I$200,MATCH($AB360,'Test catalog'!$A$2:$A$200,0))),"")</f>
        <v/>
      </c>
      <c r="O360" s="10">
        <f>IFERROR(IF(INDEX('Test catalog'!$J$2:$J$200,MATCH($AB360,'Test catalog'!$A$2:$A$200,0))="","",INDEX('Test catalog'!$J$2:$J$200,MATCH($AB360,'Test catalog'!$A$2:$A$200,0))),"")</f>
        <v/>
      </c>
      <c r="P360" s="14">
        <f>IF(N360="","",IF(OR(M360="",O360=""),N360,(M360+4*N360+O360)/6))</f>
        <v/>
      </c>
      <c r="Q360" s="10">
        <f>IFERROR(IF(INDEX('Test catalog'!$K$2:$K$200,MATCH($AB360,'Test catalog'!$A$2:$A$200,0))="","",INDEX('Test catalog'!$K$2:$K$200,MATCH($AB360,'Test catalog'!$A$2:$A$200,0))),"")</f>
        <v/>
      </c>
      <c r="R360" s="5" t="n"/>
      <c r="S360" s="10">
        <f>IFERROR(IF(INDEX('Test catalog'!$L$2:$L$200,MATCH($AB360,'Test catalog'!$A$2:$A$200,0))="","",INDEX('Test catalog'!$L$2:$L$200,MATCH($AB360,'Test catalog'!$A$2:$A$200,0))),"")</f>
        <v/>
      </c>
      <c r="T360" s="10">
        <f>IFERROR(IF(INDEX('Test catalog'!$M$2:$M$200,MATCH($AB360,'Test catalog'!$A$2:$A$200,0))="","",INDEX('Test catalog'!$M$2:$M$200,MATCH($AB360,'Test catalog'!$A$2:$A$200,0))),"")</f>
        <v/>
      </c>
      <c r="U360" s="10">
        <f>IFERROR(IF(INDEX('Test catalog'!$N$2:$N$200,MATCH($AB360,'Test catalog'!$A$2:$A$200,0))="","",INDEX('Test catalog'!$N$2:$N$200,MATCH($AB360,'Test catalog'!$A$2:$A$200,0))),"")</f>
        <v/>
      </c>
      <c r="V360" s="15" t="n"/>
      <c r="W360" s="5" t="inlineStr">
        <is>
          <t>N</t>
        </is>
      </c>
      <c r="X360" s="5" t="n"/>
      <c r="Y360" s="5" t="n"/>
      <c r="Z360" s="5" t="n"/>
      <c r="AA360" s="10">
        <f>IFERROR(IF(INDEX('Test catalog'!$O$2:$O$200,MATCH($AB360,'Test catalog'!$A$2:$A$200,0))="","",INDEX('Test catalog'!$O$2:$O$200,MATCH($AB360,'Test catalog'!$A$2:$A$200,0))),"")</f>
        <v/>
      </c>
      <c r="AB360" s="10" t="inlineStr">
        <is>
          <t>ID_IR</t>
        </is>
      </c>
      <c r="AC360" s="10" t="inlineStr">
        <is>
          <t>Metformin Hydrochloride · Identification &lt;197&gt;</t>
        </is>
      </c>
      <c r="AD360" s="10" t="n"/>
      <c r="AE360" s="10" t="n"/>
    </row>
    <row r="361">
      <c r="A361" s="10" t="inlineStr">
        <is>
          <t>Metformin Hydrochloride</t>
        </is>
      </c>
      <c r="B361" s="10" t="inlineStr">
        <is>
          <t>RM</t>
        </is>
      </c>
      <c r="C361" s="10" t="inlineStr">
        <is>
          <t>Active</t>
        </is>
      </c>
      <c r="D361" s="10" t="inlineStr">
        <is>
          <t>ID B - chemical reaction</t>
        </is>
      </c>
      <c r="E361" s="10">
        <f>IF(A361="","",A361&amp;"|"&amp;D361)</f>
        <v/>
      </c>
      <c r="F361" s="5" t="inlineStr">
        <is>
          <t>Y</t>
        </is>
      </c>
      <c r="G361" s="5" t="inlineStr">
        <is>
          <t>Other / bench</t>
        </is>
      </c>
      <c r="H361" s="5" t="inlineStr">
        <is>
          <t>Low</t>
        </is>
      </c>
      <c r="I361" s="5" t="n">
        <v>1</v>
      </c>
      <c r="J361" s="5" t="n"/>
      <c r="K361" s="10">
        <f>IFERROR(IF(INDEX('Test catalog'!$F$2:$F$200,MATCH($AB361,'Test catalog'!$A$2:$A$200,0))="","",INDEX('Test catalog'!$F$2:$F$200,MATCH($AB361,'Test catalog'!$A$2:$A$200,0))),"")</f>
        <v/>
      </c>
      <c r="L361" s="10">
        <f>IFERROR(IF(INDEX('Test catalog'!$G$2:$G$200,MATCH($AB361,'Test catalog'!$A$2:$A$200,0))="","",INDEX('Test catalog'!$G$2:$G$200,MATCH($AB361,'Test catalog'!$A$2:$A$200,0))),"")</f>
        <v/>
      </c>
      <c r="M361" s="10">
        <f>IFERROR(IF(INDEX('Test catalog'!$H$2:$H$200,MATCH($AB361,'Test catalog'!$A$2:$A$200,0))="","",INDEX('Test catalog'!$H$2:$H$200,MATCH($AB361,'Test catalog'!$A$2:$A$200,0))),"")</f>
        <v/>
      </c>
      <c r="N361" s="10">
        <f>IFERROR(IF(INDEX('Test catalog'!$I$2:$I$200,MATCH($AB361,'Test catalog'!$A$2:$A$200,0))="","",INDEX('Test catalog'!$I$2:$I$200,MATCH($AB361,'Test catalog'!$A$2:$A$200,0))),"")</f>
        <v/>
      </c>
      <c r="O361" s="10">
        <f>IFERROR(IF(INDEX('Test catalog'!$J$2:$J$200,MATCH($AB361,'Test catalog'!$A$2:$A$200,0))="","",INDEX('Test catalog'!$J$2:$J$200,MATCH($AB361,'Test catalog'!$A$2:$A$200,0))),"")</f>
        <v/>
      </c>
      <c r="P361" s="14">
        <f>IF(N361="","",IF(OR(M361="",O361=""),N361,(M361+4*N361+O361)/6))</f>
        <v/>
      </c>
      <c r="Q361" s="10">
        <f>IFERROR(IF(INDEX('Test catalog'!$K$2:$K$200,MATCH($AB361,'Test catalog'!$A$2:$A$200,0))="","",INDEX('Test catalog'!$K$2:$K$200,MATCH($AB361,'Test catalog'!$A$2:$A$200,0))),"")</f>
        <v/>
      </c>
      <c r="R361" s="5" t="n"/>
      <c r="S361" s="10">
        <f>IFERROR(IF(INDEX('Test catalog'!$L$2:$L$200,MATCH($AB361,'Test catalog'!$A$2:$A$200,0))="","",INDEX('Test catalog'!$L$2:$L$200,MATCH($AB361,'Test catalog'!$A$2:$A$200,0))),"")</f>
        <v/>
      </c>
      <c r="T361" s="10">
        <f>IFERROR(IF(INDEX('Test catalog'!$M$2:$M$200,MATCH($AB361,'Test catalog'!$A$2:$A$200,0))="","",INDEX('Test catalog'!$M$2:$M$200,MATCH($AB361,'Test catalog'!$A$2:$A$200,0))),"")</f>
        <v/>
      </c>
      <c r="U361" s="10">
        <f>IFERROR(IF(INDEX('Test catalog'!$N$2:$N$200,MATCH($AB361,'Test catalog'!$A$2:$A$200,0))="","",INDEX('Test catalog'!$N$2:$N$200,MATCH($AB361,'Test catalog'!$A$2:$A$200,0))),"")</f>
        <v/>
      </c>
      <c r="V361" s="15" t="n"/>
      <c r="W361" s="5" t="inlineStr">
        <is>
          <t>N</t>
        </is>
      </c>
      <c r="X361" s="5" t="n"/>
      <c r="Y361" s="5" t="n"/>
      <c r="Z361" s="5" t="n"/>
      <c r="AA361" s="10">
        <f>IFERROR(IF(INDEX('Test catalog'!$O$2:$O$200,MATCH($AB361,'Test catalog'!$A$2:$A$200,0))="","",INDEX('Test catalog'!$O$2:$O$200,MATCH($AB361,'Test catalog'!$A$2:$A$200,0))),"")</f>
        <v/>
      </c>
      <c r="AB361" s="10" t="inlineStr">
        <is>
          <t>ID_CHEM</t>
        </is>
      </c>
      <c r="AC361" s="10" t="inlineStr">
        <is>
          <t>Metformin Hydrochloride · Identification &lt;191&gt;</t>
        </is>
      </c>
      <c r="AD361" s="10" t="n"/>
      <c r="AE361" s="10" t="n"/>
    </row>
    <row r="362">
      <c r="A362" s="10" t="inlineStr">
        <is>
          <t>Metformin Hydrochloride</t>
        </is>
      </c>
      <c r="B362" s="10" t="inlineStr">
        <is>
          <t>RM</t>
        </is>
      </c>
      <c r="C362" s="10" t="inlineStr">
        <is>
          <t>Active</t>
        </is>
      </c>
      <c r="D362" s="10" t="inlineStr">
        <is>
          <t>Assay (HPLC)</t>
        </is>
      </c>
      <c r="E362" s="10">
        <f>IF(A362="","",A362&amp;"|"&amp;D362)</f>
        <v/>
      </c>
      <c r="F362" s="5" t="inlineStr">
        <is>
          <t>Y</t>
        </is>
      </c>
      <c r="G362" s="5" t="inlineStr">
        <is>
          <t>HPLC</t>
        </is>
      </c>
      <c r="H362" s="5" t="inlineStr">
        <is>
          <t>Medium</t>
        </is>
      </c>
      <c r="I362" s="5" t="n">
        <v>1</v>
      </c>
      <c r="J362" s="5" t="n"/>
      <c r="K362" s="5" t="n"/>
      <c r="L362" s="5" t="n"/>
      <c r="M362" s="5" t="n"/>
      <c r="N362" s="5" t="n"/>
      <c r="O362" s="5" t="n"/>
      <c r="P362" s="14">
        <f>IF(N362="","",IF(OR(M362="",O362=""),N362,(M362+4*N362+O362)/6))</f>
        <v/>
      </c>
      <c r="Q362" s="5" t="n"/>
      <c r="R362" s="5" t="n"/>
      <c r="S362" s="5" t="n"/>
      <c r="T362" s="5" t="n"/>
      <c r="U362" s="5" t="n"/>
      <c r="V362" s="15" t="n"/>
      <c r="W362" s="5" t="inlineStr">
        <is>
          <t>N</t>
        </is>
      </c>
      <c r="X362" s="5" t="n"/>
      <c r="Y362" s="5" t="n"/>
      <c r="Z362" s="5" t="n"/>
      <c r="AA362" s="5" t="n"/>
      <c r="AB362" s="10" t="n"/>
      <c r="AC362" s="10" t="inlineStr">
        <is>
          <t>Metformin Hydrochloride · Assay</t>
        </is>
      </c>
      <c r="AD362" s="10" t="n"/>
      <c r="AE362" s="10" t="n"/>
    </row>
    <row r="363">
      <c r="A363" s="10" t="inlineStr">
        <is>
          <t>Metformin Hydrochloride</t>
        </is>
      </c>
      <c r="B363" s="10" t="inlineStr">
        <is>
          <t>RM</t>
        </is>
      </c>
      <c r="C363" s="10" t="inlineStr">
        <is>
          <t>Active</t>
        </is>
      </c>
      <c r="D363" s="10" t="inlineStr">
        <is>
          <t>Residue on Ignition</t>
        </is>
      </c>
      <c r="E363" s="10">
        <f>IF(A363="","",A363&amp;"|"&amp;D363)</f>
        <v/>
      </c>
      <c r="F363" s="5" t="inlineStr">
        <is>
          <t>Y</t>
        </is>
      </c>
      <c r="G363" s="5" t="inlineStr">
        <is>
          <t>Other / bench</t>
        </is>
      </c>
      <c r="H363" s="5" t="inlineStr">
        <is>
          <t>Low</t>
        </is>
      </c>
      <c r="I363" s="5" t="n">
        <v>1</v>
      </c>
      <c r="J363" s="5" t="n"/>
      <c r="K363" s="10">
        <f>IFERROR(IF(INDEX('Test catalog'!$F$2:$F$200,MATCH($AB363,'Test catalog'!$A$2:$A$200,0))="","",INDEX('Test catalog'!$F$2:$F$200,MATCH($AB363,'Test catalog'!$A$2:$A$200,0))),"")</f>
        <v/>
      </c>
      <c r="L363" s="10">
        <f>IFERROR(IF(INDEX('Test catalog'!$G$2:$G$200,MATCH($AB363,'Test catalog'!$A$2:$A$200,0))="","",INDEX('Test catalog'!$G$2:$G$200,MATCH($AB363,'Test catalog'!$A$2:$A$200,0))),"")</f>
        <v/>
      </c>
      <c r="M363" s="10">
        <f>IFERROR(IF(INDEX('Test catalog'!$H$2:$H$200,MATCH($AB363,'Test catalog'!$A$2:$A$200,0))="","",INDEX('Test catalog'!$H$2:$H$200,MATCH($AB363,'Test catalog'!$A$2:$A$200,0))),"")</f>
        <v/>
      </c>
      <c r="N363" s="10">
        <f>IFERROR(IF(INDEX('Test catalog'!$I$2:$I$200,MATCH($AB363,'Test catalog'!$A$2:$A$200,0))="","",INDEX('Test catalog'!$I$2:$I$200,MATCH($AB363,'Test catalog'!$A$2:$A$200,0))),"")</f>
        <v/>
      </c>
      <c r="O363" s="10">
        <f>IFERROR(IF(INDEX('Test catalog'!$J$2:$J$200,MATCH($AB363,'Test catalog'!$A$2:$A$200,0))="","",INDEX('Test catalog'!$J$2:$J$200,MATCH($AB363,'Test catalog'!$A$2:$A$200,0))),"")</f>
        <v/>
      </c>
      <c r="P363" s="14">
        <f>IF(N363="","",IF(OR(M363="",O363=""),N363,(M363+4*N363+O363)/6))</f>
        <v/>
      </c>
      <c r="Q363" s="10">
        <f>IFERROR(IF(INDEX('Test catalog'!$K$2:$K$200,MATCH($AB363,'Test catalog'!$A$2:$A$200,0))="","",INDEX('Test catalog'!$K$2:$K$200,MATCH($AB363,'Test catalog'!$A$2:$A$200,0))),"")</f>
        <v/>
      </c>
      <c r="R363" s="5" t="n"/>
      <c r="S363" s="10">
        <f>IFERROR(IF(INDEX('Test catalog'!$L$2:$L$200,MATCH($AB363,'Test catalog'!$A$2:$A$200,0))="","",INDEX('Test catalog'!$L$2:$L$200,MATCH($AB363,'Test catalog'!$A$2:$A$200,0))),"")</f>
        <v/>
      </c>
      <c r="T363" s="10">
        <f>IFERROR(IF(INDEX('Test catalog'!$M$2:$M$200,MATCH($AB363,'Test catalog'!$A$2:$A$200,0))="","",INDEX('Test catalog'!$M$2:$M$200,MATCH($AB363,'Test catalog'!$A$2:$A$200,0))),"")</f>
        <v/>
      </c>
      <c r="U363" s="10">
        <f>IFERROR(IF(INDEX('Test catalog'!$N$2:$N$200,MATCH($AB363,'Test catalog'!$A$2:$A$200,0))="","",INDEX('Test catalog'!$N$2:$N$200,MATCH($AB363,'Test catalog'!$A$2:$A$200,0))),"")</f>
        <v/>
      </c>
      <c r="V363" s="15" t="n"/>
      <c r="W363" s="5" t="inlineStr">
        <is>
          <t>N</t>
        </is>
      </c>
      <c r="X363" s="5" t="n"/>
      <c r="Y363" s="5" t="n"/>
      <c r="Z363" s="5" t="n"/>
      <c r="AA363" s="10">
        <f>IFERROR(IF(INDEX('Test catalog'!$O$2:$O$200,MATCH($AB363,'Test catalog'!$A$2:$A$200,0))="","",INDEX('Test catalog'!$O$2:$O$200,MATCH($AB363,'Test catalog'!$A$2:$A$200,0))),"")</f>
        <v/>
      </c>
      <c r="AB363" s="10" t="inlineStr">
        <is>
          <t>ROI</t>
        </is>
      </c>
      <c r="AC363" s="10" t="inlineStr">
        <is>
          <t>Metformin Hydrochloride · Impurities &lt;281&gt;</t>
        </is>
      </c>
      <c r="AD363" s="10" t="n"/>
      <c r="AE363" s="10" t="n"/>
    </row>
    <row r="364">
      <c r="A364" s="10" t="inlineStr">
        <is>
          <t>Metformin Hydrochloride</t>
        </is>
      </c>
      <c r="B364" s="10" t="inlineStr">
        <is>
          <t>RM</t>
        </is>
      </c>
      <c r="C364" s="10" t="inlineStr">
        <is>
          <t>Active</t>
        </is>
      </c>
      <c r="D364" s="10" t="inlineStr">
        <is>
          <t>Organic Impurities (HPLC)</t>
        </is>
      </c>
      <c r="E364" s="10">
        <f>IF(A364="","",A364&amp;"|"&amp;D364)</f>
        <v/>
      </c>
      <c r="F364" s="5" t="inlineStr">
        <is>
          <t>Y</t>
        </is>
      </c>
      <c r="G364" s="5" t="inlineStr">
        <is>
          <t>HPLC</t>
        </is>
      </c>
      <c r="H364" s="5" t="inlineStr">
        <is>
          <t>Medium</t>
        </is>
      </c>
      <c r="I364" s="5" t="n">
        <v>1</v>
      </c>
      <c r="J364" s="5" t="n"/>
      <c r="K364" s="5" t="n"/>
      <c r="L364" s="5" t="n"/>
      <c r="M364" s="5" t="n"/>
      <c r="N364" s="5" t="n"/>
      <c r="O364" s="5" t="n"/>
      <c r="P364" s="14">
        <f>IF(N364="","",IF(OR(M364="",O364=""),N364,(M364+4*N364+O364)/6))</f>
        <v/>
      </c>
      <c r="Q364" s="5" t="n"/>
      <c r="R364" s="5" t="n"/>
      <c r="S364" s="5" t="n"/>
      <c r="T364" s="5" t="n"/>
      <c r="U364" s="5" t="n"/>
      <c r="V364" s="15" t="n"/>
      <c r="W364" s="5" t="inlineStr">
        <is>
          <t>N</t>
        </is>
      </c>
      <c r="X364" s="5" t="n"/>
      <c r="Y364" s="5" t="n"/>
      <c r="Z364" s="5" t="n"/>
      <c r="AA364" s="5" t="n"/>
      <c r="AB364" s="10" t="n"/>
      <c r="AC364" s="10" t="inlineStr">
        <is>
          <t>Metformin Hydrochloride · Impurities</t>
        </is>
      </c>
      <c r="AD364" s="10" t="n"/>
      <c r="AE364" s="10" t="n"/>
    </row>
    <row r="365">
      <c r="A365" s="10" t="inlineStr">
        <is>
          <t>Metformin Hydrochloride</t>
        </is>
      </c>
      <c r="B365" s="10" t="inlineStr">
        <is>
          <t>RM</t>
        </is>
      </c>
      <c r="C365" s="10" t="inlineStr">
        <is>
          <t>Active</t>
        </is>
      </c>
      <c r="D365" s="10" t="inlineStr">
        <is>
          <t>Loss on Drying</t>
        </is>
      </c>
      <c r="E365" s="10">
        <f>IF(A365="","",A365&amp;"|"&amp;D365)</f>
        <v/>
      </c>
      <c r="F365" s="5" t="inlineStr">
        <is>
          <t>Y</t>
        </is>
      </c>
      <c r="G365" s="5" t="inlineStr">
        <is>
          <t>Other / bench</t>
        </is>
      </c>
      <c r="H365" s="5" t="inlineStr">
        <is>
          <t>Low</t>
        </is>
      </c>
      <c r="I365" s="5" t="n">
        <v>1</v>
      </c>
      <c r="J365" s="5" t="n"/>
      <c r="K365" s="10">
        <f>IFERROR(IF(INDEX('Test catalog'!$F$2:$F$200,MATCH($AB365,'Test catalog'!$A$2:$A$200,0))="","",INDEX('Test catalog'!$F$2:$F$200,MATCH($AB365,'Test catalog'!$A$2:$A$200,0))),"")</f>
        <v/>
      </c>
      <c r="L365" s="10">
        <f>IFERROR(IF(INDEX('Test catalog'!$G$2:$G$200,MATCH($AB365,'Test catalog'!$A$2:$A$200,0))="","",INDEX('Test catalog'!$G$2:$G$200,MATCH($AB365,'Test catalog'!$A$2:$A$200,0))),"")</f>
        <v/>
      </c>
      <c r="M365" s="10">
        <f>IFERROR(IF(INDEX('Test catalog'!$H$2:$H$200,MATCH($AB365,'Test catalog'!$A$2:$A$200,0))="","",INDEX('Test catalog'!$H$2:$H$200,MATCH($AB365,'Test catalog'!$A$2:$A$200,0))),"")</f>
        <v/>
      </c>
      <c r="N365" s="10">
        <f>IFERROR(IF(INDEX('Test catalog'!$I$2:$I$200,MATCH($AB365,'Test catalog'!$A$2:$A$200,0))="","",INDEX('Test catalog'!$I$2:$I$200,MATCH($AB365,'Test catalog'!$A$2:$A$200,0))),"")</f>
        <v/>
      </c>
      <c r="O365" s="10">
        <f>IFERROR(IF(INDEX('Test catalog'!$J$2:$J$200,MATCH($AB365,'Test catalog'!$A$2:$A$200,0))="","",INDEX('Test catalog'!$J$2:$J$200,MATCH($AB365,'Test catalog'!$A$2:$A$200,0))),"")</f>
        <v/>
      </c>
      <c r="P365" s="14">
        <f>IF(N365="","",IF(OR(M365="",O365=""),N365,(M365+4*N365+O365)/6))</f>
        <v/>
      </c>
      <c r="Q365" s="10">
        <f>IFERROR(IF(INDEX('Test catalog'!$K$2:$K$200,MATCH($AB365,'Test catalog'!$A$2:$A$200,0))="","",INDEX('Test catalog'!$K$2:$K$200,MATCH($AB365,'Test catalog'!$A$2:$A$200,0))),"")</f>
        <v/>
      </c>
      <c r="R365" s="5" t="n"/>
      <c r="S365" s="10">
        <f>IFERROR(IF(INDEX('Test catalog'!$L$2:$L$200,MATCH($AB365,'Test catalog'!$A$2:$A$200,0))="","",INDEX('Test catalog'!$L$2:$L$200,MATCH($AB365,'Test catalog'!$A$2:$A$200,0))),"")</f>
        <v/>
      </c>
      <c r="T365" s="10">
        <f>IFERROR(IF(INDEX('Test catalog'!$M$2:$M$200,MATCH($AB365,'Test catalog'!$A$2:$A$200,0))="","",INDEX('Test catalog'!$M$2:$M$200,MATCH($AB365,'Test catalog'!$A$2:$A$200,0))),"")</f>
        <v/>
      </c>
      <c r="U365" s="10">
        <f>IFERROR(IF(INDEX('Test catalog'!$N$2:$N$200,MATCH($AB365,'Test catalog'!$A$2:$A$200,0))="","",INDEX('Test catalog'!$N$2:$N$200,MATCH($AB365,'Test catalog'!$A$2:$A$200,0))),"")</f>
        <v/>
      </c>
      <c r="V365" s="15" t="n"/>
      <c r="W365" s="5" t="inlineStr">
        <is>
          <t>N</t>
        </is>
      </c>
      <c r="X365" s="5" t="n"/>
      <c r="Y365" s="5" t="n"/>
      <c r="Z365" s="5" t="n"/>
      <c r="AA365" s="10">
        <f>IFERROR(IF(INDEX('Test catalog'!$O$2:$O$200,MATCH($AB365,'Test catalog'!$A$2:$A$200,0))="","",INDEX('Test catalog'!$O$2:$O$200,MATCH($AB365,'Test catalog'!$A$2:$A$200,0))),"")</f>
        <v/>
      </c>
      <c r="AB365" s="10" t="inlineStr">
        <is>
          <t>LOD</t>
        </is>
      </c>
      <c r="AC365" s="10" t="inlineStr">
        <is>
          <t>Metformin Hydrochloride · Specific Tests &lt;731&gt;</t>
        </is>
      </c>
      <c r="AD365" s="10" t="n"/>
      <c r="AE365" s="10" t="n"/>
    </row>
    <row r="366">
      <c r="A366" s="10" t="inlineStr">
        <is>
          <t>Methionine</t>
        </is>
      </c>
      <c r="B366" s="10" t="inlineStr">
        <is>
          <t>RM</t>
        </is>
      </c>
      <c r="C366" s="10" t="inlineStr">
        <is>
          <t>Active</t>
        </is>
      </c>
      <c r="D366" s="10" t="inlineStr">
        <is>
          <t>Appearance / description and solubility</t>
        </is>
      </c>
      <c r="E366" s="10">
        <f>IF(A366="","",A366&amp;"|"&amp;D366)</f>
        <v/>
      </c>
      <c r="F366" s="5" t="inlineStr">
        <is>
          <t>Y</t>
        </is>
      </c>
      <c r="G366" s="5" t="inlineStr">
        <is>
          <t>Other / bench</t>
        </is>
      </c>
      <c r="H366" s="5" t="inlineStr">
        <is>
          <t>Low</t>
        </is>
      </c>
      <c r="I366" s="5" t="n">
        <v>1</v>
      </c>
      <c r="J366" s="5" t="n"/>
      <c r="K366" s="10">
        <f>IFERROR(IF(INDEX('Test catalog'!$F$2:$F$200,MATCH($AB366,'Test catalog'!$A$2:$A$200,0))="","",INDEX('Test catalog'!$F$2:$F$200,MATCH($AB366,'Test catalog'!$A$2:$A$200,0))),"")</f>
        <v/>
      </c>
      <c r="L366" s="10">
        <f>IFERROR(IF(INDEX('Test catalog'!$G$2:$G$200,MATCH($AB366,'Test catalog'!$A$2:$A$200,0))="","",INDEX('Test catalog'!$G$2:$G$200,MATCH($AB366,'Test catalog'!$A$2:$A$200,0))),"")</f>
        <v/>
      </c>
      <c r="M366" s="10">
        <f>IFERROR(IF(INDEX('Test catalog'!$H$2:$H$200,MATCH($AB366,'Test catalog'!$A$2:$A$200,0))="","",INDEX('Test catalog'!$H$2:$H$200,MATCH($AB366,'Test catalog'!$A$2:$A$200,0))),"")</f>
        <v/>
      </c>
      <c r="N366" s="10">
        <f>IFERROR(IF(INDEX('Test catalog'!$I$2:$I$200,MATCH($AB366,'Test catalog'!$A$2:$A$200,0))="","",INDEX('Test catalog'!$I$2:$I$200,MATCH($AB366,'Test catalog'!$A$2:$A$200,0))),"")</f>
        <v/>
      </c>
      <c r="O366" s="10">
        <f>IFERROR(IF(INDEX('Test catalog'!$J$2:$J$200,MATCH($AB366,'Test catalog'!$A$2:$A$200,0))="","",INDEX('Test catalog'!$J$2:$J$200,MATCH($AB366,'Test catalog'!$A$2:$A$200,0))),"")</f>
        <v/>
      </c>
      <c r="P366" s="14">
        <f>IF(N366="","",IF(OR(M366="",O366=""),N366,(M366+4*N366+O366)/6))</f>
        <v/>
      </c>
      <c r="Q366" s="10">
        <f>IFERROR(IF(INDEX('Test catalog'!$K$2:$K$200,MATCH($AB366,'Test catalog'!$A$2:$A$200,0))="","",INDEX('Test catalog'!$K$2:$K$200,MATCH($AB366,'Test catalog'!$A$2:$A$200,0))),"")</f>
        <v/>
      </c>
      <c r="R366" s="5" t="n"/>
      <c r="S366" s="10">
        <f>IFERROR(IF(INDEX('Test catalog'!$L$2:$L$200,MATCH($AB366,'Test catalog'!$A$2:$A$200,0))="","",INDEX('Test catalog'!$L$2:$L$200,MATCH($AB366,'Test catalog'!$A$2:$A$200,0))),"")</f>
        <v/>
      </c>
      <c r="T366" s="10">
        <f>IFERROR(IF(INDEX('Test catalog'!$M$2:$M$200,MATCH($AB366,'Test catalog'!$A$2:$A$200,0))="","",INDEX('Test catalog'!$M$2:$M$200,MATCH($AB366,'Test catalog'!$A$2:$A$200,0))),"")</f>
        <v/>
      </c>
      <c r="U366" s="10">
        <f>IFERROR(IF(INDEX('Test catalog'!$N$2:$N$200,MATCH($AB366,'Test catalog'!$A$2:$A$200,0))="","",INDEX('Test catalog'!$N$2:$N$200,MATCH($AB366,'Test catalog'!$A$2:$A$200,0))),"")</f>
        <v/>
      </c>
      <c r="V366" s="15" t="n"/>
      <c r="W366" s="5" t="inlineStr">
        <is>
          <t>N</t>
        </is>
      </c>
      <c r="X366" s="5" t="n"/>
      <c r="Y366" s="5" t="n"/>
      <c r="Z366" s="5" t="n"/>
      <c r="AA366" s="10">
        <f>IFERROR(IF(INDEX('Test catalog'!$O$2:$O$200,MATCH($AB366,'Test catalog'!$A$2:$A$200,0))="","",INDEX('Test catalog'!$O$2:$O$200,MATCH($AB366,'Test catalog'!$A$2:$A$200,0))),"")</f>
        <v/>
      </c>
      <c r="AB366" s="10" t="inlineStr">
        <is>
          <t>APPEAR</t>
        </is>
      </c>
      <c r="AC366" s="10" t="inlineStr">
        <is>
          <t>Lab practice (not a USP test)</t>
        </is>
      </c>
      <c r="AD366" s="10" t="n"/>
      <c r="AE366" s="10" t="n"/>
    </row>
    <row r="367">
      <c r="A367" s="10" t="inlineStr">
        <is>
          <t>Methionine</t>
        </is>
      </c>
      <c r="B367" s="10" t="inlineStr">
        <is>
          <t>RM</t>
        </is>
      </c>
      <c r="C367" s="10" t="inlineStr">
        <is>
          <t>Active</t>
        </is>
      </c>
      <c r="D367" s="10" t="inlineStr">
        <is>
          <t>ID A - IR spectrum</t>
        </is>
      </c>
      <c r="E367" s="10">
        <f>IF(A367="","",A367&amp;"|"&amp;D367)</f>
        <v/>
      </c>
      <c r="F367" s="5" t="inlineStr">
        <is>
          <t>Y</t>
        </is>
      </c>
      <c r="G367" s="5" t="inlineStr">
        <is>
          <t>Other / bench</t>
        </is>
      </c>
      <c r="H367" s="5" t="inlineStr">
        <is>
          <t>Low</t>
        </is>
      </c>
      <c r="I367" s="5" t="n">
        <v>1</v>
      </c>
      <c r="J367" s="5" t="n"/>
      <c r="K367" s="10">
        <f>IFERROR(IF(INDEX('Test catalog'!$F$2:$F$200,MATCH($AB367,'Test catalog'!$A$2:$A$200,0))="","",INDEX('Test catalog'!$F$2:$F$200,MATCH($AB367,'Test catalog'!$A$2:$A$200,0))),"")</f>
        <v/>
      </c>
      <c r="L367" s="10">
        <f>IFERROR(IF(INDEX('Test catalog'!$G$2:$G$200,MATCH($AB367,'Test catalog'!$A$2:$A$200,0))="","",INDEX('Test catalog'!$G$2:$G$200,MATCH($AB367,'Test catalog'!$A$2:$A$200,0))),"")</f>
        <v/>
      </c>
      <c r="M367" s="10">
        <f>IFERROR(IF(INDEX('Test catalog'!$H$2:$H$200,MATCH($AB367,'Test catalog'!$A$2:$A$200,0))="","",INDEX('Test catalog'!$H$2:$H$200,MATCH($AB367,'Test catalog'!$A$2:$A$200,0))),"")</f>
        <v/>
      </c>
      <c r="N367" s="10">
        <f>IFERROR(IF(INDEX('Test catalog'!$I$2:$I$200,MATCH($AB367,'Test catalog'!$A$2:$A$200,0))="","",INDEX('Test catalog'!$I$2:$I$200,MATCH($AB367,'Test catalog'!$A$2:$A$200,0))),"")</f>
        <v/>
      </c>
      <c r="O367" s="10">
        <f>IFERROR(IF(INDEX('Test catalog'!$J$2:$J$200,MATCH($AB367,'Test catalog'!$A$2:$A$200,0))="","",INDEX('Test catalog'!$J$2:$J$200,MATCH($AB367,'Test catalog'!$A$2:$A$200,0))),"")</f>
        <v/>
      </c>
      <c r="P367" s="14">
        <f>IF(N367="","",IF(OR(M367="",O367=""),N367,(M367+4*N367+O367)/6))</f>
        <v/>
      </c>
      <c r="Q367" s="10">
        <f>IFERROR(IF(INDEX('Test catalog'!$K$2:$K$200,MATCH($AB367,'Test catalog'!$A$2:$A$200,0))="","",INDEX('Test catalog'!$K$2:$K$200,MATCH($AB367,'Test catalog'!$A$2:$A$200,0))),"")</f>
        <v/>
      </c>
      <c r="R367" s="5" t="n"/>
      <c r="S367" s="10">
        <f>IFERROR(IF(INDEX('Test catalog'!$L$2:$L$200,MATCH($AB367,'Test catalog'!$A$2:$A$200,0))="","",INDEX('Test catalog'!$L$2:$L$200,MATCH($AB367,'Test catalog'!$A$2:$A$200,0))),"")</f>
        <v/>
      </c>
      <c r="T367" s="10">
        <f>IFERROR(IF(INDEX('Test catalog'!$M$2:$M$200,MATCH($AB367,'Test catalog'!$A$2:$A$200,0))="","",INDEX('Test catalog'!$M$2:$M$200,MATCH($AB367,'Test catalog'!$A$2:$A$200,0))),"")</f>
        <v/>
      </c>
      <c r="U367" s="10">
        <f>IFERROR(IF(INDEX('Test catalog'!$N$2:$N$200,MATCH($AB367,'Test catalog'!$A$2:$A$200,0))="","",INDEX('Test catalog'!$N$2:$N$200,MATCH($AB367,'Test catalog'!$A$2:$A$200,0))),"")</f>
        <v/>
      </c>
      <c r="V367" s="15" t="n"/>
      <c r="W367" s="5" t="inlineStr">
        <is>
          <t>N</t>
        </is>
      </c>
      <c r="X367" s="5" t="n"/>
      <c r="Y367" s="5" t="n"/>
      <c r="Z367" s="5" t="n"/>
      <c r="AA367" s="10">
        <f>IFERROR(IF(INDEX('Test catalog'!$O$2:$O$200,MATCH($AB367,'Test catalog'!$A$2:$A$200,0))="","",INDEX('Test catalog'!$O$2:$O$200,MATCH($AB367,'Test catalog'!$A$2:$A$200,0))),"")</f>
        <v/>
      </c>
      <c r="AB367" s="10" t="inlineStr">
        <is>
          <t>ID_IR</t>
        </is>
      </c>
      <c r="AC367" s="10" t="inlineStr">
        <is>
          <t>Methionine · Identification &lt;197,541&gt;</t>
        </is>
      </c>
      <c r="AD367" s="10" t="n"/>
      <c r="AE367" s="10" t="n"/>
    </row>
    <row r="368">
      <c r="A368" s="10" t="inlineStr">
        <is>
          <t>Methionine</t>
        </is>
      </c>
      <c r="B368" s="10" t="inlineStr">
        <is>
          <t>RM</t>
        </is>
      </c>
      <c r="C368" s="10" t="inlineStr">
        <is>
          <t>Active</t>
        </is>
      </c>
      <c r="D368" s="10" t="inlineStr">
        <is>
          <t>Assay</t>
        </is>
      </c>
      <c r="E368" s="10">
        <f>IF(A368="","",A368&amp;"|"&amp;D368)</f>
        <v/>
      </c>
      <c r="F368" s="5" t="inlineStr">
        <is>
          <t>Y</t>
        </is>
      </c>
      <c r="G368" s="5" t="inlineStr">
        <is>
          <t>Other / bench</t>
        </is>
      </c>
      <c r="H368" s="5" t="inlineStr">
        <is>
          <t>Low</t>
        </is>
      </c>
      <c r="I368" s="5" t="n">
        <v>1</v>
      </c>
      <c r="J368" s="5" t="n"/>
      <c r="K368" s="10">
        <f>IFERROR(IF(INDEX('Test catalog'!$F$2:$F$200,MATCH($AB368,'Test catalog'!$A$2:$A$200,0))="","",INDEX('Test catalog'!$F$2:$F$200,MATCH($AB368,'Test catalog'!$A$2:$A$200,0))),"")</f>
        <v/>
      </c>
      <c r="L368" s="10">
        <f>IFERROR(IF(INDEX('Test catalog'!$G$2:$G$200,MATCH($AB368,'Test catalog'!$A$2:$A$200,0))="","",INDEX('Test catalog'!$G$2:$G$200,MATCH($AB368,'Test catalog'!$A$2:$A$200,0))),"")</f>
        <v/>
      </c>
      <c r="M368" s="10">
        <f>IFERROR(IF(INDEX('Test catalog'!$H$2:$H$200,MATCH($AB368,'Test catalog'!$A$2:$A$200,0))="","",INDEX('Test catalog'!$H$2:$H$200,MATCH($AB368,'Test catalog'!$A$2:$A$200,0))),"")</f>
        <v/>
      </c>
      <c r="N368" s="10">
        <f>IFERROR(IF(INDEX('Test catalog'!$I$2:$I$200,MATCH($AB368,'Test catalog'!$A$2:$A$200,0))="","",INDEX('Test catalog'!$I$2:$I$200,MATCH($AB368,'Test catalog'!$A$2:$A$200,0))),"")</f>
        <v/>
      </c>
      <c r="O368" s="10">
        <f>IFERROR(IF(INDEX('Test catalog'!$J$2:$J$200,MATCH($AB368,'Test catalog'!$A$2:$A$200,0))="","",INDEX('Test catalog'!$J$2:$J$200,MATCH($AB368,'Test catalog'!$A$2:$A$200,0))),"")</f>
        <v/>
      </c>
      <c r="P368" s="14">
        <f>IF(N368="","",IF(OR(M368="",O368=""),N368,(M368+4*N368+O368)/6))</f>
        <v/>
      </c>
      <c r="Q368" s="10">
        <f>IFERROR(IF(INDEX('Test catalog'!$K$2:$K$200,MATCH($AB368,'Test catalog'!$A$2:$A$200,0))="","",INDEX('Test catalog'!$K$2:$K$200,MATCH($AB368,'Test catalog'!$A$2:$A$200,0))),"")</f>
        <v/>
      </c>
      <c r="R368" s="5" t="n"/>
      <c r="S368" s="10">
        <f>IFERROR(IF(INDEX('Test catalog'!$L$2:$L$200,MATCH($AB368,'Test catalog'!$A$2:$A$200,0))="","",INDEX('Test catalog'!$L$2:$L$200,MATCH($AB368,'Test catalog'!$A$2:$A$200,0))),"")</f>
        <v/>
      </c>
      <c r="T368" s="10">
        <f>IFERROR(IF(INDEX('Test catalog'!$M$2:$M$200,MATCH($AB368,'Test catalog'!$A$2:$A$200,0))="","",INDEX('Test catalog'!$M$2:$M$200,MATCH($AB368,'Test catalog'!$A$2:$A$200,0))),"")</f>
        <v/>
      </c>
      <c r="U368" s="10">
        <f>IFERROR(IF(INDEX('Test catalog'!$N$2:$N$200,MATCH($AB368,'Test catalog'!$A$2:$A$200,0))="","",INDEX('Test catalog'!$N$2:$N$200,MATCH($AB368,'Test catalog'!$A$2:$A$200,0))),"")</f>
        <v/>
      </c>
      <c r="V368" s="15" t="n"/>
      <c r="W368" s="5" t="inlineStr">
        <is>
          <t>N</t>
        </is>
      </c>
      <c r="X368" s="5" t="n"/>
      <c r="Y368" s="5" t="n"/>
      <c r="Z368" s="5" t="n"/>
      <c r="AA368" s="10">
        <f>IFERROR(IF(INDEX('Test catalog'!$O$2:$O$200,MATCH($AB368,'Test catalog'!$A$2:$A$200,0))="","",INDEX('Test catalog'!$O$2:$O$200,MATCH($AB368,'Test catalog'!$A$2:$A$200,0))),"")</f>
        <v/>
      </c>
      <c r="AB368" s="10" t="inlineStr">
        <is>
          <t>TITR</t>
        </is>
      </c>
      <c r="AC368" s="10" t="inlineStr">
        <is>
          <t>Methionine · Assay</t>
        </is>
      </c>
      <c r="AD368" s="10" t="n"/>
      <c r="AE368" s="10" t="n"/>
    </row>
    <row r="369">
      <c r="A369" s="10" t="inlineStr">
        <is>
          <t>Methionine</t>
        </is>
      </c>
      <c r="B369" s="10" t="inlineStr">
        <is>
          <t>RM</t>
        </is>
      </c>
      <c r="C369" s="10" t="inlineStr">
        <is>
          <t>Active</t>
        </is>
      </c>
      <c r="D369" s="10" t="inlineStr">
        <is>
          <t>Residue on Ignition</t>
        </is>
      </c>
      <c r="E369" s="10">
        <f>IF(A369="","",A369&amp;"|"&amp;D369)</f>
        <v/>
      </c>
      <c r="F369" s="5" t="inlineStr">
        <is>
          <t>Y</t>
        </is>
      </c>
      <c r="G369" s="5" t="inlineStr">
        <is>
          <t>Other / bench</t>
        </is>
      </c>
      <c r="H369" s="5" t="inlineStr">
        <is>
          <t>Low</t>
        </is>
      </c>
      <c r="I369" s="5" t="n">
        <v>1</v>
      </c>
      <c r="J369" s="5" t="n"/>
      <c r="K369" s="10">
        <f>IFERROR(IF(INDEX('Test catalog'!$F$2:$F$200,MATCH($AB369,'Test catalog'!$A$2:$A$200,0))="","",INDEX('Test catalog'!$F$2:$F$200,MATCH($AB369,'Test catalog'!$A$2:$A$200,0))),"")</f>
        <v/>
      </c>
      <c r="L369" s="10">
        <f>IFERROR(IF(INDEX('Test catalog'!$G$2:$G$200,MATCH($AB369,'Test catalog'!$A$2:$A$200,0))="","",INDEX('Test catalog'!$G$2:$G$200,MATCH($AB369,'Test catalog'!$A$2:$A$200,0))),"")</f>
        <v/>
      </c>
      <c r="M369" s="10">
        <f>IFERROR(IF(INDEX('Test catalog'!$H$2:$H$200,MATCH($AB369,'Test catalog'!$A$2:$A$200,0))="","",INDEX('Test catalog'!$H$2:$H$200,MATCH($AB369,'Test catalog'!$A$2:$A$200,0))),"")</f>
        <v/>
      </c>
      <c r="N369" s="10">
        <f>IFERROR(IF(INDEX('Test catalog'!$I$2:$I$200,MATCH($AB369,'Test catalog'!$A$2:$A$200,0))="","",INDEX('Test catalog'!$I$2:$I$200,MATCH($AB369,'Test catalog'!$A$2:$A$200,0))),"")</f>
        <v/>
      </c>
      <c r="O369" s="10">
        <f>IFERROR(IF(INDEX('Test catalog'!$J$2:$J$200,MATCH($AB369,'Test catalog'!$A$2:$A$200,0))="","",INDEX('Test catalog'!$J$2:$J$200,MATCH($AB369,'Test catalog'!$A$2:$A$200,0))),"")</f>
        <v/>
      </c>
      <c r="P369" s="14">
        <f>IF(N369="","",IF(OR(M369="",O369=""),N369,(M369+4*N369+O369)/6))</f>
        <v/>
      </c>
      <c r="Q369" s="10">
        <f>IFERROR(IF(INDEX('Test catalog'!$K$2:$K$200,MATCH($AB369,'Test catalog'!$A$2:$A$200,0))="","",INDEX('Test catalog'!$K$2:$K$200,MATCH($AB369,'Test catalog'!$A$2:$A$200,0))),"")</f>
        <v/>
      </c>
      <c r="R369" s="5" t="n"/>
      <c r="S369" s="10">
        <f>IFERROR(IF(INDEX('Test catalog'!$L$2:$L$200,MATCH($AB369,'Test catalog'!$A$2:$A$200,0))="","",INDEX('Test catalog'!$L$2:$L$200,MATCH($AB369,'Test catalog'!$A$2:$A$200,0))),"")</f>
        <v/>
      </c>
      <c r="T369" s="10">
        <f>IFERROR(IF(INDEX('Test catalog'!$M$2:$M$200,MATCH($AB369,'Test catalog'!$A$2:$A$200,0))="","",INDEX('Test catalog'!$M$2:$M$200,MATCH($AB369,'Test catalog'!$A$2:$A$200,0))),"")</f>
        <v/>
      </c>
      <c r="U369" s="10">
        <f>IFERROR(IF(INDEX('Test catalog'!$N$2:$N$200,MATCH($AB369,'Test catalog'!$A$2:$A$200,0))="","",INDEX('Test catalog'!$N$2:$N$200,MATCH($AB369,'Test catalog'!$A$2:$A$200,0))),"")</f>
        <v/>
      </c>
      <c r="V369" s="15" t="n"/>
      <c r="W369" s="5" t="inlineStr">
        <is>
          <t>N</t>
        </is>
      </c>
      <c r="X369" s="5" t="n"/>
      <c r="Y369" s="5" t="n"/>
      <c r="Z369" s="5" t="n"/>
      <c r="AA369" s="10">
        <f>IFERROR(IF(INDEX('Test catalog'!$O$2:$O$200,MATCH($AB369,'Test catalog'!$A$2:$A$200,0))="","",INDEX('Test catalog'!$O$2:$O$200,MATCH($AB369,'Test catalog'!$A$2:$A$200,0))),"")</f>
        <v/>
      </c>
      <c r="AB369" s="10" t="inlineStr">
        <is>
          <t>ROI</t>
        </is>
      </c>
      <c r="AC369" s="10" t="inlineStr">
        <is>
          <t>Methionine · Impurities &lt;281&gt;</t>
        </is>
      </c>
      <c r="AD369" s="10" t="n"/>
      <c r="AE369" s="10" t="n"/>
    </row>
    <row r="370">
      <c r="A370" s="10" t="inlineStr">
        <is>
          <t>Methionine</t>
        </is>
      </c>
      <c r="B370" s="10" t="inlineStr">
        <is>
          <t>RM</t>
        </is>
      </c>
      <c r="C370" s="10" t="inlineStr">
        <is>
          <t>Active</t>
        </is>
      </c>
      <c r="D370" s="10" t="inlineStr">
        <is>
          <t>Chloride</t>
        </is>
      </c>
      <c r="E370" s="10">
        <f>IF(A370="","",A370&amp;"|"&amp;D370)</f>
        <v/>
      </c>
      <c r="F370" s="5" t="inlineStr">
        <is>
          <t>Y</t>
        </is>
      </c>
      <c r="G370" s="5" t="inlineStr">
        <is>
          <t>Other / bench</t>
        </is>
      </c>
      <c r="H370" s="5" t="inlineStr">
        <is>
          <t>Low</t>
        </is>
      </c>
      <c r="I370" s="5" t="n">
        <v>1</v>
      </c>
      <c r="J370" s="5" t="n"/>
      <c r="K370" s="10">
        <f>IFERROR(IF(INDEX('Test catalog'!$F$2:$F$200,MATCH($AB370,'Test catalog'!$A$2:$A$200,0))="","",INDEX('Test catalog'!$F$2:$F$200,MATCH($AB370,'Test catalog'!$A$2:$A$200,0))),"")</f>
        <v/>
      </c>
      <c r="L370" s="10">
        <f>IFERROR(IF(INDEX('Test catalog'!$G$2:$G$200,MATCH($AB370,'Test catalog'!$A$2:$A$200,0))="","",INDEX('Test catalog'!$G$2:$G$200,MATCH($AB370,'Test catalog'!$A$2:$A$200,0))),"")</f>
        <v/>
      </c>
      <c r="M370" s="10">
        <f>IFERROR(IF(INDEX('Test catalog'!$H$2:$H$200,MATCH($AB370,'Test catalog'!$A$2:$A$200,0))="","",INDEX('Test catalog'!$H$2:$H$200,MATCH($AB370,'Test catalog'!$A$2:$A$200,0))),"")</f>
        <v/>
      </c>
      <c r="N370" s="10">
        <f>IFERROR(IF(INDEX('Test catalog'!$I$2:$I$200,MATCH($AB370,'Test catalog'!$A$2:$A$200,0))="","",INDEX('Test catalog'!$I$2:$I$200,MATCH($AB370,'Test catalog'!$A$2:$A$200,0))),"")</f>
        <v/>
      </c>
      <c r="O370" s="10">
        <f>IFERROR(IF(INDEX('Test catalog'!$J$2:$J$200,MATCH($AB370,'Test catalog'!$A$2:$A$200,0))="","",INDEX('Test catalog'!$J$2:$J$200,MATCH($AB370,'Test catalog'!$A$2:$A$200,0))),"")</f>
        <v/>
      </c>
      <c r="P370" s="14">
        <f>IF(N370="","",IF(OR(M370="",O370=""),N370,(M370+4*N370+O370)/6))</f>
        <v/>
      </c>
      <c r="Q370" s="10">
        <f>IFERROR(IF(INDEX('Test catalog'!$K$2:$K$200,MATCH($AB370,'Test catalog'!$A$2:$A$200,0))="","",INDEX('Test catalog'!$K$2:$K$200,MATCH($AB370,'Test catalog'!$A$2:$A$200,0))),"")</f>
        <v/>
      </c>
      <c r="R370" s="5" t="n"/>
      <c r="S370" s="10">
        <f>IFERROR(IF(INDEX('Test catalog'!$L$2:$L$200,MATCH($AB370,'Test catalog'!$A$2:$A$200,0))="","",INDEX('Test catalog'!$L$2:$L$200,MATCH($AB370,'Test catalog'!$A$2:$A$200,0))),"")</f>
        <v/>
      </c>
      <c r="T370" s="10">
        <f>IFERROR(IF(INDEX('Test catalog'!$M$2:$M$200,MATCH($AB370,'Test catalog'!$A$2:$A$200,0))="","",INDEX('Test catalog'!$M$2:$M$200,MATCH($AB370,'Test catalog'!$A$2:$A$200,0))),"")</f>
        <v/>
      </c>
      <c r="U370" s="10">
        <f>IFERROR(IF(INDEX('Test catalog'!$N$2:$N$200,MATCH($AB370,'Test catalog'!$A$2:$A$200,0))="","",INDEX('Test catalog'!$N$2:$N$200,MATCH($AB370,'Test catalog'!$A$2:$A$200,0))),"")</f>
        <v/>
      </c>
      <c r="V370" s="15" t="n"/>
      <c r="W370" s="5" t="inlineStr">
        <is>
          <t>N</t>
        </is>
      </c>
      <c r="X370" s="5" t="n"/>
      <c r="Y370" s="5" t="n"/>
      <c r="Z370" s="5" t="n"/>
      <c r="AA370" s="10">
        <f>IFERROR(IF(INDEX('Test catalog'!$O$2:$O$200,MATCH($AB370,'Test catalog'!$A$2:$A$200,0))="","",INDEX('Test catalog'!$O$2:$O$200,MATCH($AB370,'Test catalog'!$A$2:$A$200,0))),"")</f>
        <v/>
      </c>
      <c r="AB370" s="10" t="inlineStr">
        <is>
          <t>LIMIT</t>
        </is>
      </c>
      <c r="AC370" s="10" t="inlineStr">
        <is>
          <t>Methionine · Impurities &lt;221&gt;</t>
        </is>
      </c>
      <c r="AD370" s="10" t="n"/>
      <c r="AE370" s="10" t="n"/>
    </row>
    <row r="371">
      <c r="A371" s="10" t="inlineStr">
        <is>
          <t>Methionine</t>
        </is>
      </c>
      <c r="B371" s="10" t="inlineStr">
        <is>
          <t>RM</t>
        </is>
      </c>
      <c r="C371" s="10" t="inlineStr">
        <is>
          <t>Active</t>
        </is>
      </c>
      <c r="D371" s="10" t="inlineStr">
        <is>
          <t>Sulfate</t>
        </is>
      </c>
      <c r="E371" s="10">
        <f>IF(A371="","",A371&amp;"|"&amp;D371)</f>
        <v/>
      </c>
      <c r="F371" s="5" t="inlineStr">
        <is>
          <t>Y</t>
        </is>
      </c>
      <c r="G371" s="5" t="inlineStr">
        <is>
          <t>Other / bench</t>
        </is>
      </c>
      <c r="H371" s="5" t="inlineStr">
        <is>
          <t>Low</t>
        </is>
      </c>
      <c r="I371" s="5" t="n">
        <v>1</v>
      </c>
      <c r="J371" s="5" t="n"/>
      <c r="K371" s="10">
        <f>IFERROR(IF(INDEX('Test catalog'!$F$2:$F$200,MATCH($AB371,'Test catalog'!$A$2:$A$200,0))="","",INDEX('Test catalog'!$F$2:$F$200,MATCH($AB371,'Test catalog'!$A$2:$A$200,0))),"")</f>
        <v/>
      </c>
      <c r="L371" s="10">
        <f>IFERROR(IF(INDEX('Test catalog'!$G$2:$G$200,MATCH($AB371,'Test catalog'!$A$2:$A$200,0))="","",INDEX('Test catalog'!$G$2:$G$200,MATCH($AB371,'Test catalog'!$A$2:$A$200,0))),"")</f>
        <v/>
      </c>
      <c r="M371" s="10">
        <f>IFERROR(IF(INDEX('Test catalog'!$H$2:$H$200,MATCH($AB371,'Test catalog'!$A$2:$A$200,0))="","",INDEX('Test catalog'!$H$2:$H$200,MATCH($AB371,'Test catalog'!$A$2:$A$200,0))),"")</f>
        <v/>
      </c>
      <c r="N371" s="10">
        <f>IFERROR(IF(INDEX('Test catalog'!$I$2:$I$200,MATCH($AB371,'Test catalog'!$A$2:$A$200,0))="","",INDEX('Test catalog'!$I$2:$I$200,MATCH($AB371,'Test catalog'!$A$2:$A$200,0))),"")</f>
        <v/>
      </c>
      <c r="O371" s="10">
        <f>IFERROR(IF(INDEX('Test catalog'!$J$2:$J$200,MATCH($AB371,'Test catalog'!$A$2:$A$200,0))="","",INDEX('Test catalog'!$J$2:$J$200,MATCH($AB371,'Test catalog'!$A$2:$A$200,0))),"")</f>
        <v/>
      </c>
      <c r="P371" s="14">
        <f>IF(N371="","",IF(OR(M371="",O371=""),N371,(M371+4*N371+O371)/6))</f>
        <v/>
      </c>
      <c r="Q371" s="10">
        <f>IFERROR(IF(INDEX('Test catalog'!$K$2:$K$200,MATCH($AB371,'Test catalog'!$A$2:$A$200,0))="","",INDEX('Test catalog'!$K$2:$K$200,MATCH($AB371,'Test catalog'!$A$2:$A$200,0))),"")</f>
        <v/>
      </c>
      <c r="R371" s="5" t="n"/>
      <c r="S371" s="10">
        <f>IFERROR(IF(INDEX('Test catalog'!$L$2:$L$200,MATCH($AB371,'Test catalog'!$A$2:$A$200,0))="","",INDEX('Test catalog'!$L$2:$L$200,MATCH($AB371,'Test catalog'!$A$2:$A$200,0))),"")</f>
        <v/>
      </c>
      <c r="T371" s="10">
        <f>IFERROR(IF(INDEX('Test catalog'!$M$2:$M$200,MATCH($AB371,'Test catalog'!$A$2:$A$200,0))="","",INDEX('Test catalog'!$M$2:$M$200,MATCH($AB371,'Test catalog'!$A$2:$A$200,0))),"")</f>
        <v/>
      </c>
      <c r="U371" s="10">
        <f>IFERROR(IF(INDEX('Test catalog'!$N$2:$N$200,MATCH($AB371,'Test catalog'!$A$2:$A$200,0))="","",INDEX('Test catalog'!$N$2:$N$200,MATCH($AB371,'Test catalog'!$A$2:$A$200,0))),"")</f>
        <v/>
      </c>
      <c r="V371" s="15" t="n"/>
      <c r="W371" s="5" t="inlineStr">
        <is>
          <t>N</t>
        </is>
      </c>
      <c r="X371" s="5" t="n"/>
      <c r="Y371" s="5" t="n"/>
      <c r="Z371" s="5" t="n"/>
      <c r="AA371" s="10">
        <f>IFERROR(IF(INDEX('Test catalog'!$O$2:$O$200,MATCH($AB371,'Test catalog'!$A$2:$A$200,0))="","",INDEX('Test catalog'!$O$2:$O$200,MATCH($AB371,'Test catalog'!$A$2:$A$200,0))),"")</f>
        <v/>
      </c>
      <c r="AB371" s="10" t="inlineStr">
        <is>
          <t>LIMIT</t>
        </is>
      </c>
      <c r="AC371" s="10" t="inlineStr">
        <is>
          <t>Methionine · Impurities &lt;221&gt;</t>
        </is>
      </c>
      <c r="AD371" s="10" t="n"/>
      <c r="AE371" s="10" t="n"/>
    </row>
    <row r="372">
      <c r="A372" s="10" t="inlineStr">
        <is>
          <t>Methionine</t>
        </is>
      </c>
      <c r="B372" s="10" t="inlineStr">
        <is>
          <t>RM</t>
        </is>
      </c>
      <c r="C372" s="10" t="inlineStr">
        <is>
          <t>Active</t>
        </is>
      </c>
      <c r="D372" s="10" t="inlineStr">
        <is>
          <t>Iron</t>
        </is>
      </c>
      <c r="E372" s="10">
        <f>IF(A372="","",A372&amp;"|"&amp;D372)</f>
        <v/>
      </c>
      <c r="F372" s="5" t="inlineStr">
        <is>
          <t>Y</t>
        </is>
      </c>
      <c r="G372" s="5" t="inlineStr">
        <is>
          <t>Other / bench</t>
        </is>
      </c>
      <c r="H372" s="5" t="inlineStr">
        <is>
          <t>Low</t>
        </is>
      </c>
      <c r="I372" s="5" t="n">
        <v>1</v>
      </c>
      <c r="J372" s="5" t="n"/>
      <c r="K372" s="10">
        <f>IFERROR(IF(INDEX('Test catalog'!$F$2:$F$200,MATCH($AB372,'Test catalog'!$A$2:$A$200,0))="","",INDEX('Test catalog'!$F$2:$F$200,MATCH($AB372,'Test catalog'!$A$2:$A$200,0))),"")</f>
        <v/>
      </c>
      <c r="L372" s="10">
        <f>IFERROR(IF(INDEX('Test catalog'!$G$2:$G$200,MATCH($AB372,'Test catalog'!$A$2:$A$200,0))="","",INDEX('Test catalog'!$G$2:$G$200,MATCH($AB372,'Test catalog'!$A$2:$A$200,0))),"")</f>
        <v/>
      </c>
      <c r="M372" s="10">
        <f>IFERROR(IF(INDEX('Test catalog'!$H$2:$H$200,MATCH($AB372,'Test catalog'!$A$2:$A$200,0))="","",INDEX('Test catalog'!$H$2:$H$200,MATCH($AB372,'Test catalog'!$A$2:$A$200,0))),"")</f>
        <v/>
      </c>
      <c r="N372" s="10">
        <f>IFERROR(IF(INDEX('Test catalog'!$I$2:$I$200,MATCH($AB372,'Test catalog'!$A$2:$A$200,0))="","",INDEX('Test catalog'!$I$2:$I$200,MATCH($AB372,'Test catalog'!$A$2:$A$200,0))),"")</f>
        <v/>
      </c>
      <c r="O372" s="10">
        <f>IFERROR(IF(INDEX('Test catalog'!$J$2:$J$200,MATCH($AB372,'Test catalog'!$A$2:$A$200,0))="","",INDEX('Test catalog'!$J$2:$J$200,MATCH($AB372,'Test catalog'!$A$2:$A$200,0))),"")</f>
        <v/>
      </c>
      <c r="P372" s="14">
        <f>IF(N372="","",IF(OR(M372="",O372=""),N372,(M372+4*N372+O372)/6))</f>
        <v/>
      </c>
      <c r="Q372" s="10">
        <f>IFERROR(IF(INDEX('Test catalog'!$K$2:$K$200,MATCH($AB372,'Test catalog'!$A$2:$A$200,0))="","",INDEX('Test catalog'!$K$2:$K$200,MATCH($AB372,'Test catalog'!$A$2:$A$200,0))),"")</f>
        <v/>
      </c>
      <c r="R372" s="5" t="n"/>
      <c r="S372" s="10">
        <f>IFERROR(IF(INDEX('Test catalog'!$L$2:$L$200,MATCH($AB372,'Test catalog'!$A$2:$A$200,0))="","",INDEX('Test catalog'!$L$2:$L$200,MATCH($AB372,'Test catalog'!$A$2:$A$200,0))),"")</f>
        <v/>
      </c>
      <c r="T372" s="10">
        <f>IFERROR(IF(INDEX('Test catalog'!$M$2:$M$200,MATCH($AB372,'Test catalog'!$A$2:$A$200,0))="","",INDEX('Test catalog'!$M$2:$M$200,MATCH($AB372,'Test catalog'!$A$2:$A$200,0))),"")</f>
        <v/>
      </c>
      <c r="U372" s="10">
        <f>IFERROR(IF(INDEX('Test catalog'!$N$2:$N$200,MATCH($AB372,'Test catalog'!$A$2:$A$200,0))="","",INDEX('Test catalog'!$N$2:$N$200,MATCH($AB372,'Test catalog'!$A$2:$A$200,0))),"")</f>
        <v/>
      </c>
      <c r="V372" s="15" t="n"/>
      <c r="W372" s="5" t="inlineStr">
        <is>
          <t>N</t>
        </is>
      </c>
      <c r="X372" s="5" t="n"/>
      <c r="Y372" s="5" t="n"/>
      <c r="Z372" s="5" t="n"/>
      <c r="AA372" s="10">
        <f>IFERROR(IF(INDEX('Test catalog'!$O$2:$O$200,MATCH($AB372,'Test catalog'!$A$2:$A$200,0))="","",INDEX('Test catalog'!$O$2:$O$200,MATCH($AB372,'Test catalog'!$A$2:$A$200,0))),"")</f>
        <v/>
      </c>
      <c r="AB372" s="10" t="inlineStr">
        <is>
          <t>LIMIT</t>
        </is>
      </c>
      <c r="AC372" s="10" t="inlineStr">
        <is>
          <t>Methionine · Impurities &lt;241&gt;</t>
        </is>
      </c>
      <c r="AD372" s="10" t="n"/>
      <c r="AE372" s="10" t="n"/>
    </row>
    <row r="373">
      <c r="A373" s="10" t="inlineStr">
        <is>
          <t>Methionine</t>
        </is>
      </c>
      <c r="B373" s="10" t="inlineStr">
        <is>
          <t>RM</t>
        </is>
      </c>
      <c r="C373" s="10" t="inlineStr">
        <is>
          <t>Active</t>
        </is>
      </c>
      <c r="D373" s="10" t="inlineStr">
        <is>
          <t>Related Compounds (HPLC)</t>
        </is>
      </c>
      <c r="E373" s="10">
        <f>IF(A373="","",A373&amp;"|"&amp;D373)</f>
        <v/>
      </c>
      <c r="F373" s="5" t="inlineStr">
        <is>
          <t>Y</t>
        </is>
      </c>
      <c r="G373" s="5" t="inlineStr">
        <is>
          <t>HPLC</t>
        </is>
      </c>
      <c r="H373" s="5" t="inlineStr">
        <is>
          <t>Medium</t>
        </is>
      </c>
      <c r="I373" s="5" t="n">
        <v>1</v>
      </c>
      <c r="J373" s="5" t="n"/>
      <c r="K373" s="5" t="n"/>
      <c r="L373" s="5" t="n"/>
      <c r="M373" s="5" t="n"/>
      <c r="N373" s="5" t="n"/>
      <c r="O373" s="5" t="n"/>
      <c r="P373" s="14">
        <f>IF(N373="","",IF(OR(M373="",O373=""),N373,(M373+4*N373+O373)/6))</f>
        <v/>
      </c>
      <c r="Q373" s="5" t="n"/>
      <c r="R373" s="5" t="n"/>
      <c r="S373" s="5" t="n"/>
      <c r="T373" s="5" t="n"/>
      <c r="U373" s="5" t="n"/>
      <c r="V373" s="15" t="n"/>
      <c r="W373" s="5" t="inlineStr">
        <is>
          <t>N</t>
        </is>
      </c>
      <c r="X373" s="5" t="n"/>
      <c r="Y373" s="5" t="n"/>
      <c r="Z373" s="5" t="n"/>
      <c r="AA373" s="5" t="n"/>
      <c r="AB373" s="10" t="n"/>
      <c r="AC373" s="10" t="inlineStr">
        <is>
          <t>Methionine · Impurities</t>
        </is>
      </c>
      <c r="AD373" s="10" t="n"/>
      <c r="AE373" s="10" t="n"/>
    </row>
    <row r="374">
      <c r="A374" s="10" t="inlineStr">
        <is>
          <t>Methionine</t>
        </is>
      </c>
      <c r="B374" s="10" t="inlineStr">
        <is>
          <t>RM</t>
        </is>
      </c>
      <c r="C374" s="10" t="inlineStr">
        <is>
          <t>Active</t>
        </is>
      </c>
      <c r="D374" s="10" t="inlineStr">
        <is>
          <t>Optical Rotation</t>
        </is>
      </c>
      <c r="E374" s="10">
        <f>IF(A374="","",A374&amp;"|"&amp;D374)</f>
        <v/>
      </c>
      <c r="F374" s="5" t="inlineStr">
        <is>
          <t>Y</t>
        </is>
      </c>
      <c r="G374" s="5" t="inlineStr">
        <is>
          <t>Other / bench</t>
        </is>
      </c>
      <c r="H374" s="5" t="inlineStr">
        <is>
          <t>Low</t>
        </is>
      </c>
      <c r="I374" s="5" t="n">
        <v>1</v>
      </c>
      <c r="J374" s="5" t="n"/>
      <c r="K374" s="10">
        <f>IFERROR(IF(INDEX('Test catalog'!$F$2:$F$200,MATCH($AB374,'Test catalog'!$A$2:$A$200,0))="","",INDEX('Test catalog'!$F$2:$F$200,MATCH($AB374,'Test catalog'!$A$2:$A$200,0))),"")</f>
        <v/>
      </c>
      <c r="L374" s="10">
        <f>IFERROR(IF(INDEX('Test catalog'!$G$2:$G$200,MATCH($AB374,'Test catalog'!$A$2:$A$200,0))="","",INDEX('Test catalog'!$G$2:$G$200,MATCH($AB374,'Test catalog'!$A$2:$A$200,0))),"")</f>
        <v/>
      </c>
      <c r="M374" s="10">
        <f>IFERROR(IF(INDEX('Test catalog'!$H$2:$H$200,MATCH($AB374,'Test catalog'!$A$2:$A$200,0))="","",INDEX('Test catalog'!$H$2:$H$200,MATCH($AB374,'Test catalog'!$A$2:$A$200,0))),"")</f>
        <v/>
      </c>
      <c r="N374" s="10">
        <f>IFERROR(IF(INDEX('Test catalog'!$I$2:$I$200,MATCH($AB374,'Test catalog'!$A$2:$A$200,0))="","",INDEX('Test catalog'!$I$2:$I$200,MATCH($AB374,'Test catalog'!$A$2:$A$200,0))),"")</f>
        <v/>
      </c>
      <c r="O374" s="10">
        <f>IFERROR(IF(INDEX('Test catalog'!$J$2:$J$200,MATCH($AB374,'Test catalog'!$A$2:$A$200,0))="","",INDEX('Test catalog'!$J$2:$J$200,MATCH($AB374,'Test catalog'!$A$2:$A$200,0))),"")</f>
        <v/>
      </c>
      <c r="P374" s="14">
        <f>IF(N374="","",IF(OR(M374="",O374=""),N374,(M374+4*N374+O374)/6))</f>
        <v/>
      </c>
      <c r="Q374" s="10">
        <f>IFERROR(IF(INDEX('Test catalog'!$K$2:$K$200,MATCH($AB374,'Test catalog'!$A$2:$A$200,0))="","",INDEX('Test catalog'!$K$2:$K$200,MATCH($AB374,'Test catalog'!$A$2:$A$200,0))),"")</f>
        <v/>
      </c>
      <c r="R374" s="5" t="n"/>
      <c r="S374" s="10">
        <f>IFERROR(IF(INDEX('Test catalog'!$L$2:$L$200,MATCH($AB374,'Test catalog'!$A$2:$A$200,0))="","",INDEX('Test catalog'!$L$2:$L$200,MATCH($AB374,'Test catalog'!$A$2:$A$200,0))),"")</f>
        <v/>
      </c>
      <c r="T374" s="10">
        <f>IFERROR(IF(INDEX('Test catalog'!$M$2:$M$200,MATCH($AB374,'Test catalog'!$A$2:$A$200,0))="","",INDEX('Test catalog'!$M$2:$M$200,MATCH($AB374,'Test catalog'!$A$2:$A$200,0))),"")</f>
        <v/>
      </c>
      <c r="U374" s="10">
        <f>IFERROR(IF(INDEX('Test catalog'!$N$2:$N$200,MATCH($AB374,'Test catalog'!$A$2:$A$200,0))="","",INDEX('Test catalog'!$N$2:$N$200,MATCH($AB374,'Test catalog'!$A$2:$A$200,0))),"")</f>
        <v/>
      </c>
      <c r="V374" s="15" t="n"/>
      <c r="W374" s="5" t="inlineStr">
        <is>
          <t>N</t>
        </is>
      </c>
      <c r="X374" s="5" t="n"/>
      <c r="Y374" s="5" t="n"/>
      <c r="Z374" s="5" t="n"/>
      <c r="AA374" s="10">
        <f>IFERROR(IF(INDEX('Test catalog'!$O$2:$O$200,MATCH($AB374,'Test catalog'!$A$2:$A$200,0))="","",INDEX('Test catalog'!$O$2:$O$200,MATCH($AB374,'Test catalog'!$A$2:$A$200,0))),"")</f>
        <v/>
      </c>
      <c r="AB374" s="10" t="inlineStr">
        <is>
          <t>OR</t>
        </is>
      </c>
      <c r="AC374" s="10" t="inlineStr">
        <is>
          <t>Methionine · Specific Tests &lt;781&gt;</t>
        </is>
      </c>
      <c r="AD374" s="10" t="n"/>
      <c r="AE374" s="10" t="n"/>
    </row>
    <row r="375">
      <c r="A375" s="10" t="inlineStr">
        <is>
          <t>Methionine</t>
        </is>
      </c>
      <c r="B375" s="10" t="inlineStr">
        <is>
          <t>RM</t>
        </is>
      </c>
      <c r="C375" s="10" t="inlineStr">
        <is>
          <t>Active</t>
        </is>
      </c>
      <c r="D375" s="10" t="inlineStr">
        <is>
          <t>pH</t>
        </is>
      </c>
      <c r="E375" s="10">
        <f>IF(A375="","",A375&amp;"|"&amp;D375)</f>
        <v/>
      </c>
      <c r="F375" s="5" t="inlineStr">
        <is>
          <t>Y</t>
        </is>
      </c>
      <c r="G375" s="5" t="inlineStr">
        <is>
          <t>Other / bench</t>
        </is>
      </c>
      <c r="H375" s="5" t="inlineStr">
        <is>
          <t>Low</t>
        </is>
      </c>
      <c r="I375" s="5" t="n">
        <v>1</v>
      </c>
      <c r="J375" s="5" t="n"/>
      <c r="K375" s="10">
        <f>IFERROR(IF(INDEX('Test catalog'!$F$2:$F$200,MATCH($AB375,'Test catalog'!$A$2:$A$200,0))="","",INDEX('Test catalog'!$F$2:$F$200,MATCH($AB375,'Test catalog'!$A$2:$A$200,0))),"")</f>
        <v/>
      </c>
      <c r="L375" s="10">
        <f>IFERROR(IF(INDEX('Test catalog'!$G$2:$G$200,MATCH($AB375,'Test catalog'!$A$2:$A$200,0))="","",INDEX('Test catalog'!$G$2:$G$200,MATCH($AB375,'Test catalog'!$A$2:$A$200,0))),"")</f>
        <v/>
      </c>
      <c r="M375" s="10">
        <f>IFERROR(IF(INDEX('Test catalog'!$H$2:$H$200,MATCH($AB375,'Test catalog'!$A$2:$A$200,0))="","",INDEX('Test catalog'!$H$2:$H$200,MATCH($AB375,'Test catalog'!$A$2:$A$200,0))),"")</f>
        <v/>
      </c>
      <c r="N375" s="10">
        <f>IFERROR(IF(INDEX('Test catalog'!$I$2:$I$200,MATCH($AB375,'Test catalog'!$A$2:$A$200,0))="","",INDEX('Test catalog'!$I$2:$I$200,MATCH($AB375,'Test catalog'!$A$2:$A$200,0))),"")</f>
        <v/>
      </c>
      <c r="O375" s="10">
        <f>IFERROR(IF(INDEX('Test catalog'!$J$2:$J$200,MATCH($AB375,'Test catalog'!$A$2:$A$200,0))="","",INDEX('Test catalog'!$J$2:$J$200,MATCH($AB375,'Test catalog'!$A$2:$A$200,0))),"")</f>
        <v/>
      </c>
      <c r="P375" s="14">
        <f>IF(N375="","",IF(OR(M375="",O375=""),N375,(M375+4*N375+O375)/6))</f>
        <v/>
      </c>
      <c r="Q375" s="10">
        <f>IFERROR(IF(INDEX('Test catalog'!$K$2:$K$200,MATCH($AB375,'Test catalog'!$A$2:$A$200,0))="","",INDEX('Test catalog'!$K$2:$K$200,MATCH($AB375,'Test catalog'!$A$2:$A$200,0))),"")</f>
        <v/>
      </c>
      <c r="R375" s="5" t="n"/>
      <c r="S375" s="10">
        <f>IFERROR(IF(INDEX('Test catalog'!$L$2:$L$200,MATCH($AB375,'Test catalog'!$A$2:$A$200,0))="","",INDEX('Test catalog'!$L$2:$L$200,MATCH($AB375,'Test catalog'!$A$2:$A$200,0))),"")</f>
        <v/>
      </c>
      <c r="T375" s="10">
        <f>IFERROR(IF(INDEX('Test catalog'!$M$2:$M$200,MATCH($AB375,'Test catalog'!$A$2:$A$200,0))="","",INDEX('Test catalog'!$M$2:$M$200,MATCH($AB375,'Test catalog'!$A$2:$A$200,0))),"")</f>
        <v/>
      </c>
      <c r="U375" s="10">
        <f>IFERROR(IF(INDEX('Test catalog'!$N$2:$N$200,MATCH($AB375,'Test catalog'!$A$2:$A$200,0))="","",INDEX('Test catalog'!$N$2:$N$200,MATCH($AB375,'Test catalog'!$A$2:$A$200,0))),"")</f>
        <v/>
      </c>
      <c r="V375" s="15" t="n"/>
      <c r="W375" s="5" t="inlineStr">
        <is>
          <t>N</t>
        </is>
      </c>
      <c r="X375" s="5" t="n"/>
      <c r="Y375" s="5" t="n"/>
      <c r="Z375" s="5" t="n"/>
      <c r="AA375" s="10">
        <f>IFERROR(IF(INDEX('Test catalog'!$O$2:$O$200,MATCH($AB375,'Test catalog'!$A$2:$A$200,0))="","",INDEX('Test catalog'!$O$2:$O$200,MATCH($AB375,'Test catalog'!$A$2:$A$200,0))),"")</f>
        <v/>
      </c>
      <c r="AB375" s="10" t="inlineStr">
        <is>
          <t>PH</t>
        </is>
      </c>
      <c r="AC375" s="10" t="inlineStr">
        <is>
          <t>Methionine · Specific Tests &lt;791&gt;</t>
        </is>
      </c>
      <c r="AD375" s="10" t="n"/>
      <c r="AE375" s="10" t="n"/>
    </row>
    <row r="376">
      <c r="A376" s="10" t="inlineStr">
        <is>
          <t>Methionine</t>
        </is>
      </c>
      <c r="B376" s="10" t="inlineStr">
        <is>
          <t>RM</t>
        </is>
      </c>
      <c r="C376" s="10" t="inlineStr">
        <is>
          <t>Active</t>
        </is>
      </c>
      <c r="D376" s="10" t="inlineStr">
        <is>
          <t>Loss on Drying</t>
        </is>
      </c>
      <c r="E376" s="10">
        <f>IF(A376="","",A376&amp;"|"&amp;D376)</f>
        <v/>
      </c>
      <c r="F376" s="5" t="inlineStr">
        <is>
          <t>Y</t>
        </is>
      </c>
      <c r="G376" s="5" t="inlineStr">
        <is>
          <t>Other / bench</t>
        </is>
      </c>
      <c r="H376" s="5" t="inlineStr">
        <is>
          <t>Low</t>
        </is>
      </c>
      <c r="I376" s="5" t="n">
        <v>1</v>
      </c>
      <c r="J376" s="5" t="n"/>
      <c r="K376" s="10">
        <f>IFERROR(IF(INDEX('Test catalog'!$F$2:$F$200,MATCH($AB376,'Test catalog'!$A$2:$A$200,0))="","",INDEX('Test catalog'!$F$2:$F$200,MATCH($AB376,'Test catalog'!$A$2:$A$200,0))),"")</f>
        <v/>
      </c>
      <c r="L376" s="10">
        <f>IFERROR(IF(INDEX('Test catalog'!$G$2:$G$200,MATCH($AB376,'Test catalog'!$A$2:$A$200,0))="","",INDEX('Test catalog'!$G$2:$G$200,MATCH($AB376,'Test catalog'!$A$2:$A$200,0))),"")</f>
        <v/>
      </c>
      <c r="M376" s="10">
        <f>IFERROR(IF(INDEX('Test catalog'!$H$2:$H$200,MATCH($AB376,'Test catalog'!$A$2:$A$200,0))="","",INDEX('Test catalog'!$H$2:$H$200,MATCH($AB376,'Test catalog'!$A$2:$A$200,0))),"")</f>
        <v/>
      </c>
      <c r="N376" s="10">
        <f>IFERROR(IF(INDEX('Test catalog'!$I$2:$I$200,MATCH($AB376,'Test catalog'!$A$2:$A$200,0))="","",INDEX('Test catalog'!$I$2:$I$200,MATCH($AB376,'Test catalog'!$A$2:$A$200,0))),"")</f>
        <v/>
      </c>
      <c r="O376" s="10">
        <f>IFERROR(IF(INDEX('Test catalog'!$J$2:$J$200,MATCH($AB376,'Test catalog'!$A$2:$A$200,0))="","",INDEX('Test catalog'!$J$2:$J$200,MATCH($AB376,'Test catalog'!$A$2:$A$200,0))),"")</f>
        <v/>
      </c>
      <c r="P376" s="14">
        <f>IF(N376="","",IF(OR(M376="",O376=""),N376,(M376+4*N376+O376)/6))</f>
        <v/>
      </c>
      <c r="Q376" s="10">
        <f>IFERROR(IF(INDEX('Test catalog'!$K$2:$K$200,MATCH($AB376,'Test catalog'!$A$2:$A$200,0))="","",INDEX('Test catalog'!$K$2:$K$200,MATCH($AB376,'Test catalog'!$A$2:$A$200,0))),"")</f>
        <v/>
      </c>
      <c r="R376" s="5" t="n"/>
      <c r="S376" s="10">
        <f>IFERROR(IF(INDEX('Test catalog'!$L$2:$L$200,MATCH($AB376,'Test catalog'!$A$2:$A$200,0))="","",INDEX('Test catalog'!$L$2:$L$200,MATCH($AB376,'Test catalog'!$A$2:$A$200,0))),"")</f>
        <v/>
      </c>
      <c r="T376" s="10">
        <f>IFERROR(IF(INDEX('Test catalog'!$M$2:$M$200,MATCH($AB376,'Test catalog'!$A$2:$A$200,0))="","",INDEX('Test catalog'!$M$2:$M$200,MATCH($AB376,'Test catalog'!$A$2:$A$200,0))),"")</f>
        <v/>
      </c>
      <c r="U376" s="10">
        <f>IFERROR(IF(INDEX('Test catalog'!$N$2:$N$200,MATCH($AB376,'Test catalog'!$A$2:$A$200,0))="","",INDEX('Test catalog'!$N$2:$N$200,MATCH($AB376,'Test catalog'!$A$2:$A$200,0))),"")</f>
        <v/>
      </c>
      <c r="V376" s="15" t="n"/>
      <c r="W376" s="5" t="inlineStr">
        <is>
          <t>N</t>
        </is>
      </c>
      <c r="X376" s="5" t="n"/>
      <c r="Y376" s="5" t="n"/>
      <c r="Z376" s="5" t="n"/>
      <c r="AA376" s="10">
        <f>IFERROR(IF(INDEX('Test catalog'!$O$2:$O$200,MATCH($AB376,'Test catalog'!$A$2:$A$200,0))="","",INDEX('Test catalog'!$O$2:$O$200,MATCH($AB376,'Test catalog'!$A$2:$A$200,0))),"")</f>
        <v/>
      </c>
      <c r="AB376" s="10" t="inlineStr">
        <is>
          <t>LOD</t>
        </is>
      </c>
      <c r="AC376" s="10" t="inlineStr">
        <is>
          <t>Methionine · Specific Tests &lt;731&gt;</t>
        </is>
      </c>
      <c r="AD376" s="10" t="n"/>
      <c r="AE376" s="10" t="n"/>
    </row>
    <row r="377">
      <c r="A377" s="10" t="inlineStr">
        <is>
          <t>Methyl Sulphonyl Methane (MSM)</t>
        </is>
      </c>
      <c r="B377" s="10" t="inlineStr">
        <is>
          <t>RM</t>
        </is>
      </c>
      <c r="C377" s="10" t="inlineStr">
        <is>
          <t>Active</t>
        </is>
      </c>
      <c r="D377" s="10" t="inlineStr">
        <is>
          <t>Appearance / description and solubility</t>
        </is>
      </c>
      <c r="E377" s="10">
        <f>IF(A377="","",A377&amp;"|"&amp;D377)</f>
        <v/>
      </c>
      <c r="F377" s="5" t="inlineStr">
        <is>
          <t>Y</t>
        </is>
      </c>
      <c r="G377" s="5" t="inlineStr">
        <is>
          <t>Other / bench</t>
        </is>
      </c>
      <c r="H377" s="5" t="inlineStr">
        <is>
          <t>Low</t>
        </is>
      </c>
      <c r="I377" s="5" t="n">
        <v>1</v>
      </c>
      <c r="J377" s="5" t="n"/>
      <c r="K377" s="10">
        <f>IFERROR(IF(INDEX('Test catalog'!$F$2:$F$200,MATCH($AB377,'Test catalog'!$A$2:$A$200,0))="","",INDEX('Test catalog'!$F$2:$F$200,MATCH($AB377,'Test catalog'!$A$2:$A$200,0))),"")</f>
        <v/>
      </c>
      <c r="L377" s="10">
        <f>IFERROR(IF(INDEX('Test catalog'!$G$2:$G$200,MATCH($AB377,'Test catalog'!$A$2:$A$200,0))="","",INDEX('Test catalog'!$G$2:$G$200,MATCH($AB377,'Test catalog'!$A$2:$A$200,0))),"")</f>
        <v/>
      </c>
      <c r="M377" s="10">
        <f>IFERROR(IF(INDEX('Test catalog'!$H$2:$H$200,MATCH($AB377,'Test catalog'!$A$2:$A$200,0))="","",INDEX('Test catalog'!$H$2:$H$200,MATCH($AB377,'Test catalog'!$A$2:$A$200,0))),"")</f>
        <v/>
      </c>
      <c r="N377" s="10">
        <f>IFERROR(IF(INDEX('Test catalog'!$I$2:$I$200,MATCH($AB377,'Test catalog'!$A$2:$A$200,0))="","",INDEX('Test catalog'!$I$2:$I$200,MATCH($AB377,'Test catalog'!$A$2:$A$200,0))),"")</f>
        <v/>
      </c>
      <c r="O377" s="10">
        <f>IFERROR(IF(INDEX('Test catalog'!$J$2:$J$200,MATCH($AB377,'Test catalog'!$A$2:$A$200,0))="","",INDEX('Test catalog'!$J$2:$J$200,MATCH($AB377,'Test catalog'!$A$2:$A$200,0))),"")</f>
        <v/>
      </c>
      <c r="P377" s="14">
        <f>IF(N377="","",IF(OR(M377="",O377=""),N377,(M377+4*N377+O377)/6))</f>
        <v/>
      </c>
      <c r="Q377" s="10">
        <f>IFERROR(IF(INDEX('Test catalog'!$K$2:$K$200,MATCH($AB377,'Test catalog'!$A$2:$A$200,0))="","",INDEX('Test catalog'!$K$2:$K$200,MATCH($AB377,'Test catalog'!$A$2:$A$200,0))),"")</f>
        <v/>
      </c>
      <c r="R377" s="5" t="n"/>
      <c r="S377" s="10">
        <f>IFERROR(IF(INDEX('Test catalog'!$L$2:$L$200,MATCH($AB377,'Test catalog'!$A$2:$A$200,0))="","",INDEX('Test catalog'!$L$2:$L$200,MATCH($AB377,'Test catalog'!$A$2:$A$200,0))),"")</f>
        <v/>
      </c>
      <c r="T377" s="10">
        <f>IFERROR(IF(INDEX('Test catalog'!$M$2:$M$200,MATCH($AB377,'Test catalog'!$A$2:$A$200,0))="","",INDEX('Test catalog'!$M$2:$M$200,MATCH($AB377,'Test catalog'!$A$2:$A$200,0))),"")</f>
        <v/>
      </c>
      <c r="U377" s="10">
        <f>IFERROR(IF(INDEX('Test catalog'!$N$2:$N$200,MATCH($AB377,'Test catalog'!$A$2:$A$200,0))="","",INDEX('Test catalog'!$N$2:$N$200,MATCH($AB377,'Test catalog'!$A$2:$A$200,0))),"")</f>
        <v/>
      </c>
      <c r="V377" s="15" t="n"/>
      <c r="W377" s="5" t="inlineStr">
        <is>
          <t>N</t>
        </is>
      </c>
      <c r="X377" s="5" t="n"/>
      <c r="Y377" s="5" t="n"/>
      <c r="Z377" s="5" t="n"/>
      <c r="AA377" s="10">
        <f>IFERROR(IF(INDEX('Test catalog'!$O$2:$O$200,MATCH($AB377,'Test catalog'!$A$2:$A$200,0))="","",INDEX('Test catalog'!$O$2:$O$200,MATCH($AB377,'Test catalog'!$A$2:$A$200,0))),"")</f>
        <v/>
      </c>
      <c r="AB377" s="10" t="inlineStr">
        <is>
          <t>APPEAR</t>
        </is>
      </c>
      <c r="AC377" s="10" t="inlineStr">
        <is>
          <t>Lab practice (not a USP test)</t>
        </is>
      </c>
      <c r="AD377" s="10" t="n"/>
      <c r="AE377" s="10" t="n"/>
    </row>
    <row r="378">
      <c r="A378" s="10" t="inlineStr">
        <is>
          <t>Methyl Sulphonyl Methane (MSM)</t>
        </is>
      </c>
      <c r="B378" s="10" t="inlineStr">
        <is>
          <t>RM</t>
        </is>
      </c>
      <c r="C378" s="10" t="inlineStr">
        <is>
          <t>Active</t>
        </is>
      </c>
      <c r="D378" s="10" t="inlineStr">
        <is>
          <t>ID A - IR spectrum</t>
        </is>
      </c>
      <c r="E378" s="10">
        <f>IF(A378="","",A378&amp;"|"&amp;D378)</f>
        <v/>
      </c>
      <c r="F378" s="5" t="inlineStr">
        <is>
          <t>Y</t>
        </is>
      </c>
      <c r="G378" s="5" t="inlineStr">
        <is>
          <t>Other / bench</t>
        </is>
      </c>
      <c r="H378" s="5" t="inlineStr">
        <is>
          <t>Low</t>
        </is>
      </c>
      <c r="I378" s="5" t="n">
        <v>1</v>
      </c>
      <c r="J378" s="5" t="n"/>
      <c r="K378" s="10">
        <f>IFERROR(IF(INDEX('Test catalog'!$F$2:$F$200,MATCH($AB378,'Test catalog'!$A$2:$A$200,0))="","",INDEX('Test catalog'!$F$2:$F$200,MATCH($AB378,'Test catalog'!$A$2:$A$200,0))),"")</f>
        <v/>
      </c>
      <c r="L378" s="10">
        <f>IFERROR(IF(INDEX('Test catalog'!$G$2:$G$200,MATCH($AB378,'Test catalog'!$A$2:$A$200,0))="","",INDEX('Test catalog'!$G$2:$G$200,MATCH($AB378,'Test catalog'!$A$2:$A$200,0))),"")</f>
        <v/>
      </c>
      <c r="M378" s="10">
        <f>IFERROR(IF(INDEX('Test catalog'!$H$2:$H$200,MATCH($AB378,'Test catalog'!$A$2:$A$200,0))="","",INDEX('Test catalog'!$H$2:$H$200,MATCH($AB378,'Test catalog'!$A$2:$A$200,0))),"")</f>
        <v/>
      </c>
      <c r="N378" s="10">
        <f>IFERROR(IF(INDEX('Test catalog'!$I$2:$I$200,MATCH($AB378,'Test catalog'!$A$2:$A$200,0))="","",INDEX('Test catalog'!$I$2:$I$200,MATCH($AB378,'Test catalog'!$A$2:$A$200,0))),"")</f>
        <v/>
      </c>
      <c r="O378" s="10">
        <f>IFERROR(IF(INDEX('Test catalog'!$J$2:$J$200,MATCH($AB378,'Test catalog'!$A$2:$A$200,0))="","",INDEX('Test catalog'!$J$2:$J$200,MATCH($AB378,'Test catalog'!$A$2:$A$200,0))),"")</f>
        <v/>
      </c>
      <c r="P378" s="14">
        <f>IF(N378="","",IF(OR(M378="",O378=""),N378,(M378+4*N378+O378)/6))</f>
        <v/>
      </c>
      <c r="Q378" s="10">
        <f>IFERROR(IF(INDEX('Test catalog'!$K$2:$K$200,MATCH($AB378,'Test catalog'!$A$2:$A$200,0))="","",INDEX('Test catalog'!$K$2:$K$200,MATCH($AB378,'Test catalog'!$A$2:$A$200,0))),"")</f>
        <v/>
      </c>
      <c r="R378" s="5" t="n"/>
      <c r="S378" s="10">
        <f>IFERROR(IF(INDEX('Test catalog'!$L$2:$L$200,MATCH($AB378,'Test catalog'!$A$2:$A$200,0))="","",INDEX('Test catalog'!$L$2:$L$200,MATCH($AB378,'Test catalog'!$A$2:$A$200,0))),"")</f>
        <v/>
      </c>
      <c r="T378" s="10">
        <f>IFERROR(IF(INDEX('Test catalog'!$M$2:$M$200,MATCH($AB378,'Test catalog'!$A$2:$A$200,0))="","",INDEX('Test catalog'!$M$2:$M$200,MATCH($AB378,'Test catalog'!$A$2:$A$200,0))),"")</f>
        <v/>
      </c>
      <c r="U378" s="10">
        <f>IFERROR(IF(INDEX('Test catalog'!$N$2:$N$200,MATCH($AB378,'Test catalog'!$A$2:$A$200,0))="","",INDEX('Test catalog'!$N$2:$N$200,MATCH($AB378,'Test catalog'!$A$2:$A$200,0))),"")</f>
        <v/>
      </c>
      <c r="V378" s="15" t="n"/>
      <c r="W378" s="5" t="inlineStr">
        <is>
          <t>N</t>
        </is>
      </c>
      <c r="X378" s="5" t="n"/>
      <c r="Y378" s="5" t="n"/>
      <c r="Z378" s="5" t="n"/>
      <c r="AA378" s="10">
        <f>IFERROR(IF(INDEX('Test catalog'!$O$2:$O$200,MATCH($AB378,'Test catalog'!$A$2:$A$200,0))="","",INDEX('Test catalog'!$O$2:$O$200,MATCH($AB378,'Test catalog'!$A$2:$A$200,0))),"")</f>
        <v/>
      </c>
      <c r="AB378" s="10" t="inlineStr">
        <is>
          <t>ID_IR</t>
        </is>
      </c>
      <c r="AC378" s="10" t="inlineStr">
        <is>
          <t>Methylsulfonylmethane · Identification &lt;197&gt;</t>
        </is>
      </c>
      <c r="AD378" s="10" t="n"/>
      <c r="AE378" s="10" t="n"/>
    </row>
    <row r="379">
      <c r="A379" s="10" t="inlineStr">
        <is>
          <t>Methyl Sulphonyl Methane (MSM)</t>
        </is>
      </c>
      <c r="B379" s="10" t="inlineStr">
        <is>
          <t>RM</t>
        </is>
      </c>
      <c r="C379" s="10" t="inlineStr">
        <is>
          <t>Active</t>
        </is>
      </c>
      <c r="D379" s="10" t="inlineStr">
        <is>
          <t>Assay (GC)</t>
        </is>
      </c>
      <c r="E379" s="10">
        <f>IF(A379="","",A379&amp;"|"&amp;D379)</f>
        <v/>
      </c>
      <c r="F379" s="5" t="inlineStr">
        <is>
          <t>Y</t>
        </is>
      </c>
      <c r="G379" s="5" t="inlineStr">
        <is>
          <t>GC</t>
        </is>
      </c>
      <c r="H379" s="5" t="inlineStr">
        <is>
          <t>Medium</t>
        </is>
      </c>
      <c r="I379" s="5" t="n">
        <v>1</v>
      </c>
      <c r="J379" s="5" t="n"/>
      <c r="K379" s="5" t="n"/>
      <c r="L379" s="5" t="n"/>
      <c r="M379" s="5" t="n"/>
      <c r="N379" s="5" t="n"/>
      <c r="O379" s="5" t="n"/>
      <c r="P379" s="14">
        <f>IF(N379="","",IF(OR(M379="",O379=""),N379,(M379+4*N379+O379)/6))</f>
        <v/>
      </c>
      <c r="Q379" s="5" t="n"/>
      <c r="R379" s="5" t="n"/>
      <c r="S379" s="5" t="n"/>
      <c r="T379" s="5" t="n"/>
      <c r="U379" s="5" t="n"/>
      <c r="V379" s="15" t="n"/>
      <c r="W379" s="5" t="inlineStr">
        <is>
          <t>N</t>
        </is>
      </c>
      <c r="X379" s="5" t="n"/>
      <c r="Y379" s="5" t="n"/>
      <c r="Z379" s="5" t="n"/>
      <c r="AA379" s="5" t="n"/>
      <c r="AB379" s="10" t="n"/>
      <c r="AC379" s="10" t="inlineStr">
        <is>
          <t>Methylsulfonylmethane · Assay</t>
        </is>
      </c>
      <c r="AD379" s="10" t="n"/>
      <c r="AE379" s="10" t="n"/>
    </row>
    <row r="380">
      <c r="A380" s="10" t="inlineStr">
        <is>
          <t>Methyl Sulphonyl Methane (MSM)</t>
        </is>
      </c>
      <c r="B380" s="10" t="inlineStr">
        <is>
          <t>RM</t>
        </is>
      </c>
      <c r="C380" s="10" t="inlineStr">
        <is>
          <t>Active</t>
        </is>
      </c>
      <c r="D380" s="10" t="inlineStr">
        <is>
          <t>Chromatographic Purity and Limit of Dimethyl Sulfoxide (GC)</t>
        </is>
      </c>
      <c r="E380" s="10">
        <f>IF(A380="","",A380&amp;"|"&amp;D380)</f>
        <v/>
      </c>
      <c r="F380" s="5" t="inlineStr">
        <is>
          <t>Y</t>
        </is>
      </c>
      <c r="G380" s="5" t="inlineStr">
        <is>
          <t>GC</t>
        </is>
      </c>
      <c r="H380" s="5" t="inlineStr">
        <is>
          <t>Medium</t>
        </is>
      </c>
      <c r="I380" s="5" t="n">
        <v>1</v>
      </c>
      <c r="J380" s="5" t="n"/>
      <c r="K380" s="5" t="n"/>
      <c r="L380" s="5" t="n"/>
      <c r="M380" s="5" t="n"/>
      <c r="N380" s="5" t="n"/>
      <c r="O380" s="5" t="n"/>
      <c r="P380" s="14">
        <f>IF(N380="","",IF(OR(M380="",O380=""),N380,(M380+4*N380+O380)/6))</f>
        <v/>
      </c>
      <c r="Q380" s="5" t="n"/>
      <c r="R380" s="5" t="n"/>
      <c r="S380" s="5" t="n"/>
      <c r="T380" s="5" t="n"/>
      <c r="U380" s="5" t="n"/>
      <c r="V380" s="15" t="n"/>
      <c r="W380" s="5" t="inlineStr">
        <is>
          <t>N</t>
        </is>
      </c>
      <c r="X380" s="5" t="n"/>
      <c r="Y380" s="5" t="n"/>
      <c r="Z380" s="5" t="n"/>
      <c r="AA380" s="5" t="n"/>
      <c r="AB380" s="10" t="n"/>
      <c r="AC380" s="10" t="inlineStr">
        <is>
          <t>Methylsulfonylmethane · Impurities</t>
        </is>
      </c>
      <c r="AD380" s="10" t="n"/>
      <c r="AE380" s="10" t="n"/>
    </row>
    <row r="381">
      <c r="A381" s="10" t="inlineStr">
        <is>
          <t>Methyl Sulphonyl Methane (MSM)</t>
        </is>
      </c>
      <c r="B381" s="10" t="inlineStr">
        <is>
          <t>RM</t>
        </is>
      </c>
      <c r="C381" s="10" t="inlineStr">
        <is>
          <t>Active</t>
        </is>
      </c>
      <c r="D381" s="10" t="inlineStr">
        <is>
          <t>Melting Range or Temperature</t>
        </is>
      </c>
      <c r="E381" s="10">
        <f>IF(A381="","",A381&amp;"|"&amp;D381)</f>
        <v/>
      </c>
      <c r="F381" s="5" t="inlineStr">
        <is>
          <t>Y</t>
        </is>
      </c>
      <c r="G381" s="5" t="inlineStr">
        <is>
          <t>Other / bench</t>
        </is>
      </c>
      <c r="H381" s="5" t="inlineStr">
        <is>
          <t>Low</t>
        </is>
      </c>
      <c r="I381" s="5" t="n">
        <v>1</v>
      </c>
      <c r="J381" s="5" t="n"/>
      <c r="K381" s="10">
        <f>IFERROR(IF(INDEX('Test catalog'!$F$2:$F$200,MATCH($AB381,'Test catalog'!$A$2:$A$200,0))="","",INDEX('Test catalog'!$F$2:$F$200,MATCH($AB381,'Test catalog'!$A$2:$A$200,0))),"")</f>
        <v/>
      </c>
      <c r="L381" s="10">
        <f>IFERROR(IF(INDEX('Test catalog'!$G$2:$G$200,MATCH($AB381,'Test catalog'!$A$2:$A$200,0))="","",INDEX('Test catalog'!$G$2:$G$200,MATCH($AB381,'Test catalog'!$A$2:$A$200,0))),"")</f>
        <v/>
      </c>
      <c r="M381" s="10">
        <f>IFERROR(IF(INDEX('Test catalog'!$H$2:$H$200,MATCH($AB381,'Test catalog'!$A$2:$A$200,0))="","",INDEX('Test catalog'!$H$2:$H$200,MATCH($AB381,'Test catalog'!$A$2:$A$200,0))),"")</f>
        <v/>
      </c>
      <c r="N381" s="10">
        <f>IFERROR(IF(INDEX('Test catalog'!$I$2:$I$200,MATCH($AB381,'Test catalog'!$A$2:$A$200,0))="","",INDEX('Test catalog'!$I$2:$I$200,MATCH($AB381,'Test catalog'!$A$2:$A$200,0))),"")</f>
        <v/>
      </c>
      <c r="O381" s="10">
        <f>IFERROR(IF(INDEX('Test catalog'!$J$2:$J$200,MATCH($AB381,'Test catalog'!$A$2:$A$200,0))="","",INDEX('Test catalog'!$J$2:$J$200,MATCH($AB381,'Test catalog'!$A$2:$A$200,0))),"")</f>
        <v/>
      </c>
      <c r="P381" s="14">
        <f>IF(N381="","",IF(OR(M381="",O381=""),N381,(M381+4*N381+O381)/6))</f>
        <v/>
      </c>
      <c r="Q381" s="10">
        <f>IFERROR(IF(INDEX('Test catalog'!$K$2:$K$200,MATCH($AB381,'Test catalog'!$A$2:$A$200,0))="","",INDEX('Test catalog'!$K$2:$K$200,MATCH($AB381,'Test catalog'!$A$2:$A$200,0))),"")</f>
        <v/>
      </c>
      <c r="R381" s="5" t="n"/>
      <c r="S381" s="10">
        <f>IFERROR(IF(INDEX('Test catalog'!$L$2:$L$200,MATCH($AB381,'Test catalog'!$A$2:$A$200,0))="","",INDEX('Test catalog'!$L$2:$L$200,MATCH($AB381,'Test catalog'!$A$2:$A$200,0))),"")</f>
        <v/>
      </c>
      <c r="T381" s="10">
        <f>IFERROR(IF(INDEX('Test catalog'!$M$2:$M$200,MATCH($AB381,'Test catalog'!$A$2:$A$200,0))="","",INDEX('Test catalog'!$M$2:$M$200,MATCH($AB381,'Test catalog'!$A$2:$A$200,0))),"")</f>
        <v/>
      </c>
      <c r="U381" s="10">
        <f>IFERROR(IF(INDEX('Test catalog'!$N$2:$N$200,MATCH($AB381,'Test catalog'!$A$2:$A$200,0))="","",INDEX('Test catalog'!$N$2:$N$200,MATCH($AB381,'Test catalog'!$A$2:$A$200,0))),"")</f>
        <v/>
      </c>
      <c r="V381" s="15" t="n"/>
      <c r="W381" s="5" t="inlineStr">
        <is>
          <t>N</t>
        </is>
      </c>
      <c r="X381" s="5" t="n"/>
      <c r="Y381" s="5" t="n"/>
      <c r="Z381" s="5" t="n"/>
      <c r="AA381" s="10">
        <f>IFERROR(IF(INDEX('Test catalog'!$O$2:$O$200,MATCH($AB381,'Test catalog'!$A$2:$A$200,0))="","",INDEX('Test catalog'!$O$2:$O$200,MATCH($AB381,'Test catalog'!$A$2:$A$200,0))),"")</f>
        <v/>
      </c>
      <c r="AB381" s="10" t="inlineStr">
        <is>
          <t>MP</t>
        </is>
      </c>
      <c r="AC381" s="10" t="inlineStr">
        <is>
          <t>Methylsulfonylmethane · Specific Tests &lt;741&gt;</t>
        </is>
      </c>
      <c r="AD381" s="10" t="n"/>
      <c r="AE381" s="10" t="n"/>
    </row>
    <row r="382">
      <c r="A382" s="10" t="inlineStr">
        <is>
          <t>Milk Thistle Dry Extract 70:1</t>
        </is>
      </c>
      <c r="B382" s="10" t="inlineStr">
        <is>
          <t>RM</t>
        </is>
      </c>
      <c r="C382" s="10" t="inlineStr">
        <is>
          <t>Active</t>
        </is>
      </c>
      <c r="D382" s="10" t="inlineStr">
        <is>
          <t>Appearance / description and solubility</t>
        </is>
      </c>
      <c r="E382" s="10">
        <f>IF(A382="","",A382&amp;"|"&amp;D382)</f>
        <v/>
      </c>
      <c r="F382" s="5" t="inlineStr">
        <is>
          <t>Y</t>
        </is>
      </c>
      <c r="G382" s="5" t="inlineStr">
        <is>
          <t>Other / bench</t>
        </is>
      </c>
      <c r="H382" s="5" t="inlineStr">
        <is>
          <t>Low</t>
        </is>
      </c>
      <c r="I382" s="5" t="n">
        <v>1</v>
      </c>
      <c r="J382" s="5" t="n"/>
      <c r="K382" s="10">
        <f>IFERROR(IF(INDEX('Test catalog'!$F$2:$F$200,MATCH($AB382,'Test catalog'!$A$2:$A$200,0))="","",INDEX('Test catalog'!$F$2:$F$200,MATCH($AB382,'Test catalog'!$A$2:$A$200,0))),"")</f>
        <v/>
      </c>
      <c r="L382" s="10">
        <f>IFERROR(IF(INDEX('Test catalog'!$G$2:$G$200,MATCH($AB382,'Test catalog'!$A$2:$A$200,0))="","",INDEX('Test catalog'!$G$2:$G$200,MATCH($AB382,'Test catalog'!$A$2:$A$200,0))),"")</f>
        <v/>
      </c>
      <c r="M382" s="10">
        <f>IFERROR(IF(INDEX('Test catalog'!$H$2:$H$200,MATCH($AB382,'Test catalog'!$A$2:$A$200,0))="","",INDEX('Test catalog'!$H$2:$H$200,MATCH($AB382,'Test catalog'!$A$2:$A$200,0))),"")</f>
        <v/>
      </c>
      <c r="N382" s="10">
        <f>IFERROR(IF(INDEX('Test catalog'!$I$2:$I$200,MATCH($AB382,'Test catalog'!$A$2:$A$200,0))="","",INDEX('Test catalog'!$I$2:$I$200,MATCH($AB382,'Test catalog'!$A$2:$A$200,0))),"")</f>
        <v/>
      </c>
      <c r="O382" s="10">
        <f>IFERROR(IF(INDEX('Test catalog'!$J$2:$J$200,MATCH($AB382,'Test catalog'!$A$2:$A$200,0))="","",INDEX('Test catalog'!$J$2:$J$200,MATCH($AB382,'Test catalog'!$A$2:$A$200,0))),"")</f>
        <v/>
      </c>
      <c r="P382" s="14">
        <f>IF(N382="","",IF(OR(M382="",O382=""),N382,(M382+4*N382+O382)/6))</f>
        <v/>
      </c>
      <c r="Q382" s="10">
        <f>IFERROR(IF(INDEX('Test catalog'!$K$2:$K$200,MATCH($AB382,'Test catalog'!$A$2:$A$200,0))="","",INDEX('Test catalog'!$K$2:$K$200,MATCH($AB382,'Test catalog'!$A$2:$A$200,0))),"")</f>
        <v/>
      </c>
      <c r="R382" s="5" t="n"/>
      <c r="S382" s="10">
        <f>IFERROR(IF(INDEX('Test catalog'!$L$2:$L$200,MATCH($AB382,'Test catalog'!$A$2:$A$200,0))="","",INDEX('Test catalog'!$L$2:$L$200,MATCH($AB382,'Test catalog'!$A$2:$A$200,0))),"")</f>
        <v/>
      </c>
      <c r="T382" s="10">
        <f>IFERROR(IF(INDEX('Test catalog'!$M$2:$M$200,MATCH($AB382,'Test catalog'!$A$2:$A$200,0))="","",INDEX('Test catalog'!$M$2:$M$200,MATCH($AB382,'Test catalog'!$A$2:$A$200,0))),"")</f>
        <v/>
      </c>
      <c r="U382" s="10">
        <f>IFERROR(IF(INDEX('Test catalog'!$N$2:$N$200,MATCH($AB382,'Test catalog'!$A$2:$A$200,0))="","",INDEX('Test catalog'!$N$2:$N$200,MATCH($AB382,'Test catalog'!$A$2:$A$200,0))),"")</f>
        <v/>
      </c>
      <c r="V382" s="15" t="n"/>
      <c r="W382" s="5" t="inlineStr">
        <is>
          <t>N</t>
        </is>
      </c>
      <c r="X382" s="5" t="n"/>
      <c r="Y382" s="5" t="n"/>
      <c r="Z382" s="5" t="n"/>
      <c r="AA382" s="10">
        <f>IFERROR(IF(INDEX('Test catalog'!$O$2:$O$200,MATCH($AB382,'Test catalog'!$A$2:$A$200,0))="","",INDEX('Test catalog'!$O$2:$O$200,MATCH($AB382,'Test catalog'!$A$2:$A$200,0))),"")</f>
        <v/>
      </c>
      <c r="AB382" s="10" t="inlineStr">
        <is>
          <t>APPEAR</t>
        </is>
      </c>
      <c r="AC382" s="10" t="inlineStr">
        <is>
          <t>Lab practice (not a USP test)</t>
        </is>
      </c>
      <c r="AD382" s="10" t="n"/>
      <c r="AE382" s="10" t="n"/>
    </row>
    <row r="383">
      <c r="A383" s="10" t="inlineStr">
        <is>
          <t>Milk Thistle Dry Extract 70:1</t>
        </is>
      </c>
      <c r="B383" s="10" t="inlineStr">
        <is>
          <t>RM</t>
        </is>
      </c>
      <c r="C383" s="10" t="inlineStr">
        <is>
          <t>Active</t>
        </is>
      </c>
      <c r="D383" s="10" t="inlineStr">
        <is>
          <t>ID A - TLC</t>
        </is>
      </c>
      <c r="E383" s="10">
        <f>IF(A383="","",A383&amp;"|"&amp;D383)</f>
        <v/>
      </c>
      <c r="F383" s="5" t="inlineStr">
        <is>
          <t>Y</t>
        </is>
      </c>
      <c r="G383" s="5" t="inlineStr">
        <is>
          <t>Other / bench</t>
        </is>
      </c>
      <c r="H383" s="5" t="inlineStr">
        <is>
          <t>Low</t>
        </is>
      </c>
      <c r="I383" s="5" t="n">
        <v>1</v>
      </c>
      <c r="J383" s="5" t="n"/>
      <c r="K383" s="10">
        <f>IFERROR(IF(INDEX('Test catalog'!$F$2:$F$200,MATCH($AB383,'Test catalog'!$A$2:$A$200,0))="","",INDEX('Test catalog'!$F$2:$F$200,MATCH($AB383,'Test catalog'!$A$2:$A$200,0))),"")</f>
        <v/>
      </c>
      <c r="L383" s="10">
        <f>IFERROR(IF(INDEX('Test catalog'!$G$2:$G$200,MATCH($AB383,'Test catalog'!$A$2:$A$200,0))="","",INDEX('Test catalog'!$G$2:$G$200,MATCH($AB383,'Test catalog'!$A$2:$A$200,0))),"")</f>
        <v/>
      </c>
      <c r="M383" s="10">
        <f>IFERROR(IF(INDEX('Test catalog'!$H$2:$H$200,MATCH($AB383,'Test catalog'!$A$2:$A$200,0))="","",INDEX('Test catalog'!$H$2:$H$200,MATCH($AB383,'Test catalog'!$A$2:$A$200,0))),"")</f>
        <v/>
      </c>
      <c r="N383" s="10">
        <f>IFERROR(IF(INDEX('Test catalog'!$I$2:$I$200,MATCH($AB383,'Test catalog'!$A$2:$A$200,0))="","",INDEX('Test catalog'!$I$2:$I$200,MATCH($AB383,'Test catalog'!$A$2:$A$200,0))),"")</f>
        <v/>
      </c>
      <c r="O383" s="10">
        <f>IFERROR(IF(INDEX('Test catalog'!$J$2:$J$200,MATCH($AB383,'Test catalog'!$A$2:$A$200,0))="","",INDEX('Test catalog'!$J$2:$J$200,MATCH($AB383,'Test catalog'!$A$2:$A$200,0))),"")</f>
        <v/>
      </c>
      <c r="P383" s="14">
        <f>IF(N383="","",IF(OR(M383="",O383=""),N383,(M383+4*N383+O383)/6))</f>
        <v/>
      </c>
      <c r="Q383" s="10">
        <f>IFERROR(IF(INDEX('Test catalog'!$K$2:$K$200,MATCH($AB383,'Test catalog'!$A$2:$A$200,0))="","",INDEX('Test catalog'!$K$2:$K$200,MATCH($AB383,'Test catalog'!$A$2:$A$200,0))),"")</f>
        <v/>
      </c>
      <c r="R383" s="5" t="n"/>
      <c r="S383" s="10">
        <f>IFERROR(IF(INDEX('Test catalog'!$L$2:$L$200,MATCH($AB383,'Test catalog'!$A$2:$A$200,0))="","",INDEX('Test catalog'!$L$2:$L$200,MATCH($AB383,'Test catalog'!$A$2:$A$200,0))),"")</f>
        <v/>
      </c>
      <c r="T383" s="10">
        <f>IFERROR(IF(INDEX('Test catalog'!$M$2:$M$200,MATCH($AB383,'Test catalog'!$A$2:$A$200,0))="","",INDEX('Test catalog'!$M$2:$M$200,MATCH($AB383,'Test catalog'!$A$2:$A$200,0))),"")</f>
        <v/>
      </c>
      <c r="U383" s="10">
        <f>IFERROR(IF(INDEX('Test catalog'!$N$2:$N$200,MATCH($AB383,'Test catalog'!$A$2:$A$200,0))="","",INDEX('Test catalog'!$N$2:$N$200,MATCH($AB383,'Test catalog'!$A$2:$A$200,0))),"")</f>
        <v/>
      </c>
      <c r="V383" s="15" t="n"/>
      <c r="W383" s="5" t="inlineStr">
        <is>
          <t>N</t>
        </is>
      </c>
      <c r="X383" s="5" t="n"/>
      <c r="Y383" s="5" t="n"/>
      <c r="Z383" s="5" t="n"/>
      <c r="AA383" s="10">
        <f>IFERROR(IF(INDEX('Test catalog'!$O$2:$O$200,MATCH($AB383,'Test catalog'!$A$2:$A$200,0))="","",INDEX('Test catalog'!$O$2:$O$200,MATCH($AB383,'Test catalog'!$A$2:$A$200,0))),"")</f>
        <v/>
      </c>
      <c r="AB383" s="10" t="inlineStr">
        <is>
          <t>TLC</t>
        </is>
      </c>
      <c r="AC383" s="10" t="inlineStr">
        <is>
          <t>Powdered Milk Thistle Extract · Identification &lt;621&gt;</t>
        </is>
      </c>
      <c r="AD383" s="10" t="n"/>
      <c r="AE383" s="10" t="n"/>
    </row>
    <row r="384">
      <c r="A384" s="10" t="inlineStr">
        <is>
          <t>Milk Thistle Dry Extract 70:1</t>
        </is>
      </c>
      <c r="B384" s="10" t="inlineStr">
        <is>
          <t>RM</t>
        </is>
      </c>
      <c r="C384" s="10" t="inlineStr">
        <is>
          <t>Active</t>
        </is>
      </c>
      <c r="D384" s="10" t="inlineStr">
        <is>
          <t>ID A - HPLC</t>
        </is>
      </c>
      <c r="E384" s="10">
        <f>IF(A384="","",A384&amp;"|"&amp;D384)</f>
        <v/>
      </c>
      <c r="F384" s="5" t="inlineStr">
        <is>
          <t>Y</t>
        </is>
      </c>
      <c r="G384" s="5" t="inlineStr">
        <is>
          <t>HPLC</t>
        </is>
      </c>
      <c r="H384" s="5" t="inlineStr">
        <is>
          <t>Medium</t>
        </is>
      </c>
      <c r="I384" s="5" t="n">
        <v>1</v>
      </c>
      <c r="J384" s="5" t="n"/>
      <c r="K384" s="5" t="n"/>
      <c r="L384" s="5" t="n"/>
      <c r="M384" s="5" t="n"/>
      <c r="N384" s="5" t="n"/>
      <c r="O384" s="5" t="n"/>
      <c r="P384" s="14">
        <f>IF(N384="","",IF(OR(M384="",O384=""),N384,(M384+4*N384+O384)/6))</f>
        <v/>
      </c>
      <c r="Q384" s="5" t="n"/>
      <c r="R384" s="5" t="n"/>
      <c r="S384" s="5" t="n"/>
      <c r="T384" s="5" t="n"/>
      <c r="U384" s="5" t="n"/>
      <c r="V384" s="15" t="n"/>
      <c r="W384" s="5" t="inlineStr">
        <is>
          <t>N</t>
        </is>
      </c>
      <c r="X384" s="5" t="n"/>
      <c r="Y384" s="5" t="n"/>
      <c r="Z384" s="5" t="n"/>
      <c r="AA384" s="5" t="n"/>
      <c r="AB384" s="10" t="n"/>
      <c r="AC384" s="10" t="inlineStr">
        <is>
          <t>Powdered Milk Thistle Extract · Identification &lt;203&gt;</t>
        </is>
      </c>
      <c r="AD384" s="10" t="n"/>
      <c r="AE384" s="10" t="n"/>
    </row>
    <row r="385">
      <c r="A385" s="10" t="inlineStr">
        <is>
          <t>Milk Thistle Dry Extract 70:1</t>
        </is>
      </c>
      <c r="B385" s="10" t="inlineStr">
        <is>
          <t>RM</t>
        </is>
      </c>
      <c r="C385" s="10" t="inlineStr">
        <is>
          <t>Active</t>
        </is>
      </c>
      <c r="D385" s="10" t="inlineStr">
        <is>
          <t>Content of Silymarin (HPLC)</t>
        </is>
      </c>
      <c r="E385" s="10">
        <f>IF(A385="","",A385&amp;"|"&amp;D385)</f>
        <v/>
      </c>
      <c r="F385" s="5" t="inlineStr">
        <is>
          <t>Y</t>
        </is>
      </c>
      <c r="G385" s="5" t="inlineStr">
        <is>
          <t>HPLC</t>
        </is>
      </c>
      <c r="H385" s="5" t="inlineStr">
        <is>
          <t>Medium</t>
        </is>
      </c>
      <c r="I385" s="5" t="n">
        <v>1</v>
      </c>
      <c r="J385" s="5" t="n"/>
      <c r="K385" s="5" t="n"/>
      <c r="L385" s="5" t="n"/>
      <c r="M385" s="5" t="n"/>
      <c r="N385" s="5" t="n"/>
      <c r="O385" s="5" t="n"/>
      <c r="P385" s="14">
        <f>IF(N385="","",IF(OR(M385="",O385=""),N385,(M385+4*N385+O385)/6))</f>
        <v/>
      </c>
      <c r="Q385" s="5" t="n"/>
      <c r="R385" s="5" t="n"/>
      <c r="S385" s="5" t="n"/>
      <c r="T385" s="5" t="n"/>
      <c r="U385" s="5" t="n"/>
      <c r="V385" s="15" t="n"/>
      <c r="W385" s="5" t="inlineStr">
        <is>
          <t>N</t>
        </is>
      </c>
      <c r="X385" s="5" t="n"/>
      <c r="Y385" s="5" t="n"/>
      <c r="Z385" s="5" t="n"/>
      <c r="AA385" s="5" t="n"/>
      <c r="AB385" s="10" t="n"/>
      <c r="AC385" s="10" t="inlineStr">
        <is>
          <t>Powdered Milk Thistle Extract · Composition</t>
        </is>
      </c>
      <c r="AD385" s="10" t="n"/>
      <c r="AE385" s="10" t="n"/>
    </row>
    <row r="386">
      <c r="A386" s="10" t="inlineStr">
        <is>
          <t>Milk Thistle Dry Extract 70:1</t>
        </is>
      </c>
      <c r="B386" s="10" t="inlineStr">
        <is>
          <t>RM</t>
        </is>
      </c>
      <c r="C386" s="10" t="inlineStr">
        <is>
          <t>Active</t>
        </is>
      </c>
      <c r="D386" s="10" t="inlineStr">
        <is>
          <t>Botanical Extracts</t>
        </is>
      </c>
      <c r="E386" s="10">
        <f>IF(A386="","",A386&amp;"|"&amp;D386)</f>
        <v/>
      </c>
      <c r="F386" s="5" t="inlineStr">
        <is>
          <t>Y</t>
        </is>
      </c>
      <c r="G386" s="5" t="inlineStr">
        <is>
          <t>GC</t>
        </is>
      </c>
      <c r="H386" s="5" t="inlineStr">
        <is>
          <t>Medium</t>
        </is>
      </c>
      <c r="I386" s="5" t="n">
        <v>1</v>
      </c>
      <c r="J386" s="5" t="n"/>
      <c r="K386" s="10">
        <f>IFERROR(IF(INDEX('Test catalog'!$F$2:$F$200,MATCH($AB386,'Test catalog'!$A$2:$A$200,0))="","",INDEX('Test catalog'!$F$2:$F$200,MATCH($AB386,'Test catalog'!$A$2:$A$200,0))),"")</f>
        <v/>
      </c>
      <c r="L386" s="10">
        <f>IFERROR(IF(INDEX('Test catalog'!$G$2:$G$200,MATCH($AB386,'Test catalog'!$A$2:$A$200,0))="","",INDEX('Test catalog'!$G$2:$G$200,MATCH($AB386,'Test catalog'!$A$2:$A$200,0))),"")</f>
        <v/>
      </c>
      <c r="M386" s="10">
        <f>IFERROR(IF(INDEX('Test catalog'!$H$2:$H$200,MATCH($AB386,'Test catalog'!$A$2:$A$200,0))="","",INDEX('Test catalog'!$H$2:$H$200,MATCH($AB386,'Test catalog'!$A$2:$A$200,0))),"")</f>
        <v/>
      </c>
      <c r="N386" s="10">
        <f>IFERROR(IF(INDEX('Test catalog'!$I$2:$I$200,MATCH($AB386,'Test catalog'!$A$2:$A$200,0))="","",INDEX('Test catalog'!$I$2:$I$200,MATCH($AB386,'Test catalog'!$A$2:$A$200,0))),"")</f>
        <v/>
      </c>
      <c r="O386" s="10">
        <f>IFERROR(IF(INDEX('Test catalog'!$J$2:$J$200,MATCH($AB386,'Test catalog'!$A$2:$A$200,0))="","",INDEX('Test catalog'!$J$2:$J$200,MATCH($AB386,'Test catalog'!$A$2:$A$200,0))),"")</f>
        <v/>
      </c>
      <c r="P386" s="14">
        <f>IF(N386="","",IF(OR(M386="",O386=""),N386,(M386+4*N386+O386)/6))</f>
        <v/>
      </c>
      <c r="Q386" s="10">
        <f>IFERROR(IF(INDEX('Test catalog'!$K$2:$K$200,MATCH($AB386,'Test catalog'!$A$2:$A$200,0))="","",INDEX('Test catalog'!$K$2:$K$200,MATCH($AB386,'Test catalog'!$A$2:$A$200,0))),"")</f>
        <v/>
      </c>
      <c r="R386" s="5" t="n"/>
      <c r="S386" s="10">
        <f>IFERROR(IF(INDEX('Test catalog'!$L$2:$L$200,MATCH($AB386,'Test catalog'!$A$2:$A$200,0))="","",INDEX('Test catalog'!$L$2:$L$200,MATCH($AB386,'Test catalog'!$A$2:$A$200,0))),"")</f>
        <v/>
      </c>
      <c r="T386" s="10">
        <f>IFERROR(IF(INDEX('Test catalog'!$M$2:$M$200,MATCH($AB386,'Test catalog'!$A$2:$A$200,0))="","",INDEX('Test catalog'!$M$2:$M$200,MATCH($AB386,'Test catalog'!$A$2:$A$200,0))),"")</f>
        <v/>
      </c>
      <c r="U386" s="10">
        <f>IFERROR(IF(INDEX('Test catalog'!$N$2:$N$200,MATCH($AB386,'Test catalog'!$A$2:$A$200,0))="","",INDEX('Test catalog'!$N$2:$N$200,MATCH($AB386,'Test catalog'!$A$2:$A$200,0))),"")</f>
        <v/>
      </c>
      <c r="V386" s="15" t="n"/>
      <c r="W386" s="5" t="inlineStr">
        <is>
          <t>N</t>
        </is>
      </c>
      <c r="X386" s="5" t="n"/>
      <c r="Y386" s="5" t="n"/>
      <c r="Z386" s="5" t="n"/>
      <c r="AA386" s="10">
        <f>IFERROR(IF(INDEX('Test catalog'!$O$2:$O$200,MATCH($AB386,'Test catalog'!$A$2:$A$200,0))="","",INDEX('Test catalog'!$O$2:$O$200,MATCH($AB386,'Test catalog'!$A$2:$A$200,0))),"")</f>
        <v/>
      </c>
      <c r="AB386" s="10" t="inlineStr">
        <is>
          <t>PEST</t>
        </is>
      </c>
      <c r="AC386" s="10" t="inlineStr">
        <is>
          <t>Powdered Milk Thistle Extract · Contaminants &lt;565&gt;</t>
        </is>
      </c>
      <c r="AD386" s="10" t="n"/>
      <c r="AE386" s="10" t="n"/>
    </row>
    <row r="387">
      <c r="A387" s="10" t="inlineStr">
        <is>
          <t>Milk Thistle Dry Extract 70:1</t>
        </is>
      </c>
      <c r="B387" s="10" t="inlineStr">
        <is>
          <t>RM</t>
        </is>
      </c>
      <c r="C387" s="10" t="inlineStr">
        <is>
          <t>Active</t>
        </is>
      </c>
      <c r="D387" s="10" t="inlineStr">
        <is>
          <t>Loss on Drying</t>
        </is>
      </c>
      <c r="E387" s="10">
        <f>IF(A387="","",A387&amp;"|"&amp;D387)</f>
        <v/>
      </c>
      <c r="F387" s="5" t="inlineStr">
        <is>
          <t>Y</t>
        </is>
      </c>
      <c r="G387" s="5" t="inlineStr">
        <is>
          <t>Other / bench</t>
        </is>
      </c>
      <c r="H387" s="5" t="inlineStr">
        <is>
          <t>Low</t>
        </is>
      </c>
      <c r="I387" s="5" t="n">
        <v>1</v>
      </c>
      <c r="J387" s="5" t="n"/>
      <c r="K387" s="10">
        <f>IFERROR(IF(INDEX('Test catalog'!$F$2:$F$200,MATCH($AB387,'Test catalog'!$A$2:$A$200,0))="","",INDEX('Test catalog'!$F$2:$F$200,MATCH($AB387,'Test catalog'!$A$2:$A$200,0))),"")</f>
        <v/>
      </c>
      <c r="L387" s="10">
        <f>IFERROR(IF(INDEX('Test catalog'!$G$2:$G$200,MATCH($AB387,'Test catalog'!$A$2:$A$200,0))="","",INDEX('Test catalog'!$G$2:$G$200,MATCH($AB387,'Test catalog'!$A$2:$A$200,0))),"")</f>
        <v/>
      </c>
      <c r="M387" s="10">
        <f>IFERROR(IF(INDEX('Test catalog'!$H$2:$H$200,MATCH($AB387,'Test catalog'!$A$2:$A$200,0))="","",INDEX('Test catalog'!$H$2:$H$200,MATCH($AB387,'Test catalog'!$A$2:$A$200,0))),"")</f>
        <v/>
      </c>
      <c r="N387" s="10">
        <f>IFERROR(IF(INDEX('Test catalog'!$I$2:$I$200,MATCH($AB387,'Test catalog'!$A$2:$A$200,0))="","",INDEX('Test catalog'!$I$2:$I$200,MATCH($AB387,'Test catalog'!$A$2:$A$200,0))),"")</f>
        <v/>
      </c>
      <c r="O387" s="10">
        <f>IFERROR(IF(INDEX('Test catalog'!$J$2:$J$200,MATCH($AB387,'Test catalog'!$A$2:$A$200,0))="","",INDEX('Test catalog'!$J$2:$J$200,MATCH($AB387,'Test catalog'!$A$2:$A$200,0))),"")</f>
        <v/>
      </c>
      <c r="P387" s="14">
        <f>IF(N387="","",IF(OR(M387="",O387=""),N387,(M387+4*N387+O387)/6))</f>
        <v/>
      </c>
      <c r="Q387" s="10">
        <f>IFERROR(IF(INDEX('Test catalog'!$K$2:$K$200,MATCH($AB387,'Test catalog'!$A$2:$A$200,0))="","",INDEX('Test catalog'!$K$2:$K$200,MATCH($AB387,'Test catalog'!$A$2:$A$200,0))),"")</f>
        <v/>
      </c>
      <c r="R387" s="5" t="n"/>
      <c r="S387" s="10">
        <f>IFERROR(IF(INDEX('Test catalog'!$L$2:$L$200,MATCH($AB387,'Test catalog'!$A$2:$A$200,0))="","",INDEX('Test catalog'!$L$2:$L$200,MATCH($AB387,'Test catalog'!$A$2:$A$200,0))),"")</f>
        <v/>
      </c>
      <c r="T387" s="10">
        <f>IFERROR(IF(INDEX('Test catalog'!$M$2:$M$200,MATCH($AB387,'Test catalog'!$A$2:$A$200,0))="","",INDEX('Test catalog'!$M$2:$M$200,MATCH($AB387,'Test catalog'!$A$2:$A$200,0))),"")</f>
        <v/>
      </c>
      <c r="U387" s="10">
        <f>IFERROR(IF(INDEX('Test catalog'!$N$2:$N$200,MATCH($AB387,'Test catalog'!$A$2:$A$200,0))="","",INDEX('Test catalog'!$N$2:$N$200,MATCH($AB387,'Test catalog'!$A$2:$A$200,0))),"")</f>
        <v/>
      </c>
      <c r="V387" s="15" t="n"/>
      <c r="W387" s="5" t="inlineStr">
        <is>
          <t>N</t>
        </is>
      </c>
      <c r="X387" s="5" t="n"/>
      <c r="Y387" s="5" t="n"/>
      <c r="Z387" s="5" t="n"/>
      <c r="AA387" s="10">
        <f>IFERROR(IF(INDEX('Test catalog'!$O$2:$O$200,MATCH($AB387,'Test catalog'!$A$2:$A$200,0))="","",INDEX('Test catalog'!$O$2:$O$200,MATCH($AB387,'Test catalog'!$A$2:$A$200,0))),"")</f>
        <v/>
      </c>
      <c r="AB387" s="10" t="inlineStr">
        <is>
          <t>LOD</t>
        </is>
      </c>
      <c r="AC387" s="10" t="inlineStr">
        <is>
          <t>Powdered Milk Thistle Extract · Specific Tests &lt;731&gt;</t>
        </is>
      </c>
      <c r="AD387" s="10" t="n"/>
      <c r="AE387" s="10" t="n"/>
    </row>
    <row r="388">
      <c r="A388" s="10" t="inlineStr">
        <is>
          <t>Naproxen</t>
        </is>
      </c>
      <c r="B388" s="10" t="inlineStr">
        <is>
          <t>RM</t>
        </is>
      </c>
      <c r="C388" s="10" t="inlineStr">
        <is>
          <t>Active</t>
        </is>
      </c>
      <c r="D388" s="10" t="inlineStr">
        <is>
          <t>Appearance / description and solubility</t>
        </is>
      </c>
      <c r="E388" s="10">
        <f>IF(A388="","",A388&amp;"|"&amp;D388)</f>
        <v/>
      </c>
      <c r="F388" s="5" t="inlineStr">
        <is>
          <t>Y</t>
        </is>
      </c>
      <c r="G388" s="5" t="inlineStr">
        <is>
          <t>Other / bench</t>
        </is>
      </c>
      <c r="H388" s="5" t="inlineStr">
        <is>
          <t>Low</t>
        </is>
      </c>
      <c r="I388" s="5" t="n">
        <v>1</v>
      </c>
      <c r="J388" s="5" t="n"/>
      <c r="K388" s="10">
        <f>IFERROR(IF(INDEX('Test catalog'!$F$2:$F$200,MATCH($AB388,'Test catalog'!$A$2:$A$200,0))="","",INDEX('Test catalog'!$F$2:$F$200,MATCH($AB388,'Test catalog'!$A$2:$A$200,0))),"")</f>
        <v/>
      </c>
      <c r="L388" s="10">
        <f>IFERROR(IF(INDEX('Test catalog'!$G$2:$G$200,MATCH($AB388,'Test catalog'!$A$2:$A$200,0))="","",INDEX('Test catalog'!$G$2:$G$200,MATCH($AB388,'Test catalog'!$A$2:$A$200,0))),"")</f>
        <v/>
      </c>
      <c r="M388" s="10">
        <f>IFERROR(IF(INDEX('Test catalog'!$H$2:$H$200,MATCH($AB388,'Test catalog'!$A$2:$A$200,0))="","",INDEX('Test catalog'!$H$2:$H$200,MATCH($AB388,'Test catalog'!$A$2:$A$200,0))),"")</f>
        <v/>
      </c>
      <c r="N388" s="10">
        <f>IFERROR(IF(INDEX('Test catalog'!$I$2:$I$200,MATCH($AB388,'Test catalog'!$A$2:$A$200,0))="","",INDEX('Test catalog'!$I$2:$I$200,MATCH($AB388,'Test catalog'!$A$2:$A$200,0))),"")</f>
        <v/>
      </c>
      <c r="O388" s="10">
        <f>IFERROR(IF(INDEX('Test catalog'!$J$2:$J$200,MATCH($AB388,'Test catalog'!$A$2:$A$200,0))="","",INDEX('Test catalog'!$J$2:$J$200,MATCH($AB388,'Test catalog'!$A$2:$A$200,0))),"")</f>
        <v/>
      </c>
      <c r="P388" s="14">
        <f>IF(N388="","",IF(OR(M388="",O388=""),N388,(M388+4*N388+O388)/6))</f>
        <v/>
      </c>
      <c r="Q388" s="10">
        <f>IFERROR(IF(INDEX('Test catalog'!$K$2:$K$200,MATCH($AB388,'Test catalog'!$A$2:$A$200,0))="","",INDEX('Test catalog'!$K$2:$K$200,MATCH($AB388,'Test catalog'!$A$2:$A$200,0))),"")</f>
        <v/>
      </c>
      <c r="R388" s="5" t="n"/>
      <c r="S388" s="10">
        <f>IFERROR(IF(INDEX('Test catalog'!$L$2:$L$200,MATCH($AB388,'Test catalog'!$A$2:$A$200,0))="","",INDEX('Test catalog'!$L$2:$L$200,MATCH($AB388,'Test catalog'!$A$2:$A$200,0))),"")</f>
        <v/>
      </c>
      <c r="T388" s="10">
        <f>IFERROR(IF(INDEX('Test catalog'!$M$2:$M$200,MATCH($AB388,'Test catalog'!$A$2:$A$200,0))="","",INDEX('Test catalog'!$M$2:$M$200,MATCH($AB388,'Test catalog'!$A$2:$A$200,0))),"")</f>
        <v/>
      </c>
      <c r="U388" s="10">
        <f>IFERROR(IF(INDEX('Test catalog'!$N$2:$N$200,MATCH($AB388,'Test catalog'!$A$2:$A$200,0))="","",INDEX('Test catalog'!$N$2:$N$200,MATCH($AB388,'Test catalog'!$A$2:$A$200,0))),"")</f>
        <v/>
      </c>
      <c r="V388" s="15" t="n"/>
      <c r="W388" s="5" t="inlineStr">
        <is>
          <t>N</t>
        </is>
      </c>
      <c r="X388" s="5" t="n"/>
      <c r="Y388" s="5" t="n"/>
      <c r="Z388" s="5" t="n"/>
      <c r="AA388" s="10">
        <f>IFERROR(IF(INDEX('Test catalog'!$O$2:$O$200,MATCH($AB388,'Test catalog'!$A$2:$A$200,0))="","",INDEX('Test catalog'!$O$2:$O$200,MATCH($AB388,'Test catalog'!$A$2:$A$200,0))),"")</f>
        <v/>
      </c>
      <c r="AB388" s="10" t="inlineStr">
        <is>
          <t>APPEAR</t>
        </is>
      </c>
      <c r="AC388" s="10" t="inlineStr">
        <is>
          <t>Lab practice (not a USP test)</t>
        </is>
      </c>
      <c r="AD388" s="10" t="n"/>
      <c r="AE388" s="10" t="n"/>
    </row>
    <row r="389">
      <c r="A389" s="10" t="inlineStr">
        <is>
          <t>Naproxen</t>
        </is>
      </c>
      <c r="B389" s="10" t="inlineStr">
        <is>
          <t>RM</t>
        </is>
      </c>
      <c r="C389" s="10" t="inlineStr">
        <is>
          <t>Active</t>
        </is>
      </c>
      <c r="D389" s="10" t="inlineStr">
        <is>
          <t>ID A - IR spectrum</t>
        </is>
      </c>
      <c r="E389" s="10">
        <f>IF(A389="","",A389&amp;"|"&amp;D389)</f>
        <v/>
      </c>
      <c r="F389" s="5" t="inlineStr">
        <is>
          <t>Y</t>
        </is>
      </c>
      <c r="G389" s="5" t="inlineStr">
        <is>
          <t>Other / bench</t>
        </is>
      </c>
      <c r="H389" s="5" t="inlineStr">
        <is>
          <t>Low</t>
        </is>
      </c>
      <c r="I389" s="5" t="n">
        <v>1</v>
      </c>
      <c r="J389" s="5" t="n"/>
      <c r="K389" s="10">
        <f>IFERROR(IF(INDEX('Test catalog'!$F$2:$F$200,MATCH($AB389,'Test catalog'!$A$2:$A$200,0))="","",INDEX('Test catalog'!$F$2:$F$200,MATCH($AB389,'Test catalog'!$A$2:$A$200,0))),"")</f>
        <v/>
      </c>
      <c r="L389" s="10">
        <f>IFERROR(IF(INDEX('Test catalog'!$G$2:$G$200,MATCH($AB389,'Test catalog'!$A$2:$A$200,0))="","",INDEX('Test catalog'!$G$2:$G$200,MATCH($AB389,'Test catalog'!$A$2:$A$200,0))),"")</f>
        <v/>
      </c>
      <c r="M389" s="10">
        <f>IFERROR(IF(INDEX('Test catalog'!$H$2:$H$200,MATCH($AB389,'Test catalog'!$A$2:$A$200,0))="","",INDEX('Test catalog'!$H$2:$H$200,MATCH($AB389,'Test catalog'!$A$2:$A$200,0))),"")</f>
        <v/>
      </c>
      <c r="N389" s="10">
        <f>IFERROR(IF(INDEX('Test catalog'!$I$2:$I$200,MATCH($AB389,'Test catalog'!$A$2:$A$200,0))="","",INDEX('Test catalog'!$I$2:$I$200,MATCH($AB389,'Test catalog'!$A$2:$A$200,0))),"")</f>
        <v/>
      </c>
      <c r="O389" s="10">
        <f>IFERROR(IF(INDEX('Test catalog'!$J$2:$J$200,MATCH($AB389,'Test catalog'!$A$2:$A$200,0))="","",INDEX('Test catalog'!$J$2:$J$200,MATCH($AB389,'Test catalog'!$A$2:$A$200,0))),"")</f>
        <v/>
      </c>
      <c r="P389" s="14">
        <f>IF(N389="","",IF(OR(M389="",O389=""),N389,(M389+4*N389+O389)/6))</f>
        <v/>
      </c>
      <c r="Q389" s="10">
        <f>IFERROR(IF(INDEX('Test catalog'!$K$2:$K$200,MATCH($AB389,'Test catalog'!$A$2:$A$200,0))="","",INDEX('Test catalog'!$K$2:$K$200,MATCH($AB389,'Test catalog'!$A$2:$A$200,0))),"")</f>
        <v/>
      </c>
      <c r="R389" s="5" t="n"/>
      <c r="S389" s="10">
        <f>IFERROR(IF(INDEX('Test catalog'!$L$2:$L$200,MATCH($AB389,'Test catalog'!$A$2:$A$200,0))="","",INDEX('Test catalog'!$L$2:$L$200,MATCH($AB389,'Test catalog'!$A$2:$A$200,0))),"")</f>
        <v/>
      </c>
      <c r="T389" s="10">
        <f>IFERROR(IF(INDEX('Test catalog'!$M$2:$M$200,MATCH($AB389,'Test catalog'!$A$2:$A$200,0))="","",INDEX('Test catalog'!$M$2:$M$200,MATCH($AB389,'Test catalog'!$A$2:$A$200,0))),"")</f>
        <v/>
      </c>
      <c r="U389" s="10">
        <f>IFERROR(IF(INDEX('Test catalog'!$N$2:$N$200,MATCH($AB389,'Test catalog'!$A$2:$A$200,0))="","",INDEX('Test catalog'!$N$2:$N$200,MATCH($AB389,'Test catalog'!$A$2:$A$200,0))),"")</f>
        <v/>
      </c>
      <c r="V389" s="15" t="n"/>
      <c r="W389" s="5" t="inlineStr">
        <is>
          <t>N</t>
        </is>
      </c>
      <c r="X389" s="5" t="n"/>
      <c r="Y389" s="5" t="n"/>
      <c r="Z389" s="5" t="n"/>
      <c r="AA389" s="10">
        <f>IFERROR(IF(INDEX('Test catalog'!$O$2:$O$200,MATCH($AB389,'Test catalog'!$A$2:$A$200,0))="","",INDEX('Test catalog'!$O$2:$O$200,MATCH($AB389,'Test catalog'!$A$2:$A$200,0))),"")</f>
        <v/>
      </c>
      <c r="AB389" s="10" t="inlineStr">
        <is>
          <t>ID_IR</t>
        </is>
      </c>
      <c r="AC389" s="10" t="inlineStr">
        <is>
          <t>Naproxen · Identification &lt;197&gt;</t>
        </is>
      </c>
      <c r="AD389" s="10" t="n"/>
      <c r="AE389" s="10" t="n"/>
    </row>
    <row r="390">
      <c r="A390" s="10" t="inlineStr">
        <is>
          <t>Naproxen</t>
        </is>
      </c>
      <c r="B390" s="10" t="inlineStr">
        <is>
          <t>RM</t>
        </is>
      </c>
      <c r="C390" s="10" t="inlineStr">
        <is>
          <t>Active</t>
        </is>
      </c>
      <c r="D390" s="10" t="inlineStr">
        <is>
          <t>Assay (HPLC)</t>
        </is>
      </c>
      <c r="E390" s="10">
        <f>IF(A390="","",A390&amp;"|"&amp;D390)</f>
        <v/>
      </c>
      <c r="F390" s="5" t="inlineStr">
        <is>
          <t>Y</t>
        </is>
      </c>
      <c r="G390" s="5" t="inlineStr">
        <is>
          <t>HPLC</t>
        </is>
      </c>
      <c r="H390" s="5" t="inlineStr">
        <is>
          <t>Medium</t>
        </is>
      </c>
      <c r="I390" s="5" t="n">
        <v>1</v>
      </c>
      <c r="J390" s="5" t="n"/>
      <c r="K390" s="5" t="n"/>
      <c r="L390" s="5" t="n"/>
      <c r="M390" s="5" t="n"/>
      <c r="N390" s="5" t="n"/>
      <c r="O390" s="5" t="n"/>
      <c r="P390" s="14">
        <f>IF(N390="","",IF(OR(M390="",O390=""),N390,(M390+4*N390+O390)/6))</f>
        <v/>
      </c>
      <c r="Q390" s="5" t="n"/>
      <c r="R390" s="5" t="n"/>
      <c r="S390" s="5" t="n"/>
      <c r="T390" s="5" t="n"/>
      <c r="U390" s="5" t="n"/>
      <c r="V390" s="15" t="n"/>
      <c r="W390" s="5" t="inlineStr">
        <is>
          <t>N</t>
        </is>
      </c>
      <c r="X390" s="5" t="n"/>
      <c r="Y390" s="5" t="n"/>
      <c r="Z390" s="5" t="n"/>
      <c r="AA390" s="5" t="n"/>
      <c r="AB390" s="10" t="n"/>
      <c r="AC390" s="10" t="inlineStr">
        <is>
          <t>Naproxen · Assay</t>
        </is>
      </c>
      <c r="AD390" s="10" t="n"/>
      <c r="AE390" s="10" t="n"/>
    </row>
    <row r="391">
      <c r="A391" s="10" t="inlineStr">
        <is>
          <t>Naproxen</t>
        </is>
      </c>
      <c r="B391" s="10" t="inlineStr">
        <is>
          <t>RM</t>
        </is>
      </c>
      <c r="C391" s="10" t="inlineStr">
        <is>
          <t>Active</t>
        </is>
      </c>
      <c r="D391" s="10" t="inlineStr">
        <is>
          <t>Organic Impurities (HPLC)</t>
        </is>
      </c>
      <c r="E391" s="10">
        <f>IF(A391="","",A391&amp;"|"&amp;D391)</f>
        <v/>
      </c>
      <c r="F391" s="5" t="inlineStr">
        <is>
          <t>Y</t>
        </is>
      </c>
      <c r="G391" s="5" t="inlineStr">
        <is>
          <t>HPLC</t>
        </is>
      </c>
      <c r="H391" s="5" t="inlineStr">
        <is>
          <t>Medium</t>
        </is>
      </c>
      <c r="I391" s="5" t="n">
        <v>1</v>
      </c>
      <c r="J391" s="5" t="n"/>
      <c r="K391" s="5" t="n"/>
      <c r="L391" s="5" t="n"/>
      <c r="M391" s="5" t="n"/>
      <c r="N391" s="5" t="n"/>
      <c r="O391" s="5" t="n"/>
      <c r="P391" s="14">
        <f>IF(N391="","",IF(OR(M391="",O391=""),N391,(M391+4*N391+O391)/6))</f>
        <v/>
      </c>
      <c r="Q391" s="5" t="n"/>
      <c r="R391" s="5" t="n"/>
      <c r="S391" s="5" t="n"/>
      <c r="T391" s="5" t="n"/>
      <c r="U391" s="5" t="n"/>
      <c r="V391" s="15" t="n"/>
      <c r="W391" s="5" t="inlineStr">
        <is>
          <t>N</t>
        </is>
      </c>
      <c r="X391" s="5" t="n"/>
      <c r="Y391" s="5" t="n"/>
      <c r="Z391" s="5" t="n"/>
      <c r="AA391" s="5" t="n"/>
      <c r="AB391" s="10" t="n"/>
      <c r="AC391" s="10" t="inlineStr">
        <is>
          <t>Naproxen · Impurities</t>
        </is>
      </c>
      <c r="AD391" s="10" t="n"/>
      <c r="AE391" s="10" t="n"/>
    </row>
    <row r="392">
      <c r="A392" s="10" t="inlineStr">
        <is>
          <t>Naproxen</t>
        </is>
      </c>
      <c r="B392" s="10" t="inlineStr">
        <is>
          <t>RM</t>
        </is>
      </c>
      <c r="C392" s="10" t="inlineStr">
        <is>
          <t>Active</t>
        </is>
      </c>
      <c r="D392" s="10" t="inlineStr">
        <is>
          <t>Loss on Drying</t>
        </is>
      </c>
      <c r="E392" s="10">
        <f>IF(A392="","",A392&amp;"|"&amp;D392)</f>
        <v/>
      </c>
      <c r="F392" s="5" t="inlineStr">
        <is>
          <t>Y</t>
        </is>
      </c>
      <c r="G392" s="5" t="inlineStr">
        <is>
          <t>Other / bench</t>
        </is>
      </c>
      <c r="H392" s="5" t="inlineStr">
        <is>
          <t>Low</t>
        </is>
      </c>
      <c r="I392" s="5" t="n">
        <v>1</v>
      </c>
      <c r="J392" s="5" t="n"/>
      <c r="K392" s="10">
        <f>IFERROR(IF(INDEX('Test catalog'!$F$2:$F$200,MATCH($AB392,'Test catalog'!$A$2:$A$200,0))="","",INDEX('Test catalog'!$F$2:$F$200,MATCH($AB392,'Test catalog'!$A$2:$A$200,0))),"")</f>
        <v/>
      </c>
      <c r="L392" s="10">
        <f>IFERROR(IF(INDEX('Test catalog'!$G$2:$G$200,MATCH($AB392,'Test catalog'!$A$2:$A$200,0))="","",INDEX('Test catalog'!$G$2:$G$200,MATCH($AB392,'Test catalog'!$A$2:$A$200,0))),"")</f>
        <v/>
      </c>
      <c r="M392" s="10">
        <f>IFERROR(IF(INDEX('Test catalog'!$H$2:$H$200,MATCH($AB392,'Test catalog'!$A$2:$A$200,0))="","",INDEX('Test catalog'!$H$2:$H$200,MATCH($AB392,'Test catalog'!$A$2:$A$200,0))),"")</f>
        <v/>
      </c>
      <c r="N392" s="10">
        <f>IFERROR(IF(INDEX('Test catalog'!$I$2:$I$200,MATCH($AB392,'Test catalog'!$A$2:$A$200,0))="","",INDEX('Test catalog'!$I$2:$I$200,MATCH($AB392,'Test catalog'!$A$2:$A$200,0))),"")</f>
        <v/>
      </c>
      <c r="O392" s="10">
        <f>IFERROR(IF(INDEX('Test catalog'!$J$2:$J$200,MATCH($AB392,'Test catalog'!$A$2:$A$200,0))="","",INDEX('Test catalog'!$J$2:$J$200,MATCH($AB392,'Test catalog'!$A$2:$A$200,0))),"")</f>
        <v/>
      </c>
      <c r="P392" s="14">
        <f>IF(N392="","",IF(OR(M392="",O392=""),N392,(M392+4*N392+O392)/6))</f>
        <v/>
      </c>
      <c r="Q392" s="10">
        <f>IFERROR(IF(INDEX('Test catalog'!$K$2:$K$200,MATCH($AB392,'Test catalog'!$A$2:$A$200,0))="","",INDEX('Test catalog'!$K$2:$K$200,MATCH($AB392,'Test catalog'!$A$2:$A$200,0))),"")</f>
        <v/>
      </c>
      <c r="R392" s="5" t="n"/>
      <c r="S392" s="10">
        <f>IFERROR(IF(INDEX('Test catalog'!$L$2:$L$200,MATCH($AB392,'Test catalog'!$A$2:$A$200,0))="","",INDEX('Test catalog'!$L$2:$L$200,MATCH($AB392,'Test catalog'!$A$2:$A$200,0))),"")</f>
        <v/>
      </c>
      <c r="T392" s="10">
        <f>IFERROR(IF(INDEX('Test catalog'!$M$2:$M$200,MATCH($AB392,'Test catalog'!$A$2:$A$200,0))="","",INDEX('Test catalog'!$M$2:$M$200,MATCH($AB392,'Test catalog'!$A$2:$A$200,0))),"")</f>
        <v/>
      </c>
      <c r="U392" s="10">
        <f>IFERROR(IF(INDEX('Test catalog'!$N$2:$N$200,MATCH($AB392,'Test catalog'!$A$2:$A$200,0))="","",INDEX('Test catalog'!$N$2:$N$200,MATCH($AB392,'Test catalog'!$A$2:$A$200,0))),"")</f>
        <v/>
      </c>
      <c r="V392" s="15" t="n"/>
      <c r="W392" s="5" t="inlineStr">
        <is>
          <t>N</t>
        </is>
      </c>
      <c r="X392" s="5" t="n"/>
      <c r="Y392" s="5" t="n"/>
      <c r="Z392" s="5" t="n"/>
      <c r="AA392" s="10">
        <f>IFERROR(IF(INDEX('Test catalog'!$O$2:$O$200,MATCH($AB392,'Test catalog'!$A$2:$A$200,0))="","",INDEX('Test catalog'!$O$2:$O$200,MATCH($AB392,'Test catalog'!$A$2:$A$200,0))),"")</f>
        <v/>
      </c>
      <c r="AB392" s="10" t="inlineStr">
        <is>
          <t>LOD</t>
        </is>
      </c>
      <c r="AC392" s="10" t="inlineStr">
        <is>
          <t>Naproxen · Specific Tests &lt;731&gt;</t>
        </is>
      </c>
      <c r="AD392" s="10" t="n"/>
      <c r="AE392" s="10" t="n"/>
    </row>
    <row r="393">
      <c r="A393" s="10" t="inlineStr">
        <is>
          <t>Nicotinamide (Vitamin B3)</t>
        </is>
      </c>
      <c r="B393" s="10" t="inlineStr">
        <is>
          <t>RM</t>
        </is>
      </c>
      <c r="C393" s="10" t="inlineStr">
        <is>
          <t>Active</t>
        </is>
      </c>
      <c r="D393" s="10" t="inlineStr">
        <is>
          <t>Appearance / description and solubility</t>
        </is>
      </c>
      <c r="E393" s="10">
        <f>IF(A393="","",A393&amp;"|"&amp;D393)</f>
        <v/>
      </c>
      <c r="F393" s="5" t="inlineStr">
        <is>
          <t>Y</t>
        </is>
      </c>
      <c r="G393" s="5" t="inlineStr">
        <is>
          <t>Other / bench</t>
        </is>
      </c>
      <c r="H393" s="5" t="inlineStr">
        <is>
          <t>Low</t>
        </is>
      </c>
      <c r="I393" s="5" t="n">
        <v>1</v>
      </c>
      <c r="J393" s="5" t="n"/>
      <c r="K393" s="10">
        <f>IFERROR(IF(INDEX('Test catalog'!$F$2:$F$200,MATCH($AB393,'Test catalog'!$A$2:$A$200,0))="","",INDEX('Test catalog'!$F$2:$F$200,MATCH($AB393,'Test catalog'!$A$2:$A$200,0))),"")</f>
        <v/>
      </c>
      <c r="L393" s="10">
        <f>IFERROR(IF(INDEX('Test catalog'!$G$2:$G$200,MATCH($AB393,'Test catalog'!$A$2:$A$200,0))="","",INDEX('Test catalog'!$G$2:$G$200,MATCH($AB393,'Test catalog'!$A$2:$A$200,0))),"")</f>
        <v/>
      </c>
      <c r="M393" s="10">
        <f>IFERROR(IF(INDEX('Test catalog'!$H$2:$H$200,MATCH($AB393,'Test catalog'!$A$2:$A$200,0))="","",INDEX('Test catalog'!$H$2:$H$200,MATCH($AB393,'Test catalog'!$A$2:$A$200,0))),"")</f>
        <v/>
      </c>
      <c r="N393" s="10">
        <f>IFERROR(IF(INDEX('Test catalog'!$I$2:$I$200,MATCH($AB393,'Test catalog'!$A$2:$A$200,0))="","",INDEX('Test catalog'!$I$2:$I$200,MATCH($AB393,'Test catalog'!$A$2:$A$200,0))),"")</f>
        <v/>
      </c>
      <c r="O393" s="10">
        <f>IFERROR(IF(INDEX('Test catalog'!$J$2:$J$200,MATCH($AB393,'Test catalog'!$A$2:$A$200,0))="","",INDEX('Test catalog'!$J$2:$J$200,MATCH($AB393,'Test catalog'!$A$2:$A$200,0))),"")</f>
        <v/>
      </c>
      <c r="P393" s="14">
        <f>IF(N393="","",IF(OR(M393="",O393=""),N393,(M393+4*N393+O393)/6))</f>
        <v/>
      </c>
      <c r="Q393" s="10">
        <f>IFERROR(IF(INDEX('Test catalog'!$K$2:$K$200,MATCH($AB393,'Test catalog'!$A$2:$A$200,0))="","",INDEX('Test catalog'!$K$2:$K$200,MATCH($AB393,'Test catalog'!$A$2:$A$200,0))),"")</f>
        <v/>
      </c>
      <c r="R393" s="5" t="n"/>
      <c r="S393" s="10">
        <f>IFERROR(IF(INDEX('Test catalog'!$L$2:$L$200,MATCH($AB393,'Test catalog'!$A$2:$A$200,0))="","",INDEX('Test catalog'!$L$2:$L$200,MATCH($AB393,'Test catalog'!$A$2:$A$200,0))),"")</f>
        <v/>
      </c>
      <c r="T393" s="10">
        <f>IFERROR(IF(INDEX('Test catalog'!$M$2:$M$200,MATCH($AB393,'Test catalog'!$A$2:$A$200,0))="","",INDEX('Test catalog'!$M$2:$M$200,MATCH($AB393,'Test catalog'!$A$2:$A$200,0))),"")</f>
        <v/>
      </c>
      <c r="U393" s="10">
        <f>IFERROR(IF(INDEX('Test catalog'!$N$2:$N$200,MATCH($AB393,'Test catalog'!$A$2:$A$200,0))="","",INDEX('Test catalog'!$N$2:$N$200,MATCH($AB393,'Test catalog'!$A$2:$A$200,0))),"")</f>
        <v/>
      </c>
      <c r="V393" s="15" t="n"/>
      <c r="W393" s="5" t="inlineStr">
        <is>
          <t>N</t>
        </is>
      </c>
      <c r="X393" s="5" t="n"/>
      <c r="Y393" s="5" t="n"/>
      <c r="Z393" s="5" t="n"/>
      <c r="AA393" s="10">
        <f>IFERROR(IF(INDEX('Test catalog'!$O$2:$O$200,MATCH($AB393,'Test catalog'!$A$2:$A$200,0))="","",INDEX('Test catalog'!$O$2:$O$200,MATCH($AB393,'Test catalog'!$A$2:$A$200,0))),"")</f>
        <v/>
      </c>
      <c r="AB393" s="10" t="inlineStr">
        <is>
          <t>APPEAR</t>
        </is>
      </c>
      <c r="AC393" s="10" t="inlineStr">
        <is>
          <t>Lab practice (not a USP test)</t>
        </is>
      </c>
      <c r="AD393" s="10" t="n"/>
      <c r="AE393" s="10" t="n"/>
    </row>
    <row r="394">
      <c r="A394" s="10" t="inlineStr">
        <is>
          <t>Nicotinamide (Vitamin B3)</t>
        </is>
      </c>
      <c r="B394" s="10" t="inlineStr">
        <is>
          <t>RM</t>
        </is>
      </c>
      <c r="C394" s="10" t="inlineStr">
        <is>
          <t>Active</t>
        </is>
      </c>
      <c r="D394" s="10" t="inlineStr">
        <is>
          <t>ID A - IR spectrum</t>
        </is>
      </c>
      <c r="E394" s="10">
        <f>IF(A394="","",A394&amp;"|"&amp;D394)</f>
        <v/>
      </c>
      <c r="F394" s="5" t="inlineStr">
        <is>
          <t>Y</t>
        </is>
      </c>
      <c r="G394" s="5" t="inlineStr">
        <is>
          <t>Other / bench</t>
        </is>
      </c>
      <c r="H394" s="5" t="inlineStr">
        <is>
          <t>Low</t>
        </is>
      </c>
      <c r="I394" s="5" t="n">
        <v>1</v>
      </c>
      <c r="J394" s="5" t="n"/>
      <c r="K394" s="10">
        <f>IFERROR(IF(INDEX('Test catalog'!$F$2:$F$200,MATCH($AB394,'Test catalog'!$A$2:$A$200,0))="","",INDEX('Test catalog'!$F$2:$F$200,MATCH($AB394,'Test catalog'!$A$2:$A$200,0))),"")</f>
        <v/>
      </c>
      <c r="L394" s="10">
        <f>IFERROR(IF(INDEX('Test catalog'!$G$2:$G$200,MATCH($AB394,'Test catalog'!$A$2:$A$200,0))="","",INDEX('Test catalog'!$G$2:$G$200,MATCH($AB394,'Test catalog'!$A$2:$A$200,0))),"")</f>
        <v/>
      </c>
      <c r="M394" s="10">
        <f>IFERROR(IF(INDEX('Test catalog'!$H$2:$H$200,MATCH($AB394,'Test catalog'!$A$2:$A$200,0))="","",INDEX('Test catalog'!$H$2:$H$200,MATCH($AB394,'Test catalog'!$A$2:$A$200,0))),"")</f>
        <v/>
      </c>
      <c r="N394" s="10">
        <f>IFERROR(IF(INDEX('Test catalog'!$I$2:$I$200,MATCH($AB394,'Test catalog'!$A$2:$A$200,0))="","",INDEX('Test catalog'!$I$2:$I$200,MATCH($AB394,'Test catalog'!$A$2:$A$200,0))),"")</f>
        <v/>
      </c>
      <c r="O394" s="10">
        <f>IFERROR(IF(INDEX('Test catalog'!$J$2:$J$200,MATCH($AB394,'Test catalog'!$A$2:$A$200,0))="","",INDEX('Test catalog'!$J$2:$J$200,MATCH($AB394,'Test catalog'!$A$2:$A$200,0))),"")</f>
        <v/>
      </c>
      <c r="P394" s="14">
        <f>IF(N394="","",IF(OR(M394="",O394=""),N394,(M394+4*N394+O394)/6))</f>
        <v/>
      </c>
      <c r="Q394" s="10">
        <f>IFERROR(IF(INDEX('Test catalog'!$K$2:$K$200,MATCH($AB394,'Test catalog'!$A$2:$A$200,0))="","",INDEX('Test catalog'!$K$2:$K$200,MATCH($AB394,'Test catalog'!$A$2:$A$200,0))),"")</f>
        <v/>
      </c>
      <c r="R394" s="5" t="n"/>
      <c r="S394" s="10">
        <f>IFERROR(IF(INDEX('Test catalog'!$L$2:$L$200,MATCH($AB394,'Test catalog'!$A$2:$A$200,0))="","",INDEX('Test catalog'!$L$2:$L$200,MATCH($AB394,'Test catalog'!$A$2:$A$200,0))),"")</f>
        <v/>
      </c>
      <c r="T394" s="10">
        <f>IFERROR(IF(INDEX('Test catalog'!$M$2:$M$200,MATCH($AB394,'Test catalog'!$A$2:$A$200,0))="","",INDEX('Test catalog'!$M$2:$M$200,MATCH($AB394,'Test catalog'!$A$2:$A$200,0))),"")</f>
        <v/>
      </c>
      <c r="U394" s="10">
        <f>IFERROR(IF(INDEX('Test catalog'!$N$2:$N$200,MATCH($AB394,'Test catalog'!$A$2:$A$200,0))="","",INDEX('Test catalog'!$N$2:$N$200,MATCH($AB394,'Test catalog'!$A$2:$A$200,0))),"")</f>
        <v/>
      </c>
      <c r="V394" s="15" t="n"/>
      <c r="W394" s="5" t="inlineStr">
        <is>
          <t>N</t>
        </is>
      </c>
      <c r="X394" s="5" t="n"/>
      <c r="Y394" s="5" t="n"/>
      <c r="Z394" s="5" t="n"/>
      <c r="AA394" s="10">
        <f>IFERROR(IF(INDEX('Test catalog'!$O$2:$O$200,MATCH($AB394,'Test catalog'!$A$2:$A$200,0))="","",INDEX('Test catalog'!$O$2:$O$200,MATCH($AB394,'Test catalog'!$A$2:$A$200,0))),"")</f>
        <v/>
      </c>
      <c r="AB394" s="10" t="inlineStr">
        <is>
          <t>ID_IR</t>
        </is>
      </c>
      <c r="AC394" s="10" t="inlineStr">
        <is>
          <t>Niacinamide · Identification &lt;197&gt;</t>
        </is>
      </c>
      <c r="AD394" s="10" t="n"/>
      <c r="AE394" s="10" t="n"/>
    </row>
    <row r="395">
      <c r="A395" s="10" t="inlineStr">
        <is>
          <t>Nicotinamide (Vitamin B3)</t>
        </is>
      </c>
      <c r="B395" s="10" t="inlineStr">
        <is>
          <t>RM</t>
        </is>
      </c>
      <c r="C395" s="10" t="inlineStr">
        <is>
          <t>Active</t>
        </is>
      </c>
      <c r="D395" s="10" t="inlineStr">
        <is>
          <t>ID B - IR spectrum</t>
        </is>
      </c>
      <c r="E395" s="10">
        <f>IF(A395="","",A395&amp;"|"&amp;D395)</f>
        <v/>
      </c>
      <c r="F395" s="5" t="inlineStr">
        <is>
          <t>Y</t>
        </is>
      </c>
      <c r="G395" s="5" t="inlineStr">
        <is>
          <t>Other / bench</t>
        </is>
      </c>
      <c r="H395" s="5" t="inlineStr">
        <is>
          <t>Low</t>
        </is>
      </c>
      <c r="I395" s="5" t="n">
        <v>1</v>
      </c>
      <c r="J395" s="5" t="n"/>
      <c r="K395" s="10">
        <f>IFERROR(IF(INDEX('Test catalog'!$F$2:$F$200,MATCH($AB395,'Test catalog'!$A$2:$A$200,0))="","",INDEX('Test catalog'!$F$2:$F$200,MATCH($AB395,'Test catalog'!$A$2:$A$200,0))),"")</f>
        <v/>
      </c>
      <c r="L395" s="10">
        <f>IFERROR(IF(INDEX('Test catalog'!$G$2:$G$200,MATCH($AB395,'Test catalog'!$A$2:$A$200,0))="","",INDEX('Test catalog'!$G$2:$G$200,MATCH($AB395,'Test catalog'!$A$2:$A$200,0))),"")</f>
        <v/>
      </c>
      <c r="M395" s="10">
        <f>IFERROR(IF(INDEX('Test catalog'!$H$2:$H$200,MATCH($AB395,'Test catalog'!$A$2:$A$200,0))="","",INDEX('Test catalog'!$H$2:$H$200,MATCH($AB395,'Test catalog'!$A$2:$A$200,0))),"")</f>
        <v/>
      </c>
      <c r="N395" s="10">
        <f>IFERROR(IF(INDEX('Test catalog'!$I$2:$I$200,MATCH($AB395,'Test catalog'!$A$2:$A$200,0))="","",INDEX('Test catalog'!$I$2:$I$200,MATCH($AB395,'Test catalog'!$A$2:$A$200,0))),"")</f>
        <v/>
      </c>
      <c r="O395" s="10">
        <f>IFERROR(IF(INDEX('Test catalog'!$J$2:$J$200,MATCH($AB395,'Test catalog'!$A$2:$A$200,0))="","",INDEX('Test catalog'!$J$2:$J$200,MATCH($AB395,'Test catalog'!$A$2:$A$200,0))),"")</f>
        <v/>
      </c>
      <c r="P395" s="14">
        <f>IF(N395="","",IF(OR(M395="",O395=""),N395,(M395+4*N395+O395)/6))</f>
        <v/>
      </c>
      <c r="Q395" s="10">
        <f>IFERROR(IF(INDEX('Test catalog'!$K$2:$K$200,MATCH($AB395,'Test catalog'!$A$2:$A$200,0))="","",INDEX('Test catalog'!$K$2:$K$200,MATCH($AB395,'Test catalog'!$A$2:$A$200,0))),"")</f>
        <v/>
      </c>
      <c r="R395" s="5" t="n"/>
      <c r="S395" s="10">
        <f>IFERROR(IF(INDEX('Test catalog'!$L$2:$L$200,MATCH($AB395,'Test catalog'!$A$2:$A$200,0))="","",INDEX('Test catalog'!$L$2:$L$200,MATCH($AB395,'Test catalog'!$A$2:$A$200,0))),"")</f>
        <v/>
      </c>
      <c r="T395" s="10">
        <f>IFERROR(IF(INDEX('Test catalog'!$M$2:$M$200,MATCH($AB395,'Test catalog'!$A$2:$A$200,0))="","",INDEX('Test catalog'!$M$2:$M$200,MATCH($AB395,'Test catalog'!$A$2:$A$200,0))),"")</f>
        <v/>
      </c>
      <c r="U395" s="10">
        <f>IFERROR(IF(INDEX('Test catalog'!$N$2:$N$200,MATCH($AB395,'Test catalog'!$A$2:$A$200,0))="","",INDEX('Test catalog'!$N$2:$N$200,MATCH($AB395,'Test catalog'!$A$2:$A$200,0))),"")</f>
        <v/>
      </c>
      <c r="V395" s="15" t="n"/>
      <c r="W395" s="5" t="inlineStr">
        <is>
          <t>N</t>
        </is>
      </c>
      <c r="X395" s="5" t="n"/>
      <c r="Y395" s="5" t="n"/>
      <c r="Z395" s="5" t="n"/>
      <c r="AA395" s="10">
        <f>IFERROR(IF(INDEX('Test catalog'!$O$2:$O$200,MATCH($AB395,'Test catalog'!$A$2:$A$200,0))="","",INDEX('Test catalog'!$O$2:$O$200,MATCH($AB395,'Test catalog'!$A$2:$A$200,0))),"")</f>
        <v/>
      </c>
      <c r="AB395" s="10" t="inlineStr">
        <is>
          <t>ID_IR</t>
        </is>
      </c>
      <c r="AC395" s="10" t="inlineStr">
        <is>
          <t>Niacinamide · Identification &lt;197&gt;</t>
        </is>
      </c>
      <c r="AD395" s="10" t="n"/>
      <c r="AE395" s="10" t="n"/>
    </row>
    <row r="396">
      <c r="A396" s="10" t="inlineStr">
        <is>
          <t>Nicotinamide (Vitamin B3)</t>
        </is>
      </c>
      <c r="B396" s="10" t="inlineStr">
        <is>
          <t>RM</t>
        </is>
      </c>
      <c r="C396" s="10" t="inlineStr">
        <is>
          <t>Active</t>
        </is>
      </c>
      <c r="D396" s="10" t="inlineStr">
        <is>
          <t>Assay (HPLC)</t>
        </is>
      </c>
      <c r="E396" s="10">
        <f>IF(A396="","",A396&amp;"|"&amp;D396)</f>
        <v/>
      </c>
      <c r="F396" s="5" t="inlineStr">
        <is>
          <t>Y</t>
        </is>
      </c>
      <c r="G396" s="5" t="inlineStr">
        <is>
          <t>HPLC</t>
        </is>
      </c>
      <c r="H396" s="5" t="inlineStr">
        <is>
          <t>Medium</t>
        </is>
      </c>
      <c r="I396" s="5" t="n">
        <v>1</v>
      </c>
      <c r="J396" s="5" t="n"/>
      <c r="K396" s="5" t="n"/>
      <c r="L396" s="5" t="n"/>
      <c r="M396" s="5" t="n"/>
      <c r="N396" s="5" t="n"/>
      <c r="O396" s="5" t="n"/>
      <c r="P396" s="14">
        <f>IF(N396="","",IF(OR(M396="",O396=""),N396,(M396+4*N396+O396)/6))</f>
        <v/>
      </c>
      <c r="Q396" s="5" t="n"/>
      <c r="R396" s="5" t="n"/>
      <c r="S396" s="5" t="n"/>
      <c r="T396" s="5" t="n"/>
      <c r="U396" s="5" t="n"/>
      <c r="V396" s="15" t="n"/>
      <c r="W396" s="5" t="inlineStr">
        <is>
          <t>N</t>
        </is>
      </c>
      <c r="X396" s="5" t="n"/>
      <c r="Y396" s="5" t="n"/>
      <c r="Z396" s="5" t="n"/>
      <c r="AA396" s="5" t="n"/>
      <c r="AB396" s="10" t="n"/>
      <c r="AC396" s="10" t="inlineStr">
        <is>
          <t>Niacinamide · Assay</t>
        </is>
      </c>
      <c r="AD396" s="10" t="n"/>
      <c r="AE396" s="10" t="n"/>
    </row>
    <row r="397">
      <c r="A397" s="10" t="inlineStr">
        <is>
          <t>Nicotinamide (Vitamin B3)</t>
        </is>
      </c>
      <c r="B397" s="10" t="inlineStr">
        <is>
          <t>RM</t>
        </is>
      </c>
      <c r="C397" s="10" t="inlineStr">
        <is>
          <t>Active</t>
        </is>
      </c>
      <c r="D397" s="10" t="inlineStr">
        <is>
          <t>Residue on Ignition</t>
        </is>
      </c>
      <c r="E397" s="10">
        <f>IF(A397="","",A397&amp;"|"&amp;D397)</f>
        <v/>
      </c>
      <c r="F397" s="5" t="inlineStr">
        <is>
          <t>Y</t>
        </is>
      </c>
      <c r="G397" s="5" t="inlineStr">
        <is>
          <t>Other / bench</t>
        </is>
      </c>
      <c r="H397" s="5" t="inlineStr">
        <is>
          <t>Low</t>
        </is>
      </c>
      <c r="I397" s="5" t="n">
        <v>1</v>
      </c>
      <c r="J397" s="5" t="n"/>
      <c r="K397" s="10">
        <f>IFERROR(IF(INDEX('Test catalog'!$F$2:$F$200,MATCH($AB397,'Test catalog'!$A$2:$A$200,0))="","",INDEX('Test catalog'!$F$2:$F$200,MATCH($AB397,'Test catalog'!$A$2:$A$200,0))),"")</f>
        <v/>
      </c>
      <c r="L397" s="10">
        <f>IFERROR(IF(INDEX('Test catalog'!$G$2:$G$200,MATCH($AB397,'Test catalog'!$A$2:$A$200,0))="","",INDEX('Test catalog'!$G$2:$G$200,MATCH($AB397,'Test catalog'!$A$2:$A$200,0))),"")</f>
        <v/>
      </c>
      <c r="M397" s="10">
        <f>IFERROR(IF(INDEX('Test catalog'!$H$2:$H$200,MATCH($AB397,'Test catalog'!$A$2:$A$200,0))="","",INDEX('Test catalog'!$H$2:$H$200,MATCH($AB397,'Test catalog'!$A$2:$A$200,0))),"")</f>
        <v/>
      </c>
      <c r="N397" s="10">
        <f>IFERROR(IF(INDEX('Test catalog'!$I$2:$I$200,MATCH($AB397,'Test catalog'!$A$2:$A$200,0))="","",INDEX('Test catalog'!$I$2:$I$200,MATCH($AB397,'Test catalog'!$A$2:$A$200,0))),"")</f>
        <v/>
      </c>
      <c r="O397" s="10">
        <f>IFERROR(IF(INDEX('Test catalog'!$J$2:$J$200,MATCH($AB397,'Test catalog'!$A$2:$A$200,0))="","",INDEX('Test catalog'!$J$2:$J$200,MATCH($AB397,'Test catalog'!$A$2:$A$200,0))),"")</f>
        <v/>
      </c>
      <c r="P397" s="14">
        <f>IF(N397="","",IF(OR(M397="",O397=""),N397,(M397+4*N397+O397)/6))</f>
        <v/>
      </c>
      <c r="Q397" s="10">
        <f>IFERROR(IF(INDEX('Test catalog'!$K$2:$K$200,MATCH($AB397,'Test catalog'!$A$2:$A$200,0))="","",INDEX('Test catalog'!$K$2:$K$200,MATCH($AB397,'Test catalog'!$A$2:$A$200,0))),"")</f>
        <v/>
      </c>
      <c r="R397" s="5" t="n"/>
      <c r="S397" s="10">
        <f>IFERROR(IF(INDEX('Test catalog'!$L$2:$L$200,MATCH($AB397,'Test catalog'!$A$2:$A$200,0))="","",INDEX('Test catalog'!$L$2:$L$200,MATCH($AB397,'Test catalog'!$A$2:$A$200,0))),"")</f>
        <v/>
      </c>
      <c r="T397" s="10">
        <f>IFERROR(IF(INDEX('Test catalog'!$M$2:$M$200,MATCH($AB397,'Test catalog'!$A$2:$A$200,0))="","",INDEX('Test catalog'!$M$2:$M$200,MATCH($AB397,'Test catalog'!$A$2:$A$200,0))),"")</f>
        <v/>
      </c>
      <c r="U397" s="10">
        <f>IFERROR(IF(INDEX('Test catalog'!$N$2:$N$200,MATCH($AB397,'Test catalog'!$A$2:$A$200,0))="","",INDEX('Test catalog'!$N$2:$N$200,MATCH($AB397,'Test catalog'!$A$2:$A$200,0))),"")</f>
        <v/>
      </c>
      <c r="V397" s="15" t="n"/>
      <c r="W397" s="5" t="inlineStr">
        <is>
          <t>N</t>
        </is>
      </c>
      <c r="X397" s="5" t="n"/>
      <c r="Y397" s="5" t="n"/>
      <c r="Z397" s="5" t="n"/>
      <c r="AA397" s="10">
        <f>IFERROR(IF(INDEX('Test catalog'!$O$2:$O$200,MATCH($AB397,'Test catalog'!$A$2:$A$200,0))="","",INDEX('Test catalog'!$O$2:$O$200,MATCH($AB397,'Test catalog'!$A$2:$A$200,0))),"")</f>
        <v/>
      </c>
      <c r="AB397" s="10" t="inlineStr">
        <is>
          <t>ROI</t>
        </is>
      </c>
      <c r="AC397" s="10" t="inlineStr">
        <is>
          <t>Niacinamide · Impurities &lt;281&gt;</t>
        </is>
      </c>
      <c r="AD397" s="10" t="n"/>
      <c r="AE397" s="10" t="n"/>
    </row>
    <row r="398">
      <c r="A398" s="10" t="inlineStr">
        <is>
          <t>Nicotinamide (Vitamin B3)</t>
        </is>
      </c>
      <c r="B398" s="10" t="inlineStr">
        <is>
          <t>RM</t>
        </is>
      </c>
      <c r="C398" s="10" t="inlineStr">
        <is>
          <t>Active</t>
        </is>
      </c>
      <c r="D398" s="10" t="inlineStr">
        <is>
          <t>Readily Carbonizable Substances</t>
        </is>
      </c>
      <c r="E398" s="10">
        <f>IF(A398="","",A398&amp;"|"&amp;D398)</f>
        <v/>
      </c>
      <c r="F398" s="5" t="inlineStr">
        <is>
          <t>Y</t>
        </is>
      </c>
      <c r="G398" s="5" t="inlineStr">
        <is>
          <t>Other / bench</t>
        </is>
      </c>
      <c r="H398" s="5" t="inlineStr">
        <is>
          <t>Low</t>
        </is>
      </c>
      <c r="I398" s="5" t="n">
        <v>1</v>
      </c>
      <c r="J398" s="5" t="n"/>
      <c r="K398" s="10">
        <f>IFERROR(IF(INDEX('Test catalog'!$F$2:$F$200,MATCH($AB398,'Test catalog'!$A$2:$A$200,0))="","",INDEX('Test catalog'!$F$2:$F$200,MATCH($AB398,'Test catalog'!$A$2:$A$200,0))),"")</f>
        <v/>
      </c>
      <c r="L398" s="10">
        <f>IFERROR(IF(INDEX('Test catalog'!$G$2:$G$200,MATCH($AB398,'Test catalog'!$A$2:$A$200,0))="","",INDEX('Test catalog'!$G$2:$G$200,MATCH($AB398,'Test catalog'!$A$2:$A$200,0))),"")</f>
        <v/>
      </c>
      <c r="M398" s="10">
        <f>IFERROR(IF(INDEX('Test catalog'!$H$2:$H$200,MATCH($AB398,'Test catalog'!$A$2:$A$200,0))="","",INDEX('Test catalog'!$H$2:$H$200,MATCH($AB398,'Test catalog'!$A$2:$A$200,0))),"")</f>
        <v/>
      </c>
      <c r="N398" s="10">
        <f>IFERROR(IF(INDEX('Test catalog'!$I$2:$I$200,MATCH($AB398,'Test catalog'!$A$2:$A$200,0))="","",INDEX('Test catalog'!$I$2:$I$200,MATCH($AB398,'Test catalog'!$A$2:$A$200,0))),"")</f>
        <v/>
      </c>
      <c r="O398" s="10">
        <f>IFERROR(IF(INDEX('Test catalog'!$J$2:$J$200,MATCH($AB398,'Test catalog'!$A$2:$A$200,0))="","",INDEX('Test catalog'!$J$2:$J$200,MATCH($AB398,'Test catalog'!$A$2:$A$200,0))),"")</f>
        <v/>
      </c>
      <c r="P398" s="14">
        <f>IF(N398="","",IF(OR(M398="",O398=""),N398,(M398+4*N398+O398)/6))</f>
        <v/>
      </c>
      <c r="Q398" s="10">
        <f>IFERROR(IF(INDEX('Test catalog'!$K$2:$K$200,MATCH($AB398,'Test catalog'!$A$2:$A$200,0))="","",INDEX('Test catalog'!$K$2:$K$200,MATCH($AB398,'Test catalog'!$A$2:$A$200,0))),"")</f>
        <v/>
      </c>
      <c r="R398" s="5" t="n"/>
      <c r="S398" s="10">
        <f>IFERROR(IF(INDEX('Test catalog'!$L$2:$L$200,MATCH($AB398,'Test catalog'!$A$2:$A$200,0))="","",INDEX('Test catalog'!$L$2:$L$200,MATCH($AB398,'Test catalog'!$A$2:$A$200,0))),"")</f>
        <v/>
      </c>
      <c r="T398" s="10">
        <f>IFERROR(IF(INDEX('Test catalog'!$M$2:$M$200,MATCH($AB398,'Test catalog'!$A$2:$A$200,0))="","",INDEX('Test catalog'!$M$2:$M$200,MATCH($AB398,'Test catalog'!$A$2:$A$200,0))),"")</f>
        <v/>
      </c>
      <c r="U398" s="10">
        <f>IFERROR(IF(INDEX('Test catalog'!$N$2:$N$200,MATCH($AB398,'Test catalog'!$A$2:$A$200,0))="","",INDEX('Test catalog'!$N$2:$N$200,MATCH($AB398,'Test catalog'!$A$2:$A$200,0))),"")</f>
        <v/>
      </c>
      <c r="V398" s="15" t="n"/>
      <c r="W398" s="5" t="inlineStr">
        <is>
          <t>N</t>
        </is>
      </c>
      <c r="X398" s="5" t="n"/>
      <c r="Y398" s="5" t="n"/>
      <c r="Z398" s="5" t="n"/>
      <c r="AA398" s="10">
        <f>IFERROR(IF(INDEX('Test catalog'!$O$2:$O$200,MATCH($AB398,'Test catalog'!$A$2:$A$200,0))="","",INDEX('Test catalog'!$O$2:$O$200,MATCH($AB398,'Test catalog'!$A$2:$A$200,0))),"")</f>
        <v/>
      </c>
      <c r="AB398" s="10" t="inlineStr">
        <is>
          <t>LIMIT</t>
        </is>
      </c>
      <c r="AC398" s="10" t="inlineStr">
        <is>
          <t>Niacinamide · Impurities &lt;271&gt;</t>
        </is>
      </c>
      <c r="AD398" s="10" t="n"/>
      <c r="AE398" s="10" t="n"/>
    </row>
    <row r="399">
      <c r="A399" s="10" t="inlineStr">
        <is>
          <t>Nicotinamide (Vitamin B3)</t>
        </is>
      </c>
      <c r="B399" s="10" t="inlineStr">
        <is>
          <t>RM</t>
        </is>
      </c>
      <c r="C399" s="10" t="inlineStr">
        <is>
          <t>Active</t>
        </is>
      </c>
      <c r="D399" s="10" t="inlineStr">
        <is>
          <t>Melting Range or Temperature</t>
        </is>
      </c>
      <c r="E399" s="10">
        <f>IF(A399="","",A399&amp;"|"&amp;D399)</f>
        <v/>
      </c>
      <c r="F399" s="5" t="inlineStr">
        <is>
          <t>Y</t>
        </is>
      </c>
      <c r="G399" s="5" t="inlineStr">
        <is>
          <t>Other / bench</t>
        </is>
      </c>
      <c r="H399" s="5" t="inlineStr">
        <is>
          <t>Low</t>
        </is>
      </c>
      <c r="I399" s="5" t="n">
        <v>1</v>
      </c>
      <c r="J399" s="5" t="n"/>
      <c r="K399" s="10">
        <f>IFERROR(IF(INDEX('Test catalog'!$F$2:$F$200,MATCH($AB399,'Test catalog'!$A$2:$A$200,0))="","",INDEX('Test catalog'!$F$2:$F$200,MATCH($AB399,'Test catalog'!$A$2:$A$200,0))),"")</f>
        <v/>
      </c>
      <c r="L399" s="10">
        <f>IFERROR(IF(INDEX('Test catalog'!$G$2:$G$200,MATCH($AB399,'Test catalog'!$A$2:$A$200,0))="","",INDEX('Test catalog'!$G$2:$G$200,MATCH($AB399,'Test catalog'!$A$2:$A$200,0))),"")</f>
        <v/>
      </c>
      <c r="M399" s="10">
        <f>IFERROR(IF(INDEX('Test catalog'!$H$2:$H$200,MATCH($AB399,'Test catalog'!$A$2:$A$200,0))="","",INDEX('Test catalog'!$H$2:$H$200,MATCH($AB399,'Test catalog'!$A$2:$A$200,0))),"")</f>
        <v/>
      </c>
      <c r="N399" s="10">
        <f>IFERROR(IF(INDEX('Test catalog'!$I$2:$I$200,MATCH($AB399,'Test catalog'!$A$2:$A$200,0))="","",INDEX('Test catalog'!$I$2:$I$200,MATCH($AB399,'Test catalog'!$A$2:$A$200,0))),"")</f>
        <v/>
      </c>
      <c r="O399" s="10">
        <f>IFERROR(IF(INDEX('Test catalog'!$J$2:$J$200,MATCH($AB399,'Test catalog'!$A$2:$A$200,0))="","",INDEX('Test catalog'!$J$2:$J$200,MATCH($AB399,'Test catalog'!$A$2:$A$200,0))),"")</f>
        <v/>
      </c>
      <c r="P399" s="14">
        <f>IF(N399="","",IF(OR(M399="",O399=""),N399,(M399+4*N399+O399)/6))</f>
        <v/>
      </c>
      <c r="Q399" s="10">
        <f>IFERROR(IF(INDEX('Test catalog'!$K$2:$K$200,MATCH($AB399,'Test catalog'!$A$2:$A$200,0))="","",INDEX('Test catalog'!$K$2:$K$200,MATCH($AB399,'Test catalog'!$A$2:$A$200,0))),"")</f>
        <v/>
      </c>
      <c r="R399" s="5" t="n"/>
      <c r="S399" s="10">
        <f>IFERROR(IF(INDEX('Test catalog'!$L$2:$L$200,MATCH($AB399,'Test catalog'!$A$2:$A$200,0))="","",INDEX('Test catalog'!$L$2:$L$200,MATCH($AB399,'Test catalog'!$A$2:$A$200,0))),"")</f>
        <v/>
      </c>
      <c r="T399" s="10">
        <f>IFERROR(IF(INDEX('Test catalog'!$M$2:$M$200,MATCH($AB399,'Test catalog'!$A$2:$A$200,0))="","",INDEX('Test catalog'!$M$2:$M$200,MATCH($AB399,'Test catalog'!$A$2:$A$200,0))),"")</f>
        <v/>
      </c>
      <c r="U399" s="10">
        <f>IFERROR(IF(INDEX('Test catalog'!$N$2:$N$200,MATCH($AB399,'Test catalog'!$A$2:$A$200,0))="","",INDEX('Test catalog'!$N$2:$N$200,MATCH($AB399,'Test catalog'!$A$2:$A$200,0))),"")</f>
        <v/>
      </c>
      <c r="V399" s="15" t="n"/>
      <c r="W399" s="5" t="inlineStr">
        <is>
          <t>N</t>
        </is>
      </c>
      <c r="X399" s="5" t="n"/>
      <c r="Y399" s="5" t="n"/>
      <c r="Z399" s="5" t="n"/>
      <c r="AA399" s="10">
        <f>IFERROR(IF(INDEX('Test catalog'!$O$2:$O$200,MATCH($AB399,'Test catalog'!$A$2:$A$200,0))="","",INDEX('Test catalog'!$O$2:$O$200,MATCH($AB399,'Test catalog'!$A$2:$A$200,0))),"")</f>
        <v/>
      </c>
      <c r="AB399" s="10" t="inlineStr">
        <is>
          <t>MP</t>
        </is>
      </c>
      <c r="AC399" s="10" t="inlineStr">
        <is>
          <t>Niacinamide · Specific Tests &lt;741&gt;</t>
        </is>
      </c>
      <c r="AD399" s="10" t="n"/>
      <c r="AE399" s="10" t="n"/>
    </row>
    <row r="400">
      <c r="A400" s="10" t="inlineStr">
        <is>
          <t>Nicotinamide (Vitamin B3)</t>
        </is>
      </c>
      <c r="B400" s="10" t="inlineStr">
        <is>
          <t>RM</t>
        </is>
      </c>
      <c r="C400" s="10" t="inlineStr">
        <is>
          <t>Active</t>
        </is>
      </c>
      <c r="D400" s="10" t="inlineStr">
        <is>
          <t>Loss on Drying</t>
        </is>
      </c>
      <c r="E400" s="10">
        <f>IF(A400="","",A400&amp;"|"&amp;D400)</f>
        <v/>
      </c>
      <c r="F400" s="5" t="inlineStr">
        <is>
          <t>Y</t>
        </is>
      </c>
      <c r="G400" s="5" t="inlineStr">
        <is>
          <t>Other / bench</t>
        </is>
      </c>
      <c r="H400" s="5" t="inlineStr">
        <is>
          <t>Low</t>
        </is>
      </c>
      <c r="I400" s="5" t="n">
        <v>1</v>
      </c>
      <c r="J400" s="5" t="n"/>
      <c r="K400" s="10">
        <f>IFERROR(IF(INDEX('Test catalog'!$F$2:$F$200,MATCH($AB400,'Test catalog'!$A$2:$A$200,0))="","",INDEX('Test catalog'!$F$2:$F$200,MATCH($AB400,'Test catalog'!$A$2:$A$200,0))),"")</f>
        <v/>
      </c>
      <c r="L400" s="10">
        <f>IFERROR(IF(INDEX('Test catalog'!$G$2:$G$200,MATCH($AB400,'Test catalog'!$A$2:$A$200,0))="","",INDEX('Test catalog'!$G$2:$G$200,MATCH($AB400,'Test catalog'!$A$2:$A$200,0))),"")</f>
        <v/>
      </c>
      <c r="M400" s="10">
        <f>IFERROR(IF(INDEX('Test catalog'!$H$2:$H$200,MATCH($AB400,'Test catalog'!$A$2:$A$200,0))="","",INDEX('Test catalog'!$H$2:$H$200,MATCH($AB400,'Test catalog'!$A$2:$A$200,0))),"")</f>
        <v/>
      </c>
      <c r="N400" s="10">
        <f>IFERROR(IF(INDEX('Test catalog'!$I$2:$I$200,MATCH($AB400,'Test catalog'!$A$2:$A$200,0))="","",INDEX('Test catalog'!$I$2:$I$200,MATCH($AB400,'Test catalog'!$A$2:$A$200,0))),"")</f>
        <v/>
      </c>
      <c r="O400" s="10">
        <f>IFERROR(IF(INDEX('Test catalog'!$J$2:$J$200,MATCH($AB400,'Test catalog'!$A$2:$A$200,0))="","",INDEX('Test catalog'!$J$2:$J$200,MATCH($AB400,'Test catalog'!$A$2:$A$200,0))),"")</f>
        <v/>
      </c>
      <c r="P400" s="14">
        <f>IF(N400="","",IF(OR(M400="",O400=""),N400,(M400+4*N400+O400)/6))</f>
        <v/>
      </c>
      <c r="Q400" s="10">
        <f>IFERROR(IF(INDEX('Test catalog'!$K$2:$K$200,MATCH($AB400,'Test catalog'!$A$2:$A$200,0))="","",INDEX('Test catalog'!$K$2:$K$200,MATCH($AB400,'Test catalog'!$A$2:$A$200,0))),"")</f>
        <v/>
      </c>
      <c r="R400" s="5" t="n"/>
      <c r="S400" s="10">
        <f>IFERROR(IF(INDEX('Test catalog'!$L$2:$L$200,MATCH($AB400,'Test catalog'!$A$2:$A$200,0))="","",INDEX('Test catalog'!$L$2:$L$200,MATCH($AB400,'Test catalog'!$A$2:$A$200,0))),"")</f>
        <v/>
      </c>
      <c r="T400" s="10">
        <f>IFERROR(IF(INDEX('Test catalog'!$M$2:$M$200,MATCH($AB400,'Test catalog'!$A$2:$A$200,0))="","",INDEX('Test catalog'!$M$2:$M$200,MATCH($AB400,'Test catalog'!$A$2:$A$200,0))),"")</f>
        <v/>
      </c>
      <c r="U400" s="10">
        <f>IFERROR(IF(INDEX('Test catalog'!$N$2:$N$200,MATCH($AB400,'Test catalog'!$A$2:$A$200,0))="","",INDEX('Test catalog'!$N$2:$N$200,MATCH($AB400,'Test catalog'!$A$2:$A$200,0))),"")</f>
        <v/>
      </c>
      <c r="V400" s="15" t="n"/>
      <c r="W400" s="5" t="inlineStr">
        <is>
          <t>N</t>
        </is>
      </c>
      <c r="X400" s="5" t="n"/>
      <c r="Y400" s="5" t="n"/>
      <c r="Z400" s="5" t="n"/>
      <c r="AA400" s="10">
        <f>IFERROR(IF(INDEX('Test catalog'!$O$2:$O$200,MATCH($AB400,'Test catalog'!$A$2:$A$200,0))="","",INDEX('Test catalog'!$O$2:$O$200,MATCH($AB400,'Test catalog'!$A$2:$A$200,0))),"")</f>
        <v/>
      </c>
      <c r="AB400" s="10" t="inlineStr">
        <is>
          <t>LOD</t>
        </is>
      </c>
      <c r="AC400" s="10" t="inlineStr">
        <is>
          <t>Niacinamide · Specific Tests &lt;731&gt;</t>
        </is>
      </c>
      <c r="AD400" s="10" t="n"/>
      <c r="AE400" s="10" t="n"/>
    </row>
    <row r="401">
      <c r="A401" s="10" t="inlineStr">
        <is>
          <t>Nicotinamide Mononucleotide (NMN) Granule</t>
        </is>
      </c>
      <c r="B401" s="10" t="inlineStr">
        <is>
          <t>RM</t>
        </is>
      </c>
      <c r="C401" s="10" t="inlineStr">
        <is>
          <t>Active</t>
        </is>
      </c>
      <c r="D401" s="10" t="inlineStr">
        <is>
          <t>Assay + related substances</t>
        </is>
      </c>
      <c r="E401" s="10">
        <f>IF(A401="","",A401&amp;"|"&amp;D401)</f>
        <v/>
      </c>
      <c r="F401" s="5" t="inlineStr">
        <is>
          <t>Y</t>
        </is>
      </c>
      <c r="G401" s="5" t="inlineStr">
        <is>
          <t>HPLC</t>
        </is>
      </c>
      <c r="H401" s="5" t="inlineStr">
        <is>
          <t>Medium</t>
        </is>
      </c>
      <c r="I401" s="5" t="n">
        <v>1</v>
      </c>
      <c r="J401" s="5" t="n"/>
      <c r="K401" s="5" t="n"/>
      <c r="L401" s="5" t="n"/>
      <c r="M401" s="5" t="n"/>
      <c r="N401" s="5" t="n"/>
      <c r="O401" s="5" t="n"/>
      <c r="P401" s="14">
        <f>IF(N401="","",IF(OR(M401="",O401=""),N401,(M401+4*N401+O401)/6))</f>
        <v/>
      </c>
      <c r="Q401" s="5" t="n"/>
      <c r="R401" s="5" t="n"/>
      <c r="S401" s="5" t="n"/>
      <c r="T401" s="5" t="n"/>
      <c r="U401" s="5" t="n"/>
      <c r="V401" s="15" t="n"/>
      <c r="W401" s="5" t="inlineStr">
        <is>
          <t>N</t>
        </is>
      </c>
      <c r="X401" s="5" t="n"/>
      <c r="Y401" s="5" t="n"/>
      <c r="Z401" s="5" t="n"/>
      <c r="AA401" s="5" t="n"/>
      <c r="AB401" s="10" t="n"/>
      <c r="AC401" s="10" t="n"/>
      <c r="AD401" s="10" t="inlineStr">
        <is>
          <t>No USP-NF monograph - in-house / supplier spec</t>
        </is>
      </c>
      <c r="AE401" s="10" t="n"/>
      <c r="AF401" s="10" t="n"/>
    </row>
    <row r="402">
      <c r="A402" s="10" t="inlineStr">
        <is>
          <t>Nicotinamide Mononucleotide (NMN) Granule</t>
        </is>
      </c>
      <c r="B402" s="10" t="inlineStr">
        <is>
          <t>RM</t>
        </is>
      </c>
      <c r="C402" s="10" t="inlineStr">
        <is>
          <t>Active</t>
        </is>
      </c>
      <c r="D402" s="10" t="inlineStr">
        <is>
          <t>Other compendial tests (ID, LOD/KF, heavy metals...)</t>
        </is>
      </c>
      <c r="E402" s="10">
        <f>IF(A402="","",A402&amp;"|"&amp;D402)</f>
        <v/>
      </c>
      <c r="F402" s="5" t="inlineStr">
        <is>
          <t>Y</t>
        </is>
      </c>
      <c r="G402" s="5" t="inlineStr">
        <is>
          <t>Other / bench</t>
        </is>
      </c>
      <c r="H402" s="5" t="inlineStr">
        <is>
          <t>Low</t>
        </is>
      </c>
      <c r="I402" s="5" t="n">
        <v>1</v>
      </c>
      <c r="J402" s="5" t="n"/>
      <c r="K402" s="5" t="n"/>
      <c r="L402" s="5" t="n"/>
      <c r="M402" s="5" t="n"/>
      <c r="N402" s="5" t="n"/>
      <c r="O402" s="5" t="n"/>
      <c r="P402" s="14">
        <f>IF(N402="","",IF(OR(M402="",O402=""),N402,(M402+4*N402+O402)/6))</f>
        <v/>
      </c>
      <c r="Q402" s="5" t="n"/>
      <c r="R402" s="5" t="n"/>
      <c r="S402" s="5" t="n"/>
      <c r="T402" s="5" t="n"/>
      <c r="U402" s="5" t="n"/>
      <c r="V402" s="15" t="n"/>
      <c r="W402" s="5" t="inlineStr">
        <is>
          <t>N</t>
        </is>
      </c>
      <c r="X402" s="5" t="n"/>
      <c r="Y402" s="5" t="n"/>
      <c r="Z402" s="5" t="n"/>
      <c r="AA402" s="5" t="n"/>
      <c r="AB402" s="10" t="n"/>
      <c r="AC402" s="10" t="n"/>
      <c r="AD402" s="10" t="inlineStr">
        <is>
          <t>No USP-NF monograph - in-house / supplier spec</t>
        </is>
      </c>
      <c r="AE402" s="10" t="n"/>
      <c r="AF402" s="10" t="n"/>
    </row>
    <row r="403">
      <c r="A403" s="10" t="inlineStr">
        <is>
          <t>Omega 3 Powder (from Flax Seed Dry Extract)</t>
        </is>
      </c>
      <c r="B403" s="10" t="inlineStr">
        <is>
          <t>RM</t>
        </is>
      </c>
      <c r="C403" s="10" t="inlineStr">
        <is>
          <t>Active</t>
        </is>
      </c>
      <c r="D403" s="10" t="inlineStr">
        <is>
          <t>Assay + related substances</t>
        </is>
      </c>
      <c r="E403" s="10">
        <f>IF(A403="","",A403&amp;"|"&amp;D403)</f>
        <v/>
      </c>
      <c r="F403" s="5" t="inlineStr">
        <is>
          <t>Y</t>
        </is>
      </c>
      <c r="G403" s="5" t="inlineStr">
        <is>
          <t>HPLC</t>
        </is>
      </c>
      <c r="H403" s="5" t="inlineStr">
        <is>
          <t>Medium</t>
        </is>
      </c>
      <c r="I403" s="5" t="n">
        <v>1</v>
      </c>
      <c r="J403" s="5" t="n"/>
      <c r="K403" s="5" t="n"/>
      <c r="L403" s="5" t="n"/>
      <c r="M403" s="5" t="n"/>
      <c r="N403" s="5" t="n"/>
      <c r="O403" s="5" t="n"/>
      <c r="P403" s="14">
        <f>IF(N403="","",IF(OR(M403="",O403=""),N403,(M403+4*N403+O403)/6))</f>
        <v/>
      </c>
      <c r="Q403" s="5" t="n"/>
      <c r="R403" s="5" t="n"/>
      <c r="S403" s="5" t="n"/>
      <c r="T403" s="5" t="n"/>
      <c r="U403" s="5" t="n"/>
      <c r="V403" s="15" t="n"/>
      <c r="W403" s="5" t="inlineStr">
        <is>
          <t>N</t>
        </is>
      </c>
      <c r="X403" s="5" t="n"/>
      <c r="Y403" s="5" t="n"/>
      <c r="Z403" s="5" t="n"/>
      <c r="AA403" s="5" t="n"/>
      <c r="AB403" s="10" t="n"/>
      <c r="AC403" s="10" t="n"/>
      <c r="AD403" s="10" t="inlineStr">
        <is>
          <t>No USP-NF monograph - in-house / supplier spec</t>
        </is>
      </c>
      <c r="AE403" s="10" t="n"/>
      <c r="AF403" s="10" t="n"/>
    </row>
    <row r="404">
      <c r="A404" s="10" t="inlineStr">
        <is>
          <t>Omega 3 Powder (from Flax Seed Dry Extract)</t>
        </is>
      </c>
      <c r="B404" s="10" t="inlineStr">
        <is>
          <t>RM</t>
        </is>
      </c>
      <c r="C404" s="10" t="inlineStr">
        <is>
          <t>Active</t>
        </is>
      </c>
      <c r="D404" s="10" t="inlineStr">
        <is>
          <t>Other compendial tests (ID, LOD/KF, heavy metals...)</t>
        </is>
      </c>
      <c r="E404" s="10">
        <f>IF(A404="","",A404&amp;"|"&amp;D404)</f>
        <v/>
      </c>
      <c r="F404" s="5" t="inlineStr">
        <is>
          <t>Y</t>
        </is>
      </c>
      <c r="G404" s="5" t="inlineStr">
        <is>
          <t>Other / bench</t>
        </is>
      </c>
      <c r="H404" s="5" t="inlineStr">
        <is>
          <t>Low</t>
        </is>
      </c>
      <c r="I404" s="5" t="n">
        <v>1</v>
      </c>
      <c r="J404" s="5" t="n"/>
      <c r="K404" s="5" t="n"/>
      <c r="L404" s="5" t="n"/>
      <c r="M404" s="5" t="n"/>
      <c r="N404" s="5" t="n"/>
      <c r="O404" s="5" t="n"/>
      <c r="P404" s="14">
        <f>IF(N404="","",IF(OR(M404="",O404=""),N404,(M404+4*N404+O404)/6))</f>
        <v/>
      </c>
      <c r="Q404" s="5" t="n"/>
      <c r="R404" s="5" t="n"/>
      <c r="S404" s="5" t="n"/>
      <c r="T404" s="5" t="n"/>
      <c r="U404" s="5" t="n"/>
      <c r="V404" s="15" t="n"/>
      <c r="W404" s="5" t="inlineStr">
        <is>
          <t>N</t>
        </is>
      </c>
      <c r="X404" s="5" t="n"/>
      <c r="Y404" s="5" t="n"/>
      <c r="Z404" s="5" t="n"/>
      <c r="AA404" s="5" t="n"/>
      <c r="AB404" s="10" t="n"/>
      <c r="AC404" s="10" t="n"/>
      <c r="AD404" s="10" t="inlineStr">
        <is>
          <t>No USP-NF monograph - in-house / supplier spec</t>
        </is>
      </c>
      <c r="AE404" s="10" t="n"/>
      <c r="AF404" s="10" t="n"/>
    </row>
    <row r="405">
      <c r="A405" s="10" t="inlineStr">
        <is>
          <t>Ozanimod Hydrochloride</t>
        </is>
      </c>
      <c r="B405" s="10" t="inlineStr">
        <is>
          <t>RM</t>
        </is>
      </c>
      <c r="C405" s="10" t="inlineStr">
        <is>
          <t>Active</t>
        </is>
      </c>
      <c r="D405" s="10" t="inlineStr">
        <is>
          <t>Assay + related substances</t>
        </is>
      </c>
      <c r="E405" s="10">
        <f>IF(A405="","",A405&amp;"|"&amp;D405)</f>
        <v/>
      </c>
      <c r="F405" s="5" t="inlineStr">
        <is>
          <t>Y</t>
        </is>
      </c>
      <c r="G405" s="5" t="inlineStr">
        <is>
          <t>HPLC</t>
        </is>
      </c>
      <c r="H405" s="5" t="inlineStr">
        <is>
          <t>Medium</t>
        </is>
      </c>
      <c r="I405" s="5" t="n">
        <v>1</v>
      </c>
      <c r="J405" s="5" t="n"/>
      <c r="K405" s="5" t="n"/>
      <c r="L405" s="5" t="n"/>
      <c r="M405" s="5" t="n"/>
      <c r="N405" s="5" t="n"/>
      <c r="O405" s="5" t="n"/>
      <c r="P405" s="14">
        <f>IF(N405="","",IF(OR(M405="",O405=""),N405,(M405+4*N405+O405)/6))</f>
        <v/>
      </c>
      <c r="Q405" s="5" t="n"/>
      <c r="R405" s="5" t="n"/>
      <c r="S405" s="5" t="n"/>
      <c r="T405" s="5" t="n"/>
      <c r="U405" s="5" t="n"/>
      <c r="V405" s="15" t="n"/>
      <c r="W405" s="5" t="inlineStr">
        <is>
          <t>N</t>
        </is>
      </c>
      <c r="X405" s="5" t="n"/>
      <c r="Y405" s="5" t="n"/>
      <c r="Z405" s="5" t="n"/>
      <c r="AA405" s="5" t="n"/>
      <c r="AB405" s="10" t="n"/>
      <c r="AC405" s="10" t="n"/>
      <c r="AD405" s="10" t="inlineStr">
        <is>
          <t>No USP-NF monograph - in-house / supplier spec</t>
        </is>
      </c>
      <c r="AE405" s="10" t="n"/>
      <c r="AF405" s="10" t="n"/>
    </row>
    <row r="406">
      <c r="A406" s="10" t="inlineStr">
        <is>
          <t>Ozanimod Hydrochloride</t>
        </is>
      </c>
      <c r="B406" s="10" t="inlineStr">
        <is>
          <t>RM</t>
        </is>
      </c>
      <c r="C406" s="10" t="inlineStr">
        <is>
          <t>Active</t>
        </is>
      </c>
      <c r="D406" s="10" t="inlineStr">
        <is>
          <t>Other compendial tests (ID, LOD/KF, heavy metals...)</t>
        </is>
      </c>
      <c r="E406" s="10">
        <f>IF(A406="","",A406&amp;"|"&amp;D406)</f>
        <v/>
      </c>
      <c r="F406" s="5" t="inlineStr">
        <is>
          <t>Y</t>
        </is>
      </c>
      <c r="G406" s="5" t="inlineStr">
        <is>
          <t>Other / bench</t>
        </is>
      </c>
      <c r="H406" s="5" t="inlineStr">
        <is>
          <t>Low</t>
        </is>
      </c>
      <c r="I406" s="5" t="n">
        <v>1</v>
      </c>
      <c r="J406" s="5" t="n"/>
      <c r="K406" s="5" t="n"/>
      <c r="L406" s="5" t="n"/>
      <c r="M406" s="5" t="n"/>
      <c r="N406" s="5" t="n"/>
      <c r="O406" s="5" t="n"/>
      <c r="P406" s="14">
        <f>IF(N406="","",IF(OR(M406="",O406=""),N406,(M406+4*N406+O406)/6))</f>
        <v/>
      </c>
      <c r="Q406" s="5" t="n"/>
      <c r="R406" s="5" t="n"/>
      <c r="S406" s="5" t="n"/>
      <c r="T406" s="5" t="n"/>
      <c r="U406" s="5" t="n"/>
      <c r="V406" s="15" t="n"/>
      <c r="W406" s="5" t="inlineStr">
        <is>
          <t>N</t>
        </is>
      </c>
      <c r="X406" s="5" t="n"/>
      <c r="Y406" s="5" t="n"/>
      <c r="Z406" s="5" t="n"/>
      <c r="AA406" s="5" t="n"/>
      <c r="AB406" s="10" t="n"/>
      <c r="AC406" s="10" t="n"/>
      <c r="AD406" s="10" t="inlineStr">
        <is>
          <t>No USP-NF monograph - in-house / supplier spec</t>
        </is>
      </c>
      <c r="AE406" s="10" t="n"/>
      <c r="AF406" s="10" t="n"/>
    </row>
    <row r="407">
      <c r="A407" s="10" t="inlineStr">
        <is>
          <t>Panax Ginseng (Asian Ginseng) Dry Extract 3:1</t>
        </is>
      </c>
      <c r="B407" s="10" t="inlineStr">
        <is>
          <t>RM</t>
        </is>
      </c>
      <c r="C407" s="10" t="inlineStr">
        <is>
          <t>Active</t>
        </is>
      </c>
      <c r="D407" s="10" t="inlineStr">
        <is>
          <t>Appearance / description and solubility</t>
        </is>
      </c>
      <c r="E407" s="10">
        <f>IF(A407="","",A407&amp;"|"&amp;D407)</f>
        <v/>
      </c>
      <c r="F407" s="5" t="inlineStr">
        <is>
          <t>Y</t>
        </is>
      </c>
      <c r="G407" s="5" t="inlineStr">
        <is>
          <t>Other / bench</t>
        </is>
      </c>
      <c r="H407" s="5" t="inlineStr">
        <is>
          <t>Low</t>
        </is>
      </c>
      <c r="I407" s="5" t="n">
        <v>1</v>
      </c>
      <c r="J407" s="5" t="n"/>
      <c r="K407" s="10">
        <f>IFERROR(IF(INDEX('Test catalog'!$F$2:$F$200,MATCH($AB407,'Test catalog'!$A$2:$A$200,0))="","",INDEX('Test catalog'!$F$2:$F$200,MATCH($AB407,'Test catalog'!$A$2:$A$200,0))),"")</f>
        <v/>
      </c>
      <c r="L407" s="10">
        <f>IFERROR(IF(INDEX('Test catalog'!$G$2:$G$200,MATCH($AB407,'Test catalog'!$A$2:$A$200,0))="","",INDEX('Test catalog'!$G$2:$G$200,MATCH($AB407,'Test catalog'!$A$2:$A$200,0))),"")</f>
        <v/>
      </c>
      <c r="M407" s="10">
        <f>IFERROR(IF(INDEX('Test catalog'!$H$2:$H$200,MATCH($AB407,'Test catalog'!$A$2:$A$200,0))="","",INDEX('Test catalog'!$H$2:$H$200,MATCH($AB407,'Test catalog'!$A$2:$A$200,0))),"")</f>
        <v/>
      </c>
      <c r="N407" s="10">
        <f>IFERROR(IF(INDEX('Test catalog'!$I$2:$I$200,MATCH($AB407,'Test catalog'!$A$2:$A$200,0))="","",INDEX('Test catalog'!$I$2:$I$200,MATCH($AB407,'Test catalog'!$A$2:$A$200,0))),"")</f>
        <v/>
      </c>
      <c r="O407" s="10">
        <f>IFERROR(IF(INDEX('Test catalog'!$J$2:$J$200,MATCH($AB407,'Test catalog'!$A$2:$A$200,0))="","",INDEX('Test catalog'!$J$2:$J$200,MATCH($AB407,'Test catalog'!$A$2:$A$200,0))),"")</f>
        <v/>
      </c>
      <c r="P407" s="14">
        <f>IF(N407="","",IF(OR(M407="",O407=""),N407,(M407+4*N407+O407)/6))</f>
        <v/>
      </c>
      <c r="Q407" s="10">
        <f>IFERROR(IF(INDEX('Test catalog'!$K$2:$K$200,MATCH($AB407,'Test catalog'!$A$2:$A$200,0))="","",INDEX('Test catalog'!$K$2:$K$200,MATCH($AB407,'Test catalog'!$A$2:$A$200,0))),"")</f>
        <v/>
      </c>
      <c r="R407" s="5" t="n"/>
      <c r="S407" s="10">
        <f>IFERROR(IF(INDEX('Test catalog'!$L$2:$L$200,MATCH($AB407,'Test catalog'!$A$2:$A$200,0))="","",INDEX('Test catalog'!$L$2:$L$200,MATCH($AB407,'Test catalog'!$A$2:$A$200,0))),"")</f>
        <v/>
      </c>
      <c r="T407" s="10">
        <f>IFERROR(IF(INDEX('Test catalog'!$M$2:$M$200,MATCH($AB407,'Test catalog'!$A$2:$A$200,0))="","",INDEX('Test catalog'!$M$2:$M$200,MATCH($AB407,'Test catalog'!$A$2:$A$200,0))),"")</f>
        <v/>
      </c>
      <c r="U407" s="10">
        <f>IFERROR(IF(INDEX('Test catalog'!$N$2:$N$200,MATCH($AB407,'Test catalog'!$A$2:$A$200,0))="","",INDEX('Test catalog'!$N$2:$N$200,MATCH($AB407,'Test catalog'!$A$2:$A$200,0))),"")</f>
        <v/>
      </c>
      <c r="V407" s="15" t="n"/>
      <c r="W407" s="5" t="inlineStr">
        <is>
          <t>N</t>
        </is>
      </c>
      <c r="X407" s="5" t="n"/>
      <c r="Y407" s="5" t="n"/>
      <c r="Z407" s="5" t="n"/>
      <c r="AA407" s="10">
        <f>IFERROR(IF(INDEX('Test catalog'!$O$2:$O$200,MATCH($AB407,'Test catalog'!$A$2:$A$200,0))="","",INDEX('Test catalog'!$O$2:$O$200,MATCH($AB407,'Test catalog'!$A$2:$A$200,0))),"")</f>
        <v/>
      </c>
      <c r="AB407" s="10" t="inlineStr">
        <is>
          <t>APPEAR</t>
        </is>
      </c>
      <c r="AC407" s="10" t="inlineStr">
        <is>
          <t>Lab practice (not a USP test)</t>
        </is>
      </c>
      <c r="AD407" s="10" t="n"/>
      <c r="AE407" s="10" t="n"/>
    </row>
    <row r="408">
      <c r="A408" s="10" t="inlineStr">
        <is>
          <t>Panax Ginseng (Asian Ginseng) Dry Extract 3:1</t>
        </is>
      </c>
      <c r="B408" s="10" t="inlineStr">
        <is>
          <t>RM</t>
        </is>
      </c>
      <c r="C408" s="10" t="inlineStr">
        <is>
          <t>Active</t>
        </is>
      </c>
      <c r="D408" s="10" t="inlineStr">
        <is>
          <t>ID A - HPLC</t>
        </is>
      </c>
      <c r="E408" s="10">
        <f>IF(A408="","",A408&amp;"|"&amp;D408)</f>
        <v/>
      </c>
      <c r="F408" s="5" t="inlineStr">
        <is>
          <t>Y</t>
        </is>
      </c>
      <c r="G408" s="5" t="inlineStr">
        <is>
          <t>HPLC</t>
        </is>
      </c>
      <c r="H408" s="5" t="inlineStr">
        <is>
          <t>Medium</t>
        </is>
      </c>
      <c r="I408" s="5" t="n">
        <v>1</v>
      </c>
      <c r="J408" s="5" t="n"/>
      <c r="K408" s="5" t="n"/>
      <c r="L408" s="5" t="n"/>
      <c r="M408" s="5" t="n"/>
      <c r="N408" s="5" t="n"/>
      <c r="O408" s="5" t="n"/>
      <c r="P408" s="14">
        <f>IF(N408="","",IF(OR(M408="",O408=""),N408,(M408+4*N408+O408)/6))</f>
        <v/>
      </c>
      <c r="Q408" s="5" t="n"/>
      <c r="R408" s="5" t="n"/>
      <c r="S408" s="5" t="n"/>
      <c r="T408" s="5" t="n"/>
      <c r="U408" s="5" t="n"/>
      <c r="V408" s="15" t="n"/>
      <c r="W408" s="5" t="inlineStr">
        <is>
          <t>N</t>
        </is>
      </c>
      <c r="X408" s="5" t="n"/>
      <c r="Y408" s="5" t="n"/>
      <c r="Z408" s="5" t="n"/>
      <c r="AA408" s="5" t="n"/>
      <c r="AB408" s="10" t="n"/>
      <c r="AC408" s="10" t="inlineStr">
        <is>
          <t>Asian Ginseng Root and Rhizome Dry Extract · Identification &lt;203&gt;</t>
        </is>
      </c>
      <c r="AD408" s="10" t="n"/>
      <c r="AE408" s="10" t="n"/>
    </row>
    <row r="409">
      <c r="A409" s="10" t="inlineStr">
        <is>
          <t>Panax Ginseng (Asian Ginseng) Dry Extract 3:1</t>
        </is>
      </c>
      <c r="B409" s="10" t="inlineStr">
        <is>
          <t>RM</t>
        </is>
      </c>
      <c r="C409" s="10" t="inlineStr">
        <is>
          <t>Active</t>
        </is>
      </c>
      <c r="D409" s="10" t="inlineStr">
        <is>
          <t>ID B - HPLC</t>
        </is>
      </c>
      <c r="E409" s="10">
        <f>IF(A409="","",A409&amp;"|"&amp;D409)</f>
        <v/>
      </c>
      <c r="F409" s="5" t="inlineStr">
        <is>
          <t>Y</t>
        </is>
      </c>
      <c r="G409" s="5" t="inlineStr">
        <is>
          <t>HPLC</t>
        </is>
      </c>
      <c r="H409" s="5" t="inlineStr">
        <is>
          <t>Medium</t>
        </is>
      </c>
      <c r="I409" s="5" t="n">
        <v>1</v>
      </c>
      <c r="J409" s="5" t="n"/>
      <c r="K409" s="5" t="n"/>
      <c r="L409" s="5" t="n"/>
      <c r="M409" s="5" t="n"/>
      <c r="N409" s="5" t="n"/>
      <c r="O409" s="5" t="n"/>
      <c r="P409" s="14">
        <f>IF(N409="","",IF(OR(M409="",O409=""),N409,(M409+4*N409+O409)/6))</f>
        <v/>
      </c>
      <c r="Q409" s="5" t="n"/>
      <c r="R409" s="5" t="n"/>
      <c r="S409" s="5" t="n"/>
      <c r="T409" s="5" t="n"/>
      <c r="U409" s="5" t="n"/>
      <c r="V409" s="15" t="n"/>
      <c r="W409" s="5" t="inlineStr">
        <is>
          <t>N</t>
        </is>
      </c>
      <c r="X409" s="5" t="n"/>
      <c r="Y409" s="5" t="n"/>
      <c r="Z409" s="5" t="n"/>
      <c r="AA409" s="5" t="n"/>
      <c r="AB409" s="10" t="n"/>
      <c r="AC409" s="10" t="inlineStr">
        <is>
          <t>Asian Ginseng Root and Rhizome Dry Extract · Identification</t>
        </is>
      </c>
      <c r="AD409" s="10" t="n"/>
      <c r="AE409" s="10" t="n"/>
    </row>
    <row r="410">
      <c r="A410" s="10" t="inlineStr">
        <is>
          <t>Panax Ginseng (Asian Ginseng) Dry Extract 3:1</t>
        </is>
      </c>
      <c r="B410" s="10" t="inlineStr">
        <is>
          <t>RM</t>
        </is>
      </c>
      <c r="C410" s="10" t="inlineStr">
        <is>
          <t>Active</t>
        </is>
      </c>
      <c r="D410" s="10" t="inlineStr">
        <is>
          <t>Content of Ginsenosides (HPLC)</t>
        </is>
      </c>
      <c r="E410" s="10">
        <f>IF(A410="","",A410&amp;"|"&amp;D410)</f>
        <v/>
      </c>
      <c r="F410" s="5" t="inlineStr">
        <is>
          <t>Y</t>
        </is>
      </c>
      <c r="G410" s="5" t="inlineStr">
        <is>
          <t>HPLC</t>
        </is>
      </c>
      <c r="H410" s="5" t="inlineStr">
        <is>
          <t>Medium</t>
        </is>
      </c>
      <c r="I410" s="5" t="n">
        <v>1</v>
      </c>
      <c r="J410" s="5" t="n"/>
      <c r="K410" s="5" t="n"/>
      <c r="L410" s="5" t="n"/>
      <c r="M410" s="5" t="n"/>
      <c r="N410" s="5" t="n"/>
      <c r="O410" s="5" t="n"/>
      <c r="P410" s="14">
        <f>IF(N410="","",IF(OR(M410="",O410=""),N410,(M410+4*N410+O410)/6))</f>
        <v/>
      </c>
      <c r="Q410" s="5" t="n"/>
      <c r="R410" s="5" t="n"/>
      <c r="S410" s="5" t="n"/>
      <c r="T410" s="5" t="n"/>
      <c r="U410" s="5" t="n"/>
      <c r="V410" s="15" t="n"/>
      <c r="W410" s="5" t="inlineStr">
        <is>
          <t>N</t>
        </is>
      </c>
      <c r="X410" s="5" t="n"/>
      <c r="Y410" s="5" t="n"/>
      <c r="Z410" s="5" t="n"/>
      <c r="AA410" s="5" t="n"/>
      <c r="AB410" s="10" t="n"/>
      <c r="AC410" s="10" t="inlineStr">
        <is>
          <t>Asian Ginseng Root and Rhizome Dry Extract · Composition</t>
        </is>
      </c>
      <c r="AD410" s="10" t="n"/>
      <c r="AE410" s="10" t="n"/>
    </row>
    <row r="411">
      <c r="A411" s="10" t="inlineStr">
        <is>
          <t>Panax Ginseng (Asian Ginseng) Dry Extract 3:1</t>
        </is>
      </c>
      <c r="B411" s="10" t="inlineStr">
        <is>
          <t>RM</t>
        </is>
      </c>
      <c r="C411" s="10" t="inlineStr">
        <is>
          <t>Active</t>
        </is>
      </c>
      <c r="D411" s="10" t="inlineStr">
        <is>
          <t>Botanical Extracts</t>
        </is>
      </c>
      <c r="E411" s="10">
        <f>IF(A411="","",A411&amp;"|"&amp;D411)</f>
        <v/>
      </c>
      <c r="F411" s="5" t="inlineStr">
        <is>
          <t>Y</t>
        </is>
      </c>
      <c r="G411" s="5" t="inlineStr">
        <is>
          <t>GC</t>
        </is>
      </c>
      <c r="H411" s="5" t="inlineStr">
        <is>
          <t>Medium</t>
        </is>
      </c>
      <c r="I411" s="5" t="n">
        <v>1</v>
      </c>
      <c r="J411" s="5" t="n"/>
      <c r="K411" s="10">
        <f>IFERROR(IF(INDEX('Test catalog'!$F$2:$F$200,MATCH($AB411,'Test catalog'!$A$2:$A$200,0))="","",INDEX('Test catalog'!$F$2:$F$200,MATCH($AB411,'Test catalog'!$A$2:$A$200,0))),"")</f>
        <v/>
      </c>
      <c r="L411" s="10">
        <f>IFERROR(IF(INDEX('Test catalog'!$G$2:$G$200,MATCH($AB411,'Test catalog'!$A$2:$A$200,0))="","",INDEX('Test catalog'!$G$2:$G$200,MATCH($AB411,'Test catalog'!$A$2:$A$200,0))),"")</f>
        <v/>
      </c>
      <c r="M411" s="10">
        <f>IFERROR(IF(INDEX('Test catalog'!$H$2:$H$200,MATCH($AB411,'Test catalog'!$A$2:$A$200,0))="","",INDEX('Test catalog'!$H$2:$H$200,MATCH($AB411,'Test catalog'!$A$2:$A$200,0))),"")</f>
        <v/>
      </c>
      <c r="N411" s="10">
        <f>IFERROR(IF(INDEX('Test catalog'!$I$2:$I$200,MATCH($AB411,'Test catalog'!$A$2:$A$200,0))="","",INDEX('Test catalog'!$I$2:$I$200,MATCH($AB411,'Test catalog'!$A$2:$A$200,0))),"")</f>
        <v/>
      </c>
      <c r="O411" s="10">
        <f>IFERROR(IF(INDEX('Test catalog'!$J$2:$J$200,MATCH($AB411,'Test catalog'!$A$2:$A$200,0))="","",INDEX('Test catalog'!$J$2:$J$200,MATCH($AB411,'Test catalog'!$A$2:$A$200,0))),"")</f>
        <v/>
      </c>
      <c r="P411" s="14">
        <f>IF(N411="","",IF(OR(M411="",O411=""),N411,(M411+4*N411+O411)/6))</f>
        <v/>
      </c>
      <c r="Q411" s="10">
        <f>IFERROR(IF(INDEX('Test catalog'!$K$2:$K$200,MATCH($AB411,'Test catalog'!$A$2:$A$200,0))="","",INDEX('Test catalog'!$K$2:$K$200,MATCH($AB411,'Test catalog'!$A$2:$A$200,0))),"")</f>
        <v/>
      </c>
      <c r="R411" s="5" t="n"/>
      <c r="S411" s="10">
        <f>IFERROR(IF(INDEX('Test catalog'!$L$2:$L$200,MATCH($AB411,'Test catalog'!$A$2:$A$200,0))="","",INDEX('Test catalog'!$L$2:$L$200,MATCH($AB411,'Test catalog'!$A$2:$A$200,0))),"")</f>
        <v/>
      </c>
      <c r="T411" s="10">
        <f>IFERROR(IF(INDEX('Test catalog'!$M$2:$M$200,MATCH($AB411,'Test catalog'!$A$2:$A$200,0))="","",INDEX('Test catalog'!$M$2:$M$200,MATCH($AB411,'Test catalog'!$A$2:$A$200,0))),"")</f>
        <v/>
      </c>
      <c r="U411" s="10">
        <f>IFERROR(IF(INDEX('Test catalog'!$N$2:$N$200,MATCH($AB411,'Test catalog'!$A$2:$A$200,0))="","",INDEX('Test catalog'!$N$2:$N$200,MATCH($AB411,'Test catalog'!$A$2:$A$200,0))),"")</f>
        <v/>
      </c>
      <c r="V411" s="15" t="n"/>
      <c r="W411" s="5" t="inlineStr">
        <is>
          <t>N</t>
        </is>
      </c>
      <c r="X411" s="5" t="n"/>
      <c r="Y411" s="5" t="n"/>
      <c r="Z411" s="5" t="n"/>
      <c r="AA411" s="10">
        <f>IFERROR(IF(INDEX('Test catalog'!$O$2:$O$200,MATCH($AB411,'Test catalog'!$A$2:$A$200,0))="","",INDEX('Test catalog'!$O$2:$O$200,MATCH($AB411,'Test catalog'!$A$2:$A$200,0))),"")</f>
        <v/>
      </c>
      <c r="AB411" s="10" t="inlineStr">
        <is>
          <t>PEST</t>
        </is>
      </c>
      <c r="AC411" s="10" t="inlineStr">
        <is>
          <t>Asian Ginseng Root and Rhizome Dry Extract · Contaminants &lt;565&gt;</t>
        </is>
      </c>
      <c r="AD411" s="10" t="n"/>
      <c r="AE411" s="10" t="n"/>
    </row>
    <row r="412">
      <c r="A412" s="10" t="inlineStr">
        <is>
          <t>Panax Ginseng (Asian Ginseng) Dry Extract 3:1</t>
        </is>
      </c>
      <c r="B412" s="10" t="inlineStr">
        <is>
          <t>RM</t>
        </is>
      </c>
      <c r="C412" s="10" t="inlineStr">
        <is>
          <t>Active</t>
        </is>
      </c>
      <c r="D412" s="10" t="inlineStr">
        <is>
          <t>Water Determination</t>
        </is>
      </c>
      <c r="E412" s="10">
        <f>IF(A412="","",A412&amp;"|"&amp;D412)</f>
        <v/>
      </c>
      <c r="F412" s="5" t="inlineStr">
        <is>
          <t>Y</t>
        </is>
      </c>
      <c r="G412" s="5" t="inlineStr">
        <is>
          <t>KF titrator</t>
        </is>
      </c>
      <c r="H412" s="5" t="inlineStr">
        <is>
          <t>Low</t>
        </is>
      </c>
      <c r="I412" s="5" t="n">
        <v>1</v>
      </c>
      <c r="J412" s="5" t="n"/>
      <c r="K412" s="10">
        <f>IFERROR(IF(INDEX('Test catalog'!$F$2:$F$200,MATCH($AB412,'Test catalog'!$A$2:$A$200,0))="","",INDEX('Test catalog'!$F$2:$F$200,MATCH($AB412,'Test catalog'!$A$2:$A$200,0))),"")</f>
        <v/>
      </c>
      <c r="L412" s="10">
        <f>IFERROR(IF(INDEX('Test catalog'!$G$2:$G$200,MATCH($AB412,'Test catalog'!$A$2:$A$200,0))="","",INDEX('Test catalog'!$G$2:$G$200,MATCH($AB412,'Test catalog'!$A$2:$A$200,0))),"")</f>
        <v/>
      </c>
      <c r="M412" s="10">
        <f>IFERROR(IF(INDEX('Test catalog'!$H$2:$H$200,MATCH($AB412,'Test catalog'!$A$2:$A$200,0))="","",INDEX('Test catalog'!$H$2:$H$200,MATCH($AB412,'Test catalog'!$A$2:$A$200,0))),"")</f>
        <v/>
      </c>
      <c r="N412" s="10">
        <f>IFERROR(IF(INDEX('Test catalog'!$I$2:$I$200,MATCH($AB412,'Test catalog'!$A$2:$A$200,0))="","",INDEX('Test catalog'!$I$2:$I$200,MATCH($AB412,'Test catalog'!$A$2:$A$200,0))),"")</f>
        <v/>
      </c>
      <c r="O412" s="10">
        <f>IFERROR(IF(INDEX('Test catalog'!$J$2:$J$200,MATCH($AB412,'Test catalog'!$A$2:$A$200,0))="","",INDEX('Test catalog'!$J$2:$J$200,MATCH($AB412,'Test catalog'!$A$2:$A$200,0))),"")</f>
        <v/>
      </c>
      <c r="P412" s="14">
        <f>IF(N412="","",IF(OR(M412="",O412=""),N412,(M412+4*N412+O412)/6))</f>
        <v/>
      </c>
      <c r="Q412" s="10">
        <f>IFERROR(IF(INDEX('Test catalog'!$K$2:$K$200,MATCH($AB412,'Test catalog'!$A$2:$A$200,0))="","",INDEX('Test catalog'!$K$2:$K$200,MATCH($AB412,'Test catalog'!$A$2:$A$200,0))),"")</f>
        <v/>
      </c>
      <c r="R412" s="5" t="n"/>
      <c r="S412" s="10">
        <f>IFERROR(IF(INDEX('Test catalog'!$L$2:$L$200,MATCH($AB412,'Test catalog'!$A$2:$A$200,0))="","",INDEX('Test catalog'!$L$2:$L$200,MATCH($AB412,'Test catalog'!$A$2:$A$200,0))),"")</f>
        <v/>
      </c>
      <c r="T412" s="10">
        <f>IFERROR(IF(INDEX('Test catalog'!$M$2:$M$200,MATCH($AB412,'Test catalog'!$A$2:$A$200,0))="","",INDEX('Test catalog'!$M$2:$M$200,MATCH($AB412,'Test catalog'!$A$2:$A$200,0))),"")</f>
        <v/>
      </c>
      <c r="U412" s="10">
        <f>IFERROR(IF(INDEX('Test catalog'!$N$2:$N$200,MATCH($AB412,'Test catalog'!$A$2:$A$200,0))="","",INDEX('Test catalog'!$N$2:$N$200,MATCH($AB412,'Test catalog'!$A$2:$A$200,0))),"")</f>
        <v/>
      </c>
      <c r="V412" s="15" t="n"/>
      <c r="W412" s="5" t="inlineStr">
        <is>
          <t>N</t>
        </is>
      </c>
      <c r="X412" s="5" t="n"/>
      <c r="Y412" s="5" t="n"/>
      <c r="Z412" s="5" t="n"/>
      <c r="AA412" s="10">
        <f>IFERROR(IF(INDEX('Test catalog'!$O$2:$O$200,MATCH($AB412,'Test catalog'!$A$2:$A$200,0))="","",INDEX('Test catalog'!$O$2:$O$200,MATCH($AB412,'Test catalog'!$A$2:$A$200,0))),"")</f>
        <v/>
      </c>
      <c r="AB412" s="10" t="inlineStr">
        <is>
          <t>KF</t>
        </is>
      </c>
      <c r="AC412" s="10" t="inlineStr">
        <is>
          <t>Asian Ginseng Root and Rhizome Dry Extract · Specific Tests &lt;921,611,565&gt;</t>
        </is>
      </c>
      <c r="AD412" s="10" t="n"/>
      <c r="AE412" s="10" t="n"/>
    </row>
    <row r="413">
      <c r="A413" s="10" t="inlineStr">
        <is>
          <t>Peppermint Dry Extract</t>
        </is>
      </c>
      <c r="B413" s="10" t="inlineStr">
        <is>
          <t>RM</t>
        </is>
      </c>
      <c r="C413" s="10" t="inlineStr">
        <is>
          <t>Active</t>
        </is>
      </c>
      <c r="D413" s="10" t="inlineStr">
        <is>
          <t>Assay + related substances</t>
        </is>
      </c>
      <c r="E413" s="10">
        <f>IF(A413="","",A413&amp;"|"&amp;D413)</f>
        <v/>
      </c>
      <c r="F413" s="5" t="inlineStr">
        <is>
          <t>Y</t>
        </is>
      </c>
      <c r="G413" s="5" t="inlineStr">
        <is>
          <t>HPLC</t>
        </is>
      </c>
      <c r="H413" s="5" t="inlineStr">
        <is>
          <t>Medium</t>
        </is>
      </c>
      <c r="I413" s="5" t="n">
        <v>1</v>
      </c>
      <c r="J413" s="5" t="n"/>
      <c r="K413" s="5" t="n"/>
      <c r="L413" s="5" t="n"/>
      <c r="M413" s="5" t="n"/>
      <c r="N413" s="5" t="n"/>
      <c r="O413" s="5" t="n"/>
      <c r="P413" s="14">
        <f>IF(N413="","",IF(OR(M413="",O413=""),N413,(M413+4*N413+O413)/6))</f>
        <v/>
      </c>
      <c r="Q413" s="5" t="n"/>
      <c r="R413" s="5" t="n"/>
      <c r="S413" s="5" t="n"/>
      <c r="T413" s="5" t="n"/>
      <c r="U413" s="5" t="n"/>
      <c r="V413" s="15" t="n"/>
      <c r="W413" s="5" t="inlineStr">
        <is>
          <t>N</t>
        </is>
      </c>
      <c r="X413" s="5" t="n"/>
      <c r="Y413" s="5" t="n"/>
      <c r="Z413" s="5" t="n"/>
      <c r="AA413" s="5" t="n"/>
      <c r="AB413" s="10" t="n"/>
      <c r="AC413" s="10" t="n"/>
      <c r="AD413" s="10" t="inlineStr">
        <is>
          <t>No USP-NF monograph - in-house / supplier spec</t>
        </is>
      </c>
      <c r="AE413" s="10" t="n"/>
      <c r="AF413" s="10" t="n"/>
    </row>
    <row r="414">
      <c r="A414" s="10" t="inlineStr">
        <is>
          <t>Peppermint Dry Extract</t>
        </is>
      </c>
      <c r="B414" s="10" t="inlineStr">
        <is>
          <t>RM</t>
        </is>
      </c>
      <c r="C414" s="10" t="inlineStr">
        <is>
          <t>Active</t>
        </is>
      </c>
      <c r="D414" s="10" t="inlineStr">
        <is>
          <t>Other compendial tests (ID, LOD/KF, heavy metals...)</t>
        </is>
      </c>
      <c r="E414" s="10">
        <f>IF(A414="","",A414&amp;"|"&amp;D414)</f>
        <v/>
      </c>
      <c r="F414" s="5" t="inlineStr">
        <is>
          <t>Y</t>
        </is>
      </c>
      <c r="G414" s="5" t="inlineStr">
        <is>
          <t>Other / bench</t>
        </is>
      </c>
      <c r="H414" s="5" t="inlineStr">
        <is>
          <t>Low</t>
        </is>
      </c>
      <c r="I414" s="5" t="n">
        <v>1</v>
      </c>
      <c r="J414" s="5" t="n"/>
      <c r="K414" s="5" t="n"/>
      <c r="L414" s="5" t="n"/>
      <c r="M414" s="5" t="n"/>
      <c r="N414" s="5" t="n"/>
      <c r="O414" s="5" t="n"/>
      <c r="P414" s="14">
        <f>IF(N414="","",IF(OR(M414="",O414=""),N414,(M414+4*N414+O414)/6))</f>
        <v/>
      </c>
      <c r="Q414" s="5" t="n"/>
      <c r="R414" s="5" t="n"/>
      <c r="S414" s="5" t="n"/>
      <c r="T414" s="5" t="n"/>
      <c r="U414" s="5" t="n"/>
      <c r="V414" s="15" t="n"/>
      <c r="W414" s="5" t="inlineStr">
        <is>
          <t>N</t>
        </is>
      </c>
      <c r="X414" s="5" t="n"/>
      <c r="Y414" s="5" t="n"/>
      <c r="Z414" s="5" t="n"/>
      <c r="AA414" s="5" t="n"/>
      <c r="AB414" s="10" t="n"/>
      <c r="AC414" s="10" t="n"/>
      <c r="AD414" s="10" t="inlineStr">
        <is>
          <t>No USP-NF monograph - in-house / supplier spec</t>
        </is>
      </c>
      <c r="AE414" s="10" t="n"/>
      <c r="AF414" s="10" t="n"/>
    </row>
    <row r="415">
      <c r="A415" s="10" t="inlineStr">
        <is>
          <t>Phenylephrine HCl</t>
        </is>
      </c>
      <c r="B415" s="10" t="inlineStr">
        <is>
          <t>RM</t>
        </is>
      </c>
      <c r="C415" s="10" t="inlineStr">
        <is>
          <t>Active</t>
        </is>
      </c>
      <c r="D415" s="10" t="inlineStr">
        <is>
          <t>Appearance / description and solubility</t>
        </is>
      </c>
      <c r="E415" s="10">
        <f>IF(A415="","",A415&amp;"|"&amp;D415)</f>
        <v/>
      </c>
      <c r="F415" s="5" t="inlineStr">
        <is>
          <t>Y</t>
        </is>
      </c>
      <c r="G415" s="5" t="inlineStr">
        <is>
          <t>Other / bench</t>
        </is>
      </c>
      <c r="H415" s="5" t="inlineStr">
        <is>
          <t>Low</t>
        </is>
      </c>
      <c r="I415" s="5" t="n">
        <v>1</v>
      </c>
      <c r="J415" s="5" t="n"/>
      <c r="K415" s="10">
        <f>IFERROR(IF(INDEX('Test catalog'!$F$2:$F$200,MATCH($AB415,'Test catalog'!$A$2:$A$200,0))="","",INDEX('Test catalog'!$F$2:$F$200,MATCH($AB415,'Test catalog'!$A$2:$A$200,0))),"")</f>
        <v/>
      </c>
      <c r="L415" s="10">
        <f>IFERROR(IF(INDEX('Test catalog'!$G$2:$G$200,MATCH($AB415,'Test catalog'!$A$2:$A$200,0))="","",INDEX('Test catalog'!$G$2:$G$200,MATCH($AB415,'Test catalog'!$A$2:$A$200,0))),"")</f>
        <v/>
      </c>
      <c r="M415" s="10">
        <f>IFERROR(IF(INDEX('Test catalog'!$H$2:$H$200,MATCH($AB415,'Test catalog'!$A$2:$A$200,0))="","",INDEX('Test catalog'!$H$2:$H$200,MATCH($AB415,'Test catalog'!$A$2:$A$200,0))),"")</f>
        <v/>
      </c>
      <c r="N415" s="10">
        <f>IFERROR(IF(INDEX('Test catalog'!$I$2:$I$200,MATCH($AB415,'Test catalog'!$A$2:$A$200,0))="","",INDEX('Test catalog'!$I$2:$I$200,MATCH($AB415,'Test catalog'!$A$2:$A$200,0))),"")</f>
        <v/>
      </c>
      <c r="O415" s="10">
        <f>IFERROR(IF(INDEX('Test catalog'!$J$2:$J$200,MATCH($AB415,'Test catalog'!$A$2:$A$200,0))="","",INDEX('Test catalog'!$J$2:$J$200,MATCH($AB415,'Test catalog'!$A$2:$A$200,0))),"")</f>
        <v/>
      </c>
      <c r="P415" s="14">
        <f>IF(N415="","",IF(OR(M415="",O415=""),N415,(M415+4*N415+O415)/6))</f>
        <v/>
      </c>
      <c r="Q415" s="10">
        <f>IFERROR(IF(INDEX('Test catalog'!$K$2:$K$200,MATCH($AB415,'Test catalog'!$A$2:$A$200,0))="","",INDEX('Test catalog'!$K$2:$K$200,MATCH($AB415,'Test catalog'!$A$2:$A$200,0))),"")</f>
        <v/>
      </c>
      <c r="R415" s="5" t="n"/>
      <c r="S415" s="10">
        <f>IFERROR(IF(INDEX('Test catalog'!$L$2:$L$200,MATCH($AB415,'Test catalog'!$A$2:$A$200,0))="","",INDEX('Test catalog'!$L$2:$L$200,MATCH($AB415,'Test catalog'!$A$2:$A$200,0))),"")</f>
        <v/>
      </c>
      <c r="T415" s="10">
        <f>IFERROR(IF(INDEX('Test catalog'!$M$2:$M$200,MATCH($AB415,'Test catalog'!$A$2:$A$200,0))="","",INDEX('Test catalog'!$M$2:$M$200,MATCH($AB415,'Test catalog'!$A$2:$A$200,0))),"")</f>
        <v/>
      </c>
      <c r="U415" s="10">
        <f>IFERROR(IF(INDEX('Test catalog'!$N$2:$N$200,MATCH($AB415,'Test catalog'!$A$2:$A$200,0))="","",INDEX('Test catalog'!$N$2:$N$200,MATCH($AB415,'Test catalog'!$A$2:$A$200,0))),"")</f>
        <v/>
      </c>
      <c r="V415" s="15" t="n"/>
      <c r="W415" s="5" t="inlineStr">
        <is>
          <t>N</t>
        </is>
      </c>
      <c r="X415" s="5" t="n"/>
      <c r="Y415" s="5" t="n"/>
      <c r="Z415" s="5" t="n"/>
      <c r="AA415" s="10">
        <f>IFERROR(IF(INDEX('Test catalog'!$O$2:$O$200,MATCH($AB415,'Test catalog'!$A$2:$A$200,0))="","",INDEX('Test catalog'!$O$2:$O$200,MATCH($AB415,'Test catalog'!$A$2:$A$200,0))),"")</f>
        <v/>
      </c>
      <c r="AB415" s="10" t="inlineStr">
        <is>
          <t>APPEAR</t>
        </is>
      </c>
      <c r="AC415" s="10" t="inlineStr">
        <is>
          <t>Lab practice (not a USP test)</t>
        </is>
      </c>
      <c r="AD415" s="10" t="n"/>
      <c r="AE415" s="10" t="n"/>
    </row>
    <row r="416">
      <c r="A416" s="10" t="inlineStr">
        <is>
          <t>Phenylephrine HCl</t>
        </is>
      </c>
      <c r="B416" s="10" t="inlineStr">
        <is>
          <t>RM</t>
        </is>
      </c>
      <c r="C416" s="10" t="inlineStr">
        <is>
          <t>Active</t>
        </is>
      </c>
      <c r="D416" s="10" t="inlineStr">
        <is>
          <t>ID A - IR spectrum</t>
        </is>
      </c>
      <c r="E416" s="10">
        <f>IF(A416="","",A416&amp;"|"&amp;D416)</f>
        <v/>
      </c>
      <c r="F416" s="5" t="inlineStr">
        <is>
          <t>Y</t>
        </is>
      </c>
      <c r="G416" s="5" t="inlineStr">
        <is>
          <t>Other / bench</t>
        </is>
      </c>
      <c r="H416" s="5" t="inlineStr">
        <is>
          <t>Low</t>
        </is>
      </c>
      <c r="I416" s="5" t="n">
        <v>1</v>
      </c>
      <c r="J416" s="5" t="n"/>
      <c r="K416" s="10">
        <f>IFERROR(IF(INDEX('Test catalog'!$F$2:$F$200,MATCH($AB416,'Test catalog'!$A$2:$A$200,0))="","",INDEX('Test catalog'!$F$2:$F$200,MATCH($AB416,'Test catalog'!$A$2:$A$200,0))),"")</f>
        <v/>
      </c>
      <c r="L416" s="10">
        <f>IFERROR(IF(INDEX('Test catalog'!$G$2:$G$200,MATCH($AB416,'Test catalog'!$A$2:$A$200,0))="","",INDEX('Test catalog'!$G$2:$G$200,MATCH($AB416,'Test catalog'!$A$2:$A$200,0))),"")</f>
        <v/>
      </c>
      <c r="M416" s="10">
        <f>IFERROR(IF(INDEX('Test catalog'!$H$2:$H$200,MATCH($AB416,'Test catalog'!$A$2:$A$200,0))="","",INDEX('Test catalog'!$H$2:$H$200,MATCH($AB416,'Test catalog'!$A$2:$A$200,0))),"")</f>
        <v/>
      </c>
      <c r="N416" s="10">
        <f>IFERROR(IF(INDEX('Test catalog'!$I$2:$I$200,MATCH($AB416,'Test catalog'!$A$2:$A$200,0))="","",INDEX('Test catalog'!$I$2:$I$200,MATCH($AB416,'Test catalog'!$A$2:$A$200,0))),"")</f>
        <v/>
      </c>
      <c r="O416" s="10">
        <f>IFERROR(IF(INDEX('Test catalog'!$J$2:$J$200,MATCH($AB416,'Test catalog'!$A$2:$A$200,0))="","",INDEX('Test catalog'!$J$2:$J$200,MATCH($AB416,'Test catalog'!$A$2:$A$200,0))),"")</f>
        <v/>
      </c>
      <c r="P416" s="14">
        <f>IF(N416="","",IF(OR(M416="",O416=""),N416,(M416+4*N416+O416)/6))</f>
        <v/>
      </c>
      <c r="Q416" s="10">
        <f>IFERROR(IF(INDEX('Test catalog'!$K$2:$K$200,MATCH($AB416,'Test catalog'!$A$2:$A$200,0))="","",INDEX('Test catalog'!$K$2:$K$200,MATCH($AB416,'Test catalog'!$A$2:$A$200,0))),"")</f>
        <v/>
      </c>
      <c r="R416" s="5" t="n"/>
      <c r="S416" s="10">
        <f>IFERROR(IF(INDEX('Test catalog'!$L$2:$L$200,MATCH($AB416,'Test catalog'!$A$2:$A$200,0))="","",INDEX('Test catalog'!$L$2:$L$200,MATCH($AB416,'Test catalog'!$A$2:$A$200,0))),"")</f>
        <v/>
      </c>
      <c r="T416" s="10">
        <f>IFERROR(IF(INDEX('Test catalog'!$M$2:$M$200,MATCH($AB416,'Test catalog'!$A$2:$A$200,0))="","",INDEX('Test catalog'!$M$2:$M$200,MATCH($AB416,'Test catalog'!$A$2:$A$200,0))),"")</f>
        <v/>
      </c>
      <c r="U416" s="10">
        <f>IFERROR(IF(INDEX('Test catalog'!$N$2:$N$200,MATCH($AB416,'Test catalog'!$A$2:$A$200,0))="","",INDEX('Test catalog'!$N$2:$N$200,MATCH($AB416,'Test catalog'!$A$2:$A$200,0))),"")</f>
        <v/>
      </c>
      <c r="V416" s="15" t="n"/>
      <c r="W416" s="5" t="inlineStr">
        <is>
          <t>N</t>
        </is>
      </c>
      <c r="X416" s="5" t="n"/>
      <c r="Y416" s="5" t="n"/>
      <c r="Z416" s="5" t="n"/>
      <c r="AA416" s="10">
        <f>IFERROR(IF(INDEX('Test catalog'!$O$2:$O$200,MATCH($AB416,'Test catalog'!$A$2:$A$200,0))="","",INDEX('Test catalog'!$O$2:$O$200,MATCH($AB416,'Test catalog'!$A$2:$A$200,0))),"")</f>
        <v/>
      </c>
      <c r="AB416" s="10" t="inlineStr">
        <is>
          <t>ID_IR</t>
        </is>
      </c>
      <c r="AC416" s="10" t="inlineStr">
        <is>
          <t>Phenylephrine Hydrochloride · Identification &lt;197&gt;</t>
        </is>
      </c>
      <c r="AD416" s="10" t="n"/>
      <c r="AE416" s="10" t="n"/>
    </row>
    <row r="417">
      <c r="A417" s="10" t="inlineStr">
        <is>
          <t>Phenylephrine HCl</t>
        </is>
      </c>
      <c r="B417" s="10" t="inlineStr">
        <is>
          <t>RM</t>
        </is>
      </c>
      <c r="C417" s="10" t="inlineStr">
        <is>
          <t>Active</t>
        </is>
      </c>
      <c r="D417" s="10" t="inlineStr">
        <is>
          <t>ID B - chemical reaction</t>
        </is>
      </c>
      <c r="E417" s="10">
        <f>IF(A417="","",A417&amp;"|"&amp;D417)</f>
        <v/>
      </c>
      <c r="F417" s="5" t="inlineStr">
        <is>
          <t>Y</t>
        </is>
      </c>
      <c r="G417" s="5" t="inlineStr">
        <is>
          <t>Other / bench</t>
        </is>
      </c>
      <c r="H417" s="5" t="inlineStr">
        <is>
          <t>Low</t>
        </is>
      </c>
      <c r="I417" s="5" t="n">
        <v>1</v>
      </c>
      <c r="J417" s="5" t="n"/>
      <c r="K417" s="10">
        <f>IFERROR(IF(INDEX('Test catalog'!$F$2:$F$200,MATCH($AB417,'Test catalog'!$A$2:$A$200,0))="","",INDEX('Test catalog'!$F$2:$F$200,MATCH($AB417,'Test catalog'!$A$2:$A$200,0))),"")</f>
        <v/>
      </c>
      <c r="L417" s="10">
        <f>IFERROR(IF(INDEX('Test catalog'!$G$2:$G$200,MATCH($AB417,'Test catalog'!$A$2:$A$200,0))="","",INDEX('Test catalog'!$G$2:$G$200,MATCH($AB417,'Test catalog'!$A$2:$A$200,0))),"")</f>
        <v/>
      </c>
      <c r="M417" s="10">
        <f>IFERROR(IF(INDEX('Test catalog'!$H$2:$H$200,MATCH($AB417,'Test catalog'!$A$2:$A$200,0))="","",INDEX('Test catalog'!$H$2:$H$200,MATCH($AB417,'Test catalog'!$A$2:$A$200,0))),"")</f>
        <v/>
      </c>
      <c r="N417" s="10">
        <f>IFERROR(IF(INDEX('Test catalog'!$I$2:$I$200,MATCH($AB417,'Test catalog'!$A$2:$A$200,0))="","",INDEX('Test catalog'!$I$2:$I$200,MATCH($AB417,'Test catalog'!$A$2:$A$200,0))),"")</f>
        <v/>
      </c>
      <c r="O417" s="10">
        <f>IFERROR(IF(INDEX('Test catalog'!$J$2:$J$200,MATCH($AB417,'Test catalog'!$A$2:$A$200,0))="","",INDEX('Test catalog'!$J$2:$J$200,MATCH($AB417,'Test catalog'!$A$2:$A$200,0))),"")</f>
        <v/>
      </c>
      <c r="P417" s="14">
        <f>IF(N417="","",IF(OR(M417="",O417=""),N417,(M417+4*N417+O417)/6))</f>
        <v/>
      </c>
      <c r="Q417" s="10">
        <f>IFERROR(IF(INDEX('Test catalog'!$K$2:$K$200,MATCH($AB417,'Test catalog'!$A$2:$A$200,0))="","",INDEX('Test catalog'!$K$2:$K$200,MATCH($AB417,'Test catalog'!$A$2:$A$200,0))),"")</f>
        <v/>
      </c>
      <c r="R417" s="5" t="n"/>
      <c r="S417" s="10">
        <f>IFERROR(IF(INDEX('Test catalog'!$L$2:$L$200,MATCH($AB417,'Test catalog'!$A$2:$A$200,0))="","",INDEX('Test catalog'!$L$2:$L$200,MATCH($AB417,'Test catalog'!$A$2:$A$200,0))),"")</f>
        <v/>
      </c>
      <c r="T417" s="10">
        <f>IFERROR(IF(INDEX('Test catalog'!$M$2:$M$200,MATCH($AB417,'Test catalog'!$A$2:$A$200,0))="","",INDEX('Test catalog'!$M$2:$M$200,MATCH($AB417,'Test catalog'!$A$2:$A$200,0))),"")</f>
        <v/>
      </c>
      <c r="U417" s="10">
        <f>IFERROR(IF(INDEX('Test catalog'!$N$2:$N$200,MATCH($AB417,'Test catalog'!$A$2:$A$200,0))="","",INDEX('Test catalog'!$N$2:$N$200,MATCH($AB417,'Test catalog'!$A$2:$A$200,0))),"")</f>
        <v/>
      </c>
      <c r="V417" s="15" t="n"/>
      <c r="W417" s="5" t="inlineStr">
        <is>
          <t>N</t>
        </is>
      </c>
      <c r="X417" s="5" t="n"/>
      <c r="Y417" s="5" t="n"/>
      <c r="Z417" s="5" t="n"/>
      <c r="AA417" s="10">
        <f>IFERROR(IF(INDEX('Test catalog'!$O$2:$O$200,MATCH($AB417,'Test catalog'!$A$2:$A$200,0))="","",INDEX('Test catalog'!$O$2:$O$200,MATCH($AB417,'Test catalog'!$A$2:$A$200,0))),"")</f>
        <v/>
      </c>
      <c r="AB417" s="10" t="inlineStr">
        <is>
          <t>ID_CHEM</t>
        </is>
      </c>
      <c r="AC417" s="10" t="inlineStr">
        <is>
          <t>Phenylephrine Hydrochloride · Identification &lt;191&gt;</t>
        </is>
      </c>
      <c r="AD417" s="10" t="n"/>
      <c r="AE417" s="10" t="n"/>
    </row>
    <row r="418">
      <c r="A418" s="10" t="inlineStr">
        <is>
          <t>Phenylephrine HCl</t>
        </is>
      </c>
      <c r="B418" s="10" t="inlineStr">
        <is>
          <t>RM</t>
        </is>
      </c>
      <c r="C418" s="10" t="inlineStr">
        <is>
          <t>Active</t>
        </is>
      </c>
      <c r="D418" s="10" t="inlineStr">
        <is>
          <t>Assay (HPLC)</t>
        </is>
      </c>
      <c r="E418" s="10">
        <f>IF(A418="","",A418&amp;"|"&amp;D418)</f>
        <v/>
      </c>
      <c r="F418" s="5" t="inlineStr">
        <is>
          <t>Y</t>
        </is>
      </c>
      <c r="G418" s="5" t="inlineStr">
        <is>
          <t>HPLC</t>
        </is>
      </c>
      <c r="H418" s="5" t="inlineStr">
        <is>
          <t>Medium</t>
        </is>
      </c>
      <c r="I418" s="5" t="n">
        <v>1</v>
      </c>
      <c r="J418" s="5" t="n"/>
      <c r="K418" s="5" t="n"/>
      <c r="L418" s="5" t="n"/>
      <c r="M418" s="5" t="n"/>
      <c r="N418" s="5" t="n"/>
      <c r="O418" s="5" t="n"/>
      <c r="P418" s="14">
        <f>IF(N418="","",IF(OR(M418="",O418=""),N418,(M418+4*N418+O418)/6))</f>
        <v/>
      </c>
      <c r="Q418" s="5" t="n"/>
      <c r="R418" s="5" t="n"/>
      <c r="S418" s="5" t="n"/>
      <c r="T418" s="5" t="n"/>
      <c r="U418" s="5" t="n"/>
      <c r="V418" s="15" t="n"/>
      <c r="W418" s="5" t="inlineStr">
        <is>
          <t>N</t>
        </is>
      </c>
      <c r="X418" s="5" t="n"/>
      <c r="Y418" s="5" t="n"/>
      <c r="Z418" s="5" t="n"/>
      <c r="AA418" s="5" t="n"/>
      <c r="AB418" s="10" t="n"/>
      <c r="AC418" s="10" t="inlineStr">
        <is>
          <t>Phenylephrine Hydrochloride · Assay</t>
        </is>
      </c>
      <c r="AD418" s="10" t="n"/>
      <c r="AE418" s="10" t="n"/>
    </row>
    <row r="419">
      <c r="A419" s="10" t="inlineStr">
        <is>
          <t>Phenylephrine HCl</t>
        </is>
      </c>
      <c r="B419" s="10" t="inlineStr">
        <is>
          <t>RM</t>
        </is>
      </c>
      <c r="C419" s="10" t="inlineStr">
        <is>
          <t>Active</t>
        </is>
      </c>
      <c r="D419" s="10" t="inlineStr">
        <is>
          <t>Residue on Ignition</t>
        </is>
      </c>
      <c r="E419" s="10">
        <f>IF(A419="","",A419&amp;"|"&amp;D419)</f>
        <v/>
      </c>
      <c r="F419" s="5" t="inlineStr">
        <is>
          <t>Y</t>
        </is>
      </c>
      <c r="G419" s="5" t="inlineStr">
        <is>
          <t>Other / bench</t>
        </is>
      </c>
      <c r="H419" s="5" t="inlineStr">
        <is>
          <t>Low</t>
        </is>
      </c>
      <c r="I419" s="5" t="n">
        <v>1</v>
      </c>
      <c r="J419" s="5" t="n"/>
      <c r="K419" s="10">
        <f>IFERROR(IF(INDEX('Test catalog'!$F$2:$F$200,MATCH($AB419,'Test catalog'!$A$2:$A$200,0))="","",INDEX('Test catalog'!$F$2:$F$200,MATCH($AB419,'Test catalog'!$A$2:$A$200,0))),"")</f>
        <v/>
      </c>
      <c r="L419" s="10">
        <f>IFERROR(IF(INDEX('Test catalog'!$G$2:$G$200,MATCH($AB419,'Test catalog'!$A$2:$A$200,0))="","",INDEX('Test catalog'!$G$2:$G$200,MATCH($AB419,'Test catalog'!$A$2:$A$200,0))),"")</f>
        <v/>
      </c>
      <c r="M419" s="10">
        <f>IFERROR(IF(INDEX('Test catalog'!$H$2:$H$200,MATCH($AB419,'Test catalog'!$A$2:$A$200,0))="","",INDEX('Test catalog'!$H$2:$H$200,MATCH($AB419,'Test catalog'!$A$2:$A$200,0))),"")</f>
        <v/>
      </c>
      <c r="N419" s="10">
        <f>IFERROR(IF(INDEX('Test catalog'!$I$2:$I$200,MATCH($AB419,'Test catalog'!$A$2:$A$200,0))="","",INDEX('Test catalog'!$I$2:$I$200,MATCH($AB419,'Test catalog'!$A$2:$A$200,0))),"")</f>
        <v/>
      </c>
      <c r="O419" s="10">
        <f>IFERROR(IF(INDEX('Test catalog'!$J$2:$J$200,MATCH($AB419,'Test catalog'!$A$2:$A$200,0))="","",INDEX('Test catalog'!$J$2:$J$200,MATCH($AB419,'Test catalog'!$A$2:$A$200,0))),"")</f>
        <v/>
      </c>
      <c r="P419" s="14">
        <f>IF(N419="","",IF(OR(M419="",O419=""),N419,(M419+4*N419+O419)/6))</f>
        <v/>
      </c>
      <c r="Q419" s="10">
        <f>IFERROR(IF(INDEX('Test catalog'!$K$2:$K$200,MATCH($AB419,'Test catalog'!$A$2:$A$200,0))="","",INDEX('Test catalog'!$K$2:$K$200,MATCH($AB419,'Test catalog'!$A$2:$A$200,0))),"")</f>
        <v/>
      </c>
      <c r="R419" s="5" t="n"/>
      <c r="S419" s="10">
        <f>IFERROR(IF(INDEX('Test catalog'!$L$2:$L$200,MATCH($AB419,'Test catalog'!$A$2:$A$200,0))="","",INDEX('Test catalog'!$L$2:$L$200,MATCH($AB419,'Test catalog'!$A$2:$A$200,0))),"")</f>
        <v/>
      </c>
      <c r="T419" s="10">
        <f>IFERROR(IF(INDEX('Test catalog'!$M$2:$M$200,MATCH($AB419,'Test catalog'!$A$2:$A$200,0))="","",INDEX('Test catalog'!$M$2:$M$200,MATCH($AB419,'Test catalog'!$A$2:$A$200,0))),"")</f>
        <v/>
      </c>
      <c r="U419" s="10">
        <f>IFERROR(IF(INDEX('Test catalog'!$N$2:$N$200,MATCH($AB419,'Test catalog'!$A$2:$A$200,0))="","",INDEX('Test catalog'!$N$2:$N$200,MATCH($AB419,'Test catalog'!$A$2:$A$200,0))),"")</f>
        <v/>
      </c>
      <c r="V419" s="15" t="n"/>
      <c r="W419" s="5" t="inlineStr">
        <is>
          <t>N</t>
        </is>
      </c>
      <c r="X419" s="5" t="n"/>
      <c r="Y419" s="5" t="n"/>
      <c r="Z419" s="5" t="n"/>
      <c r="AA419" s="10">
        <f>IFERROR(IF(INDEX('Test catalog'!$O$2:$O$200,MATCH($AB419,'Test catalog'!$A$2:$A$200,0))="","",INDEX('Test catalog'!$O$2:$O$200,MATCH($AB419,'Test catalog'!$A$2:$A$200,0))),"")</f>
        <v/>
      </c>
      <c r="AB419" s="10" t="inlineStr">
        <is>
          <t>ROI</t>
        </is>
      </c>
      <c r="AC419" s="10" t="inlineStr">
        <is>
          <t>Phenylephrine Hydrochloride · Impurities &lt;281&gt;</t>
        </is>
      </c>
      <c r="AD419" s="10" t="n"/>
      <c r="AE419" s="10" t="n"/>
    </row>
    <row r="420">
      <c r="A420" s="10" t="inlineStr">
        <is>
          <t>Phenylephrine HCl</t>
        </is>
      </c>
      <c r="B420" s="10" t="inlineStr">
        <is>
          <t>RM</t>
        </is>
      </c>
      <c r="C420" s="10" t="inlineStr">
        <is>
          <t>Active</t>
        </is>
      </c>
      <c r="D420" s="10" t="inlineStr">
        <is>
          <t>Organic Impurities (HPLC)</t>
        </is>
      </c>
      <c r="E420" s="10">
        <f>IF(A420="","",A420&amp;"|"&amp;D420)</f>
        <v/>
      </c>
      <c r="F420" s="5" t="inlineStr">
        <is>
          <t>Y</t>
        </is>
      </c>
      <c r="G420" s="5" t="inlineStr">
        <is>
          <t>HPLC</t>
        </is>
      </c>
      <c r="H420" s="5" t="inlineStr">
        <is>
          <t>Medium</t>
        </is>
      </c>
      <c r="I420" s="5" t="n">
        <v>1</v>
      </c>
      <c r="J420" s="5" t="n"/>
      <c r="K420" s="5" t="n"/>
      <c r="L420" s="5" t="n"/>
      <c r="M420" s="5" t="n"/>
      <c r="N420" s="5" t="n"/>
      <c r="O420" s="5" t="n"/>
      <c r="P420" s="14">
        <f>IF(N420="","",IF(OR(M420="",O420=""),N420,(M420+4*N420+O420)/6))</f>
        <v/>
      </c>
      <c r="Q420" s="5" t="n"/>
      <c r="R420" s="5" t="n"/>
      <c r="S420" s="5" t="n"/>
      <c r="T420" s="5" t="n"/>
      <c r="U420" s="5" t="n"/>
      <c r="V420" s="15" t="n"/>
      <c r="W420" s="5" t="inlineStr">
        <is>
          <t>N</t>
        </is>
      </c>
      <c r="X420" s="5" t="n"/>
      <c r="Y420" s="5" t="n"/>
      <c r="Z420" s="5" t="n"/>
      <c r="AA420" s="5" t="n"/>
      <c r="AB420" s="10" t="n"/>
      <c r="AC420" s="10" t="inlineStr">
        <is>
          <t>Phenylephrine Hydrochloride · Impurities</t>
        </is>
      </c>
      <c r="AD420" s="10" t="n"/>
      <c r="AE420" s="10" t="n"/>
    </row>
    <row r="421">
      <c r="A421" s="10" t="inlineStr">
        <is>
          <t>Phenylephrine HCl</t>
        </is>
      </c>
      <c r="B421" s="10" t="inlineStr">
        <is>
          <t>RM</t>
        </is>
      </c>
      <c r="C421" s="10" t="inlineStr">
        <is>
          <t>Active</t>
        </is>
      </c>
      <c r="D421" s="10" t="inlineStr">
        <is>
          <t>Optical Rotation, Specific Rotation</t>
        </is>
      </c>
      <c r="E421" s="10">
        <f>IF(A421="","",A421&amp;"|"&amp;D421)</f>
        <v/>
      </c>
      <c r="F421" s="5" t="inlineStr">
        <is>
          <t>Y</t>
        </is>
      </c>
      <c r="G421" s="5" t="inlineStr">
        <is>
          <t>Other / bench</t>
        </is>
      </c>
      <c r="H421" s="5" t="inlineStr">
        <is>
          <t>Low</t>
        </is>
      </c>
      <c r="I421" s="5" t="n">
        <v>1</v>
      </c>
      <c r="J421" s="5" t="n"/>
      <c r="K421" s="10">
        <f>IFERROR(IF(INDEX('Test catalog'!$F$2:$F$200,MATCH($AB421,'Test catalog'!$A$2:$A$200,0))="","",INDEX('Test catalog'!$F$2:$F$200,MATCH($AB421,'Test catalog'!$A$2:$A$200,0))),"")</f>
        <v/>
      </c>
      <c r="L421" s="10">
        <f>IFERROR(IF(INDEX('Test catalog'!$G$2:$G$200,MATCH($AB421,'Test catalog'!$A$2:$A$200,0))="","",INDEX('Test catalog'!$G$2:$G$200,MATCH($AB421,'Test catalog'!$A$2:$A$200,0))),"")</f>
        <v/>
      </c>
      <c r="M421" s="10">
        <f>IFERROR(IF(INDEX('Test catalog'!$H$2:$H$200,MATCH($AB421,'Test catalog'!$A$2:$A$200,0))="","",INDEX('Test catalog'!$H$2:$H$200,MATCH($AB421,'Test catalog'!$A$2:$A$200,0))),"")</f>
        <v/>
      </c>
      <c r="N421" s="10">
        <f>IFERROR(IF(INDEX('Test catalog'!$I$2:$I$200,MATCH($AB421,'Test catalog'!$A$2:$A$200,0))="","",INDEX('Test catalog'!$I$2:$I$200,MATCH($AB421,'Test catalog'!$A$2:$A$200,0))),"")</f>
        <v/>
      </c>
      <c r="O421" s="10">
        <f>IFERROR(IF(INDEX('Test catalog'!$J$2:$J$200,MATCH($AB421,'Test catalog'!$A$2:$A$200,0))="","",INDEX('Test catalog'!$J$2:$J$200,MATCH($AB421,'Test catalog'!$A$2:$A$200,0))),"")</f>
        <v/>
      </c>
      <c r="P421" s="14">
        <f>IF(N421="","",IF(OR(M421="",O421=""),N421,(M421+4*N421+O421)/6))</f>
        <v/>
      </c>
      <c r="Q421" s="10">
        <f>IFERROR(IF(INDEX('Test catalog'!$K$2:$K$200,MATCH($AB421,'Test catalog'!$A$2:$A$200,0))="","",INDEX('Test catalog'!$K$2:$K$200,MATCH($AB421,'Test catalog'!$A$2:$A$200,0))),"")</f>
        <v/>
      </c>
      <c r="R421" s="5" t="n"/>
      <c r="S421" s="10">
        <f>IFERROR(IF(INDEX('Test catalog'!$L$2:$L$200,MATCH($AB421,'Test catalog'!$A$2:$A$200,0))="","",INDEX('Test catalog'!$L$2:$L$200,MATCH($AB421,'Test catalog'!$A$2:$A$200,0))),"")</f>
        <v/>
      </c>
      <c r="T421" s="10">
        <f>IFERROR(IF(INDEX('Test catalog'!$M$2:$M$200,MATCH($AB421,'Test catalog'!$A$2:$A$200,0))="","",INDEX('Test catalog'!$M$2:$M$200,MATCH($AB421,'Test catalog'!$A$2:$A$200,0))),"")</f>
        <v/>
      </c>
      <c r="U421" s="10">
        <f>IFERROR(IF(INDEX('Test catalog'!$N$2:$N$200,MATCH($AB421,'Test catalog'!$A$2:$A$200,0))="","",INDEX('Test catalog'!$N$2:$N$200,MATCH($AB421,'Test catalog'!$A$2:$A$200,0))),"")</f>
        <v/>
      </c>
      <c r="V421" s="15" t="n"/>
      <c r="W421" s="5" t="inlineStr">
        <is>
          <t>N</t>
        </is>
      </c>
      <c r="X421" s="5" t="n"/>
      <c r="Y421" s="5" t="n"/>
      <c r="Z421" s="5" t="n"/>
      <c r="AA421" s="10">
        <f>IFERROR(IF(INDEX('Test catalog'!$O$2:$O$200,MATCH($AB421,'Test catalog'!$A$2:$A$200,0))="","",INDEX('Test catalog'!$O$2:$O$200,MATCH($AB421,'Test catalog'!$A$2:$A$200,0))),"")</f>
        <v/>
      </c>
      <c r="AB421" s="10" t="inlineStr">
        <is>
          <t>OR</t>
        </is>
      </c>
      <c r="AC421" s="10" t="inlineStr">
        <is>
          <t>Phenylephrine Hydrochloride · Specific Tests &lt;781&gt;</t>
        </is>
      </c>
      <c r="AD421" s="10" t="n"/>
      <c r="AE421" s="10" t="n"/>
    </row>
    <row r="422">
      <c r="A422" s="10" t="inlineStr">
        <is>
          <t>Phenylephrine HCl</t>
        </is>
      </c>
      <c r="B422" s="10" t="inlineStr">
        <is>
          <t>RM</t>
        </is>
      </c>
      <c r="C422" s="10" t="inlineStr">
        <is>
          <t>Active</t>
        </is>
      </c>
      <c r="D422" s="10" t="inlineStr">
        <is>
          <t>Loss on Drying</t>
        </is>
      </c>
      <c r="E422" s="10">
        <f>IF(A422="","",A422&amp;"|"&amp;D422)</f>
        <v/>
      </c>
      <c r="F422" s="5" t="inlineStr">
        <is>
          <t>Y</t>
        </is>
      </c>
      <c r="G422" s="5" t="inlineStr">
        <is>
          <t>Other / bench</t>
        </is>
      </c>
      <c r="H422" s="5" t="inlineStr">
        <is>
          <t>Low</t>
        </is>
      </c>
      <c r="I422" s="5" t="n">
        <v>1</v>
      </c>
      <c r="J422" s="5" t="n"/>
      <c r="K422" s="10">
        <f>IFERROR(IF(INDEX('Test catalog'!$F$2:$F$200,MATCH($AB422,'Test catalog'!$A$2:$A$200,0))="","",INDEX('Test catalog'!$F$2:$F$200,MATCH($AB422,'Test catalog'!$A$2:$A$200,0))),"")</f>
        <v/>
      </c>
      <c r="L422" s="10">
        <f>IFERROR(IF(INDEX('Test catalog'!$G$2:$G$200,MATCH($AB422,'Test catalog'!$A$2:$A$200,0))="","",INDEX('Test catalog'!$G$2:$G$200,MATCH($AB422,'Test catalog'!$A$2:$A$200,0))),"")</f>
        <v/>
      </c>
      <c r="M422" s="10">
        <f>IFERROR(IF(INDEX('Test catalog'!$H$2:$H$200,MATCH($AB422,'Test catalog'!$A$2:$A$200,0))="","",INDEX('Test catalog'!$H$2:$H$200,MATCH($AB422,'Test catalog'!$A$2:$A$200,0))),"")</f>
        <v/>
      </c>
      <c r="N422" s="10">
        <f>IFERROR(IF(INDEX('Test catalog'!$I$2:$I$200,MATCH($AB422,'Test catalog'!$A$2:$A$200,0))="","",INDEX('Test catalog'!$I$2:$I$200,MATCH($AB422,'Test catalog'!$A$2:$A$200,0))),"")</f>
        <v/>
      </c>
      <c r="O422" s="10">
        <f>IFERROR(IF(INDEX('Test catalog'!$J$2:$J$200,MATCH($AB422,'Test catalog'!$A$2:$A$200,0))="","",INDEX('Test catalog'!$J$2:$J$200,MATCH($AB422,'Test catalog'!$A$2:$A$200,0))),"")</f>
        <v/>
      </c>
      <c r="P422" s="14">
        <f>IF(N422="","",IF(OR(M422="",O422=""),N422,(M422+4*N422+O422)/6))</f>
        <v/>
      </c>
      <c r="Q422" s="10">
        <f>IFERROR(IF(INDEX('Test catalog'!$K$2:$K$200,MATCH($AB422,'Test catalog'!$A$2:$A$200,0))="","",INDEX('Test catalog'!$K$2:$K$200,MATCH($AB422,'Test catalog'!$A$2:$A$200,0))),"")</f>
        <v/>
      </c>
      <c r="R422" s="5" t="n"/>
      <c r="S422" s="10">
        <f>IFERROR(IF(INDEX('Test catalog'!$L$2:$L$200,MATCH($AB422,'Test catalog'!$A$2:$A$200,0))="","",INDEX('Test catalog'!$L$2:$L$200,MATCH($AB422,'Test catalog'!$A$2:$A$200,0))),"")</f>
        <v/>
      </c>
      <c r="T422" s="10">
        <f>IFERROR(IF(INDEX('Test catalog'!$M$2:$M$200,MATCH($AB422,'Test catalog'!$A$2:$A$200,0))="","",INDEX('Test catalog'!$M$2:$M$200,MATCH($AB422,'Test catalog'!$A$2:$A$200,0))),"")</f>
        <v/>
      </c>
      <c r="U422" s="10">
        <f>IFERROR(IF(INDEX('Test catalog'!$N$2:$N$200,MATCH($AB422,'Test catalog'!$A$2:$A$200,0))="","",INDEX('Test catalog'!$N$2:$N$200,MATCH($AB422,'Test catalog'!$A$2:$A$200,0))),"")</f>
        <v/>
      </c>
      <c r="V422" s="15" t="n"/>
      <c r="W422" s="5" t="inlineStr">
        <is>
          <t>N</t>
        </is>
      </c>
      <c r="X422" s="5" t="n"/>
      <c r="Y422" s="5" t="n"/>
      <c r="Z422" s="5" t="n"/>
      <c r="AA422" s="10">
        <f>IFERROR(IF(INDEX('Test catalog'!$O$2:$O$200,MATCH($AB422,'Test catalog'!$A$2:$A$200,0))="","",INDEX('Test catalog'!$O$2:$O$200,MATCH($AB422,'Test catalog'!$A$2:$A$200,0))),"")</f>
        <v/>
      </c>
      <c r="AB422" s="10" t="inlineStr">
        <is>
          <t>LOD</t>
        </is>
      </c>
      <c r="AC422" s="10" t="inlineStr">
        <is>
          <t>Phenylephrine Hydrochloride · Specific Tests &lt;731&gt;</t>
        </is>
      </c>
      <c r="AD422" s="10" t="n"/>
      <c r="AE422" s="10" t="n"/>
    </row>
    <row r="423">
      <c r="A423" s="10" t="inlineStr">
        <is>
          <t>Potassium Iodide</t>
        </is>
      </c>
      <c r="B423" s="10" t="inlineStr">
        <is>
          <t>RM</t>
        </is>
      </c>
      <c r="C423" s="10" t="inlineStr">
        <is>
          <t>Active</t>
        </is>
      </c>
      <c r="D423" s="10" t="inlineStr">
        <is>
          <t>Appearance / description and solubility</t>
        </is>
      </c>
      <c r="E423" s="10">
        <f>IF(A423="","",A423&amp;"|"&amp;D423)</f>
        <v/>
      </c>
      <c r="F423" s="5" t="inlineStr">
        <is>
          <t>Y</t>
        </is>
      </c>
      <c r="G423" s="5" t="inlineStr">
        <is>
          <t>Other / bench</t>
        </is>
      </c>
      <c r="H423" s="5" t="inlineStr">
        <is>
          <t>Low</t>
        </is>
      </c>
      <c r="I423" s="5" t="n">
        <v>1</v>
      </c>
      <c r="J423" s="5" t="n"/>
      <c r="K423" s="10">
        <f>IFERROR(IF(INDEX('Test catalog'!$F$2:$F$200,MATCH($AB423,'Test catalog'!$A$2:$A$200,0))="","",INDEX('Test catalog'!$F$2:$F$200,MATCH($AB423,'Test catalog'!$A$2:$A$200,0))),"")</f>
        <v/>
      </c>
      <c r="L423" s="10">
        <f>IFERROR(IF(INDEX('Test catalog'!$G$2:$G$200,MATCH($AB423,'Test catalog'!$A$2:$A$200,0))="","",INDEX('Test catalog'!$G$2:$G$200,MATCH($AB423,'Test catalog'!$A$2:$A$200,0))),"")</f>
        <v/>
      </c>
      <c r="M423" s="10">
        <f>IFERROR(IF(INDEX('Test catalog'!$H$2:$H$200,MATCH($AB423,'Test catalog'!$A$2:$A$200,0))="","",INDEX('Test catalog'!$H$2:$H$200,MATCH($AB423,'Test catalog'!$A$2:$A$200,0))),"")</f>
        <v/>
      </c>
      <c r="N423" s="10">
        <f>IFERROR(IF(INDEX('Test catalog'!$I$2:$I$200,MATCH($AB423,'Test catalog'!$A$2:$A$200,0))="","",INDEX('Test catalog'!$I$2:$I$200,MATCH($AB423,'Test catalog'!$A$2:$A$200,0))),"")</f>
        <v/>
      </c>
      <c r="O423" s="10">
        <f>IFERROR(IF(INDEX('Test catalog'!$J$2:$J$200,MATCH($AB423,'Test catalog'!$A$2:$A$200,0))="","",INDEX('Test catalog'!$J$2:$J$200,MATCH($AB423,'Test catalog'!$A$2:$A$200,0))),"")</f>
        <v/>
      </c>
      <c r="P423" s="14">
        <f>IF(N423="","",IF(OR(M423="",O423=""),N423,(M423+4*N423+O423)/6))</f>
        <v/>
      </c>
      <c r="Q423" s="10">
        <f>IFERROR(IF(INDEX('Test catalog'!$K$2:$K$200,MATCH($AB423,'Test catalog'!$A$2:$A$200,0))="","",INDEX('Test catalog'!$K$2:$K$200,MATCH($AB423,'Test catalog'!$A$2:$A$200,0))),"")</f>
        <v/>
      </c>
      <c r="R423" s="5" t="n"/>
      <c r="S423" s="10">
        <f>IFERROR(IF(INDEX('Test catalog'!$L$2:$L$200,MATCH($AB423,'Test catalog'!$A$2:$A$200,0))="","",INDEX('Test catalog'!$L$2:$L$200,MATCH($AB423,'Test catalog'!$A$2:$A$200,0))),"")</f>
        <v/>
      </c>
      <c r="T423" s="10">
        <f>IFERROR(IF(INDEX('Test catalog'!$M$2:$M$200,MATCH($AB423,'Test catalog'!$A$2:$A$200,0))="","",INDEX('Test catalog'!$M$2:$M$200,MATCH($AB423,'Test catalog'!$A$2:$A$200,0))),"")</f>
        <v/>
      </c>
      <c r="U423" s="10">
        <f>IFERROR(IF(INDEX('Test catalog'!$N$2:$N$200,MATCH($AB423,'Test catalog'!$A$2:$A$200,0))="","",INDEX('Test catalog'!$N$2:$N$200,MATCH($AB423,'Test catalog'!$A$2:$A$200,0))),"")</f>
        <v/>
      </c>
      <c r="V423" s="15" t="n"/>
      <c r="W423" s="5" t="inlineStr">
        <is>
          <t>N</t>
        </is>
      </c>
      <c r="X423" s="5" t="n"/>
      <c r="Y423" s="5" t="n"/>
      <c r="Z423" s="5" t="n"/>
      <c r="AA423" s="10">
        <f>IFERROR(IF(INDEX('Test catalog'!$O$2:$O$200,MATCH($AB423,'Test catalog'!$A$2:$A$200,0))="","",INDEX('Test catalog'!$O$2:$O$200,MATCH($AB423,'Test catalog'!$A$2:$A$200,0))),"")</f>
        <v/>
      </c>
      <c r="AB423" s="10" t="inlineStr">
        <is>
          <t>APPEAR</t>
        </is>
      </c>
      <c r="AC423" s="10" t="inlineStr">
        <is>
          <t>Lab practice (not a USP test)</t>
        </is>
      </c>
      <c r="AD423" s="10" t="n"/>
      <c r="AE423" s="10" t="n"/>
    </row>
    <row r="424">
      <c r="A424" s="10" t="inlineStr">
        <is>
          <t>Potassium Iodide</t>
        </is>
      </c>
      <c r="B424" s="10" t="inlineStr">
        <is>
          <t>RM</t>
        </is>
      </c>
      <c r="C424" s="10" t="inlineStr">
        <is>
          <t>Active</t>
        </is>
      </c>
      <c r="D424" s="10" t="inlineStr">
        <is>
          <t>ID A - chemical reaction</t>
        </is>
      </c>
      <c r="E424" s="10">
        <f>IF(A424="","",A424&amp;"|"&amp;D424)</f>
        <v/>
      </c>
      <c r="F424" s="5" t="inlineStr">
        <is>
          <t>Y</t>
        </is>
      </c>
      <c r="G424" s="5" t="inlineStr">
        <is>
          <t>Other / bench</t>
        </is>
      </c>
      <c r="H424" s="5" t="inlineStr">
        <is>
          <t>Low</t>
        </is>
      </c>
      <c r="I424" s="5" t="n">
        <v>1</v>
      </c>
      <c r="J424" s="5" t="n"/>
      <c r="K424" s="10">
        <f>IFERROR(IF(INDEX('Test catalog'!$F$2:$F$200,MATCH($AB424,'Test catalog'!$A$2:$A$200,0))="","",INDEX('Test catalog'!$F$2:$F$200,MATCH($AB424,'Test catalog'!$A$2:$A$200,0))),"")</f>
        <v/>
      </c>
      <c r="L424" s="10">
        <f>IFERROR(IF(INDEX('Test catalog'!$G$2:$G$200,MATCH($AB424,'Test catalog'!$A$2:$A$200,0))="","",INDEX('Test catalog'!$G$2:$G$200,MATCH($AB424,'Test catalog'!$A$2:$A$200,0))),"")</f>
        <v/>
      </c>
      <c r="M424" s="10">
        <f>IFERROR(IF(INDEX('Test catalog'!$H$2:$H$200,MATCH($AB424,'Test catalog'!$A$2:$A$200,0))="","",INDEX('Test catalog'!$H$2:$H$200,MATCH($AB424,'Test catalog'!$A$2:$A$200,0))),"")</f>
        <v/>
      </c>
      <c r="N424" s="10">
        <f>IFERROR(IF(INDEX('Test catalog'!$I$2:$I$200,MATCH($AB424,'Test catalog'!$A$2:$A$200,0))="","",INDEX('Test catalog'!$I$2:$I$200,MATCH($AB424,'Test catalog'!$A$2:$A$200,0))),"")</f>
        <v/>
      </c>
      <c r="O424" s="10">
        <f>IFERROR(IF(INDEX('Test catalog'!$J$2:$J$200,MATCH($AB424,'Test catalog'!$A$2:$A$200,0))="","",INDEX('Test catalog'!$J$2:$J$200,MATCH($AB424,'Test catalog'!$A$2:$A$200,0))),"")</f>
        <v/>
      </c>
      <c r="P424" s="14">
        <f>IF(N424="","",IF(OR(M424="",O424=""),N424,(M424+4*N424+O424)/6))</f>
        <v/>
      </c>
      <c r="Q424" s="10">
        <f>IFERROR(IF(INDEX('Test catalog'!$K$2:$K$200,MATCH($AB424,'Test catalog'!$A$2:$A$200,0))="","",INDEX('Test catalog'!$K$2:$K$200,MATCH($AB424,'Test catalog'!$A$2:$A$200,0))),"")</f>
        <v/>
      </c>
      <c r="R424" s="5" t="n"/>
      <c r="S424" s="10">
        <f>IFERROR(IF(INDEX('Test catalog'!$L$2:$L$200,MATCH($AB424,'Test catalog'!$A$2:$A$200,0))="","",INDEX('Test catalog'!$L$2:$L$200,MATCH($AB424,'Test catalog'!$A$2:$A$200,0))),"")</f>
        <v/>
      </c>
      <c r="T424" s="10">
        <f>IFERROR(IF(INDEX('Test catalog'!$M$2:$M$200,MATCH($AB424,'Test catalog'!$A$2:$A$200,0))="","",INDEX('Test catalog'!$M$2:$M$200,MATCH($AB424,'Test catalog'!$A$2:$A$200,0))),"")</f>
        <v/>
      </c>
      <c r="U424" s="10">
        <f>IFERROR(IF(INDEX('Test catalog'!$N$2:$N$200,MATCH($AB424,'Test catalog'!$A$2:$A$200,0))="","",INDEX('Test catalog'!$N$2:$N$200,MATCH($AB424,'Test catalog'!$A$2:$A$200,0))),"")</f>
        <v/>
      </c>
      <c r="V424" s="15" t="n"/>
      <c r="W424" s="5" t="inlineStr">
        <is>
          <t>N</t>
        </is>
      </c>
      <c r="X424" s="5" t="n"/>
      <c r="Y424" s="5" t="n"/>
      <c r="Z424" s="5" t="n"/>
      <c r="AA424" s="10">
        <f>IFERROR(IF(INDEX('Test catalog'!$O$2:$O$200,MATCH($AB424,'Test catalog'!$A$2:$A$200,0))="","",INDEX('Test catalog'!$O$2:$O$200,MATCH($AB424,'Test catalog'!$A$2:$A$200,0))),"")</f>
        <v/>
      </c>
      <c r="AB424" s="10" t="inlineStr">
        <is>
          <t>ID_CHEM</t>
        </is>
      </c>
      <c r="AC424" s="10" t="inlineStr">
        <is>
          <t>Potassium Iodide · Identification &lt;191&gt;</t>
        </is>
      </c>
      <c r="AD424" s="10" t="n"/>
      <c r="AE424" s="10" t="n"/>
    </row>
    <row r="425">
      <c r="A425" s="10" t="inlineStr">
        <is>
          <t>Potassium Iodide</t>
        </is>
      </c>
      <c r="B425" s="10" t="inlineStr">
        <is>
          <t>RM</t>
        </is>
      </c>
      <c r="C425" s="10" t="inlineStr">
        <is>
          <t>Active</t>
        </is>
      </c>
      <c r="D425" s="10" t="inlineStr">
        <is>
          <t>ID B - chemical reaction</t>
        </is>
      </c>
      <c r="E425" s="10">
        <f>IF(A425="","",A425&amp;"|"&amp;D425)</f>
        <v/>
      </c>
      <c r="F425" s="5" t="inlineStr">
        <is>
          <t>Y</t>
        </is>
      </c>
      <c r="G425" s="5" t="inlineStr">
        <is>
          <t>Other / bench</t>
        </is>
      </c>
      <c r="H425" s="5" t="inlineStr">
        <is>
          <t>Low</t>
        </is>
      </c>
      <c r="I425" s="5" t="n">
        <v>1</v>
      </c>
      <c r="J425" s="5" t="n"/>
      <c r="K425" s="10">
        <f>IFERROR(IF(INDEX('Test catalog'!$F$2:$F$200,MATCH($AB425,'Test catalog'!$A$2:$A$200,0))="","",INDEX('Test catalog'!$F$2:$F$200,MATCH($AB425,'Test catalog'!$A$2:$A$200,0))),"")</f>
        <v/>
      </c>
      <c r="L425" s="10">
        <f>IFERROR(IF(INDEX('Test catalog'!$G$2:$G$200,MATCH($AB425,'Test catalog'!$A$2:$A$200,0))="","",INDEX('Test catalog'!$G$2:$G$200,MATCH($AB425,'Test catalog'!$A$2:$A$200,0))),"")</f>
        <v/>
      </c>
      <c r="M425" s="10">
        <f>IFERROR(IF(INDEX('Test catalog'!$H$2:$H$200,MATCH($AB425,'Test catalog'!$A$2:$A$200,0))="","",INDEX('Test catalog'!$H$2:$H$200,MATCH($AB425,'Test catalog'!$A$2:$A$200,0))),"")</f>
        <v/>
      </c>
      <c r="N425" s="10">
        <f>IFERROR(IF(INDEX('Test catalog'!$I$2:$I$200,MATCH($AB425,'Test catalog'!$A$2:$A$200,0))="","",INDEX('Test catalog'!$I$2:$I$200,MATCH($AB425,'Test catalog'!$A$2:$A$200,0))),"")</f>
        <v/>
      </c>
      <c r="O425" s="10">
        <f>IFERROR(IF(INDEX('Test catalog'!$J$2:$J$200,MATCH($AB425,'Test catalog'!$A$2:$A$200,0))="","",INDEX('Test catalog'!$J$2:$J$200,MATCH($AB425,'Test catalog'!$A$2:$A$200,0))),"")</f>
        <v/>
      </c>
      <c r="P425" s="14">
        <f>IF(N425="","",IF(OR(M425="",O425=""),N425,(M425+4*N425+O425)/6))</f>
        <v/>
      </c>
      <c r="Q425" s="10">
        <f>IFERROR(IF(INDEX('Test catalog'!$K$2:$K$200,MATCH($AB425,'Test catalog'!$A$2:$A$200,0))="","",INDEX('Test catalog'!$K$2:$K$200,MATCH($AB425,'Test catalog'!$A$2:$A$200,0))),"")</f>
        <v/>
      </c>
      <c r="R425" s="5" t="n"/>
      <c r="S425" s="10">
        <f>IFERROR(IF(INDEX('Test catalog'!$L$2:$L$200,MATCH($AB425,'Test catalog'!$A$2:$A$200,0))="","",INDEX('Test catalog'!$L$2:$L$200,MATCH($AB425,'Test catalog'!$A$2:$A$200,0))),"")</f>
        <v/>
      </c>
      <c r="T425" s="10">
        <f>IFERROR(IF(INDEX('Test catalog'!$M$2:$M$200,MATCH($AB425,'Test catalog'!$A$2:$A$200,0))="","",INDEX('Test catalog'!$M$2:$M$200,MATCH($AB425,'Test catalog'!$A$2:$A$200,0))),"")</f>
        <v/>
      </c>
      <c r="U425" s="10">
        <f>IFERROR(IF(INDEX('Test catalog'!$N$2:$N$200,MATCH($AB425,'Test catalog'!$A$2:$A$200,0))="","",INDEX('Test catalog'!$N$2:$N$200,MATCH($AB425,'Test catalog'!$A$2:$A$200,0))),"")</f>
        <v/>
      </c>
      <c r="V425" s="15" t="n"/>
      <c r="W425" s="5" t="inlineStr">
        <is>
          <t>N</t>
        </is>
      </c>
      <c r="X425" s="5" t="n"/>
      <c r="Y425" s="5" t="n"/>
      <c r="Z425" s="5" t="n"/>
      <c r="AA425" s="10">
        <f>IFERROR(IF(INDEX('Test catalog'!$O$2:$O$200,MATCH($AB425,'Test catalog'!$A$2:$A$200,0))="","",INDEX('Test catalog'!$O$2:$O$200,MATCH($AB425,'Test catalog'!$A$2:$A$200,0))),"")</f>
        <v/>
      </c>
      <c r="AB425" s="10" t="inlineStr">
        <is>
          <t>ID_CHEM</t>
        </is>
      </c>
      <c r="AC425" s="10" t="inlineStr">
        <is>
          <t>Potassium Iodide · Identification &lt;191&gt;</t>
        </is>
      </c>
      <c r="AD425" s="10" t="n"/>
      <c r="AE425" s="10" t="n"/>
    </row>
    <row r="426">
      <c r="A426" s="10" t="inlineStr">
        <is>
          <t>Potassium Iodide</t>
        </is>
      </c>
      <c r="B426" s="10" t="inlineStr">
        <is>
          <t>RM</t>
        </is>
      </c>
      <c r="C426" s="10" t="inlineStr">
        <is>
          <t>Active</t>
        </is>
      </c>
      <c r="D426" s="10" t="inlineStr">
        <is>
          <t>Assay</t>
        </is>
      </c>
      <c r="E426" s="10">
        <f>IF(A426="","",A426&amp;"|"&amp;D426)</f>
        <v/>
      </c>
      <c r="F426" s="5" t="inlineStr">
        <is>
          <t>Y</t>
        </is>
      </c>
      <c r="G426" s="5" t="inlineStr">
        <is>
          <t>Other / bench</t>
        </is>
      </c>
      <c r="H426" s="5" t="inlineStr">
        <is>
          <t>Low</t>
        </is>
      </c>
      <c r="I426" s="5" t="n">
        <v>1</v>
      </c>
      <c r="J426" s="5" t="n"/>
      <c r="K426" s="10">
        <f>IFERROR(IF(INDEX('Test catalog'!$F$2:$F$200,MATCH($AB426,'Test catalog'!$A$2:$A$200,0))="","",INDEX('Test catalog'!$F$2:$F$200,MATCH($AB426,'Test catalog'!$A$2:$A$200,0))),"")</f>
        <v/>
      </c>
      <c r="L426" s="10">
        <f>IFERROR(IF(INDEX('Test catalog'!$G$2:$G$200,MATCH($AB426,'Test catalog'!$A$2:$A$200,0))="","",INDEX('Test catalog'!$G$2:$G$200,MATCH($AB426,'Test catalog'!$A$2:$A$200,0))),"")</f>
        <v/>
      </c>
      <c r="M426" s="10">
        <f>IFERROR(IF(INDEX('Test catalog'!$H$2:$H$200,MATCH($AB426,'Test catalog'!$A$2:$A$200,0))="","",INDEX('Test catalog'!$H$2:$H$200,MATCH($AB426,'Test catalog'!$A$2:$A$200,0))),"")</f>
        <v/>
      </c>
      <c r="N426" s="10">
        <f>IFERROR(IF(INDEX('Test catalog'!$I$2:$I$200,MATCH($AB426,'Test catalog'!$A$2:$A$200,0))="","",INDEX('Test catalog'!$I$2:$I$200,MATCH($AB426,'Test catalog'!$A$2:$A$200,0))),"")</f>
        <v/>
      </c>
      <c r="O426" s="10">
        <f>IFERROR(IF(INDEX('Test catalog'!$J$2:$J$200,MATCH($AB426,'Test catalog'!$A$2:$A$200,0))="","",INDEX('Test catalog'!$J$2:$J$200,MATCH($AB426,'Test catalog'!$A$2:$A$200,0))),"")</f>
        <v/>
      </c>
      <c r="P426" s="14">
        <f>IF(N426="","",IF(OR(M426="",O426=""),N426,(M426+4*N426+O426)/6))</f>
        <v/>
      </c>
      <c r="Q426" s="10">
        <f>IFERROR(IF(INDEX('Test catalog'!$K$2:$K$200,MATCH($AB426,'Test catalog'!$A$2:$A$200,0))="","",INDEX('Test catalog'!$K$2:$K$200,MATCH($AB426,'Test catalog'!$A$2:$A$200,0))),"")</f>
        <v/>
      </c>
      <c r="R426" s="5" t="n"/>
      <c r="S426" s="10">
        <f>IFERROR(IF(INDEX('Test catalog'!$L$2:$L$200,MATCH($AB426,'Test catalog'!$A$2:$A$200,0))="","",INDEX('Test catalog'!$L$2:$L$200,MATCH($AB426,'Test catalog'!$A$2:$A$200,0))),"")</f>
        <v/>
      </c>
      <c r="T426" s="10">
        <f>IFERROR(IF(INDEX('Test catalog'!$M$2:$M$200,MATCH($AB426,'Test catalog'!$A$2:$A$200,0))="","",INDEX('Test catalog'!$M$2:$M$200,MATCH($AB426,'Test catalog'!$A$2:$A$200,0))),"")</f>
        <v/>
      </c>
      <c r="U426" s="10">
        <f>IFERROR(IF(INDEX('Test catalog'!$N$2:$N$200,MATCH($AB426,'Test catalog'!$A$2:$A$200,0))="","",INDEX('Test catalog'!$N$2:$N$200,MATCH($AB426,'Test catalog'!$A$2:$A$200,0))),"")</f>
        <v/>
      </c>
      <c r="V426" s="15" t="n"/>
      <c r="W426" s="5" t="inlineStr">
        <is>
          <t>N</t>
        </is>
      </c>
      <c r="X426" s="5" t="n"/>
      <c r="Y426" s="5" t="n"/>
      <c r="Z426" s="5" t="n"/>
      <c r="AA426" s="10">
        <f>IFERROR(IF(INDEX('Test catalog'!$O$2:$O$200,MATCH($AB426,'Test catalog'!$A$2:$A$200,0))="","",INDEX('Test catalog'!$O$2:$O$200,MATCH($AB426,'Test catalog'!$A$2:$A$200,0))),"")</f>
        <v/>
      </c>
      <c r="AB426" s="10" t="inlineStr">
        <is>
          <t>TITR</t>
        </is>
      </c>
      <c r="AC426" s="10" t="inlineStr">
        <is>
          <t>Potassium Iodide · Assay</t>
        </is>
      </c>
      <c r="AD426" s="10" t="n"/>
      <c r="AE426" s="10" t="n"/>
    </row>
    <row r="427">
      <c r="A427" s="10" t="inlineStr">
        <is>
          <t>Potassium Iodide</t>
        </is>
      </c>
      <c r="B427" s="10" t="inlineStr">
        <is>
          <t>RM</t>
        </is>
      </c>
      <c r="C427" s="10" t="inlineStr">
        <is>
          <t>Active</t>
        </is>
      </c>
      <c r="D427" s="10" t="inlineStr">
        <is>
          <t>Iodate</t>
        </is>
      </c>
      <c r="E427" s="10">
        <f>IF(A427="","",A427&amp;"|"&amp;D427)</f>
        <v/>
      </c>
      <c r="F427" s="5" t="inlineStr">
        <is>
          <t>Y</t>
        </is>
      </c>
      <c r="G427" s="5" t="inlineStr">
        <is>
          <t>Other / bench</t>
        </is>
      </c>
      <c r="H427" s="5" t="inlineStr">
        <is>
          <t>Low</t>
        </is>
      </c>
      <c r="I427" s="5" t="n">
        <v>1</v>
      </c>
      <c r="J427" s="5" t="n"/>
      <c r="K427" s="10">
        <f>IFERROR(IF(INDEX('Test catalog'!$F$2:$F$200,MATCH($AB427,'Test catalog'!$A$2:$A$200,0))="","",INDEX('Test catalog'!$F$2:$F$200,MATCH($AB427,'Test catalog'!$A$2:$A$200,0))),"")</f>
        <v/>
      </c>
      <c r="L427" s="10">
        <f>IFERROR(IF(INDEX('Test catalog'!$G$2:$G$200,MATCH($AB427,'Test catalog'!$A$2:$A$200,0))="","",INDEX('Test catalog'!$G$2:$G$200,MATCH($AB427,'Test catalog'!$A$2:$A$200,0))),"")</f>
        <v/>
      </c>
      <c r="M427" s="10">
        <f>IFERROR(IF(INDEX('Test catalog'!$H$2:$H$200,MATCH($AB427,'Test catalog'!$A$2:$A$200,0))="","",INDEX('Test catalog'!$H$2:$H$200,MATCH($AB427,'Test catalog'!$A$2:$A$200,0))),"")</f>
        <v/>
      </c>
      <c r="N427" s="10">
        <f>IFERROR(IF(INDEX('Test catalog'!$I$2:$I$200,MATCH($AB427,'Test catalog'!$A$2:$A$200,0))="","",INDEX('Test catalog'!$I$2:$I$200,MATCH($AB427,'Test catalog'!$A$2:$A$200,0))),"")</f>
        <v/>
      </c>
      <c r="O427" s="10">
        <f>IFERROR(IF(INDEX('Test catalog'!$J$2:$J$200,MATCH($AB427,'Test catalog'!$A$2:$A$200,0))="","",INDEX('Test catalog'!$J$2:$J$200,MATCH($AB427,'Test catalog'!$A$2:$A$200,0))),"")</f>
        <v/>
      </c>
      <c r="P427" s="14">
        <f>IF(N427="","",IF(OR(M427="",O427=""),N427,(M427+4*N427+O427)/6))</f>
        <v/>
      </c>
      <c r="Q427" s="10">
        <f>IFERROR(IF(INDEX('Test catalog'!$K$2:$K$200,MATCH($AB427,'Test catalog'!$A$2:$A$200,0))="","",INDEX('Test catalog'!$K$2:$K$200,MATCH($AB427,'Test catalog'!$A$2:$A$200,0))),"")</f>
        <v/>
      </c>
      <c r="R427" s="5" t="n"/>
      <c r="S427" s="10">
        <f>IFERROR(IF(INDEX('Test catalog'!$L$2:$L$200,MATCH($AB427,'Test catalog'!$A$2:$A$200,0))="","",INDEX('Test catalog'!$L$2:$L$200,MATCH($AB427,'Test catalog'!$A$2:$A$200,0))),"")</f>
        <v/>
      </c>
      <c r="T427" s="10">
        <f>IFERROR(IF(INDEX('Test catalog'!$M$2:$M$200,MATCH($AB427,'Test catalog'!$A$2:$A$200,0))="","",INDEX('Test catalog'!$M$2:$M$200,MATCH($AB427,'Test catalog'!$A$2:$A$200,0))),"")</f>
        <v/>
      </c>
      <c r="U427" s="10">
        <f>IFERROR(IF(INDEX('Test catalog'!$N$2:$N$200,MATCH($AB427,'Test catalog'!$A$2:$A$200,0))="","",INDEX('Test catalog'!$N$2:$N$200,MATCH($AB427,'Test catalog'!$A$2:$A$200,0))),"")</f>
        <v/>
      </c>
      <c r="V427" s="15" t="n"/>
      <c r="W427" s="5" t="inlineStr">
        <is>
          <t>N</t>
        </is>
      </c>
      <c r="X427" s="5" t="n"/>
      <c r="Y427" s="5" t="n"/>
      <c r="Z427" s="5" t="n"/>
      <c r="AA427" s="10">
        <f>IFERROR(IF(INDEX('Test catalog'!$O$2:$O$200,MATCH($AB427,'Test catalog'!$A$2:$A$200,0))="","",INDEX('Test catalog'!$O$2:$O$200,MATCH($AB427,'Test catalog'!$A$2:$A$200,0))),"")</f>
        <v/>
      </c>
      <c r="AB427" s="10" t="inlineStr">
        <is>
          <t>LIMIT</t>
        </is>
      </c>
      <c r="AC427" s="10" t="inlineStr">
        <is>
          <t>Potassium Iodide · Impurities</t>
        </is>
      </c>
      <c r="AD427" s="10" t="n"/>
      <c r="AE427" s="10" t="n"/>
    </row>
    <row r="428">
      <c r="A428" s="10" t="inlineStr">
        <is>
          <t>Potassium Iodide</t>
        </is>
      </c>
      <c r="B428" s="10" t="inlineStr">
        <is>
          <t>RM</t>
        </is>
      </c>
      <c r="C428" s="10" t="inlineStr">
        <is>
          <t>Active</t>
        </is>
      </c>
      <c r="D428" s="10" t="inlineStr">
        <is>
          <t>Limit of Nitrate</t>
        </is>
      </c>
      <c r="E428" s="10">
        <f>IF(A428="","",A428&amp;"|"&amp;D428)</f>
        <v/>
      </c>
      <c r="F428" s="5" t="inlineStr">
        <is>
          <t>Y</t>
        </is>
      </c>
      <c r="G428" s="5" t="inlineStr">
        <is>
          <t>Other / bench</t>
        </is>
      </c>
      <c r="H428" s="5" t="inlineStr">
        <is>
          <t>Low</t>
        </is>
      </c>
      <c r="I428" s="5" t="n">
        <v>1</v>
      </c>
      <c r="J428" s="5" t="n"/>
      <c r="K428" s="10">
        <f>IFERROR(IF(INDEX('Test catalog'!$F$2:$F$200,MATCH($AB428,'Test catalog'!$A$2:$A$200,0))="","",INDEX('Test catalog'!$F$2:$F$200,MATCH($AB428,'Test catalog'!$A$2:$A$200,0))),"")</f>
        <v/>
      </c>
      <c r="L428" s="10">
        <f>IFERROR(IF(INDEX('Test catalog'!$G$2:$G$200,MATCH($AB428,'Test catalog'!$A$2:$A$200,0))="","",INDEX('Test catalog'!$G$2:$G$200,MATCH($AB428,'Test catalog'!$A$2:$A$200,0))),"")</f>
        <v/>
      </c>
      <c r="M428" s="10">
        <f>IFERROR(IF(INDEX('Test catalog'!$H$2:$H$200,MATCH($AB428,'Test catalog'!$A$2:$A$200,0))="","",INDEX('Test catalog'!$H$2:$H$200,MATCH($AB428,'Test catalog'!$A$2:$A$200,0))),"")</f>
        <v/>
      </c>
      <c r="N428" s="10">
        <f>IFERROR(IF(INDEX('Test catalog'!$I$2:$I$200,MATCH($AB428,'Test catalog'!$A$2:$A$200,0))="","",INDEX('Test catalog'!$I$2:$I$200,MATCH($AB428,'Test catalog'!$A$2:$A$200,0))),"")</f>
        <v/>
      </c>
      <c r="O428" s="10">
        <f>IFERROR(IF(INDEX('Test catalog'!$J$2:$J$200,MATCH($AB428,'Test catalog'!$A$2:$A$200,0))="","",INDEX('Test catalog'!$J$2:$J$200,MATCH($AB428,'Test catalog'!$A$2:$A$200,0))),"")</f>
        <v/>
      </c>
      <c r="P428" s="14">
        <f>IF(N428="","",IF(OR(M428="",O428=""),N428,(M428+4*N428+O428)/6))</f>
        <v/>
      </c>
      <c r="Q428" s="10">
        <f>IFERROR(IF(INDEX('Test catalog'!$K$2:$K$200,MATCH($AB428,'Test catalog'!$A$2:$A$200,0))="","",INDEX('Test catalog'!$K$2:$K$200,MATCH($AB428,'Test catalog'!$A$2:$A$200,0))),"")</f>
        <v/>
      </c>
      <c r="R428" s="5" t="n"/>
      <c r="S428" s="10">
        <f>IFERROR(IF(INDEX('Test catalog'!$L$2:$L$200,MATCH($AB428,'Test catalog'!$A$2:$A$200,0))="","",INDEX('Test catalog'!$L$2:$L$200,MATCH($AB428,'Test catalog'!$A$2:$A$200,0))),"")</f>
        <v/>
      </c>
      <c r="T428" s="10">
        <f>IFERROR(IF(INDEX('Test catalog'!$M$2:$M$200,MATCH($AB428,'Test catalog'!$A$2:$A$200,0))="","",INDEX('Test catalog'!$M$2:$M$200,MATCH($AB428,'Test catalog'!$A$2:$A$200,0))),"")</f>
        <v/>
      </c>
      <c r="U428" s="10">
        <f>IFERROR(IF(INDEX('Test catalog'!$N$2:$N$200,MATCH($AB428,'Test catalog'!$A$2:$A$200,0))="","",INDEX('Test catalog'!$N$2:$N$200,MATCH($AB428,'Test catalog'!$A$2:$A$200,0))),"")</f>
        <v/>
      </c>
      <c r="V428" s="15" t="n"/>
      <c r="W428" s="5" t="inlineStr">
        <is>
          <t>N</t>
        </is>
      </c>
      <c r="X428" s="5" t="n"/>
      <c r="Y428" s="5" t="n"/>
      <c r="Z428" s="5" t="n"/>
      <c r="AA428" s="10">
        <f>IFERROR(IF(INDEX('Test catalog'!$O$2:$O$200,MATCH($AB428,'Test catalog'!$A$2:$A$200,0))="","",INDEX('Test catalog'!$O$2:$O$200,MATCH($AB428,'Test catalog'!$A$2:$A$200,0))),"")</f>
        <v/>
      </c>
      <c r="AB428" s="10" t="inlineStr">
        <is>
          <t>LIMIT</t>
        </is>
      </c>
      <c r="AC428" s="10" t="inlineStr">
        <is>
          <t>Potassium Iodide · Impurities</t>
        </is>
      </c>
      <c r="AD428" s="10" t="n"/>
      <c r="AE428" s="10" t="n"/>
    </row>
    <row r="429">
      <c r="A429" s="10" t="inlineStr">
        <is>
          <t>Potassium Iodide</t>
        </is>
      </c>
      <c r="B429" s="10" t="inlineStr">
        <is>
          <t>RM</t>
        </is>
      </c>
      <c r="C429" s="10" t="inlineStr">
        <is>
          <t>Active</t>
        </is>
      </c>
      <c r="D429" s="10" t="inlineStr">
        <is>
          <t>Thiosulfate</t>
        </is>
      </c>
      <c r="E429" s="10">
        <f>IF(A429="","",A429&amp;"|"&amp;D429)</f>
        <v/>
      </c>
      <c r="F429" s="5" t="inlineStr">
        <is>
          <t>Y</t>
        </is>
      </c>
      <c r="G429" s="5" t="inlineStr">
        <is>
          <t>Other / bench</t>
        </is>
      </c>
      <c r="H429" s="5" t="inlineStr">
        <is>
          <t>Low</t>
        </is>
      </c>
      <c r="I429" s="5" t="n">
        <v>1</v>
      </c>
      <c r="J429" s="5" t="n"/>
      <c r="K429" s="10">
        <f>IFERROR(IF(INDEX('Test catalog'!$F$2:$F$200,MATCH($AB429,'Test catalog'!$A$2:$A$200,0))="","",INDEX('Test catalog'!$F$2:$F$200,MATCH($AB429,'Test catalog'!$A$2:$A$200,0))),"")</f>
        <v/>
      </c>
      <c r="L429" s="10">
        <f>IFERROR(IF(INDEX('Test catalog'!$G$2:$G$200,MATCH($AB429,'Test catalog'!$A$2:$A$200,0))="","",INDEX('Test catalog'!$G$2:$G$200,MATCH($AB429,'Test catalog'!$A$2:$A$200,0))),"")</f>
        <v/>
      </c>
      <c r="M429" s="10">
        <f>IFERROR(IF(INDEX('Test catalog'!$H$2:$H$200,MATCH($AB429,'Test catalog'!$A$2:$A$200,0))="","",INDEX('Test catalog'!$H$2:$H$200,MATCH($AB429,'Test catalog'!$A$2:$A$200,0))),"")</f>
        <v/>
      </c>
      <c r="N429" s="10">
        <f>IFERROR(IF(INDEX('Test catalog'!$I$2:$I$200,MATCH($AB429,'Test catalog'!$A$2:$A$200,0))="","",INDEX('Test catalog'!$I$2:$I$200,MATCH($AB429,'Test catalog'!$A$2:$A$200,0))),"")</f>
        <v/>
      </c>
      <c r="O429" s="10">
        <f>IFERROR(IF(INDEX('Test catalog'!$J$2:$J$200,MATCH($AB429,'Test catalog'!$A$2:$A$200,0))="","",INDEX('Test catalog'!$J$2:$J$200,MATCH($AB429,'Test catalog'!$A$2:$A$200,0))),"")</f>
        <v/>
      </c>
      <c r="P429" s="14">
        <f>IF(N429="","",IF(OR(M429="",O429=""),N429,(M429+4*N429+O429)/6))</f>
        <v/>
      </c>
      <c r="Q429" s="10">
        <f>IFERROR(IF(INDEX('Test catalog'!$K$2:$K$200,MATCH($AB429,'Test catalog'!$A$2:$A$200,0))="","",INDEX('Test catalog'!$K$2:$K$200,MATCH($AB429,'Test catalog'!$A$2:$A$200,0))),"")</f>
        <v/>
      </c>
      <c r="R429" s="5" t="n"/>
      <c r="S429" s="10">
        <f>IFERROR(IF(INDEX('Test catalog'!$L$2:$L$200,MATCH($AB429,'Test catalog'!$A$2:$A$200,0))="","",INDEX('Test catalog'!$L$2:$L$200,MATCH($AB429,'Test catalog'!$A$2:$A$200,0))),"")</f>
        <v/>
      </c>
      <c r="T429" s="10">
        <f>IFERROR(IF(INDEX('Test catalog'!$M$2:$M$200,MATCH($AB429,'Test catalog'!$A$2:$A$200,0))="","",INDEX('Test catalog'!$M$2:$M$200,MATCH($AB429,'Test catalog'!$A$2:$A$200,0))),"")</f>
        <v/>
      </c>
      <c r="U429" s="10">
        <f>IFERROR(IF(INDEX('Test catalog'!$N$2:$N$200,MATCH($AB429,'Test catalog'!$A$2:$A$200,0))="","",INDEX('Test catalog'!$N$2:$N$200,MATCH($AB429,'Test catalog'!$A$2:$A$200,0))),"")</f>
        <v/>
      </c>
      <c r="V429" s="15" t="n"/>
      <c r="W429" s="5" t="inlineStr">
        <is>
          <t>N</t>
        </is>
      </c>
      <c r="X429" s="5" t="n"/>
      <c r="Y429" s="5" t="n"/>
      <c r="Z429" s="5" t="n"/>
      <c r="AA429" s="10">
        <f>IFERROR(IF(INDEX('Test catalog'!$O$2:$O$200,MATCH($AB429,'Test catalog'!$A$2:$A$200,0))="","",INDEX('Test catalog'!$O$2:$O$200,MATCH($AB429,'Test catalog'!$A$2:$A$200,0))),"")</f>
        <v/>
      </c>
      <c r="AB429" s="10" t="inlineStr">
        <is>
          <t>LIMIT</t>
        </is>
      </c>
      <c r="AC429" s="10" t="inlineStr">
        <is>
          <t>Potassium Iodide · Impurities</t>
        </is>
      </c>
      <c r="AD429" s="10" t="n"/>
      <c r="AE429" s="10" t="n"/>
    </row>
    <row r="430">
      <c r="A430" s="10" t="inlineStr">
        <is>
          <t>Potassium Iodide</t>
        </is>
      </c>
      <c r="B430" s="10" t="inlineStr">
        <is>
          <t>RM</t>
        </is>
      </c>
      <c r="C430" s="10" t="inlineStr">
        <is>
          <t>Active</t>
        </is>
      </c>
      <c r="D430" s="10" t="inlineStr">
        <is>
          <t>Barium</t>
        </is>
      </c>
      <c r="E430" s="10">
        <f>IF(A430="","",A430&amp;"|"&amp;D430)</f>
        <v/>
      </c>
      <c r="F430" s="5" t="inlineStr">
        <is>
          <t>Y</t>
        </is>
      </c>
      <c r="G430" s="5" t="inlineStr">
        <is>
          <t>Other / bench</t>
        </is>
      </c>
      <c r="H430" s="5" t="inlineStr">
        <is>
          <t>Low</t>
        </is>
      </c>
      <c r="I430" s="5" t="n">
        <v>1</v>
      </c>
      <c r="J430" s="5" t="n"/>
      <c r="K430" s="10">
        <f>IFERROR(IF(INDEX('Test catalog'!$F$2:$F$200,MATCH($AB430,'Test catalog'!$A$2:$A$200,0))="","",INDEX('Test catalog'!$F$2:$F$200,MATCH($AB430,'Test catalog'!$A$2:$A$200,0))),"")</f>
        <v/>
      </c>
      <c r="L430" s="10">
        <f>IFERROR(IF(INDEX('Test catalog'!$G$2:$G$200,MATCH($AB430,'Test catalog'!$A$2:$A$200,0))="","",INDEX('Test catalog'!$G$2:$G$200,MATCH($AB430,'Test catalog'!$A$2:$A$200,0))),"")</f>
        <v/>
      </c>
      <c r="M430" s="10">
        <f>IFERROR(IF(INDEX('Test catalog'!$H$2:$H$200,MATCH($AB430,'Test catalog'!$A$2:$A$200,0))="","",INDEX('Test catalog'!$H$2:$H$200,MATCH($AB430,'Test catalog'!$A$2:$A$200,0))),"")</f>
        <v/>
      </c>
      <c r="N430" s="10">
        <f>IFERROR(IF(INDEX('Test catalog'!$I$2:$I$200,MATCH($AB430,'Test catalog'!$A$2:$A$200,0))="","",INDEX('Test catalog'!$I$2:$I$200,MATCH($AB430,'Test catalog'!$A$2:$A$200,0))),"")</f>
        <v/>
      </c>
      <c r="O430" s="10">
        <f>IFERROR(IF(INDEX('Test catalog'!$J$2:$J$200,MATCH($AB430,'Test catalog'!$A$2:$A$200,0))="","",INDEX('Test catalog'!$J$2:$J$200,MATCH($AB430,'Test catalog'!$A$2:$A$200,0))),"")</f>
        <v/>
      </c>
      <c r="P430" s="14">
        <f>IF(N430="","",IF(OR(M430="",O430=""),N430,(M430+4*N430+O430)/6))</f>
        <v/>
      </c>
      <c r="Q430" s="10">
        <f>IFERROR(IF(INDEX('Test catalog'!$K$2:$K$200,MATCH($AB430,'Test catalog'!$A$2:$A$200,0))="","",INDEX('Test catalog'!$K$2:$K$200,MATCH($AB430,'Test catalog'!$A$2:$A$200,0))),"")</f>
        <v/>
      </c>
      <c r="R430" s="5" t="n"/>
      <c r="S430" s="10">
        <f>IFERROR(IF(INDEX('Test catalog'!$L$2:$L$200,MATCH($AB430,'Test catalog'!$A$2:$A$200,0))="","",INDEX('Test catalog'!$L$2:$L$200,MATCH($AB430,'Test catalog'!$A$2:$A$200,0))),"")</f>
        <v/>
      </c>
      <c r="T430" s="10">
        <f>IFERROR(IF(INDEX('Test catalog'!$M$2:$M$200,MATCH($AB430,'Test catalog'!$A$2:$A$200,0))="","",INDEX('Test catalog'!$M$2:$M$200,MATCH($AB430,'Test catalog'!$A$2:$A$200,0))),"")</f>
        <v/>
      </c>
      <c r="U430" s="10">
        <f>IFERROR(IF(INDEX('Test catalog'!$N$2:$N$200,MATCH($AB430,'Test catalog'!$A$2:$A$200,0))="","",INDEX('Test catalog'!$N$2:$N$200,MATCH($AB430,'Test catalog'!$A$2:$A$200,0))),"")</f>
        <v/>
      </c>
      <c r="V430" s="15" t="n"/>
      <c r="W430" s="5" t="inlineStr">
        <is>
          <t>N</t>
        </is>
      </c>
      <c r="X430" s="5" t="n"/>
      <c r="Y430" s="5" t="n"/>
      <c r="Z430" s="5" t="n"/>
      <c r="AA430" s="10">
        <f>IFERROR(IF(INDEX('Test catalog'!$O$2:$O$200,MATCH($AB430,'Test catalog'!$A$2:$A$200,0))="","",INDEX('Test catalog'!$O$2:$O$200,MATCH($AB430,'Test catalog'!$A$2:$A$200,0))),"")</f>
        <v/>
      </c>
      <c r="AB430" s="10" t="inlineStr">
        <is>
          <t>LIMIT</t>
        </is>
      </c>
      <c r="AC430" s="10" t="inlineStr">
        <is>
          <t>Potassium Iodide · Impurities</t>
        </is>
      </c>
      <c r="AD430" s="10" t="n"/>
      <c r="AE430" s="10" t="n"/>
    </row>
    <row r="431">
      <c r="A431" s="10" t="inlineStr">
        <is>
          <t>Potassium Iodide</t>
        </is>
      </c>
      <c r="B431" s="10" t="inlineStr">
        <is>
          <t>RM</t>
        </is>
      </c>
      <c r="C431" s="10" t="inlineStr">
        <is>
          <t>Active</t>
        </is>
      </c>
      <c r="D431" s="10" t="inlineStr">
        <is>
          <t>Alkalinity</t>
        </is>
      </c>
      <c r="E431" s="10">
        <f>IF(A431="","",A431&amp;"|"&amp;D431)</f>
        <v/>
      </c>
      <c r="F431" s="5" t="inlineStr">
        <is>
          <t>Y</t>
        </is>
      </c>
      <c r="G431" s="5" t="inlineStr">
        <is>
          <t>Other / bench</t>
        </is>
      </c>
      <c r="H431" s="5" t="inlineStr">
        <is>
          <t>Low</t>
        </is>
      </c>
      <c r="I431" s="5" t="n">
        <v>1</v>
      </c>
      <c r="J431" s="5" t="n"/>
      <c r="K431" s="10">
        <f>IFERROR(IF(INDEX('Test catalog'!$F$2:$F$200,MATCH($AB431,'Test catalog'!$A$2:$A$200,0))="","",INDEX('Test catalog'!$F$2:$F$200,MATCH($AB431,'Test catalog'!$A$2:$A$200,0))),"")</f>
        <v/>
      </c>
      <c r="L431" s="10">
        <f>IFERROR(IF(INDEX('Test catalog'!$G$2:$G$200,MATCH($AB431,'Test catalog'!$A$2:$A$200,0))="","",INDEX('Test catalog'!$G$2:$G$200,MATCH($AB431,'Test catalog'!$A$2:$A$200,0))),"")</f>
        <v/>
      </c>
      <c r="M431" s="10">
        <f>IFERROR(IF(INDEX('Test catalog'!$H$2:$H$200,MATCH($AB431,'Test catalog'!$A$2:$A$200,0))="","",INDEX('Test catalog'!$H$2:$H$200,MATCH($AB431,'Test catalog'!$A$2:$A$200,0))),"")</f>
        <v/>
      </c>
      <c r="N431" s="10">
        <f>IFERROR(IF(INDEX('Test catalog'!$I$2:$I$200,MATCH($AB431,'Test catalog'!$A$2:$A$200,0))="","",INDEX('Test catalog'!$I$2:$I$200,MATCH($AB431,'Test catalog'!$A$2:$A$200,0))),"")</f>
        <v/>
      </c>
      <c r="O431" s="10">
        <f>IFERROR(IF(INDEX('Test catalog'!$J$2:$J$200,MATCH($AB431,'Test catalog'!$A$2:$A$200,0))="","",INDEX('Test catalog'!$J$2:$J$200,MATCH($AB431,'Test catalog'!$A$2:$A$200,0))),"")</f>
        <v/>
      </c>
      <c r="P431" s="14">
        <f>IF(N431="","",IF(OR(M431="",O431=""),N431,(M431+4*N431+O431)/6))</f>
        <v/>
      </c>
      <c r="Q431" s="10">
        <f>IFERROR(IF(INDEX('Test catalog'!$K$2:$K$200,MATCH($AB431,'Test catalog'!$A$2:$A$200,0))="","",INDEX('Test catalog'!$K$2:$K$200,MATCH($AB431,'Test catalog'!$A$2:$A$200,0))),"")</f>
        <v/>
      </c>
      <c r="R431" s="5" t="n"/>
      <c r="S431" s="10">
        <f>IFERROR(IF(INDEX('Test catalog'!$L$2:$L$200,MATCH($AB431,'Test catalog'!$A$2:$A$200,0))="","",INDEX('Test catalog'!$L$2:$L$200,MATCH($AB431,'Test catalog'!$A$2:$A$200,0))),"")</f>
        <v/>
      </c>
      <c r="T431" s="10">
        <f>IFERROR(IF(INDEX('Test catalog'!$M$2:$M$200,MATCH($AB431,'Test catalog'!$A$2:$A$200,0))="","",INDEX('Test catalog'!$M$2:$M$200,MATCH($AB431,'Test catalog'!$A$2:$A$200,0))),"")</f>
        <v/>
      </c>
      <c r="U431" s="10">
        <f>IFERROR(IF(INDEX('Test catalog'!$N$2:$N$200,MATCH($AB431,'Test catalog'!$A$2:$A$200,0))="","",INDEX('Test catalog'!$N$2:$N$200,MATCH($AB431,'Test catalog'!$A$2:$A$200,0))),"")</f>
        <v/>
      </c>
      <c r="V431" s="15" t="n"/>
      <c r="W431" s="5" t="inlineStr">
        <is>
          <t>N</t>
        </is>
      </c>
      <c r="X431" s="5" t="n"/>
      <c r="Y431" s="5" t="n"/>
      <c r="Z431" s="5" t="n"/>
      <c r="AA431" s="10">
        <f>IFERROR(IF(INDEX('Test catalog'!$O$2:$O$200,MATCH($AB431,'Test catalog'!$A$2:$A$200,0))="","",INDEX('Test catalog'!$O$2:$O$200,MATCH($AB431,'Test catalog'!$A$2:$A$200,0))),"")</f>
        <v/>
      </c>
      <c r="AB431" s="10" t="inlineStr">
        <is>
          <t>ACID</t>
        </is>
      </c>
      <c r="AC431" s="10" t="inlineStr">
        <is>
          <t>Potassium Iodide · Specific Tests</t>
        </is>
      </c>
      <c r="AD431" s="10" t="n"/>
      <c r="AE431" s="10" t="n"/>
    </row>
    <row r="432">
      <c r="A432" s="10" t="inlineStr">
        <is>
          <t>Potassium Iodide</t>
        </is>
      </c>
      <c r="B432" s="10" t="inlineStr">
        <is>
          <t>RM</t>
        </is>
      </c>
      <c r="C432" s="10" t="inlineStr">
        <is>
          <t>Active</t>
        </is>
      </c>
      <c r="D432" s="10" t="inlineStr">
        <is>
          <t>Loss on Drying</t>
        </is>
      </c>
      <c r="E432" s="10">
        <f>IF(A432="","",A432&amp;"|"&amp;D432)</f>
        <v/>
      </c>
      <c r="F432" s="5" t="inlineStr">
        <is>
          <t>Y</t>
        </is>
      </c>
      <c r="G432" s="5" t="inlineStr">
        <is>
          <t>Other / bench</t>
        </is>
      </c>
      <c r="H432" s="5" t="inlineStr">
        <is>
          <t>Low</t>
        </is>
      </c>
      <c r="I432" s="5" t="n">
        <v>1</v>
      </c>
      <c r="J432" s="5" t="n"/>
      <c r="K432" s="10">
        <f>IFERROR(IF(INDEX('Test catalog'!$F$2:$F$200,MATCH($AB432,'Test catalog'!$A$2:$A$200,0))="","",INDEX('Test catalog'!$F$2:$F$200,MATCH($AB432,'Test catalog'!$A$2:$A$200,0))),"")</f>
        <v/>
      </c>
      <c r="L432" s="10">
        <f>IFERROR(IF(INDEX('Test catalog'!$G$2:$G$200,MATCH($AB432,'Test catalog'!$A$2:$A$200,0))="","",INDEX('Test catalog'!$G$2:$G$200,MATCH($AB432,'Test catalog'!$A$2:$A$200,0))),"")</f>
        <v/>
      </c>
      <c r="M432" s="10">
        <f>IFERROR(IF(INDEX('Test catalog'!$H$2:$H$200,MATCH($AB432,'Test catalog'!$A$2:$A$200,0))="","",INDEX('Test catalog'!$H$2:$H$200,MATCH($AB432,'Test catalog'!$A$2:$A$200,0))),"")</f>
        <v/>
      </c>
      <c r="N432" s="10">
        <f>IFERROR(IF(INDEX('Test catalog'!$I$2:$I$200,MATCH($AB432,'Test catalog'!$A$2:$A$200,0))="","",INDEX('Test catalog'!$I$2:$I$200,MATCH($AB432,'Test catalog'!$A$2:$A$200,0))),"")</f>
        <v/>
      </c>
      <c r="O432" s="10">
        <f>IFERROR(IF(INDEX('Test catalog'!$J$2:$J$200,MATCH($AB432,'Test catalog'!$A$2:$A$200,0))="","",INDEX('Test catalog'!$J$2:$J$200,MATCH($AB432,'Test catalog'!$A$2:$A$200,0))),"")</f>
        <v/>
      </c>
      <c r="P432" s="14">
        <f>IF(N432="","",IF(OR(M432="",O432=""),N432,(M432+4*N432+O432)/6))</f>
        <v/>
      </c>
      <c r="Q432" s="10">
        <f>IFERROR(IF(INDEX('Test catalog'!$K$2:$K$200,MATCH($AB432,'Test catalog'!$A$2:$A$200,0))="","",INDEX('Test catalog'!$K$2:$K$200,MATCH($AB432,'Test catalog'!$A$2:$A$200,0))),"")</f>
        <v/>
      </c>
      <c r="R432" s="5" t="n"/>
      <c r="S432" s="10">
        <f>IFERROR(IF(INDEX('Test catalog'!$L$2:$L$200,MATCH($AB432,'Test catalog'!$A$2:$A$200,0))="","",INDEX('Test catalog'!$L$2:$L$200,MATCH($AB432,'Test catalog'!$A$2:$A$200,0))),"")</f>
        <v/>
      </c>
      <c r="T432" s="10">
        <f>IFERROR(IF(INDEX('Test catalog'!$M$2:$M$200,MATCH($AB432,'Test catalog'!$A$2:$A$200,0))="","",INDEX('Test catalog'!$M$2:$M$200,MATCH($AB432,'Test catalog'!$A$2:$A$200,0))),"")</f>
        <v/>
      </c>
      <c r="U432" s="10">
        <f>IFERROR(IF(INDEX('Test catalog'!$N$2:$N$200,MATCH($AB432,'Test catalog'!$A$2:$A$200,0))="","",INDEX('Test catalog'!$N$2:$N$200,MATCH($AB432,'Test catalog'!$A$2:$A$200,0))),"")</f>
        <v/>
      </c>
      <c r="V432" s="15" t="n"/>
      <c r="W432" s="5" t="inlineStr">
        <is>
          <t>N</t>
        </is>
      </c>
      <c r="X432" s="5" t="n"/>
      <c r="Y432" s="5" t="n"/>
      <c r="Z432" s="5" t="n"/>
      <c r="AA432" s="10">
        <f>IFERROR(IF(INDEX('Test catalog'!$O$2:$O$200,MATCH($AB432,'Test catalog'!$A$2:$A$200,0))="","",INDEX('Test catalog'!$O$2:$O$200,MATCH($AB432,'Test catalog'!$A$2:$A$200,0))),"")</f>
        <v/>
      </c>
      <c r="AB432" s="10" t="inlineStr">
        <is>
          <t>LOD</t>
        </is>
      </c>
      <c r="AC432" s="10" t="inlineStr">
        <is>
          <t>Potassium Iodide · Specific Tests &lt;731&gt;</t>
        </is>
      </c>
      <c r="AD432" s="10" t="n"/>
      <c r="AE432" s="10" t="n"/>
    </row>
    <row r="433">
      <c r="A433" s="10" t="inlineStr">
        <is>
          <t>Premix Dermo Bella</t>
        </is>
      </c>
      <c r="B433" s="10" t="inlineStr">
        <is>
          <t>RM</t>
        </is>
      </c>
      <c r="C433" s="10" t="inlineStr">
        <is>
          <t>Active</t>
        </is>
      </c>
      <c r="D433" s="10" t="inlineStr">
        <is>
          <t>Assay + related substances</t>
        </is>
      </c>
      <c r="E433" s="10">
        <f>IF(A433="","",A433&amp;"|"&amp;D433)</f>
        <v/>
      </c>
      <c r="F433" s="5" t="inlineStr">
        <is>
          <t>Y</t>
        </is>
      </c>
      <c r="G433" s="5" t="inlineStr">
        <is>
          <t>HPLC</t>
        </is>
      </c>
      <c r="H433" s="5" t="inlineStr">
        <is>
          <t>Medium</t>
        </is>
      </c>
      <c r="I433" s="5" t="n">
        <v>1</v>
      </c>
      <c r="J433" s="5" t="n"/>
      <c r="K433" s="5" t="n"/>
      <c r="L433" s="5" t="n"/>
      <c r="M433" s="5" t="n"/>
      <c r="N433" s="5" t="n"/>
      <c r="O433" s="5" t="n"/>
      <c r="P433" s="14">
        <f>IF(N433="","",IF(OR(M433="",O433=""),N433,(M433+4*N433+O433)/6))</f>
        <v/>
      </c>
      <c r="Q433" s="5" t="n"/>
      <c r="R433" s="5" t="n"/>
      <c r="S433" s="5" t="n"/>
      <c r="T433" s="5" t="n"/>
      <c r="U433" s="5" t="n"/>
      <c r="V433" s="15" t="n"/>
      <c r="W433" s="5" t="inlineStr">
        <is>
          <t>N</t>
        </is>
      </c>
      <c r="X433" s="5" t="n"/>
      <c r="Y433" s="5" t="n"/>
      <c r="Z433" s="5" t="n"/>
      <c r="AA433" s="5" t="n"/>
      <c r="AB433" s="10" t="n"/>
      <c r="AC433" s="10" t="n"/>
      <c r="AD433" s="10" t="inlineStr">
        <is>
          <t>No USP-NF monograph - in-house / supplier spec</t>
        </is>
      </c>
      <c r="AE433" s="10" t="n">
        <v>10</v>
      </c>
      <c r="AF433" s="10" t="inlineStr">
        <is>
          <t>Assay Vitamin C- Vitamin E- Biotin</t>
        </is>
      </c>
    </row>
    <row r="434">
      <c r="A434" s="10" t="inlineStr">
        <is>
          <t>Premix Dermo Bella</t>
        </is>
      </c>
      <c r="B434" s="10" t="inlineStr">
        <is>
          <t>RM</t>
        </is>
      </c>
      <c r="C434" s="10" t="inlineStr">
        <is>
          <t>Active</t>
        </is>
      </c>
      <c r="D434" s="10" t="inlineStr">
        <is>
          <t>Other compendial tests (ID, LOD/KF, heavy metals...)</t>
        </is>
      </c>
      <c r="E434" s="10">
        <f>IF(A434="","",A434&amp;"|"&amp;D434)</f>
        <v/>
      </c>
      <c r="F434" s="5" t="inlineStr">
        <is>
          <t>Y</t>
        </is>
      </c>
      <c r="G434" s="5" t="inlineStr">
        <is>
          <t>Other / bench</t>
        </is>
      </c>
      <c r="H434" s="5" t="inlineStr">
        <is>
          <t>Low</t>
        </is>
      </c>
      <c r="I434" s="5" t="n">
        <v>1</v>
      </c>
      <c r="J434" s="5" t="n"/>
      <c r="K434" s="5" t="n"/>
      <c r="L434" s="5" t="n"/>
      <c r="M434" s="5" t="n"/>
      <c r="N434" s="5" t="n"/>
      <c r="O434" s="5" t="n"/>
      <c r="P434" s="14">
        <f>IF(N434="","",IF(OR(M434="",O434=""),N434,(M434+4*N434+O434)/6))</f>
        <v/>
      </c>
      <c r="Q434" s="5" t="n"/>
      <c r="R434" s="5" t="n"/>
      <c r="S434" s="5" t="n"/>
      <c r="T434" s="5" t="n"/>
      <c r="U434" s="5" t="n"/>
      <c r="V434" s="15" t="n"/>
      <c r="W434" s="5" t="inlineStr">
        <is>
          <t>N</t>
        </is>
      </c>
      <c r="X434" s="5" t="n"/>
      <c r="Y434" s="5" t="n"/>
      <c r="Z434" s="5" t="n"/>
      <c r="AA434" s="5" t="n"/>
      <c r="AB434" s="10" t="n"/>
      <c r="AC434" s="10" t="n"/>
      <c r="AD434" s="10" t="inlineStr">
        <is>
          <t>No USP-NF monograph - in-house / supplier spec</t>
        </is>
      </c>
      <c r="AE434" s="10" t="n">
        <v>0.02</v>
      </c>
      <c r="AF434" s="10" t="inlineStr">
        <is>
          <t>Apperance</t>
        </is>
      </c>
    </row>
    <row r="435">
      <c r="A435" s="10" t="inlineStr">
        <is>
          <t>Prucalopride Succinate</t>
        </is>
      </c>
      <c r="B435" s="10" t="inlineStr">
        <is>
          <t>RM</t>
        </is>
      </c>
      <c r="C435" s="10" t="inlineStr">
        <is>
          <t>Active</t>
        </is>
      </c>
      <c r="D435" s="10" t="inlineStr">
        <is>
          <t>Assay + related substances</t>
        </is>
      </c>
      <c r="E435" s="10">
        <f>IF(A435="","",A435&amp;"|"&amp;D435)</f>
        <v/>
      </c>
      <c r="F435" s="5" t="inlineStr">
        <is>
          <t>Y</t>
        </is>
      </c>
      <c r="G435" s="5" t="inlineStr">
        <is>
          <t>HPLC</t>
        </is>
      </c>
      <c r="H435" s="5" t="inlineStr">
        <is>
          <t>Medium</t>
        </is>
      </c>
      <c r="I435" s="5" t="n">
        <v>1</v>
      </c>
      <c r="J435" s="5" t="n"/>
      <c r="K435" s="5" t="n"/>
      <c r="L435" s="5" t="n"/>
      <c r="M435" s="5" t="n"/>
      <c r="N435" s="5" t="n"/>
      <c r="O435" s="5" t="n"/>
      <c r="P435" s="14">
        <f>IF(N435="","",IF(OR(M435="",O435=""),N435,(M435+4*N435+O435)/6))</f>
        <v/>
      </c>
      <c r="Q435" s="5" t="n"/>
      <c r="R435" s="5" t="n"/>
      <c r="S435" s="5" t="n"/>
      <c r="T435" s="5" t="n"/>
      <c r="U435" s="5" t="n"/>
      <c r="V435" s="15" t="n"/>
      <c r="W435" s="5" t="inlineStr">
        <is>
          <t>N</t>
        </is>
      </c>
      <c r="X435" s="5" t="n"/>
      <c r="Y435" s="5" t="n"/>
      <c r="Z435" s="5" t="n"/>
      <c r="AA435" s="5" t="n"/>
      <c r="AB435" s="10" t="n"/>
      <c r="AC435" s="10" t="n"/>
      <c r="AD435" s="10" t="inlineStr">
        <is>
          <t>No USP-NF monograph - in-house / supplier spec</t>
        </is>
      </c>
      <c r="AE435" s="10" t="n"/>
      <c r="AF435" s="10" t="n"/>
    </row>
    <row r="436">
      <c r="A436" s="10" t="inlineStr">
        <is>
          <t>Prucalopride Succinate</t>
        </is>
      </c>
      <c r="B436" s="10" t="inlineStr">
        <is>
          <t>RM</t>
        </is>
      </c>
      <c r="C436" s="10" t="inlineStr">
        <is>
          <t>Active</t>
        </is>
      </c>
      <c r="D436" s="10" t="inlineStr">
        <is>
          <t>Other compendial tests (ID, LOD/KF, heavy metals...)</t>
        </is>
      </c>
      <c r="E436" s="10">
        <f>IF(A436="","",A436&amp;"|"&amp;D436)</f>
        <v/>
      </c>
      <c r="F436" s="5" t="inlineStr">
        <is>
          <t>Y</t>
        </is>
      </c>
      <c r="G436" s="5" t="inlineStr">
        <is>
          <t>Other / bench</t>
        </is>
      </c>
      <c r="H436" s="5" t="inlineStr">
        <is>
          <t>Low</t>
        </is>
      </c>
      <c r="I436" s="5" t="n">
        <v>1</v>
      </c>
      <c r="J436" s="5" t="n"/>
      <c r="K436" s="5" t="n"/>
      <c r="L436" s="5" t="n"/>
      <c r="M436" s="5" t="n"/>
      <c r="N436" s="5" t="n"/>
      <c r="O436" s="5" t="n"/>
      <c r="P436" s="14">
        <f>IF(N436="","",IF(OR(M436="",O436=""),N436,(M436+4*N436+O436)/6))</f>
        <v/>
      </c>
      <c r="Q436" s="5" t="n"/>
      <c r="R436" s="5" t="n"/>
      <c r="S436" s="5" t="n"/>
      <c r="T436" s="5" t="n"/>
      <c r="U436" s="5" t="n"/>
      <c r="V436" s="15" t="n"/>
      <c r="W436" s="5" t="inlineStr">
        <is>
          <t>N</t>
        </is>
      </c>
      <c r="X436" s="5" t="n"/>
      <c r="Y436" s="5" t="n"/>
      <c r="Z436" s="5" t="n"/>
      <c r="AA436" s="5" t="n"/>
      <c r="AB436" s="10" t="n"/>
      <c r="AC436" s="10" t="n"/>
      <c r="AD436" s="10" t="inlineStr">
        <is>
          <t>No USP-NF monograph - in-house / supplier spec</t>
        </is>
      </c>
      <c r="AE436" s="10" t="n"/>
      <c r="AF436" s="10" t="n"/>
    </row>
    <row r="437">
      <c r="A437" s="10" t="inlineStr">
        <is>
          <t>Pyridoxine Hydrochloride (Vitamin B6)</t>
        </is>
      </c>
      <c r="B437" s="10" t="inlineStr">
        <is>
          <t>RM</t>
        </is>
      </c>
      <c r="C437" s="10" t="inlineStr">
        <is>
          <t>Active</t>
        </is>
      </c>
      <c r="D437" s="10" t="inlineStr">
        <is>
          <t>Appearance / description and solubility</t>
        </is>
      </c>
      <c r="E437" s="10">
        <f>IF(A437="","",A437&amp;"|"&amp;D437)</f>
        <v/>
      </c>
      <c r="F437" s="5" t="inlineStr">
        <is>
          <t>Y</t>
        </is>
      </c>
      <c r="G437" s="5" t="inlineStr">
        <is>
          <t>Other / bench</t>
        </is>
      </c>
      <c r="H437" s="5" t="inlineStr">
        <is>
          <t>Low</t>
        </is>
      </c>
      <c r="I437" s="5" t="n">
        <v>1</v>
      </c>
      <c r="J437" s="5" t="n"/>
      <c r="K437" s="10">
        <f>IFERROR(IF(INDEX('Test catalog'!$F$2:$F$200,MATCH($AB437,'Test catalog'!$A$2:$A$200,0))="","",INDEX('Test catalog'!$F$2:$F$200,MATCH($AB437,'Test catalog'!$A$2:$A$200,0))),"")</f>
        <v/>
      </c>
      <c r="L437" s="10">
        <f>IFERROR(IF(INDEX('Test catalog'!$G$2:$G$200,MATCH($AB437,'Test catalog'!$A$2:$A$200,0))="","",INDEX('Test catalog'!$G$2:$G$200,MATCH($AB437,'Test catalog'!$A$2:$A$200,0))),"")</f>
        <v/>
      </c>
      <c r="M437" s="10">
        <f>IFERROR(IF(INDEX('Test catalog'!$H$2:$H$200,MATCH($AB437,'Test catalog'!$A$2:$A$200,0))="","",INDEX('Test catalog'!$H$2:$H$200,MATCH($AB437,'Test catalog'!$A$2:$A$200,0))),"")</f>
        <v/>
      </c>
      <c r="N437" s="10">
        <f>IFERROR(IF(INDEX('Test catalog'!$I$2:$I$200,MATCH($AB437,'Test catalog'!$A$2:$A$200,0))="","",INDEX('Test catalog'!$I$2:$I$200,MATCH($AB437,'Test catalog'!$A$2:$A$200,0))),"")</f>
        <v/>
      </c>
      <c r="O437" s="10">
        <f>IFERROR(IF(INDEX('Test catalog'!$J$2:$J$200,MATCH($AB437,'Test catalog'!$A$2:$A$200,0))="","",INDEX('Test catalog'!$J$2:$J$200,MATCH($AB437,'Test catalog'!$A$2:$A$200,0))),"")</f>
        <v/>
      </c>
      <c r="P437" s="14">
        <f>IF(N437="","",IF(OR(M437="",O437=""),N437,(M437+4*N437+O437)/6))</f>
        <v/>
      </c>
      <c r="Q437" s="10">
        <f>IFERROR(IF(INDEX('Test catalog'!$K$2:$K$200,MATCH($AB437,'Test catalog'!$A$2:$A$200,0))="","",INDEX('Test catalog'!$K$2:$K$200,MATCH($AB437,'Test catalog'!$A$2:$A$200,0))),"")</f>
        <v/>
      </c>
      <c r="R437" s="5" t="n"/>
      <c r="S437" s="10">
        <f>IFERROR(IF(INDEX('Test catalog'!$L$2:$L$200,MATCH($AB437,'Test catalog'!$A$2:$A$200,0))="","",INDEX('Test catalog'!$L$2:$L$200,MATCH($AB437,'Test catalog'!$A$2:$A$200,0))),"")</f>
        <v/>
      </c>
      <c r="T437" s="10">
        <f>IFERROR(IF(INDEX('Test catalog'!$M$2:$M$200,MATCH($AB437,'Test catalog'!$A$2:$A$200,0))="","",INDEX('Test catalog'!$M$2:$M$200,MATCH($AB437,'Test catalog'!$A$2:$A$200,0))),"")</f>
        <v/>
      </c>
      <c r="U437" s="10">
        <f>IFERROR(IF(INDEX('Test catalog'!$N$2:$N$200,MATCH($AB437,'Test catalog'!$A$2:$A$200,0))="","",INDEX('Test catalog'!$N$2:$N$200,MATCH($AB437,'Test catalog'!$A$2:$A$200,0))),"")</f>
        <v/>
      </c>
      <c r="V437" s="15" t="n"/>
      <c r="W437" s="5" t="inlineStr">
        <is>
          <t>N</t>
        </is>
      </c>
      <c r="X437" s="5" t="n"/>
      <c r="Y437" s="5" t="n"/>
      <c r="Z437" s="5" t="n"/>
      <c r="AA437" s="10">
        <f>IFERROR(IF(INDEX('Test catalog'!$O$2:$O$200,MATCH($AB437,'Test catalog'!$A$2:$A$200,0))="","",INDEX('Test catalog'!$O$2:$O$200,MATCH($AB437,'Test catalog'!$A$2:$A$200,0))),"")</f>
        <v/>
      </c>
      <c r="AB437" s="10" t="inlineStr">
        <is>
          <t>APPEAR</t>
        </is>
      </c>
      <c r="AC437" s="10" t="inlineStr">
        <is>
          <t>Lab practice (not a USP test)</t>
        </is>
      </c>
      <c r="AD437" s="10" t="n"/>
      <c r="AE437" s="10" t="n"/>
    </row>
    <row r="438">
      <c r="A438" s="10" t="inlineStr">
        <is>
          <t>Pyridoxine Hydrochloride (Vitamin B6)</t>
        </is>
      </c>
      <c r="B438" s="10" t="inlineStr">
        <is>
          <t>RM</t>
        </is>
      </c>
      <c r="C438" s="10" t="inlineStr">
        <is>
          <t>Active</t>
        </is>
      </c>
      <c r="D438" s="10" t="inlineStr">
        <is>
          <t>ID A - IR spectrum</t>
        </is>
      </c>
      <c r="E438" s="10">
        <f>IF(A438="","",A438&amp;"|"&amp;D438)</f>
        <v/>
      </c>
      <c r="F438" s="5" t="inlineStr">
        <is>
          <t>Y</t>
        </is>
      </c>
      <c r="G438" s="5" t="inlineStr">
        <is>
          <t>Other / bench</t>
        </is>
      </c>
      <c r="H438" s="5" t="inlineStr">
        <is>
          <t>Low</t>
        </is>
      </c>
      <c r="I438" s="5" t="n">
        <v>1</v>
      </c>
      <c r="J438" s="5" t="n"/>
      <c r="K438" s="10">
        <f>IFERROR(IF(INDEX('Test catalog'!$F$2:$F$200,MATCH($AB438,'Test catalog'!$A$2:$A$200,0))="","",INDEX('Test catalog'!$F$2:$F$200,MATCH($AB438,'Test catalog'!$A$2:$A$200,0))),"")</f>
        <v/>
      </c>
      <c r="L438" s="10">
        <f>IFERROR(IF(INDEX('Test catalog'!$G$2:$G$200,MATCH($AB438,'Test catalog'!$A$2:$A$200,0))="","",INDEX('Test catalog'!$G$2:$G$200,MATCH($AB438,'Test catalog'!$A$2:$A$200,0))),"")</f>
        <v/>
      </c>
      <c r="M438" s="10">
        <f>IFERROR(IF(INDEX('Test catalog'!$H$2:$H$200,MATCH($AB438,'Test catalog'!$A$2:$A$200,0))="","",INDEX('Test catalog'!$H$2:$H$200,MATCH($AB438,'Test catalog'!$A$2:$A$200,0))),"")</f>
        <v/>
      </c>
      <c r="N438" s="10">
        <f>IFERROR(IF(INDEX('Test catalog'!$I$2:$I$200,MATCH($AB438,'Test catalog'!$A$2:$A$200,0))="","",INDEX('Test catalog'!$I$2:$I$200,MATCH($AB438,'Test catalog'!$A$2:$A$200,0))),"")</f>
        <v/>
      </c>
      <c r="O438" s="10">
        <f>IFERROR(IF(INDEX('Test catalog'!$J$2:$J$200,MATCH($AB438,'Test catalog'!$A$2:$A$200,0))="","",INDEX('Test catalog'!$J$2:$J$200,MATCH($AB438,'Test catalog'!$A$2:$A$200,0))),"")</f>
        <v/>
      </c>
      <c r="P438" s="14">
        <f>IF(N438="","",IF(OR(M438="",O438=""),N438,(M438+4*N438+O438)/6))</f>
        <v/>
      </c>
      <c r="Q438" s="10">
        <f>IFERROR(IF(INDEX('Test catalog'!$K$2:$K$200,MATCH($AB438,'Test catalog'!$A$2:$A$200,0))="","",INDEX('Test catalog'!$K$2:$K$200,MATCH($AB438,'Test catalog'!$A$2:$A$200,0))),"")</f>
        <v/>
      </c>
      <c r="R438" s="5" t="n"/>
      <c r="S438" s="10">
        <f>IFERROR(IF(INDEX('Test catalog'!$L$2:$L$200,MATCH($AB438,'Test catalog'!$A$2:$A$200,0))="","",INDEX('Test catalog'!$L$2:$L$200,MATCH($AB438,'Test catalog'!$A$2:$A$200,0))),"")</f>
        <v/>
      </c>
      <c r="T438" s="10">
        <f>IFERROR(IF(INDEX('Test catalog'!$M$2:$M$200,MATCH($AB438,'Test catalog'!$A$2:$A$200,0))="","",INDEX('Test catalog'!$M$2:$M$200,MATCH($AB438,'Test catalog'!$A$2:$A$200,0))),"")</f>
        <v/>
      </c>
      <c r="U438" s="10">
        <f>IFERROR(IF(INDEX('Test catalog'!$N$2:$N$200,MATCH($AB438,'Test catalog'!$A$2:$A$200,0))="","",INDEX('Test catalog'!$N$2:$N$200,MATCH($AB438,'Test catalog'!$A$2:$A$200,0))),"")</f>
        <v/>
      </c>
      <c r="V438" s="15" t="n"/>
      <c r="W438" s="5" t="inlineStr">
        <is>
          <t>N</t>
        </is>
      </c>
      <c r="X438" s="5" t="n"/>
      <c r="Y438" s="5" t="n"/>
      <c r="Z438" s="5" t="n"/>
      <c r="AA438" s="10">
        <f>IFERROR(IF(INDEX('Test catalog'!$O$2:$O$200,MATCH($AB438,'Test catalog'!$A$2:$A$200,0))="","",INDEX('Test catalog'!$O$2:$O$200,MATCH($AB438,'Test catalog'!$A$2:$A$200,0))),"")</f>
        <v/>
      </c>
      <c r="AB438" s="10" t="inlineStr">
        <is>
          <t>ID_IR</t>
        </is>
      </c>
      <c r="AC438" s="10" t="inlineStr">
        <is>
          <t>Pyridoxine Hydrochloride · Identification &lt;197&gt;</t>
        </is>
      </c>
      <c r="AD438" s="10" t="n"/>
      <c r="AE438" s="10" t="n"/>
    </row>
    <row r="439">
      <c r="A439" s="10" t="inlineStr">
        <is>
          <t>Pyridoxine Hydrochloride (Vitamin B6)</t>
        </is>
      </c>
      <c r="B439" s="10" t="inlineStr">
        <is>
          <t>RM</t>
        </is>
      </c>
      <c r="C439" s="10" t="inlineStr">
        <is>
          <t>Active</t>
        </is>
      </c>
      <c r="D439" s="10" t="inlineStr">
        <is>
          <t>ID B - chemical reaction</t>
        </is>
      </c>
      <c r="E439" s="10">
        <f>IF(A439="","",A439&amp;"|"&amp;D439)</f>
        <v/>
      </c>
      <c r="F439" s="5" t="inlineStr">
        <is>
          <t>Y</t>
        </is>
      </c>
      <c r="G439" s="5" t="inlineStr">
        <is>
          <t>Other / bench</t>
        </is>
      </c>
      <c r="H439" s="5" t="inlineStr">
        <is>
          <t>Low</t>
        </is>
      </c>
      <c r="I439" s="5" t="n">
        <v>1</v>
      </c>
      <c r="J439" s="5" t="n"/>
      <c r="K439" s="10">
        <f>IFERROR(IF(INDEX('Test catalog'!$F$2:$F$200,MATCH($AB439,'Test catalog'!$A$2:$A$200,0))="","",INDEX('Test catalog'!$F$2:$F$200,MATCH($AB439,'Test catalog'!$A$2:$A$200,0))),"")</f>
        <v/>
      </c>
      <c r="L439" s="10">
        <f>IFERROR(IF(INDEX('Test catalog'!$G$2:$G$200,MATCH($AB439,'Test catalog'!$A$2:$A$200,0))="","",INDEX('Test catalog'!$G$2:$G$200,MATCH($AB439,'Test catalog'!$A$2:$A$200,0))),"")</f>
        <v/>
      </c>
      <c r="M439" s="10">
        <f>IFERROR(IF(INDEX('Test catalog'!$H$2:$H$200,MATCH($AB439,'Test catalog'!$A$2:$A$200,0))="","",INDEX('Test catalog'!$H$2:$H$200,MATCH($AB439,'Test catalog'!$A$2:$A$200,0))),"")</f>
        <v/>
      </c>
      <c r="N439" s="10">
        <f>IFERROR(IF(INDEX('Test catalog'!$I$2:$I$200,MATCH($AB439,'Test catalog'!$A$2:$A$200,0))="","",INDEX('Test catalog'!$I$2:$I$200,MATCH($AB439,'Test catalog'!$A$2:$A$200,0))),"")</f>
        <v/>
      </c>
      <c r="O439" s="10">
        <f>IFERROR(IF(INDEX('Test catalog'!$J$2:$J$200,MATCH($AB439,'Test catalog'!$A$2:$A$200,0))="","",INDEX('Test catalog'!$J$2:$J$200,MATCH($AB439,'Test catalog'!$A$2:$A$200,0))),"")</f>
        <v/>
      </c>
      <c r="P439" s="14">
        <f>IF(N439="","",IF(OR(M439="",O439=""),N439,(M439+4*N439+O439)/6))</f>
        <v/>
      </c>
      <c r="Q439" s="10">
        <f>IFERROR(IF(INDEX('Test catalog'!$K$2:$K$200,MATCH($AB439,'Test catalog'!$A$2:$A$200,0))="","",INDEX('Test catalog'!$K$2:$K$200,MATCH($AB439,'Test catalog'!$A$2:$A$200,0))),"")</f>
        <v/>
      </c>
      <c r="R439" s="5" t="n"/>
      <c r="S439" s="10">
        <f>IFERROR(IF(INDEX('Test catalog'!$L$2:$L$200,MATCH($AB439,'Test catalog'!$A$2:$A$200,0))="","",INDEX('Test catalog'!$L$2:$L$200,MATCH($AB439,'Test catalog'!$A$2:$A$200,0))),"")</f>
        <v/>
      </c>
      <c r="T439" s="10">
        <f>IFERROR(IF(INDEX('Test catalog'!$M$2:$M$200,MATCH($AB439,'Test catalog'!$A$2:$A$200,0))="","",INDEX('Test catalog'!$M$2:$M$200,MATCH($AB439,'Test catalog'!$A$2:$A$200,0))),"")</f>
        <v/>
      </c>
      <c r="U439" s="10">
        <f>IFERROR(IF(INDEX('Test catalog'!$N$2:$N$200,MATCH($AB439,'Test catalog'!$A$2:$A$200,0))="","",INDEX('Test catalog'!$N$2:$N$200,MATCH($AB439,'Test catalog'!$A$2:$A$200,0))),"")</f>
        <v/>
      </c>
      <c r="V439" s="15" t="n"/>
      <c r="W439" s="5" t="inlineStr">
        <is>
          <t>N</t>
        </is>
      </c>
      <c r="X439" s="5" t="n"/>
      <c r="Y439" s="5" t="n"/>
      <c r="Z439" s="5" t="n"/>
      <c r="AA439" s="10">
        <f>IFERROR(IF(INDEX('Test catalog'!$O$2:$O$200,MATCH($AB439,'Test catalog'!$A$2:$A$200,0))="","",INDEX('Test catalog'!$O$2:$O$200,MATCH($AB439,'Test catalog'!$A$2:$A$200,0))),"")</f>
        <v/>
      </c>
      <c r="AB439" s="10" t="inlineStr">
        <is>
          <t>ID_CHEM</t>
        </is>
      </c>
      <c r="AC439" s="10" t="inlineStr">
        <is>
          <t>Pyridoxine Hydrochloride · Identification &lt;191&gt;</t>
        </is>
      </c>
      <c r="AD439" s="10" t="n"/>
      <c r="AE439" s="10" t="n"/>
    </row>
    <row r="440">
      <c r="A440" s="10" t="inlineStr">
        <is>
          <t>Pyridoxine Hydrochloride (Vitamin B6)</t>
        </is>
      </c>
      <c r="B440" s="10" t="inlineStr">
        <is>
          <t>RM</t>
        </is>
      </c>
      <c r="C440" s="10" t="inlineStr">
        <is>
          <t>Active</t>
        </is>
      </c>
      <c r="D440" s="10" t="inlineStr">
        <is>
          <t>Assay (HPLC)</t>
        </is>
      </c>
      <c r="E440" s="10">
        <f>IF(A440="","",A440&amp;"|"&amp;D440)</f>
        <v/>
      </c>
      <c r="F440" s="5" t="inlineStr">
        <is>
          <t>Y</t>
        </is>
      </c>
      <c r="G440" s="5" t="inlineStr">
        <is>
          <t>HPLC</t>
        </is>
      </c>
      <c r="H440" s="5" t="inlineStr">
        <is>
          <t>Medium</t>
        </is>
      </c>
      <c r="I440" s="5" t="n">
        <v>1</v>
      </c>
      <c r="J440" s="5" t="n"/>
      <c r="K440" s="5" t="n"/>
      <c r="L440" s="5" t="n"/>
      <c r="M440" s="5" t="n"/>
      <c r="N440" s="5" t="n"/>
      <c r="O440" s="5" t="n"/>
      <c r="P440" s="14">
        <f>IF(N440="","",IF(OR(M440="",O440=""),N440,(M440+4*N440+O440)/6))</f>
        <v/>
      </c>
      <c r="Q440" s="5" t="n"/>
      <c r="R440" s="5" t="n"/>
      <c r="S440" s="5" t="n"/>
      <c r="T440" s="5" t="n"/>
      <c r="U440" s="5" t="n"/>
      <c r="V440" s="15" t="n"/>
      <c r="W440" s="5" t="inlineStr">
        <is>
          <t>N</t>
        </is>
      </c>
      <c r="X440" s="5" t="n"/>
      <c r="Y440" s="5" t="n"/>
      <c r="Z440" s="5" t="n"/>
      <c r="AA440" s="5" t="n"/>
      <c r="AB440" s="10" t="n"/>
      <c r="AC440" s="10" t="inlineStr">
        <is>
          <t>Pyridoxine Hydrochloride · Assay</t>
        </is>
      </c>
      <c r="AD440" s="10" t="n"/>
      <c r="AE440" s="10" t="n"/>
    </row>
    <row r="441">
      <c r="A441" s="10" t="inlineStr">
        <is>
          <t>Pyridoxine Hydrochloride (Vitamin B6)</t>
        </is>
      </c>
      <c r="B441" s="10" t="inlineStr">
        <is>
          <t>RM</t>
        </is>
      </c>
      <c r="C441" s="10" t="inlineStr">
        <is>
          <t>Active</t>
        </is>
      </c>
      <c r="D441" s="10" t="inlineStr">
        <is>
          <t>Residue on Ignition</t>
        </is>
      </c>
      <c r="E441" s="10">
        <f>IF(A441="","",A441&amp;"|"&amp;D441)</f>
        <v/>
      </c>
      <c r="F441" s="5" t="inlineStr">
        <is>
          <t>Y</t>
        </is>
      </c>
      <c r="G441" s="5" t="inlineStr">
        <is>
          <t>Other / bench</t>
        </is>
      </c>
      <c r="H441" s="5" t="inlineStr">
        <is>
          <t>Low</t>
        </is>
      </c>
      <c r="I441" s="5" t="n">
        <v>1</v>
      </c>
      <c r="J441" s="5" t="n"/>
      <c r="K441" s="10">
        <f>IFERROR(IF(INDEX('Test catalog'!$F$2:$F$200,MATCH($AB441,'Test catalog'!$A$2:$A$200,0))="","",INDEX('Test catalog'!$F$2:$F$200,MATCH($AB441,'Test catalog'!$A$2:$A$200,0))),"")</f>
        <v/>
      </c>
      <c r="L441" s="10">
        <f>IFERROR(IF(INDEX('Test catalog'!$G$2:$G$200,MATCH($AB441,'Test catalog'!$A$2:$A$200,0))="","",INDEX('Test catalog'!$G$2:$G$200,MATCH($AB441,'Test catalog'!$A$2:$A$200,0))),"")</f>
        <v/>
      </c>
      <c r="M441" s="10">
        <f>IFERROR(IF(INDEX('Test catalog'!$H$2:$H$200,MATCH($AB441,'Test catalog'!$A$2:$A$200,0))="","",INDEX('Test catalog'!$H$2:$H$200,MATCH($AB441,'Test catalog'!$A$2:$A$200,0))),"")</f>
        <v/>
      </c>
      <c r="N441" s="10">
        <f>IFERROR(IF(INDEX('Test catalog'!$I$2:$I$200,MATCH($AB441,'Test catalog'!$A$2:$A$200,0))="","",INDEX('Test catalog'!$I$2:$I$200,MATCH($AB441,'Test catalog'!$A$2:$A$200,0))),"")</f>
        <v/>
      </c>
      <c r="O441" s="10">
        <f>IFERROR(IF(INDEX('Test catalog'!$J$2:$J$200,MATCH($AB441,'Test catalog'!$A$2:$A$200,0))="","",INDEX('Test catalog'!$J$2:$J$200,MATCH($AB441,'Test catalog'!$A$2:$A$200,0))),"")</f>
        <v/>
      </c>
      <c r="P441" s="14">
        <f>IF(N441="","",IF(OR(M441="",O441=""),N441,(M441+4*N441+O441)/6))</f>
        <v/>
      </c>
      <c r="Q441" s="10">
        <f>IFERROR(IF(INDEX('Test catalog'!$K$2:$K$200,MATCH($AB441,'Test catalog'!$A$2:$A$200,0))="","",INDEX('Test catalog'!$K$2:$K$200,MATCH($AB441,'Test catalog'!$A$2:$A$200,0))),"")</f>
        <v/>
      </c>
      <c r="R441" s="5" t="n"/>
      <c r="S441" s="10">
        <f>IFERROR(IF(INDEX('Test catalog'!$L$2:$L$200,MATCH($AB441,'Test catalog'!$A$2:$A$200,0))="","",INDEX('Test catalog'!$L$2:$L$200,MATCH($AB441,'Test catalog'!$A$2:$A$200,0))),"")</f>
        <v/>
      </c>
      <c r="T441" s="10">
        <f>IFERROR(IF(INDEX('Test catalog'!$M$2:$M$200,MATCH($AB441,'Test catalog'!$A$2:$A$200,0))="","",INDEX('Test catalog'!$M$2:$M$200,MATCH($AB441,'Test catalog'!$A$2:$A$200,0))),"")</f>
        <v/>
      </c>
      <c r="U441" s="10">
        <f>IFERROR(IF(INDEX('Test catalog'!$N$2:$N$200,MATCH($AB441,'Test catalog'!$A$2:$A$200,0))="","",INDEX('Test catalog'!$N$2:$N$200,MATCH($AB441,'Test catalog'!$A$2:$A$200,0))),"")</f>
        <v/>
      </c>
      <c r="V441" s="15" t="n"/>
      <c r="W441" s="5" t="inlineStr">
        <is>
          <t>N</t>
        </is>
      </c>
      <c r="X441" s="5" t="n"/>
      <c r="Y441" s="5" t="n"/>
      <c r="Z441" s="5" t="n"/>
      <c r="AA441" s="10">
        <f>IFERROR(IF(INDEX('Test catalog'!$O$2:$O$200,MATCH($AB441,'Test catalog'!$A$2:$A$200,0))="","",INDEX('Test catalog'!$O$2:$O$200,MATCH($AB441,'Test catalog'!$A$2:$A$200,0))),"")</f>
        <v/>
      </c>
      <c r="AB441" s="10" t="inlineStr">
        <is>
          <t>ROI</t>
        </is>
      </c>
      <c r="AC441" s="10" t="inlineStr">
        <is>
          <t>Pyridoxine Hydrochloride · Impurities &lt;281&gt;</t>
        </is>
      </c>
      <c r="AD441" s="10" t="n"/>
      <c r="AE441" s="10" t="n"/>
    </row>
    <row r="442">
      <c r="A442" s="10" t="inlineStr">
        <is>
          <t>Pyridoxine Hydrochloride (Vitamin B6)</t>
        </is>
      </c>
      <c r="B442" s="10" t="inlineStr">
        <is>
          <t>RM</t>
        </is>
      </c>
      <c r="C442" s="10" t="inlineStr">
        <is>
          <t>Active</t>
        </is>
      </c>
      <c r="D442" s="10" t="inlineStr">
        <is>
          <t>Content of Chloride</t>
        </is>
      </c>
      <c r="E442" s="10">
        <f>IF(A442="","",A442&amp;"|"&amp;D442)</f>
        <v/>
      </c>
      <c r="F442" s="5" t="inlineStr">
        <is>
          <t>Y</t>
        </is>
      </c>
      <c r="G442" s="5" t="inlineStr">
        <is>
          <t>Other / bench</t>
        </is>
      </c>
      <c r="H442" s="5" t="inlineStr">
        <is>
          <t>Low</t>
        </is>
      </c>
      <c r="I442" s="5" t="n">
        <v>1</v>
      </c>
      <c r="J442" s="5" t="n"/>
      <c r="K442" s="10">
        <f>IFERROR(IF(INDEX('Test catalog'!$F$2:$F$200,MATCH($AB442,'Test catalog'!$A$2:$A$200,0))="","",INDEX('Test catalog'!$F$2:$F$200,MATCH($AB442,'Test catalog'!$A$2:$A$200,0))),"")</f>
        <v/>
      </c>
      <c r="L442" s="10">
        <f>IFERROR(IF(INDEX('Test catalog'!$G$2:$G$200,MATCH($AB442,'Test catalog'!$A$2:$A$200,0))="","",INDEX('Test catalog'!$G$2:$G$200,MATCH($AB442,'Test catalog'!$A$2:$A$200,0))),"")</f>
        <v/>
      </c>
      <c r="M442" s="10">
        <f>IFERROR(IF(INDEX('Test catalog'!$H$2:$H$200,MATCH($AB442,'Test catalog'!$A$2:$A$200,0))="","",INDEX('Test catalog'!$H$2:$H$200,MATCH($AB442,'Test catalog'!$A$2:$A$200,0))),"")</f>
        <v/>
      </c>
      <c r="N442" s="10">
        <f>IFERROR(IF(INDEX('Test catalog'!$I$2:$I$200,MATCH($AB442,'Test catalog'!$A$2:$A$200,0))="","",INDEX('Test catalog'!$I$2:$I$200,MATCH($AB442,'Test catalog'!$A$2:$A$200,0))),"")</f>
        <v/>
      </c>
      <c r="O442" s="10">
        <f>IFERROR(IF(INDEX('Test catalog'!$J$2:$J$200,MATCH($AB442,'Test catalog'!$A$2:$A$200,0))="","",INDEX('Test catalog'!$J$2:$J$200,MATCH($AB442,'Test catalog'!$A$2:$A$200,0))),"")</f>
        <v/>
      </c>
      <c r="P442" s="14">
        <f>IF(N442="","",IF(OR(M442="",O442=""),N442,(M442+4*N442+O442)/6))</f>
        <v/>
      </c>
      <c r="Q442" s="10">
        <f>IFERROR(IF(INDEX('Test catalog'!$K$2:$K$200,MATCH($AB442,'Test catalog'!$A$2:$A$200,0))="","",INDEX('Test catalog'!$K$2:$K$200,MATCH($AB442,'Test catalog'!$A$2:$A$200,0))),"")</f>
        <v/>
      </c>
      <c r="R442" s="5" t="n"/>
      <c r="S442" s="10">
        <f>IFERROR(IF(INDEX('Test catalog'!$L$2:$L$200,MATCH($AB442,'Test catalog'!$A$2:$A$200,0))="","",INDEX('Test catalog'!$L$2:$L$200,MATCH($AB442,'Test catalog'!$A$2:$A$200,0))),"")</f>
        <v/>
      </c>
      <c r="T442" s="10">
        <f>IFERROR(IF(INDEX('Test catalog'!$M$2:$M$200,MATCH($AB442,'Test catalog'!$A$2:$A$200,0))="","",INDEX('Test catalog'!$M$2:$M$200,MATCH($AB442,'Test catalog'!$A$2:$A$200,0))),"")</f>
        <v/>
      </c>
      <c r="U442" s="10">
        <f>IFERROR(IF(INDEX('Test catalog'!$N$2:$N$200,MATCH($AB442,'Test catalog'!$A$2:$A$200,0))="","",INDEX('Test catalog'!$N$2:$N$200,MATCH($AB442,'Test catalog'!$A$2:$A$200,0))),"")</f>
        <v/>
      </c>
      <c r="V442" s="15" t="n"/>
      <c r="W442" s="5" t="inlineStr">
        <is>
          <t>N</t>
        </is>
      </c>
      <c r="X442" s="5" t="n"/>
      <c r="Y442" s="5" t="n"/>
      <c r="Z442" s="5" t="n"/>
      <c r="AA442" s="10">
        <f>IFERROR(IF(INDEX('Test catalog'!$O$2:$O$200,MATCH($AB442,'Test catalog'!$A$2:$A$200,0))="","",INDEX('Test catalog'!$O$2:$O$200,MATCH($AB442,'Test catalog'!$A$2:$A$200,0))),"")</f>
        <v/>
      </c>
      <c r="AB442" s="10" t="inlineStr">
        <is>
          <t>TITR</t>
        </is>
      </c>
      <c r="AC442" s="10" t="inlineStr">
        <is>
          <t>Pyridoxine Hydrochloride · Specific Tests &lt;541&gt;</t>
        </is>
      </c>
      <c r="AD442" s="10" t="n"/>
      <c r="AE442" s="10" t="n"/>
    </row>
    <row r="443">
      <c r="A443" s="10" t="inlineStr">
        <is>
          <t>Ranolazine</t>
        </is>
      </c>
      <c r="B443" s="10" t="inlineStr">
        <is>
          <t>RM</t>
        </is>
      </c>
      <c r="C443" s="10" t="inlineStr">
        <is>
          <t>Active</t>
        </is>
      </c>
      <c r="D443" s="10" t="inlineStr">
        <is>
          <t>Assay + related substances</t>
        </is>
      </c>
      <c r="E443" s="10">
        <f>IF(A443="","",A443&amp;"|"&amp;D443)</f>
        <v/>
      </c>
      <c r="F443" s="5" t="inlineStr">
        <is>
          <t>Y</t>
        </is>
      </c>
      <c r="G443" s="5" t="inlineStr">
        <is>
          <t>HPLC</t>
        </is>
      </c>
      <c r="H443" s="5" t="inlineStr">
        <is>
          <t>Medium</t>
        </is>
      </c>
      <c r="I443" s="5" t="n">
        <v>1</v>
      </c>
      <c r="J443" s="5" t="n"/>
      <c r="K443" s="5" t="n"/>
      <c r="L443" s="5" t="n"/>
      <c r="M443" s="5" t="n"/>
      <c r="N443" s="5" t="n"/>
      <c r="O443" s="5" t="n"/>
      <c r="P443" s="14">
        <f>IF(N443="","",IF(OR(M443="",O443=""),N443,(M443+4*N443+O443)/6))</f>
        <v/>
      </c>
      <c r="Q443" s="5" t="n"/>
      <c r="R443" s="5" t="n"/>
      <c r="S443" s="5" t="n"/>
      <c r="T443" s="5" t="n"/>
      <c r="U443" s="5" t="n"/>
      <c r="V443" s="15" t="n"/>
      <c r="W443" s="5" t="inlineStr">
        <is>
          <t>N</t>
        </is>
      </c>
      <c r="X443" s="5" t="n"/>
      <c r="Y443" s="5" t="n"/>
      <c r="Z443" s="5" t="n"/>
      <c r="AA443" s="5" t="n"/>
      <c r="AB443" s="10" t="n"/>
      <c r="AC443" s="10" t="n"/>
      <c r="AD443" s="10" t="inlineStr">
        <is>
          <t>No USP-NF monograph - in-house / supplier spec</t>
        </is>
      </c>
      <c r="AE443" s="10" t="n"/>
      <c r="AF443" s="10" t="n"/>
    </row>
    <row r="444">
      <c r="A444" s="10" t="inlineStr">
        <is>
          <t>Ranolazine</t>
        </is>
      </c>
      <c r="B444" s="10" t="inlineStr">
        <is>
          <t>RM</t>
        </is>
      </c>
      <c r="C444" s="10" t="inlineStr">
        <is>
          <t>Active</t>
        </is>
      </c>
      <c r="D444" s="10" t="inlineStr">
        <is>
          <t>Other compendial tests (ID, LOD/KF, heavy metals...)</t>
        </is>
      </c>
      <c r="E444" s="10">
        <f>IF(A444="","",A444&amp;"|"&amp;D444)</f>
        <v/>
      </c>
      <c r="F444" s="5" t="inlineStr">
        <is>
          <t>Y</t>
        </is>
      </c>
      <c r="G444" s="5" t="inlineStr">
        <is>
          <t>Other / bench</t>
        </is>
      </c>
      <c r="H444" s="5" t="inlineStr">
        <is>
          <t>Low</t>
        </is>
      </c>
      <c r="I444" s="5" t="n">
        <v>1</v>
      </c>
      <c r="J444" s="5" t="n"/>
      <c r="K444" s="5" t="n"/>
      <c r="L444" s="5" t="n"/>
      <c r="M444" s="5" t="n"/>
      <c r="N444" s="5" t="n"/>
      <c r="O444" s="5" t="n"/>
      <c r="P444" s="14">
        <f>IF(N444="","",IF(OR(M444="",O444=""),N444,(M444+4*N444+O444)/6))</f>
        <v/>
      </c>
      <c r="Q444" s="5" t="n"/>
      <c r="R444" s="5" t="n"/>
      <c r="S444" s="5" t="n"/>
      <c r="T444" s="5" t="n"/>
      <c r="U444" s="5" t="n"/>
      <c r="V444" s="15" t="n"/>
      <c r="W444" s="5" t="inlineStr">
        <is>
          <t>N</t>
        </is>
      </c>
      <c r="X444" s="5" t="n"/>
      <c r="Y444" s="5" t="n"/>
      <c r="Z444" s="5" t="n"/>
      <c r="AA444" s="5" t="n"/>
      <c r="AB444" s="10" t="n"/>
      <c r="AC444" s="10" t="n"/>
      <c r="AD444" s="10" t="inlineStr">
        <is>
          <t>No USP-NF monograph - in-house / supplier spec</t>
        </is>
      </c>
      <c r="AE444" s="10" t="n"/>
      <c r="AF444" s="10" t="n"/>
    </row>
    <row r="445">
      <c r="A445" s="10" t="inlineStr">
        <is>
          <t>Resmetirom</t>
        </is>
      </c>
      <c r="B445" s="10" t="inlineStr">
        <is>
          <t>RM</t>
        </is>
      </c>
      <c r="C445" s="10" t="inlineStr">
        <is>
          <t>Active</t>
        </is>
      </c>
      <c r="D445" s="10" t="inlineStr">
        <is>
          <t>Assay + related substances</t>
        </is>
      </c>
      <c r="E445" s="10">
        <f>IF(A445="","",A445&amp;"|"&amp;D445)</f>
        <v/>
      </c>
      <c r="F445" s="5" t="inlineStr">
        <is>
          <t>Y</t>
        </is>
      </c>
      <c r="G445" s="5" t="inlineStr">
        <is>
          <t>HPLC</t>
        </is>
      </c>
      <c r="H445" s="5" t="inlineStr">
        <is>
          <t>Medium</t>
        </is>
      </c>
      <c r="I445" s="5" t="n">
        <v>1</v>
      </c>
      <c r="J445" s="5" t="n"/>
      <c r="K445" s="5" t="n"/>
      <c r="L445" s="5" t="n"/>
      <c r="M445" s="5" t="n"/>
      <c r="N445" s="5" t="n"/>
      <c r="O445" s="5" t="n"/>
      <c r="P445" s="14">
        <f>IF(N445="","",IF(OR(M445="",O445=""),N445,(M445+4*N445+O445)/6))</f>
        <v/>
      </c>
      <c r="Q445" s="5" t="n"/>
      <c r="R445" s="5" t="n"/>
      <c r="S445" s="5" t="n"/>
      <c r="T445" s="5" t="n"/>
      <c r="U445" s="5" t="n"/>
      <c r="V445" s="15" t="n"/>
      <c r="W445" s="5" t="inlineStr">
        <is>
          <t>N</t>
        </is>
      </c>
      <c r="X445" s="5" t="n"/>
      <c r="Y445" s="5" t="n"/>
      <c r="Z445" s="5" t="n"/>
      <c r="AA445" s="5" t="n"/>
      <c r="AB445" s="10" t="n"/>
      <c r="AC445" s="10" t="n"/>
      <c r="AD445" s="10" t="inlineStr">
        <is>
          <t>No USP-NF monograph - in-house / supplier spec</t>
        </is>
      </c>
      <c r="AE445" s="10" t="n"/>
      <c r="AF445" s="10" t="n"/>
    </row>
    <row r="446">
      <c r="A446" s="10" t="inlineStr">
        <is>
          <t>Resmetirom</t>
        </is>
      </c>
      <c r="B446" s="10" t="inlineStr">
        <is>
          <t>RM</t>
        </is>
      </c>
      <c r="C446" s="10" t="inlineStr">
        <is>
          <t>Active</t>
        </is>
      </c>
      <c r="D446" s="10" t="inlineStr">
        <is>
          <t>Other compendial tests (ID, LOD/KF, heavy metals...)</t>
        </is>
      </c>
      <c r="E446" s="10">
        <f>IF(A446="","",A446&amp;"|"&amp;D446)</f>
        <v/>
      </c>
      <c r="F446" s="5" t="inlineStr">
        <is>
          <t>Y</t>
        </is>
      </c>
      <c r="G446" s="5" t="inlineStr">
        <is>
          <t>Other / bench</t>
        </is>
      </c>
      <c r="H446" s="5" t="inlineStr">
        <is>
          <t>Low</t>
        </is>
      </c>
      <c r="I446" s="5" t="n">
        <v>1</v>
      </c>
      <c r="J446" s="5" t="n"/>
      <c r="K446" s="5" t="n"/>
      <c r="L446" s="5" t="n"/>
      <c r="M446" s="5" t="n"/>
      <c r="N446" s="5" t="n"/>
      <c r="O446" s="5" t="n"/>
      <c r="P446" s="14">
        <f>IF(N446="","",IF(OR(M446="",O446=""),N446,(M446+4*N446+O446)/6))</f>
        <v/>
      </c>
      <c r="Q446" s="5" t="n"/>
      <c r="R446" s="5" t="n"/>
      <c r="S446" s="5" t="n"/>
      <c r="T446" s="5" t="n"/>
      <c r="U446" s="5" t="n"/>
      <c r="V446" s="15" t="n"/>
      <c r="W446" s="5" t="inlineStr">
        <is>
          <t>N</t>
        </is>
      </c>
      <c r="X446" s="5" t="n"/>
      <c r="Y446" s="5" t="n"/>
      <c r="Z446" s="5" t="n"/>
      <c r="AA446" s="5" t="n"/>
      <c r="AB446" s="10" t="n"/>
      <c r="AC446" s="10" t="n"/>
      <c r="AD446" s="10" t="inlineStr">
        <is>
          <t>No USP-NF monograph - in-house / supplier spec</t>
        </is>
      </c>
      <c r="AE446" s="10" t="n"/>
      <c r="AF446" s="10" t="n"/>
    </row>
    <row r="447">
      <c r="A447" s="10" t="inlineStr">
        <is>
          <t>Riboflavin (Vitamin B2)</t>
        </is>
      </c>
      <c r="B447" s="10" t="inlineStr">
        <is>
          <t>RM</t>
        </is>
      </c>
      <c r="C447" s="10" t="inlineStr">
        <is>
          <t>Active</t>
        </is>
      </c>
      <c r="D447" s="10" t="inlineStr">
        <is>
          <t>Appearance / description and solubility</t>
        </is>
      </c>
      <c r="E447" s="10">
        <f>IF(A447="","",A447&amp;"|"&amp;D447)</f>
        <v/>
      </c>
      <c r="F447" s="5" t="inlineStr">
        <is>
          <t>Y</t>
        </is>
      </c>
      <c r="G447" s="5" t="inlineStr">
        <is>
          <t>Other / bench</t>
        </is>
      </c>
      <c r="H447" s="5" t="inlineStr">
        <is>
          <t>Low</t>
        </is>
      </c>
      <c r="I447" s="5" t="n">
        <v>1</v>
      </c>
      <c r="J447" s="5" t="n"/>
      <c r="K447" s="10">
        <f>IFERROR(IF(INDEX('Test catalog'!$F$2:$F$200,MATCH($AB447,'Test catalog'!$A$2:$A$200,0))="","",INDEX('Test catalog'!$F$2:$F$200,MATCH($AB447,'Test catalog'!$A$2:$A$200,0))),"")</f>
        <v/>
      </c>
      <c r="L447" s="10">
        <f>IFERROR(IF(INDEX('Test catalog'!$G$2:$G$200,MATCH($AB447,'Test catalog'!$A$2:$A$200,0))="","",INDEX('Test catalog'!$G$2:$G$200,MATCH($AB447,'Test catalog'!$A$2:$A$200,0))),"")</f>
        <v/>
      </c>
      <c r="M447" s="10">
        <f>IFERROR(IF(INDEX('Test catalog'!$H$2:$H$200,MATCH($AB447,'Test catalog'!$A$2:$A$200,0))="","",INDEX('Test catalog'!$H$2:$H$200,MATCH($AB447,'Test catalog'!$A$2:$A$200,0))),"")</f>
        <v/>
      </c>
      <c r="N447" s="10">
        <f>IFERROR(IF(INDEX('Test catalog'!$I$2:$I$200,MATCH($AB447,'Test catalog'!$A$2:$A$200,0))="","",INDEX('Test catalog'!$I$2:$I$200,MATCH($AB447,'Test catalog'!$A$2:$A$200,0))),"")</f>
        <v/>
      </c>
      <c r="O447" s="10">
        <f>IFERROR(IF(INDEX('Test catalog'!$J$2:$J$200,MATCH($AB447,'Test catalog'!$A$2:$A$200,0))="","",INDEX('Test catalog'!$J$2:$J$200,MATCH($AB447,'Test catalog'!$A$2:$A$200,0))),"")</f>
        <v/>
      </c>
      <c r="P447" s="14">
        <f>IF(N447="","",IF(OR(M447="",O447=""),N447,(M447+4*N447+O447)/6))</f>
        <v/>
      </c>
      <c r="Q447" s="10">
        <f>IFERROR(IF(INDEX('Test catalog'!$K$2:$K$200,MATCH($AB447,'Test catalog'!$A$2:$A$200,0))="","",INDEX('Test catalog'!$K$2:$K$200,MATCH($AB447,'Test catalog'!$A$2:$A$200,0))),"")</f>
        <v/>
      </c>
      <c r="R447" s="5" t="n"/>
      <c r="S447" s="10">
        <f>IFERROR(IF(INDEX('Test catalog'!$L$2:$L$200,MATCH($AB447,'Test catalog'!$A$2:$A$200,0))="","",INDEX('Test catalog'!$L$2:$L$200,MATCH($AB447,'Test catalog'!$A$2:$A$200,0))),"")</f>
        <v/>
      </c>
      <c r="T447" s="10">
        <f>IFERROR(IF(INDEX('Test catalog'!$M$2:$M$200,MATCH($AB447,'Test catalog'!$A$2:$A$200,0))="","",INDEX('Test catalog'!$M$2:$M$200,MATCH($AB447,'Test catalog'!$A$2:$A$200,0))),"")</f>
        <v/>
      </c>
      <c r="U447" s="10">
        <f>IFERROR(IF(INDEX('Test catalog'!$N$2:$N$200,MATCH($AB447,'Test catalog'!$A$2:$A$200,0))="","",INDEX('Test catalog'!$N$2:$N$200,MATCH($AB447,'Test catalog'!$A$2:$A$200,0))),"")</f>
        <v/>
      </c>
      <c r="V447" s="15" t="n"/>
      <c r="W447" s="5" t="inlineStr">
        <is>
          <t>N</t>
        </is>
      </c>
      <c r="X447" s="5" t="n"/>
      <c r="Y447" s="5" t="n"/>
      <c r="Z447" s="5" t="n"/>
      <c r="AA447" s="10">
        <f>IFERROR(IF(INDEX('Test catalog'!$O$2:$O$200,MATCH($AB447,'Test catalog'!$A$2:$A$200,0))="","",INDEX('Test catalog'!$O$2:$O$200,MATCH($AB447,'Test catalog'!$A$2:$A$200,0))),"")</f>
        <v/>
      </c>
      <c r="AB447" s="10" t="inlineStr">
        <is>
          <t>APPEAR</t>
        </is>
      </c>
      <c r="AC447" s="10" t="inlineStr">
        <is>
          <t>Lab practice (not a USP test)</t>
        </is>
      </c>
      <c r="AD447" s="10" t="n"/>
      <c r="AE447" s="10" t="n"/>
    </row>
    <row r="448">
      <c r="A448" s="10" t="inlineStr">
        <is>
          <t>Riboflavin (Vitamin B2)</t>
        </is>
      </c>
      <c r="B448" s="10" t="inlineStr">
        <is>
          <t>RM</t>
        </is>
      </c>
      <c r="C448" s="10" t="inlineStr">
        <is>
          <t>Active</t>
        </is>
      </c>
      <c r="D448" s="10" t="inlineStr">
        <is>
          <t>ID A - UV spectrum</t>
        </is>
      </c>
      <c r="E448" s="10">
        <f>IF(A448="","",A448&amp;"|"&amp;D448)</f>
        <v/>
      </c>
      <c r="F448" s="5" t="inlineStr">
        <is>
          <t>Y</t>
        </is>
      </c>
      <c r="G448" s="5" t="inlineStr">
        <is>
          <t>UV-Vis</t>
        </is>
      </c>
      <c r="H448" s="5" t="inlineStr">
        <is>
          <t>Low</t>
        </is>
      </c>
      <c r="I448" s="5" t="n">
        <v>1</v>
      </c>
      <c r="J448" s="5" t="n"/>
      <c r="K448" s="10">
        <f>IFERROR(IF(INDEX('Test catalog'!$F$2:$F$200,MATCH($AB448,'Test catalog'!$A$2:$A$200,0))="","",INDEX('Test catalog'!$F$2:$F$200,MATCH($AB448,'Test catalog'!$A$2:$A$200,0))),"")</f>
        <v/>
      </c>
      <c r="L448" s="10">
        <f>IFERROR(IF(INDEX('Test catalog'!$G$2:$G$200,MATCH($AB448,'Test catalog'!$A$2:$A$200,0))="","",INDEX('Test catalog'!$G$2:$G$200,MATCH($AB448,'Test catalog'!$A$2:$A$200,0))),"")</f>
        <v/>
      </c>
      <c r="M448" s="10">
        <f>IFERROR(IF(INDEX('Test catalog'!$H$2:$H$200,MATCH($AB448,'Test catalog'!$A$2:$A$200,0))="","",INDEX('Test catalog'!$H$2:$H$200,MATCH($AB448,'Test catalog'!$A$2:$A$200,0))),"")</f>
        <v/>
      </c>
      <c r="N448" s="10">
        <f>IFERROR(IF(INDEX('Test catalog'!$I$2:$I$200,MATCH($AB448,'Test catalog'!$A$2:$A$200,0))="","",INDEX('Test catalog'!$I$2:$I$200,MATCH($AB448,'Test catalog'!$A$2:$A$200,0))),"")</f>
        <v/>
      </c>
      <c r="O448" s="10">
        <f>IFERROR(IF(INDEX('Test catalog'!$J$2:$J$200,MATCH($AB448,'Test catalog'!$A$2:$A$200,0))="","",INDEX('Test catalog'!$J$2:$J$200,MATCH($AB448,'Test catalog'!$A$2:$A$200,0))),"")</f>
        <v/>
      </c>
      <c r="P448" s="14">
        <f>IF(N448="","",IF(OR(M448="",O448=""),N448,(M448+4*N448+O448)/6))</f>
        <v/>
      </c>
      <c r="Q448" s="10">
        <f>IFERROR(IF(INDEX('Test catalog'!$K$2:$K$200,MATCH($AB448,'Test catalog'!$A$2:$A$200,0))="","",INDEX('Test catalog'!$K$2:$K$200,MATCH($AB448,'Test catalog'!$A$2:$A$200,0))),"")</f>
        <v/>
      </c>
      <c r="R448" s="5" t="n"/>
      <c r="S448" s="10">
        <f>IFERROR(IF(INDEX('Test catalog'!$L$2:$L$200,MATCH($AB448,'Test catalog'!$A$2:$A$200,0))="","",INDEX('Test catalog'!$L$2:$L$200,MATCH($AB448,'Test catalog'!$A$2:$A$200,0))),"")</f>
        <v/>
      </c>
      <c r="T448" s="10">
        <f>IFERROR(IF(INDEX('Test catalog'!$M$2:$M$200,MATCH($AB448,'Test catalog'!$A$2:$A$200,0))="","",INDEX('Test catalog'!$M$2:$M$200,MATCH($AB448,'Test catalog'!$A$2:$A$200,0))),"")</f>
        <v/>
      </c>
      <c r="U448" s="10">
        <f>IFERROR(IF(INDEX('Test catalog'!$N$2:$N$200,MATCH($AB448,'Test catalog'!$A$2:$A$200,0))="","",INDEX('Test catalog'!$N$2:$N$200,MATCH($AB448,'Test catalog'!$A$2:$A$200,0))),"")</f>
        <v/>
      </c>
      <c r="V448" s="15" t="n"/>
      <c r="W448" s="5" t="inlineStr">
        <is>
          <t>N</t>
        </is>
      </c>
      <c r="X448" s="5" t="n"/>
      <c r="Y448" s="5" t="n"/>
      <c r="Z448" s="5" t="n"/>
      <c r="AA448" s="10">
        <f>IFERROR(IF(INDEX('Test catalog'!$O$2:$O$200,MATCH($AB448,'Test catalog'!$A$2:$A$200,0))="","",INDEX('Test catalog'!$O$2:$O$200,MATCH($AB448,'Test catalog'!$A$2:$A$200,0))),"")</f>
        <v/>
      </c>
      <c r="AB448" s="10" t="inlineStr">
        <is>
          <t>ID_UV</t>
        </is>
      </c>
      <c r="AC448" s="10" t="inlineStr">
        <is>
          <t>Riboflavin · Identification</t>
        </is>
      </c>
      <c r="AD448" s="10" t="n"/>
      <c r="AE448" s="10" t="n"/>
    </row>
    <row r="449">
      <c r="A449" s="10" t="inlineStr">
        <is>
          <t>Riboflavin (Vitamin B2)</t>
        </is>
      </c>
      <c r="B449" s="10" t="inlineStr">
        <is>
          <t>RM</t>
        </is>
      </c>
      <c r="C449" s="10" t="inlineStr">
        <is>
          <t>Active</t>
        </is>
      </c>
      <c r="D449" s="10" t="inlineStr">
        <is>
          <t>Assay</t>
        </is>
      </c>
      <c r="E449" s="10">
        <f>IF(A449="","",A449&amp;"|"&amp;D449)</f>
        <v/>
      </c>
      <c r="F449" s="5" t="inlineStr">
        <is>
          <t>Y</t>
        </is>
      </c>
      <c r="G449" s="5" t="inlineStr">
        <is>
          <t>UV-Vis</t>
        </is>
      </c>
      <c r="H449" s="5" t="inlineStr">
        <is>
          <t>Low</t>
        </is>
      </c>
      <c r="I449" s="5" t="n">
        <v>1</v>
      </c>
      <c r="J449" s="5" t="n"/>
      <c r="K449" s="10">
        <f>IFERROR(IF(INDEX('Test catalog'!$F$2:$F$200,MATCH($AB449,'Test catalog'!$A$2:$A$200,0))="","",INDEX('Test catalog'!$F$2:$F$200,MATCH($AB449,'Test catalog'!$A$2:$A$200,0))),"")</f>
        <v/>
      </c>
      <c r="L449" s="10">
        <f>IFERROR(IF(INDEX('Test catalog'!$G$2:$G$200,MATCH($AB449,'Test catalog'!$A$2:$A$200,0))="","",INDEX('Test catalog'!$G$2:$G$200,MATCH($AB449,'Test catalog'!$A$2:$A$200,0))),"")</f>
        <v/>
      </c>
      <c r="M449" s="10">
        <f>IFERROR(IF(INDEX('Test catalog'!$H$2:$H$200,MATCH($AB449,'Test catalog'!$A$2:$A$200,0))="","",INDEX('Test catalog'!$H$2:$H$200,MATCH($AB449,'Test catalog'!$A$2:$A$200,0))),"")</f>
        <v/>
      </c>
      <c r="N449" s="10">
        <f>IFERROR(IF(INDEX('Test catalog'!$I$2:$I$200,MATCH($AB449,'Test catalog'!$A$2:$A$200,0))="","",INDEX('Test catalog'!$I$2:$I$200,MATCH($AB449,'Test catalog'!$A$2:$A$200,0))),"")</f>
        <v/>
      </c>
      <c r="O449" s="10">
        <f>IFERROR(IF(INDEX('Test catalog'!$J$2:$J$200,MATCH($AB449,'Test catalog'!$A$2:$A$200,0))="","",INDEX('Test catalog'!$J$2:$J$200,MATCH($AB449,'Test catalog'!$A$2:$A$200,0))),"")</f>
        <v/>
      </c>
      <c r="P449" s="14">
        <f>IF(N449="","",IF(OR(M449="",O449=""),N449,(M449+4*N449+O449)/6))</f>
        <v/>
      </c>
      <c r="Q449" s="10">
        <f>IFERROR(IF(INDEX('Test catalog'!$K$2:$K$200,MATCH($AB449,'Test catalog'!$A$2:$A$200,0))="","",INDEX('Test catalog'!$K$2:$K$200,MATCH($AB449,'Test catalog'!$A$2:$A$200,0))),"")</f>
        <v/>
      </c>
      <c r="R449" s="5" t="n"/>
      <c r="S449" s="10">
        <f>IFERROR(IF(INDEX('Test catalog'!$L$2:$L$200,MATCH($AB449,'Test catalog'!$A$2:$A$200,0))="","",INDEX('Test catalog'!$L$2:$L$200,MATCH($AB449,'Test catalog'!$A$2:$A$200,0))),"")</f>
        <v/>
      </c>
      <c r="T449" s="10">
        <f>IFERROR(IF(INDEX('Test catalog'!$M$2:$M$200,MATCH($AB449,'Test catalog'!$A$2:$A$200,0))="","",INDEX('Test catalog'!$M$2:$M$200,MATCH($AB449,'Test catalog'!$A$2:$A$200,0))),"")</f>
        <v/>
      </c>
      <c r="U449" s="10">
        <f>IFERROR(IF(INDEX('Test catalog'!$N$2:$N$200,MATCH($AB449,'Test catalog'!$A$2:$A$200,0))="","",INDEX('Test catalog'!$N$2:$N$200,MATCH($AB449,'Test catalog'!$A$2:$A$200,0))),"")</f>
        <v/>
      </c>
      <c r="V449" s="15" t="n"/>
      <c r="W449" s="5" t="inlineStr">
        <is>
          <t>N</t>
        </is>
      </c>
      <c r="X449" s="5" t="n"/>
      <c r="Y449" s="5" t="n"/>
      <c r="Z449" s="5" t="n"/>
      <c r="AA449" s="10">
        <f>IFERROR(IF(INDEX('Test catalog'!$O$2:$O$200,MATCH($AB449,'Test catalog'!$A$2:$A$200,0))="","",INDEX('Test catalog'!$O$2:$O$200,MATCH($AB449,'Test catalog'!$A$2:$A$200,0))),"")</f>
        <v/>
      </c>
      <c r="AB449" s="10" t="inlineStr">
        <is>
          <t>UV</t>
        </is>
      </c>
      <c r="AC449" s="10" t="inlineStr">
        <is>
          <t>Riboflavin · Assay</t>
        </is>
      </c>
      <c r="AD449" s="10" t="n"/>
      <c r="AE449" s="10" t="n"/>
    </row>
    <row r="450">
      <c r="A450" s="10" t="inlineStr">
        <is>
          <t>Riboflavin (Vitamin B2)</t>
        </is>
      </c>
      <c r="B450" s="10" t="inlineStr">
        <is>
          <t>RM</t>
        </is>
      </c>
      <c r="C450" s="10" t="inlineStr">
        <is>
          <t>Active</t>
        </is>
      </c>
      <c r="D450" s="10" t="inlineStr">
        <is>
          <t>Residue on Ignition</t>
        </is>
      </c>
      <c r="E450" s="10">
        <f>IF(A450="","",A450&amp;"|"&amp;D450)</f>
        <v/>
      </c>
      <c r="F450" s="5" t="inlineStr">
        <is>
          <t>Y</t>
        </is>
      </c>
      <c r="G450" s="5" t="inlineStr">
        <is>
          <t>Other / bench</t>
        </is>
      </c>
      <c r="H450" s="5" t="inlineStr">
        <is>
          <t>Low</t>
        </is>
      </c>
      <c r="I450" s="5" t="n">
        <v>1</v>
      </c>
      <c r="J450" s="5" t="n"/>
      <c r="K450" s="10">
        <f>IFERROR(IF(INDEX('Test catalog'!$F$2:$F$200,MATCH($AB450,'Test catalog'!$A$2:$A$200,0))="","",INDEX('Test catalog'!$F$2:$F$200,MATCH($AB450,'Test catalog'!$A$2:$A$200,0))),"")</f>
        <v/>
      </c>
      <c r="L450" s="10">
        <f>IFERROR(IF(INDEX('Test catalog'!$G$2:$G$200,MATCH($AB450,'Test catalog'!$A$2:$A$200,0))="","",INDEX('Test catalog'!$G$2:$G$200,MATCH($AB450,'Test catalog'!$A$2:$A$200,0))),"")</f>
        <v/>
      </c>
      <c r="M450" s="10">
        <f>IFERROR(IF(INDEX('Test catalog'!$H$2:$H$200,MATCH($AB450,'Test catalog'!$A$2:$A$200,0))="","",INDEX('Test catalog'!$H$2:$H$200,MATCH($AB450,'Test catalog'!$A$2:$A$200,0))),"")</f>
        <v/>
      </c>
      <c r="N450" s="10">
        <f>IFERROR(IF(INDEX('Test catalog'!$I$2:$I$200,MATCH($AB450,'Test catalog'!$A$2:$A$200,0))="","",INDEX('Test catalog'!$I$2:$I$200,MATCH($AB450,'Test catalog'!$A$2:$A$200,0))),"")</f>
        <v/>
      </c>
      <c r="O450" s="10">
        <f>IFERROR(IF(INDEX('Test catalog'!$J$2:$J$200,MATCH($AB450,'Test catalog'!$A$2:$A$200,0))="","",INDEX('Test catalog'!$J$2:$J$200,MATCH($AB450,'Test catalog'!$A$2:$A$200,0))),"")</f>
        <v/>
      </c>
      <c r="P450" s="14">
        <f>IF(N450="","",IF(OR(M450="",O450=""),N450,(M450+4*N450+O450)/6))</f>
        <v/>
      </c>
      <c r="Q450" s="10">
        <f>IFERROR(IF(INDEX('Test catalog'!$K$2:$K$200,MATCH($AB450,'Test catalog'!$A$2:$A$200,0))="","",INDEX('Test catalog'!$K$2:$K$200,MATCH($AB450,'Test catalog'!$A$2:$A$200,0))),"")</f>
        <v/>
      </c>
      <c r="R450" s="5" t="n"/>
      <c r="S450" s="10">
        <f>IFERROR(IF(INDEX('Test catalog'!$L$2:$L$200,MATCH($AB450,'Test catalog'!$A$2:$A$200,0))="","",INDEX('Test catalog'!$L$2:$L$200,MATCH($AB450,'Test catalog'!$A$2:$A$200,0))),"")</f>
        <v/>
      </c>
      <c r="T450" s="10">
        <f>IFERROR(IF(INDEX('Test catalog'!$M$2:$M$200,MATCH($AB450,'Test catalog'!$A$2:$A$200,0))="","",INDEX('Test catalog'!$M$2:$M$200,MATCH($AB450,'Test catalog'!$A$2:$A$200,0))),"")</f>
        <v/>
      </c>
      <c r="U450" s="10">
        <f>IFERROR(IF(INDEX('Test catalog'!$N$2:$N$200,MATCH($AB450,'Test catalog'!$A$2:$A$200,0))="","",INDEX('Test catalog'!$N$2:$N$200,MATCH($AB450,'Test catalog'!$A$2:$A$200,0))),"")</f>
        <v/>
      </c>
      <c r="V450" s="15" t="n"/>
      <c r="W450" s="5" t="inlineStr">
        <is>
          <t>N</t>
        </is>
      </c>
      <c r="X450" s="5" t="n"/>
      <c r="Y450" s="5" t="n"/>
      <c r="Z450" s="5" t="n"/>
      <c r="AA450" s="10">
        <f>IFERROR(IF(INDEX('Test catalog'!$O$2:$O$200,MATCH($AB450,'Test catalog'!$A$2:$A$200,0))="","",INDEX('Test catalog'!$O$2:$O$200,MATCH($AB450,'Test catalog'!$A$2:$A$200,0))),"")</f>
        <v/>
      </c>
      <c r="AB450" s="10" t="inlineStr">
        <is>
          <t>ROI</t>
        </is>
      </c>
      <c r="AC450" s="10" t="inlineStr">
        <is>
          <t>Riboflavin · Impurities &lt;281&gt;</t>
        </is>
      </c>
      <c r="AD450" s="10" t="n"/>
      <c r="AE450" s="10" t="n"/>
    </row>
    <row r="451">
      <c r="A451" s="10" t="inlineStr">
        <is>
          <t>Riboflavin (Vitamin B2)</t>
        </is>
      </c>
      <c r="B451" s="10" t="inlineStr">
        <is>
          <t>RM</t>
        </is>
      </c>
      <c r="C451" s="10" t="inlineStr">
        <is>
          <t>Active</t>
        </is>
      </c>
      <c r="D451" s="10" t="inlineStr">
        <is>
          <t>Limit of Lumiflavin</t>
        </is>
      </c>
      <c r="E451" s="10">
        <f>IF(A451="","",A451&amp;"|"&amp;D451)</f>
        <v/>
      </c>
      <c r="F451" s="5" t="inlineStr">
        <is>
          <t>Y</t>
        </is>
      </c>
      <c r="G451" s="5" t="inlineStr">
        <is>
          <t>UV-Vis</t>
        </is>
      </c>
      <c r="H451" s="5" t="inlineStr">
        <is>
          <t>Low</t>
        </is>
      </c>
      <c r="I451" s="5" t="n">
        <v>1</v>
      </c>
      <c r="J451" s="5" t="n"/>
      <c r="K451" s="10">
        <f>IFERROR(IF(INDEX('Test catalog'!$F$2:$F$200,MATCH($AB451,'Test catalog'!$A$2:$A$200,0))="","",INDEX('Test catalog'!$F$2:$F$200,MATCH($AB451,'Test catalog'!$A$2:$A$200,0))),"")</f>
        <v/>
      </c>
      <c r="L451" s="10">
        <f>IFERROR(IF(INDEX('Test catalog'!$G$2:$G$200,MATCH($AB451,'Test catalog'!$A$2:$A$200,0))="","",INDEX('Test catalog'!$G$2:$G$200,MATCH($AB451,'Test catalog'!$A$2:$A$200,0))),"")</f>
        <v/>
      </c>
      <c r="M451" s="10">
        <f>IFERROR(IF(INDEX('Test catalog'!$H$2:$H$200,MATCH($AB451,'Test catalog'!$A$2:$A$200,0))="","",INDEX('Test catalog'!$H$2:$H$200,MATCH($AB451,'Test catalog'!$A$2:$A$200,0))),"")</f>
        <v/>
      </c>
      <c r="N451" s="10">
        <f>IFERROR(IF(INDEX('Test catalog'!$I$2:$I$200,MATCH($AB451,'Test catalog'!$A$2:$A$200,0))="","",INDEX('Test catalog'!$I$2:$I$200,MATCH($AB451,'Test catalog'!$A$2:$A$200,0))),"")</f>
        <v/>
      </c>
      <c r="O451" s="10">
        <f>IFERROR(IF(INDEX('Test catalog'!$J$2:$J$200,MATCH($AB451,'Test catalog'!$A$2:$A$200,0))="","",INDEX('Test catalog'!$J$2:$J$200,MATCH($AB451,'Test catalog'!$A$2:$A$200,0))),"")</f>
        <v/>
      </c>
      <c r="P451" s="14">
        <f>IF(N451="","",IF(OR(M451="",O451=""),N451,(M451+4*N451+O451)/6))</f>
        <v/>
      </c>
      <c r="Q451" s="10">
        <f>IFERROR(IF(INDEX('Test catalog'!$K$2:$K$200,MATCH($AB451,'Test catalog'!$A$2:$A$200,0))="","",INDEX('Test catalog'!$K$2:$K$200,MATCH($AB451,'Test catalog'!$A$2:$A$200,0))),"")</f>
        <v/>
      </c>
      <c r="R451" s="5" t="n"/>
      <c r="S451" s="10">
        <f>IFERROR(IF(INDEX('Test catalog'!$L$2:$L$200,MATCH($AB451,'Test catalog'!$A$2:$A$200,0))="","",INDEX('Test catalog'!$L$2:$L$200,MATCH($AB451,'Test catalog'!$A$2:$A$200,0))),"")</f>
        <v/>
      </c>
      <c r="T451" s="10">
        <f>IFERROR(IF(INDEX('Test catalog'!$M$2:$M$200,MATCH($AB451,'Test catalog'!$A$2:$A$200,0))="","",INDEX('Test catalog'!$M$2:$M$200,MATCH($AB451,'Test catalog'!$A$2:$A$200,0))),"")</f>
        <v/>
      </c>
      <c r="U451" s="10">
        <f>IFERROR(IF(INDEX('Test catalog'!$N$2:$N$200,MATCH($AB451,'Test catalog'!$A$2:$A$200,0))="","",INDEX('Test catalog'!$N$2:$N$200,MATCH($AB451,'Test catalog'!$A$2:$A$200,0))),"")</f>
        <v/>
      </c>
      <c r="V451" s="15" t="n"/>
      <c r="W451" s="5" t="inlineStr">
        <is>
          <t>N</t>
        </is>
      </c>
      <c r="X451" s="5" t="n"/>
      <c r="Y451" s="5" t="n"/>
      <c r="Z451" s="5" t="n"/>
      <c r="AA451" s="10">
        <f>IFERROR(IF(INDEX('Test catalog'!$O$2:$O$200,MATCH($AB451,'Test catalog'!$A$2:$A$200,0))="","",INDEX('Test catalog'!$O$2:$O$200,MATCH($AB451,'Test catalog'!$A$2:$A$200,0))),"")</f>
        <v/>
      </c>
      <c r="AB451" s="10" t="inlineStr">
        <is>
          <t>UV</t>
        </is>
      </c>
      <c r="AC451" s="10" t="inlineStr">
        <is>
          <t>Riboflavin · Impurities</t>
        </is>
      </c>
      <c r="AD451" s="10" t="n"/>
      <c r="AE451" s="10" t="n"/>
    </row>
    <row r="452">
      <c r="A452" s="10" t="inlineStr">
        <is>
          <t>Riboflavin (Vitamin B2)</t>
        </is>
      </c>
      <c r="B452" s="10" t="inlineStr">
        <is>
          <t>RM</t>
        </is>
      </c>
      <c r="C452" s="10" t="inlineStr">
        <is>
          <t>Active</t>
        </is>
      </c>
      <c r="D452" s="10" t="inlineStr">
        <is>
          <t>Optical Rotation, Specific Rotation</t>
        </is>
      </c>
      <c r="E452" s="10">
        <f>IF(A452="","",A452&amp;"|"&amp;D452)</f>
        <v/>
      </c>
      <c r="F452" s="5" t="inlineStr">
        <is>
          <t>Y</t>
        </is>
      </c>
      <c r="G452" s="5" t="inlineStr">
        <is>
          <t>Other / bench</t>
        </is>
      </c>
      <c r="H452" s="5" t="inlineStr">
        <is>
          <t>Low</t>
        </is>
      </c>
      <c r="I452" s="5" t="n">
        <v>1</v>
      </c>
      <c r="J452" s="5" t="n"/>
      <c r="K452" s="10">
        <f>IFERROR(IF(INDEX('Test catalog'!$F$2:$F$200,MATCH($AB452,'Test catalog'!$A$2:$A$200,0))="","",INDEX('Test catalog'!$F$2:$F$200,MATCH($AB452,'Test catalog'!$A$2:$A$200,0))),"")</f>
        <v/>
      </c>
      <c r="L452" s="10">
        <f>IFERROR(IF(INDEX('Test catalog'!$G$2:$G$200,MATCH($AB452,'Test catalog'!$A$2:$A$200,0))="","",INDEX('Test catalog'!$G$2:$G$200,MATCH($AB452,'Test catalog'!$A$2:$A$200,0))),"")</f>
        <v/>
      </c>
      <c r="M452" s="10">
        <f>IFERROR(IF(INDEX('Test catalog'!$H$2:$H$200,MATCH($AB452,'Test catalog'!$A$2:$A$200,0))="","",INDEX('Test catalog'!$H$2:$H$200,MATCH($AB452,'Test catalog'!$A$2:$A$200,0))),"")</f>
        <v/>
      </c>
      <c r="N452" s="10">
        <f>IFERROR(IF(INDEX('Test catalog'!$I$2:$I$200,MATCH($AB452,'Test catalog'!$A$2:$A$200,0))="","",INDEX('Test catalog'!$I$2:$I$200,MATCH($AB452,'Test catalog'!$A$2:$A$200,0))),"")</f>
        <v/>
      </c>
      <c r="O452" s="10">
        <f>IFERROR(IF(INDEX('Test catalog'!$J$2:$J$200,MATCH($AB452,'Test catalog'!$A$2:$A$200,0))="","",INDEX('Test catalog'!$J$2:$J$200,MATCH($AB452,'Test catalog'!$A$2:$A$200,0))),"")</f>
        <v/>
      </c>
      <c r="P452" s="14">
        <f>IF(N452="","",IF(OR(M452="",O452=""),N452,(M452+4*N452+O452)/6))</f>
        <v/>
      </c>
      <c r="Q452" s="10">
        <f>IFERROR(IF(INDEX('Test catalog'!$K$2:$K$200,MATCH($AB452,'Test catalog'!$A$2:$A$200,0))="","",INDEX('Test catalog'!$K$2:$K$200,MATCH($AB452,'Test catalog'!$A$2:$A$200,0))),"")</f>
        <v/>
      </c>
      <c r="R452" s="5" t="n"/>
      <c r="S452" s="10">
        <f>IFERROR(IF(INDEX('Test catalog'!$L$2:$L$200,MATCH($AB452,'Test catalog'!$A$2:$A$200,0))="","",INDEX('Test catalog'!$L$2:$L$200,MATCH($AB452,'Test catalog'!$A$2:$A$200,0))),"")</f>
        <v/>
      </c>
      <c r="T452" s="10">
        <f>IFERROR(IF(INDEX('Test catalog'!$M$2:$M$200,MATCH($AB452,'Test catalog'!$A$2:$A$200,0))="","",INDEX('Test catalog'!$M$2:$M$200,MATCH($AB452,'Test catalog'!$A$2:$A$200,0))),"")</f>
        <v/>
      </c>
      <c r="U452" s="10">
        <f>IFERROR(IF(INDEX('Test catalog'!$N$2:$N$200,MATCH($AB452,'Test catalog'!$A$2:$A$200,0))="","",INDEX('Test catalog'!$N$2:$N$200,MATCH($AB452,'Test catalog'!$A$2:$A$200,0))),"")</f>
        <v/>
      </c>
      <c r="V452" s="15" t="n"/>
      <c r="W452" s="5" t="inlineStr">
        <is>
          <t>N</t>
        </is>
      </c>
      <c r="X452" s="5" t="n"/>
      <c r="Y452" s="5" t="n"/>
      <c r="Z452" s="5" t="n"/>
      <c r="AA452" s="10">
        <f>IFERROR(IF(INDEX('Test catalog'!$O$2:$O$200,MATCH($AB452,'Test catalog'!$A$2:$A$200,0))="","",INDEX('Test catalog'!$O$2:$O$200,MATCH($AB452,'Test catalog'!$A$2:$A$200,0))),"")</f>
        <v/>
      </c>
      <c r="AB452" s="10" t="inlineStr">
        <is>
          <t>OR</t>
        </is>
      </c>
      <c r="AC452" s="10" t="inlineStr">
        <is>
          <t>Riboflavin · Specific Tests &lt;781&gt;</t>
        </is>
      </c>
      <c r="AD452" s="10" t="n"/>
      <c r="AE452" s="10" t="n"/>
    </row>
    <row r="453">
      <c r="A453" s="10" t="inlineStr">
        <is>
          <t>Rosuvastatin Calcium</t>
        </is>
      </c>
      <c r="B453" s="10" t="inlineStr">
        <is>
          <t>RM</t>
        </is>
      </c>
      <c r="C453" s="10" t="inlineStr">
        <is>
          <t>Active</t>
        </is>
      </c>
      <c r="D453" s="10" t="inlineStr">
        <is>
          <t>Appearance / description and solubility</t>
        </is>
      </c>
      <c r="E453" s="10">
        <f>IF(A453="","",A453&amp;"|"&amp;D453)</f>
        <v/>
      </c>
      <c r="F453" s="5" t="inlineStr">
        <is>
          <t>Y</t>
        </is>
      </c>
      <c r="G453" s="5" t="inlineStr">
        <is>
          <t>Other / bench</t>
        </is>
      </c>
      <c r="H453" s="5" t="inlineStr">
        <is>
          <t>Low</t>
        </is>
      </c>
      <c r="I453" s="5" t="n">
        <v>1</v>
      </c>
      <c r="J453" s="5" t="n"/>
      <c r="K453" s="10">
        <f>IFERROR(IF(INDEX('Test catalog'!$F$2:$F$200,MATCH($AB453,'Test catalog'!$A$2:$A$200,0))="","",INDEX('Test catalog'!$F$2:$F$200,MATCH($AB453,'Test catalog'!$A$2:$A$200,0))),"")</f>
        <v/>
      </c>
      <c r="L453" s="10">
        <f>IFERROR(IF(INDEX('Test catalog'!$G$2:$G$200,MATCH($AB453,'Test catalog'!$A$2:$A$200,0))="","",INDEX('Test catalog'!$G$2:$G$200,MATCH($AB453,'Test catalog'!$A$2:$A$200,0))),"")</f>
        <v/>
      </c>
      <c r="M453" s="10">
        <f>IFERROR(IF(INDEX('Test catalog'!$H$2:$H$200,MATCH($AB453,'Test catalog'!$A$2:$A$200,0))="","",INDEX('Test catalog'!$H$2:$H$200,MATCH($AB453,'Test catalog'!$A$2:$A$200,0))),"")</f>
        <v/>
      </c>
      <c r="N453" s="10">
        <f>IFERROR(IF(INDEX('Test catalog'!$I$2:$I$200,MATCH($AB453,'Test catalog'!$A$2:$A$200,0))="","",INDEX('Test catalog'!$I$2:$I$200,MATCH($AB453,'Test catalog'!$A$2:$A$200,0))),"")</f>
        <v/>
      </c>
      <c r="O453" s="10">
        <f>IFERROR(IF(INDEX('Test catalog'!$J$2:$J$200,MATCH($AB453,'Test catalog'!$A$2:$A$200,0))="","",INDEX('Test catalog'!$J$2:$J$200,MATCH($AB453,'Test catalog'!$A$2:$A$200,0))),"")</f>
        <v/>
      </c>
      <c r="P453" s="14">
        <f>IF(N453="","",IF(OR(M453="",O453=""),N453,(M453+4*N453+O453)/6))</f>
        <v/>
      </c>
      <c r="Q453" s="10">
        <f>IFERROR(IF(INDEX('Test catalog'!$K$2:$K$200,MATCH($AB453,'Test catalog'!$A$2:$A$200,0))="","",INDEX('Test catalog'!$K$2:$K$200,MATCH($AB453,'Test catalog'!$A$2:$A$200,0))),"")</f>
        <v/>
      </c>
      <c r="R453" s="5" t="n"/>
      <c r="S453" s="10">
        <f>IFERROR(IF(INDEX('Test catalog'!$L$2:$L$200,MATCH($AB453,'Test catalog'!$A$2:$A$200,0))="","",INDEX('Test catalog'!$L$2:$L$200,MATCH($AB453,'Test catalog'!$A$2:$A$200,0))),"")</f>
        <v/>
      </c>
      <c r="T453" s="10">
        <f>IFERROR(IF(INDEX('Test catalog'!$M$2:$M$200,MATCH($AB453,'Test catalog'!$A$2:$A$200,0))="","",INDEX('Test catalog'!$M$2:$M$200,MATCH($AB453,'Test catalog'!$A$2:$A$200,0))),"")</f>
        <v/>
      </c>
      <c r="U453" s="10">
        <f>IFERROR(IF(INDEX('Test catalog'!$N$2:$N$200,MATCH($AB453,'Test catalog'!$A$2:$A$200,0))="","",INDEX('Test catalog'!$N$2:$N$200,MATCH($AB453,'Test catalog'!$A$2:$A$200,0))),"")</f>
        <v/>
      </c>
      <c r="V453" s="15" t="n"/>
      <c r="W453" s="5" t="inlineStr">
        <is>
          <t>N</t>
        </is>
      </c>
      <c r="X453" s="5" t="n"/>
      <c r="Y453" s="5" t="n"/>
      <c r="Z453" s="5" t="n"/>
      <c r="AA453" s="10">
        <f>IFERROR(IF(INDEX('Test catalog'!$O$2:$O$200,MATCH($AB453,'Test catalog'!$A$2:$A$200,0))="","",INDEX('Test catalog'!$O$2:$O$200,MATCH($AB453,'Test catalog'!$A$2:$A$200,0))),"")</f>
        <v/>
      </c>
      <c r="AB453" s="10" t="inlineStr">
        <is>
          <t>APPEAR</t>
        </is>
      </c>
      <c r="AC453" s="10" t="inlineStr">
        <is>
          <t>Lab practice (not a USP test)</t>
        </is>
      </c>
      <c r="AD453" s="10" t="n"/>
      <c r="AE453" s="10" t="n"/>
    </row>
    <row r="454">
      <c r="A454" s="10" t="inlineStr">
        <is>
          <t>Rosuvastatin Calcium</t>
        </is>
      </c>
      <c r="B454" s="10" t="inlineStr">
        <is>
          <t>RM</t>
        </is>
      </c>
      <c r="C454" s="10" t="inlineStr">
        <is>
          <t>Active</t>
        </is>
      </c>
      <c r="D454" s="10" t="inlineStr">
        <is>
          <t>ID A - IR spectrum</t>
        </is>
      </c>
      <c r="E454" s="10">
        <f>IF(A454="","",A454&amp;"|"&amp;D454)</f>
        <v/>
      </c>
      <c r="F454" s="5" t="inlineStr">
        <is>
          <t>Y</t>
        </is>
      </c>
      <c r="G454" s="5" t="inlineStr">
        <is>
          <t>Other / bench</t>
        </is>
      </c>
      <c r="H454" s="5" t="inlineStr">
        <is>
          <t>Low</t>
        </is>
      </c>
      <c r="I454" s="5" t="n">
        <v>1</v>
      </c>
      <c r="J454" s="5" t="n"/>
      <c r="K454" s="10">
        <f>IFERROR(IF(INDEX('Test catalog'!$F$2:$F$200,MATCH($AB454,'Test catalog'!$A$2:$A$200,0))="","",INDEX('Test catalog'!$F$2:$F$200,MATCH($AB454,'Test catalog'!$A$2:$A$200,0))),"")</f>
        <v/>
      </c>
      <c r="L454" s="10">
        <f>IFERROR(IF(INDEX('Test catalog'!$G$2:$G$200,MATCH($AB454,'Test catalog'!$A$2:$A$200,0))="","",INDEX('Test catalog'!$G$2:$G$200,MATCH($AB454,'Test catalog'!$A$2:$A$200,0))),"")</f>
        <v/>
      </c>
      <c r="M454" s="10">
        <f>IFERROR(IF(INDEX('Test catalog'!$H$2:$H$200,MATCH($AB454,'Test catalog'!$A$2:$A$200,0))="","",INDEX('Test catalog'!$H$2:$H$200,MATCH($AB454,'Test catalog'!$A$2:$A$200,0))),"")</f>
        <v/>
      </c>
      <c r="N454" s="10">
        <f>IFERROR(IF(INDEX('Test catalog'!$I$2:$I$200,MATCH($AB454,'Test catalog'!$A$2:$A$200,0))="","",INDEX('Test catalog'!$I$2:$I$200,MATCH($AB454,'Test catalog'!$A$2:$A$200,0))),"")</f>
        <v/>
      </c>
      <c r="O454" s="10">
        <f>IFERROR(IF(INDEX('Test catalog'!$J$2:$J$200,MATCH($AB454,'Test catalog'!$A$2:$A$200,0))="","",INDEX('Test catalog'!$J$2:$J$200,MATCH($AB454,'Test catalog'!$A$2:$A$200,0))),"")</f>
        <v/>
      </c>
      <c r="P454" s="14">
        <f>IF(N454="","",IF(OR(M454="",O454=""),N454,(M454+4*N454+O454)/6))</f>
        <v/>
      </c>
      <c r="Q454" s="10">
        <f>IFERROR(IF(INDEX('Test catalog'!$K$2:$K$200,MATCH($AB454,'Test catalog'!$A$2:$A$200,0))="","",INDEX('Test catalog'!$K$2:$K$200,MATCH($AB454,'Test catalog'!$A$2:$A$200,0))),"")</f>
        <v/>
      </c>
      <c r="R454" s="5" t="n"/>
      <c r="S454" s="10">
        <f>IFERROR(IF(INDEX('Test catalog'!$L$2:$L$200,MATCH($AB454,'Test catalog'!$A$2:$A$200,0))="","",INDEX('Test catalog'!$L$2:$L$200,MATCH($AB454,'Test catalog'!$A$2:$A$200,0))),"")</f>
        <v/>
      </c>
      <c r="T454" s="10">
        <f>IFERROR(IF(INDEX('Test catalog'!$M$2:$M$200,MATCH($AB454,'Test catalog'!$A$2:$A$200,0))="","",INDEX('Test catalog'!$M$2:$M$200,MATCH($AB454,'Test catalog'!$A$2:$A$200,0))),"")</f>
        <v/>
      </c>
      <c r="U454" s="10">
        <f>IFERROR(IF(INDEX('Test catalog'!$N$2:$N$200,MATCH($AB454,'Test catalog'!$A$2:$A$200,0))="","",INDEX('Test catalog'!$N$2:$N$200,MATCH($AB454,'Test catalog'!$A$2:$A$200,0))),"")</f>
        <v/>
      </c>
      <c r="V454" s="15" t="n"/>
      <c r="W454" s="5" t="inlineStr">
        <is>
          <t>N</t>
        </is>
      </c>
      <c r="X454" s="5" t="n"/>
      <c r="Y454" s="5" t="n"/>
      <c r="Z454" s="5" t="n"/>
      <c r="AA454" s="10">
        <f>IFERROR(IF(INDEX('Test catalog'!$O$2:$O$200,MATCH($AB454,'Test catalog'!$A$2:$A$200,0))="","",INDEX('Test catalog'!$O$2:$O$200,MATCH($AB454,'Test catalog'!$A$2:$A$200,0))),"")</f>
        <v/>
      </c>
      <c r="AB454" s="10" t="inlineStr">
        <is>
          <t>ID_IR</t>
        </is>
      </c>
      <c r="AC454" s="10" t="inlineStr">
        <is>
          <t>Rosuvastatin Calcium · Identification &lt;197&gt;</t>
        </is>
      </c>
      <c r="AD454" s="10" t="n"/>
      <c r="AE454" s="10" t="n"/>
    </row>
    <row r="455">
      <c r="A455" s="10" t="inlineStr">
        <is>
          <t>Rosuvastatin Calcium</t>
        </is>
      </c>
      <c r="B455" s="10" t="inlineStr">
        <is>
          <t>RM</t>
        </is>
      </c>
      <c r="C455" s="10" t="inlineStr">
        <is>
          <t>Active</t>
        </is>
      </c>
      <c r="D455" s="10" t="inlineStr">
        <is>
          <t>ID C - chemical reaction</t>
        </is>
      </c>
      <c r="E455" s="10">
        <f>IF(A455="","",A455&amp;"|"&amp;D455)</f>
        <v/>
      </c>
      <c r="F455" s="5" t="inlineStr">
        <is>
          <t>Y</t>
        </is>
      </c>
      <c r="G455" s="5" t="inlineStr">
        <is>
          <t>Other / bench</t>
        </is>
      </c>
      <c r="H455" s="5" t="inlineStr">
        <is>
          <t>Low</t>
        </is>
      </c>
      <c r="I455" s="5" t="n">
        <v>1</v>
      </c>
      <c r="J455" s="5" t="n"/>
      <c r="K455" s="10">
        <f>IFERROR(IF(INDEX('Test catalog'!$F$2:$F$200,MATCH($AB455,'Test catalog'!$A$2:$A$200,0))="","",INDEX('Test catalog'!$F$2:$F$200,MATCH($AB455,'Test catalog'!$A$2:$A$200,0))),"")</f>
        <v/>
      </c>
      <c r="L455" s="10">
        <f>IFERROR(IF(INDEX('Test catalog'!$G$2:$G$200,MATCH($AB455,'Test catalog'!$A$2:$A$200,0))="","",INDEX('Test catalog'!$G$2:$G$200,MATCH($AB455,'Test catalog'!$A$2:$A$200,0))),"")</f>
        <v/>
      </c>
      <c r="M455" s="10">
        <f>IFERROR(IF(INDEX('Test catalog'!$H$2:$H$200,MATCH($AB455,'Test catalog'!$A$2:$A$200,0))="","",INDEX('Test catalog'!$H$2:$H$200,MATCH($AB455,'Test catalog'!$A$2:$A$200,0))),"")</f>
        <v/>
      </c>
      <c r="N455" s="10">
        <f>IFERROR(IF(INDEX('Test catalog'!$I$2:$I$200,MATCH($AB455,'Test catalog'!$A$2:$A$200,0))="","",INDEX('Test catalog'!$I$2:$I$200,MATCH($AB455,'Test catalog'!$A$2:$A$200,0))),"")</f>
        <v/>
      </c>
      <c r="O455" s="10">
        <f>IFERROR(IF(INDEX('Test catalog'!$J$2:$J$200,MATCH($AB455,'Test catalog'!$A$2:$A$200,0))="","",INDEX('Test catalog'!$J$2:$J$200,MATCH($AB455,'Test catalog'!$A$2:$A$200,0))),"")</f>
        <v/>
      </c>
      <c r="P455" s="14">
        <f>IF(N455="","",IF(OR(M455="",O455=""),N455,(M455+4*N455+O455)/6))</f>
        <v/>
      </c>
      <c r="Q455" s="10">
        <f>IFERROR(IF(INDEX('Test catalog'!$K$2:$K$200,MATCH($AB455,'Test catalog'!$A$2:$A$200,0))="","",INDEX('Test catalog'!$K$2:$K$200,MATCH($AB455,'Test catalog'!$A$2:$A$200,0))),"")</f>
        <v/>
      </c>
      <c r="R455" s="5" t="n"/>
      <c r="S455" s="10">
        <f>IFERROR(IF(INDEX('Test catalog'!$L$2:$L$200,MATCH($AB455,'Test catalog'!$A$2:$A$200,0))="","",INDEX('Test catalog'!$L$2:$L$200,MATCH($AB455,'Test catalog'!$A$2:$A$200,0))),"")</f>
        <v/>
      </c>
      <c r="T455" s="10">
        <f>IFERROR(IF(INDEX('Test catalog'!$M$2:$M$200,MATCH($AB455,'Test catalog'!$A$2:$A$200,0))="","",INDEX('Test catalog'!$M$2:$M$200,MATCH($AB455,'Test catalog'!$A$2:$A$200,0))),"")</f>
        <v/>
      </c>
      <c r="U455" s="10">
        <f>IFERROR(IF(INDEX('Test catalog'!$N$2:$N$200,MATCH($AB455,'Test catalog'!$A$2:$A$200,0))="","",INDEX('Test catalog'!$N$2:$N$200,MATCH($AB455,'Test catalog'!$A$2:$A$200,0))),"")</f>
        <v/>
      </c>
      <c r="V455" s="15" t="n"/>
      <c r="W455" s="5" t="inlineStr">
        <is>
          <t>N</t>
        </is>
      </c>
      <c r="X455" s="5" t="n"/>
      <c r="Y455" s="5" t="n"/>
      <c r="Z455" s="5" t="n"/>
      <c r="AA455" s="10">
        <f>IFERROR(IF(INDEX('Test catalog'!$O$2:$O$200,MATCH($AB455,'Test catalog'!$A$2:$A$200,0))="","",INDEX('Test catalog'!$O$2:$O$200,MATCH($AB455,'Test catalog'!$A$2:$A$200,0))),"")</f>
        <v/>
      </c>
      <c r="AB455" s="10" t="inlineStr">
        <is>
          <t>ID_CHEM</t>
        </is>
      </c>
      <c r="AC455" s="10" t="inlineStr">
        <is>
          <t>Rosuvastatin Calcium · Identification &lt;191&gt;</t>
        </is>
      </c>
      <c r="AD455" s="10" t="n"/>
      <c r="AE455" s="10" t="n"/>
    </row>
    <row r="456">
      <c r="A456" s="10" t="inlineStr">
        <is>
          <t>Rosuvastatin Calcium</t>
        </is>
      </c>
      <c r="B456" s="10" t="inlineStr">
        <is>
          <t>RM</t>
        </is>
      </c>
      <c r="C456" s="10" t="inlineStr">
        <is>
          <t>Active</t>
        </is>
      </c>
      <c r="D456" s="10" t="inlineStr">
        <is>
          <t>Assay (HPLC)</t>
        </is>
      </c>
      <c r="E456" s="10">
        <f>IF(A456="","",A456&amp;"|"&amp;D456)</f>
        <v/>
      </c>
      <c r="F456" s="5" t="inlineStr">
        <is>
          <t>Y</t>
        </is>
      </c>
      <c r="G456" s="5" t="inlineStr">
        <is>
          <t>HPLC</t>
        </is>
      </c>
      <c r="H456" s="5" t="inlineStr">
        <is>
          <t>Medium</t>
        </is>
      </c>
      <c r="I456" s="5" t="n">
        <v>1</v>
      </c>
      <c r="J456" s="5" t="n"/>
      <c r="K456" s="5" t="n"/>
      <c r="L456" s="5" t="n"/>
      <c r="M456" s="5" t="n"/>
      <c r="N456" s="5" t="n"/>
      <c r="O456" s="5" t="n"/>
      <c r="P456" s="14">
        <f>IF(N456="","",IF(OR(M456="",O456=""),N456,(M456+4*N456+O456)/6))</f>
        <v/>
      </c>
      <c r="Q456" s="5" t="n"/>
      <c r="R456" s="5" t="n"/>
      <c r="S456" s="5" t="n"/>
      <c r="T456" s="5" t="n"/>
      <c r="U456" s="5" t="n"/>
      <c r="V456" s="15" t="n"/>
      <c r="W456" s="5" t="inlineStr">
        <is>
          <t>N</t>
        </is>
      </c>
      <c r="X456" s="5" t="n"/>
      <c r="Y456" s="5" t="n"/>
      <c r="Z456" s="5" t="n"/>
      <c r="AA456" s="5" t="n"/>
      <c r="AB456" s="10" t="n"/>
      <c r="AC456" s="10" t="inlineStr">
        <is>
          <t>Rosuvastatin Calcium · Assay</t>
        </is>
      </c>
      <c r="AD456" s="10" t="n"/>
      <c r="AE456" s="10" t="n"/>
    </row>
    <row r="457">
      <c r="A457" s="10" t="inlineStr">
        <is>
          <t>Rosuvastatin Calcium</t>
        </is>
      </c>
      <c r="B457" s="10" t="inlineStr">
        <is>
          <t>RM</t>
        </is>
      </c>
      <c r="C457" s="10" t="inlineStr">
        <is>
          <t>Active</t>
        </is>
      </c>
      <c r="D457" s="10" t="inlineStr">
        <is>
          <t>Organic Impurities (HPLC)</t>
        </is>
      </c>
      <c r="E457" s="10">
        <f>IF(A457="","",A457&amp;"|"&amp;D457)</f>
        <v/>
      </c>
      <c r="F457" s="5" t="inlineStr">
        <is>
          <t>Y</t>
        </is>
      </c>
      <c r="G457" s="5" t="inlineStr">
        <is>
          <t>HPLC</t>
        </is>
      </c>
      <c r="H457" s="5" t="inlineStr">
        <is>
          <t>Medium</t>
        </is>
      </c>
      <c r="I457" s="5" t="n">
        <v>1</v>
      </c>
      <c r="J457" s="5" t="n"/>
      <c r="K457" s="5" t="n"/>
      <c r="L457" s="5" t="n"/>
      <c r="M457" s="5" t="n"/>
      <c r="N457" s="5" t="n"/>
      <c r="O457" s="5" t="n"/>
      <c r="P457" s="14">
        <f>IF(N457="","",IF(OR(M457="",O457=""),N457,(M457+4*N457+O457)/6))</f>
        <v/>
      </c>
      <c r="Q457" s="5" t="n"/>
      <c r="R457" s="5" t="n"/>
      <c r="S457" s="5" t="n"/>
      <c r="T457" s="5" t="n"/>
      <c r="U457" s="5" t="n"/>
      <c r="V457" s="15" t="n"/>
      <c r="W457" s="5" t="inlineStr">
        <is>
          <t>N</t>
        </is>
      </c>
      <c r="X457" s="5" t="n"/>
      <c r="Y457" s="5" t="n"/>
      <c r="Z457" s="5" t="n"/>
      <c r="AA457" s="5" t="n"/>
      <c r="AB457" s="10" t="n"/>
      <c r="AC457" s="10" t="inlineStr">
        <is>
          <t>Rosuvastatin Calcium · Impurities</t>
        </is>
      </c>
      <c r="AD457" s="10" t="n"/>
      <c r="AE457" s="10" t="n"/>
    </row>
    <row r="458">
      <c r="A458" s="10" t="inlineStr">
        <is>
          <t>Rosuvastatin Calcium</t>
        </is>
      </c>
      <c r="B458" s="10" t="inlineStr">
        <is>
          <t>RM</t>
        </is>
      </c>
      <c r="C458" s="10" t="inlineStr">
        <is>
          <t>Active</t>
        </is>
      </c>
      <c r="D458" s="10" t="inlineStr">
        <is>
          <t>Enantiomeric Purity (HPLC)</t>
        </is>
      </c>
      <c r="E458" s="10">
        <f>IF(A458="","",A458&amp;"|"&amp;D458)</f>
        <v/>
      </c>
      <c r="F458" s="5" t="inlineStr">
        <is>
          <t>Y</t>
        </is>
      </c>
      <c r="G458" s="5" t="inlineStr">
        <is>
          <t>HPLC</t>
        </is>
      </c>
      <c r="H458" s="5" t="inlineStr">
        <is>
          <t>Medium</t>
        </is>
      </c>
      <c r="I458" s="5" t="n">
        <v>1</v>
      </c>
      <c r="J458" s="5" t="n"/>
      <c r="K458" s="5" t="n"/>
      <c r="L458" s="5" t="n"/>
      <c r="M458" s="5" t="n"/>
      <c r="N458" s="5" t="n"/>
      <c r="O458" s="5" t="n"/>
      <c r="P458" s="14">
        <f>IF(N458="","",IF(OR(M458="",O458=""),N458,(M458+4*N458+O458)/6))</f>
        <v/>
      </c>
      <c r="Q458" s="5" t="n"/>
      <c r="R458" s="5" t="n"/>
      <c r="S458" s="5" t="n"/>
      <c r="T458" s="5" t="n"/>
      <c r="U458" s="5" t="n"/>
      <c r="V458" s="15" t="n"/>
      <c r="W458" s="5" t="inlineStr">
        <is>
          <t>N</t>
        </is>
      </c>
      <c r="X458" s="5" t="n"/>
      <c r="Y458" s="5" t="n"/>
      <c r="Z458" s="5" t="n"/>
      <c r="AA458" s="5" t="n"/>
      <c r="AB458" s="10" t="n"/>
      <c r="AC458" s="10" t="inlineStr">
        <is>
          <t>Rosuvastatin Calcium · Impurities</t>
        </is>
      </c>
      <c r="AD458" s="10" t="n"/>
      <c r="AE458" s="10" t="n"/>
    </row>
    <row r="459">
      <c r="A459" s="10" t="inlineStr">
        <is>
          <t>Rosuvastatin Calcium</t>
        </is>
      </c>
      <c r="B459" s="10" t="inlineStr">
        <is>
          <t>RM</t>
        </is>
      </c>
      <c r="C459" s="10" t="inlineStr">
        <is>
          <t>Active</t>
        </is>
      </c>
      <c r="D459" s="10" t="inlineStr">
        <is>
          <t>Water Determination</t>
        </is>
      </c>
      <c r="E459" s="10">
        <f>IF(A459="","",A459&amp;"|"&amp;D459)</f>
        <v/>
      </c>
      <c r="F459" s="5" t="inlineStr">
        <is>
          <t>Y</t>
        </is>
      </c>
      <c r="G459" s="5" t="inlineStr">
        <is>
          <t>KF titrator</t>
        </is>
      </c>
      <c r="H459" s="5" t="inlineStr">
        <is>
          <t>Low</t>
        </is>
      </c>
      <c r="I459" s="5" t="n">
        <v>1</v>
      </c>
      <c r="J459" s="5" t="n"/>
      <c r="K459" s="10">
        <f>IFERROR(IF(INDEX('Test catalog'!$F$2:$F$200,MATCH($AB459,'Test catalog'!$A$2:$A$200,0))="","",INDEX('Test catalog'!$F$2:$F$200,MATCH($AB459,'Test catalog'!$A$2:$A$200,0))),"")</f>
        <v/>
      </c>
      <c r="L459" s="10">
        <f>IFERROR(IF(INDEX('Test catalog'!$G$2:$G$200,MATCH($AB459,'Test catalog'!$A$2:$A$200,0))="","",INDEX('Test catalog'!$G$2:$G$200,MATCH($AB459,'Test catalog'!$A$2:$A$200,0))),"")</f>
        <v/>
      </c>
      <c r="M459" s="10">
        <f>IFERROR(IF(INDEX('Test catalog'!$H$2:$H$200,MATCH($AB459,'Test catalog'!$A$2:$A$200,0))="","",INDEX('Test catalog'!$H$2:$H$200,MATCH($AB459,'Test catalog'!$A$2:$A$200,0))),"")</f>
        <v/>
      </c>
      <c r="N459" s="10">
        <f>IFERROR(IF(INDEX('Test catalog'!$I$2:$I$200,MATCH($AB459,'Test catalog'!$A$2:$A$200,0))="","",INDEX('Test catalog'!$I$2:$I$200,MATCH($AB459,'Test catalog'!$A$2:$A$200,0))),"")</f>
        <v/>
      </c>
      <c r="O459" s="10">
        <f>IFERROR(IF(INDEX('Test catalog'!$J$2:$J$200,MATCH($AB459,'Test catalog'!$A$2:$A$200,0))="","",INDEX('Test catalog'!$J$2:$J$200,MATCH($AB459,'Test catalog'!$A$2:$A$200,0))),"")</f>
        <v/>
      </c>
      <c r="P459" s="14">
        <f>IF(N459="","",IF(OR(M459="",O459=""),N459,(M459+4*N459+O459)/6))</f>
        <v/>
      </c>
      <c r="Q459" s="10">
        <f>IFERROR(IF(INDEX('Test catalog'!$K$2:$K$200,MATCH($AB459,'Test catalog'!$A$2:$A$200,0))="","",INDEX('Test catalog'!$K$2:$K$200,MATCH($AB459,'Test catalog'!$A$2:$A$200,0))),"")</f>
        <v/>
      </c>
      <c r="R459" s="5" t="n"/>
      <c r="S459" s="10">
        <f>IFERROR(IF(INDEX('Test catalog'!$L$2:$L$200,MATCH($AB459,'Test catalog'!$A$2:$A$200,0))="","",INDEX('Test catalog'!$L$2:$L$200,MATCH($AB459,'Test catalog'!$A$2:$A$200,0))),"")</f>
        <v/>
      </c>
      <c r="T459" s="10">
        <f>IFERROR(IF(INDEX('Test catalog'!$M$2:$M$200,MATCH($AB459,'Test catalog'!$A$2:$A$200,0))="","",INDEX('Test catalog'!$M$2:$M$200,MATCH($AB459,'Test catalog'!$A$2:$A$200,0))),"")</f>
        <v/>
      </c>
      <c r="U459" s="10">
        <f>IFERROR(IF(INDEX('Test catalog'!$N$2:$N$200,MATCH($AB459,'Test catalog'!$A$2:$A$200,0))="","",INDEX('Test catalog'!$N$2:$N$200,MATCH($AB459,'Test catalog'!$A$2:$A$200,0))),"")</f>
        <v/>
      </c>
      <c r="V459" s="15" t="n"/>
      <c r="W459" s="5" t="inlineStr">
        <is>
          <t>N</t>
        </is>
      </c>
      <c r="X459" s="5" t="n"/>
      <c r="Y459" s="5" t="n"/>
      <c r="Z459" s="5" t="n"/>
      <c r="AA459" s="10">
        <f>IFERROR(IF(INDEX('Test catalog'!$O$2:$O$200,MATCH($AB459,'Test catalog'!$A$2:$A$200,0))="","",INDEX('Test catalog'!$O$2:$O$200,MATCH($AB459,'Test catalog'!$A$2:$A$200,0))),"")</f>
        <v/>
      </c>
      <c r="AB459" s="10" t="inlineStr">
        <is>
          <t>KF</t>
        </is>
      </c>
      <c r="AC459" s="10" t="inlineStr">
        <is>
          <t>Rosuvastatin Calcium · Specific Tests &lt;921&gt;</t>
        </is>
      </c>
      <c r="AD459" s="10" t="n"/>
      <c r="AE459" s="10" t="n"/>
    </row>
    <row r="460">
      <c r="A460" s="10" t="inlineStr">
        <is>
          <t>Sacubitril/Valsartan 3Sodium 2.5H2O Co-crystal</t>
        </is>
      </c>
      <c r="B460" s="10" t="inlineStr">
        <is>
          <t>RM</t>
        </is>
      </c>
      <c r="C460" s="10" t="inlineStr">
        <is>
          <t>Active</t>
        </is>
      </c>
      <c r="D460" s="10" t="inlineStr">
        <is>
          <t>Assay + related substances</t>
        </is>
      </c>
      <c r="E460" s="10">
        <f>IF(A460="","",A460&amp;"|"&amp;D460)</f>
        <v/>
      </c>
      <c r="F460" s="5" t="inlineStr">
        <is>
          <t>Y</t>
        </is>
      </c>
      <c r="G460" s="5" t="inlineStr">
        <is>
          <t>HPLC</t>
        </is>
      </c>
      <c r="H460" s="5" t="inlineStr">
        <is>
          <t>Medium</t>
        </is>
      </c>
      <c r="I460" s="5" t="n">
        <v>1</v>
      </c>
      <c r="J460" s="5" t="n"/>
      <c r="K460" s="5" t="n"/>
      <c r="L460" s="5" t="n"/>
      <c r="M460" s="5" t="n"/>
      <c r="N460" s="5" t="n"/>
      <c r="O460" s="5" t="n"/>
      <c r="P460" s="14">
        <f>IF(N460="","",IF(OR(M460="",O460=""),N460,(M460+4*N460+O460)/6))</f>
        <v/>
      </c>
      <c r="Q460" s="5" t="n"/>
      <c r="R460" s="5" t="n"/>
      <c r="S460" s="5" t="n"/>
      <c r="T460" s="5" t="n"/>
      <c r="U460" s="5" t="n"/>
      <c r="V460" s="15" t="n"/>
      <c r="W460" s="5" t="inlineStr">
        <is>
          <t>N</t>
        </is>
      </c>
      <c r="X460" s="5" t="n"/>
      <c r="Y460" s="5" t="n"/>
      <c r="Z460" s="5" t="n"/>
      <c r="AA460" s="5" t="n"/>
      <c r="AB460" s="10" t="n"/>
      <c r="AC460" s="10" t="n"/>
      <c r="AD460" s="10" t="inlineStr">
        <is>
          <t>No USP-NF monograph - in-house / supplier spec</t>
        </is>
      </c>
      <c r="AE460" s="10" t="n">
        <v>0.58</v>
      </c>
      <c r="AF460" s="10" t="inlineStr">
        <is>
          <t>Sodium content</t>
        </is>
      </c>
    </row>
    <row r="461">
      <c r="A461" s="10" t="inlineStr">
        <is>
          <t>Sacubitril/Valsartan 3Sodium 2.5H2O Co-crystal</t>
        </is>
      </c>
      <c r="B461" s="10" t="inlineStr">
        <is>
          <t>RM</t>
        </is>
      </c>
      <c r="C461" s="10" t="inlineStr">
        <is>
          <t>Active</t>
        </is>
      </c>
      <c r="D461" s="10" t="inlineStr">
        <is>
          <t>Other compendial tests (ID, LOD/KF, heavy metals...)</t>
        </is>
      </c>
      <c r="E461" s="10">
        <f>IF(A461="","",A461&amp;"|"&amp;D461)</f>
        <v/>
      </c>
      <c r="F461" s="5" t="inlineStr">
        <is>
          <t>Y</t>
        </is>
      </c>
      <c r="G461" s="5" t="inlineStr">
        <is>
          <t>Other / bench</t>
        </is>
      </c>
      <c r="H461" s="5" t="inlineStr">
        <is>
          <t>Low</t>
        </is>
      </c>
      <c r="I461" s="5" t="n">
        <v>1</v>
      </c>
      <c r="J461" s="5" t="n"/>
      <c r="K461" s="5" t="n"/>
      <c r="L461" s="5" t="n"/>
      <c r="M461" s="5" t="n"/>
      <c r="N461" s="5" t="n"/>
      <c r="O461" s="5" t="n"/>
      <c r="P461" s="14">
        <f>IF(N461="","",IF(OR(M461="",O461=""),N461,(M461+4*N461+O461)/6))</f>
        <v/>
      </c>
      <c r="Q461" s="5" t="n"/>
      <c r="R461" s="5" t="n"/>
      <c r="S461" s="5" t="n"/>
      <c r="T461" s="5" t="n"/>
      <c r="U461" s="5" t="n"/>
      <c r="V461" s="15" t="n"/>
      <c r="W461" s="5" t="inlineStr">
        <is>
          <t>N</t>
        </is>
      </c>
      <c r="X461" s="5" t="n"/>
      <c r="Y461" s="5" t="n"/>
      <c r="Z461" s="5" t="n"/>
      <c r="AA461" s="5" t="n"/>
      <c r="AB461" s="10" t="n"/>
      <c r="AC461" s="10" t="n"/>
      <c r="AD461" s="10" t="inlineStr">
        <is>
          <t>No USP-NF monograph - in-house / supplier spec</t>
        </is>
      </c>
      <c r="AE461" s="10" t="n">
        <v>0.6</v>
      </c>
      <c r="AF461" s="10" t="inlineStr">
        <is>
          <t>Appearance-Solubility- Water determination</t>
        </is>
      </c>
    </row>
    <row r="462">
      <c r="A462" s="10" t="inlineStr">
        <is>
          <t>Saw Palmetto Dry Extract 4:1</t>
        </is>
      </c>
      <c r="B462" s="10" t="inlineStr">
        <is>
          <t>RM</t>
        </is>
      </c>
      <c r="C462" s="10" t="inlineStr">
        <is>
          <t>Active</t>
        </is>
      </c>
      <c r="D462" s="10" t="inlineStr">
        <is>
          <t>Appearance / description and solubility</t>
        </is>
      </c>
      <c r="E462" s="10">
        <f>IF(A462="","",A462&amp;"|"&amp;D462)</f>
        <v/>
      </c>
      <c r="F462" s="5" t="inlineStr">
        <is>
          <t>Y</t>
        </is>
      </c>
      <c r="G462" s="5" t="inlineStr">
        <is>
          <t>Other / bench</t>
        </is>
      </c>
      <c r="H462" s="5" t="inlineStr">
        <is>
          <t>Low</t>
        </is>
      </c>
      <c r="I462" s="5" t="n">
        <v>1</v>
      </c>
      <c r="J462" s="5" t="n"/>
      <c r="K462" s="10">
        <f>IFERROR(IF(INDEX('Test catalog'!$F$2:$F$200,MATCH($AB462,'Test catalog'!$A$2:$A$200,0))="","",INDEX('Test catalog'!$F$2:$F$200,MATCH($AB462,'Test catalog'!$A$2:$A$200,0))),"")</f>
        <v/>
      </c>
      <c r="L462" s="10">
        <f>IFERROR(IF(INDEX('Test catalog'!$G$2:$G$200,MATCH($AB462,'Test catalog'!$A$2:$A$200,0))="","",INDEX('Test catalog'!$G$2:$G$200,MATCH($AB462,'Test catalog'!$A$2:$A$200,0))),"")</f>
        <v/>
      </c>
      <c r="M462" s="10">
        <f>IFERROR(IF(INDEX('Test catalog'!$H$2:$H$200,MATCH($AB462,'Test catalog'!$A$2:$A$200,0))="","",INDEX('Test catalog'!$H$2:$H$200,MATCH($AB462,'Test catalog'!$A$2:$A$200,0))),"")</f>
        <v/>
      </c>
      <c r="N462" s="10">
        <f>IFERROR(IF(INDEX('Test catalog'!$I$2:$I$200,MATCH($AB462,'Test catalog'!$A$2:$A$200,0))="","",INDEX('Test catalog'!$I$2:$I$200,MATCH($AB462,'Test catalog'!$A$2:$A$200,0))),"")</f>
        <v/>
      </c>
      <c r="O462" s="10">
        <f>IFERROR(IF(INDEX('Test catalog'!$J$2:$J$200,MATCH($AB462,'Test catalog'!$A$2:$A$200,0))="","",INDEX('Test catalog'!$J$2:$J$200,MATCH($AB462,'Test catalog'!$A$2:$A$200,0))),"")</f>
        <v/>
      </c>
      <c r="P462" s="14">
        <f>IF(N462="","",IF(OR(M462="",O462=""),N462,(M462+4*N462+O462)/6))</f>
        <v/>
      </c>
      <c r="Q462" s="10">
        <f>IFERROR(IF(INDEX('Test catalog'!$K$2:$K$200,MATCH($AB462,'Test catalog'!$A$2:$A$200,0))="","",INDEX('Test catalog'!$K$2:$K$200,MATCH($AB462,'Test catalog'!$A$2:$A$200,0))),"")</f>
        <v/>
      </c>
      <c r="R462" s="5" t="n"/>
      <c r="S462" s="10">
        <f>IFERROR(IF(INDEX('Test catalog'!$L$2:$L$200,MATCH($AB462,'Test catalog'!$A$2:$A$200,0))="","",INDEX('Test catalog'!$L$2:$L$200,MATCH($AB462,'Test catalog'!$A$2:$A$200,0))),"")</f>
        <v/>
      </c>
      <c r="T462" s="10">
        <f>IFERROR(IF(INDEX('Test catalog'!$M$2:$M$200,MATCH($AB462,'Test catalog'!$A$2:$A$200,0))="","",INDEX('Test catalog'!$M$2:$M$200,MATCH($AB462,'Test catalog'!$A$2:$A$200,0))),"")</f>
        <v/>
      </c>
      <c r="U462" s="10">
        <f>IFERROR(IF(INDEX('Test catalog'!$N$2:$N$200,MATCH($AB462,'Test catalog'!$A$2:$A$200,0))="","",INDEX('Test catalog'!$N$2:$N$200,MATCH($AB462,'Test catalog'!$A$2:$A$200,0))),"")</f>
        <v/>
      </c>
      <c r="V462" s="15" t="n"/>
      <c r="W462" s="5" t="inlineStr">
        <is>
          <t>N</t>
        </is>
      </c>
      <c r="X462" s="5" t="n"/>
      <c r="Y462" s="5" t="n"/>
      <c r="Z462" s="5" t="n"/>
      <c r="AA462" s="10">
        <f>IFERROR(IF(INDEX('Test catalog'!$O$2:$O$200,MATCH($AB462,'Test catalog'!$A$2:$A$200,0))="","",INDEX('Test catalog'!$O$2:$O$200,MATCH($AB462,'Test catalog'!$A$2:$A$200,0))),"")</f>
        <v/>
      </c>
      <c r="AB462" s="10" t="inlineStr">
        <is>
          <t>APPEAR</t>
        </is>
      </c>
      <c r="AC462" s="10" t="inlineStr">
        <is>
          <t>Lab practice (not a USP test)</t>
        </is>
      </c>
      <c r="AD462" s="10" t="n"/>
      <c r="AE462" s="10" t="n"/>
    </row>
    <row r="463">
      <c r="A463" s="10" t="inlineStr">
        <is>
          <t>Saw Palmetto Dry Extract 4:1</t>
        </is>
      </c>
      <c r="B463" s="10" t="inlineStr">
        <is>
          <t>RM</t>
        </is>
      </c>
      <c r="C463" s="10" t="inlineStr">
        <is>
          <t>Active</t>
        </is>
      </c>
      <c r="D463" s="10" t="inlineStr">
        <is>
          <t>ID A - GC</t>
        </is>
      </c>
      <c r="E463" s="10">
        <f>IF(A463="","",A463&amp;"|"&amp;D463)</f>
        <v/>
      </c>
      <c r="F463" s="5" t="inlineStr">
        <is>
          <t>Y</t>
        </is>
      </c>
      <c r="G463" s="5" t="inlineStr">
        <is>
          <t>GC</t>
        </is>
      </c>
      <c r="H463" s="5" t="inlineStr">
        <is>
          <t>Medium</t>
        </is>
      </c>
      <c r="I463" s="5" t="n">
        <v>1</v>
      </c>
      <c r="J463" s="5" t="n"/>
      <c r="K463" s="5" t="n"/>
      <c r="L463" s="5" t="n"/>
      <c r="M463" s="5" t="n"/>
      <c r="N463" s="5" t="n"/>
      <c r="O463" s="5" t="n"/>
      <c r="P463" s="14">
        <f>IF(N463="","",IF(OR(M463="",O463=""),N463,(M463+4*N463+O463)/6))</f>
        <v/>
      </c>
      <c r="Q463" s="5" t="n"/>
      <c r="R463" s="5" t="n"/>
      <c r="S463" s="5" t="n"/>
      <c r="T463" s="5" t="n"/>
      <c r="U463" s="5" t="n"/>
      <c r="V463" s="15" t="n"/>
      <c r="W463" s="5" t="inlineStr">
        <is>
          <t>N</t>
        </is>
      </c>
      <c r="X463" s="5" t="n"/>
      <c r="Y463" s="5" t="n"/>
      <c r="Z463" s="5" t="n"/>
      <c r="AA463" s="5" t="n"/>
      <c r="AB463" s="10" t="n"/>
      <c r="AC463" s="10" t="inlineStr">
        <is>
          <t>Saw Palmetto Extract · Identification</t>
        </is>
      </c>
      <c r="AD463" s="10" t="n"/>
      <c r="AE463" s="10" t="n"/>
    </row>
    <row r="464">
      <c r="A464" s="10" t="inlineStr">
        <is>
          <t>Saw Palmetto Dry Extract 4:1</t>
        </is>
      </c>
      <c r="B464" s="10" t="inlineStr">
        <is>
          <t>RM</t>
        </is>
      </c>
      <c r="C464" s="10" t="inlineStr">
        <is>
          <t>Active</t>
        </is>
      </c>
      <c r="D464" s="10" t="inlineStr">
        <is>
          <t>Content of Fatty Acids (GC)</t>
        </is>
      </c>
      <c r="E464" s="10">
        <f>IF(A464="","",A464&amp;"|"&amp;D464)</f>
        <v/>
      </c>
      <c r="F464" s="5" t="inlineStr">
        <is>
          <t>Y</t>
        </is>
      </c>
      <c r="G464" s="5" t="inlineStr">
        <is>
          <t>GC</t>
        </is>
      </c>
      <c r="H464" s="5" t="inlineStr">
        <is>
          <t>Medium</t>
        </is>
      </c>
      <c r="I464" s="5" t="n">
        <v>1</v>
      </c>
      <c r="J464" s="5" t="n"/>
      <c r="K464" s="5" t="n"/>
      <c r="L464" s="5" t="n"/>
      <c r="M464" s="5" t="n"/>
      <c r="N464" s="5" t="n"/>
      <c r="O464" s="5" t="n"/>
      <c r="P464" s="14">
        <f>IF(N464="","",IF(OR(M464="",O464=""),N464,(M464+4*N464+O464)/6))</f>
        <v/>
      </c>
      <c r="Q464" s="5" t="n"/>
      <c r="R464" s="5" t="n"/>
      <c r="S464" s="5" t="n"/>
      <c r="T464" s="5" t="n"/>
      <c r="U464" s="5" t="n"/>
      <c r="V464" s="15" t="n"/>
      <c r="W464" s="5" t="inlineStr">
        <is>
          <t>N</t>
        </is>
      </c>
      <c r="X464" s="5" t="n"/>
      <c r="Y464" s="5" t="n"/>
      <c r="Z464" s="5" t="n"/>
      <c r="AA464" s="5" t="n"/>
      <c r="AB464" s="10" t="n"/>
      <c r="AC464" s="10" t="inlineStr">
        <is>
          <t>Saw Palmetto Extract · Composition</t>
        </is>
      </c>
      <c r="AD464" s="10" t="n"/>
      <c r="AE464" s="10" t="n"/>
    </row>
    <row r="465">
      <c r="A465" s="10" t="inlineStr">
        <is>
          <t>Saw Palmetto Dry Extract 4:1</t>
        </is>
      </c>
      <c r="B465" s="10" t="inlineStr">
        <is>
          <t>RM</t>
        </is>
      </c>
      <c r="C465" s="10" t="inlineStr">
        <is>
          <t>Active</t>
        </is>
      </c>
      <c r="D465" s="10" t="inlineStr">
        <is>
          <t>Content of Long-Chain Alcohols and Sterols (GC)</t>
        </is>
      </c>
      <c r="E465" s="10">
        <f>IF(A465="","",A465&amp;"|"&amp;D465)</f>
        <v/>
      </c>
      <c r="F465" s="5" t="inlineStr">
        <is>
          <t>Y</t>
        </is>
      </c>
      <c r="G465" s="5" t="inlineStr">
        <is>
          <t>GC</t>
        </is>
      </c>
      <c r="H465" s="5" t="inlineStr">
        <is>
          <t>Medium</t>
        </is>
      </c>
      <c r="I465" s="5" t="n">
        <v>1</v>
      </c>
      <c r="J465" s="5" t="n"/>
      <c r="K465" s="5" t="n"/>
      <c r="L465" s="5" t="n"/>
      <c r="M465" s="5" t="n"/>
      <c r="N465" s="5" t="n"/>
      <c r="O465" s="5" t="n"/>
      <c r="P465" s="14">
        <f>IF(N465="","",IF(OR(M465="",O465=""),N465,(M465+4*N465+O465)/6))</f>
        <v/>
      </c>
      <c r="Q465" s="5" t="n"/>
      <c r="R465" s="5" t="n"/>
      <c r="S465" s="5" t="n"/>
      <c r="T465" s="5" t="n"/>
      <c r="U465" s="5" t="n"/>
      <c r="V465" s="15" t="n"/>
      <c r="W465" s="5" t="inlineStr">
        <is>
          <t>N</t>
        </is>
      </c>
      <c r="X465" s="5" t="n"/>
      <c r="Y465" s="5" t="n"/>
      <c r="Z465" s="5" t="n"/>
      <c r="AA465" s="5" t="n"/>
      <c r="AB465" s="10" t="n"/>
      <c r="AC465" s="10" t="inlineStr">
        <is>
          <t>Saw Palmetto Extract · Composition</t>
        </is>
      </c>
      <c r="AD465" s="10" t="n"/>
      <c r="AE465" s="10" t="n"/>
    </row>
    <row r="466">
      <c r="A466" s="10" t="inlineStr">
        <is>
          <t>Saw Palmetto Dry Extract 4:1</t>
        </is>
      </c>
      <c r="B466" s="10" t="inlineStr">
        <is>
          <t>RM</t>
        </is>
      </c>
      <c r="C466" s="10" t="inlineStr">
        <is>
          <t>Active</t>
        </is>
      </c>
      <c r="D466" s="10" t="inlineStr">
        <is>
          <t>Alcohol Determination (GC)</t>
        </is>
      </c>
      <c r="E466" s="10">
        <f>IF(A466="","",A466&amp;"|"&amp;D466)</f>
        <v/>
      </c>
      <c r="F466" s="5" t="inlineStr">
        <is>
          <t>Y</t>
        </is>
      </c>
      <c r="G466" s="5" t="inlineStr">
        <is>
          <t>GC</t>
        </is>
      </c>
      <c r="H466" s="5" t="inlineStr">
        <is>
          <t>Medium</t>
        </is>
      </c>
      <c r="I466" s="5" t="n">
        <v>1</v>
      </c>
      <c r="J466" s="5" t="n"/>
      <c r="K466" s="5" t="n"/>
      <c r="L466" s="5" t="n"/>
      <c r="M466" s="5" t="n"/>
      <c r="N466" s="5" t="n"/>
      <c r="O466" s="5" t="n"/>
      <c r="P466" s="14">
        <f>IF(N466="","",IF(OR(M466="",O466=""),N466,(M466+4*N466+O466)/6))</f>
        <v/>
      </c>
      <c r="Q466" s="5" t="n"/>
      <c r="R466" s="5" t="n"/>
      <c r="S466" s="5" t="n"/>
      <c r="T466" s="5" t="n"/>
      <c r="U466" s="5" t="n"/>
      <c r="V466" s="15" t="n"/>
      <c r="W466" s="5" t="inlineStr">
        <is>
          <t>N</t>
        </is>
      </c>
      <c r="X466" s="5" t="n"/>
      <c r="Y466" s="5" t="n"/>
      <c r="Z466" s="5" t="n"/>
      <c r="AA466" s="5" t="n"/>
      <c r="AB466" s="10" t="n"/>
      <c r="AC466" s="10" t="inlineStr">
        <is>
          <t>Saw Palmetto Extract · Specific Tests &lt;611&gt;</t>
        </is>
      </c>
      <c r="AD466" s="10" t="n"/>
      <c r="AE466" s="10" t="n"/>
    </row>
    <row r="467">
      <c r="A467" s="10" t="inlineStr">
        <is>
          <t>Saw Palmetto Dry Extract 4:1</t>
        </is>
      </c>
      <c r="B467" s="10" t="inlineStr">
        <is>
          <t>RM</t>
        </is>
      </c>
      <c r="C467" s="10" t="inlineStr">
        <is>
          <t>Active</t>
        </is>
      </c>
      <c r="D467" s="10" t="inlineStr">
        <is>
          <t>Fats and Fixed Oils</t>
        </is>
      </c>
      <c r="E467" s="10">
        <f>IF(A467="","",A467&amp;"|"&amp;D467)</f>
        <v/>
      </c>
      <c r="F467" s="5" t="inlineStr">
        <is>
          <t>Y</t>
        </is>
      </c>
      <c r="G467" s="5" t="inlineStr">
        <is>
          <t>Other / bench</t>
        </is>
      </c>
      <c r="H467" s="5" t="inlineStr">
        <is>
          <t>Low</t>
        </is>
      </c>
      <c r="I467" s="5" t="n">
        <v>1</v>
      </c>
      <c r="J467" s="5" t="n"/>
      <c r="K467" s="10">
        <f>IFERROR(IF(INDEX('Test catalog'!$F$2:$F$200,MATCH($AB467,'Test catalog'!$A$2:$A$200,0))="","",INDEX('Test catalog'!$F$2:$F$200,MATCH($AB467,'Test catalog'!$A$2:$A$200,0))),"")</f>
        <v/>
      </c>
      <c r="L467" s="10">
        <f>IFERROR(IF(INDEX('Test catalog'!$G$2:$G$200,MATCH($AB467,'Test catalog'!$A$2:$A$200,0))="","",INDEX('Test catalog'!$G$2:$G$200,MATCH($AB467,'Test catalog'!$A$2:$A$200,0))),"")</f>
        <v/>
      </c>
      <c r="M467" s="10">
        <f>IFERROR(IF(INDEX('Test catalog'!$H$2:$H$200,MATCH($AB467,'Test catalog'!$A$2:$A$200,0))="","",INDEX('Test catalog'!$H$2:$H$200,MATCH($AB467,'Test catalog'!$A$2:$A$200,0))),"")</f>
        <v/>
      </c>
      <c r="N467" s="10">
        <f>IFERROR(IF(INDEX('Test catalog'!$I$2:$I$200,MATCH($AB467,'Test catalog'!$A$2:$A$200,0))="","",INDEX('Test catalog'!$I$2:$I$200,MATCH($AB467,'Test catalog'!$A$2:$A$200,0))),"")</f>
        <v/>
      </c>
      <c r="O467" s="10">
        <f>IFERROR(IF(INDEX('Test catalog'!$J$2:$J$200,MATCH($AB467,'Test catalog'!$A$2:$A$200,0))="","",INDEX('Test catalog'!$J$2:$J$200,MATCH($AB467,'Test catalog'!$A$2:$A$200,0))),"")</f>
        <v/>
      </c>
      <c r="P467" s="14">
        <f>IF(N467="","",IF(OR(M467="",O467=""),N467,(M467+4*N467+O467)/6))</f>
        <v/>
      </c>
      <c r="Q467" s="10">
        <f>IFERROR(IF(INDEX('Test catalog'!$K$2:$K$200,MATCH($AB467,'Test catalog'!$A$2:$A$200,0))="","",INDEX('Test catalog'!$K$2:$K$200,MATCH($AB467,'Test catalog'!$A$2:$A$200,0))),"")</f>
        <v/>
      </c>
      <c r="R467" s="5" t="n"/>
      <c r="S467" s="10">
        <f>IFERROR(IF(INDEX('Test catalog'!$L$2:$L$200,MATCH($AB467,'Test catalog'!$A$2:$A$200,0))="","",INDEX('Test catalog'!$L$2:$L$200,MATCH($AB467,'Test catalog'!$A$2:$A$200,0))),"")</f>
        <v/>
      </c>
      <c r="T467" s="10">
        <f>IFERROR(IF(INDEX('Test catalog'!$M$2:$M$200,MATCH($AB467,'Test catalog'!$A$2:$A$200,0))="","",INDEX('Test catalog'!$M$2:$M$200,MATCH($AB467,'Test catalog'!$A$2:$A$200,0))),"")</f>
        <v/>
      </c>
      <c r="U467" s="10">
        <f>IFERROR(IF(INDEX('Test catalog'!$N$2:$N$200,MATCH($AB467,'Test catalog'!$A$2:$A$200,0))="","",INDEX('Test catalog'!$N$2:$N$200,MATCH($AB467,'Test catalog'!$A$2:$A$200,0))),"")</f>
        <v/>
      </c>
      <c r="V467" s="15" t="n"/>
      <c r="W467" s="5" t="inlineStr">
        <is>
          <t>N</t>
        </is>
      </c>
      <c r="X467" s="5" t="n"/>
      <c r="Y467" s="5" t="n"/>
      <c r="Z467" s="5" t="n"/>
      <c r="AA467" s="10">
        <f>IFERROR(IF(INDEX('Test catalog'!$O$2:$O$200,MATCH($AB467,'Test catalog'!$A$2:$A$200,0))="","",INDEX('Test catalog'!$O$2:$O$200,MATCH($AB467,'Test catalog'!$A$2:$A$200,0))),"")</f>
        <v/>
      </c>
      <c r="AB467" s="10" t="inlineStr">
        <is>
          <t>FATS</t>
        </is>
      </c>
      <c r="AC467" s="10" t="inlineStr">
        <is>
          <t>Saw Palmetto Extract · Specific Tests &lt;401&gt;</t>
        </is>
      </c>
      <c r="AD467" s="10" t="n"/>
      <c r="AE467" s="10" t="n"/>
    </row>
    <row r="468">
      <c r="A468" s="10" t="inlineStr">
        <is>
          <t>Saw Palmetto Dry Extract 4:1</t>
        </is>
      </c>
      <c r="B468" s="10" t="inlineStr">
        <is>
          <t>RM</t>
        </is>
      </c>
      <c r="C468" s="10" t="inlineStr">
        <is>
          <t>Active</t>
        </is>
      </c>
      <c r="D468" s="10" t="inlineStr">
        <is>
          <t>Water Determination</t>
        </is>
      </c>
      <c r="E468" s="10">
        <f>IF(A468="","",A468&amp;"|"&amp;D468)</f>
        <v/>
      </c>
      <c r="F468" s="5" t="inlineStr">
        <is>
          <t>Y</t>
        </is>
      </c>
      <c r="G468" s="5" t="inlineStr">
        <is>
          <t>KF titrator</t>
        </is>
      </c>
      <c r="H468" s="5" t="inlineStr">
        <is>
          <t>Low</t>
        </is>
      </c>
      <c r="I468" s="5" t="n">
        <v>1</v>
      </c>
      <c r="J468" s="5" t="n"/>
      <c r="K468" s="10">
        <f>IFERROR(IF(INDEX('Test catalog'!$F$2:$F$200,MATCH($AB468,'Test catalog'!$A$2:$A$200,0))="","",INDEX('Test catalog'!$F$2:$F$200,MATCH($AB468,'Test catalog'!$A$2:$A$200,0))),"")</f>
        <v/>
      </c>
      <c r="L468" s="10">
        <f>IFERROR(IF(INDEX('Test catalog'!$G$2:$G$200,MATCH($AB468,'Test catalog'!$A$2:$A$200,0))="","",INDEX('Test catalog'!$G$2:$G$200,MATCH($AB468,'Test catalog'!$A$2:$A$200,0))),"")</f>
        <v/>
      </c>
      <c r="M468" s="10">
        <f>IFERROR(IF(INDEX('Test catalog'!$H$2:$H$200,MATCH($AB468,'Test catalog'!$A$2:$A$200,0))="","",INDEX('Test catalog'!$H$2:$H$200,MATCH($AB468,'Test catalog'!$A$2:$A$200,0))),"")</f>
        <v/>
      </c>
      <c r="N468" s="10">
        <f>IFERROR(IF(INDEX('Test catalog'!$I$2:$I$200,MATCH($AB468,'Test catalog'!$A$2:$A$200,0))="","",INDEX('Test catalog'!$I$2:$I$200,MATCH($AB468,'Test catalog'!$A$2:$A$200,0))),"")</f>
        <v/>
      </c>
      <c r="O468" s="10">
        <f>IFERROR(IF(INDEX('Test catalog'!$J$2:$J$200,MATCH($AB468,'Test catalog'!$A$2:$A$200,0))="","",INDEX('Test catalog'!$J$2:$J$200,MATCH($AB468,'Test catalog'!$A$2:$A$200,0))),"")</f>
        <v/>
      </c>
      <c r="P468" s="14">
        <f>IF(N468="","",IF(OR(M468="",O468=""),N468,(M468+4*N468+O468)/6))</f>
        <v/>
      </c>
      <c r="Q468" s="10">
        <f>IFERROR(IF(INDEX('Test catalog'!$K$2:$K$200,MATCH($AB468,'Test catalog'!$A$2:$A$200,0))="","",INDEX('Test catalog'!$K$2:$K$200,MATCH($AB468,'Test catalog'!$A$2:$A$200,0))),"")</f>
        <v/>
      </c>
      <c r="R468" s="5" t="n"/>
      <c r="S468" s="10">
        <f>IFERROR(IF(INDEX('Test catalog'!$L$2:$L$200,MATCH($AB468,'Test catalog'!$A$2:$A$200,0))="","",INDEX('Test catalog'!$L$2:$L$200,MATCH($AB468,'Test catalog'!$A$2:$A$200,0))),"")</f>
        <v/>
      </c>
      <c r="T468" s="10">
        <f>IFERROR(IF(INDEX('Test catalog'!$M$2:$M$200,MATCH($AB468,'Test catalog'!$A$2:$A$200,0))="","",INDEX('Test catalog'!$M$2:$M$200,MATCH($AB468,'Test catalog'!$A$2:$A$200,0))),"")</f>
        <v/>
      </c>
      <c r="U468" s="10">
        <f>IFERROR(IF(INDEX('Test catalog'!$N$2:$N$200,MATCH($AB468,'Test catalog'!$A$2:$A$200,0))="","",INDEX('Test catalog'!$N$2:$N$200,MATCH($AB468,'Test catalog'!$A$2:$A$200,0))),"")</f>
        <v/>
      </c>
      <c r="V468" s="15" t="n"/>
      <c r="W468" s="5" t="inlineStr">
        <is>
          <t>N</t>
        </is>
      </c>
      <c r="X468" s="5" t="n"/>
      <c r="Y468" s="5" t="n"/>
      <c r="Z468" s="5" t="n"/>
      <c r="AA468" s="10">
        <f>IFERROR(IF(INDEX('Test catalog'!$O$2:$O$200,MATCH($AB468,'Test catalog'!$A$2:$A$200,0))="","",INDEX('Test catalog'!$O$2:$O$200,MATCH($AB468,'Test catalog'!$A$2:$A$200,0))),"")</f>
        <v/>
      </c>
      <c r="AB468" s="10" t="inlineStr">
        <is>
          <t>KF</t>
        </is>
      </c>
      <c r="AC468" s="10" t="inlineStr">
        <is>
          <t>Saw Palmetto Extract · Specific Tests &lt;921&gt;</t>
        </is>
      </c>
      <c r="AD468" s="10" t="n"/>
      <c r="AE468" s="10" t="n"/>
    </row>
    <row r="469">
      <c r="A469" s="10" t="inlineStr">
        <is>
          <t>Siberian Ginseng Dry Extract 5:1</t>
        </is>
      </c>
      <c r="B469" s="10" t="inlineStr">
        <is>
          <t>RM</t>
        </is>
      </c>
      <c r="C469" s="10" t="inlineStr">
        <is>
          <t>Active</t>
        </is>
      </c>
      <c r="D469" s="10" t="inlineStr">
        <is>
          <t>Appearance / description and solubility</t>
        </is>
      </c>
      <c r="E469" s="10">
        <f>IF(A469="","",A469&amp;"|"&amp;D469)</f>
        <v/>
      </c>
      <c r="F469" s="5" t="inlineStr">
        <is>
          <t>Y</t>
        </is>
      </c>
      <c r="G469" s="5" t="inlineStr">
        <is>
          <t>Other / bench</t>
        </is>
      </c>
      <c r="H469" s="5" t="inlineStr">
        <is>
          <t>Low</t>
        </is>
      </c>
      <c r="I469" s="5" t="n">
        <v>1</v>
      </c>
      <c r="J469" s="5" t="n"/>
      <c r="K469" s="10">
        <f>IFERROR(IF(INDEX('Test catalog'!$F$2:$F$200,MATCH($AB469,'Test catalog'!$A$2:$A$200,0))="","",INDEX('Test catalog'!$F$2:$F$200,MATCH($AB469,'Test catalog'!$A$2:$A$200,0))),"")</f>
        <v/>
      </c>
      <c r="L469" s="10">
        <f>IFERROR(IF(INDEX('Test catalog'!$G$2:$G$200,MATCH($AB469,'Test catalog'!$A$2:$A$200,0))="","",INDEX('Test catalog'!$G$2:$G$200,MATCH($AB469,'Test catalog'!$A$2:$A$200,0))),"")</f>
        <v/>
      </c>
      <c r="M469" s="10">
        <f>IFERROR(IF(INDEX('Test catalog'!$H$2:$H$200,MATCH($AB469,'Test catalog'!$A$2:$A$200,0))="","",INDEX('Test catalog'!$H$2:$H$200,MATCH($AB469,'Test catalog'!$A$2:$A$200,0))),"")</f>
        <v/>
      </c>
      <c r="N469" s="10">
        <f>IFERROR(IF(INDEX('Test catalog'!$I$2:$I$200,MATCH($AB469,'Test catalog'!$A$2:$A$200,0))="","",INDEX('Test catalog'!$I$2:$I$200,MATCH($AB469,'Test catalog'!$A$2:$A$200,0))),"")</f>
        <v/>
      </c>
      <c r="O469" s="10">
        <f>IFERROR(IF(INDEX('Test catalog'!$J$2:$J$200,MATCH($AB469,'Test catalog'!$A$2:$A$200,0))="","",INDEX('Test catalog'!$J$2:$J$200,MATCH($AB469,'Test catalog'!$A$2:$A$200,0))),"")</f>
        <v/>
      </c>
      <c r="P469" s="14">
        <f>IF(N469="","",IF(OR(M469="",O469=""),N469,(M469+4*N469+O469)/6))</f>
        <v/>
      </c>
      <c r="Q469" s="10">
        <f>IFERROR(IF(INDEX('Test catalog'!$K$2:$K$200,MATCH($AB469,'Test catalog'!$A$2:$A$200,0))="","",INDEX('Test catalog'!$K$2:$K$200,MATCH($AB469,'Test catalog'!$A$2:$A$200,0))),"")</f>
        <v/>
      </c>
      <c r="R469" s="5" t="n"/>
      <c r="S469" s="10">
        <f>IFERROR(IF(INDEX('Test catalog'!$L$2:$L$200,MATCH($AB469,'Test catalog'!$A$2:$A$200,0))="","",INDEX('Test catalog'!$L$2:$L$200,MATCH($AB469,'Test catalog'!$A$2:$A$200,0))),"")</f>
        <v/>
      </c>
      <c r="T469" s="10">
        <f>IFERROR(IF(INDEX('Test catalog'!$M$2:$M$200,MATCH($AB469,'Test catalog'!$A$2:$A$200,0))="","",INDEX('Test catalog'!$M$2:$M$200,MATCH($AB469,'Test catalog'!$A$2:$A$200,0))),"")</f>
        <v/>
      </c>
      <c r="U469" s="10">
        <f>IFERROR(IF(INDEX('Test catalog'!$N$2:$N$200,MATCH($AB469,'Test catalog'!$A$2:$A$200,0))="","",INDEX('Test catalog'!$N$2:$N$200,MATCH($AB469,'Test catalog'!$A$2:$A$200,0))),"")</f>
        <v/>
      </c>
      <c r="V469" s="15" t="n"/>
      <c r="W469" s="5" t="inlineStr">
        <is>
          <t>N</t>
        </is>
      </c>
      <c r="X469" s="5" t="n"/>
      <c r="Y469" s="5" t="n"/>
      <c r="Z469" s="5" t="n"/>
      <c r="AA469" s="10">
        <f>IFERROR(IF(INDEX('Test catalog'!$O$2:$O$200,MATCH($AB469,'Test catalog'!$A$2:$A$200,0))="","",INDEX('Test catalog'!$O$2:$O$200,MATCH($AB469,'Test catalog'!$A$2:$A$200,0))),"")</f>
        <v/>
      </c>
      <c r="AB469" s="10" t="inlineStr">
        <is>
          <t>APPEAR</t>
        </is>
      </c>
      <c r="AC469" s="10" t="inlineStr">
        <is>
          <t>Lab practice (not a USP test)</t>
        </is>
      </c>
      <c r="AD469" s="10" t="n"/>
      <c r="AE469" s="10" t="n"/>
    </row>
    <row r="470">
      <c r="A470" s="10" t="inlineStr">
        <is>
          <t>Siberian Ginseng Dry Extract 5:1</t>
        </is>
      </c>
      <c r="B470" s="10" t="inlineStr">
        <is>
          <t>RM</t>
        </is>
      </c>
      <c r="C470" s="10" t="inlineStr">
        <is>
          <t>Active</t>
        </is>
      </c>
      <c r="D470" s="10" t="inlineStr">
        <is>
          <t>ID A - TLC</t>
        </is>
      </c>
      <c r="E470" s="10">
        <f>IF(A470="","",A470&amp;"|"&amp;D470)</f>
        <v/>
      </c>
      <c r="F470" s="5" t="inlineStr">
        <is>
          <t>Y</t>
        </is>
      </c>
      <c r="G470" s="5" t="inlineStr">
        <is>
          <t>Other / bench</t>
        </is>
      </c>
      <c r="H470" s="5" t="inlineStr">
        <is>
          <t>Low</t>
        </is>
      </c>
      <c r="I470" s="5" t="n">
        <v>1</v>
      </c>
      <c r="J470" s="5" t="n"/>
      <c r="K470" s="10">
        <f>IFERROR(IF(INDEX('Test catalog'!$F$2:$F$200,MATCH($AB470,'Test catalog'!$A$2:$A$200,0))="","",INDEX('Test catalog'!$F$2:$F$200,MATCH($AB470,'Test catalog'!$A$2:$A$200,0))),"")</f>
        <v/>
      </c>
      <c r="L470" s="10">
        <f>IFERROR(IF(INDEX('Test catalog'!$G$2:$G$200,MATCH($AB470,'Test catalog'!$A$2:$A$200,0))="","",INDEX('Test catalog'!$G$2:$G$200,MATCH($AB470,'Test catalog'!$A$2:$A$200,0))),"")</f>
        <v/>
      </c>
      <c r="M470" s="10">
        <f>IFERROR(IF(INDEX('Test catalog'!$H$2:$H$200,MATCH($AB470,'Test catalog'!$A$2:$A$200,0))="","",INDEX('Test catalog'!$H$2:$H$200,MATCH($AB470,'Test catalog'!$A$2:$A$200,0))),"")</f>
        <v/>
      </c>
      <c r="N470" s="10">
        <f>IFERROR(IF(INDEX('Test catalog'!$I$2:$I$200,MATCH($AB470,'Test catalog'!$A$2:$A$200,0))="","",INDEX('Test catalog'!$I$2:$I$200,MATCH($AB470,'Test catalog'!$A$2:$A$200,0))),"")</f>
        <v/>
      </c>
      <c r="O470" s="10">
        <f>IFERROR(IF(INDEX('Test catalog'!$J$2:$J$200,MATCH($AB470,'Test catalog'!$A$2:$A$200,0))="","",INDEX('Test catalog'!$J$2:$J$200,MATCH($AB470,'Test catalog'!$A$2:$A$200,0))),"")</f>
        <v/>
      </c>
      <c r="P470" s="14">
        <f>IF(N470="","",IF(OR(M470="",O470=""),N470,(M470+4*N470+O470)/6))</f>
        <v/>
      </c>
      <c r="Q470" s="10">
        <f>IFERROR(IF(INDEX('Test catalog'!$K$2:$K$200,MATCH($AB470,'Test catalog'!$A$2:$A$200,0))="","",INDEX('Test catalog'!$K$2:$K$200,MATCH($AB470,'Test catalog'!$A$2:$A$200,0))),"")</f>
        <v/>
      </c>
      <c r="R470" s="5" t="n"/>
      <c r="S470" s="10">
        <f>IFERROR(IF(INDEX('Test catalog'!$L$2:$L$200,MATCH($AB470,'Test catalog'!$A$2:$A$200,0))="","",INDEX('Test catalog'!$L$2:$L$200,MATCH($AB470,'Test catalog'!$A$2:$A$200,0))),"")</f>
        <v/>
      </c>
      <c r="T470" s="10">
        <f>IFERROR(IF(INDEX('Test catalog'!$M$2:$M$200,MATCH($AB470,'Test catalog'!$A$2:$A$200,0))="","",INDEX('Test catalog'!$M$2:$M$200,MATCH($AB470,'Test catalog'!$A$2:$A$200,0))),"")</f>
        <v/>
      </c>
      <c r="U470" s="10">
        <f>IFERROR(IF(INDEX('Test catalog'!$N$2:$N$200,MATCH($AB470,'Test catalog'!$A$2:$A$200,0))="","",INDEX('Test catalog'!$N$2:$N$200,MATCH($AB470,'Test catalog'!$A$2:$A$200,0))),"")</f>
        <v/>
      </c>
      <c r="V470" s="15" t="n"/>
      <c r="W470" s="5" t="inlineStr">
        <is>
          <t>N</t>
        </is>
      </c>
      <c r="X470" s="5" t="n"/>
      <c r="Y470" s="5" t="n"/>
      <c r="Z470" s="5" t="n"/>
      <c r="AA470" s="10">
        <f>IFERROR(IF(INDEX('Test catalog'!$O$2:$O$200,MATCH($AB470,'Test catalog'!$A$2:$A$200,0))="","",INDEX('Test catalog'!$O$2:$O$200,MATCH($AB470,'Test catalog'!$A$2:$A$200,0))),"")</f>
        <v/>
      </c>
      <c r="AB470" s="10" t="inlineStr">
        <is>
          <t>TLC</t>
        </is>
      </c>
      <c r="AC470" s="10" t="inlineStr">
        <is>
          <t>Eleuthero Root and Rhizome Dry Extract · Identification &lt;203&gt;</t>
        </is>
      </c>
      <c r="AD470" s="10" t="n"/>
      <c r="AE470" s="10" t="n"/>
    </row>
    <row r="471">
      <c r="A471" s="10" t="inlineStr">
        <is>
          <t>Siberian Ginseng Dry Extract 5:1</t>
        </is>
      </c>
      <c r="B471" s="10" t="inlineStr">
        <is>
          <t>RM</t>
        </is>
      </c>
      <c r="C471" s="10" t="inlineStr">
        <is>
          <t>Active</t>
        </is>
      </c>
      <c r="D471" s="10" t="inlineStr">
        <is>
          <t>Content of Eleutherosides B and E (HPLC)</t>
        </is>
      </c>
      <c r="E471" s="10">
        <f>IF(A471="","",A471&amp;"|"&amp;D471)</f>
        <v/>
      </c>
      <c r="F471" s="5" t="inlineStr">
        <is>
          <t>Y</t>
        </is>
      </c>
      <c r="G471" s="5" t="inlineStr">
        <is>
          <t>HPLC</t>
        </is>
      </c>
      <c r="H471" s="5" t="inlineStr">
        <is>
          <t>Medium</t>
        </is>
      </c>
      <c r="I471" s="5" t="n">
        <v>1</v>
      </c>
      <c r="J471" s="5" t="n"/>
      <c r="K471" s="5" t="n"/>
      <c r="L471" s="5" t="n"/>
      <c r="M471" s="5" t="n"/>
      <c r="N471" s="5" t="n"/>
      <c r="O471" s="5" t="n"/>
      <c r="P471" s="14">
        <f>IF(N471="","",IF(OR(M471="",O471=""),N471,(M471+4*N471+O471)/6))</f>
        <v/>
      </c>
      <c r="Q471" s="5" t="n"/>
      <c r="R471" s="5" t="n"/>
      <c r="S471" s="5" t="n"/>
      <c r="T471" s="5" t="n"/>
      <c r="U471" s="5" t="n"/>
      <c r="V471" s="15" t="n"/>
      <c r="W471" s="5" t="inlineStr">
        <is>
          <t>N</t>
        </is>
      </c>
      <c r="X471" s="5" t="n"/>
      <c r="Y471" s="5" t="n"/>
      <c r="Z471" s="5" t="n"/>
      <c r="AA471" s="5" t="n"/>
      <c r="AB471" s="10" t="n"/>
      <c r="AC471" s="10" t="inlineStr">
        <is>
          <t>Eleuthero Root and Rhizome Dry Extract · Composition</t>
        </is>
      </c>
      <c r="AD471" s="10" t="n"/>
      <c r="AE471" s="10" t="n"/>
    </row>
    <row r="472">
      <c r="A472" s="10" t="inlineStr">
        <is>
          <t>Siberian Ginseng Dry Extract 5:1</t>
        </is>
      </c>
      <c r="B472" s="10" t="inlineStr">
        <is>
          <t>RM</t>
        </is>
      </c>
      <c r="C472" s="10" t="inlineStr">
        <is>
          <t>Active</t>
        </is>
      </c>
      <c r="D472" s="10" t="inlineStr">
        <is>
          <t>Botanical Extracts</t>
        </is>
      </c>
      <c r="E472" s="10">
        <f>IF(A472="","",A472&amp;"|"&amp;D472)</f>
        <v/>
      </c>
      <c r="F472" s="5" t="inlineStr">
        <is>
          <t>Y</t>
        </is>
      </c>
      <c r="G472" s="5" t="inlineStr">
        <is>
          <t>GC</t>
        </is>
      </c>
      <c r="H472" s="5" t="inlineStr">
        <is>
          <t>Medium</t>
        </is>
      </c>
      <c r="I472" s="5" t="n">
        <v>1</v>
      </c>
      <c r="J472" s="5" t="n"/>
      <c r="K472" s="10">
        <f>IFERROR(IF(INDEX('Test catalog'!$F$2:$F$200,MATCH($AB472,'Test catalog'!$A$2:$A$200,0))="","",INDEX('Test catalog'!$F$2:$F$200,MATCH($AB472,'Test catalog'!$A$2:$A$200,0))),"")</f>
        <v/>
      </c>
      <c r="L472" s="10">
        <f>IFERROR(IF(INDEX('Test catalog'!$G$2:$G$200,MATCH($AB472,'Test catalog'!$A$2:$A$200,0))="","",INDEX('Test catalog'!$G$2:$G$200,MATCH($AB472,'Test catalog'!$A$2:$A$200,0))),"")</f>
        <v/>
      </c>
      <c r="M472" s="10">
        <f>IFERROR(IF(INDEX('Test catalog'!$H$2:$H$200,MATCH($AB472,'Test catalog'!$A$2:$A$200,0))="","",INDEX('Test catalog'!$H$2:$H$200,MATCH($AB472,'Test catalog'!$A$2:$A$200,0))),"")</f>
        <v/>
      </c>
      <c r="N472" s="10">
        <f>IFERROR(IF(INDEX('Test catalog'!$I$2:$I$200,MATCH($AB472,'Test catalog'!$A$2:$A$200,0))="","",INDEX('Test catalog'!$I$2:$I$200,MATCH($AB472,'Test catalog'!$A$2:$A$200,0))),"")</f>
        <v/>
      </c>
      <c r="O472" s="10">
        <f>IFERROR(IF(INDEX('Test catalog'!$J$2:$J$200,MATCH($AB472,'Test catalog'!$A$2:$A$200,0))="","",INDEX('Test catalog'!$J$2:$J$200,MATCH($AB472,'Test catalog'!$A$2:$A$200,0))),"")</f>
        <v/>
      </c>
      <c r="P472" s="14">
        <f>IF(N472="","",IF(OR(M472="",O472=""),N472,(M472+4*N472+O472)/6))</f>
        <v/>
      </c>
      <c r="Q472" s="10">
        <f>IFERROR(IF(INDEX('Test catalog'!$K$2:$K$200,MATCH($AB472,'Test catalog'!$A$2:$A$200,0))="","",INDEX('Test catalog'!$K$2:$K$200,MATCH($AB472,'Test catalog'!$A$2:$A$200,0))),"")</f>
        <v/>
      </c>
      <c r="R472" s="5" t="n"/>
      <c r="S472" s="10">
        <f>IFERROR(IF(INDEX('Test catalog'!$L$2:$L$200,MATCH($AB472,'Test catalog'!$A$2:$A$200,0))="","",INDEX('Test catalog'!$L$2:$L$200,MATCH($AB472,'Test catalog'!$A$2:$A$200,0))),"")</f>
        <v/>
      </c>
      <c r="T472" s="10">
        <f>IFERROR(IF(INDEX('Test catalog'!$M$2:$M$200,MATCH($AB472,'Test catalog'!$A$2:$A$200,0))="","",INDEX('Test catalog'!$M$2:$M$200,MATCH($AB472,'Test catalog'!$A$2:$A$200,0))),"")</f>
        <v/>
      </c>
      <c r="U472" s="10">
        <f>IFERROR(IF(INDEX('Test catalog'!$N$2:$N$200,MATCH($AB472,'Test catalog'!$A$2:$A$200,0))="","",INDEX('Test catalog'!$N$2:$N$200,MATCH($AB472,'Test catalog'!$A$2:$A$200,0))),"")</f>
        <v/>
      </c>
      <c r="V472" s="15" t="n"/>
      <c r="W472" s="5" t="inlineStr">
        <is>
          <t>N</t>
        </is>
      </c>
      <c r="X472" s="5" t="n"/>
      <c r="Y472" s="5" t="n"/>
      <c r="Z472" s="5" t="n"/>
      <c r="AA472" s="10">
        <f>IFERROR(IF(INDEX('Test catalog'!$O$2:$O$200,MATCH($AB472,'Test catalog'!$A$2:$A$200,0))="","",INDEX('Test catalog'!$O$2:$O$200,MATCH($AB472,'Test catalog'!$A$2:$A$200,0))),"")</f>
        <v/>
      </c>
      <c r="AB472" s="10" t="inlineStr">
        <is>
          <t>PEST</t>
        </is>
      </c>
      <c r="AC472" s="10" t="inlineStr">
        <is>
          <t>Eleuthero Root and Rhizome Dry Extract · Contaminants &lt;565&gt;</t>
        </is>
      </c>
      <c r="AD472" s="10" t="n"/>
      <c r="AE472" s="10" t="n"/>
    </row>
    <row r="473">
      <c r="A473" s="10" t="inlineStr">
        <is>
          <t>Siberian Ginseng Dry Extract 5:1</t>
        </is>
      </c>
      <c r="B473" s="10" t="inlineStr">
        <is>
          <t>RM</t>
        </is>
      </c>
      <c r="C473" s="10" t="inlineStr">
        <is>
          <t>Active</t>
        </is>
      </c>
      <c r="D473" s="10" t="inlineStr">
        <is>
          <t>Botanical Extracts</t>
        </is>
      </c>
      <c r="E473" s="10">
        <f>IF(A473="","",A473&amp;"|"&amp;D473)</f>
        <v/>
      </c>
      <c r="F473" s="5" t="inlineStr">
        <is>
          <t>Y</t>
        </is>
      </c>
      <c r="G473" s="5" t="inlineStr">
        <is>
          <t>GC</t>
        </is>
      </c>
      <c r="H473" s="5" t="inlineStr">
        <is>
          <t>Medium</t>
        </is>
      </c>
      <c r="I473" s="5" t="n">
        <v>1</v>
      </c>
      <c r="J473" s="5" t="n"/>
      <c r="K473" s="10">
        <f>IFERROR(IF(INDEX('Test catalog'!$F$2:$F$200,MATCH($AB473,'Test catalog'!$A$2:$A$200,0))="","",INDEX('Test catalog'!$F$2:$F$200,MATCH($AB473,'Test catalog'!$A$2:$A$200,0))),"")</f>
        <v/>
      </c>
      <c r="L473" s="10">
        <f>IFERROR(IF(INDEX('Test catalog'!$G$2:$G$200,MATCH($AB473,'Test catalog'!$A$2:$A$200,0))="","",INDEX('Test catalog'!$G$2:$G$200,MATCH($AB473,'Test catalog'!$A$2:$A$200,0))),"")</f>
        <v/>
      </c>
      <c r="M473" s="10">
        <f>IFERROR(IF(INDEX('Test catalog'!$H$2:$H$200,MATCH($AB473,'Test catalog'!$A$2:$A$200,0))="","",INDEX('Test catalog'!$H$2:$H$200,MATCH($AB473,'Test catalog'!$A$2:$A$200,0))),"")</f>
        <v/>
      </c>
      <c r="N473" s="10">
        <f>IFERROR(IF(INDEX('Test catalog'!$I$2:$I$200,MATCH($AB473,'Test catalog'!$A$2:$A$200,0))="","",INDEX('Test catalog'!$I$2:$I$200,MATCH($AB473,'Test catalog'!$A$2:$A$200,0))),"")</f>
        <v/>
      </c>
      <c r="O473" s="10">
        <f>IFERROR(IF(INDEX('Test catalog'!$J$2:$J$200,MATCH($AB473,'Test catalog'!$A$2:$A$200,0))="","",INDEX('Test catalog'!$J$2:$J$200,MATCH($AB473,'Test catalog'!$A$2:$A$200,0))),"")</f>
        <v/>
      </c>
      <c r="P473" s="14">
        <f>IF(N473="","",IF(OR(M473="",O473=""),N473,(M473+4*N473+O473)/6))</f>
        <v/>
      </c>
      <c r="Q473" s="10">
        <f>IFERROR(IF(INDEX('Test catalog'!$K$2:$K$200,MATCH($AB473,'Test catalog'!$A$2:$A$200,0))="","",INDEX('Test catalog'!$K$2:$K$200,MATCH($AB473,'Test catalog'!$A$2:$A$200,0))),"")</f>
        <v/>
      </c>
      <c r="R473" s="5" t="n"/>
      <c r="S473" s="10">
        <f>IFERROR(IF(INDEX('Test catalog'!$L$2:$L$200,MATCH($AB473,'Test catalog'!$A$2:$A$200,0))="","",INDEX('Test catalog'!$L$2:$L$200,MATCH($AB473,'Test catalog'!$A$2:$A$200,0))),"")</f>
        <v/>
      </c>
      <c r="T473" s="10">
        <f>IFERROR(IF(INDEX('Test catalog'!$M$2:$M$200,MATCH($AB473,'Test catalog'!$A$2:$A$200,0))="","",INDEX('Test catalog'!$M$2:$M$200,MATCH($AB473,'Test catalog'!$A$2:$A$200,0))),"")</f>
        <v/>
      </c>
      <c r="U473" s="10">
        <f>IFERROR(IF(INDEX('Test catalog'!$N$2:$N$200,MATCH($AB473,'Test catalog'!$A$2:$A$200,0))="","",INDEX('Test catalog'!$N$2:$N$200,MATCH($AB473,'Test catalog'!$A$2:$A$200,0))),"")</f>
        <v/>
      </c>
      <c r="V473" s="15" t="n"/>
      <c r="W473" s="5" t="inlineStr">
        <is>
          <t>N</t>
        </is>
      </c>
      <c r="X473" s="5" t="n"/>
      <c r="Y473" s="5" t="n"/>
      <c r="Z473" s="5" t="n"/>
      <c r="AA473" s="10">
        <f>IFERROR(IF(INDEX('Test catalog'!$O$2:$O$200,MATCH($AB473,'Test catalog'!$A$2:$A$200,0))="","",INDEX('Test catalog'!$O$2:$O$200,MATCH($AB473,'Test catalog'!$A$2:$A$200,0))),"")</f>
        <v/>
      </c>
      <c r="AB473" s="10" t="inlineStr">
        <is>
          <t>RS_GC</t>
        </is>
      </c>
      <c r="AC473" s="10" t="inlineStr">
        <is>
          <t>Eleuthero Root and Rhizome Dry Extract · Contaminants &lt;565&gt;</t>
        </is>
      </c>
      <c r="AD473" s="10" t="n"/>
      <c r="AE473" s="10" t="n"/>
    </row>
    <row r="474">
      <c r="A474" s="10" t="inlineStr">
        <is>
          <t>Siberian Ginseng Dry Extract 5:1</t>
        </is>
      </c>
      <c r="B474" s="10" t="inlineStr">
        <is>
          <t>RM</t>
        </is>
      </c>
      <c r="C474" s="10" t="inlineStr">
        <is>
          <t>Active</t>
        </is>
      </c>
      <c r="D474" s="10" t="inlineStr">
        <is>
          <t>Water Determination</t>
        </is>
      </c>
      <c r="E474" s="10">
        <f>IF(A474="","",A474&amp;"|"&amp;D474)</f>
        <v/>
      </c>
      <c r="F474" s="5" t="inlineStr">
        <is>
          <t>Y</t>
        </is>
      </c>
      <c r="G474" s="5" t="inlineStr">
        <is>
          <t>KF titrator</t>
        </is>
      </c>
      <c r="H474" s="5" t="inlineStr">
        <is>
          <t>Low</t>
        </is>
      </c>
      <c r="I474" s="5" t="n">
        <v>1</v>
      </c>
      <c r="J474" s="5" t="n"/>
      <c r="K474" s="10">
        <f>IFERROR(IF(INDEX('Test catalog'!$F$2:$F$200,MATCH($AB474,'Test catalog'!$A$2:$A$200,0))="","",INDEX('Test catalog'!$F$2:$F$200,MATCH($AB474,'Test catalog'!$A$2:$A$200,0))),"")</f>
        <v/>
      </c>
      <c r="L474" s="10">
        <f>IFERROR(IF(INDEX('Test catalog'!$G$2:$G$200,MATCH($AB474,'Test catalog'!$A$2:$A$200,0))="","",INDEX('Test catalog'!$G$2:$G$200,MATCH($AB474,'Test catalog'!$A$2:$A$200,0))),"")</f>
        <v/>
      </c>
      <c r="M474" s="10">
        <f>IFERROR(IF(INDEX('Test catalog'!$H$2:$H$200,MATCH($AB474,'Test catalog'!$A$2:$A$200,0))="","",INDEX('Test catalog'!$H$2:$H$200,MATCH($AB474,'Test catalog'!$A$2:$A$200,0))),"")</f>
        <v/>
      </c>
      <c r="N474" s="10">
        <f>IFERROR(IF(INDEX('Test catalog'!$I$2:$I$200,MATCH($AB474,'Test catalog'!$A$2:$A$200,0))="","",INDEX('Test catalog'!$I$2:$I$200,MATCH($AB474,'Test catalog'!$A$2:$A$200,0))),"")</f>
        <v/>
      </c>
      <c r="O474" s="10">
        <f>IFERROR(IF(INDEX('Test catalog'!$J$2:$J$200,MATCH($AB474,'Test catalog'!$A$2:$A$200,0))="","",INDEX('Test catalog'!$J$2:$J$200,MATCH($AB474,'Test catalog'!$A$2:$A$200,0))),"")</f>
        <v/>
      </c>
      <c r="P474" s="14">
        <f>IF(N474="","",IF(OR(M474="",O474=""),N474,(M474+4*N474+O474)/6))</f>
        <v/>
      </c>
      <c r="Q474" s="10">
        <f>IFERROR(IF(INDEX('Test catalog'!$K$2:$K$200,MATCH($AB474,'Test catalog'!$A$2:$A$200,0))="","",INDEX('Test catalog'!$K$2:$K$200,MATCH($AB474,'Test catalog'!$A$2:$A$200,0))),"")</f>
        <v/>
      </c>
      <c r="R474" s="5" t="n"/>
      <c r="S474" s="10">
        <f>IFERROR(IF(INDEX('Test catalog'!$L$2:$L$200,MATCH($AB474,'Test catalog'!$A$2:$A$200,0))="","",INDEX('Test catalog'!$L$2:$L$200,MATCH($AB474,'Test catalog'!$A$2:$A$200,0))),"")</f>
        <v/>
      </c>
      <c r="T474" s="10">
        <f>IFERROR(IF(INDEX('Test catalog'!$M$2:$M$200,MATCH($AB474,'Test catalog'!$A$2:$A$200,0))="","",INDEX('Test catalog'!$M$2:$M$200,MATCH($AB474,'Test catalog'!$A$2:$A$200,0))),"")</f>
        <v/>
      </c>
      <c r="U474" s="10">
        <f>IFERROR(IF(INDEX('Test catalog'!$N$2:$N$200,MATCH($AB474,'Test catalog'!$A$2:$A$200,0))="","",INDEX('Test catalog'!$N$2:$N$200,MATCH($AB474,'Test catalog'!$A$2:$A$200,0))),"")</f>
        <v/>
      </c>
      <c r="V474" s="15" t="n"/>
      <c r="W474" s="5" t="inlineStr">
        <is>
          <t>N</t>
        </is>
      </c>
      <c r="X474" s="5" t="n"/>
      <c r="Y474" s="5" t="n"/>
      <c r="Z474" s="5" t="n"/>
      <c r="AA474" s="10">
        <f>IFERROR(IF(INDEX('Test catalog'!$O$2:$O$200,MATCH($AB474,'Test catalog'!$A$2:$A$200,0))="","",INDEX('Test catalog'!$O$2:$O$200,MATCH($AB474,'Test catalog'!$A$2:$A$200,0))),"")</f>
        <v/>
      </c>
      <c r="AB474" s="10" t="inlineStr">
        <is>
          <t>KF</t>
        </is>
      </c>
      <c r="AC474" s="10" t="inlineStr">
        <is>
          <t>Eleuthero Root and Rhizome Dry Extract · Specific Tests &lt;921&gt;</t>
        </is>
      </c>
      <c r="AD474" s="10" t="n"/>
      <c r="AE474" s="10" t="n"/>
    </row>
    <row r="475">
      <c r="A475" s="10" t="inlineStr">
        <is>
          <t>Siberian Ginseng Dry Extract 5:1</t>
        </is>
      </c>
      <c r="B475" s="10" t="inlineStr">
        <is>
          <t>RM</t>
        </is>
      </c>
      <c r="C475" s="10" t="inlineStr">
        <is>
          <t>Active</t>
        </is>
      </c>
      <c r="D475" s="10" t="inlineStr">
        <is>
          <t>Articles of Botanical Origin</t>
        </is>
      </c>
      <c r="E475" s="10">
        <f>IF(A475="","",A475&amp;"|"&amp;D475)</f>
        <v/>
      </c>
      <c r="F475" s="5" t="inlineStr">
        <is>
          <t>Y</t>
        </is>
      </c>
      <c r="G475" s="5" t="inlineStr">
        <is>
          <t>Other / bench</t>
        </is>
      </c>
      <c r="H475" s="5" t="inlineStr">
        <is>
          <t>Low</t>
        </is>
      </c>
      <c r="I475" s="5" t="n">
        <v>1</v>
      </c>
      <c r="J475" s="5" t="n"/>
      <c r="K475" s="10">
        <f>IFERROR(IF(INDEX('Test catalog'!$F$2:$F$200,MATCH($AB475,'Test catalog'!$A$2:$A$200,0))="","",INDEX('Test catalog'!$F$2:$F$200,MATCH($AB475,'Test catalog'!$A$2:$A$200,0))),"")</f>
        <v/>
      </c>
      <c r="L475" s="10">
        <f>IFERROR(IF(INDEX('Test catalog'!$G$2:$G$200,MATCH($AB475,'Test catalog'!$A$2:$A$200,0))="","",INDEX('Test catalog'!$G$2:$G$200,MATCH($AB475,'Test catalog'!$A$2:$A$200,0))),"")</f>
        <v/>
      </c>
      <c r="M475" s="10">
        <f>IFERROR(IF(INDEX('Test catalog'!$H$2:$H$200,MATCH($AB475,'Test catalog'!$A$2:$A$200,0))="","",INDEX('Test catalog'!$H$2:$H$200,MATCH($AB475,'Test catalog'!$A$2:$A$200,0))),"")</f>
        <v/>
      </c>
      <c r="N475" s="10">
        <f>IFERROR(IF(INDEX('Test catalog'!$I$2:$I$200,MATCH($AB475,'Test catalog'!$A$2:$A$200,0))="","",INDEX('Test catalog'!$I$2:$I$200,MATCH($AB475,'Test catalog'!$A$2:$A$200,0))),"")</f>
        <v/>
      </c>
      <c r="O475" s="10">
        <f>IFERROR(IF(INDEX('Test catalog'!$J$2:$J$200,MATCH($AB475,'Test catalog'!$A$2:$A$200,0))="","",INDEX('Test catalog'!$J$2:$J$200,MATCH($AB475,'Test catalog'!$A$2:$A$200,0))),"")</f>
        <v/>
      </c>
      <c r="P475" s="14">
        <f>IF(N475="","",IF(OR(M475="",O475=""),N475,(M475+4*N475+O475)/6))</f>
        <v/>
      </c>
      <c r="Q475" s="10">
        <f>IFERROR(IF(INDEX('Test catalog'!$K$2:$K$200,MATCH($AB475,'Test catalog'!$A$2:$A$200,0))="","",INDEX('Test catalog'!$K$2:$K$200,MATCH($AB475,'Test catalog'!$A$2:$A$200,0))),"")</f>
        <v/>
      </c>
      <c r="R475" s="5" t="n"/>
      <c r="S475" s="10">
        <f>IFERROR(IF(INDEX('Test catalog'!$L$2:$L$200,MATCH($AB475,'Test catalog'!$A$2:$A$200,0))="","",INDEX('Test catalog'!$L$2:$L$200,MATCH($AB475,'Test catalog'!$A$2:$A$200,0))),"")</f>
        <v/>
      </c>
      <c r="T475" s="10">
        <f>IFERROR(IF(INDEX('Test catalog'!$M$2:$M$200,MATCH($AB475,'Test catalog'!$A$2:$A$200,0))="","",INDEX('Test catalog'!$M$2:$M$200,MATCH($AB475,'Test catalog'!$A$2:$A$200,0))),"")</f>
        <v/>
      </c>
      <c r="U475" s="10">
        <f>IFERROR(IF(INDEX('Test catalog'!$N$2:$N$200,MATCH($AB475,'Test catalog'!$A$2:$A$200,0))="","",INDEX('Test catalog'!$N$2:$N$200,MATCH($AB475,'Test catalog'!$A$2:$A$200,0))),"")</f>
        <v/>
      </c>
      <c r="V475" s="15" t="n"/>
      <c r="W475" s="5" t="inlineStr">
        <is>
          <t>N</t>
        </is>
      </c>
      <c r="X475" s="5" t="n"/>
      <c r="Y475" s="5" t="n"/>
      <c r="Z475" s="5" t="n"/>
      <c r="AA475" s="10">
        <f>IFERROR(IF(INDEX('Test catalog'!$O$2:$O$200,MATCH($AB475,'Test catalog'!$A$2:$A$200,0))="","",INDEX('Test catalog'!$O$2:$O$200,MATCH($AB475,'Test catalog'!$A$2:$A$200,0))),"")</f>
        <v/>
      </c>
      <c r="AB475" s="10" t="inlineStr">
        <is>
          <t>ASH</t>
        </is>
      </c>
      <c r="AC475" s="10" t="inlineStr">
        <is>
          <t>Eleuthero Root and Rhizome Dry Extract · Specific Tests &lt;561&gt;</t>
        </is>
      </c>
      <c r="AD475" s="10" t="n"/>
      <c r="AE475" s="10" t="n"/>
    </row>
    <row r="476">
      <c r="A476" s="10" t="inlineStr">
        <is>
          <t>Sodium Selenate Anhydrous</t>
        </is>
      </c>
      <c r="B476" s="10" t="inlineStr">
        <is>
          <t>RM</t>
        </is>
      </c>
      <c r="C476" s="10" t="inlineStr">
        <is>
          <t>Active</t>
        </is>
      </c>
      <c r="D476" s="10" t="inlineStr">
        <is>
          <t>Assay + related substances</t>
        </is>
      </c>
      <c r="E476" s="10">
        <f>IF(A476="","",A476&amp;"|"&amp;D476)</f>
        <v/>
      </c>
      <c r="F476" s="5" t="inlineStr">
        <is>
          <t>Y</t>
        </is>
      </c>
      <c r="G476" s="5" t="inlineStr">
        <is>
          <t>HPLC</t>
        </is>
      </c>
      <c r="H476" s="5" t="inlineStr">
        <is>
          <t>Medium</t>
        </is>
      </c>
      <c r="I476" s="5" t="n">
        <v>1</v>
      </c>
      <c r="J476" s="5" t="n"/>
      <c r="K476" s="5" t="n"/>
      <c r="L476" s="5" t="n"/>
      <c r="M476" s="5" t="n"/>
      <c r="N476" s="5" t="n"/>
      <c r="O476" s="5" t="n"/>
      <c r="P476" s="14">
        <f>IF(N476="","",IF(OR(M476="",O476=""),N476,(M476+4*N476+O476)/6))</f>
        <v/>
      </c>
      <c r="Q476" s="5" t="n"/>
      <c r="R476" s="5" t="n"/>
      <c r="S476" s="5" t="n"/>
      <c r="T476" s="5" t="n"/>
      <c r="U476" s="5" t="n"/>
      <c r="V476" s="15" t="n"/>
      <c r="W476" s="5" t="inlineStr">
        <is>
          <t>N</t>
        </is>
      </c>
      <c r="X476" s="5" t="n"/>
      <c r="Y476" s="5" t="n"/>
      <c r="Z476" s="5" t="n"/>
      <c r="AA476" s="5" t="n"/>
      <c r="AB476" s="10" t="n"/>
      <c r="AC476" s="10" t="n"/>
      <c r="AD476" s="10" t="inlineStr">
        <is>
          <t>No USP-NF monograph - in-house / supplier spec</t>
        </is>
      </c>
      <c r="AE476" s="10" t="n"/>
      <c r="AF476" s="10" t="n"/>
    </row>
    <row r="477">
      <c r="A477" s="10" t="inlineStr">
        <is>
          <t>Sodium Selenate Anhydrous</t>
        </is>
      </c>
      <c r="B477" s="10" t="inlineStr">
        <is>
          <t>RM</t>
        </is>
      </c>
      <c r="C477" s="10" t="inlineStr">
        <is>
          <t>Active</t>
        </is>
      </c>
      <c r="D477" s="10" t="inlineStr">
        <is>
          <t>Other compendial tests (ID, LOD/KF, heavy metals...)</t>
        </is>
      </c>
      <c r="E477" s="10">
        <f>IF(A477="","",A477&amp;"|"&amp;D477)</f>
        <v/>
      </c>
      <c r="F477" s="5" t="inlineStr">
        <is>
          <t>Y</t>
        </is>
      </c>
      <c r="G477" s="5" t="inlineStr">
        <is>
          <t>Other / bench</t>
        </is>
      </c>
      <c r="H477" s="5" t="inlineStr">
        <is>
          <t>Low</t>
        </is>
      </c>
      <c r="I477" s="5" t="n">
        <v>1</v>
      </c>
      <c r="J477" s="5" t="n"/>
      <c r="K477" s="5" t="n"/>
      <c r="L477" s="5" t="n"/>
      <c r="M477" s="5" t="n"/>
      <c r="N477" s="5" t="n"/>
      <c r="O477" s="5" t="n"/>
      <c r="P477" s="14">
        <f>IF(N477="","",IF(OR(M477="",O477=""),N477,(M477+4*N477+O477)/6))</f>
        <v/>
      </c>
      <c r="Q477" s="5" t="n"/>
      <c r="R477" s="5" t="n"/>
      <c r="S477" s="5" t="n"/>
      <c r="T477" s="5" t="n"/>
      <c r="U477" s="5" t="n"/>
      <c r="V477" s="15" t="n"/>
      <c r="W477" s="5" t="inlineStr">
        <is>
          <t>N</t>
        </is>
      </c>
      <c r="X477" s="5" t="n"/>
      <c r="Y477" s="5" t="n"/>
      <c r="Z477" s="5" t="n"/>
      <c r="AA477" s="5" t="n"/>
      <c r="AB477" s="10" t="n"/>
      <c r="AC477" s="10" t="n"/>
      <c r="AD477" s="10" t="inlineStr">
        <is>
          <t>No USP-NF monograph - in-house / supplier spec</t>
        </is>
      </c>
      <c r="AE477" s="10" t="n"/>
      <c r="AF477" s="10" t="n"/>
    </row>
    <row r="478">
      <c r="A478" s="10" t="inlineStr">
        <is>
          <t>Sodium Selenite</t>
        </is>
      </c>
      <c r="B478" s="10" t="inlineStr">
        <is>
          <t>RM</t>
        </is>
      </c>
      <c r="C478" s="10" t="inlineStr">
        <is>
          <t>Active</t>
        </is>
      </c>
      <c r="D478" s="10" t="inlineStr">
        <is>
          <t>Assay + related substances</t>
        </is>
      </c>
      <c r="E478" s="10">
        <f>IF(A478="","",A478&amp;"|"&amp;D478)</f>
        <v/>
      </c>
      <c r="F478" s="5" t="inlineStr">
        <is>
          <t>Y</t>
        </is>
      </c>
      <c r="G478" s="5" t="inlineStr">
        <is>
          <t>HPLC</t>
        </is>
      </c>
      <c r="H478" s="5" t="inlineStr">
        <is>
          <t>Medium</t>
        </is>
      </c>
      <c r="I478" s="5" t="n">
        <v>1</v>
      </c>
      <c r="J478" s="5" t="n"/>
      <c r="K478" s="5" t="n"/>
      <c r="L478" s="5" t="n"/>
      <c r="M478" s="5" t="n"/>
      <c r="N478" s="5" t="n"/>
      <c r="O478" s="5" t="n"/>
      <c r="P478" s="14">
        <f>IF(N478="","",IF(OR(M478="",O478=""),N478,(M478+4*N478+O478)/6))</f>
        <v/>
      </c>
      <c r="Q478" s="5" t="n"/>
      <c r="R478" s="5" t="n"/>
      <c r="S478" s="5" t="n"/>
      <c r="T478" s="5" t="n"/>
      <c r="U478" s="5" t="n"/>
      <c r="V478" s="15" t="n"/>
      <c r="W478" s="5" t="inlineStr">
        <is>
          <t>N</t>
        </is>
      </c>
      <c r="X478" s="5" t="n"/>
      <c r="Y478" s="5" t="n"/>
      <c r="Z478" s="5" t="n"/>
      <c r="AA478" s="5" t="n"/>
      <c r="AB478" s="10" t="n"/>
      <c r="AC478" s="10" t="n"/>
      <c r="AD478" s="10" t="inlineStr">
        <is>
          <t>No USP-NF monograph - in-house / supplier spec</t>
        </is>
      </c>
      <c r="AE478" s="10" t="n">
        <v>1.67</v>
      </c>
      <c r="AF478" s="10" t="inlineStr">
        <is>
          <t>Identification A- Identification  B- Identification C- Identification D- Assay</t>
        </is>
      </c>
    </row>
    <row r="479">
      <c r="A479" s="10" t="inlineStr">
        <is>
          <t>Sodium Selenite</t>
        </is>
      </c>
      <c r="B479" s="10" t="inlineStr">
        <is>
          <t>RM</t>
        </is>
      </c>
      <c r="C479" s="10" t="inlineStr">
        <is>
          <t>Active</t>
        </is>
      </c>
      <c r="D479" s="10" t="inlineStr">
        <is>
          <t>Other compendial tests (ID, LOD/KF, heavy metals...)</t>
        </is>
      </c>
      <c r="E479" s="10">
        <f>IF(A479="","",A479&amp;"|"&amp;D479)</f>
        <v/>
      </c>
      <c r="F479" s="5" t="inlineStr">
        <is>
          <t>Y</t>
        </is>
      </c>
      <c r="G479" s="5" t="inlineStr">
        <is>
          <t>Other / bench</t>
        </is>
      </c>
      <c r="H479" s="5" t="inlineStr">
        <is>
          <t>Low</t>
        </is>
      </c>
      <c r="I479" s="5" t="n">
        <v>1</v>
      </c>
      <c r="J479" s="5" t="n"/>
      <c r="K479" s="5" t="n"/>
      <c r="L479" s="5" t="n"/>
      <c r="M479" s="5" t="n"/>
      <c r="N479" s="5" t="n"/>
      <c r="O479" s="5" t="n"/>
      <c r="P479" s="14">
        <f>IF(N479="","",IF(OR(M479="",O479=""),N479,(M479+4*N479+O479)/6))</f>
        <v/>
      </c>
      <c r="Q479" s="5" t="n"/>
      <c r="R479" s="5" t="n"/>
      <c r="S479" s="5" t="n"/>
      <c r="T479" s="5" t="n"/>
      <c r="U479" s="5" t="n"/>
      <c r="V479" s="15" t="n"/>
      <c r="W479" s="5" t="inlineStr">
        <is>
          <t>N</t>
        </is>
      </c>
      <c r="X479" s="5" t="n"/>
      <c r="Y479" s="5" t="n"/>
      <c r="Z479" s="5" t="n"/>
      <c r="AA479" s="5" t="n"/>
      <c r="AB479" s="10" t="n"/>
      <c r="AC479" s="10" t="n"/>
      <c r="AD479" s="10" t="inlineStr">
        <is>
          <t>No USP-NF monograph - in-house / supplier spec</t>
        </is>
      </c>
      <c r="AE479" s="10" t="n">
        <v>3.35</v>
      </c>
      <c r="AF479" s="10" t="inlineStr">
        <is>
          <t>Appearance- Solubility- Appearance of solution- pH- Chloride- Sulfate- Loss on drying</t>
        </is>
      </c>
    </row>
    <row r="480">
      <c r="A480" s="10" t="inlineStr">
        <is>
          <t>Taurine</t>
        </is>
      </c>
      <c r="B480" s="10" t="inlineStr">
        <is>
          <t>RM</t>
        </is>
      </c>
      <c r="C480" s="10" t="inlineStr">
        <is>
          <t>Active</t>
        </is>
      </c>
      <c r="D480" s="10" t="inlineStr">
        <is>
          <t>Appearance / description and solubility</t>
        </is>
      </c>
      <c r="E480" s="10">
        <f>IF(A480="","",A480&amp;"|"&amp;D480)</f>
        <v/>
      </c>
      <c r="F480" s="5" t="inlineStr">
        <is>
          <t>Y</t>
        </is>
      </c>
      <c r="G480" s="5" t="inlineStr">
        <is>
          <t>Other / bench</t>
        </is>
      </c>
      <c r="H480" s="5" t="inlineStr">
        <is>
          <t>Low</t>
        </is>
      </c>
      <c r="I480" s="5" t="n">
        <v>1</v>
      </c>
      <c r="J480" s="5" t="n"/>
      <c r="K480" s="10">
        <f>IFERROR(IF(INDEX('Test catalog'!$F$2:$F$200,MATCH($AB480,'Test catalog'!$A$2:$A$200,0))="","",INDEX('Test catalog'!$F$2:$F$200,MATCH($AB480,'Test catalog'!$A$2:$A$200,0))),"")</f>
        <v/>
      </c>
      <c r="L480" s="10">
        <f>IFERROR(IF(INDEX('Test catalog'!$G$2:$G$200,MATCH($AB480,'Test catalog'!$A$2:$A$200,0))="","",INDEX('Test catalog'!$G$2:$G$200,MATCH($AB480,'Test catalog'!$A$2:$A$200,0))),"")</f>
        <v/>
      </c>
      <c r="M480" s="10">
        <f>IFERROR(IF(INDEX('Test catalog'!$H$2:$H$200,MATCH($AB480,'Test catalog'!$A$2:$A$200,0))="","",INDEX('Test catalog'!$H$2:$H$200,MATCH($AB480,'Test catalog'!$A$2:$A$200,0))),"")</f>
        <v/>
      </c>
      <c r="N480" s="10">
        <f>IFERROR(IF(INDEX('Test catalog'!$I$2:$I$200,MATCH($AB480,'Test catalog'!$A$2:$A$200,0))="","",INDEX('Test catalog'!$I$2:$I$200,MATCH($AB480,'Test catalog'!$A$2:$A$200,0))),"")</f>
        <v/>
      </c>
      <c r="O480" s="10">
        <f>IFERROR(IF(INDEX('Test catalog'!$J$2:$J$200,MATCH($AB480,'Test catalog'!$A$2:$A$200,0))="","",INDEX('Test catalog'!$J$2:$J$200,MATCH($AB480,'Test catalog'!$A$2:$A$200,0))),"")</f>
        <v/>
      </c>
      <c r="P480" s="14">
        <f>IF(N480="","",IF(OR(M480="",O480=""),N480,(M480+4*N480+O480)/6))</f>
        <v/>
      </c>
      <c r="Q480" s="10">
        <f>IFERROR(IF(INDEX('Test catalog'!$K$2:$K$200,MATCH($AB480,'Test catalog'!$A$2:$A$200,0))="","",INDEX('Test catalog'!$K$2:$K$200,MATCH($AB480,'Test catalog'!$A$2:$A$200,0))),"")</f>
        <v/>
      </c>
      <c r="R480" s="5" t="n"/>
      <c r="S480" s="10">
        <f>IFERROR(IF(INDEX('Test catalog'!$L$2:$L$200,MATCH($AB480,'Test catalog'!$A$2:$A$200,0))="","",INDEX('Test catalog'!$L$2:$L$200,MATCH($AB480,'Test catalog'!$A$2:$A$200,0))),"")</f>
        <v/>
      </c>
      <c r="T480" s="10">
        <f>IFERROR(IF(INDEX('Test catalog'!$M$2:$M$200,MATCH($AB480,'Test catalog'!$A$2:$A$200,0))="","",INDEX('Test catalog'!$M$2:$M$200,MATCH($AB480,'Test catalog'!$A$2:$A$200,0))),"")</f>
        <v/>
      </c>
      <c r="U480" s="10">
        <f>IFERROR(IF(INDEX('Test catalog'!$N$2:$N$200,MATCH($AB480,'Test catalog'!$A$2:$A$200,0))="","",INDEX('Test catalog'!$N$2:$N$200,MATCH($AB480,'Test catalog'!$A$2:$A$200,0))),"")</f>
        <v/>
      </c>
      <c r="V480" s="15" t="n"/>
      <c r="W480" s="5" t="inlineStr">
        <is>
          <t>N</t>
        </is>
      </c>
      <c r="X480" s="5" t="n"/>
      <c r="Y480" s="5" t="n"/>
      <c r="Z480" s="5" t="n"/>
      <c r="AA480" s="10">
        <f>IFERROR(IF(INDEX('Test catalog'!$O$2:$O$200,MATCH($AB480,'Test catalog'!$A$2:$A$200,0))="","",INDEX('Test catalog'!$O$2:$O$200,MATCH($AB480,'Test catalog'!$A$2:$A$200,0))),"")</f>
        <v/>
      </c>
      <c r="AB480" s="10" t="inlineStr">
        <is>
          <t>APPEAR</t>
        </is>
      </c>
      <c r="AC480" s="10" t="inlineStr">
        <is>
          <t>Lab practice (not a USP test)</t>
        </is>
      </c>
      <c r="AD480" s="10" t="n"/>
      <c r="AE480" s="10" t="n"/>
    </row>
    <row r="481">
      <c r="A481" s="10" t="inlineStr">
        <is>
          <t>Taurine</t>
        </is>
      </c>
      <c r="B481" s="10" t="inlineStr">
        <is>
          <t>RM</t>
        </is>
      </c>
      <c r="C481" s="10" t="inlineStr">
        <is>
          <t>Active</t>
        </is>
      </c>
      <c r="D481" s="10" t="inlineStr">
        <is>
          <t>ID A - IR spectrum</t>
        </is>
      </c>
      <c r="E481" s="10">
        <f>IF(A481="","",A481&amp;"|"&amp;D481)</f>
        <v/>
      </c>
      <c r="F481" s="5" t="inlineStr">
        <is>
          <t>Y</t>
        </is>
      </c>
      <c r="G481" s="5" t="inlineStr">
        <is>
          <t>Other / bench</t>
        </is>
      </c>
      <c r="H481" s="5" t="inlineStr">
        <is>
          <t>Low</t>
        </is>
      </c>
      <c r="I481" s="5" t="n">
        <v>1</v>
      </c>
      <c r="J481" s="5" t="n"/>
      <c r="K481" s="10">
        <f>IFERROR(IF(INDEX('Test catalog'!$F$2:$F$200,MATCH($AB481,'Test catalog'!$A$2:$A$200,0))="","",INDEX('Test catalog'!$F$2:$F$200,MATCH($AB481,'Test catalog'!$A$2:$A$200,0))),"")</f>
        <v/>
      </c>
      <c r="L481" s="10">
        <f>IFERROR(IF(INDEX('Test catalog'!$G$2:$G$200,MATCH($AB481,'Test catalog'!$A$2:$A$200,0))="","",INDEX('Test catalog'!$G$2:$G$200,MATCH($AB481,'Test catalog'!$A$2:$A$200,0))),"")</f>
        <v/>
      </c>
      <c r="M481" s="10">
        <f>IFERROR(IF(INDEX('Test catalog'!$H$2:$H$200,MATCH($AB481,'Test catalog'!$A$2:$A$200,0))="","",INDEX('Test catalog'!$H$2:$H$200,MATCH($AB481,'Test catalog'!$A$2:$A$200,0))),"")</f>
        <v/>
      </c>
      <c r="N481" s="10">
        <f>IFERROR(IF(INDEX('Test catalog'!$I$2:$I$200,MATCH($AB481,'Test catalog'!$A$2:$A$200,0))="","",INDEX('Test catalog'!$I$2:$I$200,MATCH($AB481,'Test catalog'!$A$2:$A$200,0))),"")</f>
        <v/>
      </c>
      <c r="O481" s="10">
        <f>IFERROR(IF(INDEX('Test catalog'!$J$2:$J$200,MATCH($AB481,'Test catalog'!$A$2:$A$200,0))="","",INDEX('Test catalog'!$J$2:$J$200,MATCH($AB481,'Test catalog'!$A$2:$A$200,0))),"")</f>
        <v/>
      </c>
      <c r="P481" s="14">
        <f>IF(N481="","",IF(OR(M481="",O481=""),N481,(M481+4*N481+O481)/6))</f>
        <v/>
      </c>
      <c r="Q481" s="10">
        <f>IFERROR(IF(INDEX('Test catalog'!$K$2:$K$200,MATCH($AB481,'Test catalog'!$A$2:$A$200,0))="","",INDEX('Test catalog'!$K$2:$K$200,MATCH($AB481,'Test catalog'!$A$2:$A$200,0))),"")</f>
        <v/>
      </c>
      <c r="R481" s="5" t="n"/>
      <c r="S481" s="10">
        <f>IFERROR(IF(INDEX('Test catalog'!$L$2:$L$200,MATCH($AB481,'Test catalog'!$A$2:$A$200,0))="","",INDEX('Test catalog'!$L$2:$L$200,MATCH($AB481,'Test catalog'!$A$2:$A$200,0))),"")</f>
        <v/>
      </c>
      <c r="T481" s="10">
        <f>IFERROR(IF(INDEX('Test catalog'!$M$2:$M$200,MATCH($AB481,'Test catalog'!$A$2:$A$200,0))="","",INDEX('Test catalog'!$M$2:$M$200,MATCH($AB481,'Test catalog'!$A$2:$A$200,0))),"")</f>
        <v/>
      </c>
      <c r="U481" s="10">
        <f>IFERROR(IF(INDEX('Test catalog'!$N$2:$N$200,MATCH($AB481,'Test catalog'!$A$2:$A$200,0))="","",INDEX('Test catalog'!$N$2:$N$200,MATCH($AB481,'Test catalog'!$A$2:$A$200,0))),"")</f>
        <v/>
      </c>
      <c r="V481" s="15" t="n"/>
      <c r="W481" s="5" t="inlineStr">
        <is>
          <t>N</t>
        </is>
      </c>
      <c r="X481" s="5" t="n"/>
      <c r="Y481" s="5" t="n"/>
      <c r="Z481" s="5" t="n"/>
      <c r="AA481" s="10">
        <f>IFERROR(IF(INDEX('Test catalog'!$O$2:$O$200,MATCH($AB481,'Test catalog'!$A$2:$A$200,0))="","",INDEX('Test catalog'!$O$2:$O$200,MATCH($AB481,'Test catalog'!$A$2:$A$200,0))),"")</f>
        <v/>
      </c>
      <c r="AB481" s="10" t="inlineStr">
        <is>
          <t>ID_IR</t>
        </is>
      </c>
      <c r="AC481" s="10" t="inlineStr">
        <is>
          <t>Taurine · Identification &lt;197&gt;</t>
        </is>
      </c>
      <c r="AD481" s="10" t="n"/>
      <c r="AE481" s="10" t="n"/>
    </row>
    <row r="482">
      <c r="A482" s="10" t="inlineStr">
        <is>
          <t>Taurine</t>
        </is>
      </c>
      <c r="B482" s="10" t="inlineStr">
        <is>
          <t>RM</t>
        </is>
      </c>
      <c r="C482" s="10" t="inlineStr">
        <is>
          <t>Active</t>
        </is>
      </c>
      <c r="D482" s="10" t="inlineStr">
        <is>
          <t>ID - HPLC</t>
        </is>
      </c>
      <c r="E482" s="10">
        <f>IF(A482="","",A482&amp;"|"&amp;D482)</f>
        <v/>
      </c>
      <c r="F482" s="5" t="inlineStr">
        <is>
          <t>Y</t>
        </is>
      </c>
      <c r="G482" s="5" t="inlineStr">
        <is>
          <t>HPLC</t>
        </is>
      </c>
      <c r="H482" s="5" t="inlineStr">
        <is>
          <t>Medium</t>
        </is>
      </c>
      <c r="I482" s="5" t="n">
        <v>1</v>
      </c>
      <c r="J482" s="5" t="n"/>
      <c r="K482" s="5" t="n"/>
      <c r="L482" s="5" t="n"/>
      <c r="M482" s="5" t="n"/>
      <c r="N482" s="5" t="n"/>
      <c r="O482" s="5" t="n"/>
      <c r="P482" s="14">
        <f>IF(N482="","",IF(OR(M482="",O482=""),N482,(M482+4*N482+O482)/6))</f>
        <v/>
      </c>
      <c r="Q482" s="5" t="n"/>
      <c r="R482" s="5" t="n"/>
      <c r="S482" s="5" t="n"/>
      <c r="T482" s="5" t="n"/>
      <c r="U482" s="5" t="n"/>
      <c r="V482" s="15" t="n"/>
      <c r="W482" s="5" t="inlineStr">
        <is>
          <t>N</t>
        </is>
      </c>
      <c r="X482" s="5" t="n"/>
      <c r="Y482" s="5" t="n"/>
      <c r="Z482" s="5" t="n"/>
      <c r="AA482" s="5" t="n"/>
      <c r="AB482" s="10" t="n"/>
      <c r="AC482" s="10" t="inlineStr">
        <is>
          <t>Taurine · Identification</t>
        </is>
      </c>
      <c r="AD482" s="10" t="n"/>
      <c r="AE482" s="10" t="n"/>
    </row>
    <row r="483">
      <c r="A483" s="10" t="inlineStr">
        <is>
          <t>Taurine</t>
        </is>
      </c>
      <c r="B483" s="10" t="inlineStr">
        <is>
          <t>RM</t>
        </is>
      </c>
      <c r="C483" s="10" t="inlineStr">
        <is>
          <t>Active</t>
        </is>
      </c>
      <c r="D483" s="10" t="inlineStr">
        <is>
          <t>Residue on Ignition</t>
        </is>
      </c>
      <c r="E483" s="10">
        <f>IF(A483="","",A483&amp;"|"&amp;D483)</f>
        <v/>
      </c>
      <c r="F483" s="5" t="inlineStr">
        <is>
          <t>Y</t>
        </is>
      </c>
      <c r="G483" s="5" t="inlineStr">
        <is>
          <t>Other / bench</t>
        </is>
      </c>
      <c r="H483" s="5" t="inlineStr">
        <is>
          <t>Low</t>
        </is>
      </c>
      <c r="I483" s="5" t="n">
        <v>1</v>
      </c>
      <c r="J483" s="5" t="n"/>
      <c r="K483" s="10">
        <f>IFERROR(IF(INDEX('Test catalog'!$F$2:$F$200,MATCH($AB483,'Test catalog'!$A$2:$A$200,0))="","",INDEX('Test catalog'!$F$2:$F$200,MATCH($AB483,'Test catalog'!$A$2:$A$200,0))),"")</f>
        <v/>
      </c>
      <c r="L483" s="10">
        <f>IFERROR(IF(INDEX('Test catalog'!$G$2:$G$200,MATCH($AB483,'Test catalog'!$A$2:$A$200,0))="","",INDEX('Test catalog'!$G$2:$G$200,MATCH($AB483,'Test catalog'!$A$2:$A$200,0))),"")</f>
        <v/>
      </c>
      <c r="M483" s="10">
        <f>IFERROR(IF(INDEX('Test catalog'!$H$2:$H$200,MATCH($AB483,'Test catalog'!$A$2:$A$200,0))="","",INDEX('Test catalog'!$H$2:$H$200,MATCH($AB483,'Test catalog'!$A$2:$A$200,0))),"")</f>
        <v/>
      </c>
      <c r="N483" s="10">
        <f>IFERROR(IF(INDEX('Test catalog'!$I$2:$I$200,MATCH($AB483,'Test catalog'!$A$2:$A$200,0))="","",INDEX('Test catalog'!$I$2:$I$200,MATCH($AB483,'Test catalog'!$A$2:$A$200,0))),"")</f>
        <v/>
      </c>
      <c r="O483" s="10">
        <f>IFERROR(IF(INDEX('Test catalog'!$J$2:$J$200,MATCH($AB483,'Test catalog'!$A$2:$A$200,0))="","",INDEX('Test catalog'!$J$2:$J$200,MATCH($AB483,'Test catalog'!$A$2:$A$200,0))),"")</f>
        <v/>
      </c>
      <c r="P483" s="14">
        <f>IF(N483="","",IF(OR(M483="",O483=""),N483,(M483+4*N483+O483)/6))</f>
        <v/>
      </c>
      <c r="Q483" s="10">
        <f>IFERROR(IF(INDEX('Test catalog'!$K$2:$K$200,MATCH($AB483,'Test catalog'!$A$2:$A$200,0))="","",INDEX('Test catalog'!$K$2:$K$200,MATCH($AB483,'Test catalog'!$A$2:$A$200,0))),"")</f>
        <v/>
      </c>
      <c r="R483" s="5" t="n"/>
      <c r="S483" s="10">
        <f>IFERROR(IF(INDEX('Test catalog'!$L$2:$L$200,MATCH($AB483,'Test catalog'!$A$2:$A$200,0))="","",INDEX('Test catalog'!$L$2:$L$200,MATCH($AB483,'Test catalog'!$A$2:$A$200,0))),"")</f>
        <v/>
      </c>
      <c r="T483" s="10">
        <f>IFERROR(IF(INDEX('Test catalog'!$M$2:$M$200,MATCH($AB483,'Test catalog'!$A$2:$A$200,0))="","",INDEX('Test catalog'!$M$2:$M$200,MATCH($AB483,'Test catalog'!$A$2:$A$200,0))),"")</f>
        <v/>
      </c>
      <c r="U483" s="10">
        <f>IFERROR(IF(INDEX('Test catalog'!$N$2:$N$200,MATCH($AB483,'Test catalog'!$A$2:$A$200,0))="","",INDEX('Test catalog'!$N$2:$N$200,MATCH($AB483,'Test catalog'!$A$2:$A$200,0))),"")</f>
        <v/>
      </c>
      <c r="V483" s="15" t="n"/>
      <c r="W483" s="5" t="inlineStr">
        <is>
          <t>N</t>
        </is>
      </c>
      <c r="X483" s="5" t="n"/>
      <c r="Y483" s="5" t="n"/>
      <c r="Z483" s="5" t="n"/>
      <c r="AA483" s="10">
        <f>IFERROR(IF(INDEX('Test catalog'!$O$2:$O$200,MATCH($AB483,'Test catalog'!$A$2:$A$200,0))="","",INDEX('Test catalog'!$O$2:$O$200,MATCH($AB483,'Test catalog'!$A$2:$A$200,0))),"")</f>
        <v/>
      </c>
      <c r="AB483" s="10" t="inlineStr">
        <is>
          <t>ROI</t>
        </is>
      </c>
      <c r="AC483" s="10" t="inlineStr">
        <is>
          <t>Taurine · Impurities &lt;281&gt;</t>
        </is>
      </c>
      <c r="AD483" s="10" t="n"/>
      <c r="AE483" s="10" t="n"/>
    </row>
    <row r="484">
      <c r="A484" s="10" t="inlineStr">
        <is>
          <t>Taurine</t>
        </is>
      </c>
      <c r="B484" s="10" t="inlineStr">
        <is>
          <t>RM</t>
        </is>
      </c>
      <c r="C484" s="10" t="inlineStr">
        <is>
          <t>Active</t>
        </is>
      </c>
      <c r="D484" s="10" t="inlineStr">
        <is>
          <t>Chloride</t>
        </is>
      </c>
      <c r="E484" s="10">
        <f>IF(A484="","",A484&amp;"|"&amp;D484)</f>
        <v/>
      </c>
      <c r="F484" s="5" t="inlineStr">
        <is>
          <t>Y</t>
        </is>
      </c>
      <c r="G484" s="5" t="inlineStr">
        <is>
          <t>Other / bench</t>
        </is>
      </c>
      <c r="H484" s="5" t="inlineStr">
        <is>
          <t>Low</t>
        </is>
      </c>
      <c r="I484" s="5" t="n">
        <v>1</v>
      </c>
      <c r="J484" s="5" t="n"/>
      <c r="K484" s="10">
        <f>IFERROR(IF(INDEX('Test catalog'!$F$2:$F$200,MATCH($AB484,'Test catalog'!$A$2:$A$200,0))="","",INDEX('Test catalog'!$F$2:$F$200,MATCH($AB484,'Test catalog'!$A$2:$A$200,0))),"")</f>
        <v/>
      </c>
      <c r="L484" s="10">
        <f>IFERROR(IF(INDEX('Test catalog'!$G$2:$G$200,MATCH($AB484,'Test catalog'!$A$2:$A$200,0))="","",INDEX('Test catalog'!$G$2:$G$200,MATCH($AB484,'Test catalog'!$A$2:$A$200,0))),"")</f>
        <v/>
      </c>
      <c r="M484" s="10">
        <f>IFERROR(IF(INDEX('Test catalog'!$H$2:$H$200,MATCH($AB484,'Test catalog'!$A$2:$A$200,0))="","",INDEX('Test catalog'!$H$2:$H$200,MATCH($AB484,'Test catalog'!$A$2:$A$200,0))),"")</f>
        <v/>
      </c>
      <c r="N484" s="10">
        <f>IFERROR(IF(INDEX('Test catalog'!$I$2:$I$200,MATCH($AB484,'Test catalog'!$A$2:$A$200,0))="","",INDEX('Test catalog'!$I$2:$I$200,MATCH($AB484,'Test catalog'!$A$2:$A$200,0))),"")</f>
        <v/>
      </c>
      <c r="O484" s="10">
        <f>IFERROR(IF(INDEX('Test catalog'!$J$2:$J$200,MATCH($AB484,'Test catalog'!$A$2:$A$200,0))="","",INDEX('Test catalog'!$J$2:$J$200,MATCH($AB484,'Test catalog'!$A$2:$A$200,0))),"")</f>
        <v/>
      </c>
      <c r="P484" s="14">
        <f>IF(N484="","",IF(OR(M484="",O484=""),N484,(M484+4*N484+O484)/6))</f>
        <v/>
      </c>
      <c r="Q484" s="10">
        <f>IFERROR(IF(INDEX('Test catalog'!$K$2:$K$200,MATCH($AB484,'Test catalog'!$A$2:$A$200,0))="","",INDEX('Test catalog'!$K$2:$K$200,MATCH($AB484,'Test catalog'!$A$2:$A$200,0))),"")</f>
        <v/>
      </c>
      <c r="R484" s="5" t="n"/>
      <c r="S484" s="10">
        <f>IFERROR(IF(INDEX('Test catalog'!$L$2:$L$200,MATCH($AB484,'Test catalog'!$A$2:$A$200,0))="","",INDEX('Test catalog'!$L$2:$L$200,MATCH($AB484,'Test catalog'!$A$2:$A$200,0))),"")</f>
        <v/>
      </c>
      <c r="T484" s="10">
        <f>IFERROR(IF(INDEX('Test catalog'!$M$2:$M$200,MATCH($AB484,'Test catalog'!$A$2:$A$200,0))="","",INDEX('Test catalog'!$M$2:$M$200,MATCH($AB484,'Test catalog'!$A$2:$A$200,0))),"")</f>
        <v/>
      </c>
      <c r="U484" s="10">
        <f>IFERROR(IF(INDEX('Test catalog'!$N$2:$N$200,MATCH($AB484,'Test catalog'!$A$2:$A$200,0))="","",INDEX('Test catalog'!$N$2:$N$200,MATCH($AB484,'Test catalog'!$A$2:$A$200,0))),"")</f>
        <v/>
      </c>
      <c r="V484" s="15" t="n"/>
      <c r="W484" s="5" t="inlineStr">
        <is>
          <t>N</t>
        </is>
      </c>
      <c r="X484" s="5" t="n"/>
      <c r="Y484" s="5" t="n"/>
      <c r="Z484" s="5" t="n"/>
      <c r="AA484" s="10">
        <f>IFERROR(IF(INDEX('Test catalog'!$O$2:$O$200,MATCH($AB484,'Test catalog'!$A$2:$A$200,0))="","",INDEX('Test catalog'!$O$2:$O$200,MATCH($AB484,'Test catalog'!$A$2:$A$200,0))),"")</f>
        <v/>
      </c>
      <c r="AB484" s="10" t="inlineStr">
        <is>
          <t>LIMIT</t>
        </is>
      </c>
      <c r="AC484" s="10" t="inlineStr">
        <is>
          <t>Taurine · Impurities &lt;221&gt;</t>
        </is>
      </c>
      <c r="AD484" s="10" t="n"/>
      <c r="AE484" s="10" t="n"/>
    </row>
    <row r="485">
      <c r="A485" s="10" t="inlineStr">
        <is>
          <t>Taurine</t>
        </is>
      </c>
      <c r="B485" s="10" t="inlineStr">
        <is>
          <t>RM</t>
        </is>
      </c>
      <c r="C485" s="10" t="inlineStr">
        <is>
          <t>Active</t>
        </is>
      </c>
      <c r="D485" s="10" t="inlineStr">
        <is>
          <t>Sulfate</t>
        </is>
      </c>
      <c r="E485" s="10">
        <f>IF(A485="","",A485&amp;"|"&amp;D485)</f>
        <v/>
      </c>
      <c r="F485" s="5" t="inlineStr">
        <is>
          <t>Y</t>
        </is>
      </c>
      <c r="G485" s="5" t="inlineStr">
        <is>
          <t>Other / bench</t>
        </is>
      </c>
      <c r="H485" s="5" t="inlineStr">
        <is>
          <t>Low</t>
        </is>
      </c>
      <c r="I485" s="5" t="n">
        <v>1</v>
      </c>
      <c r="J485" s="5" t="n"/>
      <c r="K485" s="10">
        <f>IFERROR(IF(INDEX('Test catalog'!$F$2:$F$200,MATCH($AB485,'Test catalog'!$A$2:$A$200,0))="","",INDEX('Test catalog'!$F$2:$F$200,MATCH($AB485,'Test catalog'!$A$2:$A$200,0))),"")</f>
        <v/>
      </c>
      <c r="L485" s="10">
        <f>IFERROR(IF(INDEX('Test catalog'!$G$2:$G$200,MATCH($AB485,'Test catalog'!$A$2:$A$200,0))="","",INDEX('Test catalog'!$G$2:$G$200,MATCH($AB485,'Test catalog'!$A$2:$A$200,0))),"")</f>
        <v/>
      </c>
      <c r="M485" s="10">
        <f>IFERROR(IF(INDEX('Test catalog'!$H$2:$H$200,MATCH($AB485,'Test catalog'!$A$2:$A$200,0))="","",INDEX('Test catalog'!$H$2:$H$200,MATCH($AB485,'Test catalog'!$A$2:$A$200,0))),"")</f>
        <v/>
      </c>
      <c r="N485" s="10">
        <f>IFERROR(IF(INDEX('Test catalog'!$I$2:$I$200,MATCH($AB485,'Test catalog'!$A$2:$A$200,0))="","",INDEX('Test catalog'!$I$2:$I$200,MATCH($AB485,'Test catalog'!$A$2:$A$200,0))),"")</f>
        <v/>
      </c>
      <c r="O485" s="10">
        <f>IFERROR(IF(INDEX('Test catalog'!$J$2:$J$200,MATCH($AB485,'Test catalog'!$A$2:$A$200,0))="","",INDEX('Test catalog'!$J$2:$J$200,MATCH($AB485,'Test catalog'!$A$2:$A$200,0))),"")</f>
        <v/>
      </c>
      <c r="P485" s="14">
        <f>IF(N485="","",IF(OR(M485="",O485=""),N485,(M485+4*N485+O485)/6))</f>
        <v/>
      </c>
      <c r="Q485" s="10">
        <f>IFERROR(IF(INDEX('Test catalog'!$K$2:$K$200,MATCH($AB485,'Test catalog'!$A$2:$A$200,0))="","",INDEX('Test catalog'!$K$2:$K$200,MATCH($AB485,'Test catalog'!$A$2:$A$200,0))),"")</f>
        <v/>
      </c>
      <c r="R485" s="5" t="n"/>
      <c r="S485" s="10">
        <f>IFERROR(IF(INDEX('Test catalog'!$L$2:$L$200,MATCH($AB485,'Test catalog'!$A$2:$A$200,0))="","",INDEX('Test catalog'!$L$2:$L$200,MATCH($AB485,'Test catalog'!$A$2:$A$200,0))),"")</f>
        <v/>
      </c>
      <c r="T485" s="10">
        <f>IFERROR(IF(INDEX('Test catalog'!$M$2:$M$200,MATCH($AB485,'Test catalog'!$A$2:$A$200,0))="","",INDEX('Test catalog'!$M$2:$M$200,MATCH($AB485,'Test catalog'!$A$2:$A$200,0))),"")</f>
        <v/>
      </c>
      <c r="U485" s="10">
        <f>IFERROR(IF(INDEX('Test catalog'!$N$2:$N$200,MATCH($AB485,'Test catalog'!$A$2:$A$200,0))="","",INDEX('Test catalog'!$N$2:$N$200,MATCH($AB485,'Test catalog'!$A$2:$A$200,0))),"")</f>
        <v/>
      </c>
      <c r="V485" s="15" t="n"/>
      <c r="W485" s="5" t="inlineStr">
        <is>
          <t>N</t>
        </is>
      </c>
      <c r="X485" s="5" t="n"/>
      <c r="Y485" s="5" t="n"/>
      <c r="Z485" s="5" t="n"/>
      <c r="AA485" s="10">
        <f>IFERROR(IF(INDEX('Test catalog'!$O$2:$O$200,MATCH($AB485,'Test catalog'!$A$2:$A$200,0))="","",INDEX('Test catalog'!$O$2:$O$200,MATCH($AB485,'Test catalog'!$A$2:$A$200,0))),"")</f>
        <v/>
      </c>
      <c r="AB485" s="10" t="inlineStr">
        <is>
          <t>LIMIT</t>
        </is>
      </c>
      <c r="AC485" s="10" t="inlineStr">
        <is>
          <t>Taurine · Impurities &lt;221&gt;</t>
        </is>
      </c>
      <c r="AD485" s="10" t="n"/>
      <c r="AE485" s="10" t="n"/>
    </row>
    <row r="486">
      <c r="A486" s="10" t="inlineStr">
        <is>
          <t>Taurine</t>
        </is>
      </c>
      <c r="B486" s="10" t="inlineStr">
        <is>
          <t>RM</t>
        </is>
      </c>
      <c r="C486" s="10" t="inlineStr">
        <is>
          <t>Active</t>
        </is>
      </c>
      <c r="D486" s="10" t="inlineStr">
        <is>
          <t>Iron</t>
        </is>
      </c>
      <c r="E486" s="10">
        <f>IF(A486="","",A486&amp;"|"&amp;D486)</f>
        <v/>
      </c>
      <c r="F486" s="5" t="inlineStr">
        <is>
          <t>Y</t>
        </is>
      </c>
      <c r="G486" s="5" t="inlineStr">
        <is>
          <t>Other / bench</t>
        </is>
      </c>
      <c r="H486" s="5" t="inlineStr">
        <is>
          <t>Low</t>
        </is>
      </c>
      <c r="I486" s="5" t="n">
        <v>1</v>
      </c>
      <c r="J486" s="5" t="n"/>
      <c r="K486" s="10">
        <f>IFERROR(IF(INDEX('Test catalog'!$F$2:$F$200,MATCH($AB486,'Test catalog'!$A$2:$A$200,0))="","",INDEX('Test catalog'!$F$2:$F$200,MATCH($AB486,'Test catalog'!$A$2:$A$200,0))),"")</f>
        <v/>
      </c>
      <c r="L486" s="10">
        <f>IFERROR(IF(INDEX('Test catalog'!$G$2:$G$200,MATCH($AB486,'Test catalog'!$A$2:$A$200,0))="","",INDEX('Test catalog'!$G$2:$G$200,MATCH($AB486,'Test catalog'!$A$2:$A$200,0))),"")</f>
        <v/>
      </c>
      <c r="M486" s="10">
        <f>IFERROR(IF(INDEX('Test catalog'!$H$2:$H$200,MATCH($AB486,'Test catalog'!$A$2:$A$200,0))="","",INDEX('Test catalog'!$H$2:$H$200,MATCH($AB486,'Test catalog'!$A$2:$A$200,0))),"")</f>
        <v/>
      </c>
      <c r="N486" s="10">
        <f>IFERROR(IF(INDEX('Test catalog'!$I$2:$I$200,MATCH($AB486,'Test catalog'!$A$2:$A$200,0))="","",INDEX('Test catalog'!$I$2:$I$200,MATCH($AB486,'Test catalog'!$A$2:$A$200,0))),"")</f>
        <v/>
      </c>
      <c r="O486" s="10">
        <f>IFERROR(IF(INDEX('Test catalog'!$J$2:$J$200,MATCH($AB486,'Test catalog'!$A$2:$A$200,0))="","",INDEX('Test catalog'!$J$2:$J$200,MATCH($AB486,'Test catalog'!$A$2:$A$200,0))),"")</f>
        <v/>
      </c>
      <c r="P486" s="14">
        <f>IF(N486="","",IF(OR(M486="",O486=""),N486,(M486+4*N486+O486)/6))</f>
        <v/>
      </c>
      <c r="Q486" s="10">
        <f>IFERROR(IF(INDEX('Test catalog'!$K$2:$K$200,MATCH($AB486,'Test catalog'!$A$2:$A$200,0))="","",INDEX('Test catalog'!$K$2:$K$200,MATCH($AB486,'Test catalog'!$A$2:$A$200,0))),"")</f>
        <v/>
      </c>
      <c r="R486" s="5" t="n"/>
      <c r="S486" s="10">
        <f>IFERROR(IF(INDEX('Test catalog'!$L$2:$L$200,MATCH($AB486,'Test catalog'!$A$2:$A$200,0))="","",INDEX('Test catalog'!$L$2:$L$200,MATCH($AB486,'Test catalog'!$A$2:$A$200,0))),"")</f>
        <v/>
      </c>
      <c r="T486" s="10">
        <f>IFERROR(IF(INDEX('Test catalog'!$M$2:$M$200,MATCH($AB486,'Test catalog'!$A$2:$A$200,0))="","",INDEX('Test catalog'!$M$2:$M$200,MATCH($AB486,'Test catalog'!$A$2:$A$200,0))),"")</f>
        <v/>
      </c>
      <c r="U486" s="10">
        <f>IFERROR(IF(INDEX('Test catalog'!$N$2:$N$200,MATCH($AB486,'Test catalog'!$A$2:$A$200,0))="","",INDEX('Test catalog'!$N$2:$N$200,MATCH($AB486,'Test catalog'!$A$2:$A$200,0))),"")</f>
        <v/>
      </c>
      <c r="V486" s="15" t="n"/>
      <c r="W486" s="5" t="inlineStr">
        <is>
          <t>N</t>
        </is>
      </c>
      <c r="X486" s="5" t="n"/>
      <c r="Y486" s="5" t="n"/>
      <c r="Z486" s="5" t="n"/>
      <c r="AA486" s="10">
        <f>IFERROR(IF(INDEX('Test catalog'!$O$2:$O$200,MATCH($AB486,'Test catalog'!$A$2:$A$200,0))="","",INDEX('Test catalog'!$O$2:$O$200,MATCH($AB486,'Test catalog'!$A$2:$A$200,0))),"")</f>
        <v/>
      </c>
      <c r="AB486" s="10" t="inlineStr">
        <is>
          <t>LIMIT</t>
        </is>
      </c>
      <c r="AC486" s="10" t="inlineStr">
        <is>
          <t>Taurine · Impurities &lt;241&gt;</t>
        </is>
      </c>
      <c r="AD486" s="10" t="n"/>
      <c r="AE486" s="10" t="n"/>
    </row>
    <row r="487">
      <c r="A487" s="10" t="inlineStr">
        <is>
          <t>Taurine</t>
        </is>
      </c>
      <c r="B487" s="10" t="inlineStr">
        <is>
          <t>RM</t>
        </is>
      </c>
      <c r="C487" s="10" t="inlineStr">
        <is>
          <t>Active</t>
        </is>
      </c>
      <c r="D487" s="10" t="inlineStr">
        <is>
          <t>Related Compounds</t>
        </is>
      </c>
      <c r="E487" s="10">
        <f>IF(A487="","",A487&amp;"|"&amp;D487)</f>
        <v/>
      </c>
      <c r="F487" s="5" t="inlineStr">
        <is>
          <t>Y</t>
        </is>
      </c>
      <c r="G487" s="5" t="inlineStr">
        <is>
          <t>Other / bench</t>
        </is>
      </c>
      <c r="H487" s="5" t="inlineStr">
        <is>
          <t>Low</t>
        </is>
      </c>
      <c r="I487" s="5" t="n">
        <v>1</v>
      </c>
      <c r="J487" s="5" t="n"/>
      <c r="K487" s="10">
        <f>IFERROR(IF(INDEX('Test catalog'!$F$2:$F$200,MATCH($AB487,'Test catalog'!$A$2:$A$200,0))="","",INDEX('Test catalog'!$F$2:$F$200,MATCH($AB487,'Test catalog'!$A$2:$A$200,0))),"")</f>
        <v/>
      </c>
      <c r="L487" s="10">
        <f>IFERROR(IF(INDEX('Test catalog'!$G$2:$G$200,MATCH($AB487,'Test catalog'!$A$2:$A$200,0))="","",INDEX('Test catalog'!$G$2:$G$200,MATCH($AB487,'Test catalog'!$A$2:$A$200,0))),"")</f>
        <v/>
      </c>
      <c r="M487" s="10">
        <f>IFERROR(IF(INDEX('Test catalog'!$H$2:$H$200,MATCH($AB487,'Test catalog'!$A$2:$A$200,0))="","",INDEX('Test catalog'!$H$2:$H$200,MATCH($AB487,'Test catalog'!$A$2:$A$200,0))),"")</f>
        <v/>
      </c>
      <c r="N487" s="10">
        <f>IFERROR(IF(INDEX('Test catalog'!$I$2:$I$200,MATCH($AB487,'Test catalog'!$A$2:$A$200,0))="","",INDEX('Test catalog'!$I$2:$I$200,MATCH($AB487,'Test catalog'!$A$2:$A$200,0))),"")</f>
        <v/>
      </c>
      <c r="O487" s="10">
        <f>IFERROR(IF(INDEX('Test catalog'!$J$2:$J$200,MATCH($AB487,'Test catalog'!$A$2:$A$200,0))="","",INDEX('Test catalog'!$J$2:$J$200,MATCH($AB487,'Test catalog'!$A$2:$A$200,0))),"")</f>
        <v/>
      </c>
      <c r="P487" s="14">
        <f>IF(N487="","",IF(OR(M487="",O487=""),N487,(M487+4*N487+O487)/6))</f>
        <v/>
      </c>
      <c r="Q487" s="10">
        <f>IFERROR(IF(INDEX('Test catalog'!$K$2:$K$200,MATCH($AB487,'Test catalog'!$A$2:$A$200,0))="","",INDEX('Test catalog'!$K$2:$K$200,MATCH($AB487,'Test catalog'!$A$2:$A$200,0))),"")</f>
        <v/>
      </c>
      <c r="R487" s="5" t="n"/>
      <c r="S487" s="10">
        <f>IFERROR(IF(INDEX('Test catalog'!$L$2:$L$200,MATCH($AB487,'Test catalog'!$A$2:$A$200,0))="","",INDEX('Test catalog'!$L$2:$L$200,MATCH($AB487,'Test catalog'!$A$2:$A$200,0))),"")</f>
        <v/>
      </c>
      <c r="T487" s="10">
        <f>IFERROR(IF(INDEX('Test catalog'!$M$2:$M$200,MATCH($AB487,'Test catalog'!$A$2:$A$200,0))="","",INDEX('Test catalog'!$M$2:$M$200,MATCH($AB487,'Test catalog'!$A$2:$A$200,0))),"")</f>
        <v/>
      </c>
      <c r="U487" s="10">
        <f>IFERROR(IF(INDEX('Test catalog'!$N$2:$N$200,MATCH($AB487,'Test catalog'!$A$2:$A$200,0))="","",INDEX('Test catalog'!$N$2:$N$200,MATCH($AB487,'Test catalog'!$A$2:$A$200,0))),"")</f>
        <v/>
      </c>
      <c r="V487" s="15" t="n"/>
      <c r="W487" s="5" t="inlineStr">
        <is>
          <t>N</t>
        </is>
      </c>
      <c r="X487" s="5" t="n"/>
      <c r="Y487" s="5" t="n"/>
      <c r="Z487" s="5" t="n"/>
      <c r="AA487" s="10">
        <f>IFERROR(IF(INDEX('Test catalog'!$O$2:$O$200,MATCH($AB487,'Test catalog'!$A$2:$A$200,0))="","",INDEX('Test catalog'!$O$2:$O$200,MATCH($AB487,'Test catalog'!$A$2:$A$200,0))),"")</f>
        <v/>
      </c>
      <c r="AB487" s="10" t="inlineStr">
        <is>
          <t>TLC</t>
        </is>
      </c>
      <c r="AC487" s="10" t="inlineStr">
        <is>
          <t>Taurine · Impurities &lt;621&gt;</t>
        </is>
      </c>
      <c r="AD487" s="10" t="n"/>
      <c r="AE487" s="10" t="n"/>
    </row>
    <row r="488">
      <c r="A488" s="10" t="inlineStr">
        <is>
          <t>Taurine</t>
        </is>
      </c>
      <c r="B488" s="10" t="inlineStr">
        <is>
          <t>RM</t>
        </is>
      </c>
      <c r="C488" s="10" t="inlineStr">
        <is>
          <t>Active</t>
        </is>
      </c>
      <c r="D488" s="10" t="inlineStr">
        <is>
          <t>Loss on Drying</t>
        </is>
      </c>
      <c r="E488" s="10">
        <f>IF(A488="","",A488&amp;"|"&amp;D488)</f>
        <v/>
      </c>
      <c r="F488" s="5" t="inlineStr">
        <is>
          <t>Y</t>
        </is>
      </c>
      <c r="G488" s="5" t="inlineStr">
        <is>
          <t>Other / bench</t>
        </is>
      </c>
      <c r="H488" s="5" t="inlineStr">
        <is>
          <t>Low</t>
        </is>
      </c>
      <c r="I488" s="5" t="n">
        <v>1</v>
      </c>
      <c r="J488" s="5" t="n"/>
      <c r="K488" s="10">
        <f>IFERROR(IF(INDEX('Test catalog'!$F$2:$F$200,MATCH($AB488,'Test catalog'!$A$2:$A$200,0))="","",INDEX('Test catalog'!$F$2:$F$200,MATCH($AB488,'Test catalog'!$A$2:$A$200,0))),"")</f>
        <v/>
      </c>
      <c r="L488" s="10">
        <f>IFERROR(IF(INDEX('Test catalog'!$G$2:$G$200,MATCH($AB488,'Test catalog'!$A$2:$A$200,0))="","",INDEX('Test catalog'!$G$2:$G$200,MATCH($AB488,'Test catalog'!$A$2:$A$200,0))),"")</f>
        <v/>
      </c>
      <c r="M488" s="10">
        <f>IFERROR(IF(INDEX('Test catalog'!$H$2:$H$200,MATCH($AB488,'Test catalog'!$A$2:$A$200,0))="","",INDEX('Test catalog'!$H$2:$H$200,MATCH($AB488,'Test catalog'!$A$2:$A$200,0))),"")</f>
        <v/>
      </c>
      <c r="N488" s="10">
        <f>IFERROR(IF(INDEX('Test catalog'!$I$2:$I$200,MATCH($AB488,'Test catalog'!$A$2:$A$200,0))="","",INDEX('Test catalog'!$I$2:$I$200,MATCH($AB488,'Test catalog'!$A$2:$A$200,0))),"")</f>
        <v/>
      </c>
      <c r="O488" s="10">
        <f>IFERROR(IF(INDEX('Test catalog'!$J$2:$J$200,MATCH($AB488,'Test catalog'!$A$2:$A$200,0))="","",INDEX('Test catalog'!$J$2:$J$200,MATCH($AB488,'Test catalog'!$A$2:$A$200,0))),"")</f>
        <v/>
      </c>
      <c r="P488" s="14">
        <f>IF(N488="","",IF(OR(M488="",O488=""),N488,(M488+4*N488+O488)/6))</f>
        <v/>
      </c>
      <c r="Q488" s="10">
        <f>IFERROR(IF(INDEX('Test catalog'!$K$2:$K$200,MATCH($AB488,'Test catalog'!$A$2:$A$200,0))="","",INDEX('Test catalog'!$K$2:$K$200,MATCH($AB488,'Test catalog'!$A$2:$A$200,0))),"")</f>
        <v/>
      </c>
      <c r="R488" s="5" t="n"/>
      <c r="S488" s="10">
        <f>IFERROR(IF(INDEX('Test catalog'!$L$2:$L$200,MATCH($AB488,'Test catalog'!$A$2:$A$200,0))="","",INDEX('Test catalog'!$L$2:$L$200,MATCH($AB488,'Test catalog'!$A$2:$A$200,0))),"")</f>
        <v/>
      </c>
      <c r="T488" s="10">
        <f>IFERROR(IF(INDEX('Test catalog'!$M$2:$M$200,MATCH($AB488,'Test catalog'!$A$2:$A$200,0))="","",INDEX('Test catalog'!$M$2:$M$200,MATCH($AB488,'Test catalog'!$A$2:$A$200,0))),"")</f>
        <v/>
      </c>
      <c r="U488" s="10">
        <f>IFERROR(IF(INDEX('Test catalog'!$N$2:$N$200,MATCH($AB488,'Test catalog'!$A$2:$A$200,0))="","",INDEX('Test catalog'!$N$2:$N$200,MATCH($AB488,'Test catalog'!$A$2:$A$200,0))),"")</f>
        <v/>
      </c>
      <c r="V488" s="15" t="n"/>
      <c r="W488" s="5" t="inlineStr">
        <is>
          <t>N</t>
        </is>
      </c>
      <c r="X488" s="5" t="n"/>
      <c r="Y488" s="5" t="n"/>
      <c r="Z488" s="5" t="n"/>
      <c r="AA488" s="10">
        <f>IFERROR(IF(INDEX('Test catalog'!$O$2:$O$200,MATCH($AB488,'Test catalog'!$A$2:$A$200,0))="","",INDEX('Test catalog'!$O$2:$O$200,MATCH($AB488,'Test catalog'!$A$2:$A$200,0))),"")</f>
        <v/>
      </c>
      <c r="AB488" s="10" t="inlineStr">
        <is>
          <t>LOD</t>
        </is>
      </c>
      <c r="AC488" s="10" t="inlineStr">
        <is>
          <t>Taurine · Specific Tests &lt;731&gt;</t>
        </is>
      </c>
      <c r="AD488" s="10" t="n"/>
      <c r="AE488" s="10" t="n"/>
    </row>
    <row r="489">
      <c r="A489" s="10" t="inlineStr">
        <is>
          <t>Telmisartan</t>
        </is>
      </c>
      <c r="B489" s="10" t="inlineStr">
        <is>
          <t>RM</t>
        </is>
      </c>
      <c r="C489" s="10" t="inlineStr">
        <is>
          <t>Active</t>
        </is>
      </c>
      <c r="D489" s="10" t="inlineStr">
        <is>
          <t>Appearance / description and solubility</t>
        </is>
      </c>
      <c r="E489" s="10">
        <f>IF(A489="","",A489&amp;"|"&amp;D489)</f>
        <v/>
      </c>
      <c r="F489" s="5" t="inlineStr">
        <is>
          <t>Y</t>
        </is>
      </c>
      <c r="G489" s="5" t="inlineStr">
        <is>
          <t>Other / bench</t>
        </is>
      </c>
      <c r="H489" s="5" t="inlineStr">
        <is>
          <t>Low</t>
        </is>
      </c>
      <c r="I489" s="5" t="n">
        <v>1</v>
      </c>
      <c r="J489" s="5" t="n"/>
      <c r="K489" s="10">
        <f>IFERROR(IF(INDEX('Test catalog'!$F$2:$F$200,MATCH($AB489,'Test catalog'!$A$2:$A$200,0))="","",INDEX('Test catalog'!$F$2:$F$200,MATCH($AB489,'Test catalog'!$A$2:$A$200,0))),"")</f>
        <v/>
      </c>
      <c r="L489" s="10">
        <f>IFERROR(IF(INDEX('Test catalog'!$G$2:$G$200,MATCH($AB489,'Test catalog'!$A$2:$A$200,0))="","",INDEX('Test catalog'!$G$2:$G$200,MATCH($AB489,'Test catalog'!$A$2:$A$200,0))),"")</f>
        <v/>
      </c>
      <c r="M489" s="10">
        <f>IFERROR(IF(INDEX('Test catalog'!$H$2:$H$200,MATCH($AB489,'Test catalog'!$A$2:$A$200,0))="","",INDEX('Test catalog'!$H$2:$H$200,MATCH($AB489,'Test catalog'!$A$2:$A$200,0))),"")</f>
        <v/>
      </c>
      <c r="N489" s="10">
        <f>IFERROR(IF(INDEX('Test catalog'!$I$2:$I$200,MATCH($AB489,'Test catalog'!$A$2:$A$200,0))="","",INDEX('Test catalog'!$I$2:$I$200,MATCH($AB489,'Test catalog'!$A$2:$A$200,0))),"")</f>
        <v/>
      </c>
      <c r="O489" s="10">
        <f>IFERROR(IF(INDEX('Test catalog'!$J$2:$J$200,MATCH($AB489,'Test catalog'!$A$2:$A$200,0))="","",INDEX('Test catalog'!$J$2:$J$200,MATCH($AB489,'Test catalog'!$A$2:$A$200,0))),"")</f>
        <v/>
      </c>
      <c r="P489" s="14">
        <f>IF(N489="","",IF(OR(M489="",O489=""),N489,(M489+4*N489+O489)/6))</f>
        <v/>
      </c>
      <c r="Q489" s="10">
        <f>IFERROR(IF(INDEX('Test catalog'!$K$2:$K$200,MATCH($AB489,'Test catalog'!$A$2:$A$200,0))="","",INDEX('Test catalog'!$K$2:$K$200,MATCH($AB489,'Test catalog'!$A$2:$A$200,0))),"")</f>
        <v/>
      </c>
      <c r="R489" s="5" t="n"/>
      <c r="S489" s="10">
        <f>IFERROR(IF(INDEX('Test catalog'!$L$2:$L$200,MATCH($AB489,'Test catalog'!$A$2:$A$200,0))="","",INDEX('Test catalog'!$L$2:$L$200,MATCH($AB489,'Test catalog'!$A$2:$A$200,0))),"")</f>
        <v/>
      </c>
      <c r="T489" s="10">
        <f>IFERROR(IF(INDEX('Test catalog'!$M$2:$M$200,MATCH($AB489,'Test catalog'!$A$2:$A$200,0))="","",INDEX('Test catalog'!$M$2:$M$200,MATCH($AB489,'Test catalog'!$A$2:$A$200,0))),"")</f>
        <v/>
      </c>
      <c r="U489" s="10">
        <f>IFERROR(IF(INDEX('Test catalog'!$N$2:$N$200,MATCH($AB489,'Test catalog'!$A$2:$A$200,0))="","",INDEX('Test catalog'!$N$2:$N$200,MATCH($AB489,'Test catalog'!$A$2:$A$200,0))),"")</f>
        <v/>
      </c>
      <c r="V489" s="15" t="n"/>
      <c r="W489" s="5" t="inlineStr">
        <is>
          <t>N</t>
        </is>
      </c>
      <c r="X489" s="5" t="n"/>
      <c r="Y489" s="5" t="n"/>
      <c r="Z489" s="5" t="n"/>
      <c r="AA489" s="10">
        <f>IFERROR(IF(INDEX('Test catalog'!$O$2:$O$200,MATCH($AB489,'Test catalog'!$A$2:$A$200,0))="","",INDEX('Test catalog'!$O$2:$O$200,MATCH($AB489,'Test catalog'!$A$2:$A$200,0))),"")</f>
        <v/>
      </c>
      <c r="AB489" s="10" t="inlineStr">
        <is>
          <t>APPEAR</t>
        </is>
      </c>
      <c r="AC489" s="10" t="inlineStr">
        <is>
          <t>Lab practice (not a USP test)</t>
        </is>
      </c>
      <c r="AD489" s="10" t="n"/>
      <c r="AE489" s="10" t="n"/>
    </row>
    <row r="490">
      <c r="A490" s="10" t="inlineStr">
        <is>
          <t>Telmisartan</t>
        </is>
      </c>
      <c r="B490" s="10" t="inlineStr">
        <is>
          <t>RM</t>
        </is>
      </c>
      <c r="C490" s="10" t="inlineStr">
        <is>
          <t>Active</t>
        </is>
      </c>
      <c r="D490" s="10" t="inlineStr">
        <is>
          <t>ID A - IR spectrum</t>
        </is>
      </c>
      <c r="E490" s="10">
        <f>IF(A490="","",A490&amp;"|"&amp;D490)</f>
        <v/>
      </c>
      <c r="F490" s="5" t="inlineStr">
        <is>
          <t>Y</t>
        </is>
      </c>
      <c r="G490" s="5" t="inlineStr">
        <is>
          <t>Other / bench</t>
        </is>
      </c>
      <c r="H490" s="5" t="inlineStr">
        <is>
          <t>Low</t>
        </is>
      </c>
      <c r="I490" s="5" t="n">
        <v>1</v>
      </c>
      <c r="J490" s="5" t="n"/>
      <c r="K490" s="10">
        <f>IFERROR(IF(INDEX('Test catalog'!$F$2:$F$200,MATCH($AB490,'Test catalog'!$A$2:$A$200,0))="","",INDEX('Test catalog'!$F$2:$F$200,MATCH($AB490,'Test catalog'!$A$2:$A$200,0))),"")</f>
        <v/>
      </c>
      <c r="L490" s="10">
        <f>IFERROR(IF(INDEX('Test catalog'!$G$2:$G$200,MATCH($AB490,'Test catalog'!$A$2:$A$200,0))="","",INDEX('Test catalog'!$G$2:$G$200,MATCH($AB490,'Test catalog'!$A$2:$A$200,0))),"")</f>
        <v/>
      </c>
      <c r="M490" s="10">
        <f>IFERROR(IF(INDEX('Test catalog'!$H$2:$H$200,MATCH($AB490,'Test catalog'!$A$2:$A$200,0))="","",INDEX('Test catalog'!$H$2:$H$200,MATCH($AB490,'Test catalog'!$A$2:$A$200,0))),"")</f>
        <v/>
      </c>
      <c r="N490" s="10">
        <f>IFERROR(IF(INDEX('Test catalog'!$I$2:$I$200,MATCH($AB490,'Test catalog'!$A$2:$A$200,0))="","",INDEX('Test catalog'!$I$2:$I$200,MATCH($AB490,'Test catalog'!$A$2:$A$200,0))),"")</f>
        <v/>
      </c>
      <c r="O490" s="10">
        <f>IFERROR(IF(INDEX('Test catalog'!$J$2:$J$200,MATCH($AB490,'Test catalog'!$A$2:$A$200,0))="","",INDEX('Test catalog'!$J$2:$J$200,MATCH($AB490,'Test catalog'!$A$2:$A$200,0))),"")</f>
        <v/>
      </c>
      <c r="P490" s="14">
        <f>IF(N490="","",IF(OR(M490="",O490=""),N490,(M490+4*N490+O490)/6))</f>
        <v/>
      </c>
      <c r="Q490" s="10">
        <f>IFERROR(IF(INDEX('Test catalog'!$K$2:$K$200,MATCH($AB490,'Test catalog'!$A$2:$A$200,0))="","",INDEX('Test catalog'!$K$2:$K$200,MATCH($AB490,'Test catalog'!$A$2:$A$200,0))),"")</f>
        <v/>
      </c>
      <c r="R490" s="5" t="n"/>
      <c r="S490" s="10">
        <f>IFERROR(IF(INDEX('Test catalog'!$L$2:$L$200,MATCH($AB490,'Test catalog'!$A$2:$A$200,0))="","",INDEX('Test catalog'!$L$2:$L$200,MATCH($AB490,'Test catalog'!$A$2:$A$200,0))),"")</f>
        <v/>
      </c>
      <c r="T490" s="10">
        <f>IFERROR(IF(INDEX('Test catalog'!$M$2:$M$200,MATCH($AB490,'Test catalog'!$A$2:$A$200,0))="","",INDEX('Test catalog'!$M$2:$M$200,MATCH($AB490,'Test catalog'!$A$2:$A$200,0))),"")</f>
        <v/>
      </c>
      <c r="U490" s="10">
        <f>IFERROR(IF(INDEX('Test catalog'!$N$2:$N$200,MATCH($AB490,'Test catalog'!$A$2:$A$200,0))="","",INDEX('Test catalog'!$N$2:$N$200,MATCH($AB490,'Test catalog'!$A$2:$A$200,0))),"")</f>
        <v/>
      </c>
      <c r="V490" s="15" t="n"/>
      <c r="W490" s="5" t="inlineStr">
        <is>
          <t>N</t>
        </is>
      </c>
      <c r="X490" s="5" t="n"/>
      <c r="Y490" s="5" t="n"/>
      <c r="Z490" s="5" t="n"/>
      <c r="AA490" s="10">
        <f>IFERROR(IF(INDEX('Test catalog'!$O$2:$O$200,MATCH($AB490,'Test catalog'!$A$2:$A$200,0))="","",INDEX('Test catalog'!$O$2:$O$200,MATCH($AB490,'Test catalog'!$A$2:$A$200,0))),"")</f>
        <v/>
      </c>
      <c r="AB490" s="10" t="inlineStr">
        <is>
          <t>ID_IR</t>
        </is>
      </c>
      <c r="AC490" s="10" t="inlineStr">
        <is>
          <t>Telmisartan · Identification &lt;197&gt;</t>
        </is>
      </c>
      <c r="AD490" s="10" t="n"/>
      <c r="AE490" s="10" t="n"/>
    </row>
    <row r="491">
      <c r="A491" s="10" t="inlineStr">
        <is>
          <t>Telmisartan</t>
        </is>
      </c>
      <c r="B491" s="10" t="inlineStr">
        <is>
          <t>RM</t>
        </is>
      </c>
      <c r="C491" s="10" t="inlineStr">
        <is>
          <t>Active</t>
        </is>
      </c>
      <c r="D491" s="10" t="inlineStr">
        <is>
          <t>Assay (HPLC)</t>
        </is>
      </c>
      <c r="E491" s="10">
        <f>IF(A491="","",A491&amp;"|"&amp;D491)</f>
        <v/>
      </c>
      <c r="F491" s="5" t="inlineStr">
        <is>
          <t>Y</t>
        </is>
      </c>
      <c r="G491" s="5" t="inlineStr">
        <is>
          <t>HPLC</t>
        </is>
      </c>
      <c r="H491" s="5" t="inlineStr">
        <is>
          <t>Medium</t>
        </is>
      </c>
      <c r="I491" s="5" t="n">
        <v>1</v>
      </c>
      <c r="J491" s="5" t="n"/>
      <c r="K491" s="5" t="n"/>
      <c r="L491" s="5" t="n"/>
      <c r="M491" s="5" t="n"/>
      <c r="N491" s="5" t="n"/>
      <c r="O491" s="5" t="n"/>
      <c r="P491" s="14">
        <f>IF(N491="","",IF(OR(M491="",O491=""),N491,(M491+4*N491+O491)/6))</f>
        <v/>
      </c>
      <c r="Q491" s="5" t="n"/>
      <c r="R491" s="5" t="n"/>
      <c r="S491" s="5" t="n"/>
      <c r="T491" s="5" t="n"/>
      <c r="U491" s="5" t="n"/>
      <c r="V491" s="15" t="n"/>
      <c r="W491" s="5" t="inlineStr">
        <is>
          <t>N</t>
        </is>
      </c>
      <c r="X491" s="5" t="n"/>
      <c r="Y491" s="5" t="n"/>
      <c r="Z491" s="5" t="n"/>
      <c r="AA491" s="5" t="n"/>
      <c r="AB491" s="10" t="n"/>
      <c r="AC491" s="10" t="inlineStr">
        <is>
          <t>Telmisartan · Assay</t>
        </is>
      </c>
      <c r="AD491" s="10" t="n"/>
      <c r="AE491" s="10" t="n"/>
    </row>
    <row r="492">
      <c r="A492" s="10" t="inlineStr">
        <is>
          <t>Telmisartan</t>
        </is>
      </c>
      <c r="B492" s="10" t="inlineStr">
        <is>
          <t>RM</t>
        </is>
      </c>
      <c r="C492" s="10" t="inlineStr">
        <is>
          <t>Active</t>
        </is>
      </c>
      <c r="D492" s="10" t="inlineStr">
        <is>
          <t>Residue on Ignition</t>
        </is>
      </c>
      <c r="E492" s="10">
        <f>IF(A492="","",A492&amp;"|"&amp;D492)</f>
        <v/>
      </c>
      <c r="F492" s="5" t="inlineStr">
        <is>
          <t>Y</t>
        </is>
      </c>
      <c r="G492" s="5" t="inlineStr">
        <is>
          <t>Other / bench</t>
        </is>
      </c>
      <c r="H492" s="5" t="inlineStr">
        <is>
          <t>Low</t>
        </is>
      </c>
      <c r="I492" s="5" t="n">
        <v>1</v>
      </c>
      <c r="J492" s="5" t="n"/>
      <c r="K492" s="10">
        <f>IFERROR(IF(INDEX('Test catalog'!$F$2:$F$200,MATCH($AB492,'Test catalog'!$A$2:$A$200,0))="","",INDEX('Test catalog'!$F$2:$F$200,MATCH($AB492,'Test catalog'!$A$2:$A$200,0))),"")</f>
        <v/>
      </c>
      <c r="L492" s="10">
        <f>IFERROR(IF(INDEX('Test catalog'!$G$2:$G$200,MATCH($AB492,'Test catalog'!$A$2:$A$200,0))="","",INDEX('Test catalog'!$G$2:$G$200,MATCH($AB492,'Test catalog'!$A$2:$A$200,0))),"")</f>
        <v/>
      </c>
      <c r="M492" s="10">
        <f>IFERROR(IF(INDEX('Test catalog'!$H$2:$H$200,MATCH($AB492,'Test catalog'!$A$2:$A$200,0))="","",INDEX('Test catalog'!$H$2:$H$200,MATCH($AB492,'Test catalog'!$A$2:$A$200,0))),"")</f>
        <v/>
      </c>
      <c r="N492" s="10">
        <f>IFERROR(IF(INDEX('Test catalog'!$I$2:$I$200,MATCH($AB492,'Test catalog'!$A$2:$A$200,0))="","",INDEX('Test catalog'!$I$2:$I$200,MATCH($AB492,'Test catalog'!$A$2:$A$200,0))),"")</f>
        <v/>
      </c>
      <c r="O492" s="10">
        <f>IFERROR(IF(INDEX('Test catalog'!$J$2:$J$200,MATCH($AB492,'Test catalog'!$A$2:$A$200,0))="","",INDEX('Test catalog'!$J$2:$J$200,MATCH($AB492,'Test catalog'!$A$2:$A$200,0))),"")</f>
        <v/>
      </c>
      <c r="P492" s="14">
        <f>IF(N492="","",IF(OR(M492="",O492=""),N492,(M492+4*N492+O492)/6))</f>
        <v/>
      </c>
      <c r="Q492" s="10">
        <f>IFERROR(IF(INDEX('Test catalog'!$K$2:$K$200,MATCH($AB492,'Test catalog'!$A$2:$A$200,0))="","",INDEX('Test catalog'!$K$2:$K$200,MATCH($AB492,'Test catalog'!$A$2:$A$200,0))),"")</f>
        <v/>
      </c>
      <c r="R492" s="5" t="n"/>
      <c r="S492" s="10">
        <f>IFERROR(IF(INDEX('Test catalog'!$L$2:$L$200,MATCH($AB492,'Test catalog'!$A$2:$A$200,0))="","",INDEX('Test catalog'!$L$2:$L$200,MATCH($AB492,'Test catalog'!$A$2:$A$200,0))),"")</f>
        <v/>
      </c>
      <c r="T492" s="10">
        <f>IFERROR(IF(INDEX('Test catalog'!$M$2:$M$200,MATCH($AB492,'Test catalog'!$A$2:$A$200,0))="","",INDEX('Test catalog'!$M$2:$M$200,MATCH($AB492,'Test catalog'!$A$2:$A$200,0))),"")</f>
        <v/>
      </c>
      <c r="U492" s="10">
        <f>IFERROR(IF(INDEX('Test catalog'!$N$2:$N$200,MATCH($AB492,'Test catalog'!$A$2:$A$200,0))="","",INDEX('Test catalog'!$N$2:$N$200,MATCH($AB492,'Test catalog'!$A$2:$A$200,0))),"")</f>
        <v/>
      </c>
      <c r="V492" s="15" t="n"/>
      <c r="W492" s="5" t="inlineStr">
        <is>
          <t>N</t>
        </is>
      </c>
      <c r="X492" s="5" t="n"/>
      <c r="Y492" s="5" t="n"/>
      <c r="Z492" s="5" t="n"/>
      <c r="AA492" s="10">
        <f>IFERROR(IF(INDEX('Test catalog'!$O$2:$O$200,MATCH($AB492,'Test catalog'!$A$2:$A$200,0))="","",INDEX('Test catalog'!$O$2:$O$200,MATCH($AB492,'Test catalog'!$A$2:$A$200,0))),"")</f>
        <v/>
      </c>
      <c r="AB492" s="10" t="inlineStr">
        <is>
          <t>ROI</t>
        </is>
      </c>
      <c r="AC492" s="10" t="inlineStr">
        <is>
          <t>Telmisartan · Impurities &lt;281&gt;</t>
        </is>
      </c>
      <c r="AD492" s="10" t="n"/>
      <c r="AE492" s="10" t="n"/>
    </row>
    <row r="493">
      <c r="A493" s="10" t="inlineStr">
        <is>
          <t>Telmisartan</t>
        </is>
      </c>
      <c r="B493" s="10" t="inlineStr">
        <is>
          <t>RM</t>
        </is>
      </c>
      <c r="C493" s="10" t="inlineStr">
        <is>
          <t>Active</t>
        </is>
      </c>
      <c r="D493" s="10" t="inlineStr">
        <is>
          <t>Organic Impurities (HPLC)</t>
        </is>
      </c>
      <c r="E493" s="10">
        <f>IF(A493="","",A493&amp;"|"&amp;D493)</f>
        <v/>
      </c>
      <c r="F493" s="5" t="inlineStr">
        <is>
          <t>Y</t>
        </is>
      </c>
      <c r="G493" s="5" t="inlineStr">
        <is>
          <t>HPLC</t>
        </is>
      </c>
      <c r="H493" s="5" t="inlineStr">
        <is>
          <t>Medium</t>
        </is>
      </c>
      <c r="I493" s="5" t="n">
        <v>1</v>
      </c>
      <c r="J493" s="5" t="n"/>
      <c r="K493" s="5" t="n"/>
      <c r="L493" s="5" t="n"/>
      <c r="M493" s="5" t="n"/>
      <c r="N493" s="5" t="n"/>
      <c r="O493" s="5" t="n"/>
      <c r="P493" s="14">
        <f>IF(N493="","",IF(OR(M493="",O493=""),N493,(M493+4*N493+O493)/6))</f>
        <v/>
      </c>
      <c r="Q493" s="5" t="n"/>
      <c r="R493" s="5" t="n"/>
      <c r="S493" s="5" t="n"/>
      <c r="T493" s="5" t="n"/>
      <c r="U493" s="5" t="n"/>
      <c r="V493" s="15" t="n"/>
      <c r="W493" s="5" t="inlineStr">
        <is>
          <t>N</t>
        </is>
      </c>
      <c r="X493" s="5" t="n"/>
      <c r="Y493" s="5" t="n"/>
      <c r="Z493" s="5" t="n"/>
      <c r="AA493" s="5" t="n"/>
      <c r="AB493" s="10" t="n"/>
      <c r="AC493" s="10" t="inlineStr">
        <is>
          <t>Telmisartan · Impurities</t>
        </is>
      </c>
      <c r="AD493" s="10" t="n"/>
      <c r="AE493" s="10" t="n"/>
    </row>
    <row r="494">
      <c r="A494" s="10" t="inlineStr">
        <is>
          <t>Telmisartan</t>
        </is>
      </c>
      <c r="B494" s="10" t="inlineStr">
        <is>
          <t>RM</t>
        </is>
      </c>
      <c r="C494" s="10" t="inlineStr">
        <is>
          <t>Active</t>
        </is>
      </c>
      <c r="D494" s="10" t="inlineStr">
        <is>
          <t>Loss on Drying</t>
        </is>
      </c>
      <c r="E494" s="10">
        <f>IF(A494="","",A494&amp;"|"&amp;D494)</f>
        <v/>
      </c>
      <c r="F494" s="5" t="inlineStr">
        <is>
          <t>Y</t>
        </is>
      </c>
      <c r="G494" s="5" t="inlineStr">
        <is>
          <t>Other / bench</t>
        </is>
      </c>
      <c r="H494" s="5" t="inlineStr">
        <is>
          <t>Low</t>
        </is>
      </c>
      <c r="I494" s="5" t="n">
        <v>1</v>
      </c>
      <c r="J494" s="5" t="n"/>
      <c r="K494" s="10">
        <f>IFERROR(IF(INDEX('Test catalog'!$F$2:$F$200,MATCH($AB494,'Test catalog'!$A$2:$A$200,0))="","",INDEX('Test catalog'!$F$2:$F$200,MATCH($AB494,'Test catalog'!$A$2:$A$200,0))),"")</f>
        <v/>
      </c>
      <c r="L494" s="10">
        <f>IFERROR(IF(INDEX('Test catalog'!$G$2:$G$200,MATCH($AB494,'Test catalog'!$A$2:$A$200,0))="","",INDEX('Test catalog'!$G$2:$G$200,MATCH($AB494,'Test catalog'!$A$2:$A$200,0))),"")</f>
        <v/>
      </c>
      <c r="M494" s="10">
        <f>IFERROR(IF(INDEX('Test catalog'!$H$2:$H$200,MATCH($AB494,'Test catalog'!$A$2:$A$200,0))="","",INDEX('Test catalog'!$H$2:$H$200,MATCH($AB494,'Test catalog'!$A$2:$A$200,0))),"")</f>
        <v/>
      </c>
      <c r="N494" s="10">
        <f>IFERROR(IF(INDEX('Test catalog'!$I$2:$I$200,MATCH($AB494,'Test catalog'!$A$2:$A$200,0))="","",INDEX('Test catalog'!$I$2:$I$200,MATCH($AB494,'Test catalog'!$A$2:$A$200,0))),"")</f>
        <v/>
      </c>
      <c r="O494" s="10">
        <f>IFERROR(IF(INDEX('Test catalog'!$J$2:$J$200,MATCH($AB494,'Test catalog'!$A$2:$A$200,0))="","",INDEX('Test catalog'!$J$2:$J$200,MATCH($AB494,'Test catalog'!$A$2:$A$200,0))),"")</f>
        <v/>
      </c>
      <c r="P494" s="14">
        <f>IF(N494="","",IF(OR(M494="",O494=""),N494,(M494+4*N494+O494)/6))</f>
        <v/>
      </c>
      <c r="Q494" s="10">
        <f>IFERROR(IF(INDEX('Test catalog'!$K$2:$K$200,MATCH($AB494,'Test catalog'!$A$2:$A$200,0))="","",INDEX('Test catalog'!$K$2:$K$200,MATCH($AB494,'Test catalog'!$A$2:$A$200,0))),"")</f>
        <v/>
      </c>
      <c r="R494" s="5" t="n"/>
      <c r="S494" s="10">
        <f>IFERROR(IF(INDEX('Test catalog'!$L$2:$L$200,MATCH($AB494,'Test catalog'!$A$2:$A$200,0))="","",INDEX('Test catalog'!$L$2:$L$200,MATCH($AB494,'Test catalog'!$A$2:$A$200,0))),"")</f>
        <v/>
      </c>
      <c r="T494" s="10">
        <f>IFERROR(IF(INDEX('Test catalog'!$M$2:$M$200,MATCH($AB494,'Test catalog'!$A$2:$A$200,0))="","",INDEX('Test catalog'!$M$2:$M$200,MATCH($AB494,'Test catalog'!$A$2:$A$200,0))),"")</f>
        <v/>
      </c>
      <c r="U494" s="10">
        <f>IFERROR(IF(INDEX('Test catalog'!$N$2:$N$200,MATCH($AB494,'Test catalog'!$A$2:$A$200,0))="","",INDEX('Test catalog'!$N$2:$N$200,MATCH($AB494,'Test catalog'!$A$2:$A$200,0))),"")</f>
        <v/>
      </c>
      <c r="V494" s="15" t="n"/>
      <c r="W494" s="5" t="inlineStr">
        <is>
          <t>N</t>
        </is>
      </c>
      <c r="X494" s="5" t="n"/>
      <c r="Y494" s="5" t="n"/>
      <c r="Z494" s="5" t="n"/>
      <c r="AA494" s="10">
        <f>IFERROR(IF(INDEX('Test catalog'!$O$2:$O$200,MATCH($AB494,'Test catalog'!$A$2:$A$200,0))="","",INDEX('Test catalog'!$O$2:$O$200,MATCH($AB494,'Test catalog'!$A$2:$A$200,0))),"")</f>
        <v/>
      </c>
      <c r="AB494" s="10" t="inlineStr">
        <is>
          <t>LOD</t>
        </is>
      </c>
      <c r="AC494" s="10" t="inlineStr">
        <is>
          <t>Telmisartan · Specific Tests &lt;731&gt;</t>
        </is>
      </c>
      <c r="AD494" s="10" t="n"/>
      <c r="AE494" s="10" t="n"/>
    </row>
    <row r="495">
      <c r="A495" s="10" t="inlineStr">
        <is>
          <t>Thiamine Hydrochloride (Vitamin B1)</t>
        </is>
      </c>
      <c r="B495" s="10" t="inlineStr">
        <is>
          <t>RM</t>
        </is>
      </c>
      <c r="C495" s="10" t="inlineStr">
        <is>
          <t>Active</t>
        </is>
      </c>
      <c r="D495" s="10" t="inlineStr">
        <is>
          <t>Appearance / description and solubility</t>
        </is>
      </c>
      <c r="E495" s="10">
        <f>IF(A495="","",A495&amp;"|"&amp;D495)</f>
        <v/>
      </c>
      <c r="F495" s="5" t="inlineStr">
        <is>
          <t>Y</t>
        </is>
      </c>
      <c r="G495" s="5" t="inlineStr">
        <is>
          <t>Other / bench</t>
        </is>
      </c>
      <c r="H495" s="5" t="inlineStr">
        <is>
          <t>Low</t>
        </is>
      </c>
      <c r="I495" s="5" t="n">
        <v>1</v>
      </c>
      <c r="J495" s="5" t="n"/>
      <c r="K495" s="10">
        <f>IFERROR(IF(INDEX('Test catalog'!$F$2:$F$200,MATCH($AB495,'Test catalog'!$A$2:$A$200,0))="","",INDEX('Test catalog'!$F$2:$F$200,MATCH($AB495,'Test catalog'!$A$2:$A$200,0))),"")</f>
        <v/>
      </c>
      <c r="L495" s="10">
        <f>IFERROR(IF(INDEX('Test catalog'!$G$2:$G$200,MATCH($AB495,'Test catalog'!$A$2:$A$200,0))="","",INDEX('Test catalog'!$G$2:$G$200,MATCH($AB495,'Test catalog'!$A$2:$A$200,0))),"")</f>
        <v/>
      </c>
      <c r="M495" s="10">
        <f>IFERROR(IF(INDEX('Test catalog'!$H$2:$H$200,MATCH($AB495,'Test catalog'!$A$2:$A$200,0))="","",INDEX('Test catalog'!$H$2:$H$200,MATCH($AB495,'Test catalog'!$A$2:$A$200,0))),"")</f>
        <v/>
      </c>
      <c r="N495" s="10">
        <f>IFERROR(IF(INDEX('Test catalog'!$I$2:$I$200,MATCH($AB495,'Test catalog'!$A$2:$A$200,0))="","",INDEX('Test catalog'!$I$2:$I$200,MATCH($AB495,'Test catalog'!$A$2:$A$200,0))),"")</f>
        <v/>
      </c>
      <c r="O495" s="10">
        <f>IFERROR(IF(INDEX('Test catalog'!$J$2:$J$200,MATCH($AB495,'Test catalog'!$A$2:$A$200,0))="","",INDEX('Test catalog'!$J$2:$J$200,MATCH($AB495,'Test catalog'!$A$2:$A$200,0))),"")</f>
        <v/>
      </c>
      <c r="P495" s="14">
        <f>IF(N495="","",IF(OR(M495="",O495=""),N495,(M495+4*N495+O495)/6))</f>
        <v/>
      </c>
      <c r="Q495" s="10">
        <f>IFERROR(IF(INDEX('Test catalog'!$K$2:$K$200,MATCH($AB495,'Test catalog'!$A$2:$A$200,0))="","",INDEX('Test catalog'!$K$2:$K$200,MATCH($AB495,'Test catalog'!$A$2:$A$200,0))),"")</f>
        <v/>
      </c>
      <c r="R495" s="5" t="n"/>
      <c r="S495" s="10">
        <f>IFERROR(IF(INDEX('Test catalog'!$L$2:$L$200,MATCH($AB495,'Test catalog'!$A$2:$A$200,0))="","",INDEX('Test catalog'!$L$2:$L$200,MATCH($AB495,'Test catalog'!$A$2:$A$200,0))),"")</f>
        <v/>
      </c>
      <c r="T495" s="10">
        <f>IFERROR(IF(INDEX('Test catalog'!$M$2:$M$200,MATCH($AB495,'Test catalog'!$A$2:$A$200,0))="","",INDEX('Test catalog'!$M$2:$M$200,MATCH($AB495,'Test catalog'!$A$2:$A$200,0))),"")</f>
        <v/>
      </c>
      <c r="U495" s="10">
        <f>IFERROR(IF(INDEX('Test catalog'!$N$2:$N$200,MATCH($AB495,'Test catalog'!$A$2:$A$200,0))="","",INDEX('Test catalog'!$N$2:$N$200,MATCH($AB495,'Test catalog'!$A$2:$A$200,0))),"")</f>
        <v/>
      </c>
      <c r="V495" s="15" t="n"/>
      <c r="W495" s="5" t="inlineStr">
        <is>
          <t>N</t>
        </is>
      </c>
      <c r="X495" s="5" t="n"/>
      <c r="Y495" s="5" t="n"/>
      <c r="Z495" s="5" t="n"/>
      <c r="AA495" s="10">
        <f>IFERROR(IF(INDEX('Test catalog'!$O$2:$O$200,MATCH($AB495,'Test catalog'!$A$2:$A$200,0))="","",INDEX('Test catalog'!$O$2:$O$200,MATCH($AB495,'Test catalog'!$A$2:$A$200,0))),"")</f>
        <v/>
      </c>
      <c r="AB495" s="10" t="inlineStr">
        <is>
          <t>APPEAR</t>
        </is>
      </c>
      <c r="AC495" s="10" t="inlineStr">
        <is>
          <t>Lab practice (not a USP test)</t>
        </is>
      </c>
      <c r="AD495" s="10" t="n"/>
      <c r="AE495" s="10" t="n"/>
    </row>
    <row r="496">
      <c r="A496" s="10" t="inlineStr">
        <is>
          <t>Thiamine Hydrochloride (Vitamin B1)</t>
        </is>
      </c>
      <c r="B496" s="10" t="inlineStr">
        <is>
          <t>RM</t>
        </is>
      </c>
      <c r="C496" s="10" t="inlineStr">
        <is>
          <t>Active</t>
        </is>
      </c>
      <c r="D496" s="10" t="inlineStr">
        <is>
          <t>ID A - IR spectrum</t>
        </is>
      </c>
      <c r="E496" s="10">
        <f>IF(A496="","",A496&amp;"|"&amp;D496)</f>
        <v/>
      </c>
      <c r="F496" s="5" t="inlineStr">
        <is>
          <t>Y</t>
        </is>
      </c>
      <c r="G496" s="5" t="inlineStr">
        <is>
          <t>Other / bench</t>
        </is>
      </c>
      <c r="H496" s="5" t="inlineStr">
        <is>
          <t>Low</t>
        </is>
      </c>
      <c r="I496" s="5" t="n">
        <v>1</v>
      </c>
      <c r="J496" s="5" t="n"/>
      <c r="K496" s="10">
        <f>IFERROR(IF(INDEX('Test catalog'!$F$2:$F$200,MATCH($AB496,'Test catalog'!$A$2:$A$200,0))="","",INDEX('Test catalog'!$F$2:$F$200,MATCH($AB496,'Test catalog'!$A$2:$A$200,0))),"")</f>
        <v/>
      </c>
      <c r="L496" s="10">
        <f>IFERROR(IF(INDEX('Test catalog'!$G$2:$G$200,MATCH($AB496,'Test catalog'!$A$2:$A$200,0))="","",INDEX('Test catalog'!$G$2:$G$200,MATCH($AB496,'Test catalog'!$A$2:$A$200,0))),"")</f>
        <v/>
      </c>
      <c r="M496" s="10">
        <f>IFERROR(IF(INDEX('Test catalog'!$H$2:$H$200,MATCH($AB496,'Test catalog'!$A$2:$A$200,0))="","",INDEX('Test catalog'!$H$2:$H$200,MATCH($AB496,'Test catalog'!$A$2:$A$200,0))),"")</f>
        <v/>
      </c>
      <c r="N496" s="10">
        <f>IFERROR(IF(INDEX('Test catalog'!$I$2:$I$200,MATCH($AB496,'Test catalog'!$A$2:$A$200,0))="","",INDEX('Test catalog'!$I$2:$I$200,MATCH($AB496,'Test catalog'!$A$2:$A$200,0))),"")</f>
        <v/>
      </c>
      <c r="O496" s="10">
        <f>IFERROR(IF(INDEX('Test catalog'!$J$2:$J$200,MATCH($AB496,'Test catalog'!$A$2:$A$200,0))="","",INDEX('Test catalog'!$J$2:$J$200,MATCH($AB496,'Test catalog'!$A$2:$A$200,0))),"")</f>
        <v/>
      </c>
      <c r="P496" s="14">
        <f>IF(N496="","",IF(OR(M496="",O496=""),N496,(M496+4*N496+O496)/6))</f>
        <v/>
      </c>
      <c r="Q496" s="10">
        <f>IFERROR(IF(INDEX('Test catalog'!$K$2:$K$200,MATCH($AB496,'Test catalog'!$A$2:$A$200,0))="","",INDEX('Test catalog'!$K$2:$K$200,MATCH($AB496,'Test catalog'!$A$2:$A$200,0))),"")</f>
        <v/>
      </c>
      <c r="R496" s="5" t="n"/>
      <c r="S496" s="10">
        <f>IFERROR(IF(INDEX('Test catalog'!$L$2:$L$200,MATCH($AB496,'Test catalog'!$A$2:$A$200,0))="","",INDEX('Test catalog'!$L$2:$L$200,MATCH($AB496,'Test catalog'!$A$2:$A$200,0))),"")</f>
        <v/>
      </c>
      <c r="T496" s="10">
        <f>IFERROR(IF(INDEX('Test catalog'!$M$2:$M$200,MATCH($AB496,'Test catalog'!$A$2:$A$200,0))="","",INDEX('Test catalog'!$M$2:$M$200,MATCH($AB496,'Test catalog'!$A$2:$A$200,0))),"")</f>
        <v/>
      </c>
      <c r="U496" s="10">
        <f>IFERROR(IF(INDEX('Test catalog'!$N$2:$N$200,MATCH($AB496,'Test catalog'!$A$2:$A$200,0))="","",INDEX('Test catalog'!$N$2:$N$200,MATCH($AB496,'Test catalog'!$A$2:$A$200,0))),"")</f>
        <v/>
      </c>
      <c r="V496" s="15" t="n"/>
      <c r="W496" s="5" t="inlineStr">
        <is>
          <t>N</t>
        </is>
      </c>
      <c r="X496" s="5" t="n"/>
      <c r="Y496" s="5" t="n"/>
      <c r="Z496" s="5" t="n"/>
      <c r="AA496" s="10">
        <f>IFERROR(IF(INDEX('Test catalog'!$O$2:$O$200,MATCH($AB496,'Test catalog'!$A$2:$A$200,0))="","",INDEX('Test catalog'!$O$2:$O$200,MATCH($AB496,'Test catalog'!$A$2:$A$200,0))),"")</f>
        <v/>
      </c>
      <c r="AB496" s="10" t="inlineStr">
        <is>
          <t>ID_IR</t>
        </is>
      </c>
      <c r="AC496" s="10" t="inlineStr">
        <is>
          <t>Thiamine Hydrochloride · Identification &lt;197&gt;</t>
        </is>
      </c>
      <c r="AD496" s="10" t="n"/>
      <c r="AE496" s="10" t="n"/>
    </row>
    <row r="497">
      <c r="A497" s="10" t="inlineStr">
        <is>
          <t>Thiamine Hydrochloride (Vitamin B1)</t>
        </is>
      </c>
      <c r="B497" s="10" t="inlineStr">
        <is>
          <t>RM</t>
        </is>
      </c>
      <c r="C497" s="10" t="inlineStr">
        <is>
          <t>Active</t>
        </is>
      </c>
      <c r="D497" s="10" t="inlineStr">
        <is>
          <t>ID B - chemical reaction</t>
        </is>
      </c>
      <c r="E497" s="10">
        <f>IF(A497="","",A497&amp;"|"&amp;D497)</f>
        <v/>
      </c>
      <c r="F497" s="5" t="inlineStr">
        <is>
          <t>Y</t>
        </is>
      </c>
      <c r="G497" s="5" t="inlineStr">
        <is>
          <t>Other / bench</t>
        </is>
      </c>
      <c r="H497" s="5" t="inlineStr">
        <is>
          <t>Low</t>
        </is>
      </c>
      <c r="I497" s="5" t="n">
        <v>1</v>
      </c>
      <c r="J497" s="5" t="n"/>
      <c r="K497" s="10">
        <f>IFERROR(IF(INDEX('Test catalog'!$F$2:$F$200,MATCH($AB497,'Test catalog'!$A$2:$A$200,0))="","",INDEX('Test catalog'!$F$2:$F$200,MATCH($AB497,'Test catalog'!$A$2:$A$200,0))),"")</f>
        <v/>
      </c>
      <c r="L497" s="10">
        <f>IFERROR(IF(INDEX('Test catalog'!$G$2:$G$200,MATCH($AB497,'Test catalog'!$A$2:$A$200,0))="","",INDEX('Test catalog'!$G$2:$G$200,MATCH($AB497,'Test catalog'!$A$2:$A$200,0))),"")</f>
        <v/>
      </c>
      <c r="M497" s="10">
        <f>IFERROR(IF(INDEX('Test catalog'!$H$2:$H$200,MATCH($AB497,'Test catalog'!$A$2:$A$200,0))="","",INDEX('Test catalog'!$H$2:$H$200,MATCH($AB497,'Test catalog'!$A$2:$A$200,0))),"")</f>
        <v/>
      </c>
      <c r="N497" s="10">
        <f>IFERROR(IF(INDEX('Test catalog'!$I$2:$I$200,MATCH($AB497,'Test catalog'!$A$2:$A$200,0))="","",INDEX('Test catalog'!$I$2:$I$200,MATCH($AB497,'Test catalog'!$A$2:$A$200,0))),"")</f>
        <v/>
      </c>
      <c r="O497" s="10">
        <f>IFERROR(IF(INDEX('Test catalog'!$J$2:$J$200,MATCH($AB497,'Test catalog'!$A$2:$A$200,0))="","",INDEX('Test catalog'!$J$2:$J$200,MATCH($AB497,'Test catalog'!$A$2:$A$200,0))),"")</f>
        <v/>
      </c>
      <c r="P497" s="14">
        <f>IF(N497="","",IF(OR(M497="",O497=""),N497,(M497+4*N497+O497)/6))</f>
        <v/>
      </c>
      <c r="Q497" s="10">
        <f>IFERROR(IF(INDEX('Test catalog'!$K$2:$K$200,MATCH($AB497,'Test catalog'!$A$2:$A$200,0))="","",INDEX('Test catalog'!$K$2:$K$200,MATCH($AB497,'Test catalog'!$A$2:$A$200,0))),"")</f>
        <v/>
      </c>
      <c r="R497" s="5" t="n"/>
      <c r="S497" s="10">
        <f>IFERROR(IF(INDEX('Test catalog'!$L$2:$L$200,MATCH($AB497,'Test catalog'!$A$2:$A$200,0))="","",INDEX('Test catalog'!$L$2:$L$200,MATCH($AB497,'Test catalog'!$A$2:$A$200,0))),"")</f>
        <v/>
      </c>
      <c r="T497" s="10">
        <f>IFERROR(IF(INDEX('Test catalog'!$M$2:$M$200,MATCH($AB497,'Test catalog'!$A$2:$A$200,0))="","",INDEX('Test catalog'!$M$2:$M$200,MATCH($AB497,'Test catalog'!$A$2:$A$200,0))),"")</f>
        <v/>
      </c>
      <c r="U497" s="10">
        <f>IFERROR(IF(INDEX('Test catalog'!$N$2:$N$200,MATCH($AB497,'Test catalog'!$A$2:$A$200,0))="","",INDEX('Test catalog'!$N$2:$N$200,MATCH($AB497,'Test catalog'!$A$2:$A$200,0))),"")</f>
        <v/>
      </c>
      <c r="V497" s="15" t="n"/>
      <c r="W497" s="5" t="inlineStr">
        <is>
          <t>N</t>
        </is>
      </c>
      <c r="X497" s="5" t="n"/>
      <c r="Y497" s="5" t="n"/>
      <c r="Z497" s="5" t="n"/>
      <c r="AA497" s="10">
        <f>IFERROR(IF(INDEX('Test catalog'!$O$2:$O$200,MATCH($AB497,'Test catalog'!$A$2:$A$200,0))="","",INDEX('Test catalog'!$O$2:$O$200,MATCH($AB497,'Test catalog'!$A$2:$A$200,0))),"")</f>
        <v/>
      </c>
      <c r="AB497" s="10" t="inlineStr">
        <is>
          <t>ID_CHEM</t>
        </is>
      </c>
      <c r="AC497" s="10" t="inlineStr">
        <is>
          <t>Thiamine Hydrochloride · Identification &lt;191&gt;</t>
        </is>
      </c>
      <c r="AD497" s="10" t="n"/>
      <c r="AE497" s="10" t="n"/>
    </row>
    <row r="498">
      <c r="A498" s="10" t="inlineStr">
        <is>
          <t>Thiamine Hydrochloride (Vitamin B1)</t>
        </is>
      </c>
      <c r="B498" s="10" t="inlineStr">
        <is>
          <t>RM</t>
        </is>
      </c>
      <c r="C498" s="10" t="inlineStr">
        <is>
          <t>Active</t>
        </is>
      </c>
      <c r="D498" s="10" t="inlineStr">
        <is>
          <t>Assay (HPLC)</t>
        </is>
      </c>
      <c r="E498" s="10">
        <f>IF(A498="","",A498&amp;"|"&amp;D498)</f>
        <v/>
      </c>
      <c r="F498" s="5" t="inlineStr">
        <is>
          <t>Y</t>
        </is>
      </c>
      <c r="G498" s="5" t="inlineStr">
        <is>
          <t>HPLC</t>
        </is>
      </c>
      <c r="H498" s="5" t="inlineStr">
        <is>
          <t>Medium</t>
        </is>
      </c>
      <c r="I498" s="5" t="n">
        <v>1</v>
      </c>
      <c r="J498" s="5" t="n"/>
      <c r="K498" s="5" t="n"/>
      <c r="L498" s="5" t="n"/>
      <c r="M498" s="5" t="n"/>
      <c r="N498" s="5" t="n"/>
      <c r="O498" s="5" t="n"/>
      <c r="P498" s="14">
        <f>IF(N498="","",IF(OR(M498="",O498=""),N498,(M498+4*N498+O498)/6))</f>
        <v/>
      </c>
      <c r="Q498" s="5" t="n"/>
      <c r="R498" s="5" t="n"/>
      <c r="S498" s="5" t="n"/>
      <c r="T498" s="5" t="n"/>
      <c r="U498" s="5" t="n"/>
      <c r="V498" s="15" t="n"/>
      <c r="W498" s="5" t="inlineStr">
        <is>
          <t>N</t>
        </is>
      </c>
      <c r="X498" s="5" t="n"/>
      <c r="Y498" s="5" t="n"/>
      <c r="Z498" s="5" t="n"/>
      <c r="AA498" s="5" t="n"/>
      <c r="AB498" s="10" t="n"/>
      <c r="AC498" s="10" t="inlineStr">
        <is>
          <t>Thiamine Hydrochloride · Assay</t>
        </is>
      </c>
      <c r="AD498" s="10" t="n"/>
      <c r="AE498" s="10" t="n"/>
    </row>
    <row r="499">
      <c r="A499" s="10" t="inlineStr">
        <is>
          <t>Thiamine Hydrochloride (Vitamin B1)</t>
        </is>
      </c>
      <c r="B499" s="10" t="inlineStr">
        <is>
          <t>RM</t>
        </is>
      </c>
      <c r="C499" s="10" t="inlineStr">
        <is>
          <t>Active</t>
        </is>
      </c>
      <c r="D499" s="10" t="inlineStr">
        <is>
          <t>Residue on Ignition</t>
        </is>
      </c>
      <c r="E499" s="10">
        <f>IF(A499="","",A499&amp;"|"&amp;D499)</f>
        <v/>
      </c>
      <c r="F499" s="5" t="inlineStr">
        <is>
          <t>Y</t>
        </is>
      </c>
      <c r="G499" s="5" t="inlineStr">
        <is>
          <t>Other / bench</t>
        </is>
      </c>
      <c r="H499" s="5" t="inlineStr">
        <is>
          <t>Low</t>
        </is>
      </c>
      <c r="I499" s="5" t="n">
        <v>1</v>
      </c>
      <c r="J499" s="5" t="n"/>
      <c r="K499" s="10">
        <f>IFERROR(IF(INDEX('Test catalog'!$F$2:$F$200,MATCH($AB499,'Test catalog'!$A$2:$A$200,0))="","",INDEX('Test catalog'!$F$2:$F$200,MATCH($AB499,'Test catalog'!$A$2:$A$200,0))),"")</f>
        <v/>
      </c>
      <c r="L499" s="10">
        <f>IFERROR(IF(INDEX('Test catalog'!$G$2:$G$200,MATCH($AB499,'Test catalog'!$A$2:$A$200,0))="","",INDEX('Test catalog'!$G$2:$G$200,MATCH($AB499,'Test catalog'!$A$2:$A$200,0))),"")</f>
        <v/>
      </c>
      <c r="M499" s="10">
        <f>IFERROR(IF(INDEX('Test catalog'!$H$2:$H$200,MATCH($AB499,'Test catalog'!$A$2:$A$200,0))="","",INDEX('Test catalog'!$H$2:$H$200,MATCH($AB499,'Test catalog'!$A$2:$A$200,0))),"")</f>
        <v/>
      </c>
      <c r="N499" s="10">
        <f>IFERROR(IF(INDEX('Test catalog'!$I$2:$I$200,MATCH($AB499,'Test catalog'!$A$2:$A$200,0))="","",INDEX('Test catalog'!$I$2:$I$200,MATCH($AB499,'Test catalog'!$A$2:$A$200,0))),"")</f>
        <v/>
      </c>
      <c r="O499" s="10">
        <f>IFERROR(IF(INDEX('Test catalog'!$J$2:$J$200,MATCH($AB499,'Test catalog'!$A$2:$A$200,0))="","",INDEX('Test catalog'!$J$2:$J$200,MATCH($AB499,'Test catalog'!$A$2:$A$200,0))),"")</f>
        <v/>
      </c>
      <c r="P499" s="14">
        <f>IF(N499="","",IF(OR(M499="",O499=""),N499,(M499+4*N499+O499)/6))</f>
        <v/>
      </c>
      <c r="Q499" s="10">
        <f>IFERROR(IF(INDEX('Test catalog'!$K$2:$K$200,MATCH($AB499,'Test catalog'!$A$2:$A$200,0))="","",INDEX('Test catalog'!$K$2:$K$200,MATCH($AB499,'Test catalog'!$A$2:$A$200,0))),"")</f>
        <v/>
      </c>
      <c r="R499" s="5" t="n"/>
      <c r="S499" s="10">
        <f>IFERROR(IF(INDEX('Test catalog'!$L$2:$L$200,MATCH($AB499,'Test catalog'!$A$2:$A$200,0))="","",INDEX('Test catalog'!$L$2:$L$200,MATCH($AB499,'Test catalog'!$A$2:$A$200,0))),"")</f>
        <v/>
      </c>
      <c r="T499" s="10">
        <f>IFERROR(IF(INDEX('Test catalog'!$M$2:$M$200,MATCH($AB499,'Test catalog'!$A$2:$A$200,0))="","",INDEX('Test catalog'!$M$2:$M$200,MATCH($AB499,'Test catalog'!$A$2:$A$200,0))),"")</f>
        <v/>
      </c>
      <c r="U499" s="10">
        <f>IFERROR(IF(INDEX('Test catalog'!$N$2:$N$200,MATCH($AB499,'Test catalog'!$A$2:$A$200,0))="","",INDEX('Test catalog'!$N$2:$N$200,MATCH($AB499,'Test catalog'!$A$2:$A$200,0))),"")</f>
        <v/>
      </c>
      <c r="V499" s="15" t="n"/>
      <c r="W499" s="5" t="inlineStr">
        <is>
          <t>N</t>
        </is>
      </c>
      <c r="X499" s="5" t="n"/>
      <c r="Y499" s="5" t="n"/>
      <c r="Z499" s="5" t="n"/>
      <c r="AA499" s="10">
        <f>IFERROR(IF(INDEX('Test catalog'!$O$2:$O$200,MATCH($AB499,'Test catalog'!$A$2:$A$200,0))="","",INDEX('Test catalog'!$O$2:$O$200,MATCH($AB499,'Test catalog'!$A$2:$A$200,0))),"")</f>
        <v/>
      </c>
      <c r="AB499" s="10" t="inlineStr">
        <is>
          <t>ROI</t>
        </is>
      </c>
      <c r="AC499" s="10" t="inlineStr">
        <is>
          <t>Thiamine Hydrochloride · Impurities &lt;281&gt;</t>
        </is>
      </c>
      <c r="AD499" s="10" t="n"/>
      <c r="AE499" s="10" t="n"/>
    </row>
    <row r="500">
      <c r="A500" s="10" t="inlineStr">
        <is>
          <t>Thiamine Hydrochloride (Vitamin B1)</t>
        </is>
      </c>
      <c r="B500" s="10" t="inlineStr">
        <is>
          <t>RM</t>
        </is>
      </c>
      <c r="C500" s="10" t="inlineStr">
        <is>
          <t>Active</t>
        </is>
      </c>
      <c r="D500" s="10" t="inlineStr">
        <is>
          <t>Limit of Nitrate</t>
        </is>
      </c>
      <c r="E500" s="10">
        <f>IF(A500="","",A500&amp;"|"&amp;D500)</f>
        <v/>
      </c>
      <c r="F500" s="5" t="inlineStr">
        <is>
          <t>Y</t>
        </is>
      </c>
      <c r="G500" s="5" t="inlineStr">
        <is>
          <t>Other / bench</t>
        </is>
      </c>
      <c r="H500" s="5" t="inlineStr">
        <is>
          <t>Low</t>
        </is>
      </c>
      <c r="I500" s="5" t="n">
        <v>1</v>
      </c>
      <c r="J500" s="5" t="n"/>
      <c r="K500" s="10">
        <f>IFERROR(IF(INDEX('Test catalog'!$F$2:$F$200,MATCH($AB500,'Test catalog'!$A$2:$A$200,0))="","",INDEX('Test catalog'!$F$2:$F$200,MATCH($AB500,'Test catalog'!$A$2:$A$200,0))),"")</f>
        <v/>
      </c>
      <c r="L500" s="10">
        <f>IFERROR(IF(INDEX('Test catalog'!$G$2:$G$200,MATCH($AB500,'Test catalog'!$A$2:$A$200,0))="","",INDEX('Test catalog'!$G$2:$G$200,MATCH($AB500,'Test catalog'!$A$2:$A$200,0))),"")</f>
        <v/>
      </c>
      <c r="M500" s="10">
        <f>IFERROR(IF(INDEX('Test catalog'!$H$2:$H$200,MATCH($AB500,'Test catalog'!$A$2:$A$200,0))="","",INDEX('Test catalog'!$H$2:$H$200,MATCH($AB500,'Test catalog'!$A$2:$A$200,0))),"")</f>
        <v/>
      </c>
      <c r="N500" s="10">
        <f>IFERROR(IF(INDEX('Test catalog'!$I$2:$I$200,MATCH($AB500,'Test catalog'!$A$2:$A$200,0))="","",INDEX('Test catalog'!$I$2:$I$200,MATCH($AB500,'Test catalog'!$A$2:$A$200,0))),"")</f>
        <v/>
      </c>
      <c r="O500" s="10">
        <f>IFERROR(IF(INDEX('Test catalog'!$J$2:$J$200,MATCH($AB500,'Test catalog'!$A$2:$A$200,0))="","",INDEX('Test catalog'!$J$2:$J$200,MATCH($AB500,'Test catalog'!$A$2:$A$200,0))),"")</f>
        <v/>
      </c>
      <c r="P500" s="14">
        <f>IF(N500="","",IF(OR(M500="",O500=""),N500,(M500+4*N500+O500)/6))</f>
        <v/>
      </c>
      <c r="Q500" s="10">
        <f>IFERROR(IF(INDEX('Test catalog'!$K$2:$K$200,MATCH($AB500,'Test catalog'!$A$2:$A$200,0))="","",INDEX('Test catalog'!$K$2:$K$200,MATCH($AB500,'Test catalog'!$A$2:$A$200,0))),"")</f>
        <v/>
      </c>
      <c r="R500" s="5" t="n"/>
      <c r="S500" s="10">
        <f>IFERROR(IF(INDEX('Test catalog'!$L$2:$L$200,MATCH($AB500,'Test catalog'!$A$2:$A$200,0))="","",INDEX('Test catalog'!$L$2:$L$200,MATCH($AB500,'Test catalog'!$A$2:$A$200,0))),"")</f>
        <v/>
      </c>
      <c r="T500" s="10">
        <f>IFERROR(IF(INDEX('Test catalog'!$M$2:$M$200,MATCH($AB500,'Test catalog'!$A$2:$A$200,0))="","",INDEX('Test catalog'!$M$2:$M$200,MATCH($AB500,'Test catalog'!$A$2:$A$200,0))),"")</f>
        <v/>
      </c>
      <c r="U500" s="10">
        <f>IFERROR(IF(INDEX('Test catalog'!$N$2:$N$200,MATCH($AB500,'Test catalog'!$A$2:$A$200,0))="","",INDEX('Test catalog'!$N$2:$N$200,MATCH($AB500,'Test catalog'!$A$2:$A$200,0))),"")</f>
        <v/>
      </c>
      <c r="V500" s="15" t="n"/>
      <c r="W500" s="5" t="inlineStr">
        <is>
          <t>N</t>
        </is>
      </c>
      <c r="X500" s="5" t="n"/>
      <c r="Y500" s="5" t="n"/>
      <c r="Z500" s="5" t="n"/>
      <c r="AA500" s="10">
        <f>IFERROR(IF(INDEX('Test catalog'!$O$2:$O$200,MATCH($AB500,'Test catalog'!$A$2:$A$200,0))="","",INDEX('Test catalog'!$O$2:$O$200,MATCH($AB500,'Test catalog'!$A$2:$A$200,0))),"")</f>
        <v/>
      </c>
      <c r="AB500" s="10" t="inlineStr">
        <is>
          <t>LIMIT</t>
        </is>
      </c>
      <c r="AC500" s="10" t="inlineStr">
        <is>
          <t>Thiamine Hydrochloride · Impurities</t>
        </is>
      </c>
      <c r="AD500" s="10" t="n"/>
      <c r="AE500" s="10" t="n"/>
    </row>
    <row r="501">
      <c r="A501" s="10" t="inlineStr">
        <is>
          <t>Thiamine Hydrochloride (Vitamin B1)</t>
        </is>
      </c>
      <c r="B501" s="10" t="inlineStr">
        <is>
          <t>RM</t>
        </is>
      </c>
      <c r="C501" s="10" t="inlineStr">
        <is>
          <t>Active</t>
        </is>
      </c>
      <c r="D501" s="10" t="inlineStr">
        <is>
          <t>Related Compounds (HPLC)</t>
        </is>
      </c>
      <c r="E501" s="10">
        <f>IF(A501="","",A501&amp;"|"&amp;D501)</f>
        <v/>
      </c>
      <c r="F501" s="5" t="inlineStr">
        <is>
          <t>Y</t>
        </is>
      </c>
      <c r="G501" s="5" t="inlineStr">
        <is>
          <t>HPLC</t>
        </is>
      </c>
      <c r="H501" s="5" t="inlineStr">
        <is>
          <t>Medium</t>
        </is>
      </c>
      <c r="I501" s="5" t="n">
        <v>1</v>
      </c>
      <c r="J501" s="5" t="n"/>
      <c r="K501" s="5" t="n"/>
      <c r="L501" s="5" t="n"/>
      <c r="M501" s="5" t="n"/>
      <c r="N501" s="5" t="n"/>
      <c r="O501" s="5" t="n"/>
      <c r="P501" s="14">
        <f>IF(N501="","",IF(OR(M501="",O501=""),N501,(M501+4*N501+O501)/6))</f>
        <v/>
      </c>
      <c r="Q501" s="5" t="n"/>
      <c r="R501" s="5" t="n"/>
      <c r="S501" s="5" t="n"/>
      <c r="T501" s="5" t="n"/>
      <c r="U501" s="5" t="n"/>
      <c r="V501" s="15" t="n"/>
      <c r="W501" s="5" t="inlineStr">
        <is>
          <t>N</t>
        </is>
      </c>
      <c r="X501" s="5" t="n"/>
      <c r="Y501" s="5" t="n"/>
      <c r="Z501" s="5" t="n"/>
      <c r="AA501" s="5" t="n"/>
      <c r="AB501" s="10" t="n"/>
      <c r="AC501" s="10" t="inlineStr">
        <is>
          <t>Thiamine Hydrochloride · Impurities</t>
        </is>
      </c>
      <c r="AD501" s="10" t="n"/>
      <c r="AE501" s="10" t="n"/>
    </row>
    <row r="502">
      <c r="A502" s="10" t="inlineStr">
        <is>
          <t>Thiamine Hydrochloride (Vitamin B1)</t>
        </is>
      </c>
      <c r="B502" s="10" t="inlineStr">
        <is>
          <t>RM</t>
        </is>
      </c>
      <c r="C502" s="10" t="inlineStr">
        <is>
          <t>Active</t>
        </is>
      </c>
      <c r="D502" s="10" t="inlineStr">
        <is>
          <t>pH</t>
        </is>
      </c>
      <c r="E502" s="10">
        <f>IF(A502="","",A502&amp;"|"&amp;D502)</f>
        <v/>
      </c>
      <c r="F502" s="5" t="inlineStr">
        <is>
          <t>Y</t>
        </is>
      </c>
      <c r="G502" s="5" t="inlineStr">
        <is>
          <t>Other / bench</t>
        </is>
      </c>
      <c r="H502" s="5" t="inlineStr">
        <is>
          <t>Low</t>
        </is>
      </c>
      <c r="I502" s="5" t="n">
        <v>1</v>
      </c>
      <c r="J502" s="5" t="n"/>
      <c r="K502" s="10">
        <f>IFERROR(IF(INDEX('Test catalog'!$F$2:$F$200,MATCH($AB502,'Test catalog'!$A$2:$A$200,0))="","",INDEX('Test catalog'!$F$2:$F$200,MATCH($AB502,'Test catalog'!$A$2:$A$200,0))),"")</f>
        <v/>
      </c>
      <c r="L502" s="10">
        <f>IFERROR(IF(INDEX('Test catalog'!$G$2:$G$200,MATCH($AB502,'Test catalog'!$A$2:$A$200,0))="","",INDEX('Test catalog'!$G$2:$G$200,MATCH($AB502,'Test catalog'!$A$2:$A$200,0))),"")</f>
        <v/>
      </c>
      <c r="M502" s="10">
        <f>IFERROR(IF(INDEX('Test catalog'!$H$2:$H$200,MATCH($AB502,'Test catalog'!$A$2:$A$200,0))="","",INDEX('Test catalog'!$H$2:$H$200,MATCH($AB502,'Test catalog'!$A$2:$A$200,0))),"")</f>
        <v/>
      </c>
      <c r="N502" s="10">
        <f>IFERROR(IF(INDEX('Test catalog'!$I$2:$I$200,MATCH($AB502,'Test catalog'!$A$2:$A$200,0))="","",INDEX('Test catalog'!$I$2:$I$200,MATCH($AB502,'Test catalog'!$A$2:$A$200,0))),"")</f>
        <v/>
      </c>
      <c r="O502" s="10">
        <f>IFERROR(IF(INDEX('Test catalog'!$J$2:$J$200,MATCH($AB502,'Test catalog'!$A$2:$A$200,0))="","",INDEX('Test catalog'!$J$2:$J$200,MATCH($AB502,'Test catalog'!$A$2:$A$200,0))),"")</f>
        <v/>
      </c>
      <c r="P502" s="14">
        <f>IF(N502="","",IF(OR(M502="",O502=""),N502,(M502+4*N502+O502)/6))</f>
        <v/>
      </c>
      <c r="Q502" s="10">
        <f>IFERROR(IF(INDEX('Test catalog'!$K$2:$K$200,MATCH($AB502,'Test catalog'!$A$2:$A$200,0))="","",INDEX('Test catalog'!$K$2:$K$200,MATCH($AB502,'Test catalog'!$A$2:$A$200,0))),"")</f>
        <v/>
      </c>
      <c r="R502" s="5" t="n"/>
      <c r="S502" s="10">
        <f>IFERROR(IF(INDEX('Test catalog'!$L$2:$L$200,MATCH($AB502,'Test catalog'!$A$2:$A$200,0))="","",INDEX('Test catalog'!$L$2:$L$200,MATCH($AB502,'Test catalog'!$A$2:$A$200,0))),"")</f>
        <v/>
      </c>
      <c r="T502" s="10">
        <f>IFERROR(IF(INDEX('Test catalog'!$M$2:$M$200,MATCH($AB502,'Test catalog'!$A$2:$A$200,0))="","",INDEX('Test catalog'!$M$2:$M$200,MATCH($AB502,'Test catalog'!$A$2:$A$200,0))),"")</f>
        <v/>
      </c>
      <c r="U502" s="10">
        <f>IFERROR(IF(INDEX('Test catalog'!$N$2:$N$200,MATCH($AB502,'Test catalog'!$A$2:$A$200,0))="","",INDEX('Test catalog'!$N$2:$N$200,MATCH($AB502,'Test catalog'!$A$2:$A$200,0))),"")</f>
        <v/>
      </c>
      <c r="V502" s="15" t="n"/>
      <c r="W502" s="5" t="inlineStr">
        <is>
          <t>N</t>
        </is>
      </c>
      <c r="X502" s="5" t="n"/>
      <c r="Y502" s="5" t="n"/>
      <c r="Z502" s="5" t="n"/>
      <c r="AA502" s="10">
        <f>IFERROR(IF(INDEX('Test catalog'!$O$2:$O$200,MATCH($AB502,'Test catalog'!$A$2:$A$200,0))="","",INDEX('Test catalog'!$O$2:$O$200,MATCH($AB502,'Test catalog'!$A$2:$A$200,0))),"")</f>
        <v/>
      </c>
      <c r="AB502" s="10" t="inlineStr">
        <is>
          <t>PH</t>
        </is>
      </c>
      <c r="AC502" s="10" t="inlineStr">
        <is>
          <t>Thiamine Hydrochloride · Impurities &lt;791&gt;</t>
        </is>
      </c>
      <c r="AD502" s="10" t="n"/>
      <c r="AE502" s="10" t="n"/>
    </row>
    <row r="503">
      <c r="A503" s="10" t="inlineStr">
        <is>
          <t>Thiamine Hydrochloride (Vitamin B1)</t>
        </is>
      </c>
      <c r="B503" s="10" t="inlineStr">
        <is>
          <t>RM</t>
        </is>
      </c>
      <c r="C503" s="10" t="inlineStr">
        <is>
          <t>Active</t>
        </is>
      </c>
      <c r="D503" s="10" t="inlineStr">
        <is>
          <t>Water Determination, Method I</t>
        </is>
      </c>
      <c r="E503" s="10">
        <f>IF(A503="","",A503&amp;"|"&amp;D503)</f>
        <v/>
      </c>
      <c r="F503" s="5" t="inlineStr">
        <is>
          <t>Y</t>
        </is>
      </c>
      <c r="G503" s="5" t="inlineStr">
        <is>
          <t>KF titrator</t>
        </is>
      </c>
      <c r="H503" s="5" t="inlineStr">
        <is>
          <t>Low</t>
        </is>
      </c>
      <c r="I503" s="5" t="n">
        <v>1</v>
      </c>
      <c r="J503" s="5" t="n"/>
      <c r="K503" s="10">
        <f>IFERROR(IF(INDEX('Test catalog'!$F$2:$F$200,MATCH($AB503,'Test catalog'!$A$2:$A$200,0))="","",INDEX('Test catalog'!$F$2:$F$200,MATCH($AB503,'Test catalog'!$A$2:$A$200,0))),"")</f>
        <v/>
      </c>
      <c r="L503" s="10">
        <f>IFERROR(IF(INDEX('Test catalog'!$G$2:$G$200,MATCH($AB503,'Test catalog'!$A$2:$A$200,0))="","",INDEX('Test catalog'!$G$2:$G$200,MATCH($AB503,'Test catalog'!$A$2:$A$200,0))),"")</f>
        <v/>
      </c>
      <c r="M503" s="10">
        <f>IFERROR(IF(INDEX('Test catalog'!$H$2:$H$200,MATCH($AB503,'Test catalog'!$A$2:$A$200,0))="","",INDEX('Test catalog'!$H$2:$H$200,MATCH($AB503,'Test catalog'!$A$2:$A$200,0))),"")</f>
        <v/>
      </c>
      <c r="N503" s="10">
        <f>IFERROR(IF(INDEX('Test catalog'!$I$2:$I$200,MATCH($AB503,'Test catalog'!$A$2:$A$200,0))="","",INDEX('Test catalog'!$I$2:$I$200,MATCH($AB503,'Test catalog'!$A$2:$A$200,0))),"")</f>
        <v/>
      </c>
      <c r="O503" s="10">
        <f>IFERROR(IF(INDEX('Test catalog'!$J$2:$J$200,MATCH($AB503,'Test catalog'!$A$2:$A$200,0))="","",INDEX('Test catalog'!$J$2:$J$200,MATCH($AB503,'Test catalog'!$A$2:$A$200,0))),"")</f>
        <v/>
      </c>
      <c r="P503" s="14">
        <f>IF(N503="","",IF(OR(M503="",O503=""),N503,(M503+4*N503+O503)/6))</f>
        <v/>
      </c>
      <c r="Q503" s="10">
        <f>IFERROR(IF(INDEX('Test catalog'!$K$2:$K$200,MATCH($AB503,'Test catalog'!$A$2:$A$200,0))="","",INDEX('Test catalog'!$K$2:$K$200,MATCH($AB503,'Test catalog'!$A$2:$A$200,0))),"")</f>
        <v/>
      </c>
      <c r="R503" s="5" t="n"/>
      <c r="S503" s="10">
        <f>IFERROR(IF(INDEX('Test catalog'!$L$2:$L$200,MATCH($AB503,'Test catalog'!$A$2:$A$200,0))="","",INDEX('Test catalog'!$L$2:$L$200,MATCH($AB503,'Test catalog'!$A$2:$A$200,0))),"")</f>
        <v/>
      </c>
      <c r="T503" s="10">
        <f>IFERROR(IF(INDEX('Test catalog'!$M$2:$M$200,MATCH($AB503,'Test catalog'!$A$2:$A$200,0))="","",INDEX('Test catalog'!$M$2:$M$200,MATCH($AB503,'Test catalog'!$A$2:$A$200,0))),"")</f>
        <v/>
      </c>
      <c r="U503" s="10">
        <f>IFERROR(IF(INDEX('Test catalog'!$N$2:$N$200,MATCH($AB503,'Test catalog'!$A$2:$A$200,0))="","",INDEX('Test catalog'!$N$2:$N$200,MATCH($AB503,'Test catalog'!$A$2:$A$200,0))),"")</f>
        <v/>
      </c>
      <c r="V503" s="15" t="n"/>
      <c r="W503" s="5" t="inlineStr">
        <is>
          <t>N</t>
        </is>
      </c>
      <c r="X503" s="5" t="n"/>
      <c r="Y503" s="5" t="n"/>
      <c r="Z503" s="5" t="n"/>
      <c r="AA503" s="10">
        <f>IFERROR(IF(INDEX('Test catalog'!$O$2:$O$200,MATCH($AB503,'Test catalog'!$A$2:$A$200,0))="","",INDEX('Test catalog'!$O$2:$O$200,MATCH($AB503,'Test catalog'!$A$2:$A$200,0))),"")</f>
        <v/>
      </c>
      <c r="AB503" s="10" t="inlineStr">
        <is>
          <t>KF</t>
        </is>
      </c>
      <c r="AC503" s="10" t="inlineStr">
        <is>
          <t>Thiamine Hydrochloride · Specific Tests &lt;921&gt;</t>
        </is>
      </c>
      <c r="AD503" s="10" t="n"/>
      <c r="AE503" s="10" t="n"/>
    </row>
    <row r="504">
      <c r="A504" s="10" t="inlineStr">
        <is>
          <t>Thiamine Hydrochloride (Vitamin B1)</t>
        </is>
      </c>
      <c r="B504" s="10" t="inlineStr">
        <is>
          <t>RM</t>
        </is>
      </c>
      <c r="C504" s="10" t="inlineStr">
        <is>
          <t>Active</t>
        </is>
      </c>
      <c r="D504" s="10" t="inlineStr">
        <is>
          <t>Absorbance of Solution</t>
        </is>
      </c>
      <c r="E504" s="10">
        <f>IF(A504="","",A504&amp;"|"&amp;D504)</f>
        <v/>
      </c>
      <c r="F504" s="5" t="inlineStr">
        <is>
          <t>Y</t>
        </is>
      </c>
      <c r="G504" s="5" t="inlineStr">
        <is>
          <t>UV-Vis</t>
        </is>
      </c>
      <c r="H504" s="5" t="inlineStr">
        <is>
          <t>Low</t>
        </is>
      </c>
      <c r="I504" s="5" t="n">
        <v>1</v>
      </c>
      <c r="J504" s="5" t="n"/>
      <c r="K504" s="10">
        <f>IFERROR(IF(INDEX('Test catalog'!$F$2:$F$200,MATCH($AB504,'Test catalog'!$A$2:$A$200,0))="","",INDEX('Test catalog'!$F$2:$F$200,MATCH($AB504,'Test catalog'!$A$2:$A$200,0))),"")</f>
        <v/>
      </c>
      <c r="L504" s="10">
        <f>IFERROR(IF(INDEX('Test catalog'!$G$2:$G$200,MATCH($AB504,'Test catalog'!$A$2:$A$200,0))="","",INDEX('Test catalog'!$G$2:$G$200,MATCH($AB504,'Test catalog'!$A$2:$A$200,0))),"")</f>
        <v/>
      </c>
      <c r="M504" s="10">
        <f>IFERROR(IF(INDEX('Test catalog'!$H$2:$H$200,MATCH($AB504,'Test catalog'!$A$2:$A$200,0))="","",INDEX('Test catalog'!$H$2:$H$200,MATCH($AB504,'Test catalog'!$A$2:$A$200,0))),"")</f>
        <v/>
      </c>
      <c r="N504" s="10">
        <f>IFERROR(IF(INDEX('Test catalog'!$I$2:$I$200,MATCH($AB504,'Test catalog'!$A$2:$A$200,0))="","",INDEX('Test catalog'!$I$2:$I$200,MATCH($AB504,'Test catalog'!$A$2:$A$200,0))),"")</f>
        <v/>
      </c>
      <c r="O504" s="10">
        <f>IFERROR(IF(INDEX('Test catalog'!$J$2:$J$200,MATCH($AB504,'Test catalog'!$A$2:$A$200,0))="","",INDEX('Test catalog'!$J$2:$J$200,MATCH($AB504,'Test catalog'!$A$2:$A$200,0))),"")</f>
        <v/>
      </c>
      <c r="P504" s="14">
        <f>IF(N504="","",IF(OR(M504="",O504=""),N504,(M504+4*N504+O504)/6))</f>
        <v/>
      </c>
      <c r="Q504" s="10">
        <f>IFERROR(IF(INDEX('Test catalog'!$K$2:$K$200,MATCH($AB504,'Test catalog'!$A$2:$A$200,0))="","",INDEX('Test catalog'!$K$2:$K$200,MATCH($AB504,'Test catalog'!$A$2:$A$200,0))),"")</f>
        <v/>
      </c>
      <c r="R504" s="5" t="n"/>
      <c r="S504" s="10">
        <f>IFERROR(IF(INDEX('Test catalog'!$L$2:$L$200,MATCH($AB504,'Test catalog'!$A$2:$A$200,0))="","",INDEX('Test catalog'!$L$2:$L$200,MATCH($AB504,'Test catalog'!$A$2:$A$200,0))),"")</f>
        <v/>
      </c>
      <c r="T504" s="10">
        <f>IFERROR(IF(INDEX('Test catalog'!$M$2:$M$200,MATCH($AB504,'Test catalog'!$A$2:$A$200,0))="","",INDEX('Test catalog'!$M$2:$M$200,MATCH($AB504,'Test catalog'!$A$2:$A$200,0))),"")</f>
        <v/>
      </c>
      <c r="U504" s="10">
        <f>IFERROR(IF(INDEX('Test catalog'!$N$2:$N$200,MATCH($AB504,'Test catalog'!$A$2:$A$200,0))="","",INDEX('Test catalog'!$N$2:$N$200,MATCH($AB504,'Test catalog'!$A$2:$A$200,0))),"")</f>
        <v/>
      </c>
      <c r="V504" s="15" t="n"/>
      <c r="W504" s="5" t="inlineStr">
        <is>
          <t>N</t>
        </is>
      </c>
      <c r="X504" s="5" t="n"/>
      <c r="Y504" s="5" t="n"/>
      <c r="Z504" s="5" t="n"/>
      <c r="AA504" s="10">
        <f>IFERROR(IF(INDEX('Test catalog'!$O$2:$O$200,MATCH($AB504,'Test catalog'!$A$2:$A$200,0))="","",INDEX('Test catalog'!$O$2:$O$200,MATCH($AB504,'Test catalog'!$A$2:$A$200,0))),"")</f>
        <v/>
      </c>
      <c r="AB504" s="10" t="inlineStr">
        <is>
          <t>UV</t>
        </is>
      </c>
      <c r="AC504" s="10" t="inlineStr">
        <is>
          <t>Thiamine Hydrochloride · Specific Tests &lt;857&gt;</t>
        </is>
      </c>
      <c r="AD504" s="10" t="n"/>
      <c r="AE504" s="10" t="n"/>
    </row>
    <row r="505">
      <c r="A505" s="10" t="inlineStr">
        <is>
          <t>Tribulus Terrestris Dry Extract 50:1</t>
        </is>
      </c>
      <c r="B505" s="10" t="inlineStr">
        <is>
          <t>RM</t>
        </is>
      </c>
      <c r="C505" s="10" t="inlineStr">
        <is>
          <t>Active</t>
        </is>
      </c>
      <c r="D505" s="10" t="inlineStr">
        <is>
          <t>Assay + related substances</t>
        </is>
      </c>
      <c r="E505" s="10">
        <f>IF(A505="","",A505&amp;"|"&amp;D505)</f>
        <v/>
      </c>
      <c r="F505" s="5" t="inlineStr">
        <is>
          <t>Y</t>
        </is>
      </c>
      <c r="G505" s="5" t="inlineStr">
        <is>
          <t>HPLC</t>
        </is>
      </c>
      <c r="H505" s="5" t="inlineStr">
        <is>
          <t>Medium</t>
        </is>
      </c>
      <c r="I505" s="5" t="n">
        <v>1</v>
      </c>
      <c r="J505" s="5" t="n"/>
      <c r="K505" s="5" t="n"/>
      <c r="L505" s="5" t="n"/>
      <c r="M505" s="5" t="n"/>
      <c r="N505" s="5" t="n"/>
      <c r="O505" s="5" t="n"/>
      <c r="P505" s="14">
        <f>IF(N505="","",IF(OR(M505="",O505=""),N505,(M505+4*N505+O505)/6))</f>
        <v/>
      </c>
      <c r="Q505" s="5" t="n"/>
      <c r="R505" s="5" t="n"/>
      <c r="S505" s="5" t="n"/>
      <c r="T505" s="5" t="n"/>
      <c r="U505" s="5" t="n"/>
      <c r="V505" s="15" t="n"/>
      <c r="W505" s="5" t="inlineStr">
        <is>
          <t>N</t>
        </is>
      </c>
      <c r="X505" s="5" t="n"/>
      <c r="Y505" s="5" t="n"/>
      <c r="Z505" s="5" t="n"/>
      <c r="AA505" s="5" t="n"/>
      <c r="AB505" s="10" t="n"/>
      <c r="AC505" s="10" t="n"/>
      <c r="AD505" s="10" t="inlineStr">
        <is>
          <t>No USP-NF monograph - in-house / supplier spec</t>
        </is>
      </c>
      <c r="AE505" s="10" t="n">
        <v>0.5</v>
      </c>
      <c r="AF505" s="10" t="inlineStr">
        <is>
          <t>Assay</t>
        </is>
      </c>
    </row>
    <row r="506">
      <c r="A506" s="10" t="inlineStr">
        <is>
          <t>Tribulus Terrestris Dry Extract 50:1</t>
        </is>
      </c>
      <c r="B506" s="10" t="inlineStr">
        <is>
          <t>RM</t>
        </is>
      </c>
      <c r="C506" s="10" t="inlineStr">
        <is>
          <t>Active</t>
        </is>
      </c>
      <c r="D506" s="10" t="inlineStr">
        <is>
          <t>Other compendial tests (ID, LOD/KF, heavy metals...)</t>
        </is>
      </c>
      <c r="E506" s="10">
        <f>IF(A506="","",A506&amp;"|"&amp;D506)</f>
        <v/>
      </c>
      <c r="F506" s="5" t="inlineStr">
        <is>
          <t>Y</t>
        </is>
      </c>
      <c r="G506" s="5" t="inlineStr">
        <is>
          <t>Other / bench</t>
        </is>
      </c>
      <c r="H506" s="5" t="inlineStr">
        <is>
          <t>Low</t>
        </is>
      </c>
      <c r="I506" s="5" t="n">
        <v>1</v>
      </c>
      <c r="J506" s="5" t="n"/>
      <c r="K506" s="5" t="n"/>
      <c r="L506" s="5" t="n"/>
      <c r="M506" s="5" t="n"/>
      <c r="N506" s="5" t="n"/>
      <c r="O506" s="5" t="n"/>
      <c r="P506" s="14">
        <f>IF(N506="","",IF(OR(M506="",O506=""),N506,(M506+4*N506+O506)/6))</f>
        <v/>
      </c>
      <c r="Q506" s="5" t="n"/>
      <c r="R506" s="5" t="n"/>
      <c r="S506" s="5" t="n"/>
      <c r="T506" s="5" t="n"/>
      <c r="U506" s="5" t="n"/>
      <c r="V506" s="15" t="n"/>
      <c r="W506" s="5" t="inlineStr">
        <is>
          <t>N</t>
        </is>
      </c>
      <c r="X506" s="5" t="n"/>
      <c r="Y506" s="5" t="n"/>
      <c r="Z506" s="5" t="n"/>
      <c r="AA506" s="5" t="n"/>
      <c r="AB506" s="10" t="n"/>
      <c r="AC506" s="10" t="n"/>
      <c r="AD506" s="10" t="inlineStr">
        <is>
          <t>No USP-NF monograph - in-house / supplier spec</t>
        </is>
      </c>
      <c r="AE506" s="10" t="n">
        <v>3.07</v>
      </c>
      <c r="AF506" s="10" t="inlineStr">
        <is>
          <t>Appearance- Colour- Odour- particle size- Loss on drying- Ash content</t>
        </is>
      </c>
    </row>
    <row r="507">
      <c r="A507" s="10" t="inlineStr">
        <is>
          <t>Ubidecarenone (Co-Q10)</t>
        </is>
      </c>
      <c r="B507" s="10" t="inlineStr">
        <is>
          <t>RM</t>
        </is>
      </c>
      <c r="C507" s="10" t="inlineStr">
        <is>
          <t>Active</t>
        </is>
      </c>
      <c r="D507" s="10" t="inlineStr">
        <is>
          <t>Appearance / description and solubility</t>
        </is>
      </c>
      <c r="E507" s="10">
        <f>IF(A507="","",A507&amp;"|"&amp;D507)</f>
        <v/>
      </c>
      <c r="F507" s="5" t="inlineStr">
        <is>
          <t>Y</t>
        </is>
      </c>
      <c r="G507" s="5" t="inlineStr">
        <is>
          <t>Other / bench</t>
        </is>
      </c>
      <c r="H507" s="5" t="inlineStr">
        <is>
          <t>Low</t>
        </is>
      </c>
      <c r="I507" s="5" t="n">
        <v>1</v>
      </c>
      <c r="J507" s="5" t="n"/>
      <c r="K507" s="10">
        <f>IFERROR(IF(INDEX('Test catalog'!$F$2:$F$200,MATCH($AB507,'Test catalog'!$A$2:$A$200,0))="","",INDEX('Test catalog'!$F$2:$F$200,MATCH($AB507,'Test catalog'!$A$2:$A$200,0))),"")</f>
        <v/>
      </c>
      <c r="L507" s="10">
        <f>IFERROR(IF(INDEX('Test catalog'!$G$2:$G$200,MATCH($AB507,'Test catalog'!$A$2:$A$200,0))="","",INDEX('Test catalog'!$G$2:$G$200,MATCH($AB507,'Test catalog'!$A$2:$A$200,0))),"")</f>
        <v/>
      </c>
      <c r="M507" s="10">
        <f>IFERROR(IF(INDEX('Test catalog'!$H$2:$H$200,MATCH($AB507,'Test catalog'!$A$2:$A$200,0))="","",INDEX('Test catalog'!$H$2:$H$200,MATCH($AB507,'Test catalog'!$A$2:$A$200,0))),"")</f>
        <v/>
      </c>
      <c r="N507" s="10">
        <f>IFERROR(IF(INDEX('Test catalog'!$I$2:$I$200,MATCH($AB507,'Test catalog'!$A$2:$A$200,0))="","",INDEX('Test catalog'!$I$2:$I$200,MATCH($AB507,'Test catalog'!$A$2:$A$200,0))),"")</f>
        <v/>
      </c>
      <c r="O507" s="10">
        <f>IFERROR(IF(INDEX('Test catalog'!$J$2:$J$200,MATCH($AB507,'Test catalog'!$A$2:$A$200,0))="","",INDEX('Test catalog'!$J$2:$J$200,MATCH($AB507,'Test catalog'!$A$2:$A$200,0))),"")</f>
        <v/>
      </c>
      <c r="P507" s="14">
        <f>IF(N507="","",IF(OR(M507="",O507=""),N507,(M507+4*N507+O507)/6))</f>
        <v/>
      </c>
      <c r="Q507" s="10">
        <f>IFERROR(IF(INDEX('Test catalog'!$K$2:$K$200,MATCH($AB507,'Test catalog'!$A$2:$A$200,0))="","",INDEX('Test catalog'!$K$2:$K$200,MATCH($AB507,'Test catalog'!$A$2:$A$200,0))),"")</f>
        <v/>
      </c>
      <c r="R507" s="5" t="n"/>
      <c r="S507" s="10">
        <f>IFERROR(IF(INDEX('Test catalog'!$L$2:$L$200,MATCH($AB507,'Test catalog'!$A$2:$A$200,0))="","",INDEX('Test catalog'!$L$2:$L$200,MATCH($AB507,'Test catalog'!$A$2:$A$200,0))),"")</f>
        <v/>
      </c>
      <c r="T507" s="10">
        <f>IFERROR(IF(INDEX('Test catalog'!$M$2:$M$200,MATCH($AB507,'Test catalog'!$A$2:$A$200,0))="","",INDEX('Test catalog'!$M$2:$M$200,MATCH($AB507,'Test catalog'!$A$2:$A$200,0))),"")</f>
        <v/>
      </c>
      <c r="U507" s="10">
        <f>IFERROR(IF(INDEX('Test catalog'!$N$2:$N$200,MATCH($AB507,'Test catalog'!$A$2:$A$200,0))="","",INDEX('Test catalog'!$N$2:$N$200,MATCH($AB507,'Test catalog'!$A$2:$A$200,0))),"")</f>
        <v/>
      </c>
      <c r="V507" s="15" t="n"/>
      <c r="W507" s="5" t="inlineStr">
        <is>
          <t>N</t>
        </is>
      </c>
      <c r="X507" s="5" t="n"/>
      <c r="Y507" s="5" t="n"/>
      <c r="Z507" s="5" t="n"/>
      <c r="AA507" s="10">
        <f>IFERROR(IF(INDEX('Test catalog'!$O$2:$O$200,MATCH($AB507,'Test catalog'!$A$2:$A$200,0))="","",INDEX('Test catalog'!$O$2:$O$200,MATCH($AB507,'Test catalog'!$A$2:$A$200,0))),"")</f>
        <v/>
      </c>
      <c r="AB507" s="10" t="inlineStr">
        <is>
          <t>APPEAR</t>
        </is>
      </c>
      <c r="AC507" s="10" t="inlineStr">
        <is>
          <t>Lab practice (not a USP test)</t>
        </is>
      </c>
      <c r="AD507" s="10" t="n"/>
      <c r="AE507" s="10" t="n"/>
    </row>
    <row r="508">
      <c r="A508" s="10" t="inlineStr">
        <is>
          <t>Ubidecarenone (Co-Q10)</t>
        </is>
      </c>
      <c r="B508" s="10" t="inlineStr">
        <is>
          <t>RM</t>
        </is>
      </c>
      <c r="C508" s="10" t="inlineStr">
        <is>
          <t>Active</t>
        </is>
      </c>
      <c r="D508" s="10" t="inlineStr">
        <is>
          <t>ID A - IR spectrum</t>
        </is>
      </c>
      <c r="E508" s="10">
        <f>IF(A508="","",A508&amp;"|"&amp;D508)</f>
        <v/>
      </c>
      <c r="F508" s="5" t="inlineStr">
        <is>
          <t>Y</t>
        </is>
      </c>
      <c r="G508" s="5" t="inlineStr">
        <is>
          <t>Other / bench</t>
        </is>
      </c>
      <c r="H508" s="5" t="inlineStr">
        <is>
          <t>Low</t>
        </is>
      </c>
      <c r="I508" s="5" t="n">
        <v>1</v>
      </c>
      <c r="J508" s="5" t="n"/>
      <c r="K508" s="10">
        <f>IFERROR(IF(INDEX('Test catalog'!$F$2:$F$200,MATCH($AB508,'Test catalog'!$A$2:$A$200,0))="","",INDEX('Test catalog'!$F$2:$F$200,MATCH($AB508,'Test catalog'!$A$2:$A$200,0))),"")</f>
        <v/>
      </c>
      <c r="L508" s="10">
        <f>IFERROR(IF(INDEX('Test catalog'!$G$2:$G$200,MATCH($AB508,'Test catalog'!$A$2:$A$200,0))="","",INDEX('Test catalog'!$G$2:$G$200,MATCH($AB508,'Test catalog'!$A$2:$A$200,0))),"")</f>
        <v/>
      </c>
      <c r="M508" s="10">
        <f>IFERROR(IF(INDEX('Test catalog'!$H$2:$H$200,MATCH($AB508,'Test catalog'!$A$2:$A$200,0))="","",INDEX('Test catalog'!$H$2:$H$200,MATCH($AB508,'Test catalog'!$A$2:$A$200,0))),"")</f>
        <v/>
      </c>
      <c r="N508" s="10">
        <f>IFERROR(IF(INDEX('Test catalog'!$I$2:$I$200,MATCH($AB508,'Test catalog'!$A$2:$A$200,0))="","",INDEX('Test catalog'!$I$2:$I$200,MATCH($AB508,'Test catalog'!$A$2:$A$200,0))),"")</f>
        <v/>
      </c>
      <c r="O508" s="10">
        <f>IFERROR(IF(INDEX('Test catalog'!$J$2:$J$200,MATCH($AB508,'Test catalog'!$A$2:$A$200,0))="","",INDEX('Test catalog'!$J$2:$J$200,MATCH($AB508,'Test catalog'!$A$2:$A$200,0))),"")</f>
        <v/>
      </c>
      <c r="P508" s="14">
        <f>IF(N508="","",IF(OR(M508="",O508=""),N508,(M508+4*N508+O508)/6))</f>
        <v/>
      </c>
      <c r="Q508" s="10">
        <f>IFERROR(IF(INDEX('Test catalog'!$K$2:$K$200,MATCH($AB508,'Test catalog'!$A$2:$A$200,0))="","",INDEX('Test catalog'!$K$2:$K$200,MATCH($AB508,'Test catalog'!$A$2:$A$200,0))),"")</f>
        <v/>
      </c>
      <c r="R508" s="5" t="n"/>
      <c r="S508" s="10">
        <f>IFERROR(IF(INDEX('Test catalog'!$L$2:$L$200,MATCH($AB508,'Test catalog'!$A$2:$A$200,0))="","",INDEX('Test catalog'!$L$2:$L$200,MATCH($AB508,'Test catalog'!$A$2:$A$200,0))),"")</f>
        <v/>
      </c>
      <c r="T508" s="10">
        <f>IFERROR(IF(INDEX('Test catalog'!$M$2:$M$200,MATCH($AB508,'Test catalog'!$A$2:$A$200,0))="","",INDEX('Test catalog'!$M$2:$M$200,MATCH($AB508,'Test catalog'!$A$2:$A$200,0))),"")</f>
        <v/>
      </c>
      <c r="U508" s="10">
        <f>IFERROR(IF(INDEX('Test catalog'!$N$2:$N$200,MATCH($AB508,'Test catalog'!$A$2:$A$200,0))="","",INDEX('Test catalog'!$N$2:$N$200,MATCH($AB508,'Test catalog'!$A$2:$A$200,0))),"")</f>
        <v/>
      </c>
      <c r="V508" s="15" t="n"/>
      <c r="W508" s="5" t="inlineStr">
        <is>
          <t>N</t>
        </is>
      </c>
      <c r="X508" s="5" t="n"/>
      <c r="Y508" s="5" t="n"/>
      <c r="Z508" s="5" t="n"/>
      <c r="AA508" s="10">
        <f>IFERROR(IF(INDEX('Test catalog'!$O$2:$O$200,MATCH($AB508,'Test catalog'!$A$2:$A$200,0))="","",INDEX('Test catalog'!$O$2:$O$200,MATCH($AB508,'Test catalog'!$A$2:$A$200,0))),"")</f>
        <v/>
      </c>
      <c r="AB508" s="10" t="inlineStr">
        <is>
          <t>ID_IR</t>
        </is>
      </c>
      <c r="AC508" s="10" t="inlineStr">
        <is>
          <t>Ubidecarenone · Identification &lt;197&gt;</t>
        </is>
      </c>
      <c r="AD508" s="10" t="n"/>
      <c r="AE508" s="10" t="n"/>
    </row>
    <row r="509">
      <c r="A509" s="10" t="inlineStr">
        <is>
          <t>Ubidecarenone (Co-Q10)</t>
        </is>
      </c>
      <c r="B509" s="10" t="inlineStr">
        <is>
          <t>RM</t>
        </is>
      </c>
      <c r="C509" s="10" t="inlineStr">
        <is>
          <t>Active</t>
        </is>
      </c>
      <c r="D509" s="10" t="inlineStr">
        <is>
          <t>ID B - chemical reaction</t>
        </is>
      </c>
      <c r="E509" s="10">
        <f>IF(A509="","",A509&amp;"|"&amp;D509)</f>
        <v/>
      </c>
      <c r="F509" s="5" t="inlineStr">
        <is>
          <t>Y</t>
        </is>
      </c>
      <c r="G509" s="5" t="inlineStr">
        <is>
          <t>Other / bench</t>
        </is>
      </c>
      <c r="H509" s="5" t="inlineStr">
        <is>
          <t>Low</t>
        </is>
      </c>
      <c r="I509" s="5" t="n">
        <v>1</v>
      </c>
      <c r="J509" s="5" t="n"/>
      <c r="K509" s="10">
        <f>IFERROR(IF(INDEX('Test catalog'!$F$2:$F$200,MATCH($AB509,'Test catalog'!$A$2:$A$200,0))="","",INDEX('Test catalog'!$F$2:$F$200,MATCH($AB509,'Test catalog'!$A$2:$A$200,0))),"")</f>
        <v/>
      </c>
      <c r="L509" s="10">
        <f>IFERROR(IF(INDEX('Test catalog'!$G$2:$G$200,MATCH($AB509,'Test catalog'!$A$2:$A$200,0))="","",INDEX('Test catalog'!$G$2:$G$200,MATCH($AB509,'Test catalog'!$A$2:$A$200,0))),"")</f>
        <v/>
      </c>
      <c r="M509" s="10">
        <f>IFERROR(IF(INDEX('Test catalog'!$H$2:$H$200,MATCH($AB509,'Test catalog'!$A$2:$A$200,0))="","",INDEX('Test catalog'!$H$2:$H$200,MATCH($AB509,'Test catalog'!$A$2:$A$200,0))),"")</f>
        <v/>
      </c>
      <c r="N509" s="10">
        <f>IFERROR(IF(INDEX('Test catalog'!$I$2:$I$200,MATCH($AB509,'Test catalog'!$A$2:$A$200,0))="","",INDEX('Test catalog'!$I$2:$I$200,MATCH($AB509,'Test catalog'!$A$2:$A$200,0))),"")</f>
        <v/>
      </c>
      <c r="O509" s="10">
        <f>IFERROR(IF(INDEX('Test catalog'!$J$2:$J$200,MATCH($AB509,'Test catalog'!$A$2:$A$200,0))="","",INDEX('Test catalog'!$J$2:$J$200,MATCH($AB509,'Test catalog'!$A$2:$A$200,0))),"")</f>
        <v/>
      </c>
      <c r="P509" s="14">
        <f>IF(N509="","",IF(OR(M509="",O509=""),N509,(M509+4*N509+O509)/6))</f>
        <v/>
      </c>
      <c r="Q509" s="10">
        <f>IFERROR(IF(INDEX('Test catalog'!$K$2:$K$200,MATCH($AB509,'Test catalog'!$A$2:$A$200,0))="","",INDEX('Test catalog'!$K$2:$K$200,MATCH($AB509,'Test catalog'!$A$2:$A$200,0))),"")</f>
        <v/>
      </c>
      <c r="R509" s="5" t="n"/>
      <c r="S509" s="10">
        <f>IFERROR(IF(INDEX('Test catalog'!$L$2:$L$200,MATCH($AB509,'Test catalog'!$A$2:$A$200,0))="","",INDEX('Test catalog'!$L$2:$L$200,MATCH($AB509,'Test catalog'!$A$2:$A$200,0))),"")</f>
        <v/>
      </c>
      <c r="T509" s="10">
        <f>IFERROR(IF(INDEX('Test catalog'!$M$2:$M$200,MATCH($AB509,'Test catalog'!$A$2:$A$200,0))="","",INDEX('Test catalog'!$M$2:$M$200,MATCH($AB509,'Test catalog'!$A$2:$A$200,0))),"")</f>
        <v/>
      </c>
      <c r="U509" s="10">
        <f>IFERROR(IF(INDEX('Test catalog'!$N$2:$N$200,MATCH($AB509,'Test catalog'!$A$2:$A$200,0))="","",INDEX('Test catalog'!$N$2:$N$200,MATCH($AB509,'Test catalog'!$A$2:$A$200,0))),"")</f>
        <v/>
      </c>
      <c r="V509" s="15" t="n"/>
      <c r="W509" s="5" t="inlineStr">
        <is>
          <t>N</t>
        </is>
      </c>
      <c r="X509" s="5" t="n"/>
      <c r="Y509" s="5" t="n"/>
      <c r="Z509" s="5" t="n"/>
      <c r="AA509" s="10">
        <f>IFERROR(IF(INDEX('Test catalog'!$O$2:$O$200,MATCH($AB509,'Test catalog'!$A$2:$A$200,0))="","",INDEX('Test catalog'!$O$2:$O$200,MATCH($AB509,'Test catalog'!$A$2:$A$200,0))),"")</f>
        <v/>
      </c>
      <c r="AB509" s="10" t="inlineStr">
        <is>
          <t>ID_CHEM</t>
        </is>
      </c>
      <c r="AC509" s="10" t="inlineStr">
        <is>
          <t>Ubidecarenone · Identification</t>
        </is>
      </c>
      <c r="AD509" s="10" t="n"/>
      <c r="AE509" s="10" t="n"/>
    </row>
    <row r="510">
      <c r="A510" s="10" t="inlineStr">
        <is>
          <t>Ubidecarenone (Co-Q10)</t>
        </is>
      </c>
      <c r="B510" s="10" t="inlineStr">
        <is>
          <t>RM</t>
        </is>
      </c>
      <c r="C510" s="10" t="inlineStr">
        <is>
          <t>Active</t>
        </is>
      </c>
      <c r="D510" s="10" t="inlineStr">
        <is>
          <t>Assay (HPLC)</t>
        </is>
      </c>
      <c r="E510" s="10">
        <f>IF(A510="","",A510&amp;"|"&amp;D510)</f>
        <v/>
      </c>
      <c r="F510" s="5" t="inlineStr">
        <is>
          <t>Y</t>
        </is>
      </c>
      <c r="G510" s="5" t="inlineStr">
        <is>
          <t>HPLC</t>
        </is>
      </c>
      <c r="H510" s="5" t="inlineStr">
        <is>
          <t>Medium</t>
        </is>
      </c>
      <c r="I510" s="5" t="n">
        <v>1</v>
      </c>
      <c r="J510" s="5" t="n"/>
      <c r="K510" s="5" t="n"/>
      <c r="L510" s="5" t="n"/>
      <c r="M510" s="5" t="n"/>
      <c r="N510" s="5" t="n"/>
      <c r="O510" s="5" t="n"/>
      <c r="P510" s="14">
        <f>IF(N510="","",IF(OR(M510="",O510=""),N510,(M510+4*N510+O510)/6))</f>
        <v/>
      </c>
      <c r="Q510" s="5" t="n"/>
      <c r="R510" s="5" t="n"/>
      <c r="S510" s="5" t="n"/>
      <c r="T510" s="5" t="n"/>
      <c r="U510" s="5" t="n"/>
      <c r="V510" s="15" t="n"/>
      <c r="W510" s="5" t="inlineStr">
        <is>
          <t>N</t>
        </is>
      </c>
      <c r="X510" s="5" t="n"/>
      <c r="Y510" s="5" t="n"/>
      <c r="Z510" s="5" t="n"/>
      <c r="AA510" s="5" t="n"/>
      <c r="AB510" s="10" t="n"/>
      <c r="AC510" s="10" t="inlineStr">
        <is>
          <t>Ubidecarenone · Assay</t>
        </is>
      </c>
      <c r="AD510" s="10" t="n"/>
      <c r="AE510" s="10" t="n"/>
    </row>
    <row r="511">
      <c r="A511" s="10" t="inlineStr">
        <is>
          <t>Ubidecarenone (Co-Q10)</t>
        </is>
      </c>
      <c r="B511" s="10" t="inlineStr">
        <is>
          <t>RM</t>
        </is>
      </c>
      <c r="C511" s="10" t="inlineStr">
        <is>
          <t>Active</t>
        </is>
      </c>
      <c r="D511" s="10" t="inlineStr">
        <is>
          <t>Residue on Ignition</t>
        </is>
      </c>
      <c r="E511" s="10">
        <f>IF(A511="","",A511&amp;"|"&amp;D511)</f>
        <v/>
      </c>
      <c r="F511" s="5" t="inlineStr">
        <is>
          <t>Y</t>
        </is>
      </c>
      <c r="G511" s="5" t="inlineStr">
        <is>
          <t>Other / bench</t>
        </is>
      </c>
      <c r="H511" s="5" t="inlineStr">
        <is>
          <t>Low</t>
        </is>
      </c>
      <c r="I511" s="5" t="n">
        <v>1</v>
      </c>
      <c r="J511" s="5" t="n"/>
      <c r="K511" s="10">
        <f>IFERROR(IF(INDEX('Test catalog'!$F$2:$F$200,MATCH($AB511,'Test catalog'!$A$2:$A$200,0))="","",INDEX('Test catalog'!$F$2:$F$200,MATCH($AB511,'Test catalog'!$A$2:$A$200,0))),"")</f>
        <v/>
      </c>
      <c r="L511" s="10">
        <f>IFERROR(IF(INDEX('Test catalog'!$G$2:$G$200,MATCH($AB511,'Test catalog'!$A$2:$A$200,0))="","",INDEX('Test catalog'!$G$2:$G$200,MATCH($AB511,'Test catalog'!$A$2:$A$200,0))),"")</f>
        <v/>
      </c>
      <c r="M511" s="10">
        <f>IFERROR(IF(INDEX('Test catalog'!$H$2:$H$200,MATCH($AB511,'Test catalog'!$A$2:$A$200,0))="","",INDEX('Test catalog'!$H$2:$H$200,MATCH($AB511,'Test catalog'!$A$2:$A$200,0))),"")</f>
        <v/>
      </c>
      <c r="N511" s="10">
        <f>IFERROR(IF(INDEX('Test catalog'!$I$2:$I$200,MATCH($AB511,'Test catalog'!$A$2:$A$200,0))="","",INDEX('Test catalog'!$I$2:$I$200,MATCH($AB511,'Test catalog'!$A$2:$A$200,0))),"")</f>
        <v/>
      </c>
      <c r="O511" s="10">
        <f>IFERROR(IF(INDEX('Test catalog'!$J$2:$J$200,MATCH($AB511,'Test catalog'!$A$2:$A$200,0))="","",INDEX('Test catalog'!$J$2:$J$200,MATCH($AB511,'Test catalog'!$A$2:$A$200,0))),"")</f>
        <v/>
      </c>
      <c r="P511" s="14">
        <f>IF(N511="","",IF(OR(M511="",O511=""),N511,(M511+4*N511+O511)/6))</f>
        <v/>
      </c>
      <c r="Q511" s="10">
        <f>IFERROR(IF(INDEX('Test catalog'!$K$2:$K$200,MATCH($AB511,'Test catalog'!$A$2:$A$200,0))="","",INDEX('Test catalog'!$K$2:$K$200,MATCH($AB511,'Test catalog'!$A$2:$A$200,0))),"")</f>
        <v/>
      </c>
      <c r="R511" s="5" t="n"/>
      <c r="S511" s="10">
        <f>IFERROR(IF(INDEX('Test catalog'!$L$2:$L$200,MATCH($AB511,'Test catalog'!$A$2:$A$200,0))="","",INDEX('Test catalog'!$L$2:$L$200,MATCH($AB511,'Test catalog'!$A$2:$A$200,0))),"")</f>
        <v/>
      </c>
      <c r="T511" s="10">
        <f>IFERROR(IF(INDEX('Test catalog'!$M$2:$M$200,MATCH($AB511,'Test catalog'!$A$2:$A$200,0))="","",INDEX('Test catalog'!$M$2:$M$200,MATCH($AB511,'Test catalog'!$A$2:$A$200,0))),"")</f>
        <v/>
      </c>
      <c r="U511" s="10">
        <f>IFERROR(IF(INDEX('Test catalog'!$N$2:$N$200,MATCH($AB511,'Test catalog'!$A$2:$A$200,0))="","",INDEX('Test catalog'!$N$2:$N$200,MATCH($AB511,'Test catalog'!$A$2:$A$200,0))),"")</f>
        <v/>
      </c>
      <c r="V511" s="15" t="n"/>
      <c r="W511" s="5" t="inlineStr">
        <is>
          <t>N</t>
        </is>
      </c>
      <c r="X511" s="5" t="n"/>
      <c r="Y511" s="5" t="n"/>
      <c r="Z511" s="5" t="n"/>
      <c r="AA511" s="10">
        <f>IFERROR(IF(INDEX('Test catalog'!$O$2:$O$200,MATCH($AB511,'Test catalog'!$A$2:$A$200,0))="","",INDEX('Test catalog'!$O$2:$O$200,MATCH($AB511,'Test catalog'!$A$2:$A$200,0))),"")</f>
        <v/>
      </c>
      <c r="AB511" s="10" t="inlineStr">
        <is>
          <t>ROI</t>
        </is>
      </c>
      <c r="AC511" s="10" t="inlineStr">
        <is>
          <t>Ubidecarenone · Impurities &lt;281&gt;</t>
        </is>
      </c>
      <c r="AD511" s="10" t="n"/>
      <c r="AE511" s="10" t="n"/>
    </row>
    <row r="512">
      <c r="A512" s="10" t="inlineStr">
        <is>
          <t>Ubidecarenone (Co-Q10)</t>
        </is>
      </c>
      <c r="B512" s="10" t="inlineStr">
        <is>
          <t>RM</t>
        </is>
      </c>
      <c r="C512" s="10" t="inlineStr">
        <is>
          <t>Active</t>
        </is>
      </c>
      <c r="D512" s="10" t="inlineStr">
        <is>
          <t>Chromatographic Purity (HPLC)</t>
        </is>
      </c>
      <c r="E512" s="10">
        <f>IF(A512="","",A512&amp;"|"&amp;D512)</f>
        <v/>
      </c>
      <c r="F512" s="5" t="inlineStr">
        <is>
          <t>Y</t>
        </is>
      </c>
      <c r="G512" s="5" t="inlineStr">
        <is>
          <t>HPLC</t>
        </is>
      </c>
      <c r="H512" s="5" t="inlineStr">
        <is>
          <t>Medium</t>
        </is>
      </c>
      <c r="I512" s="5" t="n">
        <v>1</v>
      </c>
      <c r="J512" s="5" t="n"/>
      <c r="K512" s="5" t="n"/>
      <c r="L512" s="5" t="n"/>
      <c r="M512" s="5" t="n"/>
      <c r="N512" s="5" t="n"/>
      <c r="O512" s="5" t="n"/>
      <c r="P512" s="14">
        <f>IF(N512="","",IF(OR(M512="",O512=""),N512,(M512+4*N512+O512)/6))</f>
        <v/>
      </c>
      <c r="Q512" s="5" t="n"/>
      <c r="R512" s="5" t="n"/>
      <c r="S512" s="5" t="n"/>
      <c r="T512" s="5" t="n"/>
      <c r="U512" s="5" t="n"/>
      <c r="V512" s="15" t="n"/>
      <c r="W512" s="5" t="inlineStr">
        <is>
          <t>N</t>
        </is>
      </c>
      <c r="X512" s="5" t="n"/>
      <c r="Y512" s="5" t="n"/>
      <c r="Z512" s="5" t="n"/>
      <c r="AA512" s="5" t="n"/>
      <c r="AB512" s="10" t="n"/>
      <c r="AC512" s="10" t="inlineStr">
        <is>
          <t>Ubidecarenone · Impurities</t>
        </is>
      </c>
      <c r="AD512" s="10" t="n"/>
      <c r="AE512" s="10" t="n"/>
    </row>
    <row r="513">
      <c r="A513" s="10" t="inlineStr">
        <is>
          <t>Ubidecarenone (Co-Q10)</t>
        </is>
      </c>
      <c r="B513" s="10" t="inlineStr">
        <is>
          <t>RM</t>
        </is>
      </c>
      <c r="C513" s="10" t="inlineStr">
        <is>
          <t>Active</t>
        </is>
      </c>
      <c r="D513" s="10" t="inlineStr">
        <is>
          <t>Water Determination, Method I</t>
        </is>
      </c>
      <c r="E513" s="10">
        <f>IF(A513="","",A513&amp;"|"&amp;D513)</f>
        <v/>
      </c>
      <c r="F513" s="5" t="inlineStr">
        <is>
          <t>Y</t>
        </is>
      </c>
      <c r="G513" s="5" t="inlineStr">
        <is>
          <t>KF titrator</t>
        </is>
      </c>
      <c r="H513" s="5" t="inlineStr">
        <is>
          <t>Low</t>
        </is>
      </c>
      <c r="I513" s="5" t="n">
        <v>1</v>
      </c>
      <c r="J513" s="5" t="n"/>
      <c r="K513" s="10">
        <f>IFERROR(IF(INDEX('Test catalog'!$F$2:$F$200,MATCH($AB513,'Test catalog'!$A$2:$A$200,0))="","",INDEX('Test catalog'!$F$2:$F$200,MATCH($AB513,'Test catalog'!$A$2:$A$200,0))),"")</f>
        <v/>
      </c>
      <c r="L513" s="10">
        <f>IFERROR(IF(INDEX('Test catalog'!$G$2:$G$200,MATCH($AB513,'Test catalog'!$A$2:$A$200,0))="","",INDEX('Test catalog'!$G$2:$G$200,MATCH($AB513,'Test catalog'!$A$2:$A$200,0))),"")</f>
        <v/>
      </c>
      <c r="M513" s="10">
        <f>IFERROR(IF(INDEX('Test catalog'!$H$2:$H$200,MATCH($AB513,'Test catalog'!$A$2:$A$200,0))="","",INDEX('Test catalog'!$H$2:$H$200,MATCH($AB513,'Test catalog'!$A$2:$A$200,0))),"")</f>
        <v/>
      </c>
      <c r="N513" s="10">
        <f>IFERROR(IF(INDEX('Test catalog'!$I$2:$I$200,MATCH($AB513,'Test catalog'!$A$2:$A$200,0))="","",INDEX('Test catalog'!$I$2:$I$200,MATCH($AB513,'Test catalog'!$A$2:$A$200,0))),"")</f>
        <v/>
      </c>
      <c r="O513" s="10">
        <f>IFERROR(IF(INDEX('Test catalog'!$J$2:$J$200,MATCH($AB513,'Test catalog'!$A$2:$A$200,0))="","",INDEX('Test catalog'!$J$2:$J$200,MATCH($AB513,'Test catalog'!$A$2:$A$200,0))),"")</f>
        <v/>
      </c>
      <c r="P513" s="14">
        <f>IF(N513="","",IF(OR(M513="",O513=""),N513,(M513+4*N513+O513)/6))</f>
        <v/>
      </c>
      <c r="Q513" s="10">
        <f>IFERROR(IF(INDEX('Test catalog'!$K$2:$K$200,MATCH($AB513,'Test catalog'!$A$2:$A$200,0))="","",INDEX('Test catalog'!$K$2:$K$200,MATCH($AB513,'Test catalog'!$A$2:$A$200,0))),"")</f>
        <v/>
      </c>
      <c r="R513" s="5" t="n"/>
      <c r="S513" s="10">
        <f>IFERROR(IF(INDEX('Test catalog'!$L$2:$L$200,MATCH($AB513,'Test catalog'!$A$2:$A$200,0))="","",INDEX('Test catalog'!$L$2:$L$200,MATCH($AB513,'Test catalog'!$A$2:$A$200,0))),"")</f>
        <v/>
      </c>
      <c r="T513" s="10">
        <f>IFERROR(IF(INDEX('Test catalog'!$M$2:$M$200,MATCH($AB513,'Test catalog'!$A$2:$A$200,0))="","",INDEX('Test catalog'!$M$2:$M$200,MATCH($AB513,'Test catalog'!$A$2:$A$200,0))),"")</f>
        <v/>
      </c>
      <c r="U513" s="10">
        <f>IFERROR(IF(INDEX('Test catalog'!$N$2:$N$200,MATCH($AB513,'Test catalog'!$A$2:$A$200,0))="","",INDEX('Test catalog'!$N$2:$N$200,MATCH($AB513,'Test catalog'!$A$2:$A$200,0))),"")</f>
        <v/>
      </c>
      <c r="V513" s="15" t="n"/>
      <c r="W513" s="5" t="inlineStr">
        <is>
          <t>N</t>
        </is>
      </c>
      <c r="X513" s="5" t="n"/>
      <c r="Y513" s="5" t="n"/>
      <c r="Z513" s="5" t="n"/>
      <c r="AA513" s="10">
        <f>IFERROR(IF(INDEX('Test catalog'!$O$2:$O$200,MATCH($AB513,'Test catalog'!$A$2:$A$200,0))="","",INDEX('Test catalog'!$O$2:$O$200,MATCH($AB513,'Test catalog'!$A$2:$A$200,0))),"")</f>
        <v/>
      </c>
      <c r="AB513" s="10" t="inlineStr">
        <is>
          <t>KF</t>
        </is>
      </c>
      <c r="AC513" s="10" t="inlineStr">
        <is>
          <t>Ubidecarenone · Specific Tests &lt;921&gt;</t>
        </is>
      </c>
      <c r="AD513" s="10" t="n"/>
      <c r="AE513" s="10" t="n"/>
    </row>
    <row r="514">
      <c r="A514" s="10" t="inlineStr">
        <is>
          <t>Vitamin D3</t>
        </is>
      </c>
      <c r="B514" s="10" t="inlineStr">
        <is>
          <t>RM</t>
        </is>
      </c>
      <c r="C514" s="10" t="inlineStr">
        <is>
          <t>Active</t>
        </is>
      </c>
      <c r="D514" s="10" t="inlineStr">
        <is>
          <t>Appearance / description and solubility</t>
        </is>
      </c>
      <c r="E514" s="10">
        <f>IF(A514="","",A514&amp;"|"&amp;D514)</f>
        <v/>
      </c>
      <c r="F514" s="5" t="inlineStr">
        <is>
          <t>Y</t>
        </is>
      </c>
      <c r="G514" s="5" t="inlineStr">
        <is>
          <t>Other / bench</t>
        </is>
      </c>
      <c r="H514" s="5" t="inlineStr">
        <is>
          <t>Low</t>
        </is>
      </c>
      <c r="I514" s="5" t="n">
        <v>1</v>
      </c>
      <c r="J514" s="5" t="n"/>
      <c r="K514" s="10">
        <f>IFERROR(IF(INDEX('Test catalog'!$F$2:$F$200,MATCH($AB514,'Test catalog'!$A$2:$A$200,0))="","",INDEX('Test catalog'!$F$2:$F$200,MATCH($AB514,'Test catalog'!$A$2:$A$200,0))),"")</f>
        <v/>
      </c>
      <c r="L514" s="10">
        <f>IFERROR(IF(INDEX('Test catalog'!$G$2:$G$200,MATCH($AB514,'Test catalog'!$A$2:$A$200,0))="","",INDEX('Test catalog'!$G$2:$G$200,MATCH($AB514,'Test catalog'!$A$2:$A$200,0))),"")</f>
        <v/>
      </c>
      <c r="M514" s="10">
        <f>IFERROR(IF(INDEX('Test catalog'!$H$2:$H$200,MATCH($AB514,'Test catalog'!$A$2:$A$200,0))="","",INDEX('Test catalog'!$H$2:$H$200,MATCH($AB514,'Test catalog'!$A$2:$A$200,0))),"")</f>
        <v/>
      </c>
      <c r="N514" s="10">
        <f>IFERROR(IF(INDEX('Test catalog'!$I$2:$I$200,MATCH($AB514,'Test catalog'!$A$2:$A$200,0))="","",INDEX('Test catalog'!$I$2:$I$200,MATCH($AB514,'Test catalog'!$A$2:$A$200,0))),"")</f>
        <v/>
      </c>
      <c r="O514" s="10">
        <f>IFERROR(IF(INDEX('Test catalog'!$J$2:$J$200,MATCH($AB514,'Test catalog'!$A$2:$A$200,0))="","",INDEX('Test catalog'!$J$2:$J$200,MATCH($AB514,'Test catalog'!$A$2:$A$200,0))),"")</f>
        <v/>
      </c>
      <c r="P514" s="14">
        <f>IF(N514="","",IF(OR(M514="",O514=""),N514,(M514+4*N514+O514)/6))</f>
        <v/>
      </c>
      <c r="Q514" s="10">
        <f>IFERROR(IF(INDEX('Test catalog'!$K$2:$K$200,MATCH($AB514,'Test catalog'!$A$2:$A$200,0))="","",INDEX('Test catalog'!$K$2:$K$200,MATCH($AB514,'Test catalog'!$A$2:$A$200,0))),"")</f>
        <v/>
      </c>
      <c r="R514" s="5" t="n"/>
      <c r="S514" s="10">
        <f>IFERROR(IF(INDEX('Test catalog'!$L$2:$L$200,MATCH($AB514,'Test catalog'!$A$2:$A$200,0))="","",INDEX('Test catalog'!$L$2:$L$200,MATCH($AB514,'Test catalog'!$A$2:$A$200,0))),"")</f>
        <v/>
      </c>
      <c r="T514" s="10">
        <f>IFERROR(IF(INDEX('Test catalog'!$M$2:$M$200,MATCH($AB514,'Test catalog'!$A$2:$A$200,0))="","",INDEX('Test catalog'!$M$2:$M$200,MATCH($AB514,'Test catalog'!$A$2:$A$200,0))),"")</f>
        <v/>
      </c>
      <c r="U514" s="10">
        <f>IFERROR(IF(INDEX('Test catalog'!$N$2:$N$200,MATCH($AB514,'Test catalog'!$A$2:$A$200,0))="","",INDEX('Test catalog'!$N$2:$N$200,MATCH($AB514,'Test catalog'!$A$2:$A$200,0))),"")</f>
        <v/>
      </c>
      <c r="V514" s="15" t="n"/>
      <c r="W514" s="5" t="inlineStr">
        <is>
          <t>N</t>
        </is>
      </c>
      <c r="X514" s="5" t="n"/>
      <c r="Y514" s="5" t="n"/>
      <c r="Z514" s="5" t="n"/>
      <c r="AA514" s="10">
        <f>IFERROR(IF(INDEX('Test catalog'!$O$2:$O$200,MATCH($AB514,'Test catalog'!$A$2:$A$200,0))="","",INDEX('Test catalog'!$O$2:$O$200,MATCH($AB514,'Test catalog'!$A$2:$A$200,0))),"")</f>
        <v/>
      </c>
      <c r="AB514" s="10" t="inlineStr">
        <is>
          <t>APPEAR</t>
        </is>
      </c>
      <c r="AC514" s="10" t="inlineStr">
        <is>
          <t>Lab practice (not a USP test)</t>
        </is>
      </c>
      <c r="AD514" s="10" t="n"/>
      <c r="AE514" s="10" t="n"/>
    </row>
    <row r="515">
      <c r="A515" s="10" t="inlineStr">
        <is>
          <t>Vitamin D3</t>
        </is>
      </c>
      <c r="B515" s="10" t="inlineStr">
        <is>
          <t>RM</t>
        </is>
      </c>
      <c r="C515" s="10" t="inlineStr">
        <is>
          <t>Active</t>
        </is>
      </c>
      <c r="D515" s="10" t="inlineStr">
        <is>
          <t>ID A - IR spectrum</t>
        </is>
      </c>
      <c r="E515" s="10">
        <f>IF(A515="","",A515&amp;"|"&amp;D515)</f>
        <v/>
      </c>
      <c r="F515" s="5" t="inlineStr">
        <is>
          <t>Y</t>
        </is>
      </c>
      <c r="G515" s="5" t="inlineStr">
        <is>
          <t>Other / bench</t>
        </is>
      </c>
      <c r="H515" s="5" t="inlineStr">
        <is>
          <t>Low</t>
        </is>
      </c>
      <c r="I515" s="5" t="n">
        <v>1</v>
      </c>
      <c r="J515" s="5" t="n"/>
      <c r="K515" s="10">
        <f>IFERROR(IF(INDEX('Test catalog'!$F$2:$F$200,MATCH($AB515,'Test catalog'!$A$2:$A$200,0))="","",INDEX('Test catalog'!$F$2:$F$200,MATCH($AB515,'Test catalog'!$A$2:$A$200,0))),"")</f>
        <v/>
      </c>
      <c r="L515" s="10">
        <f>IFERROR(IF(INDEX('Test catalog'!$G$2:$G$200,MATCH($AB515,'Test catalog'!$A$2:$A$200,0))="","",INDEX('Test catalog'!$G$2:$G$200,MATCH($AB515,'Test catalog'!$A$2:$A$200,0))),"")</f>
        <v/>
      </c>
      <c r="M515" s="10">
        <f>IFERROR(IF(INDEX('Test catalog'!$H$2:$H$200,MATCH($AB515,'Test catalog'!$A$2:$A$200,0))="","",INDEX('Test catalog'!$H$2:$H$200,MATCH($AB515,'Test catalog'!$A$2:$A$200,0))),"")</f>
        <v/>
      </c>
      <c r="N515" s="10">
        <f>IFERROR(IF(INDEX('Test catalog'!$I$2:$I$200,MATCH($AB515,'Test catalog'!$A$2:$A$200,0))="","",INDEX('Test catalog'!$I$2:$I$200,MATCH($AB515,'Test catalog'!$A$2:$A$200,0))),"")</f>
        <v/>
      </c>
      <c r="O515" s="10">
        <f>IFERROR(IF(INDEX('Test catalog'!$J$2:$J$200,MATCH($AB515,'Test catalog'!$A$2:$A$200,0))="","",INDEX('Test catalog'!$J$2:$J$200,MATCH($AB515,'Test catalog'!$A$2:$A$200,0))),"")</f>
        <v/>
      </c>
      <c r="P515" s="14">
        <f>IF(N515="","",IF(OR(M515="",O515=""),N515,(M515+4*N515+O515)/6))</f>
        <v/>
      </c>
      <c r="Q515" s="10">
        <f>IFERROR(IF(INDEX('Test catalog'!$K$2:$K$200,MATCH($AB515,'Test catalog'!$A$2:$A$200,0))="","",INDEX('Test catalog'!$K$2:$K$200,MATCH($AB515,'Test catalog'!$A$2:$A$200,0))),"")</f>
        <v/>
      </c>
      <c r="R515" s="5" t="n"/>
      <c r="S515" s="10">
        <f>IFERROR(IF(INDEX('Test catalog'!$L$2:$L$200,MATCH($AB515,'Test catalog'!$A$2:$A$200,0))="","",INDEX('Test catalog'!$L$2:$L$200,MATCH($AB515,'Test catalog'!$A$2:$A$200,0))),"")</f>
        <v/>
      </c>
      <c r="T515" s="10">
        <f>IFERROR(IF(INDEX('Test catalog'!$M$2:$M$200,MATCH($AB515,'Test catalog'!$A$2:$A$200,0))="","",INDEX('Test catalog'!$M$2:$M$200,MATCH($AB515,'Test catalog'!$A$2:$A$200,0))),"")</f>
        <v/>
      </c>
      <c r="U515" s="10">
        <f>IFERROR(IF(INDEX('Test catalog'!$N$2:$N$200,MATCH($AB515,'Test catalog'!$A$2:$A$200,0))="","",INDEX('Test catalog'!$N$2:$N$200,MATCH($AB515,'Test catalog'!$A$2:$A$200,0))),"")</f>
        <v/>
      </c>
      <c r="V515" s="15" t="n"/>
      <c r="W515" s="5" t="inlineStr">
        <is>
          <t>N</t>
        </is>
      </c>
      <c r="X515" s="5" t="n"/>
      <c r="Y515" s="5" t="n"/>
      <c r="Z515" s="5" t="n"/>
      <c r="AA515" s="10">
        <f>IFERROR(IF(INDEX('Test catalog'!$O$2:$O$200,MATCH($AB515,'Test catalog'!$A$2:$A$200,0))="","",INDEX('Test catalog'!$O$2:$O$200,MATCH($AB515,'Test catalog'!$A$2:$A$200,0))),"")</f>
        <v/>
      </c>
      <c r="AB515" s="10" t="inlineStr">
        <is>
          <t>ID_IR</t>
        </is>
      </c>
      <c r="AC515" s="10" t="inlineStr">
        <is>
          <t>Cholecalciferol · Identification &lt;197&gt;</t>
        </is>
      </c>
      <c r="AD515" s="10" t="n"/>
      <c r="AE515" s="10" t="n"/>
    </row>
    <row r="516">
      <c r="A516" s="10" t="inlineStr">
        <is>
          <t>Vitamin D3</t>
        </is>
      </c>
      <c r="B516" s="10" t="inlineStr">
        <is>
          <t>RM</t>
        </is>
      </c>
      <c r="C516" s="10" t="inlineStr">
        <is>
          <t>Active</t>
        </is>
      </c>
      <c r="D516" s="10" t="inlineStr">
        <is>
          <t>ID B - IR spectrum</t>
        </is>
      </c>
      <c r="E516" s="10">
        <f>IF(A516="","",A516&amp;"|"&amp;D516)</f>
        <v/>
      </c>
      <c r="F516" s="5" t="inlineStr">
        <is>
          <t>Y</t>
        </is>
      </c>
      <c r="G516" s="5" t="inlineStr">
        <is>
          <t>Other / bench</t>
        </is>
      </c>
      <c r="H516" s="5" t="inlineStr">
        <is>
          <t>Low</t>
        </is>
      </c>
      <c r="I516" s="5" t="n">
        <v>1</v>
      </c>
      <c r="J516" s="5" t="n"/>
      <c r="K516" s="10">
        <f>IFERROR(IF(INDEX('Test catalog'!$F$2:$F$200,MATCH($AB516,'Test catalog'!$A$2:$A$200,0))="","",INDEX('Test catalog'!$F$2:$F$200,MATCH($AB516,'Test catalog'!$A$2:$A$200,0))),"")</f>
        <v/>
      </c>
      <c r="L516" s="10">
        <f>IFERROR(IF(INDEX('Test catalog'!$G$2:$G$200,MATCH($AB516,'Test catalog'!$A$2:$A$200,0))="","",INDEX('Test catalog'!$G$2:$G$200,MATCH($AB516,'Test catalog'!$A$2:$A$200,0))),"")</f>
        <v/>
      </c>
      <c r="M516" s="10">
        <f>IFERROR(IF(INDEX('Test catalog'!$H$2:$H$200,MATCH($AB516,'Test catalog'!$A$2:$A$200,0))="","",INDEX('Test catalog'!$H$2:$H$200,MATCH($AB516,'Test catalog'!$A$2:$A$200,0))),"")</f>
        <v/>
      </c>
      <c r="N516" s="10">
        <f>IFERROR(IF(INDEX('Test catalog'!$I$2:$I$200,MATCH($AB516,'Test catalog'!$A$2:$A$200,0))="","",INDEX('Test catalog'!$I$2:$I$200,MATCH($AB516,'Test catalog'!$A$2:$A$200,0))),"")</f>
        <v/>
      </c>
      <c r="O516" s="10">
        <f>IFERROR(IF(INDEX('Test catalog'!$J$2:$J$200,MATCH($AB516,'Test catalog'!$A$2:$A$200,0))="","",INDEX('Test catalog'!$J$2:$J$200,MATCH($AB516,'Test catalog'!$A$2:$A$200,0))),"")</f>
        <v/>
      </c>
      <c r="P516" s="14">
        <f>IF(N516="","",IF(OR(M516="",O516=""),N516,(M516+4*N516+O516)/6))</f>
        <v/>
      </c>
      <c r="Q516" s="10">
        <f>IFERROR(IF(INDEX('Test catalog'!$K$2:$K$200,MATCH($AB516,'Test catalog'!$A$2:$A$200,0))="","",INDEX('Test catalog'!$K$2:$K$200,MATCH($AB516,'Test catalog'!$A$2:$A$200,0))),"")</f>
        <v/>
      </c>
      <c r="R516" s="5" t="n"/>
      <c r="S516" s="10">
        <f>IFERROR(IF(INDEX('Test catalog'!$L$2:$L$200,MATCH($AB516,'Test catalog'!$A$2:$A$200,0))="","",INDEX('Test catalog'!$L$2:$L$200,MATCH($AB516,'Test catalog'!$A$2:$A$200,0))),"")</f>
        <v/>
      </c>
      <c r="T516" s="10">
        <f>IFERROR(IF(INDEX('Test catalog'!$M$2:$M$200,MATCH($AB516,'Test catalog'!$A$2:$A$200,0))="","",INDEX('Test catalog'!$M$2:$M$200,MATCH($AB516,'Test catalog'!$A$2:$A$200,0))),"")</f>
        <v/>
      </c>
      <c r="U516" s="10">
        <f>IFERROR(IF(INDEX('Test catalog'!$N$2:$N$200,MATCH($AB516,'Test catalog'!$A$2:$A$200,0))="","",INDEX('Test catalog'!$N$2:$N$200,MATCH($AB516,'Test catalog'!$A$2:$A$200,0))),"")</f>
        <v/>
      </c>
      <c r="V516" s="15" t="n"/>
      <c r="W516" s="5" t="inlineStr">
        <is>
          <t>N</t>
        </is>
      </c>
      <c r="X516" s="5" t="n"/>
      <c r="Y516" s="5" t="n"/>
      <c r="Z516" s="5" t="n"/>
      <c r="AA516" s="10">
        <f>IFERROR(IF(INDEX('Test catalog'!$O$2:$O$200,MATCH($AB516,'Test catalog'!$A$2:$A$200,0))="","",INDEX('Test catalog'!$O$2:$O$200,MATCH($AB516,'Test catalog'!$A$2:$A$200,0))),"")</f>
        <v/>
      </c>
      <c r="AB516" s="10" t="inlineStr">
        <is>
          <t>ID_IR</t>
        </is>
      </c>
      <c r="AC516" s="10" t="inlineStr">
        <is>
          <t>Cholecalciferol · Identification &lt;197&gt;</t>
        </is>
      </c>
      <c r="AD516" s="10" t="n"/>
      <c r="AE516" s="10" t="n"/>
    </row>
    <row r="517">
      <c r="A517" s="10" t="inlineStr">
        <is>
          <t>Vitamin D3</t>
        </is>
      </c>
      <c r="B517" s="10" t="inlineStr">
        <is>
          <t>RM</t>
        </is>
      </c>
      <c r="C517" s="10" t="inlineStr">
        <is>
          <t>Active</t>
        </is>
      </c>
      <c r="D517" s="10" t="inlineStr">
        <is>
          <t>Assay (HPLC)</t>
        </is>
      </c>
      <c r="E517" s="10">
        <f>IF(A517="","",A517&amp;"|"&amp;D517)</f>
        <v/>
      </c>
      <c r="F517" s="5" t="inlineStr">
        <is>
          <t>Y</t>
        </is>
      </c>
      <c r="G517" s="5" t="inlineStr">
        <is>
          <t>HPLC</t>
        </is>
      </c>
      <c r="H517" s="5" t="inlineStr">
        <is>
          <t>Medium</t>
        </is>
      </c>
      <c r="I517" s="5" t="n">
        <v>1</v>
      </c>
      <c r="J517" s="5" t="n"/>
      <c r="K517" s="5" t="n"/>
      <c r="L517" s="5" t="n"/>
      <c r="M517" s="5" t="n"/>
      <c r="N517" s="5" t="n"/>
      <c r="O517" s="5" t="n"/>
      <c r="P517" s="14">
        <f>IF(N517="","",IF(OR(M517="",O517=""),N517,(M517+4*N517+O517)/6))</f>
        <v/>
      </c>
      <c r="Q517" s="5" t="n"/>
      <c r="R517" s="5" t="n"/>
      <c r="S517" s="5" t="n"/>
      <c r="T517" s="5" t="n"/>
      <c r="U517" s="5" t="n"/>
      <c r="V517" s="15" t="n"/>
      <c r="W517" s="5" t="inlineStr">
        <is>
          <t>N</t>
        </is>
      </c>
      <c r="X517" s="5" t="n"/>
      <c r="Y517" s="5" t="n"/>
      <c r="Z517" s="5" t="n"/>
      <c r="AA517" s="5" t="n"/>
      <c r="AB517" s="10" t="n"/>
      <c r="AC517" s="10" t="inlineStr">
        <is>
          <t>Cholecalciferol · Assay</t>
        </is>
      </c>
      <c r="AD517" s="10" t="n"/>
      <c r="AE517" s="10" t="n"/>
    </row>
    <row r="518">
      <c r="A518" s="10" t="inlineStr">
        <is>
          <t>Vitamin D3</t>
        </is>
      </c>
      <c r="B518" s="10" t="inlineStr">
        <is>
          <t>RM</t>
        </is>
      </c>
      <c r="C518" s="10" t="inlineStr">
        <is>
          <t>Active</t>
        </is>
      </c>
      <c r="D518" s="10" t="inlineStr">
        <is>
          <t>Optical Rotation</t>
        </is>
      </c>
      <c r="E518" s="10">
        <f>IF(A518="","",A518&amp;"|"&amp;D518)</f>
        <v/>
      </c>
      <c r="F518" s="5" t="inlineStr">
        <is>
          <t>Y</t>
        </is>
      </c>
      <c r="G518" s="5" t="inlineStr">
        <is>
          <t>Other / bench</t>
        </is>
      </c>
      <c r="H518" s="5" t="inlineStr">
        <is>
          <t>Low</t>
        </is>
      </c>
      <c r="I518" s="5" t="n">
        <v>1</v>
      </c>
      <c r="J518" s="5" t="n"/>
      <c r="K518" s="10">
        <f>IFERROR(IF(INDEX('Test catalog'!$F$2:$F$200,MATCH($AB518,'Test catalog'!$A$2:$A$200,0))="","",INDEX('Test catalog'!$F$2:$F$200,MATCH($AB518,'Test catalog'!$A$2:$A$200,0))),"")</f>
        <v/>
      </c>
      <c r="L518" s="10">
        <f>IFERROR(IF(INDEX('Test catalog'!$G$2:$G$200,MATCH($AB518,'Test catalog'!$A$2:$A$200,0))="","",INDEX('Test catalog'!$G$2:$G$200,MATCH($AB518,'Test catalog'!$A$2:$A$200,0))),"")</f>
        <v/>
      </c>
      <c r="M518" s="10">
        <f>IFERROR(IF(INDEX('Test catalog'!$H$2:$H$200,MATCH($AB518,'Test catalog'!$A$2:$A$200,0))="","",INDEX('Test catalog'!$H$2:$H$200,MATCH($AB518,'Test catalog'!$A$2:$A$200,0))),"")</f>
        <v/>
      </c>
      <c r="N518" s="10">
        <f>IFERROR(IF(INDEX('Test catalog'!$I$2:$I$200,MATCH($AB518,'Test catalog'!$A$2:$A$200,0))="","",INDEX('Test catalog'!$I$2:$I$200,MATCH($AB518,'Test catalog'!$A$2:$A$200,0))),"")</f>
        <v/>
      </c>
      <c r="O518" s="10">
        <f>IFERROR(IF(INDEX('Test catalog'!$J$2:$J$200,MATCH($AB518,'Test catalog'!$A$2:$A$200,0))="","",INDEX('Test catalog'!$J$2:$J$200,MATCH($AB518,'Test catalog'!$A$2:$A$200,0))),"")</f>
        <v/>
      </c>
      <c r="P518" s="14">
        <f>IF(N518="","",IF(OR(M518="",O518=""),N518,(M518+4*N518+O518)/6))</f>
        <v/>
      </c>
      <c r="Q518" s="10">
        <f>IFERROR(IF(INDEX('Test catalog'!$K$2:$K$200,MATCH($AB518,'Test catalog'!$A$2:$A$200,0))="","",INDEX('Test catalog'!$K$2:$K$200,MATCH($AB518,'Test catalog'!$A$2:$A$200,0))),"")</f>
        <v/>
      </c>
      <c r="R518" s="5" t="n"/>
      <c r="S518" s="10">
        <f>IFERROR(IF(INDEX('Test catalog'!$L$2:$L$200,MATCH($AB518,'Test catalog'!$A$2:$A$200,0))="","",INDEX('Test catalog'!$L$2:$L$200,MATCH($AB518,'Test catalog'!$A$2:$A$200,0))),"")</f>
        <v/>
      </c>
      <c r="T518" s="10">
        <f>IFERROR(IF(INDEX('Test catalog'!$M$2:$M$200,MATCH($AB518,'Test catalog'!$A$2:$A$200,0))="","",INDEX('Test catalog'!$M$2:$M$200,MATCH($AB518,'Test catalog'!$A$2:$A$200,0))),"")</f>
        <v/>
      </c>
      <c r="U518" s="10">
        <f>IFERROR(IF(INDEX('Test catalog'!$N$2:$N$200,MATCH($AB518,'Test catalog'!$A$2:$A$200,0))="","",INDEX('Test catalog'!$N$2:$N$200,MATCH($AB518,'Test catalog'!$A$2:$A$200,0))),"")</f>
        <v/>
      </c>
      <c r="V518" s="15" t="n"/>
      <c r="W518" s="5" t="inlineStr">
        <is>
          <t>N</t>
        </is>
      </c>
      <c r="X518" s="5" t="n"/>
      <c r="Y518" s="5" t="n"/>
      <c r="Z518" s="5" t="n"/>
      <c r="AA518" s="10">
        <f>IFERROR(IF(INDEX('Test catalog'!$O$2:$O$200,MATCH($AB518,'Test catalog'!$A$2:$A$200,0))="","",INDEX('Test catalog'!$O$2:$O$200,MATCH($AB518,'Test catalog'!$A$2:$A$200,0))),"")</f>
        <v/>
      </c>
      <c r="AB518" s="10" t="inlineStr">
        <is>
          <t>OR</t>
        </is>
      </c>
      <c r="AC518" s="10" t="inlineStr">
        <is>
          <t>Cholecalciferol · Specific Tests &lt;781&gt;</t>
        </is>
      </c>
      <c r="AD518" s="10" t="n"/>
      <c r="AE518" s="10" t="n"/>
    </row>
    <row r="519">
      <c r="A519" s="10" t="inlineStr">
        <is>
          <t>Vitamin K1</t>
        </is>
      </c>
      <c r="B519" s="10" t="inlineStr">
        <is>
          <t>RM</t>
        </is>
      </c>
      <c r="C519" s="10" t="inlineStr">
        <is>
          <t>Active</t>
        </is>
      </c>
      <c r="D519" s="10" t="inlineStr">
        <is>
          <t>Appearance / description and solubility</t>
        </is>
      </c>
      <c r="E519" s="10">
        <f>IF(A519="","",A519&amp;"|"&amp;D519)</f>
        <v/>
      </c>
      <c r="F519" s="5" t="inlineStr">
        <is>
          <t>Y</t>
        </is>
      </c>
      <c r="G519" s="5" t="inlineStr">
        <is>
          <t>Other / bench</t>
        </is>
      </c>
      <c r="H519" s="5" t="inlineStr">
        <is>
          <t>Low</t>
        </is>
      </c>
      <c r="I519" s="5" t="n">
        <v>1</v>
      </c>
      <c r="J519" s="5" t="n"/>
      <c r="K519" s="10">
        <f>IFERROR(IF(INDEX('Test catalog'!$F$2:$F$200,MATCH($AB519,'Test catalog'!$A$2:$A$200,0))="","",INDEX('Test catalog'!$F$2:$F$200,MATCH($AB519,'Test catalog'!$A$2:$A$200,0))),"")</f>
        <v/>
      </c>
      <c r="L519" s="10">
        <f>IFERROR(IF(INDEX('Test catalog'!$G$2:$G$200,MATCH($AB519,'Test catalog'!$A$2:$A$200,0))="","",INDEX('Test catalog'!$G$2:$G$200,MATCH($AB519,'Test catalog'!$A$2:$A$200,0))),"")</f>
        <v/>
      </c>
      <c r="M519" s="10">
        <f>IFERROR(IF(INDEX('Test catalog'!$H$2:$H$200,MATCH($AB519,'Test catalog'!$A$2:$A$200,0))="","",INDEX('Test catalog'!$H$2:$H$200,MATCH($AB519,'Test catalog'!$A$2:$A$200,0))),"")</f>
        <v/>
      </c>
      <c r="N519" s="10">
        <f>IFERROR(IF(INDEX('Test catalog'!$I$2:$I$200,MATCH($AB519,'Test catalog'!$A$2:$A$200,0))="","",INDEX('Test catalog'!$I$2:$I$200,MATCH($AB519,'Test catalog'!$A$2:$A$200,0))),"")</f>
        <v/>
      </c>
      <c r="O519" s="10">
        <f>IFERROR(IF(INDEX('Test catalog'!$J$2:$J$200,MATCH($AB519,'Test catalog'!$A$2:$A$200,0))="","",INDEX('Test catalog'!$J$2:$J$200,MATCH($AB519,'Test catalog'!$A$2:$A$200,0))),"")</f>
        <v/>
      </c>
      <c r="P519" s="14">
        <f>IF(N519="","",IF(OR(M519="",O519=""),N519,(M519+4*N519+O519)/6))</f>
        <v/>
      </c>
      <c r="Q519" s="10">
        <f>IFERROR(IF(INDEX('Test catalog'!$K$2:$K$200,MATCH($AB519,'Test catalog'!$A$2:$A$200,0))="","",INDEX('Test catalog'!$K$2:$K$200,MATCH($AB519,'Test catalog'!$A$2:$A$200,0))),"")</f>
        <v/>
      </c>
      <c r="R519" s="5" t="n"/>
      <c r="S519" s="10">
        <f>IFERROR(IF(INDEX('Test catalog'!$L$2:$L$200,MATCH($AB519,'Test catalog'!$A$2:$A$200,0))="","",INDEX('Test catalog'!$L$2:$L$200,MATCH($AB519,'Test catalog'!$A$2:$A$200,0))),"")</f>
        <v/>
      </c>
      <c r="T519" s="10">
        <f>IFERROR(IF(INDEX('Test catalog'!$M$2:$M$200,MATCH($AB519,'Test catalog'!$A$2:$A$200,0))="","",INDEX('Test catalog'!$M$2:$M$200,MATCH($AB519,'Test catalog'!$A$2:$A$200,0))),"")</f>
        <v/>
      </c>
      <c r="U519" s="10">
        <f>IFERROR(IF(INDEX('Test catalog'!$N$2:$N$200,MATCH($AB519,'Test catalog'!$A$2:$A$200,0))="","",INDEX('Test catalog'!$N$2:$N$200,MATCH($AB519,'Test catalog'!$A$2:$A$200,0))),"")</f>
        <v/>
      </c>
      <c r="V519" s="15" t="n"/>
      <c r="W519" s="5" t="inlineStr">
        <is>
          <t>N</t>
        </is>
      </c>
      <c r="X519" s="5" t="n"/>
      <c r="Y519" s="5" t="n"/>
      <c r="Z519" s="5" t="n"/>
      <c r="AA519" s="10">
        <f>IFERROR(IF(INDEX('Test catalog'!$O$2:$O$200,MATCH($AB519,'Test catalog'!$A$2:$A$200,0))="","",INDEX('Test catalog'!$O$2:$O$200,MATCH($AB519,'Test catalog'!$A$2:$A$200,0))),"")</f>
        <v/>
      </c>
      <c r="AB519" s="10" t="inlineStr">
        <is>
          <t>APPEAR</t>
        </is>
      </c>
      <c r="AC519" s="10" t="inlineStr">
        <is>
          <t>Lab practice (not a USP test)</t>
        </is>
      </c>
      <c r="AD519" s="10" t="n"/>
      <c r="AE519" s="10" t="n"/>
    </row>
    <row r="520">
      <c r="A520" s="10" t="inlineStr">
        <is>
          <t>Vitamin K1</t>
        </is>
      </c>
      <c r="B520" s="10" t="inlineStr">
        <is>
          <t>RM</t>
        </is>
      </c>
      <c r="C520" s="10" t="inlineStr">
        <is>
          <t>Active</t>
        </is>
      </c>
      <c r="D520" s="10" t="inlineStr">
        <is>
          <t>ID A - IR spectrum</t>
        </is>
      </c>
      <c r="E520" s="10">
        <f>IF(A520="","",A520&amp;"|"&amp;D520)</f>
        <v/>
      </c>
      <c r="F520" s="5" t="inlineStr">
        <is>
          <t>Y</t>
        </is>
      </c>
      <c r="G520" s="5" t="inlineStr">
        <is>
          <t>Other / bench</t>
        </is>
      </c>
      <c r="H520" s="5" t="inlineStr">
        <is>
          <t>Low</t>
        </is>
      </c>
      <c r="I520" s="5" t="n">
        <v>1</v>
      </c>
      <c r="J520" s="5" t="n"/>
      <c r="K520" s="10">
        <f>IFERROR(IF(INDEX('Test catalog'!$F$2:$F$200,MATCH($AB520,'Test catalog'!$A$2:$A$200,0))="","",INDEX('Test catalog'!$F$2:$F$200,MATCH($AB520,'Test catalog'!$A$2:$A$200,0))),"")</f>
        <v/>
      </c>
      <c r="L520" s="10">
        <f>IFERROR(IF(INDEX('Test catalog'!$G$2:$G$200,MATCH($AB520,'Test catalog'!$A$2:$A$200,0))="","",INDEX('Test catalog'!$G$2:$G$200,MATCH($AB520,'Test catalog'!$A$2:$A$200,0))),"")</f>
        <v/>
      </c>
      <c r="M520" s="10">
        <f>IFERROR(IF(INDEX('Test catalog'!$H$2:$H$200,MATCH($AB520,'Test catalog'!$A$2:$A$200,0))="","",INDEX('Test catalog'!$H$2:$H$200,MATCH($AB520,'Test catalog'!$A$2:$A$200,0))),"")</f>
        <v/>
      </c>
      <c r="N520" s="10">
        <f>IFERROR(IF(INDEX('Test catalog'!$I$2:$I$200,MATCH($AB520,'Test catalog'!$A$2:$A$200,0))="","",INDEX('Test catalog'!$I$2:$I$200,MATCH($AB520,'Test catalog'!$A$2:$A$200,0))),"")</f>
        <v/>
      </c>
      <c r="O520" s="10">
        <f>IFERROR(IF(INDEX('Test catalog'!$J$2:$J$200,MATCH($AB520,'Test catalog'!$A$2:$A$200,0))="","",INDEX('Test catalog'!$J$2:$J$200,MATCH($AB520,'Test catalog'!$A$2:$A$200,0))),"")</f>
        <v/>
      </c>
      <c r="P520" s="14">
        <f>IF(N520="","",IF(OR(M520="",O520=""),N520,(M520+4*N520+O520)/6))</f>
        <v/>
      </c>
      <c r="Q520" s="10">
        <f>IFERROR(IF(INDEX('Test catalog'!$K$2:$K$200,MATCH($AB520,'Test catalog'!$A$2:$A$200,0))="","",INDEX('Test catalog'!$K$2:$K$200,MATCH($AB520,'Test catalog'!$A$2:$A$200,0))),"")</f>
        <v/>
      </c>
      <c r="R520" s="5" t="n"/>
      <c r="S520" s="10">
        <f>IFERROR(IF(INDEX('Test catalog'!$L$2:$L$200,MATCH($AB520,'Test catalog'!$A$2:$A$200,0))="","",INDEX('Test catalog'!$L$2:$L$200,MATCH($AB520,'Test catalog'!$A$2:$A$200,0))),"")</f>
        <v/>
      </c>
      <c r="T520" s="10">
        <f>IFERROR(IF(INDEX('Test catalog'!$M$2:$M$200,MATCH($AB520,'Test catalog'!$A$2:$A$200,0))="","",INDEX('Test catalog'!$M$2:$M$200,MATCH($AB520,'Test catalog'!$A$2:$A$200,0))),"")</f>
        <v/>
      </c>
      <c r="U520" s="10">
        <f>IFERROR(IF(INDEX('Test catalog'!$N$2:$N$200,MATCH($AB520,'Test catalog'!$A$2:$A$200,0))="","",INDEX('Test catalog'!$N$2:$N$200,MATCH($AB520,'Test catalog'!$A$2:$A$200,0))),"")</f>
        <v/>
      </c>
      <c r="V520" s="15" t="n"/>
      <c r="W520" s="5" t="inlineStr">
        <is>
          <t>N</t>
        </is>
      </c>
      <c r="X520" s="5" t="n"/>
      <c r="Y520" s="5" t="n"/>
      <c r="Z520" s="5" t="n"/>
      <c r="AA520" s="10">
        <f>IFERROR(IF(INDEX('Test catalog'!$O$2:$O$200,MATCH($AB520,'Test catalog'!$A$2:$A$200,0))="","",INDEX('Test catalog'!$O$2:$O$200,MATCH($AB520,'Test catalog'!$A$2:$A$200,0))),"")</f>
        <v/>
      </c>
      <c r="AB520" s="10" t="inlineStr">
        <is>
          <t>ID_IR</t>
        </is>
      </c>
      <c r="AC520" s="10" t="inlineStr">
        <is>
          <t>Phytonadione · Identification &lt;197&gt;</t>
        </is>
      </c>
      <c r="AD520" s="10" t="n"/>
      <c r="AE520" s="10" t="n"/>
    </row>
    <row r="521">
      <c r="A521" s="10" t="inlineStr">
        <is>
          <t>Vitamin K1</t>
        </is>
      </c>
      <c r="B521" s="10" t="inlineStr">
        <is>
          <t>RM</t>
        </is>
      </c>
      <c r="C521" s="10" t="inlineStr">
        <is>
          <t>Active</t>
        </is>
      </c>
      <c r="D521" s="10" t="inlineStr">
        <is>
          <t>ID B - IR spectrum</t>
        </is>
      </c>
      <c r="E521" s="10">
        <f>IF(A521="","",A521&amp;"|"&amp;D521)</f>
        <v/>
      </c>
      <c r="F521" s="5" t="inlineStr">
        <is>
          <t>Y</t>
        </is>
      </c>
      <c r="G521" s="5" t="inlineStr">
        <is>
          <t>Other / bench</t>
        </is>
      </c>
      <c r="H521" s="5" t="inlineStr">
        <is>
          <t>Low</t>
        </is>
      </c>
      <c r="I521" s="5" t="n">
        <v>1</v>
      </c>
      <c r="J521" s="5" t="n"/>
      <c r="K521" s="10">
        <f>IFERROR(IF(INDEX('Test catalog'!$F$2:$F$200,MATCH($AB521,'Test catalog'!$A$2:$A$200,0))="","",INDEX('Test catalog'!$F$2:$F$200,MATCH($AB521,'Test catalog'!$A$2:$A$200,0))),"")</f>
        <v/>
      </c>
      <c r="L521" s="10">
        <f>IFERROR(IF(INDEX('Test catalog'!$G$2:$G$200,MATCH($AB521,'Test catalog'!$A$2:$A$200,0))="","",INDEX('Test catalog'!$G$2:$G$200,MATCH($AB521,'Test catalog'!$A$2:$A$200,0))),"")</f>
        <v/>
      </c>
      <c r="M521" s="10">
        <f>IFERROR(IF(INDEX('Test catalog'!$H$2:$H$200,MATCH($AB521,'Test catalog'!$A$2:$A$200,0))="","",INDEX('Test catalog'!$H$2:$H$200,MATCH($AB521,'Test catalog'!$A$2:$A$200,0))),"")</f>
        <v/>
      </c>
      <c r="N521" s="10">
        <f>IFERROR(IF(INDEX('Test catalog'!$I$2:$I$200,MATCH($AB521,'Test catalog'!$A$2:$A$200,0))="","",INDEX('Test catalog'!$I$2:$I$200,MATCH($AB521,'Test catalog'!$A$2:$A$200,0))),"")</f>
        <v/>
      </c>
      <c r="O521" s="10">
        <f>IFERROR(IF(INDEX('Test catalog'!$J$2:$J$200,MATCH($AB521,'Test catalog'!$A$2:$A$200,0))="","",INDEX('Test catalog'!$J$2:$J$200,MATCH($AB521,'Test catalog'!$A$2:$A$200,0))),"")</f>
        <v/>
      </c>
      <c r="P521" s="14">
        <f>IF(N521="","",IF(OR(M521="",O521=""),N521,(M521+4*N521+O521)/6))</f>
        <v/>
      </c>
      <c r="Q521" s="10">
        <f>IFERROR(IF(INDEX('Test catalog'!$K$2:$K$200,MATCH($AB521,'Test catalog'!$A$2:$A$200,0))="","",INDEX('Test catalog'!$K$2:$K$200,MATCH($AB521,'Test catalog'!$A$2:$A$200,0))),"")</f>
        <v/>
      </c>
      <c r="R521" s="5" t="n"/>
      <c r="S521" s="10">
        <f>IFERROR(IF(INDEX('Test catalog'!$L$2:$L$200,MATCH($AB521,'Test catalog'!$A$2:$A$200,0))="","",INDEX('Test catalog'!$L$2:$L$200,MATCH($AB521,'Test catalog'!$A$2:$A$200,0))),"")</f>
        <v/>
      </c>
      <c r="T521" s="10">
        <f>IFERROR(IF(INDEX('Test catalog'!$M$2:$M$200,MATCH($AB521,'Test catalog'!$A$2:$A$200,0))="","",INDEX('Test catalog'!$M$2:$M$200,MATCH($AB521,'Test catalog'!$A$2:$A$200,0))),"")</f>
        <v/>
      </c>
      <c r="U521" s="10">
        <f>IFERROR(IF(INDEX('Test catalog'!$N$2:$N$200,MATCH($AB521,'Test catalog'!$A$2:$A$200,0))="","",INDEX('Test catalog'!$N$2:$N$200,MATCH($AB521,'Test catalog'!$A$2:$A$200,0))),"")</f>
        <v/>
      </c>
      <c r="V521" s="15" t="n"/>
      <c r="W521" s="5" t="inlineStr">
        <is>
          <t>N</t>
        </is>
      </c>
      <c r="X521" s="5" t="n"/>
      <c r="Y521" s="5" t="n"/>
      <c r="Z521" s="5" t="n"/>
      <c r="AA521" s="10">
        <f>IFERROR(IF(INDEX('Test catalog'!$O$2:$O$200,MATCH($AB521,'Test catalog'!$A$2:$A$200,0))="","",INDEX('Test catalog'!$O$2:$O$200,MATCH($AB521,'Test catalog'!$A$2:$A$200,0))),"")</f>
        <v/>
      </c>
      <c r="AB521" s="10" t="inlineStr">
        <is>
          <t>ID_IR</t>
        </is>
      </c>
      <c r="AC521" s="10" t="inlineStr">
        <is>
          <t>Phytonadione · Identification &lt;197&gt;</t>
        </is>
      </c>
      <c r="AD521" s="10" t="n"/>
      <c r="AE521" s="10" t="n"/>
    </row>
    <row r="522">
      <c r="A522" s="10" t="inlineStr">
        <is>
          <t>Vitamin K1</t>
        </is>
      </c>
      <c r="B522" s="10" t="inlineStr">
        <is>
          <t>RM</t>
        </is>
      </c>
      <c r="C522" s="10" t="inlineStr">
        <is>
          <t>Active</t>
        </is>
      </c>
      <c r="D522" s="10" t="inlineStr">
        <is>
          <t>Assay (HPLC)</t>
        </is>
      </c>
      <c r="E522" s="10">
        <f>IF(A522="","",A522&amp;"|"&amp;D522)</f>
        <v/>
      </c>
      <c r="F522" s="5" t="inlineStr">
        <is>
          <t>Y</t>
        </is>
      </c>
      <c r="G522" s="5" t="inlineStr">
        <is>
          <t>HPLC</t>
        </is>
      </c>
      <c r="H522" s="5" t="inlineStr">
        <is>
          <t>Medium</t>
        </is>
      </c>
      <c r="I522" s="5" t="n">
        <v>1</v>
      </c>
      <c r="J522" s="5" t="n"/>
      <c r="K522" s="5" t="n"/>
      <c r="L522" s="5" t="n"/>
      <c r="M522" s="5" t="n"/>
      <c r="N522" s="5" t="n"/>
      <c r="O522" s="5" t="n"/>
      <c r="P522" s="14">
        <f>IF(N522="","",IF(OR(M522="",O522=""),N522,(M522+4*N522+O522)/6))</f>
        <v/>
      </c>
      <c r="Q522" s="5" t="n"/>
      <c r="R522" s="5" t="n"/>
      <c r="S522" s="5" t="n"/>
      <c r="T522" s="5" t="n"/>
      <c r="U522" s="5" t="n"/>
      <c r="V522" s="15" t="n"/>
      <c r="W522" s="5" t="inlineStr">
        <is>
          <t>N</t>
        </is>
      </c>
      <c r="X522" s="5" t="n"/>
      <c r="Y522" s="5" t="n"/>
      <c r="Z522" s="5" t="n"/>
      <c r="AA522" s="5" t="n"/>
      <c r="AB522" s="10" t="n"/>
      <c r="AC522" s="10" t="inlineStr">
        <is>
          <t>Phytonadione · Assay</t>
        </is>
      </c>
      <c r="AD522" s="10" t="n"/>
      <c r="AE522" s="10" t="n"/>
    </row>
    <row r="523">
      <c r="A523" s="10" t="inlineStr">
        <is>
          <t>Vitamin K1</t>
        </is>
      </c>
      <c r="B523" s="10" t="inlineStr">
        <is>
          <t>RM</t>
        </is>
      </c>
      <c r="C523" s="10" t="inlineStr">
        <is>
          <t>Active</t>
        </is>
      </c>
      <c r="D523" s="10" t="inlineStr">
        <is>
          <t>Z-Isomer Content (HPLC)</t>
        </is>
      </c>
      <c r="E523" s="10">
        <f>IF(A523="","",A523&amp;"|"&amp;D523)</f>
        <v/>
      </c>
      <c r="F523" s="5" t="inlineStr">
        <is>
          <t>Y</t>
        </is>
      </c>
      <c r="G523" s="5" t="inlineStr">
        <is>
          <t>HPLC</t>
        </is>
      </c>
      <c r="H523" s="5" t="inlineStr">
        <is>
          <t>Medium</t>
        </is>
      </c>
      <c r="I523" s="5" t="n">
        <v>1</v>
      </c>
      <c r="J523" s="5" t="n"/>
      <c r="K523" s="5" t="n"/>
      <c r="L523" s="5" t="n"/>
      <c r="M523" s="5" t="n"/>
      <c r="N523" s="5" t="n"/>
      <c r="O523" s="5" t="n"/>
      <c r="P523" s="14">
        <f>IF(N523="","",IF(OR(M523="",O523=""),N523,(M523+4*N523+O523)/6))</f>
        <v/>
      </c>
      <c r="Q523" s="5" t="n"/>
      <c r="R523" s="5" t="n"/>
      <c r="S523" s="5" t="n"/>
      <c r="T523" s="5" t="n"/>
      <c r="U523" s="5" t="n"/>
      <c r="V523" s="15" t="n"/>
      <c r="W523" s="5" t="inlineStr">
        <is>
          <t>N</t>
        </is>
      </c>
      <c r="X523" s="5" t="n"/>
      <c r="Y523" s="5" t="n"/>
      <c r="Z523" s="5" t="n"/>
      <c r="AA523" s="5" t="n"/>
      <c r="AB523" s="10" t="n"/>
      <c r="AC523" s="10" t="inlineStr">
        <is>
          <t>Phytonadione · Other Components</t>
        </is>
      </c>
      <c r="AD523" s="10" t="n"/>
      <c r="AE523" s="10" t="n"/>
    </row>
    <row r="524">
      <c r="A524" s="10" t="inlineStr">
        <is>
          <t>Vitamin K1</t>
        </is>
      </c>
      <c r="B524" s="10" t="inlineStr">
        <is>
          <t>RM</t>
        </is>
      </c>
      <c r="C524" s="10" t="inlineStr">
        <is>
          <t>Active</t>
        </is>
      </c>
      <c r="D524" s="10" t="inlineStr">
        <is>
          <t>Limit of Menadione</t>
        </is>
      </c>
      <c r="E524" s="10">
        <f>IF(A524="","",A524&amp;"|"&amp;D524)</f>
        <v/>
      </c>
      <c r="F524" s="5" t="inlineStr">
        <is>
          <t>Y</t>
        </is>
      </c>
      <c r="G524" s="5" t="inlineStr">
        <is>
          <t>Other / bench</t>
        </is>
      </c>
      <c r="H524" s="5" t="inlineStr">
        <is>
          <t>Low</t>
        </is>
      </c>
      <c r="I524" s="5" t="n">
        <v>1</v>
      </c>
      <c r="J524" s="5" t="n"/>
      <c r="K524" s="10">
        <f>IFERROR(IF(INDEX('Test catalog'!$F$2:$F$200,MATCH($AB524,'Test catalog'!$A$2:$A$200,0))="","",INDEX('Test catalog'!$F$2:$F$200,MATCH($AB524,'Test catalog'!$A$2:$A$200,0))),"")</f>
        <v/>
      </c>
      <c r="L524" s="10">
        <f>IFERROR(IF(INDEX('Test catalog'!$G$2:$G$200,MATCH($AB524,'Test catalog'!$A$2:$A$200,0))="","",INDEX('Test catalog'!$G$2:$G$200,MATCH($AB524,'Test catalog'!$A$2:$A$200,0))),"")</f>
        <v/>
      </c>
      <c r="M524" s="10">
        <f>IFERROR(IF(INDEX('Test catalog'!$H$2:$H$200,MATCH($AB524,'Test catalog'!$A$2:$A$200,0))="","",INDEX('Test catalog'!$H$2:$H$200,MATCH($AB524,'Test catalog'!$A$2:$A$200,0))),"")</f>
        <v/>
      </c>
      <c r="N524" s="10">
        <f>IFERROR(IF(INDEX('Test catalog'!$I$2:$I$200,MATCH($AB524,'Test catalog'!$A$2:$A$200,0))="","",INDEX('Test catalog'!$I$2:$I$200,MATCH($AB524,'Test catalog'!$A$2:$A$200,0))),"")</f>
        <v/>
      </c>
      <c r="O524" s="10">
        <f>IFERROR(IF(INDEX('Test catalog'!$J$2:$J$200,MATCH($AB524,'Test catalog'!$A$2:$A$200,0))="","",INDEX('Test catalog'!$J$2:$J$200,MATCH($AB524,'Test catalog'!$A$2:$A$200,0))),"")</f>
        <v/>
      </c>
      <c r="P524" s="14">
        <f>IF(N524="","",IF(OR(M524="",O524=""),N524,(M524+4*N524+O524)/6))</f>
        <v/>
      </c>
      <c r="Q524" s="10">
        <f>IFERROR(IF(INDEX('Test catalog'!$K$2:$K$200,MATCH($AB524,'Test catalog'!$A$2:$A$200,0))="","",INDEX('Test catalog'!$K$2:$K$200,MATCH($AB524,'Test catalog'!$A$2:$A$200,0))),"")</f>
        <v/>
      </c>
      <c r="R524" s="5" t="n"/>
      <c r="S524" s="10">
        <f>IFERROR(IF(INDEX('Test catalog'!$L$2:$L$200,MATCH($AB524,'Test catalog'!$A$2:$A$200,0))="","",INDEX('Test catalog'!$L$2:$L$200,MATCH($AB524,'Test catalog'!$A$2:$A$200,0))),"")</f>
        <v/>
      </c>
      <c r="T524" s="10">
        <f>IFERROR(IF(INDEX('Test catalog'!$M$2:$M$200,MATCH($AB524,'Test catalog'!$A$2:$A$200,0))="","",INDEX('Test catalog'!$M$2:$M$200,MATCH($AB524,'Test catalog'!$A$2:$A$200,0))),"")</f>
        <v/>
      </c>
      <c r="U524" s="10">
        <f>IFERROR(IF(INDEX('Test catalog'!$N$2:$N$200,MATCH($AB524,'Test catalog'!$A$2:$A$200,0))="","",INDEX('Test catalog'!$N$2:$N$200,MATCH($AB524,'Test catalog'!$A$2:$A$200,0))),"")</f>
        <v/>
      </c>
      <c r="V524" s="15" t="n"/>
      <c r="W524" s="5" t="inlineStr">
        <is>
          <t>N</t>
        </is>
      </c>
      <c r="X524" s="5" t="n"/>
      <c r="Y524" s="5" t="n"/>
      <c r="Z524" s="5" t="n"/>
      <c r="AA524" s="10">
        <f>IFERROR(IF(INDEX('Test catalog'!$O$2:$O$200,MATCH($AB524,'Test catalog'!$A$2:$A$200,0))="","",INDEX('Test catalog'!$O$2:$O$200,MATCH($AB524,'Test catalog'!$A$2:$A$200,0))),"")</f>
        <v/>
      </c>
      <c r="AB524" s="10" t="inlineStr">
        <is>
          <t>LIMIT</t>
        </is>
      </c>
      <c r="AC524" s="10" t="inlineStr">
        <is>
          <t>Phytonadione · Impurities</t>
        </is>
      </c>
      <c r="AD524" s="10" t="n"/>
      <c r="AE524" s="10" t="n"/>
    </row>
    <row r="525">
      <c r="A525" s="10" t="inlineStr">
        <is>
          <t>Vitamin K1</t>
        </is>
      </c>
      <c r="B525" s="10" t="inlineStr">
        <is>
          <t>RM</t>
        </is>
      </c>
      <c r="C525" s="10" t="inlineStr">
        <is>
          <t>Active</t>
        </is>
      </c>
      <c r="D525" s="10" t="inlineStr">
        <is>
          <t>Refractive Index</t>
        </is>
      </c>
      <c r="E525" s="10">
        <f>IF(A525="","",A525&amp;"|"&amp;D525)</f>
        <v/>
      </c>
      <c r="F525" s="5" t="inlineStr">
        <is>
          <t>Y</t>
        </is>
      </c>
      <c r="G525" s="5" t="inlineStr">
        <is>
          <t>Other / bench</t>
        </is>
      </c>
      <c r="H525" s="5" t="inlineStr">
        <is>
          <t>Low</t>
        </is>
      </c>
      <c r="I525" s="5" t="n">
        <v>1</v>
      </c>
      <c r="J525" s="5" t="n"/>
      <c r="K525" s="10">
        <f>IFERROR(IF(INDEX('Test catalog'!$F$2:$F$200,MATCH($AB525,'Test catalog'!$A$2:$A$200,0))="","",INDEX('Test catalog'!$F$2:$F$200,MATCH($AB525,'Test catalog'!$A$2:$A$200,0))),"")</f>
        <v/>
      </c>
      <c r="L525" s="10">
        <f>IFERROR(IF(INDEX('Test catalog'!$G$2:$G$200,MATCH($AB525,'Test catalog'!$A$2:$A$200,0))="","",INDEX('Test catalog'!$G$2:$G$200,MATCH($AB525,'Test catalog'!$A$2:$A$200,0))),"")</f>
        <v/>
      </c>
      <c r="M525" s="10">
        <f>IFERROR(IF(INDEX('Test catalog'!$H$2:$H$200,MATCH($AB525,'Test catalog'!$A$2:$A$200,0))="","",INDEX('Test catalog'!$H$2:$H$200,MATCH($AB525,'Test catalog'!$A$2:$A$200,0))),"")</f>
        <v/>
      </c>
      <c r="N525" s="10">
        <f>IFERROR(IF(INDEX('Test catalog'!$I$2:$I$200,MATCH($AB525,'Test catalog'!$A$2:$A$200,0))="","",INDEX('Test catalog'!$I$2:$I$200,MATCH($AB525,'Test catalog'!$A$2:$A$200,0))),"")</f>
        <v/>
      </c>
      <c r="O525" s="10">
        <f>IFERROR(IF(INDEX('Test catalog'!$J$2:$J$200,MATCH($AB525,'Test catalog'!$A$2:$A$200,0))="","",INDEX('Test catalog'!$J$2:$J$200,MATCH($AB525,'Test catalog'!$A$2:$A$200,0))),"")</f>
        <v/>
      </c>
      <c r="P525" s="14">
        <f>IF(N525="","",IF(OR(M525="",O525=""),N525,(M525+4*N525+O525)/6))</f>
        <v/>
      </c>
      <c r="Q525" s="10">
        <f>IFERROR(IF(INDEX('Test catalog'!$K$2:$K$200,MATCH($AB525,'Test catalog'!$A$2:$A$200,0))="","",INDEX('Test catalog'!$K$2:$K$200,MATCH($AB525,'Test catalog'!$A$2:$A$200,0))),"")</f>
        <v/>
      </c>
      <c r="R525" s="5" t="n"/>
      <c r="S525" s="10">
        <f>IFERROR(IF(INDEX('Test catalog'!$L$2:$L$200,MATCH($AB525,'Test catalog'!$A$2:$A$200,0))="","",INDEX('Test catalog'!$L$2:$L$200,MATCH($AB525,'Test catalog'!$A$2:$A$200,0))),"")</f>
        <v/>
      </c>
      <c r="T525" s="10">
        <f>IFERROR(IF(INDEX('Test catalog'!$M$2:$M$200,MATCH($AB525,'Test catalog'!$A$2:$A$200,0))="","",INDEX('Test catalog'!$M$2:$M$200,MATCH($AB525,'Test catalog'!$A$2:$A$200,0))),"")</f>
        <v/>
      </c>
      <c r="U525" s="10">
        <f>IFERROR(IF(INDEX('Test catalog'!$N$2:$N$200,MATCH($AB525,'Test catalog'!$A$2:$A$200,0))="","",INDEX('Test catalog'!$N$2:$N$200,MATCH($AB525,'Test catalog'!$A$2:$A$200,0))),"")</f>
        <v/>
      </c>
      <c r="V525" s="15" t="n"/>
      <c r="W525" s="5" t="inlineStr">
        <is>
          <t>N</t>
        </is>
      </c>
      <c r="X525" s="5" t="n"/>
      <c r="Y525" s="5" t="n"/>
      <c r="Z525" s="5" t="n"/>
      <c r="AA525" s="10">
        <f>IFERROR(IF(INDEX('Test catalog'!$O$2:$O$200,MATCH($AB525,'Test catalog'!$A$2:$A$200,0))="","",INDEX('Test catalog'!$O$2:$O$200,MATCH($AB525,'Test catalog'!$A$2:$A$200,0))),"")</f>
        <v/>
      </c>
      <c r="AB525" s="10" t="inlineStr">
        <is>
          <t>RI</t>
        </is>
      </c>
      <c r="AC525" s="10" t="inlineStr">
        <is>
          <t>Phytonadione · Specific Tests &lt;831&gt;</t>
        </is>
      </c>
      <c r="AD525" s="10" t="n"/>
      <c r="AE525" s="10" t="n"/>
    </row>
    <row r="526">
      <c r="A526" s="10" t="inlineStr">
        <is>
          <t>Vitamin K1</t>
        </is>
      </c>
      <c r="B526" s="10" t="inlineStr">
        <is>
          <t>RM</t>
        </is>
      </c>
      <c r="C526" s="10" t="inlineStr">
        <is>
          <t>Active</t>
        </is>
      </c>
      <c r="D526" s="10" t="inlineStr">
        <is>
          <t>Reaction</t>
        </is>
      </c>
      <c r="E526" s="10">
        <f>IF(A526="","",A526&amp;"|"&amp;D526)</f>
        <v/>
      </c>
      <c r="F526" s="5" t="inlineStr">
        <is>
          <t>Y</t>
        </is>
      </c>
      <c r="G526" s="5" t="inlineStr">
        <is>
          <t>Other / bench</t>
        </is>
      </c>
      <c r="H526" s="5" t="inlineStr">
        <is>
          <t>Low</t>
        </is>
      </c>
      <c r="I526" s="5" t="n">
        <v>1</v>
      </c>
      <c r="J526" s="5" t="n"/>
      <c r="K526" s="10">
        <f>IFERROR(IF(INDEX('Test catalog'!$F$2:$F$200,MATCH($AB526,'Test catalog'!$A$2:$A$200,0))="","",INDEX('Test catalog'!$F$2:$F$200,MATCH($AB526,'Test catalog'!$A$2:$A$200,0))),"")</f>
        <v/>
      </c>
      <c r="L526" s="10">
        <f>IFERROR(IF(INDEX('Test catalog'!$G$2:$G$200,MATCH($AB526,'Test catalog'!$A$2:$A$200,0))="","",INDEX('Test catalog'!$G$2:$G$200,MATCH($AB526,'Test catalog'!$A$2:$A$200,0))),"")</f>
        <v/>
      </c>
      <c r="M526" s="10">
        <f>IFERROR(IF(INDEX('Test catalog'!$H$2:$H$200,MATCH($AB526,'Test catalog'!$A$2:$A$200,0))="","",INDEX('Test catalog'!$H$2:$H$200,MATCH($AB526,'Test catalog'!$A$2:$A$200,0))),"")</f>
        <v/>
      </c>
      <c r="N526" s="10">
        <f>IFERROR(IF(INDEX('Test catalog'!$I$2:$I$200,MATCH($AB526,'Test catalog'!$A$2:$A$200,0))="","",INDEX('Test catalog'!$I$2:$I$200,MATCH($AB526,'Test catalog'!$A$2:$A$200,0))),"")</f>
        <v/>
      </c>
      <c r="O526" s="10">
        <f>IFERROR(IF(INDEX('Test catalog'!$J$2:$J$200,MATCH($AB526,'Test catalog'!$A$2:$A$200,0))="","",INDEX('Test catalog'!$J$2:$J$200,MATCH($AB526,'Test catalog'!$A$2:$A$200,0))),"")</f>
        <v/>
      </c>
      <c r="P526" s="14">
        <f>IF(N526="","",IF(OR(M526="",O526=""),N526,(M526+4*N526+O526)/6))</f>
        <v/>
      </c>
      <c r="Q526" s="10">
        <f>IFERROR(IF(INDEX('Test catalog'!$K$2:$K$200,MATCH($AB526,'Test catalog'!$A$2:$A$200,0))="","",INDEX('Test catalog'!$K$2:$K$200,MATCH($AB526,'Test catalog'!$A$2:$A$200,0))),"")</f>
        <v/>
      </c>
      <c r="R526" s="5" t="n"/>
      <c r="S526" s="10">
        <f>IFERROR(IF(INDEX('Test catalog'!$L$2:$L$200,MATCH($AB526,'Test catalog'!$A$2:$A$200,0))="","",INDEX('Test catalog'!$L$2:$L$200,MATCH($AB526,'Test catalog'!$A$2:$A$200,0))),"")</f>
        <v/>
      </c>
      <c r="T526" s="10">
        <f>IFERROR(IF(INDEX('Test catalog'!$M$2:$M$200,MATCH($AB526,'Test catalog'!$A$2:$A$200,0))="","",INDEX('Test catalog'!$M$2:$M$200,MATCH($AB526,'Test catalog'!$A$2:$A$200,0))),"")</f>
        <v/>
      </c>
      <c r="U526" s="10">
        <f>IFERROR(IF(INDEX('Test catalog'!$N$2:$N$200,MATCH($AB526,'Test catalog'!$A$2:$A$200,0))="","",INDEX('Test catalog'!$N$2:$N$200,MATCH($AB526,'Test catalog'!$A$2:$A$200,0))),"")</f>
        <v/>
      </c>
      <c r="V526" s="15" t="n"/>
      <c r="W526" s="5" t="inlineStr">
        <is>
          <t>N</t>
        </is>
      </c>
      <c r="X526" s="5" t="n"/>
      <c r="Y526" s="5" t="n"/>
      <c r="Z526" s="5" t="n"/>
      <c r="AA526" s="10">
        <f>IFERROR(IF(INDEX('Test catalog'!$O$2:$O$200,MATCH($AB526,'Test catalog'!$A$2:$A$200,0))="","",INDEX('Test catalog'!$O$2:$O$200,MATCH($AB526,'Test catalog'!$A$2:$A$200,0))),"")</f>
        <v/>
      </c>
      <c r="AB526" s="10" t="inlineStr">
        <is>
          <t>LIMIT</t>
        </is>
      </c>
      <c r="AC526" s="10" t="inlineStr">
        <is>
          <t>Phytonadione · Specific Tests</t>
        </is>
      </c>
      <c r="AD526" s="10" t="n"/>
      <c r="AE526" s="10" t="n"/>
    </row>
    <row r="527">
      <c r="A527" s="10" t="inlineStr">
        <is>
          <t>Zinc Gluconate</t>
        </is>
      </c>
      <c r="B527" s="10" t="inlineStr">
        <is>
          <t>RM</t>
        </is>
      </c>
      <c r="C527" s="10" t="inlineStr">
        <is>
          <t>Active</t>
        </is>
      </c>
      <c r="D527" s="10" t="inlineStr">
        <is>
          <t>Appearance / description and solubility</t>
        </is>
      </c>
      <c r="E527" s="10">
        <f>IF(A527="","",A527&amp;"|"&amp;D527)</f>
        <v/>
      </c>
      <c r="F527" s="5" t="inlineStr">
        <is>
          <t>Y</t>
        </is>
      </c>
      <c r="G527" s="5" t="inlineStr">
        <is>
          <t>Other / bench</t>
        </is>
      </c>
      <c r="H527" s="5" t="inlineStr">
        <is>
          <t>Low</t>
        </is>
      </c>
      <c r="I527" s="5" t="n">
        <v>1</v>
      </c>
      <c r="J527" s="5" t="n"/>
      <c r="K527" s="10">
        <f>IFERROR(IF(INDEX('Test catalog'!$F$2:$F$200,MATCH($AB527,'Test catalog'!$A$2:$A$200,0))="","",INDEX('Test catalog'!$F$2:$F$200,MATCH($AB527,'Test catalog'!$A$2:$A$200,0))),"")</f>
        <v/>
      </c>
      <c r="L527" s="10">
        <f>IFERROR(IF(INDEX('Test catalog'!$G$2:$G$200,MATCH($AB527,'Test catalog'!$A$2:$A$200,0))="","",INDEX('Test catalog'!$G$2:$G$200,MATCH($AB527,'Test catalog'!$A$2:$A$200,0))),"")</f>
        <v/>
      </c>
      <c r="M527" s="10">
        <f>IFERROR(IF(INDEX('Test catalog'!$H$2:$H$200,MATCH($AB527,'Test catalog'!$A$2:$A$200,0))="","",INDEX('Test catalog'!$H$2:$H$200,MATCH($AB527,'Test catalog'!$A$2:$A$200,0))),"")</f>
        <v/>
      </c>
      <c r="N527" s="10">
        <f>IFERROR(IF(INDEX('Test catalog'!$I$2:$I$200,MATCH($AB527,'Test catalog'!$A$2:$A$200,0))="","",INDEX('Test catalog'!$I$2:$I$200,MATCH($AB527,'Test catalog'!$A$2:$A$200,0))),"")</f>
        <v/>
      </c>
      <c r="O527" s="10">
        <f>IFERROR(IF(INDEX('Test catalog'!$J$2:$J$200,MATCH($AB527,'Test catalog'!$A$2:$A$200,0))="","",INDEX('Test catalog'!$J$2:$J$200,MATCH($AB527,'Test catalog'!$A$2:$A$200,0))),"")</f>
        <v/>
      </c>
      <c r="P527" s="14">
        <f>IF(N527="","",IF(OR(M527="",O527=""),N527,(M527+4*N527+O527)/6))</f>
        <v/>
      </c>
      <c r="Q527" s="10">
        <f>IFERROR(IF(INDEX('Test catalog'!$K$2:$K$200,MATCH($AB527,'Test catalog'!$A$2:$A$200,0))="","",INDEX('Test catalog'!$K$2:$K$200,MATCH($AB527,'Test catalog'!$A$2:$A$200,0))),"")</f>
        <v/>
      </c>
      <c r="R527" s="5" t="n"/>
      <c r="S527" s="10">
        <f>IFERROR(IF(INDEX('Test catalog'!$L$2:$L$200,MATCH($AB527,'Test catalog'!$A$2:$A$200,0))="","",INDEX('Test catalog'!$L$2:$L$200,MATCH($AB527,'Test catalog'!$A$2:$A$200,0))),"")</f>
        <v/>
      </c>
      <c r="T527" s="10">
        <f>IFERROR(IF(INDEX('Test catalog'!$M$2:$M$200,MATCH($AB527,'Test catalog'!$A$2:$A$200,0))="","",INDEX('Test catalog'!$M$2:$M$200,MATCH($AB527,'Test catalog'!$A$2:$A$200,0))),"")</f>
        <v/>
      </c>
      <c r="U527" s="10">
        <f>IFERROR(IF(INDEX('Test catalog'!$N$2:$N$200,MATCH($AB527,'Test catalog'!$A$2:$A$200,0))="","",INDEX('Test catalog'!$N$2:$N$200,MATCH($AB527,'Test catalog'!$A$2:$A$200,0))),"")</f>
        <v/>
      </c>
      <c r="V527" s="15" t="n"/>
      <c r="W527" s="5" t="inlineStr">
        <is>
          <t>N</t>
        </is>
      </c>
      <c r="X527" s="5" t="n"/>
      <c r="Y527" s="5" t="n"/>
      <c r="Z527" s="5" t="n"/>
      <c r="AA527" s="10">
        <f>IFERROR(IF(INDEX('Test catalog'!$O$2:$O$200,MATCH($AB527,'Test catalog'!$A$2:$A$200,0))="","",INDEX('Test catalog'!$O$2:$O$200,MATCH($AB527,'Test catalog'!$A$2:$A$200,0))),"")</f>
        <v/>
      </c>
      <c r="AB527" s="10" t="inlineStr">
        <is>
          <t>APPEAR</t>
        </is>
      </c>
      <c r="AC527" s="10" t="inlineStr">
        <is>
          <t>Lab practice (not a USP test)</t>
        </is>
      </c>
      <c r="AD527" s="10" t="n"/>
      <c r="AE527" s="10" t="n"/>
    </row>
    <row r="528">
      <c r="A528" s="10" t="inlineStr">
        <is>
          <t>Zinc Gluconate</t>
        </is>
      </c>
      <c r="B528" s="10" t="inlineStr">
        <is>
          <t>RM</t>
        </is>
      </c>
      <c r="C528" s="10" t="inlineStr">
        <is>
          <t>Active</t>
        </is>
      </c>
      <c r="D528" s="10" t="inlineStr">
        <is>
          <t>ID B - TLC</t>
        </is>
      </c>
      <c r="E528" s="10">
        <f>IF(A528="","",A528&amp;"|"&amp;D528)</f>
        <v/>
      </c>
      <c r="F528" s="5" t="inlineStr">
        <is>
          <t>Y</t>
        </is>
      </c>
      <c r="G528" s="5" t="inlineStr">
        <is>
          <t>Other / bench</t>
        </is>
      </c>
      <c r="H528" s="5" t="inlineStr">
        <is>
          <t>Low</t>
        </is>
      </c>
      <c r="I528" s="5" t="n">
        <v>1</v>
      </c>
      <c r="J528" s="5" t="n"/>
      <c r="K528" s="10">
        <f>IFERROR(IF(INDEX('Test catalog'!$F$2:$F$200,MATCH($AB528,'Test catalog'!$A$2:$A$200,0))="","",INDEX('Test catalog'!$F$2:$F$200,MATCH($AB528,'Test catalog'!$A$2:$A$200,0))),"")</f>
        <v/>
      </c>
      <c r="L528" s="10">
        <f>IFERROR(IF(INDEX('Test catalog'!$G$2:$G$200,MATCH($AB528,'Test catalog'!$A$2:$A$200,0))="","",INDEX('Test catalog'!$G$2:$G$200,MATCH($AB528,'Test catalog'!$A$2:$A$200,0))),"")</f>
        <v/>
      </c>
      <c r="M528" s="10">
        <f>IFERROR(IF(INDEX('Test catalog'!$H$2:$H$200,MATCH($AB528,'Test catalog'!$A$2:$A$200,0))="","",INDEX('Test catalog'!$H$2:$H$200,MATCH($AB528,'Test catalog'!$A$2:$A$200,0))),"")</f>
        <v/>
      </c>
      <c r="N528" s="10">
        <f>IFERROR(IF(INDEX('Test catalog'!$I$2:$I$200,MATCH($AB528,'Test catalog'!$A$2:$A$200,0))="","",INDEX('Test catalog'!$I$2:$I$200,MATCH($AB528,'Test catalog'!$A$2:$A$200,0))),"")</f>
        <v/>
      </c>
      <c r="O528" s="10">
        <f>IFERROR(IF(INDEX('Test catalog'!$J$2:$J$200,MATCH($AB528,'Test catalog'!$A$2:$A$200,0))="","",INDEX('Test catalog'!$J$2:$J$200,MATCH($AB528,'Test catalog'!$A$2:$A$200,0))),"")</f>
        <v/>
      </c>
      <c r="P528" s="14">
        <f>IF(N528="","",IF(OR(M528="",O528=""),N528,(M528+4*N528+O528)/6))</f>
        <v/>
      </c>
      <c r="Q528" s="10">
        <f>IFERROR(IF(INDEX('Test catalog'!$K$2:$K$200,MATCH($AB528,'Test catalog'!$A$2:$A$200,0))="","",INDEX('Test catalog'!$K$2:$K$200,MATCH($AB528,'Test catalog'!$A$2:$A$200,0))),"")</f>
        <v/>
      </c>
      <c r="R528" s="5" t="n"/>
      <c r="S528" s="10">
        <f>IFERROR(IF(INDEX('Test catalog'!$L$2:$L$200,MATCH($AB528,'Test catalog'!$A$2:$A$200,0))="","",INDEX('Test catalog'!$L$2:$L$200,MATCH($AB528,'Test catalog'!$A$2:$A$200,0))),"")</f>
        <v/>
      </c>
      <c r="T528" s="10">
        <f>IFERROR(IF(INDEX('Test catalog'!$M$2:$M$200,MATCH($AB528,'Test catalog'!$A$2:$A$200,0))="","",INDEX('Test catalog'!$M$2:$M$200,MATCH($AB528,'Test catalog'!$A$2:$A$200,0))),"")</f>
        <v/>
      </c>
      <c r="U528" s="10">
        <f>IFERROR(IF(INDEX('Test catalog'!$N$2:$N$200,MATCH($AB528,'Test catalog'!$A$2:$A$200,0))="","",INDEX('Test catalog'!$N$2:$N$200,MATCH($AB528,'Test catalog'!$A$2:$A$200,0))),"")</f>
        <v/>
      </c>
      <c r="V528" s="15" t="n"/>
      <c r="W528" s="5" t="inlineStr">
        <is>
          <t>N</t>
        </is>
      </c>
      <c r="X528" s="5" t="n"/>
      <c r="Y528" s="5" t="n"/>
      <c r="Z528" s="5" t="n"/>
      <c r="AA528" s="10">
        <f>IFERROR(IF(INDEX('Test catalog'!$O$2:$O$200,MATCH($AB528,'Test catalog'!$A$2:$A$200,0))="","",INDEX('Test catalog'!$O$2:$O$200,MATCH($AB528,'Test catalog'!$A$2:$A$200,0))),"")</f>
        <v/>
      </c>
      <c r="AB528" s="10" t="inlineStr">
        <is>
          <t>TLC</t>
        </is>
      </c>
      <c r="AC528" s="10" t="inlineStr">
        <is>
          <t>Zinc Gluconate · Identification</t>
        </is>
      </c>
      <c r="AD528" s="10" t="n"/>
      <c r="AE528" s="10" t="n"/>
    </row>
    <row r="529">
      <c r="A529" s="10" t="inlineStr">
        <is>
          <t>Zinc Gluconate</t>
        </is>
      </c>
      <c r="B529" s="10" t="inlineStr">
        <is>
          <t>RM</t>
        </is>
      </c>
      <c r="C529" s="10" t="inlineStr">
        <is>
          <t>Active</t>
        </is>
      </c>
      <c r="D529" s="10" t="inlineStr">
        <is>
          <t>ID A - chemical reaction</t>
        </is>
      </c>
      <c r="E529" s="10">
        <f>IF(A529="","",A529&amp;"|"&amp;D529)</f>
        <v/>
      </c>
      <c r="F529" s="5" t="inlineStr">
        <is>
          <t>Y</t>
        </is>
      </c>
      <c r="G529" s="5" t="inlineStr">
        <is>
          <t>Other / bench</t>
        </is>
      </c>
      <c r="H529" s="5" t="inlineStr">
        <is>
          <t>Low</t>
        </is>
      </c>
      <c r="I529" s="5" t="n">
        <v>1</v>
      </c>
      <c r="J529" s="5" t="n"/>
      <c r="K529" s="10">
        <f>IFERROR(IF(INDEX('Test catalog'!$F$2:$F$200,MATCH($AB529,'Test catalog'!$A$2:$A$200,0))="","",INDEX('Test catalog'!$F$2:$F$200,MATCH($AB529,'Test catalog'!$A$2:$A$200,0))),"")</f>
        <v/>
      </c>
      <c r="L529" s="10">
        <f>IFERROR(IF(INDEX('Test catalog'!$G$2:$G$200,MATCH($AB529,'Test catalog'!$A$2:$A$200,0))="","",INDEX('Test catalog'!$G$2:$G$200,MATCH($AB529,'Test catalog'!$A$2:$A$200,0))),"")</f>
        <v/>
      </c>
      <c r="M529" s="10">
        <f>IFERROR(IF(INDEX('Test catalog'!$H$2:$H$200,MATCH($AB529,'Test catalog'!$A$2:$A$200,0))="","",INDEX('Test catalog'!$H$2:$H$200,MATCH($AB529,'Test catalog'!$A$2:$A$200,0))),"")</f>
        <v/>
      </c>
      <c r="N529" s="10">
        <f>IFERROR(IF(INDEX('Test catalog'!$I$2:$I$200,MATCH($AB529,'Test catalog'!$A$2:$A$200,0))="","",INDEX('Test catalog'!$I$2:$I$200,MATCH($AB529,'Test catalog'!$A$2:$A$200,0))),"")</f>
        <v/>
      </c>
      <c r="O529" s="10">
        <f>IFERROR(IF(INDEX('Test catalog'!$J$2:$J$200,MATCH($AB529,'Test catalog'!$A$2:$A$200,0))="","",INDEX('Test catalog'!$J$2:$J$200,MATCH($AB529,'Test catalog'!$A$2:$A$200,0))),"")</f>
        <v/>
      </c>
      <c r="P529" s="14">
        <f>IF(N529="","",IF(OR(M529="",O529=""),N529,(M529+4*N529+O529)/6))</f>
        <v/>
      </c>
      <c r="Q529" s="10">
        <f>IFERROR(IF(INDEX('Test catalog'!$K$2:$K$200,MATCH($AB529,'Test catalog'!$A$2:$A$200,0))="","",INDEX('Test catalog'!$K$2:$K$200,MATCH($AB529,'Test catalog'!$A$2:$A$200,0))),"")</f>
        <v/>
      </c>
      <c r="R529" s="5" t="n"/>
      <c r="S529" s="10">
        <f>IFERROR(IF(INDEX('Test catalog'!$L$2:$L$200,MATCH($AB529,'Test catalog'!$A$2:$A$200,0))="","",INDEX('Test catalog'!$L$2:$L$200,MATCH($AB529,'Test catalog'!$A$2:$A$200,0))),"")</f>
        <v/>
      </c>
      <c r="T529" s="10">
        <f>IFERROR(IF(INDEX('Test catalog'!$M$2:$M$200,MATCH($AB529,'Test catalog'!$A$2:$A$200,0))="","",INDEX('Test catalog'!$M$2:$M$200,MATCH($AB529,'Test catalog'!$A$2:$A$200,0))),"")</f>
        <v/>
      </c>
      <c r="U529" s="10">
        <f>IFERROR(IF(INDEX('Test catalog'!$N$2:$N$200,MATCH($AB529,'Test catalog'!$A$2:$A$200,0))="","",INDEX('Test catalog'!$N$2:$N$200,MATCH($AB529,'Test catalog'!$A$2:$A$200,0))),"")</f>
        <v/>
      </c>
      <c r="V529" s="15" t="n"/>
      <c r="W529" s="5" t="inlineStr">
        <is>
          <t>N</t>
        </is>
      </c>
      <c r="X529" s="5" t="n"/>
      <c r="Y529" s="5" t="n"/>
      <c r="Z529" s="5" t="n"/>
      <c r="AA529" s="10">
        <f>IFERROR(IF(INDEX('Test catalog'!$O$2:$O$200,MATCH($AB529,'Test catalog'!$A$2:$A$200,0))="","",INDEX('Test catalog'!$O$2:$O$200,MATCH($AB529,'Test catalog'!$A$2:$A$200,0))),"")</f>
        <v/>
      </c>
      <c r="AB529" s="10" t="inlineStr">
        <is>
          <t>ID_CHEM</t>
        </is>
      </c>
      <c r="AC529" s="10" t="inlineStr">
        <is>
          <t>Zinc Gluconate · Identification &lt;191,621&gt;</t>
        </is>
      </c>
      <c r="AD529" s="10" t="n"/>
      <c r="AE529" s="10" t="n"/>
    </row>
    <row r="530">
      <c r="A530" s="10" t="inlineStr">
        <is>
          <t>Zinc Gluconate</t>
        </is>
      </c>
      <c r="B530" s="10" t="inlineStr">
        <is>
          <t>RM</t>
        </is>
      </c>
      <c r="C530" s="10" t="inlineStr">
        <is>
          <t>Active</t>
        </is>
      </c>
      <c r="D530" s="10" t="inlineStr">
        <is>
          <t>Assay</t>
        </is>
      </c>
      <c r="E530" s="10">
        <f>IF(A530="","",A530&amp;"|"&amp;D530)</f>
        <v/>
      </c>
      <c r="F530" s="5" t="inlineStr">
        <is>
          <t>Y</t>
        </is>
      </c>
      <c r="G530" s="5" t="inlineStr">
        <is>
          <t>Other / bench</t>
        </is>
      </c>
      <c r="H530" s="5" t="inlineStr">
        <is>
          <t>Low</t>
        </is>
      </c>
      <c r="I530" s="5" t="n">
        <v>1</v>
      </c>
      <c r="J530" s="5" t="n"/>
      <c r="K530" s="10">
        <f>IFERROR(IF(INDEX('Test catalog'!$F$2:$F$200,MATCH($AB530,'Test catalog'!$A$2:$A$200,0))="","",INDEX('Test catalog'!$F$2:$F$200,MATCH($AB530,'Test catalog'!$A$2:$A$200,0))),"")</f>
        <v/>
      </c>
      <c r="L530" s="10">
        <f>IFERROR(IF(INDEX('Test catalog'!$G$2:$G$200,MATCH($AB530,'Test catalog'!$A$2:$A$200,0))="","",INDEX('Test catalog'!$G$2:$G$200,MATCH($AB530,'Test catalog'!$A$2:$A$200,0))),"")</f>
        <v/>
      </c>
      <c r="M530" s="10">
        <f>IFERROR(IF(INDEX('Test catalog'!$H$2:$H$200,MATCH($AB530,'Test catalog'!$A$2:$A$200,0))="","",INDEX('Test catalog'!$H$2:$H$200,MATCH($AB530,'Test catalog'!$A$2:$A$200,0))),"")</f>
        <v/>
      </c>
      <c r="N530" s="10">
        <f>IFERROR(IF(INDEX('Test catalog'!$I$2:$I$200,MATCH($AB530,'Test catalog'!$A$2:$A$200,0))="","",INDEX('Test catalog'!$I$2:$I$200,MATCH($AB530,'Test catalog'!$A$2:$A$200,0))),"")</f>
        <v/>
      </c>
      <c r="O530" s="10">
        <f>IFERROR(IF(INDEX('Test catalog'!$J$2:$J$200,MATCH($AB530,'Test catalog'!$A$2:$A$200,0))="","",INDEX('Test catalog'!$J$2:$J$200,MATCH($AB530,'Test catalog'!$A$2:$A$200,0))),"")</f>
        <v/>
      </c>
      <c r="P530" s="14">
        <f>IF(N530="","",IF(OR(M530="",O530=""),N530,(M530+4*N530+O530)/6))</f>
        <v/>
      </c>
      <c r="Q530" s="10">
        <f>IFERROR(IF(INDEX('Test catalog'!$K$2:$K$200,MATCH($AB530,'Test catalog'!$A$2:$A$200,0))="","",INDEX('Test catalog'!$K$2:$K$200,MATCH($AB530,'Test catalog'!$A$2:$A$200,0))),"")</f>
        <v/>
      </c>
      <c r="R530" s="5" t="n"/>
      <c r="S530" s="10">
        <f>IFERROR(IF(INDEX('Test catalog'!$L$2:$L$200,MATCH($AB530,'Test catalog'!$A$2:$A$200,0))="","",INDEX('Test catalog'!$L$2:$L$200,MATCH($AB530,'Test catalog'!$A$2:$A$200,0))),"")</f>
        <v/>
      </c>
      <c r="T530" s="10">
        <f>IFERROR(IF(INDEX('Test catalog'!$M$2:$M$200,MATCH($AB530,'Test catalog'!$A$2:$A$200,0))="","",INDEX('Test catalog'!$M$2:$M$200,MATCH($AB530,'Test catalog'!$A$2:$A$200,0))),"")</f>
        <v/>
      </c>
      <c r="U530" s="10">
        <f>IFERROR(IF(INDEX('Test catalog'!$N$2:$N$200,MATCH($AB530,'Test catalog'!$A$2:$A$200,0))="","",INDEX('Test catalog'!$N$2:$N$200,MATCH($AB530,'Test catalog'!$A$2:$A$200,0))),"")</f>
        <v/>
      </c>
      <c r="V530" s="15" t="n"/>
      <c r="W530" s="5" t="inlineStr">
        <is>
          <t>N</t>
        </is>
      </c>
      <c r="X530" s="5" t="n"/>
      <c r="Y530" s="5" t="n"/>
      <c r="Z530" s="5" t="n"/>
      <c r="AA530" s="10">
        <f>IFERROR(IF(INDEX('Test catalog'!$O$2:$O$200,MATCH($AB530,'Test catalog'!$A$2:$A$200,0))="","",INDEX('Test catalog'!$O$2:$O$200,MATCH($AB530,'Test catalog'!$A$2:$A$200,0))),"")</f>
        <v/>
      </c>
      <c r="AB530" s="10" t="inlineStr">
        <is>
          <t>TITR</t>
        </is>
      </c>
      <c r="AC530" s="10" t="inlineStr">
        <is>
          <t>Zinc Gluconate · Assay &lt;541&gt;</t>
        </is>
      </c>
      <c r="AD530" s="10" t="n"/>
      <c r="AE530" s="10" t="n"/>
    </row>
    <row r="531">
      <c r="A531" s="10" t="inlineStr">
        <is>
          <t>Zinc Gluconate</t>
        </is>
      </c>
      <c r="B531" s="10" t="inlineStr">
        <is>
          <t>RM</t>
        </is>
      </c>
      <c r="C531" s="10" t="inlineStr">
        <is>
          <t>Active</t>
        </is>
      </c>
      <c r="D531" s="10" t="inlineStr">
        <is>
          <t>Chloride and Sulfate</t>
        </is>
      </c>
      <c r="E531" s="10">
        <f>IF(A531="","",A531&amp;"|"&amp;D531)</f>
        <v/>
      </c>
      <c r="F531" s="5" t="inlineStr">
        <is>
          <t>Y</t>
        </is>
      </c>
      <c r="G531" s="5" t="inlineStr">
        <is>
          <t>Other / bench</t>
        </is>
      </c>
      <c r="H531" s="5" t="inlineStr">
        <is>
          <t>Low</t>
        </is>
      </c>
      <c r="I531" s="5" t="n">
        <v>1</v>
      </c>
      <c r="J531" s="5" t="n"/>
      <c r="K531" s="10">
        <f>IFERROR(IF(INDEX('Test catalog'!$F$2:$F$200,MATCH($AB531,'Test catalog'!$A$2:$A$200,0))="","",INDEX('Test catalog'!$F$2:$F$200,MATCH($AB531,'Test catalog'!$A$2:$A$200,0))),"")</f>
        <v/>
      </c>
      <c r="L531" s="10">
        <f>IFERROR(IF(INDEX('Test catalog'!$G$2:$G$200,MATCH($AB531,'Test catalog'!$A$2:$A$200,0))="","",INDEX('Test catalog'!$G$2:$G$200,MATCH($AB531,'Test catalog'!$A$2:$A$200,0))),"")</f>
        <v/>
      </c>
      <c r="M531" s="10">
        <f>IFERROR(IF(INDEX('Test catalog'!$H$2:$H$200,MATCH($AB531,'Test catalog'!$A$2:$A$200,0))="","",INDEX('Test catalog'!$H$2:$H$200,MATCH($AB531,'Test catalog'!$A$2:$A$200,0))),"")</f>
        <v/>
      </c>
      <c r="N531" s="10">
        <f>IFERROR(IF(INDEX('Test catalog'!$I$2:$I$200,MATCH($AB531,'Test catalog'!$A$2:$A$200,0))="","",INDEX('Test catalog'!$I$2:$I$200,MATCH($AB531,'Test catalog'!$A$2:$A$200,0))),"")</f>
        <v/>
      </c>
      <c r="O531" s="10">
        <f>IFERROR(IF(INDEX('Test catalog'!$J$2:$J$200,MATCH($AB531,'Test catalog'!$A$2:$A$200,0))="","",INDEX('Test catalog'!$J$2:$J$200,MATCH($AB531,'Test catalog'!$A$2:$A$200,0))),"")</f>
        <v/>
      </c>
      <c r="P531" s="14">
        <f>IF(N531="","",IF(OR(M531="",O531=""),N531,(M531+4*N531+O531)/6))</f>
        <v/>
      </c>
      <c r="Q531" s="10">
        <f>IFERROR(IF(INDEX('Test catalog'!$K$2:$K$200,MATCH($AB531,'Test catalog'!$A$2:$A$200,0))="","",INDEX('Test catalog'!$K$2:$K$200,MATCH($AB531,'Test catalog'!$A$2:$A$200,0))),"")</f>
        <v/>
      </c>
      <c r="R531" s="5" t="n"/>
      <c r="S531" s="10">
        <f>IFERROR(IF(INDEX('Test catalog'!$L$2:$L$200,MATCH($AB531,'Test catalog'!$A$2:$A$200,0))="","",INDEX('Test catalog'!$L$2:$L$200,MATCH($AB531,'Test catalog'!$A$2:$A$200,0))),"")</f>
        <v/>
      </c>
      <c r="T531" s="10">
        <f>IFERROR(IF(INDEX('Test catalog'!$M$2:$M$200,MATCH($AB531,'Test catalog'!$A$2:$A$200,0))="","",INDEX('Test catalog'!$M$2:$M$200,MATCH($AB531,'Test catalog'!$A$2:$A$200,0))),"")</f>
        <v/>
      </c>
      <c r="U531" s="10">
        <f>IFERROR(IF(INDEX('Test catalog'!$N$2:$N$200,MATCH($AB531,'Test catalog'!$A$2:$A$200,0))="","",INDEX('Test catalog'!$N$2:$N$200,MATCH($AB531,'Test catalog'!$A$2:$A$200,0))),"")</f>
        <v/>
      </c>
      <c r="V531" s="15" t="n"/>
      <c r="W531" s="5" t="inlineStr">
        <is>
          <t>N</t>
        </is>
      </c>
      <c r="X531" s="5" t="n"/>
      <c r="Y531" s="5" t="n"/>
      <c r="Z531" s="5" t="n"/>
      <c r="AA531" s="10">
        <f>IFERROR(IF(INDEX('Test catalog'!$O$2:$O$200,MATCH($AB531,'Test catalog'!$A$2:$A$200,0))="","",INDEX('Test catalog'!$O$2:$O$200,MATCH($AB531,'Test catalog'!$A$2:$A$200,0))),"")</f>
        <v/>
      </c>
      <c r="AB531" s="10" t="inlineStr">
        <is>
          <t>LIMIT</t>
        </is>
      </c>
      <c r="AC531" s="10" t="inlineStr">
        <is>
          <t>Zinc Gluconate · Impurities &lt;221&gt;</t>
        </is>
      </c>
      <c r="AD531" s="10" t="n"/>
      <c r="AE531" s="10" t="n"/>
    </row>
    <row r="532">
      <c r="A532" s="10" t="inlineStr">
        <is>
          <t>Zinc Gluconate</t>
        </is>
      </c>
      <c r="B532" s="10" t="inlineStr">
        <is>
          <t>RM</t>
        </is>
      </c>
      <c r="C532" s="10" t="inlineStr">
        <is>
          <t>Active</t>
        </is>
      </c>
      <c r="D532" s="10" t="inlineStr">
        <is>
          <t>Arsenic</t>
        </is>
      </c>
      <c r="E532" s="10">
        <f>IF(A532="","",A532&amp;"|"&amp;D532)</f>
        <v/>
      </c>
      <c r="F532" s="5" t="inlineStr">
        <is>
          <t>Y</t>
        </is>
      </c>
      <c r="G532" s="5" t="inlineStr">
        <is>
          <t>Other / bench</t>
        </is>
      </c>
      <c r="H532" s="5" t="inlineStr">
        <is>
          <t>Low</t>
        </is>
      </c>
      <c r="I532" s="5" t="n">
        <v>1</v>
      </c>
      <c r="J532" s="5" t="n"/>
      <c r="K532" s="10">
        <f>IFERROR(IF(INDEX('Test catalog'!$F$2:$F$200,MATCH($AB532,'Test catalog'!$A$2:$A$200,0))="","",INDEX('Test catalog'!$F$2:$F$200,MATCH($AB532,'Test catalog'!$A$2:$A$200,0))),"")</f>
        <v/>
      </c>
      <c r="L532" s="10">
        <f>IFERROR(IF(INDEX('Test catalog'!$G$2:$G$200,MATCH($AB532,'Test catalog'!$A$2:$A$200,0))="","",INDEX('Test catalog'!$G$2:$G$200,MATCH($AB532,'Test catalog'!$A$2:$A$200,0))),"")</f>
        <v/>
      </c>
      <c r="M532" s="10">
        <f>IFERROR(IF(INDEX('Test catalog'!$H$2:$H$200,MATCH($AB532,'Test catalog'!$A$2:$A$200,0))="","",INDEX('Test catalog'!$H$2:$H$200,MATCH($AB532,'Test catalog'!$A$2:$A$200,0))),"")</f>
        <v/>
      </c>
      <c r="N532" s="10">
        <f>IFERROR(IF(INDEX('Test catalog'!$I$2:$I$200,MATCH($AB532,'Test catalog'!$A$2:$A$200,0))="","",INDEX('Test catalog'!$I$2:$I$200,MATCH($AB532,'Test catalog'!$A$2:$A$200,0))),"")</f>
        <v/>
      </c>
      <c r="O532" s="10">
        <f>IFERROR(IF(INDEX('Test catalog'!$J$2:$J$200,MATCH($AB532,'Test catalog'!$A$2:$A$200,0))="","",INDEX('Test catalog'!$J$2:$J$200,MATCH($AB532,'Test catalog'!$A$2:$A$200,0))),"")</f>
        <v/>
      </c>
      <c r="P532" s="14">
        <f>IF(N532="","",IF(OR(M532="",O532=""),N532,(M532+4*N532+O532)/6))</f>
        <v/>
      </c>
      <c r="Q532" s="10">
        <f>IFERROR(IF(INDEX('Test catalog'!$K$2:$K$200,MATCH($AB532,'Test catalog'!$A$2:$A$200,0))="","",INDEX('Test catalog'!$K$2:$K$200,MATCH($AB532,'Test catalog'!$A$2:$A$200,0))),"")</f>
        <v/>
      </c>
      <c r="R532" s="5" t="n"/>
      <c r="S532" s="10">
        <f>IFERROR(IF(INDEX('Test catalog'!$L$2:$L$200,MATCH($AB532,'Test catalog'!$A$2:$A$200,0))="","",INDEX('Test catalog'!$L$2:$L$200,MATCH($AB532,'Test catalog'!$A$2:$A$200,0))),"")</f>
        <v/>
      </c>
      <c r="T532" s="10">
        <f>IFERROR(IF(INDEX('Test catalog'!$M$2:$M$200,MATCH($AB532,'Test catalog'!$A$2:$A$200,0))="","",INDEX('Test catalog'!$M$2:$M$200,MATCH($AB532,'Test catalog'!$A$2:$A$200,0))),"")</f>
        <v/>
      </c>
      <c r="U532" s="10">
        <f>IFERROR(IF(INDEX('Test catalog'!$N$2:$N$200,MATCH($AB532,'Test catalog'!$A$2:$A$200,0))="","",INDEX('Test catalog'!$N$2:$N$200,MATCH($AB532,'Test catalog'!$A$2:$A$200,0))),"")</f>
        <v/>
      </c>
      <c r="V532" s="15" t="n"/>
      <c r="W532" s="5" t="inlineStr">
        <is>
          <t>N</t>
        </is>
      </c>
      <c r="X532" s="5" t="n"/>
      <c r="Y532" s="5" t="n"/>
      <c r="Z532" s="5" t="n"/>
      <c r="AA532" s="10">
        <f>IFERROR(IF(INDEX('Test catalog'!$O$2:$O$200,MATCH($AB532,'Test catalog'!$A$2:$A$200,0))="","",INDEX('Test catalog'!$O$2:$O$200,MATCH($AB532,'Test catalog'!$A$2:$A$200,0))),"")</f>
        <v/>
      </c>
      <c r="AB532" s="10" t="inlineStr">
        <is>
          <t>LIM_TOX</t>
        </is>
      </c>
      <c r="AC532" s="10" t="inlineStr">
        <is>
          <t>Zinc Gluconate · Impurities &lt;211&gt;</t>
        </is>
      </c>
      <c r="AD532" s="10" t="n"/>
      <c r="AE532" s="10" t="n"/>
    </row>
    <row r="533">
      <c r="A533" s="10" t="inlineStr">
        <is>
          <t>Zinc Gluconate</t>
        </is>
      </c>
      <c r="B533" s="10" t="inlineStr">
        <is>
          <t>RM</t>
        </is>
      </c>
      <c r="C533" s="10" t="inlineStr">
        <is>
          <t>Active</t>
        </is>
      </c>
      <c r="D533" s="10" t="inlineStr">
        <is>
          <t>Limit of Lead</t>
        </is>
      </c>
      <c r="E533" s="10">
        <f>IF(A533="","",A533&amp;"|"&amp;D533)</f>
        <v/>
      </c>
      <c r="F533" s="5" t="inlineStr">
        <is>
          <t>Y</t>
        </is>
      </c>
      <c r="G533" s="5" t="inlineStr">
        <is>
          <t>AAS / ICP</t>
        </is>
      </c>
      <c r="H533" s="5" t="inlineStr">
        <is>
          <t>Low</t>
        </is>
      </c>
      <c r="I533" s="5" t="n">
        <v>1</v>
      </c>
      <c r="J533" s="5" t="n"/>
      <c r="K533" s="10">
        <f>IFERROR(IF(INDEX('Test catalog'!$F$2:$F$200,MATCH($AB533,'Test catalog'!$A$2:$A$200,0))="","",INDEX('Test catalog'!$F$2:$F$200,MATCH($AB533,'Test catalog'!$A$2:$A$200,0))),"")</f>
        <v/>
      </c>
      <c r="L533" s="10">
        <f>IFERROR(IF(INDEX('Test catalog'!$G$2:$G$200,MATCH($AB533,'Test catalog'!$A$2:$A$200,0))="","",INDEX('Test catalog'!$G$2:$G$200,MATCH($AB533,'Test catalog'!$A$2:$A$200,0))),"")</f>
        <v/>
      </c>
      <c r="M533" s="10">
        <f>IFERROR(IF(INDEX('Test catalog'!$H$2:$H$200,MATCH($AB533,'Test catalog'!$A$2:$A$200,0))="","",INDEX('Test catalog'!$H$2:$H$200,MATCH($AB533,'Test catalog'!$A$2:$A$200,0))),"")</f>
        <v/>
      </c>
      <c r="N533" s="10">
        <f>IFERROR(IF(INDEX('Test catalog'!$I$2:$I$200,MATCH($AB533,'Test catalog'!$A$2:$A$200,0))="","",INDEX('Test catalog'!$I$2:$I$200,MATCH($AB533,'Test catalog'!$A$2:$A$200,0))),"")</f>
        <v/>
      </c>
      <c r="O533" s="10">
        <f>IFERROR(IF(INDEX('Test catalog'!$J$2:$J$200,MATCH($AB533,'Test catalog'!$A$2:$A$200,0))="","",INDEX('Test catalog'!$J$2:$J$200,MATCH($AB533,'Test catalog'!$A$2:$A$200,0))),"")</f>
        <v/>
      </c>
      <c r="P533" s="14">
        <f>IF(N533="","",IF(OR(M533="",O533=""),N533,(M533+4*N533+O533)/6))</f>
        <v/>
      </c>
      <c r="Q533" s="10">
        <f>IFERROR(IF(INDEX('Test catalog'!$K$2:$K$200,MATCH($AB533,'Test catalog'!$A$2:$A$200,0))="","",INDEX('Test catalog'!$K$2:$K$200,MATCH($AB533,'Test catalog'!$A$2:$A$200,0))),"")</f>
        <v/>
      </c>
      <c r="R533" s="5" t="n"/>
      <c r="S533" s="10">
        <f>IFERROR(IF(INDEX('Test catalog'!$L$2:$L$200,MATCH($AB533,'Test catalog'!$A$2:$A$200,0))="","",INDEX('Test catalog'!$L$2:$L$200,MATCH($AB533,'Test catalog'!$A$2:$A$200,0))),"")</f>
        <v/>
      </c>
      <c r="T533" s="10">
        <f>IFERROR(IF(INDEX('Test catalog'!$M$2:$M$200,MATCH($AB533,'Test catalog'!$A$2:$A$200,0))="","",INDEX('Test catalog'!$M$2:$M$200,MATCH($AB533,'Test catalog'!$A$2:$A$200,0))),"")</f>
        <v/>
      </c>
      <c r="U533" s="10">
        <f>IFERROR(IF(INDEX('Test catalog'!$N$2:$N$200,MATCH($AB533,'Test catalog'!$A$2:$A$200,0))="","",INDEX('Test catalog'!$N$2:$N$200,MATCH($AB533,'Test catalog'!$A$2:$A$200,0))),"")</f>
        <v/>
      </c>
      <c r="V533" s="15" t="n"/>
      <c r="W533" s="5" t="inlineStr">
        <is>
          <t>N</t>
        </is>
      </c>
      <c r="X533" s="5" t="n"/>
      <c r="Y533" s="5" t="n"/>
      <c r="Z533" s="5" t="n"/>
      <c r="AA533" s="10">
        <f>IFERROR(IF(INDEX('Test catalog'!$O$2:$O$200,MATCH($AB533,'Test catalog'!$A$2:$A$200,0))="","",INDEX('Test catalog'!$O$2:$O$200,MATCH($AB533,'Test catalog'!$A$2:$A$200,0))),"")</f>
        <v/>
      </c>
      <c r="AB533" s="10" t="inlineStr">
        <is>
          <t>AAS</t>
        </is>
      </c>
      <c r="AC533" s="10" t="inlineStr">
        <is>
          <t>Zinc Gluconate · Impurities</t>
        </is>
      </c>
      <c r="AD533" s="10" t="n"/>
      <c r="AE533" s="10" t="n"/>
    </row>
    <row r="534">
      <c r="A534" s="10" t="inlineStr">
        <is>
          <t>Zinc Gluconate</t>
        </is>
      </c>
      <c r="B534" s="10" t="inlineStr">
        <is>
          <t>RM</t>
        </is>
      </c>
      <c r="C534" s="10" t="inlineStr">
        <is>
          <t>Active</t>
        </is>
      </c>
      <c r="D534" s="10" t="inlineStr">
        <is>
          <t>Limit of Cadmium</t>
        </is>
      </c>
      <c r="E534" s="10">
        <f>IF(A534="","",A534&amp;"|"&amp;D534)</f>
        <v/>
      </c>
      <c r="F534" s="5" t="inlineStr">
        <is>
          <t>Y</t>
        </is>
      </c>
      <c r="G534" s="5" t="inlineStr">
        <is>
          <t>AAS / ICP</t>
        </is>
      </c>
      <c r="H534" s="5" t="inlineStr">
        <is>
          <t>Low</t>
        </is>
      </c>
      <c r="I534" s="5" t="n">
        <v>1</v>
      </c>
      <c r="J534" s="5" t="n"/>
      <c r="K534" s="10">
        <f>IFERROR(IF(INDEX('Test catalog'!$F$2:$F$200,MATCH($AB534,'Test catalog'!$A$2:$A$200,0))="","",INDEX('Test catalog'!$F$2:$F$200,MATCH($AB534,'Test catalog'!$A$2:$A$200,0))),"")</f>
        <v/>
      </c>
      <c r="L534" s="10">
        <f>IFERROR(IF(INDEX('Test catalog'!$G$2:$G$200,MATCH($AB534,'Test catalog'!$A$2:$A$200,0))="","",INDEX('Test catalog'!$G$2:$G$200,MATCH($AB534,'Test catalog'!$A$2:$A$200,0))),"")</f>
        <v/>
      </c>
      <c r="M534" s="10">
        <f>IFERROR(IF(INDEX('Test catalog'!$H$2:$H$200,MATCH($AB534,'Test catalog'!$A$2:$A$200,0))="","",INDEX('Test catalog'!$H$2:$H$200,MATCH($AB534,'Test catalog'!$A$2:$A$200,0))),"")</f>
        <v/>
      </c>
      <c r="N534" s="10">
        <f>IFERROR(IF(INDEX('Test catalog'!$I$2:$I$200,MATCH($AB534,'Test catalog'!$A$2:$A$200,0))="","",INDEX('Test catalog'!$I$2:$I$200,MATCH($AB534,'Test catalog'!$A$2:$A$200,0))),"")</f>
        <v/>
      </c>
      <c r="O534" s="10">
        <f>IFERROR(IF(INDEX('Test catalog'!$J$2:$J$200,MATCH($AB534,'Test catalog'!$A$2:$A$200,0))="","",INDEX('Test catalog'!$J$2:$J$200,MATCH($AB534,'Test catalog'!$A$2:$A$200,0))),"")</f>
        <v/>
      </c>
      <c r="P534" s="14">
        <f>IF(N534="","",IF(OR(M534="",O534=""),N534,(M534+4*N534+O534)/6))</f>
        <v/>
      </c>
      <c r="Q534" s="10">
        <f>IFERROR(IF(INDEX('Test catalog'!$K$2:$K$200,MATCH($AB534,'Test catalog'!$A$2:$A$200,0))="","",INDEX('Test catalog'!$K$2:$K$200,MATCH($AB534,'Test catalog'!$A$2:$A$200,0))),"")</f>
        <v/>
      </c>
      <c r="R534" s="5" t="n"/>
      <c r="S534" s="10">
        <f>IFERROR(IF(INDEX('Test catalog'!$L$2:$L$200,MATCH($AB534,'Test catalog'!$A$2:$A$200,0))="","",INDEX('Test catalog'!$L$2:$L$200,MATCH($AB534,'Test catalog'!$A$2:$A$200,0))),"")</f>
        <v/>
      </c>
      <c r="T534" s="10">
        <f>IFERROR(IF(INDEX('Test catalog'!$M$2:$M$200,MATCH($AB534,'Test catalog'!$A$2:$A$200,0))="","",INDEX('Test catalog'!$M$2:$M$200,MATCH($AB534,'Test catalog'!$A$2:$A$200,0))),"")</f>
        <v/>
      </c>
      <c r="U534" s="10">
        <f>IFERROR(IF(INDEX('Test catalog'!$N$2:$N$200,MATCH($AB534,'Test catalog'!$A$2:$A$200,0))="","",INDEX('Test catalog'!$N$2:$N$200,MATCH($AB534,'Test catalog'!$A$2:$A$200,0))),"")</f>
        <v/>
      </c>
      <c r="V534" s="15" t="n"/>
      <c r="W534" s="5" t="inlineStr">
        <is>
          <t>N</t>
        </is>
      </c>
      <c r="X534" s="5" t="n"/>
      <c r="Y534" s="5" t="n"/>
      <c r="Z534" s="5" t="n"/>
      <c r="AA534" s="10">
        <f>IFERROR(IF(INDEX('Test catalog'!$O$2:$O$200,MATCH($AB534,'Test catalog'!$A$2:$A$200,0))="","",INDEX('Test catalog'!$O$2:$O$200,MATCH($AB534,'Test catalog'!$A$2:$A$200,0))),"")</f>
        <v/>
      </c>
      <c r="AB534" s="10" t="inlineStr">
        <is>
          <t>AAS</t>
        </is>
      </c>
      <c r="AC534" s="10" t="inlineStr">
        <is>
          <t>Zinc Gluconate · Impurities</t>
        </is>
      </c>
      <c r="AD534" s="10" t="n"/>
      <c r="AE534" s="10" t="n"/>
    </row>
    <row r="535">
      <c r="A535" s="10" t="inlineStr">
        <is>
          <t>Zinc Gluconate</t>
        </is>
      </c>
      <c r="B535" s="10" t="inlineStr">
        <is>
          <t>RM</t>
        </is>
      </c>
      <c r="C535" s="10" t="inlineStr">
        <is>
          <t>Active</t>
        </is>
      </c>
      <c r="D535" s="10" t="inlineStr">
        <is>
          <t>Reducing Substances</t>
        </is>
      </c>
      <c r="E535" s="10">
        <f>IF(A535="","",A535&amp;"|"&amp;D535)</f>
        <v/>
      </c>
      <c r="F535" s="5" t="inlineStr">
        <is>
          <t>Y</t>
        </is>
      </c>
      <c r="G535" s="5" t="inlineStr">
        <is>
          <t>Other / bench</t>
        </is>
      </c>
      <c r="H535" s="5" t="inlineStr">
        <is>
          <t>Low</t>
        </is>
      </c>
      <c r="I535" s="5" t="n">
        <v>1</v>
      </c>
      <c r="J535" s="5" t="n"/>
      <c r="K535" s="10">
        <f>IFERROR(IF(INDEX('Test catalog'!$F$2:$F$200,MATCH($AB535,'Test catalog'!$A$2:$A$200,0))="","",INDEX('Test catalog'!$F$2:$F$200,MATCH($AB535,'Test catalog'!$A$2:$A$200,0))),"")</f>
        <v/>
      </c>
      <c r="L535" s="10">
        <f>IFERROR(IF(INDEX('Test catalog'!$G$2:$G$200,MATCH($AB535,'Test catalog'!$A$2:$A$200,0))="","",INDEX('Test catalog'!$G$2:$G$200,MATCH($AB535,'Test catalog'!$A$2:$A$200,0))),"")</f>
        <v/>
      </c>
      <c r="M535" s="10">
        <f>IFERROR(IF(INDEX('Test catalog'!$H$2:$H$200,MATCH($AB535,'Test catalog'!$A$2:$A$200,0))="","",INDEX('Test catalog'!$H$2:$H$200,MATCH($AB535,'Test catalog'!$A$2:$A$200,0))),"")</f>
        <v/>
      </c>
      <c r="N535" s="10">
        <f>IFERROR(IF(INDEX('Test catalog'!$I$2:$I$200,MATCH($AB535,'Test catalog'!$A$2:$A$200,0))="","",INDEX('Test catalog'!$I$2:$I$200,MATCH($AB535,'Test catalog'!$A$2:$A$200,0))),"")</f>
        <v/>
      </c>
      <c r="O535" s="10">
        <f>IFERROR(IF(INDEX('Test catalog'!$J$2:$J$200,MATCH($AB535,'Test catalog'!$A$2:$A$200,0))="","",INDEX('Test catalog'!$J$2:$J$200,MATCH($AB535,'Test catalog'!$A$2:$A$200,0))),"")</f>
        <v/>
      </c>
      <c r="P535" s="14">
        <f>IF(N535="","",IF(OR(M535="",O535=""),N535,(M535+4*N535+O535)/6))</f>
        <v/>
      </c>
      <c r="Q535" s="10">
        <f>IFERROR(IF(INDEX('Test catalog'!$K$2:$K$200,MATCH($AB535,'Test catalog'!$A$2:$A$200,0))="","",INDEX('Test catalog'!$K$2:$K$200,MATCH($AB535,'Test catalog'!$A$2:$A$200,0))),"")</f>
        <v/>
      </c>
      <c r="R535" s="5" t="n"/>
      <c r="S535" s="10">
        <f>IFERROR(IF(INDEX('Test catalog'!$L$2:$L$200,MATCH($AB535,'Test catalog'!$A$2:$A$200,0))="","",INDEX('Test catalog'!$L$2:$L$200,MATCH($AB535,'Test catalog'!$A$2:$A$200,0))),"")</f>
        <v/>
      </c>
      <c r="T535" s="10">
        <f>IFERROR(IF(INDEX('Test catalog'!$M$2:$M$200,MATCH($AB535,'Test catalog'!$A$2:$A$200,0))="","",INDEX('Test catalog'!$M$2:$M$200,MATCH($AB535,'Test catalog'!$A$2:$A$200,0))),"")</f>
        <v/>
      </c>
      <c r="U535" s="10">
        <f>IFERROR(IF(INDEX('Test catalog'!$N$2:$N$200,MATCH($AB535,'Test catalog'!$A$2:$A$200,0))="","",INDEX('Test catalog'!$N$2:$N$200,MATCH($AB535,'Test catalog'!$A$2:$A$200,0))),"")</f>
        <v/>
      </c>
      <c r="V535" s="15" t="n"/>
      <c r="W535" s="5" t="inlineStr">
        <is>
          <t>N</t>
        </is>
      </c>
      <c r="X535" s="5" t="n"/>
      <c r="Y535" s="5" t="n"/>
      <c r="Z535" s="5" t="n"/>
      <c r="AA535" s="10">
        <f>IFERROR(IF(INDEX('Test catalog'!$O$2:$O$200,MATCH($AB535,'Test catalog'!$A$2:$A$200,0))="","",INDEX('Test catalog'!$O$2:$O$200,MATCH($AB535,'Test catalog'!$A$2:$A$200,0))),"")</f>
        <v/>
      </c>
      <c r="AB535" s="10" t="inlineStr">
        <is>
          <t>TITR</t>
        </is>
      </c>
      <c r="AC535" s="10" t="inlineStr">
        <is>
          <t>Zinc Gluconate · Impurities &lt;541&gt;</t>
        </is>
      </c>
      <c r="AD535" s="10" t="n"/>
      <c r="AE535" s="10" t="n"/>
    </row>
    <row r="536">
      <c r="A536" s="10" t="inlineStr">
        <is>
          <t>Zinc Gluconate</t>
        </is>
      </c>
      <c r="B536" s="10" t="inlineStr">
        <is>
          <t>RM</t>
        </is>
      </c>
      <c r="C536" s="10" t="inlineStr">
        <is>
          <t>Active</t>
        </is>
      </c>
      <c r="D536" s="10" t="inlineStr">
        <is>
          <t>pH</t>
        </is>
      </c>
      <c r="E536" s="10">
        <f>IF(A536="","",A536&amp;"|"&amp;D536)</f>
        <v/>
      </c>
      <c r="F536" s="5" t="inlineStr">
        <is>
          <t>Y</t>
        </is>
      </c>
      <c r="G536" s="5" t="inlineStr">
        <is>
          <t>Other / bench</t>
        </is>
      </c>
      <c r="H536" s="5" t="inlineStr">
        <is>
          <t>Low</t>
        </is>
      </c>
      <c r="I536" s="5" t="n">
        <v>1</v>
      </c>
      <c r="J536" s="5" t="n"/>
      <c r="K536" s="10">
        <f>IFERROR(IF(INDEX('Test catalog'!$F$2:$F$200,MATCH($AB536,'Test catalog'!$A$2:$A$200,0))="","",INDEX('Test catalog'!$F$2:$F$200,MATCH($AB536,'Test catalog'!$A$2:$A$200,0))),"")</f>
        <v/>
      </c>
      <c r="L536" s="10">
        <f>IFERROR(IF(INDEX('Test catalog'!$G$2:$G$200,MATCH($AB536,'Test catalog'!$A$2:$A$200,0))="","",INDEX('Test catalog'!$G$2:$G$200,MATCH($AB536,'Test catalog'!$A$2:$A$200,0))),"")</f>
        <v/>
      </c>
      <c r="M536" s="10">
        <f>IFERROR(IF(INDEX('Test catalog'!$H$2:$H$200,MATCH($AB536,'Test catalog'!$A$2:$A$200,0))="","",INDEX('Test catalog'!$H$2:$H$200,MATCH($AB536,'Test catalog'!$A$2:$A$200,0))),"")</f>
        <v/>
      </c>
      <c r="N536" s="10">
        <f>IFERROR(IF(INDEX('Test catalog'!$I$2:$I$200,MATCH($AB536,'Test catalog'!$A$2:$A$200,0))="","",INDEX('Test catalog'!$I$2:$I$200,MATCH($AB536,'Test catalog'!$A$2:$A$200,0))),"")</f>
        <v/>
      </c>
      <c r="O536" s="10">
        <f>IFERROR(IF(INDEX('Test catalog'!$J$2:$J$200,MATCH($AB536,'Test catalog'!$A$2:$A$200,0))="","",INDEX('Test catalog'!$J$2:$J$200,MATCH($AB536,'Test catalog'!$A$2:$A$200,0))),"")</f>
        <v/>
      </c>
      <c r="P536" s="14">
        <f>IF(N536="","",IF(OR(M536="",O536=""),N536,(M536+4*N536+O536)/6))</f>
        <v/>
      </c>
      <c r="Q536" s="10">
        <f>IFERROR(IF(INDEX('Test catalog'!$K$2:$K$200,MATCH($AB536,'Test catalog'!$A$2:$A$200,0))="","",INDEX('Test catalog'!$K$2:$K$200,MATCH($AB536,'Test catalog'!$A$2:$A$200,0))),"")</f>
        <v/>
      </c>
      <c r="R536" s="5" t="n"/>
      <c r="S536" s="10">
        <f>IFERROR(IF(INDEX('Test catalog'!$L$2:$L$200,MATCH($AB536,'Test catalog'!$A$2:$A$200,0))="","",INDEX('Test catalog'!$L$2:$L$200,MATCH($AB536,'Test catalog'!$A$2:$A$200,0))),"")</f>
        <v/>
      </c>
      <c r="T536" s="10">
        <f>IFERROR(IF(INDEX('Test catalog'!$M$2:$M$200,MATCH($AB536,'Test catalog'!$A$2:$A$200,0))="","",INDEX('Test catalog'!$M$2:$M$200,MATCH($AB536,'Test catalog'!$A$2:$A$200,0))),"")</f>
        <v/>
      </c>
      <c r="U536" s="10">
        <f>IFERROR(IF(INDEX('Test catalog'!$N$2:$N$200,MATCH($AB536,'Test catalog'!$A$2:$A$200,0))="","",INDEX('Test catalog'!$N$2:$N$200,MATCH($AB536,'Test catalog'!$A$2:$A$200,0))),"")</f>
        <v/>
      </c>
      <c r="V536" s="15" t="n"/>
      <c r="W536" s="5" t="inlineStr">
        <is>
          <t>N</t>
        </is>
      </c>
      <c r="X536" s="5" t="n"/>
      <c r="Y536" s="5" t="n"/>
      <c r="Z536" s="5" t="n"/>
      <c r="AA536" s="10">
        <f>IFERROR(IF(INDEX('Test catalog'!$O$2:$O$200,MATCH($AB536,'Test catalog'!$A$2:$A$200,0))="","",INDEX('Test catalog'!$O$2:$O$200,MATCH($AB536,'Test catalog'!$A$2:$A$200,0))),"")</f>
        <v/>
      </c>
      <c r="AB536" s="10" t="inlineStr">
        <is>
          <t>PH</t>
        </is>
      </c>
      <c r="AC536" s="10" t="inlineStr">
        <is>
          <t>Zinc Gluconate · Specific Tests &lt;791&gt;</t>
        </is>
      </c>
      <c r="AD536" s="10" t="n"/>
      <c r="AE536" s="10" t="n"/>
    </row>
    <row r="537">
      <c r="A537" s="10" t="inlineStr">
        <is>
          <t>Zinc Gluconate</t>
        </is>
      </c>
      <c r="B537" s="10" t="inlineStr">
        <is>
          <t>RM</t>
        </is>
      </c>
      <c r="C537" s="10" t="inlineStr">
        <is>
          <t>Active</t>
        </is>
      </c>
      <c r="D537" s="10" t="inlineStr">
        <is>
          <t>Water Determination, Method Ib</t>
        </is>
      </c>
      <c r="E537" s="10">
        <f>IF(A537="","",A537&amp;"|"&amp;D537)</f>
        <v/>
      </c>
      <c r="F537" s="5" t="inlineStr">
        <is>
          <t>Y</t>
        </is>
      </c>
      <c r="G537" s="5" t="inlineStr">
        <is>
          <t>Other / bench</t>
        </is>
      </c>
      <c r="H537" s="5" t="inlineStr">
        <is>
          <t>Low</t>
        </is>
      </c>
      <c r="I537" s="5" t="n">
        <v>1</v>
      </c>
      <c r="J537" s="5" t="n"/>
      <c r="K537" s="10">
        <f>IFERROR(IF(INDEX('Test catalog'!$F$2:$F$200,MATCH($AB537,'Test catalog'!$A$2:$A$200,0))="","",INDEX('Test catalog'!$F$2:$F$200,MATCH($AB537,'Test catalog'!$A$2:$A$200,0))),"")</f>
        <v/>
      </c>
      <c r="L537" s="10">
        <f>IFERROR(IF(INDEX('Test catalog'!$G$2:$G$200,MATCH($AB537,'Test catalog'!$A$2:$A$200,0))="","",INDEX('Test catalog'!$G$2:$G$200,MATCH($AB537,'Test catalog'!$A$2:$A$200,0))),"")</f>
        <v/>
      </c>
      <c r="M537" s="10">
        <f>IFERROR(IF(INDEX('Test catalog'!$H$2:$H$200,MATCH($AB537,'Test catalog'!$A$2:$A$200,0))="","",INDEX('Test catalog'!$H$2:$H$200,MATCH($AB537,'Test catalog'!$A$2:$A$200,0))),"")</f>
        <v/>
      </c>
      <c r="N537" s="10">
        <f>IFERROR(IF(INDEX('Test catalog'!$I$2:$I$200,MATCH($AB537,'Test catalog'!$A$2:$A$200,0))="","",INDEX('Test catalog'!$I$2:$I$200,MATCH($AB537,'Test catalog'!$A$2:$A$200,0))),"")</f>
        <v/>
      </c>
      <c r="O537" s="10">
        <f>IFERROR(IF(INDEX('Test catalog'!$J$2:$J$200,MATCH($AB537,'Test catalog'!$A$2:$A$200,0))="","",INDEX('Test catalog'!$J$2:$J$200,MATCH($AB537,'Test catalog'!$A$2:$A$200,0))),"")</f>
        <v/>
      </c>
      <c r="P537" s="14">
        <f>IF(N537="","",IF(OR(M537="",O537=""),N537,(M537+4*N537+O537)/6))</f>
        <v/>
      </c>
      <c r="Q537" s="10">
        <f>IFERROR(IF(INDEX('Test catalog'!$K$2:$K$200,MATCH($AB537,'Test catalog'!$A$2:$A$200,0))="","",INDEX('Test catalog'!$K$2:$K$200,MATCH($AB537,'Test catalog'!$A$2:$A$200,0))),"")</f>
        <v/>
      </c>
      <c r="R537" s="5" t="n"/>
      <c r="S537" s="10">
        <f>IFERROR(IF(INDEX('Test catalog'!$L$2:$L$200,MATCH($AB537,'Test catalog'!$A$2:$A$200,0))="","",INDEX('Test catalog'!$L$2:$L$200,MATCH($AB537,'Test catalog'!$A$2:$A$200,0))),"")</f>
        <v/>
      </c>
      <c r="T537" s="10">
        <f>IFERROR(IF(INDEX('Test catalog'!$M$2:$M$200,MATCH($AB537,'Test catalog'!$A$2:$A$200,0))="","",INDEX('Test catalog'!$M$2:$M$200,MATCH($AB537,'Test catalog'!$A$2:$A$200,0))),"")</f>
        <v/>
      </c>
      <c r="U537" s="10">
        <f>IFERROR(IF(INDEX('Test catalog'!$N$2:$N$200,MATCH($AB537,'Test catalog'!$A$2:$A$200,0))="","",INDEX('Test catalog'!$N$2:$N$200,MATCH($AB537,'Test catalog'!$A$2:$A$200,0))),"")</f>
        <v/>
      </c>
      <c r="V537" s="15" t="n"/>
      <c r="W537" s="5" t="inlineStr">
        <is>
          <t>N</t>
        </is>
      </c>
      <c r="X537" s="5" t="n"/>
      <c r="Y537" s="5" t="n"/>
      <c r="Z537" s="5" t="n"/>
      <c r="AA537" s="10">
        <f>IFERROR(IF(INDEX('Test catalog'!$O$2:$O$200,MATCH($AB537,'Test catalog'!$A$2:$A$200,0))="","",INDEX('Test catalog'!$O$2:$O$200,MATCH($AB537,'Test catalog'!$A$2:$A$200,0))),"")</f>
        <v/>
      </c>
      <c r="AB537" s="10" t="inlineStr">
        <is>
          <t>LOD</t>
        </is>
      </c>
      <c r="AC537" s="10" t="inlineStr">
        <is>
          <t>Zinc Gluconate · Specific Tests &lt;921&gt;</t>
        </is>
      </c>
      <c r="AD537" s="10" t="n"/>
      <c r="AE537" s="10" t="n"/>
    </row>
    <row r="538">
      <c r="A538" s="10" t="inlineStr">
        <is>
          <t>Meglumine</t>
        </is>
      </c>
      <c r="B538" s="10" t="inlineStr">
        <is>
          <t>RM</t>
        </is>
      </c>
      <c r="C538" s="10" t="inlineStr">
        <is>
          <t>Alkalizer / Solubilizer</t>
        </is>
      </c>
      <c r="D538" s="10" t="inlineStr">
        <is>
          <t>Appearance / description and solubility</t>
        </is>
      </c>
      <c r="E538" s="10">
        <f>IF(A538="","",A538&amp;"|"&amp;D538)</f>
        <v/>
      </c>
      <c r="F538" s="5" t="inlineStr">
        <is>
          <t>Y</t>
        </is>
      </c>
      <c r="G538" s="5" t="inlineStr">
        <is>
          <t>Other / bench</t>
        </is>
      </c>
      <c r="H538" s="5" t="inlineStr">
        <is>
          <t>Low</t>
        </is>
      </c>
      <c r="I538" s="5" t="n">
        <v>1</v>
      </c>
      <c r="J538" s="5" t="n"/>
      <c r="K538" s="10">
        <f>IFERROR(IF(INDEX('Test catalog'!$F$2:$F$200,MATCH($AB538,'Test catalog'!$A$2:$A$200,0))="","",INDEX('Test catalog'!$F$2:$F$200,MATCH($AB538,'Test catalog'!$A$2:$A$200,0))),"")</f>
        <v/>
      </c>
      <c r="L538" s="10">
        <f>IFERROR(IF(INDEX('Test catalog'!$G$2:$G$200,MATCH($AB538,'Test catalog'!$A$2:$A$200,0))="","",INDEX('Test catalog'!$G$2:$G$200,MATCH($AB538,'Test catalog'!$A$2:$A$200,0))),"")</f>
        <v/>
      </c>
      <c r="M538" s="10">
        <f>IFERROR(IF(INDEX('Test catalog'!$H$2:$H$200,MATCH($AB538,'Test catalog'!$A$2:$A$200,0))="","",INDEX('Test catalog'!$H$2:$H$200,MATCH($AB538,'Test catalog'!$A$2:$A$200,0))),"")</f>
        <v/>
      </c>
      <c r="N538" s="10">
        <f>IFERROR(IF(INDEX('Test catalog'!$I$2:$I$200,MATCH($AB538,'Test catalog'!$A$2:$A$200,0))="","",INDEX('Test catalog'!$I$2:$I$200,MATCH($AB538,'Test catalog'!$A$2:$A$200,0))),"")</f>
        <v/>
      </c>
      <c r="O538" s="10">
        <f>IFERROR(IF(INDEX('Test catalog'!$J$2:$J$200,MATCH($AB538,'Test catalog'!$A$2:$A$200,0))="","",INDEX('Test catalog'!$J$2:$J$200,MATCH($AB538,'Test catalog'!$A$2:$A$200,0))),"")</f>
        <v/>
      </c>
      <c r="P538" s="14">
        <f>IF(N538="","",IF(OR(M538="",O538=""),N538,(M538+4*N538+O538)/6))</f>
        <v/>
      </c>
      <c r="Q538" s="10">
        <f>IFERROR(IF(INDEX('Test catalog'!$K$2:$K$200,MATCH($AB538,'Test catalog'!$A$2:$A$200,0))="","",INDEX('Test catalog'!$K$2:$K$200,MATCH($AB538,'Test catalog'!$A$2:$A$200,0))),"")</f>
        <v/>
      </c>
      <c r="R538" s="5" t="n"/>
      <c r="S538" s="10">
        <f>IFERROR(IF(INDEX('Test catalog'!$L$2:$L$200,MATCH($AB538,'Test catalog'!$A$2:$A$200,0))="","",INDEX('Test catalog'!$L$2:$L$200,MATCH($AB538,'Test catalog'!$A$2:$A$200,0))),"")</f>
        <v/>
      </c>
      <c r="T538" s="10">
        <f>IFERROR(IF(INDEX('Test catalog'!$M$2:$M$200,MATCH($AB538,'Test catalog'!$A$2:$A$200,0))="","",INDEX('Test catalog'!$M$2:$M$200,MATCH($AB538,'Test catalog'!$A$2:$A$200,0))),"")</f>
        <v/>
      </c>
      <c r="U538" s="10">
        <f>IFERROR(IF(INDEX('Test catalog'!$N$2:$N$200,MATCH($AB538,'Test catalog'!$A$2:$A$200,0))="","",INDEX('Test catalog'!$N$2:$N$200,MATCH($AB538,'Test catalog'!$A$2:$A$200,0))),"")</f>
        <v/>
      </c>
      <c r="V538" s="15" t="n"/>
      <c r="W538" s="5" t="inlineStr">
        <is>
          <t>N</t>
        </is>
      </c>
      <c r="X538" s="5" t="n"/>
      <c r="Y538" s="5" t="n"/>
      <c r="Z538" s="5" t="n"/>
      <c r="AA538" s="10">
        <f>IFERROR(IF(INDEX('Test catalog'!$O$2:$O$200,MATCH($AB538,'Test catalog'!$A$2:$A$200,0))="","",INDEX('Test catalog'!$O$2:$O$200,MATCH($AB538,'Test catalog'!$A$2:$A$200,0))),"")</f>
        <v/>
      </c>
      <c r="AB538" s="10" t="inlineStr">
        <is>
          <t>APPEAR</t>
        </is>
      </c>
      <c r="AC538" s="10" t="inlineStr">
        <is>
          <t>Lab practice (not a USP test)</t>
        </is>
      </c>
      <c r="AD538" s="10" t="n"/>
      <c r="AE538" s="10" t="n"/>
    </row>
    <row r="539">
      <c r="A539" s="10" t="inlineStr">
        <is>
          <t>Meglumine</t>
        </is>
      </c>
      <c r="B539" s="10" t="inlineStr">
        <is>
          <t>RM</t>
        </is>
      </c>
      <c r="C539" s="10" t="inlineStr">
        <is>
          <t>Alkalizer / Solubilizer</t>
        </is>
      </c>
      <c r="D539" s="10" t="inlineStr">
        <is>
          <t>ID A - chemical reaction</t>
        </is>
      </c>
      <c r="E539" s="10">
        <f>IF(A539="","",A539&amp;"|"&amp;D539)</f>
        <v/>
      </c>
      <c r="F539" s="5" t="inlineStr">
        <is>
          <t>Y</t>
        </is>
      </c>
      <c r="G539" s="5" t="inlineStr">
        <is>
          <t>Other / bench</t>
        </is>
      </c>
      <c r="H539" s="5" t="inlineStr">
        <is>
          <t>Low</t>
        </is>
      </c>
      <c r="I539" s="5" t="n">
        <v>1</v>
      </c>
      <c r="J539" s="5" t="n"/>
      <c r="K539" s="10">
        <f>IFERROR(IF(INDEX('Test catalog'!$F$2:$F$200,MATCH($AB539,'Test catalog'!$A$2:$A$200,0))="","",INDEX('Test catalog'!$F$2:$F$200,MATCH($AB539,'Test catalog'!$A$2:$A$200,0))),"")</f>
        <v/>
      </c>
      <c r="L539" s="10">
        <f>IFERROR(IF(INDEX('Test catalog'!$G$2:$G$200,MATCH($AB539,'Test catalog'!$A$2:$A$200,0))="","",INDEX('Test catalog'!$G$2:$G$200,MATCH($AB539,'Test catalog'!$A$2:$A$200,0))),"")</f>
        <v/>
      </c>
      <c r="M539" s="10">
        <f>IFERROR(IF(INDEX('Test catalog'!$H$2:$H$200,MATCH($AB539,'Test catalog'!$A$2:$A$200,0))="","",INDEX('Test catalog'!$H$2:$H$200,MATCH($AB539,'Test catalog'!$A$2:$A$200,0))),"")</f>
        <v/>
      </c>
      <c r="N539" s="10">
        <f>IFERROR(IF(INDEX('Test catalog'!$I$2:$I$200,MATCH($AB539,'Test catalog'!$A$2:$A$200,0))="","",INDEX('Test catalog'!$I$2:$I$200,MATCH($AB539,'Test catalog'!$A$2:$A$200,0))),"")</f>
        <v/>
      </c>
      <c r="O539" s="10">
        <f>IFERROR(IF(INDEX('Test catalog'!$J$2:$J$200,MATCH($AB539,'Test catalog'!$A$2:$A$200,0))="","",INDEX('Test catalog'!$J$2:$J$200,MATCH($AB539,'Test catalog'!$A$2:$A$200,0))),"")</f>
        <v/>
      </c>
      <c r="P539" s="14">
        <f>IF(N539="","",IF(OR(M539="",O539=""),N539,(M539+4*N539+O539)/6))</f>
        <v/>
      </c>
      <c r="Q539" s="10">
        <f>IFERROR(IF(INDEX('Test catalog'!$K$2:$K$200,MATCH($AB539,'Test catalog'!$A$2:$A$200,0))="","",INDEX('Test catalog'!$K$2:$K$200,MATCH($AB539,'Test catalog'!$A$2:$A$200,0))),"")</f>
        <v/>
      </c>
      <c r="R539" s="5" t="n"/>
      <c r="S539" s="10">
        <f>IFERROR(IF(INDEX('Test catalog'!$L$2:$L$200,MATCH($AB539,'Test catalog'!$A$2:$A$200,0))="","",INDEX('Test catalog'!$L$2:$L$200,MATCH($AB539,'Test catalog'!$A$2:$A$200,0))),"")</f>
        <v/>
      </c>
      <c r="T539" s="10">
        <f>IFERROR(IF(INDEX('Test catalog'!$M$2:$M$200,MATCH($AB539,'Test catalog'!$A$2:$A$200,0))="","",INDEX('Test catalog'!$M$2:$M$200,MATCH($AB539,'Test catalog'!$A$2:$A$200,0))),"")</f>
        <v/>
      </c>
      <c r="U539" s="10">
        <f>IFERROR(IF(INDEX('Test catalog'!$N$2:$N$200,MATCH($AB539,'Test catalog'!$A$2:$A$200,0))="","",INDEX('Test catalog'!$N$2:$N$200,MATCH($AB539,'Test catalog'!$A$2:$A$200,0))),"")</f>
        <v/>
      </c>
      <c r="V539" s="15" t="n"/>
      <c r="W539" s="5" t="inlineStr">
        <is>
          <t>N</t>
        </is>
      </c>
      <c r="X539" s="5" t="n"/>
      <c r="Y539" s="5" t="n"/>
      <c r="Z539" s="5" t="n"/>
      <c r="AA539" s="10">
        <f>IFERROR(IF(INDEX('Test catalog'!$O$2:$O$200,MATCH($AB539,'Test catalog'!$A$2:$A$200,0))="","",INDEX('Test catalog'!$O$2:$O$200,MATCH($AB539,'Test catalog'!$A$2:$A$200,0))),"")</f>
        <v/>
      </c>
      <c r="AB539" s="10" t="inlineStr">
        <is>
          <t>ID_CHEM</t>
        </is>
      </c>
      <c r="AC539" s="10" t="inlineStr">
        <is>
          <t>Meglumine · Identification</t>
        </is>
      </c>
      <c r="AD539" s="10" t="n"/>
      <c r="AE539" s="10" t="n"/>
    </row>
    <row r="540">
      <c r="A540" s="10" t="inlineStr">
        <is>
          <t>Meglumine</t>
        </is>
      </c>
      <c r="B540" s="10" t="inlineStr">
        <is>
          <t>RM</t>
        </is>
      </c>
      <c r="C540" s="10" t="inlineStr">
        <is>
          <t>Alkalizer / Solubilizer</t>
        </is>
      </c>
      <c r="D540" s="10" t="inlineStr">
        <is>
          <t>ID - Assay or test by titration</t>
        </is>
      </c>
      <c r="E540" s="10">
        <f>IF(A540="","",A540&amp;"|"&amp;D540)</f>
        <v/>
      </c>
      <c r="F540" s="5" t="inlineStr">
        <is>
          <t>Y</t>
        </is>
      </c>
      <c r="G540" s="5" t="inlineStr">
        <is>
          <t>Other / bench</t>
        </is>
      </c>
      <c r="H540" s="5" t="inlineStr">
        <is>
          <t>Low</t>
        </is>
      </c>
      <c r="I540" s="5" t="n">
        <v>1</v>
      </c>
      <c r="J540" s="5" t="n"/>
      <c r="K540" s="10">
        <f>IFERROR(IF(INDEX('Test catalog'!$F$2:$F$200,MATCH($AB540,'Test catalog'!$A$2:$A$200,0))="","",INDEX('Test catalog'!$F$2:$F$200,MATCH($AB540,'Test catalog'!$A$2:$A$200,0))),"")</f>
        <v/>
      </c>
      <c r="L540" s="10">
        <f>IFERROR(IF(INDEX('Test catalog'!$G$2:$G$200,MATCH($AB540,'Test catalog'!$A$2:$A$200,0))="","",INDEX('Test catalog'!$G$2:$G$200,MATCH($AB540,'Test catalog'!$A$2:$A$200,0))),"")</f>
        <v/>
      </c>
      <c r="M540" s="10">
        <f>IFERROR(IF(INDEX('Test catalog'!$H$2:$H$200,MATCH($AB540,'Test catalog'!$A$2:$A$200,0))="","",INDEX('Test catalog'!$H$2:$H$200,MATCH($AB540,'Test catalog'!$A$2:$A$200,0))),"")</f>
        <v/>
      </c>
      <c r="N540" s="10">
        <f>IFERROR(IF(INDEX('Test catalog'!$I$2:$I$200,MATCH($AB540,'Test catalog'!$A$2:$A$200,0))="","",INDEX('Test catalog'!$I$2:$I$200,MATCH($AB540,'Test catalog'!$A$2:$A$200,0))),"")</f>
        <v/>
      </c>
      <c r="O540" s="10">
        <f>IFERROR(IF(INDEX('Test catalog'!$J$2:$J$200,MATCH($AB540,'Test catalog'!$A$2:$A$200,0))="","",INDEX('Test catalog'!$J$2:$J$200,MATCH($AB540,'Test catalog'!$A$2:$A$200,0))),"")</f>
        <v/>
      </c>
      <c r="P540" s="14">
        <f>IF(N540="","",IF(OR(M540="",O540=""),N540,(M540+4*N540+O540)/6))</f>
        <v/>
      </c>
      <c r="Q540" s="10">
        <f>IFERROR(IF(INDEX('Test catalog'!$K$2:$K$200,MATCH($AB540,'Test catalog'!$A$2:$A$200,0))="","",INDEX('Test catalog'!$K$2:$K$200,MATCH($AB540,'Test catalog'!$A$2:$A$200,0))),"")</f>
        <v/>
      </c>
      <c r="R540" s="5" t="n"/>
      <c r="S540" s="10">
        <f>IFERROR(IF(INDEX('Test catalog'!$L$2:$L$200,MATCH($AB540,'Test catalog'!$A$2:$A$200,0))="","",INDEX('Test catalog'!$L$2:$L$200,MATCH($AB540,'Test catalog'!$A$2:$A$200,0))),"")</f>
        <v/>
      </c>
      <c r="T540" s="10">
        <f>IFERROR(IF(INDEX('Test catalog'!$M$2:$M$200,MATCH($AB540,'Test catalog'!$A$2:$A$200,0))="","",INDEX('Test catalog'!$M$2:$M$200,MATCH($AB540,'Test catalog'!$A$2:$A$200,0))),"")</f>
        <v/>
      </c>
      <c r="U540" s="10">
        <f>IFERROR(IF(INDEX('Test catalog'!$N$2:$N$200,MATCH($AB540,'Test catalog'!$A$2:$A$200,0))="","",INDEX('Test catalog'!$N$2:$N$200,MATCH($AB540,'Test catalog'!$A$2:$A$200,0))),"")</f>
        <v/>
      </c>
      <c r="V540" s="15" t="n"/>
      <c r="W540" s="5" t="inlineStr">
        <is>
          <t>N</t>
        </is>
      </c>
      <c r="X540" s="5" t="n"/>
      <c r="Y540" s="5" t="n"/>
      <c r="Z540" s="5" t="n"/>
      <c r="AA540" s="10">
        <f>IFERROR(IF(INDEX('Test catalog'!$O$2:$O$200,MATCH($AB540,'Test catalog'!$A$2:$A$200,0))="","",INDEX('Test catalog'!$O$2:$O$200,MATCH($AB540,'Test catalog'!$A$2:$A$200,0))),"")</f>
        <v/>
      </c>
      <c r="AB540" s="10" t="inlineStr">
        <is>
          <t>TITR</t>
        </is>
      </c>
      <c r="AC540" s="10" t="inlineStr">
        <is>
          <t>Meglumine · Identification</t>
        </is>
      </c>
      <c r="AD540" s="10" t="n"/>
      <c r="AE540" s="10" t="n"/>
    </row>
    <row r="541">
      <c r="A541" s="10" t="inlineStr">
        <is>
          <t>Meglumine</t>
        </is>
      </c>
      <c r="B541" s="10" t="inlineStr">
        <is>
          <t>RM</t>
        </is>
      </c>
      <c r="C541" s="10" t="inlineStr">
        <is>
          <t>Alkalizer / Solubilizer</t>
        </is>
      </c>
      <c r="D541" s="10" t="inlineStr">
        <is>
          <t>Residue on Ignition</t>
        </is>
      </c>
      <c r="E541" s="10">
        <f>IF(A541="","",A541&amp;"|"&amp;D541)</f>
        <v/>
      </c>
      <c r="F541" s="5" t="inlineStr">
        <is>
          <t>Y</t>
        </is>
      </c>
      <c r="G541" s="5" t="inlineStr">
        <is>
          <t>Other / bench</t>
        </is>
      </c>
      <c r="H541" s="5" t="inlineStr">
        <is>
          <t>Low</t>
        </is>
      </c>
      <c r="I541" s="5" t="n">
        <v>1</v>
      </c>
      <c r="J541" s="5" t="n"/>
      <c r="K541" s="10">
        <f>IFERROR(IF(INDEX('Test catalog'!$F$2:$F$200,MATCH($AB541,'Test catalog'!$A$2:$A$200,0))="","",INDEX('Test catalog'!$F$2:$F$200,MATCH($AB541,'Test catalog'!$A$2:$A$200,0))),"")</f>
        <v/>
      </c>
      <c r="L541" s="10">
        <f>IFERROR(IF(INDEX('Test catalog'!$G$2:$G$200,MATCH($AB541,'Test catalog'!$A$2:$A$200,0))="","",INDEX('Test catalog'!$G$2:$G$200,MATCH($AB541,'Test catalog'!$A$2:$A$200,0))),"")</f>
        <v/>
      </c>
      <c r="M541" s="10">
        <f>IFERROR(IF(INDEX('Test catalog'!$H$2:$H$200,MATCH($AB541,'Test catalog'!$A$2:$A$200,0))="","",INDEX('Test catalog'!$H$2:$H$200,MATCH($AB541,'Test catalog'!$A$2:$A$200,0))),"")</f>
        <v/>
      </c>
      <c r="N541" s="10">
        <f>IFERROR(IF(INDEX('Test catalog'!$I$2:$I$200,MATCH($AB541,'Test catalog'!$A$2:$A$200,0))="","",INDEX('Test catalog'!$I$2:$I$200,MATCH($AB541,'Test catalog'!$A$2:$A$200,0))),"")</f>
        <v/>
      </c>
      <c r="O541" s="10">
        <f>IFERROR(IF(INDEX('Test catalog'!$J$2:$J$200,MATCH($AB541,'Test catalog'!$A$2:$A$200,0))="","",INDEX('Test catalog'!$J$2:$J$200,MATCH($AB541,'Test catalog'!$A$2:$A$200,0))),"")</f>
        <v/>
      </c>
      <c r="P541" s="14">
        <f>IF(N541="","",IF(OR(M541="",O541=""),N541,(M541+4*N541+O541)/6))</f>
        <v/>
      </c>
      <c r="Q541" s="10">
        <f>IFERROR(IF(INDEX('Test catalog'!$K$2:$K$200,MATCH($AB541,'Test catalog'!$A$2:$A$200,0))="","",INDEX('Test catalog'!$K$2:$K$200,MATCH($AB541,'Test catalog'!$A$2:$A$200,0))),"")</f>
        <v/>
      </c>
      <c r="R541" s="5" t="n"/>
      <c r="S541" s="10">
        <f>IFERROR(IF(INDEX('Test catalog'!$L$2:$L$200,MATCH($AB541,'Test catalog'!$A$2:$A$200,0))="","",INDEX('Test catalog'!$L$2:$L$200,MATCH($AB541,'Test catalog'!$A$2:$A$200,0))),"")</f>
        <v/>
      </c>
      <c r="T541" s="10">
        <f>IFERROR(IF(INDEX('Test catalog'!$M$2:$M$200,MATCH($AB541,'Test catalog'!$A$2:$A$200,0))="","",INDEX('Test catalog'!$M$2:$M$200,MATCH($AB541,'Test catalog'!$A$2:$A$200,0))),"")</f>
        <v/>
      </c>
      <c r="U541" s="10">
        <f>IFERROR(IF(INDEX('Test catalog'!$N$2:$N$200,MATCH($AB541,'Test catalog'!$A$2:$A$200,0))="","",INDEX('Test catalog'!$N$2:$N$200,MATCH($AB541,'Test catalog'!$A$2:$A$200,0))),"")</f>
        <v/>
      </c>
      <c r="V541" s="15" t="n"/>
      <c r="W541" s="5" t="inlineStr">
        <is>
          <t>N</t>
        </is>
      </c>
      <c r="X541" s="5" t="n"/>
      <c r="Y541" s="5" t="n"/>
      <c r="Z541" s="5" t="n"/>
      <c r="AA541" s="10">
        <f>IFERROR(IF(INDEX('Test catalog'!$O$2:$O$200,MATCH($AB541,'Test catalog'!$A$2:$A$200,0))="","",INDEX('Test catalog'!$O$2:$O$200,MATCH($AB541,'Test catalog'!$A$2:$A$200,0))),"")</f>
        <v/>
      </c>
      <c r="AB541" s="10" t="inlineStr">
        <is>
          <t>ROI</t>
        </is>
      </c>
      <c r="AC541" s="10" t="inlineStr">
        <is>
          <t>Meglumine · Impurities &lt;281&gt;</t>
        </is>
      </c>
      <c r="AD541" s="10" t="n"/>
      <c r="AE541" s="10" t="n"/>
    </row>
    <row r="542">
      <c r="A542" s="10" t="inlineStr">
        <is>
          <t>Meglumine</t>
        </is>
      </c>
      <c r="B542" s="10" t="inlineStr">
        <is>
          <t>RM</t>
        </is>
      </c>
      <c r="C542" s="10" t="inlineStr">
        <is>
          <t>Alkalizer / Solubilizer</t>
        </is>
      </c>
      <c r="D542" s="10" t="inlineStr">
        <is>
          <t>Absence of Reducing Substances</t>
        </is>
      </c>
      <c r="E542" s="10">
        <f>IF(A542="","",A542&amp;"|"&amp;D542)</f>
        <v/>
      </c>
      <c r="F542" s="5" t="inlineStr">
        <is>
          <t>Y</t>
        </is>
      </c>
      <c r="G542" s="5" t="inlineStr">
        <is>
          <t>Other / bench</t>
        </is>
      </c>
      <c r="H542" s="5" t="inlineStr">
        <is>
          <t>Low</t>
        </is>
      </c>
      <c r="I542" s="5" t="n">
        <v>1</v>
      </c>
      <c r="J542" s="5" t="n"/>
      <c r="K542" s="10">
        <f>IFERROR(IF(INDEX('Test catalog'!$F$2:$F$200,MATCH($AB542,'Test catalog'!$A$2:$A$200,0))="","",INDEX('Test catalog'!$F$2:$F$200,MATCH($AB542,'Test catalog'!$A$2:$A$200,0))),"")</f>
        <v/>
      </c>
      <c r="L542" s="10">
        <f>IFERROR(IF(INDEX('Test catalog'!$G$2:$G$200,MATCH($AB542,'Test catalog'!$A$2:$A$200,0))="","",INDEX('Test catalog'!$G$2:$G$200,MATCH($AB542,'Test catalog'!$A$2:$A$200,0))),"")</f>
        <v/>
      </c>
      <c r="M542" s="10">
        <f>IFERROR(IF(INDEX('Test catalog'!$H$2:$H$200,MATCH($AB542,'Test catalog'!$A$2:$A$200,0))="","",INDEX('Test catalog'!$H$2:$H$200,MATCH($AB542,'Test catalog'!$A$2:$A$200,0))),"")</f>
        <v/>
      </c>
      <c r="N542" s="10">
        <f>IFERROR(IF(INDEX('Test catalog'!$I$2:$I$200,MATCH($AB542,'Test catalog'!$A$2:$A$200,0))="","",INDEX('Test catalog'!$I$2:$I$200,MATCH($AB542,'Test catalog'!$A$2:$A$200,0))),"")</f>
        <v/>
      </c>
      <c r="O542" s="10">
        <f>IFERROR(IF(INDEX('Test catalog'!$J$2:$J$200,MATCH($AB542,'Test catalog'!$A$2:$A$200,0))="","",INDEX('Test catalog'!$J$2:$J$200,MATCH($AB542,'Test catalog'!$A$2:$A$200,0))),"")</f>
        <v/>
      </c>
      <c r="P542" s="14">
        <f>IF(N542="","",IF(OR(M542="",O542=""),N542,(M542+4*N542+O542)/6))</f>
        <v/>
      </c>
      <c r="Q542" s="10">
        <f>IFERROR(IF(INDEX('Test catalog'!$K$2:$K$200,MATCH($AB542,'Test catalog'!$A$2:$A$200,0))="","",INDEX('Test catalog'!$K$2:$K$200,MATCH($AB542,'Test catalog'!$A$2:$A$200,0))),"")</f>
        <v/>
      </c>
      <c r="R542" s="5" t="n"/>
      <c r="S542" s="10">
        <f>IFERROR(IF(INDEX('Test catalog'!$L$2:$L$200,MATCH($AB542,'Test catalog'!$A$2:$A$200,0))="","",INDEX('Test catalog'!$L$2:$L$200,MATCH($AB542,'Test catalog'!$A$2:$A$200,0))),"")</f>
        <v/>
      </c>
      <c r="T542" s="10">
        <f>IFERROR(IF(INDEX('Test catalog'!$M$2:$M$200,MATCH($AB542,'Test catalog'!$A$2:$A$200,0))="","",INDEX('Test catalog'!$M$2:$M$200,MATCH($AB542,'Test catalog'!$A$2:$A$200,0))),"")</f>
        <v/>
      </c>
      <c r="U542" s="10">
        <f>IFERROR(IF(INDEX('Test catalog'!$N$2:$N$200,MATCH($AB542,'Test catalog'!$A$2:$A$200,0))="","",INDEX('Test catalog'!$N$2:$N$200,MATCH($AB542,'Test catalog'!$A$2:$A$200,0))),"")</f>
        <v/>
      </c>
      <c r="V542" s="15" t="n"/>
      <c r="W542" s="5" t="inlineStr">
        <is>
          <t>N</t>
        </is>
      </c>
      <c r="X542" s="5" t="n"/>
      <c r="Y542" s="5" t="n"/>
      <c r="Z542" s="5" t="n"/>
      <c r="AA542" s="10">
        <f>IFERROR(IF(INDEX('Test catalog'!$O$2:$O$200,MATCH($AB542,'Test catalog'!$A$2:$A$200,0))="","",INDEX('Test catalog'!$O$2:$O$200,MATCH($AB542,'Test catalog'!$A$2:$A$200,0))),"")</f>
        <v/>
      </c>
      <c r="AB542" s="10" t="inlineStr">
        <is>
          <t>LIMIT</t>
        </is>
      </c>
      <c r="AC542" s="10" t="inlineStr">
        <is>
          <t>Meglumine · Specific Tests</t>
        </is>
      </c>
      <c r="AD542" s="10" t="n"/>
      <c r="AE542" s="10" t="n"/>
    </row>
    <row r="543">
      <c r="A543" s="10" t="inlineStr">
        <is>
          <t>Meglumine</t>
        </is>
      </c>
      <c r="B543" s="10" t="inlineStr">
        <is>
          <t>RM</t>
        </is>
      </c>
      <c r="C543" s="10" t="inlineStr">
        <is>
          <t>Alkalizer / Solubilizer</t>
        </is>
      </c>
      <c r="D543" s="10" t="inlineStr">
        <is>
          <t>Completeness and Color of Solution</t>
        </is>
      </c>
      <c r="E543" s="10">
        <f>IF(A543="","",A543&amp;"|"&amp;D543)</f>
        <v/>
      </c>
      <c r="F543" s="5" t="inlineStr">
        <is>
          <t>Y</t>
        </is>
      </c>
      <c r="G543" s="5" t="inlineStr">
        <is>
          <t>UV-Vis</t>
        </is>
      </c>
      <c r="H543" s="5" t="inlineStr">
        <is>
          <t>Low</t>
        </is>
      </c>
      <c r="I543" s="5" t="n">
        <v>1</v>
      </c>
      <c r="J543" s="5" t="n"/>
      <c r="K543" s="10">
        <f>IFERROR(IF(INDEX('Test catalog'!$F$2:$F$200,MATCH($AB543,'Test catalog'!$A$2:$A$200,0))="","",INDEX('Test catalog'!$F$2:$F$200,MATCH($AB543,'Test catalog'!$A$2:$A$200,0))),"")</f>
        <v/>
      </c>
      <c r="L543" s="10">
        <f>IFERROR(IF(INDEX('Test catalog'!$G$2:$G$200,MATCH($AB543,'Test catalog'!$A$2:$A$200,0))="","",INDEX('Test catalog'!$G$2:$G$200,MATCH($AB543,'Test catalog'!$A$2:$A$200,0))),"")</f>
        <v/>
      </c>
      <c r="M543" s="10">
        <f>IFERROR(IF(INDEX('Test catalog'!$H$2:$H$200,MATCH($AB543,'Test catalog'!$A$2:$A$200,0))="","",INDEX('Test catalog'!$H$2:$H$200,MATCH($AB543,'Test catalog'!$A$2:$A$200,0))),"")</f>
        <v/>
      </c>
      <c r="N543" s="10">
        <f>IFERROR(IF(INDEX('Test catalog'!$I$2:$I$200,MATCH($AB543,'Test catalog'!$A$2:$A$200,0))="","",INDEX('Test catalog'!$I$2:$I$200,MATCH($AB543,'Test catalog'!$A$2:$A$200,0))),"")</f>
        <v/>
      </c>
      <c r="O543" s="10">
        <f>IFERROR(IF(INDEX('Test catalog'!$J$2:$J$200,MATCH($AB543,'Test catalog'!$A$2:$A$200,0))="","",INDEX('Test catalog'!$J$2:$J$200,MATCH($AB543,'Test catalog'!$A$2:$A$200,0))),"")</f>
        <v/>
      </c>
      <c r="P543" s="14">
        <f>IF(N543="","",IF(OR(M543="",O543=""),N543,(M543+4*N543+O543)/6))</f>
        <v/>
      </c>
      <c r="Q543" s="10">
        <f>IFERROR(IF(INDEX('Test catalog'!$K$2:$K$200,MATCH($AB543,'Test catalog'!$A$2:$A$200,0))="","",INDEX('Test catalog'!$K$2:$K$200,MATCH($AB543,'Test catalog'!$A$2:$A$200,0))),"")</f>
        <v/>
      </c>
      <c r="R543" s="5" t="n"/>
      <c r="S543" s="10">
        <f>IFERROR(IF(INDEX('Test catalog'!$L$2:$L$200,MATCH($AB543,'Test catalog'!$A$2:$A$200,0))="","",INDEX('Test catalog'!$L$2:$L$200,MATCH($AB543,'Test catalog'!$A$2:$A$200,0))),"")</f>
        <v/>
      </c>
      <c r="T543" s="10">
        <f>IFERROR(IF(INDEX('Test catalog'!$M$2:$M$200,MATCH($AB543,'Test catalog'!$A$2:$A$200,0))="","",INDEX('Test catalog'!$M$2:$M$200,MATCH($AB543,'Test catalog'!$A$2:$A$200,0))),"")</f>
        <v/>
      </c>
      <c r="U543" s="10">
        <f>IFERROR(IF(INDEX('Test catalog'!$N$2:$N$200,MATCH($AB543,'Test catalog'!$A$2:$A$200,0))="","",INDEX('Test catalog'!$N$2:$N$200,MATCH($AB543,'Test catalog'!$A$2:$A$200,0))),"")</f>
        <v/>
      </c>
      <c r="V543" s="15" t="n"/>
      <c r="W543" s="5" t="inlineStr">
        <is>
          <t>N</t>
        </is>
      </c>
      <c r="X543" s="5" t="n"/>
      <c r="Y543" s="5" t="n"/>
      <c r="Z543" s="5" t="n"/>
      <c r="AA543" s="10">
        <f>IFERROR(IF(INDEX('Test catalog'!$O$2:$O$200,MATCH($AB543,'Test catalog'!$A$2:$A$200,0))="","",INDEX('Test catalog'!$O$2:$O$200,MATCH($AB543,'Test catalog'!$A$2:$A$200,0))),"")</f>
        <v/>
      </c>
      <c r="AB543" s="10" t="inlineStr">
        <is>
          <t>UV</t>
        </is>
      </c>
      <c r="AC543" s="10" t="inlineStr">
        <is>
          <t>Meglumine · Specific Tests &lt;857&gt;</t>
        </is>
      </c>
      <c r="AD543" s="10" t="n"/>
      <c r="AE543" s="10" t="n"/>
    </row>
    <row r="544">
      <c r="A544" s="10" t="inlineStr">
        <is>
          <t>Meglumine</t>
        </is>
      </c>
      <c r="B544" s="10" t="inlineStr">
        <is>
          <t>RM</t>
        </is>
      </c>
      <c r="C544" s="10" t="inlineStr">
        <is>
          <t>Alkalizer / Solubilizer</t>
        </is>
      </c>
      <c r="D544" s="10" t="inlineStr">
        <is>
          <t>Loss on Drying</t>
        </is>
      </c>
      <c r="E544" s="10">
        <f>IF(A544="","",A544&amp;"|"&amp;D544)</f>
        <v/>
      </c>
      <c r="F544" s="5" t="inlineStr">
        <is>
          <t>Y</t>
        </is>
      </c>
      <c r="G544" s="5" t="inlineStr">
        <is>
          <t>Other / bench</t>
        </is>
      </c>
      <c r="H544" s="5" t="inlineStr">
        <is>
          <t>Low</t>
        </is>
      </c>
      <c r="I544" s="5" t="n">
        <v>1</v>
      </c>
      <c r="J544" s="5" t="n"/>
      <c r="K544" s="10">
        <f>IFERROR(IF(INDEX('Test catalog'!$F$2:$F$200,MATCH($AB544,'Test catalog'!$A$2:$A$200,0))="","",INDEX('Test catalog'!$F$2:$F$200,MATCH($AB544,'Test catalog'!$A$2:$A$200,0))),"")</f>
        <v/>
      </c>
      <c r="L544" s="10">
        <f>IFERROR(IF(INDEX('Test catalog'!$G$2:$G$200,MATCH($AB544,'Test catalog'!$A$2:$A$200,0))="","",INDEX('Test catalog'!$G$2:$G$200,MATCH($AB544,'Test catalog'!$A$2:$A$200,0))),"")</f>
        <v/>
      </c>
      <c r="M544" s="10">
        <f>IFERROR(IF(INDEX('Test catalog'!$H$2:$H$200,MATCH($AB544,'Test catalog'!$A$2:$A$200,0))="","",INDEX('Test catalog'!$H$2:$H$200,MATCH($AB544,'Test catalog'!$A$2:$A$200,0))),"")</f>
        <v/>
      </c>
      <c r="N544" s="10">
        <f>IFERROR(IF(INDEX('Test catalog'!$I$2:$I$200,MATCH($AB544,'Test catalog'!$A$2:$A$200,0))="","",INDEX('Test catalog'!$I$2:$I$200,MATCH($AB544,'Test catalog'!$A$2:$A$200,0))),"")</f>
        <v/>
      </c>
      <c r="O544" s="10">
        <f>IFERROR(IF(INDEX('Test catalog'!$J$2:$J$200,MATCH($AB544,'Test catalog'!$A$2:$A$200,0))="","",INDEX('Test catalog'!$J$2:$J$200,MATCH($AB544,'Test catalog'!$A$2:$A$200,0))),"")</f>
        <v/>
      </c>
      <c r="P544" s="14">
        <f>IF(N544="","",IF(OR(M544="",O544=""),N544,(M544+4*N544+O544)/6))</f>
        <v/>
      </c>
      <c r="Q544" s="10">
        <f>IFERROR(IF(INDEX('Test catalog'!$K$2:$K$200,MATCH($AB544,'Test catalog'!$A$2:$A$200,0))="","",INDEX('Test catalog'!$K$2:$K$200,MATCH($AB544,'Test catalog'!$A$2:$A$200,0))),"")</f>
        <v/>
      </c>
      <c r="R544" s="5" t="n"/>
      <c r="S544" s="10">
        <f>IFERROR(IF(INDEX('Test catalog'!$L$2:$L$200,MATCH($AB544,'Test catalog'!$A$2:$A$200,0))="","",INDEX('Test catalog'!$L$2:$L$200,MATCH($AB544,'Test catalog'!$A$2:$A$200,0))),"")</f>
        <v/>
      </c>
      <c r="T544" s="10">
        <f>IFERROR(IF(INDEX('Test catalog'!$M$2:$M$200,MATCH($AB544,'Test catalog'!$A$2:$A$200,0))="","",INDEX('Test catalog'!$M$2:$M$200,MATCH($AB544,'Test catalog'!$A$2:$A$200,0))),"")</f>
        <v/>
      </c>
      <c r="U544" s="10">
        <f>IFERROR(IF(INDEX('Test catalog'!$N$2:$N$200,MATCH($AB544,'Test catalog'!$A$2:$A$200,0))="","",INDEX('Test catalog'!$N$2:$N$200,MATCH($AB544,'Test catalog'!$A$2:$A$200,0))),"")</f>
        <v/>
      </c>
      <c r="V544" s="15" t="n"/>
      <c r="W544" s="5" t="inlineStr">
        <is>
          <t>N</t>
        </is>
      </c>
      <c r="X544" s="5" t="n"/>
      <c r="Y544" s="5" t="n"/>
      <c r="Z544" s="5" t="n"/>
      <c r="AA544" s="10">
        <f>IFERROR(IF(INDEX('Test catalog'!$O$2:$O$200,MATCH($AB544,'Test catalog'!$A$2:$A$200,0))="","",INDEX('Test catalog'!$O$2:$O$200,MATCH($AB544,'Test catalog'!$A$2:$A$200,0))),"")</f>
        <v/>
      </c>
      <c r="AB544" s="10" t="inlineStr">
        <is>
          <t>LOD</t>
        </is>
      </c>
      <c r="AC544" s="10" t="inlineStr">
        <is>
          <t>Meglumine · Specific Tests &lt;731&gt;</t>
        </is>
      </c>
      <c r="AD544" s="10" t="n"/>
      <c r="AE544" s="10" t="n"/>
    </row>
    <row r="545">
      <c r="A545" s="10" t="inlineStr">
        <is>
          <t>Meglumine</t>
        </is>
      </c>
      <c r="B545" s="10" t="inlineStr">
        <is>
          <t>RM</t>
        </is>
      </c>
      <c r="C545" s="10" t="inlineStr">
        <is>
          <t>Alkalizer / Solubilizer</t>
        </is>
      </c>
      <c r="D545" s="10" t="inlineStr">
        <is>
          <t>Melting Range or Temperature</t>
        </is>
      </c>
      <c r="E545" s="10">
        <f>IF(A545="","",A545&amp;"|"&amp;D545)</f>
        <v/>
      </c>
      <c r="F545" s="5" t="inlineStr">
        <is>
          <t>Y</t>
        </is>
      </c>
      <c r="G545" s="5" t="inlineStr">
        <is>
          <t>Other / bench</t>
        </is>
      </c>
      <c r="H545" s="5" t="inlineStr">
        <is>
          <t>Low</t>
        </is>
      </c>
      <c r="I545" s="5" t="n">
        <v>1</v>
      </c>
      <c r="J545" s="5" t="n"/>
      <c r="K545" s="10">
        <f>IFERROR(IF(INDEX('Test catalog'!$F$2:$F$200,MATCH($AB545,'Test catalog'!$A$2:$A$200,0))="","",INDEX('Test catalog'!$F$2:$F$200,MATCH($AB545,'Test catalog'!$A$2:$A$200,0))),"")</f>
        <v/>
      </c>
      <c r="L545" s="10">
        <f>IFERROR(IF(INDEX('Test catalog'!$G$2:$G$200,MATCH($AB545,'Test catalog'!$A$2:$A$200,0))="","",INDEX('Test catalog'!$G$2:$G$200,MATCH($AB545,'Test catalog'!$A$2:$A$200,0))),"")</f>
        <v/>
      </c>
      <c r="M545" s="10">
        <f>IFERROR(IF(INDEX('Test catalog'!$H$2:$H$200,MATCH($AB545,'Test catalog'!$A$2:$A$200,0))="","",INDEX('Test catalog'!$H$2:$H$200,MATCH($AB545,'Test catalog'!$A$2:$A$200,0))),"")</f>
        <v/>
      </c>
      <c r="N545" s="10">
        <f>IFERROR(IF(INDEX('Test catalog'!$I$2:$I$200,MATCH($AB545,'Test catalog'!$A$2:$A$200,0))="","",INDEX('Test catalog'!$I$2:$I$200,MATCH($AB545,'Test catalog'!$A$2:$A$200,0))),"")</f>
        <v/>
      </c>
      <c r="O545" s="10">
        <f>IFERROR(IF(INDEX('Test catalog'!$J$2:$J$200,MATCH($AB545,'Test catalog'!$A$2:$A$200,0))="","",INDEX('Test catalog'!$J$2:$J$200,MATCH($AB545,'Test catalog'!$A$2:$A$200,0))),"")</f>
        <v/>
      </c>
      <c r="P545" s="14">
        <f>IF(N545="","",IF(OR(M545="",O545=""),N545,(M545+4*N545+O545)/6))</f>
        <v/>
      </c>
      <c r="Q545" s="10">
        <f>IFERROR(IF(INDEX('Test catalog'!$K$2:$K$200,MATCH($AB545,'Test catalog'!$A$2:$A$200,0))="","",INDEX('Test catalog'!$K$2:$K$200,MATCH($AB545,'Test catalog'!$A$2:$A$200,0))),"")</f>
        <v/>
      </c>
      <c r="R545" s="5" t="n"/>
      <c r="S545" s="10">
        <f>IFERROR(IF(INDEX('Test catalog'!$L$2:$L$200,MATCH($AB545,'Test catalog'!$A$2:$A$200,0))="","",INDEX('Test catalog'!$L$2:$L$200,MATCH($AB545,'Test catalog'!$A$2:$A$200,0))),"")</f>
        <v/>
      </c>
      <c r="T545" s="10">
        <f>IFERROR(IF(INDEX('Test catalog'!$M$2:$M$200,MATCH($AB545,'Test catalog'!$A$2:$A$200,0))="","",INDEX('Test catalog'!$M$2:$M$200,MATCH($AB545,'Test catalog'!$A$2:$A$200,0))),"")</f>
        <v/>
      </c>
      <c r="U545" s="10">
        <f>IFERROR(IF(INDEX('Test catalog'!$N$2:$N$200,MATCH($AB545,'Test catalog'!$A$2:$A$200,0))="","",INDEX('Test catalog'!$N$2:$N$200,MATCH($AB545,'Test catalog'!$A$2:$A$200,0))),"")</f>
        <v/>
      </c>
      <c r="V545" s="15" t="n"/>
      <c r="W545" s="5" t="inlineStr">
        <is>
          <t>N</t>
        </is>
      </c>
      <c r="X545" s="5" t="n"/>
      <c r="Y545" s="5" t="n"/>
      <c r="Z545" s="5" t="n"/>
      <c r="AA545" s="10">
        <f>IFERROR(IF(INDEX('Test catalog'!$O$2:$O$200,MATCH($AB545,'Test catalog'!$A$2:$A$200,0))="","",INDEX('Test catalog'!$O$2:$O$200,MATCH($AB545,'Test catalog'!$A$2:$A$200,0))),"")</f>
        <v/>
      </c>
      <c r="AB545" s="10" t="inlineStr">
        <is>
          <t>MP</t>
        </is>
      </c>
      <c r="AC545" s="10" t="inlineStr">
        <is>
          <t>Meglumine · Specific Tests &lt;741&gt;</t>
        </is>
      </c>
      <c r="AD545" s="10" t="n"/>
      <c r="AE545" s="10" t="n"/>
    </row>
    <row r="546">
      <c r="A546" s="10" t="inlineStr">
        <is>
          <t>Meglumine</t>
        </is>
      </c>
      <c r="B546" s="10" t="inlineStr">
        <is>
          <t>RM</t>
        </is>
      </c>
      <c r="C546" s="10" t="inlineStr">
        <is>
          <t>Alkalizer / Solubilizer</t>
        </is>
      </c>
      <c r="D546" s="10" t="inlineStr">
        <is>
          <t>Optical Rotation, Specific Rotation</t>
        </is>
      </c>
      <c r="E546" s="10">
        <f>IF(A546="","",A546&amp;"|"&amp;D546)</f>
        <v/>
      </c>
      <c r="F546" s="5" t="inlineStr">
        <is>
          <t>Y</t>
        </is>
      </c>
      <c r="G546" s="5" t="inlineStr">
        <is>
          <t>Other / bench</t>
        </is>
      </c>
      <c r="H546" s="5" t="inlineStr">
        <is>
          <t>Low</t>
        </is>
      </c>
      <c r="I546" s="5" t="n">
        <v>1</v>
      </c>
      <c r="J546" s="5" t="n"/>
      <c r="K546" s="10">
        <f>IFERROR(IF(INDEX('Test catalog'!$F$2:$F$200,MATCH($AB546,'Test catalog'!$A$2:$A$200,0))="","",INDEX('Test catalog'!$F$2:$F$200,MATCH($AB546,'Test catalog'!$A$2:$A$200,0))),"")</f>
        <v/>
      </c>
      <c r="L546" s="10">
        <f>IFERROR(IF(INDEX('Test catalog'!$G$2:$G$200,MATCH($AB546,'Test catalog'!$A$2:$A$200,0))="","",INDEX('Test catalog'!$G$2:$G$200,MATCH($AB546,'Test catalog'!$A$2:$A$200,0))),"")</f>
        <v/>
      </c>
      <c r="M546" s="10">
        <f>IFERROR(IF(INDEX('Test catalog'!$H$2:$H$200,MATCH($AB546,'Test catalog'!$A$2:$A$200,0))="","",INDEX('Test catalog'!$H$2:$H$200,MATCH($AB546,'Test catalog'!$A$2:$A$200,0))),"")</f>
        <v/>
      </c>
      <c r="N546" s="10">
        <f>IFERROR(IF(INDEX('Test catalog'!$I$2:$I$200,MATCH($AB546,'Test catalog'!$A$2:$A$200,0))="","",INDEX('Test catalog'!$I$2:$I$200,MATCH($AB546,'Test catalog'!$A$2:$A$200,0))),"")</f>
        <v/>
      </c>
      <c r="O546" s="10">
        <f>IFERROR(IF(INDEX('Test catalog'!$J$2:$J$200,MATCH($AB546,'Test catalog'!$A$2:$A$200,0))="","",INDEX('Test catalog'!$J$2:$J$200,MATCH($AB546,'Test catalog'!$A$2:$A$200,0))),"")</f>
        <v/>
      </c>
      <c r="P546" s="14">
        <f>IF(N546="","",IF(OR(M546="",O546=""),N546,(M546+4*N546+O546)/6))</f>
        <v/>
      </c>
      <c r="Q546" s="10">
        <f>IFERROR(IF(INDEX('Test catalog'!$K$2:$K$200,MATCH($AB546,'Test catalog'!$A$2:$A$200,0))="","",INDEX('Test catalog'!$K$2:$K$200,MATCH($AB546,'Test catalog'!$A$2:$A$200,0))),"")</f>
        <v/>
      </c>
      <c r="R546" s="5" t="n"/>
      <c r="S546" s="10">
        <f>IFERROR(IF(INDEX('Test catalog'!$L$2:$L$200,MATCH($AB546,'Test catalog'!$A$2:$A$200,0))="","",INDEX('Test catalog'!$L$2:$L$200,MATCH($AB546,'Test catalog'!$A$2:$A$200,0))),"")</f>
        <v/>
      </c>
      <c r="T546" s="10">
        <f>IFERROR(IF(INDEX('Test catalog'!$M$2:$M$200,MATCH($AB546,'Test catalog'!$A$2:$A$200,0))="","",INDEX('Test catalog'!$M$2:$M$200,MATCH($AB546,'Test catalog'!$A$2:$A$200,0))),"")</f>
        <v/>
      </c>
      <c r="U546" s="10">
        <f>IFERROR(IF(INDEX('Test catalog'!$N$2:$N$200,MATCH($AB546,'Test catalog'!$A$2:$A$200,0))="","",INDEX('Test catalog'!$N$2:$N$200,MATCH($AB546,'Test catalog'!$A$2:$A$200,0))),"")</f>
        <v/>
      </c>
      <c r="V546" s="15" t="n"/>
      <c r="W546" s="5" t="inlineStr">
        <is>
          <t>N</t>
        </is>
      </c>
      <c r="X546" s="5" t="n"/>
      <c r="Y546" s="5" t="n"/>
      <c r="Z546" s="5" t="n"/>
      <c r="AA546" s="10">
        <f>IFERROR(IF(INDEX('Test catalog'!$O$2:$O$200,MATCH($AB546,'Test catalog'!$A$2:$A$200,0))="","",INDEX('Test catalog'!$O$2:$O$200,MATCH($AB546,'Test catalog'!$A$2:$A$200,0))),"")</f>
        <v/>
      </c>
      <c r="AB546" s="10" t="inlineStr">
        <is>
          <t>OR</t>
        </is>
      </c>
      <c r="AC546" s="10" t="inlineStr">
        <is>
          <t>Meglumine · Specific Tests &lt;781&gt;</t>
        </is>
      </c>
      <c r="AD546" s="10" t="n"/>
      <c r="AE546" s="10" t="n"/>
    </row>
    <row r="547">
      <c r="A547" s="10" t="inlineStr">
        <is>
          <t>Sodium Hydroxide</t>
        </is>
      </c>
      <c r="B547" s="10" t="inlineStr">
        <is>
          <t>RM</t>
        </is>
      </c>
      <c r="C547" s="10" t="inlineStr">
        <is>
          <t>Alkalizer / Solubilizer</t>
        </is>
      </c>
      <c r="D547" s="10" t="inlineStr">
        <is>
          <t>Appearance / description and solubility</t>
        </is>
      </c>
      <c r="E547" s="10">
        <f>IF(A547="","",A547&amp;"|"&amp;D547)</f>
        <v/>
      </c>
      <c r="F547" s="5" t="inlineStr">
        <is>
          <t>Y</t>
        </is>
      </c>
      <c r="G547" s="5" t="inlineStr">
        <is>
          <t>Other / bench</t>
        </is>
      </c>
      <c r="H547" s="5" t="inlineStr">
        <is>
          <t>Low</t>
        </is>
      </c>
      <c r="I547" s="5" t="n">
        <v>1</v>
      </c>
      <c r="J547" s="5" t="n"/>
      <c r="K547" s="10">
        <f>IFERROR(IF(INDEX('Test catalog'!$F$2:$F$200,MATCH($AB547,'Test catalog'!$A$2:$A$200,0))="","",INDEX('Test catalog'!$F$2:$F$200,MATCH($AB547,'Test catalog'!$A$2:$A$200,0))),"")</f>
        <v/>
      </c>
      <c r="L547" s="10">
        <f>IFERROR(IF(INDEX('Test catalog'!$G$2:$G$200,MATCH($AB547,'Test catalog'!$A$2:$A$200,0))="","",INDEX('Test catalog'!$G$2:$G$200,MATCH($AB547,'Test catalog'!$A$2:$A$200,0))),"")</f>
        <v/>
      </c>
      <c r="M547" s="10">
        <f>IFERROR(IF(INDEX('Test catalog'!$H$2:$H$200,MATCH($AB547,'Test catalog'!$A$2:$A$200,0))="","",INDEX('Test catalog'!$H$2:$H$200,MATCH($AB547,'Test catalog'!$A$2:$A$200,0))),"")</f>
        <v/>
      </c>
      <c r="N547" s="10">
        <f>IFERROR(IF(INDEX('Test catalog'!$I$2:$I$200,MATCH($AB547,'Test catalog'!$A$2:$A$200,0))="","",INDEX('Test catalog'!$I$2:$I$200,MATCH($AB547,'Test catalog'!$A$2:$A$200,0))),"")</f>
        <v/>
      </c>
      <c r="O547" s="10">
        <f>IFERROR(IF(INDEX('Test catalog'!$J$2:$J$200,MATCH($AB547,'Test catalog'!$A$2:$A$200,0))="","",INDEX('Test catalog'!$J$2:$J$200,MATCH($AB547,'Test catalog'!$A$2:$A$200,0))),"")</f>
        <v/>
      </c>
      <c r="P547" s="14">
        <f>IF(N547="","",IF(OR(M547="",O547=""),N547,(M547+4*N547+O547)/6))</f>
        <v/>
      </c>
      <c r="Q547" s="10">
        <f>IFERROR(IF(INDEX('Test catalog'!$K$2:$K$200,MATCH($AB547,'Test catalog'!$A$2:$A$200,0))="","",INDEX('Test catalog'!$K$2:$K$200,MATCH($AB547,'Test catalog'!$A$2:$A$200,0))),"")</f>
        <v/>
      </c>
      <c r="R547" s="5" t="n"/>
      <c r="S547" s="10">
        <f>IFERROR(IF(INDEX('Test catalog'!$L$2:$L$200,MATCH($AB547,'Test catalog'!$A$2:$A$200,0))="","",INDEX('Test catalog'!$L$2:$L$200,MATCH($AB547,'Test catalog'!$A$2:$A$200,0))),"")</f>
        <v/>
      </c>
      <c r="T547" s="10">
        <f>IFERROR(IF(INDEX('Test catalog'!$M$2:$M$200,MATCH($AB547,'Test catalog'!$A$2:$A$200,0))="","",INDEX('Test catalog'!$M$2:$M$200,MATCH($AB547,'Test catalog'!$A$2:$A$200,0))),"")</f>
        <v/>
      </c>
      <c r="U547" s="10">
        <f>IFERROR(IF(INDEX('Test catalog'!$N$2:$N$200,MATCH($AB547,'Test catalog'!$A$2:$A$200,0))="","",INDEX('Test catalog'!$N$2:$N$200,MATCH($AB547,'Test catalog'!$A$2:$A$200,0))),"")</f>
        <v/>
      </c>
      <c r="V547" s="15" t="n"/>
      <c r="W547" s="5" t="inlineStr">
        <is>
          <t>N</t>
        </is>
      </c>
      <c r="X547" s="5" t="n"/>
      <c r="Y547" s="5" t="n"/>
      <c r="Z547" s="5" t="n"/>
      <c r="AA547" s="10">
        <f>IFERROR(IF(INDEX('Test catalog'!$O$2:$O$200,MATCH($AB547,'Test catalog'!$A$2:$A$200,0))="","",INDEX('Test catalog'!$O$2:$O$200,MATCH($AB547,'Test catalog'!$A$2:$A$200,0))),"")</f>
        <v/>
      </c>
      <c r="AB547" s="10" t="inlineStr">
        <is>
          <t>APPEAR</t>
        </is>
      </c>
      <c r="AC547" s="10" t="inlineStr">
        <is>
          <t>Lab practice (not a USP test)</t>
        </is>
      </c>
      <c r="AD547" s="10" t="n"/>
      <c r="AE547" s="10" t="n"/>
    </row>
    <row r="548">
      <c r="A548" s="10" t="inlineStr">
        <is>
          <t>Sodium Hydroxide</t>
        </is>
      </c>
      <c r="B548" s="10" t="inlineStr">
        <is>
          <t>RM</t>
        </is>
      </c>
      <c r="C548" s="10" t="inlineStr">
        <is>
          <t>Alkalizer / Solubilizer</t>
        </is>
      </c>
      <c r="D548" s="10" t="inlineStr">
        <is>
          <t>ID A - chemical reaction</t>
        </is>
      </c>
      <c r="E548" s="10">
        <f>IF(A548="","",A548&amp;"|"&amp;D548)</f>
        <v/>
      </c>
      <c r="F548" s="5" t="inlineStr">
        <is>
          <t>Y</t>
        </is>
      </c>
      <c r="G548" s="5" t="inlineStr">
        <is>
          <t>Other / bench</t>
        </is>
      </c>
      <c r="H548" s="5" t="inlineStr">
        <is>
          <t>Low</t>
        </is>
      </c>
      <c r="I548" s="5" t="n">
        <v>1</v>
      </c>
      <c r="J548" s="5" t="n"/>
      <c r="K548" s="10">
        <f>IFERROR(IF(INDEX('Test catalog'!$F$2:$F$200,MATCH($AB548,'Test catalog'!$A$2:$A$200,0))="","",INDEX('Test catalog'!$F$2:$F$200,MATCH($AB548,'Test catalog'!$A$2:$A$200,0))),"")</f>
        <v/>
      </c>
      <c r="L548" s="10">
        <f>IFERROR(IF(INDEX('Test catalog'!$G$2:$G$200,MATCH($AB548,'Test catalog'!$A$2:$A$200,0))="","",INDEX('Test catalog'!$G$2:$G$200,MATCH($AB548,'Test catalog'!$A$2:$A$200,0))),"")</f>
        <v/>
      </c>
      <c r="M548" s="10">
        <f>IFERROR(IF(INDEX('Test catalog'!$H$2:$H$200,MATCH($AB548,'Test catalog'!$A$2:$A$200,0))="","",INDEX('Test catalog'!$H$2:$H$200,MATCH($AB548,'Test catalog'!$A$2:$A$200,0))),"")</f>
        <v/>
      </c>
      <c r="N548" s="10">
        <f>IFERROR(IF(INDEX('Test catalog'!$I$2:$I$200,MATCH($AB548,'Test catalog'!$A$2:$A$200,0))="","",INDEX('Test catalog'!$I$2:$I$200,MATCH($AB548,'Test catalog'!$A$2:$A$200,0))),"")</f>
        <v/>
      </c>
      <c r="O548" s="10">
        <f>IFERROR(IF(INDEX('Test catalog'!$J$2:$J$200,MATCH($AB548,'Test catalog'!$A$2:$A$200,0))="","",INDEX('Test catalog'!$J$2:$J$200,MATCH($AB548,'Test catalog'!$A$2:$A$200,0))),"")</f>
        <v/>
      </c>
      <c r="P548" s="14">
        <f>IF(N548="","",IF(OR(M548="",O548=""),N548,(M548+4*N548+O548)/6))</f>
        <v/>
      </c>
      <c r="Q548" s="10">
        <f>IFERROR(IF(INDEX('Test catalog'!$K$2:$K$200,MATCH($AB548,'Test catalog'!$A$2:$A$200,0))="","",INDEX('Test catalog'!$K$2:$K$200,MATCH($AB548,'Test catalog'!$A$2:$A$200,0))),"")</f>
        <v/>
      </c>
      <c r="R548" s="5" t="n"/>
      <c r="S548" s="10">
        <f>IFERROR(IF(INDEX('Test catalog'!$L$2:$L$200,MATCH($AB548,'Test catalog'!$A$2:$A$200,0))="","",INDEX('Test catalog'!$L$2:$L$200,MATCH($AB548,'Test catalog'!$A$2:$A$200,0))),"")</f>
        <v/>
      </c>
      <c r="T548" s="10">
        <f>IFERROR(IF(INDEX('Test catalog'!$M$2:$M$200,MATCH($AB548,'Test catalog'!$A$2:$A$200,0))="","",INDEX('Test catalog'!$M$2:$M$200,MATCH($AB548,'Test catalog'!$A$2:$A$200,0))),"")</f>
        <v/>
      </c>
      <c r="U548" s="10">
        <f>IFERROR(IF(INDEX('Test catalog'!$N$2:$N$200,MATCH($AB548,'Test catalog'!$A$2:$A$200,0))="","",INDEX('Test catalog'!$N$2:$N$200,MATCH($AB548,'Test catalog'!$A$2:$A$200,0))),"")</f>
        <v/>
      </c>
      <c r="V548" s="15" t="n"/>
      <c r="W548" s="5" t="inlineStr">
        <is>
          <t>N</t>
        </is>
      </c>
      <c r="X548" s="5" t="n"/>
      <c r="Y548" s="5" t="n"/>
      <c r="Z548" s="5" t="n"/>
      <c r="AA548" s="10">
        <f>IFERROR(IF(INDEX('Test catalog'!$O$2:$O$200,MATCH($AB548,'Test catalog'!$A$2:$A$200,0))="","",INDEX('Test catalog'!$O$2:$O$200,MATCH($AB548,'Test catalog'!$A$2:$A$200,0))),"")</f>
        <v/>
      </c>
      <c r="AB548" s="10" t="inlineStr">
        <is>
          <t>ID_CHEM</t>
        </is>
      </c>
      <c r="AC548" s="10" t="inlineStr">
        <is>
          <t>Sodium Hydroxide · Identification &lt;191&gt;</t>
        </is>
      </c>
      <c r="AD548" s="10" t="n"/>
      <c r="AE548" s="10" t="n"/>
    </row>
    <row r="549">
      <c r="A549" s="10" t="inlineStr">
        <is>
          <t>Sodium Hydroxide</t>
        </is>
      </c>
      <c r="B549" s="10" t="inlineStr">
        <is>
          <t>RM</t>
        </is>
      </c>
      <c r="C549" s="10" t="inlineStr">
        <is>
          <t>Alkalizer / Solubilizer</t>
        </is>
      </c>
      <c r="D549" s="10" t="inlineStr">
        <is>
          <t>ID B - pH</t>
        </is>
      </c>
      <c r="E549" s="10">
        <f>IF(A549="","",A549&amp;"|"&amp;D549)</f>
        <v/>
      </c>
      <c r="F549" s="5" t="inlineStr">
        <is>
          <t>Y</t>
        </is>
      </c>
      <c r="G549" s="5" t="inlineStr">
        <is>
          <t>Other / bench</t>
        </is>
      </c>
      <c r="H549" s="5" t="inlineStr">
        <is>
          <t>Low</t>
        </is>
      </c>
      <c r="I549" s="5" t="n">
        <v>1</v>
      </c>
      <c r="J549" s="5" t="n"/>
      <c r="K549" s="10">
        <f>IFERROR(IF(INDEX('Test catalog'!$F$2:$F$200,MATCH($AB549,'Test catalog'!$A$2:$A$200,0))="","",INDEX('Test catalog'!$F$2:$F$200,MATCH($AB549,'Test catalog'!$A$2:$A$200,0))),"")</f>
        <v/>
      </c>
      <c r="L549" s="10">
        <f>IFERROR(IF(INDEX('Test catalog'!$G$2:$G$200,MATCH($AB549,'Test catalog'!$A$2:$A$200,0))="","",INDEX('Test catalog'!$G$2:$G$200,MATCH($AB549,'Test catalog'!$A$2:$A$200,0))),"")</f>
        <v/>
      </c>
      <c r="M549" s="10">
        <f>IFERROR(IF(INDEX('Test catalog'!$H$2:$H$200,MATCH($AB549,'Test catalog'!$A$2:$A$200,0))="","",INDEX('Test catalog'!$H$2:$H$200,MATCH($AB549,'Test catalog'!$A$2:$A$200,0))),"")</f>
        <v/>
      </c>
      <c r="N549" s="10">
        <f>IFERROR(IF(INDEX('Test catalog'!$I$2:$I$200,MATCH($AB549,'Test catalog'!$A$2:$A$200,0))="","",INDEX('Test catalog'!$I$2:$I$200,MATCH($AB549,'Test catalog'!$A$2:$A$200,0))),"")</f>
        <v/>
      </c>
      <c r="O549" s="10">
        <f>IFERROR(IF(INDEX('Test catalog'!$J$2:$J$200,MATCH($AB549,'Test catalog'!$A$2:$A$200,0))="","",INDEX('Test catalog'!$J$2:$J$200,MATCH($AB549,'Test catalog'!$A$2:$A$200,0))),"")</f>
        <v/>
      </c>
      <c r="P549" s="14">
        <f>IF(N549="","",IF(OR(M549="",O549=""),N549,(M549+4*N549+O549)/6))</f>
        <v/>
      </c>
      <c r="Q549" s="10">
        <f>IFERROR(IF(INDEX('Test catalog'!$K$2:$K$200,MATCH($AB549,'Test catalog'!$A$2:$A$200,0))="","",INDEX('Test catalog'!$K$2:$K$200,MATCH($AB549,'Test catalog'!$A$2:$A$200,0))),"")</f>
        <v/>
      </c>
      <c r="R549" s="5" t="n"/>
      <c r="S549" s="10">
        <f>IFERROR(IF(INDEX('Test catalog'!$L$2:$L$200,MATCH($AB549,'Test catalog'!$A$2:$A$200,0))="","",INDEX('Test catalog'!$L$2:$L$200,MATCH($AB549,'Test catalog'!$A$2:$A$200,0))),"")</f>
        <v/>
      </c>
      <c r="T549" s="10">
        <f>IFERROR(IF(INDEX('Test catalog'!$M$2:$M$200,MATCH($AB549,'Test catalog'!$A$2:$A$200,0))="","",INDEX('Test catalog'!$M$2:$M$200,MATCH($AB549,'Test catalog'!$A$2:$A$200,0))),"")</f>
        <v/>
      </c>
      <c r="U549" s="10">
        <f>IFERROR(IF(INDEX('Test catalog'!$N$2:$N$200,MATCH($AB549,'Test catalog'!$A$2:$A$200,0))="","",INDEX('Test catalog'!$N$2:$N$200,MATCH($AB549,'Test catalog'!$A$2:$A$200,0))),"")</f>
        <v/>
      </c>
      <c r="V549" s="15" t="n"/>
      <c r="W549" s="5" t="inlineStr">
        <is>
          <t>N</t>
        </is>
      </c>
      <c r="X549" s="5" t="n"/>
      <c r="Y549" s="5" t="n"/>
      <c r="Z549" s="5" t="n"/>
      <c r="AA549" s="10">
        <f>IFERROR(IF(INDEX('Test catalog'!$O$2:$O$200,MATCH($AB549,'Test catalog'!$A$2:$A$200,0))="","",INDEX('Test catalog'!$O$2:$O$200,MATCH($AB549,'Test catalog'!$A$2:$A$200,0))),"")</f>
        <v/>
      </c>
      <c r="AB549" s="10" t="inlineStr">
        <is>
          <t>PH</t>
        </is>
      </c>
      <c r="AC549" s="10" t="inlineStr">
        <is>
          <t>Sodium Hydroxide · Identification &lt;791&gt;</t>
        </is>
      </c>
      <c r="AD549" s="10" t="n"/>
      <c r="AE549" s="10" t="n"/>
    </row>
    <row r="550">
      <c r="A550" s="10" t="inlineStr">
        <is>
          <t>Sodium Hydroxide</t>
        </is>
      </c>
      <c r="B550" s="10" t="inlineStr">
        <is>
          <t>RM</t>
        </is>
      </c>
      <c r="C550" s="10" t="inlineStr">
        <is>
          <t>Alkalizer / Solubilizer</t>
        </is>
      </c>
      <c r="D550" s="10" t="inlineStr">
        <is>
          <t>Assay - Total Alkali</t>
        </is>
      </c>
      <c r="E550" s="10">
        <f>IF(A550="","",A550&amp;"|"&amp;D550)</f>
        <v/>
      </c>
      <c r="F550" s="5" t="inlineStr">
        <is>
          <t>Y</t>
        </is>
      </c>
      <c r="G550" s="5" t="inlineStr">
        <is>
          <t>Other / bench</t>
        </is>
      </c>
      <c r="H550" s="5" t="inlineStr">
        <is>
          <t>Low</t>
        </is>
      </c>
      <c r="I550" s="5" t="n">
        <v>1</v>
      </c>
      <c r="J550" s="5" t="n"/>
      <c r="K550" s="10">
        <f>IFERROR(IF(INDEX('Test catalog'!$F$2:$F$200,MATCH($AB550,'Test catalog'!$A$2:$A$200,0))="","",INDEX('Test catalog'!$F$2:$F$200,MATCH($AB550,'Test catalog'!$A$2:$A$200,0))),"")</f>
        <v/>
      </c>
      <c r="L550" s="10">
        <f>IFERROR(IF(INDEX('Test catalog'!$G$2:$G$200,MATCH($AB550,'Test catalog'!$A$2:$A$200,0))="","",INDEX('Test catalog'!$G$2:$G$200,MATCH($AB550,'Test catalog'!$A$2:$A$200,0))),"")</f>
        <v/>
      </c>
      <c r="M550" s="10">
        <f>IFERROR(IF(INDEX('Test catalog'!$H$2:$H$200,MATCH($AB550,'Test catalog'!$A$2:$A$200,0))="","",INDEX('Test catalog'!$H$2:$H$200,MATCH($AB550,'Test catalog'!$A$2:$A$200,0))),"")</f>
        <v/>
      </c>
      <c r="N550" s="10">
        <f>IFERROR(IF(INDEX('Test catalog'!$I$2:$I$200,MATCH($AB550,'Test catalog'!$A$2:$A$200,0))="","",INDEX('Test catalog'!$I$2:$I$200,MATCH($AB550,'Test catalog'!$A$2:$A$200,0))),"")</f>
        <v/>
      </c>
      <c r="O550" s="10">
        <f>IFERROR(IF(INDEX('Test catalog'!$J$2:$J$200,MATCH($AB550,'Test catalog'!$A$2:$A$200,0))="","",INDEX('Test catalog'!$J$2:$J$200,MATCH($AB550,'Test catalog'!$A$2:$A$200,0))),"")</f>
        <v/>
      </c>
      <c r="P550" s="14">
        <f>IF(N550="","",IF(OR(M550="",O550=""),N550,(M550+4*N550+O550)/6))</f>
        <v/>
      </c>
      <c r="Q550" s="10">
        <f>IFERROR(IF(INDEX('Test catalog'!$K$2:$K$200,MATCH($AB550,'Test catalog'!$A$2:$A$200,0))="","",INDEX('Test catalog'!$K$2:$K$200,MATCH($AB550,'Test catalog'!$A$2:$A$200,0))),"")</f>
        <v/>
      </c>
      <c r="R550" s="5" t="n"/>
      <c r="S550" s="10">
        <f>IFERROR(IF(INDEX('Test catalog'!$L$2:$L$200,MATCH($AB550,'Test catalog'!$A$2:$A$200,0))="","",INDEX('Test catalog'!$L$2:$L$200,MATCH($AB550,'Test catalog'!$A$2:$A$200,0))),"")</f>
        <v/>
      </c>
      <c r="T550" s="10">
        <f>IFERROR(IF(INDEX('Test catalog'!$M$2:$M$200,MATCH($AB550,'Test catalog'!$A$2:$A$200,0))="","",INDEX('Test catalog'!$M$2:$M$200,MATCH($AB550,'Test catalog'!$A$2:$A$200,0))),"")</f>
        <v/>
      </c>
      <c r="U550" s="10">
        <f>IFERROR(IF(INDEX('Test catalog'!$N$2:$N$200,MATCH($AB550,'Test catalog'!$A$2:$A$200,0))="","",INDEX('Test catalog'!$N$2:$N$200,MATCH($AB550,'Test catalog'!$A$2:$A$200,0))),"")</f>
        <v/>
      </c>
      <c r="V550" s="15" t="n"/>
      <c r="W550" s="5" t="inlineStr">
        <is>
          <t>N</t>
        </is>
      </c>
      <c r="X550" s="5" t="n"/>
      <c r="Y550" s="5" t="n"/>
      <c r="Z550" s="5" t="inlineStr">
        <is>
          <t>Alternative assays - keep only the one you run</t>
        </is>
      </c>
      <c r="AA550" s="10">
        <f>IFERROR(IF(INDEX('Test catalog'!$O$2:$O$200,MATCH($AB550,'Test catalog'!$A$2:$A$200,0))="","",INDEX('Test catalog'!$O$2:$O$200,MATCH($AB550,'Test catalog'!$A$2:$A$200,0))),"")</f>
        <v/>
      </c>
      <c r="AB550" s="10" t="inlineStr">
        <is>
          <t>TITR</t>
        </is>
      </c>
      <c r="AC550" s="10" t="inlineStr">
        <is>
          <t>Sodium Hydroxide · Assay &lt;541&gt;</t>
        </is>
      </c>
      <c r="AD550" s="10" t="n"/>
      <c r="AE550" s="10" t="n"/>
    </row>
    <row r="551">
      <c r="A551" s="10" t="inlineStr">
        <is>
          <t>Sodium Hydroxide</t>
        </is>
      </c>
      <c r="B551" s="10" t="inlineStr">
        <is>
          <t>RM</t>
        </is>
      </c>
      <c r="C551" s="10" t="inlineStr">
        <is>
          <t>Alkalizer / Solubilizer</t>
        </is>
      </c>
      <c r="D551" s="10" t="inlineStr">
        <is>
          <t>Content of Sodium</t>
        </is>
      </c>
      <c r="E551" s="10">
        <f>IF(A551="","",A551&amp;"|"&amp;D551)</f>
        <v/>
      </c>
      <c r="F551" s="5" t="inlineStr">
        <is>
          <t>Y</t>
        </is>
      </c>
      <c r="G551" s="5" t="inlineStr">
        <is>
          <t>AAS / ICP</t>
        </is>
      </c>
      <c r="H551" s="5" t="inlineStr">
        <is>
          <t>Low</t>
        </is>
      </c>
      <c r="I551" s="5" t="n">
        <v>1</v>
      </c>
      <c r="J551" s="5" t="n"/>
      <c r="K551" s="10">
        <f>IFERROR(IF(INDEX('Test catalog'!$F$2:$F$200,MATCH($AB551,'Test catalog'!$A$2:$A$200,0))="","",INDEX('Test catalog'!$F$2:$F$200,MATCH($AB551,'Test catalog'!$A$2:$A$200,0))),"")</f>
        <v/>
      </c>
      <c r="L551" s="10">
        <f>IFERROR(IF(INDEX('Test catalog'!$G$2:$G$200,MATCH($AB551,'Test catalog'!$A$2:$A$200,0))="","",INDEX('Test catalog'!$G$2:$G$200,MATCH($AB551,'Test catalog'!$A$2:$A$200,0))),"")</f>
        <v/>
      </c>
      <c r="M551" s="10">
        <f>IFERROR(IF(INDEX('Test catalog'!$H$2:$H$200,MATCH($AB551,'Test catalog'!$A$2:$A$200,0))="","",INDEX('Test catalog'!$H$2:$H$200,MATCH($AB551,'Test catalog'!$A$2:$A$200,0))),"")</f>
        <v/>
      </c>
      <c r="N551" s="10">
        <f>IFERROR(IF(INDEX('Test catalog'!$I$2:$I$200,MATCH($AB551,'Test catalog'!$A$2:$A$200,0))="","",INDEX('Test catalog'!$I$2:$I$200,MATCH($AB551,'Test catalog'!$A$2:$A$200,0))),"")</f>
        <v/>
      </c>
      <c r="O551" s="10">
        <f>IFERROR(IF(INDEX('Test catalog'!$J$2:$J$200,MATCH($AB551,'Test catalog'!$A$2:$A$200,0))="","",INDEX('Test catalog'!$J$2:$J$200,MATCH($AB551,'Test catalog'!$A$2:$A$200,0))),"")</f>
        <v/>
      </c>
      <c r="P551" s="14">
        <f>IF(N551="","",IF(OR(M551="",O551=""),N551,(M551+4*N551+O551)/6))</f>
        <v/>
      </c>
      <c r="Q551" s="10">
        <f>IFERROR(IF(INDEX('Test catalog'!$K$2:$K$200,MATCH($AB551,'Test catalog'!$A$2:$A$200,0))="","",INDEX('Test catalog'!$K$2:$K$200,MATCH($AB551,'Test catalog'!$A$2:$A$200,0))),"")</f>
        <v/>
      </c>
      <c r="R551" s="5" t="n"/>
      <c r="S551" s="10">
        <f>IFERROR(IF(INDEX('Test catalog'!$L$2:$L$200,MATCH($AB551,'Test catalog'!$A$2:$A$200,0))="","",INDEX('Test catalog'!$L$2:$L$200,MATCH($AB551,'Test catalog'!$A$2:$A$200,0))),"")</f>
        <v/>
      </c>
      <c r="T551" s="10">
        <f>IFERROR(IF(INDEX('Test catalog'!$M$2:$M$200,MATCH($AB551,'Test catalog'!$A$2:$A$200,0))="","",INDEX('Test catalog'!$M$2:$M$200,MATCH($AB551,'Test catalog'!$A$2:$A$200,0))),"")</f>
        <v/>
      </c>
      <c r="U551" s="10">
        <f>IFERROR(IF(INDEX('Test catalog'!$N$2:$N$200,MATCH($AB551,'Test catalog'!$A$2:$A$200,0))="","",INDEX('Test catalog'!$N$2:$N$200,MATCH($AB551,'Test catalog'!$A$2:$A$200,0))),"")</f>
        <v/>
      </c>
      <c r="V551" s="15" t="n"/>
      <c r="W551" s="5" t="inlineStr">
        <is>
          <t>N</t>
        </is>
      </c>
      <c r="X551" s="5" t="n"/>
      <c r="Y551" s="5" t="n"/>
      <c r="Z551" s="5" t="inlineStr">
        <is>
          <t>Alternative assays - keep only the one you run</t>
        </is>
      </c>
      <c r="AA551" s="10">
        <f>IFERROR(IF(INDEX('Test catalog'!$O$2:$O$200,MATCH($AB551,'Test catalog'!$A$2:$A$200,0))="","",INDEX('Test catalog'!$O$2:$O$200,MATCH($AB551,'Test catalog'!$A$2:$A$200,0))),"")</f>
        <v/>
      </c>
      <c r="AB551" s="10" t="inlineStr">
        <is>
          <t>AAS</t>
        </is>
      </c>
      <c r="AC551" s="10" t="inlineStr">
        <is>
          <t>Sodium Hydroxide · Assay</t>
        </is>
      </c>
      <c r="AD551" s="10" t="n"/>
      <c r="AE551" s="10" t="n"/>
    </row>
    <row r="552">
      <c r="A552" s="10" t="inlineStr">
        <is>
          <t>Sodium Hydroxide</t>
        </is>
      </c>
      <c r="B552" s="10" t="inlineStr">
        <is>
          <t>RM</t>
        </is>
      </c>
      <c r="C552" s="10" t="inlineStr">
        <is>
          <t>Alkalizer / Solubilizer</t>
        </is>
      </c>
      <c r="D552" s="10" t="inlineStr">
        <is>
          <t>Potassium</t>
        </is>
      </c>
      <c r="E552" s="10">
        <f>IF(A552="","",A552&amp;"|"&amp;D552)</f>
        <v/>
      </c>
      <c r="F552" s="5" t="inlineStr">
        <is>
          <t>Y</t>
        </is>
      </c>
      <c r="G552" s="5" t="inlineStr">
        <is>
          <t>AAS / ICP</t>
        </is>
      </c>
      <c r="H552" s="5" t="inlineStr">
        <is>
          <t>Low</t>
        </is>
      </c>
      <c r="I552" s="5" t="n">
        <v>1</v>
      </c>
      <c r="J552" s="5" t="n"/>
      <c r="K552" s="10">
        <f>IFERROR(IF(INDEX('Test catalog'!$F$2:$F$200,MATCH($AB552,'Test catalog'!$A$2:$A$200,0))="","",INDEX('Test catalog'!$F$2:$F$200,MATCH($AB552,'Test catalog'!$A$2:$A$200,0))),"")</f>
        <v/>
      </c>
      <c r="L552" s="10">
        <f>IFERROR(IF(INDEX('Test catalog'!$G$2:$G$200,MATCH($AB552,'Test catalog'!$A$2:$A$200,0))="","",INDEX('Test catalog'!$G$2:$G$200,MATCH($AB552,'Test catalog'!$A$2:$A$200,0))),"")</f>
        <v/>
      </c>
      <c r="M552" s="10">
        <f>IFERROR(IF(INDEX('Test catalog'!$H$2:$H$200,MATCH($AB552,'Test catalog'!$A$2:$A$200,0))="","",INDEX('Test catalog'!$H$2:$H$200,MATCH($AB552,'Test catalog'!$A$2:$A$200,0))),"")</f>
        <v/>
      </c>
      <c r="N552" s="10">
        <f>IFERROR(IF(INDEX('Test catalog'!$I$2:$I$200,MATCH($AB552,'Test catalog'!$A$2:$A$200,0))="","",INDEX('Test catalog'!$I$2:$I$200,MATCH($AB552,'Test catalog'!$A$2:$A$200,0))),"")</f>
        <v/>
      </c>
      <c r="O552" s="10">
        <f>IFERROR(IF(INDEX('Test catalog'!$J$2:$J$200,MATCH($AB552,'Test catalog'!$A$2:$A$200,0))="","",INDEX('Test catalog'!$J$2:$J$200,MATCH($AB552,'Test catalog'!$A$2:$A$200,0))),"")</f>
        <v/>
      </c>
      <c r="P552" s="14">
        <f>IF(N552="","",IF(OR(M552="",O552=""),N552,(M552+4*N552+O552)/6))</f>
        <v/>
      </c>
      <c r="Q552" s="10">
        <f>IFERROR(IF(INDEX('Test catalog'!$K$2:$K$200,MATCH($AB552,'Test catalog'!$A$2:$A$200,0))="","",INDEX('Test catalog'!$K$2:$K$200,MATCH($AB552,'Test catalog'!$A$2:$A$200,0))),"")</f>
        <v/>
      </c>
      <c r="R552" s="5" t="n"/>
      <c r="S552" s="10">
        <f>IFERROR(IF(INDEX('Test catalog'!$L$2:$L$200,MATCH($AB552,'Test catalog'!$A$2:$A$200,0))="","",INDEX('Test catalog'!$L$2:$L$200,MATCH($AB552,'Test catalog'!$A$2:$A$200,0))),"")</f>
        <v/>
      </c>
      <c r="T552" s="10">
        <f>IFERROR(IF(INDEX('Test catalog'!$M$2:$M$200,MATCH($AB552,'Test catalog'!$A$2:$A$200,0))="","",INDEX('Test catalog'!$M$2:$M$200,MATCH($AB552,'Test catalog'!$A$2:$A$200,0))),"")</f>
        <v/>
      </c>
      <c r="U552" s="10">
        <f>IFERROR(IF(INDEX('Test catalog'!$N$2:$N$200,MATCH($AB552,'Test catalog'!$A$2:$A$200,0))="","",INDEX('Test catalog'!$N$2:$N$200,MATCH($AB552,'Test catalog'!$A$2:$A$200,0))),"")</f>
        <v/>
      </c>
      <c r="V552" s="15" t="n"/>
      <c r="W552" s="5" t="inlineStr">
        <is>
          <t>N</t>
        </is>
      </c>
      <c r="X552" s="5" t="n"/>
      <c r="Y552" s="5" t="n"/>
      <c r="Z552" s="5" t="n"/>
      <c r="AA552" s="10">
        <f>IFERROR(IF(INDEX('Test catalog'!$O$2:$O$200,MATCH($AB552,'Test catalog'!$A$2:$A$200,0))="","",INDEX('Test catalog'!$O$2:$O$200,MATCH($AB552,'Test catalog'!$A$2:$A$200,0))),"")</f>
        <v/>
      </c>
      <c r="AB552" s="10" t="inlineStr">
        <is>
          <t>AAS</t>
        </is>
      </c>
      <c r="AC552" s="10" t="inlineStr">
        <is>
          <t>Sodium Hydroxide · Impurities</t>
        </is>
      </c>
      <c r="AD552" s="10" t="n"/>
      <c r="AE552" s="10" t="n"/>
    </row>
    <row r="553">
      <c r="A553" s="10" t="inlineStr">
        <is>
          <t>Sodium Hydroxide</t>
        </is>
      </c>
      <c r="B553" s="10" t="inlineStr">
        <is>
          <t>RM</t>
        </is>
      </c>
      <c r="C553" s="10" t="inlineStr">
        <is>
          <t>Alkalizer / Solubilizer</t>
        </is>
      </c>
      <c r="D553" s="10" t="inlineStr">
        <is>
          <t>Insoluble Substances and Organic Matter</t>
        </is>
      </c>
      <c r="E553" s="10">
        <f>IF(A553="","",A553&amp;"|"&amp;D553)</f>
        <v/>
      </c>
      <c r="F553" s="5" t="inlineStr">
        <is>
          <t>Y</t>
        </is>
      </c>
      <c r="G553" s="5" t="inlineStr">
        <is>
          <t>Other / bench</t>
        </is>
      </c>
      <c r="H553" s="5" t="inlineStr">
        <is>
          <t>Low</t>
        </is>
      </c>
      <c r="I553" s="5" t="n">
        <v>1</v>
      </c>
      <c r="J553" s="5" t="n"/>
      <c r="K553" s="10">
        <f>IFERROR(IF(INDEX('Test catalog'!$F$2:$F$200,MATCH($AB553,'Test catalog'!$A$2:$A$200,0))="","",INDEX('Test catalog'!$F$2:$F$200,MATCH($AB553,'Test catalog'!$A$2:$A$200,0))),"")</f>
        <v/>
      </c>
      <c r="L553" s="10">
        <f>IFERROR(IF(INDEX('Test catalog'!$G$2:$G$200,MATCH($AB553,'Test catalog'!$A$2:$A$200,0))="","",INDEX('Test catalog'!$G$2:$G$200,MATCH($AB553,'Test catalog'!$A$2:$A$200,0))),"")</f>
        <v/>
      </c>
      <c r="M553" s="10">
        <f>IFERROR(IF(INDEX('Test catalog'!$H$2:$H$200,MATCH($AB553,'Test catalog'!$A$2:$A$200,0))="","",INDEX('Test catalog'!$H$2:$H$200,MATCH($AB553,'Test catalog'!$A$2:$A$200,0))),"")</f>
        <v/>
      </c>
      <c r="N553" s="10">
        <f>IFERROR(IF(INDEX('Test catalog'!$I$2:$I$200,MATCH($AB553,'Test catalog'!$A$2:$A$200,0))="","",INDEX('Test catalog'!$I$2:$I$200,MATCH($AB553,'Test catalog'!$A$2:$A$200,0))),"")</f>
        <v/>
      </c>
      <c r="O553" s="10">
        <f>IFERROR(IF(INDEX('Test catalog'!$J$2:$J$200,MATCH($AB553,'Test catalog'!$A$2:$A$200,0))="","",INDEX('Test catalog'!$J$2:$J$200,MATCH($AB553,'Test catalog'!$A$2:$A$200,0))),"")</f>
        <v/>
      </c>
      <c r="P553" s="14">
        <f>IF(N553="","",IF(OR(M553="",O553=""),N553,(M553+4*N553+O553)/6))</f>
        <v/>
      </c>
      <c r="Q553" s="10">
        <f>IFERROR(IF(INDEX('Test catalog'!$K$2:$K$200,MATCH($AB553,'Test catalog'!$A$2:$A$200,0))="","",INDEX('Test catalog'!$K$2:$K$200,MATCH($AB553,'Test catalog'!$A$2:$A$200,0))),"")</f>
        <v/>
      </c>
      <c r="R553" s="5" t="n"/>
      <c r="S553" s="10">
        <f>IFERROR(IF(INDEX('Test catalog'!$L$2:$L$200,MATCH($AB553,'Test catalog'!$A$2:$A$200,0))="","",INDEX('Test catalog'!$L$2:$L$200,MATCH($AB553,'Test catalog'!$A$2:$A$200,0))),"")</f>
        <v/>
      </c>
      <c r="T553" s="10">
        <f>IFERROR(IF(INDEX('Test catalog'!$M$2:$M$200,MATCH($AB553,'Test catalog'!$A$2:$A$200,0))="","",INDEX('Test catalog'!$M$2:$M$200,MATCH($AB553,'Test catalog'!$A$2:$A$200,0))),"")</f>
        <v/>
      </c>
      <c r="U553" s="10">
        <f>IFERROR(IF(INDEX('Test catalog'!$N$2:$N$200,MATCH($AB553,'Test catalog'!$A$2:$A$200,0))="","",INDEX('Test catalog'!$N$2:$N$200,MATCH($AB553,'Test catalog'!$A$2:$A$200,0))),"")</f>
        <v/>
      </c>
      <c r="V553" s="15" t="n"/>
      <c r="W553" s="5" t="inlineStr">
        <is>
          <t>N</t>
        </is>
      </c>
      <c r="X553" s="5" t="n"/>
      <c r="Y553" s="5" t="n"/>
      <c r="Z553" s="5" t="n"/>
      <c r="AA553" s="10">
        <f>IFERROR(IF(INDEX('Test catalog'!$O$2:$O$200,MATCH($AB553,'Test catalog'!$A$2:$A$200,0))="","",INDEX('Test catalog'!$O$2:$O$200,MATCH($AB553,'Test catalog'!$A$2:$A$200,0))),"")</f>
        <v/>
      </c>
      <c r="AB553" s="10" t="inlineStr">
        <is>
          <t>GRAV</t>
        </is>
      </c>
      <c r="AC553" s="10" t="inlineStr">
        <is>
          <t>Sodium Hydroxide · Specific Tests</t>
        </is>
      </c>
      <c r="AD553" s="10" t="n"/>
      <c r="AE553" s="10" t="n"/>
    </row>
    <row r="554">
      <c r="A554" s="10" t="inlineStr">
        <is>
          <t>PVP K30</t>
        </is>
      </c>
      <c r="B554" s="10" t="inlineStr">
        <is>
          <t>RM</t>
        </is>
      </c>
      <c r="C554" s="10" t="inlineStr">
        <is>
          <t>Binder</t>
        </is>
      </c>
      <c r="D554" s="10" t="inlineStr">
        <is>
          <t>Appearance / description and solubility</t>
        </is>
      </c>
      <c r="E554" s="10">
        <f>IF(A554="","",A554&amp;"|"&amp;D554)</f>
        <v/>
      </c>
      <c r="F554" s="5" t="inlineStr">
        <is>
          <t>Y</t>
        </is>
      </c>
      <c r="G554" s="5" t="inlineStr">
        <is>
          <t>Other / bench</t>
        </is>
      </c>
      <c r="H554" s="5" t="inlineStr">
        <is>
          <t>Low</t>
        </is>
      </c>
      <c r="I554" s="5" t="n">
        <v>1</v>
      </c>
      <c r="J554" s="5" t="n"/>
      <c r="K554" s="10">
        <f>IFERROR(IF(INDEX('Test catalog'!$F$2:$F$200,MATCH($AB554,'Test catalog'!$A$2:$A$200,0))="","",INDEX('Test catalog'!$F$2:$F$200,MATCH($AB554,'Test catalog'!$A$2:$A$200,0))),"")</f>
        <v/>
      </c>
      <c r="L554" s="10">
        <f>IFERROR(IF(INDEX('Test catalog'!$G$2:$G$200,MATCH($AB554,'Test catalog'!$A$2:$A$200,0))="","",INDEX('Test catalog'!$G$2:$G$200,MATCH($AB554,'Test catalog'!$A$2:$A$200,0))),"")</f>
        <v/>
      </c>
      <c r="M554" s="10">
        <f>IFERROR(IF(INDEX('Test catalog'!$H$2:$H$200,MATCH($AB554,'Test catalog'!$A$2:$A$200,0))="","",INDEX('Test catalog'!$H$2:$H$200,MATCH($AB554,'Test catalog'!$A$2:$A$200,0))),"")</f>
        <v/>
      </c>
      <c r="N554" s="10">
        <f>IFERROR(IF(INDEX('Test catalog'!$I$2:$I$200,MATCH($AB554,'Test catalog'!$A$2:$A$200,0))="","",INDEX('Test catalog'!$I$2:$I$200,MATCH($AB554,'Test catalog'!$A$2:$A$200,0))),"")</f>
        <v/>
      </c>
      <c r="O554" s="10">
        <f>IFERROR(IF(INDEX('Test catalog'!$J$2:$J$200,MATCH($AB554,'Test catalog'!$A$2:$A$200,0))="","",INDEX('Test catalog'!$J$2:$J$200,MATCH($AB554,'Test catalog'!$A$2:$A$200,0))),"")</f>
        <v/>
      </c>
      <c r="P554" s="14">
        <f>IF(N554="","",IF(OR(M554="",O554=""),N554,(M554+4*N554+O554)/6))</f>
        <v/>
      </c>
      <c r="Q554" s="10">
        <f>IFERROR(IF(INDEX('Test catalog'!$K$2:$K$200,MATCH($AB554,'Test catalog'!$A$2:$A$200,0))="","",INDEX('Test catalog'!$K$2:$K$200,MATCH($AB554,'Test catalog'!$A$2:$A$200,0))),"")</f>
        <v/>
      </c>
      <c r="R554" s="5" t="n"/>
      <c r="S554" s="10">
        <f>IFERROR(IF(INDEX('Test catalog'!$L$2:$L$200,MATCH($AB554,'Test catalog'!$A$2:$A$200,0))="","",INDEX('Test catalog'!$L$2:$L$200,MATCH($AB554,'Test catalog'!$A$2:$A$200,0))),"")</f>
        <v/>
      </c>
      <c r="T554" s="10">
        <f>IFERROR(IF(INDEX('Test catalog'!$M$2:$M$200,MATCH($AB554,'Test catalog'!$A$2:$A$200,0))="","",INDEX('Test catalog'!$M$2:$M$200,MATCH($AB554,'Test catalog'!$A$2:$A$200,0))),"")</f>
        <v/>
      </c>
      <c r="U554" s="10">
        <f>IFERROR(IF(INDEX('Test catalog'!$N$2:$N$200,MATCH($AB554,'Test catalog'!$A$2:$A$200,0))="","",INDEX('Test catalog'!$N$2:$N$200,MATCH($AB554,'Test catalog'!$A$2:$A$200,0))),"")</f>
        <v/>
      </c>
      <c r="V554" s="15" t="n"/>
      <c r="W554" s="5" t="inlineStr">
        <is>
          <t>N</t>
        </is>
      </c>
      <c r="X554" s="5" t="n"/>
      <c r="Y554" s="5" t="n"/>
      <c r="Z554" s="5" t="n"/>
      <c r="AA554" s="10">
        <f>IFERROR(IF(INDEX('Test catalog'!$O$2:$O$200,MATCH($AB554,'Test catalog'!$A$2:$A$200,0))="","",INDEX('Test catalog'!$O$2:$O$200,MATCH($AB554,'Test catalog'!$A$2:$A$200,0))),"")</f>
        <v/>
      </c>
      <c r="AB554" s="10" t="inlineStr">
        <is>
          <t>APPEAR</t>
        </is>
      </c>
      <c r="AC554" s="10" t="inlineStr">
        <is>
          <t>Lab practice (not a USP test)</t>
        </is>
      </c>
      <c r="AD554" s="10" t="n"/>
      <c r="AE554" s="10" t="n"/>
    </row>
    <row r="555">
      <c r="A555" s="10" t="inlineStr">
        <is>
          <t>PVP K30</t>
        </is>
      </c>
      <c r="B555" s="10" t="inlineStr">
        <is>
          <t>RM</t>
        </is>
      </c>
      <c r="C555" s="10" t="inlineStr">
        <is>
          <t>Binder</t>
        </is>
      </c>
      <c r="D555" s="10" t="inlineStr">
        <is>
          <t>ID A - IR spectrum</t>
        </is>
      </c>
      <c r="E555" s="10">
        <f>IF(A555="","",A555&amp;"|"&amp;D555)</f>
        <v/>
      </c>
      <c r="F555" s="5" t="inlineStr">
        <is>
          <t>Y</t>
        </is>
      </c>
      <c r="G555" s="5" t="inlineStr">
        <is>
          <t>Other / bench</t>
        </is>
      </c>
      <c r="H555" s="5" t="inlineStr">
        <is>
          <t>Low</t>
        </is>
      </c>
      <c r="I555" s="5" t="n">
        <v>1</v>
      </c>
      <c r="J555" s="5" t="n"/>
      <c r="K555" s="10">
        <f>IFERROR(IF(INDEX('Test catalog'!$F$2:$F$200,MATCH($AB555,'Test catalog'!$A$2:$A$200,0))="","",INDEX('Test catalog'!$F$2:$F$200,MATCH($AB555,'Test catalog'!$A$2:$A$200,0))),"")</f>
        <v/>
      </c>
      <c r="L555" s="10">
        <f>IFERROR(IF(INDEX('Test catalog'!$G$2:$G$200,MATCH($AB555,'Test catalog'!$A$2:$A$200,0))="","",INDEX('Test catalog'!$G$2:$G$200,MATCH($AB555,'Test catalog'!$A$2:$A$200,0))),"")</f>
        <v/>
      </c>
      <c r="M555" s="10">
        <f>IFERROR(IF(INDEX('Test catalog'!$H$2:$H$200,MATCH($AB555,'Test catalog'!$A$2:$A$200,0))="","",INDEX('Test catalog'!$H$2:$H$200,MATCH($AB555,'Test catalog'!$A$2:$A$200,0))),"")</f>
        <v/>
      </c>
      <c r="N555" s="10">
        <f>IFERROR(IF(INDEX('Test catalog'!$I$2:$I$200,MATCH($AB555,'Test catalog'!$A$2:$A$200,0))="","",INDEX('Test catalog'!$I$2:$I$200,MATCH($AB555,'Test catalog'!$A$2:$A$200,0))),"")</f>
        <v/>
      </c>
      <c r="O555" s="10">
        <f>IFERROR(IF(INDEX('Test catalog'!$J$2:$J$200,MATCH($AB555,'Test catalog'!$A$2:$A$200,0))="","",INDEX('Test catalog'!$J$2:$J$200,MATCH($AB555,'Test catalog'!$A$2:$A$200,0))),"")</f>
        <v/>
      </c>
      <c r="P555" s="14">
        <f>IF(N555="","",IF(OR(M555="",O555=""),N555,(M555+4*N555+O555)/6))</f>
        <v/>
      </c>
      <c r="Q555" s="10">
        <f>IFERROR(IF(INDEX('Test catalog'!$K$2:$K$200,MATCH($AB555,'Test catalog'!$A$2:$A$200,0))="","",INDEX('Test catalog'!$K$2:$K$200,MATCH($AB555,'Test catalog'!$A$2:$A$200,0))),"")</f>
        <v/>
      </c>
      <c r="R555" s="5" t="n"/>
      <c r="S555" s="10">
        <f>IFERROR(IF(INDEX('Test catalog'!$L$2:$L$200,MATCH($AB555,'Test catalog'!$A$2:$A$200,0))="","",INDEX('Test catalog'!$L$2:$L$200,MATCH($AB555,'Test catalog'!$A$2:$A$200,0))),"")</f>
        <v/>
      </c>
      <c r="T555" s="10">
        <f>IFERROR(IF(INDEX('Test catalog'!$M$2:$M$200,MATCH($AB555,'Test catalog'!$A$2:$A$200,0))="","",INDEX('Test catalog'!$M$2:$M$200,MATCH($AB555,'Test catalog'!$A$2:$A$200,0))),"")</f>
        <v/>
      </c>
      <c r="U555" s="10">
        <f>IFERROR(IF(INDEX('Test catalog'!$N$2:$N$200,MATCH($AB555,'Test catalog'!$A$2:$A$200,0))="","",INDEX('Test catalog'!$N$2:$N$200,MATCH($AB555,'Test catalog'!$A$2:$A$200,0))),"")</f>
        <v/>
      </c>
      <c r="V555" s="15" t="n"/>
      <c r="W555" s="5" t="inlineStr">
        <is>
          <t>N</t>
        </is>
      </c>
      <c r="X555" s="5" t="n"/>
      <c r="Y555" s="5" t="n"/>
      <c r="Z555" s="5" t="n"/>
      <c r="AA555" s="10">
        <f>IFERROR(IF(INDEX('Test catalog'!$O$2:$O$200,MATCH($AB555,'Test catalog'!$A$2:$A$200,0))="","",INDEX('Test catalog'!$O$2:$O$200,MATCH($AB555,'Test catalog'!$A$2:$A$200,0))),"")</f>
        <v/>
      </c>
      <c r="AB555" s="10" t="inlineStr">
        <is>
          <t>ID_IR</t>
        </is>
      </c>
      <c r="AC555" s="10" t="inlineStr">
        <is>
          <t>Povidone · Identification &lt;197&gt;</t>
        </is>
      </c>
      <c r="AD555" s="10" t="n"/>
      <c r="AE555" s="10" t="n"/>
    </row>
    <row r="556">
      <c r="A556" s="10" t="inlineStr">
        <is>
          <t>PVP K30</t>
        </is>
      </c>
      <c r="B556" s="10" t="inlineStr">
        <is>
          <t>RM</t>
        </is>
      </c>
      <c r="C556" s="10" t="inlineStr">
        <is>
          <t>Binder</t>
        </is>
      </c>
      <c r="D556" s="10" t="inlineStr">
        <is>
          <t>ID B - chemical reaction</t>
        </is>
      </c>
      <c r="E556" s="10">
        <f>IF(A556="","",A556&amp;"|"&amp;D556)</f>
        <v/>
      </c>
      <c r="F556" s="5" t="inlineStr">
        <is>
          <t>Y</t>
        </is>
      </c>
      <c r="G556" s="5" t="inlineStr">
        <is>
          <t>Other / bench</t>
        </is>
      </c>
      <c r="H556" s="5" t="inlineStr">
        <is>
          <t>Low</t>
        </is>
      </c>
      <c r="I556" s="5" t="n">
        <v>1</v>
      </c>
      <c r="J556" s="5" t="n"/>
      <c r="K556" s="10">
        <f>IFERROR(IF(INDEX('Test catalog'!$F$2:$F$200,MATCH($AB556,'Test catalog'!$A$2:$A$200,0))="","",INDEX('Test catalog'!$F$2:$F$200,MATCH($AB556,'Test catalog'!$A$2:$A$200,0))),"")</f>
        <v/>
      </c>
      <c r="L556" s="10">
        <f>IFERROR(IF(INDEX('Test catalog'!$G$2:$G$200,MATCH($AB556,'Test catalog'!$A$2:$A$200,0))="","",INDEX('Test catalog'!$G$2:$G$200,MATCH($AB556,'Test catalog'!$A$2:$A$200,0))),"")</f>
        <v/>
      </c>
      <c r="M556" s="10">
        <f>IFERROR(IF(INDEX('Test catalog'!$H$2:$H$200,MATCH($AB556,'Test catalog'!$A$2:$A$200,0))="","",INDEX('Test catalog'!$H$2:$H$200,MATCH($AB556,'Test catalog'!$A$2:$A$200,0))),"")</f>
        <v/>
      </c>
      <c r="N556" s="10">
        <f>IFERROR(IF(INDEX('Test catalog'!$I$2:$I$200,MATCH($AB556,'Test catalog'!$A$2:$A$200,0))="","",INDEX('Test catalog'!$I$2:$I$200,MATCH($AB556,'Test catalog'!$A$2:$A$200,0))),"")</f>
        <v/>
      </c>
      <c r="O556" s="10">
        <f>IFERROR(IF(INDEX('Test catalog'!$J$2:$J$200,MATCH($AB556,'Test catalog'!$A$2:$A$200,0))="","",INDEX('Test catalog'!$J$2:$J$200,MATCH($AB556,'Test catalog'!$A$2:$A$200,0))),"")</f>
        <v/>
      </c>
      <c r="P556" s="14">
        <f>IF(N556="","",IF(OR(M556="",O556=""),N556,(M556+4*N556+O556)/6))</f>
        <v/>
      </c>
      <c r="Q556" s="10">
        <f>IFERROR(IF(INDEX('Test catalog'!$K$2:$K$200,MATCH($AB556,'Test catalog'!$A$2:$A$200,0))="","",INDEX('Test catalog'!$K$2:$K$200,MATCH($AB556,'Test catalog'!$A$2:$A$200,0))),"")</f>
        <v/>
      </c>
      <c r="R556" s="5" t="n"/>
      <c r="S556" s="10">
        <f>IFERROR(IF(INDEX('Test catalog'!$L$2:$L$200,MATCH($AB556,'Test catalog'!$A$2:$A$200,0))="","",INDEX('Test catalog'!$L$2:$L$200,MATCH($AB556,'Test catalog'!$A$2:$A$200,0))),"")</f>
        <v/>
      </c>
      <c r="T556" s="10">
        <f>IFERROR(IF(INDEX('Test catalog'!$M$2:$M$200,MATCH($AB556,'Test catalog'!$A$2:$A$200,0))="","",INDEX('Test catalog'!$M$2:$M$200,MATCH($AB556,'Test catalog'!$A$2:$A$200,0))),"")</f>
        <v/>
      </c>
      <c r="U556" s="10">
        <f>IFERROR(IF(INDEX('Test catalog'!$N$2:$N$200,MATCH($AB556,'Test catalog'!$A$2:$A$200,0))="","",INDEX('Test catalog'!$N$2:$N$200,MATCH($AB556,'Test catalog'!$A$2:$A$200,0))),"")</f>
        <v/>
      </c>
      <c r="V556" s="15" t="n"/>
      <c r="W556" s="5" t="inlineStr">
        <is>
          <t>N</t>
        </is>
      </c>
      <c r="X556" s="5" t="n"/>
      <c r="Y556" s="5" t="n"/>
      <c r="Z556" s="5" t="n"/>
      <c r="AA556" s="10">
        <f>IFERROR(IF(INDEX('Test catalog'!$O$2:$O$200,MATCH($AB556,'Test catalog'!$A$2:$A$200,0))="","",INDEX('Test catalog'!$O$2:$O$200,MATCH($AB556,'Test catalog'!$A$2:$A$200,0))),"")</f>
        <v/>
      </c>
      <c r="AB556" s="10" t="inlineStr">
        <is>
          <t>ID_CHEM</t>
        </is>
      </c>
      <c r="AC556" s="10" t="inlineStr">
        <is>
          <t>Povidone · Identification</t>
        </is>
      </c>
      <c r="AD556" s="10" t="n"/>
      <c r="AE556" s="10" t="n"/>
    </row>
    <row r="557">
      <c r="A557" s="10" t="inlineStr">
        <is>
          <t>PVP K30</t>
        </is>
      </c>
      <c r="B557" s="10" t="inlineStr">
        <is>
          <t>RM</t>
        </is>
      </c>
      <c r="C557" s="10" t="inlineStr">
        <is>
          <t>Binder</t>
        </is>
      </c>
      <c r="D557" s="10" t="inlineStr">
        <is>
          <t>ID C - chemical reaction</t>
        </is>
      </c>
      <c r="E557" s="10">
        <f>IF(A557="","",A557&amp;"|"&amp;D557)</f>
        <v/>
      </c>
      <c r="F557" s="5" t="inlineStr">
        <is>
          <t>Y</t>
        </is>
      </c>
      <c r="G557" s="5" t="inlineStr">
        <is>
          <t>Other / bench</t>
        </is>
      </c>
      <c r="H557" s="5" t="inlineStr">
        <is>
          <t>Low</t>
        </is>
      </c>
      <c r="I557" s="5" t="n">
        <v>1</v>
      </c>
      <c r="J557" s="5" t="n"/>
      <c r="K557" s="10">
        <f>IFERROR(IF(INDEX('Test catalog'!$F$2:$F$200,MATCH($AB557,'Test catalog'!$A$2:$A$200,0))="","",INDEX('Test catalog'!$F$2:$F$200,MATCH($AB557,'Test catalog'!$A$2:$A$200,0))),"")</f>
        <v/>
      </c>
      <c r="L557" s="10">
        <f>IFERROR(IF(INDEX('Test catalog'!$G$2:$G$200,MATCH($AB557,'Test catalog'!$A$2:$A$200,0))="","",INDEX('Test catalog'!$G$2:$G$200,MATCH($AB557,'Test catalog'!$A$2:$A$200,0))),"")</f>
        <v/>
      </c>
      <c r="M557" s="10">
        <f>IFERROR(IF(INDEX('Test catalog'!$H$2:$H$200,MATCH($AB557,'Test catalog'!$A$2:$A$200,0))="","",INDEX('Test catalog'!$H$2:$H$200,MATCH($AB557,'Test catalog'!$A$2:$A$200,0))),"")</f>
        <v/>
      </c>
      <c r="N557" s="10">
        <f>IFERROR(IF(INDEX('Test catalog'!$I$2:$I$200,MATCH($AB557,'Test catalog'!$A$2:$A$200,0))="","",INDEX('Test catalog'!$I$2:$I$200,MATCH($AB557,'Test catalog'!$A$2:$A$200,0))),"")</f>
        <v/>
      </c>
      <c r="O557" s="10">
        <f>IFERROR(IF(INDEX('Test catalog'!$J$2:$J$200,MATCH($AB557,'Test catalog'!$A$2:$A$200,0))="","",INDEX('Test catalog'!$J$2:$J$200,MATCH($AB557,'Test catalog'!$A$2:$A$200,0))),"")</f>
        <v/>
      </c>
      <c r="P557" s="14">
        <f>IF(N557="","",IF(OR(M557="",O557=""),N557,(M557+4*N557+O557)/6))</f>
        <v/>
      </c>
      <c r="Q557" s="10">
        <f>IFERROR(IF(INDEX('Test catalog'!$K$2:$K$200,MATCH($AB557,'Test catalog'!$A$2:$A$200,0))="","",INDEX('Test catalog'!$K$2:$K$200,MATCH($AB557,'Test catalog'!$A$2:$A$200,0))),"")</f>
        <v/>
      </c>
      <c r="R557" s="5" t="n"/>
      <c r="S557" s="10">
        <f>IFERROR(IF(INDEX('Test catalog'!$L$2:$L$200,MATCH($AB557,'Test catalog'!$A$2:$A$200,0))="","",INDEX('Test catalog'!$L$2:$L$200,MATCH($AB557,'Test catalog'!$A$2:$A$200,0))),"")</f>
        <v/>
      </c>
      <c r="T557" s="10">
        <f>IFERROR(IF(INDEX('Test catalog'!$M$2:$M$200,MATCH($AB557,'Test catalog'!$A$2:$A$200,0))="","",INDEX('Test catalog'!$M$2:$M$200,MATCH($AB557,'Test catalog'!$A$2:$A$200,0))),"")</f>
        <v/>
      </c>
      <c r="U557" s="10">
        <f>IFERROR(IF(INDEX('Test catalog'!$N$2:$N$200,MATCH($AB557,'Test catalog'!$A$2:$A$200,0))="","",INDEX('Test catalog'!$N$2:$N$200,MATCH($AB557,'Test catalog'!$A$2:$A$200,0))),"")</f>
        <v/>
      </c>
      <c r="V557" s="15" t="n"/>
      <c r="W557" s="5" t="inlineStr">
        <is>
          <t>N</t>
        </is>
      </c>
      <c r="X557" s="5" t="n"/>
      <c r="Y557" s="5" t="n"/>
      <c r="Z557" s="5" t="n"/>
      <c r="AA557" s="10">
        <f>IFERROR(IF(INDEX('Test catalog'!$O$2:$O$200,MATCH($AB557,'Test catalog'!$A$2:$A$200,0))="","",INDEX('Test catalog'!$O$2:$O$200,MATCH($AB557,'Test catalog'!$A$2:$A$200,0))),"")</f>
        <v/>
      </c>
      <c r="AB557" s="10" t="inlineStr">
        <is>
          <t>ID_CHEM</t>
        </is>
      </c>
      <c r="AC557" s="10" t="inlineStr">
        <is>
          <t>Povidone · Identification</t>
        </is>
      </c>
      <c r="AD557" s="10" t="n"/>
      <c r="AE557" s="10" t="n"/>
    </row>
    <row r="558">
      <c r="A558" s="10" t="inlineStr">
        <is>
          <t>PVP K30</t>
        </is>
      </c>
      <c r="B558" s="10" t="inlineStr">
        <is>
          <t>RM</t>
        </is>
      </c>
      <c r="C558" s="10" t="inlineStr">
        <is>
          <t>Binder</t>
        </is>
      </c>
      <c r="D558" s="10" t="inlineStr">
        <is>
          <t>ID D - chemical reaction</t>
        </is>
      </c>
      <c r="E558" s="10">
        <f>IF(A558="","",A558&amp;"|"&amp;D558)</f>
        <v/>
      </c>
      <c r="F558" s="5" t="inlineStr">
        <is>
          <t>Y</t>
        </is>
      </c>
      <c r="G558" s="5" t="inlineStr">
        <is>
          <t>Other / bench</t>
        </is>
      </c>
      <c r="H558" s="5" t="inlineStr">
        <is>
          <t>Low</t>
        </is>
      </c>
      <c r="I558" s="5" t="n">
        <v>1</v>
      </c>
      <c r="J558" s="5" t="n"/>
      <c r="K558" s="10">
        <f>IFERROR(IF(INDEX('Test catalog'!$F$2:$F$200,MATCH($AB558,'Test catalog'!$A$2:$A$200,0))="","",INDEX('Test catalog'!$F$2:$F$200,MATCH($AB558,'Test catalog'!$A$2:$A$200,0))),"")</f>
        <v/>
      </c>
      <c r="L558" s="10">
        <f>IFERROR(IF(INDEX('Test catalog'!$G$2:$G$200,MATCH($AB558,'Test catalog'!$A$2:$A$200,0))="","",INDEX('Test catalog'!$G$2:$G$200,MATCH($AB558,'Test catalog'!$A$2:$A$200,0))),"")</f>
        <v/>
      </c>
      <c r="M558" s="10">
        <f>IFERROR(IF(INDEX('Test catalog'!$H$2:$H$200,MATCH($AB558,'Test catalog'!$A$2:$A$200,0))="","",INDEX('Test catalog'!$H$2:$H$200,MATCH($AB558,'Test catalog'!$A$2:$A$200,0))),"")</f>
        <v/>
      </c>
      <c r="N558" s="10">
        <f>IFERROR(IF(INDEX('Test catalog'!$I$2:$I$200,MATCH($AB558,'Test catalog'!$A$2:$A$200,0))="","",INDEX('Test catalog'!$I$2:$I$200,MATCH($AB558,'Test catalog'!$A$2:$A$200,0))),"")</f>
        <v/>
      </c>
      <c r="O558" s="10">
        <f>IFERROR(IF(INDEX('Test catalog'!$J$2:$J$200,MATCH($AB558,'Test catalog'!$A$2:$A$200,0))="","",INDEX('Test catalog'!$J$2:$J$200,MATCH($AB558,'Test catalog'!$A$2:$A$200,0))),"")</f>
        <v/>
      </c>
      <c r="P558" s="14">
        <f>IF(N558="","",IF(OR(M558="",O558=""),N558,(M558+4*N558+O558)/6))</f>
        <v/>
      </c>
      <c r="Q558" s="10">
        <f>IFERROR(IF(INDEX('Test catalog'!$K$2:$K$200,MATCH($AB558,'Test catalog'!$A$2:$A$200,0))="","",INDEX('Test catalog'!$K$2:$K$200,MATCH($AB558,'Test catalog'!$A$2:$A$200,0))),"")</f>
        <v/>
      </c>
      <c r="R558" s="5" t="n"/>
      <c r="S558" s="10">
        <f>IFERROR(IF(INDEX('Test catalog'!$L$2:$L$200,MATCH($AB558,'Test catalog'!$A$2:$A$200,0))="","",INDEX('Test catalog'!$L$2:$L$200,MATCH($AB558,'Test catalog'!$A$2:$A$200,0))),"")</f>
        <v/>
      </c>
      <c r="T558" s="10">
        <f>IFERROR(IF(INDEX('Test catalog'!$M$2:$M$200,MATCH($AB558,'Test catalog'!$A$2:$A$200,0))="","",INDEX('Test catalog'!$M$2:$M$200,MATCH($AB558,'Test catalog'!$A$2:$A$200,0))),"")</f>
        <v/>
      </c>
      <c r="U558" s="10">
        <f>IFERROR(IF(INDEX('Test catalog'!$N$2:$N$200,MATCH($AB558,'Test catalog'!$A$2:$A$200,0))="","",INDEX('Test catalog'!$N$2:$N$200,MATCH($AB558,'Test catalog'!$A$2:$A$200,0))),"")</f>
        <v/>
      </c>
      <c r="V558" s="15" t="n"/>
      <c r="W558" s="5" t="inlineStr">
        <is>
          <t>N</t>
        </is>
      </c>
      <c r="X558" s="5" t="n"/>
      <c r="Y558" s="5" t="n"/>
      <c r="Z558" s="5" t="n"/>
      <c r="AA558" s="10">
        <f>IFERROR(IF(INDEX('Test catalog'!$O$2:$O$200,MATCH($AB558,'Test catalog'!$A$2:$A$200,0))="","",INDEX('Test catalog'!$O$2:$O$200,MATCH($AB558,'Test catalog'!$A$2:$A$200,0))),"")</f>
        <v/>
      </c>
      <c r="AB558" s="10" t="inlineStr">
        <is>
          <t>ID_CHEM</t>
        </is>
      </c>
      <c r="AC558" s="10" t="inlineStr">
        <is>
          <t>Povidone · Identification</t>
        </is>
      </c>
      <c r="AD558" s="10" t="n"/>
      <c r="AE558" s="10" t="n"/>
    </row>
    <row r="559">
      <c r="A559" s="10" t="inlineStr">
        <is>
          <t>PVP K30</t>
        </is>
      </c>
      <c r="B559" s="10" t="inlineStr">
        <is>
          <t>RM</t>
        </is>
      </c>
      <c r="C559" s="10" t="inlineStr">
        <is>
          <t>Binder</t>
        </is>
      </c>
      <c r="D559" s="10" t="inlineStr">
        <is>
          <t>ID E - chemical reaction</t>
        </is>
      </c>
      <c r="E559" s="10">
        <f>IF(A559="","",A559&amp;"|"&amp;D559)</f>
        <v/>
      </c>
      <c r="F559" s="5" t="inlineStr">
        <is>
          <t>Y</t>
        </is>
      </c>
      <c r="G559" s="5" t="inlineStr">
        <is>
          <t>Other / bench</t>
        </is>
      </c>
      <c r="H559" s="5" t="inlineStr">
        <is>
          <t>Low</t>
        </is>
      </c>
      <c r="I559" s="5" t="n">
        <v>1</v>
      </c>
      <c r="J559" s="5" t="n"/>
      <c r="K559" s="10">
        <f>IFERROR(IF(INDEX('Test catalog'!$F$2:$F$200,MATCH($AB559,'Test catalog'!$A$2:$A$200,0))="","",INDEX('Test catalog'!$F$2:$F$200,MATCH($AB559,'Test catalog'!$A$2:$A$200,0))),"")</f>
        <v/>
      </c>
      <c r="L559" s="10">
        <f>IFERROR(IF(INDEX('Test catalog'!$G$2:$G$200,MATCH($AB559,'Test catalog'!$A$2:$A$200,0))="","",INDEX('Test catalog'!$G$2:$G$200,MATCH($AB559,'Test catalog'!$A$2:$A$200,0))),"")</f>
        <v/>
      </c>
      <c r="M559" s="10">
        <f>IFERROR(IF(INDEX('Test catalog'!$H$2:$H$200,MATCH($AB559,'Test catalog'!$A$2:$A$200,0))="","",INDEX('Test catalog'!$H$2:$H$200,MATCH($AB559,'Test catalog'!$A$2:$A$200,0))),"")</f>
        <v/>
      </c>
      <c r="N559" s="10">
        <f>IFERROR(IF(INDEX('Test catalog'!$I$2:$I$200,MATCH($AB559,'Test catalog'!$A$2:$A$200,0))="","",INDEX('Test catalog'!$I$2:$I$200,MATCH($AB559,'Test catalog'!$A$2:$A$200,0))),"")</f>
        <v/>
      </c>
      <c r="O559" s="10">
        <f>IFERROR(IF(INDEX('Test catalog'!$J$2:$J$200,MATCH($AB559,'Test catalog'!$A$2:$A$200,0))="","",INDEX('Test catalog'!$J$2:$J$200,MATCH($AB559,'Test catalog'!$A$2:$A$200,0))),"")</f>
        <v/>
      </c>
      <c r="P559" s="14">
        <f>IF(N559="","",IF(OR(M559="",O559=""),N559,(M559+4*N559+O559)/6))</f>
        <v/>
      </c>
      <c r="Q559" s="10">
        <f>IFERROR(IF(INDEX('Test catalog'!$K$2:$K$200,MATCH($AB559,'Test catalog'!$A$2:$A$200,0))="","",INDEX('Test catalog'!$K$2:$K$200,MATCH($AB559,'Test catalog'!$A$2:$A$200,0))),"")</f>
        <v/>
      </c>
      <c r="R559" s="5" t="n"/>
      <c r="S559" s="10">
        <f>IFERROR(IF(INDEX('Test catalog'!$L$2:$L$200,MATCH($AB559,'Test catalog'!$A$2:$A$200,0))="","",INDEX('Test catalog'!$L$2:$L$200,MATCH($AB559,'Test catalog'!$A$2:$A$200,0))),"")</f>
        <v/>
      </c>
      <c r="T559" s="10">
        <f>IFERROR(IF(INDEX('Test catalog'!$M$2:$M$200,MATCH($AB559,'Test catalog'!$A$2:$A$200,0))="","",INDEX('Test catalog'!$M$2:$M$200,MATCH($AB559,'Test catalog'!$A$2:$A$200,0))),"")</f>
        <v/>
      </c>
      <c r="U559" s="10">
        <f>IFERROR(IF(INDEX('Test catalog'!$N$2:$N$200,MATCH($AB559,'Test catalog'!$A$2:$A$200,0))="","",INDEX('Test catalog'!$N$2:$N$200,MATCH($AB559,'Test catalog'!$A$2:$A$200,0))),"")</f>
        <v/>
      </c>
      <c r="V559" s="15" t="n"/>
      <c r="W559" s="5" t="inlineStr">
        <is>
          <t>N</t>
        </is>
      </c>
      <c r="X559" s="5" t="n"/>
      <c r="Y559" s="5" t="n"/>
      <c r="Z559" s="5" t="n"/>
      <c r="AA559" s="10">
        <f>IFERROR(IF(INDEX('Test catalog'!$O$2:$O$200,MATCH($AB559,'Test catalog'!$A$2:$A$200,0))="","",INDEX('Test catalog'!$O$2:$O$200,MATCH($AB559,'Test catalog'!$A$2:$A$200,0))),"")</f>
        <v/>
      </c>
      <c r="AB559" s="10" t="inlineStr">
        <is>
          <t>ID_CHEM</t>
        </is>
      </c>
      <c r="AC559" s="10" t="inlineStr">
        <is>
          <t>Povidone · Identification</t>
        </is>
      </c>
      <c r="AD559" s="10" t="n"/>
      <c r="AE559" s="10" t="n"/>
    </row>
    <row r="560">
      <c r="A560" s="10" t="inlineStr">
        <is>
          <t>PVP K30</t>
        </is>
      </c>
      <c r="B560" s="10" t="inlineStr">
        <is>
          <t>RM</t>
        </is>
      </c>
      <c r="C560" s="10" t="inlineStr">
        <is>
          <t>Binder</t>
        </is>
      </c>
      <c r="D560" s="10" t="inlineStr">
        <is>
          <t>Assay - Nitrogen Determination</t>
        </is>
      </c>
      <c r="E560" s="10">
        <f>IF(A560="","",A560&amp;"|"&amp;D560)</f>
        <v/>
      </c>
      <c r="F560" s="5" t="inlineStr">
        <is>
          <t>Y</t>
        </is>
      </c>
      <c r="G560" s="5" t="inlineStr">
        <is>
          <t>Other / bench</t>
        </is>
      </c>
      <c r="H560" s="5" t="inlineStr">
        <is>
          <t>Low</t>
        </is>
      </c>
      <c r="I560" s="5" t="n">
        <v>1</v>
      </c>
      <c r="J560" s="5" t="n"/>
      <c r="K560" s="10">
        <f>IFERROR(IF(INDEX('Test catalog'!$F$2:$F$200,MATCH($AB560,'Test catalog'!$A$2:$A$200,0))="","",INDEX('Test catalog'!$F$2:$F$200,MATCH($AB560,'Test catalog'!$A$2:$A$200,0))),"")</f>
        <v/>
      </c>
      <c r="L560" s="10">
        <f>IFERROR(IF(INDEX('Test catalog'!$G$2:$G$200,MATCH($AB560,'Test catalog'!$A$2:$A$200,0))="","",INDEX('Test catalog'!$G$2:$G$200,MATCH($AB560,'Test catalog'!$A$2:$A$200,0))),"")</f>
        <v/>
      </c>
      <c r="M560" s="10">
        <f>IFERROR(IF(INDEX('Test catalog'!$H$2:$H$200,MATCH($AB560,'Test catalog'!$A$2:$A$200,0))="","",INDEX('Test catalog'!$H$2:$H$200,MATCH($AB560,'Test catalog'!$A$2:$A$200,0))),"")</f>
        <v/>
      </c>
      <c r="N560" s="10">
        <f>IFERROR(IF(INDEX('Test catalog'!$I$2:$I$200,MATCH($AB560,'Test catalog'!$A$2:$A$200,0))="","",INDEX('Test catalog'!$I$2:$I$200,MATCH($AB560,'Test catalog'!$A$2:$A$200,0))),"")</f>
        <v/>
      </c>
      <c r="O560" s="10">
        <f>IFERROR(IF(INDEX('Test catalog'!$J$2:$J$200,MATCH($AB560,'Test catalog'!$A$2:$A$200,0))="","",INDEX('Test catalog'!$J$2:$J$200,MATCH($AB560,'Test catalog'!$A$2:$A$200,0))),"")</f>
        <v/>
      </c>
      <c r="P560" s="14">
        <f>IF(N560="","",IF(OR(M560="",O560=""),N560,(M560+4*N560+O560)/6))</f>
        <v/>
      </c>
      <c r="Q560" s="10">
        <f>IFERROR(IF(INDEX('Test catalog'!$K$2:$K$200,MATCH($AB560,'Test catalog'!$A$2:$A$200,0))="","",INDEX('Test catalog'!$K$2:$K$200,MATCH($AB560,'Test catalog'!$A$2:$A$200,0))),"")</f>
        <v/>
      </c>
      <c r="R560" s="5" t="n"/>
      <c r="S560" s="10">
        <f>IFERROR(IF(INDEX('Test catalog'!$L$2:$L$200,MATCH($AB560,'Test catalog'!$A$2:$A$200,0))="","",INDEX('Test catalog'!$L$2:$L$200,MATCH($AB560,'Test catalog'!$A$2:$A$200,0))),"")</f>
        <v/>
      </c>
      <c r="T560" s="10">
        <f>IFERROR(IF(INDEX('Test catalog'!$M$2:$M$200,MATCH($AB560,'Test catalog'!$A$2:$A$200,0))="","",INDEX('Test catalog'!$M$2:$M$200,MATCH($AB560,'Test catalog'!$A$2:$A$200,0))),"")</f>
        <v/>
      </c>
      <c r="U560" s="10">
        <f>IFERROR(IF(INDEX('Test catalog'!$N$2:$N$200,MATCH($AB560,'Test catalog'!$A$2:$A$200,0))="","",INDEX('Test catalog'!$N$2:$N$200,MATCH($AB560,'Test catalog'!$A$2:$A$200,0))),"")</f>
        <v/>
      </c>
      <c r="V560" s="15" t="n"/>
      <c r="W560" s="5" t="inlineStr">
        <is>
          <t>N</t>
        </is>
      </c>
      <c r="X560" s="5" t="n"/>
      <c r="Y560" s="5" t="n"/>
      <c r="Z560" s="5" t="n"/>
      <c r="AA560" s="10">
        <f>IFERROR(IF(INDEX('Test catalog'!$O$2:$O$200,MATCH($AB560,'Test catalog'!$A$2:$A$200,0))="","",INDEX('Test catalog'!$O$2:$O$200,MATCH($AB560,'Test catalog'!$A$2:$A$200,0))),"")</f>
        <v/>
      </c>
      <c r="AB560" s="10" t="inlineStr">
        <is>
          <t>TITR</t>
        </is>
      </c>
      <c r="AC560" s="10" t="inlineStr">
        <is>
          <t>Povidone · Assay</t>
        </is>
      </c>
      <c r="AD560" s="10" t="n"/>
      <c r="AE560" s="10" t="n"/>
    </row>
    <row r="561">
      <c r="A561" s="10" t="inlineStr">
        <is>
          <t>PVP K30</t>
        </is>
      </c>
      <c r="B561" s="10" t="inlineStr">
        <is>
          <t>RM</t>
        </is>
      </c>
      <c r="C561" s="10" t="inlineStr">
        <is>
          <t>Binder</t>
        </is>
      </c>
      <c r="D561" s="10" t="inlineStr">
        <is>
          <t>Residue on Ignition</t>
        </is>
      </c>
      <c r="E561" s="10">
        <f>IF(A561="","",A561&amp;"|"&amp;D561)</f>
        <v/>
      </c>
      <c r="F561" s="5" t="inlineStr">
        <is>
          <t>Y</t>
        </is>
      </c>
      <c r="G561" s="5" t="inlineStr">
        <is>
          <t>Other / bench</t>
        </is>
      </c>
      <c r="H561" s="5" t="inlineStr">
        <is>
          <t>Low</t>
        </is>
      </c>
      <c r="I561" s="5" t="n">
        <v>1</v>
      </c>
      <c r="J561" s="5" t="n"/>
      <c r="K561" s="10">
        <f>IFERROR(IF(INDEX('Test catalog'!$F$2:$F$200,MATCH($AB561,'Test catalog'!$A$2:$A$200,0))="","",INDEX('Test catalog'!$F$2:$F$200,MATCH($AB561,'Test catalog'!$A$2:$A$200,0))),"")</f>
        <v/>
      </c>
      <c r="L561" s="10">
        <f>IFERROR(IF(INDEX('Test catalog'!$G$2:$G$200,MATCH($AB561,'Test catalog'!$A$2:$A$200,0))="","",INDEX('Test catalog'!$G$2:$G$200,MATCH($AB561,'Test catalog'!$A$2:$A$200,0))),"")</f>
        <v/>
      </c>
      <c r="M561" s="10">
        <f>IFERROR(IF(INDEX('Test catalog'!$H$2:$H$200,MATCH($AB561,'Test catalog'!$A$2:$A$200,0))="","",INDEX('Test catalog'!$H$2:$H$200,MATCH($AB561,'Test catalog'!$A$2:$A$200,0))),"")</f>
        <v/>
      </c>
      <c r="N561" s="10">
        <f>IFERROR(IF(INDEX('Test catalog'!$I$2:$I$200,MATCH($AB561,'Test catalog'!$A$2:$A$200,0))="","",INDEX('Test catalog'!$I$2:$I$200,MATCH($AB561,'Test catalog'!$A$2:$A$200,0))),"")</f>
        <v/>
      </c>
      <c r="O561" s="10">
        <f>IFERROR(IF(INDEX('Test catalog'!$J$2:$J$200,MATCH($AB561,'Test catalog'!$A$2:$A$200,0))="","",INDEX('Test catalog'!$J$2:$J$200,MATCH($AB561,'Test catalog'!$A$2:$A$200,0))),"")</f>
        <v/>
      </c>
      <c r="P561" s="14">
        <f>IF(N561="","",IF(OR(M561="",O561=""),N561,(M561+4*N561+O561)/6))</f>
        <v/>
      </c>
      <c r="Q561" s="10">
        <f>IFERROR(IF(INDEX('Test catalog'!$K$2:$K$200,MATCH($AB561,'Test catalog'!$A$2:$A$200,0))="","",INDEX('Test catalog'!$K$2:$K$200,MATCH($AB561,'Test catalog'!$A$2:$A$200,0))),"")</f>
        <v/>
      </c>
      <c r="R561" s="5" t="n"/>
      <c r="S561" s="10">
        <f>IFERROR(IF(INDEX('Test catalog'!$L$2:$L$200,MATCH($AB561,'Test catalog'!$A$2:$A$200,0))="","",INDEX('Test catalog'!$L$2:$L$200,MATCH($AB561,'Test catalog'!$A$2:$A$200,0))),"")</f>
        <v/>
      </c>
      <c r="T561" s="10">
        <f>IFERROR(IF(INDEX('Test catalog'!$M$2:$M$200,MATCH($AB561,'Test catalog'!$A$2:$A$200,0))="","",INDEX('Test catalog'!$M$2:$M$200,MATCH($AB561,'Test catalog'!$A$2:$A$200,0))),"")</f>
        <v/>
      </c>
      <c r="U561" s="10">
        <f>IFERROR(IF(INDEX('Test catalog'!$N$2:$N$200,MATCH($AB561,'Test catalog'!$A$2:$A$200,0))="","",INDEX('Test catalog'!$N$2:$N$200,MATCH($AB561,'Test catalog'!$A$2:$A$200,0))),"")</f>
        <v/>
      </c>
      <c r="V561" s="15" t="n"/>
      <c r="W561" s="5" t="inlineStr">
        <is>
          <t>N</t>
        </is>
      </c>
      <c r="X561" s="5" t="n"/>
      <c r="Y561" s="5" t="n"/>
      <c r="Z561" s="5" t="n"/>
      <c r="AA561" s="10">
        <f>IFERROR(IF(INDEX('Test catalog'!$O$2:$O$200,MATCH($AB561,'Test catalog'!$A$2:$A$200,0))="","",INDEX('Test catalog'!$O$2:$O$200,MATCH($AB561,'Test catalog'!$A$2:$A$200,0))),"")</f>
        <v/>
      </c>
      <c r="AB561" s="10" t="inlineStr">
        <is>
          <t>ROI</t>
        </is>
      </c>
      <c r="AC561" s="10" t="inlineStr">
        <is>
          <t>Povidone · Impurities &lt;281&gt;</t>
        </is>
      </c>
      <c r="AD561" s="10" t="n"/>
      <c r="AE561" s="10" t="n"/>
    </row>
    <row r="562">
      <c r="A562" s="10" t="inlineStr">
        <is>
          <t>PVP K30</t>
        </is>
      </c>
      <c r="B562" s="10" t="inlineStr">
        <is>
          <t>RM</t>
        </is>
      </c>
      <c r="C562" s="10" t="inlineStr">
        <is>
          <t>Binder</t>
        </is>
      </c>
      <c r="D562" s="10" t="inlineStr">
        <is>
          <t>Lead</t>
        </is>
      </c>
      <c r="E562" s="10">
        <f>IF(A562="","",A562&amp;"|"&amp;D562)</f>
        <v/>
      </c>
      <c r="F562" s="5" t="inlineStr">
        <is>
          <t>Y</t>
        </is>
      </c>
      <c r="G562" s="5" t="inlineStr">
        <is>
          <t>Other / bench</t>
        </is>
      </c>
      <c r="H562" s="5" t="inlineStr">
        <is>
          <t>Low</t>
        </is>
      </c>
      <c r="I562" s="5" t="n">
        <v>1</v>
      </c>
      <c r="J562" s="5" t="n"/>
      <c r="K562" s="10">
        <f>IFERROR(IF(INDEX('Test catalog'!$F$2:$F$200,MATCH($AB562,'Test catalog'!$A$2:$A$200,0))="","",INDEX('Test catalog'!$F$2:$F$200,MATCH($AB562,'Test catalog'!$A$2:$A$200,0))),"")</f>
        <v/>
      </c>
      <c r="L562" s="10">
        <f>IFERROR(IF(INDEX('Test catalog'!$G$2:$G$200,MATCH($AB562,'Test catalog'!$A$2:$A$200,0))="","",INDEX('Test catalog'!$G$2:$G$200,MATCH($AB562,'Test catalog'!$A$2:$A$200,0))),"")</f>
        <v/>
      </c>
      <c r="M562" s="10">
        <f>IFERROR(IF(INDEX('Test catalog'!$H$2:$H$200,MATCH($AB562,'Test catalog'!$A$2:$A$200,0))="","",INDEX('Test catalog'!$H$2:$H$200,MATCH($AB562,'Test catalog'!$A$2:$A$200,0))),"")</f>
        <v/>
      </c>
      <c r="N562" s="10">
        <f>IFERROR(IF(INDEX('Test catalog'!$I$2:$I$200,MATCH($AB562,'Test catalog'!$A$2:$A$200,0))="","",INDEX('Test catalog'!$I$2:$I$200,MATCH($AB562,'Test catalog'!$A$2:$A$200,0))),"")</f>
        <v/>
      </c>
      <c r="O562" s="10">
        <f>IFERROR(IF(INDEX('Test catalog'!$J$2:$J$200,MATCH($AB562,'Test catalog'!$A$2:$A$200,0))="","",INDEX('Test catalog'!$J$2:$J$200,MATCH($AB562,'Test catalog'!$A$2:$A$200,0))),"")</f>
        <v/>
      </c>
      <c r="P562" s="14">
        <f>IF(N562="","",IF(OR(M562="",O562=""),N562,(M562+4*N562+O562)/6))</f>
        <v/>
      </c>
      <c r="Q562" s="10">
        <f>IFERROR(IF(INDEX('Test catalog'!$K$2:$K$200,MATCH($AB562,'Test catalog'!$A$2:$A$200,0))="","",INDEX('Test catalog'!$K$2:$K$200,MATCH($AB562,'Test catalog'!$A$2:$A$200,0))),"")</f>
        <v/>
      </c>
      <c r="R562" s="5" t="n"/>
      <c r="S562" s="10">
        <f>IFERROR(IF(INDEX('Test catalog'!$L$2:$L$200,MATCH($AB562,'Test catalog'!$A$2:$A$200,0))="","",INDEX('Test catalog'!$L$2:$L$200,MATCH($AB562,'Test catalog'!$A$2:$A$200,0))),"")</f>
        <v/>
      </c>
      <c r="T562" s="10">
        <f>IFERROR(IF(INDEX('Test catalog'!$M$2:$M$200,MATCH($AB562,'Test catalog'!$A$2:$A$200,0))="","",INDEX('Test catalog'!$M$2:$M$200,MATCH($AB562,'Test catalog'!$A$2:$A$200,0))),"")</f>
        <v/>
      </c>
      <c r="U562" s="10">
        <f>IFERROR(IF(INDEX('Test catalog'!$N$2:$N$200,MATCH($AB562,'Test catalog'!$A$2:$A$200,0))="","",INDEX('Test catalog'!$N$2:$N$200,MATCH($AB562,'Test catalog'!$A$2:$A$200,0))),"")</f>
        <v/>
      </c>
      <c r="V562" s="15" t="n"/>
      <c r="W562" s="5" t="inlineStr">
        <is>
          <t>N</t>
        </is>
      </c>
      <c r="X562" s="5" t="n"/>
      <c r="Y562" s="5" t="n"/>
      <c r="Z562" s="5" t="n"/>
      <c r="AA562" s="10">
        <f>IFERROR(IF(INDEX('Test catalog'!$O$2:$O$200,MATCH($AB562,'Test catalog'!$A$2:$A$200,0))="","",INDEX('Test catalog'!$O$2:$O$200,MATCH($AB562,'Test catalog'!$A$2:$A$200,0))),"")</f>
        <v/>
      </c>
      <c r="AB562" s="10" t="inlineStr">
        <is>
          <t>LIM_TOX</t>
        </is>
      </c>
      <c r="AC562" s="10" t="inlineStr">
        <is>
          <t>Povidone · Impurities &lt;251&gt;</t>
        </is>
      </c>
      <c r="AD562" s="10" t="n"/>
      <c r="AE562" s="10" t="n"/>
    </row>
    <row r="563">
      <c r="A563" s="10" t="inlineStr">
        <is>
          <t>PVP K30</t>
        </is>
      </c>
      <c r="B563" s="10" t="inlineStr">
        <is>
          <t>RM</t>
        </is>
      </c>
      <c r="C563" s="10" t="inlineStr">
        <is>
          <t>Binder</t>
        </is>
      </c>
      <c r="D563" s="10" t="inlineStr">
        <is>
          <t>Limit of Aldehydes</t>
        </is>
      </c>
      <c r="E563" s="10">
        <f>IF(A563="","",A563&amp;"|"&amp;D563)</f>
        <v/>
      </c>
      <c r="F563" s="5" t="inlineStr">
        <is>
          <t>Y</t>
        </is>
      </c>
      <c r="G563" s="5" t="inlineStr">
        <is>
          <t>UV-Vis</t>
        </is>
      </c>
      <c r="H563" s="5" t="inlineStr">
        <is>
          <t>Low</t>
        </is>
      </c>
      <c r="I563" s="5" t="n">
        <v>1</v>
      </c>
      <c r="J563" s="5" t="n"/>
      <c r="K563" s="10">
        <f>IFERROR(IF(INDEX('Test catalog'!$F$2:$F$200,MATCH($AB563,'Test catalog'!$A$2:$A$200,0))="","",INDEX('Test catalog'!$F$2:$F$200,MATCH($AB563,'Test catalog'!$A$2:$A$200,0))),"")</f>
        <v/>
      </c>
      <c r="L563" s="10">
        <f>IFERROR(IF(INDEX('Test catalog'!$G$2:$G$200,MATCH($AB563,'Test catalog'!$A$2:$A$200,0))="","",INDEX('Test catalog'!$G$2:$G$200,MATCH($AB563,'Test catalog'!$A$2:$A$200,0))),"")</f>
        <v/>
      </c>
      <c r="M563" s="10">
        <f>IFERROR(IF(INDEX('Test catalog'!$H$2:$H$200,MATCH($AB563,'Test catalog'!$A$2:$A$200,0))="","",INDEX('Test catalog'!$H$2:$H$200,MATCH($AB563,'Test catalog'!$A$2:$A$200,0))),"")</f>
        <v/>
      </c>
      <c r="N563" s="10">
        <f>IFERROR(IF(INDEX('Test catalog'!$I$2:$I$200,MATCH($AB563,'Test catalog'!$A$2:$A$200,0))="","",INDEX('Test catalog'!$I$2:$I$200,MATCH($AB563,'Test catalog'!$A$2:$A$200,0))),"")</f>
        <v/>
      </c>
      <c r="O563" s="10">
        <f>IFERROR(IF(INDEX('Test catalog'!$J$2:$J$200,MATCH($AB563,'Test catalog'!$A$2:$A$200,0))="","",INDEX('Test catalog'!$J$2:$J$200,MATCH($AB563,'Test catalog'!$A$2:$A$200,0))),"")</f>
        <v/>
      </c>
      <c r="P563" s="14">
        <f>IF(N563="","",IF(OR(M563="",O563=""),N563,(M563+4*N563+O563)/6))</f>
        <v/>
      </c>
      <c r="Q563" s="10">
        <f>IFERROR(IF(INDEX('Test catalog'!$K$2:$K$200,MATCH($AB563,'Test catalog'!$A$2:$A$200,0))="","",INDEX('Test catalog'!$K$2:$K$200,MATCH($AB563,'Test catalog'!$A$2:$A$200,0))),"")</f>
        <v/>
      </c>
      <c r="R563" s="5" t="n"/>
      <c r="S563" s="10">
        <f>IFERROR(IF(INDEX('Test catalog'!$L$2:$L$200,MATCH($AB563,'Test catalog'!$A$2:$A$200,0))="","",INDEX('Test catalog'!$L$2:$L$200,MATCH($AB563,'Test catalog'!$A$2:$A$200,0))),"")</f>
        <v/>
      </c>
      <c r="T563" s="10">
        <f>IFERROR(IF(INDEX('Test catalog'!$M$2:$M$200,MATCH($AB563,'Test catalog'!$A$2:$A$200,0))="","",INDEX('Test catalog'!$M$2:$M$200,MATCH($AB563,'Test catalog'!$A$2:$A$200,0))),"")</f>
        <v/>
      </c>
      <c r="U563" s="10">
        <f>IFERROR(IF(INDEX('Test catalog'!$N$2:$N$200,MATCH($AB563,'Test catalog'!$A$2:$A$200,0))="","",INDEX('Test catalog'!$N$2:$N$200,MATCH($AB563,'Test catalog'!$A$2:$A$200,0))),"")</f>
        <v/>
      </c>
      <c r="V563" s="15" t="n"/>
      <c r="W563" s="5" t="inlineStr">
        <is>
          <t>N</t>
        </is>
      </c>
      <c r="X563" s="5" t="n"/>
      <c r="Y563" s="5" t="n"/>
      <c r="Z563" s="5" t="n"/>
      <c r="AA563" s="10">
        <f>IFERROR(IF(INDEX('Test catalog'!$O$2:$O$200,MATCH($AB563,'Test catalog'!$A$2:$A$200,0))="","",INDEX('Test catalog'!$O$2:$O$200,MATCH($AB563,'Test catalog'!$A$2:$A$200,0))),"")</f>
        <v/>
      </c>
      <c r="AB563" s="10" t="inlineStr">
        <is>
          <t>UV</t>
        </is>
      </c>
      <c r="AC563" s="10" t="inlineStr">
        <is>
          <t>Povidone · Impurities</t>
        </is>
      </c>
      <c r="AD563" s="10" t="n"/>
      <c r="AE563" s="10" t="n"/>
    </row>
    <row r="564">
      <c r="A564" s="10" t="inlineStr">
        <is>
          <t>PVP K30</t>
        </is>
      </c>
      <c r="B564" s="10" t="inlineStr">
        <is>
          <t>RM</t>
        </is>
      </c>
      <c r="C564" s="10" t="inlineStr">
        <is>
          <t>Binder</t>
        </is>
      </c>
      <c r="D564" s="10" t="inlineStr">
        <is>
          <t>Limit of Hydrazine</t>
        </is>
      </c>
      <c r="E564" s="10">
        <f>IF(A564="","",A564&amp;"|"&amp;D564)</f>
        <v/>
      </c>
      <c r="F564" s="5" t="inlineStr">
        <is>
          <t>Y</t>
        </is>
      </c>
      <c r="G564" s="5" t="inlineStr">
        <is>
          <t>Other / bench</t>
        </is>
      </c>
      <c r="H564" s="5" t="inlineStr">
        <is>
          <t>Low</t>
        </is>
      </c>
      <c r="I564" s="5" t="n">
        <v>1</v>
      </c>
      <c r="J564" s="5" t="n"/>
      <c r="K564" s="10">
        <f>IFERROR(IF(INDEX('Test catalog'!$F$2:$F$200,MATCH($AB564,'Test catalog'!$A$2:$A$200,0))="","",INDEX('Test catalog'!$F$2:$F$200,MATCH($AB564,'Test catalog'!$A$2:$A$200,0))),"")</f>
        <v/>
      </c>
      <c r="L564" s="10">
        <f>IFERROR(IF(INDEX('Test catalog'!$G$2:$G$200,MATCH($AB564,'Test catalog'!$A$2:$A$200,0))="","",INDEX('Test catalog'!$G$2:$G$200,MATCH($AB564,'Test catalog'!$A$2:$A$200,0))),"")</f>
        <v/>
      </c>
      <c r="M564" s="10">
        <f>IFERROR(IF(INDEX('Test catalog'!$H$2:$H$200,MATCH($AB564,'Test catalog'!$A$2:$A$200,0))="","",INDEX('Test catalog'!$H$2:$H$200,MATCH($AB564,'Test catalog'!$A$2:$A$200,0))),"")</f>
        <v/>
      </c>
      <c r="N564" s="10">
        <f>IFERROR(IF(INDEX('Test catalog'!$I$2:$I$200,MATCH($AB564,'Test catalog'!$A$2:$A$200,0))="","",INDEX('Test catalog'!$I$2:$I$200,MATCH($AB564,'Test catalog'!$A$2:$A$200,0))),"")</f>
        <v/>
      </c>
      <c r="O564" s="10">
        <f>IFERROR(IF(INDEX('Test catalog'!$J$2:$J$200,MATCH($AB564,'Test catalog'!$A$2:$A$200,0))="","",INDEX('Test catalog'!$J$2:$J$200,MATCH($AB564,'Test catalog'!$A$2:$A$200,0))),"")</f>
        <v/>
      </c>
      <c r="P564" s="14">
        <f>IF(N564="","",IF(OR(M564="",O564=""),N564,(M564+4*N564+O564)/6))</f>
        <v/>
      </c>
      <c r="Q564" s="10">
        <f>IFERROR(IF(INDEX('Test catalog'!$K$2:$K$200,MATCH($AB564,'Test catalog'!$A$2:$A$200,0))="","",INDEX('Test catalog'!$K$2:$K$200,MATCH($AB564,'Test catalog'!$A$2:$A$200,0))),"")</f>
        <v/>
      </c>
      <c r="R564" s="5" t="n"/>
      <c r="S564" s="10">
        <f>IFERROR(IF(INDEX('Test catalog'!$L$2:$L$200,MATCH($AB564,'Test catalog'!$A$2:$A$200,0))="","",INDEX('Test catalog'!$L$2:$L$200,MATCH($AB564,'Test catalog'!$A$2:$A$200,0))),"")</f>
        <v/>
      </c>
      <c r="T564" s="10">
        <f>IFERROR(IF(INDEX('Test catalog'!$M$2:$M$200,MATCH($AB564,'Test catalog'!$A$2:$A$200,0))="","",INDEX('Test catalog'!$M$2:$M$200,MATCH($AB564,'Test catalog'!$A$2:$A$200,0))),"")</f>
        <v/>
      </c>
      <c r="U564" s="10">
        <f>IFERROR(IF(INDEX('Test catalog'!$N$2:$N$200,MATCH($AB564,'Test catalog'!$A$2:$A$200,0))="","",INDEX('Test catalog'!$N$2:$N$200,MATCH($AB564,'Test catalog'!$A$2:$A$200,0))),"")</f>
        <v/>
      </c>
      <c r="V564" s="15" t="n"/>
      <c r="W564" s="5" t="inlineStr">
        <is>
          <t>N</t>
        </is>
      </c>
      <c r="X564" s="5" t="n"/>
      <c r="Y564" s="5" t="n"/>
      <c r="Z564" s="5" t="n"/>
      <c r="AA564" s="10">
        <f>IFERROR(IF(INDEX('Test catalog'!$O$2:$O$200,MATCH($AB564,'Test catalog'!$A$2:$A$200,0))="","",INDEX('Test catalog'!$O$2:$O$200,MATCH($AB564,'Test catalog'!$A$2:$A$200,0))),"")</f>
        <v/>
      </c>
      <c r="AB564" s="10" t="inlineStr">
        <is>
          <t>TLC</t>
        </is>
      </c>
      <c r="AC564" s="10" t="inlineStr">
        <is>
          <t>Povidone · Impurities</t>
        </is>
      </c>
      <c r="AD564" s="10" t="n"/>
      <c r="AE564" s="10" t="n"/>
    </row>
    <row r="565">
      <c r="A565" s="10" t="inlineStr">
        <is>
          <t>PVP K30</t>
        </is>
      </c>
      <c r="B565" s="10" t="inlineStr">
        <is>
          <t>RM</t>
        </is>
      </c>
      <c r="C565" s="10" t="inlineStr">
        <is>
          <t>Binder</t>
        </is>
      </c>
      <c r="D565" s="10" t="inlineStr">
        <is>
          <t>Vinylpyrrolidinone (HPLC)</t>
        </is>
      </c>
      <c r="E565" s="10">
        <f>IF(A565="","",A565&amp;"|"&amp;D565)</f>
        <v/>
      </c>
      <c r="F565" s="5" t="inlineStr">
        <is>
          <t>Y</t>
        </is>
      </c>
      <c r="G565" s="5" t="inlineStr">
        <is>
          <t>HPLC</t>
        </is>
      </c>
      <c r="H565" s="5" t="inlineStr">
        <is>
          <t>Medium</t>
        </is>
      </c>
      <c r="I565" s="5" t="n">
        <v>1</v>
      </c>
      <c r="J565" s="5" t="n"/>
      <c r="K565" s="5" t="n"/>
      <c r="L565" s="5" t="n"/>
      <c r="M565" s="5" t="n"/>
      <c r="N565" s="5" t="n"/>
      <c r="O565" s="5" t="n"/>
      <c r="P565" s="14">
        <f>IF(N565="","",IF(OR(M565="",O565=""),N565,(M565+4*N565+O565)/6))</f>
        <v/>
      </c>
      <c r="Q565" s="5" t="n"/>
      <c r="R565" s="5" t="n"/>
      <c r="S565" s="5" t="n"/>
      <c r="T565" s="5" t="n"/>
      <c r="U565" s="5" t="n"/>
      <c r="V565" s="15" t="n"/>
      <c r="W565" s="5" t="inlineStr">
        <is>
          <t>N</t>
        </is>
      </c>
      <c r="X565" s="5" t="n"/>
      <c r="Y565" s="5" t="n"/>
      <c r="Z565" s="5" t="n"/>
      <c r="AA565" s="5" t="n"/>
      <c r="AB565" s="10" t="n"/>
      <c r="AC565" s="10" t="inlineStr">
        <is>
          <t>Povidone · Impurities</t>
        </is>
      </c>
      <c r="AD565" s="10" t="n"/>
      <c r="AE565" s="10" t="n"/>
    </row>
    <row r="566">
      <c r="A566" s="10" t="inlineStr">
        <is>
          <t>PVP K30</t>
        </is>
      </c>
      <c r="B566" s="10" t="inlineStr">
        <is>
          <t>RM</t>
        </is>
      </c>
      <c r="C566" s="10" t="inlineStr">
        <is>
          <t>Binder</t>
        </is>
      </c>
      <c r="D566" s="10" t="inlineStr">
        <is>
          <t>2-Pyrrolidone (HPLC)</t>
        </is>
      </c>
      <c r="E566" s="10">
        <f>IF(A566="","",A566&amp;"|"&amp;D566)</f>
        <v/>
      </c>
      <c r="F566" s="5" t="inlineStr">
        <is>
          <t>Y</t>
        </is>
      </c>
      <c r="G566" s="5" t="inlineStr">
        <is>
          <t>HPLC</t>
        </is>
      </c>
      <c r="H566" s="5" t="inlineStr">
        <is>
          <t>Medium</t>
        </is>
      </c>
      <c r="I566" s="5" t="n">
        <v>1</v>
      </c>
      <c r="J566" s="5" t="n"/>
      <c r="K566" s="5" t="n"/>
      <c r="L566" s="5" t="n"/>
      <c r="M566" s="5" t="n"/>
      <c r="N566" s="5" t="n"/>
      <c r="O566" s="5" t="n"/>
      <c r="P566" s="14">
        <f>IF(N566="","",IF(OR(M566="",O566=""),N566,(M566+4*N566+O566)/6))</f>
        <v/>
      </c>
      <c r="Q566" s="5" t="n"/>
      <c r="R566" s="5" t="n"/>
      <c r="S566" s="5" t="n"/>
      <c r="T566" s="5" t="n"/>
      <c r="U566" s="5" t="n"/>
      <c r="V566" s="15" t="n"/>
      <c r="W566" s="5" t="inlineStr">
        <is>
          <t>N</t>
        </is>
      </c>
      <c r="X566" s="5" t="n"/>
      <c r="Y566" s="5" t="n"/>
      <c r="Z566" s="5" t="n"/>
      <c r="AA566" s="5" t="n"/>
      <c r="AB566" s="10" t="n"/>
      <c r="AC566" s="10" t="inlineStr">
        <is>
          <t>Povidone · Impurities &lt;621&gt;</t>
        </is>
      </c>
      <c r="AD566" s="10" t="n"/>
      <c r="AE566" s="10" t="n"/>
    </row>
    <row r="567">
      <c r="A567" s="10" t="inlineStr">
        <is>
          <t>PVP K30</t>
        </is>
      </c>
      <c r="B567" s="10" t="inlineStr">
        <is>
          <t>RM</t>
        </is>
      </c>
      <c r="C567" s="10" t="inlineStr">
        <is>
          <t>Binder</t>
        </is>
      </c>
      <c r="D567" s="10" t="inlineStr">
        <is>
          <t>Peroxides</t>
        </is>
      </c>
      <c r="E567" s="10">
        <f>IF(A567="","",A567&amp;"|"&amp;D567)</f>
        <v/>
      </c>
      <c r="F567" s="5" t="inlineStr">
        <is>
          <t>Y</t>
        </is>
      </c>
      <c r="G567" s="5" t="inlineStr">
        <is>
          <t>UV-Vis</t>
        </is>
      </c>
      <c r="H567" s="5" t="inlineStr">
        <is>
          <t>Low</t>
        </is>
      </c>
      <c r="I567" s="5" t="n">
        <v>1</v>
      </c>
      <c r="J567" s="5" t="n"/>
      <c r="K567" s="10">
        <f>IFERROR(IF(INDEX('Test catalog'!$F$2:$F$200,MATCH($AB567,'Test catalog'!$A$2:$A$200,0))="","",INDEX('Test catalog'!$F$2:$F$200,MATCH($AB567,'Test catalog'!$A$2:$A$200,0))),"")</f>
        <v/>
      </c>
      <c r="L567" s="10">
        <f>IFERROR(IF(INDEX('Test catalog'!$G$2:$G$200,MATCH($AB567,'Test catalog'!$A$2:$A$200,0))="","",INDEX('Test catalog'!$G$2:$G$200,MATCH($AB567,'Test catalog'!$A$2:$A$200,0))),"")</f>
        <v/>
      </c>
      <c r="M567" s="10">
        <f>IFERROR(IF(INDEX('Test catalog'!$H$2:$H$200,MATCH($AB567,'Test catalog'!$A$2:$A$200,0))="","",INDEX('Test catalog'!$H$2:$H$200,MATCH($AB567,'Test catalog'!$A$2:$A$200,0))),"")</f>
        <v/>
      </c>
      <c r="N567" s="10">
        <f>IFERROR(IF(INDEX('Test catalog'!$I$2:$I$200,MATCH($AB567,'Test catalog'!$A$2:$A$200,0))="","",INDEX('Test catalog'!$I$2:$I$200,MATCH($AB567,'Test catalog'!$A$2:$A$200,0))),"")</f>
        <v/>
      </c>
      <c r="O567" s="10">
        <f>IFERROR(IF(INDEX('Test catalog'!$J$2:$J$200,MATCH($AB567,'Test catalog'!$A$2:$A$200,0))="","",INDEX('Test catalog'!$J$2:$J$200,MATCH($AB567,'Test catalog'!$A$2:$A$200,0))),"")</f>
        <v/>
      </c>
      <c r="P567" s="14">
        <f>IF(N567="","",IF(OR(M567="",O567=""),N567,(M567+4*N567+O567)/6))</f>
        <v/>
      </c>
      <c r="Q567" s="10">
        <f>IFERROR(IF(INDEX('Test catalog'!$K$2:$K$200,MATCH($AB567,'Test catalog'!$A$2:$A$200,0))="","",INDEX('Test catalog'!$K$2:$K$200,MATCH($AB567,'Test catalog'!$A$2:$A$200,0))),"")</f>
        <v/>
      </c>
      <c r="R567" s="5" t="n"/>
      <c r="S567" s="10">
        <f>IFERROR(IF(INDEX('Test catalog'!$L$2:$L$200,MATCH($AB567,'Test catalog'!$A$2:$A$200,0))="","",INDEX('Test catalog'!$L$2:$L$200,MATCH($AB567,'Test catalog'!$A$2:$A$200,0))),"")</f>
        <v/>
      </c>
      <c r="T567" s="10">
        <f>IFERROR(IF(INDEX('Test catalog'!$M$2:$M$200,MATCH($AB567,'Test catalog'!$A$2:$A$200,0))="","",INDEX('Test catalog'!$M$2:$M$200,MATCH($AB567,'Test catalog'!$A$2:$A$200,0))),"")</f>
        <v/>
      </c>
      <c r="U567" s="10">
        <f>IFERROR(IF(INDEX('Test catalog'!$N$2:$N$200,MATCH($AB567,'Test catalog'!$A$2:$A$200,0))="","",INDEX('Test catalog'!$N$2:$N$200,MATCH($AB567,'Test catalog'!$A$2:$A$200,0))),"")</f>
        <v/>
      </c>
      <c r="V567" s="15" t="n"/>
      <c r="W567" s="5" t="inlineStr">
        <is>
          <t>N</t>
        </is>
      </c>
      <c r="X567" s="5" t="n"/>
      <c r="Y567" s="5" t="n"/>
      <c r="Z567" s="5" t="n"/>
      <c r="AA567" s="10">
        <f>IFERROR(IF(INDEX('Test catalog'!$O$2:$O$200,MATCH($AB567,'Test catalog'!$A$2:$A$200,0))="","",INDEX('Test catalog'!$O$2:$O$200,MATCH($AB567,'Test catalog'!$A$2:$A$200,0))),"")</f>
        <v/>
      </c>
      <c r="AB567" s="10" t="inlineStr">
        <is>
          <t>UV</t>
        </is>
      </c>
      <c r="AC567" s="10" t="inlineStr">
        <is>
          <t>Povidone · Impurities &lt;857&gt;</t>
        </is>
      </c>
      <c r="AD567" s="10" t="n"/>
      <c r="AE567" s="10" t="n"/>
    </row>
    <row r="568">
      <c r="A568" s="10" t="inlineStr">
        <is>
          <t>PVP K30</t>
        </is>
      </c>
      <c r="B568" s="10" t="inlineStr">
        <is>
          <t>RM</t>
        </is>
      </c>
      <c r="C568" s="10" t="inlineStr">
        <is>
          <t>Binder</t>
        </is>
      </c>
      <c r="D568" s="10" t="inlineStr">
        <is>
          <t>Formic Acid (HPLC)</t>
        </is>
      </c>
      <c r="E568" s="10">
        <f>IF(A568="","",A568&amp;"|"&amp;D568)</f>
        <v/>
      </c>
      <c r="F568" s="5" t="inlineStr">
        <is>
          <t>Y</t>
        </is>
      </c>
      <c r="G568" s="5" t="inlineStr">
        <is>
          <t>HPLC</t>
        </is>
      </c>
      <c r="H568" s="5" t="inlineStr">
        <is>
          <t>Medium</t>
        </is>
      </c>
      <c r="I568" s="5" t="n">
        <v>1</v>
      </c>
      <c r="J568" s="5" t="n"/>
      <c r="K568" s="5" t="n"/>
      <c r="L568" s="5" t="n"/>
      <c r="M568" s="5" t="n"/>
      <c r="N568" s="5" t="n"/>
      <c r="O568" s="5" t="n"/>
      <c r="P568" s="14">
        <f>IF(N568="","",IF(OR(M568="",O568=""),N568,(M568+4*N568+O568)/6))</f>
        <v/>
      </c>
      <c r="Q568" s="5" t="n"/>
      <c r="R568" s="5" t="n"/>
      <c r="S568" s="5" t="n"/>
      <c r="T568" s="5" t="n"/>
      <c r="U568" s="5" t="n"/>
      <c r="V568" s="15" t="n"/>
      <c r="W568" s="5" t="inlineStr">
        <is>
          <t>N</t>
        </is>
      </c>
      <c r="X568" s="5" t="n"/>
      <c r="Y568" s="5" t="n"/>
      <c r="Z568" s="5" t="n"/>
      <c r="AA568" s="5" t="n"/>
      <c r="AB568" s="10" t="n"/>
      <c r="AC568" s="10" t="inlineStr">
        <is>
          <t>Povidone · Impurities</t>
        </is>
      </c>
      <c r="AD568" s="10" t="n"/>
      <c r="AE568" s="10" t="n"/>
    </row>
    <row r="569">
      <c r="A569" s="10" t="inlineStr">
        <is>
          <t>PVP K30</t>
        </is>
      </c>
      <c r="B569" s="10" t="inlineStr">
        <is>
          <t>RM</t>
        </is>
      </c>
      <c r="C569" s="10" t="inlineStr">
        <is>
          <t>Binder</t>
        </is>
      </c>
      <c r="D569" s="10" t="inlineStr">
        <is>
          <t>pH</t>
        </is>
      </c>
      <c r="E569" s="10">
        <f>IF(A569="","",A569&amp;"|"&amp;D569)</f>
        <v/>
      </c>
      <c r="F569" s="5" t="inlineStr">
        <is>
          <t>Y</t>
        </is>
      </c>
      <c r="G569" s="5" t="inlineStr">
        <is>
          <t>Other / bench</t>
        </is>
      </c>
      <c r="H569" s="5" t="inlineStr">
        <is>
          <t>Low</t>
        </is>
      </c>
      <c r="I569" s="5" t="n">
        <v>1</v>
      </c>
      <c r="J569" s="5" t="n"/>
      <c r="K569" s="10">
        <f>IFERROR(IF(INDEX('Test catalog'!$F$2:$F$200,MATCH($AB569,'Test catalog'!$A$2:$A$200,0))="","",INDEX('Test catalog'!$F$2:$F$200,MATCH($AB569,'Test catalog'!$A$2:$A$200,0))),"")</f>
        <v/>
      </c>
      <c r="L569" s="10">
        <f>IFERROR(IF(INDEX('Test catalog'!$G$2:$G$200,MATCH($AB569,'Test catalog'!$A$2:$A$200,0))="","",INDEX('Test catalog'!$G$2:$G$200,MATCH($AB569,'Test catalog'!$A$2:$A$200,0))),"")</f>
        <v/>
      </c>
      <c r="M569" s="10">
        <f>IFERROR(IF(INDEX('Test catalog'!$H$2:$H$200,MATCH($AB569,'Test catalog'!$A$2:$A$200,0))="","",INDEX('Test catalog'!$H$2:$H$200,MATCH($AB569,'Test catalog'!$A$2:$A$200,0))),"")</f>
        <v/>
      </c>
      <c r="N569" s="10">
        <f>IFERROR(IF(INDEX('Test catalog'!$I$2:$I$200,MATCH($AB569,'Test catalog'!$A$2:$A$200,0))="","",INDEX('Test catalog'!$I$2:$I$200,MATCH($AB569,'Test catalog'!$A$2:$A$200,0))),"")</f>
        <v/>
      </c>
      <c r="O569" s="10">
        <f>IFERROR(IF(INDEX('Test catalog'!$J$2:$J$200,MATCH($AB569,'Test catalog'!$A$2:$A$200,0))="","",INDEX('Test catalog'!$J$2:$J$200,MATCH($AB569,'Test catalog'!$A$2:$A$200,0))),"")</f>
        <v/>
      </c>
      <c r="P569" s="14">
        <f>IF(N569="","",IF(OR(M569="",O569=""),N569,(M569+4*N569+O569)/6))</f>
        <v/>
      </c>
      <c r="Q569" s="10">
        <f>IFERROR(IF(INDEX('Test catalog'!$K$2:$K$200,MATCH($AB569,'Test catalog'!$A$2:$A$200,0))="","",INDEX('Test catalog'!$K$2:$K$200,MATCH($AB569,'Test catalog'!$A$2:$A$200,0))),"")</f>
        <v/>
      </c>
      <c r="R569" s="5" t="n"/>
      <c r="S569" s="10">
        <f>IFERROR(IF(INDEX('Test catalog'!$L$2:$L$200,MATCH($AB569,'Test catalog'!$A$2:$A$200,0))="","",INDEX('Test catalog'!$L$2:$L$200,MATCH($AB569,'Test catalog'!$A$2:$A$200,0))),"")</f>
        <v/>
      </c>
      <c r="T569" s="10">
        <f>IFERROR(IF(INDEX('Test catalog'!$M$2:$M$200,MATCH($AB569,'Test catalog'!$A$2:$A$200,0))="","",INDEX('Test catalog'!$M$2:$M$200,MATCH($AB569,'Test catalog'!$A$2:$A$200,0))),"")</f>
        <v/>
      </c>
      <c r="U569" s="10">
        <f>IFERROR(IF(INDEX('Test catalog'!$N$2:$N$200,MATCH($AB569,'Test catalog'!$A$2:$A$200,0))="","",INDEX('Test catalog'!$N$2:$N$200,MATCH($AB569,'Test catalog'!$A$2:$A$200,0))),"")</f>
        <v/>
      </c>
      <c r="V569" s="15" t="n"/>
      <c r="W569" s="5" t="inlineStr">
        <is>
          <t>N</t>
        </is>
      </c>
      <c r="X569" s="5" t="n"/>
      <c r="Y569" s="5" t="n"/>
      <c r="Z569" s="5" t="n"/>
      <c r="AA569" s="10">
        <f>IFERROR(IF(INDEX('Test catalog'!$O$2:$O$200,MATCH($AB569,'Test catalog'!$A$2:$A$200,0))="","",INDEX('Test catalog'!$O$2:$O$200,MATCH($AB569,'Test catalog'!$A$2:$A$200,0))),"")</f>
        <v/>
      </c>
      <c r="AB569" s="10" t="inlineStr">
        <is>
          <t>PH</t>
        </is>
      </c>
      <c r="AC569" s="10" t="inlineStr">
        <is>
          <t>Povidone · Specific Tests &lt;791&gt;</t>
        </is>
      </c>
      <c r="AD569" s="10" t="n"/>
      <c r="AE569" s="10" t="n"/>
    </row>
    <row r="570">
      <c r="A570" s="10" t="inlineStr">
        <is>
          <t>PVP K30</t>
        </is>
      </c>
      <c r="B570" s="10" t="inlineStr">
        <is>
          <t>RM</t>
        </is>
      </c>
      <c r="C570" s="10" t="inlineStr">
        <is>
          <t>Binder</t>
        </is>
      </c>
      <c r="D570" s="10" t="inlineStr">
        <is>
          <t>Water Determination</t>
        </is>
      </c>
      <c r="E570" s="10">
        <f>IF(A570="","",A570&amp;"|"&amp;D570)</f>
        <v/>
      </c>
      <c r="F570" s="5" t="inlineStr">
        <is>
          <t>Y</t>
        </is>
      </c>
      <c r="G570" s="5" t="inlineStr">
        <is>
          <t>KF titrator</t>
        </is>
      </c>
      <c r="H570" s="5" t="inlineStr">
        <is>
          <t>Low</t>
        </is>
      </c>
      <c r="I570" s="5" t="n">
        <v>1</v>
      </c>
      <c r="J570" s="5" t="n"/>
      <c r="K570" s="10">
        <f>IFERROR(IF(INDEX('Test catalog'!$F$2:$F$200,MATCH($AB570,'Test catalog'!$A$2:$A$200,0))="","",INDEX('Test catalog'!$F$2:$F$200,MATCH($AB570,'Test catalog'!$A$2:$A$200,0))),"")</f>
        <v/>
      </c>
      <c r="L570" s="10">
        <f>IFERROR(IF(INDEX('Test catalog'!$G$2:$G$200,MATCH($AB570,'Test catalog'!$A$2:$A$200,0))="","",INDEX('Test catalog'!$G$2:$G$200,MATCH($AB570,'Test catalog'!$A$2:$A$200,0))),"")</f>
        <v/>
      </c>
      <c r="M570" s="10">
        <f>IFERROR(IF(INDEX('Test catalog'!$H$2:$H$200,MATCH($AB570,'Test catalog'!$A$2:$A$200,0))="","",INDEX('Test catalog'!$H$2:$H$200,MATCH($AB570,'Test catalog'!$A$2:$A$200,0))),"")</f>
        <v/>
      </c>
      <c r="N570" s="10">
        <f>IFERROR(IF(INDEX('Test catalog'!$I$2:$I$200,MATCH($AB570,'Test catalog'!$A$2:$A$200,0))="","",INDEX('Test catalog'!$I$2:$I$200,MATCH($AB570,'Test catalog'!$A$2:$A$200,0))),"")</f>
        <v/>
      </c>
      <c r="O570" s="10">
        <f>IFERROR(IF(INDEX('Test catalog'!$J$2:$J$200,MATCH($AB570,'Test catalog'!$A$2:$A$200,0))="","",INDEX('Test catalog'!$J$2:$J$200,MATCH($AB570,'Test catalog'!$A$2:$A$200,0))),"")</f>
        <v/>
      </c>
      <c r="P570" s="14">
        <f>IF(N570="","",IF(OR(M570="",O570=""),N570,(M570+4*N570+O570)/6))</f>
        <v/>
      </c>
      <c r="Q570" s="10">
        <f>IFERROR(IF(INDEX('Test catalog'!$K$2:$K$200,MATCH($AB570,'Test catalog'!$A$2:$A$200,0))="","",INDEX('Test catalog'!$K$2:$K$200,MATCH($AB570,'Test catalog'!$A$2:$A$200,0))),"")</f>
        <v/>
      </c>
      <c r="R570" s="5" t="n"/>
      <c r="S570" s="10">
        <f>IFERROR(IF(INDEX('Test catalog'!$L$2:$L$200,MATCH($AB570,'Test catalog'!$A$2:$A$200,0))="","",INDEX('Test catalog'!$L$2:$L$200,MATCH($AB570,'Test catalog'!$A$2:$A$200,0))),"")</f>
        <v/>
      </c>
      <c r="T570" s="10">
        <f>IFERROR(IF(INDEX('Test catalog'!$M$2:$M$200,MATCH($AB570,'Test catalog'!$A$2:$A$200,0))="","",INDEX('Test catalog'!$M$2:$M$200,MATCH($AB570,'Test catalog'!$A$2:$A$200,0))),"")</f>
        <v/>
      </c>
      <c r="U570" s="10">
        <f>IFERROR(IF(INDEX('Test catalog'!$N$2:$N$200,MATCH($AB570,'Test catalog'!$A$2:$A$200,0))="","",INDEX('Test catalog'!$N$2:$N$200,MATCH($AB570,'Test catalog'!$A$2:$A$200,0))),"")</f>
        <v/>
      </c>
      <c r="V570" s="15" t="n"/>
      <c r="W570" s="5" t="inlineStr">
        <is>
          <t>N</t>
        </is>
      </c>
      <c r="X570" s="5" t="n"/>
      <c r="Y570" s="5" t="n"/>
      <c r="Z570" s="5" t="n"/>
      <c r="AA570" s="10">
        <f>IFERROR(IF(INDEX('Test catalog'!$O$2:$O$200,MATCH($AB570,'Test catalog'!$A$2:$A$200,0))="","",INDEX('Test catalog'!$O$2:$O$200,MATCH($AB570,'Test catalog'!$A$2:$A$200,0))),"")</f>
        <v/>
      </c>
      <c r="AB570" s="10" t="inlineStr">
        <is>
          <t>KF</t>
        </is>
      </c>
      <c r="AC570" s="10" t="inlineStr">
        <is>
          <t>Povidone · Specific Tests &lt;921&gt;</t>
        </is>
      </c>
      <c r="AD570" s="10" t="n"/>
      <c r="AE570" s="10" t="n"/>
    </row>
    <row r="571">
      <c r="A571" s="10" t="inlineStr">
        <is>
          <t>PVP K30</t>
        </is>
      </c>
      <c r="B571" s="10" t="inlineStr">
        <is>
          <t>RM</t>
        </is>
      </c>
      <c r="C571" s="10" t="inlineStr">
        <is>
          <t>Binder</t>
        </is>
      </c>
      <c r="D571" s="10" t="inlineStr">
        <is>
          <t>K-value</t>
        </is>
      </c>
      <c r="E571" s="10">
        <f>IF(A571="","",A571&amp;"|"&amp;D571)</f>
        <v/>
      </c>
      <c r="F571" s="5" t="inlineStr">
        <is>
          <t>Y</t>
        </is>
      </c>
      <c r="G571" s="5" t="inlineStr">
        <is>
          <t>Other / bench</t>
        </is>
      </c>
      <c r="H571" s="5" t="inlineStr">
        <is>
          <t>Low</t>
        </is>
      </c>
      <c r="I571" s="5" t="n">
        <v>1</v>
      </c>
      <c r="J571" s="5" t="n"/>
      <c r="K571" s="10">
        <f>IFERROR(IF(INDEX('Test catalog'!$F$2:$F$200,MATCH($AB571,'Test catalog'!$A$2:$A$200,0))="","",INDEX('Test catalog'!$F$2:$F$200,MATCH($AB571,'Test catalog'!$A$2:$A$200,0))),"")</f>
        <v/>
      </c>
      <c r="L571" s="10">
        <f>IFERROR(IF(INDEX('Test catalog'!$G$2:$G$200,MATCH($AB571,'Test catalog'!$A$2:$A$200,0))="","",INDEX('Test catalog'!$G$2:$G$200,MATCH($AB571,'Test catalog'!$A$2:$A$200,0))),"")</f>
        <v/>
      </c>
      <c r="M571" s="10">
        <f>IFERROR(IF(INDEX('Test catalog'!$H$2:$H$200,MATCH($AB571,'Test catalog'!$A$2:$A$200,0))="","",INDEX('Test catalog'!$H$2:$H$200,MATCH($AB571,'Test catalog'!$A$2:$A$200,0))),"")</f>
        <v/>
      </c>
      <c r="N571" s="10">
        <f>IFERROR(IF(INDEX('Test catalog'!$I$2:$I$200,MATCH($AB571,'Test catalog'!$A$2:$A$200,0))="","",INDEX('Test catalog'!$I$2:$I$200,MATCH($AB571,'Test catalog'!$A$2:$A$200,0))),"")</f>
        <v/>
      </c>
      <c r="O571" s="10">
        <f>IFERROR(IF(INDEX('Test catalog'!$J$2:$J$200,MATCH($AB571,'Test catalog'!$A$2:$A$200,0))="","",INDEX('Test catalog'!$J$2:$J$200,MATCH($AB571,'Test catalog'!$A$2:$A$200,0))),"")</f>
        <v/>
      </c>
      <c r="P571" s="14">
        <f>IF(N571="","",IF(OR(M571="",O571=""),N571,(M571+4*N571+O571)/6))</f>
        <v/>
      </c>
      <c r="Q571" s="10">
        <f>IFERROR(IF(INDEX('Test catalog'!$K$2:$K$200,MATCH($AB571,'Test catalog'!$A$2:$A$200,0))="","",INDEX('Test catalog'!$K$2:$K$200,MATCH($AB571,'Test catalog'!$A$2:$A$200,0))),"")</f>
        <v/>
      </c>
      <c r="R571" s="5" t="n"/>
      <c r="S571" s="10">
        <f>IFERROR(IF(INDEX('Test catalog'!$L$2:$L$200,MATCH($AB571,'Test catalog'!$A$2:$A$200,0))="","",INDEX('Test catalog'!$L$2:$L$200,MATCH($AB571,'Test catalog'!$A$2:$A$200,0))),"")</f>
        <v/>
      </c>
      <c r="T571" s="10">
        <f>IFERROR(IF(INDEX('Test catalog'!$M$2:$M$200,MATCH($AB571,'Test catalog'!$A$2:$A$200,0))="","",INDEX('Test catalog'!$M$2:$M$200,MATCH($AB571,'Test catalog'!$A$2:$A$200,0))),"")</f>
        <v/>
      </c>
      <c r="U571" s="10">
        <f>IFERROR(IF(INDEX('Test catalog'!$N$2:$N$200,MATCH($AB571,'Test catalog'!$A$2:$A$200,0))="","",INDEX('Test catalog'!$N$2:$N$200,MATCH($AB571,'Test catalog'!$A$2:$A$200,0))),"")</f>
        <v/>
      </c>
      <c r="V571" s="15" t="n"/>
      <c r="W571" s="5" t="inlineStr">
        <is>
          <t>N</t>
        </is>
      </c>
      <c r="X571" s="5" t="n"/>
      <c r="Y571" s="5" t="n"/>
      <c r="Z571" s="5" t="n"/>
      <c r="AA571" s="10">
        <f>IFERROR(IF(INDEX('Test catalog'!$O$2:$O$200,MATCH($AB571,'Test catalog'!$A$2:$A$200,0))="","",INDEX('Test catalog'!$O$2:$O$200,MATCH($AB571,'Test catalog'!$A$2:$A$200,0))),"")</f>
        <v/>
      </c>
      <c r="AB571" s="10" t="inlineStr">
        <is>
          <t>VISC</t>
        </is>
      </c>
      <c r="AC571" s="10" t="inlineStr">
        <is>
          <t>Povidone · Specific Tests</t>
        </is>
      </c>
      <c r="AD571" s="10" t="n"/>
      <c r="AE571" s="10" t="n"/>
    </row>
    <row r="572">
      <c r="A572" s="10" t="inlineStr">
        <is>
          <t>PVP K90</t>
        </is>
      </c>
      <c r="B572" s="10" t="inlineStr">
        <is>
          <t>RM</t>
        </is>
      </c>
      <c r="C572" s="10" t="inlineStr">
        <is>
          <t>Binder</t>
        </is>
      </c>
      <c r="D572" s="10" t="inlineStr">
        <is>
          <t>Appearance / description and solubility</t>
        </is>
      </c>
      <c r="E572" s="10">
        <f>IF(A572="","",A572&amp;"|"&amp;D572)</f>
        <v/>
      </c>
      <c r="F572" s="5" t="inlineStr">
        <is>
          <t>Y</t>
        </is>
      </c>
      <c r="G572" s="5" t="inlineStr">
        <is>
          <t>Other / bench</t>
        </is>
      </c>
      <c r="H572" s="5" t="inlineStr">
        <is>
          <t>Low</t>
        </is>
      </c>
      <c r="I572" s="5" t="n">
        <v>1</v>
      </c>
      <c r="J572" s="5" t="n"/>
      <c r="K572" s="10">
        <f>IFERROR(IF(INDEX('Test catalog'!$F$2:$F$200,MATCH($AB572,'Test catalog'!$A$2:$A$200,0))="","",INDEX('Test catalog'!$F$2:$F$200,MATCH($AB572,'Test catalog'!$A$2:$A$200,0))),"")</f>
        <v/>
      </c>
      <c r="L572" s="10">
        <f>IFERROR(IF(INDEX('Test catalog'!$G$2:$G$200,MATCH($AB572,'Test catalog'!$A$2:$A$200,0))="","",INDEX('Test catalog'!$G$2:$G$200,MATCH($AB572,'Test catalog'!$A$2:$A$200,0))),"")</f>
        <v/>
      </c>
      <c r="M572" s="10">
        <f>IFERROR(IF(INDEX('Test catalog'!$H$2:$H$200,MATCH($AB572,'Test catalog'!$A$2:$A$200,0))="","",INDEX('Test catalog'!$H$2:$H$200,MATCH($AB572,'Test catalog'!$A$2:$A$200,0))),"")</f>
        <v/>
      </c>
      <c r="N572" s="10">
        <f>IFERROR(IF(INDEX('Test catalog'!$I$2:$I$200,MATCH($AB572,'Test catalog'!$A$2:$A$200,0))="","",INDEX('Test catalog'!$I$2:$I$200,MATCH($AB572,'Test catalog'!$A$2:$A$200,0))),"")</f>
        <v/>
      </c>
      <c r="O572" s="10">
        <f>IFERROR(IF(INDEX('Test catalog'!$J$2:$J$200,MATCH($AB572,'Test catalog'!$A$2:$A$200,0))="","",INDEX('Test catalog'!$J$2:$J$200,MATCH($AB572,'Test catalog'!$A$2:$A$200,0))),"")</f>
        <v/>
      </c>
      <c r="P572" s="14">
        <f>IF(N572="","",IF(OR(M572="",O572=""),N572,(M572+4*N572+O572)/6))</f>
        <v/>
      </c>
      <c r="Q572" s="10">
        <f>IFERROR(IF(INDEX('Test catalog'!$K$2:$K$200,MATCH($AB572,'Test catalog'!$A$2:$A$200,0))="","",INDEX('Test catalog'!$K$2:$K$200,MATCH($AB572,'Test catalog'!$A$2:$A$200,0))),"")</f>
        <v/>
      </c>
      <c r="R572" s="5" t="n"/>
      <c r="S572" s="10">
        <f>IFERROR(IF(INDEX('Test catalog'!$L$2:$L$200,MATCH($AB572,'Test catalog'!$A$2:$A$200,0))="","",INDEX('Test catalog'!$L$2:$L$200,MATCH($AB572,'Test catalog'!$A$2:$A$200,0))),"")</f>
        <v/>
      </c>
      <c r="T572" s="10">
        <f>IFERROR(IF(INDEX('Test catalog'!$M$2:$M$200,MATCH($AB572,'Test catalog'!$A$2:$A$200,0))="","",INDEX('Test catalog'!$M$2:$M$200,MATCH($AB572,'Test catalog'!$A$2:$A$200,0))),"")</f>
        <v/>
      </c>
      <c r="U572" s="10">
        <f>IFERROR(IF(INDEX('Test catalog'!$N$2:$N$200,MATCH($AB572,'Test catalog'!$A$2:$A$200,0))="","",INDEX('Test catalog'!$N$2:$N$200,MATCH($AB572,'Test catalog'!$A$2:$A$200,0))),"")</f>
        <v/>
      </c>
      <c r="V572" s="15" t="n"/>
      <c r="W572" s="5" t="inlineStr">
        <is>
          <t>N</t>
        </is>
      </c>
      <c r="X572" s="5" t="n"/>
      <c r="Y572" s="5" t="n"/>
      <c r="Z572" s="5" t="n"/>
      <c r="AA572" s="10">
        <f>IFERROR(IF(INDEX('Test catalog'!$O$2:$O$200,MATCH($AB572,'Test catalog'!$A$2:$A$200,0))="","",INDEX('Test catalog'!$O$2:$O$200,MATCH($AB572,'Test catalog'!$A$2:$A$200,0))),"")</f>
        <v/>
      </c>
      <c r="AB572" s="10" t="inlineStr">
        <is>
          <t>APPEAR</t>
        </is>
      </c>
      <c r="AC572" s="10" t="inlineStr">
        <is>
          <t>Lab practice (not a USP test)</t>
        </is>
      </c>
      <c r="AD572" s="10" t="n"/>
      <c r="AE572" s="10" t="n"/>
    </row>
    <row r="573">
      <c r="A573" s="10" t="inlineStr">
        <is>
          <t>PVP K90</t>
        </is>
      </c>
      <c r="B573" s="10" t="inlineStr">
        <is>
          <t>RM</t>
        </is>
      </c>
      <c r="C573" s="10" t="inlineStr">
        <is>
          <t>Binder</t>
        </is>
      </c>
      <c r="D573" s="10" t="inlineStr">
        <is>
          <t>ID A - IR spectrum</t>
        </is>
      </c>
      <c r="E573" s="10">
        <f>IF(A573="","",A573&amp;"|"&amp;D573)</f>
        <v/>
      </c>
      <c r="F573" s="5" t="inlineStr">
        <is>
          <t>Y</t>
        </is>
      </c>
      <c r="G573" s="5" t="inlineStr">
        <is>
          <t>Other / bench</t>
        </is>
      </c>
      <c r="H573" s="5" t="inlineStr">
        <is>
          <t>Low</t>
        </is>
      </c>
      <c r="I573" s="5" t="n">
        <v>1</v>
      </c>
      <c r="J573" s="5" t="n"/>
      <c r="K573" s="10">
        <f>IFERROR(IF(INDEX('Test catalog'!$F$2:$F$200,MATCH($AB573,'Test catalog'!$A$2:$A$200,0))="","",INDEX('Test catalog'!$F$2:$F$200,MATCH($AB573,'Test catalog'!$A$2:$A$200,0))),"")</f>
        <v/>
      </c>
      <c r="L573" s="10">
        <f>IFERROR(IF(INDEX('Test catalog'!$G$2:$G$200,MATCH($AB573,'Test catalog'!$A$2:$A$200,0))="","",INDEX('Test catalog'!$G$2:$G$200,MATCH($AB573,'Test catalog'!$A$2:$A$200,0))),"")</f>
        <v/>
      </c>
      <c r="M573" s="10">
        <f>IFERROR(IF(INDEX('Test catalog'!$H$2:$H$200,MATCH($AB573,'Test catalog'!$A$2:$A$200,0))="","",INDEX('Test catalog'!$H$2:$H$200,MATCH($AB573,'Test catalog'!$A$2:$A$200,0))),"")</f>
        <v/>
      </c>
      <c r="N573" s="10">
        <f>IFERROR(IF(INDEX('Test catalog'!$I$2:$I$200,MATCH($AB573,'Test catalog'!$A$2:$A$200,0))="","",INDEX('Test catalog'!$I$2:$I$200,MATCH($AB573,'Test catalog'!$A$2:$A$200,0))),"")</f>
        <v/>
      </c>
      <c r="O573" s="10">
        <f>IFERROR(IF(INDEX('Test catalog'!$J$2:$J$200,MATCH($AB573,'Test catalog'!$A$2:$A$200,0))="","",INDEX('Test catalog'!$J$2:$J$200,MATCH($AB573,'Test catalog'!$A$2:$A$200,0))),"")</f>
        <v/>
      </c>
      <c r="P573" s="14">
        <f>IF(N573="","",IF(OR(M573="",O573=""),N573,(M573+4*N573+O573)/6))</f>
        <v/>
      </c>
      <c r="Q573" s="10">
        <f>IFERROR(IF(INDEX('Test catalog'!$K$2:$K$200,MATCH($AB573,'Test catalog'!$A$2:$A$200,0))="","",INDEX('Test catalog'!$K$2:$K$200,MATCH($AB573,'Test catalog'!$A$2:$A$200,0))),"")</f>
        <v/>
      </c>
      <c r="R573" s="5" t="n"/>
      <c r="S573" s="10">
        <f>IFERROR(IF(INDEX('Test catalog'!$L$2:$L$200,MATCH($AB573,'Test catalog'!$A$2:$A$200,0))="","",INDEX('Test catalog'!$L$2:$L$200,MATCH($AB573,'Test catalog'!$A$2:$A$200,0))),"")</f>
        <v/>
      </c>
      <c r="T573" s="10">
        <f>IFERROR(IF(INDEX('Test catalog'!$M$2:$M$200,MATCH($AB573,'Test catalog'!$A$2:$A$200,0))="","",INDEX('Test catalog'!$M$2:$M$200,MATCH($AB573,'Test catalog'!$A$2:$A$200,0))),"")</f>
        <v/>
      </c>
      <c r="U573" s="10">
        <f>IFERROR(IF(INDEX('Test catalog'!$N$2:$N$200,MATCH($AB573,'Test catalog'!$A$2:$A$200,0))="","",INDEX('Test catalog'!$N$2:$N$200,MATCH($AB573,'Test catalog'!$A$2:$A$200,0))),"")</f>
        <v/>
      </c>
      <c r="V573" s="15" t="n"/>
      <c r="W573" s="5" t="inlineStr">
        <is>
          <t>N</t>
        </is>
      </c>
      <c r="X573" s="5" t="n"/>
      <c r="Y573" s="5" t="n"/>
      <c r="Z573" s="5" t="n"/>
      <c r="AA573" s="10">
        <f>IFERROR(IF(INDEX('Test catalog'!$O$2:$O$200,MATCH($AB573,'Test catalog'!$A$2:$A$200,0))="","",INDEX('Test catalog'!$O$2:$O$200,MATCH($AB573,'Test catalog'!$A$2:$A$200,0))),"")</f>
        <v/>
      </c>
      <c r="AB573" s="10" t="inlineStr">
        <is>
          <t>ID_IR</t>
        </is>
      </c>
      <c r="AC573" s="10" t="inlineStr">
        <is>
          <t>Povidone · Identification &lt;197&gt;</t>
        </is>
      </c>
      <c r="AD573" s="10" t="n"/>
      <c r="AE573" s="10" t="n"/>
    </row>
    <row r="574">
      <c r="A574" s="10" t="inlineStr">
        <is>
          <t>PVP K90</t>
        </is>
      </c>
      <c r="B574" s="10" t="inlineStr">
        <is>
          <t>RM</t>
        </is>
      </c>
      <c r="C574" s="10" t="inlineStr">
        <is>
          <t>Binder</t>
        </is>
      </c>
      <c r="D574" s="10" t="inlineStr">
        <is>
          <t>ID B - chemical reaction</t>
        </is>
      </c>
      <c r="E574" s="10">
        <f>IF(A574="","",A574&amp;"|"&amp;D574)</f>
        <v/>
      </c>
      <c r="F574" s="5" t="inlineStr">
        <is>
          <t>Y</t>
        </is>
      </c>
      <c r="G574" s="5" t="inlineStr">
        <is>
          <t>Other / bench</t>
        </is>
      </c>
      <c r="H574" s="5" t="inlineStr">
        <is>
          <t>Low</t>
        </is>
      </c>
      <c r="I574" s="5" t="n">
        <v>1</v>
      </c>
      <c r="J574" s="5" t="n"/>
      <c r="K574" s="10">
        <f>IFERROR(IF(INDEX('Test catalog'!$F$2:$F$200,MATCH($AB574,'Test catalog'!$A$2:$A$200,0))="","",INDEX('Test catalog'!$F$2:$F$200,MATCH($AB574,'Test catalog'!$A$2:$A$200,0))),"")</f>
        <v/>
      </c>
      <c r="L574" s="10">
        <f>IFERROR(IF(INDEX('Test catalog'!$G$2:$G$200,MATCH($AB574,'Test catalog'!$A$2:$A$200,0))="","",INDEX('Test catalog'!$G$2:$G$200,MATCH($AB574,'Test catalog'!$A$2:$A$200,0))),"")</f>
        <v/>
      </c>
      <c r="M574" s="10">
        <f>IFERROR(IF(INDEX('Test catalog'!$H$2:$H$200,MATCH($AB574,'Test catalog'!$A$2:$A$200,0))="","",INDEX('Test catalog'!$H$2:$H$200,MATCH($AB574,'Test catalog'!$A$2:$A$200,0))),"")</f>
        <v/>
      </c>
      <c r="N574" s="10">
        <f>IFERROR(IF(INDEX('Test catalog'!$I$2:$I$200,MATCH($AB574,'Test catalog'!$A$2:$A$200,0))="","",INDEX('Test catalog'!$I$2:$I$200,MATCH($AB574,'Test catalog'!$A$2:$A$200,0))),"")</f>
        <v/>
      </c>
      <c r="O574" s="10">
        <f>IFERROR(IF(INDEX('Test catalog'!$J$2:$J$200,MATCH($AB574,'Test catalog'!$A$2:$A$200,0))="","",INDEX('Test catalog'!$J$2:$J$200,MATCH($AB574,'Test catalog'!$A$2:$A$200,0))),"")</f>
        <v/>
      </c>
      <c r="P574" s="14">
        <f>IF(N574="","",IF(OR(M574="",O574=""),N574,(M574+4*N574+O574)/6))</f>
        <v/>
      </c>
      <c r="Q574" s="10">
        <f>IFERROR(IF(INDEX('Test catalog'!$K$2:$K$200,MATCH($AB574,'Test catalog'!$A$2:$A$200,0))="","",INDEX('Test catalog'!$K$2:$K$200,MATCH($AB574,'Test catalog'!$A$2:$A$200,0))),"")</f>
        <v/>
      </c>
      <c r="R574" s="5" t="n"/>
      <c r="S574" s="10">
        <f>IFERROR(IF(INDEX('Test catalog'!$L$2:$L$200,MATCH($AB574,'Test catalog'!$A$2:$A$200,0))="","",INDEX('Test catalog'!$L$2:$L$200,MATCH($AB574,'Test catalog'!$A$2:$A$200,0))),"")</f>
        <v/>
      </c>
      <c r="T574" s="10">
        <f>IFERROR(IF(INDEX('Test catalog'!$M$2:$M$200,MATCH($AB574,'Test catalog'!$A$2:$A$200,0))="","",INDEX('Test catalog'!$M$2:$M$200,MATCH($AB574,'Test catalog'!$A$2:$A$200,0))),"")</f>
        <v/>
      </c>
      <c r="U574" s="10">
        <f>IFERROR(IF(INDEX('Test catalog'!$N$2:$N$200,MATCH($AB574,'Test catalog'!$A$2:$A$200,0))="","",INDEX('Test catalog'!$N$2:$N$200,MATCH($AB574,'Test catalog'!$A$2:$A$200,0))),"")</f>
        <v/>
      </c>
      <c r="V574" s="15" t="n"/>
      <c r="W574" s="5" t="inlineStr">
        <is>
          <t>N</t>
        </is>
      </c>
      <c r="X574" s="5" t="n"/>
      <c r="Y574" s="5" t="n"/>
      <c r="Z574" s="5" t="n"/>
      <c r="AA574" s="10">
        <f>IFERROR(IF(INDEX('Test catalog'!$O$2:$O$200,MATCH($AB574,'Test catalog'!$A$2:$A$200,0))="","",INDEX('Test catalog'!$O$2:$O$200,MATCH($AB574,'Test catalog'!$A$2:$A$200,0))),"")</f>
        <v/>
      </c>
      <c r="AB574" s="10" t="inlineStr">
        <is>
          <t>ID_CHEM</t>
        </is>
      </c>
      <c r="AC574" s="10" t="inlineStr">
        <is>
          <t>Povidone · Identification</t>
        </is>
      </c>
      <c r="AD574" s="10" t="n"/>
      <c r="AE574" s="10" t="n"/>
    </row>
    <row r="575">
      <c r="A575" s="10" t="inlineStr">
        <is>
          <t>PVP K90</t>
        </is>
      </c>
      <c r="B575" s="10" t="inlineStr">
        <is>
          <t>RM</t>
        </is>
      </c>
      <c r="C575" s="10" t="inlineStr">
        <is>
          <t>Binder</t>
        </is>
      </c>
      <c r="D575" s="10" t="inlineStr">
        <is>
          <t>ID C - chemical reaction</t>
        </is>
      </c>
      <c r="E575" s="10">
        <f>IF(A575="","",A575&amp;"|"&amp;D575)</f>
        <v/>
      </c>
      <c r="F575" s="5" t="inlineStr">
        <is>
          <t>Y</t>
        </is>
      </c>
      <c r="G575" s="5" t="inlineStr">
        <is>
          <t>Other / bench</t>
        </is>
      </c>
      <c r="H575" s="5" t="inlineStr">
        <is>
          <t>Low</t>
        </is>
      </c>
      <c r="I575" s="5" t="n">
        <v>1</v>
      </c>
      <c r="J575" s="5" t="n"/>
      <c r="K575" s="10">
        <f>IFERROR(IF(INDEX('Test catalog'!$F$2:$F$200,MATCH($AB575,'Test catalog'!$A$2:$A$200,0))="","",INDEX('Test catalog'!$F$2:$F$200,MATCH($AB575,'Test catalog'!$A$2:$A$200,0))),"")</f>
        <v/>
      </c>
      <c r="L575" s="10">
        <f>IFERROR(IF(INDEX('Test catalog'!$G$2:$G$200,MATCH($AB575,'Test catalog'!$A$2:$A$200,0))="","",INDEX('Test catalog'!$G$2:$G$200,MATCH($AB575,'Test catalog'!$A$2:$A$200,0))),"")</f>
        <v/>
      </c>
      <c r="M575" s="10">
        <f>IFERROR(IF(INDEX('Test catalog'!$H$2:$H$200,MATCH($AB575,'Test catalog'!$A$2:$A$200,0))="","",INDEX('Test catalog'!$H$2:$H$200,MATCH($AB575,'Test catalog'!$A$2:$A$200,0))),"")</f>
        <v/>
      </c>
      <c r="N575" s="10">
        <f>IFERROR(IF(INDEX('Test catalog'!$I$2:$I$200,MATCH($AB575,'Test catalog'!$A$2:$A$200,0))="","",INDEX('Test catalog'!$I$2:$I$200,MATCH($AB575,'Test catalog'!$A$2:$A$200,0))),"")</f>
        <v/>
      </c>
      <c r="O575" s="10">
        <f>IFERROR(IF(INDEX('Test catalog'!$J$2:$J$200,MATCH($AB575,'Test catalog'!$A$2:$A$200,0))="","",INDEX('Test catalog'!$J$2:$J$200,MATCH($AB575,'Test catalog'!$A$2:$A$200,0))),"")</f>
        <v/>
      </c>
      <c r="P575" s="14">
        <f>IF(N575="","",IF(OR(M575="",O575=""),N575,(M575+4*N575+O575)/6))</f>
        <v/>
      </c>
      <c r="Q575" s="10">
        <f>IFERROR(IF(INDEX('Test catalog'!$K$2:$K$200,MATCH($AB575,'Test catalog'!$A$2:$A$200,0))="","",INDEX('Test catalog'!$K$2:$K$200,MATCH($AB575,'Test catalog'!$A$2:$A$200,0))),"")</f>
        <v/>
      </c>
      <c r="R575" s="5" t="n"/>
      <c r="S575" s="10">
        <f>IFERROR(IF(INDEX('Test catalog'!$L$2:$L$200,MATCH($AB575,'Test catalog'!$A$2:$A$200,0))="","",INDEX('Test catalog'!$L$2:$L$200,MATCH($AB575,'Test catalog'!$A$2:$A$200,0))),"")</f>
        <v/>
      </c>
      <c r="T575" s="10">
        <f>IFERROR(IF(INDEX('Test catalog'!$M$2:$M$200,MATCH($AB575,'Test catalog'!$A$2:$A$200,0))="","",INDEX('Test catalog'!$M$2:$M$200,MATCH($AB575,'Test catalog'!$A$2:$A$200,0))),"")</f>
        <v/>
      </c>
      <c r="U575" s="10">
        <f>IFERROR(IF(INDEX('Test catalog'!$N$2:$N$200,MATCH($AB575,'Test catalog'!$A$2:$A$200,0))="","",INDEX('Test catalog'!$N$2:$N$200,MATCH($AB575,'Test catalog'!$A$2:$A$200,0))),"")</f>
        <v/>
      </c>
      <c r="V575" s="15" t="n"/>
      <c r="W575" s="5" t="inlineStr">
        <is>
          <t>N</t>
        </is>
      </c>
      <c r="X575" s="5" t="n"/>
      <c r="Y575" s="5" t="n"/>
      <c r="Z575" s="5" t="n"/>
      <c r="AA575" s="10">
        <f>IFERROR(IF(INDEX('Test catalog'!$O$2:$O$200,MATCH($AB575,'Test catalog'!$A$2:$A$200,0))="","",INDEX('Test catalog'!$O$2:$O$200,MATCH($AB575,'Test catalog'!$A$2:$A$200,0))),"")</f>
        <v/>
      </c>
      <c r="AB575" s="10" t="inlineStr">
        <is>
          <t>ID_CHEM</t>
        </is>
      </c>
      <c r="AC575" s="10" t="inlineStr">
        <is>
          <t>Povidone · Identification</t>
        </is>
      </c>
      <c r="AD575" s="10" t="n"/>
      <c r="AE575" s="10" t="n"/>
    </row>
    <row r="576">
      <c r="A576" s="10" t="inlineStr">
        <is>
          <t>PVP K90</t>
        </is>
      </c>
      <c r="B576" s="10" t="inlineStr">
        <is>
          <t>RM</t>
        </is>
      </c>
      <c r="C576" s="10" t="inlineStr">
        <is>
          <t>Binder</t>
        </is>
      </c>
      <c r="D576" s="10" t="inlineStr">
        <is>
          <t>ID D - chemical reaction</t>
        </is>
      </c>
      <c r="E576" s="10">
        <f>IF(A576="","",A576&amp;"|"&amp;D576)</f>
        <v/>
      </c>
      <c r="F576" s="5" t="inlineStr">
        <is>
          <t>Y</t>
        </is>
      </c>
      <c r="G576" s="5" t="inlineStr">
        <is>
          <t>Other / bench</t>
        </is>
      </c>
      <c r="H576" s="5" t="inlineStr">
        <is>
          <t>Low</t>
        </is>
      </c>
      <c r="I576" s="5" t="n">
        <v>1</v>
      </c>
      <c r="J576" s="5" t="n"/>
      <c r="K576" s="10">
        <f>IFERROR(IF(INDEX('Test catalog'!$F$2:$F$200,MATCH($AB576,'Test catalog'!$A$2:$A$200,0))="","",INDEX('Test catalog'!$F$2:$F$200,MATCH($AB576,'Test catalog'!$A$2:$A$200,0))),"")</f>
        <v/>
      </c>
      <c r="L576" s="10">
        <f>IFERROR(IF(INDEX('Test catalog'!$G$2:$G$200,MATCH($AB576,'Test catalog'!$A$2:$A$200,0))="","",INDEX('Test catalog'!$G$2:$G$200,MATCH($AB576,'Test catalog'!$A$2:$A$200,0))),"")</f>
        <v/>
      </c>
      <c r="M576" s="10">
        <f>IFERROR(IF(INDEX('Test catalog'!$H$2:$H$200,MATCH($AB576,'Test catalog'!$A$2:$A$200,0))="","",INDEX('Test catalog'!$H$2:$H$200,MATCH($AB576,'Test catalog'!$A$2:$A$200,0))),"")</f>
        <v/>
      </c>
      <c r="N576" s="10">
        <f>IFERROR(IF(INDEX('Test catalog'!$I$2:$I$200,MATCH($AB576,'Test catalog'!$A$2:$A$200,0))="","",INDEX('Test catalog'!$I$2:$I$200,MATCH($AB576,'Test catalog'!$A$2:$A$200,0))),"")</f>
        <v/>
      </c>
      <c r="O576" s="10">
        <f>IFERROR(IF(INDEX('Test catalog'!$J$2:$J$200,MATCH($AB576,'Test catalog'!$A$2:$A$200,0))="","",INDEX('Test catalog'!$J$2:$J$200,MATCH($AB576,'Test catalog'!$A$2:$A$200,0))),"")</f>
        <v/>
      </c>
      <c r="P576" s="14">
        <f>IF(N576="","",IF(OR(M576="",O576=""),N576,(M576+4*N576+O576)/6))</f>
        <v/>
      </c>
      <c r="Q576" s="10">
        <f>IFERROR(IF(INDEX('Test catalog'!$K$2:$K$200,MATCH($AB576,'Test catalog'!$A$2:$A$200,0))="","",INDEX('Test catalog'!$K$2:$K$200,MATCH($AB576,'Test catalog'!$A$2:$A$200,0))),"")</f>
        <v/>
      </c>
      <c r="R576" s="5" t="n"/>
      <c r="S576" s="10">
        <f>IFERROR(IF(INDEX('Test catalog'!$L$2:$L$200,MATCH($AB576,'Test catalog'!$A$2:$A$200,0))="","",INDEX('Test catalog'!$L$2:$L$200,MATCH($AB576,'Test catalog'!$A$2:$A$200,0))),"")</f>
        <v/>
      </c>
      <c r="T576" s="10">
        <f>IFERROR(IF(INDEX('Test catalog'!$M$2:$M$200,MATCH($AB576,'Test catalog'!$A$2:$A$200,0))="","",INDEX('Test catalog'!$M$2:$M$200,MATCH($AB576,'Test catalog'!$A$2:$A$200,0))),"")</f>
        <v/>
      </c>
      <c r="U576" s="10">
        <f>IFERROR(IF(INDEX('Test catalog'!$N$2:$N$200,MATCH($AB576,'Test catalog'!$A$2:$A$200,0))="","",INDEX('Test catalog'!$N$2:$N$200,MATCH($AB576,'Test catalog'!$A$2:$A$200,0))),"")</f>
        <v/>
      </c>
      <c r="V576" s="15" t="n"/>
      <c r="W576" s="5" t="inlineStr">
        <is>
          <t>N</t>
        </is>
      </c>
      <c r="X576" s="5" t="n"/>
      <c r="Y576" s="5" t="n"/>
      <c r="Z576" s="5" t="n"/>
      <c r="AA576" s="10">
        <f>IFERROR(IF(INDEX('Test catalog'!$O$2:$O$200,MATCH($AB576,'Test catalog'!$A$2:$A$200,0))="","",INDEX('Test catalog'!$O$2:$O$200,MATCH($AB576,'Test catalog'!$A$2:$A$200,0))),"")</f>
        <v/>
      </c>
      <c r="AB576" s="10" t="inlineStr">
        <is>
          <t>ID_CHEM</t>
        </is>
      </c>
      <c r="AC576" s="10" t="inlineStr">
        <is>
          <t>Povidone · Identification</t>
        </is>
      </c>
      <c r="AD576" s="10" t="n"/>
      <c r="AE576" s="10" t="n"/>
    </row>
    <row r="577">
      <c r="A577" s="10" t="inlineStr">
        <is>
          <t>PVP K90</t>
        </is>
      </c>
      <c r="B577" s="10" t="inlineStr">
        <is>
          <t>RM</t>
        </is>
      </c>
      <c r="C577" s="10" t="inlineStr">
        <is>
          <t>Binder</t>
        </is>
      </c>
      <c r="D577" s="10" t="inlineStr">
        <is>
          <t>ID E - chemical reaction</t>
        </is>
      </c>
      <c r="E577" s="10">
        <f>IF(A577="","",A577&amp;"|"&amp;D577)</f>
        <v/>
      </c>
      <c r="F577" s="5" t="inlineStr">
        <is>
          <t>Y</t>
        </is>
      </c>
      <c r="G577" s="5" t="inlineStr">
        <is>
          <t>Other / bench</t>
        </is>
      </c>
      <c r="H577" s="5" t="inlineStr">
        <is>
          <t>Low</t>
        </is>
      </c>
      <c r="I577" s="5" t="n">
        <v>1</v>
      </c>
      <c r="J577" s="5" t="n"/>
      <c r="K577" s="10">
        <f>IFERROR(IF(INDEX('Test catalog'!$F$2:$F$200,MATCH($AB577,'Test catalog'!$A$2:$A$200,0))="","",INDEX('Test catalog'!$F$2:$F$200,MATCH($AB577,'Test catalog'!$A$2:$A$200,0))),"")</f>
        <v/>
      </c>
      <c r="L577" s="10">
        <f>IFERROR(IF(INDEX('Test catalog'!$G$2:$G$200,MATCH($AB577,'Test catalog'!$A$2:$A$200,0))="","",INDEX('Test catalog'!$G$2:$G$200,MATCH($AB577,'Test catalog'!$A$2:$A$200,0))),"")</f>
        <v/>
      </c>
      <c r="M577" s="10">
        <f>IFERROR(IF(INDEX('Test catalog'!$H$2:$H$200,MATCH($AB577,'Test catalog'!$A$2:$A$200,0))="","",INDEX('Test catalog'!$H$2:$H$200,MATCH($AB577,'Test catalog'!$A$2:$A$200,0))),"")</f>
        <v/>
      </c>
      <c r="N577" s="10">
        <f>IFERROR(IF(INDEX('Test catalog'!$I$2:$I$200,MATCH($AB577,'Test catalog'!$A$2:$A$200,0))="","",INDEX('Test catalog'!$I$2:$I$200,MATCH($AB577,'Test catalog'!$A$2:$A$200,0))),"")</f>
        <v/>
      </c>
      <c r="O577" s="10">
        <f>IFERROR(IF(INDEX('Test catalog'!$J$2:$J$200,MATCH($AB577,'Test catalog'!$A$2:$A$200,0))="","",INDEX('Test catalog'!$J$2:$J$200,MATCH($AB577,'Test catalog'!$A$2:$A$200,0))),"")</f>
        <v/>
      </c>
      <c r="P577" s="14">
        <f>IF(N577="","",IF(OR(M577="",O577=""),N577,(M577+4*N577+O577)/6))</f>
        <v/>
      </c>
      <c r="Q577" s="10">
        <f>IFERROR(IF(INDEX('Test catalog'!$K$2:$K$200,MATCH($AB577,'Test catalog'!$A$2:$A$200,0))="","",INDEX('Test catalog'!$K$2:$K$200,MATCH($AB577,'Test catalog'!$A$2:$A$200,0))),"")</f>
        <v/>
      </c>
      <c r="R577" s="5" t="n"/>
      <c r="S577" s="10">
        <f>IFERROR(IF(INDEX('Test catalog'!$L$2:$L$200,MATCH($AB577,'Test catalog'!$A$2:$A$200,0))="","",INDEX('Test catalog'!$L$2:$L$200,MATCH($AB577,'Test catalog'!$A$2:$A$200,0))),"")</f>
        <v/>
      </c>
      <c r="T577" s="10">
        <f>IFERROR(IF(INDEX('Test catalog'!$M$2:$M$200,MATCH($AB577,'Test catalog'!$A$2:$A$200,0))="","",INDEX('Test catalog'!$M$2:$M$200,MATCH($AB577,'Test catalog'!$A$2:$A$200,0))),"")</f>
        <v/>
      </c>
      <c r="U577" s="10">
        <f>IFERROR(IF(INDEX('Test catalog'!$N$2:$N$200,MATCH($AB577,'Test catalog'!$A$2:$A$200,0))="","",INDEX('Test catalog'!$N$2:$N$200,MATCH($AB577,'Test catalog'!$A$2:$A$200,0))),"")</f>
        <v/>
      </c>
      <c r="V577" s="15" t="n"/>
      <c r="W577" s="5" t="inlineStr">
        <is>
          <t>N</t>
        </is>
      </c>
      <c r="X577" s="5" t="n"/>
      <c r="Y577" s="5" t="n"/>
      <c r="Z577" s="5" t="n"/>
      <c r="AA577" s="10">
        <f>IFERROR(IF(INDEX('Test catalog'!$O$2:$O$200,MATCH($AB577,'Test catalog'!$A$2:$A$200,0))="","",INDEX('Test catalog'!$O$2:$O$200,MATCH($AB577,'Test catalog'!$A$2:$A$200,0))),"")</f>
        <v/>
      </c>
      <c r="AB577" s="10" t="inlineStr">
        <is>
          <t>ID_CHEM</t>
        </is>
      </c>
      <c r="AC577" s="10" t="inlineStr">
        <is>
          <t>Povidone · Identification</t>
        </is>
      </c>
      <c r="AD577" s="10" t="n"/>
      <c r="AE577" s="10" t="n"/>
    </row>
    <row r="578">
      <c r="A578" s="10" t="inlineStr">
        <is>
          <t>PVP K90</t>
        </is>
      </c>
      <c r="B578" s="10" t="inlineStr">
        <is>
          <t>RM</t>
        </is>
      </c>
      <c r="C578" s="10" t="inlineStr">
        <is>
          <t>Binder</t>
        </is>
      </c>
      <c r="D578" s="10" t="inlineStr">
        <is>
          <t>Assay - Nitrogen Determination</t>
        </is>
      </c>
      <c r="E578" s="10">
        <f>IF(A578="","",A578&amp;"|"&amp;D578)</f>
        <v/>
      </c>
      <c r="F578" s="5" t="inlineStr">
        <is>
          <t>Y</t>
        </is>
      </c>
      <c r="G578" s="5" t="inlineStr">
        <is>
          <t>Other / bench</t>
        </is>
      </c>
      <c r="H578" s="5" t="inlineStr">
        <is>
          <t>Low</t>
        </is>
      </c>
      <c r="I578" s="5" t="n">
        <v>1</v>
      </c>
      <c r="J578" s="5" t="n"/>
      <c r="K578" s="10">
        <f>IFERROR(IF(INDEX('Test catalog'!$F$2:$F$200,MATCH($AB578,'Test catalog'!$A$2:$A$200,0))="","",INDEX('Test catalog'!$F$2:$F$200,MATCH($AB578,'Test catalog'!$A$2:$A$200,0))),"")</f>
        <v/>
      </c>
      <c r="L578" s="10">
        <f>IFERROR(IF(INDEX('Test catalog'!$G$2:$G$200,MATCH($AB578,'Test catalog'!$A$2:$A$200,0))="","",INDEX('Test catalog'!$G$2:$G$200,MATCH($AB578,'Test catalog'!$A$2:$A$200,0))),"")</f>
        <v/>
      </c>
      <c r="M578" s="10">
        <f>IFERROR(IF(INDEX('Test catalog'!$H$2:$H$200,MATCH($AB578,'Test catalog'!$A$2:$A$200,0))="","",INDEX('Test catalog'!$H$2:$H$200,MATCH($AB578,'Test catalog'!$A$2:$A$200,0))),"")</f>
        <v/>
      </c>
      <c r="N578" s="10">
        <f>IFERROR(IF(INDEX('Test catalog'!$I$2:$I$200,MATCH($AB578,'Test catalog'!$A$2:$A$200,0))="","",INDEX('Test catalog'!$I$2:$I$200,MATCH($AB578,'Test catalog'!$A$2:$A$200,0))),"")</f>
        <v/>
      </c>
      <c r="O578" s="10">
        <f>IFERROR(IF(INDEX('Test catalog'!$J$2:$J$200,MATCH($AB578,'Test catalog'!$A$2:$A$200,0))="","",INDEX('Test catalog'!$J$2:$J$200,MATCH($AB578,'Test catalog'!$A$2:$A$200,0))),"")</f>
        <v/>
      </c>
      <c r="P578" s="14">
        <f>IF(N578="","",IF(OR(M578="",O578=""),N578,(M578+4*N578+O578)/6))</f>
        <v/>
      </c>
      <c r="Q578" s="10">
        <f>IFERROR(IF(INDEX('Test catalog'!$K$2:$K$200,MATCH($AB578,'Test catalog'!$A$2:$A$200,0))="","",INDEX('Test catalog'!$K$2:$K$200,MATCH($AB578,'Test catalog'!$A$2:$A$200,0))),"")</f>
        <v/>
      </c>
      <c r="R578" s="5" t="n"/>
      <c r="S578" s="10">
        <f>IFERROR(IF(INDEX('Test catalog'!$L$2:$L$200,MATCH($AB578,'Test catalog'!$A$2:$A$200,0))="","",INDEX('Test catalog'!$L$2:$L$200,MATCH($AB578,'Test catalog'!$A$2:$A$200,0))),"")</f>
        <v/>
      </c>
      <c r="T578" s="10">
        <f>IFERROR(IF(INDEX('Test catalog'!$M$2:$M$200,MATCH($AB578,'Test catalog'!$A$2:$A$200,0))="","",INDEX('Test catalog'!$M$2:$M$200,MATCH($AB578,'Test catalog'!$A$2:$A$200,0))),"")</f>
        <v/>
      </c>
      <c r="U578" s="10">
        <f>IFERROR(IF(INDEX('Test catalog'!$N$2:$N$200,MATCH($AB578,'Test catalog'!$A$2:$A$200,0))="","",INDEX('Test catalog'!$N$2:$N$200,MATCH($AB578,'Test catalog'!$A$2:$A$200,0))),"")</f>
        <v/>
      </c>
      <c r="V578" s="15" t="n"/>
      <c r="W578" s="5" t="inlineStr">
        <is>
          <t>N</t>
        </is>
      </c>
      <c r="X578" s="5" t="n"/>
      <c r="Y578" s="5" t="n"/>
      <c r="Z578" s="5" t="n"/>
      <c r="AA578" s="10">
        <f>IFERROR(IF(INDEX('Test catalog'!$O$2:$O$200,MATCH($AB578,'Test catalog'!$A$2:$A$200,0))="","",INDEX('Test catalog'!$O$2:$O$200,MATCH($AB578,'Test catalog'!$A$2:$A$200,0))),"")</f>
        <v/>
      </c>
      <c r="AB578" s="10" t="inlineStr">
        <is>
          <t>TITR</t>
        </is>
      </c>
      <c r="AC578" s="10" t="inlineStr">
        <is>
          <t>Povidone · Assay</t>
        </is>
      </c>
      <c r="AD578" s="10" t="n"/>
      <c r="AE578" s="10" t="n"/>
    </row>
    <row r="579">
      <c r="A579" s="10" t="inlineStr">
        <is>
          <t>PVP K90</t>
        </is>
      </c>
      <c r="B579" s="10" t="inlineStr">
        <is>
          <t>RM</t>
        </is>
      </c>
      <c r="C579" s="10" t="inlineStr">
        <is>
          <t>Binder</t>
        </is>
      </c>
      <c r="D579" s="10" t="inlineStr">
        <is>
          <t>Residue on Ignition</t>
        </is>
      </c>
      <c r="E579" s="10">
        <f>IF(A579="","",A579&amp;"|"&amp;D579)</f>
        <v/>
      </c>
      <c r="F579" s="5" t="inlineStr">
        <is>
          <t>Y</t>
        </is>
      </c>
      <c r="G579" s="5" t="inlineStr">
        <is>
          <t>Other / bench</t>
        </is>
      </c>
      <c r="H579" s="5" t="inlineStr">
        <is>
          <t>Low</t>
        </is>
      </c>
      <c r="I579" s="5" t="n">
        <v>1</v>
      </c>
      <c r="J579" s="5" t="n"/>
      <c r="K579" s="10">
        <f>IFERROR(IF(INDEX('Test catalog'!$F$2:$F$200,MATCH($AB579,'Test catalog'!$A$2:$A$200,0))="","",INDEX('Test catalog'!$F$2:$F$200,MATCH($AB579,'Test catalog'!$A$2:$A$200,0))),"")</f>
        <v/>
      </c>
      <c r="L579" s="10">
        <f>IFERROR(IF(INDEX('Test catalog'!$G$2:$G$200,MATCH($AB579,'Test catalog'!$A$2:$A$200,0))="","",INDEX('Test catalog'!$G$2:$G$200,MATCH($AB579,'Test catalog'!$A$2:$A$200,0))),"")</f>
        <v/>
      </c>
      <c r="M579" s="10">
        <f>IFERROR(IF(INDEX('Test catalog'!$H$2:$H$200,MATCH($AB579,'Test catalog'!$A$2:$A$200,0))="","",INDEX('Test catalog'!$H$2:$H$200,MATCH($AB579,'Test catalog'!$A$2:$A$200,0))),"")</f>
        <v/>
      </c>
      <c r="N579" s="10">
        <f>IFERROR(IF(INDEX('Test catalog'!$I$2:$I$200,MATCH($AB579,'Test catalog'!$A$2:$A$200,0))="","",INDEX('Test catalog'!$I$2:$I$200,MATCH($AB579,'Test catalog'!$A$2:$A$200,0))),"")</f>
        <v/>
      </c>
      <c r="O579" s="10">
        <f>IFERROR(IF(INDEX('Test catalog'!$J$2:$J$200,MATCH($AB579,'Test catalog'!$A$2:$A$200,0))="","",INDEX('Test catalog'!$J$2:$J$200,MATCH($AB579,'Test catalog'!$A$2:$A$200,0))),"")</f>
        <v/>
      </c>
      <c r="P579" s="14">
        <f>IF(N579="","",IF(OR(M579="",O579=""),N579,(M579+4*N579+O579)/6))</f>
        <v/>
      </c>
      <c r="Q579" s="10">
        <f>IFERROR(IF(INDEX('Test catalog'!$K$2:$K$200,MATCH($AB579,'Test catalog'!$A$2:$A$200,0))="","",INDEX('Test catalog'!$K$2:$K$200,MATCH($AB579,'Test catalog'!$A$2:$A$200,0))),"")</f>
        <v/>
      </c>
      <c r="R579" s="5" t="n"/>
      <c r="S579" s="10">
        <f>IFERROR(IF(INDEX('Test catalog'!$L$2:$L$200,MATCH($AB579,'Test catalog'!$A$2:$A$200,0))="","",INDEX('Test catalog'!$L$2:$L$200,MATCH($AB579,'Test catalog'!$A$2:$A$200,0))),"")</f>
        <v/>
      </c>
      <c r="T579" s="10">
        <f>IFERROR(IF(INDEX('Test catalog'!$M$2:$M$200,MATCH($AB579,'Test catalog'!$A$2:$A$200,0))="","",INDEX('Test catalog'!$M$2:$M$200,MATCH($AB579,'Test catalog'!$A$2:$A$200,0))),"")</f>
        <v/>
      </c>
      <c r="U579" s="10">
        <f>IFERROR(IF(INDEX('Test catalog'!$N$2:$N$200,MATCH($AB579,'Test catalog'!$A$2:$A$200,0))="","",INDEX('Test catalog'!$N$2:$N$200,MATCH($AB579,'Test catalog'!$A$2:$A$200,0))),"")</f>
        <v/>
      </c>
      <c r="V579" s="15" t="n"/>
      <c r="W579" s="5" t="inlineStr">
        <is>
          <t>N</t>
        </is>
      </c>
      <c r="X579" s="5" t="n"/>
      <c r="Y579" s="5" t="n"/>
      <c r="Z579" s="5" t="n"/>
      <c r="AA579" s="10">
        <f>IFERROR(IF(INDEX('Test catalog'!$O$2:$O$200,MATCH($AB579,'Test catalog'!$A$2:$A$200,0))="","",INDEX('Test catalog'!$O$2:$O$200,MATCH($AB579,'Test catalog'!$A$2:$A$200,0))),"")</f>
        <v/>
      </c>
      <c r="AB579" s="10" t="inlineStr">
        <is>
          <t>ROI</t>
        </is>
      </c>
      <c r="AC579" s="10" t="inlineStr">
        <is>
          <t>Povidone · Impurities &lt;281&gt;</t>
        </is>
      </c>
      <c r="AD579" s="10" t="n"/>
      <c r="AE579" s="10" t="n"/>
    </row>
    <row r="580">
      <c r="A580" s="10" t="inlineStr">
        <is>
          <t>PVP K90</t>
        </is>
      </c>
      <c r="B580" s="10" t="inlineStr">
        <is>
          <t>RM</t>
        </is>
      </c>
      <c r="C580" s="10" t="inlineStr">
        <is>
          <t>Binder</t>
        </is>
      </c>
      <c r="D580" s="10" t="inlineStr">
        <is>
          <t>Lead</t>
        </is>
      </c>
      <c r="E580" s="10">
        <f>IF(A580="","",A580&amp;"|"&amp;D580)</f>
        <v/>
      </c>
      <c r="F580" s="5" t="inlineStr">
        <is>
          <t>Y</t>
        </is>
      </c>
      <c r="G580" s="5" t="inlineStr">
        <is>
          <t>Other / bench</t>
        </is>
      </c>
      <c r="H580" s="5" t="inlineStr">
        <is>
          <t>Low</t>
        </is>
      </c>
      <c r="I580" s="5" t="n">
        <v>1</v>
      </c>
      <c r="J580" s="5" t="n"/>
      <c r="K580" s="10">
        <f>IFERROR(IF(INDEX('Test catalog'!$F$2:$F$200,MATCH($AB580,'Test catalog'!$A$2:$A$200,0))="","",INDEX('Test catalog'!$F$2:$F$200,MATCH($AB580,'Test catalog'!$A$2:$A$200,0))),"")</f>
        <v/>
      </c>
      <c r="L580" s="10">
        <f>IFERROR(IF(INDEX('Test catalog'!$G$2:$G$200,MATCH($AB580,'Test catalog'!$A$2:$A$200,0))="","",INDEX('Test catalog'!$G$2:$G$200,MATCH($AB580,'Test catalog'!$A$2:$A$200,0))),"")</f>
        <v/>
      </c>
      <c r="M580" s="10">
        <f>IFERROR(IF(INDEX('Test catalog'!$H$2:$H$200,MATCH($AB580,'Test catalog'!$A$2:$A$200,0))="","",INDEX('Test catalog'!$H$2:$H$200,MATCH($AB580,'Test catalog'!$A$2:$A$200,0))),"")</f>
        <v/>
      </c>
      <c r="N580" s="10">
        <f>IFERROR(IF(INDEX('Test catalog'!$I$2:$I$200,MATCH($AB580,'Test catalog'!$A$2:$A$200,0))="","",INDEX('Test catalog'!$I$2:$I$200,MATCH($AB580,'Test catalog'!$A$2:$A$200,0))),"")</f>
        <v/>
      </c>
      <c r="O580" s="10">
        <f>IFERROR(IF(INDEX('Test catalog'!$J$2:$J$200,MATCH($AB580,'Test catalog'!$A$2:$A$200,0))="","",INDEX('Test catalog'!$J$2:$J$200,MATCH($AB580,'Test catalog'!$A$2:$A$200,0))),"")</f>
        <v/>
      </c>
      <c r="P580" s="14">
        <f>IF(N580="","",IF(OR(M580="",O580=""),N580,(M580+4*N580+O580)/6))</f>
        <v/>
      </c>
      <c r="Q580" s="10">
        <f>IFERROR(IF(INDEX('Test catalog'!$K$2:$K$200,MATCH($AB580,'Test catalog'!$A$2:$A$200,0))="","",INDEX('Test catalog'!$K$2:$K$200,MATCH($AB580,'Test catalog'!$A$2:$A$200,0))),"")</f>
        <v/>
      </c>
      <c r="R580" s="5" t="n"/>
      <c r="S580" s="10">
        <f>IFERROR(IF(INDEX('Test catalog'!$L$2:$L$200,MATCH($AB580,'Test catalog'!$A$2:$A$200,0))="","",INDEX('Test catalog'!$L$2:$L$200,MATCH($AB580,'Test catalog'!$A$2:$A$200,0))),"")</f>
        <v/>
      </c>
      <c r="T580" s="10">
        <f>IFERROR(IF(INDEX('Test catalog'!$M$2:$M$200,MATCH($AB580,'Test catalog'!$A$2:$A$200,0))="","",INDEX('Test catalog'!$M$2:$M$200,MATCH($AB580,'Test catalog'!$A$2:$A$200,0))),"")</f>
        <v/>
      </c>
      <c r="U580" s="10">
        <f>IFERROR(IF(INDEX('Test catalog'!$N$2:$N$200,MATCH($AB580,'Test catalog'!$A$2:$A$200,0))="","",INDEX('Test catalog'!$N$2:$N$200,MATCH($AB580,'Test catalog'!$A$2:$A$200,0))),"")</f>
        <v/>
      </c>
      <c r="V580" s="15" t="n"/>
      <c r="W580" s="5" t="inlineStr">
        <is>
          <t>N</t>
        </is>
      </c>
      <c r="X580" s="5" t="n"/>
      <c r="Y580" s="5" t="n"/>
      <c r="Z580" s="5" t="n"/>
      <c r="AA580" s="10">
        <f>IFERROR(IF(INDEX('Test catalog'!$O$2:$O$200,MATCH($AB580,'Test catalog'!$A$2:$A$200,0))="","",INDEX('Test catalog'!$O$2:$O$200,MATCH($AB580,'Test catalog'!$A$2:$A$200,0))),"")</f>
        <v/>
      </c>
      <c r="AB580" s="10" t="inlineStr">
        <is>
          <t>LIM_TOX</t>
        </is>
      </c>
      <c r="AC580" s="10" t="inlineStr">
        <is>
          <t>Povidone · Impurities &lt;251&gt;</t>
        </is>
      </c>
      <c r="AD580" s="10" t="n"/>
      <c r="AE580" s="10" t="n"/>
    </row>
    <row r="581">
      <c r="A581" s="10" t="inlineStr">
        <is>
          <t>PVP K90</t>
        </is>
      </c>
      <c r="B581" s="10" t="inlineStr">
        <is>
          <t>RM</t>
        </is>
      </c>
      <c r="C581" s="10" t="inlineStr">
        <is>
          <t>Binder</t>
        </is>
      </c>
      <c r="D581" s="10" t="inlineStr">
        <is>
          <t>Limit of Aldehydes</t>
        </is>
      </c>
      <c r="E581" s="10">
        <f>IF(A581="","",A581&amp;"|"&amp;D581)</f>
        <v/>
      </c>
      <c r="F581" s="5" t="inlineStr">
        <is>
          <t>Y</t>
        </is>
      </c>
      <c r="G581" s="5" t="inlineStr">
        <is>
          <t>UV-Vis</t>
        </is>
      </c>
      <c r="H581" s="5" t="inlineStr">
        <is>
          <t>Low</t>
        </is>
      </c>
      <c r="I581" s="5" t="n">
        <v>1</v>
      </c>
      <c r="J581" s="5" t="n"/>
      <c r="K581" s="10">
        <f>IFERROR(IF(INDEX('Test catalog'!$F$2:$F$200,MATCH($AB581,'Test catalog'!$A$2:$A$200,0))="","",INDEX('Test catalog'!$F$2:$F$200,MATCH($AB581,'Test catalog'!$A$2:$A$200,0))),"")</f>
        <v/>
      </c>
      <c r="L581" s="10">
        <f>IFERROR(IF(INDEX('Test catalog'!$G$2:$G$200,MATCH($AB581,'Test catalog'!$A$2:$A$200,0))="","",INDEX('Test catalog'!$G$2:$G$200,MATCH($AB581,'Test catalog'!$A$2:$A$200,0))),"")</f>
        <v/>
      </c>
      <c r="M581" s="10">
        <f>IFERROR(IF(INDEX('Test catalog'!$H$2:$H$200,MATCH($AB581,'Test catalog'!$A$2:$A$200,0))="","",INDEX('Test catalog'!$H$2:$H$200,MATCH($AB581,'Test catalog'!$A$2:$A$200,0))),"")</f>
        <v/>
      </c>
      <c r="N581" s="10">
        <f>IFERROR(IF(INDEX('Test catalog'!$I$2:$I$200,MATCH($AB581,'Test catalog'!$A$2:$A$200,0))="","",INDEX('Test catalog'!$I$2:$I$200,MATCH($AB581,'Test catalog'!$A$2:$A$200,0))),"")</f>
        <v/>
      </c>
      <c r="O581" s="10">
        <f>IFERROR(IF(INDEX('Test catalog'!$J$2:$J$200,MATCH($AB581,'Test catalog'!$A$2:$A$200,0))="","",INDEX('Test catalog'!$J$2:$J$200,MATCH($AB581,'Test catalog'!$A$2:$A$200,0))),"")</f>
        <v/>
      </c>
      <c r="P581" s="14">
        <f>IF(N581="","",IF(OR(M581="",O581=""),N581,(M581+4*N581+O581)/6))</f>
        <v/>
      </c>
      <c r="Q581" s="10">
        <f>IFERROR(IF(INDEX('Test catalog'!$K$2:$K$200,MATCH($AB581,'Test catalog'!$A$2:$A$200,0))="","",INDEX('Test catalog'!$K$2:$K$200,MATCH($AB581,'Test catalog'!$A$2:$A$200,0))),"")</f>
        <v/>
      </c>
      <c r="R581" s="5" t="n"/>
      <c r="S581" s="10">
        <f>IFERROR(IF(INDEX('Test catalog'!$L$2:$L$200,MATCH($AB581,'Test catalog'!$A$2:$A$200,0))="","",INDEX('Test catalog'!$L$2:$L$200,MATCH($AB581,'Test catalog'!$A$2:$A$200,0))),"")</f>
        <v/>
      </c>
      <c r="T581" s="10">
        <f>IFERROR(IF(INDEX('Test catalog'!$M$2:$M$200,MATCH($AB581,'Test catalog'!$A$2:$A$200,0))="","",INDEX('Test catalog'!$M$2:$M$200,MATCH($AB581,'Test catalog'!$A$2:$A$200,0))),"")</f>
        <v/>
      </c>
      <c r="U581" s="10">
        <f>IFERROR(IF(INDEX('Test catalog'!$N$2:$N$200,MATCH($AB581,'Test catalog'!$A$2:$A$200,0))="","",INDEX('Test catalog'!$N$2:$N$200,MATCH($AB581,'Test catalog'!$A$2:$A$200,0))),"")</f>
        <v/>
      </c>
      <c r="V581" s="15" t="n"/>
      <c r="W581" s="5" t="inlineStr">
        <is>
          <t>N</t>
        </is>
      </c>
      <c r="X581" s="5" t="n"/>
      <c r="Y581" s="5" t="n"/>
      <c r="Z581" s="5" t="n"/>
      <c r="AA581" s="10">
        <f>IFERROR(IF(INDEX('Test catalog'!$O$2:$O$200,MATCH($AB581,'Test catalog'!$A$2:$A$200,0))="","",INDEX('Test catalog'!$O$2:$O$200,MATCH($AB581,'Test catalog'!$A$2:$A$200,0))),"")</f>
        <v/>
      </c>
      <c r="AB581" s="10" t="inlineStr">
        <is>
          <t>UV</t>
        </is>
      </c>
      <c r="AC581" s="10" t="inlineStr">
        <is>
          <t>Povidone · Impurities</t>
        </is>
      </c>
      <c r="AD581" s="10" t="n"/>
      <c r="AE581" s="10" t="n"/>
    </row>
    <row r="582">
      <c r="A582" s="10" t="inlineStr">
        <is>
          <t>PVP K90</t>
        </is>
      </c>
      <c r="B582" s="10" t="inlineStr">
        <is>
          <t>RM</t>
        </is>
      </c>
      <c r="C582" s="10" t="inlineStr">
        <is>
          <t>Binder</t>
        </is>
      </c>
      <c r="D582" s="10" t="inlineStr">
        <is>
          <t>Limit of Hydrazine</t>
        </is>
      </c>
      <c r="E582" s="10">
        <f>IF(A582="","",A582&amp;"|"&amp;D582)</f>
        <v/>
      </c>
      <c r="F582" s="5" t="inlineStr">
        <is>
          <t>Y</t>
        </is>
      </c>
      <c r="G582" s="5" t="inlineStr">
        <is>
          <t>Other / bench</t>
        </is>
      </c>
      <c r="H582" s="5" t="inlineStr">
        <is>
          <t>Low</t>
        </is>
      </c>
      <c r="I582" s="5" t="n">
        <v>1</v>
      </c>
      <c r="J582" s="5" t="n"/>
      <c r="K582" s="10">
        <f>IFERROR(IF(INDEX('Test catalog'!$F$2:$F$200,MATCH($AB582,'Test catalog'!$A$2:$A$200,0))="","",INDEX('Test catalog'!$F$2:$F$200,MATCH($AB582,'Test catalog'!$A$2:$A$200,0))),"")</f>
        <v/>
      </c>
      <c r="L582" s="10">
        <f>IFERROR(IF(INDEX('Test catalog'!$G$2:$G$200,MATCH($AB582,'Test catalog'!$A$2:$A$200,0))="","",INDEX('Test catalog'!$G$2:$G$200,MATCH($AB582,'Test catalog'!$A$2:$A$200,0))),"")</f>
        <v/>
      </c>
      <c r="M582" s="10">
        <f>IFERROR(IF(INDEX('Test catalog'!$H$2:$H$200,MATCH($AB582,'Test catalog'!$A$2:$A$200,0))="","",INDEX('Test catalog'!$H$2:$H$200,MATCH($AB582,'Test catalog'!$A$2:$A$200,0))),"")</f>
        <v/>
      </c>
      <c r="N582" s="10">
        <f>IFERROR(IF(INDEX('Test catalog'!$I$2:$I$200,MATCH($AB582,'Test catalog'!$A$2:$A$200,0))="","",INDEX('Test catalog'!$I$2:$I$200,MATCH($AB582,'Test catalog'!$A$2:$A$200,0))),"")</f>
        <v/>
      </c>
      <c r="O582" s="10">
        <f>IFERROR(IF(INDEX('Test catalog'!$J$2:$J$200,MATCH($AB582,'Test catalog'!$A$2:$A$200,0))="","",INDEX('Test catalog'!$J$2:$J$200,MATCH($AB582,'Test catalog'!$A$2:$A$200,0))),"")</f>
        <v/>
      </c>
      <c r="P582" s="14">
        <f>IF(N582="","",IF(OR(M582="",O582=""),N582,(M582+4*N582+O582)/6))</f>
        <v/>
      </c>
      <c r="Q582" s="10">
        <f>IFERROR(IF(INDEX('Test catalog'!$K$2:$K$200,MATCH($AB582,'Test catalog'!$A$2:$A$200,0))="","",INDEX('Test catalog'!$K$2:$K$200,MATCH($AB582,'Test catalog'!$A$2:$A$200,0))),"")</f>
        <v/>
      </c>
      <c r="R582" s="5" t="n"/>
      <c r="S582" s="10">
        <f>IFERROR(IF(INDEX('Test catalog'!$L$2:$L$200,MATCH($AB582,'Test catalog'!$A$2:$A$200,0))="","",INDEX('Test catalog'!$L$2:$L$200,MATCH($AB582,'Test catalog'!$A$2:$A$200,0))),"")</f>
        <v/>
      </c>
      <c r="T582" s="10">
        <f>IFERROR(IF(INDEX('Test catalog'!$M$2:$M$200,MATCH($AB582,'Test catalog'!$A$2:$A$200,0))="","",INDEX('Test catalog'!$M$2:$M$200,MATCH($AB582,'Test catalog'!$A$2:$A$200,0))),"")</f>
        <v/>
      </c>
      <c r="U582" s="10">
        <f>IFERROR(IF(INDEX('Test catalog'!$N$2:$N$200,MATCH($AB582,'Test catalog'!$A$2:$A$200,0))="","",INDEX('Test catalog'!$N$2:$N$200,MATCH($AB582,'Test catalog'!$A$2:$A$200,0))),"")</f>
        <v/>
      </c>
      <c r="V582" s="15" t="n"/>
      <c r="W582" s="5" t="inlineStr">
        <is>
          <t>N</t>
        </is>
      </c>
      <c r="X582" s="5" t="n"/>
      <c r="Y582" s="5" t="n"/>
      <c r="Z582" s="5" t="n"/>
      <c r="AA582" s="10">
        <f>IFERROR(IF(INDEX('Test catalog'!$O$2:$O$200,MATCH($AB582,'Test catalog'!$A$2:$A$200,0))="","",INDEX('Test catalog'!$O$2:$O$200,MATCH($AB582,'Test catalog'!$A$2:$A$200,0))),"")</f>
        <v/>
      </c>
      <c r="AB582" s="10" t="inlineStr">
        <is>
          <t>TLC</t>
        </is>
      </c>
      <c r="AC582" s="10" t="inlineStr">
        <is>
          <t>Povidone · Impurities</t>
        </is>
      </c>
      <c r="AD582" s="10" t="n"/>
      <c r="AE582" s="10" t="n"/>
    </row>
    <row r="583">
      <c r="A583" s="10" t="inlineStr">
        <is>
          <t>PVP K90</t>
        </is>
      </c>
      <c r="B583" s="10" t="inlineStr">
        <is>
          <t>RM</t>
        </is>
      </c>
      <c r="C583" s="10" t="inlineStr">
        <is>
          <t>Binder</t>
        </is>
      </c>
      <c r="D583" s="10" t="inlineStr">
        <is>
          <t>Vinylpyrrolidinone (HPLC)</t>
        </is>
      </c>
      <c r="E583" s="10">
        <f>IF(A583="","",A583&amp;"|"&amp;D583)</f>
        <v/>
      </c>
      <c r="F583" s="5" t="inlineStr">
        <is>
          <t>Y</t>
        </is>
      </c>
      <c r="G583" s="5" t="inlineStr">
        <is>
          <t>HPLC</t>
        </is>
      </c>
      <c r="H583" s="5" t="inlineStr">
        <is>
          <t>Medium</t>
        </is>
      </c>
      <c r="I583" s="5" t="n">
        <v>1</v>
      </c>
      <c r="J583" s="5" t="n"/>
      <c r="K583" s="5" t="n"/>
      <c r="L583" s="5" t="n"/>
      <c r="M583" s="5" t="n"/>
      <c r="N583" s="5" t="n"/>
      <c r="O583" s="5" t="n"/>
      <c r="P583" s="14">
        <f>IF(N583="","",IF(OR(M583="",O583=""),N583,(M583+4*N583+O583)/6))</f>
        <v/>
      </c>
      <c r="Q583" s="5" t="n"/>
      <c r="R583" s="5" t="n"/>
      <c r="S583" s="5" t="n"/>
      <c r="T583" s="5" t="n"/>
      <c r="U583" s="5" t="n"/>
      <c r="V583" s="15" t="n"/>
      <c r="W583" s="5" t="inlineStr">
        <is>
          <t>N</t>
        </is>
      </c>
      <c r="X583" s="5" t="n"/>
      <c r="Y583" s="5" t="n"/>
      <c r="Z583" s="5" t="n"/>
      <c r="AA583" s="5" t="n"/>
      <c r="AB583" s="10" t="n"/>
      <c r="AC583" s="10" t="inlineStr">
        <is>
          <t>Povidone · Impurities</t>
        </is>
      </c>
      <c r="AD583" s="10" t="n"/>
      <c r="AE583" s="10" t="n"/>
    </row>
    <row r="584">
      <c r="A584" s="10" t="inlineStr">
        <is>
          <t>PVP K90</t>
        </is>
      </c>
      <c r="B584" s="10" t="inlineStr">
        <is>
          <t>RM</t>
        </is>
      </c>
      <c r="C584" s="10" t="inlineStr">
        <is>
          <t>Binder</t>
        </is>
      </c>
      <c r="D584" s="10" t="inlineStr">
        <is>
          <t>2-Pyrrolidone (HPLC)</t>
        </is>
      </c>
      <c r="E584" s="10">
        <f>IF(A584="","",A584&amp;"|"&amp;D584)</f>
        <v/>
      </c>
      <c r="F584" s="5" t="inlineStr">
        <is>
          <t>Y</t>
        </is>
      </c>
      <c r="G584" s="5" t="inlineStr">
        <is>
          <t>HPLC</t>
        </is>
      </c>
      <c r="H584" s="5" t="inlineStr">
        <is>
          <t>Medium</t>
        </is>
      </c>
      <c r="I584" s="5" t="n">
        <v>1</v>
      </c>
      <c r="J584" s="5" t="n"/>
      <c r="K584" s="5" t="n"/>
      <c r="L584" s="5" t="n"/>
      <c r="M584" s="5" t="n"/>
      <c r="N584" s="5" t="n"/>
      <c r="O584" s="5" t="n"/>
      <c r="P584" s="14">
        <f>IF(N584="","",IF(OR(M584="",O584=""),N584,(M584+4*N584+O584)/6))</f>
        <v/>
      </c>
      <c r="Q584" s="5" t="n"/>
      <c r="R584" s="5" t="n"/>
      <c r="S584" s="5" t="n"/>
      <c r="T584" s="5" t="n"/>
      <c r="U584" s="5" t="n"/>
      <c r="V584" s="15" t="n"/>
      <c r="W584" s="5" t="inlineStr">
        <is>
          <t>N</t>
        </is>
      </c>
      <c r="X584" s="5" t="n"/>
      <c r="Y584" s="5" t="n"/>
      <c r="Z584" s="5" t="n"/>
      <c r="AA584" s="5" t="n"/>
      <c r="AB584" s="10" t="n"/>
      <c r="AC584" s="10" t="inlineStr">
        <is>
          <t>Povidone · Impurities &lt;621&gt;</t>
        </is>
      </c>
      <c r="AD584" s="10" t="n"/>
      <c r="AE584" s="10" t="n"/>
    </row>
    <row r="585">
      <c r="A585" s="10" t="inlineStr">
        <is>
          <t>PVP K90</t>
        </is>
      </c>
      <c r="B585" s="10" t="inlineStr">
        <is>
          <t>RM</t>
        </is>
      </c>
      <c r="C585" s="10" t="inlineStr">
        <is>
          <t>Binder</t>
        </is>
      </c>
      <c r="D585" s="10" t="inlineStr">
        <is>
          <t>Peroxides</t>
        </is>
      </c>
      <c r="E585" s="10">
        <f>IF(A585="","",A585&amp;"|"&amp;D585)</f>
        <v/>
      </c>
      <c r="F585" s="5" t="inlineStr">
        <is>
          <t>Y</t>
        </is>
      </c>
      <c r="G585" s="5" t="inlineStr">
        <is>
          <t>UV-Vis</t>
        </is>
      </c>
      <c r="H585" s="5" t="inlineStr">
        <is>
          <t>Low</t>
        </is>
      </c>
      <c r="I585" s="5" t="n">
        <v>1</v>
      </c>
      <c r="J585" s="5" t="n"/>
      <c r="K585" s="10">
        <f>IFERROR(IF(INDEX('Test catalog'!$F$2:$F$200,MATCH($AB585,'Test catalog'!$A$2:$A$200,0))="","",INDEX('Test catalog'!$F$2:$F$200,MATCH($AB585,'Test catalog'!$A$2:$A$200,0))),"")</f>
        <v/>
      </c>
      <c r="L585" s="10">
        <f>IFERROR(IF(INDEX('Test catalog'!$G$2:$G$200,MATCH($AB585,'Test catalog'!$A$2:$A$200,0))="","",INDEX('Test catalog'!$G$2:$G$200,MATCH($AB585,'Test catalog'!$A$2:$A$200,0))),"")</f>
        <v/>
      </c>
      <c r="M585" s="10">
        <f>IFERROR(IF(INDEX('Test catalog'!$H$2:$H$200,MATCH($AB585,'Test catalog'!$A$2:$A$200,0))="","",INDEX('Test catalog'!$H$2:$H$200,MATCH($AB585,'Test catalog'!$A$2:$A$200,0))),"")</f>
        <v/>
      </c>
      <c r="N585" s="10">
        <f>IFERROR(IF(INDEX('Test catalog'!$I$2:$I$200,MATCH($AB585,'Test catalog'!$A$2:$A$200,0))="","",INDEX('Test catalog'!$I$2:$I$200,MATCH($AB585,'Test catalog'!$A$2:$A$200,0))),"")</f>
        <v/>
      </c>
      <c r="O585" s="10">
        <f>IFERROR(IF(INDEX('Test catalog'!$J$2:$J$200,MATCH($AB585,'Test catalog'!$A$2:$A$200,0))="","",INDEX('Test catalog'!$J$2:$J$200,MATCH($AB585,'Test catalog'!$A$2:$A$200,0))),"")</f>
        <v/>
      </c>
      <c r="P585" s="14">
        <f>IF(N585="","",IF(OR(M585="",O585=""),N585,(M585+4*N585+O585)/6))</f>
        <v/>
      </c>
      <c r="Q585" s="10">
        <f>IFERROR(IF(INDEX('Test catalog'!$K$2:$K$200,MATCH($AB585,'Test catalog'!$A$2:$A$200,0))="","",INDEX('Test catalog'!$K$2:$K$200,MATCH($AB585,'Test catalog'!$A$2:$A$200,0))),"")</f>
        <v/>
      </c>
      <c r="R585" s="5" t="n"/>
      <c r="S585" s="10">
        <f>IFERROR(IF(INDEX('Test catalog'!$L$2:$L$200,MATCH($AB585,'Test catalog'!$A$2:$A$200,0))="","",INDEX('Test catalog'!$L$2:$L$200,MATCH($AB585,'Test catalog'!$A$2:$A$200,0))),"")</f>
        <v/>
      </c>
      <c r="T585" s="10">
        <f>IFERROR(IF(INDEX('Test catalog'!$M$2:$M$200,MATCH($AB585,'Test catalog'!$A$2:$A$200,0))="","",INDEX('Test catalog'!$M$2:$M$200,MATCH($AB585,'Test catalog'!$A$2:$A$200,0))),"")</f>
        <v/>
      </c>
      <c r="U585" s="10">
        <f>IFERROR(IF(INDEX('Test catalog'!$N$2:$N$200,MATCH($AB585,'Test catalog'!$A$2:$A$200,0))="","",INDEX('Test catalog'!$N$2:$N$200,MATCH($AB585,'Test catalog'!$A$2:$A$200,0))),"")</f>
        <v/>
      </c>
      <c r="V585" s="15" t="n"/>
      <c r="W585" s="5" t="inlineStr">
        <is>
          <t>N</t>
        </is>
      </c>
      <c r="X585" s="5" t="n"/>
      <c r="Y585" s="5" t="n"/>
      <c r="Z585" s="5" t="n"/>
      <c r="AA585" s="10">
        <f>IFERROR(IF(INDEX('Test catalog'!$O$2:$O$200,MATCH($AB585,'Test catalog'!$A$2:$A$200,0))="","",INDEX('Test catalog'!$O$2:$O$200,MATCH($AB585,'Test catalog'!$A$2:$A$200,0))),"")</f>
        <v/>
      </c>
      <c r="AB585" s="10" t="inlineStr">
        <is>
          <t>UV</t>
        </is>
      </c>
      <c r="AC585" s="10" t="inlineStr">
        <is>
          <t>Povidone · Impurities &lt;857&gt;</t>
        </is>
      </c>
      <c r="AD585" s="10" t="n"/>
      <c r="AE585" s="10" t="n"/>
    </row>
    <row r="586">
      <c r="A586" s="10" t="inlineStr">
        <is>
          <t>PVP K90</t>
        </is>
      </c>
      <c r="B586" s="10" t="inlineStr">
        <is>
          <t>RM</t>
        </is>
      </c>
      <c r="C586" s="10" t="inlineStr">
        <is>
          <t>Binder</t>
        </is>
      </c>
      <c r="D586" s="10" t="inlineStr">
        <is>
          <t>Formic Acid (HPLC)</t>
        </is>
      </c>
      <c r="E586" s="10">
        <f>IF(A586="","",A586&amp;"|"&amp;D586)</f>
        <v/>
      </c>
      <c r="F586" s="5" t="inlineStr">
        <is>
          <t>Y</t>
        </is>
      </c>
      <c r="G586" s="5" t="inlineStr">
        <is>
          <t>HPLC</t>
        </is>
      </c>
      <c r="H586" s="5" t="inlineStr">
        <is>
          <t>Medium</t>
        </is>
      </c>
      <c r="I586" s="5" t="n">
        <v>1</v>
      </c>
      <c r="J586" s="5" t="n"/>
      <c r="K586" s="5" t="n"/>
      <c r="L586" s="5" t="n"/>
      <c r="M586" s="5" t="n"/>
      <c r="N586" s="5" t="n"/>
      <c r="O586" s="5" t="n"/>
      <c r="P586" s="14">
        <f>IF(N586="","",IF(OR(M586="",O586=""),N586,(M586+4*N586+O586)/6))</f>
        <v/>
      </c>
      <c r="Q586" s="5" t="n"/>
      <c r="R586" s="5" t="n"/>
      <c r="S586" s="5" t="n"/>
      <c r="T586" s="5" t="n"/>
      <c r="U586" s="5" t="n"/>
      <c r="V586" s="15" t="n"/>
      <c r="W586" s="5" t="inlineStr">
        <is>
          <t>N</t>
        </is>
      </c>
      <c r="X586" s="5" t="n"/>
      <c r="Y586" s="5" t="n"/>
      <c r="Z586" s="5" t="n"/>
      <c r="AA586" s="5" t="n"/>
      <c r="AB586" s="10" t="n"/>
      <c r="AC586" s="10" t="inlineStr">
        <is>
          <t>Povidone · Impurities</t>
        </is>
      </c>
      <c r="AD586" s="10" t="n"/>
      <c r="AE586" s="10" t="n"/>
    </row>
    <row r="587">
      <c r="A587" s="10" t="inlineStr">
        <is>
          <t>PVP K90</t>
        </is>
      </c>
      <c r="B587" s="10" t="inlineStr">
        <is>
          <t>RM</t>
        </is>
      </c>
      <c r="C587" s="10" t="inlineStr">
        <is>
          <t>Binder</t>
        </is>
      </c>
      <c r="D587" s="10" t="inlineStr">
        <is>
          <t>pH</t>
        </is>
      </c>
      <c r="E587" s="10">
        <f>IF(A587="","",A587&amp;"|"&amp;D587)</f>
        <v/>
      </c>
      <c r="F587" s="5" t="inlineStr">
        <is>
          <t>Y</t>
        </is>
      </c>
      <c r="G587" s="5" t="inlineStr">
        <is>
          <t>Other / bench</t>
        </is>
      </c>
      <c r="H587" s="5" t="inlineStr">
        <is>
          <t>Low</t>
        </is>
      </c>
      <c r="I587" s="5" t="n">
        <v>1</v>
      </c>
      <c r="J587" s="5" t="n"/>
      <c r="K587" s="10">
        <f>IFERROR(IF(INDEX('Test catalog'!$F$2:$F$200,MATCH($AB587,'Test catalog'!$A$2:$A$200,0))="","",INDEX('Test catalog'!$F$2:$F$200,MATCH($AB587,'Test catalog'!$A$2:$A$200,0))),"")</f>
        <v/>
      </c>
      <c r="L587" s="10">
        <f>IFERROR(IF(INDEX('Test catalog'!$G$2:$G$200,MATCH($AB587,'Test catalog'!$A$2:$A$200,0))="","",INDEX('Test catalog'!$G$2:$G$200,MATCH($AB587,'Test catalog'!$A$2:$A$200,0))),"")</f>
        <v/>
      </c>
      <c r="M587" s="10">
        <f>IFERROR(IF(INDEX('Test catalog'!$H$2:$H$200,MATCH($AB587,'Test catalog'!$A$2:$A$200,0))="","",INDEX('Test catalog'!$H$2:$H$200,MATCH($AB587,'Test catalog'!$A$2:$A$200,0))),"")</f>
        <v/>
      </c>
      <c r="N587" s="10">
        <f>IFERROR(IF(INDEX('Test catalog'!$I$2:$I$200,MATCH($AB587,'Test catalog'!$A$2:$A$200,0))="","",INDEX('Test catalog'!$I$2:$I$200,MATCH($AB587,'Test catalog'!$A$2:$A$200,0))),"")</f>
        <v/>
      </c>
      <c r="O587" s="10">
        <f>IFERROR(IF(INDEX('Test catalog'!$J$2:$J$200,MATCH($AB587,'Test catalog'!$A$2:$A$200,0))="","",INDEX('Test catalog'!$J$2:$J$200,MATCH($AB587,'Test catalog'!$A$2:$A$200,0))),"")</f>
        <v/>
      </c>
      <c r="P587" s="14">
        <f>IF(N587="","",IF(OR(M587="",O587=""),N587,(M587+4*N587+O587)/6))</f>
        <v/>
      </c>
      <c r="Q587" s="10">
        <f>IFERROR(IF(INDEX('Test catalog'!$K$2:$K$200,MATCH($AB587,'Test catalog'!$A$2:$A$200,0))="","",INDEX('Test catalog'!$K$2:$K$200,MATCH($AB587,'Test catalog'!$A$2:$A$200,0))),"")</f>
        <v/>
      </c>
      <c r="R587" s="5" t="n"/>
      <c r="S587" s="10">
        <f>IFERROR(IF(INDEX('Test catalog'!$L$2:$L$200,MATCH($AB587,'Test catalog'!$A$2:$A$200,0))="","",INDEX('Test catalog'!$L$2:$L$200,MATCH($AB587,'Test catalog'!$A$2:$A$200,0))),"")</f>
        <v/>
      </c>
      <c r="T587" s="10">
        <f>IFERROR(IF(INDEX('Test catalog'!$M$2:$M$200,MATCH($AB587,'Test catalog'!$A$2:$A$200,0))="","",INDEX('Test catalog'!$M$2:$M$200,MATCH($AB587,'Test catalog'!$A$2:$A$200,0))),"")</f>
        <v/>
      </c>
      <c r="U587" s="10">
        <f>IFERROR(IF(INDEX('Test catalog'!$N$2:$N$200,MATCH($AB587,'Test catalog'!$A$2:$A$200,0))="","",INDEX('Test catalog'!$N$2:$N$200,MATCH($AB587,'Test catalog'!$A$2:$A$200,0))),"")</f>
        <v/>
      </c>
      <c r="V587" s="15" t="n"/>
      <c r="W587" s="5" t="inlineStr">
        <is>
          <t>N</t>
        </is>
      </c>
      <c r="X587" s="5" t="n"/>
      <c r="Y587" s="5" t="n"/>
      <c r="Z587" s="5" t="n"/>
      <c r="AA587" s="10">
        <f>IFERROR(IF(INDEX('Test catalog'!$O$2:$O$200,MATCH($AB587,'Test catalog'!$A$2:$A$200,0))="","",INDEX('Test catalog'!$O$2:$O$200,MATCH($AB587,'Test catalog'!$A$2:$A$200,0))),"")</f>
        <v/>
      </c>
      <c r="AB587" s="10" t="inlineStr">
        <is>
          <t>PH</t>
        </is>
      </c>
      <c r="AC587" s="10" t="inlineStr">
        <is>
          <t>Povidone · Specific Tests &lt;791&gt;</t>
        </is>
      </c>
      <c r="AD587" s="10" t="n"/>
      <c r="AE587" s="10" t="n"/>
    </row>
    <row r="588">
      <c r="A588" s="10" t="inlineStr">
        <is>
          <t>PVP K90</t>
        </is>
      </c>
      <c r="B588" s="10" t="inlineStr">
        <is>
          <t>RM</t>
        </is>
      </c>
      <c r="C588" s="10" t="inlineStr">
        <is>
          <t>Binder</t>
        </is>
      </c>
      <c r="D588" s="10" t="inlineStr">
        <is>
          <t>Water Determination</t>
        </is>
      </c>
      <c r="E588" s="10">
        <f>IF(A588="","",A588&amp;"|"&amp;D588)</f>
        <v/>
      </c>
      <c r="F588" s="5" t="inlineStr">
        <is>
          <t>Y</t>
        </is>
      </c>
      <c r="G588" s="5" t="inlineStr">
        <is>
          <t>KF titrator</t>
        </is>
      </c>
      <c r="H588" s="5" t="inlineStr">
        <is>
          <t>Low</t>
        </is>
      </c>
      <c r="I588" s="5" t="n">
        <v>1</v>
      </c>
      <c r="J588" s="5" t="n"/>
      <c r="K588" s="10">
        <f>IFERROR(IF(INDEX('Test catalog'!$F$2:$F$200,MATCH($AB588,'Test catalog'!$A$2:$A$200,0))="","",INDEX('Test catalog'!$F$2:$F$200,MATCH($AB588,'Test catalog'!$A$2:$A$200,0))),"")</f>
        <v/>
      </c>
      <c r="L588" s="10">
        <f>IFERROR(IF(INDEX('Test catalog'!$G$2:$G$200,MATCH($AB588,'Test catalog'!$A$2:$A$200,0))="","",INDEX('Test catalog'!$G$2:$G$200,MATCH($AB588,'Test catalog'!$A$2:$A$200,0))),"")</f>
        <v/>
      </c>
      <c r="M588" s="10">
        <f>IFERROR(IF(INDEX('Test catalog'!$H$2:$H$200,MATCH($AB588,'Test catalog'!$A$2:$A$200,0))="","",INDEX('Test catalog'!$H$2:$H$200,MATCH($AB588,'Test catalog'!$A$2:$A$200,0))),"")</f>
        <v/>
      </c>
      <c r="N588" s="10">
        <f>IFERROR(IF(INDEX('Test catalog'!$I$2:$I$200,MATCH($AB588,'Test catalog'!$A$2:$A$200,0))="","",INDEX('Test catalog'!$I$2:$I$200,MATCH($AB588,'Test catalog'!$A$2:$A$200,0))),"")</f>
        <v/>
      </c>
      <c r="O588" s="10">
        <f>IFERROR(IF(INDEX('Test catalog'!$J$2:$J$200,MATCH($AB588,'Test catalog'!$A$2:$A$200,0))="","",INDEX('Test catalog'!$J$2:$J$200,MATCH($AB588,'Test catalog'!$A$2:$A$200,0))),"")</f>
        <v/>
      </c>
      <c r="P588" s="14">
        <f>IF(N588="","",IF(OR(M588="",O588=""),N588,(M588+4*N588+O588)/6))</f>
        <v/>
      </c>
      <c r="Q588" s="10">
        <f>IFERROR(IF(INDEX('Test catalog'!$K$2:$K$200,MATCH($AB588,'Test catalog'!$A$2:$A$200,0))="","",INDEX('Test catalog'!$K$2:$K$200,MATCH($AB588,'Test catalog'!$A$2:$A$200,0))),"")</f>
        <v/>
      </c>
      <c r="R588" s="5" t="n"/>
      <c r="S588" s="10">
        <f>IFERROR(IF(INDEX('Test catalog'!$L$2:$L$200,MATCH($AB588,'Test catalog'!$A$2:$A$200,0))="","",INDEX('Test catalog'!$L$2:$L$200,MATCH($AB588,'Test catalog'!$A$2:$A$200,0))),"")</f>
        <v/>
      </c>
      <c r="T588" s="10">
        <f>IFERROR(IF(INDEX('Test catalog'!$M$2:$M$200,MATCH($AB588,'Test catalog'!$A$2:$A$200,0))="","",INDEX('Test catalog'!$M$2:$M$200,MATCH($AB588,'Test catalog'!$A$2:$A$200,0))),"")</f>
        <v/>
      </c>
      <c r="U588" s="10">
        <f>IFERROR(IF(INDEX('Test catalog'!$N$2:$N$200,MATCH($AB588,'Test catalog'!$A$2:$A$200,0))="","",INDEX('Test catalog'!$N$2:$N$200,MATCH($AB588,'Test catalog'!$A$2:$A$200,0))),"")</f>
        <v/>
      </c>
      <c r="V588" s="15" t="n"/>
      <c r="W588" s="5" t="inlineStr">
        <is>
          <t>N</t>
        </is>
      </c>
      <c r="X588" s="5" t="n"/>
      <c r="Y588" s="5" t="n"/>
      <c r="Z588" s="5" t="n"/>
      <c r="AA588" s="10">
        <f>IFERROR(IF(INDEX('Test catalog'!$O$2:$O$200,MATCH($AB588,'Test catalog'!$A$2:$A$200,0))="","",INDEX('Test catalog'!$O$2:$O$200,MATCH($AB588,'Test catalog'!$A$2:$A$200,0))),"")</f>
        <v/>
      </c>
      <c r="AB588" s="10" t="inlineStr">
        <is>
          <t>KF</t>
        </is>
      </c>
      <c r="AC588" s="10" t="inlineStr">
        <is>
          <t>Povidone · Specific Tests &lt;921&gt;</t>
        </is>
      </c>
      <c r="AD588" s="10" t="n"/>
      <c r="AE588" s="10" t="n"/>
    </row>
    <row r="589">
      <c r="A589" s="10" t="inlineStr">
        <is>
          <t>PVP K90</t>
        </is>
      </c>
      <c r="B589" s="10" t="inlineStr">
        <is>
          <t>RM</t>
        </is>
      </c>
      <c r="C589" s="10" t="inlineStr">
        <is>
          <t>Binder</t>
        </is>
      </c>
      <c r="D589" s="10" t="inlineStr">
        <is>
          <t>K-value</t>
        </is>
      </c>
      <c r="E589" s="10">
        <f>IF(A589="","",A589&amp;"|"&amp;D589)</f>
        <v/>
      </c>
      <c r="F589" s="5" t="inlineStr">
        <is>
          <t>Y</t>
        </is>
      </c>
      <c r="G589" s="5" t="inlineStr">
        <is>
          <t>Other / bench</t>
        </is>
      </c>
      <c r="H589" s="5" t="inlineStr">
        <is>
          <t>Low</t>
        </is>
      </c>
      <c r="I589" s="5" t="n">
        <v>1</v>
      </c>
      <c r="J589" s="5" t="n"/>
      <c r="K589" s="10">
        <f>IFERROR(IF(INDEX('Test catalog'!$F$2:$F$200,MATCH($AB589,'Test catalog'!$A$2:$A$200,0))="","",INDEX('Test catalog'!$F$2:$F$200,MATCH($AB589,'Test catalog'!$A$2:$A$200,0))),"")</f>
        <v/>
      </c>
      <c r="L589" s="10">
        <f>IFERROR(IF(INDEX('Test catalog'!$G$2:$G$200,MATCH($AB589,'Test catalog'!$A$2:$A$200,0))="","",INDEX('Test catalog'!$G$2:$G$200,MATCH($AB589,'Test catalog'!$A$2:$A$200,0))),"")</f>
        <v/>
      </c>
      <c r="M589" s="10">
        <f>IFERROR(IF(INDEX('Test catalog'!$H$2:$H$200,MATCH($AB589,'Test catalog'!$A$2:$A$200,0))="","",INDEX('Test catalog'!$H$2:$H$200,MATCH($AB589,'Test catalog'!$A$2:$A$200,0))),"")</f>
        <v/>
      </c>
      <c r="N589" s="10">
        <f>IFERROR(IF(INDEX('Test catalog'!$I$2:$I$200,MATCH($AB589,'Test catalog'!$A$2:$A$200,0))="","",INDEX('Test catalog'!$I$2:$I$200,MATCH($AB589,'Test catalog'!$A$2:$A$200,0))),"")</f>
        <v/>
      </c>
      <c r="O589" s="10">
        <f>IFERROR(IF(INDEX('Test catalog'!$J$2:$J$200,MATCH($AB589,'Test catalog'!$A$2:$A$200,0))="","",INDEX('Test catalog'!$J$2:$J$200,MATCH($AB589,'Test catalog'!$A$2:$A$200,0))),"")</f>
        <v/>
      </c>
      <c r="P589" s="14">
        <f>IF(N589="","",IF(OR(M589="",O589=""),N589,(M589+4*N589+O589)/6))</f>
        <v/>
      </c>
      <c r="Q589" s="10">
        <f>IFERROR(IF(INDEX('Test catalog'!$K$2:$K$200,MATCH($AB589,'Test catalog'!$A$2:$A$200,0))="","",INDEX('Test catalog'!$K$2:$K$200,MATCH($AB589,'Test catalog'!$A$2:$A$200,0))),"")</f>
        <v/>
      </c>
      <c r="R589" s="5" t="n"/>
      <c r="S589" s="10">
        <f>IFERROR(IF(INDEX('Test catalog'!$L$2:$L$200,MATCH($AB589,'Test catalog'!$A$2:$A$200,0))="","",INDEX('Test catalog'!$L$2:$L$200,MATCH($AB589,'Test catalog'!$A$2:$A$200,0))),"")</f>
        <v/>
      </c>
      <c r="T589" s="10">
        <f>IFERROR(IF(INDEX('Test catalog'!$M$2:$M$200,MATCH($AB589,'Test catalog'!$A$2:$A$200,0))="","",INDEX('Test catalog'!$M$2:$M$200,MATCH($AB589,'Test catalog'!$A$2:$A$200,0))),"")</f>
        <v/>
      </c>
      <c r="U589" s="10">
        <f>IFERROR(IF(INDEX('Test catalog'!$N$2:$N$200,MATCH($AB589,'Test catalog'!$A$2:$A$200,0))="","",INDEX('Test catalog'!$N$2:$N$200,MATCH($AB589,'Test catalog'!$A$2:$A$200,0))),"")</f>
        <v/>
      </c>
      <c r="V589" s="15" t="n"/>
      <c r="W589" s="5" t="inlineStr">
        <is>
          <t>N</t>
        </is>
      </c>
      <c r="X589" s="5" t="n"/>
      <c r="Y589" s="5" t="n"/>
      <c r="Z589" s="5" t="n"/>
      <c r="AA589" s="10">
        <f>IFERROR(IF(INDEX('Test catalog'!$O$2:$O$200,MATCH($AB589,'Test catalog'!$A$2:$A$200,0))="","",INDEX('Test catalog'!$O$2:$O$200,MATCH($AB589,'Test catalog'!$A$2:$A$200,0))),"")</f>
        <v/>
      </c>
      <c r="AB589" s="10" t="inlineStr">
        <is>
          <t>VISC</t>
        </is>
      </c>
      <c r="AC589" s="10" t="inlineStr">
        <is>
          <t>Povidone · Specific Tests</t>
        </is>
      </c>
      <c r="AD589" s="10" t="n"/>
      <c r="AE589" s="10" t="n"/>
    </row>
    <row r="590">
      <c r="A590" s="10" t="inlineStr">
        <is>
          <t>HPMC 15cps (Hypromellose)</t>
        </is>
      </c>
      <c r="B590" s="10" t="inlineStr">
        <is>
          <t>RM</t>
        </is>
      </c>
      <c r="C590" s="10" t="inlineStr">
        <is>
          <t>Binder / Coating Polymer</t>
        </is>
      </c>
      <c r="D590" s="10" t="inlineStr">
        <is>
          <t>Appearance / description and solubility</t>
        </is>
      </c>
      <c r="E590" s="10">
        <f>IF(A590="","",A590&amp;"|"&amp;D590)</f>
        <v/>
      </c>
      <c r="F590" s="5" t="inlineStr">
        <is>
          <t>Y</t>
        </is>
      </c>
      <c r="G590" s="5" t="inlineStr">
        <is>
          <t>Other / bench</t>
        </is>
      </c>
      <c r="H590" s="5" t="inlineStr">
        <is>
          <t>Low</t>
        </is>
      </c>
      <c r="I590" s="5" t="n">
        <v>1</v>
      </c>
      <c r="J590" s="5" t="n"/>
      <c r="K590" s="10">
        <f>IFERROR(IF(INDEX('Test catalog'!$F$2:$F$200,MATCH($AB590,'Test catalog'!$A$2:$A$200,0))="","",INDEX('Test catalog'!$F$2:$F$200,MATCH($AB590,'Test catalog'!$A$2:$A$200,0))),"")</f>
        <v/>
      </c>
      <c r="L590" s="10">
        <f>IFERROR(IF(INDEX('Test catalog'!$G$2:$G$200,MATCH($AB590,'Test catalog'!$A$2:$A$200,0))="","",INDEX('Test catalog'!$G$2:$G$200,MATCH($AB590,'Test catalog'!$A$2:$A$200,0))),"")</f>
        <v/>
      </c>
      <c r="M590" s="10">
        <f>IFERROR(IF(INDEX('Test catalog'!$H$2:$H$200,MATCH($AB590,'Test catalog'!$A$2:$A$200,0))="","",INDEX('Test catalog'!$H$2:$H$200,MATCH($AB590,'Test catalog'!$A$2:$A$200,0))),"")</f>
        <v/>
      </c>
      <c r="N590" s="10">
        <f>IFERROR(IF(INDEX('Test catalog'!$I$2:$I$200,MATCH($AB590,'Test catalog'!$A$2:$A$200,0))="","",INDEX('Test catalog'!$I$2:$I$200,MATCH($AB590,'Test catalog'!$A$2:$A$200,0))),"")</f>
        <v/>
      </c>
      <c r="O590" s="10">
        <f>IFERROR(IF(INDEX('Test catalog'!$J$2:$J$200,MATCH($AB590,'Test catalog'!$A$2:$A$200,0))="","",INDEX('Test catalog'!$J$2:$J$200,MATCH($AB590,'Test catalog'!$A$2:$A$200,0))),"")</f>
        <v/>
      </c>
      <c r="P590" s="14">
        <f>IF(N590="","",IF(OR(M590="",O590=""),N590,(M590+4*N590+O590)/6))</f>
        <v/>
      </c>
      <c r="Q590" s="10">
        <f>IFERROR(IF(INDEX('Test catalog'!$K$2:$K$200,MATCH($AB590,'Test catalog'!$A$2:$A$200,0))="","",INDEX('Test catalog'!$K$2:$K$200,MATCH($AB590,'Test catalog'!$A$2:$A$200,0))),"")</f>
        <v/>
      </c>
      <c r="R590" s="5" t="n"/>
      <c r="S590" s="10">
        <f>IFERROR(IF(INDEX('Test catalog'!$L$2:$L$200,MATCH($AB590,'Test catalog'!$A$2:$A$200,0))="","",INDEX('Test catalog'!$L$2:$L$200,MATCH($AB590,'Test catalog'!$A$2:$A$200,0))),"")</f>
        <v/>
      </c>
      <c r="T590" s="10">
        <f>IFERROR(IF(INDEX('Test catalog'!$M$2:$M$200,MATCH($AB590,'Test catalog'!$A$2:$A$200,0))="","",INDEX('Test catalog'!$M$2:$M$200,MATCH($AB590,'Test catalog'!$A$2:$A$200,0))),"")</f>
        <v/>
      </c>
      <c r="U590" s="10">
        <f>IFERROR(IF(INDEX('Test catalog'!$N$2:$N$200,MATCH($AB590,'Test catalog'!$A$2:$A$200,0))="","",INDEX('Test catalog'!$N$2:$N$200,MATCH($AB590,'Test catalog'!$A$2:$A$200,0))),"")</f>
        <v/>
      </c>
      <c r="V590" s="15" t="n"/>
      <c r="W590" s="5" t="inlineStr">
        <is>
          <t>N</t>
        </is>
      </c>
      <c r="X590" s="5" t="n"/>
      <c r="Y590" s="5" t="n"/>
      <c r="Z590" s="5" t="n"/>
      <c r="AA590" s="10">
        <f>IFERROR(IF(INDEX('Test catalog'!$O$2:$O$200,MATCH($AB590,'Test catalog'!$A$2:$A$200,0))="","",INDEX('Test catalog'!$O$2:$O$200,MATCH($AB590,'Test catalog'!$A$2:$A$200,0))),"")</f>
        <v/>
      </c>
      <c r="AB590" s="10" t="inlineStr">
        <is>
          <t>APPEAR</t>
        </is>
      </c>
      <c r="AC590" s="10" t="inlineStr">
        <is>
          <t>Lab practice (not a USP test)</t>
        </is>
      </c>
      <c r="AD590" s="10" t="n"/>
      <c r="AE590" s="10" t="n"/>
    </row>
    <row r="591">
      <c r="A591" s="10" t="inlineStr">
        <is>
          <t>HPMC 15cps (Hypromellose)</t>
        </is>
      </c>
      <c r="B591" s="10" t="inlineStr">
        <is>
          <t>RM</t>
        </is>
      </c>
      <c r="C591" s="10" t="inlineStr">
        <is>
          <t>Binder / Coating Polymer</t>
        </is>
      </c>
      <c r="D591" s="10" t="inlineStr">
        <is>
          <t>ID A - chemical reaction</t>
        </is>
      </c>
      <c r="E591" s="10">
        <f>IF(A591="","",A591&amp;"|"&amp;D591)</f>
        <v/>
      </c>
      <c r="F591" s="5" t="inlineStr">
        <is>
          <t>Y</t>
        </is>
      </c>
      <c r="G591" s="5" t="inlineStr">
        <is>
          <t>Other / bench</t>
        </is>
      </c>
      <c r="H591" s="5" t="inlineStr">
        <is>
          <t>Low</t>
        </is>
      </c>
      <c r="I591" s="5" t="n">
        <v>1</v>
      </c>
      <c r="J591" s="5" t="n"/>
      <c r="K591" s="10">
        <f>IFERROR(IF(INDEX('Test catalog'!$F$2:$F$200,MATCH($AB591,'Test catalog'!$A$2:$A$200,0))="","",INDEX('Test catalog'!$F$2:$F$200,MATCH($AB591,'Test catalog'!$A$2:$A$200,0))),"")</f>
        <v/>
      </c>
      <c r="L591" s="10">
        <f>IFERROR(IF(INDEX('Test catalog'!$G$2:$G$200,MATCH($AB591,'Test catalog'!$A$2:$A$200,0))="","",INDEX('Test catalog'!$G$2:$G$200,MATCH($AB591,'Test catalog'!$A$2:$A$200,0))),"")</f>
        <v/>
      </c>
      <c r="M591" s="10">
        <f>IFERROR(IF(INDEX('Test catalog'!$H$2:$H$200,MATCH($AB591,'Test catalog'!$A$2:$A$200,0))="","",INDEX('Test catalog'!$H$2:$H$200,MATCH($AB591,'Test catalog'!$A$2:$A$200,0))),"")</f>
        <v/>
      </c>
      <c r="N591" s="10">
        <f>IFERROR(IF(INDEX('Test catalog'!$I$2:$I$200,MATCH($AB591,'Test catalog'!$A$2:$A$200,0))="","",INDEX('Test catalog'!$I$2:$I$200,MATCH($AB591,'Test catalog'!$A$2:$A$200,0))),"")</f>
        <v/>
      </c>
      <c r="O591" s="10">
        <f>IFERROR(IF(INDEX('Test catalog'!$J$2:$J$200,MATCH($AB591,'Test catalog'!$A$2:$A$200,0))="","",INDEX('Test catalog'!$J$2:$J$200,MATCH($AB591,'Test catalog'!$A$2:$A$200,0))),"")</f>
        <v/>
      </c>
      <c r="P591" s="14">
        <f>IF(N591="","",IF(OR(M591="",O591=""),N591,(M591+4*N591+O591)/6))</f>
        <v/>
      </c>
      <c r="Q591" s="10">
        <f>IFERROR(IF(INDEX('Test catalog'!$K$2:$K$200,MATCH($AB591,'Test catalog'!$A$2:$A$200,0))="","",INDEX('Test catalog'!$K$2:$K$200,MATCH($AB591,'Test catalog'!$A$2:$A$200,0))),"")</f>
        <v/>
      </c>
      <c r="R591" s="5" t="n"/>
      <c r="S591" s="10">
        <f>IFERROR(IF(INDEX('Test catalog'!$L$2:$L$200,MATCH($AB591,'Test catalog'!$A$2:$A$200,0))="","",INDEX('Test catalog'!$L$2:$L$200,MATCH($AB591,'Test catalog'!$A$2:$A$200,0))),"")</f>
        <v/>
      </c>
      <c r="T591" s="10">
        <f>IFERROR(IF(INDEX('Test catalog'!$M$2:$M$200,MATCH($AB591,'Test catalog'!$A$2:$A$200,0))="","",INDEX('Test catalog'!$M$2:$M$200,MATCH($AB591,'Test catalog'!$A$2:$A$200,0))),"")</f>
        <v/>
      </c>
      <c r="U591" s="10">
        <f>IFERROR(IF(INDEX('Test catalog'!$N$2:$N$200,MATCH($AB591,'Test catalog'!$A$2:$A$200,0))="","",INDEX('Test catalog'!$N$2:$N$200,MATCH($AB591,'Test catalog'!$A$2:$A$200,0))),"")</f>
        <v/>
      </c>
      <c r="V591" s="15" t="n"/>
      <c r="W591" s="5" t="inlineStr">
        <is>
          <t>N</t>
        </is>
      </c>
      <c r="X591" s="5" t="n"/>
      <c r="Y591" s="5" t="n"/>
      <c r="Z591" s="5" t="n"/>
      <c r="AA591" s="10">
        <f>IFERROR(IF(INDEX('Test catalog'!$O$2:$O$200,MATCH($AB591,'Test catalog'!$A$2:$A$200,0))="","",INDEX('Test catalog'!$O$2:$O$200,MATCH($AB591,'Test catalog'!$A$2:$A$200,0))),"")</f>
        <v/>
      </c>
      <c r="AB591" s="10" t="inlineStr">
        <is>
          <t>ID_CHEM</t>
        </is>
      </c>
      <c r="AC591" s="10" t="inlineStr">
        <is>
          <t>Hypromellose · Identification</t>
        </is>
      </c>
      <c r="AD591" s="10" t="n"/>
      <c r="AE591" s="10" t="n"/>
    </row>
    <row r="592">
      <c r="A592" s="10" t="inlineStr">
        <is>
          <t>HPMC 15cps (Hypromellose)</t>
        </is>
      </c>
      <c r="B592" s="10" t="inlineStr">
        <is>
          <t>RM</t>
        </is>
      </c>
      <c r="C592" s="10" t="inlineStr">
        <is>
          <t>Binder / Coating Polymer</t>
        </is>
      </c>
      <c r="D592" s="10" t="inlineStr">
        <is>
          <t>ID B - chemical reaction</t>
        </is>
      </c>
      <c r="E592" s="10">
        <f>IF(A592="","",A592&amp;"|"&amp;D592)</f>
        <v/>
      </c>
      <c r="F592" s="5" t="inlineStr">
        <is>
          <t>Y</t>
        </is>
      </c>
      <c r="G592" s="5" t="inlineStr">
        <is>
          <t>Other / bench</t>
        </is>
      </c>
      <c r="H592" s="5" t="inlineStr">
        <is>
          <t>Low</t>
        </is>
      </c>
      <c r="I592" s="5" t="n">
        <v>1</v>
      </c>
      <c r="J592" s="5" t="n"/>
      <c r="K592" s="10">
        <f>IFERROR(IF(INDEX('Test catalog'!$F$2:$F$200,MATCH($AB592,'Test catalog'!$A$2:$A$200,0))="","",INDEX('Test catalog'!$F$2:$F$200,MATCH($AB592,'Test catalog'!$A$2:$A$200,0))),"")</f>
        <v/>
      </c>
      <c r="L592" s="10">
        <f>IFERROR(IF(INDEX('Test catalog'!$G$2:$G$200,MATCH($AB592,'Test catalog'!$A$2:$A$200,0))="","",INDEX('Test catalog'!$G$2:$G$200,MATCH($AB592,'Test catalog'!$A$2:$A$200,0))),"")</f>
        <v/>
      </c>
      <c r="M592" s="10">
        <f>IFERROR(IF(INDEX('Test catalog'!$H$2:$H$200,MATCH($AB592,'Test catalog'!$A$2:$A$200,0))="","",INDEX('Test catalog'!$H$2:$H$200,MATCH($AB592,'Test catalog'!$A$2:$A$200,0))),"")</f>
        <v/>
      </c>
      <c r="N592" s="10">
        <f>IFERROR(IF(INDEX('Test catalog'!$I$2:$I$200,MATCH($AB592,'Test catalog'!$A$2:$A$200,0))="","",INDEX('Test catalog'!$I$2:$I$200,MATCH($AB592,'Test catalog'!$A$2:$A$200,0))),"")</f>
        <v/>
      </c>
      <c r="O592" s="10">
        <f>IFERROR(IF(INDEX('Test catalog'!$J$2:$J$200,MATCH($AB592,'Test catalog'!$A$2:$A$200,0))="","",INDEX('Test catalog'!$J$2:$J$200,MATCH($AB592,'Test catalog'!$A$2:$A$200,0))),"")</f>
        <v/>
      </c>
      <c r="P592" s="14">
        <f>IF(N592="","",IF(OR(M592="",O592=""),N592,(M592+4*N592+O592)/6))</f>
        <v/>
      </c>
      <c r="Q592" s="10">
        <f>IFERROR(IF(INDEX('Test catalog'!$K$2:$K$200,MATCH($AB592,'Test catalog'!$A$2:$A$200,0))="","",INDEX('Test catalog'!$K$2:$K$200,MATCH($AB592,'Test catalog'!$A$2:$A$200,0))),"")</f>
        <v/>
      </c>
      <c r="R592" s="5" t="n"/>
      <c r="S592" s="10">
        <f>IFERROR(IF(INDEX('Test catalog'!$L$2:$L$200,MATCH($AB592,'Test catalog'!$A$2:$A$200,0))="","",INDEX('Test catalog'!$L$2:$L$200,MATCH($AB592,'Test catalog'!$A$2:$A$200,0))),"")</f>
        <v/>
      </c>
      <c r="T592" s="10">
        <f>IFERROR(IF(INDEX('Test catalog'!$M$2:$M$200,MATCH($AB592,'Test catalog'!$A$2:$A$200,0))="","",INDEX('Test catalog'!$M$2:$M$200,MATCH($AB592,'Test catalog'!$A$2:$A$200,0))),"")</f>
        <v/>
      </c>
      <c r="U592" s="10">
        <f>IFERROR(IF(INDEX('Test catalog'!$N$2:$N$200,MATCH($AB592,'Test catalog'!$A$2:$A$200,0))="","",INDEX('Test catalog'!$N$2:$N$200,MATCH($AB592,'Test catalog'!$A$2:$A$200,0))),"")</f>
        <v/>
      </c>
      <c r="V592" s="15" t="n"/>
      <c r="W592" s="5" t="inlineStr">
        <is>
          <t>N</t>
        </is>
      </c>
      <c r="X592" s="5" t="n"/>
      <c r="Y592" s="5" t="n"/>
      <c r="Z592" s="5" t="n"/>
      <c r="AA592" s="10">
        <f>IFERROR(IF(INDEX('Test catalog'!$O$2:$O$200,MATCH($AB592,'Test catalog'!$A$2:$A$200,0))="","",INDEX('Test catalog'!$O$2:$O$200,MATCH($AB592,'Test catalog'!$A$2:$A$200,0))),"")</f>
        <v/>
      </c>
      <c r="AB592" s="10" t="inlineStr">
        <is>
          <t>ID_CHEM</t>
        </is>
      </c>
      <c r="AC592" s="10" t="inlineStr">
        <is>
          <t>Hypromellose · Identification</t>
        </is>
      </c>
      <c r="AD592" s="10" t="n"/>
      <c r="AE592" s="10" t="n"/>
    </row>
    <row r="593">
      <c r="A593" s="10" t="inlineStr">
        <is>
          <t>HPMC 15cps (Hypromellose)</t>
        </is>
      </c>
      <c r="B593" s="10" t="inlineStr">
        <is>
          <t>RM</t>
        </is>
      </c>
      <c r="C593" s="10" t="inlineStr">
        <is>
          <t>Binder / Coating Polymer</t>
        </is>
      </c>
      <c r="D593" s="10" t="inlineStr">
        <is>
          <t>ID C - chemical reaction</t>
        </is>
      </c>
      <c r="E593" s="10">
        <f>IF(A593="","",A593&amp;"|"&amp;D593)</f>
        <v/>
      </c>
      <c r="F593" s="5" t="inlineStr">
        <is>
          <t>Y</t>
        </is>
      </c>
      <c r="G593" s="5" t="inlineStr">
        <is>
          <t>Other / bench</t>
        </is>
      </c>
      <c r="H593" s="5" t="inlineStr">
        <is>
          <t>Low</t>
        </is>
      </c>
      <c r="I593" s="5" t="n">
        <v>1</v>
      </c>
      <c r="J593" s="5" t="n"/>
      <c r="K593" s="10">
        <f>IFERROR(IF(INDEX('Test catalog'!$F$2:$F$200,MATCH($AB593,'Test catalog'!$A$2:$A$200,0))="","",INDEX('Test catalog'!$F$2:$F$200,MATCH($AB593,'Test catalog'!$A$2:$A$200,0))),"")</f>
        <v/>
      </c>
      <c r="L593" s="10">
        <f>IFERROR(IF(INDEX('Test catalog'!$G$2:$G$200,MATCH($AB593,'Test catalog'!$A$2:$A$200,0))="","",INDEX('Test catalog'!$G$2:$G$200,MATCH($AB593,'Test catalog'!$A$2:$A$200,0))),"")</f>
        <v/>
      </c>
      <c r="M593" s="10">
        <f>IFERROR(IF(INDEX('Test catalog'!$H$2:$H$200,MATCH($AB593,'Test catalog'!$A$2:$A$200,0))="","",INDEX('Test catalog'!$H$2:$H$200,MATCH($AB593,'Test catalog'!$A$2:$A$200,0))),"")</f>
        <v/>
      </c>
      <c r="N593" s="10">
        <f>IFERROR(IF(INDEX('Test catalog'!$I$2:$I$200,MATCH($AB593,'Test catalog'!$A$2:$A$200,0))="","",INDEX('Test catalog'!$I$2:$I$200,MATCH($AB593,'Test catalog'!$A$2:$A$200,0))),"")</f>
        <v/>
      </c>
      <c r="O593" s="10">
        <f>IFERROR(IF(INDEX('Test catalog'!$J$2:$J$200,MATCH($AB593,'Test catalog'!$A$2:$A$200,0))="","",INDEX('Test catalog'!$J$2:$J$200,MATCH($AB593,'Test catalog'!$A$2:$A$200,0))),"")</f>
        <v/>
      </c>
      <c r="P593" s="14">
        <f>IF(N593="","",IF(OR(M593="",O593=""),N593,(M593+4*N593+O593)/6))</f>
        <v/>
      </c>
      <c r="Q593" s="10">
        <f>IFERROR(IF(INDEX('Test catalog'!$K$2:$K$200,MATCH($AB593,'Test catalog'!$A$2:$A$200,0))="","",INDEX('Test catalog'!$K$2:$K$200,MATCH($AB593,'Test catalog'!$A$2:$A$200,0))),"")</f>
        <v/>
      </c>
      <c r="R593" s="5" t="n"/>
      <c r="S593" s="10">
        <f>IFERROR(IF(INDEX('Test catalog'!$L$2:$L$200,MATCH($AB593,'Test catalog'!$A$2:$A$200,0))="","",INDEX('Test catalog'!$L$2:$L$200,MATCH($AB593,'Test catalog'!$A$2:$A$200,0))),"")</f>
        <v/>
      </c>
      <c r="T593" s="10">
        <f>IFERROR(IF(INDEX('Test catalog'!$M$2:$M$200,MATCH($AB593,'Test catalog'!$A$2:$A$200,0))="","",INDEX('Test catalog'!$M$2:$M$200,MATCH($AB593,'Test catalog'!$A$2:$A$200,0))),"")</f>
        <v/>
      </c>
      <c r="U593" s="10">
        <f>IFERROR(IF(INDEX('Test catalog'!$N$2:$N$200,MATCH($AB593,'Test catalog'!$A$2:$A$200,0))="","",INDEX('Test catalog'!$N$2:$N$200,MATCH($AB593,'Test catalog'!$A$2:$A$200,0))),"")</f>
        <v/>
      </c>
      <c r="V593" s="15" t="n"/>
      <c r="W593" s="5" t="inlineStr">
        <is>
          <t>N</t>
        </is>
      </c>
      <c r="X593" s="5" t="n"/>
      <c r="Y593" s="5" t="n"/>
      <c r="Z593" s="5" t="n"/>
      <c r="AA593" s="10">
        <f>IFERROR(IF(INDEX('Test catalog'!$O$2:$O$200,MATCH($AB593,'Test catalog'!$A$2:$A$200,0))="","",INDEX('Test catalog'!$O$2:$O$200,MATCH($AB593,'Test catalog'!$A$2:$A$200,0))),"")</f>
        <v/>
      </c>
      <c r="AB593" s="10" t="inlineStr">
        <is>
          <t>ID_CHEM</t>
        </is>
      </c>
      <c r="AC593" s="10" t="inlineStr">
        <is>
          <t>Hypromellose · Identification</t>
        </is>
      </c>
      <c r="AD593" s="10" t="n"/>
      <c r="AE593" s="10" t="n"/>
    </row>
    <row r="594">
      <c r="A594" s="10" t="inlineStr">
        <is>
          <t>HPMC 15cps (Hypromellose)</t>
        </is>
      </c>
      <c r="B594" s="10" t="inlineStr">
        <is>
          <t>RM</t>
        </is>
      </c>
      <c r="C594" s="10" t="inlineStr">
        <is>
          <t>Binder / Coating Polymer</t>
        </is>
      </c>
      <c r="D594" s="10" t="inlineStr">
        <is>
          <t>ID D - chemical reaction</t>
        </is>
      </c>
      <c r="E594" s="10">
        <f>IF(A594="","",A594&amp;"|"&amp;D594)</f>
        <v/>
      </c>
      <c r="F594" s="5" t="inlineStr">
        <is>
          <t>Y</t>
        </is>
      </c>
      <c r="G594" s="5" t="inlineStr">
        <is>
          <t>Other / bench</t>
        </is>
      </c>
      <c r="H594" s="5" t="inlineStr">
        <is>
          <t>Low</t>
        </is>
      </c>
      <c r="I594" s="5" t="n">
        <v>1</v>
      </c>
      <c r="J594" s="5" t="n"/>
      <c r="K594" s="10">
        <f>IFERROR(IF(INDEX('Test catalog'!$F$2:$F$200,MATCH($AB594,'Test catalog'!$A$2:$A$200,0))="","",INDEX('Test catalog'!$F$2:$F$200,MATCH($AB594,'Test catalog'!$A$2:$A$200,0))),"")</f>
        <v/>
      </c>
      <c r="L594" s="10">
        <f>IFERROR(IF(INDEX('Test catalog'!$G$2:$G$200,MATCH($AB594,'Test catalog'!$A$2:$A$200,0))="","",INDEX('Test catalog'!$G$2:$G$200,MATCH($AB594,'Test catalog'!$A$2:$A$200,0))),"")</f>
        <v/>
      </c>
      <c r="M594" s="10">
        <f>IFERROR(IF(INDEX('Test catalog'!$H$2:$H$200,MATCH($AB594,'Test catalog'!$A$2:$A$200,0))="","",INDEX('Test catalog'!$H$2:$H$200,MATCH($AB594,'Test catalog'!$A$2:$A$200,0))),"")</f>
        <v/>
      </c>
      <c r="N594" s="10">
        <f>IFERROR(IF(INDEX('Test catalog'!$I$2:$I$200,MATCH($AB594,'Test catalog'!$A$2:$A$200,0))="","",INDEX('Test catalog'!$I$2:$I$200,MATCH($AB594,'Test catalog'!$A$2:$A$200,0))),"")</f>
        <v/>
      </c>
      <c r="O594" s="10">
        <f>IFERROR(IF(INDEX('Test catalog'!$J$2:$J$200,MATCH($AB594,'Test catalog'!$A$2:$A$200,0))="","",INDEX('Test catalog'!$J$2:$J$200,MATCH($AB594,'Test catalog'!$A$2:$A$200,0))),"")</f>
        <v/>
      </c>
      <c r="P594" s="14">
        <f>IF(N594="","",IF(OR(M594="",O594=""),N594,(M594+4*N594+O594)/6))</f>
        <v/>
      </c>
      <c r="Q594" s="10">
        <f>IFERROR(IF(INDEX('Test catalog'!$K$2:$K$200,MATCH($AB594,'Test catalog'!$A$2:$A$200,0))="","",INDEX('Test catalog'!$K$2:$K$200,MATCH($AB594,'Test catalog'!$A$2:$A$200,0))),"")</f>
        <v/>
      </c>
      <c r="R594" s="5" t="n"/>
      <c r="S594" s="10">
        <f>IFERROR(IF(INDEX('Test catalog'!$L$2:$L$200,MATCH($AB594,'Test catalog'!$A$2:$A$200,0))="","",INDEX('Test catalog'!$L$2:$L$200,MATCH($AB594,'Test catalog'!$A$2:$A$200,0))),"")</f>
        <v/>
      </c>
      <c r="T594" s="10">
        <f>IFERROR(IF(INDEX('Test catalog'!$M$2:$M$200,MATCH($AB594,'Test catalog'!$A$2:$A$200,0))="","",INDEX('Test catalog'!$M$2:$M$200,MATCH($AB594,'Test catalog'!$A$2:$A$200,0))),"")</f>
        <v/>
      </c>
      <c r="U594" s="10">
        <f>IFERROR(IF(INDEX('Test catalog'!$N$2:$N$200,MATCH($AB594,'Test catalog'!$A$2:$A$200,0))="","",INDEX('Test catalog'!$N$2:$N$200,MATCH($AB594,'Test catalog'!$A$2:$A$200,0))),"")</f>
        <v/>
      </c>
      <c r="V594" s="15" t="n"/>
      <c r="W594" s="5" t="inlineStr">
        <is>
          <t>N</t>
        </is>
      </c>
      <c r="X594" s="5" t="n"/>
      <c r="Y594" s="5" t="n"/>
      <c r="Z594" s="5" t="n"/>
      <c r="AA594" s="10">
        <f>IFERROR(IF(INDEX('Test catalog'!$O$2:$O$200,MATCH($AB594,'Test catalog'!$A$2:$A$200,0))="","",INDEX('Test catalog'!$O$2:$O$200,MATCH($AB594,'Test catalog'!$A$2:$A$200,0))),"")</f>
        <v/>
      </c>
      <c r="AB594" s="10" t="inlineStr">
        <is>
          <t>ID_CHEM</t>
        </is>
      </c>
      <c r="AC594" s="10" t="inlineStr">
        <is>
          <t>Hypromellose · Identification</t>
        </is>
      </c>
      <c r="AD594" s="10" t="n"/>
      <c r="AE594" s="10" t="n"/>
    </row>
    <row r="595">
      <c r="A595" s="10" t="inlineStr">
        <is>
          <t>HPMC 15cps (Hypromellose)</t>
        </is>
      </c>
      <c r="B595" s="10" t="inlineStr">
        <is>
          <t>RM</t>
        </is>
      </c>
      <c r="C595" s="10" t="inlineStr">
        <is>
          <t>Binder / Coating Polymer</t>
        </is>
      </c>
      <c r="D595" s="10" t="inlineStr">
        <is>
          <t>ID E - chemical reaction</t>
        </is>
      </c>
      <c r="E595" s="10">
        <f>IF(A595="","",A595&amp;"|"&amp;D595)</f>
        <v/>
      </c>
      <c r="F595" s="5" t="inlineStr">
        <is>
          <t>Y</t>
        </is>
      </c>
      <c r="G595" s="5" t="inlineStr">
        <is>
          <t>Other / bench</t>
        </is>
      </c>
      <c r="H595" s="5" t="inlineStr">
        <is>
          <t>Low</t>
        </is>
      </c>
      <c r="I595" s="5" t="n">
        <v>1</v>
      </c>
      <c r="J595" s="5" t="n"/>
      <c r="K595" s="10">
        <f>IFERROR(IF(INDEX('Test catalog'!$F$2:$F$200,MATCH($AB595,'Test catalog'!$A$2:$A$200,0))="","",INDEX('Test catalog'!$F$2:$F$200,MATCH($AB595,'Test catalog'!$A$2:$A$200,0))),"")</f>
        <v/>
      </c>
      <c r="L595" s="10">
        <f>IFERROR(IF(INDEX('Test catalog'!$G$2:$G$200,MATCH($AB595,'Test catalog'!$A$2:$A$200,0))="","",INDEX('Test catalog'!$G$2:$G$200,MATCH($AB595,'Test catalog'!$A$2:$A$200,0))),"")</f>
        <v/>
      </c>
      <c r="M595" s="10">
        <f>IFERROR(IF(INDEX('Test catalog'!$H$2:$H$200,MATCH($AB595,'Test catalog'!$A$2:$A$200,0))="","",INDEX('Test catalog'!$H$2:$H$200,MATCH($AB595,'Test catalog'!$A$2:$A$200,0))),"")</f>
        <v/>
      </c>
      <c r="N595" s="10">
        <f>IFERROR(IF(INDEX('Test catalog'!$I$2:$I$200,MATCH($AB595,'Test catalog'!$A$2:$A$200,0))="","",INDEX('Test catalog'!$I$2:$I$200,MATCH($AB595,'Test catalog'!$A$2:$A$200,0))),"")</f>
        <v/>
      </c>
      <c r="O595" s="10">
        <f>IFERROR(IF(INDEX('Test catalog'!$J$2:$J$200,MATCH($AB595,'Test catalog'!$A$2:$A$200,0))="","",INDEX('Test catalog'!$J$2:$J$200,MATCH($AB595,'Test catalog'!$A$2:$A$200,0))),"")</f>
        <v/>
      </c>
      <c r="P595" s="14">
        <f>IF(N595="","",IF(OR(M595="",O595=""),N595,(M595+4*N595+O595)/6))</f>
        <v/>
      </c>
      <c r="Q595" s="10">
        <f>IFERROR(IF(INDEX('Test catalog'!$K$2:$K$200,MATCH($AB595,'Test catalog'!$A$2:$A$200,0))="","",INDEX('Test catalog'!$K$2:$K$200,MATCH($AB595,'Test catalog'!$A$2:$A$200,0))),"")</f>
        <v/>
      </c>
      <c r="R595" s="5" t="n"/>
      <c r="S595" s="10">
        <f>IFERROR(IF(INDEX('Test catalog'!$L$2:$L$200,MATCH($AB595,'Test catalog'!$A$2:$A$200,0))="","",INDEX('Test catalog'!$L$2:$L$200,MATCH($AB595,'Test catalog'!$A$2:$A$200,0))),"")</f>
        <v/>
      </c>
      <c r="T595" s="10">
        <f>IFERROR(IF(INDEX('Test catalog'!$M$2:$M$200,MATCH($AB595,'Test catalog'!$A$2:$A$200,0))="","",INDEX('Test catalog'!$M$2:$M$200,MATCH($AB595,'Test catalog'!$A$2:$A$200,0))),"")</f>
        <v/>
      </c>
      <c r="U595" s="10">
        <f>IFERROR(IF(INDEX('Test catalog'!$N$2:$N$200,MATCH($AB595,'Test catalog'!$A$2:$A$200,0))="","",INDEX('Test catalog'!$N$2:$N$200,MATCH($AB595,'Test catalog'!$A$2:$A$200,0))),"")</f>
        <v/>
      </c>
      <c r="V595" s="15" t="n"/>
      <c r="W595" s="5" t="inlineStr">
        <is>
          <t>N</t>
        </is>
      </c>
      <c r="X595" s="5" t="n"/>
      <c r="Y595" s="5" t="n"/>
      <c r="Z595" s="5" t="n"/>
      <c r="AA595" s="10">
        <f>IFERROR(IF(INDEX('Test catalog'!$O$2:$O$200,MATCH($AB595,'Test catalog'!$A$2:$A$200,0))="","",INDEX('Test catalog'!$O$2:$O$200,MATCH($AB595,'Test catalog'!$A$2:$A$200,0))),"")</f>
        <v/>
      </c>
      <c r="AB595" s="10" t="inlineStr">
        <is>
          <t>ID_CHEM</t>
        </is>
      </c>
      <c r="AC595" s="10" t="inlineStr">
        <is>
          <t>Hypromellose · Identification</t>
        </is>
      </c>
      <c r="AD595" s="10" t="n"/>
      <c r="AE595" s="10" t="n"/>
    </row>
    <row r="596">
      <c r="A596" s="10" t="inlineStr">
        <is>
          <t>HPMC 15cps (Hypromellose)</t>
        </is>
      </c>
      <c r="B596" s="10" t="inlineStr">
        <is>
          <t>RM</t>
        </is>
      </c>
      <c r="C596" s="10" t="inlineStr">
        <is>
          <t>Binder / Coating Polymer</t>
        </is>
      </c>
      <c r="D596" s="10" t="inlineStr">
        <is>
          <t>Assay (GC)</t>
        </is>
      </c>
      <c r="E596" s="10">
        <f>IF(A596="","",A596&amp;"|"&amp;D596)</f>
        <v/>
      </c>
      <c r="F596" s="5" t="inlineStr">
        <is>
          <t>Y</t>
        </is>
      </c>
      <c r="G596" s="5" t="inlineStr">
        <is>
          <t>GC</t>
        </is>
      </c>
      <c r="H596" s="5" t="inlineStr">
        <is>
          <t>Medium</t>
        </is>
      </c>
      <c r="I596" s="5" t="n">
        <v>1</v>
      </c>
      <c r="J596" s="5" t="n"/>
      <c r="K596" s="5" t="n"/>
      <c r="L596" s="5" t="n"/>
      <c r="M596" s="5" t="n"/>
      <c r="N596" s="5" t="n"/>
      <c r="O596" s="5" t="n"/>
      <c r="P596" s="14">
        <f>IF(N596="","",IF(OR(M596="",O596=""),N596,(M596+4*N596+O596)/6))</f>
        <v/>
      </c>
      <c r="Q596" s="5" t="n"/>
      <c r="R596" s="5" t="n"/>
      <c r="S596" s="5" t="n"/>
      <c r="T596" s="5" t="n"/>
      <c r="U596" s="5" t="n"/>
      <c r="V596" s="15" t="n"/>
      <c r="W596" s="5" t="inlineStr">
        <is>
          <t>N</t>
        </is>
      </c>
      <c r="X596" s="5" t="n"/>
      <c r="Y596" s="5" t="n"/>
      <c r="Z596" s="5" t="inlineStr">
        <is>
          <t>Alternative assays - keep only the one you run</t>
        </is>
      </c>
      <c r="AA596" s="5" t="n"/>
      <c r="AB596" s="10" t="n"/>
      <c r="AC596" s="10" t="inlineStr">
        <is>
          <t>Hypromellose · Assay</t>
        </is>
      </c>
      <c r="AD596" s="10" t="n"/>
      <c r="AE596" s="10" t="n"/>
    </row>
    <row r="597">
      <c r="A597" s="10" t="inlineStr">
        <is>
          <t>HPMC 15cps (Hypromellose)</t>
        </is>
      </c>
      <c r="B597" s="10" t="inlineStr">
        <is>
          <t>RM</t>
        </is>
      </c>
      <c r="C597" s="10" t="inlineStr">
        <is>
          <t>Binder / Coating Polymer</t>
        </is>
      </c>
      <c r="D597" s="10" t="inlineStr">
        <is>
          <t>Residue on Ignition</t>
        </is>
      </c>
      <c r="E597" s="10">
        <f>IF(A597="","",A597&amp;"|"&amp;D597)</f>
        <v/>
      </c>
      <c r="F597" s="5" t="inlineStr">
        <is>
          <t>Y</t>
        </is>
      </c>
      <c r="G597" s="5" t="inlineStr">
        <is>
          <t>Other / bench</t>
        </is>
      </c>
      <c r="H597" s="5" t="inlineStr">
        <is>
          <t>Low</t>
        </is>
      </c>
      <c r="I597" s="5" t="n">
        <v>1</v>
      </c>
      <c r="J597" s="5" t="n"/>
      <c r="K597" s="10">
        <f>IFERROR(IF(INDEX('Test catalog'!$F$2:$F$200,MATCH($AB597,'Test catalog'!$A$2:$A$200,0))="","",INDEX('Test catalog'!$F$2:$F$200,MATCH($AB597,'Test catalog'!$A$2:$A$200,0))),"")</f>
        <v/>
      </c>
      <c r="L597" s="10">
        <f>IFERROR(IF(INDEX('Test catalog'!$G$2:$G$200,MATCH($AB597,'Test catalog'!$A$2:$A$200,0))="","",INDEX('Test catalog'!$G$2:$G$200,MATCH($AB597,'Test catalog'!$A$2:$A$200,0))),"")</f>
        <v/>
      </c>
      <c r="M597" s="10">
        <f>IFERROR(IF(INDEX('Test catalog'!$H$2:$H$200,MATCH($AB597,'Test catalog'!$A$2:$A$200,0))="","",INDEX('Test catalog'!$H$2:$H$200,MATCH($AB597,'Test catalog'!$A$2:$A$200,0))),"")</f>
        <v/>
      </c>
      <c r="N597" s="10">
        <f>IFERROR(IF(INDEX('Test catalog'!$I$2:$I$200,MATCH($AB597,'Test catalog'!$A$2:$A$200,0))="","",INDEX('Test catalog'!$I$2:$I$200,MATCH($AB597,'Test catalog'!$A$2:$A$200,0))),"")</f>
        <v/>
      </c>
      <c r="O597" s="10">
        <f>IFERROR(IF(INDEX('Test catalog'!$J$2:$J$200,MATCH($AB597,'Test catalog'!$A$2:$A$200,0))="","",INDEX('Test catalog'!$J$2:$J$200,MATCH($AB597,'Test catalog'!$A$2:$A$200,0))),"")</f>
        <v/>
      </c>
      <c r="P597" s="14">
        <f>IF(N597="","",IF(OR(M597="",O597=""),N597,(M597+4*N597+O597)/6))</f>
        <v/>
      </c>
      <c r="Q597" s="10">
        <f>IFERROR(IF(INDEX('Test catalog'!$K$2:$K$200,MATCH($AB597,'Test catalog'!$A$2:$A$200,0))="","",INDEX('Test catalog'!$K$2:$K$200,MATCH($AB597,'Test catalog'!$A$2:$A$200,0))),"")</f>
        <v/>
      </c>
      <c r="R597" s="5" t="n"/>
      <c r="S597" s="10">
        <f>IFERROR(IF(INDEX('Test catalog'!$L$2:$L$200,MATCH($AB597,'Test catalog'!$A$2:$A$200,0))="","",INDEX('Test catalog'!$L$2:$L$200,MATCH($AB597,'Test catalog'!$A$2:$A$200,0))),"")</f>
        <v/>
      </c>
      <c r="T597" s="10">
        <f>IFERROR(IF(INDEX('Test catalog'!$M$2:$M$200,MATCH($AB597,'Test catalog'!$A$2:$A$200,0))="","",INDEX('Test catalog'!$M$2:$M$200,MATCH($AB597,'Test catalog'!$A$2:$A$200,0))),"")</f>
        <v/>
      </c>
      <c r="U597" s="10">
        <f>IFERROR(IF(INDEX('Test catalog'!$N$2:$N$200,MATCH($AB597,'Test catalog'!$A$2:$A$200,0))="","",INDEX('Test catalog'!$N$2:$N$200,MATCH($AB597,'Test catalog'!$A$2:$A$200,0))),"")</f>
        <v/>
      </c>
      <c r="V597" s="15" t="n"/>
      <c r="W597" s="5" t="inlineStr">
        <is>
          <t>N</t>
        </is>
      </c>
      <c r="X597" s="5" t="n"/>
      <c r="Y597" s="5" t="n"/>
      <c r="Z597" s="5" t="inlineStr">
        <is>
          <t>Alternative assays - keep only the one you run</t>
        </is>
      </c>
      <c r="AA597" s="10">
        <f>IFERROR(IF(INDEX('Test catalog'!$O$2:$O$200,MATCH($AB597,'Test catalog'!$A$2:$A$200,0))="","",INDEX('Test catalog'!$O$2:$O$200,MATCH($AB597,'Test catalog'!$A$2:$A$200,0))),"")</f>
        <v/>
      </c>
      <c r="AB597" s="10" t="inlineStr">
        <is>
          <t>ROI</t>
        </is>
      </c>
      <c r="AC597" s="10" t="inlineStr">
        <is>
          <t>Hypromellose · Assay &lt;281&gt;</t>
        </is>
      </c>
      <c r="AD597" s="10" t="n"/>
      <c r="AE597" s="10" t="n"/>
    </row>
    <row r="598">
      <c r="A598" s="10" t="inlineStr">
        <is>
          <t>HPMC 15cps (Hypromellose)</t>
        </is>
      </c>
      <c r="B598" s="10" t="inlineStr">
        <is>
          <t>RM</t>
        </is>
      </c>
      <c r="C598" s="10" t="inlineStr">
        <is>
          <t>Binder / Coating Polymer</t>
        </is>
      </c>
      <c r="D598" s="10" t="inlineStr">
        <is>
          <t>pH</t>
        </is>
      </c>
      <c r="E598" s="10">
        <f>IF(A598="","",A598&amp;"|"&amp;D598)</f>
        <v/>
      </c>
      <c r="F598" s="5" t="inlineStr">
        <is>
          <t>Y</t>
        </is>
      </c>
      <c r="G598" s="5" t="inlineStr">
        <is>
          <t>Other / bench</t>
        </is>
      </c>
      <c r="H598" s="5" t="inlineStr">
        <is>
          <t>Low</t>
        </is>
      </c>
      <c r="I598" s="5" t="n">
        <v>1</v>
      </c>
      <c r="J598" s="5" t="n"/>
      <c r="K598" s="10">
        <f>IFERROR(IF(INDEX('Test catalog'!$F$2:$F$200,MATCH($AB598,'Test catalog'!$A$2:$A$200,0))="","",INDEX('Test catalog'!$F$2:$F$200,MATCH($AB598,'Test catalog'!$A$2:$A$200,0))),"")</f>
        <v/>
      </c>
      <c r="L598" s="10">
        <f>IFERROR(IF(INDEX('Test catalog'!$G$2:$G$200,MATCH($AB598,'Test catalog'!$A$2:$A$200,0))="","",INDEX('Test catalog'!$G$2:$G$200,MATCH($AB598,'Test catalog'!$A$2:$A$200,0))),"")</f>
        <v/>
      </c>
      <c r="M598" s="10">
        <f>IFERROR(IF(INDEX('Test catalog'!$H$2:$H$200,MATCH($AB598,'Test catalog'!$A$2:$A$200,0))="","",INDEX('Test catalog'!$H$2:$H$200,MATCH($AB598,'Test catalog'!$A$2:$A$200,0))),"")</f>
        <v/>
      </c>
      <c r="N598" s="10">
        <f>IFERROR(IF(INDEX('Test catalog'!$I$2:$I$200,MATCH($AB598,'Test catalog'!$A$2:$A$200,0))="","",INDEX('Test catalog'!$I$2:$I$200,MATCH($AB598,'Test catalog'!$A$2:$A$200,0))),"")</f>
        <v/>
      </c>
      <c r="O598" s="10">
        <f>IFERROR(IF(INDEX('Test catalog'!$J$2:$J$200,MATCH($AB598,'Test catalog'!$A$2:$A$200,0))="","",INDEX('Test catalog'!$J$2:$J$200,MATCH($AB598,'Test catalog'!$A$2:$A$200,0))),"")</f>
        <v/>
      </c>
      <c r="P598" s="14">
        <f>IF(N598="","",IF(OR(M598="",O598=""),N598,(M598+4*N598+O598)/6))</f>
        <v/>
      </c>
      <c r="Q598" s="10">
        <f>IFERROR(IF(INDEX('Test catalog'!$K$2:$K$200,MATCH($AB598,'Test catalog'!$A$2:$A$200,0))="","",INDEX('Test catalog'!$K$2:$K$200,MATCH($AB598,'Test catalog'!$A$2:$A$200,0))),"")</f>
        <v/>
      </c>
      <c r="R598" s="5" t="n"/>
      <c r="S598" s="10">
        <f>IFERROR(IF(INDEX('Test catalog'!$L$2:$L$200,MATCH($AB598,'Test catalog'!$A$2:$A$200,0))="","",INDEX('Test catalog'!$L$2:$L$200,MATCH($AB598,'Test catalog'!$A$2:$A$200,0))),"")</f>
        <v/>
      </c>
      <c r="T598" s="10">
        <f>IFERROR(IF(INDEX('Test catalog'!$M$2:$M$200,MATCH($AB598,'Test catalog'!$A$2:$A$200,0))="","",INDEX('Test catalog'!$M$2:$M$200,MATCH($AB598,'Test catalog'!$A$2:$A$200,0))),"")</f>
        <v/>
      </c>
      <c r="U598" s="10">
        <f>IFERROR(IF(INDEX('Test catalog'!$N$2:$N$200,MATCH($AB598,'Test catalog'!$A$2:$A$200,0))="","",INDEX('Test catalog'!$N$2:$N$200,MATCH($AB598,'Test catalog'!$A$2:$A$200,0))),"")</f>
        <v/>
      </c>
      <c r="V598" s="15" t="n"/>
      <c r="W598" s="5" t="inlineStr">
        <is>
          <t>N</t>
        </is>
      </c>
      <c r="X598" s="5" t="n"/>
      <c r="Y598" s="5" t="n"/>
      <c r="Z598" s="5" t="n"/>
      <c r="AA598" s="10">
        <f>IFERROR(IF(INDEX('Test catalog'!$O$2:$O$200,MATCH($AB598,'Test catalog'!$A$2:$A$200,0))="","",INDEX('Test catalog'!$O$2:$O$200,MATCH($AB598,'Test catalog'!$A$2:$A$200,0))),"")</f>
        <v/>
      </c>
      <c r="AB598" s="10" t="inlineStr">
        <is>
          <t>PH</t>
        </is>
      </c>
      <c r="AC598" s="10" t="inlineStr">
        <is>
          <t>Hypromellose · Specific Tests &lt;791&gt;</t>
        </is>
      </c>
      <c r="AD598" s="10" t="n"/>
      <c r="AE598" s="10" t="n"/>
    </row>
    <row r="599">
      <c r="A599" s="10" t="inlineStr">
        <is>
          <t>HPMC 15cps (Hypromellose)</t>
        </is>
      </c>
      <c r="B599" s="10" t="inlineStr">
        <is>
          <t>RM</t>
        </is>
      </c>
      <c r="C599" s="10" t="inlineStr">
        <is>
          <t>Binder / Coating Polymer</t>
        </is>
      </c>
      <c r="D599" s="10" t="inlineStr">
        <is>
          <t>Loss on Drying</t>
        </is>
      </c>
      <c r="E599" s="10">
        <f>IF(A599="","",A599&amp;"|"&amp;D599)</f>
        <v/>
      </c>
      <c r="F599" s="5" t="inlineStr">
        <is>
          <t>Y</t>
        </is>
      </c>
      <c r="G599" s="5" t="inlineStr">
        <is>
          <t>Other / bench</t>
        </is>
      </c>
      <c r="H599" s="5" t="inlineStr">
        <is>
          <t>Low</t>
        </is>
      </c>
      <c r="I599" s="5" t="n">
        <v>1</v>
      </c>
      <c r="J599" s="5" t="n"/>
      <c r="K599" s="10">
        <f>IFERROR(IF(INDEX('Test catalog'!$F$2:$F$200,MATCH($AB599,'Test catalog'!$A$2:$A$200,0))="","",INDEX('Test catalog'!$F$2:$F$200,MATCH($AB599,'Test catalog'!$A$2:$A$200,0))),"")</f>
        <v/>
      </c>
      <c r="L599" s="10">
        <f>IFERROR(IF(INDEX('Test catalog'!$G$2:$G$200,MATCH($AB599,'Test catalog'!$A$2:$A$200,0))="","",INDEX('Test catalog'!$G$2:$G$200,MATCH($AB599,'Test catalog'!$A$2:$A$200,0))),"")</f>
        <v/>
      </c>
      <c r="M599" s="10">
        <f>IFERROR(IF(INDEX('Test catalog'!$H$2:$H$200,MATCH($AB599,'Test catalog'!$A$2:$A$200,0))="","",INDEX('Test catalog'!$H$2:$H$200,MATCH($AB599,'Test catalog'!$A$2:$A$200,0))),"")</f>
        <v/>
      </c>
      <c r="N599" s="10">
        <f>IFERROR(IF(INDEX('Test catalog'!$I$2:$I$200,MATCH($AB599,'Test catalog'!$A$2:$A$200,0))="","",INDEX('Test catalog'!$I$2:$I$200,MATCH($AB599,'Test catalog'!$A$2:$A$200,0))),"")</f>
        <v/>
      </c>
      <c r="O599" s="10">
        <f>IFERROR(IF(INDEX('Test catalog'!$J$2:$J$200,MATCH($AB599,'Test catalog'!$A$2:$A$200,0))="","",INDEX('Test catalog'!$J$2:$J$200,MATCH($AB599,'Test catalog'!$A$2:$A$200,0))),"")</f>
        <v/>
      </c>
      <c r="P599" s="14">
        <f>IF(N599="","",IF(OR(M599="",O599=""),N599,(M599+4*N599+O599)/6))</f>
        <v/>
      </c>
      <c r="Q599" s="10">
        <f>IFERROR(IF(INDEX('Test catalog'!$K$2:$K$200,MATCH($AB599,'Test catalog'!$A$2:$A$200,0))="","",INDEX('Test catalog'!$K$2:$K$200,MATCH($AB599,'Test catalog'!$A$2:$A$200,0))),"")</f>
        <v/>
      </c>
      <c r="R599" s="5" t="n"/>
      <c r="S599" s="10">
        <f>IFERROR(IF(INDEX('Test catalog'!$L$2:$L$200,MATCH($AB599,'Test catalog'!$A$2:$A$200,0))="","",INDEX('Test catalog'!$L$2:$L$200,MATCH($AB599,'Test catalog'!$A$2:$A$200,0))),"")</f>
        <v/>
      </c>
      <c r="T599" s="10">
        <f>IFERROR(IF(INDEX('Test catalog'!$M$2:$M$200,MATCH($AB599,'Test catalog'!$A$2:$A$200,0))="","",INDEX('Test catalog'!$M$2:$M$200,MATCH($AB599,'Test catalog'!$A$2:$A$200,0))),"")</f>
        <v/>
      </c>
      <c r="U599" s="10">
        <f>IFERROR(IF(INDEX('Test catalog'!$N$2:$N$200,MATCH($AB599,'Test catalog'!$A$2:$A$200,0))="","",INDEX('Test catalog'!$N$2:$N$200,MATCH($AB599,'Test catalog'!$A$2:$A$200,0))),"")</f>
        <v/>
      </c>
      <c r="V599" s="15" t="n"/>
      <c r="W599" s="5" t="inlineStr">
        <is>
          <t>N</t>
        </is>
      </c>
      <c r="X599" s="5" t="n"/>
      <c r="Y599" s="5" t="n"/>
      <c r="Z599" s="5" t="n"/>
      <c r="AA599" s="10">
        <f>IFERROR(IF(INDEX('Test catalog'!$O$2:$O$200,MATCH($AB599,'Test catalog'!$A$2:$A$200,0))="","",INDEX('Test catalog'!$O$2:$O$200,MATCH($AB599,'Test catalog'!$A$2:$A$200,0))),"")</f>
        <v/>
      </c>
      <c r="AB599" s="10" t="inlineStr">
        <is>
          <t>LOD</t>
        </is>
      </c>
      <c r="AC599" s="10" t="inlineStr">
        <is>
          <t>Hypromellose · Impurities &lt;731&gt;</t>
        </is>
      </c>
      <c r="AD599" s="10" t="n"/>
      <c r="AE599" s="10" t="n"/>
    </row>
    <row r="600">
      <c r="A600" s="10" t="inlineStr">
        <is>
          <t>HPMC 15cps (Hypromellose)</t>
        </is>
      </c>
      <c r="B600" s="10" t="inlineStr">
        <is>
          <t>RM</t>
        </is>
      </c>
      <c r="C600" s="10" t="inlineStr">
        <is>
          <t>Binder / Coating Polymer</t>
        </is>
      </c>
      <c r="D600" s="10" t="inlineStr">
        <is>
          <t>Viscosity—Capillary Methods</t>
        </is>
      </c>
      <c r="E600" s="10">
        <f>IF(A600="","",A600&amp;"|"&amp;D600)</f>
        <v/>
      </c>
      <c r="F600" s="5" t="inlineStr">
        <is>
          <t>Y</t>
        </is>
      </c>
      <c r="G600" s="5" t="inlineStr">
        <is>
          <t>Other / bench</t>
        </is>
      </c>
      <c r="H600" s="5" t="inlineStr">
        <is>
          <t>Low</t>
        </is>
      </c>
      <c r="I600" s="5" t="n">
        <v>1</v>
      </c>
      <c r="J600" s="5" t="n"/>
      <c r="K600" s="10">
        <f>IFERROR(IF(INDEX('Test catalog'!$F$2:$F$200,MATCH($AB600,'Test catalog'!$A$2:$A$200,0))="","",INDEX('Test catalog'!$F$2:$F$200,MATCH($AB600,'Test catalog'!$A$2:$A$200,0))),"")</f>
        <v/>
      </c>
      <c r="L600" s="10">
        <f>IFERROR(IF(INDEX('Test catalog'!$G$2:$G$200,MATCH($AB600,'Test catalog'!$A$2:$A$200,0))="","",INDEX('Test catalog'!$G$2:$G$200,MATCH($AB600,'Test catalog'!$A$2:$A$200,0))),"")</f>
        <v/>
      </c>
      <c r="M600" s="10">
        <f>IFERROR(IF(INDEX('Test catalog'!$H$2:$H$200,MATCH($AB600,'Test catalog'!$A$2:$A$200,0))="","",INDEX('Test catalog'!$H$2:$H$200,MATCH($AB600,'Test catalog'!$A$2:$A$200,0))),"")</f>
        <v/>
      </c>
      <c r="N600" s="10">
        <f>IFERROR(IF(INDEX('Test catalog'!$I$2:$I$200,MATCH($AB600,'Test catalog'!$A$2:$A$200,0))="","",INDEX('Test catalog'!$I$2:$I$200,MATCH($AB600,'Test catalog'!$A$2:$A$200,0))),"")</f>
        <v/>
      </c>
      <c r="O600" s="10">
        <f>IFERROR(IF(INDEX('Test catalog'!$J$2:$J$200,MATCH($AB600,'Test catalog'!$A$2:$A$200,0))="","",INDEX('Test catalog'!$J$2:$J$200,MATCH($AB600,'Test catalog'!$A$2:$A$200,0))),"")</f>
        <v/>
      </c>
      <c r="P600" s="14">
        <f>IF(N600="","",IF(OR(M600="",O600=""),N600,(M600+4*N600+O600)/6))</f>
        <v/>
      </c>
      <c r="Q600" s="10">
        <f>IFERROR(IF(INDEX('Test catalog'!$K$2:$K$200,MATCH($AB600,'Test catalog'!$A$2:$A$200,0))="","",INDEX('Test catalog'!$K$2:$K$200,MATCH($AB600,'Test catalog'!$A$2:$A$200,0))),"")</f>
        <v/>
      </c>
      <c r="R600" s="5" t="n"/>
      <c r="S600" s="10">
        <f>IFERROR(IF(INDEX('Test catalog'!$L$2:$L$200,MATCH($AB600,'Test catalog'!$A$2:$A$200,0))="","",INDEX('Test catalog'!$L$2:$L$200,MATCH($AB600,'Test catalog'!$A$2:$A$200,0))),"")</f>
        <v/>
      </c>
      <c r="T600" s="10">
        <f>IFERROR(IF(INDEX('Test catalog'!$M$2:$M$200,MATCH($AB600,'Test catalog'!$A$2:$A$200,0))="","",INDEX('Test catalog'!$M$2:$M$200,MATCH($AB600,'Test catalog'!$A$2:$A$200,0))),"")</f>
        <v/>
      </c>
      <c r="U600" s="10">
        <f>IFERROR(IF(INDEX('Test catalog'!$N$2:$N$200,MATCH($AB600,'Test catalog'!$A$2:$A$200,0))="","",INDEX('Test catalog'!$N$2:$N$200,MATCH($AB600,'Test catalog'!$A$2:$A$200,0))),"")</f>
        <v/>
      </c>
      <c r="V600" s="15" t="n"/>
      <c r="W600" s="5" t="inlineStr">
        <is>
          <t>N</t>
        </is>
      </c>
      <c r="X600" s="5" t="n"/>
      <c r="Y600" s="5" t="n"/>
      <c r="Z600" s="5" t="n"/>
      <c r="AA600" s="10">
        <f>IFERROR(IF(INDEX('Test catalog'!$O$2:$O$200,MATCH($AB600,'Test catalog'!$A$2:$A$200,0))="","",INDEX('Test catalog'!$O$2:$O$200,MATCH($AB600,'Test catalog'!$A$2:$A$200,0))),"")</f>
        <v/>
      </c>
      <c r="AB600" s="10" t="inlineStr">
        <is>
          <t>VISC</t>
        </is>
      </c>
      <c r="AC600" s="10" t="inlineStr">
        <is>
          <t>Hypromellose · Impurities &lt;911,912&gt;</t>
        </is>
      </c>
      <c r="AD600" s="10" t="n"/>
      <c r="AE600" s="10" t="n"/>
    </row>
    <row r="601">
      <c r="A601" s="10" t="inlineStr">
        <is>
          <t>HPMC 6cps (Hypromellose)</t>
        </is>
      </c>
      <c r="B601" s="10" t="inlineStr">
        <is>
          <t>RM</t>
        </is>
      </c>
      <c r="C601" s="10" t="inlineStr">
        <is>
          <t>Binder / Coating Polymer</t>
        </is>
      </c>
      <c r="D601" s="10" t="inlineStr">
        <is>
          <t>Appearance / description and solubility</t>
        </is>
      </c>
      <c r="E601" s="10">
        <f>IF(A601="","",A601&amp;"|"&amp;D601)</f>
        <v/>
      </c>
      <c r="F601" s="5" t="inlineStr">
        <is>
          <t>Y</t>
        </is>
      </c>
      <c r="G601" s="5" t="inlineStr">
        <is>
          <t>Other / bench</t>
        </is>
      </c>
      <c r="H601" s="5" t="inlineStr">
        <is>
          <t>Low</t>
        </is>
      </c>
      <c r="I601" s="5" t="n">
        <v>1</v>
      </c>
      <c r="J601" s="5" t="n"/>
      <c r="K601" s="10">
        <f>IFERROR(IF(INDEX('Test catalog'!$F$2:$F$200,MATCH($AB601,'Test catalog'!$A$2:$A$200,0))="","",INDEX('Test catalog'!$F$2:$F$200,MATCH($AB601,'Test catalog'!$A$2:$A$200,0))),"")</f>
        <v/>
      </c>
      <c r="L601" s="10">
        <f>IFERROR(IF(INDEX('Test catalog'!$G$2:$G$200,MATCH($AB601,'Test catalog'!$A$2:$A$200,0))="","",INDEX('Test catalog'!$G$2:$G$200,MATCH($AB601,'Test catalog'!$A$2:$A$200,0))),"")</f>
        <v/>
      </c>
      <c r="M601" s="10">
        <f>IFERROR(IF(INDEX('Test catalog'!$H$2:$H$200,MATCH($AB601,'Test catalog'!$A$2:$A$200,0))="","",INDEX('Test catalog'!$H$2:$H$200,MATCH($AB601,'Test catalog'!$A$2:$A$200,0))),"")</f>
        <v/>
      </c>
      <c r="N601" s="10">
        <f>IFERROR(IF(INDEX('Test catalog'!$I$2:$I$200,MATCH($AB601,'Test catalog'!$A$2:$A$200,0))="","",INDEX('Test catalog'!$I$2:$I$200,MATCH($AB601,'Test catalog'!$A$2:$A$200,0))),"")</f>
        <v/>
      </c>
      <c r="O601" s="10">
        <f>IFERROR(IF(INDEX('Test catalog'!$J$2:$J$200,MATCH($AB601,'Test catalog'!$A$2:$A$200,0))="","",INDEX('Test catalog'!$J$2:$J$200,MATCH($AB601,'Test catalog'!$A$2:$A$200,0))),"")</f>
        <v/>
      </c>
      <c r="P601" s="14">
        <f>IF(N601="","",IF(OR(M601="",O601=""),N601,(M601+4*N601+O601)/6))</f>
        <v/>
      </c>
      <c r="Q601" s="10">
        <f>IFERROR(IF(INDEX('Test catalog'!$K$2:$K$200,MATCH($AB601,'Test catalog'!$A$2:$A$200,0))="","",INDEX('Test catalog'!$K$2:$K$200,MATCH($AB601,'Test catalog'!$A$2:$A$200,0))),"")</f>
        <v/>
      </c>
      <c r="R601" s="5" t="n"/>
      <c r="S601" s="10">
        <f>IFERROR(IF(INDEX('Test catalog'!$L$2:$L$200,MATCH($AB601,'Test catalog'!$A$2:$A$200,0))="","",INDEX('Test catalog'!$L$2:$L$200,MATCH($AB601,'Test catalog'!$A$2:$A$200,0))),"")</f>
        <v/>
      </c>
      <c r="T601" s="10">
        <f>IFERROR(IF(INDEX('Test catalog'!$M$2:$M$200,MATCH($AB601,'Test catalog'!$A$2:$A$200,0))="","",INDEX('Test catalog'!$M$2:$M$200,MATCH($AB601,'Test catalog'!$A$2:$A$200,0))),"")</f>
        <v/>
      </c>
      <c r="U601" s="10">
        <f>IFERROR(IF(INDEX('Test catalog'!$N$2:$N$200,MATCH($AB601,'Test catalog'!$A$2:$A$200,0))="","",INDEX('Test catalog'!$N$2:$N$200,MATCH($AB601,'Test catalog'!$A$2:$A$200,0))),"")</f>
        <v/>
      </c>
      <c r="V601" s="15" t="n"/>
      <c r="W601" s="5" t="inlineStr">
        <is>
          <t>N</t>
        </is>
      </c>
      <c r="X601" s="5" t="n"/>
      <c r="Y601" s="5" t="n"/>
      <c r="Z601" s="5" t="n"/>
      <c r="AA601" s="10">
        <f>IFERROR(IF(INDEX('Test catalog'!$O$2:$O$200,MATCH($AB601,'Test catalog'!$A$2:$A$200,0))="","",INDEX('Test catalog'!$O$2:$O$200,MATCH($AB601,'Test catalog'!$A$2:$A$200,0))),"")</f>
        <v/>
      </c>
      <c r="AB601" s="10" t="inlineStr">
        <is>
          <t>APPEAR</t>
        </is>
      </c>
      <c r="AC601" s="10" t="inlineStr">
        <is>
          <t>Lab practice (not a USP test)</t>
        </is>
      </c>
      <c r="AD601" s="10" t="n"/>
      <c r="AE601" s="10" t="n"/>
    </row>
    <row r="602">
      <c r="A602" s="10" t="inlineStr">
        <is>
          <t>HPMC 6cps (Hypromellose)</t>
        </is>
      </c>
      <c r="B602" s="10" t="inlineStr">
        <is>
          <t>RM</t>
        </is>
      </c>
      <c r="C602" s="10" t="inlineStr">
        <is>
          <t>Binder / Coating Polymer</t>
        </is>
      </c>
      <c r="D602" s="10" t="inlineStr">
        <is>
          <t>ID A - chemical reaction</t>
        </is>
      </c>
      <c r="E602" s="10">
        <f>IF(A602="","",A602&amp;"|"&amp;D602)</f>
        <v/>
      </c>
      <c r="F602" s="5" t="inlineStr">
        <is>
          <t>Y</t>
        </is>
      </c>
      <c r="G602" s="5" t="inlineStr">
        <is>
          <t>Other / bench</t>
        </is>
      </c>
      <c r="H602" s="5" t="inlineStr">
        <is>
          <t>Low</t>
        </is>
      </c>
      <c r="I602" s="5" t="n">
        <v>1</v>
      </c>
      <c r="J602" s="5" t="n"/>
      <c r="K602" s="10">
        <f>IFERROR(IF(INDEX('Test catalog'!$F$2:$F$200,MATCH($AB602,'Test catalog'!$A$2:$A$200,0))="","",INDEX('Test catalog'!$F$2:$F$200,MATCH($AB602,'Test catalog'!$A$2:$A$200,0))),"")</f>
        <v/>
      </c>
      <c r="L602" s="10">
        <f>IFERROR(IF(INDEX('Test catalog'!$G$2:$G$200,MATCH($AB602,'Test catalog'!$A$2:$A$200,0))="","",INDEX('Test catalog'!$G$2:$G$200,MATCH($AB602,'Test catalog'!$A$2:$A$200,0))),"")</f>
        <v/>
      </c>
      <c r="M602" s="10">
        <f>IFERROR(IF(INDEX('Test catalog'!$H$2:$H$200,MATCH($AB602,'Test catalog'!$A$2:$A$200,0))="","",INDEX('Test catalog'!$H$2:$H$200,MATCH($AB602,'Test catalog'!$A$2:$A$200,0))),"")</f>
        <v/>
      </c>
      <c r="N602" s="10">
        <f>IFERROR(IF(INDEX('Test catalog'!$I$2:$I$200,MATCH($AB602,'Test catalog'!$A$2:$A$200,0))="","",INDEX('Test catalog'!$I$2:$I$200,MATCH($AB602,'Test catalog'!$A$2:$A$200,0))),"")</f>
        <v/>
      </c>
      <c r="O602" s="10">
        <f>IFERROR(IF(INDEX('Test catalog'!$J$2:$J$200,MATCH($AB602,'Test catalog'!$A$2:$A$200,0))="","",INDEX('Test catalog'!$J$2:$J$200,MATCH($AB602,'Test catalog'!$A$2:$A$200,0))),"")</f>
        <v/>
      </c>
      <c r="P602" s="14">
        <f>IF(N602="","",IF(OR(M602="",O602=""),N602,(M602+4*N602+O602)/6))</f>
        <v/>
      </c>
      <c r="Q602" s="10">
        <f>IFERROR(IF(INDEX('Test catalog'!$K$2:$K$200,MATCH($AB602,'Test catalog'!$A$2:$A$200,0))="","",INDEX('Test catalog'!$K$2:$K$200,MATCH($AB602,'Test catalog'!$A$2:$A$200,0))),"")</f>
        <v/>
      </c>
      <c r="R602" s="5" t="n"/>
      <c r="S602" s="10">
        <f>IFERROR(IF(INDEX('Test catalog'!$L$2:$L$200,MATCH($AB602,'Test catalog'!$A$2:$A$200,0))="","",INDEX('Test catalog'!$L$2:$L$200,MATCH($AB602,'Test catalog'!$A$2:$A$200,0))),"")</f>
        <v/>
      </c>
      <c r="T602" s="10">
        <f>IFERROR(IF(INDEX('Test catalog'!$M$2:$M$200,MATCH($AB602,'Test catalog'!$A$2:$A$200,0))="","",INDEX('Test catalog'!$M$2:$M$200,MATCH($AB602,'Test catalog'!$A$2:$A$200,0))),"")</f>
        <v/>
      </c>
      <c r="U602" s="10">
        <f>IFERROR(IF(INDEX('Test catalog'!$N$2:$N$200,MATCH($AB602,'Test catalog'!$A$2:$A$200,0))="","",INDEX('Test catalog'!$N$2:$N$200,MATCH($AB602,'Test catalog'!$A$2:$A$200,0))),"")</f>
        <v/>
      </c>
      <c r="V602" s="15" t="n"/>
      <c r="W602" s="5" t="inlineStr">
        <is>
          <t>N</t>
        </is>
      </c>
      <c r="X602" s="5" t="n"/>
      <c r="Y602" s="5" t="n"/>
      <c r="Z602" s="5" t="n"/>
      <c r="AA602" s="10">
        <f>IFERROR(IF(INDEX('Test catalog'!$O$2:$O$200,MATCH($AB602,'Test catalog'!$A$2:$A$200,0))="","",INDEX('Test catalog'!$O$2:$O$200,MATCH($AB602,'Test catalog'!$A$2:$A$200,0))),"")</f>
        <v/>
      </c>
      <c r="AB602" s="10" t="inlineStr">
        <is>
          <t>ID_CHEM</t>
        </is>
      </c>
      <c r="AC602" s="10" t="inlineStr">
        <is>
          <t>Hypromellose · Identification</t>
        </is>
      </c>
      <c r="AD602" s="10" t="n"/>
      <c r="AE602" s="10" t="n"/>
    </row>
    <row r="603">
      <c r="A603" s="10" t="inlineStr">
        <is>
          <t>HPMC 6cps (Hypromellose)</t>
        </is>
      </c>
      <c r="B603" s="10" t="inlineStr">
        <is>
          <t>RM</t>
        </is>
      </c>
      <c r="C603" s="10" t="inlineStr">
        <is>
          <t>Binder / Coating Polymer</t>
        </is>
      </c>
      <c r="D603" s="10" t="inlineStr">
        <is>
          <t>ID B - chemical reaction</t>
        </is>
      </c>
      <c r="E603" s="10">
        <f>IF(A603="","",A603&amp;"|"&amp;D603)</f>
        <v/>
      </c>
      <c r="F603" s="5" t="inlineStr">
        <is>
          <t>Y</t>
        </is>
      </c>
      <c r="G603" s="5" t="inlineStr">
        <is>
          <t>Other / bench</t>
        </is>
      </c>
      <c r="H603" s="5" t="inlineStr">
        <is>
          <t>Low</t>
        </is>
      </c>
      <c r="I603" s="5" t="n">
        <v>1</v>
      </c>
      <c r="J603" s="5" t="n"/>
      <c r="K603" s="10">
        <f>IFERROR(IF(INDEX('Test catalog'!$F$2:$F$200,MATCH($AB603,'Test catalog'!$A$2:$A$200,0))="","",INDEX('Test catalog'!$F$2:$F$200,MATCH($AB603,'Test catalog'!$A$2:$A$200,0))),"")</f>
        <v/>
      </c>
      <c r="L603" s="10">
        <f>IFERROR(IF(INDEX('Test catalog'!$G$2:$G$200,MATCH($AB603,'Test catalog'!$A$2:$A$200,0))="","",INDEX('Test catalog'!$G$2:$G$200,MATCH($AB603,'Test catalog'!$A$2:$A$200,0))),"")</f>
        <v/>
      </c>
      <c r="M603" s="10">
        <f>IFERROR(IF(INDEX('Test catalog'!$H$2:$H$200,MATCH($AB603,'Test catalog'!$A$2:$A$200,0))="","",INDEX('Test catalog'!$H$2:$H$200,MATCH($AB603,'Test catalog'!$A$2:$A$200,0))),"")</f>
        <v/>
      </c>
      <c r="N603" s="10">
        <f>IFERROR(IF(INDEX('Test catalog'!$I$2:$I$200,MATCH($AB603,'Test catalog'!$A$2:$A$200,0))="","",INDEX('Test catalog'!$I$2:$I$200,MATCH($AB603,'Test catalog'!$A$2:$A$200,0))),"")</f>
        <v/>
      </c>
      <c r="O603" s="10">
        <f>IFERROR(IF(INDEX('Test catalog'!$J$2:$J$200,MATCH($AB603,'Test catalog'!$A$2:$A$200,0))="","",INDEX('Test catalog'!$J$2:$J$200,MATCH($AB603,'Test catalog'!$A$2:$A$200,0))),"")</f>
        <v/>
      </c>
      <c r="P603" s="14">
        <f>IF(N603="","",IF(OR(M603="",O603=""),N603,(M603+4*N603+O603)/6))</f>
        <v/>
      </c>
      <c r="Q603" s="10">
        <f>IFERROR(IF(INDEX('Test catalog'!$K$2:$K$200,MATCH($AB603,'Test catalog'!$A$2:$A$200,0))="","",INDEX('Test catalog'!$K$2:$K$200,MATCH($AB603,'Test catalog'!$A$2:$A$200,0))),"")</f>
        <v/>
      </c>
      <c r="R603" s="5" t="n"/>
      <c r="S603" s="10">
        <f>IFERROR(IF(INDEX('Test catalog'!$L$2:$L$200,MATCH($AB603,'Test catalog'!$A$2:$A$200,0))="","",INDEX('Test catalog'!$L$2:$L$200,MATCH($AB603,'Test catalog'!$A$2:$A$200,0))),"")</f>
        <v/>
      </c>
      <c r="T603" s="10">
        <f>IFERROR(IF(INDEX('Test catalog'!$M$2:$M$200,MATCH($AB603,'Test catalog'!$A$2:$A$200,0))="","",INDEX('Test catalog'!$M$2:$M$200,MATCH($AB603,'Test catalog'!$A$2:$A$200,0))),"")</f>
        <v/>
      </c>
      <c r="U603" s="10">
        <f>IFERROR(IF(INDEX('Test catalog'!$N$2:$N$200,MATCH($AB603,'Test catalog'!$A$2:$A$200,0))="","",INDEX('Test catalog'!$N$2:$N$200,MATCH($AB603,'Test catalog'!$A$2:$A$200,0))),"")</f>
        <v/>
      </c>
      <c r="V603" s="15" t="n"/>
      <c r="W603" s="5" t="inlineStr">
        <is>
          <t>N</t>
        </is>
      </c>
      <c r="X603" s="5" t="n"/>
      <c r="Y603" s="5" t="n"/>
      <c r="Z603" s="5" t="n"/>
      <c r="AA603" s="10">
        <f>IFERROR(IF(INDEX('Test catalog'!$O$2:$O$200,MATCH($AB603,'Test catalog'!$A$2:$A$200,0))="","",INDEX('Test catalog'!$O$2:$O$200,MATCH($AB603,'Test catalog'!$A$2:$A$200,0))),"")</f>
        <v/>
      </c>
      <c r="AB603" s="10" t="inlineStr">
        <is>
          <t>ID_CHEM</t>
        </is>
      </c>
      <c r="AC603" s="10" t="inlineStr">
        <is>
          <t>Hypromellose · Identification</t>
        </is>
      </c>
      <c r="AD603" s="10" t="n"/>
      <c r="AE603" s="10" t="n"/>
    </row>
    <row r="604">
      <c r="A604" s="10" t="inlineStr">
        <is>
          <t>HPMC 6cps (Hypromellose)</t>
        </is>
      </c>
      <c r="B604" s="10" t="inlineStr">
        <is>
          <t>RM</t>
        </is>
      </c>
      <c r="C604" s="10" t="inlineStr">
        <is>
          <t>Binder / Coating Polymer</t>
        </is>
      </c>
      <c r="D604" s="10" t="inlineStr">
        <is>
          <t>ID C - chemical reaction</t>
        </is>
      </c>
      <c r="E604" s="10">
        <f>IF(A604="","",A604&amp;"|"&amp;D604)</f>
        <v/>
      </c>
      <c r="F604" s="5" t="inlineStr">
        <is>
          <t>Y</t>
        </is>
      </c>
      <c r="G604" s="5" t="inlineStr">
        <is>
          <t>Other / bench</t>
        </is>
      </c>
      <c r="H604" s="5" t="inlineStr">
        <is>
          <t>Low</t>
        </is>
      </c>
      <c r="I604" s="5" t="n">
        <v>1</v>
      </c>
      <c r="J604" s="5" t="n"/>
      <c r="K604" s="10">
        <f>IFERROR(IF(INDEX('Test catalog'!$F$2:$F$200,MATCH($AB604,'Test catalog'!$A$2:$A$200,0))="","",INDEX('Test catalog'!$F$2:$F$200,MATCH($AB604,'Test catalog'!$A$2:$A$200,0))),"")</f>
        <v/>
      </c>
      <c r="L604" s="10">
        <f>IFERROR(IF(INDEX('Test catalog'!$G$2:$G$200,MATCH($AB604,'Test catalog'!$A$2:$A$200,0))="","",INDEX('Test catalog'!$G$2:$G$200,MATCH($AB604,'Test catalog'!$A$2:$A$200,0))),"")</f>
        <v/>
      </c>
      <c r="M604" s="10">
        <f>IFERROR(IF(INDEX('Test catalog'!$H$2:$H$200,MATCH($AB604,'Test catalog'!$A$2:$A$200,0))="","",INDEX('Test catalog'!$H$2:$H$200,MATCH($AB604,'Test catalog'!$A$2:$A$200,0))),"")</f>
        <v/>
      </c>
      <c r="N604" s="10">
        <f>IFERROR(IF(INDEX('Test catalog'!$I$2:$I$200,MATCH($AB604,'Test catalog'!$A$2:$A$200,0))="","",INDEX('Test catalog'!$I$2:$I$200,MATCH($AB604,'Test catalog'!$A$2:$A$200,0))),"")</f>
        <v/>
      </c>
      <c r="O604" s="10">
        <f>IFERROR(IF(INDEX('Test catalog'!$J$2:$J$200,MATCH($AB604,'Test catalog'!$A$2:$A$200,0))="","",INDEX('Test catalog'!$J$2:$J$200,MATCH($AB604,'Test catalog'!$A$2:$A$200,0))),"")</f>
        <v/>
      </c>
      <c r="P604" s="14">
        <f>IF(N604="","",IF(OR(M604="",O604=""),N604,(M604+4*N604+O604)/6))</f>
        <v/>
      </c>
      <c r="Q604" s="10">
        <f>IFERROR(IF(INDEX('Test catalog'!$K$2:$K$200,MATCH($AB604,'Test catalog'!$A$2:$A$200,0))="","",INDEX('Test catalog'!$K$2:$K$200,MATCH($AB604,'Test catalog'!$A$2:$A$200,0))),"")</f>
        <v/>
      </c>
      <c r="R604" s="5" t="n"/>
      <c r="S604" s="10">
        <f>IFERROR(IF(INDEX('Test catalog'!$L$2:$L$200,MATCH($AB604,'Test catalog'!$A$2:$A$200,0))="","",INDEX('Test catalog'!$L$2:$L$200,MATCH($AB604,'Test catalog'!$A$2:$A$200,0))),"")</f>
        <v/>
      </c>
      <c r="T604" s="10">
        <f>IFERROR(IF(INDEX('Test catalog'!$M$2:$M$200,MATCH($AB604,'Test catalog'!$A$2:$A$200,0))="","",INDEX('Test catalog'!$M$2:$M$200,MATCH($AB604,'Test catalog'!$A$2:$A$200,0))),"")</f>
        <v/>
      </c>
      <c r="U604" s="10">
        <f>IFERROR(IF(INDEX('Test catalog'!$N$2:$N$200,MATCH($AB604,'Test catalog'!$A$2:$A$200,0))="","",INDEX('Test catalog'!$N$2:$N$200,MATCH($AB604,'Test catalog'!$A$2:$A$200,0))),"")</f>
        <v/>
      </c>
      <c r="V604" s="15" t="n"/>
      <c r="W604" s="5" t="inlineStr">
        <is>
          <t>N</t>
        </is>
      </c>
      <c r="X604" s="5" t="n"/>
      <c r="Y604" s="5" t="n"/>
      <c r="Z604" s="5" t="n"/>
      <c r="AA604" s="10">
        <f>IFERROR(IF(INDEX('Test catalog'!$O$2:$O$200,MATCH($AB604,'Test catalog'!$A$2:$A$200,0))="","",INDEX('Test catalog'!$O$2:$O$200,MATCH($AB604,'Test catalog'!$A$2:$A$200,0))),"")</f>
        <v/>
      </c>
      <c r="AB604" s="10" t="inlineStr">
        <is>
          <t>ID_CHEM</t>
        </is>
      </c>
      <c r="AC604" s="10" t="inlineStr">
        <is>
          <t>Hypromellose · Identification</t>
        </is>
      </c>
      <c r="AD604" s="10" t="n"/>
      <c r="AE604" s="10" t="n"/>
    </row>
    <row r="605">
      <c r="A605" s="10" t="inlineStr">
        <is>
          <t>HPMC 6cps (Hypromellose)</t>
        </is>
      </c>
      <c r="B605" s="10" t="inlineStr">
        <is>
          <t>RM</t>
        </is>
      </c>
      <c r="C605" s="10" t="inlineStr">
        <is>
          <t>Binder / Coating Polymer</t>
        </is>
      </c>
      <c r="D605" s="10" t="inlineStr">
        <is>
          <t>ID D - chemical reaction</t>
        </is>
      </c>
      <c r="E605" s="10">
        <f>IF(A605="","",A605&amp;"|"&amp;D605)</f>
        <v/>
      </c>
      <c r="F605" s="5" t="inlineStr">
        <is>
          <t>Y</t>
        </is>
      </c>
      <c r="G605" s="5" t="inlineStr">
        <is>
          <t>Other / bench</t>
        </is>
      </c>
      <c r="H605" s="5" t="inlineStr">
        <is>
          <t>Low</t>
        </is>
      </c>
      <c r="I605" s="5" t="n">
        <v>1</v>
      </c>
      <c r="J605" s="5" t="n"/>
      <c r="K605" s="10">
        <f>IFERROR(IF(INDEX('Test catalog'!$F$2:$F$200,MATCH($AB605,'Test catalog'!$A$2:$A$200,0))="","",INDEX('Test catalog'!$F$2:$F$200,MATCH($AB605,'Test catalog'!$A$2:$A$200,0))),"")</f>
        <v/>
      </c>
      <c r="L605" s="10">
        <f>IFERROR(IF(INDEX('Test catalog'!$G$2:$G$200,MATCH($AB605,'Test catalog'!$A$2:$A$200,0))="","",INDEX('Test catalog'!$G$2:$G$200,MATCH($AB605,'Test catalog'!$A$2:$A$200,0))),"")</f>
        <v/>
      </c>
      <c r="M605" s="10">
        <f>IFERROR(IF(INDEX('Test catalog'!$H$2:$H$200,MATCH($AB605,'Test catalog'!$A$2:$A$200,0))="","",INDEX('Test catalog'!$H$2:$H$200,MATCH($AB605,'Test catalog'!$A$2:$A$200,0))),"")</f>
        <v/>
      </c>
      <c r="N605" s="10">
        <f>IFERROR(IF(INDEX('Test catalog'!$I$2:$I$200,MATCH($AB605,'Test catalog'!$A$2:$A$200,0))="","",INDEX('Test catalog'!$I$2:$I$200,MATCH($AB605,'Test catalog'!$A$2:$A$200,0))),"")</f>
        <v/>
      </c>
      <c r="O605" s="10">
        <f>IFERROR(IF(INDEX('Test catalog'!$J$2:$J$200,MATCH($AB605,'Test catalog'!$A$2:$A$200,0))="","",INDEX('Test catalog'!$J$2:$J$200,MATCH($AB605,'Test catalog'!$A$2:$A$200,0))),"")</f>
        <v/>
      </c>
      <c r="P605" s="14">
        <f>IF(N605="","",IF(OR(M605="",O605=""),N605,(M605+4*N605+O605)/6))</f>
        <v/>
      </c>
      <c r="Q605" s="10">
        <f>IFERROR(IF(INDEX('Test catalog'!$K$2:$K$200,MATCH($AB605,'Test catalog'!$A$2:$A$200,0))="","",INDEX('Test catalog'!$K$2:$K$200,MATCH($AB605,'Test catalog'!$A$2:$A$200,0))),"")</f>
        <v/>
      </c>
      <c r="R605" s="5" t="n"/>
      <c r="S605" s="10">
        <f>IFERROR(IF(INDEX('Test catalog'!$L$2:$L$200,MATCH($AB605,'Test catalog'!$A$2:$A$200,0))="","",INDEX('Test catalog'!$L$2:$L$200,MATCH($AB605,'Test catalog'!$A$2:$A$200,0))),"")</f>
        <v/>
      </c>
      <c r="T605" s="10">
        <f>IFERROR(IF(INDEX('Test catalog'!$M$2:$M$200,MATCH($AB605,'Test catalog'!$A$2:$A$200,0))="","",INDEX('Test catalog'!$M$2:$M$200,MATCH($AB605,'Test catalog'!$A$2:$A$200,0))),"")</f>
        <v/>
      </c>
      <c r="U605" s="10">
        <f>IFERROR(IF(INDEX('Test catalog'!$N$2:$N$200,MATCH($AB605,'Test catalog'!$A$2:$A$200,0))="","",INDEX('Test catalog'!$N$2:$N$200,MATCH($AB605,'Test catalog'!$A$2:$A$200,0))),"")</f>
        <v/>
      </c>
      <c r="V605" s="15" t="n"/>
      <c r="W605" s="5" t="inlineStr">
        <is>
          <t>N</t>
        </is>
      </c>
      <c r="X605" s="5" t="n"/>
      <c r="Y605" s="5" t="n"/>
      <c r="Z605" s="5" t="n"/>
      <c r="AA605" s="10">
        <f>IFERROR(IF(INDEX('Test catalog'!$O$2:$O$200,MATCH($AB605,'Test catalog'!$A$2:$A$200,0))="","",INDEX('Test catalog'!$O$2:$O$200,MATCH($AB605,'Test catalog'!$A$2:$A$200,0))),"")</f>
        <v/>
      </c>
      <c r="AB605" s="10" t="inlineStr">
        <is>
          <t>ID_CHEM</t>
        </is>
      </c>
      <c r="AC605" s="10" t="inlineStr">
        <is>
          <t>Hypromellose · Identification</t>
        </is>
      </c>
      <c r="AD605" s="10" t="n"/>
      <c r="AE605" s="10" t="n"/>
    </row>
    <row r="606">
      <c r="A606" s="10" t="inlineStr">
        <is>
          <t>HPMC 6cps (Hypromellose)</t>
        </is>
      </c>
      <c r="B606" s="10" t="inlineStr">
        <is>
          <t>RM</t>
        </is>
      </c>
      <c r="C606" s="10" t="inlineStr">
        <is>
          <t>Binder / Coating Polymer</t>
        </is>
      </c>
      <c r="D606" s="10" t="inlineStr">
        <is>
          <t>ID E - chemical reaction</t>
        </is>
      </c>
      <c r="E606" s="10">
        <f>IF(A606="","",A606&amp;"|"&amp;D606)</f>
        <v/>
      </c>
      <c r="F606" s="5" t="inlineStr">
        <is>
          <t>Y</t>
        </is>
      </c>
      <c r="G606" s="5" t="inlineStr">
        <is>
          <t>Other / bench</t>
        </is>
      </c>
      <c r="H606" s="5" t="inlineStr">
        <is>
          <t>Low</t>
        </is>
      </c>
      <c r="I606" s="5" t="n">
        <v>1</v>
      </c>
      <c r="J606" s="5" t="n"/>
      <c r="K606" s="10">
        <f>IFERROR(IF(INDEX('Test catalog'!$F$2:$F$200,MATCH($AB606,'Test catalog'!$A$2:$A$200,0))="","",INDEX('Test catalog'!$F$2:$F$200,MATCH($AB606,'Test catalog'!$A$2:$A$200,0))),"")</f>
        <v/>
      </c>
      <c r="L606" s="10">
        <f>IFERROR(IF(INDEX('Test catalog'!$G$2:$G$200,MATCH($AB606,'Test catalog'!$A$2:$A$200,0))="","",INDEX('Test catalog'!$G$2:$G$200,MATCH($AB606,'Test catalog'!$A$2:$A$200,0))),"")</f>
        <v/>
      </c>
      <c r="M606" s="10">
        <f>IFERROR(IF(INDEX('Test catalog'!$H$2:$H$200,MATCH($AB606,'Test catalog'!$A$2:$A$200,0))="","",INDEX('Test catalog'!$H$2:$H$200,MATCH($AB606,'Test catalog'!$A$2:$A$200,0))),"")</f>
        <v/>
      </c>
      <c r="N606" s="10">
        <f>IFERROR(IF(INDEX('Test catalog'!$I$2:$I$200,MATCH($AB606,'Test catalog'!$A$2:$A$200,0))="","",INDEX('Test catalog'!$I$2:$I$200,MATCH($AB606,'Test catalog'!$A$2:$A$200,0))),"")</f>
        <v/>
      </c>
      <c r="O606" s="10">
        <f>IFERROR(IF(INDEX('Test catalog'!$J$2:$J$200,MATCH($AB606,'Test catalog'!$A$2:$A$200,0))="","",INDEX('Test catalog'!$J$2:$J$200,MATCH($AB606,'Test catalog'!$A$2:$A$200,0))),"")</f>
        <v/>
      </c>
      <c r="P606" s="14">
        <f>IF(N606="","",IF(OR(M606="",O606=""),N606,(M606+4*N606+O606)/6))</f>
        <v/>
      </c>
      <c r="Q606" s="10">
        <f>IFERROR(IF(INDEX('Test catalog'!$K$2:$K$200,MATCH($AB606,'Test catalog'!$A$2:$A$200,0))="","",INDEX('Test catalog'!$K$2:$K$200,MATCH($AB606,'Test catalog'!$A$2:$A$200,0))),"")</f>
        <v/>
      </c>
      <c r="R606" s="5" t="n"/>
      <c r="S606" s="10">
        <f>IFERROR(IF(INDEX('Test catalog'!$L$2:$L$200,MATCH($AB606,'Test catalog'!$A$2:$A$200,0))="","",INDEX('Test catalog'!$L$2:$L$200,MATCH($AB606,'Test catalog'!$A$2:$A$200,0))),"")</f>
        <v/>
      </c>
      <c r="T606" s="10">
        <f>IFERROR(IF(INDEX('Test catalog'!$M$2:$M$200,MATCH($AB606,'Test catalog'!$A$2:$A$200,0))="","",INDEX('Test catalog'!$M$2:$M$200,MATCH($AB606,'Test catalog'!$A$2:$A$200,0))),"")</f>
        <v/>
      </c>
      <c r="U606" s="10">
        <f>IFERROR(IF(INDEX('Test catalog'!$N$2:$N$200,MATCH($AB606,'Test catalog'!$A$2:$A$200,0))="","",INDEX('Test catalog'!$N$2:$N$200,MATCH($AB606,'Test catalog'!$A$2:$A$200,0))),"")</f>
        <v/>
      </c>
      <c r="V606" s="15" t="n"/>
      <c r="W606" s="5" t="inlineStr">
        <is>
          <t>N</t>
        </is>
      </c>
      <c r="X606" s="5" t="n"/>
      <c r="Y606" s="5" t="n"/>
      <c r="Z606" s="5" t="n"/>
      <c r="AA606" s="10">
        <f>IFERROR(IF(INDEX('Test catalog'!$O$2:$O$200,MATCH($AB606,'Test catalog'!$A$2:$A$200,0))="","",INDEX('Test catalog'!$O$2:$O$200,MATCH($AB606,'Test catalog'!$A$2:$A$200,0))),"")</f>
        <v/>
      </c>
      <c r="AB606" s="10" t="inlineStr">
        <is>
          <t>ID_CHEM</t>
        </is>
      </c>
      <c r="AC606" s="10" t="inlineStr">
        <is>
          <t>Hypromellose · Identification</t>
        </is>
      </c>
      <c r="AD606" s="10" t="n"/>
      <c r="AE606" s="10" t="n"/>
    </row>
    <row r="607">
      <c r="A607" s="10" t="inlineStr">
        <is>
          <t>HPMC 6cps (Hypromellose)</t>
        </is>
      </c>
      <c r="B607" s="10" t="inlineStr">
        <is>
          <t>RM</t>
        </is>
      </c>
      <c r="C607" s="10" t="inlineStr">
        <is>
          <t>Binder / Coating Polymer</t>
        </is>
      </c>
      <c r="D607" s="10" t="inlineStr">
        <is>
          <t>Assay (GC)</t>
        </is>
      </c>
      <c r="E607" s="10">
        <f>IF(A607="","",A607&amp;"|"&amp;D607)</f>
        <v/>
      </c>
      <c r="F607" s="5" t="inlineStr">
        <is>
          <t>Y</t>
        </is>
      </c>
      <c r="G607" s="5" t="inlineStr">
        <is>
          <t>GC</t>
        </is>
      </c>
      <c r="H607" s="5" t="inlineStr">
        <is>
          <t>Medium</t>
        </is>
      </c>
      <c r="I607" s="5" t="n">
        <v>1</v>
      </c>
      <c r="J607" s="5" t="n"/>
      <c r="K607" s="5" t="n"/>
      <c r="L607" s="5" t="n"/>
      <c r="M607" s="5" t="n"/>
      <c r="N607" s="5" t="n"/>
      <c r="O607" s="5" t="n"/>
      <c r="P607" s="14">
        <f>IF(N607="","",IF(OR(M607="",O607=""),N607,(M607+4*N607+O607)/6))</f>
        <v/>
      </c>
      <c r="Q607" s="5" t="n"/>
      <c r="R607" s="5" t="n"/>
      <c r="S607" s="5" t="n"/>
      <c r="T607" s="5" t="n"/>
      <c r="U607" s="5" t="n"/>
      <c r="V607" s="15" t="n"/>
      <c r="W607" s="5" t="inlineStr">
        <is>
          <t>N</t>
        </is>
      </c>
      <c r="X607" s="5" t="n"/>
      <c r="Y607" s="5" t="n"/>
      <c r="Z607" s="5" t="inlineStr">
        <is>
          <t>Alternative assays - keep only the one you run</t>
        </is>
      </c>
      <c r="AA607" s="5" t="n"/>
      <c r="AB607" s="10" t="n"/>
      <c r="AC607" s="10" t="inlineStr">
        <is>
          <t>Hypromellose · Assay</t>
        </is>
      </c>
      <c r="AD607" s="10" t="n"/>
      <c r="AE607" s="10" t="n"/>
    </row>
    <row r="608">
      <c r="A608" s="10" t="inlineStr">
        <is>
          <t>HPMC 6cps (Hypromellose)</t>
        </is>
      </c>
      <c r="B608" s="10" t="inlineStr">
        <is>
          <t>RM</t>
        </is>
      </c>
      <c r="C608" s="10" t="inlineStr">
        <is>
          <t>Binder / Coating Polymer</t>
        </is>
      </c>
      <c r="D608" s="10" t="inlineStr">
        <is>
          <t>Residue on Ignition</t>
        </is>
      </c>
      <c r="E608" s="10">
        <f>IF(A608="","",A608&amp;"|"&amp;D608)</f>
        <v/>
      </c>
      <c r="F608" s="5" t="inlineStr">
        <is>
          <t>Y</t>
        </is>
      </c>
      <c r="G608" s="5" t="inlineStr">
        <is>
          <t>Other / bench</t>
        </is>
      </c>
      <c r="H608" s="5" t="inlineStr">
        <is>
          <t>Low</t>
        </is>
      </c>
      <c r="I608" s="5" t="n">
        <v>1</v>
      </c>
      <c r="J608" s="5" t="n"/>
      <c r="K608" s="10">
        <f>IFERROR(IF(INDEX('Test catalog'!$F$2:$F$200,MATCH($AB608,'Test catalog'!$A$2:$A$200,0))="","",INDEX('Test catalog'!$F$2:$F$200,MATCH($AB608,'Test catalog'!$A$2:$A$200,0))),"")</f>
        <v/>
      </c>
      <c r="L608" s="10">
        <f>IFERROR(IF(INDEX('Test catalog'!$G$2:$G$200,MATCH($AB608,'Test catalog'!$A$2:$A$200,0))="","",INDEX('Test catalog'!$G$2:$G$200,MATCH($AB608,'Test catalog'!$A$2:$A$200,0))),"")</f>
        <v/>
      </c>
      <c r="M608" s="10">
        <f>IFERROR(IF(INDEX('Test catalog'!$H$2:$H$200,MATCH($AB608,'Test catalog'!$A$2:$A$200,0))="","",INDEX('Test catalog'!$H$2:$H$200,MATCH($AB608,'Test catalog'!$A$2:$A$200,0))),"")</f>
        <v/>
      </c>
      <c r="N608" s="10">
        <f>IFERROR(IF(INDEX('Test catalog'!$I$2:$I$200,MATCH($AB608,'Test catalog'!$A$2:$A$200,0))="","",INDEX('Test catalog'!$I$2:$I$200,MATCH($AB608,'Test catalog'!$A$2:$A$200,0))),"")</f>
        <v/>
      </c>
      <c r="O608" s="10">
        <f>IFERROR(IF(INDEX('Test catalog'!$J$2:$J$200,MATCH($AB608,'Test catalog'!$A$2:$A$200,0))="","",INDEX('Test catalog'!$J$2:$J$200,MATCH($AB608,'Test catalog'!$A$2:$A$200,0))),"")</f>
        <v/>
      </c>
      <c r="P608" s="14">
        <f>IF(N608="","",IF(OR(M608="",O608=""),N608,(M608+4*N608+O608)/6))</f>
        <v/>
      </c>
      <c r="Q608" s="10">
        <f>IFERROR(IF(INDEX('Test catalog'!$K$2:$K$200,MATCH($AB608,'Test catalog'!$A$2:$A$200,0))="","",INDEX('Test catalog'!$K$2:$K$200,MATCH($AB608,'Test catalog'!$A$2:$A$200,0))),"")</f>
        <v/>
      </c>
      <c r="R608" s="5" t="n"/>
      <c r="S608" s="10">
        <f>IFERROR(IF(INDEX('Test catalog'!$L$2:$L$200,MATCH($AB608,'Test catalog'!$A$2:$A$200,0))="","",INDEX('Test catalog'!$L$2:$L$200,MATCH($AB608,'Test catalog'!$A$2:$A$200,0))),"")</f>
        <v/>
      </c>
      <c r="T608" s="10">
        <f>IFERROR(IF(INDEX('Test catalog'!$M$2:$M$200,MATCH($AB608,'Test catalog'!$A$2:$A$200,0))="","",INDEX('Test catalog'!$M$2:$M$200,MATCH($AB608,'Test catalog'!$A$2:$A$200,0))),"")</f>
        <v/>
      </c>
      <c r="U608" s="10">
        <f>IFERROR(IF(INDEX('Test catalog'!$N$2:$N$200,MATCH($AB608,'Test catalog'!$A$2:$A$200,0))="","",INDEX('Test catalog'!$N$2:$N$200,MATCH($AB608,'Test catalog'!$A$2:$A$200,0))),"")</f>
        <v/>
      </c>
      <c r="V608" s="15" t="n"/>
      <c r="W608" s="5" t="inlineStr">
        <is>
          <t>N</t>
        </is>
      </c>
      <c r="X608" s="5" t="n"/>
      <c r="Y608" s="5" t="n"/>
      <c r="Z608" s="5" t="inlineStr">
        <is>
          <t>Alternative assays - keep only the one you run</t>
        </is>
      </c>
      <c r="AA608" s="10">
        <f>IFERROR(IF(INDEX('Test catalog'!$O$2:$O$200,MATCH($AB608,'Test catalog'!$A$2:$A$200,0))="","",INDEX('Test catalog'!$O$2:$O$200,MATCH($AB608,'Test catalog'!$A$2:$A$200,0))),"")</f>
        <v/>
      </c>
      <c r="AB608" s="10" t="inlineStr">
        <is>
          <t>ROI</t>
        </is>
      </c>
      <c r="AC608" s="10" t="inlineStr">
        <is>
          <t>Hypromellose · Assay &lt;281&gt;</t>
        </is>
      </c>
      <c r="AD608" s="10" t="n"/>
      <c r="AE608" s="10" t="n"/>
    </row>
    <row r="609">
      <c r="A609" s="10" t="inlineStr">
        <is>
          <t>HPMC 6cps (Hypromellose)</t>
        </is>
      </c>
      <c r="B609" s="10" t="inlineStr">
        <is>
          <t>RM</t>
        </is>
      </c>
      <c r="C609" s="10" t="inlineStr">
        <is>
          <t>Binder / Coating Polymer</t>
        </is>
      </c>
      <c r="D609" s="10" t="inlineStr">
        <is>
          <t>pH</t>
        </is>
      </c>
      <c r="E609" s="10">
        <f>IF(A609="","",A609&amp;"|"&amp;D609)</f>
        <v/>
      </c>
      <c r="F609" s="5" t="inlineStr">
        <is>
          <t>Y</t>
        </is>
      </c>
      <c r="G609" s="5" t="inlineStr">
        <is>
          <t>Other / bench</t>
        </is>
      </c>
      <c r="H609" s="5" t="inlineStr">
        <is>
          <t>Low</t>
        </is>
      </c>
      <c r="I609" s="5" t="n">
        <v>1</v>
      </c>
      <c r="J609" s="5" t="n"/>
      <c r="K609" s="10">
        <f>IFERROR(IF(INDEX('Test catalog'!$F$2:$F$200,MATCH($AB609,'Test catalog'!$A$2:$A$200,0))="","",INDEX('Test catalog'!$F$2:$F$200,MATCH($AB609,'Test catalog'!$A$2:$A$200,0))),"")</f>
        <v/>
      </c>
      <c r="L609" s="10">
        <f>IFERROR(IF(INDEX('Test catalog'!$G$2:$G$200,MATCH($AB609,'Test catalog'!$A$2:$A$200,0))="","",INDEX('Test catalog'!$G$2:$G$200,MATCH($AB609,'Test catalog'!$A$2:$A$200,0))),"")</f>
        <v/>
      </c>
      <c r="M609" s="10">
        <f>IFERROR(IF(INDEX('Test catalog'!$H$2:$H$200,MATCH($AB609,'Test catalog'!$A$2:$A$200,0))="","",INDEX('Test catalog'!$H$2:$H$200,MATCH($AB609,'Test catalog'!$A$2:$A$200,0))),"")</f>
        <v/>
      </c>
      <c r="N609" s="10">
        <f>IFERROR(IF(INDEX('Test catalog'!$I$2:$I$200,MATCH($AB609,'Test catalog'!$A$2:$A$200,0))="","",INDEX('Test catalog'!$I$2:$I$200,MATCH($AB609,'Test catalog'!$A$2:$A$200,0))),"")</f>
        <v/>
      </c>
      <c r="O609" s="10">
        <f>IFERROR(IF(INDEX('Test catalog'!$J$2:$J$200,MATCH($AB609,'Test catalog'!$A$2:$A$200,0))="","",INDEX('Test catalog'!$J$2:$J$200,MATCH($AB609,'Test catalog'!$A$2:$A$200,0))),"")</f>
        <v/>
      </c>
      <c r="P609" s="14">
        <f>IF(N609="","",IF(OR(M609="",O609=""),N609,(M609+4*N609+O609)/6))</f>
        <v/>
      </c>
      <c r="Q609" s="10">
        <f>IFERROR(IF(INDEX('Test catalog'!$K$2:$K$200,MATCH($AB609,'Test catalog'!$A$2:$A$200,0))="","",INDEX('Test catalog'!$K$2:$K$200,MATCH($AB609,'Test catalog'!$A$2:$A$200,0))),"")</f>
        <v/>
      </c>
      <c r="R609" s="5" t="n"/>
      <c r="S609" s="10">
        <f>IFERROR(IF(INDEX('Test catalog'!$L$2:$L$200,MATCH($AB609,'Test catalog'!$A$2:$A$200,0))="","",INDEX('Test catalog'!$L$2:$L$200,MATCH($AB609,'Test catalog'!$A$2:$A$200,0))),"")</f>
        <v/>
      </c>
      <c r="T609" s="10">
        <f>IFERROR(IF(INDEX('Test catalog'!$M$2:$M$200,MATCH($AB609,'Test catalog'!$A$2:$A$200,0))="","",INDEX('Test catalog'!$M$2:$M$200,MATCH($AB609,'Test catalog'!$A$2:$A$200,0))),"")</f>
        <v/>
      </c>
      <c r="U609" s="10">
        <f>IFERROR(IF(INDEX('Test catalog'!$N$2:$N$200,MATCH($AB609,'Test catalog'!$A$2:$A$200,0))="","",INDEX('Test catalog'!$N$2:$N$200,MATCH($AB609,'Test catalog'!$A$2:$A$200,0))),"")</f>
        <v/>
      </c>
      <c r="V609" s="15" t="n"/>
      <c r="W609" s="5" t="inlineStr">
        <is>
          <t>N</t>
        </is>
      </c>
      <c r="X609" s="5" t="n"/>
      <c r="Y609" s="5" t="n"/>
      <c r="Z609" s="5" t="n"/>
      <c r="AA609" s="10">
        <f>IFERROR(IF(INDEX('Test catalog'!$O$2:$O$200,MATCH($AB609,'Test catalog'!$A$2:$A$200,0))="","",INDEX('Test catalog'!$O$2:$O$200,MATCH($AB609,'Test catalog'!$A$2:$A$200,0))),"")</f>
        <v/>
      </c>
      <c r="AB609" s="10" t="inlineStr">
        <is>
          <t>PH</t>
        </is>
      </c>
      <c r="AC609" s="10" t="inlineStr">
        <is>
          <t>Hypromellose · Specific Tests &lt;791&gt;</t>
        </is>
      </c>
      <c r="AD609" s="10" t="n"/>
      <c r="AE609" s="10" t="n"/>
    </row>
    <row r="610">
      <c r="A610" s="10" t="inlineStr">
        <is>
          <t>HPMC 6cps (Hypromellose)</t>
        </is>
      </c>
      <c r="B610" s="10" t="inlineStr">
        <is>
          <t>RM</t>
        </is>
      </c>
      <c r="C610" s="10" t="inlineStr">
        <is>
          <t>Binder / Coating Polymer</t>
        </is>
      </c>
      <c r="D610" s="10" t="inlineStr">
        <is>
          <t>Loss on Drying</t>
        </is>
      </c>
      <c r="E610" s="10">
        <f>IF(A610="","",A610&amp;"|"&amp;D610)</f>
        <v/>
      </c>
      <c r="F610" s="5" t="inlineStr">
        <is>
          <t>Y</t>
        </is>
      </c>
      <c r="G610" s="5" t="inlineStr">
        <is>
          <t>Other / bench</t>
        </is>
      </c>
      <c r="H610" s="5" t="inlineStr">
        <is>
          <t>Low</t>
        </is>
      </c>
      <c r="I610" s="5" t="n">
        <v>1</v>
      </c>
      <c r="J610" s="5" t="n"/>
      <c r="K610" s="10">
        <f>IFERROR(IF(INDEX('Test catalog'!$F$2:$F$200,MATCH($AB610,'Test catalog'!$A$2:$A$200,0))="","",INDEX('Test catalog'!$F$2:$F$200,MATCH($AB610,'Test catalog'!$A$2:$A$200,0))),"")</f>
        <v/>
      </c>
      <c r="L610" s="10">
        <f>IFERROR(IF(INDEX('Test catalog'!$G$2:$G$200,MATCH($AB610,'Test catalog'!$A$2:$A$200,0))="","",INDEX('Test catalog'!$G$2:$G$200,MATCH($AB610,'Test catalog'!$A$2:$A$200,0))),"")</f>
        <v/>
      </c>
      <c r="M610" s="10">
        <f>IFERROR(IF(INDEX('Test catalog'!$H$2:$H$200,MATCH($AB610,'Test catalog'!$A$2:$A$200,0))="","",INDEX('Test catalog'!$H$2:$H$200,MATCH($AB610,'Test catalog'!$A$2:$A$200,0))),"")</f>
        <v/>
      </c>
      <c r="N610" s="10">
        <f>IFERROR(IF(INDEX('Test catalog'!$I$2:$I$200,MATCH($AB610,'Test catalog'!$A$2:$A$200,0))="","",INDEX('Test catalog'!$I$2:$I$200,MATCH($AB610,'Test catalog'!$A$2:$A$200,0))),"")</f>
        <v/>
      </c>
      <c r="O610" s="10">
        <f>IFERROR(IF(INDEX('Test catalog'!$J$2:$J$200,MATCH($AB610,'Test catalog'!$A$2:$A$200,0))="","",INDEX('Test catalog'!$J$2:$J$200,MATCH($AB610,'Test catalog'!$A$2:$A$200,0))),"")</f>
        <v/>
      </c>
      <c r="P610" s="14">
        <f>IF(N610="","",IF(OR(M610="",O610=""),N610,(M610+4*N610+O610)/6))</f>
        <v/>
      </c>
      <c r="Q610" s="10">
        <f>IFERROR(IF(INDEX('Test catalog'!$K$2:$K$200,MATCH($AB610,'Test catalog'!$A$2:$A$200,0))="","",INDEX('Test catalog'!$K$2:$K$200,MATCH($AB610,'Test catalog'!$A$2:$A$200,0))),"")</f>
        <v/>
      </c>
      <c r="R610" s="5" t="n"/>
      <c r="S610" s="10">
        <f>IFERROR(IF(INDEX('Test catalog'!$L$2:$L$200,MATCH($AB610,'Test catalog'!$A$2:$A$200,0))="","",INDEX('Test catalog'!$L$2:$L$200,MATCH($AB610,'Test catalog'!$A$2:$A$200,0))),"")</f>
        <v/>
      </c>
      <c r="T610" s="10">
        <f>IFERROR(IF(INDEX('Test catalog'!$M$2:$M$200,MATCH($AB610,'Test catalog'!$A$2:$A$200,0))="","",INDEX('Test catalog'!$M$2:$M$200,MATCH($AB610,'Test catalog'!$A$2:$A$200,0))),"")</f>
        <v/>
      </c>
      <c r="U610" s="10">
        <f>IFERROR(IF(INDEX('Test catalog'!$N$2:$N$200,MATCH($AB610,'Test catalog'!$A$2:$A$200,0))="","",INDEX('Test catalog'!$N$2:$N$200,MATCH($AB610,'Test catalog'!$A$2:$A$200,0))),"")</f>
        <v/>
      </c>
      <c r="V610" s="15" t="n"/>
      <c r="W610" s="5" t="inlineStr">
        <is>
          <t>N</t>
        </is>
      </c>
      <c r="X610" s="5" t="n"/>
      <c r="Y610" s="5" t="n"/>
      <c r="Z610" s="5" t="n"/>
      <c r="AA610" s="10">
        <f>IFERROR(IF(INDEX('Test catalog'!$O$2:$O$200,MATCH($AB610,'Test catalog'!$A$2:$A$200,0))="","",INDEX('Test catalog'!$O$2:$O$200,MATCH($AB610,'Test catalog'!$A$2:$A$200,0))),"")</f>
        <v/>
      </c>
      <c r="AB610" s="10" t="inlineStr">
        <is>
          <t>LOD</t>
        </is>
      </c>
      <c r="AC610" s="10" t="inlineStr">
        <is>
          <t>Hypromellose · Impurities &lt;731&gt;</t>
        </is>
      </c>
      <c r="AD610" s="10" t="n"/>
      <c r="AE610" s="10" t="n"/>
    </row>
    <row r="611">
      <c r="A611" s="10" t="inlineStr">
        <is>
          <t>HPMC 6cps (Hypromellose)</t>
        </is>
      </c>
      <c r="B611" s="10" t="inlineStr">
        <is>
          <t>RM</t>
        </is>
      </c>
      <c r="C611" s="10" t="inlineStr">
        <is>
          <t>Binder / Coating Polymer</t>
        </is>
      </c>
      <c r="D611" s="10" t="inlineStr">
        <is>
          <t>Viscosity—Capillary Methods</t>
        </is>
      </c>
      <c r="E611" s="10">
        <f>IF(A611="","",A611&amp;"|"&amp;D611)</f>
        <v/>
      </c>
      <c r="F611" s="5" t="inlineStr">
        <is>
          <t>Y</t>
        </is>
      </c>
      <c r="G611" s="5" t="inlineStr">
        <is>
          <t>Other / bench</t>
        </is>
      </c>
      <c r="H611" s="5" t="inlineStr">
        <is>
          <t>Low</t>
        </is>
      </c>
      <c r="I611" s="5" t="n">
        <v>1</v>
      </c>
      <c r="J611" s="5" t="n"/>
      <c r="K611" s="10">
        <f>IFERROR(IF(INDEX('Test catalog'!$F$2:$F$200,MATCH($AB611,'Test catalog'!$A$2:$A$200,0))="","",INDEX('Test catalog'!$F$2:$F$200,MATCH($AB611,'Test catalog'!$A$2:$A$200,0))),"")</f>
        <v/>
      </c>
      <c r="L611" s="10">
        <f>IFERROR(IF(INDEX('Test catalog'!$G$2:$G$200,MATCH($AB611,'Test catalog'!$A$2:$A$200,0))="","",INDEX('Test catalog'!$G$2:$G$200,MATCH($AB611,'Test catalog'!$A$2:$A$200,0))),"")</f>
        <v/>
      </c>
      <c r="M611" s="10">
        <f>IFERROR(IF(INDEX('Test catalog'!$H$2:$H$200,MATCH($AB611,'Test catalog'!$A$2:$A$200,0))="","",INDEX('Test catalog'!$H$2:$H$200,MATCH($AB611,'Test catalog'!$A$2:$A$200,0))),"")</f>
        <v/>
      </c>
      <c r="N611" s="10">
        <f>IFERROR(IF(INDEX('Test catalog'!$I$2:$I$200,MATCH($AB611,'Test catalog'!$A$2:$A$200,0))="","",INDEX('Test catalog'!$I$2:$I$200,MATCH($AB611,'Test catalog'!$A$2:$A$200,0))),"")</f>
        <v/>
      </c>
      <c r="O611" s="10">
        <f>IFERROR(IF(INDEX('Test catalog'!$J$2:$J$200,MATCH($AB611,'Test catalog'!$A$2:$A$200,0))="","",INDEX('Test catalog'!$J$2:$J$200,MATCH($AB611,'Test catalog'!$A$2:$A$200,0))),"")</f>
        <v/>
      </c>
      <c r="P611" s="14">
        <f>IF(N611="","",IF(OR(M611="",O611=""),N611,(M611+4*N611+O611)/6))</f>
        <v/>
      </c>
      <c r="Q611" s="10">
        <f>IFERROR(IF(INDEX('Test catalog'!$K$2:$K$200,MATCH($AB611,'Test catalog'!$A$2:$A$200,0))="","",INDEX('Test catalog'!$K$2:$K$200,MATCH($AB611,'Test catalog'!$A$2:$A$200,0))),"")</f>
        <v/>
      </c>
      <c r="R611" s="5" t="n"/>
      <c r="S611" s="10">
        <f>IFERROR(IF(INDEX('Test catalog'!$L$2:$L$200,MATCH($AB611,'Test catalog'!$A$2:$A$200,0))="","",INDEX('Test catalog'!$L$2:$L$200,MATCH($AB611,'Test catalog'!$A$2:$A$200,0))),"")</f>
        <v/>
      </c>
      <c r="T611" s="10">
        <f>IFERROR(IF(INDEX('Test catalog'!$M$2:$M$200,MATCH($AB611,'Test catalog'!$A$2:$A$200,0))="","",INDEX('Test catalog'!$M$2:$M$200,MATCH($AB611,'Test catalog'!$A$2:$A$200,0))),"")</f>
        <v/>
      </c>
      <c r="U611" s="10">
        <f>IFERROR(IF(INDEX('Test catalog'!$N$2:$N$200,MATCH($AB611,'Test catalog'!$A$2:$A$200,0))="","",INDEX('Test catalog'!$N$2:$N$200,MATCH($AB611,'Test catalog'!$A$2:$A$200,0))),"")</f>
        <v/>
      </c>
      <c r="V611" s="15" t="n"/>
      <c r="W611" s="5" t="inlineStr">
        <is>
          <t>N</t>
        </is>
      </c>
      <c r="X611" s="5" t="n"/>
      <c r="Y611" s="5" t="n"/>
      <c r="Z611" s="5" t="n"/>
      <c r="AA611" s="10">
        <f>IFERROR(IF(INDEX('Test catalog'!$O$2:$O$200,MATCH($AB611,'Test catalog'!$A$2:$A$200,0))="","",INDEX('Test catalog'!$O$2:$O$200,MATCH($AB611,'Test catalog'!$A$2:$A$200,0))),"")</f>
        <v/>
      </c>
      <c r="AB611" s="10" t="inlineStr">
        <is>
          <t>VISC</t>
        </is>
      </c>
      <c r="AC611" s="10" t="inlineStr">
        <is>
          <t>Hypromellose · Impurities &lt;911,912&gt;</t>
        </is>
      </c>
      <c r="AD611" s="10" t="n"/>
      <c r="AE611" s="10" t="n"/>
    </row>
    <row r="612">
      <c r="A612" s="10" t="inlineStr">
        <is>
          <t>Hard Gelatin Capsule</t>
        </is>
      </c>
      <c r="B612" s="10" t="inlineStr">
        <is>
          <t>RM</t>
        </is>
      </c>
      <c r="C612" s="10" t="inlineStr">
        <is>
          <t>Capsule Shell</t>
        </is>
      </c>
      <c r="D612" s="10" t="inlineStr">
        <is>
          <t>Compendial tests</t>
        </is>
      </c>
      <c r="E612" s="10">
        <f>IF(A612="","",A612&amp;"|"&amp;D612)</f>
        <v/>
      </c>
      <c r="F612" s="5" t="inlineStr">
        <is>
          <t>Y</t>
        </is>
      </c>
      <c r="G612" s="5" t="inlineStr">
        <is>
          <t>Other / bench</t>
        </is>
      </c>
      <c r="H612" s="5" t="inlineStr">
        <is>
          <t>Low</t>
        </is>
      </c>
      <c r="I612" s="5" t="n">
        <v>1</v>
      </c>
      <c r="J612" s="5" t="n"/>
      <c r="K612" s="5" t="n"/>
      <c r="L612" s="5" t="n"/>
      <c r="M612" s="5" t="n"/>
      <c r="N612" s="5" t="n"/>
      <c r="O612" s="5" t="n"/>
      <c r="P612" s="14">
        <f>IF(N612="","",IF(OR(M612="",O612=""),N612,(M612+4*N612+O612)/6))</f>
        <v/>
      </c>
      <c r="Q612" s="5" t="n"/>
      <c r="R612" s="5" t="n"/>
      <c r="S612" s="5" t="n"/>
      <c r="T612" s="5" t="n"/>
      <c r="U612" s="5" t="n"/>
      <c r="V612" s="15" t="n"/>
      <c r="W612" s="5" t="inlineStr">
        <is>
          <t>N</t>
        </is>
      </c>
      <c r="X612" s="5" t="n"/>
      <c r="Y612" s="5" t="n"/>
      <c r="Z612" s="5" t="inlineStr">
        <is>
          <t>Change instrument to HPLC/GC if applicable (e.g. residual solvents, ethanol by GC)</t>
        </is>
      </c>
      <c r="AA612" s="5" t="n"/>
      <c r="AB612" s="10" t="n"/>
      <c r="AC612" s="10" t="n"/>
      <c r="AD612" s="10" t="inlineStr">
        <is>
          <t>No USP-NF monograph - in-house / supplier spec</t>
        </is>
      </c>
      <c r="AE612" s="10" t="n"/>
      <c r="AF612" s="10" t="n"/>
    </row>
    <row r="613">
      <c r="A613" s="10" t="inlineStr">
        <is>
          <t>Edetate Disodium</t>
        </is>
      </c>
      <c r="B613" s="10" t="inlineStr">
        <is>
          <t>RM</t>
        </is>
      </c>
      <c r="C613" s="10" t="inlineStr">
        <is>
          <t>Chelating Agent</t>
        </is>
      </c>
      <c r="D613" s="10" t="inlineStr">
        <is>
          <t>Appearance / description and solubility</t>
        </is>
      </c>
      <c r="E613" s="10">
        <f>IF(A613="","",A613&amp;"|"&amp;D613)</f>
        <v/>
      </c>
      <c r="F613" s="5" t="inlineStr">
        <is>
          <t>Y</t>
        </is>
      </c>
      <c r="G613" s="5" t="inlineStr">
        <is>
          <t>Other / bench</t>
        </is>
      </c>
      <c r="H613" s="5" t="inlineStr">
        <is>
          <t>Low</t>
        </is>
      </c>
      <c r="I613" s="5" t="n">
        <v>1</v>
      </c>
      <c r="J613" s="5" t="n"/>
      <c r="K613" s="10">
        <f>IFERROR(IF(INDEX('Test catalog'!$F$2:$F$200,MATCH($AB613,'Test catalog'!$A$2:$A$200,0))="","",INDEX('Test catalog'!$F$2:$F$200,MATCH($AB613,'Test catalog'!$A$2:$A$200,0))),"")</f>
        <v/>
      </c>
      <c r="L613" s="10">
        <f>IFERROR(IF(INDEX('Test catalog'!$G$2:$G$200,MATCH($AB613,'Test catalog'!$A$2:$A$200,0))="","",INDEX('Test catalog'!$G$2:$G$200,MATCH($AB613,'Test catalog'!$A$2:$A$200,0))),"")</f>
        <v/>
      </c>
      <c r="M613" s="10">
        <f>IFERROR(IF(INDEX('Test catalog'!$H$2:$H$200,MATCH($AB613,'Test catalog'!$A$2:$A$200,0))="","",INDEX('Test catalog'!$H$2:$H$200,MATCH($AB613,'Test catalog'!$A$2:$A$200,0))),"")</f>
        <v/>
      </c>
      <c r="N613" s="10">
        <f>IFERROR(IF(INDEX('Test catalog'!$I$2:$I$200,MATCH($AB613,'Test catalog'!$A$2:$A$200,0))="","",INDEX('Test catalog'!$I$2:$I$200,MATCH($AB613,'Test catalog'!$A$2:$A$200,0))),"")</f>
        <v/>
      </c>
      <c r="O613" s="10">
        <f>IFERROR(IF(INDEX('Test catalog'!$J$2:$J$200,MATCH($AB613,'Test catalog'!$A$2:$A$200,0))="","",INDEX('Test catalog'!$J$2:$J$200,MATCH($AB613,'Test catalog'!$A$2:$A$200,0))),"")</f>
        <v/>
      </c>
      <c r="P613" s="14">
        <f>IF(N613="","",IF(OR(M613="",O613=""),N613,(M613+4*N613+O613)/6))</f>
        <v/>
      </c>
      <c r="Q613" s="10">
        <f>IFERROR(IF(INDEX('Test catalog'!$K$2:$K$200,MATCH($AB613,'Test catalog'!$A$2:$A$200,0))="","",INDEX('Test catalog'!$K$2:$K$200,MATCH($AB613,'Test catalog'!$A$2:$A$200,0))),"")</f>
        <v/>
      </c>
      <c r="R613" s="5" t="n"/>
      <c r="S613" s="10">
        <f>IFERROR(IF(INDEX('Test catalog'!$L$2:$L$200,MATCH($AB613,'Test catalog'!$A$2:$A$200,0))="","",INDEX('Test catalog'!$L$2:$L$200,MATCH($AB613,'Test catalog'!$A$2:$A$200,0))),"")</f>
        <v/>
      </c>
      <c r="T613" s="10">
        <f>IFERROR(IF(INDEX('Test catalog'!$M$2:$M$200,MATCH($AB613,'Test catalog'!$A$2:$A$200,0))="","",INDEX('Test catalog'!$M$2:$M$200,MATCH($AB613,'Test catalog'!$A$2:$A$200,0))),"")</f>
        <v/>
      </c>
      <c r="U613" s="10">
        <f>IFERROR(IF(INDEX('Test catalog'!$N$2:$N$200,MATCH($AB613,'Test catalog'!$A$2:$A$200,0))="","",INDEX('Test catalog'!$N$2:$N$200,MATCH($AB613,'Test catalog'!$A$2:$A$200,0))),"")</f>
        <v/>
      </c>
      <c r="V613" s="15" t="n"/>
      <c r="W613" s="5" t="inlineStr">
        <is>
          <t>N</t>
        </is>
      </c>
      <c r="X613" s="5" t="n"/>
      <c r="Y613" s="5" t="n"/>
      <c r="Z613" s="5" t="n"/>
      <c r="AA613" s="10">
        <f>IFERROR(IF(INDEX('Test catalog'!$O$2:$O$200,MATCH($AB613,'Test catalog'!$A$2:$A$200,0))="","",INDEX('Test catalog'!$O$2:$O$200,MATCH($AB613,'Test catalog'!$A$2:$A$200,0))),"")</f>
        <v/>
      </c>
      <c r="AB613" s="10" t="inlineStr">
        <is>
          <t>APPEAR</t>
        </is>
      </c>
      <c r="AC613" s="10" t="inlineStr">
        <is>
          <t>Lab practice (not a USP test)</t>
        </is>
      </c>
      <c r="AD613" s="10" t="n"/>
      <c r="AE613" s="10" t="n"/>
    </row>
    <row r="614">
      <c r="A614" s="10" t="inlineStr">
        <is>
          <t>Edetate Disodium</t>
        </is>
      </c>
      <c r="B614" s="10" t="inlineStr">
        <is>
          <t>RM</t>
        </is>
      </c>
      <c r="C614" s="10" t="inlineStr">
        <is>
          <t>Chelating Agent</t>
        </is>
      </c>
      <c r="D614" s="10" t="inlineStr">
        <is>
          <t>ID A - IR spectrum</t>
        </is>
      </c>
      <c r="E614" s="10">
        <f>IF(A614="","",A614&amp;"|"&amp;D614)</f>
        <v/>
      </c>
      <c r="F614" s="5" t="inlineStr">
        <is>
          <t>Y</t>
        </is>
      </c>
      <c r="G614" s="5" t="inlineStr">
        <is>
          <t>Other / bench</t>
        </is>
      </c>
      <c r="H614" s="5" t="inlineStr">
        <is>
          <t>Low</t>
        </is>
      </c>
      <c r="I614" s="5" t="n">
        <v>1</v>
      </c>
      <c r="J614" s="5" t="n"/>
      <c r="K614" s="10">
        <f>IFERROR(IF(INDEX('Test catalog'!$F$2:$F$200,MATCH($AB614,'Test catalog'!$A$2:$A$200,0))="","",INDEX('Test catalog'!$F$2:$F$200,MATCH($AB614,'Test catalog'!$A$2:$A$200,0))),"")</f>
        <v/>
      </c>
      <c r="L614" s="10">
        <f>IFERROR(IF(INDEX('Test catalog'!$G$2:$G$200,MATCH($AB614,'Test catalog'!$A$2:$A$200,0))="","",INDEX('Test catalog'!$G$2:$G$200,MATCH($AB614,'Test catalog'!$A$2:$A$200,0))),"")</f>
        <v/>
      </c>
      <c r="M614" s="10">
        <f>IFERROR(IF(INDEX('Test catalog'!$H$2:$H$200,MATCH($AB614,'Test catalog'!$A$2:$A$200,0))="","",INDEX('Test catalog'!$H$2:$H$200,MATCH($AB614,'Test catalog'!$A$2:$A$200,0))),"")</f>
        <v/>
      </c>
      <c r="N614" s="10">
        <f>IFERROR(IF(INDEX('Test catalog'!$I$2:$I$200,MATCH($AB614,'Test catalog'!$A$2:$A$200,0))="","",INDEX('Test catalog'!$I$2:$I$200,MATCH($AB614,'Test catalog'!$A$2:$A$200,0))),"")</f>
        <v/>
      </c>
      <c r="O614" s="10">
        <f>IFERROR(IF(INDEX('Test catalog'!$J$2:$J$200,MATCH($AB614,'Test catalog'!$A$2:$A$200,0))="","",INDEX('Test catalog'!$J$2:$J$200,MATCH($AB614,'Test catalog'!$A$2:$A$200,0))),"")</f>
        <v/>
      </c>
      <c r="P614" s="14">
        <f>IF(N614="","",IF(OR(M614="",O614=""),N614,(M614+4*N614+O614)/6))</f>
        <v/>
      </c>
      <c r="Q614" s="10">
        <f>IFERROR(IF(INDEX('Test catalog'!$K$2:$K$200,MATCH($AB614,'Test catalog'!$A$2:$A$200,0))="","",INDEX('Test catalog'!$K$2:$K$200,MATCH($AB614,'Test catalog'!$A$2:$A$200,0))),"")</f>
        <v/>
      </c>
      <c r="R614" s="5" t="n"/>
      <c r="S614" s="10">
        <f>IFERROR(IF(INDEX('Test catalog'!$L$2:$L$200,MATCH($AB614,'Test catalog'!$A$2:$A$200,0))="","",INDEX('Test catalog'!$L$2:$L$200,MATCH($AB614,'Test catalog'!$A$2:$A$200,0))),"")</f>
        <v/>
      </c>
      <c r="T614" s="10">
        <f>IFERROR(IF(INDEX('Test catalog'!$M$2:$M$200,MATCH($AB614,'Test catalog'!$A$2:$A$200,0))="","",INDEX('Test catalog'!$M$2:$M$200,MATCH($AB614,'Test catalog'!$A$2:$A$200,0))),"")</f>
        <v/>
      </c>
      <c r="U614" s="10">
        <f>IFERROR(IF(INDEX('Test catalog'!$N$2:$N$200,MATCH($AB614,'Test catalog'!$A$2:$A$200,0))="","",INDEX('Test catalog'!$N$2:$N$200,MATCH($AB614,'Test catalog'!$A$2:$A$200,0))),"")</f>
        <v/>
      </c>
      <c r="V614" s="15" t="n"/>
      <c r="W614" s="5" t="inlineStr">
        <is>
          <t>N</t>
        </is>
      </c>
      <c r="X614" s="5" t="n"/>
      <c r="Y614" s="5" t="n"/>
      <c r="Z614" s="5" t="n"/>
      <c r="AA614" s="10">
        <f>IFERROR(IF(INDEX('Test catalog'!$O$2:$O$200,MATCH($AB614,'Test catalog'!$A$2:$A$200,0))="","",INDEX('Test catalog'!$O$2:$O$200,MATCH($AB614,'Test catalog'!$A$2:$A$200,0))),"")</f>
        <v/>
      </c>
      <c r="AB614" s="10" t="inlineStr">
        <is>
          <t>ID_IR</t>
        </is>
      </c>
      <c r="AC614" s="10" t="inlineStr">
        <is>
          <t>Edetate Disodium · Identification &lt;197&gt;</t>
        </is>
      </c>
      <c r="AD614" s="10" t="n"/>
      <c r="AE614" s="10" t="n"/>
    </row>
    <row r="615">
      <c r="A615" s="10" t="inlineStr">
        <is>
          <t>Edetate Disodium</t>
        </is>
      </c>
      <c r="B615" s="10" t="inlineStr">
        <is>
          <t>RM</t>
        </is>
      </c>
      <c r="C615" s="10" t="inlineStr">
        <is>
          <t>Chelating Agent</t>
        </is>
      </c>
      <c r="D615" s="10" t="inlineStr">
        <is>
          <t>ID B - chemical reaction</t>
        </is>
      </c>
      <c r="E615" s="10">
        <f>IF(A615="","",A615&amp;"|"&amp;D615)</f>
        <v/>
      </c>
      <c r="F615" s="5" t="inlineStr">
        <is>
          <t>Y</t>
        </is>
      </c>
      <c r="G615" s="5" t="inlineStr">
        <is>
          <t>Other / bench</t>
        </is>
      </c>
      <c r="H615" s="5" t="inlineStr">
        <is>
          <t>Low</t>
        </is>
      </c>
      <c r="I615" s="5" t="n">
        <v>1</v>
      </c>
      <c r="J615" s="5" t="n"/>
      <c r="K615" s="10">
        <f>IFERROR(IF(INDEX('Test catalog'!$F$2:$F$200,MATCH($AB615,'Test catalog'!$A$2:$A$200,0))="","",INDEX('Test catalog'!$F$2:$F$200,MATCH($AB615,'Test catalog'!$A$2:$A$200,0))),"")</f>
        <v/>
      </c>
      <c r="L615" s="10">
        <f>IFERROR(IF(INDEX('Test catalog'!$G$2:$G$200,MATCH($AB615,'Test catalog'!$A$2:$A$200,0))="","",INDEX('Test catalog'!$G$2:$G$200,MATCH($AB615,'Test catalog'!$A$2:$A$200,0))),"")</f>
        <v/>
      </c>
      <c r="M615" s="10">
        <f>IFERROR(IF(INDEX('Test catalog'!$H$2:$H$200,MATCH($AB615,'Test catalog'!$A$2:$A$200,0))="","",INDEX('Test catalog'!$H$2:$H$200,MATCH($AB615,'Test catalog'!$A$2:$A$200,0))),"")</f>
        <v/>
      </c>
      <c r="N615" s="10">
        <f>IFERROR(IF(INDEX('Test catalog'!$I$2:$I$200,MATCH($AB615,'Test catalog'!$A$2:$A$200,0))="","",INDEX('Test catalog'!$I$2:$I$200,MATCH($AB615,'Test catalog'!$A$2:$A$200,0))),"")</f>
        <v/>
      </c>
      <c r="O615" s="10">
        <f>IFERROR(IF(INDEX('Test catalog'!$J$2:$J$200,MATCH($AB615,'Test catalog'!$A$2:$A$200,0))="","",INDEX('Test catalog'!$J$2:$J$200,MATCH($AB615,'Test catalog'!$A$2:$A$200,0))),"")</f>
        <v/>
      </c>
      <c r="P615" s="14">
        <f>IF(N615="","",IF(OR(M615="",O615=""),N615,(M615+4*N615+O615)/6))</f>
        <v/>
      </c>
      <c r="Q615" s="10">
        <f>IFERROR(IF(INDEX('Test catalog'!$K$2:$K$200,MATCH($AB615,'Test catalog'!$A$2:$A$200,0))="","",INDEX('Test catalog'!$K$2:$K$200,MATCH($AB615,'Test catalog'!$A$2:$A$200,0))),"")</f>
        <v/>
      </c>
      <c r="R615" s="5" t="n"/>
      <c r="S615" s="10">
        <f>IFERROR(IF(INDEX('Test catalog'!$L$2:$L$200,MATCH($AB615,'Test catalog'!$A$2:$A$200,0))="","",INDEX('Test catalog'!$L$2:$L$200,MATCH($AB615,'Test catalog'!$A$2:$A$200,0))),"")</f>
        <v/>
      </c>
      <c r="T615" s="10">
        <f>IFERROR(IF(INDEX('Test catalog'!$M$2:$M$200,MATCH($AB615,'Test catalog'!$A$2:$A$200,0))="","",INDEX('Test catalog'!$M$2:$M$200,MATCH($AB615,'Test catalog'!$A$2:$A$200,0))),"")</f>
        <v/>
      </c>
      <c r="U615" s="10">
        <f>IFERROR(IF(INDEX('Test catalog'!$N$2:$N$200,MATCH($AB615,'Test catalog'!$A$2:$A$200,0))="","",INDEX('Test catalog'!$N$2:$N$200,MATCH($AB615,'Test catalog'!$A$2:$A$200,0))),"")</f>
        <v/>
      </c>
      <c r="V615" s="15" t="n"/>
      <c r="W615" s="5" t="inlineStr">
        <is>
          <t>N</t>
        </is>
      </c>
      <c r="X615" s="5" t="n"/>
      <c r="Y615" s="5" t="n"/>
      <c r="Z615" s="5" t="n"/>
      <c r="AA615" s="10">
        <f>IFERROR(IF(INDEX('Test catalog'!$O$2:$O$200,MATCH($AB615,'Test catalog'!$A$2:$A$200,0))="","",INDEX('Test catalog'!$O$2:$O$200,MATCH($AB615,'Test catalog'!$A$2:$A$200,0))),"")</f>
        <v/>
      </c>
      <c r="AB615" s="10" t="inlineStr">
        <is>
          <t>ID_CHEM</t>
        </is>
      </c>
      <c r="AC615" s="10" t="inlineStr">
        <is>
          <t>Edetate Disodium · Identification</t>
        </is>
      </c>
      <c r="AD615" s="10" t="n"/>
      <c r="AE615" s="10" t="n"/>
    </row>
    <row r="616">
      <c r="A616" s="10" t="inlineStr">
        <is>
          <t>Edetate Disodium</t>
        </is>
      </c>
      <c r="B616" s="10" t="inlineStr">
        <is>
          <t>RM</t>
        </is>
      </c>
      <c r="C616" s="10" t="inlineStr">
        <is>
          <t>Chelating Agent</t>
        </is>
      </c>
      <c r="D616" s="10" t="inlineStr">
        <is>
          <t>ID C - chemical reaction</t>
        </is>
      </c>
      <c r="E616" s="10">
        <f>IF(A616="","",A616&amp;"|"&amp;D616)</f>
        <v/>
      </c>
      <c r="F616" s="5" t="inlineStr">
        <is>
          <t>Y</t>
        </is>
      </c>
      <c r="G616" s="5" t="inlineStr">
        <is>
          <t>Other / bench</t>
        </is>
      </c>
      <c r="H616" s="5" t="inlineStr">
        <is>
          <t>Low</t>
        </is>
      </c>
      <c r="I616" s="5" t="n">
        <v>1</v>
      </c>
      <c r="J616" s="5" t="n"/>
      <c r="K616" s="10">
        <f>IFERROR(IF(INDEX('Test catalog'!$F$2:$F$200,MATCH($AB616,'Test catalog'!$A$2:$A$200,0))="","",INDEX('Test catalog'!$F$2:$F$200,MATCH($AB616,'Test catalog'!$A$2:$A$200,0))),"")</f>
        <v/>
      </c>
      <c r="L616" s="10">
        <f>IFERROR(IF(INDEX('Test catalog'!$G$2:$G$200,MATCH($AB616,'Test catalog'!$A$2:$A$200,0))="","",INDEX('Test catalog'!$G$2:$G$200,MATCH($AB616,'Test catalog'!$A$2:$A$200,0))),"")</f>
        <v/>
      </c>
      <c r="M616" s="10">
        <f>IFERROR(IF(INDEX('Test catalog'!$H$2:$H$200,MATCH($AB616,'Test catalog'!$A$2:$A$200,0))="","",INDEX('Test catalog'!$H$2:$H$200,MATCH($AB616,'Test catalog'!$A$2:$A$200,0))),"")</f>
        <v/>
      </c>
      <c r="N616" s="10">
        <f>IFERROR(IF(INDEX('Test catalog'!$I$2:$I$200,MATCH($AB616,'Test catalog'!$A$2:$A$200,0))="","",INDEX('Test catalog'!$I$2:$I$200,MATCH($AB616,'Test catalog'!$A$2:$A$200,0))),"")</f>
        <v/>
      </c>
      <c r="O616" s="10">
        <f>IFERROR(IF(INDEX('Test catalog'!$J$2:$J$200,MATCH($AB616,'Test catalog'!$A$2:$A$200,0))="","",INDEX('Test catalog'!$J$2:$J$200,MATCH($AB616,'Test catalog'!$A$2:$A$200,0))),"")</f>
        <v/>
      </c>
      <c r="P616" s="14">
        <f>IF(N616="","",IF(OR(M616="",O616=""),N616,(M616+4*N616+O616)/6))</f>
        <v/>
      </c>
      <c r="Q616" s="10">
        <f>IFERROR(IF(INDEX('Test catalog'!$K$2:$K$200,MATCH($AB616,'Test catalog'!$A$2:$A$200,0))="","",INDEX('Test catalog'!$K$2:$K$200,MATCH($AB616,'Test catalog'!$A$2:$A$200,0))),"")</f>
        <v/>
      </c>
      <c r="R616" s="5" t="n"/>
      <c r="S616" s="10">
        <f>IFERROR(IF(INDEX('Test catalog'!$L$2:$L$200,MATCH($AB616,'Test catalog'!$A$2:$A$200,0))="","",INDEX('Test catalog'!$L$2:$L$200,MATCH($AB616,'Test catalog'!$A$2:$A$200,0))),"")</f>
        <v/>
      </c>
      <c r="T616" s="10">
        <f>IFERROR(IF(INDEX('Test catalog'!$M$2:$M$200,MATCH($AB616,'Test catalog'!$A$2:$A$200,0))="","",INDEX('Test catalog'!$M$2:$M$200,MATCH($AB616,'Test catalog'!$A$2:$A$200,0))),"")</f>
        <v/>
      </c>
      <c r="U616" s="10">
        <f>IFERROR(IF(INDEX('Test catalog'!$N$2:$N$200,MATCH($AB616,'Test catalog'!$A$2:$A$200,0))="","",INDEX('Test catalog'!$N$2:$N$200,MATCH($AB616,'Test catalog'!$A$2:$A$200,0))),"")</f>
        <v/>
      </c>
      <c r="V616" s="15" t="n"/>
      <c r="W616" s="5" t="inlineStr">
        <is>
          <t>N</t>
        </is>
      </c>
      <c r="X616" s="5" t="n"/>
      <c r="Y616" s="5" t="n"/>
      <c r="Z616" s="5" t="n"/>
      <c r="AA616" s="10">
        <f>IFERROR(IF(INDEX('Test catalog'!$O$2:$O$200,MATCH($AB616,'Test catalog'!$A$2:$A$200,0))="","",INDEX('Test catalog'!$O$2:$O$200,MATCH($AB616,'Test catalog'!$A$2:$A$200,0))),"")</f>
        <v/>
      </c>
      <c r="AB616" s="10" t="inlineStr">
        <is>
          <t>ID_CHEM</t>
        </is>
      </c>
      <c r="AC616" s="10" t="inlineStr">
        <is>
          <t>Edetate Disodium · Identification &lt;191&gt;</t>
        </is>
      </c>
      <c r="AD616" s="10" t="n"/>
      <c r="AE616" s="10" t="n"/>
    </row>
    <row r="617">
      <c r="A617" s="10" t="inlineStr">
        <is>
          <t>Edetate Disodium</t>
        </is>
      </c>
      <c r="B617" s="10" t="inlineStr">
        <is>
          <t>RM</t>
        </is>
      </c>
      <c r="C617" s="10" t="inlineStr">
        <is>
          <t>Chelating Agent</t>
        </is>
      </c>
      <c r="D617" s="10" t="inlineStr">
        <is>
          <t>Assay</t>
        </is>
      </c>
      <c r="E617" s="10">
        <f>IF(A617="","",A617&amp;"|"&amp;D617)</f>
        <v/>
      </c>
      <c r="F617" s="5" t="inlineStr">
        <is>
          <t>Y</t>
        </is>
      </c>
      <c r="G617" s="5" t="inlineStr">
        <is>
          <t>Other / bench</t>
        </is>
      </c>
      <c r="H617" s="5" t="inlineStr">
        <is>
          <t>Low</t>
        </is>
      </c>
      <c r="I617" s="5" t="n">
        <v>1</v>
      </c>
      <c r="J617" s="5" t="n"/>
      <c r="K617" s="10">
        <f>IFERROR(IF(INDEX('Test catalog'!$F$2:$F$200,MATCH($AB617,'Test catalog'!$A$2:$A$200,0))="","",INDEX('Test catalog'!$F$2:$F$200,MATCH($AB617,'Test catalog'!$A$2:$A$200,0))),"")</f>
        <v/>
      </c>
      <c r="L617" s="10">
        <f>IFERROR(IF(INDEX('Test catalog'!$G$2:$G$200,MATCH($AB617,'Test catalog'!$A$2:$A$200,0))="","",INDEX('Test catalog'!$G$2:$G$200,MATCH($AB617,'Test catalog'!$A$2:$A$200,0))),"")</f>
        <v/>
      </c>
      <c r="M617" s="10">
        <f>IFERROR(IF(INDEX('Test catalog'!$H$2:$H$200,MATCH($AB617,'Test catalog'!$A$2:$A$200,0))="","",INDEX('Test catalog'!$H$2:$H$200,MATCH($AB617,'Test catalog'!$A$2:$A$200,0))),"")</f>
        <v/>
      </c>
      <c r="N617" s="10">
        <f>IFERROR(IF(INDEX('Test catalog'!$I$2:$I$200,MATCH($AB617,'Test catalog'!$A$2:$A$200,0))="","",INDEX('Test catalog'!$I$2:$I$200,MATCH($AB617,'Test catalog'!$A$2:$A$200,0))),"")</f>
        <v/>
      </c>
      <c r="O617" s="10">
        <f>IFERROR(IF(INDEX('Test catalog'!$J$2:$J$200,MATCH($AB617,'Test catalog'!$A$2:$A$200,0))="","",INDEX('Test catalog'!$J$2:$J$200,MATCH($AB617,'Test catalog'!$A$2:$A$200,0))),"")</f>
        <v/>
      </c>
      <c r="P617" s="14">
        <f>IF(N617="","",IF(OR(M617="",O617=""),N617,(M617+4*N617+O617)/6))</f>
        <v/>
      </c>
      <c r="Q617" s="10">
        <f>IFERROR(IF(INDEX('Test catalog'!$K$2:$K$200,MATCH($AB617,'Test catalog'!$A$2:$A$200,0))="","",INDEX('Test catalog'!$K$2:$K$200,MATCH($AB617,'Test catalog'!$A$2:$A$200,0))),"")</f>
        <v/>
      </c>
      <c r="R617" s="5" t="n"/>
      <c r="S617" s="10">
        <f>IFERROR(IF(INDEX('Test catalog'!$L$2:$L$200,MATCH($AB617,'Test catalog'!$A$2:$A$200,0))="","",INDEX('Test catalog'!$L$2:$L$200,MATCH($AB617,'Test catalog'!$A$2:$A$200,0))),"")</f>
        <v/>
      </c>
      <c r="T617" s="10">
        <f>IFERROR(IF(INDEX('Test catalog'!$M$2:$M$200,MATCH($AB617,'Test catalog'!$A$2:$A$200,0))="","",INDEX('Test catalog'!$M$2:$M$200,MATCH($AB617,'Test catalog'!$A$2:$A$200,0))),"")</f>
        <v/>
      </c>
      <c r="U617" s="10">
        <f>IFERROR(IF(INDEX('Test catalog'!$N$2:$N$200,MATCH($AB617,'Test catalog'!$A$2:$A$200,0))="","",INDEX('Test catalog'!$N$2:$N$200,MATCH($AB617,'Test catalog'!$A$2:$A$200,0))),"")</f>
        <v/>
      </c>
      <c r="V617" s="15" t="n"/>
      <c r="W617" s="5" t="inlineStr">
        <is>
          <t>N</t>
        </is>
      </c>
      <c r="X617" s="5" t="n"/>
      <c r="Y617" s="5" t="n"/>
      <c r="Z617" s="5" t="n"/>
      <c r="AA617" s="10">
        <f>IFERROR(IF(INDEX('Test catalog'!$O$2:$O$200,MATCH($AB617,'Test catalog'!$A$2:$A$200,0))="","",INDEX('Test catalog'!$O$2:$O$200,MATCH($AB617,'Test catalog'!$A$2:$A$200,0))),"")</f>
        <v/>
      </c>
      <c r="AB617" s="10" t="inlineStr">
        <is>
          <t>TITR</t>
        </is>
      </c>
      <c r="AC617" s="10" t="inlineStr">
        <is>
          <t>Edetate Disodium · Assay</t>
        </is>
      </c>
      <c r="AD617" s="10" t="n"/>
      <c r="AE617" s="10" t="n"/>
    </row>
    <row r="618">
      <c r="A618" s="10" t="inlineStr">
        <is>
          <t>Edetate Disodium</t>
        </is>
      </c>
      <c r="B618" s="10" t="inlineStr">
        <is>
          <t>RM</t>
        </is>
      </c>
      <c r="C618" s="10" t="inlineStr">
        <is>
          <t>Chelating Agent</t>
        </is>
      </c>
      <c r="D618" s="10" t="inlineStr">
        <is>
          <t>Calcium</t>
        </is>
      </c>
      <c r="E618" s="10">
        <f>IF(A618="","",A618&amp;"|"&amp;D618)</f>
        <v/>
      </c>
      <c r="F618" s="5" t="inlineStr">
        <is>
          <t>Y</t>
        </is>
      </c>
      <c r="G618" s="5" t="inlineStr">
        <is>
          <t>Other / bench</t>
        </is>
      </c>
      <c r="H618" s="5" t="inlineStr">
        <is>
          <t>Low</t>
        </is>
      </c>
      <c r="I618" s="5" t="n">
        <v>1</v>
      </c>
      <c r="J618" s="5" t="n"/>
      <c r="K618" s="10">
        <f>IFERROR(IF(INDEX('Test catalog'!$F$2:$F$200,MATCH($AB618,'Test catalog'!$A$2:$A$200,0))="","",INDEX('Test catalog'!$F$2:$F$200,MATCH($AB618,'Test catalog'!$A$2:$A$200,0))),"")</f>
        <v/>
      </c>
      <c r="L618" s="10">
        <f>IFERROR(IF(INDEX('Test catalog'!$G$2:$G$200,MATCH($AB618,'Test catalog'!$A$2:$A$200,0))="","",INDEX('Test catalog'!$G$2:$G$200,MATCH($AB618,'Test catalog'!$A$2:$A$200,0))),"")</f>
        <v/>
      </c>
      <c r="M618" s="10">
        <f>IFERROR(IF(INDEX('Test catalog'!$H$2:$H$200,MATCH($AB618,'Test catalog'!$A$2:$A$200,0))="","",INDEX('Test catalog'!$H$2:$H$200,MATCH($AB618,'Test catalog'!$A$2:$A$200,0))),"")</f>
        <v/>
      </c>
      <c r="N618" s="10">
        <f>IFERROR(IF(INDEX('Test catalog'!$I$2:$I$200,MATCH($AB618,'Test catalog'!$A$2:$A$200,0))="","",INDEX('Test catalog'!$I$2:$I$200,MATCH($AB618,'Test catalog'!$A$2:$A$200,0))),"")</f>
        <v/>
      </c>
      <c r="O618" s="10">
        <f>IFERROR(IF(INDEX('Test catalog'!$J$2:$J$200,MATCH($AB618,'Test catalog'!$A$2:$A$200,0))="","",INDEX('Test catalog'!$J$2:$J$200,MATCH($AB618,'Test catalog'!$A$2:$A$200,0))),"")</f>
        <v/>
      </c>
      <c r="P618" s="14">
        <f>IF(N618="","",IF(OR(M618="",O618=""),N618,(M618+4*N618+O618)/6))</f>
        <v/>
      </c>
      <c r="Q618" s="10">
        <f>IFERROR(IF(INDEX('Test catalog'!$K$2:$K$200,MATCH($AB618,'Test catalog'!$A$2:$A$200,0))="","",INDEX('Test catalog'!$K$2:$K$200,MATCH($AB618,'Test catalog'!$A$2:$A$200,0))),"")</f>
        <v/>
      </c>
      <c r="R618" s="5" t="n"/>
      <c r="S618" s="10">
        <f>IFERROR(IF(INDEX('Test catalog'!$L$2:$L$200,MATCH($AB618,'Test catalog'!$A$2:$A$200,0))="","",INDEX('Test catalog'!$L$2:$L$200,MATCH($AB618,'Test catalog'!$A$2:$A$200,0))),"")</f>
        <v/>
      </c>
      <c r="T618" s="10">
        <f>IFERROR(IF(INDEX('Test catalog'!$M$2:$M$200,MATCH($AB618,'Test catalog'!$A$2:$A$200,0))="","",INDEX('Test catalog'!$M$2:$M$200,MATCH($AB618,'Test catalog'!$A$2:$A$200,0))),"")</f>
        <v/>
      </c>
      <c r="U618" s="10">
        <f>IFERROR(IF(INDEX('Test catalog'!$N$2:$N$200,MATCH($AB618,'Test catalog'!$A$2:$A$200,0))="","",INDEX('Test catalog'!$N$2:$N$200,MATCH($AB618,'Test catalog'!$A$2:$A$200,0))),"")</f>
        <v/>
      </c>
      <c r="V618" s="15" t="n"/>
      <c r="W618" s="5" t="inlineStr">
        <is>
          <t>N</t>
        </is>
      </c>
      <c r="X618" s="5" t="n"/>
      <c r="Y618" s="5" t="n"/>
      <c r="Z618" s="5" t="n"/>
      <c r="AA618" s="10">
        <f>IFERROR(IF(INDEX('Test catalog'!$O$2:$O$200,MATCH($AB618,'Test catalog'!$A$2:$A$200,0))="","",INDEX('Test catalog'!$O$2:$O$200,MATCH($AB618,'Test catalog'!$A$2:$A$200,0))),"")</f>
        <v/>
      </c>
      <c r="AB618" s="10" t="inlineStr">
        <is>
          <t>LIMIT</t>
        </is>
      </c>
      <c r="AC618" s="10" t="inlineStr">
        <is>
          <t>Edetate Disodium · Impurities</t>
        </is>
      </c>
      <c r="AD618" s="10" t="n"/>
      <c r="AE618" s="10" t="n"/>
    </row>
    <row r="619">
      <c r="A619" s="10" t="inlineStr">
        <is>
          <t>Edetate Disodium</t>
        </is>
      </c>
      <c r="B619" s="10" t="inlineStr">
        <is>
          <t>RM</t>
        </is>
      </c>
      <c r="C619" s="10" t="inlineStr">
        <is>
          <t>Chelating Agent</t>
        </is>
      </c>
      <c r="D619" s="10" t="inlineStr">
        <is>
          <t>Limit of Nitrilotriacetic Acid (HPLC)</t>
        </is>
      </c>
      <c r="E619" s="10">
        <f>IF(A619="","",A619&amp;"|"&amp;D619)</f>
        <v/>
      </c>
      <c r="F619" s="5" t="inlineStr">
        <is>
          <t>Y</t>
        </is>
      </c>
      <c r="G619" s="5" t="inlineStr">
        <is>
          <t>HPLC</t>
        </is>
      </c>
      <c r="H619" s="5" t="inlineStr">
        <is>
          <t>Medium</t>
        </is>
      </c>
      <c r="I619" s="5" t="n">
        <v>1</v>
      </c>
      <c r="J619" s="5" t="n"/>
      <c r="K619" s="5" t="n"/>
      <c r="L619" s="5" t="n"/>
      <c r="M619" s="5" t="n"/>
      <c r="N619" s="5" t="n"/>
      <c r="O619" s="5" t="n"/>
      <c r="P619" s="14">
        <f>IF(N619="","",IF(OR(M619="",O619=""),N619,(M619+4*N619+O619)/6))</f>
        <v/>
      </c>
      <c r="Q619" s="5" t="n"/>
      <c r="R619" s="5" t="n"/>
      <c r="S619" s="5" t="n"/>
      <c r="T619" s="5" t="n"/>
      <c r="U619" s="5" t="n"/>
      <c r="V619" s="15" t="n"/>
      <c r="W619" s="5" t="inlineStr">
        <is>
          <t>N</t>
        </is>
      </c>
      <c r="X619" s="5" t="n"/>
      <c r="Y619" s="5" t="n"/>
      <c r="Z619" s="5" t="n"/>
      <c r="AA619" s="5" t="n"/>
      <c r="AB619" s="10" t="n"/>
      <c r="AC619" s="10" t="inlineStr">
        <is>
          <t>Edetate Disodium · Impurities</t>
        </is>
      </c>
      <c r="AD619" s="10" t="n"/>
      <c r="AE619" s="10" t="n"/>
    </row>
    <row r="620">
      <c r="A620" s="10" t="inlineStr">
        <is>
          <t>Edetate Disodium</t>
        </is>
      </c>
      <c r="B620" s="10" t="inlineStr">
        <is>
          <t>RM</t>
        </is>
      </c>
      <c r="C620" s="10" t="inlineStr">
        <is>
          <t>Chelating Agent</t>
        </is>
      </c>
      <c r="D620" s="10" t="inlineStr">
        <is>
          <t>pH</t>
        </is>
      </c>
      <c r="E620" s="10">
        <f>IF(A620="","",A620&amp;"|"&amp;D620)</f>
        <v/>
      </c>
      <c r="F620" s="5" t="inlineStr">
        <is>
          <t>Y</t>
        </is>
      </c>
      <c r="G620" s="5" t="inlineStr">
        <is>
          <t>Other / bench</t>
        </is>
      </c>
      <c r="H620" s="5" t="inlineStr">
        <is>
          <t>Low</t>
        </is>
      </c>
      <c r="I620" s="5" t="n">
        <v>1</v>
      </c>
      <c r="J620" s="5" t="n"/>
      <c r="K620" s="10">
        <f>IFERROR(IF(INDEX('Test catalog'!$F$2:$F$200,MATCH($AB620,'Test catalog'!$A$2:$A$200,0))="","",INDEX('Test catalog'!$F$2:$F$200,MATCH($AB620,'Test catalog'!$A$2:$A$200,0))),"")</f>
        <v/>
      </c>
      <c r="L620" s="10">
        <f>IFERROR(IF(INDEX('Test catalog'!$G$2:$G$200,MATCH($AB620,'Test catalog'!$A$2:$A$200,0))="","",INDEX('Test catalog'!$G$2:$G$200,MATCH($AB620,'Test catalog'!$A$2:$A$200,0))),"")</f>
        <v/>
      </c>
      <c r="M620" s="10">
        <f>IFERROR(IF(INDEX('Test catalog'!$H$2:$H$200,MATCH($AB620,'Test catalog'!$A$2:$A$200,0))="","",INDEX('Test catalog'!$H$2:$H$200,MATCH($AB620,'Test catalog'!$A$2:$A$200,0))),"")</f>
        <v/>
      </c>
      <c r="N620" s="10">
        <f>IFERROR(IF(INDEX('Test catalog'!$I$2:$I$200,MATCH($AB620,'Test catalog'!$A$2:$A$200,0))="","",INDEX('Test catalog'!$I$2:$I$200,MATCH($AB620,'Test catalog'!$A$2:$A$200,0))),"")</f>
        <v/>
      </c>
      <c r="O620" s="10">
        <f>IFERROR(IF(INDEX('Test catalog'!$J$2:$J$200,MATCH($AB620,'Test catalog'!$A$2:$A$200,0))="","",INDEX('Test catalog'!$J$2:$J$200,MATCH($AB620,'Test catalog'!$A$2:$A$200,0))),"")</f>
        <v/>
      </c>
      <c r="P620" s="14">
        <f>IF(N620="","",IF(OR(M620="",O620=""),N620,(M620+4*N620+O620)/6))</f>
        <v/>
      </c>
      <c r="Q620" s="10">
        <f>IFERROR(IF(INDEX('Test catalog'!$K$2:$K$200,MATCH($AB620,'Test catalog'!$A$2:$A$200,0))="","",INDEX('Test catalog'!$K$2:$K$200,MATCH($AB620,'Test catalog'!$A$2:$A$200,0))),"")</f>
        <v/>
      </c>
      <c r="R620" s="5" t="n"/>
      <c r="S620" s="10">
        <f>IFERROR(IF(INDEX('Test catalog'!$L$2:$L$200,MATCH($AB620,'Test catalog'!$A$2:$A$200,0))="","",INDEX('Test catalog'!$L$2:$L$200,MATCH($AB620,'Test catalog'!$A$2:$A$200,0))),"")</f>
        <v/>
      </c>
      <c r="T620" s="10">
        <f>IFERROR(IF(INDEX('Test catalog'!$M$2:$M$200,MATCH($AB620,'Test catalog'!$A$2:$A$200,0))="","",INDEX('Test catalog'!$M$2:$M$200,MATCH($AB620,'Test catalog'!$A$2:$A$200,0))),"")</f>
        <v/>
      </c>
      <c r="U620" s="10">
        <f>IFERROR(IF(INDEX('Test catalog'!$N$2:$N$200,MATCH($AB620,'Test catalog'!$A$2:$A$200,0))="","",INDEX('Test catalog'!$N$2:$N$200,MATCH($AB620,'Test catalog'!$A$2:$A$200,0))),"")</f>
        <v/>
      </c>
      <c r="V620" s="15" t="n"/>
      <c r="W620" s="5" t="inlineStr">
        <is>
          <t>N</t>
        </is>
      </c>
      <c r="X620" s="5" t="n"/>
      <c r="Y620" s="5" t="n"/>
      <c r="Z620" s="5" t="n"/>
      <c r="AA620" s="10">
        <f>IFERROR(IF(INDEX('Test catalog'!$O$2:$O$200,MATCH($AB620,'Test catalog'!$A$2:$A$200,0))="","",INDEX('Test catalog'!$O$2:$O$200,MATCH($AB620,'Test catalog'!$A$2:$A$200,0))),"")</f>
        <v/>
      </c>
      <c r="AB620" s="10" t="inlineStr">
        <is>
          <t>PH</t>
        </is>
      </c>
      <c r="AC620" s="10" t="inlineStr">
        <is>
          <t>Edetate Disodium · Impurities &lt;791&gt;</t>
        </is>
      </c>
      <c r="AD620" s="10" t="n"/>
      <c r="AE620" s="10" t="n"/>
    </row>
    <row r="621">
      <c r="A621" s="10" t="inlineStr">
        <is>
          <t>Edetate Disodium</t>
        </is>
      </c>
      <c r="B621" s="10" t="inlineStr">
        <is>
          <t>RM</t>
        </is>
      </c>
      <c r="C621" s="10" t="inlineStr">
        <is>
          <t>Chelating Agent</t>
        </is>
      </c>
      <c r="D621" s="10" t="inlineStr">
        <is>
          <t>Loss on Drying</t>
        </is>
      </c>
      <c r="E621" s="10">
        <f>IF(A621="","",A621&amp;"|"&amp;D621)</f>
        <v/>
      </c>
      <c r="F621" s="5" t="inlineStr">
        <is>
          <t>Y</t>
        </is>
      </c>
      <c r="G621" s="5" t="inlineStr">
        <is>
          <t>Other / bench</t>
        </is>
      </c>
      <c r="H621" s="5" t="inlineStr">
        <is>
          <t>Low</t>
        </is>
      </c>
      <c r="I621" s="5" t="n">
        <v>1</v>
      </c>
      <c r="J621" s="5" t="n"/>
      <c r="K621" s="10">
        <f>IFERROR(IF(INDEX('Test catalog'!$F$2:$F$200,MATCH($AB621,'Test catalog'!$A$2:$A$200,0))="","",INDEX('Test catalog'!$F$2:$F$200,MATCH($AB621,'Test catalog'!$A$2:$A$200,0))),"")</f>
        <v/>
      </c>
      <c r="L621" s="10">
        <f>IFERROR(IF(INDEX('Test catalog'!$G$2:$G$200,MATCH($AB621,'Test catalog'!$A$2:$A$200,0))="","",INDEX('Test catalog'!$G$2:$G$200,MATCH($AB621,'Test catalog'!$A$2:$A$200,0))),"")</f>
        <v/>
      </c>
      <c r="M621" s="10">
        <f>IFERROR(IF(INDEX('Test catalog'!$H$2:$H$200,MATCH($AB621,'Test catalog'!$A$2:$A$200,0))="","",INDEX('Test catalog'!$H$2:$H$200,MATCH($AB621,'Test catalog'!$A$2:$A$200,0))),"")</f>
        <v/>
      </c>
      <c r="N621" s="10">
        <f>IFERROR(IF(INDEX('Test catalog'!$I$2:$I$200,MATCH($AB621,'Test catalog'!$A$2:$A$200,0))="","",INDEX('Test catalog'!$I$2:$I$200,MATCH($AB621,'Test catalog'!$A$2:$A$200,0))),"")</f>
        <v/>
      </c>
      <c r="O621" s="10">
        <f>IFERROR(IF(INDEX('Test catalog'!$J$2:$J$200,MATCH($AB621,'Test catalog'!$A$2:$A$200,0))="","",INDEX('Test catalog'!$J$2:$J$200,MATCH($AB621,'Test catalog'!$A$2:$A$200,0))),"")</f>
        <v/>
      </c>
      <c r="P621" s="14">
        <f>IF(N621="","",IF(OR(M621="",O621=""),N621,(M621+4*N621+O621)/6))</f>
        <v/>
      </c>
      <c r="Q621" s="10">
        <f>IFERROR(IF(INDEX('Test catalog'!$K$2:$K$200,MATCH($AB621,'Test catalog'!$A$2:$A$200,0))="","",INDEX('Test catalog'!$K$2:$K$200,MATCH($AB621,'Test catalog'!$A$2:$A$200,0))),"")</f>
        <v/>
      </c>
      <c r="R621" s="5" t="n"/>
      <c r="S621" s="10">
        <f>IFERROR(IF(INDEX('Test catalog'!$L$2:$L$200,MATCH($AB621,'Test catalog'!$A$2:$A$200,0))="","",INDEX('Test catalog'!$L$2:$L$200,MATCH($AB621,'Test catalog'!$A$2:$A$200,0))),"")</f>
        <v/>
      </c>
      <c r="T621" s="10">
        <f>IFERROR(IF(INDEX('Test catalog'!$M$2:$M$200,MATCH($AB621,'Test catalog'!$A$2:$A$200,0))="","",INDEX('Test catalog'!$M$2:$M$200,MATCH($AB621,'Test catalog'!$A$2:$A$200,0))),"")</f>
        <v/>
      </c>
      <c r="U621" s="10">
        <f>IFERROR(IF(INDEX('Test catalog'!$N$2:$N$200,MATCH($AB621,'Test catalog'!$A$2:$A$200,0))="","",INDEX('Test catalog'!$N$2:$N$200,MATCH($AB621,'Test catalog'!$A$2:$A$200,0))),"")</f>
        <v/>
      </c>
      <c r="V621" s="15" t="n"/>
      <c r="W621" s="5" t="inlineStr">
        <is>
          <t>N</t>
        </is>
      </c>
      <c r="X621" s="5" t="n"/>
      <c r="Y621" s="5" t="n"/>
      <c r="Z621" s="5" t="n"/>
      <c r="AA621" s="10">
        <f>IFERROR(IF(INDEX('Test catalog'!$O$2:$O$200,MATCH($AB621,'Test catalog'!$A$2:$A$200,0))="","",INDEX('Test catalog'!$O$2:$O$200,MATCH($AB621,'Test catalog'!$A$2:$A$200,0))),"")</f>
        <v/>
      </c>
      <c r="AB621" s="10" t="inlineStr">
        <is>
          <t>LOD</t>
        </is>
      </c>
      <c r="AC621" s="10" t="inlineStr">
        <is>
          <t>Edetate Disodium · Impurities &lt;731&gt;</t>
        </is>
      </c>
      <c r="AD621" s="10" t="n"/>
      <c r="AE621" s="10" t="n"/>
    </row>
    <row r="622">
      <c r="A622" s="10" t="inlineStr">
        <is>
          <t>Allura Red</t>
        </is>
      </c>
      <c r="B622" s="10" t="inlineStr">
        <is>
          <t>RM</t>
        </is>
      </c>
      <c r="C622" s="10" t="inlineStr">
        <is>
          <t>Colorant</t>
        </is>
      </c>
      <c r="D622" s="10" t="inlineStr">
        <is>
          <t>Compendial tests</t>
        </is>
      </c>
      <c r="E622" s="10">
        <f>IF(A622="","",A622&amp;"|"&amp;D622)</f>
        <v/>
      </c>
      <c r="F622" s="5" t="inlineStr">
        <is>
          <t>Y</t>
        </is>
      </c>
      <c r="G622" s="5" t="inlineStr">
        <is>
          <t>Other / bench</t>
        </is>
      </c>
      <c r="H622" s="5" t="inlineStr">
        <is>
          <t>Low</t>
        </is>
      </c>
      <c r="I622" s="5" t="n">
        <v>1</v>
      </c>
      <c r="J622" s="5" t="n"/>
      <c r="K622" s="5" t="n"/>
      <c r="L622" s="5" t="n"/>
      <c r="M622" s="5" t="n"/>
      <c r="N622" s="5" t="n"/>
      <c r="O622" s="5" t="n"/>
      <c r="P622" s="14">
        <f>IF(N622="","",IF(OR(M622="",O622=""),N622,(M622+4*N622+O622)/6))</f>
        <v/>
      </c>
      <c r="Q622" s="5" t="n"/>
      <c r="R622" s="5" t="n"/>
      <c r="S622" s="5" t="n"/>
      <c r="T622" s="5" t="n"/>
      <c r="U622" s="5" t="n"/>
      <c r="V622" s="15" t="n"/>
      <c r="W622" s="5" t="inlineStr">
        <is>
          <t>N</t>
        </is>
      </c>
      <c r="X622" s="5" t="n"/>
      <c r="Y622" s="5" t="n"/>
      <c r="Z622" s="5" t="inlineStr">
        <is>
          <t>Change instrument to HPLC/GC if applicable (e.g. residual solvents, ethanol by GC)</t>
        </is>
      </c>
      <c r="AA622" s="5" t="n"/>
      <c r="AB622" s="10" t="n"/>
      <c r="AC622" s="10" t="n"/>
      <c r="AD622" s="10" t="inlineStr">
        <is>
          <t>No USP-NF monograph - in-house / supplier spec</t>
        </is>
      </c>
      <c r="AE622" s="10" t="n">
        <v>6.1</v>
      </c>
      <c r="AF622" s="10" t="inlineStr">
        <is>
          <t>Appearance-Solubility-MERCURY | ASSAY-WATER-SOLUBLE SUBSTANCES-ACID-INSOLUBLE SUBSTANCES-ORGANIC COLORS AND LAKES</t>
        </is>
      </c>
    </row>
    <row r="623">
      <c r="A623" s="10" t="inlineStr">
        <is>
          <t>Apple Green Color</t>
        </is>
      </c>
      <c r="B623" s="10" t="inlineStr">
        <is>
          <t>RM</t>
        </is>
      </c>
      <c r="C623" s="10" t="inlineStr">
        <is>
          <t>Colorant</t>
        </is>
      </c>
      <c r="D623" s="10" t="inlineStr">
        <is>
          <t>Compendial tests</t>
        </is>
      </c>
      <c r="E623" s="10">
        <f>IF(A623="","",A623&amp;"|"&amp;D623)</f>
        <v/>
      </c>
      <c r="F623" s="5" t="inlineStr">
        <is>
          <t>Y</t>
        </is>
      </c>
      <c r="G623" s="5" t="inlineStr">
        <is>
          <t>Other / bench</t>
        </is>
      </c>
      <c r="H623" s="5" t="inlineStr">
        <is>
          <t>Low</t>
        </is>
      </c>
      <c r="I623" s="5" t="n">
        <v>1</v>
      </c>
      <c r="J623" s="5" t="n"/>
      <c r="K623" s="5" t="n"/>
      <c r="L623" s="5" t="n"/>
      <c r="M623" s="5" t="n"/>
      <c r="N623" s="5" t="n"/>
      <c r="O623" s="5" t="n"/>
      <c r="P623" s="14">
        <f>IF(N623="","",IF(OR(M623="",O623=""),N623,(M623+4*N623+O623)/6))</f>
        <v/>
      </c>
      <c r="Q623" s="5" t="n"/>
      <c r="R623" s="5" t="n"/>
      <c r="S623" s="5" t="n"/>
      <c r="T623" s="5" t="n"/>
      <c r="U623" s="5" t="n"/>
      <c r="V623" s="15" t="n"/>
      <c r="W623" s="5" t="inlineStr">
        <is>
          <t>N</t>
        </is>
      </c>
      <c r="X623" s="5" t="n"/>
      <c r="Y623" s="5" t="n"/>
      <c r="Z623" s="5" t="inlineStr">
        <is>
          <t>Change instrument to HPLC/GC if applicable (e.g. residual solvents, ethanol by GC)</t>
        </is>
      </c>
      <c r="AA623" s="5" t="n"/>
      <c r="AB623" s="10" t="n"/>
      <c r="AC623" s="10" t="n"/>
      <c r="AD623" s="10" t="inlineStr">
        <is>
          <t>No USP-NF monograph - in-house / supplier spec</t>
        </is>
      </c>
      <c r="AE623" s="10" t="n">
        <v>0.27</v>
      </c>
      <c r="AF623" s="10" t="inlineStr">
        <is>
          <t>Appearance-Solubility | -</t>
        </is>
      </c>
    </row>
    <row r="624">
      <c r="A624" s="10" t="inlineStr">
        <is>
          <t>Apple Green Lake</t>
        </is>
      </c>
      <c r="B624" s="10" t="inlineStr">
        <is>
          <t>RM</t>
        </is>
      </c>
      <c r="C624" s="10" t="inlineStr">
        <is>
          <t>Colorant</t>
        </is>
      </c>
      <c r="D624" s="10" t="inlineStr">
        <is>
          <t>Compendial tests</t>
        </is>
      </c>
      <c r="E624" s="10">
        <f>IF(A624="","",A624&amp;"|"&amp;D624)</f>
        <v/>
      </c>
      <c r="F624" s="5" t="inlineStr">
        <is>
          <t>Y</t>
        </is>
      </c>
      <c r="G624" s="5" t="inlineStr">
        <is>
          <t>Other / bench</t>
        </is>
      </c>
      <c r="H624" s="5" t="inlineStr">
        <is>
          <t>Low</t>
        </is>
      </c>
      <c r="I624" s="5" t="n">
        <v>1</v>
      </c>
      <c r="J624" s="5" t="n"/>
      <c r="K624" s="5" t="n"/>
      <c r="L624" s="5" t="n"/>
      <c r="M624" s="5" t="n"/>
      <c r="N624" s="5" t="n"/>
      <c r="O624" s="5" t="n"/>
      <c r="P624" s="14">
        <f>IF(N624="","",IF(OR(M624="",O624=""),N624,(M624+4*N624+O624)/6))</f>
        <v/>
      </c>
      <c r="Q624" s="5" t="n"/>
      <c r="R624" s="5" t="n"/>
      <c r="S624" s="5" t="n"/>
      <c r="T624" s="5" t="n"/>
      <c r="U624" s="5" t="n"/>
      <c r="V624" s="15" t="n"/>
      <c r="W624" s="5" t="inlineStr">
        <is>
          <t>N</t>
        </is>
      </c>
      <c r="X624" s="5" t="n"/>
      <c r="Y624" s="5" t="n"/>
      <c r="Z624" s="5" t="inlineStr">
        <is>
          <t>Change instrument to HPLC/GC if applicable (e.g. residual solvents, ethanol by GC)</t>
        </is>
      </c>
      <c r="AA624" s="5" t="n"/>
      <c r="AB624" s="10" t="n"/>
      <c r="AC624" s="10" t="n"/>
      <c r="AD624" s="10" t="inlineStr">
        <is>
          <t>No USP-NF monograph - in-house / supplier spec</t>
        </is>
      </c>
      <c r="AE624" s="10" t="n"/>
      <c r="AF624" s="10" t="n"/>
    </row>
    <row r="625">
      <c r="A625" s="10" t="inlineStr">
        <is>
          <t>Blue Color No.2</t>
        </is>
      </c>
      <c r="B625" s="10" t="inlineStr">
        <is>
          <t>RM</t>
        </is>
      </c>
      <c r="C625" s="10" t="inlineStr">
        <is>
          <t>Colorant</t>
        </is>
      </c>
      <c r="D625" s="10" t="inlineStr">
        <is>
          <t>Compendial tests</t>
        </is>
      </c>
      <c r="E625" s="10">
        <f>IF(A625="","",A625&amp;"|"&amp;D625)</f>
        <v/>
      </c>
      <c r="F625" s="5" t="inlineStr">
        <is>
          <t>Y</t>
        </is>
      </c>
      <c r="G625" s="5" t="inlineStr">
        <is>
          <t>Other / bench</t>
        </is>
      </c>
      <c r="H625" s="5" t="inlineStr">
        <is>
          <t>Low</t>
        </is>
      </c>
      <c r="I625" s="5" t="n">
        <v>1</v>
      </c>
      <c r="J625" s="5" t="n"/>
      <c r="K625" s="5" t="n"/>
      <c r="L625" s="5" t="n"/>
      <c r="M625" s="5" t="n"/>
      <c r="N625" s="5" t="n"/>
      <c r="O625" s="5" t="n"/>
      <c r="P625" s="14">
        <f>IF(N625="","",IF(OR(M625="",O625=""),N625,(M625+4*N625+O625)/6))</f>
        <v/>
      </c>
      <c r="Q625" s="5" t="n"/>
      <c r="R625" s="5" t="n"/>
      <c r="S625" s="5" t="n"/>
      <c r="T625" s="5" t="n"/>
      <c r="U625" s="5" t="n"/>
      <c r="V625" s="15" t="n"/>
      <c r="W625" s="5" t="inlineStr">
        <is>
          <t>N</t>
        </is>
      </c>
      <c r="X625" s="5" t="n"/>
      <c r="Y625" s="5" t="n"/>
      <c r="Z625" s="5" t="inlineStr">
        <is>
          <t>Change instrument to HPLC/GC if applicable (e.g. residual solvents, ethanol by GC)</t>
        </is>
      </c>
      <c r="AA625" s="5" t="n"/>
      <c r="AB625" s="10" t="n"/>
      <c r="AC625" s="10" t="n"/>
      <c r="AD625" s="10" t="inlineStr">
        <is>
          <t>No USP-NF monograph - in-house / supplier spec</t>
        </is>
      </c>
      <c r="AE625" s="10" t="n"/>
      <c r="AF625" s="10" t="n"/>
    </row>
    <row r="626">
      <c r="A626" s="10" t="inlineStr">
        <is>
          <t>Brilliant Blue</t>
        </is>
      </c>
      <c r="B626" s="10" t="inlineStr">
        <is>
          <t>RM</t>
        </is>
      </c>
      <c r="C626" s="10" t="inlineStr">
        <is>
          <t>Colorant</t>
        </is>
      </c>
      <c r="D626" s="10" t="inlineStr">
        <is>
          <t>Compendial tests</t>
        </is>
      </c>
      <c r="E626" s="10">
        <f>IF(A626="","",A626&amp;"|"&amp;D626)</f>
        <v/>
      </c>
      <c r="F626" s="5" t="inlineStr">
        <is>
          <t>Y</t>
        </is>
      </c>
      <c r="G626" s="5" t="inlineStr">
        <is>
          <t>Other / bench</t>
        </is>
      </c>
      <c r="H626" s="5" t="inlineStr">
        <is>
          <t>Low</t>
        </is>
      </c>
      <c r="I626" s="5" t="n">
        <v>1</v>
      </c>
      <c r="J626" s="5" t="n"/>
      <c r="K626" s="5" t="n"/>
      <c r="L626" s="5" t="n"/>
      <c r="M626" s="5" t="n"/>
      <c r="N626" s="5" t="n"/>
      <c r="O626" s="5" t="n"/>
      <c r="P626" s="14">
        <f>IF(N626="","",IF(OR(M626="",O626=""),N626,(M626+4*N626+O626)/6))</f>
        <v/>
      </c>
      <c r="Q626" s="5" t="n"/>
      <c r="R626" s="5" t="n"/>
      <c r="S626" s="5" t="n"/>
      <c r="T626" s="5" t="n"/>
      <c r="U626" s="5" t="n"/>
      <c r="V626" s="15" t="n"/>
      <c r="W626" s="5" t="inlineStr">
        <is>
          <t>N</t>
        </is>
      </c>
      <c r="X626" s="5" t="n"/>
      <c r="Y626" s="5" t="n"/>
      <c r="Z626" s="5" t="inlineStr">
        <is>
          <t>Change instrument to HPLC/GC if applicable (e.g. residual solvents, ethanol by GC)</t>
        </is>
      </c>
      <c r="AA626" s="5" t="n"/>
      <c r="AB626" s="10" t="n"/>
      <c r="AC626" s="10" t="n"/>
      <c r="AD626" s="10" t="inlineStr">
        <is>
          <t>No USP-NF monograph - in-house / supplier spec</t>
        </is>
      </c>
      <c r="AE626" s="10" t="n">
        <v>0.6</v>
      </c>
      <c r="AF626" s="10" t="inlineStr">
        <is>
          <t>Appearance- Solubility- Water determination | -</t>
        </is>
      </c>
    </row>
    <row r="627">
      <c r="A627" s="10" t="inlineStr">
        <is>
          <t>Brown Color</t>
        </is>
      </c>
      <c r="B627" s="10" t="inlineStr">
        <is>
          <t>RM</t>
        </is>
      </c>
      <c r="C627" s="10" t="inlineStr">
        <is>
          <t>Colorant</t>
        </is>
      </c>
      <c r="D627" s="10" t="inlineStr">
        <is>
          <t>Compendial tests</t>
        </is>
      </c>
      <c r="E627" s="10">
        <f>IF(A627="","",A627&amp;"|"&amp;D627)</f>
        <v/>
      </c>
      <c r="F627" s="5" t="inlineStr">
        <is>
          <t>Y</t>
        </is>
      </c>
      <c r="G627" s="5" t="inlineStr">
        <is>
          <t>Other / bench</t>
        </is>
      </c>
      <c r="H627" s="5" t="inlineStr">
        <is>
          <t>Low</t>
        </is>
      </c>
      <c r="I627" s="5" t="n">
        <v>1</v>
      </c>
      <c r="J627" s="5" t="n"/>
      <c r="K627" s="5" t="n"/>
      <c r="L627" s="5" t="n"/>
      <c r="M627" s="5" t="n"/>
      <c r="N627" s="5" t="n"/>
      <c r="O627" s="5" t="n"/>
      <c r="P627" s="14">
        <f>IF(N627="","",IF(OR(M627="",O627=""),N627,(M627+4*N627+O627)/6))</f>
        <v/>
      </c>
      <c r="Q627" s="5" t="n"/>
      <c r="R627" s="5" t="n"/>
      <c r="S627" s="5" t="n"/>
      <c r="T627" s="5" t="n"/>
      <c r="U627" s="5" t="n"/>
      <c r="V627" s="15" t="n"/>
      <c r="W627" s="5" t="inlineStr">
        <is>
          <t>N</t>
        </is>
      </c>
      <c r="X627" s="5" t="n"/>
      <c r="Y627" s="5" t="n"/>
      <c r="Z627" s="5" t="inlineStr">
        <is>
          <t>Change instrument to HPLC/GC if applicable (e.g. residual solvents, ethanol by GC)</t>
        </is>
      </c>
      <c r="AA627" s="5" t="n"/>
      <c r="AB627" s="10" t="n"/>
      <c r="AC627" s="10" t="n"/>
      <c r="AD627" s="10" t="inlineStr">
        <is>
          <t>No USP-NF monograph - in-house / supplier spec</t>
        </is>
      </c>
      <c r="AE627" s="10" t="n"/>
      <c r="AF627" s="10" t="inlineStr">
        <is>
          <t>- | -</t>
        </is>
      </c>
    </row>
    <row r="628">
      <c r="A628" s="10" t="inlineStr">
        <is>
          <t>Caramel Colour</t>
        </is>
      </c>
      <c r="B628" s="10" t="inlineStr">
        <is>
          <t>RM</t>
        </is>
      </c>
      <c r="C628" s="10" t="inlineStr">
        <is>
          <t>Colorant</t>
        </is>
      </c>
      <c r="D628" s="10" t="inlineStr">
        <is>
          <t>Appearance / description and solubility</t>
        </is>
      </c>
      <c r="E628" s="10">
        <f>IF(A628="","",A628&amp;"|"&amp;D628)</f>
        <v/>
      </c>
      <c r="F628" s="5" t="inlineStr">
        <is>
          <t>Y</t>
        </is>
      </c>
      <c r="G628" s="5" t="inlineStr">
        <is>
          <t>Other / bench</t>
        </is>
      </c>
      <c r="H628" s="5" t="inlineStr">
        <is>
          <t>Low</t>
        </is>
      </c>
      <c r="I628" s="5" t="n">
        <v>1</v>
      </c>
      <c r="J628" s="5" t="n"/>
      <c r="K628" s="10">
        <f>IFERROR(IF(INDEX('Test catalog'!$F$2:$F$200,MATCH($AB628,'Test catalog'!$A$2:$A$200,0))="","",INDEX('Test catalog'!$F$2:$F$200,MATCH($AB628,'Test catalog'!$A$2:$A$200,0))),"")</f>
        <v/>
      </c>
      <c r="L628" s="10">
        <f>IFERROR(IF(INDEX('Test catalog'!$G$2:$G$200,MATCH($AB628,'Test catalog'!$A$2:$A$200,0))="","",INDEX('Test catalog'!$G$2:$G$200,MATCH($AB628,'Test catalog'!$A$2:$A$200,0))),"")</f>
        <v/>
      </c>
      <c r="M628" s="10">
        <f>IFERROR(IF(INDEX('Test catalog'!$H$2:$H$200,MATCH($AB628,'Test catalog'!$A$2:$A$200,0))="","",INDEX('Test catalog'!$H$2:$H$200,MATCH($AB628,'Test catalog'!$A$2:$A$200,0))),"")</f>
        <v/>
      </c>
      <c r="N628" s="10">
        <f>IFERROR(IF(INDEX('Test catalog'!$I$2:$I$200,MATCH($AB628,'Test catalog'!$A$2:$A$200,0))="","",INDEX('Test catalog'!$I$2:$I$200,MATCH($AB628,'Test catalog'!$A$2:$A$200,0))),"")</f>
        <v/>
      </c>
      <c r="O628" s="10">
        <f>IFERROR(IF(INDEX('Test catalog'!$J$2:$J$200,MATCH($AB628,'Test catalog'!$A$2:$A$200,0))="","",INDEX('Test catalog'!$J$2:$J$200,MATCH($AB628,'Test catalog'!$A$2:$A$200,0))),"")</f>
        <v/>
      </c>
      <c r="P628" s="14">
        <f>IF(N628="","",IF(OR(M628="",O628=""),N628,(M628+4*N628+O628)/6))</f>
        <v/>
      </c>
      <c r="Q628" s="10">
        <f>IFERROR(IF(INDEX('Test catalog'!$K$2:$K$200,MATCH($AB628,'Test catalog'!$A$2:$A$200,0))="","",INDEX('Test catalog'!$K$2:$K$200,MATCH($AB628,'Test catalog'!$A$2:$A$200,0))),"")</f>
        <v/>
      </c>
      <c r="R628" s="5" t="n"/>
      <c r="S628" s="10">
        <f>IFERROR(IF(INDEX('Test catalog'!$L$2:$L$200,MATCH($AB628,'Test catalog'!$A$2:$A$200,0))="","",INDEX('Test catalog'!$L$2:$L$200,MATCH($AB628,'Test catalog'!$A$2:$A$200,0))),"")</f>
        <v/>
      </c>
      <c r="T628" s="10">
        <f>IFERROR(IF(INDEX('Test catalog'!$M$2:$M$200,MATCH($AB628,'Test catalog'!$A$2:$A$200,0))="","",INDEX('Test catalog'!$M$2:$M$200,MATCH($AB628,'Test catalog'!$A$2:$A$200,0))),"")</f>
        <v/>
      </c>
      <c r="U628" s="10">
        <f>IFERROR(IF(INDEX('Test catalog'!$N$2:$N$200,MATCH($AB628,'Test catalog'!$A$2:$A$200,0))="","",INDEX('Test catalog'!$N$2:$N$200,MATCH($AB628,'Test catalog'!$A$2:$A$200,0))),"")</f>
        <v/>
      </c>
      <c r="V628" s="15" t="n"/>
      <c r="W628" s="5" t="inlineStr">
        <is>
          <t>N</t>
        </is>
      </c>
      <c r="X628" s="5" t="n"/>
      <c r="Y628" s="5" t="n"/>
      <c r="Z628" s="5" t="n"/>
      <c r="AA628" s="10">
        <f>IFERROR(IF(INDEX('Test catalog'!$O$2:$O$200,MATCH($AB628,'Test catalog'!$A$2:$A$200,0))="","",INDEX('Test catalog'!$O$2:$O$200,MATCH($AB628,'Test catalog'!$A$2:$A$200,0))),"")</f>
        <v/>
      </c>
      <c r="AB628" s="10" t="inlineStr">
        <is>
          <t>APPEAR</t>
        </is>
      </c>
      <c r="AC628" s="10" t="inlineStr">
        <is>
          <t>Lab practice (not a USP test)</t>
        </is>
      </c>
      <c r="AD628" s="10" t="n"/>
      <c r="AE628" s="10" t="n"/>
    </row>
    <row r="629">
      <c r="A629" s="10" t="inlineStr">
        <is>
          <t>Caramel Colour</t>
        </is>
      </c>
      <c r="B629" s="10" t="inlineStr">
        <is>
          <t>RM</t>
        </is>
      </c>
      <c r="C629" s="10" t="inlineStr">
        <is>
          <t>Colorant</t>
        </is>
      </c>
      <c r="D629" s="10" t="inlineStr">
        <is>
          <t>Arsenic</t>
        </is>
      </c>
      <c r="E629" s="10">
        <f>IF(A629="","",A629&amp;"|"&amp;D629)</f>
        <v/>
      </c>
      <c r="F629" s="5" t="inlineStr">
        <is>
          <t>Y</t>
        </is>
      </c>
      <c r="G629" s="5" t="inlineStr">
        <is>
          <t>Other / bench</t>
        </is>
      </c>
      <c r="H629" s="5" t="inlineStr">
        <is>
          <t>Low</t>
        </is>
      </c>
      <c r="I629" s="5" t="n">
        <v>1</v>
      </c>
      <c r="J629" s="5" t="n"/>
      <c r="K629" s="10">
        <f>IFERROR(IF(INDEX('Test catalog'!$F$2:$F$200,MATCH($AB629,'Test catalog'!$A$2:$A$200,0))="","",INDEX('Test catalog'!$F$2:$F$200,MATCH($AB629,'Test catalog'!$A$2:$A$200,0))),"")</f>
        <v/>
      </c>
      <c r="L629" s="10">
        <f>IFERROR(IF(INDEX('Test catalog'!$G$2:$G$200,MATCH($AB629,'Test catalog'!$A$2:$A$200,0))="","",INDEX('Test catalog'!$G$2:$G$200,MATCH($AB629,'Test catalog'!$A$2:$A$200,0))),"")</f>
        <v/>
      </c>
      <c r="M629" s="10">
        <f>IFERROR(IF(INDEX('Test catalog'!$H$2:$H$200,MATCH($AB629,'Test catalog'!$A$2:$A$200,0))="","",INDEX('Test catalog'!$H$2:$H$200,MATCH($AB629,'Test catalog'!$A$2:$A$200,0))),"")</f>
        <v/>
      </c>
      <c r="N629" s="10">
        <f>IFERROR(IF(INDEX('Test catalog'!$I$2:$I$200,MATCH($AB629,'Test catalog'!$A$2:$A$200,0))="","",INDEX('Test catalog'!$I$2:$I$200,MATCH($AB629,'Test catalog'!$A$2:$A$200,0))),"")</f>
        <v/>
      </c>
      <c r="O629" s="10">
        <f>IFERROR(IF(INDEX('Test catalog'!$J$2:$J$200,MATCH($AB629,'Test catalog'!$A$2:$A$200,0))="","",INDEX('Test catalog'!$J$2:$J$200,MATCH($AB629,'Test catalog'!$A$2:$A$200,0))),"")</f>
        <v/>
      </c>
      <c r="P629" s="14">
        <f>IF(N629="","",IF(OR(M629="",O629=""),N629,(M629+4*N629+O629)/6))</f>
        <v/>
      </c>
      <c r="Q629" s="10">
        <f>IFERROR(IF(INDEX('Test catalog'!$K$2:$K$200,MATCH($AB629,'Test catalog'!$A$2:$A$200,0))="","",INDEX('Test catalog'!$K$2:$K$200,MATCH($AB629,'Test catalog'!$A$2:$A$200,0))),"")</f>
        <v/>
      </c>
      <c r="R629" s="5" t="n"/>
      <c r="S629" s="10">
        <f>IFERROR(IF(INDEX('Test catalog'!$L$2:$L$200,MATCH($AB629,'Test catalog'!$A$2:$A$200,0))="","",INDEX('Test catalog'!$L$2:$L$200,MATCH($AB629,'Test catalog'!$A$2:$A$200,0))),"")</f>
        <v/>
      </c>
      <c r="T629" s="10">
        <f>IFERROR(IF(INDEX('Test catalog'!$M$2:$M$200,MATCH($AB629,'Test catalog'!$A$2:$A$200,0))="","",INDEX('Test catalog'!$M$2:$M$200,MATCH($AB629,'Test catalog'!$A$2:$A$200,0))),"")</f>
        <v/>
      </c>
      <c r="U629" s="10">
        <f>IFERROR(IF(INDEX('Test catalog'!$N$2:$N$200,MATCH($AB629,'Test catalog'!$A$2:$A$200,0))="","",INDEX('Test catalog'!$N$2:$N$200,MATCH($AB629,'Test catalog'!$A$2:$A$200,0))),"")</f>
        <v/>
      </c>
      <c r="V629" s="15" t="n"/>
      <c r="W629" s="5" t="inlineStr">
        <is>
          <t>N</t>
        </is>
      </c>
      <c r="X629" s="5" t="n"/>
      <c r="Y629" s="5" t="n"/>
      <c r="Z629" s="5" t="n"/>
      <c r="AA629" s="10">
        <f>IFERROR(IF(INDEX('Test catalog'!$O$2:$O$200,MATCH($AB629,'Test catalog'!$A$2:$A$200,0))="","",INDEX('Test catalog'!$O$2:$O$200,MATCH($AB629,'Test catalog'!$A$2:$A$200,0))),"")</f>
        <v/>
      </c>
      <c r="AB629" s="10" t="inlineStr">
        <is>
          <t>LIM_TOX</t>
        </is>
      </c>
      <c r="AC629" s="10" t="inlineStr">
        <is>
          <t>Caramel · Impurities &lt;211&gt;</t>
        </is>
      </c>
      <c r="AD629" s="10" t="n"/>
      <c r="AE629" s="10" t="n"/>
    </row>
    <row r="630">
      <c r="A630" s="10" t="inlineStr">
        <is>
          <t>Caramel Colour</t>
        </is>
      </c>
      <c r="B630" s="10" t="inlineStr">
        <is>
          <t>RM</t>
        </is>
      </c>
      <c r="C630" s="10" t="inlineStr">
        <is>
          <t>Colorant</t>
        </is>
      </c>
      <c r="D630" s="10" t="inlineStr">
        <is>
          <t>Lead</t>
        </is>
      </c>
      <c r="E630" s="10">
        <f>IF(A630="","",A630&amp;"|"&amp;D630)</f>
        <v/>
      </c>
      <c r="F630" s="5" t="inlineStr">
        <is>
          <t>Y</t>
        </is>
      </c>
      <c r="G630" s="5" t="inlineStr">
        <is>
          <t>Other / bench</t>
        </is>
      </c>
      <c r="H630" s="5" t="inlineStr">
        <is>
          <t>Low</t>
        </is>
      </c>
      <c r="I630" s="5" t="n">
        <v>1</v>
      </c>
      <c r="J630" s="5" t="n"/>
      <c r="K630" s="10">
        <f>IFERROR(IF(INDEX('Test catalog'!$F$2:$F$200,MATCH($AB630,'Test catalog'!$A$2:$A$200,0))="","",INDEX('Test catalog'!$F$2:$F$200,MATCH($AB630,'Test catalog'!$A$2:$A$200,0))),"")</f>
        <v/>
      </c>
      <c r="L630" s="10">
        <f>IFERROR(IF(INDEX('Test catalog'!$G$2:$G$200,MATCH($AB630,'Test catalog'!$A$2:$A$200,0))="","",INDEX('Test catalog'!$G$2:$G$200,MATCH($AB630,'Test catalog'!$A$2:$A$200,0))),"")</f>
        <v/>
      </c>
      <c r="M630" s="10">
        <f>IFERROR(IF(INDEX('Test catalog'!$H$2:$H$200,MATCH($AB630,'Test catalog'!$A$2:$A$200,0))="","",INDEX('Test catalog'!$H$2:$H$200,MATCH($AB630,'Test catalog'!$A$2:$A$200,0))),"")</f>
        <v/>
      </c>
      <c r="N630" s="10">
        <f>IFERROR(IF(INDEX('Test catalog'!$I$2:$I$200,MATCH($AB630,'Test catalog'!$A$2:$A$200,0))="","",INDEX('Test catalog'!$I$2:$I$200,MATCH($AB630,'Test catalog'!$A$2:$A$200,0))),"")</f>
        <v/>
      </c>
      <c r="O630" s="10">
        <f>IFERROR(IF(INDEX('Test catalog'!$J$2:$J$200,MATCH($AB630,'Test catalog'!$A$2:$A$200,0))="","",INDEX('Test catalog'!$J$2:$J$200,MATCH($AB630,'Test catalog'!$A$2:$A$200,0))),"")</f>
        <v/>
      </c>
      <c r="P630" s="14">
        <f>IF(N630="","",IF(OR(M630="",O630=""),N630,(M630+4*N630+O630)/6))</f>
        <v/>
      </c>
      <c r="Q630" s="10">
        <f>IFERROR(IF(INDEX('Test catalog'!$K$2:$K$200,MATCH($AB630,'Test catalog'!$A$2:$A$200,0))="","",INDEX('Test catalog'!$K$2:$K$200,MATCH($AB630,'Test catalog'!$A$2:$A$200,0))),"")</f>
        <v/>
      </c>
      <c r="R630" s="5" t="n"/>
      <c r="S630" s="10">
        <f>IFERROR(IF(INDEX('Test catalog'!$L$2:$L$200,MATCH($AB630,'Test catalog'!$A$2:$A$200,0))="","",INDEX('Test catalog'!$L$2:$L$200,MATCH($AB630,'Test catalog'!$A$2:$A$200,0))),"")</f>
        <v/>
      </c>
      <c r="T630" s="10">
        <f>IFERROR(IF(INDEX('Test catalog'!$M$2:$M$200,MATCH($AB630,'Test catalog'!$A$2:$A$200,0))="","",INDEX('Test catalog'!$M$2:$M$200,MATCH($AB630,'Test catalog'!$A$2:$A$200,0))),"")</f>
        <v/>
      </c>
      <c r="U630" s="10">
        <f>IFERROR(IF(INDEX('Test catalog'!$N$2:$N$200,MATCH($AB630,'Test catalog'!$A$2:$A$200,0))="","",INDEX('Test catalog'!$N$2:$N$200,MATCH($AB630,'Test catalog'!$A$2:$A$200,0))),"")</f>
        <v/>
      </c>
      <c r="V630" s="15" t="n"/>
      <c r="W630" s="5" t="inlineStr">
        <is>
          <t>N</t>
        </is>
      </c>
      <c r="X630" s="5" t="n"/>
      <c r="Y630" s="5" t="n"/>
      <c r="Z630" s="5" t="n"/>
      <c r="AA630" s="10">
        <f>IFERROR(IF(INDEX('Test catalog'!$O$2:$O$200,MATCH($AB630,'Test catalog'!$A$2:$A$200,0))="","",INDEX('Test catalog'!$O$2:$O$200,MATCH($AB630,'Test catalog'!$A$2:$A$200,0))),"")</f>
        <v/>
      </c>
      <c r="AB630" s="10" t="inlineStr">
        <is>
          <t>LIM_TOX</t>
        </is>
      </c>
      <c r="AC630" s="10" t="inlineStr">
        <is>
          <t>Caramel · Impurities &lt;251&gt;</t>
        </is>
      </c>
      <c r="AD630" s="10" t="n"/>
      <c r="AE630" s="10" t="n"/>
    </row>
    <row r="631">
      <c r="A631" s="10" t="inlineStr">
        <is>
          <t>Caramel Colour</t>
        </is>
      </c>
      <c r="B631" s="10" t="inlineStr">
        <is>
          <t>RM</t>
        </is>
      </c>
      <c r="C631" s="10" t="inlineStr">
        <is>
          <t>Colorant</t>
        </is>
      </c>
      <c r="D631" s="10" t="inlineStr">
        <is>
          <t>Ash</t>
        </is>
      </c>
      <c r="E631" s="10">
        <f>IF(A631="","",A631&amp;"|"&amp;D631)</f>
        <v/>
      </c>
      <c r="F631" s="5" t="inlineStr">
        <is>
          <t>Y</t>
        </is>
      </c>
      <c r="G631" s="5" t="inlineStr">
        <is>
          <t>Other / bench</t>
        </is>
      </c>
      <c r="H631" s="5" t="inlineStr">
        <is>
          <t>Low</t>
        </is>
      </c>
      <c r="I631" s="5" t="n">
        <v>1</v>
      </c>
      <c r="J631" s="5" t="n"/>
      <c r="K631" s="10">
        <f>IFERROR(IF(INDEX('Test catalog'!$F$2:$F$200,MATCH($AB631,'Test catalog'!$A$2:$A$200,0))="","",INDEX('Test catalog'!$F$2:$F$200,MATCH($AB631,'Test catalog'!$A$2:$A$200,0))),"")</f>
        <v/>
      </c>
      <c r="L631" s="10">
        <f>IFERROR(IF(INDEX('Test catalog'!$G$2:$G$200,MATCH($AB631,'Test catalog'!$A$2:$A$200,0))="","",INDEX('Test catalog'!$G$2:$G$200,MATCH($AB631,'Test catalog'!$A$2:$A$200,0))),"")</f>
        <v/>
      </c>
      <c r="M631" s="10">
        <f>IFERROR(IF(INDEX('Test catalog'!$H$2:$H$200,MATCH($AB631,'Test catalog'!$A$2:$A$200,0))="","",INDEX('Test catalog'!$H$2:$H$200,MATCH($AB631,'Test catalog'!$A$2:$A$200,0))),"")</f>
        <v/>
      </c>
      <c r="N631" s="10">
        <f>IFERROR(IF(INDEX('Test catalog'!$I$2:$I$200,MATCH($AB631,'Test catalog'!$A$2:$A$200,0))="","",INDEX('Test catalog'!$I$2:$I$200,MATCH($AB631,'Test catalog'!$A$2:$A$200,0))),"")</f>
        <v/>
      </c>
      <c r="O631" s="10">
        <f>IFERROR(IF(INDEX('Test catalog'!$J$2:$J$200,MATCH($AB631,'Test catalog'!$A$2:$A$200,0))="","",INDEX('Test catalog'!$J$2:$J$200,MATCH($AB631,'Test catalog'!$A$2:$A$200,0))),"")</f>
        <v/>
      </c>
      <c r="P631" s="14">
        <f>IF(N631="","",IF(OR(M631="",O631=""),N631,(M631+4*N631+O631)/6))</f>
        <v/>
      </c>
      <c r="Q631" s="10">
        <f>IFERROR(IF(INDEX('Test catalog'!$K$2:$K$200,MATCH($AB631,'Test catalog'!$A$2:$A$200,0))="","",INDEX('Test catalog'!$K$2:$K$200,MATCH($AB631,'Test catalog'!$A$2:$A$200,0))),"")</f>
        <v/>
      </c>
      <c r="R631" s="5" t="n"/>
      <c r="S631" s="10">
        <f>IFERROR(IF(INDEX('Test catalog'!$L$2:$L$200,MATCH($AB631,'Test catalog'!$A$2:$A$200,0))="","",INDEX('Test catalog'!$L$2:$L$200,MATCH($AB631,'Test catalog'!$A$2:$A$200,0))),"")</f>
        <v/>
      </c>
      <c r="T631" s="10">
        <f>IFERROR(IF(INDEX('Test catalog'!$M$2:$M$200,MATCH($AB631,'Test catalog'!$A$2:$A$200,0))="","",INDEX('Test catalog'!$M$2:$M$200,MATCH($AB631,'Test catalog'!$A$2:$A$200,0))),"")</f>
        <v/>
      </c>
      <c r="U631" s="10">
        <f>IFERROR(IF(INDEX('Test catalog'!$N$2:$N$200,MATCH($AB631,'Test catalog'!$A$2:$A$200,0))="","",INDEX('Test catalog'!$N$2:$N$200,MATCH($AB631,'Test catalog'!$A$2:$A$200,0))),"")</f>
        <v/>
      </c>
      <c r="V631" s="15" t="n"/>
      <c r="W631" s="5" t="inlineStr">
        <is>
          <t>N</t>
        </is>
      </c>
      <c r="X631" s="5" t="n"/>
      <c r="Y631" s="5" t="n"/>
      <c r="Z631" s="5" t="n"/>
      <c r="AA631" s="10">
        <f>IFERROR(IF(INDEX('Test catalog'!$O$2:$O$200,MATCH($AB631,'Test catalog'!$A$2:$A$200,0))="","",INDEX('Test catalog'!$O$2:$O$200,MATCH($AB631,'Test catalog'!$A$2:$A$200,0))),"")</f>
        <v/>
      </c>
      <c r="AB631" s="10" t="inlineStr">
        <is>
          <t>LIMIT</t>
        </is>
      </c>
      <c r="AC631" s="10" t="inlineStr">
        <is>
          <t>Caramel · Impurities</t>
        </is>
      </c>
      <c r="AD631" s="10" t="n"/>
      <c r="AE631" s="10" t="n"/>
    </row>
    <row r="632">
      <c r="A632" s="10" t="inlineStr">
        <is>
          <t>Caramel Colour</t>
        </is>
      </c>
      <c r="B632" s="10" t="inlineStr">
        <is>
          <t>RM</t>
        </is>
      </c>
      <c r="C632" s="10" t="inlineStr">
        <is>
          <t>Colorant</t>
        </is>
      </c>
      <c r="D632" s="10" t="inlineStr">
        <is>
          <t>Specific Gravity</t>
        </is>
      </c>
      <c r="E632" s="10">
        <f>IF(A632="","",A632&amp;"|"&amp;D632)</f>
        <v/>
      </c>
      <c r="F632" s="5" t="inlineStr">
        <is>
          <t>Y</t>
        </is>
      </c>
      <c r="G632" s="5" t="inlineStr">
        <is>
          <t>Other / bench</t>
        </is>
      </c>
      <c r="H632" s="5" t="inlineStr">
        <is>
          <t>Low</t>
        </is>
      </c>
      <c r="I632" s="5" t="n">
        <v>1</v>
      </c>
      <c r="J632" s="5" t="n"/>
      <c r="K632" s="10">
        <f>IFERROR(IF(INDEX('Test catalog'!$F$2:$F$200,MATCH($AB632,'Test catalog'!$A$2:$A$200,0))="","",INDEX('Test catalog'!$F$2:$F$200,MATCH($AB632,'Test catalog'!$A$2:$A$200,0))),"")</f>
        <v/>
      </c>
      <c r="L632" s="10">
        <f>IFERROR(IF(INDEX('Test catalog'!$G$2:$G$200,MATCH($AB632,'Test catalog'!$A$2:$A$200,0))="","",INDEX('Test catalog'!$G$2:$G$200,MATCH($AB632,'Test catalog'!$A$2:$A$200,0))),"")</f>
        <v/>
      </c>
      <c r="M632" s="10">
        <f>IFERROR(IF(INDEX('Test catalog'!$H$2:$H$200,MATCH($AB632,'Test catalog'!$A$2:$A$200,0))="","",INDEX('Test catalog'!$H$2:$H$200,MATCH($AB632,'Test catalog'!$A$2:$A$200,0))),"")</f>
        <v/>
      </c>
      <c r="N632" s="10">
        <f>IFERROR(IF(INDEX('Test catalog'!$I$2:$I$200,MATCH($AB632,'Test catalog'!$A$2:$A$200,0))="","",INDEX('Test catalog'!$I$2:$I$200,MATCH($AB632,'Test catalog'!$A$2:$A$200,0))),"")</f>
        <v/>
      </c>
      <c r="O632" s="10">
        <f>IFERROR(IF(INDEX('Test catalog'!$J$2:$J$200,MATCH($AB632,'Test catalog'!$A$2:$A$200,0))="","",INDEX('Test catalog'!$J$2:$J$200,MATCH($AB632,'Test catalog'!$A$2:$A$200,0))),"")</f>
        <v/>
      </c>
      <c r="P632" s="14">
        <f>IF(N632="","",IF(OR(M632="",O632=""),N632,(M632+4*N632+O632)/6))</f>
        <v/>
      </c>
      <c r="Q632" s="10">
        <f>IFERROR(IF(INDEX('Test catalog'!$K$2:$K$200,MATCH($AB632,'Test catalog'!$A$2:$A$200,0))="","",INDEX('Test catalog'!$K$2:$K$200,MATCH($AB632,'Test catalog'!$A$2:$A$200,0))),"")</f>
        <v/>
      </c>
      <c r="R632" s="5" t="n"/>
      <c r="S632" s="10">
        <f>IFERROR(IF(INDEX('Test catalog'!$L$2:$L$200,MATCH($AB632,'Test catalog'!$A$2:$A$200,0))="","",INDEX('Test catalog'!$L$2:$L$200,MATCH($AB632,'Test catalog'!$A$2:$A$200,0))),"")</f>
        <v/>
      </c>
      <c r="T632" s="10">
        <f>IFERROR(IF(INDEX('Test catalog'!$M$2:$M$200,MATCH($AB632,'Test catalog'!$A$2:$A$200,0))="","",INDEX('Test catalog'!$M$2:$M$200,MATCH($AB632,'Test catalog'!$A$2:$A$200,0))),"")</f>
        <v/>
      </c>
      <c r="U632" s="10">
        <f>IFERROR(IF(INDEX('Test catalog'!$N$2:$N$200,MATCH($AB632,'Test catalog'!$A$2:$A$200,0))="","",INDEX('Test catalog'!$N$2:$N$200,MATCH($AB632,'Test catalog'!$A$2:$A$200,0))),"")</f>
        <v/>
      </c>
      <c r="V632" s="15" t="n"/>
      <c r="W632" s="5" t="inlineStr">
        <is>
          <t>N</t>
        </is>
      </c>
      <c r="X632" s="5" t="n"/>
      <c r="Y632" s="5" t="n"/>
      <c r="Z632" s="5" t="n"/>
      <c r="AA632" s="10">
        <f>IFERROR(IF(INDEX('Test catalog'!$O$2:$O$200,MATCH($AB632,'Test catalog'!$A$2:$A$200,0))="","",INDEX('Test catalog'!$O$2:$O$200,MATCH($AB632,'Test catalog'!$A$2:$A$200,0))),"")</f>
        <v/>
      </c>
      <c r="AB632" s="10" t="inlineStr">
        <is>
          <t>SG</t>
        </is>
      </c>
      <c r="AC632" s="10" t="inlineStr">
        <is>
          <t>Caramel · Specific Tests &lt;841&gt;</t>
        </is>
      </c>
      <c r="AD632" s="10" t="n"/>
      <c r="AE632" s="10" t="n"/>
    </row>
    <row r="633">
      <c r="A633" s="10" t="inlineStr">
        <is>
          <t>Erythrosine Pink</t>
        </is>
      </c>
      <c r="B633" s="10" t="inlineStr">
        <is>
          <t>RM</t>
        </is>
      </c>
      <c r="C633" s="10" t="inlineStr">
        <is>
          <t>Colorant</t>
        </is>
      </c>
      <c r="D633" s="10" t="inlineStr">
        <is>
          <t>Compendial tests</t>
        </is>
      </c>
      <c r="E633" s="10">
        <f>IF(A633="","",A633&amp;"|"&amp;D633)</f>
        <v/>
      </c>
      <c r="F633" s="5" t="inlineStr">
        <is>
          <t>Y</t>
        </is>
      </c>
      <c r="G633" s="5" t="inlineStr">
        <is>
          <t>Other / bench</t>
        </is>
      </c>
      <c r="H633" s="5" t="inlineStr">
        <is>
          <t>Low</t>
        </is>
      </c>
      <c r="I633" s="5" t="n">
        <v>1</v>
      </c>
      <c r="J633" s="5" t="n"/>
      <c r="K633" s="5" t="n"/>
      <c r="L633" s="5" t="n"/>
      <c r="M633" s="5" t="n"/>
      <c r="N633" s="5" t="n"/>
      <c r="O633" s="5" t="n"/>
      <c r="P633" s="14">
        <f>IF(N633="","",IF(OR(M633="",O633=""),N633,(M633+4*N633+O633)/6))</f>
        <v/>
      </c>
      <c r="Q633" s="5" t="n"/>
      <c r="R633" s="5" t="n"/>
      <c r="S633" s="5" t="n"/>
      <c r="T633" s="5" t="n"/>
      <c r="U633" s="5" t="n"/>
      <c r="V633" s="15" t="n"/>
      <c r="W633" s="5" t="inlineStr">
        <is>
          <t>N</t>
        </is>
      </c>
      <c r="X633" s="5" t="n"/>
      <c r="Y633" s="5" t="n"/>
      <c r="Z633" s="5" t="inlineStr">
        <is>
          <t>Change instrument to HPLC/GC if applicable (e.g. residual solvents, ethanol by GC)</t>
        </is>
      </c>
      <c r="AA633" s="5" t="n"/>
      <c r="AB633" s="10" t="n"/>
      <c r="AC633" s="10" t="n"/>
      <c r="AD633" s="10" t="inlineStr">
        <is>
          <t>No USP-NF monograph - in-house / supplier spec</t>
        </is>
      </c>
      <c r="AE633" s="10" t="n"/>
      <c r="AF633" s="10" t="inlineStr">
        <is>
          <t>- | -</t>
        </is>
      </c>
    </row>
    <row r="634">
      <c r="A634" s="10" t="inlineStr">
        <is>
          <t>Exacol Brown HT</t>
        </is>
      </c>
      <c r="B634" s="10" t="inlineStr">
        <is>
          <t>RM</t>
        </is>
      </c>
      <c r="C634" s="10" t="inlineStr">
        <is>
          <t>Colorant</t>
        </is>
      </c>
      <c r="D634" s="10" t="inlineStr">
        <is>
          <t>Compendial tests</t>
        </is>
      </c>
      <c r="E634" s="10">
        <f>IF(A634="","",A634&amp;"|"&amp;D634)</f>
        <v/>
      </c>
      <c r="F634" s="5" t="inlineStr">
        <is>
          <t>Y</t>
        </is>
      </c>
      <c r="G634" s="5" t="inlineStr">
        <is>
          <t>Other / bench</t>
        </is>
      </c>
      <c r="H634" s="5" t="inlineStr">
        <is>
          <t>Low</t>
        </is>
      </c>
      <c r="I634" s="5" t="n">
        <v>1</v>
      </c>
      <c r="J634" s="5" t="n"/>
      <c r="K634" s="5" t="n"/>
      <c r="L634" s="5" t="n"/>
      <c r="M634" s="5" t="n"/>
      <c r="N634" s="5" t="n"/>
      <c r="O634" s="5" t="n"/>
      <c r="P634" s="14">
        <f>IF(N634="","",IF(OR(M634="",O634=""),N634,(M634+4*N634+O634)/6))</f>
        <v/>
      </c>
      <c r="Q634" s="5" t="n"/>
      <c r="R634" s="5" t="n"/>
      <c r="S634" s="5" t="n"/>
      <c r="T634" s="5" t="n"/>
      <c r="U634" s="5" t="n"/>
      <c r="V634" s="15" t="n"/>
      <c r="W634" s="5" t="inlineStr">
        <is>
          <t>N</t>
        </is>
      </c>
      <c r="X634" s="5" t="n"/>
      <c r="Y634" s="5" t="n"/>
      <c r="Z634" s="5" t="inlineStr">
        <is>
          <t>Change instrument to HPLC/GC if applicable (e.g. residual solvents, ethanol by GC)</t>
        </is>
      </c>
      <c r="AA634" s="5" t="n"/>
      <c r="AB634" s="10" t="n"/>
      <c r="AC634" s="10" t="n"/>
      <c r="AD634" s="10" t="inlineStr">
        <is>
          <t>No USP-NF monograph - in-house / supplier spec</t>
        </is>
      </c>
      <c r="AE634" s="10" t="n">
        <v>1.77</v>
      </c>
      <c r="AF634" s="10" t="inlineStr">
        <is>
          <t>Appearance- Solubility- Water Insoluble | -</t>
        </is>
      </c>
    </row>
    <row r="635">
      <c r="A635" s="10" t="inlineStr">
        <is>
          <t>Ferric Oxide Black</t>
        </is>
      </c>
      <c r="B635" s="10" t="inlineStr">
        <is>
          <t>RM</t>
        </is>
      </c>
      <c r="C635" s="10" t="inlineStr">
        <is>
          <t>Colorant</t>
        </is>
      </c>
      <c r="D635" s="10" t="inlineStr">
        <is>
          <t>Appearance / description and solubility</t>
        </is>
      </c>
      <c r="E635" s="10">
        <f>IF(A635="","",A635&amp;"|"&amp;D635)</f>
        <v/>
      </c>
      <c r="F635" s="5" t="inlineStr">
        <is>
          <t>Y</t>
        </is>
      </c>
      <c r="G635" s="5" t="inlineStr">
        <is>
          <t>Other / bench</t>
        </is>
      </c>
      <c r="H635" s="5" t="inlineStr">
        <is>
          <t>Low</t>
        </is>
      </c>
      <c r="I635" s="5" t="n">
        <v>1</v>
      </c>
      <c r="J635" s="5" t="n"/>
      <c r="K635" s="10">
        <f>IFERROR(IF(INDEX('Test catalog'!$F$2:$F$200,MATCH($AB635,'Test catalog'!$A$2:$A$200,0))="","",INDEX('Test catalog'!$F$2:$F$200,MATCH($AB635,'Test catalog'!$A$2:$A$200,0))),"")</f>
        <v/>
      </c>
      <c r="L635" s="10">
        <f>IFERROR(IF(INDEX('Test catalog'!$G$2:$G$200,MATCH($AB635,'Test catalog'!$A$2:$A$200,0))="","",INDEX('Test catalog'!$G$2:$G$200,MATCH($AB635,'Test catalog'!$A$2:$A$200,0))),"")</f>
        <v/>
      </c>
      <c r="M635" s="10">
        <f>IFERROR(IF(INDEX('Test catalog'!$H$2:$H$200,MATCH($AB635,'Test catalog'!$A$2:$A$200,0))="","",INDEX('Test catalog'!$H$2:$H$200,MATCH($AB635,'Test catalog'!$A$2:$A$200,0))),"")</f>
        <v/>
      </c>
      <c r="N635" s="10">
        <f>IFERROR(IF(INDEX('Test catalog'!$I$2:$I$200,MATCH($AB635,'Test catalog'!$A$2:$A$200,0))="","",INDEX('Test catalog'!$I$2:$I$200,MATCH($AB635,'Test catalog'!$A$2:$A$200,0))),"")</f>
        <v/>
      </c>
      <c r="O635" s="10">
        <f>IFERROR(IF(INDEX('Test catalog'!$J$2:$J$200,MATCH($AB635,'Test catalog'!$A$2:$A$200,0))="","",INDEX('Test catalog'!$J$2:$J$200,MATCH($AB635,'Test catalog'!$A$2:$A$200,0))),"")</f>
        <v/>
      </c>
      <c r="P635" s="14">
        <f>IF(N635="","",IF(OR(M635="",O635=""),N635,(M635+4*N635+O635)/6))</f>
        <v/>
      </c>
      <c r="Q635" s="10">
        <f>IFERROR(IF(INDEX('Test catalog'!$K$2:$K$200,MATCH($AB635,'Test catalog'!$A$2:$A$200,0))="","",INDEX('Test catalog'!$K$2:$K$200,MATCH($AB635,'Test catalog'!$A$2:$A$200,0))),"")</f>
        <v/>
      </c>
      <c r="R635" s="5" t="n"/>
      <c r="S635" s="10">
        <f>IFERROR(IF(INDEX('Test catalog'!$L$2:$L$200,MATCH($AB635,'Test catalog'!$A$2:$A$200,0))="","",INDEX('Test catalog'!$L$2:$L$200,MATCH($AB635,'Test catalog'!$A$2:$A$200,0))),"")</f>
        <v/>
      </c>
      <c r="T635" s="10">
        <f>IFERROR(IF(INDEX('Test catalog'!$M$2:$M$200,MATCH($AB635,'Test catalog'!$A$2:$A$200,0))="","",INDEX('Test catalog'!$M$2:$M$200,MATCH($AB635,'Test catalog'!$A$2:$A$200,0))),"")</f>
        <v/>
      </c>
      <c r="U635" s="10">
        <f>IFERROR(IF(INDEX('Test catalog'!$N$2:$N$200,MATCH($AB635,'Test catalog'!$A$2:$A$200,0))="","",INDEX('Test catalog'!$N$2:$N$200,MATCH($AB635,'Test catalog'!$A$2:$A$200,0))),"")</f>
        <v/>
      </c>
      <c r="V635" s="15" t="n"/>
      <c r="W635" s="5" t="inlineStr">
        <is>
          <t>N</t>
        </is>
      </c>
      <c r="X635" s="5" t="n"/>
      <c r="Y635" s="5" t="n"/>
      <c r="Z635" s="5" t="n"/>
      <c r="AA635" s="10">
        <f>IFERROR(IF(INDEX('Test catalog'!$O$2:$O$200,MATCH($AB635,'Test catalog'!$A$2:$A$200,0))="","",INDEX('Test catalog'!$O$2:$O$200,MATCH($AB635,'Test catalog'!$A$2:$A$200,0))),"")</f>
        <v/>
      </c>
      <c r="AB635" s="10" t="inlineStr">
        <is>
          <t>APPEAR</t>
        </is>
      </c>
      <c r="AC635" s="10" t="inlineStr">
        <is>
          <t>Lab practice (not a USP test)</t>
        </is>
      </c>
      <c r="AD635" s="10" t="n"/>
      <c r="AE635" s="10" t="n"/>
    </row>
    <row r="636">
      <c r="A636" s="10" t="inlineStr">
        <is>
          <t>Ferric Oxide Black</t>
        </is>
      </c>
      <c r="B636" s="10" t="inlineStr">
        <is>
          <t>RM</t>
        </is>
      </c>
      <c r="C636" s="10" t="inlineStr">
        <is>
          <t>Colorant</t>
        </is>
      </c>
      <c r="D636" s="10" t="inlineStr">
        <is>
          <t>ID A - chemical reaction</t>
        </is>
      </c>
      <c r="E636" s="10">
        <f>IF(A636="","",A636&amp;"|"&amp;D636)</f>
        <v/>
      </c>
      <c r="F636" s="5" t="inlineStr">
        <is>
          <t>Y</t>
        </is>
      </c>
      <c r="G636" s="5" t="inlineStr">
        <is>
          <t>Other / bench</t>
        </is>
      </c>
      <c r="H636" s="5" t="inlineStr">
        <is>
          <t>Low</t>
        </is>
      </c>
      <c r="I636" s="5" t="n">
        <v>1</v>
      </c>
      <c r="J636" s="5" t="n"/>
      <c r="K636" s="10">
        <f>IFERROR(IF(INDEX('Test catalog'!$F$2:$F$200,MATCH($AB636,'Test catalog'!$A$2:$A$200,0))="","",INDEX('Test catalog'!$F$2:$F$200,MATCH($AB636,'Test catalog'!$A$2:$A$200,0))),"")</f>
        <v/>
      </c>
      <c r="L636" s="10">
        <f>IFERROR(IF(INDEX('Test catalog'!$G$2:$G$200,MATCH($AB636,'Test catalog'!$A$2:$A$200,0))="","",INDEX('Test catalog'!$G$2:$G$200,MATCH($AB636,'Test catalog'!$A$2:$A$200,0))),"")</f>
        <v/>
      </c>
      <c r="M636" s="10">
        <f>IFERROR(IF(INDEX('Test catalog'!$H$2:$H$200,MATCH($AB636,'Test catalog'!$A$2:$A$200,0))="","",INDEX('Test catalog'!$H$2:$H$200,MATCH($AB636,'Test catalog'!$A$2:$A$200,0))),"")</f>
        <v/>
      </c>
      <c r="N636" s="10">
        <f>IFERROR(IF(INDEX('Test catalog'!$I$2:$I$200,MATCH($AB636,'Test catalog'!$A$2:$A$200,0))="","",INDEX('Test catalog'!$I$2:$I$200,MATCH($AB636,'Test catalog'!$A$2:$A$200,0))),"")</f>
        <v/>
      </c>
      <c r="O636" s="10">
        <f>IFERROR(IF(INDEX('Test catalog'!$J$2:$J$200,MATCH($AB636,'Test catalog'!$A$2:$A$200,0))="","",INDEX('Test catalog'!$J$2:$J$200,MATCH($AB636,'Test catalog'!$A$2:$A$200,0))),"")</f>
        <v/>
      </c>
      <c r="P636" s="14">
        <f>IF(N636="","",IF(OR(M636="",O636=""),N636,(M636+4*N636+O636)/6))</f>
        <v/>
      </c>
      <c r="Q636" s="10">
        <f>IFERROR(IF(INDEX('Test catalog'!$K$2:$K$200,MATCH($AB636,'Test catalog'!$A$2:$A$200,0))="","",INDEX('Test catalog'!$K$2:$K$200,MATCH($AB636,'Test catalog'!$A$2:$A$200,0))),"")</f>
        <v/>
      </c>
      <c r="R636" s="5" t="n"/>
      <c r="S636" s="10">
        <f>IFERROR(IF(INDEX('Test catalog'!$L$2:$L$200,MATCH($AB636,'Test catalog'!$A$2:$A$200,0))="","",INDEX('Test catalog'!$L$2:$L$200,MATCH($AB636,'Test catalog'!$A$2:$A$200,0))),"")</f>
        <v/>
      </c>
      <c r="T636" s="10">
        <f>IFERROR(IF(INDEX('Test catalog'!$M$2:$M$200,MATCH($AB636,'Test catalog'!$A$2:$A$200,0))="","",INDEX('Test catalog'!$M$2:$M$200,MATCH($AB636,'Test catalog'!$A$2:$A$200,0))),"")</f>
        <v/>
      </c>
      <c r="U636" s="10">
        <f>IFERROR(IF(INDEX('Test catalog'!$N$2:$N$200,MATCH($AB636,'Test catalog'!$A$2:$A$200,0))="","",INDEX('Test catalog'!$N$2:$N$200,MATCH($AB636,'Test catalog'!$A$2:$A$200,0))),"")</f>
        <v/>
      </c>
      <c r="V636" s="15" t="n"/>
      <c r="W636" s="5" t="inlineStr">
        <is>
          <t>N</t>
        </is>
      </c>
      <c r="X636" s="5" t="n"/>
      <c r="Y636" s="5" t="n"/>
      <c r="Z636" s="5" t="n"/>
      <c r="AA636" s="10">
        <f>IFERROR(IF(INDEX('Test catalog'!$O$2:$O$200,MATCH($AB636,'Test catalog'!$A$2:$A$200,0))="","",INDEX('Test catalog'!$O$2:$O$200,MATCH($AB636,'Test catalog'!$A$2:$A$200,0))),"")</f>
        <v/>
      </c>
      <c r="AB636" s="10" t="inlineStr">
        <is>
          <t>ID_CHEM</t>
        </is>
      </c>
      <c r="AC636" s="10" t="inlineStr">
        <is>
          <t>Ferrosoferric Oxide · Identification</t>
        </is>
      </c>
      <c r="AD636" s="10" t="n"/>
      <c r="AE636" s="10" t="n"/>
    </row>
    <row r="637">
      <c r="A637" s="10" t="inlineStr">
        <is>
          <t>Ferric Oxide Black</t>
        </is>
      </c>
      <c r="B637" s="10" t="inlineStr">
        <is>
          <t>RM</t>
        </is>
      </c>
      <c r="C637" s="10" t="inlineStr">
        <is>
          <t>Colorant</t>
        </is>
      </c>
      <c r="D637" s="10" t="inlineStr">
        <is>
          <t>ID B - chemical reaction</t>
        </is>
      </c>
      <c r="E637" s="10">
        <f>IF(A637="","",A637&amp;"|"&amp;D637)</f>
        <v/>
      </c>
      <c r="F637" s="5" t="inlineStr">
        <is>
          <t>Y</t>
        </is>
      </c>
      <c r="G637" s="5" t="inlineStr">
        <is>
          <t>Other / bench</t>
        </is>
      </c>
      <c r="H637" s="5" t="inlineStr">
        <is>
          <t>Low</t>
        </is>
      </c>
      <c r="I637" s="5" t="n">
        <v>1</v>
      </c>
      <c r="J637" s="5" t="n"/>
      <c r="K637" s="10">
        <f>IFERROR(IF(INDEX('Test catalog'!$F$2:$F$200,MATCH($AB637,'Test catalog'!$A$2:$A$200,0))="","",INDEX('Test catalog'!$F$2:$F$200,MATCH($AB637,'Test catalog'!$A$2:$A$200,0))),"")</f>
        <v/>
      </c>
      <c r="L637" s="10">
        <f>IFERROR(IF(INDEX('Test catalog'!$G$2:$G$200,MATCH($AB637,'Test catalog'!$A$2:$A$200,0))="","",INDEX('Test catalog'!$G$2:$G$200,MATCH($AB637,'Test catalog'!$A$2:$A$200,0))),"")</f>
        <v/>
      </c>
      <c r="M637" s="10">
        <f>IFERROR(IF(INDEX('Test catalog'!$H$2:$H$200,MATCH($AB637,'Test catalog'!$A$2:$A$200,0))="","",INDEX('Test catalog'!$H$2:$H$200,MATCH($AB637,'Test catalog'!$A$2:$A$200,0))),"")</f>
        <v/>
      </c>
      <c r="N637" s="10">
        <f>IFERROR(IF(INDEX('Test catalog'!$I$2:$I$200,MATCH($AB637,'Test catalog'!$A$2:$A$200,0))="","",INDEX('Test catalog'!$I$2:$I$200,MATCH($AB637,'Test catalog'!$A$2:$A$200,0))),"")</f>
        <v/>
      </c>
      <c r="O637" s="10">
        <f>IFERROR(IF(INDEX('Test catalog'!$J$2:$J$200,MATCH($AB637,'Test catalog'!$A$2:$A$200,0))="","",INDEX('Test catalog'!$J$2:$J$200,MATCH($AB637,'Test catalog'!$A$2:$A$200,0))),"")</f>
        <v/>
      </c>
      <c r="P637" s="14">
        <f>IF(N637="","",IF(OR(M637="",O637=""),N637,(M637+4*N637+O637)/6))</f>
        <v/>
      </c>
      <c r="Q637" s="10">
        <f>IFERROR(IF(INDEX('Test catalog'!$K$2:$K$200,MATCH($AB637,'Test catalog'!$A$2:$A$200,0))="","",INDEX('Test catalog'!$K$2:$K$200,MATCH($AB637,'Test catalog'!$A$2:$A$200,0))),"")</f>
        <v/>
      </c>
      <c r="R637" s="5" t="n"/>
      <c r="S637" s="10">
        <f>IFERROR(IF(INDEX('Test catalog'!$L$2:$L$200,MATCH($AB637,'Test catalog'!$A$2:$A$200,0))="","",INDEX('Test catalog'!$L$2:$L$200,MATCH($AB637,'Test catalog'!$A$2:$A$200,0))),"")</f>
        <v/>
      </c>
      <c r="T637" s="10">
        <f>IFERROR(IF(INDEX('Test catalog'!$M$2:$M$200,MATCH($AB637,'Test catalog'!$A$2:$A$200,0))="","",INDEX('Test catalog'!$M$2:$M$200,MATCH($AB637,'Test catalog'!$A$2:$A$200,0))),"")</f>
        <v/>
      </c>
      <c r="U637" s="10">
        <f>IFERROR(IF(INDEX('Test catalog'!$N$2:$N$200,MATCH($AB637,'Test catalog'!$A$2:$A$200,0))="","",INDEX('Test catalog'!$N$2:$N$200,MATCH($AB637,'Test catalog'!$A$2:$A$200,0))),"")</f>
        <v/>
      </c>
      <c r="V637" s="15" t="n"/>
      <c r="W637" s="5" t="inlineStr">
        <is>
          <t>N</t>
        </is>
      </c>
      <c r="X637" s="5" t="n"/>
      <c r="Y637" s="5" t="n"/>
      <c r="Z637" s="5" t="n"/>
      <c r="AA637" s="10">
        <f>IFERROR(IF(INDEX('Test catalog'!$O$2:$O$200,MATCH($AB637,'Test catalog'!$A$2:$A$200,0))="","",INDEX('Test catalog'!$O$2:$O$200,MATCH($AB637,'Test catalog'!$A$2:$A$200,0))),"")</f>
        <v/>
      </c>
      <c r="AB637" s="10" t="inlineStr">
        <is>
          <t>ID_CHEM</t>
        </is>
      </c>
      <c r="AC637" s="10" t="inlineStr">
        <is>
          <t>Ferrosoferric Oxide · Identification</t>
        </is>
      </c>
      <c r="AD637" s="10" t="n"/>
      <c r="AE637" s="10" t="n"/>
    </row>
    <row r="638">
      <c r="A638" s="10" t="inlineStr">
        <is>
          <t>Ferric Oxide Black</t>
        </is>
      </c>
      <c r="B638" s="10" t="inlineStr">
        <is>
          <t>RM</t>
        </is>
      </c>
      <c r="C638" s="10" t="inlineStr">
        <is>
          <t>Colorant</t>
        </is>
      </c>
      <c r="D638" s="10" t="inlineStr">
        <is>
          <t>Assay</t>
        </is>
      </c>
      <c r="E638" s="10">
        <f>IF(A638="","",A638&amp;"|"&amp;D638)</f>
        <v/>
      </c>
      <c r="F638" s="5" t="inlineStr">
        <is>
          <t>Y</t>
        </is>
      </c>
      <c r="G638" s="5" t="inlineStr">
        <is>
          <t>Other / bench</t>
        </is>
      </c>
      <c r="H638" s="5" t="inlineStr">
        <is>
          <t>Low</t>
        </is>
      </c>
      <c r="I638" s="5" t="n">
        <v>1</v>
      </c>
      <c r="J638" s="5" t="n"/>
      <c r="K638" s="10">
        <f>IFERROR(IF(INDEX('Test catalog'!$F$2:$F$200,MATCH($AB638,'Test catalog'!$A$2:$A$200,0))="","",INDEX('Test catalog'!$F$2:$F$200,MATCH($AB638,'Test catalog'!$A$2:$A$200,0))),"")</f>
        <v/>
      </c>
      <c r="L638" s="10">
        <f>IFERROR(IF(INDEX('Test catalog'!$G$2:$G$200,MATCH($AB638,'Test catalog'!$A$2:$A$200,0))="","",INDEX('Test catalog'!$G$2:$G$200,MATCH($AB638,'Test catalog'!$A$2:$A$200,0))),"")</f>
        <v/>
      </c>
      <c r="M638" s="10">
        <f>IFERROR(IF(INDEX('Test catalog'!$H$2:$H$200,MATCH($AB638,'Test catalog'!$A$2:$A$200,0))="","",INDEX('Test catalog'!$H$2:$H$200,MATCH($AB638,'Test catalog'!$A$2:$A$200,0))),"")</f>
        <v/>
      </c>
      <c r="N638" s="10">
        <f>IFERROR(IF(INDEX('Test catalog'!$I$2:$I$200,MATCH($AB638,'Test catalog'!$A$2:$A$200,0))="","",INDEX('Test catalog'!$I$2:$I$200,MATCH($AB638,'Test catalog'!$A$2:$A$200,0))),"")</f>
        <v/>
      </c>
      <c r="O638" s="10">
        <f>IFERROR(IF(INDEX('Test catalog'!$J$2:$J$200,MATCH($AB638,'Test catalog'!$A$2:$A$200,0))="","",INDEX('Test catalog'!$J$2:$J$200,MATCH($AB638,'Test catalog'!$A$2:$A$200,0))),"")</f>
        <v/>
      </c>
      <c r="P638" s="14">
        <f>IF(N638="","",IF(OR(M638="",O638=""),N638,(M638+4*N638+O638)/6))</f>
        <v/>
      </c>
      <c r="Q638" s="10">
        <f>IFERROR(IF(INDEX('Test catalog'!$K$2:$K$200,MATCH($AB638,'Test catalog'!$A$2:$A$200,0))="","",INDEX('Test catalog'!$K$2:$K$200,MATCH($AB638,'Test catalog'!$A$2:$A$200,0))),"")</f>
        <v/>
      </c>
      <c r="R638" s="5" t="n"/>
      <c r="S638" s="10">
        <f>IFERROR(IF(INDEX('Test catalog'!$L$2:$L$200,MATCH($AB638,'Test catalog'!$A$2:$A$200,0))="","",INDEX('Test catalog'!$L$2:$L$200,MATCH($AB638,'Test catalog'!$A$2:$A$200,0))),"")</f>
        <v/>
      </c>
      <c r="T638" s="10">
        <f>IFERROR(IF(INDEX('Test catalog'!$M$2:$M$200,MATCH($AB638,'Test catalog'!$A$2:$A$200,0))="","",INDEX('Test catalog'!$M$2:$M$200,MATCH($AB638,'Test catalog'!$A$2:$A$200,0))),"")</f>
        <v/>
      </c>
      <c r="U638" s="10">
        <f>IFERROR(IF(INDEX('Test catalog'!$N$2:$N$200,MATCH($AB638,'Test catalog'!$A$2:$A$200,0))="","",INDEX('Test catalog'!$N$2:$N$200,MATCH($AB638,'Test catalog'!$A$2:$A$200,0))),"")</f>
        <v/>
      </c>
      <c r="V638" s="15" t="n"/>
      <c r="W638" s="5" t="inlineStr">
        <is>
          <t>N</t>
        </is>
      </c>
      <c r="X638" s="5" t="n"/>
      <c r="Y638" s="5" t="n"/>
      <c r="Z638" s="5" t="n"/>
      <c r="AA638" s="10">
        <f>IFERROR(IF(INDEX('Test catalog'!$O$2:$O$200,MATCH($AB638,'Test catalog'!$A$2:$A$200,0))="","",INDEX('Test catalog'!$O$2:$O$200,MATCH($AB638,'Test catalog'!$A$2:$A$200,0))),"")</f>
        <v/>
      </c>
      <c r="AB638" s="10" t="inlineStr">
        <is>
          <t>TITR</t>
        </is>
      </c>
      <c r="AC638" s="10" t="inlineStr">
        <is>
          <t>Ferrosoferric Oxide · Assay &lt;733,541&gt;</t>
        </is>
      </c>
      <c r="AD638" s="10" t="n"/>
      <c r="AE638" s="10" t="n"/>
    </row>
    <row r="639">
      <c r="A639" s="10" t="inlineStr">
        <is>
          <t>Ferric Oxide Black</t>
        </is>
      </c>
      <c r="B639" s="10" t="inlineStr">
        <is>
          <t>RM</t>
        </is>
      </c>
      <c r="C639" s="10" t="inlineStr">
        <is>
          <t>Colorant</t>
        </is>
      </c>
      <c r="D639" s="10" t="inlineStr">
        <is>
          <t>Limit of Arsenic (As)</t>
        </is>
      </c>
      <c r="E639" s="10">
        <f>IF(A639="","",A639&amp;"|"&amp;D639)</f>
        <v/>
      </c>
      <c r="F639" s="5" t="inlineStr">
        <is>
          <t>Y</t>
        </is>
      </c>
      <c r="G639" s="5" t="inlineStr">
        <is>
          <t>AAS / ICP</t>
        </is>
      </c>
      <c r="H639" s="5" t="inlineStr">
        <is>
          <t>Low</t>
        </is>
      </c>
      <c r="I639" s="5" t="n">
        <v>1</v>
      </c>
      <c r="J639" s="5" t="n"/>
      <c r="K639" s="10">
        <f>IFERROR(IF(INDEX('Test catalog'!$F$2:$F$200,MATCH($AB639,'Test catalog'!$A$2:$A$200,0))="","",INDEX('Test catalog'!$F$2:$F$200,MATCH($AB639,'Test catalog'!$A$2:$A$200,0))),"")</f>
        <v/>
      </c>
      <c r="L639" s="10">
        <f>IFERROR(IF(INDEX('Test catalog'!$G$2:$G$200,MATCH($AB639,'Test catalog'!$A$2:$A$200,0))="","",INDEX('Test catalog'!$G$2:$G$200,MATCH($AB639,'Test catalog'!$A$2:$A$200,0))),"")</f>
        <v/>
      </c>
      <c r="M639" s="10">
        <f>IFERROR(IF(INDEX('Test catalog'!$H$2:$H$200,MATCH($AB639,'Test catalog'!$A$2:$A$200,0))="","",INDEX('Test catalog'!$H$2:$H$200,MATCH($AB639,'Test catalog'!$A$2:$A$200,0))),"")</f>
        <v/>
      </c>
      <c r="N639" s="10">
        <f>IFERROR(IF(INDEX('Test catalog'!$I$2:$I$200,MATCH($AB639,'Test catalog'!$A$2:$A$200,0))="","",INDEX('Test catalog'!$I$2:$I$200,MATCH($AB639,'Test catalog'!$A$2:$A$200,0))),"")</f>
        <v/>
      </c>
      <c r="O639" s="10">
        <f>IFERROR(IF(INDEX('Test catalog'!$J$2:$J$200,MATCH($AB639,'Test catalog'!$A$2:$A$200,0))="","",INDEX('Test catalog'!$J$2:$J$200,MATCH($AB639,'Test catalog'!$A$2:$A$200,0))),"")</f>
        <v/>
      </c>
      <c r="P639" s="14">
        <f>IF(N639="","",IF(OR(M639="",O639=""),N639,(M639+4*N639+O639)/6))</f>
        <v/>
      </c>
      <c r="Q639" s="10">
        <f>IFERROR(IF(INDEX('Test catalog'!$K$2:$K$200,MATCH($AB639,'Test catalog'!$A$2:$A$200,0))="","",INDEX('Test catalog'!$K$2:$K$200,MATCH($AB639,'Test catalog'!$A$2:$A$200,0))),"")</f>
        <v/>
      </c>
      <c r="R639" s="5" t="n"/>
      <c r="S639" s="10">
        <f>IFERROR(IF(INDEX('Test catalog'!$L$2:$L$200,MATCH($AB639,'Test catalog'!$A$2:$A$200,0))="","",INDEX('Test catalog'!$L$2:$L$200,MATCH($AB639,'Test catalog'!$A$2:$A$200,0))),"")</f>
        <v/>
      </c>
      <c r="T639" s="10">
        <f>IFERROR(IF(INDEX('Test catalog'!$M$2:$M$200,MATCH($AB639,'Test catalog'!$A$2:$A$200,0))="","",INDEX('Test catalog'!$M$2:$M$200,MATCH($AB639,'Test catalog'!$A$2:$A$200,0))),"")</f>
        <v/>
      </c>
      <c r="U639" s="10">
        <f>IFERROR(IF(INDEX('Test catalog'!$N$2:$N$200,MATCH($AB639,'Test catalog'!$A$2:$A$200,0))="","",INDEX('Test catalog'!$N$2:$N$200,MATCH($AB639,'Test catalog'!$A$2:$A$200,0))),"")</f>
        <v/>
      </c>
      <c r="V639" s="15" t="n"/>
      <c r="W639" s="5" t="inlineStr">
        <is>
          <t>N</t>
        </is>
      </c>
      <c r="X639" s="5" t="n"/>
      <c r="Y639" s="5" t="n"/>
      <c r="Z639" s="5" t="n"/>
      <c r="AA639" s="10">
        <f>IFERROR(IF(INDEX('Test catalog'!$O$2:$O$200,MATCH($AB639,'Test catalog'!$A$2:$A$200,0))="","",INDEX('Test catalog'!$O$2:$O$200,MATCH($AB639,'Test catalog'!$A$2:$A$200,0))),"")</f>
        <v/>
      </c>
      <c r="AB639" s="10" t="inlineStr">
        <is>
          <t>AAS</t>
        </is>
      </c>
      <c r="AC639" s="10" t="inlineStr">
        <is>
          <t>Ferrosoferric Oxide · Impurities</t>
        </is>
      </c>
      <c r="AD639" s="10" t="n"/>
      <c r="AE639" s="10" t="n"/>
    </row>
    <row r="640">
      <c r="A640" s="10" t="inlineStr">
        <is>
          <t>Ferric Oxide Black</t>
        </is>
      </c>
      <c r="B640" s="10" t="inlineStr">
        <is>
          <t>RM</t>
        </is>
      </c>
      <c r="C640" s="10" t="inlineStr">
        <is>
          <t>Colorant</t>
        </is>
      </c>
      <c r="D640" s="10" t="inlineStr">
        <is>
          <t>Limit of Cadmium (Cd)</t>
        </is>
      </c>
      <c r="E640" s="10">
        <f>IF(A640="","",A640&amp;"|"&amp;D640)</f>
        <v/>
      </c>
      <c r="F640" s="5" t="inlineStr">
        <is>
          <t>Y</t>
        </is>
      </c>
      <c r="G640" s="5" t="inlineStr">
        <is>
          <t>AAS / ICP</t>
        </is>
      </c>
      <c r="H640" s="5" t="inlineStr">
        <is>
          <t>Low</t>
        </is>
      </c>
      <c r="I640" s="5" t="n">
        <v>1</v>
      </c>
      <c r="J640" s="5" t="n"/>
      <c r="K640" s="10">
        <f>IFERROR(IF(INDEX('Test catalog'!$F$2:$F$200,MATCH($AB640,'Test catalog'!$A$2:$A$200,0))="","",INDEX('Test catalog'!$F$2:$F$200,MATCH($AB640,'Test catalog'!$A$2:$A$200,0))),"")</f>
        <v/>
      </c>
      <c r="L640" s="10">
        <f>IFERROR(IF(INDEX('Test catalog'!$G$2:$G$200,MATCH($AB640,'Test catalog'!$A$2:$A$200,0))="","",INDEX('Test catalog'!$G$2:$G$200,MATCH($AB640,'Test catalog'!$A$2:$A$200,0))),"")</f>
        <v/>
      </c>
      <c r="M640" s="10">
        <f>IFERROR(IF(INDEX('Test catalog'!$H$2:$H$200,MATCH($AB640,'Test catalog'!$A$2:$A$200,0))="","",INDEX('Test catalog'!$H$2:$H$200,MATCH($AB640,'Test catalog'!$A$2:$A$200,0))),"")</f>
        <v/>
      </c>
      <c r="N640" s="10">
        <f>IFERROR(IF(INDEX('Test catalog'!$I$2:$I$200,MATCH($AB640,'Test catalog'!$A$2:$A$200,0))="","",INDEX('Test catalog'!$I$2:$I$200,MATCH($AB640,'Test catalog'!$A$2:$A$200,0))),"")</f>
        <v/>
      </c>
      <c r="O640" s="10">
        <f>IFERROR(IF(INDEX('Test catalog'!$J$2:$J$200,MATCH($AB640,'Test catalog'!$A$2:$A$200,0))="","",INDEX('Test catalog'!$J$2:$J$200,MATCH($AB640,'Test catalog'!$A$2:$A$200,0))),"")</f>
        <v/>
      </c>
      <c r="P640" s="14">
        <f>IF(N640="","",IF(OR(M640="",O640=""),N640,(M640+4*N640+O640)/6))</f>
        <v/>
      </c>
      <c r="Q640" s="10">
        <f>IFERROR(IF(INDEX('Test catalog'!$K$2:$K$200,MATCH($AB640,'Test catalog'!$A$2:$A$200,0))="","",INDEX('Test catalog'!$K$2:$K$200,MATCH($AB640,'Test catalog'!$A$2:$A$200,0))),"")</f>
        <v/>
      </c>
      <c r="R640" s="5" t="n"/>
      <c r="S640" s="10">
        <f>IFERROR(IF(INDEX('Test catalog'!$L$2:$L$200,MATCH($AB640,'Test catalog'!$A$2:$A$200,0))="","",INDEX('Test catalog'!$L$2:$L$200,MATCH($AB640,'Test catalog'!$A$2:$A$200,0))),"")</f>
        <v/>
      </c>
      <c r="T640" s="10">
        <f>IFERROR(IF(INDEX('Test catalog'!$M$2:$M$200,MATCH($AB640,'Test catalog'!$A$2:$A$200,0))="","",INDEX('Test catalog'!$M$2:$M$200,MATCH($AB640,'Test catalog'!$A$2:$A$200,0))),"")</f>
        <v/>
      </c>
      <c r="U640" s="10">
        <f>IFERROR(IF(INDEX('Test catalog'!$N$2:$N$200,MATCH($AB640,'Test catalog'!$A$2:$A$200,0))="","",INDEX('Test catalog'!$N$2:$N$200,MATCH($AB640,'Test catalog'!$A$2:$A$200,0))),"")</f>
        <v/>
      </c>
      <c r="V640" s="15" t="n"/>
      <c r="W640" s="5" t="inlineStr">
        <is>
          <t>N</t>
        </is>
      </c>
      <c r="X640" s="5" t="n"/>
      <c r="Y640" s="5" t="n"/>
      <c r="Z640" s="5" t="n"/>
      <c r="AA640" s="10">
        <f>IFERROR(IF(INDEX('Test catalog'!$O$2:$O$200,MATCH($AB640,'Test catalog'!$A$2:$A$200,0))="","",INDEX('Test catalog'!$O$2:$O$200,MATCH($AB640,'Test catalog'!$A$2:$A$200,0))),"")</f>
        <v/>
      </c>
      <c r="AB640" s="10" t="inlineStr">
        <is>
          <t>AAS</t>
        </is>
      </c>
      <c r="AC640" s="10" t="inlineStr">
        <is>
          <t>Ferrosoferric Oxide · Impurities</t>
        </is>
      </c>
      <c r="AD640" s="10" t="n"/>
      <c r="AE640" s="10" t="n"/>
    </row>
    <row r="641">
      <c r="A641" s="10" t="inlineStr">
        <is>
          <t>Ferric Oxide Black</t>
        </is>
      </c>
      <c r="B641" s="10" t="inlineStr">
        <is>
          <t>RM</t>
        </is>
      </c>
      <c r="C641" s="10" t="inlineStr">
        <is>
          <t>Colorant</t>
        </is>
      </c>
      <c r="D641" s="10" t="inlineStr">
        <is>
          <t>Limit of Chromium (Cr)</t>
        </is>
      </c>
      <c r="E641" s="10">
        <f>IF(A641="","",A641&amp;"|"&amp;D641)</f>
        <v/>
      </c>
      <c r="F641" s="5" t="inlineStr">
        <is>
          <t>Y</t>
        </is>
      </c>
      <c r="G641" s="5" t="inlineStr">
        <is>
          <t>AAS / ICP</t>
        </is>
      </c>
      <c r="H641" s="5" t="inlineStr">
        <is>
          <t>Low</t>
        </is>
      </c>
      <c r="I641" s="5" t="n">
        <v>1</v>
      </c>
      <c r="J641" s="5" t="n"/>
      <c r="K641" s="10">
        <f>IFERROR(IF(INDEX('Test catalog'!$F$2:$F$200,MATCH($AB641,'Test catalog'!$A$2:$A$200,0))="","",INDEX('Test catalog'!$F$2:$F$200,MATCH($AB641,'Test catalog'!$A$2:$A$200,0))),"")</f>
        <v/>
      </c>
      <c r="L641" s="10">
        <f>IFERROR(IF(INDEX('Test catalog'!$G$2:$G$200,MATCH($AB641,'Test catalog'!$A$2:$A$200,0))="","",INDEX('Test catalog'!$G$2:$G$200,MATCH($AB641,'Test catalog'!$A$2:$A$200,0))),"")</f>
        <v/>
      </c>
      <c r="M641" s="10">
        <f>IFERROR(IF(INDEX('Test catalog'!$H$2:$H$200,MATCH($AB641,'Test catalog'!$A$2:$A$200,0))="","",INDEX('Test catalog'!$H$2:$H$200,MATCH($AB641,'Test catalog'!$A$2:$A$200,0))),"")</f>
        <v/>
      </c>
      <c r="N641" s="10">
        <f>IFERROR(IF(INDEX('Test catalog'!$I$2:$I$200,MATCH($AB641,'Test catalog'!$A$2:$A$200,0))="","",INDEX('Test catalog'!$I$2:$I$200,MATCH($AB641,'Test catalog'!$A$2:$A$200,0))),"")</f>
        <v/>
      </c>
      <c r="O641" s="10">
        <f>IFERROR(IF(INDEX('Test catalog'!$J$2:$J$200,MATCH($AB641,'Test catalog'!$A$2:$A$200,0))="","",INDEX('Test catalog'!$J$2:$J$200,MATCH($AB641,'Test catalog'!$A$2:$A$200,0))),"")</f>
        <v/>
      </c>
      <c r="P641" s="14">
        <f>IF(N641="","",IF(OR(M641="",O641=""),N641,(M641+4*N641+O641)/6))</f>
        <v/>
      </c>
      <c r="Q641" s="10">
        <f>IFERROR(IF(INDEX('Test catalog'!$K$2:$K$200,MATCH($AB641,'Test catalog'!$A$2:$A$200,0))="","",INDEX('Test catalog'!$K$2:$K$200,MATCH($AB641,'Test catalog'!$A$2:$A$200,0))),"")</f>
        <v/>
      </c>
      <c r="R641" s="5" t="n"/>
      <c r="S641" s="10">
        <f>IFERROR(IF(INDEX('Test catalog'!$L$2:$L$200,MATCH($AB641,'Test catalog'!$A$2:$A$200,0))="","",INDEX('Test catalog'!$L$2:$L$200,MATCH($AB641,'Test catalog'!$A$2:$A$200,0))),"")</f>
        <v/>
      </c>
      <c r="T641" s="10">
        <f>IFERROR(IF(INDEX('Test catalog'!$M$2:$M$200,MATCH($AB641,'Test catalog'!$A$2:$A$200,0))="","",INDEX('Test catalog'!$M$2:$M$200,MATCH($AB641,'Test catalog'!$A$2:$A$200,0))),"")</f>
        <v/>
      </c>
      <c r="U641" s="10">
        <f>IFERROR(IF(INDEX('Test catalog'!$N$2:$N$200,MATCH($AB641,'Test catalog'!$A$2:$A$200,0))="","",INDEX('Test catalog'!$N$2:$N$200,MATCH($AB641,'Test catalog'!$A$2:$A$200,0))),"")</f>
        <v/>
      </c>
      <c r="V641" s="15" t="n"/>
      <c r="W641" s="5" t="inlineStr">
        <is>
          <t>N</t>
        </is>
      </c>
      <c r="X641" s="5" t="n"/>
      <c r="Y641" s="5" t="n"/>
      <c r="Z641" s="5" t="n"/>
      <c r="AA641" s="10">
        <f>IFERROR(IF(INDEX('Test catalog'!$O$2:$O$200,MATCH($AB641,'Test catalog'!$A$2:$A$200,0))="","",INDEX('Test catalog'!$O$2:$O$200,MATCH($AB641,'Test catalog'!$A$2:$A$200,0))),"")</f>
        <v/>
      </c>
      <c r="AB641" s="10" t="inlineStr">
        <is>
          <t>AAS</t>
        </is>
      </c>
      <c r="AC641" s="10" t="inlineStr">
        <is>
          <t>Ferrosoferric Oxide · Impurities</t>
        </is>
      </c>
      <c r="AD641" s="10" t="n"/>
      <c r="AE641" s="10" t="n"/>
    </row>
    <row r="642">
      <c r="A642" s="10" t="inlineStr">
        <is>
          <t>Ferric Oxide Black</t>
        </is>
      </c>
      <c r="B642" s="10" t="inlineStr">
        <is>
          <t>RM</t>
        </is>
      </c>
      <c r="C642" s="10" t="inlineStr">
        <is>
          <t>Colorant</t>
        </is>
      </c>
      <c r="D642" s="10" t="inlineStr">
        <is>
          <t>Limit of Lead (Pb)</t>
        </is>
      </c>
      <c r="E642" s="10">
        <f>IF(A642="","",A642&amp;"|"&amp;D642)</f>
        <v/>
      </c>
      <c r="F642" s="5" t="inlineStr">
        <is>
          <t>Y</t>
        </is>
      </c>
      <c r="G642" s="5" t="inlineStr">
        <is>
          <t>AAS / ICP</t>
        </is>
      </c>
      <c r="H642" s="5" t="inlineStr">
        <is>
          <t>Low</t>
        </is>
      </c>
      <c r="I642" s="5" t="n">
        <v>1</v>
      </c>
      <c r="J642" s="5" t="n"/>
      <c r="K642" s="10">
        <f>IFERROR(IF(INDEX('Test catalog'!$F$2:$F$200,MATCH($AB642,'Test catalog'!$A$2:$A$200,0))="","",INDEX('Test catalog'!$F$2:$F$200,MATCH($AB642,'Test catalog'!$A$2:$A$200,0))),"")</f>
        <v/>
      </c>
      <c r="L642" s="10">
        <f>IFERROR(IF(INDEX('Test catalog'!$G$2:$G$200,MATCH($AB642,'Test catalog'!$A$2:$A$200,0))="","",INDEX('Test catalog'!$G$2:$G$200,MATCH($AB642,'Test catalog'!$A$2:$A$200,0))),"")</f>
        <v/>
      </c>
      <c r="M642" s="10">
        <f>IFERROR(IF(INDEX('Test catalog'!$H$2:$H$200,MATCH($AB642,'Test catalog'!$A$2:$A$200,0))="","",INDEX('Test catalog'!$H$2:$H$200,MATCH($AB642,'Test catalog'!$A$2:$A$200,0))),"")</f>
        <v/>
      </c>
      <c r="N642" s="10">
        <f>IFERROR(IF(INDEX('Test catalog'!$I$2:$I$200,MATCH($AB642,'Test catalog'!$A$2:$A$200,0))="","",INDEX('Test catalog'!$I$2:$I$200,MATCH($AB642,'Test catalog'!$A$2:$A$200,0))),"")</f>
        <v/>
      </c>
      <c r="O642" s="10">
        <f>IFERROR(IF(INDEX('Test catalog'!$J$2:$J$200,MATCH($AB642,'Test catalog'!$A$2:$A$200,0))="","",INDEX('Test catalog'!$J$2:$J$200,MATCH($AB642,'Test catalog'!$A$2:$A$200,0))),"")</f>
        <v/>
      </c>
      <c r="P642" s="14">
        <f>IF(N642="","",IF(OR(M642="",O642=""),N642,(M642+4*N642+O642)/6))</f>
        <v/>
      </c>
      <c r="Q642" s="10">
        <f>IFERROR(IF(INDEX('Test catalog'!$K$2:$K$200,MATCH($AB642,'Test catalog'!$A$2:$A$200,0))="","",INDEX('Test catalog'!$K$2:$K$200,MATCH($AB642,'Test catalog'!$A$2:$A$200,0))),"")</f>
        <v/>
      </c>
      <c r="R642" s="5" t="n"/>
      <c r="S642" s="10">
        <f>IFERROR(IF(INDEX('Test catalog'!$L$2:$L$200,MATCH($AB642,'Test catalog'!$A$2:$A$200,0))="","",INDEX('Test catalog'!$L$2:$L$200,MATCH($AB642,'Test catalog'!$A$2:$A$200,0))),"")</f>
        <v/>
      </c>
      <c r="T642" s="10">
        <f>IFERROR(IF(INDEX('Test catalog'!$M$2:$M$200,MATCH($AB642,'Test catalog'!$A$2:$A$200,0))="","",INDEX('Test catalog'!$M$2:$M$200,MATCH($AB642,'Test catalog'!$A$2:$A$200,0))),"")</f>
        <v/>
      </c>
      <c r="U642" s="10">
        <f>IFERROR(IF(INDEX('Test catalog'!$N$2:$N$200,MATCH($AB642,'Test catalog'!$A$2:$A$200,0))="","",INDEX('Test catalog'!$N$2:$N$200,MATCH($AB642,'Test catalog'!$A$2:$A$200,0))),"")</f>
        <v/>
      </c>
      <c r="V642" s="15" t="n"/>
      <c r="W642" s="5" t="inlineStr">
        <is>
          <t>N</t>
        </is>
      </c>
      <c r="X642" s="5" t="n"/>
      <c r="Y642" s="5" t="n"/>
      <c r="Z642" s="5" t="n"/>
      <c r="AA642" s="10">
        <f>IFERROR(IF(INDEX('Test catalog'!$O$2:$O$200,MATCH($AB642,'Test catalog'!$A$2:$A$200,0))="","",INDEX('Test catalog'!$O$2:$O$200,MATCH($AB642,'Test catalog'!$A$2:$A$200,0))),"")</f>
        <v/>
      </c>
      <c r="AB642" s="10" t="inlineStr">
        <is>
          <t>AAS</t>
        </is>
      </c>
      <c r="AC642" s="10" t="inlineStr">
        <is>
          <t>Ferrosoferric Oxide · Impurities</t>
        </is>
      </c>
      <c r="AD642" s="10" t="n"/>
      <c r="AE642" s="10" t="n"/>
    </row>
    <row r="643">
      <c r="A643" s="10" t="inlineStr">
        <is>
          <t>Ferric Oxide Black</t>
        </is>
      </c>
      <c r="B643" s="10" t="inlineStr">
        <is>
          <t>RM</t>
        </is>
      </c>
      <c r="C643" s="10" t="inlineStr">
        <is>
          <t>Colorant</t>
        </is>
      </c>
      <c r="D643" s="10" t="inlineStr">
        <is>
          <t>Limit of Mercury (Hg)</t>
        </is>
      </c>
      <c r="E643" s="10">
        <f>IF(A643="","",A643&amp;"|"&amp;D643)</f>
        <v/>
      </c>
      <c r="F643" s="5" t="inlineStr">
        <is>
          <t>Y</t>
        </is>
      </c>
      <c r="G643" s="5" t="inlineStr">
        <is>
          <t>AAS / ICP</t>
        </is>
      </c>
      <c r="H643" s="5" t="inlineStr">
        <is>
          <t>Low</t>
        </is>
      </c>
      <c r="I643" s="5" t="n">
        <v>1</v>
      </c>
      <c r="J643" s="5" t="n"/>
      <c r="K643" s="10">
        <f>IFERROR(IF(INDEX('Test catalog'!$F$2:$F$200,MATCH($AB643,'Test catalog'!$A$2:$A$200,0))="","",INDEX('Test catalog'!$F$2:$F$200,MATCH($AB643,'Test catalog'!$A$2:$A$200,0))),"")</f>
        <v/>
      </c>
      <c r="L643" s="10">
        <f>IFERROR(IF(INDEX('Test catalog'!$G$2:$G$200,MATCH($AB643,'Test catalog'!$A$2:$A$200,0))="","",INDEX('Test catalog'!$G$2:$G$200,MATCH($AB643,'Test catalog'!$A$2:$A$200,0))),"")</f>
        <v/>
      </c>
      <c r="M643" s="10">
        <f>IFERROR(IF(INDEX('Test catalog'!$H$2:$H$200,MATCH($AB643,'Test catalog'!$A$2:$A$200,0))="","",INDEX('Test catalog'!$H$2:$H$200,MATCH($AB643,'Test catalog'!$A$2:$A$200,0))),"")</f>
        <v/>
      </c>
      <c r="N643" s="10">
        <f>IFERROR(IF(INDEX('Test catalog'!$I$2:$I$200,MATCH($AB643,'Test catalog'!$A$2:$A$200,0))="","",INDEX('Test catalog'!$I$2:$I$200,MATCH($AB643,'Test catalog'!$A$2:$A$200,0))),"")</f>
        <v/>
      </c>
      <c r="O643" s="10">
        <f>IFERROR(IF(INDEX('Test catalog'!$J$2:$J$200,MATCH($AB643,'Test catalog'!$A$2:$A$200,0))="","",INDEX('Test catalog'!$J$2:$J$200,MATCH($AB643,'Test catalog'!$A$2:$A$200,0))),"")</f>
        <v/>
      </c>
      <c r="P643" s="14">
        <f>IF(N643="","",IF(OR(M643="",O643=""),N643,(M643+4*N643+O643)/6))</f>
        <v/>
      </c>
      <c r="Q643" s="10">
        <f>IFERROR(IF(INDEX('Test catalog'!$K$2:$K$200,MATCH($AB643,'Test catalog'!$A$2:$A$200,0))="","",INDEX('Test catalog'!$K$2:$K$200,MATCH($AB643,'Test catalog'!$A$2:$A$200,0))),"")</f>
        <v/>
      </c>
      <c r="R643" s="5" t="n"/>
      <c r="S643" s="10">
        <f>IFERROR(IF(INDEX('Test catalog'!$L$2:$L$200,MATCH($AB643,'Test catalog'!$A$2:$A$200,0))="","",INDEX('Test catalog'!$L$2:$L$200,MATCH($AB643,'Test catalog'!$A$2:$A$200,0))),"")</f>
        <v/>
      </c>
      <c r="T643" s="10">
        <f>IFERROR(IF(INDEX('Test catalog'!$M$2:$M$200,MATCH($AB643,'Test catalog'!$A$2:$A$200,0))="","",INDEX('Test catalog'!$M$2:$M$200,MATCH($AB643,'Test catalog'!$A$2:$A$200,0))),"")</f>
        <v/>
      </c>
      <c r="U643" s="10">
        <f>IFERROR(IF(INDEX('Test catalog'!$N$2:$N$200,MATCH($AB643,'Test catalog'!$A$2:$A$200,0))="","",INDEX('Test catalog'!$N$2:$N$200,MATCH($AB643,'Test catalog'!$A$2:$A$200,0))),"")</f>
        <v/>
      </c>
      <c r="V643" s="15" t="n"/>
      <c r="W643" s="5" t="inlineStr">
        <is>
          <t>N</t>
        </is>
      </c>
      <c r="X643" s="5" t="n"/>
      <c r="Y643" s="5" t="n"/>
      <c r="Z643" s="5" t="n"/>
      <c r="AA643" s="10">
        <f>IFERROR(IF(INDEX('Test catalog'!$O$2:$O$200,MATCH($AB643,'Test catalog'!$A$2:$A$200,0))="","",INDEX('Test catalog'!$O$2:$O$200,MATCH($AB643,'Test catalog'!$A$2:$A$200,0))),"")</f>
        <v/>
      </c>
      <c r="AB643" s="10" t="inlineStr">
        <is>
          <t>AAS</t>
        </is>
      </c>
      <c r="AC643" s="10" t="inlineStr">
        <is>
          <t>Ferrosoferric Oxide · Impurities</t>
        </is>
      </c>
      <c r="AD643" s="10" t="n"/>
      <c r="AE643" s="10" t="n"/>
    </row>
    <row r="644">
      <c r="A644" s="10" t="inlineStr">
        <is>
          <t>Ferric Oxide Black</t>
        </is>
      </c>
      <c r="B644" s="10" t="inlineStr">
        <is>
          <t>RM</t>
        </is>
      </c>
      <c r="C644" s="10" t="inlineStr">
        <is>
          <t>Colorant</t>
        </is>
      </c>
      <c r="D644" s="10" t="inlineStr">
        <is>
          <t>Limit of Nickel (Ni)</t>
        </is>
      </c>
      <c r="E644" s="10">
        <f>IF(A644="","",A644&amp;"|"&amp;D644)</f>
        <v/>
      </c>
      <c r="F644" s="5" t="inlineStr">
        <is>
          <t>Y</t>
        </is>
      </c>
      <c r="G644" s="5" t="inlineStr">
        <is>
          <t>AAS / ICP</t>
        </is>
      </c>
      <c r="H644" s="5" t="inlineStr">
        <is>
          <t>Low</t>
        </is>
      </c>
      <c r="I644" s="5" t="n">
        <v>1</v>
      </c>
      <c r="J644" s="5" t="n"/>
      <c r="K644" s="10">
        <f>IFERROR(IF(INDEX('Test catalog'!$F$2:$F$200,MATCH($AB644,'Test catalog'!$A$2:$A$200,0))="","",INDEX('Test catalog'!$F$2:$F$200,MATCH($AB644,'Test catalog'!$A$2:$A$200,0))),"")</f>
        <v/>
      </c>
      <c r="L644" s="10">
        <f>IFERROR(IF(INDEX('Test catalog'!$G$2:$G$200,MATCH($AB644,'Test catalog'!$A$2:$A$200,0))="","",INDEX('Test catalog'!$G$2:$G$200,MATCH($AB644,'Test catalog'!$A$2:$A$200,0))),"")</f>
        <v/>
      </c>
      <c r="M644" s="10">
        <f>IFERROR(IF(INDEX('Test catalog'!$H$2:$H$200,MATCH($AB644,'Test catalog'!$A$2:$A$200,0))="","",INDEX('Test catalog'!$H$2:$H$200,MATCH($AB644,'Test catalog'!$A$2:$A$200,0))),"")</f>
        <v/>
      </c>
      <c r="N644" s="10">
        <f>IFERROR(IF(INDEX('Test catalog'!$I$2:$I$200,MATCH($AB644,'Test catalog'!$A$2:$A$200,0))="","",INDEX('Test catalog'!$I$2:$I$200,MATCH($AB644,'Test catalog'!$A$2:$A$200,0))),"")</f>
        <v/>
      </c>
      <c r="O644" s="10">
        <f>IFERROR(IF(INDEX('Test catalog'!$J$2:$J$200,MATCH($AB644,'Test catalog'!$A$2:$A$200,0))="","",INDEX('Test catalog'!$J$2:$J$200,MATCH($AB644,'Test catalog'!$A$2:$A$200,0))),"")</f>
        <v/>
      </c>
      <c r="P644" s="14">
        <f>IF(N644="","",IF(OR(M644="",O644=""),N644,(M644+4*N644+O644)/6))</f>
        <v/>
      </c>
      <c r="Q644" s="10">
        <f>IFERROR(IF(INDEX('Test catalog'!$K$2:$K$200,MATCH($AB644,'Test catalog'!$A$2:$A$200,0))="","",INDEX('Test catalog'!$K$2:$K$200,MATCH($AB644,'Test catalog'!$A$2:$A$200,0))),"")</f>
        <v/>
      </c>
      <c r="R644" s="5" t="n"/>
      <c r="S644" s="10">
        <f>IFERROR(IF(INDEX('Test catalog'!$L$2:$L$200,MATCH($AB644,'Test catalog'!$A$2:$A$200,0))="","",INDEX('Test catalog'!$L$2:$L$200,MATCH($AB644,'Test catalog'!$A$2:$A$200,0))),"")</f>
        <v/>
      </c>
      <c r="T644" s="10">
        <f>IFERROR(IF(INDEX('Test catalog'!$M$2:$M$200,MATCH($AB644,'Test catalog'!$A$2:$A$200,0))="","",INDEX('Test catalog'!$M$2:$M$200,MATCH($AB644,'Test catalog'!$A$2:$A$200,0))),"")</f>
        <v/>
      </c>
      <c r="U644" s="10">
        <f>IFERROR(IF(INDEX('Test catalog'!$N$2:$N$200,MATCH($AB644,'Test catalog'!$A$2:$A$200,0))="","",INDEX('Test catalog'!$N$2:$N$200,MATCH($AB644,'Test catalog'!$A$2:$A$200,0))),"")</f>
        <v/>
      </c>
      <c r="V644" s="15" t="n"/>
      <c r="W644" s="5" t="inlineStr">
        <is>
          <t>N</t>
        </is>
      </c>
      <c r="X644" s="5" t="n"/>
      <c r="Y644" s="5" t="n"/>
      <c r="Z644" s="5" t="n"/>
      <c r="AA644" s="10">
        <f>IFERROR(IF(INDEX('Test catalog'!$O$2:$O$200,MATCH($AB644,'Test catalog'!$A$2:$A$200,0))="","",INDEX('Test catalog'!$O$2:$O$200,MATCH($AB644,'Test catalog'!$A$2:$A$200,0))),"")</f>
        <v/>
      </c>
      <c r="AB644" s="10" t="inlineStr">
        <is>
          <t>AAS</t>
        </is>
      </c>
      <c r="AC644" s="10" t="inlineStr">
        <is>
          <t>Ferrosoferric Oxide · Impurities</t>
        </is>
      </c>
      <c r="AD644" s="10" t="n"/>
      <c r="AE644" s="10" t="n"/>
    </row>
    <row r="645">
      <c r="A645" s="10" t="inlineStr">
        <is>
          <t>Ferric Oxide Black</t>
        </is>
      </c>
      <c r="B645" s="10" t="inlineStr">
        <is>
          <t>RM</t>
        </is>
      </c>
      <c r="C645" s="10" t="inlineStr">
        <is>
          <t>Colorant</t>
        </is>
      </c>
      <c r="D645" s="10" t="inlineStr">
        <is>
          <t>Water-Soluble Substances</t>
        </is>
      </c>
      <c r="E645" s="10">
        <f>IF(A645="","",A645&amp;"|"&amp;D645)</f>
        <v/>
      </c>
      <c r="F645" s="5" t="inlineStr">
        <is>
          <t>Y</t>
        </is>
      </c>
      <c r="G645" s="5" t="inlineStr">
        <is>
          <t>Other / bench</t>
        </is>
      </c>
      <c r="H645" s="5" t="inlineStr">
        <is>
          <t>Low</t>
        </is>
      </c>
      <c r="I645" s="5" t="n">
        <v>1</v>
      </c>
      <c r="J645" s="5" t="n"/>
      <c r="K645" s="10">
        <f>IFERROR(IF(INDEX('Test catalog'!$F$2:$F$200,MATCH($AB645,'Test catalog'!$A$2:$A$200,0))="","",INDEX('Test catalog'!$F$2:$F$200,MATCH($AB645,'Test catalog'!$A$2:$A$200,0))),"")</f>
        <v/>
      </c>
      <c r="L645" s="10">
        <f>IFERROR(IF(INDEX('Test catalog'!$G$2:$G$200,MATCH($AB645,'Test catalog'!$A$2:$A$200,0))="","",INDEX('Test catalog'!$G$2:$G$200,MATCH($AB645,'Test catalog'!$A$2:$A$200,0))),"")</f>
        <v/>
      </c>
      <c r="M645" s="10">
        <f>IFERROR(IF(INDEX('Test catalog'!$H$2:$H$200,MATCH($AB645,'Test catalog'!$A$2:$A$200,0))="","",INDEX('Test catalog'!$H$2:$H$200,MATCH($AB645,'Test catalog'!$A$2:$A$200,0))),"")</f>
        <v/>
      </c>
      <c r="N645" s="10">
        <f>IFERROR(IF(INDEX('Test catalog'!$I$2:$I$200,MATCH($AB645,'Test catalog'!$A$2:$A$200,0))="","",INDEX('Test catalog'!$I$2:$I$200,MATCH($AB645,'Test catalog'!$A$2:$A$200,0))),"")</f>
        <v/>
      </c>
      <c r="O645" s="10">
        <f>IFERROR(IF(INDEX('Test catalog'!$J$2:$J$200,MATCH($AB645,'Test catalog'!$A$2:$A$200,0))="","",INDEX('Test catalog'!$J$2:$J$200,MATCH($AB645,'Test catalog'!$A$2:$A$200,0))),"")</f>
        <v/>
      </c>
      <c r="P645" s="14">
        <f>IF(N645="","",IF(OR(M645="",O645=""),N645,(M645+4*N645+O645)/6))</f>
        <v/>
      </c>
      <c r="Q645" s="10">
        <f>IFERROR(IF(INDEX('Test catalog'!$K$2:$K$200,MATCH($AB645,'Test catalog'!$A$2:$A$200,0))="","",INDEX('Test catalog'!$K$2:$K$200,MATCH($AB645,'Test catalog'!$A$2:$A$200,0))),"")</f>
        <v/>
      </c>
      <c r="R645" s="5" t="n"/>
      <c r="S645" s="10">
        <f>IFERROR(IF(INDEX('Test catalog'!$L$2:$L$200,MATCH($AB645,'Test catalog'!$A$2:$A$200,0))="","",INDEX('Test catalog'!$L$2:$L$200,MATCH($AB645,'Test catalog'!$A$2:$A$200,0))),"")</f>
        <v/>
      </c>
      <c r="T645" s="10">
        <f>IFERROR(IF(INDEX('Test catalog'!$M$2:$M$200,MATCH($AB645,'Test catalog'!$A$2:$A$200,0))="","",INDEX('Test catalog'!$M$2:$M$200,MATCH($AB645,'Test catalog'!$A$2:$A$200,0))),"")</f>
        <v/>
      </c>
      <c r="U645" s="10">
        <f>IFERROR(IF(INDEX('Test catalog'!$N$2:$N$200,MATCH($AB645,'Test catalog'!$A$2:$A$200,0))="","",INDEX('Test catalog'!$N$2:$N$200,MATCH($AB645,'Test catalog'!$A$2:$A$200,0))),"")</f>
        <v/>
      </c>
      <c r="V645" s="15" t="n"/>
      <c r="W645" s="5" t="inlineStr">
        <is>
          <t>N</t>
        </is>
      </c>
      <c r="X645" s="5" t="n"/>
      <c r="Y645" s="5" t="n"/>
      <c r="Z645" s="5" t="n"/>
      <c r="AA645" s="10">
        <f>IFERROR(IF(INDEX('Test catalog'!$O$2:$O$200,MATCH($AB645,'Test catalog'!$A$2:$A$200,0))="","",INDEX('Test catalog'!$O$2:$O$200,MATCH($AB645,'Test catalog'!$A$2:$A$200,0))),"")</f>
        <v/>
      </c>
      <c r="AB645" s="10" t="inlineStr">
        <is>
          <t>GRAV</t>
        </is>
      </c>
      <c r="AC645" s="10" t="inlineStr">
        <is>
          <t>Ferrosoferric Oxide · Specific Tests</t>
        </is>
      </c>
      <c r="AD645" s="10" t="n"/>
      <c r="AE645" s="10" t="n"/>
    </row>
    <row r="646">
      <c r="A646" s="10" t="inlineStr">
        <is>
          <t>Ferric Oxide Black</t>
        </is>
      </c>
      <c r="B646" s="10" t="inlineStr">
        <is>
          <t>RM</t>
        </is>
      </c>
      <c r="C646" s="10" t="inlineStr">
        <is>
          <t>Colorant</t>
        </is>
      </c>
      <c r="D646" s="10" t="inlineStr">
        <is>
          <t>Acid-Insoluble Substances</t>
        </is>
      </c>
      <c r="E646" s="10">
        <f>IF(A646="","",A646&amp;"|"&amp;D646)</f>
        <v/>
      </c>
      <c r="F646" s="5" t="inlineStr">
        <is>
          <t>Y</t>
        </is>
      </c>
      <c r="G646" s="5" t="inlineStr">
        <is>
          <t>Other / bench</t>
        </is>
      </c>
      <c r="H646" s="5" t="inlineStr">
        <is>
          <t>Low</t>
        </is>
      </c>
      <c r="I646" s="5" t="n">
        <v>1</v>
      </c>
      <c r="J646" s="5" t="n"/>
      <c r="K646" s="10">
        <f>IFERROR(IF(INDEX('Test catalog'!$F$2:$F$200,MATCH($AB646,'Test catalog'!$A$2:$A$200,0))="","",INDEX('Test catalog'!$F$2:$F$200,MATCH($AB646,'Test catalog'!$A$2:$A$200,0))),"")</f>
        <v/>
      </c>
      <c r="L646" s="10">
        <f>IFERROR(IF(INDEX('Test catalog'!$G$2:$G$200,MATCH($AB646,'Test catalog'!$A$2:$A$200,0))="","",INDEX('Test catalog'!$G$2:$G$200,MATCH($AB646,'Test catalog'!$A$2:$A$200,0))),"")</f>
        <v/>
      </c>
      <c r="M646" s="10">
        <f>IFERROR(IF(INDEX('Test catalog'!$H$2:$H$200,MATCH($AB646,'Test catalog'!$A$2:$A$200,0))="","",INDEX('Test catalog'!$H$2:$H$200,MATCH($AB646,'Test catalog'!$A$2:$A$200,0))),"")</f>
        <v/>
      </c>
      <c r="N646" s="10">
        <f>IFERROR(IF(INDEX('Test catalog'!$I$2:$I$200,MATCH($AB646,'Test catalog'!$A$2:$A$200,0))="","",INDEX('Test catalog'!$I$2:$I$200,MATCH($AB646,'Test catalog'!$A$2:$A$200,0))),"")</f>
        <v/>
      </c>
      <c r="O646" s="10">
        <f>IFERROR(IF(INDEX('Test catalog'!$J$2:$J$200,MATCH($AB646,'Test catalog'!$A$2:$A$200,0))="","",INDEX('Test catalog'!$J$2:$J$200,MATCH($AB646,'Test catalog'!$A$2:$A$200,0))),"")</f>
        <v/>
      </c>
      <c r="P646" s="14">
        <f>IF(N646="","",IF(OR(M646="",O646=""),N646,(M646+4*N646+O646)/6))</f>
        <v/>
      </c>
      <c r="Q646" s="10">
        <f>IFERROR(IF(INDEX('Test catalog'!$K$2:$K$200,MATCH($AB646,'Test catalog'!$A$2:$A$200,0))="","",INDEX('Test catalog'!$K$2:$K$200,MATCH($AB646,'Test catalog'!$A$2:$A$200,0))),"")</f>
        <v/>
      </c>
      <c r="R646" s="5" t="n"/>
      <c r="S646" s="10">
        <f>IFERROR(IF(INDEX('Test catalog'!$L$2:$L$200,MATCH($AB646,'Test catalog'!$A$2:$A$200,0))="","",INDEX('Test catalog'!$L$2:$L$200,MATCH($AB646,'Test catalog'!$A$2:$A$200,0))),"")</f>
        <v/>
      </c>
      <c r="T646" s="10">
        <f>IFERROR(IF(INDEX('Test catalog'!$M$2:$M$200,MATCH($AB646,'Test catalog'!$A$2:$A$200,0))="","",INDEX('Test catalog'!$M$2:$M$200,MATCH($AB646,'Test catalog'!$A$2:$A$200,0))),"")</f>
        <v/>
      </c>
      <c r="U646" s="10">
        <f>IFERROR(IF(INDEX('Test catalog'!$N$2:$N$200,MATCH($AB646,'Test catalog'!$A$2:$A$200,0))="","",INDEX('Test catalog'!$N$2:$N$200,MATCH($AB646,'Test catalog'!$A$2:$A$200,0))),"")</f>
        <v/>
      </c>
      <c r="V646" s="15" t="n"/>
      <c r="W646" s="5" t="inlineStr">
        <is>
          <t>N</t>
        </is>
      </c>
      <c r="X646" s="5" t="n"/>
      <c r="Y646" s="5" t="n"/>
      <c r="Z646" s="5" t="n"/>
      <c r="AA646" s="10">
        <f>IFERROR(IF(INDEX('Test catalog'!$O$2:$O$200,MATCH($AB646,'Test catalog'!$A$2:$A$200,0))="","",INDEX('Test catalog'!$O$2:$O$200,MATCH($AB646,'Test catalog'!$A$2:$A$200,0))),"")</f>
        <v/>
      </c>
      <c r="AB646" s="10" t="inlineStr">
        <is>
          <t>GRAV</t>
        </is>
      </c>
      <c r="AC646" s="10" t="inlineStr">
        <is>
          <t>Ferrosoferric Oxide · Specific Tests</t>
        </is>
      </c>
      <c r="AD646" s="10" t="n"/>
      <c r="AE646" s="10" t="n"/>
    </row>
    <row r="647">
      <c r="A647" s="10" t="inlineStr">
        <is>
          <t>Ferric Oxide Black</t>
        </is>
      </c>
      <c r="B647" s="10" t="inlineStr">
        <is>
          <t>RM</t>
        </is>
      </c>
      <c r="C647" s="10" t="inlineStr">
        <is>
          <t>Colorant</t>
        </is>
      </c>
      <c r="D647" s="10" t="inlineStr">
        <is>
          <t>Organic Colors and Lakes</t>
        </is>
      </c>
      <c r="E647" s="10">
        <f>IF(A647="","",A647&amp;"|"&amp;D647)</f>
        <v/>
      </c>
      <c r="F647" s="5" t="inlineStr">
        <is>
          <t>Y</t>
        </is>
      </c>
      <c r="G647" s="5" t="inlineStr">
        <is>
          <t>UV-Vis</t>
        </is>
      </c>
      <c r="H647" s="5" t="inlineStr">
        <is>
          <t>Low</t>
        </is>
      </c>
      <c r="I647" s="5" t="n">
        <v>1</v>
      </c>
      <c r="J647" s="5" t="n"/>
      <c r="K647" s="10">
        <f>IFERROR(IF(INDEX('Test catalog'!$F$2:$F$200,MATCH($AB647,'Test catalog'!$A$2:$A$200,0))="","",INDEX('Test catalog'!$F$2:$F$200,MATCH($AB647,'Test catalog'!$A$2:$A$200,0))),"")</f>
        <v/>
      </c>
      <c r="L647" s="10">
        <f>IFERROR(IF(INDEX('Test catalog'!$G$2:$G$200,MATCH($AB647,'Test catalog'!$A$2:$A$200,0))="","",INDEX('Test catalog'!$G$2:$G$200,MATCH($AB647,'Test catalog'!$A$2:$A$200,0))),"")</f>
        <v/>
      </c>
      <c r="M647" s="10">
        <f>IFERROR(IF(INDEX('Test catalog'!$H$2:$H$200,MATCH($AB647,'Test catalog'!$A$2:$A$200,0))="","",INDEX('Test catalog'!$H$2:$H$200,MATCH($AB647,'Test catalog'!$A$2:$A$200,0))),"")</f>
        <v/>
      </c>
      <c r="N647" s="10">
        <f>IFERROR(IF(INDEX('Test catalog'!$I$2:$I$200,MATCH($AB647,'Test catalog'!$A$2:$A$200,0))="","",INDEX('Test catalog'!$I$2:$I$200,MATCH($AB647,'Test catalog'!$A$2:$A$200,0))),"")</f>
        <v/>
      </c>
      <c r="O647" s="10">
        <f>IFERROR(IF(INDEX('Test catalog'!$J$2:$J$200,MATCH($AB647,'Test catalog'!$A$2:$A$200,0))="","",INDEX('Test catalog'!$J$2:$J$200,MATCH($AB647,'Test catalog'!$A$2:$A$200,0))),"")</f>
        <v/>
      </c>
      <c r="P647" s="14">
        <f>IF(N647="","",IF(OR(M647="",O647=""),N647,(M647+4*N647+O647)/6))</f>
        <v/>
      </c>
      <c r="Q647" s="10">
        <f>IFERROR(IF(INDEX('Test catalog'!$K$2:$K$200,MATCH($AB647,'Test catalog'!$A$2:$A$200,0))="","",INDEX('Test catalog'!$K$2:$K$200,MATCH($AB647,'Test catalog'!$A$2:$A$200,0))),"")</f>
        <v/>
      </c>
      <c r="R647" s="5" t="n"/>
      <c r="S647" s="10">
        <f>IFERROR(IF(INDEX('Test catalog'!$L$2:$L$200,MATCH($AB647,'Test catalog'!$A$2:$A$200,0))="","",INDEX('Test catalog'!$L$2:$L$200,MATCH($AB647,'Test catalog'!$A$2:$A$200,0))),"")</f>
        <v/>
      </c>
      <c r="T647" s="10">
        <f>IFERROR(IF(INDEX('Test catalog'!$M$2:$M$200,MATCH($AB647,'Test catalog'!$A$2:$A$200,0))="","",INDEX('Test catalog'!$M$2:$M$200,MATCH($AB647,'Test catalog'!$A$2:$A$200,0))),"")</f>
        <v/>
      </c>
      <c r="U647" s="10">
        <f>IFERROR(IF(INDEX('Test catalog'!$N$2:$N$200,MATCH($AB647,'Test catalog'!$A$2:$A$200,0))="","",INDEX('Test catalog'!$N$2:$N$200,MATCH($AB647,'Test catalog'!$A$2:$A$200,0))),"")</f>
        <v/>
      </c>
      <c r="V647" s="15" t="n"/>
      <c r="W647" s="5" t="inlineStr">
        <is>
          <t>N</t>
        </is>
      </c>
      <c r="X647" s="5" t="n"/>
      <c r="Y647" s="5" t="n"/>
      <c r="Z647" s="5" t="n"/>
      <c r="AA647" s="10">
        <f>IFERROR(IF(INDEX('Test catalog'!$O$2:$O$200,MATCH($AB647,'Test catalog'!$A$2:$A$200,0))="","",INDEX('Test catalog'!$O$2:$O$200,MATCH($AB647,'Test catalog'!$A$2:$A$200,0))),"")</f>
        <v/>
      </c>
      <c r="AB647" s="10" t="inlineStr">
        <is>
          <t>UV</t>
        </is>
      </c>
      <c r="AC647" s="10" t="inlineStr">
        <is>
          <t>Ferrosoferric Oxide · Specific Tests</t>
        </is>
      </c>
      <c r="AD647" s="10" t="n"/>
      <c r="AE647" s="10" t="n"/>
    </row>
    <row r="648">
      <c r="A648" s="10" t="inlineStr">
        <is>
          <t>Ferric Oxide Black</t>
        </is>
      </c>
      <c r="B648" s="10" t="inlineStr">
        <is>
          <t>RM</t>
        </is>
      </c>
      <c r="C648" s="10" t="inlineStr">
        <is>
          <t>Colorant</t>
        </is>
      </c>
      <c r="D648" s="10" t="inlineStr">
        <is>
          <t>pH</t>
        </is>
      </c>
      <c r="E648" s="10">
        <f>IF(A648="","",A648&amp;"|"&amp;D648)</f>
        <v/>
      </c>
      <c r="F648" s="5" t="inlineStr">
        <is>
          <t>Y</t>
        </is>
      </c>
      <c r="G648" s="5" t="inlineStr">
        <is>
          <t>Other / bench</t>
        </is>
      </c>
      <c r="H648" s="5" t="inlineStr">
        <is>
          <t>Low</t>
        </is>
      </c>
      <c r="I648" s="5" t="n">
        <v>1</v>
      </c>
      <c r="J648" s="5" t="n"/>
      <c r="K648" s="10">
        <f>IFERROR(IF(INDEX('Test catalog'!$F$2:$F$200,MATCH($AB648,'Test catalog'!$A$2:$A$200,0))="","",INDEX('Test catalog'!$F$2:$F$200,MATCH($AB648,'Test catalog'!$A$2:$A$200,0))),"")</f>
        <v/>
      </c>
      <c r="L648" s="10">
        <f>IFERROR(IF(INDEX('Test catalog'!$G$2:$G$200,MATCH($AB648,'Test catalog'!$A$2:$A$200,0))="","",INDEX('Test catalog'!$G$2:$G$200,MATCH($AB648,'Test catalog'!$A$2:$A$200,0))),"")</f>
        <v/>
      </c>
      <c r="M648" s="10">
        <f>IFERROR(IF(INDEX('Test catalog'!$H$2:$H$200,MATCH($AB648,'Test catalog'!$A$2:$A$200,0))="","",INDEX('Test catalog'!$H$2:$H$200,MATCH($AB648,'Test catalog'!$A$2:$A$200,0))),"")</f>
        <v/>
      </c>
      <c r="N648" s="10">
        <f>IFERROR(IF(INDEX('Test catalog'!$I$2:$I$200,MATCH($AB648,'Test catalog'!$A$2:$A$200,0))="","",INDEX('Test catalog'!$I$2:$I$200,MATCH($AB648,'Test catalog'!$A$2:$A$200,0))),"")</f>
        <v/>
      </c>
      <c r="O648" s="10">
        <f>IFERROR(IF(INDEX('Test catalog'!$J$2:$J$200,MATCH($AB648,'Test catalog'!$A$2:$A$200,0))="","",INDEX('Test catalog'!$J$2:$J$200,MATCH($AB648,'Test catalog'!$A$2:$A$200,0))),"")</f>
        <v/>
      </c>
      <c r="P648" s="14">
        <f>IF(N648="","",IF(OR(M648="",O648=""),N648,(M648+4*N648+O648)/6))</f>
        <v/>
      </c>
      <c r="Q648" s="10">
        <f>IFERROR(IF(INDEX('Test catalog'!$K$2:$K$200,MATCH($AB648,'Test catalog'!$A$2:$A$200,0))="","",INDEX('Test catalog'!$K$2:$K$200,MATCH($AB648,'Test catalog'!$A$2:$A$200,0))),"")</f>
        <v/>
      </c>
      <c r="R648" s="5" t="n"/>
      <c r="S648" s="10">
        <f>IFERROR(IF(INDEX('Test catalog'!$L$2:$L$200,MATCH($AB648,'Test catalog'!$A$2:$A$200,0))="","",INDEX('Test catalog'!$L$2:$L$200,MATCH($AB648,'Test catalog'!$A$2:$A$200,0))),"")</f>
        <v/>
      </c>
      <c r="T648" s="10">
        <f>IFERROR(IF(INDEX('Test catalog'!$M$2:$M$200,MATCH($AB648,'Test catalog'!$A$2:$A$200,0))="","",INDEX('Test catalog'!$M$2:$M$200,MATCH($AB648,'Test catalog'!$A$2:$A$200,0))),"")</f>
        <v/>
      </c>
      <c r="U648" s="10">
        <f>IFERROR(IF(INDEX('Test catalog'!$N$2:$N$200,MATCH($AB648,'Test catalog'!$A$2:$A$200,0))="","",INDEX('Test catalog'!$N$2:$N$200,MATCH($AB648,'Test catalog'!$A$2:$A$200,0))),"")</f>
        <v/>
      </c>
      <c r="V648" s="15" t="n"/>
      <c r="W648" s="5" t="inlineStr">
        <is>
          <t>N</t>
        </is>
      </c>
      <c r="X648" s="5" t="n"/>
      <c r="Y648" s="5" t="n"/>
      <c r="Z648" s="5" t="n"/>
      <c r="AA648" s="10">
        <f>IFERROR(IF(INDEX('Test catalog'!$O$2:$O$200,MATCH($AB648,'Test catalog'!$A$2:$A$200,0))="","",INDEX('Test catalog'!$O$2:$O$200,MATCH($AB648,'Test catalog'!$A$2:$A$200,0))),"")</f>
        <v/>
      </c>
      <c r="AB648" s="10" t="inlineStr">
        <is>
          <t>PH</t>
        </is>
      </c>
      <c r="AC648" s="10" t="inlineStr">
        <is>
          <t>Ferrosoferric Oxide · Specific Tests &lt;791&gt;</t>
        </is>
      </c>
      <c r="AD648" s="10" t="n"/>
      <c r="AE648" s="10" t="n"/>
    </row>
    <row r="649">
      <c r="A649" s="10" t="inlineStr">
        <is>
          <t>Ferric Oxide Black</t>
        </is>
      </c>
      <c r="B649" s="10" t="inlineStr">
        <is>
          <t>RM</t>
        </is>
      </c>
      <c r="C649" s="10" t="inlineStr">
        <is>
          <t>Colorant</t>
        </is>
      </c>
      <c r="D649" s="10" t="inlineStr">
        <is>
          <t>Loss on Drying</t>
        </is>
      </c>
      <c r="E649" s="10">
        <f>IF(A649="","",A649&amp;"|"&amp;D649)</f>
        <v/>
      </c>
      <c r="F649" s="5" t="inlineStr">
        <is>
          <t>Y</t>
        </is>
      </c>
      <c r="G649" s="5" t="inlineStr">
        <is>
          <t>Other / bench</t>
        </is>
      </c>
      <c r="H649" s="5" t="inlineStr">
        <is>
          <t>Low</t>
        </is>
      </c>
      <c r="I649" s="5" t="n">
        <v>1</v>
      </c>
      <c r="J649" s="5" t="n"/>
      <c r="K649" s="10">
        <f>IFERROR(IF(INDEX('Test catalog'!$F$2:$F$200,MATCH($AB649,'Test catalog'!$A$2:$A$200,0))="","",INDEX('Test catalog'!$F$2:$F$200,MATCH($AB649,'Test catalog'!$A$2:$A$200,0))),"")</f>
        <v/>
      </c>
      <c r="L649" s="10">
        <f>IFERROR(IF(INDEX('Test catalog'!$G$2:$G$200,MATCH($AB649,'Test catalog'!$A$2:$A$200,0))="","",INDEX('Test catalog'!$G$2:$G$200,MATCH($AB649,'Test catalog'!$A$2:$A$200,0))),"")</f>
        <v/>
      </c>
      <c r="M649" s="10">
        <f>IFERROR(IF(INDEX('Test catalog'!$H$2:$H$200,MATCH($AB649,'Test catalog'!$A$2:$A$200,0))="","",INDEX('Test catalog'!$H$2:$H$200,MATCH($AB649,'Test catalog'!$A$2:$A$200,0))),"")</f>
        <v/>
      </c>
      <c r="N649" s="10">
        <f>IFERROR(IF(INDEX('Test catalog'!$I$2:$I$200,MATCH($AB649,'Test catalog'!$A$2:$A$200,0))="","",INDEX('Test catalog'!$I$2:$I$200,MATCH($AB649,'Test catalog'!$A$2:$A$200,0))),"")</f>
        <v/>
      </c>
      <c r="O649" s="10">
        <f>IFERROR(IF(INDEX('Test catalog'!$J$2:$J$200,MATCH($AB649,'Test catalog'!$A$2:$A$200,0))="","",INDEX('Test catalog'!$J$2:$J$200,MATCH($AB649,'Test catalog'!$A$2:$A$200,0))),"")</f>
        <v/>
      </c>
      <c r="P649" s="14">
        <f>IF(N649="","",IF(OR(M649="",O649=""),N649,(M649+4*N649+O649)/6))</f>
        <v/>
      </c>
      <c r="Q649" s="10">
        <f>IFERROR(IF(INDEX('Test catalog'!$K$2:$K$200,MATCH($AB649,'Test catalog'!$A$2:$A$200,0))="","",INDEX('Test catalog'!$K$2:$K$200,MATCH($AB649,'Test catalog'!$A$2:$A$200,0))),"")</f>
        <v/>
      </c>
      <c r="R649" s="5" t="n"/>
      <c r="S649" s="10">
        <f>IFERROR(IF(INDEX('Test catalog'!$L$2:$L$200,MATCH($AB649,'Test catalog'!$A$2:$A$200,0))="","",INDEX('Test catalog'!$L$2:$L$200,MATCH($AB649,'Test catalog'!$A$2:$A$200,0))),"")</f>
        <v/>
      </c>
      <c r="T649" s="10">
        <f>IFERROR(IF(INDEX('Test catalog'!$M$2:$M$200,MATCH($AB649,'Test catalog'!$A$2:$A$200,0))="","",INDEX('Test catalog'!$M$2:$M$200,MATCH($AB649,'Test catalog'!$A$2:$A$200,0))),"")</f>
        <v/>
      </c>
      <c r="U649" s="10">
        <f>IFERROR(IF(INDEX('Test catalog'!$N$2:$N$200,MATCH($AB649,'Test catalog'!$A$2:$A$200,0))="","",INDEX('Test catalog'!$N$2:$N$200,MATCH($AB649,'Test catalog'!$A$2:$A$200,0))),"")</f>
        <v/>
      </c>
      <c r="V649" s="15" t="n"/>
      <c r="W649" s="5" t="inlineStr">
        <is>
          <t>N</t>
        </is>
      </c>
      <c r="X649" s="5" t="n"/>
      <c r="Y649" s="5" t="n"/>
      <c r="Z649" s="5" t="n"/>
      <c r="AA649" s="10">
        <f>IFERROR(IF(INDEX('Test catalog'!$O$2:$O$200,MATCH($AB649,'Test catalog'!$A$2:$A$200,0))="","",INDEX('Test catalog'!$O$2:$O$200,MATCH($AB649,'Test catalog'!$A$2:$A$200,0))),"")</f>
        <v/>
      </c>
      <c r="AB649" s="10" t="inlineStr">
        <is>
          <t>LOD</t>
        </is>
      </c>
      <c r="AC649" s="10" t="inlineStr">
        <is>
          <t>Ferrosoferric Oxide · Specific Tests &lt;731&gt;</t>
        </is>
      </c>
      <c r="AD649" s="10" t="n"/>
      <c r="AE649" s="10" t="n"/>
    </row>
    <row r="650">
      <c r="A650" s="10" t="inlineStr">
        <is>
          <t>Ferric Oxide Red</t>
        </is>
      </c>
      <c r="B650" s="10" t="inlineStr">
        <is>
          <t>RM</t>
        </is>
      </c>
      <c r="C650" s="10" t="inlineStr">
        <is>
          <t>Colorant</t>
        </is>
      </c>
      <c r="D650" s="10" t="inlineStr">
        <is>
          <t>Appearance / description and solubility</t>
        </is>
      </c>
      <c r="E650" s="10">
        <f>IF(A650="","",A650&amp;"|"&amp;D650)</f>
        <v/>
      </c>
      <c r="F650" s="5" t="inlineStr">
        <is>
          <t>Y</t>
        </is>
      </c>
      <c r="G650" s="5" t="inlineStr">
        <is>
          <t>Other / bench</t>
        </is>
      </c>
      <c r="H650" s="5" t="inlineStr">
        <is>
          <t>Low</t>
        </is>
      </c>
      <c r="I650" s="5" t="n">
        <v>1</v>
      </c>
      <c r="J650" s="5" t="n"/>
      <c r="K650" s="10">
        <f>IFERROR(IF(INDEX('Test catalog'!$F$2:$F$200,MATCH($AB650,'Test catalog'!$A$2:$A$200,0))="","",INDEX('Test catalog'!$F$2:$F$200,MATCH($AB650,'Test catalog'!$A$2:$A$200,0))),"")</f>
        <v/>
      </c>
      <c r="L650" s="10">
        <f>IFERROR(IF(INDEX('Test catalog'!$G$2:$G$200,MATCH($AB650,'Test catalog'!$A$2:$A$200,0))="","",INDEX('Test catalog'!$G$2:$G$200,MATCH($AB650,'Test catalog'!$A$2:$A$200,0))),"")</f>
        <v/>
      </c>
      <c r="M650" s="10">
        <f>IFERROR(IF(INDEX('Test catalog'!$H$2:$H$200,MATCH($AB650,'Test catalog'!$A$2:$A$200,0))="","",INDEX('Test catalog'!$H$2:$H$200,MATCH($AB650,'Test catalog'!$A$2:$A$200,0))),"")</f>
        <v/>
      </c>
      <c r="N650" s="10">
        <f>IFERROR(IF(INDEX('Test catalog'!$I$2:$I$200,MATCH($AB650,'Test catalog'!$A$2:$A$200,0))="","",INDEX('Test catalog'!$I$2:$I$200,MATCH($AB650,'Test catalog'!$A$2:$A$200,0))),"")</f>
        <v/>
      </c>
      <c r="O650" s="10">
        <f>IFERROR(IF(INDEX('Test catalog'!$J$2:$J$200,MATCH($AB650,'Test catalog'!$A$2:$A$200,0))="","",INDEX('Test catalog'!$J$2:$J$200,MATCH($AB650,'Test catalog'!$A$2:$A$200,0))),"")</f>
        <v/>
      </c>
      <c r="P650" s="14">
        <f>IF(N650="","",IF(OR(M650="",O650=""),N650,(M650+4*N650+O650)/6))</f>
        <v/>
      </c>
      <c r="Q650" s="10">
        <f>IFERROR(IF(INDEX('Test catalog'!$K$2:$K$200,MATCH($AB650,'Test catalog'!$A$2:$A$200,0))="","",INDEX('Test catalog'!$K$2:$K$200,MATCH($AB650,'Test catalog'!$A$2:$A$200,0))),"")</f>
        <v/>
      </c>
      <c r="R650" s="5" t="n"/>
      <c r="S650" s="10">
        <f>IFERROR(IF(INDEX('Test catalog'!$L$2:$L$200,MATCH($AB650,'Test catalog'!$A$2:$A$200,0))="","",INDEX('Test catalog'!$L$2:$L$200,MATCH($AB650,'Test catalog'!$A$2:$A$200,0))),"")</f>
        <v/>
      </c>
      <c r="T650" s="10">
        <f>IFERROR(IF(INDEX('Test catalog'!$M$2:$M$200,MATCH($AB650,'Test catalog'!$A$2:$A$200,0))="","",INDEX('Test catalog'!$M$2:$M$200,MATCH($AB650,'Test catalog'!$A$2:$A$200,0))),"")</f>
        <v/>
      </c>
      <c r="U650" s="10">
        <f>IFERROR(IF(INDEX('Test catalog'!$N$2:$N$200,MATCH($AB650,'Test catalog'!$A$2:$A$200,0))="","",INDEX('Test catalog'!$N$2:$N$200,MATCH($AB650,'Test catalog'!$A$2:$A$200,0))),"")</f>
        <v/>
      </c>
      <c r="V650" s="15" t="n"/>
      <c r="W650" s="5" t="inlineStr">
        <is>
          <t>N</t>
        </is>
      </c>
      <c r="X650" s="5" t="n"/>
      <c r="Y650" s="5" t="n"/>
      <c r="Z650" s="5" t="n"/>
      <c r="AA650" s="10">
        <f>IFERROR(IF(INDEX('Test catalog'!$O$2:$O$200,MATCH($AB650,'Test catalog'!$A$2:$A$200,0))="","",INDEX('Test catalog'!$O$2:$O$200,MATCH($AB650,'Test catalog'!$A$2:$A$200,0))),"")</f>
        <v/>
      </c>
      <c r="AB650" s="10" t="inlineStr">
        <is>
          <t>APPEAR</t>
        </is>
      </c>
      <c r="AC650" s="10" t="inlineStr">
        <is>
          <t>Lab practice (not a USP test)</t>
        </is>
      </c>
      <c r="AD650" s="10" t="n"/>
      <c r="AE650" s="10" t="n"/>
    </row>
    <row r="651">
      <c r="A651" s="10" t="inlineStr">
        <is>
          <t>Ferric Oxide Red</t>
        </is>
      </c>
      <c r="B651" s="10" t="inlineStr">
        <is>
          <t>RM</t>
        </is>
      </c>
      <c r="C651" s="10" t="inlineStr">
        <is>
          <t>Colorant</t>
        </is>
      </c>
      <c r="D651" s="10" t="inlineStr">
        <is>
          <t>ID A - chemical reaction</t>
        </is>
      </c>
      <c r="E651" s="10">
        <f>IF(A651="","",A651&amp;"|"&amp;D651)</f>
        <v/>
      </c>
      <c r="F651" s="5" t="inlineStr">
        <is>
          <t>Y</t>
        </is>
      </c>
      <c r="G651" s="5" t="inlineStr">
        <is>
          <t>Other / bench</t>
        </is>
      </c>
      <c r="H651" s="5" t="inlineStr">
        <is>
          <t>Low</t>
        </is>
      </c>
      <c r="I651" s="5" t="n">
        <v>1</v>
      </c>
      <c r="J651" s="5" t="n"/>
      <c r="K651" s="10">
        <f>IFERROR(IF(INDEX('Test catalog'!$F$2:$F$200,MATCH($AB651,'Test catalog'!$A$2:$A$200,0))="","",INDEX('Test catalog'!$F$2:$F$200,MATCH($AB651,'Test catalog'!$A$2:$A$200,0))),"")</f>
        <v/>
      </c>
      <c r="L651" s="10">
        <f>IFERROR(IF(INDEX('Test catalog'!$G$2:$G$200,MATCH($AB651,'Test catalog'!$A$2:$A$200,0))="","",INDEX('Test catalog'!$G$2:$G$200,MATCH($AB651,'Test catalog'!$A$2:$A$200,0))),"")</f>
        <v/>
      </c>
      <c r="M651" s="10">
        <f>IFERROR(IF(INDEX('Test catalog'!$H$2:$H$200,MATCH($AB651,'Test catalog'!$A$2:$A$200,0))="","",INDEX('Test catalog'!$H$2:$H$200,MATCH($AB651,'Test catalog'!$A$2:$A$200,0))),"")</f>
        <v/>
      </c>
      <c r="N651" s="10">
        <f>IFERROR(IF(INDEX('Test catalog'!$I$2:$I$200,MATCH($AB651,'Test catalog'!$A$2:$A$200,0))="","",INDEX('Test catalog'!$I$2:$I$200,MATCH($AB651,'Test catalog'!$A$2:$A$200,0))),"")</f>
        <v/>
      </c>
      <c r="O651" s="10">
        <f>IFERROR(IF(INDEX('Test catalog'!$J$2:$J$200,MATCH($AB651,'Test catalog'!$A$2:$A$200,0))="","",INDEX('Test catalog'!$J$2:$J$200,MATCH($AB651,'Test catalog'!$A$2:$A$200,0))),"")</f>
        <v/>
      </c>
      <c r="P651" s="14">
        <f>IF(N651="","",IF(OR(M651="",O651=""),N651,(M651+4*N651+O651)/6))</f>
        <v/>
      </c>
      <c r="Q651" s="10">
        <f>IFERROR(IF(INDEX('Test catalog'!$K$2:$K$200,MATCH($AB651,'Test catalog'!$A$2:$A$200,0))="","",INDEX('Test catalog'!$K$2:$K$200,MATCH($AB651,'Test catalog'!$A$2:$A$200,0))),"")</f>
        <v/>
      </c>
      <c r="R651" s="5" t="n"/>
      <c r="S651" s="10">
        <f>IFERROR(IF(INDEX('Test catalog'!$L$2:$L$200,MATCH($AB651,'Test catalog'!$A$2:$A$200,0))="","",INDEX('Test catalog'!$L$2:$L$200,MATCH($AB651,'Test catalog'!$A$2:$A$200,0))),"")</f>
        <v/>
      </c>
      <c r="T651" s="10">
        <f>IFERROR(IF(INDEX('Test catalog'!$M$2:$M$200,MATCH($AB651,'Test catalog'!$A$2:$A$200,0))="","",INDEX('Test catalog'!$M$2:$M$200,MATCH($AB651,'Test catalog'!$A$2:$A$200,0))),"")</f>
        <v/>
      </c>
      <c r="U651" s="10">
        <f>IFERROR(IF(INDEX('Test catalog'!$N$2:$N$200,MATCH($AB651,'Test catalog'!$A$2:$A$200,0))="","",INDEX('Test catalog'!$N$2:$N$200,MATCH($AB651,'Test catalog'!$A$2:$A$200,0))),"")</f>
        <v/>
      </c>
      <c r="V651" s="15" t="n"/>
      <c r="W651" s="5" t="inlineStr">
        <is>
          <t>N</t>
        </is>
      </c>
      <c r="X651" s="5" t="n"/>
      <c r="Y651" s="5" t="n"/>
      <c r="Z651" s="5" t="n"/>
      <c r="AA651" s="10">
        <f>IFERROR(IF(INDEX('Test catalog'!$O$2:$O$200,MATCH($AB651,'Test catalog'!$A$2:$A$200,0))="","",INDEX('Test catalog'!$O$2:$O$200,MATCH($AB651,'Test catalog'!$A$2:$A$200,0))),"")</f>
        <v/>
      </c>
      <c r="AB651" s="10" t="inlineStr">
        <is>
          <t>ID_CHEM</t>
        </is>
      </c>
      <c r="AC651" s="10" t="inlineStr">
        <is>
          <t>Ferric Oxide · Identification &lt;191&gt;</t>
        </is>
      </c>
      <c r="AD651" s="10" t="n"/>
      <c r="AE651" s="10" t="n"/>
    </row>
    <row r="652">
      <c r="A652" s="10" t="inlineStr">
        <is>
          <t>Ferric Oxide Red</t>
        </is>
      </c>
      <c r="B652" s="10" t="inlineStr">
        <is>
          <t>RM</t>
        </is>
      </c>
      <c r="C652" s="10" t="inlineStr">
        <is>
          <t>Colorant</t>
        </is>
      </c>
      <c r="D652" s="10" t="inlineStr">
        <is>
          <t>Assay</t>
        </is>
      </c>
      <c r="E652" s="10">
        <f>IF(A652="","",A652&amp;"|"&amp;D652)</f>
        <v/>
      </c>
      <c r="F652" s="5" t="inlineStr">
        <is>
          <t>Y</t>
        </is>
      </c>
      <c r="G652" s="5" t="inlineStr">
        <is>
          <t>Other / bench</t>
        </is>
      </c>
      <c r="H652" s="5" t="inlineStr">
        <is>
          <t>Low</t>
        </is>
      </c>
      <c r="I652" s="5" t="n">
        <v>1</v>
      </c>
      <c r="J652" s="5" t="n"/>
      <c r="K652" s="10">
        <f>IFERROR(IF(INDEX('Test catalog'!$F$2:$F$200,MATCH($AB652,'Test catalog'!$A$2:$A$200,0))="","",INDEX('Test catalog'!$F$2:$F$200,MATCH($AB652,'Test catalog'!$A$2:$A$200,0))),"")</f>
        <v/>
      </c>
      <c r="L652" s="10">
        <f>IFERROR(IF(INDEX('Test catalog'!$G$2:$G$200,MATCH($AB652,'Test catalog'!$A$2:$A$200,0))="","",INDEX('Test catalog'!$G$2:$G$200,MATCH($AB652,'Test catalog'!$A$2:$A$200,0))),"")</f>
        <v/>
      </c>
      <c r="M652" s="10">
        <f>IFERROR(IF(INDEX('Test catalog'!$H$2:$H$200,MATCH($AB652,'Test catalog'!$A$2:$A$200,0))="","",INDEX('Test catalog'!$H$2:$H$200,MATCH($AB652,'Test catalog'!$A$2:$A$200,0))),"")</f>
        <v/>
      </c>
      <c r="N652" s="10">
        <f>IFERROR(IF(INDEX('Test catalog'!$I$2:$I$200,MATCH($AB652,'Test catalog'!$A$2:$A$200,0))="","",INDEX('Test catalog'!$I$2:$I$200,MATCH($AB652,'Test catalog'!$A$2:$A$200,0))),"")</f>
        <v/>
      </c>
      <c r="O652" s="10">
        <f>IFERROR(IF(INDEX('Test catalog'!$J$2:$J$200,MATCH($AB652,'Test catalog'!$A$2:$A$200,0))="","",INDEX('Test catalog'!$J$2:$J$200,MATCH($AB652,'Test catalog'!$A$2:$A$200,0))),"")</f>
        <v/>
      </c>
      <c r="P652" s="14">
        <f>IF(N652="","",IF(OR(M652="",O652=""),N652,(M652+4*N652+O652)/6))</f>
        <v/>
      </c>
      <c r="Q652" s="10">
        <f>IFERROR(IF(INDEX('Test catalog'!$K$2:$K$200,MATCH($AB652,'Test catalog'!$A$2:$A$200,0))="","",INDEX('Test catalog'!$K$2:$K$200,MATCH($AB652,'Test catalog'!$A$2:$A$200,0))),"")</f>
        <v/>
      </c>
      <c r="R652" s="5" t="n"/>
      <c r="S652" s="10">
        <f>IFERROR(IF(INDEX('Test catalog'!$L$2:$L$200,MATCH($AB652,'Test catalog'!$A$2:$A$200,0))="","",INDEX('Test catalog'!$L$2:$L$200,MATCH($AB652,'Test catalog'!$A$2:$A$200,0))),"")</f>
        <v/>
      </c>
      <c r="T652" s="10">
        <f>IFERROR(IF(INDEX('Test catalog'!$M$2:$M$200,MATCH($AB652,'Test catalog'!$A$2:$A$200,0))="","",INDEX('Test catalog'!$M$2:$M$200,MATCH($AB652,'Test catalog'!$A$2:$A$200,0))),"")</f>
        <v/>
      </c>
      <c r="U652" s="10">
        <f>IFERROR(IF(INDEX('Test catalog'!$N$2:$N$200,MATCH($AB652,'Test catalog'!$A$2:$A$200,0))="","",INDEX('Test catalog'!$N$2:$N$200,MATCH($AB652,'Test catalog'!$A$2:$A$200,0))),"")</f>
        <v/>
      </c>
      <c r="V652" s="15" t="n"/>
      <c r="W652" s="5" t="inlineStr">
        <is>
          <t>N</t>
        </is>
      </c>
      <c r="X652" s="5" t="n"/>
      <c r="Y652" s="5" t="n"/>
      <c r="Z652" s="5" t="n"/>
      <c r="AA652" s="10">
        <f>IFERROR(IF(INDEX('Test catalog'!$O$2:$O$200,MATCH($AB652,'Test catalog'!$A$2:$A$200,0))="","",INDEX('Test catalog'!$O$2:$O$200,MATCH($AB652,'Test catalog'!$A$2:$A$200,0))),"")</f>
        <v/>
      </c>
      <c r="AB652" s="10" t="inlineStr">
        <is>
          <t>TITR</t>
        </is>
      </c>
      <c r="AC652" s="10" t="inlineStr">
        <is>
          <t>Ferric Oxide · Assay &lt;733&gt;</t>
        </is>
      </c>
      <c r="AD652" s="10" t="n"/>
      <c r="AE652" s="10" t="n"/>
    </row>
    <row r="653">
      <c r="A653" s="10" t="inlineStr">
        <is>
          <t>Ferric Oxide Red</t>
        </is>
      </c>
      <c r="B653" s="10" t="inlineStr">
        <is>
          <t>RM</t>
        </is>
      </c>
      <c r="C653" s="10" t="inlineStr">
        <is>
          <t>Colorant</t>
        </is>
      </c>
      <c r="D653" s="10" t="inlineStr">
        <is>
          <t>Mercury</t>
        </is>
      </c>
      <c r="E653" s="10">
        <f>IF(A653="","",A653&amp;"|"&amp;D653)</f>
        <v/>
      </c>
      <c r="F653" s="5" t="inlineStr">
        <is>
          <t>Y</t>
        </is>
      </c>
      <c r="G653" s="5" t="inlineStr">
        <is>
          <t>Other / bench</t>
        </is>
      </c>
      <c r="H653" s="5" t="inlineStr">
        <is>
          <t>Low</t>
        </is>
      </c>
      <c r="I653" s="5" t="n">
        <v>1</v>
      </c>
      <c r="J653" s="5" t="n"/>
      <c r="K653" s="10">
        <f>IFERROR(IF(INDEX('Test catalog'!$F$2:$F$200,MATCH($AB653,'Test catalog'!$A$2:$A$200,0))="","",INDEX('Test catalog'!$F$2:$F$200,MATCH($AB653,'Test catalog'!$A$2:$A$200,0))),"")</f>
        <v/>
      </c>
      <c r="L653" s="10">
        <f>IFERROR(IF(INDEX('Test catalog'!$G$2:$G$200,MATCH($AB653,'Test catalog'!$A$2:$A$200,0))="","",INDEX('Test catalog'!$G$2:$G$200,MATCH($AB653,'Test catalog'!$A$2:$A$200,0))),"")</f>
        <v/>
      </c>
      <c r="M653" s="10">
        <f>IFERROR(IF(INDEX('Test catalog'!$H$2:$H$200,MATCH($AB653,'Test catalog'!$A$2:$A$200,0))="","",INDEX('Test catalog'!$H$2:$H$200,MATCH($AB653,'Test catalog'!$A$2:$A$200,0))),"")</f>
        <v/>
      </c>
      <c r="N653" s="10">
        <f>IFERROR(IF(INDEX('Test catalog'!$I$2:$I$200,MATCH($AB653,'Test catalog'!$A$2:$A$200,0))="","",INDEX('Test catalog'!$I$2:$I$200,MATCH($AB653,'Test catalog'!$A$2:$A$200,0))),"")</f>
        <v/>
      </c>
      <c r="O653" s="10">
        <f>IFERROR(IF(INDEX('Test catalog'!$J$2:$J$200,MATCH($AB653,'Test catalog'!$A$2:$A$200,0))="","",INDEX('Test catalog'!$J$2:$J$200,MATCH($AB653,'Test catalog'!$A$2:$A$200,0))),"")</f>
        <v/>
      </c>
      <c r="P653" s="14">
        <f>IF(N653="","",IF(OR(M653="",O653=""),N653,(M653+4*N653+O653)/6))</f>
        <v/>
      </c>
      <c r="Q653" s="10">
        <f>IFERROR(IF(INDEX('Test catalog'!$K$2:$K$200,MATCH($AB653,'Test catalog'!$A$2:$A$200,0))="","",INDEX('Test catalog'!$K$2:$K$200,MATCH($AB653,'Test catalog'!$A$2:$A$200,0))),"")</f>
        <v/>
      </c>
      <c r="R653" s="5" t="n"/>
      <c r="S653" s="10">
        <f>IFERROR(IF(INDEX('Test catalog'!$L$2:$L$200,MATCH($AB653,'Test catalog'!$A$2:$A$200,0))="","",INDEX('Test catalog'!$L$2:$L$200,MATCH($AB653,'Test catalog'!$A$2:$A$200,0))),"")</f>
        <v/>
      </c>
      <c r="T653" s="10">
        <f>IFERROR(IF(INDEX('Test catalog'!$M$2:$M$200,MATCH($AB653,'Test catalog'!$A$2:$A$200,0))="","",INDEX('Test catalog'!$M$2:$M$200,MATCH($AB653,'Test catalog'!$A$2:$A$200,0))),"")</f>
        <v/>
      </c>
      <c r="U653" s="10">
        <f>IFERROR(IF(INDEX('Test catalog'!$N$2:$N$200,MATCH($AB653,'Test catalog'!$A$2:$A$200,0))="","",INDEX('Test catalog'!$N$2:$N$200,MATCH($AB653,'Test catalog'!$A$2:$A$200,0))),"")</f>
        <v/>
      </c>
      <c r="V653" s="15" t="n"/>
      <c r="W653" s="5" t="inlineStr">
        <is>
          <t>N</t>
        </is>
      </c>
      <c r="X653" s="5" t="n"/>
      <c r="Y653" s="5" t="n"/>
      <c r="Z653" s="5" t="n"/>
      <c r="AA653" s="10">
        <f>IFERROR(IF(INDEX('Test catalog'!$O$2:$O$200,MATCH($AB653,'Test catalog'!$A$2:$A$200,0))="","",INDEX('Test catalog'!$O$2:$O$200,MATCH($AB653,'Test catalog'!$A$2:$A$200,0))),"")</f>
        <v/>
      </c>
      <c r="AB653" s="10" t="inlineStr">
        <is>
          <t>LIM_TOX</t>
        </is>
      </c>
      <c r="AC653" s="10" t="inlineStr">
        <is>
          <t>Ferric Oxide · Impurities &lt;261&gt;</t>
        </is>
      </c>
      <c r="AD653" s="10" t="n"/>
      <c r="AE653" s="10" t="n"/>
    </row>
    <row r="654">
      <c r="A654" s="10" t="inlineStr">
        <is>
          <t>Ferric Oxide Red</t>
        </is>
      </c>
      <c r="B654" s="10" t="inlineStr">
        <is>
          <t>RM</t>
        </is>
      </c>
      <c r="C654" s="10" t="inlineStr">
        <is>
          <t>Colorant</t>
        </is>
      </c>
      <c r="D654" s="10" t="inlineStr">
        <is>
          <t>Limit of Arsenic</t>
        </is>
      </c>
      <c r="E654" s="10">
        <f>IF(A654="","",A654&amp;"|"&amp;D654)</f>
        <v/>
      </c>
      <c r="F654" s="5" t="inlineStr">
        <is>
          <t>Y</t>
        </is>
      </c>
      <c r="G654" s="5" t="inlineStr">
        <is>
          <t>Other / bench</t>
        </is>
      </c>
      <c r="H654" s="5" t="inlineStr">
        <is>
          <t>Low</t>
        </is>
      </c>
      <c r="I654" s="5" t="n">
        <v>1</v>
      </c>
      <c r="J654" s="5" t="n"/>
      <c r="K654" s="10">
        <f>IFERROR(IF(INDEX('Test catalog'!$F$2:$F$200,MATCH($AB654,'Test catalog'!$A$2:$A$200,0))="","",INDEX('Test catalog'!$F$2:$F$200,MATCH($AB654,'Test catalog'!$A$2:$A$200,0))),"")</f>
        <v/>
      </c>
      <c r="L654" s="10">
        <f>IFERROR(IF(INDEX('Test catalog'!$G$2:$G$200,MATCH($AB654,'Test catalog'!$A$2:$A$200,0))="","",INDEX('Test catalog'!$G$2:$G$200,MATCH($AB654,'Test catalog'!$A$2:$A$200,0))),"")</f>
        <v/>
      </c>
      <c r="M654" s="10">
        <f>IFERROR(IF(INDEX('Test catalog'!$H$2:$H$200,MATCH($AB654,'Test catalog'!$A$2:$A$200,0))="","",INDEX('Test catalog'!$H$2:$H$200,MATCH($AB654,'Test catalog'!$A$2:$A$200,0))),"")</f>
        <v/>
      </c>
      <c r="N654" s="10">
        <f>IFERROR(IF(INDEX('Test catalog'!$I$2:$I$200,MATCH($AB654,'Test catalog'!$A$2:$A$200,0))="","",INDEX('Test catalog'!$I$2:$I$200,MATCH($AB654,'Test catalog'!$A$2:$A$200,0))),"")</f>
        <v/>
      </c>
      <c r="O654" s="10">
        <f>IFERROR(IF(INDEX('Test catalog'!$J$2:$J$200,MATCH($AB654,'Test catalog'!$A$2:$A$200,0))="","",INDEX('Test catalog'!$J$2:$J$200,MATCH($AB654,'Test catalog'!$A$2:$A$200,0))),"")</f>
        <v/>
      </c>
      <c r="P654" s="14">
        <f>IF(N654="","",IF(OR(M654="",O654=""),N654,(M654+4*N654+O654)/6))</f>
        <v/>
      </c>
      <c r="Q654" s="10">
        <f>IFERROR(IF(INDEX('Test catalog'!$K$2:$K$200,MATCH($AB654,'Test catalog'!$A$2:$A$200,0))="","",INDEX('Test catalog'!$K$2:$K$200,MATCH($AB654,'Test catalog'!$A$2:$A$200,0))),"")</f>
        <v/>
      </c>
      <c r="R654" s="5" t="n"/>
      <c r="S654" s="10">
        <f>IFERROR(IF(INDEX('Test catalog'!$L$2:$L$200,MATCH($AB654,'Test catalog'!$A$2:$A$200,0))="","",INDEX('Test catalog'!$L$2:$L$200,MATCH($AB654,'Test catalog'!$A$2:$A$200,0))),"")</f>
        <v/>
      </c>
      <c r="T654" s="10">
        <f>IFERROR(IF(INDEX('Test catalog'!$M$2:$M$200,MATCH($AB654,'Test catalog'!$A$2:$A$200,0))="","",INDEX('Test catalog'!$M$2:$M$200,MATCH($AB654,'Test catalog'!$A$2:$A$200,0))),"")</f>
        <v/>
      </c>
      <c r="U654" s="10">
        <f>IFERROR(IF(INDEX('Test catalog'!$N$2:$N$200,MATCH($AB654,'Test catalog'!$A$2:$A$200,0))="","",INDEX('Test catalog'!$N$2:$N$200,MATCH($AB654,'Test catalog'!$A$2:$A$200,0))),"")</f>
        <v/>
      </c>
      <c r="V654" s="15" t="n"/>
      <c r="W654" s="5" t="inlineStr">
        <is>
          <t>N</t>
        </is>
      </c>
      <c r="X654" s="5" t="n"/>
      <c r="Y654" s="5" t="n"/>
      <c r="Z654" s="5" t="n"/>
      <c r="AA654" s="10">
        <f>IFERROR(IF(INDEX('Test catalog'!$O$2:$O$200,MATCH($AB654,'Test catalog'!$A$2:$A$200,0))="","",INDEX('Test catalog'!$O$2:$O$200,MATCH($AB654,'Test catalog'!$A$2:$A$200,0))),"")</f>
        <v/>
      </c>
      <c r="AB654" s="10" t="inlineStr">
        <is>
          <t>LIM_TOX</t>
        </is>
      </c>
      <c r="AC654" s="10" t="inlineStr">
        <is>
          <t>Ferric Oxide · Impurities</t>
        </is>
      </c>
      <c r="AD654" s="10" t="n"/>
      <c r="AE654" s="10" t="n"/>
    </row>
    <row r="655">
      <c r="A655" s="10" t="inlineStr">
        <is>
          <t>Ferric Oxide Red</t>
        </is>
      </c>
      <c r="B655" s="10" t="inlineStr">
        <is>
          <t>RM</t>
        </is>
      </c>
      <c r="C655" s="10" t="inlineStr">
        <is>
          <t>Colorant</t>
        </is>
      </c>
      <c r="D655" s="10" t="inlineStr">
        <is>
          <t>Limit of Lead</t>
        </is>
      </c>
      <c r="E655" s="10">
        <f>IF(A655="","",A655&amp;"|"&amp;D655)</f>
        <v/>
      </c>
      <c r="F655" s="5" t="inlineStr">
        <is>
          <t>Y</t>
        </is>
      </c>
      <c r="G655" s="5" t="inlineStr">
        <is>
          <t>AAS / ICP</t>
        </is>
      </c>
      <c r="H655" s="5" t="inlineStr">
        <is>
          <t>Low</t>
        </is>
      </c>
      <c r="I655" s="5" t="n">
        <v>1</v>
      </c>
      <c r="J655" s="5" t="n"/>
      <c r="K655" s="10">
        <f>IFERROR(IF(INDEX('Test catalog'!$F$2:$F$200,MATCH($AB655,'Test catalog'!$A$2:$A$200,0))="","",INDEX('Test catalog'!$F$2:$F$200,MATCH($AB655,'Test catalog'!$A$2:$A$200,0))),"")</f>
        <v/>
      </c>
      <c r="L655" s="10">
        <f>IFERROR(IF(INDEX('Test catalog'!$G$2:$G$200,MATCH($AB655,'Test catalog'!$A$2:$A$200,0))="","",INDEX('Test catalog'!$G$2:$G$200,MATCH($AB655,'Test catalog'!$A$2:$A$200,0))),"")</f>
        <v/>
      </c>
      <c r="M655" s="10">
        <f>IFERROR(IF(INDEX('Test catalog'!$H$2:$H$200,MATCH($AB655,'Test catalog'!$A$2:$A$200,0))="","",INDEX('Test catalog'!$H$2:$H$200,MATCH($AB655,'Test catalog'!$A$2:$A$200,0))),"")</f>
        <v/>
      </c>
      <c r="N655" s="10">
        <f>IFERROR(IF(INDEX('Test catalog'!$I$2:$I$200,MATCH($AB655,'Test catalog'!$A$2:$A$200,0))="","",INDEX('Test catalog'!$I$2:$I$200,MATCH($AB655,'Test catalog'!$A$2:$A$200,0))),"")</f>
        <v/>
      </c>
      <c r="O655" s="10">
        <f>IFERROR(IF(INDEX('Test catalog'!$J$2:$J$200,MATCH($AB655,'Test catalog'!$A$2:$A$200,0))="","",INDEX('Test catalog'!$J$2:$J$200,MATCH($AB655,'Test catalog'!$A$2:$A$200,0))),"")</f>
        <v/>
      </c>
      <c r="P655" s="14">
        <f>IF(N655="","",IF(OR(M655="",O655=""),N655,(M655+4*N655+O655)/6))</f>
        <v/>
      </c>
      <c r="Q655" s="10">
        <f>IFERROR(IF(INDEX('Test catalog'!$K$2:$K$200,MATCH($AB655,'Test catalog'!$A$2:$A$200,0))="","",INDEX('Test catalog'!$K$2:$K$200,MATCH($AB655,'Test catalog'!$A$2:$A$200,0))),"")</f>
        <v/>
      </c>
      <c r="R655" s="5" t="n"/>
      <c r="S655" s="10">
        <f>IFERROR(IF(INDEX('Test catalog'!$L$2:$L$200,MATCH($AB655,'Test catalog'!$A$2:$A$200,0))="","",INDEX('Test catalog'!$L$2:$L$200,MATCH($AB655,'Test catalog'!$A$2:$A$200,0))),"")</f>
        <v/>
      </c>
      <c r="T655" s="10">
        <f>IFERROR(IF(INDEX('Test catalog'!$M$2:$M$200,MATCH($AB655,'Test catalog'!$A$2:$A$200,0))="","",INDEX('Test catalog'!$M$2:$M$200,MATCH($AB655,'Test catalog'!$A$2:$A$200,0))),"")</f>
        <v/>
      </c>
      <c r="U655" s="10">
        <f>IFERROR(IF(INDEX('Test catalog'!$N$2:$N$200,MATCH($AB655,'Test catalog'!$A$2:$A$200,0))="","",INDEX('Test catalog'!$N$2:$N$200,MATCH($AB655,'Test catalog'!$A$2:$A$200,0))),"")</f>
        <v/>
      </c>
      <c r="V655" s="15" t="n"/>
      <c r="W655" s="5" t="inlineStr">
        <is>
          <t>N</t>
        </is>
      </c>
      <c r="X655" s="5" t="n"/>
      <c r="Y655" s="5" t="n"/>
      <c r="Z655" s="5" t="n"/>
      <c r="AA655" s="10">
        <f>IFERROR(IF(INDEX('Test catalog'!$O$2:$O$200,MATCH($AB655,'Test catalog'!$A$2:$A$200,0))="","",INDEX('Test catalog'!$O$2:$O$200,MATCH($AB655,'Test catalog'!$A$2:$A$200,0))),"")</f>
        <v/>
      </c>
      <c r="AB655" s="10" t="inlineStr">
        <is>
          <t>AAS</t>
        </is>
      </c>
      <c r="AC655" s="10" t="inlineStr">
        <is>
          <t>Ferric Oxide · Impurities</t>
        </is>
      </c>
      <c r="AD655" s="10" t="n"/>
      <c r="AE655" s="10" t="n"/>
    </row>
    <row r="656">
      <c r="A656" s="10" t="inlineStr">
        <is>
          <t>Ferric Oxide Red</t>
        </is>
      </c>
      <c r="B656" s="10" t="inlineStr">
        <is>
          <t>RM</t>
        </is>
      </c>
      <c r="C656" s="10" t="inlineStr">
        <is>
          <t>Colorant</t>
        </is>
      </c>
      <c r="D656" s="10" t="inlineStr">
        <is>
          <t>Water-Soluble Substances</t>
        </is>
      </c>
      <c r="E656" s="10">
        <f>IF(A656="","",A656&amp;"|"&amp;D656)</f>
        <v/>
      </c>
      <c r="F656" s="5" t="inlineStr">
        <is>
          <t>Y</t>
        </is>
      </c>
      <c r="G656" s="5" t="inlineStr">
        <is>
          <t>Other / bench</t>
        </is>
      </c>
      <c r="H656" s="5" t="inlineStr">
        <is>
          <t>Low</t>
        </is>
      </c>
      <c r="I656" s="5" t="n">
        <v>1</v>
      </c>
      <c r="J656" s="5" t="n"/>
      <c r="K656" s="10">
        <f>IFERROR(IF(INDEX('Test catalog'!$F$2:$F$200,MATCH($AB656,'Test catalog'!$A$2:$A$200,0))="","",INDEX('Test catalog'!$F$2:$F$200,MATCH($AB656,'Test catalog'!$A$2:$A$200,0))),"")</f>
        <v/>
      </c>
      <c r="L656" s="10">
        <f>IFERROR(IF(INDEX('Test catalog'!$G$2:$G$200,MATCH($AB656,'Test catalog'!$A$2:$A$200,0))="","",INDEX('Test catalog'!$G$2:$G$200,MATCH($AB656,'Test catalog'!$A$2:$A$200,0))),"")</f>
        <v/>
      </c>
      <c r="M656" s="10">
        <f>IFERROR(IF(INDEX('Test catalog'!$H$2:$H$200,MATCH($AB656,'Test catalog'!$A$2:$A$200,0))="","",INDEX('Test catalog'!$H$2:$H$200,MATCH($AB656,'Test catalog'!$A$2:$A$200,0))),"")</f>
        <v/>
      </c>
      <c r="N656" s="10">
        <f>IFERROR(IF(INDEX('Test catalog'!$I$2:$I$200,MATCH($AB656,'Test catalog'!$A$2:$A$200,0))="","",INDEX('Test catalog'!$I$2:$I$200,MATCH($AB656,'Test catalog'!$A$2:$A$200,0))),"")</f>
        <v/>
      </c>
      <c r="O656" s="10">
        <f>IFERROR(IF(INDEX('Test catalog'!$J$2:$J$200,MATCH($AB656,'Test catalog'!$A$2:$A$200,0))="","",INDEX('Test catalog'!$J$2:$J$200,MATCH($AB656,'Test catalog'!$A$2:$A$200,0))),"")</f>
        <v/>
      </c>
      <c r="P656" s="14">
        <f>IF(N656="","",IF(OR(M656="",O656=""),N656,(M656+4*N656+O656)/6))</f>
        <v/>
      </c>
      <c r="Q656" s="10">
        <f>IFERROR(IF(INDEX('Test catalog'!$K$2:$K$200,MATCH($AB656,'Test catalog'!$A$2:$A$200,0))="","",INDEX('Test catalog'!$K$2:$K$200,MATCH($AB656,'Test catalog'!$A$2:$A$200,0))),"")</f>
        <v/>
      </c>
      <c r="R656" s="5" t="n"/>
      <c r="S656" s="10">
        <f>IFERROR(IF(INDEX('Test catalog'!$L$2:$L$200,MATCH($AB656,'Test catalog'!$A$2:$A$200,0))="","",INDEX('Test catalog'!$L$2:$L$200,MATCH($AB656,'Test catalog'!$A$2:$A$200,0))),"")</f>
        <v/>
      </c>
      <c r="T656" s="10">
        <f>IFERROR(IF(INDEX('Test catalog'!$M$2:$M$200,MATCH($AB656,'Test catalog'!$A$2:$A$200,0))="","",INDEX('Test catalog'!$M$2:$M$200,MATCH($AB656,'Test catalog'!$A$2:$A$200,0))),"")</f>
        <v/>
      </c>
      <c r="U656" s="10">
        <f>IFERROR(IF(INDEX('Test catalog'!$N$2:$N$200,MATCH($AB656,'Test catalog'!$A$2:$A$200,0))="","",INDEX('Test catalog'!$N$2:$N$200,MATCH($AB656,'Test catalog'!$A$2:$A$200,0))),"")</f>
        <v/>
      </c>
      <c r="V656" s="15" t="n"/>
      <c r="W656" s="5" t="inlineStr">
        <is>
          <t>N</t>
        </is>
      </c>
      <c r="X656" s="5" t="n"/>
      <c r="Y656" s="5" t="n"/>
      <c r="Z656" s="5" t="n"/>
      <c r="AA656" s="10">
        <f>IFERROR(IF(INDEX('Test catalog'!$O$2:$O$200,MATCH($AB656,'Test catalog'!$A$2:$A$200,0))="","",INDEX('Test catalog'!$O$2:$O$200,MATCH($AB656,'Test catalog'!$A$2:$A$200,0))),"")</f>
        <v/>
      </c>
      <c r="AB656" s="10" t="inlineStr">
        <is>
          <t>GRAV</t>
        </is>
      </c>
      <c r="AC656" s="10" t="inlineStr">
        <is>
          <t>Ferric Oxide · Specific Tests</t>
        </is>
      </c>
      <c r="AD656" s="10" t="n"/>
      <c r="AE656" s="10" t="n"/>
    </row>
    <row r="657">
      <c r="A657" s="10" t="inlineStr">
        <is>
          <t>Ferric Oxide Red</t>
        </is>
      </c>
      <c r="B657" s="10" t="inlineStr">
        <is>
          <t>RM</t>
        </is>
      </c>
      <c r="C657" s="10" t="inlineStr">
        <is>
          <t>Colorant</t>
        </is>
      </c>
      <c r="D657" s="10" t="inlineStr">
        <is>
          <t>Acid-Insoluble Substances</t>
        </is>
      </c>
      <c r="E657" s="10">
        <f>IF(A657="","",A657&amp;"|"&amp;D657)</f>
        <v/>
      </c>
      <c r="F657" s="5" t="inlineStr">
        <is>
          <t>Y</t>
        </is>
      </c>
      <c r="G657" s="5" t="inlineStr">
        <is>
          <t>Other / bench</t>
        </is>
      </c>
      <c r="H657" s="5" t="inlineStr">
        <is>
          <t>Low</t>
        </is>
      </c>
      <c r="I657" s="5" t="n">
        <v>1</v>
      </c>
      <c r="J657" s="5" t="n"/>
      <c r="K657" s="10">
        <f>IFERROR(IF(INDEX('Test catalog'!$F$2:$F$200,MATCH($AB657,'Test catalog'!$A$2:$A$200,0))="","",INDEX('Test catalog'!$F$2:$F$200,MATCH($AB657,'Test catalog'!$A$2:$A$200,0))),"")</f>
        <v/>
      </c>
      <c r="L657" s="10">
        <f>IFERROR(IF(INDEX('Test catalog'!$G$2:$G$200,MATCH($AB657,'Test catalog'!$A$2:$A$200,0))="","",INDEX('Test catalog'!$G$2:$G$200,MATCH($AB657,'Test catalog'!$A$2:$A$200,0))),"")</f>
        <v/>
      </c>
      <c r="M657" s="10">
        <f>IFERROR(IF(INDEX('Test catalog'!$H$2:$H$200,MATCH($AB657,'Test catalog'!$A$2:$A$200,0))="","",INDEX('Test catalog'!$H$2:$H$200,MATCH($AB657,'Test catalog'!$A$2:$A$200,0))),"")</f>
        <v/>
      </c>
      <c r="N657" s="10">
        <f>IFERROR(IF(INDEX('Test catalog'!$I$2:$I$200,MATCH($AB657,'Test catalog'!$A$2:$A$200,0))="","",INDEX('Test catalog'!$I$2:$I$200,MATCH($AB657,'Test catalog'!$A$2:$A$200,0))),"")</f>
        <v/>
      </c>
      <c r="O657" s="10">
        <f>IFERROR(IF(INDEX('Test catalog'!$J$2:$J$200,MATCH($AB657,'Test catalog'!$A$2:$A$200,0))="","",INDEX('Test catalog'!$J$2:$J$200,MATCH($AB657,'Test catalog'!$A$2:$A$200,0))),"")</f>
        <v/>
      </c>
      <c r="P657" s="14">
        <f>IF(N657="","",IF(OR(M657="",O657=""),N657,(M657+4*N657+O657)/6))</f>
        <v/>
      </c>
      <c r="Q657" s="10">
        <f>IFERROR(IF(INDEX('Test catalog'!$K$2:$K$200,MATCH($AB657,'Test catalog'!$A$2:$A$200,0))="","",INDEX('Test catalog'!$K$2:$K$200,MATCH($AB657,'Test catalog'!$A$2:$A$200,0))),"")</f>
        <v/>
      </c>
      <c r="R657" s="5" t="n"/>
      <c r="S657" s="10">
        <f>IFERROR(IF(INDEX('Test catalog'!$L$2:$L$200,MATCH($AB657,'Test catalog'!$A$2:$A$200,0))="","",INDEX('Test catalog'!$L$2:$L$200,MATCH($AB657,'Test catalog'!$A$2:$A$200,0))),"")</f>
        <v/>
      </c>
      <c r="T657" s="10">
        <f>IFERROR(IF(INDEX('Test catalog'!$M$2:$M$200,MATCH($AB657,'Test catalog'!$A$2:$A$200,0))="","",INDEX('Test catalog'!$M$2:$M$200,MATCH($AB657,'Test catalog'!$A$2:$A$200,0))),"")</f>
        <v/>
      </c>
      <c r="U657" s="10">
        <f>IFERROR(IF(INDEX('Test catalog'!$N$2:$N$200,MATCH($AB657,'Test catalog'!$A$2:$A$200,0))="","",INDEX('Test catalog'!$N$2:$N$200,MATCH($AB657,'Test catalog'!$A$2:$A$200,0))),"")</f>
        <v/>
      </c>
      <c r="V657" s="15" t="n"/>
      <c r="W657" s="5" t="inlineStr">
        <is>
          <t>N</t>
        </is>
      </c>
      <c r="X657" s="5" t="n"/>
      <c r="Y657" s="5" t="n"/>
      <c r="Z657" s="5" t="n"/>
      <c r="AA657" s="10">
        <f>IFERROR(IF(INDEX('Test catalog'!$O$2:$O$200,MATCH($AB657,'Test catalog'!$A$2:$A$200,0))="","",INDEX('Test catalog'!$O$2:$O$200,MATCH($AB657,'Test catalog'!$A$2:$A$200,0))),"")</f>
        <v/>
      </c>
      <c r="AB657" s="10" t="inlineStr">
        <is>
          <t>GRAV</t>
        </is>
      </c>
      <c r="AC657" s="10" t="inlineStr">
        <is>
          <t>Ferric Oxide · Specific Tests</t>
        </is>
      </c>
      <c r="AD657" s="10" t="n"/>
      <c r="AE657" s="10" t="n"/>
    </row>
    <row r="658">
      <c r="A658" s="10" t="inlineStr">
        <is>
          <t>Ferric Oxide Red</t>
        </is>
      </c>
      <c r="B658" s="10" t="inlineStr">
        <is>
          <t>RM</t>
        </is>
      </c>
      <c r="C658" s="10" t="inlineStr">
        <is>
          <t>Colorant</t>
        </is>
      </c>
      <c r="D658" s="10" t="inlineStr">
        <is>
          <t>Organic Colors and Lakes</t>
        </is>
      </c>
      <c r="E658" s="10">
        <f>IF(A658="","",A658&amp;"|"&amp;D658)</f>
        <v/>
      </c>
      <c r="F658" s="5" t="inlineStr">
        <is>
          <t>Y</t>
        </is>
      </c>
      <c r="G658" s="5" t="inlineStr">
        <is>
          <t>UV-Vis</t>
        </is>
      </c>
      <c r="H658" s="5" t="inlineStr">
        <is>
          <t>Low</t>
        </is>
      </c>
      <c r="I658" s="5" t="n">
        <v>1</v>
      </c>
      <c r="J658" s="5" t="n"/>
      <c r="K658" s="10">
        <f>IFERROR(IF(INDEX('Test catalog'!$F$2:$F$200,MATCH($AB658,'Test catalog'!$A$2:$A$200,0))="","",INDEX('Test catalog'!$F$2:$F$200,MATCH($AB658,'Test catalog'!$A$2:$A$200,0))),"")</f>
        <v/>
      </c>
      <c r="L658" s="10">
        <f>IFERROR(IF(INDEX('Test catalog'!$G$2:$G$200,MATCH($AB658,'Test catalog'!$A$2:$A$200,0))="","",INDEX('Test catalog'!$G$2:$G$200,MATCH($AB658,'Test catalog'!$A$2:$A$200,0))),"")</f>
        <v/>
      </c>
      <c r="M658" s="10">
        <f>IFERROR(IF(INDEX('Test catalog'!$H$2:$H$200,MATCH($AB658,'Test catalog'!$A$2:$A$200,0))="","",INDEX('Test catalog'!$H$2:$H$200,MATCH($AB658,'Test catalog'!$A$2:$A$200,0))),"")</f>
        <v/>
      </c>
      <c r="N658" s="10">
        <f>IFERROR(IF(INDEX('Test catalog'!$I$2:$I$200,MATCH($AB658,'Test catalog'!$A$2:$A$200,0))="","",INDEX('Test catalog'!$I$2:$I$200,MATCH($AB658,'Test catalog'!$A$2:$A$200,0))),"")</f>
        <v/>
      </c>
      <c r="O658" s="10">
        <f>IFERROR(IF(INDEX('Test catalog'!$J$2:$J$200,MATCH($AB658,'Test catalog'!$A$2:$A$200,0))="","",INDEX('Test catalog'!$J$2:$J$200,MATCH($AB658,'Test catalog'!$A$2:$A$200,0))),"")</f>
        <v/>
      </c>
      <c r="P658" s="14">
        <f>IF(N658="","",IF(OR(M658="",O658=""),N658,(M658+4*N658+O658)/6))</f>
        <v/>
      </c>
      <c r="Q658" s="10">
        <f>IFERROR(IF(INDEX('Test catalog'!$K$2:$K$200,MATCH($AB658,'Test catalog'!$A$2:$A$200,0))="","",INDEX('Test catalog'!$K$2:$K$200,MATCH($AB658,'Test catalog'!$A$2:$A$200,0))),"")</f>
        <v/>
      </c>
      <c r="R658" s="5" t="n"/>
      <c r="S658" s="10">
        <f>IFERROR(IF(INDEX('Test catalog'!$L$2:$L$200,MATCH($AB658,'Test catalog'!$A$2:$A$200,0))="","",INDEX('Test catalog'!$L$2:$L$200,MATCH($AB658,'Test catalog'!$A$2:$A$200,0))),"")</f>
        <v/>
      </c>
      <c r="T658" s="10">
        <f>IFERROR(IF(INDEX('Test catalog'!$M$2:$M$200,MATCH($AB658,'Test catalog'!$A$2:$A$200,0))="","",INDEX('Test catalog'!$M$2:$M$200,MATCH($AB658,'Test catalog'!$A$2:$A$200,0))),"")</f>
        <v/>
      </c>
      <c r="U658" s="10">
        <f>IFERROR(IF(INDEX('Test catalog'!$N$2:$N$200,MATCH($AB658,'Test catalog'!$A$2:$A$200,0))="","",INDEX('Test catalog'!$N$2:$N$200,MATCH($AB658,'Test catalog'!$A$2:$A$200,0))),"")</f>
        <v/>
      </c>
      <c r="V658" s="15" t="n"/>
      <c r="W658" s="5" t="inlineStr">
        <is>
          <t>N</t>
        </is>
      </c>
      <c r="X658" s="5" t="n"/>
      <c r="Y658" s="5" t="n"/>
      <c r="Z658" s="5" t="n"/>
      <c r="AA658" s="10">
        <f>IFERROR(IF(INDEX('Test catalog'!$O$2:$O$200,MATCH($AB658,'Test catalog'!$A$2:$A$200,0))="","",INDEX('Test catalog'!$O$2:$O$200,MATCH($AB658,'Test catalog'!$A$2:$A$200,0))),"")</f>
        <v/>
      </c>
      <c r="AB658" s="10" t="inlineStr">
        <is>
          <t>UV</t>
        </is>
      </c>
      <c r="AC658" s="10" t="inlineStr">
        <is>
          <t>Ferric Oxide · Specific Tests</t>
        </is>
      </c>
      <c r="AD658" s="10" t="n"/>
      <c r="AE658" s="10" t="n"/>
    </row>
    <row r="659">
      <c r="A659" s="10" t="inlineStr">
        <is>
          <t>Ferric Oxide Yellow</t>
        </is>
      </c>
      <c r="B659" s="10" t="inlineStr">
        <is>
          <t>RM</t>
        </is>
      </c>
      <c r="C659" s="10" t="inlineStr">
        <is>
          <t>Colorant</t>
        </is>
      </c>
      <c r="D659" s="10" t="inlineStr">
        <is>
          <t>Appearance / description and solubility</t>
        </is>
      </c>
      <c r="E659" s="10">
        <f>IF(A659="","",A659&amp;"|"&amp;D659)</f>
        <v/>
      </c>
      <c r="F659" s="5" t="inlineStr">
        <is>
          <t>Y</t>
        </is>
      </c>
      <c r="G659" s="5" t="inlineStr">
        <is>
          <t>Other / bench</t>
        </is>
      </c>
      <c r="H659" s="5" t="inlineStr">
        <is>
          <t>Low</t>
        </is>
      </c>
      <c r="I659" s="5" t="n">
        <v>1</v>
      </c>
      <c r="J659" s="5" t="n"/>
      <c r="K659" s="10">
        <f>IFERROR(IF(INDEX('Test catalog'!$F$2:$F$200,MATCH($AB659,'Test catalog'!$A$2:$A$200,0))="","",INDEX('Test catalog'!$F$2:$F$200,MATCH($AB659,'Test catalog'!$A$2:$A$200,0))),"")</f>
        <v/>
      </c>
      <c r="L659" s="10">
        <f>IFERROR(IF(INDEX('Test catalog'!$G$2:$G$200,MATCH($AB659,'Test catalog'!$A$2:$A$200,0))="","",INDEX('Test catalog'!$G$2:$G$200,MATCH($AB659,'Test catalog'!$A$2:$A$200,0))),"")</f>
        <v/>
      </c>
      <c r="M659" s="10">
        <f>IFERROR(IF(INDEX('Test catalog'!$H$2:$H$200,MATCH($AB659,'Test catalog'!$A$2:$A$200,0))="","",INDEX('Test catalog'!$H$2:$H$200,MATCH($AB659,'Test catalog'!$A$2:$A$200,0))),"")</f>
        <v/>
      </c>
      <c r="N659" s="10">
        <f>IFERROR(IF(INDEX('Test catalog'!$I$2:$I$200,MATCH($AB659,'Test catalog'!$A$2:$A$200,0))="","",INDEX('Test catalog'!$I$2:$I$200,MATCH($AB659,'Test catalog'!$A$2:$A$200,0))),"")</f>
        <v/>
      </c>
      <c r="O659" s="10">
        <f>IFERROR(IF(INDEX('Test catalog'!$J$2:$J$200,MATCH($AB659,'Test catalog'!$A$2:$A$200,0))="","",INDEX('Test catalog'!$J$2:$J$200,MATCH($AB659,'Test catalog'!$A$2:$A$200,0))),"")</f>
        <v/>
      </c>
      <c r="P659" s="14">
        <f>IF(N659="","",IF(OR(M659="",O659=""),N659,(M659+4*N659+O659)/6))</f>
        <v/>
      </c>
      <c r="Q659" s="10">
        <f>IFERROR(IF(INDEX('Test catalog'!$K$2:$K$200,MATCH($AB659,'Test catalog'!$A$2:$A$200,0))="","",INDEX('Test catalog'!$K$2:$K$200,MATCH($AB659,'Test catalog'!$A$2:$A$200,0))),"")</f>
        <v/>
      </c>
      <c r="R659" s="5" t="n"/>
      <c r="S659" s="10">
        <f>IFERROR(IF(INDEX('Test catalog'!$L$2:$L$200,MATCH($AB659,'Test catalog'!$A$2:$A$200,0))="","",INDEX('Test catalog'!$L$2:$L$200,MATCH($AB659,'Test catalog'!$A$2:$A$200,0))),"")</f>
        <v/>
      </c>
      <c r="T659" s="10">
        <f>IFERROR(IF(INDEX('Test catalog'!$M$2:$M$200,MATCH($AB659,'Test catalog'!$A$2:$A$200,0))="","",INDEX('Test catalog'!$M$2:$M$200,MATCH($AB659,'Test catalog'!$A$2:$A$200,0))),"")</f>
        <v/>
      </c>
      <c r="U659" s="10">
        <f>IFERROR(IF(INDEX('Test catalog'!$N$2:$N$200,MATCH($AB659,'Test catalog'!$A$2:$A$200,0))="","",INDEX('Test catalog'!$N$2:$N$200,MATCH($AB659,'Test catalog'!$A$2:$A$200,0))),"")</f>
        <v/>
      </c>
      <c r="V659" s="15" t="n"/>
      <c r="W659" s="5" t="inlineStr">
        <is>
          <t>N</t>
        </is>
      </c>
      <c r="X659" s="5" t="n"/>
      <c r="Y659" s="5" t="n"/>
      <c r="Z659" s="5" t="n"/>
      <c r="AA659" s="10">
        <f>IFERROR(IF(INDEX('Test catalog'!$O$2:$O$200,MATCH($AB659,'Test catalog'!$A$2:$A$200,0))="","",INDEX('Test catalog'!$O$2:$O$200,MATCH($AB659,'Test catalog'!$A$2:$A$200,0))),"")</f>
        <v/>
      </c>
      <c r="AB659" s="10" t="inlineStr">
        <is>
          <t>APPEAR</t>
        </is>
      </c>
      <c r="AC659" s="10" t="inlineStr">
        <is>
          <t>Lab practice (not a USP test)</t>
        </is>
      </c>
      <c r="AD659" s="10" t="n"/>
      <c r="AE659" s="10" t="n"/>
    </row>
    <row r="660">
      <c r="A660" s="10" t="inlineStr">
        <is>
          <t>Ferric Oxide Yellow</t>
        </is>
      </c>
      <c r="B660" s="10" t="inlineStr">
        <is>
          <t>RM</t>
        </is>
      </c>
      <c r="C660" s="10" t="inlineStr">
        <is>
          <t>Colorant</t>
        </is>
      </c>
      <c r="D660" s="10" t="inlineStr">
        <is>
          <t>ID A - chemical reaction</t>
        </is>
      </c>
      <c r="E660" s="10">
        <f>IF(A660="","",A660&amp;"|"&amp;D660)</f>
        <v/>
      </c>
      <c r="F660" s="5" t="inlineStr">
        <is>
          <t>Y</t>
        </is>
      </c>
      <c r="G660" s="5" t="inlineStr">
        <is>
          <t>Other / bench</t>
        </is>
      </c>
      <c r="H660" s="5" t="inlineStr">
        <is>
          <t>Low</t>
        </is>
      </c>
      <c r="I660" s="5" t="n">
        <v>1</v>
      </c>
      <c r="J660" s="5" t="n"/>
      <c r="K660" s="10">
        <f>IFERROR(IF(INDEX('Test catalog'!$F$2:$F$200,MATCH($AB660,'Test catalog'!$A$2:$A$200,0))="","",INDEX('Test catalog'!$F$2:$F$200,MATCH($AB660,'Test catalog'!$A$2:$A$200,0))),"")</f>
        <v/>
      </c>
      <c r="L660" s="10">
        <f>IFERROR(IF(INDEX('Test catalog'!$G$2:$G$200,MATCH($AB660,'Test catalog'!$A$2:$A$200,0))="","",INDEX('Test catalog'!$G$2:$G$200,MATCH($AB660,'Test catalog'!$A$2:$A$200,0))),"")</f>
        <v/>
      </c>
      <c r="M660" s="10">
        <f>IFERROR(IF(INDEX('Test catalog'!$H$2:$H$200,MATCH($AB660,'Test catalog'!$A$2:$A$200,0))="","",INDEX('Test catalog'!$H$2:$H$200,MATCH($AB660,'Test catalog'!$A$2:$A$200,0))),"")</f>
        <v/>
      </c>
      <c r="N660" s="10">
        <f>IFERROR(IF(INDEX('Test catalog'!$I$2:$I$200,MATCH($AB660,'Test catalog'!$A$2:$A$200,0))="","",INDEX('Test catalog'!$I$2:$I$200,MATCH($AB660,'Test catalog'!$A$2:$A$200,0))),"")</f>
        <v/>
      </c>
      <c r="O660" s="10">
        <f>IFERROR(IF(INDEX('Test catalog'!$J$2:$J$200,MATCH($AB660,'Test catalog'!$A$2:$A$200,0))="","",INDEX('Test catalog'!$J$2:$J$200,MATCH($AB660,'Test catalog'!$A$2:$A$200,0))),"")</f>
        <v/>
      </c>
      <c r="P660" s="14">
        <f>IF(N660="","",IF(OR(M660="",O660=""),N660,(M660+4*N660+O660)/6))</f>
        <v/>
      </c>
      <c r="Q660" s="10">
        <f>IFERROR(IF(INDEX('Test catalog'!$K$2:$K$200,MATCH($AB660,'Test catalog'!$A$2:$A$200,0))="","",INDEX('Test catalog'!$K$2:$K$200,MATCH($AB660,'Test catalog'!$A$2:$A$200,0))),"")</f>
        <v/>
      </c>
      <c r="R660" s="5" t="n"/>
      <c r="S660" s="10">
        <f>IFERROR(IF(INDEX('Test catalog'!$L$2:$L$200,MATCH($AB660,'Test catalog'!$A$2:$A$200,0))="","",INDEX('Test catalog'!$L$2:$L$200,MATCH($AB660,'Test catalog'!$A$2:$A$200,0))),"")</f>
        <v/>
      </c>
      <c r="T660" s="10">
        <f>IFERROR(IF(INDEX('Test catalog'!$M$2:$M$200,MATCH($AB660,'Test catalog'!$A$2:$A$200,0))="","",INDEX('Test catalog'!$M$2:$M$200,MATCH($AB660,'Test catalog'!$A$2:$A$200,0))),"")</f>
        <v/>
      </c>
      <c r="U660" s="10">
        <f>IFERROR(IF(INDEX('Test catalog'!$N$2:$N$200,MATCH($AB660,'Test catalog'!$A$2:$A$200,0))="","",INDEX('Test catalog'!$N$2:$N$200,MATCH($AB660,'Test catalog'!$A$2:$A$200,0))),"")</f>
        <v/>
      </c>
      <c r="V660" s="15" t="n"/>
      <c r="W660" s="5" t="inlineStr">
        <is>
          <t>N</t>
        </is>
      </c>
      <c r="X660" s="5" t="n"/>
      <c r="Y660" s="5" t="n"/>
      <c r="Z660" s="5" t="n"/>
      <c r="AA660" s="10">
        <f>IFERROR(IF(INDEX('Test catalog'!$O$2:$O$200,MATCH($AB660,'Test catalog'!$A$2:$A$200,0))="","",INDEX('Test catalog'!$O$2:$O$200,MATCH($AB660,'Test catalog'!$A$2:$A$200,0))),"")</f>
        <v/>
      </c>
      <c r="AB660" s="10" t="inlineStr">
        <is>
          <t>ID_CHEM</t>
        </is>
      </c>
      <c r="AC660" s="10" t="inlineStr">
        <is>
          <t>Ferric Oxide · Identification &lt;191&gt;</t>
        </is>
      </c>
      <c r="AD660" s="10" t="n"/>
      <c r="AE660" s="10" t="n"/>
    </row>
    <row r="661">
      <c r="A661" s="10" t="inlineStr">
        <is>
          <t>Ferric Oxide Yellow</t>
        </is>
      </c>
      <c r="B661" s="10" t="inlineStr">
        <is>
          <t>RM</t>
        </is>
      </c>
      <c r="C661" s="10" t="inlineStr">
        <is>
          <t>Colorant</t>
        </is>
      </c>
      <c r="D661" s="10" t="inlineStr">
        <is>
          <t>Assay</t>
        </is>
      </c>
      <c r="E661" s="10">
        <f>IF(A661="","",A661&amp;"|"&amp;D661)</f>
        <v/>
      </c>
      <c r="F661" s="5" t="inlineStr">
        <is>
          <t>Y</t>
        </is>
      </c>
      <c r="G661" s="5" t="inlineStr">
        <is>
          <t>Other / bench</t>
        </is>
      </c>
      <c r="H661" s="5" t="inlineStr">
        <is>
          <t>Low</t>
        </is>
      </c>
      <c r="I661" s="5" t="n">
        <v>1</v>
      </c>
      <c r="J661" s="5" t="n"/>
      <c r="K661" s="10">
        <f>IFERROR(IF(INDEX('Test catalog'!$F$2:$F$200,MATCH($AB661,'Test catalog'!$A$2:$A$200,0))="","",INDEX('Test catalog'!$F$2:$F$200,MATCH($AB661,'Test catalog'!$A$2:$A$200,0))),"")</f>
        <v/>
      </c>
      <c r="L661" s="10">
        <f>IFERROR(IF(INDEX('Test catalog'!$G$2:$G$200,MATCH($AB661,'Test catalog'!$A$2:$A$200,0))="","",INDEX('Test catalog'!$G$2:$G$200,MATCH($AB661,'Test catalog'!$A$2:$A$200,0))),"")</f>
        <v/>
      </c>
      <c r="M661" s="10">
        <f>IFERROR(IF(INDEX('Test catalog'!$H$2:$H$200,MATCH($AB661,'Test catalog'!$A$2:$A$200,0))="","",INDEX('Test catalog'!$H$2:$H$200,MATCH($AB661,'Test catalog'!$A$2:$A$200,0))),"")</f>
        <v/>
      </c>
      <c r="N661" s="10">
        <f>IFERROR(IF(INDEX('Test catalog'!$I$2:$I$200,MATCH($AB661,'Test catalog'!$A$2:$A$200,0))="","",INDEX('Test catalog'!$I$2:$I$200,MATCH($AB661,'Test catalog'!$A$2:$A$200,0))),"")</f>
        <v/>
      </c>
      <c r="O661" s="10">
        <f>IFERROR(IF(INDEX('Test catalog'!$J$2:$J$200,MATCH($AB661,'Test catalog'!$A$2:$A$200,0))="","",INDEX('Test catalog'!$J$2:$J$200,MATCH($AB661,'Test catalog'!$A$2:$A$200,0))),"")</f>
        <v/>
      </c>
      <c r="P661" s="14">
        <f>IF(N661="","",IF(OR(M661="",O661=""),N661,(M661+4*N661+O661)/6))</f>
        <v/>
      </c>
      <c r="Q661" s="10">
        <f>IFERROR(IF(INDEX('Test catalog'!$K$2:$K$200,MATCH($AB661,'Test catalog'!$A$2:$A$200,0))="","",INDEX('Test catalog'!$K$2:$K$200,MATCH($AB661,'Test catalog'!$A$2:$A$200,0))),"")</f>
        <v/>
      </c>
      <c r="R661" s="5" t="n"/>
      <c r="S661" s="10">
        <f>IFERROR(IF(INDEX('Test catalog'!$L$2:$L$200,MATCH($AB661,'Test catalog'!$A$2:$A$200,0))="","",INDEX('Test catalog'!$L$2:$L$200,MATCH($AB661,'Test catalog'!$A$2:$A$200,0))),"")</f>
        <v/>
      </c>
      <c r="T661" s="10">
        <f>IFERROR(IF(INDEX('Test catalog'!$M$2:$M$200,MATCH($AB661,'Test catalog'!$A$2:$A$200,0))="","",INDEX('Test catalog'!$M$2:$M$200,MATCH($AB661,'Test catalog'!$A$2:$A$200,0))),"")</f>
        <v/>
      </c>
      <c r="U661" s="10">
        <f>IFERROR(IF(INDEX('Test catalog'!$N$2:$N$200,MATCH($AB661,'Test catalog'!$A$2:$A$200,0))="","",INDEX('Test catalog'!$N$2:$N$200,MATCH($AB661,'Test catalog'!$A$2:$A$200,0))),"")</f>
        <v/>
      </c>
      <c r="V661" s="15" t="n"/>
      <c r="W661" s="5" t="inlineStr">
        <is>
          <t>N</t>
        </is>
      </c>
      <c r="X661" s="5" t="n"/>
      <c r="Y661" s="5" t="n"/>
      <c r="Z661" s="5" t="n"/>
      <c r="AA661" s="10">
        <f>IFERROR(IF(INDEX('Test catalog'!$O$2:$O$200,MATCH($AB661,'Test catalog'!$A$2:$A$200,0))="","",INDEX('Test catalog'!$O$2:$O$200,MATCH($AB661,'Test catalog'!$A$2:$A$200,0))),"")</f>
        <v/>
      </c>
      <c r="AB661" s="10" t="inlineStr">
        <is>
          <t>TITR</t>
        </is>
      </c>
      <c r="AC661" s="10" t="inlineStr">
        <is>
          <t>Ferric Oxide · Assay &lt;733&gt;</t>
        </is>
      </c>
      <c r="AD661" s="10" t="n"/>
      <c r="AE661" s="10" t="n"/>
    </row>
    <row r="662">
      <c r="A662" s="10" t="inlineStr">
        <is>
          <t>Ferric Oxide Yellow</t>
        </is>
      </c>
      <c r="B662" s="10" t="inlineStr">
        <is>
          <t>RM</t>
        </is>
      </c>
      <c r="C662" s="10" t="inlineStr">
        <is>
          <t>Colorant</t>
        </is>
      </c>
      <c r="D662" s="10" t="inlineStr">
        <is>
          <t>Mercury</t>
        </is>
      </c>
      <c r="E662" s="10">
        <f>IF(A662="","",A662&amp;"|"&amp;D662)</f>
        <v/>
      </c>
      <c r="F662" s="5" t="inlineStr">
        <is>
          <t>Y</t>
        </is>
      </c>
      <c r="G662" s="5" t="inlineStr">
        <is>
          <t>Other / bench</t>
        </is>
      </c>
      <c r="H662" s="5" t="inlineStr">
        <is>
          <t>Low</t>
        </is>
      </c>
      <c r="I662" s="5" t="n">
        <v>1</v>
      </c>
      <c r="J662" s="5" t="n"/>
      <c r="K662" s="10">
        <f>IFERROR(IF(INDEX('Test catalog'!$F$2:$F$200,MATCH($AB662,'Test catalog'!$A$2:$A$200,0))="","",INDEX('Test catalog'!$F$2:$F$200,MATCH($AB662,'Test catalog'!$A$2:$A$200,0))),"")</f>
        <v/>
      </c>
      <c r="L662" s="10">
        <f>IFERROR(IF(INDEX('Test catalog'!$G$2:$G$200,MATCH($AB662,'Test catalog'!$A$2:$A$200,0))="","",INDEX('Test catalog'!$G$2:$G$200,MATCH($AB662,'Test catalog'!$A$2:$A$200,0))),"")</f>
        <v/>
      </c>
      <c r="M662" s="10">
        <f>IFERROR(IF(INDEX('Test catalog'!$H$2:$H$200,MATCH($AB662,'Test catalog'!$A$2:$A$200,0))="","",INDEX('Test catalog'!$H$2:$H$200,MATCH($AB662,'Test catalog'!$A$2:$A$200,0))),"")</f>
        <v/>
      </c>
      <c r="N662" s="10">
        <f>IFERROR(IF(INDEX('Test catalog'!$I$2:$I$200,MATCH($AB662,'Test catalog'!$A$2:$A$200,0))="","",INDEX('Test catalog'!$I$2:$I$200,MATCH($AB662,'Test catalog'!$A$2:$A$200,0))),"")</f>
        <v/>
      </c>
      <c r="O662" s="10">
        <f>IFERROR(IF(INDEX('Test catalog'!$J$2:$J$200,MATCH($AB662,'Test catalog'!$A$2:$A$200,0))="","",INDEX('Test catalog'!$J$2:$J$200,MATCH($AB662,'Test catalog'!$A$2:$A$200,0))),"")</f>
        <v/>
      </c>
      <c r="P662" s="14">
        <f>IF(N662="","",IF(OR(M662="",O662=""),N662,(M662+4*N662+O662)/6))</f>
        <v/>
      </c>
      <c r="Q662" s="10">
        <f>IFERROR(IF(INDEX('Test catalog'!$K$2:$K$200,MATCH($AB662,'Test catalog'!$A$2:$A$200,0))="","",INDEX('Test catalog'!$K$2:$K$200,MATCH($AB662,'Test catalog'!$A$2:$A$200,0))),"")</f>
        <v/>
      </c>
      <c r="R662" s="5" t="n"/>
      <c r="S662" s="10">
        <f>IFERROR(IF(INDEX('Test catalog'!$L$2:$L$200,MATCH($AB662,'Test catalog'!$A$2:$A$200,0))="","",INDEX('Test catalog'!$L$2:$L$200,MATCH($AB662,'Test catalog'!$A$2:$A$200,0))),"")</f>
        <v/>
      </c>
      <c r="T662" s="10">
        <f>IFERROR(IF(INDEX('Test catalog'!$M$2:$M$200,MATCH($AB662,'Test catalog'!$A$2:$A$200,0))="","",INDEX('Test catalog'!$M$2:$M$200,MATCH($AB662,'Test catalog'!$A$2:$A$200,0))),"")</f>
        <v/>
      </c>
      <c r="U662" s="10">
        <f>IFERROR(IF(INDEX('Test catalog'!$N$2:$N$200,MATCH($AB662,'Test catalog'!$A$2:$A$200,0))="","",INDEX('Test catalog'!$N$2:$N$200,MATCH($AB662,'Test catalog'!$A$2:$A$200,0))),"")</f>
        <v/>
      </c>
      <c r="V662" s="15" t="n"/>
      <c r="W662" s="5" t="inlineStr">
        <is>
          <t>N</t>
        </is>
      </c>
      <c r="X662" s="5" t="n"/>
      <c r="Y662" s="5" t="n"/>
      <c r="Z662" s="5" t="n"/>
      <c r="AA662" s="10">
        <f>IFERROR(IF(INDEX('Test catalog'!$O$2:$O$200,MATCH($AB662,'Test catalog'!$A$2:$A$200,0))="","",INDEX('Test catalog'!$O$2:$O$200,MATCH($AB662,'Test catalog'!$A$2:$A$200,0))),"")</f>
        <v/>
      </c>
      <c r="AB662" s="10" t="inlineStr">
        <is>
          <t>LIM_TOX</t>
        </is>
      </c>
      <c r="AC662" s="10" t="inlineStr">
        <is>
          <t>Ferric Oxide · Impurities &lt;261&gt;</t>
        </is>
      </c>
      <c r="AD662" s="10" t="n"/>
      <c r="AE662" s="10" t="n"/>
    </row>
    <row r="663">
      <c r="A663" s="10" t="inlineStr">
        <is>
          <t>Ferric Oxide Yellow</t>
        </is>
      </c>
      <c r="B663" s="10" t="inlineStr">
        <is>
          <t>RM</t>
        </is>
      </c>
      <c r="C663" s="10" t="inlineStr">
        <is>
          <t>Colorant</t>
        </is>
      </c>
      <c r="D663" s="10" t="inlineStr">
        <is>
          <t>Limit of Arsenic</t>
        </is>
      </c>
      <c r="E663" s="10">
        <f>IF(A663="","",A663&amp;"|"&amp;D663)</f>
        <v/>
      </c>
      <c r="F663" s="5" t="inlineStr">
        <is>
          <t>Y</t>
        </is>
      </c>
      <c r="G663" s="5" t="inlineStr">
        <is>
          <t>Other / bench</t>
        </is>
      </c>
      <c r="H663" s="5" t="inlineStr">
        <is>
          <t>Low</t>
        </is>
      </c>
      <c r="I663" s="5" t="n">
        <v>1</v>
      </c>
      <c r="J663" s="5" t="n"/>
      <c r="K663" s="10">
        <f>IFERROR(IF(INDEX('Test catalog'!$F$2:$F$200,MATCH($AB663,'Test catalog'!$A$2:$A$200,0))="","",INDEX('Test catalog'!$F$2:$F$200,MATCH($AB663,'Test catalog'!$A$2:$A$200,0))),"")</f>
        <v/>
      </c>
      <c r="L663" s="10">
        <f>IFERROR(IF(INDEX('Test catalog'!$G$2:$G$200,MATCH($AB663,'Test catalog'!$A$2:$A$200,0))="","",INDEX('Test catalog'!$G$2:$G$200,MATCH($AB663,'Test catalog'!$A$2:$A$200,0))),"")</f>
        <v/>
      </c>
      <c r="M663" s="10">
        <f>IFERROR(IF(INDEX('Test catalog'!$H$2:$H$200,MATCH($AB663,'Test catalog'!$A$2:$A$200,0))="","",INDEX('Test catalog'!$H$2:$H$200,MATCH($AB663,'Test catalog'!$A$2:$A$200,0))),"")</f>
        <v/>
      </c>
      <c r="N663" s="10">
        <f>IFERROR(IF(INDEX('Test catalog'!$I$2:$I$200,MATCH($AB663,'Test catalog'!$A$2:$A$200,0))="","",INDEX('Test catalog'!$I$2:$I$200,MATCH($AB663,'Test catalog'!$A$2:$A$200,0))),"")</f>
        <v/>
      </c>
      <c r="O663" s="10">
        <f>IFERROR(IF(INDEX('Test catalog'!$J$2:$J$200,MATCH($AB663,'Test catalog'!$A$2:$A$200,0))="","",INDEX('Test catalog'!$J$2:$J$200,MATCH($AB663,'Test catalog'!$A$2:$A$200,0))),"")</f>
        <v/>
      </c>
      <c r="P663" s="14">
        <f>IF(N663="","",IF(OR(M663="",O663=""),N663,(M663+4*N663+O663)/6))</f>
        <v/>
      </c>
      <c r="Q663" s="10">
        <f>IFERROR(IF(INDEX('Test catalog'!$K$2:$K$200,MATCH($AB663,'Test catalog'!$A$2:$A$200,0))="","",INDEX('Test catalog'!$K$2:$K$200,MATCH($AB663,'Test catalog'!$A$2:$A$200,0))),"")</f>
        <v/>
      </c>
      <c r="R663" s="5" t="n"/>
      <c r="S663" s="10">
        <f>IFERROR(IF(INDEX('Test catalog'!$L$2:$L$200,MATCH($AB663,'Test catalog'!$A$2:$A$200,0))="","",INDEX('Test catalog'!$L$2:$L$200,MATCH($AB663,'Test catalog'!$A$2:$A$200,0))),"")</f>
        <v/>
      </c>
      <c r="T663" s="10">
        <f>IFERROR(IF(INDEX('Test catalog'!$M$2:$M$200,MATCH($AB663,'Test catalog'!$A$2:$A$200,0))="","",INDEX('Test catalog'!$M$2:$M$200,MATCH($AB663,'Test catalog'!$A$2:$A$200,0))),"")</f>
        <v/>
      </c>
      <c r="U663" s="10">
        <f>IFERROR(IF(INDEX('Test catalog'!$N$2:$N$200,MATCH($AB663,'Test catalog'!$A$2:$A$200,0))="","",INDEX('Test catalog'!$N$2:$N$200,MATCH($AB663,'Test catalog'!$A$2:$A$200,0))),"")</f>
        <v/>
      </c>
      <c r="V663" s="15" t="n"/>
      <c r="W663" s="5" t="inlineStr">
        <is>
          <t>N</t>
        </is>
      </c>
      <c r="X663" s="5" t="n"/>
      <c r="Y663" s="5" t="n"/>
      <c r="Z663" s="5" t="n"/>
      <c r="AA663" s="10">
        <f>IFERROR(IF(INDEX('Test catalog'!$O$2:$O$200,MATCH($AB663,'Test catalog'!$A$2:$A$200,0))="","",INDEX('Test catalog'!$O$2:$O$200,MATCH($AB663,'Test catalog'!$A$2:$A$200,0))),"")</f>
        <v/>
      </c>
      <c r="AB663" s="10" t="inlineStr">
        <is>
          <t>LIM_TOX</t>
        </is>
      </c>
      <c r="AC663" s="10" t="inlineStr">
        <is>
          <t>Ferric Oxide · Impurities</t>
        </is>
      </c>
      <c r="AD663" s="10" t="n"/>
      <c r="AE663" s="10" t="n"/>
    </row>
    <row r="664">
      <c r="A664" s="10" t="inlineStr">
        <is>
          <t>Ferric Oxide Yellow</t>
        </is>
      </c>
      <c r="B664" s="10" t="inlineStr">
        <is>
          <t>RM</t>
        </is>
      </c>
      <c r="C664" s="10" t="inlineStr">
        <is>
          <t>Colorant</t>
        </is>
      </c>
      <c r="D664" s="10" t="inlineStr">
        <is>
          <t>Limit of Lead</t>
        </is>
      </c>
      <c r="E664" s="10">
        <f>IF(A664="","",A664&amp;"|"&amp;D664)</f>
        <v/>
      </c>
      <c r="F664" s="5" t="inlineStr">
        <is>
          <t>Y</t>
        </is>
      </c>
      <c r="G664" s="5" t="inlineStr">
        <is>
          <t>AAS / ICP</t>
        </is>
      </c>
      <c r="H664" s="5" t="inlineStr">
        <is>
          <t>Low</t>
        </is>
      </c>
      <c r="I664" s="5" t="n">
        <v>1</v>
      </c>
      <c r="J664" s="5" t="n"/>
      <c r="K664" s="10">
        <f>IFERROR(IF(INDEX('Test catalog'!$F$2:$F$200,MATCH($AB664,'Test catalog'!$A$2:$A$200,0))="","",INDEX('Test catalog'!$F$2:$F$200,MATCH($AB664,'Test catalog'!$A$2:$A$200,0))),"")</f>
        <v/>
      </c>
      <c r="L664" s="10">
        <f>IFERROR(IF(INDEX('Test catalog'!$G$2:$G$200,MATCH($AB664,'Test catalog'!$A$2:$A$200,0))="","",INDEX('Test catalog'!$G$2:$G$200,MATCH($AB664,'Test catalog'!$A$2:$A$200,0))),"")</f>
        <v/>
      </c>
      <c r="M664" s="10">
        <f>IFERROR(IF(INDEX('Test catalog'!$H$2:$H$200,MATCH($AB664,'Test catalog'!$A$2:$A$200,0))="","",INDEX('Test catalog'!$H$2:$H$200,MATCH($AB664,'Test catalog'!$A$2:$A$200,0))),"")</f>
        <v/>
      </c>
      <c r="N664" s="10">
        <f>IFERROR(IF(INDEX('Test catalog'!$I$2:$I$200,MATCH($AB664,'Test catalog'!$A$2:$A$200,0))="","",INDEX('Test catalog'!$I$2:$I$200,MATCH($AB664,'Test catalog'!$A$2:$A$200,0))),"")</f>
        <v/>
      </c>
      <c r="O664" s="10">
        <f>IFERROR(IF(INDEX('Test catalog'!$J$2:$J$200,MATCH($AB664,'Test catalog'!$A$2:$A$200,0))="","",INDEX('Test catalog'!$J$2:$J$200,MATCH($AB664,'Test catalog'!$A$2:$A$200,0))),"")</f>
        <v/>
      </c>
      <c r="P664" s="14">
        <f>IF(N664="","",IF(OR(M664="",O664=""),N664,(M664+4*N664+O664)/6))</f>
        <v/>
      </c>
      <c r="Q664" s="10">
        <f>IFERROR(IF(INDEX('Test catalog'!$K$2:$K$200,MATCH($AB664,'Test catalog'!$A$2:$A$200,0))="","",INDEX('Test catalog'!$K$2:$K$200,MATCH($AB664,'Test catalog'!$A$2:$A$200,0))),"")</f>
        <v/>
      </c>
      <c r="R664" s="5" t="n"/>
      <c r="S664" s="10">
        <f>IFERROR(IF(INDEX('Test catalog'!$L$2:$L$200,MATCH($AB664,'Test catalog'!$A$2:$A$200,0))="","",INDEX('Test catalog'!$L$2:$L$200,MATCH($AB664,'Test catalog'!$A$2:$A$200,0))),"")</f>
        <v/>
      </c>
      <c r="T664" s="10">
        <f>IFERROR(IF(INDEX('Test catalog'!$M$2:$M$200,MATCH($AB664,'Test catalog'!$A$2:$A$200,0))="","",INDEX('Test catalog'!$M$2:$M$200,MATCH($AB664,'Test catalog'!$A$2:$A$200,0))),"")</f>
        <v/>
      </c>
      <c r="U664" s="10">
        <f>IFERROR(IF(INDEX('Test catalog'!$N$2:$N$200,MATCH($AB664,'Test catalog'!$A$2:$A$200,0))="","",INDEX('Test catalog'!$N$2:$N$200,MATCH($AB664,'Test catalog'!$A$2:$A$200,0))),"")</f>
        <v/>
      </c>
      <c r="V664" s="15" t="n"/>
      <c r="W664" s="5" t="inlineStr">
        <is>
          <t>N</t>
        </is>
      </c>
      <c r="X664" s="5" t="n"/>
      <c r="Y664" s="5" t="n"/>
      <c r="Z664" s="5" t="n"/>
      <c r="AA664" s="10">
        <f>IFERROR(IF(INDEX('Test catalog'!$O$2:$O$200,MATCH($AB664,'Test catalog'!$A$2:$A$200,0))="","",INDEX('Test catalog'!$O$2:$O$200,MATCH($AB664,'Test catalog'!$A$2:$A$200,0))),"")</f>
        <v/>
      </c>
      <c r="AB664" s="10" t="inlineStr">
        <is>
          <t>AAS</t>
        </is>
      </c>
      <c r="AC664" s="10" t="inlineStr">
        <is>
          <t>Ferric Oxide · Impurities</t>
        </is>
      </c>
      <c r="AD664" s="10" t="n"/>
      <c r="AE664" s="10" t="n"/>
    </row>
    <row r="665">
      <c r="A665" s="10" t="inlineStr">
        <is>
          <t>Ferric Oxide Yellow</t>
        </is>
      </c>
      <c r="B665" s="10" t="inlineStr">
        <is>
          <t>RM</t>
        </is>
      </c>
      <c r="C665" s="10" t="inlineStr">
        <is>
          <t>Colorant</t>
        </is>
      </c>
      <c r="D665" s="10" t="inlineStr">
        <is>
          <t>Water-Soluble Substances</t>
        </is>
      </c>
      <c r="E665" s="10">
        <f>IF(A665="","",A665&amp;"|"&amp;D665)</f>
        <v/>
      </c>
      <c r="F665" s="5" t="inlineStr">
        <is>
          <t>Y</t>
        </is>
      </c>
      <c r="G665" s="5" t="inlineStr">
        <is>
          <t>Other / bench</t>
        </is>
      </c>
      <c r="H665" s="5" t="inlineStr">
        <is>
          <t>Low</t>
        </is>
      </c>
      <c r="I665" s="5" t="n">
        <v>1</v>
      </c>
      <c r="J665" s="5" t="n"/>
      <c r="K665" s="10">
        <f>IFERROR(IF(INDEX('Test catalog'!$F$2:$F$200,MATCH($AB665,'Test catalog'!$A$2:$A$200,0))="","",INDEX('Test catalog'!$F$2:$F$200,MATCH($AB665,'Test catalog'!$A$2:$A$200,0))),"")</f>
        <v/>
      </c>
      <c r="L665" s="10">
        <f>IFERROR(IF(INDEX('Test catalog'!$G$2:$G$200,MATCH($AB665,'Test catalog'!$A$2:$A$200,0))="","",INDEX('Test catalog'!$G$2:$G$200,MATCH($AB665,'Test catalog'!$A$2:$A$200,0))),"")</f>
        <v/>
      </c>
      <c r="M665" s="10">
        <f>IFERROR(IF(INDEX('Test catalog'!$H$2:$H$200,MATCH($AB665,'Test catalog'!$A$2:$A$200,0))="","",INDEX('Test catalog'!$H$2:$H$200,MATCH($AB665,'Test catalog'!$A$2:$A$200,0))),"")</f>
        <v/>
      </c>
      <c r="N665" s="10">
        <f>IFERROR(IF(INDEX('Test catalog'!$I$2:$I$200,MATCH($AB665,'Test catalog'!$A$2:$A$200,0))="","",INDEX('Test catalog'!$I$2:$I$200,MATCH($AB665,'Test catalog'!$A$2:$A$200,0))),"")</f>
        <v/>
      </c>
      <c r="O665" s="10">
        <f>IFERROR(IF(INDEX('Test catalog'!$J$2:$J$200,MATCH($AB665,'Test catalog'!$A$2:$A$200,0))="","",INDEX('Test catalog'!$J$2:$J$200,MATCH($AB665,'Test catalog'!$A$2:$A$200,0))),"")</f>
        <v/>
      </c>
      <c r="P665" s="14">
        <f>IF(N665="","",IF(OR(M665="",O665=""),N665,(M665+4*N665+O665)/6))</f>
        <v/>
      </c>
      <c r="Q665" s="10">
        <f>IFERROR(IF(INDEX('Test catalog'!$K$2:$K$200,MATCH($AB665,'Test catalog'!$A$2:$A$200,0))="","",INDEX('Test catalog'!$K$2:$K$200,MATCH($AB665,'Test catalog'!$A$2:$A$200,0))),"")</f>
        <v/>
      </c>
      <c r="R665" s="5" t="n"/>
      <c r="S665" s="10">
        <f>IFERROR(IF(INDEX('Test catalog'!$L$2:$L$200,MATCH($AB665,'Test catalog'!$A$2:$A$200,0))="","",INDEX('Test catalog'!$L$2:$L$200,MATCH($AB665,'Test catalog'!$A$2:$A$200,0))),"")</f>
        <v/>
      </c>
      <c r="T665" s="10">
        <f>IFERROR(IF(INDEX('Test catalog'!$M$2:$M$200,MATCH($AB665,'Test catalog'!$A$2:$A$200,0))="","",INDEX('Test catalog'!$M$2:$M$200,MATCH($AB665,'Test catalog'!$A$2:$A$200,0))),"")</f>
        <v/>
      </c>
      <c r="U665" s="10">
        <f>IFERROR(IF(INDEX('Test catalog'!$N$2:$N$200,MATCH($AB665,'Test catalog'!$A$2:$A$200,0))="","",INDEX('Test catalog'!$N$2:$N$200,MATCH($AB665,'Test catalog'!$A$2:$A$200,0))),"")</f>
        <v/>
      </c>
      <c r="V665" s="15" t="n"/>
      <c r="W665" s="5" t="inlineStr">
        <is>
          <t>N</t>
        </is>
      </c>
      <c r="X665" s="5" t="n"/>
      <c r="Y665" s="5" t="n"/>
      <c r="Z665" s="5" t="n"/>
      <c r="AA665" s="10">
        <f>IFERROR(IF(INDEX('Test catalog'!$O$2:$O$200,MATCH($AB665,'Test catalog'!$A$2:$A$200,0))="","",INDEX('Test catalog'!$O$2:$O$200,MATCH($AB665,'Test catalog'!$A$2:$A$200,0))),"")</f>
        <v/>
      </c>
      <c r="AB665" s="10" t="inlineStr">
        <is>
          <t>GRAV</t>
        </is>
      </c>
      <c r="AC665" s="10" t="inlineStr">
        <is>
          <t>Ferric Oxide · Specific Tests</t>
        </is>
      </c>
      <c r="AD665" s="10" t="n"/>
      <c r="AE665" s="10" t="n"/>
    </row>
    <row r="666">
      <c r="A666" s="10" t="inlineStr">
        <is>
          <t>Ferric Oxide Yellow</t>
        </is>
      </c>
      <c r="B666" s="10" t="inlineStr">
        <is>
          <t>RM</t>
        </is>
      </c>
      <c r="C666" s="10" t="inlineStr">
        <is>
          <t>Colorant</t>
        </is>
      </c>
      <c r="D666" s="10" t="inlineStr">
        <is>
          <t>Acid-Insoluble Substances</t>
        </is>
      </c>
      <c r="E666" s="10">
        <f>IF(A666="","",A666&amp;"|"&amp;D666)</f>
        <v/>
      </c>
      <c r="F666" s="5" t="inlineStr">
        <is>
          <t>Y</t>
        </is>
      </c>
      <c r="G666" s="5" t="inlineStr">
        <is>
          <t>Other / bench</t>
        </is>
      </c>
      <c r="H666" s="5" t="inlineStr">
        <is>
          <t>Low</t>
        </is>
      </c>
      <c r="I666" s="5" t="n">
        <v>1</v>
      </c>
      <c r="J666" s="5" t="n"/>
      <c r="K666" s="10">
        <f>IFERROR(IF(INDEX('Test catalog'!$F$2:$F$200,MATCH($AB666,'Test catalog'!$A$2:$A$200,0))="","",INDEX('Test catalog'!$F$2:$F$200,MATCH($AB666,'Test catalog'!$A$2:$A$200,0))),"")</f>
        <v/>
      </c>
      <c r="L666" s="10">
        <f>IFERROR(IF(INDEX('Test catalog'!$G$2:$G$200,MATCH($AB666,'Test catalog'!$A$2:$A$200,0))="","",INDEX('Test catalog'!$G$2:$G$200,MATCH($AB666,'Test catalog'!$A$2:$A$200,0))),"")</f>
        <v/>
      </c>
      <c r="M666" s="10">
        <f>IFERROR(IF(INDEX('Test catalog'!$H$2:$H$200,MATCH($AB666,'Test catalog'!$A$2:$A$200,0))="","",INDEX('Test catalog'!$H$2:$H$200,MATCH($AB666,'Test catalog'!$A$2:$A$200,0))),"")</f>
        <v/>
      </c>
      <c r="N666" s="10">
        <f>IFERROR(IF(INDEX('Test catalog'!$I$2:$I$200,MATCH($AB666,'Test catalog'!$A$2:$A$200,0))="","",INDEX('Test catalog'!$I$2:$I$200,MATCH($AB666,'Test catalog'!$A$2:$A$200,0))),"")</f>
        <v/>
      </c>
      <c r="O666" s="10">
        <f>IFERROR(IF(INDEX('Test catalog'!$J$2:$J$200,MATCH($AB666,'Test catalog'!$A$2:$A$200,0))="","",INDEX('Test catalog'!$J$2:$J$200,MATCH($AB666,'Test catalog'!$A$2:$A$200,0))),"")</f>
        <v/>
      </c>
      <c r="P666" s="14">
        <f>IF(N666="","",IF(OR(M666="",O666=""),N666,(M666+4*N666+O666)/6))</f>
        <v/>
      </c>
      <c r="Q666" s="10">
        <f>IFERROR(IF(INDEX('Test catalog'!$K$2:$K$200,MATCH($AB666,'Test catalog'!$A$2:$A$200,0))="","",INDEX('Test catalog'!$K$2:$K$200,MATCH($AB666,'Test catalog'!$A$2:$A$200,0))),"")</f>
        <v/>
      </c>
      <c r="R666" s="5" t="n"/>
      <c r="S666" s="10">
        <f>IFERROR(IF(INDEX('Test catalog'!$L$2:$L$200,MATCH($AB666,'Test catalog'!$A$2:$A$200,0))="","",INDEX('Test catalog'!$L$2:$L$200,MATCH($AB666,'Test catalog'!$A$2:$A$200,0))),"")</f>
        <v/>
      </c>
      <c r="T666" s="10">
        <f>IFERROR(IF(INDEX('Test catalog'!$M$2:$M$200,MATCH($AB666,'Test catalog'!$A$2:$A$200,0))="","",INDEX('Test catalog'!$M$2:$M$200,MATCH($AB666,'Test catalog'!$A$2:$A$200,0))),"")</f>
        <v/>
      </c>
      <c r="U666" s="10">
        <f>IFERROR(IF(INDEX('Test catalog'!$N$2:$N$200,MATCH($AB666,'Test catalog'!$A$2:$A$200,0))="","",INDEX('Test catalog'!$N$2:$N$200,MATCH($AB666,'Test catalog'!$A$2:$A$200,0))),"")</f>
        <v/>
      </c>
      <c r="V666" s="15" t="n"/>
      <c r="W666" s="5" t="inlineStr">
        <is>
          <t>N</t>
        </is>
      </c>
      <c r="X666" s="5" t="n"/>
      <c r="Y666" s="5" t="n"/>
      <c r="Z666" s="5" t="n"/>
      <c r="AA666" s="10">
        <f>IFERROR(IF(INDEX('Test catalog'!$O$2:$O$200,MATCH($AB666,'Test catalog'!$A$2:$A$200,0))="","",INDEX('Test catalog'!$O$2:$O$200,MATCH($AB666,'Test catalog'!$A$2:$A$200,0))),"")</f>
        <v/>
      </c>
      <c r="AB666" s="10" t="inlineStr">
        <is>
          <t>GRAV</t>
        </is>
      </c>
      <c r="AC666" s="10" t="inlineStr">
        <is>
          <t>Ferric Oxide · Specific Tests</t>
        </is>
      </c>
      <c r="AD666" s="10" t="n"/>
      <c r="AE666" s="10" t="n"/>
    </row>
    <row r="667">
      <c r="A667" s="10" t="inlineStr">
        <is>
          <t>Ferric Oxide Yellow</t>
        </is>
      </c>
      <c r="B667" s="10" t="inlineStr">
        <is>
          <t>RM</t>
        </is>
      </c>
      <c r="C667" s="10" t="inlineStr">
        <is>
          <t>Colorant</t>
        </is>
      </c>
      <c r="D667" s="10" t="inlineStr">
        <is>
          <t>Organic Colors and Lakes</t>
        </is>
      </c>
      <c r="E667" s="10">
        <f>IF(A667="","",A667&amp;"|"&amp;D667)</f>
        <v/>
      </c>
      <c r="F667" s="5" t="inlineStr">
        <is>
          <t>Y</t>
        </is>
      </c>
      <c r="G667" s="5" t="inlineStr">
        <is>
          <t>UV-Vis</t>
        </is>
      </c>
      <c r="H667" s="5" t="inlineStr">
        <is>
          <t>Low</t>
        </is>
      </c>
      <c r="I667" s="5" t="n">
        <v>1</v>
      </c>
      <c r="J667" s="5" t="n"/>
      <c r="K667" s="10">
        <f>IFERROR(IF(INDEX('Test catalog'!$F$2:$F$200,MATCH($AB667,'Test catalog'!$A$2:$A$200,0))="","",INDEX('Test catalog'!$F$2:$F$200,MATCH($AB667,'Test catalog'!$A$2:$A$200,0))),"")</f>
        <v/>
      </c>
      <c r="L667" s="10">
        <f>IFERROR(IF(INDEX('Test catalog'!$G$2:$G$200,MATCH($AB667,'Test catalog'!$A$2:$A$200,0))="","",INDEX('Test catalog'!$G$2:$G$200,MATCH($AB667,'Test catalog'!$A$2:$A$200,0))),"")</f>
        <v/>
      </c>
      <c r="M667" s="10">
        <f>IFERROR(IF(INDEX('Test catalog'!$H$2:$H$200,MATCH($AB667,'Test catalog'!$A$2:$A$200,0))="","",INDEX('Test catalog'!$H$2:$H$200,MATCH($AB667,'Test catalog'!$A$2:$A$200,0))),"")</f>
        <v/>
      </c>
      <c r="N667" s="10">
        <f>IFERROR(IF(INDEX('Test catalog'!$I$2:$I$200,MATCH($AB667,'Test catalog'!$A$2:$A$200,0))="","",INDEX('Test catalog'!$I$2:$I$200,MATCH($AB667,'Test catalog'!$A$2:$A$200,0))),"")</f>
        <v/>
      </c>
      <c r="O667" s="10">
        <f>IFERROR(IF(INDEX('Test catalog'!$J$2:$J$200,MATCH($AB667,'Test catalog'!$A$2:$A$200,0))="","",INDEX('Test catalog'!$J$2:$J$200,MATCH($AB667,'Test catalog'!$A$2:$A$200,0))),"")</f>
        <v/>
      </c>
      <c r="P667" s="14">
        <f>IF(N667="","",IF(OR(M667="",O667=""),N667,(M667+4*N667+O667)/6))</f>
        <v/>
      </c>
      <c r="Q667" s="10">
        <f>IFERROR(IF(INDEX('Test catalog'!$K$2:$K$200,MATCH($AB667,'Test catalog'!$A$2:$A$200,0))="","",INDEX('Test catalog'!$K$2:$K$200,MATCH($AB667,'Test catalog'!$A$2:$A$200,0))),"")</f>
        <v/>
      </c>
      <c r="R667" s="5" t="n"/>
      <c r="S667" s="10">
        <f>IFERROR(IF(INDEX('Test catalog'!$L$2:$L$200,MATCH($AB667,'Test catalog'!$A$2:$A$200,0))="","",INDEX('Test catalog'!$L$2:$L$200,MATCH($AB667,'Test catalog'!$A$2:$A$200,0))),"")</f>
        <v/>
      </c>
      <c r="T667" s="10">
        <f>IFERROR(IF(INDEX('Test catalog'!$M$2:$M$200,MATCH($AB667,'Test catalog'!$A$2:$A$200,0))="","",INDEX('Test catalog'!$M$2:$M$200,MATCH($AB667,'Test catalog'!$A$2:$A$200,0))),"")</f>
        <v/>
      </c>
      <c r="U667" s="10">
        <f>IFERROR(IF(INDEX('Test catalog'!$N$2:$N$200,MATCH($AB667,'Test catalog'!$A$2:$A$200,0))="","",INDEX('Test catalog'!$N$2:$N$200,MATCH($AB667,'Test catalog'!$A$2:$A$200,0))),"")</f>
        <v/>
      </c>
      <c r="V667" s="15" t="n"/>
      <c r="W667" s="5" t="inlineStr">
        <is>
          <t>N</t>
        </is>
      </c>
      <c r="X667" s="5" t="n"/>
      <c r="Y667" s="5" t="n"/>
      <c r="Z667" s="5" t="n"/>
      <c r="AA667" s="10">
        <f>IFERROR(IF(INDEX('Test catalog'!$O$2:$O$200,MATCH($AB667,'Test catalog'!$A$2:$A$200,0))="","",INDEX('Test catalog'!$O$2:$O$200,MATCH($AB667,'Test catalog'!$A$2:$A$200,0))),"")</f>
        <v/>
      </c>
      <c r="AB667" s="10" t="inlineStr">
        <is>
          <t>UV</t>
        </is>
      </c>
      <c r="AC667" s="10" t="inlineStr">
        <is>
          <t>Ferric Oxide · Specific Tests</t>
        </is>
      </c>
      <c r="AD667" s="10" t="n"/>
      <c r="AE667" s="10" t="n"/>
    </row>
    <row r="668">
      <c r="A668" s="10" t="inlineStr">
        <is>
          <t>Sunset Yellow</t>
        </is>
      </c>
      <c r="B668" s="10" t="inlineStr">
        <is>
          <t>RM</t>
        </is>
      </c>
      <c r="C668" s="10" t="inlineStr">
        <is>
          <t>Colorant</t>
        </is>
      </c>
      <c r="D668" s="10" t="inlineStr">
        <is>
          <t>Compendial tests</t>
        </is>
      </c>
      <c r="E668" s="10">
        <f>IF(A668="","",A668&amp;"|"&amp;D668)</f>
        <v/>
      </c>
      <c r="F668" s="5" t="inlineStr">
        <is>
          <t>Y</t>
        </is>
      </c>
      <c r="G668" s="5" t="inlineStr">
        <is>
          <t>Other / bench</t>
        </is>
      </c>
      <c r="H668" s="5" t="inlineStr">
        <is>
          <t>Low</t>
        </is>
      </c>
      <c r="I668" s="5" t="n">
        <v>1</v>
      </c>
      <c r="J668" s="5" t="n"/>
      <c r="K668" s="5" t="n"/>
      <c r="L668" s="5" t="n"/>
      <c r="M668" s="5" t="n"/>
      <c r="N668" s="5" t="n"/>
      <c r="O668" s="5" t="n"/>
      <c r="P668" s="14">
        <f>IF(N668="","",IF(OR(M668="",O668=""),N668,(M668+4*N668+O668)/6))</f>
        <v/>
      </c>
      <c r="Q668" s="5" t="n"/>
      <c r="R668" s="5" t="n"/>
      <c r="S668" s="5" t="n"/>
      <c r="T668" s="5" t="n"/>
      <c r="U668" s="5" t="n"/>
      <c r="V668" s="15" t="n"/>
      <c r="W668" s="5" t="inlineStr">
        <is>
          <t>N</t>
        </is>
      </c>
      <c r="X668" s="5" t="n"/>
      <c r="Y668" s="5" t="n"/>
      <c r="Z668" s="5" t="inlineStr">
        <is>
          <t>Change instrument to HPLC/GC if applicable (e.g. residual solvents, ethanol by GC)</t>
        </is>
      </c>
      <c r="AA668" s="5" t="n"/>
      <c r="AB668" s="10" t="n"/>
      <c r="AC668" s="10" t="n"/>
      <c r="AD668" s="10" t="inlineStr">
        <is>
          <t>No USP-NF monograph - in-house / supplier spec</t>
        </is>
      </c>
      <c r="AE668" s="10" t="n"/>
      <c r="AF668" s="10" t="inlineStr">
        <is>
          <t>- | -</t>
        </is>
      </c>
    </row>
    <row r="669">
      <c r="A669" s="10" t="inlineStr">
        <is>
          <t>Croscarmellose Sodium</t>
        </is>
      </c>
      <c r="B669" s="10" t="inlineStr">
        <is>
          <t>RM</t>
        </is>
      </c>
      <c r="C669" s="10" t="inlineStr">
        <is>
          <t>Disintegrant</t>
        </is>
      </c>
      <c r="D669" s="10" t="inlineStr">
        <is>
          <t>Appearance / description and solubility</t>
        </is>
      </c>
      <c r="E669" s="10">
        <f>IF(A669="","",A669&amp;"|"&amp;D669)</f>
        <v/>
      </c>
      <c r="F669" s="5" t="inlineStr">
        <is>
          <t>Y</t>
        </is>
      </c>
      <c r="G669" s="5" t="inlineStr">
        <is>
          <t>Other / bench</t>
        </is>
      </c>
      <c r="H669" s="5" t="inlineStr">
        <is>
          <t>Low</t>
        </is>
      </c>
      <c r="I669" s="5" t="n">
        <v>1</v>
      </c>
      <c r="J669" s="5" t="n"/>
      <c r="K669" s="10">
        <f>IFERROR(IF(INDEX('Test catalog'!$F$2:$F$200,MATCH($AB669,'Test catalog'!$A$2:$A$200,0))="","",INDEX('Test catalog'!$F$2:$F$200,MATCH($AB669,'Test catalog'!$A$2:$A$200,0))),"")</f>
        <v/>
      </c>
      <c r="L669" s="10">
        <f>IFERROR(IF(INDEX('Test catalog'!$G$2:$G$200,MATCH($AB669,'Test catalog'!$A$2:$A$200,0))="","",INDEX('Test catalog'!$G$2:$G$200,MATCH($AB669,'Test catalog'!$A$2:$A$200,0))),"")</f>
        <v/>
      </c>
      <c r="M669" s="10">
        <f>IFERROR(IF(INDEX('Test catalog'!$H$2:$H$200,MATCH($AB669,'Test catalog'!$A$2:$A$200,0))="","",INDEX('Test catalog'!$H$2:$H$200,MATCH($AB669,'Test catalog'!$A$2:$A$200,0))),"")</f>
        <v/>
      </c>
      <c r="N669" s="10">
        <f>IFERROR(IF(INDEX('Test catalog'!$I$2:$I$200,MATCH($AB669,'Test catalog'!$A$2:$A$200,0))="","",INDEX('Test catalog'!$I$2:$I$200,MATCH($AB669,'Test catalog'!$A$2:$A$200,0))),"")</f>
        <v/>
      </c>
      <c r="O669" s="10">
        <f>IFERROR(IF(INDEX('Test catalog'!$J$2:$J$200,MATCH($AB669,'Test catalog'!$A$2:$A$200,0))="","",INDEX('Test catalog'!$J$2:$J$200,MATCH($AB669,'Test catalog'!$A$2:$A$200,0))),"")</f>
        <v/>
      </c>
      <c r="P669" s="14">
        <f>IF(N669="","",IF(OR(M669="",O669=""),N669,(M669+4*N669+O669)/6))</f>
        <v/>
      </c>
      <c r="Q669" s="10">
        <f>IFERROR(IF(INDEX('Test catalog'!$K$2:$K$200,MATCH($AB669,'Test catalog'!$A$2:$A$200,0))="","",INDEX('Test catalog'!$K$2:$K$200,MATCH($AB669,'Test catalog'!$A$2:$A$200,0))),"")</f>
        <v/>
      </c>
      <c r="R669" s="5" t="n"/>
      <c r="S669" s="10">
        <f>IFERROR(IF(INDEX('Test catalog'!$L$2:$L$200,MATCH($AB669,'Test catalog'!$A$2:$A$200,0))="","",INDEX('Test catalog'!$L$2:$L$200,MATCH($AB669,'Test catalog'!$A$2:$A$200,0))),"")</f>
        <v/>
      </c>
      <c r="T669" s="10">
        <f>IFERROR(IF(INDEX('Test catalog'!$M$2:$M$200,MATCH($AB669,'Test catalog'!$A$2:$A$200,0))="","",INDEX('Test catalog'!$M$2:$M$200,MATCH($AB669,'Test catalog'!$A$2:$A$200,0))),"")</f>
        <v/>
      </c>
      <c r="U669" s="10">
        <f>IFERROR(IF(INDEX('Test catalog'!$N$2:$N$200,MATCH($AB669,'Test catalog'!$A$2:$A$200,0))="","",INDEX('Test catalog'!$N$2:$N$200,MATCH($AB669,'Test catalog'!$A$2:$A$200,0))),"")</f>
        <v/>
      </c>
      <c r="V669" s="15" t="n"/>
      <c r="W669" s="5" t="inlineStr">
        <is>
          <t>N</t>
        </is>
      </c>
      <c r="X669" s="5" t="n"/>
      <c r="Y669" s="5" t="n"/>
      <c r="Z669" s="5" t="n"/>
      <c r="AA669" s="10">
        <f>IFERROR(IF(INDEX('Test catalog'!$O$2:$O$200,MATCH($AB669,'Test catalog'!$A$2:$A$200,0))="","",INDEX('Test catalog'!$O$2:$O$200,MATCH($AB669,'Test catalog'!$A$2:$A$200,0))),"")</f>
        <v/>
      </c>
      <c r="AB669" s="10" t="inlineStr">
        <is>
          <t>APPEAR</t>
        </is>
      </c>
      <c r="AC669" s="10" t="inlineStr">
        <is>
          <t>Lab practice (not a USP test)</t>
        </is>
      </c>
      <c r="AD669" s="10" t="n"/>
      <c r="AE669" s="10" t="n"/>
    </row>
    <row r="670">
      <c r="A670" s="10" t="inlineStr">
        <is>
          <t>Croscarmellose Sodium</t>
        </is>
      </c>
      <c r="B670" s="10" t="inlineStr">
        <is>
          <t>RM</t>
        </is>
      </c>
      <c r="C670" s="10" t="inlineStr">
        <is>
          <t>Disintegrant</t>
        </is>
      </c>
      <c r="D670" s="10" t="inlineStr">
        <is>
          <t>ID B - chemical reaction</t>
        </is>
      </c>
      <c r="E670" s="10">
        <f>IF(A670="","",A670&amp;"|"&amp;D670)</f>
        <v/>
      </c>
      <c r="F670" s="5" t="inlineStr">
        <is>
          <t>Y</t>
        </is>
      </c>
      <c r="G670" s="5" t="inlineStr">
        <is>
          <t>Other / bench</t>
        </is>
      </c>
      <c r="H670" s="5" t="inlineStr">
        <is>
          <t>Low</t>
        </is>
      </c>
      <c r="I670" s="5" t="n">
        <v>1</v>
      </c>
      <c r="J670" s="5" t="n"/>
      <c r="K670" s="10">
        <f>IFERROR(IF(INDEX('Test catalog'!$F$2:$F$200,MATCH($AB670,'Test catalog'!$A$2:$A$200,0))="","",INDEX('Test catalog'!$F$2:$F$200,MATCH($AB670,'Test catalog'!$A$2:$A$200,0))),"")</f>
        <v/>
      </c>
      <c r="L670" s="10">
        <f>IFERROR(IF(INDEX('Test catalog'!$G$2:$G$200,MATCH($AB670,'Test catalog'!$A$2:$A$200,0))="","",INDEX('Test catalog'!$G$2:$G$200,MATCH($AB670,'Test catalog'!$A$2:$A$200,0))),"")</f>
        <v/>
      </c>
      <c r="M670" s="10">
        <f>IFERROR(IF(INDEX('Test catalog'!$H$2:$H$200,MATCH($AB670,'Test catalog'!$A$2:$A$200,0))="","",INDEX('Test catalog'!$H$2:$H$200,MATCH($AB670,'Test catalog'!$A$2:$A$200,0))),"")</f>
        <v/>
      </c>
      <c r="N670" s="10">
        <f>IFERROR(IF(INDEX('Test catalog'!$I$2:$I$200,MATCH($AB670,'Test catalog'!$A$2:$A$200,0))="","",INDEX('Test catalog'!$I$2:$I$200,MATCH($AB670,'Test catalog'!$A$2:$A$200,0))),"")</f>
        <v/>
      </c>
      <c r="O670" s="10">
        <f>IFERROR(IF(INDEX('Test catalog'!$J$2:$J$200,MATCH($AB670,'Test catalog'!$A$2:$A$200,0))="","",INDEX('Test catalog'!$J$2:$J$200,MATCH($AB670,'Test catalog'!$A$2:$A$200,0))),"")</f>
        <v/>
      </c>
      <c r="P670" s="14">
        <f>IF(N670="","",IF(OR(M670="",O670=""),N670,(M670+4*N670+O670)/6))</f>
        <v/>
      </c>
      <c r="Q670" s="10">
        <f>IFERROR(IF(INDEX('Test catalog'!$K$2:$K$200,MATCH($AB670,'Test catalog'!$A$2:$A$200,0))="","",INDEX('Test catalog'!$K$2:$K$200,MATCH($AB670,'Test catalog'!$A$2:$A$200,0))),"")</f>
        <v/>
      </c>
      <c r="R670" s="5" t="n"/>
      <c r="S670" s="10">
        <f>IFERROR(IF(INDEX('Test catalog'!$L$2:$L$200,MATCH($AB670,'Test catalog'!$A$2:$A$200,0))="","",INDEX('Test catalog'!$L$2:$L$200,MATCH($AB670,'Test catalog'!$A$2:$A$200,0))),"")</f>
        <v/>
      </c>
      <c r="T670" s="10">
        <f>IFERROR(IF(INDEX('Test catalog'!$M$2:$M$200,MATCH($AB670,'Test catalog'!$A$2:$A$200,0))="","",INDEX('Test catalog'!$M$2:$M$200,MATCH($AB670,'Test catalog'!$A$2:$A$200,0))),"")</f>
        <v/>
      </c>
      <c r="U670" s="10">
        <f>IFERROR(IF(INDEX('Test catalog'!$N$2:$N$200,MATCH($AB670,'Test catalog'!$A$2:$A$200,0))="","",INDEX('Test catalog'!$N$2:$N$200,MATCH($AB670,'Test catalog'!$A$2:$A$200,0))),"")</f>
        <v/>
      </c>
      <c r="V670" s="15" t="n"/>
      <c r="W670" s="5" t="inlineStr">
        <is>
          <t>N</t>
        </is>
      </c>
      <c r="X670" s="5" t="n"/>
      <c r="Y670" s="5" t="n"/>
      <c r="Z670" s="5" t="n"/>
      <c r="AA670" s="10">
        <f>IFERROR(IF(INDEX('Test catalog'!$O$2:$O$200,MATCH($AB670,'Test catalog'!$A$2:$A$200,0))="","",INDEX('Test catalog'!$O$2:$O$200,MATCH($AB670,'Test catalog'!$A$2:$A$200,0))),"")</f>
        <v/>
      </c>
      <c r="AB670" s="10" t="inlineStr">
        <is>
          <t>ID_CHEM</t>
        </is>
      </c>
      <c r="AC670" s="10" t="inlineStr">
        <is>
          <t>Croscarmellose Sodium · Identification</t>
        </is>
      </c>
      <c r="AD670" s="10" t="n"/>
      <c r="AE670" s="10" t="n"/>
    </row>
    <row r="671">
      <c r="A671" s="10" t="inlineStr">
        <is>
          <t>Croscarmellose Sodium</t>
        </is>
      </c>
      <c r="B671" s="10" t="inlineStr">
        <is>
          <t>RM</t>
        </is>
      </c>
      <c r="C671" s="10" t="inlineStr">
        <is>
          <t>Disintegrant</t>
        </is>
      </c>
      <c r="D671" s="10" t="inlineStr">
        <is>
          <t>ID C - chemical reaction</t>
        </is>
      </c>
      <c r="E671" s="10">
        <f>IF(A671="","",A671&amp;"|"&amp;D671)</f>
        <v/>
      </c>
      <c r="F671" s="5" t="inlineStr">
        <is>
          <t>Y</t>
        </is>
      </c>
      <c r="G671" s="5" t="inlineStr">
        <is>
          <t>Other / bench</t>
        </is>
      </c>
      <c r="H671" s="5" t="inlineStr">
        <is>
          <t>Low</t>
        </is>
      </c>
      <c r="I671" s="5" t="n">
        <v>1</v>
      </c>
      <c r="J671" s="5" t="n"/>
      <c r="K671" s="10">
        <f>IFERROR(IF(INDEX('Test catalog'!$F$2:$F$200,MATCH($AB671,'Test catalog'!$A$2:$A$200,0))="","",INDEX('Test catalog'!$F$2:$F$200,MATCH($AB671,'Test catalog'!$A$2:$A$200,0))),"")</f>
        <v/>
      </c>
      <c r="L671" s="10">
        <f>IFERROR(IF(INDEX('Test catalog'!$G$2:$G$200,MATCH($AB671,'Test catalog'!$A$2:$A$200,0))="","",INDEX('Test catalog'!$G$2:$G$200,MATCH($AB671,'Test catalog'!$A$2:$A$200,0))),"")</f>
        <v/>
      </c>
      <c r="M671" s="10">
        <f>IFERROR(IF(INDEX('Test catalog'!$H$2:$H$200,MATCH($AB671,'Test catalog'!$A$2:$A$200,0))="","",INDEX('Test catalog'!$H$2:$H$200,MATCH($AB671,'Test catalog'!$A$2:$A$200,0))),"")</f>
        <v/>
      </c>
      <c r="N671" s="10">
        <f>IFERROR(IF(INDEX('Test catalog'!$I$2:$I$200,MATCH($AB671,'Test catalog'!$A$2:$A$200,0))="","",INDEX('Test catalog'!$I$2:$I$200,MATCH($AB671,'Test catalog'!$A$2:$A$200,0))),"")</f>
        <v/>
      </c>
      <c r="O671" s="10">
        <f>IFERROR(IF(INDEX('Test catalog'!$J$2:$J$200,MATCH($AB671,'Test catalog'!$A$2:$A$200,0))="","",INDEX('Test catalog'!$J$2:$J$200,MATCH($AB671,'Test catalog'!$A$2:$A$200,0))),"")</f>
        <v/>
      </c>
      <c r="P671" s="14">
        <f>IF(N671="","",IF(OR(M671="",O671=""),N671,(M671+4*N671+O671)/6))</f>
        <v/>
      </c>
      <c r="Q671" s="10">
        <f>IFERROR(IF(INDEX('Test catalog'!$K$2:$K$200,MATCH($AB671,'Test catalog'!$A$2:$A$200,0))="","",INDEX('Test catalog'!$K$2:$K$200,MATCH($AB671,'Test catalog'!$A$2:$A$200,0))),"")</f>
        <v/>
      </c>
      <c r="R671" s="5" t="n"/>
      <c r="S671" s="10">
        <f>IFERROR(IF(INDEX('Test catalog'!$L$2:$L$200,MATCH($AB671,'Test catalog'!$A$2:$A$200,0))="","",INDEX('Test catalog'!$L$2:$L$200,MATCH($AB671,'Test catalog'!$A$2:$A$200,0))),"")</f>
        <v/>
      </c>
      <c r="T671" s="10">
        <f>IFERROR(IF(INDEX('Test catalog'!$M$2:$M$200,MATCH($AB671,'Test catalog'!$A$2:$A$200,0))="","",INDEX('Test catalog'!$M$2:$M$200,MATCH($AB671,'Test catalog'!$A$2:$A$200,0))),"")</f>
        <v/>
      </c>
      <c r="U671" s="10">
        <f>IFERROR(IF(INDEX('Test catalog'!$N$2:$N$200,MATCH($AB671,'Test catalog'!$A$2:$A$200,0))="","",INDEX('Test catalog'!$N$2:$N$200,MATCH($AB671,'Test catalog'!$A$2:$A$200,0))),"")</f>
        <v/>
      </c>
      <c r="V671" s="15" t="n"/>
      <c r="W671" s="5" t="inlineStr">
        <is>
          <t>N</t>
        </is>
      </c>
      <c r="X671" s="5" t="n"/>
      <c r="Y671" s="5" t="n"/>
      <c r="Z671" s="5" t="n"/>
      <c r="AA671" s="10">
        <f>IFERROR(IF(INDEX('Test catalog'!$O$2:$O$200,MATCH($AB671,'Test catalog'!$A$2:$A$200,0))="","",INDEX('Test catalog'!$O$2:$O$200,MATCH($AB671,'Test catalog'!$A$2:$A$200,0))),"")</f>
        <v/>
      </c>
      <c r="AB671" s="10" t="inlineStr">
        <is>
          <t>ID_CHEM</t>
        </is>
      </c>
      <c r="AC671" s="10" t="inlineStr">
        <is>
          <t>Croscarmellose Sodium · Identification &lt;191&gt;</t>
        </is>
      </c>
      <c r="AD671" s="10" t="n"/>
      <c r="AE671" s="10" t="n"/>
    </row>
    <row r="672">
      <c r="A672" s="10" t="inlineStr">
        <is>
          <t>Croscarmellose Sodium</t>
        </is>
      </c>
      <c r="B672" s="10" t="inlineStr">
        <is>
          <t>RM</t>
        </is>
      </c>
      <c r="C672" s="10" t="inlineStr">
        <is>
          <t>Disintegrant</t>
        </is>
      </c>
      <c r="D672" s="10" t="inlineStr">
        <is>
          <t>Residue on Ignition</t>
        </is>
      </c>
      <c r="E672" s="10">
        <f>IF(A672="","",A672&amp;"|"&amp;D672)</f>
        <v/>
      </c>
      <c r="F672" s="5" t="inlineStr">
        <is>
          <t>Y</t>
        </is>
      </c>
      <c r="G672" s="5" t="inlineStr">
        <is>
          <t>Other / bench</t>
        </is>
      </c>
      <c r="H672" s="5" t="inlineStr">
        <is>
          <t>Low</t>
        </is>
      </c>
      <c r="I672" s="5" t="n">
        <v>1</v>
      </c>
      <c r="J672" s="5" t="n"/>
      <c r="K672" s="10">
        <f>IFERROR(IF(INDEX('Test catalog'!$F$2:$F$200,MATCH($AB672,'Test catalog'!$A$2:$A$200,0))="","",INDEX('Test catalog'!$F$2:$F$200,MATCH($AB672,'Test catalog'!$A$2:$A$200,0))),"")</f>
        <v/>
      </c>
      <c r="L672" s="10">
        <f>IFERROR(IF(INDEX('Test catalog'!$G$2:$G$200,MATCH($AB672,'Test catalog'!$A$2:$A$200,0))="","",INDEX('Test catalog'!$G$2:$G$200,MATCH($AB672,'Test catalog'!$A$2:$A$200,0))),"")</f>
        <v/>
      </c>
      <c r="M672" s="10">
        <f>IFERROR(IF(INDEX('Test catalog'!$H$2:$H$200,MATCH($AB672,'Test catalog'!$A$2:$A$200,0))="","",INDEX('Test catalog'!$H$2:$H$200,MATCH($AB672,'Test catalog'!$A$2:$A$200,0))),"")</f>
        <v/>
      </c>
      <c r="N672" s="10">
        <f>IFERROR(IF(INDEX('Test catalog'!$I$2:$I$200,MATCH($AB672,'Test catalog'!$A$2:$A$200,0))="","",INDEX('Test catalog'!$I$2:$I$200,MATCH($AB672,'Test catalog'!$A$2:$A$200,0))),"")</f>
        <v/>
      </c>
      <c r="O672" s="10">
        <f>IFERROR(IF(INDEX('Test catalog'!$J$2:$J$200,MATCH($AB672,'Test catalog'!$A$2:$A$200,0))="","",INDEX('Test catalog'!$J$2:$J$200,MATCH($AB672,'Test catalog'!$A$2:$A$200,0))),"")</f>
        <v/>
      </c>
      <c r="P672" s="14">
        <f>IF(N672="","",IF(OR(M672="",O672=""),N672,(M672+4*N672+O672)/6))</f>
        <v/>
      </c>
      <c r="Q672" s="10">
        <f>IFERROR(IF(INDEX('Test catalog'!$K$2:$K$200,MATCH($AB672,'Test catalog'!$A$2:$A$200,0))="","",INDEX('Test catalog'!$K$2:$K$200,MATCH($AB672,'Test catalog'!$A$2:$A$200,0))),"")</f>
        <v/>
      </c>
      <c r="R672" s="5" t="n"/>
      <c r="S672" s="10">
        <f>IFERROR(IF(INDEX('Test catalog'!$L$2:$L$200,MATCH($AB672,'Test catalog'!$A$2:$A$200,0))="","",INDEX('Test catalog'!$L$2:$L$200,MATCH($AB672,'Test catalog'!$A$2:$A$200,0))),"")</f>
        <v/>
      </c>
      <c r="T672" s="10">
        <f>IFERROR(IF(INDEX('Test catalog'!$M$2:$M$200,MATCH($AB672,'Test catalog'!$A$2:$A$200,0))="","",INDEX('Test catalog'!$M$2:$M$200,MATCH($AB672,'Test catalog'!$A$2:$A$200,0))),"")</f>
        <v/>
      </c>
      <c r="U672" s="10">
        <f>IFERROR(IF(INDEX('Test catalog'!$N$2:$N$200,MATCH($AB672,'Test catalog'!$A$2:$A$200,0))="","",INDEX('Test catalog'!$N$2:$N$200,MATCH($AB672,'Test catalog'!$A$2:$A$200,0))),"")</f>
        <v/>
      </c>
      <c r="V672" s="15" t="n"/>
      <c r="W672" s="5" t="inlineStr">
        <is>
          <t>N</t>
        </is>
      </c>
      <c r="X672" s="5" t="n"/>
      <c r="Y672" s="5" t="n"/>
      <c r="Z672" s="5" t="n"/>
      <c r="AA672" s="10">
        <f>IFERROR(IF(INDEX('Test catalog'!$O$2:$O$200,MATCH($AB672,'Test catalog'!$A$2:$A$200,0))="","",INDEX('Test catalog'!$O$2:$O$200,MATCH($AB672,'Test catalog'!$A$2:$A$200,0))),"")</f>
        <v/>
      </c>
      <c r="AB672" s="10" t="inlineStr">
        <is>
          <t>ROI</t>
        </is>
      </c>
      <c r="AC672" s="10" t="inlineStr">
        <is>
          <t>Croscarmellose Sodium · Impurities &lt;281&gt;</t>
        </is>
      </c>
      <c r="AD672" s="10" t="n"/>
      <c r="AE672" s="10" t="n"/>
    </row>
    <row r="673">
      <c r="A673" s="10" t="inlineStr">
        <is>
          <t>Croscarmellose Sodium</t>
        </is>
      </c>
      <c r="B673" s="10" t="inlineStr">
        <is>
          <t>RM</t>
        </is>
      </c>
      <c r="C673" s="10" t="inlineStr">
        <is>
          <t>Disintegrant</t>
        </is>
      </c>
      <c r="D673" s="10" t="inlineStr">
        <is>
          <t>Sodium Chloride and Sodium Glycolate</t>
        </is>
      </c>
      <c r="E673" s="10">
        <f>IF(A673="","",A673&amp;"|"&amp;D673)</f>
        <v/>
      </c>
      <c r="F673" s="5" t="inlineStr">
        <is>
          <t>Y</t>
        </is>
      </c>
      <c r="G673" s="5" t="inlineStr">
        <is>
          <t>Other / bench</t>
        </is>
      </c>
      <c r="H673" s="5" t="inlineStr">
        <is>
          <t>Low</t>
        </is>
      </c>
      <c r="I673" s="5" t="n">
        <v>1</v>
      </c>
      <c r="J673" s="5" t="n"/>
      <c r="K673" s="10">
        <f>IFERROR(IF(INDEX('Test catalog'!$F$2:$F$200,MATCH($AB673,'Test catalog'!$A$2:$A$200,0))="","",INDEX('Test catalog'!$F$2:$F$200,MATCH($AB673,'Test catalog'!$A$2:$A$200,0))),"")</f>
        <v/>
      </c>
      <c r="L673" s="10">
        <f>IFERROR(IF(INDEX('Test catalog'!$G$2:$G$200,MATCH($AB673,'Test catalog'!$A$2:$A$200,0))="","",INDEX('Test catalog'!$G$2:$G$200,MATCH($AB673,'Test catalog'!$A$2:$A$200,0))),"")</f>
        <v/>
      </c>
      <c r="M673" s="10">
        <f>IFERROR(IF(INDEX('Test catalog'!$H$2:$H$200,MATCH($AB673,'Test catalog'!$A$2:$A$200,0))="","",INDEX('Test catalog'!$H$2:$H$200,MATCH($AB673,'Test catalog'!$A$2:$A$200,0))),"")</f>
        <v/>
      </c>
      <c r="N673" s="10">
        <f>IFERROR(IF(INDEX('Test catalog'!$I$2:$I$200,MATCH($AB673,'Test catalog'!$A$2:$A$200,0))="","",INDEX('Test catalog'!$I$2:$I$200,MATCH($AB673,'Test catalog'!$A$2:$A$200,0))),"")</f>
        <v/>
      </c>
      <c r="O673" s="10">
        <f>IFERROR(IF(INDEX('Test catalog'!$J$2:$J$200,MATCH($AB673,'Test catalog'!$A$2:$A$200,0))="","",INDEX('Test catalog'!$J$2:$J$200,MATCH($AB673,'Test catalog'!$A$2:$A$200,0))),"")</f>
        <v/>
      </c>
      <c r="P673" s="14">
        <f>IF(N673="","",IF(OR(M673="",O673=""),N673,(M673+4*N673+O673)/6))</f>
        <v/>
      </c>
      <c r="Q673" s="10">
        <f>IFERROR(IF(INDEX('Test catalog'!$K$2:$K$200,MATCH($AB673,'Test catalog'!$A$2:$A$200,0))="","",INDEX('Test catalog'!$K$2:$K$200,MATCH($AB673,'Test catalog'!$A$2:$A$200,0))),"")</f>
        <v/>
      </c>
      <c r="R673" s="5" t="n"/>
      <c r="S673" s="10">
        <f>IFERROR(IF(INDEX('Test catalog'!$L$2:$L$200,MATCH($AB673,'Test catalog'!$A$2:$A$200,0))="","",INDEX('Test catalog'!$L$2:$L$200,MATCH($AB673,'Test catalog'!$A$2:$A$200,0))),"")</f>
        <v/>
      </c>
      <c r="T673" s="10">
        <f>IFERROR(IF(INDEX('Test catalog'!$M$2:$M$200,MATCH($AB673,'Test catalog'!$A$2:$A$200,0))="","",INDEX('Test catalog'!$M$2:$M$200,MATCH($AB673,'Test catalog'!$A$2:$A$200,0))),"")</f>
        <v/>
      </c>
      <c r="U673" s="10">
        <f>IFERROR(IF(INDEX('Test catalog'!$N$2:$N$200,MATCH($AB673,'Test catalog'!$A$2:$A$200,0))="","",INDEX('Test catalog'!$N$2:$N$200,MATCH($AB673,'Test catalog'!$A$2:$A$200,0))),"")</f>
        <v/>
      </c>
      <c r="V673" s="15" t="n"/>
      <c r="W673" s="5" t="inlineStr">
        <is>
          <t>N</t>
        </is>
      </c>
      <c r="X673" s="5" t="n"/>
      <c r="Y673" s="5" t="n"/>
      <c r="Z673" s="5" t="n"/>
      <c r="AA673" s="10">
        <f>IFERROR(IF(INDEX('Test catalog'!$O$2:$O$200,MATCH($AB673,'Test catalog'!$A$2:$A$200,0))="","",INDEX('Test catalog'!$O$2:$O$200,MATCH($AB673,'Test catalog'!$A$2:$A$200,0))),"")</f>
        <v/>
      </c>
      <c r="AB673" s="10" t="inlineStr">
        <is>
          <t>TITR</t>
        </is>
      </c>
      <c r="AC673" s="10" t="inlineStr">
        <is>
          <t>Croscarmellose Sodium · Impurities</t>
        </is>
      </c>
      <c r="AD673" s="10" t="n"/>
      <c r="AE673" s="10" t="n"/>
    </row>
    <row r="674">
      <c r="A674" s="10" t="inlineStr">
        <is>
          <t>Croscarmellose Sodium</t>
        </is>
      </c>
      <c r="B674" s="10" t="inlineStr">
        <is>
          <t>RM</t>
        </is>
      </c>
      <c r="C674" s="10" t="inlineStr">
        <is>
          <t>Disintegrant</t>
        </is>
      </c>
      <c r="D674" s="10" t="inlineStr">
        <is>
          <t>Content of Water-Soluble Material</t>
        </is>
      </c>
      <c r="E674" s="10">
        <f>IF(A674="","",A674&amp;"|"&amp;D674)</f>
        <v/>
      </c>
      <c r="F674" s="5" t="inlineStr">
        <is>
          <t>Y</t>
        </is>
      </c>
      <c r="G674" s="5" t="inlineStr">
        <is>
          <t>Other / bench</t>
        </is>
      </c>
      <c r="H674" s="5" t="inlineStr">
        <is>
          <t>Low</t>
        </is>
      </c>
      <c r="I674" s="5" t="n">
        <v>1</v>
      </c>
      <c r="J674" s="5" t="n"/>
      <c r="K674" s="10">
        <f>IFERROR(IF(INDEX('Test catalog'!$F$2:$F$200,MATCH($AB674,'Test catalog'!$A$2:$A$200,0))="","",INDEX('Test catalog'!$F$2:$F$200,MATCH($AB674,'Test catalog'!$A$2:$A$200,0))),"")</f>
        <v/>
      </c>
      <c r="L674" s="10">
        <f>IFERROR(IF(INDEX('Test catalog'!$G$2:$G$200,MATCH($AB674,'Test catalog'!$A$2:$A$200,0))="","",INDEX('Test catalog'!$G$2:$G$200,MATCH($AB674,'Test catalog'!$A$2:$A$200,0))),"")</f>
        <v/>
      </c>
      <c r="M674" s="10">
        <f>IFERROR(IF(INDEX('Test catalog'!$H$2:$H$200,MATCH($AB674,'Test catalog'!$A$2:$A$200,0))="","",INDEX('Test catalog'!$H$2:$H$200,MATCH($AB674,'Test catalog'!$A$2:$A$200,0))),"")</f>
        <v/>
      </c>
      <c r="N674" s="10">
        <f>IFERROR(IF(INDEX('Test catalog'!$I$2:$I$200,MATCH($AB674,'Test catalog'!$A$2:$A$200,0))="","",INDEX('Test catalog'!$I$2:$I$200,MATCH($AB674,'Test catalog'!$A$2:$A$200,0))),"")</f>
        <v/>
      </c>
      <c r="O674" s="10">
        <f>IFERROR(IF(INDEX('Test catalog'!$J$2:$J$200,MATCH($AB674,'Test catalog'!$A$2:$A$200,0))="","",INDEX('Test catalog'!$J$2:$J$200,MATCH($AB674,'Test catalog'!$A$2:$A$200,0))),"")</f>
        <v/>
      </c>
      <c r="P674" s="14">
        <f>IF(N674="","",IF(OR(M674="",O674=""),N674,(M674+4*N674+O674)/6))</f>
        <v/>
      </c>
      <c r="Q674" s="10">
        <f>IFERROR(IF(INDEX('Test catalog'!$K$2:$K$200,MATCH($AB674,'Test catalog'!$A$2:$A$200,0))="","",INDEX('Test catalog'!$K$2:$K$200,MATCH($AB674,'Test catalog'!$A$2:$A$200,0))),"")</f>
        <v/>
      </c>
      <c r="R674" s="5" t="n"/>
      <c r="S674" s="10">
        <f>IFERROR(IF(INDEX('Test catalog'!$L$2:$L$200,MATCH($AB674,'Test catalog'!$A$2:$A$200,0))="","",INDEX('Test catalog'!$L$2:$L$200,MATCH($AB674,'Test catalog'!$A$2:$A$200,0))),"")</f>
        <v/>
      </c>
      <c r="T674" s="10">
        <f>IFERROR(IF(INDEX('Test catalog'!$M$2:$M$200,MATCH($AB674,'Test catalog'!$A$2:$A$200,0))="","",INDEX('Test catalog'!$M$2:$M$200,MATCH($AB674,'Test catalog'!$A$2:$A$200,0))),"")</f>
        <v/>
      </c>
      <c r="U674" s="10">
        <f>IFERROR(IF(INDEX('Test catalog'!$N$2:$N$200,MATCH($AB674,'Test catalog'!$A$2:$A$200,0))="","",INDEX('Test catalog'!$N$2:$N$200,MATCH($AB674,'Test catalog'!$A$2:$A$200,0))),"")</f>
        <v/>
      </c>
      <c r="V674" s="15" t="n"/>
      <c r="W674" s="5" t="inlineStr">
        <is>
          <t>N</t>
        </is>
      </c>
      <c r="X674" s="5" t="n"/>
      <c r="Y674" s="5" t="n"/>
      <c r="Z674" s="5" t="n"/>
      <c r="AA674" s="10">
        <f>IFERROR(IF(INDEX('Test catalog'!$O$2:$O$200,MATCH($AB674,'Test catalog'!$A$2:$A$200,0))="","",INDEX('Test catalog'!$O$2:$O$200,MATCH($AB674,'Test catalog'!$A$2:$A$200,0))),"")</f>
        <v/>
      </c>
      <c r="AB674" s="10" t="inlineStr">
        <is>
          <t>GRAV</t>
        </is>
      </c>
      <c r="AC674" s="10" t="inlineStr">
        <is>
          <t>Croscarmellose Sodium · Specific Tests</t>
        </is>
      </c>
      <c r="AD674" s="10" t="n"/>
      <c r="AE674" s="10" t="n"/>
    </row>
    <row r="675">
      <c r="A675" s="10" t="inlineStr">
        <is>
          <t>Croscarmellose Sodium</t>
        </is>
      </c>
      <c r="B675" s="10" t="inlineStr">
        <is>
          <t>RM</t>
        </is>
      </c>
      <c r="C675" s="10" t="inlineStr">
        <is>
          <t>Disintegrant</t>
        </is>
      </c>
      <c r="D675" s="10" t="inlineStr">
        <is>
          <t>Degree of Substitution</t>
        </is>
      </c>
      <c r="E675" s="10">
        <f>IF(A675="","",A675&amp;"|"&amp;D675)</f>
        <v/>
      </c>
      <c r="F675" s="5" t="inlineStr">
        <is>
          <t>Y</t>
        </is>
      </c>
      <c r="G675" s="5" t="inlineStr">
        <is>
          <t>Other / bench</t>
        </is>
      </c>
      <c r="H675" s="5" t="inlineStr">
        <is>
          <t>Low</t>
        </is>
      </c>
      <c r="I675" s="5" t="n">
        <v>1</v>
      </c>
      <c r="J675" s="5" t="n"/>
      <c r="K675" s="10">
        <f>IFERROR(IF(INDEX('Test catalog'!$F$2:$F$200,MATCH($AB675,'Test catalog'!$A$2:$A$200,0))="","",INDEX('Test catalog'!$F$2:$F$200,MATCH($AB675,'Test catalog'!$A$2:$A$200,0))),"")</f>
        <v/>
      </c>
      <c r="L675" s="10">
        <f>IFERROR(IF(INDEX('Test catalog'!$G$2:$G$200,MATCH($AB675,'Test catalog'!$A$2:$A$200,0))="","",INDEX('Test catalog'!$G$2:$G$200,MATCH($AB675,'Test catalog'!$A$2:$A$200,0))),"")</f>
        <v/>
      </c>
      <c r="M675" s="10">
        <f>IFERROR(IF(INDEX('Test catalog'!$H$2:$H$200,MATCH($AB675,'Test catalog'!$A$2:$A$200,0))="","",INDEX('Test catalog'!$H$2:$H$200,MATCH($AB675,'Test catalog'!$A$2:$A$200,0))),"")</f>
        <v/>
      </c>
      <c r="N675" s="10">
        <f>IFERROR(IF(INDEX('Test catalog'!$I$2:$I$200,MATCH($AB675,'Test catalog'!$A$2:$A$200,0))="","",INDEX('Test catalog'!$I$2:$I$200,MATCH($AB675,'Test catalog'!$A$2:$A$200,0))),"")</f>
        <v/>
      </c>
      <c r="O675" s="10">
        <f>IFERROR(IF(INDEX('Test catalog'!$J$2:$J$200,MATCH($AB675,'Test catalog'!$A$2:$A$200,0))="","",INDEX('Test catalog'!$J$2:$J$200,MATCH($AB675,'Test catalog'!$A$2:$A$200,0))),"")</f>
        <v/>
      </c>
      <c r="P675" s="14">
        <f>IF(N675="","",IF(OR(M675="",O675=""),N675,(M675+4*N675+O675)/6))</f>
        <v/>
      </c>
      <c r="Q675" s="10">
        <f>IFERROR(IF(INDEX('Test catalog'!$K$2:$K$200,MATCH($AB675,'Test catalog'!$A$2:$A$200,0))="","",INDEX('Test catalog'!$K$2:$K$200,MATCH($AB675,'Test catalog'!$A$2:$A$200,0))),"")</f>
        <v/>
      </c>
      <c r="R675" s="5" t="n"/>
      <c r="S675" s="10">
        <f>IFERROR(IF(INDEX('Test catalog'!$L$2:$L$200,MATCH($AB675,'Test catalog'!$A$2:$A$200,0))="","",INDEX('Test catalog'!$L$2:$L$200,MATCH($AB675,'Test catalog'!$A$2:$A$200,0))),"")</f>
        <v/>
      </c>
      <c r="T675" s="10">
        <f>IFERROR(IF(INDEX('Test catalog'!$M$2:$M$200,MATCH($AB675,'Test catalog'!$A$2:$A$200,0))="","",INDEX('Test catalog'!$M$2:$M$200,MATCH($AB675,'Test catalog'!$A$2:$A$200,0))),"")</f>
        <v/>
      </c>
      <c r="U675" s="10">
        <f>IFERROR(IF(INDEX('Test catalog'!$N$2:$N$200,MATCH($AB675,'Test catalog'!$A$2:$A$200,0))="","",INDEX('Test catalog'!$N$2:$N$200,MATCH($AB675,'Test catalog'!$A$2:$A$200,0))),"")</f>
        <v/>
      </c>
      <c r="V675" s="15" t="n"/>
      <c r="W675" s="5" t="inlineStr">
        <is>
          <t>N</t>
        </is>
      </c>
      <c r="X675" s="5" t="n"/>
      <c r="Y675" s="5" t="n"/>
      <c r="Z675" s="5" t="n"/>
      <c r="AA675" s="10">
        <f>IFERROR(IF(INDEX('Test catalog'!$O$2:$O$200,MATCH($AB675,'Test catalog'!$A$2:$A$200,0))="","",INDEX('Test catalog'!$O$2:$O$200,MATCH($AB675,'Test catalog'!$A$2:$A$200,0))),"")</f>
        <v/>
      </c>
      <c r="AB675" s="10" t="inlineStr">
        <is>
          <t>TITR</t>
        </is>
      </c>
      <c r="AC675" s="10" t="inlineStr">
        <is>
          <t>Croscarmellose Sodium · Specific Tests</t>
        </is>
      </c>
      <c r="AD675" s="10" t="n"/>
      <c r="AE675" s="10" t="n"/>
    </row>
    <row r="676">
      <c r="A676" s="10" t="inlineStr">
        <is>
          <t>Croscarmellose Sodium</t>
        </is>
      </c>
      <c r="B676" s="10" t="inlineStr">
        <is>
          <t>RM</t>
        </is>
      </c>
      <c r="C676" s="10" t="inlineStr">
        <is>
          <t>Disintegrant</t>
        </is>
      </c>
      <c r="D676" s="10" t="inlineStr">
        <is>
          <t>Loss on Drying</t>
        </is>
      </c>
      <c r="E676" s="10">
        <f>IF(A676="","",A676&amp;"|"&amp;D676)</f>
        <v/>
      </c>
      <c r="F676" s="5" t="inlineStr">
        <is>
          <t>Y</t>
        </is>
      </c>
      <c r="G676" s="5" t="inlineStr">
        <is>
          <t>Other / bench</t>
        </is>
      </c>
      <c r="H676" s="5" t="inlineStr">
        <is>
          <t>Low</t>
        </is>
      </c>
      <c r="I676" s="5" t="n">
        <v>1</v>
      </c>
      <c r="J676" s="5" t="n"/>
      <c r="K676" s="10">
        <f>IFERROR(IF(INDEX('Test catalog'!$F$2:$F$200,MATCH($AB676,'Test catalog'!$A$2:$A$200,0))="","",INDEX('Test catalog'!$F$2:$F$200,MATCH($AB676,'Test catalog'!$A$2:$A$200,0))),"")</f>
        <v/>
      </c>
      <c r="L676" s="10">
        <f>IFERROR(IF(INDEX('Test catalog'!$G$2:$G$200,MATCH($AB676,'Test catalog'!$A$2:$A$200,0))="","",INDEX('Test catalog'!$G$2:$G$200,MATCH($AB676,'Test catalog'!$A$2:$A$200,0))),"")</f>
        <v/>
      </c>
      <c r="M676" s="10">
        <f>IFERROR(IF(INDEX('Test catalog'!$H$2:$H$200,MATCH($AB676,'Test catalog'!$A$2:$A$200,0))="","",INDEX('Test catalog'!$H$2:$H$200,MATCH($AB676,'Test catalog'!$A$2:$A$200,0))),"")</f>
        <v/>
      </c>
      <c r="N676" s="10">
        <f>IFERROR(IF(INDEX('Test catalog'!$I$2:$I$200,MATCH($AB676,'Test catalog'!$A$2:$A$200,0))="","",INDEX('Test catalog'!$I$2:$I$200,MATCH($AB676,'Test catalog'!$A$2:$A$200,0))),"")</f>
        <v/>
      </c>
      <c r="O676" s="10">
        <f>IFERROR(IF(INDEX('Test catalog'!$J$2:$J$200,MATCH($AB676,'Test catalog'!$A$2:$A$200,0))="","",INDEX('Test catalog'!$J$2:$J$200,MATCH($AB676,'Test catalog'!$A$2:$A$200,0))),"")</f>
        <v/>
      </c>
      <c r="P676" s="14">
        <f>IF(N676="","",IF(OR(M676="",O676=""),N676,(M676+4*N676+O676)/6))</f>
        <v/>
      </c>
      <c r="Q676" s="10">
        <f>IFERROR(IF(INDEX('Test catalog'!$K$2:$K$200,MATCH($AB676,'Test catalog'!$A$2:$A$200,0))="","",INDEX('Test catalog'!$K$2:$K$200,MATCH($AB676,'Test catalog'!$A$2:$A$200,0))),"")</f>
        <v/>
      </c>
      <c r="R676" s="5" t="n"/>
      <c r="S676" s="10">
        <f>IFERROR(IF(INDEX('Test catalog'!$L$2:$L$200,MATCH($AB676,'Test catalog'!$A$2:$A$200,0))="","",INDEX('Test catalog'!$L$2:$L$200,MATCH($AB676,'Test catalog'!$A$2:$A$200,0))),"")</f>
        <v/>
      </c>
      <c r="T676" s="10">
        <f>IFERROR(IF(INDEX('Test catalog'!$M$2:$M$200,MATCH($AB676,'Test catalog'!$A$2:$A$200,0))="","",INDEX('Test catalog'!$M$2:$M$200,MATCH($AB676,'Test catalog'!$A$2:$A$200,0))),"")</f>
        <v/>
      </c>
      <c r="U676" s="10">
        <f>IFERROR(IF(INDEX('Test catalog'!$N$2:$N$200,MATCH($AB676,'Test catalog'!$A$2:$A$200,0))="","",INDEX('Test catalog'!$N$2:$N$200,MATCH($AB676,'Test catalog'!$A$2:$A$200,0))),"")</f>
        <v/>
      </c>
      <c r="V676" s="15" t="n"/>
      <c r="W676" s="5" t="inlineStr">
        <is>
          <t>N</t>
        </is>
      </c>
      <c r="X676" s="5" t="n"/>
      <c r="Y676" s="5" t="n"/>
      <c r="Z676" s="5" t="n"/>
      <c r="AA676" s="10">
        <f>IFERROR(IF(INDEX('Test catalog'!$O$2:$O$200,MATCH($AB676,'Test catalog'!$A$2:$A$200,0))="","",INDEX('Test catalog'!$O$2:$O$200,MATCH($AB676,'Test catalog'!$A$2:$A$200,0))),"")</f>
        <v/>
      </c>
      <c r="AB676" s="10" t="inlineStr">
        <is>
          <t>LOD</t>
        </is>
      </c>
      <c r="AC676" s="10" t="inlineStr">
        <is>
          <t>Croscarmellose Sodium · Specific Tests &lt;731&gt;</t>
        </is>
      </c>
      <c r="AD676" s="10" t="n"/>
      <c r="AE676" s="10" t="n"/>
    </row>
    <row r="677">
      <c r="A677" s="10" t="inlineStr">
        <is>
          <t>Croscarmellose Sodium</t>
        </is>
      </c>
      <c r="B677" s="10" t="inlineStr">
        <is>
          <t>RM</t>
        </is>
      </c>
      <c r="C677" s="10" t="inlineStr">
        <is>
          <t>Disintegrant</t>
        </is>
      </c>
      <c r="D677" s="10" t="inlineStr">
        <is>
          <t>pH</t>
        </is>
      </c>
      <c r="E677" s="10">
        <f>IF(A677="","",A677&amp;"|"&amp;D677)</f>
        <v/>
      </c>
      <c r="F677" s="5" t="inlineStr">
        <is>
          <t>Y</t>
        </is>
      </c>
      <c r="G677" s="5" t="inlineStr">
        <is>
          <t>Other / bench</t>
        </is>
      </c>
      <c r="H677" s="5" t="inlineStr">
        <is>
          <t>Low</t>
        </is>
      </c>
      <c r="I677" s="5" t="n">
        <v>1</v>
      </c>
      <c r="J677" s="5" t="n"/>
      <c r="K677" s="10">
        <f>IFERROR(IF(INDEX('Test catalog'!$F$2:$F$200,MATCH($AB677,'Test catalog'!$A$2:$A$200,0))="","",INDEX('Test catalog'!$F$2:$F$200,MATCH($AB677,'Test catalog'!$A$2:$A$200,0))),"")</f>
        <v/>
      </c>
      <c r="L677" s="10">
        <f>IFERROR(IF(INDEX('Test catalog'!$G$2:$G$200,MATCH($AB677,'Test catalog'!$A$2:$A$200,0))="","",INDEX('Test catalog'!$G$2:$G$200,MATCH($AB677,'Test catalog'!$A$2:$A$200,0))),"")</f>
        <v/>
      </c>
      <c r="M677" s="10">
        <f>IFERROR(IF(INDEX('Test catalog'!$H$2:$H$200,MATCH($AB677,'Test catalog'!$A$2:$A$200,0))="","",INDEX('Test catalog'!$H$2:$H$200,MATCH($AB677,'Test catalog'!$A$2:$A$200,0))),"")</f>
        <v/>
      </c>
      <c r="N677" s="10">
        <f>IFERROR(IF(INDEX('Test catalog'!$I$2:$I$200,MATCH($AB677,'Test catalog'!$A$2:$A$200,0))="","",INDEX('Test catalog'!$I$2:$I$200,MATCH($AB677,'Test catalog'!$A$2:$A$200,0))),"")</f>
        <v/>
      </c>
      <c r="O677" s="10">
        <f>IFERROR(IF(INDEX('Test catalog'!$J$2:$J$200,MATCH($AB677,'Test catalog'!$A$2:$A$200,0))="","",INDEX('Test catalog'!$J$2:$J$200,MATCH($AB677,'Test catalog'!$A$2:$A$200,0))),"")</f>
        <v/>
      </c>
      <c r="P677" s="14">
        <f>IF(N677="","",IF(OR(M677="",O677=""),N677,(M677+4*N677+O677)/6))</f>
        <v/>
      </c>
      <c r="Q677" s="10">
        <f>IFERROR(IF(INDEX('Test catalog'!$K$2:$K$200,MATCH($AB677,'Test catalog'!$A$2:$A$200,0))="","",INDEX('Test catalog'!$K$2:$K$200,MATCH($AB677,'Test catalog'!$A$2:$A$200,0))),"")</f>
        <v/>
      </c>
      <c r="R677" s="5" t="n"/>
      <c r="S677" s="10">
        <f>IFERROR(IF(INDEX('Test catalog'!$L$2:$L$200,MATCH($AB677,'Test catalog'!$A$2:$A$200,0))="","",INDEX('Test catalog'!$L$2:$L$200,MATCH($AB677,'Test catalog'!$A$2:$A$200,0))),"")</f>
        <v/>
      </c>
      <c r="T677" s="10">
        <f>IFERROR(IF(INDEX('Test catalog'!$M$2:$M$200,MATCH($AB677,'Test catalog'!$A$2:$A$200,0))="","",INDEX('Test catalog'!$M$2:$M$200,MATCH($AB677,'Test catalog'!$A$2:$A$200,0))),"")</f>
        <v/>
      </c>
      <c r="U677" s="10">
        <f>IFERROR(IF(INDEX('Test catalog'!$N$2:$N$200,MATCH($AB677,'Test catalog'!$A$2:$A$200,0))="","",INDEX('Test catalog'!$N$2:$N$200,MATCH($AB677,'Test catalog'!$A$2:$A$200,0))),"")</f>
        <v/>
      </c>
      <c r="V677" s="15" t="n"/>
      <c r="W677" s="5" t="inlineStr">
        <is>
          <t>N</t>
        </is>
      </c>
      <c r="X677" s="5" t="n"/>
      <c r="Y677" s="5" t="n"/>
      <c r="Z677" s="5" t="n"/>
      <c r="AA677" s="10">
        <f>IFERROR(IF(INDEX('Test catalog'!$O$2:$O$200,MATCH($AB677,'Test catalog'!$A$2:$A$200,0))="","",INDEX('Test catalog'!$O$2:$O$200,MATCH($AB677,'Test catalog'!$A$2:$A$200,0))),"")</f>
        <v/>
      </c>
      <c r="AB677" s="10" t="inlineStr">
        <is>
          <t>PH</t>
        </is>
      </c>
      <c r="AC677" s="10" t="inlineStr">
        <is>
          <t>Croscarmellose Sodium · Specific Tests &lt;791&gt;</t>
        </is>
      </c>
      <c r="AD677" s="10" t="n"/>
      <c r="AE677" s="10" t="n"/>
    </row>
    <row r="678">
      <c r="A678" s="10" t="inlineStr">
        <is>
          <t>Croscarmellose Sodium</t>
        </is>
      </c>
      <c r="B678" s="10" t="inlineStr">
        <is>
          <t>RM</t>
        </is>
      </c>
      <c r="C678" s="10" t="inlineStr">
        <is>
          <t>Disintegrant</t>
        </is>
      </c>
      <c r="D678" s="10" t="inlineStr">
        <is>
          <t>Settling Volume</t>
        </is>
      </c>
      <c r="E678" s="10">
        <f>IF(A678="","",A678&amp;"|"&amp;D678)</f>
        <v/>
      </c>
      <c r="F678" s="5" t="inlineStr">
        <is>
          <t>Y</t>
        </is>
      </c>
      <c r="G678" s="5" t="inlineStr">
        <is>
          <t>Other / bench</t>
        </is>
      </c>
      <c r="H678" s="5" t="inlineStr">
        <is>
          <t>Low</t>
        </is>
      </c>
      <c r="I678" s="5" t="n">
        <v>1</v>
      </c>
      <c r="J678" s="5" t="n"/>
      <c r="K678" s="10">
        <f>IFERROR(IF(INDEX('Test catalog'!$F$2:$F$200,MATCH($AB678,'Test catalog'!$A$2:$A$200,0))="","",INDEX('Test catalog'!$F$2:$F$200,MATCH($AB678,'Test catalog'!$A$2:$A$200,0))),"")</f>
        <v/>
      </c>
      <c r="L678" s="10">
        <f>IFERROR(IF(INDEX('Test catalog'!$G$2:$G$200,MATCH($AB678,'Test catalog'!$A$2:$A$200,0))="","",INDEX('Test catalog'!$G$2:$G$200,MATCH($AB678,'Test catalog'!$A$2:$A$200,0))),"")</f>
        <v/>
      </c>
      <c r="M678" s="10">
        <f>IFERROR(IF(INDEX('Test catalog'!$H$2:$H$200,MATCH($AB678,'Test catalog'!$A$2:$A$200,0))="","",INDEX('Test catalog'!$H$2:$H$200,MATCH($AB678,'Test catalog'!$A$2:$A$200,0))),"")</f>
        <v/>
      </c>
      <c r="N678" s="10">
        <f>IFERROR(IF(INDEX('Test catalog'!$I$2:$I$200,MATCH($AB678,'Test catalog'!$A$2:$A$200,0))="","",INDEX('Test catalog'!$I$2:$I$200,MATCH($AB678,'Test catalog'!$A$2:$A$200,0))),"")</f>
        <v/>
      </c>
      <c r="O678" s="10">
        <f>IFERROR(IF(INDEX('Test catalog'!$J$2:$J$200,MATCH($AB678,'Test catalog'!$A$2:$A$200,0))="","",INDEX('Test catalog'!$J$2:$J$200,MATCH($AB678,'Test catalog'!$A$2:$A$200,0))),"")</f>
        <v/>
      </c>
      <c r="P678" s="14">
        <f>IF(N678="","",IF(OR(M678="",O678=""),N678,(M678+4*N678+O678)/6))</f>
        <v/>
      </c>
      <c r="Q678" s="10">
        <f>IFERROR(IF(INDEX('Test catalog'!$K$2:$K$200,MATCH($AB678,'Test catalog'!$A$2:$A$200,0))="","",INDEX('Test catalog'!$K$2:$K$200,MATCH($AB678,'Test catalog'!$A$2:$A$200,0))),"")</f>
        <v/>
      </c>
      <c r="R678" s="5" t="n"/>
      <c r="S678" s="10">
        <f>IFERROR(IF(INDEX('Test catalog'!$L$2:$L$200,MATCH($AB678,'Test catalog'!$A$2:$A$200,0))="","",INDEX('Test catalog'!$L$2:$L$200,MATCH($AB678,'Test catalog'!$A$2:$A$200,0))),"")</f>
        <v/>
      </c>
      <c r="T678" s="10">
        <f>IFERROR(IF(INDEX('Test catalog'!$M$2:$M$200,MATCH($AB678,'Test catalog'!$A$2:$A$200,0))="","",INDEX('Test catalog'!$M$2:$M$200,MATCH($AB678,'Test catalog'!$A$2:$A$200,0))),"")</f>
        <v/>
      </c>
      <c r="U678" s="10">
        <f>IFERROR(IF(INDEX('Test catalog'!$N$2:$N$200,MATCH($AB678,'Test catalog'!$A$2:$A$200,0))="","",INDEX('Test catalog'!$N$2:$N$200,MATCH($AB678,'Test catalog'!$A$2:$A$200,0))),"")</f>
        <v/>
      </c>
      <c r="V678" s="15" t="n"/>
      <c r="W678" s="5" t="inlineStr">
        <is>
          <t>N</t>
        </is>
      </c>
      <c r="X678" s="5" t="n"/>
      <c r="Y678" s="5" t="n"/>
      <c r="Z678" s="5" t="n"/>
      <c r="AA678" s="10">
        <f>IFERROR(IF(INDEX('Test catalog'!$O$2:$O$200,MATCH($AB678,'Test catalog'!$A$2:$A$200,0))="","",INDEX('Test catalog'!$O$2:$O$200,MATCH($AB678,'Test catalog'!$A$2:$A$200,0))),"")</f>
        <v/>
      </c>
      <c r="AB678" s="10" t="inlineStr">
        <is>
          <t>PHYS</t>
        </is>
      </c>
      <c r="AC678" s="10" t="inlineStr">
        <is>
          <t>Croscarmellose Sodium · Specific Tests</t>
        </is>
      </c>
      <c r="AD678" s="10" t="n"/>
      <c r="AE678" s="10" t="n"/>
    </row>
    <row r="679">
      <c r="A679" s="10" t="inlineStr">
        <is>
          <t>Crospovidone</t>
        </is>
      </c>
      <c r="B679" s="10" t="inlineStr">
        <is>
          <t>RM</t>
        </is>
      </c>
      <c r="C679" s="10" t="inlineStr">
        <is>
          <t>Disintegrant</t>
        </is>
      </c>
      <c r="D679" s="10" t="inlineStr">
        <is>
          <t>Appearance / description and solubility</t>
        </is>
      </c>
      <c r="E679" s="10">
        <f>IF(A679="","",A679&amp;"|"&amp;D679)</f>
        <v/>
      </c>
      <c r="F679" s="5" t="inlineStr">
        <is>
          <t>Y</t>
        </is>
      </c>
      <c r="G679" s="5" t="inlineStr">
        <is>
          <t>Other / bench</t>
        </is>
      </c>
      <c r="H679" s="5" t="inlineStr">
        <is>
          <t>Low</t>
        </is>
      </c>
      <c r="I679" s="5" t="n">
        <v>1</v>
      </c>
      <c r="J679" s="5" t="n"/>
      <c r="K679" s="10">
        <f>IFERROR(IF(INDEX('Test catalog'!$F$2:$F$200,MATCH($AB679,'Test catalog'!$A$2:$A$200,0))="","",INDEX('Test catalog'!$F$2:$F$200,MATCH($AB679,'Test catalog'!$A$2:$A$200,0))),"")</f>
        <v/>
      </c>
      <c r="L679" s="10">
        <f>IFERROR(IF(INDEX('Test catalog'!$G$2:$G$200,MATCH($AB679,'Test catalog'!$A$2:$A$200,0))="","",INDEX('Test catalog'!$G$2:$G$200,MATCH($AB679,'Test catalog'!$A$2:$A$200,0))),"")</f>
        <v/>
      </c>
      <c r="M679" s="10">
        <f>IFERROR(IF(INDEX('Test catalog'!$H$2:$H$200,MATCH($AB679,'Test catalog'!$A$2:$A$200,0))="","",INDEX('Test catalog'!$H$2:$H$200,MATCH($AB679,'Test catalog'!$A$2:$A$200,0))),"")</f>
        <v/>
      </c>
      <c r="N679" s="10">
        <f>IFERROR(IF(INDEX('Test catalog'!$I$2:$I$200,MATCH($AB679,'Test catalog'!$A$2:$A$200,0))="","",INDEX('Test catalog'!$I$2:$I$200,MATCH($AB679,'Test catalog'!$A$2:$A$200,0))),"")</f>
        <v/>
      </c>
      <c r="O679" s="10">
        <f>IFERROR(IF(INDEX('Test catalog'!$J$2:$J$200,MATCH($AB679,'Test catalog'!$A$2:$A$200,0))="","",INDEX('Test catalog'!$J$2:$J$200,MATCH($AB679,'Test catalog'!$A$2:$A$200,0))),"")</f>
        <v/>
      </c>
      <c r="P679" s="14">
        <f>IF(N679="","",IF(OR(M679="",O679=""),N679,(M679+4*N679+O679)/6))</f>
        <v/>
      </c>
      <c r="Q679" s="10">
        <f>IFERROR(IF(INDEX('Test catalog'!$K$2:$K$200,MATCH($AB679,'Test catalog'!$A$2:$A$200,0))="","",INDEX('Test catalog'!$K$2:$K$200,MATCH($AB679,'Test catalog'!$A$2:$A$200,0))),"")</f>
        <v/>
      </c>
      <c r="R679" s="5" t="n"/>
      <c r="S679" s="10">
        <f>IFERROR(IF(INDEX('Test catalog'!$L$2:$L$200,MATCH($AB679,'Test catalog'!$A$2:$A$200,0))="","",INDEX('Test catalog'!$L$2:$L$200,MATCH($AB679,'Test catalog'!$A$2:$A$200,0))),"")</f>
        <v/>
      </c>
      <c r="T679" s="10">
        <f>IFERROR(IF(INDEX('Test catalog'!$M$2:$M$200,MATCH($AB679,'Test catalog'!$A$2:$A$200,0))="","",INDEX('Test catalog'!$M$2:$M$200,MATCH($AB679,'Test catalog'!$A$2:$A$200,0))),"")</f>
        <v/>
      </c>
      <c r="U679" s="10">
        <f>IFERROR(IF(INDEX('Test catalog'!$N$2:$N$200,MATCH($AB679,'Test catalog'!$A$2:$A$200,0))="","",INDEX('Test catalog'!$N$2:$N$200,MATCH($AB679,'Test catalog'!$A$2:$A$200,0))),"")</f>
        <v/>
      </c>
      <c r="V679" s="15" t="n"/>
      <c r="W679" s="5" t="inlineStr">
        <is>
          <t>N</t>
        </is>
      </c>
      <c r="X679" s="5" t="n"/>
      <c r="Y679" s="5" t="n"/>
      <c r="Z679" s="5" t="n"/>
      <c r="AA679" s="10">
        <f>IFERROR(IF(INDEX('Test catalog'!$O$2:$O$200,MATCH($AB679,'Test catalog'!$A$2:$A$200,0))="","",INDEX('Test catalog'!$O$2:$O$200,MATCH($AB679,'Test catalog'!$A$2:$A$200,0))),"")</f>
        <v/>
      </c>
      <c r="AB679" s="10" t="inlineStr">
        <is>
          <t>APPEAR</t>
        </is>
      </c>
      <c r="AC679" s="10" t="inlineStr">
        <is>
          <t>Lab practice (not a USP test)</t>
        </is>
      </c>
      <c r="AD679" s="10" t="n"/>
      <c r="AE679" s="10" t="n"/>
    </row>
    <row r="680">
      <c r="A680" s="10" t="inlineStr">
        <is>
          <t>Crospovidone</t>
        </is>
      </c>
      <c r="B680" s="10" t="inlineStr">
        <is>
          <t>RM</t>
        </is>
      </c>
      <c r="C680" s="10" t="inlineStr">
        <is>
          <t>Disintegrant</t>
        </is>
      </c>
      <c r="D680" s="10" t="inlineStr">
        <is>
          <t>ID B - chemical reaction</t>
        </is>
      </c>
      <c r="E680" s="10">
        <f>IF(A680="","",A680&amp;"|"&amp;D680)</f>
        <v/>
      </c>
      <c r="F680" s="5" t="inlineStr">
        <is>
          <t>Y</t>
        </is>
      </c>
      <c r="G680" s="5" t="inlineStr">
        <is>
          <t>Other / bench</t>
        </is>
      </c>
      <c r="H680" s="5" t="inlineStr">
        <is>
          <t>Low</t>
        </is>
      </c>
      <c r="I680" s="5" t="n">
        <v>1</v>
      </c>
      <c r="J680" s="5" t="n"/>
      <c r="K680" s="10">
        <f>IFERROR(IF(INDEX('Test catalog'!$F$2:$F$200,MATCH($AB680,'Test catalog'!$A$2:$A$200,0))="","",INDEX('Test catalog'!$F$2:$F$200,MATCH($AB680,'Test catalog'!$A$2:$A$200,0))),"")</f>
        <v/>
      </c>
      <c r="L680" s="10">
        <f>IFERROR(IF(INDEX('Test catalog'!$G$2:$G$200,MATCH($AB680,'Test catalog'!$A$2:$A$200,0))="","",INDEX('Test catalog'!$G$2:$G$200,MATCH($AB680,'Test catalog'!$A$2:$A$200,0))),"")</f>
        <v/>
      </c>
      <c r="M680" s="10">
        <f>IFERROR(IF(INDEX('Test catalog'!$H$2:$H$200,MATCH($AB680,'Test catalog'!$A$2:$A$200,0))="","",INDEX('Test catalog'!$H$2:$H$200,MATCH($AB680,'Test catalog'!$A$2:$A$200,0))),"")</f>
        <v/>
      </c>
      <c r="N680" s="10">
        <f>IFERROR(IF(INDEX('Test catalog'!$I$2:$I$200,MATCH($AB680,'Test catalog'!$A$2:$A$200,0))="","",INDEX('Test catalog'!$I$2:$I$200,MATCH($AB680,'Test catalog'!$A$2:$A$200,0))),"")</f>
        <v/>
      </c>
      <c r="O680" s="10">
        <f>IFERROR(IF(INDEX('Test catalog'!$J$2:$J$200,MATCH($AB680,'Test catalog'!$A$2:$A$200,0))="","",INDEX('Test catalog'!$J$2:$J$200,MATCH($AB680,'Test catalog'!$A$2:$A$200,0))),"")</f>
        <v/>
      </c>
      <c r="P680" s="14">
        <f>IF(N680="","",IF(OR(M680="",O680=""),N680,(M680+4*N680+O680)/6))</f>
        <v/>
      </c>
      <c r="Q680" s="10">
        <f>IFERROR(IF(INDEX('Test catalog'!$K$2:$K$200,MATCH($AB680,'Test catalog'!$A$2:$A$200,0))="","",INDEX('Test catalog'!$K$2:$K$200,MATCH($AB680,'Test catalog'!$A$2:$A$200,0))),"")</f>
        <v/>
      </c>
      <c r="R680" s="5" t="n"/>
      <c r="S680" s="10">
        <f>IFERROR(IF(INDEX('Test catalog'!$L$2:$L$200,MATCH($AB680,'Test catalog'!$A$2:$A$200,0))="","",INDEX('Test catalog'!$L$2:$L$200,MATCH($AB680,'Test catalog'!$A$2:$A$200,0))),"")</f>
        <v/>
      </c>
      <c r="T680" s="10">
        <f>IFERROR(IF(INDEX('Test catalog'!$M$2:$M$200,MATCH($AB680,'Test catalog'!$A$2:$A$200,0))="","",INDEX('Test catalog'!$M$2:$M$200,MATCH($AB680,'Test catalog'!$A$2:$A$200,0))),"")</f>
        <v/>
      </c>
      <c r="U680" s="10">
        <f>IFERROR(IF(INDEX('Test catalog'!$N$2:$N$200,MATCH($AB680,'Test catalog'!$A$2:$A$200,0))="","",INDEX('Test catalog'!$N$2:$N$200,MATCH($AB680,'Test catalog'!$A$2:$A$200,0))),"")</f>
        <v/>
      </c>
      <c r="V680" s="15" t="n"/>
      <c r="W680" s="5" t="inlineStr">
        <is>
          <t>N</t>
        </is>
      </c>
      <c r="X680" s="5" t="n"/>
      <c r="Y680" s="5" t="n"/>
      <c r="Z680" s="5" t="n"/>
      <c r="AA680" s="10">
        <f>IFERROR(IF(INDEX('Test catalog'!$O$2:$O$200,MATCH($AB680,'Test catalog'!$A$2:$A$200,0))="","",INDEX('Test catalog'!$O$2:$O$200,MATCH($AB680,'Test catalog'!$A$2:$A$200,0))),"")</f>
        <v/>
      </c>
      <c r="AB680" s="10" t="inlineStr">
        <is>
          <t>ID_CHEM</t>
        </is>
      </c>
      <c r="AC680" s="10" t="inlineStr">
        <is>
          <t>Crospovidone · Identification</t>
        </is>
      </c>
      <c r="AD680" s="10" t="n"/>
      <c r="AE680" s="10" t="n"/>
    </row>
    <row r="681">
      <c r="A681" s="10" t="inlineStr">
        <is>
          <t>Crospovidone</t>
        </is>
      </c>
      <c r="B681" s="10" t="inlineStr">
        <is>
          <t>RM</t>
        </is>
      </c>
      <c r="C681" s="10" t="inlineStr">
        <is>
          <t>Disintegrant</t>
        </is>
      </c>
      <c r="D681" s="10" t="inlineStr">
        <is>
          <t>ID A - IR spectrum</t>
        </is>
      </c>
      <c r="E681" s="10">
        <f>IF(A681="","",A681&amp;"|"&amp;D681)</f>
        <v/>
      </c>
      <c r="F681" s="5" t="inlineStr">
        <is>
          <t>Y</t>
        </is>
      </c>
      <c r="G681" s="5" t="inlineStr">
        <is>
          <t>Other / bench</t>
        </is>
      </c>
      <c r="H681" s="5" t="inlineStr">
        <is>
          <t>Low</t>
        </is>
      </c>
      <c r="I681" s="5" t="n">
        <v>1</v>
      </c>
      <c r="J681" s="5" t="n"/>
      <c r="K681" s="10">
        <f>IFERROR(IF(INDEX('Test catalog'!$F$2:$F$200,MATCH($AB681,'Test catalog'!$A$2:$A$200,0))="","",INDEX('Test catalog'!$F$2:$F$200,MATCH($AB681,'Test catalog'!$A$2:$A$200,0))),"")</f>
        <v/>
      </c>
      <c r="L681" s="10">
        <f>IFERROR(IF(INDEX('Test catalog'!$G$2:$G$200,MATCH($AB681,'Test catalog'!$A$2:$A$200,0))="","",INDEX('Test catalog'!$G$2:$G$200,MATCH($AB681,'Test catalog'!$A$2:$A$200,0))),"")</f>
        <v/>
      </c>
      <c r="M681" s="10">
        <f>IFERROR(IF(INDEX('Test catalog'!$H$2:$H$200,MATCH($AB681,'Test catalog'!$A$2:$A$200,0))="","",INDEX('Test catalog'!$H$2:$H$200,MATCH($AB681,'Test catalog'!$A$2:$A$200,0))),"")</f>
        <v/>
      </c>
      <c r="N681" s="10">
        <f>IFERROR(IF(INDEX('Test catalog'!$I$2:$I$200,MATCH($AB681,'Test catalog'!$A$2:$A$200,0))="","",INDEX('Test catalog'!$I$2:$I$200,MATCH($AB681,'Test catalog'!$A$2:$A$200,0))),"")</f>
        <v/>
      </c>
      <c r="O681" s="10">
        <f>IFERROR(IF(INDEX('Test catalog'!$J$2:$J$200,MATCH($AB681,'Test catalog'!$A$2:$A$200,0))="","",INDEX('Test catalog'!$J$2:$J$200,MATCH($AB681,'Test catalog'!$A$2:$A$200,0))),"")</f>
        <v/>
      </c>
      <c r="P681" s="14">
        <f>IF(N681="","",IF(OR(M681="",O681=""),N681,(M681+4*N681+O681)/6))</f>
        <v/>
      </c>
      <c r="Q681" s="10">
        <f>IFERROR(IF(INDEX('Test catalog'!$K$2:$K$200,MATCH($AB681,'Test catalog'!$A$2:$A$200,0))="","",INDEX('Test catalog'!$K$2:$K$200,MATCH($AB681,'Test catalog'!$A$2:$A$200,0))),"")</f>
        <v/>
      </c>
      <c r="R681" s="5" t="n"/>
      <c r="S681" s="10">
        <f>IFERROR(IF(INDEX('Test catalog'!$L$2:$L$200,MATCH($AB681,'Test catalog'!$A$2:$A$200,0))="","",INDEX('Test catalog'!$L$2:$L$200,MATCH($AB681,'Test catalog'!$A$2:$A$200,0))),"")</f>
        <v/>
      </c>
      <c r="T681" s="10">
        <f>IFERROR(IF(INDEX('Test catalog'!$M$2:$M$200,MATCH($AB681,'Test catalog'!$A$2:$A$200,0))="","",INDEX('Test catalog'!$M$2:$M$200,MATCH($AB681,'Test catalog'!$A$2:$A$200,0))),"")</f>
        <v/>
      </c>
      <c r="U681" s="10">
        <f>IFERROR(IF(INDEX('Test catalog'!$N$2:$N$200,MATCH($AB681,'Test catalog'!$A$2:$A$200,0))="","",INDEX('Test catalog'!$N$2:$N$200,MATCH($AB681,'Test catalog'!$A$2:$A$200,0))),"")</f>
        <v/>
      </c>
      <c r="V681" s="15" t="n"/>
      <c r="W681" s="5" t="inlineStr">
        <is>
          <t>N</t>
        </is>
      </c>
      <c r="X681" s="5" t="n"/>
      <c r="Y681" s="5" t="n"/>
      <c r="Z681" s="5" t="n"/>
      <c r="AA681" s="10">
        <f>IFERROR(IF(INDEX('Test catalog'!$O$2:$O$200,MATCH($AB681,'Test catalog'!$A$2:$A$200,0))="","",INDEX('Test catalog'!$O$2:$O$200,MATCH($AB681,'Test catalog'!$A$2:$A$200,0))),"")</f>
        <v/>
      </c>
      <c r="AB681" s="10" t="inlineStr">
        <is>
          <t>ID_IR</t>
        </is>
      </c>
      <c r="AC681" s="10" t="inlineStr">
        <is>
          <t>Crospovidone · Identification &lt;197&gt;</t>
        </is>
      </c>
      <c r="AD681" s="10" t="n"/>
      <c r="AE681" s="10" t="n"/>
    </row>
    <row r="682">
      <c r="A682" s="10" t="inlineStr">
        <is>
          <t>Crospovidone</t>
        </is>
      </c>
      <c r="B682" s="10" t="inlineStr">
        <is>
          <t>RM</t>
        </is>
      </c>
      <c r="C682" s="10" t="inlineStr">
        <is>
          <t>Disintegrant</t>
        </is>
      </c>
      <c r="D682" s="10" t="inlineStr">
        <is>
          <t>ID C - chemical reaction</t>
        </is>
      </c>
      <c r="E682" s="10">
        <f>IF(A682="","",A682&amp;"|"&amp;D682)</f>
        <v/>
      </c>
      <c r="F682" s="5" t="inlineStr">
        <is>
          <t>Y</t>
        </is>
      </c>
      <c r="G682" s="5" t="inlineStr">
        <is>
          <t>Other / bench</t>
        </is>
      </c>
      <c r="H682" s="5" t="inlineStr">
        <is>
          <t>Low</t>
        </is>
      </c>
      <c r="I682" s="5" t="n">
        <v>1</v>
      </c>
      <c r="J682" s="5" t="n"/>
      <c r="K682" s="10">
        <f>IFERROR(IF(INDEX('Test catalog'!$F$2:$F$200,MATCH($AB682,'Test catalog'!$A$2:$A$200,0))="","",INDEX('Test catalog'!$F$2:$F$200,MATCH($AB682,'Test catalog'!$A$2:$A$200,0))),"")</f>
        <v/>
      </c>
      <c r="L682" s="10">
        <f>IFERROR(IF(INDEX('Test catalog'!$G$2:$G$200,MATCH($AB682,'Test catalog'!$A$2:$A$200,0))="","",INDEX('Test catalog'!$G$2:$G$200,MATCH($AB682,'Test catalog'!$A$2:$A$200,0))),"")</f>
        <v/>
      </c>
      <c r="M682" s="10">
        <f>IFERROR(IF(INDEX('Test catalog'!$H$2:$H$200,MATCH($AB682,'Test catalog'!$A$2:$A$200,0))="","",INDEX('Test catalog'!$H$2:$H$200,MATCH($AB682,'Test catalog'!$A$2:$A$200,0))),"")</f>
        <v/>
      </c>
      <c r="N682" s="10">
        <f>IFERROR(IF(INDEX('Test catalog'!$I$2:$I$200,MATCH($AB682,'Test catalog'!$A$2:$A$200,0))="","",INDEX('Test catalog'!$I$2:$I$200,MATCH($AB682,'Test catalog'!$A$2:$A$200,0))),"")</f>
        <v/>
      </c>
      <c r="O682" s="10">
        <f>IFERROR(IF(INDEX('Test catalog'!$J$2:$J$200,MATCH($AB682,'Test catalog'!$A$2:$A$200,0))="","",INDEX('Test catalog'!$J$2:$J$200,MATCH($AB682,'Test catalog'!$A$2:$A$200,0))),"")</f>
        <v/>
      </c>
      <c r="P682" s="14">
        <f>IF(N682="","",IF(OR(M682="",O682=""),N682,(M682+4*N682+O682)/6))</f>
        <v/>
      </c>
      <c r="Q682" s="10">
        <f>IFERROR(IF(INDEX('Test catalog'!$K$2:$K$200,MATCH($AB682,'Test catalog'!$A$2:$A$200,0))="","",INDEX('Test catalog'!$K$2:$K$200,MATCH($AB682,'Test catalog'!$A$2:$A$200,0))),"")</f>
        <v/>
      </c>
      <c r="R682" s="5" t="n"/>
      <c r="S682" s="10">
        <f>IFERROR(IF(INDEX('Test catalog'!$L$2:$L$200,MATCH($AB682,'Test catalog'!$A$2:$A$200,0))="","",INDEX('Test catalog'!$L$2:$L$200,MATCH($AB682,'Test catalog'!$A$2:$A$200,0))),"")</f>
        <v/>
      </c>
      <c r="T682" s="10">
        <f>IFERROR(IF(INDEX('Test catalog'!$M$2:$M$200,MATCH($AB682,'Test catalog'!$A$2:$A$200,0))="","",INDEX('Test catalog'!$M$2:$M$200,MATCH($AB682,'Test catalog'!$A$2:$A$200,0))),"")</f>
        <v/>
      </c>
      <c r="U682" s="10">
        <f>IFERROR(IF(INDEX('Test catalog'!$N$2:$N$200,MATCH($AB682,'Test catalog'!$A$2:$A$200,0))="","",INDEX('Test catalog'!$N$2:$N$200,MATCH($AB682,'Test catalog'!$A$2:$A$200,0))),"")</f>
        <v/>
      </c>
      <c r="V682" s="15" t="n"/>
      <c r="W682" s="5" t="inlineStr">
        <is>
          <t>N</t>
        </is>
      </c>
      <c r="X682" s="5" t="n"/>
      <c r="Y682" s="5" t="n"/>
      <c r="Z682" s="5" t="n"/>
      <c r="AA682" s="10">
        <f>IFERROR(IF(INDEX('Test catalog'!$O$2:$O$200,MATCH($AB682,'Test catalog'!$A$2:$A$200,0))="","",INDEX('Test catalog'!$O$2:$O$200,MATCH($AB682,'Test catalog'!$A$2:$A$200,0))),"")</f>
        <v/>
      </c>
      <c r="AB682" s="10" t="inlineStr">
        <is>
          <t>ID_CHEM</t>
        </is>
      </c>
      <c r="AC682" s="10" t="inlineStr">
        <is>
          <t>Crospovidone · Identification</t>
        </is>
      </c>
      <c r="AD682" s="10" t="n"/>
      <c r="AE682" s="10" t="n"/>
    </row>
    <row r="683">
      <c r="A683" s="10" t="inlineStr">
        <is>
          <t>Crospovidone</t>
        </is>
      </c>
      <c r="B683" s="10" t="inlineStr">
        <is>
          <t>RM</t>
        </is>
      </c>
      <c r="C683" s="10" t="inlineStr">
        <is>
          <t>Disintegrant</t>
        </is>
      </c>
      <c r="D683" s="10" t="inlineStr">
        <is>
          <t>ID D - chemical reaction</t>
        </is>
      </c>
      <c r="E683" s="10">
        <f>IF(A683="","",A683&amp;"|"&amp;D683)</f>
        <v/>
      </c>
      <c r="F683" s="5" t="inlineStr">
        <is>
          <t>Y</t>
        </is>
      </c>
      <c r="G683" s="5" t="inlineStr">
        <is>
          <t>Other / bench</t>
        </is>
      </c>
      <c r="H683" s="5" t="inlineStr">
        <is>
          <t>Low</t>
        </is>
      </c>
      <c r="I683" s="5" t="n">
        <v>1</v>
      </c>
      <c r="J683" s="5" t="n"/>
      <c r="K683" s="10">
        <f>IFERROR(IF(INDEX('Test catalog'!$F$2:$F$200,MATCH($AB683,'Test catalog'!$A$2:$A$200,0))="","",INDEX('Test catalog'!$F$2:$F$200,MATCH($AB683,'Test catalog'!$A$2:$A$200,0))),"")</f>
        <v/>
      </c>
      <c r="L683" s="10">
        <f>IFERROR(IF(INDEX('Test catalog'!$G$2:$G$200,MATCH($AB683,'Test catalog'!$A$2:$A$200,0))="","",INDEX('Test catalog'!$G$2:$G$200,MATCH($AB683,'Test catalog'!$A$2:$A$200,0))),"")</f>
        <v/>
      </c>
      <c r="M683" s="10">
        <f>IFERROR(IF(INDEX('Test catalog'!$H$2:$H$200,MATCH($AB683,'Test catalog'!$A$2:$A$200,0))="","",INDEX('Test catalog'!$H$2:$H$200,MATCH($AB683,'Test catalog'!$A$2:$A$200,0))),"")</f>
        <v/>
      </c>
      <c r="N683" s="10">
        <f>IFERROR(IF(INDEX('Test catalog'!$I$2:$I$200,MATCH($AB683,'Test catalog'!$A$2:$A$200,0))="","",INDEX('Test catalog'!$I$2:$I$200,MATCH($AB683,'Test catalog'!$A$2:$A$200,0))),"")</f>
        <v/>
      </c>
      <c r="O683" s="10">
        <f>IFERROR(IF(INDEX('Test catalog'!$J$2:$J$200,MATCH($AB683,'Test catalog'!$A$2:$A$200,0))="","",INDEX('Test catalog'!$J$2:$J$200,MATCH($AB683,'Test catalog'!$A$2:$A$200,0))),"")</f>
        <v/>
      </c>
      <c r="P683" s="14">
        <f>IF(N683="","",IF(OR(M683="",O683=""),N683,(M683+4*N683+O683)/6))</f>
        <v/>
      </c>
      <c r="Q683" s="10">
        <f>IFERROR(IF(INDEX('Test catalog'!$K$2:$K$200,MATCH($AB683,'Test catalog'!$A$2:$A$200,0))="","",INDEX('Test catalog'!$K$2:$K$200,MATCH($AB683,'Test catalog'!$A$2:$A$200,0))),"")</f>
        <v/>
      </c>
      <c r="R683" s="5" t="n"/>
      <c r="S683" s="10">
        <f>IFERROR(IF(INDEX('Test catalog'!$L$2:$L$200,MATCH($AB683,'Test catalog'!$A$2:$A$200,0))="","",INDEX('Test catalog'!$L$2:$L$200,MATCH($AB683,'Test catalog'!$A$2:$A$200,0))),"")</f>
        <v/>
      </c>
      <c r="T683" s="10">
        <f>IFERROR(IF(INDEX('Test catalog'!$M$2:$M$200,MATCH($AB683,'Test catalog'!$A$2:$A$200,0))="","",INDEX('Test catalog'!$M$2:$M$200,MATCH($AB683,'Test catalog'!$A$2:$A$200,0))),"")</f>
        <v/>
      </c>
      <c r="U683" s="10">
        <f>IFERROR(IF(INDEX('Test catalog'!$N$2:$N$200,MATCH($AB683,'Test catalog'!$A$2:$A$200,0))="","",INDEX('Test catalog'!$N$2:$N$200,MATCH($AB683,'Test catalog'!$A$2:$A$200,0))),"")</f>
        <v/>
      </c>
      <c r="V683" s="15" t="n"/>
      <c r="W683" s="5" t="inlineStr">
        <is>
          <t>N</t>
        </is>
      </c>
      <c r="X683" s="5" t="n"/>
      <c r="Y683" s="5" t="n"/>
      <c r="Z683" s="5" t="n"/>
      <c r="AA683" s="10">
        <f>IFERROR(IF(INDEX('Test catalog'!$O$2:$O$200,MATCH($AB683,'Test catalog'!$A$2:$A$200,0))="","",INDEX('Test catalog'!$O$2:$O$200,MATCH($AB683,'Test catalog'!$A$2:$A$200,0))),"")</f>
        <v/>
      </c>
      <c r="AB683" s="10" t="inlineStr">
        <is>
          <t>ID_CHEM</t>
        </is>
      </c>
      <c r="AC683" s="10" t="inlineStr">
        <is>
          <t>Crospovidone · Identification</t>
        </is>
      </c>
      <c r="AD683" s="10" t="n"/>
      <c r="AE683" s="10" t="n"/>
    </row>
    <row r="684">
      <c r="A684" s="10" t="inlineStr">
        <is>
          <t>Crospovidone</t>
        </is>
      </c>
      <c r="B684" s="10" t="inlineStr">
        <is>
          <t>RM</t>
        </is>
      </c>
      <c r="C684" s="10" t="inlineStr">
        <is>
          <t>Disintegrant</t>
        </is>
      </c>
      <c r="D684" s="10" t="inlineStr">
        <is>
          <t>Assay - Nitrogen Determination, Method II</t>
        </is>
      </c>
      <c r="E684" s="10">
        <f>IF(A684="","",A684&amp;"|"&amp;D684)</f>
        <v/>
      </c>
      <c r="F684" s="5" t="inlineStr">
        <is>
          <t>Y</t>
        </is>
      </c>
      <c r="G684" s="5" t="inlineStr">
        <is>
          <t>Other / bench</t>
        </is>
      </c>
      <c r="H684" s="5" t="inlineStr">
        <is>
          <t>Low</t>
        </is>
      </c>
      <c r="I684" s="5" t="n">
        <v>1</v>
      </c>
      <c r="J684" s="5" t="n"/>
      <c r="K684" s="10">
        <f>IFERROR(IF(INDEX('Test catalog'!$F$2:$F$200,MATCH($AB684,'Test catalog'!$A$2:$A$200,0))="","",INDEX('Test catalog'!$F$2:$F$200,MATCH($AB684,'Test catalog'!$A$2:$A$200,0))),"")</f>
        <v/>
      </c>
      <c r="L684" s="10">
        <f>IFERROR(IF(INDEX('Test catalog'!$G$2:$G$200,MATCH($AB684,'Test catalog'!$A$2:$A$200,0))="","",INDEX('Test catalog'!$G$2:$G$200,MATCH($AB684,'Test catalog'!$A$2:$A$200,0))),"")</f>
        <v/>
      </c>
      <c r="M684" s="10">
        <f>IFERROR(IF(INDEX('Test catalog'!$H$2:$H$200,MATCH($AB684,'Test catalog'!$A$2:$A$200,0))="","",INDEX('Test catalog'!$H$2:$H$200,MATCH($AB684,'Test catalog'!$A$2:$A$200,0))),"")</f>
        <v/>
      </c>
      <c r="N684" s="10">
        <f>IFERROR(IF(INDEX('Test catalog'!$I$2:$I$200,MATCH($AB684,'Test catalog'!$A$2:$A$200,0))="","",INDEX('Test catalog'!$I$2:$I$200,MATCH($AB684,'Test catalog'!$A$2:$A$200,0))),"")</f>
        <v/>
      </c>
      <c r="O684" s="10">
        <f>IFERROR(IF(INDEX('Test catalog'!$J$2:$J$200,MATCH($AB684,'Test catalog'!$A$2:$A$200,0))="","",INDEX('Test catalog'!$J$2:$J$200,MATCH($AB684,'Test catalog'!$A$2:$A$200,0))),"")</f>
        <v/>
      </c>
      <c r="P684" s="14">
        <f>IF(N684="","",IF(OR(M684="",O684=""),N684,(M684+4*N684+O684)/6))</f>
        <v/>
      </c>
      <c r="Q684" s="10">
        <f>IFERROR(IF(INDEX('Test catalog'!$K$2:$K$200,MATCH($AB684,'Test catalog'!$A$2:$A$200,0))="","",INDEX('Test catalog'!$K$2:$K$200,MATCH($AB684,'Test catalog'!$A$2:$A$200,0))),"")</f>
        <v/>
      </c>
      <c r="R684" s="5" t="n"/>
      <c r="S684" s="10">
        <f>IFERROR(IF(INDEX('Test catalog'!$L$2:$L$200,MATCH($AB684,'Test catalog'!$A$2:$A$200,0))="","",INDEX('Test catalog'!$L$2:$L$200,MATCH($AB684,'Test catalog'!$A$2:$A$200,0))),"")</f>
        <v/>
      </c>
      <c r="T684" s="10">
        <f>IFERROR(IF(INDEX('Test catalog'!$M$2:$M$200,MATCH($AB684,'Test catalog'!$A$2:$A$200,0))="","",INDEX('Test catalog'!$M$2:$M$200,MATCH($AB684,'Test catalog'!$A$2:$A$200,0))),"")</f>
        <v/>
      </c>
      <c r="U684" s="10">
        <f>IFERROR(IF(INDEX('Test catalog'!$N$2:$N$200,MATCH($AB684,'Test catalog'!$A$2:$A$200,0))="","",INDEX('Test catalog'!$N$2:$N$200,MATCH($AB684,'Test catalog'!$A$2:$A$200,0))),"")</f>
        <v/>
      </c>
      <c r="V684" s="15" t="n"/>
      <c r="W684" s="5" t="inlineStr">
        <is>
          <t>N</t>
        </is>
      </c>
      <c r="X684" s="5" t="n"/>
      <c r="Y684" s="5" t="n"/>
      <c r="Z684" s="5" t="n"/>
      <c r="AA684" s="10">
        <f>IFERROR(IF(INDEX('Test catalog'!$O$2:$O$200,MATCH($AB684,'Test catalog'!$A$2:$A$200,0))="","",INDEX('Test catalog'!$O$2:$O$200,MATCH($AB684,'Test catalog'!$A$2:$A$200,0))),"")</f>
        <v/>
      </c>
      <c r="AB684" s="10" t="inlineStr">
        <is>
          <t>TITR</t>
        </is>
      </c>
      <c r="AC684" s="10" t="inlineStr">
        <is>
          <t>Crospovidone · Assay &lt;461&gt;</t>
        </is>
      </c>
      <c r="AD684" s="10" t="n"/>
      <c r="AE684" s="10" t="n"/>
    </row>
    <row r="685">
      <c r="A685" s="10" t="inlineStr">
        <is>
          <t>Crospovidone</t>
        </is>
      </c>
      <c r="B685" s="10" t="inlineStr">
        <is>
          <t>RM</t>
        </is>
      </c>
      <c r="C685" s="10" t="inlineStr">
        <is>
          <t>Disintegrant</t>
        </is>
      </c>
      <c r="D685" s="10" t="inlineStr">
        <is>
          <t>Residue on Ignition</t>
        </is>
      </c>
      <c r="E685" s="10">
        <f>IF(A685="","",A685&amp;"|"&amp;D685)</f>
        <v/>
      </c>
      <c r="F685" s="5" t="inlineStr">
        <is>
          <t>Y</t>
        </is>
      </c>
      <c r="G685" s="5" t="inlineStr">
        <is>
          <t>Other / bench</t>
        </is>
      </c>
      <c r="H685" s="5" t="inlineStr">
        <is>
          <t>Low</t>
        </is>
      </c>
      <c r="I685" s="5" t="n">
        <v>1</v>
      </c>
      <c r="J685" s="5" t="n"/>
      <c r="K685" s="10">
        <f>IFERROR(IF(INDEX('Test catalog'!$F$2:$F$200,MATCH($AB685,'Test catalog'!$A$2:$A$200,0))="","",INDEX('Test catalog'!$F$2:$F$200,MATCH($AB685,'Test catalog'!$A$2:$A$200,0))),"")</f>
        <v/>
      </c>
      <c r="L685" s="10">
        <f>IFERROR(IF(INDEX('Test catalog'!$G$2:$G$200,MATCH($AB685,'Test catalog'!$A$2:$A$200,0))="","",INDEX('Test catalog'!$G$2:$G$200,MATCH($AB685,'Test catalog'!$A$2:$A$200,0))),"")</f>
        <v/>
      </c>
      <c r="M685" s="10">
        <f>IFERROR(IF(INDEX('Test catalog'!$H$2:$H$200,MATCH($AB685,'Test catalog'!$A$2:$A$200,0))="","",INDEX('Test catalog'!$H$2:$H$200,MATCH($AB685,'Test catalog'!$A$2:$A$200,0))),"")</f>
        <v/>
      </c>
      <c r="N685" s="10">
        <f>IFERROR(IF(INDEX('Test catalog'!$I$2:$I$200,MATCH($AB685,'Test catalog'!$A$2:$A$200,0))="","",INDEX('Test catalog'!$I$2:$I$200,MATCH($AB685,'Test catalog'!$A$2:$A$200,0))),"")</f>
        <v/>
      </c>
      <c r="O685" s="10">
        <f>IFERROR(IF(INDEX('Test catalog'!$J$2:$J$200,MATCH($AB685,'Test catalog'!$A$2:$A$200,0))="","",INDEX('Test catalog'!$J$2:$J$200,MATCH($AB685,'Test catalog'!$A$2:$A$200,0))),"")</f>
        <v/>
      </c>
      <c r="P685" s="14">
        <f>IF(N685="","",IF(OR(M685="",O685=""),N685,(M685+4*N685+O685)/6))</f>
        <v/>
      </c>
      <c r="Q685" s="10">
        <f>IFERROR(IF(INDEX('Test catalog'!$K$2:$K$200,MATCH($AB685,'Test catalog'!$A$2:$A$200,0))="","",INDEX('Test catalog'!$K$2:$K$200,MATCH($AB685,'Test catalog'!$A$2:$A$200,0))),"")</f>
        <v/>
      </c>
      <c r="R685" s="5" t="n"/>
      <c r="S685" s="10">
        <f>IFERROR(IF(INDEX('Test catalog'!$L$2:$L$200,MATCH($AB685,'Test catalog'!$A$2:$A$200,0))="","",INDEX('Test catalog'!$L$2:$L$200,MATCH($AB685,'Test catalog'!$A$2:$A$200,0))),"")</f>
        <v/>
      </c>
      <c r="T685" s="10">
        <f>IFERROR(IF(INDEX('Test catalog'!$M$2:$M$200,MATCH($AB685,'Test catalog'!$A$2:$A$200,0))="","",INDEX('Test catalog'!$M$2:$M$200,MATCH($AB685,'Test catalog'!$A$2:$A$200,0))),"")</f>
        <v/>
      </c>
      <c r="U685" s="10">
        <f>IFERROR(IF(INDEX('Test catalog'!$N$2:$N$200,MATCH($AB685,'Test catalog'!$A$2:$A$200,0))="","",INDEX('Test catalog'!$N$2:$N$200,MATCH($AB685,'Test catalog'!$A$2:$A$200,0))),"")</f>
        <v/>
      </c>
      <c r="V685" s="15" t="n"/>
      <c r="W685" s="5" t="inlineStr">
        <is>
          <t>N</t>
        </is>
      </c>
      <c r="X685" s="5" t="n"/>
      <c r="Y685" s="5" t="n"/>
      <c r="Z685" s="5" t="n"/>
      <c r="AA685" s="10">
        <f>IFERROR(IF(INDEX('Test catalog'!$O$2:$O$200,MATCH($AB685,'Test catalog'!$A$2:$A$200,0))="","",INDEX('Test catalog'!$O$2:$O$200,MATCH($AB685,'Test catalog'!$A$2:$A$200,0))),"")</f>
        <v/>
      </c>
      <c r="AB685" s="10" t="inlineStr">
        <is>
          <t>ROI</t>
        </is>
      </c>
      <c r="AC685" s="10" t="inlineStr">
        <is>
          <t>Crospovidone · Impurities &lt;281&gt;</t>
        </is>
      </c>
      <c r="AD685" s="10" t="n"/>
      <c r="AE685" s="10" t="n"/>
    </row>
    <row r="686">
      <c r="A686" s="10" t="inlineStr">
        <is>
          <t>Crospovidone</t>
        </is>
      </c>
      <c r="B686" s="10" t="inlineStr">
        <is>
          <t>RM</t>
        </is>
      </c>
      <c r="C686" s="10" t="inlineStr">
        <is>
          <t>Disintegrant</t>
        </is>
      </c>
      <c r="D686" s="10" t="inlineStr">
        <is>
          <t>Peroxides (HPLC)</t>
        </is>
      </c>
      <c r="E686" s="10">
        <f>IF(A686="","",A686&amp;"|"&amp;D686)</f>
        <v/>
      </c>
      <c r="F686" s="5" t="inlineStr">
        <is>
          <t>Y</t>
        </is>
      </c>
      <c r="G686" s="5" t="inlineStr">
        <is>
          <t>HPLC</t>
        </is>
      </c>
      <c r="H686" s="5" t="inlineStr">
        <is>
          <t>Medium</t>
        </is>
      </c>
      <c r="I686" s="5" t="n">
        <v>1</v>
      </c>
      <c r="J686" s="5" t="n"/>
      <c r="K686" s="5" t="n"/>
      <c r="L686" s="5" t="n"/>
      <c r="M686" s="5" t="n"/>
      <c r="N686" s="5" t="n"/>
      <c r="O686" s="5" t="n"/>
      <c r="P686" s="14">
        <f>IF(N686="","",IF(OR(M686="",O686=""),N686,(M686+4*N686+O686)/6))</f>
        <v/>
      </c>
      <c r="Q686" s="5" t="n"/>
      <c r="R686" s="5" t="n"/>
      <c r="S686" s="5" t="n"/>
      <c r="T686" s="5" t="n"/>
      <c r="U686" s="5" t="n"/>
      <c r="V686" s="15" t="n"/>
      <c r="W686" s="5" t="inlineStr">
        <is>
          <t>N</t>
        </is>
      </c>
      <c r="X686" s="5" t="n"/>
      <c r="Y686" s="5" t="n"/>
      <c r="Z686" s="5" t="n"/>
      <c r="AA686" s="5" t="n"/>
      <c r="AB686" s="10" t="n"/>
      <c r="AC686" s="10" t="inlineStr">
        <is>
          <t>Crospovidone · Impurities</t>
        </is>
      </c>
      <c r="AD686" s="10" t="n"/>
      <c r="AE686" s="10" t="n"/>
    </row>
    <row r="687">
      <c r="A687" s="10" t="inlineStr">
        <is>
          <t>Crospovidone</t>
        </is>
      </c>
      <c r="B687" s="10" t="inlineStr">
        <is>
          <t>RM</t>
        </is>
      </c>
      <c r="C687" s="10" t="inlineStr">
        <is>
          <t>Disintegrant</t>
        </is>
      </c>
      <c r="D687" s="10" t="inlineStr">
        <is>
          <t>Vinylpyrrolidinone (HPLC)</t>
        </is>
      </c>
      <c r="E687" s="10">
        <f>IF(A687="","",A687&amp;"|"&amp;D687)</f>
        <v/>
      </c>
      <c r="F687" s="5" t="inlineStr">
        <is>
          <t>Y</t>
        </is>
      </c>
      <c r="G687" s="5" t="inlineStr">
        <is>
          <t>HPLC</t>
        </is>
      </c>
      <c r="H687" s="5" t="inlineStr">
        <is>
          <t>Medium</t>
        </is>
      </c>
      <c r="I687" s="5" t="n">
        <v>1</v>
      </c>
      <c r="J687" s="5" t="n"/>
      <c r="K687" s="5" t="n"/>
      <c r="L687" s="5" t="n"/>
      <c r="M687" s="5" t="n"/>
      <c r="N687" s="5" t="n"/>
      <c r="O687" s="5" t="n"/>
      <c r="P687" s="14">
        <f>IF(N687="","",IF(OR(M687="",O687=""),N687,(M687+4*N687+O687)/6))</f>
        <v/>
      </c>
      <c r="Q687" s="5" t="n"/>
      <c r="R687" s="5" t="n"/>
      <c r="S687" s="5" t="n"/>
      <c r="T687" s="5" t="n"/>
      <c r="U687" s="5" t="n"/>
      <c r="V687" s="15" t="n"/>
      <c r="W687" s="5" t="inlineStr">
        <is>
          <t>N</t>
        </is>
      </c>
      <c r="X687" s="5" t="n"/>
      <c r="Y687" s="5" t="n"/>
      <c r="Z687" s="5" t="n"/>
      <c r="AA687" s="5" t="n"/>
      <c r="AB687" s="10" t="n"/>
      <c r="AC687" s="10" t="inlineStr">
        <is>
          <t>Crospovidone · Impurities</t>
        </is>
      </c>
      <c r="AD687" s="10" t="n"/>
      <c r="AE687" s="10" t="n"/>
    </row>
    <row r="688">
      <c r="A688" s="10" t="inlineStr">
        <is>
          <t>Crospovidone</t>
        </is>
      </c>
      <c r="B688" s="10" t="inlineStr">
        <is>
          <t>RM</t>
        </is>
      </c>
      <c r="C688" s="10" t="inlineStr">
        <is>
          <t>Disintegrant</t>
        </is>
      </c>
      <c r="D688" s="10" t="inlineStr">
        <is>
          <t>Loss on Drying</t>
        </is>
      </c>
      <c r="E688" s="10">
        <f>IF(A688="","",A688&amp;"|"&amp;D688)</f>
        <v/>
      </c>
      <c r="F688" s="5" t="inlineStr">
        <is>
          <t>Y</t>
        </is>
      </c>
      <c r="G688" s="5" t="inlineStr">
        <is>
          <t>Other / bench</t>
        </is>
      </c>
      <c r="H688" s="5" t="inlineStr">
        <is>
          <t>Low</t>
        </is>
      </c>
      <c r="I688" s="5" t="n">
        <v>1</v>
      </c>
      <c r="J688" s="5" t="n"/>
      <c r="K688" s="10">
        <f>IFERROR(IF(INDEX('Test catalog'!$F$2:$F$200,MATCH($AB688,'Test catalog'!$A$2:$A$200,0))="","",INDEX('Test catalog'!$F$2:$F$200,MATCH($AB688,'Test catalog'!$A$2:$A$200,0))),"")</f>
        <v/>
      </c>
      <c r="L688" s="10">
        <f>IFERROR(IF(INDEX('Test catalog'!$G$2:$G$200,MATCH($AB688,'Test catalog'!$A$2:$A$200,0))="","",INDEX('Test catalog'!$G$2:$G$200,MATCH($AB688,'Test catalog'!$A$2:$A$200,0))),"")</f>
        <v/>
      </c>
      <c r="M688" s="10">
        <f>IFERROR(IF(INDEX('Test catalog'!$H$2:$H$200,MATCH($AB688,'Test catalog'!$A$2:$A$200,0))="","",INDEX('Test catalog'!$H$2:$H$200,MATCH($AB688,'Test catalog'!$A$2:$A$200,0))),"")</f>
        <v/>
      </c>
      <c r="N688" s="10">
        <f>IFERROR(IF(INDEX('Test catalog'!$I$2:$I$200,MATCH($AB688,'Test catalog'!$A$2:$A$200,0))="","",INDEX('Test catalog'!$I$2:$I$200,MATCH($AB688,'Test catalog'!$A$2:$A$200,0))),"")</f>
        <v/>
      </c>
      <c r="O688" s="10">
        <f>IFERROR(IF(INDEX('Test catalog'!$J$2:$J$200,MATCH($AB688,'Test catalog'!$A$2:$A$200,0))="","",INDEX('Test catalog'!$J$2:$J$200,MATCH($AB688,'Test catalog'!$A$2:$A$200,0))),"")</f>
        <v/>
      </c>
      <c r="P688" s="14">
        <f>IF(N688="","",IF(OR(M688="",O688=""),N688,(M688+4*N688+O688)/6))</f>
        <v/>
      </c>
      <c r="Q688" s="10">
        <f>IFERROR(IF(INDEX('Test catalog'!$K$2:$K$200,MATCH($AB688,'Test catalog'!$A$2:$A$200,0))="","",INDEX('Test catalog'!$K$2:$K$200,MATCH($AB688,'Test catalog'!$A$2:$A$200,0))),"")</f>
        <v/>
      </c>
      <c r="R688" s="5" t="n"/>
      <c r="S688" s="10">
        <f>IFERROR(IF(INDEX('Test catalog'!$L$2:$L$200,MATCH($AB688,'Test catalog'!$A$2:$A$200,0))="","",INDEX('Test catalog'!$L$2:$L$200,MATCH($AB688,'Test catalog'!$A$2:$A$200,0))),"")</f>
        <v/>
      </c>
      <c r="T688" s="10">
        <f>IFERROR(IF(INDEX('Test catalog'!$M$2:$M$200,MATCH($AB688,'Test catalog'!$A$2:$A$200,0))="","",INDEX('Test catalog'!$M$2:$M$200,MATCH($AB688,'Test catalog'!$A$2:$A$200,0))),"")</f>
        <v/>
      </c>
      <c r="U688" s="10">
        <f>IFERROR(IF(INDEX('Test catalog'!$N$2:$N$200,MATCH($AB688,'Test catalog'!$A$2:$A$200,0))="","",INDEX('Test catalog'!$N$2:$N$200,MATCH($AB688,'Test catalog'!$A$2:$A$200,0))),"")</f>
        <v/>
      </c>
      <c r="V688" s="15" t="n"/>
      <c r="W688" s="5" t="inlineStr">
        <is>
          <t>N</t>
        </is>
      </c>
      <c r="X688" s="5" t="n"/>
      <c r="Y688" s="5" t="n"/>
      <c r="Z688" s="5" t="n"/>
      <c r="AA688" s="10">
        <f>IFERROR(IF(INDEX('Test catalog'!$O$2:$O$200,MATCH($AB688,'Test catalog'!$A$2:$A$200,0))="","",INDEX('Test catalog'!$O$2:$O$200,MATCH($AB688,'Test catalog'!$A$2:$A$200,0))),"")</f>
        <v/>
      </c>
      <c r="AB688" s="10" t="inlineStr">
        <is>
          <t>LOD</t>
        </is>
      </c>
      <c r="AC688" s="10" t="inlineStr">
        <is>
          <t>Crospovidone · Specific Tests &lt;731&gt;</t>
        </is>
      </c>
      <c r="AD688" s="10" t="n"/>
      <c r="AE688" s="10" t="n"/>
    </row>
    <row r="689">
      <c r="A689" s="10" t="inlineStr">
        <is>
          <t>Crospovidone</t>
        </is>
      </c>
      <c r="B689" s="10" t="inlineStr">
        <is>
          <t>RM</t>
        </is>
      </c>
      <c r="C689" s="10" t="inlineStr">
        <is>
          <t>Disintegrant</t>
        </is>
      </c>
      <c r="D689" s="10" t="inlineStr">
        <is>
          <t>Water-Soluble Substances</t>
        </is>
      </c>
      <c r="E689" s="10">
        <f>IF(A689="","",A689&amp;"|"&amp;D689)</f>
        <v/>
      </c>
      <c r="F689" s="5" t="inlineStr">
        <is>
          <t>Y</t>
        </is>
      </c>
      <c r="G689" s="5" t="inlineStr">
        <is>
          <t>Other / bench</t>
        </is>
      </c>
      <c r="H689" s="5" t="inlineStr">
        <is>
          <t>Low</t>
        </is>
      </c>
      <c r="I689" s="5" t="n">
        <v>1</v>
      </c>
      <c r="J689" s="5" t="n"/>
      <c r="K689" s="10">
        <f>IFERROR(IF(INDEX('Test catalog'!$F$2:$F$200,MATCH($AB689,'Test catalog'!$A$2:$A$200,0))="","",INDEX('Test catalog'!$F$2:$F$200,MATCH($AB689,'Test catalog'!$A$2:$A$200,0))),"")</f>
        <v/>
      </c>
      <c r="L689" s="10">
        <f>IFERROR(IF(INDEX('Test catalog'!$G$2:$G$200,MATCH($AB689,'Test catalog'!$A$2:$A$200,0))="","",INDEX('Test catalog'!$G$2:$G$200,MATCH($AB689,'Test catalog'!$A$2:$A$200,0))),"")</f>
        <v/>
      </c>
      <c r="M689" s="10">
        <f>IFERROR(IF(INDEX('Test catalog'!$H$2:$H$200,MATCH($AB689,'Test catalog'!$A$2:$A$200,0))="","",INDEX('Test catalog'!$H$2:$H$200,MATCH($AB689,'Test catalog'!$A$2:$A$200,0))),"")</f>
        <v/>
      </c>
      <c r="N689" s="10">
        <f>IFERROR(IF(INDEX('Test catalog'!$I$2:$I$200,MATCH($AB689,'Test catalog'!$A$2:$A$200,0))="","",INDEX('Test catalog'!$I$2:$I$200,MATCH($AB689,'Test catalog'!$A$2:$A$200,0))),"")</f>
        <v/>
      </c>
      <c r="O689" s="10">
        <f>IFERROR(IF(INDEX('Test catalog'!$J$2:$J$200,MATCH($AB689,'Test catalog'!$A$2:$A$200,0))="","",INDEX('Test catalog'!$J$2:$J$200,MATCH($AB689,'Test catalog'!$A$2:$A$200,0))),"")</f>
        <v/>
      </c>
      <c r="P689" s="14">
        <f>IF(N689="","",IF(OR(M689="",O689=""),N689,(M689+4*N689+O689)/6))</f>
        <v/>
      </c>
      <c r="Q689" s="10">
        <f>IFERROR(IF(INDEX('Test catalog'!$K$2:$K$200,MATCH($AB689,'Test catalog'!$A$2:$A$200,0))="","",INDEX('Test catalog'!$K$2:$K$200,MATCH($AB689,'Test catalog'!$A$2:$A$200,0))),"")</f>
        <v/>
      </c>
      <c r="R689" s="5" t="n"/>
      <c r="S689" s="10">
        <f>IFERROR(IF(INDEX('Test catalog'!$L$2:$L$200,MATCH($AB689,'Test catalog'!$A$2:$A$200,0))="","",INDEX('Test catalog'!$L$2:$L$200,MATCH($AB689,'Test catalog'!$A$2:$A$200,0))),"")</f>
        <v/>
      </c>
      <c r="T689" s="10">
        <f>IFERROR(IF(INDEX('Test catalog'!$M$2:$M$200,MATCH($AB689,'Test catalog'!$A$2:$A$200,0))="","",INDEX('Test catalog'!$M$2:$M$200,MATCH($AB689,'Test catalog'!$A$2:$A$200,0))),"")</f>
        <v/>
      </c>
      <c r="U689" s="10">
        <f>IFERROR(IF(INDEX('Test catalog'!$N$2:$N$200,MATCH($AB689,'Test catalog'!$A$2:$A$200,0))="","",INDEX('Test catalog'!$N$2:$N$200,MATCH($AB689,'Test catalog'!$A$2:$A$200,0))),"")</f>
        <v/>
      </c>
      <c r="V689" s="15" t="n"/>
      <c r="W689" s="5" t="inlineStr">
        <is>
          <t>N</t>
        </is>
      </c>
      <c r="X689" s="5" t="n"/>
      <c r="Y689" s="5" t="n"/>
      <c r="Z689" s="5" t="n"/>
      <c r="AA689" s="10">
        <f>IFERROR(IF(INDEX('Test catalog'!$O$2:$O$200,MATCH($AB689,'Test catalog'!$A$2:$A$200,0))="","",INDEX('Test catalog'!$O$2:$O$200,MATCH($AB689,'Test catalog'!$A$2:$A$200,0))),"")</f>
        <v/>
      </c>
      <c r="AB689" s="10" t="inlineStr">
        <is>
          <t>GRAV</t>
        </is>
      </c>
      <c r="AC689" s="10" t="inlineStr">
        <is>
          <t>Crospovidone · Specific Tests</t>
        </is>
      </c>
      <c r="AD689" s="10" t="n"/>
      <c r="AE689" s="10" t="n"/>
    </row>
    <row r="690">
      <c r="A690" s="10" t="inlineStr">
        <is>
          <t>Sodium Starch Glycolate</t>
        </is>
      </c>
      <c r="B690" s="10" t="inlineStr">
        <is>
          <t>RM</t>
        </is>
      </c>
      <c r="C690" s="10" t="inlineStr">
        <is>
          <t>Disintegrant</t>
        </is>
      </c>
      <c r="D690" s="10" t="inlineStr">
        <is>
          <t>Appearance / description and solubility</t>
        </is>
      </c>
      <c r="E690" s="10">
        <f>IF(A690="","",A690&amp;"|"&amp;D690)</f>
        <v/>
      </c>
      <c r="F690" s="5" t="inlineStr">
        <is>
          <t>Y</t>
        </is>
      </c>
      <c r="G690" s="5" t="inlineStr">
        <is>
          <t>Other / bench</t>
        </is>
      </c>
      <c r="H690" s="5" t="inlineStr">
        <is>
          <t>Low</t>
        </is>
      </c>
      <c r="I690" s="5" t="n">
        <v>1</v>
      </c>
      <c r="J690" s="5" t="n"/>
      <c r="K690" s="10">
        <f>IFERROR(IF(INDEX('Test catalog'!$F$2:$F$200,MATCH($AB690,'Test catalog'!$A$2:$A$200,0))="","",INDEX('Test catalog'!$F$2:$F$200,MATCH($AB690,'Test catalog'!$A$2:$A$200,0))),"")</f>
        <v/>
      </c>
      <c r="L690" s="10">
        <f>IFERROR(IF(INDEX('Test catalog'!$G$2:$G$200,MATCH($AB690,'Test catalog'!$A$2:$A$200,0))="","",INDEX('Test catalog'!$G$2:$G$200,MATCH($AB690,'Test catalog'!$A$2:$A$200,0))),"")</f>
        <v/>
      </c>
      <c r="M690" s="10">
        <f>IFERROR(IF(INDEX('Test catalog'!$H$2:$H$200,MATCH($AB690,'Test catalog'!$A$2:$A$200,0))="","",INDEX('Test catalog'!$H$2:$H$200,MATCH($AB690,'Test catalog'!$A$2:$A$200,0))),"")</f>
        <v/>
      </c>
      <c r="N690" s="10">
        <f>IFERROR(IF(INDEX('Test catalog'!$I$2:$I$200,MATCH($AB690,'Test catalog'!$A$2:$A$200,0))="","",INDEX('Test catalog'!$I$2:$I$200,MATCH($AB690,'Test catalog'!$A$2:$A$200,0))),"")</f>
        <v/>
      </c>
      <c r="O690" s="10">
        <f>IFERROR(IF(INDEX('Test catalog'!$J$2:$J$200,MATCH($AB690,'Test catalog'!$A$2:$A$200,0))="","",INDEX('Test catalog'!$J$2:$J$200,MATCH($AB690,'Test catalog'!$A$2:$A$200,0))),"")</f>
        <v/>
      </c>
      <c r="P690" s="14">
        <f>IF(N690="","",IF(OR(M690="",O690=""),N690,(M690+4*N690+O690)/6))</f>
        <v/>
      </c>
      <c r="Q690" s="10">
        <f>IFERROR(IF(INDEX('Test catalog'!$K$2:$K$200,MATCH($AB690,'Test catalog'!$A$2:$A$200,0))="","",INDEX('Test catalog'!$K$2:$K$200,MATCH($AB690,'Test catalog'!$A$2:$A$200,0))),"")</f>
        <v/>
      </c>
      <c r="R690" s="5" t="n"/>
      <c r="S690" s="10">
        <f>IFERROR(IF(INDEX('Test catalog'!$L$2:$L$200,MATCH($AB690,'Test catalog'!$A$2:$A$200,0))="","",INDEX('Test catalog'!$L$2:$L$200,MATCH($AB690,'Test catalog'!$A$2:$A$200,0))),"")</f>
        <v/>
      </c>
      <c r="T690" s="10">
        <f>IFERROR(IF(INDEX('Test catalog'!$M$2:$M$200,MATCH($AB690,'Test catalog'!$A$2:$A$200,0))="","",INDEX('Test catalog'!$M$2:$M$200,MATCH($AB690,'Test catalog'!$A$2:$A$200,0))),"")</f>
        <v/>
      </c>
      <c r="U690" s="10">
        <f>IFERROR(IF(INDEX('Test catalog'!$N$2:$N$200,MATCH($AB690,'Test catalog'!$A$2:$A$200,0))="","",INDEX('Test catalog'!$N$2:$N$200,MATCH($AB690,'Test catalog'!$A$2:$A$200,0))),"")</f>
        <v/>
      </c>
      <c r="V690" s="15" t="n"/>
      <c r="W690" s="5" t="inlineStr">
        <is>
          <t>N</t>
        </is>
      </c>
      <c r="X690" s="5" t="n"/>
      <c r="Y690" s="5" t="n"/>
      <c r="Z690" s="5" t="n"/>
      <c r="AA690" s="10">
        <f>IFERROR(IF(INDEX('Test catalog'!$O$2:$O$200,MATCH($AB690,'Test catalog'!$A$2:$A$200,0))="","",INDEX('Test catalog'!$O$2:$O$200,MATCH($AB690,'Test catalog'!$A$2:$A$200,0))),"")</f>
        <v/>
      </c>
      <c r="AB690" s="10" t="inlineStr">
        <is>
          <t>APPEAR</t>
        </is>
      </c>
      <c r="AC690" s="10" t="inlineStr">
        <is>
          <t>Lab practice (not a USP test)</t>
        </is>
      </c>
      <c r="AD690" s="10" t="n"/>
      <c r="AE690" s="10" t="n"/>
    </row>
    <row r="691">
      <c r="A691" s="10" t="inlineStr">
        <is>
          <t>Sodium Starch Glycolate</t>
        </is>
      </c>
      <c r="B691" s="10" t="inlineStr">
        <is>
          <t>RM</t>
        </is>
      </c>
      <c r="C691" s="10" t="inlineStr">
        <is>
          <t>Disintegrant</t>
        </is>
      </c>
      <c r="D691" s="10" t="inlineStr">
        <is>
          <t>ID A - IR spectrum</t>
        </is>
      </c>
      <c r="E691" s="10">
        <f>IF(A691="","",A691&amp;"|"&amp;D691)</f>
        <v/>
      </c>
      <c r="F691" s="5" t="inlineStr">
        <is>
          <t>Y</t>
        </is>
      </c>
      <c r="G691" s="5" t="inlineStr">
        <is>
          <t>Other / bench</t>
        </is>
      </c>
      <c r="H691" s="5" t="inlineStr">
        <is>
          <t>Low</t>
        </is>
      </c>
      <c r="I691" s="5" t="n">
        <v>1</v>
      </c>
      <c r="J691" s="5" t="n"/>
      <c r="K691" s="10">
        <f>IFERROR(IF(INDEX('Test catalog'!$F$2:$F$200,MATCH($AB691,'Test catalog'!$A$2:$A$200,0))="","",INDEX('Test catalog'!$F$2:$F$200,MATCH($AB691,'Test catalog'!$A$2:$A$200,0))),"")</f>
        <v/>
      </c>
      <c r="L691" s="10">
        <f>IFERROR(IF(INDEX('Test catalog'!$G$2:$G$200,MATCH($AB691,'Test catalog'!$A$2:$A$200,0))="","",INDEX('Test catalog'!$G$2:$G$200,MATCH($AB691,'Test catalog'!$A$2:$A$200,0))),"")</f>
        <v/>
      </c>
      <c r="M691" s="10">
        <f>IFERROR(IF(INDEX('Test catalog'!$H$2:$H$200,MATCH($AB691,'Test catalog'!$A$2:$A$200,0))="","",INDEX('Test catalog'!$H$2:$H$200,MATCH($AB691,'Test catalog'!$A$2:$A$200,0))),"")</f>
        <v/>
      </c>
      <c r="N691" s="10">
        <f>IFERROR(IF(INDEX('Test catalog'!$I$2:$I$200,MATCH($AB691,'Test catalog'!$A$2:$A$200,0))="","",INDEX('Test catalog'!$I$2:$I$200,MATCH($AB691,'Test catalog'!$A$2:$A$200,0))),"")</f>
        <v/>
      </c>
      <c r="O691" s="10">
        <f>IFERROR(IF(INDEX('Test catalog'!$J$2:$J$200,MATCH($AB691,'Test catalog'!$A$2:$A$200,0))="","",INDEX('Test catalog'!$J$2:$J$200,MATCH($AB691,'Test catalog'!$A$2:$A$200,0))),"")</f>
        <v/>
      </c>
      <c r="P691" s="14">
        <f>IF(N691="","",IF(OR(M691="",O691=""),N691,(M691+4*N691+O691)/6))</f>
        <v/>
      </c>
      <c r="Q691" s="10">
        <f>IFERROR(IF(INDEX('Test catalog'!$K$2:$K$200,MATCH($AB691,'Test catalog'!$A$2:$A$200,0))="","",INDEX('Test catalog'!$K$2:$K$200,MATCH($AB691,'Test catalog'!$A$2:$A$200,0))),"")</f>
        <v/>
      </c>
      <c r="R691" s="5" t="n"/>
      <c r="S691" s="10">
        <f>IFERROR(IF(INDEX('Test catalog'!$L$2:$L$200,MATCH($AB691,'Test catalog'!$A$2:$A$200,0))="","",INDEX('Test catalog'!$L$2:$L$200,MATCH($AB691,'Test catalog'!$A$2:$A$200,0))),"")</f>
        <v/>
      </c>
      <c r="T691" s="10">
        <f>IFERROR(IF(INDEX('Test catalog'!$M$2:$M$200,MATCH($AB691,'Test catalog'!$A$2:$A$200,0))="","",INDEX('Test catalog'!$M$2:$M$200,MATCH($AB691,'Test catalog'!$A$2:$A$200,0))),"")</f>
        <v/>
      </c>
      <c r="U691" s="10">
        <f>IFERROR(IF(INDEX('Test catalog'!$N$2:$N$200,MATCH($AB691,'Test catalog'!$A$2:$A$200,0))="","",INDEX('Test catalog'!$N$2:$N$200,MATCH($AB691,'Test catalog'!$A$2:$A$200,0))),"")</f>
        <v/>
      </c>
      <c r="V691" s="15" t="n"/>
      <c r="W691" s="5" t="inlineStr">
        <is>
          <t>N</t>
        </is>
      </c>
      <c r="X691" s="5" t="n"/>
      <c r="Y691" s="5" t="n"/>
      <c r="Z691" s="5" t="n"/>
      <c r="AA691" s="10">
        <f>IFERROR(IF(INDEX('Test catalog'!$O$2:$O$200,MATCH($AB691,'Test catalog'!$A$2:$A$200,0))="","",INDEX('Test catalog'!$O$2:$O$200,MATCH($AB691,'Test catalog'!$A$2:$A$200,0))),"")</f>
        <v/>
      </c>
      <c r="AB691" s="10" t="inlineStr">
        <is>
          <t>ID_IR</t>
        </is>
      </c>
      <c r="AC691" s="10" t="inlineStr">
        <is>
          <t>Sodium Starch Glycolate · Identification &lt;197&gt;</t>
        </is>
      </c>
      <c r="AD691" s="10" t="n"/>
      <c r="AE691" s="10" t="n"/>
    </row>
    <row r="692">
      <c r="A692" s="10" t="inlineStr">
        <is>
          <t>Sodium Starch Glycolate</t>
        </is>
      </c>
      <c r="B692" s="10" t="inlineStr">
        <is>
          <t>RM</t>
        </is>
      </c>
      <c r="C692" s="10" t="inlineStr">
        <is>
          <t>Disintegrant</t>
        </is>
      </c>
      <c r="D692" s="10" t="inlineStr">
        <is>
          <t>ID B - chemical reaction</t>
        </is>
      </c>
      <c r="E692" s="10">
        <f>IF(A692="","",A692&amp;"|"&amp;D692)</f>
        <v/>
      </c>
      <c r="F692" s="5" t="inlineStr">
        <is>
          <t>Y</t>
        </is>
      </c>
      <c r="G692" s="5" t="inlineStr">
        <is>
          <t>Other / bench</t>
        </is>
      </c>
      <c r="H692" s="5" t="inlineStr">
        <is>
          <t>Low</t>
        </is>
      </c>
      <c r="I692" s="5" t="n">
        <v>1</v>
      </c>
      <c r="J692" s="5" t="n"/>
      <c r="K692" s="10">
        <f>IFERROR(IF(INDEX('Test catalog'!$F$2:$F$200,MATCH($AB692,'Test catalog'!$A$2:$A$200,0))="","",INDEX('Test catalog'!$F$2:$F$200,MATCH($AB692,'Test catalog'!$A$2:$A$200,0))),"")</f>
        <v/>
      </c>
      <c r="L692" s="10">
        <f>IFERROR(IF(INDEX('Test catalog'!$G$2:$G$200,MATCH($AB692,'Test catalog'!$A$2:$A$200,0))="","",INDEX('Test catalog'!$G$2:$G$200,MATCH($AB692,'Test catalog'!$A$2:$A$200,0))),"")</f>
        <v/>
      </c>
      <c r="M692" s="10">
        <f>IFERROR(IF(INDEX('Test catalog'!$H$2:$H$200,MATCH($AB692,'Test catalog'!$A$2:$A$200,0))="","",INDEX('Test catalog'!$H$2:$H$200,MATCH($AB692,'Test catalog'!$A$2:$A$200,0))),"")</f>
        <v/>
      </c>
      <c r="N692" s="10">
        <f>IFERROR(IF(INDEX('Test catalog'!$I$2:$I$200,MATCH($AB692,'Test catalog'!$A$2:$A$200,0))="","",INDEX('Test catalog'!$I$2:$I$200,MATCH($AB692,'Test catalog'!$A$2:$A$200,0))),"")</f>
        <v/>
      </c>
      <c r="O692" s="10">
        <f>IFERROR(IF(INDEX('Test catalog'!$J$2:$J$200,MATCH($AB692,'Test catalog'!$A$2:$A$200,0))="","",INDEX('Test catalog'!$J$2:$J$200,MATCH($AB692,'Test catalog'!$A$2:$A$200,0))),"")</f>
        <v/>
      </c>
      <c r="P692" s="14">
        <f>IF(N692="","",IF(OR(M692="",O692=""),N692,(M692+4*N692+O692)/6))</f>
        <v/>
      </c>
      <c r="Q692" s="10">
        <f>IFERROR(IF(INDEX('Test catalog'!$K$2:$K$200,MATCH($AB692,'Test catalog'!$A$2:$A$200,0))="","",INDEX('Test catalog'!$K$2:$K$200,MATCH($AB692,'Test catalog'!$A$2:$A$200,0))),"")</f>
        <v/>
      </c>
      <c r="R692" s="5" t="n"/>
      <c r="S692" s="10">
        <f>IFERROR(IF(INDEX('Test catalog'!$L$2:$L$200,MATCH($AB692,'Test catalog'!$A$2:$A$200,0))="","",INDEX('Test catalog'!$L$2:$L$200,MATCH($AB692,'Test catalog'!$A$2:$A$200,0))),"")</f>
        <v/>
      </c>
      <c r="T692" s="10">
        <f>IFERROR(IF(INDEX('Test catalog'!$M$2:$M$200,MATCH($AB692,'Test catalog'!$A$2:$A$200,0))="","",INDEX('Test catalog'!$M$2:$M$200,MATCH($AB692,'Test catalog'!$A$2:$A$200,0))),"")</f>
        <v/>
      </c>
      <c r="U692" s="10">
        <f>IFERROR(IF(INDEX('Test catalog'!$N$2:$N$200,MATCH($AB692,'Test catalog'!$A$2:$A$200,0))="","",INDEX('Test catalog'!$N$2:$N$200,MATCH($AB692,'Test catalog'!$A$2:$A$200,0))),"")</f>
        <v/>
      </c>
      <c r="V692" s="15" t="n"/>
      <c r="W692" s="5" t="inlineStr">
        <is>
          <t>N</t>
        </is>
      </c>
      <c r="X692" s="5" t="n"/>
      <c r="Y692" s="5" t="n"/>
      <c r="Z692" s="5" t="n"/>
      <c r="AA692" s="10">
        <f>IFERROR(IF(INDEX('Test catalog'!$O$2:$O$200,MATCH($AB692,'Test catalog'!$A$2:$A$200,0))="","",INDEX('Test catalog'!$O$2:$O$200,MATCH($AB692,'Test catalog'!$A$2:$A$200,0))),"")</f>
        <v/>
      </c>
      <c r="AB692" s="10" t="inlineStr">
        <is>
          <t>ID_CHEM</t>
        </is>
      </c>
      <c r="AC692" s="10" t="inlineStr">
        <is>
          <t>Sodium Starch Glycolate · Identification</t>
        </is>
      </c>
      <c r="AD692" s="10" t="n"/>
      <c r="AE692" s="10" t="n"/>
    </row>
    <row r="693">
      <c r="A693" s="10" t="inlineStr">
        <is>
          <t>Sodium Starch Glycolate</t>
        </is>
      </c>
      <c r="B693" s="10" t="inlineStr">
        <is>
          <t>RM</t>
        </is>
      </c>
      <c r="C693" s="10" t="inlineStr">
        <is>
          <t>Disintegrant</t>
        </is>
      </c>
      <c r="D693" s="10" t="inlineStr">
        <is>
          <t>ID C - chemical reaction</t>
        </is>
      </c>
      <c r="E693" s="10">
        <f>IF(A693="","",A693&amp;"|"&amp;D693)</f>
        <v/>
      </c>
      <c r="F693" s="5" t="inlineStr">
        <is>
          <t>Y</t>
        </is>
      </c>
      <c r="G693" s="5" t="inlineStr">
        <is>
          <t>Other / bench</t>
        </is>
      </c>
      <c r="H693" s="5" t="inlineStr">
        <is>
          <t>Low</t>
        </is>
      </c>
      <c r="I693" s="5" t="n">
        <v>1</v>
      </c>
      <c r="J693" s="5" t="n"/>
      <c r="K693" s="10">
        <f>IFERROR(IF(INDEX('Test catalog'!$F$2:$F$200,MATCH($AB693,'Test catalog'!$A$2:$A$200,0))="","",INDEX('Test catalog'!$F$2:$F$200,MATCH($AB693,'Test catalog'!$A$2:$A$200,0))),"")</f>
        <v/>
      </c>
      <c r="L693" s="10">
        <f>IFERROR(IF(INDEX('Test catalog'!$G$2:$G$200,MATCH($AB693,'Test catalog'!$A$2:$A$200,0))="","",INDEX('Test catalog'!$G$2:$G$200,MATCH($AB693,'Test catalog'!$A$2:$A$200,0))),"")</f>
        <v/>
      </c>
      <c r="M693" s="10">
        <f>IFERROR(IF(INDEX('Test catalog'!$H$2:$H$200,MATCH($AB693,'Test catalog'!$A$2:$A$200,0))="","",INDEX('Test catalog'!$H$2:$H$200,MATCH($AB693,'Test catalog'!$A$2:$A$200,0))),"")</f>
        <v/>
      </c>
      <c r="N693" s="10">
        <f>IFERROR(IF(INDEX('Test catalog'!$I$2:$I$200,MATCH($AB693,'Test catalog'!$A$2:$A$200,0))="","",INDEX('Test catalog'!$I$2:$I$200,MATCH($AB693,'Test catalog'!$A$2:$A$200,0))),"")</f>
        <v/>
      </c>
      <c r="O693" s="10">
        <f>IFERROR(IF(INDEX('Test catalog'!$J$2:$J$200,MATCH($AB693,'Test catalog'!$A$2:$A$200,0))="","",INDEX('Test catalog'!$J$2:$J$200,MATCH($AB693,'Test catalog'!$A$2:$A$200,0))),"")</f>
        <v/>
      </c>
      <c r="P693" s="14">
        <f>IF(N693="","",IF(OR(M693="",O693=""),N693,(M693+4*N693+O693)/6))</f>
        <v/>
      </c>
      <c r="Q693" s="10">
        <f>IFERROR(IF(INDEX('Test catalog'!$K$2:$K$200,MATCH($AB693,'Test catalog'!$A$2:$A$200,0))="","",INDEX('Test catalog'!$K$2:$K$200,MATCH($AB693,'Test catalog'!$A$2:$A$200,0))),"")</f>
        <v/>
      </c>
      <c r="R693" s="5" t="n"/>
      <c r="S693" s="10">
        <f>IFERROR(IF(INDEX('Test catalog'!$L$2:$L$200,MATCH($AB693,'Test catalog'!$A$2:$A$200,0))="","",INDEX('Test catalog'!$L$2:$L$200,MATCH($AB693,'Test catalog'!$A$2:$A$200,0))),"")</f>
        <v/>
      </c>
      <c r="T693" s="10">
        <f>IFERROR(IF(INDEX('Test catalog'!$M$2:$M$200,MATCH($AB693,'Test catalog'!$A$2:$A$200,0))="","",INDEX('Test catalog'!$M$2:$M$200,MATCH($AB693,'Test catalog'!$A$2:$A$200,0))),"")</f>
        <v/>
      </c>
      <c r="U693" s="10">
        <f>IFERROR(IF(INDEX('Test catalog'!$N$2:$N$200,MATCH($AB693,'Test catalog'!$A$2:$A$200,0))="","",INDEX('Test catalog'!$N$2:$N$200,MATCH($AB693,'Test catalog'!$A$2:$A$200,0))),"")</f>
        <v/>
      </c>
      <c r="V693" s="15" t="n"/>
      <c r="W693" s="5" t="inlineStr">
        <is>
          <t>N</t>
        </is>
      </c>
      <c r="X693" s="5" t="n"/>
      <c r="Y693" s="5" t="n"/>
      <c r="Z693" s="5" t="n"/>
      <c r="AA693" s="10">
        <f>IFERROR(IF(INDEX('Test catalog'!$O$2:$O$200,MATCH($AB693,'Test catalog'!$A$2:$A$200,0))="","",INDEX('Test catalog'!$O$2:$O$200,MATCH($AB693,'Test catalog'!$A$2:$A$200,0))),"")</f>
        <v/>
      </c>
      <c r="AB693" s="10" t="inlineStr">
        <is>
          <t>ID_CHEM</t>
        </is>
      </c>
      <c r="AC693" s="10" t="inlineStr">
        <is>
          <t>Sodium Starch Glycolate · Identification</t>
        </is>
      </c>
      <c r="AD693" s="10" t="n"/>
      <c r="AE693" s="10" t="n"/>
    </row>
    <row r="694">
      <c r="A694" s="10" t="inlineStr">
        <is>
          <t>Sodium Starch Glycolate</t>
        </is>
      </c>
      <c r="B694" s="10" t="inlineStr">
        <is>
          <t>RM</t>
        </is>
      </c>
      <c r="C694" s="10" t="inlineStr">
        <is>
          <t>Disintegrant</t>
        </is>
      </c>
      <c r="D694" s="10" t="inlineStr">
        <is>
          <t>ID D - chemical reaction</t>
        </is>
      </c>
      <c r="E694" s="10">
        <f>IF(A694="","",A694&amp;"|"&amp;D694)</f>
        <v/>
      </c>
      <c r="F694" s="5" t="inlineStr">
        <is>
          <t>Y</t>
        </is>
      </c>
      <c r="G694" s="5" t="inlineStr">
        <is>
          <t>Other / bench</t>
        </is>
      </c>
      <c r="H694" s="5" t="inlineStr">
        <is>
          <t>Low</t>
        </is>
      </c>
      <c r="I694" s="5" t="n">
        <v>1</v>
      </c>
      <c r="J694" s="5" t="n"/>
      <c r="K694" s="10">
        <f>IFERROR(IF(INDEX('Test catalog'!$F$2:$F$200,MATCH($AB694,'Test catalog'!$A$2:$A$200,0))="","",INDEX('Test catalog'!$F$2:$F$200,MATCH($AB694,'Test catalog'!$A$2:$A$200,0))),"")</f>
        <v/>
      </c>
      <c r="L694" s="10">
        <f>IFERROR(IF(INDEX('Test catalog'!$G$2:$G$200,MATCH($AB694,'Test catalog'!$A$2:$A$200,0))="","",INDEX('Test catalog'!$G$2:$G$200,MATCH($AB694,'Test catalog'!$A$2:$A$200,0))),"")</f>
        <v/>
      </c>
      <c r="M694" s="10">
        <f>IFERROR(IF(INDEX('Test catalog'!$H$2:$H$200,MATCH($AB694,'Test catalog'!$A$2:$A$200,0))="","",INDEX('Test catalog'!$H$2:$H$200,MATCH($AB694,'Test catalog'!$A$2:$A$200,0))),"")</f>
        <v/>
      </c>
      <c r="N694" s="10">
        <f>IFERROR(IF(INDEX('Test catalog'!$I$2:$I$200,MATCH($AB694,'Test catalog'!$A$2:$A$200,0))="","",INDEX('Test catalog'!$I$2:$I$200,MATCH($AB694,'Test catalog'!$A$2:$A$200,0))),"")</f>
        <v/>
      </c>
      <c r="O694" s="10">
        <f>IFERROR(IF(INDEX('Test catalog'!$J$2:$J$200,MATCH($AB694,'Test catalog'!$A$2:$A$200,0))="","",INDEX('Test catalog'!$J$2:$J$200,MATCH($AB694,'Test catalog'!$A$2:$A$200,0))),"")</f>
        <v/>
      </c>
      <c r="P694" s="14">
        <f>IF(N694="","",IF(OR(M694="",O694=""),N694,(M694+4*N694+O694)/6))</f>
        <v/>
      </c>
      <c r="Q694" s="10">
        <f>IFERROR(IF(INDEX('Test catalog'!$K$2:$K$200,MATCH($AB694,'Test catalog'!$A$2:$A$200,0))="","",INDEX('Test catalog'!$K$2:$K$200,MATCH($AB694,'Test catalog'!$A$2:$A$200,0))),"")</f>
        <v/>
      </c>
      <c r="R694" s="5" t="n"/>
      <c r="S694" s="10">
        <f>IFERROR(IF(INDEX('Test catalog'!$L$2:$L$200,MATCH($AB694,'Test catalog'!$A$2:$A$200,0))="","",INDEX('Test catalog'!$L$2:$L$200,MATCH($AB694,'Test catalog'!$A$2:$A$200,0))),"")</f>
        <v/>
      </c>
      <c r="T694" s="10">
        <f>IFERROR(IF(INDEX('Test catalog'!$M$2:$M$200,MATCH($AB694,'Test catalog'!$A$2:$A$200,0))="","",INDEX('Test catalog'!$M$2:$M$200,MATCH($AB694,'Test catalog'!$A$2:$A$200,0))),"")</f>
        <v/>
      </c>
      <c r="U694" s="10">
        <f>IFERROR(IF(INDEX('Test catalog'!$N$2:$N$200,MATCH($AB694,'Test catalog'!$A$2:$A$200,0))="","",INDEX('Test catalog'!$N$2:$N$200,MATCH($AB694,'Test catalog'!$A$2:$A$200,0))),"")</f>
        <v/>
      </c>
      <c r="V694" s="15" t="n"/>
      <c r="W694" s="5" t="inlineStr">
        <is>
          <t>N</t>
        </is>
      </c>
      <c r="X694" s="5" t="n"/>
      <c r="Y694" s="5" t="n"/>
      <c r="Z694" s="5" t="n"/>
      <c r="AA694" s="10">
        <f>IFERROR(IF(INDEX('Test catalog'!$O$2:$O$200,MATCH($AB694,'Test catalog'!$A$2:$A$200,0))="","",INDEX('Test catalog'!$O$2:$O$200,MATCH($AB694,'Test catalog'!$A$2:$A$200,0))),"")</f>
        <v/>
      </c>
      <c r="AB694" s="10" t="inlineStr">
        <is>
          <t>ID_CHEM</t>
        </is>
      </c>
      <c r="AC694" s="10" t="inlineStr">
        <is>
          <t>Sodium Starch Glycolate · Identification</t>
        </is>
      </c>
      <c r="AD694" s="10" t="n"/>
      <c r="AE694" s="10" t="n"/>
    </row>
    <row r="695">
      <c r="A695" s="10" t="inlineStr">
        <is>
          <t>Sodium Starch Glycolate</t>
        </is>
      </c>
      <c r="B695" s="10" t="inlineStr">
        <is>
          <t>RM</t>
        </is>
      </c>
      <c r="C695" s="10" t="inlineStr">
        <is>
          <t>Disintegrant</t>
        </is>
      </c>
      <c r="D695" s="10" t="inlineStr">
        <is>
          <t>Assay</t>
        </is>
      </c>
      <c r="E695" s="10">
        <f>IF(A695="","",A695&amp;"|"&amp;D695)</f>
        <v/>
      </c>
      <c r="F695" s="5" t="inlineStr">
        <is>
          <t>Y</t>
        </is>
      </c>
      <c r="G695" s="5" t="inlineStr">
        <is>
          <t>Other / bench</t>
        </is>
      </c>
      <c r="H695" s="5" t="inlineStr">
        <is>
          <t>Low</t>
        </is>
      </c>
      <c r="I695" s="5" t="n">
        <v>1</v>
      </c>
      <c r="J695" s="5" t="n"/>
      <c r="K695" s="10">
        <f>IFERROR(IF(INDEX('Test catalog'!$F$2:$F$200,MATCH($AB695,'Test catalog'!$A$2:$A$200,0))="","",INDEX('Test catalog'!$F$2:$F$200,MATCH($AB695,'Test catalog'!$A$2:$A$200,0))),"")</f>
        <v/>
      </c>
      <c r="L695" s="10">
        <f>IFERROR(IF(INDEX('Test catalog'!$G$2:$G$200,MATCH($AB695,'Test catalog'!$A$2:$A$200,0))="","",INDEX('Test catalog'!$G$2:$G$200,MATCH($AB695,'Test catalog'!$A$2:$A$200,0))),"")</f>
        <v/>
      </c>
      <c r="M695" s="10">
        <f>IFERROR(IF(INDEX('Test catalog'!$H$2:$H$200,MATCH($AB695,'Test catalog'!$A$2:$A$200,0))="","",INDEX('Test catalog'!$H$2:$H$200,MATCH($AB695,'Test catalog'!$A$2:$A$200,0))),"")</f>
        <v/>
      </c>
      <c r="N695" s="10">
        <f>IFERROR(IF(INDEX('Test catalog'!$I$2:$I$200,MATCH($AB695,'Test catalog'!$A$2:$A$200,0))="","",INDEX('Test catalog'!$I$2:$I$200,MATCH($AB695,'Test catalog'!$A$2:$A$200,0))),"")</f>
        <v/>
      </c>
      <c r="O695" s="10">
        <f>IFERROR(IF(INDEX('Test catalog'!$J$2:$J$200,MATCH($AB695,'Test catalog'!$A$2:$A$200,0))="","",INDEX('Test catalog'!$J$2:$J$200,MATCH($AB695,'Test catalog'!$A$2:$A$200,0))),"")</f>
        <v/>
      </c>
      <c r="P695" s="14">
        <f>IF(N695="","",IF(OR(M695="",O695=""),N695,(M695+4*N695+O695)/6))</f>
        <v/>
      </c>
      <c r="Q695" s="10">
        <f>IFERROR(IF(INDEX('Test catalog'!$K$2:$K$200,MATCH($AB695,'Test catalog'!$A$2:$A$200,0))="","",INDEX('Test catalog'!$K$2:$K$200,MATCH($AB695,'Test catalog'!$A$2:$A$200,0))),"")</f>
        <v/>
      </c>
      <c r="R695" s="5" t="n"/>
      <c r="S695" s="10">
        <f>IFERROR(IF(INDEX('Test catalog'!$L$2:$L$200,MATCH($AB695,'Test catalog'!$A$2:$A$200,0))="","",INDEX('Test catalog'!$L$2:$L$200,MATCH($AB695,'Test catalog'!$A$2:$A$200,0))),"")</f>
        <v/>
      </c>
      <c r="T695" s="10">
        <f>IFERROR(IF(INDEX('Test catalog'!$M$2:$M$200,MATCH($AB695,'Test catalog'!$A$2:$A$200,0))="","",INDEX('Test catalog'!$M$2:$M$200,MATCH($AB695,'Test catalog'!$A$2:$A$200,0))),"")</f>
        <v/>
      </c>
      <c r="U695" s="10">
        <f>IFERROR(IF(INDEX('Test catalog'!$N$2:$N$200,MATCH($AB695,'Test catalog'!$A$2:$A$200,0))="","",INDEX('Test catalog'!$N$2:$N$200,MATCH($AB695,'Test catalog'!$A$2:$A$200,0))),"")</f>
        <v/>
      </c>
      <c r="V695" s="15" t="n"/>
      <c r="W695" s="5" t="inlineStr">
        <is>
          <t>N</t>
        </is>
      </c>
      <c r="X695" s="5" t="n"/>
      <c r="Y695" s="5" t="n"/>
      <c r="Z695" s="5" t="n"/>
      <c r="AA695" s="10">
        <f>IFERROR(IF(INDEX('Test catalog'!$O$2:$O$200,MATCH($AB695,'Test catalog'!$A$2:$A$200,0))="","",INDEX('Test catalog'!$O$2:$O$200,MATCH($AB695,'Test catalog'!$A$2:$A$200,0))),"")</f>
        <v/>
      </c>
      <c r="AB695" s="10" t="inlineStr">
        <is>
          <t>TITR</t>
        </is>
      </c>
      <c r="AC695" s="10" t="inlineStr">
        <is>
          <t>Sodium Starch Glycolate · Assay</t>
        </is>
      </c>
      <c r="AD695" s="10" t="n"/>
      <c r="AE695" s="10" t="n"/>
    </row>
    <row r="696">
      <c r="A696" s="10" t="inlineStr">
        <is>
          <t>Sodium Starch Glycolate</t>
        </is>
      </c>
      <c r="B696" s="10" t="inlineStr">
        <is>
          <t>RM</t>
        </is>
      </c>
      <c r="C696" s="10" t="inlineStr">
        <is>
          <t>Disintegrant</t>
        </is>
      </c>
      <c r="D696" s="10" t="inlineStr">
        <is>
          <t>Limit of Sodium Chloride</t>
        </is>
      </c>
      <c r="E696" s="10">
        <f>IF(A696="","",A696&amp;"|"&amp;D696)</f>
        <v/>
      </c>
      <c r="F696" s="5" t="inlineStr">
        <is>
          <t>Y</t>
        </is>
      </c>
      <c r="G696" s="5" t="inlineStr">
        <is>
          <t>Other / bench</t>
        </is>
      </c>
      <c r="H696" s="5" t="inlineStr">
        <is>
          <t>Low</t>
        </is>
      </c>
      <c r="I696" s="5" t="n">
        <v>1</v>
      </c>
      <c r="J696" s="5" t="n"/>
      <c r="K696" s="10">
        <f>IFERROR(IF(INDEX('Test catalog'!$F$2:$F$200,MATCH($AB696,'Test catalog'!$A$2:$A$200,0))="","",INDEX('Test catalog'!$F$2:$F$200,MATCH($AB696,'Test catalog'!$A$2:$A$200,0))),"")</f>
        <v/>
      </c>
      <c r="L696" s="10">
        <f>IFERROR(IF(INDEX('Test catalog'!$G$2:$G$200,MATCH($AB696,'Test catalog'!$A$2:$A$200,0))="","",INDEX('Test catalog'!$G$2:$G$200,MATCH($AB696,'Test catalog'!$A$2:$A$200,0))),"")</f>
        <v/>
      </c>
      <c r="M696" s="10">
        <f>IFERROR(IF(INDEX('Test catalog'!$H$2:$H$200,MATCH($AB696,'Test catalog'!$A$2:$A$200,0))="","",INDEX('Test catalog'!$H$2:$H$200,MATCH($AB696,'Test catalog'!$A$2:$A$200,0))),"")</f>
        <v/>
      </c>
      <c r="N696" s="10">
        <f>IFERROR(IF(INDEX('Test catalog'!$I$2:$I$200,MATCH($AB696,'Test catalog'!$A$2:$A$200,0))="","",INDEX('Test catalog'!$I$2:$I$200,MATCH($AB696,'Test catalog'!$A$2:$A$200,0))),"")</f>
        <v/>
      </c>
      <c r="O696" s="10">
        <f>IFERROR(IF(INDEX('Test catalog'!$J$2:$J$200,MATCH($AB696,'Test catalog'!$A$2:$A$200,0))="","",INDEX('Test catalog'!$J$2:$J$200,MATCH($AB696,'Test catalog'!$A$2:$A$200,0))),"")</f>
        <v/>
      </c>
      <c r="P696" s="14">
        <f>IF(N696="","",IF(OR(M696="",O696=""),N696,(M696+4*N696+O696)/6))</f>
        <v/>
      </c>
      <c r="Q696" s="10">
        <f>IFERROR(IF(INDEX('Test catalog'!$K$2:$K$200,MATCH($AB696,'Test catalog'!$A$2:$A$200,0))="","",INDEX('Test catalog'!$K$2:$K$200,MATCH($AB696,'Test catalog'!$A$2:$A$200,0))),"")</f>
        <v/>
      </c>
      <c r="R696" s="5" t="n"/>
      <c r="S696" s="10">
        <f>IFERROR(IF(INDEX('Test catalog'!$L$2:$L$200,MATCH($AB696,'Test catalog'!$A$2:$A$200,0))="","",INDEX('Test catalog'!$L$2:$L$200,MATCH($AB696,'Test catalog'!$A$2:$A$200,0))),"")</f>
        <v/>
      </c>
      <c r="T696" s="10">
        <f>IFERROR(IF(INDEX('Test catalog'!$M$2:$M$200,MATCH($AB696,'Test catalog'!$A$2:$A$200,0))="","",INDEX('Test catalog'!$M$2:$M$200,MATCH($AB696,'Test catalog'!$A$2:$A$200,0))),"")</f>
        <v/>
      </c>
      <c r="U696" s="10">
        <f>IFERROR(IF(INDEX('Test catalog'!$N$2:$N$200,MATCH($AB696,'Test catalog'!$A$2:$A$200,0))="","",INDEX('Test catalog'!$N$2:$N$200,MATCH($AB696,'Test catalog'!$A$2:$A$200,0))),"")</f>
        <v/>
      </c>
      <c r="V696" s="15" t="n"/>
      <c r="W696" s="5" t="inlineStr">
        <is>
          <t>N</t>
        </is>
      </c>
      <c r="X696" s="5" t="n"/>
      <c r="Y696" s="5" t="n"/>
      <c r="Z696" s="5" t="n"/>
      <c r="AA696" s="10">
        <f>IFERROR(IF(INDEX('Test catalog'!$O$2:$O$200,MATCH($AB696,'Test catalog'!$A$2:$A$200,0))="","",INDEX('Test catalog'!$O$2:$O$200,MATCH($AB696,'Test catalog'!$A$2:$A$200,0))),"")</f>
        <v/>
      </c>
      <c r="AB696" s="10" t="inlineStr">
        <is>
          <t>TITR</t>
        </is>
      </c>
      <c r="AC696" s="10" t="inlineStr">
        <is>
          <t>Sodium Starch Glycolate · Other Components &lt;541&gt;</t>
        </is>
      </c>
      <c r="AD696" s="10" t="n"/>
      <c r="AE696" s="10" t="n"/>
    </row>
    <row r="697">
      <c r="A697" s="10" t="inlineStr">
        <is>
          <t>Sodium Starch Glycolate</t>
        </is>
      </c>
      <c r="B697" s="10" t="inlineStr">
        <is>
          <t>RM</t>
        </is>
      </c>
      <c r="C697" s="10" t="inlineStr">
        <is>
          <t>Disintegrant</t>
        </is>
      </c>
      <c r="D697" s="10" t="inlineStr">
        <is>
          <t>Limit of Sodium Glycolate</t>
        </is>
      </c>
      <c r="E697" s="10">
        <f>IF(A697="","",A697&amp;"|"&amp;D697)</f>
        <v/>
      </c>
      <c r="F697" s="5" t="inlineStr">
        <is>
          <t>Y</t>
        </is>
      </c>
      <c r="G697" s="5" t="inlineStr">
        <is>
          <t>UV-Vis</t>
        </is>
      </c>
      <c r="H697" s="5" t="inlineStr">
        <is>
          <t>Low</t>
        </is>
      </c>
      <c r="I697" s="5" t="n">
        <v>1</v>
      </c>
      <c r="J697" s="5" t="n"/>
      <c r="K697" s="10">
        <f>IFERROR(IF(INDEX('Test catalog'!$F$2:$F$200,MATCH($AB697,'Test catalog'!$A$2:$A$200,0))="","",INDEX('Test catalog'!$F$2:$F$200,MATCH($AB697,'Test catalog'!$A$2:$A$200,0))),"")</f>
        <v/>
      </c>
      <c r="L697" s="10">
        <f>IFERROR(IF(INDEX('Test catalog'!$G$2:$G$200,MATCH($AB697,'Test catalog'!$A$2:$A$200,0))="","",INDEX('Test catalog'!$G$2:$G$200,MATCH($AB697,'Test catalog'!$A$2:$A$200,0))),"")</f>
        <v/>
      </c>
      <c r="M697" s="10">
        <f>IFERROR(IF(INDEX('Test catalog'!$H$2:$H$200,MATCH($AB697,'Test catalog'!$A$2:$A$200,0))="","",INDEX('Test catalog'!$H$2:$H$200,MATCH($AB697,'Test catalog'!$A$2:$A$200,0))),"")</f>
        <v/>
      </c>
      <c r="N697" s="10">
        <f>IFERROR(IF(INDEX('Test catalog'!$I$2:$I$200,MATCH($AB697,'Test catalog'!$A$2:$A$200,0))="","",INDEX('Test catalog'!$I$2:$I$200,MATCH($AB697,'Test catalog'!$A$2:$A$200,0))),"")</f>
        <v/>
      </c>
      <c r="O697" s="10">
        <f>IFERROR(IF(INDEX('Test catalog'!$J$2:$J$200,MATCH($AB697,'Test catalog'!$A$2:$A$200,0))="","",INDEX('Test catalog'!$J$2:$J$200,MATCH($AB697,'Test catalog'!$A$2:$A$200,0))),"")</f>
        <v/>
      </c>
      <c r="P697" s="14">
        <f>IF(N697="","",IF(OR(M697="",O697=""),N697,(M697+4*N697+O697)/6))</f>
        <v/>
      </c>
      <c r="Q697" s="10">
        <f>IFERROR(IF(INDEX('Test catalog'!$K$2:$K$200,MATCH($AB697,'Test catalog'!$A$2:$A$200,0))="","",INDEX('Test catalog'!$K$2:$K$200,MATCH($AB697,'Test catalog'!$A$2:$A$200,0))),"")</f>
        <v/>
      </c>
      <c r="R697" s="5" t="n"/>
      <c r="S697" s="10">
        <f>IFERROR(IF(INDEX('Test catalog'!$L$2:$L$200,MATCH($AB697,'Test catalog'!$A$2:$A$200,0))="","",INDEX('Test catalog'!$L$2:$L$200,MATCH($AB697,'Test catalog'!$A$2:$A$200,0))),"")</f>
        <v/>
      </c>
      <c r="T697" s="10">
        <f>IFERROR(IF(INDEX('Test catalog'!$M$2:$M$200,MATCH($AB697,'Test catalog'!$A$2:$A$200,0))="","",INDEX('Test catalog'!$M$2:$M$200,MATCH($AB697,'Test catalog'!$A$2:$A$200,0))),"")</f>
        <v/>
      </c>
      <c r="U697" s="10">
        <f>IFERROR(IF(INDEX('Test catalog'!$N$2:$N$200,MATCH($AB697,'Test catalog'!$A$2:$A$200,0))="","",INDEX('Test catalog'!$N$2:$N$200,MATCH($AB697,'Test catalog'!$A$2:$A$200,0))),"")</f>
        <v/>
      </c>
      <c r="V697" s="15" t="n"/>
      <c r="W697" s="5" t="inlineStr">
        <is>
          <t>N</t>
        </is>
      </c>
      <c r="X697" s="5" t="n"/>
      <c r="Y697" s="5" t="n"/>
      <c r="Z697" s="5" t="n"/>
      <c r="AA697" s="10">
        <f>IFERROR(IF(INDEX('Test catalog'!$O$2:$O$200,MATCH($AB697,'Test catalog'!$A$2:$A$200,0))="","",INDEX('Test catalog'!$O$2:$O$200,MATCH($AB697,'Test catalog'!$A$2:$A$200,0))),"")</f>
        <v/>
      </c>
      <c r="AB697" s="10" t="inlineStr">
        <is>
          <t>UV</t>
        </is>
      </c>
      <c r="AC697" s="10" t="inlineStr">
        <is>
          <t>Sodium Starch Glycolate · Other Components</t>
        </is>
      </c>
      <c r="AD697" s="10" t="n"/>
      <c r="AE697" s="10" t="n"/>
    </row>
    <row r="698">
      <c r="A698" s="10" t="inlineStr">
        <is>
          <t>Sodium Starch Glycolate</t>
        </is>
      </c>
      <c r="B698" s="10" t="inlineStr">
        <is>
          <t>RM</t>
        </is>
      </c>
      <c r="C698" s="10" t="inlineStr">
        <is>
          <t>Disintegrant</t>
        </is>
      </c>
      <c r="D698" s="10" t="inlineStr">
        <is>
          <t>Limit of Iron</t>
        </is>
      </c>
      <c r="E698" s="10">
        <f>IF(A698="","",A698&amp;"|"&amp;D698)</f>
        <v/>
      </c>
      <c r="F698" s="5" t="inlineStr">
        <is>
          <t>Y</t>
        </is>
      </c>
      <c r="G698" s="5" t="inlineStr">
        <is>
          <t>UV-Vis</t>
        </is>
      </c>
      <c r="H698" s="5" t="inlineStr">
        <is>
          <t>Low</t>
        </is>
      </c>
      <c r="I698" s="5" t="n">
        <v>1</v>
      </c>
      <c r="J698" s="5" t="n"/>
      <c r="K698" s="10">
        <f>IFERROR(IF(INDEX('Test catalog'!$F$2:$F$200,MATCH($AB698,'Test catalog'!$A$2:$A$200,0))="","",INDEX('Test catalog'!$F$2:$F$200,MATCH($AB698,'Test catalog'!$A$2:$A$200,0))),"")</f>
        <v/>
      </c>
      <c r="L698" s="10">
        <f>IFERROR(IF(INDEX('Test catalog'!$G$2:$G$200,MATCH($AB698,'Test catalog'!$A$2:$A$200,0))="","",INDEX('Test catalog'!$G$2:$G$200,MATCH($AB698,'Test catalog'!$A$2:$A$200,0))),"")</f>
        <v/>
      </c>
      <c r="M698" s="10">
        <f>IFERROR(IF(INDEX('Test catalog'!$H$2:$H$200,MATCH($AB698,'Test catalog'!$A$2:$A$200,0))="","",INDEX('Test catalog'!$H$2:$H$200,MATCH($AB698,'Test catalog'!$A$2:$A$200,0))),"")</f>
        <v/>
      </c>
      <c r="N698" s="10">
        <f>IFERROR(IF(INDEX('Test catalog'!$I$2:$I$200,MATCH($AB698,'Test catalog'!$A$2:$A$200,0))="","",INDEX('Test catalog'!$I$2:$I$200,MATCH($AB698,'Test catalog'!$A$2:$A$200,0))),"")</f>
        <v/>
      </c>
      <c r="O698" s="10">
        <f>IFERROR(IF(INDEX('Test catalog'!$J$2:$J$200,MATCH($AB698,'Test catalog'!$A$2:$A$200,0))="","",INDEX('Test catalog'!$J$2:$J$200,MATCH($AB698,'Test catalog'!$A$2:$A$200,0))),"")</f>
        <v/>
      </c>
      <c r="P698" s="14">
        <f>IF(N698="","",IF(OR(M698="",O698=""),N698,(M698+4*N698+O698)/6))</f>
        <v/>
      </c>
      <c r="Q698" s="10">
        <f>IFERROR(IF(INDEX('Test catalog'!$K$2:$K$200,MATCH($AB698,'Test catalog'!$A$2:$A$200,0))="","",INDEX('Test catalog'!$K$2:$K$200,MATCH($AB698,'Test catalog'!$A$2:$A$200,0))),"")</f>
        <v/>
      </c>
      <c r="R698" s="5" t="n"/>
      <c r="S698" s="10">
        <f>IFERROR(IF(INDEX('Test catalog'!$L$2:$L$200,MATCH($AB698,'Test catalog'!$A$2:$A$200,0))="","",INDEX('Test catalog'!$L$2:$L$200,MATCH($AB698,'Test catalog'!$A$2:$A$200,0))),"")</f>
        <v/>
      </c>
      <c r="T698" s="10">
        <f>IFERROR(IF(INDEX('Test catalog'!$M$2:$M$200,MATCH($AB698,'Test catalog'!$A$2:$A$200,0))="","",INDEX('Test catalog'!$M$2:$M$200,MATCH($AB698,'Test catalog'!$A$2:$A$200,0))),"")</f>
        <v/>
      </c>
      <c r="U698" s="10">
        <f>IFERROR(IF(INDEX('Test catalog'!$N$2:$N$200,MATCH($AB698,'Test catalog'!$A$2:$A$200,0))="","",INDEX('Test catalog'!$N$2:$N$200,MATCH($AB698,'Test catalog'!$A$2:$A$200,0))),"")</f>
        <v/>
      </c>
      <c r="V698" s="15" t="n"/>
      <c r="W698" s="5" t="inlineStr">
        <is>
          <t>N</t>
        </is>
      </c>
      <c r="X698" s="5" t="n"/>
      <c r="Y698" s="5" t="n"/>
      <c r="Z698" s="5" t="n"/>
      <c r="AA698" s="10">
        <f>IFERROR(IF(INDEX('Test catalog'!$O$2:$O$200,MATCH($AB698,'Test catalog'!$A$2:$A$200,0))="","",INDEX('Test catalog'!$O$2:$O$200,MATCH($AB698,'Test catalog'!$A$2:$A$200,0))),"")</f>
        <v/>
      </c>
      <c r="AB698" s="10" t="inlineStr">
        <is>
          <t>UV</t>
        </is>
      </c>
      <c r="AC698" s="10" t="inlineStr">
        <is>
          <t>Sodium Starch Glycolate · Impurities</t>
        </is>
      </c>
      <c r="AD698" s="10" t="n"/>
      <c r="AE698" s="10" t="n"/>
    </row>
    <row r="699">
      <c r="A699" s="10" t="inlineStr">
        <is>
          <t>Sodium Starch Glycolate</t>
        </is>
      </c>
      <c r="B699" s="10" t="inlineStr">
        <is>
          <t>RM</t>
        </is>
      </c>
      <c r="C699" s="10" t="inlineStr">
        <is>
          <t>Disintegrant</t>
        </is>
      </c>
      <c r="D699" s="10" t="inlineStr">
        <is>
          <t>pH</t>
        </is>
      </c>
      <c r="E699" s="10">
        <f>IF(A699="","",A699&amp;"|"&amp;D699)</f>
        <v/>
      </c>
      <c r="F699" s="5" t="inlineStr">
        <is>
          <t>Y</t>
        </is>
      </c>
      <c r="G699" s="5" t="inlineStr">
        <is>
          <t>Other / bench</t>
        </is>
      </c>
      <c r="H699" s="5" t="inlineStr">
        <is>
          <t>Low</t>
        </is>
      </c>
      <c r="I699" s="5" t="n">
        <v>1</v>
      </c>
      <c r="J699" s="5" t="n"/>
      <c r="K699" s="10">
        <f>IFERROR(IF(INDEX('Test catalog'!$F$2:$F$200,MATCH($AB699,'Test catalog'!$A$2:$A$200,0))="","",INDEX('Test catalog'!$F$2:$F$200,MATCH($AB699,'Test catalog'!$A$2:$A$200,0))),"")</f>
        <v/>
      </c>
      <c r="L699" s="10">
        <f>IFERROR(IF(INDEX('Test catalog'!$G$2:$G$200,MATCH($AB699,'Test catalog'!$A$2:$A$200,0))="","",INDEX('Test catalog'!$G$2:$G$200,MATCH($AB699,'Test catalog'!$A$2:$A$200,0))),"")</f>
        <v/>
      </c>
      <c r="M699" s="10">
        <f>IFERROR(IF(INDEX('Test catalog'!$H$2:$H$200,MATCH($AB699,'Test catalog'!$A$2:$A$200,0))="","",INDEX('Test catalog'!$H$2:$H$200,MATCH($AB699,'Test catalog'!$A$2:$A$200,0))),"")</f>
        <v/>
      </c>
      <c r="N699" s="10">
        <f>IFERROR(IF(INDEX('Test catalog'!$I$2:$I$200,MATCH($AB699,'Test catalog'!$A$2:$A$200,0))="","",INDEX('Test catalog'!$I$2:$I$200,MATCH($AB699,'Test catalog'!$A$2:$A$200,0))),"")</f>
        <v/>
      </c>
      <c r="O699" s="10">
        <f>IFERROR(IF(INDEX('Test catalog'!$J$2:$J$200,MATCH($AB699,'Test catalog'!$A$2:$A$200,0))="","",INDEX('Test catalog'!$J$2:$J$200,MATCH($AB699,'Test catalog'!$A$2:$A$200,0))),"")</f>
        <v/>
      </c>
      <c r="P699" s="14">
        <f>IF(N699="","",IF(OR(M699="",O699=""),N699,(M699+4*N699+O699)/6))</f>
        <v/>
      </c>
      <c r="Q699" s="10">
        <f>IFERROR(IF(INDEX('Test catalog'!$K$2:$K$200,MATCH($AB699,'Test catalog'!$A$2:$A$200,0))="","",INDEX('Test catalog'!$K$2:$K$200,MATCH($AB699,'Test catalog'!$A$2:$A$200,0))),"")</f>
        <v/>
      </c>
      <c r="R699" s="5" t="n"/>
      <c r="S699" s="10">
        <f>IFERROR(IF(INDEX('Test catalog'!$L$2:$L$200,MATCH($AB699,'Test catalog'!$A$2:$A$200,0))="","",INDEX('Test catalog'!$L$2:$L$200,MATCH($AB699,'Test catalog'!$A$2:$A$200,0))),"")</f>
        <v/>
      </c>
      <c r="T699" s="10">
        <f>IFERROR(IF(INDEX('Test catalog'!$M$2:$M$200,MATCH($AB699,'Test catalog'!$A$2:$A$200,0))="","",INDEX('Test catalog'!$M$2:$M$200,MATCH($AB699,'Test catalog'!$A$2:$A$200,0))),"")</f>
        <v/>
      </c>
      <c r="U699" s="10">
        <f>IFERROR(IF(INDEX('Test catalog'!$N$2:$N$200,MATCH($AB699,'Test catalog'!$A$2:$A$200,0))="","",INDEX('Test catalog'!$N$2:$N$200,MATCH($AB699,'Test catalog'!$A$2:$A$200,0))),"")</f>
        <v/>
      </c>
      <c r="V699" s="15" t="n"/>
      <c r="W699" s="5" t="inlineStr">
        <is>
          <t>N</t>
        </is>
      </c>
      <c r="X699" s="5" t="n"/>
      <c r="Y699" s="5" t="n"/>
      <c r="Z699" s="5" t="n"/>
      <c r="AA699" s="10">
        <f>IFERROR(IF(INDEX('Test catalog'!$O$2:$O$200,MATCH($AB699,'Test catalog'!$A$2:$A$200,0))="","",INDEX('Test catalog'!$O$2:$O$200,MATCH($AB699,'Test catalog'!$A$2:$A$200,0))),"")</f>
        <v/>
      </c>
      <c r="AB699" s="10" t="inlineStr">
        <is>
          <t>PH</t>
        </is>
      </c>
      <c r="AC699" s="10" t="inlineStr">
        <is>
          <t>Sodium Starch Glycolate · Specific Tests &lt;791&gt;</t>
        </is>
      </c>
      <c r="AD699" s="10" t="n"/>
      <c r="AE699" s="10" t="n"/>
    </row>
    <row r="700">
      <c r="A700" s="10" t="inlineStr">
        <is>
          <t>Sodium Starch Glycolate</t>
        </is>
      </c>
      <c r="B700" s="10" t="inlineStr">
        <is>
          <t>RM</t>
        </is>
      </c>
      <c r="C700" s="10" t="inlineStr">
        <is>
          <t>Disintegrant</t>
        </is>
      </c>
      <c r="D700" s="10" t="inlineStr">
        <is>
          <t>Loss on Drying</t>
        </is>
      </c>
      <c r="E700" s="10">
        <f>IF(A700="","",A700&amp;"|"&amp;D700)</f>
        <v/>
      </c>
      <c r="F700" s="5" t="inlineStr">
        <is>
          <t>Y</t>
        </is>
      </c>
      <c r="G700" s="5" t="inlineStr">
        <is>
          <t>Other / bench</t>
        </is>
      </c>
      <c r="H700" s="5" t="inlineStr">
        <is>
          <t>Low</t>
        </is>
      </c>
      <c r="I700" s="5" t="n">
        <v>1</v>
      </c>
      <c r="J700" s="5" t="n"/>
      <c r="K700" s="10">
        <f>IFERROR(IF(INDEX('Test catalog'!$F$2:$F$200,MATCH($AB700,'Test catalog'!$A$2:$A$200,0))="","",INDEX('Test catalog'!$F$2:$F$200,MATCH($AB700,'Test catalog'!$A$2:$A$200,0))),"")</f>
        <v/>
      </c>
      <c r="L700" s="10">
        <f>IFERROR(IF(INDEX('Test catalog'!$G$2:$G$200,MATCH($AB700,'Test catalog'!$A$2:$A$200,0))="","",INDEX('Test catalog'!$G$2:$G$200,MATCH($AB700,'Test catalog'!$A$2:$A$200,0))),"")</f>
        <v/>
      </c>
      <c r="M700" s="10">
        <f>IFERROR(IF(INDEX('Test catalog'!$H$2:$H$200,MATCH($AB700,'Test catalog'!$A$2:$A$200,0))="","",INDEX('Test catalog'!$H$2:$H$200,MATCH($AB700,'Test catalog'!$A$2:$A$200,0))),"")</f>
        <v/>
      </c>
      <c r="N700" s="10">
        <f>IFERROR(IF(INDEX('Test catalog'!$I$2:$I$200,MATCH($AB700,'Test catalog'!$A$2:$A$200,0))="","",INDEX('Test catalog'!$I$2:$I$200,MATCH($AB700,'Test catalog'!$A$2:$A$200,0))),"")</f>
        <v/>
      </c>
      <c r="O700" s="10">
        <f>IFERROR(IF(INDEX('Test catalog'!$J$2:$J$200,MATCH($AB700,'Test catalog'!$A$2:$A$200,0))="","",INDEX('Test catalog'!$J$2:$J$200,MATCH($AB700,'Test catalog'!$A$2:$A$200,0))),"")</f>
        <v/>
      </c>
      <c r="P700" s="14">
        <f>IF(N700="","",IF(OR(M700="",O700=""),N700,(M700+4*N700+O700)/6))</f>
        <v/>
      </c>
      <c r="Q700" s="10">
        <f>IFERROR(IF(INDEX('Test catalog'!$K$2:$K$200,MATCH($AB700,'Test catalog'!$A$2:$A$200,0))="","",INDEX('Test catalog'!$K$2:$K$200,MATCH($AB700,'Test catalog'!$A$2:$A$200,0))),"")</f>
        <v/>
      </c>
      <c r="R700" s="5" t="n"/>
      <c r="S700" s="10">
        <f>IFERROR(IF(INDEX('Test catalog'!$L$2:$L$200,MATCH($AB700,'Test catalog'!$A$2:$A$200,0))="","",INDEX('Test catalog'!$L$2:$L$200,MATCH($AB700,'Test catalog'!$A$2:$A$200,0))),"")</f>
        <v/>
      </c>
      <c r="T700" s="10">
        <f>IFERROR(IF(INDEX('Test catalog'!$M$2:$M$200,MATCH($AB700,'Test catalog'!$A$2:$A$200,0))="","",INDEX('Test catalog'!$M$2:$M$200,MATCH($AB700,'Test catalog'!$A$2:$A$200,0))),"")</f>
        <v/>
      </c>
      <c r="U700" s="10">
        <f>IFERROR(IF(INDEX('Test catalog'!$N$2:$N$200,MATCH($AB700,'Test catalog'!$A$2:$A$200,0))="","",INDEX('Test catalog'!$N$2:$N$200,MATCH($AB700,'Test catalog'!$A$2:$A$200,0))),"")</f>
        <v/>
      </c>
      <c r="V700" s="15" t="n"/>
      <c r="W700" s="5" t="inlineStr">
        <is>
          <t>N</t>
        </is>
      </c>
      <c r="X700" s="5" t="n"/>
      <c r="Y700" s="5" t="n"/>
      <c r="Z700" s="5" t="n"/>
      <c r="AA700" s="10">
        <f>IFERROR(IF(INDEX('Test catalog'!$O$2:$O$200,MATCH($AB700,'Test catalog'!$A$2:$A$200,0))="","",INDEX('Test catalog'!$O$2:$O$200,MATCH($AB700,'Test catalog'!$A$2:$A$200,0))),"")</f>
        <v/>
      </c>
      <c r="AB700" s="10" t="inlineStr">
        <is>
          <t>LOD</t>
        </is>
      </c>
      <c r="AC700" s="10" t="inlineStr">
        <is>
          <t>Sodium Starch Glycolate · Specific Tests &lt;731&gt;</t>
        </is>
      </c>
      <c r="AD700" s="10" t="n"/>
      <c r="AE700" s="10" t="n"/>
    </row>
    <row r="701">
      <c r="A701" s="10" t="inlineStr">
        <is>
          <t>Calcium Hydrogen Phosphate (Dicalcium Phosphate)</t>
        </is>
      </c>
      <c r="B701" s="10" t="inlineStr">
        <is>
          <t>RM</t>
        </is>
      </c>
      <c r="C701" s="10" t="inlineStr">
        <is>
          <t>Filler / Diluent</t>
        </is>
      </c>
      <c r="D701" s="10" t="inlineStr">
        <is>
          <t>Appearance / description and solubility</t>
        </is>
      </c>
      <c r="E701" s="10">
        <f>IF(A701="","",A701&amp;"|"&amp;D701)</f>
        <v/>
      </c>
      <c r="F701" s="5" t="inlineStr">
        <is>
          <t>Y</t>
        </is>
      </c>
      <c r="G701" s="5" t="inlineStr">
        <is>
          <t>Other / bench</t>
        </is>
      </c>
      <c r="H701" s="5" t="inlineStr">
        <is>
          <t>Low</t>
        </is>
      </c>
      <c r="I701" s="5" t="n">
        <v>1</v>
      </c>
      <c r="J701" s="5" t="n"/>
      <c r="K701" s="10">
        <f>IFERROR(IF(INDEX('Test catalog'!$F$2:$F$200,MATCH($AB701,'Test catalog'!$A$2:$A$200,0))="","",INDEX('Test catalog'!$F$2:$F$200,MATCH($AB701,'Test catalog'!$A$2:$A$200,0))),"")</f>
        <v/>
      </c>
      <c r="L701" s="10">
        <f>IFERROR(IF(INDEX('Test catalog'!$G$2:$G$200,MATCH($AB701,'Test catalog'!$A$2:$A$200,0))="","",INDEX('Test catalog'!$G$2:$G$200,MATCH($AB701,'Test catalog'!$A$2:$A$200,0))),"")</f>
        <v/>
      </c>
      <c r="M701" s="10">
        <f>IFERROR(IF(INDEX('Test catalog'!$H$2:$H$200,MATCH($AB701,'Test catalog'!$A$2:$A$200,0))="","",INDEX('Test catalog'!$H$2:$H$200,MATCH($AB701,'Test catalog'!$A$2:$A$200,0))),"")</f>
        <v/>
      </c>
      <c r="N701" s="10">
        <f>IFERROR(IF(INDEX('Test catalog'!$I$2:$I$200,MATCH($AB701,'Test catalog'!$A$2:$A$200,0))="","",INDEX('Test catalog'!$I$2:$I$200,MATCH($AB701,'Test catalog'!$A$2:$A$200,0))),"")</f>
        <v/>
      </c>
      <c r="O701" s="10">
        <f>IFERROR(IF(INDEX('Test catalog'!$J$2:$J$200,MATCH($AB701,'Test catalog'!$A$2:$A$200,0))="","",INDEX('Test catalog'!$J$2:$J$200,MATCH($AB701,'Test catalog'!$A$2:$A$200,0))),"")</f>
        <v/>
      </c>
      <c r="P701" s="14">
        <f>IF(N701="","",IF(OR(M701="",O701=""),N701,(M701+4*N701+O701)/6))</f>
        <v/>
      </c>
      <c r="Q701" s="10">
        <f>IFERROR(IF(INDEX('Test catalog'!$K$2:$K$200,MATCH($AB701,'Test catalog'!$A$2:$A$200,0))="","",INDEX('Test catalog'!$K$2:$K$200,MATCH($AB701,'Test catalog'!$A$2:$A$200,0))),"")</f>
        <v/>
      </c>
      <c r="R701" s="5" t="n"/>
      <c r="S701" s="10">
        <f>IFERROR(IF(INDEX('Test catalog'!$L$2:$L$200,MATCH($AB701,'Test catalog'!$A$2:$A$200,0))="","",INDEX('Test catalog'!$L$2:$L$200,MATCH($AB701,'Test catalog'!$A$2:$A$200,0))),"")</f>
        <v/>
      </c>
      <c r="T701" s="10">
        <f>IFERROR(IF(INDEX('Test catalog'!$M$2:$M$200,MATCH($AB701,'Test catalog'!$A$2:$A$200,0))="","",INDEX('Test catalog'!$M$2:$M$200,MATCH($AB701,'Test catalog'!$A$2:$A$200,0))),"")</f>
        <v/>
      </c>
      <c r="U701" s="10">
        <f>IFERROR(IF(INDEX('Test catalog'!$N$2:$N$200,MATCH($AB701,'Test catalog'!$A$2:$A$200,0))="","",INDEX('Test catalog'!$N$2:$N$200,MATCH($AB701,'Test catalog'!$A$2:$A$200,0))),"")</f>
        <v/>
      </c>
      <c r="V701" s="15" t="n"/>
      <c r="W701" s="5" t="inlineStr">
        <is>
          <t>N</t>
        </is>
      </c>
      <c r="X701" s="5" t="n"/>
      <c r="Y701" s="5" t="n"/>
      <c r="Z701" s="5" t="n"/>
      <c r="AA701" s="10">
        <f>IFERROR(IF(INDEX('Test catalog'!$O$2:$O$200,MATCH($AB701,'Test catalog'!$A$2:$A$200,0))="","",INDEX('Test catalog'!$O$2:$O$200,MATCH($AB701,'Test catalog'!$A$2:$A$200,0))),"")</f>
        <v/>
      </c>
      <c r="AB701" s="10" t="inlineStr">
        <is>
          <t>APPEAR</t>
        </is>
      </c>
      <c r="AC701" s="10" t="inlineStr">
        <is>
          <t>Lab practice (not a USP test)</t>
        </is>
      </c>
      <c r="AD701" s="10" t="n"/>
      <c r="AE701" s="10" t="n"/>
    </row>
    <row r="702">
      <c r="A702" s="10" t="inlineStr">
        <is>
          <t>Calcium Hydrogen Phosphate (Dicalcium Phosphate)</t>
        </is>
      </c>
      <c r="B702" s="10" t="inlineStr">
        <is>
          <t>RM</t>
        </is>
      </c>
      <c r="C702" s="10" t="inlineStr">
        <is>
          <t>Filler / Diluent</t>
        </is>
      </c>
      <c r="D702" s="10" t="inlineStr">
        <is>
          <t>ID A - chemical reaction</t>
        </is>
      </c>
      <c r="E702" s="10">
        <f>IF(A702="","",A702&amp;"|"&amp;D702)</f>
        <v/>
      </c>
      <c r="F702" s="5" t="inlineStr">
        <is>
          <t>Y</t>
        </is>
      </c>
      <c r="G702" s="5" t="inlineStr">
        <is>
          <t>Other / bench</t>
        </is>
      </c>
      <c r="H702" s="5" t="inlineStr">
        <is>
          <t>Low</t>
        </is>
      </c>
      <c r="I702" s="5" t="n">
        <v>1</v>
      </c>
      <c r="J702" s="5" t="n"/>
      <c r="K702" s="10">
        <f>IFERROR(IF(INDEX('Test catalog'!$F$2:$F$200,MATCH($AB702,'Test catalog'!$A$2:$A$200,0))="","",INDEX('Test catalog'!$F$2:$F$200,MATCH($AB702,'Test catalog'!$A$2:$A$200,0))),"")</f>
        <v/>
      </c>
      <c r="L702" s="10">
        <f>IFERROR(IF(INDEX('Test catalog'!$G$2:$G$200,MATCH($AB702,'Test catalog'!$A$2:$A$200,0))="","",INDEX('Test catalog'!$G$2:$G$200,MATCH($AB702,'Test catalog'!$A$2:$A$200,0))),"")</f>
        <v/>
      </c>
      <c r="M702" s="10">
        <f>IFERROR(IF(INDEX('Test catalog'!$H$2:$H$200,MATCH($AB702,'Test catalog'!$A$2:$A$200,0))="","",INDEX('Test catalog'!$H$2:$H$200,MATCH($AB702,'Test catalog'!$A$2:$A$200,0))),"")</f>
        <v/>
      </c>
      <c r="N702" s="10">
        <f>IFERROR(IF(INDEX('Test catalog'!$I$2:$I$200,MATCH($AB702,'Test catalog'!$A$2:$A$200,0))="","",INDEX('Test catalog'!$I$2:$I$200,MATCH($AB702,'Test catalog'!$A$2:$A$200,0))),"")</f>
        <v/>
      </c>
      <c r="O702" s="10">
        <f>IFERROR(IF(INDEX('Test catalog'!$J$2:$J$200,MATCH($AB702,'Test catalog'!$A$2:$A$200,0))="","",INDEX('Test catalog'!$J$2:$J$200,MATCH($AB702,'Test catalog'!$A$2:$A$200,0))),"")</f>
        <v/>
      </c>
      <c r="P702" s="14">
        <f>IF(N702="","",IF(OR(M702="",O702=""),N702,(M702+4*N702+O702)/6))</f>
        <v/>
      </c>
      <c r="Q702" s="10">
        <f>IFERROR(IF(INDEX('Test catalog'!$K$2:$K$200,MATCH($AB702,'Test catalog'!$A$2:$A$200,0))="","",INDEX('Test catalog'!$K$2:$K$200,MATCH($AB702,'Test catalog'!$A$2:$A$200,0))),"")</f>
        <v/>
      </c>
      <c r="R702" s="5" t="n"/>
      <c r="S702" s="10">
        <f>IFERROR(IF(INDEX('Test catalog'!$L$2:$L$200,MATCH($AB702,'Test catalog'!$A$2:$A$200,0))="","",INDEX('Test catalog'!$L$2:$L$200,MATCH($AB702,'Test catalog'!$A$2:$A$200,0))),"")</f>
        <v/>
      </c>
      <c r="T702" s="10">
        <f>IFERROR(IF(INDEX('Test catalog'!$M$2:$M$200,MATCH($AB702,'Test catalog'!$A$2:$A$200,0))="","",INDEX('Test catalog'!$M$2:$M$200,MATCH($AB702,'Test catalog'!$A$2:$A$200,0))),"")</f>
        <v/>
      </c>
      <c r="U702" s="10">
        <f>IFERROR(IF(INDEX('Test catalog'!$N$2:$N$200,MATCH($AB702,'Test catalog'!$A$2:$A$200,0))="","",INDEX('Test catalog'!$N$2:$N$200,MATCH($AB702,'Test catalog'!$A$2:$A$200,0))),"")</f>
        <v/>
      </c>
      <c r="V702" s="15" t="n"/>
      <c r="W702" s="5" t="inlineStr">
        <is>
          <t>N</t>
        </is>
      </c>
      <c r="X702" s="5" t="n"/>
      <c r="Y702" s="5" t="n"/>
      <c r="Z702" s="5" t="n"/>
      <c r="AA702" s="10">
        <f>IFERROR(IF(INDEX('Test catalog'!$O$2:$O$200,MATCH($AB702,'Test catalog'!$A$2:$A$200,0))="","",INDEX('Test catalog'!$O$2:$O$200,MATCH($AB702,'Test catalog'!$A$2:$A$200,0))),"")</f>
        <v/>
      </c>
      <c r="AB702" s="10" t="inlineStr">
        <is>
          <t>ID_CHEM</t>
        </is>
      </c>
      <c r="AC702" s="10" t="inlineStr">
        <is>
          <t>Anhydrous Dibasic Calcium Phosphate · Identification</t>
        </is>
      </c>
      <c r="AD702" s="10" t="n"/>
      <c r="AE702" s="10" t="n"/>
    </row>
    <row r="703">
      <c r="A703" s="10" t="inlineStr">
        <is>
          <t>Calcium Hydrogen Phosphate (Dicalcium Phosphate)</t>
        </is>
      </c>
      <c r="B703" s="10" t="inlineStr">
        <is>
          <t>RM</t>
        </is>
      </c>
      <c r="C703" s="10" t="inlineStr">
        <is>
          <t>Filler / Diluent</t>
        </is>
      </c>
      <c r="D703" s="10" t="inlineStr">
        <is>
          <t>ID B - chemical reaction</t>
        </is>
      </c>
      <c r="E703" s="10">
        <f>IF(A703="","",A703&amp;"|"&amp;D703)</f>
        <v/>
      </c>
      <c r="F703" s="5" t="inlineStr">
        <is>
          <t>Y</t>
        </is>
      </c>
      <c r="G703" s="5" t="inlineStr">
        <is>
          <t>Other / bench</t>
        </is>
      </c>
      <c r="H703" s="5" t="inlineStr">
        <is>
          <t>Low</t>
        </is>
      </c>
      <c r="I703" s="5" t="n">
        <v>1</v>
      </c>
      <c r="J703" s="5" t="n"/>
      <c r="K703" s="10">
        <f>IFERROR(IF(INDEX('Test catalog'!$F$2:$F$200,MATCH($AB703,'Test catalog'!$A$2:$A$200,0))="","",INDEX('Test catalog'!$F$2:$F$200,MATCH($AB703,'Test catalog'!$A$2:$A$200,0))),"")</f>
        <v/>
      </c>
      <c r="L703" s="10">
        <f>IFERROR(IF(INDEX('Test catalog'!$G$2:$G$200,MATCH($AB703,'Test catalog'!$A$2:$A$200,0))="","",INDEX('Test catalog'!$G$2:$G$200,MATCH($AB703,'Test catalog'!$A$2:$A$200,0))),"")</f>
        <v/>
      </c>
      <c r="M703" s="10">
        <f>IFERROR(IF(INDEX('Test catalog'!$H$2:$H$200,MATCH($AB703,'Test catalog'!$A$2:$A$200,0))="","",INDEX('Test catalog'!$H$2:$H$200,MATCH($AB703,'Test catalog'!$A$2:$A$200,0))),"")</f>
        <v/>
      </c>
      <c r="N703" s="10">
        <f>IFERROR(IF(INDEX('Test catalog'!$I$2:$I$200,MATCH($AB703,'Test catalog'!$A$2:$A$200,0))="","",INDEX('Test catalog'!$I$2:$I$200,MATCH($AB703,'Test catalog'!$A$2:$A$200,0))),"")</f>
        <v/>
      </c>
      <c r="O703" s="10">
        <f>IFERROR(IF(INDEX('Test catalog'!$J$2:$J$200,MATCH($AB703,'Test catalog'!$A$2:$A$200,0))="","",INDEX('Test catalog'!$J$2:$J$200,MATCH($AB703,'Test catalog'!$A$2:$A$200,0))),"")</f>
        <v/>
      </c>
      <c r="P703" s="14">
        <f>IF(N703="","",IF(OR(M703="",O703=""),N703,(M703+4*N703+O703)/6))</f>
        <v/>
      </c>
      <c r="Q703" s="10">
        <f>IFERROR(IF(INDEX('Test catalog'!$K$2:$K$200,MATCH($AB703,'Test catalog'!$A$2:$A$200,0))="","",INDEX('Test catalog'!$K$2:$K$200,MATCH($AB703,'Test catalog'!$A$2:$A$200,0))),"")</f>
        <v/>
      </c>
      <c r="R703" s="5" t="n"/>
      <c r="S703" s="10">
        <f>IFERROR(IF(INDEX('Test catalog'!$L$2:$L$200,MATCH($AB703,'Test catalog'!$A$2:$A$200,0))="","",INDEX('Test catalog'!$L$2:$L$200,MATCH($AB703,'Test catalog'!$A$2:$A$200,0))),"")</f>
        <v/>
      </c>
      <c r="T703" s="10">
        <f>IFERROR(IF(INDEX('Test catalog'!$M$2:$M$200,MATCH($AB703,'Test catalog'!$A$2:$A$200,0))="","",INDEX('Test catalog'!$M$2:$M$200,MATCH($AB703,'Test catalog'!$A$2:$A$200,0))),"")</f>
        <v/>
      </c>
      <c r="U703" s="10">
        <f>IFERROR(IF(INDEX('Test catalog'!$N$2:$N$200,MATCH($AB703,'Test catalog'!$A$2:$A$200,0))="","",INDEX('Test catalog'!$N$2:$N$200,MATCH($AB703,'Test catalog'!$A$2:$A$200,0))),"")</f>
        <v/>
      </c>
      <c r="V703" s="15" t="n"/>
      <c r="W703" s="5" t="inlineStr">
        <is>
          <t>N</t>
        </is>
      </c>
      <c r="X703" s="5" t="n"/>
      <c r="Y703" s="5" t="n"/>
      <c r="Z703" s="5" t="n"/>
      <c r="AA703" s="10">
        <f>IFERROR(IF(INDEX('Test catalog'!$O$2:$O$200,MATCH($AB703,'Test catalog'!$A$2:$A$200,0))="","",INDEX('Test catalog'!$O$2:$O$200,MATCH($AB703,'Test catalog'!$A$2:$A$200,0))),"")</f>
        <v/>
      </c>
      <c r="AB703" s="10" t="inlineStr">
        <is>
          <t>ID_CHEM</t>
        </is>
      </c>
      <c r="AC703" s="10" t="inlineStr">
        <is>
          <t>Anhydrous Dibasic Calcium Phosphate · Identification</t>
        </is>
      </c>
      <c r="AD703" s="10" t="n"/>
      <c r="AE703" s="10" t="n"/>
    </row>
    <row r="704">
      <c r="A704" s="10" t="inlineStr">
        <is>
          <t>Calcium Hydrogen Phosphate (Dicalcium Phosphate)</t>
        </is>
      </c>
      <c r="B704" s="10" t="inlineStr">
        <is>
          <t>RM</t>
        </is>
      </c>
      <c r="C704" s="10" t="inlineStr">
        <is>
          <t>Filler / Diluent</t>
        </is>
      </c>
      <c r="D704" s="10" t="inlineStr">
        <is>
          <t>Assay</t>
        </is>
      </c>
      <c r="E704" s="10">
        <f>IF(A704="","",A704&amp;"|"&amp;D704)</f>
        <v/>
      </c>
      <c r="F704" s="5" t="inlineStr">
        <is>
          <t>Y</t>
        </is>
      </c>
      <c r="G704" s="5" t="inlineStr">
        <is>
          <t>Other / bench</t>
        </is>
      </c>
      <c r="H704" s="5" t="inlineStr">
        <is>
          <t>Low</t>
        </is>
      </c>
      <c r="I704" s="5" t="n">
        <v>1</v>
      </c>
      <c r="J704" s="5" t="n"/>
      <c r="K704" s="10">
        <f>IFERROR(IF(INDEX('Test catalog'!$F$2:$F$200,MATCH($AB704,'Test catalog'!$A$2:$A$200,0))="","",INDEX('Test catalog'!$F$2:$F$200,MATCH($AB704,'Test catalog'!$A$2:$A$200,0))),"")</f>
        <v/>
      </c>
      <c r="L704" s="10">
        <f>IFERROR(IF(INDEX('Test catalog'!$G$2:$G$200,MATCH($AB704,'Test catalog'!$A$2:$A$200,0))="","",INDEX('Test catalog'!$G$2:$G$200,MATCH($AB704,'Test catalog'!$A$2:$A$200,0))),"")</f>
        <v/>
      </c>
      <c r="M704" s="10">
        <f>IFERROR(IF(INDEX('Test catalog'!$H$2:$H$200,MATCH($AB704,'Test catalog'!$A$2:$A$200,0))="","",INDEX('Test catalog'!$H$2:$H$200,MATCH($AB704,'Test catalog'!$A$2:$A$200,0))),"")</f>
        <v/>
      </c>
      <c r="N704" s="10">
        <f>IFERROR(IF(INDEX('Test catalog'!$I$2:$I$200,MATCH($AB704,'Test catalog'!$A$2:$A$200,0))="","",INDEX('Test catalog'!$I$2:$I$200,MATCH($AB704,'Test catalog'!$A$2:$A$200,0))),"")</f>
        <v/>
      </c>
      <c r="O704" s="10">
        <f>IFERROR(IF(INDEX('Test catalog'!$J$2:$J$200,MATCH($AB704,'Test catalog'!$A$2:$A$200,0))="","",INDEX('Test catalog'!$J$2:$J$200,MATCH($AB704,'Test catalog'!$A$2:$A$200,0))),"")</f>
        <v/>
      </c>
      <c r="P704" s="14">
        <f>IF(N704="","",IF(OR(M704="",O704=""),N704,(M704+4*N704+O704)/6))</f>
        <v/>
      </c>
      <c r="Q704" s="10">
        <f>IFERROR(IF(INDEX('Test catalog'!$K$2:$K$200,MATCH($AB704,'Test catalog'!$A$2:$A$200,0))="","",INDEX('Test catalog'!$K$2:$K$200,MATCH($AB704,'Test catalog'!$A$2:$A$200,0))),"")</f>
        <v/>
      </c>
      <c r="R704" s="5" t="n"/>
      <c r="S704" s="10">
        <f>IFERROR(IF(INDEX('Test catalog'!$L$2:$L$200,MATCH($AB704,'Test catalog'!$A$2:$A$200,0))="","",INDEX('Test catalog'!$L$2:$L$200,MATCH($AB704,'Test catalog'!$A$2:$A$200,0))),"")</f>
        <v/>
      </c>
      <c r="T704" s="10">
        <f>IFERROR(IF(INDEX('Test catalog'!$M$2:$M$200,MATCH($AB704,'Test catalog'!$A$2:$A$200,0))="","",INDEX('Test catalog'!$M$2:$M$200,MATCH($AB704,'Test catalog'!$A$2:$A$200,0))),"")</f>
        <v/>
      </c>
      <c r="U704" s="10">
        <f>IFERROR(IF(INDEX('Test catalog'!$N$2:$N$200,MATCH($AB704,'Test catalog'!$A$2:$A$200,0))="","",INDEX('Test catalog'!$N$2:$N$200,MATCH($AB704,'Test catalog'!$A$2:$A$200,0))),"")</f>
        <v/>
      </c>
      <c r="V704" s="15" t="n"/>
      <c r="W704" s="5" t="inlineStr">
        <is>
          <t>N</t>
        </is>
      </c>
      <c r="X704" s="5" t="n"/>
      <c r="Y704" s="5" t="n"/>
      <c r="Z704" s="5" t="n"/>
      <c r="AA704" s="10">
        <f>IFERROR(IF(INDEX('Test catalog'!$O$2:$O$200,MATCH($AB704,'Test catalog'!$A$2:$A$200,0))="","",INDEX('Test catalog'!$O$2:$O$200,MATCH($AB704,'Test catalog'!$A$2:$A$200,0))),"")</f>
        <v/>
      </c>
      <c r="AB704" s="10" t="inlineStr">
        <is>
          <t>TITR</t>
        </is>
      </c>
      <c r="AC704" s="10" t="inlineStr">
        <is>
          <t>Anhydrous Dibasic Calcium Phosphate · Assay</t>
        </is>
      </c>
      <c r="AD704" s="10" t="n"/>
      <c r="AE704" s="10" t="n"/>
    </row>
    <row r="705">
      <c r="A705" s="10" t="inlineStr">
        <is>
          <t>Calcium Hydrogen Phosphate (Dicalcium Phosphate)</t>
        </is>
      </c>
      <c r="B705" s="10" t="inlineStr">
        <is>
          <t>RM</t>
        </is>
      </c>
      <c r="C705" s="10" t="inlineStr">
        <is>
          <t>Filler / Diluent</t>
        </is>
      </c>
      <c r="D705" s="10" t="inlineStr">
        <is>
          <t>Carbonate</t>
        </is>
      </c>
      <c r="E705" s="10">
        <f>IF(A705="","",A705&amp;"|"&amp;D705)</f>
        <v/>
      </c>
      <c r="F705" s="5" t="inlineStr">
        <is>
          <t>Y</t>
        </is>
      </c>
      <c r="G705" s="5" t="inlineStr">
        <is>
          <t>Other / bench</t>
        </is>
      </c>
      <c r="H705" s="5" t="inlineStr">
        <is>
          <t>Low</t>
        </is>
      </c>
      <c r="I705" s="5" t="n">
        <v>1</v>
      </c>
      <c r="J705" s="5" t="n"/>
      <c r="K705" s="10">
        <f>IFERROR(IF(INDEX('Test catalog'!$F$2:$F$200,MATCH($AB705,'Test catalog'!$A$2:$A$200,0))="","",INDEX('Test catalog'!$F$2:$F$200,MATCH($AB705,'Test catalog'!$A$2:$A$200,0))),"")</f>
        <v/>
      </c>
      <c r="L705" s="10">
        <f>IFERROR(IF(INDEX('Test catalog'!$G$2:$G$200,MATCH($AB705,'Test catalog'!$A$2:$A$200,0))="","",INDEX('Test catalog'!$G$2:$G$200,MATCH($AB705,'Test catalog'!$A$2:$A$200,0))),"")</f>
        <v/>
      </c>
      <c r="M705" s="10">
        <f>IFERROR(IF(INDEX('Test catalog'!$H$2:$H$200,MATCH($AB705,'Test catalog'!$A$2:$A$200,0))="","",INDEX('Test catalog'!$H$2:$H$200,MATCH($AB705,'Test catalog'!$A$2:$A$200,0))),"")</f>
        <v/>
      </c>
      <c r="N705" s="10">
        <f>IFERROR(IF(INDEX('Test catalog'!$I$2:$I$200,MATCH($AB705,'Test catalog'!$A$2:$A$200,0))="","",INDEX('Test catalog'!$I$2:$I$200,MATCH($AB705,'Test catalog'!$A$2:$A$200,0))),"")</f>
        <v/>
      </c>
      <c r="O705" s="10">
        <f>IFERROR(IF(INDEX('Test catalog'!$J$2:$J$200,MATCH($AB705,'Test catalog'!$A$2:$A$200,0))="","",INDEX('Test catalog'!$J$2:$J$200,MATCH($AB705,'Test catalog'!$A$2:$A$200,0))),"")</f>
        <v/>
      </c>
      <c r="P705" s="14">
        <f>IF(N705="","",IF(OR(M705="",O705=""),N705,(M705+4*N705+O705)/6))</f>
        <v/>
      </c>
      <c r="Q705" s="10">
        <f>IFERROR(IF(INDEX('Test catalog'!$K$2:$K$200,MATCH($AB705,'Test catalog'!$A$2:$A$200,0))="","",INDEX('Test catalog'!$K$2:$K$200,MATCH($AB705,'Test catalog'!$A$2:$A$200,0))),"")</f>
        <v/>
      </c>
      <c r="R705" s="5" t="n"/>
      <c r="S705" s="10">
        <f>IFERROR(IF(INDEX('Test catalog'!$L$2:$L$200,MATCH($AB705,'Test catalog'!$A$2:$A$200,0))="","",INDEX('Test catalog'!$L$2:$L$200,MATCH($AB705,'Test catalog'!$A$2:$A$200,0))),"")</f>
        <v/>
      </c>
      <c r="T705" s="10">
        <f>IFERROR(IF(INDEX('Test catalog'!$M$2:$M$200,MATCH($AB705,'Test catalog'!$A$2:$A$200,0))="","",INDEX('Test catalog'!$M$2:$M$200,MATCH($AB705,'Test catalog'!$A$2:$A$200,0))),"")</f>
        <v/>
      </c>
      <c r="U705" s="10">
        <f>IFERROR(IF(INDEX('Test catalog'!$N$2:$N$200,MATCH($AB705,'Test catalog'!$A$2:$A$200,0))="","",INDEX('Test catalog'!$N$2:$N$200,MATCH($AB705,'Test catalog'!$A$2:$A$200,0))),"")</f>
        <v/>
      </c>
      <c r="V705" s="15" t="n"/>
      <c r="W705" s="5" t="inlineStr">
        <is>
          <t>N</t>
        </is>
      </c>
      <c r="X705" s="5" t="n"/>
      <c r="Y705" s="5" t="n"/>
      <c r="Z705" s="5" t="n"/>
      <c r="AA705" s="10">
        <f>IFERROR(IF(INDEX('Test catalog'!$O$2:$O$200,MATCH($AB705,'Test catalog'!$A$2:$A$200,0))="","",INDEX('Test catalog'!$O$2:$O$200,MATCH($AB705,'Test catalog'!$A$2:$A$200,0))),"")</f>
        <v/>
      </c>
      <c r="AB705" s="10" t="inlineStr">
        <is>
          <t>LIMIT</t>
        </is>
      </c>
      <c r="AC705" s="10" t="inlineStr">
        <is>
          <t>Anhydrous Dibasic Calcium Phosphate · Impurities</t>
        </is>
      </c>
      <c r="AD705" s="10" t="n"/>
      <c r="AE705" s="10" t="n"/>
    </row>
    <row r="706">
      <c r="A706" s="10" t="inlineStr">
        <is>
          <t>Calcium Hydrogen Phosphate (Dicalcium Phosphate)</t>
        </is>
      </c>
      <c r="B706" s="10" t="inlineStr">
        <is>
          <t>RM</t>
        </is>
      </c>
      <c r="C706" s="10" t="inlineStr">
        <is>
          <t>Filler / Diluent</t>
        </is>
      </c>
      <c r="D706" s="10" t="inlineStr">
        <is>
          <t>Chloride</t>
        </is>
      </c>
      <c r="E706" s="10">
        <f>IF(A706="","",A706&amp;"|"&amp;D706)</f>
        <v/>
      </c>
      <c r="F706" s="5" t="inlineStr">
        <is>
          <t>Y</t>
        </is>
      </c>
      <c r="G706" s="5" t="inlineStr">
        <is>
          <t>Other / bench</t>
        </is>
      </c>
      <c r="H706" s="5" t="inlineStr">
        <is>
          <t>Low</t>
        </is>
      </c>
      <c r="I706" s="5" t="n">
        <v>1</v>
      </c>
      <c r="J706" s="5" t="n"/>
      <c r="K706" s="10">
        <f>IFERROR(IF(INDEX('Test catalog'!$F$2:$F$200,MATCH($AB706,'Test catalog'!$A$2:$A$200,0))="","",INDEX('Test catalog'!$F$2:$F$200,MATCH($AB706,'Test catalog'!$A$2:$A$200,0))),"")</f>
        <v/>
      </c>
      <c r="L706" s="10">
        <f>IFERROR(IF(INDEX('Test catalog'!$G$2:$G$200,MATCH($AB706,'Test catalog'!$A$2:$A$200,0))="","",INDEX('Test catalog'!$G$2:$G$200,MATCH($AB706,'Test catalog'!$A$2:$A$200,0))),"")</f>
        <v/>
      </c>
      <c r="M706" s="10">
        <f>IFERROR(IF(INDEX('Test catalog'!$H$2:$H$200,MATCH($AB706,'Test catalog'!$A$2:$A$200,0))="","",INDEX('Test catalog'!$H$2:$H$200,MATCH($AB706,'Test catalog'!$A$2:$A$200,0))),"")</f>
        <v/>
      </c>
      <c r="N706" s="10">
        <f>IFERROR(IF(INDEX('Test catalog'!$I$2:$I$200,MATCH($AB706,'Test catalog'!$A$2:$A$200,0))="","",INDEX('Test catalog'!$I$2:$I$200,MATCH($AB706,'Test catalog'!$A$2:$A$200,0))),"")</f>
        <v/>
      </c>
      <c r="O706" s="10">
        <f>IFERROR(IF(INDEX('Test catalog'!$J$2:$J$200,MATCH($AB706,'Test catalog'!$A$2:$A$200,0))="","",INDEX('Test catalog'!$J$2:$J$200,MATCH($AB706,'Test catalog'!$A$2:$A$200,0))),"")</f>
        <v/>
      </c>
      <c r="P706" s="14">
        <f>IF(N706="","",IF(OR(M706="",O706=""),N706,(M706+4*N706+O706)/6))</f>
        <v/>
      </c>
      <c r="Q706" s="10">
        <f>IFERROR(IF(INDEX('Test catalog'!$K$2:$K$200,MATCH($AB706,'Test catalog'!$A$2:$A$200,0))="","",INDEX('Test catalog'!$K$2:$K$200,MATCH($AB706,'Test catalog'!$A$2:$A$200,0))),"")</f>
        <v/>
      </c>
      <c r="R706" s="5" t="n"/>
      <c r="S706" s="10">
        <f>IFERROR(IF(INDEX('Test catalog'!$L$2:$L$200,MATCH($AB706,'Test catalog'!$A$2:$A$200,0))="","",INDEX('Test catalog'!$L$2:$L$200,MATCH($AB706,'Test catalog'!$A$2:$A$200,0))),"")</f>
        <v/>
      </c>
      <c r="T706" s="10">
        <f>IFERROR(IF(INDEX('Test catalog'!$M$2:$M$200,MATCH($AB706,'Test catalog'!$A$2:$A$200,0))="","",INDEX('Test catalog'!$M$2:$M$200,MATCH($AB706,'Test catalog'!$A$2:$A$200,0))),"")</f>
        <v/>
      </c>
      <c r="U706" s="10">
        <f>IFERROR(IF(INDEX('Test catalog'!$N$2:$N$200,MATCH($AB706,'Test catalog'!$A$2:$A$200,0))="","",INDEX('Test catalog'!$N$2:$N$200,MATCH($AB706,'Test catalog'!$A$2:$A$200,0))),"")</f>
        <v/>
      </c>
      <c r="V706" s="15" t="n"/>
      <c r="W706" s="5" t="inlineStr">
        <is>
          <t>N</t>
        </is>
      </c>
      <c r="X706" s="5" t="n"/>
      <c r="Y706" s="5" t="n"/>
      <c r="Z706" s="5" t="n"/>
      <c r="AA706" s="10">
        <f>IFERROR(IF(INDEX('Test catalog'!$O$2:$O$200,MATCH($AB706,'Test catalog'!$A$2:$A$200,0))="","",INDEX('Test catalog'!$O$2:$O$200,MATCH($AB706,'Test catalog'!$A$2:$A$200,0))),"")</f>
        <v/>
      </c>
      <c r="AB706" s="10" t="inlineStr">
        <is>
          <t>LIMIT</t>
        </is>
      </c>
      <c r="AC706" s="10" t="inlineStr">
        <is>
          <t>Anhydrous Dibasic Calcium Phosphate · Impurities &lt;221&gt;</t>
        </is>
      </c>
      <c r="AD706" s="10" t="n"/>
      <c r="AE706" s="10" t="n"/>
    </row>
    <row r="707">
      <c r="A707" s="10" t="inlineStr">
        <is>
          <t>Calcium Hydrogen Phosphate (Dicalcium Phosphate)</t>
        </is>
      </c>
      <c r="B707" s="10" t="inlineStr">
        <is>
          <t>RM</t>
        </is>
      </c>
      <c r="C707" s="10" t="inlineStr">
        <is>
          <t>Filler / Diluent</t>
        </is>
      </c>
      <c r="D707" s="10" t="inlineStr">
        <is>
          <t>Sulfate</t>
        </is>
      </c>
      <c r="E707" s="10">
        <f>IF(A707="","",A707&amp;"|"&amp;D707)</f>
        <v/>
      </c>
      <c r="F707" s="5" t="inlineStr">
        <is>
          <t>Y</t>
        </is>
      </c>
      <c r="G707" s="5" t="inlineStr">
        <is>
          <t>Other / bench</t>
        </is>
      </c>
      <c r="H707" s="5" t="inlineStr">
        <is>
          <t>Low</t>
        </is>
      </c>
      <c r="I707" s="5" t="n">
        <v>1</v>
      </c>
      <c r="J707" s="5" t="n"/>
      <c r="K707" s="10">
        <f>IFERROR(IF(INDEX('Test catalog'!$F$2:$F$200,MATCH($AB707,'Test catalog'!$A$2:$A$200,0))="","",INDEX('Test catalog'!$F$2:$F$200,MATCH($AB707,'Test catalog'!$A$2:$A$200,0))),"")</f>
        <v/>
      </c>
      <c r="L707" s="10">
        <f>IFERROR(IF(INDEX('Test catalog'!$G$2:$G$200,MATCH($AB707,'Test catalog'!$A$2:$A$200,0))="","",INDEX('Test catalog'!$G$2:$G$200,MATCH($AB707,'Test catalog'!$A$2:$A$200,0))),"")</f>
        <v/>
      </c>
      <c r="M707" s="10">
        <f>IFERROR(IF(INDEX('Test catalog'!$H$2:$H$200,MATCH($AB707,'Test catalog'!$A$2:$A$200,0))="","",INDEX('Test catalog'!$H$2:$H$200,MATCH($AB707,'Test catalog'!$A$2:$A$200,0))),"")</f>
        <v/>
      </c>
      <c r="N707" s="10">
        <f>IFERROR(IF(INDEX('Test catalog'!$I$2:$I$200,MATCH($AB707,'Test catalog'!$A$2:$A$200,0))="","",INDEX('Test catalog'!$I$2:$I$200,MATCH($AB707,'Test catalog'!$A$2:$A$200,0))),"")</f>
        <v/>
      </c>
      <c r="O707" s="10">
        <f>IFERROR(IF(INDEX('Test catalog'!$J$2:$J$200,MATCH($AB707,'Test catalog'!$A$2:$A$200,0))="","",INDEX('Test catalog'!$J$2:$J$200,MATCH($AB707,'Test catalog'!$A$2:$A$200,0))),"")</f>
        <v/>
      </c>
      <c r="P707" s="14">
        <f>IF(N707="","",IF(OR(M707="",O707=""),N707,(M707+4*N707+O707)/6))</f>
        <v/>
      </c>
      <c r="Q707" s="10">
        <f>IFERROR(IF(INDEX('Test catalog'!$K$2:$K$200,MATCH($AB707,'Test catalog'!$A$2:$A$200,0))="","",INDEX('Test catalog'!$K$2:$K$200,MATCH($AB707,'Test catalog'!$A$2:$A$200,0))),"")</f>
        <v/>
      </c>
      <c r="R707" s="5" t="n"/>
      <c r="S707" s="10">
        <f>IFERROR(IF(INDEX('Test catalog'!$L$2:$L$200,MATCH($AB707,'Test catalog'!$A$2:$A$200,0))="","",INDEX('Test catalog'!$L$2:$L$200,MATCH($AB707,'Test catalog'!$A$2:$A$200,0))),"")</f>
        <v/>
      </c>
      <c r="T707" s="10">
        <f>IFERROR(IF(INDEX('Test catalog'!$M$2:$M$200,MATCH($AB707,'Test catalog'!$A$2:$A$200,0))="","",INDEX('Test catalog'!$M$2:$M$200,MATCH($AB707,'Test catalog'!$A$2:$A$200,0))),"")</f>
        <v/>
      </c>
      <c r="U707" s="10">
        <f>IFERROR(IF(INDEX('Test catalog'!$N$2:$N$200,MATCH($AB707,'Test catalog'!$A$2:$A$200,0))="","",INDEX('Test catalog'!$N$2:$N$200,MATCH($AB707,'Test catalog'!$A$2:$A$200,0))),"")</f>
        <v/>
      </c>
      <c r="V707" s="15" t="n"/>
      <c r="W707" s="5" t="inlineStr">
        <is>
          <t>N</t>
        </is>
      </c>
      <c r="X707" s="5" t="n"/>
      <c r="Y707" s="5" t="n"/>
      <c r="Z707" s="5" t="n"/>
      <c r="AA707" s="10">
        <f>IFERROR(IF(INDEX('Test catalog'!$O$2:$O$200,MATCH($AB707,'Test catalog'!$A$2:$A$200,0))="","",INDEX('Test catalog'!$O$2:$O$200,MATCH($AB707,'Test catalog'!$A$2:$A$200,0))),"")</f>
        <v/>
      </c>
      <c r="AB707" s="10" t="inlineStr">
        <is>
          <t>LIMIT</t>
        </is>
      </c>
      <c r="AC707" s="10" t="inlineStr">
        <is>
          <t>Anhydrous Dibasic Calcium Phosphate · Impurities &lt;221&gt;</t>
        </is>
      </c>
      <c r="AD707" s="10" t="n"/>
      <c r="AE707" s="10" t="n"/>
    </row>
    <row r="708">
      <c r="A708" s="10" t="inlineStr">
        <is>
          <t>Calcium Hydrogen Phosphate (Dicalcium Phosphate)</t>
        </is>
      </c>
      <c r="B708" s="10" t="inlineStr">
        <is>
          <t>RM</t>
        </is>
      </c>
      <c r="C708" s="10" t="inlineStr">
        <is>
          <t>Filler / Diluent</t>
        </is>
      </c>
      <c r="D708" s="10" t="inlineStr">
        <is>
          <t>Barium</t>
        </is>
      </c>
      <c r="E708" s="10">
        <f>IF(A708="","",A708&amp;"|"&amp;D708)</f>
        <v/>
      </c>
      <c r="F708" s="5" t="inlineStr">
        <is>
          <t>Y</t>
        </is>
      </c>
      <c r="G708" s="5" t="inlineStr">
        <is>
          <t>Other / bench</t>
        </is>
      </c>
      <c r="H708" s="5" t="inlineStr">
        <is>
          <t>Low</t>
        </is>
      </c>
      <c r="I708" s="5" t="n">
        <v>1</v>
      </c>
      <c r="J708" s="5" t="n"/>
      <c r="K708" s="10">
        <f>IFERROR(IF(INDEX('Test catalog'!$F$2:$F$200,MATCH($AB708,'Test catalog'!$A$2:$A$200,0))="","",INDEX('Test catalog'!$F$2:$F$200,MATCH($AB708,'Test catalog'!$A$2:$A$200,0))),"")</f>
        <v/>
      </c>
      <c r="L708" s="10">
        <f>IFERROR(IF(INDEX('Test catalog'!$G$2:$G$200,MATCH($AB708,'Test catalog'!$A$2:$A$200,0))="","",INDEX('Test catalog'!$G$2:$G$200,MATCH($AB708,'Test catalog'!$A$2:$A$200,0))),"")</f>
        <v/>
      </c>
      <c r="M708" s="10">
        <f>IFERROR(IF(INDEX('Test catalog'!$H$2:$H$200,MATCH($AB708,'Test catalog'!$A$2:$A$200,0))="","",INDEX('Test catalog'!$H$2:$H$200,MATCH($AB708,'Test catalog'!$A$2:$A$200,0))),"")</f>
        <v/>
      </c>
      <c r="N708" s="10">
        <f>IFERROR(IF(INDEX('Test catalog'!$I$2:$I$200,MATCH($AB708,'Test catalog'!$A$2:$A$200,0))="","",INDEX('Test catalog'!$I$2:$I$200,MATCH($AB708,'Test catalog'!$A$2:$A$200,0))),"")</f>
        <v/>
      </c>
      <c r="O708" s="10">
        <f>IFERROR(IF(INDEX('Test catalog'!$J$2:$J$200,MATCH($AB708,'Test catalog'!$A$2:$A$200,0))="","",INDEX('Test catalog'!$J$2:$J$200,MATCH($AB708,'Test catalog'!$A$2:$A$200,0))),"")</f>
        <v/>
      </c>
      <c r="P708" s="14">
        <f>IF(N708="","",IF(OR(M708="",O708=""),N708,(M708+4*N708+O708)/6))</f>
        <v/>
      </c>
      <c r="Q708" s="10">
        <f>IFERROR(IF(INDEX('Test catalog'!$K$2:$K$200,MATCH($AB708,'Test catalog'!$A$2:$A$200,0))="","",INDEX('Test catalog'!$K$2:$K$200,MATCH($AB708,'Test catalog'!$A$2:$A$200,0))),"")</f>
        <v/>
      </c>
      <c r="R708" s="5" t="n"/>
      <c r="S708" s="10">
        <f>IFERROR(IF(INDEX('Test catalog'!$L$2:$L$200,MATCH($AB708,'Test catalog'!$A$2:$A$200,0))="","",INDEX('Test catalog'!$L$2:$L$200,MATCH($AB708,'Test catalog'!$A$2:$A$200,0))),"")</f>
        <v/>
      </c>
      <c r="T708" s="10">
        <f>IFERROR(IF(INDEX('Test catalog'!$M$2:$M$200,MATCH($AB708,'Test catalog'!$A$2:$A$200,0))="","",INDEX('Test catalog'!$M$2:$M$200,MATCH($AB708,'Test catalog'!$A$2:$A$200,0))),"")</f>
        <v/>
      </c>
      <c r="U708" s="10">
        <f>IFERROR(IF(INDEX('Test catalog'!$N$2:$N$200,MATCH($AB708,'Test catalog'!$A$2:$A$200,0))="","",INDEX('Test catalog'!$N$2:$N$200,MATCH($AB708,'Test catalog'!$A$2:$A$200,0))),"")</f>
        <v/>
      </c>
      <c r="V708" s="15" t="n"/>
      <c r="W708" s="5" t="inlineStr">
        <is>
          <t>N</t>
        </is>
      </c>
      <c r="X708" s="5" t="n"/>
      <c r="Y708" s="5" t="n"/>
      <c r="Z708" s="5" t="n"/>
      <c r="AA708" s="10">
        <f>IFERROR(IF(INDEX('Test catalog'!$O$2:$O$200,MATCH($AB708,'Test catalog'!$A$2:$A$200,0))="","",INDEX('Test catalog'!$O$2:$O$200,MATCH($AB708,'Test catalog'!$A$2:$A$200,0))),"")</f>
        <v/>
      </c>
      <c r="AB708" s="10" t="inlineStr">
        <is>
          <t>LIMIT</t>
        </is>
      </c>
      <c r="AC708" s="10" t="inlineStr">
        <is>
          <t>Anhydrous Dibasic Calcium Phosphate · Impurities</t>
        </is>
      </c>
      <c r="AD708" s="10" t="n"/>
      <c r="AE708" s="10" t="n"/>
    </row>
    <row r="709">
      <c r="A709" s="10" t="inlineStr">
        <is>
          <t>Calcium Hydrogen Phosphate (Dicalcium Phosphate)</t>
        </is>
      </c>
      <c r="B709" s="10" t="inlineStr">
        <is>
          <t>RM</t>
        </is>
      </c>
      <c r="C709" s="10" t="inlineStr">
        <is>
          <t>Filler / Diluent</t>
        </is>
      </c>
      <c r="D709" s="10" t="inlineStr">
        <is>
          <t>Limit of Acid-Insoluble Substances</t>
        </is>
      </c>
      <c r="E709" s="10">
        <f>IF(A709="","",A709&amp;"|"&amp;D709)</f>
        <v/>
      </c>
      <c r="F709" s="5" t="inlineStr">
        <is>
          <t>Y</t>
        </is>
      </c>
      <c r="G709" s="5" t="inlineStr">
        <is>
          <t>Other / bench</t>
        </is>
      </c>
      <c r="H709" s="5" t="inlineStr">
        <is>
          <t>Low</t>
        </is>
      </c>
      <c r="I709" s="5" t="n">
        <v>1</v>
      </c>
      <c r="J709" s="5" t="n"/>
      <c r="K709" s="10">
        <f>IFERROR(IF(INDEX('Test catalog'!$F$2:$F$200,MATCH($AB709,'Test catalog'!$A$2:$A$200,0))="","",INDEX('Test catalog'!$F$2:$F$200,MATCH($AB709,'Test catalog'!$A$2:$A$200,0))),"")</f>
        <v/>
      </c>
      <c r="L709" s="10">
        <f>IFERROR(IF(INDEX('Test catalog'!$G$2:$G$200,MATCH($AB709,'Test catalog'!$A$2:$A$200,0))="","",INDEX('Test catalog'!$G$2:$G$200,MATCH($AB709,'Test catalog'!$A$2:$A$200,0))),"")</f>
        <v/>
      </c>
      <c r="M709" s="10">
        <f>IFERROR(IF(INDEX('Test catalog'!$H$2:$H$200,MATCH($AB709,'Test catalog'!$A$2:$A$200,0))="","",INDEX('Test catalog'!$H$2:$H$200,MATCH($AB709,'Test catalog'!$A$2:$A$200,0))),"")</f>
        <v/>
      </c>
      <c r="N709" s="10">
        <f>IFERROR(IF(INDEX('Test catalog'!$I$2:$I$200,MATCH($AB709,'Test catalog'!$A$2:$A$200,0))="","",INDEX('Test catalog'!$I$2:$I$200,MATCH($AB709,'Test catalog'!$A$2:$A$200,0))),"")</f>
        <v/>
      </c>
      <c r="O709" s="10">
        <f>IFERROR(IF(INDEX('Test catalog'!$J$2:$J$200,MATCH($AB709,'Test catalog'!$A$2:$A$200,0))="","",INDEX('Test catalog'!$J$2:$J$200,MATCH($AB709,'Test catalog'!$A$2:$A$200,0))),"")</f>
        <v/>
      </c>
      <c r="P709" s="14">
        <f>IF(N709="","",IF(OR(M709="",O709=""),N709,(M709+4*N709+O709)/6))</f>
        <v/>
      </c>
      <c r="Q709" s="10">
        <f>IFERROR(IF(INDEX('Test catalog'!$K$2:$K$200,MATCH($AB709,'Test catalog'!$A$2:$A$200,0))="","",INDEX('Test catalog'!$K$2:$K$200,MATCH($AB709,'Test catalog'!$A$2:$A$200,0))),"")</f>
        <v/>
      </c>
      <c r="R709" s="5" t="n"/>
      <c r="S709" s="10">
        <f>IFERROR(IF(INDEX('Test catalog'!$L$2:$L$200,MATCH($AB709,'Test catalog'!$A$2:$A$200,0))="","",INDEX('Test catalog'!$L$2:$L$200,MATCH($AB709,'Test catalog'!$A$2:$A$200,0))),"")</f>
        <v/>
      </c>
      <c r="T709" s="10">
        <f>IFERROR(IF(INDEX('Test catalog'!$M$2:$M$200,MATCH($AB709,'Test catalog'!$A$2:$A$200,0))="","",INDEX('Test catalog'!$M$2:$M$200,MATCH($AB709,'Test catalog'!$A$2:$A$200,0))),"")</f>
        <v/>
      </c>
      <c r="U709" s="10">
        <f>IFERROR(IF(INDEX('Test catalog'!$N$2:$N$200,MATCH($AB709,'Test catalog'!$A$2:$A$200,0))="","",INDEX('Test catalog'!$N$2:$N$200,MATCH($AB709,'Test catalog'!$A$2:$A$200,0))),"")</f>
        <v/>
      </c>
      <c r="V709" s="15" t="n"/>
      <c r="W709" s="5" t="inlineStr">
        <is>
          <t>N</t>
        </is>
      </c>
      <c r="X709" s="5" t="n"/>
      <c r="Y709" s="5" t="n"/>
      <c r="Z709" s="5" t="n"/>
      <c r="AA709" s="10">
        <f>IFERROR(IF(INDEX('Test catalog'!$O$2:$O$200,MATCH($AB709,'Test catalog'!$A$2:$A$200,0))="","",INDEX('Test catalog'!$O$2:$O$200,MATCH($AB709,'Test catalog'!$A$2:$A$200,0))),"")</f>
        <v/>
      </c>
      <c r="AB709" s="10" t="inlineStr">
        <is>
          <t>GRAV</t>
        </is>
      </c>
      <c r="AC709" s="10" t="inlineStr">
        <is>
          <t>Anhydrous Dibasic Calcium Phosphate · Impurities</t>
        </is>
      </c>
      <c r="AD709" s="10" t="n"/>
      <c r="AE709" s="10" t="n"/>
    </row>
    <row r="710">
      <c r="A710" s="10" t="inlineStr">
        <is>
          <t>Calcium Hydrogen Phosphate (Dicalcium Phosphate)</t>
        </is>
      </c>
      <c r="B710" s="10" t="inlineStr">
        <is>
          <t>RM</t>
        </is>
      </c>
      <c r="C710" s="10" t="inlineStr">
        <is>
          <t>Filler / Diluent</t>
        </is>
      </c>
      <c r="D710" s="10" t="inlineStr">
        <is>
          <t>Loss on Ignition</t>
        </is>
      </c>
      <c r="E710" s="10">
        <f>IF(A710="","",A710&amp;"|"&amp;D710)</f>
        <v/>
      </c>
      <c r="F710" s="5" t="inlineStr">
        <is>
          <t>Y</t>
        </is>
      </c>
      <c r="G710" s="5" t="inlineStr">
        <is>
          <t>Other / bench</t>
        </is>
      </c>
      <c r="H710" s="5" t="inlineStr">
        <is>
          <t>Low</t>
        </is>
      </c>
      <c r="I710" s="5" t="n">
        <v>1</v>
      </c>
      <c r="J710" s="5" t="n"/>
      <c r="K710" s="10">
        <f>IFERROR(IF(INDEX('Test catalog'!$F$2:$F$200,MATCH($AB710,'Test catalog'!$A$2:$A$200,0))="","",INDEX('Test catalog'!$F$2:$F$200,MATCH($AB710,'Test catalog'!$A$2:$A$200,0))),"")</f>
        <v/>
      </c>
      <c r="L710" s="10">
        <f>IFERROR(IF(INDEX('Test catalog'!$G$2:$G$200,MATCH($AB710,'Test catalog'!$A$2:$A$200,0))="","",INDEX('Test catalog'!$G$2:$G$200,MATCH($AB710,'Test catalog'!$A$2:$A$200,0))),"")</f>
        <v/>
      </c>
      <c r="M710" s="10">
        <f>IFERROR(IF(INDEX('Test catalog'!$H$2:$H$200,MATCH($AB710,'Test catalog'!$A$2:$A$200,0))="","",INDEX('Test catalog'!$H$2:$H$200,MATCH($AB710,'Test catalog'!$A$2:$A$200,0))),"")</f>
        <v/>
      </c>
      <c r="N710" s="10">
        <f>IFERROR(IF(INDEX('Test catalog'!$I$2:$I$200,MATCH($AB710,'Test catalog'!$A$2:$A$200,0))="","",INDEX('Test catalog'!$I$2:$I$200,MATCH($AB710,'Test catalog'!$A$2:$A$200,0))),"")</f>
        <v/>
      </c>
      <c r="O710" s="10">
        <f>IFERROR(IF(INDEX('Test catalog'!$J$2:$J$200,MATCH($AB710,'Test catalog'!$A$2:$A$200,0))="","",INDEX('Test catalog'!$J$2:$J$200,MATCH($AB710,'Test catalog'!$A$2:$A$200,0))),"")</f>
        <v/>
      </c>
      <c r="P710" s="14">
        <f>IF(N710="","",IF(OR(M710="",O710=""),N710,(M710+4*N710+O710)/6))</f>
        <v/>
      </c>
      <c r="Q710" s="10">
        <f>IFERROR(IF(INDEX('Test catalog'!$K$2:$K$200,MATCH($AB710,'Test catalog'!$A$2:$A$200,0))="","",INDEX('Test catalog'!$K$2:$K$200,MATCH($AB710,'Test catalog'!$A$2:$A$200,0))),"")</f>
        <v/>
      </c>
      <c r="R710" s="5" t="n"/>
      <c r="S710" s="10">
        <f>IFERROR(IF(INDEX('Test catalog'!$L$2:$L$200,MATCH($AB710,'Test catalog'!$A$2:$A$200,0))="","",INDEX('Test catalog'!$L$2:$L$200,MATCH($AB710,'Test catalog'!$A$2:$A$200,0))),"")</f>
        <v/>
      </c>
      <c r="T710" s="10">
        <f>IFERROR(IF(INDEX('Test catalog'!$M$2:$M$200,MATCH($AB710,'Test catalog'!$A$2:$A$200,0))="","",INDEX('Test catalog'!$M$2:$M$200,MATCH($AB710,'Test catalog'!$A$2:$A$200,0))),"")</f>
        <v/>
      </c>
      <c r="U710" s="10">
        <f>IFERROR(IF(INDEX('Test catalog'!$N$2:$N$200,MATCH($AB710,'Test catalog'!$A$2:$A$200,0))="","",INDEX('Test catalog'!$N$2:$N$200,MATCH($AB710,'Test catalog'!$A$2:$A$200,0))),"")</f>
        <v/>
      </c>
      <c r="V710" s="15" t="n"/>
      <c r="W710" s="5" t="inlineStr">
        <is>
          <t>N</t>
        </is>
      </c>
      <c r="X710" s="5" t="n"/>
      <c r="Y710" s="5" t="n"/>
      <c r="Z710" s="5" t="n"/>
      <c r="AA710" s="10">
        <f>IFERROR(IF(INDEX('Test catalog'!$O$2:$O$200,MATCH($AB710,'Test catalog'!$A$2:$A$200,0))="","",INDEX('Test catalog'!$O$2:$O$200,MATCH($AB710,'Test catalog'!$A$2:$A$200,0))),"")</f>
        <v/>
      </c>
      <c r="AB710" s="10" t="inlineStr">
        <is>
          <t>LOI</t>
        </is>
      </c>
      <c r="AC710" s="10" t="inlineStr">
        <is>
          <t>Anhydrous Dibasic Calcium Phosphate · Specific Tests &lt;733&gt;</t>
        </is>
      </c>
      <c r="AD710" s="10" t="n"/>
      <c r="AE710" s="10" t="n"/>
    </row>
    <row r="711">
      <c r="A711" s="10" t="inlineStr">
        <is>
          <t>Corn Starch</t>
        </is>
      </c>
      <c r="B711" s="10" t="inlineStr">
        <is>
          <t>RM</t>
        </is>
      </c>
      <c r="C711" s="10" t="inlineStr">
        <is>
          <t>Filler / Diluent</t>
        </is>
      </c>
      <c r="D711" s="10" t="inlineStr">
        <is>
          <t>Appearance / description and solubility</t>
        </is>
      </c>
      <c r="E711" s="10">
        <f>IF(A711="","",A711&amp;"|"&amp;D711)</f>
        <v/>
      </c>
      <c r="F711" s="5" t="inlineStr">
        <is>
          <t>Y</t>
        </is>
      </c>
      <c r="G711" s="5" t="inlineStr">
        <is>
          <t>Other / bench</t>
        </is>
      </c>
      <c r="H711" s="5" t="inlineStr">
        <is>
          <t>Low</t>
        </is>
      </c>
      <c r="I711" s="5" t="n">
        <v>1</v>
      </c>
      <c r="J711" s="5" t="n"/>
      <c r="K711" s="10">
        <f>IFERROR(IF(INDEX('Test catalog'!$F$2:$F$200,MATCH($AB711,'Test catalog'!$A$2:$A$200,0))="","",INDEX('Test catalog'!$F$2:$F$200,MATCH($AB711,'Test catalog'!$A$2:$A$200,0))),"")</f>
        <v/>
      </c>
      <c r="L711" s="10">
        <f>IFERROR(IF(INDEX('Test catalog'!$G$2:$G$200,MATCH($AB711,'Test catalog'!$A$2:$A$200,0))="","",INDEX('Test catalog'!$G$2:$G$200,MATCH($AB711,'Test catalog'!$A$2:$A$200,0))),"")</f>
        <v/>
      </c>
      <c r="M711" s="10">
        <f>IFERROR(IF(INDEX('Test catalog'!$H$2:$H$200,MATCH($AB711,'Test catalog'!$A$2:$A$200,0))="","",INDEX('Test catalog'!$H$2:$H$200,MATCH($AB711,'Test catalog'!$A$2:$A$200,0))),"")</f>
        <v/>
      </c>
      <c r="N711" s="10">
        <f>IFERROR(IF(INDEX('Test catalog'!$I$2:$I$200,MATCH($AB711,'Test catalog'!$A$2:$A$200,0))="","",INDEX('Test catalog'!$I$2:$I$200,MATCH($AB711,'Test catalog'!$A$2:$A$200,0))),"")</f>
        <v/>
      </c>
      <c r="O711" s="10">
        <f>IFERROR(IF(INDEX('Test catalog'!$J$2:$J$200,MATCH($AB711,'Test catalog'!$A$2:$A$200,0))="","",INDEX('Test catalog'!$J$2:$J$200,MATCH($AB711,'Test catalog'!$A$2:$A$200,0))),"")</f>
        <v/>
      </c>
      <c r="P711" s="14">
        <f>IF(N711="","",IF(OR(M711="",O711=""),N711,(M711+4*N711+O711)/6))</f>
        <v/>
      </c>
      <c r="Q711" s="10">
        <f>IFERROR(IF(INDEX('Test catalog'!$K$2:$K$200,MATCH($AB711,'Test catalog'!$A$2:$A$200,0))="","",INDEX('Test catalog'!$K$2:$K$200,MATCH($AB711,'Test catalog'!$A$2:$A$200,0))),"")</f>
        <v/>
      </c>
      <c r="R711" s="5" t="n"/>
      <c r="S711" s="10">
        <f>IFERROR(IF(INDEX('Test catalog'!$L$2:$L$200,MATCH($AB711,'Test catalog'!$A$2:$A$200,0))="","",INDEX('Test catalog'!$L$2:$L$200,MATCH($AB711,'Test catalog'!$A$2:$A$200,0))),"")</f>
        <v/>
      </c>
      <c r="T711" s="10">
        <f>IFERROR(IF(INDEX('Test catalog'!$M$2:$M$200,MATCH($AB711,'Test catalog'!$A$2:$A$200,0))="","",INDEX('Test catalog'!$M$2:$M$200,MATCH($AB711,'Test catalog'!$A$2:$A$200,0))),"")</f>
        <v/>
      </c>
      <c r="U711" s="10">
        <f>IFERROR(IF(INDEX('Test catalog'!$N$2:$N$200,MATCH($AB711,'Test catalog'!$A$2:$A$200,0))="","",INDEX('Test catalog'!$N$2:$N$200,MATCH($AB711,'Test catalog'!$A$2:$A$200,0))),"")</f>
        <v/>
      </c>
      <c r="V711" s="15" t="n"/>
      <c r="W711" s="5" t="inlineStr">
        <is>
          <t>N</t>
        </is>
      </c>
      <c r="X711" s="5" t="n"/>
      <c r="Y711" s="5" t="n"/>
      <c r="Z711" s="5" t="n"/>
      <c r="AA711" s="10">
        <f>IFERROR(IF(INDEX('Test catalog'!$O$2:$O$200,MATCH($AB711,'Test catalog'!$A$2:$A$200,0))="","",INDEX('Test catalog'!$O$2:$O$200,MATCH($AB711,'Test catalog'!$A$2:$A$200,0))),"")</f>
        <v/>
      </c>
      <c r="AB711" s="10" t="inlineStr">
        <is>
          <t>APPEAR</t>
        </is>
      </c>
      <c r="AC711" s="10" t="inlineStr">
        <is>
          <t>Lab practice (not a USP test)</t>
        </is>
      </c>
      <c r="AD711" s="10" t="n"/>
      <c r="AE711" s="10" t="n"/>
    </row>
    <row r="712">
      <c r="A712" s="10" t="inlineStr">
        <is>
          <t>Corn Starch</t>
        </is>
      </c>
      <c r="B712" s="10" t="inlineStr">
        <is>
          <t>RM</t>
        </is>
      </c>
      <c r="C712" s="10" t="inlineStr">
        <is>
          <t>Filler / Diluent</t>
        </is>
      </c>
      <c r="D712" s="10" t="inlineStr">
        <is>
          <t>ID A - chemical reaction</t>
        </is>
      </c>
      <c r="E712" s="10">
        <f>IF(A712="","",A712&amp;"|"&amp;D712)</f>
        <v/>
      </c>
      <c r="F712" s="5" t="inlineStr">
        <is>
          <t>Y</t>
        </is>
      </c>
      <c r="G712" s="5" t="inlineStr">
        <is>
          <t>Other / bench</t>
        </is>
      </c>
      <c r="H712" s="5" t="inlineStr">
        <is>
          <t>Low</t>
        </is>
      </c>
      <c r="I712" s="5" t="n">
        <v>1</v>
      </c>
      <c r="J712" s="5" t="n"/>
      <c r="K712" s="10">
        <f>IFERROR(IF(INDEX('Test catalog'!$F$2:$F$200,MATCH($AB712,'Test catalog'!$A$2:$A$200,0))="","",INDEX('Test catalog'!$F$2:$F$200,MATCH($AB712,'Test catalog'!$A$2:$A$200,0))),"")</f>
        <v/>
      </c>
      <c r="L712" s="10">
        <f>IFERROR(IF(INDEX('Test catalog'!$G$2:$G$200,MATCH($AB712,'Test catalog'!$A$2:$A$200,0))="","",INDEX('Test catalog'!$G$2:$G$200,MATCH($AB712,'Test catalog'!$A$2:$A$200,0))),"")</f>
        <v/>
      </c>
      <c r="M712" s="10">
        <f>IFERROR(IF(INDEX('Test catalog'!$H$2:$H$200,MATCH($AB712,'Test catalog'!$A$2:$A$200,0))="","",INDEX('Test catalog'!$H$2:$H$200,MATCH($AB712,'Test catalog'!$A$2:$A$200,0))),"")</f>
        <v/>
      </c>
      <c r="N712" s="10">
        <f>IFERROR(IF(INDEX('Test catalog'!$I$2:$I$200,MATCH($AB712,'Test catalog'!$A$2:$A$200,0))="","",INDEX('Test catalog'!$I$2:$I$200,MATCH($AB712,'Test catalog'!$A$2:$A$200,0))),"")</f>
        <v/>
      </c>
      <c r="O712" s="10">
        <f>IFERROR(IF(INDEX('Test catalog'!$J$2:$J$200,MATCH($AB712,'Test catalog'!$A$2:$A$200,0))="","",INDEX('Test catalog'!$J$2:$J$200,MATCH($AB712,'Test catalog'!$A$2:$A$200,0))),"")</f>
        <v/>
      </c>
      <c r="P712" s="14">
        <f>IF(N712="","",IF(OR(M712="",O712=""),N712,(M712+4*N712+O712)/6))</f>
        <v/>
      </c>
      <c r="Q712" s="10">
        <f>IFERROR(IF(INDEX('Test catalog'!$K$2:$K$200,MATCH($AB712,'Test catalog'!$A$2:$A$200,0))="","",INDEX('Test catalog'!$K$2:$K$200,MATCH($AB712,'Test catalog'!$A$2:$A$200,0))),"")</f>
        <v/>
      </c>
      <c r="R712" s="5" t="n"/>
      <c r="S712" s="10">
        <f>IFERROR(IF(INDEX('Test catalog'!$L$2:$L$200,MATCH($AB712,'Test catalog'!$A$2:$A$200,0))="","",INDEX('Test catalog'!$L$2:$L$200,MATCH($AB712,'Test catalog'!$A$2:$A$200,0))),"")</f>
        <v/>
      </c>
      <c r="T712" s="10">
        <f>IFERROR(IF(INDEX('Test catalog'!$M$2:$M$200,MATCH($AB712,'Test catalog'!$A$2:$A$200,0))="","",INDEX('Test catalog'!$M$2:$M$200,MATCH($AB712,'Test catalog'!$A$2:$A$200,0))),"")</f>
        <v/>
      </c>
      <c r="U712" s="10">
        <f>IFERROR(IF(INDEX('Test catalog'!$N$2:$N$200,MATCH($AB712,'Test catalog'!$A$2:$A$200,0))="","",INDEX('Test catalog'!$N$2:$N$200,MATCH($AB712,'Test catalog'!$A$2:$A$200,0))),"")</f>
        <v/>
      </c>
      <c r="V712" s="15" t="n"/>
      <c r="W712" s="5" t="inlineStr">
        <is>
          <t>N</t>
        </is>
      </c>
      <c r="X712" s="5" t="n"/>
      <c r="Y712" s="5" t="n"/>
      <c r="Z712" s="5" t="n"/>
      <c r="AA712" s="10">
        <f>IFERROR(IF(INDEX('Test catalog'!$O$2:$O$200,MATCH($AB712,'Test catalog'!$A$2:$A$200,0))="","",INDEX('Test catalog'!$O$2:$O$200,MATCH($AB712,'Test catalog'!$A$2:$A$200,0))),"")</f>
        <v/>
      </c>
      <c r="AB712" s="10" t="inlineStr">
        <is>
          <t>ID_CHEM</t>
        </is>
      </c>
      <c r="AC712" s="10" t="inlineStr">
        <is>
          <t>Corn Starch · Identification</t>
        </is>
      </c>
      <c r="AD712" s="10" t="n"/>
      <c r="AE712" s="10" t="n"/>
    </row>
    <row r="713">
      <c r="A713" s="10" t="inlineStr">
        <is>
          <t>Corn Starch</t>
        </is>
      </c>
      <c r="B713" s="10" t="inlineStr">
        <is>
          <t>RM</t>
        </is>
      </c>
      <c r="C713" s="10" t="inlineStr">
        <is>
          <t>Filler / Diluent</t>
        </is>
      </c>
      <c r="D713" s="10" t="inlineStr">
        <is>
          <t>ID C - chemical reaction</t>
        </is>
      </c>
      <c r="E713" s="10">
        <f>IF(A713="","",A713&amp;"|"&amp;D713)</f>
        <v/>
      </c>
      <c r="F713" s="5" t="inlineStr">
        <is>
          <t>Y</t>
        </is>
      </c>
      <c r="G713" s="5" t="inlineStr">
        <is>
          <t>Other / bench</t>
        </is>
      </c>
      <c r="H713" s="5" t="inlineStr">
        <is>
          <t>Low</t>
        </is>
      </c>
      <c r="I713" s="5" t="n">
        <v>1</v>
      </c>
      <c r="J713" s="5" t="n"/>
      <c r="K713" s="10">
        <f>IFERROR(IF(INDEX('Test catalog'!$F$2:$F$200,MATCH($AB713,'Test catalog'!$A$2:$A$200,0))="","",INDEX('Test catalog'!$F$2:$F$200,MATCH($AB713,'Test catalog'!$A$2:$A$200,0))),"")</f>
        <v/>
      </c>
      <c r="L713" s="10">
        <f>IFERROR(IF(INDEX('Test catalog'!$G$2:$G$200,MATCH($AB713,'Test catalog'!$A$2:$A$200,0))="","",INDEX('Test catalog'!$G$2:$G$200,MATCH($AB713,'Test catalog'!$A$2:$A$200,0))),"")</f>
        <v/>
      </c>
      <c r="M713" s="10">
        <f>IFERROR(IF(INDEX('Test catalog'!$H$2:$H$200,MATCH($AB713,'Test catalog'!$A$2:$A$200,0))="","",INDEX('Test catalog'!$H$2:$H$200,MATCH($AB713,'Test catalog'!$A$2:$A$200,0))),"")</f>
        <v/>
      </c>
      <c r="N713" s="10">
        <f>IFERROR(IF(INDEX('Test catalog'!$I$2:$I$200,MATCH($AB713,'Test catalog'!$A$2:$A$200,0))="","",INDEX('Test catalog'!$I$2:$I$200,MATCH($AB713,'Test catalog'!$A$2:$A$200,0))),"")</f>
        <v/>
      </c>
      <c r="O713" s="10">
        <f>IFERROR(IF(INDEX('Test catalog'!$J$2:$J$200,MATCH($AB713,'Test catalog'!$A$2:$A$200,0))="","",INDEX('Test catalog'!$J$2:$J$200,MATCH($AB713,'Test catalog'!$A$2:$A$200,0))),"")</f>
        <v/>
      </c>
      <c r="P713" s="14">
        <f>IF(N713="","",IF(OR(M713="",O713=""),N713,(M713+4*N713+O713)/6))</f>
        <v/>
      </c>
      <c r="Q713" s="10">
        <f>IFERROR(IF(INDEX('Test catalog'!$K$2:$K$200,MATCH($AB713,'Test catalog'!$A$2:$A$200,0))="","",INDEX('Test catalog'!$K$2:$K$200,MATCH($AB713,'Test catalog'!$A$2:$A$200,0))),"")</f>
        <v/>
      </c>
      <c r="R713" s="5" t="n"/>
      <c r="S713" s="10">
        <f>IFERROR(IF(INDEX('Test catalog'!$L$2:$L$200,MATCH($AB713,'Test catalog'!$A$2:$A$200,0))="","",INDEX('Test catalog'!$L$2:$L$200,MATCH($AB713,'Test catalog'!$A$2:$A$200,0))),"")</f>
        <v/>
      </c>
      <c r="T713" s="10">
        <f>IFERROR(IF(INDEX('Test catalog'!$M$2:$M$200,MATCH($AB713,'Test catalog'!$A$2:$A$200,0))="","",INDEX('Test catalog'!$M$2:$M$200,MATCH($AB713,'Test catalog'!$A$2:$A$200,0))),"")</f>
        <v/>
      </c>
      <c r="U713" s="10">
        <f>IFERROR(IF(INDEX('Test catalog'!$N$2:$N$200,MATCH($AB713,'Test catalog'!$A$2:$A$200,0))="","",INDEX('Test catalog'!$N$2:$N$200,MATCH($AB713,'Test catalog'!$A$2:$A$200,0))),"")</f>
        <v/>
      </c>
      <c r="V713" s="15" t="n"/>
      <c r="W713" s="5" t="inlineStr">
        <is>
          <t>N</t>
        </is>
      </c>
      <c r="X713" s="5" t="n"/>
      <c r="Y713" s="5" t="n"/>
      <c r="Z713" s="5" t="n"/>
      <c r="AA713" s="10">
        <f>IFERROR(IF(INDEX('Test catalog'!$O$2:$O$200,MATCH($AB713,'Test catalog'!$A$2:$A$200,0))="","",INDEX('Test catalog'!$O$2:$O$200,MATCH($AB713,'Test catalog'!$A$2:$A$200,0))),"")</f>
        <v/>
      </c>
      <c r="AB713" s="10" t="inlineStr">
        <is>
          <t>ID_CHEM</t>
        </is>
      </c>
      <c r="AC713" s="10" t="inlineStr">
        <is>
          <t>Corn Starch · Identification</t>
        </is>
      </c>
      <c r="AD713" s="10" t="n"/>
      <c r="AE713" s="10" t="n"/>
    </row>
    <row r="714">
      <c r="A714" s="10" t="inlineStr">
        <is>
          <t>Corn Starch</t>
        </is>
      </c>
      <c r="B714" s="10" t="inlineStr">
        <is>
          <t>RM</t>
        </is>
      </c>
      <c r="C714" s="10" t="inlineStr">
        <is>
          <t>Filler / Diluent</t>
        </is>
      </c>
      <c r="D714" s="10" t="inlineStr">
        <is>
          <t>ID B - chemical reaction</t>
        </is>
      </c>
      <c r="E714" s="10">
        <f>IF(A714="","",A714&amp;"|"&amp;D714)</f>
        <v/>
      </c>
      <c r="F714" s="5" t="inlineStr">
        <is>
          <t>Y</t>
        </is>
      </c>
      <c r="G714" s="5" t="inlineStr">
        <is>
          <t>Other / bench</t>
        </is>
      </c>
      <c r="H714" s="5" t="inlineStr">
        <is>
          <t>Low</t>
        </is>
      </c>
      <c r="I714" s="5" t="n">
        <v>1</v>
      </c>
      <c r="J714" s="5" t="n"/>
      <c r="K714" s="10">
        <f>IFERROR(IF(INDEX('Test catalog'!$F$2:$F$200,MATCH($AB714,'Test catalog'!$A$2:$A$200,0))="","",INDEX('Test catalog'!$F$2:$F$200,MATCH($AB714,'Test catalog'!$A$2:$A$200,0))),"")</f>
        <v/>
      </c>
      <c r="L714" s="10">
        <f>IFERROR(IF(INDEX('Test catalog'!$G$2:$G$200,MATCH($AB714,'Test catalog'!$A$2:$A$200,0))="","",INDEX('Test catalog'!$G$2:$G$200,MATCH($AB714,'Test catalog'!$A$2:$A$200,0))),"")</f>
        <v/>
      </c>
      <c r="M714" s="10">
        <f>IFERROR(IF(INDEX('Test catalog'!$H$2:$H$200,MATCH($AB714,'Test catalog'!$A$2:$A$200,0))="","",INDEX('Test catalog'!$H$2:$H$200,MATCH($AB714,'Test catalog'!$A$2:$A$200,0))),"")</f>
        <v/>
      </c>
      <c r="N714" s="10">
        <f>IFERROR(IF(INDEX('Test catalog'!$I$2:$I$200,MATCH($AB714,'Test catalog'!$A$2:$A$200,0))="","",INDEX('Test catalog'!$I$2:$I$200,MATCH($AB714,'Test catalog'!$A$2:$A$200,0))),"")</f>
        <v/>
      </c>
      <c r="O714" s="10">
        <f>IFERROR(IF(INDEX('Test catalog'!$J$2:$J$200,MATCH($AB714,'Test catalog'!$A$2:$A$200,0))="","",INDEX('Test catalog'!$J$2:$J$200,MATCH($AB714,'Test catalog'!$A$2:$A$200,0))),"")</f>
        <v/>
      </c>
      <c r="P714" s="14">
        <f>IF(N714="","",IF(OR(M714="",O714=""),N714,(M714+4*N714+O714)/6))</f>
        <v/>
      </c>
      <c r="Q714" s="10">
        <f>IFERROR(IF(INDEX('Test catalog'!$K$2:$K$200,MATCH($AB714,'Test catalog'!$A$2:$A$200,0))="","",INDEX('Test catalog'!$K$2:$K$200,MATCH($AB714,'Test catalog'!$A$2:$A$200,0))),"")</f>
        <v/>
      </c>
      <c r="R714" s="5" t="n"/>
      <c r="S714" s="10">
        <f>IFERROR(IF(INDEX('Test catalog'!$L$2:$L$200,MATCH($AB714,'Test catalog'!$A$2:$A$200,0))="","",INDEX('Test catalog'!$L$2:$L$200,MATCH($AB714,'Test catalog'!$A$2:$A$200,0))),"")</f>
        <v/>
      </c>
      <c r="T714" s="10">
        <f>IFERROR(IF(INDEX('Test catalog'!$M$2:$M$200,MATCH($AB714,'Test catalog'!$A$2:$A$200,0))="","",INDEX('Test catalog'!$M$2:$M$200,MATCH($AB714,'Test catalog'!$A$2:$A$200,0))),"")</f>
        <v/>
      </c>
      <c r="U714" s="10">
        <f>IFERROR(IF(INDEX('Test catalog'!$N$2:$N$200,MATCH($AB714,'Test catalog'!$A$2:$A$200,0))="","",INDEX('Test catalog'!$N$2:$N$200,MATCH($AB714,'Test catalog'!$A$2:$A$200,0))),"")</f>
        <v/>
      </c>
      <c r="V714" s="15" t="n"/>
      <c r="W714" s="5" t="inlineStr">
        <is>
          <t>N</t>
        </is>
      </c>
      <c r="X714" s="5" t="n"/>
      <c r="Y714" s="5" t="n"/>
      <c r="Z714" s="5" t="n"/>
      <c r="AA714" s="10">
        <f>IFERROR(IF(INDEX('Test catalog'!$O$2:$O$200,MATCH($AB714,'Test catalog'!$A$2:$A$200,0))="","",INDEX('Test catalog'!$O$2:$O$200,MATCH($AB714,'Test catalog'!$A$2:$A$200,0))),"")</f>
        <v/>
      </c>
      <c r="AB714" s="10" t="inlineStr">
        <is>
          <t>ID_CHEM</t>
        </is>
      </c>
      <c r="AC714" s="10" t="inlineStr">
        <is>
          <t>Corn Starch · Identification</t>
        </is>
      </c>
      <c r="AD714" s="10" t="n"/>
      <c r="AE714" s="10" t="n"/>
    </row>
    <row r="715">
      <c r="A715" s="10" t="inlineStr">
        <is>
          <t>Corn Starch</t>
        </is>
      </c>
      <c r="B715" s="10" t="inlineStr">
        <is>
          <t>RM</t>
        </is>
      </c>
      <c r="C715" s="10" t="inlineStr">
        <is>
          <t>Filler / Diluent</t>
        </is>
      </c>
      <c r="D715" s="10" t="inlineStr">
        <is>
          <t>ID - Residue on ignition / sulfated ash</t>
        </is>
      </c>
      <c r="E715" s="10">
        <f>IF(A715="","",A715&amp;"|"&amp;D715)</f>
        <v/>
      </c>
      <c r="F715" s="5" t="inlineStr">
        <is>
          <t>Y</t>
        </is>
      </c>
      <c r="G715" s="5" t="inlineStr">
        <is>
          <t>Other / bench</t>
        </is>
      </c>
      <c r="H715" s="5" t="inlineStr">
        <is>
          <t>Low</t>
        </is>
      </c>
      <c r="I715" s="5" t="n">
        <v>1</v>
      </c>
      <c r="J715" s="5" t="n"/>
      <c r="K715" s="10">
        <f>IFERROR(IF(INDEX('Test catalog'!$F$2:$F$200,MATCH($AB715,'Test catalog'!$A$2:$A$200,0))="","",INDEX('Test catalog'!$F$2:$F$200,MATCH($AB715,'Test catalog'!$A$2:$A$200,0))),"")</f>
        <v/>
      </c>
      <c r="L715" s="10">
        <f>IFERROR(IF(INDEX('Test catalog'!$G$2:$G$200,MATCH($AB715,'Test catalog'!$A$2:$A$200,0))="","",INDEX('Test catalog'!$G$2:$G$200,MATCH($AB715,'Test catalog'!$A$2:$A$200,0))),"")</f>
        <v/>
      </c>
      <c r="M715" s="10">
        <f>IFERROR(IF(INDEX('Test catalog'!$H$2:$H$200,MATCH($AB715,'Test catalog'!$A$2:$A$200,0))="","",INDEX('Test catalog'!$H$2:$H$200,MATCH($AB715,'Test catalog'!$A$2:$A$200,0))),"")</f>
        <v/>
      </c>
      <c r="N715" s="10">
        <f>IFERROR(IF(INDEX('Test catalog'!$I$2:$I$200,MATCH($AB715,'Test catalog'!$A$2:$A$200,0))="","",INDEX('Test catalog'!$I$2:$I$200,MATCH($AB715,'Test catalog'!$A$2:$A$200,0))),"")</f>
        <v/>
      </c>
      <c r="O715" s="10">
        <f>IFERROR(IF(INDEX('Test catalog'!$J$2:$J$200,MATCH($AB715,'Test catalog'!$A$2:$A$200,0))="","",INDEX('Test catalog'!$J$2:$J$200,MATCH($AB715,'Test catalog'!$A$2:$A$200,0))),"")</f>
        <v/>
      </c>
      <c r="P715" s="14">
        <f>IF(N715="","",IF(OR(M715="",O715=""),N715,(M715+4*N715+O715)/6))</f>
        <v/>
      </c>
      <c r="Q715" s="10">
        <f>IFERROR(IF(INDEX('Test catalog'!$K$2:$K$200,MATCH($AB715,'Test catalog'!$A$2:$A$200,0))="","",INDEX('Test catalog'!$K$2:$K$200,MATCH($AB715,'Test catalog'!$A$2:$A$200,0))),"")</f>
        <v/>
      </c>
      <c r="R715" s="5" t="n"/>
      <c r="S715" s="10">
        <f>IFERROR(IF(INDEX('Test catalog'!$L$2:$L$200,MATCH($AB715,'Test catalog'!$A$2:$A$200,0))="","",INDEX('Test catalog'!$L$2:$L$200,MATCH($AB715,'Test catalog'!$A$2:$A$200,0))),"")</f>
        <v/>
      </c>
      <c r="T715" s="10">
        <f>IFERROR(IF(INDEX('Test catalog'!$M$2:$M$200,MATCH($AB715,'Test catalog'!$A$2:$A$200,0))="","",INDEX('Test catalog'!$M$2:$M$200,MATCH($AB715,'Test catalog'!$A$2:$A$200,0))),"")</f>
        <v/>
      </c>
      <c r="U715" s="10">
        <f>IFERROR(IF(INDEX('Test catalog'!$N$2:$N$200,MATCH($AB715,'Test catalog'!$A$2:$A$200,0))="","",INDEX('Test catalog'!$N$2:$N$200,MATCH($AB715,'Test catalog'!$A$2:$A$200,0))),"")</f>
        <v/>
      </c>
      <c r="V715" s="15" t="n"/>
      <c r="W715" s="5" t="inlineStr">
        <is>
          <t>N</t>
        </is>
      </c>
      <c r="X715" s="5" t="n"/>
      <c r="Y715" s="5" t="n"/>
      <c r="Z715" s="5" t="n"/>
      <c r="AA715" s="10">
        <f>IFERROR(IF(INDEX('Test catalog'!$O$2:$O$200,MATCH($AB715,'Test catalog'!$A$2:$A$200,0))="","",INDEX('Test catalog'!$O$2:$O$200,MATCH($AB715,'Test catalog'!$A$2:$A$200,0))),"")</f>
        <v/>
      </c>
      <c r="AB715" s="10" t="inlineStr">
        <is>
          <t>ROI</t>
        </is>
      </c>
      <c r="AC715" s="10" t="inlineStr">
        <is>
          <t>Corn Starch · Identification &lt;281&gt;</t>
        </is>
      </c>
      <c r="AD715" s="10" t="n"/>
      <c r="AE715" s="10" t="n"/>
    </row>
    <row r="716">
      <c r="A716" s="10" t="inlineStr">
        <is>
          <t>Corn Starch</t>
        </is>
      </c>
      <c r="B716" s="10" t="inlineStr">
        <is>
          <t>RM</t>
        </is>
      </c>
      <c r="C716" s="10" t="inlineStr">
        <is>
          <t>Filler / Diluent</t>
        </is>
      </c>
      <c r="D716" s="10" t="inlineStr">
        <is>
          <t>Limit of Iron</t>
        </is>
      </c>
      <c r="E716" s="10">
        <f>IF(A716="","",A716&amp;"|"&amp;D716)</f>
        <v/>
      </c>
      <c r="F716" s="5" t="inlineStr">
        <is>
          <t>Y</t>
        </is>
      </c>
      <c r="G716" s="5" t="inlineStr">
        <is>
          <t>Other / bench</t>
        </is>
      </c>
      <c r="H716" s="5" t="inlineStr">
        <is>
          <t>Low</t>
        </is>
      </c>
      <c r="I716" s="5" t="n">
        <v>1</v>
      </c>
      <c r="J716" s="5" t="n"/>
      <c r="K716" s="10">
        <f>IFERROR(IF(INDEX('Test catalog'!$F$2:$F$200,MATCH($AB716,'Test catalog'!$A$2:$A$200,0))="","",INDEX('Test catalog'!$F$2:$F$200,MATCH($AB716,'Test catalog'!$A$2:$A$200,0))),"")</f>
        <v/>
      </c>
      <c r="L716" s="10">
        <f>IFERROR(IF(INDEX('Test catalog'!$G$2:$G$200,MATCH($AB716,'Test catalog'!$A$2:$A$200,0))="","",INDEX('Test catalog'!$G$2:$G$200,MATCH($AB716,'Test catalog'!$A$2:$A$200,0))),"")</f>
        <v/>
      </c>
      <c r="M716" s="10">
        <f>IFERROR(IF(INDEX('Test catalog'!$H$2:$H$200,MATCH($AB716,'Test catalog'!$A$2:$A$200,0))="","",INDEX('Test catalog'!$H$2:$H$200,MATCH($AB716,'Test catalog'!$A$2:$A$200,0))),"")</f>
        <v/>
      </c>
      <c r="N716" s="10">
        <f>IFERROR(IF(INDEX('Test catalog'!$I$2:$I$200,MATCH($AB716,'Test catalog'!$A$2:$A$200,0))="","",INDEX('Test catalog'!$I$2:$I$200,MATCH($AB716,'Test catalog'!$A$2:$A$200,0))),"")</f>
        <v/>
      </c>
      <c r="O716" s="10">
        <f>IFERROR(IF(INDEX('Test catalog'!$J$2:$J$200,MATCH($AB716,'Test catalog'!$A$2:$A$200,0))="","",INDEX('Test catalog'!$J$2:$J$200,MATCH($AB716,'Test catalog'!$A$2:$A$200,0))),"")</f>
        <v/>
      </c>
      <c r="P716" s="14">
        <f>IF(N716="","",IF(OR(M716="",O716=""),N716,(M716+4*N716+O716)/6))</f>
        <v/>
      </c>
      <c r="Q716" s="10">
        <f>IFERROR(IF(INDEX('Test catalog'!$K$2:$K$200,MATCH($AB716,'Test catalog'!$A$2:$A$200,0))="","",INDEX('Test catalog'!$K$2:$K$200,MATCH($AB716,'Test catalog'!$A$2:$A$200,0))),"")</f>
        <v/>
      </c>
      <c r="R716" s="5" t="n"/>
      <c r="S716" s="10">
        <f>IFERROR(IF(INDEX('Test catalog'!$L$2:$L$200,MATCH($AB716,'Test catalog'!$A$2:$A$200,0))="","",INDEX('Test catalog'!$L$2:$L$200,MATCH($AB716,'Test catalog'!$A$2:$A$200,0))),"")</f>
        <v/>
      </c>
      <c r="T716" s="10">
        <f>IFERROR(IF(INDEX('Test catalog'!$M$2:$M$200,MATCH($AB716,'Test catalog'!$A$2:$A$200,0))="","",INDEX('Test catalog'!$M$2:$M$200,MATCH($AB716,'Test catalog'!$A$2:$A$200,0))),"")</f>
        <v/>
      </c>
      <c r="U716" s="10">
        <f>IFERROR(IF(INDEX('Test catalog'!$N$2:$N$200,MATCH($AB716,'Test catalog'!$A$2:$A$200,0))="","",INDEX('Test catalog'!$N$2:$N$200,MATCH($AB716,'Test catalog'!$A$2:$A$200,0))),"")</f>
        <v/>
      </c>
      <c r="V716" s="15" t="n"/>
      <c r="W716" s="5" t="inlineStr">
        <is>
          <t>N</t>
        </is>
      </c>
      <c r="X716" s="5" t="n"/>
      <c r="Y716" s="5" t="n"/>
      <c r="Z716" s="5" t="n"/>
      <c r="AA716" s="10">
        <f>IFERROR(IF(INDEX('Test catalog'!$O$2:$O$200,MATCH($AB716,'Test catalog'!$A$2:$A$200,0))="","",INDEX('Test catalog'!$O$2:$O$200,MATCH($AB716,'Test catalog'!$A$2:$A$200,0))),"")</f>
        <v/>
      </c>
      <c r="AB716" s="10" t="inlineStr">
        <is>
          <t>LIMIT</t>
        </is>
      </c>
      <c r="AC716" s="10" t="inlineStr">
        <is>
          <t>Corn Starch · Impurities &lt;241&gt;</t>
        </is>
      </c>
      <c r="AD716" s="10" t="n"/>
      <c r="AE716" s="10" t="n"/>
    </row>
    <row r="717">
      <c r="A717" s="10" t="inlineStr">
        <is>
          <t>Corn Starch</t>
        </is>
      </c>
      <c r="B717" s="10" t="inlineStr">
        <is>
          <t>RM</t>
        </is>
      </c>
      <c r="C717" s="10" t="inlineStr">
        <is>
          <t>Filler / Diluent</t>
        </is>
      </c>
      <c r="D717" s="10" t="inlineStr">
        <is>
          <t>Limit of Sulfur Dioxide</t>
        </is>
      </c>
      <c r="E717" s="10">
        <f>IF(A717="","",A717&amp;"|"&amp;D717)</f>
        <v/>
      </c>
      <c r="F717" s="5" t="inlineStr">
        <is>
          <t>Y</t>
        </is>
      </c>
      <c r="G717" s="5" t="inlineStr">
        <is>
          <t>Other / bench</t>
        </is>
      </c>
      <c r="H717" s="5" t="inlineStr">
        <is>
          <t>Low</t>
        </is>
      </c>
      <c r="I717" s="5" t="n">
        <v>1</v>
      </c>
      <c r="J717" s="5" t="n"/>
      <c r="K717" s="10">
        <f>IFERROR(IF(INDEX('Test catalog'!$F$2:$F$200,MATCH($AB717,'Test catalog'!$A$2:$A$200,0))="","",INDEX('Test catalog'!$F$2:$F$200,MATCH($AB717,'Test catalog'!$A$2:$A$200,0))),"")</f>
        <v/>
      </c>
      <c r="L717" s="10">
        <f>IFERROR(IF(INDEX('Test catalog'!$G$2:$G$200,MATCH($AB717,'Test catalog'!$A$2:$A$200,0))="","",INDEX('Test catalog'!$G$2:$G$200,MATCH($AB717,'Test catalog'!$A$2:$A$200,0))),"")</f>
        <v/>
      </c>
      <c r="M717" s="10">
        <f>IFERROR(IF(INDEX('Test catalog'!$H$2:$H$200,MATCH($AB717,'Test catalog'!$A$2:$A$200,0))="","",INDEX('Test catalog'!$H$2:$H$200,MATCH($AB717,'Test catalog'!$A$2:$A$200,0))),"")</f>
        <v/>
      </c>
      <c r="N717" s="10">
        <f>IFERROR(IF(INDEX('Test catalog'!$I$2:$I$200,MATCH($AB717,'Test catalog'!$A$2:$A$200,0))="","",INDEX('Test catalog'!$I$2:$I$200,MATCH($AB717,'Test catalog'!$A$2:$A$200,0))),"")</f>
        <v/>
      </c>
      <c r="O717" s="10">
        <f>IFERROR(IF(INDEX('Test catalog'!$J$2:$J$200,MATCH($AB717,'Test catalog'!$A$2:$A$200,0))="","",INDEX('Test catalog'!$J$2:$J$200,MATCH($AB717,'Test catalog'!$A$2:$A$200,0))),"")</f>
        <v/>
      </c>
      <c r="P717" s="14">
        <f>IF(N717="","",IF(OR(M717="",O717=""),N717,(M717+4*N717+O717)/6))</f>
        <v/>
      </c>
      <c r="Q717" s="10">
        <f>IFERROR(IF(INDEX('Test catalog'!$K$2:$K$200,MATCH($AB717,'Test catalog'!$A$2:$A$200,0))="","",INDEX('Test catalog'!$K$2:$K$200,MATCH($AB717,'Test catalog'!$A$2:$A$200,0))),"")</f>
        <v/>
      </c>
      <c r="R717" s="5" t="n"/>
      <c r="S717" s="10">
        <f>IFERROR(IF(INDEX('Test catalog'!$L$2:$L$200,MATCH($AB717,'Test catalog'!$A$2:$A$200,0))="","",INDEX('Test catalog'!$L$2:$L$200,MATCH($AB717,'Test catalog'!$A$2:$A$200,0))),"")</f>
        <v/>
      </c>
      <c r="T717" s="10">
        <f>IFERROR(IF(INDEX('Test catalog'!$M$2:$M$200,MATCH($AB717,'Test catalog'!$A$2:$A$200,0))="","",INDEX('Test catalog'!$M$2:$M$200,MATCH($AB717,'Test catalog'!$A$2:$A$200,0))),"")</f>
        <v/>
      </c>
      <c r="U717" s="10">
        <f>IFERROR(IF(INDEX('Test catalog'!$N$2:$N$200,MATCH($AB717,'Test catalog'!$A$2:$A$200,0))="","",INDEX('Test catalog'!$N$2:$N$200,MATCH($AB717,'Test catalog'!$A$2:$A$200,0))),"")</f>
        <v/>
      </c>
      <c r="V717" s="15" t="n"/>
      <c r="W717" s="5" t="inlineStr">
        <is>
          <t>N</t>
        </is>
      </c>
      <c r="X717" s="5" t="n"/>
      <c r="Y717" s="5" t="n"/>
      <c r="Z717" s="5" t="n"/>
      <c r="AA717" s="10">
        <f>IFERROR(IF(INDEX('Test catalog'!$O$2:$O$200,MATCH($AB717,'Test catalog'!$A$2:$A$200,0))="","",INDEX('Test catalog'!$O$2:$O$200,MATCH($AB717,'Test catalog'!$A$2:$A$200,0))),"")</f>
        <v/>
      </c>
      <c r="AB717" s="10" t="inlineStr">
        <is>
          <t>TITR</t>
        </is>
      </c>
      <c r="AC717" s="10" t="inlineStr">
        <is>
          <t>Corn Starch · Impurities</t>
        </is>
      </c>
      <c r="AD717" s="10" t="n"/>
      <c r="AE717" s="10" t="n"/>
    </row>
    <row r="718">
      <c r="A718" s="10" t="inlineStr">
        <is>
          <t>Corn Starch</t>
        </is>
      </c>
      <c r="B718" s="10" t="inlineStr">
        <is>
          <t>RM</t>
        </is>
      </c>
      <c r="C718" s="10" t="inlineStr">
        <is>
          <t>Filler / Diluent</t>
        </is>
      </c>
      <c r="D718" s="10" t="inlineStr">
        <is>
          <t>Limit of Oxidizing Substances</t>
        </is>
      </c>
      <c r="E718" s="10">
        <f>IF(A718="","",A718&amp;"|"&amp;D718)</f>
        <v/>
      </c>
      <c r="F718" s="5" t="inlineStr">
        <is>
          <t>Y</t>
        </is>
      </c>
      <c r="G718" s="5" t="inlineStr">
        <is>
          <t>Other / bench</t>
        </is>
      </c>
      <c r="H718" s="5" t="inlineStr">
        <is>
          <t>Low</t>
        </is>
      </c>
      <c r="I718" s="5" t="n">
        <v>1</v>
      </c>
      <c r="J718" s="5" t="n"/>
      <c r="K718" s="10">
        <f>IFERROR(IF(INDEX('Test catalog'!$F$2:$F$200,MATCH($AB718,'Test catalog'!$A$2:$A$200,0))="","",INDEX('Test catalog'!$F$2:$F$200,MATCH($AB718,'Test catalog'!$A$2:$A$200,0))),"")</f>
        <v/>
      </c>
      <c r="L718" s="10">
        <f>IFERROR(IF(INDEX('Test catalog'!$G$2:$G$200,MATCH($AB718,'Test catalog'!$A$2:$A$200,0))="","",INDEX('Test catalog'!$G$2:$G$200,MATCH($AB718,'Test catalog'!$A$2:$A$200,0))),"")</f>
        <v/>
      </c>
      <c r="M718" s="10">
        <f>IFERROR(IF(INDEX('Test catalog'!$H$2:$H$200,MATCH($AB718,'Test catalog'!$A$2:$A$200,0))="","",INDEX('Test catalog'!$H$2:$H$200,MATCH($AB718,'Test catalog'!$A$2:$A$200,0))),"")</f>
        <v/>
      </c>
      <c r="N718" s="10">
        <f>IFERROR(IF(INDEX('Test catalog'!$I$2:$I$200,MATCH($AB718,'Test catalog'!$A$2:$A$200,0))="","",INDEX('Test catalog'!$I$2:$I$200,MATCH($AB718,'Test catalog'!$A$2:$A$200,0))),"")</f>
        <v/>
      </c>
      <c r="O718" s="10">
        <f>IFERROR(IF(INDEX('Test catalog'!$J$2:$J$200,MATCH($AB718,'Test catalog'!$A$2:$A$200,0))="","",INDEX('Test catalog'!$J$2:$J$200,MATCH($AB718,'Test catalog'!$A$2:$A$200,0))),"")</f>
        <v/>
      </c>
      <c r="P718" s="14">
        <f>IF(N718="","",IF(OR(M718="",O718=""),N718,(M718+4*N718+O718)/6))</f>
        <v/>
      </c>
      <c r="Q718" s="10">
        <f>IFERROR(IF(INDEX('Test catalog'!$K$2:$K$200,MATCH($AB718,'Test catalog'!$A$2:$A$200,0))="","",INDEX('Test catalog'!$K$2:$K$200,MATCH($AB718,'Test catalog'!$A$2:$A$200,0))),"")</f>
        <v/>
      </c>
      <c r="R718" s="5" t="n"/>
      <c r="S718" s="10">
        <f>IFERROR(IF(INDEX('Test catalog'!$L$2:$L$200,MATCH($AB718,'Test catalog'!$A$2:$A$200,0))="","",INDEX('Test catalog'!$L$2:$L$200,MATCH($AB718,'Test catalog'!$A$2:$A$200,0))),"")</f>
        <v/>
      </c>
      <c r="T718" s="10">
        <f>IFERROR(IF(INDEX('Test catalog'!$M$2:$M$200,MATCH($AB718,'Test catalog'!$A$2:$A$200,0))="","",INDEX('Test catalog'!$M$2:$M$200,MATCH($AB718,'Test catalog'!$A$2:$A$200,0))),"")</f>
        <v/>
      </c>
      <c r="U718" s="10">
        <f>IFERROR(IF(INDEX('Test catalog'!$N$2:$N$200,MATCH($AB718,'Test catalog'!$A$2:$A$200,0))="","",INDEX('Test catalog'!$N$2:$N$200,MATCH($AB718,'Test catalog'!$A$2:$A$200,0))),"")</f>
        <v/>
      </c>
      <c r="V718" s="15" t="n"/>
      <c r="W718" s="5" t="inlineStr">
        <is>
          <t>N</t>
        </is>
      </c>
      <c r="X718" s="5" t="n"/>
      <c r="Y718" s="5" t="n"/>
      <c r="Z718" s="5" t="n"/>
      <c r="AA718" s="10">
        <f>IFERROR(IF(INDEX('Test catalog'!$O$2:$O$200,MATCH($AB718,'Test catalog'!$A$2:$A$200,0))="","",INDEX('Test catalog'!$O$2:$O$200,MATCH($AB718,'Test catalog'!$A$2:$A$200,0))),"")</f>
        <v/>
      </c>
      <c r="AB718" s="10" t="inlineStr">
        <is>
          <t>TITR</t>
        </is>
      </c>
      <c r="AC718" s="10" t="inlineStr">
        <is>
          <t>Corn Starch · Impurities</t>
        </is>
      </c>
      <c r="AD718" s="10" t="n"/>
      <c r="AE718" s="10" t="n"/>
    </row>
    <row r="719">
      <c r="A719" s="10" t="inlineStr">
        <is>
          <t>Corn Starch</t>
        </is>
      </c>
      <c r="B719" s="10" t="inlineStr">
        <is>
          <t>RM</t>
        </is>
      </c>
      <c r="C719" s="10" t="inlineStr">
        <is>
          <t>Filler / Diluent</t>
        </is>
      </c>
      <c r="D719" s="10" t="inlineStr">
        <is>
          <t>Loss on Drying</t>
        </is>
      </c>
      <c r="E719" s="10">
        <f>IF(A719="","",A719&amp;"|"&amp;D719)</f>
        <v/>
      </c>
      <c r="F719" s="5" t="inlineStr">
        <is>
          <t>Y</t>
        </is>
      </c>
      <c r="G719" s="5" t="inlineStr">
        <is>
          <t>Other / bench</t>
        </is>
      </c>
      <c r="H719" s="5" t="inlineStr">
        <is>
          <t>Low</t>
        </is>
      </c>
      <c r="I719" s="5" t="n">
        <v>1</v>
      </c>
      <c r="J719" s="5" t="n"/>
      <c r="K719" s="10">
        <f>IFERROR(IF(INDEX('Test catalog'!$F$2:$F$200,MATCH($AB719,'Test catalog'!$A$2:$A$200,0))="","",INDEX('Test catalog'!$F$2:$F$200,MATCH($AB719,'Test catalog'!$A$2:$A$200,0))),"")</f>
        <v/>
      </c>
      <c r="L719" s="10">
        <f>IFERROR(IF(INDEX('Test catalog'!$G$2:$G$200,MATCH($AB719,'Test catalog'!$A$2:$A$200,0))="","",INDEX('Test catalog'!$G$2:$G$200,MATCH($AB719,'Test catalog'!$A$2:$A$200,0))),"")</f>
        <v/>
      </c>
      <c r="M719" s="10">
        <f>IFERROR(IF(INDEX('Test catalog'!$H$2:$H$200,MATCH($AB719,'Test catalog'!$A$2:$A$200,0))="","",INDEX('Test catalog'!$H$2:$H$200,MATCH($AB719,'Test catalog'!$A$2:$A$200,0))),"")</f>
        <v/>
      </c>
      <c r="N719" s="10">
        <f>IFERROR(IF(INDEX('Test catalog'!$I$2:$I$200,MATCH($AB719,'Test catalog'!$A$2:$A$200,0))="","",INDEX('Test catalog'!$I$2:$I$200,MATCH($AB719,'Test catalog'!$A$2:$A$200,0))),"")</f>
        <v/>
      </c>
      <c r="O719" s="10">
        <f>IFERROR(IF(INDEX('Test catalog'!$J$2:$J$200,MATCH($AB719,'Test catalog'!$A$2:$A$200,0))="","",INDEX('Test catalog'!$J$2:$J$200,MATCH($AB719,'Test catalog'!$A$2:$A$200,0))),"")</f>
        <v/>
      </c>
      <c r="P719" s="14">
        <f>IF(N719="","",IF(OR(M719="",O719=""),N719,(M719+4*N719+O719)/6))</f>
        <v/>
      </c>
      <c r="Q719" s="10">
        <f>IFERROR(IF(INDEX('Test catalog'!$K$2:$K$200,MATCH($AB719,'Test catalog'!$A$2:$A$200,0))="","",INDEX('Test catalog'!$K$2:$K$200,MATCH($AB719,'Test catalog'!$A$2:$A$200,0))),"")</f>
        <v/>
      </c>
      <c r="R719" s="5" t="n"/>
      <c r="S719" s="10">
        <f>IFERROR(IF(INDEX('Test catalog'!$L$2:$L$200,MATCH($AB719,'Test catalog'!$A$2:$A$200,0))="","",INDEX('Test catalog'!$L$2:$L$200,MATCH($AB719,'Test catalog'!$A$2:$A$200,0))),"")</f>
        <v/>
      </c>
      <c r="T719" s="10">
        <f>IFERROR(IF(INDEX('Test catalog'!$M$2:$M$200,MATCH($AB719,'Test catalog'!$A$2:$A$200,0))="","",INDEX('Test catalog'!$M$2:$M$200,MATCH($AB719,'Test catalog'!$A$2:$A$200,0))),"")</f>
        <v/>
      </c>
      <c r="U719" s="10">
        <f>IFERROR(IF(INDEX('Test catalog'!$N$2:$N$200,MATCH($AB719,'Test catalog'!$A$2:$A$200,0))="","",INDEX('Test catalog'!$N$2:$N$200,MATCH($AB719,'Test catalog'!$A$2:$A$200,0))),"")</f>
        <v/>
      </c>
      <c r="V719" s="15" t="n"/>
      <c r="W719" s="5" t="inlineStr">
        <is>
          <t>N</t>
        </is>
      </c>
      <c r="X719" s="5" t="n"/>
      <c r="Y719" s="5" t="n"/>
      <c r="Z719" s="5" t="n"/>
      <c r="AA719" s="10">
        <f>IFERROR(IF(INDEX('Test catalog'!$O$2:$O$200,MATCH($AB719,'Test catalog'!$A$2:$A$200,0))="","",INDEX('Test catalog'!$O$2:$O$200,MATCH($AB719,'Test catalog'!$A$2:$A$200,0))),"")</f>
        <v/>
      </c>
      <c r="AB719" s="10" t="inlineStr">
        <is>
          <t>LOD</t>
        </is>
      </c>
      <c r="AC719" s="10" t="inlineStr">
        <is>
          <t>Corn Starch · Specific Tests &lt;731&gt;</t>
        </is>
      </c>
      <c r="AD719" s="10" t="n"/>
      <c r="AE719" s="10" t="n"/>
    </row>
    <row r="720">
      <c r="A720" s="10" t="inlineStr">
        <is>
          <t>Corn Starch</t>
        </is>
      </c>
      <c r="B720" s="10" t="inlineStr">
        <is>
          <t>RM</t>
        </is>
      </c>
      <c r="C720" s="10" t="inlineStr">
        <is>
          <t>Filler / Diluent</t>
        </is>
      </c>
      <c r="D720" s="10" t="inlineStr">
        <is>
          <t>pH</t>
        </is>
      </c>
      <c r="E720" s="10">
        <f>IF(A720="","",A720&amp;"|"&amp;D720)</f>
        <v/>
      </c>
      <c r="F720" s="5" t="inlineStr">
        <is>
          <t>Y</t>
        </is>
      </c>
      <c r="G720" s="5" t="inlineStr">
        <is>
          <t>Other / bench</t>
        </is>
      </c>
      <c r="H720" s="5" t="inlineStr">
        <is>
          <t>Low</t>
        </is>
      </c>
      <c r="I720" s="5" t="n">
        <v>1</v>
      </c>
      <c r="J720" s="5" t="n"/>
      <c r="K720" s="10">
        <f>IFERROR(IF(INDEX('Test catalog'!$F$2:$F$200,MATCH($AB720,'Test catalog'!$A$2:$A$200,0))="","",INDEX('Test catalog'!$F$2:$F$200,MATCH($AB720,'Test catalog'!$A$2:$A$200,0))),"")</f>
        <v/>
      </c>
      <c r="L720" s="10">
        <f>IFERROR(IF(INDEX('Test catalog'!$G$2:$G$200,MATCH($AB720,'Test catalog'!$A$2:$A$200,0))="","",INDEX('Test catalog'!$G$2:$G$200,MATCH($AB720,'Test catalog'!$A$2:$A$200,0))),"")</f>
        <v/>
      </c>
      <c r="M720" s="10">
        <f>IFERROR(IF(INDEX('Test catalog'!$H$2:$H$200,MATCH($AB720,'Test catalog'!$A$2:$A$200,0))="","",INDEX('Test catalog'!$H$2:$H$200,MATCH($AB720,'Test catalog'!$A$2:$A$200,0))),"")</f>
        <v/>
      </c>
      <c r="N720" s="10">
        <f>IFERROR(IF(INDEX('Test catalog'!$I$2:$I$200,MATCH($AB720,'Test catalog'!$A$2:$A$200,0))="","",INDEX('Test catalog'!$I$2:$I$200,MATCH($AB720,'Test catalog'!$A$2:$A$200,0))),"")</f>
        <v/>
      </c>
      <c r="O720" s="10">
        <f>IFERROR(IF(INDEX('Test catalog'!$J$2:$J$200,MATCH($AB720,'Test catalog'!$A$2:$A$200,0))="","",INDEX('Test catalog'!$J$2:$J$200,MATCH($AB720,'Test catalog'!$A$2:$A$200,0))),"")</f>
        <v/>
      </c>
      <c r="P720" s="14">
        <f>IF(N720="","",IF(OR(M720="",O720=""),N720,(M720+4*N720+O720)/6))</f>
        <v/>
      </c>
      <c r="Q720" s="10">
        <f>IFERROR(IF(INDEX('Test catalog'!$K$2:$K$200,MATCH($AB720,'Test catalog'!$A$2:$A$200,0))="","",INDEX('Test catalog'!$K$2:$K$200,MATCH($AB720,'Test catalog'!$A$2:$A$200,0))),"")</f>
        <v/>
      </c>
      <c r="R720" s="5" t="n"/>
      <c r="S720" s="10">
        <f>IFERROR(IF(INDEX('Test catalog'!$L$2:$L$200,MATCH($AB720,'Test catalog'!$A$2:$A$200,0))="","",INDEX('Test catalog'!$L$2:$L$200,MATCH($AB720,'Test catalog'!$A$2:$A$200,0))),"")</f>
        <v/>
      </c>
      <c r="T720" s="10">
        <f>IFERROR(IF(INDEX('Test catalog'!$M$2:$M$200,MATCH($AB720,'Test catalog'!$A$2:$A$200,0))="","",INDEX('Test catalog'!$M$2:$M$200,MATCH($AB720,'Test catalog'!$A$2:$A$200,0))),"")</f>
        <v/>
      </c>
      <c r="U720" s="10">
        <f>IFERROR(IF(INDEX('Test catalog'!$N$2:$N$200,MATCH($AB720,'Test catalog'!$A$2:$A$200,0))="","",INDEX('Test catalog'!$N$2:$N$200,MATCH($AB720,'Test catalog'!$A$2:$A$200,0))),"")</f>
        <v/>
      </c>
      <c r="V720" s="15" t="n"/>
      <c r="W720" s="5" t="inlineStr">
        <is>
          <t>N</t>
        </is>
      </c>
      <c r="X720" s="5" t="n"/>
      <c r="Y720" s="5" t="n"/>
      <c r="Z720" s="5" t="n"/>
      <c r="AA720" s="10">
        <f>IFERROR(IF(INDEX('Test catalog'!$O$2:$O$200,MATCH($AB720,'Test catalog'!$A$2:$A$200,0))="","",INDEX('Test catalog'!$O$2:$O$200,MATCH($AB720,'Test catalog'!$A$2:$A$200,0))),"")</f>
        <v/>
      </c>
      <c r="AB720" s="10" t="inlineStr">
        <is>
          <t>PH</t>
        </is>
      </c>
      <c r="AC720" s="10" t="inlineStr">
        <is>
          <t>Corn Starch · Specific Tests &lt;791&gt;</t>
        </is>
      </c>
      <c r="AD720" s="10" t="n"/>
      <c r="AE720" s="10" t="n"/>
    </row>
    <row r="721">
      <c r="A721" s="10" t="inlineStr">
        <is>
          <t>Dibasic Calcium Phosphate Dihydrate</t>
        </is>
      </c>
      <c r="B721" s="10" t="inlineStr">
        <is>
          <t>RM</t>
        </is>
      </c>
      <c r="C721" s="10" t="inlineStr">
        <is>
          <t>Filler / Diluent</t>
        </is>
      </c>
      <c r="D721" s="10" t="inlineStr">
        <is>
          <t>Appearance / description and solubility</t>
        </is>
      </c>
      <c r="E721" s="10">
        <f>IF(A721="","",A721&amp;"|"&amp;D721)</f>
        <v/>
      </c>
      <c r="F721" s="5" t="inlineStr">
        <is>
          <t>Y</t>
        </is>
      </c>
      <c r="G721" s="5" t="inlineStr">
        <is>
          <t>Other / bench</t>
        </is>
      </c>
      <c r="H721" s="5" t="inlineStr">
        <is>
          <t>Low</t>
        </is>
      </c>
      <c r="I721" s="5" t="n">
        <v>1</v>
      </c>
      <c r="J721" s="5" t="n"/>
      <c r="K721" s="10">
        <f>IFERROR(IF(INDEX('Test catalog'!$F$2:$F$200,MATCH($AB721,'Test catalog'!$A$2:$A$200,0))="","",INDEX('Test catalog'!$F$2:$F$200,MATCH($AB721,'Test catalog'!$A$2:$A$200,0))),"")</f>
        <v/>
      </c>
      <c r="L721" s="10">
        <f>IFERROR(IF(INDEX('Test catalog'!$G$2:$G$200,MATCH($AB721,'Test catalog'!$A$2:$A$200,0))="","",INDEX('Test catalog'!$G$2:$G$200,MATCH($AB721,'Test catalog'!$A$2:$A$200,0))),"")</f>
        <v/>
      </c>
      <c r="M721" s="10">
        <f>IFERROR(IF(INDEX('Test catalog'!$H$2:$H$200,MATCH($AB721,'Test catalog'!$A$2:$A$200,0))="","",INDEX('Test catalog'!$H$2:$H$200,MATCH($AB721,'Test catalog'!$A$2:$A$200,0))),"")</f>
        <v/>
      </c>
      <c r="N721" s="10">
        <f>IFERROR(IF(INDEX('Test catalog'!$I$2:$I$200,MATCH($AB721,'Test catalog'!$A$2:$A$200,0))="","",INDEX('Test catalog'!$I$2:$I$200,MATCH($AB721,'Test catalog'!$A$2:$A$200,0))),"")</f>
        <v/>
      </c>
      <c r="O721" s="10">
        <f>IFERROR(IF(INDEX('Test catalog'!$J$2:$J$200,MATCH($AB721,'Test catalog'!$A$2:$A$200,0))="","",INDEX('Test catalog'!$J$2:$J$200,MATCH($AB721,'Test catalog'!$A$2:$A$200,0))),"")</f>
        <v/>
      </c>
      <c r="P721" s="14">
        <f>IF(N721="","",IF(OR(M721="",O721=""),N721,(M721+4*N721+O721)/6))</f>
        <v/>
      </c>
      <c r="Q721" s="10">
        <f>IFERROR(IF(INDEX('Test catalog'!$K$2:$K$200,MATCH($AB721,'Test catalog'!$A$2:$A$200,0))="","",INDEX('Test catalog'!$K$2:$K$200,MATCH($AB721,'Test catalog'!$A$2:$A$200,0))),"")</f>
        <v/>
      </c>
      <c r="R721" s="5" t="n"/>
      <c r="S721" s="10">
        <f>IFERROR(IF(INDEX('Test catalog'!$L$2:$L$200,MATCH($AB721,'Test catalog'!$A$2:$A$200,0))="","",INDEX('Test catalog'!$L$2:$L$200,MATCH($AB721,'Test catalog'!$A$2:$A$200,0))),"")</f>
        <v/>
      </c>
      <c r="T721" s="10">
        <f>IFERROR(IF(INDEX('Test catalog'!$M$2:$M$200,MATCH($AB721,'Test catalog'!$A$2:$A$200,0))="","",INDEX('Test catalog'!$M$2:$M$200,MATCH($AB721,'Test catalog'!$A$2:$A$200,0))),"")</f>
        <v/>
      </c>
      <c r="U721" s="10">
        <f>IFERROR(IF(INDEX('Test catalog'!$N$2:$N$200,MATCH($AB721,'Test catalog'!$A$2:$A$200,0))="","",INDEX('Test catalog'!$N$2:$N$200,MATCH($AB721,'Test catalog'!$A$2:$A$200,0))),"")</f>
        <v/>
      </c>
      <c r="V721" s="15" t="n"/>
      <c r="W721" s="5" t="inlineStr">
        <is>
          <t>N</t>
        </is>
      </c>
      <c r="X721" s="5" t="n"/>
      <c r="Y721" s="5" t="n"/>
      <c r="Z721" s="5" t="n"/>
      <c r="AA721" s="10">
        <f>IFERROR(IF(INDEX('Test catalog'!$O$2:$O$200,MATCH($AB721,'Test catalog'!$A$2:$A$200,0))="","",INDEX('Test catalog'!$O$2:$O$200,MATCH($AB721,'Test catalog'!$A$2:$A$200,0))),"")</f>
        <v/>
      </c>
      <c r="AB721" s="10" t="inlineStr">
        <is>
          <t>APPEAR</t>
        </is>
      </c>
      <c r="AC721" s="10" t="inlineStr">
        <is>
          <t>Lab practice (not a USP test)</t>
        </is>
      </c>
      <c r="AD721" s="10" t="n"/>
      <c r="AE721" s="10" t="n"/>
    </row>
    <row r="722">
      <c r="A722" s="10" t="inlineStr">
        <is>
          <t>Dibasic Calcium Phosphate Dihydrate</t>
        </is>
      </c>
      <c r="B722" s="10" t="inlineStr">
        <is>
          <t>RM</t>
        </is>
      </c>
      <c r="C722" s="10" t="inlineStr">
        <is>
          <t>Filler / Diluent</t>
        </is>
      </c>
      <c r="D722" s="10" t="inlineStr">
        <is>
          <t>ID A - chemical reaction</t>
        </is>
      </c>
      <c r="E722" s="10">
        <f>IF(A722="","",A722&amp;"|"&amp;D722)</f>
        <v/>
      </c>
      <c r="F722" s="5" t="inlineStr">
        <is>
          <t>Y</t>
        </is>
      </c>
      <c r="G722" s="5" t="inlineStr">
        <is>
          <t>Other / bench</t>
        </is>
      </c>
      <c r="H722" s="5" t="inlineStr">
        <is>
          <t>Low</t>
        </is>
      </c>
      <c r="I722" s="5" t="n">
        <v>1</v>
      </c>
      <c r="J722" s="5" t="n"/>
      <c r="K722" s="10">
        <f>IFERROR(IF(INDEX('Test catalog'!$F$2:$F$200,MATCH($AB722,'Test catalog'!$A$2:$A$200,0))="","",INDEX('Test catalog'!$F$2:$F$200,MATCH($AB722,'Test catalog'!$A$2:$A$200,0))),"")</f>
        <v/>
      </c>
      <c r="L722" s="10">
        <f>IFERROR(IF(INDEX('Test catalog'!$G$2:$G$200,MATCH($AB722,'Test catalog'!$A$2:$A$200,0))="","",INDEX('Test catalog'!$G$2:$G$200,MATCH($AB722,'Test catalog'!$A$2:$A$200,0))),"")</f>
        <v/>
      </c>
      <c r="M722" s="10">
        <f>IFERROR(IF(INDEX('Test catalog'!$H$2:$H$200,MATCH($AB722,'Test catalog'!$A$2:$A$200,0))="","",INDEX('Test catalog'!$H$2:$H$200,MATCH($AB722,'Test catalog'!$A$2:$A$200,0))),"")</f>
        <v/>
      </c>
      <c r="N722" s="10">
        <f>IFERROR(IF(INDEX('Test catalog'!$I$2:$I$200,MATCH($AB722,'Test catalog'!$A$2:$A$200,0))="","",INDEX('Test catalog'!$I$2:$I$200,MATCH($AB722,'Test catalog'!$A$2:$A$200,0))),"")</f>
        <v/>
      </c>
      <c r="O722" s="10">
        <f>IFERROR(IF(INDEX('Test catalog'!$J$2:$J$200,MATCH($AB722,'Test catalog'!$A$2:$A$200,0))="","",INDEX('Test catalog'!$J$2:$J$200,MATCH($AB722,'Test catalog'!$A$2:$A$200,0))),"")</f>
        <v/>
      </c>
      <c r="P722" s="14">
        <f>IF(N722="","",IF(OR(M722="",O722=""),N722,(M722+4*N722+O722)/6))</f>
        <v/>
      </c>
      <c r="Q722" s="10">
        <f>IFERROR(IF(INDEX('Test catalog'!$K$2:$K$200,MATCH($AB722,'Test catalog'!$A$2:$A$200,0))="","",INDEX('Test catalog'!$K$2:$K$200,MATCH($AB722,'Test catalog'!$A$2:$A$200,0))),"")</f>
        <v/>
      </c>
      <c r="R722" s="5" t="n"/>
      <c r="S722" s="10">
        <f>IFERROR(IF(INDEX('Test catalog'!$L$2:$L$200,MATCH($AB722,'Test catalog'!$A$2:$A$200,0))="","",INDEX('Test catalog'!$L$2:$L$200,MATCH($AB722,'Test catalog'!$A$2:$A$200,0))),"")</f>
        <v/>
      </c>
      <c r="T722" s="10">
        <f>IFERROR(IF(INDEX('Test catalog'!$M$2:$M$200,MATCH($AB722,'Test catalog'!$A$2:$A$200,0))="","",INDEX('Test catalog'!$M$2:$M$200,MATCH($AB722,'Test catalog'!$A$2:$A$200,0))),"")</f>
        <v/>
      </c>
      <c r="U722" s="10">
        <f>IFERROR(IF(INDEX('Test catalog'!$N$2:$N$200,MATCH($AB722,'Test catalog'!$A$2:$A$200,0))="","",INDEX('Test catalog'!$N$2:$N$200,MATCH($AB722,'Test catalog'!$A$2:$A$200,0))),"")</f>
        <v/>
      </c>
      <c r="V722" s="15" t="n"/>
      <c r="W722" s="5" t="inlineStr">
        <is>
          <t>N</t>
        </is>
      </c>
      <c r="X722" s="5" t="n"/>
      <c r="Y722" s="5" t="n"/>
      <c r="Z722" s="5" t="n"/>
      <c r="AA722" s="10">
        <f>IFERROR(IF(INDEX('Test catalog'!$O$2:$O$200,MATCH($AB722,'Test catalog'!$A$2:$A$200,0))="","",INDEX('Test catalog'!$O$2:$O$200,MATCH($AB722,'Test catalog'!$A$2:$A$200,0))),"")</f>
        <v/>
      </c>
      <c r="AB722" s="10" t="inlineStr">
        <is>
          <t>ID_CHEM</t>
        </is>
      </c>
      <c r="AC722" s="10" t="inlineStr">
        <is>
          <t>Dibasic Calcium Phosphate Dihydrate · Identification</t>
        </is>
      </c>
      <c r="AD722" s="10" t="n"/>
      <c r="AE722" s="10" t="n"/>
    </row>
    <row r="723">
      <c r="A723" s="10" t="inlineStr">
        <is>
          <t>Dibasic Calcium Phosphate Dihydrate</t>
        </is>
      </c>
      <c r="B723" s="10" t="inlineStr">
        <is>
          <t>RM</t>
        </is>
      </c>
      <c r="C723" s="10" t="inlineStr">
        <is>
          <t>Filler / Diluent</t>
        </is>
      </c>
      <c r="D723" s="10" t="inlineStr">
        <is>
          <t>ID B - chemical reaction</t>
        </is>
      </c>
      <c r="E723" s="10">
        <f>IF(A723="","",A723&amp;"|"&amp;D723)</f>
        <v/>
      </c>
      <c r="F723" s="5" t="inlineStr">
        <is>
          <t>Y</t>
        </is>
      </c>
      <c r="G723" s="5" t="inlineStr">
        <is>
          <t>Other / bench</t>
        </is>
      </c>
      <c r="H723" s="5" t="inlineStr">
        <is>
          <t>Low</t>
        </is>
      </c>
      <c r="I723" s="5" t="n">
        <v>1</v>
      </c>
      <c r="J723" s="5" t="n"/>
      <c r="K723" s="10">
        <f>IFERROR(IF(INDEX('Test catalog'!$F$2:$F$200,MATCH($AB723,'Test catalog'!$A$2:$A$200,0))="","",INDEX('Test catalog'!$F$2:$F$200,MATCH($AB723,'Test catalog'!$A$2:$A$200,0))),"")</f>
        <v/>
      </c>
      <c r="L723" s="10">
        <f>IFERROR(IF(INDEX('Test catalog'!$G$2:$G$200,MATCH($AB723,'Test catalog'!$A$2:$A$200,0))="","",INDEX('Test catalog'!$G$2:$G$200,MATCH($AB723,'Test catalog'!$A$2:$A$200,0))),"")</f>
        <v/>
      </c>
      <c r="M723" s="10">
        <f>IFERROR(IF(INDEX('Test catalog'!$H$2:$H$200,MATCH($AB723,'Test catalog'!$A$2:$A$200,0))="","",INDEX('Test catalog'!$H$2:$H$200,MATCH($AB723,'Test catalog'!$A$2:$A$200,0))),"")</f>
        <v/>
      </c>
      <c r="N723" s="10">
        <f>IFERROR(IF(INDEX('Test catalog'!$I$2:$I$200,MATCH($AB723,'Test catalog'!$A$2:$A$200,0))="","",INDEX('Test catalog'!$I$2:$I$200,MATCH($AB723,'Test catalog'!$A$2:$A$200,0))),"")</f>
        <v/>
      </c>
      <c r="O723" s="10">
        <f>IFERROR(IF(INDEX('Test catalog'!$J$2:$J$200,MATCH($AB723,'Test catalog'!$A$2:$A$200,0))="","",INDEX('Test catalog'!$J$2:$J$200,MATCH($AB723,'Test catalog'!$A$2:$A$200,0))),"")</f>
        <v/>
      </c>
      <c r="P723" s="14">
        <f>IF(N723="","",IF(OR(M723="",O723=""),N723,(M723+4*N723+O723)/6))</f>
        <v/>
      </c>
      <c r="Q723" s="10">
        <f>IFERROR(IF(INDEX('Test catalog'!$K$2:$K$200,MATCH($AB723,'Test catalog'!$A$2:$A$200,0))="","",INDEX('Test catalog'!$K$2:$K$200,MATCH($AB723,'Test catalog'!$A$2:$A$200,0))),"")</f>
        <v/>
      </c>
      <c r="R723" s="5" t="n"/>
      <c r="S723" s="10">
        <f>IFERROR(IF(INDEX('Test catalog'!$L$2:$L$200,MATCH($AB723,'Test catalog'!$A$2:$A$200,0))="","",INDEX('Test catalog'!$L$2:$L$200,MATCH($AB723,'Test catalog'!$A$2:$A$200,0))),"")</f>
        <v/>
      </c>
      <c r="T723" s="10">
        <f>IFERROR(IF(INDEX('Test catalog'!$M$2:$M$200,MATCH($AB723,'Test catalog'!$A$2:$A$200,0))="","",INDEX('Test catalog'!$M$2:$M$200,MATCH($AB723,'Test catalog'!$A$2:$A$200,0))),"")</f>
        <v/>
      </c>
      <c r="U723" s="10">
        <f>IFERROR(IF(INDEX('Test catalog'!$N$2:$N$200,MATCH($AB723,'Test catalog'!$A$2:$A$200,0))="","",INDEX('Test catalog'!$N$2:$N$200,MATCH($AB723,'Test catalog'!$A$2:$A$200,0))),"")</f>
        <v/>
      </c>
      <c r="V723" s="15" t="n"/>
      <c r="W723" s="5" t="inlineStr">
        <is>
          <t>N</t>
        </is>
      </c>
      <c r="X723" s="5" t="n"/>
      <c r="Y723" s="5" t="n"/>
      <c r="Z723" s="5" t="n"/>
      <c r="AA723" s="10">
        <f>IFERROR(IF(INDEX('Test catalog'!$O$2:$O$200,MATCH($AB723,'Test catalog'!$A$2:$A$200,0))="","",INDEX('Test catalog'!$O$2:$O$200,MATCH($AB723,'Test catalog'!$A$2:$A$200,0))),"")</f>
        <v/>
      </c>
      <c r="AB723" s="10" t="inlineStr">
        <is>
          <t>ID_CHEM</t>
        </is>
      </c>
      <c r="AC723" s="10" t="inlineStr">
        <is>
          <t>Dibasic Calcium Phosphate Dihydrate · Identification</t>
        </is>
      </c>
      <c r="AD723" s="10" t="n"/>
      <c r="AE723" s="10" t="n"/>
    </row>
    <row r="724">
      <c r="A724" s="10" t="inlineStr">
        <is>
          <t>Dibasic Calcium Phosphate Dihydrate</t>
        </is>
      </c>
      <c r="B724" s="10" t="inlineStr">
        <is>
          <t>RM</t>
        </is>
      </c>
      <c r="C724" s="10" t="inlineStr">
        <is>
          <t>Filler / Diluent</t>
        </is>
      </c>
      <c r="D724" s="10" t="inlineStr">
        <is>
          <t>Assay</t>
        </is>
      </c>
      <c r="E724" s="10">
        <f>IF(A724="","",A724&amp;"|"&amp;D724)</f>
        <v/>
      </c>
      <c r="F724" s="5" t="inlineStr">
        <is>
          <t>Y</t>
        </is>
      </c>
      <c r="G724" s="5" t="inlineStr">
        <is>
          <t>Other / bench</t>
        </is>
      </c>
      <c r="H724" s="5" t="inlineStr">
        <is>
          <t>Low</t>
        </is>
      </c>
      <c r="I724" s="5" t="n">
        <v>1</v>
      </c>
      <c r="J724" s="5" t="n"/>
      <c r="K724" s="10">
        <f>IFERROR(IF(INDEX('Test catalog'!$F$2:$F$200,MATCH($AB724,'Test catalog'!$A$2:$A$200,0))="","",INDEX('Test catalog'!$F$2:$F$200,MATCH($AB724,'Test catalog'!$A$2:$A$200,0))),"")</f>
        <v/>
      </c>
      <c r="L724" s="10">
        <f>IFERROR(IF(INDEX('Test catalog'!$G$2:$G$200,MATCH($AB724,'Test catalog'!$A$2:$A$200,0))="","",INDEX('Test catalog'!$G$2:$G$200,MATCH($AB724,'Test catalog'!$A$2:$A$200,0))),"")</f>
        <v/>
      </c>
      <c r="M724" s="10">
        <f>IFERROR(IF(INDEX('Test catalog'!$H$2:$H$200,MATCH($AB724,'Test catalog'!$A$2:$A$200,0))="","",INDEX('Test catalog'!$H$2:$H$200,MATCH($AB724,'Test catalog'!$A$2:$A$200,0))),"")</f>
        <v/>
      </c>
      <c r="N724" s="10">
        <f>IFERROR(IF(INDEX('Test catalog'!$I$2:$I$200,MATCH($AB724,'Test catalog'!$A$2:$A$200,0))="","",INDEX('Test catalog'!$I$2:$I$200,MATCH($AB724,'Test catalog'!$A$2:$A$200,0))),"")</f>
        <v/>
      </c>
      <c r="O724" s="10">
        <f>IFERROR(IF(INDEX('Test catalog'!$J$2:$J$200,MATCH($AB724,'Test catalog'!$A$2:$A$200,0))="","",INDEX('Test catalog'!$J$2:$J$200,MATCH($AB724,'Test catalog'!$A$2:$A$200,0))),"")</f>
        <v/>
      </c>
      <c r="P724" s="14">
        <f>IF(N724="","",IF(OR(M724="",O724=""),N724,(M724+4*N724+O724)/6))</f>
        <v/>
      </c>
      <c r="Q724" s="10">
        <f>IFERROR(IF(INDEX('Test catalog'!$K$2:$K$200,MATCH($AB724,'Test catalog'!$A$2:$A$200,0))="","",INDEX('Test catalog'!$K$2:$K$200,MATCH($AB724,'Test catalog'!$A$2:$A$200,0))),"")</f>
        <v/>
      </c>
      <c r="R724" s="5" t="n"/>
      <c r="S724" s="10">
        <f>IFERROR(IF(INDEX('Test catalog'!$L$2:$L$200,MATCH($AB724,'Test catalog'!$A$2:$A$200,0))="","",INDEX('Test catalog'!$L$2:$L$200,MATCH($AB724,'Test catalog'!$A$2:$A$200,0))),"")</f>
        <v/>
      </c>
      <c r="T724" s="10">
        <f>IFERROR(IF(INDEX('Test catalog'!$M$2:$M$200,MATCH($AB724,'Test catalog'!$A$2:$A$200,0))="","",INDEX('Test catalog'!$M$2:$M$200,MATCH($AB724,'Test catalog'!$A$2:$A$200,0))),"")</f>
        <v/>
      </c>
      <c r="U724" s="10">
        <f>IFERROR(IF(INDEX('Test catalog'!$N$2:$N$200,MATCH($AB724,'Test catalog'!$A$2:$A$200,0))="","",INDEX('Test catalog'!$N$2:$N$200,MATCH($AB724,'Test catalog'!$A$2:$A$200,0))),"")</f>
        <v/>
      </c>
      <c r="V724" s="15" t="n"/>
      <c r="W724" s="5" t="inlineStr">
        <is>
          <t>N</t>
        </is>
      </c>
      <c r="X724" s="5" t="n"/>
      <c r="Y724" s="5" t="n"/>
      <c r="Z724" s="5" t="n"/>
      <c r="AA724" s="10">
        <f>IFERROR(IF(INDEX('Test catalog'!$O$2:$O$200,MATCH($AB724,'Test catalog'!$A$2:$A$200,0))="","",INDEX('Test catalog'!$O$2:$O$200,MATCH($AB724,'Test catalog'!$A$2:$A$200,0))),"")</f>
        <v/>
      </c>
      <c r="AB724" s="10" t="inlineStr">
        <is>
          <t>TITR</t>
        </is>
      </c>
      <c r="AC724" s="10" t="inlineStr">
        <is>
          <t>Dibasic Calcium Phosphate Dihydrate · Assay</t>
        </is>
      </c>
      <c r="AD724" s="10" t="n"/>
      <c r="AE724" s="10" t="n"/>
    </row>
    <row r="725">
      <c r="A725" s="10" t="inlineStr">
        <is>
          <t>Dibasic Calcium Phosphate Dihydrate</t>
        </is>
      </c>
      <c r="B725" s="10" t="inlineStr">
        <is>
          <t>RM</t>
        </is>
      </c>
      <c r="C725" s="10" t="inlineStr">
        <is>
          <t>Filler / Diluent</t>
        </is>
      </c>
      <c r="D725" s="10" t="inlineStr">
        <is>
          <t>Carbonate</t>
        </is>
      </c>
      <c r="E725" s="10">
        <f>IF(A725="","",A725&amp;"|"&amp;D725)</f>
        <v/>
      </c>
      <c r="F725" s="5" t="inlineStr">
        <is>
          <t>Y</t>
        </is>
      </c>
      <c r="G725" s="5" t="inlineStr">
        <is>
          <t>Other / bench</t>
        </is>
      </c>
      <c r="H725" s="5" t="inlineStr">
        <is>
          <t>Low</t>
        </is>
      </c>
      <c r="I725" s="5" t="n">
        <v>1</v>
      </c>
      <c r="J725" s="5" t="n"/>
      <c r="K725" s="10">
        <f>IFERROR(IF(INDEX('Test catalog'!$F$2:$F$200,MATCH($AB725,'Test catalog'!$A$2:$A$200,0))="","",INDEX('Test catalog'!$F$2:$F$200,MATCH($AB725,'Test catalog'!$A$2:$A$200,0))),"")</f>
        <v/>
      </c>
      <c r="L725" s="10">
        <f>IFERROR(IF(INDEX('Test catalog'!$G$2:$G$200,MATCH($AB725,'Test catalog'!$A$2:$A$200,0))="","",INDEX('Test catalog'!$G$2:$G$200,MATCH($AB725,'Test catalog'!$A$2:$A$200,0))),"")</f>
        <v/>
      </c>
      <c r="M725" s="10">
        <f>IFERROR(IF(INDEX('Test catalog'!$H$2:$H$200,MATCH($AB725,'Test catalog'!$A$2:$A$200,0))="","",INDEX('Test catalog'!$H$2:$H$200,MATCH($AB725,'Test catalog'!$A$2:$A$200,0))),"")</f>
        <v/>
      </c>
      <c r="N725" s="10">
        <f>IFERROR(IF(INDEX('Test catalog'!$I$2:$I$200,MATCH($AB725,'Test catalog'!$A$2:$A$200,0))="","",INDEX('Test catalog'!$I$2:$I$200,MATCH($AB725,'Test catalog'!$A$2:$A$200,0))),"")</f>
        <v/>
      </c>
      <c r="O725" s="10">
        <f>IFERROR(IF(INDEX('Test catalog'!$J$2:$J$200,MATCH($AB725,'Test catalog'!$A$2:$A$200,0))="","",INDEX('Test catalog'!$J$2:$J$200,MATCH($AB725,'Test catalog'!$A$2:$A$200,0))),"")</f>
        <v/>
      </c>
      <c r="P725" s="14">
        <f>IF(N725="","",IF(OR(M725="",O725=""),N725,(M725+4*N725+O725)/6))</f>
        <v/>
      </c>
      <c r="Q725" s="10">
        <f>IFERROR(IF(INDEX('Test catalog'!$K$2:$K$200,MATCH($AB725,'Test catalog'!$A$2:$A$200,0))="","",INDEX('Test catalog'!$K$2:$K$200,MATCH($AB725,'Test catalog'!$A$2:$A$200,0))),"")</f>
        <v/>
      </c>
      <c r="R725" s="5" t="n"/>
      <c r="S725" s="10">
        <f>IFERROR(IF(INDEX('Test catalog'!$L$2:$L$200,MATCH($AB725,'Test catalog'!$A$2:$A$200,0))="","",INDEX('Test catalog'!$L$2:$L$200,MATCH($AB725,'Test catalog'!$A$2:$A$200,0))),"")</f>
        <v/>
      </c>
      <c r="T725" s="10">
        <f>IFERROR(IF(INDEX('Test catalog'!$M$2:$M$200,MATCH($AB725,'Test catalog'!$A$2:$A$200,0))="","",INDEX('Test catalog'!$M$2:$M$200,MATCH($AB725,'Test catalog'!$A$2:$A$200,0))),"")</f>
        <v/>
      </c>
      <c r="U725" s="10">
        <f>IFERROR(IF(INDEX('Test catalog'!$N$2:$N$200,MATCH($AB725,'Test catalog'!$A$2:$A$200,0))="","",INDEX('Test catalog'!$N$2:$N$200,MATCH($AB725,'Test catalog'!$A$2:$A$200,0))),"")</f>
        <v/>
      </c>
      <c r="V725" s="15" t="n"/>
      <c r="W725" s="5" t="inlineStr">
        <is>
          <t>N</t>
        </is>
      </c>
      <c r="X725" s="5" t="n"/>
      <c r="Y725" s="5" t="n"/>
      <c r="Z725" s="5" t="n"/>
      <c r="AA725" s="10">
        <f>IFERROR(IF(INDEX('Test catalog'!$O$2:$O$200,MATCH($AB725,'Test catalog'!$A$2:$A$200,0))="","",INDEX('Test catalog'!$O$2:$O$200,MATCH($AB725,'Test catalog'!$A$2:$A$200,0))),"")</f>
        <v/>
      </c>
      <c r="AB725" s="10" t="inlineStr">
        <is>
          <t>LIMIT</t>
        </is>
      </c>
      <c r="AC725" s="10" t="inlineStr">
        <is>
          <t>Dibasic Calcium Phosphate Dihydrate · Impurities</t>
        </is>
      </c>
      <c r="AD725" s="10" t="n"/>
      <c r="AE725" s="10" t="n"/>
    </row>
    <row r="726">
      <c r="A726" s="10" t="inlineStr">
        <is>
          <t>Dibasic Calcium Phosphate Dihydrate</t>
        </is>
      </c>
      <c r="B726" s="10" t="inlineStr">
        <is>
          <t>RM</t>
        </is>
      </c>
      <c r="C726" s="10" t="inlineStr">
        <is>
          <t>Filler / Diluent</t>
        </is>
      </c>
      <c r="D726" s="10" t="inlineStr">
        <is>
          <t>Chloride and Sulfate</t>
        </is>
      </c>
      <c r="E726" s="10">
        <f>IF(A726="","",A726&amp;"|"&amp;D726)</f>
        <v/>
      </c>
      <c r="F726" s="5" t="inlineStr">
        <is>
          <t>Y</t>
        </is>
      </c>
      <c r="G726" s="5" t="inlineStr">
        <is>
          <t>Other / bench</t>
        </is>
      </c>
      <c r="H726" s="5" t="inlineStr">
        <is>
          <t>Low</t>
        </is>
      </c>
      <c r="I726" s="5" t="n">
        <v>1</v>
      </c>
      <c r="J726" s="5" t="n"/>
      <c r="K726" s="10">
        <f>IFERROR(IF(INDEX('Test catalog'!$F$2:$F$200,MATCH($AB726,'Test catalog'!$A$2:$A$200,0))="","",INDEX('Test catalog'!$F$2:$F$200,MATCH($AB726,'Test catalog'!$A$2:$A$200,0))),"")</f>
        <v/>
      </c>
      <c r="L726" s="10">
        <f>IFERROR(IF(INDEX('Test catalog'!$G$2:$G$200,MATCH($AB726,'Test catalog'!$A$2:$A$200,0))="","",INDEX('Test catalog'!$G$2:$G$200,MATCH($AB726,'Test catalog'!$A$2:$A$200,0))),"")</f>
        <v/>
      </c>
      <c r="M726" s="10">
        <f>IFERROR(IF(INDEX('Test catalog'!$H$2:$H$200,MATCH($AB726,'Test catalog'!$A$2:$A$200,0))="","",INDEX('Test catalog'!$H$2:$H$200,MATCH($AB726,'Test catalog'!$A$2:$A$200,0))),"")</f>
        <v/>
      </c>
      <c r="N726" s="10">
        <f>IFERROR(IF(INDEX('Test catalog'!$I$2:$I$200,MATCH($AB726,'Test catalog'!$A$2:$A$200,0))="","",INDEX('Test catalog'!$I$2:$I$200,MATCH($AB726,'Test catalog'!$A$2:$A$200,0))),"")</f>
        <v/>
      </c>
      <c r="O726" s="10">
        <f>IFERROR(IF(INDEX('Test catalog'!$J$2:$J$200,MATCH($AB726,'Test catalog'!$A$2:$A$200,0))="","",INDEX('Test catalog'!$J$2:$J$200,MATCH($AB726,'Test catalog'!$A$2:$A$200,0))),"")</f>
        <v/>
      </c>
      <c r="P726" s="14">
        <f>IF(N726="","",IF(OR(M726="",O726=""),N726,(M726+4*N726+O726)/6))</f>
        <v/>
      </c>
      <c r="Q726" s="10">
        <f>IFERROR(IF(INDEX('Test catalog'!$K$2:$K$200,MATCH($AB726,'Test catalog'!$A$2:$A$200,0))="","",INDEX('Test catalog'!$K$2:$K$200,MATCH($AB726,'Test catalog'!$A$2:$A$200,0))),"")</f>
        <v/>
      </c>
      <c r="R726" s="5" t="n"/>
      <c r="S726" s="10">
        <f>IFERROR(IF(INDEX('Test catalog'!$L$2:$L$200,MATCH($AB726,'Test catalog'!$A$2:$A$200,0))="","",INDEX('Test catalog'!$L$2:$L$200,MATCH($AB726,'Test catalog'!$A$2:$A$200,0))),"")</f>
        <v/>
      </c>
      <c r="T726" s="10">
        <f>IFERROR(IF(INDEX('Test catalog'!$M$2:$M$200,MATCH($AB726,'Test catalog'!$A$2:$A$200,0))="","",INDEX('Test catalog'!$M$2:$M$200,MATCH($AB726,'Test catalog'!$A$2:$A$200,0))),"")</f>
        <v/>
      </c>
      <c r="U726" s="10">
        <f>IFERROR(IF(INDEX('Test catalog'!$N$2:$N$200,MATCH($AB726,'Test catalog'!$A$2:$A$200,0))="","",INDEX('Test catalog'!$N$2:$N$200,MATCH($AB726,'Test catalog'!$A$2:$A$200,0))),"")</f>
        <v/>
      </c>
      <c r="V726" s="15" t="n"/>
      <c r="W726" s="5" t="inlineStr">
        <is>
          <t>N</t>
        </is>
      </c>
      <c r="X726" s="5" t="n"/>
      <c r="Y726" s="5" t="n"/>
      <c r="Z726" s="5" t="n"/>
      <c r="AA726" s="10">
        <f>IFERROR(IF(INDEX('Test catalog'!$O$2:$O$200,MATCH($AB726,'Test catalog'!$A$2:$A$200,0))="","",INDEX('Test catalog'!$O$2:$O$200,MATCH($AB726,'Test catalog'!$A$2:$A$200,0))),"")</f>
        <v/>
      </c>
      <c r="AB726" s="10" t="inlineStr">
        <is>
          <t>LIMIT</t>
        </is>
      </c>
      <c r="AC726" s="10" t="inlineStr">
        <is>
          <t>Dibasic Calcium Phosphate Dihydrate · Impurities &lt;221&gt;</t>
        </is>
      </c>
      <c r="AD726" s="10" t="n"/>
      <c r="AE726" s="10" t="n"/>
    </row>
    <row r="727">
      <c r="A727" s="10" t="inlineStr">
        <is>
          <t>Dibasic Calcium Phosphate Dihydrate</t>
        </is>
      </c>
      <c r="B727" s="10" t="inlineStr">
        <is>
          <t>RM</t>
        </is>
      </c>
      <c r="C727" s="10" t="inlineStr">
        <is>
          <t>Filler / Diluent</t>
        </is>
      </c>
      <c r="D727" s="10" t="inlineStr">
        <is>
          <t>Arsenic</t>
        </is>
      </c>
      <c r="E727" s="10">
        <f>IF(A727="","",A727&amp;"|"&amp;D727)</f>
        <v/>
      </c>
      <c r="F727" s="5" t="inlineStr">
        <is>
          <t>Y</t>
        </is>
      </c>
      <c r="G727" s="5" t="inlineStr">
        <is>
          <t>Other / bench</t>
        </is>
      </c>
      <c r="H727" s="5" t="inlineStr">
        <is>
          <t>Low</t>
        </is>
      </c>
      <c r="I727" s="5" t="n">
        <v>1</v>
      </c>
      <c r="J727" s="5" t="n"/>
      <c r="K727" s="10">
        <f>IFERROR(IF(INDEX('Test catalog'!$F$2:$F$200,MATCH($AB727,'Test catalog'!$A$2:$A$200,0))="","",INDEX('Test catalog'!$F$2:$F$200,MATCH($AB727,'Test catalog'!$A$2:$A$200,0))),"")</f>
        <v/>
      </c>
      <c r="L727" s="10">
        <f>IFERROR(IF(INDEX('Test catalog'!$G$2:$G$200,MATCH($AB727,'Test catalog'!$A$2:$A$200,0))="","",INDEX('Test catalog'!$G$2:$G$200,MATCH($AB727,'Test catalog'!$A$2:$A$200,0))),"")</f>
        <v/>
      </c>
      <c r="M727" s="10">
        <f>IFERROR(IF(INDEX('Test catalog'!$H$2:$H$200,MATCH($AB727,'Test catalog'!$A$2:$A$200,0))="","",INDEX('Test catalog'!$H$2:$H$200,MATCH($AB727,'Test catalog'!$A$2:$A$200,0))),"")</f>
        <v/>
      </c>
      <c r="N727" s="10">
        <f>IFERROR(IF(INDEX('Test catalog'!$I$2:$I$200,MATCH($AB727,'Test catalog'!$A$2:$A$200,0))="","",INDEX('Test catalog'!$I$2:$I$200,MATCH($AB727,'Test catalog'!$A$2:$A$200,0))),"")</f>
        <v/>
      </c>
      <c r="O727" s="10">
        <f>IFERROR(IF(INDEX('Test catalog'!$J$2:$J$200,MATCH($AB727,'Test catalog'!$A$2:$A$200,0))="","",INDEX('Test catalog'!$J$2:$J$200,MATCH($AB727,'Test catalog'!$A$2:$A$200,0))),"")</f>
        <v/>
      </c>
      <c r="P727" s="14">
        <f>IF(N727="","",IF(OR(M727="",O727=""),N727,(M727+4*N727+O727)/6))</f>
        <v/>
      </c>
      <c r="Q727" s="10">
        <f>IFERROR(IF(INDEX('Test catalog'!$K$2:$K$200,MATCH($AB727,'Test catalog'!$A$2:$A$200,0))="","",INDEX('Test catalog'!$K$2:$K$200,MATCH($AB727,'Test catalog'!$A$2:$A$200,0))),"")</f>
        <v/>
      </c>
      <c r="R727" s="5" t="n"/>
      <c r="S727" s="10">
        <f>IFERROR(IF(INDEX('Test catalog'!$L$2:$L$200,MATCH($AB727,'Test catalog'!$A$2:$A$200,0))="","",INDEX('Test catalog'!$L$2:$L$200,MATCH($AB727,'Test catalog'!$A$2:$A$200,0))),"")</f>
        <v/>
      </c>
      <c r="T727" s="10">
        <f>IFERROR(IF(INDEX('Test catalog'!$M$2:$M$200,MATCH($AB727,'Test catalog'!$A$2:$A$200,0))="","",INDEX('Test catalog'!$M$2:$M$200,MATCH($AB727,'Test catalog'!$A$2:$A$200,0))),"")</f>
        <v/>
      </c>
      <c r="U727" s="10">
        <f>IFERROR(IF(INDEX('Test catalog'!$N$2:$N$200,MATCH($AB727,'Test catalog'!$A$2:$A$200,0))="","",INDEX('Test catalog'!$N$2:$N$200,MATCH($AB727,'Test catalog'!$A$2:$A$200,0))),"")</f>
        <v/>
      </c>
      <c r="V727" s="15" t="n"/>
      <c r="W727" s="5" t="inlineStr">
        <is>
          <t>N</t>
        </is>
      </c>
      <c r="X727" s="5" t="n"/>
      <c r="Y727" s="5" t="n"/>
      <c r="Z727" s="5" t="n"/>
      <c r="AA727" s="10">
        <f>IFERROR(IF(INDEX('Test catalog'!$O$2:$O$200,MATCH($AB727,'Test catalog'!$A$2:$A$200,0))="","",INDEX('Test catalog'!$O$2:$O$200,MATCH($AB727,'Test catalog'!$A$2:$A$200,0))),"")</f>
        <v/>
      </c>
      <c r="AB727" s="10" t="inlineStr">
        <is>
          <t>LIM_TOX</t>
        </is>
      </c>
      <c r="AC727" s="10" t="inlineStr">
        <is>
          <t>Dibasic Calcium Phosphate Dihydrate · Impurities &lt;211&gt;</t>
        </is>
      </c>
      <c r="AD727" s="10" t="n"/>
      <c r="AE727" s="10" t="n"/>
    </row>
    <row r="728">
      <c r="A728" s="10" t="inlineStr">
        <is>
          <t>Dibasic Calcium Phosphate Dihydrate</t>
        </is>
      </c>
      <c r="B728" s="10" t="inlineStr">
        <is>
          <t>RM</t>
        </is>
      </c>
      <c r="C728" s="10" t="inlineStr">
        <is>
          <t>Filler / Diluent</t>
        </is>
      </c>
      <c r="D728" s="10" t="inlineStr">
        <is>
          <t>Barium</t>
        </is>
      </c>
      <c r="E728" s="10">
        <f>IF(A728="","",A728&amp;"|"&amp;D728)</f>
        <v/>
      </c>
      <c r="F728" s="5" t="inlineStr">
        <is>
          <t>Y</t>
        </is>
      </c>
      <c r="G728" s="5" t="inlineStr">
        <is>
          <t>Other / bench</t>
        </is>
      </c>
      <c r="H728" s="5" t="inlineStr">
        <is>
          <t>Low</t>
        </is>
      </c>
      <c r="I728" s="5" t="n">
        <v>1</v>
      </c>
      <c r="J728" s="5" t="n"/>
      <c r="K728" s="10">
        <f>IFERROR(IF(INDEX('Test catalog'!$F$2:$F$200,MATCH($AB728,'Test catalog'!$A$2:$A$200,0))="","",INDEX('Test catalog'!$F$2:$F$200,MATCH($AB728,'Test catalog'!$A$2:$A$200,0))),"")</f>
        <v/>
      </c>
      <c r="L728" s="10">
        <f>IFERROR(IF(INDEX('Test catalog'!$G$2:$G$200,MATCH($AB728,'Test catalog'!$A$2:$A$200,0))="","",INDEX('Test catalog'!$G$2:$G$200,MATCH($AB728,'Test catalog'!$A$2:$A$200,0))),"")</f>
        <v/>
      </c>
      <c r="M728" s="10">
        <f>IFERROR(IF(INDEX('Test catalog'!$H$2:$H$200,MATCH($AB728,'Test catalog'!$A$2:$A$200,0))="","",INDEX('Test catalog'!$H$2:$H$200,MATCH($AB728,'Test catalog'!$A$2:$A$200,0))),"")</f>
        <v/>
      </c>
      <c r="N728" s="10">
        <f>IFERROR(IF(INDEX('Test catalog'!$I$2:$I$200,MATCH($AB728,'Test catalog'!$A$2:$A$200,0))="","",INDEX('Test catalog'!$I$2:$I$200,MATCH($AB728,'Test catalog'!$A$2:$A$200,0))),"")</f>
        <v/>
      </c>
      <c r="O728" s="10">
        <f>IFERROR(IF(INDEX('Test catalog'!$J$2:$J$200,MATCH($AB728,'Test catalog'!$A$2:$A$200,0))="","",INDEX('Test catalog'!$J$2:$J$200,MATCH($AB728,'Test catalog'!$A$2:$A$200,0))),"")</f>
        <v/>
      </c>
      <c r="P728" s="14">
        <f>IF(N728="","",IF(OR(M728="",O728=""),N728,(M728+4*N728+O728)/6))</f>
        <v/>
      </c>
      <c r="Q728" s="10">
        <f>IFERROR(IF(INDEX('Test catalog'!$K$2:$K$200,MATCH($AB728,'Test catalog'!$A$2:$A$200,0))="","",INDEX('Test catalog'!$K$2:$K$200,MATCH($AB728,'Test catalog'!$A$2:$A$200,0))),"")</f>
        <v/>
      </c>
      <c r="R728" s="5" t="n"/>
      <c r="S728" s="10">
        <f>IFERROR(IF(INDEX('Test catalog'!$L$2:$L$200,MATCH($AB728,'Test catalog'!$A$2:$A$200,0))="","",INDEX('Test catalog'!$L$2:$L$200,MATCH($AB728,'Test catalog'!$A$2:$A$200,0))),"")</f>
        <v/>
      </c>
      <c r="T728" s="10">
        <f>IFERROR(IF(INDEX('Test catalog'!$M$2:$M$200,MATCH($AB728,'Test catalog'!$A$2:$A$200,0))="","",INDEX('Test catalog'!$M$2:$M$200,MATCH($AB728,'Test catalog'!$A$2:$A$200,0))),"")</f>
        <v/>
      </c>
      <c r="U728" s="10">
        <f>IFERROR(IF(INDEX('Test catalog'!$N$2:$N$200,MATCH($AB728,'Test catalog'!$A$2:$A$200,0))="","",INDEX('Test catalog'!$N$2:$N$200,MATCH($AB728,'Test catalog'!$A$2:$A$200,0))),"")</f>
        <v/>
      </c>
      <c r="V728" s="15" t="n"/>
      <c r="W728" s="5" t="inlineStr">
        <is>
          <t>N</t>
        </is>
      </c>
      <c r="X728" s="5" t="n"/>
      <c r="Y728" s="5" t="n"/>
      <c r="Z728" s="5" t="n"/>
      <c r="AA728" s="10">
        <f>IFERROR(IF(INDEX('Test catalog'!$O$2:$O$200,MATCH($AB728,'Test catalog'!$A$2:$A$200,0))="","",INDEX('Test catalog'!$O$2:$O$200,MATCH($AB728,'Test catalog'!$A$2:$A$200,0))),"")</f>
        <v/>
      </c>
      <c r="AB728" s="10" t="inlineStr">
        <is>
          <t>LIMIT</t>
        </is>
      </c>
      <c r="AC728" s="10" t="inlineStr">
        <is>
          <t>Dibasic Calcium Phosphate Dihydrate · Impurities</t>
        </is>
      </c>
      <c r="AD728" s="10" t="n"/>
      <c r="AE728" s="10" t="n"/>
    </row>
    <row r="729">
      <c r="A729" s="10" t="inlineStr">
        <is>
          <t>Dibasic Calcium Phosphate Dihydrate</t>
        </is>
      </c>
      <c r="B729" s="10" t="inlineStr">
        <is>
          <t>RM</t>
        </is>
      </c>
      <c r="C729" s="10" t="inlineStr">
        <is>
          <t>Filler / Diluent</t>
        </is>
      </c>
      <c r="D729" s="10" t="inlineStr">
        <is>
          <t>Limit of Acid-Insoluble Substances</t>
        </is>
      </c>
      <c r="E729" s="10">
        <f>IF(A729="","",A729&amp;"|"&amp;D729)</f>
        <v/>
      </c>
      <c r="F729" s="5" t="inlineStr">
        <is>
          <t>Y</t>
        </is>
      </c>
      <c r="G729" s="5" t="inlineStr">
        <is>
          <t>Other / bench</t>
        </is>
      </c>
      <c r="H729" s="5" t="inlineStr">
        <is>
          <t>Low</t>
        </is>
      </c>
      <c r="I729" s="5" t="n">
        <v>1</v>
      </c>
      <c r="J729" s="5" t="n"/>
      <c r="K729" s="10">
        <f>IFERROR(IF(INDEX('Test catalog'!$F$2:$F$200,MATCH($AB729,'Test catalog'!$A$2:$A$200,0))="","",INDEX('Test catalog'!$F$2:$F$200,MATCH($AB729,'Test catalog'!$A$2:$A$200,0))),"")</f>
        <v/>
      </c>
      <c r="L729" s="10">
        <f>IFERROR(IF(INDEX('Test catalog'!$G$2:$G$200,MATCH($AB729,'Test catalog'!$A$2:$A$200,0))="","",INDEX('Test catalog'!$G$2:$G$200,MATCH($AB729,'Test catalog'!$A$2:$A$200,0))),"")</f>
        <v/>
      </c>
      <c r="M729" s="10">
        <f>IFERROR(IF(INDEX('Test catalog'!$H$2:$H$200,MATCH($AB729,'Test catalog'!$A$2:$A$200,0))="","",INDEX('Test catalog'!$H$2:$H$200,MATCH($AB729,'Test catalog'!$A$2:$A$200,0))),"")</f>
        <v/>
      </c>
      <c r="N729" s="10">
        <f>IFERROR(IF(INDEX('Test catalog'!$I$2:$I$200,MATCH($AB729,'Test catalog'!$A$2:$A$200,0))="","",INDEX('Test catalog'!$I$2:$I$200,MATCH($AB729,'Test catalog'!$A$2:$A$200,0))),"")</f>
        <v/>
      </c>
      <c r="O729" s="10">
        <f>IFERROR(IF(INDEX('Test catalog'!$J$2:$J$200,MATCH($AB729,'Test catalog'!$A$2:$A$200,0))="","",INDEX('Test catalog'!$J$2:$J$200,MATCH($AB729,'Test catalog'!$A$2:$A$200,0))),"")</f>
        <v/>
      </c>
      <c r="P729" s="14">
        <f>IF(N729="","",IF(OR(M729="",O729=""),N729,(M729+4*N729+O729)/6))</f>
        <v/>
      </c>
      <c r="Q729" s="10">
        <f>IFERROR(IF(INDEX('Test catalog'!$K$2:$K$200,MATCH($AB729,'Test catalog'!$A$2:$A$200,0))="","",INDEX('Test catalog'!$K$2:$K$200,MATCH($AB729,'Test catalog'!$A$2:$A$200,0))),"")</f>
        <v/>
      </c>
      <c r="R729" s="5" t="n"/>
      <c r="S729" s="10">
        <f>IFERROR(IF(INDEX('Test catalog'!$L$2:$L$200,MATCH($AB729,'Test catalog'!$A$2:$A$200,0))="","",INDEX('Test catalog'!$L$2:$L$200,MATCH($AB729,'Test catalog'!$A$2:$A$200,0))),"")</f>
        <v/>
      </c>
      <c r="T729" s="10">
        <f>IFERROR(IF(INDEX('Test catalog'!$M$2:$M$200,MATCH($AB729,'Test catalog'!$A$2:$A$200,0))="","",INDEX('Test catalog'!$M$2:$M$200,MATCH($AB729,'Test catalog'!$A$2:$A$200,0))),"")</f>
        <v/>
      </c>
      <c r="U729" s="10">
        <f>IFERROR(IF(INDEX('Test catalog'!$N$2:$N$200,MATCH($AB729,'Test catalog'!$A$2:$A$200,0))="","",INDEX('Test catalog'!$N$2:$N$200,MATCH($AB729,'Test catalog'!$A$2:$A$200,0))),"")</f>
        <v/>
      </c>
      <c r="V729" s="15" t="n"/>
      <c r="W729" s="5" t="inlineStr">
        <is>
          <t>N</t>
        </is>
      </c>
      <c r="X729" s="5" t="n"/>
      <c r="Y729" s="5" t="n"/>
      <c r="Z729" s="5" t="n"/>
      <c r="AA729" s="10">
        <f>IFERROR(IF(INDEX('Test catalog'!$O$2:$O$200,MATCH($AB729,'Test catalog'!$A$2:$A$200,0))="","",INDEX('Test catalog'!$O$2:$O$200,MATCH($AB729,'Test catalog'!$A$2:$A$200,0))),"")</f>
        <v/>
      </c>
      <c r="AB729" s="10" t="inlineStr">
        <is>
          <t>GRAV</t>
        </is>
      </c>
      <c r="AC729" s="10" t="inlineStr">
        <is>
          <t>Dibasic Calcium Phosphate Dihydrate · Impurities</t>
        </is>
      </c>
      <c r="AD729" s="10" t="n"/>
      <c r="AE729" s="10" t="n"/>
    </row>
    <row r="730">
      <c r="A730" s="10" t="inlineStr">
        <is>
          <t>Dibasic Calcium Phosphate Dihydrate</t>
        </is>
      </c>
      <c r="B730" s="10" t="inlineStr">
        <is>
          <t>RM</t>
        </is>
      </c>
      <c r="C730" s="10" t="inlineStr">
        <is>
          <t>Filler / Diluent</t>
        </is>
      </c>
      <c r="D730" s="10" t="inlineStr">
        <is>
          <t>Limit of Fluoride</t>
        </is>
      </c>
      <c r="E730" s="10">
        <f>IF(A730="","",A730&amp;"|"&amp;D730)</f>
        <v/>
      </c>
      <c r="F730" s="5" t="inlineStr">
        <is>
          <t>Y</t>
        </is>
      </c>
      <c r="G730" s="5" t="inlineStr">
        <is>
          <t>Other / bench</t>
        </is>
      </c>
      <c r="H730" s="5" t="inlineStr">
        <is>
          <t>Low</t>
        </is>
      </c>
      <c r="I730" s="5" t="n">
        <v>1</v>
      </c>
      <c r="J730" s="5" t="n"/>
      <c r="K730" s="10">
        <f>IFERROR(IF(INDEX('Test catalog'!$F$2:$F$200,MATCH($AB730,'Test catalog'!$A$2:$A$200,0))="","",INDEX('Test catalog'!$F$2:$F$200,MATCH($AB730,'Test catalog'!$A$2:$A$200,0))),"")</f>
        <v/>
      </c>
      <c r="L730" s="10">
        <f>IFERROR(IF(INDEX('Test catalog'!$G$2:$G$200,MATCH($AB730,'Test catalog'!$A$2:$A$200,0))="","",INDEX('Test catalog'!$G$2:$G$200,MATCH($AB730,'Test catalog'!$A$2:$A$200,0))),"")</f>
        <v/>
      </c>
      <c r="M730" s="10">
        <f>IFERROR(IF(INDEX('Test catalog'!$H$2:$H$200,MATCH($AB730,'Test catalog'!$A$2:$A$200,0))="","",INDEX('Test catalog'!$H$2:$H$200,MATCH($AB730,'Test catalog'!$A$2:$A$200,0))),"")</f>
        <v/>
      </c>
      <c r="N730" s="10">
        <f>IFERROR(IF(INDEX('Test catalog'!$I$2:$I$200,MATCH($AB730,'Test catalog'!$A$2:$A$200,0))="","",INDEX('Test catalog'!$I$2:$I$200,MATCH($AB730,'Test catalog'!$A$2:$A$200,0))),"")</f>
        <v/>
      </c>
      <c r="O730" s="10">
        <f>IFERROR(IF(INDEX('Test catalog'!$J$2:$J$200,MATCH($AB730,'Test catalog'!$A$2:$A$200,0))="","",INDEX('Test catalog'!$J$2:$J$200,MATCH($AB730,'Test catalog'!$A$2:$A$200,0))),"")</f>
        <v/>
      </c>
      <c r="P730" s="14">
        <f>IF(N730="","",IF(OR(M730="",O730=""),N730,(M730+4*N730+O730)/6))</f>
        <v/>
      </c>
      <c r="Q730" s="10">
        <f>IFERROR(IF(INDEX('Test catalog'!$K$2:$K$200,MATCH($AB730,'Test catalog'!$A$2:$A$200,0))="","",INDEX('Test catalog'!$K$2:$K$200,MATCH($AB730,'Test catalog'!$A$2:$A$200,0))),"")</f>
        <v/>
      </c>
      <c r="R730" s="5" t="n"/>
      <c r="S730" s="10">
        <f>IFERROR(IF(INDEX('Test catalog'!$L$2:$L$200,MATCH($AB730,'Test catalog'!$A$2:$A$200,0))="","",INDEX('Test catalog'!$L$2:$L$200,MATCH($AB730,'Test catalog'!$A$2:$A$200,0))),"")</f>
        <v/>
      </c>
      <c r="T730" s="10">
        <f>IFERROR(IF(INDEX('Test catalog'!$M$2:$M$200,MATCH($AB730,'Test catalog'!$A$2:$A$200,0))="","",INDEX('Test catalog'!$M$2:$M$200,MATCH($AB730,'Test catalog'!$A$2:$A$200,0))),"")</f>
        <v/>
      </c>
      <c r="U730" s="10">
        <f>IFERROR(IF(INDEX('Test catalog'!$N$2:$N$200,MATCH($AB730,'Test catalog'!$A$2:$A$200,0))="","",INDEX('Test catalog'!$N$2:$N$200,MATCH($AB730,'Test catalog'!$A$2:$A$200,0))),"")</f>
        <v/>
      </c>
      <c r="V730" s="15" t="n"/>
      <c r="W730" s="5" t="inlineStr">
        <is>
          <t>N</t>
        </is>
      </c>
      <c r="X730" s="5" t="n"/>
      <c r="Y730" s="5" t="n"/>
      <c r="Z730" s="5" t="n"/>
      <c r="AA730" s="10">
        <f>IFERROR(IF(INDEX('Test catalog'!$O$2:$O$200,MATCH($AB730,'Test catalog'!$A$2:$A$200,0))="","",INDEX('Test catalog'!$O$2:$O$200,MATCH($AB730,'Test catalog'!$A$2:$A$200,0))),"")</f>
        <v/>
      </c>
      <c r="AB730" s="10" t="inlineStr">
        <is>
          <t>LIMIT</t>
        </is>
      </c>
      <c r="AC730" s="10" t="inlineStr">
        <is>
          <t>Dibasic Calcium Phosphate Dihydrate · Impurities</t>
        </is>
      </c>
      <c r="AD730" s="10" t="n"/>
      <c r="AE730" s="10" t="n"/>
    </row>
    <row r="731">
      <c r="A731" s="10" t="inlineStr">
        <is>
          <t>Lactose Monohydrate</t>
        </is>
      </c>
      <c r="B731" s="10" t="inlineStr">
        <is>
          <t>RM</t>
        </is>
      </c>
      <c r="C731" s="10" t="inlineStr">
        <is>
          <t>Filler / Diluent</t>
        </is>
      </c>
      <c r="D731" s="10" t="inlineStr">
        <is>
          <t>Appearance / description and solubility</t>
        </is>
      </c>
      <c r="E731" s="10">
        <f>IF(A731="","",A731&amp;"|"&amp;D731)</f>
        <v/>
      </c>
      <c r="F731" s="5" t="inlineStr">
        <is>
          <t>Y</t>
        </is>
      </c>
      <c r="G731" s="5" t="inlineStr">
        <is>
          <t>Other / bench</t>
        </is>
      </c>
      <c r="H731" s="5" t="inlineStr">
        <is>
          <t>Low</t>
        </is>
      </c>
      <c r="I731" s="5" t="n">
        <v>1</v>
      </c>
      <c r="J731" s="5" t="n"/>
      <c r="K731" s="10">
        <f>IFERROR(IF(INDEX('Test catalog'!$F$2:$F$200,MATCH($AB731,'Test catalog'!$A$2:$A$200,0))="","",INDEX('Test catalog'!$F$2:$F$200,MATCH($AB731,'Test catalog'!$A$2:$A$200,0))),"")</f>
        <v/>
      </c>
      <c r="L731" s="10">
        <f>IFERROR(IF(INDEX('Test catalog'!$G$2:$G$200,MATCH($AB731,'Test catalog'!$A$2:$A$200,0))="","",INDEX('Test catalog'!$G$2:$G$200,MATCH($AB731,'Test catalog'!$A$2:$A$200,0))),"")</f>
        <v/>
      </c>
      <c r="M731" s="10">
        <f>IFERROR(IF(INDEX('Test catalog'!$H$2:$H$200,MATCH($AB731,'Test catalog'!$A$2:$A$200,0))="","",INDEX('Test catalog'!$H$2:$H$200,MATCH($AB731,'Test catalog'!$A$2:$A$200,0))),"")</f>
        <v/>
      </c>
      <c r="N731" s="10">
        <f>IFERROR(IF(INDEX('Test catalog'!$I$2:$I$200,MATCH($AB731,'Test catalog'!$A$2:$A$200,0))="","",INDEX('Test catalog'!$I$2:$I$200,MATCH($AB731,'Test catalog'!$A$2:$A$200,0))),"")</f>
        <v/>
      </c>
      <c r="O731" s="10">
        <f>IFERROR(IF(INDEX('Test catalog'!$J$2:$J$200,MATCH($AB731,'Test catalog'!$A$2:$A$200,0))="","",INDEX('Test catalog'!$J$2:$J$200,MATCH($AB731,'Test catalog'!$A$2:$A$200,0))),"")</f>
        <v/>
      </c>
      <c r="P731" s="14">
        <f>IF(N731="","",IF(OR(M731="",O731=""),N731,(M731+4*N731+O731)/6))</f>
        <v/>
      </c>
      <c r="Q731" s="10">
        <f>IFERROR(IF(INDEX('Test catalog'!$K$2:$K$200,MATCH($AB731,'Test catalog'!$A$2:$A$200,0))="","",INDEX('Test catalog'!$K$2:$K$200,MATCH($AB731,'Test catalog'!$A$2:$A$200,0))),"")</f>
        <v/>
      </c>
      <c r="R731" s="5" t="n"/>
      <c r="S731" s="10">
        <f>IFERROR(IF(INDEX('Test catalog'!$L$2:$L$200,MATCH($AB731,'Test catalog'!$A$2:$A$200,0))="","",INDEX('Test catalog'!$L$2:$L$200,MATCH($AB731,'Test catalog'!$A$2:$A$200,0))),"")</f>
        <v/>
      </c>
      <c r="T731" s="10">
        <f>IFERROR(IF(INDEX('Test catalog'!$M$2:$M$200,MATCH($AB731,'Test catalog'!$A$2:$A$200,0))="","",INDEX('Test catalog'!$M$2:$M$200,MATCH($AB731,'Test catalog'!$A$2:$A$200,0))),"")</f>
        <v/>
      </c>
      <c r="U731" s="10">
        <f>IFERROR(IF(INDEX('Test catalog'!$N$2:$N$200,MATCH($AB731,'Test catalog'!$A$2:$A$200,0))="","",INDEX('Test catalog'!$N$2:$N$200,MATCH($AB731,'Test catalog'!$A$2:$A$200,0))),"")</f>
        <v/>
      </c>
      <c r="V731" s="15" t="n"/>
      <c r="W731" s="5" t="inlineStr">
        <is>
          <t>N</t>
        </is>
      </c>
      <c r="X731" s="5" t="n"/>
      <c r="Y731" s="5" t="n"/>
      <c r="Z731" s="5" t="n"/>
      <c r="AA731" s="10">
        <f>IFERROR(IF(INDEX('Test catalog'!$O$2:$O$200,MATCH($AB731,'Test catalog'!$A$2:$A$200,0))="","",INDEX('Test catalog'!$O$2:$O$200,MATCH($AB731,'Test catalog'!$A$2:$A$200,0))),"")</f>
        <v/>
      </c>
      <c r="AB731" s="10" t="inlineStr">
        <is>
          <t>APPEAR</t>
        </is>
      </c>
      <c r="AC731" s="10" t="inlineStr">
        <is>
          <t>Lab practice (not a USP test)</t>
        </is>
      </c>
      <c r="AD731" s="10" t="n"/>
      <c r="AE731" s="10" t="n"/>
    </row>
    <row r="732">
      <c r="A732" s="10" t="inlineStr">
        <is>
          <t>Lactose Monohydrate</t>
        </is>
      </c>
      <c r="B732" s="10" t="inlineStr">
        <is>
          <t>RM</t>
        </is>
      </c>
      <c r="C732" s="10" t="inlineStr">
        <is>
          <t>Filler / Diluent</t>
        </is>
      </c>
      <c r="D732" s="10" t="inlineStr">
        <is>
          <t>ID A - IR spectrum</t>
        </is>
      </c>
      <c r="E732" s="10">
        <f>IF(A732="","",A732&amp;"|"&amp;D732)</f>
        <v/>
      </c>
      <c r="F732" s="5" t="inlineStr">
        <is>
          <t>Y</t>
        </is>
      </c>
      <c r="G732" s="5" t="inlineStr">
        <is>
          <t>Other / bench</t>
        </is>
      </c>
      <c r="H732" s="5" t="inlineStr">
        <is>
          <t>Low</t>
        </is>
      </c>
      <c r="I732" s="5" t="n">
        <v>1</v>
      </c>
      <c r="J732" s="5" t="n"/>
      <c r="K732" s="10">
        <f>IFERROR(IF(INDEX('Test catalog'!$F$2:$F$200,MATCH($AB732,'Test catalog'!$A$2:$A$200,0))="","",INDEX('Test catalog'!$F$2:$F$200,MATCH($AB732,'Test catalog'!$A$2:$A$200,0))),"")</f>
        <v/>
      </c>
      <c r="L732" s="10">
        <f>IFERROR(IF(INDEX('Test catalog'!$G$2:$G$200,MATCH($AB732,'Test catalog'!$A$2:$A$200,0))="","",INDEX('Test catalog'!$G$2:$G$200,MATCH($AB732,'Test catalog'!$A$2:$A$200,0))),"")</f>
        <v/>
      </c>
      <c r="M732" s="10">
        <f>IFERROR(IF(INDEX('Test catalog'!$H$2:$H$200,MATCH($AB732,'Test catalog'!$A$2:$A$200,0))="","",INDEX('Test catalog'!$H$2:$H$200,MATCH($AB732,'Test catalog'!$A$2:$A$200,0))),"")</f>
        <v/>
      </c>
      <c r="N732" s="10">
        <f>IFERROR(IF(INDEX('Test catalog'!$I$2:$I$200,MATCH($AB732,'Test catalog'!$A$2:$A$200,0))="","",INDEX('Test catalog'!$I$2:$I$200,MATCH($AB732,'Test catalog'!$A$2:$A$200,0))),"")</f>
        <v/>
      </c>
      <c r="O732" s="10">
        <f>IFERROR(IF(INDEX('Test catalog'!$J$2:$J$200,MATCH($AB732,'Test catalog'!$A$2:$A$200,0))="","",INDEX('Test catalog'!$J$2:$J$200,MATCH($AB732,'Test catalog'!$A$2:$A$200,0))),"")</f>
        <v/>
      </c>
      <c r="P732" s="14">
        <f>IF(N732="","",IF(OR(M732="",O732=""),N732,(M732+4*N732+O732)/6))</f>
        <v/>
      </c>
      <c r="Q732" s="10">
        <f>IFERROR(IF(INDEX('Test catalog'!$K$2:$K$200,MATCH($AB732,'Test catalog'!$A$2:$A$200,0))="","",INDEX('Test catalog'!$K$2:$K$200,MATCH($AB732,'Test catalog'!$A$2:$A$200,0))),"")</f>
        <v/>
      </c>
      <c r="R732" s="5" t="n"/>
      <c r="S732" s="10">
        <f>IFERROR(IF(INDEX('Test catalog'!$L$2:$L$200,MATCH($AB732,'Test catalog'!$A$2:$A$200,0))="","",INDEX('Test catalog'!$L$2:$L$200,MATCH($AB732,'Test catalog'!$A$2:$A$200,0))),"")</f>
        <v/>
      </c>
      <c r="T732" s="10">
        <f>IFERROR(IF(INDEX('Test catalog'!$M$2:$M$200,MATCH($AB732,'Test catalog'!$A$2:$A$200,0))="","",INDEX('Test catalog'!$M$2:$M$200,MATCH($AB732,'Test catalog'!$A$2:$A$200,0))),"")</f>
        <v/>
      </c>
      <c r="U732" s="10">
        <f>IFERROR(IF(INDEX('Test catalog'!$N$2:$N$200,MATCH($AB732,'Test catalog'!$A$2:$A$200,0))="","",INDEX('Test catalog'!$N$2:$N$200,MATCH($AB732,'Test catalog'!$A$2:$A$200,0))),"")</f>
        <v/>
      </c>
      <c r="V732" s="15" t="n"/>
      <c r="W732" s="5" t="inlineStr">
        <is>
          <t>N</t>
        </is>
      </c>
      <c r="X732" s="5" t="n"/>
      <c r="Y732" s="5" t="n"/>
      <c r="Z732" s="5" t="n"/>
      <c r="AA732" s="10">
        <f>IFERROR(IF(INDEX('Test catalog'!$O$2:$O$200,MATCH($AB732,'Test catalog'!$A$2:$A$200,0))="","",INDEX('Test catalog'!$O$2:$O$200,MATCH($AB732,'Test catalog'!$A$2:$A$200,0))),"")</f>
        <v/>
      </c>
      <c r="AB732" s="10" t="inlineStr">
        <is>
          <t>ID_IR</t>
        </is>
      </c>
      <c r="AC732" s="10" t="inlineStr">
        <is>
          <t>Lactose Monohydrate · Identification &lt;197&gt;</t>
        </is>
      </c>
      <c r="AD732" s="10" t="n"/>
      <c r="AE732" s="10" t="n"/>
    </row>
    <row r="733">
      <c r="A733" s="10" t="inlineStr">
        <is>
          <t>Lactose Monohydrate</t>
        </is>
      </c>
      <c r="B733" s="10" t="inlineStr">
        <is>
          <t>RM</t>
        </is>
      </c>
      <c r="C733" s="10" t="inlineStr">
        <is>
          <t>Filler / Diluent</t>
        </is>
      </c>
      <c r="D733" s="10" t="inlineStr">
        <is>
          <t>ID B - TLC</t>
        </is>
      </c>
      <c r="E733" s="10">
        <f>IF(A733="","",A733&amp;"|"&amp;D733)</f>
        <v/>
      </c>
      <c r="F733" s="5" t="inlineStr">
        <is>
          <t>Y</t>
        </is>
      </c>
      <c r="G733" s="5" t="inlineStr">
        <is>
          <t>Other / bench</t>
        </is>
      </c>
      <c r="H733" s="5" t="inlineStr">
        <is>
          <t>Low</t>
        </is>
      </c>
      <c r="I733" s="5" t="n">
        <v>1</v>
      </c>
      <c r="J733" s="5" t="n"/>
      <c r="K733" s="10">
        <f>IFERROR(IF(INDEX('Test catalog'!$F$2:$F$200,MATCH($AB733,'Test catalog'!$A$2:$A$200,0))="","",INDEX('Test catalog'!$F$2:$F$200,MATCH($AB733,'Test catalog'!$A$2:$A$200,0))),"")</f>
        <v/>
      </c>
      <c r="L733" s="10">
        <f>IFERROR(IF(INDEX('Test catalog'!$G$2:$G$200,MATCH($AB733,'Test catalog'!$A$2:$A$200,0))="","",INDEX('Test catalog'!$G$2:$G$200,MATCH($AB733,'Test catalog'!$A$2:$A$200,0))),"")</f>
        <v/>
      </c>
      <c r="M733" s="10">
        <f>IFERROR(IF(INDEX('Test catalog'!$H$2:$H$200,MATCH($AB733,'Test catalog'!$A$2:$A$200,0))="","",INDEX('Test catalog'!$H$2:$H$200,MATCH($AB733,'Test catalog'!$A$2:$A$200,0))),"")</f>
        <v/>
      </c>
      <c r="N733" s="10">
        <f>IFERROR(IF(INDEX('Test catalog'!$I$2:$I$200,MATCH($AB733,'Test catalog'!$A$2:$A$200,0))="","",INDEX('Test catalog'!$I$2:$I$200,MATCH($AB733,'Test catalog'!$A$2:$A$200,0))),"")</f>
        <v/>
      </c>
      <c r="O733" s="10">
        <f>IFERROR(IF(INDEX('Test catalog'!$J$2:$J$200,MATCH($AB733,'Test catalog'!$A$2:$A$200,0))="","",INDEX('Test catalog'!$J$2:$J$200,MATCH($AB733,'Test catalog'!$A$2:$A$200,0))),"")</f>
        <v/>
      </c>
      <c r="P733" s="14">
        <f>IF(N733="","",IF(OR(M733="",O733=""),N733,(M733+4*N733+O733)/6))</f>
        <v/>
      </c>
      <c r="Q733" s="10">
        <f>IFERROR(IF(INDEX('Test catalog'!$K$2:$K$200,MATCH($AB733,'Test catalog'!$A$2:$A$200,0))="","",INDEX('Test catalog'!$K$2:$K$200,MATCH($AB733,'Test catalog'!$A$2:$A$200,0))),"")</f>
        <v/>
      </c>
      <c r="R733" s="5" t="n"/>
      <c r="S733" s="10">
        <f>IFERROR(IF(INDEX('Test catalog'!$L$2:$L$200,MATCH($AB733,'Test catalog'!$A$2:$A$200,0))="","",INDEX('Test catalog'!$L$2:$L$200,MATCH($AB733,'Test catalog'!$A$2:$A$200,0))),"")</f>
        <v/>
      </c>
      <c r="T733" s="10">
        <f>IFERROR(IF(INDEX('Test catalog'!$M$2:$M$200,MATCH($AB733,'Test catalog'!$A$2:$A$200,0))="","",INDEX('Test catalog'!$M$2:$M$200,MATCH($AB733,'Test catalog'!$A$2:$A$200,0))),"")</f>
        <v/>
      </c>
      <c r="U733" s="10">
        <f>IFERROR(IF(INDEX('Test catalog'!$N$2:$N$200,MATCH($AB733,'Test catalog'!$A$2:$A$200,0))="","",INDEX('Test catalog'!$N$2:$N$200,MATCH($AB733,'Test catalog'!$A$2:$A$200,0))),"")</f>
        <v/>
      </c>
      <c r="V733" s="15" t="n"/>
      <c r="W733" s="5" t="inlineStr">
        <is>
          <t>N</t>
        </is>
      </c>
      <c r="X733" s="5" t="n"/>
      <c r="Y733" s="5" t="n"/>
      <c r="Z733" s="5" t="n"/>
      <c r="AA733" s="10">
        <f>IFERROR(IF(INDEX('Test catalog'!$O$2:$O$200,MATCH($AB733,'Test catalog'!$A$2:$A$200,0))="","",INDEX('Test catalog'!$O$2:$O$200,MATCH($AB733,'Test catalog'!$A$2:$A$200,0))),"")</f>
        <v/>
      </c>
      <c r="AB733" s="10" t="inlineStr">
        <is>
          <t>TLC</t>
        </is>
      </c>
      <c r="AC733" s="10" t="inlineStr">
        <is>
          <t>Lactose Monohydrate · Identification &lt;201&gt;</t>
        </is>
      </c>
      <c r="AD733" s="10" t="n"/>
      <c r="AE733" s="10" t="n"/>
    </row>
    <row r="734">
      <c r="A734" s="10" t="inlineStr">
        <is>
          <t>Lactose Monohydrate</t>
        </is>
      </c>
      <c r="B734" s="10" t="inlineStr">
        <is>
          <t>RM</t>
        </is>
      </c>
      <c r="C734" s="10" t="inlineStr">
        <is>
          <t>Filler / Diluent</t>
        </is>
      </c>
      <c r="D734" s="10" t="inlineStr">
        <is>
          <t>Residue on Ignition</t>
        </is>
      </c>
      <c r="E734" s="10">
        <f>IF(A734="","",A734&amp;"|"&amp;D734)</f>
        <v/>
      </c>
      <c r="F734" s="5" t="inlineStr">
        <is>
          <t>Y</t>
        </is>
      </c>
      <c r="G734" s="5" t="inlineStr">
        <is>
          <t>Other / bench</t>
        </is>
      </c>
      <c r="H734" s="5" t="inlineStr">
        <is>
          <t>Low</t>
        </is>
      </c>
      <c r="I734" s="5" t="n">
        <v>1</v>
      </c>
      <c r="J734" s="5" t="n"/>
      <c r="K734" s="10">
        <f>IFERROR(IF(INDEX('Test catalog'!$F$2:$F$200,MATCH($AB734,'Test catalog'!$A$2:$A$200,0))="","",INDEX('Test catalog'!$F$2:$F$200,MATCH($AB734,'Test catalog'!$A$2:$A$200,0))),"")</f>
        <v/>
      </c>
      <c r="L734" s="10">
        <f>IFERROR(IF(INDEX('Test catalog'!$G$2:$G$200,MATCH($AB734,'Test catalog'!$A$2:$A$200,0))="","",INDEX('Test catalog'!$G$2:$G$200,MATCH($AB734,'Test catalog'!$A$2:$A$200,0))),"")</f>
        <v/>
      </c>
      <c r="M734" s="10">
        <f>IFERROR(IF(INDEX('Test catalog'!$H$2:$H$200,MATCH($AB734,'Test catalog'!$A$2:$A$200,0))="","",INDEX('Test catalog'!$H$2:$H$200,MATCH($AB734,'Test catalog'!$A$2:$A$200,0))),"")</f>
        <v/>
      </c>
      <c r="N734" s="10">
        <f>IFERROR(IF(INDEX('Test catalog'!$I$2:$I$200,MATCH($AB734,'Test catalog'!$A$2:$A$200,0))="","",INDEX('Test catalog'!$I$2:$I$200,MATCH($AB734,'Test catalog'!$A$2:$A$200,0))),"")</f>
        <v/>
      </c>
      <c r="O734" s="10">
        <f>IFERROR(IF(INDEX('Test catalog'!$J$2:$J$200,MATCH($AB734,'Test catalog'!$A$2:$A$200,0))="","",INDEX('Test catalog'!$J$2:$J$200,MATCH($AB734,'Test catalog'!$A$2:$A$200,0))),"")</f>
        <v/>
      </c>
      <c r="P734" s="14">
        <f>IF(N734="","",IF(OR(M734="",O734=""),N734,(M734+4*N734+O734)/6))</f>
        <v/>
      </c>
      <c r="Q734" s="10">
        <f>IFERROR(IF(INDEX('Test catalog'!$K$2:$K$200,MATCH($AB734,'Test catalog'!$A$2:$A$200,0))="","",INDEX('Test catalog'!$K$2:$K$200,MATCH($AB734,'Test catalog'!$A$2:$A$200,0))),"")</f>
        <v/>
      </c>
      <c r="R734" s="5" t="n"/>
      <c r="S734" s="10">
        <f>IFERROR(IF(INDEX('Test catalog'!$L$2:$L$200,MATCH($AB734,'Test catalog'!$A$2:$A$200,0))="","",INDEX('Test catalog'!$L$2:$L$200,MATCH($AB734,'Test catalog'!$A$2:$A$200,0))),"")</f>
        <v/>
      </c>
      <c r="T734" s="10">
        <f>IFERROR(IF(INDEX('Test catalog'!$M$2:$M$200,MATCH($AB734,'Test catalog'!$A$2:$A$200,0))="","",INDEX('Test catalog'!$M$2:$M$200,MATCH($AB734,'Test catalog'!$A$2:$A$200,0))),"")</f>
        <v/>
      </c>
      <c r="U734" s="10">
        <f>IFERROR(IF(INDEX('Test catalog'!$N$2:$N$200,MATCH($AB734,'Test catalog'!$A$2:$A$200,0))="","",INDEX('Test catalog'!$N$2:$N$200,MATCH($AB734,'Test catalog'!$A$2:$A$200,0))),"")</f>
        <v/>
      </c>
      <c r="V734" s="15" t="n"/>
      <c r="W734" s="5" t="inlineStr">
        <is>
          <t>N</t>
        </is>
      </c>
      <c r="X734" s="5" t="n"/>
      <c r="Y734" s="5" t="n"/>
      <c r="Z734" s="5" t="n"/>
      <c r="AA734" s="10">
        <f>IFERROR(IF(INDEX('Test catalog'!$O$2:$O$200,MATCH($AB734,'Test catalog'!$A$2:$A$200,0))="","",INDEX('Test catalog'!$O$2:$O$200,MATCH($AB734,'Test catalog'!$A$2:$A$200,0))),"")</f>
        <v/>
      </c>
      <c r="AB734" s="10" t="inlineStr">
        <is>
          <t>ROI</t>
        </is>
      </c>
      <c r="AC734" s="10" t="inlineStr">
        <is>
          <t>Lactose Monohydrate · Impurities &lt;281&gt;</t>
        </is>
      </c>
      <c r="AD734" s="10" t="n"/>
      <c r="AE734" s="10" t="n"/>
    </row>
    <row r="735">
      <c r="A735" s="10" t="inlineStr">
        <is>
          <t>Lactose Monohydrate</t>
        </is>
      </c>
      <c r="B735" s="10" t="inlineStr">
        <is>
          <t>RM</t>
        </is>
      </c>
      <c r="C735" s="10" t="inlineStr">
        <is>
          <t>Filler / Diluent</t>
        </is>
      </c>
      <c r="D735" s="10" t="inlineStr">
        <is>
          <t>Clarity and Color of Solution</t>
        </is>
      </c>
      <c r="E735" s="10">
        <f>IF(A735="","",A735&amp;"|"&amp;D735)</f>
        <v/>
      </c>
      <c r="F735" s="5" t="inlineStr">
        <is>
          <t>Y</t>
        </is>
      </c>
      <c r="G735" s="5" t="inlineStr">
        <is>
          <t>Other / bench</t>
        </is>
      </c>
      <c r="H735" s="5" t="inlineStr">
        <is>
          <t>Low</t>
        </is>
      </c>
      <c r="I735" s="5" t="n">
        <v>1</v>
      </c>
      <c r="J735" s="5" t="n"/>
      <c r="K735" s="10">
        <f>IFERROR(IF(INDEX('Test catalog'!$F$2:$F$200,MATCH($AB735,'Test catalog'!$A$2:$A$200,0))="","",INDEX('Test catalog'!$F$2:$F$200,MATCH($AB735,'Test catalog'!$A$2:$A$200,0))),"")</f>
        <v/>
      </c>
      <c r="L735" s="10">
        <f>IFERROR(IF(INDEX('Test catalog'!$G$2:$G$200,MATCH($AB735,'Test catalog'!$A$2:$A$200,0))="","",INDEX('Test catalog'!$G$2:$G$200,MATCH($AB735,'Test catalog'!$A$2:$A$200,0))),"")</f>
        <v/>
      </c>
      <c r="M735" s="10">
        <f>IFERROR(IF(INDEX('Test catalog'!$H$2:$H$200,MATCH($AB735,'Test catalog'!$A$2:$A$200,0))="","",INDEX('Test catalog'!$H$2:$H$200,MATCH($AB735,'Test catalog'!$A$2:$A$200,0))),"")</f>
        <v/>
      </c>
      <c r="N735" s="10">
        <f>IFERROR(IF(INDEX('Test catalog'!$I$2:$I$200,MATCH($AB735,'Test catalog'!$A$2:$A$200,0))="","",INDEX('Test catalog'!$I$2:$I$200,MATCH($AB735,'Test catalog'!$A$2:$A$200,0))),"")</f>
        <v/>
      </c>
      <c r="O735" s="10">
        <f>IFERROR(IF(INDEX('Test catalog'!$J$2:$J$200,MATCH($AB735,'Test catalog'!$A$2:$A$200,0))="","",INDEX('Test catalog'!$J$2:$J$200,MATCH($AB735,'Test catalog'!$A$2:$A$200,0))),"")</f>
        <v/>
      </c>
      <c r="P735" s="14">
        <f>IF(N735="","",IF(OR(M735="",O735=""),N735,(M735+4*N735+O735)/6))</f>
        <v/>
      </c>
      <c r="Q735" s="10">
        <f>IFERROR(IF(INDEX('Test catalog'!$K$2:$K$200,MATCH($AB735,'Test catalog'!$A$2:$A$200,0))="","",INDEX('Test catalog'!$K$2:$K$200,MATCH($AB735,'Test catalog'!$A$2:$A$200,0))),"")</f>
        <v/>
      </c>
      <c r="R735" s="5" t="n"/>
      <c r="S735" s="10">
        <f>IFERROR(IF(INDEX('Test catalog'!$L$2:$L$200,MATCH($AB735,'Test catalog'!$A$2:$A$200,0))="","",INDEX('Test catalog'!$L$2:$L$200,MATCH($AB735,'Test catalog'!$A$2:$A$200,0))),"")</f>
        <v/>
      </c>
      <c r="T735" s="10">
        <f>IFERROR(IF(INDEX('Test catalog'!$M$2:$M$200,MATCH($AB735,'Test catalog'!$A$2:$A$200,0))="","",INDEX('Test catalog'!$M$2:$M$200,MATCH($AB735,'Test catalog'!$A$2:$A$200,0))),"")</f>
        <v/>
      </c>
      <c r="U735" s="10">
        <f>IFERROR(IF(INDEX('Test catalog'!$N$2:$N$200,MATCH($AB735,'Test catalog'!$A$2:$A$200,0))="","",INDEX('Test catalog'!$N$2:$N$200,MATCH($AB735,'Test catalog'!$A$2:$A$200,0))),"")</f>
        <v/>
      </c>
      <c r="V735" s="15" t="n"/>
      <c r="W735" s="5" t="inlineStr">
        <is>
          <t>N</t>
        </is>
      </c>
      <c r="X735" s="5" t="n"/>
      <c r="Y735" s="5" t="n"/>
      <c r="Z735" s="5" t="n"/>
      <c r="AA735" s="10">
        <f>IFERROR(IF(INDEX('Test catalog'!$O$2:$O$200,MATCH($AB735,'Test catalog'!$A$2:$A$200,0))="","",INDEX('Test catalog'!$O$2:$O$200,MATCH($AB735,'Test catalog'!$A$2:$A$200,0))),"")</f>
        <v/>
      </c>
      <c r="AB735" s="10" t="inlineStr">
        <is>
          <t>CLAR</t>
        </is>
      </c>
      <c r="AC735" s="10" t="inlineStr">
        <is>
          <t>Lactose Monohydrate · Specific Tests</t>
        </is>
      </c>
      <c r="AD735" s="10" t="n"/>
      <c r="AE735" s="10" t="n"/>
    </row>
    <row r="736">
      <c r="A736" s="10" t="inlineStr">
        <is>
          <t>Lactose Monohydrate</t>
        </is>
      </c>
      <c r="B736" s="10" t="inlineStr">
        <is>
          <t>RM</t>
        </is>
      </c>
      <c r="C736" s="10" t="inlineStr">
        <is>
          <t>Filler / Diluent</t>
        </is>
      </c>
      <c r="D736" s="10" t="inlineStr">
        <is>
          <t>Optical Rotation</t>
        </is>
      </c>
      <c r="E736" s="10">
        <f>IF(A736="","",A736&amp;"|"&amp;D736)</f>
        <v/>
      </c>
      <c r="F736" s="5" t="inlineStr">
        <is>
          <t>Y</t>
        </is>
      </c>
      <c r="G736" s="5" t="inlineStr">
        <is>
          <t>Other / bench</t>
        </is>
      </c>
      <c r="H736" s="5" t="inlineStr">
        <is>
          <t>Low</t>
        </is>
      </c>
      <c r="I736" s="5" t="n">
        <v>1</v>
      </c>
      <c r="J736" s="5" t="n"/>
      <c r="K736" s="10">
        <f>IFERROR(IF(INDEX('Test catalog'!$F$2:$F$200,MATCH($AB736,'Test catalog'!$A$2:$A$200,0))="","",INDEX('Test catalog'!$F$2:$F$200,MATCH($AB736,'Test catalog'!$A$2:$A$200,0))),"")</f>
        <v/>
      </c>
      <c r="L736" s="10">
        <f>IFERROR(IF(INDEX('Test catalog'!$G$2:$G$200,MATCH($AB736,'Test catalog'!$A$2:$A$200,0))="","",INDEX('Test catalog'!$G$2:$G$200,MATCH($AB736,'Test catalog'!$A$2:$A$200,0))),"")</f>
        <v/>
      </c>
      <c r="M736" s="10">
        <f>IFERROR(IF(INDEX('Test catalog'!$H$2:$H$200,MATCH($AB736,'Test catalog'!$A$2:$A$200,0))="","",INDEX('Test catalog'!$H$2:$H$200,MATCH($AB736,'Test catalog'!$A$2:$A$200,0))),"")</f>
        <v/>
      </c>
      <c r="N736" s="10">
        <f>IFERROR(IF(INDEX('Test catalog'!$I$2:$I$200,MATCH($AB736,'Test catalog'!$A$2:$A$200,0))="","",INDEX('Test catalog'!$I$2:$I$200,MATCH($AB736,'Test catalog'!$A$2:$A$200,0))),"")</f>
        <v/>
      </c>
      <c r="O736" s="10">
        <f>IFERROR(IF(INDEX('Test catalog'!$J$2:$J$200,MATCH($AB736,'Test catalog'!$A$2:$A$200,0))="","",INDEX('Test catalog'!$J$2:$J$200,MATCH($AB736,'Test catalog'!$A$2:$A$200,0))),"")</f>
        <v/>
      </c>
      <c r="P736" s="14">
        <f>IF(N736="","",IF(OR(M736="",O736=""),N736,(M736+4*N736+O736)/6))</f>
        <v/>
      </c>
      <c r="Q736" s="10">
        <f>IFERROR(IF(INDEX('Test catalog'!$K$2:$K$200,MATCH($AB736,'Test catalog'!$A$2:$A$200,0))="","",INDEX('Test catalog'!$K$2:$K$200,MATCH($AB736,'Test catalog'!$A$2:$A$200,0))),"")</f>
        <v/>
      </c>
      <c r="R736" s="5" t="n"/>
      <c r="S736" s="10">
        <f>IFERROR(IF(INDEX('Test catalog'!$L$2:$L$200,MATCH($AB736,'Test catalog'!$A$2:$A$200,0))="","",INDEX('Test catalog'!$L$2:$L$200,MATCH($AB736,'Test catalog'!$A$2:$A$200,0))),"")</f>
        <v/>
      </c>
      <c r="T736" s="10">
        <f>IFERROR(IF(INDEX('Test catalog'!$M$2:$M$200,MATCH($AB736,'Test catalog'!$A$2:$A$200,0))="","",INDEX('Test catalog'!$M$2:$M$200,MATCH($AB736,'Test catalog'!$A$2:$A$200,0))),"")</f>
        <v/>
      </c>
      <c r="U736" s="10">
        <f>IFERROR(IF(INDEX('Test catalog'!$N$2:$N$200,MATCH($AB736,'Test catalog'!$A$2:$A$200,0))="","",INDEX('Test catalog'!$N$2:$N$200,MATCH($AB736,'Test catalog'!$A$2:$A$200,0))),"")</f>
        <v/>
      </c>
      <c r="V736" s="15" t="n"/>
      <c r="W736" s="5" t="inlineStr">
        <is>
          <t>N</t>
        </is>
      </c>
      <c r="X736" s="5" t="n"/>
      <c r="Y736" s="5" t="n"/>
      <c r="Z736" s="5" t="n"/>
      <c r="AA736" s="10">
        <f>IFERROR(IF(INDEX('Test catalog'!$O$2:$O$200,MATCH($AB736,'Test catalog'!$A$2:$A$200,0))="","",INDEX('Test catalog'!$O$2:$O$200,MATCH($AB736,'Test catalog'!$A$2:$A$200,0))),"")</f>
        <v/>
      </c>
      <c r="AB736" s="10" t="inlineStr">
        <is>
          <t>OR</t>
        </is>
      </c>
      <c r="AC736" s="10" t="inlineStr">
        <is>
          <t>Lactose Monohydrate · Specific Tests &lt;781&gt;</t>
        </is>
      </c>
      <c r="AD736" s="10" t="n"/>
      <c r="AE736" s="10" t="n"/>
    </row>
    <row r="737">
      <c r="A737" s="10" t="inlineStr">
        <is>
          <t>Lactose Monohydrate</t>
        </is>
      </c>
      <c r="B737" s="10" t="inlineStr">
        <is>
          <t>RM</t>
        </is>
      </c>
      <c r="C737" s="10" t="inlineStr">
        <is>
          <t>Filler / Diluent</t>
        </is>
      </c>
      <c r="D737" s="10" t="inlineStr">
        <is>
          <t>Acidity or Alkalinity</t>
        </is>
      </c>
      <c r="E737" s="10">
        <f>IF(A737="","",A737&amp;"|"&amp;D737)</f>
        <v/>
      </c>
      <c r="F737" s="5" t="inlineStr">
        <is>
          <t>Y</t>
        </is>
      </c>
      <c r="G737" s="5" t="inlineStr">
        <is>
          <t>Other / bench</t>
        </is>
      </c>
      <c r="H737" s="5" t="inlineStr">
        <is>
          <t>Low</t>
        </is>
      </c>
      <c r="I737" s="5" t="n">
        <v>1</v>
      </c>
      <c r="J737" s="5" t="n"/>
      <c r="K737" s="10">
        <f>IFERROR(IF(INDEX('Test catalog'!$F$2:$F$200,MATCH($AB737,'Test catalog'!$A$2:$A$200,0))="","",INDEX('Test catalog'!$F$2:$F$200,MATCH($AB737,'Test catalog'!$A$2:$A$200,0))),"")</f>
        <v/>
      </c>
      <c r="L737" s="10">
        <f>IFERROR(IF(INDEX('Test catalog'!$G$2:$G$200,MATCH($AB737,'Test catalog'!$A$2:$A$200,0))="","",INDEX('Test catalog'!$G$2:$G$200,MATCH($AB737,'Test catalog'!$A$2:$A$200,0))),"")</f>
        <v/>
      </c>
      <c r="M737" s="10">
        <f>IFERROR(IF(INDEX('Test catalog'!$H$2:$H$200,MATCH($AB737,'Test catalog'!$A$2:$A$200,0))="","",INDEX('Test catalog'!$H$2:$H$200,MATCH($AB737,'Test catalog'!$A$2:$A$200,0))),"")</f>
        <v/>
      </c>
      <c r="N737" s="10">
        <f>IFERROR(IF(INDEX('Test catalog'!$I$2:$I$200,MATCH($AB737,'Test catalog'!$A$2:$A$200,0))="","",INDEX('Test catalog'!$I$2:$I$200,MATCH($AB737,'Test catalog'!$A$2:$A$200,0))),"")</f>
        <v/>
      </c>
      <c r="O737" s="10">
        <f>IFERROR(IF(INDEX('Test catalog'!$J$2:$J$200,MATCH($AB737,'Test catalog'!$A$2:$A$200,0))="","",INDEX('Test catalog'!$J$2:$J$200,MATCH($AB737,'Test catalog'!$A$2:$A$200,0))),"")</f>
        <v/>
      </c>
      <c r="P737" s="14">
        <f>IF(N737="","",IF(OR(M737="",O737=""),N737,(M737+4*N737+O737)/6))</f>
        <v/>
      </c>
      <c r="Q737" s="10">
        <f>IFERROR(IF(INDEX('Test catalog'!$K$2:$K$200,MATCH($AB737,'Test catalog'!$A$2:$A$200,0))="","",INDEX('Test catalog'!$K$2:$K$200,MATCH($AB737,'Test catalog'!$A$2:$A$200,0))),"")</f>
        <v/>
      </c>
      <c r="R737" s="5" t="n"/>
      <c r="S737" s="10">
        <f>IFERROR(IF(INDEX('Test catalog'!$L$2:$L$200,MATCH($AB737,'Test catalog'!$A$2:$A$200,0))="","",INDEX('Test catalog'!$L$2:$L$200,MATCH($AB737,'Test catalog'!$A$2:$A$200,0))),"")</f>
        <v/>
      </c>
      <c r="T737" s="10">
        <f>IFERROR(IF(INDEX('Test catalog'!$M$2:$M$200,MATCH($AB737,'Test catalog'!$A$2:$A$200,0))="","",INDEX('Test catalog'!$M$2:$M$200,MATCH($AB737,'Test catalog'!$A$2:$A$200,0))),"")</f>
        <v/>
      </c>
      <c r="U737" s="10">
        <f>IFERROR(IF(INDEX('Test catalog'!$N$2:$N$200,MATCH($AB737,'Test catalog'!$A$2:$A$200,0))="","",INDEX('Test catalog'!$N$2:$N$200,MATCH($AB737,'Test catalog'!$A$2:$A$200,0))),"")</f>
        <v/>
      </c>
      <c r="V737" s="15" t="n"/>
      <c r="W737" s="5" t="inlineStr">
        <is>
          <t>N</t>
        </is>
      </c>
      <c r="X737" s="5" t="n"/>
      <c r="Y737" s="5" t="n"/>
      <c r="Z737" s="5" t="n"/>
      <c r="AA737" s="10">
        <f>IFERROR(IF(INDEX('Test catalog'!$O$2:$O$200,MATCH($AB737,'Test catalog'!$A$2:$A$200,0))="","",INDEX('Test catalog'!$O$2:$O$200,MATCH($AB737,'Test catalog'!$A$2:$A$200,0))),"")</f>
        <v/>
      </c>
      <c r="AB737" s="10" t="inlineStr">
        <is>
          <t>ACID</t>
        </is>
      </c>
      <c r="AC737" s="10" t="inlineStr">
        <is>
          <t>Lactose Monohydrate · Specific Tests</t>
        </is>
      </c>
      <c r="AD737" s="10" t="n"/>
      <c r="AE737" s="10" t="n"/>
    </row>
    <row r="738">
      <c r="A738" s="10" t="inlineStr">
        <is>
          <t>Lactose Monohydrate</t>
        </is>
      </c>
      <c r="B738" s="10" t="inlineStr">
        <is>
          <t>RM</t>
        </is>
      </c>
      <c r="C738" s="10" t="inlineStr">
        <is>
          <t>Filler / Diluent</t>
        </is>
      </c>
      <c r="D738" s="10" t="inlineStr">
        <is>
          <t>Loss on Drying</t>
        </is>
      </c>
      <c r="E738" s="10">
        <f>IF(A738="","",A738&amp;"|"&amp;D738)</f>
        <v/>
      </c>
      <c r="F738" s="5" t="inlineStr">
        <is>
          <t>Y</t>
        </is>
      </c>
      <c r="G738" s="5" t="inlineStr">
        <is>
          <t>Other / bench</t>
        </is>
      </c>
      <c r="H738" s="5" t="inlineStr">
        <is>
          <t>Low</t>
        </is>
      </c>
      <c r="I738" s="5" t="n">
        <v>1</v>
      </c>
      <c r="J738" s="5" t="n"/>
      <c r="K738" s="10">
        <f>IFERROR(IF(INDEX('Test catalog'!$F$2:$F$200,MATCH($AB738,'Test catalog'!$A$2:$A$200,0))="","",INDEX('Test catalog'!$F$2:$F$200,MATCH($AB738,'Test catalog'!$A$2:$A$200,0))),"")</f>
        <v/>
      </c>
      <c r="L738" s="10">
        <f>IFERROR(IF(INDEX('Test catalog'!$G$2:$G$200,MATCH($AB738,'Test catalog'!$A$2:$A$200,0))="","",INDEX('Test catalog'!$G$2:$G$200,MATCH($AB738,'Test catalog'!$A$2:$A$200,0))),"")</f>
        <v/>
      </c>
      <c r="M738" s="10">
        <f>IFERROR(IF(INDEX('Test catalog'!$H$2:$H$200,MATCH($AB738,'Test catalog'!$A$2:$A$200,0))="","",INDEX('Test catalog'!$H$2:$H$200,MATCH($AB738,'Test catalog'!$A$2:$A$200,0))),"")</f>
        <v/>
      </c>
      <c r="N738" s="10">
        <f>IFERROR(IF(INDEX('Test catalog'!$I$2:$I$200,MATCH($AB738,'Test catalog'!$A$2:$A$200,0))="","",INDEX('Test catalog'!$I$2:$I$200,MATCH($AB738,'Test catalog'!$A$2:$A$200,0))),"")</f>
        <v/>
      </c>
      <c r="O738" s="10">
        <f>IFERROR(IF(INDEX('Test catalog'!$J$2:$J$200,MATCH($AB738,'Test catalog'!$A$2:$A$200,0))="","",INDEX('Test catalog'!$J$2:$J$200,MATCH($AB738,'Test catalog'!$A$2:$A$200,0))),"")</f>
        <v/>
      </c>
      <c r="P738" s="14">
        <f>IF(N738="","",IF(OR(M738="",O738=""),N738,(M738+4*N738+O738)/6))</f>
        <v/>
      </c>
      <c r="Q738" s="10">
        <f>IFERROR(IF(INDEX('Test catalog'!$K$2:$K$200,MATCH($AB738,'Test catalog'!$A$2:$A$200,0))="","",INDEX('Test catalog'!$K$2:$K$200,MATCH($AB738,'Test catalog'!$A$2:$A$200,0))),"")</f>
        <v/>
      </c>
      <c r="R738" s="5" t="n"/>
      <c r="S738" s="10">
        <f>IFERROR(IF(INDEX('Test catalog'!$L$2:$L$200,MATCH($AB738,'Test catalog'!$A$2:$A$200,0))="","",INDEX('Test catalog'!$L$2:$L$200,MATCH($AB738,'Test catalog'!$A$2:$A$200,0))),"")</f>
        <v/>
      </c>
      <c r="T738" s="10">
        <f>IFERROR(IF(INDEX('Test catalog'!$M$2:$M$200,MATCH($AB738,'Test catalog'!$A$2:$A$200,0))="","",INDEX('Test catalog'!$M$2:$M$200,MATCH($AB738,'Test catalog'!$A$2:$A$200,0))),"")</f>
        <v/>
      </c>
      <c r="U738" s="10">
        <f>IFERROR(IF(INDEX('Test catalog'!$N$2:$N$200,MATCH($AB738,'Test catalog'!$A$2:$A$200,0))="","",INDEX('Test catalog'!$N$2:$N$200,MATCH($AB738,'Test catalog'!$A$2:$A$200,0))),"")</f>
        <v/>
      </c>
      <c r="V738" s="15" t="n"/>
      <c r="W738" s="5" t="inlineStr">
        <is>
          <t>N</t>
        </is>
      </c>
      <c r="X738" s="5" t="n"/>
      <c r="Y738" s="5" t="n"/>
      <c r="Z738" s="5" t="n"/>
      <c r="AA738" s="10">
        <f>IFERROR(IF(INDEX('Test catalog'!$O$2:$O$200,MATCH($AB738,'Test catalog'!$A$2:$A$200,0))="","",INDEX('Test catalog'!$O$2:$O$200,MATCH($AB738,'Test catalog'!$A$2:$A$200,0))),"")</f>
        <v/>
      </c>
      <c r="AB738" s="10" t="inlineStr">
        <is>
          <t>LOD</t>
        </is>
      </c>
      <c r="AC738" s="10" t="inlineStr">
        <is>
          <t>Lactose Monohydrate · Specific Tests &lt;731&gt;</t>
        </is>
      </c>
      <c r="AD738" s="10" t="n"/>
      <c r="AE738" s="10" t="n"/>
    </row>
    <row r="739">
      <c r="A739" s="10" t="inlineStr">
        <is>
          <t>Lactose Monohydrate</t>
        </is>
      </c>
      <c r="B739" s="10" t="inlineStr">
        <is>
          <t>RM</t>
        </is>
      </c>
      <c r="C739" s="10" t="inlineStr">
        <is>
          <t>Filler / Diluent</t>
        </is>
      </c>
      <c r="D739" s="10" t="inlineStr">
        <is>
          <t>Water Determination</t>
        </is>
      </c>
      <c r="E739" s="10">
        <f>IF(A739="","",A739&amp;"|"&amp;D739)</f>
        <v/>
      </c>
      <c r="F739" s="5" t="inlineStr">
        <is>
          <t>Y</t>
        </is>
      </c>
      <c r="G739" s="5" t="inlineStr">
        <is>
          <t>KF titrator</t>
        </is>
      </c>
      <c r="H739" s="5" t="inlineStr">
        <is>
          <t>Low</t>
        </is>
      </c>
      <c r="I739" s="5" t="n">
        <v>1</v>
      </c>
      <c r="J739" s="5" t="n"/>
      <c r="K739" s="10">
        <f>IFERROR(IF(INDEX('Test catalog'!$F$2:$F$200,MATCH($AB739,'Test catalog'!$A$2:$A$200,0))="","",INDEX('Test catalog'!$F$2:$F$200,MATCH($AB739,'Test catalog'!$A$2:$A$200,0))),"")</f>
        <v/>
      </c>
      <c r="L739" s="10">
        <f>IFERROR(IF(INDEX('Test catalog'!$G$2:$G$200,MATCH($AB739,'Test catalog'!$A$2:$A$200,0))="","",INDEX('Test catalog'!$G$2:$G$200,MATCH($AB739,'Test catalog'!$A$2:$A$200,0))),"")</f>
        <v/>
      </c>
      <c r="M739" s="10">
        <f>IFERROR(IF(INDEX('Test catalog'!$H$2:$H$200,MATCH($AB739,'Test catalog'!$A$2:$A$200,0))="","",INDEX('Test catalog'!$H$2:$H$200,MATCH($AB739,'Test catalog'!$A$2:$A$200,0))),"")</f>
        <v/>
      </c>
      <c r="N739" s="10">
        <f>IFERROR(IF(INDEX('Test catalog'!$I$2:$I$200,MATCH($AB739,'Test catalog'!$A$2:$A$200,0))="","",INDEX('Test catalog'!$I$2:$I$200,MATCH($AB739,'Test catalog'!$A$2:$A$200,0))),"")</f>
        <v/>
      </c>
      <c r="O739" s="10">
        <f>IFERROR(IF(INDEX('Test catalog'!$J$2:$J$200,MATCH($AB739,'Test catalog'!$A$2:$A$200,0))="","",INDEX('Test catalog'!$J$2:$J$200,MATCH($AB739,'Test catalog'!$A$2:$A$200,0))),"")</f>
        <v/>
      </c>
      <c r="P739" s="14">
        <f>IF(N739="","",IF(OR(M739="",O739=""),N739,(M739+4*N739+O739)/6))</f>
        <v/>
      </c>
      <c r="Q739" s="10">
        <f>IFERROR(IF(INDEX('Test catalog'!$K$2:$K$200,MATCH($AB739,'Test catalog'!$A$2:$A$200,0))="","",INDEX('Test catalog'!$K$2:$K$200,MATCH($AB739,'Test catalog'!$A$2:$A$200,0))),"")</f>
        <v/>
      </c>
      <c r="R739" s="5" t="n"/>
      <c r="S739" s="10">
        <f>IFERROR(IF(INDEX('Test catalog'!$L$2:$L$200,MATCH($AB739,'Test catalog'!$A$2:$A$200,0))="","",INDEX('Test catalog'!$L$2:$L$200,MATCH($AB739,'Test catalog'!$A$2:$A$200,0))),"")</f>
        <v/>
      </c>
      <c r="T739" s="10">
        <f>IFERROR(IF(INDEX('Test catalog'!$M$2:$M$200,MATCH($AB739,'Test catalog'!$A$2:$A$200,0))="","",INDEX('Test catalog'!$M$2:$M$200,MATCH($AB739,'Test catalog'!$A$2:$A$200,0))),"")</f>
        <v/>
      </c>
      <c r="U739" s="10">
        <f>IFERROR(IF(INDEX('Test catalog'!$N$2:$N$200,MATCH($AB739,'Test catalog'!$A$2:$A$200,0))="","",INDEX('Test catalog'!$N$2:$N$200,MATCH($AB739,'Test catalog'!$A$2:$A$200,0))),"")</f>
        <v/>
      </c>
      <c r="V739" s="15" t="n"/>
      <c r="W739" s="5" t="inlineStr">
        <is>
          <t>N</t>
        </is>
      </c>
      <c r="X739" s="5" t="n"/>
      <c r="Y739" s="5" t="n"/>
      <c r="Z739" s="5" t="n"/>
      <c r="AA739" s="10">
        <f>IFERROR(IF(INDEX('Test catalog'!$O$2:$O$200,MATCH($AB739,'Test catalog'!$A$2:$A$200,0))="","",INDEX('Test catalog'!$O$2:$O$200,MATCH($AB739,'Test catalog'!$A$2:$A$200,0))),"")</f>
        <v/>
      </c>
      <c r="AB739" s="10" t="inlineStr">
        <is>
          <t>KF</t>
        </is>
      </c>
      <c r="AC739" s="10" t="inlineStr">
        <is>
          <t>Lactose Monohydrate · Specific Tests &lt;921&gt;</t>
        </is>
      </c>
      <c r="AD739" s="10" t="n"/>
      <c r="AE739" s="10" t="n"/>
    </row>
    <row r="740">
      <c r="A740" s="10" t="inlineStr">
        <is>
          <t>Lactose Monohydrate</t>
        </is>
      </c>
      <c r="B740" s="10" t="inlineStr">
        <is>
          <t>RM</t>
        </is>
      </c>
      <c r="C740" s="10" t="inlineStr">
        <is>
          <t>Filler / Diluent</t>
        </is>
      </c>
      <c r="D740" s="10" t="inlineStr">
        <is>
          <t>Protein and Light-Absorbing Impurities</t>
        </is>
      </c>
      <c r="E740" s="10">
        <f>IF(A740="","",A740&amp;"|"&amp;D740)</f>
        <v/>
      </c>
      <c r="F740" s="5" t="inlineStr">
        <is>
          <t>Y</t>
        </is>
      </c>
      <c r="G740" s="5" t="inlineStr">
        <is>
          <t>UV-Vis</t>
        </is>
      </c>
      <c r="H740" s="5" t="inlineStr">
        <is>
          <t>Low</t>
        </is>
      </c>
      <c r="I740" s="5" t="n">
        <v>1</v>
      </c>
      <c r="J740" s="5" t="n"/>
      <c r="K740" s="10">
        <f>IFERROR(IF(INDEX('Test catalog'!$F$2:$F$200,MATCH($AB740,'Test catalog'!$A$2:$A$200,0))="","",INDEX('Test catalog'!$F$2:$F$200,MATCH($AB740,'Test catalog'!$A$2:$A$200,0))),"")</f>
        <v/>
      </c>
      <c r="L740" s="10">
        <f>IFERROR(IF(INDEX('Test catalog'!$G$2:$G$200,MATCH($AB740,'Test catalog'!$A$2:$A$200,0))="","",INDEX('Test catalog'!$G$2:$G$200,MATCH($AB740,'Test catalog'!$A$2:$A$200,0))),"")</f>
        <v/>
      </c>
      <c r="M740" s="10">
        <f>IFERROR(IF(INDEX('Test catalog'!$H$2:$H$200,MATCH($AB740,'Test catalog'!$A$2:$A$200,0))="","",INDEX('Test catalog'!$H$2:$H$200,MATCH($AB740,'Test catalog'!$A$2:$A$200,0))),"")</f>
        <v/>
      </c>
      <c r="N740" s="10">
        <f>IFERROR(IF(INDEX('Test catalog'!$I$2:$I$200,MATCH($AB740,'Test catalog'!$A$2:$A$200,0))="","",INDEX('Test catalog'!$I$2:$I$200,MATCH($AB740,'Test catalog'!$A$2:$A$200,0))),"")</f>
        <v/>
      </c>
      <c r="O740" s="10">
        <f>IFERROR(IF(INDEX('Test catalog'!$J$2:$J$200,MATCH($AB740,'Test catalog'!$A$2:$A$200,0))="","",INDEX('Test catalog'!$J$2:$J$200,MATCH($AB740,'Test catalog'!$A$2:$A$200,0))),"")</f>
        <v/>
      </c>
      <c r="P740" s="14">
        <f>IF(N740="","",IF(OR(M740="",O740=""),N740,(M740+4*N740+O740)/6))</f>
        <v/>
      </c>
      <c r="Q740" s="10">
        <f>IFERROR(IF(INDEX('Test catalog'!$K$2:$K$200,MATCH($AB740,'Test catalog'!$A$2:$A$200,0))="","",INDEX('Test catalog'!$K$2:$K$200,MATCH($AB740,'Test catalog'!$A$2:$A$200,0))),"")</f>
        <v/>
      </c>
      <c r="R740" s="5" t="n"/>
      <c r="S740" s="10">
        <f>IFERROR(IF(INDEX('Test catalog'!$L$2:$L$200,MATCH($AB740,'Test catalog'!$A$2:$A$200,0))="","",INDEX('Test catalog'!$L$2:$L$200,MATCH($AB740,'Test catalog'!$A$2:$A$200,0))),"")</f>
        <v/>
      </c>
      <c r="T740" s="10">
        <f>IFERROR(IF(INDEX('Test catalog'!$M$2:$M$200,MATCH($AB740,'Test catalog'!$A$2:$A$200,0))="","",INDEX('Test catalog'!$M$2:$M$200,MATCH($AB740,'Test catalog'!$A$2:$A$200,0))),"")</f>
        <v/>
      </c>
      <c r="U740" s="10">
        <f>IFERROR(IF(INDEX('Test catalog'!$N$2:$N$200,MATCH($AB740,'Test catalog'!$A$2:$A$200,0))="","",INDEX('Test catalog'!$N$2:$N$200,MATCH($AB740,'Test catalog'!$A$2:$A$200,0))),"")</f>
        <v/>
      </c>
      <c r="V740" s="15" t="n"/>
      <c r="W740" s="5" t="inlineStr">
        <is>
          <t>N</t>
        </is>
      </c>
      <c r="X740" s="5" t="n"/>
      <c r="Y740" s="5" t="n"/>
      <c r="Z740" s="5" t="n"/>
      <c r="AA740" s="10">
        <f>IFERROR(IF(INDEX('Test catalog'!$O$2:$O$200,MATCH($AB740,'Test catalog'!$A$2:$A$200,0))="","",INDEX('Test catalog'!$O$2:$O$200,MATCH($AB740,'Test catalog'!$A$2:$A$200,0))),"")</f>
        <v/>
      </c>
      <c r="AB740" s="10" t="inlineStr">
        <is>
          <t>UV</t>
        </is>
      </c>
      <c r="AC740" s="10" t="inlineStr">
        <is>
          <t>Lactose Monohydrate · Specific Tests &lt;857&gt;</t>
        </is>
      </c>
      <c r="AD740" s="10" t="n"/>
      <c r="AE740" s="10" t="n"/>
    </row>
    <row r="741">
      <c r="A741" s="10" t="inlineStr">
        <is>
          <t>Maltodextrin</t>
        </is>
      </c>
      <c r="B741" s="10" t="inlineStr">
        <is>
          <t>RM</t>
        </is>
      </c>
      <c r="C741" s="10" t="inlineStr">
        <is>
          <t>Filler / Diluent</t>
        </is>
      </c>
      <c r="D741" s="10" t="inlineStr">
        <is>
          <t>Appearance / description and solubility</t>
        </is>
      </c>
      <c r="E741" s="10">
        <f>IF(A741="","",A741&amp;"|"&amp;D741)</f>
        <v/>
      </c>
      <c r="F741" s="5" t="inlineStr">
        <is>
          <t>Y</t>
        </is>
      </c>
      <c r="G741" s="5" t="inlineStr">
        <is>
          <t>Other / bench</t>
        </is>
      </c>
      <c r="H741" s="5" t="inlineStr">
        <is>
          <t>Low</t>
        </is>
      </c>
      <c r="I741" s="5" t="n">
        <v>1</v>
      </c>
      <c r="J741" s="5" t="n"/>
      <c r="K741" s="10">
        <f>IFERROR(IF(INDEX('Test catalog'!$F$2:$F$200,MATCH($AB741,'Test catalog'!$A$2:$A$200,0))="","",INDEX('Test catalog'!$F$2:$F$200,MATCH($AB741,'Test catalog'!$A$2:$A$200,0))),"")</f>
        <v/>
      </c>
      <c r="L741" s="10">
        <f>IFERROR(IF(INDEX('Test catalog'!$G$2:$G$200,MATCH($AB741,'Test catalog'!$A$2:$A$200,0))="","",INDEX('Test catalog'!$G$2:$G$200,MATCH($AB741,'Test catalog'!$A$2:$A$200,0))),"")</f>
        <v/>
      </c>
      <c r="M741" s="10">
        <f>IFERROR(IF(INDEX('Test catalog'!$H$2:$H$200,MATCH($AB741,'Test catalog'!$A$2:$A$200,0))="","",INDEX('Test catalog'!$H$2:$H$200,MATCH($AB741,'Test catalog'!$A$2:$A$200,0))),"")</f>
        <v/>
      </c>
      <c r="N741" s="10">
        <f>IFERROR(IF(INDEX('Test catalog'!$I$2:$I$200,MATCH($AB741,'Test catalog'!$A$2:$A$200,0))="","",INDEX('Test catalog'!$I$2:$I$200,MATCH($AB741,'Test catalog'!$A$2:$A$200,0))),"")</f>
        <v/>
      </c>
      <c r="O741" s="10">
        <f>IFERROR(IF(INDEX('Test catalog'!$J$2:$J$200,MATCH($AB741,'Test catalog'!$A$2:$A$200,0))="","",INDEX('Test catalog'!$J$2:$J$200,MATCH($AB741,'Test catalog'!$A$2:$A$200,0))),"")</f>
        <v/>
      </c>
      <c r="P741" s="14">
        <f>IF(N741="","",IF(OR(M741="",O741=""),N741,(M741+4*N741+O741)/6))</f>
        <v/>
      </c>
      <c r="Q741" s="10">
        <f>IFERROR(IF(INDEX('Test catalog'!$K$2:$K$200,MATCH($AB741,'Test catalog'!$A$2:$A$200,0))="","",INDEX('Test catalog'!$K$2:$K$200,MATCH($AB741,'Test catalog'!$A$2:$A$200,0))),"")</f>
        <v/>
      </c>
      <c r="R741" s="5" t="n"/>
      <c r="S741" s="10">
        <f>IFERROR(IF(INDEX('Test catalog'!$L$2:$L$200,MATCH($AB741,'Test catalog'!$A$2:$A$200,0))="","",INDEX('Test catalog'!$L$2:$L$200,MATCH($AB741,'Test catalog'!$A$2:$A$200,0))),"")</f>
        <v/>
      </c>
      <c r="T741" s="10">
        <f>IFERROR(IF(INDEX('Test catalog'!$M$2:$M$200,MATCH($AB741,'Test catalog'!$A$2:$A$200,0))="","",INDEX('Test catalog'!$M$2:$M$200,MATCH($AB741,'Test catalog'!$A$2:$A$200,0))),"")</f>
        <v/>
      </c>
      <c r="U741" s="10">
        <f>IFERROR(IF(INDEX('Test catalog'!$N$2:$N$200,MATCH($AB741,'Test catalog'!$A$2:$A$200,0))="","",INDEX('Test catalog'!$N$2:$N$200,MATCH($AB741,'Test catalog'!$A$2:$A$200,0))),"")</f>
        <v/>
      </c>
      <c r="V741" s="15" t="n"/>
      <c r="W741" s="5" t="inlineStr">
        <is>
          <t>N</t>
        </is>
      </c>
      <c r="X741" s="5" t="n"/>
      <c r="Y741" s="5" t="n"/>
      <c r="Z741" s="5" t="n"/>
      <c r="AA741" s="10">
        <f>IFERROR(IF(INDEX('Test catalog'!$O$2:$O$200,MATCH($AB741,'Test catalog'!$A$2:$A$200,0))="","",INDEX('Test catalog'!$O$2:$O$200,MATCH($AB741,'Test catalog'!$A$2:$A$200,0))),"")</f>
        <v/>
      </c>
      <c r="AB741" s="10" t="inlineStr">
        <is>
          <t>APPEAR</t>
        </is>
      </c>
      <c r="AC741" s="10" t="inlineStr">
        <is>
          <t>Lab practice (not a USP test)</t>
        </is>
      </c>
      <c r="AD741" s="10" t="n"/>
      <c r="AE741" s="10" t="n"/>
    </row>
    <row r="742">
      <c r="A742" s="10" t="inlineStr">
        <is>
          <t>Maltodextrin</t>
        </is>
      </c>
      <c r="B742" s="10" t="inlineStr">
        <is>
          <t>RM</t>
        </is>
      </c>
      <c r="C742" s="10" t="inlineStr">
        <is>
          <t>Filler / Diluent</t>
        </is>
      </c>
      <c r="D742" s="10" t="inlineStr">
        <is>
          <t>Assay - Dextrose Equivalent</t>
        </is>
      </c>
      <c r="E742" s="10">
        <f>IF(A742="","",A742&amp;"|"&amp;D742)</f>
        <v/>
      </c>
      <c r="F742" s="5" t="inlineStr">
        <is>
          <t>Y</t>
        </is>
      </c>
      <c r="G742" s="5" t="inlineStr">
        <is>
          <t>Other / bench</t>
        </is>
      </c>
      <c r="H742" s="5" t="inlineStr">
        <is>
          <t>Low</t>
        </is>
      </c>
      <c r="I742" s="5" t="n">
        <v>1</v>
      </c>
      <c r="J742" s="5" t="n"/>
      <c r="K742" s="10">
        <f>IFERROR(IF(INDEX('Test catalog'!$F$2:$F$200,MATCH($AB742,'Test catalog'!$A$2:$A$200,0))="","",INDEX('Test catalog'!$F$2:$F$200,MATCH($AB742,'Test catalog'!$A$2:$A$200,0))),"")</f>
        <v/>
      </c>
      <c r="L742" s="10">
        <f>IFERROR(IF(INDEX('Test catalog'!$G$2:$G$200,MATCH($AB742,'Test catalog'!$A$2:$A$200,0))="","",INDEX('Test catalog'!$G$2:$G$200,MATCH($AB742,'Test catalog'!$A$2:$A$200,0))),"")</f>
        <v/>
      </c>
      <c r="M742" s="10">
        <f>IFERROR(IF(INDEX('Test catalog'!$H$2:$H$200,MATCH($AB742,'Test catalog'!$A$2:$A$200,0))="","",INDEX('Test catalog'!$H$2:$H$200,MATCH($AB742,'Test catalog'!$A$2:$A$200,0))),"")</f>
        <v/>
      </c>
      <c r="N742" s="10">
        <f>IFERROR(IF(INDEX('Test catalog'!$I$2:$I$200,MATCH($AB742,'Test catalog'!$A$2:$A$200,0))="","",INDEX('Test catalog'!$I$2:$I$200,MATCH($AB742,'Test catalog'!$A$2:$A$200,0))),"")</f>
        <v/>
      </c>
      <c r="O742" s="10">
        <f>IFERROR(IF(INDEX('Test catalog'!$J$2:$J$200,MATCH($AB742,'Test catalog'!$A$2:$A$200,0))="","",INDEX('Test catalog'!$J$2:$J$200,MATCH($AB742,'Test catalog'!$A$2:$A$200,0))),"")</f>
        <v/>
      </c>
      <c r="P742" s="14">
        <f>IF(N742="","",IF(OR(M742="",O742=""),N742,(M742+4*N742+O742)/6))</f>
        <v/>
      </c>
      <c r="Q742" s="10">
        <f>IFERROR(IF(INDEX('Test catalog'!$K$2:$K$200,MATCH($AB742,'Test catalog'!$A$2:$A$200,0))="","",INDEX('Test catalog'!$K$2:$K$200,MATCH($AB742,'Test catalog'!$A$2:$A$200,0))),"")</f>
        <v/>
      </c>
      <c r="R742" s="5" t="n"/>
      <c r="S742" s="10">
        <f>IFERROR(IF(INDEX('Test catalog'!$L$2:$L$200,MATCH($AB742,'Test catalog'!$A$2:$A$200,0))="","",INDEX('Test catalog'!$L$2:$L$200,MATCH($AB742,'Test catalog'!$A$2:$A$200,0))),"")</f>
        <v/>
      </c>
      <c r="T742" s="10">
        <f>IFERROR(IF(INDEX('Test catalog'!$M$2:$M$200,MATCH($AB742,'Test catalog'!$A$2:$A$200,0))="","",INDEX('Test catalog'!$M$2:$M$200,MATCH($AB742,'Test catalog'!$A$2:$A$200,0))),"")</f>
        <v/>
      </c>
      <c r="U742" s="10">
        <f>IFERROR(IF(INDEX('Test catalog'!$N$2:$N$200,MATCH($AB742,'Test catalog'!$A$2:$A$200,0))="","",INDEX('Test catalog'!$N$2:$N$200,MATCH($AB742,'Test catalog'!$A$2:$A$200,0))),"")</f>
        <v/>
      </c>
      <c r="V742" s="15" t="n"/>
      <c r="W742" s="5" t="inlineStr">
        <is>
          <t>N</t>
        </is>
      </c>
      <c r="X742" s="5" t="n"/>
      <c r="Y742" s="5" t="n"/>
      <c r="Z742" s="5" t="n"/>
      <c r="AA742" s="10">
        <f>IFERROR(IF(INDEX('Test catalog'!$O$2:$O$200,MATCH($AB742,'Test catalog'!$A$2:$A$200,0))="","",INDEX('Test catalog'!$O$2:$O$200,MATCH($AB742,'Test catalog'!$A$2:$A$200,0))),"")</f>
        <v/>
      </c>
      <c r="AB742" s="10" t="inlineStr">
        <is>
          <t>TITR</t>
        </is>
      </c>
      <c r="AC742" s="10" t="inlineStr">
        <is>
          <t>Maltodextrin · Assay</t>
        </is>
      </c>
      <c r="AD742" s="10" t="n"/>
      <c r="AE742" s="10" t="n"/>
    </row>
    <row r="743">
      <c r="A743" s="10" t="inlineStr">
        <is>
          <t>Maltodextrin</t>
        </is>
      </c>
      <c r="B743" s="10" t="inlineStr">
        <is>
          <t>RM</t>
        </is>
      </c>
      <c r="C743" s="10" t="inlineStr">
        <is>
          <t>Filler / Diluent</t>
        </is>
      </c>
      <c r="D743" s="10" t="inlineStr">
        <is>
          <t>Residue on Ignition</t>
        </is>
      </c>
      <c r="E743" s="10">
        <f>IF(A743="","",A743&amp;"|"&amp;D743)</f>
        <v/>
      </c>
      <c r="F743" s="5" t="inlineStr">
        <is>
          <t>Y</t>
        </is>
      </c>
      <c r="G743" s="5" t="inlineStr">
        <is>
          <t>Other / bench</t>
        </is>
      </c>
      <c r="H743" s="5" t="inlineStr">
        <is>
          <t>Low</t>
        </is>
      </c>
      <c r="I743" s="5" t="n">
        <v>1</v>
      </c>
      <c r="J743" s="5" t="n"/>
      <c r="K743" s="10">
        <f>IFERROR(IF(INDEX('Test catalog'!$F$2:$F$200,MATCH($AB743,'Test catalog'!$A$2:$A$200,0))="","",INDEX('Test catalog'!$F$2:$F$200,MATCH($AB743,'Test catalog'!$A$2:$A$200,0))),"")</f>
        <v/>
      </c>
      <c r="L743" s="10">
        <f>IFERROR(IF(INDEX('Test catalog'!$G$2:$G$200,MATCH($AB743,'Test catalog'!$A$2:$A$200,0))="","",INDEX('Test catalog'!$G$2:$G$200,MATCH($AB743,'Test catalog'!$A$2:$A$200,0))),"")</f>
        <v/>
      </c>
      <c r="M743" s="10">
        <f>IFERROR(IF(INDEX('Test catalog'!$H$2:$H$200,MATCH($AB743,'Test catalog'!$A$2:$A$200,0))="","",INDEX('Test catalog'!$H$2:$H$200,MATCH($AB743,'Test catalog'!$A$2:$A$200,0))),"")</f>
        <v/>
      </c>
      <c r="N743" s="10">
        <f>IFERROR(IF(INDEX('Test catalog'!$I$2:$I$200,MATCH($AB743,'Test catalog'!$A$2:$A$200,0))="","",INDEX('Test catalog'!$I$2:$I$200,MATCH($AB743,'Test catalog'!$A$2:$A$200,0))),"")</f>
        <v/>
      </c>
      <c r="O743" s="10">
        <f>IFERROR(IF(INDEX('Test catalog'!$J$2:$J$200,MATCH($AB743,'Test catalog'!$A$2:$A$200,0))="","",INDEX('Test catalog'!$J$2:$J$200,MATCH($AB743,'Test catalog'!$A$2:$A$200,0))),"")</f>
        <v/>
      </c>
      <c r="P743" s="14">
        <f>IF(N743="","",IF(OR(M743="",O743=""),N743,(M743+4*N743+O743)/6))</f>
        <v/>
      </c>
      <c r="Q743" s="10">
        <f>IFERROR(IF(INDEX('Test catalog'!$K$2:$K$200,MATCH($AB743,'Test catalog'!$A$2:$A$200,0))="","",INDEX('Test catalog'!$K$2:$K$200,MATCH($AB743,'Test catalog'!$A$2:$A$200,0))),"")</f>
        <v/>
      </c>
      <c r="R743" s="5" t="n"/>
      <c r="S743" s="10">
        <f>IFERROR(IF(INDEX('Test catalog'!$L$2:$L$200,MATCH($AB743,'Test catalog'!$A$2:$A$200,0))="","",INDEX('Test catalog'!$L$2:$L$200,MATCH($AB743,'Test catalog'!$A$2:$A$200,0))),"")</f>
        <v/>
      </c>
      <c r="T743" s="10">
        <f>IFERROR(IF(INDEX('Test catalog'!$M$2:$M$200,MATCH($AB743,'Test catalog'!$A$2:$A$200,0))="","",INDEX('Test catalog'!$M$2:$M$200,MATCH($AB743,'Test catalog'!$A$2:$A$200,0))),"")</f>
        <v/>
      </c>
      <c r="U743" s="10">
        <f>IFERROR(IF(INDEX('Test catalog'!$N$2:$N$200,MATCH($AB743,'Test catalog'!$A$2:$A$200,0))="","",INDEX('Test catalog'!$N$2:$N$200,MATCH($AB743,'Test catalog'!$A$2:$A$200,0))),"")</f>
        <v/>
      </c>
      <c r="V743" s="15" t="n"/>
      <c r="W743" s="5" t="inlineStr">
        <is>
          <t>N</t>
        </is>
      </c>
      <c r="X743" s="5" t="n"/>
      <c r="Y743" s="5" t="n"/>
      <c r="Z743" s="5" t="n"/>
      <c r="AA743" s="10">
        <f>IFERROR(IF(INDEX('Test catalog'!$O$2:$O$200,MATCH($AB743,'Test catalog'!$A$2:$A$200,0))="","",INDEX('Test catalog'!$O$2:$O$200,MATCH($AB743,'Test catalog'!$A$2:$A$200,0))),"")</f>
        <v/>
      </c>
      <c r="AB743" s="10" t="inlineStr">
        <is>
          <t>ROI</t>
        </is>
      </c>
      <c r="AC743" s="10" t="inlineStr">
        <is>
          <t>Maltodextrin · Impurities &lt;281&gt;</t>
        </is>
      </c>
      <c r="AD743" s="10" t="n"/>
      <c r="AE743" s="10" t="n"/>
    </row>
    <row r="744">
      <c r="A744" s="10" t="inlineStr">
        <is>
          <t>Maltodextrin</t>
        </is>
      </c>
      <c r="B744" s="10" t="inlineStr">
        <is>
          <t>RM</t>
        </is>
      </c>
      <c r="C744" s="10" t="inlineStr">
        <is>
          <t>Filler / Diluent</t>
        </is>
      </c>
      <c r="D744" s="10" t="inlineStr">
        <is>
          <t>Limit of Protein</t>
        </is>
      </c>
      <c r="E744" s="10">
        <f>IF(A744="","",A744&amp;"|"&amp;D744)</f>
        <v/>
      </c>
      <c r="F744" s="5" t="inlineStr">
        <is>
          <t>Y</t>
        </is>
      </c>
      <c r="G744" s="5" t="inlineStr">
        <is>
          <t>Other / bench</t>
        </is>
      </c>
      <c r="H744" s="5" t="inlineStr">
        <is>
          <t>Low</t>
        </is>
      </c>
      <c r="I744" s="5" t="n">
        <v>1</v>
      </c>
      <c r="J744" s="5" t="n"/>
      <c r="K744" s="10">
        <f>IFERROR(IF(INDEX('Test catalog'!$F$2:$F$200,MATCH($AB744,'Test catalog'!$A$2:$A$200,0))="","",INDEX('Test catalog'!$F$2:$F$200,MATCH($AB744,'Test catalog'!$A$2:$A$200,0))),"")</f>
        <v/>
      </c>
      <c r="L744" s="10">
        <f>IFERROR(IF(INDEX('Test catalog'!$G$2:$G$200,MATCH($AB744,'Test catalog'!$A$2:$A$200,0))="","",INDEX('Test catalog'!$G$2:$G$200,MATCH($AB744,'Test catalog'!$A$2:$A$200,0))),"")</f>
        <v/>
      </c>
      <c r="M744" s="10">
        <f>IFERROR(IF(INDEX('Test catalog'!$H$2:$H$200,MATCH($AB744,'Test catalog'!$A$2:$A$200,0))="","",INDEX('Test catalog'!$H$2:$H$200,MATCH($AB744,'Test catalog'!$A$2:$A$200,0))),"")</f>
        <v/>
      </c>
      <c r="N744" s="10">
        <f>IFERROR(IF(INDEX('Test catalog'!$I$2:$I$200,MATCH($AB744,'Test catalog'!$A$2:$A$200,0))="","",INDEX('Test catalog'!$I$2:$I$200,MATCH($AB744,'Test catalog'!$A$2:$A$200,0))),"")</f>
        <v/>
      </c>
      <c r="O744" s="10">
        <f>IFERROR(IF(INDEX('Test catalog'!$J$2:$J$200,MATCH($AB744,'Test catalog'!$A$2:$A$200,0))="","",INDEX('Test catalog'!$J$2:$J$200,MATCH($AB744,'Test catalog'!$A$2:$A$200,0))),"")</f>
        <v/>
      </c>
      <c r="P744" s="14">
        <f>IF(N744="","",IF(OR(M744="",O744=""),N744,(M744+4*N744+O744)/6))</f>
        <v/>
      </c>
      <c r="Q744" s="10">
        <f>IFERROR(IF(INDEX('Test catalog'!$K$2:$K$200,MATCH($AB744,'Test catalog'!$A$2:$A$200,0))="","",INDEX('Test catalog'!$K$2:$K$200,MATCH($AB744,'Test catalog'!$A$2:$A$200,0))),"")</f>
        <v/>
      </c>
      <c r="R744" s="5" t="n"/>
      <c r="S744" s="10">
        <f>IFERROR(IF(INDEX('Test catalog'!$L$2:$L$200,MATCH($AB744,'Test catalog'!$A$2:$A$200,0))="","",INDEX('Test catalog'!$L$2:$L$200,MATCH($AB744,'Test catalog'!$A$2:$A$200,0))),"")</f>
        <v/>
      </c>
      <c r="T744" s="10">
        <f>IFERROR(IF(INDEX('Test catalog'!$M$2:$M$200,MATCH($AB744,'Test catalog'!$A$2:$A$200,0))="","",INDEX('Test catalog'!$M$2:$M$200,MATCH($AB744,'Test catalog'!$A$2:$A$200,0))),"")</f>
        <v/>
      </c>
      <c r="U744" s="10">
        <f>IFERROR(IF(INDEX('Test catalog'!$N$2:$N$200,MATCH($AB744,'Test catalog'!$A$2:$A$200,0))="","",INDEX('Test catalog'!$N$2:$N$200,MATCH($AB744,'Test catalog'!$A$2:$A$200,0))),"")</f>
        <v/>
      </c>
      <c r="V744" s="15" t="n"/>
      <c r="W744" s="5" t="inlineStr">
        <is>
          <t>N</t>
        </is>
      </c>
      <c r="X744" s="5" t="n"/>
      <c r="Y744" s="5" t="n"/>
      <c r="Z744" s="5" t="n"/>
      <c r="AA744" s="10">
        <f>IFERROR(IF(INDEX('Test catalog'!$O$2:$O$200,MATCH($AB744,'Test catalog'!$A$2:$A$200,0))="","",INDEX('Test catalog'!$O$2:$O$200,MATCH($AB744,'Test catalog'!$A$2:$A$200,0))),"")</f>
        <v/>
      </c>
      <c r="AB744" s="10" t="inlineStr">
        <is>
          <t>TITR</t>
        </is>
      </c>
      <c r="AC744" s="10" t="inlineStr">
        <is>
          <t>Maltodextrin · Impurities</t>
        </is>
      </c>
      <c r="AD744" s="10" t="n"/>
      <c r="AE744" s="10" t="n"/>
    </row>
    <row r="745">
      <c r="A745" s="10" t="inlineStr">
        <is>
          <t>Maltodextrin</t>
        </is>
      </c>
      <c r="B745" s="10" t="inlineStr">
        <is>
          <t>RM</t>
        </is>
      </c>
      <c r="C745" s="10" t="inlineStr">
        <is>
          <t>Filler / Diluent</t>
        </is>
      </c>
      <c r="D745" s="10" t="inlineStr">
        <is>
          <t>Limit of Sulfur Dioxide</t>
        </is>
      </c>
      <c r="E745" s="10">
        <f>IF(A745="","",A745&amp;"|"&amp;D745)</f>
        <v/>
      </c>
      <c r="F745" s="5" t="inlineStr">
        <is>
          <t>Y</t>
        </is>
      </c>
      <c r="G745" s="5" t="inlineStr">
        <is>
          <t>Other / bench</t>
        </is>
      </c>
      <c r="H745" s="5" t="inlineStr">
        <is>
          <t>Low</t>
        </is>
      </c>
      <c r="I745" s="5" t="n">
        <v>1</v>
      </c>
      <c r="J745" s="5" t="n"/>
      <c r="K745" s="10">
        <f>IFERROR(IF(INDEX('Test catalog'!$F$2:$F$200,MATCH($AB745,'Test catalog'!$A$2:$A$200,0))="","",INDEX('Test catalog'!$F$2:$F$200,MATCH($AB745,'Test catalog'!$A$2:$A$200,0))),"")</f>
        <v/>
      </c>
      <c r="L745" s="10">
        <f>IFERROR(IF(INDEX('Test catalog'!$G$2:$G$200,MATCH($AB745,'Test catalog'!$A$2:$A$200,0))="","",INDEX('Test catalog'!$G$2:$G$200,MATCH($AB745,'Test catalog'!$A$2:$A$200,0))),"")</f>
        <v/>
      </c>
      <c r="M745" s="10">
        <f>IFERROR(IF(INDEX('Test catalog'!$H$2:$H$200,MATCH($AB745,'Test catalog'!$A$2:$A$200,0))="","",INDEX('Test catalog'!$H$2:$H$200,MATCH($AB745,'Test catalog'!$A$2:$A$200,0))),"")</f>
        <v/>
      </c>
      <c r="N745" s="10">
        <f>IFERROR(IF(INDEX('Test catalog'!$I$2:$I$200,MATCH($AB745,'Test catalog'!$A$2:$A$200,0))="","",INDEX('Test catalog'!$I$2:$I$200,MATCH($AB745,'Test catalog'!$A$2:$A$200,0))),"")</f>
        <v/>
      </c>
      <c r="O745" s="10">
        <f>IFERROR(IF(INDEX('Test catalog'!$J$2:$J$200,MATCH($AB745,'Test catalog'!$A$2:$A$200,0))="","",INDEX('Test catalog'!$J$2:$J$200,MATCH($AB745,'Test catalog'!$A$2:$A$200,0))),"")</f>
        <v/>
      </c>
      <c r="P745" s="14">
        <f>IF(N745="","",IF(OR(M745="",O745=""),N745,(M745+4*N745+O745)/6))</f>
        <v/>
      </c>
      <c r="Q745" s="10">
        <f>IFERROR(IF(INDEX('Test catalog'!$K$2:$K$200,MATCH($AB745,'Test catalog'!$A$2:$A$200,0))="","",INDEX('Test catalog'!$K$2:$K$200,MATCH($AB745,'Test catalog'!$A$2:$A$200,0))),"")</f>
        <v/>
      </c>
      <c r="R745" s="5" t="n"/>
      <c r="S745" s="10">
        <f>IFERROR(IF(INDEX('Test catalog'!$L$2:$L$200,MATCH($AB745,'Test catalog'!$A$2:$A$200,0))="","",INDEX('Test catalog'!$L$2:$L$200,MATCH($AB745,'Test catalog'!$A$2:$A$200,0))),"")</f>
        <v/>
      </c>
      <c r="T745" s="10">
        <f>IFERROR(IF(INDEX('Test catalog'!$M$2:$M$200,MATCH($AB745,'Test catalog'!$A$2:$A$200,0))="","",INDEX('Test catalog'!$M$2:$M$200,MATCH($AB745,'Test catalog'!$A$2:$A$200,0))),"")</f>
        <v/>
      </c>
      <c r="U745" s="10">
        <f>IFERROR(IF(INDEX('Test catalog'!$N$2:$N$200,MATCH($AB745,'Test catalog'!$A$2:$A$200,0))="","",INDEX('Test catalog'!$N$2:$N$200,MATCH($AB745,'Test catalog'!$A$2:$A$200,0))),"")</f>
        <v/>
      </c>
      <c r="V745" s="15" t="n"/>
      <c r="W745" s="5" t="inlineStr">
        <is>
          <t>N</t>
        </is>
      </c>
      <c r="X745" s="5" t="n"/>
      <c r="Y745" s="5" t="n"/>
      <c r="Z745" s="5" t="n"/>
      <c r="AA745" s="10">
        <f>IFERROR(IF(INDEX('Test catalog'!$O$2:$O$200,MATCH($AB745,'Test catalog'!$A$2:$A$200,0))="","",INDEX('Test catalog'!$O$2:$O$200,MATCH($AB745,'Test catalog'!$A$2:$A$200,0))),"")</f>
        <v/>
      </c>
      <c r="AB745" s="10" t="inlineStr">
        <is>
          <t>TITR</t>
        </is>
      </c>
      <c r="AC745" s="10" t="inlineStr">
        <is>
          <t>Maltodextrin · Impurities</t>
        </is>
      </c>
      <c r="AD745" s="10" t="n"/>
      <c r="AE745" s="10" t="n"/>
    </row>
    <row r="746">
      <c r="A746" s="10" t="inlineStr">
        <is>
          <t>Maltodextrin</t>
        </is>
      </c>
      <c r="B746" s="10" t="inlineStr">
        <is>
          <t>RM</t>
        </is>
      </c>
      <c r="C746" s="10" t="inlineStr">
        <is>
          <t>Filler / Diluent</t>
        </is>
      </c>
      <c r="D746" s="10" t="inlineStr">
        <is>
          <t>pH</t>
        </is>
      </c>
      <c r="E746" s="10">
        <f>IF(A746="","",A746&amp;"|"&amp;D746)</f>
        <v/>
      </c>
      <c r="F746" s="5" t="inlineStr">
        <is>
          <t>Y</t>
        </is>
      </c>
      <c r="G746" s="5" t="inlineStr">
        <is>
          <t>Other / bench</t>
        </is>
      </c>
      <c r="H746" s="5" t="inlineStr">
        <is>
          <t>Low</t>
        </is>
      </c>
      <c r="I746" s="5" t="n">
        <v>1</v>
      </c>
      <c r="J746" s="5" t="n"/>
      <c r="K746" s="10">
        <f>IFERROR(IF(INDEX('Test catalog'!$F$2:$F$200,MATCH($AB746,'Test catalog'!$A$2:$A$200,0))="","",INDEX('Test catalog'!$F$2:$F$200,MATCH($AB746,'Test catalog'!$A$2:$A$200,0))),"")</f>
        <v/>
      </c>
      <c r="L746" s="10">
        <f>IFERROR(IF(INDEX('Test catalog'!$G$2:$G$200,MATCH($AB746,'Test catalog'!$A$2:$A$200,0))="","",INDEX('Test catalog'!$G$2:$G$200,MATCH($AB746,'Test catalog'!$A$2:$A$200,0))),"")</f>
        <v/>
      </c>
      <c r="M746" s="10">
        <f>IFERROR(IF(INDEX('Test catalog'!$H$2:$H$200,MATCH($AB746,'Test catalog'!$A$2:$A$200,0))="","",INDEX('Test catalog'!$H$2:$H$200,MATCH($AB746,'Test catalog'!$A$2:$A$200,0))),"")</f>
        <v/>
      </c>
      <c r="N746" s="10">
        <f>IFERROR(IF(INDEX('Test catalog'!$I$2:$I$200,MATCH($AB746,'Test catalog'!$A$2:$A$200,0))="","",INDEX('Test catalog'!$I$2:$I$200,MATCH($AB746,'Test catalog'!$A$2:$A$200,0))),"")</f>
        <v/>
      </c>
      <c r="O746" s="10">
        <f>IFERROR(IF(INDEX('Test catalog'!$J$2:$J$200,MATCH($AB746,'Test catalog'!$A$2:$A$200,0))="","",INDEX('Test catalog'!$J$2:$J$200,MATCH($AB746,'Test catalog'!$A$2:$A$200,0))),"")</f>
        <v/>
      </c>
      <c r="P746" s="14">
        <f>IF(N746="","",IF(OR(M746="",O746=""),N746,(M746+4*N746+O746)/6))</f>
        <v/>
      </c>
      <c r="Q746" s="10">
        <f>IFERROR(IF(INDEX('Test catalog'!$K$2:$K$200,MATCH($AB746,'Test catalog'!$A$2:$A$200,0))="","",INDEX('Test catalog'!$K$2:$K$200,MATCH($AB746,'Test catalog'!$A$2:$A$200,0))),"")</f>
        <v/>
      </c>
      <c r="R746" s="5" t="n"/>
      <c r="S746" s="10">
        <f>IFERROR(IF(INDEX('Test catalog'!$L$2:$L$200,MATCH($AB746,'Test catalog'!$A$2:$A$200,0))="","",INDEX('Test catalog'!$L$2:$L$200,MATCH($AB746,'Test catalog'!$A$2:$A$200,0))),"")</f>
        <v/>
      </c>
      <c r="T746" s="10">
        <f>IFERROR(IF(INDEX('Test catalog'!$M$2:$M$200,MATCH($AB746,'Test catalog'!$A$2:$A$200,0))="","",INDEX('Test catalog'!$M$2:$M$200,MATCH($AB746,'Test catalog'!$A$2:$A$200,0))),"")</f>
        <v/>
      </c>
      <c r="U746" s="10">
        <f>IFERROR(IF(INDEX('Test catalog'!$N$2:$N$200,MATCH($AB746,'Test catalog'!$A$2:$A$200,0))="","",INDEX('Test catalog'!$N$2:$N$200,MATCH($AB746,'Test catalog'!$A$2:$A$200,0))),"")</f>
        <v/>
      </c>
      <c r="V746" s="15" t="n"/>
      <c r="W746" s="5" t="inlineStr">
        <is>
          <t>N</t>
        </is>
      </c>
      <c r="X746" s="5" t="n"/>
      <c r="Y746" s="5" t="n"/>
      <c r="Z746" s="5" t="n"/>
      <c r="AA746" s="10">
        <f>IFERROR(IF(INDEX('Test catalog'!$O$2:$O$200,MATCH($AB746,'Test catalog'!$A$2:$A$200,0))="","",INDEX('Test catalog'!$O$2:$O$200,MATCH($AB746,'Test catalog'!$A$2:$A$200,0))),"")</f>
        <v/>
      </c>
      <c r="AB746" s="10" t="inlineStr">
        <is>
          <t>PH</t>
        </is>
      </c>
      <c r="AC746" s="10" t="inlineStr">
        <is>
          <t>Maltodextrin · Specific Tests &lt;791&gt;</t>
        </is>
      </c>
      <c r="AD746" s="10" t="n"/>
      <c r="AE746" s="10" t="n"/>
    </row>
    <row r="747">
      <c r="A747" s="10" t="inlineStr">
        <is>
          <t>Maltodextrin</t>
        </is>
      </c>
      <c r="B747" s="10" t="inlineStr">
        <is>
          <t>RM</t>
        </is>
      </c>
      <c r="C747" s="10" t="inlineStr">
        <is>
          <t>Filler / Diluent</t>
        </is>
      </c>
      <c r="D747" s="10" t="inlineStr">
        <is>
          <t>Loss on Drying</t>
        </is>
      </c>
      <c r="E747" s="10">
        <f>IF(A747="","",A747&amp;"|"&amp;D747)</f>
        <v/>
      </c>
      <c r="F747" s="5" t="inlineStr">
        <is>
          <t>Y</t>
        </is>
      </c>
      <c r="G747" s="5" t="inlineStr">
        <is>
          <t>Other / bench</t>
        </is>
      </c>
      <c r="H747" s="5" t="inlineStr">
        <is>
          <t>Low</t>
        </is>
      </c>
      <c r="I747" s="5" t="n">
        <v>1</v>
      </c>
      <c r="J747" s="5" t="n"/>
      <c r="K747" s="10">
        <f>IFERROR(IF(INDEX('Test catalog'!$F$2:$F$200,MATCH($AB747,'Test catalog'!$A$2:$A$200,0))="","",INDEX('Test catalog'!$F$2:$F$200,MATCH($AB747,'Test catalog'!$A$2:$A$200,0))),"")</f>
        <v/>
      </c>
      <c r="L747" s="10">
        <f>IFERROR(IF(INDEX('Test catalog'!$G$2:$G$200,MATCH($AB747,'Test catalog'!$A$2:$A$200,0))="","",INDEX('Test catalog'!$G$2:$G$200,MATCH($AB747,'Test catalog'!$A$2:$A$200,0))),"")</f>
        <v/>
      </c>
      <c r="M747" s="10">
        <f>IFERROR(IF(INDEX('Test catalog'!$H$2:$H$200,MATCH($AB747,'Test catalog'!$A$2:$A$200,0))="","",INDEX('Test catalog'!$H$2:$H$200,MATCH($AB747,'Test catalog'!$A$2:$A$200,0))),"")</f>
        <v/>
      </c>
      <c r="N747" s="10">
        <f>IFERROR(IF(INDEX('Test catalog'!$I$2:$I$200,MATCH($AB747,'Test catalog'!$A$2:$A$200,0))="","",INDEX('Test catalog'!$I$2:$I$200,MATCH($AB747,'Test catalog'!$A$2:$A$200,0))),"")</f>
        <v/>
      </c>
      <c r="O747" s="10">
        <f>IFERROR(IF(INDEX('Test catalog'!$J$2:$J$200,MATCH($AB747,'Test catalog'!$A$2:$A$200,0))="","",INDEX('Test catalog'!$J$2:$J$200,MATCH($AB747,'Test catalog'!$A$2:$A$200,0))),"")</f>
        <v/>
      </c>
      <c r="P747" s="14">
        <f>IF(N747="","",IF(OR(M747="",O747=""),N747,(M747+4*N747+O747)/6))</f>
        <v/>
      </c>
      <c r="Q747" s="10">
        <f>IFERROR(IF(INDEX('Test catalog'!$K$2:$K$200,MATCH($AB747,'Test catalog'!$A$2:$A$200,0))="","",INDEX('Test catalog'!$K$2:$K$200,MATCH($AB747,'Test catalog'!$A$2:$A$200,0))),"")</f>
        <v/>
      </c>
      <c r="R747" s="5" t="n"/>
      <c r="S747" s="10">
        <f>IFERROR(IF(INDEX('Test catalog'!$L$2:$L$200,MATCH($AB747,'Test catalog'!$A$2:$A$200,0))="","",INDEX('Test catalog'!$L$2:$L$200,MATCH($AB747,'Test catalog'!$A$2:$A$200,0))),"")</f>
        <v/>
      </c>
      <c r="T747" s="10">
        <f>IFERROR(IF(INDEX('Test catalog'!$M$2:$M$200,MATCH($AB747,'Test catalog'!$A$2:$A$200,0))="","",INDEX('Test catalog'!$M$2:$M$200,MATCH($AB747,'Test catalog'!$A$2:$A$200,0))),"")</f>
        <v/>
      </c>
      <c r="U747" s="10">
        <f>IFERROR(IF(INDEX('Test catalog'!$N$2:$N$200,MATCH($AB747,'Test catalog'!$A$2:$A$200,0))="","",INDEX('Test catalog'!$N$2:$N$200,MATCH($AB747,'Test catalog'!$A$2:$A$200,0))),"")</f>
        <v/>
      </c>
      <c r="V747" s="15" t="n"/>
      <c r="W747" s="5" t="inlineStr">
        <is>
          <t>N</t>
        </is>
      </c>
      <c r="X747" s="5" t="n"/>
      <c r="Y747" s="5" t="n"/>
      <c r="Z747" s="5" t="n"/>
      <c r="AA747" s="10">
        <f>IFERROR(IF(INDEX('Test catalog'!$O$2:$O$200,MATCH($AB747,'Test catalog'!$A$2:$A$200,0))="","",INDEX('Test catalog'!$O$2:$O$200,MATCH($AB747,'Test catalog'!$A$2:$A$200,0))),"")</f>
        <v/>
      </c>
      <c r="AB747" s="10" t="inlineStr">
        <is>
          <t>LOD</t>
        </is>
      </c>
      <c r="AC747" s="10" t="inlineStr">
        <is>
          <t>Maltodextrin · Specific Tests &lt;731&gt;</t>
        </is>
      </c>
      <c r="AD747" s="10" t="n"/>
      <c r="AE747" s="10" t="n"/>
    </row>
    <row r="748">
      <c r="A748" s="10" t="inlineStr">
        <is>
          <t>Mannitol</t>
        </is>
      </c>
      <c r="B748" s="10" t="inlineStr">
        <is>
          <t>RM</t>
        </is>
      </c>
      <c r="C748" s="10" t="inlineStr">
        <is>
          <t>Filler / Diluent</t>
        </is>
      </c>
      <c r="D748" s="10" t="inlineStr">
        <is>
          <t>Appearance / description and solubility</t>
        </is>
      </c>
      <c r="E748" s="10">
        <f>IF(A748="","",A748&amp;"|"&amp;D748)</f>
        <v/>
      </c>
      <c r="F748" s="5" t="inlineStr">
        <is>
          <t>Y</t>
        </is>
      </c>
      <c r="G748" s="5" t="inlineStr">
        <is>
          <t>Other / bench</t>
        </is>
      </c>
      <c r="H748" s="5" t="inlineStr">
        <is>
          <t>Low</t>
        </is>
      </c>
      <c r="I748" s="5" t="n">
        <v>1</v>
      </c>
      <c r="J748" s="5" t="n"/>
      <c r="K748" s="10">
        <f>IFERROR(IF(INDEX('Test catalog'!$F$2:$F$200,MATCH($AB748,'Test catalog'!$A$2:$A$200,0))="","",INDEX('Test catalog'!$F$2:$F$200,MATCH($AB748,'Test catalog'!$A$2:$A$200,0))),"")</f>
        <v/>
      </c>
      <c r="L748" s="10">
        <f>IFERROR(IF(INDEX('Test catalog'!$G$2:$G$200,MATCH($AB748,'Test catalog'!$A$2:$A$200,0))="","",INDEX('Test catalog'!$G$2:$G$200,MATCH($AB748,'Test catalog'!$A$2:$A$200,0))),"")</f>
        <v/>
      </c>
      <c r="M748" s="10">
        <f>IFERROR(IF(INDEX('Test catalog'!$H$2:$H$200,MATCH($AB748,'Test catalog'!$A$2:$A$200,0))="","",INDEX('Test catalog'!$H$2:$H$200,MATCH($AB748,'Test catalog'!$A$2:$A$200,0))),"")</f>
        <v/>
      </c>
      <c r="N748" s="10">
        <f>IFERROR(IF(INDEX('Test catalog'!$I$2:$I$200,MATCH($AB748,'Test catalog'!$A$2:$A$200,0))="","",INDEX('Test catalog'!$I$2:$I$200,MATCH($AB748,'Test catalog'!$A$2:$A$200,0))),"")</f>
        <v/>
      </c>
      <c r="O748" s="10">
        <f>IFERROR(IF(INDEX('Test catalog'!$J$2:$J$200,MATCH($AB748,'Test catalog'!$A$2:$A$200,0))="","",INDEX('Test catalog'!$J$2:$J$200,MATCH($AB748,'Test catalog'!$A$2:$A$200,0))),"")</f>
        <v/>
      </c>
      <c r="P748" s="14">
        <f>IF(N748="","",IF(OR(M748="",O748=""),N748,(M748+4*N748+O748)/6))</f>
        <v/>
      </c>
      <c r="Q748" s="10">
        <f>IFERROR(IF(INDEX('Test catalog'!$K$2:$K$200,MATCH($AB748,'Test catalog'!$A$2:$A$200,0))="","",INDEX('Test catalog'!$K$2:$K$200,MATCH($AB748,'Test catalog'!$A$2:$A$200,0))),"")</f>
        <v/>
      </c>
      <c r="R748" s="5" t="n"/>
      <c r="S748" s="10">
        <f>IFERROR(IF(INDEX('Test catalog'!$L$2:$L$200,MATCH($AB748,'Test catalog'!$A$2:$A$200,0))="","",INDEX('Test catalog'!$L$2:$L$200,MATCH($AB748,'Test catalog'!$A$2:$A$200,0))),"")</f>
        <v/>
      </c>
      <c r="T748" s="10">
        <f>IFERROR(IF(INDEX('Test catalog'!$M$2:$M$200,MATCH($AB748,'Test catalog'!$A$2:$A$200,0))="","",INDEX('Test catalog'!$M$2:$M$200,MATCH($AB748,'Test catalog'!$A$2:$A$200,0))),"")</f>
        <v/>
      </c>
      <c r="U748" s="10">
        <f>IFERROR(IF(INDEX('Test catalog'!$N$2:$N$200,MATCH($AB748,'Test catalog'!$A$2:$A$200,0))="","",INDEX('Test catalog'!$N$2:$N$200,MATCH($AB748,'Test catalog'!$A$2:$A$200,0))),"")</f>
        <v/>
      </c>
      <c r="V748" s="15" t="n"/>
      <c r="W748" s="5" t="inlineStr">
        <is>
          <t>N</t>
        </is>
      </c>
      <c r="X748" s="5" t="n"/>
      <c r="Y748" s="5" t="n"/>
      <c r="Z748" s="5" t="n"/>
      <c r="AA748" s="10">
        <f>IFERROR(IF(INDEX('Test catalog'!$O$2:$O$200,MATCH($AB748,'Test catalog'!$A$2:$A$200,0))="","",INDEX('Test catalog'!$O$2:$O$200,MATCH($AB748,'Test catalog'!$A$2:$A$200,0))),"")</f>
        <v/>
      </c>
      <c r="AB748" s="10" t="inlineStr">
        <is>
          <t>APPEAR</t>
        </is>
      </c>
      <c r="AC748" s="10" t="inlineStr">
        <is>
          <t>Lab practice (not a USP test)</t>
        </is>
      </c>
      <c r="AD748" s="10" t="n"/>
      <c r="AE748" s="10" t="n"/>
    </row>
    <row r="749">
      <c r="A749" s="10" t="inlineStr">
        <is>
          <t>Mannitol</t>
        </is>
      </c>
      <c r="B749" s="10" t="inlineStr">
        <is>
          <t>RM</t>
        </is>
      </c>
      <c r="C749" s="10" t="inlineStr">
        <is>
          <t>Filler / Diluent</t>
        </is>
      </c>
      <c r="D749" s="10" t="inlineStr">
        <is>
          <t>ID A - IR spectrum</t>
        </is>
      </c>
      <c r="E749" s="10">
        <f>IF(A749="","",A749&amp;"|"&amp;D749)</f>
        <v/>
      </c>
      <c r="F749" s="5" t="inlineStr">
        <is>
          <t>Y</t>
        </is>
      </c>
      <c r="G749" s="5" t="inlineStr">
        <is>
          <t>Other / bench</t>
        </is>
      </c>
      <c r="H749" s="5" t="inlineStr">
        <is>
          <t>Low</t>
        </is>
      </c>
      <c r="I749" s="5" t="n">
        <v>1</v>
      </c>
      <c r="J749" s="5" t="n"/>
      <c r="K749" s="10">
        <f>IFERROR(IF(INDEX('Test catalog'!$F$2:$F$200,MATCH($AB749,'Test catalog'!$A$2:$A$200,0))="","",INDEX('Test catalog'!$F$2:$F$200,MATCH($AB749,'Test catalog'!$A$2:$A$200,0))),"")</f>
        <v/>
      </c>
      <c r="L749" s="10">
        <f>IFERROR(IF(INDEX('Test catalog'!$G$2:$G$200,MATCH($AB749,'Test catalog'!$A$2:$A$200,0))="","",INDEX('Test catalog'!$G$2:$G$200,MATCH($AB749,'Test catalog'!$A$2:$A$200,0))),"")</f>
        <v/>
      </c>
      <c r="M749" s="10">
        <f>IFERROR(IF(INDEX('Test catalog'!$H$2:$H$200,MATCH($AB749,'Test catalog'!$A$2:$A$200,0))="","",INDEX('Test catalog'!$H$2:$H$200,MATCH($AB749,'Test catalog'!$A$2:$A$200,0))),"")</f>
        <v/>
      </c>
      <c r="N749" s="10">
        <f>IFERROR(IF(INDEX('Test catalog'!$I$2:$I$200,MATCH($AB749,'Test catalog'!$A$2:$A$200,0))="","",INDEX('Test catalog'!$I$2:$I$200,MATCH($AB749,'Test catalog'!$A$2:$A$200,0))),"")</f>
        <v/>
      </c>
      <c r="O749" s="10">
        <f>IFERROR(IF(INDEX('Test catalog'!$J$2:$J$200,MATCH($AB749,'Test catalog'!$A$2:$A$200,0))="","",INDEX('Test catalog'!$J$2:$J$200,MATCH($AB749,'Test catalog'!$A$2:$A$200,0))),"")</f>
        <v/>
      </c>
      <c r="P749" s="14">
        <f>IF(N749="","",IF(OR(M749="",O749=""),N749,(M749+4*N749+O749)/6))</f>
        <v/>
      </c>
      <c r="Q749" s="10">
        <f>IFERROR(IF(INDEX('Test catalog'!$K$2:$K$200,MATCH($AB749,'Test catalog'!$A$2:$A$200,0))="","",INDEX('Test catalog'!$K$2:$K$200,MATCH($AB749,'Test catalog'!$A$2:$A$200,0))),"")</f>
        <v/>
      </c>
      <c r="R749" s="5" t="n"/>
      <c r="S749" s="10">
        <f>IFERROR(IF(INDEX('Test catalog'!$L$2:$L$200,MATCH($AB749,'Test catalog'!$A$2:$A$200,0))="","",INDEX('Test catalog'!$L$2:$L$200,MATCH($AB749,'Test catalog'!$A$2:$A$200,0))),"")</f>
        <v/>
      </c>
      <c r="T749" s="10">
        <f>IFERROR(IF(INDEX('Test catalog'!$M$2:$M$200,MATCH($AB749,'Test catalog'!$A$2:$A$200,0))="","",INDEX('Test catalog'!$M$2:$M$200,MATCH($AB749,'Test catalog'!$A$2:$A$200,0))),"")</f>
        <v/>
      </c>
      <c r="U749" s="10">
        <f>IFERROR(IF(INDEX('Test catalog'!$N$2:$N$200,MATCH($AB749,'Test catalog'!$A$2:$A$200,0))="","",INDEX('Test catalog'!$N$2:$N$200,MATCH($AB749,'Test catalog'!$A$2:$A$200,0))),"")</f>
        <v/>
      </c>
      <c r="V749" s="15" t="n"/>
      <c r="W749" s="5" t="inlineStr">
        <is>
          <t>N</t>
        </is>
      </c>
      <c r="X749" s="5" t="n"/>
      <c r="Y749" s="5" t="n"/>
      <c r="Z749" s="5" t="n"/>
      <c r="AA749" s="10">
        <f>IFERROR(IF(INDEX('Test catalog'!$O$2:$O$200,MATCH($AB749,'Test catalog'!$A$2:$A$200,0))="","",INDEX('Test catalog'!$O$2:$O$200,MATCH($AB749,'Test catalog'!$A$2:$A$200,0))),"")</f>
        <v/>
      </c>
      <c r="AB749" s="10" t="inlineStr">
        <is>
          <t>ID_IR</t>
        </is>
      </c>
      <c r="AC749" s="10" t="inlineStr">
        <is>
          <t>Mannitol · Identification &lt;197&gt;</t>
        </is>
      </c>
      <c r="AD749" s="10" t="n"/>
      <c r="AE749" s="10" t="n"/>
    </row>
    <row r="750">
      <c r="A750" s="10" t="inlineStr">
        <is>
          <t>Mannitol</t>
        </is>
      </c>
      <c r="B750" s="10" t="inlineStr">
        <is>
          <t>RM</t>
        </is>
      </c>
      <c r="C750" s="10" t="inlineStr">
        <is>
          <t>Filler / Diluent</t>
        </is>
      </c>
      <c r="D750" s="10" t="inlineStr">
        <is>
          <t>Assay (HPLC)</t>
        </is>
      </c>
      <c r="E750" s="10">
        <f>IF(A750="","",A750&amp;"|"&amp;D750)</f>
        <v/>
      </c>
      <c r="F750" s="5" t="inlineStr">
        <is>
          <t>Y</t>
        </is>
      </c>
      <c r="G750" s="5" t="inlineStr">
        <is>
          <t>HPLC</t>
        </is>
      </c>
      <c r="H750" s="5" t="inlineStr">
        <is>
          <t>Medium</t>
        </is>
      </c>
      <c r="I750" s="5" t="n">
        <v>1</v>
      </c>
      <c r="J750" s="5" t="n"/>
      <c r="K750" s="5" t="n"/>
      <c r="L750" s="5" t="n"/>
      <c r="M750" s="5" t="n"/>
      <c r="N750" s="5" t="n"/>
      <c r="O750" s="5" t="n"/>
      <c r="P750" s="14">
        <f>IF(N750="","",IF(OR(M750="",O750=""),N750,(M750+4*N750+O750)/6))</f>
        <v/>
      </c>
      <c r="Q750" s="5" t="n"/>
      <c r="R750" s="5" t="n"/>
      <c r="S750" s="5" t="n"/>
      <c r="T750" s="5" t="n"/>
      <c r="U750" s="5" t="n"/>
      <c r="V750" s="15" t="n"/>
      <c r="W750" s="5" t="inlineStr">
        <is>
          <t>N</t>
        </is>
      </c>
      <c r="X750" s="5" t="n"/>
      <c r="Y750" s="5" t="n"/>
      <c r="Z750" s="5" t="n"/>
      <c r="AA750" s="5" t="n"/>
      <c r="AB750" s="10" t="n"/>
      <c r="AC750" s="10" t="inlineStr">
        <is>
          <t>Mannitol · Assay</t>
        </is>
      </c>
      <c r="AD750" s="10" t="n"/>
      <c r="AE750" s="10" t="n"/>
    </row>
    <row r="751">
      <c r="A751" s="10" t="inlineStr">
        <is>
          <t>Mannitol</t>
        </is>
      </c>
      <c r="B751" s="10" t="inlineStr">
        <is>
          <t>RM</t>
        </is>
      </c>
      <c r="C751" s="10" t="inlineStr">
        <is>
          <t>Filler / Diluent</t>
        </is>
      </c>
      <c r="D751" s="10" t="inlineStr">
        <is>
          <t>Related Substances (HPLC)</t>
        </is>
      </c>
      <c r="E751" s="10">
        <f>IF(A751="","",A751&amp;"|"&amp;D751)</f>
        <v/>
      </c>
      <c r="F751" s="5" t="inlineStr">
        <is>
          <t>Y</t>
        </is>
      </c>
      <c r="G751" s="5" t="inlineStr">
        <is>
          <t>HPLC</t>
        </is>
      </c>
      <c r="H751" s="5" t="inlineStr">
        <is>
          <t>Medium</t>
        </is>
      </c>
      <c r="I751" s="5" t="n">
        <v>1</v>
      </c>
      <c r="J751" s="5" t="n"/>
      <c r="K751" s="5" t="n"/>
      <c r="L751" s="5" t="n"/>
      <c r="M751" s="5" t="n"/>
      <c r="N751" s="5" t="n"/>
      <c r="O751" s="5" t="n"/>
      <c r="P751" s="14">
        <f>IF(N751="","",IF(OR(M751="",O751=""),N751,(M751+4*N751+O751)/6))</f>
        <v/>
      </c>
      <c r="Q751" s="5" t="n"/>
      <c r="R751" s="5" t="n"/>
      <c r="S751" s="5" t="n"/>
      <c r="T751" s="5" t="n"/>
      <c r="U751" s="5" t="n"/>
      <c r="V751" s="15" t="n"/>
      <c r="W751" s="5" t="inlineStr">
        <is>
          <t>N</t>
        </is>
      </c>
      <c r="X751" s="5" t="n"/>
      <c r="Y751" s="5" t="n"/>
      <c r="Z751" s="5" t="n"/>
      <c r="AA751" s="5" t="n"/>
      <c r="AB751" s="10" t="n"/>
      <c r="AC751" s="10" t="inlineStr">
        <is>
          <t>Mannitol · Impurities</t>
        </is>
      </c>
      <c r="AD751" s="10" t="n"/>
      <c r="AE751" s="10" t="n"/>
    </row>
    <row r="752">
      <c r="A752" s="10" t="inlineStr">
        <is>
          <t>Mannitol</t>
        </is>
      </c>
      <c r="B752" s="10" t="inlineStr">
        <is>
          <t>RM</t>
        </is>
      </c>
      <c r="C752" s="10" t="inlineStr">
        <is>
          <t>Filler / Diluent</t>
        </is>
      </c>
      <c r="D752" s="10" t="inlineStr">
        <is>
          <t>Reducing Sugars</t>
        </is>
      </c>
      <c r="E752" s="10">
        <f>IF(A752="","",A752&amp;"|"&amp;D752)</f>
        <v/>
      </c>
      <c r="F752" s="5" t="inlineStr">
        <is>
          <t>Y</t>
        </is>
      </c>
      <c r="G752" s="5" t="inlineStr">
        <is>
          <t>Other / bench</t>
        </is>
      </c>
      <c r="H752" s="5" t="inlineStr">
        <is>
          <t>Low</t>
        </is>
      </c>
      <c r="I752" s="5" t="n">
        <v>1</v>
      </c>
      <c r="J752" s="5" t="n"/>
      <c r="K752" s="10">
        <f>IFERROR(IF(INDEX('Test catalog'!$F$2:$F$200,MATCH($AB752,'Test catalog'!$A$2:$A$200,0))="","",INDEX('Test catalog'!$F$2:$F$200,MATCH($AB752,'Test catalog'!$A$2:$A$200,0))),"")</f>
        <v/>
      </c>
      <c r="L752" s="10">
        <f>IFERROR(IF(INDEX('Test catalog'!$G$2:$G$200,MATCH($AB752,'Test catalog'!$A$2:$A$200,0))="","",INDEX('Test catalog'!$G$2:$G$200,MATCH($AB752,'Test catalog'!$A$2:$A$200,0))),"")</f>
        <v/>
      </c>
      <c r="M752" s="10">
        <f>IFERROR(IF(INDEX('Test catalog'!$H$2:$H$200,MATCH($AB752,'Test catalog'!$A$2:$A$200,0))="","",INDEX('Test catalog'!$H$2:$H$200,MATCH($AB752,'Test catalog'!$A$2:$A$200,0))),"")</f>
        <v/>
      </c>
      <c r="N752" s="10">
        <f>IFERROR(IF(INDEX('Test catalog'!$I$2:$I$200,MATCH($AB752,'Test catalog'!$A$2:$A$200,0))="","",INDEX('Test catalog'!$I$2:$I$200,MATCH($AB752,'Test catalog'!$A$2:$A$200,0))),"")</f>
        <v/>
      </c>
      <c r="O752" s="10">
        <f>IFERROR(IF(INDEX('Test catalog'!$J$2:$J$200,MATCH($AB752,'Test catalog'!$A$2:$A$200,0))="","",INDEX('Test catalog'!$J$2:$J$200,MATCH($AB752,'Test catalog'!$A$2:$A$200,0))),"")</f>
        <v/>
      </c>
      <c r="P752" s="14">
        <f>IF(N752="","",IF(OR(M752="",O752=""),N752,(M752+4*N752+O752)/6))</f>
        <v/>
      </c>
      <c r="Q752" s="10">
        <f>IFERROR(IF(INDEX('Test catalog'!$K$2:$K$200,MATCH($AB752,'Test catalog'!$A$2:$A$200,0))="","",INDEX('Test catalog'!$K$2:$K$200,MATCH($AB752,'Test catalog'!$A$2:$A$200,0))),"")</f>
        <v/>
      </c>
      <c r="R752" s="5" t="n"/>
      <c r="S752" s="10">
        <f>IFERROR(IF(INDEX('Test catalog'!$L$2:$L$200,MATCH($AB752,'Test catalog'!$A$2:$A$200,0))="","",INDEX('Test catalog'!$L$2:$L$200,MATCH($AB752,'Test catalog'!$A$2:$A$200,0))),"")</f>
        <v/>
      </c>
      <c r="T752" s="10">
        <f>IFERROR(IF(INDEX('Test catalog'!$M$2:$M$200,MATCH($AB752,'Test catalog'!$A$2:$A$200,0))="","",INDEX('Test catalog'!$M$2:$M$200,MATCH($AB752,'Test catalog'!$A$2:$A$200,0))),"")</f>
        <v/>
      </c>
      <c r="U752" s="10">
        <f>IFERROR(IF(INDEX('Test catalog'!$N$2:$N$200,MATCH($AB752,'Test catalog'!$A$2:$A$200,0))="","",INDEX('Test catalog'!$N$2:$N$200,MATCH($AB752,'Test catalog'!$A$2:$A$200,0))),"")</f>
        <v/>
      </c>
      <c r="V752" s="15" t="n"/>
      <c r="W752" s="5" t="inlineStr">
        <is>
          <t>N</t>
        </is>
      </c>
      <c r="X752" s="5" t="n"/>
      <c r="Y752" s="5" t="n"/>
      <c r="Z752" s="5" t="n"/>
      <c r="AA752" s="10">
        <f>IFERROR(IF(INDEX('Test catalog'!$O$2:$O$200,MATCH($AB752,'Test catalog'!$A$2:$A$200,0))="","",INDEX('Test catalog'!$O$2:$O$200,MATCH($AB752,'Test catalog'!$A$2:$A$200,0))),"")</f>
        <v/>
      </c>
      <c r="AB752" s="10" t="inlineStr">
        <is>
          <t>TITR</t>
        </is>
      </c>
      <c r="AC752" s="10" t="inlineStr">
        <is>
          <t>Mannitol · Impurities</t>
        </is>
      </c>
      <c r="AD752" s="10" t="n"/>
      <c r="AE752" s="10" t="n"/>
    </row>
    <row r="753">
      <c r="A753" s="10" t="inlineStr">
        <is>
          <t>Mannitol</t>
        </is>
      </c>
      <c r="B753" s="10" t="inlineStr">
        <is>
          <t>RM</t>
        </is>
      </c>
      <c r="C753" s="10" t="inlineStr">
        <is>
          <t>Filler / Diluent</t>
        </is>
      </c>
      <c r="D753" s="10" t="inlineStr">
        <is>
          <t>Nickel</t>
        </is>
      </c>
      <c r="E753" s="10">
        <f>IF(A753="","",A753&amp;"|"&amp;D753)</f>
        <v/>
      </c>
      <c r="F753" s="5" t="inlineStr">
        <is>
          <t>Y</t>
        </is>
      </c>
      <c r="G753" s="5" t="inlineStr">
        <is>
          <t>AAS / ICP</t>
        </is>
      </c>
      <c r="H753" s="5" t="inlineStr">
        <is>
          <t>Low</t>
        </is>
      </c>
      <c r="I753" s="5" t="n">
        <v>1</v>
      </c>
      <c r="J753" s="5" t="n"/>
      <c r="K753" s="10">
        <f>IFERROR(IF(INDEX('Test catalog'!$F$2:$F$200,MATCH($AB753,'Test catalog'!$A$2:$A$200,0))="","",INDEX('Test catalog'!$F$2:$F$200,MATCH($AB753,'Test catalog'!$A$2:$A$200,0))),"")</f>
        <v/>
      </c>
      <c r="L753" s="10">
        <f>IFERROR(IF(INDEX('Test catalog'!$G$2:$G$200,MATCH($AB753,'Test catalog'!$A$2:$A$200,0))="","",INDEX('Test catalog'!$G$2:$G$200,MATCH($AB753,'Test catalog'!$A$2:$A$200,0))),"")</f>
        <v/>
      </c>
      <c r="M753" s="10">
        <f>IFERROR(IF(INDEX('Test catalog'!$H$2:$H$200,MATCH($AB753,'Test catalog'!$A$2:$A$200,0))="","",INDEX('Test catalog'!$H$2:$H$200,MATCH($AB753,'Test catalog'!$A$2:$A$200,0))),"")</f>
        <v/>
      </c>
      <c r="N753" s="10">
        <f>IFERROR(IF(INDEX('Test catalog'!$I$2:$I$200,MATCH($AB753,'Test catalog'!$A$2:$A$200,0))="","",INDEX('Test catalog'!$I$2:$I$200,MATCH($AB753,'Test catalog'!$A$2:$A$200,0))),"")</f>
        <v/>
      </c>
      <c r="O753" s="10">
        <f>IFERROR(IF(INDEX('Test catalog'!$J$2:$J$200,MATCH($AB753,'Test catalog'!$A$2:$A$200,0))="","",INDEX('Test catalog'!$J$2:$J$200,MATCH($AB753,'Test catalog'!$A$2:$A$200,0))),"")</f>
        <v/>
      </c>
      <c r="P753" s="14">
        <f>IF(N753="","",IF(OR(M753="",O753=""),N753,(M753+4*N753+O753)/6))</f>
        <v/>
      </c>
      <c r="Q753" s="10">
        <f>IFERROR(IF(INDEX('Test catalog'!$K$2:$K$200,MATCH($AB753,'Test catalog'!$A$2:$A$200,0))="","",INDEX('Test catalog'!$K$2:$K$200,MATCH($AB753,'Test catalog'!$A$2:$A$200,0))),"")</f>
        <v/>
      </c>
      <c r="R753" s="5" t="n"/>
      <c r="S753" s="10">
        <f>IFERROR(IF(INDEX('Test catalog'!$L$2:$L$200,MATCH($AB753,'Test catalog'!$A$2:$A$200,0))="","",INDEX('Test catalog'!$L$2:$L$200,MATCH($AB753,'Test catalog'!$A$2:$A$200,0))),"")</f>
        <v/>
      </c>
      <c r="T753" s="10">
        <f>IFERROR(IF(INDEX('Test catalog'!$M$2:$M$200,MATCH($AB753,'Test catalog'!$A$2:$A$200,0))="","",INDEX('Test catalog'!$M$2:$M$200,MATCH($AB753,'Test catalog'!$A$2:$A$200,0))),"")</f>
        <v/>
      </c>
      <c r="U753" s="10">
        <f>IFERROR(IF(INDEX('Test catalog'!$N$2:$N$200,MATCH($AB753,'Test catalog'!$A$2:$A$200,0))="","",INDEX('Test catalog'!$N$2:$N$200,MATCH($AB753,'Test catalog'!$A$2:$A$200,0))),"")</f>
        <v/>
      </c>
      <c r="V753" s="15" t="n"/>
      <c r="W753" s="5" t="inlineStr">
        <is>
          <t>N</t>
        </is>
      </c>
      <c r="X753" s="5" t="n"/>
      <c r="Y753" s="5" t="n"/>
      <c r="Z753" s="5" t="n"/>
      <c r="AA753" s="10">
        <f>IFERROR(IF(INDEX('Test catalog'!$O$2:$O$200,MATCH($AB753,'Test catalog'!$A$2:$A$200,0))="","",INDEX('Test catalog'!$O$2:$O$200,MATCH($AB753,'Test catalog'!$A$2:$A$200,0))),"")</f>
        <v/>
      </c>
      <c r="AB753" s="10" t="inlineStr">
        <is>
          <t>AAS</t>
        </is>
      </c>
      <c r="AC753" s="10" t="inlineStr">
        <is>
          <t>Mannitol · Impurities</t>
        </is>
      </c>
      <c r="AD753" s="10" t="n"/>
      <c r="AE753" s="10" t="n"/>
    </row>
    <row r="754">
      <c r="A754" s="10" t="inlineStr">
        <is>
          <t>Mannitol</t>
        </is>
      </c>
      <c r="B754" s="10" t="inlineStr">
        <is>
          <t>RM</t>
        </is>
      </c>
      <c r="C754" s="10" t="inlineStr">
        <is>
          <t>Filler / Diluent</t>
        </is>
      </c>
      <c r="D754" s="10" t="inlineStr">
        <is>
          <t>Melting Range or Temperature</t>
        </is>
      </c>
      <c r="E754" s="10">
        <f>IF(A754="","",A754&amp;"|"&amp;D754)</f>
        <v/>
      </c>
      <c r="F754" s="5" t="inlineStr">
        <is>
          <t>Y</t>
        </is>
      </c>
      <c r="G754" s="5" t="inlineStr">
        <is>
          <t>Other / bench</t>
        </is>
      </c>
      <c r="H754" s="5" t="inlineStr">
        <is>
          <t>Low</t>
        </is>
      </c>
      <c r="I754" s="5" t="n">
        <v>1</v>
      </c>
      <c r="J754" s="5" t="n"/>
      <c r="K754" s="10">
        <f>IFERROR(IF(INDEX('Test catalog'!$F$2:$F$200,MATCH($AB754,'Test catalog'!$A$2:$A$200,0))="","",INDEX('Test catalog'!$F$2:$F$200,MATCH($AB754,'Test catalog'!$A$2:$A$200,0))),"")</f>
        <v/>
      </c>
      <c r="L754" s="10">
        <f>IFERROR(IF(INDEX('Test catalog'!$G$2:$G$200,MATCH($AB754,'Test catalog'!$A$2:$A$200,0))="","",INDEX('Test catalog'!$G$2:$G$200,MATCH($AB754,'Test catalog'!$A$2:$A$200,0))),"")</f>
        <v/>
      </c>
      <c r="M754" s="10">
        <f>IFERROR(IF(INDEX('Test catalog'!$H$2:$H$200,MATCH($AB754,'Test catalog'!$A$2:$A$200,0))="","",INDEX('Test catalog'!$H$2:$H$200,MATCH($AB754,'Test catalog'!$A$2:$A$200,0))),"")</f>
        <v/>
      </c>
      <c r="N754" s="10">
        <f>IFERROR(IF(INDEX('Test catalog'!$I$2:$I$200,MATCH($AB754,'Test catalog'!$A$2:$A$200,0))="","",INDEX('Test catalog'!$I$2:$I$200,MATCH($AB754,'Test catalog'!$A$2:$A$200,0))),"")</f>
        <v/>
      </c>
      <c r="O754" s="10">
        <f>IFERROR(IF(INDEX('Test catalog'!$J$2:$J$200,MATCH($AB754,'Test catalog'!$A$2:$A$200,0))="","",INDEX('Test catalog'!$J$2:$J$200,MATCH($AB754,'Test catalog'!$A$2:$A$200,0))),"")</f>
        <v/>
      </c>
      <c r="P754" s="14">
        <f>IF(N754="","",IF(OR(M754="",O754=""),N754,(M754+4*N754+O754)/6))</f>
        <v/>
      </c>
      <c r="Q754" s="10">
        <f>IFERROR(IF(INDEX('Test catalog'!$K$2:$K$200,MATCH($AB754,'Test catalog'!$A$2:$A$200,0))="","",INDEX('Test catalog'!$K$2:$K$200,MATCH($AB754,'Test catalog'!$A$2:$A$200,0))),"")</f>
        <v/>
      </c>
      <c r="R754" s="5" t="n"/>
      <c r="S754" s="10">
        <f>IFERROR(IF(INDEX('Test catalog'!$L$2:$L$200,MATCH($AB754,'Test catalog'!$A$2:$A$200,0))="","",INDEX('Test catalog'!$L$2:$L$200,MATCH($AB754,'Test catalog'!$A$2:$A$200,0))),"")</f>
        <v/>
      </c>
      <c r="T754" s="10">
        <f>IFERROR(IF(INDEX('Test catalog'!$M$2:$M$200,MATCH($AB754,'Test catalog'!$A$2:$A$200,0))="","",INDEX('Test catalog'!$M$2:$M$200,MATCH($AB754,'Test catalog'!$A$2:$A$200,0))),"")</f>
        <v/>
      </c>
      <c r="U754" s="10">
        <f>IFERROR(IF(INDEX('Test catalog'!$N$2:$N$200,MATCH($AB754,'Test catalog'!$A$2:$A$200,0))="","",INDEX('Test catalog'!$N$2:$N$200,MATCH($AB754,'Test catalog'!$A$2:$A$200,0))),"")</f>
        <v/>
      </c>
      <c r="V754" s="15" t="n"/>
      <c r="W754" s="5" t="inlineStr">
        <is>
          <t>N</t>
        </is>
      </c>
      <c r="X754" s="5" t="n"/>
      <c r="Y754" s="5" t="n"/>
      <c r="Z754" s="5" t="n"/>
      <c r="AA754" s="10">
        <f>IFERROR(IF(INDEX('Test catalog'!$O$2:$O$200,MATCH($AB754,'Test catalog'!$A$2:$A$200,0))="","",INDEX('Test catalog'!$O$2:$O$200,MATCH($AB754,'Test catalog'!$A$2:$A$200,0))),"")</f>
        <v/>
      </c>
      <c r="AB754" s="10" t="inlineStr">
        <is>
          <t>MP</t>
        </is>
      </c>
      <c r="AC754" s="10" t="inlineStr">
        <is>
          <t>Mannitol · Specific Tests &lt;741&gt;</t>
        </is>
      </c>
      <c r="AD754" s="10" t="n"/>
      <c r="AE754" s="10" t="n"/>
    </row>
    <row r="755">
      <c r="A755" s="10" t="inlineStr">
        <is>
          <t>Mannitol</t>
        </is>
      </c>
      <c r="B755" s="10" t="inlineStr">
        <is>
          <t>RM</t>
        </is>
      </c>
      <c r="C755" s="10" t="inlineStr">
        <is>
          <t>Filler / Diluent</t>
        </is>
      </c>
      <c r="D755" s="10" t="inlineStr">
        <is>
          <t>Appearance of Solution</t>
        </is>
      </c>
      <c r="E755" s="10">
        <f>IF(A755="","",A755&amp;"|"&amp;D755)</f>
        <v/>
      </c>
      <c r="F755" s="5" t="inlineStr">
        <is>
          <t>Y</t>
        </is>
      </c>
      <c r="G755" s="5" t="inlineStr">
        <is>
          <t>Other / bench</t>
        </is>
      </c>
      <c r="H755" s="5" t="inlineStr">
        <is>
          <t>Low</t>
        </is>
      </c>
      <c r="I755" s="5" t="n">
        <v>1</v>
      </c>
      <c r="J755" s="5" t="n"/>
      <c r="K755" s="10">
        <f>IFERROR(IF(INDEX('Test catalog'!$F$2:$F$200,MATCH($AB755,'Test catalog'!$A$2:$A$200,0))="","",INDEX('Test catalog'!$F$2:$F$200,MATCH($AB755,'Test catalog'!$A$2:$A$200,0))),"")</f>
        <v/>
      </c>
      <c r="L755" s="10">
        <f>IFERROR(IF(INDEX('Test catalog'!$G$2:$G$200,MATCH($AB755,'Test catalog'!$A$2:$A$200,0))="","",INDEX('Test catalog'!$G$2:$G$200,MATCH($AB755,'Test catalog'!$A$2:$A$200,0))),"")</f>
        <v/>
      </c>
      <c r="M755" s="10">
        <f>IFERROR(IF(INDEX('Test catalog'!$H$2:$H$200,MATCH($AB755,'Test catalog'!$A$2:$A$200,0))="","",INDEX('Test catalog'!$H$2:$H$200,MATCH($AB755,'Test catalog'!$A$2:$A$200,0))),"")</f>
        <v/>
      </c>
      <c r="N755" s="10">
        <f>IFERROR(IF(INDEX('Test catalog'!$I$2:$I$200,MATCH($AB755,'Test catalog'!$A$2:$A$200,0))="","",INDEX('Test catalog'!$I$2:$I$200,MATCH($AB755,'Test catalog'!$A$2:$A$200,0))),"")</f>
        <v/>
      </c>
      <c r="O755" s="10">
        <f>IFERROR(IF(INDEX('Test catalog'!$J$2:$J$200,MATCH($AB755,'Test catalog'!$A$2:$A$200,0))="","",INDEX('Test catalog'!$J$2:$J$200,MATCH($AB755,'Test catalog'!$A$2:$A$200,0))),"")</f>
        <v/>
      </c>
      <c r="P755" s="14">
        <f>IF(N755="","",IF(OR(M755="",O755=""),N755,(M755+4*N755+O755)/6))</f>
        <v/>
      </c>
      <c r="Q755" s="10">
        <f>IFERROR(IF(INDEX('Test catalog'!$K$2:$K$200,MATCH($AB755,'Test catalog'!$A$2:$A$200,0))="","",INDEX('Test catalog'!$K$2:$K$200,MATCH($AB755,'Test catalog'!$A$2:$A$200,0))),"")</f>
        <v/>
      </c>
      <c r="R755" s="5" t="n"/>
      <c r="S755" s="10">
        <f>IFERROR(IF(INDEX('Test catalog'!$L$2:$L$200,MATCH($AB755,'Test catalog'!$A$2:$A$200,0))="","",INDEX('Test catalog'!$L$2:$L$200,MATCH($AB755,'Test catalog'!$A$2:$A$200,0))),"")</f>
        <v/>
      </c>
      <c r="T755" s="10">
        <f>IFERROR(IF(INDEX('Test catalog'!$M$2:$M$200,MATCH($AB755,'Test catalog'!$A$2:$A$200,0))="","",INDEX('Test catalog'!$M$2:$M$200,MATCH($AB755,'Test catalog'!$A$2:$A$200,0))),"")</f>
        <v/>
      </c>
      <c r="U755" s="10">
        <f>IFERROR(IF(INDEX('Test catalog'!$N$2:$N$200,MATCH($AB755,'Test catalog'!$A$2:$A$200,0))="","",INDEX('Test catalog'!$N$2:$N$200,MATCH($AB755,'Test catalog'!$A$2:$A$200,0))),"")</f>
        <v/>
      </c>
      <c r="V755" s="15" t="n"/>
      <c r="W755" s="5" t="inlineStr">
        <is>
          <t>N</t>
        </is>
      </c>
      <c r="X755" s="5" t="n"/>
      <c r="Y755" s="5" t="n"/>
      <c r="Z755" s="5" t="n"/>
      <c r="AA755" s="10">
        <f>IFERROR(IF(INDEX('Test catalog'!$O$2:$O$200,MATCH($AB755,'Test catalog'!$A$2:$A$200,0))="","",INDEX('Test catalog'!$O$2:$O$200,MATCH($AB755,'Test catalog'!$A$2:$A$200,0))),"")</f>
        <v/>
      </c>
      <c r="AB755" s="10" t="inlineStr">
        <is>
          <t>CLAR</t>
        </is>
      </c>
      <c r="AC755" s="10" t="inlineStr">
        <is>
          <t>Mannitol · Specific Tests</t>
        </is>
      </c>
      <c r="AD755" s="10" t="n"/>
      <c r="AE755" s="10" t="n"/>
    </row>
    <row r="756">
      <c r="A756" s="10" t="inlineStr">
        <is>
          <t>Mannitol</t>
        </is>
      </c>
      <c r="B756" s="10" t="inlineStr">
        <is>
          <t>RM</t>
        </is>
      </c>
      <c r="C756" s="10" t="inlineStr">
        <is>
          <t>Filler / Diluent</t>
        </is>
      </c>
      <c r="D756" s="10" t="inlineStr">
        <is>
          <t>Loss on Drying</t>
        </is>
      </c>
      <c r="E756" s="10">
        <f>IF(A756="","",A756&amp;"|"&amp;D756)</f>
        <v/>
      </c>
      <c r="F756" s="5" t="inlineStr">
        <is>
          <t>Y</t>
        </is>
      </c>
      <c r="G756" s="5" t="inlineStr">
        <is>
          <t>Other / bench</t>
        </is>
      </c>
      <c r="H756" s="5" t="inlineStr">
        <is>
          <t>Low</t>
        </is>
      </c>
      <c r="I756" s="5" t="n">
        <v>1</v>
      </c>
      <c r="J756" s="5" t="n"/>
      <c r="K756" s="10">
        <f>IFERROR(IF(INDEX('Test catalog'!$F$2:$F$200,MATCH($AB756,'Test catalog'!$A$2:$A$200,0))="","",INDEX('Test catalog'!$F$2:$F$200,MATCH($AB756,'Test catalog'!$A$2:$A$200,0))),"")</f>
        <v/>
      </c>
      <c r="L756" s="10">
        <f>IFERROR(IF(INDEX('Test catalog'!$G$2:$G$200,MATCH($AB756,'Test catalog'!$A$2:$A$200,0))="","",INDEX('Test catalog'!$G$2:$G$200,MATCH($AB756,'Test catalog'!$A$2:$A$200,0))),"")</f>
        <v/>
      </c>
      <c r="M756" s="10">
        <f>IFERROR(IF(INDEX('Test catalog'!$H$2:$H$200,MATCH($AB756,'Test catalog'!$A$2:$A$200,0))="","",INDEX('Test catalog'!$H$2:$H$200,MATCH($AB756,'Test catalog'!$A$2:$A$200,0))),"")</f>
        <v/>
      </c>
      <c r="N756" s="10">
        <f>IFERROR(IF(INDEX('Test catalog'!$I$2:$I$200,MATCH($AB756,'Test catalog'!$A$2:$A$200,0))="","",INDEX('Test catalog'!$I$2:$I$200,MATCH($AB756,'Test catalog'!$A$2:$A$200,0))),"")</f>
        <v/>
      </c>
      <c r="O756" s="10">
        <f>IFERROR(IF(INDEX('Test catalog'!$J$2:$J$200,MATCH($AB756,'Test catalog'!$A$2:$A$200,0))="","",INDEX('Test catalog'!$J$2:$J$200,MATCH($AB756,'Test catalog'!$A$2:$A$200,0))),"")</f>
        <v/>
      </c>
      <c r="P756" s="14">
        <f>IF(N756="","",IF(OR(M756="",O756=""),N756,(M756+4*N756+O756)/6))</f>
        <v/>
      </c>
      <c r="Q756" s="10">
        <f>IFERROR(IF(INDEX('Test catalog'!$K$2:$K$200,MATCH($AB756,'Test catalog'!$A$2:$A$200,0))="","",INDEX('Test catalog'!$K$2:$K$200,MATCH($AB756,'Test catalog'!$A$2:$A$200,0))),"")</f>
        <v/>
      </c>
      <c r="R756" s="5" t="n"/>
      <c r="S756" s="10">
        <f>IFERROR(IF(INDEX('Test catalog'!$L$2:$L$200,MATCH($AB756,'Test catalog'!$A$2:$A$200,0))="","",INDEX('Test catalog'!$L$2:$L$200,MATCH($AB756,'Test catalog'!$A$2:$A$200,0))),"")</f>
        <v/>
      </c>
      <c r="T756" s="10">
        <f>IFERROR(IF(INDEX('Test catalog'!$M$2:$M$200,MATCH($AB756,'Test catalog'!$A$2:$A$200,0))="","",INDEX('Test catalog'!$M$2:$M$200,MATCH($AB756,'Test catalog'!$A$2:$A$200,0))),"")</f>
        <v/>
      </c>
      <c r="U756" s="10">
        <f>IFERROR(IF(INDEX('Test catalog'!$N$2:$N$200,MATCH($AB756,'Test catalog'!$A$2:$A$200,0))="","",INDEX('Test catalog'!$N$2:$N$200,MATCH($AB756,'Test catalog'!$A$2:$A$200,0))),"")</f>
        <v/>
      </c>
      <c r="V756" s="15" t="n"/>
      <c r="W756" s="5" t="inlineStr">
        <is>
          <t>N</t>
        </is>
      </c>
      <c r="X756" s="5" t="n"/>
      <c r="Y756" s="5" t="n"/>
      <c r="Z756" s="5" t="n"/>
      <c r="AA756" s="10">
        <f>IFERROR(IF(INDEX('Test catalog'!$O$2:$O$200,MATCH($AB756,'Test catalog'!$A$2:$A$200,0))="","",INDEX('Test catalog'!$O$2:$O$200,MATCH($AB756,'Test catalog'!$A$2:$A$200,0))),"")</f>
        <v/>
      </c>
      <c r="AB756" s="10" t="inlineStr">
        <is>
          <t>LOD</t>
        </is>
      </c>
      <c r="AC756" s="10" t="inlineStr">
        <is>
          <t>Mannitol · Specific Tests &lt;731&gt;</t>
        </is>
      </c>
      <c r="AD756" s="10" t="n"/>
      <c r="AE756" s="10" t="n"/>
    </row>
    <row r="757">
      <c r="A757" s="10" t="inlineStr">
        <is>
          <t>Mannitol</t>
        </is>
      </c>
      <c r="B757" s="10" t="inlineStr">
        <is>
          <t>RM</t>
        </is>
      </c>
      <c r="C757" s="10" t="inlineStr">
        <is>
          <t>Filler / Diluent</t>
        </is>
      </c>
      <c r="D757" s="10" t="inlineStr">
        <is>
          <t>Conductivity</t>
        </is>
      </c>
      <c r="E757" s="10">
        <f>IF(A757="","",A757&amp;"|"&amp;D757)</f>
        <v/>
      </c>
      <c r="F757" s="5" t="inlineStr">
        <is>
          <t>Y</t>
        </is>
      </c>
      <c r="G757" s="5" t="inlineStr">
        <is>
          <t>Other / bench</t>
        </is>
      </c>
      <c r="H757" s="5" t="inlineStr">
        <is>
          <t>Low</t>
        </is>
      </c>
      <c r="I757" s="5" t="n">
        <v>1</v>
      </c>
      <c r="J757" s="5" t="n"/>
      <c r="K757" s="10">
        <f>IFERROR(IF(INDEX('Test catalog'!$F$2:$F$200,MATCH($AB757,'Test catalog'!$A$2:$A$200,0))="","",INDEX('Test catalog'!$F$2:$F$200,MATCH($AB757,'Test catalog'!$A$2:$A$200,0))),"")</f>
        <v/>
      </c>
      <c r="L757" s="10">
        <f>IFERROR(IF(INDEX('Test catalog'!$G$2:$G$200,MATCH($AB757,'Test catalog'!$A$2:$A$200,0))="","",INDEX('Test catalog'!$G$2:$G$200,MATCH($AB757,'Test catalog'!$A$2:$A$200,0))),"")</f>
        <v/>
      </c>
      <c r="M757" s="10">
        <f>IFERROR(IF(INDEX('Test catalog'!$H$2:$H$200,MATCH($AB757,'Test catalog'!$A$2:$A$200,0))="","",INDEX('Test catalog'!$H$2:$H$200,MATCH($AB757,'Test catalog'!$A$2:$A$200,0))),"")</f>
        <v/>
      </c>
      <c r="N757" s="10">
        <f>IFERROR(IF(INDEX('Test catalog'!$I$2:$I$200,MATCH($AB757,'Test catalog'!$A$2:$A$200,0))="","",INDEX('Test catalog'!$I$2:$I$200,MATCH($AB757,'Test catalog'!$A$2:$A$200,0))),"")</f>
        <v/>
      </c>
      <c r="O757" s="10">
        <f>IFERROR(IF(INDEX('Test catalog'!$J$2:$J$200,MATCH($AB757,'Test catalog'!$A$2:$A$200,0))="","",INDEX('Test catalog'!$J$2:$J$200,MATCH($AB757,'Test catalog'!$A$2:$A$200,0))),"")</f>
        <v/>
      </c>
      <c r="P757" s="14">
        <f>IF(N757="","",IF(OR(M757="",O757=""),N757,(M757+4*N757+O757)/6))</f>
        <v/>
      </c>
      <c r="Q757" s="10">
        <f>IFERROR(IF(INDEX('Test catalog'!$K$2:$K$200,MATCH($AB757,'Test catalog'!$A$2:$A$200,0))="","",INDEX('Test catalog'!$K$2:$K$200,MATCH($AB757,'Test catalog'!$A$2:$A$200,0))),"")</f>
        <v/>
      </c>
      <c r="R757" s="5" t="n"/>
      <c r="S757" s="10">
        <f>IFERROR(IF(INDEX('Test catalog'!$L$2:$L$200,MATCH($AB757,'Test catalog'!$A$2:$A$200,0))="","",INDEX('Test catalog'!$L$2:$L$200,MATCH($AB757,'Test catalog'!$A$2:$A$200,0))),"")</f>
        <v/>
      </c>
      <c r="T757" s="10">
        <f>IFERROR(IF(INDEX('Test catalog'!$M$2:$M$200,MATCH($AB757,'Test catalog'!$A$2:$A$200,0))="","",INDEX('Test catalog'!$M$2:$M$200,MATCH($AB757,'Test catalog'!$A$2:$A$200,0))),"")</f>
        <v/>
      </c>
      <c r="U757" s="10">
        <f>IFERROR(IF(INDEX('Test catalog'!$N$2:$N$200,MATCH($AB757,'Test catalog'!$A$2:$A$200,0))="","",INDEX('Test catalog'!$N$2:$N$200,MATCH($AB757,'Test catalog'!$A$2:$A$200,0))),"")</f>
        <v/>
      </c>
      <c r="V757" s="15" t="n"/>
      <c r="W757" s="5" t="inlineStr">
        <is>
          <t>N</t>
        </is>
      </c>
      <c r="X757" s="5" t="n"/>
      <c r="Y757" s="5" t="n"/>
      <c r="Z757" s="5" t="n"/>
      <c r="AA757" s="10">
        <f>IFERROR(IF(INDEX('Test catalog'!$O$2:$O$200,MATCH($AB757,'Test catalog'!$A$2:$A$200,0))="","",INDEX('Test catalog'!$O$2:$O$200,MATCH($AB757,'Test catalog'!$A$2:$A$200,0))),"")</f>
        <v/>
      </c>
      <c r="AB757" s="10" t="inlineStr">
        <is>
          <t>COND</t>
        </is>
      </c>
      <c r="AC757" s="10" t="inlineStr">
        <is>
          <t>Mannitol · Specific Tests</t>
        </is>
      </c>
      <c r="AD757" s="10" t="n"/>
      <c r="AE757" s="10" t="n"/>
    </row>
    <row r="758">
      <c r="A758" s="10" t="inlineStr">
        <is>
          <t>Microcrystalline Cellulose PH 101</t>
        </is>
      </c>
      <c r="B758" s="10" t="inlineStr">
        <is>
          <t>RM</t>
        </is>
      </c>
      <c r="C758" s="10" t="inlineStr">
        <is>
          <t>Filler / Diluent</t>
        </is>
      </c>
      <c r="D758" s="10" t="inlineStr">
        <is>
          <t>Appearance / description and solubility</t>
        </is>
      </c>
      <c r="E758" s="10">
        <f>IF(A758="","",A758&amp;"|"&amp;D758)</f>
        <v/>
      </c>
      <c r="F758" s="5" t="inlineStr">
        <is>
          <t>Y</t>
        </is>
      </c>
      <c r="G758" s="5" t="inlineStr">
        <is>
          <t>Other / bench</t>
        </is>
      </c>
      <c r="H758" s="5" t="inlineStr">
        <is>
          <t>Low</t>
        </is>
      </c>
      <c r="I758" s="5" t="n">
        <v>1</v>
      </c>
      <c r="J758" s="5" t="n"/>
      <c r="K758" s="10">
        <f>IFERROR(IF(INDEX('Test catalog'!$F$2:$F$200,MATCH($AB758,'Test catalog'!$A$2:$A$200,0))="","",INDEX('Test catalog'!$F$2:$F$200,MATCH($AB758,'Test catalog'!$A$2:$A$200,0))),"")</f>
        <v/>
      </c>
      <c r="L758" s="10">
        <f>IFERROR(IF(INDEX('Test catalog'!$G$2:$G$200,MATCH($AB758,'Test catalog'!$A$2:$A$200,0))="","",INDEX('Test catalog'!$G$2:$G$200,MATCH($AB758,'Test catalog'!$A$2:$A$200,0))),"")</f>
        <v/>
      </c>
      <c r="M758" s="10">
        <f>IFERROR(IF(INDEX('Test catalog'!$H$2:$H$200,MATCH($AB758,'Test catalog'!$A$2:$A$200,0))="","",INDEX('Test catalog'!$H$2:$H$200,MATCH($AB758,'Test catalog'!$A$2:$A$200,0))),"")</f>
        <v/>
      </c>
      <c r="N758" s="10">
        <f>IFERROR(IF(INDEX('Test catalog'!$I$2:$I$200,MATCH($AB758,'Test catalog'!$A$2:$A$200,0))="","",INDEX('Test catalog'!$I$2:$I$200,MATCH($AB758,'Test catalog'!$A$2:$A$200,0))),"")</f>
        <v/>
      </c>
      <c r="O758" s="10">
        <f>IFERROR(IF(INDEX('Test catalog'!$J$2:$J$200,MATCH($AB758,'Test catalog'!$A$2:$A$200,0))="","",INDEX('Test catalog'!$J$2:$J$200,MATCH($AB758,'Test catalog'!$A$2:$A$200,0))),"")</f>
        <v/>
      </c>
      <c r="P758" s="14">
        <f>IF(N758="","",IF(OR(M758="",O758=""),N758,(M758+4*N758+O758)/6))</f>
        <v/>
      </c>
      <c r="Q758" s="10">
        <f>IFERROR(IF(INDEX('Test catalog'!$K$2:$K$200,MATCH($AB758,'Test catalog'!$A$2:$A$200,0))="","",INDEX('Test catalog'!$K$2:$K$200,MATCH($AB758,'Test catalog'!$A$2:$A$200,0))),"")</f>
        <v/>
      </c>
      <c r="R758" s="5" t="n"/>
      <c r="S758" s="10">
        <f>IFERROR(IF(INDEX('Test catalog'!$L$2:$L$200,MATCH($AB758,'Test catalog'!$A$2:$A$200,0))="","",INDEX('Test catalog'!$L$2:$L$200,MATCH($AB758,'Test catalog'!$A$2:$A$200,0))),"")</f>
        <v/>
      </c>
      <c r="T758" s="10">
        <f>IFERROR(IF(INDEX('Test catalog'!$M$2:$M$200,MATCH($AB758,'Test catalog'!$A$2:$A$200,0))="","",INDEX('Test catalog'!$M$2:$M$200,MATCH($AB758,'Test catalog'!$A$2:$A$200,0))),"")</f>
        <v/>
      </c>
      <c r="U758" s="10">
        <f>IFERROR(IF(INDEX('Test catalog'!$N$2:$N$200,MATCH($AB758,'Test catalog'!$A$2:$A$200,0))="","",INDEX('Test catalog'!$N$2:$N$200,MATCH($AB758,'Test catalog'!$A$2:$A$200,0))),"")</f>
        <v/>
      </c>
      <c r="V758" s="15" t="n"/>
      <c r="W758" s="5" t="inlineStr">
        <is>
          <t>N</t>
        </is>
      </c>
      <c r="X758" s="5" t="n"/>
      <c r="Y758" s="5" t="n"/>
      <c r="Z758" s="5" t="n"/>
      <c r="AA758" s="10">
        <f>IFERROR(IF(INDEX('Test catalog'!$O$2:$O$200,MATCH($AB758,'Test catalog'!$A$2:$A$200,0))="","",INDEX('Test catalog'!$O$2:$O$200,MATCH($AB758,'Test catalog'!$A$2:$A$200,0))),"")</f>
        <v/>
      </c>
      <c r="AB758" s="10" t="inlineStr">
        <is>
          <t>APPEAR</t>
        </is>
      </c>
      <c r="AC758" s="10" t="inlineStr">
        <is>
          <t>Lab practice (not a USP test)</t>
        </is>
      </c>
      <c r="AD758" s="10" t="n"/>
      <c r="AE758" s="10" t="n"/>
    </row>
    <row r="759">
      <c r="A759" s="10" t="inlineStr">
        <is>
          <t>Microcrystalline Cellulose PH 101</t>
        </is>
      </c>
      <c r="B759" s="10" t="inlineStr">
        <is>
          <t>RM</t>
        </is>
      </c>
      <c r="C759" s="10" t="inlineStr">
        <is>
          <t>Filler / Diluent</t>
        </is>
      </c>
      <c r="D759" s="10" t="inlineStr">
        <is>
          <t>ID B - chemical reaction</t>
        </is>
      </c>
      <c r="E759" s="10">
        <f>IF(A759="","",A759&amp;"|"&amp;D759)</f>
        <v/>
      </c>
      <c r="F759" s="5" t="inlineStr">
        <is>
          <t>Y</t>
        </is>
      </c>
      <c r="G759" s="5" t="inlineStr">
        <is>
          <t>Other / bench</t>
        </is>
      </c>
      <c r="H759" s="5" t="inlineStr">
        <is>
          <t>Low</t>
        </is>
      </c>
      <c r="I759" s="5" t="n">
        <v>1</v>
      </c>
      <c r="J759" s="5" t="n"/>
      <c r="K759" s="10">
        <f>IFERROR(IF(INDEX('Test catalog'!$F$2:$F$200,MATCH($AB759,'Test catalog'!$A$2:$A$200,0))="","",INDEX('Test catalog'!$F$2:$F$200,MATCH($AB759,'Test catalog'!$A$2:$A$200,0))),"")</f>
        <v/>
      </c>
      <c r="L759" s="10">
        <f>IFERROR(IF(INDEX('Test catalog'!$G$2:$G$200,MATCH($AB759,'Test catalog'!$A$2:$A$200,0))="","",INDEX('Test catalog'!$G$2:$G$200,MATCH($AB759,'Test catalog'!$A$2:$A$200,0))),"")</f>
        <v/>
      </c>
      <c r="M759" s="10">
        <f>IFERROR(IF(INDEX('Test catalog'!$H$2:$H$200,MATCH($AB759,'Test catalog'!$A$2:$A$200,0))="","",INDEX('Test catalog'!$H$2:$H$200,MATCH($AB759,'Test catalog'!$A$2:$A$200,0))),"")</f>
        <v/>
      </c>
      <c r="N759" s="10">
        <f>IFERROR(IF(INDEX('Test catalog'!$I$2:$I$200,MATCH($AB759,'Test catalog'!$A$2:$A$200,0))="","",INDEX('Test catalog'!$I$2:$I$200,MATCH($AB759,'Test catalog'!$A$2:$A$200,0))),"")</f>
        <v/>
      </c>
      <c r="O759" s="10">
        <f>IFERROR(IF(INDEX('Test catalog'!$J$2:$J$200,MATCH($AB759,'Test catalog'!$A$2:$A$200,0))="","",INDEX('Test catalog'!$J$2:$J$200,MATCH($AB759,'Test catalog'!$A$2:$A$200,0))),"")</f>
        <v/>
      </c>
      <c r="P759" s="14">
        <f>IF(N759="","",IF(OR(M759="",O759=""),N759,(M759+4*N759+O759)/6))</f>
        <v/>
      </c>
      <c r="Q759" s="10">
        <f>IFERROR(IF(INDEX('Test catalog'!$K$2:$K$200,MATCH($AB759,'Test catalog'!$A$2:$A$200,0))="","",INDEX('Test catalog'!$K$2:$K$200,MATCH($AB759,'Test catalog'!$A$2:$A$200,0))),"")</f>
        <v/>
      </c>
      <c r="R759" s="5" t="n"/>
      <c r="S759" s="10">
        <f>IFERROR(IF(INDEX('Test catalog'!$L$2:$L$200,MATCH($AB759,'Test catalog'!$A$2:$A$200,0))="","",INDEX('Test catalog'!$L$2:$L$200,MATCH($AB759,'Test catalog'!$A$2:$A$200,0))),"")</f>
        <v/>
      </c>
      <c r="T759" s="10">
        <f>IFERROR(IF(INDEX('Test catalog'!$M$2:$M$200,MATCH($AB759,'Test catalog'!$A$2:$A$200,0))="","",INDEX('Test catalog'!$M$2:$M$200,MATCH($AB759,'Test catalog'!$A$2:$A$200,0))),"")</f>
        <v/>
      </c>
      <c r="U759" s="10">
        <f>IFERROR(IF(INDEX('Test catalog'!$N$2:$N$200,MATCH($AB759,'Test catalog'!$A$2:$A$200,0))="","",INDEX('Test catalog'!$N$2:$N$200,MATCH($AB759,'Test catalog'!$A$2:$A$200,0))),"")</f>
        <v/>
      </c>
      <c r="V759" s="15" t="n"/>
      <c r="W759" s="5" t="inlineStr">
        <is>
          <t>N</t>
        </is>
      </c>
      <c r="X759" s="5" t="n"/>
      <c r="Y759" s="5" t="n"/>
      <c r="Z759" s="5" t="n"/>
      <c r="AA759" s="10">
        <f>IFERROR(IF(INDEX('Test catalog'!$O$2:$O$200,MATCH($AB759,'Test catalog'!$A$2:$A$200,0))="","",INDEX('Test catalog'!$O$2:$O$200,MATCH($AB759,'Test catalog'!$A$2:$A$200,0))),"")</f>
        <v/>
      </c>
      <c r="AB759" s="10" t="inlineStr">
        <is>
          <t>ID_CHEM</t>
        </is>
      </c>
      <c r="AC759" s="10" t="inlineStr">
        <is>
          <t>Microcrystalline Cellulose · Identification</t>
        </is>
      </c>
      <c r="AD759" s="10" t="n"/>
      <c r="AE759" s="10" t="n"/>
    </row>
    <row r="760">
      <c r="A760" s="10" t="inlineStr">
        <is>
          <t>Microcrystalline Cellulose PH 101</t>
        </is>
      </c>
      <c r="B760" s="10" t="inlineStr">
        <is>
          <t>RM</t>
        </is>
      </c>
      <c r="C760" s="10" t="inlineStr">
        <is>
          <t>Filler / Diluent</t>
        </is>
      </c>
      <c r="D760" s="10" t="inlineStr">
        <is>
          <t>ID C - chemical reaction</t>
        </is>
      </c>
      <c r="E760" s="10">
        <f>IF(A760="","",A760&amp;"|"&amp;D760)</f>
        <v/>
      </c>
      <c r="F760" s="5" t="inlineStr">
        <is>
          <t>Y</t>
        </is>
      </c>
      <c r="G760" s="5" t="inlineStr">
        <is>
          <t>Other / bench</t>
        </is>
      </c>
      <c r="H760" s="5" t="inlineStr">
        <is>
          <t>Low</t>
        </is>
      </c>
      <c r="I760" s="5" t="n">
        <v>1</v>
      </c>
      <c r="J760" s="5" t="n"/>
      <c r="K760" s="10">
        <f>IFERROR(IF(INDEX('Test catalog'!$F$2:$F$200,MATCH($AB760,'Test catalog'!$A$2:$A$200,0))="","",INDEX('Test catalog'!$F$2:$F$200,MATCH($AB760,'Test catalog'!$A$2:$A$200,0))),"")</f>
        <v/>
      </c>
      <c r="L760" s="10">
        <f>IFERROR(IF(INDEX('Test catalog'!$G$2:$G$200,MATCH($AB760,'Test catalog'!$A$2:$A$200,0))="","",INDEX('Test catalog'!$G$2:$G$200,MATCH($AB760,'Test catalog'!$A$2:$A$200,0))),"")</f>
        <v/>
      </c>
      <c r="M760" s="10">
        <f>IFERROR(IF(INDEX('Test catalog'!$H$2:$H$200,MATCH($AB760,'Test catalog'!$A$2:$A$200,0))="","",INDEX('Test catalog'!$H$2:$H$200,MATCH($AB760,'Test catalog'!$A$2:$A$200,0))),"")</f>
        <v/>
      </c>
      <c r="N760" s="10">
        <f>IFERROR(IF(INDEX('Test catalog'!$I$2:$I$200,MATCH($AB760,'Test catalog'!$A$2:$A$200,0))="","",INDEX('Test catalog'!$I$2:$I$200,MATCH($AB760,'Test catalog'!$A$2:$A$200,0))),"")</f>
        <v/>
      </c>
      <c r="O760" s="10">
        <f>IFERROR(IF(INDEX('Test catalog'!$J$2:$J$200,MATCH($AB760,'Test catalog'!$A$2:$A$200,0))="","",INDEX('Test catalog'!$J$2:$J$200,MATCH($AB760,'Test catalog'!$A$2:$A$200,0))),"")</f>
        <v/>
      </c>
      <c r="P760" s="14">
        <f>IF(N760="","",IF(OR(M760="",O760=""),N760,(M760+4*N760+O760)/6))</f>
        <v/>
      </c>
      <c r="Q760" s="10">
        <f>IFERROR(IF(INDEX('Test catalog'!$K$2:$K$200,MATCH($AB760,'Test catalog'!$A$2:$A$200,0))="","",INDEX('Test catalog'!$K$2:$K$200,MATCH($AB760,'Test catalog'!$A$2:$A$200,0))),"")</f>
        <v/>
      </c>
      <c r="R760" s="5" t="n"/>
      <c r="S760" s="10">
        <f>IFERROR(IF(INDEX('Test catalog'!$L$2:$L$200,MATCH($AB760,'Test catalog'!$A$2:$A$200,0))="","",INDEX('Test catalog'!$L$2:$L$200,MATCH($AB760,'Test catalog'!$A$2:$A$200,0))),"")</f>
        <v/>
      </c>
      <c r="T760" s="10">
        <f>IFERROR(IF(INDEX('Test catalog'!$M$2:$M$200,MATCH($AB760,'Test catalog'!$A$2:$A$200,0))="","",INDEX('Test catalog'!$M$2:$M$200,MATCH($AB760,'Test catalog'!$A$2:$A$200,0))),"")</f>
        <v/>
      </c>
      <c r="U760" s="10">
        <f>IFERROR(IF(INDEX('Test catalog'!$N$2:$N$200,MATCH($AB760,'Test catalog'!$A$2:$A$200,0))="","",INDEX('Test catalog'!$N$2:$N$200,MATCH($AB760,'Test catalog'!$A$2:$A$200,0))),"")</f>
        <v/>
      </c>
      <c r="V760" s="15" t="n"/>
      <c r="W760" s="5" t="inlineStr">
        <is>
          <t>N</t>
        </is>
      </c>
      <c r="X760" s="5" t="n"/>
      <c r="Y760" s="5" t="n"/>
      <c r="Z760" s="5" t="n"/>
      <c r="AA760" s="10">
        <f>IFERROR(IF(INDEX('Test catalog'!$O$2:$O$200,MATCH($AB760,'Test catalog'!$A$2:$A$200,0))="","",INDEX('Test catalog'!$O$2:$O$200,MATCH($AB760,'Test catalog'!$A$2:$A$200,0))),"")</f>
        <v/>
      </c>
      <c r="AB760" s="10" t="inlineStr">
        <is>
          <t>ID_CHEM</t>
        </is>
      </c>
      <c r="AC760" s="10" t="inlineStr">
        <is>
          <t>Microcrystalline Cellulose · Identification</t>
        </is>
      </c>
      <c r="AD760" s="10" t="n"/>
      <c r="AE760" s="10" t="n"/>
    </row>
    <row r="761">
      <c r="A761" s="10" t="inlineStr">
        <is>
          <t>Microcrystalline Cellulose PH 101</t>
        </is>
      </c>
      <c r="B761" s="10" t="inlineStr">
        <is>
          <t>RM</t>
        </is>
      </c>
      <c r="C761" s="10" t="inlineStr">
        <is>
          <t>Filler / Diluent</t>
        </is>
      </c>
      <c r="D761" s="10" t="inlineStr">
        <is>
          <t>Residue on Ignition</t>
        </is>
      </c>
      <c r="E761" s="10">
        <f>IF(A761="","",A761&amp;"|"&amp;D761)</f>
        <v/>
      </c>
      <c r="F761" s="5" t="inlineStr">
        <is>
          <t>Y</t>
        </is>
      </c>
      <c r="G761" s="5" t="inlineStr">
        <is>
          <t>Other / bench</t>
        </is>
      </c>
      <c r="H761" s="5" t="inlineStr">
        <is>
          <t>Low</t>
        </is>
      </c>
      <c r="I761" s="5" t="n">
        <v>1</v>
      </c>
      <c r="J761" s="5" t="n"/>
      <c r="K761" s="10">
        <f>IFERROR(IF(INDEX('Test catalog'!$F$2:$F$200,MATCH($AB761,'Test catalog'!$A$2:$A$200,0))="","",INDEX('Test catalog'!$F$2:$F$200,MATCH($AB761,'Test catalog'!$A$2:$A$200,0))),"")</f>
        <v/>
      </c>
      <c r="L761" s="10">
        <f>IFERROR(IF(INDEX('Test catalog'!$G$2:$G$200,MATCH($AB761,'Test catalog'!$A$2:$A$200,0))="","",INDEX('Test catalog'!$G$2:$G$200,MATCH($AB761,'Test catalog'!$A$2:$A$200,0))),"")</f>
        <v/>
      </c>
      <c r="M761" s="10">
        <f>IFERROR(IF(INDEX('Test catalog'!$H$2:$H$200,MATCH($AB761,'Test catalog'!$A$2:$A$200,0))="","",INDEX('Test catalog'!$H$2:$H$200,MATCH($AB761,'Test catalog'!$A$2:$A$200,0))),"")</f>
        <v/>
      </c>
      <c r="N761" s="10">
        <f>IFERROR(IF(INDEX('Test catalog'!$I$2:$I$200,MATCH($AB761,'Test catalog'!$A$2:$A$200,0))="","",INDEX('Test catalog'!$I$2:$I$200,MATCH($AB761,'Test catalog'!$A$2:$A$200,0))),"")</f>
        <v/>
      </c>
      <c r="O761" s="10">
        <f>IFERROR(IF(INDEX('Test catalog'!$J$2:$J$200,MATCH($AB761,'Test catalog'!$A$2:$A$200,0))="","",INDEX('Test catalog'!$J$2:$J$200,MATCH($AB761,'Test catalog'!$A$2:$A$200,0))),"")</f>
        <v/>
      </c>
      <c r="P761" s="14">
        <f>IF(N761="","",IF(OR(M761="",O761=""),N761,(M761+4*N761+O761)/6))</f>
        <v/>
      </c>
      <c r="Q761" s="10">
        <f>IFERROR(IF(INDEX('Test catalog'!$K$2:$K$200,MATCH($AB761,'Test catalog'!$A$2:$A$200,0))="","",INDEX('Test catalog'!$K$2:$K$200,MATCH($AB761,'Test catalog'!$A$2:$A$200,0))),"")</f>
        <v/>
      </c>
      <c r="R761" s="5" t="n"/>
      <c r="S761" s="10">
        <f>IFERROR(IF(INDEX('Test catalog'!$L$2:$L$200,MATCH($AB761,'Test catalog'!$A$2:$A$200,0))="","",INDEX('Test catalog'!$L$2:$L$200,MATCH($AB761,'Test catalog'!$A$2:$A$200,0))),"")</f>
        <v/>
      </c>
      <c r="T761" s="10">
        <f>IFERROR(IF(INDEX('Test catalog'!$M$2:$M$200,MATCH($AB761,'Test catalog'!$A$2:$A$200,0))="","",INDEX('Test catalog'!$M$2:$M$200,MATCH($AB761,'Test catalog'!$A$2:$A$200,0))),"")</f>
        <v/>
      </c>
      <c r="U761" s="10">
        <f>IFERROR(IF(INDEX('Test catalog'!$N$2:$N$200,MATCH($AB761,'Test catalog'!$A$2:$A$200,0))="","",INDEX('Test catalog'!$N$2:$N$200,MATCH($AB761,'Test catalog'!$A$2:$A$200,0))),"")</f>
        <v/>
      </c>
      <c r="V761" s="15" t="n"/>
      <c r="W761" s="5" t="inlineStr">
        <is>
          <t>N</t>
        </is>
      </c>
      <c r="X761" s="5" t="n"/>
      <c r="Y761" s="5" t="n"/>
      <c r="Z761" s="5" t="n"/>
      <c r="AA761" s="10">
        <f>IFERROR(IF(INDEX('Test catalog'!$O$2:$O$200,MATCH($AB761,'Test catalog'!$A$2:$A$200,0))="","",INDEX('Test catalog'!$O$2:$O$200,MATCH($AB761,'Test catalog'!$A$2:$A$200,0))),"")</f>
        <v/>
      </c>
      <c r="AB761" s="10" t="inlineStr">
        <is>
          <t>ROI</t>
        </is>
      </c>
      <c r="AC761" s="10" t="inlineStr">
        <is>
          <t>Microcrystalline Cellulose · Impurities &lt;281&gt;</t>
        </is>
      </c>
      <c r="AD761" s="10" t="n"/>
      <c r="AE761" s="10" t="n"/>
    </row>
    <row r="762">
      <c r="A762" s="10" t="inlineStr">
        <is>
          <t>Microcrystalline Cellulose PH 101</t>
        </is>
      </c>
      <c r="B762" s="10" t="inlineStr">
        <is>
          <t>RM</t>
        </is>
      </c>
      <c r="C762" s="10" t="inlineStr">
        <is>
          <t>Filler / Diluent</t>
        </is>
      </c>
      <c r="D762" s="10" t="inlineStr">
        <is>
          <t>Conductivity</t>
        </is>
      </c>
      <c r="E762" s="10">
        <f>IF(A762="","",A762&amp;"|"&amp;D762)</f>
        <v/>
      </c>
      <c r="F762" s="5" t="inlineStr">
        <is>
          <t>Y</t>
        </is>
      </c>
      <c r="G762" s="5" t="inlineStr">
        <is>
          <t>Other / bench</t>
        </is>
      </c>
      <c r="H762" s="5" t="inlineStr">
        <is>
          <t>Low</t>
        </is>
      </c>
      <c r="I762" s="5" t="n">
        <v>1</v>
      </c>
      <c r="J762" s="5" t="n"/>
      <c r="K762" s="10">
        <f>IFERROR(IF(INDEX('Test catalog'!$F$2:$F$200,MATCH($AB762,'Test catalog'!$A$2:$A$200,0))="","",INDEX('Test catalog'!$F$2:$F$200,MATCH($AB762,'Test catalog'!$A$2:$A$200,0))),"")</f>
        <v/>
      </c>
      <c r="L762" s="10">
        <f>IFERROR(IF(INDEX('Test catalog'!$G$2:$G$200,MATCH($AB762,'Test catalog'!$A$2:$A$200,0))="","",INDEX('Test catalog'!$G$2:$G$200,MATCH($AB762,'Test catalog'!$A$2:$A$200,0))),"")</f>
        <v/>
      </c>
      <c r="M762" s="10">
        <f>IFERROR(IF(INDEX('Test catalog'!$H$2:$H$200,MATCH($AB762,'Test catalog'!$A$2:$A$200,0))="","",INDEX('Test catalog'!$H$2:$H$200,MATCH($AB762,'Test catalog'!$A$2:$A$200,0))),"")</f>
        <v/>
      </c>
      <c r="N762" s="10">
        <f>IFERROR(IF(INDEX('Test catalog'!$I$2:$I$200,MATCH($AB762,'Test catalog'!$A$2:$A$200,0))="","",INDEX('Test catalog'!$I$2:$I$200,MATCH($AB762,'Test catalog'!$A$2:$A$200,0))),"")</f>
        <v/>
      </c>
      <c r="O762" s="10">
        <f>IFERROR(IF(INDEX('Test catalog'!$J$2:$J$200,MATCH($AB762,'Test catalog'!$A$2:$A$200,0))="","",INDEX('Test catalog'!$J$2:$J$200,MATCH($AB762,'Test catalog'!$A$2:$A$200,0))),"")</f>
        <v/>
      </c>
      <c r="P762" s="14">
        <f>IF(N762="","",IF(OR(M762="",O762=""),N762,(M762+4*N762+O762)/6))</f>
        <v/>
      </c>
      <c r="Q762" s="10">
        <f>IFERROR(IF(INDEX('Test catalog'!$K$2:$K$200,MATCH($AB762,'Test catalog'!$A$2:$A$200,0))="","",INDEX('Test catalog'!$K$2:$K$200,MATCH($AB762,'Test catalog'!$A$2:$A$200,0))),"")</f>
        <v/>
      </c>
      <c r="R762" s="5" t="n"/>
      <c r="S762" s="10">
        <f>IFERROR(IF(INDEX('Test catalog'!$L$2:$L$200,MATCH($AB762,'Test catalog'!$A$2:$A$200,0))="","",INDEX('Test catalog'!$L$2:$L$200,MATCH($AB762,'Test catalog'!$A$2:$A$200,0))),"")</f>
        <v/>
      </c>
      <c r="T762" s="10">
        <f>IFERROR(IF(INDEX('Test catalog'!$M$2:$M$200,MATCH($AB762,'Test catalog'!$A$2:$A$200,0))="","",INDEX('Test catalog'!$M$2:$M$200,MATCH($AB762,'Test catalog'!$A$2:$A$200,0))),"")</f>
        <v/>
      </c>
      <c r="U762" s="10">
        <f>IFERROR(IF(INDEX('Test catalog'!$N$2:$N$200,MATCH($AB762,'Test catalog'!$A$2:$A$200,0))="","",INDEX('Test catalog'!$N$2:$N$200,MATCH($AB762,'Test catalog'!$A$2:$A$200,0))),"")</f>
        <v/>
      </c>
      <c r="V762" s="15" t="n"/>
      <c r="W762" s="5" t="inlineStr">
        <is>
          <t>N</t>
        </is>
      </c>
      <c r="X762" s="5" t="n"/>
      <c r="Y762" s="5" t="n"/>
      <c r="Z762" s="5" t="n"/>
      <c r="AA762" s="10">
        <f>IFERROR(IF(INDEX('Test catalog'!$O$2:$O$200,MATCH($AB762,'Test catalog'!$A$2:$A$200,0))="","",INDEX('Test catalog'!$O$2:$O$200,MATCH($AB762,'Test catalog'!$A$2:$A$200,0))),"")</f>
        <v/>
      </c>
      <c r="AB762" s="10" t="inlineStr">
        <is>
          <t>COND</t>
        </is>
      </c>
      <c r="AC762" s="10" t="inlineStr">
        <is>
          <t>Microcrystalline Cellulose · Specific Tests</t>
        </is>
      </c>
      <c r="AD762" s="10" t="n"/>
      <c r="AE762" s="10" t="n"/>
    </row>
    <row r="763">
      <c r="A763" s="10" t="inlineStr">
        <is>
          <t>Microcrystalline Cellulose PH 101</t>
        </is>
      </c>
      <c r="B763" s="10" t="inlineStr">
        <is>
          <t>RM</t>
        </is>
      </c>
      <c r="C763" s="10" t="inlineStr">
        <is>
          <t>Filler / Diluent</t>
        </is>
      </c>
      <c r="D763" s="10" t="inlineStr">
        <is>
          <t>pH</t>
        </is>
      </c>
      <c r="E763" s="10">
        <f>IF(A763="","",A763&amp;"|"&amp;D763)</f>
        <v/>
      </c>
      <c r="F763" s="5" t="inlineStr">
        <is>
          <t>Y</t>
        </is>
      </c>
      <c r="G763" s="5" t="inlineStr">
        <is>
          <t>Other / bench</t>
        </is>
      </c>
      <c r="H763" s="5" t="inlineStr">
        <is>
          <t>Low</t>
        </is>
      </c>
      <c r="I763" s="5" t="n">
        <v>1</v>
      </c>
      <c r="J763" s="5" t="n"/>
      <c r="K763" s="10">
        <f>IFERROR(IF(INDEX('Test catalog'!$F$2:$F$200,MATCH($AB763,'Test catalog'!$A$2:$A$200,0))="","",INDEX('Test catalog'!$F$2:$F$200,MATCH($AB763,'Test catalog'!$A$2:$A$200,0))),"")</f>
        <v/>
      </c>
      <c r="L763" s="10">
        <f>IFERROR(IF(INDEX('Test catalog'!$G$2:$G$200,MATCH($AB763,'Test catalog'!$A$2:$A$200,0))="","",INDEX('Test catalog'!$G$2:$G$200,MATCH($AB763,'Test catalog'!$A$2:$A$200,0))),"")</f>
        <v/>
      </c>
      <c r="M763" s="10">
        <f>IFERROR(IF(INDEX('Test catalog'!$H$2:$H$200,MATCH($AB763,'Test catalog'!$A$2:$A$200,0))="","",INDEX('Test catalog'!$H$2:$H$200,MATCH($AB763,'Test catalog'!$A$2:$A$200,0))),"")</f>
        <v/>
      </c>
      <c r="N763" s="10">
        <f>IFERROR(IF(INDEX('Test catalog'!$I$2:$I$200,MATCH($AB763,'Test catalog'!$A$2:$A$200,0))="","",INDEX('Test catalog'!$I$2:$I$200,MATCH($AB763,'Test catalog'!$A$2:$A$200,0))),"")</f>
        <v/>
      </c>
      <c r="O763" s="10">
        <f>IFERROR(IF(INDEX('Test catalog'!$J$2:$J$200,MATCH($AB763,'Test catalog'!$A$2:$A$200,0))="","",INDEX('Test catalog'!$J$2:$J$200,MATCH($AB763,'Test catalog'!$A$2:$A$200,0))),"")</f>
        <v/>
      </c>
      <c r="P763" s="14">
        <f>IF(N763="","",IF(OR(M763="",O763=""),N763,(M763+4*N763+O763)/6))</f>
        <v/>
      </c>
      <c r="Q763" s="10">
        <f>IFERROR(IF(INDEX('Test catalog'!$K$2:$K$200,MATCH($AB763,'Test catalog'!$A$2:$A$200,0))="","",INDEX('Test catalog'!$K$2:$K$200,MATCH($AB763,'Test catalog'!$A$2:$A$200,0))),"")</f>
        <v/>
      </c>
      <c r="R763" s="5" t="n"/>
      <c r="S763" s="10">
        <f>IFERROR(IF(INDEX('Test catalog'!$L$2:$L$200,MATCH($AB763,'Test catalog'!$A$2:$A$200,0))="","",INDEX('Test catalog'!$L$2:$L$200,MATCH($AB763,'Test catalog'!$A$2:$A$200,0))),"")</f>
        <v/>
      </c>
      <c r="T763" s="10">
        <f>IFERROR(IF(INDEX('Test catalog'!$M$2:$M$200,MATCH($AB763,'Test catalog'!$A$2:$A$200,0))="","",INDEX('Test catalog'!$M$2:$M$200,MATCH($AB763,'Test catalog'!$A$2:$A$200,0))),"")</f>
        <v/>
      </c>
      <c r="U763" s="10">
        <f>IFERROR(IF(INDEX('Test catalog'!$N$2:$N$200,MATCH($AB763,'Test catalog'!$A$2:$A$200,0))="","",INDEX('Test catalog'!$N$2:$N$200,MATCH($AB763,'Test catalog'!$A$2:$A$200,0))),"")</f>
        <v/>
      </c>
      <c r="V763" s="15" t="n"/>
      <c r="W763" s="5" t="inlineStr">
        <is>
          <t>N</t>
        </is>
      </c>
      <c r="X763" s="5" t="n"/>
      <c r="Y763" s="5" t="n"/>
      <c r="Z763" s="5" t="n"/>
      <c r="AA763" s="10">
        <f>IFERROR(IF(INDEX('Test catalog'!$O$2:$O$200,MATCH($AB763,'Test catalog'!$A$2:$A$200,0))="","",INDEX('Test catalog'!$O$2:$O$200,MATCH($AB763,'Test catalog'!$A$2:$A$200,0))),"")</f>
        <v/>
      </c>
      <c r="AB763" s="10" t="inlineStr">
        <is>
          <t>PH</t>
        </is>
      </c>
      <c r="AC763" s="10" t="inlineStr">
        <is>
          <t>Microcrystalline Cellulose · Specific Tests &lt;791&gt;</t>
        </is>
      </c>
      <c r="AD763" s="10" t="n"/>
      <c r="AE763" s="10" t="n"/>
    </row>
    <row r="764">
      <c r="A764" s="10" t="inlineStr">
        <is>
          <t>Microcrystalline Cellulose PH 101</t>
        </is>
      </c>
      <c r="B764" s="10" t="inlineStr">
        <is>
          <t>RM</t>
        </is>
      </c>
      <c r="C764" s="10" t="inlineStr">
        <is>
          <t>Filler / Diluent</t>
        </is>
      </c>
      <c r="D764" s="10" t="inlineStr">
        <is>
          <t>Loss on Drying</t>
        </is>
      </c>
      <c r="E764" s="10">
        <f>IF(A764="","",A764&amp;"|"&amp;D764)</f>
        <v/>
      </c>
      <c r="F764" s="5" t="inlineStr">
        <is>
          <t>Y</t>
        </is>
      </c>
      <c r="G764" s="5" t="inlineStr">
        <is>
          <t>Other / bench</t>
        </is>
      </c>
      <c r="H764" s="5" t="inlineStr">
        <is>
          <t>Low</t>
        </is>
      </c>
      <c r="I764" s="5" t="n">
        <v>1</v>
      </c>
      <c r="J764" s="5" t="n"/>
      <c r="K764" s="10">
        <f>IFERROR(IF(INDEX('Test catalog'!$F$2:$F$200,MATCH($AB764,'Test catalog'!$A$2:$A$200,0))="","",INDEX('Test catalog'!$F$2:$F$200,MATCH($AB764,'Test catalog'!$A$2:$A$200,0))),"")</f>
        <v/>
      </c>
      <c r="L764" s="10">
        <f>IFERROR(IF(INDEX('Test catalog'!$G$2:$G$200,MATCH($AB764,'Test catalog'!$A$2:$A$200,0))="","",INDEX('Test catalog'!$G$2:$G$200,MATCH($AB764,'Test catalog'!$A$2:$A$200,0))),"")</f>
        <v/>
      </c>
      <c r="M764" s="10">
        <f>IFERROR(IF(INDEX('Test catalog'!$H$2:$H$200,MATCH($AB764,'Test catalog'!$A$2:$A$200,0))="","",INDEX('Test catalog'!$H$2:$H$200,MATCH($AB764,'Test catalog'!$A$2:$A$200,0))),"")</f>
        <v/>
      </c>
      <c r="N764" s="10">
        <f>IFERROR(IF(INDEX('Test catalog'!$I$2:$I$200,MATCH($AB764,'Test catalog'!$A$2:$A$200,0))="","",INDEX('Test catalog'!$I$2:$I$200,MATCH($AB764,'Test catalog'!$A$2:$A$200,0))),"")</f>
        <v/>
      </c>
      <c r="O764" s="10">
        <f>IFERROR(IF(INDEX('Test catalog'!$J$2:$J$200,MATCH($AB764,'Test catalog'!$A$2:$A$200,0))="","",INDEX('Test catalog'!$J$2:$J$200,MATCH($AB764,'Test catalog'!$A$2:$A$200,0))),"")</f>
        <v/>
      </c>
      <c r="P764" s="14">
        <f>IF(N764="","",IF(OR(M764="",O764=""),N764,(M764+4*N764+O764)/6))</f>
        <v/>
      </c>
      <c r="Q764" s="10">
        <f>IFERROR(IF(INDEX('Test catalog'!$K$2:$K$200,MATCH($AB764,'Test catalog'!$A$2:$A$200,0))="","",INDEX('Test catalog'!$K$2:$K$200,MATCH($AB764,'Test catalog'!$A$2:$A$200,0))),"")</f>
        <v/>
      </c>
      <c r="R764" s="5" t="n"/>
      <c r="S764" s="10">
        <f>IFERROR(IF(INDEX('Test catalog'!$L$2:$L$200,MATCH($AB764,'Test catalog'!$A$2:$A$200,0))="","",INDEX('Test catalog'!$L$2:$L$200,MATCH($AB764,'Test catalog'!$A$2:$A$200,0))),"")</f>
        <v/>
      </c>
      <c r="T764" s="10">
        <f>IFERROR(IF(INDEX('Test catalog'!$M$2:$M$200,MATCH($AB764,'Test catalog'!$A$2:$A$200,0))="","",INDEX('Test catalog'!$M$2:$M$200,MATCH($AB764,'Test catalog'!$A$2:$A$200,0))),"")</f>
        <v/>
      </c>
      <c r="U764" s="10">
        <f>IFERROR(IF(INDEX('Test catalog'!$N$2:$N$200,MATCH($AB764,'Test catalog'!$A$2:$A$200,0))="","",INDEX('Test catalog'!$N$2:$N$200,MATCH($AB764,'Test catalog'!$A$2:$A$200,0))),"")</f>
        <v/>
      </c>
      <c r="V764" s="15" t="n"/>
      <c r="W764" s="5" t="inlineStr">
        <is>
          <t>N</t>
        </is>
      </c>
      <c r="X764" s="5" t="n"/>
      <c r="Y764" s="5" t="n"/>
      <c r="Z764" s="5" t="n"/>
      <c r="AA764" s="10">
        <f>IFERROR(IF(INDEX('Test catalog'!$O$2:$O$200,MATCH($AB764,'Test catalog'!$A$2:$A$200,0))="","",INDEX('Test catalog'!$O$2:$O$200,MATCH($AB764,'Test catalog'!$A$2:$A$200,0))),"")</f>
        <v/>
      </c>
      <c r="AB764" s="10" t="inlineStr">
        <is>
          <t>LOD</t>
        </is>
      </c>
      <c r="AC764" s="10" t="inlineStr">
        <is>
          <t>Microcrystalline Cellulose · Specific Tests &lt;731&gt;</t>
        </is>
      </c>
      <c r="AD764" s="10" t="n"/>
      <c r="AE764" s="10" t="n"/>
    </row>
    <row r="765">
      <c r="A765" s="10" t="inlineStr">
        <is>
          <t>Microcrystalline Cellulose PH 101</t>
        </is>
      </c>
      <c r="B765" s="10" t="inlineStr">
        <is>
          <t>RM</t>
        </is>
      </c>
      <c r="C765" s="10" t="inlineStr">
        <is>
          <t>Filler / Diluent</t>
        </is>
      </c>
      <c r="D765" s="10" t="inlineStr">
        <is>
          <t>Bulk Density</t>
        </is>
      </c>
      <c r="E765" s="10">
        <f>IF(A765="","",A765&amp;"|"&amp;D765)</f>
        <v/>
      </c>
      <c r="F765" s="5" t="inlineStr">
        <is>
          <t>Y</t>
        </is>
      </c>
      <c r="G765" s="5" t="inlineStr">
        <is>
          <t>Other / bench</t>
        </is>
      </c>
      <c r="H765" s="5" t="inlineStr">
        <is>
          <t>Low</t>
        </is>
      </c>
      <c r="I765" s="5" t="n">
        <v>1</v>
      </c>
      <c r="J765" s="5" t="n"/>
      <c r="K765" s="10">
        <f>IFERROR(IF(INDEX('Test catalog'!$F$2:$F$200,MATCH($AB765,'Test catalog'!$A$2:$A$200,0))="","",INDEX('Test catalog'!$F$2:$F$200,MATCH($AB765,'Test catalog'!$A$2:$A$200,0))),"")</f>
        <v/>
      </c>
      <c r="L765" s="10">
        <f>IFERROR(IF(INDEX('Test catalog'!$G$2:$G$200,MATCH($AB765,'Test catalog'!$A$2:$A$200,0))="","",INDEX('Test catalog'!$G$2:$G$200,MATCH($AB765,'Test catalog'!$A$2:$A$200,0))),"")</f>
        <v/>
      </c>
      <c r="M765" s="10">
        <f>IFERROR(IF(INDEX('Test catalog'!$H$2:$H$200,MATCH($AB765,'Test catalog'!$A$2:$A$200,0))="","",INDEX('Test catalog'!$H$2:$H$200,MATCH($AB765,'Test catalog'!$A$2:$A$200,0))),"")</f>
        <v/>
      </c>
      <c r="N765" s="10">
        <f>IFERROR(IF(INDEX('Test catalog'!$I$2:$I$200,MATCH($AB765,'Test catalog'!$A$2:$A$200,0))="","",INDEX('Test catalog'!$I$2:$I$200,MATCH($AB765,'Test catalog'!$A$2:$A$200,0))),"")</f>
        <v/>
      </c>
      <c r="O765" s="10">
        <f>IFERROR(IF(INDEX('Test catalog'!$J$2:$J$200,MATCH($AB765,'Test catalog'!$A$2:$A$200,0))="","",INDEX('Test catalog'!$J$2:$J$200,MATCH($AB765,'Test catalog'!$A$2:$A$200,0))),"")</f>
        <v/>
      </c>
      <c r="P765" s="14">
        <f>IF(N765="","",IF(OR(M765="",O765=""),N765,(M765+4*N765+O765)/6))</f>
        <v/>
      </c>
      <c r="Q765" s="10">
        <f>IFERROR(IF(INDEX('Test catalog'!$K$2:$K$200,MATCH($AB765,'Test catalog'!$A$2:$A$200,0))="","",INDEX('Test catalog'!$K$2:$K$200,MATCH($AB765,'Test catalog'!$A$2:$A$200,0))),"")</f>
        <v/>
      </c>
      <c r="R765" s="5" t="n"/>
      <c r="S765" s="10">
        <f>IFERROR(IF(INDEX('Test catalog'!$L$2:$L$200,MATCH($AB765,'Test catalog'!$A$2:$A$200,0))="","",INDEX('Test catalog'!$L$2:$L$200,MATCH($AB765,'Test catalog'!$A$2:$A$200,0))),"")</f>
        <v/>
      </c>
      <c r="T765" s="10">
        <f>IFERROR(IF(INDEX('Test catalog'!$M$2:$M$200,MATCH($AB765,'Test catalog'!$A$2:$A$200,0))="","",INDEX('Test catalog'!$M$2:$M$200,MATCH($AB765,'Test catalog'!$A$2:$A$200,0))),"")</f>
        <v/>
      </c>
      <c r="U765" s="10">
        <f>IFERROR(IF(INDEX('Test catalog'!$N$2:$N$200,MATCH($AB765,'Test catalog'!$A$2:$A$200,0))="","",INDEX('Test catalog'!$N$2:$N$200,MATCH($AB765,'Test catalog'!$A$2:$A$200,0))),"")</f>
        <v/>
      </c>
      <c r="V765" s="15" t="n"/>
      <c r="W765" s="5" t="inlineStr">
        <is>
          <t>N</t>
        </is>
      </c>
      <c r="X765" s="5" t="n"/>
      <c r="Y765" s="5" t="n"/>
      <c r="Z765" s="5" t="n"/>
      <c r="AA765" s="10">
        <f>IFERROR(IF(INDEX('Test catalog'!$O$2:$O$200,MATCH($AB765,'Test catalog'!$A$2:$A$200,0))="","",INDEX('Test catalog'!$O$2:$O$200,MATCH($AB765,'Test catalog'!$A$2:$A$200,0))),"")</f>
        <v/>
      </c>
      <c r="AB765" s="10" t="inlineStr">
        <is>
          <t>PHYS</t>
        </is>
      </c>
      <c r="AC765" s="10" t="inlineStr">
        <is>
          <t>Microcrystalline Cellulose · Specific Tests</t>
        </is>
      </c>
      <c r="AD765" s="10" t="n"/>
      <c r="AE765" s="10" t="n"/>
    </row>
    <row r="766">
      <c r="A766" s="10" t="inlineStr">
        <is>
          <t>Microcrystalline Cellulose PH 101</t>
        </is>
      </c>
      <c r="B766" s="10" t="inlineStr">
        <is>
          <t>RM</t>
        </is>
      </c>
      <c r="C766" s="10" t="inlineStr">
        <is>
          <t>Filler / Diluent</t>
        </is>
      </c>
      <c r="D766" s="10" t="inlineStr">
        <is>
          <t>Particle Size Distribution</t>
        </is>
      </c>
      <c r="E766" s="10">
        <f>IF(A766="","",A766&amp;"|"&amp;D766)</f>
        <v/>
      </c>
      <c r="F766" s="5" t="inlineStr">
        <is>
          <t>Y</t>
        </is>
      </c>
      <c r="G766" s="5" t="inlineStr">
        <is>
          <t>Other / bench</t>
        </is>
      </c>
      <c r="H766" s="5" t="inlineStr">
        <is>
          <t>Low</t>
        </is>
      </c>
      <c r="I766" s="5" t="n">
        <v>1</v>
      </c>
      <c r="J766" s="5" t="n"/>
      <c r="K766" s="10">
        <f>IFERROR(IF(INDEX('Test catalog'!$F$2:$F$200,MATCH($AB766,'Test catalog'!$A$2:$A$200,0))="","",INDEX('Test catalog'!$F$2:$F$200,MATCH($AB766,'Test catalog'!$A$2:$A$200,0))),"")</f>
        <v/>
      </c>
      <c r="L766" s="10">
        <f>IFERROR(IF(INDEX('Test catalog'!$G$2:$G$200,MATCH($AB766,'Test catalog'!$A$2:$A$200,0))="","",INDEX('Test catalog'!$G$2:$G$200,MATCH($AB766,'Test catalog'!$A$2:$A$200,0))),"")</f>
        <v/>
      </c>
      <c r="M766" s="10">
        <f>IFERROR(IF(INDEX('Test catalog'!$H$2:$H$200,MATCH($AB766,'Test catalog'!$A$2:$A$200,0))="","",INDEX('Test catalog'!$H$2:$H$200,MATCH($AB766,'Test catalog'!$A$2:$A$200,0))),"")</f>
        <v/>
      </c>
      <c r="N766" s="10">
        <f>IFERROR(IF(INDEX('Test catalog'!$I$2:$I$200,MATCH($AB766,'Test catalog'!$A$2:$A$200,0))="","",INDEX('Test catalog'!$I$2:$I$200,MATCH($AB766,'Test catalog'!$A$2:$A$200,0))),"")</f>
        <v/>
      </c>
      <c r="O766" s="10">
        <f>IFERROR(IF(INDEX('Test catalog'!$J$2:$J$200,MATCH($AB766,'Test catalog'!$A$2:$A$200,0))="","",INDEX('Test catalog'!$J$2:$J$200,MATCH($AB766,'Test catalog'!$A$2:$A$200,0))),"")</f>
        <v/>
      </c>
      <c r="P766" s="14">
        <f>IF(N766="","",IF(OR(M766="",O766=""),N766,(M766+4*N766+O766)/6))</f>
        <v/>
      </c>
      <c r="Q766" s="10">
        <f>IFERROR(IF(INDEX('Test catalog'!$K$2:$K$200,MATCH($AB766,'Test catalog'!$A$2:$A$200,0))="","",INDEX('Test catalog'!$K$2:$K$200,MATCH($AB766,'Test catalog'!$A$2:$A$200,0))),"")</f>
        <v/>
      </c>
      <c r="R766" s="5" t="n"/>
      <c r="S766" s="10">
        <f>IFERROR(IF(INDEX('Test catalog'!$L$2:$L$200,MATCH($AB766,'Test catalog'!$A$2:$A$200,0))="","",INDEX('Test catalog'!$L$2:$L$200,MATCH($AB766,'Test catalog'!$A$2:$A$200,0))),"")</f>
        <v/>
      </c>
      <c r="T766" s="10">
        <f>IFERROR(IF(INDEX('Test catalog'!$M$2:$M$200,MATCH($AB766,'Test catalog'!$A$2:$A$200,0))="","",INDEX('Test catalog'!$M$2:$M$200,MATCH($AB766,'Test catalog'!$A$2:$A$200,0))),"")</f>
        <v/>
      </c>
      <c r="U766" s="10">
        <f>IFERROR(IF(INDEX('Test catalog'!$N$2:$N$200,MATCH($AB766,'Test catalog'!$A$2:$A$200,0))="","",INDEX('Test catalog'!$N$2:$N$200,MATCH($AB766,'Test catalog'!$A$2:$A$200,0))),"")</f>
        <v/>
      </c>
      <c r="V766" s="15" t="n"/>
      <c r="W766" s="5" t="inlineStr">
        <is>
          <t>N</t>
        </is>
      </c>
      <c r="X766" s="5" t="n"/>
      <c r="Y766" s="5" t="n"/>
      <c r="Z766" s="5" t="n"/>
      <c r="AA766" s="10">
        <f>IFERROR(IF(INDEX('Test catalog'!$O$2:$O$200,MATCH($AB766,'Test catalog'!$A$2:$A$200,0))="","",INDEX('Test catalog'!$O$2:$O$200,MATCH($AB766,'Test catalog'!$A$2:$A$200,0))),"")</f>
        <v/>
      </c>
      <c r="AB766" s="10" t="inlineStr">
        <is>
          <t>PHYS</t>
        </is>
      </c>
      <c r="AC766" s="10" t="inlineStr">
        <is>
          <t>Microcrystalline Cellulose · Specific Tests &lt;786&gt;</t>
        </is>
      </c>
      <c r="AD766" s="10" t="n"/>
      <c r="AE766" s="10" t="n"/>
    </row>
    <row r="767">
      <c r="A767" s="10" t="inlineStr">
        <is>
          <t>Microcrystalline Cellulose PH 101</t>
        </is>
      </c>
      <c r="B767" s="10" t="inlineStr">
        <is>
          <t>RM</t>
        </is>
      </c>
      <c r="C767" s="10" t="inlineStr">
        <is>
          <t>Filler / Diluent</t>
        </is>
      </c>
      <c r="D767" s="10" t="inlineStr">
        <is>
          <t>Water-Soluble Substances</t>
        </is>
      </c>
      <c r="E767" s="10">
        <f>IF(A767="","",A767&amp;"|"&amp;D767)</f>
        <v/>
      </c>
      <c r="F767" s="5" t="inlineStr">
        <is>
          <t>Y</t>
        </is>
      </c>
      <c r="G767" s="5" t="inlineStr">
        <is>
          <t>Other / bench</t>
        </is>
      </c>
      <c r="H767" s="5" t="inlineStr">
        <is>
          <t>Low</t>
        </is>
      </c>
      <c r="I767" s="5" t="n">
        <v>1</v>
      </c>
      <c r="J767" s="5" t="n"/>
      <c r="K767" s="10">
        <f>IFERROR(IF(INDEX('Test catalog'!$F$2:$F$200,MATCH($AB767,'Test catalog'!$A$2:$A$200,0))="","",INDEX('Test catalog'!$F$2:$F$200,MATCH($AB767,'Test catalog'!$A$2:$A$200,0))),"")</f>
        <v/>
      </c>
      <c r="L767" s="10">
        <f>IFERROR(IF(INDEX('Test catalog'!$G$2:$G$200,MATCH($AB767,'Test catalog'!$A$2:$A$200,0))="","",INDEX('Test catalog'!$G$2:$G$200,MATCH($AB767,'Test catalog'!$A$2:$A$200,0))),"")</f>
        <v/>
      </c>
      <c r="M767" s="10">
        <f>IFERROR(IF(INDEX('Test catalog'!$H$2:$H$200,MATCH($AB767,'Test catalog'!$A$2:$A$200,0))="","",INDEX('Test catalog'!$H$2:$H$200,MATCH($AB767,'Test catalog'!$A$2:$A$200,0))),"")</f>
        <v/>
      </c>
      <c r="N767" s="10">
        <f>IFERROR(IF(INDEX('Test catalog'!$I$2:$I$200,MATCH($AB767,'Test catalog'!$A$2:$A$200,0))="","",INDEX('Test catalog'!$I$2:$I$200,MATCH($AB767,'Test catalog'!$A$2:$A$200,0))),"")</f>
        <v/>
      </c>
      <c r="O767" s="10">
        <f>IFERROR(IF(INDEX('Test catalog'!$J$2:$J$200,MATCH($AB767,'Test catalog'!$A$2:$A$200,0))="","",INDEX('Test catalog'!$J$2:$J$200,MATCH($AB767,'Test catalog'!$A$2:$A$200,0))),"")</f>
        <v/>
      </c>
      <c r="P767" s="14">
        <f>IF(N767="","",IF(OR(M767="",O767=""),N767,(M767+4*N767+O767)/6))</f>
        <v/>
      </c>
      <c r="Q767" s="10">
        <f>IFERROR(IF(INDEX('Test catalog'!$K$2:$K$200,MATCH($AB767,'Test catalog'!$A$2:$A$200,0))="","",INDEX('Test catalog'!$K$2:$K$200,MATCH($AB767,'Test catalog'!$A$2:$A$200,0))),"")</f>
        <v/>
      </c>
      <c r="R767" s="5" t="n"/>
      <c r="S767" s="10">
        <f>IFERROR(IF(INDEX('Test catalog'!$L$2:$L$200,MATCH($AB767,'Test catalog'!$A$2:$A$200,0))="","",INDEX('Test catalog'!$L$2:$L$200,MATCH($AB767,'Test catalog'!$A$2:$A$200,0))),"")</f>
        <v/>
      </c>
      <c r="T767" s="10">
        <f>IFERROR(IF(INDEX('Test catalog'!$M$2:$M$200,MATCH($AB767,'Test catalog'!$A$2:$A$200,0))="","",INDEX('Test catalog'!$M$2:$M$200,MATCH($AB767,'Test catalog'!$A$2:$A$200,0))),"")</f>
        <v/>
      </c>
      <c r="U767" s="10">
        <f>IFERROR(IF(INDEX('Test catalog'!$N$2:$N$200,MATCH($AB767,'Test catalog'!$A$2:$A$200,0))="","",INDEX('Test catalog'!$N$2:$N$200,MATCH($AB767,'Test catalog'!$A$2:$A$200,0))),"")</f>
        <v/>
      </c>
      <c r="V767" s="15" t="n"/>
      <c r="W767" s="5" t="inlineStr">
        <is>
          <t>N</t>
        </is>
      </c>
      <c r="X767" s="5" t="n"/>
      <c r="Y767" s="5" t="n"/>
      <c r="Z767" s="5" t="n"/>
      <c r="AA767" s="10">
        <f>IFERROR(IF(INDEX('Test catalog'!$O$2:$O$200,MATCH($AB767,'Test catalog'!$A$2:$A$200,0))="","",INDEX('Test catalog'!$O$2:$O$200,MATCH($AB767,'Test catalog'!$A$2:$A$200,0))),"")</f>
        <v/>
      </c>
      <c r="AB767" s="10" t="inlineStr">
        <is>
          <t>GRAV</t>
        </is>
      </c>
      <c r="AC767" s="10" t="inlineStr">
        <is>
          <t>Microcrystalline Cellulose · Specific Tests</t>
        </is>
      </c>
      <c r="AD767" s="10" t="n"/>
      <c r="AE767" s="10" t="n"/>
    </row>
    <row r="768">
      <c r="A768" s="10" t="inlineStr">
        <is>
          <t>Microcrystalline Cellulose PH 101</t>
        </is>
      </c>
      <c r="B768" s="10" t="inlineStr">
        <is>
          <t>RM</t>
        </is>
      </c>
      <c r="C768" s="10" t="inlineStr">
        <is>
          <t>Filler / Diluent</t>
        </is>
      </c>
      <c r="D768" s="10" t="inlineStr">
        <is>
          <t>Ether-Soluble Substances</t>
        </is>
      </c>
      <c r="E768" s="10">
        <f>IF(A768="","",A768&amp;"|"&amp;D768)</f>
        <v/>
      </c>
      <c r="F768" s="5" t="inlineStr">
        <is>
          <t>Y</t>
        </is>
      </c>
      <c r="G768" s="5" t="inlineStr">
        <is>
          <t>Other / bench</t>
        </is>
      </c>
      <c r="H768" s="5" t="inlineStr">
        <is>
          <t>Low</t>
        </is>
      </c>
      <c r="I768" s="5" t="n">
        <v>1</v>
      </c>
      <c r="J768" s="5" t="n"/>
      <c r="K768" s="10">
        <f>IFERROR(IF(INDEX('Test catalog'!$F$2:$F$200,MATCH($AB768,'Test catalog'!$A$2:$A$200,0))="","",INDEX('Test catalog'!$F$2:$F$200,MATCH($AB768,'Test catalog'!$A$2:$A$200,0))),"")</f>
        <v/>
      </c>
      <c r="L768" s="10">
        <f>IFERROR(IF(INDEX('Test catalog'!$G$2:$G$200,MATCH($AB768,'Test catalog'!$A$2:$A$200,0))="","",INDEX('Test catalog'!$G$2:$G$200,MATCH($AB768,'Test catalog'!$A$2:$A$200,0))),"")</f>
        <v/>
      </c>
      <c r="M768" s="10">
        <f>IFERROR(IF(INDEX('Test catalog'!$H$2:$H$200,MATCH($AB768,'Test catalog'!$A$2:$A$200,0))="","",INDEX('Test catalog'!$H$2:$H$200,MATCH($AB768,'Test catalog'!$A$2:$A$200,0))),"")</f>
        <v/>
      </c>
      <c r="N768" s="10">
        <f>IFERROR(IF(INDEX('Test catalog'!$I$2:$I$200,MATCH($AB768,'Test catalog'!$A$2:$A$200,0))="","",INDEX('Test catalog'!$I$2:$I$200,MATCH($AB768,'Test catalog'!$A$2:$A$200,0))),"")</f>
        <v/>
      </c>
      <c r="O768" s="10">
        <f>IFERROR(IF(INDEX('Test catalog'!$J$2:$J$200,MATCH($AB768,'Test catalog'!$A$2:$A$200,0))="","",INDEX('Test catalog'!$J$2:$J$200,MATCH($AB768,'Test catalog'!$A$2:$A$200,0))),"")</f>
        <v/>
      </c>
      <c r="P768" s="14">
        <f>IF(N768="","",IF(OR(M768="",O768=""),N768,(M768+4*N768+O768)/6))</f>
        <v/>
      </c>
      <c r="Q768" s="10">
        <f>IFERROR(IF(INDEX('Test catalog'!$K$2:$K$200,MATCH($AB768,'Test catalog'!$A$2:$A$200,0))="","",INDEX('Test catalog'!$K$2:$K$200,MATCH($AB768,'Test catalog'!$A$2:$A$200,0))),"")</f>
        <v/>
      </c>
      <c r="R768" s="5" t="n"/>
      <c r="S768" s="10">
        <f>IFERROR(IF(INDEX('Test catalog'!$L$2:$L$200,MATCH($AB768,'Test catalog'!$A$2:$A$200,0))="","",INDEX('Test catalog'!$L$2:$L$200,MATCH($AB768,'Test catalog'!$A$2:$A$200,0))),"")</f>
        <v/>
      </c>
      <c r="T768" s="10">
        <f>IFERROR(IF(INDEX('Test catalog'!$M$2:$M$200,MATCH($AB768,'Test catalog'!$A$2:$A$200,0))="","",INDEX('Test catalog'!$M$2:$M$200,MATCH($AB768,'Test catalog'!$A$2:$A$200,0))),"")</f>
        <v/>
      </c>
      <c r="U768" s="10">
        <f>IFERROR(IF(INDEX('Test catalog'!$N$2:$N$200,MATCH($AB768,'Test catalog'!$A$2:$A$200,0))="","",INDEX('Test catalog'!$N$2:$N$200,MATCH($AB768,'Test catalog'!$A$2:$A$200,0))),"")</f>
        <v/>
      </c>
      <c r="V768" s="15" t="n"/>
      <c r="W768" s="5" t="inlineStr">
        <is>
          <t>N</t>
        </is>
      </c>
      <c r="X768" s="5" t="n"/>
      <c r="Y768" s="5" t="n"/>
      <c r="Z768" s="5" t="n"/>
      <c r="AA768" s="10">
        <f>IFERROR(IF(INDEX('Test catalog'!$O$2:$O$200,MATCH($AB768,'Test catalog'!$A$2:$A$200,0))="","",INDEX('Test catalog'!$O$2:$O$200,MATCH($AB768,'Test catalog'!$A$2:$A$200,0))),"")</f>
        <v/>
      </c>
      <c r="AB768" s="10" t="inlineStr">
        <is>
          <t>LIMIT</t>
        </is>
      </c>
      <c r="AC768" s="10" t="inlineStr">
        <is>
          <t>Microcrystalline Cellulose · Specific Tests</t>
        </is>
      </c>
      <c r="AD768" s="10" t="n"/>
      <c r="AE768" s="10" t="n"/>
    </row>
    <row r="769">
      <c r="A769" s="10" t="inlineStr">
        <is>
          <t>Microcrystalline Cellulose PH 102</t>
        </is>
      </c>
      <c r="B769" s="10" t="inlineStr">
        <is>
          <t>RM</t>
        </is>
      </c>
      <c r="C769" s="10" t="inlineStr">
        <is>
          <t>Filler / Diluent</t>
        </is>
      </c>
      <c r="D769" s="10" t="inlineStr">
        <is>
          <t>Appearance / description and solubility</t>
        </is>
      </c>
      <c r="E769" s="10">
        <f>IF(A769="","",A769&amp;"|"&amp;D769)</f>
        <v/>
      </c>
      <c r="F769" s="5" t="inlineStr">
        <is>
          <t>Y</t>
        </is>
      </c>
      <c r="G769" s="5" t="inlineStr">
        <is>
          <t>Other / bench</t>
        </is>
      </c>
      <c r="H769" s="5" t="inlineStr">
        <is>
          <t>Low</t>
        </is>
      </c>
      <c r="I769" s="5" t="n">
        <v>1</v>
      </c>
      <c r="J769" s="5" t="n"/>
      <c r="K769" s="10">
        <f>IFERROR(IF(INDEX('Test catalog'!$F$2:$F$200,MATCH($AB769,'Test catalog'!$A$2:$A$200,0))="","",INDEX('Test catalog'!$F$2:$F$200,MATCH($AB769,'Test catalog'!$A$2:$A$200,0))),"")</f>
        <v/>
      </c>
      <c r="L769" s="10">
        <f>IFERROR(IF(INDEX('Test catalog'!$G$2:$G$200,MATCH($AB769,'Test catalog'!$A$2:$A$200,0))="","",INDEX('Test catalog'!$G$2:$G$200,MATCH($AB769,'Test catalog'!$A$2:$A$200,0))),"")</f>
        <v/>
      </c>
      <c r="M769" s="10">
        <f>IFERROR(IF(INDEX('Test catalog'!$H$2:$H$200,MATCH($AB769,'Test catalog'!$A$2:$A$200,0))="","",INDEX('Test catalog'!$H$2:$H$200,MATCH($AB769,'Test catalog'!$A$2:$A$200,0))),"")</f>
        <v/>
      </c>
      <c r="N769" s="10">
        <f>IFERROR(IF(INDEX('Test catalog'!$I$2:$I$200,MATCH($AB769,'Test catalog'!$A$2:$A$200,0))="","",INDEX('Test catalog'!$I$2:$I$200,MATCH($AB769,'Test catalog'!$A$2:$A$200,0))),"")</f>
        <v/>
      </c>
      <c r="O769" s="10">
        <f>IFERROR(IF(INDEX('Test catalog'!$J$2:$J$200,MATCH($AB769,'Test catalog'!$A$2:$A$200,0))="","",INDEX('Test catalog'!$J$2:$J$200,MATCH($AB769,'Test catalog'!$A$2:$A$200,0))),"")</f>
        <v/>
      </c>
      <c r="P769" s="14">
        <f>IF(N769="","",IF(OR(M769="",O769=""),N769,(M769+4*N769+O769)/6))</f>
        <v/>
      </c>
      <c r="Q769" s="10">
        <f>IFERROR(IF(INDEX('Test catalog'!$K$2:$K$200,MATCH($AB769,'Test catalog'!$A$2:$A$200,0))="","",INDEX('Test catalog'!$K$2:$K$200,MATCH($AB769,'Test catalog'!$A$2:$A$200,0))),"")</f>
        <v/>
      </c>
      <c r="R769" s="5" t="n"/>
      <c r="S769" s="10">
        <f>IFERROR(IF(INDEX('Test catalog'!$L$2:$L$200,MATCH($AB769,'Test catalog'!$A$2:$A$200,0))="","",INDEX('Test catalog'!$L$2:$L$200,MATCH($AB769,'Test catalog'!$A$2:$A$200,0))),"")</f>
        <v/>
      </c>
      <c r="T769" s="10">
        <f>IFERROR(IF(INDEX('Test catalog'!$M$2:$M$200,MATCH($AB769,'Test catalog'!$A$2:$A$200,0))="","",INDEX('Test catalog'!$M$2:$M$200,MATCH($AB769,'Test catalog'!$A$2:$A$200,0))),"")</f>
        <v/>
      </c>
      <c r="U769" s="10">
        <f>IFERROR(IF(INDEX('Test catalog'!$N$2:$N$200,MATCH($AB769,'Test catalog'!$A$2:$A$200,0))="","",INDEX('Test catalog'!$N$2:$N$200,MATCH($AB769,'Test catalog'!$A$2:$A$200,0))),"")</f>
        <v/>
      </c>
      <c r="V769" s="15" t="n"/>
      <c r="W769" s="5" t="inlineStr">
        <is>
          <t>N</t>
        </is>
      </c>
      <c r="X769" s="5" t="n"/>
      <c r="Y769" s="5" t="n"/>
      <c r="Z769" s="5" t="n"/>
      <c r="AA769" s="10">
        <f>IFERROR(IF(INDEX('Test catalog'!$O$2:$O$200,MATCH($AB769,'Test catalog'!$A$2:$A$200,0))="","",INDEX('Test catalog'!$O$2:$O$200,MATCH($AB769,'Test catalog'!$A$2:$A$200,0))),"")</f>
        <v/>
      </c>
      <c r="AB769" s="10" t="inlineStr">
        <is>
          <t>APPEAR</t>
        </is>
      </c>
      <c r="AC769" s="10" t="inlineStr">
        <is>
          <t>Lab practice (not a USP test)</t>
        </is>
      </c>
      <c r="AD769" s="10" t="n"/>
      <c r="AE769" s="10" t="n"/>
    </row>
    <row r="770">
      <c r="A770" s="10" t="inlineStr">
        <is>
          <t>Microcrystalline Cellulose PH 102</t>
        </is>
      </c>
      <c r="B770" s="10" t="inlineStr">
        <is>
          <t>RM</t>
        </is>
      </c>
      <c r="C770" s="10" t="inlineStr">
        <is>
          <t>Filler / Diluent</t>
        </is>
      </c>
      <c r="D770" s="10" t="inlineStr">
        <is>
          <t>ID B - chemical reaction</t>
        </is>
      </c>
      <c r="E770" s="10">
        <f>IF(A770="","",A770&amp;"|"&amp;D770)</f>
        <v/>
      </c>
      <c r="F770" s="5" t="inlineStr">
        <is>
          <t>Y</t>
        </is>
      </c>
      <c r="G770" s="5" t="inlineStr">
        <is>
          <t>Other / bench</t>
        </is>
      </c>
      <c r="H770" s="5" t="inlineStr">
        <is>
          <t>Low</t>
        </is>
      </c>
      <c r="I770" s="5" t="n">
        <v>1</v>
      </c>
      <c r="J770" s="5" t="n"/>
      <c r="K770" s="10">
        <f>IFERROR(IF(INDEX('Test catalog'!$F$2:$F$200,MATCH($AB770,'Test catalog'!$A$2:$A$200,0))="","",INDEX('Test catalog'!$F$2:$F$200,MATCH($AB770,'Test catalog'!$A$2:$A$200,0))),"")</f>
        <v/>
      </c>
      <c r="L770" s="10">
        <f>IFERROR(IF(INDEX('Test catalog'!$G$2:$G$200,MATCH($AB770,'Test catalog'!$A$2:$A$200,0))="","",INDEX('Test catalog'!$G$2:$G$200,MATCH($AB770,'Test catalog'!$A$2:$A$200,0))),"")</f>
        <v/>
      </c>
      <c r="M770" s="10">
        <f>IFERROR(IF(INDEX('Test catalog'!$H$2:$H$200,MATCH($AB770,'Test catalog'!$A$2:$A$200,0))="","",INDEX('Test catalog'!$H$2:$H$200,MATCH($AB770,'Test catalog'!$A$2:$A$200,0))),"")</f>
        <v/>
      </c>
      <c r="N770" s="10">
        <f>IFERROR(IF(INDEX('Test catalog'!$I$2:$I$200,MATCH($AB770,'Test catalog'!$A$2:$A$200,0))="","",INDEX('Test catalog'!$I$2:$I$200,MATCH($AB770,'Test catalog'!$A$2:$A$200,0))),"")</f>
        <v/>
      </c>
      <c r="O770" s="10">
        <f>IFERROR(IF(INDEX('Test catalog'!$J$2:$J$200,MATCH($AB770,'Test catalog'!$A$2:$A$200,0))="","",INDEX('Test catalog'!$J$2:$J$200,MATCH($AB770,'Test catalog'!$A$2:$A$200,0))),"")</f>
        <v/>
      </c>
      <c r="P770" s="14">
        <f>IF(N770="","",IF(OR(M770="",O770=""),N770,(M770+4*N770+O770)/6))</f>
        <v/>
      </c>
      <c r="Q770" s="10">
        <f>IFERROR(IF(INDEX('Test catalog'!$K$2:$K$200,MATCH($AB770,'Test catalog'!$A$2:$A$200,0))="","",INDEX('Test catalog'!$K$2:$K$200,MATCH($AB770,'Test catalog'!$A$2:$A$200,0))),"")</f>
        <v/>
      </c>
      <c r="R770" s="5" t="n"/>
      <c r="S770" s="10">
        <f>IFERROR(IF(INDEX('Test catalog'!$L$2:$L$200,MATCH($AB770,'Test catalog'!$A$2:$A$200,0))="","",INDEX('Test catalog'!$L$2:$L$200,MATCH($AB770,'Test catalog'!$A$2:$A$200,0))),"")</f>
        <v/>
      </c>
      <c r="T770" s="10">
        <f>IFERROR(IF(INDEX('Test catalog'!$M$2:$M$200,MATCH($AB770,'Test catalog'!$A$2:$A$200,0))="","",INDEX('Test catalog'!$M$2:$M$200,MATCH($AB770,'Test catalog'!$A$2:$A$200,0))),"")</f>
        <v/>
      </c>
      <c r="U770" s="10">
        <f>IFERROR(IF(INDEX('Test catalog'!$N$2:$N$200,MATCH($AB770,'Test catalog'!$A$2:$A$200,0))="","",INDEX('Test catalog'!$N$2:$N$200,MATCH($AB770,'Test catalog'!$A$2:$A$200,0))),"")</f>
        <v/>
      </c>
      <c r="V770" s="15" t="n"/>
      <c r="W770" s="5" t="inlineStr">
        <is>
          <t>N</t>
        </is>
      </c>
      <c r="X770" s="5" t="n"/>
      <c r="Y770" s="5" t="n"/>
      <c r="Z770" s="5" t="n"/>
      <c r="AA770" s="10">
        <f>IFERROR(IF(INDEX('Test catalog'!$O$2:$O$200,MATCH($AB770,'Test catalog'!$A$2:$A$200,0))="","",INDEX('Test catalog'!$O$2:$O$200,MATCH($AB770,'Test catalog'!$A$2:$A$200,0))),"")</f>
        <v/>
      </c>
      <c r="AB770" s="10" t="inlineStr">
        <is>
          <t>ID_CHEM</t>
        </is>
      </c>
      <c r="AC770" s="10" t="inlineStr">
        <is>
          <t>Microcrystalline Cellulose · Identification</t>
        </is>
      </c>
      <c r="AD770" s="10" t="n"/>
      <c r="AE770" s="10" t="n"/>
    </row>
    <row r="771">
      <c r="A771" s="10" t="inlineStr">
        <is>
          <t>Microcrystalline Cellulose PH 102</t>
        </is>
      </c>
      <c r="B771" s="10" t="inlineStr">
        <is>
          <t>RM</t>
        </is>
      </c>
      <c r="C771" s="10" t="inlineStr">
        <is>
          <t>Filler / Diluent</t>
        </is>
      </c>
      <c r="D771" s="10" t="inlineStr">
        <is>
          <t>ID C - chemical reaction</t>
        </is>
      </c>
      <c r="E771" s="10">
        <f>IF(A771="","",A771&amp;"|"&amp;D771)</f>
        <v/>
      </c>
      <c r="F771" s="5" t="inlineStr">
        <is>
          <t>Y</t>
        </is>
      </c>
      <c r="G771" s="5" t="inlineStr">
        <is>
          <t>Other / bench</t>
        </is>
      </c>
      <c r="H771" s="5" t="inlineStr">
        <is>
          <t>Low</t>
        </is>
      </c>
      <c r="I771" s="5" t="n">
        <v>1</v>
      </c>
      <c r="J771" s="5" t="n"/>
      <c r="K771" s="10">
        <f>IFERROR(IF(INDEX('Test catalog'!$F$2:$F$200,MATCH($AB771,'Test catalog'!$A$2:$A$200,0))="","",INDEX('Test catalog'!$F$2:$F$200,MATCH($AB771,'Test catalog'!$A$2:$A$200,0))),"")</f>
        <v/>
      </c>
      <c r="L771" s="10">
        <f>IFERROR(IF(INDEX('Test catalog'!$G$2:$G$200,MATCH($AB771,'Test catalog'!$A$2:$A$200,0))="","",INDEX('Test catalog'!$G$2:$G$200,MATCH($AB771,'Test catalog'!$A$2:$A$200,0))),"")</f>
        <v/>
      </c>
      <c r="M771" s="10">
        <f>IFERROR(IF(INDEX('Test catalog'!$H$2:$H$200,MATCH($AB771,'Test catalog'!$A$2:$A$200,0))="","",INDEX('Test catalog'!$H$2:$H$200,MATCH($AB771,'Test catalog'!$A$2:$A$200,0))),"")</f>
        <v/>
      </c>
      <c r="N771" s="10">
        <f>IFERROR(IF(INDEX('Test catalog'!$I$2:$I$200,MATCH($AB771,'Test catalog'!$A$2:$A$200,0))="","",INDEX('Test catalog'!$I$2:$I$200,MATCH($AB771,'Test catalog'!$A$2:$A$200,0))),"")</f>
        <v/>
      </c>
      <c r="O771" s="10">
        <f>IFERROR(IF(INDEX('Test catalog'!$J$2:$J$200,MATCH($AB771,'Test catalog'!$A$2:$A$200,0))="","",INDEX('Test catalog'!$J$2:$J$200,MATCH($AB771,'Test catalog'!$A$2:$A$200,0))),"")</f>
        <v/>
      </c>
      <c r="P771" s="14">
        <f>IF(N771="","",IF(OR(M771="",O771=""),N771,(M771+4*N771+O771)/6))</f>
        <v/>
      </c>
      <c r="Q771" s="10">
        <f>IFERROR(IF(INDEX('Test catalog'!$K$2:$K$200,MATCH($AB771,'Test catalog'!$A$2:$A$200,0))="","",INDEX('Test catalog'!$K$2:$K$200,MATCH($AB771,'Test catalog'!$A$2:$A$200,0))),"")</f>
        <v/>
      </c>
      <c r="R771" s="5" t="n"/>
      <c r="S771" s="10">
        <f>IFERROR(IF(INDEX('Test catalog'!$L$2:$L$200,MATCH($AB771,'Test catalog'!$A$2:$A$200,0))="","",INDEX('Test catalog'!$L$2:$L$200,MATCH($AB771,'Test catalog'!$A$2:$A$200,0))),"")</f>
        <v/>
      </c>
      <c r="T771" s="10">
        <f>IFERROR(IF(INDEX('Test catalog'!$M$2:$M$200,MATCH($AB771,'Test catalog'!$A$2:$A$200,0))="","",INDEX('Test catalog'!$M$2:$M$200,MATCH($AB771,'Test catalog'!$A$2:$A$200,0))),"")</f>
        <v/>
      </c>
      <c r="U771" s="10">
        <f>IFERROR(IF(INDEX('Test catalog'!$N$2:$N$200,MATCH($AB771,'Test catalog'!$A$2:$A$200,0))="","",INDEX('Test catalog'!$N$2:$N$200,MATCH($AB771,'Test catalog'!$A$2:$A$200,0))),"")</f>
        <v/>
      </c>
      <c r="V771" s="15" t="n"/>
      <c r="W771" s="5" t="inlineStr">
        <is>
          <t>N</t>
        </is>
      </c>
      <c r="X771" s="5" t="n"/>
      <c r="Y771" s="5" t="n"/>
      <c r="Z771" s="5" t="n"/>
      <c r="AA771" s="10">
        <f>IFERROR(IF(INDEX('Test catalog'!$O$2:$O$200,MATCH($AB771,'Test catalog'!$A$2:$A$200,0))="","",INDEX('Test catalog'!$O$2:$O$200,MATCH($AB771,'Test catalog'!$A$2:$A$200,0))),"")</f>
        <v/>
      </c>
      <c r="AB771" s="10" t="inlineStr">
        <is>
          <t>ID_CHEM</t>
        </is>
      </c>
      <c r="AC771" s="10" t="inlineStr">
        <is>
          <t>Microcrystalline Cellulose · Identification</t>
        </is>
      </c>
      <c r="AD771" s="10" t="n"/>
      <c r="AE771" s="10" t="n"/>
    </row>
    <row r="772">
      <c r="A772" s="10" t="inlineStr">
        <is>
          <t>Microcrystalline Cellulose PH 102</t>
        </is>
      </c>
      <c r="B772" s="10" t="inlineStr">
        <is>
          <t>RM</t>
        </is>
      </c>
      <c r="C772" s="10" t="inlineStr">
        <is>
          <t>Filler / Diluent</t>
        </is>
      </c>
      <c r="D772" s="10" t="inlineStr">
        <is>
          <t>Residue on Ignition</t>
        </is>
      </c>
      <c r="E772" s="10">
        <f>IF(A772="","",A772&amp;"|"&amp;D772)</f>
        <v/>
      </c>
      <c r="F772" s="5" t="inlineStr">
        <is>
          <t>Y</t>
        </is>
      </c>
      <c r="G772" s="5" t="inlineStr">
        <is>
          <t>Other / bench</t>
        </is>
      </c>
      <c r="H772" s="5" t="inlineStr">
        <is>
          <t>Low</t>
        </is>
      </c>
      <c r="I772" s="5" t="n">
        <v>1</v>
      </c>
      <c r="J772" s="5" t="n"/>
      <c r="K772" s="10">
        <f>IFERROR(IF(INDEX('Test catalog'!$F$2:$F$200,MATCH($AB772,'Test catalog'!$A$2:$A$200,0))="","",INDEX('Test catalog'!$F$2:$F$200,MATCH($AB772,'Test catalog'!$A$2:$A$200,0))),"")</f>
        <v/>
      </c>
      <c r="L772" s="10">
        <f>IFERROR(IF(INDEX('Test catalog'!$G$2:$G$200,MATCH($AB772,'Test catalog'!$A$2:$A$200,0))="","",INDEX('Test catalog'!$G$2:$G$200,MATCH($AB772,'Test catalog'!$A$2:$A$200,0))),"")</f>
        <v/>
      </c>
      <c r="M772" s="10">
        <f>IFERROR(IF(INDEX('Test catalog'!$H$2:$H$200,MATCH($AB772,'Test catalog'!$A$2:$A$200,0))="","",INDEX('Test catalog'!$H$2:$H$200,MATCH($AB772,'Test catalog'!$A$2:$A$200,0))),"")</f>
        <v/>
      </c>
      <c r="N772" s="10">
        <f>IFERROR(IF(INDEX('Test catalog'!$I$2:$I$200,MATCH($AB772,'Test catalog'!$A$2:$A$200,0))="","",INDEX('Test catalog'!$I$2:$I$200,MATCH($AB772,'Test catalog'!$A$2:$A$200,0))),"")</f>
        <v/>
      </c>
      <c r="O772" s="10">
        <f>IFERROR(IF(INDEX('Test catalog'!$J$2:$J$200,MATCH($AB772,'Test catalog'!$A$2:$A$200,0))="","",INDEX('Test catalog'!$J$2:$J$200,MATCH($AB772,'Test catalog'!$A$2:$A$200,0))),"")</f>
        <v/>
      </c>
      <c r="P772" s="14">
        <f>IF(N772="","",IF(OR(M772="",O772=""),N772,(M772+4*N772+O772)/6))</f>
        <v/>
      </c>
      <c r="Q772" s="10">
        <f>IFERROR(IF(INDEX('Test catalog'!$K$2:$K$200,MATCH($AB772,'Test catalog'!$A$2:$A$200,0))="","",INDEX('Test catalog'!$K$2:$K$200,MATCH($AB772,'Test catalog'!$A$2:$A$200,0))),"")</f>
        <v/>
      </c>
      <c r="R772" s="5" t="n"/>
      <c r="S772" s="10">
        <f>IFERROR(IF(INDEX('Test catalog'!$L$2:$L$200,MATCH($AB772,'Test catalog'!$A$2:$A$200,0))="","",INDEX('Test catalog'!$L$2:$L$200,MATCH($AB772,'Test catalog'!$A$2:$A$200,0))),"")</f>
        <v/>
      </c>
      <c r="T772" s="10">
        <f>IFERROR(IF(INDEX('Test catalog'!$M$2:$M$200,MATCH($AB772,'Test catalog'!$A$2:$A$200,0))="","",INDEX('Test catalog'!$M$2:$M$200,MATCH($AB772,'Test catalog'!$A$2:$A$200,0))),"")</f>
        <v/>
      </c>
      <c r="U772" s="10">
        <f>IFERROR(IF(INDEX('Test catalog'!$N$2:$N$200,MATCH($AB772,'Test catalog'!$A$2:$A$200,0))="","",INDEX('Test catalog'!$N$2:$N$200,MATCH($AB772,'Test catalog'!$A$2:$A$200,0))),"")</f>
        <v/>
      </c>
      <c r="V772" s="15" t="n"/>
      <c r="W772" s="5" t="inlineStr">
        <is>
          <t>N</t>
        </is>
      </c>
      <c r="X772" s="5" t="n"/>
      <c r="Y772" s="5" t="n"/>
      <c r="Z772" s="5" t="n"/>
      <c r="AA772" s="10">
        <f>IFERROR(IF(INDEX('Test catalog'!$O$2:$O$200,MATCH($AB772,'Test catalog'!$A$2:$A$200,0))="","",INDEX('Test catalog'!$O$2:$O$200,MATCH($AB772,'Test catalog'!$A$2:$A$200,0))),"")</f>
        <v/>
      </c>
      <c r="AB772" s="10" t="inlineStr">
        <is>
          <t>ROI</t>
        </is>
      </c>
      <c r="AC772" s="10" t="inlineStr">
        <is>
          <t>Microcrystalline Cellulose · Impurities &lt;281&gt;</t>
        </is>
      </c>
      <c r="AD772" s="10" t="n"/>
      <c r="AE772" s="10" t="n"/>
    </row>
    <row r="773">
      <c r="A773" s="10" t="inlineStr">
        <is>
          <t>Microcrystalline Cellulose PH 102</t>
        </is>
      </c>
      <c r="B773" s="10" t="inlineStr">
        <is>
          <t>RM</t>
        </is>
      </c>
      <c r="C773" s="10" t="inlineStr">
        <is>
          <t>Filler / Diluent</t>
        </is>
      </c>
      <c r="D773" s="10" t="inlineStr">
        <is>
          <t>Conductivity</t>
        </is>
      </c>
      <c r="E773" s="10">
        <f>IF(A773="","",A773&amp;"|"&amp;D773)</f>
        <v/>
      </c>
      <c r="F773" s="5" t="inlineStr">
        <is>
          <t>Y</t>
        </is>
      </c>
      <c r="G773" s="5" t="inlineStr">
        <is>
          <t>Other / bench</t>
        </is>
      </c>
      <c r="H773" s="5" t="inlineStr">
        <is>
          <t>Low</t>
        </is>
      </c>
      <c r="I773" s="5" t="n">
        <v>1</v>
      </c>
      <c r="J773" s="5" t="n"/>
      <c r="K773" s="10">
        <f>IFERROR(IF(INDEX('Test catalog'!$F$2:$F$200,MATCH($AB773,'Test catalog'!$A$2:$A$200,0))="","",INDEX('Test catalog'!$F$2:$F$200,MATCH($AB773,'Test catalog'!$A$2:$A$200,0))),"")</f>
        <v/>
      </c>
      <c r="L773" s="10">
        <f>IFERROR(IF(INDEX('Test catalog'!$G$2:$G$200,MATCH($AB773,'Test catalog'!$A$2:$A$200,0))="","",INDEX('Test catalog'!$G$2:$G$200,MATCH($AB773,'Test catalog'!$A$2:$A$200,0))),"")</f>
        <v/>
      </c>
      <c r="M773" s="10">
        <f>IFERROR(IF(INDEX('Test catalog'!$H$2:$H$200,MATCH($AB773,'Test catalog'!$A$2:$A$200,0))="","",INDEX('Test catalog'!$H$2:$H$200,MATCH($AB773,'Test catalog'!$A$2:$A$200,0))),"")</f>
        <v/>
      </c>
      <c r="N773" s="10">
        <f>IFERROR(IF(INDEX('Test catalog'!$I$2:$I$200,MATCH($AB773,'Test catalog'!$A$2:$A$200,0))="","",INDEX('Test catalog'!$I$2:$I$200,MATCH($AB773,'Test catalog'!$A$2:$A$200,0))),"")</f>
        <v/>
      </c>
      <c r="O773" s="10">
        <f>IFERROR(IF(INDEX('Test catalog'!$J$2:$J$200,MATCH($AB773,'Test catalog'!$A$2:$A$200,0))="","",INDEX('Test catalog'!$J$2:$J$200,MATCH($AB773,'Test catalog'!$A$2:$A$200,0))),"")</f>
        <v/>
      </c>
      <c r="P773" s="14">
        <f>IF(N773="","",IF(OR(M773="",O773=""),N773,(M773+4*N773+O773)/6))</f>
        <v/>
      </c>
      <c r="Q773" s="10">
        <f>IFERROR(IF(INDEX('Test catalog'!$K$2:$K$200,MATCH($AB773,'Test catalog'!$A$2:$A$200,0))="","",INDEX('Test catalog'!$K$2:$K$200,MATCH($AB773,'Test catalog'!$A$2:$A$200,0))),"")</f>
        <v/>
      </c>
      <c r="R773" s="5" t="n"/>
      <c r="S773" s="10">
        <f>IFERROR(IF(INDEX('Test catalog'!$L$2:$L$200,MATCH($AB773,'Test catalog'!$A$2:$A$200,0))="","",INDEX('Test catalog'!$L$2:$L$200,MATCH($AB773,'Test catalog'!$A$2:$A$200,0))),"")</f>
        <v/>
      </c>
      <c r="T773" s="10">
        <f>IFERROR(IF(INDEX('Test catalog'!$M$2:$M$200,MATCH($AB773,'Test catalog'!$A$2:$A$200,0))="","",INDEX('Test catalog'!$M$2:$M$200,MATCH($AB773,'Test catalog'!$A$2:$A$200,0))),"")</f>
        <v/>
      </c>
      <c r="U773" s="10">
        <f>IFERROR(IF(INDEX('Test catalog'!$N$2:$N$200,MATCH($AB773,'Test catalog'!$A$2:$A$200,0))="","",INDEX('Test catalog'!$N$2:$N$200,MATCH($AB773,'Test catalog'!$A$2:$A$200,0))),"")</f>
        <v/>
      </c>
      <c r="V773" s="15" t="n"/>
      <c r="W773" s="5" t="inlineStr">
        <is>
          <t>N</t>
        </is>
      </c>
      <c r="X773" s="5" t="n"/>
      <c r="Y773" s="5" t="n"/>
      <c r="Z773" s="5" t="n"/>
      <c r="AA773" s="10">
        <f>IFERROR(IF(INDEX('Test catalog'!$O$2:$O$200,MATCH($AB773,'Test catalog'!$A$2:$A$200,0))="","",INDEX('Test catalog'!$O$2:$O$200,MATCH($AB773,'Test catalog'!$A$2:$A$200,0))),"")</f>
        <v/>
      </c>
      <c r="AB773" s="10" t="inlineStr">
        <is>
          <t>COND</t>
        </is>
      </c>
      <c r="AC773" s="10" t="inlineStr">
        <is>
          <t>Microcrystalline Cellulose · Specific Tests</t>
        </is>
      </c>
      <c r="AD773" s="10" t="n"/>
      <c r="AE773" s="10" t="n"/>
    </row>
    <row r="774">
      <c r="A774" s="10" t="inlineStr">
        <is>
          <t>Microcrystalline Cellulose PH 102</t>
        </is>
      </c>
      <c r="B774" s="10" t="inlineStr">
        <is>
          <t>RM</t>
        </is>
      </c>
      <c r="C774" s="10" t="inlineStr">
        <is>
          <t>Filler / Diluent</t>
        </is>
      </c>
      <c r="D774" s="10" t="inlineStr">
        <is>
          <t>pH</t>
        </is>
      </c>
      <c r="E774" s="10">
        <f>IF(A774="","",A774&amp;"|"&amp;D774)</f>
        <v/>
      </c>
      <c r="F774" s="5" t="inlineStr">
        <is>
          <t>Y</t>
        </is>
      </c>
      <c r="G774" s="5" t="inlineStr">
        <is>
          <t>Other / bench</t>
        </is>
      </c>
      <c r="H774" s="5" t="inlineStr">
        <is>
          <t>Low</t>
        </is>
      </c>
      <c r="I774" s="5" t="n">
        <v>1</v>
      </c>
      <c r="J774" s="5" t="n"/>
      <c r="K774" s="10">
        <f>IFERROR(IF(INDEX('Test catalog'!$F$2:$F$200,MATCH($AB774,'Test catalog'!$A$2:$A$200,0))="","",INDEX('Test catalog'!$F$2:$F$200,MATCH($AB774,'Test catalog'!$A$2:$A$200,0))),"")</f>
        <v/>
      </c>
      <c r="L774" s="10">
        <f>IFERROR(IF(INDEX('Test catalog'!$G$2:$G$200,MATCH($AB774,'Test catalog'!$A$2:$A$200,0))="","",INDEX('Test catalog'!$G$2:$G$200,MATCH($AB774,'Test catalog'!$A$2:$A$200,0))),"")</f>
        <v/>
      </c>
      <c r="M774" s="10">
        <f>IFERROR(IF(INDEX('Test catalog'!$H$2:$H$200,MATCH($AB774,'Test catalog'!$A$2:$A$200,0))="","",INDEX('Test catalog'!$H$2:$H$200,MATCH($AB774,'Test catalog'!$A$2:$A$200,0))),"")</f>
        <v/>
      </c>
      <c r="N774" s="10">
        <f>IFERROR(IF(INDEX('Test catalog'!$I$2:$I$200,MATCH($AB774,'Test catalog'!$A$2:$A$200,0))="","",INDEX('Test catalog'!$I$2:$I$200,MATCH($AB774,'Test catalog'!$A$2:$A$200,0))),"")</f>
        <v/>
      </c>
      <c r="O774" s="10">
        <f>IFERROR(IF(INDEX('Test catalog'!$J$2:$J$200,MATCH($AB774,'Test catalog'!$A$2:$A$200,0))="","",INDEX('Test catalog'!$J$2:$J$200,MATCH($AB774,'Test catalog'!$A$2:$A$200,0))),"")</f>
        <v/>
      </c>
      <c r="P774" s="14">
        <f>IF(N774="","",IF(OR(M774="",O774=""),N774,(M774+4*N774+O774)/6))</f>
        <v/>
      </c>
      <c r="Q774" s="10">
        <f>IFERROR(IF(INDEX('Test catalog'!$K$2:$K$200,MATCH($AB774,'Test catalog'!$A$2:$A$200,0))="","",INDEX('Test catalog'!$K$2:$K$200,MATCH($AB774,'Test catalog'!$A$2:$A$200,0))),"")</f>
        <v/>
      </c>
      <c r="R774" s="5" t="n"/>
      <c r="S774" s="10">
        <f>IFERROR(IF(INDEX('Test catalog'!$L$2:$L$200,MATCH($AB774,'Test catalog'!$A$2:$A$200,0))="","",INDEX('Test catalog'!$L$2:$L$200,MATCH($AB774,'Test catalog'!$A$2:$A$200,0))),"")</f>
        <v/>
      </c>
      <c r="T774" s="10">
        <f>IFERROR(IF(INDEX('Test catalog'!$M$2:$M$200,MATCH($AB774,'Test catalog'!$A$2:$A$200,0))="","",INDEX('Test catalog'!$M$2:$M$200,MATCH($AB774,'Test catalog'!$A$2:$A$200,0))),"")</f>
        <v/>
      </c>
      <c r="U774" s="10">
        <f>IFERROR(IF(INDEX('Test catalog'!$N$2:$N$200,MATCH($AB774,'Test catalog'!$A$2:$A$200,0))="","",INDEX('Test catalog'!$N$2:$N$200,MATCH($AB774,'Test catalog'!$A$2:$A$200,0))),"")</f>
        <v/>
      </c>
      <c r="V774" s="15" t="n"/>
      <c r="W774" s="5" t="inlineStr">
        <is>
          <t>N</t>
        </is>
      </c>
      <c r="X774" s="5" t="n"/>
      <c r="Y774" s="5" t="n"/>
      <c r="Z774" s="5" t="n"/>
      <c r="AA774" s="10">
        <f>IFERROR(IF(INDEX('Test catalog'!$O$2:$O$200,MATCH($AB774,'Test catalog'!$A$2:$A$200,0))="","",INDEX('Test catalog'!$O$2:$O$200,MATCH($AB774,'Test catalog'!$A$2:$A$200,0))),"")</f>
        <v/>
      </c>
      <c r="AB774" s="10" t="inlineStr">
        <is>
          <t>PH</t>
        </is>
      </c>
      <c r="AC774" s="10" t="inlineStr">
        <is>
          <t>Microcrystalline Cellulose · Specific Tests &lt;791&gt;</t>
        </is>
      </c>
      <c r="AD774" s="10" t="n"/>
      <c r="AE774" s="10" t="n"/>
    </row>
    <row r="775">
      <c r="A775" s="10" t="inlineStr">
        <is>
          <t>Microcrystalline Cellulose PH 102</t>
        </is>
      </c>
      <c r="B775" s="10" t="inlineStr">
        <is>
          <t>RM</t>
        </is>
      </c>
      <c r="C775" s="10" t="inlineStr">
        <is>
          <t>Filler / Diluent</t>
        </is>
      </c>
      <c r="D775" s="10" t="inlineStr">
        <is>
          <t>Loss on Drying</t>
        </is>
      </c>
      <c r="E775" s="10">
        <f>IF(A775="","",A775&amp;"|"&amp;D775)</f>
        <v/>
      </c>
      <c r="F775" s="5" t="inlineStr">
        <is>
          <t>Y</t>
        </is>
      </c>
      <c r="G775" s="5" t="inlineStr">
        <is>
          <t>Other / bench</t>
        </is>
      </c>
      <c r="H775" s="5" t="inlineStr">
        <is>
          <t>Low</t>
        </is>
      </c>
      <c r="I775" s="5" t="n">
        <v>1</v>
      </c>
      <c r="J775" s="5" t="n"/>
      <c r="K775" s="10">
        <f>IFERROR(IF(INDEX('Test catalog'!$F$2:$F$200,MATCH($AB775,'Test catalog'!$A$2:$A$200,0))="","",INDEX('Test catalog'!$F$2:$F$200,MATCH($AB775,'Test catalog'!$A$2:$A$200,0))),"")</f>
        <v/>
      </c>
      <c r="L775" s="10">
        <f>IFERROR(IF(INDEX('Test catalog'!$G$2:$G$200,MATCH($AB775,'Test catalog'!$A$2:$A$200,0))="","",INDEX('Test catalog'!$G$2:$G$200,MATCH($AB775,'Test catalog'!$A$2:$A$200,0))),"")</f>
        <v/>
      </c>
      <c r="M775" s="10">
        <f>IFERROR(IF(INDEX('Test catalog'!$H$2:$H$200,MATCH($AB775,'Test catalog'!$A$2:$A$200,0))="","",INDEX('Test catalog'!$H$2:$H$200,MATCH($AB775,'Test catalog'!$A$2:$A$200,0))),"")</f>
        <v/>
      </c>
      <c r="N775" s="10">
        <f>IFERROR(IF(INDEX('Test catalog'!$I$2:$I$200,MATCH($AB775,'Test catalog'!$A$2:$A$200,0))="","",INDEX('Test catalog'!$I$2:$I$200,MATCH($AB775,'Test catalog'!$A$2:$A$200,0))),"")</f>
        <v/>
      </c>
      <c r="O775" s="10">
        <f>IFERROR(IF(INDEX('Test catalog'!$J$2:$J$200,MATCH($AB775,'Test catalog'!$A$2:$A$200,0))="","",INDEX('Test catalog'!$J$2:$J$200,MATCH($AB775,'Test catalog'!$A$2:$A$200,0))),"")</f>
        <v/>
      </c>
      <c r="P775" s="14">
        <f>IF(N775="","",IF(OR(M775="",O775=""),N775,(M775+4*N775+O775)/6))</f>
        <v/>
      </c>
      <c r="Q775" s="10">
        <f>IFERROR(IF(INDEX('Test catalog'!$K$2:$K$200,MATCH($AB775,'Test catalog'!$A$2:$A$200,0))="","",INDEX('Test catalog'!$K$2:$K$200,MATCH($AB775,'Test catalog'!$A$2:$A$200,0))),"")</f>
        <v/>
      </c>
      <c r="R775" s="5" t="n"/>
      <c r="S775" s="10">
        <f>IFERROR(IF(INDEX('Test catalog'!$L$2:$L$200,MATCH($AB775,'Test catalog'!$A$2:$A$200,0))="","",INDEX('Test catalog'!$L$2:$L$200,MATCH($AB775,'Test catalog'!$A$2:$A$200,0))),"")</f>
        <v/>
      </c>
      <c r="T775" s="10">
        <f>IFERROR(IF(INDEX('Test catalog'!$M$2:$M$200,MATCH($AB775,'Test catalog'!$A$2:$A$200,0))="","",INDEX('Test catalog'!$M$2:$M$200,MATCH($AB775,'Test catalog'!$A$2:$A$200,0))),"")</f>
        <v/>
      </c>
      <c r="U775" s="10">
        <f>IFERROR(IF(INDEX('Test catalog'!$N$2:$N$200,MATCH($AB775,'Test catalog'!$A$2:$A$200,0))="","",INDEX('Test catalog'!$N$2:$N$200,MATCH($AB775,'Test catalog'!$A$2:$A$200,0))),"")</f>
        <v/>
      </c>
      <c r="V775" s="15" t="n"/>
      <c r="W775" s="5" t="inlineStr">
        <is>
          <t>N</t>
        </is>
      </c>
      <c r="X775" s="5" t="n"/>
      <c r="Y775" s="5" t="n"/>
      <c r="Z775" s="5" t="n"/>
      <c r="AA775" s="10">
        <f>IFERROR(IF(INDEX('Test catalog'!$O$2:$O$200,MATCH($AB775,'Test catalog'!$A$2:$A$200,0))="","",INDEX('Test catalog'!$O$2:$O$200,MATCH($AB775,'Test catalog'!$A$2:$A$200,0))),"")</f>
        <v/>
      </c>
      <c r="AB775" s="10" t="inlineStr">
        <is>
          <t>LOD</t>
        </is>
      </c>
      <c r="AC775" s="10" t="inlineStr">
        <is>
          <t>Microcrystalline Cellulose · Specific Tests &lt;731&gt;</t>
        </is>
      </c>
      <c r="AD775" s="10" t="n"/>
      <c r="AE775" s="10" t="n"/>
    </row>
    <row r="776">
      <c r="A776" s="10" t="inlineStr">
        <is>
          <t>Microcrystalline Cellulose PH 102</t>
        </is>
      </c>
      <c r="B776" s="10" t="inlineStr">
        <is>
          <t>RM</t>
        </is>
      </c>
      <c r="C776" s="10" t="inlineStr">
        <is>
          <t>Filler / Diluent</t>
        </is>
      </c>
      <c r="D776" s="10" t="inlineStr">
        <is>
          <t>Bulk Density</t>
        </is>
      </c>
      <c r="E776" s="10">
        <f>IF(A776="","",A776&amp;"|"&amp;D776)</f>
        <v/>
      </c>
      <c r="F776" s="5" t="inlineStr">
        <is>
          <t>Y</t>
        </is>
      </c>
      <c r="G776" s="5" t="inlineStr">
        <is>
          <t>Other / bench</t>
        </is>
      </c>
      <c r="H776" s="5" t="inlineStr">
        <is>
          <t>Low</t>
        </is>
      </c>
      <c r="I776" s="5" t="n">
        <v>1</v>
      </c>
      <c r="J776" s="5" t="n"/>
      <c r="K776" s="10">
        <f>IFERROR(IF(INDEX('Test catalog'!$F$2:$F$200,MATCH($AB776,'Test catalog'!$A$2:$A$200,0))="","",INDEX('Test catalog'!$F$2:$F$200,MATCH($AB776,'Test catalog'!$A$2:$A$200,0))),"")</f>
        <v/>
      </c>
      <c r="L776" s="10">
        <f>IFERROR(IF(INDEX('Test catalog'!$G$2:$G$200,MATCH($AB776,'Test catalog'!$A$2:$A$200,0))="","",INDEX('Test catalog'!$G$2:$G$200,MATCH($AB776,'Test catalog'!$A$2:$A$200,0))),"")</f>
        <v/>
      </c>
      <c r="M776" s="10">
        <f>IFERROR(IF(INDEX('Test catalog'!$H$2:$H$200,MATCH($AB776,'Test catalog'!$A$2:$A$200,0))="","",INDEX('Test catalog'!$H$2:$H$200,MATCH($AB776,'Test catalog'!$A$2:$A$200,0))),"")</f>
        <v/>
      </c>
      <c r="N776" s="10">
        <f>IFERROR(IF(INDEX('Test catalog'!$I$2:$I$200,MATCH($AB776,'Test catalog'!$A$2:$A$200,0))="","",INDEX('Test catalog'!$I$2:$I$200,MATCH($AB776,'Test catalog'!$A$2:$A$200,0))),"")</f>
        <v/>
      </c>
      <c r="O776" s="10">
        <f>IFERROR(IF(INDEX('Test catalog'!$J$2:$J$200,MATCH($AB776,'Test catalog'!$A$2:$A$200,0))="","",INDEX('Test catalog'!$J$2:$J$200,MATCH($AB776,'Test catalog'!$A$2:$A$200,0))),"")</f>
        <v/>
      </c>
      <c r="P776" s="14">
        <f>IF(N776="","",IF(OR(M776="",O776=""),N776,(M776+4*N776+O776)/6))</f>
        <v/>
      </c>
      <c r="Q776" s="10">
        <f>IFERROR(IF(INDEX('Test catalog'!$K$2:$K$200,MATCH($AB776,'Test catalog'!$A$2:$A$200,0))="","",INDEX('Test catalog'!$K$2:$K$200,MATCH($AB776,'Test catalog'!$A$2:$A$200,0))),"")</f>
        <v/>
      </c>
      <c r="R776" s="5" t="n"/>
      <c r="S776" s="10">
        <f>IFERROR(IF(INDEX('Test catalog'!$L$2:$L$200,MATCH($AB776,'Test catalog'!$A$2:$A$200,0))="","",INDEX('Test catalog'!$L$2:$L$200,MATCH($AB776,'Test catalog'!$A$2:$A$200,0))),"")</f>
        <v/>
      </c>
      <c r="T776" s="10">
        <f>IFERROR(IF(INDEX('Test catalog'!$M$2:$M$200,MATCH($AB776,'Test catalog'!$A$2:$A$200,0))="","",INDEX('Test catalog'!$M$2:$M$200,MATCH($AB776,'Test catalog'!$A$2:$A$200,0))),"")</f>
        <v/>
      </c>
      <c r="U776" s="10">
        <f>IFERROR(IF(INDEX('Test catalog'!$N$2:$N$200,MATCH($AB776,'Test catalog'!$A$2:$A$200,0))="","",INDEX('Test catalog'!$N$2:$N$200,MATCH($AB776,'Test catalog'!$A$2:$A$200,0))),"")</f>
        <v/>
      </c>
      <c r="V776" s="15" t="n"/>
      <c r="W776" s="5" t="inlineStr">
        <is>
          <t>N</t>
        </is>
      </c>
      <c r="X776" s="5" t="n"/>
      <c r="Y776" s="5" t="n"/>
      <c r="Z776" s="5" t="n"/>
      <c r="AA776" s="10">
        <f>IFERROR(IF(INDEX('Test catalog'!$O$2:$O$200,MATCH($AB776,'Test catalog'!$A$2:$A$200,0))="","",INDEX('Test catalog'!$O$2:$O$200,MATCH($AB776,'Test catalog'!$A$2:$A$200,0))),"")</f>
        <v/>
      </c>
      <c r="AB776" s="10" t="inlineStr">
        <is>
          <t>PHYS</t>
        </is>
      </c>
      <c r="AC776" s="10" t="inlineStr">
        <is>
          <t>Microcrystalline Cellulose · Specific Tests</t>
        </is>
      </c>
      <c r="AD776" s="10" t="n"/>
      <c r="AE776" s="10" t="n"/>
    </row>
    <row r="777">
      <c r="A777" s="10" t="inlineStr">
        <is>
          <t>Microcrystalline Cellulose PH 102</t>
        </is>
      </c>
      <c r="B777" s="10" t="inlineStr">
        <is>
          <t>RM</t>
        </is>
      </c>
      <c r="C777" s="10" t="inlineStr">
        <is>
          <t>Filler / Diluent</t>
        </is>
      </c>
      <c r="D777" s="10" t="inlineStr">
        <is>
          <t>Particle Size Distribution</t>
        </is>
      </c>
      <c r="E777" s="10">
        <f>IF(A777="","",A777&amp;"|"&amp;D777)</f>
        <v/>
      </c>
      <c r="F777" s="5" t="inlineStr">
        <is>
          <t>Y</t>
        </is>
      </c>
      <c r="G777" s="5" t="inlineStr">
        <is>
          <t>Other / bench</t>
        </is>
      </c>
      <c r="H777" s="5" t="inlineStr">
        <is>
          <t>Low</t>
        </is>
      </c>
      <c r="I777" s="5" t="n">
        <v>1</v>
      </c>
      <c r="J777" s="5" t="n"/>
      <c r="K777" s="10">
        <f>IFERROR(IF(INDEX('Test catalog'!$F$2:$F$200,MATCH($AB777,'Test catalog'!$A$2:$A$200,0))="","",INDEX('Test catalog'!$F$2:$F$200,MATCH($AB777,'Test catalog'!$A$2:$A$200,0))),"")</f>
        <v/>
      </c>
      <c r="L777" s="10">
        <f>IFERROR(IF(INDEX('Test catalog'!$G$2:$G$200,MATCH($AB777,'Test catalog'!$A$2:$A$200,0))="","",INDEX('Test catalog'!$G$2:$G$200,MATCH($AB777,'Test catalog'!$A$2:$A$200,0))),"")</f>
        <v/>
      </c>
      <c r="M777" s="10">
        <f>IFERROR(IF(INDEX('Test catalog'!$H$2:$H$200,MATCH($AB777,'Test catalog'!$A$2:$A$200,0))="","",INDEX('Test catalog'!$H$2:$H$200,MATCH($AB777,'Test catalog'!$A$2:$A$200,0))),"")</f>
        <v/>
      </c>
      <c r="N777" s="10">
        <f>IFERROR(IF(INDEX('Test catalog'!$I$2:$I$200,MATCH($AB777,'Test catalog'!$A$2:$A$200,0))="","",INDEX('Test catalog'!$I$2:$I$200,MATCH($AB777,'Test catalog'!$A$2:$A$200,0))),"")</f>
        <v/>
      </c>
      <c r="O777" s="10">
        <f>IFERROR(IF(INDEX('Test catalog'!$J$2:$J$200,MATCH($AB777,'Test catalog'!$A$2:$A$200,0))="","",INDEX('Test catalog'!$J$2:$J$200,MATCH($AB777,'Test catalog'!$A$2:$A$200,0))),"")</f>
        <v/>
      </c>
      <c r="P777" s="14">
        <f>IF(N777="","",IF(OR(M777="",O777=""),N777,(M777+4*N777+O777)/6))</f>
        <v/>
      </c>
      <c r="Q777" s="10">
        <f>IFERROR(IF(INDEX('Test catalog'!$K$2:$K$200,MATCH($AB777,'Test catalog'!$A$2:$A$200,0))="","",INDEX('Test catalog'!$K$2:$K$200,MATCH($AB777,'Test catalog'!$A$2:$A$200,0))),"")</f>
        <v/>
      </c>
      <c r="R777" s="5" t="n"/>
      <c r="S777" s="10">
        <f>IFERROR(IF(INDEX('Test catalog'!$L$2:$L$200,MATCH($AB777,'Test catalog'!$A$2:$A$200,0))="","",INDEX('Test catalog'!$L$2:$L$200,MATCH($AB777,'Test catalog'!$A$2:$A$200,0))),"")</f>
        <v/>
      </c>
      <c r="T777" s="10">
        <f>IFERROR(IF(INDEX('Test catalog'!$M$2:$M$200,MATCH($AB777,'Test catalog'!$A$2:$A$200,0))="","",INDEX('Test catalog'!$M$2:$M$200,MATCH($AB777,'Test catalog'!$A$2:$A$200,0))),"")</f>
        <v/>
      </c>
      <c r="U777" s="10">
        <f>IFERROR(IF(INDEX('Test catalog'!$N$2:$N$200,MATCH($AB777,'Test catalog'!$A$2:$A$200,0))="","",INDEX('Test catalog'!$N$2:$N$200,MATCH($AB777,'Test catalog'!$A$2:$A$200,0))),"")</f>
        <v/>
      </c>
      <c r="V777" s="15" t="n"/>
      <c r="W777" s="5" t="inlineStr">
        <is>
          <t>N</t>
        </is>
      </c>
      <c r="X777" s="5" t="n"/>
      <c r="Y777" s="5" t="n"/>
      <c r="Z777" s="5" t="n"/>
      <c r="AA777" s="10">
        <f>IFERROR(IF(INDEX('Test catalog'!$O$2:$O$200,MATCH($AB777,'Test catalog'!$A$2:$A$200,0))="","",INDEX('Test catalog'!$O$2:$O$200,MATCH($AB777,'Test catalog'!$A$2:$A$200,0))),"")</f>
        <v/>
      </c>
      <c r="AB777" s="10" t="inlineStr">
        <is>
          <t>PHYS</t>
        </is>
      </c>
      <c r="AC777" s="10" t="inlineStr">
        <is>
          <t>Microcrystalline Cellulose · Specific Tests &lt;786&gt;</t>
        </is>
      </c>
      <c r="AD777" s="10" t="n"/>
      <c r="AE777" s="10" t="n"/>
    </row>
    <row r="778">
      <c r="A778" s="10" t="inlineStr">
        <is>
          <t>Microcrystalline Cellulose PH 102</t>
        </is>
      </c>
      <c r="B778" s="10" t="inlineStr">
        <is>
          <t>RM</t>
        </is>
      </c>
      <c r="C778" s="10" t="inlineStr">
        <is>
          <t>Filler / Diluent</t>
        </is>
      </c>
      <c r="D778" s="10" t="inlineStr">
        <is>
          <t>Water-Soluble Substances</t>
        </is>
      </c>
      <c r="E778" s="10">
        <f>IF(A778="","",A778&amp;"|"&amp;D778)</f>
        <v/>
      </c>
      <c r="F778" s="5" t="inlineStr">
        <is>
          <t>Y</t>
        </is>
      </c>
      <c r="G778" s="5" t="inlineStr">
        <is>
          <t>Other / bench</t>
        </is>
      </c>
      <c r="H778" s="5" t="inlineStr">
        <is>
          <t>Low</t>
        </is>
      </c>
      <c r="I778" s="5" t="n">
        <v>1</v>
      </c>
      <c r="J778" s="5" t="n"/>
      <c r="K778" s="10">
        <f>IFERROR(IF(INDEX('Test catalog'!$F$2:$F$200,MATCH($AB778,'Test catalog'!$A$2:$A$200,0))="","",INDEX('Test catalog'!$F$2:$F$200,MATCH($AB778,'Test catalog'!$A$2:$A$200,0))),"")</f>
        <v/>
      </c>
      <c r="L778" s="10">
        <f>IFERROR(IF(INDEX('Test catalog'!$G$2:$G$200,MATCH($AB778,'Test catalog'!$A$2:$A$200,0))="","",INDEX('Test catalog'!$G$2:$G$200,MATCH($AB778,'Test catalog'!$A$2:$A$200,0))),"")</f>
        <v/>
      </c>
      <c r="M778" s="10">
        <f>IFERROR(IF(INDEX('Test catalog'!$H$2:$H$200,MATCH($AB778,'Test catalog'!$A$2:$A$200,0))="","",INDEX('Test catalog'!$H$2:$H$200,MATCH($AB778,'Test catalog'!$A$2:$A$200,0))),"")</f>
        <v/>
      </c>
      <c r="N778" s="10">
        <f>IFERROR(IF(INDEX('Test catalog'!$I$2:$I$200,MATCH($AB778,'Test catalog'!$A$2:$A$200,0))="","",INDEX('Test catalog'!$I$2:$I$200,MATCH($AB778,'Test catalog'!$A$2:$A$200,0))),"")</f>
        <v/>
      </c>
      <c r="O778" s="10">
        <f>IFERROR(IF(INDEX('Test catalog'!$J$2:$J$200,MATCH($AB778,'Test catalog'!$A$2:$A$200,0))="","",INDEX('Test catalog'!$J$2:$J$200,MATCH($AB778,'Test catalog'!$A$2:$A$200,0))),"")</f>
        <v/>
      </c>
      <c r="P778" s="14">
        <f>IF(N778="","",IF(OR(M778="",O778=""),N778,(M778+4*N778+O778)/6))</f>
        <v/>
      </c>
      <c r="Q778" s="10">
        <f>IFERROR(IF(INDEX('Test catalog'!$K$2:$K$200,MATCH($AB778,'Test catalog'!$A$2:$A$200,0))="","",INDEX('Test catalog'!$K$2:$K$200,MATCH($AB778,'Test catalog'!$A$2:$A$200,0))),"")</f>
        <v/>
      </c>
      <c r="R778" s="5" t="n"/>
      <c r="S778" s="10">
        <f>IFERROR(IF(INDEX('Test catalog'!$L$2:$L$200,MATCH($AB778,'Test catalog'!$A$2:$A$200,0))="","",INDEX('Test catalog'!$L$2:$L$200,MATCH($AB778,'Test catalog'!$A$2:$A$200,0))),"")</f>
        <v/>
      </c>
      <c r="T778" s="10">
        <f>IFERROR(IF(INDEX('Test catalog'!$M$2:$M$200,MATCH($AB778,'Test catalog'!$A$2:$A$200,0))="","",INDEX('Test catalog'!$M$2:$M$200,MATCH($AB778,'Test catalog'!$A$2:$A$200,0))),"")</f>
        <v/>
      </c>
      <c r="U778" s="10">
        <f>IFERROR(IF(INDEX('Test catalog'!$N$2:$N$200,MATCH($AB778,'Test catalog'!$A$2:$A$200,0))="","",INDEX('Test catalog'!$N$2:$N$200,MATCH($AB778,'Test catalog'!$A$2:$A$200,0))),"")</f>
        <v/>
      </c>
      <c r="V778" s="15" t="n"/>
      <c r="W778" s="5" t="inlineStr">
        <is>
          <t>N</t>
        </is>
      </c>
      <c r="X778" s="5" t="n"/>
      <c r="Y778" s="5" t="n"/>
      <c r="Z778" s="5" t="n"/>
      <c r="AA778" s="10">
        <f>IFERROR(IF(INDEX('Test catalog'!$O$2:$O$200,MATCH($AB778,'Test catalog'!$A$2:$A$200,0))="","",INDEX('Test catalog'!$O$2:$O$200,MATCH($AB778,'Test catalog'!$A$2:$A$200,0))),"")</f>
        <v/>
      </c>
      <c r="AB778" s="10" t="inlineStr">
        <is>
          <t>GRAV</t>
        </is>
      </c>
      <c r="AC778" s="10" t="inlineStr">
        <is>
          <t>Microcrystalline Cellulose · Specific Tests</t>
        </is>
      </c>
      <c r="AD778" s="10" t="n"/>
      <c r="AE778" s="10" t="n"/>
    </row>
    <row r="779">
      <c r="A779" s="10" t="inlineStr">
        <is>
          <t>Microcrystalline Cellulose PH 102</t>
        </is>
      </c>
      <c r="B779" s="10" t="inlineStr">
        <is>
          <t>RM</t>
        </is>
      </c>
      <c r="C779" s="10" t="inlineStr">
        <is>
          <t>Filler / Diluent</t>
        </is>
      </c>
      <c r="D779" s="10" t="inlineStr">
        <is>
          <t>Ether-Soluble Substances</t>
        </is>
      </c>
      <c r="E779" s="10">
        <f>IF(A779="","",A779&amp;"|"&amp;D779)</f>
        <v/>
      </c>
      <c r="F779" s="5" t="inlineStr">
        <is>
          <t>Y</t>
        </is>
      </c>
      <c r="G779" s="5" t="inlineStr">
        <is>
          <t>Other / bench</t>
        </is>
      </c>
      <c r="H779" s="5" t="inlineStr">
        <is>
          <t>Low</t>
        </is>
      </c>
      <c r="I779" s="5" t="n">
        <v>1</v>
      </c>
      <c r="J779" s="5" t="n"/>
      <c r="K779" s="10">
        <f>IFERROR(IF(INDEX('Test catalog'!$F$2:$F$200,MATCH($AB779,'Test catalog'!$A$2:$A$200,0))="","",INDEX('Test catalog'!$F$2:$F$200,MATCH($AB779,'Test catalog'!$A$2:$A$200,0))),"")</f>
        <v/>
      </c>
      <c r="L779" s="10">
        <f>IFERROR(IF(INDEX('Test catalog'!$G$2:$G$200,MATCH($AB779,'Test catalog'!$A$2:$A$200,0))="","",INDEX('Test catalog'!$G$2:$G$200,MATCH($AB779,'Test catalog'!$A$2:$A$200,0))),"")</f>
        <v/>
      </c>
      <c r="M779" s="10">
        <f>IFERROR(IF(INDEX('Test catalog'!$H$2:$H$200,MATCH($AB779,'Test catalog'!$A$2:$A$200,0))="","",INDEX('Test catalog'!$H$2:$H$200,MATCH($AB779,'Test catalog'!$A$2:$A$200,0))),"")</f>
        <v/>
      </c>
      <c r="N779" s="10">
        <f>IFERROR(IF(INDEX('Test catalog'!$I$2:$I$200,MATCH($AB779,'Test catalog'!$A$2:$A$200,0))="","",INDEX('Test catalog'!$I$2:$I$200,MATCH($AB779,'Test catalog'!$A$2:$A$200,0))),"")</f>
        <v/>
      </c>
      <c r="O779" s="10">
        <f>IFERROR(IF(INDEX('Test catalog'!$J$2:$J$200,MATCH($AB779,'Test catalog'!$A$2:$A$200,0))="","",INDEX('Test catalog'!$J$2:$J$200,MATCH($AB779,'Test catalog'!$A$2:$A$200,0))),"")</f>
        <v/>
      </c>
      <c r="P779" s="14">
        <f>IF(N779="","",IF(OR(M779="",O779=""),N779,(M779+4*N779+O779)/6))</f>
        <v/>
      </c>
      <c r="Q779" s="10">
        <f>IFERROR(IF(INDEX('Test catalog'!$K$2:$K$200,MATCH($AB779,'Test catalog'!$A$2:$A$200,0))="","",INDEX('Test catalog'!$K$2:$K$200,MATCH($AB779,'Test catalog'!$A$2:$A$200,0))),"")</f>
        <v/>
      </c>
      <c r="R779" s="5" t="n"/>
      <c r="S779" s="10">
        <f>IFERROR(IF(INDEX('Test catalog'!$L$2:$L$200,MATCH($AB779,'Test catalog'!$A$2:$A$200,0))="","",INDEX('Test catalog'!$L$2:$L$200,MATCH($AB779,'Test catalog'!$A$2:$A$200,0))),"")</f>
        <v/>
      </c>
      <c r="T779" s="10">
        <f>IFERROR(IF(INDEX('Test catalog'!$M$2:$M$200,MATCH($AB779,'Test catalog'!$A$2:$A$200,0))="","",INDEX('Test catalog'!$M$2:$M$200,MATCH($AB779,'Test catalog'!$A$2:$A$200,0))),"")</f>
        <v/>
      </c>
      <c r="U779" s="10">
        <f>IFERROR(IF(INDEX('Test catalog'!$N$2:$N$200,MATCH($AB779,'Test catalog'!$A$2:$A$200,0))="","",INDEX('Test catalog'!$N$2:$N$200,MATCH($AB779,'Test catalog'!$A$2:$A$200,0))),"")</f>
        <v/>
      </c>
      <c r="V779" s="15" t="n"/>
      <c r="W779" s="5" t="inlineStr">
        <is>
          <t>N</t>
        </is>
      </c>
      <c r="X779" s="5" t="n"/>
      <c r="Y779" s="5" t="n"/>
      <c r="Z779" s="5" t="n"/>
      <c r="AA779" s="10">
        <f>IFERROR(IF(INDEX('Test catalog'!$O$2:$O$200,MATCH($AB779,'Test catalog'!$A$2:$A$200,0))="","",INDEX('Test catalog'!$O$2:$O$200,MATCH($AB779,'Test catalog'!$A$2:$A$200,0))),"")</f>
        <v/>
      </c>
      <c r="AB779" s="10" t="inlineStr">
        <is>
          <t>LIMIT</t>
        </is>
      </c>
      <c r="AC779" s="10" t="inlineStr">
        <is>
          <t>Microcrystalline Cellulose · Specific Tests</t>
        </is>
      </c>
      <c r="AD779" s="10" t="n"/>
      <c r="AE779" s="10" t="n"/>
    </row>
    <row r="780">
      <c r="A780" s="10" t="inlineStr">
        <is>
          <t>Pregelatinized Starch</t>
        </is>
      </c>
      <c r="B780" s="10" t="inlineStr">
        <is>
          <t>RM</t>
        </is>
      </c>
      <c r="C780" s="10" t="inlineStr">
        <is>
          <t>Filler / Diluent</t>
        </is>
      </c>
      <c r="D780" s="10" t="inlineStr">
        <is>
          <t>Appearance / description and solubility</t>
        </is>
      </c>
      <c r="E780" s="10">
        <f>IF(A780="","",A780&amp;"|"&amp;D780)</f>
        <v/>
      </c>
      <c r="F780" s="5" t="inlineStr">
        <is>
          <t>Y</t>
        </is>
      </c>
      <c r="G780" s="5" t="inlineStr">
        <is>
          <t>Other / bench</t>
        </is>
      </c>
      <c r="H780" s="5" t="inlineStr">
        <is>
          <t>Low</t>
        </is>
      </c>
      <c r="I780" s="5" t="n">
        <v>1</v>
      </c>
      <c r="J780" s="5" t="n"/>
      <c r="K780" s="10">
        <f>IFERROR(IF(INDEX('Test catalog'!$F$2:$F$200,MATCH($AB780,'Test catalog'!$A$2:$A$200,0))="","",INDEX('Test catalog'!$F$2:$F$200,MATCH($AB780,'Test catalog'!$A$2:$A$200,0))),"")</f>
        <v/>
      </c>
      <c r="L780" s="10">
        <f>IFERROR(IF(INDEX('Test catalog'!$G$2:$G$200,MATCH($AB780,'Test catalog'!$A$2:$A$200,0))="","",INDEX('Test catalog'!$G$2:$G$200,MATCH($AB780,'Test catalog'!$A$2:$A$200,0))),"")</f>
        <v/>
      </c>
      <c r="M780" s="10">
        <f>IFERROR(IF(INDEX('Test catalog'!$H$2:$H$200,MATCH($AB780,'Test catalog'!$A$2:$A$200,0))="","",INDEX('Test catalog'!$H$2:$H$200,MATCH($AB780,'Test catalog'!$A$2:$A$200,0))),"")</f>
        <v/>
      </c>
      <c r="N780" s="10">
        <f>IFERROR(IF(INDEX('Test catalog'!$I$2:$I$200,MATCH($AB780,'Test catalog'!$A$2:$A$200,0))="","",INDEX('Test catalog'!$I$2:$I$200,MATCH($AB780,'Test catalog'!$A$2:$A$200,0))),"")</f>
        <v/>
      </c>
      <c r="O780" s="10">
        <f>IFERROR(IF(INDEX('Test catalog'!$J$2:$J$200,MATCH($AB780,'Test catalog'!$A$2:$A$200,0))="","",INDEX('Test catalog'!$J$2:$J$200,MATCH($AB780,'Test catalog'!$A$2:$A$200,0))),"")</f>
        <v/>
      </c>
      <c r="P780" s="14">
        <f>IF(N780="","",IF(OR(M780="",O780=""),N780,(M780+4*N780+O780)/6))</f>
        <v/>
      </c>
      <c r="Q780" s="10">
        <f>IFERROR(IF(INDEX('Test catalog'!$K$2:$K$200,MATCH($AB780,'Test catalog'!$A$2:$A$200,0))="","",INDEX('Test catalog'!$K$2:$K$200,MATCH($AB780,'Test catalog'!$A$2:$A$200,0))),"")</f>
        <v/>
      </c>
      <c r="R780" s="5" t="n"/>
      <c r="S780" s="10">
        <f>IFERROR(IF(INDEX('Test catalog'!$L$2:$L$200,MATCH($AB780,'Test catalog'!$A$2:$A$200,0))="","",INDEX('Test catalog'!$L$2:$L$200,MATCH($AB780,'Test catalog'!$A$2:$A$200,0))),"")</f>
        <v/>
      </c>
      <c r="T780" s="10">
        <f>IFERROR(IF(INDEX('Test catalog'!$M$2:$M$200,MATCH($AB780,'Test catalog'!$A$2:$A$200,0))="","",INDEX('Test catalog'!$M$2:$M$200,MATCH($AB780,'Test catalog'!$A$2:$A$200,0))),"")</f>
        <v/>
      </c>
      <c r="U780" s="10">
        <f>IFERROR(IF(INDEX('Test catalog'!$N$2:$N$200,MATCH($AB780,'Test catalog'!$A$2:$A$200,0))="","",INDEX('Test catalog'!$N$2:$N$200,MATCH($AB780,'Test catalog'!$A$2:$A$200,0))),"")</f>
        <v/>
      </c>
      <c r="V780" s="15" t="n"/>
      <c r="W780" s="5" t="inlineStr">
        <is>
          <t>N</t>
        </is>
      </c>
      <c r="X780" s="5" t="n"/>
      <c r="Y780" s="5" t="n"/>
      <c r="Z780" s="5" t="n"/>
      <c r="AA780" s="10">
        <f>IFERROR(IF(INDEX('Test catalog'!$O$2:$O$200,MATCH($AB780,'Test catalog'!$A$2:$A$200,0))="","",INDEX('Test catalog'!$O$2:$O$200,MATCH($AB780,'Test catalog'!$A$2:$A$200,0))),"")</f>
        <v/>
      </c>
      <c r="AB780" s="10" t="inlineStr">
        <is>
          <t>APPEAR</t>
        </is>
      </c>
      <c r="AC780" s="10" t="inlineStr">
        <is>
          <t>Lab practice (not a USP test)</t>
        </is>
      </c>
      <c r="AD780" s="10" t="n"/>
      <c r="AE780" s="10" t="n"/>
    </row>
    <row r="781">
      <c r="A781" s="10" t="inlineStr">
        <is>
          <t>Pregelatinized Starch</t>
        </is>
      </c>
      <c r="B781" s="10" t="inlineStr">
        <is>
          <t>RM</t>
        </is>
      </c>
      <c r="C781" s="10" t="inlineStr">
        <is>
          <t>Filler / Diluent</t>
        </is>
      </c>
      <c r="D781" s="10" t="inlineStr">
        <is>
          <t>Residue on Ignition</t>
        </is>
      </c>
      <c r="E781" s="10">
        <f>IF(A781="","",A781&amp;"|"&amp;D781)</f>
        <v/>
      </c>
      <c r="F781" s="5" t="inlineStr">
        <is>
          <t>Y</t>
        </is>
      </c>
      <c r="G781" s="5" t="inlineStr">
        <is>
          <t>Other / bench</t>
        </is>
      </c>
      <c r="H781" s="5" t="inlineStr">
        <is>
          <t>Low</t>
        </is>
      </c>
      <c r="I781" s="5" t="n">
        <v>1</v>
      </c>
      <c r="J781" s="5" t="n"/>
      <c r="K781" s="10">
        <f>IFERROR(IF(INDEX('Test catalog'!$F$2:$F$200,MATCH($AB781,'Test catalog'!$A$2:$A$200,0))="","",INDEX('Test catalog'!$F$2:$F$200,MATCH($AB781,'Test catalog'!$A$2:$A$200,0))),"")</f>
        <v/>
      </c>
      <c r="L781" s="10">
        <f>IFERROR(IF(INDEX('Test catalog'!$G$2:$G$200,MATCH($AB781,'Test catalog'!$A$2:$A$200,0))="","",INDEX('Test catalog'!$G$2:$G$200,MATCH($AB781,'Test catalog'!$A$2:$A$200,0))),"")</f>
        <v/>
      </c>
      <c r="M781" s="10">
        <f>IFERROR(IF(INDEX('Test catalog'!$H$2:$H$200,MATCH($AB781,'Test catalog'!$A$2:$A$200,0))="","",INDEX('Test catalog'!$H$2:$H$200,MATCH($AB781,'Test catalog'!$A$2:$A$200,0))),"")</f>
        <v/>
      </c>
      <c r="N781" s="10">
        <f>IFERROR(IF(INDEX('Test catalog'!$I$2:$I$200,MATCH($AB781,'Test catalog'!$A$2:$A$200,0))="","",INDEX('Test catalog'!$I$2:$I$200,MATCH($AB781,'Test catalog'!$A$2:$A$200,0))),"")</f>
        <v/>
      </c>
      <c r="O781" s="10">
        <f>IFERROR(IF(INDEX('Test catalog'!$J$2:$J$200,MATCH($AB781,'Test catalog'!$A$2:$A$200,0))="","",INDEX('Test catalog'!$J$2:$J$200,MATCH($AB781,'Test catalog'!$A$2:$A$200,0))),"")</f>
        <v/>
      </c>
      <c r="P781" s="14">
        <f>IF(N781="","",IF(OR(M781="",O781=""),N781,(M781+4*N781+O781)/6))</f>
        <v/>
      </c>
      <c r="Q781" s="10">
        <f>IFERROR(IF(INDEX('Test catalog'!$K$2:$K$200,MATCH($AB781,'Test catalog'!$A$2:$A$200,0))="","",INDEX('Test catalog'!$K$2:$K$200,MATCH($AB781,'Test catalog'!$A$2:$A$200,0))),"")</f>
        <v/>
      </c>
      <c r="R781" s="5" t="n"/>
      <c r="S781" s="10">
        <f>IFERROR(IF(INDEX('Test catalog'!$L$2:$L$200,MATCH($AB781,'Test catalog'!$A$2:$A$200,0))="","",INDEX('Test catalog'!$L$2:$L$200,MATCH($AB781,'Test catalog'!$A$2:$A$200,0))),"")</f>
        <v/>
      </c>
      <c r="T781" s="10">
        <f>IFERROR(IF(INDEX('Test catalog'!$M$2:$M$200,MATCH($AB781,'Test catalog'!$A$2:$A$200,0))="","",INDEX('Test catalog'!$M$2:$M$200,MATCH($AB781,'Test catalog'!$A$2:$A$200,0))),"")</f>
        <v/>
      </c>
      <c r="U781" s="10">
        <f>IFERROR(IF(INDEX('Test catalog'!$N$2:$N$200,MATCH($AB781,'Test catalog'!$A$2:$A$200,0))="","",INDEX('Test catalog'!$N$2:$N$200,MATCH($AB781,'Test catalog'!$A$2:$A$200,0))),"")</f>
        <v/>
      </c>
      <c r="V781" s="15" t="n"/>
      <c r="W781" s="5" t="inlineStr">
        <is>
          <t>N</t>
        </is>
      </c>
      <c r="X781" s="5" t="n"/>
      <c r="Y781" s="5" t="n"/>
      <c r="Z781" s="5" t="n"/>
      <c r="AA781" s="10">
        <f>IFERROR(IF(INDEX('Test catalog'!$O$2:$O$200,MATCH($AB781,'Test catalog'!$A$2:$A$200,0))="","",INDEX('Test catalog'!$O$2:$O$200,MATCH($AB781,'Test catalog'!$A$2:$A$200,0))),"")</f>
        <v/>
      </c>
      <c r="AB781" s="10" t="inlineStr">
        <is>
          <t>ROI</t>
        </is>
      </c>
      <c r="AC781" s="10" t="inlineStr">
        <is>
          <t>Pregelatinized Starch · Impurities &lt;281&gt;</t>
        </is>
      </c>
      <c r="AD781" s="10" t="n"/>
      <c r="AE781" s="10" t="n"/>
    </row>
    <row r="782">
      <c r="A782" s="10" t="inlineStr">
        <is>
          <t>Pregelatinized Starch</t>
        </is>
      </c>
      <c r="B782" s="10" t="inlineStr">
        <is>
          <t>RM</t>
        </is>
      </c>
      <c r="C782" s="10" t="inlineStr">
        <is>
          <t>Filler / Diluent</t>
        </is>
      </c>
      <c r="D782" s="10" t="inlineStr">
        <is>
          <t>Iron</t>
        </is>
      </c>
      <c r="E782" s="10">
        <f>IF(A782="","",A782&amp;"|"&amp;D782)</f>
        <v/>
      </c>
      <c r="F782" s="5" t="inlineStr">
        <is>
          <t>Y</t>
        </is>
      </c>
      <c r="G782" s="5" t="inlineStr">
        <is>
          <t>Other / bench</t>
        </is>
      </c>
      <c r="H782" s="5" t="inlineStr">
        <is>
          <t>Low</t>
        </is>
      </c>
      <c r="I782" s="5" t="n">
        <v>1</v>
      </c>
      <c r="J782" s="5" t="n"/>
      <c r="K782" s="10">
        <f>IFERROR(IF(INDEX('Test catalog'!$F$2:$F$200,MATCH($AB782,'Test catalog'!$A$2:$A$200,0))="","",INDEX('Test catalog'!$F$2:$F$200,MATCH($AB782,'Test catalog'!$A$2:$A$200,0))),"")</f>
        <v/>
      </c>
      <c r="L782" s="10">
        <f>IFERROR(IF(INDEX('Test catalog'!$G$2:$G$200,MATCH($AB782,'Test catalog'!$A$2:$A$200,0))="","",INDEX('Test catalog'!$G$2:$G$200,MATCH($AB782,'Test catalog'!$A$2:$A$200,0))),"")</f>
        <v/>
      </c>
      <c r="M782" s="10">
        <f>IFERROR(IF(INDEX('Test catalog'!$H$2:$H$200,MATCH($AB782,'Test catalog'!$A$2:$A$200,0))="","",INDEX('Test catalog'!$H$2:$H$200,MATCH($AB782,'Test catalog'!$A$2:$A$200,0))),"")</f>
        <v/>
      </c>
      <c r="N782" s="10">
        <f>IFERROR(IF(INDEX('Test catalog'!$I$2:$I$200,MATCH($AB782,'Test catalog'!$A$2:$A$200,0))="","",INDEX('Test catalog'!$I$2:$I$200,MATCH($AB782,'Test catalog'!$A$2:$A$200,0))),"")</f>
        <v/>
      </c>
      <c r="O782" s="10">
        <f>IFERROR(IF(INDEX('Test catalog'!$J$2:$J$200,MATCH($AB782,'Test catalog'!$A$2:$A$200,0))="","",INDEX('Test catalog'!$J$2:$J$200,MATCH($AB782,'Test catalog'!$A$2:$A$200,0))),"")</f>
        <v/>
      </c>
      <c r="P782" s="14">
        <f>IF(N782="","",IF(OR(M782="",O782=""),N782,(M782+4*N782+O782)/6))</f>
        <v/>
      </c>
      <c r="Q782" s="10">
        <f>IFERROR(IF(INDEX('Test catalog'!$K$2:$K$200,MATCH($AB782,'Test catalog'!$A$2:$A$200,0))="","",INDEX('Test catalog'!$K$2:$K$200,MATCH($AB782,'Test catalog'!$A$2:$A$200,0))),"")</f>
        <v/>
      </c>
      <c r="R782" s="5" t="n"/>
      <c r="S782" s="10">
        <f>IFERROR(IF(INDEX('Test catalog'!$L$2:$L$200,MATCH($AB782,'Test catalog'!$A$2:$A$200,0))="","",INDEX('Test catalog'!$L$2:$L$200,MATCH($AB782,'Test catalog'!$A$2:$A$200,0))),"")</f>
        <v/>
      </c>
      <c r="T782" s="10">
        <f>IFERROR(IF(INDEX('Test catalog'!$M$2:$M$200,MATCH($AB782,'Test catalog'!$A$2:$A$200,0))="","",INDEX('Test catalog'!$M$2:$M$200,MATCH($AB782,'Test catalog'!$A$2:$A$200,0))),"")</f>
        <v/>
      </c>
      <c r="U782" s="10">
        <f>IFERROR(IF(INDEX('Test catalog'!$N$2:$N$200,MATCH($AB782,'Test catalog'!$A$2:$A$200,0))="","",INDEX('Test catalog'!$N$2:$N$200,MATCH($AB782,'Test catalog'!$A$2:$A$200,0))),"")</f>
        <v/>
      </c>
      <c r="V782" s="15" t="n"/>
      <c r="W782" s="5" t="inlineStr">
        <is>
          <t>N</t>
        </is>
      </c>
      <c r="X782" s="5" t="n"/>
      <c r="Y782" s="5" t="n"/>
      <c r="Z782" s="5" t="n"/>
      <c r="AA782" s="10">
        <f>IFERROR(IF(INDEX('Test catalog'!$O$2:$O$200,MATCH($AB782,'Test catalog'!$A$2:$A$200,0))="","",INDEX('Test catalog'!$O$2:$O$200,MATCH($AB782,'Test catalog'!$A$2:$A$200,0))),"")</f>
        <v/>
      </c>
      <c r="AB782" s="10" t="inlineStr">
        <is>
          <t>LIMIT</t>
        </is>
      </c>
      <c r="AC782" s="10" t="inlineStr">
        <is>
          <t>Pregelatinized Starch · Impurities &lt;241&gt;</t>
        </is>
      </c>
      <c r="AD782" s="10" t="n"/>
      <c r="AE782" s="10" t="n"/>
    </row>
    <row r="783">
      <c r="A783" s="10" t="inlineStr">
        <is>
          <t>Pregelatinized Starch</t>
        </is>
      </c>
      <c r="B783" s="10" t="inlineStr">
        <is>
          <t>RM</t>
        </is>
      </c>
      <c r="C783" s="10" t="inlineStr">
        <is>
          <t>Filler / Diluent</t>
        </is>
      </c>
      <c r="D783" s="10" t="inlineStr">
        <is>
          <t>Limit of Sulfur Dioxide</t>
        </is>
      </c>
      <c r="E783" s="10">
        <f>IF(A783="","",A783&amp;"|"&amp;D783)</f>
        <v/>
      </c>
      <c r="F783" s="5" t="inlineStr">
        <is>
          <t>Y</t>
        </is>
      </c>
      <c r="G783" s="5" t="inlineStr">
        <is>
          <t>Other / bench</t>
        </is>
      </c>
      <c r="H783" s="5" t="inlineStr">
        <is>
          <t>Low</t>
        </is>
      </c>
      <c r="I783" s="5" t="n">
        <v>1</v>
      </c>
      <c r="J783" s="5" t="n"/>
      <c r="K783" s="10">
        <f>IFERROR(IF(INDEX('Test catalog'!$F$2:$F$200,MATCH($AB783,'Test catalog'!$A$2:$A$200,0))="","",INDEX('Test catalog'!$F$2:$F$200,MATCH($AB783,'Test catalog'!$A$2:$A$200,0))),"")</f>
        <v/>
      </c>
      <c r="L783" s="10">
        <f>IFERROR(IF(INDEX('Test catalog'!$G$2:$G$200,MATCH($AB783,'Test catalog'!$A$2:$A$200,0))="","",INDEX('Test catalog'!$G$2:$G$200,MATCH($AB783,'Test catalog'!$A$2:$A$200,0))),"")</f>
        <v/>
      </c>
      <c r="M783" s="10">
        <f>IFERROR(IF(INDEX('Test catalog'!$H$2:$H$200,MATCH($AB783,'Test catalog'!$A$2:$A$200,0))="","",INDEX('Test catalog'!$H$2:$H$200,MATCH($AB783,'Test catalog'!$A$2:$A$200,0))),"")</f>
        <v/>
      </c>
      <c r="N783" s="10">
        <f>IFERROR(IF(INDEX('Test catalog'!$I$2:$I$200,MATCH($AB783,'Test catalog'!$A$2:$A$200,0))="","",INDEX('Test catalog'!$I$2:$I$200,MATCH($AB783,'Test catalog'!$A$2:$A$200,0))),"")</f>
        <v/>
      </c>
      <c r="O783" s="10">
        <f>IFERROR(IF(INDEX('Test catalog'!$J$2:$J$200,MATCH($AB783,'Test catalog'!$A$2:$A$200,0))="","",INDEX('Test catalog'!$J$2:$J$200,MATCH($AB783,'Test catalog'!$A$2:$A$200,0))),"")</f>
        <v/>
      </c>
      <c r="P783" s="14">
        <f>IF(N783="","",IF(OR(M783="",O783=""),N783,(M783+4*N783+O783)/6))</f>
        <v/>
      </c>
      <c r="Q783" s="10">
        <f>IFERROR(IF(INDEX('Test catalog'!$K$2:$K$200,MATCH($AB783,'Test catalog'!$A$2:$A$200,0))="","",INDEX('Test catalog'!$K$2:$K$200,MATCH($AB783,'Test catalog'!$A$2:$A$200,0))),"")</f>
        <v/>
      </c>
      <c r="R783" s="5" t="n"/>
      <c r="S783" s="10">
        <f>IFERROR(IF(INDEX('Test catalog'!$L$2:$L$200,MATCH($AB783,'Test catalog'!$A$2:$A$200,0))="","",INDEX('Test catalog'!$L$2:$L$200,MATCH($AB783,'Test catalog'!$A$2:$A$200,0))),"")</f>
        <v/>
      </c>
      <c r="T783" s="10">
        <f>IFERROR(IF(INDEX('Test catalog'!$M$2:$M$200,MATCH($AB783,'Test catalog'!$A$2:$A$200,0))="","",INDEX('Test catalog'!$M$2:$M$200,MATCH($AB783,'Test catalog'!$A$2:$A$200,0))),"")</f>
        <v/>
      </c>
      <c r="U783" s="10">
        <f>IFERROR(IF(INDEX('Test catalog'!$N$2:$N$200,MATCH($AB783,'Test catalog'!$A$2:$A$200,0))="","",INDEX('Test catalog'!$N$2:$N$200,MATCH($AB783,'Test catalog'!$A$2:$A$200,0))),"")</f>
        <v/>
      </c>
      <c r="V783" s="15" t="n"/>
      <c r="W783" s="5" t="inlineStr">
        <is>
          <t>N</t>
        </is>
      </c>
      <c r="X783" s="5" t="n"/>
      <c r="Y783" s="5" t="n"/>
      <c r="Z783" s="5" t="n"/>
      <c r="AA783" s="10">
        <f>IFERROR(IF(INDEX('Test catalog'!$O$2:$O$200,MATCH($AB783,'Test catalog'!$A$2:$A$200,0))="","",INDEX('Test catalog'!$O$2:$O$200,MATCH($AB783,'Test catalog'!$A$2:$A$200,0))),"")</f>
        <v/>
      </c>
      <c r="AB783" s="10" t="inlineStr">
        <is>
          <t>TITR</t>
        </is>
      </c>
      <c r="AC783" s="10" t="inlineStr">
        <is>
          <t>Pregelatinized Starch · Impurities</t>
        </is>
      </c>
      <c r="AD783" s="10" t="n"/>
      <c r="AE783" s="10" t="n"/>
    </row>
    <row r="784">
      <c r="A784" s="10" t="inlineStr">
        <is>
          <t>Pregelatinized Starch</t>
        </is>
      </c>
      <c r="B784" s="10" t="inlineStr">
        <is>
          <t>RM</t>
        </is>
      </c>
      <c r="C784" s="10" t="inlineStr">
        <is>
          <t>Filler / Diluent</t>
        </is>
      </c>
      <c r="D784" s="10" t="inlineStr">
        <is>
          <t>pH</t>
        </is>
      </c>
      <c r="E784" s="10">
        <f>IF(A784="","",A784&amp;"|"&amp;D784)</f>
        <v/>
      </c>
      <c r="F784" s="5" t="inlineStr">
        <is>
          <t>Y</t>
        </is>
      </c>
      <c r="G784" s="5" t="inlineStr">
        <is>
          <t>Other / bench</t>
        </is>
      </c>
      <c r="H784" s="5" t="inlineStr">
        <is>
          <t>Low</t>
        </is>
      </c>
      <c r="I784" s="5" t="n">
        <v>1</v>
      </c>
      <c r="J784" s="5" t="n"/>
      <c r="K784" s="10">
        <f>IFERROR(IF(INDEX('Test catalog'!$F$2:$F$200,MATCH($AB784,'Test catalog'!$A$2:$A$200,0))="","",INDEX('Test catalog'!$F$2:$F$200,MATCH($AB784,'Test catalog'!$A$2:$A$200,0))),"")</f>
        <v/>
      </c>
      <c r="L784" s="10">
        <f>IFERROR(IF(INDEX('Test catalog'!$G$2:$G$200,MATCH($AB784,'Test catalog'!$A$2:$A$200,0))="","",INDEX('Test catalog'!$G$2:$G$200,MATCH($AB784,'Test catalog'!$A$2:$A$200,0))),"")</f>
        <v/>
      </c>
      <c r="M784" s="10">
        <f>IFERROR(IF(INDEX('Test catalog'!$H$2:$H$200,MATCH($AB784,'Test catalog'!$A$2:$A$200,0))="","",INDEX('Test catalog'!$H$2:$H$200,MATCH($AB784,'Test catalog'!$A$2:$A$200,0))),"")</f>
        <v/>
      </c>
      <c r="N784" s="10">
        <f>IFERROR(IF(INDEX('Test catalog'!$I$2:$I$200,MATCH($AB784,'Test catalog'!$A$2:$A$200,0))="","",INDEX('Test catalog'!$I$2:$I$200,MATCH($AB784,'Test catalog'!$A$2:$A$200,0))),"")</f>
        <v/>
      </c>
      <c r="O784" s="10">
        <f>IFERROR(IF(INDEX('Test catalog'!$J$2:$J$200,MATCH($AB784,'Test catalog'!$A$2:$A$200,0))="","",INDEX('Test catalog'!$J$2:$J$200,MATCH($AB784,'Test catalog'!$A$2:$A$200,0))),"")</f>
        <v/>
      </c>
      <c r="P784" s="14">
        <f>IF(N784="","",IF(OR(M784="",O784=""),N784,(M784+4*N784+O784)/6))</f>
        <v/>
      </c>
      <c r="Q784" s="10">
        <f>IFERROR(IF(INDEX('Test catalog'!$K$2:$K$200,MATCH($AB784,'Test catalog'!$A$2:$A$200,0))="","",INDEX('Test catalog'!$K$2:$K$200,MATCH($AB784,'Test catalog'!$A$2:$A$200,0))),"")</f>
        <v/>
      </c>
      <c r="R784" s="5" t="n"/>
      <c r="S784" s="10">
        <f>IFERROR(IF(INDEX('Test catalog'!$L$2:$L$200,MATCH($AB784,'Test catalog'!$A$2:$A$200,0))="","",INDEX('Test catalog'!$L$2:$L$200,MATCH($AB784,'Test catalog'!$A$2:$A$200,0))),"")</f>
        <v/>
      </c>
      <c r="T784" s="10">
        <f>IFERROR(IF(INDEX('Test catalog'!$M$2:$M$200,MATCH($AB784,'Test catalog'!$A$2:$A$200,0))="","",INDEX('Test catalog'!$M$2:$M$200,MATCH($AB784,'Test catalog'!$A$2:$A$200,0))),"")</f>
        <v/>
      </c>
      <c r="U784" s="10">
        <f>IFERROR(IF(INDEX('Test catalog'!$N$2:$N$200,MATCH($AB784,'Test catalog'!$A$2:$A$200,0))="","",INDEX('Test catalog'!$N$2:$N$200,MATCH($AB784,'Test catalog'!$A$2:$A$200,0))),"")</f>
        <v/>
      </c>
      <c r="V784" s="15" t="n"/>
      <c r="W784" s="5" t="inlineStr">
        <is>
          <t>N</t>
        </is>
      </c>
      <c r="X784" s="5" t="n"/>
      <c r="Y784" s="5" t="n"/>
      <c r="Z784" s="5" t="n"/>
      <c r="AA784" s="10">
        <f>IFERROR(IF(INDEX('Test catalog'!$O$2:$O$200,MATCH($AB784,'Test catalog'!$A$2:$A$200,0))="","",INDEX('Test catalog'!$O$2:$O$200,MATCH($AB784,'Test catalog'!$A$2:$A$200,0))),"")</f>
        <v/>
      </c>
      <c r="AB784" s="10" t="inlineStr">
        <is>
          <t>PH</t>
        </is>
      </c>
      <c r="AC784" s="10" t="inlineStr">
        <is>
          <t>Pregelatinized Starch · Specific Tests &lt;791&gt;</t>
        </is>
      </c>
      <c r="AD784" s="10" t="n"/>
      <c r="AE784" s="10" t="n"/>
    </row>
    <row r="785">
      <c r="A785" s="10" t="inlineStr">
        <is>
          <t>Pregelatinized Starch</t>
        </is>
      </c>
      <c r="B785" s="10" t="inlineStr">
        <is>
          <t>RM</t>
        </is>
      </c>
      <c r="C785" s="10" t="inlineStr">
        <is>
          <t>Filler / Diluent</t>
        </is>
      </c>
      <c r="D785" s="10" t="inlineStr">
        <is>
          <t>Oxidizing Substances</t>
        </is>
      </c>
      <c r="E785" s="10">
        <f>IF(A785="","",A785&amp;"|"&amp;D785)</f>
        <v/>
      </c>
      <c r="F785" s="5" t="inlineStr">
        <is>
          <t>Y</t>
        </is>
      </c>
      <c r="G785" s="5" t="inlineStr">
        <is>
          <t>Other / bench</t>
        </is>
      </c>
      <c r="H785" s="5" t="inlineStr">
        <is>
          <t>Low</t>
        </is>
      </c>
      <c r="I785" s="5" t="n">
        <v>1</v>
      </c>
      <c r="J785" s="5" t="n"/>
      <c r="K785" s="10">
        <f>IFERROR(IF(INDEX('Test catalog'!$F$2:$F$200,MATCH($AB785,'Test catalog'!$A$2:$A$200,0))="","",INDEX('Test catalog'!$F$2:$F$200,MATCH($AB785,'Test catalog'!$A$2:$A$200,0))),"")</f>
        <v/>
      </c>
      <c r="L785" s="10">
        <f>IFERROR(IF(INDEX('Test catalog'!$G$2:$G$200,MATCH($AB785,'Test catalog'!$A$2:$A$200,0))="","",INDEX('Test catalog'!$G$2:$G$200,MATCH($AB785,'Test catalog'!$A$2:$A$200,0))),"")</f>
        <v/>
      </c>
      <c r="M785" s="10">
        <f>IFERROR(IF(INDEX('Test catalog'!$H$2:$H$200,MATCH($AB785,'Test catalog'!$A$2:$A$200,0))="","",INDEX('Test catalog'!$H$2:$H$200,MATCH($AB785,'Test catalog'!$A$2:$A$200,0))),"")</f>
        <v/>
      </c>
      <c r="N785" s="10">
        <f>IFERROR(IF(INDEX('Test catalog'!$I$2:$I$200,MATCH($AB785,'Test catalog'!$A$2:$A$200,0))="","",INDEX('Test catalog'!$I$2:$I$200,MATCH($AB785,'Test catalog'!$A$2:$A$200,0))),"")</f>
        <v/>
      </c>
      <c r="O785" s="10">
        <f>IFERROR(IF(INDEX('Test catalog'!$J$2:$J$200,MATCH($AB785,'Test catalog'!$A$2:$A$200,0))="","",INDEX('Test catalog'!$J$2:$J$200,MATCH($AB785,'Test catalog'!$A$2:$A$200,0))),"")</f>
        <v/>
      </c>
      <c r="P785" s="14">
        <f>IF(N785="","",IF(OR(M785="",O785=""),N785,(M785+4*N785+O785)/6))</f>
        <v/>
      </c>
      <c r="Q785" s="10">
        <f>IFERROR(IF(INDEX('Test catalog'!$K$2:$K$200,MATCH($AB785,'Test catalog'!$A$2:$A$200,0))="","",INDEX('Test catalog'!$K$2:$K$200,MATCH($AB785,'Test catalog'!$A$2:$A$200,0))),"")</f>
        <v/>
      </c>
      <c r="R785" s="5" t="n"/>
      <c r="S785" s="10">
        <f>IFERROR(IF(INDEX('Test catalog'!$L$2:$L$200,MATCH($AB785,'Test catalog'!$A$2:$A$200,0))="","",INDEX('Test catalog'!$L$2:$L$200,MATCH($AB785,'Test catalog'!$A$2:$A$200,0))),"")</f>
        <v/>
      </c>
      <c r="T785" s="10">
        <f>IFERROR(IF(INDEX('Test catalog'!$M$2:$M$200,MATCH($AB785,'Test catalog'!$A$2:$A$200,0))="","",INDEX('Test catalog'!$M$2:$M$200,MATCH($AB785,'Test catalog'!$A$2:$A$200,0))),"")</f>
        <v/>
      </c>
      <c r="U785" s="10">
        <f>IFERROR(IF(INDEX('Test catalog'!$N$2:$N$200,MATCH($AB785,'Test catalog'!$A$2:$A$200,0))="","",INDEX('Test catalog'!$N$2:$N$200,MATCH($AB785,'Test catalog'!$A$2:$A$200,0))),"")</f>
        <v/>
      </c>
      <c r="V785" s="15" t="n"/>
      <c r="W785" s="5" t="inlineStr">
        <is>
          <t>N</t>
        </is>
      </c>
      <c r="X785" s="5" t="n"/>
      <c r="Y785" s="5" t="n"/>
      <c r="Z785" s="5" t="n"/>
      <c r="AA785" s="10">
        <f>IFERROR(IF(INDEX('Test catalog'!$O$2:$O$200,MATCH($AB785,'Test catalog'!$A$2:$A$200,0))="","",INDEX('Test catalog'!$O$2:$O$200,MATCH($AB785,'Test catalog'!$A$2:$A$200,0))),"")</f>
        <v/>
      </c>
      <c r="AB785" s="10" t="inlineStr">
        <is>
          <t>LIMIT</t>
        </is>
      </c>
      <c r="AC785" s="10" t="inlineStr">
        <is>
          <t>Pregelatinized Starch · Specific Tests</t>
        </is>
      </c>
      <c r="AD785" s="10" t="n"/>
      <c r="AE785" s="10" t="n"/>
    </row>
    <row r="786">
      <c r="A786" s="10" t="inlineStr">
        <is>
          <t>Pregelatinized Starch</t>
        </is>
      </c>
      <c r="B786" s="10" t="inlineStr">
        <is>
          <t>RM</t>
        </is>
      </c>
      <c r="C786" s="10" t="inlineStr">
        <is>
          <t>Filler / Diluent</t>
        </is>
      </c>
      <c r="D786" s="10" t="inlineStr">
        <is>
          <t>Loss on Drying</t>
        </is>
      </c>
      <c r="E786" s="10">
        <f>IF(A786="","",A786&amp;"|"&amp;D786)</f>
        <v/>
      </c>
      <c r="F786" s="5" t="inlineStr">
        <is>
          <t>Y</t>
        </is>
      </c>
      <c r="G786" s="5" t="inlineStr">
        <is>
          <t>Other / bench</t>
        </is>
      </c>
      <c r="H786" s="5" t="inlineStr">
        <is>
          <t>Low</t>
        </is>
      </c>
      <c r="I786" s="5" t="n">
        <v>1</v>
      </c>
      <c r="J786" s="5" t="n"/>
      <c r="K786" s="10">
        <f>IFERROR(IF(INDEX('Test catalog'!$F$2:$F$200,MATCH($AB786,'Test catalog'!$A$2:$A$200,0))="","",INDEX('Test catalog'!$F$2:$F$200,MATCH($AB786,'Test catalog'!$A$2:$A$200,0))),"")</f>
        <v/>
      </c>
      <c r="L786" s="10">
        <f>IFERROR(IF(INDEX('Test catalog'!$G$2:$G$200,MATCH($AB786,'Test catalog'!$A$2:$A$200,0))="","",INDEX('Test catalog'!$G$2:$G$200,MATCH($AB786,'Test catalog'!$A$2:$A$200,0))),"")</f>
        <v/>
      </c>
      <c r="M786" s="10">
        <f>IFERROR(IF(INDEX('Test catalog'!$H$2:$H$200,MATCH($AB786,'Test catalog'!$A$2:$A$200,0))="","",INDEX('Test catalog'!$H$2:$H$200,MATCH($AB786,'Test catalog'!$A$2:$A$200,0))),"")</f>
        <v/>
      </c>
      <c r="N786" s="10">
        <f>IFERROR(IF(INDEX('Test catalog'!$I$2:$I$200,MATCH($AB786,'Test catalog'!$A$2:$A$200,0))="","",INDEX('Test catalog'!$I$2:$I$200,MATCH($AB786,'Test catalog'!$A$2:$A$200,0))),"")</f>
        <v/>
      </c>
      <c r="O786" s="10">
        <f>IFERROR(IF(INDEX('Test catalog'!$J$2:$J$200,MATCH($AB786,'Test catalog'!$A$2:$A$200,0))="","",INDEX('Test catalog'!$J$2:$J$200,MATCH($AB786,'Test catalog'!$A$2:$A$200,0))),"")</f>
        <v/>
      </c>
      <c r="P786" s="14">
        <f>IF(N786="","",IF(OR(M786="",O786=""),N786,(M786+4*N786+O786)/6))</f>
        <v/>
      </c>
      <c r="Q786" s="10">
        <f>IFERROR(IF(INDEX('Test catalog'!$K$2:$K$200,MATCH($AB786,'Test catalog'!$A$2:$A$200,0))="","",INDEX('Test catalog'!$K$2:$K$200,MATCH($AB786,'Test catalog'!$A$2:$A$200,0))),"")</f>
        <v/>
      </c>
      <c r="R786" s="5" t="n"/>
      <c r="S786" s="10">
        <f>IFERROR(IF(INDEX('Test catalog'!$L$2:$L$200,MATCH($AB786,'Test catalog'!$A$2:$A$200,0))="","",INDEX('Test catalog'!$L$2:$L$200,MATCH($AB786,'Test catalog'!$A$2:$A$200,0))),"")</f>
        <v/>
      </c>
      <c r="T786" s="10">
        <f>IFERROR(IF(INDEX('Test catalog'!$M$2:$M$200,MATCH($AB786,'Test catalog'!$A$2:$A$200,0))="","",INDEX('Test catalog'!$M$2:$M$200,MATCH($AB786,'Test catalog'!$A$2:$A$200,0))),"")</f>
        <v/>
      </c>
      <c r="U786" s="10">
        <f>IFERROR(IF(INDEX('Test catalog'!$N$2:$N$200,MATCH($AB786,'Test catalog'!$A$2:$A$200,0))="","",INDEX('Test catalog'!$N$2:$N$200,MATCH($AB786,'Test catalog'!$A$2:$A$200,0))),"")</f>
        <v/>
      </c>
      <c r="V786" s="15" t="n"/>
      <c r="W786" s="5" t="inlineStr">
        <is>
          <t>N</t>
        </is>
      </c>
      <c r="X786" s="5" t="n"/>
      <c r="Y786" s="5" t="n"/>
      <c r="Z786" s="5" t="n"/>
      <c r="AA786" s="10">
        <f>IFERROR(IF(INDEX('Test catalog'!$O$2:$O$200,MATCH($AB786,'Test catalog'!$A$2:$A$200,0))="","",INDEX('Test catalog'!$O$2:$O$200,MATCH($AB786,'Test catalog'!$A$2:$A$200,0))),"")</f>
        <v/>
      </c>
      <c r="AB786" s="10" t="inlineStr">
        <is>
          <t>LOD</t>
        </is>
      </c>
      <c r="AC786" s="10" t="inlineStr">
        <is>
          <t>Pregelatinized Starch · Specific Tests &lt;731&gt;</t>
        </is>
      </c>
      <c r="AD786" s="10" t="n"/>
      <c r="AE786" s="10" t="n"/>
    </row>
    <row r="787">
      <c r="A787" s="10" t="inlineStr">
        <is>
          <t>Cola Flavour</t>
        </is>
      </c>
      <c r="B787" s="10" t="inlineStr">
        <is>
          <t>RM</t>
        </is>
      </c>
      <c r="C787" s="10" t="inlineStr">
        <is>
          <t>Flavour</t>
        </is>
      </c>
      <c r="D787" s="10" t="inlineStr">
        <is>
          <t>Compendial tests</t>
        </is>
      </c>
      <c r="E787" s="10">
        <f>IF(A787="","",A787&amp;"|"&amp;D787)</f>
        <v/>
      </c>
      <c r="F787" s="5" t="inlineStr">
        <is>
          <t>Y</t>
        </is>
      </c>
      <c r="G787" s="5" t="inlineStr">
        <is>
          <t>Other / bench</t>
        </is>
      </c>
      <c r="H787" s="5" t="inlineStr">
        <is>
          <t>Low</t>
        </is>
      </c>
      <c r="I787" s="5" t="n">
        <v>1</v>
      </c>
      <c r="J787" s="5" t="n"/>
      <c r="K787" s="5" t="n"/>
      <c r="L787" s="5" t="n"/>
      <c r="M787" s="5" t="n"/>
      <c r="N787" s="5" t="n"/>
      <c r="O787" s="5" t="n"/>
      <c r="P787" s="14">
        <f>IF(N787="","",IF(OR(M787="",O787=""),N787,(M787+4*N787+O787)/6))</f>
        <v/>
      </c>
      <c r="Q787" s="5" t="n"/>
      <c r="R787" s="5" t="n"/>
      <c r="S787" s="5" t="n"/>
      <c r="T787" s="5" t="n"/>
      <c r="U787" s="5" t="n"/>
      <c r="V787" s="15" t="n"/>
      <c r="W787" s="5" t="inlineStr">
        <is>
          <t>N</t>
        </is>
      </c>
      <c r="X787" s="5" t="n"/>
      <c r="Y787" s="5" t="n"/>
      <c r="Z787" s="5" t="inlineStr">
        <is>
          <t>Change instrument to HPLC/GC if applicable (e.g. residual solvents, ethanol by GC)</t>
        </is>
      </c>
      <c r="AA787" s="5" t="n"/>
      <c r="AB787" s="10" t="n"/>
      <c r="AC787" s="10" t="n"/>
      <c r="AD787" s="10" t="inlineStr">
        <is>
          <t>No USP-NF monograph - in-house / supplier spec</t>
        </is>
      </c>
      <c r="AE787" s="10" t="n"/>
      <c r="AF787" s="10" t="inlineStr">
        <is>
          <t>- | -</t>
        </is>
      </c>
    </row>
    <row r="788">
      <c r="A788" s="10" t="inlineStr">
        <is>
          <t>Honey Flavour</t>
        </is>
      </c>
      <c r="B788" s="10" t="inlineStr">
        <is>
          <t>RM</t>
        </is>
      </c>
      <c r="C788" s="10" t="inlineStr">
        <is>
          <t>Flavour</t>
        </is>
      </c>
      <c r="D788" s="10" t="inlineStr">
        <is>
          <t>Compendial tests</t>
        </is>
      </c>
      <c r="E788" s="10">
        <f>IF(A788="","",A788&amp;"|"&amp;D788)</f>
        <v/>
      </c>
      <c r="F788" s="5" t="inlineStr">
        <is>
          <t>Y</t>
        </is>
      </c>
      <c r="G788" s="5" t="inlineStr">
        <is>
          <t>Other / bench</t>
        </is>
      </c>
      <c r="H788" s="5" t="inlineStr">
        <is>
          <t>Low</t>
        </is>
      </c>
      <c r="I788" s="5" t="n">
        <v>1</v>
      </c>
      <c r="J788" s="5" t="n"/>
      <c r="K788" s="5" t="n"/>
      <c r="L788" s="5" t="n"/>
      <c r="M788" s="5" t="n"/>
      <c r="N788" s="5" t="n"/>
      <c r="O788" s="5" t="n"/>
      <c r="P788" s="14">
        <f>IF(N788="","",IF(OR(M788="",O788=""),N788,(M788+4*N788+O788)/6))</f>
        <v/>
      </c>
      <c r="Q788" s="5" t="n"/>
      <c r="R788" s="5" t="n"/>
      <c r="S788" s="5" t="n"/>
      <c r="T788" s="5" t="n"/>
      <c r="U788" s="5" t="n"/>
      <c r="V788" s="15" t="n"/>
      <c r="W788" s="5" t="inlineStr">
        <is>
          <t>N</t>
        </is>
      </c>
      <c r="X788" s="5" t="n"/>
      <c r="Y788" s="5" t="n"/>
      <c r="Z788" s="5" t="inlineStr">
        <is>
          <t>Change instrument to HPLC/GC if applicable (e.g. residual solvents, ethanol by GC)</t>
        </is>
      </c>
      <c r="AA788" s="5" t="n"/>
      <c r="AB788" s="10" t="n"/>
      <c r="AC788" s="10" t="n"/>
      <c r="AD788" s="10" t="inlineStr">
        <is>
          <t>No USP-NF monograph - in-house / supplier spec</t>
        </is>
      </c>
      <c r="AE788" s="10" t="n">
        <v>0.87</v>
      </c>
      <c r="AF788" s="10" t="inlineStr">
        <is>
          <t>Appearance-Odor- Water content-Particle size | 52</t>
        </is>
      </c>
    </row>
    <row r="789">
      <c r="A789" s="10" t="inlineStr">
        <is>
          <t>L-Menthol</t>
        </is>
      </c>
      <c r="B789" s="10" t="inlineStr">
        <is>
          <t>RM</t>
        </is>
      </c>
      <c r="C789" s="10" t="inlineStr">
        <is>
          <t>Flavour</t>
        </is>
      </c>
      <c r="D789" s="10" t="inlineStr">
        <is>
          <t>Appearance / description and solubility</t>
        </is>
      </c>
      <c r="E789" s="10">
        <f>IF(A789="","",A789&amp;"|"&amp;D789)</f>
        <v/>
      </c>
      <c r="F789" s="5" t="inlineStr">
        <is>
          <t>Y</t>
        </is>
      </c>
      <c r="G789" s="5" t="inlineStr">
        <is>
          <t>Other / bench</t>
        </is>
      </c>
      <c r="H789" s="5" t="inlineStr">
        <is>
          <t>Low</t>
        </is>
      </c>
      <c r="I789" s="5" t="n">
        <v>1</v>
      </c>
      <c r="J789" s="5" t="n"/>
      <c r="K789" s="10">
        <f>IFERROR(IF(INDEX('Test catalog'!$F$2:$F$200,MATCH($AB789,'Test catalog'!$A$2:$A$200,0))="","",INDEX('Test catalog'!$F$2:$F$200,MATCH($AB789,'Test catalog'!$A$2:$A$200,0))),"")</f>
        <v/>
      </c>
      <c r="L789" s="10">
        <f>IFERROR(IF(INDEX('Test catalog'!$G$2:$G$200,MATCH($AB789,'Test catalog'!$A$2:$A$200,0))="","",INDEX('Test catalog'!$G$2:$G$200,MATCH($AB789,'Test catalog'!$A$2:$A$200,0))),"")</f>
        <v/>
      </c>
      <c r="M789" s="10">
        <f>IFERROR(IF(INDEX('Test catalog'!$H$2:$H$200,MATCH($AB789,'Test catalog'!$A$2:$A$200,0))="","",INDEX('Test catalog'!$H$2:$H$200,MATCH($AB789,'Test catalog'!$A$2:$A$200,0))),"")</f>
        <v/>
      </c>
      <c r="N789" s="10">
        <f>IFERROR(IF(INDEX('Test catalog'!$I$2:$I$200,MATCH($AB789,'Test catalog'!$A$2:$A$200,0))="","",INDEX('Test catalog'!$I$2:$I$200,MATCH($AB789,'Test catalog'!$A$2:$A$200,0))),"")</f>
        <v/>
      </c>
      <c r="O789" s="10">
        <f>IFERROR(IF(INDEX('Test catalog'!$J$2:$J$200,MATCH($AB789,'Test catalog'!$A$2:$A$200,0))="","",INDEX('Test catalog'!$J$2:$J$200,MATCH($AB789,'Test catalog'!$A$2:$A$200,0))),"")</f>
        <v/>
      </c>
      <c r="P789" s="14">
        <f>IF(N789="","",IF(OR(M789="",O789=""),N789,(M789+4*N789+O789)/6))</f>
        <v/>
      </c>
      <c r="Q789" s="10">
        <f>IFERROR(IF(INDEX('Test catalog'!$K$2:$K$200,MATCH($AB789,'Test catalog'!$A$2:$A$200,0))="","",INDEX('Test catalog'!$K$2:$K$200,MATCH($AB789,'Test catalog'!$A$2:$A$200,0))),"")</f>
        <v/>
      </c>
      <c r="R789" s="5" t="n"/>
      <c r="S789" s="10">
        <f>IFERROR(IF(INDEX('Test catalog'!$L$2:$L$200,MATCH($AB789,'Test catalog'!$A$2:$A$200,0))="","",INDEX('Test catalog'!$L$2:$L$200,MATCH($AB789,'Test catalog'!$A$2:$A$200,0))),"")</f>
        <v/>
      </c>
      <c r="T789" s="10">
        <f>IFERROR(IF(INDEX('Test catalog'!$M$2:$M$200,MATCH($AB789,'Test catalog'!$A$2:$A$200,0))="","",INDEX('Test catalog'!$M$2:$M$200,MATCH($AB789,'Test catalog'!$A$2:$A$200,0))),"")</f>
        <v/>
      </c>
      <c r="U789" s="10">
        <f>IFERROR(IF(INDEX('Test catalog'!$N$2:$N$200,MATCH($AB789,'Test catalog'!$A$2:$A$200,0))="","",INDEX('Test catalog'!$N$2:$N$200,MATCH($AB789,'Test catalog'!$A$2:$A$200,0))),"")</f>
        <v/>
      </c>
      <c r="V789" s="15" t="n"/>
      <c r="W789" s="5" t="inlineStr">
        <is>
          <t>N</t>
        </is>
      </c>
      <c r="X789" s="5" t="n"/>
      <c r="Y789" s="5" t="n"/>
      <c r="Z789" s="5" t="n"/>
      <c r="AA789" s="10">
        <f>IFERROR(IF(INDEX('Test catalog'!$O$2:$O$200,MATCH($AB789,'Test catalog'!$A$2:$A$200,0))="","",INDEX('Test catalog'!$O$2:$O$200,MATCH($AB789,'Test catalog'!$A$2:$A$200,0))),"")</f>
        <v/>
      </c>
      <c r="AB789" s="10" t="inlineStr">
        <is>
          <t>APPEAR</t>
        </is>
      </c>
      <c r="AC789" s="10" t="inlineStr">
        <is>
          <t>Lab practice (not a USP test)</t>
        </is>
      </c>
      <c r="AD789" s="10" t="n"/>
      <c r="AE789" s="10" t="n"/>
    </row>
    <row r="790">
      <c r="A790" s="10" t="inlineStr">
        <is>
          <t>L-Menthol</t>
        </is>
      </c>
      <c r="B790" s="10" t="inlineStr">
        <is>
          <t>RM</t>
        </is>
      </c>
      <c r="C790" s="10" t="inlineStr">
        <is>
          <t>Flavour</t>
        </is>
      </c>
      <c r="D790" s="10" t="inlineStr">
        <is>
          <t>ID B - Optical rotation</t>
        </is>
      </c>
      <c r="E790" s="10">
        <f>IF(A790="","",A790&amp;"|"&amp;D790)</f>
        <v/>
      </c>
      <c r="F790" s="5" t="inlineStr">
        <is>
          <t>Y</t>
        </is>
      </c>
      <c r="G790" s="5" t="inlineStr">
        <is>
          <t>Other / bench</t>
        </is>
      </c>
      <c r="H790" s="5" t="inlineStr">
        <is>
          <t>Low</t>
        </is>
      </c>
      <c r="I790" s="5" t="n">
        <v>1</v>
      </c>
      <c r="J790" s="5" t="n"/>
      <c r="K790" s="10">
        <f>IFERROR(IF(INDEX('Test catalog'!$F$2:$F$200,MATCH($AB790,'Test catalog'!$A$2:$A$200,0))="","",INDEX('Test catalog'!$F$2:$F$200,MATCH($AB790,'Test catalog'!$A$2:$A$200,0))),"")</f>
        <v/>
      </c>
      <c r="L790" s="10">
        <f>IFERROR(IF(INDEX('Test catalog'!$G$2:$G$200,MATCH($AB790,'Test catalog'!$A$2:$A$200,0))="","",INDEX('Test catalog'!$G$2:$G$200,MATCH($AB790,'Test catalog'!$A$2:$A$200,0))),"")</f>
        <v/>
      </c>
      <c r="M790" s="10">
        <f>IFERROR(IF(INDEX('Test catalog'!$H$2:$H$200,MATCH($AB790,'Test catalog'!$A$2:$A$200,0))="","",INDEX('Test catalog'!$H$2:$H$200,MATCH($AB790,'Test catalog'!$A$2:$A$200,0))),"")</f>
        <v/>
      </c>
      <c r="N790" s="10">
        <f>IFERROR(IF(INDEX('Test catalog'!$I$2:$I$200,MATCH($AB790,'Test catalog'!$A$2:$A$200,0))="","",INDEX('Test catalog'!$I$2:$I$200,MATCH($AB790,'Test catalog'!$A$2:$A$200,0))),"")</f>
        <v/>
      </c>
      <c r="O790" s="10">
        <f>IFERROR(IF(INDEX('Test catalog'!$J$2:$J$200,MATCH($AB790,'Test catalog'!$A$2:$A$200,0))="","",INDEX('Test catalog'!$J$2:$J$200,MATCH($AB790,'Test catalog'!$A$2:$A$200,0))),"")</f>
        <v/>
      </c>
      <c r="P790" s="14">
        <f>IF(N790="","",IF(OR(M790="",O790=""),N790,(M790+4*N790+O790)/6))</f>
        <v/>
      </c>
      <c r="Q790" s="10">
        <f>IFERROR(IF(INDEX('Test catalog'!$K$2:$K$200,MATCH($AB790,'Test catalog'!$A$2:$A$200,0))="","",INDEX('Test catalog'!$K$2:$K$200,MATCH($AB790,'Test catalog'!$A$2:$A$200,0))),"")</f>
        <v/>
      </c>
      <c r="R790" s="5" t="n"/>
      <c r="S790" s="10">
        <f>IFERROR(IF(INDEX('Test catalog'!$L$2:$L$200,MATCH($AB790,'Test catalog'!$A$2:$A$200,0))="","",INDEX('Test catalog'!$L$2:$L$200,MATCH($AB790,'Test catalog'!$A$2:$A$200,0))),"")</f>
        <v/>
      </c>
      <c r="T790" s="10">
        <f>IFERROR(IF(INDEX('Test catalog'!$M$2:$M$200,MATCH($AB790,'Test catalog'!$A$2:$A$200,0))="","",INDEX('Test catalog'!$M$2:$M$200,MATCH($AB790,'Test catalog'!$A$2:$A$200,0))),"")</f>
        <v/>
      </c>
      <c r="U790" s="10">
        <f>IFERROR(IF(INDEX('Test catalog'!$N$2:$N$200,MATCH($AB790,'Test catalog'!$A$2:$A$200,0))="","",INDEX('Test catalog'!$N$2:$N$200,MATCH($AB790,'Test catalog'!$A$2:$A$200,0))),"")</f>
        <v/>
      </c>
      <c r="V790" s="15" t="n"/>
      <c r="W790" s="5" t="inlineStr">
        <is>
          <t>N</t>
        </is>
      </c>
      <c r="X790" s="5" t="n"/>
      <c r="Y790" s="5" t="n"/>
      <c r="Z790" s="5" t="n"/>
      <c r="AA790" s="10">
        <f>IFERROR(IF(INDEX('Test catalog'!$O$2:$O$200,MATCH($AB790,'Test catalog'!$A$2:$A$200,0))="","",INDEX('Test catalog'!$O$2:$O$200,MATCH($AB790,'Test catalog'!$A$2:$A$200,0))),"")</f>
        <v/>
      </c>
      <c r="AB790" s="10" t="inlineStr">
        <is>
          <t>OR</t>
        </is>
      </c>
      <c r="AC790" s="10" t="inlineStr">
        <is>
          <t>Menthol · Identification</t>
        </is>
      </c>
      <c r="AD790" s="10" t="n"/>
      <c r="AE790" s="10" t="n"/>
    </row>
    <row r="791">
      <c r="A791" s="10" t="inlineStr">
        <is>
          <t>L-Menthol</t>
        </is>
      </c>
      <c r="B791" s="10" t="inlineStr">
        <is>
          <t>RM</t>
        </is>
      </c>
      <c r="C791" s="10" t="inlineStr">
        <is>
          <t>Flavour</t>
        </is>
      </c>
      <c r="D791" s="10" t="inlineStr">
        <is>
          <t>Assay (GC)</t>
        </is>
      </c>
      <c r="E791" s="10">
        <f>IF(A791="","",A791&amp;"|"&amp;D791)</f>
        <v/>
      </c>
      <c r="F791" s="5" t="inlineStr">
        <is>
          <t>Y</t>
        </is>
      </c>
      <c r="G791" s="5" t="inlineStr">
        <is>
          <t>GC</t>
        </is>
      </c>
      <c r="H791" s="5" t="inlineStr">
        <is>
          <t>Medium</t>
        </is>
      </c>
      <c r="I791" s="5" t="n">
        <v>1</v>
      </c>
      <c r="J791" s="5" t="n"/>
      <c r="K791" s="5" t="n"/>
      <c r="L791" s="5" t="n"/>
      <c r="M791" s="5" t="n"/>
      <c r="N791" s="5" t="n"/>
      <c r="O791" s="5" t="n"/>
      <c r="P791" s="14">
        <f>IF(N791="","",IF(OR(M791="",O791=""),N791,(M791+4*N791+O791)/6))</f>
        <v/>
      </c>
      <c r="Q791" s="5" t="n"/>
      <c r="R791" s="5" t="n"/>
      <c r="S791" s="5" t="n"/>
      <c r="T791" s="5" t="n"/>
      <c r="U791" s="5" t="n"/>
      <c r="V791" s="15" t="n"/>
      <c r="W791" s="5" t="inlineStr">
        <is>
          <t>N</t>
        </is>
      </c>
      <c r="X791" s="5" t="n"/>
      <c r="Y791" s="5" t="n"/>
      <c r="Z791" s="5" t="n"/>
      <c r="AA791" s="5" t="n"/>
      <c r="AB791" s="10" t="n"/>
      <c r="AC791" s="10" t="inlineStr">
        <is>
          <t>Menthol · Assay &lt;621&gt;</t>
        </is>
      </c>
      <c r="AD791" s="10" t="n"/>
      <c r="AE791" s="10" t="n"/>
    </row>
    <row r="792">
      <c r="A792" s="10" t="inlineStr">
        <is>
          <t>L-Menthol</t>
        </is>
      </c>
      <c r="B792" s="10" t="inlineStr">
        <is>
          <t>RM</t>
        </is>
      </c>
      <c r="C792" s="10" t="inlineStr">
        <is>
          <t>Flavour</t>
        </is>
      </c>
      <c r="D792" s="10" t="inlineStr">
        <is>
          <t>Limit of Nonvolatile Residue</t>
        </is>
      </c>
      <c r="E792" s="10">
        <f>IF(A792="","",A792&amp;"|"&amp;D792)</f>
        <v/>
      </c>
      <c r="F792" s="5" t="inlineStr">
        <is>
          <t>Y</t>
        </is>
      </c>
      <c r="G792" s="5" t="inlineStr">
        <is>
          <t>Other / bench</t>
        </is>
      </c>
      <c r="H792" s="5" t="inlineStr">
        <is>
          <t>Low</t>
        </is>
      </c>
      <c r="I792" s="5" t="n">
        <v>1</v>
      </c>
      <c r="J792" s="5" t="n"/>
      <c r="K792" s="10">
        <f>IFERROR(IF(INDEX('Test catalog'!$F$2:$F$200,MATCH($AB792,'Test catalog'!$A$2:$A$200,0))="","",INDEX('Test catalog'!$F$2:$F$200,MATCH($AB792,'Test catalog'!$A$2:$A$200,0))),"")</f>
        <v/>
      </c>
      <c r="L792" s="10">
        <f>IFERROR(IF(INDEX('Test catalog'!$G$2:$G$200,MATCH($AB792,'Test catalog'!$A$2:$A$200,0))="","",INDEX('Test catalog'!$G$2:$G$200,MATCH($AB792,'Test catalog'!$A$2:$A$200,0))),"")</f>
        <v/>
      </c>
      <c r="M792" s="10">
        <f>IFERROR(IF(INDEX('Test catalog'!$H$2:$H$200,MATCH($AB792,'Test catalog'!$A$2:$A$200,0))="","",INDEX('Test catalog'!$H$2:$H$200,MATCH($AB792,'Test catalog'!$A$2:$A$200,0))),"")</f>
        <v/>
      </c>
      <c r="N792" s="10">
        <f>IFERROR(IF(INDEX('Test catalog'!$I$2:$I$200,MATCH($AB792,'Test catalog'!$A$2:$A$200,0))="","",INDEX('Test catalog'!$I$2:$I$200,MATCH($AB792,'Test catalog'!$A$2:$A$200,0))),"")</f>
        <v/>
      </c>
      <c r="O792" s="10">
        <f>IFERROR(IF(INDEX('Test catalog'!$J$2:$J$200,MATCH($AB792,'Test catalog'!$A$2:$A$200,0))="","",INDEX('Test catalog'!$J$2:$J$200,MATCH($AB792,'Test catalog'!$A$2:$A$200,0))),"")</f>
        <v/>
      </c>
      <c r="P792" s="14">
        <f>IF(N792="","",IF(OR(M792="",O792=""),N792,(M792+4*N792+O792)/6))</f>
        <v/>
      </c>
      <c r="Q792" s="10">
        <f>IFERROR(IF(INDEX('Test catalog'!$K$2:$K$200,MATCH($AB792,'Test catalog'!$A$2:$A$200,0))="","",INDEX('Test catalog'!$K$2:$K$200,MATCH($AB792,'Test catalog'!$A$2:$A$200,0))),"")</f>
        <v/>
      </c>
      <c r="R792" s="5" t="n"/>
      <c r="S792" s="10">
        <f>IFERROR(IF(INDEX('Test catalog'!$L$2:$L$200,MATCH($AB792,'Test catalog'!$A$2:$A$200,0))="","",INDEX('Test catalog'!$L$2:$L$200,MATCH($AB792,'Test catalog'!$A$2:$A$200,0))),"")</f>
        <v/>
      </c>
      <c r="T792" s="10">
        <f>IFERROR(IF(INDEX('Test catalog'!$M$2:$M$200,MATCH($AB792,'Test catalog'!$A$2:$A$200,0))="","",INDEX('Test catalog'!$M$2:$M$200,MATCH($AB792,'Test catalog'!$A$2:$A$200,0))),"")</f>
        <v/>
      </c>
      <c r="U792" s="10">
        <f>IFERROR(IF(INDEX('Test catalog'!$N$2:$N$200,MATCH($AB792,'Test catalog'!$A$2:$A$200,0))="","",INDEX('Test catalog'!$N$2:$N$200,MATCH($AB792,'Test catalog'!$A$2:$A$200,0))),"")</f>
        <v/>
      </c>
      <c r="V792" s="15" t="n"/>
      <c r="W792" s="5" t="inlineStr">
        <is>
          <t>N</t>
        </is>
      </c>
      <c r="X792" s="5" t="n"/>
      <c r="Y792" s="5" t="n"/>
      <c r="Z792" s="5" t="n"/>
      <c r="AA792" s="10">
        <f>IFERROR(IF(INDEX('Test catalog'!$O$2:$O$200,MATCH($AB792,'Test catalog'!$A$2:$A$200,0))="","",INDEX('Test catalog'!$O$2:$O$200,MATCH($AB792,'Test catalog'!$A$2:$A$200,0))),"")</f>
        <v/>
      </c>
      <c r="AB792" s="10" t="inlineStr">
        <is>
          <t>GRAV</t>
        </is>
      </c>
      <c r="AC792" s="10" t="inlineStr">
        <is>
          <t>Menthol · Impurities</t>
        </is>
      </c>
      <c r="AD792" s="10" t="n"/>
      <c r="AE792" s="10" t="n"/>
    </row>
    <row r="793">
      <c r="A793" s="10" t="inlineStr">
        <is>
          <t>L-Menthol</t>
        </is>
      </c>
      <c r="B793" s="10" t="inlineStr">
        <is>
          <t>RM</t>
        </is>
      </c>
      <c r="C793" s="10" t="inlineStr">
        <is>
          <t>Flavour</t>
        </is>
      </c>
      <c r="D793" s="10" t="inlineStr">
        <is>
          <t>Related Compounds (GC)</t>
        </is>
      </c>
      <c r="E793" s="10">
        <f>IF(A793="","",A793&amp;"|"&amp;D793)</f>
        <v/>
      </c>
      <c r="F793" s="5" t="inlineStr">
        <is>
          <t>Y</t>
        </is>
      </c>
      <c r="G793" s="5" t="inlineStr">
        <is>
          <t>GC</t>
        </is>
      </c>
      <c r="H793" s="5" t="inlineStr">
        <is>
          <t>Medium</t>
        </is>
      </c>
      <c r="I793" s="5" t="n">
        <v>1</v>
      </c>
      <c r="J793" s="5" t="n"/>
      <c r="K793" s="5" t="n"/>
      <c r="L793" s="5" t="n"/>
      <c r="M793" s="5" t="n"/>
      <c r="N793" s="5" t="n"/>
      <c r="O793" s="5" t="n"/>
      <c r="P793" s="14">
        <f>IF(N793="","",IF(OR(M793="",O793=""),N793,(M793+4*N793+O793)/6))</f>
        <v/>
      </c>
      <c r="Q793" s="5" t="n"/>
      <c r="R793" s="5" t="n"/>
      <c r="S793" s="5" t="n"/>
      <c r="T793" s="5" t="n"/>
      <c r="U793" s="5" t="n"/>
      <c r="V793" s="15" t="n"/>
      <c r="W793" s="5" t="inlineStr">
        <is>
          <t>N</t>
        </is>
      </c>
      <c r="X793" s="5" t="n"/>
      <c r="Y793" s="5" t="n"/>
      <c r="Z793" s="5" t="n"/>
      <c r="AA793" s="5" t="n"/>
      <c r="AB793" s="10" t="n"/>
      <c r="AC793" s="10" t="inlineStr">
        <is>
          <t>Menthol · Impurities</t>
        </is>
      </c>
      <c r="AD793" s="10" t="n"/>
      <c r="AE793" s="10" t="n"/>
    </row>
    <row r="794">
      <c r="A794" s="10" t="inlineStr">
        <is>
          <t>L-Menthol</t>
        </is>
      </c>
      <c r="B794" s="10" t="inlineStr">
        <is>
          <t>RM</t>
        </is>
      </c>
      <c r="C794" s="10" t="inlineStr">
        <is>
          <t>Flavour</t>
        </is>
      </c>
      <c r="D794" s="10" t="inlineStr">
        <is>
          <t>Readily Oxidizable Substances in dl-Menthol</t>
        </is>
      </c>
      <c r="E794" s="10">
        <f>IF(A794="","",A794&amp;"|"&amp;D794)</f>
        <v/>
      </c>
      <c r="F794" s="5" t="inlineStr">
        <is>
          <t>Y</t>
        </is>
      </c>
      <c r="G794" s="5" t="inlineStr">
        <is>
          <t>Other / bench</t>
        </is>
      </c>
      <c r="H794" s="5" t="inlineStr">
        <is>
          <t>Low</t>
        </is>
      </c>
      <c r="I794" s="5" t="n">
        <v>1</v>
      </c>
      <c r="J794" s="5" t="n"/>
      <c r="K794" s="10">
        <f>IFERROR(IF(INDEX('Test catalog'!$F$2:$F$200,MATCH($AB794,'Test catalog'!$A$2:$A$200,0))="","",INDEX('Test catalog'!$F$2:$F$200,MATCH($AB794,'Test catalog'!$A$2:$A$200,0))),"")</f>
        <v/>
      </c>
      <c r="L794" s="10">
        <f>IFERROR(IF(INDEX('Test catalog'!$G$2:$G$200,MATCH($AB794,'Test catalog'!$A$2:$A$200,0))="","",INDEX('Test catalog'!$G$2:$G$200,MATCH($AB794,'Test catalog'!$A$2:$A$200,0))),"")</f>
        <v/>
      </c>
      <c r="M794" s="10">
        <f>IFERROR(IF(INDEX('Test catalog'!$H$2:$H$200,MATCH($AB794,'Test catalog'!$A$2:$A$200,0))="","",INDEX('Test catalog'!$H$2:$H$200,MATCH($AB794,'Test catalog'!$A$2:$A$200,0))),"")</f>
        <v/>
      </c>
      <c r="N794" s="10">
        <f>IFERROR(IF(INDEX('Test catalog'!$I$2:$I$200,MATCH($AB794,'Test catalog'!$A$2:$A$200,0))="","",INDEX('Test catalog'!$I$2:$I$200,MATCH($AB794,'Test catalog'!$A$2:$A$200,0))),"")</f>
        <v/>
      </c>
      <c r="O794" s="10">
        <f>IFERROR(IF(INDEX('Test catalog'!$J$2:$J$200,MATCH($AB794,'Test catalog'!$A$2:$A$200,0))="","",INDEX('Test catalog'!$J$2:$J$200,MATCH($AB794,'Test catalog'!$A$2:$A$200,0))),"")</f>
        <v/>
      </c>
      <c r="P794" s="14">
        <f>IF(N794="","",IF(OR(M794="",O794=""),N794,(M794+4*N794+O794)/6))</f>
        <v/>
      </c>
      <c r="Q794" s="10">
        <f>IFERROR(IF(INDEX('Test catalog'!$K$2:$K$200,MATCH($AB794,'Test catalog'!$A$2:$A$200,0))="","",INDEX('Test catalog'!$K$2:$K$200,MATCH($AB794,'Test catalog'!$A$2:$A$200,0))),"")</f>
        <v/>
      </c>
      <c r="R794" s="5" t="n"/>
      <c r="S794" s="10">
        <f>IFERROR(IF(INDEX('Test catalog'!$L$2:$L$200,MATCH($AB794,'Test catalog'!$A$2:$A$200,0))="","",INDEX('Test catalog'!$L$2:$L$200,MATCH($AB794,'Test catalog'!$A$2:$A$200,0))),"")</f>
        <v/>
      </c>
      <c r="T794" s="10">
        <f>IFERROR(IF(INDEX('Test catalog'!$M$2:$M$200,MATCH($AB794,'Test catalog'!$A$2:$A$200,0))="","",INDEX('Test catalog'!$M$2:$M$200,MATCH($AB794,'Test catalog'!$A$2:$A$200,0))),"")</f>
        <v/>
      </c>
      <c r="U794" s="10">
        <f>IFERROR(IF(INDEX('Test catalog'!$N$2:$N$200,MATCH($AB794,'Test catalog'!$A$2:$A$200,0))="","",INDEX('Test catalog'!$N$2:$N$200,MATCH($AB794,'Test catalog'!$A$2:$A$200,0))),"")</f>
        <v/>
      </c>
      <c r="V794" s="15" t="n"/>
      <c r="W794" s="5" t="inlineStr">
        <is>
          <t>N</t>
        </is>
      </c>
      <c r="X794" s="5" t="n"/>
      <c r="Y794" s="5" t="n"/>
      <c r="Z794" s="5" t="n"/>
      <c r="AA794" s="10">
        <f>IFERROR(IF(INDEX('Test catalog'!$O$2:$O$200,MATCH($AB794,'Test catalog'!$A$2:$A$200,0))="","",INDEX('Test catalog'!$O$2:$O$200,MATCH($AB794,'Test catalog'!$A$2:$A$200,0))),"")</f>
        <v/>
      </c>
      <c r="AB794" s="10" t="inlineStr">
        <is>
          <t>LIMIT</t>
        </is>
      </c>
      <c r="AC794" s="10" t="inlineStr">
        <is>
          <t>Menthol · Impurities</t>
        </is>
      </c>
      <c r="AD794" s="10" t="n"/>
      <c r="AE794" s="10" t="n"/>
    </row>
    <row r="795">
      <c r="A795" s="10" t="inlineStr">
        <is>
          <t>L-Menthol</t>
        </is>
      </c>
      <c r="B795" s="10" t="inlineStr">
        <is>
          <t>RM</t>
        </is>
      </c>
      <c r="C795" s="10" t="inlineStr">
        <is>
          <t>Flavour</t>
        </is>
      </c>
      <c r="D795" s="10" t="inlineStr">
        <is>
          <t>Congealing Range of dl-Menthol</t>
        </is>
      </c>
      <c r="E795" s="10">
        <f>IF(A795="","",A795&amp;"|"&amp;D795)</f>
        <v/>
      </c>
      <c r="F795" s="5" t="inlineStr">
        <is>
          <t>Y</t>
        </is>
      </c>
      <c r="G795" s="5" t="inlineStr">
        <is>
          <t>Other / bench</t>
        </is>
      </c>
      <c r="H795" s="5" t="inlineStr">
        <is>
          <t>Low</t>
        </is>
      </c>
      <c r="I795" s="5" t="n">
        <v>1</v>
      </c>
      <c r="J795" s="5" t="n"/>
      <c r="K795" s="10">
        <f>IFERROR(IF(INDEX('Test catalog'!$F$2:$F$200,MATCH($AB795,'Test catalog'!$A$2:$A$200,0))="","",INDEX('Test catalog'!$F$2:$F$200,MATCH($AB795,'Test catalog'!$A$2:$A$200,0))),"")</f>
        <v/>
      </c>
      <c r="L795" s="10">
        <f>IFERROR(IF(INDEX('Test catalog'!$G$2:$G$200,MATCH($AB795,'Test catalog'!$A$2:$A$200,0))="","",INDEX('Test catalog'!$G$2:$G$200,MATCH($AB795,'Test catalog'!$A$2:$A$200,0))),"")</f>
        <v/>
      </c>
      <c r="M795" s="10">
        <f>IFERROR(IF(INDEX('Test catalog'!$H$2:$H$200,MATCH($AB795,'Test catalog'!$A$2:$A$200,0))="","",INDEX('Test catalog'!$H$2:$H$200,MATCH($AB795,'Test catalog'!$A$2:$A$200,0))),"")</f>
        <v/>
      </c>
      <c r="N795" s="10">
        <f>IFERROR(IF(INDEX('Test catalog'!$I$2:$I$200,MATCH($AB795,'Test catalog'!$A$2:$A$200,0))="","",INDEX('Test catalog'!$I$2:$I$200,MATCH($AB795,'Test catalog'!$A$2:$A$200,0))),"")</f>
        <v/>
      </c>
      <c r="O795" s="10">
        <f>IFERROR(IF(INDEX('Test catalog'!$J$2:$J$200,MATCH($AB795,'Test catalog'!$A$2:$A$200,0))="","",INDEX('Test catalog'!$J$2:$J$200,MATCH($AB795,'Test catalog'!$A$2:$A$200,0))),"")</f>
        <v/>
      </c>
      <c r="P795" s="14">
        <f>IF(N795="","",IF(OR(M795="",O795=""),N795,(M795+4*N795+O795)/6))</f>
        <v/>
      </c>
      <c r="Q795" s="10">
        <f>IFERROR(IF(INDEX('Test catalog'!$K$2:$K$200,MATCH($AB795,'Test catalog'!$A$2:$A$200,0))="","",INDEX('Test catalog'!$K$2:$K$200,MATCH($AB795,'Test catalog'!$A$2:$A$200,0))),"")</f>
        <v/>
      </c>
      <c r="R795" s="5" t="n"/>
      <c r="S795" s="10">
        <f>IFERROR(IF(INDEX('Test catalog'!$L$2:$L$200,MATCH($AB795,'Test catalog'!$A$2:$A$200,0))="","",INDEX('Test catalog'!$L$2:$L$200,MATCH($AB795,'Test catalog'!$A$2:$A$200,0))),"")</f>
        <v/>
      </c>
      <c r="T795" s="10">
        <f>IFERROR(IF(INDEX('Test catalog'!$M$2:$M$200,MATCH($AB795,'Test catalog'!$A$2:$A$200,0))="","",INDEX('Test catalog'!$M$2:$M$200,MATCH($AB795,'Test catalog'!$A$2:$A$200,0))),"")</f>
        <v/>
      </c>
      <c r="U795" s="10">
        <f>IFERROR(IF(INDEX('Test catalog'!$N$2:$N$200,MATCH($AB795,'Test catalog'!$A$2:$A$200,0))="","",INDEX('Test catalog'!$N$2:$N$200,MATCH($AB795,'Test catalog'!$A$2:$A$200,0))),"")</f>
        <v/>
      </c>
      <c r="V795" s="15" t="n"/>
      <c r="W795" s="5" t="inlineStr">
        <is>
          <t>N</t>
        </is>
      </c>
      <c r="X795" s="5" t="n"/>
      <c r="Y795" s="5" t="n"/>
      <c r="Z795" s="5" t="n"/>
      <c r="AA795" s="10">
        <f>IFERROR(IF(INDEX('Test catalog'!$O$2:$O$200,MATCH($AB795,'Test catalog'!$A$2:$A$200,0))="","",INDEX('Test catalog'!$O$2:$O$200,MATCH($AB795,'Test catalog'!$A$2:$A$200,0))),"")</f>
        <v/>
      </c>
      <c r="AB795" s="10" t="inlineStr">
        <is>
          <t>LIMIT</t>
        </is>
      </c>
      <c r="AC795" s="10" t="inlineStr">
        <is>
          <t>Menthol · Specific Tests &lt;651&gt;</t>
        </is>
      </c>
      <c r="AD795" s="10" t="n"/>
      <c r="AE795" s="10" t="n"/>
    </row>
    <row r="796">
      <c r="A796" s="10" t="inlineStr">
        <is>
          <t>L-Menthol</t>
        </is>
      </c>
      <c r="B796" s="10" t="inlineStr">
        <is>
          <t>RM</t>
        </is>
      </c>
      <c r="C796" s="10" t="inlineStr">
        <is>
          <t>Flavour</t>
        </is>
      </c>
      <c r="D796" s="10" t="inlineStr">
        <is>
          <t>Melting Range of l-Menthol</t>
        </is>
      </c>
      <c r="E796" s="10">
        <f>IF(A796="","",A796&amp;"|"&amp;D796)</f>
        <v/>
      </c>
      <c r="F796" s="5" t="inlineStr">
        <is>
          <t>Y</t>
        </is>
      </c>
      <c r="G796" s="5" t="inlineStr">
        <is>
          <t>Other / bench</t>
        </is>
      </c>
      <c r="H796" s="5" t="inlineStr">
        <is>
          <t>Low</t>
        </is>
      </c>
      <c r="I796" s="5" t="n">
        <v>1</v>
      </c>
      <c r="J796" s="5" t="n"/>
      <c r="K796" s="10">
        <f>IFERROR(IF(INDEX('Test catalog'!$F$2:$F$200,MATCH($AB796,'Test catalog'!$A$2:$A$200,0))="","",INDEX('Test catalog'!$F$2:$F$200,MATCH($AB796,'Test catalog'!$A$2:$A$200,0))),"")</f>
        <v/>
      </c>
      <c r="L796" s="10">
        <f>IFERROR(IF(INDEX('Test catalog'!$G$2:$G$200,MATCH($AB796,'Test catalog'!$A$2:$A$200,0))="","",INDEX('Test catalog'!$G$2:$G$200,MATCH($AB796,'Test catalog'!$A$2:$A$200,0))),"")</f>
        <v/>
      </c>
      <c r="M796" s="10">
        <f>IFERROR(IF(INDEX('Test catalog'!$H$2:$H$200,MATCH($AB796,'Test catalog'!$A$2:$A$200,0))="","",INDEX('Test catalog'!$H$2:$H$200,MATCH($AB796,'Test catalog'!$A$2:$A$200,0))),"")</f>
        <v/>
      </c>
      <c r="N796" s="10">
        <f>IFERROR(IF(INDEX('Test catalog'!$I$2:$I$200,MATCH($AB796,'Test catalog'!$A$2:$A$200,0))="","",INDEX('Test catalog'!$I$2:$I$200,MATCH($AB796,'Test catalog'!$A$2:$A$200,0))),"")</f>
        <v/>
      </c>
      <c r="O796" s="10">
        <f>IFERROR(IF(INDEX('Test catalog'!$J$2:$J$200,MATCH($AB796,'Test catalog'!$A$2:$A$200,0))="","",INDEX('Test catalog'!$J$2:$J$200,MATCH($AB796,'Test catalog'!$A$2:$A$200,0))),"")</f>
        <v/>
      </c>
      <c r="P796" s="14">
        <f>IF(N796="","",IF(OR(M796="",O796=""),N796,(M796+4*N796+O796)/6))</f>
        <v/>
      </c>
      <c r="Q796" s="10">
        <f>IFERROR(IF(INDEX('Test catalog'!$K$2:$K$200,MATCH($AB796,'Test catalog'!$A$2:$A$200,0))="","",INDEX('Test catalog'!$K$2:$K$200,MATCH($AB796,'Test catalog'!$A$2:$A$200,0))),"")</f>
        <v/>
      </c>
      <c r="R796" s="5" t="n"/>
      <c r="S796" s="10">
        <f>IFERROR(IF(INDEX('Test catalog'!$L$2:$L$200,MATCH($AB796,'Test catalog'!$A$2:$A$200,0))="","",INDEX('Test catalog'!$L$2:$L$200,MATCH($AB796,'Test catalog'!$A$2:$A$200,0))),"")</f>
        <v/>
      </c>
      <c r="T796" s="10">
        <f>IFERROR(IF(INDEX('Test catalog'!$M$2:$M$200,MATCH($AB796,'Test catalog'!$A$2:$A$200,0))="","",INDEX('Test catalog'!$M$2:$M$200,MATCH($AB796,'Test catalog'!$A$2:$A$200,0))),"")</f>
        <v/>
      </c>
      <c r="U796" s="10">
        <f>IFERROR(IF(INDEX('Test catalog'!$N$2:$N$200,MATCH($AB796,'Test catalog'!$A$2:$A$200,0))="","",INDEX('Test catalog'!$N$2:$N$200,MATCH($AB796,'Test catalog'!$A$2:$A$200,0))),"")</f>
        <v/>
      </c>
      <c r="V796" s="15" t="n"/>
      <c r="W796" s="5" t="inlineStr">
        <is>
          <t>N</t>
        </is>
      </c>
      <c r="X796" s="5" t="n"/>
      <c r="Y796" s="5" t="n"/>
      <c r="Z796" s="5" t="n"/>
      <c r="AA796" s="10">
        <f>IFERROR(IF(INDEX('Test catalog'!$O$2:$O$200,MATCH($AB796,'Test catalog'!$A$2:$A$200,0))="","",INDEX('Test catalog'!$O$2:$O$200,MATCH($AB796,'Test catalog'!$A$2:$A$200,0))),"")</f>
        <v/>
      </c>
      <c r="AB796" s="10" t="inlineStr">
        <is>
          <t>MP</t>
        </is>
      </c>
      <c r="AC796" s="10" t="inlineStr">
        <is>
          <t>Menthol · Specific Tests &lt;741&gt;</t>
        </is>
      </c>
      <c r="AD796" s="10" t="n"/>
      <c r="AE796" s="10" t="n"/>
    </row>
    <row r="797">
      <c r="A797" s="10" t="inlineStr">
        <is>
          <t>L-Menthol</t>
        </is>
      </c>
      <c r="B797" s="10" t="inlineStr">
        <is>
          <t>RM</t>
        </is>
      </c>
      <c r="C797" s="10" t="inlineStr">
        <is>
          <t>Flavour</t>
        </is>
      </c>
      <c r="D797" s="10" t="inlineStr">
        <is>
          <t>Optical Rotation</t>
        </is>
      </c>
      <c r="E797" s="10">
        <f>IF(A797="","",A797&amp;"|"&amp;D797)</f>
        <v/>
      </c>
      <c r="F797" s="5" t="inlineStr">
        <is>
          <t>Y</t>
        </is>
      </c>
      <c r="G797" s="5" t="inlineStr">
        <is>
          <t>Other / bench</t>
        </is>
      </c>
      <c r="H797" s="5" t="inlineStr">
        <is>
          <t>Low</t>
        </is>
      </c>
      <c r="I797" s="5" t="n">
        <v>1</v>
      </c>
      <c r="J797" s="5" t="n"/>
      <c r="K797" s="10">
        <f>IFERROR(IF(INDEX('Test catalog'!$F$2:$F$200,MATCH($AB797,'Test catalog'!$A$2:$A$200,0))="","",INDEX('Test catalog'!$F$2:$F$200,MATCH($AB797,'Test catalog'!$A$2:$A$200,0))),"")</f>
        <v/>
      </c>
      <c r="L797" s="10">
        <f>IFERROR(IF(INDEX('Test catalog'!$G$2:$G$200,MATCH($AB797,'Test catalog'!$A$2:$A$200,0))="","",INDEX('Test catalog'!$G$2:$G$200,MATCH($AB797,'Test catalog'!$A$2:$A$200,0))),"")</f>
        <v/>
      </c>
      <c r="M797" s="10">
        <f>IFERROR(IF(INDEX('Test catalog'!$H$2:$H$200,MATCH($AB797,'Test catalog'!$A$2:$A$200,0))="","",INDEX('Test catalog'!$H$2:$H$200,MATCH($AB797,'Test catalog'!$A$2:$A$200,0))),"")</f>
        <v/>
      </c>
      <c r="N797" s="10">
        <f>IFERROR(IF(INDEX('Test catalog'!$I$2:$I$200,MATCH($AB797,'Test catalog'!$A$2:$A$200,0))="","",INDEX('Test catalog'!$I$2:$I$200,MATCH($AB797,'Test catalog'!$A$2:$A$200,0))),"")</f>
        <v/>
      </c>
      <c r="O797" s="10">
        <f>IFERROR(IF(INDEX('Test catalog'!$J$2:$J$200,MATCH($AB797,'Test catalog'!$A$2:$A$200,0))="","",INDEX('Test catalog'!$J$2:$J$200,MATCH($AB797,'Test catalog'!$A$2:$A$200,0))),"")</f>
        <v/>
      </c>
      <c r="P797" s="14">
        <f>IF(N797="","",IF(OR(M797="",O797=""),N797,(M797+4*N797+O797)/6))</f>
        <v/>
      </c>
      <c r="Q797" s="10">
        <f>IFERROR(IF(INDEX('Test catalog'!$K$2:$K$200,MATCH($AB797,'Test catalog'!$A$2:$A$200,0))="","",INDEX('Test catalog'!$K$2:$K$200,MATCH($AB797,'Test catalog'!$A$2:$A$200,0))),"")</f>
        <v/>
      </c>
      <c r="R797" s="5" t="n"/>
      <c r="S797" s="10">
        <f>IFERROR(IF(INDEX('Test catalog'!$L$2:$L$200,MATCH($AB797,'Test catalog'!$A$2:$A$200,0))="","",INDEX('Test catalog'!$L$2:$L$200,MATCH($AB797,'Test catalog'!$A$2:$A$200,0))),"")</f>
        <v/>
      </c>
      <c r="T797" s="10">
        <f>IFERROR(IF(INDEX('Test catalog'!$M$2:$M$200,MATCH($AB797,'Test catalog'!$A$2:$A$200,0))="","",INDEX('Test catalog'!$M$2:$M$200,MATCH($AB797,'Test catalog'!$A$2:$A$200,0))),"")</f>
        <v/>
      </c>
      <c r="U797" s="10">
        <f>IFERROR(IF(INDEX('Test catalog'!$N$2:$N$200,MATCH($AB797,'Test catalog'!$A$2:$A$200,0))="","",INDEX('Test catalog'!$N$2:$N$200,MATCH($AB797,'Test catalog'!$A$2:$A$200,0))),"")</f>
        <v/>
      </c>
      <c r="V797" s="15" t="n"/>
      <c r="W797" s="5" t="inlineStr">
        <is>
          <t>N</t>
        </is>
      </c>
      <c r="X797" s="5" t="n"/>
      <c r="Y797" s="5" t="n"/>
      <c r="Z797" s="5" t="n"/>
      <c r="AA797" s="10">
        <f>IFERROR(IF(INDEX('Test catalog'!$O$2:$O$200,MATCH($AB797,'Test catalog'!$A$2:$A$200,0))="","",INDEX('Test catalog'!$O$2:$O$200,MATCH($AB797,'Test catalog'!$A$2:$A$200,0))),"")</f>
        <v/>
      </c>
      <c r="AB797" s="10" t="inlineStr">
        <is>
          <t>OR</t>
        </is>
      </c>
      <c r="AC797" s="10" t="inlineStr">
        <is>
          <t>Menthol · Specific Tests &lt;781&gt;</t>
        </is>
      </c>
      <c r="AD797" s="10" t="n"/>
      <c r="AE797" s="10" t="n"/>
    </row>
    <row r="798">
      <c r="A798" s="10" t="inlineStr">
        <is>
          <t>Lemon Essence</t>
        </is>
      </c>
      <c r="B798" s="10" t="inlineStr">
        <is>
          <t>RM</t>
        </is>
      </c>
      <c r="C798" s="10" t="inlineStr">
        <is>
          <t>Flavour</t>
        </is>
      </c>
      <c r="D798" s="10" t="inlineStr">
        <is>
          <t>Compendial tests</t>
        </is>
      </c>
      <c r="E798" s="10">
        <f>IF(A798="","",A798&amp;"|"&amp;D798)</f>
        <v/>
      </c>
      <c r="F798" s="5" t="inlineStr">
        <is>
          <t>Y</t>
        </is>
      </c>
      <c r="G798" s="5" t="inlineStr">
        <is>
          <t>Other / bench</t>
        </is>
      </c>
      <c r="H798" s="5" t="inlineStr">
        <is>
          <t>Low</t>
        </is>
      </c>
      <c r="I798" s="5" t="n">
        <v>1</v>
      </c>
      <c r="J798" s="5" t="n"/>
      <c r="K798" s="5" t="n"/>
      <c r="L798" s="5" t="n"/>
      <c r="M798" s="5" t="n"/>
      <c r="N798" s="5" t="n"/>
      <c r="O798" s="5" t="n"/>
      <c r="P798" s="14">
        <f>IF(N798="","",IF(OR(M798="",O798=""),N798,(M798+4*N798+O798)/6))</f>
        <v/>
      </c>
      <c r="Q798" s="5" t="n"/>
      <c r="R798" s="5" t="n"/>
      <c r="S798" s="5" t="n"/>
      <c r="T798" s="5" t="n"/>
      <c r="U798" s="5" t="n"/>
      <c r="V798" s="15" t="n"/>
      <c r="W798" s="5" t="inlineStr">
        <is>
          <t>N</t>
        </is>
      </c>
      <c r="X798" s="5" t="n"/>
      <c r="Y798" s="5" t="n"/>
      <c r="Z798" s="5" t="inlineStr">
        <is>
          <t>Change instrument to HPLC/GC if applicable (e.g. residual solvents, ethanol by GC)</t>
        </is>
      </c>
      <c r="AA798" s="5" t="n"/>
      <c r="AB798" s="10" t="n"/>
      <c r="AC798" s="10" t="n"/>
      <c r="AD798" s="10" t="inlineStr">
        <is>
          <t>No USP-NF monograph - in-house / supplier spec</t>
        </is>
      </c>
      <c r="AE798" s="10" t="n"/>
      <c r="AF798" s="10" t="n"/>
    </row>
    <row r="799">
      <c r="A799" s="10" t="inlineStr">
        <is>
          <t>Lemon Flavour</t>
        </is>
      </c>
      <c r="B799" s="10" t="inlineStr">
        <is>
          <t>RM</t>
        </is>
      </c>
      <c r="C799" s="10" t="inlineStr">
        <is>
          <t>Flavour</t>
        </is>
      </c>
      <c r="D799" s="10" t="inlineStr">
        <is>
          <t>Compendial tests</t>
        </is>
      </c>
      <c r="E799" s="10">
        <f>IF(A799="","",A799&amp;"|"&amp;D799)</f>
        <v/>
      </c>
      <c r="F799" s="5" t="inlineStr">
        <is>
          <t>Y</t>
        </is>
      </c>
      <c r="G799" s="5" t="inlineStr">
        <is>
          <t>Other / bench</t>
        </is>
      </c>
      <c r="H799" s="5" t="inlineStr">
        <is>
          <t>Low</t>
        </is>
      </c>
      <c r="I799" s="5" t="n">
        <v>1</v>
      </c>
      <c r="J799" s="5" t="n"/>
      <c r="K799" s="5" t="n"/>
      <c r="L799" s="5" t="n"/>
      <c r="M799" s="5" t="n"/>
      <c r="N799" s="5" t="n"/>
      <c r="O799" s="5" t="n"/>
      <c r="P799" s="14">
        <f>IF(N799="","",IF(OR(M799="",O799=""),N799,(M799+4*N799+O799)/6))</f>
        <v/>
      </c>
      <c r="Q799" s="5" t="n"/>
      <c r="R799" s="5" t="n"/>
      <c r="S799" s="5" t="n"/>
      <c r="T799" s="5" t="n"/>
      <c r="U799" s="5" t="n"/>
      <c r="V799" s="15" t="n"/>
      <c r="W799" s="5" t="inlineStr">
        <is>
          <t>N</t>
        </is>
      </c>
      <c r="X799" s="5" t="n"/>
      <c r="Y799" s="5" t="n"/>
      <c r="Z799" s="5" t="inlineStr">
        <is>
          <t>Change instrument to HPLC/GC if applicable (e.g. residual solvents, ethanol by GC)</t>
        </is>
      </c>
      <c r="AA799" s="5" t="n"/>
      <c r="AB799" s="10" t="n"/>
      <c r="AC799" s="10" t="n"/>
      <c r="AD799" s="10" t="inlineStr">
        <is>
          <t>No USP-NF monograph - in-house / supplier spec</t>
        </is>
      </c>
      <c r="AE799" s="10" t="n">
        <v>0.9</v>
      </c>
      <c r="AF799" s="10" t="inlineStr">
        <is>
          <t>Appearance- Colour- Odour-Water content-Particle Size | -</t>
        </is>
      </c>
    </row>
    <row r="800">
      <c r="A800" s="10" t="inlineStr">
        <is>
          <t>Mint Essence</t>
        </is>
      </c>
      <c r="B800" s="10" t="inlineStr">
        <is>
          <t>RM</t>
        </is>
      </c>
      <c r="C800" s="10" t="inlineStr">
        <is>
          <t>Flavour</t>
        </is>
      </c>
      <c r="D800" s="10" t="inlineStr">
        <is>
          <t>Compendial tests</t>
        </is>
      </c>
      <c r="E800" s="10">
        <f>IF(A800="","",A800&amp;"|"&amp;D800)</f>
        <v/>
      </c>
      <c r="F800" s="5" t="inlineStr">
        <is>
          <t>Y</t>
        </is>
      </c>
      <c r="G800" s="5" t="inlineStr">
        <is>
          <t>Other / bench</t>
        </is>
      </c>
      <c r="H800" s="5" t="inlineStr">
        <is>
          <t>Low</t>
        </is>
      </c>
      <c r="I800" s="5" t="n">
        <v>1</v>
      </c>
      <c r="J800" s="5" t="n"/>
      <c r="K800" s="5" t="n"/>
      <c r="L800" s="5" t="n"/>
      <c r="M800" s="5" t="n"/>
      <c r="N800" s="5" t="n"/>
      <c r="O800" s="5" t="n"/>
      <c r="P800" s="14">
        <f>IF(N800="","",IF(OR(M800="",O800=""),N800,(M800+4*N800+O800)/6))</f>
        <v/>
      </c>
      <c r="Q800" s="5" t="n"/>
      <c r="R800" s="5" t="n"/>
      <c r="S800" s="5" t="n"/>
      <c r="T800" s="5" t="n"/>
      <c r="U800" s="5" t="n"/>
      <c r="V800" s="15" t="n"/>
      <c r="W800" s="5" t="inlineStr">
        <is>
          <t>N</t>
        </is>
      </c>
      <c r="X800" s="5" t="n"/>
      <c r="Y800" s="5" t="n"/>
      <c r="Z800" s="5" t="inlineStr">
        <is>
          <t>Change instrument to HPLC/GC if applicable (e.g. residual solvents, ethanol by GC)</t>
        </is>
      </c>
      <c r="AA800" s="5" t="n"/>
      <c r="AB800" s="10" t="n"/>
      <c r="AC800" s="10" t="n"/>
      <c r="AD800" s="10" t="inlineStr">
        <is>
          <t>No USP-NF monograph - in-house / supplier spec</t>
        </is>
      </c>
      <c r="AE800" s="10" t="n"/>
      <c r="AF800" s="10" t="inlineStr">
        <is>
          <t>- | -</t>
        </is>
      </c>
    </row>
    <row r="801">
      <c r="A801" s="10" t="inlineStr">
        <is>
          <t>Mint Flavour</t>
        </is>
      </c>
      <c r="B801" s="10" t="inlineStr">
        <is>
          <t>RM</t>
        </is>
      </c>
      <c r="C801" s="10" t="inlineStr">
        <is>
          <t>Flavour</t>
        </is>
      </c>
      <c r="D801" s="10" t="inlineStr">
        <is>
          <t>Compendial tests</t>
        </is>
      </c>
      <c r="E801" s="10">
        <f>IF(A801="","",A801&amp;"|"&amp;D801)</f>
        <v/>
      </c>
      <c r="F801" s="5" t="inlineStr">
        <is>
          <t>Y</t>
        </is>
      </c>
      <c r="G801" s="5" t="inlineStr">
        <is>
          <t>Other / bench</t>
        </is>
      </c>
      <c r="H801" s="5" t="inlineStr">
        <is>
          <t>Low</t>
        </is>
      </c>
      <c r="I801" s="5" t="n">
        <v>1</v>
      </c>
      <c r="J801" s="5" t="n"/>
      <c r="K801" s="5" t="n"/>
      <c r="L801" s="5" t="n"/>
      <c r="M801" s="5" t="n"/>
      <c r="N801" s="5" t="n"/>
      <c r="O801" s="5" t="n"/>
      <c r="P801" s="14">
        <f>IF(N801="","",IF(OR(M801="",O801=""),N801,(M801+4*N801+O801)/6))</f>
        <v/>
      </c>
      <c r="Q801" s="5" t="n"/>
      <c r="R801" s="5" t="n"/>
      <c r="S801" s="5" t="n"/>
      <c r="T801" s="5" t="n"/>
      <c r="U801" s="5" t="n"/>
      <c r="V801" s="15" t="n"/>
      <c r="W801" s="5" t="inlineStr">
        <is>
          <t>N</t>
        </is>
      </c>
      <c r="X801" s="5" t="n"/>
      <c r="Y801" s="5" t="n"/>
      <c r="Z801" s="5" t="inlineStr">
        <is>
          <t>Change instrument to HPLC/GC if applicable (e.g. residual solvents, ethanol by GC)</t>
        </is>
      </c>
      <c r="AA801" s="5" t="n"/>
      <c r="AB801" s="10" t="n"/>
      <c r="AC801" s="10" t="n"/>
      <c r="AD801" s="10" t="inlineStr">
        <is>
          <t>No USP-NF monograph - in-house / supplier spec</t>
        </is>
      </c>
      <c r="AE801" s="10" t="n"/>
      <c r="AF801" s="10" t="inlineStr">
        <is>
          <t>- | -</t>
        </is>
      </c>
    </row>
    <row r="802">
      <c r="A802" s="10" t="inlineStr">
        <is>
          <t>Orange Flavour</t>
        </is>
      </c>
      <c r="B802" s="10" t="inlineStr">
        <is>
          <t>RM</t>
        </is>
      </c>
      <c r="C802" s="10" t="inlineStr">
        <is>
          <t>Flavour</t>
        </is>
      </c>
      <c r="D802" s="10" t="inlineStr">
        <is>
          <t>Compendial tests</t>
        </is>
      </c>
      <c r="E802" s="10">
        <f>IF(A802="","",A802&amp;"|"&amp;D802)</f>
        <v/>
      </c>
      <c r="F802" s="5" t="inlineStr">
        <is>
          <t>Y</t>
        </is>
      </c>
      <c r="G802" s="5" t="inlineStr">
        <is>
          <t>Other / bench</t>
        </is>
      </c>
      <c r="H802" s="5" t="inlineStr">
        <is>
          <t>Low</t>
        </is>
      </c>
      <c r="I802" s="5" t="n">
        <v>1</v>
      </c>
      <c r="J802" s="5" t="n"/>
      <c r="K802" s="5" t="n"/>
      <c r="L802" s="5" t="n"/>
      <c r="M802" s="5" t="n"/>
      <c r="N802" s="5" t="n"/>
      <c r="O802" s="5" t="n"/>
      <c r="P802" s="14">
        <f>IF(N802="","",IF(OR(M802="",O802=""),N802,(M802+4*N802+O802)/6))</f>
        <v/>
      </c>
      <c r="Q802" s="5" t="n"/>
      <c r="R802" s="5" t="n"/>
      <c r="S802" s="5" t="n"/>
      <c r="T802" s="5" t="n"/>
      <c r="U802" s="5" t="n"/>
      <c r="V802" s="15" t="n"/>
      <c r="W802" s="5" t="inlineStr">
        <is>
          <t>N</t>
        </is>
      </c>
      <c r="X802" s="5" t="n"/>
      <c r="Y802" s="5" t="n"/>
      <c r="Z802" s="5" t="inlineStr">
        <is>
          <t>Change instrument to HPLC/GC if applicable (e.g. residual solvents, ethanol by GC)</t>
        </is>
      </c>
      <c r="AA802" s="5" t="n"/>
      <c r="AB802" s="10" t="n"/>
      <c r="AC802" s="10" t="n"/>
      <c r="AD802" s="10" t="inlineStr">
        <is>
          <t>No USP-NF monograph - in-house / supplier spec</t>
        </is>
      </c>
      <c r="AE802" s="10" t="n">
        <v>0.37</v>
      </c>
      <c r="AF802" s="10" t="inlineStr">
        <is>
          <t>- | -; Appearance- Odour- Water Content | 22</t>
        </is>
      </c>
    </row>
    <row r="803">
      <c r="A803" s="10" t="inlineStr">
        <is>
          <t>Sour Cherry Flavour</t>
        </is>
      </c>
      <c r="B803" s="10" t="inlineStr">
        <is>
          <t>RM</t>
        </is>
      </c>
      <c r="C803" s="10" t="inlineStr">
        <is>
          <t>Flavour</t>
        </is>
      </c>
      <c r="D803" s="10" t="inlineStr">
        <is>
          <t>Compendial tests</t>
        </is>
      </c>
      <c r="E803" s="10">
        <f>IF(A803="","",A803&amp;"|"&amp;D803)</f>
        <v/>
      </c>
      <c r="F803" s="5" t="inlineStr">
        <is>
          <t>Y</t>
        </is>
      </c>
      <c r="G803" s="5" t="inlineStr">
        <is>
          <t>Other / bench</t>
        </is>
      </c>
      <c r="H803" s="5" t="inlineStr">
        <is>
          <t>Low</t>
        </is>
      </c>
      <c r="I803" s="5" t="n">
        <v>1</v>
      </c>
      <c r="J803" s="5" t="n"/>
      <c r="K803" s="5" t="n"/>
      <c r="L803" s="5" t="n"/>
      <c r="M803" s="5" t="n"/>
      <c r="N803" s="5" t="n"/>
      <c r="O803" s="5" t="n"/>
      <c r="P803" s="14">
        <f>IF(N803="","",IF(OR(M803="",O803=""),N803,(M803+4*N803+O803)/6))</f>
        <v/>
      </c>
      <c r="Q803" s="5" t="n"/>
      <c r="R803" s="5" t="n"/>
      <c r="S803" s="5" t="n"/>
      <c r="T803" s="5" t="n"/>
      <c r="U803" s="5" t="n"/>
      <c r="V803" s="15" t="n"/>
      <c r="W803" s="5" t="inlineStr">
        <is>
          <t>N</t>
        </is>
      </c>
      <c r="X803" s="5" t="n"/>
      <c r="Y803" s="5" t="n"/>
      <c r="Z803" s="5" t="inlineStr">
        <is>
          <t>Change instrument to HPLC/GC if applicable (e.g. residual solvents, ethanol by GC)</t>
        </is>
      </c>
      <c r="AA803" s="5" t="n"/>
      <c r="AB803" s="10" t="n"/>
      <c r="AC803" s="10" t="n"/>
      <c r="AD803" s="10" t="inlineStr">
        <is>
          <t>No USP-NF monograph - in-house / supplier spec</t>
        </is>
      </c>
      <c r="AE803" s="10" t="n">
        <v>0.35</v>
      </c>
      <c r="AF803" s="10" t="inlineStr">
        <is>
          <t>Appearance-Water determination | -</t>
        </is>
      </c>
    </row>
    <row r="804">
      <c r="A804" s="10" t="inlineStr">
        <is>
          <t>Strawberry Flavour</t>
        </is>
      </c>
      <c r="B804" s="10" t="inlineStr">
        <is>
          <t>RM</t>
        </is>
      </c>
      <c r="C804" s="10" t="inlineStr">
        <is>
          <t>Flavour</t>
        </is>
      </c>
      <c r="D804" s="10" t="inlineStr">
        <is>
          <t>Compendial tests</t>
        </is>
      </c>
      <c r="E804" s="10">
        <f>IF(A804="","",A804&amp;"|"&amp;D804)</f>
        <v/>
      </c>
      <c r="F804" s="5" t="inlineStr">
        <is>
          <t>Y</t>
        </is>
      </c>
      <c r="G804" s="5" t="inlineStr">
        <is>
          <t>Other / bench</t>
        </is>
      </c>
      <c r="H804" s="5" t="inlineStr">
        <is>
          <t>Low</t>
        </is>
      </c>
      <c r="I804" s="5" t="n">
        <v>1</v>
      </c>
      <c r="J804" s="5" t="n"/>
      <c r="K804" s="5" t="n"/>
      <c r="L804" s="5" t="n"/>
      <c r="M804" s="5" t="n"/>
      <c r="N804" s="5" t="n"/>
      <c r="O804" s="5" t="n"/>
      <c r="P804" s="14">
        <f>IF(N804="","",IF(OR(M804="",O804=""),N804,(M804+4*N804+O804)/6))</f>
        <v/>
      </c>
      <c r="Q804" s="5" t="n"/>
      <c r="R804" s="5" t="n"/>
      <c r="S804" s="5" t="n"/>
      <c r="T804" s="5" t="n"/>
      <c r="U804" s="5" t="n"/>
      <c r="V804" s="15" t="n"/>
      <c r="W804" s="5" t="inlineStr">
        <is>
          <t>N</t>
        </is>
      </c>
      <c r="X804" s="5" t="n"/>
      <c r="Y804" s="5" t="n"/>
      <c r="Z804" s="5" t="inlineStr">
        <is>
          <t>Change instrument to HPLC/GC if applicable (e.g. residual solvents, ethanol by GC)</t>
        </is>
      </c>
      <c r="AA804" s="5" t="n"/>
      <c r="AB804" s="10" t="n"/>
      <c r="AC804" s="10" t="n"/>
      <c r="AD804" s="10" t="inlineStr">
        <is>
          <t>No USP-NF monograph - in-house / supplier spec</t>
        </is>
      </c>
      <c r="AE804" s="10" t="n">
        <v>0.85</v>
      </c>
      <c r="AF804" s="10" t="inlineStr">
        <is>
          <t>- | -; - | 7; Appearance -Particle size- Water content | -</t>
        </is>
      </c>
    </row>
    <row r="805">
      <c r="A805" s="10" t="inlineStr">
        <is>
          <t>Colloidal Silicon Dioxide</t>
        </is>
      </c>
      <c r="B805" s="10" t="inlineStr">
        <is>
          <t>RM</t>
        </is>
      </c>
      <c r="C805" s="10" t="inlineStr">
        <is>
          <t>Glidant</t>
        </is>
      </c>
      <c r="D805" s="10" t="inlineStr">
        <is>
          <t>Appearance / description and solubility</t>
        </is>
      </c>
      <c r="E805" s="10">
        <f>IF(A805="","",A805&amp;"|"&amp;D805)</f>
        <v/>
      </c>
      <c r="F805" s="5" t="inlineStr">
        <is>
          <t>Y</t>
        </is>
      </c>
      <c r="G805" s="5" t="inlineStr">
        <is>
          <t>Other / bench</t>
        </is>
      </c>
      <c r="H805" s="5" t="inlineStr">
        <is>
          <t>Low</t>
        </is>
      </c>
      <c r="I805" s="5" t="n">
        <v>1</v>
      </c>
      <c r="J805" s="5" t="n"/>
      <c r="K805" s="10">
        <f>IFERROR(IF(INDEX('Test catalog'!$F$2:$F$200,MATCH($AB805,'Test catalog'!$A$2:$A$200,0))="","",INDEX('Test catalog'!$F$2:$F$200,MATCH($AB805,'Test catalog'!$A$2:$A$200,0))),"")</f>
        <v/>
      </c>
      <c r="L805" s="10">
        <f>IFERROR(IF(INDEX('Test catalog'!$G$2:$G$200,MATCH($AB805,'Test catalog'!$A$2:$A$200,0))="","",INDEX('Test catalog'!$G$2:$G$200,MATCH($AB805,'Test catalog'!$A$2:$A$200,0))),"")</f>
        <v/>
      </c>
      <c r="M805" s="10">
        <f>IFERROR(IF(INDEX('Test catalog'!$H$2:$H$200,MATCH($AB805,'Test catalog'!$A$2:$A$200,0))="","",INDEX('Test catalog'!$H$2:$H$200,MATCH($AB805,'Test catalog'!$A$2:$A$200,0))),"")</f>
        <v/>
      </c>
      <c r="N805" s="10">
        <f>IFERROR(IF(INDEX('Test catalog'!$I$2:$I$200,MATCH($AB805,'Test catalog'!$A$2:$A$200,0))="","",INDEX('Test catalog'!$I$2:$I$200,MATCH($AB805,'Test catalog'!$A$2:$A$200,0))),"")</f>
        <v/>
      </c>
      <c r="O805" s="10">
        <f>IFERROR(IF(INDEX('Test catalog'!$J$2:$J$200,MATCH($AB805,'Test catalog'!$A$2:$A$200,0))="","",INDEX('Test catalog'!$J$2:$J$200,MATCH($AB805,'Test catalog'!$A$2:$A$200,0))),"")</f>
        <v/>
      </c>
      <c r="P805" s="14">
        <f>IF(N805="","",IF(OR(M805="",O805=""),N805,(M805+4*N805+O805)/6))</f>
        <v/>
      </c>
      <c r="Q805" s="10">
        <f>IFERROR(IF(INDEX('Test catalog'!$K$2:$K$200,MATCH($AB805,'Test catalog'!$A$2:$A$200,0))="","",INDEX('Test catalog'!$K$2:$K$200,MATCH($AB805,'Test catalog'!$A$2:$A$200,0))),"")</f>
        <v/>
      </c>
      <c r="R805" s="5" t="n"/>
      <c r="S805" s="10">
        <f>IFERROR(IF(INDEX('Test catalog'!$L$2:$L$200,MATCH($AB805,'Test catalog'!$A$2:$A$200,0))="","",INDEX('Test catalog'!$L$2:$L$200,MATCH($AB805,'Test catalog'!$A$2:$A$200,0))),"")</f>
        <v/>
      </c>
      <c r="T805" s="10">
        <f>IFERROR(IF(INDEX('Test catalog'!$M$2:$M$200,MATCH($AB805,'Test catalog'!$A$2:$A$200,0))="","",INDEX('Test catalog'!$M$2:$M$200,MATCH($AB805,'Test catalog'!$A$2:$A$200,0))),"")</f>
        <v/>
      </c>
      <c r="U805" s="10">
        <f>IFERROR(IF(INDEX('Test catalog'!$N$2:$N$200,MATCH($AB805,'Test catalog'!$A$2:$A$200,0))="","",INDEX('Test catalog'!$N$2:$N$200,MATCH($AB805,'Test catalog'!$A$2:$A$200,0))),"")</f>
        <v/>
      </c>
      <c r="V805" s="15" t="n"/>
      <c r="W805" s="5" t="inlineStr">
        <is>
          <t>N</t>
        </is>
      </c>
      <c r="X805" s="5" t="n"/>
      <c r="Y805" s="5" t="n"/>
      <c r="Z805" s="5" t="n"/>
      <c r="AA805" s="10">
        <f>IFERROR(IF(INDEX('Test catalog'!$O$2:$O$200,MATCH($AB805,'Test catalog'!$A$2:$A$200,0))="","",INDEX('Test catalog'!$O$2:$O$200,MATCH($AB805,'Test catalog'!$A$2:$A$200,0))),"")</f>
        <v/>
      </c>
      <c r="AB805" s="10" t="inlineStr">
        <is>
          <t>APPEAR</t>
        </is>
      </c>
      <c r="AC805" s="10" t="inlineStr">
        <is>
          <t>Lab practice (not a USP test)</t>
        </is>
      </c>
      <c r="AD805" s="10" t="n"/>
      <c r="AE805" s="10" t="n"/>
    </row>
    <row r="806">
      <c r="A806" s="10" t="inlineStr">
        <is>
          <t>Colloidal Silicon Dioxide</t>
        </is>
      </c>
      <c r="B806" s="10" t="inlineStr">
        <is>
          <t>RM</t>
        </is>
      </c>
      <c r="C806" s="10" t="inlineStr">
        <is>
          <t>Glidant</t>
        </is>
      </c>
      <c r="D806" s="10" t="inlineStr">
        <is>
          <t>ID A - chemical reaction</t>
        </is>
      </c>
      <c r="E806" s="10">
        <f>IF(A806="","",A806&amp;"|"&amp;D806)</f>
        <v/>
      </c>
      <c r="F806" s="5" t="inlineStr">
        <is>
          <t>Y</t>
        </is>
      </c>
      <c r="G806" s="5" t="inlineStr">
        <is>
          <t>Other / bench</t>
        </is>
      </c>
      <c r="H806" s="5" t="inlineStr">
        <is>
          <t>Low</t>
        </is>
      </c>
      <c r="I806" s="5" t="n">
        <v>1</v>
      </c>
      <c r="J806" s="5" t="n"/>
      <c r="K806" s="10">
        <f>IFERROR(IF(INDEX('Test catalog'!$F$2:$F$200,MATCH($AB806,'Test catalog'!$A$2:$A$200,0))="","",INDEX('Test catalog'!$F$2:$F$200,MATCH($AB806,'Test catalog'!$A$2:$A$200,0))),"")</f>
        <v/>
      </c>
      <c r="L806" s="10">
        <f>IFERROR(IF(INDEX('Test catalog'!$G$2:$G$200,MATCH($AB806,'Test catalog'!$A$2:$A$200,0))="","",INDEX('Test catalog'!$G$2:$G$200,MATCH($AB806,'Test catalog'!$A$2:$A$200,0))),"")</f>
        <v/>
      </c>
      <c r="M806" s="10">
        <f>IFERROR(IF(INDEX('Test catalog'!$H$2:$H$200,MATCH($AB806,'Test catalog'!$A$2:$A$200,0))="","",INDEX('Test catalog'!$H$2:$H$200,MATCH($AB806,'Test catalog'!$A$2:$A$200,0))),"")</f>
        <v/>
      </c>
      <c r="N806" s="10">
        <f>IFERROR(IF(INDEX('Test catalog'!$I$2:$I$200,MATCH($AB806,'Test catalog'!$A$2:$A$200,0))="","",INDEX('Test catalog'!$I$2:$I$200,MATCH($AB806,'Test catalog'!$A$2:$A$200,0))),"")</f>
        <v/>
      </c>
      <c r="O806" s="10">
        <f>IFERROR(IF(INDEX('Test catalog'!$J$2:$J$200,MATCH($AB806,'Test catalog'!$A$2:$A$200,0))="","",INDEX('Test catalog'!$J$2:$J$200,MATCH($AB806,'Test catalog'!$A$2:$A$200,0))),"")</f>
        <v/>
      </c>
      <c r="P806" s="14">
        <f>IF(N806="","",IF(OR(M806="",O806=""),N806,(M806+4*N806+O806)/6))</f>
        <v/>
      </c>
      <c r="Q806" s="10">
        <f>IFERROR(IF(INDEX('Test catalog'!$K$2:$K$200,MATCH($AB806,'Test catalog'!$A$2:$A$200,0))="","",INDEX('Test catalog'!$K$2:$K$200,MATCH($AB806,'Test catalog'!$A$2:$A$200,0))),"")</f>
        <v/>
      </c>
      <c r="R806" s="5" t="n"/>
      <c r="S806" s="10">
        <f>IFERROR(IF(INDEX('Test catalog'!$L$2:$L$200,MATCH($AB806,'Test catalog'!$A$2:$A$200,0))="","",INDEX('Test catalog'!$L$2:$L$200,MATCH($AB806,'Test catalog'!$A$2:$A$200,0))),"")</f>
        <v/>
      </c>
      <c r="T806" s="10">
        <f>IFERROR(IF(INDEX('Test catalog'!$M$2:$M$200,MATCH($AB806,'Test catalog'!$A$2:$A$200,0))="","",INDEX('Test catalog'!$M$2:$M$200,MATCH($AB806,'Test catalog'!$A$2:$A$200,0))),"")</f>
        <v/>
      </c>
      <c r="U806" s="10">
        <f>IFERROR(IF(INDEX('Test catalog'!$N$2:$N$200,MATCH($AB806,'Test catalog'!$A$2:$A$200,0))="","",INDEX('Test catalog'!$N$2:$N$200,MATCH($AB806,'Test catalog'!$A$2:$A$200,0))),"")</f>
        <v/>
      </c>
      <c r="V806" s="15" t="n"/>
      <c r="W806" s="5" t="inlineStr">
        <is>
          <t>N</t>
        </is>
      </c>
      <c r="X806" s="5" t="n"/>
      <c r="Y806" s="5" t="n"/>
      <c r="Z806" s="5" t="n"/>
      <c r="AA806" s="10">
        <f>IFERROR(IF(INDEX('Test catalog'!$O$2:$O$200,MATCH($AB806,'Test catalog'!$A$2:$A$200,0))="","",INDEX('Test catalog'!$O$2:$O$200,MATCH($AB806,'Test catalog'!$A$2:$A$200,0))),"")</f>
        <v/>
      </c>
      <c r="AB806" s="10" t="inlineStr">
        <is>
          <t>ID_CHEM</t>
        </is>
      </c>
      <c r="AC806" s="10" t="inlineStr">
        <is>
          <t>Colloidal Silicon Dioxide · Identification</t>
        </is>
      </c>
      <c r="AD806" s="10" t="n"/>
      <c r="AE806" s="10" t="n"/>
    </row>
    <row r="807">
      <c r="A807" s="10" t="inlineStr">
        <is>
          <t>Colloidal Silicon Dioxide</t>
        </is>
      </c>
      <c r="B807" s="10" t="inlineStr">
        <is>
          <t>RM</t>
        </is>
      </c>
      <c r="C807" s="10" t="inlineStr">
        <is>
          <t>Glidant</t>
        </is>
      </c>
      <c r="D807" s="10" t="inlineStr">
        <is>
          <t>ID B - chemical reaction</t>
        </is>
      </c>
      <c r="E807" s="10">
        <f>IF(A807="","",A807&amp;"|"&amp;D807)</f>
        <v/>
      </c>
      <c r="F807" s="5" t="inlineStr">
        <is>
          <t>Y</t>
        </is>
      </c>
      <c r="G807" s="5" t="inlineStr">
        <is>
          <t>Other / bench</t>
        </is>
      </c>
      <c r="H807" s="5" t="inlineStr">
        <is>
          <t>Low</t>
        </is>
      </c>
      <c r="I807" s="5" t="n">
        <v>1</v>
      </c>
      <c r="J807" s="5" t="n"/>
      <c r="K807" s="10">
        <f>IFERROR(IF(INDEX('Test catalog'!$F$2:$F$200,MATCH($AB807,'Test catalog'!$A$2:$A$200,0))="","",INDEX('Test catalog'!$F$2:$F$200,MATCH($AB807,'Test catalog'!$A$2:$A$200,0))),"")</f>
        <v/>
      </c>
      <c r="L807" s="10">
        <f>IFERROR(IF(INDEX('Test catalog'!$G$2:$G$200,MATCH($AB807,'Test catalog'!$A$2:$A$200,0))="","",INDEX('Test catalog'!$G$2:$G$200,MATCH($AB807,'Test catalog'!$A$2:$A$200,0))),"")</f>
        <v/>
      </c>
      <c r="M807" s="10">
        <f>IFERROR(IF(INDEX('Test catalog'!$H$2:$H$200,MATCH($AB807,'Test catalog'!$A$2:$A$200,0))="","",INDEX('Test catalog'!$H$2:$H$200,MATCH($AB807,'Test catalog'!$A$2:$A$200,0))),"")</f>
        <v/>
      </c>
      <c r="N807" s="10">
        <f>IFERROR(IF(INDEX('Test catalog'!$I$2:$I$200,MATCH($AB807,'Test catalog'!$A$2:$A$200,0))="","",INDEX('Test catalog'!$I$2:$I$200,MATCH($AB807,'Test catalog'!$A$2:$A$200,0))),"")</f>
        <v/>
      </c>
      <c r="O807" s="10">
        <f>IFERROR(IF(INDEX('Test catalog'!$J$2:$J$200,MATCH($AB807,'Test catalog'!$A$2:$A$200,0))="","",INDEX('Test catalog'!$J$2:$J$200,MATCH($AB807,'Test catalog'!$A$2:$A$200,0))),"")</f>
        <v/>
      </c>
      <c r="P807" s="14">
        <f>IF(N807="","",IF(OR(M807="",O807=""),N807,(M807+4*N807+O807)/6))</f>
        <v/>
      </c>
      <c r="Q807" s="10">
        <f>IFERROR(IF(INDEX('Test catalog'!$K$2:$K$200,MATCH($AB807,'Test catalog'!$A$2:$A$200,0))="","",INDEX('Test catalog'!$K$2:$K$200,MATCH($AB807,'Test catalog'!$A$2:$A$200,0))),"")</f>
        <v/>
      </c>
      <c r="R807" s="5" t="n"/>
      <c r="S807" s="10">
        <f>IFERROR(IF(INDEX('Test catalog'!$L$2:$L$200,MATCH($AB807,'Test catalog'!$A$2:$A$200,0))="","",INDEX('Test catalog'!$L$2:$L$200,MATCH($AB807,'Test catalog'!$A$2:$A$200,0))),"")</f>
        <v/>
      </c>
      <c r="T807" s="10">
        <f>IFERROR(IF(INDEX('Test catalog'!$M$2:$M$200,MATCH($AB807,'Test catalog'!$A$2:$A$200,0))="","",INDEX('Test catalog'!$M$2:$M$200,MATCH($AB807,'Test catalog'!$A$2:$A$200,0))),"")</f>
        <v/>
      </c>
      <c r="U807" s="10">
        <f>IFERROR(IF(INDEX('Test catalog'!$N$2:$N$200,MATCH($AB807,'Test catalog'!$A$2:$A$200,0))="","",INDEX('Test catalog'!$N$2:$N$200,MATCH($AB807,'Test catalog'!$A$2:$A$200,0))),"")</f>
        <v/>
      </c>
      <c r="V807" s="15" t="n"/>
      <c r="W807" s="5" t="inlineStr">
        <is>
          <t>N</t>
        </is>
      </c>
      <c r="X807" s="5" t="n"/>
      <c r="Y807" s="5" t="n"/>
      <c r="Z807" s="5" t="n"/>
      <c r="AA807" s="10">
        <f>IFERROR(IF(INDEX('Test catalog'!$O$2:$O$200,MATCH($AB807,'Test catalog'!$A$2:$A$200,0))="","",INDEX('Test catalog'!$O$2:$O$200,MATCH($AB807,'Test catalog'!$A$2:$A$200,0))),"")</f>
        <v/>
      </c>
      <c r="AB807" s="10" t="inlineStr">
        <is>
          <t>ID_CHEM</t>
        </is>
      </c>
      <c r="AC807" s="10" t="inlineStr">
        <is>
          <t>Colloidal Silicon Dioxide · Identification</t>
        </is>
      </c>
      <c r="AD807" s="10" t="n"/>
      <c r="AE807" s="10" t="n"/>
    </row>
    <row r="808">
      <c r="A808" s="10" t="inlineStr">
        <is>
          <t>Colloidal Silicon Dioxide</t>
        </is>
      </c>
      <c r="B808" s="10" t="inlineStr">
        <is>
          <t>RM</t>
        </is>
      </c>
      <c r="C808" s="10" t="inlineStr">
        <is>
          <t>Glidant</t>
        </is>
      </c>
      <c r="D808" s="10" t="inlineStr">
        <is>
          <t>Assay</t>
        </is>
      </c>
      <c r="E808" s="10">
        <f>IF(A808="","",A808&amp;"|"&amp;D808)</f>
        <v/>
      </c>
      <c r="F808" s="5" t="inlineStr">
        <is>
          <t>Y</t>
        </is>
      </c>
      <c r="G808" s="5" t="inlineStr">
        <is>
          <t>Other / bench</t>
        </is>
      </c>
      <c r="H808" s="5" t="inlineStr">
        <is>
          <t>Low</t>
        </is>
      </c>
      <c r="I808" s="5" t="n">
        <v>1</v>
      </c>
      <c r="J808" s="5" t="n"/>
      <c r="K808" s="10">
        <f>IFERROR(IF(INDEX('Test catalog'!$F$2:$F$200,MATCH($AB808,'Test catalog'!$A$2:$A$200,0))="","",INDEX('Test catalog'!$F$2:$F$200,MATCH($AB808,'Test catalog'!$A$2:$A$200,0))),"")</f>
        <v/>
      </c>
      <c r="L808" s="10">
        <f>IFERROR(IF(INDEX('Test catalog'!$G$2:$G$200,MATCH($AB808,'Test catalog'!$A$2:$A$200,0))="","",INDEX('Test catalog'!$G$2:$G$200,MATCH($AB808,'Test catalog'!$A$2:$A$200,0))),"")</f>
        <v/>
      </c>
      <c r="M808" s="10">
        <f>IFERROR(IF(INDEX('Test catalog'!$H$2:$H$200,MATCH($AB808,'Test catalog'!$A$2:$A$200,0))="","",INDEX('Test catalog'!$H$2:$H$200,MATCH($AB808,'Test catalog'!$A$2:$A$200,0))),"")</f>
        <v/>
      </c>
      <c r="N808" s="10">
        <f>IFERROR(IF(INDEX('Test catalog'!$I$2:$I$200,MATCH($AB808,'Test catalog'!$A$2:$A$200,0))="","",INDEX('Test catalog'!$I$2:$I$200,MATCH($AB808,'Test catalog'!$A$2:$A$200,0))),"")</f>
        <v/>
      </c>
      <c r="O808" s="10">
        <f>IFERROR(IF(INDEX('Test catalog'!$J$2:$J$200,MATCH($AB808,'Test catalog'!$A$2:$A$200,0))="","",INDEX('Test catalog'!$J$2:$J$200,MATCH($AB808,'Test catalog'!$A$2:$A$200,0))),"")</f>
        <v/>
      </c>
      <c r="P808" s="14">
        <f>IF(N808="","",IF(OR(M808="",O808=""),N808,(M808+4*N808+O808)/6))</f>
        <v/>
      </c>
      <c r="Q808" s="10">
        <f>IFERROR(IF(INDEX('Test catalog'!$K$2:$K$200,MATCH($AB808,'Test catalog'!$A$2:$A$200,0))="","",INDEX('Test catalog'!$K$2:$K$200,MATCH($AB808,'Test catalog'!$A$2:$A$200,0))),"")</f>
        <v/>
      </c>
      <c r="R808" s="5" t="n"/>
      <c r="S808" s="10">
        <f>IFERROR(IF(INDEX('Test catalog'!$L$2:$L$200,MATCH($AB808,'Test catalog'!$A$2:$A$200,0))="","",INDEX('Test catalog'!$L$2:$L$200,MATCH($AB808,'Test catalog'!$A$2:$A$200,0))),"")</f>
        <v/>
      </c>
      <c r="T808" s="10">
        <f>IFERROR(IF(INDEX('Test catalog'!$M$2:$M$200,MATCH($AB808,'Test catalog'!$A$2:$A$200,0))="","",INDEX('Test catalog'!$M$2:$M$200,MATCH($AB808,'Test catalog'!$A$2:$A$200,0))),"")</f>
        <v/>
      </c>
      <c r="U808" s="10">
        <f>IFERROR(IF(INDEX('Test catalog'!$N$2:$N$200,MATCH($AB808,'Test catalog'!$A$2:$A$200,0))="","",INDEX('Test catalog'!$N$2:$N$200,MATCH($AB808,'Test catalog'!$A$2:$A$200,0))),"")</f>
        <v/>
      </c>
      <c r="V808" s="15" t="n"/>
      <c r="W808" s="5" t="inlineStr">
        <is>
          <t>N</t>
        </is>
      </c>
      <c r="X808" s="5" t="n"/>
      <c r="Y808" s="5" t="n"/>
      <c r="Z808" s="5" t="n"/>
      <c r="AA808" s="10">
        <f>IFERROR(IF(INDEX('Test catalog'!$O$2:$O$200,MATCH($AB808,'Test catalog'!$A$2:$A$200,0))="","",INDEX('Test catalog'!$O$2:$O$200,MATCH($AB808,'Test catalog'!$A$2:$A$200,0))),"")</f>
        <v/>
      </c>
      <c r="AB808" s="10" t="inlineStr">
        <is>
          <t>LIMIT</t>
        </is>
      </c>
      <c r="AC808" s="10" t="inlineStr">
        <is>
          <t>Colloidal Silicon Dioxide · Assay</t>
        </is>
      </c>
      <c r="AD808" s="10" t="n"/>
      <c r="AE808" s="10" t="n"/>
    </row>
    <row r="809">
      <c r="A809" s="10" t="inlineStr">
        <is>
          <t>Colloidal Silicon Dioxide</t>
        </is>
      </c>
      <c r="B809" s="10" t="inlineStr">
        <is>
          <t>RM</t>
        </is>
      </c>
      <c r="C809" s="10" t="inlineStr">
        <is>
          <t>Glidant</t>
        </is>
      </c>
      <c r="D809" s="10" t="inlineStr">
        <is>
          <t>Loss on Ignition</t>
        </is>
      </c>
      <c r="E809" s="10">
        <f>IF(A809="","",A809&amp;"|"&amp;D809)</f>
        <v/>
      </c>
      <c r="F809" s="5" t="inlineStr">
        <is>
          <t>Y</t>
        </is>
      </c>
      <c r="G809" s="5" t="inlineStr">
        <is>
          <t>Other / bench</t>
        </is>
      </c>
      <c r="H809" s="5" t="inlineStr">
        <is>
          <t>Low</t>
        </is>
      </c>
      <c r="I809" s="5" t="n">
        <v>1</v>
      </c>
      <c r="J809" s="5" t="n"/>
      <c r="K809" s="10">
        <f>IFERROR(IF(INDEX('Test catalog'!$F$2:$F$200,MATCH($AB809,'Test catalog'!$A$2:$A$200,0))="","",INDEX('Test catalog'!$F$2:$F$200,MATCH($AB809,'Test catalog'!$A$2:$A$200,0))),"")</f>
        <v/>
      </c>
      <c r="L809" s="10">
        <f>IFERROR(IF(INDEX('Test catalog'!$G$2:$G$200,MATCH($AB809,'Test catalog'!$A$2:$A$200,0))="","",INDEX('Test catalog'!$G$2:$G$200,MATCH($AB809,'Test catalog'!$A$2:$A$200,0))),"")</f>
        <v/>
      </c>
      <c r="M809" s="10">
        <f>IFERROR(IF(INDEX('Test catalog'!$H$2:$H$200,MATCH($AB809,'Test catalog'!$A$2:$A$200,0))="","",INDEX('Test catalog'!$H$2:$H$200,MATCH($AB809,'Test catalog'!$A$2:$A$200,0))),"")</f>
        <v/>
      </c>
      <c r="N809" s="10">
        <f>IFERROR(IF(INDEX('Test catalog'!$I$2:$I$200,MATCH($AB809,'Test catalog'!$A$2:$A$200,0))="","",INDEX('Test catalog'!$I$2:$I$200,MATCH($AB809,'Test catalog'!$A$2:$A$200,0))),"")</f>
        <v/>
      </c>
      <c r="O809" s="10">
        <f>IFERROR(IF(INDEX('Test catalog'!$J$2:$J$200,MATCH($AB809,'Test catalog'!$A$2:$A$200,0))="","",INDEX('Test catalog'!$J$2:$J$200,MATCH($AB809,'Test catalog'!$A$2:$A$200,0))),"")</f>
        <v/>
      </c>
      <c r="P809" s="14">
        <f>IF(N809="","",IF(OR(M809="",O809=""),N809,(M809+4*N809+O809)/6))</f>
        <v/>
      </c>
      <c r="Q809" s="10">
        <f>IFERROR(IF(INDEX('Test catalog'!$K$2:$K$200,MATCH($AB809,'Test catalog'!$A$2:$A$200,0))="","",INDEX('Test catalog'!$K$2:$K$200,MATCH($AB809,'Test catalog'!$A$2:$A$200,0))),"")</f>
        <v/>
      </c>
      <c r="R809" s="5" t="n"/>
      <c r="S809" s="10">
        <f>IFERROR(IF(INDEX('Test catalog'!$L$2:$L$200,MATCH($AB809,'Test catalog'!$A$2:$A$200,0))="","",INDEX('Test catalog'!$L$2:$L$200,MATCH($AB809,'Test catalog'!$A$2:$A$200,0))),"")</f>
        <v/>
      </c>
      <c r="T809" s="10">
        <f>IFERROR(IF(INDEX('Test catalog'!$M$2:$M$200,MATCH($AB809,'Test catalog'!$A$2:$A$200,0))="","",INDEX('Test catalog'!$M$2:$M$200,MATCH($AB809,'Test catalog'!$A$2:$A$200,0))),"")</f>
        <v/>
      </c>
      <c r="U809" s="10">
        <f>IFERROR(IF(INDEX('Test catalog'!$N$2:$N$200,MATCH($AB809,'Test catalog'!$A$2:$A$200,0))="","",INDEX('Test catalog'!$N$2:$N$200,MATCH($AB809,'Test catalog'!$A$2:$A$200,0))),"")</f>
        <v/>
      </c>
      <c r="V809" s="15" t="n"/>
      <c r="W809" s="5" t="inlineStr">
        <is>
          <t>N</t>
        </is>
      </c>
      <c r="X809" s="5" t="n"/>
      <c r="Y809" s="5" t="n"/>
      <c r="Z809" s="5" t="n"/>
      <c r="AA809" s="10">
        <f>IFERROR(IF(INDEX('Test catalog'!$O$2:$O$200,MATCH($AB809,'Test catalog'!$A$2:$A$200,0))="","",INDEX('Test catalog'!$O$2:$O$200,MATCH($AB809,'Test catalog'!$A$2:$A$200,0))),"")</f>
        <v/>
      </c>
      <c r="AB809" s="10" t="inlineStr">
        <is>
          <t>LOI</t>
        </is>
      </c>
      <c r="AC809" s="10" t="inlineStr">
        <is>
          <t>Colloidal Silicon Dioxide · Impurities &lt;733&gt;</t>
        </is>
      </c>
      <c r="AD809" s="10" t="n"/>
      <c r="AE809" s="10" t="n"/>
    </row>
    <row r="810">
      <c r="A810" s="10" t="inlineStr">
        <is>
          <t>Colloidal Silicon Dioxide</t>
        </is>
      </c>
      <c r="B810" s="10" t="inlineStr">
        <is>
          <t>RM</t>
        </is>
      </c>
      <c r="C810" s="10" t="inlineStr">
        <is>
          <t>Glidant</t>
        </is>
      </c>
      <c r="D810" s="10" t="inlineStr">
        <is>
          <t>Arsenic</t>
        </is>
      </c>
      <c r="E810" s="10">
        <f>IF(A810="","",A810&amp;"|"&amp;D810)</f>
        <v/>
      </c>
      <c r="F810" s="5" t="inlineStr">
        <is>
          <t>Y</t>
        </is>
      </c>
      <c r="G810" s="5" t="inlineStr">
        <is>
          <t>Other / bench</t>
        </is>
      </c>
      <c r="H810" s="5" t="inlineStr">
        <is>
          <t>Low</t>
        </is>
      </c>
      <c r="I810" s="5" t="n">
        <v>1</v>
      </c>
      <c r="J810" s="5" t="n"/>
      <c r="K810" s="10">
        <f>IFERROR(IF(INDEX('Test catalog'!$F$2:$F$200,MATCH($AB810,'Test catalog'!$A$2:$A$200,0))="","",INDEX('Test catalog'!$F$2:$F$200,MATCH($AB810,'Test catalog'!$A$2:$A$200,0))),"")</f>
        <v/>
      </c>
      <c r="L810" s="10">
        <f>IFERROR(IF(INDEX('Test catalog'!$G$2:$G$200,MATCH($AB810,'Test catalog'!$A$2:$A$200,0))="","",INDEX('Test catalog'!$G$2:$G$200,MATCH($AB810,'Test catalog'!$A$2:$A$200,0))),"")</f>
        <v/>
      </c>
      <c r="M810" s="10">
        <f>IFERROR(IF(INDEX('Test catalog'!$H$2:$H$200,MATCH($AB810,'Test catalog'!$A$2:$A$200,0))="","",INDEX('Test catalog'!$H$2:$H$200,MATCH($AB810,'Test catalog'!$A$2:$A$200,0))),"")</f>
        <v/>
      </c>
      <c r="N810" s="10">
        <f>IFERROR(IF(INDEX('Test catalog'!$I$2:$I$200,MATCH($AB810,'Test catalog'!$A$2:$A$200,0))="","",INDEX('Test catalog'!$I$2:$I$200,MATCH($AB810,'Test catalog'!$A$2:$A$200,0))),"")</f>
        <v/>
      </c>
      <c r="O810" s="10">
        <f>IFERROR(IF(INDEX('Test catalog'!$J$2:$J$200,MATCH($AB810,'Test catalog'!$A$2:$A$200,0))="","",INDEX('Test catalog'!$J$2:$J$200,MATCH($AB810,'Test catalog'!$A$2:$A$200,0))),"")</f>
        <v/>
      </c>
      <c r="P810" s="14">
        <f>IF(N810="","",IF(OR(M810="",O810=""),N810,(M810+4*N810+O810)/6))</f>
        <v/>
      </c>
      <c r="Q810" s="10">
        <f>IFERROR(IF(INDEX('Test catalog'!$K$2:$K$200,MATCH($AB810,'Test catalog'!$A$2:$A$200,0))="","",INDEX('Test catalog'!$K$2:$K$200,MATCH($AB810,'Test catalog'!$A$2:$A$200,0))),"")</f>
        <v/>
      </c>
      <c r="R810" s="5" t="n"/>
      <c r="S810" s="10">
        <f>IFERROR(IF(INDEX('Test catalog'!$L$2:$L$200,MATCH($AB810,'Test catalog'!$A$2:$A$200,0))="","",INDEX('Test catalog'!$L$2:$L$200,MATCH($AB810,'Test catalog'!$A$2:$A$200,0))),"")</f>
        <v/>
      </c>
      <c r="T810" s="10">
        <f>IFERROR(IF(INDEX('Test catalog'!$M$2:$M$200,MATCH($AB810,'Test catalog'!$A$2:$A$200,0))="","",INDEX('Test catalog'!$M$2:$M$200,MATCH($AB810,'Test catalog'!$A$2:$A$200,0))),"")</f>
        <v/>
      </c>
      <c r="U810" s="10">
        <f>IFERROR(IF(INDEX('Test catalog'!$N$2:$N$200,MATCH($AB810,'Test catalog'!$A$2:$A$200,0))="","",INDEX('Test catalog'!$N$2:$N$200,MATCH($AB810,'Test catalog'!$A$2:$A$200,0))),"")</f>
        <v/>
      </c>
      <c r="V810" s="15" t="n"/>
      <c r="W810" s="5" t="inlineStr">
        <is>
          <t>N</t>
        </is>
      </c>
      <c r="X810" s="5" t="n"/>
      <c r="Y810" s="5" t="n"/>
      <c r="Z810" s="5" t="n"/>
      <c r="AA810" s="10">
        <f>IFERROR(IF(INDEX('Test catalog'!$O$2:$O$200,MATCH($AB810,'Test catalog'!$A$2:$A$200,0))="","",INDEX('Test catalog'!$O$2:$O$200,MATCH($AB810,'Test catalog'!$A$2:$A$200,0))),"")</f>
        <v/>
      </c>
      <c r="AB810" s="10" t="inlineStr">
        <is>
          <t>LIM_TOX</t>
        </is>
      </c>
      <c r="AC810" s="10" t="inlineStr">
        <is>
          <t>Colloidal Silicon Dioxide · Impurities &lt;211&gt;</t>
        </is>
      </c>
      <c r="AD810" s="10" t="n"/>
      <c r="AE810" s="10" t="n"/>
    </row>
    <row r="811">
      <c r="A811" s="10" t="inlineStr">
        <is>
          <t>Colloidal Silicon Dioxide</t>
        </is>
      </c>
      <c r="B811" s="10" t="inlineStr">
        <is>
          <t>RM</t>
        </is>
      </c>
      <c r="C811" s="10" t="inlineStr">
        <is>
          <t>Glidant</t>
        </is>
      </c>
      <c r="D811" s="10" t="inlineStr">
        <is>
          <t>pH</t>
        </is>
      </c>
      <c r="E811" s="10">
        <f>IF(A811="","",A811&amp;"|"&amp;D811)</f>
        <v/>
      </c>
      <c r="F811" s="5" t="inlineStr">
        <is>
          <t>Y</t>
        </is>
      </c>
      <c r="G811" s="5" t="inlineStr">
        <is>
          <t>Other / bench</t>
        </is>
      </c>
      <c r="H811" s="5" t="inlineStr">
        <is>
          <t>Low</t>
        </is>
      </c>
      <c r="I811" s="5" t="n">
        <v>1</v>
      </c>
      <c r="J811" s="5" t="n"/>
      <c r="K811" s="10">
        <f>IFERROR(IF(INDEX('Test catalog'!$F$2:$F$200,MATCH($AB811,'Test catalog'!$A$2:$A$200,0))="","",INDEX('Test catalog'!$F$2:$F$200,MATCH($AB811,'Test catalog'!$A$2:$A$200,0))),"")</f>
        <v/>
      </c>
      <c r="L811" s="10">
        <f>IFERROR(IF(INDEX('Test catalog'!$G$2:$G$200,MATCH($AB811,'Test catalog'!$A$2:$A$200,0))="","",INDEX('Test catalog'!$G$2:$G$200,MATCH($AB811,'Test catalog'!$A$2:$A$200,0))),"")</f>
        <v/>
      </c>
      <c r="M811" s="10">
        <f>IFERROR(IF(INDEX('Test catalog'!$H$2:$H$200,MATCH($AB811,'Test catalog'!$A$2:$A$200,0))="","",INDEX('Test catalog'!$H$2:$H$200,MATCH($AB811,'Test catalog'!$A$2:$A$200,0))),"")</f>
        <v/>
      </c>
      <c r="N811" s="10">
        <f>IFERROR(IF(INDEX('Test catalog'!$I$2:$I$200,MATCH($AB811,'Test catalog'!$A$2:$A$200,0))="","",INDEX('Test catalog'!$I$2:$I$200,MATCH($AB811,'Test catalog'!$A$2:$A$200,0))),"")</f>
        <v/>
      </c>
      <c r="O811" s="10">
        <f>IFERROR(IF(INDEX('Test catalog'!$J$2:$J$200,MATCH($AB811,'Test catalog'!$A$2:$A$200,0))="","",INDEX('Test catalog'!$J$2:$J$200,MATCH($AB811,'Test catalog'!$A$2:$A$200,0))),"")</f>
        <v/>
      </c>
      <c r="P811" s="14">
        <f>IF(N811="","",IF(OR(M811="",O811=""),N811,(M811+4*N811+O811)/6))</f>
        <v/>
      </c>
      <c r="Q811" s="10">
        <f>IFERROR(IF(INDEX('Test catalog'!$K$2:$K$200,MATCH($AB811,'Test catalog'!$A$2:$A$200,0))="","",INDEX('Test catalog'!$K$2:$K$200,MATCH($AB811,'Test catalog'!$A$2:$A$200,0))),"")</f>
        <v/>
      </c>
      <c r="R811" s="5" t="n"/>
      <c r="S811" s="10">
        <f>IFERROR(IF(INDEX('Test catalog'!$L$2:$L$200,MATCH($AB811,'Test catalog'!$A$2:$A$200,0))="","",INDEX('Test catalog'!$L$2:$L$200,MATCH($AB811,'Test catalog'!$A$2:$A$200,0))),"")</f>
        <v/>
      </c>
      <c r="T811" s="10">
        <f>IFERROR(IF(INDEX('Test catalog'!$M$2:$M$200,MATCH($AB811,'Test catalog'!$A$2:$A$200,0))="","",INDEX('Test catalog'!$M$2:$M$200,MATCH($AB811,'Test catalog'!$A$2:$A$200,0))),"")</f>
        <v/>
      </c>
      <c r="U811" s="10">
        <f>IFERROR(IF(INDEX('Test catalog'!$N$2:$N$200,MATCH($AB811,'Test catalog'!$A$2:$A$200,0))="","",INDEX('Test catalog'!$N$2:$N$200,MATCH($AB811,'Test catalog'!$A$2:$A$200,0))),"")</f>
        <v/>
      </c>
      <c r="V811" s="15" t="n"/>
      <c r="W811" s="5" t="inlineStr">
        <is>
          <t>N</t>
        </is>
      </c>
      <c r="X811" s="5" t="n"/>
      <c r="Y811" s="5" t="n"/>
      <c r="Z811" s="5" t="n"/>
      <c r="AA811" s="10">
        <f>IFERROR(IF(INDEX('Test catalog'!$O$2:$O$200,MATCH($AB811,'Test catalog'!$A$2:$A$200,0))="","",INDEX('Test catalog'!$O$2:$O$200,MATCH($AB811,'Test catalog'!$A$2:$A$200,0))),"")</f>
        <v/>
      </c>
      <c r="AB811" s="10" t="inlineStr">
        <is>
          <t>PH</t>
        </is>
      </c>
      <c r="AC811" s="10" t="inlineStr">
        <is>
          <t>Colloidal Silicon Dioxide · Specific Tests &lt;791&gt;</t>
        </is>
      </c>
      <c r="AD811" s="10" t="n"/>
      <c r="AE811" s="10" t="n"/>
    </row>
    <row r="812">
      <c r="A812" s="10" t="inlineStr">
        <is>
          <t>Colloidal Silicon Dioxide</t>
        </is>
      </c>
      <c r="B812" s="10" t="inlineStr">
        <is>
          <t>RM</t>
        </is>
      </c>
      <c r="C812" s="10" t="inlineStr">
        <is>
          <t>Glidant</t>
        </is>
      </c>
      <c r="D812" s="10" t="inlineStr">
        <is>
          <t>Loss on Drying</t>
        </is>
      </c>
      <c r="E812" s="10">
        <f>IF(A812="","",A812&amp;"|"&amp;D812)</f>
        <v/>
      </c>
      <c r="F812" s="5" t="inlineStr">
        <is>
          <t>Y</t>
        </is>
      </c>
      <c r="G812" s="5" t="inlineStr">
        <is>
          <t>Other / bench</t>
        </is>
      </c>
      <c r="H812" s="5" t="inlineStr">
        <is>
          <t>Low</t>
        </is>
      </c>
      <c r="I812" s="5" t="n">
        <v>1</v>
      </c>
      <c r="J812" s="5" t="n"/>
      <c r="K812" s="10">
        <f>IFERROR(IF(INDEX('Test catalog'!$F$2:$F$200,MATCH($AB812,'Test catalog'!$A$2:$A$200,0))="","",INDEX('Test catalog'!$F$2:$F$200,MATCH($AB812,'Test catalog'!$A$2:$A$200,0))),"")</f>
        <v/>
      </c>
      <c r="L812" s="10">
        <f>IFERROR(IF(INDEX('Test catalog'!$G$2:$G$200,MATCH($AB812,'Test catalog'!$A$2:$A$200,0))="","",INDEX('Test catalog'!$G$2:$G$200,MATCH($AB812,'Test catalog'!$A$2:$A$200,0))),"")</f>
        <v/>
      </c>
      <c r="M812" s="10">
        <f>IFERROR(IF(INDEX('Test catalog'!$H$2:$H$200,MATCH($AB812,'Test catalog'!$A$2:$A$200,0))="","",INDEX('Test catalog'!$H$2:$H$200,MATCH($AB812,'Test catalog'!$A$2:$A$200,0))),"")</f>
        <v/>
      </c>
      <c r="N812" s="10">
        <f>IFERROR(IF(INDEX('Test catalog'!$I$2:$I$200,MATCH($AB812,'Test catalog'!$A$2:$A$200,0))="","",INDEX('Test catalog'!$I$2:$I$200,MATCH($AB812,'Test catalog'!$A$2:$A$200,0))),"")</f>
        <v/>
      </c>
      <c r="O812" s="10">
        <f>IFERROR(IF(INDEX('Test catalog'!$J$2:$J$200,MATCH($AB812,'Test catalog'!$A$2:$A$200,0))="","",INDEX('Test catalog'!$J$2:$J$200,MATCH($AB812,'Test catalog'!$A$2:$A$200,0))),"")</f>
        <v/>
      </c>
      <c r="P812" s="14">
        <f>IF(N812="","",IF(OR(M812="",O812=""),N812,(M812+4*N812+O812)/6))</f>
        <v/>
      </c>
      <c r="Q812" s="10">
        <f>IFERROR(IF(INDEX('Test catalog'!$K$2:$K$200,MATCH($AB812,'Test catalog'!$A$2:$A$200,0))="","",INDEX('Test catalog'!$K$2:$K$200,MATCH($AB812,'Test catalog'!$A$2:$A$200,0))),"")</f>
        <v/>
      </c>
      <c r="R812" s="5" t="n"/>
      <c r="S812" s="10">
        <f>IFERROR(IF(INDEX('Test catalog'!$L$2:$L$200,MATCH($AB812,'Test catalog'!$A$2:$A$200,0))="","",INDEX('Test catalog'!$L$2:$L$200,MATCH($AB812,'Test catalog'!$A$2:$A$200,0))),"")</f>
        <v/>
      </c>
      <c r="T812" s="10">
        <f>IFERROR(IF(INDEX('Test catalog'!$M$2:$M$200,MATCH($AB812,'Test catalog'!$A$2:$A$200,0))="","",INDEX('Test catalog'!$M$2:$M$200,MATCH($AB812,'Test catalog'!$A$2:$A$200,0))),"")</f>
        <v/>
      </c>
      <c r="U812" s="10">
        <f>IFERROR(IF(INDEX('Test catalog'!$N$2:$N$200,MATCH($AB812,'Test catalog'!$A$2:$A$200,0))="","",INDEX('Test catalog'!$N$2:$N$200,MATCH($AB812,'Test catalog'!$A$2:$A$200,0))),"")</f>
        <v/>
      </c>
      <c r="V812" s="15" t="n"/>
      <c r="W812" s="5" t="inlineStr">
        <is>
          <t>N</t>
        </is>
      </c>
      <c r="X812" s="5" t="n"/>
      <c r="Y812" s="5" t="n"/>
      <c r="Z812" s="5" t="n"/>
      <c r="AA812" s="10">
        <f>IFERROR(IF(INDEX('Test catalog'!$O$2:$O$200,MATCH($AB812,'Test catalog'!$A$2:$A$200,0))="","",INDEX('Test catalog'!$O$2:$O$200,MATCH($AB812,'Test catalog'!$A$2:$A$200,0))),"")</f>
        <v/>
      </c>
      <c r="AB812" s="10" t="inlineStr">
        <is>
          <t>LOD</t>
        </is>
      </c>
      <c r="AC812" s="10" t="inlineStr">
        <is>
          <t>Colloidal Silicon Dioxide · Specific Tests &lt;731&gt;</t>
        </is>
      </c>
      <c r="AD812" s="10" t="n"/>
      <c r="AE812" s="10" t="n"/>
    </row>
    <row r="813">
      <c r="A813" s="10" t="inlineStr">
        <is>
          <t>Talc</t>
        </is>
      </c>
      <c r="B813" s="10" t="inlineStr">
        <is>
          <t>RM</t>
        </is>
      </c>
      <c r="C813" s="10" t="inlineStr">
        <is>
          <t>Glidant / Anti-tacking</t>
        </is>
      </c>
      <c r="D813" s="10" t="inlineStr">
        <is>
          <t>Appearance / description and solubility</t>
        </is>
      </c>
      <c r="E813" s="10">
        <f>IF(A813="","",A813&amp;"|"&amp;D813)</f>
        <v/>
      </c>
      <c r="F813" s="5" t="inlineStr">
        <is>
          <t>Y</t>
        </is>
      </c>
      <c r="G813" s="5" t="inlineStr">
        <is>
          <t>Other / bench</t>
        </is>
      </c>
      <c r="H813" s="5" t="inlineStr">
        <is>
          <t>Low</t>
        </is>
      </c>
      <c r="I813" s="5" t="n">
        <v>1</v>
      </c>
      <c r="J813" s="5" t="n"/>
      <c r="K813" s="10">
        <f>IFERROR(IF(INDEX('Test catalog'!$F$2:$F$200,MATCH($AB813,'Test catalog'!$A$2:$A$200,0))="","",INDEX('Test catalog'!$F$2:$F$200,MATCH($AB813,'Test catalog'!$A$2:$A$200,0))),"")</f>
        <v/>
      </c>
      <c r="L813" s="10">
        <f>IFERROR(IF(INDEX('Test catalog'!$G$2:$G$200,MATCH($AB813,'Test catalog'!$A$2:$A$200,0))="","",INDEX('Test catalog'!$G$2:$G$200,MATCH($AB813,'Test catalog'!$A$2:$A$200,0))),"")</f>
        <v/>
      </c>
      <c r="M813" s="10">
        <f>IFERROR(IF(INDEX('Test catalog'!$H$2:$H$200,MATCH($AB813,'Test catalog'!$A$2:$A$200,0))="","",INDEX('Test catalog'!$H$2:$H$200,MATCH($AB813,'Test catalog'!$A$2:$A$200,0))),"")</f>
        <v/>
      </c>
      <c r="N813" s="10">
        <f>IFERROR(IF(INDEX('Test catalog'!$I$2:$I$200,MATCH($AB813,'Test catalog'!$A$2:$A$200,0))="","",INDEX('Test catalog'!$I$2:$I$200,MATCH($AB813,'Test catalog'!$A$2:$A$200,0))),"")</f>
        <v/>
      </c>
      <c r="O813" s="10">
        <f>IFERROR(IF(INDEX('Test catalog'!$J$2:$J$200,MATCH($AB813,'Test catalog'!$A$2:$A$200,0))="","",INDEX('Test catalog'!$J$2:$J$200,MATCH($AB813,'Test catalog'!$A$2:$A$200,0))),"")</f>
        <v/>
      </c>
      <c r="P813" s="14">
        <f>IF(N813="","",IF(OR(M813="",O813=""),N813,(M813+4*N813+O813)/6))</f>
        <v/>
      </c>
      <c r="Q813" s="10">
        <f>IFERROR(IF(INDEX('Test catalog'!$K$2:$K$200,MATCH($AB813,'Test catalog'!$A$2:$A$200,0))="","",INDEX('Test catalog'!$K$2:$K$200,MATCH($AB813,'Test catalog'!$A$2:$A$200,0))),"")</f>
        <v/>
      </c>
      <c r="R813" s="5" t="n"/>
      <c r="S813" s="10">
        <f>IFERROR(IF(INDEX('Test catalog'!$L$2:$L$200,MATCH($AB813,'Test catalog'!$A$2:$A$200,0))="","",INDEX('Test catalog'!$L$2:$L$200,MATCH($AB813,'Test catalog'!$A$2:$A$200,0))),"")</f>
        <v/>
      </c>
      <c r="T813" s="10">
        <f>IFERROR(IF(INDEX('Test catalog'!$M$2:$M$200,MATCH($AB813,'Test catalog'!$A$2:$A$200,0))="","",INDEX('Test catalog'!$M$2:$M$200,MATCH($AB813,'Test catalog'!$A$2:$A$200,0))),"")</f>
        <v/>
      </c>
      <c r="U813" s="10">
        <f>IFERROR(IF(INDEX('Test catalog'!$N$2:$N$200,MATCH($AB813,'Test catalog'!$A$2:$A$200,0))="","",INDEX('Test catalog'!$N$2:$N$200,MATCH($AB813,'Test catalog'!$A$2:$A$200,0))),"")</f>
        <v/>
      </c>
      <c r="V813" s="15" t="n"/>
      <c r="W813" s="5" t="inlineStr">
        <is>
          <t>N</t>
        </is>
      </c>
      <c r="X813" s="5" t="n"/>
      <c r="Y813" s="5" t="n"/>
      <c r="Z813" s="5" t="n"/>
      <c r="AA813" s="10">
        <f>IFERROR(IF(INDEX('Test catalog'!$O$2:$O$200,MATCH($AB813,'Test catalog'!$A$2:$A$200,0))="","",INDEX('Test catalog'!$O$2:$O$200,MATCH($AB813,'Test catalog'!$A$2:$A$200,0))),"")</f>
        <v/>
      </c>
      <c r="AB813" s="10" t="inlineStr">
        <is>
          <t>APPEAR</t>
        </is>
      </c>
      <c r="AC813" s="10" t="inlineStr">
        <is>
          <t>Lab practice (not a USP test)</t>
        </is>
      </c>
      <c r="AD813" s="10" t="n"/>
      <c r="AE813" s="10" t="n"/>
    </row>
    <row r="814">
      <c r="A814" s="10" t="inlineStr">
        <is>
          <t>Talc</t>
        </is>
      </c>
      <c r="B814" s="10" t="inlineStr">
        <is>
          <t>RM</t>
        </is>
      </c>
      <c r="C814" s="10" t="inlineStr">
        <is>
          <t>Glidant / Anti-tacking</t>
        </is>
      </c>
      <c r="D814" s="10" t="inlineStr">
        <is>
          <t>ID A - IR spectrum</t>
        </is>
      </c>
      <c r="E814" s="10">
        <f>IF(A814="","",A814&amp;"|"&amp;D814)</f>
        <v/>
      </c>
      <c r="F814" s="5" t="inlineStr">
        <is>
          <t>Y</t>
        </is>
      </c>
      <c r="G814" s="5" t="inlineStr">
        <is>
          <t>Other / bench</t>
        </is>
      </c>
      <c r="H814" s="5" t="inlineStr">
        <is>
          <t>Low</t>
        </is>
      </c>
      <c r="I814" s="5" t="n">
        <v>1</v>
      </c>
      <c r="J814" s="5" t="n"/>
      <c r="K814" s="10">
        <f>IFERROR(IF(INDEX('Test catalog'!$F$2:$F$200,MATCH($AB814,'Test catalog'!$A$2:$A$200,0))="","",INDEX('Test catalog'!$F$2:$F$200,MATCH($AB814,'Test catalog'!$A$2:$A$200,0))),"")</f>
        <v/>
      </c>
      <c r="L814" s="10">
        <f>IFERROR(IF(INDEX('Test catalog'!$G$2:$G$200,MATCH($AB814,'Test catalog'!$A$2:$A$200,0))="","",INDEX('Test catalog'!$G$2:$G$200,MATCH($AB814,'Test catalog'!$A$2:$A$200,0))),"")</f>
        <v/>
      </c>
      <c r="M814" s="10">
        <f>IFERROR(IF(INDEX('Test catalog'!$H$2:$H$200,MATCH($AB814,'Test catalog'!$A$2:$A$200,0))="","",INDEX('Test catalog'!$H$2:$H$200,MATCH($AB814,'Test catalog'!$A$2:$A$200,0))),"")</f>
        <v/>
      </c>
      <c r="N814" s="10">
        <f>IFERROR(IF(INDEX('Test catalog'!$I$2:$I$200,MATCH($AB814,'Test catalog'!$A$2:$A$200,0))="","",INDEX('Test catalog'!$I$2:$I$200,MATCH($AB814,'Test catalog'!$A$2:$A$200,0))),"")</f>
        <v/>
      </c>
      <c r="O814" s="10">
        <f>IFERROR(IF(INDEX('Test catalog'!$J$2:$J$200,MATCH($AB814,'Test catalog'!$A$2:$A$200,0))="","",INDEX('Test catalog'!$J$2:$J$200,MATCH($AB814,'Test catalog'!$A$2:$A$200,0))),"")</f>
        <v/>
      </c>
      <c r="P814" s="14">
        <f>IF(N814="","",IF(OR(M814="",O814=""),N814,(M814+4*N814+O814)/6))</f>
        <v/>
      </c>
      <c r="Q814" s="10">
        <f>IFERROR(IF(INDEX('Test catalog'!$K$2:$K$200,MATCH($AB814,'Test catalog'!$A$2:$A$200,0))="","",INDEX('Test catalog'!$K$2:$K$200,MATCH($AB814,'Test catalog'!$A$2:$A$200,0))),"")</f>
        <v/>
      </c>
      <c r="R814" s="5" t="n"/>
      <c r="S814" s="10">
        <f>IFERROR(IF(INDEX('Test catalog'!$L$2:$L$200,MATCH($AB814,'Test catalog'!$A$2:$A$200,0))="","",INDEX('Test catalog'!$L$2:$L$200,MATCH($AB814,'Test catalog'!$A$2:$A$200,0))),"")</f>
        <v/>
      </c>
      <c r="T814" s="10">
        <f>IFERROR(IF(INDEX('Test catalog'!$M$2:$M$200,MATCH($AB814,'Test catalog'!$A$2:$A$200,0))="","",INDEX('Test catalog'!$M$2:$M$200,MATCH($AB814,'Test catalog'!$A$2:$A$200,0))),"")</f>
        <v/>
      </c>
      <c r="U814" s="10">
        <f>IFERROR(IF(INDEX('Test catalog'!$N$2:$N$200,MATCH($AB814,'Test catalog'!$A$2:$A$200,0))="","",INDEX('Test catalog'!$N$2:$N$200,MATCH($AB814,'Test catalog'!$A$2:$A$200,0))),"")</f>
        <v/>
      </c>
      <c r="V814" s="15" t="n"/>
      <c r="W814" s="5" t="inlineStr">
        <is>
          <t>N</t>
        </is>
      </c>
      <c r="X814" s="5" t="n"/>
      <c r="Y814" s="5" t="n"/>
      <c r="Z814" s="5" t="n"/>
      <c r="AA814" s="10">
        <f>IFERROR(IF(INDEX('Test catalog'!$O$2:$O$200,MATCH($AB814,'Test catalog'!$A$2:$A$200,0))="","",INDEX('Test catalog'!$O$2:$O$200,MATCH($AB814,'Test catalog'!$A$2:$A$200,0))),"")</f>
        <v/>
      </c>
      <c r="AB814" s="10" t="inlineStr">
        <is>
          <t>ID_IR</t>
        </is>
      </c>
      <c r="AC814" s="10" t="inlineStr">
        <is>
          <t>Talc · Identification</t>
        </is>
      </c>
      <c r="AD814" s="10" t="n"/>
      <c r="AE814" s="10" t="n"/>
    </row>
    <row r="815">
      <c r="A815" s="10" t="inlineStr">
        <is>
          <t>Talc</t>
        </is>
      </c>
      <c r="B815" s="10" t="inlineStr">
        <is>
          <t>RM</t>
        </is>
      </c>
      <c r="C815" s="10" t="inlineStr">
        <is>
          <t>Glidant / Anti-tacking</t>
        </is>
      </c>
      <c r="D815" s="10" t="inlineStr">
        <is>
          <t>ID B - Gravimetric limit</t>
        </is>
      </c>
      <c r="E815" s="10">
        <f>IF(A815="","",A815&amp;"|"&amp;D815)</f>
        <v/>
      </c>
      <c r="F815" s="5" t="inlineStr">
        <is>
          <t>Y</t>
        </is>
      </c>
      <c r="G815" s="5" t="inlineStr">
        <is>
          <t>Other / bench</t>
        </is>
      </c>
      <c r="H815" s="5" t="inlineStr">
        <is>
          <t>Low</t>
        </is>
      </c>
      <c r="I815" s="5" t="n">
        <v>1</v>
      </c>
      <c r="J815" s="5" t="n"/>
      <c r="K815" s="10">
        <f>IFERROR(IF(INDEX('Test catalog'!$F$2:$F$200,MATCH($AB815,'Test catalog'!$A$2:$A$200,0))="","",INDEX('Test catalog'!$F$2:$F$200,MATCH($AB815,'Test catalog'!$A$2:$A$200,0))),"")</f>
        <v/>
      </c>
      <c r="L815" s="10">
        <f>IFERROR(IF(INDEX('Test catalog'!$G$2:$G$200,MATCH($AB815,'Test catalog'!$A$2:$A$200,0))="","",INDEX('Test catalog'!$G$2:$G$200,MATCH($AB815,'Test catalog'!$A$2:$A$200,0))),"")</f>
        <v/>
      </c>
      <c r="M815" s="10">
        <f>IFERROR(IF(INDEX('Test catalog'!$H$2:$H$200,MATCH($AB815,'Test catalog'!$A$2:$A$200,0))="","",INDEX('Test catalog'!$H$2:$H$200,MATCH($AB815,'Test catalog'!$A$2:$A$200,0))),"")</f>
        <v/>
      </c>
      <c r="N815" s="10">
        <f>IFERROR(IF(INDEX('Test catalog'!$I$2:$I$200,MATCH($AB815,'Test catalog'!$A$2:$A$200,0))="","",INDEX('Test catalog'!$I$2:$I$200,MATCH($AB815,'Test catalog'!$A$2:$A$200,0))),"")</f>
        <v/>
      </c>
      <c r="O815" s="10">
        <f>IFERROR(IF(INDEX('Test catalog'!$J$2:$J$200,MATCH($AB815,'Test catalog'!$A$2:$A$200,0))="","",INDEX('Test catalog'!$J$2:$J$200,MATCH($AB815,'Test catalog'!$A$2:$A$200,0))),"")</f>
        <v/>
      </c>
      <c r="P815" s="14">
        <f>IF(N815="","",IF(OR(M815="",O815=""),N815,(M815+4*N815+O815)/6))</f>
        <v/>
      </c>
      <c r="Q815" s="10">
        <f>IFERROR(IF(INDEX('Test catalog'!$K$2:$K$200,MATCH($AB815,'Test catalog'!$A$2:$A$200,0))="","",INDEX('Test catalog'!$K$2:$K$200,MATCH($AB815,'Test catalog'!$A$2:$A$200,0))),"")</f>
        <v/>
      </c>
      <c r="R815" s="5" t="n"/>
      <c r="S815" s="10">
        <f>IFERROR(IF(INDEX('Test catalog'!$L$2:$L$200,MATCH($AB815,'Test catalog'!$A$2:$A$200,0))="","",INDEX('Test catalog'!$L$2:$L$200,MATCH($AB815,'Test catalog'!$A$2:$A$200,0))),"")</f>
        <v/>
      </c>
      <c r="T815" s="10">
        <f>IFERROR(IF(INDEX('Test catalog'!$M$2:$M$200,MATCH($AB815,'Test catalog'!$A$2:$A$200,0))="","",INDEX('Test catalog'!$M$2:$M$200,MATCH($AB815,'Test catalog'!$A$2:$A$200,0))),"")</f>
        <v/>
      </c>
      <c r="U815" s="10">
        <f>IFERROR(IF(INDEX('Test catalog'!$N$2:$N$200,MATCH($AB815,'Test catalog'!$A$2:$A$200,0))="","",INDEX('Test catalog'!$N$2:$N$200,MATCH($AB815,'Test catalog'!$A$2:$A$200,0))),"")</f>
        <v/>
      </c>
      <c r="V815" s="15" t="n"/>
      <c r="W815" s="5" t="inlineStr">
        <is>
          <t>N</t>
        </is>
      </c>
      <c r="X815" s="5" t="n"/>
      <c r="Y815" s="5" t="n"/>
      <c r="Z815" s="5" t="n"/>
      <c r="AA815" s="10">
        <f>IFERROR(IF(INDEX('Test catalog'!$O$2:$O$200,MATCH($AB815,'Test catalog'!$A$2:$A$200,0))="","",INDEX('Test catalog'!$O$2:$O$200,MATCH($AB815,'Test catalog'!$A$2:$A$200,0))),"")</f>
        <v/>
      </c>
      <c r="AB815" s="10" t="inlineStr">
        <is>
          <t>GRAV</t>
        </is>
      </c>
      <c r="AC815" s="10" t="inlineStr">
        <is>
          <t>Talc · Identification</t>
        </is>
      </c>
      <c r="AD815" s="10" t="n"/>
      <c r="AE815" s="10" t="n"/>
    </row>
    <row r="816">
      <c r="A816" s="10" t="inlineStr">
        <is>
          <t>Talc</t>
        </is>
      </c>
      <c r="B816" s="10" t="inlineStr">
        <is>
          <t>RM</t>
        </is>
      </c>
      <c r="C816" s="10" t="inlineStr">
        <is>
          <t>Glidant / Anti-tacking</t>
        </is>
      </c>
      <c r="D816" s="10" t="inlineStr">
        <is>
          <t>ID C - Gravimetric limit</t>
        </is>
      </c>
      <c r="E816" s="10">
        <f>IF(A816="","",A816&amp;"|"&amp;D816)</f>
        <v/>
      </c>
      <c r="F816" s="5" t="inlineStr">
        <is>
          <t>Y</t>
        </is>
      </c>
      <c r="G816" s="5" t="inlineStr">
        <is>
          <t>Other / bench</t>
        </is>
      </c>
      <c r="H816" s="5" t="inlineStr">
        <is>
          <t>Low</t>
        </is>
      </c>
      <c r="I816" s="5" t="n">
        <v>1</v>
      </c>
      <c r="J816" s="5" t="n"/>
      <c r="K816" s="10">
        <f>IFERROR(IF(INDEX('Test catalog'!$F$2:$F$200,MATCH($AB816,'Test catalog'!$A$2:$A$200,0))="","",INDEX('Test catalog'!$F$2:$F$200,MATCH($AB816,'Test catalog'!$A$2:$A$200,0))),"")</f>
        <v/>
      </c>
      <c r="L816" s="10">
        <f>IFERROR(IF(INDEX('Test catalog'!$G$2:$G$200,MATCH($AB816,'Test catalog'!$A$2:$A$200,0))="","",INDEX('Test catalog'!$G$2:$G$200,MATCH($AB816,'Test catalog'!$A$2:$A$200,0))),"")</f>
        <v/>
      </c>
      <c r="M816" s="10">
        <f>IFERROR(IF(INDEX('Test catalog'!$H$2:$H$200,MATCH($AB816,'Test catalog'!$A$2:$A$200,0))="","",INDEX('Test catalog'!$H$2:$H$200,MATCH($AB816,'Test catalog'!$A$2:$A$200,0))),"")</f>
        <v/>
      </c>
      <c r="N816" s="10">
        <f>IFERROR(IF(INDEX('Test catalog'!$I$2:$I$200,MATCH($AB816,'Test catalog'!$A$2:$A$200,0))="","",INDEX('Test catalog'!$I$2:$I$200,MATCH($AB816,'Test catalog'!$A$2:$A$200,0))),"")</f>
        <v/>
      </c>
      <c r="O816" s="10">
        <f>IFERROR(IF(INDEX('Test catalog'!$J$2:$J$200,MATCH($AB816,'Test catalog'!$A$2:$A$200,0))="","",INDEX('Test catalog'!$J$2:$J$200,MATCH($AB816,'Test catalog'!$A$2:$A$200,0))),"")</f>
        <v/>
      </c>
      <c r="P816" s="14">
        <f>IF(N816="","",IF(OR(M816="",O816=""),N816,(M816+4*N816+O816)/6))</f>
        <v/>
      </c>
      <c r="Q816" s="10">
        <f>IFERROR(IF(INDEX('Test catalog'!$K$2:$K$200,MATCH($AB816,'Test catalog'!$A$2:$A$200,0))="","",INDEX('Test catalog'!$K$2:$K$200,MATCH($AB816,'Test catalog'!$A$2:$A$200,0))),"")</f>
        <v/>
      </c>
      <c r="R816" s="5" t="n"/>
      <c r="S816" s="10">
        <f>IFERROR(IF(INDEX('Test catalog'!$L$2:$L$200,MATCH($AB816,'Test catalog'!$A$2:$A$200,0))="","",INDEX('Test catalog'!$L$2:$L$200,MATCH($AB816,'Test catalog'!$A$2:$A$200,0))),"")</f>
        <v/>
      </c>
      <c r="T816" s="10">
        <f>IFERROR(IF(INDEX('Test catalog'!$M$2:$M$200,MATCH($AB816,'Test catalog'!$A$2:$A$200,0))="","",INDEX('Test catalog'!$M$2:$M$200,MATCH($AB816,'Test catalog'!$A$2:$A$200,0))),"")</f>
        <v/>
      </c>
      <c r="U816" s="10">
        <f>IFERROR(IF(INDEX('Test catalog'!$N$2:$N$200,MATCH($AB816,'Test catalog'!$A$2:$A$200,0))="","",INDEX('Test catalog'!$N$2:$N$200,MATCH($AB816,'Test catalog'!$A$2:$A$200,0))),"")</f>
        <v/>
      </c>
      <c r="V816" s="15" t="n"/>
      <c r="W816" s="5" t="inlineStr">
        <is>
          <t>N</t>
        </is>
      </c>
      <c r="X816" s="5" t="n"/>
      <c r="Y816" s="5" t="n"/>
      <c r="Z816" s="5" t="n"/>
      <c r="AA816" s="10">
        <f>IFERROR(IF(INDEX('Test catalog'!$O$2:$O$200,MATCH($AB816,'Test catalog'!$A$2:$A$200,0))="","",INDEX('Test catalog'!$O$2:$O$200,MATCH($AB816,'Test catalog'!$A$2:$A$200,0))),"")</f>
        <v/>
      </c>
      <c r="AB816" s="10" t="inlineStr">
        <is>
          <t>GRAV</t>
        </is>
      </c>
      <c r="AC816" s="10" t="inlineStr">
        <is>
          <t>Talc · Identification</t>
        </is>
      </c>
      <c r="AD816" s="10" t="n"/>
      <c r="AE816" s="10" t="n"/>
    </row>
    <row r="817">
      <c r="A817" s="10" t="inlineStr">
        <is>
          <t>Talc</t>
        </is>
      </c>
      <c r="B817" s="10" t="inlineStr">
        <is>
          <t>RM</t>
        </is>
      </c>
      <c r="C817" s="10" t="inlineStr">
        <is>
          <t>Glidant / Anti-tacking</t>
        </is>
      </c>
      <c r="D817" s="10" t="inlineStr">
        <is>
          <t>Content of Magnesium</t>
        </is>
      </c>
      <c r="E817" s="10">
        <f>IF(A817="","",A817&amp;"|"&amp;D817)</f>
        <v/>
      </c>
      <c r="F817" s="5" t="inlineStr">
        <is>
          <t>Y</t>
        </is>
      </c>
      <c r="G817" s="5" t="inlineStr">
        <is>
          <t>AAS / ICP</t>
        </is>
      </c>
      <c r="H817" s="5" t="inlineStr">
        <is>
          <t>Low</t>
        </is>
      </c>
      <c r="I817" s="5" t="n">
        <v>1</v>
      </c>
      <c r="J817" s="5" t="n"/>
      <c r="K817" s="10">
        <f>IFERROR(IF(INDEX('Test catalog'!$F$2:$F$200,MATCH($AB817,'Test catalog'!$A$2:$A$200,0))="","",INDEX('Test catalog'!$F$2:$F$200,MATCH($AB817,'Test catalog'!$A$2:$A$200,0))),"")</f>
        <v/>
      </c>
      <c r="L817" s="10">
        <f>IFERROR(IF(INDEX('Test catalog'!$G$2:$G$200,MATCH($AB817,'Test catalog'!$A$2:$A$200,0))="","",INDEX('Test catalog'!$G$2:$G$200,MATCH($AB817,'Test catalog'!$A$2:$A$200,0))),"")</f>
        <v/>
      </c>
      <c r="M817" s="10">
        <f>IFERROR(IF(INDEX('Test catalog'!$H$2:$H$200,MATCH($AB817,'Test catalog'!$A$2:$A$200,0))="","",INDEX('Test catalog'!$H$2:$H$200,MATCH($AB817,'Test catalog'!$A$2:$A$200,0))),"")</f>
        <v/>
      </c>
      <c r="N817" s="10">
        <f>IFERROR(IF(INDEX('Test catalog'!$I$2:$I$200,MATCH($AB817,'Test catalog'!$A$2:$A$200,0))="","",INDEX('Test catalog'!$I$2:$I$200,MATCH($AB817,'Test catalog'!$A$2:$A$200,0))),"")</f>
        <v/>
      </c>
      <c r="O817" s="10">
        <f>IFERROR(IF(INDEX('Test catalog'!$J$2:$J$200,MATCH($AB817,'Test catalog'!$A$2:$A$200,0))="","",INDEX('Test catalog'!$J$2:$J$200,MATCH($AB817,'Test catalog'!$A$2:$A$200,0))),"")</f>
        <v/>
      </c>
      <c r="P817" s="14">
        <f>IF(N817="","",IF(OR(M817="",O817=""),N817,(M817+4*N817+O817)/6))</f>
        <v/>
      </c>
      <c r="Q817" s="10">
        <f>IFERROR(IF(INDEX('Test catalog'!$K$2:$K$200,MATCH($AB817,'Test catalog'!$A$2:$A$200,0))="","",INDEX('Test catalog'!$K$2:$K$200,MATCH($AB817,'Test catalog'!$A$2:$A$200,0))),"")</f>
        <v/>
      </c>
      <c r="R817" s="5" t="n"/>
      <c r="S817" s="10">
        <f>IFERROR(IF(INDEX('Test catalog'!$L$2:$L$200,MATCH($AB817,'Test catalog'!$A$2:$A$200,0))="","",INDEX('Test catalog'!$L$2:$L$200,MATCH($AB817,'Test catalog'!$A$2:$A$200,0))),"")</f>
        <v/>
      </c>
      <c r="T817" s="10">
        <f>IFERROR(IF(INDEX('Test catalog'!$M$2:$M$200,MATCH($AB817,'Test catalog'!$A$2:$A$200,0))="","",INDEX('Test catalog'!$M$2:$M$200,MATCH($AB817,'Test catalog'!$A$2:$A$200,0))),"")</f>
        <v/>
      </c>
      <c r="U817" s="10">
        <f>IFERROR(IF(INDEX('Test catalog'!$N$2:$N$200,MATCH($AB817,'Test catalog'!$A$2:$A$200,0))="","",INDEX('Test catalog'!$N$2:$N$200,MATCH($AB817,'Test catalog'!$A$2:$A$200,0))),"")</f>
        <v/>
      </c>
      <c r="V817" s="15" t="n"/>
      <c r="W817" s="5" t="inlineStr">
        <is>
          <t>N</t>
        </is>
      </c>
      <c r="X817" s="5" t="n"/>
      <c r="Y817" s="5" t="n"/>
      <c r="Z817" s="5" t="n"/>
      <c r="AA817" s="10">
        <f>IFERROR(IF(INDEX('Test catalog'!$O$2:$O$200,MATCH($AB817,'Test catalog'!$A$2:$A$200,0))="","",INDEX('Test catalog'!$O$2:$O$200,MATCH($AB817,'Test catalog'!$A$2:$A$200,0))),"")</f>
        <v/>
      </c>
      <c r="AB817" s="10" t="inlineStr">
        <is>
          <t>AAS</t>
        </is>
      </c>
      <c r="AC817" s="10" t="inlineStr">
        <is>
          <t>Talc · Assay</t>
        </is>
      </c>
      <c r="AD817" s="10" t="n"/>
      <c r="AE817" s="10" t="n"/>
    </row>
    <row r="818">
      <c r="A818" s="10" t="inlineStr">
        <is>
          <t>Talc</t>
        </is>
      </c>
      <c r="B818" s="10" t="inlineStr">
        <is>
          <t>RM</t>
        </is>
      </c>
      <c r="C818" s="10" t="inlineStr">
        <is>
          <t>Glidant / Anti-tacking</t>
        </is>
      </c>
      <c r="D818" s="10" t="inlineStr">
        <is>
          <t>Water-Soluble Substances</t>
        </is>
      </c>
      <c r="E818" s="10">
        <f>IF(A818="","",A818&amp;"|"&amp;D818)</f>
        <v/>
      </c>
      <c r="F818" s="5" t="inlineStr">
        <is>
          <t>Y</t>
        </is>
      </c>
      <c r="G818" s="5" t="inlineStr">
        <is>
          <t>Other / bench</t>
        </is>
      </c>
      <c r="H818" s="5" t="inlineStr">
        <is>
          <t>Low</t>
        </is>
      </c>
      <c r="I818" s="5" t="n">
        <v>1</v>
      </c>
      <c r="J818" s="5" t="n"/>
      <c r="K818" s="10">
        <f>IFERROR(IF(INDEX('Test catalog'!$F$2:$F$200,MATCH($AB818,'Test catalog'!$A$2:$A$200,0))="","",INDEX('Test catalog'!$F$2:$F$200,MATCH($AB818,'Test catalog'!$A$2:$A$200,0))),"")</f>
        <v/>
      </c>
      <c r="L818" s="10">
        <f>IFERROR(IF(INDEX('Test catalog'!$G$2:$G$200,MATCH($AB818,'Test catalog'!$A$2:$A$200,0))="","",INDEX('Test catalog'!$G$2:$G$200,MATCH($AB818,'Test catalog'!$A$2:$A$200,0))),"")</f>
        <v/>
      </c>
      <c r="M818" s="10">
        <f>IFERROR(IF(INDEX('Test catalog'!$H$2:$H$200,MATCH($AB818,'Test catalog'!$A$2:$A$200,0))="","",INDEX('Test catalog'!$H$2:$H$200,MATCH($AB818,'Test catalog'!$A$2:$A$200,0))),"")</f>
        <v/>
      </c>
      <c r="N818" s="10">
        <f>IFERROR(IF(INDEX('Test catalog'!$I$2:$I$200,MATCH($AB818,'Test catalog'!$A$2:$A$200,0))="","",INDEX('Test catalog'!$I$2:$I$200,MATCH($AB818,'Test catalog'!$A$2:$A$200,0))),"")</f>
        <v/>
      </c>
      <c r="O818" s="10">
        <f>IFERROR(IF(INDEX('Test catalog'!$J$2:$J$200,MATCH($AB818,'Test catalog'!$A$2:$A$200,0))="","",INDEX('Test catalog'!$J$2:$J$200,MATCH($AB818,'Test catalog'!$A$2:$A$200,0))),"")</f>
        <v/>
      </c>
      <c r="P818" s="14">
        <f>IF(N818="","",IF(OR(M818="",O818=""),N818,(M818+4*N818+O818)/6))</f>
        <v/>
      </c>
      <c r="Q818" s="10">
        <f>IFERROR(IF(INDEX('Test catalog'!$K$2:$K$200,MATCH($AB818,'Test catalog'!$A$2:$A$200,0))="","",INDEX('Test catalog'!$K$2:$K$200,MATCH($AB818,'Test catalog'!$A$2:$A$200,0))),"")</f>
        <v/>
      </c>
      <c r="R818" s="5" t="n"/>
      <c r="S818" s="10">
        <f>IFERROR(IF(INDEX('Test catalog'!$L$2:$L$200,MATCH($AB818,'Test catalog'!$A$2:$A$200,0))="","",INDEX('Test catalog'!$L$2:$L$200,MATCH($AB818,'Test catalog'!$A$2:$A$200,0))),"")</f>
        <v/>
      </c>
      <c r="T818" s="10">
        <f>IFERROR(IF(INDEX('Test catalog'!$M$2:$M$200,MATCH($AB818,'Test catalog'!$A$2:$A$200,0))="","",INDEX('Test catalog'!$M$2:$M$200,MATCH($AB818,'Test catalog'!$A$2:$A$200,0))),"")</f>
        <v/>
      </c>
      <c r="U818" s="10">
        <f>IFERROR(IF(INDEX('Test catalog'!$N$2:$N$200,MATCH($AB818,'Test catalog'!$A$2:$A$200,0))="","",INDEX('Test catalog'!$N$2:$N$200,MATCH($AB818,'Test catalog'!$A$2:$A$200,0))),"")</f>
        <v/>
      </c>
      <c r="V818" s="15" t="n"/>
      <c r="W818" s="5" t="inlineStr">
        <is>
          <t>N</t>
        </is>
      </c>
      <c r="X818" s="5" t="n"/>
      <c r="Y818" s="5" t="n"/>
      <c r="Z818" s="5" t="n"/>
      <c r="AA818" s="10">
        <f>IFERROR(IF(INDEX('Test catalog'!$O$2:$O$200,MATCH($AB818,'Test catalog'!$A$2:$A$200,0))="","",INDEX('Test catalog'!$O$2:$O$200,MATCH($AB818,'Test catalog'!$A$2:$A$200,0))),"")</f>
        <v/>
      </c>
      <c r="AB818" s="10" t="inlineStr">
        <is>
          <t>GRAV</t>
        </is>
      </c>
      <c r="AC818" s="10" t="inlineStr">
        <is>
          <t>Talc · Impurities</t>
        </is>
      </c>
      <c r="AD818" s="10" t="n"/>
      <c r="AE818" s="10" t="n"/>
    </row>
    <row r="819">
      <c r="A819" s="10" t="inlineStr">
        <is>
          <t>Talc</t>
        </is>
      </c>
      <c r="B819" s="10" t="inlineStr">
        <is>
          <t>RM</t>
        </is>
      </c>
      <c r="C819" s="10" t="inlineStr">
        <is>
          <t>Glidant / Anti-tacking</t>
        </is>
      </c>
      <c r="D819" s="10" t="inlineStr">
        <is>
          <t>Limit of Iron</t>
        </is>
      </c>
      <c r="E819" s="10">
        <f>IF(A819="","",A819&amp;"|"&amp;D819)</f>
        <v/>
      </c>
      <c r="F819" s="5" t="inlineStr">
        <is>
          <t>Y</t>
        </is>
      </c>
      <c r="G819" s="5" t="inlineStr">
        <is>
          <t>AAS / ICP</t>
        </is>
      </c>
      <c r="H819" s="5" t="inlineStr">
        <is>
          <t>Low</t>
        </is>
      </c>
      <c r="I819" s="5" t="n">
        <v>1</v>
      </c>
      <c r="J819" s="5" t="n"/>
      <c r="K819" s="10">
        <f>IFERROR(IF(INDEX('Test catalog'!$F$2:$F$200,MATCH($AB819,'Test catalog'!$A$2:$A$200,0))="","",INDEX('Test catalog'!$F$2:$F$200,MATCH($AB819,'Test catalog'!$A$2:$A$200,0))),"")</f>
        <v/>
      </c>
      <c r="L819" s="10">
        <f>IFERROR(IF(INDEX('Test catalog'!$G$2:$G$200,MATCH($AB819,'Test catalog'!$A$2:$A$200,0))="","",INDEX('Test catalog'!$G$2:$G$200,MATCH($AB819,'Test catalog'!$A$2:$A$200,0))),"")</f>
        <v/>
      </c>
      <c r="M819" s="10">
        <f>IFERROR(IF(INDEX('Test catalog'!$H$2:$H$200,MATCH($AB819,'Test catalog'!$A$2:$A$200,0))="","",INDEX('Test catalog'!$H$2:$H$200,MATCH($AB819,'Test catalog'!$A$2:$A$200,0))),"")</f>
        <v/>
      </c>
      <c r="N819" s="10">
        <f>IFERROR(IF(INDEX('Test catalog'!$I$2:$I$200,MATCH($AB819,'Test catalog'!$A$2:$A$200,0))="","",INDEX('Test catalog'!$I$2:$I$200,MATCH($AB819,'Test catalog'!$A$2:$A$200,0))),"")</f>
        <v/>
      </c>
      <c r="O819" s="10">
        <f>IFERROR(IF(INDEX('Test catalog'!$J$2:$J$200,MATCH($AB819,'Test catalog'!$A$2:$A$200,0))="","",INDEX('Test catalog'!$J$2:$J$200,MATCH($AB819,'Test catalog'!$A$2:$A$200,0))),"")</f>
        <v/>
      </c>
      <c r="P819" s="14">
        <f>IF(N819="","",IF(OR(M819="",O819=""),N819,(M819+4*N819+O819)/6))</f>
        <v/>
      </c>
      <c r="Q819" s="10">
        <f>IFERROR(IF(INDEX('Test catalog'!$K$2:$K$200,MATCH($AB819,'Test catalog'!$A$2:$A$200,0))="","",INDEX('Test catalog'!$K$2:$K$200,MATCH($AB819,'Test catalog'!$A$2:$A$200,0))),"")</f>
        <v/>
      </c>
      <c r="R819" s="5" t="n"/>
      <c r="S819" s="10">
        <f>IFERROR(IF(INDEX('Test catalog'!$L$2:$L$200,MATCH($AB819,'Test catalog'!$A$2:$A$200,0))="","",INDEX('Test catalog'!$L$2:$L$200,MATCH($AB819,'Test catalog'!$A$2:$A$200,0))),"")</f>
        <v/>
      </c>
      <c r="T819" s="10">
        <f>IFERROR(IF(INDEX('Test catalog'!$M$2:$M$200,MATCH($AB819,'Test catalog'!$A$2:$A$200,0))="","",INDEX('Test catalog'!$M$2:$M$200,MATCH($AB819,'Test catalog'!$A$2:$A$200,0))),"")</f>
        <v/>
      </c>
      <c r="U819" s="10">
        <f>IFERROR(IF(INDEX('Test catalog'!$N$2:$N$200,MATCH($AB819,'Test catalog'!$A$2:$A$200,0))="","",INDEX('Test catalog'!$N$2:$N$200,MATCH($AB819,'Test catalog'!$A$2:$A$200,0))),"")</f>
        <v/>
      </c>
      <c r="V819" s="15" t="n"/>
      <c r="W819" s="5" t="inlineStr">
        <is>
          <t>N</t>
        </is>
      </c>
      <c r="X819" s="5" t="n"/>
      <c r="Y819" s="5" t="n"/>
      <c r="Z819" s="5" t="n"/>
      <c r="AA819" s="10">
        <f>IFERROR(IF(INDEX('Test catalog'!$O$2:$O$200,MATCH($AB819,'Test catalog'!$A$2:$A$200,0))="","",INDEX('Test catalog'!$O$2:$O$200,MATCH($AB819,'Test catalog'!$A$2:$A$200,0))),"")</f>
        <v/>
      </c>
      <c r="AB819" s="10" t="inlineStr">
        <is>
          <t>AAS</t>
        </is>
      </c>
      <c r="AC819" s="10" t="inlineStr">
        <is>
          <t>Talc · Impurities</t>
        </is>
      </c>
      <c r="AD819" s="10" t="n"/>
      <c r="AE819" s="10" t="n"/>
    </row>
    <row r="820">
      <c r="A820" s="10" t="inlineStr">
        <is>
          <t>Talc</t>
        </is>
      </c>
      <c r="B820" s="10" t="inlineStr">
        <is>
          <t>RM</t>
        </is>
      </c>
      <c r="C820" s="10" t="inlineStr">
        <is>
          <t>Glidant / Anti-tacking</t>
        </is>
      </c>
      <c r="D820" s="10" t="inlineStr">
        <is>
          <t>Limit of Lead</t>
        </is>
      </c>
      <c r="E820" s="10">
        <f>IF(A820="","",A820&amp;"|"&amp;D820)</f>
        <v/>
      </c>
      <c r="F820" s="5" t="inlineStr">
        <is>
          <t>Y</t>
        </is>
      </c>
      <c r="G820" s="5" t="inlineStr">
        <is>
          <t>AAS / ICP</t>
        </is>
      </c>
      <c r="H820" s="5" t="inlineStr">
        <is>
          <t>Low</t>
        </is>
      </c>
      <c r="I820" s="5" t="n">
        <v>1</v>
      </c>
      <c r="J820" s="5" t="n"/>
      <c r="K820" s="10">
        <f>IFERROR(IF(INDEX('Test catalog'!$F$2:$F$200,MATCH($AB820,'Test catalog'!$A$2:$A$200,0))="","",INDEX('Test catalog'!$F$2:$F$200,MATCH($AB820,'Test catalog'!$A$2:$A$200,0))),"")</f>
        <v/>
      </c>
      <c r="L820" s="10">
        <f>IFERROR(IF(INDEX('Test catalog'!$G$2:$G$200,MATCH($AB820,'Test catalog'!$A$2:$A$200,0))="","",INDEX('Test catalog'!$G$2:$G$200,MATCH($AB820,'Test catalog'!$A$2:$A$200,0))),"")</f>
        <v/>
      </c>
      <c r="M820" s="10">
        <f>IFERROR(IF(INDEX('Test catalog'!$H$2:$H$200,MATCH($AB820,'Test catalog'!$A$2:$A$200,0))="","",INDEX('Test catalog'!$H$2:$H$200,MATCH($AB820,'Test catalog'!$A$2:$A$200,0))),"")</f>
        <v/>
      </c>
      <c r="N820" s="10">
        <f>IFERROR(IF(INDEX('Test catalog'!$I$2:$I$200,MATCH($AB820,'Test catalog'!$A$2:$A$200,0))="","",INDEX('Test catalog'!$I$2:$I$200,MATCH($AB820,'Test catalog'!$A$2:$A$200,0))),"")</f>
        <v/>
      </c>
      <c r="O820" s="10">
        <f>IFERROR(IF(INDEX('Test catalog'!$J$2:$J$200,MATCH($AB820,'Test catalog'!$A$2:$A$200,0))="","",INDEX('Test catalog'!$J$2:$J$200,MATCH($AB820,'Test catalog'!$A$2:$A$200,0))),"")</f>
        <v/>
      </c>
      <c r="P820" s="14">
        <f>IF(N820="","",IF(OR(M820="",O820=""),N820,(M820+4*N820+O820)/6))</f>
        <v/>
      </c>
      <c r="Q820" s="10">
        <f>IFERROR(IF(INDEX('Test catalog'!$K$2:$K$200,MATCH($AB820,'Test catalog'!$A$2:$A$200,0))="","",INDEX('Test catalog'!$K$2:$K$200,MATCH($AB820,'Test catalog'!$A$2:$A$200,0))),"")</f>
        <v/>
      </c>
      <c r="R820" s="5" t="n"/>
      <c r="S820" s="10">
        <f>IFERROR(IF(INDEX('Test catalog'!$L$2:$L$200,MATCH($AB820,'Test catalog'!$A$2:$A$200,0))="","",INDEX('Test catalog'!$L$2:$L$200,MATCH($AB820,'Test catalog'!$A$2:$A$200,0))),"")</f>
        <v/>
      </c>
      <c r="T820" s="10">
        <f>IFERROR(IF(INDEX('Test catalog'!$M$2:$M$200,MATCH($AB820,'Test catalog'!$A$2:$A$200,0))="","",INDEX('Test catalog'!$M$2:$M$200,MATCH($AB820,'Test catalog'!$A$2:$A$200,0))),"")</f>
        <v/>
      </c>
      <c r="U820" s="10">
        <f>IFERROR(IF(INDEX('Test catalog'!$N$2:$N$200,MATCH($AB820,'Test catalog'!$A$2:$A$200,0))="","",INDEX('Test catalog'!$N$2:$N$200,MATCH($AB820,'Test catalog'!$A$2:$A$200,0))),"")</f>
        <v/>
      </c>
      <c r="V820" s="15" t="n"/>
      <c r="W820" s="5" t="inlineStr">
        <is>
          <t>N</t>
        </is>
      </c>
      <c r="X820" s="5" t="n"/>
      <c r="Y820" s="5" t="n"/>
      <c r="Z820" s="5" t="n"/>
      <c r="AA820" s="10">
        <f>IFERROR(IF(INDEX('Test catalog'!$O$2:$O$200,MATCH($AB820,'Test catalog'!$A$2:$A$200,0))="","",INDEX('Test catalog'!$O$2:$O$200,MATCH($AB820,'Test catalog'!$A$2:$A$200,0))),"")</f>
        <v/>
      </c>
      <c r="AB820" s="10" t="inlineStr">
        <is>
          <t>AAS</t>
        </is>
      </c>
      <c r="AC820" s="10" t="inlineStr">
        <is>
          <t>Talc · Impurities</t>
        </is>
      </c>
      <c r="AD820" s="10" t="n"/>
      <c r="AE820" s="10" t="n"/>
    </row>
    <row r="821">
      <c r="A821" s="10" t="inlineStr">
        <is>
          <t>Talc</t>
        </is>
      </c>
      <c r="B821" s="10" t="inlineStr">
        <is>
          <t>RM</t>
        </is>
      </c>
      <c r="C821" s="10" t="inlineStr">
        <is>
          <t>Glidant / Anti-tacking</t>
        </is>
      </c>
      <c r="D821" s="10" t="inlineStr">
        <is>
          <t>Limit of Calcium</t>
        </is>
      </c>
      <c r="E821" s="10">
        <f>IF(A821="","",A821&amp;"|"&amp;D821)</f>
        <v/>
      </c>
      <c r="F821" s="5" t="inlineStr">
        <is>
          <t>Y</t>
        </is>
      </c>
      <c r="G821" s="5" t="inlineStr">
        <is>
          <t>AAS / ICP</t>
        </is>
      </c>
      <c r="H821" s="5" t="inlineStr">
        <is>
          <t>Low</t>
        </is>
      </c>
      <c r="I821" s="5" t="n">
        <v>1</v>
      </c>
      <c r="J821" s="5" t="n"/>
      <c r="K821" s="10">
        <f>IFERROR(IF(INDEX('Test catalog'!$F$2:$F$200,MATCH($AB821,'Test catalog'!$A$2:$A$200,0))="","",INDEX('Test catalog'!$F$2:$F$200,MATCH($AB821,'Test catalog'!$A$2:$A$200,0))),"")</f>
        <v/>
      </c>
      <c r="L821" s="10">
        <f>IFERROR(IF(INDEX('Test catalog'!$G$2:$G$200,MATCH($AB821,'Test catalog'!$A$2:$A$200,0))="","",INDEX('Test catalog'!$G$2:$G$200,MATCH($AB821,'Test catalog'!$A$2:$A$200,0))),"")</f>
        <v/>
      </c>
      <c r="M821" s="10">
        <f>IFERROR(IF(INDEX('Test catalog'!$H$2:$H$200,MATCH($AB821,'Test catalog'!$A$2:$A$200,0))="","",INDEX('Test catalog'!$H$2:$H$200,MATCH($AB821,'Test catalog'!$A$2:$A$200,0))),"")</f>
        <v/>
      </c>
      <c r="N821" s="10">
        <f>IFERROR(IF(INDEX('Test catalog'!$I$2:$I$200,MATCH($AB821,'Test catalog'!$A$2:$A$200,0))="","",INDEX('Test catalog'!$I$2:$I$200,MATCH($AB821,'Test catalog'!$A$2:$A$200,0))),"")</f>
        <v/>
      </c>
      <c r="O821" s="10">
        <f>IFERROR(IF(INDEX('Test catalog'!$J$2:$J$200,MATCH($AB821,'Test catalog'!$A$2:$A$200,0))="","",INDEX('Test catalog'!$J$2:$J$200,MATCH($AB821,'Test catalog'!$A$2:$A$200,0))),"")</f>
        <v/>
      </c>
      <c r="P821" s="14">
        <f>IF(N821="","",IF(OR(M821="",O821=""),N821,(M821+4*N821+O821)/6))</f>
        <v/>
      </c>
      <c r="Q821" s="10">
        <f>IFERROR(IF(INDEX('Test catalog'!$K$2:$K$200,MATCH($AB821,'Test catalog'!$A$2:$A$200,0))="","",INDEX('Test catalog'!$K$2:$K$200,MATCH($AB821,'Test catalog'!$A$2:$A$200,0))),"")</f>
        <v/>
      </c>
      <c r="R821" s="5" t="n"/>
      <c r="S821" s="10">
        <f>IFERROR(IF(INDEX('Test catalog'!$L$2:$L$200,MATCH($AB821,'Test catalog'!$A$2:$A$200,0))="","",INDEX('Test catalog'!$L$2:$L$200,MATCH($AB821,'Test catalog'!$A$2:$A$200,0))),"")</f>
        <v/>
      </c>
      <c r="T821" s="10">
        <f>IFERROR(IF(INDEX('Test catalog'!$M$2:$M$200,MATCH($AB821,'Test catalog'!$A$2:$A$200,0))="","",INDEX('Test catalog'!$M$2:$M$200,MATCH($AB821,'Test catalog'!$A$2:$A$200,0))),"")</f>
        <v/>
      </c>
      <c r="U821" s="10">
        <f>IFERROR(IF(INDEX('Test catalog'!$N$2:$N$200,MATCH($AB821,'Test catalog'!$A$2:$A$200,0))="","",INDEX('Test catalog'!$N$2:$N$200,MATCH($AB821,'Test catalog'!$A$2:$A$200,0))),"")</f>
        <v/>
      </c>
      <c r="V821" s="15" t="n"/>
      <c r="W821" s="5" t="inlineStr">
        <is>
          <t>N</t>
        </is>
      </c>
      <c r="X821" s="5" t="n"/>
      <c r="Y821" s="5" t="n"/>
      <c r="Z821" s="5" t="n"/>
      <c r="AA821" s="10">
        <f>IFERROR(IF(INDEX('Test catalog'!$O$2:$O$200,MATCH($AB821,'Test catalog'!$A$2:$A$200,0))="","",INDEX('Test catalog'!$O$2:$O$200,MATCH($AB821,'Test catalog'!$A$2:$A$200,0))),"")</f>
        <v/>
      </c>
      <c r="AB821" s="10" t="inlineStr">
        <is>
          <t>AAS</t>
        </is>
      </c>
      <c r="AC821" s="10" t="inlineStr">
        <is>
          <t>Talc · Impurities</t>
        </is>
      </c>
      <c r="AD821" s="10" t="n"/>
      <c r="AE821" s="10" t="n"/>
    </row>
    <row r="822">
      <c r="A822" s="10" t="inlineStr">
        <is>
          <t>Talc</t>
        </is>
      </c>
      <c r="B822" s="10" t="inlineStr">
        <is>
          <t>RM</t>
        </is>
      </c>
      <c r="C822" s="10" t="inlineStr">
        <is>
          <t>Glidant / Anti-tacking</t>
        </is>
      </c>
      <c r="D822" s="10" t="inlineStr">
        <is>
          <t>Limit of Aluminum</t>
        </is>
      </c>
      <c r="E822" s="10">
        <f>IF(A822="","",A822&amp;"|"&amp;D822)</f>
        <v/>
      </c>
      <c r="F822" s="5" t="inlineStr">
        <is>
          <t>Y</t>
        </is>
      </c>
      <c r="G822" s="5" t="inlineStr">
        <is>
          <t>AAS / ICP</t>
        </is>
      </c>
      <c r="H822" s="5" t="inlineStr">
        <is>
          <t>Low</t>
        </is>
      </c>
      <c r="I822" s="5" t="n">
        <v>1</v>
      </c>
      <c r="J822" s="5" t="n"/>
      <c r="K822" s="10">
        <f>IFERROR(IF(INDEX('Test catalog'!$F$2:$F$200,MATCH($AB822,'Test catalog'!$A$2:$A$200,0))="","",INDEX('Test catalog'!$F$2:$F$200,MATCH($AB822,'Test catalog'!$A$2:$A$200,0))),"")</f>
        <v/>
      </c>
      <c r="L822" s="10">
        <f>IFERROR(IF(INDEX('Test catalog'!$G$2:$G$200,MATCH($AB822,'Test catalog'!$A$2:$A$200,0))="","",INDEX('Test catalog'!$G$2:$G$200,MATCH($AB822,'Test catalog'!$A$2:$A$200,0))),"")</f>
        <v/>
      </c>
      <c r="M822" s="10">
        <f>IFERROR(IF(INDEX('Test catalog'!$H$2:$H$200,MATCH($AB822,'Test catalog'!$A$2:$A$200,0))="","",INDEX('Test catalog'!$H$2:$H$200,MATCH($AB822,'Test catalog'!$A$2:$A$200,0))),"")</f>
        <v/>
      </c>
      <c r="N822" s="10">
        <f>IFERROR(IF(INDEX('Test catalog'!$I$2:$I$200,MATCH($AB822,'Test catalog'!$A$2:$A$200,0))="","",INDEX('Test catalog'!$I$2:$I$200,MATCH($AB822,'Test catalog'!$A$2:$A$200,0))),"")</f>
        <v/>
      </c>
      <c r="O822" s="10">
        <f>IFERROR(IF(INDEX('Test catalog'!$J$2:$J$200,MATCH($AB822,'Test catalog'!$A$2:$A$200,0))="","",INDEX('Test catalog'!$J$2:$J$200,MATCH($AB822,'Test catalog'!$A$2:$A$200,0))),"")</f>
        <v/>
      </c>
      <c r="P822" s="14">
        <f>IF(N822="","",IF(OR(M822="",O822=""),N822,(M822+4*N822+O822)/6))</f>
        <v/>
      </c>
      <c r="Q822" s="10">
        <f>IFERROR(IF(INDEX('Test catalog'!$K$2:$K$200,MATCH($AB822,'Test catalog'!$A$2:$A$200,0))="","",INDEX('Test catalog'!$K$2:$K$200,MATCH($AB822,'Test catalog'!$A$2:$A$200,0))),"")</f>
        <v/>
      </c>
      <c r="R822" s="5" t="n"/>
      <c r="S822" s="10">
        <f>IFERROR(IF(INDEX('Test catalog'!$L$2:$L$200,MATCH($AB822,'Test catalog'!$A$2:$A$200,0))="","",INDEX('Test catalog'!$L$2:$L$200,MATCH($AB822,'Test catalog'!$A$2:$A$200,0))),"")</f>
        <v/>
      </c>
      <c r="T822" s="10">
        <f>IFERROR(IF(INDEX('Test catalog'!$M$2:$M$200,MATCH($AB822,'Test catalog'!$A$2:$A$200,0))="","",INDEX('Test catalog'!$M$2:$M$200,MATCH($AB822,'Test catalog'!$A$2:$A$200,0))),"")</f>
        <v/>
      </c>
      <c r="U822" s="10">
        <f>IFERROR(IF(INDEX('Test catalog'!$N$2:$N$200,MATCH($AB822,'Test catalog'!$A$2:$A$200,0))="","",INDEX('Test catalog'!$N$2:$N$200,MATCH($AB822,'Test catalog'!$A$2:$A$200,0))),"")</f>
        <v/>
      </c>
      <c r="V822" s="15" t="n"/>
      <c r="W822" s="5" t="inlineStr">
        <is>
          <t>N</t>
        </is>
      </c>
      <c r="X822" s="5" t="n"/>
      <c r="Y822" s="5" t="n"/>
      <c r="Z822" s="5" t="n"/>
      <c r="AA822" s="10">
        <f>IFERROR(IF(INDEX('Test catalog'!$O$2:$O$200,MATCH($AB822,'Test catalog'!$A$2:$A$200,0))="","",INDEX('Test catalog'!$O$2:$O$200,MATCH($AB822,'Test catalog'!$A$2:$A$200,0))),"")</f>
        <v/>
      </c>
      <c r="AB822" s="10" t="inlineStr">
        <is>
          <t>AAS</t>
        </is>
      </c>
      <c r="AC822" s="10" t="inlineStr">
        <is>
          <t>Talc · Impurities</t>
        </is>
      </c>
      <c r="AD822" s="10" t="n"/>
      <c r="AE822" s="10" t="n"/>
    </row>
    <row r="823">
      <c r="A823" s="10" t="inlineStr">
        <is>
          <t>Talc</t>
        </is>
      </c>
      <c r="B823" s="10" t="inlineStr">
        <is>
          <t>RM</t>
        </is>
      </c>
      <c r="C823" s="10" t="inlineStr">
        <is>
          <t>Glidant / Anti-tacking</t>
        </is>
      </c>
      <c r="D823" s="10" t="inlineStr">
        <is>
          <t>Absence of Asbestos</t>
        </is>
      </c>
      <c r="E823" s="10">
        <f>IF(A823="","",A823&amp;"|"&amp;D823)</f>
        <v/>
      </c>
      <c r="F823" s="5" t="inlineStr">
        <is>
          <t>Y</t>
        </is>
      </c>
      <c r="G823" s="5" t="inlineStr">
        <is>
          <t>Other / bench</t>
        </is>
      </c>
      <c r="H823" s="5" t="inlineStr">
        <is>
          <t>Low</t>
        </is>
      </c>
      <c r="I823" s="5" t="n">
        <v>1</v>
      </c>
      <c r="J823" s="5" t="n"/>
      <c r="K823" s="5" t="n"/>
      <c r="L823" s="5" t="n"/>
      <c r="M823" s="5" t="n"/>
      <c r="N823" s="5" t="n"/>
      <c r="O823" s="5" t="n"/>
      <c r="P823" s="14">
        <f>IF(N823="","",IF(OR(M823="",O823=""),N823,(M823+4*N823+O823)/6))</f>
        <v/>
      </c>
      <c r="Q823" s="5" t="n"/>
      <c r="R823" s="5" t="n"/>
      <c r="S823" s="5" t="n"/>
      <c r="T823" s="5" t="n"/>
      <c r="U823" s="5" t="n"/>
      <c r="V823" s="15" t="n"/>
      <c r="W823" s="5" t="inlineStr">
        <is>
          <t>N</t>
        </is>
      </c>
      <c r="X823" s="5" t="n"/>
      <c r="Y823" s="5" t="n"/>
      <c r="Z823" s="5" t="n"/>
      <c r="AA823" s="5" t="n"/>
      <c r="AB823" s="10" t="n"/>
      <c r="AC823" s="10" t="inlineStr">
        <is>
          <t>Talc · Impurities</t>
        </is>
      </c>
      <c r="AD823" s="10" t="n"/>
      <c r="AE823" s="10" t="n"/>
    </row>
    <row r="824">
      <c r="A824" s="10" t="inlineStr">
        <is>
          <t>Talc</t>
        </is>
      </c>
      <c r="B824" s="10" t="inlineStr">
        <is>
          <t>RM</t>
        </is>
      </c>
      <c r="C824" s="10" t="inlineStr">
        <is>
          <t>Glidant / Anti-tacking</t>
        </is>
      </c>
      <c r="D824" s="10" t="inlineStr">
        <is>
          <t>Acidity and Alkalinity</t>
        </is>
      </c>
      <c r="E824" s="10">
        <f>IF(A824="","",A824&amp;"|"&amp;D824)</f>
        <v/>
      </c>
      <c r="F824" s="5" t="inlineStr">
        <is>
          <t>Y</t>
        </is>
      </c>
      <c r="G824" s="5" t="inlineStr">
        <is>
          <t>Other / bench</t>
        </is>
      </c>
      <c r="H824" s="5" t="inlineStr">
        <is>
          <t>Low</t>
        </is>
      </c>
      <c r="I824" s="5" t="n">
        <v>1</v>
      </c>
      <c r="J824" s="5" t="n"/>
      <c r="K824" s="10">
        <f>IFERROR(IF(INDEX('Test catalog'!$F$2:$F$200,MATCH($AB824,'Test catalog'!$A$2:$A$200,0))="","",INDEX('Test catalog'!$F$2:$F$200,MATCH($AB824,'Test catalog'!$A$2:$A$200,0))),"")</f>
        <v/>
      </c>
      <c r="L824" s="10">
        <f>IFERROR(IF(INDEX('Test catalog'!$G$2:$G$200,MATCH($AB824,'Test catalog'!$A$2:$A$200,0))="","",INDEX('Test catalog'!$G$2:$G$200,MATCH($AB824,'Test catalog'!$A$2:$A$200,0))),"")</f>
        <v/>
      </c>
      <c r="M824" s="10">
        <f>IFERROR(IF(INDEX('Test catalog'!$H$2:$H$200,MATCH($AB824,'Test catalog'!$A$2:$A$200,0))="","",INDEX('Test catalog'!$H$2:$H$200,MATCH($AB824,'Test catalog'!$A$2:$A$200,0))),"")</f>
        <v/>
      </c>
      <c r="N824" s="10">
        <f>IFERROR(IF(INDEX('Test catalog'!$I$2:$I$200,MATCH($AB824,'Test catalog'!$A$2:$A$200,0))="","",INDEX('Test catalog'!$I$2:$I$200,MATCH($AB824,'Test catalog'!$A$2:$A$200,0))),"")</f>
        <v/>
      </c>
      <c r="O824" s="10">
        <f>IFERROR(IF(INDEX('Test catalog'!$J$2:$J$200,MATCH($AB824,'Test catalog'!$A$2:$A$200,0))="","",INDEX('Test catalog'!$J$2:$J$200,MATCH($AB824,'Test catalog'!$A$2:$A$200,0))),"")</f>
        <v/>
      </c>
      <c r="P824" s="14">
        <f>IF(N824="","",IF(OR(M824="",O824=""),N824,(M824+4*N824+O824)/6))</f>
        <v/>
      </c>
      <c r="Q824" s="10">
        <f>IFERROR(IF(INDEX('Test catalog'!$K$2:$K$200,MATCH($AB824,'Test catalog'!$A$2:$A$200,0))="","",INDEX('Test catalog'!$K$2:$K$200,MATCH($AB824,'Test catalog'!$A$2:$A$200,0))),"")</f>
        <v/>
      </c>
      <c r="R824" s="5" t="n"/>
      <c r="S824" s="10">
        <f>IFERROR(IF(INDEX('Test catalog'!$L$2:$L$200,MATCH($AB824,'Test catalog'!$A$2:$A$200,0))="","",INDEX('Test catalog'!$L$2:$L$200,MATCH($AB824,'Test catalog'!$A$2:$A$200,0))),"")</f>
        <v/>
      </c>
      <c r="T824" s="10">
        <f>IFERROR(IF(INDEX('Test catalog'!$M$2:$M$200,MATCH($AB824,'Test catalog'!$A$2:$A$200,0))="","",INDEX('Test catalog'!$M$2:$M$200,MATCH($AB824,'Test catalog'!$A$2:$A$200,0))),"")</f>
        <v/>
      </c>
      <c r="U824" s="10">
        <f>IFERROR(IF(INDEX('Test catalog'!$N$2:$N$200,MATCH($AB824,'Test catalog'!$A$2:$A$200,0))="","",INDEX('Test catalog'!$N$2:$N$200,MATCH($AB824,'Test catalog'!$A$2:$A$200,0))),"")</f>
        <v/>
      </c>
      <c r="V824" s="15" t="n"/>
      <c r="W824" s="5" t="inlineStr">
        <is>
          <t>N</t>
        </is>
      </c>
      <c r="X824" s="5" t="n"/>
      <c r="Y824" s="5" t="n"/>
      <c r="Z824" s="5" t="n"/>
      <c r="AA824" s="10">
        <f>IFERROR(IF(INDEX('Test catalog'!$O$2:$O$200,MATCH($AB824,'Test catalog'!$A$2:$A$200,0))="","",INDEX('Test catalog'!$O$2:$O$200,MATCH($AB824,'Test catalog'!$A$2:$A$200,0))),"")</f>
        <v/>
      </c>
      <c r="AB824" s="10" t="inlineStr">
        <is>
          <t>ACID</t>
        </is>
      </c>
      <c r="AC824" s="10" t="inlineStr">
        <is>
          <t>Talc · Specific Tests</t>
        </is>
      </c>
      <c r="AD824" s="10" t="n"/>
      <c r="AE824" s="10" t="n"/>
    </row>
    <row r="825">
      <c r="A825" s="10" t="inlineStr">
        <is>
          <t>Talc</t>
        </is>
      </c>
      <c r="B825" s="10" t="inlineStr">
        <is>
          <t>RM</t>
        </is>
      </c>
      <c r="C825" s="10" t="inlineStr">
        <is>
          <t>Glidant / Anti-tacking</t>
        </is>
      </c>
      <c r="D825" s="10" t="inlineStr">
        <is>
          <t>Loss on Ignition</t>
        </is>
      </c>
      <c r="E825" s="10">
        <f>IF(A825="","",A825&amp;"|"&amp;D825)</f>
        <v/>
      </c>
      <c r="F825" s="5" t="inlineStr">
        <is>
          <t>Y</t>
        </is>
      </c>
      <c r="G825" s="5" t="inlineStr">
        <is>
          <t>Other / bench</t>
        </is>
      </c>
      <c r="H825" s="5" t="inlineStr">
        <is>
          <t>Low</t>
        </is>
      </c>
      <c r="I825" s="5" t="n">
        <v>1</v>
      </c>
      <c r="J825" s="5" t="n"/>
      <c r="K825" s="10">
        <f>IFERROR(IF(INDEX('Test catalog'!$F$2:$F$200,MATCH($AB825,'Test catalog'!$A$2:$A$200,0))="","",INDEX('Test catalog'!$F$2:$F$200,MATCH($AB825,'Test catalog'!$A$2:$A$200,0))),"")</f>
        <v/>
      </c>
      <c r="L825" s="10">
        <f>IFERROR(IF(INDEX('Test catalog'!$G$2:$G$200,MATCH($AB825,'Test catalog'!$A$2:$A$200,0))="","",INDEX('Test catalog'!$G$2:$G$200,MATCH($AB825,'Test catalog'!$A$2:$A$200,0))),"")</f>
        <v/>
      </c>
      <c r="M825" s="10">
        <f>IFERROR(IF(INDEX('Test catalog'!$H$2:$H$200,MATCH($AB825,'Test catalog'!$A$2:$A$200,0))="","",INDEX('Test catalog'!$H$2:$H$200,MATCH($AB825,'Test catalog'!$A$2:$A$200,0))),"")</f>
        <v/>
      </c>
      <c r="N825" s="10">
        <f>IFERROR(IF(INDEX('Test catalog'!$I$2:$I$200,MATCH($AB825,'Test catalog'!$A$2:$A$200,0))="","",INDEX('Test catalog'!$I$2:$I$200,MATCH($AB825,'Test catalog'!$A$2:$A$200,0))),"")</f>
        <v/>
      </c>
      <c r="O825" s="10">
        <f>IFERROR(IF(INDEX('Test catalog'!$J$2:$J$200,MATCH($AB825,'Test catalog'!$A$2:$A$200,0))="","",INDEX('Test catalog'!$J$2:$J$200,MATCH($AB825,'Test catalog'!$A$2:$A$200,0))),"")</f>
        <v/>
      </c>
      <c r="P825" s="14">
        <f>IF(N825="","",IF(OR(M825="",O825=""),N825,(M825+4*N825+O825)/6))</f>
        <v/>
      </c>
      <c r="Q825" s="10">
        <f>IFERROR(IF(INDEX('Test catalog'!$K$2:$K$200,MATCH($AB825,'Test catalog'!$A$2:$A$200,0))="","",INDEX('Test catalog'!$K$2:$K$200,MATCH($AB825,'Test catalog'!$A$2:$A$200,0))),"")</f>
        <v/>
      </c>
      <c r="R825" s="5" t="n"/>
      <c r="S825" s="10">
        <f>IFERROR(IF(INDEX('Test catalog'!$L$2:$L$200,MATCH($AB825,'Test catalog'!$A$2:$A$200,0))="","",INDEX('Test catalog'!$L$2:$L$200,MATCH($AB825,'Test catalog'!$A$2:$A$200,0))),"")</f>
        <v/>
      </c>
      <c r="T825" s="10">
        <f>IFERROR(IF(INDEX('Test catalog'!$M$2:$M$200,MATCH($AB825,'Test catalog'!$A$2:$A$200,0))="","",INDEX('Test catalog'!$M$2:$M$200,MATCH($AB825,'Test catalog'!$A$2:$A$200,0))),"")</f>
        <v/>
      </c>
      <c r="U825" s="10">
        <f>IFERROR(IF(INDEX('Test catalog'!$N$2:$N$200,MATCH($AB825,'Test catalog'!$A$2:$A$200,0))="","",INDEX('Test catalog'!$N$2:$N$200,MATCH($AB825,'Test catalog'!$A$2:$A$200,0))),"")</f>
        <v/>
      </c>
      <c r="V825" s="15" t="n"/>
      <c r="W825" s="5" t="inlineStr">
        <is>
          <t>N</t>
        </is>
      </c>
      <c r="X825" s="5" t="n"/>
      <c r="Y825" s="5" t="n"/>
      <c r="Z825" s="5" t="n"/>
      <c r="AA825" s="10">
        <f>IFERROR(IF(INDEX('Test catalog'!$O$2:$O$200,MATCH($AB825,'Test catalog'!$A$2:$A$200,0))="","",INDEX('Test catalog'!$O$2:$O$200,MATCH($AB825,'Test catalog'!$A$2:$A$200,0))),"")</f>
        <v/>
      </c>
      <c r="AB825" s="10" t="inlineStr">
        <is>
          <t>LOI</t>
        </is>
      </c>
      <c r="AC825" s="10" t="inlineStr">
        <is>
          <t>Talc · Specific Tests &lt;733&gt;</t>
        </is>
      </c>
      <c r="AD825" s="10" t="n"/>
      <c r="AE825" s="10" t="n"/>
    </row>
    <row r="826">
      <c r="A826" s="10" t="inlineStr">
        <is>
          <t>Magnesium Stearate</t>
        </is>
      </c>
      <c r="B826" s="10" t="inlineStr">
        <is>
          <t>RM</t>
        </is>
      </c>
      <c r="C826" s="10" t="inlineStr">
        <is>
          <t>Lubricant</t>
        </is>
      </c>
      <c r="D826" s="10" t="inlineStr">
        <is>
          <t>Appearance / description and solubility</t>
        </is>
      </c>
      <c r="E826" s="10">
        <f>IF(A826="","",A826&amp;"|"&amp;D826)</f>
        <v/>
      </c>
      <c r="F826" s="5" t="inlineStr">
        <is>
          <t>Y</t>
        </is>
      </c>
      <c r="G826" s="5" t="inlineStr">
        <is>
          <t>Other / bench</t>
        </is>
      </c>
      <c r="H826" s="5" t="inlineStr">
        <is>
          <t>Low</t>
        </is>
      </c>
      <c r="I826" s="5" t="n">
        <v>1</v>
      </c>
      <c r="J826" s="5" t="n"/>
      <c r="K826" s="10">
        <f>IFERROR(IF(INDEX('Test catalog'!$F$2:$F$200,MATCH($AB826,'Test catalog'!$A$2:$A$200,0))="","",INDEX('Test catalog'!$F$2:$F$200,MATCH($AB826,'Test catalog'!$A$2:$A$200,0))),"")</f>
        <v/>
      </c>
      <c r="L826" s="10">
        <f>IFERROR(IF(INDEX('Test catalog'!$G$2:$G$200,MATCH($AB826,'Test catalog'!$A$2:$A$200,0))="","",INDEX('Test catalog'!$G$2:$G$200,MATCH($AB826,'Test catalog'!$A$2:$A$200,0))),"")</f>
        <v/>
      </c>
      <c r="M826" s="10">
        <f>IFERROR(IF(INDEX('Test catalog'!$H$2:$H$200,MATCH($AB826,'Test catalog'!$A$2:$A$200,0))="","",INDEX('Test catalog'!$H$2:$H$200,MATCH($AB826,'Test catalog'!$A$2:$A$200,0))),"")</f>
        <v/>
      </c>
      <c r="N826" s="10">
        <f>IFERROR(IF(INDEX('Test catalog'!$I$2:$I$200,MATCH($AB826,'Test catalog'!$A$2:$A$200,0))="","",INDEX('Test catalog'!$I$2:$I$200,MATCH($AB826,'Test catalog'!$A$2:$A$200,0))),"")</f>
        <v/>
      </c>
      <c r="O826" s="10">
        <f>IFERROR(IF(INDEX('Test catalog'!$J$2:$J$200,MATCH($AB826,'Test catalog'!$A$2:$A$200,0))="","",INDEX('Test catalog'!$J$2:$J$200,MATCH($AB826,'Test catalog'!$A$2:$A$200,0))),"")</f>
        <v/>
      </c>
      <c r="P826" s="14">
        <f>IF(N826="","",IF(OR(M826="",O826=""),N826,(M826+4*N826+O826)/6))</f>
        <v/>
      </c>
      <c r="Q826" s="10">
        <f>IFERROR(IF(INDEX('Test catalog'!$K$2:$K$200,MATCH($AB826,'Test catalog'!$A$2:$A$200,0))="","",INDEX('Test catalog'!$K$2:$K$200,MATCH($AB826,'Test catalog'!$A$2:$A$200,0))),"")</f>
        <v/>
      </c>
      <c r="R826" s="5" t="n"/>
      <c r="S826" s="10">
        <f>IFERROR(IF(INDEX('Test catalog'!$L$2:$L$200,MATCH($AB826,'Test catalog'!$A$2:$A$200,0))="","",INDEX('Test catalog'!$L$2:$L$200,MATCH($AB826,'Test catalog'!$A$2:$A$200,0))),"")</f>
        <v/>
      </c>
      <c r="T826" s="10">
        <f>IFERROR(IF(INDEX('Test catalog'!$M$2:$M$200,MATCH($AB826,'Test catalog'!$A$2:$A$200,0))="","",INDEX('Test catalog'!$M$2:$M$200,MATCH($AB826,'Test catalog'!$A$2:$A$200,0))),"")</f>
        <v/>
      </c>
      <c r="U826" s="10">
        <f>IFERROR(IF(INDEX('Test catalog'!$N$2:$N$200,MATCH($AB826,'Test catalog'!$A$2:$A$200,0))="","",INDEX('Test catalog'!$N$2:$N$200,MATCH($AB826,'Test catalog'!$A$2:$A$200,0))),"")</f>
        <v/>
      </c>
      <c r="V826" s="15" t="n"/>
      <c r="W826" s="5" t="inlineStr">
        <is>
          <t>N</t>
        </is>
      </c>
      <c r="X826" s="5" t="n"/>
      <c r="Y826" s="5" t="n"/>
      <c r="Z826" s="5" t="n"/>
      <c r="AA826" s="10">
        <f>IFERROR(IF(INDEX('Test catalog'!$O$2:$O$200,MATCH($AB826,'Test catalog'!$A$2:$A$200,0))="","",INDEX('Test catalog'!$O$2:$O$200,MATCH($AB826,'Test catalog'!$A$2:$A$200,0))),"")</f>
        <v/>
      </c>
      <c r="AB826" s="10" t="inlineStr">
        <is>
          <t>APPEAR</t>
        </is>
      </c>
      <c r="AC826" s="10" t="inlineStr">
        <is>
          <t>Lab practice (not a USP test)</t>
        </is>
      </c>
      <c r="AD826" s="10" t="n"/>
      <c r="AE826" s="10" t="n"/>
    </row>
    <row r="827">
      <c r="A827" s="10" t="inlineStr">
        <is>
          <t>Magnesium Stearate</t>
        </is>
      </c>
      <c r="B827" s="10" t="inlineStr">
        <is>
          <t>RM</t>
        </is>
      </c>
      <c r="C827" s="10" t="inlineStr">
        <is>
          <t>Lubricant</t>
        </is>
      </c>
      <c r="D827" s="10" t="inlineStr">
        <is>
          <t>ID A - chemical reaction</t>
        </is>
      </c>
      <c r="E827" s="10">
        <f>IF(A827="","",A827&amp;"|"&amp;D827)</f>
        <v/>
      </c>
      <c r="F827" s="5" t="inlineStr">
        <is>
          <t>Y</t>
        </is>
      </c>
      <c r="G827" s="5" t="inlineStr">
        <is>
          <t>Other / bench</t>
        </is>
      </c>
      <c r="H827" s="5" t="inlineStr">
        <is>
          <t>Low</t>
        </is>
      </c>
      <c r="I827" s="5" t="n">
        <v>1</v>
      </c>
      <c r="J827" s="5" t="n"/>
      <c r="K827" s="10">
        <f>IFERROR(IF(INDEX('Test catalog'!$F$2:$F$200,MATCH($AB827,'Test catalog'!$A$2:$A$200,0))="","",INDEX('Test catalog'!$F$2:$F$200,MATCH($AB827,'Test catalog'!$A$2:$A$200,0))),"")</f>
        <v/>
      </c>
      <c r="L827" s="10">
        <f>IFERROR(IF(INDEX('Test catalog'!$G$2:$G$200,MATCH($AB827,'Test catalog'!$A$2:$A$200,0))="","",INDEX('Test catalog'!$G$2:$G$200,MATCH($AB827,'Test catalog'!$A$2:$A$200,0))),"")</f>
        <v/>
      </c>
      <c r="M827" s="10">
        <f>IFERROR(IF(INDEX('Test catalog'!$H$2:$H$200,MATCH($AB827,'Test catalog'!$A$2:$A$200,0))="","",INDEX('Test catalog'!$H$2:$H$200,MATCH($AB827,'Test catalog'!$A$2:$A$200,0))),"")</f>
        <v/>
      </c>
      <c r="N827" s="10">
        <f>IFERROR(IF(INDEX('Test catalog'!$I$2:$I$200,MATCH($AB827,'Test catalog'!$A$2:$A$200,0))="","",INDEX('Test catalog'!$I$2:$I$200,MATCH($AB827,'Test catalog'!$A$2:$A$200,0))),"")</f>
        <v/>
      </c>
      <c r="O827" s="10">
        <f>IFERROR(IF(INDEX('Test catalog'!$J$2:$J$200,MATCH($AB827,'Test catalog'!$A$2:$A$200,0))="","",INDEX('Test catalog'!$J$2:$J$200,MATCH($AB827,'Test catalog'!$A$2:$A$200,0))),"")</f>
        <v/>
      </c>
      <c r="P827" s="14">
        <f>IF(N827="","",IF(OR(M827="",O827=""),N827,(M827+4*N827+O827)/6))</f>
        <v/>
      </c>
      <c r="Q827" s="10">
        <f>IFERROR(IF(INDEX('Test catalog'!$K$2:$K$200,MATCH($AB827,'Test catalog'!$A$2:$A$200,0))="","",INDEX('Test catalog'!$K$2:$K$200,MATCH($AB827,'Test catalog'!$A$2:$A$200,0))),"")</f>
        <v/>
      </c>
      <c r="R827" s="5" t="n"/>
      <c r="S827" s="10">
        <f>IFERROR(IF(INDEX('Test catalog'!$L$2:$L$200,MATCH($AB827,'Test catalog'!$A$2:$A$200,0))="","",INDEX('Test catalog'!$L$2:$L$200,MATCH($AB827,'Test catalog'!$A$2:$A$200,0))),"")</f>
        <v/>
      </c>
      <c r="T827" s="10">
        <f>IFERROR(IF(INDEX('Test catalog'!$M$2:$M$200,MATCH($AB827,'Test catalog'!$A$2:$A$200,0))="","",INDEX('Test catalog'!$M$2:$M$200,MATCH($AB827,'Test catalog'!$A$2:$A$200,0))),"")</f>
        <v/>
      </c>
      <c r="U827" s="10">
        <f>IFERROR(IF(INDEX('Test catalog'!$N$2:$N$200,MATCH($AB827,'Test catalog'!$A$2:$A$200,0))="","",INDEX('Test catalog'!$N$2:$N$200,MATCH($AB827,'Test catalog'!$A$2:$A$200,0))),"")</f>
        <v/>
      </c>
      <c r="V827" s="15" t="n"/>
      <c r="W827" s="5" t="inlineStr">
        <is>
          <t>N</t>
        </is>
      </c>
      <c r="X827" s="5" t="n"/>
      <c r="Y827" s="5" t="n"/>
      <c r="Z827" s="5" t="n"/>
      <c r="AA827" s="10">
        <f>IFERROR(IF(INDEX('Test catalog'!$O$2:$O$200,MATCH($AB827,'Test catalog'!$A$2:$A$200,0))="","",INDEX('Test catalog'!$O$2:$O$200,MATCH($AB827,'Test catalog'!$A$2:$A$200,0))),"")</f>
        <v/>
      </c>
      <c r="AB827" s="10" t="inlineStr">
        <is>
          <t>ID_CHEM</t>
        </is>
      </c>
      <c r="AC827" s="10" t="inlineStr">
        <is>
          <t>Magnesium Stearate · Identification &lt;191&gt;</t>
        </is>
      </c>
      <c r="AD827" s="10" t="n"/>
      <c r="AE827" s="10" t="n"/>
    </row>
    <row r="828">
      <c r="A828" s="10" t="inlineStr">
        <is>
          <t>Magnesium Stearate</t>
        </is>
      </c>
      <c r="B828" s="10" t="inlineStr">
        <is>
          <t>RM</t>
        </is>
      </c>
      <c r="C828" s="10" t="inlineStr">
        <is>
          <t>Lubricant</t>
        </is>
      </c>
      <c r="D828" s="10" t="inlineStr">
        <is>
          <t>Assay</t>
        </is>
      </c>
      <c r="E828" s="10">
        <f>IF(A828="","",A828&amp;"|"&amp;D828)</f>
        <v/>
      </c>
      <c r="F828" s="5" t="inlineStr">
        <is>
          <t>Y</t>
        </is>
      </c>
      <c r="G828" s="5" t="inlineStr">
        <is>
          <t>Other / bench</t>
        </is>
      </c>
      <c r="H828" s="5" t="inlineStr">
        <is>
          <t>Low</t>
        </is>
      </c>
      <c r="I828" s="5" t="n">
        <v>1</v>
      </c>
      <c r="J828" s="5" t="n"/>
      <c r="K828" s="10">
        <f>IFERROR(IF(INDEX('Test catalog'!$F$2:$F$200,MATCH($AB828,'Test catalog'!$A$2:$A$200,0))="","",INDEX('Test catalog'!$F$2:$F$200,MATCH($AB828,'Test catalog'!$A$2:$A$200,0))),"")</f>
        <v/>
      </c>
      <c r="L828" s="10">
        <f>IFERROR(IF(INDEX('Test catalog'!$G$2:$G$200,MATCH($AB828,'Test catalog'!$A$2:$A$200,0))="","",INDEX('Test catalog'!$G$2:$G$200,MATCH($AB828,'Test catalog'!$A$2:$A$200,0))),"")</f>
        <v/>
      </c>
      <c r="M828" s="10">
        <f>IFERROR(IF(INDEX('Test catalog'!$H$2:$H$200,MATCH($AB828,'Test catalog'!$A$2:$A$200,0))="","",INDEX('Test catalog'!$H$2:$H$200,MATCH($AB828,'Test catalog'!$A$2:$A$200,0))),"")</f>
        <v/>
      </c>
      <c r="N828" s="10">
        <f>IFERROR(IF(INDEX('Test catalog'!$I$2:$I$200,MATCH($AB828,'Test catalog'!$A$2:$A$200,0))="","",INDEX('Test catalog'!$I$2:$I$200,MATCH($AB828,'Test catalog'!$A$2:$A$200,0))),"")</f>
        <v/>
      </c>
      <c r="O828" s="10">
        <f>IFERROR(IF(INDEX('Test catalog'!$J$2:$J$200,MATCH($AB828,'Test catalog'!$A$2:$A$200,0))="","",INDEX('Test catalog'!$J$2:$J$200,MATCH($AB828,'Test catalog'!$A$2:$A$200,0))),"")</f>
        <v/>
      </c>
      <c r="P828" s="14">
        <f>IF(N828="","",IF(OR(M828="",O828=""),N828,(M828+4*N828+O828)/6))</f>
        <v/>
      </c>
      <c r="Q828" s="10">
        <f>IFERROR(IF(INDEX('Test catalog'!$K$2:$K$200,MATCH($AB828,'Test catalog'!$A$2:$A$200,0))="","",INDEX('Test catalog'!$K$2:$K$200,MATCH($AB828,'Test catalog'!$A$2:$A$200,0))),"")</f>
        <v/>
      </c>
      <c r="R828" s="5" t="n"/>
      <c r="S828" s="10">
        <f>IFERROR(IF(INDEX('Test catalog'!$L$2:$L$200,MATCH($AB828,'Test catalog'!$A$2:$A$200,0))="","",INDEX('Test catalog'!$L$2:$L$200,MATCH($AB828,'Test catalog'!$A$2:$A$200,0))),"")</f>
        <v/>
      </c>
      <c r="T828" s="10">
        <f>IFERROR(IF(INDEX('Test catalog'!$M$2:$M$200,MATCH($AB828,'Test catalog'!$A$2:$A$200,0))="","",INDEX('Test catalog'!$M$2:$M$200,MATCH($AB828,'Test catalog'!$A$2:$A$200,0))),"")</f>
        <v/>
      </c>
      <c r="U828" s="10">
        <f>IFERROR(IF(INDEX('Test catalog'!$N$2:$N$200,MATCH($AB828,'Test catalog'!$A$2:$A$200,0))="","",INDEX('Test catalog'!$N$2:$N$200,MATCH($AB828,'Test catalog'!$A$2:$A$200,0))),"")</f>
        <v/>
      </c>
      <c r="V828" s="15" t="n"/>
      <c r="W828" s="5" t="inlineStr">
        <is>
          <t>N</t>
        </is>
      </c>
      <c r="X828" s="5" t="n"/>
      <c r="Y828" s="5" t="n"/>
      <c r="Z828" s="5" t="n"/>
      <c r="AA828" s="10">
        <f>IFERROR(IF(INDEX('Test catalog'!$O$2:$O$200,MATCH($AB828,'Test catalog'!$A$2:$A$200,0))="","",INDEX('Test catalog'!$O$2:$O$200,MATCH($AB828,'Test catalog'!$A$2:$A$200,0))),"")</f>
        <v/>
      </c>
      <c r="AB828" s="10" t="inlineStr">
        <is>
          <t>TITR</t>
        </is>
      </c>
      <c r="AC828" s="10" t="inlineStr">
        <is>
          <t>Magnesium Stearate · Assay</t>
        </is>
      </c>
      <c r="AD828" s="10" t="n"/>
      <c r="AE828" s="10" t="n"/>
    </row>
    <row r="829">
      <c r="A829" s="10" t="inlineStr">
        <is>
          <t>Magnesium Stearate</t>
        </is>
      </c>
      <c r="B829" s="10" t="inlineStr">
        <is>
          <t>RM</t>
        </is>
      </c>
      <c r="C829" s="10" t="inlineStr">
        <is>
          <t>Lubricant</t>
        </is>
      </c>
      <c r="D829" s="10" t="inlineStr">
        <is>
          <t>Chloride</t>
        </is>
      </c>
      <c r="E829" s="10">
        <f>IF(A829="","",A829&amp;"|"&amp;D829)</f>
        <v/>
      </c>
      <c r="F829" s="5" t="inlineStr">
        <is>
          <t>Y</t>
        </is>
      </c>
      <c r="G829" s="5" t="inlineStr">
        <is>
          <t>Other / bench</t>
        </is>
      </c>
      <c r="H829" s="5" t="inlineStr">
        <is>
          <t>Low</t>
        </is>
      </c>
      <c r="I829" s="5" t="n">
        <v>1</v>
      </c>
      <c r="J829" s="5" t="n"/>
      <c r="K829" s="10">
        <f>IFERROR(IF(INDEX('Test catalog'!$F$2:$F$200,MATCH($AB829,'Test catalog'!$A$2:$A$200,0))="","",INDEX('Test catalog'!$F$2:$F$200,MATCH($AB829,'Test catalog'!$A$2:$A$200,0))),"")</f>
        <v/>
      </c>
      <c r="L829" s="10">
        <f>IFERROR(IF(INDEX('Test catalog'!$G$2:$G$200,MATCH($AB829,'Test catalog'!$A$2:$A$200,0))="","",INDEX('Test catalog'!$G$2:$G$200,MATCH($AB829,'Test catalog'!$A$2:$A$200,0))),"")</f>
        <v/>
      </c>
      <c r="M829" s="10">
        <f>IFERROR(IF(INDEX('Test catalog'!$H$2:$H$200,MATCH($AB829,'Test catalog'!$A$2:$A$200,0))="","",INDEX('Test catalog'!$H$2:$H$200,MATCH($AB829,'Test catalog'!$A$2:$A$200,0))),"")</f>
        <v/>
      </c>
      <c r="N829" s="10">
        <f>IFERROR(IF(INDEX('Test catalog'!$I$2:$I$200,MATCH($AB829,'Test catalog'!$A$2:$A$200,0))="","",INDEX('Test catalog'!$I$2:$I$200,MATCH($AB829,'Test catalog'!$A$2:$A$200,0))),"")</f>
        <v/>
      </c>
      <c r="O829" s="10">
        <f>IFERROR(IF(INDEX('Test catalog'!$J$2:$J$200,MATCH($AB829,'Test catalog'!$A$2:$A$200,0))="","",INDEX('Test catalog'!$J$2:$J$200,MATCH($AB829,'Test catalog'!$A$2:$A$200,0))),"")</f>
        <v/>
      </c>
      <c r="P829" s="14">
        <f>IF(N829="","",IF(OR(M829="",O829=""),N829,(M829+4*N829+O829)/6))</f>
        <v/>
      </c>
      <c r="Q829" s="10">
        <f>IFERROR(IF(INDEX('Test catalog'!$K$2:$K$200,MATCH($AB829,'Test catalog'!$A$2:$A$200,0))="","",INDEX('Test catalog'!$K$2:$K$200,MATCH($AB829,'Test catalog'!$A$2:$A$200,0))),"")</f>
        <v/>
      </c>
      <c r="R829" s="5" t="n"/>
      <c r="S829" s="10">
        <f>IFERROR(IF(INDEX('Test catalog'!$L$2:$L$200,MATCH($AB829,'Test catalog'!$A$2:$A$200,0))="","",INDEX('Test catalog'!$L$2:$L$200,MATCH($AB829,'Test catalog'!$A$2:$A$200,0))),"")</f>
        <v/>
      </c>
      <c r="T829" s="10">
        <f>IFERROR(IF(INDEX('Test catalog'!$M$2:$M$200,MATCH($AB829,'Test catalog'!$A$2:$A$200,0))="","",INDEX('Test catalog'!$M$2:$M$200,MATCH($AB829,'Test catalog'!$A$2:$A$200,0))),"")</f>
        <v/>
      </c>
      <c r="U829" s="10">
        <f>IFERROR(IF(INDEX('Test catalog'!$N$2:$N$200,MATCH($AB829,'Test catalog'!$A$2:$A$200,0))="","",INDEX('Test catalog'!$N$2:$N$200,MATCH($AB829,'Test catalog'!$A$2:$A$200,0))),"")</f>
        <v/>
      </c>
      <c r="V829" s="15" t="n"/>
      <c r="W829" s="5" t="inlineStr">
        <is>
          <t>N</t>
        </is>
      </c>
      <c r="X829" s="5" t="n"/>
      <c r="Y829" s="5" t="n"/>
      <c r="Z829" s="5" t="n"/>
      <c r="AA829" s="10">
        <f>IFERROR(IF(INDEX('Test catalog'!$O$2:$O$200,MATCH($AB829,'Test catalog'!$A$2:$A$200,0))="","",INDEX('Test catalog'!$O$2:$O$200,MATCH($AB829,'Test catalog'!$A$2:$A$200,0))),"")</f>
        <v/>
      </c>
      <c r="AB829" s="10" t="inlineStr">
        <is>
          <t>LIMIT</t>
        </is>
      </c>
      <c r="AC829" s="10" t="inlineStr">
        <is>
          <t>Magnesium Stearate · Impurities &lt;221&gt;</t>
        </is>
      </c>
      <c r="AD829" s="10" t="n"/>
      <c r="AE829" s="10" t="n"/>
    </row>
    <row r="830">
      <c r="A830" s="10" t="inlineStr">
        <is>
          <t>Magnesium Stearate</t>
        </is>
      </c>
      <c r="B830" s="10" t="inlineStr">
        <is>
          <t>RM</t>
        </is>
      </c>
      <c r="C830" s="10" t="inlineStr">
        <is>
          <t>Lubricant</t>
        </is>
      </c>
      <c r="D830" s="10" t="inlineStr">
        <is>
          <t>Sulfate</t>
        </is>
      </c>
      <c r="E830" s="10">
        <f>IF(A830="","",A830&amp;"|"&amp;D830)</f>
        <v/>
      </c>
      <c r="F830" s="5" t="inlineStr">
        <is>
          <t>Y</t>
        </is>
      </c>
      <c r="G830" s="5" t="inlineStr">
        <is>
          <t>Other / bench</t>
        </is>
      </c>
      <c r="H830" s="5" t="inlineStr">
        <is>
          <t>Low</t>
        </is>
      </c>
      <c r="I830" s="5" t="n">
        <v>1</v>
      </c>
      <c r="J830" s="5" t="n"/>
      <c r="K830" s="10">
        <f>IFERROR(IF(INDEX('Test catalog'!$F$2:$F$200,MATCH($AB830,'Test catalog'!$A$2:$A$200,0))="","",INDEX('Test catalog'!$F$2:$F$200,MATCH($AB830,'Test catalog'!$A$2:$A$200,0))),"")</f>
        <v/>
      </c>
      <c r="L830" s="10">
        <f>IFERROR(IF(INDEX('Test catalog'!$G$2:$G$200,MATCH($AB830,'Test catalog'!$A$2:$A$200,0))="","",INDEX('Test catalog'!$G$2:$G$200,MATCH($AB830,'Test catalog'!$A$2:$A$200,0))),"")</f>
        <v/>
      </c>
      <c r="M830" s="10">
        <f>IFERROR(IF(INDEX('Test catalog'!$H$2:$H$200,MATCH($AB830,'Test catalog'!$A$2:$A$200,0))="","",INDEX('Test catalog'!$H$2:$H$200,MATCH($AB830,'Test catalog'!$A$2:$A$200,0))),"")</f>
        <v/>
      </c>
      <c r="N830" s="10">
        <f>IFERROR(IF(INDEX('Test catalog'!$I$2:$I$200,MATCH($AB830,'Test catalog'!$A$2:$A$200,0))="","",INDEX('Test catalog'!$I$2:$I$200,MATCH($AB830,'Test catalog'!$A$2:$A$200,0))),"")</f>
        <v/>
      </c>
      <c r="O830" s="10">
        <f>IFERROR(IF(INDEX('Test catalog'!$J$2:$J$200,MATCH($AB830,'Test catalog'!$A$2:$A$200,0))="","",INDEX('Test catalog'!$J$2:$J$200,MATCH($AB830,'Test catalog'!$A$2:$A$200,0))),"")</f>
        <v/>
      </c>
      <c r="P830" s="14">
        <f>IF(N830="","",IF(OR(M830="",O830=""),N830,(M830+4*N830+O830)/6))</f>
        <v/>
      </c>
      <c r="Q830" s="10">
        <f>IFERROR(IF(INDEX('Test catalog'!$K$2:$K$200,MATCH($AB830,'Test catalog'!$A$2:$A$200,0))="","",INDEX('Test catalog'!$K$2:$K$200,MATCH($AB830,'Test catalog'!$A$2:$A$200,0))),"")</f>
        <v/>
      </c>
      <c r="R830" s="5" t="n"/>
      <c r="S830" s="10">
        <f>IFERROR(IF(INDEX('Test catalog'!$L$2:$L$200,MATCH($AB830,'Test catalog'!$A$2:$A$200,0))="","",INDEX('Test catalog'!$L$2:$L$200,MATCH($AB830,'Test catalog'!$A$2:$A$200,0))),"")</f>
        <v/>
      </c>
      <c r="T830" s="10">
        <f>IFERROR(IF(INDEX('Test catalog'!$M$2:$M$200,MATCH($AB830,'Test catalog'!$A$2:$A$200,0))="","",INDEX('Test catalog'!$M$2:$M$200,MATCH($AB830,'Test catalog'!$A$2:$A$200,0))),"")</f>
        <v/>
      </c>
      <c r="U830" s="10">
        <f>IFERROR(IF(INDEX('Test catalog'!$N$2:$N$200,MATCH($AB830,'Test catalog'!$A$2:$A$200,0))="","",INDEX('Test catalog'!$N$2:$N$200,MATCH($AB830,'Test catalog'!$A$2:$A$200,0))),"")</f>
        <v/>
      </c>
      <c r="V830" s="15" t="n"/>
      <c r="W830" s="5" t="inlineStr">
        <is>
          <t>N</t>
        </is>
      </c>
      <c r="X830" s="5" t="n"/>
      <c r="Y830" s="5" t="n"/>
      <c r="Z830" s="5" t="n"/>
      <c r="AA830" s="10">
        <f>IFERROR(IF(INDEX('Test catalog'!$O$2:$O$200,MATCH($AB830,'Test catalog'!$A$2:$A$200,0))="","",INDEX('Test catalog'!$O$2:$O$200,MATCH($AB830,'Test catalog'!$A$2:$A$200,0))),"")</f>
        <v/>
      </c>
      <c r="AB830" s="10" t="inlineStr">
        <is>
          <t>LIMIT</t>
        </is>
      </c>
      <c r="AC830" s="10" t="inlineStr">
        <is>
          <t>Magnesium Stearate · Impurities &lt;221&gt;</t>
        </is>
      </c>
      <c r="AD830" s="10" t="n"/>
      <c r="AE830" s="10" t="n"/>
    </row>
    <row r="831">
      <c r="A831" s="10" t="inlineStr">
        <is>
          <t>Magnesium Stearate</t>
        </is>
      </c>
      <c r="B831" s="10" t="inlineStr">
        <is>
          <t>RM</t>
        </is>
      </c>
      <c r="C831" s="10" t="inlineStr">
        <is>
          <t>Lubricant</t>
        </is>
      </c>
      <c r="D831" s="10" t="inlineStr">
        <is>
          <t>Limit of Cadmium</t>
        </is>
      </c>
      <c r="E831" s="10">
        <f>IF(A831="","",A831&amp;"|"&amp;D831)</f>
        <v/>
      </c>
      <c r="F831" s="5" t="inlineStr">
        <is>
          <t>Y</t>
        </is>
      </c>
      <c r="G831" s="5" t="inlineStr">
        <is>
          <t>AAS / ICP</t>
        </is>
      </c>
      <c r="H831" s="5" t="inlineStr">
        <is>
          <t>Low</t>
        </is>
      </c>
      <c r="I831" s="5" t="n">
        <v>1</v>
      </c>
      <c r="J831" s="5" t="n"/>
      <c r="K831" s="10">
        <f>IFERROR(IF(INDEX('Test catalog'!$F$2:$F$200,MATCH($AB831,'Test catalog'!$A$2:$A$200,0))="","",INDEX('Test catalog'!$F$2:$F$200,MATCH($AB831,'Test catalog'!$A$2:$A$200,0))),"")</f>
        <v/>
      </c>
      <c r="L831" s="10">
        <f>IFERROR(IF(INDEX('Test catalog'!$G$2:$G$200,MATCH($AB831,'Test catalog'!$A$2:$A$200,0))="","",INDEX('Test catalog'!$G$2:$G$200,MATCH($AB831,'Test catalog'!$A$2:$A$200,0))),"")</f>
        <v/>
      </c>
      <c r="M831" s="10">
        <f>IFERROR(IF(INDEX('Test catalog'!$H$2:$H$200,MATCH($AB831,'Test catalog'!$A$2:$A$200,0))="","",INDEX('Test catalog'!$H$2:$H$200,MATCH($AB831,'Test catalog'!$A$2:$A$200,0))),"")</f>
        <v/>
      </c>
      <c r="N831" s="10">
        <f>IFERROR(IF(INDEX('Test catalog'!$I$2:$I$200,MATCH($AB831,'Test catalog'!$A$2:$A$200,0))="","",INDEX('Test catalog'!$I$2:$I$200,MATCH($AB831,'Test catalog'!$A$2:$A$200,0))),"")</f>
        <v/>
      </c>
      <c r="O831" s="10">
        <f>IFERROR(IF(INDEX('Test catalog'!$J$2:$J$200,MATCH($AB831,'Test catalog'!$A$2:$A$200,0))="","",INDEX('Test catalog'!$J$2:$J$200,MATCH($AB831,'Test catalog'!$A$2:$A$200,0))),"")</f>
        <v/>
      </c>
      <c r="P831" s="14">
        <f>IF(N831="","",IF(OR(M831="",O831=""),N831,(M831+4*N831+O831)/6))</f>
        <v/>
      </c>
      <c r="Q831" s="10">
        <f>IFERROR(IF(INDEX('Test catalog'!$K$2:$K$200,MATCH($AB831,'Test catalog'!$A$2:$A$200,0))="","",INDEX('Test catalog'!$K$2:$K$200,MATCH($AB831,'Test catalog'!$A$2:$A$200,0))),"")</f>
        <v/>
      </c>
      <c r="R831" s="5" t="n"/>
      <c r="S831" s="10">
        <f>IFERROR(IF(INDEX('Test catalog'!$L$2:$L$200,MATCH($AB831,'Test catalog'!$A$2:$A$200,0))="","",INDEX('Test catalog'!$L$2:$L$200,MATCH($AB831,'Test catalog'!$A$2:$A$200,0))),"")</f>
        <v/>
      </c>
      <c r="T831" s="10">
        <f>IFERROR(IF(INDEX('Test catalog'!$M$2:$M$200,MATCH($AB831,'Test catalog'!$A$2:$A$200,0))="","",INDEX('Test catalog'!$M$2:$M$200,MATCH($AB831,'Test catalog'!$A$2:$A$200,0))),"")</f>
        <v/>
      </c>
      <c r="U831" s="10">
        <f>IFERROR(IF(INDEX('Test catalog'!$N$2:$N$200,MATCH($AB831,'Test catalog'!$A$2:$A$200,0))="","",INDEX('Test catalog'!$N$2:$N$200,MATCH($AB831,'Test catalog'!$A$2:$A$200,0))),"")</f>
        <v/>
      </c>
      <c r="V831" s="15" t="n"/>
      <c r="W831" s="5" t="inlineStr">
        <is>
          <t>N</t>
        </is>
      </c>
      <c r="X831" s="5" t="n"/>
      <c r="Y831" s="5" t="n"/>
      <c r="Z831" s="5" t="n"/>
      <c r="AA831" s="10">
        <f>IFERROR(IF(INDEX('Test catalog'!$O$2:$O$200,MATCH($AB831,'Test catalog'!$A$2:$A$200,0))="","",INDEX('Test catalog'!$O$2:$O$200,MATCH($AB831,'Test catalog'!$A$2:$A$200,0))),"")</f>
        <v/>
      </c>
      <c r="AB831" s="10" t="inlineStr">
        <is>
          <t>AAS</t>
        </is>
      </c>
      <c r="AC831" s="10" t="inlineStr">
        <is>
          <t>Magnesium Stearate · Impurities</t>
        </is>
      </c>
      <c r="AD831" s="10" t="n"/>
      <c r="AE831" s="10" t="n"/>
    </row>
    <row r="832">
      <c r="A832" s="10" t="inlineStr">
        <is>
          <t>Magnesium Stearate</t>
        </is>
      </c>
      <c r="B832" s="10" t="inlineStr">
        <is>
          <t>RM</t>
        </is>
      </c>
      <c r="C832" s="10" t="inlineStr">
        <is>
          <t>Lubricant</t>
        </is>
      </c>
      <c r="D832" s="10" t="inlineStr">
        <is>
          <t>Limit of Lead</t>
        </is>
      </c>
      <c r="E832" s="10">
        <f>IF(A832="","",A832&amp;"|"&amp;D832)</f>
        <v/>
      </c>
      <c r="F832" s="5" t="inlineStr">
        <is>
          <t>Y</t>
        </is>
      </c>
      <c r="G832" s="5" t="inlineStr">
        <is>
          <t>AAS / ICP</t>
        </is>
      </c>
      <c r="H832" s="5" t="inlineStr">
        <is>
          <t>Low</t>
        </is>
      </c>
      <c r="I832" s="5" t="n">
        <v>1</v>
      </c>
      <c r="J832" s="5" t="n"/>
      <c r="K832" s="10">
        <f>IFERROR(IF(INDEX('Test catalog'!$F$2:$F$200,MATCH($AB832,'Test catalog'!$A$2:$A$200,0))="","",INDEX('Test catalog'!$F$2:$F$200,MATCH($AB832,'Test catalog'!$A$2:$A$200,0))),"")</f>
        <v/>
      </c>
      <c r="L832" s="10">
        <f>IFERROR(IF(INDEX('Test catalog'!$G$2:$G$200,MATCH($AB832,'Test catalog'!$A$2:$A$200,0))="","",INDEX('Test catalog'!$G$2:$G$200,MATCH($AB832,'Test catalog'!$A$2:$A$200,0))),"")</f>
        <v/>
      </c>
      <c r="M832" s="10">
        <f>IFERROR(IF(INDEX('Test catalog'!$H$2:$H$200,MATCH($AB832,'Test catalog'!$A$2:$A$200,0))="","",INDEX('Test catalog'!$H$2:$H$200,MATCH($AB832,'Test catalog'!$A$2:$A$200,0))),"")</f>
        <v/>
      </c>
      <c r="N832" s="10">
        <f>IFERROR(IF(INDEX('Test catalog'!$I$2:$I$200,MATCH($AB832,'Test catalog'!$A$2:$A$200,0))="","",INDEX('Test catalog'!$I$2:$I$200,MATCH($AB832,'Test catalog'!$A$2:$A$200,0))),"")</f>
        <v/>
      </c>
      <c r="O832" s="10">
        <f>IFERROR(IF(INDEX('Test catalog'!$J$2:$J$200,MATCH($AB832,'Test catalog'!$A$2:$A$200,0))="","",INDEX('Test catalog'!$J$2:$J$200,MATCH($AB832,'Test catalog'!$A$2:$A$200,0))),"")</f>
        <v/>
      </c>
      <c r="P832" s="14">
        <f>IF(N832="","",IF(OR(M832="",O832=""),N832,(M832+4*N832+O832)/6))</f>
        <v/>
      </c>
      <c r="Q832" s="10">
        <f>IFERROR(IF(INDEX('Test catalog'!$K$2:$K$200,MATCH($AB832,'Test catalog'!$A$2:$A$200,0))="","",INDEX('Test catalog'!$K$2:$K$200,MATCH($AB832,'Test catalog'!$A$2:$A$200,0))),"")</f>
        <v/>
      </c>
      <c r="R832" s="5" t="n"/>
      <c r="S832" s="10">
        <f>IFERROR(IF(INDEX('Test catalog'!$L$2:$L$200,MATCH($AB832,'Test catalog'!$A$2:$A$200,0))="","",INDEX('Test catalog'!$L$2:$L$200,MATCH($AB832,'Test catalog'!$A$2:$A$200,0))),"")</f>
        <v/>
      </c>
      <c r="T832" s="10">
        <f>IFERROR(IF(INDEX('Test catalog'!$M$2:$M$200,MATCH($AB832,'Test catalog'!$A$2:$A$200,0))="","",INDEX('Test catalog'!$M$2:$M$200,MATCH($AB832,'Test catalog'!$A$2:$A$200,0))),"")</f>
        <v/>
      </c>
      <c r="U832" s="10">
        <f>IFERROR(IF(INDEX('Test catalog'!$N$2:$N$200,MATCH($AB832,'Test catalog'!$A$2:$A$200,0))="","",INDEX('Test catalog'!$N$2:$N$200,MATCH($AB832,'Test catalog'!$A$2:$A$200,0))),"")</f>
        <v/>
      </c>
      <c r="V832" s="15" t="n"/>
      <c r="W832" s="5" t="inlineStr">
        <is>
          <t>N</t>
        </is>
      </c>
      <c r="X832" s="5" t="n"/>
      <c r="Y832" s="5" t="n"/>
      <c r="Z832" s="5" t="n"/>
      <c r="AA832" s="10">
        <f>IFERROR(IF(INDEX('Test catalog'!$O$2:$O$200,MATCH($AB832,'Test catalog'!$A$2:$A$200,0))="","",INDEX('Test catalog'!$O$2:$O$200,MATCH($AB832,'Test catalog'!$A$2:$A$200,0))),"")</f>
        <v/>
      </c>
      <c r="AB832" s="10" t="inlineStr">
        <is>
          <t>AAS</t>
        </is>
      </c>
      <c r="AC832" s="10" t="inlineStr">
        <is>
          <t>Magnesium Stearate · Impurities</t>
        </is>
      </c>
      <c r="AD832" s="10" t="n"/>
      <c r="AE832" s="10" t="n"/>
    </row>
    <row r="833">
      <c r="A833" s="10" t="inlineStr">
        <is>
          <t>Magnesium Stearate</t>
        </is>
      </c>
      <c r="B833" s="10" t="inlineStr">
        <is>
          <t>RM</t>
        </is>
      </c>
      <c r="C833" s="10" t="inlineStr">
        <is>
          <t>Lubricant</t>
        </is>
      </c>
      <c r="D833" s="10" t="inlineStr">
        <is>
          <t>Limit of Nickel</t>
        </is>
      </c>
      <c r="E833" s="10">
        <f>IF(A833="","",A833&amp;"|"&amp;D833)</f>
        <v/>
      </c>
      <c r="F833" s="5" t="inlineStr">
        <is>
          <t>Y</t>
        </is>
      </c>
      <c r="G833" s="5" t="inlineStr">
        <is>
          <t>AAS / ICP</t>
        </is>
      </c>
      <c r="H833" s="5" t="inlineStr">
        <is>
          <t>Low</t>
        </is>
      </c>
      <c r="I833" s="5" t="n">
        <v>1</v>
      </c>
      <c r="J833" s="5" t="n"/>
      <c r="K833" s="10">
        <f>IFERROR(IF(INDEX('Test catalog'!$F$2:$F$200,MATCH($AB833,'Test catalog'!$A$2:$A$200,0))="","",INDEX('Test catalog'!$F$2:$F$200,MATCH($AB833,'Test catalog'!$A$2:$A$200,0))),"")</f>
        <v/>
      </c>
      <c r="L833" s="10">
        <f>IFERROR(IF(INDEX('Test catalog'!$G$2:$G$200,MATCH($AB833,'Test catalog'!$A$2:$A$200,0))="","",INDEX('Test catalog'!$G$2:$G$200,MATCH($AB833,'Test catalog'!$A$2:$A$200,0))),"")</f>
        <v/>
      </c>
      <c r="M833" s="10">
        <f>IFERROR(IF(INDEX('Test catalog'!$H$2:$H$200,MATCH($AB833,'Test catalog'!$A$2:$A$200,0))="","",INDEX('Test catalog'!$H$2:$H$200,MATCH($AB833,'Test catalog'!$A$2:$A$200,0))),"")</f>
        <v/>
      </c>
      <c r="N833" s="10">
        <f>IFERROR(IF(INDEX('Test catalog'!$I$2:$I$200,MATCH($AB833,'Test catalog'!$A$2:$A$200,0))="","",INDEX('Test catalog'!$I$2:$I$200,MATCH($AB833,'Test catalog'!$A$2:$A$200,0))),"")</f>
        <v/>
      </c>
      <c r="O833" s="10">
        <f>IFERROR(IF(INDEX('Test catalog'!$J$2:$J$200,MATCH($AB833,'Test catalog'!$A$2:$A$200,0))="","",INDEX('Test catalog'!$J$2:$J$200,MATCH($AB833,'Test catalog'!$A$2:$A$200,0))),"")</f>
        <v/>
      </c>
      <c r="P833" s="14">
        <f>IF(N833="","",IF(OR(M833="",O833=""),N833,(M833+4*N833+O833)/6))</f>
        <v/>
      </c>
      <c r="Q833" s="10">
        <f>IFERROR(IF(INDEX('Test catalog'!$K$2:$K$200,MATCH($AB833,'Test catalog'!$A$2:$A$200,0))="","",INDEX('Test catalog'!$K$2:$K$200,MATCH($AB833,'Test catalog'!$A$2:$A$200,0))),"")</f>
        <v/>
      </c>
      <c r="R833" s="5" t="n"/>
      <c r="S833" s="10">
        <f>IFERROR(IF(INDEX('Test catalog'!$L$2:$L$200,MATCH($AB833,'Test catalog'!$A$2:$A$200,0))="","",INDEX('Test catalog'!$L$2:$L$200,MATCH($AB833,'Test catalog'!$A$2:$A$200,0))),"")</f>
        <v/>
      </c>
      <c r="T833" s="10">
        <f>IFERROR(IF(INDEX('Test catalog'!$M$2:$M$200,MATCH($AB833,'Test catalog'!$A$2:$A$200,0))="","",INDEX('Test catalog'!$M$2:$M$200,MATCH($AB833,'Test catalog'!$A$2:$A$200,0))),"")</f>
        <v/>
      </c>
      <c r="U833" s="10">
        <f>IFERROR(IF(INDEX('Test catalog'!$N$2:$N$200,MATCH($AB833,'Test catalog'!$A$2:$A$200,0))="","",INDEX('Test catalog'!$N$2:$N$200,MATCH($AB833,'Test catalog'!$A$2:$A$200,0))),"")</f>
        <v/>
      </c>
      <c r="V833" s="15" t="n"/>
      <c r="W833" s="5" t="inlineStr">
        <is>
          <t>N</t>
        </is>
      </c>
      <c r="X833" s="5" t="n"/>
      <c r="Y833" s="5" t="n"/>
      <c r="Z833" s="5" t="n"/>
      <c r="AA833" s="10">
        <f>IFERROR(IF(INDEX('Test catalog'!$O$2:$O$200,MATCH($AB833,'Test catalog'!$A$2:$A$200,0))="","",INDEX('Test catalog'!$O$2:$O$200,MATCH($AB833,'Test catalog'!$A$2:$A$200,0))),"")</f>
        <v/>
      </c>
      <c r="AB833" s="10" t="inlineStr">
        <is>
          <t>AAS</t>
        </is>
      </c>
      <c r="AC833" s="10" t="inlineStr">
        <is>
          <t>Magnesium Stearate · Impurities</t>
        </is>
      </c>
      <c r="AD833" s="10" t="n"/>
      <c r="AE833" s="10" t="n"/>
    </row>
    <row r="834">
      <c r="A834" s="10" t="inlineStr">
        <is>
          <t>Magnesium Stearate</t>
        </is>
      </c>
      <c r="B834" s="10" t="inlineStr">
        <is>
          <t>RM</t>
        </is>
      </c>
      <c r="C834" s="10" t="inlineStr">
        <is>
          <t>Lubricant</t>
        </is>
      </c>
      <c r="D834" s="10" t="inlineStr">
        <is>
          <t>Acidity or Alkalinity</t>
        </is>
      </c>
      <c r="E834" s="10">
        <f>IF(A834="","",A834&amp;"|"&amp;D834)</f>
        <v/>
      </c>
      <c r="F834" s="5" t="inlineStr">
        <is>
          <t>Y</t>
        </is>
      </c>
      <c r="G834" s="5" t="inlineStr">
        <is>
          <t>Other / bench</t>
        </is>
      </c>
      <c r="H834" s="5" t="inlineStr">
        <is>
          <t>Low</t>
        </is>
      </c>
      <c r="I834" s="5" t="n">
        <v>1</v>
      </c>
      <c r="J834" s="5" t="n"/>
      <c r="K834" s="10">
        <f>IFERROR(IF(INDEX('Test catalog'!$F$2:$F$200,MATCH($AB834,'Test catalog'!$A$2:$A$200,0))="","",INDEX('Test catalog'!$F$2:$F$200,MATCH($AB834,'Test catalog'!$A$2:$A$200,0))),"")</f>
        <v/>
      </c>
      <c r="L834" s="10">
        <f>IFERROR(IF(INDEX('Test catalog'!$G$2:$G$200,MATCH($AB834,'Test catalog'!$A$2:$A$200,0))="","",INDEX('Test catalog'!$G$2:$G$200,MATCH($AB834,'Test catalog'!$A$2:$A$200,0))),"")</f>
        <v/>
      </c>
      <c r="M834" s="10">
        <f>IFERROR(IF(INDEX('Test catalog'!$H$2:$H$200,MATCH($AB834,'Test catalog'!$A$2:$A$200,0))="","",INDEX('Test catalog'!$H$2:$H$200,MATCH($AB834,'Test catalog'!$A$2:$A$200,0))),"")</f>
        <v/>
      </c>
      <c r="N834" s="10">
        <f>IFERROR(IF(INDEX('Test catalog'!$I$2:$I$200,MATCH($AB834,'Test catalog'!$A$2:$A$200,0))="","",INDEX('Test catalog'!$I$2:$I$200,MATCH($AB834,'Test catalog'!$A$2:$A$200,0))),"")</f>
        <v/>
      </c>
      <c r="O834" s="10">
        <f>IFERROR(IF(INDEX('Test catalog'!$J$2:$J$200,MATCH($AB834,'Test catalog'!$A$2:$A$200,0))="","",INDEX('Test catalog'!$J$2:$J$200,MATCH($AB834,'Test catalog'!$A$2:$A$200,0))),"")</f>
        <v/>
      </c>
      <c r="P834" s="14">
        <f>IF(N834="","",IF(OR(M834="",O834=""),N834,(M834+4*N834+O834)/6))</f>
        <v/>
      </c>
      <c r="Q834" s="10">
        <f>IFERROR(IF(INDEX('Test catalog'!$K$2:$K$200,MATCH($AB834,'Test catalog'!$A$2:$A$200,0))="","",INDEX('Test catalog'!$K$2:$K$200,MATCH($AB834,'Test catalog'!$A$2:$A$200,0))),"")</f>
        <v/>
      </c>
      <c r="R834" s="5" t="n"/>
      <c r="S834" s="10">
        <f>IFERROR(IF(INDEX('Test catalog'!$L$2:$L$200,MATCH($AB834,'Test catalog'!$A$2:$A$200,0))="","",INDEX('Test catalog'!$L$2:$L$200,MATCH($AB834,'Test catalog'!$A$2:$A$200,0))),"")</f>
        <v/>
      </c>
      <c r="T834" s="10">
        <f>IFERROR(IF(INDEX('Test catalog'!$M$2:$M$200,MATCH($AB834,'Test catalog'!$A$2:$A$200,0))="","",INDEX('Test catalog'!$M$2:$M$200,MATCH($AB834,'Test catalog'!$A$2:$A$200,0))),"")</f>
        <v/>
      </c>
      <c r="U834" s="10">
        <f>IFERROR(IF(INDEX('Test catalog'!$N$2:$N$200,MATCH($AB834,'Test catalog'!$A$2:$A$200,0))="","",INDEX('Test catalog'!$N$2:$N$200,MATCH($AB834,'Test catalog'!$A$2:$A$200,0))),"")</f>
        <v/>
      </c>
      <c r="V834" s="15" t="n"/>
      <c r="W834" s="5" t="inlineStr">
        <is>
          <t>N</t>
        </is>
      </c>
      <c r="X834" s="5" t="n"/>
      <c r="Y834" s="5" t="n"/>
      <c r="Z834" s="5" t="n"/>
      <c r="AA834" s="10">
        <f>IFERROR(IF(INDEX('Test catalog'!$O$2:$O$200,MATCH($AB834,'Test catalog'!$A$2:$A$200,0))="","",INDEX('Test catalog'!$O$2:$O$200,MATCH($AB834,'Test catalog'!$A$2:$A$200,0))),"")</f>
        <v/>
      </c>
      <c r="AB834" s="10" t="inlineStr">
        <is>
          <t>ACID</t>
        </is>
      </c>
      <c r="AC834" s="10" t="inlineStr">
        <is>
          <t>Magnesium Stearate · Specific Tests</t>
        </is>
      </c>
      <c r="AD834" s="10" t="n"/>
      <c r="AE834" s="10" t="n"/>
    </row>
    <row r="835">
      <c r="A835" s="10" t="inlineStr">
        <is>
          <t>Magnesium Stearate</t>
        </is>
      </c>
      <c r="B835" s="10" t="inlineStr">
        <is>
          <t>RM</t>
        </is>
      </c>
      <c r="C835" s="10" t="inlineStr">
        <is>
          <t>Lubricant</t>
        </is>
      </c>
      <c r="D835" s="10" t="inlineStr">
        <is>
          <t>Specific Surface Area</t>
        </is>
      </c>
      <c r="E835" s="10">
        <f>IF(A835="","",A835&amp;"|"&amp;D835)</f>
        <v/>
      </c>
      <c r="F835" s="5" t="inlineStr">
        <is>
          <t>Y</t>
        </is>
      </c>
      <c r="G835" s="5" t="inlineStr">
        <is>
          <t>Other / bench</t>
        </is>
      </c>
      <c r="H835" s="5" t="inlineStr">
        <is>
          <t>Low</t>
        </is>
      </c>
      <c r="I835" s="5" t="n">
        <v>1</v>
      </c>
      <c r="J835" s="5" t="n"/>
      <c r="K835" s="10">
        <f>IFERROR(IF(INDEX('Test catalog'!$F$2:$F$200,MATCH($AB835,'Test catalog'!$A$2:$A$200,0))="","",INDEX('Test catalog'!$F$2:$F$200,MATCH($AB835,'Test catalog'!$A$2:$A$200,0))),"")</f>
        <v/>
      </c>
      <c r="L835" s="10">
        <f>IFERROR(IF(INDEX('Test catalog'!$G$2:$G$200,MATCH($AB835,'Test catalog'!$A$2:$A$200,0))="","",INDEX('Test catalog'!$G$2:$G$200,MATCH($AB835,'Test catalog'!$A$2:$A$200,0))),"")</f>
        <v/>
      </c>
      <c r="M835" s="10">
        <f>IFERROR(IF(INDEX('Test catalog'!$H$2:$H$200,MATCH($AB835,'Test catalog'!$A$2:$A$200,0))="","",INDEX('Test catalog'!$H$2:$H$200,MATCH($AB835,'Test catalog'!$A$2:$A$200,0))),"")</f>
        <v/>
      </c>
      <c r="N835" s="10">
        <f>IFERROR(IF(INDEX('Test catalog'!$I$2:$I$200,MATCH($AB835,'Test catalog'!$A$2:$A$200,0))="","",INDEX('Test catalog'!$I$2:$I$200,MATCH($AB835,'Test catalog'!$A$2:$A$200,0))),"")</f>
        <v/>
      </c>
      <c r="O835" s="10">
        <f>IFERROR(IF(INDEX('Test catalog'!$J$2:$J$200,MATCH($AB835,'Test catalog'!$A$2:$A$200,0))="","",INDEX('Test catalog'!$J$2:$J$200,MATCH($AB835,'Test catalog'!$A$2:$A$200,0))),"")</f>
        <v/>
      </c>
      <c r="P835" s="14">
        <f>IF(N835="","",IF(OR(M835="",O835=""),N835,(M835+4*N835+O835)/6))</f>
        <v/>
      </c>
      <c r="Q835" s="10">
        <f>IFERROR(IF(INDEX('Test catalog'!$K$2:$K$200,MATCH($AB835,'Test catalog'!$A$2:$A$200,0))="","",INDEX('Test catalog'!$K$2:$K$200,MATCH($AB835,'Test catalog'!$A$2:$A$200,0))),"")</f>
        <v/>
      </c>
      <c r="R835" s="5" t="n"/>
      <c r="S835" s="10">
        <f>IFERROR(IF(INDEX('Test catalog'!$L$2:$L$200,MATCH($AB835,'Test catalog'!$A$2:$A$200,0))="","",INDEX('Test catalog'!$L$2:$L$200,MATCH($AB835,'Test catalog'!$A$2:$A$200,0))),"")</f>
        <v/>
      </c>
      <c r="T835" s="10">
        <f>IFERROR(IF(INDEX('Test catalog'!$M$2:$M$200,MATCH($AB835,'Test catalog'!$A$2:$A$200,0))="","",INDEX('Test catalog'!$M$2:$M$200,MATCH($AB835,'Test catalog'!$A$2:$A$200,0))),"")</f>
        <v/>
      </c>
      <c r="U835" s="10">
        <f>IFERROR(IF(INDEX('Test catalog'!$N$2:$N$200,MATCH($AB835,'Test catalog'!$A$2:$A$200,0))="","",INDEX('Test catalog'!$N$2:$N$200,MATCH($AB835,'Test catalog'!$A$2:$A$200,0))),"")</f>
        <v/>
      </c>
      <c r="V835" s="15" t="n"/>
      <c r="W835" s="5" t="inlineStr">
        <is>
          <t>N</t>
        </is>
      </c>
      <c r="X835" s="5" t="n"/>
      <c r="Y835" s="5" t="n"/>
      <c r="Z835" s="5" t="n"/>
      <c r="AA835" s="10">
        <f>IFERROR(IF(INDEX('Test catalog'!$O$2:$O$200,MATCH($AB835,'Test catalog'!$A$2:$A$200,0))="","",INDEX('Test catalog'!$O$2:$O$200,MATCH($AB835,'Test catalog'!$A$2:$A$200,0))),"")</f>
        <v/>
      </c>
      <c r="AB835" s="10" t="inlineStr">
        <is>
          <t>PHYS</t>
        </is>
      </c>
      <c r="AC835" s="10" t="inlineStr">
        <is>
          <t>Magnesium Stearate · Specific Tests &lt;846&gt;</t>
        </is>
      </c>
      <c r="AD835" s="10" t="n"/>
      <c r="AE835" s="10" t="n"/>
    </row>
    <row r="836">
      <c r="A836" s="10" t="inlineStr">
        <is>
          <t>Magnesium Stearate</t>
        </is>
      </c>
      <c r="B836" s="10" t="inlineStr">
        <is>
          <t>RM</t>
        </is>
      </c>
      <c r="C836" s="10" t="inlineStr">
        <is>
          <t>Lubricant</t>
        </is>
      </c>
      <c r="D836" s="10" t="inlineStr">
        <is>
          <t>Loss on Drying</t>
        </is>
      </c>
      <c r="E836" s="10">
        <f>IF(A836="","",A836&amp;"|"&amp;D836)</f>
        <v/>
      </c>
      <c r="F836" s="5" t="inlineStr">
        <is>
          <t>Y</t>
        </is>
      </c>
      <c r="G836" s="5" t="inlineStr">
        <is>
          <t>Other / bench</t>
        </is>
      </c>
      <c r="H836" s="5" t="inlineStr">
        <is>
          <t>Low</t>
        </is>
      </c>
      <c r="I836" s="5" t="n">
        <v>1</v>
      </c>
      <c r="J836" s="5" t="n"/>
      <c r="K836" s="10">
        <f>IFERROR(IF(INDEX('Test catalog'!$F$2:$F$200,MATCH($AB836,'Test catalog'!$A$2:$A$200,0))="","",INDEX('Test catalog'!$F$2:$F$200,MATCH($AB836,'Test catalog'!$A$2:$A$200,0))),"")</f>
        <v/>
      </c>
      <c r="L836" s="10">
        <f>IFERROR(IF(INDEX('Test catalog'!$G$2:$G$200,MATCH($AB836,'Test catalog'!$A$2:$A$200,0))="","",INDEX('Test catalog'!$G$2:$G$200,MATCH($AB836,'Test catalog'!$A$2:$A$200,0))),"")</f>
        <v/>
      </c>
      <c r="M836" s="10">
        <f>IFERROR(IF(INDEX('Test catalog'!$H$2:$H$200,MATCH($AB836,'Test catalog'!$A$2:$A$200,0))="","",INDEX('Test catalog'!$H$2:$H$200,MATCH($AB836,'Test catalog'!$A$2:$A$200,0))),"")</f>
        <v/>
      </c>
      <c r="N836" s="10">
        <f>IFERROR(IF(INDEX('Test catalog'!$I$2:$I$200,MATCH($AB836,'Test catalog'!$A$2:$A$200,0))="","",INDEX('Test catalog'!$I$2:$I$200,MATCH($AB836,'Test catalog'!$A$2:$A$200,0))),"")</f>
        <v/>
      </c>
      <c r="O836" s="10">
        <f>IFERROR(IF(INDEX('Test catalog'!$J$2:$J$200,MATCH($AB836,'Test catalog'!$A$2:$A$200,0))="","",INDEX('Test catalog'!$J$2:$J$200,MATCH($AB836,'Test catalog'!$A$2:$A$200,0))),"")</f>
        <v/>
      </c>
      <c r="P836" s="14">
        <f>IF(N836="","",IF(OR(M836="",O836=""),N836,(M836+4*N836+O836)/6))</f>
        <v/>
      </c>
      <c r="Q836" s="10">
        <f>IFERROR(IF(INDEX('Test catalog'!$K$2:$K$200,MATCH($AB836,'Test catalog'!$A$2:$A$200,0))="","",INDEX('Test catalog'!$K$2:$K$200,MATCH($AB836,'Test catalog'!$A$2:$A$200,0))),"")</f>
        <v/>
      </c>
      <c r="R836" s="5" t="n"/>
      <c r="S836" s="10">
        <f>IFERROR(IF(INDEX('Test catalog'!$L$2:$L$200,MATCH($AB836,'Test catalog'!$A$2:$A$200,0))="","",INDEX('Test catalog'!$L$2:$L$200,MATCH($AB836,'Test catalog'!$A$2:$A$200,0))),"")</f>
        <v/>
      </c>
      <c r="T836" s="10">
        <f>IFERROR(IF(INDEX('Test catalog'!$M$2:$M$200,MATCH($AB836,'Test catalog'!$A$2:$A$200,0))="","",INDEX('Test catalog'!$M$2:$M$200,MATCH($AB836,'Test catalog'!$A$2:$A$200,0))),"")</f>
        <v/>
      </c>
      <c r="U836" s="10">
        <f>IFERROR(IF(INDEX('Test catalog'!$N$2:$N$200,MATCH($AB836,'Test catalog'!$A$2:$A$200,0))="","",INDEX('Test catalog'!$N$2:$N$200,MATCH($AB836,'Test catalog'!$A$2:$A$200,0))),"")</f>
        <v/>
      </c>
      <c r="V836" s="15" t="n"/>
      <c r="W836" s="5" t="inlineStr">
        <is>
          <t>N</t>
        </is>
      </c>
      <c r="X836" s="5" t="n"/>
      <c r="Y836" s="5" t="n"/>
      <c r="Z836" s="5" t="n"/>
      <c r="AA836" s="10">
        <f>IFERROR(IF(INDEX('Test catalog'!$O$2:$O$200,MATCH($AB836,'Test catalog'!$A$2:$A$200,0))="","",INDEX('Test catalog'!$O$2:$O$200,MATCH($AB836,'Test catalog'!$A$2:$A$200,0))),"")</f>
        <v/>
      </c>
      <c r="AB836" s="10" t="inlineStr">
        <is>
          <t>LOD</t>
        </is>
      </c>
      <c r="AC836" s="10" t="inlineStr">
        <is>
          <t>Magnesium Stearate · Specific Tests &lt;731&gt;</t>
        </is>
      </c>
      <c r="AD836" s="10" t="n"/>
      <c r="AE836" s="10" t="n"/>
    </row>
    <row r="837">
      <c r="A837" s="10" t="inlineStr">
        <is>
          <t>Magnesium Stearate</t>
        </is>
      </c>
      <c r="B837" s="10" t="inlineStr">
        <is>
          <t>RM</t>
        </is>
      </c>
      <c r="C837" s="10" t="inlineStr">
        <is>
          <t>Lubricant</t>
        </is>
      </c>
      <c r="D837" s="10" t="inlineStr">
        <is>
          <t>Relative Content of Stearic Acid and Palmitic Acid (GC)</t>
        </is>
      </c>
      <c r="E837" s="10">
        <f>IF(A837="","",A837&amp;"|"&amp;D837)</f>
        <v/>
      </c>
      <c r="F837" s="5" t="inlineStr">
        <is>
          <t>Y</t>
        </is>
      </c>
      <c r="G837" s="5" t="inlineStr">
        <is>
          <t>GC</t>
        </is>
      </c>
      <c r="H837" s="5" t="inlineStr">
        <is>
          <t>Medium</t>
        </is>
      </c>
      <c r="I837" s="5" t="n">
        <v>1</v>
      </c>
      <c r="J837" s="5" t="n"/>
      <c r="K837" s="5" t="n"/>
      <c r="L837" s="5" t="n"/>
      <c r="M837" s="5" t="n"/>
      <c r="N837" s="5" t="n"/>
      <c r="O837" s="5" t="n"/>
      <c r="P837" s="14">
        <f>IF(N837="","",IF(OR(M837="",O837=""),N837,(M837+4*N837+O837)/6))</f>
        <v/>
      </c>
      <c r="Q837" s="5" t="n"/>
      <c r="R837" s="5" t="n"/>
      <c r="S837" s="5" t="n"/>
      <c r="T837" s="5" t="n"/>
      <c r="U837" s="5" t="n"/>
      <c r="V837" s="15" t="n"/>
      <c r="W837" s="5" t="inlineStr">
        <is>
          <t>N</t>
        </is>
      </c>
      <c r="X837" s="5" t="n"/>
      <c r="Y837" s="5" t="n"/>
      <c r="Z837" s="5" t="n"/>
      <c r="AA837" s="5" t="n"/>
      <c r="AB837" s="10" t="n"/>
      <c r="AC837" s="10" t="inlineStr">
        <is>
          <t>Magnesium Stearate · Specific Tests</t>
        </is>
      </c>
      <c r="AD837" s="10" t="n"/>
      <c r="AE837" s="10" t="n"/>
    </row>
    <row r="838">
      <c r="A838" s="10" t="inlineStr">
        <is>
          <t>Sodium Stearyl Fumarate</t>
        </is>
      </c>
      <c r="B838" s="10" t="inlineStr">
        <is>
          <t>RM</t>
        </is>
      </c>
      <c r="C838" s="10" t="inlineStr">
        <is>
          <t>Lubricant</t>
        </is>
      </c>
      <c r="D838" s="10" t="inlineStr">
        <is>
          <t>Appearance / description and solubility</t>
        </is>
      </c>
      <c r="E838" s="10">
        <f>IF(A838="","",A838&amp;"|"&amp;D838)</f>
        <v/>
      </c>
      <c r="F838" s="5" t="inlineStr">
        <is>
          <t>Y</t>
        </is>
      </c>
      <c r="G838" s="5" t="inlineStr">
        <is>
          <t>Other / bench</t>
        </is>
      </c>
      <c r="H838" s="5" t="inlineStr">
        <is>
          <t>Low</t>
        </is>
      </c>
      <c r="I838" s="5" t="n">
        <v>1</v>
      </c>
      <c r="J838" s="5" t="n"/>
      <c r="K838" s="10">
        <f>IFERROR(IF(INDEX('Test catalog'!$F$2:$F$200,MATCH($AB838,'Test catalog'!$A$2:$A$200,0))="","",INDEX('Test catalog'!$F$2:$F$200,MATCH($AB838,'Test catalog'!$A$2:$A$200,0))),"")</f>
        <v/>
      </c>
      <c r="L838" s="10">
        <f>IFERROR(IF(INDEX('Test catalog'!$G$2:$G$200,MATCH($AB838,'Test catalog'!$A$2:$A$200,0))="","",INDEX('Test catalog'!$G$2:$G$200,MATCH($AB838,'Test catalog'!$A$2:$A$200,0))),"")</f>
        <v/>
      </c>
      <c r="M838" s="10">
        <f>IFERROR(IF(INDEX('Test catalog'!$H$2:$H$200,MATCH($AB838,'Test catalog'!$A$2:$A$200,0))="","",INDEX('Test catalog'!$H$2:$H$200,MATCH($AB838,'Test catalog'!$A$2:$A$200,0))),"")</f>
        <v/>
      </c>
      <c r="N838" s="10">
        <f>IFERROR(IF(INDEX('Test catalog'!$I$2:$I$200,MATCH($AB838,'Test catalog'!$A$2:$A$200,0))="","",INDEX('Test catalog'!$I$2:$I$200,MATCH($AB838,'Test catalog'!$A$2:$A$200,0))),"")</f>
        <v/>
      </c>
      <c r="O838" s="10">
        <f>IFERROR(IF(INDEX('Test catalog'!$J$2:$J$200,MATCH($AB838,'Test catalog'!$A$2:$A$200,0))="","",INDEX('Test catalog'!$J$2:$J$200,MATCH($AB838,'Test catalog'!$A$2:$A$200,0))),"")</f>
        <v/>
      </c>
      <c r="P838" s="14">
        <f>IF(N838="","",IF(OR(M838="",O838=""),N838,(M838+4*N838+O838)/6))</f>
        <v/>
      </c>
      <c r="Q838" s="10">
        <f>IFERROR(IF(INDEX('Test catalog'!$K$2:$K$200,MATCH($AB838,'Test catalog'!$A$2:$A$200,0))="","",INDEX('Test catalog'!$K$2:$K$200,MATCH($AB838,'Test catalog'!$A$2:$A$200,0))),"")</f>
        <v/>
      </c>
      <c r="R838" s="5" t="n"/>
      <c r="S838" s="10">
        <f>IFERROR(IF(INDEX('Test catalog'!$L$2:$L$200,MATCH($AB838,'Test catalog'!$A$2:$A$200,0))="","",INDEX('Test catalog'!$L$2:$L$200,MATCH($AB838,'Test catalog'!$A$2:$A$200,0))),"")</f>
        <v/>
      </c>
      <c r="T838" s="10">
        <f>IFERROR(IF(INDEX('Test catalog'!$M$2:$M$200,MATCH($AB838,'Test catalog'!$A$2:$A$200,0))="","",INDEX('Test catalog'!$M$2:$M$200,MATCH($AB838,'Test catalog'!$A$2:$A$200,0))),"")</f>
        <v/>
      </c>
      <c r="U838" s="10">
        <f>IFERROR(IF(INDEX('Test catalog'!$N$2:$N$200,MATCH($AB838,'Test catalog'!$A$2:$A$200,0))="","",INDEX('Test catalog'!$N$2:$N$200,MATCH($AB838,'Test catalog'!$A$2:$A$200,0))),"")</f>
        <v/>
      </c>
      <c r="V838" s="15" t="n"/>
      <c r="W838" s="5" t="inlineStr">
        <is>
          <t>N</t>
        </is>
      </c>
      <c r="X838" s="5" t="n"/>
      <c r="Y838" s="5" t="n"/>
      <c r="Z838" s="5" t="n"/>
      <c r="AA838" s="10">
        <f>IFERROR(IF(INDEX('Test catalog'!$O$2:$O$200,MATCH($AB838,'Test catalog'!$A$2:$A$200,0))="","",INDEX('Test catalog'!$O$2:$O$200,MATCH($AB838,'Test catalog'!$A$2:$A$200,0))),"")</f>
        <v/>
      </c>
      <c r="AB838" s="10" t="inlineStr">
        <is>
          <t>APPEAR</t>
        </is>
      </c>
      <c r="AC838" s="10" t="inlineStr">
        <is>
          <t>Lab practice (not a USP test)</t>
        </is>
      </c>
      <c r="AD838" s="10" t="n"/>
      <c r="AE838" s="10" t="n"/>
    </row>
    <row r="839">
      <c r="A839" s="10" t="inlineStr">
        <is>
          <t>Sodium Stearyl Fumarate</t>
        </is>
      </c>
      <c r="B839" s="10" t="inlineStr">
        <is>
          <t>RM</t>
        </is>
      </c>
      <c r="C839" s="10" t="inlineStr">
        <is>
          <t>Lubricant</t>
        </is>
      </c>
      <c r="D839" s="10" t="inlineStr">
        <is>
          <t>ID - IR spectrum</t>
        </is>
      </c>
      <c r="E839" s="10">
        <f>IF(A839="","",A839&amp;"|"&amp;D839)</f>
        <v/>
      </c>
      <c r="F839" s="5" t="inlineStr">
        <is>
          <t>Y</t>
        </is>
      </c>
      <c r="G839" s="5" t="inlineStr">
        <is>
          <t>Other / bench</t>
        </is>
      </c>
      <c r="H839" s="5" t="inlineStr">
        <is>
          <t>Low</t>
        </is>
      </c>
      <c r="I839" s="5" t="n">
        <v>1</v>
      </c>
      <c r="J839" s="5" t="n"/>
      <c r="K839" s="10">
        <f>IFERROR(IF(INDEX('Test catalog'!$F$2:$F$200,MATCH($AB839,'Test catalog'!$A$2:$A$200,0))="","",INDEX('Test catalog'!$F$2:$F$200,MATCH($AB839,'Test catalog'!$A$2:$A$200,0))),"")</f>
        <v/>
      </c>
      <c r="L839" s="10">
        <f>IFERROR(IF(INDEX('Test catalog'!$G$2:$G$200,MATCH($AB839,'Test catalog'!$A$2:$A$200,0))="","",INDEX('Test catalog'!$G$2:$G$200,MATCH($AB839,'Test catalog'!$A$2:$A$200,0))),"")</f>
        <v/>
      </c>
      <c r="M839" s="10">
        <f>IFERROR(IF(INDEX('Test catalog'!$H$2:$H$200,MATCH($AB839,'Test catalog'!$A$2:$A$200,0))="","",INDEX('Test catalog'!$H$2:$H$200,MATCH($AB839,'Test catalog'!$A$2:$A$200,0))),"")</f>
        <v/>
      </c>
      <c r="N839" s="10">
        <f>IFERROR(IF(INDEX('Test catalog'!$I$2:$I$200,MATCH($AB839,'Test catalog'!$A$2:$A$200,0))="","",INDEX('Test catalog'!$I$2:$I$200,MATCH($AB839,'Test catalog'!$A$2:$A$200,0))),"")</f>
        <v/>
      </c>
      <c r="O839" s="10">
        <f>IFERROR(IF(INDEX('Test catalog'!$J$2:$J$200,MATCH($AB839,'Test catalog'!$A$2:$A$200,0))="","",INDEX('Test catalog'!$J$2:$J$200,MATCH($AB839,'Test catalog'!$A$2:$A$200,0))),"")</f>
        <v/>
      </c>
      <c r="P839" s="14">
        <f>IF(N839="","",IF(OR(M839="",O839=""),N839,(M839+4*N839+O839)/6))</f>
        <v/>
      </c>
      <c r="Q839" s="10">
        <f>IFERROR(IF(INDEX('Test catalog'!$K$2:$K$200,MATCH($AB839,'Test catalog'!$A$2:$A$200,0))="","",INDEX('Test catalog'!$K$2:$K$200,MATCH($AB839,'Test catalog'!$A$2:$A$200,0))),"")</f>
        <v/>
      </c>
      <c r="R839" s="5" t="n"/>
      <c r="S839" s="10">
        <f>IFERROR(IF(INDEX('Test catalog'!$L$2:$L$200,MATCH($AB839,'Test catalog'!$A$2:$A$200,0))="","",INDEX('Test catalog'!$L$2:$L$200,MATCH($AB839,'Test catalog'!$A$2:$A$200,0))),"")</f>
        <v/>
      </c>
      <c r="T839" s="10">
        <f>IFERROR(IF(INDEX('Test catalog'!$M$2:$M$200,MATCH($AB839,'Test catalog'!$A$2:$A$200,0))="","",INDEX('Test catalog'!$M$2:$M$200,MATCH($AB839,'Test catalog'!$A$2:$A$200,0))),"")</f>
        <v/>
      </c>
      <c r="U839" s="10">
        <f>IFERROR(IF(INDEX('Test catalog'!$N$2:$N$200,MATCH($AB839,'Test catalog'!$A$2:$A$200,0))="","",INDEX('Test catalog'!$N$2:$N$200,MATCH($AB839,'Test catalog'!$A$2:$A$200,0))),"")</f>
        <v/>
      </c>
      <c r="V839" s="15" t="n"/>
      <c r="W839" s="5" t="inlineStr">
        <is>
          <t>N</t>
        </is>
      </c>
      <c r="X839" s="5" t="n"/>
      <c r="Y839" s="5" t="n"/>
      <c r="Z839" s="5" t="n"/>
      <c r="AA839" s="10">
        <f>IFERROR(IF(INDEX('Test catalog'!$O$2:$O$200,MATCH($AB839,'Test catalog'!$A$2:$A$200,0))="","",INDEX('Test catalog'!$O$2:$O$200,MATCH($AB839,'Test catalog'!$A$2:$A$200,0))),"")</f>
        <v/>
      </c>
      <c r="AB839" s="10" t="inlineStr">
        <is>
          <t>ID_IR</t>
        </is>
      </c>
      <c r="AC839" s="10" t="inlineStr">
        <is>
          <t>Sodium Stearyl Fumarate · Identification &lt;197&gt;</t>
        </is>
      </c>
      <c r="AD839" s="10" t="n"/>
      <c r="AE839" s="10" t="n"/>
    </row>
    <row r="840">
      <c r="A840" s="10" t="inlineStr">
        <is>
          <t>Sodium Stearyl Fumarate</t>
        </is>
      </c>
      <c r="B840" s="10" t="inlineStr">
        <is>
          <t>RM</t>
        </is>
      </c>
      <c r="C840" s="10" t="inlineStr">
        <is>
          <t>Lubricant</t>
        </is>
      </c>
      <c r="D840" s="10" t="inlineStr">
        <is>
          <t>Assay</t>
        </is>
      </c>
      <c r="E840" s="10">
        <f>IF(A840="","",A840&amp;"|"&amp;D840)</f>
        <v/>
      </c>
      <c r="F840" s="5" t="inlineStr">
        <is>
          <t>Y</t>
        </is>
      </c>
      <c r="G840" s="5" t="inlineStr">
        <is>
          <t>Other / bench</t>
        </is>
      </c>
      <c r="H840" s="5" t="inlineStr">
        <is>
          <t>Low</t>
        </is>
      </c>
      <c r="I840" s="5" t="n">
        <v>1</v>
      </c>
      <c r="J840" s="5" t="n"/>
      <c r="K840" s="10">
        <f>IFERROR(IF(INDEX('Test catalog'!$F$2:$F$200,MATCH($AB840,'Test catalog'!$A$2:$A$200,0))="","",INDEX('Test catalog'!$F$2:$F$200,MATCH($AB840,'Test catalog'!$A$2:$A$200,0))),"")</f>
        <v/>
      </c>
      <c r="L840" s="10">
        <f>IFERROR(IF(INDEX('Test catalog'!$G$2:$G$200,MATCH($AB840,'Test catalog'!$A$2:$A$200,0))="","",INDEX('Test catalog'!$G$2:$G$200,MATCH($AB840,'Test catalog'!$A$2:$A$200,0))),"")</f>
        <v/>
      </c>
      <c r="M840" s="10">
        <f>IFERROR(IF(INDEX('Test catalog'!$H$2:$H$200,MATCH($AB840,'Test catalog'!$A$2:$A$200,0))="","",INDEX('Test catalog'!$H$2:$H$200,MATCH($AB840,'Test catalog'!$A$2:$A$200,0))),"")</f>
        <v/>
      </c>
      <c r="N840" s="10">
        <f>IFERROR(IF(INDEX('Test catalog'!$I$2:$I$200,MATCH($AB840,'Test catalog'!$A$2:$A$200,0))="","",INDEX('Test catalog'!$I$2:$I$200,MATCH($AB840,'Test catalog'!$A$2:$A$200,0))),"")</f>
        <v/>
      </c>
      <c r="O840" s="10">
        <f>IFERROR(IF(INDEX('Test catalog'!$J$2:$J$200,MATCH($AB840,'Test catalog'!$A$2:$A$200,0))="","",INDEX('Test catalog'!$J$2:$J$200,MATCH($AB840,'Test catalog'!$A$2:$A$200,0))),"")</f>
        <v/>
      </c>
      <c r="P840" s="14">
        <f>IF(N840="","",IF(OR(M840="",O840=""),N840,(M840+4*N840+O840)/6))</f>
        <v/>
      </c>
      <c r="Q840" s="10">
        <f>IFERROR(IF(INDEX('Test catalog'!$K$2:$K$200,MATCH($AB840,'Test catalog'!$A$2:$A$200,0))="","",INDEX('Test catalog'!$K$2:$K$200,MATCH($AB840,'Test catalog'!$A$2:$A$200,0))),"")</f>
        <v/>
      </c>
      <c r="R840" s="5" t="n"/>
      <c r="S840" s="10">
        <f>IFERROR(IF(INDEX('Test catalog'!$L$2:$L$200,MATCH($AB840,'Test catalog'!$A$2:$A$200,0))="","",INDEX('Test catalog'!$L$2:$L$200,MATCH($AB840,'Test catalog'!$A$2:$A$200,0))),"")</f>
        <v/>
      </c>
      <c r="T840" s="10">
        <f>IFERROR(IF(INDEX('Test catalog'!$M$2:$M$200,MATCH($AB840,'Test catalog'!$A$2:$A$200,0))="","",INDEX('Test catalog'!$M$2:$M$200,MATCH($AB840,'Test catalog'!$A$2:$A$200,0))),"")</f>
        <v/>
      </c>
      <c r="U840" s="10">
        <f>IFERROR(IF(INDEX('Test catalog'!$N$2:$N$200,MATCH($AB840,'Test catalog'!$A$2:$A$200,0))="","",INDEX('Test catalog'!$N$2:$N$200,MATCH($AB840,'Test catalog'!$A$2:$A$200,0))),"")</f>
        <v/>
      </c>
      <c r="V840" s="15" t="n"/>
      <c r="W840" s="5" t="inlineStr">
        <is>
          <t>N</t>
        </is>
      </c>
      <c r="X840" s="5" t="n"/>
      <c r="Y840" s="5" t="n"/>
      <c r="Z840" s="5" t="n"/>
      <c r="AA840" s="10">
        <f>IFERROR(IF(INDEX('Test catalog'!$O$2:$O$200,MATCH($AB840,'Test catalog'!$A$2:$A$200,0))="","",INDEX('Test catalog'!$O$2:$O$200,MATCH($AB840,'Test catalog'!$A$2:$A$200,0))),"")</f>
        <v/>
      </c>
      <c r="AB840" s="10" t="inlineStr">
        <is>
          <t>TITR</t>
        </is>
      </c>
      <c r="AC840" s="10" t="inlineStr">
        <is>
          <t>Sodium Stearyl Fumarate · Assay</t>
        </is>
      </c>
      <c r="AD840" s="10" t="n"/>
      <c r="AE840" s="10" t="n"/>
    </row>
    <row r="841">
      <c r="A841" s="10" t="inlineStr">
        <is>
          <t>Sodium Stearyl Fumarate</t>
        </is>
      </c>
      <c r="B841" s="10" t="inlineStr">
        <is>
          <t>RM</t>
        </is>
      </c>
      <c r="C841" s="10" t="inlineStr">
        <is>
          <t>Lubricant</t>
        </is>
      </c>
      <c r="D841" s="10" t="inlineStr">
        <is>
          <t>Limit of Sodium Stearyl Maleate and Stearyl Alcohol</t>
        </is>
      </c>
      <c r="E841" s="10">
        <f>IF(A841="","",A841&amp;"|"&amp;D841)</f>
        <v/>
      </c>
      <c r="F841" s="5" t="inlineStr">
        <is>
          <t>Y</t>
        </is>
      </c>
      <c r="G841" s="5" t="inlineStr">
        <is>
          <t>Other / bench</t>
        </is>
      </c>
      <c r="H841" s="5" t="inlineStr">
        <is>
          <t>Low</t>
        </is>
      </c>
      <c r="I841" s="5" t="n">
        <v>1</v>
      </c>
      <c r="J841" s="5" t="n"/>
      <c r="K841" s="10">
        <f>IFERROR(IF(INDEX('Test catalog'!$F$2:$F$200,MATCH($AB841,'Test catalog'!$A$2:$A$200,0))="","",INDEX('Test catalog'!$F$2:$F$200,MATCH($AB841,'Test catalog'!$A$2:$A$200,0))),"")</f>
        <v/>
      </c>
      <c r="L841" s="10">
        <f>IFERROR(IF(INDEX('Test catalog'!$G$2:$G$200,MATCH($AB841,'Test catalog'!$A$2:$A$200,0))="","",INDEX('Test catalog'!$G$2:$G$200,MATCH($AB841,'Test catalog'!$A$2:$A$200,0))),"")</f>
        <v/>
      </c>
      <c r="M841" s="10">
        <f>IFERROR(IF(INDEX('Test catalog'!$H$2:$H$200,MATCH($AB841,'Test catalog'!$A$2:$A$200,0))="","",INDEX('Test catalog'!$H$2:$H$200,MATCH($AB841,'Test catalog'!$A$2:$A$200,0))),"")</f>
        <v/>
      </c>
      <c r="N841" s="10">
        <f>IFERROR(IF(INDEX('Test catalog'!$I$2:$I$200,MATCH($AB841,'Test catalog'!$A$2:$A$200,0))="","",INDEX('Test catalog'!$I$2:$I$200,MATCH($AB841,'Test catalog'!$A$2:$A$200,0))),"")</f>
        <v/>
      </c>
      <c r="O841" s="10">
        <f>IFERROR(IF(INDEX('Test catalog'!$J$2:$J$200,MATCH($AB841,'Test catalog'!$A$2:$A$200,0))="","",INDEX('Test catalog'!$J$2:$J$200,MATCH($AB841,'Test catalog'!$A$2:$A$200,0))),"")</f>
        <v/>
      </c>
      <c r="P841" s="14">
        <f>IF(N841="","",IF(OR(M841="",O841=""),N841,(M841+4*N841+O841)/6))</f>
        <v/>
      </c>
      <c r="Q841" s="10">
        <f>IFERROR(IF(INDEX('Test catalog'!$K$2:$K$200,MATCH($AB841,'Test catalog'!$A$2:$A$200,0))="","",INDEX('Test catalog'!$K$2:$K$200,MATCH($AB841,'Test catalog'!$A$2:$A$200,0))),"")</f>
        <v/>
      </c>
      <c r="R841" s="5" t="n"/>
      <c r="S841" s="10">
        <f>IFERROR(IF(INDEX('Test catalog'!$L$2:$L$200,MATCH($AB841,'Test catalog'!$A$2:$A$200,0))="","",INDEX('Test catalog'!$L$2:$L$200,MATCH($AB841,'Test catalog'!$A$2:$A$200,0))),"")</f>
        <v/>
      </c>
      <c r="T841" s="10">
        <f>IFERROR(IF(INDEX('Test catalog'!$M$2:$M$200,MATCH($AB841,'Test catalog'!$A$2:$A$200,0))="","",INDEX('Test catalog'!$M$2:$M$200,MATCH($AB841,'Test catalog'!$A$2:$A$200,0))),"")</f>
        <v/>
      </c>
      <c r="U841" s="10">
        <f>IFERROR(IF(INDEX('Test catalog'!$N$2:$N$200,MATCH($AB841,'Test catalog'!$A$2:$A$200,0))="","",INDEX('Test catalog'!$N$2:$N$200,MATCH($AB841,'Test catalog'!$A$2:$A$200,0))),"")</f>
        <v/>
      </c>
      <c r="V841" s="15" t="n"/>
      <c r="W841" s="5" t="inlineStr">
        <is>
          <t>N</t>
        </is>
      </c>
      <c r="X841" s="5" t="n"/>
      <c r="Y841" s="5" t="n"/>
      <c r="Z841" s="5" t="n"/>
      <c r="AA841" s="10">
        <f>IFERROR(IF(INDEX('Test catalog'!$O$2:$O$200,MATCH($AB841,'Test catalog'!$A$2:$A$200,0))="","",INDEX('Test catalog'!$O$2:$O$200,MATCH($AB841,'Test catalog'!$A$2:$A$200,0))),"")</f>
        <v/>
      </c>
      <c r="AB841" s="10" t="inlineStr">
        <is>
          <t>TLC</t>
        </is>
      </c>
      <c r="AC841" s="10" t="inlineStr">
        <is>
          <t>Sodium Stearyl Fumarate · Other Components</t>
        </is>
      </c>
      <c r="AD841" s="10" t="n"/>
      <c r="AE841" s="10" t="n"/>
    </row>
    <row r="842">
      <c r="A842" s="10" t="inlineStr">
        <is>
          <t>Sodium Stearyl Fumarate</t>
        </is>
      </c>
      <c r="B842" s="10" t="inlineStr">
        <is>
          <t>RM</t>
        </is>
      </c>
      <c r="C842" s="10" t="inlineStr">
        <is>
          <t>Lubricant</t>
        </is>
      </c>
      <c r="D842" s="10" t="inlineStr">
        <is>
          <t>Lead</t>
        </is>
      </c>
      <c r="E842" s="10">
        <f>IF(A842="","",A842&amp;"|"&amp;D842)</f>
        <v/>
      </c>
      <c r="F842" s="5" t="inlineStr">
        <is>
          <t>Y</t>
        </is>
      </c>
      <c r="G842" s="5" t="inlineStr">
        <is>
          <t>Other / bench</t>
        </is>
      </c>
      <c r="H842" s="5" t="inlineStr">
        <is>
          <t>Low</t>
        </is>
      </c>
      <c r="I842" s="5" t="n">
        <v>1</v>
      </c>
      <c r="J842" s="5" t="n"/>
      <c r="K842" s="10">
        <f>IFERROR(IF(INDEX('Test catalog'!$F$2:$F$200,MATCH($AB842,'Test catalog'!$A$2:$A$200,0))="","",INDEX('Test catalog'!$F$2:$F$200,MATCH($AB842,'Test catalog'!$A$2:$A$200,0))),"")</f>
        <v/>
      </c>
      <c r="L842" s="10">
        <f>IFERROR(IF(INDEX('Test catalog'!$G$2:$G$200,MATCH($AB842,'Test catalog'!$A$2:$A$200,0))="","",INDEX('Test catalog'!$G$2:$G$200,MATCH($AB842,'Test catalog'!$A$2:$A$200,0))),"")</f>
        <v/>
      </c>
      <c r="M842" s="10">
        <f>IFERROR(IF(INDEX('Test catalog'!$H$2:$H$200,MATCH($AB842,'Test catalog'!$A$2:$A$200,0))="","",INDEX('Test catalog'!$H$2:$H$200,MATCH($AB842,'Test catalog'!$A$2:$A$200,0))),"")</f>
        <v/>
      </c>
      <c r="N842" s="10">
        <f>IFERROR(IF(INDEX('Test catalog'!$I$2:$I$200,MATCH($AB842,'Test catalog'!$A$2:$A$200,0))="","",INDEX('Test catalog'!$I$2:$I$200,MATCH($AB842,'Test catalog'!$A$2:$A$200,0))),"")</f>
        <v/>
      </c>
      <c r="O842" s="10">
        <f>IFERROR(IF(INDEX('Test catalog'!$J$2:$J$200,MATCH($AB842,'Test catalog'!$A$2:$A$200,0))="","",INDEX('Test catalog'!$J$2:$J$200,MATCH($AB842,'Test catalog'!$A$2:$A$200,0))),"")</f>
        <v/>
      </c>
      <c r="P842" s="14">
        <f>IF(N842="","",IF(OR(M842="",O842=""),N842,(M842+4*N842+O842)/6))</f>
        <v/>
      </c>
      <c r="Q842" s="10">
        <f>IFERROR(IF(INDEX('Test catalog'!$K$2:$K$200,MATCH($AB842,'Test catalog'!$A$2:$A$200,0))="","",INDEX('Test catalog'!$K$2:$K$200,MATCH($AB842,'Test catalog'!$A$2:$A$200,0))),"")</f>
        <v/>
      </c>
      <c r="R842" s="5" t="n"/>
      <c r="S842" s="10">
        <f>IFERROR(IF(INDEX('Test catalog'!$L$2:$L$200,MATCH($AB842,'Test catalog'!$A$2:$A$200,0))="","",INDEX('Test catalog'!$L$2:$L$200,MATCH($AB842,'Test catalog'!$A$2:$A$200,0))),"")</f>
        <v/>
      </c>
      <c r="T842" s="10">
        <f>IFERROR(IF(INDEX('Test catalog'!$M$2:$M$200,MATCH($AB842,'Test catalog'!$A$2:$A$200,0))="","",INDEX('Test catalog'!$M$2:$M$200,MATCH($AB842,'Test catalog'!$A$2:$A$200,0))),"")</f>
        <v/>
      </c>
      <c r="U842" s="10">
        <f>IFERROR(IF(INDEX('Test catalog'!$N$2:$N$200,MATCH($AB842,'Test catalog'!$A$2:$A$200,0))="","",INDEX('Test catalog'!$N$2:$N$200,MATCH($AB842,'Test catalog'!$A$2:$A$200,0))),"")</f>
        <v/>
      </c>
      <c r="V842" s="15" t="n"/>
      <c r="W842" s="5" t="inlineStr">
        <is>
          <t>N</t>
        </is>
      </c>
      <c r="X842" s="5" t="n"/>
      <c r="Y842" s="5" t="n"/>
      <c r="Z842" s="5" t="n"/>
      <c r="AA842" s="10">
        <f>IFERROR(IF(INDEX('Test catalog'!$O$2:$O$200,MATCH($AB842,'Test catalog'!$A$2:$A$200,0))="","",INDEX('Test catalog'!$O$2:$O$200,MATCH($AB842,'Test catalog'!$A$2:$A$200,0))),"")</f>
        <v/>
      </c>
      <c r="AB842" s="10" t="inlineStr">
        <is>
          <t>LIM_TOX</t>
        </is>
      </c>
      <c r="AC842" s="10" t="inlineStr">
        <is>
          <t>Sodium Stearyl Fumarate · Impurities &lt;251&gt;</t>
        </is>
      </c>
      <c r="AD842" s="10" t="n"/>
      <c r="AE842" s="10" t="n"/>
    </row>
    <row r="843">
      <c r="A843" s="10" t="inlineStr">
        <is>
          <t>Sodium Stearyl Fumarate</t>
        </is>
      </c>
      <c r="B843" s="10" t="inlineStr">
        <is>
          <t>RM</t>
        </is>
      </c>
      <c r="C843" s="10" t="inlineStr">
        <is>
          <t>Lubricant</t>
        </is>
      </c>
      <c r="D843" s="10" t="inlineStr">
        <is>
          <t>Water Determination, Method I</t>
        </is>
      </c>
      <c r="E843" s="10">
        <f>IF(A843="","",A843&amp;"|"&amp;D843)</f>
        <v/>
      </c>
      <c r="F843" s="5" t="inlineStr">
        <is>
          <t>Y</t>
        </is>
      </c>
      <c r="G843" s="5" t="inlineStr">
        <is>
          <t>KF titrator</t>
        </is>
      </c>
      <c r="H843" s="5" t="inlineStr">
        <is>
          <t>Low</t>
        </is>
      </c>
      <c r="I843" s="5" t="n">
        <v>1</v>
      </c>
      <c r="J843" s="5" t="n"/>
      <c r="K843" s="10">
        <f>IFERROR(IF(INDEX('Test catalog'!$F$2:$F$200,MATCH($AB843,'Test catalog'!$A$2:$A$200,0))="","",INDEX('Test catalog'!$F$2:$F$200,MATCH($AB843,'Test catalog'!$A$2:$A$200,0))),"")</f>
        <v/>
      </c>
      <c r="L843" s="10">
        <f>IFERROR(IF(INDEX('Test catalog'!$G$2:$G$200,MATCH($AB843,'Test catalog'!$A$2:$A$200,0))="","",INDEX('Test catalog'!$G$2:$G$200,MATCH($AB843,'Test catalog'!$A$2:$A$200,0))),"")</f>
        <v/>
      </c>
      <c r="M843" s="10">
        <f>IFERROR(IF(INDEX('Test catalog'!$H$2:$H$200,MATCH($AB843,'Test catalog'!$A$2:$A$200,0))="","",INDEX('Test catalog'!$H$2:$H$200,MATCH($AB843,'Test catalog'!$A$2:$A$200,0))),"")</f>
        <v/>
      </c>
      <c r="N843" s="10">
        <f>IFERROR(IF(INDEX('Test catalog'!$I$2:$I$200,MATCH($AB843,'Test catalog'!$A$2:$A$200,0))="","",INDEX('Test catalog'!$I$2:$I$200,MATCH($AB843,'Test catalog'!$A$2:$A$200,0))),"")</f>
        <v/>
      </c>
      <c r="O843" s="10">
        <f>IFERROR(IF(INDEX('Test catalog'!$J$2:$J$200,MATCH($AB843,'Test catalog'!$A$2:$A$200,0))="","",INDEX('Test catalog'!$J$2:$J$200,MATCH($AB843,'Test catalog'!$A$2:$A$200,0))),"")</f>
        <v/>
      </c>
      <c r="P843" s="14">
        <f>IF(N843="","",IF(OR(M843="",O843=""),N843,(M843+4*N843+O843)/6))</f>
        <v/>
      </c>
      <c r="Q843" s="10">
        <f>IFERROR(IF(INDEX('Test catalog'!$K$2:$K$200,MATCH($AB843,'Test catalog'!$A$2:$A$200,0))="","",INDEX('Test catalog'!$K$2:$K$200,MATCH($AB843,'Test catalog'!$A$2:$A$200,0))),"")</f>
        <v/>
      </c>
      <c r="R843" s="5" t="n"/>
      <c r="S843" s="10">
        <f>IFERROR(IF(INDEX('Test catalog'!$L$2:$L$200,MATCH($AB843,'Test catalog'!$A$2:$A$200,0))="","",INDEX('Test catalog'!$L$2:$L$200,MATCH($AB843,'Test catalog'!$A$2:$A$200,0))),"")</f>
        <v/>
      </c>
      <c r="T843" s="10">
        <f>IFERROR(IF(INDEX('Test catalog'!$M$2:$M$200,MATCH($AB843,'Test catalog'!$A$2:$A$200,0))="","",INDEX('Test catalog'!$M$2:$M$200,MATCH($AB843,'Test catalog'!$A$2:$A$200,0))),"")</f>
        <v/>
      </c>
      <c r="U843" s="10">
        <f>IFERROR(IF(INDEX('Test catalog'!$N$2:$N$200,MATCH($AB843,'Test catalog'!$A$2:$A$200,0))="","",INDEX('Test catalog'!$N$2:$N$200,MATCH($AB843,'Test catalog'!$A$2:$A$200,0))),"")</f>
        <v/>
      </c>
      <c r="V843" s="15" t="n"/>
      <c r="W843" s="5" t="inlineStr">
        <is>
          <t>N</t>
        </is>
      </c>
      <c r="X843" s="5" t="n"/>
      <c r="Y843" s="5" t="n"/>
      <c r="Z843" s="5" t="n"/>
      <c r="AA843" s="10">
        <f>IFERROR(IF(INDEX('Test catalog'!$O$2:$O$200,MATCH($AB843,'Test catalog'!$A$2:$A$200,0))="","",INDEX('Test catalog'!$O$2:$O$200,MATCH($AB843,'Test catalog'!$A$2:$A$200,0))),"")</f>
        <v/>
      </c>
      <c r="AB843" s="10" t="inlineStr">
        <is>
          <t>KF</t>
        </is>
      </c>
      <c r="AC843" s="10" t="inlineStr">
        <is>
          <t>Sodium Stearyl Fumarate · Specific Tests &lt;921&gt;</t>
        </is>
      </c>
      <c r="AD843" s="10" t="n"/>
      <c r="AE843" s="10" t="n"/>
    </row>
    <row r="844">
      <c r="A844" s="10" t="inlineStr">
        <is>
          <t>Sodium Stearyl Fumarate</t>
        </is>
      </c>
      <c r="B844" s="10" t="inlineStr">
        <is>
          <t>RM</t>
        </is>
      </c>
      <c r="C844" s="10" t="inlineStr">
        <is>
          <t>Lubricant</t>
        </is>
      </c>
      <c r="D844" s="10" t="inlineStr">
        <is>
          <t>Fats and fixed Oils, Saponification Value</t>
        </is>
      </c>
      <c r="E844" s="10">
        <f>IF(A844="","",A844&amp;"|"&amp;D844)</f>
        <v/>
      </c>
      <c r="F844" s="5" t="inlineStr">
        <is>
          <t>Y</t>
        </is>
      </c>
      <c r="G844" s="5" t="inlineStr">
        <is>
          <t>Other / bench</t>
        </is>
      </c>
      <c r="H844" s="5" t="inlineStr">
        <is>
          <t>Low</t>
        </is>
      </c>
      <c r="I844" s="5" t="n">
        <v>1</v>
      </c>
      <c r="J844" s="5" t="n"/>
      <c r="K844" s="10">
        <f>IFERROR(IF(INDEX('Test catalog'!$F$2:$F$200,MATCH($AB844,'Test catalog'!$A$2:$A$200,0))="","",INDEX('Test catalog'!$F$2:$F$200,MATCH($AB844,'Test catalog'!$A$2:$A$200,0))),"")</f>
        <v/>
      </c>
      <c r="L844" s="10">
        <f>IFERROR(IF(INDEX('Test catalog'!$G$2:$G$200,MATCH($AB844,'Test catalog'!$A$2:$A$200,0))="","",INDEX('Test catalog'!$G$2:$G$200,MATCH($AB844,'Test catalog'!$A$2:$A$200,0))),"")</f>
        <v/>
      </c>
      <c r="M844" s="10">
        <f>IFERROR(IF(INDEX('Test catalog'!$H$2:$H$200,MATCH($AB844,'Test catalog'!$A$2:$A$200,0))="","",INDEX('Test catalog'!$H$2:$H$200,MATCH($AB844,'Test catalog'!$A$2:$A$200,0))),"")</f>
        <v/>
      </c>
      <c r="N844" s="10">
        <f>IFERROR(IF(INDEX('Test catalog'!$I$2:$I$200,MATCH($AB844,'Test catalog'!$A$2:$A$200,0))="","",INDEX('Test catalog'!$I$2:$I$200,MATCH($AB844,'Test catalog'!$A$2:$A$200,0))),"")</f>
        <v/>
      </c>
      <c r="O844" s="10">
        <f>IFERROR(IF(INDEX('Test catalog'!$J$2:$J$200,MATCH($AB844,'Test catalog'!$A$2:$A$200,0))="","",INDEX('Test catalog'!$J$2:$J$200,MATCH($AB844,'Test catalog'!$A$2:$A$200,0))),"")</f>
        <v/>
      </c>
      <c r="P844" s="14">
        <f>IF(N844="","",IF(OR(M844="",O844=""),N844,(M844+4*N844+O844)/6))</f>
        <v/>
      </c>
      <c r="Q844" s="10">
        <f>IFERROR(IF(INDEX('Test catalog'!$K$2:$K$200,MATCH($AB844,'Test catalog'!$A$2:$A$200,0))="","",INDEX('Test catalog'!$K$2:$K$200,MATCH($AB844,'Test catalog'!$A$2:$A$200,0))),"")</f>
        <v/>
      </c>
      <c r="R844" s="5" t="n"/>
      <c r="S844" s="10">
        <f>IFERROR(IF(INDEX('Test catalog'!$L$2:$L$200,MATCH($AB844,'Test catalog'!$A$2:$A$200,0))="","",INDEX('Test catalog'!$L$2:$L$200,MATCH($AB844,'Test catalog'!$A$2:$A$200,0))),"")</f>
        <v/>
      </c>
      <c r="T844" s="10">
        <f>IFERROR(IF(INDEX('Test catalog'!$M$2:$M$200,MATCH($AB844,'Test catalog'!$A$2:$A$200,0))="","",INDEX('Test catalog'!$M$2:$M$200,MATCH($AB844,'Test catalog'!$A$2:$A$200,0))),"")</f>
        <v/>
      </c>
      <c r="U844" s="10">
        <f>IFERROR(IF(INDEX('Test catalog'!$N$2:$N$200,MATCH($AB844,'Test catalog'!$A$2:$A$200,0))="","",INDEX('Test catalog'!$N$2:$N$200,MATCH($AB844,'Test catalog'!$A$2:$A$200,0))),"")</f>
        <v/>
      </c>
      <c r="V844" s="15" t="n"/>
      <c r="W844" s="5" t="inlineStr">
        <is>
          <t>N</t>
        </is>
      </c>
      <c r="X844" s="5" t="n"/>
      <c r="Y844" s="5" t="n"/>
      <c r="Z844" s="5" t="n"/>
      <c r="AA844" s="10">
        <f>IFERROR(IF(INDEX('Test catalog'!$O$2:$O$200,MATCH($AB844,'Test catalog'!$A$2:$A$200,0))="","",INDEX('Test catalog'!$O$2:$O$200,MATCH($AB844,'Test catalog'!$A$2:$A$200,0))),"")</f>
        <v/>
      </c>
      <c r="AB844" s="10" t="inlineStr">
        <is>
          <t>FATS</t>
        </is>
      </c>
      <c r="AC844" s="10" t="inlineStr">
        <is>
          <t>Sodium Stearyl Fumarate · Specific Tests &lt;401&gt;</t>
        </is>
      </c>
      <c r="AD844" s="10" t="n"/>
      <c r="AE844" s="10" t="n"/>
    </row>
    <row r="845">
      <c r="A845" s="10" t="inlineStr">
        <is>
          <t>Titanium Dioxide</t>
        </is>
      </c>
      <c r="B845" s="10" t="inlineStr">
        <is>
          <t>RM</t>
        </is>
      </c>
      <c r="C845" s="10" t="inlineStr">
        <is>
          <t>Opacifier</t>
        </is>
      </c>
      <c r="D845" s="10" t="inlineStr">
        <is>
          <t>Appearance / description and solubility</t>
        </is>
      </c>
      <c r="E845" s="10">
        <f>IF(A845="","",A845&amp;"|"&amp;D845)</f>
        <v/>
      </c>
      <c r="F845" s="5" t="inlineStr">
        <is>
          <t>Y</t>
        </is>
      </c>
      <c r="G845" s="5" t="inlineStr">
        <is>
          <t>Other / bench</t>
        </is>
      </c>
      <c r="H845" s="5" t="inlineStr">
        <is>
          <t>Low</t>
        </is>
      </c>
      <c r="I845" s="5" t="n">
        <v>1</v>
      </c>
      <c r="J845" s="5" t="n"/>
      <c r="K845" s="10">
        <f>IFERROR(IF(INDEX('Test catalog'!$F$2:$F$200,MATCH($AB845,'Test catalog'!$A$2:$A$200,0))="","",INDEX('Test catalog'!$F$2:$F$200,MATCH($AB845,'Test catalog'!$A$2:$A$200,0))),"")</f>
        <v/>
      </c>
      <c r="L845" s="10">
        <f>IFERROR(IF(INDEX('Test catalog'!$G$2:$G$200,MATCH($AB845,'Test catalog'!$A$2:$A$200,0))="","",INDEX('Test catalog'!$G$2:$G$200,MATCH($AB845,'Test catalog'!$A$2:$A$200,0))),"")</f>
        <v/>
      </c>
      <c r="M845" s="10">
        <f>IFERROR(IF(INDEX('Test catalog'!$H$2:$H$200,MATCH($AB845,'Test catalog'!$A$2:$A$200,0))="","",INDEX('Test catalog'!$H$2:$H$200,MATCH($AB845,'Test catalog'!$A$2:$A$200,0))),"")</f>
        <v/>
      </c>
      <c r="N845" s="10">
        <f>IFERROR(IF(INDEX('Test catalog'!$I$2:$I$200,MATCH($AB845,'Test catalog'!$A$2:$A$200,0))="","",INDEX('Test catalog'!$I$2:$I$200,MATCH($AB845,'Test catalog'!$A$2:$A$200,0))),"")</f>
        <v/>
      </c>
      <c r="O845" s="10">
        <f>IFERROR(IF(INDEX('Test catalog'!$J$2:$J$200,MATCH($AB845,'Test catalog'!$A$2:$A$200,0))="","",INDEX('Test catalog'!$J$2:$J$200,MATCH($AB845,'Test catalog'!$A$2:$A$200,0))),"")</f>
        <v/>
      </c>
      <c r="P845" s="14">
        <f>IF(N845="","",IF(OR(M845="",O845=""),N845,(M845+4*N845+O845)/6))</f>
        <v/>
      </c>
      <c r="Q845" s="10">
        <f>IFERROR(IF(INDEX('Test catalog'!$K$2:$K$200,MATCH($AB845,'Test catalog'!$A$2:$A$200,0))="","",INDEX('Test catalog'!$K$2:$K$200,MATCH($AB845,'Test catalog'!$A$2:$A$200,0))),"")</f>
        <v/>
      </c>
      <c r="R845" s="5" t="n"/>
      <c r="S845" s="10">
        <f>IFERROR(IF(INDEX('Test catalog'!$L$2:$L$200,MATCH($AB845,'Test catalog'!$A$2:$A$200,0))="","",INDEX('Test catalog'!$L$2:$L$200,MATCH($AB845,'Test catalog'!$A$2:$A$200,0))),"")</f>
        <v/>
      </c>
      <c r="T845" s="10">
        <f>IFERROR(IF(INDEX('Test catalog'!$M$2:$M$200,MATCH($AB845,'Test catalog'!$A$2:$A$200,0))="","",INDEX('Test catalog'!$M$2:$M$200,MATCH($AB845,'Test catalog'!$A$2:$A$200,0))),"")</f>
        <v/>
      </c>
      <c r="U845" s="10">
        <f>IFERROR(IF(INDEX('Test catalog'!$N$2:$N$200,MATCH($AB845,'Test catalog'!$A$2:$A$200,0))="","",INDEX('Test catalog'!$N$2:$N$200,MATCH($AB845,'Test catalog'!$A$2:$A$200,0))),"")</f>
        <v/>
      </c>
      <c r="V845" s="15" t="n"/>
      <c r="W845" s="5" t="inlineStr">
        <is>
          <t>N</t>
        </is>
      </c>
      <c r="X845" s="5" t="n"/>
      <c r="Y845" s="5" t="n"/>
      <c r="Z845" s="5" t="n"/>
      <c r="AA845" s="10">
        <f>IFERROR(IF(INDEX('Test catalog'!$O$2:$O$200,MATCH($AB845,'Test catalog'!$A$2:$A$200,0))="","",INDEX('Test catalog'!$O$2:$O$200,MATCH($AB845,'Test catalog'!$A$2:$A$200,0))),"")</f>
        <v/>
      </c>
      <c r="AB845" s="10" t="inlineStr">
        <is>
          <t>APPEAR</t>
        </is>
      </c>
      <c r="AC845" s="10" t="inlineStr">
        <is>
          <t>Lab practice (not a USP test)</t>
        </is>
      </c>
      <c r="AD845" s="10" t="n"/>
      <c r="AE845" s="10" t="n"/>
    </row>
    <row r="846">
      <c r="A846" s="10" t="inlineStr">
        <is>
          <t>Titanium Dioxide</t>
        </is>
      </c>
      <c r="B846" s="10" t="inlineStr">
        <is>
          <t>RM</t>
        </is>
      </c>
      <c r="C846" s="10" t="inlineStr">
        <is>
          <t>Opacifier</t>
        </is>
      </c>
      <c r="D846" s="10" t="inlineStr">
        <is>
          <t>ID A - chemical reaction</t>
        </is>
      </c>
      <c r="E846" s="10">
        <f>IF(A846="","",A846&amp;"|"&amp;D846)</f>
        <v/>
      </c>
      <c r="F846" s="5" t="inlineStr">
        <is>
          <t>Y</t>
        </is>
      </c>
      <c r="G846" s="5" t="inlineStr">
        <is>
          <t>Other / bench</t>
        </is>
      </c>
      <c r="H846" s="5" t="inlineStr">
        <is>
          <t>Low</t>
        </is>
      </c>
      <c r="I846" s="5" t="n">
        <v>1</v>
      </c>
      <c r="J846" s="5" t="n"/>
      <c r="K846" s="10">
        <f>IFERROR(IF(INDEX('Test catalog'!$F$2:$F$200,MATCH($AB846,'Test catalog'!$A$2:$A$200,0))="","",INDEX('Test catalog'!$F$2:$F$200,MATCH($AB846,'Test catalog'!$A$2:$A$200,0))),"")</f>
        <v/>
      </c>
      <c r="L846" s="10">
        <f>IFERROR(IF(INDEX('Test catalog'!$G$2:$G$200,MATCH($AB846,'Test catalog'!$A$2:$A$200,0))="","",INDEX('Test catalog'!$G$2:$G$200,MATCH($AB846,'Test catalog'!$A$2:$A$200,0))),"")</f>
        <v/>
      </c>
      <c r="M846" s="10">
        <f>IFERROR(IF(INDEX('Test catalog'!$H$2:$H$200,MATCH($AB846,'Test catalog'!$A$2:$A$200,0))="","",INDEX('Test catalog'!$H$2:$H$200,MATCH($AB846,'Test catalog'!$A$2:$A$200,0))),"")</f>
        <v/>
      </c>
      <c r="N846" s="10">
        <f>IFERROR(IF(INDEX('Test catalog'!$I$2:$I$200,MATCH($AB846,'Test catalog'!$A$2:$A$200,0))="","",INDEX('Test catalog'!$I$2:$I$200,MATCH($AB846,'Test catalog'!$A$2:$A$200,0))),"")</f>
        <v/>
      </c>
      <c r="O846" s="10">
        <f>IFERROR(IF(INDEX('Test catalog'!$J$2:$J$200,MATCH($AB846,'Test catalog'!$A$2:$A$200,0))="","",INDEX('Test catalog'!$J$2:$J$200,MATCH($AB846,'Test catalog'!$A$2:$A$200,0))),"")</f>
        <v/>
      </c>
      <c r="P846" s="14">
        <f>IF(N846="","",IF(OR(M846="",O846=""),N846,(M846+4*N846+O846)/6))</f>
        <v/>
      </c>
      <c r="Q846" s="10">
        <f>IFERROR(IF(INDEX('Test catalog'!$K$2:$K$200,MATCH($AB846,'Test catalog'!$A$2:$A$200,0))="","",INDEX('Test catalog'!$K$2:$K$200,MATCH($AB846,'Test catalog'!$A$2:$A$200,0))),"")</f>
        <v/>
      </c>
      <c r="R846" s="5" t="n"/>
      <c r="S846" s="10">
        <f>IFERROR(IF(INDEX('Test catalog'!$L$2:$L$200,MATCH($AB846,'Test catalog'!$A$2:$A$200,0))="","",INDEX('Test catalog'!$L$2:$L$200,MATCH($AB846,'Test catalog'!$A$2:$A$200,0))),"")</f>
        <v/>
      </c>
      <c r="T846" s="10">
        <f>IFERROR(IF(INDEX('Test catalog'!$M$2:$M$200,MATCH($AB846,'Test catalog'!$A$2:$A$200,0))="","",INDEX('Test catalog'!$M$2:$M$200,MATCH($AB846,'Test catalog'!$A$2:$A$200,0))),"")</f>
        <v/>
      </c>
      <c r="U846" s="10">
        <f>IFERROR(IF(INDEX('Test catalog'!$N$2:$N$200,MATCH($AB846,'Test catalog'!$A$2:$A$200,0))="","",INDEX('Test catalog'!$N$2:$N$200,MATCH($AB846,'Test catalog'!$A$2:$A$200,0))),"")</f>
        <v/>
      </c>
      <c r="V846" s="15" t="n"/>
      <c r="W846" s="5" t="inlineStr">
        <is>
          <t>N</t>
        </is>
      </c>
      <c r="X846" s="5" t="n"/>
      <c r="Y846" s="5" t="n"/>
      <c r="Z846" s="5" t="n"/>
      <c r="AA846" s="10">
        <f>IFERROR(IF(INDEX('Test catalog'!$O$2:$O$200,MATCH($AB846,'Test catalog'!$A$2:$A$200,0))="","",INDEX('Test catalog'!$O$2:$O$200,MATCH($AB846,'Test catalog'!$A$2:$A$200,0))),"")</f>
        <v/>
      </c>
      <c r="AB846" s="10" t="inlineStr">
        <is>
          <t>ID_CHEM</t>
        </is>
      </c>
      <c r="AC846" s="10" t="inlineStr">
        <is>
          <t>Titanium Dioxide · Identification</t>
        </is>
      </c>
      <c r="AD846" s="10" t="n"/>
      <c r="AE846" s="10" t="n"/>
    </row>
    <row r="847">
      <c r="A847" s="10" t="inlineStr">
        <is>
          <t>Titanium Dioxide</t>
        </is>
      </c>
      <c r="B847" s="10" t="inlineStr">
        <is>
          <t>RM</t>
        </is>
      </c>
      <c r="C847" s="10" t="inlineStr">
        <is>
          <t>Opacifier</t>
        </is>
      </c>
      <c r="D847" s="10" t="inlineStr">
        <is>
          <t>Assay</t>
        </is>
      </c>
      <c r="E847" s="10">
        <f>IF(A847="","",A847&amp;"|"&amp;D847)</f>
        <v/>
      </c>
      <c r="F847" s="5" t="inlineStr">
        <is>
          <t>Y</t>
        </is>
      </c>
      <c r="G847" s="5" t="inlineStr">
        <is>
          <t>Other / bench</t>
        </is>
      </c>
      <c r="H847" s="5" t="inlineStr">
        <is>
          <t>Low</t>
        </is>
      </c>
      <c r="I847" s="5" t="n">
        <v>1</v>
      </c>
      <c r="J847" s="5" t="n"/>
      <c r="K847" s="10">
        <f>IFERROR(IF(INDEX('Test catalog'!$F$2:$F$200,MATCH($AB847,'Test catalog'!$A$2:$A$200,0))="","",INDEX('Test catalog'!$F$2:$F$200,MATCH($AB847,'Test catalog'!$A$2:$A$200,0))),"")</f>
        <v/>
      </c>
      <c r="L847" s="10">
        <f>IFERROR(IF(INDEX('Test catalog'!$G$2:$G$200,MATCH($AB847,'Test catalog'!$A$2:$A$200,0))="","",INDEX('Test catalog'!$G$2:$G$200,MATCH($AB847,'Test catalog'!$A$2:$A$200,0))),"")</f>
        <v/>
      </c>
      <c r="M847" s="10">
        <f>IFERROR(IF(INDEX('Test catalog'!$H$2:$H$200,MATCH($AB847,'Test catalog'!$A$2:$A$200,0))="","",INDEX('Test catalog'!$H$2:$H$200,MATCH($AB847,'Test catalog'!$A$2:$A$200,0))),"")</f>
        <v/>
      </c>
      <c r="N847" s="10">
        <f>IFERROR(IF(INDEX('Test catalog'!$I$2:$I$200,MATCH($AB847,'Test catalog'!$A$2:$A$200,0))="","",INDEX('Test catalog'!$I$2:$I$200,MATCH($AB847,'Test catalog'!$A$2:$A$200,0))),"")</f>
        <v/>
      </c>
      <c r="O847" s="10">
        <f>IFERROR(IF(INDEX('Test catalog'!$J$2:$J$200,MATCH($AB847,'Test catalog'!$A$2:$A$200,0))="","",INDEX('Test catalog'!$J$2:$J$200,MATCH($AB847,'Test catalog'!$A$2:$A$200,0))),"")</f>
        <v/>
      </c>
      <c r="P847" s="14">
        <f>IF(N847="","",IF(OR(M847="",O847=""),N847,(M847+4*N847+O847)/6))</f>
        <v/>
      </c>
      <c r="Q847" s="10">
        <f>IFERROR(IF(INDEX('Test catalog'!$K$2:$K$200,MATCH($AB847,'Test catalog'!$A$2:$A$200,0))="","",INDEX('Test catalog'!$K$2:$K$200,MATCH($AB847,'Test catalog'!$A$2:$A$200,0))),"")</f>
        <v/>
      </c>
      <c r="R847" s="5" t="n"/>
      <c r="S847" s="10">
        <f>IFERROR(IF(INDEX('Test catalog'!$L$2:$L$200,MATCH($AB847,'Test catalog'!$A$2:$A$200,0))="","",INDEX('Test catalog'!$L$2:$L$200,MATCH($AB847,'Test catalog'!$A$2:$A$200,0))),"")</f>
        <v/>
      </c>
      <c r="T847" s="10">
        <f>IFERROR(IF(INDEX('Test catalog'!$M$2:$M$200,MATCH($AB847,'Test catalog'!$A$2:$A$200,0))="","",INDEX('Test catalog'!$M$2:$M$200,MATCH($AB847,'Test catalog'!$A$2:$A$200,0))),"")</f>
        <v/>
      </c>
      <c r="U847" s="10">
        <f>IFERROR(IF(INDEX('Test catalog'!$N$2:$N$200,MATCH($AB847,'Test catalog'!$A$2:$A$200,0))="","",INDEX('Test catalog'!$N$2:$N$200,MATCH($AB847,'Test catalog'!$A$2:$A$200,0))),"")</f>
        <v/>
      </c>
      <c r="V847" s="15" t="n"/>
      <c r="W847" s="5" t="inlineStr">
        <is>
          <t>N</t>
        </is>
      </c>
      <c r="X847" s="5" t="n"/>
      <c r="Y847" s="5" t="n"/>
      <c r="Z847" s="5" t="n"/>
      <c r="AA847" s="10">
        <f>IFERROR(IF(INDEX('Test catalog'!$O$2:$O$200,MATCH($AB847,'Test catalog'!$A$2:$A$200,0))="","",INDEX('Test catalog'!$O$2:$O$200,MATCH($AB847,'Test catalog'!$A$2:$A$200,0))),"")</f>
        <v/>
      </c>
      <c r="AB847" s="10" t="inlineStr">
        <is>
          <t>TITR</t>
        </is>
      </c>
      <c r="AC847" s="10" t="inlineStr">
        <is>
          <t>Titanium Dioxide · Assay</t>
        </is>
      </c>
      <c r="AD847" s="10" t="n"/>
      <c r="AE847" s="10" t="n"/>
    </row>
    <row r="848">
      <c r="A848" s="10" t="inlineStr">
        <is>
          <t>Titanium Dioxide</t>
        </is>
      </c>
      <c r="B848" s="10" t="inlineStr">
        <is>
          <t>RM</t>
        </is>
      </c>
      <c r="C848" s="10" t="inlineStr">
        <is>
          <t>Opacifier</t>
        </is>
      </c>
      <c r="D848" s="10" t="inlineStr">
        <is>
          <t>Arsenic</t>
        </is>
      </c>
      <c r="E848" s="10">
        <f>IF(A848="","",A848&amp;"|"&amp;D848)</f>
        <v/>
      </c>
      <c r="F848" s="5" t="inlineStr">
        <is>
          <t>Y</t>
        </is>
      </c>
      <c r="G848" s="5" t="inlineStr">
        <is>
          <t>Other / bench</t>
        </is>
      </c>
      <c r="H848" s="5" t="inlineStr">
        <is>
          <t>Low</t>
        </is>
      </c>
      <c r="I848" s="5" t="n">
        <v>1</v>
      </c>
      <c r="J848" s="5" t="n"/>
      <c r="K848" s="10">
        <f>IFERROR(IF(INDEX('Test catalog'!$F$2:$F$200,MATCH($AB848,'Test catalog'!$A$2:$A$200,0))="","",INDEX('Test catalog'!$F$2:$F$200,MATCH($AB848,'Test catalog'!$A$2:$A$200,0))),"")</f>
        <v/>
      </c>
      <c r="L848" s="10">
        <f>IFERROR(IF(INDEX('Test catalog'!$G$2:$G$200,MATCH($AB848,'Test catalog'!$A$2:$A$200,0))="","",INDEX('Test catalog'!$G$2:$G$200,MATCH($AB848,'Test catalog'!$A$2:$A$200,0))),"")</f>
        <v/>
      </c>
      <c r="M848" s="10">
        <f>IFERROR(IF(INDEX('Test catalog'!$H$2:$H$200,MATCH($AB848,'Test catalog'!$A$2:$A$200,0))="","",INDEX('Test catalog'!$H$2:$H$200,MATCH($AB848,'Test catalog'!$A$2:$A$200,0))),"")</f>
        <v/>
      </c>
      <c r="N848" s="10">
        <f>IFERROR(IF(INDEX('Test catalog'!$I$2:$I$200,MATCH($AB848,'Test catalog'!$A$2:$A$200,0))="","",INDEX('Test catalog'!$I$2:$I$200,MATCH($AB848,'Test catalog'!$A$2:$A$200,0))),"")</f>
        <v/>
      </c>
      <c r="O848" s="10">
        <f>IFERROR(IF(INDEX('Test catalog'!$J$2:$J$200,MATCH($AB848,'Test catalog'!$A$2:$A$200,0))="","",INDEX('Test catalog'!$J$2:$J$200,MATCH($AB848,'Test catalog'!$A$2:$A$200,0))),"")</f>
        <v/>
      </c>
      <c r="P848" s="14">
        <f>IF(N848="","",IF(OR(M848="",O848=""),N848,(M848+4*N848+O848)/6))</f>
        <v/>
      </c>
      <c r="Q848" s="10">
        <f>IFERROR(IF(INDEX('Test catalog'!$K$2:$K$200,MATCH($AB848,'Test catalog'!$A$2:$A$200,0))="","",INDEX('Test catalog'!$K$2:$K$200,MATCH($AB848,'Test catalog'!$A$2:$A$200,0))),"")</f>
        <v/>
      </c>
      <c r="R848" s="5" t="n"/>
      <c r="S848" s="10">
        <f>IFERROR(IF(INDEX('Test catalog'!$L$2:$L$200,MATCH($AB848,'Test catalog'!$A$2:$A$200,0))="","",INDEX('Test catalog'!$L$2:$L$200,MATCH($AB848,'Test catalog'!$A$2:$A$200,0))),"")</f>
        <v/>
      </c>
      <c r="T848" s="10">
        <f>IFERROR(IF(INDEX('Test catalog'!$M$2:$M$200,MATCH($AB848,'Test catalog'!$A$2:$A$200,0))="","",INDEX('Test catalog'!$M$2:$M$200,MATCH($AB848,'Test catalog'!$A$2:$A$200,0))),"")</f>
        <v/>
      </c>
      <c r="U848" s="10">
        <f>IFERROR(IF(INDEX('Test catalog'!$N$2:$N$200,MATCH($AB848,'Test catalog'!$A$2:$A$200,0))="","",INDEX('Test catalog'!$N$2:$N$200,MATCH($AB848,'Test catalog'!$A$2:$A$200,0))),"")</f>
        <v/>
      </c>
      <c r="V848" s="15" t="n"/>
      <c r="W848" s="5" t="inlineStr">
        <is>
          <t>N</t>
        </is>
      </c>
      <c r="X848" s="5" t="n"/>
      <c r="Y848" s="5" t="n"/>
      <c r="Z848" s="5" t="n"/>
      <c r="AA848" s="10">
        <f>IFERROR(IF(INDEX('Test catalog'!$O$2:$O$200,MATCH($AB848,'Test catalog'!$A$2:$A$200,0))="","",INDEX('Test catalog'!$O$2:$O$200,MATCH($AB848,'Test catalog'!$A$2:$A$200,0))),"")</f>
        <v/>
      </c>
      <c r="AB848" s="10" t="inlineStr">
        <is>
          <t>LIM_TOX</t>
        </is>
      </c>
      <c r="AC848" s="10" t="inlineStr">
        <is>
          <t>Titanium Dioxide · Impurities &lt;211&gt;</t>
        </is>
      </c>
      <c r="AD848" s="10" t="n"/>
      <c r="AE848" s="10" t="n"/>
    </row>
    <row r="849">
      <c r="A849" s="10" t="inlineStr">
        <is>
          <t>Titanium Dioxide</t>
        </is>
      </c>
      <c r="B849" s="10" t="inlineStr">
        <is>
          <t>RM</t>
        </is>
      </c>
      <c r="C849" s="10" t="inlineStr">
        <is>
          <t>Opacifier</t>
        </is>
      </c>
      <c r="D849" s="10" t="inlineStr">
        <is>
          <t>Loss on Drying</t>
        </is>
      </c>
      <c r="E849" s="10">
        <f>IF(A849="","",A849&amp;"|"&amp;D849)</f>
        <v/>
      </c>
      <c r="F849" s="5" t="inlineStr">
        <is>
          <t>Y</t>
        </is>
      </c>
      <c r="G849" s="5" t="inlineStr">
        <is>
          <t>Other / bench</t>
        </is>
      </c>
      <c r="H849" s="5" t="inlineStr">
        <is>
          <t>Low</t>
        </is>
      </c>
      <c r="I849" s="5" t="n">
        <v>1</v>
      </c>
      <c r="J849" s="5" t="n"/>
      <c r="K849" s="10">
        <f>IFERROR(IF(INDEX('Test catalog'!$F$2:$F$200,MATCH($AB849,'Test catalog'!$A$2:$A$200,0))="","",INDEX('Test catalog'!$F$2:$F$200,MATCH($AB849,'Test catalog'!$A$2:$A$200,0))),"")</f>
        <v/>
      </c>
      <c r="L849" s="10">
        <f>IFERROR(IF(INDEX('Test catalog'!$G$2:$G$200,MATCH($AB849,'Test catalog'!$A$2:$A$200,0))="","",INDEX('Test catalog'!$G$2:$G$200,MATCH($AB849,'Test catalog'!$A$2:$A$200,0))),"")</f>
        <v/>
      </c>
      <c r="M849" s="10">
        <f>IFERROR(IF(INDEX('Test catalog'!$H$2:$H$200,MATCH($AB849,'Test catalog'!$A$2:$A$200,0))="","",INDEX('Test catalog'!$H$2:$H$200,MATCH($AB849,'Test catalog'!$A$2:$A$200,0))),"")</f>
        <v/>
      </c>
      <c r="N849" s="10">
        <f>IFERROR(IF(INDEX('Test catalog'!$I$2:$I$200,MATCH($AB849,'Test catalog'!$A$2:$A$200,0))="","",INDEX('Test catalog'!$I$2:$I$200,MATCH($AB849,'Test catalog'!$A$2:$A$200,0))),"")</f>
        <v/>
      </c>
      <c r="O849" s="10">
        <f>IFERROR(IF(INDEX('Test catalog'!$J$2:$J$200,MATCH($AB849,'Test catalog'!$A$2:$A$200,0))="","",INDEX('Test catalog'!$J$2:$J$200,MATCH($AB849,'Test catalog'!$A$2:$A$200,0))),"")</f>
        <v/>
      </c>
      <c r="P849" s="14">
        <f>IF(N849="","",IF(OR(M849="",O849=""),N849,(M849+4*N849+O849)/6))</f>
        <v/>
      </c>
      <c r="Q849" s="10">
        <f>IFERROR(IF(INDEX('Test catalog'!$K$2:$K$200,MATCH($AB849,'Test catalog'!$A$2:$A$200,0))="","",INDEX('Test catalog'!$K$2:$K$200,MATCH($AB849,'Test catalog'!$A$2:$A$200,0))),"")</f>
        <v/>
      </c>
      <c r="R849" s="5" t="n"/>
      <c r="S849" s="10">
        <f>IFERROR(IF(INDEX('Test catalog'!$L$2:$L$200,MATCH($AB849,'Test catalog'!$A$2:$A$200,0))="","",INDEX('Test catalog'!$L$2:$L$200,MATCH($AB849,'Test catalog'!$A$2:$A$200,0))),"")</f>
        <v/>
      </c>
      <c r="T849" s="10">
        <f>IFERROR(IF(INDEX('Test catalog'!$M$2:$M$200,MATCH($AB849,'Test catalog'!$A$2:$A$200,0))="","",INDEX('Test catalog'!$M$2:$M$200,MATCH($AB849,'Test catalog'!$A$2:$A$200,0))),"")</f>
        <v/>
      </c>
      <c r="U849" s="10">
        <f>IFERROR(IF(INDEX('Test catalog'!$N$2:$N$200,MATCH($AB849,'Test catalog'!$A$2:$A$200,0))="","",INDEX('Test catalog'!$N$2:$N$200,MATCH($AB849,'Test catalog'!$A$2:$A$200,0))),"")</f>
        <v/>
      </c>
      <c r="V849" s="15" t="n"/>
      <c r="W849" s="5" t="inlineStr">
        <is>
          <t>N</t>
        </is>
      </c>
      <c r="X849" s="5" t="n"/>
      <c r="Y849" s="5" t="n"/>
      <c r="Z849" s="5" t="n"/>
      <c r="AA849" s="10">
        <f>IFERROR(IF(INDEX('Test catalog'!$O$2:$O$200,MATCH($AB849,'Test catalog'!$A$2:$A$200,0))="","",INDEX('Test catalog'!$O$2:$O$200,MATCH($AB849,'Test catalog'!$A$2:$A$200,0))),"")</f>
        <v/>
      </c>
      <c r="AB849" s="10" t="inlineStr">
        <is>
          <t>LOD</t>
        </is>
      </c>
      <c r="AC849" s="10" t="inlineStr">
        <is>
          <t>Titanium Dioxide · Specific Tests &lt;731&gt;</t>
        </is>
      </c>
      <c r="AD849" s="10" t="n"/>
      <c r="AE849" s="10" t="n"/>
    </row>
    <row r="850">
      <c r="A850" s="10" t="inlineStr">
        <is>
          <t>Titanium Dioxide</t>
        </is>
      </c>
      <c r="B850" s="10" t="inlineStr">
        <is>
          <t>RM</t>
        </is>
      </c>
      <c r="C850" s="10" t="inlineStr">
        <is>
          <t>Opacifier</t>
        </is>
      </c>
      <c r="D850" s="10" t="inlineStr">
        <is>
          <t>Loss on Ignition</t>
        </is>
      </c>
      <c r="E850" s="10">
        <f>IF(A850="","",A850&amp;"|"&amp;D850)</f>
        <v/>
      </c>
      <c r="F850" s="5" t="inlineStr">
        <is>
          <t>Y</t>
        </is>
      </c>
      <c r="G850" s="5" t="inlineStr">
        <is>
          <t>Other / bench</t>
        </is>
      </c>
      <c r="H850" s="5" t="inlineStr">
        <is>
          <t>Low</t>
        </is>
      </c>
      <c r="I850" s="5" t="n">
        <v>1</v>
      </c>
      <c r="J850" s="5" t="n"/>
      <c r="K850" s="10">
        <f>IFERROR(IF(INDEX('Test catalog'!$F$2:$F$200,MATCH($AB850,'Test catalog'!$A$2:$A$200,0))="","",INDEX('Test catalog'!$F$2:$F$200,MATCH($AB850,'Test catalog'!$A$2:$A$200,0))),"")</f>
        <v/>
      </c>
      <c r="L850" s="10">
        <f>IFERROR(IF(INDEX('Test catalog'!$G$2:$G$200,MATCH($AB850,'Test catalog'!$A$2:$A$200,0))="","",INDEX('Test catalog'!$G$2:$G$200,MATCH($AB850,'Test catalog'!$A$2:$A$200,0))),"")</f>
        <v/>
      </c>
      <c r="M850" s="10">
        <f>IFERROR(IF(INDEX('Test catalog'!$H$2:$H$200,MATCH($AB850,'Test catalog'!$A$2:$A$200,0))="","",INDEX('Test catalog'!$H$2:$H$200,MATCH($AB850,'Test catalog'!$A$2:$A$200,0))),"")</f>
        <v/>
      </c>
      <c r="N850" s="10">
        <f>IFERROR(IF(INDEX('Test catalog'!$I$2:$I$200,MATCH($AB850,'Test catalog'!$A$2:$A$200,0))="","",INDEX('Test catalog'!$I$2:$I$200,MATCH($AB850,'Test catalog'!$A$2:$A$200,0))),"")</f>
        <v/>
      </c>
      <c r="O850" s="10">
        <f>IFERROR(IF(INDEX('Test catalog'!$J$2:$J$200,MATCH($AB850,'Test catalog'!$A$2:$A$200,0))="","",INDEX('Test catalog'!$J$2:$J$200,MATCH($AB850,'Test catalog'!$A$2:$A$200,0))),"")</f>
        <v/>
      </c>
      <c r="P850" s="14">
        <f>IF(N850="","",IF(OR(M850="",O850=""),N850,(M850+4*N850+O850)/6))</f>
        <v/>
      </c>
      <c r="Q850" s="10">
        <f>IFERROR(IF(INDEX('Test catalog'!$K$2:$K$200,MATCH($AB850,'Test catalog'!$A$2:$A$200,0))="","",INDEX('Test catalog'!$K$2:$K$200,MATCH($AB850,'Test catalog'!$A$2:$A$200,0))),"")</f>
        <v/>
      </c>
      <c r="R850" s="5" t="n"/>
      <c r="S850" s="10">
        <f>IFERROR(IF(INDEX('Test catalog'!$L$2:$L$200,MATCH($AB850,'Test catalog'!$A$2:$A$200,0))="","",INDEX('Test catalog'!$L$2:$L$200,MATCH($AB850,'Test catalog'!$A$2:$A$200,0))),"")</f>
        <v/>
      </c>
      <c r="T850" s="10">
        <f>IFERROR(IF(INDEX('Test catalog'!$M$2:$M$200,MATCH($AB850,'Test catalog'!$A$2:$A$200,0))="","",INDEX('Test catalog'!$M$2:$M$200,MATCH($AB850,'Test catalog'!$A$2:$A$200,0))),"")</f>
        <v/>
      </c>
      <c r="U850" s="10">
        <f>IFERROR(IF(INDEX('Test catalog'!$N$2:$N$200,MATCH($AB850,'Test catalog'!$A$2:$A$200,0))="","",INDEX('Test catalog'!$N$2:$N$200,MATCH($AB850,'Test catalog'!$A$2:$A$200,0))),"")</f>
        <v/>
      </c>
      <c r="V850" s="15" t="n"/>
      <c r="W850" s="5" t="inlineStr">
        <is>
          <t>N</t>
        </is>
      </c>
      <c r="X850" s="5" t="n"/>
      <c r="Y850" s="5" t="n"/>
      <c r="Z850" s="5" t="n"/>
      <c r="AA850" s="10">
        <f>IFERROR(IF(INDEX('Test catalog'!$O$2:$O$200,MATCH($AB850,'Test catalog'!$A$2:$A$200,0))="","",INDEX('Test catalog'!$O$2:$O$200,MATCH($AB850,'Test catalog'!$A$2:$A$200,0))),"")</f>
        <v/>
      </c>
      <c r="AB850" s="10" t="inlineStr">
        <is>
          <t>LOI</t>
        </is>
      </c>
      <c r="AC850" s="10" t="inlineStr">
        <is>
          <t>Titanium Dioxide · Specific Tests &lt;733&gt;</t>
        </is>
      </c>
      <c r="AD850" s="10" t="n"/>
      <c r="AE850" s="10" t="n"/>
    </row>
    <row r="851">
      <c r="A851" s="10" t="inlineStr">
        <is>
          <t>Titanium Dioxide</t>
        </is>
      </c>
      <c r="B851" s="10" t="inlineStr">
        <is>
          <t>RM</t>
        </is>
      </c>
      <c r="C851" s="10" t="inlineStr">
        <is>
          <t>Opacifier</t>
        </is>
      </c>
      <c r="D851" s="10" t="inlineStr">
        <is>
          <t>Water-Soluble Substances</t>
        </is>
      </c>
      <c r="E851" s="10">
        <f>IF(A851="","",A851&amp;"|"&amp;D851)</f>
        <v/>
      </c>
      <c r="F851" s="5" t="inlineStr">
        <is>
          <t>Y</t>
        </is>
      </c>
      <c r="G851" s="5" t="inlineStr">
        <is>
          <t>Other / bench</t>
        </is>
      </c>
      <c r="H851" s="5" t="inlineStr">
        <is>
          <t>Low</t>
        </is>
      </c>
      <c r="I851" s="5" t="n">
        <v>1</v>
      </c>
      <c r="J851" s="5" t="n"/>
      <c r="K851" s="10">
        <f>IFERROR(IF(INDEX('Test catalog'!$F$2:$F$200,MATCH($AB851,'Test catalog'!$A$2:$A$200,0))="","",INDEX('Test catalog'!$F$2:$F$200,MATCH($AB851,'Test catalog'!$A$2:$A$200,0))),"")</f>
        <v/>
      </c>
      <c r="L851" s="10">
        <f>IFERROR(IF(INDEX('Test catalog'!$G$2:$G$200,MATCH($AB851,'Test catalog'!$A$2:$A$200,0))="","",INDEX('Test catalog'!$G$2:$G$200,MATCH($AB851,'Test catalog'!$A$2:$A$200,0))),"")</f>
        <v/>
      </c>
      <c r="M851" s="10">
        <f>IFERROR(IF(INDEX('Test catalog'!$H$2:$H$200,MATCH($AB851,'Test catalog'!$A$2:$A$200,0))="","",INDEX('Test catalog'!$H$2:$H$200,MATCH($AB851,'Test catalog'!$A$2:$A$200,0))),"")</f>
        <v/>
      </c>
      <c r="N851" s="10">
        <f>IFERROR(IF(INDEX('Test catalog'!$I$2:$I$200,MATCH($AB851,'Test catalog'!$A$2:$A$200,0))="","",INDEX('Test catalog'!$I$2:$I$200,MATCH($AB851,'Test catalog'!$A$2:$A$200,0))),"")</f>
        <v/>
      </c>
      <c r="O851" s="10">
        <f>IFERROR(IF(INDEX('Test catalog'!$J$2:$J$200,MATCH($AB851,'Test catalog'!$A$2:$A$200,0))="","",INDEX('Test catalog'!$J$2:$J$200,MATCH($AB851,'Test catalog'!$A$2:$A$200,0))),"")</f>
        <v/>
      </c>
      <c r="P851" s="14">
        <f>IF(N851="","",IF(OR(M851="",O851=""),N851,(M851+4*N851+O851)/6))</f>
        <v/>
      </c>
      <c r="Q851" s="10">
        <f>IFERROR(IF(INDEX('Test catalog'!$K$2:$K$200,MATCH($AB851,'Test catalog'!$A$2:$A$200,0))="","",INDEX('Test catalog'!$K$2:$K$200,MATCH($AB851,'Test catalog'!$A$2:$A$200,0))),"")</f>
        <v/>
      </c>
      <c r="R851" s="5" t="n"/>
      <c r="S851" s="10">
        <f>IFERROR(IF(INDEX('Test catalog'!$L$2:$L$200,MATCH($AB851,'Test catalog'!$A$2:$A$200,0))="","",INDEX('Test catalog'!$L$2:$L$200,MATCH($AB851,'Test catalog'!$A$2:$A$200,0))),"")</f>
        <v/>
      </c>
      <c r="T851" s="10">
        <f>IFERROR(IF(INDEX('Test catalog'!$M$2:$M$200,MATCH($AB851,'Test catalog'!$A$2:$A$200,0))="","",INDEX('Test catalog'!$M$2:$M$200,MATCH($AB851,'Test catalog'!$A$2:$A$200,0))),"")</f>
        <v/>
      </c>
      <c r="U851" s="10">
        <f>IFERROR(IF(INDEX('Test catalog'!$N$2:$N$200,MATCH($AB851,'Test catalog'!$A$2:$A$200,0))="","",INDEX('Test catalog'!$N$2:$N$200,MATCH($AB851,'Test catalog'!$A$2:$A$200,0))),"")</f>
        <v/>
      </c>
      <c r="V851" s="15" t="n"/>
      <c r="W851" s="5" t="inlineStr">
        <is>
          <t>N</t>
        </is>
      </c>
      <c r="X851" s="5" t="n"/>
      <c r="Y851" s="5" t="n"/>
      <c r="Z851" s="5" t="n"/>
      <c r="AA851" s="10">
        <f>IFERROR(IF(INDEX('Test catalog'!$O$2:$O$200,MATCH($AB851,'Test catalog'!$A$2:$A$200,0))="","",INDEX('Test catalog'!$O$2:$O$200,MATCH($AB851,'Test catalog'!$A$2:$A$200,0))),"")</f>
        <v/>
      </c>
      <c r="AB851" s="10" t="inlineStr">
        <is>
          <t>GRAV</t>
        </is>
      </c>
      <c r="AC851" s="10" t="inlineStr">
        <is>
          <t>Titanium Dioxide · Specific Tests</t>
        </is>
      </c>
      <c r="AD851" s="10" t="n"/>
      <c r="AE851" s="10" t="n"/>
    </row>
    <row r="852">
      <c r="A852" s="10" t="inlineStr">
        <is>
          <t>Titanium Dioxide</t>
        </is>
      </c>
      <c r="B852" s="10" t="inlineStr">
        <is>
          <t>RM</t>
        </is>
      </c>
      <c r="C852" s="10" t="inlineStr">
        <is>
          <t>Opacifier</t>
        </is>
      </c>
      <c r="D852" s="10" t="inlineStr">
        <is>
          <t>Acid-Soluble Substances</t>
        </is>
      </c>
      <c r="E852" s="10">
        <f>IF(A852="","",A852&amp;"|"&amp;D852)</f>
        <v/>
      </c>
      <c r="F852" s="5" t="inlineStr">
        <is>
          <t>Y</t>
        </is>
      </c>
      <c r="G852" s="5" t="inlineStr">
        <is>
          <t>Other / bench</t>
        </is>
      </c>
      <c r="H852" s="5" t="inlineStr">
        <is>
          <t>Low</t>
        </is>
      </c>
      <c r="I852" s="5" t="n">
        <v>1</v>
      </c>
      <c r="J852" s="5" t="n"/>
      <c r="K852" s="10">
        <f>IFERROR(IF(INDEX('Test catalog'!$F$2:$F$200,MATCH($AB852,'Test catalog'!$A$2:$A$200,0))="","",INDEX('Test catalog'!$F$2:$F$200,MATCH($AB852,'Test catalog'!$A$2:$A$200,0))),"")</f>
        <v/>
      </c>
      <c r="L852" s="10">
        <f>IFERROR(IF(INDEX('Test catalog'!$G$2:$G$200,MATCH($AB852,'Test catalog'!$A$2:$A$200,0))="","",INDEX('Test catalog'!$G$2:$G$200,MATCH($AB852,'Test catalog'!$A$2:$A$200,0))),"")</f>
        <v/>
      </c>
      <c r="M852" s="10">
        <f>IFERROR(IF(INDEX('Test catalog'!$H$2:$H$200,MATCH($AB852,'Test catalog'!$A$2:$A$200,0))="","",INDEX('Test catalog'!$H$2:$H$200,MATCH($AB852,'Test catalog'!$A$2:$A$200,0))),"")</f>
        <v/>
      </c>
      <c r="N852" s="10">
        <f>IFERROR(IF(INDEX('Test catalog'!$I$2:$I$200,MATCH($AB852,'Test catalog'!$A$2:$A$200,0))="","",INDEX('Test catalog'!$I$2:$I$200,MATCH($AB852,'Test catalog'!$A$2:$A$200,0))),"")</f>
        <v/>
      </c>
      <c r="O852" s="10">
        <f>IFERROR(IF(INDEX('Test catalog'!$J$2:$J$200,MATCH($AB852,'Test catalog'!$A$2:$A$200,0))="","",INDEX('Test catalog'!$J$2:$J$200,MATCH($AB852,'Test catalog'!$A$2:$A$200,0))),"")</f>
        <v/>
      </c>
      <c r="P852" s="14">
        <f>IF(N852="","",IF(OR(M852="",O852=""),N852,(M852+4*N852+O852)/6))</f>
        <v/>
      </c>
      <c r="Q852" s="10">
        <f>IFERROR(IF(INDEX('Test catalog'!$K$2:$K$200,MATCH($AB852,'Test catalog'!$A$2:$A$200,0))="","",INDEX('Test catalog'!$K$2:$K$200,MATCH($AB852,'Test catalog'!$A$2:$A$200,0))),"")</f>
        <v/>
      </c>
      <c r="R852" s="5" t="n"/>
      <c r="S852" s="10">
        <f>IFERROR(IF(INDEX('Test catalog'!$L$2:$L$200,MATCH($AB852,'Test catalog'!$A$2:$A$200,0))="","",INDEX('Test catalog'!$L$2:$L$200,MATCH($AB852,'Test catalog'!$A$2:$A$200,0))),"")</f>
        <v/>
      </c>
      <c r="T852" s="10">
        <f>IFERROR(IF(INDEX('Test catalog'!$M$2:$M$200,MATCH($AB852,'Test catalog'!$A$2:$A$200,0))="","",INDEX('Test catalog'!$M$2:$M$200,MATCH($AB852,'Test catalog'!$A$2:$A$200,0))),"")</f>
        <v/>
      </c>
      <c r="U852" s="10">
        <f>IFERROR(IF(INDEX('Test catalog'!$N$2:$N$200,MATCH($AB852,'Test catalog'!$A$2:$A$200,0))="","",INDEX('Test catalog'!$N$2:$N$200,MATCH($AB852,'Test catalog'!$A$2:$A$200,0))),"")</f>
        <v/>
      </c>
      <c r="V852" s="15" t="n"/>
      <c r="W852" s="5" t="inlineStr">
        <is>
          <t>N</t>
        </is>
      </c>
      <c r="X852" s="5" t="n"/>
      <c r="Y852" s="5" t="n"/>
      <c r="Z852" s="5" t="n"/>
      <c r="AA852" s="10">
        <f>IFERROR(IF(INDEX('Test catalog'!$O$2:$O$200,MATCH($AB852,'Test catalog'!$A$2:$A$200,0))="","",INDEX('Test catalog'!$O$2:$O$200,MATCH($AB852,'Test catalog'!$A$2:$A$200,0))),"")</f>
        <v/>
      </c>
      <c r="AB852" s="10" t="inlineStr">
        <is>
          <t>LIMIT</t>
        </is>
      </c>
      <c r="AC852" s="10" t="inlineStr">
        <is>
          <t>Titanium Dioxide · Specific Tests</t>
        </is>
      </c>
      <c r="AD852" s="10" t="n"/>
      <c r="AE852" s="10" t="n"/>
    </row>
    <row r="853">
      <c r="A853" s="10" t="inlineStr">
        <is>
          <t>Phenylethyl Alcohol</t>
        </is>
      </c>
      <c r="B853" s="10" t="inlineStr">
        <is>
          <t>RM</t>
        </is>
      </c>
      <c r="C853" s="10" t="inlineStr">
        <is>
          <t>Other Excipient</t>
        </is>
      </c>
      <c r="D853" s="10" t="inlineStr">
        <is>
          <t>Appearance / description and solubility</t>
        </is>
      </c>
      <c r="E853" s="10">
        <f>IF(A853="","",A853&amp;"|"&amp;D853)</f>
        <v/>
      </c>
      <c r="F853" s="5" t="inlineStr">
        <is>
          <t>Y</t>
        </is>
      </c>
      <c r="G853" s="5" t="inlineStr">
        <is>
          <t>Other / bench</t>
        </is>
      </c>
      <c r="H853" s="5" t="inlineStr">
        <is>
          <t>Low</t>
        </is>
      </c>
      <c r="I853" s="5" t="n">
        <v>1</v>
      </c>
      <c r="J853" s="5" t="n"/>
      <c r="K853" s="10">
        <f>IFERROR(IF(INDEX('Test catalog'!$F$2:$F$200,MATCH($AB853,'Test catalog'!$A$2:$A$200,0))="","",INDEX('Test catalog'!$F$2:$F$200,MATCH($AB853,'Test catalog'!$A$2:$A$200,0))),"")</f>
        <v/>
      </c>
      <c r="L853" s="10">
        <f>IFERROR(IF(INDEX('Test catalog'!$G$2:$G$200,MATCH($AB853,'Test catalog'!$A$2:$A$200,0))="","",INDEX('Test catalog'!$G$2:$G$200,MATCH($AB853,'Test catalog'!$A$2:$A$200,0))),"")</f>
        <v/>
      </c>
      <c r="M853" s="10">
        <f>IFERROR(IF(INDEX('Test catalog'!$H$2:$H$200,MATCH($AB853,'Test catalog'!$A$2:$A$200,0))="","",INDEX('Test catalog'!$H$2:$H$200,MATCH($AB853,'Test catalog'!$A$2:$A$200,0))),"")</f>
        <v/>
      </c>
      <c r="N853" s="10">
        <f>IFERROR(IF(INDEX('Test catalog'!$I$2:$I$200,MATCH($AB853,'Test catalog'!$A$2:$A$200,0))="","",INDEX('Test catalog'!$I$2:$I$200,MATCH($AB853,'Test catalog'!$A$2:$A$200,0))),"")</f>
        <v/>
      </c>
      <c r="O853" s="10">
        <f>IFERROR(IF(INDEX('Test catalog'!$J$2:$J$200,MATCH($AB853,'Test catalog'!$A$2:$A$200,0))="","",INDEX('Test catalog'!$J$2:$J$200,MATCH($AB853,'Test catalog'!$A$2:$A$200,0))),"")</f>
        <v/>
      </c>
      <c r="P853" s="14">
        <f>IF(N853="","",IF(OR(M853="",O853=""),N853,(M853+4*N853+O853)/6))</f>
        <v/>
      </c>
      <c r="Q853" s="10">
        <f>IFERROR(IF(INDEX('Test catalog'!$K$2:$K$200,MATCH($AB853,'Test catalog'!$A$2:$A$200,0))="","",INDEX('Test catalog'!$K$2:$K$200,MATCH($AB853,'Test catalog'!$A$2:$A$200,0))),"")</f>
        <v/>
      </c>
      <c r="R853" s="5" t="n"/>
      <c r="S853" s="10">
        <f>IFERROR(IF(INDEX('Test catalog'!$L$2:$L$200,MATCH($AB853,'Test catalog'!$A$2:$A$200,0))="","",INDEX('Test catalog'!$L$2:$L$200,MATCH($AB853,'Test catalog'!$A$2:$A$200,0))),"")</f>
        <v/>
      </c>
      <c r="T853" s="10">
        <f>IFERROR(IF(INDEX('Test catalog'!$M$2:$M$200,MATCH($AB853,'Test catalog'!$A$2:$A$200,0))="","",INDEX('Test catalog'!$M$2:$M$200,MATCH($AB853,'Test catalog'!$A$2:$A$200,0))),"")</f>
        <v/>
      </c>
      <c r="U853" s="10">
        <f>IFERROR(IF(INDEX('Test catalog'!$N$2:$N$200,MATCH($AB853,'Test catalog'!$A$2:$A$200,0))="","",INDEX('Test catalog'!$N$2:$N$200,MATCH($AB853,'Test catalog'!$A$2:$A$200,0))),"")</f>
        <v/>
      </c>
      <c r="V853" s="15" t="n"/>
      <c r="W853" s="5" t="inlineStr">
        <is>
          <t>N</t>
        </is>
      </c>
      <c r="X853" s="5" t="n"/>
      <c r="Y853" s="5" t="n"/>
      <c r="Z853" s="5" t="n"/>
      <c r="AA853" s="10">
        <f>IFERROR(IF(INDEX('Test catalog'!$O$2:$O$200,MATCH($AB853,'Test catalog'!$A$2:$A$200,0))="","",INDEX('Test catalog'!$O$2:$O$200,MATCH($AB853,'Test catalog'!$A$2:$A$200,0))),"")</f>
        <v/>
      </c>
      <c r="AB853" s="10" t="inlineStr">
        <is>
          <t>APPEAR</t>
        </is>
      </c>
      <c r="AC853" s="10" t="inlineStr">
        <is>
          <t>Lab practice (not a USP test)</t>
        </is>
      </c>
      <c r="AD853" s="10" t="n"/>
      <c r="AE853" s="10" t="n"/>
    </row>
    <row r="854">
      <c r="A854" s="10" t="inlineStr">
        <is>
          <t>Phenylethyl Alcohol</t>
        </is>
      </c>
      <c r="B854" s="10" t="inlineStr">
        <is>
          <t>RM</t>
        </is>
      </c>
      <c r="C854" s="10" t="inlineStr">
        <is>
          <t>Other Excipient</t>
        </is>
      </c>
      <c r="D854" s="10" t="inlineStr">
        <is>
          <t>ID A - IR spectrum</t>
        </is>
      </c>
      <c r="E854" s="10">
        <f>IF(A854="","",A854&amp;"|"&amp;D854)</f>
        <v/>
      </c>
      <c r="F854" s="5" t="inlineStr">
        <is>
          <t>Y</t>
        </is>
      </c>
      <c r="G854" s="5" t="inlineStr">
        <is>
          <t>Other / bench</t>
        </is>
      </c>
      <c r="H854" s="5" t="inlineStr">
        <is>
          <t>Low</t>
        </is>
      </c>
      <c r="I854" s="5" t="n">
        <v>1</v>
      </c>
      <c r="J854" s="5" t="n"/>
      <c r="K854" s="10">
        <f>IFERROR(IF(INDEX('Test catalog'!$F$2:$F$200,MATCH($AB854,'Test catalog'!$A$2:$A$200,0))="","",INDEX('Test catalog'!$F$2:$F$200,MATCH($AB854,'Test catalog'!$A$2:$A$200,0))),"")</f>
        <v/>
      </c>
      <c r="L854" s="10">
        <f>IFERROR(IF(INDEX('Test catalog'!$G$2:$G$200,MATCH($AB854,'Test catalog'!$A$2:$A$200,0))="","",INDEX('Test catalog'!$G$2:$G$200,MATCH($AB854,'Test catalog'!$A$2:$A$200,0))),"")</f>
        <v/>
      </c>
      <c r="M854" s="10">
        <f>IFERROR(IF(INDEX('Test catalog'!$H$2:$H$200,MATCH($AB854,'Test catalog'!$A$2:$A$200,0))="","",INDEX('Test catalog'!$H$2:$H$200,MATCH($AB854,'Test catalog'!$A$2:$A$200,0))),"")</f>
        <v/>
      </c>
      <c r="N854" s="10">
        <f>IFERROR(IF(INDEX('Test catalog'!$I$2:$I$200,MATCH($AB854,'Test catalog'!$A$2:$A$200,0))="","",INDEX('Test catalog'!$I$2:$I$200,MATCH($AB854,'Test catalog'!$A$2:$A$200,0))),"")</f>
        <v/>
      </c>
      <c r="O854" s="10">
        <f>IFERROR(IF(INDEX('Test catalog'!$J$2:$J$200,MATCH($AB854,'Test catalog'!$A$2:$A$200,0))="","",INDEX('Test catalog'!$J$2:$J$200,MATCH($AB854,'Test catalog'!$A$2:$A$200,0))),"")</f>
        <v/>
      </c>
      <c r="P854" s="14">
        <f>IF(N854="","",IF(OR(M854="",O854=""),N854,(M854+4*N854+O854)/6))</f>
        <v/>
      </c>
      <c r="Q854" s="10">
        <f>IFERROR(IF(INDEX('Test catalog'!$K$2:$K$200,MATCH($AB854,'Test catalog'!$A$2:$A$200,0))="","",INDEX('Test catalog'!$K$2:$K$200,MATCH($AB854,'Test catalog'!$A$2:$A$200,0))),"")</f>
        <v/>
      </c>
      <c r="R854" s="5" t="n"/>
      <c r="S854" s="10">
        <f>IFERROR(IF(INDEX('Test catalog'!$L$2:$L$200,MATCH($AB854,'Test catalog'!$A$2:$A$200,0))="","",INDEX('Test catalog'!$L$2:$L$200,MATCH($AB854,'Test catalog'!$A$2:$A$200,0))),"")</f>
        <v/>
      </c>
      <c r="T854" s="10">
        <f>IFERROR(IF(INDEX('Test catalog'!$M$2:$M$200,MATCH($AB854,'Test catalog'!$A$2:$A$200,0))="","",INDEX('Test catalog'!$M$2:$M$200,MATCH($AB854,'Test catalog'!$A$2:$A$200,0))),"")</f>
        <v/>
      </c>
      <c r="U854" s="10">
        <f>IFERROR(IF(INDEX('Test catalog'!$N$2:$N$200,MATCH($AB854,'Test catalog'!$A$2:$A$200,0))="","",INDEX('Test catalog'!$N$2:$N$200,MATCH($AB854,'Test catalog'!$A$2:$A$200,0))),"")</f>
        <v/>
      </c>
      <c r="V854" s="15" t="n"/>
      <c r="W854" s="5" t="inlineStr">
        <is>
          <t>N</t>
        </is>
      </c>
      <c r="X854" s="5" t="n"/>
      <c r="Y854" s="5" t="n"/>
      <c r="Z854" s="5" t="n"/>
      <c r="AA854" s="10">
        <f>IFERROR(IF(INDEX('Test catalog'!$O$2:$O$200,MATCH($AB854,'Test catalog'!$A$2:$A$200,0))="","",INDEX('Test catalog'!$O$2:$O$200,MATCH($AB854,'Test catalog'!$A$2:$A$200,0))),"")</f>
        <v/>
      </c>
      <c r="AB854" s="10" t="inlineStr">
        <is>
          <t>ID_IR</t>
        </is>
      </c>
      <c r="AC854" s="10" t="inlineStr">
        <is>
          <t>Phenylethyl Alcohol · Identification &lt;197&gt;</t>
        </is>
      </c>
      <c r="AD854" s="10" t="n"/>
      <c r="AE854" s="10" t="n"/>
    </row>
    <row r="855">
      <c r="A855" s="10" t="inlineStr">
        <is>
          <t>Phenylethyl Alcohol</t>
        </is>
      </c>
      <c r="B855" s="10" t="inlineStr">
        <is>
          <t>RM</t>
        </is>
      </c>
      <c r="C855" s="10" t="inlineStr">
        <is>
          <t>Other Excipient</t>
        </is>
      </c>
      <c r="D855" s="10" t="inlineStr">
        <is>
          <t>Residue on Ignition</t>
        </is>
      </c>
      <c r="E855" s="10">
        <f>IF(A855="","",A855&amp;"|"&amp;D855)</f>
        <v/>
      </c>
      <c r="F855" s="5" t="inlineStr">
        <is>
          <t>Y</t>
        </is>
      </c>
      <c r="G855" s="5" t="inlineStr">
        <is>
          <t>Other / bench</t>
        </is>
      </c>
      <c r="H855" s="5" t="inlineStr">
        <is>
          <t>Low</t>
        </is>
      </c>
      <c r="I855" s="5" t="n">
        <v>1</v>
      </c>
      <c r="J855" s="5" t="n"/>
      <c r="K855" s="10">
        <f>IFERROR(IF(INDEX('Test catalog'!$F$2:$F$200,MATCH($AB855,'Test catalog'!$A$2:$A$200,0))="","",INDEX('Test catalog'!$F$2:$F$200,MATCH($AB855,'Test catalog'!$A$2:$A$200,0))),"")</f>
        <v/>
      </c>
      <c r="L855" s="10">
        <f>IFERROR(IF(INDEX('Test catalog'!$G$2:$G$200,MATCH($AB855,'Test catalog'!$A$2:$A$200,0))="","",INDEX('Test catalog'!$G$2:$G$200,MATCH($AB855,'Test catalog'!$A$2:$A$200,0))),"")</f>
        <v/>
      </c>
      <c r="M855" s="10">
        <f>IFERROR(IF(INDEX('Test catalog'!$H$2:$H$200,MATCH($AB855,'Test catalog'!$A$2:$A$200,0))="","",INDEX('Test catalog'!$H$2:$H$200,MATCH($AB855,'Test catalog'!$A$2:$A$200,0))),"")</f>
        <v/>
      </c>
      <c r="N855" s="10">
        <f>IFERROR(IF(INDEX('Test catalog'!$I$2:$I$200,MATCH($AB855,'Test catalog'!$A$2:$A$200,0))="","",INDEX('Test catalog'!$I$2:$I$200,MATCH($AB855,'Test catalog'!$A$2:$A$200,0))),"")</f>
        <v/>
      </c>
      <c r="O855" s="10">
        <f>IFERROR(IF(INDEX('Test catalog'!$J$2:$J$200,MATCH($AB855,'Test catalog'!$A$2:$A$200,0))="","",INDEX('Test catalog'!$J$2:$J$200,MATCH($AB855,'Test catalog'!$A$2:$A$200,0))),"")</f>
        <v/>
      </c>
      <c r="P855" s="14">
        <f>IF(N855="","",IF(OR(M855="",O855=""),N855,(M855+4*N855+O855)/6))</f>
        <v/>
      </c>
      <c r="Q855" s="10">
        <f>IFERROR(IF(INDEX('Test catalog'!$K$2:$K$200,MATCH($AB855,'Test catalog'!$A$2:$A$200,0))="","",INDEX('Test catalog'!$K$2:$K$200,MATCH($AB855,'Test catalog'!$A$2:$A$200,0))),"")</f>
        <v/>
      </c>
      <c r="R855" s="5" t="n"/>
      <c r="S855" s="10">
        <f>IFERROR(IF(INDEX('Test catalog'!$L$2:$L$200,MATCH($AB855,'Test catalog'!$A$2:$A$200,0))="","",INDEX('Test catalog'!$L$2:$L$200,MATCH($AB855,'Test catalog'!$A$2:$A$200,0))),"")</f>
        <v/>
      </c>
      <c r="T855" s="10">
        <f>IFERROR(IF(INDEX('Test catalog'!$M$2:$M$200,MATCH($AB855,'Test catalog'!$A$2:$A$200,0))="","",INDEX('Test catalog'!$M$2:$M$200,MATCH($AB855,'Test catalog'!$A$2:$A$200,0))),"")</f>
        <v/>
      </c>
      <c r="U855" s="10">
        <f>IFERROR(IF(INDEX('Test catalog'!$N$2:$N$200,MATCH($AB855,'Test catalog'!$A$2:$A$200,0))="","",INDEX('Test catalog'!$N$2:$N$200,MATCH($AB855,'Test catalog'!$A$2:$A$200,0))),"")</f>
        <v/>
      </c>
      <c r="V855" s="15" t="n"/>
      <c r="W855" s="5" t="inlineStr">
        <is>
          <t>N</t>
        </is>
      </c>
      <c r="X855" s="5" t="n"/>
      <c r="Y855" s="5" t="n"/>
      <c r="Z855" s="5" t="n"/>
      <c r="AA855" s="10">
        <f>IFERROR(IF(INDEX('Test catalog'!$O$2:$O$200,MATCH($AB855,'Test catalog'!$A$2:$A$200,0))="","",INDEX('Test catalog'!$O$2:$O$200,MATCH($AB855,'Test catalog'!$A$2:$A$200,0))),"")</f>
        <v/>
      </c>
      <c r="AB855" s="10" t="inlineStr">
        <is>
          <t>ROI</t>
        </is>
      </c>
      <c r="AC855" s="10" t="inlineStr">
        <is>
          <t>Phenylethyl Alcohol · Impurities &lt;281&gt;</t>
        </is>
      </c>
      <c r="AD855" s="10" t="n"/>
      <c r="AE855" s="10" t="n"/>
    </row>
    <row r="856">
      <c r="A856" s="10" t="inlineStr">
        <is>
          <t>Phenylethyl Alcohol</t>
        </is>
      </c>
      <c r="B856" s="10" t="inlineStr">
        <is>
          <t>RM</t>
        </is>
      </c>
      <c r="C856" s="10" t="inlineStr">
        <is>
          <t>Other Excipient</t>
        </is>
      </c>
      <c r="D856" s="10" t="inlineStr">
        <is>
          <t>Refractive Index</t>
        </is>
      </c>
      <c r="E856" s="10">
        <f>IF(A856="","",A856&amp;"|"&amp;D856)</f>
        <v/>
      </c>
      <c r="F856" s="5" t="inlineStr">
        <is>
          <t>Y</t>
        </is>
      </c>
      <c r="G856" s="5" t="inlineStr">
        <is>
          <t>Other / bench</t>
        </is>
      </c>
      <c r="H856" s="5" t="inlineStr">
        <is>
          <t>Low</t>
        </is>
      </c>
      <c r="I856" s="5" t="n">
        <v>1</v>
      </c>
      <c r="J856" s="5" t="n"/>
      <c r="K856" s="10">
        <f>IFERROR(IF(INDEX('Test catalog'!$F$2:$F$200,MATCH($AB856,'Test catalog'!$A$2:$A$200,0))="","",INDEX('Test catalog'!$F$2:$F$200,MATCH($AB856,'Test catalog'!$A$2:$A$200,0))),"")</f>
        <v/>
      </c>
      <c r="L856" s="10">
        <f>IFERROR(IF(INDEX('Test catalog'!$G$2:$G$200,MATCH($AB856,'Test catalog'!$A$2:$A$200,0))="","",INDEX('Test catalog'!$G$2:$G$200,MATCH($AB856,'Test catalog'!$A$2:$A$200,0))),"")</f>
        <v/>
      </c>
      <c r="M856" s="10">
        <f>IFERROR(IF(INDEX('Test catalog'!$H$2:$H$200,MATCH($AB856,'Test catalog'!$A$2:$A$200,0))="","",INDEX('Test catalog'!$H$2:$H$200,MATCH($AB856,'Test catalog'!$A$2:$A$200,0))),"")</f>
        <v/>
      </c>
      <c r="N856" s="10">
        <f>IFERROR(IF(INDEX('Test catalog'!$I$2:$I$200,MATCH($AB856,'Test catalog'!$A$2:$A$200,0))="","",INDEX('Test catalog'!$I$2:$I$200,MATCH($AB856,'Test catalog'!$A$2:$A$200,0))),"")</f>
        <v/>
      </c>
      <c r="O856" s="10">
        <f>IFERROR(IF(INDEX('Test catalog'!$J$2:$J$200,MATCH($AB856,'Test catalog'!$A$2:$A$200,0))="","",INDEX('Test catalog'!$J$2:$J$200,MATCH($AB856,'Test catalog'!$A$2:$A$200,0))),"")</f>
        <v/>
      </c>
      <c r="P856" s="14">
        <f>IF(N856="","",IF(OR(M856="",O856=""),N856,(M856+4*N856+O856)/6))</f>
        <v/>
      </c>
      <c r="Q856" s="10">
        <f>IFERROR(IF(INDEX('Test catalog'!$K$2:$K$200,MATCH($AB856,'Test catalog'!$A$2:$A$200,0))="","",INDEX('Test catalog'!$K$2:$K$200,MATCH($AB856,'Test catalog'!$A$2:$A$200,0))),"")</f>
        <v/>
      </c>
      <c r="R856" s="5" t="n"/>
      <c r="S856" s="10">
        <f>IFERROR(IF(INDEX('Test catalog'!$L$2:$L$200,MATCH($AB856,'Test catalog'!$A$2:$A$200,0))="","",INDEX('Test catalog'!$L$2:$L$200,MATCH($AB856,'Test catalog'!$A$2:$A$200,0))),"")</f>
        <v/>
      </c>
      <c r="T856" s="10">
        <f>IFERROR(IF(INDEX('Test catalog'!$M$2:$M$200,MATCH($AB856,'Test catalog'!$A$2:$A$200,0))="","",INDEX('Test catalog'!$M$2:$M$200,MATCH($AB856,'Test catalog'!$A$2:$A$200,0))),"")</f>
        <v/>
      </c>
      <c r="U856" s="10">
        <f>IFERROR(IF(INDEX('Test catalog'!$N$2:$N$200,MATCH($AB856,'Test catalog'!$A$2:$A$200,0))="","",INDEX('Test catalog'!$N$2:$N$200,MATCH($AB856,'Test catalog'!$A$2:$A$200,0))),"")</f>
        <v/>
      </c>
      <c r="V856" s="15" t="n"/>
      <c r="W856" s="5" t="inlineStr">
        <is>
          <t>N</t>
        </is>
      </c>
      <c r="X856" s="5" t="n"/>
      <c r="Y856" s="5" t="n"/>
      <c r="Z856" s="5" t="n"/>
      <c r="AA856" s="10">
        <f>IFERROR(IF(INDEX('Test catalog'!$O$2:$O$200,MATCH($AB856,'Test catalog'!$A$2:$A$200,0))="","",INDEX('Test catalog'!$O$2:$O$200,MATCH($AB856,'Test catalog'!$A$2:$A$200,0))),"")</f>
        <v/>
      </c>
      <c r="AB856" s="10" t="inlineStr">
        <is>
          <t>RI</t>
        </is>
      </c>
      <c r="AC856" s="10" t="inlineStr">
        <is>
          <t>Phenylethyl Alcohol · Specific Tests &lt;831&gt;</t>
        </is>
      </c>
      <c r="AD856" s="10" t="n"/>
      <c r="AE856" s="10" t="n"/>
    </row>
    <row r="857">
      <c r="A857" s="10" t="inlineStr">
        <is>
          <t>Phenylethyl Alcohol</t>
        </is>
      </c>
      <c r="B857" s="10" t="inlineStr">
        <is>
          <t>RM</t>
        </is>
      </c>
      <c r="C857" s="10" t="inlineStr">
        <is>
          <t>Other Excipient</t>
        </is>
      </c>
      <c r="D857" s="10" t="inlineStr">
        <is>
          <t>Chlorinated Compounds</t>
        </is>
      </c>
      <c r="E857" s="10">
        <f>IF(A857="","",A857&amp;"|"&amp;D857)</f>
        <v/>
      </c>
      <c r="F857" s="5" t="inlineStr">
        <is>
          <t>Y</t>
        </is>
      </c>
      <c r="G857" s="5" t="inlineStr">
        <is>
          <t>Other / bench</t>
        </is>
      </c>
      <c r="H857" s="5" t="inlineStr">
        <is>
          <t>Low</t>
        </is>
      </c>
      <c r="I857" s="5" t="n">
        <v>1</v>
      </c>
      <c r="J857" s="5" t="n"/>
      <c r="K857" s="10">
        <f>IFERROR(IF(INDEX('Test catalog'!$F$2:$F$200,MATCH($AB857,'Test catalog'!$A$2:$A$200,0))="","",INDEX('Test catalog'!$F$2:$F$200,MATCH($AB857,'Test catalog'!$A$2:$A$200,0))),"")</f>
        <v/>
      </c>
      <c r="L857" s="10">
        <f>IFERROR(IF(INDEX('Test catalog'!$G$2:$G$200,MATCH($AB857,'Test catalog'!$A$2:$A$200,0))="","",INDEX('Test catalog'!$G$2:$G$200,MATCH($AB857,'Test catalog'!$A$2:$A$200,0))),"")</f>
        <v/>
      </c>
      <c r="M857" s="10">
        <f>IFERROR(IF(INDEX('Test catalog'!$H$2:$H$200,MATCH($AB857,'Test catalog'!$A$2:$A$200,0))="","",INDEX('Test catalog'!$H$2:$H$200,MATCH($AB857,'Test catalog'!$A$2:$A$200,0))),"")</f>
        <v/>
      </c>
      <c r="N857" s="10">
        <f>IFERROR(IF(INDEX('Test catalog'!$I$2:$I$200,MATCH($AB857,'Test catalog'!$A$2:$A$200,0))="","",INDEX('Test catalog'!$I$2:$I$200,MATCH($AB857,'Test catalog'!$A$2:$A$200,0))),"")</f>
        <v/>
      </c>
      <c r="O857" s="10">
        <f>IFERROR(IF(INDEX('Test catalog'!$J$2:$J$200,MATCH($AB857,'Test catalog'!$A$2:$A$200,0))="","",INDEX('Test catalog'!$J$2:$J$200,MATCH($AB857,'Test catalog'!$A$2:$A$200,0))),"")</f>
        <v/>
      </c>
      <c r="P857" s="14">
        <f>IF(N857="","",IF(OR(M857="",O857=""),N857,(M857+4*N857+O857)/6))</f>
        <v/>
      </c>
      <c r="Q857" s="10">
        <f>IFERROR(IF(INDEX('Test catalog'!$K$2:$K$200,MATCH($AB857,'Test catalog'!$A$2:$A$200,0))="","",INDEX('Test catalog'!$K$2:$K$200,MATCH($AB857,'Test catalog'!$A$2:$A$200,0))),"")</f>
        <v/>
      </c>
      <c r="R857" s="5" t="n"/>
      <c r="S857" s="10">
        <f>IFERROR(IF(INDEX('Test catalog'!$L$2:$L$200,MATCH($AB857,'Test catalog'!$A$2:$A$200,0))="","",INDEX('Test catalog'!$L$2:$L$200,MATCH($AB857,'Test catalog'!$A$2:$A$200,0))),"")</f>
        <v/>
      </c>
      <c r="T857" s="10">
        <f>IFERROR(IF(INDEX('Test catalog'!$M$2:$M$200,MATCH($AB857,'Test catalog'!$A$2:$A$200,0))="","",INDEX('Test catalog'!$M$2:$M$200,MATCH($AB857,'Test catalog'!$A$2:$A$200,0))),"")</f>
        <v/>
      </c>
      <c r="U857" s="10">
        <f>IFERROR(IF(INDEX('Test catalog'!$N$2:$N$200,MATCH($AB857,'Test catalog'!$A$2:$A$200,0))="","",INDEX('Test catalog'!$N$2:$N$200,MATCH($AB857,'Test catalog'!$A$2:$A$200,0))),"")</f>
        <v/>
      </c>
      <c r="V857" s="15" t="n"/>
      <c r="W857" s="5" t="inlineStr">
        <is>
          <t>N</t>
        </is>
      </c>
      <c r="X857" s="5" t="n"/>
      <c r="Y857" s="5" t="n"/>
      <c r="Z857" s="5" t="n"/>
      <c r="AA857" s="10">
        <f>IFERROR(IF(INDEX('Test catalog'!$O$2:$O$200,MATCH($AB857,'Test catalog'!$A$2:$A$200,0))="","",INDEX('Test catalog'!$O$2:$O$200,MATCH($AB857,'Test catalog'!$A$2:$A$200,0))),"")</f>
        <v/>
      </c>
      <c r="AB857" s="10" t="inlineStr">
        <is>
          <t>LIMIT</t>
        </is>
      </c>
      <c r="AC857" s="10" t="inlineStr">
        <is>
          <t>Phenylethyl Alcohol · Specific Tests</t>
        </is>
      </c>
      <c r="AD857" s="10" t="n"/>
      <c r="AE857" s="10" t="n"/>
    </row>
    <row r="858">
      <c r="A858" s="10" t="inlineStr">
        <is>
          <t>Phenylethyl Alcohol</t>
        </is>
      </c>
      <c r="B858" s="10" t="inlineStr">
        <is>
          <t>RM</t>
        </is>
      </c>
      <c r="C858" s="10" t="inlineStr">
        <is>
          <t>Other Excipient</t>
        </is>
      </c>
      <c r="D858" s="10" t="inlineStr">
        <is>
          <t>Specific Gravity</t>
        </is>
      </c>
      <c r="E858" s="10">
        <f>IF(A858="","",A858&amp;"|"&amp;D858)</f>
        <v/>
      </c>
      <c r="F858" s="5" t="inlineStr">
        <is>
          <t>Y</t>
        </is>
      </c>
      <c r="G858" s="5" t="inlineStr">
        <is>
          <t>Other / bench</t>
        </is>
      </c>
      <c r="H858" s="5" t="inlineStr">
        <is>
          <t>Low</t>
        </is>
      </c>
      <c r="I858" s="5" t="n">
        <v>1</v>
      </c>
      <c r="J858" s="5" t="n"/>
      <c r="K858" s="10">
        <f>IFERROR(IF(INDEX('Test catalog'!$F$2:$F$200,MATCH($AB858,'Test catalog'!$A$2:$A$200,0))="","",INDEX('Test catalog'!$F$2:$F$200,MATCH($AB858,'Test catalog'!$A$2:$A$200,0))),"")</f>
        <v/>
      </c>
      <c r="L858" s="10">
        <f>IFERROR(IF(INDEX('Test catalog'!$G$2:$G$200,MATCH($AB858,'Test catalog'!$A$2:$A$200,0))="","",INDEX('Test catalog'!$G$2:$G$200,MATCH($AB858,'Test catalog'!$A$2:$A$200,0))),"")</f>
        <v/>
      </c>
      <c r="M858" s="10">
        <f>IFERROR(IF(INDEX('Test catalog'!$H$2:$H$200,MATCH($AB858,'Test catalog'!$A$2:$A$200,0))="","",INDEX('Test catalog'!$H$2:$H$200,MATCH($AB858,'Test catalog'!$A$2:$A$200,0))),"")</f>
        <v/>
      </c>
      <c r="N858" s="10">
        <f>IFERROR(IF(INDEX('Test catalog'!$I$2:$I$200,MATCH($AB858,'Test catalog'!$A$2:$A$200,0))="","",INDEX('Test catalog'!$I$2:$I$200,MATCH($AB858,'Test catalog'!$A$2:$A$200,0))),"")</f>
        <v/>
      </c>
      <c r="O858" s="10">
        <f>IFERROR(IF(INDEX('Test catalog'!$J$2:$J$200,MATCH($AB858,'Test catalog'!$A$2:$A$200,0))="","",INDEX('Test catalog'!$J$2:$J$200,MATCH($AB858,'Test catalog'!$A$2:$A$200,0))),"")</f>
        <v/>
      </c>
      <c r="P858" s="14">
        <f>IF(N858="","",IF(OR(M858="",O858=""),N858,(M858+4*N858+O858)/6))</f>
        <v/>
      </c>
      <c r="Q858" s="10">
        <f>IFERROR(IF(INDEX('Test catalog'!$K$2:$K$200,MATCH($AB858,'Test catalog'!$A$2:$A$200,0))="","",INDEX('Test catalog'!$K$2:$K$200,MATCH($AB858,'Test catalog'!$A$2:$A$200,0))),"")</f>
        <v/>
      </c>
      <c r="R858" s="5" t="n"/>
      <c r="S858" s="10">
        <f>IFERROR(IF(INDEX('Test catalog'!$L$2:$L$200,MATCH($AB858,'Test catalog'!$A$2:$A$200,0))="","",INDEX('Test catalog'!$L$2:$L$200,MATCH($AB858,'Test catalog'!$A$2:$A$200,0))),"")</f>
        <v/>
      </c>
      <c r="T858" s="10">
        <f>IFERROR(IF(INDEX('Test catalog'!$M$2:$M$200,MATCH($AB858,'Test catalog'!$A$2:$A$200,0))="","",INDEX('Test catalog'!$M$2:$M$200,MATCH($AB858,'Test catalog'!$A$2:$A$200,0))),"")</f>
        <v/>
      </c>
      <c r="U858" s="10">
        <f>IFERROR(IF(INDEX('Test catalog'!$N$2:$N$200,MATCH($AB858,'Test catalog'!$A$2:$A$200,0))="","",INDEX('Test catalog'!$N$2:$N$200,MATCH($AB858,'Test catalog'!$A$2:$A$200,0))),"")</f>
        <v/>
      </c>
      <c r="V858" s="15" t="n"/>
      <c r="W858" s="5" t="inlineStr">
        <is>
          <t>N</t>
        </is>
      </c>
      <c r="X858" s="5" t="n"/>
      <c r="Y858" s="5" t="n"/>
      <c r="Z858" s="5" t="n"/>
      <c r="AA858" s="10">
        <f>IFERROR(IF(INDEX('Test catalog'!$O$2:$O$200,MATCH($AB858,'Test catalog'!$A$2:$A$200,0))="","",INDEX('Test catalog'!$O$2:$O$200,MATCH($AB858,'Test catalog'!$A$2:$A$200,0))),"")</f>
        <v/>
      </c>
      <c r="AB858" s="10" t="inlineStr">
        <is>
          <t>SG</t>
        </is>
      </c>
      <c r="AC858" s="10" t="inlineStr">
        <is>
          <t>Phenylethyl Alcohol · Specific Tests &lt;841&gt;</t>
        </is>
      </c>
      <c r="AD858" s="10" t="n"/>
      <c r="AE858" s="10" t="n"/>
    </row>
    <row r="859">
      <c r="A859" s="10" t="inlineStr">
        <is>
          <t>Phenylethyl Alcohol</t>
        </is>
      </c>
      <c r="B859" s="10" t="inlineStr">
        <is>
          <t>RM</t>
        </is>
      </c>
      <c r="C859" s="10" t="inlineStr">
        <is>
          <t>Other Excipient</t>
        </is>
      </c>
      <c r="D859" s="10" t="inlineStr">
        <is>
          <t>Aldehyde</t>
        </is>
      </c>
      <c r="E859" s="10">
        <f>IF(A859="","",A859&amp;"|"&amp;D859)</f>
        <v/>
      </c>
      <c r="F859" s="5" t="inlineStr">
        <is>
          <t>Y</t>
        </is>
      </c>
      <c r="G859" s="5" t="inlineStr">
        <is>
          <t>Other / bench</t>
        </is>
      </c>
      <c r="H859" s="5" t="inlineStr">
        <is>
          <t>Low</t>
        </is>
      </c>
      <c r="I859" s="5" t="n">
        <v>1</v>
      </c>
      <c r="J859" s="5" t="n"/>
      <c r="K859" s="10">
        <f>IFERROR(IF(INDEX('Test catalog'!$F$2:$F$200,MATCH($AB859,'Test catalog'!$A$2:$A$200,0))="","",INDEX('Test catalog'!$F$2:$F$200,MATCH($AB859,'Test catalog'!$A$2:$A$200,0))),"")</f>
        <v/>
      </c>
      <c r="L859" s="10">
        <f>IFERROR(IF(INDEX('Test catalog'!$G$2:$G$200,MATCH($AB859,'Test catalog'!$A$2:$A$200,0))="","",INDEX('Test catalog'!$G$2:$G$200,MATCH($AB859,'Test catalog'!$A$2:$A$200,0))),"")</f>
        <v/>
      </c>
      <c r="M859" s="10">
        <f>IFERROR(IF(INDEX('Test catalog'!$H$2:$H$200,MATCH($AB859,'Test catalog'!$A$2:$A$200,0))="","",INDEX('Test catalog'!$H$2:$H$200,MATCH($AB859,'Test catalog'!$A$2:$A$200,0))),"")</f>
        <v/>
      </c>
      <c r="N859" s="10">
        <f>IFERROR(IF(INDEX('Test catalog'!$I$2:$I$200,MATCH($AB859,'Test catalog'!$A$2:$A$200,0))="","",INDEX('Test catalog'!$I$2:$I$200,MATCH($AB859,'Test catalog'!$A$2:$A$200,0))),"")</f>
        <v/>
      </c>
      <c r="O859" s="10">
        <f>IFERROR(IF(INDEX('Test catalog'!$J$2:$J$200,MATCH($AB859,'Test catalog'!$A$2:$A$200,0))="","",INDEX('Test catalog'!$J$2:$J$200,MATCH($AB859,'Test catalog'!$A$2:$A$200,0))),"")</f>
        <v/>
      </c>
      <c r="P859" s="14">
        <f>IF(N859="","",IF(OR(M859="",O859=""),N859,(M859+4*N859+O859)/6))</f>
        <v/>
      </c>
      <c r="Q859" s="10">
        <f>IFERROR(IF(INDEX('Test catalog'!$K$2:$K$200,MATCH($AB859,'Test catalog'!$A$2:$A$200,0))="","",INDEX('Test catalog'!$K$2:$K$200,MATCH($AB859,'Test catalog'!$A$2:$A$200,0))),"")</f>
        <v/>
      </c>
      <c r="R859" s="5" t="n"/>
      <c r="S859" s="10">
        <f>IFERROR(IF(INDEX('Test catalog'!$L$2:$L$200,MATCH($AB859,'Test catalog'!$A$2:$A$200,0))="","",INDEX('Test catalog'!$L$2:$L$200,MATCH($AB859,'Test catalog'!$A$2:$A$200,0))),"")</f>
        <v/>
      </c>
      <c r="T859" s="10">
        <f>IFERROR(IF(INDEX('Test catalog'!$M$2:$M$200,MATCH($AB859,'Test catalog'!$A$2:$A$200,0))="","",INDEX('Test catalog'!$M$2:$M$200,MATCH($AB859,'Test catalog'!$A$2:$A$200,0))),"")</f>
        <v/>
      </c>
      <c r="U859" s="10">
        <f>IFERROR(IF(INDEX('Test catalog'!$N$2:$N$200,MATCH($AB859,'Test catalog'!$A$2:$A$200,0))="","",INDEX('Test catalog'!$N$2:$N$200,MATCH($AB859,'Test catalog'!$A$2:$A$200,0))),"")</f>
        <v/>
      </c>
      <c r="V859" s="15" t="n"/>
      <c r="W859" s="5" t="inlineStr">
        <is>
          <t>N</t>
        </is>
      </c>
      <c r="X859" s="5" t="n"/>
      <c r="Y859" s="5" t="n"/>
      <c r="Z859" s="5" t="n"/>
      <c r="AA859" s="10">
        <f>IFERROR(IF(INDEX('Test catalog'!$O$2:$O$200,MATCH($AB859,'Test catalog'!$A$2:$A$200,0))="","",INDEX('Test catalog'!$O$2:$O$200,MATCH($AB859,'Test catalog'!$A$2:$A$200,0))),"")</f>
        <v/>
      </c>
      <c r="AB859" s="10" t="inlineStr">
        <is>
          <t>LIMIT</t>
        </is>
      </c>
      <c r="AC859" s="10" t="inlineStr">
        <is>
          <t>Phenylethyl Alcohol · Specific Tests</t>
        </is>
      </c>
      <c r="AD859" s="10" t="n"/>
      <c r="AE859" s="10" t="n"/>
    </row>
    <row r="860">
      <c r="A860" s="10" t="inlineStr">
        <is>
          <t>Sodium Chloride</t>
        </is>
      </c>
      <c r="B860" s="10" t="inlineStr">
        <is>
          <t>RM</t>
        </is>
      </c>
      <c r="C860" s="10" t="inlineStr">
        <is>
          <t>Other Excipient</t>
        </is>
      </c>
      <c r="D860" s="10" t="inlineStr">
        <is>
          <t>Appearance / description and solubility</t>
        </is>
      </c>
      <c r="E860" s="10">
        <f>IF(A860="","",A860&amp;"|"&amp;D860)</f>
        <v/>
      </c>
      <c r="F860" s="5" t="inlineStr">
        <is>
          <t>Y</t>
        </is>
      </c>
      <c r="G860" s="5" t="inlineStr">
        <is>
          <t>Other / bench</t>
        </is>
      </c>
      <c r="H860" s="5" t="inlineStr">
        <is>
          <t>Low</t>
        </is>
      </c>
      <c r="I860" s="5" t="n">
        <v>1</v>
      </c>
      <c r="J860" s="5" t="n"/>
      <c r="K860" s="10">
        <f>IFERROR(IF(INDEX('Test catalog'!$F$2:$F$200,MATCH($AB860,'Test catalog'!$A$2:$A$200,0))="","",INDEX('Test catalog'!$F$2:$F$200,MATCH($AB860,'Test catalog'!$A$2:$A$200,0))),"")</f>
        <v/>
      </c>
      <c r="L860" s="10">
        <f>IFERROR(IF(INDEX('Test catalog'!$G$2:$G$200,MATCH($AB860,'Test catalog'!$A$2:$A$200,0))="","",INDEX('Test catalog'!$G$2:$G$200,MATCH($AB860,'Test catalog'!$A$2:$A$200,0))),"")</f>
        <v/>
      </c>
      <c r="M860" s="10">
        <f>IFERROR(IF(INDEX('Test catalog'!$H$2:$H$200,MATCH($AB860,'Test catalog'!$A$2:$A$200,0))="","",INDEX('Test catalog'!$H$2:$H$200,MATCH($AB860,'Test catalog'!$A$2:$A$200,0))),"")</f>
        <v/>
      </c>
      <c r="N860" s="10">
        <f>IFERROR(IF(INDEX('Test catalog'!$I$2:$I$200,MATCH($AB860,'Test catalog'!$A$2:$A$200,0))="","",INDEX('Test catalog'!$I$2:$I$200,MATCH($AB860,'Test catalog'!$A$2:$A$200,0))),"")</f>
        <v/>
      </c>
      <c r="O860" s="10">
        <f>IFERROR(IF(INDEX('Test catalog'!$J$2:$J$200,MATCH($AB860,'Test catalog'!$A$2:$A$200,0))="","",INDEX('Test catalog'!$J$2:$J$200,MATCH($AB860,'Test catalog'!$A$2:$A$200,0))),"")</f>
        <v/>
      </c>
      <c r="P860" s="14">
        <f>IF(N860="","",IF(OR(M860="",O860=""),N860,(M860+4*N860+O860)/6))</f>
        <v/>
      </c>
      <c r="Q860" s="10">
        <f>IFERROR(IF(INDEX('Test catalog'!$K$2:$K$200,MATCH($AB860,'Test catalog'!$A$2:$A$200,0))="","",INDEX('Test catalog'!$K$2:$K$200,MATCH($AB860,'Test catalog'!$A$2:$A$200,0))),"")</f>
        <v/>
      </c>
      <c r="R860" s="5" t="n"/>
      <c r="S860" s="10">
        <f>IFERROR(IF(INDEX('Test catalog'!$L$2:$L$200,MATCH($AB860,'Test catalog'!$A$2:$A$200,0))="","",INDEX('Test catalog'!$L$2:$L$200,MATCH($AB860,'Test catalog'!$A$2:$A$200,0))),"")</f>
        <v/>
      </c>
      <c r="T860" s="10">
        <f>IFERROR(IF(INDEX('Test catalog'!$M$2:$M$200,MATCH($AB860,'Test catalog'!$A$2:$A$200,0))="","",INDEX('Test catalog'!$M$2:$M$200,MATCH($AB860,'Test catalog'!$A$2:$A$200,0))),"")</f>
        <v/>
      </c>
      <c r="U860" s="10">
        <f>IFERROR(IF(INDEX('Test catalog'!$N$2:$N$200,MATCH($AB860,'Test catalog'!$A$2:$A$200,0))="","",INDEX('Test catalog'!$N$2:$N$200,MATCH($AB860,'Test catalog'!$A$2:$A$200,0))),"")</f>
        <v/>
      </c>
      <c r="V860" s="15" t="n"/>
      <c r="W860" s="5" t="inlineStr">
        <is>
          <t>N</t>
        </is>
      </c>
      <c r="X860" s="5" t="n"/>
      <c r="Y860" s="5" t="n"/>
      <c r="Z860" s="5" t="n"/>
      <c r="AA860" s="10">
        <f>IFERROR(IF(INDEX('Test catalog'!$O$2:$O$200,MATCH($AB860,'Test catalog'!$A$2:$A$200,0))="","",INDEX('Test catalog'!$O$2:$O$200,MATCH($AB860,'Test catalog'!$A$2:$A$200,0))),"")</f>
        <v/>
      </c>
      <c r="AB860" s="10" t="inlineStr">
        <is>
          <t>APPEAR</t>
        </is>
      </c>
      <c r="AC860" s="10" t="inlineStr">
        <is>
          <t>Lab practice (not a USP test)</t>
        </is>
      </c>
      <c r="AD860" s="10" t="n"/>
      <c r="AE860" s="10" t="n"/>
    </row>
    <row r="861">
      <c r="A861" s="10" t="inlineStr">
        <is>
          <t>Sodium Chloride</t>
        </is>
      </c>
      <c r="B861" s="10" t="inlineStr">
        <is>
          <t>RM</t>
        </is>
      </c>
      <c r="C861" s="10" t="inlineStr">
        <is>
          <t>Other Excipient</t>
        </is>
      </c>
      <c r="D861" s="10" t="inlineStr">
        <is>
          <t>ID A - chemical reaction</t>
        </is>
      </c>
      <c r="E861" s="10">
        <f>IF(A861="","",A861&amp;"|"&amp;D861)</f>
        <v/>
      </c>
      <c r="F861" s="5" t="inlineStr">
        <is>
          <t>Y</t>
        </is>
      </c>
      <c r="G861" s="5" t="inlineStr">
        <is>
          <t>Other / bench</t>
        </is>
      </c>
      <c r="H861" s="5" t="inlineStr">
        <is>
          <t>Low</t>
        </is>
      </c>
      <c r="I861" s="5" t="n">
        <v>1</v>
      </c>
      <c r="J861" s="5" t="n"/>
      <c r="K861" s="10">
        <f>IFERROR(IF(INDEX('Test catalog'!$F$2:$F$200,MATCH($AB861,'Test catalog'!$A$2:$A$200,0))="","",INDEX('Test catalog'!$F$2:$F$200,MATCH($AB861,'Test catalog'!$A$2:$A$200,0))),"")</f>
        <v/>
      </c>
      <c r="L861" s="10">
        <f>IFERROR(IF(INDEX('Test catalog'!$G$2:$G$200,MATCH($AB861,'Test catalog'!$A$2:$A$200,0))="","",INDEX('Test catalog'!$G$2:$G$200,MATCH($AB861,'Test catalog'!$A$2:$A$200,0))),"")</f>
        <v/>
      </c>
      <c r="M861" s="10">
        <f>IFERROR(IF(INDEX('Test catalog'!$H$2:$H$200,MATCH($AB861,'Test catalog'!$A$2:$A$200,0))="","",INDEX('Test catalog'!$H$2:$H$200,MATCH($AB861,'Test catalog'!$A$2:$A$200,0))),"")</f>
        <v/>
      </c>
      <c r="N861" s="10">
        <f>IFERROR(IF(INDEX('Test catalog'!$I$2:$I$200,MATCH($AB861,'Test catalog'!$A$2:$A$200,0))="","",INDEX('Test catalog'!$I$2:$I$200,MATCH($AB861,'Test catalog'!$A$2:$A$200,0))),"")</f>
        <v/>
      </c>
      <c r="O861" s="10">
        <f>IFERROR(IF(INDEX('Test catalog'!$J$2:$J$200,MATCH($AB861,'Test catalog'!$A$2:$A$200,0))="","",INDEX('Test catalog'!$J$2:$J$200,MATCH($AB861,'Test catalog'!$A$2:$A$200,0))),"")</f>
        <v/>
      </c>
      <c r="P861" s="14">
        <f>IF(N861="","",IF(OR(M861="",O861=""),N861,(M861+4*N861+O861)/6))</f>
        <v/>
      </c>
      <c r="Q861" s="10">
        <f>IFERROR(IF(INDEX('Test catalog'!$K$2:$K$200,MATCH($AB861,'Test catalog'!$A$2:$A$200,0))="","",INDEX('Test catalog'!$K$2:$K$200,MATCH($AB861,'Test catalog'!$A$2:$A$200,0))),"")</f>
        <v/>
      </c>
      <c r="R861" s="5" t="n"/>
      <c r="S861" s="10">
        <f>IFERROR(IF(INDEX('Test catalog'!$L$2:$L$200,MATCH($AB861,'Test catalog'!$A$2:$A$200,0))="","",INDEX('Test catalog'!$L$2:$L$200,MATCH($AB861,'Test catalog'!$A$2:$A$200,0))),"")</f>
        <v/>
      </c>
      <c r="T861" s="10">
        <f>IFERROR(IF(INDEX('Test catalog'!$M$2:$M$200,MATCH($AB861,'Test catalog'!$A$2:$A$200,0))="","",INDEX('Test catalog'!$M$2:$M$200,MATCH($AB861,'Test catalog'!$A$2:$A$200,0))),"")</f>
        <v/>
      </c>
      <c r="U861" s="10">
        <f>IFERROR(IF(INDEX('Test catalog'!$N$2:$N$200,MATCH($AB861,'Test catalog'!$A$2:$A$200,0))="","",INDEX('Test catalog'!$N$2:$N$200,MATCH($AB861,'Test catalog'!$A$2:$A$200,0))),"")</f>
        <v/>
      </c>
      <c r="V861" s="15" t="n"/>
      <c r="W861" s="5" t="inlineStr">
        <is>
          <t>N</t>
        </is>
      </c>
      <c r="X861" s="5" t="n"/>
      <c r="Y861" s="5" t="n"/>
      <c r="Z861" s="5" t="n"/>
      <c r="AA861" s="10">
        <f>IFERROR(IF(INDEX('Test catalog'!$O$2:$O$200,MATCH($AB861,'Test catalog'!$A$2:$A$200,0))="","",INDEX('Test catalog'!$O$2:$O$200,MATCH($AB861,'Test catalog'!$A$2:$A$200,0))),"")</f>
        <v/>
      </c>
      <c r="AB861" s="10" t="inlineStr">
        <is>
          <t>ID_CHEM</t>
        </is>
      </c>
      <c r="AC861" s="10" t="inlineStr">
        <is>
          <t>Sodium Chloride · Identification &lt;191&gt;</t>
        </is>
      </c>
      <c r="AD861" s="10" t="n"/>
      <c r="AE861" s="10" t="n"/>
    </row>
    <row r="862">
      <c r="A862" s="10" t="inlineStr">
        <is>
          <t>Sodium Chloride</t>
        </is>
      </c>
      <c r="B862" s="10" t="inlineStr">
        <is>
          <t>RM</t>
        </is>
      </c>
      <c r="C862" s="10" t="inlineStr">
        <is>
          <t>Other Excipient</t>
        </is>
      </c>
      <c r="D862" s="10" t="inlineStr">
        <is>
          <t>ID B - chemical reaction</t>
        </is>
      </c>
      <c r="E862" s="10">
        <f>IF(A862="","",A862&amp;"|"&amp;D862)</f>
        <v/>
      </c>
      <c r="F862" s="5" t="inlineStr">
        <is>
          <t>Y</t>
        </is>
      </c>
      <c r="G862" s="5" t="inlineStr">
        <is>
          <t>Other / bench</t>
        </is>
      </c>
      <c r="H862" s="5" t="inlineStr">
        <is>
          <t>Low</t>
        </is>
      </c>
      <c r="I862" s="5" t="n">
        <v>1</v>
      </c>
      <c r="J862" s="5" t="n"/>
      <c r="K862" s="10">
        <f>IFERROR(IF(INDEX('Test catalog'!$F$2:$F$200,MATCH($AB862,'Test catalog'!$A$2:$A$200,0))="","",INDEX('Test catalog'!$F$2:$F$200,MATCH($AB862,'Test catalog'!$A$2:$A$200,0))),"")</f>
        <v/>
      </c>
      <c r="L862" s="10">
        <f>IFERROR(IF(INDEX('Test catalog'!$G$2:$G$200,MATCH($AB862,'Test catalog'!$A$2:$A$200,0))="","",INDEX('Test catalog'!$G$2:$G$200,MATCH($AB862,'Test catalog'!$A$2:$A$200,0))),"")</f>
        <v/>
      </c>
      <c r="M862" s="10">
        <f>IFERROR(IF(INDEX('Test catalog'!$H$2:$H$200,MATCH($AB862,'Test catalog'!$A$2:$A$200,0))="","",INDEX('Test catalog'!$H$2:$H$200,MATCH($AB862,'Test catalog'!$A$2:$A$200,0))),"")</f>
        <v/>
      </c>
      <c r="N862" s="10">
        <f>IFERROR(IF(INDEX('Test catalog'!$I$2:$I$200,MATCH($AB862,'Test catalog'!$A$2:$A$200,0))="","",INDEX('Test catalog'!$I$2:$I$200,MATCH($AB862,'Test catalog'!$A$2:$A$200,0))),"")</f>
        <v/>
      </c>
      <c r="O862" s="10">
        <f>IFERROR(IF(INDEX('Test catalog'!$J$2:$J$200,MATCH($AB862,'Test catalog'!$A$2:$A$200,0))="","",INDEX('Test catalog'!$J$2:$J$200,MATCH($AB862,'Test catalog'!$A$2:$A$200,0))),"")</f>
        <v/>
      </c>
      <c r="P862" s="14">
        <f>IF(N862="","",IF(OR(M862="",O862=""),N862,(M862+4*N862+O862)/6))</f>
        <v/>
      </c>
      <c r="Q862" s="10">
        <f>IFERROR(IF(INDEX('Test catalog'!$K$2:$K$200,MATCH($AB862,'Test catalog'!$A$2:$A$200,0))="","",INDEX('Test catalog'!$K$2:$K$200,MATCH($AB862,'Test catalog'!$A$2:$A$200,0))),"")</f>
        <v/>
      </c>
      <c r="R862" s="5" t="n"/>
      <c r="S862" s="10">
        <f>IFERROR(IF(INDEX('Test catalog'!$L$2:$L$200,MATCH($AB862,'Test catalog'!$A$2:$A$200,0))="","",INDEX('Test catalog'!$L$2:$L$200,MATCH($AB862,'Test catalog'!$A$2:$A$200,0))),"")</f>
        <v/>
      </c>
      <c r="T862" s="10">
        <f>IFERROR(IF(INDEX('Test catalog'!$M$2:$M$200,MATCH($AB862,'Test catalog'!$A$2:$A$200,0))="","",INDEX('Test catalog'!$M$2:$M$200,MATCH($AB862,'Test catalog'!$A$2:$A$200,0))),"")</f>
        <v/>
      </c>
      <c r="U862" s="10">
        <f>IFERROR(IF(INDEX('Test catalog'!$N$2:$N$200,MATCH($AB862,'Test catalog'!$A$2:$A$200,0))="","",INDEX('Test catalog'!$N$2:$N$200,MATCH($AB862,'Test catalog'!$A$2:$A$200,0))),"")</f>
        <v/>
      </c>
      <c r="V862" s="15" t="n"/>
      <c r="W862" s="5" t="inlineStr">
        <is>
          <t>N</t>
        </is>
      </c>
      <c r="X862" s="5" t="n"/>
      <c r="Y862" s="5" t="n"/>
      <c r="Z862" s="5" t="n"/>
      <c r="AA862" s="10">
        <f>IFERROR(IF(INDEX('Test catalog'!$O$2:$O$200,MATCH($AB862,'Test catalog'!$A$2:$A$200,0))="","",INDEX('Test catalog'!$O$2:$O$200,MATCH($AB862,'Test catalog'!$A$2:$A$200,0))),"")</f>
        <v/>
      </c>
      <c r="AB862" s="10" t="inlineStr">
        <is>
          <t>ID_CHEM</t>
        </is>
      </c>
      <c r="AC862" s="10" t="inlineStr">
        <is>
          <t>Sodium Chloride · Identification</t>
        </is>
      </c>
      <c r="AD862" s="10" t="n"/>
      <c r="AE862" s="10" t="n"/>
    </row>
    <row r="863">
      <c r="A863" s="10" t="inlineStr">
        <is>
          <t>Sodium Chloride</t>
        </is>
      </c>
      <c r="B863" s="10" t="inlineStr">
        <is>
          <t>RM</t>
        </is>
      </c>
      <c r="C863" s="10" t="inlineStr">
        <is>
          <t>Other Excipient</t>
        </is>
      </c>
      <c r="D863" s="10" t="inlineStr">
        <is>
          <t>Assay</t>
        </is>
      </c>
      <c r="E863" s="10">
        <f>IF(A863="","",A863&amp;"|"&amp;D863)</f>
        <v/>
      </c>
      <c r="F863" s="5" t="inlineStr">
        <is>
          <t>Y</t>
        </is>
      </c>
      <c r="G863" s="5" t="inlineStr">
        <is>
          <t>Other / bench</t>
        </is>
      </c>
      <c r="H863" s="5" t="inlineStr">
        <is>
          <t>Low</t>
        </is>
      </c>
      <c r="I863" s="5" t="n">
        <v>1</v>
      </c>
      <c r="J863" s="5" t="n"/>
      <c r="K863" s="10">
        <f>IFERROR(IF(INDEX('Test catalog'!$F$2:$F$200,MATCH($AB863,'Test catalog'!$A$2:$A$200,0))="","",INDEX('Test catalog'!$F$2:$F$200,MATCH($AB863,'Test catalog'!$A$2:$A$200,0))),"")</f>
        <v/>
      </c>
      <c r="L863" s="10">
        <f>IFERROR(IF(INDEX('Test catalog'!$G$2:$G$200,MATCH($AB863,'Test catalog'!$A$2:$A$200,0))="","",INDEX('Test catalog'!$G$2:$G$200,MATCH($AB863,'Test catalog'!$A$2:$A$200,0))),"")</f>
        <v/>
      </c>
      <c r="M863" s="10">
        <f>IFERROR(IF(INDEX('Test catalog'!$H$2:$H$200,MATCH($AB863,'Test catalog'!$A$2:$A$200,0))="","",INDEX('Test catalog'!$H$2:$H$200,MATCH($AB863,'Test catalog'!$A$2:$A$200,0))),"")</f>
        <v/>
      </c>
      <c r="N863" s="10">
        <f>IFERROR(IF(INDEX('Test catalog'!$I$2:$I$200,MATCH($AB863,'Test catalog'!$A$2:$A$200,0))="","",INDEX('Test catalog'!$I$2:$I$200,MATCH($AB863,'Test catalog'!$A$2:$A$200,0))),"")</f>
        <v/>
      </c>
      <c r="O863" s="10">
        <f>IFERROR(IF(INDEX('Test catalog'!$J$2:$J$200,MATCH($AB863,'Test catalog'!$A$2:$A$200,0))="","",INDEX('Test catalog'!$J$2:$J$200,MATCH($AB863,'Test catalog'!$A$2:$A$200,0))),"")</f>
        <v/>
      </c>
      <c r="P863" s="14">
        <f>IF(N863="","",IF(OR(M863="",O863=""),N863,(M863+4*N863+O863)/6))</f>
        <v/>
      </c>
      <c r="Q863" s="10">
        <f>IFERROR(IF(INDEX('Test catalog'!$K$2:$K$200,MATCH($AB863,'Test catalog'!$A$2:$A$200,0))="","",INDEX('Test catalog'!$K$2:$K$200,MATCH($AB863,'Test catalog'!$A$2:$A$200,0))),"")</f>
        <v/>
      </c>
      <c r="R863" s="5" t="n"/>
      <c r="S863" s="10">
        <f>IFERROR(IF(INDEX('Test catalog'!$L$2:$L$200,MATCH($AB863,'Test catalog'!$A$2:$A$200,0))="","",INDEX('Test catalog'!$L$2:$L$200,MATCH($AB863,'Test catalog'!$A$2:$A$200,0))),"")</f>
        <v/>
      </c>
      <c r="T863" s="10">
        <f>IFERROR(IF(INDEX('Test catalog'!$M$2:$M$200,MATCH($AB863,'Test catalog'!$A$2:$A$200,0))="","",INDEX('Test catalog'!$M$2:$M$200,MATCH($AB863,'Test catalog'!$A$2:$A$200,0))),"")</f>
        <v/>
      </c>
      <c r="U863" s="10">
        <f>IFERROR(IF(INDEX('Test catalog'!$N$2:$N$200,MATCH($AB863,'Test catalog'!$A$2:$A$200,0))="","",INDEX('Test catalog'!$N$2:$N$200,MATCH($AB863,'Test catalog'!$A$2:$A$200,0))),"")</f>
        <v/>
      </c>
      <c r="V863" s="15" t="n"/>
      <c r="W863" s="5" t="inlineStr">
        <is>
          <t>N</t>
        </is>
      </c>
      <c r="X863" s="5" t="n"/>
      <c r="Y863" s="5" t="n"/>
      <c r="Z863" s="5" t="n"/>
      <c r="AA863" s="10">
        <f>IFERROR(IF(INDEX('Test catalog'!$O$2:$O$200,MATCH($AB863,'Test catalog'!$A$2:$A$200,0))="","",INDEX('Test catalog'!$O$2:$O$200,MATCH($AB863,'Test catalog'!$A$2:$A$200,0))),"")</f>
        <v/>
      </c>
      <c r="AB863" s="10" t="inlineStr">
        <is>
          <t>TITR</t>
        </is>
      </c>
      <c r="AC863" s="10" t="inlineStr">
        <is>
          <t>Sodium Chloride · Assay &lt;541&gt;</t>
        </is>
      </c>
      <c r="AD863" s="10" t="n"/>
      <c r="AE863" s="10" t="n"/>
    </row>
    <row r="864">
      <c r="A864" s="10" t="inlineStr">
        <is>
          <t>Sodium Chloride</t>
        </is>
      </c>
      <c r="B864" s="10" t="inlineStr">
        <is>
          <t>RM</t>
        </is>
      </c>
      <c r="C864" s="10" t="inlineStr">
        <is>
          <t>Other Excipient</t>
        </is>
      </c>
      <c r="D864" s="10" t="inlineStr">
        <is>
          <t>Aluminum (where it is labeled as intended for use in the manufacture of peritoneal dialysi</t>
        </is>
      </c>
      <c r="E864" s="10">
        <f>IF(A864="","",A864&amp;"|"&amp;D864)</f>
        <v/>
      </c>
      <c r="F864" s="5" t="inlineStr">
        <is>
          <t>N</t>
        </is>
      </c>
      <c r="G864" s="5" t="inlineStr">
        <is>
          <t>UV-Vis</t>
        </is>
      </c>
      <c r="H864" s="5" t="inlineStr">
        <is>
          <t>Low</t>
        </is>
      </c>
      <c r="I864" s="5" t="n">
        <v>1</v>
      </c>
      <c r="J864" s="5" t="n"/>
      <c r="K864" s="10">
        <f>IFERROR(IF(INDEX('Test catalog'!$F$2:$F$200,MATCH($AB864,'Test catalog'!$A$2:$A$200,0))="","",INDEX('Test catalog'!$F$2:$F$200,MATCH($AB864,'Test catalog'!$A$2:$A$200,0))),"")</f>
        <v/>
      </c>
      <c r="L864" s="10">
        <f>IFERROR(IF(INDEX('Test catalog'!$G$2:$G$200,MATCH($AB864,'Test catalog'!$A$2:$A$200,0))="","",INDEX('Test catalog'!$G$2:$G$200,MATCH($AB864,'Test catalog'!$A$2:$A$200,0))),"")</f>
        <v/>
      </c>
      <c r="M864" s="10">
        <f>IFERROR(IF(INDEX('Test catalog'!$H$2:$H$200,MATCH($AB864,'Test catalog'!$A$2:$A$200,0))="","",INDEX('Test catalog'!$H$2:$H$200,MATCH($AB864,'Test catalog'!$A$2:$A$200,0))),"")</f>
        <v/>
      </c>
      <c r="N864" s="10">
        <f>IFERROR(IF(INDEX('Test catalog'!$I$2:$I$200,MATCH($AB864,'Test catalog'!$A$2:$A$200,0))="","",INDEX('Test catalog'!$I$2:$I$200,MATCH($AB864,'Test catalog'!$A$2:$A$200,0))),"")</f>
        <v/>
      </c>
      <c r="O864" s="10">
        <f>IFERROR(IF(INDEX('Test catalog'!$J$2:$J$200,MATCH($AB864,'Test catalog'!$A$2:$A$200,0))="","",INDEX('Test catalog'!$J$2:$J$200,MATCH($AB864,'Test catalog'!$A$2:$A$200,0))),"")</f>
        <v/>
      </c>
      <c r="P864" s="14">
        <f>IF(N864="","",IF(OR(M864="",O864=""),N864,(M864+4*N864+O864)/6))</f>
        <v/>
      </c>
      <c r="Q864" s="10">
        <f>IFERROR(IF(INDEX('Test catalog'!$K$2:$K$200,MATCH($AB864,'Test catalog'!$A$2:$A$200,0))="","",INDEX('Test catalog'!$K$2:$K$200,MATCH($AB864,'Test catalog'!$A$2:$A$200,0))),"")</f>
        <v/>
      </c>
      <c r="R864" s="5" t="n"/>
      <c r="S864" s="10">
        <f>IFERROR(IF(INDEX('Test catalog'!$L$2:$L$200,MATCH($AB864,'Test catalog'!$A$2:$A$200,0))="","",INDEX('Test catalog'!$L$2:$L$200,MATCH($AB864,'Test catalog'!$A$2:$A$200,0))),"")</f>
        <v/>
      </c>
      <c r="T864" s="10">
        <f>IFERROR(IF(INDEX('Test catalog'!$M$2:$M$200,MATCH($AB864,'Test catalog'!$A$2:$A$200,0))="","",INDEX('Test catalog'!$M$2:$M$200,MATCH($AB864,'Test catalog'!$A$2:$A$200,0))),"")</f>
        <v/>
      </c>
      <c r="U864" s="10">
        <f>IFERROR(IF(INDEX('Test catalog'!$N$2:$N$200,MATCH($AB864,'Test catalog'!$A$2:$A$200,0))="","",INDEX('Test catalog'!$N$2:$N$200,MATCH($AB864,'Test catalog'!$A$2:$A$200,0))),"")</f>
        <v/>
      </c>
      <c r="V864" s="15" t="n"/>
      <c r="W864" s="5" t="inlineStr">
        <is>
          <t>N</t>
        </is>
      </c>
      <c r="X864" s="5" t="n"/>
      <c r="Y864" s="5" t="n"/>
      <c r="Z864" s="5" t="inlineStr">
        <is>
          <t>Only for some grades/labels - check your supplier grade</t>
        </is>
      </c>
      <c r="AA864" s="10">
        <f>IFERROR(IF(INDEX('Test catalog'!$O$2:$O$200,MATCH($AB864,'Test catalog'!$A$2:$A$200,0))="","",INDEX('Test catalog'!$O$2:$O$200,MATCH($AB864,'Test catalog'!$A$2:$A$200,0))),"")</f>
        <v/>
      </c>
      <c r="AB864" s="10" t="inlineStr">
        <is>
          <t>UV</t>
        </is>
      </c>
      <c r="AC864" s="10" t="inlineStr">
        <is>
          <t>Sodium Chloride · Impurities</t>
        </is>
      </c>
      <c r="AD864" s="10" t="n"/>
      <c r="AE864" s="10" t="n"/>
    </row>
    <row r="865">
      <c r="A865" s="10" t="inlineStr">
        <is>
          <t>Sodium Chloride</t>
        </is>
      </c>
      <c r="B865" s="10" t="inlineStr">
        <is>
          <t>RM</t>
        </is>
      </c>
      <c r="C865" s="10" t="inlineStr">
        <is>
          <t>Other Excipient</t>
        </is>
      </c>
      <c r="D865" s="10" t="inlineStr">
        <is>
          <t>Arsenic</t>
        </is>
      </c>
      <c r="E865" s="10">
        <f>IF(A865="","",A865&amp;"|"&amp;D865)</f>
        <v/>
      </c>
      <c r="F865" s="5" t="inlineStr">
        <is>
          <t>Y</t>
        </is>
      </c>
      <c r="G865" s="5" t="inlineStr">
        <is>
          <t>Other / bench</t>
        </is>
      </c>
      <c r="H865" s="5" t="inlineStr">
        <is>
          <t>Low</t>
        </is>
      </c>
      <c r="I865" s="5" t="n">
        <v>1</v>
      </c>
      <c r="J865" s="5" t="n"/>
      <c r="K865" s="10">
        <f>IFERROR(IF(INDEX('Test catalog'!$F$2:$F$200,MATCH($AB865,'Test catalog'!$A$2:$A$200,0))="","",INDEX('Test catalog'!$F$2:$F$200,MATCH($AB865,'Test catalog'!$A$2:$A$200,0))),"")</f>
        <v/>
      </c>
      <c r="L865" s="10">
        <f>IFERROR(IF(INDEX('Test catalog'!$G$2:$G$200,MATCH($AB865,'Test catalog'!$A$2:$A$200,0))="","",INDEX('Test catalog'!$G$2:$G$200,MATCH($AB865,'Test catalog'!$A$2:$A$200,0))),"")</f>
        <v/>
      </c>
      <c r="M865" s="10">
        <f>IFERROR(IF(INDEX('Test catalog'!$H$2:$H$200,MATCH($AB865,'Test catalog'!$A$2:$A$200,0))="","",INDEX('Test catalog'!$H$2:$H$200,MATCH($AB865,'Test catalog'!$A$2:$A$200,0))),"")</f>
        <v/>
      </c>
      <c r="N865" s="10">
        <f>IFERROR(IF(INDEX('Test catalog'!$I$2:$I$200,MATCH($AB865,'Test catalog'!$A$2:$A$200,0))="","",INDEX('Test catalog'!$I$2:$I$200,MATCH($AB865,'Test catalog'!$A$2:$A$200,0))),"")</f>
        <v/>
      </c>
      <c r="O865" s="10">
        <f>IFERROR(IF(INDEX('Test catalog'!$J$2:$J$200,MATCH($AB865,'Test catalog'!$A$2:$A$200,0))="","",INDEX('Test catalog'!$J$2:$J$200,MATCH($AB865,'Test catalog'!$A$2:$A$200,0))),"")</f>
        <v/>
      </c>
      <c r="P865" s="14">
        <f>IF(N865="","",IF(OR(M865="",O865=""),N865,(M865+4*N865+O865)/6))</f>
        <v/>
      </c>
      <c r="Q865" s="10">
        <f>IFERROR(IF(INDEX('Test catalog'!$K$2:$K$200,MATCH($AB865,'Test catalog'!$A$2:$A$200,0))="","",INDEX('Test catalog'!$K$2:$K$200,MATCH($AB865,'Test catalog'!$A$2:$A$200,0))),"")</f>
        <v/>
      </c>
      <c r="R865" s="5" t="n"/>
      <c r="S865" s="10">
        <f>IFERROR(IF(INDEX('Test catalog'!$L$2:$L$200,MATCH($AB865,'Test catalog'!$A$2:$A$200,0))="","",INDEX('Test catalog'!$L$2:$L$200,MATCH($AB865,'Test catalog'!$A$2:$A$200,0))),"")</f>
        <v/>
      </c>
      <c r="T865" s="10">
        <f>IFERROR(IF(INDEX('Test catalog'!$M$2:$M$200,MATCH($AB865,'Test catalog'!$A$2:$A$200,0))="","",INDEX('Test catalog'!$M$2:$M$200,MATCH($AB865,'Test catalog'!$A$2:$A$200,0))),"")</f>
        <v/>
      </c>
      <c r="U865" s="10">
        <f>IFERROR(IF(INDEX('Test catalog'!$N$2:$N$200,MATCH($AB865,'Test catalog'!$A$2:$A$200,0))="","",INDEX('Test catalog'!$N$2:$N$200,MATCH($AB865,'Test catalog'!$A$2:$A$200,0))),"")</f>
        <v/>
      </c>
      <c r="V865" s="15" t="n"/>
      <c r="W865" s="5" t="inlineStr">
        <is>
          <t>N</t>
        </is>
      </c>
      <c r="X865" s="5" t="n"/>
      <c r="Y865" s="5" t="n"/>
      <c r="Z865" s="5" t="n"/>
      <c r="AA865" s="10">
        <f>IFERROR(IF(INDEX('Test catalog'!$O$2:$O$200,MATCH($AB865,'Test catalog'!$A$2:$A$200,0))="","",INDEX('Test catalog'!$O$2:$O$200,MATCH($AB865,'Test catalog'!$A$2:$A$200,0))),"")</f>
        <v/>
      </c>
      <c r="AB865" s="10" t="inlineStr">
        <is>
          <t>LIM_TOX</t>
        </is>
      </c>
      <c r="AC865" s="10" t="inlineStr">
        <is>
          <t>Sodium Chloride · Impurities &lt;211&gt;</t>
        </is>
      </c>
      <c r="AD865" s="10" t="n"/>
      <c r="AE865" s="10" t="n"/>
    </row>
    <row r="866">
      <c r="A866" s="10" t="inlineStr">
        <is>
          <t>Sodium Chloride</t>
        </is>
      </c>
      <c r="B866" s="10" t="inlineStr">
        <is>
          <t>RM</t>
        </is>
      </c>
      <c r="C866" s="10" t="inlineStr">
        <is>
          <t>Other Excipient</t>
        </is>
      </c>
      <c r="D866" s="10" t="inlineStr">
        <is>
          <t>Barium</t>
        </is>
      </c>
      <c r="E866" s="10">
        <f>IF(A866="","",A866&amp;"|"&amp;D866)</f>
        <v/>
      </c>
      <c r="F866" s="5" t="inlineStr">
        <is>
          <t>Y</t>
        </is>
      </c>
      <c r="G866" s="5" t="inlineStr">
        <is>
          <t>Other / bench</t>
        </is>
      </c>
      <c r="H866" s="5" t="inlineStr">
        <is>
          <t>Low</t>
        </is>
      </c>
      <c r="I866" s="5" t="n">
        <v>1</v>
      </c>
      <c r="J866" s="5" t="n"/>
      <c r="K866" s="10">
        <f>IFERROR(IF(INDEX('Test catalog'!$F$2:$F$200,MATCH($AB866,'Test catalog'!$A$2:$A$200,0))="","",INDEX('Test catalog'!$F$2:$F$200,MATCH($AB866,'Test catalog'!$A$2:$A$200,0))),"")</f>
        <v/>
      </c>
      <c r="L866" s="10">
        <f>IFERROR(IF(INDEX('Test catalog'!$G$2:$G$200,MATCH($AB866,'Test catalog'!$A$2:$A$200,0))="","",INDEX('Test catalog'!$G$2:$G$200,MATCH($AB866,'Test catalog'!$A$2:$A$200,0))),"")</f>
        <v/>
      </c>
      <c r="M866" s="10">
        <f>IFERROR(IF(INDEX('Test catalog'!$H$2:$H$200,MATCH($AB866,'Test catalog'!$A$2:$A$200,0))="","",INDEX('Test catalog'!$H$2:$H$200,MATCH($AB866,'Test catalog'!$A$2:$A$200,0))),"")</f>
        <v/>
      </c>
      <c r="N866" s="10">
        <f>IFERROR(IF(INDEX('Test catalog'!$I$2:$I$200,MATCH($AB866,'Test catalog'!$A$2:$A$200,0))="","",INDEX('Test catalog'!$I$2:$I$200,MATCH($AB866,'Test catalog'!$A$2:$A$200,0))),"")</f>
        <v/>
      </c>
      <c r="O866" s="10">
        <f>IFERROR(IF(INDEX('Test catalog'!$J$2:$J$200,MATCH($AB866,'Test catalog'!$A$2:$A$200,0))="","",INDEX('Test catalog'!$J$2:$J$200,MATCH($AB866,'Test catalog'!$A$2:$A$200,0))),"")</f>
        <v/>
      </c>
      <c r="P866" s="14">
        <f>IF(N866="","",IF(OR(M866="",O866=""),N866,(M866+4*N866+O866)/6))</f>
        <v/>
      </c>
      <c r="Q866" s="10">
        <f>IFERROR(IF(INDEX('Test catalog'!$K$2:$K$200,MATCH($AB866,'Test catalog'!$A$2:$A$200,0))="","",INDEX('Test catalog'!$K$2:$K$200,MATCH($AB866,'Test catalog'!$A$2:$A$200,0))),"")</f>
        <v/>
      </c>
      <c r="R866" s="5" t="n"/>
      <c r="S866" s="10">
        <f>IFERROR(IF(INDEX('Test catalog'!$L$2:$L$200,MATCH($AB866,'Test catalog'!$A$2:$A$200,0))="","",INDEX('Test catalog'!$L$2:$L$200,MATCH($AB866,'Test catalog'!$A$2:$A$200,0))),"")</f>
        <v/>
      </c>
      <c r="T866" s="10">
        <f>IFERROR(IF(INDEX('Test catalog'!$M$2:$M$200,MATCH($AB866,'Test catalog'!$A$2:$A$200,0))="","",INDEX('Test catalog'!$M$2:$M$200,MATCH($AB866,'Test catalog'!$A$2:$A$200,0))),"")</f>
        <v/>
      </c>
      <c r="U866" s="10">
        <f>IFERROR(IF(INDEX('Test catalog'!$N$2:$N$200,MATCH($AB866,'Test catalog'!$A$2:$A$200,0))="","",INDEX('Test catalog'!$N$2:$N$200,MATCH($AB866,'Test catalog'!$A$2:$A$200,0))),"")</f>
        <v/>
      </c>
      <c r="V866" s="15" t="n"/>
      <c r="W866" s="5" t="inlineStr">
        <is>
          <t>N</t>
        </is>
      </c>
      <c r="X866" s="5" t="n"/>
      <c r="Y866" s="5" t="n"/>
      <c r="Z866" s="5" t="n"/>
      <c r="AA866" s="10">
        <f>IFERROR(IF(INDEX('Test catalog'!$O$2:$O$200,MATCH($AB866,'Test catalog'!$A$2:$A$200,0))="","",INDEX('Test catalog'!$O$2:$O$200,MATCH($AB866,'Test catalog'!$A$2:$A$200,0))),"")</f>
        <v/>
      </c>
      <c r="AB866" s="10" t="inlineStr">
        <is>
          <t>LIMIT</t>
        </is>
      </c>
      <c r="AC866" s="10" t="inlineStr">
        <is>
          <t>Sodium Chloride · Impurities</t>
        </is>
      </c>
      <c r="AD866" s="10" t="n"/>
      <c r="AE866" s="10" t="n"/>
    </row>
    <row r="867">
      <c r="A867" s="10" t="inlineStr">
        <is>
          <t>Sodium Chloride</t>
        </is>
      </c>
      <c r="B867" s="10" t="inlineStr">
        <is>
          <t>RM</t>
        </is>
      </c>
      <c r="C867" s="10" t="inlineStr">
        <is>
          <t>Other Excipient</t>
        </is>
      </c>
      <c r="D867" s="10" t="inlineStr">
        <is>
          <t>Ferrocyanides</t>
        </is>
      </c>
      <c r="E867" s="10">
        <f>IF(A867="","",A867&amp;"|"&amp;D867)</f>
        <v/>
      </c>
      <c r="F867" s="5" t="inlineStr">
        <is>
          <t>Y</t>
        </is>
      </c>
      <c r="G867" s="5" t="inlineStr">
        <is>
          <t>Other / bench</t>
        </is>
      </c>
      <c r="H867" s="5" t="inlineStr">
        <is>
          <t>Low</t>
        </is>
      </c>
      <c r="I867" s="5" t="n">
        <v>1</v>
      </c>
      <c r="J867" s="5" t="n"/>
      <c r="K867" s="10">
        <f>IFERROR(IF(INDEX('Test catalog'!$F$2:$F$200,MATCH($AB867,'Test catalog'!$A$2:$A$200,0))="","",INDEX('Test catalog'!$F$2:$F$200,MATCH($AB867,'Test catalog'!$A$2:$A$200,0))),"")</f>
        <v/>
      </c>
      <c r="L867" s="10">
        <f>IFERROR(IF(INDEX('Test catalog'!$G$2:$G$200,MATCH($AB867,'Test catalog'!$A$2:$A$200,0))="","",INDEX('Test catalog'!$G$2:$G$200,MATCH($AB867,'Test catalog'!$A$2:$A$200,0))),"")</f>
        <v/>
      </c>
      <c r="M867" s="10">
        <f>IFERROR(IF(INDEX('Test catalog'!$H$2:$H$200,MATCH($AB867,'Test catalog'!$A$2:$A$200,0))="","",INDEX('Test catalog'!$H$2:$H$200,MATCH($AB867,'Test catalog'!$A$2:$A$200,0))),"")</f>
        <v/>
      </c>
      <c r="N867" s="10">
        <f>IFERROR(IF(INDEX('Test catalog'!$I$2:$I$200,MATCH($AB867,'Test catalog'!$A$2:$A$200,0))="","",INDEX('Test catalog'!$I$2:$I$200,MATCH($AB867,'Test catalog'!$A$2:$A$200,0))),"")</f>
        <v/>
      </c>
      <c r="O867" s="10">
        <f>IFERROR(IF(INDEX('Test catalog'!$J$2:$J$200,MATCH($AB867,'Test catalog'!$A$2:$A$200,0))="","",INDEX('Test catalog'!$J$2:$J$200,MATCH($AB867,'Test catalog'!$A$2:$A$200,0))),"")</f>
        <v/>
      </c>
      <c r="P867" s="14">
        <f>IF(N867="","",IF(OR(M867="",O867=""),N867,(M867+4*N867+O867)/6))</f>
        <v/>
      </c>
      <c r="Q867" s="10">
        <f>IFERROR(IF(INDEX('Test catalog'!$K$2:$K$200,MATCH($AB867,'Test catalog'!$A$2:$A$200,0))="","",INDEX('Test catalog'!$K$2:$K$200,MATCH($AB867,'Test catalog'!$A$2:$A$200,0))),"")</f>
        <v/>
      </c>
      <c r="R867" s="5" t="n"/>
      <c r="S867" s="10">
        <f>IFERROR(IF(INDEX('Test catalog'!$L$2:$L$200,MATCH($AB867,'Test catalog'!$A$2:$A$200,0))="","",INDEX('Test catalog'!$L$2:$L$200,MATCH($AB867,'Test catalog'!$A$2:$A$200,0))),"")</f>
        <v/>
      </c>
      <c r="T867" s="10">
        <f>IFERROR(IF(INDEX('Test catalog'!$M$2:$M$200,MATCH($AB867,'Test catalog'!$A$2:$A$200,0))="","",INDEX('Test catalog'!$M$2:$M$200,MATCH($AB867,'Test catalog'!$A$2:$A$200,0))),"")</f>
        <v/>
      </c>
      <c r="U867" s="10">
        <f>IFERROR(IF(INDEX('Test catalog'!$N$2:$N$200,MATCH($AB867,'Test catalog'!$A$2:$A$200,0))="","",INDEX('Test catalog'!$N$2:$N$200,MATCH($AB867,'Test catalog'!$A$2:$A$200,0))),"")</f>
        <v/>
      </c>
      <c r="V867" s="15" t="n"/>
      <c r="W867" s="5" t="inlineStr">
        <is>
          <t>N</t>
        </is>
      </c>
      <c r="X867" s="5" t="n"/>
      <c r="Y867" s="5" t="n"/>
      <c r="Z867" s="5" t="n"/>
      <c r="AA867" s="10">
        <f>IFERROR(IF(INDEX('Test catalog'!$O$2:$O$200,MATCH($AB867,'Test catalog'!$A$2:$A$200,0))="","",INDEX('Test catalog'!$O$2:$O$200,MATCH($AB867,'Test catalog'!$A$2:$A$200,0))),"")</f>
        <v/>
      </c>
      <c r="AB867" s="10" t="inlineStr">
        <is>
          <t>LIMIT</t>
        </is>
      </c>
      <c r="AC867" s="10" t="inlineStr">
        <is>
          <t>Sodium Chloride · Impurities</t>
        </is>
      </c>
      <c r="AD867" s="10" t="n"/>
      <c r="AE867" s="10" t="n"/>
    </row>
    <row r="868">
      <c r="A868" s="10" t="inlineStr">
        <is>
          <t>Sodium Chloride</t>
        </is>
      </c>
      <c r="B868" s="10" t="inlineStr">
        <is>
          <t>RM</t>
        </is>
      </c>
      <c r="C868" s="10" t="inlineStr">
        <is>
          <t>Other Excipient</t>
        </is>
      </c>
      <c r="D868" s="10" t="inlineStr">
        <is>
          <t>Iodides</t>
        </is>
      </c>
      <c r="E868" s="10">
        <f>IF(A868="","",A868&amp;"|"&amp;D868)</f>
        <v/>
      </c>
      <c r="F868" s="5" t="inlineStr">
        <is>
          <t>Y</t>
        </is>
      </c>
      <c r="G868" s="5" t="inlineStr">
        <is>
          <t>Other / bench</t>
        </is>
      </c>
      <c r="H868" s="5" t="inlineStr">
        <is>
          <t>Low</t>
        </is>
      </c>
      <c r="I868" s="5" t="n">
        <v>1</v>
      </c>
      <c r="J868" s="5" t="n"/>
      <c r="K868" s="10">
        <f>IFERROR(IF(INDEX('Test catalog'!$F$2:$F$200,MATCH($AB868,'Test catalog'!$A$2:$A$200,0))="","",INDEX('Test catalog'!$F$2:$F$200,MATCH($AB868,'Test catalog'!$A$2:$A$200,0))),"")</f>
        <v/>
      </c>
      <c r="L868" s="10">
        <f>IFERROR(IF(INDEX('Test catalog'!$G$2:$G$200,MATCH($AB868,'Test catalog'!$A$2:$A$200,0))="","",INDEX('Test catalog'!$G$2:$G$200,MATCH($AB868,'Test catalog'!$A$2:$A$200,0))),"")</f>
        <v/>
      </c>
      <c r="M868" s="10">
        <f>IFERROR(IF(INDEX('Test catalog'!$H$2:$H$200,MATCH($AB868,'Test catalog'!$A$2:$A$200,0))="","",INDEX('Test catalog'!$H$2:$H$200,MATCH($AB868,'Test catalog'!$A$2:$A$200,0))),"")</f>
        <v/>
      </c>
      <c r="N868" s="10">
        <f>IFERROR(IF(INDEX('Test catalog'!$I$2:$I$200,MATCH($AB868,'Test catalog'!$A$2:$A$200,0))="","",INDEX('Test catalog'!$I$2:$I$200,MATCH($AB868,'Test catalog'!$A$2:$A$200,0))),"")</f>
        <v/>
      </c>
      <c r="O868" s="10">
        <f>IFERROR(IF(INDEX('Test catalog'!$J$2:$J$200,MATCH($AB868,'Test catalog'!$A$2:$A$200,0))="","",INDEX('Test catalog'!$J$2:$J$200,MATCH($AB868,'Test catalog'!$A$2:$A$200,0))),"")</f>
        <v/>
      </c>
      <c r="P868" s="14">
        <f>IF(N868="","",IF(OR(M868="",O868=""),N868,(M868+4*N868+O868)/6))</f>
        <v/>
      </c>
      <c r="Q868" s="10">
        <f>IFERROR(IF(INDEX('Test catalog'!$K$2:$K$200,MATCH($AB868,'Test catalog'!$A$2:$A$200,0))="","",INDEX('Test catalog'!$K$2:$K$200,MATCH($AB868,'Test catalog'!$A$2:$A$200,0))),"")</f>
        <v/>
      </c>
      <c r="R868" s="5" t="n"/>
      <c r="S868" s="10">
        <f>IFERROR(IF(INDEX('Test catalog'!$L$2:$L$200,MATCH($AB868,'Test catalog'!$A$2:$A$200,0))="","",INDEX('Test catalog'!$L$2:$L$200,MATCH($AB868,'Test catalog'!$A$2:$A$200,0))),"")</f>
        <v/>
      </c>
      <c r="T868" s="10">
        <f>IFERROR(IF(INDEX('Test catalog'!$M$2:$M$200,MATCH($AB868,'Test catalog'!$A$2:$A$200,0))="","",INDEX('Test catalog'!$M$2:$M$200,MATCH($AB868,'Test catalog'!$A$2:$A$200,0))),"")</f>
        <v/>
      </c>
      <c r="U868" s="10">
        <f>IFERROR(IF(INDEX('Test catalog'!$N$2:$N$200,MATCH($AB868,'Test catalog'!$A$2:$A$200,0))="","",INDEX('Test catalog'!$N$2:$N$200,MATCH($AB868,'Test catalog'!$A$2:$A$200,0))),"")</f>
        <v/>
      </c>
      <c r="V868" s="15" t="n"/>
      <c r="W868" s="5" t="inlineStr">
        <is>
          <t>N</t>
        </is>
      </c>
      <c r="X868" s="5" t="n"/>
      <c r="Y868" s="5" t="n"/>
      <c r="Z868" s="5" t="n"/>
      <c r="AA868" s="10">
        <f>IFERROR(IF(INDEX('Test catalog'!$O$2:$O$200,MATCH($AB868,'Test catalog'!$A$2:$A$200,0))="","",INDEX('Test catalog'!$O$2:$O$200,MATCH($AB868,'Test catalog'!$A$2:$A$200,0))),"")</f>
        <v/>
      </c>
      <c r="AB868" s="10" t="inlineStr">
        <is>
          <t>LIMIT</t>
        </is>
      </c>
      <c r="AC868" s="10" t="inlineStr">
        <is>
          <t>Sodium Chloride · Impurities</t>
        </is>
      </c>
      <c r="AD868" s="10" t="n"/>
      <c r="AE868" s="10" t="n"/>
    </row>
    <row r="869">
      <c r="A869" s="10" t="inlineStr">
        <is>
          <t>Sodium Chloride</t>
        </is>
      </c>
      <c r="B869" s="10" t="inlineStr">
        <is>
          <t>RM</t>
        </is>
      </c>
      <c r="C869" s="10" t="inlineStr">
        <is>
          <t>Other Excipient</t>
        </is>
      </c>
      <c r="D869" s="10" t="inlineStr">
        <is>
          <t>Iron</t>
        </is>
      </c>
      <c r="E869" s="10">
        <f>IF(A869="","",A869&amp;"|"&amp;D869)</f>
        <v/>
      </c>
      <c r="F869" s="5" t="inlineStr">
        <is>
          <t>Y</t>
        </is>
      </c>
      <c r="G869" s="5" t="inlineStr">
        <is>
          <t>Other / bench</t>
        </is>
      </c>
      <c r="H869" s="5" t="inlineStr">
        <is>
          <t>Low</t>
        </is>
      </c>
      <c r="I869" s="5" t="n">
        <v>1</v>
      </c>
      <c r="J869" s="5" t="n"/>
      <c r="K869" s="10">
        <f>IFERROR(IF(INDEX('Test catalog'!$F$2:$F$200,MATCH($AB869,'Test catalog'!$A$2:$A$200,0))="","",INDEX('Test catalog'!$F$2:$F$200,MATCH($AB869,'Test catalog'!$A$2:$A$200,0))),"")</f>
        <v/>
      </c>
      <c r="L869" s="10">
        <f>IFERROR(IF(INDEX('Test catalog'!$G$2:$G$200,MATCH($AB869,'Test catalog'!$A$2:$A$200,0))="","",INDEX('Test catalog'!$G$2:$G$200,MATCH($AB869,'Test catalog'!$A$2:$A$200,0))),"")</f>
        <v/>
      </c>
      <c r="M869" s="10">
        <f>IFERROR(IF(INDEX('Test catalog'!$H$2:$H$200,MATCH($AB869,'Test catalog'!$A$2:$A$200,0))="","",INDEX('Test catalog'!$H$2:$H$200,MATCH($AB869,'Test catalog'!$A$2:$A$200,0))),"")</f>
        <v/>
      </c>
      <c r="N869" s="10">
        <f>IFERROR(IF(INDEX('Test catalog'!$I$2:$I$200,MATCH($AB869,'Test catalog'!$A$2:$A$200,0))="","",INDEX('Test catalog'!$I$2:$I$200,MATCH($AB869,'Test catalog'!$A$2:$A$200,0))),"")</f>
        <v/>
      </c>
      <c r="O869" s="10">
        <f>IFERROR(IF(INDEX('Test catalog'!$J$2:$J$200,MATCH($AB869,'Test catalog'!$A$2:$A$200,0))="","",INDEX('Test catalog'!$J$2:$J$200,MATCH($AB869,'Test catalog'!$A$2:$A$200,0))),"")</f>
        <v/>
      </c>
      <c r="P869" s="14">
        <f>IF(N869="","",IF(OR(M869="",O869=""),N869,(M869+4*N869+O869)/6))</f>
        <v/>
      </c>
      <c r="Q869" s="10">
        <f>IFERROR(IF(INDEX('Test catalog'!$K$2:$K$200,MATCH($AB869,'Test catalog'!$A$2:$A$200,0))="","",INDEX('Test catalog'!$K$2:$K$200,MATCH($AB869,'Test catalog'!$A$2:$A$200,0))),"")</f>
        <v/>
      </c>
      <c r="R869" s="5" t="n"/>
      <c r="S869" s="10">
        <f>IFERROR(IF(INDEX('Test catalog'!$L$2:$L$200,MATCH($AB869,'Test catalog'!$A$2:$A$200,0))="","",INDEX('Test catalog'!$L$2:$L$200,MATCH($AB869,'Test catalog'!$A$2:$A$200,0))),"")</f>
        <v/>
      </c>
      <c r="T869" s="10">
        <f>IFERROR(IF(INDEX('Test catalog'!$M$2:$M$200,MATCH($AB869,'Test catalog'!$A$2:$A$200,0))="","",INDEX('Test catalog'!$M$2:$M$200,MATCH($AB869,'Test catalog'!$A$2:$A$200,0))),"")</f>
        <v/>
      </c>
      <c r="U869" s="10">
        <f>IFERROR(IF(INDEX('Test catalog'!$N$2:$N$200,MATCH($AB869,'Test catalog'!$A$2:$A$200,0))="","",INDEX('Test catalog'!$N$2:$N$200,MATCH($AB869,'Test catalog'!$A$2:$A$200,0))),"")</f>
        <v/>
      </c>
      <c r="V869" s="15" t="n"/>
      <c r="W869" s="5" t="inlineStr">
        <is>
          <t>N</t>
        </is>
      </c>
      <c r="X869" s="5" t="n"/>
      <c r="Y869" s="5" t="n"/>
      <c r="Z869" s="5" t="n"/>
      <c r="AA869" s="10">
        <f>IFERROR(IF(INDEX('Test catalog'!$O$2:$O$200,MATCH($AB869,'Test catalog'!$A$2:$A$200,0))="","",INDEX('Test catalog'!$O$2:$O$200,MATCH($AB869,'Test catalog'!$A$2:$A$200,0))),"")</f>
        <v/>
      </c>
      <c r="AB869" s="10" t="inlineStr">
        <is>
          <t>LIMIT</t>
        </is>
      </c>
      <c r="AC869" s="10" t="inlineStr">
        <is>
          <t>Sodium Chloride · Impurities &lt;241&gt;</t>
        </is>
      </c>
      <c r="AD869" s="10" t="n"/>
      <c r="AE869" s="10" t="n"/>
    </row>
    <row r="870">
      <c r="A870" s="10" t="inlineStr">
        <is>
          <t>Sodium Chloride</t>
        </is>
      </c>
      <c r="B870" s="10" t="inlineStr">
        <is>
          <t>RM</t>
        </is>
      </c>
      <c r="C870" s="10" t="inlineStr">
        <is>
          <t>Other Excipient</t>
        </is>
      </c>
      <c r="D870" s="10" t="inlineStr">
        <is>
          <t>Limit of Bromides</t>
        </is>
      </c>
      <c r="E870" s="10">
        <f>IF(A870="","",A870&amp;"|"&amp;D870)</f>
        <v/>
      </c>
      <c r="F870" s="5" t="inlineStr">
        <is>
          <t>Y</t>
        </is>
      </c>
      <c r="G870" s="5" t="inlineStr">
        <is>
          <t>UV-Vis</t>
        </is>
      </c>
      <c r="H870" s="5" t="inlineStr">
        <is>
          <t>Low</t>
        </is>
      </c>
      <c r="I870" s="5" t="n">
        <v>1</v>
      </c>
      <c r="J870" s="5" t="n"/>
      <c r="K870" s="10">
        <f>IFERROR(IF(INDEX('Test catalog'!$F$2:$F$200,MATCH($AB870,'Test catalog'!$A$2:$A$200,0))="","",INDEX('Test catalog'!$F$2:$F$200,MATCH($AB870,'Test catalog'!$A$2:$A$200,0))),"")</f>
        <v/>
      </c>
      <c r="L870" s="10">
        <f>IFERROR(IF(INDEX('Test catalog'!$G$2:$G$200,MATCH($AB870,'Test catalog'!$A$2:$A$200,0))="","",INDEX('Test catalog'!$G$2:$G$200,MATCH($AB870,'Test catalog'!$A$2:$A$200,0))),"")</f>
        <v/>
      </c>
      <c r="M870" s="10">
        <f>IFERROR(IF(INDEX('Test catalog'!$H$2:$H$200,MATCH($AB870,'Test catalog'!$A$2:$A$200,0))="","",INDEX('Test catalog'!$H$2:$H$200,MATCH($AB870,'Test catalog'!$A$2:$A$200,0))),"")</f>
        <v/>
      </c>
      <c r="N870" s="10">
        <f>IFERROR(IF(INDEX('Test catalog'!$I$2:$I$200,MATCH($AB870,'Test catalog'!$A$2:$A$200,0))="","",INDEX('Test catalog'!$I$2:$I$200,MATCH($AB870,'Test catalog'!$A$2:$A$200,0))),"")</f>
        <v/>
      </c>
      <c r="O870" s="10">
        <f>IFERROR(IF(INDEX('Test catalog'!$J$2:$J$200,MATCH($AB870,'Test catalog'!$A$2:$A$200,0))="","",INDEX('Test catalog'!$J$2:$J$200,MATCH($AB870,'Test catalog'!$A$2:$A$200,0))),"")</f>
        <v/>
      </c>
      <c r="P870" s="14">
        <f>IF(N870="","",IF(OR(M870="",O870=""),N870,(M870+4*N870+O870)/6))</f>
        <v/>
      </c>
      <c r="Q870" s="10">
        <f>IFERROR(IF(INDEX('Test catalog'!$K$2:$K$200,MATCH($AB870,'Test catalog'!$A$2:$A$200,0))="","",INDEX('Test catalog'!$K$2:$K$200,MATCH($AB870,'Test catalog'!$A$2:$A$200,0))),"")</f>
        <v/>
      </c>
      <c r="R870" s="5" t="n"/>
      <c r="S870" s="10">
        <f>IFERROR(IF(INDEX('Test catalog'!$L$2:$L$200,MATCH($AB870,'Test catalog'!$A$2:$A$200,0))="","",INDEX('Test catalog'!$L$2:$L$200,MATCH($AB870,'Test catalog'!$A$2:$A$200,0))),"")</f>
        <v/>
      </c>
      <c r="T870" s="10">
        <f>IFERROR(IF(INDEX('Test catalog'!$M$2:$M$200,MATCH($AB870,'Test catalog'!$A$2:$A$200,0))="","",INDEX('Test catalog'!$M$2:$M$200,MATCH($AB870,'Test catalog'!$A$2:$A$200,0))),"")</f>
        <v/>
      </c>
      <c r="U870" s="10">
        <f>IFERROR(IF(INDEX('Test catalog'!$N$2:$N$200,MATCH($AB870,'Test catalog'!$A$2:$A$200,0))="","",INDEX('Test catalog'!$N$2:$N$200,MATCH($AB870,'Test catalog'!$A$2:$A$200,0))),"")</f>
        <v/>
      </c>
      <c r="V870" s="15" t="n"/>
      <c r="W870" s="5" t="inlineStr">
        <is>
          <t>N</t>
        </is>
      </c>
      <c r="X870" s="5" t="n"/>
      <c r="Y870" s="5" t="n"/>
      <c r="Z870" s="5" t="n"/>
      <c r="AA870" s="10">
        <f>IFERROR(IF(INDEX('Test catalog'!$O$2:$O$200,MATCH($AB870,'Test catalog'!$A$2:$A$200,0))="","",INDEX('Test catalog'!$O$2:$O$200,MATCH($AB870,'Test catalog'!$A$2:$A$200,0))),"")</f>
        <v/>
      </c>
      <c r="AB870" s="10" t="inlineStr">
        <is>
          <t>UV</t>
        </is>
      </c>
      <c r="AC870" s="10" t="inlineStr">
        <is>
          <t>Sodium Chloride · Impurities</t>
        </is>
      </c>
      <c r="AD870" s="10" t="n"/>
      <c r="AE870" s="10" t="n"/>
    </row>
    <row r="871">
      <c r="A871" s="10" t="inlineStr">
        <is>
          <t>Sodium Chloride</t>
        </is>
      </c>
      <c r="B871" s="10" t="inlineStr">
        <is>
          <t>RM</t>
        </is>
      </c>
      <c r="C871" s="10" t="inlineStr">
        <is>
          <t>Other Excipient</t>
        </is>
      </c>
      <c r="D871" s="10" t="inlineStr">
        <is>
          <t>Limit of Phosphates</t>
        </is>
      </c>
      <c r="E871" s="10">
        <f>IF(A871="","",A871&amp;"|"&amp;D871)</f>
        <v/>
      </c>
      <c r="F871" s="5" t="inlineStr">
        <is>
          <t>Y</t>
        </is>
      </c>
      <c r="G871" s="5" t="inlineStr">
        <is>
          <t>Other / bench</t>
        </is>
      </c>
      <c r="H871" s="5" t="inlineStr">
        <is>
          <t>Low</t>
        </is>
      </c>
      <c r="I871" s="5" t="n">
        <v>1</v>
      </c>
      <c r="J871" s="5" t="n"/>
      <c r="K871" s="10">
        <f>IFERROR(IF(INDEX('Test catalog'!$F$2:$F$200,MATCH($AB871,'Test catalog'!$A$2:$A$200,0))="","",INDEX('Test catalog'!$F$2:$F$200,MATCH($AB871,'Test catalog'!$A$2:$A$200,0))),"")</f>
        <v/>
      </c>
      <c r="L871" s="10">
        <f>IFERROR(IF(INDEX('Test catalog'!$G$2:$G$200,MATCH($AB871,'Test catalog'!$A$2:$A$200,0))="","",INDEX('Test catalog'!$G$2:$G$200,MATCH($AB871,'Test catalog'!$A$2:$A$200,0))),"")</f>
        <v/>
      </c>
      <c r="M871" s="10">
        <f>IFERROR(IF(INDEX('Test catalog'!$H$2:$H$200,MATCH($AB871,'Test catalog'!$A$2:$A$200,0))="","",INDEX('Test catalog'!$H$2:$H$200,MATCH($AB871,'Test catalog'!$A$2:$A$200,0))),"")</f>
        <v/>
      </c>
      <c r="N871" s="10">
        <f>IFERROR(IF(INDEX('Test catalog'!$I$2:$I$200,MATCH($AB871,'Test catalog'!$A$2:$A$200,0))="","",INDEX('Test catalog'!$I$2:$I$200,MATCH($AB871,'Test catalog'!$A$2:$A$200,0))),"")</f>
        <v/>
      </c>
      <c r="O871" s="10">
        <f>IFERROR(IF(INDEX('Test catalog'!$J$2:$J$200,MATCH($AB871,'Test catalog'!$A$2:$A$200,0))="","",INDEX('Test catalog'!$J$2:$J$200,MATCH($AB871,'Test catalog'!$A$2:$A$200,0))),"")</f>
        <v/>
      </c>
      <c r="P871" s="14">
        <f>IF(N871="","",IF(OR(M871="",O871=""),N871,(M871+4*N871+O871)/6))</f>
        <v/>
      </c>
      <c r="Q871" s="10">
        <f>IFERROR(IF(INDEX('Test catalog'!$K$2:$K$200,MATCH($AB871,'Test catalog'!$A$2:$A$200,0))="","",INDEX('Test catalog'!$K$2:$K$200,MATCH($AB871,'Test catalog'!$A$2:$A$200,0))),"")</f>
        <v/>
      </c>
      <c r="R871" s="5" t="n"/>
      <c r="S871" s="10">
        <f>IFERROR(IF(INDEX('Test catalog'!$L$2:$L$200,MATCH($AB871,'Test catalog'!$A$2:$A$200,0))="","",INDEX('Test catalog'!$L$2:$L$200,MATCH($AB871,'Test catalog'!$A$2:$A$200,0))),"")</f>
        <v/>
      </c>
      <c r="T871" s="10">
        <f>IFERROR(IF(INDEX('Test catalog'!$M$2:$M$200,MATCH($AB871,'Test catalog'!$A$2:$A$200,0))="","",INDEX('Test catalog'!$M$2:$M$200,MATCH($AB871,'Test catalog'!$A$2:$A$200,0))),"")</f>
        <v/>
      </c>
      <c r="U871" s="10">
        <f>IFERROR(IF(INDEX('Test catalog'!$N$2:$N$200,MATCH($AB871,'Test catalog'!$A$2:$A$200,0))="","",INDEX('Test catalog'!$N$2:$N$200,MATCH($AB871,'Test catalog'!$A$2:$A$200,0))),"")</f>
        <v/>
      </c>
      <c r="V871" s="15" t="n"/>
      <c r="W871" s="5" t="inlineStr">
        <is>
          <t>N</t>
        </is>
      </c>
      <c r="X871" s="5" t="n"/>
      <c r="Y871" s="5" t="n"/>
      <c r="Z871" s="5" t="n"/>
      <c r="AA871" s="10">
        <f>IFERROR(IF(INDEX('Test catalog'!$O$2:$O$200,MATCH($AB871,'Test catalog'!$A$2:$A$200,0))="","",INDEX('Test catalog'!$O$2:$O$200,MATCH($AB871,'Test catalog'!$A$2:$A$200,0))),"")</f>
        <v/>
      </c>
      <c r="AB871" s="10" t="inlineStr">
        <is>
          <t>LIMIT</t>
        </is>
      </c>
      <c r="AC871" s="10" t="inlineStr">
        <is>
          <t>Sodium Chloride · Impurities</t>
        </is>
      </c>
      <c r="AD871" s="10" t="n"/>
      <c r="AE871" s="10" t="n"/>
    </row>
    <row r="872">
      <c r="A872" s="10" t="inlineStr">
        <is>
          <t>Sodium Chloride</t>
        </is>
      </c>
      <c r="B872" s="10" t="inlineStr">
        <is>
          <t>RM</t>
        </is>
      </c>
      <c r="C872" s="10" t="inlineStr">
        <is>
          <t>Other Excipient</t>
        </is>
      </c>
      <c r="D872" s="10" t="inlineStr">
        <is>
          <t>Limit of Potassium (where it is labeled as intended for use in the manufacture of injectab</t>
        </is>
      </c>
      <c r="E872" s="10">
        <f>IF(A872="","",A872&amp;"|"&amp;D872)</f>
        <v/>
      </c>
      <c r="F872" s="5" t="inlineStr">
        <is>
          <t>N</t>
        </is>
      </c>
      <c r="G872" s="5" t="inlineStr">
        <is>
          <t>AAS / ICP</t>
        </is>
      </c>
      <c r="H872" s="5" t="inlineStr">
        <is>
          <t>Low</t>
        </is>
      </c>
      <c r="I872" s="5" t="n">
        <v>1</v>
      </c>
      <c r="J872" s="5" t="n"/>
      <c r="K872" s="10">
        <f>IFERROR(IF(INDEX('Test catalog'!$F$2:$F$200,MATCH($AB872,'Test catalog'!$A$2:$A$200,0))="","",INDEX('Test catalog'!$F$2:$F$200,MATCH($AB872,'Test catalog'!$A$2:$A$200,0))),"")</f>
        <v/>
      </c>
      <c r="L872" s="10">
        <f>IFERROR(IF(INDEX('Test catalog'!$G$2:$G$200,MATCH($AB872,'Test catalog'!$A$2:$A$200,0))="","",INDEX('Test catalog'!$G$2:$G$200,MATCH($AB872,'Test catalog'!$A$2:$A$200,0))),"")</f>
        <v/>
      </c>
      <c r="M872" s="10">
        <f>IFERROR(IF(INDEX('Test catalog'!$H$2:$H$200,MATCH($AB872,'Test catalog'!$A$2:$A$200,0))="","",INDEX('Test catalog'!$H$2:$H$200,MATCH($AB872,'Test catalog'!$A$2:$A$200,0))),"")</f>
        <v/>
      </c>
      <c r="N872" s="10">
        <f>IFERROR(IF(INDEX('Test catalog'!$I$2:$I$200,MATCH($AB872,'Test catalog'!$A$2:$A$200,0))="","",INDEX('Test catalog'!$I$2:$I$200,MATCH($AB872,'Test catalog'!$A$2:$A$200,0))),"")</f>
        <v/>
      </c>
      <c r="O872" s="10">
        <f>IFERROR(IF(INDEX('Test catalog'!$J$2:$J$200,MATCH($AB872,'Test catalog'!$A$2:$A$200,0))="","",INDEX('Test catalog'!$J$2:$J$200,MATCH($AB872,'Test catalog'!$A$2:$A$200,0))),"")</f>
        <v/>
      </c>
      <c r="P872" s="14">
        <f>IF(N872="","",IF(OR(M872="",O872=""),N872,(M872+4*N872+O872)/6))</f>
        <v/>
      </c>
      <c r="Q872" s="10">
        <f>IFERROR(IF(INDEX('Test catalog'!$K$2:$K$200,MATCH($AB872,'Test catalog'!$A$2:$A$200,0))="","",INDEX('Test catalog'!$K$2:$K$200,MATCH($AB872,'Test catalog'!$A$2:$A$200,0))),"")</f>
        <v/>
      </c>
      <c r="R872" s="5" t="n"/>
      <c r="S872" s="10">
        <f>IFERROR(IF(INDEX('Test catalog'!$L$2:$L$200,MATCH($AB872,'Test catalog'!$A$2:$A$200,0))="","",INDEX('Test catalog'!$L$2:$L$200,MATCH($AB872,'Test catalog'!$A$2:$A$200,0))),"")</f>
        <v/>
      </c>
      <c r="T872" s="10">
        <f>IFERROR(IF(INDEX('Test catalog'!$M$2:$M$200,MATCH($AB872,'Test catalog'!$A$2:$A$200,0))="","",INDEX('Test catalog'!$M$2:$M$200,MATCH($AB872,'Test catalog'!$A$2:$A$200,0))),"")</f>
        <v/>
      </c>
      <c r="U872" s="10">
        <f>IFERROR(IF(INDEX('Test catalog'!$N$2:$N$200,MATCH($AB872,'Test catalog'!$A$2:$A$200,0))="","",INDEX('Test catalog'!$N$2:$N$200,MATCH($AB872,'Test catalog'!$A$2:$A$200,0))),"")</f>
        <v/>
      </c>
      <c r="V872" s="15" t="n"/>
      <c r="W872" s="5" t="inlineStr">
        <is>
          <t>N</t>
        </is>
      </c>
      <c r="X872" s="5" t="n"/>
      <c r="Y872" s="5" t="n"/>
      <c r="Z872" s="5" t="inlineStr">
        <is>
          <t>Only for some grades/labels - check your supplier grade</t>
        </is>
      </c>
      <c r="AA872" s="10">
        <f>IFERROR(IF(INDEX('Test catalog'!$O$2:$O$200,MATCH($AB872,'Test catalog'!$A$2:$A$200,0))="","",INDEX('Test catalog'!$O$2:$O$200,MATCH($AB872,'Test catalog'!$A$2:$A$200,0))),"")</f>
        <v/>
      </c>
      <c r="AB872" s="10" t="inlineStr">
        <is>
          <t>AAS</t>
        </is>
      </c>
      <c r="AC872" s="10" t="inlineStr">
        <is>
          <t>Sodium Chloride · Impurities</t>
        </is>
      </c>
      <c r="AD872" s="10" t="n"/>
      <c r="AE872" s="10" t="n"/>
    </row>
    <row r="873">
      <c r="A873" s="10" t="inlineStr">
        <is>
          <t>Sodium Chloride</t>
        </is>
      </c>
      <c r="B873" s="10" t="inlineStr">
        <is>
          <t>RM</t>
        </is>
      </c>
      <c r="C873" s="10" t="inlineStr">
        <is>
          <t>Other Excipient</t>
        </is>
      </c>
      <c r="D873" s="10" t="inlineStr">
        <is>
          <t>Magnesium and Alkaline-Earth Metals</t>
        </is>
      </c>
      <c r="E873" s="10">
        <f>IF(A873="","",A873&amp;"|"&amp;D873)</f>
        <v/>
      </c>
      <c r="F873" s="5" t="inlineStr">
        <is>
          <t>Y</t>
        </is>
      </c>
      <c r="G873" s="5" t="inlineStr">
        <is>
          <t>Other / bench</t>
        </is>
      </c>
      <c r="H873" s="5" t="inlineStr">
        <is>
          <t>Low</t>
        </is>
      </c>
      <c r="I873" s="5" t="n">
        <v>1</v>
      </c>
      <c r="J873" s="5" t="n"/>
      <c r="K873" s="10">
        <f>IFERROR(IF(INDEX('Test catalog'!$F$2:$F$200,MATCH($AB873,'Test catalog'!$A$2:$A$200,0))="","",INDEX('Test catalog'!$F$2:$F$200,MATCH($AB873,'Test catalog'!$A$2:$A$200,0))),"")</f>
        <v/>
      </c>
      <c r="L873" s="10">
        <f>IFERROR(IF(INDEX('Test catalog'!$G$2:$G$200,MATCH($AB873,'Test catalog'!$A$2:$A$200,0))="","",INDEX('Test catalog'!$G$2:$G$200,MATCH($AB873,'Test catalog'!$A$2:$A$200,0))),"")</f>
        <v/>
      </c>
      <c r="M873" s="10">
        <f>IFERROR(IF(INDEX('Test catalog'!$H$2:$H$200,MATCH($AB873,'Test catalog'!$A$2:$A$200,0))="","",INDEX('Test catalog'!$H$2:$H$200,MATCH($AB873,'Test catalog'!$A$2:$A$200,0))),"")</f>
        <v/>
      </c>
      <c r="N873" s="10">
        <f>IFERROR(IF(INDEX('Test catalog'!$I$2:$I$200,MATCH($AB873,'Test catalog'!$A$2:$A$200,0))="","",INDEX('Test catalog'!$I$2:$I$200,MATCH($AB873,'Test catalog'!$A$2:$A$200,0))),"")</f>
        <v/>
      </c>
      <c r="O873" s="10">
        <f>IFERROR(IF(INDEX('Test catalog'!$J$2:$J$200,MATCH($AB873,'Test catalog'!$A$2:$A$200,0))="","",INDEX('Test catalog'!$J$2:$J$200,MATCH($AB873,'Test catalog'!$A$2:$A$200,0))),"")</f>
        <v/>
      </c>
      <c r="P873" s="14">
        <f>IF(N873="","",IF(OR(M873="",O873=""),N873,(M873+4*N873+O873)/6))</f>
        <v/>
      </c>
      <c r="Q873" s="10">
        <f>IFERROR(IF(INDEX('Test catalog'!$K$2:$K$200,MATCH($AB873,'Test catalog'!$A$2:$A$200,0))="","",INDEX('Test catalog'!$K$2:$K$200,MATCH($AB873,'Test catalog'!$A$2:$A$200,0))),"")</f>
        <v/>
      </c>
      <c r="R873" s="5" t="n"/>
      <c r="S873" s="10">
        <f>IFERROR(IF(INDEX('Test catalog'!$L$2:$L$200,MATCH($AB873,'Test catalog'!$A$2:$A$200,0))="","",INDEX('Test catalog'!$L$2:$L$200,MATCH($AB873,'Test catalog'!$A$2:$A$200,0))),"")</f>
        <v/>
      </c>
      <c r="T873" s="10">
        <f>IFERROR(IF(INDEX('Test catalog'!$M$2:$M$200,MATCH($AB873,'Test catalog'!$A$2:$A$200,0))="","",INDEX('Test catalog'!$M$2:$M$200,MATCH($AB873,'Test catalog'!$A$2:$A$200,0))),"")</f>
        <v/>
      </c>
      <c r="U873" s="10">
        <f>IFERROR(IF(INDEX('Test catalog'!$N$2:$N$200,MATCH($AB873,'Test catalog'!$A$2:$A$200,0))="","",INDEX('Test catalog'!$N$2:$N$200,MATCH($AB873,'Test catalog'!$A$2:$A$200,0))),"")</f>
        <v/>
      </c>
      <c r="V873" s="15" t="n"/>
      <c r="W873" s="5" t="inlineStr">
        <is>
          <t>N</t>
        </is>
      </c>
      <c r="X873" s="5" t="n"/>
      <c r="Y873" s="5" t="n"/>
      <c r="Z873" s="5" t="n"/>
      <c r="AA873" s="10">
        <f>IFERROR(IF(INDEX('Test catalog'!$O$2:$O$200,MATCH($AB873,'Test catalog'!$A$2:$A$200,0))="","",INDEX('Test catalog'!$O$2:$O$200,MATCH($AB873,'Test catalog'!$A$2:$A$200,0))),"")</f>
        <v/>
      </c>
      <c r="AB873" s="10" t="inlineStr">
        <is>
          <t>TITR</t>
        </is>
      </c>
      <c r="AC873" s="10" t="inlineStr">
        <is>
          <t>Sodium Chloride · Impurities</t>
        </is>
      </c>
      <c r="AD873" s="10" t="n"/>
      <c r="AE873" s="10" t="n"/>
    </row>
    <row r="874">
      <c r="A874" s="10" t="inlineStr">
        <is>
          <t>Sodium Chloride</t>
        </is>
      </c>
      <c r="B874" s="10" t="inlineStr">
        <is>
          <t>RM</t>
        </is>
      </c>
      <c r="C874" s="10" t="inlineStr">
        <is>
          <t>Other Excipient</t>
        </is>
      </c>
      <c r="D874" s="10" t="inlineStr">
        <is>
          <t>Nitrites</t>
        </is>
      </c>
      <c r="E874" s="10">
        <f>IF(A874="","",A874&amp;"|"&amp;D874)</f>
        <v/>
      </c>
      <c r="F874" s="5" t="inlineStr">
        <is>
          <t>Y</t>
        </is>
      </c>
      <c r="G874" s="5" t="inlineStr">
        <is>
          <t>UV-Vis</t>
        </is>
      </c>
      <c r="H874" s="5" t="inlineStr">
        <is>
          <t>Low</t>
        </is>
      </c>
      <c r="I874" s="5" t="n">
        <v>1</v>
      </c>
      <c r="J874" s="5" t="n"/>
      <c r="K874" s="10">
        <f>IFERROR(IF(INDEX('Test catalog'!$F$2:$F$200,MATCH($AB874,'Test catalog'!$A$2:$A$200,0))="","",INDEX('Test catalog'!$F$2:$F$200,MATCH($AB874,'Test catalog'!$A$2:$A$200,0))),"")</f>
        <v/>
      </c>
      <c r="L874" s="10">
        <f>IFERROR(IF(INDEX('Test catalog'!$G$2:$G$200,MATCH($AB874,'Test catalog'!$A$2:$A$200,0))="","",INDEX('Test catalog'!$G$2:$G$200,MATCH($AB874,'Test catalog'!$A$2:$A$200,0))),"")</f>
        <v/>
      </c>
      <c r="M874" s="10">
        <f>IFERROR(IF(INDEX('Test catalog'!$H$2:$H$200,MATCH($AB874,'Test catalog'!$A$2:$A$200,0))="","",INDEX('Test catalog'!$H$2:$H$200,MATCH($AB874,'Test catalog'!$A$2:$A$200,0))),"")</f>
        <v/>
      </c>
      <c r="N874" s="10">
        <f>IFERROR(IF(INDEX('Test catalog'!$I$2:$I$200,MATCH($AB874,'Test catalog'!$A$2:$A$200,0))="","",INDEX('Test catalog'!$I$2:$I$200,MATCH($AB874,'Test catalog'!$A$2:$A$200,0))),"")</f>
        <v/>
      </c>
      <c r="O874" s="10">
        <f>IFERROR(IF(INDEX('Test catalog'!$J$2:$J$200,MATCH($AB874,'Test catalog'!$A$2:$A$200,0))="","",INDEX('Test catalog'!$J$2:$J$200,MATCH($AB874,'Test catalog'!$A$2:$A$200,0))),"")</f>
        <v/>
      </c>
      <c r="P874" s="14">
        <f>IF(N874="","",IF(OR(M874="",O874=""),N874,(M874+4*N874+O874)/6))</f>
        <v/>
      </c>
      <c r="Q874" s="10">
        <f>IFERROR(IF(INDEX('Test catalog'!$K$2:$K$200,MATCH($AB874,'Test catalog'!$A$2:$A$200,0))="","",INDEX('Test catalog'!$K$2:$K$200,MATCH($AB874,'Test catalog'!$A$2:$A$200,0))),"")</f>
        <v/>
      </c>
      <c r="R874" s="5" t="n"/>
      <c r="S874" s="10">
        <f>IFERROR(IF(INDEX('Test catalog'!$L$2:$L$200,MATCH($AB874,'Test catalog'!$A$2:$A$200,0))="","",INDEX('Test catalog'!$L$2:$L$200,MATCH($AB874,'Test catalog'!$A$2:$A$200,0))),"")</f>
        <v/>
      </c>
      <c r="T874" s="10">
        <f>IFERROR(IF(INDEX('Test catalog'!$M$2:$M$200,MATCH($AB874,'Test catalog'!$A$2:$A$200,0))="","",INDEX('Test catalog'!$M$2:$M$200,MATCH($AB874,'Test catalog'!$A$2:$A$200,0))),"")</f>
        <v/>
      </c>
      <c r="U874" s="10">
        <f>IFERROR(IF(INDEX('Test catalog'!$N$2:$N$200,MATCH($AB874,'Test catalog'!$A$2:$A$200,0))="","",INDEX('Test catalog'!$N$2:$N$200,MATCH($AB874,'Test catalog'!$A$2:$A$200,0))),"")</f>
        <v/>
      </c>
      <c r="V874" s="15" t="n"/>
      <c r="W874" s="5" t="inlineStr">
        <is>
          <t>N</t>
        </is>
      </c>
      <c r="X874" s="5" t="n"/>
      <c r="Y874" s="5" t="n"/>
      <c r="Z874" s="5" t="n"/>
      <c r="AA874" s="10">
        <f>IFERROR(IF(INDEX('Test catalog'!$O$2:$O$200,MATCH($AB874,'Test catalog'!$A$2:$A$200,0))="","",INDEX('Test catalog'!$O$2:$O$200,MATCH($AB874,'Test catalog'!$A$2:$A$200,0))),"")</f>
        <v/>
      </c>
      <c r="AB874" s="10" t="inlineStr">
        <is>
          <t>UV</t>
        </is>
      </c>
      <c r="AC874" s="10" t="inlineStr">
        <is>
          <t>Sodium Chloride · Impurities &lt;857&gt;</t>
        </is>
      </c>
      <c r="AD874" s="10" t="n"/>
      <c r="AE874" s="10" t="n"/>
    </row>
    <row r="875">
      <c r="A875" s="10" t="inlineStr">
        <is>
          <t>Sodium Chloride</t>
        </is>
      </c>
      <c r="B875" s="10" t="inlineStr">
        <is>
          <t>RM</t>
        </is>
      </c>
      <c r="C875" s="10" t="inlineStr">
        <is>
          <t>Other Excipient</t>
        </is>
      </c>
      <c r="D875" s="10" t="inlineStr">
        <is>
          <t>Sulfate</t>
        </is>
      </c>
      <c r="E875" s="10">
        <f>IF(A875="","",A875&amp;"|"&amp;D875)</f>
        <v/>
      </c>
      <c r="F875" s="5" t="inlineStr">
        <is>
          <t>Y</t>
        </is>
      </c>
      <c r="G875" s="5" t="inlineStr">
        <is>
          <t>Other / bench</t>
        </is>
      </c>
      <c r="H875" s="5" t="inlineStr">
        <is>
          <t>Low</t>
        </is>
      </c>
      <c r="I875" s="5" t="n">
        <v>1</v>
      </c>
      <c r="J875" s="5" t="n"/>
      <c r="K875" s="10">
        <f>IFERROR(IF(INDEX('Test catalog'!$F$2:$F$200,MATCH($AB875,'Test catalog'!$A$2:$A$200,0))="","",INDEX('Test catalog'!$F$2:$F$200,MATCH($AB875,'Test catalog'!$A$2:$A$200,0))),"")</f>
        <v/>
      </c>
      <c r="L875" s="10">
        <f>IFERROR(IF(INDEX('Test catalog'!$G$2:$G$200,MATCH($AB875,'Test catalog'!$A$2:$A$200,0))="","",INDEX('Test catalog'!$G$2:$G$200,MATCH($AB875,'Test catalog'!$A$2:$A$200,0))),"")</f>
        <v/>
      </c>
      <c r="M875" s="10">
        <f>IFERROR(IF(INDEX('Test catalog'!$H$2:$H$200,MATCH($AB875,'Test catalog'!$A$2:$A$200,0))="","",INDEX('Test catalog'!$H$2:$H$200,MATCH($AB875,'Test catalog'!$A$2:$A$200,0))),"")</f>
        <v/>
      </c>
      <c r="N875" s="10">
        <f>IFERROR(IF(INDEX('Test catalog'!$I$2:$I$200,MATCH($AB875,'Test catalog'!$A$2:$A$200,0))="","",INDEX('Test catalog'!$I$2:$I$200,MATCH($AB875,'Test catalog'!$A$2:$A$200,0))),"")</f>
        <v/>
      </c>
      <c r="O875" s="10">
        <f>IFERROR(IF(INDEX('Test catalog'!$J$2:$J$200,MATCH($AB875,'Test catalog'!$A$2:$A$200,0))="","",INDEX('Test catalog'!$J$2:$J$200,MATCH($AB875,'Test catalog'!$A$2:$A$200,0))),"")</f>
        <v/>
      </c>
      <c r="P875" s="14">
        <f>IF(N875="","",IF(OR(M875="",O875=""),N875,(M875+4*N875+O875)/6))</f>
        <v/>
      </c>
      <c r="Q875" s="10">
        <f>IFERROR(IF(INDEX('Test catalog'!$K$2:$K$200,MATCH($AB875,'Test catalog'!$A$2:$A$200,0))="","",INDEX('Test catalog'!$K$2:$K$200,MATCH($AB875,'Test catalog'!$A$2:$A$200,0))),"")</f>
        <v/>
      </c>
      <c r="R875" s="5" t="n"/>
      <c r="S875" s="10">
        <f>IFERROR(IF(INDEX('Test catalog'!$L$2:$L$200,MATCH($AB875,'Test catalog'!$A$2:$A$200,0))="","",INDEX('Test catalog'!$L$2:$L$200,MATCH($AB875,'Test catalog'!$A$2:$A$200,0))),"")</f>
        <v/>
      </c>
      <c r="T875" s="10">
        <f>IFERROR(IF(INDEX('Test catalog'!$M$2:$M$200,MATCH($AB875,'Test catalog'!$A$2:$A$200,0))="","",INDEX('Test catalog'!$M$2:$M$200,MATCH($AB875,'Test catalog'!$A$2:$A$200,0))),"")</f>
        <v/>
      </c>
      <c r="U875" s="10">
        <f>IFERROR(IF(INDEX('Test catalog'!$N$2:$N$200,MATCH($AB875,'Test catalog'!$A$2:$A$200,0))="","",INDEX('Test catalog'!$N$2:$N$200,MATCH($AB875,'Test catalog'!$A$2:$A$200,0))),"")</f>
        <v/>
      </c>
      <c r="V875" s="15" t="n"/>
      <c r="W875" s="5" t="inlineStr">
        <is>
          <t>N</t>
        </is>
      </c>
      <c r="X875" s="5" t="n"/>
      <c r="Y875" s="5" t="n"/>
      <c r="Z875" s="5" t="n"/>
      <c r="AA875" s="10">
        <f>IFERROR(IF(INDEX('Test catalog'!$O$2:$O$200,MATCH($AB875,'Test catalog'!$A$2:$A$200,0))="","",INDEX('Test catalog'!$O$2:$O$200,MATCH($AB875,'Test catalog'!$A$2:$A$200,0))),"")</f>
        <v/>
      </c>
      <c r="AB875" s="10" t="inlineStr">
        <is>
          <t>LIMIT</t>
        </is>
      </c>
      <c r="AC875" s="10" t="inlineStr">
        <is>
          <t>Sodium Chloride · Impurities</t>
        </is>
      </c>
      <c r="AD875" s="10" t="n"/>
      <c r="AE875" s="10" t="n"/>
    </row>
    <row r="876">
      <c r="A876" s="10" t="inlineStr">
        <is>
          <t>Sodium Chloride</t>
        </is>
      </c>
      <c r="B876" s="10" t="inlineStr">
        <is>
          <t>RM</t>
        </is>
      </c>
      <c r="C876" s="10" t="inlineStr">
        <is>
          <t>Other Excipient</t>
        </is>
      </c>
      <c r="D876" s="10" t="inlineStr">
        <is>
          <t>Appearance of Solution</t>
        </is>
      </c>
      <c r="E876" s="10">
        <f>IF(A876="","",A876&amp;"|"&amp;D876)</f>
        <v/>
      </c>
      <c r="F876" s="5" t="inlineStr">
        <is>
          <t>Y</t>
        </is>
      </c>
      <c r="G876" s="5" t="inlineStr">
        <is>
          <t>Other / bench</t>
        </is>
      </c>
      <c r="H876" s="5" t="inlineStr">
        <is>
          <t>Low</t>
        </is>
      </c>
      <c r="I876" s="5" t="n">
        <v>1</v>
      </c>
      <c r="J876" s="5" t="n"/>
      <c r="K876" s="10">
        <f>IFERROR(IF(INDEX('Test catalog'!$F$2:$F$200,MATCH($AB876,'Test catalog'!$A$2:$A$200,0))="","",INDEX('Test catalog'!$F$2:$F$200,MATCH($AB876,'Test catalog'!$A$2:$A$200,0))),"")</f>
        <v/>
      </c>
      <c r="L876" s="10">
        <f>IFERROR(IF(INDEX('Test catalog'!$G$2:$G$200,MATCH($AB876,'Test catalog'!$A$2:$A$200,0))="","",INDEX('Test catalog'!$G$2:$G$200,MATCH($AB876,'Test catalog'!$A$2:$A$200,0))),"")</f>
        <v/>
      </c>
      <c r="M876" s="10">
        <f>IFERROR(IF(INDEX('Test catalog'!$H$2:$H$200,MATCH($AB876,'Test catalog'!$A$2:$A$200,0))="","",INDEX('Test catalog'!$H$2:$H$200,MATCH($AB876,'Test catalog'!$A$2:$A$200,0))),"")</f>
        <v/>
      </c>
      <c r="N876" s="10">
        <f>IFERROR(IF(INDEX('Test catalog'!$I$2:$I$200,MATCH($AB876,'Test catalog'!$A$2:$A$200,0))="","",INDEX('Test catalog'!$I$2:$I$200,MATCH($AB876,'Test catalog'!$A$2:$A$200,0))),"")</f>
        <v/>
      </c>
      <c r="O876" s="10">
        <f>IFERROR(IF(INDEX('Test catalog'!$J$2:$J$200,MATCH($AB876,'Test catalog'!$A$2:$A$200,0))="","",INDEX('Test catalog'!$J$2:$J$200,MATCH($AB876,'Test catalog'!$A$2:$A$200,0))),"")</f>
        <v/>
      </c>
      <c r="P876" s="14">
        <f>IF(N876="","",IF(OR(M876="",O876=""),N876,(M876+4*N876+O876)/6))</f>
        <v/>
      </c>
      <c r="Q876" s="10">
        <f>IFERROR(IF(INDEX('Test catalog'!$K$2:$K$200,MATCH($AB876,'Test catalog'!$A$2:$A$200,0))="","",INDEX('Test catalog'!$K$2:$K$200,MATCH($AB876,'Test catalog'!$A$2:$A$200,0))),"")</f>
        <v/>
      </c>
      <c r="R876" s="5" t="n"/>
      <c r="S876" s="10">
        <f>IFERROR(IF(INDEX('Test catalog'!$L$2:$L$200,MATCH($AB876,'Test catalog'!$A$2:$A$200,0))="","",INDEX('Test catalog'!$L$2:$L$200,MATCH($AB876,'Test catalog'!$A$2:$A$200,0))),"")</f>
        <v/>
      </c>
      <c r="T876" s="10">
        <f>IFERROR(IF(INDEX('Test catalog'!$M$2:$M$200,MATCH($AB876,'Test catalog'!$A$2:$A$200,0))="","",INDEX('Test catalog'!$M$2:$M$200,MATCH($AB876,'Test catalog'!$A$2:$A$200,0))),"")</f>
        <v/>
      </c>
      <c r="U876" s="10">
        <f>IFERROR(IF(INDEX('Test catalog'!$N$2:$N$200,MATCH($AB876,'Test catalog'!$A$2:$A$200,0))="","",INDEX('Test catalog'!$N$2:$N$200,MATCH($AB876,'Test catalog'!$A$2:$A$200,0))),"")</f>
        <v/>
      </c>
      <c r="V876" s="15" t="n"/>
      <c r="W876" s="5" t="inlineStr">
        <is>
          <t>N</t>
        </is>
      </c>
      <c r="X876" s="5" t="n"/>
      <c r="Y876" s="5" t="n"/>
      <c r="Z876" s="5" t="n"/>
      <c r="AA876" s="10">
        <f>IFERROR(IF(INDEX('Test catalog'!$O$2:$O$200,MATCH($AB876,'Test catalog'!$A$2:$A$200,0))="","",INDEX('Test catalog'!$O$2:$O$200,MATCH($AB876,'Test catalog'!$A$2:$A$200,0))),"")</f>
        <v/>
      </c>
      <c r="AB876" s="10" t="inlineStr">
        <is>
          <t>CLAR</t>
        </is>
      </c>
      <c r="AC876" s="10" t="inlineStr">
        <is>
          <t>Sodium Chloride · Specific Tests</t>
        </is>
      </c>
      <c r="AD876" s="10" t="n"/>
      <c r="AE876" s="10" t="n"/>
    </row>
    <row r="877">
      <c r="A877" s="10" t="inlineStr">
        <is>
          <t>Sodium Chloride</t>
        </is>
      </c>
      <c r="B877" s="10" t="inlineStr">
        <is>
          <t>RM</t>
        </is>
      </c>
      <c r="C877" s="10" t="inlineStr">
        <is>
          <t>Other Excipient</t>
        </is>
      </c>
      <c r="D877" s="10" t="inlineStr">
        <is>
          <t>Acidity or Alkalinity</t>
        </is>
      </c>
      <c r="E877" s="10">
        <f>IF(A877="","",A877&amp;"|"&amp;D877)</f>
        <v/>
      </c>
      <c r="F877" s="5" t="inlineStr">
        <is>
          <t>Y</t>
        </is>
      </c>
      <c r="G877" s="5" t="inlineStr">
        <is>
          <t>Other / bench</t>
        </is>
      </c>
      <c r="H877" s="5" t="inlineStr">
        <is>
          <t>Low</t>
        </is>
      </c>
      <c r="I877" s="5" t="n">
        <v>1</v>
      </c>
      <c r="J877" s="5" t="n"/>
      <c r="K877" s="10">
        <f>IFERROR(IF(INDEX('Test catalog'!$F$2:$F$200,MATCH($AB877,'Test catalog'!$A$2:$A$200,0))="","",INDEX('Test catalog'!$F$2:$F$200,MATCH($AB877,'Test catalog'!$A$2:$A$200,0))),"")</f>
        <v/>
      </c>
      <c r="L877" s="10">
        <f>IFERROR(IF(INDEX('Test catalog'!$G$2:$G$200,MATCH($AB877,'Test catalog'!$A$2:$A$200,0))="","",INDEX('Test catalog'!$G$2:$G$200,MATCH($AB877,'Test catalog'!$A$2:$A$200,0))),"")</f>
        <v/>
      </c>
      <c r="M877" s="10">
        <f>IFERROR(IF(INDEX('Test catalog'!$H$2:$H$200,MATCH($AB877,'Test catalog'!$A$2:$A$200,0))="","",INDEX('Test catalog'!$H$2:$H$200,MATCH($AB877,'Test catalog'!$A$2:$A$200,0))),"")</f>
        <v/>
      </c>
      <c r="N877" s="10">
        <f>IFERROR(IF(INDEX('Test catalog'!$I$2:$I$200,MATCH($AB877,'Test catalog'!$A$2:$A$200,0))="","",INDEX('Test catalog'!$I$2:$I$200,MATCH($AB877,'Test catalog'!$A$2:$A$200,0))),"")</f>
        <v/>
      </c>
      <c r="O877" s="10">
        <f>IFERROR(IF(INDEX('Test catalog'!$J$2:$J$200,MATCH($AB877,'Test catalog'!$A$2:$A$200,0))="","",INDEX('Test catalog'!$J$2:$J$200,MATCH($AB877,'Test catalog'!$A$2:$A$200,0))),"")</f>
        <v/>
      </c>
      <c r="P877" s="14">
        <f>IF(N877="","",IF(OR(M877="",O877=""),N877,(M877+4*N877+O877)/6))</f>
        <v/>
      </c>
      <c r="Q877" s="10">
        <f>IFERROR(IF(INDEX('Test catalog'!$K$2:$K$200,MATCH($AB877,'Test catalog'!$A$2:$A$200,0))="","",INDEX('Test catalog'!$K$2:$K$200,MATCH($AB877,'Test catalog'!$A$2:$A$200,0))),"")</f>
        <v/>
      </c>
      <c r="R877" s="5" t="n"/>
      <c r="S877" s="10">
        <f>IFERROR(IF(INDEX('Test catalog'!$L$2:$L$200,MATCH($AB877,'Test catalog'!$A$2:$A$200,0))="","",INDEX('Test catalog'!$L$2:$L$200,MATCH($AB877,'Test catalog'!$A$2:$A$200,0))),"")</f>
        <v/>
      </c>
      <c r="T877" s="10">
        <f>IFERROR(IF(INDEX('Test catalog'!$M$2:$M$200,MATCH($AB877,'Test catalog'!$A$2:$A$200,0))="","",INDEX('Test catalog'!$M$2:$M$200,MATCH($AB877,'Test catalog'!$A$2:$A$200,0))),"")</f>
        <v/>
      </c>
      <c r="U877" s="10">
        <f>IFERROR(IF(INDEX('Test catalog'!$N$2:$N$200,MATCH($AB877,'Test catalog'!$A$2:$A$200,0))="","",INDEX('Test catalog'!$N$2:$N$200,MATCH($AB877,'Test catalog'!$A$2:$A$200,0))),"")</f>
        <v/>
      </c>
      <c r="V877" s="15" t="n"/>
      <c r="W877" s="5" t="inlineStr">
        <is>
          <t>N</t>
        </is>
      </c>
      <c r="X877" s="5" t="n"/>
      <c r="Y877" s="5" t="n"/>
      <c r="Z877" s="5" t="n"/>
      <c r="AA877" s="10">
        <f>IFERROR(IF(INDEX('Test catalog'!$O$2:$O$200,MATCH($AB877,'Test catalog'!$A$2:$A$200,0))="","",INDEX('Test catalog'!$O$2:$O$200,MATCH($AB877,'Test catalog'!$A$2:$A$200,0))),"")</f>
        <v/>
      </c>
      <c r="AB877" s="10" t="inlineStr">
        <is>
          <t>ACID</t>
        </is>
      </c>
      <c r="AC877" s="10" t="inlineStr">
        <is>
          <t>Sodium Chloride · Specific Tests</t>
        </is>
      </c>
      <c r="AD877" s="10" t="n"/>
      <c r="AE877" s="10" t="n"/>
    </row>
    <row r="878">
      <c r="A878" s="10" t="inlineStr">
        <is>
          <t>Sodium Chloride</t>
        </is>
      </c>
      <c r="B878" s="10" t="inlineStr">
        <is>
          <t>RM</t>
        </is>
      </c>
      <c r="C878" s="10" t="inlineStr">
        <is>
          <t>Other Excipient</t>
        </is>
      </c>
      <c r="D878" s="10" t="inlineStr">
        <is>
          <t>Loss on Drying</t>
        </is>
      </c>
      <c r="E878" s="10">
        <f>IF(A878="","",A878&amp;"|"&amp;D878)</f>
        <v/>
      </c>
      <c r="F878" s="5" t="inlineStr">
        <is>
          <t>Y</t>
        </is>
      </c>
      <c r="G878" s="5" t="inlineStr">
        <is>
          <t>Other / bench</t>
        </is>
      </c>
      <c r="H878" s="5" t="inlineStr">
        <is>
          <t>Low</t>
        </is>
      </c>
      <c r="I878" s="5" t="n">
        <v>1</v>
      </c>
      <c r="J878" s="5" t="n"/>
      <c r="K878" s="10">
        <f>IFERROR(IF(INDEX('Test catalog'!$F$2:$F$200,MATCH($AB878,'Test catalog'!$A$2:$A$200,0))="","",INDEX('Test catalog'!$F$2:$F$200,MATCH($AB878,'Test catalog'!$A$2:$A$200,0))),"")</f>
        <v/>
      </c>
      <c r="L878" s="10">
        <f>IFERROR(IF(INDEX('Test catalog'!$G$2:$G$200,MATCH($AB878,'Test catalog'!$A$2:$A$200,0))="","",INDEX('Test catalog'!$G$2:$G$200,MATCH($AB878,'Test catalog'!$A$2:$A$200,0))),"")</f>
        <v/>
      </c>
      <c r="M878" s="10">
        <f>IFERROR(IF(INDEX('Test catalog'!$H$2:$H$200,MATCH($AB878,'Test catalog'!$A$2:$A$200,0))="","",INDEX('Test catalog'!$H$2:$H$200,MATCH($AB878,'Test catalog'!$A$2:$A$200,0))),"")</f>
        <v/>
      </c>
      <c r="N878" s="10">
        <f>IFERROR(IF(INDEX('Test catalog'!$I$2:$I$200,MATCH($AB878,'Test catalog'!$A$2:$A$200,0))="","",INDEX('Test catalog'!$I$2:$I$200,MATCH($AB878,'Test catalog'!$A$2:$A$200,0))),"")</f>
        <v/>
      </c>
      <c r="O878" s="10">
        <f>IFERROR(IF(INDEX('Test catalog'!$J$2:$J$200,MATCH($AB878,'Test catalog'!$A$2:$A$200,0))="","",INDEX('Test catalog'!$J$2:$J$200,MATCH($AB878,'Test catalog'!$A$2:$A$200,0))),"")</f>
        <v/>
      </c>
      <c r="P878" s="14">
        <f>IF(N878="","",IF(OR(M878="",O878=""),N878,(M878+4*N878+O878)/6))</f>
        <v/>
      </c>
      <c r="Q878" s="10">
        <f>IFERROR(IF(INDEX('Test catalog'!$K$2:$K$200,MATCH($AB878,'Test catalog'!$A$2:$A$200,0))="","",INDEX('Test catalog'!$K$2:$K$200,MATCH($AB878,'Test catalog'!$A$2:$A$200,0))),"")</f>
        <v/>
      </c>
      <c r="R878" s="5" t="n"/>
      <c r="S878" s="10">
        <f>IFERROR(IF(INDEX('Test catalog'!$L$2:$L$200,MATCH($AB878,'Test catalog'!$A$2:$A$200,0))="","",INDEX('Test catalog'!$L$2:$L$200,MATCH($AB878,'Test catalog'!$A$2:$A$200,0))),"")</f>
        <v/>
      </c>
      <c r="T878" s="10">
        <f>IFERROR(IF(INDEX('Test catalog'!$M$2:$M$200,MATCH($AB878,'Test catalog'!$A$2:$A$200,0))="","",INDEX('Test catalog'!$M$2:$M$200,MATCH($AB878,'Test catalog'!$A$2:$A$200,0))),"")</f>
        <v/>
      </c>
      <c r="U878" s="10">
        <f>IFERROR(IF(INDEX('Test catalog'!$N$2:$N$200,MATCH($AB878,'Test catalog'!$A$2:$A$200,0))="","",INDEX('Test catalog'!$N$2:$N$200,MATCH($AB878,'Test catalog'!$A$2:$A$200,0))),"")</f>
        <v/>
      </c>
      <c r="V878" s="15" t="n"/>
      <c r="W878" s="5" t="inlineStr">
        <is>
          <t>N</t>
        </is>
      </c>
      <c r="X878" s="5" t="n"/>
      <c r="Y878" s="5" t="n"/>
      <c r="Z878" s="5" t="n"/>
      <c r="AA878" s="10">
        <f>IFERROR(IF(INDEX('Test catalog'!$O$2:$O$200,MATCH($AB878,'Test catalog'!$A$2:$A$200,0))="","",INDEX('Test catalog'!$O$2:$O$200,MATCH($AB878,'Test catalog'!$A$2:$A$200,0))),"")</f>
        <v/>
      </c>
      <c r="AB878" s="10" t="inlineStr">
        <is>
          <t>LOD</t>
        </is>
      </c>
      <c r="AC878" s="10" t="inlineStr">
        <is>
          <t>Sodium Chloride · Specific Tests &lt;731&gt;</t>
        </is>
      </c>
      <c r="AD878" s="10" t="n"/>
      <c r="AE878" s="10" t="n"/>
    </row>
    <row r="879">
      <c r="A879" s="10" t="inlineStr">
        <is>
          <t>Polyethylene Glycol (grade not stated)</t>
        </is>
      </c>
      <c r="B879" s="10" t="inlineStr">
        <is>
          <t>RM</t>
        </is>
      </c>
      <c r="C879" s="10" t="inlineStr">
        <is>
          <t>Plasticizer</t>
        </is>
      </c>
      <c r="D879" s="10" t="inlineStr">
        <is>
          <t>Appearance / description and solubility</t>
        </is>
      </c>
      <c r="E879" s="10">
        <f>IF(A879="","",A879&amp;"|"&amp;D879)</f>
        <v/>
      </c>
      <c r="F879" s="5" t="inlineStr">
        <is>
          <t>Y</t>
        </is>
      </c>
      <c r="G879" s="5" t="inlineStr">
        <is>
          <t>Other / bench</t>
        </is>
      </c>
      <c r="H879" s="5" t="inlineStr">
        <is>
          <t>Low</t>
        </is>
      </c>
      <c r="I879" s="5" t="n">
        <v>1</v>
      </c>
      <c r="J879" s="5" t="n"/>
      <c r="K879" s="10">
        <f>IFERROR(IF(INDEX('Test catalog'!$F$2:$F$200,MATCH($AB879,'Test catalog'!$A$2:$A$200,0))="","",INDEX('Test catalog'!$F$2:$F$200,MATCH($AB879,'Test catalog'!$A$2:$A$200,0))),"")</f>
        <v/>
      </c>
      <c r="L879" s="10">
        <f>IFERROR(IF(INDEX('Test catalog'!$G$2:$G$200,MATCH($AB879,'Test catalog'!$A$2:$A$200,0))="","",INDEX('Test catalog'!$G$2:$G$200,MATCH($AB879,'Test catalog'!$A$2:$A$200,0))),"")</f>
        <v/>
      </c>
      <c r="M879" s="10">
        <f>IFERROR(IF(INDEX('Test catalog'!$H$2:$H$200,MATCH($AB879,'Test catalog'!$A$2:$A$200,0))="","",INDEX('Test catalog'!$H$2:$H$200,MATCH($AB879,'Test catalog'!$A$2:$A$200,0))),"")</f>
        <v/>
      </c>
      <c r="N879" s="10">
        <f>IFERROR(IF(INDEX('Test catalog'!$I$2:$I$200,MATCH($AB879,'Test catalog'!$A$2:$A$200,0))="","",INDEX('Test catalog'!$I$2:$I$200,MATCH($AB879,'Test catalog'!$A$2:$A$200,0))),"")</f>
        <v/>
      </c>
      <c r="O879" s="10">
        <f>IFERROR(IF(INDEX('Test catalog'!$J$2:$J$200,MATCH($AB879,'Test catalog'!$A$2:$A$200,0))="","",INDEX('Test catalog'!$J$2:$J$200,MATCH($AB879,'Test catalog'!$A$2:$A$200,0))),"")</f>
        <v/>
      </c>
      <c r="P879" s="14">
        <f>IF(N879="","",IF(OR(M879="",O879=""),N879,(M879+4*N879+O879)/6))</f>
        <v/>
      </c>
      <c r="Q879" s="10">
        <f>IFERROR(IF(INDEX('Test catalog'!$K$2:$K$200,MATCH($AB879,'Test catalog'!$A$2:$A$200,0))="","",INDEX('Test catalog'!$K$2:$K$200,MATCH($AB879,'Test catalog'!$A$2:$A$200,0))),"")</f>
        <v/>
      </c>
      <c r="R879" s="5" t="n"/>
      <c r="S879" s="10">
        <f>IFERROR(IF(INDEX('Test catalog'!$L$2:$L$200,MATCH($AB879,'Test catalog'!$A$2:$A$200,0))="","",INDEX('Test catalog'!$L$2:$L$200,MATCH($AB879,'Test catalog'!$A$2:$A$200,0))),"")</f>
        <v/>
      </c>
      <c r="T879" s="10">
        <f>IFERROR(IF(INDEX('Test catalog'!$M$2:$M$200,MATCH($AB879,'Test catalog'!$A$2:$A$200,0))="","",INDEX('Test catalog'!$M$2:$M$200,MATCH($AB879,'Test catalog'!$A$2:$A$200,0))),"")</f>
        <v/>
      </c>
      <c r="U879" s="10">
        <f>IFERROR(IF(INDEX('Test catalog'!$N$2:$N$200,MATCH($AB879,'Test catalog'!$A$2:$A$200,0))="","",INDEX('Test catalog'!$N$2:$N$200,MATCH($AB879,'Test catalog'!$A$2:$A$200,0))),"")</f>
        <v/>
      </c>
      <c r="V879" s="15" t="n"/>
      <c r="W879" s="5" t="inlineStr">
        <is>
          <t>N</t>
        </is>
      </c>
      <c r="X879" s="5" t="n"/>
      <c r="Y879" s="5" t="n"/>
      <c r="Z879" s="5" t="n"/>
      <c r="AA879" s="10">
        <f>IFERROR(IF(INDEX('Test catalog'!$O$2:$O$200,MATCH($AB879,'Test catalog'!$A$2:$A$200,0))="","",INDEX('Test catalog'!$O$2:$O$200,MATCH($AB879,'Test catalog'!$A$2:$A$200,0))),"")</f>
        <v/>
      </c>
      <c r="AB879" s="10" t="inlineStr">
        <is>
          <t>APPEAR</t>
        </is>
      </c>
      <c r="AC879" s="10" t="inlineStr">
        <is>
          <t>Lab practice (not a USP test)</t>
        </is>
      </c>
      <c r="AD879" s="10" t="n"/>
      <c r="AE879" s="10" t="n"/>
    </row>
    <row r="880">
      <c r="A880" s="10" t="inlineStr">
        <is>
          <t>Polyethylene Glycol (grade not stated)</t>
        </is>
      </c>
      <c r="B880" s="10" t="inlineStr">
        <is>
          <t>RM</t>
        </is>
      </c>
      <c r="C880" s="10" t="inlineStr">
        <is>
          <t>Plasticizer</t>
        </is>
      </c>
      <c r="D880" s="10" t="inlineStr">
        <is>
          <t>Assay - Average Molecular Weight</t>
        </is>
      </c>
      <c r="E880" s="10">
        <f>IF(A880="","",A880&amp;"|"&amp;D880)</f>
        <v/>
      </c>
      <c r="F880" s="5" t="inlineStr">
        <is>
          <t>Y</t>
        </is>
      </c>
      <c r="G880" s="5" t="inlineStr">
        <is>
          <t>Other / bench</t>
        </is>
      </c>
      <c r="H880" s="5" t="inlineStr">
        <is>
          <t>Low</t>
        </is>
      </c>
      <c r="I880" s="5" t="n">
        <v>1</v>
      </c>
      <c r="J880" s="5" t="n"/>
      <c r="K880" s="10">
        <f>IFERROR(IF(INDEX('Test catalog'!$F$2:$F$200,MATCH($AB880,'Test catalog'!$A$2:$A$200,0))="","",INDEX('Test catalog'!$F$2:$F$200,MATCH($AB880,'Test catalog'!$A$2:$A$200,0))),"")</f>
        <v/>
      </c>
      <c r="L880" s="10">
        <f>IFERROR(IF(INDEX('Test catalog'!$G$2:$G$200,MATCH($AB880,'Test catalog'!$A$2:$A$200,0))="","",INDEX('Test catalog'!$G$2:$G$200,MATCH($AB880,'Test catalog'!$A$2:$A$200,0))),"")</f>
        <v/>
      </c>
      <c r="M880" s="10">
        <f>IFERROR(IF(INDEX('Test catalog'!$H$2:$H$200,MATCH($AB880,'Test catalog'!$A$2:$A$200,0))="","",INDEX('Test catalog'!$H$2:$H$200,MATCH($AB880,'Test catalog'!$A$2:$A$200,0))),"")</f>
        <v/>
      </c>
      <c r="N880" s="10">
        <f>IFERROR(IF(INDEX('Test catalog'!$I$2:$I$200,MATCH($AB880,'Test catalog'!$A$2:$A$200,0))="","",INDEX('Test catalog'!$I$2:$I$200,MATCH($AB880,'Test catalog'!$A$2:$A$200,0))),"")</f>
        <v/>
      </c>
      <c r="O880" s="10">
        <f>IFERROR(IF(INDEX('Test catalog'!$J$2:$J$200,MATCH($AB880,'Test catalog'!$A$2:$A$200,0))="","",INDEX('Test catalog'!$J$2:$J$200,MATCH($AB880,'Test catalog'!$A$2:$A$200,0))),"")</f>
        <v/>
      </c>
      <c r="P880" s="14">
        <f>IF(N880="","",IF(OR(M880="",O880=""),N880,(M880+4*N880+O880)/6))</f>
        <v/>
      </c>
      <c r="Q880" s="10">
        <f>IFERROR(IF(INDEX('Test catalog'!$K$2:$K$200,MATCH($AB880,'Test catalog'!$A$2:$A$200,0))="","",INDEX('Test catalog'!$K$2:$K$200,MATCH($AB880,'Test catalog'!$A$2:$A$200,0))),"")</f>
        <v/>
      </c>
      <c r="R880" s="5" t="n"/>
      <c r="S880" s="10">
        <f>IFERROR(IF(INDEX('Test catalog'!$L$2:$L$200,MATCH($AB880,'Test catalog'!$A$2:$A$200,0))="","",INDEX('Test catalog'!$L$2:$L$200,MATCH($AB880,'Test catalog'!$A$2:$A$200,0))),"")</f>
        <v/>
      </c>
      <c r="T880" s="10">
        <f>IFERROR(IF(INDEX('Test catalog'!$M$2:$M$200,MATCH($AB880,'Test catalog'!$A$2:$A$200,0))="","",INDEX('Test catalog'!$M$2:$M$200,MATCH($AB880,'Test catalog'!$A$2:$A$200,0))),"")</f>
        <v/>
      </c>
      <c r="U880" s="10">
        <f>IFERROR(IF(INDEX('Test catalog'!$N$2:$N$200,MATCH($AB880,'Test catalog'!$A$2:$A$200,0))="","",INDEX('Test catalog'!$N$2:$N$200,MATCH($AB880,'Test catalog'!$A$2:$A$200,0))),"")</f>
        <v/>
      </c>
      <c r="V880" s="15" t="n"/>
      <c r="W880" s="5" t="inlineStr">
        <is>
          <t>N</t>
        </is>
      </c>
      <c r="X880" s="5" t="n"/>
      <c r="Y880" s="5" t="n"/>
      <c r="Z880" s="5" t="n"/>
      <c r="AA880" s="10">
        <f>IFERROR(IF(INDEX('Test catalog'!$O$2:$O$200,MATCH($AB880,'Test catalog'!$A$2:$A$200,0))="","",INDEX('Test catalog'!$O$2:$O$200,MATCH($AB880,'Test catalog'!$A$2:$A$200,0))),"")</f>
        <v/>
      </c>
      <c r="AB880" s="10" t="inlineStr">
        <is>
          <t>TITR</t>
        </is>
      </c>
      <c r="AC880" s="10" t="inlineStr">
        <is>
          <t>Polyethylene Glycol · Assay</t>
        </is>
      </c>
      <c r="AD880" s="10" t="n"/>
      <c r="AE880" s="10" t="n"/>
    </row>
    <row r="881">
      <c r="A881" s="10" t="inlineStr">
        <is>
          <t>Polyethylene Glycol (grade not stated)</t>
        </is>
      </c>
      <c r="B881" s="10" t="inlineStr">
        <is>
          <t>RM</t>
        </is>
      </c>
      <c r="C881" s="10" t="inlineStr">
        <is>
          <t>Plasticizer</t>
        </is>
      </c>
      <c r="D881" s="10" t="inlineStr">
        <is>
          <t>Residue on Ignition</t>
        </is>
      </c>
      <c r="E881" s="10">
        <f>IF(A881="","",A881&amp;"|"&amp;D881)</f>
        <v/>
      </c>
      <c r="F881" s="5" t="inlineStr">
        <is>
          <t>Y</t>
        </is>
      </c>
      <c r="G881" s="5" t="inlineStr">
        <is>
          <t>Other / bench</t>
        </is>
      </c>
      <c r="H881" s="5" t="inlineStr">
        <is>
          <t>Low</t>
        </is>
      </c>
      <c r="I881" s="5" t="n">
        <v>1</v>
      </c>
      <c r="J881" s="5" t="n"/>
      <c r="K881" s="10">
        <f>IFERROR(IF(INDEX('Test catalog'!$F$2:$F$200,MATCH($AB881,'Test catalog'!$A$2:$A$200,0))="","",INDEX('Test catalog'!$F$2:$F$200,MATCH($AB881,'Test catalog'!$A$2:$A$200,0))),"")</f>
        <v/>
      </c>
      <c r="L881" s="10">
        <f>IFERROR(IF(INDEX('Test catalog'!$G$2:$G$200,MATCH($AB881,'Test catalog'!$A$2:$A$200,0))="","",INDEX('Test catalog'!$G$2:$G$200,MATCH($AB881,'Test catalog'!$A$2:$A$200,0))),"")</f>
        <v/>
      </c>
      <c r="M881" s="10">
        <f>IFERROR(IF(INDEX('Test catalog'!$H$2:$H$200,MATCH($AB881,'Test catalog'!$A$2:$A$200,0))="","",INDEX('Test catalog'!$H$2:$H$200,MATCH($AB881,'Test catalog'!$A$2:$A$200,0))),"")</f>
        <v/>
      </c>
      <c r="N881" s="10">
        <f>IFERROR(IF(INDEX('Test catalog'!$I$2:$I$200,MATCH($AB881,'Test catalog'!$A$2:$A$200,0))="","",INDEX('Test catalog'!$I$2:$I$200,MATCH($AB881,'Test catalog'!$A$2:$A$200,0))),"")</f>
        <v/>
      </c>
      <c r="O881" s="10">
        <f>IFERROR(IF(INDEX('Test catalog'!$J$2:$J$200,MATCH($AB881,'Test catalog'!$A$2:$A$200,0))="","",INDEX('Test catalog'!$J$2:$J$200,MATCH($AB881,'Test catalog'!$A$2:$A$200,0))),"")</f>
        <v/>
      </c>
      <c r="P881" s="14">
        <f>IF(N881="","",IF(OR(M881="",O881=""),N881,(M881+4*N881+O881)/6))</f>
        <v/>
      </c>
      <c r="Q881" s="10">
        <f>IFERROR(IF(INDEX('Test catalog'!$K$2:$K$200,MATCH($AB881,'Test catalog'!$A$2:$A$200,0))="","",INDEX('Test catalog'!$K$2:$K$200,MATCH($AB881,'Test catalog'!$A$2:$A$200,0))),"")</f>
        <v/>
      </c>
      <c r="R881" s="5" t="n"/>
      <c r="S881" s="10">
        <f>IFERROR(IF(INDEX('Test catalog'!$L$2:$L$200,MATCH($AB881,'Test catalog'!$A$2:$A$200,0))="","",INDEX('Test catalog'!$L$2:$L$200,MATCH($AB881,'Test catalog'!$A$2:$A$200,0))),"")</f>
        <v/>
      </c>
      <c r="T881" s="10">
        <f>IFERROR(IF(INDEX('Test catalog'!$M$2:$M$200,MATCH($AB881,'Test catalog'!$A$2:$A$200,0))="","",INDEX('Test catalog'!$M$2:$M$200,MATCH($AB881,'Test catalog'!$A$2:$A$200,0))),"")</f>
        <v/>
      </c>
      <c r="U881" s="10">
        <f>IFERROR(IF(INDEX('Test catalog'!$N$2:$N$200,MATCH($AB881,'Test catalog'!$A$2:$A$200,0))="","",INDEX('Test catalog'!$N$2:$N$200,MATCH($AB881,'Test catalog'!$A$2:$A$200,0))),"")</f>
        <v/>
      </c>
      <c r="V881" s="15" t="n"/>
      <c r="W881" s="5" t="inlineStr">
        <is>
          <t>N</t>
        </is>
      </c>
      <c r="X881" s="5" t="n"/>
      <c r="Y881" s="5" t="n"/>
      <c r="Z881" s="5" t="n"/>
      <c r="AA881" s="10">
        <f>IFERROR(IF(INDEX('Test catalog'!$O$2:$O$200,MATCH($AB881,'Test catalog'!$A$2:$A$200,0))="","",INDEX('Test catalog'!$O$2:$O$200,MATCH($AB881,'Test catalog'!$A$2:$A$200,0))),"")</f>
        <v/>
      </c>
      <c r="AB881" s="10" t="inlineStr">
        <is>
          <t>ROI</t>
        </is>
      </c>
      <c r="AC881" s="10" t="inlineStr">
        <is>
          <t>Polyethylene Glycol · Impurities &lt;281&gt;</t>
        </is>
      </c>
      <c r="AD881" s="10" t="n"/>
      <c r="AE881" s="10" t="n"/>
    </row>
    <row r="882">
      <c r="A882" s="10" t="inlineStr">
        <is>
          <t>Polyethylene Glycol (grade not stated)</t>
        </is>
      </c>
      <c r="B882" s="10" t="inlineStr">
        <is>
          <t>RM</t>
        </is>
      </c>
      <c r="C882" s="10" t="inlineStr">
        <is>
          <t>Plasticizer</t>
        </is>
      </c>
      <c r="D882" s="10" t="inlineStr">
        <is>
          <t>Limit of Free Ethylene Oxide and 1,4-Dioxane (GC)</t>
        </is>
      </c>
      <c r="E882" s="10">
        <f>IF(A882="","",A882&amp;"|"&amp;D882)</f>
        <v/>
      </c>
      <c r="F882" s="5" t="inlineStr">
        <is>
          <t>Y</t>
        </is>
      </c>
      <c r="G882" s="5" t="inlineStr">
        <is>
          <t>GC</t>
        </is>
      </c>
      <c r="H882" s="5" t="inlineStr">
        <is>
          <t>Medium</t>
        </is>
      </c>
      <c r="I882" s="5" t="n">
        <v>1</v>
      </c>
      <c r="J882" s="5" t="n"/>
      <c r="K882" s="5" t="n"/>
      <c r="L882" s="5" t="n"/>
      <c r="M882" s="5" t="n"/>
      <c r="N882" s="5" t="n"/>
      <c r="O882" s="5" t="n"/>
      <c r="P882" s="14">
        <f>IF(N882="","",IF(OR(M882="",O882=""),N882,(M882+4*N882+O882)/6))</f>
        <v/>
      </c>
      <c r="Q882" s="5" t="n"/>
      <c r="R882" s="5" t="n"/>
      <c r="S882" s="5" t="n"/>
      <c r="T882" s="5" t="n"/>
      <c r="U882" s="5" t="n"/>
      <c r="V882" s="15" t="n"/>
      <c r="W882" s="5" t="inlineStr">
        <is>
          <t>N</t>
        </is>
      </c>
      <c r="X882" s="5" t="n"/>
      <c r="Y882" s="5" t="n"/>
      <c r="Z882" s="5" t="n"/>
      <c r="AA882" s="5" t="n"/>
      <c r="AB882" s="10" t="n"/>
      <c r="AC882" s="10" t="inlineStr">
        <is>
          <t>Polyethylene Glycol · Impurities</t>
        </is>
      </c>
      <c r="AD882" s="10" t="n"/>
      <c r="AE882" s="10" t="n"/>
    </row>
    <row r="883">
      <c r="A883" s="10" t="inlineStr">
        <is>
          <t>Polyethylene Glycol (grade not stated)</t>
        </is>
      </c>
      <c r="B883" s="10" t="inlineStr">
        <is>
          <t>RM</t>
        </is>
      </c>
      <c r="C883" s="10" t="inlineStr">
        <is>
          <t>Plasticizer</t>
        </is>
      </c>
      <c r="D883" s="10" t="inlineStr">
        <is>
          <t>Limit of Ethylene Glycol and Diethylene Glycol (for Polyethylene Glycol having a nominal m (GC)</t>
        </is>
      </c>
      <c r="E883" s="10">
        <f>IF(A883="","",A883&amp;"|"&amp;D883)</f>
        <v/>
      </c>
      <c r="F883" s="5" t="inlineStr">
        <is>
          <t>Y</t>
        </is>
      </c>
      <c r="G883" s="5" t="inlineStr">
        <is>
          <t>GC</t>
        </is>
      </c>
      <c r="H883" s="5" t="inlineStr">
        <is>
          <t>Medium</t>
        </is>
      </c>
      <c r="I883" s="5" t="n">
        <v>1</v>
      </c>
      <c r="J883" s="5" t="n"/>
      <c r="K883" s="5" t="n"/>
      <c r="L883" s="5" t="n"/>
      <c r="M883" s="5" t="n"/>
      <c r="N883" s="5" t="n"/>
      <c r="O883" s="5" t="n"/>
      <c r="P883" s="14">
        <f>IF(N883="","",IF(OR(M883="",O883=""),N883,(M883+4*N883+O883)/6))</f>
        <v/>
      </c>
      <c r="Q883" s="5" t="n"/>
      <c r="R883" s="5" t="n"/>
      <c r="S883" s="5" t="n"/>
      <c r="T883" s="5" t="n"/>
      <c r="U883" s="5" t="n"/>
      <c r="V883" s="15" t="n"/>
      <c r="W883" s="5" t="inlineStr">
        <is>
          <t>N</t>
        </is>
      </c>
      <c r="X883" s="5" t="n"/>
      <c r="Y883" s="5" t="n"/>
      <c r="Z883" s="5" t="n"/>
      <c r="AA883" s="5" t="n"/>
      <c r="AB883" s="10" t="n"/>
      <c r="AC883" s="10" t="inlineStr">
        <is>
          <t>Polyethylene Glycol · Impurities &lt;621&gt;</t>
        </is>
      </c>
      <c r="AD883" s="10" t="n"/>
      <c r="AE883" s="10" t="n"/>
    </row>
    <row r="884">
      <c r="A884" s="10" t="inlineStr">
        <is>
          <t>Polyethylene Glycol (grade not stated)</t>
        </is>
      </c>
      <c r="B884" s="10" t="inlineStr">
        <is>
          <t>RM</t>
        </is>
      </c>
      <c r="C884" s="10" t="inlineStr">
        <is>
          <t>Plasticizer</t>
        </is>
      </c>
      <c r="D884" s="10" t="inlineStr">
        <is>
          <t>Limit of Ethylene Glycol and Diethylene Glycol (for Polyethylene Glycol having a nominal m</t>
        </is>
      </c>
      <c r="E884" s="10">
        <f>IF(A884="","",A884&amp;"|"&amp;D884)</f>
        <v/>
      </c>
      <c r="F884" s="5" t="inlineStr">
        <is>
          <t>Y</t>
        </is>
      </c>
      <c r="G884" s="5" t="inlineStr">
        <is>
          <t>UV-Vis</t>
        </is>
      </c>
      <c r="H884" s="5" t="inlineStr">
        <is>
          <t>Low</t>
        </is>
      </c>
      <c r="I884" s="5" t="n">
        <v>1</v>
      </c>
      <c r="J884" s="5" t="n"/>
      <c r="K884" s="10">
        <f>IFERROR(IF(INDEX('Test catalog'!$F$2:$F$200,MATCH($AB884,'Test catalog'!$A$2:$A$200,0))="","",INDEX('Test catalog'!$F$2:$F$200,MATCH($AB884,'Test catalog'!$A$2:$A$200,0))),"")</f>
        <v/>
      </c>
      <c r="L884" s="10">
        <f>IFERROR(IF(INDEX('Test catalog'!$G$2:$G$200,MATCH($AB884,'Test catalog'!$A$2:$A$200,0))="","",INDEX('Test catalog'!$G$2:$G$200,MATCH($AB884,'Test catalog'!$A$2:$A$200,0))),"")</f>
        <v/>
      </c>
      <c r="M884" s="10">
        <f>IFERROR(IF(INDEX('Test catalog'!$H$2:$H$200,MATCH($AB884,'Test catalog'!$A$2:$A$200,0))="","",INDEX('Test catalog'!$H$2:$H$200,MATCH($AB884,'Test catalog'!$A$2:$A$200,0))),"")</f>
        <v/>
      </c>
      <c r="N884" s="10">
        <f>IFERROR(IF(INDEX('Test catalog'!$I$2:$I$200,MATCH($AB884,'Test catalog'!$A$2:$A$200,0))="","",INDEX('Test catalog'!$I$2:$I$200,MATCH($AB884,'Test catalog'!$A$2:$A$200,0))),"")</f>
        <v/>
      </c>
      <c r="O884" s="10">
        <f>IFERROR(IF(INDEX('Test catalog'!$J$2:$J$200,MATCH($AB884,'Test catalog'!$A$2:$A$200,0))="","",INDEX('Test catalog'!$J$2:$J$200,MATCH($AB884,'Test catalog'!$A$2:$A$200,0))),"")</f>
        <v/>
      </c>
      <c r="P884" s="14">
        <f>IF(N884="","",IF(OR(M884="",O884=""),N884,(M884+4*N884+O884)/6))</f>
        <v/>
      </c>
      <c r="Q884" s="10">
        <f>IFERROR(IF(INDEX('Test catalog'!$K$2:$K$200,MATCH($AB884,'Test catalog'!$A$2:$A$200,0))="","",INDEX('Test catalog'!$K$2:$K$200,MATCH($AB884,'Test catalog'!$A$2:$A$200,0))),"")</f>
        <v/>
      </c>
      <c r="R884" s="5" t="n"/>
      <c r="S884" s="10">
        <f>IFERROR(IF(INDEX('Test catalog'!$L$2:$L$200,MATCH($AB884,'Test catalog'!$A$2:$A$200,0))="","",INDEX('Test catalog'!$L$2:$L$200,MATCH($AB884,'Test catalog'!$A$2:$A$200,0))),"")</f>
        <v/>
      </c>
      <c r="T884" s="10">
        <f>IFERROR(IF(INDEX('Test catalog'!$M$2:$M$200,MATCH($AB884,'Test catalog'!$A$2:$A$200,0))="","",INDEX('Test catalog'!$M$2:$M$200,MATCH($AB884,'Test catalog'!$A$2:$A$200,0))),"")</f>
        <v/>
      </c>
      <c r="U884" s="10">
        <f>IFERROR(IF(INDEX('Test catalog'!$N$2:$N$200,MATCH($AB884,'Test catalog'!$A$2:$A$200,0))="","",INDEX('Test catalog'!$N$2:$N$200,MATCH($AB884,'Test catalog'!$A$2:$A$200,0))),"")</f>
        <v/>
      </c>
      <c r="V884" s="15" t="n"/>
      <c r="W884" s="5" t="inlineStr">
        <is>
          <t>N</t>
        </is>
      </c>
      <c r="X884" s="5" t="n"/>
      <c r="Y884" s="5" t="n"/>
      <c r="Z884" s="5" t="n"/>
      <c r="AA884" s="10">
        <f>IFERROR(IF(INDEX('Test catalog'!$O$2:$O$200,MATCH($AB884,'Test catalog'!$A$2:$A$200,0))="","",INDEX('Test catalog'!$O$2:$O$200,MATCH($AB884,'Test catalog'!$A$2:$A$200,0))),"")</f>
        <v/>
      </c>
      <c r="AB884" s="10" t="inlineStr">
        <is>
          <t>UV</t>
        </is>
      </c>
      <c r="AC884" s="10" t="inlineStr">
        <is>
          <t>Polyethylene Glycol · Impurities</t>
        </is>
      </c>
      <c r="AD884" s="10" t="n"/>
      <c r="AE884" s="10" t="n"/>
    </row>
    <row r="885">
      <c r="A885" s="10" t="inlineStr">
        <is>
          <t>Polyethylene Glycol (grade not stated)</t>
        </is>
      </c>
      <c r="B885" s="10" t="inlineStr">
        <is>
          <t>RM</t>
        </is>
      </c>
      <c r="C885" s="10" t="inlineStr">
        <is>
          <t>Plasticizer</t>
        </is>
      </c>
      <c r="D885" s="10" t="inlineStr">
        <is>
          <t>pH</t>
        </is>
      </c>
      <c r="E885" s="10">
        <f>IF(A885="","",A885&amp;"|"&amp;D885)</f>
        <v/>
      </c>
      <c r="F885" s="5" t="inlineStr">
        <is>
          <t>Y</t>
        </is>
      </c>
      <c r="G885" s="5" t="inlineStr">
        <is>
          <t>Other / bench</t>
        </is>
      </c>
      <c r="H885" s="5" t="inlineStr">
        <is>
          <t>Low</t>
        </is>
      </c>
      <c r="I885" s="5" t="n">
        <v>1</v>
      </c>
      <c r="J885" s="5" t="n"/>
      <c r="K885" s="10">
        <f>IFERROR(IF(INDEX('Test catalog'!$F$2:$F$200,MATCH($AB885,'Test catalog'!$A$2:$A$200,0))="","",INDEX('Test catalog'!$F$2:$F$200,MATCH($AB885,'Test catalog'!$A$2:$A$200,0))),"")</f>
        <v/>
      </c>
      <c r="L885" s="10">
        <f>IFERROR(IF(INDEX('Test catalog'!$G$2:$G$200,MATCH($AB885,'Test catalog'!$A$2:$A$200,0))="","",INDEX('Test catalog'!$G$2:$G$200,MATCH($AB885,'Test catalog'!$A$2:$A$200,0))),"")</f>
        <v/>
      </c>
      <c r="M885" s="10">
        <f>IFERROR(IF(INDEX('Test catalog'!$H$2:$H$200,MATCH($AB885,'Test catalog'!$A$2:$A$200,0))="","",INDEX('Test catalog'!$H$2:$H$200,MATCH($AB885,'Test catalog'!$A$2:$A$200,0))),"")</f>
        <v/>
      </c>
      <c r="N885" s="10">
        <f>IFERROR(IF(INDEX('Test catalog'!$I$2:$I$200,MATCH($AB885,'Test catalog'!$A$2:$A$200,0))="","",INDEX('Test catalog'!$I$2:$I$200,MATCH($AB885,'Test catalog'!$A$2:$A$200,0))),"")</f>
        <v/>
      </c>
      <c r="O885" s="10">
        <f>IFERROR(IF(INDEX('Test catalog'!$J$2:$J$200,MATCH($AB885,'Test catalog'!$A$2:$A$200,0))="","",INDEX('Test catalog'!$J$2:$J$200,MATCH($AB885,'Test catalog'!$A$2:$A$200,0))),"")</f>
        <v/>
      </c>
      <c r="P885" s="14">
        <f>IF(N885="","",IF(OR(M885="",O885=""),N885,(M885+4*N885+O885)/6))</f>
        <v/>
      </c>
      <c r="Q885" s="10">
        <f>IFERROR(IF(INDEX('Test catalog'!$K$2:$K$200,MATCH($AB885,'Test catalog'!$A$2:$A$200,0))="","",INDEX('Test catalog'!$K$2:$K$200,MATCH($AB885,'Test catalog'!$A$2:$A$200,0))),"")</f>
        <v/>
      </c>
      <c r="R885" s="5" t="n"/>
      <c r="S885" s="10">
        <f>IFERROR(IF(INDEX('Test catalog'!$L$2:$L$200,MATCH($AB885,'Test catalog'!$A$2:$A$200,0))="","",INDEX('Test catalog'!$L$2:$L$200,MATCH($AB885,'Test catalog'!$A$2:$A$200,0))),"")</f>
        <v/>
      </c>
      <c r="T885" s="10">
        <f>IFERROR(IF(INDEX('Test catalog'!$M$2:$M$200,MATCH($AB885,'Test catalog'!$A$2:$A$200,0))="","",INDEX('Test catalog'!$M$2:$M$200,MATCH($AB885,'Test catalog'!$A$2:$A$200,0))),"")</f>
        <v/>
      </c>
      <c r="U885" s="10">
        <f>IFERROR(IF(INDEX('Test catalog'!$N$2:$N$200,MATCH($AB885,'Test catalog'!$A$2:$A$200,0))="","",INDEX('Test catalog'!$N$2:$N$200,MATCH($AB885,'Test catalog'!$A$2:$A$200,0))),"")</f>
        <v/>
      </c>
      <c r="V885" s="15" t="n"/>
      <c r="W885" s="5" t="inlineStr">
        <is>
          <t>N</t>
        </is>
      </c>
      <c r="X885" s="5" t="n"/>
      <c r="Y885" s="5" t="n"/>
      <c r="Z885" s="5" t="n"/>
      <c r="AA885" s="10">
        <f>IFERROR(IF(INDEX('Test catalog'!$O$2:$O$200,MATCH($AB885,'Test catalog'!$A$2:$A$200,0))="","",INDEX('Test catalog'!$O$2:$O$200,MATCH($AB885,'Test catalog'!$A$2:$A$200,0))),"")</f>
        <v/>
      </c>
      <c r="AB885" s="10" t="inlineStr">
        <is>
          <t>PH</t>
        </is>
      </c>
      <c r="AC885" s="10" t="inlineStr">
        <is>
          <t>Polyethylene Glycol · Impurities &lt;791&gt;</t>
        </is>
      </c>
      <c r="AD885" s="10" t="n"/>
      <c r="AE885" s="10" t="n"/>
    </row>
    <row r="886">
      <c r="A886" s="10" t="inlineStr">
        <is>
          <t>Polyethylene Glycol (grade not stated)</t>
        </is>
      </c>
      <c r="B886" s="10" t="inlineStr">
        <is>
          <t>RM</t>
        </is>
      </c>
      <c r="C886" s="10" t="inlineStr">
        <is>
          <t>Plasticizer</t>
        </is>
      </c>
      <c r="D886" s="10" t="inlineStr">
        <is>
          <t>Completeness and Color of Solution</t>
        </is>
      </c>
      <c r="E886" s="10">
        <f>IF(A886="","",A886&amp;"|"&amp;D886)</f>
        <v/>
      </c>
      <c r="F886" s="5" t="inlineStr">
        <is>
          <t>Y</t>
        </is>
      </c>
      <c r="G886" s="5" t="inlineStr">
        <is>
          <t>Other / bench</t>
        </is>
      </c>
      <c r="H886" s="5" t="inlineStr">
        <is>
          <t>Low</t>
        </is>
      </c>
      <c r="I886" s="5" t="n">
        <v>1</v>
      </c>
      <c r="J886" s="5" t="n"/>
      <c r="K886" s="10">
        <f>IFERROR(IF(INDEX('Test catalog'!$F$2:$F$200,MATCH($AB886,'Test catalog'!$A$2:$A$200,0))="","",INDEX('Test catalog'!$F$2:$F$200,MATCH($AB886,'Test catalog'!$A$2:$A$200,0))),"")</f>
        <v/>
      </c>
      <c r="L886" s="10">
        <f>IFERROR(IF(INDEX('Test catalog'!$G$2:$G$200,MATCH($AB886,'Test catalog'!$A$2:$A$200,0))="","",INDEX('Test catalog'!$G$2:$G$200,MATCH($AB886,'Test catalog'!$A$2:$A$200,0))),"")</f>
        <v/>
      </c>
      <c r="M886" s="10">
        <f>IFERROR(IF(INDEX('Test catalog'!$H$2:$H$200,MATCH($AB886,'Test catalog'!$A$2:$A$200,0))="","",INDEX('Test catalog'!$H$2:$H$200,MATCH($AB886,'Test catalog'!$A$2:$A$200,0))),"")</f>
        <v/>
      </c>
      <c r="N886" s="10">
        <f>IFERROR(IF(INDEX('Test catalog'!$I$2:$I$200,MATCH($AB886,'Test catalog'!$A$2:$A$200,0))="","",INDEX('Test catalog'!$I$2:$I$200,MATCH($AB886,'Test catalog'!$A$2:$A$200,0))),"")</f>
        <v/>
      </c>
      <c r="O886" s="10">
        <f>IFERROR(IF(INDEX('Test catalog'!$J$2:$J$200,MATCH($AB886,'Test catalog'!$A$2:$A$200,0))="","",INDEX('Test catalog'!$J$2:$J$200,MATCH($AB886,'Test catalog'!$A$2:$A$200,0))),"")</f>
        <v/>
      </c>
      <c r="P886" s="14">
        <f>IF(N886="","",IF(OR(M886="",O886=""),N886,(M886+4*N886+O886)/6))</f>
        <v/>
      </c>
      <c r="Q886" s="10">
        <f>IFERROR(IF(INDEX('Test catalog'!$K$2:$K$200,MATCH($AB886,'Test catalog'!$A$2:$A$200,0))="","",INDEX('Test catalog'!$K$2:$K$200,MATCH($AB886,'Test catalog'!$A$2:$A$200,0))),"")</f>
        <v/>
      </c>
      <c r="R886" s="5" t="n"/>
      <c r="S886" s="10">
        <f>IFERROR(IF(INDEX('Test catalog'!$L$2:$L$200,MATCH($AB886,'Test catalog'!$A$2:$A$200,0))="","",INDEX('Test catalog'!$L$2:$L$200,MATCH($AB886,'Test catalog'!$A$2:$A$200,0))),"")</f>
        <v/>
      </c>
      <c r="T886" s="10">
        <f>IFERROR(IF(INDEX('Test catalog'!$M$2:$M$200,MATCH($AB886,'Test catalog'!$A$2:$A$200,0))="","",INDEX('Test catalog'!$M$2:$M$200,MATCH($AB886,'Test catalog'!$A$2:$A$200,0))),"")</f>
        <v/>
      </c>
      <c r="U886" s="10">
        <f>IFERROR(IF(INDEX('Test catalog'!$N$2:$N$200,MATCH($AB886,'Test catalog'!$A$2:$A$200,0))="","",INDEX('Test catalog'!$N$2:$N$200,MATCH($AB886,'Test catalog'!$A$2:$A$200,0))),"")</f>
        <v/>
      </c>
      <c r="V886" s="15" t="n"/>
      <c r="W886" s="5" t="inlineStr">
        <is>
          <t>N</t>
        </is>
      </c>
      <c r="X886" s="5" t="n"/>
      <c r="Y886" s="5" t="n"/>
      <c r="Z886" s="5" t="n"/>
      <c r="AA886" s="10">
        <f>IFERROR(IF(INDEX('Test catalog'!$O$2:$O$200,MATCH($AB886,'Test catalog'!$A$2:$A$200,0))="","",INDEX('Test catalog'!$O$2:$O$200,MATCH($AB886,'Test catalog'!$A$2:$A$200,0))),"")</f>
        <v/>
      </c>
      <c r="AB886" s="10" t="inlineStr">
        <is>
          <t>CLAR</t>
        </is>
      </c>
      <c r="AC886" s="10" t="inlineStr">
        <is>
          <t>Polyethylene Glycol · Specific Tests</t>
        </is>
      </c>
      <c r="AD886" s="10" t="n"/>
      <c r="AE886" s="10" t="n"/>
    </row>
    <row r="887">
      <c r="A887" s="10" t="inlineStr">
        <is>
          <t>Polyethylene Glycol (grade not stated)</t>
        </is>
      </c>
      <c r="B887" s="10" t="inlineStr">
        <is>
          <t>RM</t>
        </is>
      </c>
      <c r="C887" s="10" t="inlineStr">
        <is>
          <t>Plasticizer</t>
        </is>
      </c>
      <c r="D887" s="10" t="inlineStr">
        <is>
          <t>Viscosity—Capillary Methods</t>
        </is>
      </c>
      <c r="E887" s="10">
        <f>IF(A887="","",A887&amp;"|"&amp;D887)</f>
        <v/>
      </c>
      <c r="F887" s="5" t="inlineStr">
        <is>
          <t>Y</t>
        </is>
      </c>
      <c r="G887" s="5" t="inlineStr">
        <is>
          <t>Other / bench</t>
        </is>
      </c>
      <c r="H887" s="5" t="inlineStr">
        <is>
          <t>Low</t>
        </is>
      </c>
      <c r="I887" s="5" t="n">
        <v>1</v>
      </c>
      <c r="J887" s="5" t="n"/>
      <c r="K887" s="10">
        <f>IFERROR(IF(INDEX('Test catalog'!$F$2:$F$200,MATCH($AB887,'Test catalog'!$A$2:$A$200,0))="","",INDEX('Test catalog'!$F$2:$F$200,MATCH($AB887,'Test catalog'!$A$2:$A$200,0))),"")</f>
        <v/>
      </c>
      <c r="L887" s="10">
        <f>IFERROR(IF(INDEX('Test catalog'!$G$2:$G$200,MATCH($AB887,'Test catalog'!$A$2:$A$200,0))="","",INDEX('Test catalog'!$G$2:$G$200,MATCH($AB887,'Test catalog'!$A$2:$A$200,0))),"")</f>
        <v/>
      </c>
      <c r="M887" s="10">
        <f>IFERROR(IF(INDEX('Test catalog'!$H$2:$H$200,MATCH($AB887,'Test catalog'!$A$2:$A$200,0))="","",INDEX('Test catalog'!$H$2:$H$200,MATCH($AB887,'Test catalog'!$A$2:$A$200,0))),"")</f>
        <v/>
      </c>
      <c r="N887" s="10">
        <f>IFERROR(IF(INDEX('Test catalog'!$I$2:$I$200,MATCH($AB887,'Test catalog'!$A$2:$A$200,0))="","",INDEX('Test catalog'!$I$2:$I$200,MATCH($AB887,'Test catalog'!$A$2:$A$200,0))),"")</f>
        <v/>
      </c>
      <c r="O887" s="10">
        <f>IFERROR(IF(INDEX('Test catalog'!$J$2:$J$200,MATCH($AB887,'Test catalog'!$A$2:$A$200,0))="","",INDEX('Test catalog'!$J$2:$J$200,MATCH($AB887,'Test catalog'!$A$2:$A$200,0))),"")</f>
        <v/>
      </c>
      <c r="P887" s="14">
        <f>IF(N887="","",IF(OR(M887="",O887=""),N887,(M887+4*N887+O887)/6))</f>
        <v/>
      </c>
      <c r="Q887" s="10">
        <f>IFERROR(IF(INDEX('Test catalog'!$K$2:$K$200,MATCH($AB887,'Test catalog'!$A$2:$A$200,0))="","",INDEX('Test catalog'!$K$2:$K$200,MATCH($AB887,'Test catalog'!$A$2:$A$200,0))),"")</f>
        <v/>
      </c>
      <c r="R887" s="5" t="n"/>
      <c r="S887" s="10">
        <f>IFERROR(IF(INDEX('Test catalog'!$L$2:$L$200,MATCH($AB887,'Test catalog'!$A$2:$A$200,0))="","",INDEX('Test catalog'!$L$2:$L$200,MATCH($AB887,'Test catalog'!$A$2:$A$200,0))),"")</f>
        <v/>
      </c>
      <c r="T887" s="10">
        <f>IFERROR(IF(INDEX('Test catalog'!$M$2:$M$200,MATCH($AB887,'Test catalog'!$A$2:$A$200,0))="","",INDEX('Test catalog'!$M$2:$M$200,MATCH($AB887,'Test catalog'!$A$2:$A$200,0))),"")</f>
        <v/>
      </c>
      <c r="U887" s="10">
        <f>IFERROR(IF(INDEX('Test catalog'!$N$2:$N$200,MATCH($AB887,'Test catalog'!$A$2:$A$200,0))="","",INDEX('Test catalog'!$N$2:$N$200,MATCH($AB887,'Test catalog'!$A$2:$A$200,0))),"")</f>
        <v/>
      </c>
      <c r="V887" s="15" t="n"/>
      <c r="W887" s="5" t="inlineStr">
        <is>
          <t>N</t>
        </is>
      </c>
      <c r="X887" s="5" t="n"/>
      <c r="Y887" s="5" t="n"/>
      <c r="Z887" s="5" t="n"/>
      <c r="AA887" s="10">
        <f>IFERROR(IF(INDEX('Test catalog'!$O$2:$O$200,MATCH($AB887,'Test catalog'!$A$2:$A$200,0))="","",INDEX('Test catalog'!$O$2:$O$200,MATCH($AB887,'Test catalog'!$A$2:$A$200,0))),"")</f>
        <v/>
      </c>
      <c r="AB887" s="10" t="inlineStr">
        <is>
          <t>VISC</t>
        </is>
      </c>
      <c r="AC887" s="10" t="inlineStr">
        <is>
          <t>Polyethylene Glycol · Specific Tests &lt;911&gt;</t>
        </is>
      </c>
      <c r="AD887" s="10" t="n"/>
      <c r="AE887" s="10" t="n"/>
    </row>
    <row r="888">
      <c r="A888" s="10" t="inlineStr">
        <is>
          <t>Polyethylene Glycol 4000 (PEG 4000)</t>
        </is>
      </c>
      <c r="B888" s="10" t="inlineStr">
        <is>
          <t>RM</t>
        </is>
      </c>
      <c r="C888" s="10" t="inlineStr">
        <is>
          <t>Plasticizer</t>
        </is>
      </c>
      <c r="D888" s="10" t="inlineStr">
        <is>
          <t>Appearance / description and solubility</t>
        </is>
      </c>
      <c r="E888" s="10">
        <f>IF(A888="","",A888&amp;"|"&amp;D888)</f>
        <v/>
      </c>
      <c r="F888" s="5" t="inlineStr">
        <is>
          <t>Y</t>
        </is>
      </c>
      <c r="G888" s="5" t="inlineStr">
        <is>
          <t>Other / bench</t>
        </is>
      </c>
      <c r="H888" s="5" t="inlineStr">
        <is>
          <t>Low</t>
        </is>
      </c>
      <c r="I888" s="5" t="n">
        <v>1</v>
      </c>
      <c r="J888" s="5" t="n"/>
      <c r="K888" s="10">
        <f>IFERROR(IF(INDEX('Test catalog'!$F$2:$F$200,MATCH($AB888,'Test catalog'!$A$2:$A$200,0))="","",INDEX('Test catalog'!$F$2:$F$200,MATCH($AB888,'Test catalog'!$A$2:$A$200,0))),"")</f>
        <v/>
      </c>
      <c r="L888" s="10">
        <f>IFERROR(IF(INDEX('Test catalog'!$G$2:$G$200,MATCH($AB888,'Test catalog'!$A$2:$A$200,0))="","",INDEX('Test catalog'!$G$2:$G$200,MATCH($AB888,'Test catalog'!$A$2:$A$200,0))),"")</f>
        <v/>
      </c>
      <c r="M888" s="10">
        <f>IFERROR(IF(INDEX('Test catalog'!$H$2:$H$200,MATCH($AB888,'Test catalog'!$A$2:$A$200,0))="","",INDEX('Test catalog'!$H$2:$H$200,MATCH($AB888,'Test catalog'!$A$2:$A$200,0))),"")</f>
        <v/>
      </c>
      <c r="N888" s="10">
        <f>IFERROR(IF(INDEX('Test catalog'!$I$2:$I$200,MATCH($AB888,'Test catalog'!$A$2:$A$200,0))="","",INDEX('Test catalog'!$I$2:$I$200,MATCH($AB888,'Test catalog'!$A$2:$A$200,0))),"")</f>
        <v/>
      </c>
      <c r="O888" s="10">
        <f>IFERROR(IF(INDEX('Test catalog'!$J$2:$J$200,MATCH($AB888,'Test catalog'!$A$2:$A$200,0))="","",INDEX('Test catalog'!$J$2:$J$200,MATCH($AB888,'Test catalog'!$A$2:$A$200,0))),"")</f>
        <v/>
      </c>
      <c r="P888" s="14">
        <f>IF(N888="","",IF(OR(M888="",O888=""),N888,(M888+4*N888+O888)/6))</f>
        <v/>
      </c>
      <c r="Q888" s="10">
        <f>IFERROR(IF(INDEX('Test catalog'!$K$2:$K$200,MATCH($AB888,'Test catalog'!$A$2:$A$200,0))="","",INDEX('Test catalog'!$K$2:$K$200,MATCH($AB888,'Test catalog'!$A$2:$A$200,0))),"")</f>
        <v/>
      </c>
      <c r="R888" s="5" t="n"/>
      <c r="S888" s="10">
        <f>IFERROR(IF(INDEX('Test catalog'!$L$2:$L$200,MATCH($AB888,'Test catalog'!$A$2:$A$200,0))="","",INDEX('Test catalog'!$L$2:$L$200,MATCH($AB888,'Test catalog'!$A$2:$A$200,0))),"")</f>
        <v/>
      </c>
      <c r="T888" s="10">
        <f>IFERROR(IF(INDEX('Test catalog'!$M$2:$M$200,MATCH($AB888,'Test catalog'!$A$2:$A$200,0))="","",INDEX('Test catalog'!$M$2:$M$200,MATCH($AB888,'Test catalog'!$A$2:$A$200,0))),"")</f>
        <v/>
      </c>
      <c r="U888" s="10">
        <f>IFERROR(IF(INDEX('Test catalog'!$N$2:$N$200,MATCH($AB888,'Test catalog'!$A$2:$A$200,0))="","",INDEX('Test catalog'!$N$2:$N$200,MATCH($AB888,'Test catalog'!$A$2:$A$200,0))),"")</f>
        <v/>
      </c>
      <c r="V888" s="15" t="n"/>
      <c r="W888" s="5" t="inlineStr">
        <is>
          <t>N</t>
        </is>
      </c>
      <c r="X888" s="5" t="n"/>
      <c r="Y888" s="5" t="n"/>
      <c r="Z888" s="5" t="n"/>
      <c r="AA888" s="10">
        <f>IFERROR(IF(INDEX('Test catalog'!$O$2:$O$200,MATCH($AB888,'Test catalog'!$A$2:$A$200,0))="","",INDEX('Test catalog'!$O$2:$O$200,MATCH($AB888,'Test catalog'!$A$2:$A$200,0))),"")</f>
        <v/>
      </c>
      <c r="AB888" s="10" t="inlineStr">
        <is>
          <t>APPEAR</t>
        </is>
      </c>
      <c r="AC888" s="10" t="inlineStr">
        <is>
          <t>Lab practice (not a USP test)</t>
        </is>
      </c>
      <c r="AD888" s="10" t="n"/>
      <c r="AE888" s="10" t="n"/>
    </row>
    <row r="889">
      <c r="A889" s="10" t="inlineStr">
        <is>
          <t>Polyethylene Glycol 4000 (PEG 4000)</t>
        </is>
      </c>
      <c r="B889" s="10" t="inlineStr">
        <is>
          <t>RM</t>
        </is>
      </c>
      <c r="C889" s="10" t="inlineStr">
        <is>
          <t>Plasticizer</t>
        </is>
      </c>
      <c r="D889" s="10" t="inlineStr">
        <is>
          <t>Assay - Average Molecular Weight</t>
        </is>
      </c>
      <c r="E889" s="10">
        <f>IF(A889="","",A889&amp;"|"&amp;D889)</f>
        <v/>
      </c>
      <c r="F889" s="5" t="inlineStr">
        <is>
          <t>Y</t>
        </is>
      </c>
      <c r="G889" s="5" t="inlineStr">
        <is>
          <t>Other / bench</t>
        </is>
      </c>
      <c r="H889" s="5" t="inlineStr">
        <is>
          <t>Low</t>
        </is>
      </c>
      <c r="I889" s="5" t="n">
        <v>1</v>
      </c>
      <c r="J889" s="5" t="n"/>
      <c r="K889" s="10">
        <f>IFERROR(IF(INDEX('Test catalog'!$F$2:$F$200,MATCH($AB889,'Test catalog'!$A$2:$A$200,0))="","",INDEX('Test catalog'!$F$2:$F$200,MATCH($AB889,'Test catalog'!$A$2:$A$200,0))),"")</f>
        <v/>
      </c>
      <c r="L889" s="10">
        <f>IFERROR(IF(INDEX('Test catalog'!$G$2:$G$200,MATCH($AB889,'Test catalog'!$A$2:$A$200,0))="","",INDEX('Test catalog'!$G$2:$G$200,MATCH($AB889,'Test catalog'!$A$2:$A$200,0))),"")</f>
        <v/>
      </c>
      <c r="M889" s="10">
        <f>IFERROR(IF(INDEX('Test catalog'!$H$2:$H$200,MATCH($AB889,'Test catalog'!$A$2:$A$200,0))="","",INDEX('Test catalog'!$H$2:$H$200,MATCH($AB889,'Test catalog'!$A$2:$A$200,0))),"")</f>
        <v/>
      </c>
      <c r="N889" s="10">
        <f>IFERROR(IF(INDEX('Test catalog'!$I$2:$I$200,MATCH($AB889,'Test catalog'!$A$2:$A$200,0))="","",INDEX('Test catalog'!$I$2:$I$200,MATCH($AB889,'Test catalog'!$A$2:$A$200,0))),"")</f>
        <v/>
      </c>
      <c r="O889" s="10">
        <f>IFERROR(IF(INDEX('Test catalog'!$J$2:$J$200,MATCH($AB889,'Test catalog'!$A$2:$A$200,0))="","",INDEX('Test catalog'!$J$2:$J$200,MATCH($AB889,'Test catalog'!$A$2:$A$200,0))),"")</f>
        <v/>
      </c>
      <c r="P889" s="14">
        <f>IF(N889="","",IF(OR(M889="",O889=""),N889,(M889+4*N889+O889)/6))</f>
        <v/>
      </c>
      <c r="Q889" s="10">
        <f>IFERROR(IF(INDEX('Test catalog'!$K$2:$K$200,MATCH($AB889,'Test catalog'!$A$2:$A$200,0))="","",INDEX('Test catalog'!$K$2:$K$200,MATCH($AB889,'Test catalog'!$A$2:$A$200,0))),"")</f>
        <v/>
      </c>
      <c r="R889" s="5" t="n"/>
      <c r="S889" s="10">
        <f>IFERROR(IF(INDEX('Test catalog'!$L$2:$L$200,MATCH($AB889,'Test catalog'!$A$2:$A$200,0))="","",INDEX('Test catalog'!$L$2:$L$200,MATCH($AB889,'Test catalog'!$A$2:$A$200,0))),"")</f>
        <v/>
      </c>
      <c r="T889" s="10">
        <f>IFERROR(IF(INDEX('Test catalog'!$M$2:$M$200,MATCH($AB889,'Test catalog'!$A$2:$A$200,0))="","",INDEX('Test catalog'!$M$2:$M$200,MATCH($AB889,'Test catalog'!$A$2:$A$200,0))),"")</f>
        <v/>
      </c>
      <c r="U889" s="10">
        <f>IFERROR(IF(INDEX('Test catalog'!$N$2:$N$200,MATCH($AB889,'Test catalog'!$A$2:$A$200,0))="","",INDEX('Test catalog'!$N$2:$N$200,MATCH($AB889,'Test catalog'!$A$2:$A$200,0))),"")</f>
        <v/>
      </c>
      <c r="V889" s="15" t="n"/>
      <c r="W889" s="5" t="inlineStr">
        <is>
          <t>N</t>
        </is>
      </c>
      <c r="X889" s="5" t="n"/>
      <c r="Y889" s="5" t="n"/>
      <c r="Z889" s="5" t="n"/>
      <c r="AA889" s="10">
        <f>IFERROR(IF(INDEX('Test catalog'!$O$2:$O$200,MATCH($AB889,'Test catalog'!$A$2:$A$200,0))="","",INDEX('Test catalog'!$O$2:$O$200,MATCH($AB889,'Test catalog'!$A$2:$A$200,0))),"")</f>
        <v/>
      </c>
      <c r="AB889" s="10" t="inlineStr">
        <is>
          <t>TITR</t>
        </is>
      </c>
      <c r="AC889" s="10" t="inlineStr">
        <is>
          <t>Polyethylene Glycol · Assay</t>
        </is>
      </c>
      <c r="AD889" s="10" t="n"/>
      <c r="AE889" s="10" t="n"/>
    </row>
    <row r="890">
      <c r="A890" s="10" t="inlineStr">
        <is>
          <t>Polyethylene Glycol 4000 (PEG 4000)</t>
        </is>
      </c>
      <c r="B890" s="10" t="inlineStr">
        <is>
          <t>RM</t>
        </is>
      </c>
      <c r="C890" s="10" t="inlineStr">
        <is>
          <t>Plasticizer</t>
        </is>
      </c>
      <c r="D890" s="10" t="inlineStr">
        <is>
          <t>Residue on Ignition</t>
        </is>
      </c>
      <c r="E890" s="10">
        <f>IF(A890="","",A890&amp;"|"&amp;D890)</f>
        <v/>
      </c>
      <c r="F890" s="5" t="inlineStr">
        <is>
          <t>Y</t>
        </is>
      </c>
      <c r="G890" s="5" t="inlineStr">
        <is>
          <t>Other / bench</t>
        </is>
      </c>
      <c r="H890" s="5" t="inlineStr">
        <is>
          <t>Low</t>
        </is>
      </c>
      <c r="I890" s="5" t="n">
        <v>1</v>
      </c>
      <c r="J890" s="5" t="n"/>
      <c r="K890" s="10">
        <f>IFERROR(IF(INDEX('Test catalog'!$F$2:$F$200,MATCH($AB890,'Test catalog'!$A$2:$A$200,0))="","",INDEX('Test catalog'!$F$2:$F$200,MATCH($AB890,'Test catalog'!$A$2:$A$200,0))),"")</f>
        <v/>
      </c>
      <c r="L890" s="10">
        <f>IFERROR(IF(INDEX('Test catalog'!$G$2:$G$200,MATCH($AB890,'Test catalog'!$A$2:$A$200,0))="","",INDEX('Test catalog'!$G$2:$G$200,MATCH($AB890,'Test catalog'!$A$2:$A$200,0))),"")</f>
        <v/>
      </c>
      <c r="M890" s="10">
        <f>IFERROR(IF(INDEX('Test catalog'!$H$2:$H$200,MATCH($AB890,'Test catalog'!$A$2:$A$200,0))="","",INDEX('Test catalog'!$H$2:$H$200,MATCH($AB890,'Test catalog'!$A$2:$A$200,0))),"")</f>
        <v/>
      </c>
      <c r="N890" s="10">
        <f>IFERROR(IF(INDEX('Test catalog'!$I$2:$I$200,MATCH($AB890,'Test catalog'!$A$2:$A$200,0))="","",INDEX('Test catalog'!$I$2:$I$200,MATCH($AB890,'Test catalog'!$A$2:$A$200,0))),"")</f>
        <v/>
      </c>
      <c r="O890" s="10">
        <f>IFERROR(IF(INDEX('Test catalog'!$J$2:$J$200,MATCH($AB890,'Test catalog'!$A$2:$A$200,0))="","",INDEX('Test catalog'!$J$2:$J$200,MATCH($AB890,'Test catalog'!$A$2:$A$200,0))),"")</f>
        <v/>
      </c>
      <c r="P890" s="14">
        <f>IF(N890="","",IF(OR(M890="",O890=""),N890,(M890+4*N890+O890)/6))</f>
        <v/>
      </c>
      <c r="Q890" s="10">
        <f>IFERROR(IF(INDEX('Test catalog'!$K$2:$K$200,MATCH($AB890,'Test catalog'!$A$2:$A$200,0))="","",INDEX('Test catalog'!$K$2:$K$200,MATCH($AB890,'Test catalog'!$A$2:$A$200,0))),"")</f>
        <v/>
      </c>
      <c r="R890" s="5" t="n"/>
      <c r="S890" s="10">
        <f>IFERROR(IF(INDEX('Test catalog'!$L$2:$L$200,MATCH($AB890,'Test catalog'!$A$2:$A$200,0))="","",INDEX('Test catalog'!$L$2:$L$200,MATCH($AB890,'Test catalog'!$A$2:$A$200,0))),"")</f>
        <v/>
      </c>
      <c r="T890" s="10">
        <f>IFERROR(IF(INDEX('Test catalog'!$M$2:$M$200,MATCH($AB890,'Test catalog'!$A$2:$A$200,0))="","",INDEX('Test catalog'!$M$2:$M$200,MATCH($AB890,'Test catalog'!$A$2:$A$200,0))),"")</f>
        <v/>
      </c>
      <c r="U890" s="10">
        <f>IFERROR(IF(INDEX('Test catalog'!$N$2:$N$200,MATCH($AB890,'Test catalog'!$A$2:$A$200,0))="","",INDEX('Test catalog'!$N$2:$N$200,MATCH($AB890,'Test catalog'!$A$2:$A$200,0))),"")</f>
        <v/>
      </c>
      <c r="V890" s="15" t="n"/>
      <c r="W890" s="5" t="inlineStr">
        <is>
          <t>N</t>
        </is>
      </c>
      <c r="X890" s="5" t="n"/>
      <c r="Y890" s="5" t="n"/>
      <c r="Z890" s="5" t="n"/>
      <c r="AA890" s="10">
        <f>IFERROR(IF(INDEX('Test catalog'!$O$2:$O$200,MATCH($AB890,'Test catalog'!$A$2:$A$200,0))="","",INDEX('Test catalog'!$O$2:$O$200,MATCH($AB890,'Test catalog'!$A$2:$A$200,0))),"")</f>
        <v/>
      </c>
      <c r="AB890" s="10" t="inlineStr">
        <is>
          <t>ROI</t>
        </is>
      </c>
      <c r="AC890" s="10" t="inlineStr">
        <is>
          <t>Polyethylene Glycol · Impurities &lt;281&gt;</t>
        </is>
      </c>
      <c r="AD890" s="10" t="n"/>
      <c r="AE890" s="10" t="n"/>
    </row>
    <row r="891">
      <c r="A891" s="10" t="inlineStr">
        <is>
          <t>Polyethylene Glycol 4000 (PEG 4000)</t>
        </is>
      </c>
      <c r="B891" s="10" t="inlineStr">
        <is>
          <t>RM</t>
        </is>
      </c>
      <c r="C891" s="10" t="inlineStr">
        <is>
          <t>Plasticizer</t>
        </is>
      </c>
      <c r="D891" s="10" t="inlineStr">
        <is>
          <t>Limit of Free Ethylene Oxide and 1,4-Dioxane (GC)</t>
        </is>
      </c>
      <c r="E891" s="10">
        <f>IF(A891="","",A891&amp;"|"&amp;D891)</f>
        <v/>
      </c>
      <c r="F891" s="5" t="inlineStr">
        <is>
          <t>Y</t>
        </is>
      </c>
      <c r="G891" s="5" t="inlineStr">
        <is>
          <t>GC</t>
        </is>
      </c>
      <c r="H891" s="5" t="inlineStr">
        <is>
          <t>Medium</t>
        </is>
      </c>
      <c r="I891" s="5" t="n">
        <v>1</v>
      </c>
      <c r="J891" s="5" t="n"/>
      <c r="K891" s="5" t="n"/>
      <c r="L891" s="5" t="n"/>
      <c r="M891" s="5" t="n"/>
      <c r="N891" s="5" t="n"/>
      <c r="O891" s="5" t="n"/>
      <c r="P891" s="14">
        <f>IF(N891="","",IF(OR(M891="",O891=""),N891,(M891+4*N891+O891)/6))</f>
        <v/>
      </c>
      <c r="Q891" s="5" t="n"/>
      <c r="R891" s="5" t="n"/>
      <c r="S891" s="5" t="n"/>
      <c r="T891" s="5" t="n"/>
      <c r="U891" s="5" t="n"/>
      <c r="V891" s="15" t="n"/>
      <c r="W891" s="5" t="inlineStr">
        <is>
          <t>N</t>
        </is>
      </c>
      <c r="X891" s="5" t="n"/>
      <c r="Y891" s="5" t="n"/>
      <c r="Z891" s="5" t="n"/>
      <c r="AA891" s="5" t="n"/>
      <c r="AB891" s="10" t="n"/>
      <c r="AC891" s="10" t="inlineStr">
        <is>
          <t>Polyethylene Glycol · Impurities</t>
        </is>
      </c>
      <c r="AD891" s="10" t="n"/>
      <c r="AE891" s="10" t="n"/>
    </row>
    <row r="892">
      <c r="A892" s="10" t="inlineStr">
        <is>
          <t>Polyethylene Glycol 4000 (PEG 4000)</t>
        </is>
      </c>
      <c r="B892" s="10" t="inlineStr">
        <is>
          <t>RM</t>
        </is>
      </c>
      <c r="C892" s="10" t="inlineStr">
        <is>
          <t>Plasticizer</t>
        </is>
      </c>
      <c r="D892" s="10" t="inlineStr">
        <is>
          <t>Limit of Ethylene Glycol and Diethylene Glycol (for Polyethylene Glycol having a nominal m (GC)</t>
        </is>
      </c>
      <c r="E892" s="10">
        <f>IF(A892="","",A892&amp;"|"&amp;D892)</f>
        <v/>
      </c>
      <c r="F892" s="5" t="inlineStr">
        <is>
          <t>Y</t>
        </is>
      </c>
      <c r="G892" s="5" t="inlineStr">
        <is>
          <t>GC</t>
        </is>
      </c>
      <c r="H892" s="5" t="inlineStr">
        <is>
          <t>Medium</t>
        </is>
      </c>
      <c r="I892" s="5" t="n">
        <v>1</v>
      </c>
      <c r="J892" s="5" t="n"/>
      <c r="K892" s="5" t="n"/>
      <c r="L892" s="5" t="n"/>
      <c r="M892" s="5" t="n"/>
      <c r="N892" s="5" t="n"/>
      <c r="O892" s="5" t="n"/>
      <c r="P892" s="14">
        <f>IF(N892="","",IF(OR(M892="",O892=""),N892,(M892+4*N892+O892)/6))</f>
        <v/>
      </c>
      <c r="Q892" s="5" t="n"/>
      <c r="R892" s="5" t="n"/>
      <c r="S892" s="5" t="n"/>
      <c r="T892" s="5" t="n"/>
      <c r="U892" s="5" t="n"/>
      <c r="V892" s="15" t="n"/>
      <c r="W892" s="5" t="inlineStr">
        <is>
          <t>N</t>
        </is>
      </c>
      <c r="X892" s="5" t="n"/>
      <c r="Y892" s="5" t="n"/>
      <c r="Z892" s="5" t="n"/>
      <c r="AA892" s="5" t="n"/>
      <c r="AB892" s="10" t="n"/>
      <c r="AC892" s="10" t="inlineStr">
        <is>
          <t>Polyethylene Glycol · Impurities &lt;621&gt;</t>
        </is>
      </c>
      <c r="AD892" s="10" t="n"/>
      <c r="AE892" s="10" t="n"/>
    </row>
    <row r="893">
      <c r="A893" s="10" t="inlineStr">
        <is>
          <t>Polyethylene Glycol 4000 (PEG 4000)</t>
        </is>
      </c>
      <c r="B893" s="10" t="inlineStr">
        <is>
          <t>RM</t>
        </is>
      </c>
      <c r="C893" s="10" t="inlineStr">
        <is>
          <t>Plasticizer</t>
        </is>
      </c>
      <c r="D893" s="10" t="inlineStr">
        <is>
          <t>Limit of Ethylene Glycol and Diethylene Glycol (for Polyethylene Glycol having a nominal m</t>
        </is>
      </c>
      <c r="E893" s="10">
        <f>IF(A893="","",A893&amp;"|"&amp;D893)</f>
        <v/>
      </c>
      <c r="F893" s="5" t="inlineStr">
        <is>
          <t>Y</t>
        </is>
      </c>
      <c r="G893" s="5" t="inlineStr">
        <is>
          <t>UV-Vis</t>
        </is>
      </c>
      <c r="H893" s="5" t="inlineStr">
        <is>
          <t>Low</t>
        </is>
      </c>
      <c r="I893" s="5" t="n">
        <v>1</v>
      </c>
      <c r="J893" s="5" t="n"/>
      <c r="K893" s="10">
        <f>IFERROR(IF(INDEX('Test catalog'!$F$2:$F$200,MATCH($AB893,'Test catalog'!$A$2:$A$200,0))="","",INDEX('Test catalog'!$F$2:$F$200,MATCH($AB893,'Test catalog'!$A$2:$A$200,0))),"")</f>
        <v/>
      </c>
      <c r="L893" s="10">
        <f>IFERROR(IF(INDEX('Test catalog'!$G$2:$G$200,MATCH($AB893,'Test catalog'!$A$2:$A$200,0))="","",INDEX('Test catalog'!$G$2:$G$200,MATCH($AB893,'Test catalog'!$A$2:$A$200,0))),"")</f>
        <v/>
      </c>
      <c r="M893" s="10">
        <f>IFERROR(IF(INDEX('Test catalog'!$H$2:$H$200,MATCH($AB893,'Test catalog'!$A$2:$A$200,0))="","",INDEX('Test catalog'!$H$2:$H$200,MATCH($AB893,'Test catalog'!$A$2:$A$200,0))),"")</f>
        <v/>
      </c>
      <c r="N893" s="10">
        <f>IFERROR(IF(INDEX('Test catalog'!$I$2:$I$200,MATCH($AB893,'Test catalog'!$A$2:$A$200,0))="","",INDEX('Test catalog'!$I$2:$I$200,MATCH($AB893,'Test catalog'!$A$2:$A$200,0))),"")</f>
        <v/>
      </c>
      <c r="O893" s="10">
        <f>IFERROR(IF(INDEX('Test catalog'!$J$2:$J$200,MATCH($AB893,'Test catalog'!$A$2:$A$200,0))="","",INDEX('Test catalog'!$J$2:$J$200,MATCH($AB893,'Test catalog'!$A$2:$A$200,0))),"")</f>
        <v/>
      </c>
      <c r="P893" s="14">
        <f>IF(N893="","",IF(OR(M893="",O893=""),N893,(M893+4*N893+O893)/6))</f>
        <v/>
      </c>
      <c r="Q893" s="10">
        <f>IFERROR(IF(INDEX('Test catalog'!$K$2:$K$200,MATCH($AB893,'Test catalog'!$A$2:$A$200,0))="","",INDEX('Test catalog'!$K$2:$K$200,MATCH($AB893,'Test catalog'!$A$2:$A$200,0))),"")</f>
        <v/>
      </c>
      <c r="R893" s="5" t="n"/>
      <c r="S893" s="10">
        <f>IFERROR(IF(INDEX('Test catalog'!$L$2:$L$200,MATCH($AB893,'Test catalog'!$A$2:$A$200,0))="","",INDEX('Test catalog'!$L$2:$L$200,MATCH($AB893,'Test catalog'!$A$2:$A$200,0))),"")</f>
        <v/>
      </c>
      <c r="T893" s="10">
        <f>IFERROR(IF(INDEX('Test catalog'!$M$2:$M$200,MATCH($AB893,'Test catalog'!$A$2:$A$200,0))="","",INDEX('Test catalog'!$M$2:$M$200,MATCH($AB893,'Test catalog'!$A$2:$A$200,0))),"")</f>
        <v/>
      </c>
      <c r="U893" s="10">
        <f>IFERROR(IF(INDEX('Test catalog'!$N$2:$N$200,MATCH($AB893,'Test catalog'!$A$2:$A$200,0))="","",INDEX('Test catalog'!$N$2:$N$200,MATCH($AB893,'Test catalog'!$A$2:$A$200,0))),"")</f>
        <v/>
      </c>
      <c r="V893" s="15" t="n"/>
      <c r="W893" s="5" t="inlineStr">
        <is>
          <t>N</t>
        </is>
      </c>
      <c r="X893" s="5" t="n"/>
      <c r="Y893" s="5" t="n"/>
      <c r="Z893" s="5" t="n"/>
      <c r="AA893" s="10">
        <f>IFERROR(IF(INDEX('Test catalog'!$O$2:$O$200,MATCH($AB893,'Test catalog'!$A$2:$A$200,0))="","",INDEX('Test catalog'!$O$2:$O$200,MATCH($AB893,'Test catalog'!$A$2:$A$200,0))),"")</f>
        <v/>
      </c>
      <c r="AB893" s="10" t="inlineStr">
        <is>
          <t>UV</t>
        </is>
      </c>
      <c r="AC893" s="10" t="inlineStr">
        <is>
          <t>Polyethylene Glycol · Impurities</t>
        </is>
      </c>
      <c r="AD893" s="10" t="n"/>
      <c r="AE893" s="10" t="n"/>
    </row>
    <row r="894">
      <c r="A894" s="10" t="inlineStr">
        <is>
          <t>Polyethylene Glycol 4000 (PEG 4000)</t>
        </is>
      </c>
      <c r="B894" s="10" t="inlineStr">
        <is>
          <t>RM</t>
        </is>
      </c>
      <c r="C894" s="10" t="inlineStr">
        <is>
          <t>Plasticizer</t>
        </is>
      </c>
      <c r="D894" s="10" t="inlineStr">
        <is>
          <t>pH</t>
        </is>
      </c>
      <c r="E894" s="10">
        <f>IF(A894="","",A894&amp;"|"&amp;D894)</f>
        <v/>
      </c>
      <c r="F894" s="5" t="inlineStr">
        <is>
          <t>Y</t>
        </is>
      </c>
      <c r="G894" s="5" t="inlineStr">
        <is>
          <t>Other / bench</t>
        </is>
      </c>
      <c r="H894" s="5" t="inlineStr">
        <is>
          <t>Low</t>
        </is>
      </c>
      <c r="I894" s="5" t="n">
        <v>1</v>
      </c>
      <c r="J894" s="5" t="n"/>
      <c r="K894" s="10">
        <f>IFERROR(IF(INDEX('Test catalog'!$F$2:$F$200,MATCH($AB894,'Test catalog'!$A$2:$A$200,0))="","",INDEX('Test catalog'!$F$2:$F$200,MATCH($AB894,'Test catalog'!$A$2:$A$200,0))),"")</f>
        <v/>
      </c>
      <c r="L894" s="10">
        <f>IFERROR(IF(INDEX('Test catalog'!$G$2:$G$200,MATCH($AB894,'Test catalog'!$A$2:$A$200,0))="","",INDEX('Test catalog'!$G$2:$G$200,MATCH($AB894,'Test catalog'!$A$2:$A$200,0))),"")</f>
        <v/>
      </c>
      <c r="M894" s="10">
        <f>IFERROR(IF(INDEX('Test catalog'!$H$2:$H$200,MATCH($AB894,'Test catalog'!$A$2:$A$200,0))="","",INDEX('Test catalog'!$H$2:$H$200,MATCH($AB894,'Test catalog'!$A$2:$A$200,0))),"")</f>
        <v/>
      </c>
      <c r="N894" s="10">
        <f>IFERROR(IF(INDEX('Test catalog'!$I$2:$I$200,MATCH($AB894,'Test catalog'!$A$2:$A$200,0))="","",INDEX('Test catalog'!$I$2:$I$200,MATCH($AB894,'Test catalog'!$A$2:$A$200,0))),"")</f>
        <v/>
      </c>
      <c r="O894" s="10">
        <f>IFERROR(IF(INDEX('Test catalog'!$J$2:$J$200,MATCH($AB894,'Test catalog'!$A$2:$A$200,0))="","",INDEX('Test catalog'!$J$2:$J$200,MATCH($AB894,'Test catalog'!$A$2:$A$200,0))),"")</f>
        <v/>
      </c>
      <c r="P894" s="14">
        <f>IF(N894="","",IF(OR(M894="",O894=""),N894,(M894+4*N894+O894)/6))</f>
        <v/>
      </c>
      <c r="Q894" s="10">
        <f>IFERROR(IF(INDEX('Test catalog'!$K$2:$K$200,MATCH($AB894,'Test catalog'!$A$2:$A$200,0))="","",INDEX('Test catalog'!$K$2:$K$200,MATCH($AB894,'Test catalog'!$A$2:$A$200,0))),"")</f>
        <v/>
      </c>
      <c r="R894" s="5" t="n"/>
      <c r="S894" s="10">
        <f>IFERROR(IF(INDEX('Test catalog'!$L$2:$L$200,MATCH($AB894,'Test catalog'!$A$2:$A$200,0))="","",INDEX('Test catalog'!$L$2:$L$200,MATCH($AB894,'Test catalog'!$A$2:$A$200,0))),"")</f>
        <v/>
      </c>
      <c r="T894" s="10">
        <f>IFERROR(IF(INDEX('Test catalog'!$M$2:$M$200,MATCH($AB894,'Test catalog'!$A$2:$A$200,0))="","",INDEX('Test catalog'!$M$2:$M$200,MATCH($AB894,'Test catalog'!$A$2:$A$200,0))),"")</f>
        <v/>
      </c>
      <c r="U894" s="10">
        <f>IFERROR(IF(INDEX('Test catalog'!$N$2:$N$200,MATCH($AB894,'Test catalog'!$A$2:$A$200,0))="","",INDEX('Test catalog'!$N$2:$N$200,MATCH($AB894,'Test catalog'!$A$2:$A$200,0))),"")</f>
        <v/>
      </c>
      <c r="V894" s="15" t="n"/>
      <c r="W894" s="5" t="inlineStr">
        <is>
          <t>N</t>
        </is>
      </c>
      <c r="X894" s="5" t="n"/>
      <c r="Y894" s="5" t="n"/>
      <c r="Z894" s="5" t="n"/>
      <c r="AA894" s="10">
        <f>IFERROR(IF(INDEX('Test catalog'!$O$2:$O$200,MATCH($AB894,'Test catalog'!$A$2:$A$200,0))="","",INDEX('Test catalog'!$O$2:$O$200,MATCH($AB894,'Test catalog'!$A$2:$A$200,0))),"")</f>
        <v/>
      </c>
      <c r="AB894" s="10" t="inlineStr">
        <is>
          <t>PH</t>
        </is>
      </c>
      <c r="AC894" s="10" t="inlineStr">
        <is>
          <t>Polyethylene Glycol · Impurities &lt;791&gt;</t>
        </is>
      </c>
      <c r="AD894" s="10" t="n"/>
      <c r="AE894" s="10" t="n"/>
    </row>
    <row r="895">
      <c r="A895" s="10" t="inlineStr">
        <is>
          <t>Polyethylene Glycol 4000 (PEG 4000)</t>
        </is>
      </c>
      <c r="B895" s="10" t="inlineStr">
        <is>
          <t>RM</t>
        </is>
      </c>
      <c r="C895" s="10" t="inlineStr">
        <is>
          <t>Plasticizer</t>
        </is>
      </c>
      <c r="D895" s="10" t="inlineStr">
        <is>
          <t>Completeness and Color of Solution</t>
        </is>
      </c>
      <c r="E895" s="10">
        <f>IF(A895="","",A895&amp;"|"&amp;D895)</f>
        <v/>
      </c>
      <c r="F895" s="5" t="inlineStr">
        <is>
          <t>Y</t>
        </is>
      </c>
      <c r="G895" s="5" t="inlineStr">
        <is>
          <t>Other / bench</t>
        </is>
      </c>
      <c r="H895" s="5" t="inlineStr">
        <is>
          <t>Low</t>
        </is>
      </c>
      <c r="I895" s="5" t="n">
        <v>1</v>
      </c>
      <c r="J895" s="5" t="n"/>
      <c r="K895" s="10">
        <f>IFERROR(IF(INDEX('Test catalog'!$F$2:$F$200,MATCH($AB895,'Test catalog'!$A$2:$A$200,0))="","",INDEX('Test catalog'!$F$2:$F$200,MATCH($AB895,'Test catalog'!$A$2:$A$200,0))),"")</f>
        <v/>
      </c>
      <c r="L895" s="10">
        <f>IFERROR(IF(INDEX('Test catalog'!$G$2:$G$200,MATCH($AB895,'Test catalog'!$A$2:$A$200,0))="","",INDEX('Test catalog'!$G$2:$G$200,MATCH($AB895,'Test catalog'!$A$2:$A$200,0))),"")</f>
        <v/>
      </c>
      <c r="M895" s="10">
        <f>IFERROR(IF(INDEX('Test catalog'!$H$2:$H$200,MATCH($AB895,'Test catalog'!$A$2:$A$200,0))="","",INDEX('Test catalog'!$H$2:$H$200,MATCH($AB895,'Test catalog'!$A$2:$A$200,0))),"")</f>
        <v/>
      </c>
      <c r="N895" s="10">
        <f>IFERROR(IF(INDEX('Test catalog'!$I$2:$I$200,MATCH($AB895,'Test catalog'!$A$2:$A$200,0))="","",INDEX('Test catalog'!$I$2:$I$200,MATCH($AB895,'Test catalog'!$A$2:$A$200,0))),"")</f>
        <v/>
      </c>
      <c r="O895" s="10">
        <f>IFERROR(IF(INDEX('Test catalog'!$J$2:$J$200,MATCH($AB895,'Test catalog'!$A$2:$A$200,0))="","",INDEX('Test catalog'!$J$2:$J$200,MATCH($AB895,'Test catalog'!$A$2:$A$200,0))),"")</f>
        <v/>
      </c>
      <c r="P895" s="14">
        <f>IF(N895="","",IF(OR(M895="",O895=""),N895,(M895+4*N895+O895)/6))</f>
        <v/>
      </c>
      <c r="Q895" s="10">
        <f>IFERROR(IF(INDEX('Test catalog'!$K$2:$K$200,MATCH($AB895,'Test catalog'!$A$2:$A$200,0))="","",INDEX('Test catalog'!$K$2:$K$200,MATCH($AB895,'Test catalog'!$A$2:$A$200,0))),"")</f>
        <v/>
      </c>
      <c r="R895" s="5" t="n"/>
      <c r="S895" s="10">
        <f>IFERROR(IF(INDEX('Test catalog'!$L$2:$L$200,MATCH($AB895,'Test catalog'!$A$2:$A$200,0))="","",INDEX('Test catalog'!$L$2:$L$200,MATCH($AB895,'Test catalog'!$A$2:$A$200,0))),"")</f>
        <v/>
      </c>
      <c r="T895" s="10">
        <f>IFERROR(IF(INDEX('Test catalog'!$M$2:$M$200,MATCH($AB895,'Test catalog'!$A$2:$A$200,0))="","",INDEX('Test catalog'!$M$2:$M$200,MATCH($AB895,'Test catalog'!$A$2:$A$200,0))),"")</f>
        <v/>
      </c>
      <c r="U895" s="10">
        <f>IFERROR(IF(INDEX('Test catalog'!$N$2:$N$200,MATCH($AB895,'Test catalog'!$A$2:$A$200,0))="","",INDEX('Test catalog'!$N$2:$N$200,MATCH($AB895,'Test catalog'!$A$2:$A$200,0))),"")</f>
        <v/>
      </c>
      <c r="V895" s="15" t="n"/>
      <c r="W895" s="5" t="inlineStr">
        <is>
          <t>N</t>
        </is>
      </c>
      <c r="X895" s="5" t="n"/>
      <c r="Y895" s="5" t="n"/>
      <c r="Z895" s="5" t="n"/>
      <c r="AA895" s="10">
        <f>IFERROR(IF(INDEX('Test catalog'!$O$2:$O$200,MATCH($AB895,'Test catalog'!$A$2:$A$200,0))="","",INDEX('Test catalog'!$O$2:$O$200,MATCH($AB895,'Test catalog'!$A$2:$A$200,0))),"")</f>
        <v/>
      </c>
      <c r="AB895" s="10" t="inlineStr">
        <is>
          <t>CLAR</t>
        </is>
      </c>
      <c r="AC895" s="10" t="inlineStr">
        <is>
          <t>Polyethylene Glycol · Specific Tests</t>
        </is>
      </c>
      <c r="AD895" s="10" t="n"/>
      <c r="AE895" s="10" t="n"/>
    </row>
    <row r="896">
      <c r="A896" s="10" t="inlineStr">
        <is>
          <t>Polyethylene Glycol 4000 (PEG 4000)</t>
        </is>
      </c>
      <c r="B896" s="10" t="inlineStr">
        <is>
          <t>RM</t>
        </is>
      </c>
      <c r="C896" s="10" t="inlineStr">
        <is>
          <t>Plasticizer</t>
        </is>
      </c>
      <c r="D896" s="10" t="inlineStr">
        <is>
          <t>Viscosity—Capillary Methods</t>
        </is>
      </c>
      <c r="E896" s="10">
        <f>IF(A896="","",A896&amp;"|"&amp;D896)</f>
        <v/>
      </c>
      <c r="F896" s="5" t="inlineStr">
        <is>
          <t>Y</t>
        </is>
      </c>
      <c r="G896" s="5" t="inlineStr">
        <is>
          <t>Other / bench</t>
        </is>
      </c>
      <c r="H896" s="5" t="inlineStr">
        <is>
          <t>Low</t>
        </is>
      </c>
      <c r="I896" s="5" t="n">
        <v>1</v>
      </c>
      <c r="J896" s="5" t="n"/>
      <c r="K896" s="10">
        <f>IFERROR(IF(INDEX('Test catalog'!$F$2:$F$200,MATCH($AB896,'Test catalog'!$A$2:$A$200,0))="","",INDEX('Test catalog'!$F$2:$F$200,MATCH($AB896,'Test catalog'!$A$2:$A$200,0))),"")</f>
        <v/>
      </c>
      <c r="L896" s="10">
        <f>IFERROR(IF(INDEX('Test catalog'!$G$2:$G$200,MATCH($AB896,'Test catalog'!$A$2:$A$200,0))="","",INDEX('Test catalog'!$G$2:$G$200,MATCH($AB896,'Test catalog'!$A$2:$A$200,0))),"")</f>
        <v/>
      </c>
      <c r="M896" s="10">
        <f>IFERROR(IF(INDEX('Test catalog'!$H$2:$H$200,MATCH($AB896,'Test catalog'!$A$2:$A$200,0))="","",INDEX('Test catalog'!$H$2:$H$200,MATCH($AB896,'Test catalog'!$A$2:$A$200,0))),"")</f>
        <v/>
      </c>
      <c r="N896" s="10">
        <f>IFERROR(IF(INDEX('Test catalog'!$I$2:$I$200,MATCH($AB896,'Test catalog'!$A$2:$A$200,0))="","",INDEX('Test catalog'!$I$2:$I$200,MATCH($AB896,'Test catalog'!$A$2:$A$200,0))),"")</f>
        <v/>
      </c>
      <c r="O896" s="10">
        <f>IFERROR(IF(INDEX('Test catalog'!$J$2:$J$200,MATCH($AB896,'Test catalog'!$A$2:$A$200,0))="","",INDEX('Test catalog'!$J$2:$J$200,MATCH($AB896,'Test catalog'!$A$2:$A$200,0))),"")</f>
        <v/>
      </c>
      <c r="P896" s="14">
        <f>IF(N896="","",IF(OR(M896="",O896=""),N896,(M896+4*N896+O896)/6))</f>
        <v/>
      </c>
      <c r="Q896" s="10">
        <f>IFERROR(IF(INDEX('Test catalog'!$K$2:$K$200,MATCH($AB896,'Test catalog'!$A$2:$A$200,0))="","",INDEX('Test catalog'!$K$2:$K$200,MATCH($AB896,'Test catalog'!$A$2:$A$200,0))),"")</f>
        <v/>
      </c>
      <c r="R896" s="5" t="n"/>
      <c r="S896" s="10">
        <f>IFERROR(IF(INDEX('Test catalog'!$L$2:$L$200,MATCH($AB896,'Test catalog'!$A$2:$A$200,0))="","",INDEX('Test catalog'!$L$2:$L$200,MATCH($AB896,'Test catalog'!$A$2:$A$200,0))),"")</f>
        <v/>
      </c>
      <c r="T896" s="10">
        <f>IFERROR(IF(INDEX('Test catalog'!$M$2:$M$200,MATCH($AB896,'Test catalog'!$A$2:$A$200,0))="","",INDEX('Test catalog'!$M$2:$M$200,MATCH($AB896,'Test catalog'!$A$2:$A$200,0))),"")</f>
        <v/>
      </c>
      <c r="U896" s="10">
        <f>IFERROR(IF(INDEX('Test catalog'!$N$2:$N$200,MATCH($AB896,'Test catalog'!$A$2:$A$200,0))="","",INDEX('Test catalog'!$N$2:$N$200,MATCH($AB896,'Test catalog'!$A$2:$A$200,0))),"")</f>
        <v/>
      </c>
      <c r="V896" s="15" t="n"/>
      <c r="W896" s="5" t="inlineStr">
        <is>
          <t>N</t>
        </is>
      </c>
      <c r="X896" s="5" t="n"/>
      <c r="Y896" s="5" t="n"/>
      <c r="Z896" s="5" t="n"/>
      <c r="AA896" s="10">
        <f>IFERROR(IF(INDEX('Test catalog'!$O$2:$O$200,MATCH($AB896,'Test catalog'!$A$2:$A$200,0))="","",INDEX('Test catalog'!$O$2:$O$200,MATCH($AB896,'Test catalog'!$A$2:$A$200,0))),"")</f>
        <v/>
      </c>
      <c r="AB896" s="10" t="inlineStr">
        <is>
          <t>VISC</t>
        </is>
      </c>
      <c r="AC896" s="10" t="inlineStr">
        <is>
          <t>Polyethylene Glycol · Specific Tests &lt;911&gt;</t>
        </is>
      </c>
      <c r="AD896" s="10" t="n"/>
      <c r="AE896" s="10" t="n"/>
    </row>
    <row r="897">
      <c r="A897" s="10" t="inlineStr">
        <is>
          <t>Triacetin</t>
        </is>
      </c>
      <c r="B897" s="10" t="inlineStr">
        <is>
          <t>RM</t>
        </is>
      </c>
      <c r="C897" s="10" t="inlineStr">
        <is>
          <t>Plasticizer</t>
        </is>
      </c>
      <c r="D897" s="10" t="inlineStr">
        <is>
          <t>Appearance / description and solubility</t>
        </is>
      </c>
      <c r="E897" s="10">
        <f>IF(A897="","",A897&amp;"|"&amp;D897)</f>
        <v/>
      </c>
      <c r="F897" s="5" t="inlineStr">
        <is>
          <t>Y</t>
        </is>
      </c>
      <c r="G897" s="5" t="inlineStr">
        <is>
          <t>Other / bench</t>
        </is>
      </c>
      <c r="H897" s="5" t="inlineStr">
        <is>
          <t>Low</t>
        </is>
      </c>
      <c r="I897" s="5" t="n">
        <v>1</v>
      </c>
      <c r="J897" s="5" t="n"/>
      <c r="K897" s="10">
        <f>IFERROR(IF(INDEX('Test catalog'!$F$2:$F$200,MATCH($AB897,'Test catalog'!$A$2:$A$200,0))="","",INDEX('Test catalog'!$F$2:$F$200,MATCH($AB897,'Test catalog'!$A$2:$A$200,0))),"")</f>
        <v/>
      </c>
      <c r="L897" s="10">
        <f>IFERROR(IF(INDEX('Test catalog'!$G$2:$G$200,MATCH($AB897,'Test catalog'!$A$2:$A$200,0))="","",INDEX('Test catalog'!$G$2:$G$200,MATCH($AB897,'Test catalog'!$A$2:$A$200,0))),"")</f>
        <v/>
      </c>
      <c r="M897" s="10">
        <f>IFERROR(IF(INDEX('Test catalog'!$H$2:$H$200,MATCH($AB897,'Test catalog'!$A$2:$A$200,0))="","",INDEX('Test catalog'!$H$2:$H$200,MATCH($AB897,'Test catalog'!$A$2:$A$200,0))),"")</f>
        <v/>
      </c>
      <c r="N897" s="10">
        <f>IFERROR(IF(INDEX('Test catalog'!$I$2:$I$200,MATCH($AB897,'Test catalog'!$A$2:$A$200,0))="","",INDEX('Test catalog'!$I$2:$I$200,MATCH($AB897,'Test catalog'!$A$2:$A$200,0))),"")</f>
        <v/>
      </c>
      <c r="O897" s="10">
        <f>IFERROR(IF(INDEX('Test catalog'!$J$2:$J$200,MATCH($AB897,'Test catalog'!$A$2:$A$200,0))="","",INDEX('Test catalog'!$J$2:$J$200,MATCH($AB897,'Test catalog'!$A$2:$A$200,0))),"")</f>
        <v/>
      </c>
      <c r="P897" s="14">
        <f>IF(N897="","",IF(OR(M897="",O897=""),N897,(M897+4*N897+O897)/6))</f>
        <v/>
      </c>
      <c r="Q897" s="10">
        <f>IFERROR(IF(INDEX('Test catalog'!$K$2:$K$200,MATCH($AB897,'Test catalog'!$A$2:$A$200,0))="","",INDEX('Test catalog'!$K$2:$K$200,MATCH($AB897,'Test catalog'!$A$2:$A$200,0))),"")</f>
        <v/>
      </c>
      <c r="R897" s="5" t="n"/>
      <c r="S897" s="10">
        <f>IFERROR(IF(INDEX('Test catalog'!$L$2:$L$200,MATCH($AB897,'Test catalog'!$A$2:$A$200,0))="","",INDEX('Test catalog'!$L$2:$L$200,MATCH($AB897,'Test catalog'!$A$2:$A$200,0))),"")</f>
        <v/>
      </c>
      <c r="T897" s="10">
        <f>IFERROR(IF(INDEX('Test catalog'!$M$2:$M$200,MATCH($AB897,'Test catalog'!$A$2:$A$200,0))="","",INDEX('Test catalog'!$M$2:$M$200,MATCH($AB897,'Test catalog'!$A$2:$A$200,0))),"")</f>
        <v/>
      </c>
      <c r="U897" s="10">
        <f>IFERROR(IF(INDEX('Test catalog'!$N$2:$N$200,MATCH($AB897,'Test catalog'!$A$2:$A$200,0))="","",INDEX('Test catalog'!$N$2:$N$200,MATCH($AB897,'Test catalog'!$A$2:$A$200,0))),"")</f>
        <v/>
      </c>
      <c r="V897" s="15" t="n"/>
      <c r="W897" s="5" t="inlineStr">
        <is>
          <t>N</t>
        </is>
      </c>
      <c r="X897" s="5" t="n"/>
      <c r="Y897" s="5" t="n"/>
      <c r="Z897" s="5" t="n"/>
      <c r="AA897" s="10">
        <f>IFERROR(IF(INDEX('Test catalog'!$O$2:$O$200,MATCH($AB897,'Test catalog'!$A$2:$A$200,0))="","",INDEX('Test catalog'!$O$2:$O$200,MATCH($AB897,'Test catalog'!$A$2:$A$200,0))),"")</f>
        <v/>
      </c>
      <c r="AB897" s="10" t="inlineStr">
        <is>
          <t>APPEAR</t>
        </is>
      </c>
      <c r="AC897" s="10" t="inlineStr">
        <is>
          <t>Lab practice (not a USP test)</t>
        </is>
      </c>
      <c r="AD897" s="10" t="n"/>
      <c r="AE897" s="10" t="n"/>
    </row>
    <row r="898">
      <c r="A898" s="10" t="inlineStr">
        <is>
          <t>Triacetin</t>
        </is>
      </c>
      <c r="B898" s="10" t="inlineStr">
        <is>
          <t>RM</t>
        </is>
      </c>
      <c r="C898" s="10" t="inlineStr">
        <is>
          <t>Plasticizer</t>
        </is>
      </c>
      <c r="D898" s="10" t="inlineStr">
        <is>
          <t>ID A - IR spectrum</t>
        </is>
      </c>
      <c r="E898" s="10">
        <f>IF(A898="","",A898&amp;"|"&amp;D898)</f>
        <v/>
      </c>
      <c r="F898" s="5" t="inlineStr">
        <is>
          <t>Y</t>
        </is>
      </c>
      <c r="G898" s="5" t="inlineStr">
        <is>
          <t>Other / bench</t>
        </is>
      </c>
      <c r="H898" s="5" t="inlineStr">
        <is>
          <t>Low</t>
        </is>
      </c>
      <c r="I898" s="5" t="n">
        <v>1</v>
      </c>
      <c r="J898" s="5" t="n"/>
      <c r="K898" s="10">
        <f>IFERROR(IF(INDEX('Test catalog'!$F$2:$F$200,MATCH($AB898,'Test catalog'!$A$2:$A$200,0))="","",INDEX('Test catalog'!$F$2:$F$200,MATCH($AB898,'Test catalog'!$A$2:$A$200,0))),"")</f>
        <v/>
      </c>
      <c r="L898" s="10">
        <f>IFERROR(IF(INDEX('Test catalog'!$G$2:$G$200,MATCH($AB898,'Test catalog'!$A$2:$A$200,0))="","",INDEX('Test catalog'!$G$2:$G$200,MATCH($AB898,'Test catalog'!$A$2:$A$200,0))),"")</f>
        <v/>
      </c>
      <c r="M898" s="10">
        <f>IFERROR(IF(INDEX('Test catalog'!$H$2:$H$200,MATCH($AB898,'Test catalog'!$A$2:$A$200,0))="","",INDEX('Test catalog'!$H$2:$H$200,MATCH($AB898,'Test catalog'!$A$2:$A$200,0))),"")</f>
        <v/>
      </c>
      <c r="N898" s="10">
        <f>IFERROR(IF(INDEX('Test catalog'!$I$2:$I$200,MATCH($AB898,'Test catalog'!$A$2:$A$200,0))="","",INDEX('Test catalog'!$I$2:$I$200,MATCH($AB898,'Test catalog'!$A$2:$A$200,0))),"")</f>
        <v/>
      </c>
      <c r="O898" s="10">
        <f>IFERROR(IF(INDEX('Test catalog'!$J$2:$J$200,MATCH($AB898,'Test catalog'!$A$2:$A$200,0))="","",INDEX('Test catalog'!$J$2:$J$200,MATCH($AB898,'Test catalog'!$A$2:$A$200,0))),"")</f>
        <v/>
      </c>
      <c r="P898" s="14">
        <f>IF(N898="","",IF(OR(M898="",O898=""),N898,(M898+4*N898+O898)/6))</f>
        <v/>
      </c>
      <c r="Q898" s="10">
        <f>IFERROR(IF(INDEX('Test catalog'!$K$2:$K$200,MATCH($AB898,'Test catalog'!$A$2:$A$200,0))="","",INDEX('Test catalog'!$K$2:$K$200,MATCH($AB898,'Test catalog'!$A$2:$A$200,0))),"")</f>
        <v/>
      </c>
      <c r="R898" s="5" t="n"/>
      <c r="S898" s="10">
        <f>IFERROR(IF(INDEX('Test catalog'!$L$2:$L$200,MATCH($AB898,'Test catalog'!$A$2:$A$200,0))="","",INDEX('Test catalog'!$L$2:$L$200,MATCH($AB898,'Test catalog'!$A$2:$A$200,0))),"")</f>
        <v/>
      </c>
      <c r="T898" s="10">
        <f>IFERROR(IF(INDEX('Test catalog'!$M$2:$M$200,MATCH($AB898,'Test catalog'!$A$2:$A$200,0))="","",INDEX('Test catalog'!$M$2:$M$200,MATCH($AB898,'Test catalog'!$A$2:$A$200,0))),"")</f>
        <v/>
      </c>
      <c r="U898" s="10">
        <f>IFERROR(IF(INDEX('Test catalog'!$N$2:$N$200,MATCH($AB898,'Test catalog'!$A$2:$A$200,0))="","",INDEX('Test catalog'!$N$2:$N$200,MATCH($AB898,'Test catalog'!$A$2:$A$200,0))),"")</f>
        <v/>
      </c>
      <c r="V898" s="15" t="n"/>
      <c r="W898" s="5" t="inlineStr">
        <is>
          <t>N</t>
        </is>
      </c>
      <c r="X898" s="5" t="n"/>
      <c r="Y898" s="5" t="n"/>
      <c r="Z898" s="5" t="n"/>
      <c r="AA898" s="10">
        <f>IFERROR(IF(INDEX('Test catalog'!$O$2:$O$200,MATCH($AB898,'Test catalog'!$A$2:$A$200,0))="","",INDEX('Test catalog'!$O$2:$O$200,MATCH($AB898,'Test catalog'!$A$2:$A$200,0))),"")</f>
        <v/>
      </c>
      <c r="AB898" s="10" t="inlineStr">
        <is>
          <t>ID_IR</t>
        </is>
      </c>
      <c r="AC898" s="10" t="inlineStr">
        <is>
          <t>Triacetin · Identification &lt;197&gt;</t>
        </is>
      </c>
      <c r="AD898" s="10" t="n"/>
      <c r="AE898" s="10" t="n"/>
    </row>
    <row r="899">
      <c r="A899" s="10" t="inlineStr">
        <is>
          <t>Triacetin</t>
        </is>
      </c>
      <c r="B899" s="10" t="inlineStr">
        <is>
          <t>RM</t>
        </is>
      </c>
      <c r="C899" s="10" t="inlineStr">
        <is>
          <t>Plasticizer</t>
        </is>
      </c>
      <c r="D899" s="10" t="inlineStr">
        <is>
          <t>ID - GC</t>
        </is>
      </c>
      <c r="E899" s="10">
        <f>IF(A899="","",A899&amp;"|"&amp;D899)</f>
        <v/>
      </c>
      <c r="F899" s="5" t="inlineStr">
        <is>
          <t>Y</t>
        </is>
      </c>
      <c r="G899" s="5" t="inlineStr">
        <is>
          <t>GC</t>
        </is>
      </c>
      <c r="H899" s="5" t="inlineStr">
        <is>
          <t>Medium</t>
        </is>
      </c>
      <c r="I899" s="5" t="n">
        <v>1</v>
      </c>
      <c r="J899" s="5" t="n"/>
      <c r="K899" s="5" t="n"/>
      <c r="L899" s="5" t="n"/>
      <c r="M899" s="5" t="n"/>
      <c r="N899" s="5" t="n"/>
      <c r="O899" s="5" t="n"/>
      <c r="P899" s="14">
        <f>IF(N899="","",IF(OR(M899="",O899=""),N899,(M899+4*N899+O899)/6))</f>
        <v/>
      </c>
      <c r="Q899" s="5" t="n"/>
      <c r="R899" s="5" t="n"/>
      <c r="S899" s="5" t="n"/>
      <c r="T899" s="5" t="n"/>
      <c r="U899" s="5" t="n"/>
      <c r="V899" s="15" t="n"/>
      <c r="W899" s="5" t="inlineStr">
        <is>
          <t>N</t>
        </is>
      </c>
      <c r="X899" s="5" t="n"/>
      <c r="Y899" s="5" t="n"/>
      <c r="Z899" s="5" t="n"/>
      <c r="AA899" s="5" t="n"/>
      <c r="AB899" s="10" t="n"/>
      <c r="AC899" s="10" t="inlineStr">
        <is>
          <t>Triacetin · Identification &lt;621&gt;</t>
        </is>
      </c>
      <c r="AD899" s="10" t="n"/>
      <c r="AE899" s="10" t="n"/>
    </row>
    <row r="900">
      <c r="A900" s="10" t="inlineStr">
        <is>
          <t>Triacetin</t>
        </is>
      </c>
      <c r="B900" s="10" t="inlineStr">
        <is>
          <t>RM</t>
        </is>
      </c>
      <c r="C900" s="10" t="inlineStr">
        <is>
          <t>Plasticizer</t>
        </is>
      </c>
      <c r="D900" s="10" t="inlineStr">
        <is>
          <t>Assay - Organic Impurities (GC)</t>
        </is>
      </c>
      <c r="E900" s="10">
        <f>IF(A900="","",A900&amp;"|"&amp;D900)</f>
        <v/>
      </c>
      <c r="F900" s="5" t="inlineStr">
        <is>
          <t>Y</t>
        </is>
      </c>
      <c r="G900" s="5" t="inlineStr">
        <is>
          <t>GC</t>
        </is>
      </c>
      <c r="H900" s="5" t="inlineStr">
        <is>
          <t>Medium</t>
        </is>
      </c>
      <c r="I900" s="5" t="n">
        <v>1</v>
      </c>
      <c r="J900" s="5" t="n"/>
      <c r="K900" s="5" t="n"/>
      <c r="L900" s="5" t="n"/>
      <c r="M900" s="5" t="n"/>
      <c r="N900" s="5" t="n"/>
      <c r="O900" s="5" t="n"/>
      <c r="P900" s="14">
        <f>IF(N900="","",IF(OR(M900="",O900=""),N900,(M900+4*N900+O900)/6))</f>
        <v/>
      </c>
      <c r="Q900" s="5" t="n"/>
      <c r="R900" s="5" t="n"/>
      <c r="S900" s="5" t="n"/>
      <c r="T900" s="5" t="n"/>
      <c r="U900" s="5" t="n"/>
      <c r="V900" s="15" t="n"/>
      <c r="W900" s="5" t="inlineStr">
        <is>
          <t>N</t>
        </is>
      </c>
      <c r="X900" s="5" t="n"/>
      <c r="Y900" s="5" t="n"/>
      <c r="Z900" s="5" t="n"/>
      <c r="AA900" s="5" t="n"/>
      <c r="AB900" s="10" t="n"/>
      <c r="AC900" s="10" t="inlineStr">
        <is>
          <t>Triacetin · Assay</t>
        </is>
      </c>
      <c r="AD900" s="10" t="n"/>
      <c r="AE900" s="10" t="n"/>
    </row>
    <row r="901">
      <c r="A901" s="10" t="inlineStr">
        <is>
          <t>Triacetin</t>
        </is>
      </c>
      <c r="B901" s="10" t="inlineStr">
        <is>
          <t>RM</t>
        </is>
      </c>
      <c r="C901" s="10" t="inlineStr">
        <is>
          <t>Plasticizer</t>
        </is>
      </c>
      <c r="D901" s="10" t="inlineStr">
        <is>
          <t>Water Determination</t>
        </is>
      </c>
      <c r="E901" s="10">
        <f>IF(A901="","",A901&amp;"|"&amp;D901)</f>
        <v/>
      </c>
      <c r="F901" s="5" t="inlineStr">
        <is>
          <t>Y</t>
        </is>
      </c>
      <c r="G901" s="5" t="inlineStr">
        <is>
          <t>KF titrator</t>
        </is>
      </c>
      <c r="H901" s="5" t="inlineStr">
        <is>
          <t>Low</t>
        </is>
      </c>
      <c r="I901" s="5" t="n">
        <v>1</v>
      </c>
      <c r="J901" s="5" t="n"/>
      <c r="K901" s="10">
        <f>IFERROR(IF(INDEX('Test catalog'!$F$2:$F$200,MATCH($AB901,'Test catalog'!$A$2:$A$200,0))="","",INDEX('Test catalog'!$F$2:$F$200,MATCH($AB901,'Test catalog'!$A$2:$A$200,0))),"")</f>
        <v/>
      </c>
      <c r="L901" s="10">
        <f>IFERROR(IF(INDEX('Test catalog'!$G$2:$G$200,MATCH($AB901,'Test catalog'!$A$2:$A$200,0))="","",INDEX('Test catalog'!$G$2:$G$200,MATCH($AB901,'Test catalog'!$A$2:$A$200,0))),"")</f>
        <v/>
      </c>
      <c r="M901" s="10">
        <f>IFERROR(IF(INDEX('Test catalog'!$H$2:$H$200,MATCH($AB901,'Test catalog'!$A$2:$A$200,0))="","",INDEX('Test catalog'!$H$2:$H$200,MATCH($AB901,'Test catalog'!$A$2:$A$200,0))),"")</f>
        <v/>
      </c>
      <c r="N901" s="10">
        <f>IFERROR(IF(INDEX('Test catalog'!$I$2:$I$200,MATCH($AB901,'Test catalog'!$A$2:$A$200,0))="","",INDEX('Test catalog'!$I$2:$I$200,MATCH($AB901,'Test catalog'!$A$2:$A$200,0))),"")</f>
        <v/>
      </c>
      <c r="O901" s="10">
        <f>IFERROR(IF(INDEX('Test catalog'!$J$2:$J$200,MATCH($AB901,'Test catalog'!$A$2:$A$200,0))="","",INDEX('Test catalog'!$J$2:$J$200,MATCH($AB901,'Test catalog'!$A$2:$A$200,0))),"")</f>
        <v/>
      </c>
      <c r="P901" s="14">
        <f>IF(N901="","",IF(OR(M901="",O901=""),N901,(M901+4*N901+O901)/6))</f>
        <v/>
      </c>
      <c r="Q901" s="10">
        <f>IFERROR(IF(INDEX('Test catalog'!$K$2:$K$200,MATCH($AB901,'Test catalog'!$A$2:$A$200,0))="","",INDEX('Test catalog'!$K$2:$K$200,MATCH($AB901,'Test catalog'!$A$2:$A$200,0))),"")</f>
        <v/>
      </c>
      <c r="R901" s="5" t="n"/>
      <c r="S901" s="10">
        <f>IFERROR(IF(INDEX('Test catalog'!$L$2:$L$200,MATCH($AB901,'Test catalog'!$A$2:$A$200,0))="","",INDEX('Test catalog'!$L$2:$L$200,MATCH($AB901,'Test catalog'!$A$2:$A$200,0))),"")</f>
        <v/>
      </c>
      <c r="T901" s="10">
        <f>IFERROR(IF(INDEX('Test catalog'!$M$2:$M$200,MATCH($AB901,'Test catalog'!$A$2:$A$200,0))="","",INDEX('Test catalog'!$M$2:$M$200,MATCH($AB901,'Test catalog'!$A$2:$A$200,0))),"")</f>
        <v/>
      </c>
      <c r="U901" s="10">
        <f>IFERROR(IF(INDEX('Test catalog'!$N$2:$N$200,MATCH($AB901,'Test catalog'!$A$2:$A$200,0))="","",INDEX('Test catalog'!$N$2:$N$200,MATCH($AB901,'Test catalog'!$A$2:$A$200,0))),"")</f>
        <v/>
      </c>
      <c r="V901" s="15" t="n"/>
      <c r="W901" s="5" t="inlineStr">
        <is>
          <t>N</t>
        </is>
      </c>
      <c r="X901" s="5" t="n"/>
      <c r="Y901" s="5" t="n"/>
      <c r="Z901" s="5" t="n"/>
      <c r="AA901" s="10">
        <f>IFERROR(IF(INDEX('Test catalog'!$O$2:$O$200,MATCH($AB901,'Test catalog'!$A$2:$A$200,0))="","",INDEX('Test catalog'!$O$2:$O$200,MATCH($AB901,'Test catalog'!$A$2:$A$200,0))),"")</f>
        <v/>
      </c>
      <c r="AB901" s="10" t="inlineStr">
        <is>
          <t>KF</t>
        </is>
      </c>
      <c r="AC901" s="10" t="inlineStr">
        <is>
          <t>Triacetin · Specific Tests &lt;921&gt;</t>
        </is>
      </c>
      <c r="AD901" s="10" t="n"/>
      <c r="AE901" s="10" t="n"/>
    </row>
    <row r="902">
      <c r="A902" s="10" t="inlineStr">
        <is>
          <t>Glycerine</t>
        </is>
      </c>
      <c r="B902" s="10" t="inlineStr">
        <is>
          <t>RM</t>
        </is>
      </c>
      <c r="C902" s="10" t="inlineStr">
        <is>
          <t>Plasticizer / Humectant</t>
        </is>
      </c>
      <c r="D902" s="10" t="inlineStr">
        <is>
          <t>Appearance / description and solubility</t>
        </is>
      </c>
      <c r="E902" s="10">
        <f>IF(A902="","",A902&amp;"|"&amp;D902)</f>
        <v/>
      </c>
      <c r="F902" s="5" t="inlineStr">
        <is>
          <t>Y</t>
        </is>
      </c>
      <c r="G902" s="5" t="inlineStr">
        <is>
          <t>Other / bench</t>
        </is>
      </c>
      <c r="H902" s="5" t="inlineStr">
        <is>
          <t>Low</t>
        </is>
      </c>
      <c r="I902" s="5" t="n">
        <v>1</v>
      </c>
      <c r="J902" s="5" t="n"/>
      <c r="K902" s="10">
        <f>IFERROR(IF(INDEX('Test catalog'!$F$2:$F$200,MATCH($AB902,'Test catalog'!$A$2:$A$200,0))="","",INDEX('Test catalog'!$F$2:$F$200,MATCH($AB902,'Test catalog'!$A$2:$A$200,0))),"")</f>
        <v/>
      </c>
      <c r="L902" s="10">
        <f>IFERROR(IF(INDEX('Test catalog'!$G$2:$G$200,MATCH($AB902,'Test catalog'!$A$2:$A$200,0))="","",INDEX('Test catalog'!$G$2:$G$200,MATCH($AB902,'Test catalog'!$A$2:$A$200,0))),"")</f>
        <v/>
      </c>
      <c r="M902" s="10">
        <f>IFERROR(IF(INDEX('Test catalog'!$H$2:$H$200,MATCH($AB902,'Test catalog'!$A$2:$A$200,0))="","",INDEX('Test catalog'!$H$2:$H$200,MATCH($AB902,'Test catalog'!$A$2:$A$200,0))),"")</f>
        <v/>
      </c>
      <c r="N902" s="10">
        <f>IFERROR(IF(INDEX('Test catalog'!$I$2:$I$200,MATCH($AB902,'Test catalog'!$A$2:$A$200,0))="","",INDEX('Test catalog'!$I$2:$I$200,MATCH($AB902,'Test catalog'!$A$2:$A$200,0))),"")</f>
        <v/>
      </c>
      <c r="O902" s="10">
        <f>IFERROR(IF(INDEX('Test catalog'!$J$2:$J$200,MATCH($AB902,'Test catalog'!$A$2:$A$200,0))="","",INDEX('Test catalog'!$J$2:$J$200,MATCH($AB902,'Test catalog'!$A$2:$A$200,0))),"")</f>
        <v/>
      </c>
      <c r="P902" s="14">
        <f>IF(N902="","",IF(OR(M902="",O902=""),N902,(M902+4*N902+O902)/6))</f>
        <v/>
      </c>
      <c r="Q902" s="10">
        <f>IFERROR(IF(INDEX('Test catalog'!$K$2:$K$200,MATCH($AB902,'Test catalog'!$A$2:$A$200,0))="","",INDEX('Test catalog'!$K$2:$K$200,MATCH($AB902,'Test catalog'!$A$2:$A$200,0))),"")</f>
        <v/>
      </c>
      <c r="R902" s="5" t="n"/>
      <c r="S902" s="10">
        <f>IFERROR(IF(INDEX('Test catalog'!$L$2:$L$200,MATCH($AB902,'Test catalog'!$A$2:$A$200,0))="","",INDEX('Test catalog'!$L$2:$L$200,MATCH($AB902,'Test catalog'!$A$2:$A$200,0))),"")</f>
        <v/>
      </c>
      <c r="T902" s="10">
        <f>IFERROR(IF(INDEX('Test catalog'!$M$2:$M$200,MATCH($AB902,'Test catalog'!$A$2:$A$200,0))="","",INDEX('Test catalog'!$M$2:$M$200,MATCH($AB902,'Test catalog'!$A$2:$A$200,0))),"")</f>
        <v/>
      </c>
      <c r="U902" s="10">
        <f>IFERROR(IF(INDEX('Test catalog'!$N$2:$N$200,MATCH($AB902,'Test catalog'!$A$2:$A$200,0))="","",INDEX('Test catalog'!$N$2:$N$200,MATCH($AB902,'Test catalog'!$A$2:$A$200,0))),"")</f>
        <v/>
      </c>
      <c r="V902" s="15" t="n"/>
      <c r="W902" s="5" t="inlineStr">
        <is>
          <t>N</t>
        </is>
      </c>
      <c r="X902" s="5" t="n"/>
      <c r="Y902" s="5" t="n"/>
      <c r="Z902" s="5" t="n"/>
      <c r="AA902" s="10">
        <f>IFERROR(IF(INDEX('Test catalog'!$O$2:$O$200,MATCH($AB902,'Test catalog'!$A$2:$A$200,0))="","",INDEX('Test catalog'!$O$2:$O$200,MATCH($AB902,'Test catalog'!$A$2:$A$200,0))),"")</f>
        <v/>
      </c>
      <c r="AB902" s="10" t="inlineStr">
        <is>
          <t>APPEAR</t>
        </is>
      </c>
      <c r="AC902" s="10" t="inlineStr">
        <is>
          <t>Lab practice (not a USP test)</t>
        </is>
      </c>
      <c r="AD902" s="10" t="n"/>
      <c r="AE902" s="10" t="n"/>
    </row>
    <row r="903">
      <c r="A903" s="10" t="inlineStr">
        <is>
          <t>Glycerine</t>
        </is>
      </c>
      <c r="B903" s="10" t="inlineStr">
        <is>
          <t>RM</t>
        </is>
      </c>
      <c r="C903" s="10" t="inlineStr">
        <is>
          <t>Plasticizer / Humectant</t>
        </is>
      </c>
      <c r="D903" s="10" t="inlineStr">
        <is>
          <t>ID B - GC</t>
        </is>
      </c>
      <c r="E903" s="10">
        <f>IF(A903="","",A903&amp;"|"&amp;D903)</f>
        <v/>
      </c>
      <c r="F903" s="5" t="inlineStr">
        <is>
          <t>Y</t>
        </is>
      </c>
      <c r="G903" s="5" t="inlineStr">
        <is>
          <t>GC</t>
        </is>
      </c>
      <c r="H903" s="5" t="inlineStr">
        <is>
          <t>Medium</t>
        </is>
      </c>
      <c r="I903" s="5" t="n">
        <v>1</v>
      </c>
      <c r="J903" s="5" t="n"/>
      <c r="K903" s="5" t="n"/>
      <c r="L903" s="5" t="n"/>
      <c r="M903" s="5" t="n"/>
      <c r="N903" s="5" t="n"/>
      <c r="O903" s="5" t="n"/>
      <c r="P903" s="14">
        <f>IF(N903="","",IF(OR(M903="",O903=""),N903,(M903+4*N903+O903)/6))</f>
        <v/>
      </c>
      <c r="Q903" s="5" t="n"/>
      <c r="R903" s="5" t="n"/>
      <c r="S903" s="5" t="n"/>
      <c r="T903" s="5" t="n"/>
      <c r="U903" s="5" t="n"/>
      <c r="V903" s="15" t="n"/>
      <c r="W903" s="5" t="inlineStr">
        <is>
          <t>N</t>
        </is>
      </c>
      <c r="X903" s="5" t="n"/>
      <c r="Y903" s="5" t="n"/>
      <c r="Z903" s="5" t="n"/>
      <c r="AA903" s="5" t="n"/>
      <c r="AB903" s="10" t="n"/>
      <c r="AC903" s="10" t="inlineStr">
        <is>
          <t>Glycerin · Identification &lt;197&gt;</t>
        </is>
      </c>
      <c r="AD903" s="10" t="n"/>
      <c r="AE903" s="10" t="n"/>
    </row>
    <row r="904">
      <c r="A904" s="10" t="inlineStr">
        <is>
          <t>Glycerine</t>
        </is>
      </c>
      <c r="B904" s="10" t="inlineStr">
        <is>
          <t>RM</t>
        </is>
      </c>
      <c r="C904" s="10" t="inlineStr">
        <is>
          <t>Plasticizer / Humectant</t>
        </is>
      </c>
      <c r="D904" s="10" t="inlineStr">
        <is>
          <t>ID A - GC</t>
        </is>
      </c>
      <c r="E904" s="10">
        <f>IF(A904="","",A904&amp;"|"&amp;D904)</f>
        <v/>
      </c>
      <c r="F904" s="5" t="inlineStr">
        <is>
          <t>Y</t>
        </is>
      </c>
      <c r="G904" s="5" t="inlineStr">
        <is>
          <t>GC</t>
        </is>
      </c>
      <c r="H904" s="5" t="inlineStr">
        <is>
          <t>Medium</t>
        </is>
      </c>
      <c r="I904" s="5" t="n">
        <v>1</v>
      </c>
      <c r="J904" s="5" t="n"/>
      <c r="K904" s="5" t="n"/>
      <c r="L904" s="5" t="n"/>
      <c r="M904" s="5" t="n"/>
      <c r="N904" s="5" t="n"/>
      <c r="O904" s="5" t="n"/>
      <c r="P904" s="14">
        <f>IF(N904="","",IF(OR(M904="",O904=""),N904,(M904+4*N904+O904)/6))</f>
        <v/>
      </c>
      <c r="Q904" s="5" t="n"/>
      <c r="R904" s="5" t="n"/>
      <c r="S904" s="5" t="n"/>
      <c r="T904" s="5" t="n"/>
      <c r="U904" s="5" t="n"/>
      <c r="V904" s="15" t="n"/>
      <c r="W904" s="5" t="inlineStr">
        <is>
          <t>N</t>
        </is>
      </c>
      <c r="X904" s="5" t="n"/>
      <c r="Y904" s="5" t="n"/>
      <c r="Z904" s="5" t="n"/>
      <c r="AA904" s="5" t="n"/>
      <c r="AB904" s="10" t="n"/>
      <c r="AC904" s="10" t="inlineStr">
        <is>
          <t>Glycerin · Identification &lt;197&gt;</t>
        </is>
      </c>
      <c r="AD904" s="10" t="n"/>
      <c r="AE904" s="10" t="n"/>
    </row>
    <row r="905">
      <c r="A905" s="10" t="inlineStr">
        <is>
          <t>Glycerine</t>
        </is>
      </c>
      <c r="B905" s="10" t="inlineStr">
        <is>
          <t>RM</t>
        </is>
      </c>
      <c r="C905" s="10" t="inlineStr">
        <is>
          <t>Plasticizer / Humectant</t>
        </is>
      </c>
      <c r="D905" s="10" t="inlineStr">
        <is>
          <t>Assay</t>
        </is>
      </c>
      <c r="E905" s="10">
        <f>IF(A905="","",A905&amp;"|"&amp;D905)</f>
        <v/>
      </c>
      <c r="F905" s="5" t="inlineStr">
        <is>
          <t>Y</t>
        </is>
      </c>
      <c r="G905" s="5" t="inlineStr">
        <is>
          <t>Other / bench</t>
        </is>
      </c>
      <c r="H905" s="5" t="inlineStr">
        <is>
          <t>Low</t>
        </is>
      </c>
      <c r="I905" s="5" t="n">
        <v>1</v>
      </c>
      <c r="J905" s="5" t="n"/>
      <c r="K905" s="10">
        <f>IFERROR(IF(INDEX('Test catalog'!$F$2:$F$200,MATCH($AB905,'Test catalog'!$A$2:$A$200,0))="","",INDEX('Test catalog'!$F$2:$F$200,MATCH($AB905,'Test catalog'!$A$2:$A$200,0))),"")</f>
        <v/>
      </c>
      <c r="L905" s="10">
        <f>IFERROR(IF(INDEX('Test catalog'!$G$2:$G$200,MATCH($AB905,'Test catalog'!$A$2:$A$200,0))="","",INDEX('Test catalog'!$G$2:$G$200,MATCH($AB905,'Test catalog'!$A$2:$A$200,0))),"")</f>
        <v/>
      </c>
      <c r="M905" s="10">
        <f>IFERROR(IF(INDEX('Test catalog'!$H$2:$H$200,MATCH($AB905,'Test catalog'!$A$2:$A$200,0))="","",INDEX('Test catalog'!$H$2:$H$200,MATCH($AB905,'Test catalog'!$A$2:$A$200,0))),"")</f>
        <v/>
      </c>
      <c r="N905" s="10">
        <f>IFERROR(IF(INDEX('Test catalog'!$I$2:$I$200,MATCH($AB905,'Test catalog'!$A$2:$A$200,0))="","",INDEX('Test catalog'!$I$2:$I$200,MATCH($AB905,'Test catalog'!$A$2:$A$200,0))),"")</f>
        <v/>
      </c>
      <c r="O905" s="10">
        <f>IFERROR(IF(INDEX('Test catalog'!$J$2:$J$200,MATCH($AB905,'Test catalog'!$A$2:$A$200,0))="","",INDEX('Test catalog'!$J$2:$J$200,MATCH($AB905,'Test catalog'!$A$2:$A$200,0))),"")</f>
        <v/>
      </c>
      <c r="P905" s="14">
        <f>IF(N905="","",IF(OR(M905="",O905=""),N905,(M905+4*N905+O905)/6))</f>
        <v/>
      </c>
      <c r="Q905" s="10">
        <f>IFERROR(IF(INDEX('Test catalog'!$K$2:$K$200,MATCH($AB905,'Test catalog'!$A$2:$A$200,0))="","",INDEX('Test catalog'!$K$2:$K$200,MATCH($AB905,'Test catalog'!$A$2:$A$200,0))),"")</f>
        <v/>
      </c>
      <c r="R905" s="5" t="n"/>
      <c r="S905" s="10">
        <f>IFERROR(IF(INDEX('Test catalog'!$L$2:$L$200,MATCH($AB905,'Test catalog'!$A$2:$A$200,0))="","",INDEX('Test catalog'!$L$2:$L$200,MATCH($AB905,'Test catalog'!$A$2:$A$200,0))),"")</f>
        <v/>
      </c>
      <c r="T905" s="10">
        <f>IFERROR(IF(INDEX('Test catalog'!$M$2:$M$200,MATCH($AB905,'Test catalog'!$A$2:$A$200,0))="","",INDEX('Test catalog'!$M$2:$M$200,MATCH($AB905,'Test catalog'!$A$2:$A$200,0))),"")</f>
        <v/>
      </c>
      <c r="U905" s="10">
        <f>IFERROR(IF(INDEX('Test catalog'!$N$2:$N$200,MATCH($AB905,'Test catalog'!$A$2:$A$200,0))="","",INDEX('Test catalog'!$N$2:$N$200,MATCH($AB905,'Test catalog'!$A$2:$A$200,0))),"")</f>
        <v/>
      </c>
      <c r="V905" s="15" t="n"/>
      <c r="W905" s="5" t="inlineStr">
        <is>
          <t>N</t>
        </is>
      </c>
      <c r="X905" s="5" t="n"/>
      <c r="Y905" s="5" t="n"/>
      <c r="Z905" s="5" t="n"/>
      <c r="AA905" s="10">
        <f>IFERROR(IF(INDEX('Test catalog'!$O$2:$O$200,MATCH($AB905,'Test catalog'!$A$2:$A$200,0))="","",INDEX('Test catalog'!$O$2:$O$200,MATCH($AB905,'Test catalog'!$A$2:$A$200,0))),"")</f>
        <v/>
      </c>
      <c r="AB905" s="10" t="inlineStr">
        <is>
          <t>TITR</t>
        </is>
      </c>
      <c r="AC905" s="10" t="inlineStr">
        <is>
          <t>Glycerin · Assay</t>
        </is>
      </c>
      <c r="AD905" s="10" t="n"/>
      <c r="AE905" s="10" t="n"/>
    </row>
    <row r="906">
      <c r="A906" s="10" t="inlineStr">
        <is>
          <t>Glycerine</t>
        </is>
      </c>
      <c r="B906" s="10" t="inlineStr">
        <is>
          <t>RM</t>
        </is>
      </c>
      <c r="C906" s="10" t="inlineStr">
        <is>
          <t>Plasticizer / Humectant</t>
        </is>
      </c>
      <c r="D906" s="10" t="inlineStr">
        <is>
          <t>Chloride and Sulfate</t>
        </is>
      </c>
      <c r="E906" s="10">
        <f>IF(A906="","",A906&amp;"|"&amp;D906)</f>
        <v/>
      </c>
      <c r="F906" s="5" t="inlineStr">
        <is>
          <t>Y</t>
        </is>
      </c>
      <c r="G906" s="5" t="inlineStr">
        <is>
          <t>Other / bench</t>
        </is>
      </c>
      <c r="H906" s="5" t="inlineStr">
        <is>
          <t>Low</t>
        </is>
      </c>
      <c r="I906" s="5" t="n">
        <v>1</v>
      </c>
      <c r="J906" s="5" t="n"/>
      <c r="K906" s="10">
        <f>IFERROR(IF(INDEX('Test catalog'!$F$2:$F$200,MATCH($AB906,'Test catalog'!$A$2:$A$200,0))="","",INDEX('Test catalog'!$F$2:$F$200,MATCH($AB906,'Test catalog'!$A$2:$A$200,0))),"")</f>
        <v/>
      </c>
      <c r="L906" s="10">
        <f>IFERROR(IF(INDEX('Test catalog'!$G$2:$G$200,MATCH($AB906,'Test catalog'!$A$2:$A$200,0))="","",INDEX('Test catalog'!$G$2:$G$200,MATCH($AB906,'Test catalog'!$A$2:$A$200,0))),"")</f>
        <v/>
      </c>
      <c r="M906" s="10">
        <f>IFERROR(IF(INDEX('Test catalog'!$H$2:$H$200,MATCH($AB906,'Test catalog'!$A$2:$A$200,0))="","",INDEX('Test catalog'!$H$2:$H$200,MATCH($AB906,'Test catalog'!$A$2:$A$200,0))),"")</f>
        <v/>
      </c>
      <c r="N906" s="10">
        <f>IFERROR(IF(INDEX('Test catalog'!$I$2:$I$200,MATCH($AB906,'Test catalog'!$A$2:$A$200,0))="","",INDEX('Test catalog'!$I$2:$I$200,MATCH($AB906,'Test catalog'!$A$2:$A$200,0))),"")</f>
        <v/>
      </c>
      <c r="O906" s="10">
        <f>IFERROR(IF(INDEX('Test catalog'!$J$2:$J$200,MATCH($AB906,'Test catalog'!$A$2:$A$200,0))="","",INDEX('Test catalog'!$J$2:$J$200,MATCH($AB906,'Test catalog'!$A$2:$A$200,0))),"")</f>
        <v/>
      </c>
      <c r="P906" s="14">
        <f>IF(N906="","",IF(OR(M906="",O906=""),N906,(M906+4*N906+O906)/6))</f>
        <v/>
      </c>
      <c r="Q906" s="10">
        <f>IFERROR(IF(INDEX('Test catalog'!$K$2:$K$200,MATCH($AB906,'Test catalog'!$A$2:$A$200,0))="","",INDEX('Test catalog'!$K$2:$K$200,MATCH($AB906,'Test catalog'!$A$2:$A$200,0))),"")</f>
        <v/>
      </c>
      <c r="R906" s="5" t="n"/>
      <c r="S906" s="10">
        <f>IFERROR(IF(INDEX('Test catalog'!$L$2:$L$200,MATCH($AB906,'Test catalog'!$A$2:$A$200,0))="","",INDEX('Test catalog'!$L$2:$L$200,MATCH($AB906,'Test catalog'!$A$2:$A$200,0))),"")</f>
        <v/>
      </c>
      <c r="T906" s="10">
        <f>IFERROR(IF(INDEX('Test catalog'!$M$2:$M$200,MATCH($AB906,'Test catalog'!$A$2:$A$200,0))="","",INDEX('Test catalog'!$M$2:$M$200,MATCH($AB906,'Test catalog'!$A$2:$A$200,0))),"")</f>
        <v/>
      </c>
      <c r="U906" s="10">
        <f>IFERROR(IF(INDEX('Test catalog'!$N$2:$N$200,MATCH($AB906,'Test catalog'!$A$2:$A$200,0))="","",INDEX('Test catalog'!$N$2:$N$200,MATCH($AB906,'Test catalog'!$A$2:$A$200,0))),"")</f>
        <v/>
      </c>
      <c r="V906" s="15" t="n"/>
      <c r="W906" s="5" t="inlineStr">
        <is>
          <t>N</t>
        </is>
      </c>
      <c r="X906" s="5" t="n"/>
      <c r="Y906" s="5" t="n"/>
      <c r="Z906" s="5" t="n"/>
      <c r="AA906" s="10">
        <f>IFERROR(IF(INDEX('Test catalog'!$O$2:$O$200,MATCH($AB906,'Test catalog'!$A$2:$A$200,0))="","",INDEX('Test catalog'!$O$2:$O$200,MATCH($AB906,'Test catalog'!$A$2:$A$200,0))),"")</f>
        <v/>
      </c>
      <c r="AB906" s="10" t="inlineStr">
        <is>
          <t>LIMIT</t>
        </is>
      </c>
      <c r="AC906" s="10" t="inlineStr">
        <is>
          <t>Glycerin · Impurities &lt;221&gt;</t>
        </is>
      </c>
      <c r="AD906" s="10" t="n"/>
      <c r="AE906" s="10" t="n"/>
    </row>
    <row r="907">
      <c r="A907" s="10" t="inlineStr">
        <is>
          <t>Glycerine</t>
        </is>
      </c>
      <c r="B907" s="10" t="inlineStr">
        <is>
          <t>RM</t>
        </is>
      </c>
      <c r="C907" s="10" t="inlineStr">
        <is>
          <t>Plasticizer / Humectant</t>
        </is>
      </c>
      <c r="D907" s="10" t="inlineStr">
        <is>
          <t>Residue on Ignition</t>
        </is>
      </c>
      <c r="E907" s="10">
        <f>IF(A907="","",A907&amp;"|"&amp;D907)</f>
        <v/>
      </c>
      <c r="F907" s="5" t="inlineStr">
        <is>
          <t>Y</t>
        </is>
      </c>
      <c r="G907" s="5" t="inlineStr">
        <is>
          <t>Other / bench</t>
        </is>
      </c>
      <c r="H907" s="5" t="inlineStr">
        <is>
          <t>Low</t>
        </is>
      </c>
      <c r="I907" s="5" t="n">
        <v>1</v>
      </c>
      <c r="J907" s="5" t="n"/>
      <c r="K907" s="10">
        <f>IFERROR(IF(INDEX('Test catalog'!$F$2:$F$200,MATCH($AB907,'Test catalog'!$A$2:$A$200,0))="","",INDEX('Test catalog'!$F$2:$F$200,MATCH($AB907,'Test catalog'!$A$2:$A$200,0))),"")</f>
        <v/>
      </c>
      <c r="L907" s="10">
        <f>IFERROR(IF(INDEX('Test catalog'!$G$2:$G$200,MATCH($AB907,'Test catalog'!$A$2:$A$200,0))="","",INDEX('Test catalog'!$G$2:$G$200,MATCH($AB907,'Test catalog'!$A$2:$A$200,0))),"")</f>
        <v/>
      </c>
      <c r="M907" s="10">
        <f>IFERROR(IF(INDEX('Test catalog'!$H$2:$H$200,MATCH($AB907,'Test catalog'!$A$2:$A$200,0))="","",INDEX('Test catalog'!$H$2:$H$200,MATCH($AB907,'Test catalog'!$A$2:$A$200,0))),"")</f>
        <v/>
      </c>
      <c r="N907" s="10">
        <f>IFERROR(IF(INDEX('Test catalog'!$I$2:$I$200,MATCH($AB907,'Test catalog'!$A$2:$A$200,0))="","",INDEX('Test catalog'!$I$2:$I$200,MATCH($AB907,'Test catalog'!$A$2:$A$200,0))),"")</f>
        <v/>
      </c>
      <c r="O907" s="10">
        <f>IFERROR(IF(INDEX('Test catalog'!$J$2:$J$200,MATCH($AB907,'Test catalog'!$A$2:$A$200,0))="","",INDEX('Test catalog'!$J$2:$J$200,MATCH($AB907,'Test catalog'!$A$2:$A$200,0))),"")</f>
        <v/>
      </c>
      <c r="P907" s="14">
        <f>IF(N907="","",IF(OR(M907="",O907=""),N907,(M907+4*N907+O907)/6))</f>
        <v/>
      </c>
      <c r="Q907" s="10">
        <f>IFERROR(IF(INDEX('Test catalog'!$K$2:$K$200,MATCH($AB907,'Test catalog'!$A$2:$A$200,0))="","",INDEX('Test catalog'!$K$2:$K$200,MATCH($AB907,'Test catalog'!$A$2:$A$200,0))),"")</f>
        <v/>
      </c>
      <c r="R907" s="5" t="n"/>
      <c r="S907" s="10">
        <f>IFERROR(IF(INDEX('Test catalog'!$L$2:$L$200,MATCH($AB907,'Test catalog'!$A$2:$A$200,0))="","",INDEX('Test catalog'!$L$2:$L$200,MATCH($AB907,'Test catalog'!$A$2:$A$200,0))),"")</f>
        <v/>
      </c>
      <c r="T907" s="10">
        <f>IFERROR(IF(INDEX('Test catalog'!$M$2:$M$200,MATCH($AB907,'Test catalog'!$A$2:$A$200,0))="","",INDEX('Test catalog'!$M$2:$M$200,MATCH($AB907,'Test catalog'!$A$2:$A$200,0))),"")</f>
        <v/>
      </c>
      <c r="U907" s="10">
        <f>IFERROR(IF(INDEX('Test catalog'!$N$2:$N$200,MATCH($AB907,'Test catalog'!$A$2:$A$200,0))="","",INDEX('Test catalog'!$N$2:$N$200,MATCH($AB907,'Test catalog'!$A$2:$A$200,0))),"")</f>
        <v/>
      </c>
      <c r="V907" s="15" t="n"/>
      <c r="W907" s="5" t="inlineStr">
        <is>
          <t>N</t>
        </is>
      </c>
      <c r="X907" s="5" t="n"/>
      <c r="Y907" s="5" t="n"/>
      <c r="Z907" s="5" t="n"/>
      <c r="AA907" s="10">
        <f>IFERROR(IF(INDEX('Test catalog'!$O$2:$O$200,MATCH($AB907,'Test catalog'!$A$2:$A$200,0))="","",INDEX('Test catalog'!$O$2:$O$200,MATCH($AB907,'Test catalog'!$A$2:$A$200,0))),"")</f>
        <v/>
      </c>
      <c r="AB907" s="10" t="inlineStr">
        <is>
          <t>ROI</t>
        </is>
      </c>
      <c r="AC907" s="10" t="inlineStr">
        <is>
          <t>Glycerin · Impurities &lt;281&gt;</t>
        </is>
      </c>
      <c r="AD907" s="10" t="n"/>
      <c r="AE907" s="10" t="n"/>
    </row>
    <row r="908">
      <c r="A908" s="10" t="inlineStr">
        <is>
          <t>Glycerine</t>
        </is>
      </c>
      <c r="B908" s="10" t="inlineStr">
        <is>
          <t>RM</t>
        </is>
      </c>
      <c r="C908" s="10" t="inlineStr">
        <is>
          <t>Plasticizer / Humectant</t>
        </is>
      </c>
      <c r="D908" s="10" t="inlineStr">
        <is>
          <t>Procedure 1 (GC)</t>
        </is>
      </c>
      <c r="E908" s="10">
        <f>IF(A908="","",A908&amp;"|"&amp;D908)</f>
        <v/>
      </c>
      <c r="F908" s="5" t="inlineStr">
        <is>
          <t>Y</t>
        </is>
      </c>
      <c r="G908" s="5" t="inlineStr">
        <is>
          <t>GC</t>
        </is>
      </c>
      <c r="H908" s="5" t="inlineStr">
        <is>
          <t>Medium</t>
        </is>
      </c>
      <c r="I908" s="5" t="n">
        <v>1</v>
      </c>
      <c r="J908" s="5" t="n"/>
      <c r="K908" s="5" t="n"/>
      <c r="L908" s="5" t="n"/>
      <c r="M908" s="5" t="n"/>
      <c r="N908" s="5" t="n"/>
      <c r="O908" s="5" t="n"/>
      <c r="P908" s="14">
        <f>IF(N908="","",IF(OR(M908="",O908=""),N908,(M908+4*N908+O908)/6))</f>
        <v/>
      </c>
      <c r="Q908" s="5" t="n"/>
      <c r="R908" s="5" t="n"/>
      <c r="S908" s="5" t="n"/>
      <c r="T908" s="5" t="n"/>
      <c r="U908" s="5" t="n"/>
      <c r="V908" s="15" t="n"/>
      <c r="W908" s="5" t="inlineStr">
        <is>
          <t>N</t>
        </is>
      </c>
      <c r="X908" s="5" t="n"/>
      <c r="Y908" s="5" t="n"/>
      <c r="Z908" s="5" t="n"/>
      <c r="AA908" s="5" t="n"/>
      <c r="AB908" s="10" t="n"/>
      <c r="AC908" s="10" t="inlineStr">
        <is>
          <t>Glycerin · Impurities &lt;621&gt;</t>
        </is>
      </c>
      <c r="AD908" s="10" t="n"/>
      <c r="AE908" s="10" t="n"/>
    </row>
    <row r="909">
      <c r="A909" s="10" t="inlineStr">
        <is>
          <t>Glycerine</t>
        </is>
      </c>
      <c r="B909" s="10" t="inlineStr">
        <is>
          <t>RM</t>
        </is>
      </c>
      <c r="C909" s="10" t="inlineStr">
        <is>
          <t>Plasticizer / Humectant</t>
        </is>
      </c>
      <c r="D909" s="10" t="inlineStr">
        <is>
          <t>Procedure 2</t>
        </is>
      </c>
      <c r="E909" s="10">
        <f>IF(A909="","",A909&amp;"|"&amp;D909)</f>
        <v/>
      </c>
      <c r="F909" s="5" t="inlineStr">
        <is>
          <t>Y</t>
        </is>
      </c>
      <c r="G909" s="5" t="inlineStr">
        <is>
          <t>Other / bench</t>
        </is>
      </c>
      <c r="H909" s="5" t="inlineStr">
        <is>
          <t>Low</t>
        </is>
      </c>
      <c r="I909" s="5" t="n">
        <v>1</v>
      </c>
      <c r="J909" s="5" t="n"/>
      <c r="K909" s="10">
        <f>IFERROR(IF(INDEX('Test catalog'!$F$2:$F$200,MATCH($AB909,'Test catalog'!$A$2:$A$200,0))="","",INDEX('Test catalog'!$F$2:$F$200,MATCH($AB909,'Test catalog'!$A$2:$A$200,0))),"")</f>
        <v/>
      </c>
      <c r="L909" s="10">
        <f>IFERROR(IF(INDEX('Test catalog'!$G$2:$G$200,MATCH($AB909,'Test catalog'!$A$2:$A$200,0))="","",INDEX('Test catalog'!$G$2:$G$200,MATCH($AB909,'Test catalog'!$A$2:$A$200,0))),"")</f>
        <v/>
      </c>
      <c r="M909" s="10">
        <f>IFERROR(IF(INDEX('Test catalog'!$H$2:$H$200,MATCH($AB909,'Test catalog'!$A$2:$A$200,0))="","",INDEX('Test catalog'!$H$2:$H$200,MATCH($AB909,'Test catalog'!$A$2:$A$200,0))),"")</f>
        <v/>
      </c>
      <c r="N909" s="10">
        <f>IFERROR(IF(INDEX('Test catalog'!$I$2:$I$200,MATCH($AB909,'Test catalog'!$A$2:$A$200,0))="","",INDEX('Test catalog'!$I$2:$I$200,MATCH($AB909,'Test catalog'!$A$2:$A$200,0))),"")</f>
        <v/>
      </c>
      <c r="O909" s="10">
        <f>IFERROR(IF(INDEX('Test catalog'!$J$2:$J$200,MATCH($AB909,'Test catalog'!$A$2:$A$200,0))="","",INDEX('Test catalog'!$J$2:$J$200,MATCH($AB909,'Test catalog'!$A$2:$A$200,0))),"")</f>
        <v/>
      </c>
      <c r="P909" s="14">
        <f>IF(N909="","",IF(OR(M909="",O909=""),N909,(M909+4*N909+O909)/6))</f>
        <v/>
      </c>
      <c r="Q909" s="10">
        <f>IFERROR(IF(INDEX('Test catalog'!$K$2:$K$200,MATCH($AB909,'Test catalog'!$A$2:$A$200,0))="","",INDEX('Test catalog'!$K$2:$K$200,MATCH($AB909,'Test catalog'!$A$2:$A$200,0))),"")</f>
        <v/>
      </c>
      <c r="R909" s="5" t="n"/>
      <c r="S909" s="10">
        <f>IFERROR(IF(INDEX('Test catalog'!$L$2:$L$200,MATCH($AB909,'Test catalog'!$A$2:$A$200,0))="","",INDEX('Test catalog'!$L$2:$L$200,MATCH($AB909,'Test catalog'!$A$2:$A$200,0))),"")</f>
        <v/>
      </c>
      <c r="T909" s="10">
        <f>IFERROR(IF(INDEX('Test catalog'!$M$2:$M$200,MATCH($AB909,'Test catalog'!$A$2:$A$200,0))="","",INDEX('Test catalog'!$M$2:$M$200,MATCH($AB909,'Test catalog'!$A$2:$A$200,0))),"")</f>
        <v/>
      </c>
      <c r="U909" s="10">
        <f>IFERROR(IF(INDEX('Test catalog'!$N$2:$N$200,MATCH($AB909,'Test catalog'!$A$2:$A$200,0))="","",INDEX('Test catalog'!$N$2:$N$200,MATCH($AB909,'Test catalog'!$A$2:$A$200,0))),"")</f>
        <v/>
      </c>
      <c r="V909" s="15" t="n"/>
      <c r="W909" s="5" t="inlineStr">
        <is>
          <t>N</t>
        </is>
      </c>
      <c r="X909" s="5" t="n"/>
      <c r="Y909" s="5" t="n"/>
      <c r="Z909" s="5" t="n"/>
      <c r="AA909" s="10">
        <f>IFERROR(IF(INDEX('Test catalog'!$O$2:$O$200,MATCH($AB909,'Test catalog'!$A$2:$A$200,0))="","",INDEX('Test catalog'!$O$2:$O$200,MATCH($AB909,'Test catalog'!$A$2:$A$200,0))),"")</f>
        <v/>
      </c>
      <c r="AB909" s="10" t="inlineStr">
        <is>
          <t>LIMIT</t>
        </is>
      </c>
      <c r="AC909" s="10" t="inlineStr">
        <is>
          <t>Glycerin · Impurities</t>
        </is>
      </c>
      <c r="AD909" s="10" t="n"/>
      <c r="AE909" s="10" t="n"/>
    </row>
    <row r="910">
      <c r="A910" s="10" t="inlineStr">
        <is>
          <t>Glycerine</t>
        </is>
      </c>
      <c r="B910" s="10" t="inlineStr">
        <is>
          <t>RM</t>
        </is>
      </c>
      <c r="C910" s="10" t="inlineStr">
        <is>
          <t>Plasticizer / Humectant</t>
        </is>
      </c>
      <c r="D910" s="10" t="inlineStr">
        <is>
          <t>Procedure 3</t>
        </is>
      </c>
      <c r="E910" s="10">
        <f>IF(A910="","",A910&amp;"|"&amp;D910)</f>
        <v/>
      </c>
      <c r="F910" s="5" t="inlineStr">
        <is>
          <t>Y</t>
        </is>
      </c>
      <c r="G910" s="5" t="inlineStr">
        <is>
          <t>Other / bench</t>
        </is>
      </c>
      <c r="H910" s="5" t="inlineStr">
        <is>
          <t>Low</t>
        </is>
      </c>
      <c r="I910" s="5" t="n">
        <v>1</v>
      </c>
      <c r="J910" s="5" t="n"/>
      <c r="K910" s="10">
        <f>IFERROR(IF(INDEX('Test catalog'!$F$2:$F$200,MATCH($AB910,'Test catalog'!$A$2:$A$200,0))="","",INDEX('Test catalog'!$F$2:$F$200,MATCH($AB910,'Test catalog'!$A$2:$A$200,0))),"")</f>
        <v/>
      </c>
      <c r="L910" s="10">
        <f>IFERROR(IF(INDEX('Test catalog'!$G$2:$G$200,MATCH($AB910,'Test catalog'!$A$2:$A$200,0))="","",INDEX('Test catalog'!$G$2:$G$200,MATCH($AB910,'Test catalog'!$A$2:$A$200,0))),"")</f>
        <v/>
      </c>
      <c r="M910" s="10">
        <f>IFERROR(IF(INDEX('Test catalog'!$H$2:$H$200,MATCH($AB910,'Test catalog'!$A$2:$A$200,0))="","",INDEX('Test catalog'!$H$2:$H$200,MATCH($AB910,'Test catalog'!$A$2:$A$200,0))),"")</f>
        <v/>
      </c>
      <c r="N910" s="10">
        <f>IFERROR(IF(INDEX('Test catalog'!$I$2:$I$200,MATCH($AB910,'Test catalog'!$A$2:$A$200,0))="","",INDEX('Test catalog'!$I$2:$I$200,MATCH($AB910,'Test catalog'!$A$2:$A$200,0))),"")</f>
        <v/>
      </c>
      <c r="O910" s="10">
        <f>IFERROR(IF(INDEX('Test catalog'!$J$2:$J$200,MATCH($AB910,'Test catalog'!$A$2:$A$200,0))="","",INDEX('Test catalog'!$J$2:$J$200,MATCH($AB910,'Test catalog'!$A$2:$A$200,0))),"")</f>
        <v/>
      </c>
      <c r="P910" s="14">
        <f>IF(N910="","",IF(OR(M910="",O910=""),N910,(M910+4*N910+O910)/6))</f>
        <v/>
      </c>
      <c r="Q910" s="10">
        <f>IFERROR(IF(INDEX('Test catalog'!$K$2:$K$200,MATCH($AB910,'Test catalog'!$A$2:$A$200,0))="","",INDEX('Test catalog'!$K$2:$K$200,MATCH($AB910,'Test catalog'!$A$2:$A$200,0))),"")</f>
        <v/>
      </c>
      <c r="R910" s="5" t="n"/>
      <c r="S910" s="10">
        <f>IFERROR(IF(INDEX('Test catalog'!$L$2:$L$200,MATCH($AB910,'Test catalog'!$A$2:$A$200,0))="","",INDEX('Test catalog'!$L$2:$L$200,MATCH($AB910,'Test catalog'!$A$2:$A$200,0))),"")</f>
        <v/>
      </c>
      <c r="T910" s="10">
        <f>IFERROR(IF(INDEX('Test catalog'!$M$2:$M$200,MATCH($AB910,'Test catalog'!$A$2:$A$200,0))="","",INDEX('Test catalog'!$M$2:$M$200,MATCH($AB910,'Test catalog'!$A$2:$A$200,0))),"")</f>
        <v/>
      </c>
      <c r="U910" s="10">
        <f>IFERROR(IF(INDEX('Test catalog'!$N$2:$N$200,MATCH($AB910,'Test catalog'!$A$2:$A$200,0))="","",INDEX('Test catalog'!$N$2:$N$200,MATCH($AB910,'Test catalog'!$A$2:$A$200,0))),"")</f>
        <v/>
      </c>
      <c r="V910" s="15" t="n"/>
      <c r="W910" s="5" t="inlineStr">
        <is>
          <t>N</t>
        </is>
      </c>
      <c r="X910" s="5" t="n"/>
      <c r="Y910" s="5" t="n"/>
      <c r="Z910" s="5" t="n"/>
      <c r="AA910" s="10">
        <f>IFERROR(IF(INDEX('Test catalog'!$O$2:$O$200,MATCH($AB910,'Test catalog'!$A$2:$A$200,0))="","",INDEX('Test catalog'!$O$2:$O$200,MATCH($AB910,'Test catalog'!$A$2:$A$200,0))),"")</f>
        <v/>
      </c>
      <c r="AB910" s="10" t="inlineStr">
        <is>
          <t>TITR</t>
        </is>
      </c>
      <c r="AC910" s="10" t="inlineStr">
        <is>
          <t>Glycerin · Impurities &lt;541&gt;</t>
        </is>
      </c>
      <c r="AD910" s="10" t="n"/>
      <c r="AE910" s="10" t="n"/>
    </row>
    <row r="911">
      <c r="A911" s="10" t="inlineStr">
        <is>
          <t>Glycerine</t>
        </is>
      </c>
      <c r="B911" s="10" t="inlineStr">
        <is>
          <t>RM</t>
        </is>
      </c>
      <c r="C911" s="10" t="inlineStr">
        <is>
          <t>Plasticizer / Humectant</t>
        </is>
      </c>
      <c r="D911" s="10" t="inlineStr">
        <is>
          <t>Color</t>
        </is>
      </c>
      <c r="E911" s="10">
        <f>IF(A911="","",A911&amp;"|"&amp;D911)</f>
        <v/>
      </c>
      <c r="F911" s="5" t="inlineStr">
        <is>
          <t>Y</t>
        </is>
      </c>
      <c r="G911" s="5" t="inlineStr">
        <is>
          <t>Other / bench</t>
        </is>
      </c>
      <c r="H911" s="5" t="inlineStr">
        <is>
          <t>Low</t>
        </is>
      </c>
      <c r="I911" s="5" t="n">
        <v>1</v>
      </c>
      <c r="J911" s="5" t="n"/>
      <c r="K911" s="10">
        <f>IFERROR(IF(INDEX('Test catalog'!$F$2:$F$200,MATCH($AB911,'Test catalog'!$A$2:$A$200,0))="","",INDEX('Test catalog'!$F$2:$F$200,MATCH($AB911,'Test catalog'!$A$2:$A$200,0))),"")</f>
        <v/>
      </c>
      <c r="L911" s="10">
        <f>IFERROR(IF(INDEX('Test catalog'!$G$2:$G$200,MATCH($AB911,'Test catalog'!$A$2:$A$200,0))="","",INDEX('Test catalog'!$G$2:$G$200,MATCH($AB911,'Test catalog'!$A$2:$A$200,0))),"")</f>
        <v/>
      </c>
      <c r="M911" s="10">
        <f>IFERROR(IF(INDEX('Test catalog'!$H$2:$H$200,MATCH($AB911,'Test catalog'!$A$2:$A$200,0))="","",INDEX('Test catalog'!$H$2:$H$200,MATCH($AB911,'Test catalog'!$A$2:$A$200,0))),"")</f>
        <v/>
      </c>
      <c r="N911" s="10">
        <f>IFERROR(IF(INDEX('Test catalog'!$I$2:$I$200,MATCH($AB911,'Test catalog'!$A$2:$A$200,0))="","",INDEX('Test catalog'!$I$2:$I$200,MATCH($AB911,'Test catalog'!$A$2:$A$200,0))),"")</f>
        <v/>
      </c>
      <c r="O911" s="10">
        <f>IFERROR(IF(INDEX('Test catalog'!$J$2:$J$200,MATCH($AB911,'Test catalog'!$A$2:$A$200,0))="","",INDEX('Test catalog'!$J$2:$J$200,MATCH($AB911,'Test catalog'!$A$2:$A$200,0))),"")</f>
        <v/>
      </c>
      <c r="P911" s="14">
        <f>IF(N911="","",IF(OR(M911="",O911=""),N911,(M911+4*N911+O911)/6))</f>
        <v/>
      </c>
      <c r="Q911" s="10">
        <f>IFERROR(IF(INDEX('Test catalog'!$K$2:$K$200,MATCH($AB911,'Test catalog'!$A$2:$A$200,0))="","",INDEX('Test catalog'!$K$2:$K$200,MATCH($AB911,'Test catalog'!$A$2:$A$200,0))),"")</f>
        <v/>
      </c>
      <c r="R911" s="5" t="n"/>
      <c r="S911" s="10">
        <f>IFERROR(IF(INDEX('Test catalog'!$L$2:$L$200,MATCH($AB911,'Test catalog'!$A$2:$A$200,0))="","",INDEX('Test catalog'!$L$2:$L$200,MATCH($AB911,'Test catalog'!$A$2:$A$200,0))),"")</f>
        <v/>
      </c>
      <c r="T911" s="10">
        <f>IFERROR(IF(INDEX('Test catalog'!$M$2:$M$200,MATCH($AB911,'Test catalog'!$A$2:$A$200,0))="","",INDEX('Test catalog'!$M$2:$M$200,MATCH($AB911,'Test catalog'!$A$2:$A$200,0))),"")</f>
        <v/>
      </c>
      <c r="U911" s="10">
        <f>IFERROR(IF(INDEX('Test catalog'!$N$2:$N$200,MATCH($AB911,'Test catalog'!$A$2:$A$200,0))="","",INDEX('Test catalog'!$N$2:$N$200,MATCH($AB911,'Test catalog'!$A$2:$A$200,0))),"")</f>
        <v/>
      </c>
      <c r="V911" s="15" t="n"/>
      <c r="W911" s="5" t="inlineStr">
        <is>
          <t>N</t>
        </is>
      </c>
      <c r="X911" s="5" t="n"/>
      <c r="Y911" s="5" t="n"/>
      <c r="Z911" s="5" t="n"/>
      <c r="AA911" s="10">
        <f>IFERROR(IF(INDEX('Test catalog'!$O$2:$O$200,MATCH($AB911,'Test catalog'!$A$2:$A$200,0))="","",INDEX('Test catalog'!$O$2:$O$200,MATCH($AB911,'Test catalog'!$A$2:$A$200,0))),"")</f>
        <v/>
      </c>
      <c r="AB911" s="10" t="inlineStr">
        <is>
          <t>LIMIT</t>
        </is>
      </c>
      <c r="AC911" s="10" t="inlineStr">
        <is>
          <t>Glycerin · Specific Tests</t>
        </is>
      </c>
      <c r="AD911" s="10" t="n"/>
      <c r="AE911" s="10" t="n"/>
    </row>
    <row r="912">
      <c r="A912" s="10" t="inlineStr">
        <is>
          <t>Glycerine</t>
        </is>
      </c>
      <c r="B912" s="10" t="inlineStr">
        <is>
          <t>RM</t>
        </is>
      </c>
      <c r="C912" s="10" t="inlineStr">
        <is>
          <t>Plasticizer / Humectant</t>
        </is>
      </c>
      <c r="D912" s="10" t="inlineStr">
        <is>
          <t>Specific Gravity</t>
        </is>
      </c>
      <c r="E912" s="10">
        <f>IF(A912="","",A912&amp;"|"&amp;D912)</f>
        <v/>
      </c>
      <c r="F912" s="5" t="inlineStr">
        <is>
          <t>Y</t>
        </is>
      </c>
      <c r="G912" s="5" t="inlineStr">
        <is>
          <t>Other / bench</t>
        </is>
      </c>
      <c r="H912" s="5" t="inlineStr">
        <is>
          <t>Low</t>
        </is>
      </c>
      <c r="I912" s="5" t="n">
        <v>1</v>
      </c>
      <c r="J912" s="5" t="n"/>
      <c r="K912" s="10">
        <f>IFERROR(IF(INDEX('Test catalog'!$F$2:$F$200,MATCH($AB912,'Test catalog'!$A$2:$A$200,0))="","",INDEX('Test catalog'!$F$2:$F$200,MATCH($AB912,'Test catalog'!$A$2:$A$200,0))),"")</f>
        <v/>
      </c>
      <c r="L912" s="10">
        <f>IFERROR(IF(INDEX('Test catalog'!$G$2:$G$200,MATCH($AB912,'Test catalog'!$A$2:$A$200,0))="","",INDEX('Test catalog'!$G$2:$G$200,MATCH($AB912,'Test catalog'!$A$2:$A$200,0))),"")</f>
        <v/>
      </c>
      <c r="M912" s="10">
        <f>IFERROR(IF(INDEX('Test catalog'!$H$2:$H$200,MATCH($AB912,'Test catalog'!$A$2:$A$200,0))="","",INDEX('Test catalog'!$H$2:$H$200,MATCH($AB912,'Test catalog'!$A$2:$A$200,0))),"")</f>
        <v/>
      </c>
      <c r="N912" s="10">
        <f>IFERROR(IF(INDEX('Test catalog'!$I$2:$I$200,MATCH($AB912,'Test catalog'!$A$2:$A$200,0))="","",INDEX('Test catalog'!$I$2:$I$200,MATCH($AB912,'Test catalog'!$A$2:$A$200,0))),"")</f>
        <v/>
      </c>
      <c r="O912" s="10">
        <f>IFERROR(IF(INDEX('Test catalog'!$J$2:$J$200,MATCH($AB912,'Test catalog'!$A$2:$A$200,0))="","",INDEX('Test catalog'!$J$2:$J$200,MATCH($AB912,'Test catalog'!$A$2:$A$200,0))),"")</f>
        <v/>
      </c>
      <c r="P912" s="14">
        <f>IF(N912="","",IF(OR(M912="",O912=""),N912,(M912+4*N912+O912)/6))</f>
        <v/>
      </c>
      <c r="Q912" s="10">
        <f>IFERROR(IF(INDEX('Test catalog'!$K$2:$K$200,MATCH($AB912,'Test catalog'!$A$2:$A$200,0))="","",INDEX('Test catalog'!$K$2:$K$200,MATCH($AB912,'Test catalog'!$A$2:$A$200,0))),"")</f>
        <v/>
      </c>
      <c r="R912" s="5" t="n"/>
      <c r="S912" s="10">
        <f>IFERROR(IF(INDEX('Test catalog'!$L$2:$L$200,MATCH($AB912,'Test catalog'!$A$2:$A$200,0))="","",INDEX('Test catalog'!$L$2:$L$200,MATCH($AB912,'Test catalog'!$A$2:$A$200,0))),"")</f>
        <v/>
      </c>
      <c r="T912" s="10">
        <f>IFERROR(IF(INDEX('Test catalog'!$M$2:$M$200,MATCH($AB912,'Test catalog'!$A$2:$A$200,0))="","",INDEX('Test catalog'!$M$2:$M$200,MATCH($AB912,'Test catalog'!$A$2:$A$200,0))),"")</f>
        <v/>
      </c>
      <c r="U912" s="10">
        <f>IFERROR(IF(INDEX('Test catalog'!$N$2:$N$200,MATCH($AB912,'Test catalog'!$A$2:$A$200,0))="","",INDEX('Test catalog'!$N$2:$N$200,MATCH($AB912,'Test catalog'!$A$2:$A$200,0))),"")</f>
        <v/>
      </c>
      <c r="V912" s="15" t="n"/>
      <c r="W912" s="5" t="inlineStr">
        <is>
          <t>N</t>
        </is>
      </c>
      <c r="X912" s="5" t="n"/>
      <c r="Y912" s="5" t="n"/>
      <c r="Z912" s="5" t="n"/>
      <c r="AA912" s="10">
        <f>IFERROR(IF(INDEX('Test catalog'!$O$2:$O$200,MATCH($AB912,'Test catalog'!$A$2:$A$200,0))="","",INDEX('Test catalog'!$O$2:$O$200,MATCH($AB912,'Test catalog'!$A$2:$A$200,0))),"")</f>
        <v/>
      </c>
      <c r="AB912" s="10" t="inlineStr">
        <is>
          <t>SG</t>
        </is>
      </c>
      <c r="AC912" s="10" t="inlineStr">
        <is>
          <t>Glycerin · Specific Tests &lt;841&gt;</t>
        </is>
      </c>
      <c r="AD912" s="10" t="n"/>
      <c r="AE912" s="10" t="n"/>
    </row>
    <row r="913">
      <c r="A913" s="10" t="inlineStr">
        <is>
          <t>Glycerine</t>
        </is>
      </c>
      <c r="B913" s="10" t="inlineStr">
        <is>
          <t>RM</t>
        </is>
      </c>
      <c r="C913" s="10" t="inlineStr">
        <is>
          <t>Plasticizer / Humectant</t>
        </is>
      </c>
      <c r="D913" s="10" t="inlineStr">
        <is>
          <t>Water Determination, Method I</t>
        </is>
      </c>
      <c r="E913" s="10">
        <f>IF(A913="","",A913&amp;"|"&amp;D913)</f>
        <v/>
      </c>
      <c r="F913" s="5" t="inlineStr">
        <is>
          <t>Y</t>
        </is>
      </c>
      <c r="G913" s="5" t="inlineStr">
        <is>
          <t>KF titrator</t>
        </is>
      </c>
      <c r="H913" s="5" t="inlineStr">
        <is>
          <t>Low</t>
        </is>
      </c>
      <c r="I913" s="5" t="n">
        <v>1</v>
      </c>
      <c r="J913" s="5" t="n"/>
      <c r="K913" s="10">
        <f>IFERROR(IF(INDEX('Test catalog'!$F$2:$F$200,MATCH($AB913,'Test catalog'!$A$2:$A$200,0))="","",INDEX('Test catalog'!$F$2:$F$200,MATCH($AB913,'Test catalog'!$A$2:$A$200,0))),"")</f>
        <v/>
      </c>
      <c r="L913" s="10">
        <f>IFERROR(IF(INDEX('Test catalog'!$G$2:$G$200,MATCH($AB913,'Test catalog'!$A$2:$A$200,0))="","",INDEX('Test catalog'!$G$2:$G$200,MATCH($AB913,'Test catalog'!$A$2:$A$200,0))),"")</f>
        <v/>
      </c>
      <c r="M913" s="10">
        <f>IFERROR(IF(INDEX('Test catalog'!$H$2:$H$200,MATCH($AB913,'Test catalog'!$A$2:$A$200,0))="","",INDEX('Test catalog'!$H$2:$H$200,MATCH($AB913,'Test catalog'!$A$2:$A$200,0))),"")</f>
        <v/>
      </c>
      <c r="N913" s="10">
        <f>IFERROR(IF(INDEX('Test catalog'!$I$2:$I$200,MATCH($AB913,'Test catalog'!$A$2:$A$200,0))="","",INDEX('Test catalog'!$I$2:$I$200,MATCH($AB913,'Test catalog'!$A$2:$A$200,0))),"")</f>
        <v/>
      </c>
      <c r="O913" s="10">
        <f>IFERROR(IF(INDEX('Test catalog'!$J$2:$J$200,MATCH($AB913,'Test catalog'!$A$2:$A$200,0))="","",INDEX('Test catalog'!$J$2:$J$200,MATCH($AB913,'Test catalog'!$A$2:$A$200,0))),"")</f>
        <v/>
      </c>
      <c r="P913" s="14">
        <f>IF(N913="","",IF(OR(M913="",O913=""),N913,(M913+4*N913+O913)/6))</f>
        <v/>
      </c>
      <c r="Q913" s="10">
        <f>IFERROR(IF(INDEX('Test catalog'!$K$2:$K$200,MATCH($AB913,'Test catalog'!$A$2:$A$200,0))="","",INDEX('Test catalog'!$K$2:$K$200,MATCH($AB913,'Test catalog'!$A$2:$A$200,0))),"")</f>
        <v/>
      </c>
      <c r="R913" s="5" t="n"/>
      <c r="S913" s="10">
        <f>IFERROR(IF(INDEX('Test catalog'!$L$2:$L$200,MATCH($AB913,'Test catalog'!$A$2:$A$200,0))="","",INDEX('Test catalog'!$L$2:$L$200,MATCH($AB913,'Test catalog'!$A$2:$A$200,0))),"")</f>
        <v/>
      </c>
      <c r="T913" s="10">
        <f>IFERROR(IF(INDEX('Test catalog'!$M$2:$M$200,MATCH($AB913,'Test catalog'!$A$2:$A$200,0))="","",INDEX('Test catalog'!$M$2:$M$200,MATCH($AB913,'Test catalog'!$A$2:$A$200,0))),"")</f>
        <v/>
      </c>
      <c r="U913" s="10">
        <f>IFERROR(IF(INDEX('Test catalog'!$N$2:$N$200,MATCH($AB913,'Test catalog'!$A$2:$A$200,0))="","",INDEX('Test catalog'!$N$2:$N$200,MATCH($AB913,'Test catalog'!$A$2:$A$200,0))),"")</f>
        <v/>
      </c>
      <c r="V913" s="15" t="n"/>
      <c r="W913" s="5" t="inlineStr">
        <is>
          <t>N</t>
        </is>
      </c>
      <c r="X913" s="5" t="n"/>
      <c r="Y913" s="5" t="n"/>
      <c r="Z913" s="5" t="n"/>
      <c r="AA913" s="10">
        <f>IFERROR(IF(INDEX('Test catalog'!$O$2:$O$200,MATCH($AB913,'Test catalog'!$A$2:$A$200,0))="","",INDEX('Test catalog'!$O$2:$O$200,MATCH($AB913,'Test catalog'!$A$2:$A$200,0))),"")</f>
        <v/>
      </c>
      <c r="AB913" s="10" t="inlineStr">
        <is>
          <t>KF</t>
        </is>
      </c>
      <c r="AC913" s="10" t="inlineStr">
        <is>
          <t>Glycerin · Specific Tests &lt;921&gt;</t>
        </is>
      </c>
      <c r="AD913" s="10" t="n"/>
      <c r="AE913" s="10" t="n"/>
    </row>
    <row r="914">
      <c r="A914" s="10" t="inlineStr">
        <is>
          <t>Propylene Glycol</t>
        </is>
      </c>
      <c r="B914" s="10" t="inlineStr">
        <is>
          <t>RM</t>
        </is>
      </c>
      <c r="C914" s="10" t="inlineStr">
        <is>
          <t>Plasticizer / Humectant</t>
        </is>
      </c>
      <c r="D914" s="10" t="inlineStr">
        <is>
          <t>Appearance / description and solubility</t>
        </is>
      </c>
      <c r="E914" s="10">
        <f>IF(A914="","",A914&amp;"|"&amp;D914)</f>
        <v/>
      </c>
      <c r="F914" s="5" t="inlineStr">
        <is>
          <t>Y</t>
        </is>
      </c>
      <c r="G914" s="5" t="inlineStr">
        <is>
          <t>Other / bench</t>
        </is>
      </c>
      <c r="H914" s="5" t="inlineStr">
        <is>
          <t>Low</t>
        </is>
      </c>
      <c r="I914" s="5" t="n">
        <v>1</v>
      </c>
      <c r="J914" s="5" t="n"/>
      <c r="K914" s="10">
        <f>IFERROR(IF(INDEX('Test catalog'!$F$2:$F$200,MATCH($AB914,'Test catalog'!$A$2:$A$200,0))="","",INDEX('Test catalog'!$F$2:$F$200,MATCH($AB914,'Test catalog'!$A$2:$A$200,0))),"")</f>
        <v/>
      </c>
      <c r="L914" s="10">
        <f>IFERROR(IF(INDEX('Test catalog'!$G$2:$G$200,MATCH($AB914,'Test catalog'!$A$2:$A$200,0))="","",INDEX('Test catalog'!$G$2:$G$200,MATCH($AB914,'Test catalog'!$A$2:$A$200,0))),"")</f>
        <v/>
      </c>
      <c r="M914" s="10">
        <f>IFERROR(IF(INDEX('Test catalog'!$H$2:$H$200,MATCH($AB914,'Test catalog'!$A$2:$A$200,0))="","",INDEX('Test catalog'!$H$2:$H$200,MATCH($AB914,'Test catalog'!$A$2:$A$200,0))),"")</f>
        <v/>
      </c>
      <c r="N914" s="10">
        <f>IFERROR(IF(INDEX('Test catalog'!$I$2:$I$200,MATCH($AB914,'Test catalog'!$A$2:$A$200,0))="","",INDEX('Test catalog'!$I$2:$I$200,MATCH($AB914,'Test catalog'!$A$2:$A$200,0))),"")</f>
        <v/>
      </c>
      <c r="O914" s="10">
        <f>IFERROR(IF(INDEX('Test catalog'!$J$2:$J$200,MATCH($AB914,'Test catalog'!$A$2:$A$200,0))="","",INDEX('Test catalog'!$J$2:$J$200,MATCH($AB914,'Test catalog'!$A$2:$A$200,0))),"")</f>
        <v/>
      </c>
      <c r="P914" s="14">
        <f>IF(N914="","",IF(OR(M914="",O914=""),N914,(M914+4*N914+O914)/6))</f>
        <v/>
      </c>
      <c r="Q914" s="10">
        <f>IFERROR(IF(INDEX('Test catalog'!$K$2:$K$200,MATCH($AB914,'Test catalog'!$A$2:$A$200,0))="","",INDEX('Test catalog'!$K$2:$K$200,MATCH($AB914,'Test catalog'!$A$2:$A$200,0))),"")</f>
        <v/>
      </c>
      <c r="R914" s="5" t="n"/>
      <c r="S914" s="10">
        <f>IFERROR(IF(INDEX('Test catalog'!$L$2:$L$200,MATCH($AB914,'Test catalog'!$A$2:$A$200,0))="","",INDEX('Test catalog'!$L$2:$L$200,MATCH($AB914,'Test catalog'!$A$2:$A$200,0))),"")</f>
        <v/>
      </c>
      <c r="T914" s="10">
        <f>IFERROR(IF(INDEX('Test catalog'!$M$2:$M$200,MATCH($AB914,'Test catalog'!$A$2:$A$200,0))="","",INDEX('Test catalog'!$M$2:$M$200,MATCH($AB914,'Test catalog'!$A$2:$A$200,0))),"")</f>
        <v/>
      </c>
      <c r="U914" s="10">
        <f>IFERROR(IF(INDEX('Test catalog'!$N$2:$N$200,MATCH($AB914,'Test catalog'!$A$2:$A$200,0))="","",INDEX('Test catalog'!$N$2:$N$200,MATCH($AB914,'Test catalog'!$A$2:$A$200,0))),"")</f>
        <v/>
      </c>
      <c r="V914" s="15" t="n"/>
      <c r="W914" s="5" t="inlineStr">
        <is>
          <t>N</t>
        </is>
      </c>
      <c r="X914" s="5" t="n"/>
      <c r="Y914" s="5" t="n"/>
      <c r="Z914" s="5" t="n"/>
      <c r="AA914" s="10">
        <f>IFERROR(IF(INDEX('Test catalog'!$O$2:$O$200,MATCH($AB914,'Test catalog'!$A$2:$A$200,0))="","",INDEX('Test catalog'!$O$2:$O$200,MATCH($AB914,'Test catalog'!$A$2:$A$200,0))),"")</f>
        <v/>
      </c>
      <c r="AB914" s="10" t="inlineStr">
        <is>
          <t>APPEAR</t>
        </is>
      </c>
      <c r="AC914" s="10" t="inlineStr">
        <is>
          <t>Lab practice (not a USP test)</t>
        </is>
      </c>
      <c r="AD914" s="10" t="n"/>
      <c r="AE914" s="10" t="n"/>
    </row>
    <row r="915">
      <c r="A915" s="10" t="inlineStr">
        <is>
          <t>Propylene Glycol</t>
        </is>
      </c>
      <c r="B915" s="10" t="inlineStr">
        <is>
          <t>RM</t>
        </is>
      </c>
      <c r="C915" s="10" t="inlineStr">
        <is>
          <t>Plasticizer / Humectant</t>
        </is>
      </c>
      <c r="D915" s="10" t="inlineStr">
        <is>
          <t>ID A - IR spectrum</t>
        </is>
      </c>
      <c r="E915" s="10">
        <f>IF(A915="","",A915&amp;"|"&amp;D915)</f>
        <v/>
      </c>
      <c r="F915" s="5" t="inlineStr">
        <is>
          <t>Y</t>
        </is>
      </c>
      <c r="G915" s="5" t="inlineStr">
        <is>
          <t>Other / bench</t>
        </is>
      </c>
      <c r="H915" s="5" t="inlineStr">
        <is>
          <t>Low</t>
        </is>
      </c>
      <c r="I915" s="5" t="n">
        <v>1</v>
      </c>
      <c r="J915" s="5" t="n"/>
      <c r="K915" s="10">
        <f>IFERROR(IF(INDEX('Test catalog'!$F$2:$F$200,MATCH($AB915,'Test catalog'!$A$2:$A$200,0))="","",INDEX('Test catalog'!$F$2:$F$200,MATCH($AB915,'Test catalog'!$A$2:$A$200,0))),"")</f>
        <v/>
      </c>
      <c r="L915" s="10">
        <f>IFERROR(IF(INDEX('Test catalog'!$G$2:$G$200,MATCH($AB915,'Test catalog'!$A$2:$A$200,0))="","",INDEX('Test catalog'!$G$2:$G$200,MATCH($AB915,'Test catalog'!$A$2:$A$200,0))),"")</f>
        <v/>
      </c>
      <c r="M915" s="10">
        <f>IFERROR(IF(INDEX('Test catalog'!$H$2:$H$200,MATCH($AB915,'Test catalog'!$A$2:$A$200,0))="","",INDEX('Test catalog'!$H$2:$H$200,MATCH($AB915,'Test catalog'!$A$2:$A$200,0))),"")</f>
        <v/>
      </c>
      <c r="N915" s="10">
        <f>IFERROR(IF(INDEX('Test catalog'!$I$2:$I$200,MATCH($AB915,'Test catalog'!$A$2:$A$200,0))="","",INDEX('Test catalog'!$I$2:$I$200,MATCH($AB915,'Test catalog'!$A$2:$A$200,0))),"")</f>
        <v/>
      </c>
      <c r="O915" s="10">
        <f>IFERROR(IF(INDEX('Test catalog'!$J$2:$J$200,MATCH($AB915,'Test catalog'!$A$2:$A$200,0))="","",INDEX('Test catalog'!$J$2:$J$200,MATCH($AB915,'Test catalog'!$A$2:$A$200,0))),"")</f>
        <v/>
      </c>
      <c r="P915" s="14">
        <f>IF(N915="","",IF(OR(M915="",O915=""),N915,(M915+4*N915+O915)/6))</f>
        <v/>
      </c>
      <c r="Q915" s="10">
        <f>IFERROR(IF(INDEX('Test catalog'!$K$2:$K$200,MATCH($AB915,'Test catalog'!$A$2:$A$200,0))="","",INDEX('Test catalog'!$K$2:$K$200,MATCH($AB915,'Test catalog'!$A$2:$A$200,0))),"")</f>
        <v/>
      </c>
      <c r="R915" s="5" t="n"/>
      <c r="S915" s="10">
        <f>IFERROR(IF(INDEX('Test catalog'!$L$2:$L$200,MATCH($AB915,'Test catalog'!$A$2:$A$200,0))="","",INDEX('Test catalog'!$L$2:$L$200,MATCH($AB915,'Test catalog'!$A$2:$A$200,0))),"")</f>
        <v/>
      </c>
      <c r="T915" s="10">
        <f>IFERROR(IF(INDEX('Test catalog'!$M$2:$M$200,MATCH($AB915,'Test catalog'!$A$2:$A$200,0))="","",INDEX('Test catalog'!$M$2:$M$200,MATCH($AB915,'Test catalog'!$A$2:$A$200,0))),"")</f>
        <v/>
      </c>
      <c r="U915" s="10">
        <f>IFERROR(IF(INDEX('Test catalog'!$N$2:$N$200,MATCH($AB915,'Test catalog'!$A$2:$A$200,0))="","",INDEX('Test catalog'!$N$2:$N$200,MATCH($AB915,'Test catalog'!$A$2:$A$200,0))),"")</f>
        <v/>
      </c>
      <c r="V915" s="15" t="n"/>
      <c r="W915" s="5" t="inlineStr">
        <is>
          <t>N</t>
        </is>
      </c>
      <c r="X915" s="5" t="n"/>
      <c r="Y915" s="5" t="n"/>
      <c r="Z915" s="5" t="n"/>
      <c r="AA915" s="10">
        <f>IFERROR(IF(INDEX('Test catalog'!$O$2:$O$200,MATCH($AB915,'Test catalog'!$A$2:$A$200,0))="","",INDEX('Test catalog'!$O$2:$O$200,MATCH($AB915,'Test catalog'!$A$2:$A$200,0))),"")</f>
        <v/>
      </c>
      <c r="AB915" s="10" t="inlineStr">
        <is>
          <t>ID_IR</t>
        </is>
      </c>
      <c r="AC915" s="10" t="inlineStr">
        <is>
          <t>Propylene Glycol · Identification &lt;197&gt;</t>
        </is>
      </c>
      <c r="AD915" s="10" t="n"/>
      <c r="AE915" s="10" t="n"/>
    </row>
    <row r="916">
      <c r="A916" s="10" t="inlineStr">
        <is>
          <t>Propylene Glycol</t>
        </is>
      </c>
      <c r="B916" s="10" t="inlineStr">
        <is>
          <t>RM</t>
        </is>
      </c>
      <c r="C916" s="10" t="inlineStr">
        <is>
          <t>Plasticizer / Humectant</t>
        </is>
      </c>
      <c r="D916" s="10" t="inlineStr">
        <is>
          <t>ID B - GC</t>
        </is>
      </c>
      <c r="E916" s="10">
        <f>IF(A916="","",A916&amp;"|"&amp;D916)</f>
        <v/>
      </c>
      <c r="F916" s="5" t="inlineStr">
        <is>
          <t>Y</t>
        </is>
      </c>
      <c r="G916" s="5" t="inlineStr">
        <is>
          <t>GC</t>
        </is>
      </c>
      <c r="H916" s="5" t="inlineStr">
        <is>
          <t>Medium</t>
        </is>
      </c>
      <c r="I916" s="5" t="n">
        <v>1</v>
      </c>
      <c r="J916" s="5" t="n"/>
      <c r="K916" s="5" t="n"/>
      <c r="L916" s="5" t="n"/>
      <c r="M916" s="5" t="n"/>
      <c r="N916" s="5" t="n"/>
      <c r="O916" s="5" t="n"/>
      <c r="P916" s="14">
        <f>IF(N916="","",IF(OR(M916="",O916=""),N916,(M916+4*N916+O916)/6))</f>
        <v/>
      </c>
      <c r="Q916" s="5" t="n"/>
      <c r="R916" s="5" t="n"/>
      <c r="S916" s="5" t="n"/>
      <c r="T916" s="5" t="n"/>
      <c r="U916" s="5" t="n"/>
      <c r="V916" s="15" t="n"/>
      <c r="W916" s="5" t="inlineStr">
        <is>
          <t>N</t>
        </is>
      </c>
      <c r="X916" s="5" t="n"/>
      <c r="Y916" s="5" t="n"/>
      <c r="Z916" s="5" t="n"/>
      <c r="AA916" s="5" t="n"/>
      <c r="AB916" s="10" t="n"/>
      <c r="AC916" s="10" t="inlineStr">
        <is>
          <t>Propylene Glycol · Identification</t>
        </is>
      </c>
      <c r="AD916" s="10" t="n"/>
      <c r="AE916" s="10" t="n"/>
    </row>
    <row r="917">
      <c r="A917" s="10" t="inlineStr">
        <is>
          <t>Propylene Glycol</t>
        </is>
      </c>
      <c r="B917" s="10" t="inlineStr">
        <is>
          <t>RM</t>
        </is>
      </c>
      <c r="C917" s="10" t="inlineStr">
        <is>
          <t>Plasticizer / Humectant</t>
        </is>
      </c>
      <c r="D917" s="10" t="inlineStr">
        <is>
          <t>Assay (GC)</t>
        </is>
      </c>
      <c r="E917" s="10">
        <f>IF(A917="","",A917&amp;"|"&amp;D917)</f>
        <v/>
      </c>
      <c r="F917" s="5" t="inlineStr">
        <is>
          <t>Y</t>
        </is>
      </c>
      <c r="G917" s="5" t="inlineStr">
        <is>
          <t>GC</t>
        </is>
      </c>
      <c r="H917" s="5" t="inlineStr">
        <is>
          <t>Medium</t>
        </is>
      </c>
      <c r="I917" s="5" t="n">
        <v>1</v>
      </c>
      <c r="J917" s="5" t="n"/>
      <c r="K917" s="5" t="n"/>
      <c r="L917" s="5" t="n"/>
      <c r="M917" s="5" t="n"/>
      <c r="N917" s="5" t="n"/>
      <c r="O917" s="5" t="n"/>
      <c r="P917" s="14">
        <f>IF(N917="","",IF(OR(M917="",O917=""),N917,(M917+4*N917+O917)/6))</f>
        <v/>
      </c>
      <c r="Q917" s="5" t="n"/>
      <c r="R917" s="5" t="n"/>
      <c r="S917" s="5" t="n"/>
      <c r="T917" s="5" t="n"/>
      <c r="U917" s="5" t="n"/>
      <c r="V917" s="15" t="n"/>
      <c r="W917" s="5" t="inlineStr">
        <is>
          <t>N</t>
        </is>
      </c>
      <c r="X917" s="5" t="n"/>
      <c r="Y917" s="5" t="n"/>
      <c r="Z917" s="5" t="n"/>
      <c r="AA917" s="5" t="n"/>
      <c r="AB917" s="10" t="n"/>
      <c r="AC917" s="10" t="inlineStr">
        <is>
          <t>Propylene Glycol · Assay</t>
        </is>
      </c>
      <c r="AD917" s="10" t="n"/>
      <c r="AE917" s="10" t="n"/>
    </row>
    <row r="918">
      <c r="A918" s="10" t="inlineStr">
        <is>
          <t>Propylene Glycol</t>
        </is>
      </c>
      <c r="B918" s="10" t="inlineStr">
        <is>
          <t>RM</t>
        </is>
      </c>
      <c r="C918" s="10" t="inlineStr">
        <is>
          <t>Plasticizer / Humectant</t>
        </is>
      </c>
      <c r="D918" s="10" t="inlineStr">
        <is>
          <t>Residue on Ignition</t>
        </is>
      </c>
      <c r="E918" s="10">
        <f>IF(A918="","",A918&amp;"|"&amp;D918)</f>
        <v/>
      </c>
      <c r="F918" s="5" t="inlineStr">
        <is>
          <t>Y</t>
        </is>
      </c>
      <c r="G918" s="5" t="inlineStr">
        <is>
          <t>Other / bench</t>
        </is>
      </c>
      <c r="H918" s="5" t="inlineStr">
        <is>
          <t>Low</t>
        </is>
      </c>
      <c r="I918" s="5" t="n">
        <v>1</v>
      </c>
      <c r="J918" s="5" t="n"/>
      <c r="K918" s="10">
        <f>IFERROR(IF(INDEX('Test catalog'!$F$2:$F$200,MATCH($AB918,'Test catalog'!$A$2:$A$200,0))="","",INDEX('Test catalog'!$F$2:$F$200,MATCH($AB918,'Test catalog'!$A$2:$A$200,0))),"")</f>
        <v/>
      </c>
      <c r="L918" s="10">
        <f>IFERROR(IF(INDEX('Test catalog'!$G$2:$G$200,MATCH($AB918,'Test catalog'!$A$2:$A$200,0))="","",INDEX('Test catalog'!$G$2:$G$200,MATCH($AB918,'Test catalog'!$A$2:$A$200,0))),"")</f>
        <v/>
      </c>
      <c r="M918" s="10">
        <f>IFERROR(IF(INDEX('Test catalog'!$H$2:$H$200,MATCH($AB918,'Test catalog'!$A$2:$A$200,0))="","",INDEX('Test catalog'!$H$2:$H$200,MATCH($AB918,'Test catalog'!$A$2:$A$200,0))),"")</f>
        <v/>
      </c>
      <c r="N918" s="10">
        <f>IFERROR(IF(INDEX('Test catalog'!$I$2:$I$200,MATCH($AB918,'Test catalog'!$A$2:$A$200,0))="","",INDEX('Test catalog'!$I$2:$I$200,MATCH($AB918,'Test catalog'!$A$2:$A$200,0))),"")</f>
        <v/>
      </c>
      <c r="O918" s="10">
        <f>IFERROR(IF(INDEX('Test catalog'!$J$2:$J$200,MATCH($AB918,'Test catalog'!$A$2:$A$200,0))="","",INDEX('Test catalog'!$J$2:$J$200,MATCH($AB918,'Test catalog'!$A$2:$A$200,0))),"")</f>
        <v/>
      </c>
      <c r="P918" s="14">
        <f>IF(N918="","",IF(OR(M918="",O918=""),N918,(M918+4*N918+O918)/6))</f>
        <v/>
      </c>
      <c r="Q918" s="10">
        <f>IFERROR(IF(INDEX('Test catalog'!$K$2:$K$200,MATCH($AB918,'Test catalog'!$A$2:$A$200,0))="","",INDEX('Test catalog'!$K$2:$K$200,MATCH($AB918,'Test catalog'!$A$2:$A$200,0))),"")</f>
        <v/>
      </c>
      <c r="R918" s="5" t="n"/>
      <c r="S918" s="10">
        <f>IFERROR(IF(INDEX('Test catalog'!$L$2:$L$200,MATCH($AB918,'Test catalog'!$A$2:$A$200,0))="","",INDEX('Test catalog'!$L$2:$L$200,MATCH($AB918,'Test catalog'!$A$2:$A$200,0))),"")</f>
        <v/>
      </c>
      <c r="T918" s="10">
        <f>IFERROR(IF(INDEX('Test catalog'!$M$2:$M$200,MATCH($AB918,'Test catalog'!$A$2:$A$200,0))="","",INDEX('Test catalog'!$M$2:$M$200,MATCH($AB918,'Test catalog'!$A$2:$A$200,0))),"")</f>
        <v/>
      </c>
      <c r="U918" s="10">
        <f>IFERROR(IF(INDEX('Test catalog'!$N$2:$N$200,MATCH($AB918,'Test catalog'!$A$2:$A$200,0))="","",INDEX('Test catalog'!$N$2:$N$200,MATCH($AB918,'Test catalog'!$A$2:$A$200,0))),"")</f>
        <v/>
      </c>
      <c r="V918" s="15" t="n"/>
      <c r="W918" s="5" t="inlineStr">
        <is>
          <t>N</t>
        </is>
      </c>
      <c r="X918" s="5" t="n"/>
      <c r="Y918" s="5" t="n"/>
      <c r="Z918" s="5" t="n"/>
      <c r="AA918" s="10">
        <f>IFERROR(IF(INDEX('Test catalog'!$O$2:$O$200,MATCH($AB918,'Test catalog'!$A$2:$A$200,0))="","",INDEX('Test catalog'!$O$2:$O$200,MATCH($AB918,'Test catalog'!$A$2:$A$200,0))),"")</f>
        <v/>
      </c>
      <c r="AB918" s="10" t="inlineStr">
        <is>
          <t>ROI</t>
        </is>
      </c>
      <c r="AC918" s="10" t="inlineStr">
        <is>
          <t>Propylene Glycol · Impurities &lt;281&gt;</t>
        </is>
      </c>
      <c r="AD918" s="10" t="n"/>
      <c r="AE918" s="10" t="n"/>
    </row>
    <row r="919">
      <c r="A919" s="10" t="inlineStr">
        <is>
          <t>Propylene Glycol</t>
        </is>
      </c>
      <c r="B919" s="10" t="inlineStr">
        <is>
          <t>RM</t>
        </is>
      </c>
      <c r="C919" s="10" t="inlineStr">
        <is>
          <t>Plasticizer / Humectant</t>
        </is>
      </c>
      <c r="D919" s="10" t="inlineStr">
        <is>
          <t>Chloride and Sulfate</t>
        </is>
      </c>
      <c r="E919" s="10">
        <f>IF(A919="","",A919&amp;"|"&amp;D919)</f>
        <v/>
      </c>
      <c r="F919" s="5" t="inlineStr">
        <is>
          <t>Y</t>
        </is>
      </c>
      <c r="G919" s="5" t="inlineStr">
        <is>
          <t>Other / bench</t>
        </is>
      </c>
      <c r="H919" s="5" t="inlineStr">
        <is>
          <t>Low</t>
        </is>
      </c>
      <c r="I919" s="5" t="n">
        <v>1</v>
      </c>
      <c r="J919" s="5" t="n"/>
      <c r="K919" s="10">
        <f>IFERROR(IF(INDEX('Test catalog'!$F$2:$F$200,MATCH($AB919,'Test catalog'!$A$2:$A$200,0))="","",INDEX('Test catalog'!$F$2:$F$200,MATCH($AB919,'Test catalog'!$A$2:$A$200,0))),"")</f>
        <v/>
      </c>
      <c r="L919" s="10">
        <f>IFERROR(IF(INDEX('Test catalog'!$G$2:$G$200,MATCH($AB919,'Test catalog'!$A$2:$A$200,0))="","",INDEX('Test catalog'!$G$2:$G$200,MATCH($AB919,'Test catalog'!$A$2:$A$200,0))),"")</f>
        <v/>
      </c>
      <c r="M919" s="10">
        <f>IFERROR(IF(INDEX('Test catalog'!$H$2:$H$200,MATCH($AB919,'Test catalog'!$A$2:$A$200,0))="","",INDEX('Test catalog'!$H$2:$H$200,MATCH($AB919,'Test catalog'!$A$2:$A$200,0))),"")</f>
        <v/>
      </c>
      <c r="N919" s="10">
        <f>IFERROR(IF(INDEX('Test catalog'!$I$2:$I$200,MATCH($AB919,'Test catalog'!$A$2:$A$200,0))="","",INDEX('Test catalog'!$I$2:$I$200,MATCH($AB919,'Test catalog'!$A$2:$A$200,0))),"")</f>
        <v/>
      </c>
      <c r="O919" s="10">
        <f>IFERROR(IF(INDEX('Test catalog'!$J$2:$J$200,MATCH($AB919,'Test catalog'!$A$2:$A$200,0))="","",INDEX('Test catalog'!$J$2:$J$200,MATCH($AB919,'Test catalog'!$A$2:$A$200,0))),"")</f>
        <v/>
      </c>
      <c r="P919" s="14">
        <f>IF(N919="","",IF(OR(M919="",O919=""),N919,(M919+4*N919+O919)/6))</f>
        <v/>
      </c>
      <c r="Q919" s="10">
        <f>IFERROR(IF(INDEX('Test catalog'!$K$2:$K$200,MATCH($AB919,'Test catalog'!$A$2:$A$200,0))="","",INDEX('Test catalog'!$K$2:$K$200,MATCH($AB919,'Test catalog'!$A$2:$A$200,0))),"")</f>
        <v/>
      </c>
      <c r="R919" s="5" t="n"/>
      <c r="S919" s="10">
        <f>IFERROR(IF(INDEX('Test catalog'!$L$2:$L$200,MATCH($AB919,'Test catalog'!$A$2:$A$200,0))="","",INDEX('Test catalog'!$L$2:$L$200,MATCH($AB919,'Test catalog'!$A$2:$A$200,0))),"")</f>
        <v/>
      </c>
      <c r="T919" s="10">
        <f>IFERROR(IF(INDEX('Test catalog'!$M$2:$M$200,MATCH($AB919,'Test catalog'!$A$2:$A$200,0))="","",INDEX('Test catalog'!$M$2:$M$200,MATCH($AB919,'Test catalog'!$A$2:$A$200,0))),"")</f>
        <v/>
      </c>
      <c r="U919" s="10">
        <f>IFERROR(IF(INDEX('Test catalog'!$N$2:$N$200,MATCH($AB919,'Test catalog'!$A$2:$A$200,0))="","",INDEX('Test catalog'!$N$2:$N$200,MATCH($AB919,'Test catalog'!$A$2:$A$200,0))),"")</f>
        <v/>
      </c>
      <c r="V919" s="15" t="n"/>
      <c r="W919" s="5" t="inlineStr">
        <is>
          <t>N</t>
        </is>
      </c>
      <c r="X919" s="5" t="n"/>
      <c r="Y919" s="5" t="n"/>
      <c r="Z919" s="5" t="n"/>
      <c r="AA919" s="10">
        <f>IFERROR(IF(INDEX('Test catalog'!$O$2:$O$200,MATCH($AB919,'Test catalog'!$A$2:$A$200,0))="","",INDEX('Test catalog'!$O$2:$O$200,MATCH($AB919,'Test catalog'!$A$2:$A$200,0))),"")</f>
        <v/>
      </c>
      <c r="AB919" s="10" t="inlineStr">
        <is>
          <t>LIMIT</t>
        </is>
      </c>
      <c r="AC919" s="10" t="inlineStr">
        <is>
          <t>Propylene Glycol · Impurities &lt;221&gt;</t>
        </is>
      </c>
      <c r="AD919" s="10" t="n"/>
      <c r="AE919" s="10" t="n"/>
    </row>
    <row r="920">
      <c r="A920" s="10" t="inlineStr">
        <is>
          <t>Propylene Glycol</t>
        </is>
      </c>
      <c r="B920" s="10" t="inlineStr">
        <is>
          <t>RM</t>
        </is>
      </c>
      <c r="C920" s="10" t="inlineStr">
        <is>
          <t>Plasticizer / Humectant</t>
        </is>
      </c>
      <c r="D920" s="10" t="inlineStr">
        <is>
          <t>Specific Gravity</t>
        </is>
      </c>
      <c r="E920" s="10">
        <f>IF(A920="","",A920&amp;"|"&amp;D920)</f>
        <v/>
      </c>
      <c r="F920" s="5" t="inlineStr">
        <is>
          <t>Y</t>
        </is>
      </c>
      <c r="G920" s="5" t="inlineStr">
        <is>
          <t>Other / bench</t>
        </is>
      </c>
      <c r="H920" s="5" t="inlineStr">
        <is>
          <t>Low</t>
        </is>
      </c>
      <c r="I920" s="5" t="n">
        <v>1</v>
      </c>
      <c r="J920" s="5" t="n"/>
      <c r="K920" s="10">
        <f>IFERROR(IF(INDEX('Test catalog'!$F$2:$F$200,MATCH($AB920,'Test catalog'!$A$2:$A$200,0))="","",INDEX('Test catalog'!$F$2:$F$200,MATCH($AB920,'Test catalog'!$A$2:$A$200,0))),"")</f>
        <v/>
      </c>
      <c r="L920" s="10">
        <f>IFERROR(IF(INDEX('Test catalog'!$G$2:$G$200,MATCH($AB920,'Test catalog'!$A$2:$A$200,0))="","",INDEX('Test catalog'!$G$2:$G$200,MATCH($AB920,'Test catalog'!$A$2:$A$200,0))),"")</f>
        <v/>
      </c>
      <c r="M920" s="10">
        <f>IFERROR(IF(INDEX('Test catalog'!$H$2:$H$200,MATCH($AB920,'Test catalog'!$A$2:$A$200,0))="","",INDEX('Test catalog'!$H$2:$H$200,MATCH($AB920,'Test catalog'!$A$2:$A$200,0))),"")</f>
        <v/>
      </c>
      <c r="N920" s="10">
        <f>IFERROR(IF(INDEX('Test catalog'!$I$2:$I$200,MATCH($AB920,'Test catalog'!$A$2:$A$200,0))="","",INDEX('Test catalog'!$I$2:$I$200,MATCH($AB920,'Test catalog'!$A$2:$A$200,0))),"")</f>
        <v/>
      </c>
      <c r="O920" s="10">
        <f>IFERROR(IF(INDEX('Test catalog'!$J$2:$J$200,MATCH($AB920,'Test catalog'!$A$2:$A$200,0))="","",INDEX('Test catalog'!$J$2:$J$200,MATCH($AB920,'Test catalog'!$A$2:$A$200,0))),"")</f>
        <v/>
      </c>
      <c r="P920" s="14">
        <f>IF(N920="","",IF(OR(M920="",O920=""),N920,(M920+4*N920+O920)/6))</f>
        <v/>
      </c>
      <c r="Q920" s="10">
        <f>IFERROR(IF(INDEX('Test catalog'!$K$2:$K$200,MATCH($AB920,'Test catalog'!$A$2:$A$200,0))="","",INDEX('Test catalog'!$K$2:$K$200,MATCH($AB920,'Test catalog'!$A$2:$A$200,0))),"")</f>
        <v/>
      </c>
      <c r="R920" s="5" t="n"/>
      <c r="S920" s="10">
        <f>IFERROR(IF(INDEX('Test catalog'!$L$2:$L$200,MATCH($AB920,'Test catalog'!$A$2:$A$200,0))="","",INDEX('Test catalog'!$L$2:$L$200,MATCH($AB920,'Test catalog'!$A$2:$A$200,0))),"")</f>
        <v/>
      </c>
      <c r="T920" s="10">
        <f>IFERROR(IF(INDEX('Test catalog'!$M$2:$M$200,MATCH($AB920,'Test catalog'!$A$2:$A$200,0))="","",INDEX('Test catalog'!$M$2:$M$200,MATCH($AB920,'Test catalog'!$A$2:$A$200,0))),"")</f>
        <v/>
      </c>
      <c r="U920" s="10">
        <f>IFERROR(IF(INDEX('Test catalog'!$N$2:$N$200,MATCH($AB920,'Test catalog'!$A$2:$A$200,0))="","",INDEX('Test catalog'!$N$2:$N$200,MATCH($AB920,'Test catalog'!$A$2:$A$200,0))),"")</f>
        <v/>
      </c>
      <c r="V920" s="15" t="n"/>
      <c r="W920" s="5" t="inlineStr">
        <is>
          <t>N</t>
        </is>
      </c>
      <c r="X920" s="5" t="n"/>
      <c r="Y920" s="5" t="n"/>
      <c r="Z920" s="5" t="n"/>
      <c r="AA920" s="10">
        <f>IFERROR(IF(INDEX('Test catalog'!$O$2:$O$200,MATCH($AB920,'Test catalog'!$A$2:$A$200,0))="","",INDEX('Test catalog'!$O$2:$O$200,MATCH($AB920,'Test catalog'!$A$2:$A$200,0))),"")</f>
        <v/>
      </c>
      <c r="AB920" s="10" t="inlineStr">
        <is>
          <t>SG</t>
        </is>
      </c>
      <c r="AC920" s="10" t="inlineStr">
        <is>
          <t>Propylene Glycol · Specific Tests &lt;841&gt;</t>
        </is>
      </c>
      <c r="AD920" s="10" t="n"/>
      <c r="AE920" s="10" t="n"/>
    </row>
    <row r="921">
      <c r="A921" s="10" t="inlineStr">
        <is>
          <t>Propylene Glycol</t>
        </is>
      </c>
      <c r="B921" s="10" t="inlineStr">
        <is>
          <t>RM</t>
        </is>
      </c>
      <c r="C921" s="10" t="inlineStr">
        <is>
          <t>Plasticizer / Humectant</t>
        </is>
      </c>
      <c r="D921" s="10" t="inlineStr">
        <is>
          <t>Acidity</t>
        </is>
      </c>
      <c r="E921" s="10">
        <f>IF(A921="","",A921&amp;"|"&amp;D921)</f>
        <v/>
      </c>
      <c r="F921" s="5" t="inlineStr">
        <is>
          <t>Y</t>
        </is>
      </c>
      <c r="G921" s="5" t="inlineStr">
        <is>
          <t>Other / bench</t>
        </is>
      </c>
      <c r="H921" s="5" t="inlineStr">
        <is>
          <t>Low</t>
        </is>
      </c>
      <c r="I921" s="5" t="n">
        <v>1</v>
      </c>
      <c r="J921" s="5" t="n"/>
      <c r="K921" s="10">
        <f>IFERROR(IF(INDEX('Test catalog'!$F$2:$F$200,MATCH($AB921,'Test catalog'!$A$2:$A$200,0))="","",INDEX('Test catalog'!$F$2:$F$200,MATCH($AB921,'Test catalog'!$A$2:$A$200,0))),"")</f>
        <v/>
      </c>
      <c r="L921" s="10">
        <f>IFERROR(IF(INDEX('Test catalog'!$G$2:$G$200,MATCH($AB921,'Test catalog'!$A$2:$A$200,0))="","",INDEX('Test catalog'!$G$2:$G$200,MATCH($AB921,'Test catalog'!$A$2:$A$200,0))),"")</f>
        <v/>
      </c>
      <c r="M921" s="10">
        <f>IFERROR(IF(INDEX('Test catalog'!$H$2:$H$200,MATCH($AB921,'Test catalog'!$A$2:$A$200,0))="","",INDEX('Test catalog'!$H$2:$H$200,MATCH($AB921,'Test catalog'!$A$2:$A$200,0))),"")</f>
        <v/>
      </c>
      <c r="N921" s="10">
        <f>IFERROR(IF(INDEX('Test catalog'!$I$2:$I$200,MATCH($AB921,'Test catalog'!$A$2:$A$200,0))="","",INDEX('Test catalog'!$I$2:$I$200,MATCH($AB921,'Test catalog'!$A$2:$A$200,0))),"")</f>
        <v/>
      </c>
      <c r="O921" s="10">
        <f>IFERROR(IF(INDEX('Test catalog'!$J$2:$J$200,MATCH($AB921,'Test catalog'!$A$2:$A$200,0))="","",INDEX('Test catalog'!$J$2:$J$200,MATCH($AB921,'Test catalog'!$A$2:$A$200,0))),"")</f>
        <v/>
      </c>
      <c r="P921" s="14">
        <f>IF(N921="","",IF(OR(M921="",O921=""),N921,(M921+4*N921+O921)/6))</f>
        <v/>
      </c>
      <c r="Q921" s="10">
        <f>IFERROR(IF(INDEX('Test catalog'!$K$2:$K$200,MATCH($AB921,'Test catalog'!$A$2:$A$200,0))="","",INDEX('Test catalog'!$K$2:$K$200,MATCH($AB921,'Test catalog'!$A$2:$A$200,0))),"")</f>
        <v/>
      </c>
      <c r="R921" s="5" t="n"/>
      <c r="S921" s="10">
        <f>IFERROR(IF(INDEX('Test catalog'!$L$2:$L$200,MATCH($AB921,'Test catalog'!$A$2:$A$200,0))="","",INDEX('Test catalog'!$L$2:$L$200,MATCH($AB921,'Test catalog'!$A$2:$A$200,0))),"")</f>
        <v/>
      </c>
      <c r="T921" s="10">
        <f>IFERROR(IF(INDEX('Test catalog'!$M$2:$M$200,MATCH($AB921,'Test catalog'!$A$2:$A$200,0))="","",INDEX('Test catalog'!$M$2:$M$200,MATCH($AB921,'Test catalog'!$A$2:$A$200,0))),"")</f>
        <v/>
      </c>
      <c r="U921" s="10">
        <f>IFERROR(IF(INDEX('Test catalog'!$N$2:$N$200,MATCH($AB921,'Test catalog'!$A$2:$A$200,0))="","",INDEX('Test catalog'!$N$2:$N$200,MATCH($AB921,'Test catalog'!$A$2:$A$200,0))),"")</f>
        <v/>
      </c>
      <c r="V921" s="15" t="n"/>
      <c r="W921" s="5" t="inlineStr">
        <is>
          <t>N</t>
        </is>
      </c>
      <c r="X921" s="5" t="n"/>
      <c r="Y921" s="5" t="n"/>
      <c r="Z921" s="5" t="n"/>
      <c r="AA921" s="10">
        <f>IFERROR(IF(INDEX('Test catalog'!$O$2:$O$200,MATCH($AB921,'Test catalog'!$A$2:$A$200,0))="","",INDEX('Test catalog'!$O$2:$O$200,MATCH($AB921,'Test catalog'!$A$2:$A$200,0))),"")</f>
        <v/>
      </c>
      <c r="AB921" s="10" t="inlineStr">
        <is>
          <t>ACID</t>
        </is>
      </c>
      <c r="AC921" s="10" t="inlineStr">
        <is>
          <t>Propylene Glycol · Specific Tests</t>
        </is>
      </c>
      <c r="AD921" s="10" t="n"/>
      <c r="AE921" s="10" t="n"/>
    </row>
    <row r="922">
      <c r="A922" s="10" t="inlineStr">
        <is>
          <t>Propylene Glycol</t>
        </is>
      </c>
      <c r="B922" s="10" t="inlineStr">
        <is>
          <t>RM</t>
        </is>
      </c>
      <c r="C922" s="10" t="inlineStr">
        <is>
          <t>Plasticizer / Humectant</t>
        </is>
      </c>
      <c r="D922" s="10" t="inlineStr">
        <is>
          <t>Water Determination, Method I</t>
        </is>
      </c>
      <c r="E922" s="10">
        <f>IF(A922="","",A922&amp;"|"&amp;D922)</f>
        <v/>
      </c>
      <c r="F922" s="5" t="inlineStr">
        <is>
          <t>Y</t>
        </is>
      </c>
      <c r="G922" s="5" t="inlineStr">
        <is>
          <t>KF titrator</t>
        </is>
      </c>
      <c r="H922" s="5" t="inlineStr">
        <is>
          <t>Low</t>
        </is>
      </c>
      <c r="I922" s="5" t="n">
        <v>1</v>
      </c>
      <c r="J922" s="5" t="n"/>
      <c r="K922" s="10">
        <f>IFERROR(IF(INDEX('Test catalog'!$F$2:$F$200,MATCH($AB922,'Test catalog'!$A$2:$A$200,0))="","",INDEX('Test catalog'!$F$2:$F$200,MATCH($AB922,'Test catalog'!$A$2:$A$200,0))),"")</f>
        <v/>
      </c>
      <c r="L922" s="10">
        <f>IFERROR(IF(INDEX('Test catalog'!$G$2:$G$200,MATCH($AB922,'Test catalog'!$A$2:$A$200,0))="","",INDEX('Test catalog'!$G$2:$G$200,MATCH($AB922,'Test catalog'!$A$2:$A$200,0))),"")</f>
        <v/>
      </c>
      <c r="M922" s="10">
        <f>IFERROR(IF(INDEX('Test catalog'!$H$2:$H$200,MATCH($AB922,'Test catalog'!$A$2:$A$200,0))="","",INDEX('Test catalog'!$H$2:$H$200,MATCH($AB922,'Test catalog'!$A$2:$A$200,0))),"")</f>
        <v/>
      </c>
      <c r="N922" s="10">
        <f>IFERROR(IF(INDEX('Test catalog'!$I$2:$I$200,MATCH($AB922,'Test catalog'!$A$2:$A$200,0))="","",INDEX('Test catalog'!$I$2:$I$200,MATCH($AB922,'Test catalog'!$A$2:$A$200,0))),"")</f>
        <v/>
      </c>
      <c r="O922" s="10">
        <f>IFERROR(IF(INDEX('Test catalog'!$J$2:$J$200,MATCH($AB922,'Test catalog'!$A$2:$A$200,0))="","",INDEX('Test catalog'!$J$2:$J$200,MATCH($AB922,'Test catalog'!$A$2:$A$200,0))),"")</f>
        <v/>
      </c>
      <c r="P922" s="14">
        <f>IF(N922="","",IF(OR(M922="",O922=""),N922,(M922+4*N922+O922)/6))</f>
        <v/>
      </c>
      <c r="Q922" s="10">
        <f>IFERROR(IF(INDEX('Test catalog'!$K$2:$K$200,MATCH($AB922,'Test catalog'!$A$2:$A$200,0))="","",INDEX('Test catalog'!$K$2:$K$200,MATCH($AB922,'Test catalog'!$A$2:$A$200,0))),"")</f>
        <v/>
      </c>
      <c r="R922" s="5" t="n"/>
      <c r="S922" s="10">
        <f>IFERROR(IF(INDEX('Test catalog'!$L$2:$L$200,MATCH($AB922,'Test catalog'!$A$2:$A$200,0))="","",INDEX('Test catalog'!$L$2:$L$200,MATCH($AB922,'Test catalog'!$A$2:$A$200,0))),"")</f>
        <v/>
      </c>
      <c r="T922" s="10">
        <f>IFERROR(IF(INDEX('Test catalog'!$M$2:$M$200,MATCH($AB922,'Test catalog'!$A$2:$A$200,0))="","",INDEX('Test catalog'!$M$2:$M$200,MATCH($AB922,'Test catalog'!$A$2:$A$200,0))),"")</f>
        <v/>
      </c>
      <c r="U922" s="10">
        <f>IFERROR(IF(INDEX('Test catalog'!$N$2:$N$200,MATCH($AB922,'Test catalog'!$A$2:$A$200,0))="","",INDEX('Test catalog'!$N$2:$N$200,MATCH($AB922,'Test catalog'!$A$2:$A$200,0))),"")</f>
        <v/>
      </c>
      <c r="V922" s="15" t="n"/>
      <c r="W922" s="5" t="inlineStr">
        <is>
          <t>N</t>
        </is>
      </c>
      <c r="X922" s="5" t="n"/>
      <c r="Y922" s="5" t="n"/>
      <c r="Z922" s="5" t="n"/>
      <c r="AA922" s="10">
        <f>IFERROR(IF(INDEX('Test catalog'!$O$2:$O$200,MATCH($AB922,'Test catalog'!$A$2:$A$200,0))="","",INDEX('Test catalog'!$O$2:$O$200,MATCH($AB922,'Test catalog'!$A$2:$A$200,0))),"")</f>
        <v/>
      </c>
      <c r="AB922" s="10" t="inlineStr">
        <is>
          <t>KF</t>
        </is>
      </c>
      <c r="AC922" s="10" t="inlineStr">
        <is>
          <t>Propylene Glycol · Specific Tests &lt;921&gt;</t>
        </is>
      </c>
      <c r="AD922" s="10" t="n"/>
      <c r="AE922" s="10" t="n"/>
    </row>
    <row r="923">
      <c r="A923" s="10" t="inlineStr">
        <is>
          <t>Benzalkonium Alcohol 50%</t>
        </is>
      </c>
      <c r="B923" s="10" t="inlineStr">
        <is>
          <t>RM</t>
        </is>
      </c>
      <c r="C923" s="10" t="inlineStr">
        <is>
          <t>Preservative</t>
        </is>
      </c>
      <c r="D923" s="10" t="inlineStr">
        <is>
          <t>Appearance / description and solubility</t>
        </is>
      </c>
      <c r="E923" s="10">
        <f>IF(A923="","",A923&amp;"|"&amp;D923)</f>
        <v/>
      </c>
      <c r="F923" s="5" t="inlineStr">
        <is>
          <t>Y</t>
        </is>
      </c>
      <c r="G923" s="5" t="inlineStr">
        <is>
          <t>Other / bench</t>
        </is>
      </c>
      <c r="H923" s="5" t="inlineStr">
        <is>
          <t>Low</t>
        </is>
      </c>
      <c r="I923" s="5" t="n">
        <v>1</v>
      </c>
      <c r="J923" s="5" t="n"/>
      <c r="K923" s="10">
        <f>IFERROR(IF(INDEX('Test catalog'!$F$2:$F$200,MATCH($AB923,'Test catalog'!$A$2:$A$200,0))="","",INDEX('Test catalog'!$F$2:$F$200,MATCH($AB923,'Test catalog'!$A$2:$A$200,0))),"")</f>
        <v/>
      </c>
      <c r="L923" s="10">
        <f>IFERROR(IF(INDEX('Test catalog'!$G$2:$G$200,MATCH($AB923,'Test catalog'!$A$2:$A$200,0))="","",INDEX('Test catalog'!$G$2:$G$200,MATCH($AB923,'Test catalog'!$A$2:$A$200,0))),"")</f>
        <v/>
      </c>
      <c r="M923" s="10">
        <f>IFERROR(IF(INDEX('Test catalog'!$H$2:$H$200,MATCH($AB923,'Test catalog'!$A$2:$A$200,0))="","",INDEX('Test catalog'!$H$2:$H$200,MATCH($AB923,'Test catalog'!$A$2:$A$200,0))),"")</f>
        <v/>
      </c>
      <c r="N923" s="10">
        <f>IFERROR(IF(INDEX('Test catalog'!$I$2:$I$200,MATCH($AB923,'Test catalog'!$A$2:$A$200,0))="","",INDEX('Test catalog'!$I$2:$I$200,MATCH($AB923,'Test catalog'!$A$2:$A$200,0))),"")</f>
        <v/>
      </c>
      <c r="O923" s="10">
        <f>IFERROR(IF(INDEX('Test catalog'!$J$2:$J$200,MATCH($AB923,'Test catalog'!$A$2:$A$200,0))="","",INDEX('Test catalog'!$J$2:$J$200,MATCH($AB923,'Test catalog'!$A$2:$A$200,0))),"")</f>
        <v/>
      </c>
      <c r="P923" s="14">
        <f>IF(N923="","",IF(OR(M923="",O923=""),N923,(M923+4*N923+O923)/6))</f>
        <v/>
      </c>
      <c r="Q923" s="10">
        <f>IFERROR(IF(INDEX('Test catalog'!$K$2:$K$200,MATCH($AB923,'Test catalog'!$A$2:$A$200,0))="","",INDEX('Test catalog'!$K$2:$K$200,MATCH($AB923,'Test catalog'!$A$2:$A$200,0))),"")</f>
        <v/>
      </c>
      <c r="R923" s="5" t="n"/>
      <c r="S923" s="10">
        <f>IFERROR(IF(INDEX('Test catalog'!$L$2:$L$200,MATCH($AB923,'Test catalog'!$A$2:$A$200,0))="","",INDEX('Test catalog'!$L$2:$L$200,MATCH($AB923,'Test catalog'!$A$2:$A$200,0))),"")</f>
        <v/>
      </c>
      <c r="T923" s="10">
        <f>IFERROR(IF(INDEX('Test catalog'!$M$2:$M$200,MATCH($AB923,'Test catalog'!$A$2:$A$200,0))="","",INDEX('Test catalog'!$M$2:$M$200,MATCH($AB923,'Test catalog'!$A$2:$A$200,0))),"")</f>
        <v/>
      </c>
      <c r="U923" s="10">
        <f>IFERROR(IF(INDEX('Test catalog'!$N$2:$N$200,MATCH($AB923,'Test catalog'!$A$2:$A$200,0))="","",INDEX('Test catalog'!$N$2:$N$200,MATCH($AB923,'Test catalog'!$A$2:$A$200,0))),"")</f>
        <v/>
      </c>
      <c r="V923" s="15" t="n"/>
      <c r="W923" s="5" t="inlineStr">
        <is>
          <t>N</t>
        </is>
      </c>
      <c r="X923" s="5" t="n"/>
      <c r="Y923" s="5" t="n"/>
      <c r="Z923" s="5" t="n"/>
      <c r="AA923" s="10">
        <f>IFERROR(IF(INDEX('Test catalog'!$O$2:$O$200,MATCH($AB923,'Test catalog'!$A$2:$A$200,0))="","",INDEX('Test catalog'!$O$2:$O$200,MATCH($AB923,'Test catalog'!$A$2:$A$200,0))),"")</f>
        <v/>
      </c>
      <c r="AB923" s="10" t="inlineStr">
        <is>
          <t>APPEAR</t>
        </is>
      </c>
      <c r="AC923" s="10" t="inlineStr">
        <is>
          <t>Lab practice (not a USP test)</t>
        </is>
      </c>
      <c r="AD923" s="10" t="n"/>
      <c r="AE923" s="10" t="n"/>
    </row>
    <row r="924">
      <c r="A924" s="10" t="inlineStr">
        <is>
          <t>Benzalkonium Alcohol 50%</t>
        </is>
      </c>
      <c r="B924" s="10" t="inlineStr">
        <is>
          <t>RM</t>
        </is>
      </c>
      <c r="C924" s="10" t="inlineStr">
        <is>
          <t>Preservative</t>
        </is>
      </c>
      <c r="D924" s="10" t="inlineStr">
        <is>
          <t>ID A - chemical reaction</t>
        </is>
      </c>
      <c r="E924" s="10">
        <f>IF(A924="","",A924&amp;"|"&amp;D924)</f>
        <v/>
      </c>
      <c r="F924" s="5" t="inlineStr">
        <is>
          <t>Y</t>
        </is>
      </c>
      <c r="G924" s="5" t="inlineStr">
        <is>
          <t>Other / bench</t>
        </is>
      </c>
      <c r="H924" s="5" t="inlineStr">
        <is>
          <t>Low</t>
        </is>
      </c>
      <c r="I924" s="5" t="n">
        <v>1</v>
      </c>
      <c r="J924" s="5" t="n"/>
      <c r="K924" s="10">
        <f>IFERROR(IF(INDEX('Test catalog'!$F$2:$F$200,MATCH($AB924,'Test catalog'!$A$2:$A$200,0))="","",INDEX('Test catalog'!$F$2:$F$200,MATCH($AB924,'Test catalog'!$A$2:$A$200,0))),"")</f>
        <v/>
      </c>
      <c r="L924" s="10">
        <f>IFERROR(IF(INDEX('Test catalog'!$G$2:$G$200,MATCH($AB924,'Test catalog'!$A$2:$A$200,0))="","",INDEX('Test catalog'!$G$2:$G$200,MATCH($AB924,'Test catalog'!$A$2:$A$200,0))),"")</f>
        <v/>
      </c>
      <c r="M924" s="10">
        <f>IFERROR(IF(INDEX('Test catalog'!$H$2:$H$200,MATCH($AB924,'Test catalog'!$A$2:$A$200,0))="","",INDEX('Test catalog'!$H$2:$H$200,MATCH($AB924,'Test catalog'!$A$2:$A$200,0))),"")</f>
        <v/>
      </c>
      <c r="N924" s="10">
        <f>IFERROR(IF(INDEX('Test catalog'!$I$2:$I$200,MATCH($AB924,'Test catalog'!$A$2:$A$200,0))="","",INDEX('Test catalog'!$I$2:$I$200,MATCH($AB924,'Test catalog'!$A$2:$A$200,0))),"")</f>
        <v/>
      </c>
      <c r="O924" s="10">
        <f>IFERROR(IF(INDEX('Test catalog'!$J$2:$J$200,MATCH($AB924,'Test catalog'!$A$2:$A$200,0))="","",INDEX('Test catalog'!$J$2:$J$200,MATCH($AB924,'Test catalog'!$A$2:$A$200,0))),"")</f>
        <v/>
      </c>
      <c r="P924" s="14">
        <f>IF(N924="","",IF(OR(M924="",O924=""),N924,(M924+4*N924+O924)/6))</f>
        <v/>
      </c>
      <c r="Q924" s="10">
        <f>IFERROR(IF(INDEX('Test catalog'!$K$2:$K$200,MATCH($AB924,'Test catalog'!$A$2:$A$200,0))="","",INDEX('Test catalog'!$K$2:$K$200,MATCH($AB924,'Test catalog'!$A$2:$A$200,0))),"")</f>
        <v/>
      </c>
      <c r="R924" s="5" t="n"/>
      <c r="S924" s="10">
        <f>IFERROR(IF(INDEX('Test catalog'!$L$2:$L$200,MATCH($AB924,'Test catalog'!$A$2:$A$200,0))="","",INDEX('Test catalog'!$L$2:$L$200,MATCH($AB924,'Test catalog'!$A$2:$A$200,0))),"")</f>
        <v/>
      </c>
      <c r="T924" s="10">
        <f>IFERROR(IF(INDEX('Test catalog'!$M$2:$M$200,MATCH($AB924,'Test catalog'!$A$2:$A$200,0))="","",INDEX('Test catalog'!$M$2:$M$200,MATCH($AB924,'Test catalog'!$A$2:$A$200,0))),"")</f>
        <v/>
      </c>
      <c r="U924" s="10">
        <f>IFERROR(IF(INDEX('Test catalog'!$N$2:$N$200,MATCH($AB924,'Test catalog'!$A$2:$A$200,0))="","",INDEX('Test catalog'!$N$2:$N$200,MATCH($AB924,'Test catalog'!$A$2:$A$200,0))),"")</f>
        <v/>
      </c>
      <c r="V924" s="15" t="n"/>
      <c r="W924" s="5" t="inlineStr">
        <is>
          <t>N</t>
        </is>
      </c>
      <c r="X924" s="5" t="n"/>
      <c r="Y924" s="5" t="n"/>
      <c r="Z924" s="5" t="n"/>
      <c r="AA924" s="10">
        <f>IFERROR(IF(INDEX('Test catalog'!$O$2:$O$200,MATCH($AB924,'Test catalog'!$A$2:$A$200,0))="","",INDEX('Test catalog'!$O$2:$O$200,MATCH($AB924,'Test catalog'!$A$2:$A$200,0))),"")</f>
        <v/>
      </c>
      <c r="AB924" s="10" t="inlineStr">
        <is>
          <t>ID_CHEM</t>
        </is>
      </c>
      <c r="AC924" s="10" t="inlineStr">
        <is>
          <t>Benzalkonium Chloride Solution · Identification</t>
        </is>
      </c>
      <c r="AD924" s="10" t="n"/>
      <c r="AE924" s="10" t="n"/>
    </row>
    <row r="925">
      <c r="A925" s="10" t="inlineStr">
        <is>
          <t>Benzalkonium Alcohol 50%</t>
        </is>
      </c>
      <c r="B925" s="10" t="inlineStr">
        <is>
          <t>RM</t>
        </is>
      </c>
      <c r="C925" s="10" t="inlineStr">
        <is>
          <t>Preservative</t>
        </is>
      </c>
      <c r="D925" s="10" t="inlineStr">
        <is>
          <t>ID B - chemical reaction</t>
        </is>
      </c>
      <c r="E925" s="10">
        <f>IF(A925="","",A925&amp;"|"&amp;D925)</f>
        <v/>
      </c>
      <c r="F925" s="5" t="inlineStr">
        <is>
          <t>Y</t>
        </is>
      </c>
      <c r="G925" s="5" t="inlineStr">
        <is>
          <t>Other / bench</t>
        </is>
      </c>
      <c r="H925" s="5" t="inlineStr">
        <is>
          <t>Low</t>
        </is>
      </c>
      <c r="I925" s="5" t="n">
        <v>1</v>
      </c>
      <c r="J925" s="5" t="n"/>
      <c r="K925" s="10">
        <f>IFERROR(IF(INDEX('Test catalog'!$F$2:$F$200,MATCH($AB925,'Test catalog'!$A$2:$A$200,0))="","",INDEX('Test catalog'!$F$2:$F$200,MATCH($AB925,'Test catalog'!$A$2:$A$200,0))),"")</f>
        <v/>
      </c>
      <c r="L925" s="10">
        <f>IFERROR(IF(INDEX('Test catalog'!$G$2:$G$200,MATCH($AB925,'Test catalog'!$A$2:$A$200,0))="","",INDEX('Test catalog'!$G$2:$G$200,MATCH($AB925,'Test catalog'!$A$2:$A$200,0))),"")</f>
        <v/>
      </c>
      <c r="M925" s="10">
        <f>IFERROR(IF(INDEX('Test catalog'!$H$2:$H$200,MATCH($AB925,'Test catalog'!$A$2:$A$200,0))="","",INDEX('Test catalog'!$H$2:$H$200,MATCH($AB925,'Test catalog'!$A$2:$A$200,0))),"")</f>
        <v/>
      </c>
      <c r="N925" s="10">
        <f>IFERROR(IF(INDEX('Test catalog'!$I$2:$I$200,MATCH($AB925,'Test catalog'!$A$2:$A$200,0))="","",INDEX('Test catalog'!$I$2:$I$200,MATCH($AB925,'Test catalog'!$A$2:$A$200,0))),"")</f>
        <v/>
      </c>
      <c r="O925" s="10">
        <f>IFERROR(IF(INDEX('Test catalog'!$J$2:$J$200,MATCH($AB925,'Test catalog'!$A$2:$A$200,0))="","",INDEX('Test catalog'!$J$2:$J$200,MATCH($AB925,'Test catalog'!$A$2:$A$200,0))),"")</f>
        <v/>
      </c>
      <c r="P925" s="14">
        <f>IF(N925="","",IF(OR(M925="",O925=""),N925,(M925+4*N925+O925)/6))</f>
        <v/>
      </c>
      <c r="Q925" s="10">
        <f>IFERROR(IF(INDEX('Test catalog'!$K$2:$K$200,MATCH($AB925,'Test catalog'!$A$2:$A$200,0))="","",INDEX('Test catalog'!$K$2:$K$200,MATCH($AB925,'Test catalog'!$A$2:$A$200,0))),"")</f>
        <v/>
      </c>
      <c r="R925" s="5" t="n"/>
      <c r="S925" s="10">
        <f>IFERROR(IF(INDEX('Test catalog'!$L$2:$L$200,MATCH($AB925,'Test catalog'!$A$2:$A$200,0))="","",INDEX('Test catalog'!$L$2:$L$200,MATCH($AB925,'Test catalog'!$A$2:$A$200,0))),"")</f>
        <v/>
      </c>
      <c r="T925" s="10">
        <f>IFERROR(IF(INDEX('Test catalog'!$M$2:$M$200,MATCH($AB925,'Test catalog'!$A$2:$A$200,0))="","",INDEX('Test catalog'!$M$2:$M$200,MATCH($AB925,'Test catalog'!$A$2:$A$200,0))),"")</f>
        <v/>
      </c>
      <c r="U925" s="10">
        <f>IFERROR(IF(INDEX('Test catalog'!$N$2:$N$200,MATCH($AB925,'Test catalog'!$A$2:$A$200,0))="","",INDEX('Test catalog'!$N$2:$N$200,MATCH($AB925,'Test catalog'!$A$2:$A$200,0))),"")</f>
        <v/>
      </c>
      <c r="V925" s="15" t="n"/>
      <c r="W925" s="5" t="inlineStr">
        <is>
          <t>N</t>
        </is>
      </c>
      <c r="X925" s="5" t="n"/>
      <c r="Y925" s="5" t="n"/>
      <c r="Z925" s="5" t="n"/>
      <c r="AA925" s="10">
        <f>IFERROR(IF(INDEX('Test catalog'!$O$2:$O$200,MATCH($AB925,'Test catalog'!$A$2:$A$200,0))="","",INDEX('Test catalog'!$O$2:$O$200,MATCH($AB925,'Test catalog'!$A$2:$A$200,0))),"")</f>
        <v/>
      </c>
      <c r="AB925" s="10" t="inlineStr">
        <is>
          <t>ID_CHEM</t>
        </is>
      </c>
      <c r="AC925" s="10" t="inlineStr">
        <is>
          <t>Benzalkonium Chloride Solution · Identification &lt;191&gt;</t>
        </is>
      </c>
      <c r="AD925" s="10" t="n"/>
      <c r="AE925" s="10" t="n"/>
    </row>
    <row r="926">
      <c r="A926" s="10" t="inlineStr">
        <is>
          <t>Benzalkonium Alcohol 50%</t>
        </is>
      </c>
      <c r="B926" s="10" t="inlineStr">
        <is>
          <t>RM</t>
        </is>
      </c>
      <c r="C926" s="10" t="inlineStr">
        <is>
          <t>Preservative</t>
        </is>
      </c>
      <c r="D926" s="10" t="inlineStr">
        <is>
          <t>ID C - chemical reaction</t>
        </is>
      </c>
      <c r="E926" s="10">
        <f>IF(A926="","",A926&amp;"|"&amp;D926)</f>
        <v/>
      </c>
      <c r="F926" s="5" t="inlineStr">
        <is>
          <t>Y</t>
        </is>
      </c>
      <c r="G926" s="5" t="inlineStr">
        <is>
          <t>Other / bench</t>
        </is>
      </c>
      <c r="H926" s="5" t="inlineStr">
        <is>
          <t>Low</t>
        </is>
      </c>
      <c r="I926" s="5" t="n">
        <v>1</v>
      </c>
      <c r="J926" s="5" t="n"/>
      <c r="K926" s="10">
        <f>IFERROR(IF(INDEX('Test catalog'!$F$2:$F$200,MATCH($AB926,'Test catalog'!$A$2:$A$200,0))="","",INDEX('Test catalog'!$F$2:$F$200,MATCH($AB926,'Test catalog'!$A$2:$A$200,0))),"")</f>
        <v/>
      </c>
      <c r="L926" s="10">
        <f>IFERROR(IF(INDEX('Test catalog'!$G$2:$G$200,MATCH($AB926,'Test catalog'!$A$2:$A$200,0))="","",INDEX('Test catalog'!$G$2:$G$200,MATCH($AB926,'Test catalog'!$A$2:$A$200,0))),"")</f>
        <v/>
      </c>
      <c r="M926" s="10">
        <f>IFERROR(IF(INDEX('Test catalog'!$H$2:$H$200,MATCH($AB926,'Test catalog'!$A$2:$A$200,0))="","",INDEX('Test catalog'!$H$2:$H$200,MATCH($AB926,'Test catalog'!$A$2:$A$200,0))),"")</f>
        <v/>
      </c>
      <c r="N926" s="10">
        <f>IFERROR(IF(INDEX('Test catalog'!$I$2:$I$200,MATCH($AB926,'Test catalog'!$A$2:$A$200,0))="","",INDEX('Test catalog'!$I$2:$I$200,MATCH($AB926,'Test catalog'!$A$2:$A$200,0))),"")</f>
        <v/>
      </c>
      <c r="O926" s="10">
        <f>IFERROR(IF(INDEX('Test catalog'!$J$2:$J$200,MATCH($AB926,'Test catalog'!$A$2:$A$200,0))="","",INDEX('Test catalog'!$J$2:$J$200,MATCH($AB926,'Test catalog'!$A$2:$A$200,0))),"")</f>
        <v/>
      </c>
      <c r="P926" s="14">
        <f>IF(N926="","",IF(OR(M926="",O926=""),N926,(M926+4*N926+O926)/6))</f>
        <v/>
      </c>
      <c r="Q926" s="10">
        <f>IFERROR(IF(INDEX('Test catalog'!$K$2:$K$200,MATCH($AB926,'Test catalog'!$A$2:$A$200,0))="","",INDEX('Test catalog'!$K$2:$K$200,MATCH($AB926,'Test catalog'!$A$2:$A$200,0))),"")</f>
        <v/>
      </c>
      <c r="R926" s="5" t="n"/>
      <c r="S926" s="10">
        <f>IFERROR(IF(INDEX('Test catalog'!$L$2:$L$200,MATCH($AB926,'Test catalog'!$A$2:$A$200,0))="","",INDEX('Test catalog'!$L$2:$L$200,MATCH($AB926,'Test catalog'!$A$2:$A$200,0))),"")</f>
        <v/>
      </c>
      <c r="T926" s="10">
        <f>IFERROR(IF(INDEX('Test catalog'!$M$2:$M$200,MATCH($AB926,'Test catalog'!$A$2:$A$200,0))="","",INDEX('Test catalog'!$M$2:$M$200,MATCH($AB926,'Test catalog'!$A$2:$A$200,0))),"")</f>
        <v/>
      </c>
      <c r="U926" s="10">
        <f>IFERROR(IF(INDEX('Test catalog'!$N$2:$N$200,MATCH($AB926,'Test catalog'!$A$2:$A$200,0))="","",INDEX('Test catalog'!$N$2:$N$200,MATCH($AB926,'Test catalog'!$A$2:$A$200,0))),"")</f>
        <v/>
      </c>
      <c r="V926" s="15" t="n"/>
      <c r="W926" s="5" t="inlineStr">
        <is>
          <t>N</t>
        </is>
      </c>
      <c r="X926" s="5" t="n"/>
      <c r="Y926" s="5" t="n"/>
      <c r="Z926" s="5" t="n"/>
      <c r="AA926" s="10">
        <f>IFERROR(IF(INDEX('Test catalog'!$O$2:$O$200,MATCH($AB926,'Test catalog'!$A$2:$A$200,0))="","",INDEX('Test catalog'!$O$2:$O$200,MATCH($AB926,'Test catalog'!$A$2:$A$200,0))),"")</f>
        <v/>
      </c>
      <c r="AB926" s="10" t="inlineStr">
        <is>
          <t>ID_CHEM</t>
        </is>
      </c>
      <c r="AC926" s="10" t="inlineStr">
        <is>
          <t>Benzalkonium Chloride Solution · Identification</t>
        </is>
      </c>
      <c r="AD926" s="10" t="n"/>
      <c r="AE926" s="10" t="n"/>
    </row>
    <row r="927">
      <c r="A927" s="10" t="inlineStr">
        <is>
          <t>Benzalkonium Alcohol 50%</t>
        </is>
      </c>
      <c r="B927" s="10" t="inlineStr">
        <is>
          <t>RM</t>
        </is>
      </c>
      <c r="C927" s="10" t="inlineStr">
        <is>
          <t>Preservative</t>
        </is>
      </c>
      <c r="D927" s="10" t="inlineStr">
        <is>
          <t>Assay - Ratio of Alkyl Components (HPLC)</t>
        </is>
      </c>
      <c r="E927" s="10">
        <f>IF(A927="","",A927&amp;"|"&amp;D927)</f>
        <v/>
      </c>
      <c r="F927" s="5" t="inlineStr">
        <is>
          <t>Y</t>
        </is>
      </c>
      <c r="G927" s="5" t="inlineStr">
        <is>
          <t>HPLC</t>
        </is>
      </c>
      <c r="H927" s="5" t="inlineStr">
        <is>
          <t>Medium</t>
        </is>
      </c>
      <c r="I927" s="5" t="n">
        <v>1</v>
      </c>
      <c r="J927" s="5" t="n"/>
      <c r="K927" s="5" t="n"/>
      <c r="L927" s="5" t="n"/>
      <c r="M927" s="5" t="n"/>
      <c r="N927" s="5" t="n"/>
      <c r="O927" s="5" t="n"/>
      <c r="P927" s="14">
        <f>IF(N927="","",IF(OR(M927="",O927=""),N927,(M927+4*N927+O927)/6))</f>
        <v/>
      </c>
      <c r="Q927" s="5" t="n"/>
      <c r="R927" s="5" t="n"/>
      <c r="S927" s="5" t="n"/>
      <c r="T927" s="5" t="n"/>
      <c r="U927" s="5" t="n"/>
      <c r="V927" s="15" t="n"/>
      <c r="W927" s="5" t="inlineStr">
        <is>
          <t>N</t>
        </is>
      </c>
      <c r="X927" s="5" t="n"/>
      <c r="Y927" s="5" t="n"/>
      <c r="Z927" s="5" t="inlineStr">
        <is>
          <t>Alternative assays - keep only the one you run</t>
        </is>
      </c>
      <c r="AA927" s="5" t="n"/>
      <c r="AB927" s="10" t="n"/>
      <c r="AC927" s="10" t="inlineStr">
        <is>
          <t>Benzalkonium Chloride Solution · Assay</t>
        </is>
      </c>
      <c r="AD927" s="10" t="n"/>
      <c r="AE927" s="10" t="n"/>
    </row>
    <row r="928">
      <c r="A928" s="10" t="inlineStr">
        <is>
          <t>Benzalkonium Alcohol 50%</t>
        </is>
      </c>
      <c r="B928" s="10" t="inlineStr">
        <is>
          <t>RM</t>
        </is>
      </c>
      <c r="C928" s="10" t="inlineStr">
        <is>
          <t>Preservative</t>
        </is>
      </c>
      <c r="D928" s="10" t="inlineStr">
        <is>
          <t>Assay - Total Alkylbenzyldimethylammonium Chlorides</t>
        </is>
      </c>
      <c r="E928" s="10">
        <f>IF(A928="","",A928&amp;"|"&amp;D928)</f>
        <v/>
      </c>
      <c r="F928" s="5" t="inlineStr">
        <is>
          <t>Y</t>
        </is>
      </c>
      <c r="G928" s="5" t="inlineStr">
        <is>
          <t>Other / bench</t>
        </is>
      </c>
      <c r="H928" s="5" t="inlineStr">
        <is>
          <t>Low</t>
        </is>
      </c>
      <c r="I928" s="5" t="n">
        <v>1</v>
      </c>
      <c r="J928" s="5" t="n"/>
      <c r="K928" s="10">
        <f>IFERROR(IF(INDEX('Test catalog'!$F$2:$F$200,MATCH($AB928,'Test catalog'!$A$2:$A$200,0))="","",INDEX('Test catalog'!$F$2:$F$200,MATCH($AB928,'Test catalog'!$A$2:$A$200,0))),"")</f>
        <v/>
      </c>
      <c r="L928" s="10">
        <f>IFERROR(IF(INDEX('Test catalog'!$G$2:$G$200,MATCH($AB928,'Test catalog'!$A$2:$A$200,0))="","",INDEX('Test catalog'!$G$2:$G$200,MATCH($AB928,'Test catalog'!$A$2:$A$200,0))),"")</f>
        <v/>
      </c>
      <c r="M928" s="10">
        <f>IFERROR(IF(INDEX('Test catalog'!$H$2:$H$200,MATCH($AB928,'Test catalog'!$A$2:$A$200,0))="","",INDEX('Test catalog'!$H$2:$H$200,MATCH($AB928,'Test catalog'!$A$2:$A$200,0))),"")</f>
        <v/>
      </c>
      <c r="N928" s="10">
        <f>IFERROR(IF(INDEX('Test catalog'!$I$2:$I$200,MATCH($AB928,'Test catalog'!$A$2:$A$200,0))="","",INDEX('Test catalog'!$I$2:$I$200,MATCH($AB928,'Test catalog'!$A$2:$A$200,0))),"")</f>
        <v/>
      </c>
      <c r="O928" s="10">
        <f>IFERROR(IF(INDEX('Test catalog'!$J$2:$J$200,MATCH($AB928,'Test catalog'!$A$2:$A$200,0))="","",INDEX('Test catalog'!$J$2:$J$200,MATCH($AB928,'Test catalog'!$A$2:$A$200,0))),"")</f>
        <v/>
      </c>
      <c r="P928" s="14">
        <f>IF(N928="","",IF(OR(M928="",O928=""),N928,(M928+4*N928+O928)/6))</f>
        <v/>
      </c>
      <c r="Q928" s="10">
        <f>IFERROR(IF(INDEX('Test catalog'!$K$2:$K$200,MATCH($AB928,'Test catalog'!$A$2:$A$200,0))="","",INDEX('Test catalog'!$K$2:$K$200,MATCH($AB928,'Test catalog'!$A$2:$A$200,0))),"")</f>
        <v/>
      </c>
      <c r="R928" s="5" t="n"/>
      <c r="S928" s="10">
        <f>IFERROR(IF(INDEX('Test catalog'!$L$2:$L$200,MATCH($AB928,'Test catalog'!$A$2:$A$200,0))="","",INDEX('Test catalog'!$L$2:$L$200,MATCH($AB928,'Test catalog'!$A$2:$A$200,0))),"")</f>
        <v/>
      </c>
      <c r="T928" s="10">
        <f>IFERROR(IF(INDEX('Test catalog'!$M$2:$M$200,MATCH($AB928,'Test catalog'!$A$2:$A$200,0))="","",INDEX('Test catalog'!$M$2:$M$200,MATCH($AB928,'Test catalog'!$A$2:$A$200,0))),"")</f>
        <v/>
      </c>
      <c r="U928" s="10">
        <f>IFERROR(IF(INDEX('Test catalog'!$N$2:$N$200,MATCH($AB928,'Test catalog'!$A$2:$A$200,0))="","",INDEX('Test catalog'!$N$2:$N$200,MATCH($AB928,'Test catalog'!$A$2:$A$200,0))),"")</f>
        <v/>
      </c>
      <c r="V928" s="15" t="n"/>
      <c r="W928" s="5" t="inlineStr">
        <is>
          <t>N</t>
        </is>
      </c>
      <c r="X928" s="5" t="n"/>
      <c r="Y928" s="5" t="n"/>
      <c r="Z928" s="5" t="inlineStr">
        <is>
          <t>Alternative assays - keep only the one you run</t>
        </is>
      </c>
      <c r="AA928" s="10">
        <f>IFERROR(IF(INDEX('Test catalog'!$O$2:$O$200,MATCH($AB928,'Test catalog'!$A$2:$A$200,0))="","",INDEX('Test catalog'!$O$2:$O$200,MATCH($AB928,'Test catalog'!$A$2:$A$200,0))),"")</f>
        <v/>
      </c>
      <c r="AB928" s="10" t="inlineStr">
        <is>
          <t>TITR</t>
        </is>
      </c>
      <c r="AC928" s="10" t="inlineStr">
        <is>
          <t>Benzalkonium Chloride Solution · Assay</t>
        </is>
      </c>
      <c r="AD928" s="10" t="n"/>
      <c r="AE928" s="10" t="n"/>
    </row>
    <row r="929">
      <c r="A929" s="10" t="inlineStr">
        <is>
          <t>Benzalkonium Alcohol 50%</t>
        </is>
      </c>
      <c r="B929" s="10" t="inlineStr">
        <is>
          <t>RM</t>
        </is>
      </c>
      <c r="C929" s="10" t="inlineStr">
        <is>
          <t>Preservative</t>
        </is>
      </c>
      <c r="D929" s="10" t="inlineStr">
        <is>
          <t>Alcohol Content (if added) (GC)</t>
        </is>
      </c>
      <c r="E929" s="10">
        <f>IF(A929="","",A929&amp;"|"&amp;D929)</f>
        <v/>
      </c>
      <c r="F929" s="5" t="inlineStr">
        <is>
          <t>Y</t>
        </is>
      </c>
      <c r="G929" s="5" t="inlineStr">
        <is>
          <t>GC</t>
        </is>
      </c>
      <c r="H929" s="5" t="inlineStr">
        <is>
          <t>Medium</t>
        </is>
      </c>
      <c r="I929" s="5" t="n">
        <v>1</v>
      </c>
      <c r="J929" s="5" t="n"/>
      <c r="K929" s="5" t="n"/>
      <c r="L929" s="5" t="n"/>
      <c r="M929" s="5" t="n"/>
      <c r="N929" s="5" t="n"/>
      <c r="O929" s="5" t="n"/>
      <c r="P929" s="14">
        <f>IF(N929="","",IF(OR(M929="",O929=""),N929,(M929+4*N929+O929)/6))</f>
        <v/>
      </c>
      <c r="Q929" s="5" t="n"/>
      <c r="R929" s="5" t="n"/>
      <c r="S929" s="5" t="n"/>
      <c r="T929" s="5" t="n"/>
      <c r="U929" s="5" t="n"/>
      <c r="V929" s="15" t="n"/>
      <c r="W929" s="5" t="inlineStr">
        <is>
          <t>N</t>
        </is>
      </c>
      <c r="X929" s="5" t="n"/>
      <c r="Y929" s="5" t="n"/>
      <c r="Z929" s="5" t="n"/>
      <c r="AA929" s="5" t="n"/>
      <c r="AB929" s="10" t="n"/>
      <c r="AC929" s="10" t="inlineStr">
        <is>
          <t>Benzalkonium Chloride Solution · Other Components</t>
        </is>
      </c>
      <c r="AD929" s="10" t="n"/>
      <c r="AE929" s="10" t="n"/>
    </row>
    <row r="930">
      <c r="A930" s="10" t="inlineStr">
        <is>
          <t>Benzalkonium Alcohol 50%</t>
        </is>
      </c>
      <c r="B930" s="10" t="inlineStr">
        <is>
          <t>RM</t>
        </is>
      </c>
      <c r="C930" s="10" t="inlineStr">
        <is>
          <t>Preservative</t>
        </is>
      </c>
      <c r="D930" s="10" t="inlineStr">
        <is>
          <t>Limit of Amines and Amine Salts</t>
        </is>
      </c>
      <c r="E930" s="10">
        <f>IF(A930="","",A930&amp;"|"&amp;D930)</f>
        <v/>
      </c>
      <c r="F930" s="5" t="inlineStr">
        <is>
          <t>Y</t>
        </is>
      </c>
      <c r="G930" s="5" t="inlineStr">
        <is>
          <t>Other / bench</t>
        </is>
      </c>
      <c r="H930" s="5" t="inlineStr">
        <is>
          <t>Low</t>
        </is>
      </c>
      <c r="I930" s="5" t="n">
        <v>1</v>
      </c>
      <c r="J930" s="5" t="n"/>
      <c r="K930" s="10">
        <f>IFERROR(IF(INDEX('Test catalog'!$F$2:$F$200,MATCH($AB930,'Test catalog'!$A$2:$A$200,0))="","",INDEX('Test catalog'!$F$2:$F$200,MATCH($AB930,'Test catalog'!$A$2:$A$200,0))),"")</f>
        <v/>
      </c>
      <c r="L930" s="10">
        <f>IFERROR(IF(INDEX('Test catalog'!$G$2:$G$200,MATCH($AB930,'Test catalog'!$A$2:$A$200,0))="","",INDEX('Test catalog'!$G$2:$G$200,MATCH($AB930,'Test catalog'!$A$2:$A$200,0))),"")</f>
        <v/>
      </c>
      <c r="M930" s="10">
        <f>IFERROR(IF(INDEX('Test catalog'!$H$2:$H$200,MATCH($AB930,'Test catalog'!$A$2:$A$200,0))="","",INDEX('Test catalog'!$H$2:$H$200,MATCH($AB930,'Test catalog'!$A$2:$A$200,0))),"")</f>
        <v/>
      </c>
      <c r="N930" s="10">
        <f>IFERROR(IF(INDEX('Test catalog'!$I$2:$I$200,MATCH($AB930,'Test catalog'!$A$2:$A$200,0))="","",INDEX('Test catalog'!$I$2:$I$200,MATCH($AB930,'Test catalog'!$A$2:$A$200,0))),"")</f>
        <v/>
      </c>
      <c r="O930" s="10">
        <f>IFERROR(IF(INDEX('Test catalog'!$J$2:$J$200,MATCH($AB930,'Test catalog'!$A$2:$A$200,0))="","",INDEX('Test catalog'!$J$2:$J$200,MATCH($AB930,'Test catalog'!$A$2:$A$200,0))),"")</f>
        <v/>
      </c>
      <c r="P930" s="14">
        <f>IF(N930="","",IF(OR(M930="",O930=""),N930,(M930+4*N930+O930)/6))</f>
        <v/>
      </c>
      <c r="Q930" s="10">
        <f>IFERROR(IF(INDEX('Test catalog'!$K$2:$K$200,MATCH($AB930,'Test catalog'!$A$2:$A$200,0))="","",INDEX('Test catalog'!$K$2:$K$200,MATCH($AB930,'Test catalog'!$A$2:$A$200,0))),"")</f>
        <v/>
      </c>
      <c r="R930" s="5" t="n"/>
      <c r="S930" s="10">
        <f>IFERROR(IF(INDEX('Test catalog'!$L$2:$L$200,MATCH($AB930,'Test catalog'!$A$2:$A$200,0))="","",INDEX('Test catalog'!$L$2:$L$200,MATCH($AB930,'Test catalog'!$A$2:$A$200,0))),"")</f>
        <v/>
      </c>
      <c r="T930" s="10">
        <f>IFERROR(IF(INDEX('Test catalog'!$M$2:$M$200,MATCH($AB930,'Test catalog'!$A$2:$A$200,0))="","",INDEX('Test catalog'!$M$2:$M$200,MATCH($AB930,'Test catalog'!$A$2:$A$200,0))),"")</f>
        <v/>
      </c>
      <c r="U930" s="10">
        <f>IFERROR(IF(INDEX('Test catalog'!$N$2:$N$200,MATCH($AB930,'Test catalog'!$A$2:$A$200,0))="","",INDEX('Test catalog'!$N$2:$N$200,MATCH($AB930,'Test catalog'!$A$2:$A$200,0))),"")</f>
        <v/>
      </c>
      <c r="V930" s="15" t="n"/>
      <c r="W930" s="5" t="inlineStr">
        <is>
          <t>N</t>
        </is>
      </c>
      <c r="X930" s="5" t="n"/>
      <c r="Y930" s="5" t="n"/>
      <c r="Z930" s="5" t="n"/>
      <c r="AA930" s="10">
        <f>IFERROR(IF(INDEX('Test catalog'!$O$2:$O$200,MATCH($AB930,'Test catalog'!$A$2:$A$200,0))="","",INDEX('Test catalog'!$O$2:$O$200,MATCH($AB930,'Test catalog'!$A$2:$A$200,0))),"")</f>
        <v/>
      </c>
      <c r="AB930" s="10" t="inlineStr">
        <is>
          <t>TITR</t>
        </is>
      </c>
      <c r="AC930" s="10" t="inlineStr">
        <is>
          <t>Benzalkonium Chloride Solution · Impurities</t>
        </is>
      </c>
      <c r="AD930" s="10" t="n"/>
      <c r="AE930" s="10" t="n"/>
    </row>
    <row r="931">
      <c r="A931" s="10" t="inlineStr">
        <is>
          <t>Benzalkonium Alcohol 50%</t>
        </is>
      </c>
      <c r="B931" s="10" t="inlineStr">
        <is>
          <t>RM</t>
        </is>
      </c>
      <c r="C931" s="10" t="inlineStr">
        <is>
          <t>Preservative</t>
        </is>
      </c>
      <c r="D931" s="10" t="inlineStr">
        <is>
          <t>Limit of Benzyl Alcohol, Benzaldehyde, and (Chloromethyl)benzene (HPLC)</t>
        </is>
      </c>
      <c r="E931" s="10">
        <f>IF(A931="","",A931&amp;"|"&amp;D931)</f>
        <v/>
      </c>
      <c r="F931" s="5" t="inlineStr">
        <is>
          <t>Y</t>
        </is>
      </c>
      <c r="G931" s="5" t="inlineStr">
        <is>
          <t>HPLC</t>
        </is>
      </c>
      <c r="H931" s="5" t="inlineStr">
        <is>
          <t>Medium</t>
        </is>
      </c>
      <c r="I931" s="5" t="n">
        <v>1</v>
      </c>
      <c r="J931" s="5" t="n"/>
      <c r="K931" s="5" t="n"/>
      <c r="L931" s="5" t="n"/>
      <c r="M931" s="5" t="n"/>
      <c r="N931" s="5" t="n"/>
      <c r="O931" s="5" t="n"/>
      <c r="P931" s="14">
        <f>IF(N931="","",IF(OR(M931="",O931=""),N931,(M931+4*N931+O931)/6))</f>
        <v/>
      </c>
      <c r="Q931" s="5" t="n"/>
      <c r="R931" s="5" t="n"/>
      <c r="S931" s="5" t="n"/>
      <c r="T931" s="5" t="n"/>
      <c r="U931" s="5" t="n"/>
      <c r="V931" s="15" t="n"/>
      <c r="W931" s="5" t="inlineStr">
        <is>
          <t>N</t>
        </is>
      </c>
      <c r="X931" s="5" t="n"/>
      <c r="Y931" s="5" t="n"/>
      <c r="Z931" s="5" t="n"/>
      <c r="AA931" s="5" t="n"/>
      <c r="AB931" s="10" t="n"/>
      <c r="AC931" s="10" t="inlineStr">
        <is>
          <t>Benzalkonium Chloride Solution · Impurities</t>
        </is>
      </c>
      <c r="AD931" s="10" t="n"/>
      <c r="AE931" s="10" t="n"/>
    </row>
    <row r="932">
      <c r="A932" s="10" t="inlineStr">
        <is>
          <t>Benzalkonium Alcohol 50%</t>
        </is>
      </c>
      <c r="B932" s="10" t="inlineStr">
        <is>
          <t>RM</t>
        </is>
      </c>
      <c r="C932" s="10" t="inlineStr">
        <is>
          <t>Preservative</t>
        </is>
      </c>
      <c r="D932" s="10" t="inlineStr">
        <is>
          <t>Acidity or Alkalinity</t>
        </is>
      </c>
      <c r="E932" s="10">
        <f>IF(A932="","",A932&amp;"|"&amp;D932)</f>
        <v/>
      </c>
      <c r="F932" s="5" t="inlineStr">
        <is>
          <t>Y</t>
        </is>
      </c>
      <c r="G932" s="5" t="inlineStr">
        <is>
          <t>Other / bench</t>
        </is>
      </c>
      <c r="H932" s="5" t="inlineStr">
        <is>
          <t>Low</t>
        </is>
      </c>
      <c r="I932" s="5" t="n">
        <v>1</v>
      </c>
      <c r="J932" s="5" t="n"/>
      <c r="K932" s="10">
        <f>IFERROR(IF(INDEX('Test catalog'!$F$2:$F$200,MATCH($AB932,'Test catalog'!$A$2:$A$200,0))="","",INDEX('Test catalog'!$F$2:$F$200,MATCH($AB932,'Test catalog'!$A$2:$A$200,0))),"")</f>
        <v/>
      </c>
      <c r="L932" s="10">
        <f>IFERROR(IF(INDEX('Test catalog'!$G$2:$G$200,MATCH($AB932,'Test catalog'!$A$2:$A$200,0))="","",INDEX('Test catalog'!$G$2:$G$200,MATCH($AB932,'Test catalog'!$A$2:$A$200,0))),"")</f>
        <v/>
      </c>
      <c r="M932" s="10">
        <f>IFERROR(IF(INDEX('Test catalog'!$H$2:$H$200,MATCH($AB932,'Test catalog'!$A$2:$A$200,0))="","",INDEX('Test catalog'!$H$2:$H$200,MATCH($AB932,'Test catalog'!$A$2:$A$200,0))),"")</f>
        <v/>
      </c>
      <c r="N932" s="10">
        <f>IFERROR(IF(INDEX('Test catalog'!$I$2:$I$200,MATCH($AB932,'Test catalog'!$A$2:$A$200,0))="","",INDEX('Test catalog'!$I$2:$I$200,MATCH($AB932,'Test catalog'!$A$2:$A$200,0))),"")</f>
        <v/>
      </c>
      <c r="O932" s="10">
        <f>IFERROR(IF(INDEX('Test catalog'!$J$2:$J$200,MATCH($AB932,'Test catalog'!$A$2:$A$200,0))="","",INDEX('Test catalog'!$J$2:$J$200,MATCH($AB932,'Test catalog'!$A$2:$A$200,0))),"")</f>
        <v/>
      </c>
      <c r="P932" s="14">
        <f>IF(N932="","",IF(OR(M932="",O932=""),N932,(M932+4*N932+O932)/6))</f>
        <v/>
      </c>
      <c r="Q932" s="10">
        <f>IFERROR(IF(INDEX('Test catalog'!$K$2:$K$200,MATCH($AB932,'Test catalog'!$A$2:$A$200,0))="","",INDEX('Test catalog'!$K$2:$K$200,MATCH($AB932,'Test catalog'!$A$2:$A$200,0))),"")</f>
        <v/>
      </c>
      <c r="R932" s="5" t="n"/>
      <c r="S932" s="10">
        <f>IFERROR(IF(INDEX('Test catalog'!$L$2:$L$200,MATCH($AB932,'Test catalog'!$A$2:$A$200,0))="","",INDEX('Test catalog'!$L$2:$L$200,MATCH($AB932,'Test catalog'!$A$2:$A$200,0))),"")</f>
        <v/>
      </c>
      <c r="T932" s="10">
        <f>IFERROR(IF(INDEX('Test catalog'!$M$2:$M$200,MATCH($AB932,'Test catalog'!$A$2:$A$200,0))="","",INDEX('Test catalog'!$M$2:$M$200,MATCH($AB932,'Test catalog'!$A$2:$A$200,0))),"")</f>
        <v/>
      </c>
      <c r="U932" s="10">
        <f>IFERROR(IF(INDEX('Test catalog'!$N$2:$N$200,MATCH($AB932,'Test catalog'!$A$2:$A$200,0))="","",INDEX('Test catalog'!$N$2:$N$200,MATCH($AB932,'Test catalog'!$A$2:$A$200,0))),"")</f>
        <v/>
      </c>
      <c r="V932" s="15" t="n"/>
      <c r="W932" s="5" t="inlineStr">
        <is>
          <t>N</t>
        </is>
      </c>
      <c r="X932" s="5" t="n"/>
      <c r="Y932" s="5" t="n"/>
      <c r="Z932" s="5" t="n"/>
      <c r="AA932" s="10">
        <f>IFERROR(IF(INDEX('Test catalog'!$O$2:$O$200,MATCH($AB932,'Test catalog'!$A$2:$A$200,0))="","",INDEX('Test catalog'!$O$2:$O$200,MATCH($AB932,'Test catalog'!$A$2:$A$200,0))),"")</f>
        <v/>
      </c>
      <c r="AB932" s="10" t="inlineStr">
        <is>
          <t>ACID</t>
        </is>
      </c>
      <c r="AC932" s="10" t="inlineStr">
        <is>
          <t>Benzalkonium Chloride Solution · Specific Tests</t>
        </is>
      </c>
      <c r="AD932" s="10" t="n"/>
      <c r="AE932" s="10" t="n"/>
    </row>
    <row r="933">
      <c r="A933" s="10" t="inlineStr">
        <is>
          <t>Methyl Paraben</t>
        </is>
      </c>
      <c r="B933" s="10" t="inlineStr">
        <is>
          <t>RM</t>
        </is>
      </c>
      <c r="C933" s="10" t="inlineStr">
        <is>
          <t>Preservative</t>
        </is>
      </c>
      <c r="D933" s="10" t="inlineStr">
        <is>
          <t>Appearance / description and solubility</t>
        </is>
      </c>
      <c r="E933" s="10">
        <f>IF(A933="","",A933&amp;"|"&amp;D933)</f>
        <v/>
      </c>
      <c r="F933" s="5" t="inlineStr">
        <is>
          <t>Y</t>
        </is>
      </c>
      <c r="G933" s="5" t="inlineStr">
        <is>
          <t>Other / bench</t>
        </is>
      </c>
      <c r="H933" s="5" t="inlineStr">
        <is>
          <t>Low</t>
        </is>
      </c>
      <c r="I933" s="5" t="n">
        <v>1</v>
      </c>
      <c r="J933" s="5" t="n"/>
      <c r="K933" s="10">
        <f>IFERROR(IF(INDEX('Test catalog'!$F$2:$F$200,MATCH($AB933,'Test catalog'!$A$2:$A$200,0))="","",INDEX('Test catalog'!$F$2:$F$200,MATCH($AB933,'Test catalog'!$A$2:$A$200,0))),"")</f>
        <v/>
      </c>
      <c r="L933" s="10">
        <f>IFERROR(IF(INDEX('Test catalog'!$G$2:$G$200,MATCH($AB933,'Test catalog'!$A$2:$A$200,0))="","",INDEX('Test catalog'!$G$2:$G$200,MATCH($AB933,'Test catalog'!$A$2:$A$200,0))),"")</f>
        <v/>
      </c>
      <c r="M933" s="10">
        <f>IFERROR(IF(INDEX('Test catalog'!$H$2:$H$200,MATCH($AB933,'Test catalog'!$A$2:$A$200,0))="","",INDEX('Test catalog'!$H$2:$H$200,MATCH($AB933,'Test catalog'!$A$2:$A$200,0))),"")</f>
        <v/>
      </c>
      <c r="N933" s="10">
        <f>IFERROR(IF(INDEX('Test catalog'!$I$2:$I$200,MATCH($AB933,'Test catalog'!$A$2:$A$200,0))="","",INDEX('Test catalog'!$I$2:$I$200,MATCH($AB933,'Test catalog'!$A$2:$A$200,0))),"")</f>
        <v/>
      </c>
      <c r="O933" s="10">
        <f>IFERROR(IF(INDEX('Test catalog'!$J$2:$J$200,MATCH($AB933,'Test catalog'!$A$2:$A$200,0))="","",INDEX('Test catalog'!$J$2:$J$200,MATCH($AB933,'Test catalog'!$A$2:$A$200,0))),"")</f>
        <v/>
      </c>
      <c r="P933" s="14">
        <f>IF(N933="","",IF(OR(M933="",O933=""),N933,(M933+4*N933+O933)/6))</f>
        <v/>
      </c>
      <c r="Q933" s="10">
        <f>IFERROR(IF(INDEX('Test catalog'!$K$2:$K$200,MATCH($AB933,'Test catalog'!$A$2:$A$200,0))="","",INDEX('Test catalog'!$K$2:$K$200,MATCH($AB933,'Test catalog'!$A$2:$A$200,0))),"")</f>
        <v/>
      </c>
      <c r="R933" s="5" t="n"/>
      <c r="S933" s="10">
        <f>IFERROR(IF(INDEX('Test catalog'!$L$2:$L$200,MATCH($AB933,'Test catalog'!$A$2:$A$200,0))="","",INDEX('Test catalog'!$L$2:$L$200,MATCH($AB933,'Test catalog'!$A$2:$A$200,0))),"")</f>
        <v/>
      </c>
      <c r="T933" s="10">
        <f>IFERROR(IF(INDEX('Test catalog'!$M$2:$M$200,MATCH($AB933,'Test catalog'!$A$2:$A$200,0))="","",INDEX('Test catalog'!$M$2:$M$200,MATCH($AB933,'Test catalog'!$A$2:$A$200,0))),"")</f>
        <v/>
      </c>
      <c r="U933" s="10">
        <f>IFERROR(IF(INDEX('Test catalog'!$N$2:$N$200,MATCH($AB933,'Test catalog'!$A$2:$A$200,0))="","",INDEX('Test catalog'!$N$2:$N$200,MATCH($AB933,'Test catalog'!$A$2:$A$200,0))),"")</f>
        <v/>
      </c>
      <c r="V933" s="15" t="n"/>
      <c r="W933" s="5" t="inlineStr">
        <is>
          <t>N</t>
        </is>
      </c>
      <c r="X933" s="5" t="n"/>
      <c r="Y933" s="5" t="n"/>
      <c r="Z933" s="5" t="n"/>
      <c r="AA933" s="10">
        <f>IFERROR(IF(INDEX('Test catalog'!$O$2:$O$200,MATCH($AB933,'Test catalog'!$A$2:$A$200,0))="","",INDEX('Test catalog'!$O$2:$O$200,MATCH($AB933,'Test catalog'!$A$2:$A$200,0))),"")</f>
        <v/>
      </c>
      <c r="AB933" s="10" t="inlineStr">
        <is>
          <t>APPEAR</t>
        </is>
      </c>
      <c r="AC933" s="10" t="inlineStr">
        <is>
          <t>Lab practice (not a USP test)</t>
        </is>
      </c>
      <c r="AD933" s="10" t="n"/>
      <c r="AE933" s="10" t="n"/>
    </row>
    <row r="934">
      <c r="A934" s="10" t="inlineStr">
        <is>
          <t>Methyl Paraben</t>
        </is>
      </c>
      <c r="B934" s="10" t="inlineStr">
        <is>
          <t>RM</t>
        </is>
      </c>
      <c r="C934" s="10" t="inlineStr">
        <is>
          <t>Preservative</t>
        </is>
      </c>
      <c r="D934" s="10" t="inlineStr">
        <is>
          <t>ID A - IR spectrum</t>
        </is>
      </c>
      <c r="E934" s="10">
        <f>IF(A934="","",A934&amp;"|"&amp;D934)</f>
        <v/>
      </c>
      <c r="F934" s="5" t="inlineStr">
        <is>
          <t>Y</t>
        </is>
      </c>
      <c r="G934" s="5" t="inlineStr">
        <is>
          <t>Other / bench</t>
        </is>
      </c>
      <c r="H934" s="5" t="inlineStr">
        <is>
          <t>Low</t>
        </is>
      </c>
      <c r="I934" s="5" t="n">
        <v>1</v>
      </c>
      <c r="J934" s="5" t="n"/>
      <c r="K934" s="10">
        <f>IFERROR(IF(INDEX('Test catalog'!$F$2:$F$200,MATCH($AB934,'Test catalog'!$A$2:$A$200,0))="","",INDEX('Test catalog'!$F$2:$F$200,MATCH($AB934,'Test catalog'!$A$2:$A$200,0))),"")</f>
        <v/>
      </c>
      <c r="L934" s="10">
        <f>IFERROR(IF(INDEX('Test catalog'!$G$2:$G$200,MATCH($AB934,'Test catalog'!$A$2:$A$200,0))="","",INDEX('Test catalog'!$G$2:$G$200,MATCH($AB934,'Test catalog'!$A$2:$A$200,0))),"")</f>
        <v/>
      </c>
      <c r="M934" s="10">
        <f>IFERROR(IF(INDEX('Test catalog'!$H$2:$H$200,MATCH($AB934,'Test catalog'!$A$2:$A$200,0))="","",INDEX('Test catalog'!$H$2:$H$200,MATCH($AB934,'Test catalog'!$A$2:$A$200,0))),"")</f>
        <v/>
      </c>
      <c r="N934" s="10">
        <f>IFERROR(IF(INDEX('Test catalog'!$I$2:$I$200,MATCH($AB934,'Test catalog'!$A$2:$A$200,0))="","",INDEX('Test catalog'!$I$2:$I$200,MATCH($AB934,'Test catalog'!$A$2:$A$200,0))),"")</f>
        <v/>
      </c>
      <c r="O934" s="10">
        <f>IFERROR(IF(INDEX('Test catalog'!$J$2:$J$200,MATCH($AB934,'Test catalog'!$A$2:$A$200,0))="","",INDEX('Test catalog'!$J$2:$J$200,MATCH($AB934,'Test catalog'!$A$2:$A$200,0))),"")</f>
        <v/>
      </c>
      <c r="P934" s="14">
        <f>IF(N934="","",IF(OR(M934="",O934=""),N934,(M934+4*N934+O934)/6))</f>
        <v/>
      </c>
      <c r="Q934" s="10">
        <f>IFERROR(IF(INDEX('Test catalog'!$K$2:$K$200,MATCH($AB934,'Test catalog'!$A$2:$A$200,0))="","",INDEX('Test catalog'!$K$2:$K$200,MATCH($AB934,'Test catalog'!$A$2:$A$200,0))),"")</f>
        <v/>
      </c>
      <c r="R934" s="5" t="n"/>
      <c r="S934" s="10">
        <f>IFERROR(IF(INDEX('Test catalog'!$L$2:$L$200,MATCH($AB934,'Test catalog'!$A$2:$A$200,0))="","",INDEX('Test catalog'!$L$2:$L$200,MATCH($AB934,'Test catalog'!$A$2:$A$200,0))),"")</f>
        <v/>
      </c>
      <c r="T934" s="10">
        <f>IFERROR(IF(INDEX('Test catalog'!$M$2:$M$200,MATCH($AB934,'Test catalog'!$A$2:$A$200,0))="","",INDEX('Test catalog'!$M$2:$M$200,MATCH($AB934,'Test catalog'!$A$2:$A$200,0))),"")</f>
        <v/>
      </c>
      <c r="U934" s="10">
        <f>IFERROR(IF(INDEX('Test catalog'!$N$2:$N$200,MATCH($AB934,'Test catalog'!$A$2:$A$200,0))="","",INDEX('Test catalog'!$N$2:$N$200,MATCH($AB934,'Test catalog'!$A$2:$A$200,0))),"")</f>
        <v/>
      </c>
      <c r="V934" s="15" t="n"/>
      <c r="W934" s="5" t="inlineStr">
        <is>
          <t>N</t>
        </is>
      </c>
      <c r="X934" s="5" t="n"/>
      <c r="Y934" s="5" t="n"/>
      <c r="Z934" s="5" t="n"/>
      <c r="AA934" s="10">
        <f>IFERROR(IF(INDEX('Test catalog'!$O$2:$O$200,MATCH($AB934,'Test catalog'!$A$2:$A$200,0))="","",INDEX('Test catalog'!$O$2:$O$200,MATCH($AB934,'Test catalog'!$A$2:$A$200,0))),"")</f>
        <v/>
      </c>
      <c r="AB934" s="10" t="inlineStr">
        <is>
          <t>ID_IR</t>
        </is>
      </c>
      <c r="AC934" s="10" t="inlineStr">
        <is>
          <t>Methylparaben · Identification &lt;197&gt;</t>
        </is>
      </c>
      <c r="AD934" s="10" t="n"/>
      <c r="AE934" s="10" t="n"/>
    </row>
    <row r="935">
      <c r="A935" s="10" t="inlineStr">
        <is>
          <t>Methyl Paraben</t>
        </is>
      </c>
      <c r="B935" s="10" t="inlineStr">
        <is>
          <t>RM</t>
        </is>
      </c>
      <c r="C935" s="10" t="inlineStr">
        <is>
          <t>Preservative</t>
        </is>
      </c>
      <c r="D935" s="10" t="inlineStr">
        <is>
          <t>Assay (HPLC)</t>
        </is>
      </c>
      <c r="E935" s="10">
        <f>IF(A935="","",A935&amp;"|"&amp;D935)</f>
        <v/>
      </c>
      <c r="F935" s="5" t="inlineStr">
        <is>
          <t>Y</t>
        </is>
      </c>
      <c r="G935" s="5" t="inlineStr">
        <is>
          <t>HPLC</t>
        </is>
      </c>
      <c r="H935" s="5" t="inlineStr">
        <is>
          <t>Medium</t>
        </is>
      </c>
      <c r="I935" s="5" t="n">
        <v>1</v>
      </c>
      <c r="J935" s="5" t="n"/>
      <c r="K935" s="5" t="n"/>
      <c r="L935" s="5" t="n"/>
      <c r="M935" s="5" t="n"/>
      <c r="N935" s="5" t="n"/>
      <c r="O935" s="5" t="n"/>
      <c r="P935" s="14">
        <f>IF(N935="","",IF(OR(M935="",O935=""),N935,(M935+4*N935+O935)/6))</f>
        <v/>
      </c>
      <c r="Q935" s="5" t="n"/>
      <c r="R935" s="5" t="n"/>
      <c r="S935" s="5" t="n"/>
      <c r="T935" s="5" t="n"/>
      <c r="U935" s="5" t="n"/>
      <c r="V935" s="15" t="n"/>
      <c r="W935" s="5" t="inlineStr">
        <is>
          <t>N</t>
        </is>
      </c>
      <c r="X935" s="5" t="n"/>
      <c r="Y935" s="5" t="n"/>
      <c r="Z935" s="5" t="n"/>
      <c r="AA935" s="5" t="n"/>
      <c r="AB935" s="10" t="n"/>
      <c r="AC935" s="10" t="inlineStr">
        <is>
          <t>Methylparaben · Assay &lt;741&gt;</t>
        </is>
      </c>
      <c r="AD935" s="10" t="n"/>
      <c r="AE935" s="10" t="n"/>
    </row>
    <row r="936">
      <c r="A936" s="10" t="inlineStr">
        <is>
          <t>Methyl Paraben</t>
        </is>
      </c>
      <c r="B936" s="10" t="inlineStr">
        <is>
          <t>RM</t>
        </is>
      </c>
      <c r="C936" s="10" t="inlineStr">
        <is>
          <t>Preservative</t>
        </is>
      </c>
      <c r="D936" s="10" t="inlineStr">
        <is>
          <t>ID B - HPLC</t>
        </is>
      </c>
      <c r="E936" s="10">
        <f>IF(A936="","",A936&amp;"|"&amp;D936)</f>
        <v/>
      </c>
      <c r="F936" s="5" t="inlineStr">
        <is>
          <t>Y</t>
        </is>
      </c>
      <c r="G936" s="5" t="inlineStr">
        <is>
          <t>HPLC</t>
        </is>
      </c>
      <c r="H936" s="5" t="inlineStr">
        <is>
          <t>Medium</t>
        </is>
      </c>
      <c r="I936" s="5" t="n">
        <v>1</v>
      </c>
      <c r="J936" s="5" t="n"/>
      <c r="K936" s="5" t="n"/>
      <c r="L936" s="5" t="n"/>
      <c r="M936" s="5" t="n"/>
      <c r="N936" s="5" t="n"/>
      <c r="O936" s="5" t="n"/>
      <c r="P936" s="14">
        <f>IF(N936="","",IF(OR(M936="",O936=""),N936,(M936+4*N936+O936)/6))</f>
        <v/>
      </c>
      <c r="Q936" s="5" t="n"/>
      <c r="R936" s="5" t="n"/>
      <c r="S936" s="5" t="n"/>
      <c r="T936" s="5" t="n"/>
      <c r="U936" s="5" t="n"/>
      <c r="V936" s="15" t="n"/>
      <c r="W936" s="5" t="inlineStr">
        <is>
          <t>N</t>
        </is>
      </c>
      <c r="X936" s="5" t="n"/>
      <c r="Y936" s="5" t="n"/>
      <c r="Z936" s="5" t="n"/>
      <c r="AA936" s="5" t="n"/>
      <c r="AB936" s="10" t="n"/>
      <c r="AC936" s="10" t="inlineStr">
        <is>
          <t>Methylparaben · Identification &lt;741&gt;</t>
        </is>
      </c>
      <c r="AD936" s="10" t="n"/>
      <c r="AE936" s="10" t="n"/>
    </row>
    <row r="937">
      <c r="A937" s="10" t="inlineStr">
        <is>
          <t>Methyl Paraben</t>
        </is>
      </c>
      <c r="B937" s="10" t="inlineStr">
        <is>
          <t>RM</t>
        </is>
      </c>
      <c r="C937" s="10" t="inlineStr">
        <is>
          <t>Preservative</t>
        </is>
      </c>
      <c r="D937" s="10" t="inlineStr">
        <is>
          <t>Residue on Ignition</t>
        </is>
      </c>
      <c r="E937" s="10">
        <f>IF(A937="","",A937&amp;"|"&amp;D937)</f>
        <v/>
      </c>
      <c r="F937" s="5" t="inlineStr">
        <is>
          <t>Y</t>
        </is>
      </c>
      <c r="G937" s="5" t="inlineStr">
        <is>
          <t>Other / bench</t>
        </is>
      </c>
      <c r="H937" s="5" t="inlineStr">
        <is>
          <t>Low</t>
        </is>
      </c>
      <c r="I937" s="5" t="n">
        <v>1</v>
      </c>
      <c r="J937" s="5" t="n"/>
      <c r="K937" s="10">
        <f>IFERROR(IF(INDEX('Test catalog'!$F$2:$F$200,MATCH($AB937,'Test catalog'!$A$2:$A$200,0))="","",INDEX('Test catalog'!$F$2:$F$200,MATCH($AB937,'Test catalog'!$A$2:$A$200,0))),"")</f>
        <v/>
      </c>
      <c r="L937" s="10">
        <f>IFERROR(IF(INDEX('Test catalog'!$G$2:$G$200,MATCH($AB937,'Test catalog'!$A$2:$A$200,0))="","",INDEX('Test catalog'!$G$2:$G$200,MATCH($AB937,'Test catalog'!$A$2:$A$200,0))),"")</f>
        <v/>
      </c>
      <c r="M937" s="10">
        <f>IFERROR(IF(INDEX('Test catalog'!$H$2:$H$200,MATCH($AB937,'Test catalog'!$A$2:$A$200,0))="","",INDEX('Test catalog'!$H$2:$H$200,MATCH($AB937,'Test catalog'!$A$2:$A$200,0))),"")</f>
        <v/>
      </c>
      <c r="N937" s="10">
        <f>IFERROR(IF(INDEX('Test catalog'!$I$2:$I$200,MATCH($AB937,'Test catalog'!$A$2:$A$200,0))="","",INDEX('Test catalog'!$I$2:$I$200,MATCH($AB937,'Test catalog'!$A$2:$A$200,0))),"")</f>
        <v/>
      </c>
      <c r="O937" s="10">
        <f>IFERROR(IF(INDEX('Test catalog'!$J$2:$J$200,MATCH($AB937,'Test catalog'!$A$2:$A$200,0))="","",INDEX('Test catalog'!$J$2:$J$200,MATCH($AB937,'Test catalog'!$A$2:$A$200,0))),"")</f>
        <v/>
      </c>
      <c r="P937" s="14">
        <f>IF(N937="","",IF(OR(M937="",O937=""),N937,(M937+4*N937+O937)/6))</f>
        <v/>
      </c>
      <c r="Q937" s="10">
        <f>IFERROR(IF(INDEX('Test catalog'!$K$2:$K$200,MATCH($AB937,'Test catalog'!$A$2:$A$200,0))="","",INDEX('Test catalog'!$K$2:$K$200,MATCH($AB937,'Test catalog'!$A$2:$A$200,0))),"")</f>
        <v/>
      </c>
      <c r="R937" s="5" t="n"/>
      <c r="S937" s="10">
        <f>IFERROR(IF(INDEX('Test catalog'!$L$2:$L$200,MATCH($AB937,'Test catalog'!$A$2:$A$200,0))="","",INDEX('Test catalog'!$L$2:$L$200,MATCH($AB937,'Test catalog'!$A$2:$A$200,0))),"")</f>
        <v/>
      </c>
      <c r="T937" s="10">
        <f>IFERROR(IF(INDEX('Test catalog'!$M$2:$M$200,MATCH($AB937,'Test catalog'!$A$2:$A$200,0))="","",INDEX('Test catalog'!$M$2:$M$200,MATCH($AB937,'Test catalog'!$A$2:$A$200,0))),"")</f>
        <v/>
      </c>
      <c r="U937" s="10">
        <f>IFERROR(IF(INDEX('Test catalog'!$N$2:$N$200,MATCH($AB937,'Test catalog'!$A$2:$A$200,0))="","",INDEX('Test catalog'!$N$2:$N$200,MATCH($AB937,'Test catalog'!$A$2:$A$200,0))),"")</f>
        <v/>
      </c>
      <c r="V937" s="15" t="n"/>
      <c r="W937" s="5" t="inlineStr">
        <is>
          <t>N</t>
        </is>
      </c>
      <c r="X937" s="5" t="n"/>
      <c r="Y937" s="5" t="n"/>
      <c r="Z937" s="5" t="n"/>
      <c r="AA937" s="10">
        <f>IFERROR(IF(INDEX('Test catalog'!$O$2:$O$200,MATCH($AB937,'Test catalog'!$A$2:$A$200,0))="","",INDEX('Test catalog'!$O$2:$O$200,MATCH($AB937,'Test catalog'!$A$2:$A$200,0))),"")</f>
        <v/>
      </c>
      <c r="AB937" s="10" t="inlineStr">
        <is>
          <t>ROI</t>
        </is>
      </c>
      <c r="AC937" s="10" t="inlineStr">
        <is>
          <t>Methylparaben · Impurities &lt;281&gt;</t>
        </is>
      </c>
      <c r="AD937" s="10" t="n"/>
      <c r="AE937" s="10" t="n"/>
    </row>
    <row r="938">
      <c r="A938" s="10" t="inlineStr">
        <is>
          <t>Methyl Paraben</t>
        </is>
      </c>
      <c r="B938" s="10" t="inlineStr">
        <is>
          <t>RM</t>
        </is>
      </c>
      <c r="C938" s="10" t="inlineStr">
        <is>
          <t>Preservative</t>
        </is>
      </c>
      <c r="D938" s="10" t="inlineStr">
        <is>
          <t>Procedure (HPLC)</t>
        </is>
      </c>
      <c r="E938" s="10">
        <f>IF(A938="","",A938&amp;"|"&amp;D938)</f>
        <v/>
      </c>
      <c r="F938" s="5" t="inlineStr">
        <is>
          <t>Y</t>
        </is>
      </c>
      <c r="G938" s="5" t="inlineStr">
        <is>
          <t>HPLC</t>
        </is>
      </c>
      <c r="H938" s="5" t="inlineStr">
        <is>
          <t>Medium</t>
        </is>
      </c>
      <c r="I938" s="5" t="n">
        <v>1</v>
      </c>
      <c r="J938" s="5" t="n"/>
      <c r="K938" s="5" t="n"/>
      <c r="L938" s="5" t="n"/>
      <c r="M938" s="5" t="n"/>
      <c r="N938" s="5" t="n"/>
      <c r="O938" s="5" t="n"/>
      <c r="P938" s="14">
        <f>IF(N938="","",IF(OR(M938="",O938=""),N938,(M938+4*N938+O938)/6))</f>
        <v/>
      </c>
      <c r="Q938" s="5" t="n"/>
      <c r="R938" s="5" t="n"/>
      <c r="S938" s="5" t="n"/>
      <c r="T938" s="5" t="n"/>
      <c r="U938" s="5" t="n"/>
      <c r="V938" s="15" t="n"/>
      <c r="W938" s="5" t="inlineStr">
        <is>
          <t>N</t>
        </is>
      </c>
      <c r="X938" s="5" t="n"/>
      <c r="Y938" s="5" t="n"/>
      <c r="Z938" s="5" t="n"/>
      <c r="AA938" s="5" t="n"/>
      <c r="AB938" s="10" t="n"/>
      <c r="AC938" s="10" t="inlineStr">
        <is>
          <t>Methylparaben · Impurities</t>
        </is>
      </c>
      <c r="AD938" s="10" t="n"/>
      <c r="AE938" s="10" t="n"/>
    </row>
    <row r="939">
      <c r="A939" s="10" t="inlineStr">
        <is>
          <t>Methyl Paraben</t>
        </is>
      </c>
      <c r="B939" s="10" t="inlineStr">
        <is>
          <t>RM</t>
        </is>
      </c>
      <c r="C939" s="10" t="inlineStr">
        <is>
          <t>Preservative</t>
        </is>
      </c>
      <c r="D939" s="10" t="inlineStr">
        <is>
          <t>Color of Solution</t>
        </is>
      </c>
      <c r="E939" s="10">
        <f>IF(A939="","",A939&amp;"|"&amp;D939)</f>
        <v/>
      </c>
      <c r="F939" s="5" t="inlineStr">
        <is>
          <t>Y</t>
        </is>
      </c>
      <c r="G939" s="5" t="inlineStr">
        <is>
          <t>Other / bench</t>
        </is>
      </c>
      <c r="H939" s="5" t="inlineStr">
        <is>
          <t>Low</t>
        </is>
      </c>
      <c r="I939" s="5" t="n">
        <v>1</v>
      </c>
      <c r="J939" s="5" t="n"/>
      <c r="K939" s="10">
        <f>IFERROR(IF(INDEX('Test catalog'!$F$2:$F$200,MATCH($AB939,'Test catalog'!$A$2:$A$200,0))="","",INDEX('Test catalog'!$F$2:$F$200,MATCH($AB939,'Test catalog'!$A$2:$A$200,0))),"")</f>
        <v/>
      </c>
      <c r="L939" s="10">
        <f>IFERROR(IF(INDEX('Test catalog'!$G$2:$G$200,MATCH($AB939,'Test catalog'!$A$2:$A$200,0))="","",INDEX('Test catalog'!$G$2:$G$200,MATCH($AB939,'Test catalog'!$A$2:$A$200,0))),"")</f>
        <v/>
      </c>
      <c r="M939" s="10">
        <f>IFERROR(IF(INDEX('Test catalog'!$H$2:$H$200,MATCH($AB939,'Test catalog'!$A$2:$A$200,0))="","",INDEX('Test catalog'!$H$2:$H$200,MATCH($AB939,'Test catalog'!$A$2:$A$200,0))),"")</f>
        <v/>
      </c>
      <c r="N939" s="10">
        <f>IFERROR(IF(INDEX('Test catalog'!$I$2:$I$200,MATCH($AB939,'Test catalog'!$A$2:$A$200,0))="","",INDEX('Test catalog'!$I$2:$I$200,MATCH($AB939,'Test catalog'!$A$2:$A$200,0))),"")</f>
        <v/>
      </c>
      <c r="O939" s="10">
        <f>IFERROR(IF(INDEX('Test catalog'!$J$2:$J$200,MATCH($AB939,'Test catalog'!$A$2:$A$200,0))="","",INDEX('Test catalog'!$J$2:$J$200,MATCH($AB939,'Test catalog'!$A$2:$A$200,0))),"")</f>
        <v/>
      </c>
      <c r="P939" s="14">
        <f>IF(N939="","",IF(OR(M939="",O939=""),N939,(M939+4*N939+O939)/6))</f>
        <v/>
      </c>
      <c r="Q939" s="10">
        <f>IFERROR(IF(INDEX('Test catalog'!$K$2:$K$200,MATCH($AB939,'Test catalog'!$A$2:$A$200,0))="","",INDEX('Test catalog'!$K$2:$K$200,MATCH($AB939,'Test catalog'!$A$2:$A$200,0))),"")</f>
        <v/>
      </c>
      <c r="R939" s="5" t="n"/>
      <c r="S939" s="10">
        <f>IFERROR(IF(INDEX('Test catalog'!$L$2:$L$200,MATCH($AB939,'Test catalog'!$A$2:$A$200,0))="","",INDEX('Test catalog'!$L$2:$L$200,MATCH($AB939,'Test catalog'!$A$2:$A$200,0))),"")</f>
        <v/>
      </c>
      <c r="T939" s="10">
        <f>IFERROR(IF(INDEX('Test catalog'!$M$2:$M$200,MATCH($AB939,'Test catalog'!$A$2:$A$200,0))="","",INDEX('Test catalog'!$M$2:$M$200,MATCH($AB939,'Test catalog'!$A$2:$A$200,0))),"")</f>
        <v/>
      </c>
      <c r="U939" s="10">
        <f>IFERROR(IF(INDEX('Test catalog'!$N$2:$N$200,MATCH($AB939,'Test catalog'!$A$2:$A$200,0))="","",INDEX('Test catalog'!$N$2:$N$200,MATCH($AB939,'Test catalog'!$A$2:$A$200,0))),"")</f>
        <v/>
      </c>
      <c r="V939" s="15" t="n"/>
      <c r="W939" s="5" t="inlineStr">
        <is>
          <t>N</t>
        </is>
      </c>
      <c r="X939" s="5" t="n"/>
      <c r="Y939" s="5" t="n"/>
      <c r="Z939" s="5" t="n"/>
      <c r="AA939" s="10">
        <f>IFERROR(IF(INDEX('Test catalog'!$O$2:$O$200,MATCH($AB939,'Test catalog'!$A$2:$A$200,0))="","",INDEX('Test catalog'!$O$2:$O$200,MATCH($AB939,'Test catalog'!$A$2:$A$200,0))),"")</f>
        <v/>
      </c>
      <c r="AB939" s="10" t="inlineStr">
        <is>
          <t>CLAR</t>
        </is>
      </c>
      <c r="AC939" s="10" t="inlineStr">
        <is>
          <t>Methylparaben · Specific Tests</t>
        </is>
      </c>
      <c r="AD939" s="10" t="n"/>
      <c r="AE939" s="10" t="n"/>
    </row>
    <row r="940">
      <c r="A940" s="10" t="inlineStr">
        <is>
          <t>Methyl Paraben</t>
        </is>
      </c>
      <c r="B940" s="10" t="inlineStr">
        <is>
          <t>RM</t>
        </is>
      </c>
      <c r="C940" s="10" t="inlineStr">
        <is>
          <t>Preservative</t>
        </is>
      </c>
      <c r="D940" s="10" t="inlineStr">
        <is>
          <t>Acidity</t>
        </is>
      </c>
      <c r="E940" s="10">
        <f>IF(A940="","",A940&amp;"|"&amp;D940)</f>
        <v/>
      </c>
      <c r="F940" s="5" t="inlineStr">
        <is>
          <t>Y</t>
        </is>
      </c>
      <c r="G940" s="5" t="inlineStr">
        <is>
          <t>Other / bench</t>
        </is>
      </c>
      <c r="H940" s="5" t="inlineStr">
        <is>
          <t>Low</t>
        </is>
      </c>
      <c r="I940" s="5" t="n">
        <v>1</v>
      </c>
      <c r="J940" s="5" t="n"/>
      <c r="K940" s="10">
        <f>IFERROR(IF(INDEX('Test catalog'!$F$2:$F$200,MATCH($AB940,'Test catalog'!$A$2:$A$200,0))="","",INDEX('Test catalog'!$F$2:$F$200,MATCH($AB940,'Test catalog'!$A$2:$A$200,0))),"")</f>
        <v/>
      </c>
      <c r="L940" s="10">
        <f>IFERROR(IF(INDEX('Test catalog'!$G$2:$G$200,MATCH($AB940,'Test catalog'!$A$2:$A$200,0))="","",INDEX('Test catalog'!$G$2:$G$200,MATCH($AB940,'Test catalog'!$A$2:$A$200,0))),"")</f>
        <v/>
      </c>
      <c r="M940" s="10">
        <f>IFERROR(IF(INDEX('Test catalog'!$H$2:$H$200,MATCH($AB940,'Test catalog'!$A$2:$A$200,0))="","",INDEX('Test catalog'!$H$2:$H$200,MATCH($AB940,'Test catalog'!$A$2:$A$200,0))),"")</f>
        <v/>
      </c>
      <c r="N940" s="10">
        <f>IFERROR(IF(INDEX('Test catalog'!$I$2:$I$200,MATCH($AB940,'Test catalog'!$A$2:$A$200,0))="","",INDEX('Test catalog'!$I$2:$I$200,MATCH($AB940,'Test catalog'!$A$2:$A$200,0))),"")</f>
        <v/>
      </c>
      <c r="O940" s="10">
        <f>IFERROR(IF(INDEX('Test catalog'!$J$2:$J$200,MATCH($AB940,'Test catalog'!$A$2:$A$200,0))="","",INDEX('Test catalog'!$J$2:$J$200,MATCH($AB940,'Test catalog'!$A$2:$A$200,0))),"")</f>
        <v/>
      </c>
      <c r="P940" s="14">
        <f>IF(N940="","",IF(OR(M940="",O940=""),N940,(M940+4*N940+O940)/6))</f>
        <v/>
      </c>
      <c r="Q940" s="10">
        <f>IFERROR(IF(INDEX('Test catalog'!$K$2:$K$200,MATCH($AB940,'Test catalog'!$A$2:$A$200,0))="","",INDEX('Test catalog'!$K$2:$K$200,MATCH($AB940,'Test catalog'!$A$2:$A$200,0))),"")</f>
        <v/>
      </c>
      <c r="R940" s="5" t="n"/>
      <c r="S940" s="10">
        <f>IFERROR(IF(INDEX('Test catalog'!$L$2:$L$200,MATCH($AB940,'Test catalog'!$A$2:$A$200,0))="","",INDEX('Test catalog'!$L$2:$L$200,MATCH($AB940,'Test catalog'!$A$2:$A$200,0))),"")</f>
        <v/>
      </c>
      <c r="T940" s="10">
        <f>IFERROR(IF(INDEX('Test catalog'!$M$2:$M$200,MATCH($AB940,'Test catalog'!$A$2:$A$200,0))="","",INDEX('Test catalog'!$M$2:$M$200,MATCH($AB940,'Test catalog'!$A$2:$A$200,0))),"")</f>
        <v/>
      </c>
      <c r="U940" s="10">
        <f>IFERROR(IF(INDEX('Test catalog'!$N$2:$N$200,MATCH($AB940,'Test catalog'!$A$2:$A$200,0))="","",INDEX('Test catalog'!$N$2:$N$200,MATCH($AB940,'Test catalog'!$A$2:$A$200,0))),"")</f>
        <v/>
      </c>
      <c r="V940" s="15" t="n"/>
      <c r="W940" s="5" t="inlineStr">
        <is>
          <t>N</t>
        </is>
      </c>
      <c r="X940" s="5" t="n"/>
      <c r="Y940" s="5" t="n"/>
      <c r="Z940" s="5" t="n"/>
      <c r="AA940" s="10">
        <f>IFERROR(IF(INDEX('Test catalog'!$O$2:$O$200,MATCH($AB940,'Test catalog'!$A$2:$A$200,0))="","",INDEX('Test catalog'!$O$2:$O$200,MATCH($AB940,'Test catalog'!$A$2:$A$200,0))),"")</f>
        <v/>
      </c>
      <c r="AB940" s="10" t="inlineStr">
        <is>
          <t>ACID</t>
        </is>
      </c>
      <c r="AC940" s="10" t="inlineStr">
        <is>
          <t>Methylparaben · Specific Tests</t>
        </is>
      </c>
      <c r="AD940" s="10" t="n"/>
      <c r="AE940" s="10" t="n"/>
    </row>
    <row r="941">
      <c r="A941" s="10" t="inlineStr">
        <is>
          <t>Propyl Paraben</t>
        </is>
      </c>
      <c r="B941" s="10" t="inlineStr">
        <is>
          <t>RM</t>
        </is>
      </c>
      <c r="C941" s="10" t="inlineStr">
        <is>
          <t>Preservative</t>
        </is>
      </c>
      <c r="D941" s="10" t="inlineStr">
        <is>
          <t>Appearance / description and solubility</t>
        </is>
      </c>
      <c r="E941" s="10">
        <f>IF(A941="","",A941&amp;"|"&amp;D941)</f>
        <v/>
      </c>
      <c r="F941" s="5" t="inlineStr">
        <is>
          <t>Y</t>
        </is>
      </c>
      <c r="G941" s="5" t="inlineStr">
        <is>
          <t>Other / bench</t>
        </is>
      </c>
      <c r="H941" s="5" t="inlineStr">
        <is>
          <t>Low</t>
        </is>
      </c>
      <c r="I941" s="5" t="n">
        <v>1</v>
      </c>
      <c r="J941" s="5" t="n"/>
      <c r="K941" s="10">
        <f>IFERROR(IF(INDEX('Test catalog'!$F$2:$F$200,MATCH($AB941,'Test catalog'!$A$2:$A$200,0))="","",INDEX('Test catalog'!$F$2:$F$200,MATCH($AB941,'Test catalog'!$A$2:$A$200,0))),"")</f>
        <v/>
      </c>
      <c r="L941" s="10">
        <f>IFERROR(IF(INDEX('Test catalog'!$G$2:$G$200,MATCH($AB941,'Test catalog'!$A$2:$A$200,0))="","",INDEX('Test catalog'!$G$2:$G$200,MATCH($AB941,'Test catalog'!$A$2:$A$200,0))),"")</f>
        <v/>
      </c>
      <c r="M941" s="10">
        <f>IFERROR(IF(INDEX('Test catalog'!$H$2:$H$200,MATCH($AB941,'Test catalog'!$A$2:$A$200,0))="","",INDEX('Test catalog'!$H$2:$H$200,MATCH($AB941,'Test catalog'!$A$2:$A$200,0))),"")</f>
        <v/>
      </c>
      <c r="N941" s="10">
        <f>IFERROR(IF(INDEX('Test catalog'!$I$2:$I$200,MATCH($AB941,'Test catalog'!$A$2:$A$200,0))="","",INDEX('Test catalog'!$I$2:$I$200,MATCH($AB941,'Test catalog'!$A$2:$A$200,0))),"")</f>
        <v/>
      </c>
      <c r="O941" s="10">
        <f>IFERROR(IF(INDEX('Test catalog'!$J$2:$J$200,MATCH($AB941,'Test catalog'!$A$2:$A$200,0))="","",INDEX('Test catalog'!$J$2:$J$200,MATCH($AB941,'Test catalog'!$A$2:$A$200,0))),"")</f>
        <v/>
      </c>
      <c r="P941" s="14">
        <f>IF(N941="","",IF(OR(M941="",O941=""),N941,(M941+4*N941+O941)/6))</f>
        <v/>
      </c>
      <c r="Q941" s="10">
        <f>IFERROR(IF(INDEX('Test catalog'!$K$2:$K$200,MATCH($AB941,'Test catalog'!$A$2:$A$200,0))="","",INDEX('Test catalog'!$K$2:$K$200,MATCH($AB941,'Test catalog'!$A$2:$A$200,0))),"")</f>
        <v/>
      </c>
      <c r="R941" s="5" t="n"/>
      <c r="S941" s="10">
        <f>IFERROR(IF(INDEX('Test catalog'!$L$2:$L$200,MATCH($AB941,'Test catalog'!$A$2:$A$200,0))="","",INDEX('Test catalog'!$L$2:$L$200,MATCH($AB941,'Test catalog'!$A$2:$A$200,0))),"")</f>
        <v/>
      </c>
      <c r="T941" s="10">
        <f>IFERROR(IF(INDEX('Test catalog'!$M$2:$M$200,MATCH($AB941,'Test catalog'!$A$2:$A$200,0))="","",INDEX('Test catalog'!$M$2:$M$200,MATCH($AB941,'Test catalog'!$A$2:$A$200,0))),"")</f>
        <v/>
      </c>
      <c r="U941" s="10">
        <f>IFERROR(IF(INDEX('Test catalog'!$N$2:$N$200,MATCH($AB941,'Test catalog'!$A$2:$A$200,0))="","",INDEX('Test catalog'!$N$2:$N$200,MATCH($AB941,'Test catalog'!$A$2:$A$200,0))),"")</f>
        <v/>
      </c>
      <c r="V941" s="15" t="n"/>
      <c r="W941" s="5" t="inlineStr">
        <is>
          <t>N</t>
        </is>
      </c>
      <c r="X941" s="5" t="n"/>
      <c r="Y941" s="5" t="n"/>
      <c r="Z941" s="5" t="n"/>
      <c r="AA941" s="10">
        <f>IFERROR(IF(INDEX('Test catalog'!$O$2:$O$200,MATCH($AB941,'Test catalog'!$A$2:$A$200,0))="","",INDEX('Test catalog'!$O$2:$O$200,MATCH($AB941,'Test catalog'!$A$2:$A$200,0))),"")</f>
        <v/>
      </c>
      <c r="AB941" s="10" t="inlineStr">
        <is>
          <t>APPEAR</t>
        </is>
      </c>
      <c r="AC941" s="10" t="inlineStr">
        <is>
          <t>Lab practice (not a USP test)</t>
        </is>
      </c>
      <c r="AD941" s="10" t="n"/>
      <c r="AE941" s="10" t="n"/>
    </row>
    <row r="942">
      <c r="A942" s="10" t="inlineStr">
        <is>
          <t>Propyl Paraben</t>
        </is>
      </c>
      <c r="B942" s="10" t="inlineStr">
        <is>
          <t>RM</t>
        </is>
      </c>
      <c r="C942" s="10" t="inlineStr">
        <is>
          <t>Preservative</t>
        </is>
      </c>
      <c r="D942" s="10" t="inlineStr">
        <is>
          <t>ID B - Melting range</t>
        </is>
      </c>
      <c r="E942" s="10">
        <f>IF(A942="","",A942&amp;"|"&amp;D942)</f>
        <v/>
      </c>
      <c r="F942" s="5" t="inlineStr">
        <is>
          <t>Y</t>
        </is>
      </c>
      <c r="G942" s="5" t="inlineStr">
        <is>
          <t>Other / bench</t>
        </is>
      </c>
      <c r="H942" s="5" t="inlineStr">
        <is>
          <t>Low</t>
        </is>
      </c>
      <c r="I942" s="5" t="n">
        <v>1</v>
      </c>
      <c r="J942" s="5" t="n"/>
      <c r="K942" s="10">
        <f>IFERROR(IF(INDEX('Test catalog'!$F$2:$F$200,MATCH($AB942,'Test catalog'!$A$2:$A$200,0))="","",INDEX('Test catalog'!$F$2:$F$200,MATCH($AB942,'Test catalog'!$A$2:$A$200,0))),"")</f>
        <v/>
      </c>
      <c r="L942" s="10">
        <f>IFERROR(IF(INDEX('Test catalog'!$G$2:$G$200,MATCH($AB942,'Test catalog'!$A$2:$A$200,0))="","",INDEX('Test catalog'!$G$2:$G$200,MATCH($AB942,'Test catalog'!$A$2:$A$200,0))),"")</f>
        <v/>
      </c>
      <c r="M942" s="10">
        <f>IFERROR(IF(INDEX('Test catalog'!$H$2:$H$200,MATCH($AB942,'Test catalog'!$A$2:$A$200,0))="","",INDEX('Test catalog'!$H$2:$H$200,MATCH($AB942,'Test catalog'!$A$2:$A$200,0))),"")</f>
        <v/>
      </c>
      <c r="N942" s="10">
        <f>IFERROR(IF(INDEX('Test catalog'!$I$2:$I$200,MATCH($AB942,'Test catalog'!$A$2:$A$200,0))="","",INDEX('Test catalog'!$I$2:$I$200,MATCH($AB942,'Test catalog'!$A$2:$A$200,0))),"")</f>
        <v/>
      </c>
      <c r="O942" s="10">
        <f>IFERROR(IF(INDEX('Test catalog'!$J$2:$J$200,MATCH($AB942,'Test catalog'!$A$2:$A$200,0))="","",INDEX('Test catalog'!$J$2:$J$200,MATCH($AB942,'Test catalog'!$A$2:$A$200,0))),"")</f>
        <v/>
      </c>
      <c r="P942" s="14">
        <f>IF(N942="","",IF(OR(M942="",O942=""),N942,(M942+4*N942+O942)/6))</f>
        <v/>
      </c>
      <c r="Q942" s="10">
        <f>IFERROR(IF(INDEX('Test catalog'!$K$2:$K$200,MATCH($AB942,'Test catalog'!$A$2:$A$200,0))="","",INDEX('Test catalog'!$K$2:$K$200,MATCH($AB942,'Test catalog'!$A$2:$A$200,0))),"")</f>
        <v/>
      </c>
      <c r="R942" s="5" t="n"/>
      <c r="S942" s="10">
        <f>IFERROR(IF(INDEX('Test catalog'!$L$2:$L$200,MATCH($AB942,'Test catalog'!$A$2:$A$200,0))="","",INDEX('Test catalog'!$L$2:$L$200,MATCH($AB942,'Test catalog'!$A$2:$A$200,0))),"")</f>
        <v/>
      </c>
      <c r="T942" s="10">
        <f>IFERROR(IF(INDEX('Test catalog'!$M$2:$M$200,MATCH($AB942,'Test catalog'!$A$2:$A$200,0))="","",INDEX('Test catalog'!$M$2:$M$200,MATCH($AB942,'Test catalog'!$A$2:$A$200,0))),"")</f>
        <v/>
      </c>
      <c r="U942" s="10">
        <f>IFERROR(IF(INDEX('Test catalog'!$N$2:$N$200,MATCH($AB942,'Test catalog'!$A$2:$A$200,0))="","",INDEX('Test catalog'!$N$2:$N$200,MATCH($AB942,'Test catalog'!$A$2:$A$200,0))),"")</f>
        <v/>
      </c>
      <c r="V942" s="15" t="n"/>
      <c r="W942" s="5" t="inlineStr">
        <is>
          <t>N</t>
        </is>
      </c>
      <c r="X942" s="5" t="n"/>
      <c r="Y942" s="5" t="n"/>
      <c r="Z942" s="5" t="n"/>
      <c r="AA942" s="10">
        <f>IFERROR(IF(INDEX('Test catalog'!$O$2:$O$200,MATCH($AB942,'Test catalog'!$A$2:$A$200,0))="","",INDEX('Test catalog'!$O$2:$O$200,MATCH($AB942,'Test catalog'!$A$2:$A$200,0))),"")</f>
        <v/>
      </c>
      <c r="AB942" s="10" t="inlineStr">
        <is>
          <t>MP</t>
        </is>
      </c>
      <c r="AC942" s="10" t="inlineStr">
        <is>
          <t>Propylparaben · Identification &lt;741&gt;</t>
        </is>
      </c>
      <c r="AD942" s="10" t="n"/>
      <c r="AE942" s="10" t="n"/>
    </row>
    <row r="943">
      <c r="A943" s="10" t="inlineStr">
        <is>
          <t>Propyl Paraben</t>
        </is>
      </c>
      <c r="B943" s="10" t="inlineStr">
        <is>
          <t>RM</t>
        </is>
      </c>
      <c r="C943" s="10" t="inlineStr">
        <is>
          <t>Preservative</t>
        </is>
      </c>
      <c r="D943" s="10" t="inlineStr">
        <is>
          <t>Assay (HPLC)</t>
        </is>
      </c>
      <c r="E943" s="10">
        <f>IF(A943="","",A943&amp;"|"&amp;D943)</f>
        <v/>
      </c>
      <c r="F943" s="5" t="inlineStr">
        <is>
          <t>Y</t>
        </is>
      </c>
      <c r="G943" s="5" t="inlineStr">
        <is>
          <t>HPLC</t>
        </is>
      </c>
      <c r="H943" s="5" t="inlineStr">
        <is>
          <t>Medium</t>
        </is>
      </c>
      <c r="I943" s="5" t="n">
        <v>1</v>
      </c>
      <c r="J943" s="5" t="n"/>
      <c r="K943" s="5" t="n"/>
      <c r="L943" s="5" t="n"/>
      <c r="M943" s="5" t="n"/>
      <c r="N943" s="5" t="n"/>
      <c r="O943" s="5" t="n"/>
      <c r="P943" s="14">
        <f>IF(N943="","",IF(OR(M943="",O943=""),N943,(M943+4*N943+O943)/6))</f>
        <v/>
      </c>
      <c r="Q943" s="5" t="n"/>
      <c r="R943" s="5" t="n"/>
      <c r="S943" s="5" t="n"/>
      <c r="T943" s="5" t="n"/>
      <c r="U943" s="5" t="n"/>
      <c r="V943" s="15" t="n"/>
      <c r="W943" s="5" t="inlineStr">
        <is>
          <t>N</t>
        </is>
      </c>
      <c r="X943" s="5" t="n"/>
      <c r="Y943" s="5" t="n"/>
      <c r="Z943" s="5" t="inlineStr">
        <is>
          <t>Alternative assays - keep only the one you run</t>
        </is>
      </c>
      <c r="AA943" s="5" t="n"/>
      <c r="AB943" s="10" t="n"/>
      <c r="AC943" s="10" t="inlineStr">
        <is>
          <t>Propylparaben · Assay &lt;197&gt;</t>
        </is>
      </c>
      <c r="AD943" s="10" t="n"/>
      <c r="AE943" s="10" t="n"/>
    </row>
    <row r="944">
      <c r="A944" s="10" t="inlineStr">
        <is>
          <t>Propyl Paraben</t>
        </is>
      </c>
      <c r="B944" s="10" t="inlineStr">
        <is>
          <t>RM</t>
        </is>
      </c>
      <c r="C944" s="10" t="inlineStr">
        <is>
          <t>Preservative</t>
        </is>
      </c>
      <c r="D944" s="10" t="inlineStr">
        <is>
          <t>Assay - A. Spectroscopic Identification Tests (HPLC)</t>
        </is>
      </c>
      <c r="E944" s="10">
        <f>IF(A944="","",A944&amp;"|"&amp;D944)</f>
        <v/>
      </c>
      <c r="F944" s="5" t="inlineStr">
        <is>
          <t>Y</t>
        </is>
      </c>
      <c r="G944" s="5" t="inlineStr">
        <is>
          <t>HPLC</t>
        </is>
      </c>
      <c r="H944" s="5" t="inlineStr">
        <is>
          <t>Medium</t>
        </is>
      </c>
      <c r="I944" s="5" t="n">
        <v>1</v>
      </c>
      <c r="J944" s="5" t="n"/>
      <c r="K944" s="5" t="n"/>
      <c r="L944" s="5" t="n"/>
      <c r="M944" s="5" t="n"/>
      <c r="N944" s="5" t="n"/>
      <c r="O944" s="5" t="n"/>
      <c r="P944" s="14">
        <f>IF(N944="","",IF(OR(M944="",O944=""),N944,(M944+4*N944+O944)/6))</f>
        <v/>
      </c>
      <c r="Q944" s="5" t="n"/>
      <c r="R944" s="5" t="n"/>
      <c r="S944" s="5" t="n"/>
      <c r="T944" s="5" t="n"/>
      <c r="U944" s="5" t="n"/>
      <c r="V944" s="15" t="n"/>
      <c r="W944" s="5" t="inlineStr">
        <is>
          <t>N</t>
        </is>
      </c>
      <c r="X944" s="5" t="n"/>
      <c r="Y944" s="5" t="n"/>
      <c r="Z944" s="5" t="inlineStr">
        <is>
          <t>Alternative assays - keep only the one you run</t>
        </is>
      </c>
      <c r="AA944" s="5" t="n"/>
      <c r="AB944" s="10" t="n"/>
      <c r="AC944" s="10" t="inlineStr">
        <is>
          <t>Propylparaben · Assay &lt;197&gt;</t>
        </is>
      </c>
      <c r="AD944" s="10" t="n"/>
      <c r="AE944" s="10" t="n"/>
    </row>
    <row r="945">
      <c r="A945" s="10" t="inlineStr">
        <is>
          <t>Propyl Paraben</t>
        </is>
      </c>
      <c r="B945" s="10" t="inlineStr">
        <is>
          <t>RM</t>
        </is>
      </c>
      <c r="C945" s="10" t="inlineStr">
        <is>
          <t>Preservative</t>
        </is>
      </c>
      <c r="D945" s="10" t="inlineStr">
        <is>
          <t>Residue on Ignition</t>
        </is>
      </c>
      <c r="E945" s="10">
        <f>IF(A945="","",A945&amp;"|"&amp;D945)</f>
        <v/>
      </c>
      <c r="F945" s="5" t="inlineStr">
        <is>
          <t>Y</t>
        </is>
      </c>
      <c r="G945" s="5" t="inlineStr">
        <is>
          <t>Other / bench</t>
        </is>
      </c>
      <c r="H945" s="5" t="inlineStr">
        <is>
          <t>Low</t>
        </is>
      </c>
      <c r="I945" s="5" t="n">
        <v>1</v>
      </c>
      <c r="J945" s="5" t="n"/>
      <c r="K945" s="10">
        <f>IFERROR(IF(INDEX('Test catalog'!$F$2:$F$200,MATCH($AB945,'Test catalog'!$A$2:$A$200,0))="","",INDEX('Test catalog'!$F$2:$F$200,MATCH($AB945,'Test catalog'!$A$2:$A$200,0))),"")</f>
        <v/>
      </c>
      <c r="L945" s="10">
        <f>IFERROR(IF(INDEX('Test catalog'!$G$2:$G$200,MATCH($AB945,'Test catalog'!$A$2:$A$200,0))="","",INDEX('Test catalog'!$G$2:$G$200,MATCH($AB945,'Test catalog'!$A$2:$A$200,0))),"")</f>
        <v/>
      </c>
      <c r="M945" s="10">
        <f>IFERROR(IF(INDEX('Test catalog'!$H$2:$H$200,MATCH($AB945,'Test catalog'!$A$2:$A$200,0))="","",INDEX('Test catalog'!$H$2:$H$200,MATCH($AB945,'Test catalog'!$A$2:$A$200,0))),"")</f>
        <v/>
      </c>
      <c r="N945" s="10">
        <f>IFERROR(IF(INDEX('Test catalog'!$I$2:$I$200,MATCH($AB945,'Test catalog'!$A$2:$A$200,0))="","",INDEX('Test catalog'!$I$2:$I$200,MATCH($AB945,'Test catalog'!$A$2:$A$200,0))),"")</f>
        <v/>
      </c>
      <c r="O945" s="10">
        <f>IFERROR(IF(INDEX('Test catalog'!$J$2:$J$200,MATCH($AB945,'Test catalog'!$A$2:$A$200,0))="","",INDEX('Test catalog'!$J$2:$J$200,MATCH($AB945,'Test catalog'!$A$2:$A$200,0))),"")</f>
        <v/>
      </c>
      <c r="P945" s="14">
        <f>IF(N945="","",IF(OR(M945="",O945=""),N945,(M945+4*N945+O945)/6))</f>
        <v/>
      </c>
      <c r="Q945" s="10">
        <f>IFERROR(IF(INDEX('Test catalog'!$K$2:$K$200,MATCH($AB945,'Test catalog'!$A$2:$A$200,0))="","",INDEX('Test catalog'!$K$2:$K$200,MATCH($AB945,'Test catalog'!$A$2:$A$200,0))),"")</f>
        <v/>
      </c>
      <c r="R945" s="5" t="n"/>
      <c r="S945" s="10">
        <f>IFERROR(IF(INDEX('Test catalog'!$L$2:$L$200,MATCH($AB945,'Test catalog'!$A$2:$A$200,0))="","",INDEX('Test catalog'!$L$2:$L$200,MATCH($AB945,'Test catalog'!$A$2:$A$200,0))),"")</f>
        <v/>
      </c>
      <c r="T945" s="10">
        <f>IFERROR(IF(INDEX('Test catalog'!$M$2:$M$200,MATCH($AB945,'Test catalog'!$A$2:$A$200,0))="","",INDEX('Test catalog'!$M$2:$M$200,MATCH($AB945,'Test catalog'!$A$2:$A$200,0))),"")</f>
        <v/>
      </c>
      <c r="U945" s="10">
        <f>IFERROR(IF(INDEX('Test catalog'!$N$2:$N$200,MATCH($AB945,'Test catalog'!$A$2:$A$200,0))="","",INDEX('Test catalog'!$N$2:$N$200,MATCH($AB945,'Test catalog'!$A$2:$A$200,0))),"")</f>
        <v/>
      </c>
      <c r="V945" s="15" t="n"/>
      <c r="W945" s="5" t="inlineStr">
        <is>
          <t>N</t>
        </is>
      </c>
      <c r="X945" s="5" t="n"/>
      <c r="Y945" s="5" t="n"/>
      <c r="Z945" s="5" t="n"/>
      <c r="AA945" s="10">
        <f>IFERROR(IF(INDEX('Test catalog'!$O$2:$O$200,MATCH($AB945,'Test catalog'!$A$2:$A$200,0))="","",INDEX('Test catalog'!$O$2:$O$200,MATCH($AB945,'Test catalog'!$A$2:$A$200,0))),"")</f>
        <v/>
      </c>
      <c r="AB945" s="10" t="inlineStr">
        <is>
          <t>ROI</t>
        </is>
      </c>
      <c r="AC945" s="10" t="inlineStr">
        <is>
          <t>Propylparaben · Impurities &lt;281&gt;</t>
        </is>
      </c>
      <c r="AD945" s="10" t="n"/>
      <c r="AE945" s="10" t="n"/>
    </row>
    <row r="946">
      <c r="A946" s="10" t="inlineStr">
        <is>
          <t>Propyl Paraben</t>
        </is>
      </c>
      <c r="B946" s="10" t="inlineStr">
        <is>
          <t>RM</t>
        </is>
      </c>
      <c r="C946" s="10" t="inlineStr">
        <is>
          <t>Preservative</t>
        </is>
      </c>
      <c r="D946" s="10" t="inlineStr">
        <is>
          <t>Procedure (HPLC)</t>
        </is>
      </c>
      <c r="E946" s="10">
        <f>IF(A946="","",A946&amp;"|"&amp;D946)</f>
        <v/>
      </c>
      <c r="F946" s="5" t="inlineStr">
        <is>
          <t>Y</t>
        </is>
      </c>
      <c r="G946" s="5" t="inlineStr">
        <is>
          <t>HPLC</t>
        </is>
      </c>
      <c r="H946" s="5" t="inlineStr">
        <is>
          <t>Medium</t>
        </is>
      </c>
      <c r="I946" s="5" t="n">
        <v>1</v>
      </c>
      <c r="J946" s="5" t="n"/>
      <c r="K946" s="5" t="n"/>
      <c r="L946" s="5" t="n"/>
      <c r="M946" s="5" t="n"/>
      <c r="N946" s="5" t="n"/>
      <c r="O946" s="5" t="n"/>
      <c r="P946" s="14">
        <f>IF(N946="","",IF(OR(M946="",O946=""),N946,(M946+4*N946+O946)/6))</f>
        <v/>
      </c>
      <c r="Q946" s="5" t="n"/>
      <c r="R946" s="5" t="n"/>
      <c r="S946" s="5" t="n"/>
      <c r="T946" s="5" t="n"/>
      <c r="U946" s="5" t="n"/>
      <c r="V946" s="15" t="n"/>
      <c r="W946" s="5" t="inlineStr">
        <is>
          <t>N</t>
        </is>
      </c>
      <c r="X946" s="5" t="n"/>
      <c r="Y946" s="5" t="n"/>
      <c r="Z946" s="5" t="n"/>
      <c r="AA946" s="5" t="n"/>
      <c r="AB946" s="10" t="n"/>
      <c r="AC946" s="10" t="inlineStr">
        <is>
          <t>Propylparaben · Impurities</t>
        </is>
      </c>
      <c r="AD946" s="10" t="n"/>
      <c r="AE946" s="10" t="n"/>
    </row>
    <row r="947">
      <c r="A947" s="10" t="inlineStr">
        <is>
          <t>Propyl Paraben</t>
        </is>
      </c>
      <c r="B947" s="10" t="inlineStr">
        <is>
          <t>RM</t>
        </is>
      </c>
      <c r="C947" s="10" t="inlineStr">
        <is>
          <t>Preservative</t>
        </is>
      </c>
      <c r="D947" s="10" t="inlineStr">
        <is>
          <t>Color of Solution</t>
        </is>
      </c>
      <c r="E947" s="10">
        <f>IF(A947="","",A947&amp;"|"&amp;D947)</f>
        <v/>
      </c>
      <c r="F947" s="5" t="inlineStr">
        <is>
          <t>Y</t>
        </is>
      </c>
      <c r="G947" s="5" t="inlineStr">
        <is>
          <t>Other / bench</t>
        </is>
      </c>
      <c r="H947" s="5" t="inlineStr">
        <is>
          <t>Low</t>
        </is>
      </c>
      <c r="I947" s="5" t="n">
        <v>1</v>
      </c>
      <c r="J947" s="5" t="n"/>
      <c r="K947" s="10">
        <f>IFERROR(IF(INDEX('Test catalog'!$F$2:$F$200,MATCH($AB947,'Test catalog'!$A$2:$A$200,0))="","",INDEX('Test catalog'!$F$2:$F$200,MATCH($AB947,'Test catalog'!$A$2:$A$200,0))),"")</f>
        <v/>
      </c>
      <c r="L947" s="10">
        <f>IFERROR(IF(INDEX('Test catalog'!$G$2:$G$200,MATCH($AB947,'Test catalog'!$A$2:$A$200,0))="","",INDEX('Test catalog'!$G$2:$G$200,MATCH($AB947,'Test catalog'!$A$2:$A$200,0))),"")</f>
        <v/>
      </c>
      <c r="M947" s="10">
        <f>IFERROR(IF(INDEX('Test catalog'!$H$2:$H$200,MATCH($AB947,'Test catalog'!$A$2:$A$200,0))="","",INDEX('Test catalog'!$H$2:$H$200,MATCH($AB947,'Test catalog'!$A$2:$A$200,0))),"")</f>
        <v/>
      </c>
      <c r="N947" s="10">
        <f>IFERROR(IF(INDEX('Test catalog'!$I$2:$I$200,MATCH($AB947,'Test catalog'!$A$2:$A$200,0))="","",INDEX('Test catalog'!$I$2:$I$200,MATCH($AB947,'Test catalog'!$A$2:$A$200,0))),"")</f>
        <v/>
      </c>
      <c r="O947" s="10">
        <f>IFERROR(IF(INDEX('Test catalog'!$J$2:$J$200,MATCH($AB947,'Test catalog'!$A$2:$A$200,0))="","",INDEX('Test catalog'!$J$2:$J$200,MATCH($AB947,'Test catalog'!$A$2:$A$200,0))),"")</f>
        <v/>
      </c>
      <c r="P947" s="14">
        <f>IF(N947="","",IF(OR(M947="",O947=""),N947,(M947+4*N947+O947)/6))</f>
        <v/>
      </c>
      <c r="Q947" s="10">
        <f>IFERROR(IF(INDEX('Test catalog'!$K$2:$K$200,MATCH($AB947,'Test catalog'!$A$2:$A$200,0))="","",INDEX('Test catalog'!$K$2:$K$200,MATCH($AB947,'Test catalog'!$A$2:$A$200,0))),"")</f>
        <v/>
      </c>
      <c r="R947" s="5" t="n"/>
      <c r="S947" s="10">
        <f>IFERROR(IF(INDEX('Test catalog'!$L$2:$L$200,MATCH($AB947,'Test catalog'!$A$2:$A$200,0))="","",INDEX('Test catalog'!$L$2:$L$200,MATCH($AB947,'Test catalog'!$A$2:$A$200,0))),"")</f>
        <v/>
      </c>
      <c r="T947" s="10">
        <f>IFERROR(IF(INDEX('Test catalog'!$M$2:$M$200,MATCH($AB947,'Test catalog'!$A$2:$A$200,0))="","",INDEX('Test catalog'!$M$2:$M$200,MATCH($AB947,'Test catalog'!$A$2:$A$200,0))),"")</f>
        <v/>
      </c>
      <c r="U947" s="10">
        <f>IFERROR(IF(INDEX('Test catalog'!$N$2:$N$200,MATCH($AB947,'Test catalog'!$A$2:$A$200,0))="","",INDEX('Test catalog'!$N$2:$N$200,MATCH($AB947,'Test catalog'!$A$2:$A$200,0))),"")</f>
        <v/>
      </c>
      <c r="V947" s="15" t="n"/>
      <c r="W947" s="5" t="inlineStr">
        <is>
          <t>N</t>
        </is>
      </c>
      <c r="X947" s="5" t="n"/>
      <c r="Y947" s="5" t="n"/>
      <c r="Z947" s="5" t="n"/>
      <c r="AA947" s="10">
        <f>IFERROR(IF(INDEX('Test catalog'!$O$2:$O$200,MATCH($AB947,'Test catalog'!$A$2:$A$200,0))="","",INDEX('Test catalog'!$O$2:$O$200,MATCH($AB947,'Test catalog'!$A$2:$A$200,0))),"")</f>
        <v/>
      </c>
      <c r="AB947" s="10" t="inlineStr">
        <is>
          <t>CLAR</t>
        </is>
      </c>
      <c r="AC947" s="10" t="inlineStr">
        <is>
          <t>Propylparaben · Specific Tests</t>
        </is>
      </c>
      <c r="AD947" s="10" t="n"/>
      <c r="AE947" s="10" t="n"/>
    </row>
    <row r="948">
      <c r="A948" s="10" t="inlineStr">
        <is>
          <t>Propyl Paraben</t>
        </is>
      </c>
      <c r="B948" s="10" t="inlineStr">
        <is>
          <t>RM</t>
        </is>
      </c>
      <c r="C948" s="10" t="inlineStr">
        <is>
          <t>Preservative</t>
        </is>
      </c>
      <c r="D948" s="10" t="inlineStr">
        <is>
          <t>Acidity</t>
        </is>
      </c>
      <c r="E948" s="10">
        <f>IF(A948="","",A948&amp;"|"&amp;D948)</f>
        <v/>
      </c>
      <c r="F948" s="5" t="inlineStr">
        <is>
          <t>Y</t>
        </is>
      </c>
      <c r="G948" s="5" t="inlineStr">
        <is>
          <t>Other / bench</t>
        </is>
      </c>
      <c r="H948" s="5" t="inlineStr">
        <is>
          <t>Low</t>
        </is>
      </c>
      <c r="I948" s="5" t="n">
        <v>1</v>
      </c>
      <c r="J948" s="5" t="n"/>
      <c r="K948" s="10">
        <f>IFERROR(IF(INDEX('Test catalog'!$F$2:$F$200,MATCH($AB948,'Test catalog'!$A$2:$A$200,0))="","",INDEX('Test catalog'!$F$2:$F$200,MATCH($AB948,'Test catalog'!$A$2:$A$200,0))),"")</f>
        <v/>
      </c>
      <c r="L948" s="10">
        <f>IFERROR(IF(INDEX('Test catalog'!$G$2:$G$200,MATCH($AB948,'Test catalog'!$A$2:$A$200,0))="","",INDEX('Test catalog'!$G$2:$G$200,MATCH($AB948,'Test catalog'!$A$2:$A$200,0))),"")</f>
        <v/>
      </c>
      <c r="M948" s="10">
        <f>IFERROR(IF(INDEX('Test catalog'!$H$2:$H$200,MATCH($AB948,'Test catalog'!$A$2:$A$200,0))="","",INDEX('Test catalog'!$H$2:$H$200,MATCH($AB948,'Test catalog'!$A$2:$A$200,0))),"")</f>
        <v/>
      </c>
      <c r="N948" s="10">
        <f>IFERROR(IF(INDEX('Test catalog'!$I$2:$I$200,MATCH($AB948,'Test catalog'!$A$2:$A$200,0))="","",INDEX('Test catalog'!$I$2:$I$200,MATCH($AB948,'Test catalog'!$A$2:$A$200,0))),"")</f>
        <v/>
      </c>
      <c r="O948" s="10">
        <f>IFERROR(IF(INDEX('Test catalog'!$J$2:$J$200,MATCH($AB948,'Test catalog'!$A$2:$A$200,0))="","",INDEX('Test catalog'!$J$2:$J$200,MATCH($AB948,'Test catalog'!$A$2:$A$200,0))),"")</f>
        <v/>
      </c>
      <c r="P948" s="14">
        <f>IF(N948="","",IF(OR(M948="",O948=""),N948,(M948+4*N948+O948)/6))</f>
        <v/>
      </c>
      <c r="Q948" s="10">
        <f>IFERROR(IF(INDEX('Test catalog'!$K$2:$K$200,MATCH($AB948,'Test catalog'!$A$2:$A$200,0))="","",INDEX('Test catalog'!$K$2:$K$200,MATCH($AB948,'Test catalog'!$A$2:$A$200,0))),"")</f>
        <v/>
      </c>
      <c r="R948" s="5" t="n"/>
      <c r="S948" s="10">
        <f>IFERROR(IF(INDEX('Test catalog'!$L$2:$L$200,MATCH($AB948,'Test catalog'!$A$2:$A$200,0))="","",INDEX('Test catalog'!$L$2:$L$200,MATCH($AB948,'Test catalog'!$A$2:$A$200,0))),"")</f>
        <v/>
      </c>
      <c r="T948" s="10">
        <f>IFERROR(IF(INDEX('Test catalog'!$M$2:$M$200,MATCH($AB948,'Test catalog'!$A$2:$A$200,0))="","",INDEX('Test catalog'!$M$2:$M$200,MATCH($AB948,'Test catalog'!$A$2:$A$200,0))),"")</f>
        <v/>
      </c>
      <c r="U948" s="10">
        <f>IFERROR(IF(INDEX('Test catalog'!$N$2:$N$200,MATCH($AB948,'Test catalog'!$A$2:$A$200,0))="","",INDEX('Test catalog'!$N$2:$N$200,MATCH($AB948,'Test catalog'!$A$2:$A$200,0))),"")</f>
        <v/>
      </c>
      <c r="V948" s="15" t="n"/>
      <c r="W948" s="5" t="inlineStr">
        <is>
          <t>N</t>
        </is>
      </c>
      <c r="X948" s="5" t="n"/>
      <c r="Y948" s="5" t="n"/>
      <c r="Z948" s="5" t="n"/>
      <c r="AA948" s="10">
        <f>IFERROR(IF(INDEX('Test catalog'!$O$2:$O$200,MATCH($AB948,'Test catalog'!$A$2:$A$200,0))="","",INDEX('Test catalog'!$O$2:$O$200,MATCH($AB948,'Test catalog'!$A$2:$A$200,0))),"")</f>
        <v/>
      </c>
      <c r="AB948" s="10" t="inlineStr">
        <is>
          <t>ACID</t>
        </is>
      </c>
      <c r="AC948" s="10" t="inlineStr">
        <is>
          <t>Propylparaben · Specific Tests</t>
        </is>
      </c>
      <c r="AD948" s="10" t="n"/>
      <c r="AE948" s="10" t="n"/>
    </row>
    <row r="949">
      <c r="A949" s="10" t="inlineStr">
        <is>
          <t>Sodium Benzoate</t>
        </is>
      </c>
      <c r="B949" s="10" t="inlineStr">
        <is>
          <t>RM</t>
        </is>
      </c>
      <c r="C949" s="10" t="inlineStr">
        <is>
          <t>Preservative</t>
        </is>
      </c>
      <c r="D949" s="10" t="inlineStr">
        <is>
          <t>Appearance / description and solubility</t>
        </is>
      </c>
      <c r="E949" s="10">
        <f>IF(A949="","",A949&amp;"|"&amp;D949)</f>
        <v/>
      </c>
      <c r="F949" s="5" t="inlineStr">
        <is>
          <t>Y</t>
        </is>
      </c>
      <c r="G949" s="5" t="inlineStr">
        <is>
          <t>Other / bench</t>
        </is>
      </c>
      <c r="H949" s="5" t="inlineStr">
        <is>
          <t>Low</t>
        </is>
      </c>
      <c r="I949" s="5" t="n">
        <v>1</v>
      </c>
      <c r="J949" s="5" t="n"/>
      <c r="K949" s="10">
        <f>IFERROR(IF(INDEX('Test catalog'!$F$2:$F$200,MATCH($AB949,'Test catalog'!$A$2:$A$200,0))="","",INDEX('Test catalog'!$F$2:$F$200,MATCH($AB949,'Test catalog'!$A$2:$A$200,0))),"")</f>
        <v/>
      </c>
      <c r="L949" s="10">
        <f>IFERROR(IF(INDEX('Test catalog'!$G$2:$G$200,MATCH($AB949,'Test catalog'!$A$2:$A$200,0))="","",INDEX('Test catalog'!$G$2:$G$200,MATCH($AB949,'Test catalog'!$A$2:$A$200,0))),"")</f>
        <v/>
      </c>
      <c r="M949" s="10">
        <f>IFERROR(IF(INDEX('Test catalog'!$H$2:$H$200,MATCH($AB949,'Test catalog'!$A$2:$A$200,0))="","",INDEX('Test catalog'!$H$2:$H$200,MATCH($AB949,'Test catalog'!$A$2:$A$200,0))),"")</f>
        <v/>
      </c>
      <c r="N949" s="10">
        <f>IFERROR(IF(INDEX('Test catalog'!$I$2:$I$200,MATCH($AB949,'Test catalog'!$A$2:$A$200,0))="","",INDEX('Test catalog'!$I$2:$I$200,MATCH($AB949,'Test catalog'!$A$2:$A$200,0))),"")</f>
        <v/>
      </c>
      <c r="O949" s="10">
        <f>IFERROR(IF(INDEX('Test catalog'!$J$2:$J$200,MATCH($AB949,'Test catalog'!$A$2:$A$200,0))="","",INDEX('Test catalog'!$J$2:$J$200,MATCH($AB949,'Test catalog'!$A$2:$A$200,0))),"")</f>
        <v/>
      </c>
      <c r="P949" s="14">
        <f>IF(N949="","",IF(OR(M949="",O949=""),N949,(M949+4*N949+O949)/6))</f>
        <v/>
      </c>
      <c r="Q949" s="10">
        <f>IFERROR(IF(INDEX('Test catalog'!$K$2:$K$200,MATCH($AB949,'Test catalog'!$A$2:$A$200,0))="","",INDEX('Test catalog'!$K$2:$K$200,MATCH($AB949,'Test catalog'!$A$2:$A$200,0))),"")</f>
        <v/>
      </c>
      <c r="R949" s="5" t="n"/>
      <c r="S949" s="10">
        <f>IFERROR(IF(INDEX('Test catalog'!$L$2:$L$200,MATCH($AB949,'Test catalog'!$A$2:$A$200,0))="","",INDEX('Test catalog'!$L$2:$L$200,MATCH($AB949,'Test catalog'!$A$2:$A$200,0))),"")</f>
        <v/>
      </c>
      <c r="T949" s="10">
        <f>IFERROR(IF(INDEX('Test catalog'!$M$2:$M$200,MATCH($AB949,'Test catalog'!$A$2:$A$200,0))="","",INDEX('Test catalog'!$M$2:$M$200,MATCH($AB949,'Test catalog'!$A$2:$A$200,0))),"")</f>
        <v/>
      </c>
      <c r="U949" s="10">
        <f>IFERROR(IF(INDEX('Test catalog'!$N$2:$N$200,MATCH($AB949,'Test catalog'!$A$2:$A$200,0))="","",INDEX('Test catalog'!$N$2:$N$200,MATCH($AB949,'Test catalog'!$A$2:$A$200,0))),"")</f>
        <v/>
      </c>
      <c r="V949" s="15" t="n"/>
      <c r="W949" s="5" t="inlineStr">
        <is>
          <t>N</t>
        </is>
      </c>
      <c r="X949" s="5" t="n"/>
      <c r="Y949" s="5" t="n"/>
      <c r="Z949" s="5" t="n"/>
      <c r="AA949" s="10">
        <f>IFERROR(IF(INDEX('Test catalog'!$O$2:$O$200,MATCH($AB949,'Test catalog'!$A$2:$A$200,0))="","",INDEX('Test catalog'!$O$2:$O$200,MATCH($AB949,'Test catalog'!$A$2:$A$200,0))),"")</f>
        <v/>
      </c>
      <c r="AB949" s="10" t="inlineStr">
        <is>
          <t>APPEAR</t>
        </is>
      </c>
      <c r="AC949" s="10" t="inlineStr">
        <is>
          <t>Lab practice (not a USP test)</t>
        </is>
      </c>
      <c r="AD949" s="10" t="n"/>
      <c r="AE949" s="10" t="n"/>
    </row>
    <row r="950">
      <c r="A950" s="10" t="inlineStr">
        <is>
          <t>Sodium Benzoate</t>
        </is>
      </c>
      <c r="B950" s="10" t="inlineStr">
        <is>
          <t>RM</t>
        </is>
      </c>
      <c r="C950" s="10" t="inlineStr">
        <is>
          <t>Preservative</t>
        </is>
      </c>
      <c r="D950" s="10" t="inlineStr">
        <is>
          <t>ID A - IR spectrum</t>
        </is>
      </c>
      <c r="E950" s="10">
        <f>IF(A950="","",A950&amp;"|"&amp;D950)</f>
        <v/>
      </c>
      <c r="F950" s="5" t="inlineStr">
        <is>
          <t>Y</t>
        </is>
      </c>
      <c r="G950" s="5" t="inlineStr">
        <is>
          <t>Other / bench</t>
        </is>
      </c>
      <c r="H950" s="5" t="inlineStr">
        <is>
          <t>Low</t>
        </is>
      </c>
      <c r="I950" s="5" t="n">
        <v>1</v>
      </c>
      <c r="J950" s="5" t="n"/>
      <c r="K950" s="10">
        <f>IFERROR(IF(INDEX('Test catalog'!$F$2:$F$200,MATCH($AB950,'Test catalog'!$A$2:$A$200,0))="","",INDEX('Test catalog'!$F$2:$F$200,MATCH($AB950,'Test catalog'!$A$2:$A$200,0))),"")</f>
        <v/>
      </c>
      <c r="L950" s="10">
        <f>IFERROR(IF(INDEX('Test catalog'!$G$2:$G$200,MATCH($AB950,'Test catalog'!$A$2:$A$200,0))="","",INDEX('Test catalog'!$G$2:$G$200,MATCH($AB950,'Test catalog'!$A$2:$A$200,0))),"")</f>
        <v/>
      </c>
      <c r="M950" s="10">
        <f>IFERROR(IF(INDEX('Test catalog'!$H$2:$H$200,MATCH($AB950,'Test catalog'!$A$2:$A$200,0))="","",INDEX('Test catalog'!$H$2:$H$200,MATCH($AB950,'Test catalog'!$A$2:$A$200,0))),"")</f>
        <v/>
      </c>
      <c r="N950" s="10">
        <f>IFERROR(IF(INDEX('Test catalog'!$I$2:$I$200,MATCH($AB950,'Test catalog'!$A$2:$A$200,0))="","",INDEX('Test catalog'!$I$2:$I$200,MATCH($AB950,'Test catalog'!$A$2:$A$200,0))),"")</f>
        <v/>
      </c>
      <c r="O950" s="10">
        <f>IFERROR(IF(INDEX('Test catalog'!$J$2:$J$200,MATCH($AB950,'Test catalog'!$A$2:$A$200,0))="","",INDEX('Test catalog'!$J$2:$J$200,MATCH($AB950,'Test catalog'!$A$2:$A$200,0))),"")</f>
        <v/>
      </c>
      <c r="P950" s="14">
        <f>IF(N950="","",IF(OR(M950="",O950=""),N950,(M950+4*N950+O950)/6))</f>
        <v/>
      </c>
      <c r="Q950" s="10">
        <f>IFERROR(IF(INDEX('Test catalog'!$K$2:$K$200,MATCH($AB950,'Test catalog'!$A$2:$A$200,0))="","",INDEX('Test catalog'!$K$2:$K$200,MATCH($AB950,'Test catalog'!$A$2:$A$200,0))),"")</f>
        <v/>
      </c>
      <c r="R950" s="5" t="n"/>
      <c r="S950" s="10">
        <f>IFERROR(IF(INDEX('Test catalog'!$L$2:$L$200,MATCH($AB950,'Test catalog'!$A$2:$A$200,0))="","",INDEX('Test catalog'!$L$2:$L$200,MATCH($AB950,'Test catalog'!$A$2:$A$200,0))),"")</f>
        <v/>
      </c>
      <c r="T950" s="10">
        <f>IFERROR(IF(INDEX('Test catalog'!$M$2:$M$200,MATCH($AB950,'Test catalog'!$A$2:$A$200,0))="","",INDEX('Test catalog'!$M$2:$M$200,MATCH($AB950,'Test catalog'!$A$2:$A$200,0))),"")</f>
        <v/>
      </c>
      <c r="U950" s="10">
        <f>IFERROR(IF(INDEX('Test catalog'!$N$2:$N$200,MATCH($AB950,'Test catalog'!$A$2:$A$200,0))="","",INDEX('Test catalog'!$N$2:$N$200,MATCH($AB950,'Test catalog'!$A$2:$A$200,0))),"")</f>
        <v/>
      </c>
      <c r="V950" s="15" t="n"/>
      <c r="W950" s="5" t="inlineStr">
        <is>
          <t>N</t>
        </is>
      </c>
      <c r="X950" s="5" t="n"/>
      <c r="Y950" s="5" t="n"/>
      <c r="Z950" s="5" t="n"/>
      <c r="AA950" s="10">
        <f>IFERROR(IF(INDEX('Test catalog'!$O$2:$O$200,MATCH($AB950,'Test catalog'!$A$2:$A$200,0))="","",INDEX('Test catalog'!$O$2:$O$200,MATCH($AB950,'Test catalog'!$A$2:$A$200,0))),"")</f>
        <v/>
      </c>
      <c r="AB950" s="10" t="inlineStr">
        <is>
          <t>ID_IR</t>
        </is>
      </c>
      <c r="AC950" s="10" t="inlineStr">
        <is>
          <t>Sodium Benzoate · Identification &lt;197&gt;</t>
        </is>
      </c>
      <c r="AD950" s="10" t="n"/>
      <c r="AE950" s="10" t="n"/>
    </row>
    <row r="951">
      <c r="A951" s="10" t="inlineStr">
        <is>
          <t>Sodium Benzoate</t>
        </is>
      </c>
      <c r="B951" s="10" t="inlineStr">
        <is>
          <t>RM</t>
        </is>
      </c>
      <c r="C951" s="10" t="inlineStr">
        <is>
          <t>Preservative</t>
        </is>
      </c>
      <c r="D951" s="10" t="inlineStr">
        <is>
          <t>ID B - chemical reaction</t>
        </is>
      </c>
      <c r="E951" s="10">
        <f>IF(A951="","",A951&amp;"|"&amp;D951)</f>
        <v/>
      </c>
      <c r="F951" s="5" t="inlineStr">
        <is>
          <t>Y</t>
        </is>
      </c>
      <c r="G951" s="5" t="inlineStr">
        <is>
          <t>Other / bench</t>
        </is>
      </c>
      <c r="H951" s="5" t="inlineStr">
        <is>
          <t>Low</t>
        </is>
      </c>
      <c r="I951" s="5" t="n">
        <v>1</v>
      </c>
      <c r="J951" s="5" t="n"/>
      <c r="K951" s="10">
        <f>IFERROR(IF(INDEX('Test catalog'!$F$2:$F$200,MATCH($AB951,'Test catalog'!$A$2:$A$200,0))="","",INDEX('Test catalog'!$F$2:$F$200,MATCH($AB951,'Test catalog'!$A$2:$A$200,0))),"")</f>
        <v/>
      </c>
      <c r="L951" s="10">
        <f>IFERROR(IF(INDEX('Test catalog'!$G$2:$G$200,MATCH($AB951,'Test catalog'!$A$2:$A$200,0))="","",INDEX('Test catalog'!$G$2:$G$200,MATCH($AB951,'Test catalog'!$A$2:$A$200,0))),"")</f>
        <v/>
      </c>
      <c r="M951" s="10">
        <f>IFERROR(IF(INDEX('Test catalog'!$H$2:$H$200,MATCH($AB951,'Test catalog'!$A$2:$A$200,0))="","",INDEX('Test catalog'!$H$2:$H$200,MATCH($AB951,'Test catalog'!$A$2:$A$200,0))),"")</f>
        <v/>
      </c>
      <c r="N951" s="10">
        <f>IFERROR(IF(INDEX('Test catalog'!$I$2:$I$200,MATCH($AB951,'Test catalog'!$A$2:$A$200,0))="","",INDEX('Test catalog'!$I$2:$I$200,MATCH($AB951,'Test catalog'!$A$2:$A$200,0))),"")</f>
        <v/>
      </c>
      <c r="O951" s="10">
        <f>IFERROR(IF(INDEX('Test catalog'!$J$2:$J$200,MATCH($AB951,'Test catalog'!$A$2:$A$200,0))="","",INDEX('Test catalog'!$J$2:$J$200,MATCH($AB951,'Test catalog'!$A$2:$A$200,0))),"")</f>
        <v/>
      </c>
      <c r="P951" s="14">
        <f>IF(N951="","",IF(OR(M951="",O951=""),N951,(M951+4*N951+O951)/6))</f>
        <v/>
      </c>
      <c r="Q951" s="10">
        <f>IFERROR(IF(INDEX('Test catalog'!$K$2:$K$200,MATCH($AB951,'Test catalog'!$A$2:$A$200,0))="","",INDEX('Test catalog'!$K$2:$K$200,MATCH($AB951,'Test catalog'!$A$2:$A$200,0))),"")</f>
        <v/>
      </c>
      <c r="R951" s="5" t="n"/>
      <c r="S951" s="10">
        <f>IFERROR(IF(INDEX('Test catalog'!$L$2:$L$200,MATCH($AB951,'Test catalog'!$A$2:$A$200,0))="","",INDEX('Test catalog'!$L$2:$L$200,MATCH($AB951,'Test catalog'!$A$2:$A$200,0))),"")</f>
        <v/>
      </c>
      <c r="T951" s="10">
        <f>IFERROR(IF(INDEX('Test catalog'!$M$2:$M$200,MATCH($AB951,'Test catalog'!$A$2:$A$200,0))="","",INDEX('Test catalog'!$M$2:$M$200,MATCH($AB951,'Test catalog'!$A$2:$A$200,0))),"")</f>
        <v/>
      </c>
      <c r="U951" s="10">
        <f>IFERROR(IF(INDEX('Test catalog'!$N$2:$N$200,MATCH($AB951,'Test catalog'!$A$2:$A$200,0))="","",INDEX('Test catalog'!$N$2:$N$200,MATCH($AB951,'Test catalog'!$A$2:$A$200,0))),"")</f>
        <v/>
      </c>
      <c r="V951" s="15" t="n"/>
      <c r="W951" s="5" t="inlineStr">
        <is>
          <t>N</t>
        </is>
      </c>
      <c r="X951" s="5" t="n"/>
      <c r="Y951" s="5" t="n"/>
      <c r="Z951" s="5" t="n"/>
      <c r="AA951" s="10">
        <f>IFERROR(IF(INDEX('Test catalog'!$O$2:$O$200,MATCH($AB951,'Test catalog'!$A$2:$A$200,0))="","",INDEX('Test catalog'!$O$2:$O$200,MATCH($AB951,'Test catalog'!$A$2:$A$200,0))),"")</f>
        <v/>
      </c>
      <c r="AB951" s="10" t="inlineStr">
        <is>
          <t>ID_CHEM</t>
        </is>
      </c>
      <c r="AC951" s="10" t="inlineStr">
        <is>
          <t>Sodium Benzoate · Identification &lt;191&gt;</t>
        </is>
      </c>
      <c r="AD951" s="10" t="n"/>
      <c r="AE951" s="10" t="n"/>
    </row>
    <row r="952">
      <c r="A952" s="10" t="inlineStr">
        <is>
          <t>Sodium Benzoate</t>
        </is>
      </c>
      <c r="B952" s="10" t="inlineStr">
        <is>
          <t>RM</t>
        </is>
      </c>
      <c r="C952" s="10" t="inlineStr">
        <is>
          <t>Preservative</t>
        </is>
      </c>
      <c r="D952" s="10" t="inlineStr">
        <is>
          <t>Assay (HPLC)</t>
        </is>
      </c>
      <c r="E952" s="10">
        <f>IF(A952="","",A952&amp;"|"&amp;D952)</f>
        <v/>
      </c>
      <c r="F952" s="5" t="inlineStr">
        <is>
          <t>Y</t>
        </is>
      </c>
      <c r="G952" s="5" t="inlineStr">
        <is>
          <t>HPLC</t>
        </is>
      </c>
      <c r="H952" s="5" t="inlineStr">
        <is>
          <t>Medium</t>
        </is>
      </c>
      <c r="I952" s="5" t="n">
        <v>1</v>
      </c>
      <c r="J952" s="5" t="n"/>
      <c r="K952" s="5" t="n"/>
      <c r="L952" s="5" t="n"/>
      <c r="M952" s="5" t="n"/>
      <c r="N952" s="5" t="n"/>
      <c r="O952" s="5" t="n"/>
      <c r="P952" s="14">
        <f>IF(N952="","",IF(OR(M952="",O952=""),N952,(M952+4*N952+O952)/6))</f>
        <v/>
      </c>
      <c r="Q952" s="5" t="n"/>
      <c r="R952" s="5" t="n"/>
      <c r="S952" s="5" t="n"/>
      <c r="T952" s="5" t="n"/>
      <c r="U952" s="5" t="n"/>
      <c r="V952" s="15" t="n"/>
      <c r="W952" s="5" t="inlineStr">
        <is>
          <t>N</t>
        </is>
      </c>
      <c r="X952" s="5" t="n"/>
      <c r="Y952" s="5" t="n"/>
      <c r="Z952" s="5" t="n"/>
      <c r="AA952" s="5" t="n"/>
      <c r="AB952" s="10" t="n"/>
      <c r="AC952" s="10" t="inlineStr">
        <is>
          <t>Sodium Benzoate · Assay</t>
        </is>
      </c>
      <c r="AD952" s="10" t="n"/>
      <c r="AE952" s="10" t="n"/>
    </row>
    <row r="953">
      <c r="A953" s="10" t="inlineStr">
        <is>
          <t>Sodium Benzoate</t>
        </is>
      </c>
      <c r="B953" s="10" t="inlineStr">
        <is>
          <t>RM</t>
        </is>
      </c>
      <c r="C953" s="10" t="inlineStr">
        <is>
          <t>Preservative</t>
        </is>
      </c>
      <c r="D953" s="10" t="inlineStr">
        <is>
          <t>Water Determination, Method I</t>
        </is>
      </c>
      <c r="E953" s="10">
        <f>IF(A953="","",A953&amp;"|"&amp;D953)</f>
        <v/>
      </c>
      <c r="F953" s="5" t="inlineStr">
        <is>
          <t>Y</t>
        </is>
      </c>
      <c r="G953" s="5" t="inlineStr">
        <is>
          <t>KF titrator</t>
        </is>
      </c>
      <c r="H953" s="5" t="inlineStr">
        <is>
          <t>Low</t>
        </is>
      </c>
      <c r="I953" s="5" t="n">
        <v>1</v>
      </c>
      <c r="J953" s="5" t="n"/>
      <c r="K953" s="10">
        <f>IFERROR(IF(INDEX('Test catalog'!$F$2:$F$200,MATCH($AB953,'Test catalog'!$A$2:$A$200,0))="","",INDEX('Test catalog'!$F$2:$F$200,MATCH($AB953,'Test catalog'!$A$2:$A$200,0))),"")</f>
        <v/>
      </c>
      <c r="L953" s="10">
        <f>IFERROR(IF(INDEX('Test catalog'!$G$2:$G$200,MATCH($AB953,'Test catalog'!$A$2:$A$200,0))="","",INDEX('Test catalog'!$G$2:$G$200,MATCH($AB953,'Test catalog'!$A$2:$A$200,0))),"")</f>
        <v/>
      </c>
      <c r="M953" s="10">
        <f>IFERROR(IF(INDEX('Test catalog'!$H$2:$H$200,MATCH($AB953,'Test catalog'!$A$2:$A$200,0))="","",INDEX('Test catalog'!$H$2:$H$200,MATCH($AB953,'Test catalog'!$A$2:$A$200,0))),"")</f>
        <v/>
      </c>
      <c r="N953" s="10">
        <f>IFERROR(IF(INDEX('Test catalog'!$I$2:$I$200,MATCH($AB953,'Test catalog'!$A$2:$A$200,0))="","",INDEX('Test catalog'!$I$2:$I$200,MATCH($AB953,'Test catalog'!$A$2:$A$200,0))),"")</f>
        <v/>
      </c>
      <c r="O953" s="10">
        <f>IFERROR(IF(INDEX('Test catalog'!$J$2:$J$200,MATCH($AB953,'Test catalog'!$A$2:$A$200,0))="","",INDEX('Test catalog'!$J$2:$J$200,MATCH($AB953,'Test catalog'!$A$2:$A$200,0))),"")</f>
        <v/>
      </c>
      <c r="P953" s="14">
        <f>IF(N953="","",IF(OR(M953="",O953=""),N953,(M953+4*N953+O953)/6))</f>
        <v/>
      </c>
      <c r="Q953" s="10">
        <f>IFERROR(IF(INDEX('Test catalog'!$K$2:$K$200,MATCH($AB953,'Test catalog'!$A$2:$A$200,0))="","",INDEX('Test catalog'!$K$2:$K$200,MATCH($AB953,'Test catalog'!$A$2:$A$200,0))),"")</f>
        <v/>
      </c>
      <c r="R953" s="5" t="n"/>
      <c r="S953" s="10">
        <f>IFERROR(IF(INDEX('Test catalog'!$L$2:$L$200,MATCH($AB953,'Test catalog'!$A$2:$A$200,0))="","",INDEX('Test catalog'!$L$2:$L$200,MATCH($AB953,'Test catalog'!$A$2:$A$200,0))),"")</f>
        <v/>
      </c>
      <c r="T953" s="10">
        <f>IFERROR(IF(INDEX('Test catalog'!$M$2:$M$200,MATCH($AB953,'Test catalog'!$A$2:$A$200,0))="","",INDEX('Test catalog'!$M$2:$M$200,MATCH($AB953,'Test catalog'!$A$2:$A$200,0))),"")</f>
        <v/>
      </c>
      <c r="U953" s="10">
        <f>IFERROR(IF(INDEX('Test catalog'!$N$2:$N$200,MATCH($AB953,'Test catalog'!$A$2:$A$200,0))="","",INDEX('Test catalog'!$N$2:$N$200,MATCH($AB953,'Test catalog'!$A$2:$A$200,0))),"")</f>
        <v/>
      </c>
      <c r="V953" s="15" t="n"/>
      <c r="W953" s="5" t="inlineStr">
        <is>
          <t>N</t>
        </is>
      </c>
      <c r="X953" s="5" t="n"/>
      <c r="Y953" s="5" t="n"/>
      <c r="Z953" s="5" t="n"/>
      <c r="AA953" s="10">
        <f>IFERROR(IF(INDEX('Test catalog'!$O$2:$O$200,MATCH($AB953,'Test catalog'!$A$2:$A$200,0))="","",INDEX('Test catalog'!$O$2:$O$200,MATCH($AB953,'Test catalog'!$A$2:$A$200,0))),"")</f>
        <v/>
      </c>
      <c r="AB953" s="10" t="inlineStr">
        <is>
          <t>KF</t>
        </is>
      </c>
      <c r="AC953" s="10" t="inlineStr">
        <is>
          <t>Sodium Benzoate · Specific Tests &lt;921&gt;</t>
        </is>
      </c>
      <c r="AD953" s="10" t="n"/>
      <c r="AE953" s="10" t="n"/>
    </row>
    <row r="954">
      <c r="A954" s="10" t="inlineStr">
        <is>
          <t>Sodium Benzoate</t>
        </is>
      </c>
      <c r="B954" s="10" t="inlineStr">
        <is>
          <t>RM</t>
        </is>
      </c>
      <c r="C954" s="10" t="inlineStr">
        <is>
          <t>Preservative</t>
        </is>
      </c>
      <c r="D954" s="10" t="inlineStr">
        <is>
          <t>Alkalinity</t>
        </is>
      </c>
      <c r="E954" s="10">
        <f>IF(A954="","",A954&amp;"|"&amp;D954)</f>
        <v/>
      </c>
      <c r="F954" s="5" t="inlineStr">
        <is>
          <t>Y</t>
        </is>
      </c>
      <c r="G954" s="5" t="inlineStr">
        <is>
          <t>Other / bench</t>
        </is>
      </c>
      <c r="H954" s="5" t="inlineStr">
        <is>
          <t>Low</t>
        </is>
      </c>
      <c r="I954" s="5" t="n">
        <v>1</v>
      </c>
      <c r="J954" s="5" t="n"/>
      <c r="K954" s="10">
        <f>IFERROR(IF(INDEX('Test catalog'!$F$2:$F$200,MATCH($AB954,'Test catalog'!$A$2:$A$200,0))="","",INDEX('Test catalog'!$F$2:$F$200,MATCH($AB954,'Test catalog'!$A$2:$A$200,0))),"")</f>
        <v/>
      </c>
      <c r="L954" s="10">
        <f>IFERROR(IF(INDEX('Test catalog'!$G$2:$G$200,MATCH($AB954,'Test catalog'!$A$2:$A$200,0))="","",INDEX('Test catalog'!$G$2:$G$200,MATCH($AB954,'Test catalog'!$A$2:$A$200,0))),"")</f>
        <v/>
      </c>
      <c r="M954" s="10">
        <f>IFERROR(IF(INDEX('Test catalog'!$H$2:$H$200,MATCH($AB954,'Test catalog'!$A$2:$A$200,0))="","",INDEX('Test catalog'!$H$2:$H$200,MATCH($AB954,'Test catalog'!$A$2:$A$200,0))),"")</f>
        <v/>
      </c>
      <c r="N954" s="10">
        <f>IFERROR(IF(INDEX('Test catalog'!$I$2:$I$200,MATCH($AB954,'Test catalog'!$A$2:$A$200,0))="","",INDEX('Test catalog'!$I$2:$I$200,MATCH($AB954,'Test catalog'!$A$2:$A$200,0))),"")</f>
        <v/>
      </c>
      <c r="O954" s="10">
        <f>IFERROR(IF(INDEX('Test catalog'!$J$2:$J$200,MATCH($AB954,'Test catalog'!$A$2:$A$200,0))="","",INDEX('Test catalog'!$J$2:$J$200,MATCH($AB954,'Test catalog'!$A$2:$A$200,0))),"")</f>
        <v/>
      </c>
      <c r="P954" s="14">
        <f>IF(N954="","",IF(OR(M954="",O954=""),N954,(M954+4*N954+O954)/6))</f>
        <v/>
      </c>
      <c r="Q954" s="10">
        <f>IFERROR(IF(INDEX('Test catalog'!$K$2:$K$200,MATCH($AB954,'Test catalog'!$A$2:$A$200,0))="","",INDEX('Test catalog'!$K$2:$K$200,MATCH($AB954,'Test catalog'!$A$2:$A$200,0))),"")</f>
        <v/>
      </c>
      <c r="R954" s="5" t="n"/>
      <c r="S954" s="10">
        <f>IFERROR(IF(INDEX('Test catalog'!$L$2:$L$200,MATCH($AB954,'Test catalog'!$A$2:$A$200,0))="","",INDEX('Test catalog'!$L$2:$L$200,MATCH($AB954,'Test catalog'!$A$2:$A$200,0))),"")</f>
        <v/>
      </c>
      <c r="T954" s="10">
        <f>IFERROR(IF(INDEX('Test catalog'!$M$2:$M$200,MATCH($AB954,'Test catalog'!$A$2:$A$200,0))="","",INDEX('Test catalog'!$M$2:$M$200,MATCH($AB954,'Test catalog'!$A$2:$A$200,0))),"")</f>
        <v/>
      </c>
      <c r="U954" s="10">
        <f>IFERROR(IF(INDEX('Test catalog'!$N$2:$N$200,MATCH($AB954,'Test catalog'!$A$2:$A$200,0))="","",INDEX('Test catalog'!$N$2:$N$200,MATCH($AB954,'Test catalog'!$A$2:$A$200,0))),"")</f>
        <v/>
      </c>
      <c r="V954" s="15" t="n"/>
      <c r="W954" s="5" t="inlineStr">
        <is>
          <t>N</t>
        </is>
      </c>
      <c r="X954" s="5" t="n"/>
      <c r="Y954" s="5" t="n"/>
      <c r="Z954" s="5" t="n"/>
      <c r="AA954" s="10">
        <f>IFERROR(IF(INDEX('Test catalog'!$O$2:$O$200,MATCH($AB954,'Test catalog'!$A$2:$A$200,0))="","",INDEX('Test catalog'!$O$2:$O$200,MATCH($AB954,'Test catalog'!$A$2:$A$200,0))),"")</f>
        <v/>
      </c>
      <c r="AB954" s="10" t="inlineStr">
        <is>
          <t>ACID</t>
        </is>
      </c>
      <c r="AC954" s="10" t="inlineStr">
        <is>
          <t>Sodium Benzoate · Specific Tests</t>
        </is>
      </c>
      <c r="AD954" s="10" t="n"/>
      <c r="AE954" s="10" t="n"/>
    </row>
    <row r="955">
      <c r="A955" s="10" t="inlineStr">
        <is>
          <t>Glyceryl Behenate (Compritol 888 ATO)</t>
        </is>
      </c>
      <c r="B955" s="10" t="inlineStr">
        <is>
          <t>RM</t>
        </is>
      </c>
      <c r="C955" s="10" t="inlineStr">
        <is>
          <t>Release / Matrix Polymer</t>
        </is>
      </c>
      <c r="D955" s="10" t="inlineStr">
        <is>
          <t>Appearance / description and solubility</t>
        </is>
      </c>
      <c r="E955" s="10">
        <f>IF(A955="","",A955&amp;"|"&amp;D955)</f>
        <v/>
      </c>
      <c r="F955" s="5" t="inlineStr">
        <is>
          <t>Y</t>
        </is>
      </c>
      <c r="G955" s="5" t="inlineStr">
        <is>
          <t>Other / bench</t>
        </is>
      </c>
      <c r="H955" s="5" t="inlineStr">
        <is>
          <t>Low</t>
        </is>
      </c>
      <c r="I955" s="5" t="n">
        <v>1</v>
      </c>
      <c r="J955" s="5" t="n"/>
      <c r="K955" s="10">
        <f>IFERROR(IF(INDEX('Test catalog'!$F$2:$F$200,MATCH($AB955,'Test catalog'!$A$2:$A$200,0))="","",INDEX('Test catalog'!$F$2:$F$200,MATCH($AB955,'Test catalog'!$A$2:$A$200,0))),"")</f>
        <v/>
      </c>
      <c r="L955" s="10">
        <f>IFERROR(IF(INDEX('Test catalog'!$G$2:$G$200,MATCH($AB955,'Test catalog'!$A$2:$A$200,0))="","",INDEX('Test catalog'!$G$2:$G$200,MATCH($AB955,'Test catalog'!$A$2:$A$200,0))),"")</f>
        <v/>
      </c>
      <c r="M955" s="10">
        <f>IFERROR(IF(INDEX('Test catalog'!$H$2:$H$200,MATCH($AB955,'Test catalog'!$A$2:$A$200,0))="","",INDEX('Test catalog'!$H$2:$H$200,MATCH($AB955,'Test catalog'!$A$2:$A$200,0))),"")</f>
        <v/>
      </c>
      <c r="N955" s="10">
        <f>IFERROR(IF(INDEX('Test catalog'!$I$2:$I$200,MATCH($AB955,'Test catalog'!$A$2:$A$200,0))="","",INDEX('Test catalog'!$I$2:$I$200,MATCH($AB955,'Test catalog'!$A$2:$A$200,0))),"")</f>
        <v/>
      </c>
      <c r="O955" s="10">
        <f>IFERROR(IF(INDEX('Test catalog'!$J$2:$J$200,MATCH($AB955,'Test catalog'!$A$2:$A$200,0))="","",INDEX('Test catalog'!$J$2:$J$200,MATCH($AB955,'Test catalog'!$A$2:$A$200,0))),"")</f>
        <v/>
      </c>
      <c r="P955" s="14">
        <f>IF(N955="","",IF(OR(M955="",O955=""),N955,(M955+4*N955+O955)/6))</f>
        <v/>
      </c>
      <c r="Q955" s="10">
        <f>IFERROR(IF(INDEX('Test catalog'!$K$2:$K$200,MATCH($AB955,'Test catalog'!$A$2:$A$200,0))="","",INDEX('Test catalog'!$K$2:$K$200,MATCH($AB955,'Test catalog'!$A$2:$A$200,0))),"")</f>
        <v/>
      </c>
      <c r="R955" s="5" t="n"/>
      <c r="S955" s="10">
        <f>IFERROR(IF(INDEX('Test catalog'!$L$2:$L$200,MATCH($AB955,'Test catalog'!$A$2:$A$200,0))="","",INDEX('Test catalog'!$L$2:$L$200,MATCH($AB955,'Test catalog'!$A$2:$A$200,0))),"")</f>
        <v/>
      </c>
      <c r="T955" s="10">
        <f>IFERROR(IF(INDEX('Test catalog'!$M$2:$M$200,MATCH($AB955,'Test catalog'!$A$2:$A$200,0))="","",INDEX('Test catalog'!$M$2:$M$200,MATCH($AB955,'Test catalog'!$A$2:$A$200,0))),"")</f>
        <v/>
      </c>
      <c r="U955" s="10">
        <f>IFERROR(IF(INDEX('Test catalog'!$N$2:$N$200,MATCH($AB955,'Test catalog'!$A$2:$A$200,0))="","",INDEX('Test catalog'!$N$2:$N$200,MATCH($AB955,'Test catalog'!$A$2:$A$200,0))),"")</f>
        <v/>
      </c>
      <c r="V955" s="15" t="n"/>
      <c r="W955" s="5" t="inlineStr">
        <is>
          <t>N</t>
        </is>
      </c>
      <c r="X955" s="5" t="n"/>
      <c r="Y955" s="5" t="n"/>
      <c r="Z955" s="5" t="n"/>
      <c r="AA955" s="10">
        <f>IFERROR(IF(INDEX('Test catalog'!$O$2:$O$200,MATCH($AB955,'Test catalog'!$A$2:$A$200,0))="","",INDEX('Test catalog'!$O$2:$O$200,MATCH($AB955,'Test catalog'!$A$2:$A$200,0))),"")</f>
        <v/>
      </c>
      <c r="AB955" s="10" t="inlineStr">
        <is>
          <t>APPEAR</t>
        </is>
      </c>
      <c r="AC955" s="10" t="inlineStr">
        <is>
          <t>Lab practice (not a USP test)</t>
        </is>
      </c>
      <c r="AD955" s="10" t="n"/>
      <c r="AE955" s="10" t="n"/>
    </row>
    <row r="956">
      <c r="A956" s="10" t="inlineStr">
        <is>
          <t>Glyceryl Behenate (Compritol 888 ATO)</t>
        </is>
      </c>
      <c r="B956" s="10" t="inlineStr">
        <is>
          <t>RM</t>
        </is>
      </c>
      <c r="C956" s="10" t="inlineStr">
        <is>
          <t>Release / Matrix Polymer</t>
        </is>
      </c>
      <c r="D956" s="10" t="inlineStr">
        <is>
          <t>ID A - chemical reaction</t>
        </is>
      </c>
      <c r="E956" s="10">
        <f>IF(A956="","",A956&amp;"|"&amp;D956)</f>
        <v/>
      </c>
      <c r="F956" s="5" t="inlineStr">
        <is>
          <t>Y</t>
        </is>
      </c>
      <c r="G956" s="5" t="inlineStr">
        <is>
          <t>Other / bench</t>
        </is>
      </c>
      <c r="H956" s="5" t="inlineStr">
        <is>
          <t>Low</t>
        </is>
      </c>
      <c r="I956" s="5" t="n">
        <v>1</v>
      </c>
      <c r="J956" s="5" t="n"/>
      <c r="K956" s="10">
        <f>IFERROR(IF(INDEX('Test catalog'!$F$2:$F$200,MATCH($AB956,'Test catalog'!$A$2:$A$200,0))="","",INDEX('Test catalog'!$F$2:$F$200,MATCH($AB956,'Test catalog'!$A$2:$A$200,0))),"")</f>
        <v/>
      </c>
      <c r="L956" s="10">
        <f>IFERROR(IF(INDEX('Test catalog'!$G$2:$G$200,MATCH($AB956,'Test catalog'!$A$2:$A$200,0))="","",INDEX('Test catalog'!$G$2:$G$200,MATCH($AB956,'Test catalog'!$A$2:$A$200,0))),"")</f>
        <v/>
      </c>
      <c r="M956" s="10">
        <f>IFERROR(IF(INDEX('Test catalog'!$H$2:$H$200,MATCH($AB956,'Test catalog'!$A$2:$A$200,0))="","",INDEX('Test catalog'!$H$2:$H$200,MATCH($AB956,'Test catalog'!$A$2:$A$200,0))),"")</f>
        <v/>
      </c>
      <c r="N956" s="10">
        <f>IFERROR(IF(INDEX('Test catalog'!$I$2:$I$200,MATCH($AB956,'Test catalog'!$A$2:$A$200,0))="","",INDEX('Test catalog'!$I$2:$I$200,MATCH($AB956,'Test catalog'!$A$2:$A$200,0))),"")</f>
        <v/>
      </c>
      <c r="O956" s="10">
        <f>IFERROR(IF(INDEX('Test catalog'!$J$2:$J$200,MATCH($AB956,'Test catalog'!$A$2:$A$200,0))="","",INDEX('Test catalog'!$J$2:$J$200,MATCH($AB956,'Test catalog'!$A$2:$A$200,0))),"")</f>
        <v/>
      </c>
      <c r="P956" s="14">
        <f>IF(N956="","",IF(OR(M956="",O956=""),N956,(M956+4*N956+O956)/6))</f>
        <v/>
      </c>
      <c r="Q956" s="10">
        <f>IFERROR(IF(INDEX('Test catalog'!$K$2:$K$200,MATCH($AB956,'Test catalog'!$A$2:$A$200,0))="","",INDEX('Test catalog'!$K$2:$K$200,MATCH($AB956,'Test catalog'!$A$2:$A$200,0))),"")</f>
        <v/>
      </c>
      <c r="R956" s="5" t="n"/>
      <c r="S956" s="10">
        <f>IFERROR(IF(INDEX('Test catalog'!$L$2:$L$200,MATCH($AB956,'Test catalog'!$A$2:$A$200,0))="","",INDEX('Test catalog'!$L$2:$L$200,MATCH($AB956,'Test catalog'!$A$2:$A$200,0))),"")</f>
        <v/>
      </c>
      <c r="T956" s="10">
        <f>IFERROR(IF(INDEX('Test catalog'!$M$2:$M$200,MATCH($AB956,'Test catalog'!$A$2:$A$200,0))="","",INDEX('Test catalog'!$M$2:$M$200,MATCH($AB956,'Test catalog'!$A$2:$A$200,0))),"")</f>
        <v/>
      </c>
      <c r="U956" s="10">
        <f>IFERROR(IF(INDEX('Test catalog'!$N$2:$N$200,MATCH($AB956,'Test catalog'!$A$2:$A$200,0))="","",INDEX('Test catalog'!$N$2:$N$200,MATCH($AB956,'Test catalog'!$A$2:$A$200,0))),"")</f>
        <v/>
      </c>
      <c r="V956" s="15" t="n"/>
      <c r="W956" s="5" t="inlineStr">
        <is>
          <t>N</t>
        </is>
      </c>
      <c r="X956" s="5" t="n"/>
      <c r="Y956" s="5" t="n"/>
      <c r="Z956" s="5" t="n"/>
      <c r="AA956" s="10">
        <f>IFERROR(IF(INDEX('Test catalog'!$O$2:$O$200,MATCH($AB956,'Test catalog'!$A$2:$A$200,0))="","",INDEX('Test catalog'!$O$2:$O$200,MATCH($AB956,'Test catalog'!$A$2:$A$200,0))),"")</f>
        <v/>
      </c>
      <c r="AB956" s="10" t="inlineStr">
        <is>
          <t>ID_CHEM</t>
        </is>
      </c>
      <c r="AC956" s="10" t="inlineStr">
        <is>
          <t>Glyceryl Dibehenate · Identification</t>
        </is>
      </c>
      <c r="AD956" s="10" t="n"/>
      <c r="AE956" s="10" t="n"/>
    </row>
    <row r="957">
      <c r="A957" s="10" t="inlineStr">
        <is>
          <t>Glyceryl Behenate (Compritol 888 ATO)</t>
        </is>
      </c>
      <c r="B957" s="10" t="inlineStr">
        <is>
          <t>RM</t>
        </is>
      </c>
      <c r="C957" s="10" t="inlineStr">
        <is>
          <t>Release / Matrix Polymer</t>
        </is>
      </c>
      <c r="D957" s="10" t="inlineStr">
        <is>
          <t>ID B - Fats and oils value</t>
        </is>
      </c>
      <c r="E957" s="10">
        <f>IF(A957="","",A957&amp;"|"&amp;D957)</f>
        <v/>
      </c>
      <c r="F957" s="5" t="inlineStr">
        <is>
          <t>Y</t>
        </is>
      </c>
      <c r="G957" s="5" t="inlineStr">
        <is>
          <t>Other / bench</t>
        </is>
      </c>
      <c r="H957" s="5" t="inlineStr">
        <is>
          <t>Low</t>
        </is>
      </c>
      <c r="I957" s="5" t="n">
        <v>1</v>
      </c>
      <c r="J957" s="5" t="n"/>
      <c r="K957" s="10">
        <f>IFERROR(IF(INDEX('Test catalog'!$F$2:$F$200,MATCH($AB957,'Test catalog'!$A$2:$A$200,0))="","",INDEX('Test catalog'!$F$2:$F$200,MATCH($AB957,'Test catalog'!$A$2:$A$200,0))),"")</f>
        <v/>
      </c>
      <c r="L957" s="10">
        <f>IFERROR(IF(INDEX('Test catalog'!$G$2:$G$200,MATCH($AB957,'Test catalog'!$A$2:$A$200,0))="","",INDEX('Test catalog'!$G$2:$G$200,MATCH($AB957,'Test catalog'!$A$2:$A$200,0))),"")</f>
        <v/>
      </c>
      <c r="M957" s="10">
        <f>IFERROR(IF(INDEX('Test catalog'!$H$2:$H$200,MATCH($AB957,'Test catalog'!$A$2:$A$200,0))="","",INDEX('Test catalog'!$H$2:$H$200,MATCH($AB957,'Test catalog'!$A$2:$A$200,0))),"")</f>
        <v/>
      </c>
      <c r="N957" s="10">
        <f>IFERROR(IF(INDEX('Test catalog'!$I$2:$I$200,MATCH($AB957,'Test catalog'!$A$2:$A$200,0))="","",INDEX('Test catalog'!$I$2:$I$200,MATCH($AB957,'Test catalog'!$A$2:$A$200,0))),"")</f>
        <v/>
      </c>
      <c r="O957" s="10">
        <f>IFERROR(IF(INDEX('Test catalog'!$J$2:$J$200,MATCH($AB957,'Test catalog'!$A$2:$A$200,0))="","",INDEX('Test catalog'!$J$2:$J$200,MATCH($AB957,'Test catalog'!$A$2:$A$200,0))),"")</f>
        <v/>
      </c>
      <c r="P957" s="14">
        <f>IF(N957="","",IF(OR(M957="",O957=""),N957,(M957+4*N957+O957)/6))</f>
        <v/>
      </c>
      <c r="Q957" s="10">
        <f>IFERROR(IF(INDEX('Test catalog'!$K$2:$K$200,MATCH($AB957,'Test catalog'!$A$2:$A$200,0))="","",INDEX('Test catalog'!$K$2:$K$200,MATCH($AB957,'Test catalog'!$A$2:$A$200,0))),"")</f>
        <v/>
      </c>
      <c r="R957" s="5" t="n"/>
      <c r="S957" s="10">
        <f>IFERROR(IF(INDEX('Test catalog'!$L$2:$L$200,MATCH($AB957,'Test catalog'!$A$2:$A$200,0))="","",INDEX('Test catalog'!$L$2:$L$200,MATCH($AB957,'Test catalog'!$A$2:$A$200,0))),"")</f>
        <v/>
      </c>
      <c r="T957" s="10">
        <f>IFERROR(IF(INDEX('Test catalog'!$M$2:$M$200,MATCH($AB957,'Test catalog'!$A$2:$A$200,0))="","",INDEX('Test catalog'!$M$2:$M$200,MATCH($AB957,'Test catalog'!$A$2:$A$200,0))),"")</f>
        <v/>
      </c>
      <c r="U957" s="10">
        <f>IFERROR(IF(INDEX('Test catalog'!$N$2:$N$200,MATCH($AB957,'Test catalog'!$A$2:$A$200,0))="","",INDEX('Test catalog'!$N$2:$N$200,MATCH($AB957,'Test catalog'!$A$2:$A$200,0))),"")</f>
        <v/>
      </c>
      <c r="V957" s="15" t="n"/>
      <c r="W957" s="5" t="inlineStr">
        <is>
          <t>N</t>
        </is>
      </c>
      <c r="X957" s="5" t="n"/>
      <c r="Y957" s="5" t="n"/>
      <c r="Z957" s="5" t="n"/>
      <c r="AA957" s="10">
        <f>IFERROR(IF(INDEX('Test catalog'!$O$2:$O$200,MATCH($AB957,'Test catalog'!$A$2:$A$200,0))="","",INDEX('Test catalog'!$O$2:$O$200,MATCH($AB957,'Test catalog'!$A$2:$A$200,0))),"")</f>
        <v/>
      </c>
      <c r="AB957" s="10" t="inlineStr">
        <is>
          <t>FATS</t>
        </is>
      </c>
      <c r="AC957" s="10" t="inlineStr">
        <is>
          <t>Glyceryl Dibehenate · Identification &lt;401&gt;</t>
        </is>
      </c>
      <c r="AD957" s="10" t="n"/>
      <c r="AE957" s="10" t="n"/>
    </row>
    <row r="958">
      <c r="A958" s="10" t="inlineStr">
        <is>
          <t>Glyceryl Behenate (Compritol 888 ATO)</t>
        </is>
      </c>
      <c r="B958" s="10" t="inlineStr">
        <is>
          <t>RM</t>
        </is>
      </c>
      <c r="C958" s="10" t="inlineStr">
        <is>
          <t>Release / Matrix Polymer</t>
        </is>
      </c>
      <c r="D958" s="10" t="inlineStr">
        <is>
          <t>ID C - Melting range</t>
        </is>
      </c>
      <c r="E958" s="10">
        <f>IF(A958="","",A958&amp;"|"&amp;D958)</f>
        <v/>
      </c>
      <c r="F958" s="5" t="inlineStr">
        <is>
          <t>Y</t>
        </is>
      </c>
      <c r="G958" s="5" t="inlineStr">
        <is>
          <t>Other / bench</t>
        </is>
      </c>
      <c r="H958" s="5" t="inlineStr">
        <is>
          <t>Low</t>
        </is>
      </c>
      <c r="I958" s="5" t="n">
        <v>1</v>
      </c>
      <c r="J958" s="5" t="n"/>
      <c r="K958" s="10">
        <f>IFERROR(IF(INDEX('Test catalog'!$F$2:$F$200,MATCH($AB958,'Test catalog'!$A$2:$A$200,0))="","",INDEX('Test catalog'!$F$2:$F$200,MATCH($AB958,'Test catalog'!$A$2:$A$200,0))),"")</f>
        <v/>
      </c>
      <c r="L958" s="10">
        <f>IFERROR(IF(INDEX('Test catalog'!$G$2:$G$200,MATCH($AB958,'Test catalog'!$A$2:$A$200,0))="","",INDEX('Test catalog'!$G$2:$G$200,MATCH($AB958,'Test catalog'!$A$2:$A$200,0))),"")</f>
        <v/>
      </c>
      <c r="M958" s="10">
        <f>IFERROR(IF(INDEX('Test catalog'!$H$2:$H$200,MATCH($AB958,'Test catalog'!$A$2:$A$200,0))="","",INDEX('Test catalog'!$H$2:$H$200,MATCH($AB958,'Test catalog'!$A$2:$A$200,0))),"")</f>
        <v/>
      </c>
      <c r="N958" s="10">
        <f>IFERROR(IF(INDEX('Test catalog'!$I$2:$I$200,MATCH($AB958,'Test catalog'!$A$2:$A$200,0))="","",INDEX('Test catalog'!$I$2:$I$200,MATCH($AB958,'Test catalog'!$A$2:$A$200,0))),"")</f>
        <v/>
      </c>
      <c r="O958" s="10">
        <f>IFERROR(IF(INDEX('Test catalog'!$J$2:$J$200,MATCH($AB958,'Test catalog'!$A$2:$A$200,0))="","",INDEX('Test catalog'!$J$2:$J$200,MATCH($AB958,'Test catalog'!$A$2:$A$200,0))),"")</f>
        <v/>
      </c>
      <c r="P958" s="14">
        <f>IF(N958="","",IF(OR(M958="",O958=""),N958,(M958+4*N958+O958)/6))</f>
        <v/>
      </c>
      <c r="Q958" s="10">
        <f>IFERROR(IF(INDEX('Test catalog'!$K$2:$K$200,MATCH($AB958,'Test catalog'!$A$2:$A$200,0))="","",INDEX('Test catalog'!$K$2:$K$200,MATCH($AB958,'Test catalog'!$A$2:$A$200,0))),"")</f>
        <v/>
      </c>
      <c r="R958" s="5" t="n"/>
      <c r="S958" s="10">
        <f>IFERROR(IF(INDEX('Test catalog'!$L$2:$L$200,MATCH($AB958,'Test catalog'!$A$2:$A$200,0))="","",INDEX('Test catalog'!$L$2:$L$200,MATCH($AB958,'Test catalog'!$A$2:$A$200,0))),"")</f>
        <v/>
      </c>
      <c r="T958" s="10">
        <f>IFERROR(IF(INDEX('Test catalog'!$M$2:$M$200,MATCH($AB958,'Test catalog'!$A$2:$A$200,0))="","",INDEX('Test catalog'!$M$2:$M$200,MATCH($AB958,'Test catalog'!$A$2:$A$200,0))),"")</f>
        <v/>
      </c>
      <c r="U958" s="10">
        <f>IFERROR(IF(INDEX('Test catalog'!$N$2:$N$200,MATCH($AB958,'Test catalog'!$A$2:$A$200,0))="","",INDEX('Test catalog'!$N$2:$N$200,MATCH($AB958,'Test catalog'!$A$2:$A$200,0))),"")</f>
        <v/>
      </c>
      <c r="V958" s="15" t="n"/>
      <c r="W958" s="5" t="inlineStr">
        <is>
          <t>N</t>
        </is>
      </c>
      <c r="X958" s="5" t="n"/>
      <c r="Y958" s="5" t="n"/>
      <c r="Z958" s="5" t="n"/>
      <c r="AA958" s="10">
        <f>IFERROR(IF(INDEX('Test catalog'!$O$2:$O$200,MATCH($AB958,'Test catalog'!$A$2:$A$200,0))="","",INDEX('Test catalog'!$O$2:$O$200,MATCH($AB958,'Test catalog'!$A$2:$A$200,0))),"")</f>
        <v/>
      </c>
      <c r="AB958" s="10" t="inlineStr">
        <is>
          <t>MP</t>
        </is>
      </c>
      <c r="AC958" s="10" t="inlineStr">
        <is>
          <t>Glyceryl Dibehenate · Identification &lt;741&gt;</t>
        </is>
      </c>
      <c r="AD958" s="10" t="n"/>
      <c r="AE958" s="10" t="n"/>
    </row>
    <row r="959">
      <c r="A959" s="10" t="inlineStr">
        <is>
          <t>Glyceryl Behenate (Compritol 888 ATO)</t>
        </is>
      </c>
      <c r="B959" s="10" t="inlineStr">
        <is>
          <t>RM</t>
        </is>
      </c>
      <c r="C959" s="10" t="inlineStr">
        <is>
          <t>Release / Matrix Polymer</t>
        </is>
      </c>
      <c r="D959" s="10" t="inlineStr">
        <is>
          <t>Assay (HPLC)</t>
        </is>
      </c>
      <c r="E959" s="10">
        <f>IF(A959="","",A959&amp;"|"&amp;D959)</f>
        <v/>
      </c>
      <c r="F959" s="5" t="inlineStr">
        <is>
          <t>Y</t>
        </is>
      </c>
      <c r="G959" s="5" t="inlineStr">
        <is>
          <t>HPLC</t>
        </is>
      </c>
      <c r="H959" s="5" t="inlineStr">
        <is>
          <t>Medium</t>
        </is>
      </c>
      <c r="I959" s="5" t="n">
        <v>1</v>
      </c>
      <c r="J959" s="5" t="n"/>
      <c r="K959" s="5" t="n"/>
      <c r="L959" s="5" t="n"/>
      <c r="M959" s="5" t="n"/>
      <c r="N959" s="5" t="n"/>
      <c r="O959" s="5" t="n"/>
      <c r="P959" s="14">
        <f>IF(N959="","",IF(OR(M959="",O959=""),N959,(M959+4*N959+O959)/6))</f>
        <v/>
      </c>
      <c r="Q959" s="5" t="n"/>
      <c r="R959" s="5" t="n"/>
      <c r="S959" s="5" t="n"/>
      <c r="T959" s="5" t="n"/>
      <c r="U959" s="5" t="n"/>
      <c r="V959" s="15" t="n"/>
      <c r="W959" s="5" t="inlineStr">
        <is>
          <t>N</t>
        </is>
      </c>
      <c r="X959" s="5" t="n"/>
      <c r="Y959" s="5" t="n"/>
      <c r="Z959" s="5" t="n"/>
      <c r="AA959" s="5" t="n"/>
      <c r="AB959" s="10" t="n"/>
      <c r="AC959" s="10" t="inlineStr">
        <is>
          <t>Glyceryl Dibehenate · Assay &lt;621&gt;</t>
        </is>
      </c>
      <c r="AD959" s="10" t="n"/>
      <c r="AE959" s="10" t="n"/>
    </row>
    <row r="960">
      <c r="A960" s="10" t="inlineStr">
        <is>
          <t>Glyceryl Behenate (Compritol 888 ATO)</t>
        </is>
      </c>
      <c r="B960" s="10" t="inlineStr">
        <is>
          <t>RM</t>
        </is>
      </c>
      <c r="C960" s="10" t="inlineStr">
        <is>
          <t>Release / Matrix Polymer</t>
        </is>
      </c>
      <c r="D960" s="10" t="inlineStr">
        <is>
          <t>Residue on Ignition</t>
        </is>
      </c>
      <c r="E960" s="10">
        <f>IF(A960="","",A960&amp;"|"&amp;D960)</f>
        <v/>
      </c>
      <c r="F960" s="5" t="inlineStr">
        <is>
          <t>Y</t>
        </is>
      </c>
      <c r="G960" s="5" t="inlineStr">
        <is>
          <t>Other / bench</t>
        </is>
      </c>
      <c r="H960" s="5" t="inlineStr">
        <is>
          <t>Low</t>
        </is>
      </c>
      <c r="I960" s="5" t="n">
        <v>1</v>
      </c>
      <c r="J960" s="5" t="n"/>
      <c r="K960" s="10">
        <f>IFERROR(IF(INDEX('Test catalog'!$F$2:$F$200,MATCH($AB960,'Test catalog'!$A$2:$A$200,0))="","",INDEX('Test catalog'!$F$2:$F$200,MATCH($AB960,'Test catalog'!$A$2:$A$200,0))),"")</f>
        <v/>
      </c>
      <c r="L960" s="10">
        <f>IFERROR(IF(INDEX('Test catalog'!$G$2:$G$200,MATCH($AB960,'Test catalog'!$A$2:$A$200,0))="","",INDEX('Test catalog'!$G$2:$G$200,MATCH($AB960,'Test catalog'!$A$2:$A$200,0))),"")</f>
        <v/>
      </c>
      <c r="M960" s="10">
        <f>IFERROR(IF(INDEX('Test catalog'!$H$2:$H$200,MATCH($AB960,'Test catalog'!$A$2:$A$200,0))="","",INDEX('Test catalog'!$H$2:$H$200,MATCH($AB960,'Test catalog'!$A$2:$A$200,0))),"")</f>
        <v/>
      </c>
      <c r="N960" s="10">
        <f>IFERROR(IF(INDEX('Test catalog'!$I$2:$I$200,MATCH($AB960,'Test catalog'!$A$2:$A$200,0))="","",INDEX('Test catalog'!$I$2:$I$200,MATCH($AB960,'Test catalog'!$A$2:$A$200,0))),"")</f>
        <v/>
      </c>
      <c r="O960" s="10">
        <f>IFERROR(IF(INDEX('Test catalog'!$J$2:$J$200,MATCH($AB960,'Test catalog'!$A$2:$A$200,0))="","",INDEX('Test catalog'!$J$2:$J$200,MATCH($AB960,'Test catalog'!$A$2:$A$200,0))),"")</f>
        <v/>
      </c>
      <c r="P960" s="14">
        <f>IF(N960="","",IF(OR(M960="",O960=""),N960,(M960+4*N960+O960)/6))</f>
        <v/>
      </c>
      <c r="Q960" s="10">
        <f>IFERROR(IF(INDEX('Test catalog'!$K$2:$K$200,MATCH($AB960,'Test catalog'!$A$2:$A$200,0))="","",INDEX('Test catalog'!$K$2:$K$200,MATCH($AB960,'Test catalog'!$A$2:$A$200,0))),"")</f>
        <v/>
      </c>
      <c r="R960" s="5" t="n"/>
      <c r="S960" s="10">
        <f>IFERROR(IF(INDEX('Test catalog'!$L$2:$L$200,MATCH($AB960,'Test catalog'!$A$2:$A$200,0))="","",INDEX('Test catalog'!$L$2:$L$200,MATCH($AB960,'Test catalog'!$A$2:$A$200,0))),"")</f>
        <v/>
      </c>
      <c r="T960" s="10">
        <f>IFERROR(IF(INDEX('Test catalog'!$M$2:$M$200,MATCH($AB960,'Test catalog'!$A$2:$A$200,0))="","",INDEX('Test catalog'!$M$2:$M$200,MATCH($AB960,'Test catalog'!$A$2:$A$200,0))),"")</f>
        <v/>
      </c>
      <c r="U960" s="10">
        <f>IFERROR(IF(INDEX('Test catalog'!$N$2:$N$200,MATCH($AB960,'Test catalog'!$A$2:$A$200,0))="","",INDEX('Test catalog'!$N$2:$N$200,MATCH($AB960,'Test catalog'!$A$2:$A$200,0))),"")</f>
        <v/>
      </c>
      <c r="V960" s="15" t="n"/>
      <c r="W960" s="5" t="inlineStr">
        <is>
          <t>N</t>
        </is>
      </c>
      <c r="X960" s="5" t="n"/>
      <c r="Y960" s="5" t="n"/>
      <c r="Z960" s="5" t="n"/>
      <c r="AA960" s="10">
        <f>IFERROR(IF(INDEX('Test catalog'!$O$2:$O$200,MATCH($AB960,'Test catalog'!$A$2:$A$200,0))="","",INDEX('Test catalog'!$O$2:$O$200,MATCH($AB960,'Test catalog'!$A$2:$A$200,0))),"")</f>
        <v/>
      </c>
      <c r="AB960" s="10" t="inlineStr">
        <is>
          <t>ROI</t>
        </is>
      </c>
      <c r="AC960" s="10" t="inlineStr">
        <is>
          <t>Glyceryl Dibehenate · Impurities &lt;281&gt;</t>
        </is>
      </c>
      <c r="AD960" s="10" t="n"/>
      <c r="AE960" s="10" t="n"/>
    </row>
    <row r="961">
      <c r="A961" s="10" t="inlineStr">
        <is>
          <t>Glyceryl Behenate (Compritol 888 ATO)</t>
        </is>
      </c>
      <c r="B961" s="10" t="inlineStr">
        <is>
          <t>RM</t>
        </is>
      </c>
      <c r="C961" s="10" t="inlineStr">
        <is>
          <t>Release / Matrix Polymer</t>
        </is>
      </c>
      <c r="D961" s="10" t="inlineStr">
        <is>
          <t>Limit of Free Glycerin (HPLC)</t>
        </is>
      </c>
      <c r="E961" s="10">
        <f>IF(A961="","",A961&amp;"|"&amp;D961)</f>
        <v/>
      </c>
      <c r="F961" s="5" t="inlineStr">
        <is>
          <t>Y</t>
        </is>
      </c>
      <c r="G961" s="5" t="inlineStr">
        <is>
          <t>HPLC</t>
        </is>
      </c>
      <c r="H961" s="5" t="inlineStr">
        <is>
          <t>Medium</t>
        </is>
      </c>
      <c r="I961" s="5" t="n">
        <v>1</v>
      </c>
      <c r="J961" s="5" t="n"/>
      <c r="K961" s="5" t="n"/>
      <c r="L961" s="5" t="n"/>
      <c r="M961" s="5" t="n"/>
      <c r="N961" s="5" t="n"/>
      <c r="O961" s="5" t="n"/>
      <c r="P961" s="14">
        <f>IF(N961="","",IF(OR(M961="",O961=""),N961,(M961+4*N961+O961)/6))</f>
        <v/>
      </c>
      <c r="Q961" s="5" t="n"/>
      <c r="R961" s="5" t="n"/>
      <c r="S961" s="5" t="n"/>
      <c r="T961" s="5" t="n"/>
      <c r="U961" s="5" t="n"/>
      <c r="V961" s="15" t="n"/>
      <c r="W961" s="5" t="inlineStr">
        <is>
          <t>N</t>
        </is>
      </c>
      <c r="X961" s="5" t="n"/>
      <c r="Y961" s="5" t="n"/>
      <c r="Z961" s="5" t="n"/>
      <c r="AA961" s="5" t="n"/>
      <c r="AB961" s="10" t="n"/>
      <c r="AC961" s="10" t="inlineStr">
        <is>
          <t>Glyceryl Dibehenate · Impurities</t>
        </is>
      </c>
      <c r="AD961" s="10" t="n"/>
      <c r="AE961" s="10" t="n"/>
    </row>
    <row r="962">
      <c r="A962" s="10" t="inlineStr">
        <is>
          <t>Glyceryl Behenate (Compritol 888 ATO)</t>
        </is>
      </c>
      <c r="B962" s="10" t="inlineStr">
        <is>
          <t>RM</t>
        </is>
      </c>
      <c r="C962" s="10" t="inlineStr">
        <is>
          <t>Release / Matrix Polymer</t>
        </is>
      </c>
      <c r="D962" s="10" t="inlineStr">
        <is>
          <t>Fats and Fixed Oils, Acid Value, Method I</t>
        </is>
      </c>
      <c r="E962" s="10">
        <f>IF(A962="","",A962&amp;"|"&amp;D962)</f>
        <v/>
      </c>
      <c r="F962" s="5" t="inlineStr">
        <is>
          <t>Y</t>
        </is>
      </c>
      <c r="G962" s="5" t="inlineStr">
        <is>
          <t>Other / bench</t>
        </is>
      </c>
      <c r="H962" s="5" t="inlineStr">
        <is>
          <t>Low</t>
        </is>
      </c>
      <c r="I962" s="5" t="n">
        <v>1</v>
      </c>
      <c r="J962" s="5" t="n"/>
      <c r="K962" s="10">
        <f>IFERROR(IF(INDEX('Test catalog'!$F$2:$F$200,MATCH($AB962,'Test catalog'!$A$2:$A$200,0))="","",INDEX('Test catalog'!$F$2:$F$200,MATCH($AB962,'Test catalog'!$A$2:$A$200,0))),"")</f>
        <v/>
      </c>
      <c r="L962" s="10">
        <f>IFERROR(IF(INDEX('Test catalog'!$G$2:$G$200,MATCH($AB962,'Test catalog'!$A$2:$A$200,0))="","",INDEX('Test catalog'!$G$2:$G$200,MATCH($AB962,'Test catalog'!$A$2:$A$200,0))),"")</f>
        <v/>
      </c>
      <c r="M962" s="10">
        <f>IFERROR(IF(INDEX('Test catalog'!$H$2:$H$200,MATCH($AB962,'Test catalog'!$A$2:$A$200,0))="","",INDEX('Test catalog'!$H$2:$H$200,MATCH($AB962,'Test catalog'!$A$2:$A$200,0))),"")</f>
        <v/>
      </c>
      <c r="N962" s="10">
        <f>IFERROR(IF(INDEX('Test catalog'!$I$2:$I$200,MATCH($AB962,'Test catalog'!$A$2:$A$200,0))="","",INDEX('Test catalog'!$I$2:$I$200,MATCH($AB962,'Test catalog'!$A$2:$A$200,0))),"")</f>
        <v/>
      </c>
      <c r="O962" s="10">
        <f>IFERROR(IF(INDEX('Test catalog'!$J$2:$J$200,MATCH($AB962,'Test catalog'!$A$2:$A$200,0))="","",INDEX('Test catalog'!$J$2:$J$200,MATCH($AB962,'Test catalog'!$A$2:$A$200,0))),"")</f>
        <v/>
      </c>
      <c r="P962" s="14">
        <f>IF(N962="","",IF(OR(M962="",O962=""),N962,(M962+4*N962+O962)/6))</f>
        <v/>
      </c>
      <c r="Q962" s="10">
        <f>IFERROR(IF(INDEX('Test catalog'!$K$2:$K$200,MATCH($AB962,'Test catalog'!$A$2:$A$200,0))="","",INDEX('Test catalog'!$K$2:$K$200,MATCH($AB962,'Test catalog'!$A$2:$A$200,0))),"")</f>
        <v/>
      </c>
      <c r="R962" s="5" t="n"/>
      <c r="S962" s="10">
        <f>IFERROR(IF(INDEX('Test catalog'!$L$2:$L$200,MATCH($AB962,'Test catalog'!$A$2:$A$200,0))="","",INDEX('Test catalog'!$L$2:$L$200,MATCH($AB962,'Test catalog'!$A$2:$A$200,0))),"")</f>
        <v/>
      </c>
      <c r="T962" s="10">
        <f>IFERROR(IF(INDEX('Test catalog'!$M$2:$M$200,MATCH($AB962,'Test catalog'!$A$2:$A$200,0))="","",INDEX('Test catalog'!$M$2:$M$200,MATCH($AB962,'Test catalog'!$A$2:$A$200,0))),"")</f>
        <v/>
      </c>
      <c r="U962" s="10">
        <f>IFERROR(IF(INDEX('Test catalog'!$N$2:$N$200,MATCH($AB962,'Test catalog'!$A$2:$A$200,0))="","",INDEX('Test catalog'!$N$2:$N$200,MATCH($AB962,'Test catalog'!$A$2:$A$200,0))),"")</f>
        <v/>
      </c>
      <c r="V962" s="15" t="n"/>
      <c r="W962" s="5" t="inlineStr">
        <is>
          <t>N</t>
        </is>
      </c>
      <c r="X962" s="5" t="n"/>
      <c r="Y962" s="5" t="n"/>
      <c r="Z962" s="5" t="n"/>
      <c r="AA962" s="10">
        <f>IFERROR(IF(INDEX('Test catalog'!$O$2:$O$200,MATCH($AB962,'Test catalog'!$A$2:$A$200,0))="","",INDEX('Test catalog'!$O$2:$O$200,MATCH($AB962,'Test catalog'!$A$2:$A$200,0))),"")</f>
        <v/>
      </c>
      <c r="AB962" s="10" t="inlineStr">
        <is>
          <t>FATS</t>
        </is>
      </c>
      <c r="AC962" s="10" t="inlineStr">
        <is>
          <t>Glyceryl Dibehenate · Specific Tests &lt;401&gt;</t>
        </is>
      </c>
      <c r="AD962" s="10" t="n"/>
      <c r="AE962" s="10" t="n"/>
    </row>
    <row r="963">
      <c r="A963" s="10" t="inlineStr">
        <is>
          <t>Glyceryl Behenate (Compritol 888 ATO)</t>
        </is>
      </c>
      <c r="B963" s="10" t="inlineStr">
        <is>
          <t>RM</t>
        </is>
      </c>
      <c r="C963" s="10" t="inlineStr">
        <is>
          <t>Release / Matrix Polymer</t>
        </is>
      </c>
      <c r="D963" s="10" t="inlineStr">
        <is>
          <t>Water Determination, Method Ia</t>
        </is>
      </c>
      <c r="E963" s="10">
        <f>IF(A963="","",A963&amp;"|"&amp;D963)</f>
        <v/>
      </c>
      <c r="F963" s="5" t="inlineStr">
        <is>
          <t>Y</t>
        </is>
      </c>
      <c r="G963" s="5" t="inlineStr">
        <is>
          <t>KF titrator</t>
        </is>
      </c>
      <c r="H963" s="5" t="inlineStr">
        <is>
          <t>Low</t>
        </is>
      </c>
      <c r="I963" s="5" t="n">
        <v>1</v>
      </c>
      <c r="J963" s="5" t="n"/>
      <c r="K963" s="10">
        <f>IFERROR(IF(INDEX('Test catalog'!$F$2:$F$200,MATCH($AB963,'Test catalog'!$A$2:$A$200,0))="","",INDEX('Test catalog'!$F$2:$F$200,MATCH($AB963,'Test catalog'!$A$2:$A$200,0))),"")</f>
        <v/>
      </c>
      <c r="L963" s="10">
        <f>IFERROR(IF(INDEX('Test catalog'!$G$2:$G$200,MATCH($AB963,'Test catalog'!$A$2:$A$200,0))="","",INDEX('Test catalog'!$G$2:$G$200,MATCH($AB963,'Test catalog'!$A$2:$A$200,0))),"")</f>
        <v/>
      </c>
      <c r="M963" s="10">
        <f>IFERROR(IF(INDEX('Test catalog'!$H$2:$H$200,MATCH($AB963,'Test catalog'!$A$2:$A$200,0))="","",INDEX('Test catalog'!$H$2:$H$200,MATCH($AB963,'Test catalog'!$A$2:$A$200,0))),"")</f>
        <v/>
      </c>
      <c r="N963" s="10">
        <f>IFERROR(IF(INDEX('Test catalog'!$I$2:$I$200,MATCH($AB963,'Test catalog'!$A$2:$A$200,0))="","",INDEX('Test catalog'!$I$2:$I$200,MATCH($AB963,'Test catalog'!$A$2:$A$200,0))),"")</f>
        <v/>
      </c>
      <c r="O963" s="10">
        <f>IFERROR(IF(INDEX('Test catalog'!$J$2:$J$200,MATCH($AB963,'Test catalog'!$A$2:$A$200,0))="","",INDEX('Test catalog'!$J$2:$J$200,MATCH($AB963,'Test catalog'!$A$2:$A$200,0))),"")</f>
        <v/>
      </c>
      <c r="P963" s="14">
        <f>IF(N963="","",IF(OR(M963="",O963=""),N963,(M963+4*N963+O963)/6))</f>
        <v/>
      </c>
      <c r="Q963" s="10">
        <f>IFERROR(IF(INDEX('Test catalog'!$K$2:$K$200,MATCH($AB963,'Test catalog'!$A$2:$A$200,0))="","",INDEX('Test catalog'!$K$2:$K$200,MATCH($AB963,'Test catalog'!$A$2:$A$200,0))),"")</f>
        <v/>
      </c>
      <c r="R963" s="5" t="n"/>
      <c r="S963" s="10">
        <f>IFERROR(IF(INDEX('Test catalog'!$L$2:$L$200,MATCH($AB963,'Test catalog'!$A$2:$A$200,0))="","",INDEX('Test catalog'!$L$2:$L$200,MATCH($AB963,'Test catalog'!$A$2:$A$200,0))),"")</f>
        <v/>
      </c>
      <c r="T963" s="10">
        <f>IFERROR(IF(INDEX('Test catalog'!$M$2:$M$200,MATCH($AB963,'Test catalog'!$A$2:$A$200,0))="","",INDEX('Test catalog'!$M$2:$M$200,MATCH($AB963,'Test catalog'!$A$2:$A$200,0))),"")</f>
        <v/>
      </c>
      <c r="U963" s="10">
        <f>IFERROR(IF(INDEX('Test catalog'!$N$2:$N$200,MATCH($AB963,'Test catalog'!$A$2:$A$200,0))="","",INDEX('Test catalog'!$N$2:$N$200,MATCH($AB963,'Test catalog'!$A$2:$A$200,0))),"")</f>
        <v/>
      </c>
      <c r="V963" s="15" t="n"/>
      <c r="W963" s="5" t="inlineStr">
        <is>
          <t>N</t>
        </is>
      </c>
      <c r="X963" s="5" t="n"/>
      <c r="Y963" s="5" t="n"/>
      <c r="Z963" s="5" t="n"/>
      <c r="AA963" s="10">
        <f>IFERROR(IF(INDEX('Test catalog'!$O$2:$O$200,MATCH($AB963,'Test catalog'!$A$2:$A$200,0))="","",INDEX('Test catalog'!$O$2:$O$200,MATCH($AB963,'Test catalog'!$A$2:$A$200,0))),"")</f>
        <v/>
      </c>
      <c r="AB963" s="10" t="inlineStr">
        <is>
          <t>KF</t>
        </is>
      </c>
      <c r="AC963" s="10" t="inlineStr">
        <is>
          <t>Glyceryl Dibehenate · Specific Tests &lt;921&gt;</t>
        </is>
      </c>
      <c r="AD963" s="10" t="n"/>
      <c r="AE963" s="10" t="n"/>
    </row>
    <row r="964">
      <c r="A964" s="10" t="inlineStr">
        <is>
          <t>HPMC K100M (100,000 cps CR)</t>
        </is>
      </c>
      <c r="B964" s="10" t="inlineStr">
        <is>
          <t>RM</t>
        </is>
      </c>
      <c r="C964" s="10" t="inlineStr">
        <is>
          <t>Release / Matrix Polymer</t>
        </is>
      </c>
      <c r="D964" s="10" t="inlineStr">
        <is>
          <t>Appearance / description and solubility</t>
        </is>
      </c>
      <c r="E964" s="10">
        <f>IF(A964="","",A964&amp;"|"&amp;D964)</f>
        <v/>
      </c>
      <c r="F964" s="5" t="inlineStr">
        <is>
          <t>Y</t>
        </is>
      </c>
      <c r="G964" s="5" t="inlineStr">
        <is>
          <t>Other / bench</t>
        </is>
      </c>
      <c r="H964" s="5" t="inlineStr">
        <is>
          <t>Low</t>
        </is>
      </c>
      <c r="I964" s="5" t="n">
        <v>1</v>
      </c>
      <c r="J964" s="5" t="n"/>
      <c r="K964" s="10">
        <f>IFERROR(IF(INDEX('Test catalog'!$F$2:$F$200,MATCH($AB964,'Test catalog'!$A$2:$A$200,0))="","",INDEX('Test catalog'!$F$2:$F$200,MATCH($AB964,'Test catalog'!$A$2:$A$200,0))),"")</f>
        <v/>
      </c>
      <c r="L964" s="10">
        <f>IFERROR(IF(INDEX('Test catalog'!$G$2:$G$200,MATCH($AB964,'Test catalog'!$A$2:$A$200,0))="","",INDEX('Test catalog'!$G$2:$G$200,MATCH($AB964,'Test catalog'!$A$2:$A$200,0))),"")</f>
        <v/>
      </c>
      <c r="M964" s="10">
        <f>IFERROR(IF(INDEX('Test catalog'!$H$2:$H$200,MATCH($AB964,'Test catalog'!$A$2:$A$200,0))="","",INDEX('Test catalog'!$H$2:$H$200,MATCH($AB964,'Test catalog'!$A$2:$A$200,0))),"")</f>
        <v/>
      </c>
      <c r="N964" s="10">
        <f>IFERROR(IF(INDEX('Test catalog'!$I$2:$I$200,MATCH($AB964,'Test catalog'!$A$2:$A$200,0))="","",INDEX('Test catalog'!$I$2:$I$200,MATCH($AB964,'Test catalog'!$A$2:$A$200,0))),"")</f>
        <v/>
      </c>
      <c r="O964" s="10">
        <f>IFERROR(IF(INDEX('Test catalog'!$J$2:$J$200,MATCH($AB964,'Test catalog'!$A$2:$A$200,0))="","",INDEX('Test catalog'!$J$2:$J$200,MATCH($AB964,'Test catalog'!$A$2:$A$200,0))),"")</f>
        <v/>
      </c>
      <c r="P964" s="14">
        <f>IF(N964="","",IF(OR(M964="",O964=""),N964,(M964+4*N964+O964)/6))</f>
        <v/>
      </c>
      <c r="Q964" s="10">
        <f>IFERROR(IF(INDEX('Test catalog'!$K$2:$K$200,MATCH($AB964,'Test catalog'!$A$2:$A$200,0))="","",INDEX('Test catalog'!$K$2:$K$200,MATCH($AB964,'Test catalog'!$A$2:$A$200,0))),"")</f>
        <v/>
      </c>
      <c r="R964" s="5" t="n"/>
      <c r="S964" s="10">
        <f>IFERROR(IF(INDEX('Test catalog'!$L$2:$L$200,MATCH($AB964,'Test catalog'!$A$2:$A$200,0))="","",INDEX('Test catalog'!$L$2:$L$200,MATCH($AB964,'Test catalog'!$A$2:$A$200,0))),"")</f>
        <v/>
      </c>
      <c r="T964" s="10">
        <f>IFERROR(IF(INDEX('Test catalog'!$M$2:$M$200,MATCH($AB964,'Test catalog'!$A$2:$A$200,0))="","",INDEX('Test catalog'!$M$2:$M$200,MATCH($AB964,'Test catalog'!$A$2:$A$200,0))),"")</f>
        <v/>
      </c>
      <c r="U964" s="10">
        <f>IFERROR(IF(INDEX('Test catalog'!$N$2:$N$200,MATCH($AB964,'Test catalog'!$A$2:$A$200,0))="","",INDEX('Test catalog'!$N$2:$N$200,MATCH($AB964,'Test catalog'!$A$2:$A$200,0))),"")</f>
        <v/>
      </c>
      <c r="V964" s="15" t="n"/>
      <c r="W964" s="5" t="inlineStr">
        <is>
          <t>N</t>
        </is>
      </c>
      <c r="X964" s="5" t="n"/>
      <c r="Y964" s="5" t="n"/>
      <c r="Z964" s="5" t="n"/>
      <c r="AA964" s="10">
        <f>IFERROR(IF(INDEX('Test catalog'!$O$2:$O$200,MATCH($AB964,'Test catalog'!$A$2:$A$200,0))="","",INDEX('Test catalog'!$O$2:$O$200,MATCH($AB964,'Test catalog'!$A$2:$A$200,0))),"")</f>
        <v/>
      </c>
      <c r="AB964" s="10" t="inlineStr">
        <is>
          <t>APPEAR</t>
        </is>
      </c>
      <c r="AC964" s="10" t="inlineStr">
        <is>
          <t>Lab practice (not a USP test)</t>
        </is>
      </c>
      <c r="AD964" s="10" t="n"/>
      <c r="AE964" s="10" t="n"/>
    </row>
    <row r="965">
      <c r="A965" s="10" t="inlineStr">
        <is>
          <t>HPMC K100M (100,000 cps CR)</t>
        </is>
      </c>
      <c r="B965" s="10" t="inlineStr">
        <is>
          <t>RM</t>
        </is>
      </c>
      <c r="C965" s="10" t="inlineStr">
        <is>
          <t>Release / Matrix Polymer</t>
        </is>
      </c>
      <c r="D965" s="10" t="inlineStr">
        <is>
          <t>ID A - chemical reaction</t>
        </is>
      </c>
      <c r="E965" s="10">
        <f>IF(A965="","",A965&amp;"|"&amp;D965)</f>
        <v/>
      </c>
      <c r="F965" s="5" t="inlineStr">
        <is>
          <t>Y</t>
        </is>
      </c>
      <c r="G965" s="5" t="inlineStr">
        <is>
          <t>Other / bench</t>
        </is>
      </c>
      <c r="H965" s="5" t="inlineStr">
        <is>
          <t>Low</t>
        </is>
      </c>
      <c r="I965" s="5" t="n">
        <v>1</v>
      </c>
      <c r="J965" s="5" t="n"/>
      <c r="K965" s="10">
        <f>IFERROR(IF(INDEX('Test catalog'!$F$2:$F$200,MATCH($AB965,'Test catalog'!$A$2:$A$200,0))="","",INDEX('Test catalog'!$F$2:$F$200,MATCH($AB965,'Test catalog'!$A$2:$A$200,0))),"")</f>
        <v/>
      </c>
      <c r="L965" s="10">
        <f>IFERROR(IF(INDEX('Test catalog'!$G$2:$G$200,MATCH($AB965,'Test catalog'!$A$2:$A$200,0))="","",INDEX('Test catalog'!$G$2:$G$200,MATCH($AB965,'Test catalog'!$A$2:$A$200,0))),"")</f>
        <v/>
      </c>
      <c r="M965" s="10">
        <f>IFERROR(IF(INDEX('Test catalog'!$H$2:$H$200,MATCH($AB965,'Test catalog'!$A$2:$A$200,0))="","",INDEX('Test catalog'!$H$2:$H$200,MATCH($AB965,'Test catalog'!$A$2:$A$200,0))),"")</f>
        <v/>
      </c>
      <c r="N965" s="10">
        <f>IFERROR(IF(INDEX('Test catalog'!$I$2:$I$200,MATCH($AB965,'Test catalog'!$A$2:$A$200,0))="","",INDEX('Test catalog'!$I$2:$I$200,MATCH($AB965,'Test catalog'!$A$2:$A$200,0))),"")</f>
        <v/>
      </c>
      <c r="O965" s="10">
        <f>IFERROR(IF(INDEX('Test catalog'!$J$2:$J$200,MATCH($AB965,'Test catalog'!$A$2:$A$200,0))="","",INDEX('Test catalog'!$J$2:$J$200,MATCH($AB965,'Test catalog'!$A$2:$A$200,0))),"")</f>
        <v/>
      </c>
      <c r="P965" s="14">
        <f>IF(N965="","",IF(OR(M965="",O965=""),N965,(M965+4*N965+O965)/6))</f>
        <v/>
      </c>
      <c r="Q965" s="10">
        <f>IFERROR(IF(INDEX('Test catalog'!$K$2:$K$200,MATCH($AB965,'Test catalog'!$A$2:$A$200,0))="","",INDEX('Test catalog'!$K$2:$K$200,MATCH($AB965,'Test catalog'!$A$2:$A$200,0))),"")</f>
        <v/>
      </c>
      <c r="R965" s="5" t="n"/>
      <c r="S965" s="10">
        <f>IFERROR(IF(INDEX('Test catalog'!$L$2:$L$200,MATCH($AB965,'Test catalog'!$A$2:$A$200,0))="","",INDEX('Test catalog'!$L$2:$L$200,MATCH($AB965,'Test catalog'!$A$2:$A$200,0))),"")</f>
        <v/>
      </c>
      <c r="T965" s="10">
        <f>IFERROR(IF(INDEX('Test catalog'!$M$2:$M$200,MATCH($AB965,'Test catalog'!$A$2:$A$200,0))="","",INDEX('Test catalog'!$M$2:$M$200,MATCH($AB965,'Test catalog'!$A$2:$A$200,0))),"")</f>
        <v/>
      </c>
      <c r="U965" s="10">
        <f>IFERROR(IF(INDEX('Test catalog'!$N$2:$N$200,MATCH($AB965,'Test catalog'!$A$2:$A$200,0))="","",INDEX('Test catalog'!$N$2:$N$200,MATCH($AB965,'Test catalog'!$A$2:$A$200,0))),"")</f>
        <v/>
      </c>
      <c r="V965" s="15" t="n"/>
      <c r="W965" s="5" t="inlineStr">
        <is>
          <t>N</t>
        </is>
      </c>
      <c r="X965" s="5" t="n"/>
      <c r="Y965" s="5" t="n"/>
      <c r="Z965" s="5" t="n"/>
      <c r="AA965" s="10">
        <f>IFERROR(IF(INDEX('Test catalog'!$O$2:$O$200,MATCH($AB965,'Test catalog'!$A$2:$A$200,0))="","",INDEX('Test catalog'!$O$2:$O$200,MATCH($AB965,'Test catalog'!$A$2:$A$200,0))),"")</f>
        <v/>
      </c>
      <c r="AB965" s="10" t="inlineStr">
        <is>
          <t>ID_CHEM</t>
        </is>
      </c>
      <c r="AC965" s="10" t="inlineStr">
        <is>
          <t>Hypromellose · Identification</t>
        </is>
      </c>
      <c r="AD965" s="10" t="n"/>
      <c r="AE965" s="10" t="n"/>
    </row>
    <row r="966">
      <c r="A966" s="10" t="inlineStr">
        <is>
          <t>HPMC K100M (100,000 cps CR)</t>
        </is>
      </c>
      <c r="B966" s="10" t="inlineStr">
        <is>
          <t>RM</t>
        </is>
      </c>
      <c r="C966" s="10" t="inlineStr">
        <is>
          <t>Release / Matrix Polymer</t>
        </is>
      </c>
      <c r="D966" s="10" t="inlineStr">
        <is>
          <t>ID B - chemical reaction</t>
        </is>
      </c>
      <c r="E966" s="10">
        <f>IF(A966="","",A966&amp;"|"&amp;D966)</f>
        <v/>
      </c>
      <c r="F966" s="5" t="inlineStr">
        <is>
          <t>Y</t>
        </is>
      </c>
      <c r="G966" s="5" t="inlineStr">
        <is>
          <t>Other / bench</t>
        </is>
      </c>
      <c r="H966" s="5" t="inlineStr">
        <is>
          <t>Low</t>
        </is>
      </c>
      <c r="I966" s="5" t="n">
        <v>1</v>
      </c>
      <c r="J966" s="5" t="n"/>
      <c r="K966" s="10">
        <f>IFERROR(IF(INDEX('Test catalog'!$F$2:$F$200,MATCH($AB966,'Test catalog'!$A$2:$A$200,0))="","",INDEX('Test catalog'!$F$2:$F$200,MATCH($AB966,'Test catalog'!$A$2:$A$200,0))),"")</f>
        <v/>
      </c>
      <c r="L966" s="10">
        <f>IFERROR(IF(INDEX('Test catalog'!$G$2:$G$200,MATCH($AB966,'Test catalog'!$A$2:$A$200,0))="","",INDEX('Test catalog'!$G$2:$G$200,MATCH($AB966,'Test catalog'!$A$2:$A$200,0))),"")</f>
        <v/>
      </c>
      <c r="M966" s="10">
        <f>IFERROR(IF(INDEX('Test catalog'!$H$2:$H$200,MATCH($AB966,'Test catalog'!$A$2:$A$200,0))="","",INDEX('Test catalog'!$H$2:$H$200,MATCH($AB966,'Test catalog'!$A$2:$A$200,0))),"")</f>
        <v/>
      </c>
      <c r="N966" s="10">
        <f>IFERROR(IF(INDEX('Test catalog'!$I$2:$I$200,MATCH($AB966,'Test catalog'!$A$2:$A$200,0))="","",INDEX('Test catalog'!$I$2:$I$200,MATCH($AB966,'Test catalog'!$A$2:$A$200,0))),"")</f>
        <v/>
      </c>
      <c r="O966" s="10">
        <f>IFERROR(IF(INDEX('Test catalog'!$J$2:$J$200,MATCH($AB966,'Test catalog'!$A$2:$A$200,0))="","",INDEX('Test catalog'!$J$2:$J$200,MATCH($AB966,'Test catalog'!$A$2:$A$200,0))),"")</f>
        <v/>
      </c>
      <c r="P966" s="14">
        <f>IF(N966="","",IF(OR(M966="",O966=""),N966,(M966+4*N966+O966)/6))</f>
        <v/>
      </c>
      <c r="Q966" s="10">
        <f>IFERROR(IF(INDEX('Test catalog'!$K$2:$K$200,MATCH($AB966,'Test catalog'!$A$2:$A$200,0))="","",INDEX('Test catalog'!$K$2:$K$200,MATCH($AB966,'Test catalog'!$A$2:$A$200,0))),"")</f>
        <v/>
      </c>
      <c r="R966" s="5" t="n"/>
      <c r="S966" s="10">
        <f>IFERROR(IF(INDEX('Test catalog'!$L$2:$L$200,MATCH($AB966,'Test catalog'!$A$2:$A$200,0))="","",INDEX('Test catalog'!$L$2:$L$200,MATCH($AB966,'Test catalog'!$A$2:$A$200,0))),"")</f>
        <v/>
      </c>
      <c r="T966" s="10">
        <f>IFERROR(IF(INDEX('Test catalog'!$M$2:$M$200,MATCH($AB966,'Test catalog'!$A$2:$A$200,0))="","",INDEX('Test catalog'!$M$2:$M$200,MATCH($AB966,'Test catalog'!$A$2:$A$200,0))),"")</f>
        <v/>
      </c>
      <c r="U966" s="10">
        <f>IFERROR(IF(INDEX('Test catalog'!$N$2:$N$200,MATCH($AB966,'Test catalog'!$A$2:$A$200,0))="","",INDEX('Test catalog'!$N$2:$N$200,MATCH($AB966,'Test catalog'!$A$2:$A$200,0))),"")</f>
        <v/>
      </c>
      <c r="V966" s="15" t="n"/>
      <c r="W966" s="5" t="inlineStr">
        <is>
          <t>N</t>
        </is>
      </c>
      <c r="X966" s="5" t="n"/>
      <c r="Y966" s="5" t="n"/>
      <c r="Z966" s="5" t="n"/>
      <c r="AA966" s="10">
        <f>IFERROR(IF(INDEX('Test catalog'!$O$2:$O$200,MATCH($AB966,'Test catalog'!$A$2:$A$200,0))="","",INDEX('Test catalog'!$O$2:$O$200,MATCH($AB966,'Test catalog'!$A$2:$A$200,0))),"")</f>
        <v/>
      </c>
      <c r="AB966" s="10" t="inlineStr">
        <is>
          <t>ID_CHEM</t>
        </is>
      </c>
      <c r="AC966" s="10" t="inlineStr">
        <is>
          <t>Hypromellose · Identification</t>
        </is>
      </c>
      <c r="AD966" s="10" t="n"/>
      <c r="AE966" s="10" t="n"/>
    </row>
    <row r="967">
      <c r="A967" s="10" t="inlineStr">
        <is>
          <t>HPMC K100M (100,000 cps CR)</t>
        </is>
      </c>
      <c r="B967" s="10" t="inlineStr">
        <is>
          <t>RM</t>
        </is>
      </c>
      <c r="C967" s="10" t="inlineStr">
        <is>
          <t>Release / Matrix Polymer</t>
        </is>
      </c>
      <c r="D967" s="10" t="inlineStr">
        <is>
          <t>ID C - chemical reaction</t>
        </is>
      </c>
      <c r="E967" s="10">
        <f>IF(A967="","",A967&amp;"|"&amp;D967)</f>
        <v/>
      </c>
      <c r="F967" s="5" t="inlineStr">
        <is>
          <t>Y</t>
        </is>
      </c>
      <c r="G967" s="5" t="inlineStr">
        <is>
          <t>Other / bench</t>
        </is>
      </c>
      <c r="H967" s="5" t="inlineStr">
        <is>
          <t>Low</t>
        </is>
      </c>
      <c r="I967" s="5" t="n">
        <v>1</v>
      </c>
      <c r="J967" s="5" t="n"/>
      <c r="K967" s="10">
        <f>IFERROR(IF(INDEX('Test catalog'!$F$2:$F$200,MATCH($AB967,'Test catalog'!$A$2:$A$200,0))="","",INDEX('Test catalog'!$F$2:$F$200,MATCH($AB967,'Test catalog'!$A$2:$A$200,0))),"")</f>
        <v/>
      </c>
      <c r="L967" s="10">
        <f>IFERROR(IF(INDEX('Test catalog'!$G$2:$G$200,MATCH($AB967,'Test catalog'!$A$2:$A$200,0))="","",INDEX('Test catalog'!$G$2:$G$200,MATCH($AB967,'Test catalog'!$A$2:$A$200,0))),"")</f>
        <v/>
      </c>
      <c r="M967" s="10">
        <f>IFERROR(IF(INDEX('Test catalog'!$H$2:$H$200,MATCH($AB967,'Test catalog'!$A$2:$A$200,0))="","",INDEX('Test catalog'!$H$2:$H$200,MATCH($AB967,'Test catalog'!$A$2:$A$200,0))),"")</f>
        <v/>
      </c>
      <c r="N967" s="10">
        <f>IFERROR(IF(INDEX('Test catalog'!$I$2:$I$200,MATCH($AB967,'Test catalog'!$A$2:$A$200,0))="","",INDEX('Test catalog'!$I$2:$I$200,MATCH($AB967,'Test catalog'!$A$2:$A$200,0))),"")</f>
        <v/>
      </c>
      <c r="O967" s="10">
        <f>IFERROR(IF(INDEX('Test catalog'!$J$2:$J$200,MATCH($AB967,'Test catalog'!$A$2:$A$200,0))="","",INDEX('Test catalog'!$J$2:$J$200,MATCH($AB967,'Test catalog'!$A$2:$A$200,0))),"")</f>
        <v/>
      </c>
      <c r="P967" s="14">
        <f>IF(N967="","",IF(OR(M967="",O967=""),N967,(M967+4*N967+O967)/6))</f>
        <v/>
      </c>
      <c r="Q967" s="10">
        <f>IFERROR(IF(INDEX('Test catalog'!$K$2:$K$200,MATCH($AB967,'Test catalog'!$A$2:$A$200,0))="","",INDEX('Test catalog'!$K$2:$K$200,MATCH($AB967,'Test catalog'!$A$2:$A$200,0))),"")</f>
        <v/>
      </c>
      <c r="R967" s="5" t="n"/>
      <c r="S967" s="10">
        <f>IFERROR(IF(INDEX('Test catalog'!$L$2:$L$200,MATCH($AB967,'Test catalog'!$A$2:$A$200,0))="","",INDEX('Test catalog'!$L$2:$L$200,MATCH($AB967,'Test catalog'!$A$2:$A$200,0))),"")</f>
        <v/>
      </c>
      <c r="T967" s="10">
        <f>IFERROR(IF(INDEX('Test catalog'!$M$2:$M$200,MATCH($AB967,'Test catalog'!$A$2:$A$200,0))="","",INDEX('Test catalog'!$M$2:$M$200,MATCH($AB967,'Test catalog'!$A$2:$A$200,0))),"")</f>
        <v/>
      </c>
      <c r="U967" s="10">
        <f>IFERROR(IF(INDEX('Test catalog'!$N$2:$N$200,MATCH($AB967,'Test catalog'!$A$2:$A$200,0))="","",INDEX('Test catalog'!$N$2:$N$200,MATCH($AB967,'Test catalog'!$A$2:$A$200,0))),"")</f>
        <v/>
      </c>
      <c r="V967" s="15" t="n"/>
      <c r="W967" s="5" t="inlineStr">
        <is>
          <t>N</t>
        </is>
      </c>
      <c r="X967" s="5" t="n"/>
      <c r="Y967" s="5" t="n"/>
      <c r="Z967" s="5" t="n"/>
      <c r="AA967" s="10">
        <f>IFERROR(IF(INDEX('Test catalog'!$O$2:$O$200,MATCH($AB967,'Test catalog'!$A$2:$A$200,0))="","",INDEX('Test catalog'!$O$2:$O$200,MATCH($AB967,'Test catalog'!$A$2:$A$200,0))),"")</f>
        <v/>
      </c>
      <c r="AB967" s="10" t="inlineStr">
        <is>
          <t>ID_CHEM</t>
        </is>
      </c>
      <c r="AC967" s="10" t="inlineStr">
        <is>
          <t>Hypromellose · Identification</t>
        </is>
      </c>
      <c r="AD967" s="10" t="n"/>
      <c r="AE967" s="10" t="n"/>
    </row>
    <row r="968">
      <c r="A968" s="10" t="inlineStr">
        <is>
          <t>HPMC K100M (100,000 cps CR)</t>
        </is>
      </c>
      <c r="B968" s="10" t="inlineStr">
        <is>
          <t>RM</t>
        </is>
      </c>
      <c r="C968" s="10" t="inlineStr">
        <is>
          <t>Release / Matrix Polymer</t>
        </is>
      </c>
      <c r="D968" s="10" t="inlineStr">
        <is>
          <t>ID D - chemical reaction</t>
        </is>
      </c>
      <c r="E968" s="10">
        <f>IF(A968="","",A968&amp;"|"&amp;D968)</f>
        <v/>
      </c>
      <c r="F968" s="5" t="inlineStr">
        <is>
          <t>Y</t>
        </is>
      </c>
      <c r="G968" s="5" t="inlineStr">
        <is>
          <t>Other / bench</t>
        </is>
      </c>
      <c r="H968" s="5" t="inlineStr">
        <is>
          <t>Low</t>
        </is>
      </c>
      <c r="I968" s="5" t="n">
        <v>1</v>
      </c>
      <c r="J968" s="5" t="n"/>
      <c r="K968" s="10">
        <f>IFERROR(IF(INDEX('Test catalog'!$F$2:$F$200,MATCH($AB968,'Test catalog'!$A$2:$A$200,0))="","",INDEX('Test catalog'!$F$2:$F$200,MATCH($AB968,'Test catalog'!$A$2:$A$200,0))),"")</f>
        <v/>
      </c>
      <c r="L968" s="10">
        <f>IFERROR(IF(INDEX('Test catalog'!$G$2:$G$200,MATCH($AB968,'Test catalog'!$A$2:$A$200,0))="","",INDEX('Test catalog'!$G$2:$G$200,MATCH($AB968,'Test catalog'!$A$2:$A$200,0))),"")</f>
        <v/>
      </c>
      <c r="M968" s="10">
        <f>IFERROR(IF(INDEX('Test catalog'!$H$2:$H$200,MATCH($AB968,'Test catalog'!$A$2:$A$200,0))="","",INDEX('Test catalog'!$H$2:$H$200,MATCH($AB968,'Test catalog'!$A$2:$A$200,0))),"")</f>
        <v/>
      </c>
      <c r="N968" s="10">
        <f>IFERROR(IF(INDEX('Test catalog'!$I$2:$I$200,MATCH($AB968,'Test catalog'!$A$2:$A$200,0))="","",INDEX('Test catalog'!$I$2:$I$200,MATCH($AB968,'Test catalog'!$A$2:$A$200,0))),"")</f>
        <v/>
      </c>
      <c r="O968" s="10">
        <f>IFERROR(IF(INDEX('Test catalog'!$J$2:$J$200,MATCH($AB968,'Test catalog'!$A$2:$A$200,0))="","",INDEX('Test catalog'!$J$2:$J$200,MATCH($AB968,'Test catalog'!$A$2:$A$200,0))),"")</f>
        <v/>
      </c>
      <c r="P968" s="14">
        <f>IF(N968="","",IF(OR(M968="",O968=""),N968,(M968+4*N968+O968)/6))</f>
        <v/>
      </c>
      <c r="Q968" s="10">
        <f>IFERROR(IF(INDEX('Test catalog'!$K$2:$K$200,MATCH($AB968,'Test catalog'!$A$2:$A$200,0))="","",INDEX('Test catalog'!$K$2:$K$200,MATCH($AB968,'Test catalog'!$A$2:$A$200,0))),"")</f>
        <v/>
      </c>
      <c r="R968" s="5" t="n"/>
      <c r="S968" s="10">
        <f>IFERROR(IF(INDEX('Test catalog'!$L$2:$L$200,MATCH($AB968,'Test catalog'!$A$2:$A$200,0))="","",INDEX('Test catalog'!$L$2:$L$200,MATCH($AB968,'Test catalog'!$A$2:$A$200,0))),"")</f>
        <v/>
      </c>
      <c r="T968" s="10">
        <f>IFERROR(IF(INDEX('Test catalog'!$M$2:$M$200,MATCH($AB968,'Test catalog'!$A$2:$A$200,0))="","",INDEX('Test catalog'!$M$2:$M$200,MATCH($AB968,'Test catalog'!$A$2:$A$200,0))),"")</f>
        <v/>
      </c>
      <c r="U968" s="10">
        <f>IFERROR(IF(INDEX('Test catalog'!$N$2:$N$200,MATCH($AB968,'Test catalog'!$A$2:$A$200,0))="","",INDEX('Test catalog'!$N$2:$N$200,MATCH($AB968,'Test catalog'!$A$2:$A$200,0))),"")</f>
        <v/>
      </c>
      <c r="V968" s="15" t="n"/>
      <c r="W968" s="5" t="inlineStr">
        <is>
          <t>N</t>
        </is>
      </c>
      <c r="X968" s="5" t="n"/>
      <c r="Y968" s="5" t="n"/>
      <c r="Z968" s="5" t="n"/>
      <c r="AA968" s="10">
        <f>IFERROR(IF(INDEX('Test catalog'!$O$2:$O$200,MATCH($AB968,'Test catalog'!$A$2:$A$200,0))="","",INDEX('Test catalog'!$O$2:$O$200,MATCH($AB968,'Test catalog'!$A$2:$A$200,0))),"")</f>
        <v/>
      </c>
      <c r="AB968" s="10" t="inlineStr">
        <is>
          <t>ID_CHEM</t>
        </is>
      </c>
      <c r="AC968" s="10" t="inlineStr">
        <is>
          <t>Hypromellose · Identification</t>
        </is>
      </c>
      <c r="AD968" s="10" t="n"/>
      <c r="AE968" s="10" t="n"/>
    </row>
    <row r="969">
      <c r="A969" s="10" t="inlineStr">
        <is>
          <t>HPMC K100M (100,000 cps CR)</t>
        </is>
      </c>
      <c r="B969" s="10" t="inlineStr">
        <is>
          <t>RM</t>
        </is>
      </c>
      <c r="C969" s="10" t="inlineStr">
        <is>
          <t>Release / Matrix Polymer</t>
        </is>
      </c>
      <c r="D969" s="10" t="inlineStr">
        <is>
          <t>ID E - chemical reaction</t>
        </is>
      </c>
      <c r="E969" s="10">
        <f>IF(A969="","",A969&amp;"|"&amp;D969)</f>
        <v/>
      </c>
      <c r="F969" s="5" t="inlineStr">
        <is>
          <t>Y</t>
        </is>
      </c>
      <c r="G969" s="5" t="inlineStr">
        <is>
          <t>Other / bench</t>
        </is>
      </c>
      <c r="H969" s="5" t="inlineStr">
        <is>
          <t>Low</t>
        </is>
      </c>
      <c r="I969" s="5" t="n">
        <v>1</v>
      </c>
      <c r="J969" s="5" t="n"/>
      <c r="K969" s="10">
        <f>IFERROR(IF(INDEX('Test catalog'!$F$2:$F$200,MATCH($AB969,'Test catalog'!$A$2:$A$200,0))="","",INDEX('Test catalog'!$F$2:$F$200,MATCH($AB969,'Test catalog'!$A$2:$A$200,0))),"")</f>
        <v/>
      </c>
      <c r="L969" s="10">
        <f>IFERROR(IF(INDEX('Test catalog'!$G$2:$G$200,MATCH($AB969,'Test catalog'!$A$2:$A$200,0))="","",INDEX('Test catalog'!$G$2:$G$200,MATCH($AB969,'Test catalog'!$A$2:$A$200,0))),"")</f>
        <v/>
      </c>
      <c r="M969" s="10">
        <f>IFERROR(IF(INDEX('Test catalog'!$H$2:$H$200,MATCH($AB969,'Test catalog'!$A$2:$A$200,0))="","",INDEX('Test catalog'!$H$2:$H$200,MATCH($AB969,'Test catalog'!$A$2:$A$200,0))),"")</f>
        <v/>
      </c>
      <c r="N969" s="10">
        <f>IFERROR(IF(INDEX('Test catalog'!$I$2:$I$200,MATCH($AB969,'Test catalog'!$A$2:$A$200,0))="","",INDEX('Test catalog'!$I$2:$I$200,MATCH($AB969,'Test catalog'!$A$2:$A$200,0))),"")</f>
        <v/>
      </c>
      <c r="O969" s="10">
        <f>IFERROR(IF(INDEX('Test catalog'!$J$2:$J$200,MATCH($AB969,'Test catalog'!$A$2:$A$200,0))="","",INDEX('Test catalog'!$J$2:$J$200,MATCH($AB969,'Test catalog'!$A$2:$A$200,0))),"")</f>
        <v/>
      </c>
      <c r="P969" s="14">
        <f>IF(N969="","",IF(OR(M969="",O969=""),N969,(M969+4*N969+O969)/6))</f>
        <v/>
      </c>
      <c r="Q969" s="10">
        <f>IFERROR(IF(INDEX('Test catalog'!$K$2:$K$200,MATCH($AB969,'Test catalog'!$A$2:$A$200,0))="","",INDEX('Test catalog'!$K$2:$K$200,MATCH($AB969,'Test catalog'!$A$2:$A$200,0))),"")</f>
        <v/>
      </c>
      <c r="R969" s="5" t="n"/>
      <c r="S969" s="10">
        <f>IFERROR(IF(INDEX('Test catalog'!$L$2:$L$200,MATCH($AB969,'Test catalog'!$A$2:$A$200,0))="","",INDEX('Test catalog'!$L$2:$L$200,MATCH($AB969,'Test catalog'!$A$2:$A$200,0))),"")</f>
        <v/>
      </c>
      <c r="T969" s="10">
        <f>IFERROR(IF(INDEX('Test catalog'!$M$2:$M$200,MATCH($AB969,'Test catalog'!$A$2:$A$200,0))="","",INDEX('Test catalog'!$M$2:$M$200,MATCH($AB969,'Test catalog'!$A$2:$A$200,0))),"")</f>
        <v/>
      </c>
      <c r="U969" s="10">
        <f>IFERROR(IF(INDEX('Test catalog'!$N$2:$N$200,MATCH($AB969,'Test catalog'!$A$2:$A$200,0))="","",INDEX('Test catalog'!$N$2:$N$200,MATCH($AB969,'Test catalog'!$A$2:$A$200,0))),"")</f>
        <v/>
      </c>
      <c r="V969" s="15" t="n"/>
      <c r="W969" s="5" t="inlineStr">
        <is>
          <t>N</t>
        </is>
      </c>
      <c r="X969" s="5" t="n"/>
      <c r="Y969" s="5" t="n"/>
      <c r="Z969" s="5" t="n"/>
      <c r="AA969" s="10">
        <f>IFERROR(IF(INDEX('Test catalog'!$O$2:$O$200,MATCH($AB969,'Test catalog'!$A$2:$A$200,0))="","",INDEX('Test catalog'!$O$2:$O$200,MATCH($AB969,'Test catalog'!$A$2:$A$200,0))),"")</f>
        <v/>
      </c>
      <c r="AB969" s="10" t="inlineStr">
        <is>
          <t>ID_CHEM</t>
        </is>
      </c>
      <c r="AC969" s="10" t="inlineStr">
        <is>
          <t>Hypromellose · Identification</t>
        </is>
      </c>
      <c r="AD969" s="10" t="n"/>
      <c r="AE969" s="10" t="n"/>
    </row>
    <row r="970">
      <c r="A970" s="10" t="inlineStr">
        <is>
          <t>HPMC K100M (100,000 cps CR)</t>
        </is>
      </c>
      <c r="B970" s="10" t="inlineStr">
        <is>
          <t>RM</t>
        </is>
      </c>
      <c r="C970" s="10" t="inlineStr">
        <is>
          <t>Release / Matrix Polymer</t>
        </is>
      </c>
      <c r="D970" s="10" t="inlineStr">
        <is>
          <t>Assay (GC)</t>
        </is>
      </c>
      <c r="E970" s="10">
        <f>IF(A970="","",A970&amp;"|"&amp;D970)</f>
        <v/>
      </c>
      <c r="F970" s="5" t="inlineStr">
        <is>
          <t>Y</t>
        </is>
      </c>
      <c r="G970" s="5" t="inlineStr">
        <is>
          <t>GC</t>
        </is>
      </c>
      <c r="H970" s="5" t="inlineStr">
        <is>
          <t>Medium</t>
        </is>
      </c>
      <c r="I970" s="5" t="n">
        <v>1</v>
      </c>
      <c r="J970" s="5" t="n"/>
      <c r="K970" s="5" t="n"/>
      <c r="L970" s="5" t="n"/>
      <c r="M970" s="5" t="n"/>
      <c r="N970" s="5" t="n"/>
      <c r="O970" s="5" t="n"/>
      <c r="P970" s="14">
        <f>IF(N970="","",IF(OR(M970="",O970=""),N970,(M970+4*N970+O970)/6))</f>
        <v/>
      </c>
      <c r="Q970" s="5" t="n"/>
      <c r="R970" s="5" t="n"/>
      <c r="S970" s="5" t="n"/>
      <c r="T970" s="5" t="n"/>
      <c r="U970" s="5" t="n"/>
      <c r="V970" s="15" t="n"/>
      <c r="W970" s="5" t="inlineStr">
        <is>
          <t>N</t>
        </is>
      </c>
      <c r="X970" s="5" t="n"/>
      <c r="Y970" s="5" t="n"/>
      <c r="Z970" s="5" t="inlineStr">
        <is>
          <t>Alternative assays - keep only the one you run</t>
        </is>
      </c>
      <c r="AA970" s="5" t="n"/>
      <c r="AB970" s="10" t="n"/>
      <c r="AC970" s="10" t="inlineStr">
        <is>
          <t>Hypromellose · Assay</t>
        </is>
      </c>
      <c r="AD970" s="10" t="n"/>
      <c r="AE970" s="10" t="n"/>
    </row>
    <row r="971">
      <c r="A971" s="10" t="inlineStr">
        <is>
          <t>HPMC K100M (100,000 cps CR)</t>
        </is>
      </c>
      <c r="B971" s="10" t="inlineStr">
        <is>
          <t>RM</t>
        </is>
      </c>
      <c r="C971" s="10" t="inlineStr">
        <is>
          <t>Release / Matrix Polymer</t>
        </is>
      </c>
      <c r="D971" s="10" t="inlineStr">
        <is>
          <t>Residue on Ignition</t>
        </is>
      </c>
      <c r="E971" s="10">
        <f>IF(A971="","",A971&amp;"|"&amp;D971)</f>
        <v/>
      </c>
      <c r="F971" s="5" t="inlineStr">
        <is>
          <t>Y</t>
        </is>
      </c>
      <c r="G971" s="5" t="inlineStr">
        <is>
          <t>Other / bench</t>
        </is>
      </c>
      <c r="H971" s="5" t="inlineStr">
        <is>
          <t>Low</t>
        </is>
      </c>
      <c r="I971" s="5" t="n">
        <v>1</v>
      </c>
      <c r="J971" s="5" t="n"/>
      <c r="K971" s="10">
        <f>IFERROR(IF(INDEX('Test catalog'!$F$2:$F$200,MATCH($AB971,'Test catalog'!$A$2:$A$200,0))="","",INDEX('Test catalog'!$F$2:$F$200,MATCH($AB971,'Test catalog'!$A$2:$A$200,0))),"")</f>
        <v/>
      </c>
      <c r="L971" s="10">
        <f>IFERROR(IF(INDEX('Test catalog'!$G$2:$G$200,MATCH($AB971,'Test catalog'!$A$2:$A$200,0))="","",INDEX('Test catalog'!$G$2:$G$200,MATCH($AB971,'Test catalog'!$A$2:$A$200,0))),"")</f>
        <v/>
      </c>
      <c r="M971" s="10">
        <f>IFERROR(IF(INDEX('Test catalog'!$H$2:$H$200,MATCH($AB971,'Test catalog'!$A$2:$A$200,0))="","",INDEX('Test catalog'!$H$2:$H$200,MATCH($AB971,'Test catalog'!$A$2:$A$200,0))),"")</f>
        <v/>
      </c>
      <c r="N971" s="10">
        <f>IFERROR(IF(INDEX('Test catalog'!$I$2:$I$200,MATCH($AB971,'Test catalog'!$A$2:$A$200,0))="","",INDEX('Test catalog'!$I$2:$I$200,MATCH($AB971,'Test catalog'!$A$2:$A$200,0))),"")</f>
        <v/>
      </c>
      <c r="O971" s="10">
        <f>IFERROR(IF(INDEX('Test catalog'!$J$2:$J$200,MATCH($AB971,'Test catalog'!$A$2:$A$200,0))="","",INDEX('Test catalog'!$J$2:$J$200,MATCH($AB971,'Test catalog'!$A$2:$A$200,0))),"")</f>
        <v/>
      </c>
      <c r="P971" s="14">
        <f>IF(N971="","",IF(OR(M971="",O971=""),N971,(M971+4*N971+O971)/6))</f>
        <v/>
      </c>
      <c r="Q971" s="10">
        <f>IFERROR(IF(INDEX('Test catalog'!$K$2:$K$200,MATCH($AB971,'Test catalog'!$A$2:$A$200,0))="","",INDEX('Test catalog'!$K$2:$K$200,MATCH($AB971,'Test catalog'!$A$2:$A$200,0))),"")</f>
        <v/>
      </c>
      <c r="R971" s="5" t="n"/>
      <c r="S971" s="10">
        <f>IFERROR(IF(INDEX('Test catalog'!$L$2:$L$200,MATCH($AB971,'Test catalog'!$A$2:$A$200,0))="","",INDEX('Test catalog'!$L$2:$L$200,MATCH($AB971,'Test catalog'!$A$2:$A$200,0))),"")</f>
        <v/>
      </c>
      <c r="T971" s="10">
        <f>IFERROR(IF(INDEX('Test catalog'!$M$2:$M$200,MATCH($AB971,'Test catalog'!$A$2:$A$200,0))="","",INDEX('Test catalog'!$M$2:$M$200,MATCH($AB971,'Test catalog'!$A$2:$A$200,0))),"")</f>
        <v/>
      </c>
      <c r="U971" s="10">
        <f>IFERROR(IF(INDEX('Test catalog'!$N$2:$N$200,MATCH($AB971,'Test catalog'!$A$2:$A$200,0))="","",INDEX('Test catalog'!$N$2:$N$200,MATCH($AB971,'Test catalog'!$A$2:$A$200,0))),"")</f>
        <v/>
      </c>
      <c r="V971" s="15" t="n"/>
      <c r="W971" s="5" t="inlineStr">
        <is>
          <t>N</t>
        </is>
      </c>
      <c r="X971" s="5" t="n"/>
      <c r="Y971" s="5" t="n"/>
      <c r="Z971" s="5" t="inlineStr">
        <is>
          <t>Alternative assays - keep only the one you run</t>
        </is>
      </c>
      <c r="AA971" s="10">
        <f>IFERROR(IF(INDEX('Test catalog'!$O$2:$O$200,MATCH($AB971,'Test catalog'!$A$2:$A$200,0))="","",INDEX('Test catalog'!$O$2:$O$200,MATCH($AB971,'Test catalog'!$A$2:$A$200,0))),"")</f>
        <v/>
      </c>
      <c r="AB971" s="10" t="inlineStr">
        <is>
          <t>ROI</t>
        </is>
      </c>
      <c r="AC971" s="10" t="inlineStr">
        <is>
          <t>Hypromellose · Assay &lt;281&gt;</t>
        </is>
      </c>
      <c r="AD971" s="10" t="n"/>
      <c r="AE971" s="10" t="n"/>
    </row>
    <row r="972">
      <c r="A972" s="10" t="inlineStr">
        <is>
          <t>HPMC K100M (100,000 cps CR)</t>
        </is>
      </c>
      <c r="B972" s="10" t="inlineStr">
        <is>
          <t>RM</t>
        </is>
      </c>
      <c r="C972" s="10" t="inlineStr">
        <is>
          <t>Release / Matrix Polymer</t>
        </is>
      </c>
      <c r="D972" s="10" t="inlineStr">
        <is>
          <t>pH</t>
        </is>
      </c>
      <c r="E972" s="10">
        <f>IF(A972="","",A972&amp;"|"&amp;D972)</f>
        <v/>
      </c>
      <c r="F972" s="5" t="inlineStr">
        <is>
          <t>Y</t>
        </is>
      </c>
      <c r="G972" s="5" t="inlineStr">
        <is>
          <t>Other / bench</t>
        </is>
      </c>
      <c r="H972" s="5" t="inlineStr">
        <is>
          <t>Low</t>
        </is>
      </c>
      <c r="I972" s="5" t="n">
        <v>1</v>
      </c>
      <c r="J972" s="5" t="n"/>
      <c r="K972" s="10">
        <f>IFERROR(IF(INDEX('Test catalog'!$F$2:$F$200,MATCH($AB972,'Test catalog'!$A$2:$A$200,0))="","",INDEX('Test catalog'!$F$2:$F$200,MATCH($AB972,'Test catalog'!$A$2:$A$200,0))),"")</f>
        <v/>
      </c>
      <c r="L972" s="10">
        <f>IFERROR(IF(INDEX('Test catalog'!$G$2:$G$200,MATCH($AB972,'Test catalog'!$A$2:$A$200,0))="","",INDEX('Test catalog'!$G$2:$G$200,MATCH($AB972,'Test catalog'!$A$2:$A$200,0))),"")</f>
        <v/>
      </c>
      <c r="M972" s="10">
        <f>IFERROR(IF(INDEX('Test catalog'!$H$2:$H$200,MATCH($AB972,'Test catalog'!$A$2:$A$200,0))="","",INDEX('Test catalog'!$H$2:$H$200,MATCH($AB972,'Test catalog'!$A$2:$A$200,0))),"")</f>
        <v/>
      </c>
      <c r="N972" s="10">
        <f>IFERROR(IF(INDEX('Test catalog'!$I$2:$I$200,MATCH($AB972,'Test catalog'!$A$2:$A$200,0))="","",INDEX('Test catalog'!$I$2:$I$200,MATCH($AB972,'Test catalog'!$A$2:$A$200,0))),"")</f>
        <v/>
      </c>
      <c r="O972" s="10">
        <f>IFERROR(IF(INDEX('Test catalog'!$J$2:$J$200,MATCH($AB972,'Test catalog'!$A$2:$A$200,0))="","",INDEX('Test catalog'!$J$2:$J$200,MATCH($AB972,'Test catalog'!$A$2:$A$200,0))),"")</f>
        <v/>
      </c>
      <c r="P972" s="14">
        <f>IF(N972="","",IF(OR(M972="",O972=""),N972,(M972+4*N972+O972)/6))</f>
        <v/>
      </c>
      <c r="Q972" s="10">
        <f>IFERROR(IF(INDEX('Test catalog'!$K$2:$K$200,MATCH($AB972,'Test catalog'!$A$2:$A$200,0))="","",INDEX('Test catalog'!$K$2:$K$200,MATCH($AB972,'Test catalog'!$A$2:$A$200,0))),"")</f>
        <v/>
      </c>
      <c r="R972" s="5" t="n"/>
      <c r="S972" s="10">
        <f>IFERROR(IF(INDEX('Test catalog'!$L$2:$L$200,MATCH($AB972,'Test catalog'!$A$2:$A$200,0))="","",INDEX('Test catalog'!$L$2:$L$200,MATCH($AB972,'Test catalog'!$A$2:$A$200,0))),"")</f>
        <v/>
      </c>
      <c r="T972" s="10">
        <f>IFERROR(IF(INDEX('Test catalog'!$M$2:$M$200,MATCH($AB972,'Test catalog'!$A$2:$A$200,0))="","",INDEX('Test catalog'!$M$2:$M$200,MATCH($AB972,'Test catalog'!$A$2:$A$200,0))),"")</f>
        <v/>
      </c>
      <c r="U972" s="10">
        <f>IFERROR(IF(INDEX('Test catalog'!$N$2:$N$200,MATCH($AB972,'Test catalog'!$A$2:$A$200,0))="","",INDEX('Test catalog'!$N$2:$N$200,MATCH($AB972,'Test catalog'!$A$2:$A$200,0))),"")</f>
        <v/>
      </c>
      <c r="V972" s="15" t="n"/>
      <c r="W972" s="5" t="inlineStr">
        <is>
          <t>N</t>
        </is>
      </c>
      <c r="X972" s="5" t="n"/>
      <c r="Y972" s="5" t="n"/>
      <c r="Z972" s="5" t="n"/>
      <c r="AA972" s="10">
        <f>IFERROR(IF(INDEX('Test catalog'!$O$2:$O$200,MATCH($AB972,'Test catalog'!$A$2:$A$200,0))="","",INDEX('Test catalog'!$O$2:$O$200,MATCH($AB972,'Test catalog'!$A$2:$A$200,0))),"")</f>
        <v/>
      </c>
      <c r="AB972" s="10" t="inlineStr">
        <is>
          <t>PH</t>
        </is>
      </c>
      <c r="AC972" s="10" t="inlineStr">
        <is>
          <t>Hypromellose · Specific Tests &lt;791&gt;</t>
        </is>
      </c>
      <c r="AD972" s="10" t="n"/>
      <c r="AE972" s="10" t="n"/>
    </row>
    <row r="973">
      <c r="A973" s="10" t="inlineStr">
        <is>
          <t>HPMC K100M (100,000 cps CR)</t>
        </is>
      </c>
      <c r="B973" s="10" t="inlineStr">
        <is>
          <t>RM</t>
        </is>
      </c>
      <c r="C973" s="10" t="inlineStr">
        <is>
          <t>Release / Matrix Polymer</t>
        </is>
      </c>
      <c r="D973" s="10" t="inlineStr">
        <is>
          <t>Loss on Drying</t>
        </is>
      </c>
      <c r="E973" s="10">
        <f>IF(A973="","",A973&amp;"|"&amp;D973)</f>
        <v/>
      </c>
      <c r="F973" s="5" t="inlineStr">
        <is>
          <t>Y</t>
        </is>
      </c>
      <c r="G973" s="5" t="inlineStr">
        <is>
          <t>Other / bench</t>
        </is>
      </c>
      <c r="H973" s="5" t="inlineStr">
        <is>
          <t>Low</t>
        </is>
      </c>
      <c r="I973" s="5" t="n">
        <v>1</v>
      </c>
      <c r="J973" s="5" t="n"/>
      <c r="K973" s="10">
        <f>IFERROR(IF(INDEX('Test catalog'!$F$2:$F$200,MATCH($AB973,'Test catalog'!$A$2:$A$200,0))="","",INDEX('Test catalog'!$F$2:$F$200,MATCH($AB973,'Test catalog'!$A$2:$A$200,0))),"")</f>
        <v/>
      </c>
      <c r="L973" s="10">
        <f>IFERROR(IF(INDEX('Test catalog'!$G$2:$G$200,MATCH($AB973,'Test catalog'!$A$2:$A$200,0))="","",INDEX('Test catalog'!$G$2:$G$200,MATCH($AB973,'Test catalog'!$A$2:$A$200,0))),"")</f>
        <v/>
      </c>
      <c r="M973" s="10">
        <f>IFERROR(IF(INDEX('Test catalog'!$H$2:$H$200,MATCH($AB973,'Test catalog'!$A$2:$A$200,0))="","",INDEX('Test catalog'!$H$2:$H$200,MATCH($AB973,'Test catalog'!$A$2:$A$200,0))),"")</f>
        <v/>
      </c>
      <c r="N973" s="10">
        <f>IFERROR(IF(INDEX('Test catalog'!$I$2:$I$200,MATCH($AB973,'Test catalog'!$A$2:$A$200,0))="","",INDEX('Test catalog'!$I$2:$I$200,MATCH($AB973,'Test catalog'!$A$2:$A$200,0))),"")</f>
        <v/>
      </c>
      <c r="O973" s="10">
        <f>IFERROR(IF(INDEX('Test catalog'!$J$2:$J$200,MATCH($AB973,'Test catalog'!$A$2:$A$200,0))="","",INDEX('Test catalog'!$J$2:$J$200,MATCH($AB973,'Test catalog'!$A$2:$A$200,0))),"")</f>
        <v/>
      </c>
      <c r="P973" s="14">
        <f>IF(N973="","",IF(OR(M973="",O973=""),N973,(M973+4*N973+O973)/6))</f>
        <v/>
      </c>
      <c r="Q973" s="10">
        <f>IFERROR(IF(INDEX('Test catalog'!$K$2:$K$200,MATCH($AB973,'Test catalog'!$A$2:$A$200,0))="","",INDEX('Test catalog'!$K$2:$K$200,MATCH($AB973,'Test catalog'!$A$2:$A$200,0))),"")</f>
        <v/>
      </c>
      <c r="R973" s="5" t="n"/>
      <c r="S973" s="10">
        <f>IFERROR(IF(INDEX('Test catalog'!$L$2:$L$200,MATCH($AB973,'Test catalog'!$A$2:$A$200,0))="","",INDEX('Test catalog'!$L$2:$L$200,MATCH($AB973,'Test catalog'!$A$2:$A$200,0))),"")</f>
        <v/>
      </c>
      <c r="T973" s="10">
        <f>IFERROR(IF(INDEX('Test catalog'!$M$2:$M$200,MATCH($AB973,'Test catalog'!$A$2:$A$200,0))="","",INDEX('Test catalog'!$M$2:$M$200,MATCH($AB973,'Test catalog'!$A$2:$A$200,0))),"")</f>
        <v/>
      </c>
      <c r="U973" s="10">
        <f>IFERROR(IF(INDEX('Test catalog'!$N$2:$N$200,MATCH($AB973,'Test catalog'!$A$2:$A$200,0))="","",INDEX('Test catalog'!$N$2:$N$200,MATCH($AB973,'Test catalog'!$A$2:$A$200,0))),"")</f>
        <v/>
      </c>
      <c r="V973" s="15" t="n"/>
      <c r="W973" s="5" t="inlineStr">
        <is>
          <t>N</t>
        </is>
      </c>
      <c r="X973" s="5" t="n"/>
      <c r="Y973" s="5" t="n"/>
      <c r="Z973" s="5" t="n"/>
      <c r="AA973" s="10">
        <f>IFERROR(IF(INDEX('Test catalog'!$O$2:$O$200,MATCH($AB973,'Test catalog'!$A$2:$A$200,0))="","",INDEX('Test catalog'!$O$2:$O$200,MATCH($AB973,'Test catalog'!$A$2:$A$200,0))),"")</f>
        <v/>
      </c>
      <c r="AB973" s="10" t="inlineStr">
        <is>
          <t>LOD</t>
        </is>
      </c>
      <c r="AC973" s="10" t="inlineStr">
        <is>
          <t>Hypromellose · Impurities &lt;731&gt;</t>
        </is>
      </c>
      <c r="AD973" s="10" t="n"/>
      <c r="AE973" s="10" t="n"/>
    </row>
    <row r="974">
      <c r="A974" s="10" t="inlineStr">
        <is>
          <t>HPMC K100M (100,000 cps CR)</t>
        </is>
      </c>
      <c r="B974" s="10" t="inlineStr">
        <is>
          <t>RM</t>
        </is>
      </c>
      <c r="C974" s="10" t="inlineStr">
        <is>
          <t>Release / Matrix Polymer</t>
        </is>
      </c>
      <c r="D974" s="10" t="inlineStr">
        <is>
          <t>Viscosity—Capillary Methods</t>
        </is>
      </c>
      <c r="E974" s="10">
        <f>IF(A974="","",A974&amp;"|"&amp;D974)</f>
        <v/>
      </c>
      <c r="F974" s="5" t="inlineStr">
        <is>
          <t>Y</t>
        </is>
      </c>
      <c r="G974" s="5" t="inlineStr">
        <is>
          <t>Other / bench</t>
        </is>
      </c>
      <c r="H974" s="5" t="inlineStr">
        <is>
          <t>Low</t>
        </is>
      </c>
      <c r="I974" s="5" t="n">
        <v>1</v>
      </c>
      <c r="J974" s="5" t="n"/>
      <c r="K974" s="10">
        <f>IFERROR(IF(INDEX('Test catalog'!$F$2:$F$200,MATCH($AB974,'Test catalog'!$A$2:$A$200,0))="","",INDEX('Test catalog'!$F$2:$F$200,MATCH($AB974,'Test catalog'!$A$2:$A$200,0))),"")</f>
        <v/>
      </c>
      <c r="L974" s="10">
        <f>IFERROR(IF(INDEX('Test catalog'!$G$2:$G$200,MATCH($AB974,'Test catalog'!$A$2:$A$200,0))="","",INDEX('Test catalog'!$G$2:$G$200,MATCH($AB974,'Test catalog'!$A$2:$A$200,0))),"")</f>
        <v/>
      </c>
      <c r="M974" s="10">
        <f>IFERROR(IF(INDEX('Test catalog'!$H$2:$H$200,MATCH($AB974,'Test catalog'!$A$2:$A$200,0))="","",INDEX('Test catalog'!$H$2:$H$200,MATCH($AB974,'Test catalog'!$A$2:$A$200,0))),"")</f>
        <v/>
      </c>
      <c r="N974" s="10">
        <f>IFERROR(IF(INDEX('Test catalog'!$I$2:$I$200,MATCH($AB974,'Test catalog'!$A$2:$A$200,0))="","",INDEX('Test catalog'!$I$2:$I$200,MATCH($AB974,'Test catalog'!$A$2:$A$200,0))),"")</f>
        <v/>
      </c>
      <c r="O974" s="10">
        <f>IFERROR(IF(INDEX('Test catalog'!$J$2:$J$200,MATCH($AB974,'Test catalog'!$A$2:$A$200,0))="","",INDEX('Test catalog'!$J$2:$J$200,MATCH($AB974,'Test catalog'!$A$2:$A$200,0))),"")</f>
        <v/>
      </c>
      <c r="P974" s="14">
        <f>IF(N974="","",IF(OR(M974="",O974=""),N974,(M974+4*N974+O974)/6))</f>
        <v/>
      </c>
      <c r="Q974" s="10">
        <f>IFERROR(IF(INDEX('Test catalog'!$K$2:$K$200,MATCH($AB974,'Test catalog'!$A$2:$A$200,0))="","",INDEX('Test catalog'!$K$2:$K$200,MATCH($AB974,'Test catalog'!$A$2:$A$200,0))),"")</f>
        <v/>
      </c>
      <c r="R974" s="5" t="n"/>
      <c r="S974" s="10">
        <f>IFERROR(IF(INDEX('Test catalog'!$L$2:$L$200,MATCH($AB974,'Test catalog'!$A$2:$A$200,0))="","",INDEX('Test catalog'!$L$2:$L$200,MATCH($AB974,'Test catalog'!$A$2:$A$200,0))),"")</f>
        <v/>
      </c>
      <c r="T974" s="10">
        <f>IFERROR(IF(INDEX('Test catalog'!$M$2:$M$200,MATCH($AB974,'Test catalog'!$A$2:$A$200,0))="","",INDEX('Test catalog'!$M$2:$M$200,MATCH($AB974,'Test catalog'!$A$2:$A$200,0))),"")</f>
        <v/>
      </c>
      <c r="U974" s="10">
        <f>IFERROR(IF(INDEX('Test catalog'!$N$2:$N$200,MATCH($AB974,'Test catalog'!$A$2:$A$200,0))="","",INDEX('Test catalog'!$N$2:$N$200,MATCH($AB974,'Test catalog'!$A$2:$A$200,0))),"")</f>
        <v/>
      </c>
      <c r="V974" s="15" t="n"/>
      <c r="W974" s="5" t="inlineStr">
        <is>
          <t>N</t>
        </is>
      </c>
      <c r="X974" s="5" t="n"/>
      <c r="Y974" s="5" t="n"/>
      <c r="Z974" s="5" t="n"/>
      <c r="AA974" s="10">
        <f>IFERROR(IF(INDEX('Test catalog'!$O$2:$O$200,MATCH($AB974,'Test catalog'!$A$2:$A$200,0))="","",INDEX('Test catalog'!$O$2:$O$200,MATCH($AB974,'Test catalog'!$A$2:$A$200,0))),"")</f>
        <v/>
      </c>
      <c r="AB974" s="10" t="inlineStr">
        <is>
          <t>VISC</t>
        </is>
      </c>
      <c r="AC974" s="10" t="inlineStr">
        <is>
          <t>Hypromellose · Impurities &lt;911,912&gt;</t>
        </is>
      </c>
      <c r="AD974" s="10" t="n"/>
      <c r="AE974" s="10" t="n"/>
    </row>
    <row r="975">
      <c r="A975" s="10" t="inlineStr">
        <is>
          <t>HPMC K15M (15,000 cps CR)</t>
        </is>
      </c>
      <c r="B975" s="10" t="inlineStr">
        <is>
          <t>RM</t>
        </is>
      </c>
      <c r="C975" s="10" t="inlineStr">
        <is>
          <t>Release / Matrix Polymer</t>
        </is>
      </c>
      <c r="D975" s="10" t="inlineStr">
        <is>
          <t>Appearance / description and solubility</t>
        </is>
      </c>
      <c r="E975" s="10">
        <f>IF(A975="","",A975&amp;"|"&amp;D975)</f>
        <v/>
      </c>
      <c r="F975" s="5" t="inlineStr">
        <is>
          <t>Y</t>
        </is>
      </c>
      <c r="G975" s="5" t="inlineStr">
        <is>
          <t>Other / bench</t>
        </is>
      </c>
      <c r="H975" s="5" t="inlineStr">
        <is>
          <t>Low</t>
        </is>
      </c>
      <c r="I975" s="5" t="n">
        <v>1</v>
      </c>
      <c r="J975" s="5" t="n"/>
      <c r="K975" s="10">
        <f>IFERROR(IF(INDEX('Test catalog'!$F$2:$F$200,MATCH($AB975,'Test catalog'!$A$2:$A$200,0))="","",INDEX('Test catalog'!$F$2:$F$200,MATCH($AB975,'Test catalog'!$A$2:$A$200,0))),"")</f>
        <v/>
      </c>
      <c r="L975" s="10">
        <f>IFERROR(IF(INDEX('Test catalog'!$G$2:$G$200,MATCH($AB975,'Test catalog'!$A$2:$A$200,0))="","",INDEX('Test catalog'!$G$2:$G$200,MATCH($AB975,'Test catalog'!$A$2:$A$200,0))),"")</f>
        <v/>
      </c>
      <c r="M975" s="10">
        <f>IFERROR(IF(INDEX('Test catalog'!$H$2:$H$200,MATCH($AB975,'Test catalog'!$A$2:$A$200,0))="","",INDEX('Test catalog'!$H$2:$H$200,MATCH($AB975,'Test catalog'!$A$2:$A$200,0))),"")</f>
        <v/>
      </c>
      <c r="N975" s="10">
        <f>IFERROR(IF(INDEX('Test catalog'!$I$2:$I$200,MATCH($AB975,'Test catalog'!$A$2:$A$200,0))="","",INDEX('Test catalog'!$I$2:$I$200,MATCH($AB975,'Test catalog'!$A$2:$A$200,0))),"")</f>
        <v/>
      </c>
      <c r="O975" s="10">
        <f>IFERROR(IF(INDEX('Test catalog'!$J$2:$J$200,MATCH($AB975,'Test catalog'!$A$2:$A$200,0))="","",INDEX('Test catalog'!$J$2:$J$200,MATCH($AB975,'Test catalog'!$A$2:$A$200,0))),"")</f>
        <v/>
      </c>
      <c r="P975" s="14">
        <f>IF(N975="","",IF(OR(M975="",O975=""),N975,(M975+4*N975+O975)/6))</f>
        <v/>
      </c>
      <c r="Q975" s="10">
        <f>IFERROR(IF(INDEX('Test catalog'!$K$2:$K$200,MATCH($AB975,'Test catalog'!$A$2:$A$200,0))="","",INDEX('Test catalog'!$K$2:$K$200,MATCH($AB975,'Test catalog'!$A$2:$A$200,0))),"")</f>
        <v/>
      </c>
      <c r="R975" s="5" t="n"/>
      <c r="S975" s="10">
        <f>IFERROR(IF(INDEX('Test catalog'!$L$2:$L$200,MATCH($AB975,'Test catalog'!$A$2:$A$200,0))="","",INDEX('Test catalog'!$L$2:$L$200,MATCH($AB975,'Test catalog'!$A$2:$A$200,0))),"")</f>
        <v/>
      </c>
      <c r="T975" s="10">
        <f>IFERROR(IF(INDEX('Test catalog'!$M$2:$M$200,MATCH($AB975,'Test catalog'!$A$2:$A$200,0))="","",INDEX('Test catalog'!$M$2:$M$200,MATCH($AB975,'Test catalog'!$A$2:$A$200,0))),"")</f>
        <v/>
      </c>
      <c r="U975" s="10">
        <f>IFERROR(IF(INDEX('Test catalog'!$N$2:$N$200,MATCH($AB975,'Test catalog'!$A$2:$A$200,0))="","",INDEX('Test catalog'!$N$2:$N$200,MATCH($AB975,'Test catalog'!$A$2:$A$200,0))),"")</f>
        <v/>
      </c>
      <c r="V975" s="15" t="n"/>
      <c r="W975" s="5" t="inlineStr">
        <is>
          <t>N</t>
        </is>
      </c>
      <c r="X975" s="5" t="n"/>
      <c r="Y975" s="5" t="n"/>
      <c r="Z975" s="5" t="n"/>
      <c r="AA975" s="10">
        <f>IFERROR(IF(INDEX('Test catalog'!$O$2:$O$200,MATCH($AB975,'Test catalog'!$A$2:$A$200,0))="","",INDEX('Test catalog'!$O$2:$O$200,MATCH($AB975,'Test catalog'!$A$2:$A$200,0))),"")</f>
        <v/>
      </c>
      <c r="AB975" s="10" t="inlineStr">
        <is>
          <t>APPEAR</t>
        </is>
      </c>
      <c r="AC975" s="10" t="inlineStr">
        <is>
          <t>Lab practice (not a USP test)</t>
        </is>
      </c>
      <c r="AD975" s="10" t="n"/>
      <c r="AE975" s="10" t="n"/>
    </row>
    <row r="976">
      <c r="A976" s="10" t="inlineStr">
        <is>
          <t>HPMC K15M (15,000 cps CR)</t>
        </is>
      </c>
      <c r="B976" s="10" t="inlineStr">
        <is>
          <t>RM</t>
        </is>
      </c>
      <c r="C976" s="10" t="inlineStr">
        <is>
          <t>Release / Matrix Polymer</t>
        </is>
      </c>
      <c r="D976" s="10" t="inlineStr">
        <is>
          <t>ID A - chemical reaction</t>
        </is>
      </c>
      <c r="E976" s="10">
        <f>IF(A976="","",A976&amp;"|"&amp;D976)</f>
        <v/>
      </c>
      <c r="F976" s="5" t="inlineStr">
        <is>
          <t>Y</t>
        </is>
      </c>
      <c r="G976" s="5" t="inlineStr">
        <is>
          <t>Other / bench</t>
        </is>
      </c>
      <c r="H976" s="5" t="inlineStr">
        <is>
          <t>Low</t>
        </is>
      </c>
      <c r="I976" s="5" t="n">
        <v>1</v>
      </c>
      <c r="J976" s="5" t="n"/>
      <c r="K976" s="10">
        <f>IFERROR(IF(INDEX('Test catalog'!$F$2:$F$200,MATCH($AB976,'Test catalog'!$A$2:$A$200,0))="","",INDEX('Test catalog'!$F$2:$F$200,MATCH($AB976,'Test catalog'!$A$2:$A$200,0))),"")</f>
        <v/>
      </c>
      <c r="L976" s="10">
        <f>IFERROR(IF(INDEX('Test catalog'!$G$2:$G$200,MATCH($AB976,'Test catalog'!$A$2:$A$200,0))="","",INDEX('Test catalog'!$G$2:$G$200,MATCH($AB976,'Test catalog'!$A$2:$A$200,0))),"")</f>
        <v/>
      </c>
      <c r="M976" s="10">
        <f>IFERROR(IF(INDEX('Test catalog'!$H$2:$H$200,MATCH($AB976,'Test catalog'!$A$2:$A$200,0))="","",INDEX('Test catalog'!$H$2:$H$200,MATCH($AB976,'Test catalog'!$A$2:$A$200,0))),"")</f>
        <v/>
      </c>
      <c r="N976" s="10">
        <f>IFERROR(IF(INDEX('Test catalog'!$I$2:$I$200,MATCH($AB976,'Test catalog'!$A$2:$A$200,0))="","",INDEX('Test catalog'!$I$2:$I$200,MATCH($AB976,'Test catalog'!$A$2:$A$200,0))),"")</f>
        <v/>
      </c>
      <c r="O976" s="10">
        <f>IFERROR(IF(INDEX('Test catalog'!$J$2:$J$200,MATCH($AB976,'Test catalog'!$A$2:$A$200,0))="","",INDEX('Test catalog'!$J$2:$J$200,MATCH($AB976,'Test catalog'!$A$2:$A$200,0))),"")</f>
        <v/>
      </c>
      <c r="P976" s="14">
        <f>IF(N976="","",IF(OR(M976="",O976=""),N976,(M976+4*N976+O976)/6))</f>
        <v/>
      </c>
      <c r="Q976" s="10">
        <f>IFERROR(IF(INDEX('Test catalog'!$K$2:$K$200,MATCH($AB976,'Test catalog'!$A$2:$A$200,0))="","",INDEX('Test catalog'!$K$2:$K$200,MATCH($AB976,'Test catalog'!$A$2:$A$200,0))),"")</f>
        <v/>
      </c>
      <c r="R976" s="5" t="n"/>
      <c r="S976" s="10">
        <f>IFERROR(IF(INDEX('Test catalog'!$L$2:$L$200,MATCH($AB976,'Test catalog'!$A$2:$A$200,0))="","",INDEX('Test catalog'!$L$2:$L$200,MATCH($AB976,'Test catalog'!$A$2:$A$200,0))),"")</f>
        <v/>
      </c>
      <c r="T976" s="10">
        <f>IFERROR(IF(INDEX('Test catalog'!$M$2:$M$200,MATCH($AB976,'Test catalog'!$A$2:$A$200,0))="","",INDEX('Test catalog'!$M$2:$M$200,MATCH($AB976,'Test catalog'!$A$2:$A$200,0))),"")</f>
        <v/>
      </c>
      <c r="U976" s="10">
        <f>IFERROR(IF(INDEX('Test catalog'!$N$2:$N$200,MATCH($AB976,'Test catalog'!$A$2:$A$200,0))="","",INDEX('Test catalog'!$N$2:$N$200,MATCH($AB976,'Test catalog'!$A$2:$A$200,0))),"")</f>
        <v/>
      </c>
      <c r="V976" s="15" t="n"/>
      <c r="W976" s="5" t="inlineStr">
        <is>
          <t>N</t>
        </is>
      </c>
      <c r="X976" s="5" t="n"/>
      <c r="Y976" s="5" t="n"/>
      <c r="Z976" s="5" t="n"/>
      <c r="AA976" s="10">
        <f>IFERROR(IF(INDEX('Test catalog'!$O$2:$O$200,MATCH($AB976,'Test catalog'!$A$2:$A$200,0))="","",INDEX('Test catalog'!$O$2:$O$200,MATCH($AB976,'Test catalog'!$A$2:$A$200,0))),"")</f>
        <v/>
      </c>
      <c r="AB976" s="10" t="inlineStr">
        <is>
          <t>ID_CHEM</t>
        </is>
      </c>
      <c r="AC976" s="10" t="inlineStr">
        <is>
          <t>Hypromellose · Identification</t>
        </is>
      </c>
      <c r="AD976" s="10" t="n"/>
      <c r="AE976" s="10" t="n"/>
    </row>
    <row r="977">
      <c r="A977" s="10" t="inlineStr">
        <is>
          <t>HPMC K15M (15,000 cps CR)</t>
        </is>
      </c>
      <c r="B977" s="10" t="inlineStr">
        <is>
          <t>RM</t>
        </is>
      </c>
      <c r="C977" s="10" t="inlineStr">
        <is>
          <t>Release / Matrix Polymer</t>
        </is>
      </c>
      <c r="D977" s="10" t="inlineStr">
        <is>
          <t>ID B - chemical reaction</t>
        </is>
      </c>
      <c r="E977" s="10">
        <f>IF(A977="","",A977&amp;"|"&amp;D977)</f>
        <v/>
      </c>
      <c r="F977" s="5" t="inlineStr">
        <is>
          <t>Y</t>
        </is>
      </c>
      <c r="G977" s="5" t="inlineStr">
        <is>
          <t>Other / bench</t>
        </is>
      </c>
      <c r="H977" s="5" t="inlineStr">
        <is>
          <t>Low</t>
        </is>
      </c>
      <c r="I977" s="5" t="n">
        <v>1</v>
      </c>
      <c r="J977" s="5" t="n"/>
      <c r="K977" s="10">
        <f>IFERROR(IF(INDEX('Test catalog'!$F$2:$F$200,MATCH($AB977,'Test catalog'!$A$2:$A$200,0))="","",INDEX('Test catalog'!$F$2:$F$200,MATCH($AB977,'Test catalog'!$A$2:$A$200,0))),"")</f>
        <v/>
      </c>
      <c r="L977" s="10">
        <f>IFERROR(IF(INDEX('Test catalog'!$G$2:$G$200,MATCH($AB977,'Test catalog'!$A$2:$A$200,0))="","",INDEX('Test catalog'!$G$2:$G$200,MATCH($AB977,'Test catalog'!$A$2:$A$200,0))),"")</f>
        <v/>
      </c>
      <c r="M977" s="10">
        <f>IFERROR(IF(INDEX('Test catalog'!$H$2:$H$200,MATCH($AB977,'Test catalog'!$A$2:$A$200,0))="","",INDEX('Test catalog'!$H$2:$H$200,MATCH($AB977,'Test catalog'!$A$2:$A$200,0))),"")</f>
        <v/>
      </c>
      <c r="N977" s="10">
        <f>IFERROR(IF(INDEX('Test catalog'!$I$2:$I$200,MATCH($AB977,'Test catalog'!$A$2:$A$200,0))="","",INDEX('Test catalog'!$I$2:$I$200,MATCH($AB977,'Test catalog'!$A$2:$A$200,0))),"")</f>
        <v/>
      </c>
      <c r="O977" s="10">
        <f>IFERROR(IF(INDEX('Test catalog'!$J$2:$J$200,MATCH($AB977,'Test catalog'!$A$2:$A$200,0))="","",INDEX('Test catalog'!$J$2:$J$200,MATCH($AB977,'Test catalog'!$A$2:$A$200,0))),"")</f>
        <v/>
      </c>
      <c r="P977" s="14">
        <f>IF(N977="","",IF(OR(M977="",O977=""),N977,(M977+4*N977+O977)/6))</f>
        <v/>
      </c>
      <c r="Q977" s="10">
        <f>IFERROR(IF(INDEX('Test catalog'!$K$2:$K$200,MATCH($AB977,'Test catalog'!$A$2:$A$200,0))="","",INDEX('Test catalog'!$K$2:$K$200,MATCH($AB977,'Test catalog'!$A$2:$A$200,0))),"")</f>
        <v/>
      </c>
      <c r="R977" s="5" t="n"/>
      <c r="S977" s="10">
        <f>IFERROR(IF(INDEX('Test catalog'!$L$2:$L$200,MATCH($AB977,'Test catalog'!$A$2:$A$200,0))="","",INDEX('Test catalog'!$L$2:$L$200,MATCH($AB977,'Test catalog'!$A$2:$A$200,0))),"")</f>
        <v/>
      </c>
      <c r="T977" s="10">
        <f>IFERROR(IF(INDEX('Test catalog'!$M$2:$M$200,MATCH($AB977,'Test catalog'!$A$2:$A$200,0))="","",INDEX('Test catalog'!$M$2:$M$200,MATCH($AB977,'Test catalog'!$A$2:$A$200,0))),"")</f>
        <v/>
      </c>
      <c r="U977" s="10">
        <f>IFERROR(IF(INDEX('Test catalog'!$N$2:$N$200,MATCH($AB977,'Test catalog'!$A$2:$A$200,0))="","",INDEX('Test catalog'!$N$2:$N$200,MATCH($AB977,'Test catalog'!$A$2:$A$200,0))),"")</f>
        <v/>
      </c>
      <c r="V977" s="15" t="n"/>
      <c r="W977" s="5" t="inlineStr">
        <is>
          <t>N</t>
        </is>
      </c>
      <c r="X977" s="5" t="n"/>
      <c r="Y977" s="5" t="n"/>
      <c r="Z977" s="5" t="n"/>
      <c r="AA977" s="10">
        <f>IFERROR(IF(INDEX('Test catalog'!$O$2:$O$200,MATCH($AB977,'Test catalog'!$A$2:$A$200,0))="","",INDEX('Test catalog'!$O$2:$O$200,MATCH($AB977,'Test catalog'!$A$2:$A$200,0))),"")</f>
        <v/>
      </c>
      <c r="AB977" s="10" t="inlineStr">
        <is>
          <t>ID_CHEM</t>
        </is>
      </c>
      <c r="AC977" s="10" t="inlineStr">
        <is>
          <t>Hypromellose · Identification</t>
        </is>
      </c>
      <c r="AD977" s="10" t="n"/>
      <c r="AE977" s="10" t="n"/>
    </row>
    <row r="978">
      <c r="A978" s="10" t="inlineStr">
        <is>
          <t>HPMC K15M (15,000 cps CR)</t>
        </is>
      </c>
      <c r="B978" s="10" t="inlineStr">
        <is>
          <t>RM</t>
        </is>
      </c>
      <c r="C978" s="10" t="inlineStr">
        <is>
          <t>Release / Matrix Polymer</t>
        </is>
      </c>
      <c r="D978" s="10" t="inlineStr">
        <is>
          <t>ID C - chemical reaction</t>
        </is>
      </c>
      <c r="E978" s="10">
        <f>IF(A978="","",A978&amp;"|"&amp;D978)</f>
        <v/>
      </c>
      <c r="F978" s="5" t="inlineStr">
        <is>
          <t>Y</t>
        </is>
      </c>
      <c r="G978" s="5" t="inlineStr">
        <is>
          <t>Other / bench</t>
        </is>
      </c>
      <c r="H978" s="5" t="inlineStr">
        <is>
          <t>Low</t>
        </is>
      </c>
      <c r="I978" s="5" t="n">
        <v>1</v>
      </c>
      <c r="J978" s="5" t="n"/>
      <c r="K978" s="10">
        <f>IFERROR(IF(INDEX('Test catalog'!$F$2:$F$200,MATCH($AB978,'Test catalog'!$A$2:$A$200,0))="","",INDEX('Test catalog'!$F$2:$F$200,MATCH($AB978,'Test catalog'!$A$2:$A$200,0))),"")</f>
        <v/>
      </c>
      <c r="L978" s="10">
        <f>IFERROR(IF(INDEX('Test catalog'!$G$2:$G$200,MATCH($AB978,'Test catalog'!$A$2:$A$200,0))="","",INDEX('Test catalog'!$G$2:$G$200,MATCH($AB978,'Test catalog'!$A$2:$A$200,0))),"")</f>
        <v/>
      </c>
      <c r="M978" s="10">
        <f>IFERROR(IF(INDEX('Test catalog'!$H$2:$H$200,MATCH($AB978,'Test catalog'!$A$2:$A$200,0))="","",INDEX('Test catalog'!$H$2:$H$200,MATCH($AB978,'Test catalog'!$A$2:$A$200,0))),"")</f>
        <v/>
      </c>
      <c r="N978" s="10">
        <f>IFERROR(IF(INDEX('Test catalog'!$I$2:$I$200,MATCH($AB978,'Test catalog'!$A$2:$A$200,0))="","",INDEX('Test catalog'!$I$2:$I$200,MATCH($AB978,'Test catalog'!$A$2:$A$200,0))),"")</f>
        <v/>
      </c>
      <c r="O978" s="10">
        <f>IFERROR(IF(INDEX('Test catalog'!$J$2:$J$200,MATCH($AB978,'Test catalog'!$A$2:$A$200,0))="","",INDEX('Test catalog'!$J$2:$J$200,MATCH($AB978,'Test catalog'!$A$2:$A$200,0))),"")</f>
        <v/>
      </c>
      <c r="P978" s="14">
        <f>IF(N978="","",IF(OR(M978="",O978=""),N978,(M978+4*N978+O978)/6))</f>
        <v/>
      </c>
      <c r="Q978" s="10">
        <f>IFERROR(IF(INDEX('Test catalog'!$K$2:$K$200,MATCH($AB978,'Test catalog'!$A$2:$A$200,0))="","",INDEX('Test catalog'!$K$2:$K$200,MATCH($AB978,'Test catalog'!$A$2:$A$200,0))),"")</f>
        <v/>
      </c>
      <c r="R978" s="5" t="n"/>
      <c r="S978" s="10">
        <f>IFERROR(IF(INDEX('Test catalog'!$L$2:$L$200,MATCH($AB978,'Test catalog'!$A$2:$A$200,0))="","",INDEX('Test catalog'!$L$2:$L$200,MATCH($AB978,'Test catalog'!$A$2:$A$200,0))),"")</f>
        <v/>
      </c>
      <c r="T978" s="10">
        <f>IFERROR(IF(INDEX('Test catalog'!$M$2:$M$200,MATCH($AB978,'Test catalog'!$A$2:$A$200,0))="","",INDEX('Test catalog'!$M$2:$M$200,MATCH($AB978,'Test catalog'!$A$2:$A$200,0))),"")</f>
        <v/>
      </c>
      <c r="U978" s="10">
        <f>IFERROR(IF(INDEX('Test catalog'!$N$2:$N$200,MATCH($AB978,'Test catalog'!$A$2:$A$200,0))="","",INDEX('Test catalog'!$N$2:$N$200,MATCH($AB978,'Test catalog'!$A$2:$A$200,0))),"")</f>
        <v/>
      </c>
      <c r="V978" s="15" t="n"/>
      <c r="W978" s="5" t="inlineStr">
        <is>
          <t>N</t>
        </is>
      </c>
      <c r="X978" s="5" t="n"/>
      <c r="Y978" s="5" t="n"/>
      <c r="Z978" s="5" t="n"/>
      <c r="AA978" s="10">
        <f>IFERROR(IF(INDEX('Test catalog'!$O$2:$O$200,MATCH($AB978,'Test catalog'!$A$2:$A$200,0))="","",INDEX('Test catalog'!$O$2:$O$200,MATCH($AB978,'Test catalog'!$A$2:$A$200,0))),"")</f>
        <v/>
      </c>
      <c r="AB978" s="10" t="inlineStr">
        <is>
          <t>ID_CHEM</t>
        </is>
      </c>
      <c r="AC978" s="10" t="inlineStr">
        <is>
          <t>Hypromellose · Identification</t>
        </is>
      </c>
      <c r="AD978" s="10" t="n"/>
      <c r="AE978" s="10" t="n"/>
    </row>
    <row r="979">
      <c r="A979" s="10" t="inlineStr">
        <is>
          <t>HPMC K15M (15,000 cps CR)</t>
        </is>
      </c>
      <c r="B979" s="10" t="inlineStr">
        <is>
          <t>RM</t>
        </is>
      </c>
      <c r="C979" s="10" t="inlineStr">
        <is>
          <t>Release / Matrix Polymer</t>
        </is>
      </c>
      <c r="D979" s="10" t="inlineStr">
        <is>
          <t>ID D - chemical reaction</t>
        </is>
      </c>
      <c r="E979" s="10">
        <f>IF(A979="","",A979&amp;"|"&amp;D979)</f>
        <v/>
      </c>
      <c r="F979" s="5" t="inlineStr">
        <is>
          <t>Y</t>
        </is>
      </c>
      <c r="G979" s="5" t="inlineStr">
        <is>
          <t>Other / bench</t>
        </is>
      </c>
      <c r="H979" s="5" t="inlineStr">
        <is>
          <t>Low</t>
        </is>
      </c>
      <c r="I979" s="5" t="n">
        <v>1</v>
      </c>
      <c r="J979" s="5" t="n"/>
      <c r="K979" s="10">
        <f>IFERROR(IF(INDEX('Test catalog'!$F$2:$F$200,MATCH($AB979,'Test catalog'!$A$2:$A$200,0))="","",INDEX('Test catalog'!$F$2:$F$200,MATCH($AB979,'Test catalog'!$A$2:$A$200,0))),"")</f>
        <v/>
      </c>
      <c r="L979" s="10">
        <f>IFERROR(IF(INDEX('Test catalog'!$G$2:$G$200,MATCH($AB979,'Test catalog'!$A$2:$A$200,0))="","",INDEX('Test catalog'!$G$2:$G$200,MATCH($AB979,'Test catalog'!$A$2:$A$200,0))),"")</f>
        <v/>
      </c>
      <c r="M979" s="10">
        <f>IFERROR(IF(INDEX('Test catalog'!$H$2:$H$200,MATCH($AB979,'Test catalog'!$A$2:$A$200,0))="","",INDEX('Test catalog'!$H$2:$H$200,MATCH($AB979,'Test catalog'!$A$2:$A$200,0))),"")</f>
        <v/>
      </c>
      <c r="N979" s="10">
        <f>IFERROR(IF(INDEX('Test catalog'!$I$2:$I$200,MATCH($AB979,'Test catalog'!$A$2:$A$200,0))="","",INDEX('Test catalog'!$I$2:$I$200,MATCH($AB979,'Test catalog'!$A$2:$A$200,0))),"")</f>
        <v/>
      </c>
      <c r="O979" s="10">
        <f>IFERROR(IF(INDEX('Test catalog'!$J$2:$J$200,MATCH($AB979,'Test catalog'!$A$2:$A$200,0))="","",INDEX('Test catalog'!$J$2:$J$200,MATCH($AB979,'Test catalog'!$A$2:$A$200,0))),"")</f>
        <v/>
      </c>
      <c r="P979" s="14">
        <f>IF(N979="","",IF(OR(M979="",O979=""),N979,(M979+4*N979+O979)/6))</f>
        <v/>
      </c>
      <c r="Q979" s="10">
        <f>IFERROR(IF(INDEX('Test catalog'!$K$2:$K$200,MATCH($AB979,'Test catalog'!$A$2:$A$200,0))="","",INDEX('Test catalog'!$K$2:$K$200,MATCH($AB979,'Test catalog'!$A$2:$A$200,0))),"")</f>
        <v/>
      </c>
      <c r="R979" s="5" t="n"/>
      <c r="S979" s="10">
        <f>IFERROR(IF(INDEX('Test catalog'!$L$2:$L$200,MATCH($AB979,'Test catalog'!$A$2:$A$200,0))="","",INDEX('Test catalog'!$L$2:$L$200,MATCH($AB979,'Test catalog'!$A$2:$A$200,0))),"")</f>
        <v/>
      </c>
      <c r="T979" s="10">
        <f>IFERROR(IF(INDEX('Test catalog'!$M$2:$M$200,MATCH($AB979,'Test catalog'!$A$2:$A$200,0))="","",INDEX('Test catalog'!$M$2:$M$200,MATCH($AB979,'Test catalog'!$A$2:$A$200,0))),"")</f>
        <v/>
      </c>
      <c r="U979" s="10">
        <f>IFERROR(IF(INDEX('Test catalog'!$N$2:$N$200,MATCH($AB979,'Test catalog'!$A$2:$A$200,0))="","",INDEX('Test catalog'!$N$2:$N$200,MATCH($AB979,'Test catalog'!$A$2:$A$200,0))),"")</f>
        <v/>
      </c>
      <c r="V979" s="15" t="n"/>
      <c r="W979" s="5" t="inlineStr">
        <is>
          <t>N</t>
        </is>
      </c>
      <c r="X979" s="5" t="n"/>
      <c r="Y979" s="5" t="n"/>
      <c r="Z979" s="5" t="n"/>
      <c r="AA979" s="10">
        <f>IFERROR(IF(INDEX('Test catalog'!$O$2:$O$200,MATCH($AB979,'Test catalog'!$A$2:$A$200,0))="","",INDEX('Test catalog'!$O$2:$O$200,MATCH($AB979,'Test catalog'!$A$2:$A$200,0))),"")</f>
        <v/>
      </c>
      <c r="AB979" s="10" t="inlineStr">
        <is>
          <t>ID_CHEM</t>
        </is>
      </c>
      <c r="AC979" s="10" t="inlineStr">
        <is>
          <t>Hypromellose · Identification</t>
        </is>
      </c>
      <c r="AD979" s="10" t="n"/>
      <c r="AE979" s="10" t="n"/>
    </row>
    <row r="980">
      <c r="A980" s="10" t="inlineStr">
        <is>
          <t>HPMC K15M (15,000 cps CR)</t>
        </is>
      </c>
      <c r="B980" s="10" t="inlineStr">
        <is>
          <t>RM</t>
        </is>
      </c>
      <c r="C980" s="10" t="inlineStr">
        <is>
          <t>Release / Matrix Polymer</t>
        </is>
      </c>
      <c r="D980" s="10" t="inlineStr">
        <is>
          <t>ID E - chemical reaction</t>
        </is>
      </c>
      <c r="E980" s="10">
        <f>IF(A980="","",A980&amp;"|"&amp;D980)</f>
        <v/>
      </c>
      <c r="F980" s="5" t="inlineStr">
        <is>
          <t>Y</t>
        </is>
      </c>
      <c r="G980" s="5" t="inlineStr">
        <is>
          <t>Other / bench</t>
        </is>
      </c>
      <c r="H980" s="5" t="inlineStr">
        <is>
          <t>Low</t>
        </is>
      </c>
      <c r="I980" s="5" t="n">
        <v>1</v>
      </c>
      <c r="J980" s="5" t="n"/>
      <c r="K980" s="10">
        <f>IFERROR(IF(INDEX('Test catalog'!$F$2:$F$200,MATCH($AB980,'Test catalog'!$A$2:$A$200,0))="","",INDEX('Test catalog'!$F$2:$F$200,MATCH($AB980,'Test catalog'!$A$2:$A$200,0))),"")</f>
        <v/>
      </c>
      <c r="L980" s="10">
        <f>IFERROR(IF(INDEX('Test catalog'!$G$2:$G$200,MATCH($AB980,'Test catalog'!$A$2:$A$200,0))="","",INDEX('Test catalog'!$G$2:$G$200,MATCH($AB980,'Test catalog'!$A$2:$A$200,0))),"")</f>
        <v/>
      </c>
      <c r="M980" s="10">
        <f>IFERROR(IF(INDEX('Test catalog'!$H$2:$H$200,MATCH($AB980,'Test catalog'!$A$2:$A$200,0))="","",INDEX('Test catalog'!$H$2:$H$200,MATCH($AB980,'Test catalog'!$A$2:$A$200,0))),"")</f>
        <v/>
      </c>
      <c r="N980" s="10">
        <f>IFERROR(IF(INDEX('Test catalog'!$I$2:$I$200,MATCH($AB980,'Test catalog'!$A$2:$A$200,0))="","",INDEX('Test catalog'!$I$2:$I$200,MATCH($AB980,'Test catalog'!$A$2:$A$200,0))),"")</f>
        <v/>
      </c>
      <c r="O980" s="10">
        <f>IFERROR(IF(INDEX('Test catalog'!$J$2:$J$200,MATCH($AB980,'Test catalog'!$A$2:$A$200,0))="","",INDEX('Test catalog'!$J$2:$J$200,MATCH($AB980,'Test catalog'!$A$2:$A$200,0))),"")</f>
        <v/>
      </c>
      <c r="P980" s="14">
        <f>IF(N980="","",IF(OR(M980="",O980=""),N980,(M980+4*N980+O980)/6))</f>
        <v/>
      </c>
      <c r="Q980" s="10">
        <f>IFERROR(IF(INDEX('Test catalog'!$K$2:$K$200,MATCH($AB980,'Test catalog'!$A$2:$A$200,0))="","",INDEX('Test catalog'!$K$2:$K$200,MATCH($AB980,'Test catalog'!$A$2:$A$200,0))),"")</f>
        <v/>
      </c>
      <c r="R980" s="5" t="n"/>
      <c r="S980" s="10">
        <f>IFERROR(IF(INDEX('Test catalog'!$L$2:$L$200,MATCH($AB980,'Test catalog'!$A$2:$A$200,0))="","",INDEX('Test catalog'!$L$2:$L$200,MATCH($AB980,'Test catalog'!$A$2:$A$200,0))),"")</f>
        <v/>
      </c>
      <c r="T980" s="10">
        <f>IFERROR(IF(INDEX('Test catalog'!$M$2:$M$200,MATCH($AB980,'Test catalog'!$A$2:$A$200,0))="","",INDEX('Test catalog'!$M$2:$M$200,MATCH($AB980,'Test catalog'!$A$2:$A$200,0))),"")</f>
        <v/>
      </c>
      <c r="U980" s="10">
        <f>IFERROR(IF(INDEX('Test catalog'!$N$2:$N$200,MATCH($AB980,'Test catalog'!$A$2:$A$200,0))="","",INDEX('Test catalog'!$N$2:$N$200,MATCH($AB980,'Test catalog'!$A$2:$A$200,0))),"")</f>
        <v/>
      </c>
      <c r="V980" s="15" t="n"/>
      <c r="W980" s="5" t="inlineStr">
        <is>
          <t>N</t>
        </is>
      </c>
      <c r="X980" s="5" t="n"/>
      <c r="Y980" s="5" t="n"/>
      <c r="Z980" s="5" t="n"/>
      <c r="AA980" s="10">
        <f>IFERROR(IF(INDEX('Test catalog'!$O$2:$O$200,MATCH($AB980,'Test catalog'!$A$2:$A$200,0))="","",INDEX('Test catalog'!$O$2:$O$200,MATCH($AB980,'Test catalog'!$A$2:$A$200,0))),"")</f>
        <v/>
      </c>
      <c r="AB980" s="10" t="inlineStr">
        <is>
          <t>ID_CHEM</t>
        </is>
      </c>
      <c r="AC980" s="10" t="inlineStr">
        <is>
          <t>Hypromellose · Identification</t>
        </is>
      </c>
      <c r="AD980" s="10" t="n"/>
      <c r="AE980" s="10" t="n"/>
    </row>
    <row r="981">
      <c r="A981" s="10" t="inlineStr">
        <is>
          <t>HPMC K15M (15,000 cps CR)</t>
        </is>
      </c>
      <c r="B981" s="10" t="inlineStr">
        <is>
          <t>RM</t>
        </is>
      </c>
      <c r="C981" s="10" t="inlineStr">
        <is>
          <t>Release / Matrix Polymer</t>
        </is>
      </c>
      <c r="D981" s="10" t="inlineStr">
        <is>
          <t>Assay (GC)</t>
        </is>
      </c>
      <c r="E981" s="10">
        <f>IF(A981="","",A981&amp;"|"&amp;D981)</f>
        <v/>
      </c>
      <c r="F981" s="5" t="inlineStr">
        <is>
          <t>Y</t>
        </is>
      </c>
      <c r="G981" s="5" t="inlineStr">
        <is>
          <t>GC</t>
        </is>
      </c>
      <c r="H981" s="5" t="inlineStr">
        <is>
          <t>Medium</t>
        </is>
      </c>
      <c r="I981" s="5" t="n">
        <v>1</v>
      </c>
      <c r="J981" s="5" t="n"/>
      <c r="K981" s="5" t="n"/>
      <c r="L981" s="5" t="n"/>
      <c r="M981" s="5" t="n"/>
      <c r="N981" s="5" t="n"/>
      <c r="O981" s="5" t="n"/>
      <c r="P981" s="14">
        <f>IF(N981="","",IF(OR(M981="",O981=""),N981,(M981+4*N981+O981)/6))</f>
        <v/>
      </c>
      <c r="Q981" s="5" t="n"/>
      <c r="R981" s="5" t="n"/>
      <c r="S981" s="5" t="n"/>
      <c r="T981" s="5" t="n"/>
      <c r="U981" s="5" t="n"/>
      <c r="V981" s="15" t="n"/>
      <c r="W981" s="5" t="inlineStr">
        <is>
          <t>N</t>
        </is>
      </c>
      <c r="X981" s="5" t="n"/>
      <c r="Y981" s="5" t="n"/>
      <c r="Z981" s="5" t="inlineStr">
        <is>
          <t>Alternative assays - keep only the one you run</t>
        </is>
      </c>
      <c r="AA981" s="5" t="n"/>
      <c r="AB981" s="10" t="n"/>
      <c r="AC981" s="10" t="inlineStr">
        <is>
          <t>Hypromellose · Assay</t>
        </is>
      </c>
      <c r="AD981" s="10" t="n"/>
      <c r="AE981" s="10" t="n"/>
    </row>
    <row r="982">
      <c r="A982" s="10" t="inlineStr">
        <is>
          <t>HPMC K15M (15,000 cps CR)</t>
        </is>
      </c>
      <c r="B982" s="10" t="inlineStr">
        <is>
          <t>RM</t>
        </is>
      </c>
      <c r="C982" s="10" t="inlineStr">
        <is>
          <t>Release / Matrix Polymer</t>
        </is>
      </c>
      <c r="D982" s="10" t="inlineStr">
        <is>
          <t>Residue on Ignition</t>
        </is>
      </c>
      <c r="E982" s="10">
        <f>IF(A982="","",A982&amp;"|"&amp;D982)</f>
        <v/>
      </c>
      <c r="F982" s="5" t="inlineStr">
        <is>
          <t>Y</t>
        </is>
      </c>
      <c r="G982" s="5" t="inlineStr">
        <is>
          <t>Other / bench</t>
        </is>
      </c>
      <c r="H982" s="5" t="inlineStr">
        <is>
          <t>Low</t>
        </is>
      </c>
      <c r="I982" s="5" t="n">
        <v>1</v>
      </c>
      <c r="J982" s="5" t="n"/>
      <c r="K982" s="10">
        <f>IFERROR(IF(INDEX('Test catalog'!$F$2:$F$200,MATCH($AB982,'Test catalog'!$A$2:$A$200,0))="","",INDEX('Test catalog'!$F$2:$F$200,MATCH($AB982,'Test catalog'!$A$2:$A$200,0))),"")</f>
        <v/>
      </c>
      <c r="L982" s="10">
        <f>IFERROR(IF(INDEX('Test catalog'!$G$2:$G$200,MATCH($AB982,'Test catalog'!$A$2:$A$200,0))="","",INDEX('Test catalog'!$G$2:$G$200,MATCH($AB982,'Test catalog'!$A$2:$A$200,0))),"")</f>
        <v/>
      </c>
      <c r="M982" s="10">
        <f>IFERROR(IF(INDEX('Test catalog'!$H$2:$H$200,MATCH($AB982,'Test catalog'!$A$2:$A$200,0))="","",INDEX('Test catalog'!$H$2:$H$200,MATCH($AB982,'Test catalog'!$A$2:$A$200,0))),"")</f>
        <v/>
      </c>
      <c r="N982" s="10">
        <f>IFERROR(IF(INDEX('Test catalog'!$I$2:$I$200,MATCH($AB982,'Test catalog'!$A$2:$A$200,0))="","",INDEX('Test catalog'!$I$2:$I$200,MATCH($AB982,'Test catalog'!$A$2:$A$200,0))),"")</f>
        <v/>
      </c>
      <c r="O982" s="10">
        <f>IFERROR(IF(INDEX('Test catalog'!$J$2:$J$200,MATCH($AB982,'Test catalog'!$A$2:$A$200,0))="","",INDEX('Test catalog'!$J$2:$J$200,MATCH($AB982,'Test catalog'!$A$2:$A$200,0))),"")</f>
        <v/>
      </c>
      <c r="P982" s="14">
        <f>IF(N982="","",IF(OR(M982="",O982=""),N982,(M982+4*N982+O982)/6))</f>
        <v/>
      </c>
      <c r="Q982" s="10">
        <f>IFERROR(IF(INDEX('Test catalog'!$K$2:$K$200,MATCH($AB982,'Test catalog'!$A$2:$A$200,0))="","",INDEX('Test catalog'!$K$2:$K$200,MATCH($AB982,'Test catalog'!$A$2:$A$200,0))),"")</f>
        <v/>
      </c>
      <c r="R982" s="5" t="n"/>
      <c r="S982" s="10">
        <f>IFERROR(IF(INDEX('Test catalog'!$L$2:$L$200,MATCH($AB982,'Test catalog'!$A$2:$A$200,0))="","",INDEX('Test catalog'!$L$2:$L$200,MATCH($AB982,'Test catalog'!$A$2:$A$200,0))),"")</f>
        <v/>
      </c>
      <c r="T982" s="10">
        <f>IFERROR(IF(INDEX('Test catalog'!$M$2:$M$200,MATCH($AB982,'Test catalog'!$A$2:$A$200,0))="","",INDEX('Test catalog'!$M$2:$M$200,MATCH($AB982,'Test catalog'!$A$2:$A$200,0))),"")</f>
        <v/>
      </c>
      <c r="U982" s="10">
        <f>IFERROR(IF(INDEX('Test catalog'!$N$2:$N$200,MATCH($AB982,'Test catalog'!$A$2:$A$200,0))="","",INDEX('Test catalog'!$N$2:$N$200,MATCH($AB982,'Test catalog'!$A$2:$A$200,0))),"")</f>
        <v/>
      </c>
      <c r="V982" s="15" t="n"/>
      <c r="W982" s="5" t="inlineStr">
        <is>
          <t>N</t>
        </is>
      </c>
      <c r="X982" s="5" t="n"/>
      <c r="Y982" s="5" t="n"/>
      <c r="Z982" s="5" t="inlineStr">
        <is>
          <t>Alternative assays - keep only the one you run</t>
        </is>
      </c>
      <c r="AA982" s="10">
        <f>IFERROR(IF(INDEX('Test catalog'!$O$2:$O$200,MATCH($AB982,'Test catalog'!$A$2:$A$200,0))="","",INDEX('Test catalog'!$O$2:$O$200,MATCH($AB982,'Test catalog'!$A$2:$A$200,0))),"")</f>
        <v/>
      </c>
      <c r="AB982" s="10" t="inlineStr">
        <is>
          <t>ROI</t>
        </is>
      </c>
      <c r="AC982" s="10" t="inlineStr">
        <is>
          <t>Hypromellose · Assay &lt;281&gt;</t>
        </is>
      </c>
      <c r="AD982" s="10" t="n"/>
      <c r="AE982" s="10" t="n"/>
    </row>
    <row r="983">
      <c r="A983" s="10" t="inlineStr">
        <is>
          <t>HPMC K15M (15,000 cps CR)</t>
        </is>
      </c>
      <c r="B983" s="10" t="inlineStr">
        <is>
          <t>RM</t>
        </is>
      </c>
      <c r="C983" s="10" t="inlineStr">
        <is>
          <t>Release / Matrix Polymer</t>
        </is>
      </c>
      <c r="D983" s="10" t="inlineStr">
        <is>
          <t>pH</t>
        </is>
      </c>
      <c r="E983" s="10">
        <f>IF(A983="","",A983&amp;"|"&amp;D983)</f>
        <v/>
      </c>
      <c r="F983" s="5" t="inlineStr">
        <is>
          <t>Y</t>
        </is>
      </c>
      <c r="G983" s="5" t="inlineStr">
        <is>
          <t>Other / bench</t>
        </is>
      </c>
      <c r="H983" s="5" t="inlineStr">
        <is>
          <t>Low</t>
        </is>
      </c>
      <c r="I983" s="5" t="n">
        <v>1</v>
      </c>
      <c r="J983" s="5" t="n"/>
      <c r="K983" s="10">
        <f>IFERROR(IF(INDEX('Test catalog'!$F$2:$F$200,MATCH($AB983,'Test catalog'!$A$2:$A$200,0))="","",INDEX('Test catalog'!$F$2:$F$200,MATCH($AB983,'Test catalog'!$A$2:$A$200,0))),"")</f>
        <v/>
      </c>
      <c r="L983" s="10">
        <f>IFERROR(IF(INDEX('Test catalog'!$G$2:$G$200,MATCH($AB983,'Test catalog'!$A$2:$A$200,0))="","",INDEX('Test catalog'!$G$2:$G$200,MATCH($AB983,'Test catalog'!$A$2:$A$200,0))),"")</f>
        <v/>
      </c>
      <c r="M983" s="10">
        <f>IFERROR(IF(INDEX('Test catalog'!$H$2:$H$200,MATCH($AB983,'Test catalog'!$A$2:$A$200,0))="","",INDEX('Test catalog'!$H$2:$H$200,MATCH($AB983,'Test catalog'!$A$2:$A$200,0))),"")</f>
        <v/>
      </c>
      <c r="N983" s="10">
        <f>IFERROR(IF(INDEX('Test catalog'!$I$2:$I$200,MATCH($AB983,'Test catalog'!$A$2:$A$200,0))="","",INDEX('Test catalog'!$I$2:$I$200,MATCH($AB983,'Test catalog'!$A$2:$A$200,0))),"")</f>
        <v/>
      </c>
      <c r="O983" s="10">
        <f>IFERROR(IF(INDEX('Test catalog'!$J$2:$J$200,MATCH($AB983,'Test catalog'!$A$2:$A$200,0))="","",INDEX('Test catalog'!$J$2:$J$200,MATCH($AB983,'Test catalog'!$A$2:$A$200,0))),"")</f>
        <v/>
      </c>
      <c r="P983" s="14">
        <f>IF(N983="","",IF(OR(M983="",O983=""),N983,(M983+4*N983+O983)/6))</f>
        <v/>
      </c>
      <c r="Q983" s="10">
        <f>IFERROR(IF(INDEX('Test catalog'!$K$2:$K$200,MATCH($AB983,'Test catalog'!$A$2:$A$200,0))="","",INDEX('Test catalog'!$K$2:$K$200,MATCH($AB983,'Test catalog'!$A$2:$A$200,0))),"")</f>
        <v/>
      </c>
      <c r="R983" s="5" t="n"/>
      <c r="S983" s="10">
        <f>IFERROR(IF(INDEX('Test catalog'!$L$2:$L$200,MATCH($AB983,'Test catalog'!$A$2:$A$200,0))="","",INDEX('Test catalog'!$L$2:$L$200,MATCH($AB983,'Test catalog'!$A$2:$A$200,0))),"")</f>
        <v/>
      </c>
      <c r="T983" s="10">
        <f>IFERROR(IF(INDEX('Test catalog'!$M$2:$M$200,MATCH($AB983,'Test catalog'!$A$2:$A$200,0))="","",INDEX('Test catalog'!$M$2:$M$200,MATCH($AB983,'Test catalog'!$A$2:$A$200,0))),"")</f>
        <v/>
      </c>
      <c r="U983" s="10">
        <f>IFERROR(IF(INDEX('Test catalog'!$N$2:$N$200,MATCH($AB983,'Test catalog'!$A$2:$A$200,0))="","",INDEX('Test catalog'!$N$2:$N$200,MATCH($AB983,'Test catalog'!$A$2:$A$200,0))),"")</f>
        <v/>
      </c>
      <c r="V983" s="15" t="n"/>
      <c r="W983" s="5" t="inlineStr">
        <is>
          <t>N</t>
        </is>
      </c>
      <c r="X983" s="5" t="n"/>
      <c r="Y983" s="5" t="n"/>
      <c r="Z983" s="5" t="n"/>
      <c r="AA983" s="10">
        <f>IFERROR(IF(INDEX('Test catalog'!$O$2:$O$200,MATCH($AB983,'Test catalog'!$A$2:$A$200,0))="","",INDEX('Test catalog'!$O$2:$O$200,MATCH($AB983,'Test catalog'!$A$2:$A$200,0))),"")</f>
        <v/>
      </c>
      <c r="AB983" s="10" t="inlineStr">
        <is>
          <t>PH</t>
        </is>
      </c>
      <c r="AC983" s="10" t="inlineStr">
        <is>
          <t>Hypromellose · Specific Tests &lt;791&gt;</t>
        </is>
      </c>
      <c r="AD983" s="10" t="n"/>
      <c r="AE983" s="10" t="n"/>
    </row>
    <row r="984">
      <c r="A984" s="10" t="inlineStr">
        <is>
          <t>HPMC K15M (15,000 cps CR)</t>
        </is>
      </c>
      <c r="B984" s="10" t="inlineStr">
        <is>
          <t>RM</t>
        </is>
      </c>
      <c r="C984" s="10" t="inlineStr">
        <is>
          <t>Release / Matrix Polymer</t>
        </is>
      </c>
      <c r="D984" s="10" t="inlineStr">
        <is>
          <t>Loss on Drying</t>
        </is>
      </c>
      <c r="E984" s="10">
        <f>IF(A984="","",A984&amp;"|"&amp;D984)</f>
        <v/>
      </c>
      <c r="F984" s="5" t="inlineStr">
        <is>
          <t>Y</t>
        </is>
      </c>
      <c r="G984" s="5" t="inlineStr">
        <is>
          <t>Other / bench</t>
        </is>
      </c>
      <c r="H984" s="5" t="inlineStr">
        <is>
          <t>Low</t>
        </is>
      </c>
      <c r="I984" s="5" t="n">
        <v>1</v>
      </c>
      <c r="J984" s="5" t="n"/>
      <c r="K984" s="10">
        <f>IFERROR(IF(INDEX('Test catalog'!$F$2:$F$200,MATCH($AB984,'Test catalog'!$A$2:$A$200,0))="","",INDEX('Test catalog'!$F$2:$F$200,MATCH($AB984,'Test catalog'!$A$2:$A$200,0))),"")</f>
        <v/>
      </c>
      <c r="L984" s="10">
        <f>IFERROR(IF(INDEX('Test catalog'!$G$2:$G$200,MATCH($AB984,'Test catalog'!$A$2:$A$200,0))="","",INDEX('Test catalog'!$G$2:$G$200,MATCH($AB984,'Test catalog'!$A$2:$A$200,0))),"")</f>
        <v/>
      </c>
      <c r="M984" s="10">
        <f>IFERROR(IF(INDEX('Test catalog'!$H$2:$H$200,MATCH($AB984,'Test catalog'!$A$2:$A$200,0))="","",INDEX('Test catalog'!$H$2:$H$200,MATCH($AB984,'Test catalog'!$A$2:$A$200,0))),"")</f>
        <v/>
      </c>
      <c r="N984" s="10">
        <f>IFERROR(IF(INDEX('Test catalog'!$I$2:$I$200,MATCH($AB984,'Test catalog'!$A$2:$A$200,0))="","",INDEX('Test catalog'!$I$2:$I$200,MATCH($AB984,'Test catalog'!$A$2:$A$200,0))),"")</f>
        <v/>
      </c>
      <c r="O984" s="10">
        <f>IFERROR(IF(INDEX('Test catalog'!$J$2:$J$200,MATCH($AB984,'Test catalog'!$A$2:$A$200,0))="","",INDEX('Test catalog'!$J$2:$J$200,MATCH($AB984,'Test catalog'!$A$2:$A$200,0))),"")</f>
        <v/>
      </c>
      <c r="P984" s="14">
        <f>IF(N984="","",IF(OR(M984="",O984=""),N984,(M984+4*N984+O984)/6))</f>
        <v/>
      </c>
      <c r="Q984" s="10">
        <f>IFERROR(IF(INDEX('Test catalog'!$K$2:$K$200,MATCH($AB984,'Test catalog'!$A$2:$A$200,0))="","",INDEX('Test catalog'!$K$2:$K$200,MATCH($AB984,'Test catalog'!$A$2:$A$200,0))),"")</f>
        <v/>
      </c>
      <c r="R984" s="5" t="n"/>
      <c r="S984" s="10">
        <f>IFERROR(IF(INDEX('Test catalog'!$L$2:$L$200,MATCH($AB984,'Test catalog'!$A$2:$A$200,0))="","",INDEX('Test catalog'!$L$2:$L$200,MATCH($AB984,'Test catalog'!$A$2:$A$200,0))),"")</f>
        <v/>
      </c>
      <c r="T984" s="10">
        <f>IFERROR(IF(INDEX('Test catalog'!$M$2:$M$200,MATCH($AB984,'Test catalog'!$A$2:$A$200,0))="","",INDEX('Test catalog'!$M$2:$M$200,MATCH($AB984,'Test catalog'!$A$2:$A$200,0))),"")</f>
        <v/>
      </c>
      <c r="U984" s="10">
        <f>IFERROR(IF(INDEX('Test catalog'!$N$2:$N$200,MATCH($AB984,'Test catalog'!$A$2:$A$200,0))="","",INDEX('Test catalog'!$N$2:$N$200,MATCH($AB984,'Test catalog'!$A$2:$A$200,0))),"")</f>
        <v/>
      </c>
      <c r="V984" s="15" t="n"/>
      <c r="W984" s="5" t="inlineStr">
        <is>
          <t>N</t>
        </is>
      </c>
      <c r="X984" s="5" t="n"/>
      <c r="Y984" s="5" t="n"/>
      <c r="Z984" s="5" t="n"/>
      <c r="AA984" s="10">
        <f>IFERROR(IF(INDEX('Test catalog'!$O$2:$O$200,MATCH($AB984,'Test catalog'!$A$2:$A$200,0))="","",INDEX('Test catalog'!$O$2:$O$200,MATCH($AB984,'Test catalog'!$A$2:$A$200,0))),"")</f>
        <v/>
      </c>
      <c r="AB984" s="10" t="inlineStr">
        <is>
          <t>LOD</t>
        </is>
      </c>
      <c r="AC984" s="10" t="inlineStr">
        <is>
          <t>Hypromellose · Impurities &lt;731&gt;</t>
        </is>
      </c>
      <c r="AD984" s="10" t="n"/>
      <c r="AE984" s="10" t="n"/>
    </row>
    <row r="985">
      <c r="A985" s="10" t="inlineStr">
        <is>
          <t>HPMC K15M (15,000 cps CR)</t>
        </is>
      </c>
      <c r="B985" s="10" t="inlineStr">
        <is>
          <t>RM</t>
        </is>
      </c>
      <c r="C985" s="10" t="inlineStr">
        <is>
          <t>Release / Matrix Polymer</t>
        </is>
      </c>
      <c r="D985" s="10" t="inlineStr">
        <is>
          <t>Viscosity—Capillary Methods</t>
        </is>
      </c>
      <c r="E985" s="10">
        <f>IF(A985="","",A985&amp;"|"&amp;D985)</f>
        <v/>
      </c>
      <c r="F985" s="5" t="inlineStr">
        <is>
          <t>Y</t>
        </is>
      </c>
      <c r="G985" s="5" t="inlineStr">
        <is>
          <t>Other / bench</t>
        </is>
      </c>
      <c r="H985" s="5" t="inlineStr">
        <is>
          <t>Low</t>
        </is>
      </c>
      <c r="I985" s="5" t="n">
        <v>1</v>
      </c>
      <c r="J985" s="5" t="n"/>
      <c r="K985" s="10">
        <f>IFERROR(IF(INDEX('Test catalog'!$F$2:$F$200,MATCH($AB985,'Test catalog'!$A$2:$A$200,0))="","",INDEX('Test catalog'!$F$2:$F$200,MATCH($AB985,'Test catalog'!$A$2:$A$200,0))),"")</f>
        <v/>
      </c>
      <c r="L985" s="10">
        <f>IFERROR(IF(INDEX('Test catalog'!$G$2:$G$200,MATCH($AB985,'Test catalog'!$A$2:$A$200,0))="","",INDEX('Test catalog'!$G$2:$G$200,MATCH($AB985,'Test catalog'!$A$2:$A$200,0))),"")</f>
        <v/>
      </c>
      <c r="M985" s="10">
        <f>IFERROR(IF(INDEX('Test catalog'!$H$2:$H$200,MATCH($AB985,'Test catalog'!$A$2:$A$200,0))="","",INDEX('Test catalog'!$H$2:$H$200,MATCH($AB985,'Test catalog'!$A$2:$A$200,0))),"")</f>
        <v/>
      </c>
      <c r="N985" s="10">
        <f>IFERROR(IF(INDEX('Test catalog'!$I$2:$I$200,MATCH($AB985,'Test catalog'!$A$2:$A$200,0))="","",INDEX('Test catalog'!$I$2:$I$200,MATCH($AB985,'Test catalog'!$A$2:$A$200,0))),"")</f>
        <v/>
      </c>
      <c r="O985" s="10">
        <f>IFERROR(IF(INDEX('Test catalog'!$J$2:$J$200,MATCH($AB985,'Test catalog'!$A$2:$A$200,0))="","",INDEX('Test catalog'!$J$2:$J$200,MATCH($AB985,'Test catalog'!$A$2:$A$200,0))),"")</f>
        <v/>
      </c>
      <c r="P985" s="14">
        <f>IF(N985="","",IF(OR(M985="",O985=""),N985,(M985+4*N985+O985)/6))</f>
        <v/>
      </c>
      <c r="Q985" s="10">
        <f>IFERROR(IF(INDEX('Test catalog'!$K$2:$K$200,MATCH($AB985,'Test catalog'!$A$2:$A$200,0))="","",INDEX('Test catalog'!$K$2:$K$200,MATCH($AB985,'Test catalog'!$A$2:$A$200,0))),"")</f>
        <v/>
      </c>
      <c r="R985" s="5" t="n"/>
      <c r="S985" s="10">
        <f>IFERROR(IF(INDEX('Test catalog'!$L$2:$L$200,MATCH($AB985,'Test catalog'!$A$2:$A$200,0))="","",INDEX('Test catalog'!$L$2:$L$200,MATCH($AB985,'Test catalog'!$A$2:$A$200,0))),"")</f>
        <v/>
      </c>
      <c r="T985" s="10">
        <f>IFERROR(IF(INDEX('Test catalog'!$M$2:$M$200,MATCH($AB985,'Test catalog'!$A$2:$A$200,0))="","",INDEX('Test catalog'!$M$2:$M$200,MATCH($AB985,'Test catalog'!$A$2:$A$200,0))),"")</f>
        <v/>
      </c>
      <c r="U985" s="10">
        <f>IFERROR(IF(INDEX('Test catalog'!$N$2:$N$200,MATCH($AB985,'Test catalog'!$A$2:$A$200,0))="","",INDEX('Test catalog'!$N$2:$N$200,MATCH($AB985,'Test catalog'!$A$2:$A$200,0))),"")</f>
        <v/>
      </c>
      <c r="V985" s="15" t="n"/>
      <c r="W985" s="5" t="inlineStr">
        <is>
          <t>N</t>
        </is>
      </c>
      <c r="X985" s="5" t="n"/>
      <c r="Y985" s="5" t="n"/>
      <c r="Z985" s="5" t="n"/>
      <c r="AA985" s="10">
        <f>IFERROR(IF(INDEX('Test catalog'!$O$2:$O$200,MATCH($AB985,'Test catalog'!$A$2:$A$200,0))="","",INDEX('Test catalog'!$O$2:$O$200,MATCH($AB985,'Test catalog'!$A$2:$A$200,0))),"")</f>
        <v/>
      </c>
      <c r="AB985" s="10" t="inlineStr">
        <is>
          <t>VISC</t>
        </is>
      </c>
      <c r="AC985" s="10" t="inlineStr">
        <is>
          <t>Hypromellose · Impurities &lt;911,912&gt;</t>
        </is>
      </c>
      <c r="AD985" s="10" t="n"/>
      <c r="AE985" s="10" t="n"/>
    </row>
    <row r="986">
      <c r="A986" s="10" t="inlineStr">
        <is>
          <t>HPMC K4M</t>
        </is>
      </c>
      <c r="B986" s="10" t="inlineStr">
        <is>
          <t>RM</t>
        </is>
      </c>
      <c r="C986" s="10" t="inlineStr">
        <is>
          <t>Release / Matrix Polymer</t>
        </is>
      </c>
      <c r="D986" s="10" t="inlineStr">
        <is>
          <t>Appearance / description and solubility</t>
        </is>
      </c>
      <c r="E986" s="10">
        <f>IF(A986="","",A986&amp;"|"&amp;D986)</f>
        <v/>
      </c>
      <c r="F986" s="5" t="inlineStr">
        <is>
          <t>Y</t>
        </is>
      </c>
      <c r="G986" s="5" t="inlineStr">
        <is>
          <t>Other / bench</t>
        </is>
      </c>
      <c r="H986" s="5" t="inlineStr">
        <is>
          <t>Low</t>
        </is>
      </c>
      <c r="I986" s="5" t="n">
        <v>1</v>
      </c>
      <c r="J986" s="5" t="n"/>
      <c r="K986" s="10">
        <f>IFERROR(IF(INDEX('Test catalog'!$F$2:$F$200,MATCH($AB986,'Test catalog'!$A$2:$A$200,0))="","",INDEX('Test catalog'!$F$2:$F$200,MATCH($AB986,'Test catalog'!$A$2:$A$200,0))),"")</f>
        <v/>
      </c>
      <c r="L986" s="10">
        <f>IFERROR(IF(INDEX('Test catalog'!$G$2:$G$200,MATCH($AB986,'Test catalog'!$A$2:$A$200,0))="","",INDEX('Test catalog'!$G$2:$G$200,MATCH($AB986,'Test catalog'!$A$2:$A$200,0))),"")</f>
        <v/>
      </c>
      <c r="M986" s="10">
        <f>IFERROR(IF(INDEX('Test catalog'!$H$2:$H$200,MATCH($AB986,'Test catalog'!$A$2:$A$200,0))="","",INDEX('Test catalog'!$H$2:$H$200,MATCH($AB986,'Test catalog'!$A$2:$A$200,0))),"")</f>
        <v/>
      </c>
      <c r="N986" s="10">
        <f>IFERROR(IF(INDEX('Test catalog'!$I$2:$I$200,MATCH($AB986,'Test catalog'!$A$2:$A$200,0))="","",INDEX('Test catalog'!$I$2:$I$200,MATCH($AB986,'Test catalog'!$A$2:$A$200,0))),"")</f>
        <v/>
      </c>
      <c r="O986" s="10">
        <f>IFERROR(IF(INDEX('Test catalog'!$J$2:$J$200,MATCH($AB986,'Test catalog'!$A$2:$A$200,0))="","",INDEX('Test catalog'!$J$2:$J$200,MATCH($AB986,'Test catalog'!$A$2:$A$200,0))),"")</f>
        <v/>
      </c>
      <c r="P986" s="14">
        <f>IF(N986="","",IF(OR(M986="",O986=""),N986,(M986+4*N986+O986)/6))</f>
        <v/>
      </c>
      <c r="Q986" s="10">
        <f>IFERROR(IF(INDEX('Test catalog'!$K$2:$K$200,MATCH($AB986,'Test catalog'!$A$2:$A$200,0))="","",INDEX('Test catalog'!$K$2:$K$200,MATCH($AB986,'Test catalog'!$A$2:$A$200,0))),"")</f>
        <v/>
      </c>
      <c r="R986" s="5" t="n"/>
      <c r="S986" s="10">
        <f>IFERROR(IF(INDEX('Test catalog'!$L$2:$L$200,MATCH($AB986,'Test catalog'!$A$2:$A$200,0))="","",INDEX('Test catalog'!$L$2:$L$200,MATCH($AB986,'Test catalog'!$A$2:$A$200,0))),"")</f>
        <v/>
      </c>
      <c r="T986" s="10">
        <f>IFERROR(IF(INDEX('Test catalog'!$M$2:$M$200,MATCH($AB986,'Test catalog'!$A$2:$A$200,0))="","",INDEX('Test catalog'!$M$2:$M$200,MATCH($AB986,'Test catalog'!$A$2:$A$200,0))),"")</f>
        <v/>
      </c>
      <c r="U986" s="10">
        <f>IFERROR(IF(INDEX('Test catalog'!$N$2:$N$200,MATCH($AB986,'Test catalog'!$A$2:$A$200,0))="","",INDEX('Test catalog'!$N$2:$N$200,MATCH($AB986,'Test catalog'!$A$2:$A$200,0))),"")</f>
        <v/>
      </c>
      <c r="V986" s="15" t="n"/>
      <c r="W986" s="5" t="inlineStr">
        <is>
          <t>N</t>
        </is>
      </c>
      <c r="X986" s="5" t="n"/>
      <c r="Y986" s="5" t="n"/>
      <c r="Z986" s="5" t="n"/>
      <c r="AA986" s="10">
        <f>IFERROR(IF(INDEX('Test catalog'!$O$2:$O$200,MATCH($AB986,'Test catalog'!$A$2:$A$200,0))="","",INDEX('Test catalog'!$O$2:$O$200,MATCH($AB986,'Test catalog'!$A$2:$A$200,0))),"")</f>
        <v/>
      </c>
      <c r="AB986" s="10" t="inlineStr">
        <is>
          <t>APPEAR</t>
        </is>
      </c>
      <c r="AC986" s="10" t="inlineStr">
        <is>
          <t>Lab practice (not a USP test)</t>
        </is>
      </c>
      <c r="AD986" s="10" t="n"/>
      <c r="AE986" s="10" t="n"/>
    </row>
    <row r="987">
      <c r="A987" s="10" t="inlineStr">
        <is>
          <t>HPMC K4M</t>
        </is>
      </c>
      <c r="B987" s="10" t="inlineStr">
        <is>
          <t>RM</t>
        </is>
      </c>
      <c r="C987" s="10" t="inlineStr">
        <is>
          <t>Release / Matrix Polymer</t>
        </is>
      </c>
      <c r="D987" s="10" t="inlineStr">
        <is>
          <t>ID A - chemical reaction</t>
        </is>
      </c>
      <c r="E987" s="10">
        <f>IF(A987="","",A987&amp;"|"&amp;D987)</f>
        <v/>
      </c>
      <c r="F987" s="5" t="inlineStr">
        <is>
          <t>Y</t>
        </is>
      </c>
      <c r="G987" s="5" t="inlineStr">
        <is>
          <t>Other / bench</t>
        </is>
      </c>
      <c r="H987" s="5" t="inlineStr">
        <is>
          <t>Low</t>
        </is>
      </c>
      <c r="I987" s="5" t="n">
        <v>1</v>
      </c>
      <c r="J987" s="5" t="n"/>
      <c r="K987" s="10">
        <f>IFERROR(IF(INDEX('Test catalog'!$F$2:$F$200,MATCH($AB987,'Test catalog'!$A$2:$A$200,0))="","",INDEX('Test catalog'!$F$2:$F$200,MATCH($AB987,'Test catalog'!$A$2:$A$200,0))),"")</f>
        <v/>
      </c>
      <c r="L987" s="10">
        <f>IFERROR(IF(INDEX('Test catalog'!$G$2:$G$200,MATCH($AB987,'Test catalog'!$A$2:$A$200,0))="","",INDEX('Test catalog'!$G$2:$G$200,MATCH($AB987,'Test catalog'!$A$2:$A$200,0))),"")</f>
        <v/>
      </c>
      <c r="M987" s="10">
        <f>IFERROR(IF(INDEX('Test catalog'!$H$2:$H$200,MATCH($AB987,'Test catalog'!$A$2:$A$200,0))="","",INDEX('Test catalog'!$H$2:$H$200,MATCH($AB987,'Test catalog'!$A$2:$A$200,0))),"")</f>
        <v/>
      </c>
      <c r="N987" s="10">
        <f>IFERROR(IF(INDEX('Test catalog'!$I$2:$I$200,MATCH($AB987,'Test catalog'!$A$2:$A$200,0))="","",INDEX('Test catalog'!$I$2:$I$200,MATCH($AB987,'Test catalog'!$A$2:$A$200,0))),"")</f>
        <v/>
      </c>
      <c r="O987" s="10">
        <f>IFERROR(IF(INDEX('Test catalog'!$J$2:$J$200,MATCH($AB987,'Test catalog'!$A$2:$A$200,0))="","",INDEX('Test catalog'!$J$2:$J$200,MATCH($AB987,'Test catalog'!$A$2:$A$200,0))),"")</f>
        <v/>
      </c>
      <c r="P987" s="14">
        <f>IF(N987="","",IF(OR(M987="",O987=""),N987,(M987+4*N987+O987)/6))</f>
        <v/>
      </c>
      <c r="Q987" s="10">
        <f>IFERROR(IF(INDEX('Test catalog'!$K$2:$K$200,MATCH($AB987,'Test catalog'!$A$2:$A$200,0))="","",INDEX('Test catalog'!$K$2:$K$200,MATCH($AB987,'Test catalog'!$A$2:$A$200,0))),"")</f>
        <v/>
      </c>
      <c r="R987" s="5" t="n"/>
      <c r="S987" s="10">
        <f>IFERROR(IF(INDEX('Test catalog'!$L$2:$L$200,MATCH($AB987,'Test catalog'!$A$2:$A$200,0))="","",INDEX('Test catalog'!$L$2:$L$200,MATCH($AB987,'Test catalog'!$A$2:$A$200,0))),"")</f>
        <v/>
      </c>
      <c r="T987" s="10">
        <f>IFERROR(IF(INDEX('Test catalog'!$M$2:$M$200,MATCH($AB987,'Test catalog'!$A$2:$A$200,0))="","",INDEX('Test catalog'!$M$2:$M$200,MATCH($AB987,'Test catalog'!$A$2:$A$200,0))),"")</f>
        <v/>
      </c>
      <c r="U987" s="10">
        <f>IFERROR(IF(INDEX('Test catalog'!$N$2:$N$200,MATCH($AB987,'Test catalog'!$A$2:$A$200,0))="","",INDEX('Test catalog'!$N$2:$N$200,MATCH($AB987,'Test catalog'!$A$2:$A$200,0))),"")</f>
        <v/>
      </c>
      <c r="V987" s="15" t="n"/>
      <c r="W987" s="5" t="inlineStr">
        <is>
          <t>N</t>
        </is>
      </c>
      <c r="X987" s="5" t="n"/>
      <c r="Y987" s="5" t="n"/>
      <c r="Z987" s="5" t="n"/>
      <c r="AA987" s="10">
        <f>IFERROR(IF(INDEX('Test catalog'!$O$2:$O$200,MATCH($AB987,'Test catalog'!$A$2:$A$200,0))="","",INDEX('Test catalog'!$O$2:$O$200,MATCH($AB987,'Test catalog'!$A$2:$A$200,0))),"")</f>
        <v/>
      </c>
      <c r="AB987" s="10" t="inlineStr">
        <is>
          <t>ID_CHEM</t>
        </is>
      </c>
      <c r="AC987" s="10" t="inlineStr">
        <is>
          <t>Hypromellose · Identification</t>
        </is>
      </c>
      <c r="AD987" s="10" t="n"/>
      <c r="AE987" s="10" t="n"/>
    </row>
    <row r="988">
      <c r="A988" s="10" t="inlineStr">
        <is>
          <t>HPMC K4M</t>
        </is>
      </c>
      <c r="B988" s="10" t="inlineStr">
        <is>
          <t>RM</t>
        </is>
      </c>
      <c r="C988" s="10" t="inlineStr">
        <is>
          <t>Release / Matrix Polymer</t>
        </is>
      </c>
      <c r="D988" s="10" t="inlineStr">
        <is>
          <t>ID B - chemical reaction</t>
        </is>
      </c>
      <c r="E988" s="10">
        <f>IF(A988="","",A988&amp;"|"&amp;D988)</f>
        <v/>
      </c>
      <c r="F988" s="5" t="inlineStr">
        <is>
          <t>Y</t>
        </is>
      </c>
      <c r="G988" s="5" t="inlineStr">
        <is>
          <t>Other / bench</t>
        </is>
      </c>
      <c r="H988" s="5" t="inlineStr">
        <is>
          <t>Low</t>
        </is>
      </c>
      <c r="I988" s="5" t="n">
        <v>1</v>
      </c>
      <c r="J988" s="5" t="n"/>
      <c r="K988" s="10">
        <f>IFERROR(IF(INDEX('Test catalog'!$F$2:$F$200,MATCH($AB988,'Test catalog'!$A$2:$A$200,0))="","",INDEX('Test catalog'!$F$2:$F$200,MATCH($AB988,'Test catalog'!$A$2:$A$200,0))),"")</f>
        <v/>
      </c>
      <c r="L988" s="10">
        <f>IFERROR(IF(INDEX('Test catalog'!$G$2:$G$200,MATCH($AB988,'Test catalog'!$A$2:$A$200,0))="","",INDEX('Test catalog'!$G$2:$G$200,MATCH($AB988,'Test catalog'!$A$2:$A$200,0))),"")</f>
        <v/>
      </c>
      <c r="M988" s="10">
        <f>IFERROR(IF(INDEX('Test catalog'!$H$2:$H$200,MATCH($AB988,'Test catalog'!$A$2:$A$200,0))="","",INDEX('Test catalog'!$H$2:$H$200,MATCH($AB988,'Test catalog'!$A$2:$A$200,0))),"")</f>
        <v/>
      </c>
      <c r="N988" s="10">
        <f>IFERROR(IF(INDEX('Test catalog'!$I$2:$I$200,MATCH($AB988,'Test catalog'!$A$2:$A$200,0))="","",INDEX('Test catalog'!$I$2:$I$200,MATCH($AB988,'Test catalog'!$A$2:$A$200,0))),"")</f>
        <v/>
      </c>
      <c r="O988" s="10">
        <f>IFERROR(IF(INDEX('Test catalog'!$J$2:$J$200,MATCH($AB988,'Test catalog'!$A$2:$A$200,0))="","",INDEX('Test catalog'!$J$2:$J$200,MATCH($AB988,'Test catalog'!$A$2:$A$200,0))),"")</f>
        <v/>
      </c>
      <c r="P988" s="14">
        <f>IF(N988="","",IF(OR(M988="",O988=""),N988,(M988+4*N988+O988)/6))</f>
        <v/>
      </c>
      <c r="Q988" s="10">
        <f>IFERROR(IF(INDEX('Test catalog'!$K$2:$K$200,MATCH($AB988,'Test catalog'!$A$2:$A$200,0))="","",INDEX('Test catalog'!$K$2:$K$200,MATCH($AB988,'Test catalog'!$A$2:$A$200,0))),"")</f>
        <v/>
      </c>
      <c r="R988" s="5" t="n"/>
      <c r="S988" s="10">
        <f>IFERROR(IF(INDEX('Test catalog'!$L$2:$L$200,MATCH($AB988,'Test catalog'!$A$2:$A$200,0))="","",INDEX('Test catalog'!$L$2:$L$200,MATCH($AB988,'Test catalog'!$A$2:$A$200,0))),"")</f>
        <v/>
      </c>
      <c r="T988" s="10">
        <f>IFERROR(IF(INDEX('Test catalog'!$M$2:$M$200,MATCH($AB988,'Test catalog'!$A$2:$A$200,0))="","",INDEX('Test catalog'!$M$2:$M$200,MATCH($AB988,'Test catalog'!$A$2:$A$200,0))),"")</f>
        <v/>
      </c>
      <c r="U988" s="10">
        <f>IFERROR(IF(INDEX('Test catalog'!$N$2:$N$200,MATCH($AB988,'Test catalog'!$A$2:$A$200,0))="","",INDEX('Test catalog'!$N$2:$N$200,MATCH($AB988,'Test catalog'!$A$2:$A$200,0))),"")</f>
        <v/>
      </c>
      <c r="V988" s="15" t="n"/>
      <c r="W988" s="5" t="inlineStr">
        <is>
          <t>N</t>
        </is>
      </c>
      <c r="X988" s="5" t="n"/>
      <c r="Y988" s="5" t="n"/>
      <c r="Z988" s="5" t="n"/>
      <c r="AA988" s="10">
        <f>IFERROR(IF(INDEX('Test catalog'!$O$2:$O$200,MATCH($AB988,'Test catalog'!$A$2:$A$200,0))="","",INDEX('Test catalog'!$O$2:$O$200,MATCH($AB988,'Test catalog'!$A$2:$A$200,0))),"")</f>
        <v/>
      </c>
      <c r="AB988" s="10" t="inlineStr">
        <is>
          <t>ID_CHEM</t>
        </is>
      </c>
      <c r="AC988" s="10" t="inlineStr">
        <is>
          <t>Hypromellose · Identification</t>
        </is>
      </c>
      <c r="AD988" s="10" t="n"/>
      <c r="AE988" s="10" t="n"/>
    </row>
    <row r="989">
      <c r="A989" s="10" t="inlineStr">
        <is>
          <t>HPMC K4M</t>
        </is>
      </c>
      <c r="B989" s="10" t="inlineStr">
        <is>
          <t>RM</t>
        </is>
      </c>
      <c r="C989" s="10" t="inlineStr">
        <is>
          <t>Release / Matrix Polymer</t>
        </is>
      </c>
      <c r="D989" s="10" t="inlineStr">
        <is>
          <t>ID C - chemical reaction</t>
        </is>
      </c>
      <c r="E989" s="10">
        <f>IF(A989="","",A989&amp;"|"&amp;D989)</f>
        <v/>
      </c>
      <c r="F989" s="5" t="inlineStr">
        <is>
          <t>Y</t>
        </is>
      </c>
      <c r="G989" s="5" t="inlineStr">
        <is>
          <t>Other / bench</t>
        </is>
      </c>
      <c r="H989" s="5" t="inlineStr">
        <is>
          <t>Low</t>
        </is>
      </c>
      <c r="I989" s="5" t="n">
        <v>1</v>
      </c>
      <c r="J989" s="5" t="n"/>
      <c r="K989" s="10">
        <f>IFERROR(IF(INDEX('Test catalog'!$F$2:$F$200,MATCH($AB989,'Test catalog'!$A$2:$A$200,0))="","",INDEX('Test catalog'!$F$2:$F$200,MATCH($AB989,'Test catalog'!$A$2:$A$200,0))),"")</f>
        <v/>
      </c>
      <c r="L989" s="10">
        <f>IFERROR(IF(INDEX('Test catalog'!$G$2:$G$200,MATCH($AB989,'Test catalog'!$A$2:$A$200,0))="","",INDEX('Test catalog'!$G$2:$G$200,MATCH($AB989,'Test catalog'!$A$2:$A$200,0))),"")</f>
        <v/>
      </c>
      <c r="M989" s="10">
        <f>IFERROR(IF(INDEX('Test catalog'!$H$2:$H$200,MATCH($AB989,'Test catalog'!$A$2:$A$200,0))="","",INDEX('Test catalog'!$H$2:$H$200,MATCH($AB989,'Test catalog'!$A$2:$A$200,0))),"")</f>
        <v/>
      </c>
      <c r="N989" s="10">
        <f>IFERROR(IF(INDEX('Test catalog'!$I$2:$I$200,MATCH($AB989,'Test catalog'!$A$2:$A$200,0))="","",INDEX('Test catalog'!$I$2:$I$200,MATCH($AB989,'Test catalog'!$A$2:$A$200,0))),"")</f>
        <v/>
      </c>
      <c r="O989" s="10">
        <f>IFERROR(IF(INDEX('Test catalog'!$J$2:$J$200,MATCH($AB989,'Test catalog'!$A$2:$A$200,0))="","",INDEX('Test catalog'!$J$2:$J$200,MATCH($AB989,'Test catalog'!$A$2:$A$200,0))),"")</f>
        <v/>
      </c>
      <c r="P989" s="14">
        <f>IF(N989="","",IF(OR(M989="",O989=""),N989,(M989+4*N989+O989)/6))</f>
        <v/>
      </c>
      <c r="Q989" s="10">
        <f>IFERROR(IF(INDEX('Test catalog'!$K$2:$K$200,MATCH($AB989,'Test catalog'!$A$2:$A$200,0))="","",INDEX('Test catalog'!$K$2:$K$200,MATCH($AB989,'Test catalog'!$A$2:$A$200,0))),"")</f>
        <v/>
      </c>
      <c r="R989" s="5" t="n"/>
      <c r="S989" s="10">
        <f>IFERROR(IF(INDEX('Test catalog'!$L$2:$L$200,MATCH($AB989,'Test catalog'!$A$2:$A$200,0))="","",INDEX('Test catalog'!$L$2:$L$200,MATCH($AB989,'Test catalog'!$A$2:$A$200,0))),"")</f>
        <v/>
      </c>
      <c r="T989" s="10">
        <f>IFERROR(IF(INDEX('Test catalog'!$M$2:$M$200,MATCH($AB989,'Test catalog'!$A$2:$A$200,0))="","",INDEX('Test catalog'!$M$2:$M$200,MATCH($AB989,'Test catalog'!$A$2:$A$200,0))),"")</f>
        <v/>
      </c>
      <c r="U989" s="10">
        <f>IFERROR(IF(INDEX('Test catalog'!$N$2:$N$200,MATCH($AB989,'Test catalog'!$A$2:$A$200,0))="","",INDEX('Test catalog'!$N$2:$N$200,MATCH($AB989,'Test catalog'!$A$2:$A$200,0))),"")</f>
        <v/>
      </c>
      <c r="V989" s="15" t="n"/>
      <c r="W989" s="5" t="inlineStr">
        <is>
          <t>N</t>
        </is>
      </c>
      <c r="X989" s="5" t="n"/>
      <c r="Y989" s="5" t="n"/>
      <c r="Z989" s="5" t="n"/>
      <c r="AA989" s="10">
        <f>IFERROR(IF(INDEX('Test catalog'!$O$2:$O$200,MATCH($AB989,'Test catalog'!$A$2:$A$200,0))="","",INDEX('Test catalog'!$O$2:$O$200,MATCH($AB989,'Test catalog'!$A$2:$A$200,0))),"")</f>
        <v/>
      </c>
      <c r="AB989" s="10" t="inlineStr">
        <is>
          <t>ID_CHEM</t>
        </is>
      </c>
      <c r="AC989" s="10" t="inlineStr">
        <is>
          <t>Hypromellose · Identification</t>
        </is>
      </c>
      <c r="AD989" s="10" t="n"/>
      <c r="AE989" s="10" t="n"/>
    </row>
    <row r="990">
      <c r="A990" s="10" t="inlineStr">
        <is>
          <t>HPMC K4M</t>
        </is>
      </c>
      <c r="B990" s="10" t="inlineStr">
        <is>
          <t>RM</t>
        </is>
      </c>
      <c r="C990" s="10" t="inlineStr">
        <is>
          <t>Release / Matrix Polymer</t>
        </is>
      </c>
      <c r="D990" s="10" t="inlineStr">
        <is>
          <t>ID D - chemical reaction</t>
        </is>
      </c>
      <c r="E990" s="10">
        <f>IF(A990="","",A990&amp;"|"&amp;D990)</f>
        <v/>
      </c>
      <c r="F990" s="5" t="inlineStr">
        <is>
          <t>Y</t>
        </is>
      </c>
      <c r="G990" s="5" t="inlineStr">
        <is>
          <t>Other / bench</t>
        </is>
      </c>
      <c r="H990" s="5" t="inlineStr">
        <is>
          <t>Low</t>
        </is>
      </c>
      <c r="I990" s="5" t="n">
        <v>1</v>
      </c>
      <c r="J990" s="5" t="n"/>
      <c r="K990" s="10">
        <f>IFERROR(IF(INDEX('Test catalog'!$F$2:$F$200,MATCH($AB990,'Test catalog'!$A$2:$A$200,0))="","",INDEX('Test catalog'!$F$2:$F$200,MATCH($AB990,'Test catalog'!$A$2:$A$200,0))),"")</f>
        <v/>
      </c>
      <c r="L990" s="10">
        <f>IFERROR(IF(INDEX('Test catalog'!$G$2:$G$200,MATCH($AB990,'Test catalog'!$A$2:$A$200,0))="","",INDEX('Test catalog'!$G$2:$G$200,MATCH($AB990,'Test catalog'!$A$2:$A$200,0))),"")</f>
        <v/>
      </c>
      <c r="M990" s="10">
        <f>IFERROR(IF(INDEX('Test catalog'!$H$2:$H$200,MATCH($AB990,'Test catalog'!$A$2:$A$200,0))="","",INDEX('Test catalog'!$H$2:$H$200,MATCH($AB990,'Test catalog'!$A$2:$A$200,0))),"")</f>
        <v/>
      </c>
      <c r="N990" s="10">
        <f>IFERROR(IF(INDEX('Test catalog'!$I$2:$I$200,MATCH($AB990,'Test catalog'!$A$2:$A$200,0))="","",INDEX('Test catalog'!$I$2:$I$200,MATCH($AB990,'Test catalog'!$A$2:$A$200,0))),"")</f>
        <v/>
      </c>
      <c r="O990" s="10">
        <f>IFERROR(IF(INDEX('Test catalog'!$J$2:$J$200,MATCH($AB990,'Test catalog'!$A$2:$A$200,0))="","",INDEX('Test catalog'!$J$2:$J$200,MATCH($AB990,'Test catalog'!$A$2:$A$200,0))),"")</f>
        <v/>
      </c>
      <c r="P990" s="14">
        <f>IF(N990="","",IF(OR(M990="",O990=""),N990,(M990+4*N990+O990)/6))</f>
        <v/>
      </c>
      <c r="Q990" s="10">
        <f>IFERROR(IF(INDEX('Test catalog'!$K$2:$K$200,MATCH($AB990,'Test catalog'!$A$2:$A$200,0))="","",INDEX('Test catalog'!$K$2:$K$200,MATCH($AB990,'Test catalog'!$A$2:$A$200,0))),"")</f>
        <v/>
      </c>
      <c r="R990" s="5" t="n"/>
      <c r="S990" s="10">
        <f>IFERROR(IF(INDEX('Test catalog'!$L$2:$L$200,MATCH($AB990,'Test catalog'!$A$2:$A$200,0))="","",INDEX('Test catalog'!$L$2:$L$200,MATCH($AB990,'Test catalog'!$A$2:$A$200,0))),"")</f>
        <v/>
      </c>
      <c r="T990" s="10">
        <f>IFERROR(IF(INDEX('Test catalog'!$M$2:$M$200,MATCH($AB990,'Test catalog'!$A$2:$A$200,0))="","",INDEX('Test catalog'!$M$2:$M$200,MATCH($AB990,'Test catalog'!$A$2:$A$200,0))),"")</f>
        <v/>
      </c>
      <c r="U990" s="10">
        <f>IFERROR(IF(INDEX('Test catalog'!$N$2:$N$200,MATCH($AB990,'Test catalog'!$A$2:$A$200,0))="","",INDEX('Test catalog'!$N$2:$N$200,MATCH($AB990,'Test catalog'!$A$2:$A$200,0))),"")</f>
        <v/>
      </c>
      <c r="V990" s="15" t="n"/>
      <c r="W990" s="5" t="inlineStr">
        <is>
          <t>N</t>
        </is>
      </c>
      <c r="X990" s="5" t="n"/>
      <c r="Y990" s="5" t="n"/>
      <c r="Z990" s="5" t="n"/>
      <c r="AA990" s="10">
        <f>IFERROR(IF(INDEX('Test catalog'!$O$2:$O$200,MATCH($AB990,'Test catalog'!$A$2:$A$200,0))="","",INDEX('Test catalog'!$O$2:$O$200,MATCH($AB990,'Test catalog'!$A$2:$A$200,0))),"")</f>
        <v/>
      </c>
      <c r="AB990" s="10" t="inlineStr">
        <is>
          <t>ID_CHEM</t>
        </is>
      </c>
      <c r="AC990" s="10" t="inlineStr">
        <is>
          <t>Hypromellose · Identification</t>
        </is>
      </c>
      <c r="AD990" s="10" t="n"/>
      <c r="AE990" s="10" t="n"/>
    </row>
    <row r="991">
      <c r="A991" s="10" t="inlineStr">
        <is>
          <t>HPMC K4M</t>
        </is>
      </c>
      <c r="B991" s="10" t="inlineStr">
        <is>
          <t>RM</t>
        </is>
      </c>
      <c r="C991" s="10" t="inlineStr">
        <is>
          <t>Release / Matrix Polymer</t>
        </is>
      </c>
      <c r="D991" s="10" t="inlineStr">
        <is>
          <t>ID E - chemical reaction</t>
        </is>
      </c>
      <c r="E991" s="10">
        <f>IF(A991="","",A991&amp;"|"&amp;D991)</f>
        <v/>
      </c>
      <c r="F991" s="5" t="inlineStr">
        <is>
          <t>Y</t>
        </is>
      </c>
      <c r="G991" s="5" t="inlineStr">
        <is>
          <t>Other / bench</t>
        </is>
      </c>
      <c r="H991" s="5" t="inlineStr">
        <is>
          <t>Low</t>
        </is>
      </c>
      <c r="I991" s="5" t="n">
        <v>1</v>
      </c>
      <c r="J991" s="5" t="n"/>
      <c r="K991" s="10">
        <f>IFERROR(IF(INDEX('Test catalog'!$F$2:$F$200,MATCH($AB991,'Test catalog'!$A$2:$A$200,0))="","",INDEX('Test catalog'!$F$2:$F$200,MATCH($AB991,'Test catalog'!$A$2:$A$200,0))),"")</f>
        <v/>
      </c>
      <c r="L991" s="10">
        <f>IFERROR(IF(INDEX('Test catalog'!$G$2:$G$200,MATCH($AB991,'Test catalog'!$A$2:$A$200,0))="","",INDEX('Test catalog'!$G$2:$G$200,MATCH($AB991,'Test catalog'!$A$2:$A$200,0))),"")</f>
        <v/>
      </c>
      <c r="M991" s="10">
        <f>IFERROR(IF(INDEX('Test catalog'!$H$2:$H$200,MATCH($AB991,'Test catalog'!$A$2:$A$200,0))="","",INDEX('Test catalog'!$H$2:$H$200,MATCH($AB991,'Test catalog'!$A$2:$A$200,0))),"")</f>
        <v/>
      </c>
      <c r="N991" s="10">
        <f>IFERROR(IF(INDEX('Test catalog'!$I$2:$I$200,MATCH($AB991,'Test catalog'!$A$2:$A$200,0))="","",INDEX('Test catalog'!$I$2:$I$200,MATCH($AB991,'Test catalog'!$A$2:$A$200,0))),"")</f>
        <v/>
      </c>
      <c r="O991" s="10">
        <f>IFERROR(IF(INDEX('Test catalog'!$J$2:$J$200,MATCH($AB991,'Test catalog'!$A$2:$A$200,0))="","",INDEX('Test catalog'!$J$2:$J$200,MATCH($AB991,'Test catalog'!$A$2:$A$200,0))),"")</f>
        <v/>
      </c>
      <c r="P991" s="14">
        <f>IF(N991="","",IF(OR(M991="",O991=""),N991,(M991+4*N991+O991)/6))</f>
        <v/>
      </c>
      <c r="Q991" s="10">
        <f>IFERROR(IF(INDEX('Test catalog'!$K$2:$K$200,MATCH($AB991,'Test catalog'!$A$2:$A$200,0))="","",INDEX('Test catalog'!$K$2:$K$200,MATCH($AB991,'Test catalog'!$A$2:$A$200,0))),"")</f>
        <v/>
      </c>
      <c r="R991" s="5" t="n"/>
      <c r="S991" s="10">
        <f>IFERROR(IF(INDEX('Test catalog'!$L$2:$L$200,MATCH($AB991,'Test catalog'!$A$2:$A$200,0))="","",INDEX('Test catalog'!$L$2:$L$200,MATCH($AB991,'Test catalog'!$A$2:$A$200,0))),"")</f>
        <v/>
      </c>
      <c r="T991" s="10">
        <f>IFERROR(IF(INDEX('Test catalog'!$M$2:$M$200,MATCH($AB991,'Test catalog'!$A$2:$A$200,0))="","",INDEX('Test catalog'!$M$2:$M$200,MATCH($AB991,'Test catalog'!$A$2:$A$200,0))),"")</f>
        <v/>
      </c>
      <c r="U991" s="10">
        <f>IFERROR(IF(INDEX('Test catalog'!$N$2:$N$200,MATCH($AB991,'Test catalog'!$A$2:$A$200,0))="","",INDEX('Test catalog'!$N$2:$N$200,MATCH($AB991,'Test catalog'!$A$2:$A$200,0))),"")</f>
        <v/>
      </c>
      <c r="V991" s="15" t="n"/>
      <c r="W991" s="5" t="inlineStr">
        <is>
          <t>N</t>
        </is>
      </c>
      <c r="X991" s="5" t="n"/>
      <c r="Y991" s="5" t="n"/>
      <c r="Z991" s="5" t="n"/>
      <c r="AA991" s="10">
        <f>IFERROR(IF(INDEX('Test catalog'!$O$2:$O$200,MATCH($AB991,'Test catalog'!$A$2:$A$200,0))="","",INDEX('Test catalog'!$O$2:$O$200,MATCH($AB991,'Test catalog'!$A$2:$A$200,0))),"")</f>
        <v/>
      </c>
      <c r="AB991" s="10" t="inlineStr">
        <is>
          <t>ID_CHEM</t>
        </is>
      </c>
      <c r="AC991" s="10" t="inlineStr">
        <is>
          <t>Hypromellose · Identification</t>
        </is>
      </c>
      <c r="AD991" s="10" t="n"/>
      <c r="AE991" s="10" t="n"/>
    </row>
    <row r="992">
      <c r="A992" s="10" t="inlineStr">
        <is>
          <t>HPMC K4M</t>
        </is>
      </c>
      <c r="B992" s="10" t="inlineStr">
        <is>
          <t>RM</t>
        </is>
      </c>
      <c r="C992" s="10" t="inlineStr">
        <is>
          <t>Release / Matrix Polymer</t>
        </is>
      </c>
      <c r="D992" s="10" t="inlineStr">
        <is>
          <t>Assay (GC)</t>
        </is>
      </c>
      <c r="E992" s="10">
        <f>IF(A992="","",A992&amp;"|"&amp;D992)</f>
        <v/>
      </c>
      <c r="F992" s="5" t="inlineStr">
        <is>
          <t>Y</t>
        </is>
      </c>
      <c r="G992" s="5" t="inlineStr">
        <is>
          <t>GC</t>
        </is>
      </c>
      <c r="H992" s="5" t="inlineStr">
        <is>
          <t>Medium</t>
        </is>
      </c>
      <c r="I992" s="5" t="n">
        <v>1</v>
      </c>
      <c r="J992" s="5" t="n"/>
      <c r="K992" s="5" t="n"/>
      <c r="L992" s="5" t="n"/>
      <c r="M992" s="5" t="n"/>
      <c r="N992" s="5" t="n"/>
      <c r="O992" s="5" t="n"/>
      <c r="P992" s="14">
        <f>IF(N992="","",IF(OR(M992="",O992=""),N992,(M992+4*N992+O992)/6))</f>
        <v/>
      </c>
      <c r="Q992" s="5" t="n"/>
      <c r="R992" s="5" t="n"/>
      <c r="S992" s="5" t="n"/>
      <c r="T992" s="5" t="n"/>
      <c r="U992" s="5" t="n"/>
      <c r="V992" s="15" t="n"/>
      <c r="W992" s="5" t="inlineStr">
        <is>
          <t>N</t>
        </is>
      </c>
      <c r="X992" s="5" t="n"/>
      <c r="Y992" s="5" t="n"/>
      <c r="Z992" s="5" t="inlineStr">
        <is>
          <t>Alternative assays - keep only the one you run</t>
        </is>
      </c>
      <c r="AA992" s="5" t="n"/>
      <c r="AB992" s="10" t="n"/>
      <c r="AC992" s="10" t="inlineStr">
        <is>
          <t>Hypromellose · Assay</t>
        </is>
      </c>
      <c r="AD992" s="10" t="n"/>
      <c r="AE992" s="10" t="n"/>
    </row>
    <row r="993">
      <c r="A993" s="10" t="inlineStr">
        <is>
          <t>HPMC K4M</t>
        </is>
      </c>
      <c r="B993" s="10" t="inlineStr">
        <is>
          <t>RM</t>
        </is>
      </c>
      <c r="C993" s="10" t="inlineStr">
        <is>
          <t>Release / Matrix Polymer</t>
        </is>
      </c>
      <c r="D993" s="10" t="inlineStr">
        <is>
          <t>Residue on Ignition</t>
        </is>
      </c>
      <c r="E993" s="10">
        <f>IF(A993="","",A993&amp;"|"&amp;D993)</f>
        <v/>
      </c>
      <c r="F993" s="5" t="inlineStr">
        <is>
          <t>Y</t>
        </is>
      </c>
      <c r="G993" s="5" t="inlineStr">
        <is>
          <t>Other / bench</t>
        </is>
      </c>
      <c r="H993" s="5" t="inlineStr">
        <is>
          <t>Low</t>
        </is>
      </c>
      <c r="I993" s="5" t="n">
        <v>1</v>
      </c>
      <c r="J993" s="5" t="n"/>
      <c r="K993" s="10">
        <f>IFERROR(IF(INDEX('Test catalog'!$F$2:$F$200,MATCH($AB993,'Test catalog'!$A$2:$A$200,0))="","",INDEX('Test catalog'!$F$2:$F$200,MATCH($AB993,'Test catalog'!$A$2:$A$200,0))),"")</f>
        <v/>
      </c>
      <c r="L993" s="10">
        <f>IFERROR(IF(INDEX('Test catalog'!$G$2:$G$200,MATCH($AB993,'Test catalog'!$A$2:$A$200,0))="","",INDEX('Test catalog'!$G$2:$G$200,MATCH($AB993,'Test catalog'!$A$2:$A$200,0))),"")</f>
        <v/>
      </c>
      <c r="M993" s="10">
        <f>IFERROR(IF(INDEX('Test catalog'!$H$2:$H$200,MATCH($AB993,'Test catalog'!$A$2:$A$200,0))="","",INDEX('Test catalog'!$H$2:$H$200,MATCH($AB993,'Test catalog'!$A$2:$A$200,0))),"")</f>
        <v/>
      </c>
      <c r="N993" s="10">
        <f>IFERROR(IF(INDEX('Test catalog'!$I$2:$I$200,MATCH($AB993,'Test catalog'!$A$2:$A$200,0))="","",INDEX('Test catalog'!$I$2:$I$200,MATCH($AB993,'Test catalog'!$A$2:$A$200,0))),"")</f>
        <v/>
      </c>
      <c r="O993" s="10">
        <f>IFERROR(IF(INDEX('Test catalog'!$J$2:$J$200,MATCH($AB993,'Test catalog'!$A$2:$A$200,0))="","",INDEX('Test catalog'!$J$2:$J$200,MATCH($AB993,'Test catalog'!$A$2:$A$200,0))),"")</f>
        <v/>
      </c>
      <c r="P993" s="14">
        <f>IF(N993="","",IF(OR(M993="",O993=""),N993,(M993+4*N993+O993)/6))</f>
        <v/>
      </c>
      <c r="Q993" s="10">
        <f>IFERROR(IF(INDEX('Test catalog'!$K$2:$K$200,MATCH($AB993,'Test catalog'!$A$2:$A$200,0))="","",INDEX('Test catalog'!$K$2:$K$200,MATCH($AB993,'Test catalog'!$A$2:$A$200,0))),"")</f>
        <v/>
      </c>
      <c r="R993" s="5" t="n"/>
      <c r="S993" s="10">
        <f>IFERROR(IF(INDEX('Test catalog'!$L$2:$L$200,MATCH($AB993,'Test catalog'!$A$2:$A$200,0))="","",INDEX('Test catalog'!$L$2:$L$200,MATCH($AB993,'Test catalog'!$A$2:$A$200,0))),"")</f>
        <v/>
      </c>
      <c r="T993" s="10">
        <f>IFERROR(IF(INDEX('Test catalog'!$M$2:$M$200,MATCH($AB993,'Test catalog'!$A$2:$A$200,0))="","",INDEX('Test catalog'!$M$2:$M$200,MATCH($AB993,'Test catalog'!$A$2:$A$200,0))),"")</f>
        <v/>
      </c>
      <c r="U993" s="10">
        <f>IFERROR(IF(INDEX('Test catalog'!$N$2:$N$200,MATCH($AB993,'Test catalog'!$A$2:$A$200,0))="","",INDEX('Test catalog'!$N$2:$N$200,MATCH($AB993,'Test catalog'!$A$2:$A$200,0))),"")</f>
        <v/>
      </c>
      <c r="V993" s="15" t="n"/>
      <c r="W993" s="5" t="inlineStr">
        <is>
          <t>N</t>
        </is>
      </c>
      <c r="X993" s="5" t="n"/>
      <c r="Y993" s="5" t="n"/>
      <c r="Z993" s="5" t="inlineStr">
        <is>
          <t>Alternative assays - keep only the one you run</t>
        </is>
      </c>
      <c r="AA993" s="10">
        <f>IFERROR(IF(INDEX('Test catalog'!$O$2:$O$200,MATCH($AB993,'Test catalog'!$A$2:$A$200,0))="","",INDEX('Test catalog'!$O$2:$O$200,MATCH($AB993,'Test catalog'!$A$2:$A$200,0))),"")</f>
        <v/>
      </c>
      <c r="AB993" s="10" t="inlineStr">
        <is>
          <t>ROI</t>
        </is>
      </c>
      <c r="AC993" s="10" t="inlineStr">
        <is>
          <t>Hypromellose · Assay &lt;281&gt;</t>
        </is>
      </c>
      <c r="AD993" s="10" t="n"/>
      <c r="AE993" s="10" t="n"/>
    </row>
    <row r="994">
      <c r="A994" s="10" t="inlineStr">
        <is>
          <t>HPMC K4M</t>
        </is>
      </c>
      <c r="B994" s="10" t="inlineStr">
        <is>
          <t>RM</t>
        </is>
      </c>
      <c r="C994" s="10" t="inlineStr">
        <is>
          <t>Release / Matrix Polymer</t>
        </is>
      </c>
      <c r="D994" s="10" t="inlineStr">
        <is>
          <t>pH</t>
        </is>
      </c>
      <c r="E994" s="10">
        <f>IF(A994="","",A994&amp;"|"&amp;D994)</f>
        <v/>
      </c>
      <c r="F994" s="5" t="inlineStr">
        <is>
          <t>Y</t>
        </is>
      </c>
      <c r="G994" s="5" t="inlineStr">
        <is>
          <t>Other / bench</t>
        </is>
      </c>
      <c r="H994" s="5" t="inlineStr">
        <is>
          <t>Low</t>
        </is>
      </c>
      <c r="I994" s="5" t="n">
        <v>1</v>
      </c>
      <c r="J994" s="5" t="n"/>
      <c r="K994" s="10">
        <f>IFERROR(IF(INDEX('Test catalog'!$F$2:$F$200,MATCH($AB994,'Test catalog'!$A$2:$A$200,0))="","",INDEX('Test catalog'!$F$2:$F$200,MATCH($AB994,'Test catalog'!$A$2:$A$200,0))),"")</f>
        <v/>
      </c>
      <c r="L994" s="10">
        <f>IFERROR(IF(INDEX('Test catalog'!$G$2:$G$200,MATCH($AB994,'Test catalog'!$A$2:$A$200,0))="","",INDEX('Test catalog'!$G$2:$G$200,MATCH($AB994,'Test catalog'!$A$2:$A$200,0))),"")</f>
        <v/>
      </c>
      <c r="M994" s="10">
        <f>IFERROR(IF(INDEX('Test catalog'!$H$2:$H$200,MATCH($AB994,'Test catalog'!$A$2:$A$200,0))="","",INDEX('Test catalog'!$H$2:$H$200,MATCH($AB994,'Test catalog'!$A$2:$A$200,0))),"")</f>
        <v/>
      </c>
      <c r="N994" s="10">
        <f>IFERROR(IF(INDEX('Test catalog'!$I$2:$I$200,MATCH($AB994,'Test catalog'!$A$2:$A$200,0))="","",INDEX('Test catalog'!$I$2:$I$200,MATCH($AB994,'Test catalog'!$A$2:$A$200,0))),"")</f>
        <v/>
      </c>
      <c r="O994" s="10">
        <f>IFERROR(IF(INDEX('Test catalog'!$J$2:$J$200,MATCH($AB994,'Test catalog'!$A$2:$A$200,0))="","",INDEX('Test catalog'!$J$2:$J$200,MATCH($AB994,'Test catalog'!$A$2:$A$200,0))),"")</f>
        <v/>
      </c>
      <c r="P994" s="14">
        <f>IF(N994="","",IF(OR(M994="",O994=""),N994,(M994+4*N994+O994)/6))</f>
        <v/>
      </c>
      <c r="Q994" s="10">
        <f>IFERROR(IF(INDEX('Test catalog'!$K$2:$K$200,MATCH($AB994,'Test catalog'!$A$2:$A$200,0))="","",INDEX('Test catalog'!$K$2:$K$200,MATCH($AB994,'Test catalog'!$A$2:$A$200,0))),"")</f>
        <v/>
      </c>
      <c r="R994" s="5" t="n"/>
      <c r="S994" s="10">
        <f>IFERROR(IF(INDEX('Test catalog'!$L$2:$L$200,MATCH($AB994,'Test catalog'!$A$2:$A$200,0))="","",INDEX('Test catalog'!$L$2:$L$200,MATCH($AB994,'Test catalog'!$A$2:$A$200,0))),"")</f>
        <v/>
      </c>
      <c r="T994" s="10">
        <f>IFERROR(IF(INDEX('Test catalog'!$M$2:$M$200,MATCH($AB994,'Test catalog'!$A$2:$A$200,0))="","",INDEX('Test catalog'!$M$2:$M$200,MATCH($AB994,'Test catalog'!$A$2:$A$200,0))),"")</f>
        <v/>
      </c>
      <c r="U994" s="10">
        <f>IFERROR(IF(INDEX('Test catalog'!$N$2:$N$200,MATCH($AB994,'Test catalog'!$A$2:$A$200,0))="","",INDEX('Test catalog'!$N$2:$N$200,MATCH($AB994,'Test catalog'!$A$2:$A$200,0))),"")</f>
        <v/>
      </c>
      <c r="V994" s="15" t="n"/>
      <c r="W994" s="5" t="inlineStr">
        <is>
          <t>N</t>
        </is>
      </c>
      <c r="X994" s="5" t="n"/>
      <c r="Y994" s="5" t="n"/>
      <c r="Z994" s="5" t="n"/>
      <c r="AA994" s="10">
        <f>IFERROR(IF(INDEX('Test catalog'!$O$2:$O$200,MATCH($AB994,'Test catalog'!$A$2:$A$200,0))="","",INDEX('Test catalog'!$O$2:$O$200,MATCH($AB994,'Test catalog'!$A$2:$A$200,0))),"")</f>
        <v/>
      </c>
      <c r="AB994" s="10" t="inlineStr">
        <is>
          <t>PH</t>
        </is>
      </c>
      <c r="AC994" s="10" t="inlineStr">
        <is>
          <t>Hypromellose · Specific Tests &lt;791&gt;</t>
        </is>
      </c>
      <c r="AD994" s="10" t="n"/>
      <c r="AE994" s="10" t="n"/>
    </row>
    <row r="995">
      <c r="A995" s="10" t="inlineStr">
        <is>
          <t>HPMC K4M</t>
        </is>
      </c>
      <c r="B995" s="10" t="inlineStr">
        <is>
          <t>RM</t>
        </is>
      </c>
      <c r="C995" s="10" t="inlineStr">
        <is>
          <t>Release / Matrix Polymer</t>
        </is>
      </c>
      <c r="D995" s="10" t="inlineStr">
        <is>
          <t>Loss on Drying</t>
        </is>
      </c>
      <c r="E995" s="10">
        <f>IF(A995="","",A995&amp;"|"&amp;D995)</f>
        <v/>
      </c>
      <c r="F995" s="5" t="inlineStr">
        <is>
          <t>Y</t>
        </is>
      </c>
      <c r="G995" s="5" t="inlineStr">
        <is>
          <t>Other / bench</t>
        </is>
      </c>
      <c r="H995" s="5" t="inlineStr">
        <is>
          <t>Low</t>
        </is>
      </c>
      <c r="I995" s="5" t="n">
        <v>1</v>
      </c>
      <c r="J995" s="5" t="n"/>
      <c r="K995" s="10">
        <f>IFERROR(IF(INDEX('Test catalog'!$F$2:$F$200,MATCH($AB995,'Test catalog'!$A$2:$A$200,0))="","",INDEX('Test catalog'!$F$2:$F$200,MATCH($AB995,'Test catalog'!$A$2:$A$200,0))),"")</f>
        <v/>
      </c>
      <c r="L995" s="10">
        <f>IFERROR(IF(INDEX('Test catalog'!$G$2:$G$200,MATCH($AB995,'Test catalog'!$A$2:$A$200,0))="","",INDEX('Test catalog'!$G$2:$G$200,MATCH($AB995,'Test catalog'!$A$2:$A$200,0))),"")</f>
        <v/>
      </c>
      <c r="M995" s="10">
        <f>IFERROR(IF(INDEX('Test catalog'!$H$2:$H$200,MATCH($AB995,'Test catalog'!$A$2:$A$200,0))="","",INDEX('Test catalog'!$H$2:$H$200,MATCH($AB995,'Test catalog'!$A$2:$A$200,0))),"")</f>
        <v/>
      </c>
      <c r="N995" s="10">
        <f>IFERROR(IF(INDEX('Test catalog'!$I$2:$I$200,MATCH($AB995,'Test catalog'!$A$2:$A$200,0))="","",INDEX('Test catalog'!$I$2:$I$200,MATCH($AB995,'Test catalog'!$A$2:$A$200,0))),"")</f>
        <v/>
      </c>
      <c r="O995" s="10">
        <f>IFERROR(IF(INDEX('Test catalog'!$J$2:$J$200,MATCH($AB995,'Test catalog'!$A$2:$A$200,0))="","",INDEX('Test catalog'!$J$2:$J$200,MATCH($AB995,'Test catalog'!$A$2:$A$200,0))),"")</f>
        <v/>
      </c>
      <c r="P995" s="14">
        <f>IF(N995="","",IF(OR(M995="",O995=""),N995,(M995+4*N995+O995)/6))</f>
        <v/>
      </c>
      <c r="Q995" s="10">
        <f>IFERROR(IF(INDEX('Test catalog'!$K$2:$K$200,MATCH($AB995,'Test catalog'!$A$2:$A$200,0))="","",INDEX('Test catalog'!$K$2:$K$200,MATCH($AB995,'Test catalog'!$A$2:$A$200,0))),"")</f>
        <v/>
      </c>
      <c r="R995" s="5" t="n"/>
      <c r="S995" s="10">
        <f>IFERROR(IF(INDEX('Test catalog'!$L$2:$L$200,MATCH($AB995,'Test catalog'!$A$2:$A$200,0))="","",INDEX('Test catalog'!$L$2:$L$200,MATCH($AB995,'Test catalog'!$A$2:$A$200,0))),"")</f>
        <v/>
      </c>
      <c r="T995" s="10">
        <f>IFERROR(IF(INDEX('Test catalog'!$M$2:$M$200,MATCH($AB995,'Test catalog'!$A$2:$A$200,0))="","",INDEX('Test catalog'!$M$2:$M$200,MATCH($AB995,'Test catalog'!$A$2:$A$200,0))),"")</f>
        <v/>
      </c>
      <c r="U995" s="10">
        <f>IFERROR(IF(INDEX('Test catalog'!$N$2:$N$200,MATCH($AB995,'Test catalog'!$A$2:$A$200,0))="","",INDEX('Test catalog'!$N$2:$N$200,MATCH($AB995,'Test catalog'!$A$2:$A$200,0))),"")</f>
        <v/>
      </c>
      <c r="V995" s="15" t="n"/>
      <c r="W995" s="5" t="inlineStr">
        <is>
          <t>N</t>
        </is>
      </c>
      <c r="X995" s="5" t="n"/>
      <c r="Y995" s="5" t="n"/>
      <c r="Z995" s="5" t="n"/>
      <c r="AA995" s="10">
        <f>IFERROR(IF(INDEX('Test catalog'!$O$2:$O$200,MATCH($AB995,'Test catalog'!$A$2:$A$200,0))="","",INDEX('Test catalog'!$O$2:$O$200,MATCH($AB995,'Test catalog'!$A$2:$A$200,0))),"")</f>
        <v/>
      </c>
      <c r="AB995" s="10" t="inlineStr">
        <is>
          <t>LOD</t>
        </is>
      </c>
      <c r="AC995" s="10" t="inlineStr">
        <is>
          <t>Hypromellose · Impurities &lt;731&gt;</t>
        </is>
      </c>
      <c r="AD995" s="10" t="n"/>
      <c r="AE995" s="10" t="n"/>
    </row>
    <row r="996">
      <c r="A996" s="10" t="inlineStr">
        <is>
          <t>HPMC K4M</t>
        </is>
      </c>
      <c r="B996" s="10" t="inlineStr">
        <is>
          <t>RM</t>
        </is>
      </c>
      <c r="C996" s="10" t="inlineStr">
        <is>
          <t>Release / Matrix Polymer</t>
        </is>
      </c>
      <c r="D996" s="10" t="inlineStr">
        <is>
          <t>Viscosity—Capillary Methods</t>
        </is>
      </c>
      <c r="E996" s="10">
        <f>IF(A996="","",A996&amp;"|"&amp;D996)</f>
        <v/>
      </c>
      <c r="F996" s="5" t="inlineStr">
        <is>
          <t>Y</t>
        </is>
      </c>
      <c r="G996" s="5" t="inlineStr">
        <is>
          <t>Other / bench</t>
        </is>
      </c>
      <c r="H996" s="5" t="inlineStr">
        <is>
          <t>Low</t>
        </is>
      </c>
      <c r="I996" s="5" t="n">
        <v>1</v>
      </c>
      <c r="J996" s="5" t="n"/>
      <c r="K996" s="10">
        <f>IFERROR(IF(INDEX('Test catalog'!$F$2:$F$200,MATCH($AB996,'Test catalog'!$A$2:$A$200,0))="","",INDEX('Test catalog'!$F$2:$F$200,MATCH($AB996,'Test catalog'!$A$2:$A$200,0))),"")</f>
        <v/>
      </c>
      <c r="L996" s="10">
        <f>IFERROR(IF(INDEX('Test catalog'!$G$2:$G$200,MATCH($AB996,'Test catalog'!$A$2:$A$200,0))="","",INDEX('Test catalog'!$G$2:$G$200,MATCH($AB996,'Test catalog'!$A$2:$A$200,0))),"")</f>
        <v/>
      </c>
      <c r="M996" s="10">
        <f>IFERROR(IF(INDEX('Test catalog'!$H$2:$H$200,MATCH($AB996,'Test catalog'!$A$2:$A$200,0))="","",INDEX('Test catalog'!$H$2:$H$200,MATCH($AB996,'Test catalog'!$A$2:$A$200,0))),"")</f>
        <v/>
      </c>
      <c r="N996" s="10">
        <f>IFERROR(IF(INDEX('Test catalog'!$I$2:$I$200,MATCH($AB996,'Test catalog'!$A$2:$A$200,0))="","",INDEX('Test catalog'!$I$2:$I$200,MATCH($AB996,'Test catalog'!$A$2:$A$200,0))),"")</f>
        <v/>
      </c>
      <c r="O996" s="10">
        <f>IFERROR(IF(INDEX('Test catalog'!$J$2:$J$200,MATCH($AB996,'Test catalog'!$A$2:$A$200,0))="","",INDEX('Test catalog'!$J$2:$J$200,MATCH($AB996,'Test catalog'!$A$2:$A$200,0))),"")</f>
        <v/>
      </c>
      <c r="P996" s="14">
        <f>IF(N996="","",IF(OR(M996="",O996=""),N996,(M996+4*N996+O996)/6))</f>
        <v/>
      </c>
      <c r="Q996" s="10">
        <f>IFERROR(IF(INDEX('Test catalog'!$K$2:$K$200,MATCH($AB996,'Test catalog'!$A$2:$A$200,0))="","",INDEX('Test catalog'!$K$2:$K$200,MATCH($AB996,'Test catalog'!$A$2:$A$200,0))),"")</f>
        <v/>
      </c>
      <c r="R996" s="5" t="n"/>
      <c r="S996" s="10">
        <f>IFERROR(IF(INDEX('Test catalog'!$L$2:$L$200,MATCH($AB996,'Test catalog'!$A$2:$A$200,0))="","",INDEX('Test catalog'!$L$2:$L$200,MATCH($AB996,'Test catalog'!$A$2:$A$200,0))),"")</f>
        <v/>
      </c>
      <c r="T996" s="10">
        <f>IFERROR(IF(INDEX('Test catalog'!$M$2:$M$200,MATCH($AB996,'Test catalog'!$A$2:$A$200,0))="","",INDEX('Test catalog'!$M$2:$M$200,MATCH($AB996,'Test catalog'!$A$2:$A$200,0))),"")</f>
        <v/>
      </c>
      <c r="U996" s="10">
        <f>IFERROR(IF(INDEX('Test catalog'!$N$2:$N$200,MATCH($AB996,'Test catalog'!$A$2:$A$200,0))="","",INDEX('Test catalog'!$N$2:$N$200,MATCH($AB996,'Test catalog'!$A$2:$A$200,0))),"")</f>
        <v/>
      </c>
      <c r="V996" s="15" t="n"/>
      <c r="W996" s="5" t="inlineStr">
        <is>
          <t>N</t>
        </is>
      </c>
      <c r="X996" s="5" t="n"/>
      <c r="Y996" s="5" t="n"/>
      <c r="Z996" s="5" t="n"/>
      <c r="AA996" s="10">
        <f>IFERROR(IF(INDEX('Test catalog'!$O$2:$O$200,MATCH($AB996,'Test catalog'!$A$2:$A$200,0))="","",INDEX('Test catalog'!$O$2:$O$200,MATCH($AB996,'Test catalog'!$A$2:$A$200,0))),"")</f>
        <v/>
      </c>
      <c r="AB996" s="10" t="inlineStr">
        <is>
          <t>VISC</t>
        </is>
      </c>
      <c r="AC996" s="10" t="inlineStr">
        <is>
          <t>Hypromellose · Impurities &lt;911,912&gt;</t>
        </is>
      </c>
      <c r="AD996" s="10" t="n"/>
      <c r="AE996" s="10" t="n"/>
    </row>
    <row r="997">
      <c r="A997" s="10" t="inlineStr">
        <is>
          <t>Methacrylic Acid Copolymer (Eudragit L100-55)</t>
        </is>
      </c>
      <c r="B997" s="10" t="inlineStr">
        <is>
          <t>RM</t>
        </is>
      </c>
      <c r="C997" s="10" t="inlineStr">
        <is>
          <t>Release / Matrix Polymer</t>
        </is>
      </c>
      <c r="D997" s="10" t="inlineStr">
        <is>
          <t>Appearance / description and solubility</t>
        </is>
      </c>
      <c r="E997" s="10">
        <f>IF(A997="","",A997&amp;"|"&amp;D997)</f>
        <v/>
      </c>
      <c r="F997" s="5" t="inlineStr">
        <is>
          <t>Y</t>
        </is>
      </c>
      <c r="G997" s="5" t="inlineStr">
        <is>
          <t>Other / bench</t>
        </is>
      </c>
      <c r="H997" s="5" t="inlineStr">
        <is>
          <t>Low</t>
        </is>
      </c>
      <c r="I997" s="5" t="n">
        <v>1</v>
      </c>
      <c r="J997" s="5" t="n"/>
      <c r="K997" s="10">
        <f>IFERROR(IF(INDEX('Test catalog'!$F$2:$F$200,MATCH($AB997,'Test catalog'!$A$2:$A$200,0))="","",INDEX('Test catalog'!$F$2:$F$200,MATCH($AB997,'Test catalog'!$A$2:$A$200,0))),"")</f>
        <v/>
      </c>
      <c r="L997" s="10">
        <f>IFERROR(IF(INDEX('Test catalog'!$G$2:$G$200,MATCH($AB997,'Test catalog'!$A$2:$A$200,0))="","",INDEX('Test catalog'!$G$2:$G$200,MATCH($AB997,'Test catalog'!$A$2:$A$200,0))),"")</f>
        <v/>
      </c>
      <c r="M997" s="10">
        <f>IFERROR(IF(INDEX('Test catalog'!$H$2:$H$200,MATCH($AB997,'Test catalog'!$A$2:$A$200,0))="","",INDEX('Test catalog'!$H$2:$H$200,MATCH($AB997,'Test catalog'!$A$2:$A$200,0))),"")</f>
        <v/>
      </c>
      <c r="N997" s="10">
        <f>IFERROR(IF(INDEX('Test catalog'!$I$2:$I$200,MATCH($AB997,'Test catalog'!$A$2:$A$200,0))="","",INDEX('Test catalog'!$I$2:$I$200,MATCH($AB997,'Test catalog'!$A$2:$A$200,0))),"")</f>
        <v/>
      </c>
      <c r="O997" s="10">
        <f>IFERROR(IF(INDEX('Test catalog'!$J$2:$J$200,MATCH($AB997,'Test catalog'!$A$2:$A$200,0))="","",INDEX('Test catalog'!$J$2:$J$200,MATCH($AB997,'Test catalog'!$A$2:$A$200,0))),"")</f>
        <v/>
      </c>
      <c r="P997" s="14">
        <f>IF(N997="","",IF(OR(M997="",O997=""),N997,(M997+4*N997+O997)/6))</f>
        <v/>
      </c>
      <c r="Q997" s="10">
        <f>IFERROR(IF(INDEX('Test catalog'!$K$2:$K$200,MATCH($AB997,'Test catalog'!$A$2:$A$200,0))="","",INDEX('Test catalog'!$K$2:$K$200,MATCH($AB997,'Test catalog'!$A$2:$A$200,0))),"")</f>
        <v/>
      </c>
      <c r="R997" s="5" t="n"/>
      <c r="S997" s="10">
        <f>IFERROR(IF(INDEX('Test catalog'!$L$2:$L$200,MATCH($AB997,'Test catalog'!$A$2:$A$200,0))="","",INDEX('Test catalog'!$L$2:$L$200,MATCH($AB997,'Test catalog'!$A$2:$A$200,0))),"")</f>
        <v/>
      </c>
      <c r="T997" s="10">
        <f>IFERROR(IF(INDEX('Test catalog'!$M$2:$M$200,MATCH($AB997,'Test catalog'!$A$2:$A$200,0))="","",INDEX('Test catalog'!$M$2:$M$200,MATCH($AB997,'Test catalog'!$A$2:$A$200,0))),"")</f>
        <v/>
      </c>
      <c r="U997" s="10">
        <f>IFERROR(IF(INDEX('Test catalog'!$N$2:$N$200,MATCH($AB997,'Test catalog'!$A$2:$A$200,0))="","",INDEX('Test catalog'!$N$2:$N$200,MATCH($AB997,'Test catalog'!$A$2:$A$200,0))),"")</f>
        <v/>
      </c>
      <c r="V997" s="15" t="n"/>
      <c r="W997" s="5" t="inlineStr">
        <is>
          <t>N</t>
        </is>
      </c>
      <c r="X997" s="5" t="n"/>
      <c r="Y997" s="5" t="n"/>
      <c r="Z997" s="5" t="n"/>
      <c r="AA997" s="10">
        <f>IFERROR(IF(INDEX('Test catalog'!$O$2:$O$200,MATCH($AB997,'Test catalog'!$A$2:$A$200,0))="","",INDEX('Test catalog'!$O$2:$O$200,MATCH($AB997,'Test catalog'!$A$2:$A$200,0))),"")</f>
        <v/>
      </c>
      <c r="AB997" s="10" t="inlineStr">
        <is>
          <t>APPEAR</t>
        </is>
      </c>
      <c r="AC997" s="10" t="inlineStr">
        <is>
          <t>Lab practice (not a USP test)</t>
        </is>
      </c>
      <c r="AD997" s="10" t="n"/>
      <c r="AE997" s="10" t="n"/>
    </row>
    <row r="998">
      <c r="A998" s="10" t="inlineStr">
        <is>
          <t>Methacrylic Acid Copolymer (Eudragit L100-55)</t>
        </is>
      </c>
      <c r="B998" s="10" t="inlineStr">
        <is>
          <t>RM</t>
        </is>
      </c>
      <c r="C998" s="10" t="inlineStr">
        <is>
          <t>Release / Matrix Polymer</t>
        </is>
      </c>
      <c r="D998" s="10" t="inlineStr">
        <is>
          <t>ID A - IR spectrum</t>
        </is>
      </c>
      <c r="E998" s="10">
        <f>IF(A998="","",A998&amp;"|"&amp;D998)</f>
        <v/>
      </c>
      <c r="F998" s="5" t="inlineStr">
        <is>
          <t>Y</t>
        </is>
      </c>
      <c r="G998" s="5" t="inlineStr">
        <is>
          <t>Other / bench</t>
        </is>
      </c>
      <c r="H998" s="5" t="inlineStr">
        <is>
          <t>Low</t>
        </is>
      </c>
      <c r="I998" s="5" t="n">
        <v>1</v>
      </c>
      <c r="J998" s="5" t="n"/>
      <c r="K998" s="10">
        <f>IFERROR(IF(INDEX('Test catalog'!$F$2:$F$200,MATCH($AB998,'Test catalog'!$A$2:$A$200,0))="","",INDEX('Test catalog'!$F$2:$F$200,MATCH($AB998,'Test catalog'!$A$2:$A$200,0))),"")</f>
        <v/>
      </c>
      <c r="L998" s="10">
        <f>IFERROR(IF(INDEX('Test catalog'!$G$2:$G$200,MATCH($AB998,'Test catalog'!$A$2:$A$200,0))="","",INDEX('Test catalog'!$G$2:$G$200,MATCH($AB998,'Test catalog'!$A$2:$A$200,0))),"")</f>
        <v/>
      </c>
      <c r="M998" s="10">
        <f>IFERROR(IF(INDEX('Test catalog'!$H$2:$H$200,MATCH($AB998,'Test catalog'!$A$2:$A$200,0))="","",INDEX('Test catalog'!$H$2:$H$200,MATCH($AB998,'Test catalog'!$A$2:$A$200,0))),"")</f>
        <v/>
      </c>
      <c r="N998" s="10">
        <f>IFERROR(IF(INDEX('Test catalog'!$I$2:$I$200,MATCH($AB998,'Test catalog'!$A$2:$A$200,0))="","",INDEX('Test catalog'!$I$2:$I$200,MATCH($AB998,'Test catalog'!$A$2:$A$200,0))),"")</f>
        <v/>
      </c>
      <c r="O998" s="10">
        <f>IFERROR(IF(INDEX('Test catalog'!$J$2:$J$200,MATCH($AB998,'Test catalog'!$A$2:$A$200,0))="","",INDEX('Test catalog'!$J$2:$J$200,MATCH($AB998,'Test catalog'!$A$2:$A$200,0))),"")</f>
        <v/>
      </c>
      <c r="P998" s="14">
        <f>IF(N998="","",IF(OR(M998="",O998=""),N998,(M998+4*N998+O998)/6))</f>
        <v/>
      </c>
      <c r="Q998" s="10">
        <f>IFERROR(IF(INDEX('Test catalog'!$K$2:$K$200,MATCH($AB998,'Test catalog'!$A$2:$A$200,0))="","",INDEX('Test catalog'!$K$2:$K$200,MATCH($AB998,'Test catalog'!$A$2:$A$200,0))),"")</f>
        <v/>
      </c>
      <c r="R998" s="5" t="n"/>
      <c r="S998" s="10">
        <f>IFERROR(IF(INDEX('Test catalog'!$L$2:$L$200,MATCH($AB998,'Test catalog'!$A$2:$A$200,0))="","",INDEX('Test catalog'!$L$2:$L$200,MATCH($AB998,'Test catalog'!$A$2:$A$200,0))),"")</f>
        <v/>
      </c>
      <c r="T998" s="10">
        <f>IFERROR(IF(INDEX('Test catalog'!$M$2:$M$200,MATCH($AB998,'Test catalog'!$A$2:$A$200,0))="","",INDEX('Test catalog'!$M$2:$M$200,MATCH($AB998,'Test catalog'!$A$2:$A$200,0))),"")</f>
        <v/>
      </c>
      <c r="U998" s="10">
        <f>IFERROR(IF(INDEX('Test catalog'!$N$2:$N$200,MATCH($AB998,'Test catalog'!$A$2:$A$200,0))="","",INDEX('Test catalog'!$N$2:$N$200,MATCH($AB998,'Test catalog'!$A$2:$A$200,0))),"")</f>
        <v/>
      </c>
      <c r="V998" s="15" t="n"/>
      <c r="W998" s="5" t="inlineStr">
        <is>
          <t>N</t>
        </is>
      </c>
      <c r="X998" s="5" t="n"/>
      <c r="Y998" s="5" t="n"/>
      <c r="Z998" s="5" t="n"/>
      <c r="AA998" s="10">
        <f>IFERROR(IF(INDEX('Test catalog'!$O$2:$O$200,MATCH($AB998,'Test catalog'!$A$2:$A$200,0))="","",INDEX('Test catalog'!$O$2:$O$200,MATCH($AB998,'Test catalog'!$A$2:$A$200,0))),"")</f>
        <v/>
      </c>
      <c r="AB998" s="10" t="inlineStr">
        <is>
          <t>ID_IR</t>
        </is>
      </c>
      <c r="AC998" s="10" t="inlineStr">
        <is>
          <t>Methacrylic Acid and Ethyl Acrylate Copolymer · Identification &lt;197&gt;</t>
        </is>
      </c>
      <c r="AD998" s="10" t="n"/>
      <c r="AE998" s="10" t="n"/>
    </row>
    <row r="999">
      <c r="A999" s="10" t="inlineStr">
        <is>
          <t>Methacrylic Acid Copolymer (Eudragit L100-55)</t>
        </is>
      </c>
      <c r="B999" s="10" t="inlineStr">
        <is>
          <t>RM</t>
        </is>
      </c>
      <c r="C999" s="10" t="inlineStr">
        <is>
          <t>Release / Matrix Polymer</t>
        </is>
      </c>
      <c r="D999" s="10" t="inlineStr">
        <is>
          <t>ID B - Assay or test by titration</t>
        </is>
      </c>
      <c r="E999" s="10">
        <f>IF(A999="","",A999&amp;"|"&amp;D999)</f>
        <v/>
      </c>
      <c r="F999" s="5" t="inlineStr">
        <is>
          <t>Y</t>
        </is>
      </c>
      <c r="G999" s="5" t="inlineStr">
        <is>
          <t>Other / bench</t>
        </is>
      </c>
      <c r="H999" s="5" t="inlineStr">
        <is>
          <t>Low</t>
        </is>
      </c>
      <c r="I999" s="5" t="n">
        <v>1</v>
      </c>
      <c r="J999" s="5" t="n"/>
      <c r="K999" s="10">
        <f>IFERROR(IF(INDEX('Test catalog'!$F$2:$F$200,MATCH($AB999,'Test catalog'!$A$2:$A$200,0))="","",INDEX('Test catalog'!$F$2:$F$200,MATCH($AB999,'Test catalog'!$A$2:$A$200,0))),"")</f>
        <v/>
      </c>
      <c r="L999" s="10">
        <f>IFERROR(IF(INDEX('Test catalog'!$G$2:$G$200,MATCH($AB999,'Test catalog'!$A$2:$A$200,0))="","",INDEX('Test catalog'!$G$2:$G$200,MATCH($AB999,'Test catalog'!$A$2:$A$200,0))),"")</f>
        <v/>
      </c>
      <c r="M999" s="10">
        <f>IFERROR(IF(INDEX('Test catalog'!$H$2:$H$200,MATCH($AB999,'Test catalog'!$A$2:$A$200,0))="","",INDEX('Test catalog'!$H$2:$H$200,MATCH($AB999,'Test catalog'!$A$2:$A$200,0))),"")</f>
        <v/>
      </c>
      <c r="N999" s="10">
        <f>IFERROR(IF(INDEX('Test catalog'!$I$2:$I$200,MATCH($AB999,'Test catalog'!$A$2:$A$200,0))="","",INDEX('Test catalog'!$I$2:$I$200,MATCH($AB999,'Test catalog'!$A$2:$A$200,0))),"")</f>
        <v/>
      </c>
      <c r="O999" s="10">
        <f>IFERROR(IF(INDEX('Test catalog'!$J$2:$J$200,MATCH($AB999,'Test catalog'!$A$2:$A$200,0))="","",INDEX('Test catalog'!$J$2:$J$200,MATCH($AB999,'Test catalog'!$A$2:$A$200,0))),"")</f>
        <v/>
      </c>
      <c r="P999" s="14">
        <f>IF(N999="","",IF(OR(M999="",O999=""),N999,(M999+4*N999+O999)/6))</f>
        <v/>
      </c>
      <c r="Q999" s="10">
        <f>IFERROR(IF(INDEX('Test catalog'!$K$2:$K$200,MATCH($AB999,'Test catalog'!$A$2:$A$200,0))="","",INDEX('Test catalog'!$K$2:$K$200,MATCH($AB999,'Test catalog'!$A$2:$A$200,0))),"")</f>
        <v/>
      </c>
      <c r="R999" s="5" t="n"/>
      <c r="S999" s="10">
        <f>IFERROR(IF(INDEX('Test catalog'!$L$2:$L$200,MATCH($AB999,'Test catalog'!$A$2:$A$200,0))="","",INDEX('Test catalog'!$L$2:$L$200,MATCH($AB999,'Test catalog'!$A$2:$A$200,0))),"")</f>
        <v/>
      </c>
      <c r="T999" s="10">
        <f>IFERROR(IF(INDEX('Test catalog'!$M$2:$M$200,MATCH($AB999,'Test catalog'!$A$2:$A$200,0))="","",INDEX('Test catalog'!$M$2:$M$200,MATCH($AB999,'Test catalog'!$A$2:$A$200,0))),"")</f>
        <v/>
      </c>
      <c r="U999" s="10">
        <f>IFERROR(IF(INDEX('Test catalog'!$N$2:$N$200,MATCH($AB999,'Test catalog'!$A$2:$A$200,0))="","",INDEX('Test catalog'!$N$2:$N$200,MATCH($AB999,'Test catalog'!$A$2:$A$200,0))),"")</f>
        <v/>
      </c>
      <c r="V999" s="15" t="n"/>
      <c r="W999" s="5" t="inlineStr">
        <is>
          <t>N</t>
        </is>
      </c>
      <c r="X999" s="5" t="n"/>
      <c r="Y999" s="5" t="n"/>
      <c r="Z999" s="5" t="n"/>
      <c r="AA999" s="10">
        <f>IFERROR(IF(INDEX('Test catalog'!$O$2:$O$200,MATCH($AB999,'Test catalog'!$A$2:$A$200,0))="","",INDEX('Test catalog'!$O$2:$O$200,MATCH($AB999,'Test catalog'!$A$2:$A$200,0))),"")</f>
        <v/>
      </c>
      <c r="AB999" s="10" t="inlineStr">
        <is>
          <t>TITR</t>
        </is>
      </c>
      <c r="AC999" s="10" t="inlineStr">
        <is>
          <t>Methacrylic Acid and Ethyl Acrylate Copolymer · Identification &lt;541&gt;</t>
        </is>
      </c>
      <c r="AD999" s="10" t="n"/>
      <c r="AE999" s="10" t="n"/>
    </row>
    <row r="1000">
      <c r="A1000" s="10" t="inlineStr">
        <is>
          <t>Methacrylic Acid Copolymer (Eudragit L100-55)</t>
        </is>
      </c>
      <c r="B1000" s="10" t="inlineStr">
        <is>
          <t>RM</t>
        </is>
      </c>
      <c r="C1000" s="10" t="inlineStr">
        <is>
          <t>Release / Matrix Polymer</t>
        </is>
      </c>
      <c r="D1000" s="10" t="inlineStr">
        <is>
          <t>ID - Assay or test by titration</t>
        </is>
      </c>
      <c r="E1000" s="10">
        <f>IF(A1000="","",A1000&amp;"|"&amp;D1000)</f>
        <v/>
      </c>
      <c r="F1000" s="5" t="inlineStr">
        <is>
          <t>Y</t>
        </is>
      </c>
      <c r="G1000" s="5" t="inlineStr">
        <is>
          <t>Other / bench</t>
        </is>
      </c>
      <c r="H1000" s="5" t="inlineStr">
        <is>
          <t>Low</t>
        </is>
      </c>
      <c r="I1000" s="5" t="n">
        <v>1</v>
      </c>
      <c r="J1000" s="5" t="n"/>
      <c r="K1000" s="10">
        <f>IFERROR(IF(INDEX('Test catalog'!$F$2:$F$200,MATCH($AB1000,'Test catalog'!$A$2:$A$200,0))="","",INDEX('Test catalog'!$F$2:$F$200,MATCH($AB1000,'Test catalog'!$A$2:$A$200,0))),"")</f>
        <v/>
      </c>
      <c r="L1000" s="10">
        <f>IFERROR(IF(INDEX('Test catalog'!$G$2:$G$200,MATCH($AB1000,'Test catalog'!$A$2:$A$200,0))="","",INDEX('Test catalog'!$G$2:$G$200,MATCH($AB1000,'Test catalog'!$A$2:$A$200,0))),"")</f>
        <v/>
      </c>
      <c r="M1000" s="10">
        <f>IFERROR(IF(INDEX('Test catalog'!$H$2:$H$200,MATCH($AB1000,'Test catalog'!$A$2:$A$200,0))="","",INDEX('Test catalog'!$H$2:$H$200,MATCH($AB1000,'Test catalog'!$A$2:$A$200,0))),"")</f>
        <v/>
      </c>
      <c r="N1000" s="10">
        <f>IFERROR(IF(INDEX('Test catalog'!$I$2:$I$200,MATCH($AB1000,'Test catalog'!$A$2:$A$200,0))="","",INDEX('Test catalog'!$I$2:$I$200,MATCH($AB1000,'Test catalog'!$A$2:$A$200,0))),"")</f>
        <v/>
      </c>
      <c r="O1000" s="10">
        <f>IFERROR(IF(INDEX('Test catalog'!$J$2:$J$200,MATCH($AB1000,'Test catalog'!$A$2:$A$200,0))="","",INDEX('Test catalog'!$J$2:$J$200,MATCH($AB1000,'Test catalog'!$A$2:$A$200,0))),"")</f>
        <v/>
      </c>
      <c r="P1000" s="14">
        <f>IF(N1000="","",IF(OR(M1000="",O1000=""),N1000,(M1000+4*N1000+O1000)/6))</f>
        <v/>
      </c>
      <c r="Q1000" s="10">
        <f>IFERROR(IF(INDEX('Test catalog'!$K$2:$K$200,MATCH($AB1000,'Test catalog'!$A$2:$A$200,0))="","",INDEX('Test catalog'!$K$2:$K$200,MATCH($AB1000,'Test catalog'!$A$2:$A$200,0))),"")</f>
        <v/>
      </c>
      <c r="R1000" s="5" t="n"/>
      <c r="S1000" s="10">
        <f>IFERROR(IF(INDEX('Test catalog'!$L$2:$L$200,MATCH($AB1000,'Test catalog'!$A$2:$A$200,0))="","",INDEX('Test catalog'!$L$2:$L$200,MATCH($AB1000,'Test catalog'!$A$2:$A$200,0))),"")</f>
        <v/>
      </c>
      <c r="T1000" s="10">
        <f>IFERROR(IF(INDEX('Test catalog'!$M$2:$M$200,MATCH($AB1000,'Test catalog'!$A$2:$A$200,0))="","",INDEX('Test catalog'!$M$2:$M$200,MATCH($AB1000,'Test catalog'!$A$2:$A$200,0))),"")</f>
        <v/>
      </c>
      <c r="U1000" s="10">
        <f>IFERROR(IF(INDEX('Test catalog'!$N$2:$N$200,MATCH($AB1000,'Test catalog'!$A$2:$A$200,0))="","",INDEX('Test catalog'!$N$2:$N$200,MATCH($AB1000,'Test catalog'!$A$2:$A$200,0))),"")</f>
        <v/>
      </c>
      <c r="V1000" s="15" t="n"/>
      <c r="W1000" s="5" t="inlineStr">
        <is>
          <t>N</t>
        </is>
      </c>
      <c r="X1000" s="5" t="n"/>
      <c r="Y1000" s="5" t="n"/>
      <c r="Z1000" s="5" t="n"/>
      <c r="AA1000" s="10">
        <f>IFERROR(IF(INDEX('Test catalog'!$O$2:$O$200,MATCH($AB1000,'Test catalog'!$A$2:$A$200,0))="","",INDEX('Test catalog'!$O$2:$O$200,MATCH($AB1000,'Test catalog'!$A$2:$A$200,0))),"")</f>
        <v/>
      </c>
      <c r="AB1000" s="10" t="inlineStr">
        <is>
          <t>TITR</t>
        </is>
      </c>
      <c r="AC1000" s="10" t="inlineStr">
        <is>
          <t>Methacrylic Acid and Ethyl Acrylate Copolymer · Identification &lt;541&gt;</t>
        </is>
      </c>
      <c r="AD1000" s="10" t="n"/>
      <c r="AE1000" s="10" t="n"/>
    </row>
    <row r="1001">
      <c r="A1001" s="10" t="inlineStr">
        <is>
          <t>Methacrylic Acid Copolymer (Eudragit L100-55)</t>
        </is>
      </c>
      <c r="B1001" s="10" t="inlineStr">
        <is>
          <t>RM</t>
        </is>
      </c>
      <c r="C1001" s="10" t="inlineStr">
        <is>
          <t>Release / Matrix Polymer</t>
        </is>
      </c>
      <c r="D1001" s="10" t="inlineStr">
        <is>
          <t>Residue on Ignition</t>
        </is>
      </c>
      <c r="E1001" s="10">
        <f>IF(A1001="","",A1001&amp;"|"&amp;D1001)</f>
        <v/>
      </c>
      <c r="F1001" s="5" t="inlineStr">
        <is>
          <t>Y</t>
        </is>
      </c>
      <c r="G1001" s="5" t="inlineStr">
        <is>
          <t>Other / bench</t>
        </is>
      </c>
      <c r="H1001" s="5" t="inlineStr">
        <is>
          <t>Low</t>
        </is>
      </c>
      <c r="I1001" s="5" t="n">
        <v>1</v>
      </c>
      <c r="J1001" s="5" t="n"/>
      <c r="K1001" s="10">
        <f>IFERROR(IF(INDEX('Test catalog'!$F$2:$F$200,MATCH($AB1001,'Test catalog'!$A$2:$A$200,0))="","",INDEX('Test catalog'!$F$2:$F$200,MATCH($AB1001,'Test catalog'!$A$2:$A$200,0))),"")</f>
        <v/>
      </c>
      <c r="L1001" s="10">
        <f>IFERROR(IF(INDEX('Test catalog'!$G$2:$G$200,MATCH($AB1001,'Test catalog'!$A$2:$A$200,0))="","",INDEX('Test catalog'!$G$2:$G$200,MATCH($AB1001,'Test catalog'!$A$2:$A$200,0))),"")</f>
        <v/>
      </c>
      <c r="M1001" s="10">
        <f>IFERROR(IF(INDEX('Test catalog'!$H$2:$H$200,MATCH($AB1001,'Test catalog'!$A$2:$A$200,0))="","",INDEX('Test catalog'!$H$2:$H$200,MATCH($AB1001,'Test catalog'!$A$2:$A$200,0))),"")</f>
        <v/>
      </c>
      <c r="N1001" s="10">
        <f>IFERROR(IF(INDEX('Test catalog'!$I$2:$I$200,MATCH($AB1001,'Test catalog'!$A$2:$A$200,0))="","",INDEX('Test catalog'!$I$2:$I$200,MATCH($AB1001,'Test catalog'!$A$2:$A$200,0))),"")</f>
        <v/>
      </c>
      <c r="O1001" s="10">
        <f>IFERROR(IF(INDEX('Test catalog'!$J$2:$J$200,MATCH($AB1001,'Test catalog'!$A$2:$A$200,0))="","",INDEX('Test catalog'!$J$2:$J$200,MATCH($AB1001,'Test catalog'!$A$2:$A$200,0))),"")</f>
        <v/>
      </c>
      <c r="P1001" s="14">
        <f>IF(N1001="","",IF(OR(M1001="",O1001=""),N1001,(M1001+4*N1001+O1001)/6))</f>
        <v/>
      </c>
      <c r="Q1001" s="10">
        <f>IFERROR(IF(INDEX('Test catalog'!$K$2:$K$200,MATCH($AB1001,'Test catalog'!$A$2:$A$200,0))="","",INDEX('Test catalog'!$K$2:$K$200,MATCH($AB1001,'Test catalog'!$A$2:$A$200,0))),"")</f>
        <v/>
      </c>
      <c r="R1001" s="5" t="n"/>
      <c r="S1001" s="10">
        <f>IFERROR(IF(INDEX('Test catalog'!$L$2:$L$200,MATCH($AB1001,'Test catalog'!$A$2:$A$200,0))="","",INDEX('Test catalog'!$L$2:$L$200,MATCH($AB1001,'Test catalog'!$A$2:$A$200,0))),"")</f>
        <v/>
      </c>
      <c r="T1001" s="10">
        <f>IFERROR(IF(INDEX('Test catalog'!$M$2:$M$200,MATCH($AB1001,'Test catalog'!$A$2:$A$200,0))="","",INDEX('Test catalog'!$M$2:$M$200,MATCH($AB1001,'Test catalog'!$A$2:$A$200,0))),"")</f>
        <v/>
      </c>
      <c r="U1001" s="10">
        <f>IFERROR(IF(INDEX('Test catalog'!$N$2:$N$200,MATCH($AB1001,'Test catalog'!$A$2:$A$200,0))="","",INDEX('Test catalog'!$N$2:$N$200,MATCH($AB1001,'Test catalog'!$A$2:$A$200,0))),"")</f>
        <v/>
      </c>
      <c r="V1001" s="15" t="n"/>
      <c r="W1001" s="5" t="inlineStr">
        <is>
          <t>N</t>
        </is>
      </c>
      <c r="X1001" s="5" t="n"/>
      <c r="Y1001" s="5" t="n"/>
      <c r="Z1001" s="5" t="n"/>
      <c r="AA1001" s="10">
        <f>IFERROR(IF(INDEX('Test catalog'!$O$2:$O$200,MATCH($AB1001,'Test catalog'!$A$2:$A$200,0))="","",INDEX('Test catalog'!$O$2:$O$200,MATCH($AB1001,'Test catalog'!$A$2:$A$200,0))),"")</f>
        <v/>
      </c>
      <c r="AB1001" s="10" t="inlineStr">
        <is>
          <t>ROI</t>
        </is>
      </c>
      <c r="AC1001" s="10" t="inlineStr">
        <is>
          <t>Methacrylic Acid and Ethyl Acrylate Copolymer · Impurities &lt;281&gt;</t>
        </is>
      </c>
      <c r="AD1001" s="10" t="n"/>
      <c r="AE1001" s="10" t="n"/>
    </row>
    <row r="1002">
      <c r="A1002" s="10" t="inlineStr">
        <is>
          <t>Methacrylic Acid Copolymer (Eudragit L100-55)</t>
        </is>
      </c>
      <c r="B1002" s="10" t="inlineStr">
        <is>
          <t>RM</t>
        </is>
      </c>
      <c r="C1002" s="10" t="inlineStr">
        <is>
          <t>Release / Matrix Polymer</t>
        </is>
      </c>
      <c r="D1002" s="10" t="inlineStr">
        <is>
          <t>Limit of Methacrylic Acid and Ethyl Acrylate (HPLC)</t>
        </is>
      </c>
      <c r="E1002" s="10">
        <f>IF(A1002="","",A1002&amp;"|"&amp;D1002)</f>
        <v/>
      </c>
      <c r="F1002" s="5" t="inlineStr">
        <is>
          <t>Y</t>
        </is>
      </c>
      <c r="G1002" s="5" t="inlineStr">
        <is>
          <t>HPLC</t>
        </is>
      </c>
      <c r="H1002" s="5" t="inlineStr">
        <is>
          <t>Medium</t>
        </is>
      </c>
      <c r="I1002" s="5" t="n">
        <v>1</v>
      </c>
      <c r="J1002" s="5" t="n"/>
      <c r="K1002" s="5" t="n"/>
      <c r="L1002" s="5" t="n"/>
      <c r="M1002" s="5" t="n"/>
      <c r="N1002" s="5" t="n"/>
      <c r="O1002" s="5" t="n"/>
      <c r="P1002" s="14">
        <f>IF(N1002="","",IF(OR(M1002="",O1002=""),N1002,(M1002+4*N1002+O1002)/6))</f>
        <v/>
      </c>
      <c r="Q1002" s="5" t="n"/>
      <c r="R1002" s="5" t="n"/>
      <c r="S1002" s="5" t="n"/>
      <c r="T1002" s="5" t="n"/>
      <c r="U1002" s="5" t="n"/>
      <c r="V1002" s="15" t="n"/>
      <c r="W1002" s="5" t="inlineStr">
        <is>
          <t>N</t>
        </is>
      </c>
      <c r="X1002" s="5" t="n"/>
      <c r="Y1002" s="5" t="n"/>
      <c r="Z1002" s="5" t="n"/>
      <c r="AA1002" s="5" t="n"/>
      <c r="AB1002" s="10" t="n"/>
      <c r="AC1002" s="10" t="inlineStr">
        <is>
          <t>Methacrylic Acid and Ethyl Acrylate Copolymer · Impurities</t>
        </is>
      </c>
      <c r="AD1002" s="10" t="n"/>
      <c r="AE1002" s="10" t="n"/>
    </row>
    <row r="1003">
      <c r="A1003" s="10" t="inlineStr">
        <is>
          <t>Methacrylic Acid Copolymer (Eudragit L100-55)</t>
        </is>
      </c>
      <c r="B1003" s="10" t="inlineStr">
        <is>
          <t>RM</t>
        </is>
      </c>
      <c r="C1003" s="10" t="inlineStr">
        <is>
          <t>Release / Matrix Polymer</t>
        </is>
      </c>
      <c r="D1003" s="10" t="inlineStr">
        <is>
          <t>Viscosity—Rotational Methods</t>
        </is>
      </c>
      <c r="E1003" s="10">
        <f>IF(A1003="","",A1003&amp;"|"&amp;D1003)</f>
        <v/>
      </c>
      <c r="F1003" s="5" t="inlineStr">
        <is>
          <t>Y</t>
        </is>
      </c>
      <c r="G1003" s="5" t="inlineStr">
        <is>
          <t>Other / bench</t>
        </is>
      </c>
      <c r="H1003" s="5" t="inlineStr">
        <is>
          <t>Low</t>
        </is>
      </c>
      <c r="I1003" s="5" t="n">
        <v>1</v>
      </c>
      <c r="J1003" s="5" t="n"/>
      <c r="K1003" s="10">
        <f>IFERROR(IF(INDEX('Test catalog'!$F$2:$F$200,MATCH($AB1003,'Test catalog'!$A$2:$A$200,0))="","",INDEX('Test catalog'!$F$2:$F$200,MATCH($AB1003,'Test catalog'!$A$2:$A$200,0))),"")</f>
        <v/>
      </c>
      <c r="L1003" s="10">
        <f>IFERROR(IF(INDEX('Test catalog'!$G$2:$G$200,MATCH($AB1003,'Test catalog'!$A$2:$A$200,0))="","",INDEX('Test catalog'!$G$2:$G$200,MATCH($AB1003,'Test catalog'!$A$2:$A$200,0))),"")</f>
        <v/>
      </c>
      <c r="M1003" s="10">
        <f>IFERROR(IF(INDEX('Test catalog'!$H$2:$H$200,MATCH($AB1003,'Test catalog'!$A$2:$A$200,0))="","",INDEX('Test catalog'!$H$2:$H$200,MATCH($AB1003,'Test catalog'!$A$2:$A$200,0))),"")</f>
        <v/>
      </c>
      <c r="N1003" s="10">
        <f>IFERROR(IF(INDEX('Test catalog'!$I$2:$I$200,MATCH($AB1003,'Test catalog'!$A$2:$A$200,0))="","",INDEX('Test catalog'!$I$2:$I$200,MATCH($AB1003,'Test catalog'!$A$2:$A$200,0))),"")</f>
        <v/>
      </c>
      <c r="O1003" s="10">
        <f>IFERROR(IF(INDEX('Test catalog'!$J$2:$J$200,MATCH($AB1003,'Test catalog'!$A$2:$A$200,0))="","",INDEX('Test catalog'!$J$2:$J$200,MATCH($AB1003,'Test catalog'!$A$2:$A$200,0))),"")</f>
        <v/>
      </c>
      <c r="P1003" s="14">
        <f>IF(N1003="","",IF(OR(M1003="",O1003=""),N1003,(M1003+4*N1003+O1003)/6))</f>
        <v/>
      </c>
      <c r="Q1003" s="10">
        <f>IFERROR(IF(INDEX('Test catalog'!$K$2:$K$200,MATCH($AB1003,'Test catalog'!$A$2:$A$200,0))="","",INDEX('Test catalog'!$K$2:$K$200,MATCH($AB1003,'Test catalog'!$A$2:$A$200,0))),"")</f>
        <v/>
      </c>
      <c r="R1003" s="5" t="n"/>
      <c r="S1003" s="10">
        <f>IFERROR(IF(INDEX('Test catalog'!$L$2:$L$200,MATCH($AB1003,'Test catalog'!$A$2:$A$200,0))="","",INDEX('Test catalog'!$L$2:$L$200,MATCH($AB1003,'Test catalog'!$A$2:$A$200,0))),"")</f>
        <v/>
      </c>
      <c r="T1003" s="10">
        <f>IFERROR(IF(INDEX('Test catalog'!$M$2:$M$200,MATCH($AB1003,'Test catalog'!$A$2:$A$200,0))="","",INDEX('Test catalog'!$M$2:$M$200,MATCH($AB1003,'Test catalog'!$A$2:$A$200,0))),"")</f>
        <v/>
      </c>
      <c r="U1003" s="10">
        <f>IFERROR(IF(INDEX('Test catalog'!$N$2:$N$200,MATCH($AB1003,'Test catalog'!$A$2:$A$200,0))="","",INDEX('Test catalog'!$N$2:$N$200,MATCH($AB1003,'Test catalog'!$A$2:$A$200,0))),"")</f>
        <v/>
      </c>
      <c r="V1003" s="15" t="n"/>
      <c r="W1003" s="5" t="inlineStr">
        <is>
          <t>N</t>
        </is>
      </c>
      <c r="X1003" s="5" t="n"/>
      <c r="Y1003" s="5" t="n"/>
      <c r="Z1003" s="5" t="n"/>
      <c r="AA1003" s="10">
        <f>IFERROR(IF(INDEX('Test catalog'!$O$2:$O$200,MATCH($AB1003,'Test catalog'!$A$2:$A$200,0))="","",INDEX('Test catalog'!$O$2:$O$200,MATCH($AB1003,'Test catalog'!$A$2:$A$200,0))),"")</f>
        <v/>
      </c>
      <c r="AB1003" s="10" t="inlineStr">
        <is>
          <t>VISC</t>
        </is>
      </c>
      <c r="AC1003" s="10" t="inlineStr">
        <is>
          <t>Methacrylic Acid and Ethyl Acrylate Copolymer · Impurities &lt;912&gt;</t>
        </is>
      </c>
      <c r="AD1003" s="10" t="n"/>
      <c r="AE1003" s="10" t="n"/>
    </row>
    <row r="1004">
      <c r="A1004" s="10" t="inlineStr">
        <is>
          <t>Methacrylic Acid Copolymer (Eudragit L100-55)</t>
        </is>
      </c>
      <c r="B1004" s="10" t="inlineStr">
        <is>
          <t>RM</t>
        </is>
      </c>
      <c r="C1004" s="10" t="inlineStr">
        <is>
          <t>Release / Matrix Polymer</t>
        </is>
      </c>
      <c r="D1004" s="10" t="inlineStr">
        <is>
          <t>Loss on Drying</t>
        </is>
      </c>
      <c r="E1004" s="10">
        <f>IF(A1004="","",A1004&amp;"|"&amp;D1004)</f>
        <v/>
      </c>
      <c r="F1004" s="5" t="inlineStr">
        <is>
          <t>Y</t>
        </is>
      </c>
      <c r="G1004" s="5" t="inlineStr">
        <is>
          <t>Other / bench</t>
        </is>
      </c>
      <c r="H1004" s="5" t="inlineStr">
        <is>
          <t>Low</t>
        </is>
      </c>
      <c r="I1004" s="5" t="n">
        <v>1</v>
      </c>
      <c r="J1004" s="5" t="n"/>
      <c r="K1004" s="10">
        <f>IFERROR(IF(INDEX('Test catalog'!$F$2:$F$200,MATCH($AB1004,'Test catalog'!$A$2:$A$200,0))="","",INDEX('Test catalog'!$F$2:$F$200,MATCH($AB1004,'Test catalog'!$A$2:$A$200,0))),"")</f>
        <v/>
      </c>
      <c r="L1004" s="10">
        <f>IFERROR(IF(INDEX('Test catalog'!$G$2:$G$200,MATCH($AB1004,'Test catalog'!$A$2:$A$200,0))="","",INDEX('Test catalog'!$G$2:$G$200,MATCH($AB1004,'Test catalog'!$A$2:$A$200,0))),"")</f>
        <v/>
      </c>
      <c r="M1004" s="10">
        <f>IFERROR(IF(INDEX('Test catalog'!$H$2:$H$200,MATCH($AB1004,'Test catalog'!$A$2:$A$200,0))="","",INDEX('Test catalog'!$H$2:$H$200,MATCH($AB1004,'Test catalog'!$A$2:$A$200,0))),"")</f>
        <v/>
      </c>
      <c r="N1004" s="10">
        <f>IFERROR(IF(INDEX('Test catalog'!$I$2:$I$200,MATCH($AB1004,'Test catalog'!$A$2:$A$200,0))="","",INDEX('Test catalog'!$I$2:$I$200,MATCH($AB1004,'Test catalog'!$A$2:$A$200,0))),"")</f>
        <v/>
      </c>
      <c r="O1004" s="10">
        <f>IFERROR(IF(INDEX('Test catalog'!$J$2:$J$200,MATCH($AB1004,'Test catalog'!$A$2:$A$200,0))="","",INDEX('Test catalog'!$J$2:$J$200,MATCH($AB1004,'Test catalog'!$A$2:$A$200,0))),"")</f>
        <v/>
      </c>
      <c r="P1004" s="14">
        <f>IF(N1004="","",IF(OR(M1004="",O1004=""),N1004,(M1004+4*N1004+O1004)/6))</f>
        <v/>
      </c>
      <c r="Q1004" s="10">
        <f>IFERROR(IF(INDEX('Test catalog'!$K$2:$K$200,MATCH($AB1004,'Test catalog'!$A$2:$A$200,0))="","",INDEX('Test catalog'!$K$2:$K$200,MATCH($AB1004,'Test catalog'!$A$2:$A$200,0))),"")</f>
        <v/>
      </c>
      <c r="R1004" s="5" t="n"/>
      <c r="S1004" s="10">
        <f>IFERROR(IF(INDEX('Test catalog'!$L$2:$L$200,MATCH($AB1004,'Test catalog'!$A$2:$A$200,0))="","",INDEX('Test catalog'!$L$2:$L$200,MATCH($AB1004,'Test catalog'!$A$2:$A$200,0))),"")</f>
        <v/>
      </c>
      <c r="T1004" s="10">
        <f>IFERROR(IF(INDEX('Test catalog'!$M$2:$M$200,MATCH($AB1004,'Test catalog'!$A$2:$A$200,0))="","",INDEX('Test catalog'!$M$2:$M$200,MATCH($AB1004,'Test catalog'!$A$2:$A$200,0))),"")</f>
        <v/>
      </c>
      <c r="U1004" s="10">
        <f>IFERROR(IF(INDEX('Test catalog'!$N$2:$N$200,MATCH($AB1004,'Test catalog'!$A$2:$A$200,0))="","",INDEX('Test catalog'!$N$2:$N$200,MATCH($AB1004,'Test catalog'!$A$2:$A$200,0))),"")</f>
        <v/>
      </c>
      <c r="V1004" s="15" t="n"/>
      <c r="W1004" s="5" t="inlineStr">
        <is>
          <t>N</t>
        </is>
      </c>
      <c r="X1004" s="5" t="n"/>
      <c r="Y1004" s="5" t="n"/>
      <c r="Z1004" s="5" t="n"/>
      <c r="AA1004" s="10">
        <f>IFERROR(IF(INDEX('Test catalog'!$O$2:$O$200,MATCH($AB1004,'Test catalog'!$A$2:$A$200,0))="","",INDEX('Test catalog'!$O$2:$O$200,MATCH($AB1004,'Test catalog'!$A$2:$A$200,0))),"")</f>
        <v/>
      </c>
      <c r="AB1004" s="10" t="inlineStr">
        <is>
          <t>LOD</t>
        </is>
      </c>
      <c r="AC1004" s="10" t="inlineStr">
        <is>
          <t>Methacrylic Acid and Ethyl Acrylate Copolymer · Specific Tests &lt;731&gt;</t>
        </is>
      </c>
      <c r="AD1004" s="10" t="n"/>
      <c r="AE1004" s="10" t="n"/>
    </row>
    <row r="1005">
      <c r="A1005" s="10" t="inlineStr">
        <is>
          <t>Deionized Water</t>
        </is>
      </c>
      <c r="B1005" s="10" t="inlineStr">
        <is>
          <t>RM</t>
        </is>
      </c>
      <c r="C1005" s="10" t="inlineStr">
        <is>
          <t>Solvent</t>
        </is>
      </c>
      <c r="D1005" s="10" t="inlineStr">
        <is>
          <t>Appearance / description and solubility</t>
        </is>
      </c>
      <c r="E1005" s="10">
        <f>IF(A1005="","",A1005&amp;"|"&amp;D1005)</f>
        <v/>
      </c>
      <c r="F1005" s="5" t="inlineStr">
        <is>
          <t>Y</t>
        </is>
      </c>
      <c r="G1005" s="5" t="inlineStr">
        <is>
          <t>Other / bench</t>
        </is>
      </c>
      <c r="H1005" s="5" t="inlineStr">
        <is>
          <t>Low</t>
        </is>
      </c>
      <c r="I1005" s="5" t="n">
        <v>1</v>
      </c>
      <c r="J1005" s="5" t="n"/>
      <c r="K1005" s="10">
        <f>IFERROR(IF(INDEX('Test catalog'!$F$2:$F$200,MATCH($AB1005,'Test catalog'!$A$2:$A$200,0))="","",INDEX('Test catalog'!$F$2:$F$200,MATCH($AB1005,'Test catalog'!$A$2:$A$200,0))),"")</f>
        <v/>
      </c>
      <c r="L1005" s="10">
        <f>IFERROR(IF(INDEX('Test catalog'!$G$2:$G$200,MATCH($AB1005,'Test catalog'!$A$2:$A$200,0))="","",INDEX('Test catalog'!$G$2:$G$200,MATCH($AB1005,'Test catalog'!$A$2:$A$200,0))),"")</f>
        <v/>
      </c>
      <c r="M1005" s="10">
        <f>IFERROR(IF(INDEX('Test catalog'!$H$2:$H$200,MATCH($AB1005,'Test catalog'!$A$2:$A$200,0))="","",INDEX('Test catalog'!$H$2:$H$200,MATCH($AB1005,'Test catalog'!$A$2:$A$200,0))),"")</f>
        <v/>
      </c>
      <c r="N1005" s="10">
        <f>IFERROR(IF(INDEX('Test catalog'!$I$2:$I$200,MATCH($AB1005,'Test catalog'!$A$2:$A$200,0))="","",INDEX('Test catalog'!$I$2:$I$200,MATCH($AB1005,'Test catalog'!$A$2:$A$200,0))),"")</f>
        <v/>
      </c>
      <c r="O1005" s="10">
        <f>IFERROR(IF(INDEX('Test catalog'!$J$2:$J$200,MATCH($AB1005,'Test catalog'!$A$2:$A$200,0))="","",INDEX('Test catalog'!$J$2:$J$200,MATCH($AB1005,'Test catalog'!$A$2:$A$200,0))),"")</f>
        <v/>
      </c>
      <c r="P1005" s="14">
        <f>IF(N1005="","",IF(OR(M1005="",O1005=""),N1005,(M1005+4*N1005+O1005)/6))</f>
        <v/>
      </c>
      <c r="Q1005" s="10">
        <f>IFERROR(IF(INDEX('Test catalog'!$K$2:$K$200,MATCH($AB1005,'Test catalog'!$A$2:$A$200,0))="","",INDEX('Test catalog'!$K$2:$K$200,MATCH($AB1005,'Test catalog'!$A$2:$A$200,0))),"")</f>
        <v/>
      </c>
      <c r="R1005" s="5" t="n"/>
      <c r="S1005" s="10">
        <f>IFERROR(IF(INDEX('Test catalog'!$L$2:$L$200,MATCH($AB1005,'Test catalog'!$A$2:$A$200,0))="","",INDEX('Test catalog'!$L$2:$L$200,MATCH($AB1005,'Test catalog'!$A$2:$A$200,0))),"")</f>
        <v/>
      </c>
      <c r="T1005" s="10">
        <f>IFERROR(IF(INDEX('Test catalog'!$M$2:$M$200,MATCH($AB1005,'Test catalog'!$A$2:$A$200,0))="","",INDEX('Test catalog'!$M$2:$M$200,MATCH($AB1005,'Test catalog'!$A$2:$A$200,0))),"")</f>
        <v/>
      </c>
      <c r="U1005" s="10">
        <f>IFERROR(IF(INDEX('Test catalog'!$N$2:$N$200,MATCH($AB1005,'Test catalog'!$A$2:$A$200,0))="","",INDEX('Test catalog'!$N$2:$N$200,MATCH($AB1005,'Test catalog'!$A$2:$A$200,0))),"")</f>
        <v/>
      </c>
      <c r="V1005" s="15" t="n"/>
      <c r="W1005" s="5" t="inlineStr">
        <is>
          <t>N</t>
        </is>
      </c>
      <c r="X1005" s="5" t="n"/>
      <c r="Y1005" s="5" t="n"/>
      <c r="Z1005" s="5" t="n"/>
      <c r="AA1005" s="10">
        <f>IFERROR(IF(INDEX('Test catalog'!$O$2:$O$200,MATCH($AB1005,'Test catalog'!$A$2:$A$200,0))="","",INDEX('Test catalog'!$O$2:$O$200,MATCH($AB1005,'Test catalog'!$A$2:$A$200,0))),"")</f>
        <v/>
      </c>
      <c r="AB1005" s="10" t="inlineStr">
        <is>
          <t>APPEAR</t>
        </is>
      </c>
      <c r="AC1005" s="10" t="inlineStr">
        <is>
          <t>Lab practice (not a USP test)</t>
        </is>
      </c>
      <c r="AD1005" s="10" t="n"/>
      <c r="AE1005" s="10" t="n"/>
    </row>
    <row r="1006">
      <c r="A1006" s="10" t="inlineStr">
        <is>
          <t>Deionized Water</t>
        </is>
      </c>
      <c r="B1006" s="10" t="inlineStr">
        <is>
          <t>RM</t>
        </is>
      </c>
      <c r="C1006" s="10" t="inlineStr">
        <is>
          <t>Solvent</t>
        </is>
      </c>
      <c r="D1006" s="10" t="inlineStr">
        <is>
          <t>Total Organic Carbon</t>
        </is>
      </c>
      <c r="E1006" s="10">
        <f>IF(A1006="","",A1006&amp;"|"&amp;D1006)</f>
        <v/>
      </c>
      <c r="F1006" s="5" t="inlineStr">
        <is>
          <t>Y</t>
        </is>
      </c>
      <c r="G1006" s="5" t="inlineStr">
        <is>
          <t>Other / bench</t>
        </is>
      </c>
      <c r="H1006" s="5" t="inlineStr">
        <is>
          <t>Low</t>
        </is>
      </c>
      <c r="I1006" s="5" t="n">
        <v>1</v>
      </c>
      <c r="J1006" s="5" t="n"/>
      <c r="K1006" s="10">
        <f>IFERROR(IF(INDEX('Test catalog'!$F$2:$F$200,MATCH($AB1006,'Test catalog'!$A$2:$A$200,0))="","",INDEX('Test catalog'!$F$2:$F$200,MATCH($AB1006,'Test catalog'!$A$2:$A$200,0))),"")</f>
        <v/>
      </c>
      <c r="L1006" s="10">
        <f>IFERROR(IF(INDEX('Test catalog'!$G$2:$G$200,MATCH($AB1006,'Test catalog'!$A$2:$A$200,0))="","",INDEX('Test catalog'!$G$2:$G$200,MATCH($AB1006,'Test catalog'!$A$2:$A$200,0))),"")</f>
        <v/>
      </c>
      <c r="M1006" s="10">
        <f>IFERROR(IF(INDEX('Test catalog'!$H$2:$H$200,MATCH($AB1006,'Test catalog'!$A$2:$A$200,0))="","",INDEX('Test catalog'!$H$2:$H$200,MATCH($AB1006,'Test catalog'!$A$2:$A$200,0))),"")</f>
        <v/>
      </c>
      <c r="N1006" s="10">
        <f>IFERROR(IF(INDEX('Test catalog'!$I$2:$I$200,MATCH($AB1006,'Test catalog'!$A$2:$A$200,0))="","",INDEX('Test catalog'!$I$2:$I$200,MATCH($AB1006,'Test catalog'!$A$2:$A$200,0))),"")</f>
        <v/>
      </c>
      <c r="O1006" s="10">
        <f>IFERROR(IF(INDEX('Test catalog'!$J$2:$J$200,MATCH($AB1006,'Test catalog'!$A$2:$A$200,0))="","",INDEX('Test catalog'!$J$2:$J$200,MATCH($AB1006,'Test catalog'!$A$2:$A$200,0))),"")</f>
        <v/>
      </c>
      <c r="P1006" s="14">
        <f>IF(N1006="","",IF(OR(M1006="",O1006=""),N1006,(M1006+4*N1006+O1006)/6))</f>
        <v/>
      </c>
      <c r="Q1006" s="10">
        <f>IFERROR(IF(INDEX('Test catalog'!$K$2:$K$200,MATCH($AB1006,'Test catalog'!$A$2:$A$200,0))="","",INDEX('Test catalog'!$K$2:$K$200,MATCH($AB1006,'Test catalog'!$A$2:$A$200,0))),"")</f>
        <v/>
      </c>
      <c r="R1006" s="5" t="n"/>
      <c r="S1006" s="10">
        <f>IFERROR(IF(INDEX('Test catalog'!$L$2:$L$200,MATCH($AB1006,'Test catalog'!$A$2:$A$200,0))="","",INDEX('Test catalog'!$L$2:$L$200,MATCH($AB1006,'Test catalog'!$A$2:$A$200,0))),"")</f>
        <v/>
      </c>
      <c r="T1006" s="10">
        <f>IFERROR(IF(INDEX('Test catalog'!$M$2:$M$200,MATCH($AB1006,'Test catalog'!$A$2:$A$200,0))="","",INDEX('Test catalog'!$M$2:$M$200,MATCH($AB1006,'Test catalog'!$A$2:$A$200,0))),"")</f>
        <v/>
      </c>
      <c r="U1006" s="10">
        <f>IFERROR(IF(INDEX('Test catalog'!$N$2:$N$200,MATCH($AB1006,'Test catalog'!$A$2:$A$200,0))="","",INDEX('Test catalog'!$N$2:$N$200,MATCH($AB1006,'Test catalog'!$A$2:$A$200,0))),"")</f>
        <v/>
      </c>
      <c r="V1006" s="15" t="n"/>
      <c r="W1006" s="5" t="inlineStr">
        <is>
          <t>N</t>
        </is>
      </c>
      <c r="X1006" s="5" t="n"/>
      <c r="Y1006" s="5" t="n"/>
      <c r="Z1006" s="5" t="n"/>
      <c r="AA1006" s="10">
        <f>IFERROR(IF(INDEX('Test catalog'!$O$2:$O$200,MATCH($AB1006,'Test catalog'!$A$2:$A$200,0))="","",INDEX('Test catalog'!$O$2:$O$200,MATCH($AB1006,'Test catalog'!$A$2:$A$200,0))),"")</f>
        <v/>
      </c>
      <c r="AB1006" s="10" t="inlineStr">
        <is>
          <t>TOC</t>
        </is>
      </c>
      <c r="AC1006" s="10" t="inlineStr">
        <is>
          <t>Purified Water · Specific Tests &lt;643&gt;</t>
        </is>
      </c>
      <c r="AD1006" s="10" t="n"/>
      <c r="AE1006" s="10" t="n"/>
    </row>
    <row r="1007">
      <c r="A1007" s="10" t="inlineStr">
        <is>
          <t>Ethanol (% not stated)</t>
        </is>
      </c>
      <c r="B1007" s="10" t="inlineStr">
        <is>
          <t>RM</t>
        </is>
      </c>
      <c r="C1007" s="10" t="inlineStr">
        <is>
          <t>Solvent</t>
        </is>
      </c>
      <c r="D1007" s="10" t="inlineStr">
        <is>
          <t>Appearance / description and solubility</t>
        </is>
      </c>
      <c r="E1007" s="10">
        <f>IF(A1007="","",A1007&amp;"|"&amp;D1007)</f>
        <v/>
      </c>
      <c r="F1007" s="5" t="inlineStr">
        <is>
          <t>Y</t>
        </is>
      </c>
      <c r="G1007" s="5" t="inlineStr">
        <is>
          <t>Other / bench</t>
        </is>
      </c>
      <c r="H1007" s="5" t="inlineStr">
        <is>
          <t>Low</t>
        </is>
      </c>
      <c r="I1007" s="5" t="n">
        <v>1</v>
      </c>
      <c r="J1007" s="5" t="n"/>
      <c r="K1007" s="10">
        <f>IFERROR(IF(INDEX('Test catalog'!$F$2:$F$200,MATCH($AB1007,'Test catalog'!$A$2:$A$200,0))="","",INDEX('Test catalog'!$F$2:$F$200,MATCH($AB1007,'Test catalog'!$A$2:$A$200,0))),"")</f>
        <v/>
      </c>
      <c r="L1007" s="10">
        <f>IFERROR(IF(INDEX('Test catalog'!$G$2:$G$200,MATCH($AB1007,'Test catalog'!$A$2:$A$200,0))="","",INDEX('Test catalog'!$G$2:$G$200,MATCH($AB1007,'Test catalog'!$A$2:$A$200,0))),"")</f>
        <v/>
      </c>
      <c r="M1007" s="10">
        <f>IFERROR(IF(INDEX('Test catalog'!$H$2:$H$200,MATCH($AB1007,'Test catalog'!$A$2:$A$200,0))="","",INDEX('Test catalog'!$H$2:$H$200,MATCH($AB1007,'Test catalog'!$A$2:$A$200,0))),"")</f>
        <v/>
      </c>
      <c r="N1007" s="10">
        <f>IFERROR(IF(INDEX('Test catalog'!$I$2:$I$200,MATCH($AB1007,'Test catalog'!$A$2:$A$200,0))="","",INDEX('Test catalog'!$I$2:$I$200,MATCH($AB1007,'Test catalog'!$A$2:$A$200,0))),"")</f>
        <v/>
      </c>
      <c r="O1007" s="10">
        <f>IFERROR(IF(INDEX('Test catalog'!$J$2:$J$200,MATCH($AB1007,'Test catalog'!$A$2:$A$200,0))="","",INDEX('Test catalog'!$J$2:$J$200,MATCH($AB1007,'Test catalog'!$A$2:$A$200,0))),"")</f>
        <v/>
      </c>
      <c r="P1007" s="14">
        <f>IF(N1007="","",IF(OR(M1007="",O1007=""),N1007,(M1007+4*N1007+O1007)/6))</f>
        <v/>
      </c>
      <c r="Q1007" s="10">
        <f>IFERROR(IF(INDEX('Test catalog'!$K$2:$K$200,MATCH($AB1007,'Test catalog'!$A$2:$A$200,0))="","",INDEX('Test catalog'!$K$2:$K$200,MATCH($AB1007,'Test catalog'!$A$2:$A$200,0))),"")</f>
        <v/>
      </c>
      <c r="R1007" s="5" t="n"/>
      <c r="S1007" s="10">
        <f>IFERROR(IF(INDEX('Test catalog'!$L$2:$L$200,MATCH($AB1007,'Test catalog'!$A$2:$A$200,0))="","",INDEX('Test catalog'!$L$2:$L$200,MATCH($AB1007,'Test catalog'!$A$2:$A$200,0))),"")</f>
        <v/>
      </c>
      <c r="T1007" s="10">
        <f>IFERROR(IF(INDEX('Test catalog'!$M$2:$M$200,MATCH($AB1007,'Test catalog'!$A$2:$A$200,0))="","",INDEX('Test catalog'!$M$2:$M$200,MATCH($AB1007,'Test catalog'!$A$2:$A$200,0))),"")</f>
        <v/>
      </c>
      <c r="U1007" s="10">
        <f>IFERROR(IF(INDEX('Test catalog'!$N$2:$N$200,MATCH($AB1007,'Test catalog'!$A$2:$A$200,0))="","",INDEX('Test catalog'!$N$2:$N$200,MATCH($AB1007,'Test catalog'!$A$2:$A$200,0))),"")</f>
        <v/>
      </c>
      <c r="V1007" s="15" t="n"/>
      <c r="W1007" s="5" t="inlineStr">
        <is>
          <t>N</t>
        </is>
      </c>
      <c r="X1007" s="5" t="n"/>
      <c r="Y1007" s="5" t="n"/>
      <c r="Z1007" s="5" t="n"/>
      <c r="AA1007" s="10">
        <f>IFERROR(IF(INDEX('Test catalog'!$O$2:$O$200,MATCH($AB1007,'Test catalog'!$A$2:$A$200,0))="","",INDEX('Test catalog'!$O$2:$O$200,MATCH($AB1007,'Test catalog'!$A$2:$A$200,0))),"")</f>
        <v/>
      </c>
      <c r="AB1007" s="10" t="inlineStr">
        <is>
          <t>APPEAR</t>
        </is>
      </c>
      <c r="AC1007" s="10" t="inlineStr">
        <is>
          <t>Lab practice (not a USP test)</t>
        </is>
      </c>
      <c r="AD1007" s="10" t="n"/>
      <c r="AE1007" s="10" t="n"/>
    </row>
    <row r="1008">
      <c r="A1008" s="10" t="inlineStr">
        <is>
          <t>Ethanol (% not stated)</t>
        </is>
      </c>
      <c r="B1008" s="10" t="inlineStr">
        <is>
          <t>RM</t>
        </is>
      </c>
      <c r="C1008" s="10" t="inlineStr">
        <is>
          <t>Solvent</t>
        </is>
      </c>
      <c r="D1008" s="10" t="inlineStr">
        <is>
          <t>ID A - Specific gravity / density</t>
        </is>
      </c>
      <c r="E1008" s="10">
        <f>IF(A1008="","",A1008&amp;"|"&amp;D1008)</f>
        <v/>
      </c>
      <c r="F1008" s="5" t="inlineStr">
        <is>
          <t>Y</t>
        </is>
      </c>
      <c r="G1008" s="5" t="inlineStr">
        <is>
          <t>Other / bench</t>
        </is>
      </c>
      <c r="H1008" s="5" t="inlineStr">
        <is>
          <t>Low</t>
        </is>
      </c>
      <c r="I1008" s="5" t="n">
        <v>1</v>
      </c>
      <c r="J1008" s="5" t="n"/>
      <c r="K1008" s="10">
        <f>IFERROR(IF(INDEX('Test catalog'!$F$2:$F$200,MATCH($AB1008,'Test catalog'!$A$2:$A$200,0))="","",INDEX('Test catalog'!$F$2:$F$200,MATCH($AB1008,'Test catalog'!$A$2:$A$200,0))),"")</f>
        <v/>
      </c>
      <c r="L1008" s="10">
        <f>IFERROR(IF(INDEX('Test catalog'!$G$2:$G$200,MATCH($AB1008,'Test catalog'!$A$2:$A$200,0))="","",INDEX('Test catalog'!$G$2:$G$200,MATCH($AB1008,'Test catalog'!$A$2:$A$200,0))),"")</f>
        <v/>
      </c>
      <c r="M1008" s="10">
        <f>IFERROR(IF(INDEX('Test catalog'!$H$2:$H$200,MATCH($AB1008,'Test catalog'!$A$2:$A$200,0))="","",INDEX('Test catalog'!$H$2:$H$200,MATCH($AB1008,'Test catalog'!$A$2:$A$200,0))),"")</f>
        <v/>
      </c>
      <c r="N1008" s="10">
        <f>IFERROR(IF(INDEX('Test catalog'!$I$2:$I$200,MATCH($AB1008,'Test catalog'!$A$2:$A$200,0))="","",INDEX('Test catalog'!$I$2:$I$200,MATCH($AB1008,'Test catalog'!$A$2:$A$200,0))),"")</f>
        <v/>
      </c>
      <c r="O1008" s="10">
        <f>IFERROR(IF(INDEX('Test catalog'!$J$2:$J$200,MATCH($AB1008,'Test catalog'!$A$2:$A$200,0))="","",INDEX('Test catalog'!$J$2:$J$200,MATCH($AB1008,'Test catalog'!$A$2:$A$200,0))),"")</f>
        <v/>
      </c>
      <c r="P1008" s="14">
        <f>IF(N1008="","",IF(OR(M1008="",O1008=""),N1008,(M1008+4*N1008+O1008)/6))</f>
        <v/>
      </c>
      <c r="Q1008" s="10">
        <f>IFERROR(IF(INDEX('Test catalog'!$K$2:$K$200,MATCH($AB1008,'Test catalog'!$A$2:$A$200,0))="","",INDEX('Test catalog'!$K$2:$K$200,MATCH($AB1008,'Test catalog'!$A$2:$A$200,0))),"")</f>
        <v/>
      </c>
      <c r="R1008" s="5" t="n"/>
      <c r="S1008" s="10">
        <f>IFERROR(IF(INDEX('Test catalog'!$L$2:$L$200,MATCH($AB1008,'Test catalog'!$A$2:$A$200,0))="","",INDEX('Test catalog'!$L$2:$L$200,MATCH($AB1008,'Test catalog'!$A$2:$A$200,0))),"")</f>
        <v/>
      </c>
      <c r="T1008" s="10">
        <f>IFERROR(IF(INDEX('Test catalog'!$M$2:$M$200,MATCH($AB1008,'Test catalog'!$A$2:$A$200,0))="","",INDEX('Test catalog'!$M$2:$M$200,MATCH($AB1008,'Test catalog'!$A$2:$A$200,0))),"")</f>
        <v/>
      </c>
      <c r="U1008" s="10">
        <f>IFERROR(IF(INDEX('Test catalog'!$N$2:$N$200,MATCH($AB1008,'Test catalog'!$A$2:$A$200,0))="","",INDEX('Test catalog'!$N$2:$N$200,MATCH($AB1008,'Test catalog'!$A$2:$A$200,0))),"")</f>
        <v/>
      </c>
      <c r="V1008" s="15" t="n"/>
      <c r="W1008" s="5" t="inlineStr">
        <is>
          <t>N</t>
        </is>
      </c>
      <c r="X1008" s="5" t="n"/>
      <c r="Y1008" s="5" t="n"/>
      <c r="Z1008" s="5" t="n"/>
      <c r="AA1008" s="10">
        <f>IFERROR(IF(INDEX('Test catalog'!$O$2:$O$200,MATCH($AB1008,'Test catalog'!$A$2:$A$200,0))="","",INDEX('Test catalog'!$O$2:$O$200,MATCH($AB1008,'Test catalog'!$A$2:$A$200,0))),"")</f>
        <v/>
      </c>
      <c r="AB1008" s="10" t="inlineStr">
        <is>
          <t>SG</t>
        </is>
      </c>
      <c r="AC1008" s="10" t="inlineStr">
        <is>
          <t>Alcohol · Identification &lt;841&gt;</t>
        </is>
      </c>
      <c r="AD1008" s="10" t="n"/>
      <c r="AE1008" s="10" t="n"/>
    </row>
    <row r="1009">
      <c r="A1009" s="10" t="inlineStr">
        <is>
          <t>Ethanol (% not stated)</t>
        </is>
      </c>
      <c r="B1009" s="10" t="inlineStr">
        <is>
          <t>RM</t>
        </is>
      </c>
      <c r="C1009" s="10" t="inlineStr">
        <is>
          <t>Solvent</t>
        </is>
      </c>
      <c r="D1009" s="10" t="inlineStr">
        <is>
          <t>ID B - IR spectrum</t>
        </is>
      </c>
      <c r="E1009" s="10">
        <f>IF(A1009="","",A1009&amp;"|"&amp;D1009)</f>
        <v/>
      </c>
      <c r="F1009" s="5" t="inlineStr">
        <is>
          <t>Y</t>
        </is>
      </c>
      <c r="G1009" s="5" t="inlineStr">
        <is>
          <t>Other / bench</t>
        </is>
      </c>
      <c r="H1009" s="5" t="inlineStr">
        <is>
          <t>Low</t>
        </is>
      </c>
      <c r="I1009" s="5" t="n">
        <v>1</v>
      </c>
      <c r="J1009" s="5" t="n"/>
      <c r="K1009" s="10">
        <f>IFERROR(IF(INDEX('Test catalog'!$F$2:$F$200,MATCH($AB1009,'Test catalog'!$A$2:$A$200,0))="","",INDEX('Test catalog'!$F$2:$F$200,MATCH($AB1009,'Test catalog'!$A$2:$A$200,0))),"")</f>
        <v/>
      </c>
      <c r="L1009" s="10">
        <f>IFERROR(IF(INDEX('Test catalog'!$G$2:$G$200,MATCH($AB1009,'Test catalog'!$A$2:$A$200,0))="","",INDEX('Test catalog'!$G$2:$G$200,MATCH($AB1009,'Test catalog'!$A$2:$A$200,0))),"")</f>
        <v/>
      </c>
      <c r="M1009" s="10">
        <f>IFERROR(IF(INDEX('Test catalog'!$H$2:$H$200,MATCH($AB1009,'Test catalog'!$A$2:$A$200,0))="","",INDEX('Test catalog'!$H$2:$H$200,MATCH($AB1009,'Test catalog'!$A$2:$A$200,0))),"")</f>
        <v/>
      </c>
      <c r="N1009" s="10">
        <f>IFERROR(IF(INDEX('Test catalog'!$I$2:$I$200,MATCH($AB1009,'Test catalog'!$A$2:$A$200,0))="","",INDEX('Test catalog'!$I$2:$I$200,MATCH($AB1009,'Test catalog'!$A$2:$A$200,0))),"")</f>
        <v/>
      </c>
      <c r="O1009" s="10">
        <f>IFERROR(IF(INDEX('Test catalog'!$J$2:$J$200,MATCH($AB1009,'Test catalog'!$A$2:$A$200,0))="","",INDEX('Test catalog'!$J$2:$J$200,MATCH($AB1009,'Test catalog'!$A$2:$A$200,0))),"")</f>
        <v/>
      </c>
      <c r="P1009" s="14">
        <f>IF(N1009="","",IF(OR(M1009="",O1009=""),N1009,(M1009+4*N1009+O1009)/6))</f>
        <v/>
      </c>
      <c r="Q1009" s="10">
        <f>IFERROR(IF(INDEX('Test catalog'!$K$2:$K$200,MATCH($AB1009,'Test catalog'!$A$2:$A$200,0))="","",INDEX('Test catalog'!$K$2:$K$200,MATCH($AB1009,'Test catalog'!$A$2:$A$200,0))),"")</f>
        <v/>
      </c>
      <c r="R1009" s="5" t="n"/>
      <c r="S1009" s="10">
        <f>IFERROR(IF(INDEX('Test catalog'!$L$2:$L$200,MATCH($AB1009,'Test catalog'!$A$2:$A$200,0))="","",INDEX('Test catalog'!$L$2:$L$200,MATCH($AB1009,'Test catalog'!$A$2:$A$200,0))),"")</f>
        <v/>
      </c>
      <c r="T1009" s="10">
        <f>IFERROR(IF(INDEX('Test catalog'!$M$2:$M$200,MATCH($AB1009,'Test catalog'!$A$2:$A$200,0))="","",INDEX('Test catalog'!$M$2:$M$200,MATCH($AB1009,'Test catalog'!$A$2:$A$200,0))),"")</f>
        <v/>
      </c>
      <c r="U1009" s="10">
        <f>IFERROR(IF(INDEX('Test catalog'!$N$2:$N$200,MATCH($AB1009,'Test catalog'!$A$2:$A$200,0))="","",INDEX('Test catalog'!$N$2:$N$200,MATCH($AB1009,'Test catalog'!$A$2:$A$200,0))),"")</f>
        <v/>
      </c>
      <c r="V1009" s="15" t="n"/>
      <c r="W1009" s="5" t="inlineStr">
        <is>
          <t>N</t>
        </is>
      </c>
      <c r="X1009" s="5" t="n"/>
      <c r="Y1009" s="5" t="n"/>
      <c r="Z1009" s="5" t="n"/>
      <c r="AA1009" s="10">
        <f>IFERROR(IF(INDEX('Test catalog'!$O$2:$O$200,MATCH($AB1009,'Test catalog'!$A$2:$A$200,0))="","",INDEX('Test catalog'!$O$2:$O$200,MATCH($AB1009,'Test catalog'!$A$2:$A$200,0))),"")</f>
        <v/>
      </c>
      <c r="AB1009" s="10" t="inlineStr">
        <is>
          <t>ID_IR</t>
        </is>
      </c>
      <c r="AC1009" s="10" t="inlineStr">
        <is>
          <t>Alcohol · Identification &lt;197&gt;</t>
        </is>
      </c>
      <c r="AD1009" s="10" t="n"/>
      <c r="AE1009" s="10" t="n"/>
    </row>
    <row r="1010">
      <c r="A1010" s="10" t="inlineStr">
        <is>
          <t>Ethanol (% not stated)</t>
        </is>
      </c>
      <c r="B1010" s="10" t="inlineStr">
        <is>
          <t>RM</t>
        </is>
      </c>
      <c r="C1010" s="10" t="inlineStr">
        <is>
          <t>Solvent</t>
        </is>
      </c>
      <c r="D1010" s="10" t="inlineStr">
        <is>
          <t>ID C - HPLC</t>
        </is>
      </c>
      <c r="E1010" s="10">
        <f>IF(A1010="","",A1010&amp;"|"&amp;D1010)</f>
        <v/>
      </c>
      <c r="F1010" s="5" t="inlineStr">
        <is>
          <t>Y</t>
        </is>
      </c>
      <c r="G1010" s="5" t="inlineStr">
        <is>
          <t>HPLC</t>
        </is>
      </c>
      <c r="H1010" s="5" t="inlineStr">
        <is>
          <t>Medium</t>
        </is>
      </c>
      <c r="I1010" s="5" t="n">
        <v>1</v>
      </c>
      <c r="J1010" s="5" t="n"/>
      <c r="K1010" s="5" t="n"/>
      <c r="L1010" s="5" t="n"/>
      <c r="M1010" s="5" t="n"/>
      <c r="N1010" s="5" t="n"/>
      <c r="O1010" s="5" t="n"/>
      <c r="P1010" s="14">
        <f>IF(N1010="","",IF(OR(M1010="",O1010=""),N1010,(M1010+4*N1010+O1010)/6))</f>
        <v/>
      </c>
      <c r="Q1010" s="5" t="n"/>
      <c r="R1010" s="5" t="n"/>
      <c r="S1010" s="5" t="n"/>
      <c r="T1010" s="5" t="n"/>
      <c r="U1010" s="5" t="n"/>
      <c r="V1010" s="15" t="n"/>
      <c r="W1010" s="5" t="inlineStr">
        <is>
          <t>N</t>
        </is>
      </c>
      <c r="X1010" s="5" t="n"/>
      <c r="Y1010" s="5" t="n"/>
      <c r="Z1010" s="5" t="n"/>
      <c r="AA1010" s="5" t="n"/>
      <c r="AB1010" s="10" t="n"/>
      <c r="AC1010" s="10" t="inlineStr">
        <is>
          <t>Alcohol · Identification</t>
        </is>
      </c>
      <c r="AD1010" s="10" t="n"/>
      <c r="AE1010" s="10" t="n"/>
    </row>
    <row r="1011">
      <c r="A1011" s="10" t="inlineStr">
        <is>
          <t>Ethanol (% not stated)</t>
        </is>
      </c>
      <c r="B1011" s="10" t="inlineStr">
        <is>
          <t>RM</t>
        </is>
      </c>
      <c r="C1011" s="10" t="inlineStr">
        <is>
          <t>Solvent</t>
        </is>
      </c>
      <c r="D1011" s="10" t="inlineStr">
        <is>
          <t>Limit of Nonvolatile Residue</t>
        </is>
      </c>
      <c r="E1011" s="10">
        <f>IF(A1011="","",A1011&amp;"|"&amp;D1011)</f>
        <v/>
      </c>
      <c r="F1011" s="5" t="inlineStr">
        <is>
          <t>Y</t>
        </is>
      </c>
      <c r="G1011" s="5" t="inlineStr">
        <is>
          <t>Other / bench</t>
        </is>
      </c>
      <c r="H1011" s="5" t="inlineStr">
        <is>
          <t>Low</t>
        </is>
      </c>
      <c r="I1011" s="5" t="n">
        <v>1</v>
      </c>
      <c r="J1011" s="5" t="n"/>
      <c r="K1011" s="10">
        <f>IFERROR(IF(INDEX('Test catalog'!$F$2:$F$200,MATCH($AB1011,'Test catalog'!$A$2:$A$200,0))="","",INDEX('Test catalog'!$F$2:$F$200,MATCH($AB1011,'Test catalog'!$A$2:$A$200,0))),"")</f>
        <v/>
      </c>
      <c r="L1011" s="10">
        <f>IFERROR(IF(INDEX('Test catalog'!$G$2:$G$200,MATCH($AB1011,'Test catalog'!$A$2:$A$200,0))="","",INDEX('Test catalog'!$G$2:$G$200,MATCH($AB1011,'Test catalog'!$A$2:$A$200,0))),"")</f>
        <v/>
      </c>
      <c r="M1011" s="10">
        <f>IFERROR(IF(INDEX('Test catalog'!$H$2:$H$200,MATCH($AB1011,'Test catalog'!$A$2:$A$200,0))="","",INDEX('Test catalog'!$H$2:$H$200,MATCH($AB1011,'Test catalog'!$A$2:$A$200,0))),"")</f>
        <v/>
      </c>
      <c r="N1011" s="10">
        <f>IFERROR(IF(INDEX('Test catalog'!$I$2:$I$200,MATCH($AB1011,'Test catalog'!$A$2:$A$200,0))="","",INDEX('Test catalog'!$I$2:$I$200,MATCH($AB1011,'Test catalog'!$A$2:$A$200,0))),"")</f>
        <v/>
      </c>
      <c r="O1011" s="10">
        <f>IFERROR(IF(INDEX('Test catalog'!$J$2:$J$200,MATCH($AB1011,'Test catalog'!$A$2:$A$200,0))="","",INDEX('Test catalog'!$J$2:$J$200,MATCH($AB1011,'Test catalog'!$A$2:$A$200,0))),"")</f>
        <v/>
      </c>
      <c r="P1011" s="14">
        <f>IF(N1011="","",IF(OR(M1011="",O1011=""),N1011,(M1011+4*N1011+O1011)/6))</f>
        <v/>
      </c>
      <c r="Q1011" s="10">
        <f>IFERROR(IF(INDEX('Test catalog'!$K$2:$K$200,MATCH($AB1011,'Test catalog'!$A$2:$A$200,0))="","",INDEX('Test catalog'!$K$2:$K$200,MATCH($AB1011,'Test catalog'!$A$2:$A$200,0))),"")</f>
        <v/>
      </c>
      <c r="R1011" s="5" t="n"/>
      <c r="S1011" s="10">
        <f>IFERROR(IF(INDEX('Test catalog'!$L$2:$L$200,MATCH($AB1011,'Test catalog'!$A$2:$A$200,0))="","",INDEX('Test catalog'!$L$2:$L$200,MATCH($AB1011,'Test catalog'!$A$2:$A$200,0))),"")</f>
        <v/>
      </c>
      <c r="T1011" s="10">
        <f>IFERROR(IF(INDEX('Test catalog'!$M$2:$M$200,MATCH($AB1011,'Test catalog'!$A$2:$A$200,0))="","",INDEX('Test catalog'!$M$2:$M$200,MATCH($AB1011,'Test catalog'!$A$2:$A$200,0))),"")</f>
        <v/>
      </c>
      <c r="U1011" s="10">
        <f>IFERROR(IF(INDEX('Test catalog'!$N$2:$N$200,MATCH($AB1011,'Test catalog'!$A$2:$A$200,0))="","",INDEX('Test catalog'!$N$2:$N$200,MATCH($AB1011,'Test catalog'!$A$2:$A$200,0))),"")</f>
        <v/>
      </c>
      <c r="V1011" s="15" t="n"/>
      <c r="W1011" s="5" t="inlineStr">
        <is>
          <t>N</t>
        </is>
      </c>
      <c r="X1011" s="5" t="n"/>
      <c r="Y1011" s="5" t="n"/>
      <c r="Z1011" s="5" t="n"/>
      <c r="AA1011" s="10">
        <f>IFERROR(IF(INDEX('Test catalog'!$O$2:$O$200,MATCH($AB1011,'Test catalog'!$A$2:$A$200,0))="","",INDEX('Test catalog'!$O$2:$O$200,MATCH($AB1011,'Test catalog'!$A$2:$A$200,0))),"")</f>
        <v/>
      </c>
      <c r="AB1011" s="10" t="inlineStr">
        <is>
          <t>GRAV</t>
        </is>
      </c>
      <c r="AC1011" s="10" t="inlineStr">
        <is>
          <t>Alcohol · Impurities</t>
        </is>
      </c>
      <c r="AD1011" s="10" t="n"/>
      <c r="AE1011" s="10" t="n"/>
    </row>
    <row r="1012">
      <c r="A1012" s="10" t="inlineStr">
        <is>
          <t>Ethanol (% not stated)</t>
        </is>
      </c>
      <c r="B1012" s="10" t="inlineStr">
        <is>
          <t>RM</t>
        </is>
      </c>
      <c r="C1012" s="10" t="inlineStr">
        <is>
          <t>Solvent</t>
        </is>
      </c>
      <c r="D1012" s="10" t="inlineStr">
        <is>
          <t>Organic Impurities (GC)</t>
        </is>
      </c>
      <c r="E1012" s="10">
        <f>IF(A1012="","",A1012&amp;"|"&amp;D1012)</f>
        <v/>
      </c>
      <c r="F1012" s="5" t="inlineStr">
        <is>
          <t>Y</t>
        </is>
      </c>
      <c r="G1012" s="5" t="inlineStr">
        <is>
          <t>GC</t>
        </is>
      </c>
      <c r="H1012" s="5" t="inlineStr">
        <is>
          <t>Medium</t>
        </is>
      </c>
      <c r="I1012" s="5" t="n">
        <v>1</v>
      </c>
      <c r="J1012" s="5" t="n"/>
      <c r="K1012" s="5" t="n"/>
      <c r="L1012" s="5" t="n"/>
      <c r="M1012" s="5" t="n"/>
      <c r="N1012" s="5" t="n"/>
      <c r="O1012" s="5" t="n"/>
      <c r="P1012" s="14">
        <f>IF(N1012="","",IF(OR(M1012="",O1012=""),N1012,(M1012+4*N1012+O1012)/6))</f>
        <v/>
      </c>
      <c r="Q1012" s="5" t="n"/>
      <c r="R1012" s="5" t="n"/>
      <c r="S1012" s="5" t="n"/>
      <c r="T1012" s="5" t="n"/>
      <c r="U1012" s="5" t="n"/>
      <c r="V1012" s="15" t="n"/>
      <c r="W1012" s="5" t="inlineStr">
        <is>
          <t>N</t>
        </is>
      </c>
      <c r="X1012" s="5" t="n"/>
      <c r="Y1012" s="5" t="n"/>
      <c r="Z1012" s="5" t="n"/>
      <c r="AA1012" s="5" t="n"/>
      <c r="AB1012" s="10" t="n"/>
      <c r="AC1012" s="10" t="inlineStr">
        <is>
          <t>Alcohol · Impurities</t>
        </is>
      </c>
      <c r="AD1012" s="10" t="n"/>
      <c r="AE1012" s="10" t="n"/>
    </row>
    <row r="1013">
      <c r="A1013" s="10" t="inlineStr">
        <is>
          <t>Ethanol (% not stated)</t>
        </is>
      </c>
      <c r="B1013" s="10" t="inlineStr">
        <is>
          <t>RM</t>
        </is>
      </c>
      <c r="C1013" s="10" t="inlineStr">
        <is>
          <t>Solvent</t>
        </is>
      </c>
      <c r="D1013" s="10" t="inlineStr">
        <is>
          <t>Specific Gravity</t>
        </is>
      </c>
      <c r="E1013" s="10">
        <f>IF(A1013="","",A1013&amp;"|"&amp;D1013)</f>
        <v/>
      </c>
      <c r="F1013" s="5" t="inlineStr">
        <is>
          <t>Y</t>
        </is>
      </c>
      <c r="G1013" s="5" t="inlineStr">
        <is>
          <t>Other / bench</t>
        </is>
      </c>
      <c r="H1013" s="5" t="inlineStr">
        <is>
          <t>Low</t>
        </is>
      </c>
      <c r="I1013" s="5" t="n">
        <v>1</v>
      </c>
      <c r="J1013" s="5" t="n"/>
      <c r="K1013" s="10">
        <f>IFERROR(IF(INDEX('Test catalog'!$F$2:$F$200,MATCH($AB1013,'Test catalog'!$A$2:$A$200,0))="","",INDEX('Test catalog'!$F$2:$F$200,MATCH($AB1013,'Test catalog'!$A$2:$A$200,0))),"")</f>
        <v/>
      </c>
      <c r="L1013" s="10">
        <f>IFERROR(IF(INDEX('Test catalog'!$G$2:$G$200,MATCH($AB1013,'Test catalog'!$A$2:$A$200,0))="","",INDEX('Test catalog'!$G$2:$G$200,MATCH($AB1013,'Test catalog'!$A$2:$A$200,0))),"")</f>
        <v/>
      </c>
      <c r="M1013" s="10">
        <f>IFERROR(IF(INDEX('Test catalog'!$H$2:$H$200,MATCH($AB1013,'Test catalog'!$A$2:$A$200,0))="","",INDEX('Test catalog'!$H$2:$H$200,MATCH($AB1013,'Test catalog'!$A$2:$A$200,0))),"")</f>
        <v/>
      </c>
      <c r="N1013" s="10">
        <f>IFERROR(IF(INDEX('Test catalog'!$I$2:$I$200,MATCH($AB1013,'Test catalog'!$A$2:$A$200,0))="","",INDEX('Test catalog'!$I$2:$I$200,MATCH($AB1013,'Test catalog'!$A$2:$A$200,0))),"")</f>
        <v/>
      </c>
      <c r="O1013" s="10">
        <f>IFERROR(IF(INDEX('Test catalog'!$J$2:$J$200,MATCH($AB1013,'Test catalog'!$A$2:$A$200,0))="","",INDEX('Test catalog'!$J$2:$J$200,MATCH($AB1013,'Test catalog'!$A$2:$A$200,0))),"")</f>
        <v/>
      </c>
      <c r="P1013" s="14">
        <f>IF(N1013="","",IF(OR(M1013="",O1013=""),N1013,(M1013+4*N1013+O1013)/6))</f>
        <v/>
      </c>
      <c r="Q1013" s="10">
        <f>IFERROR(IF(INDEX('Test catalog'!$K$2:$K$200,MATCH($AB1013,'Test catalog'!$A$2:$A$200,0))="","",INDEX('Test catalog'!$K$2:$K$200,MATCH($AB1013,'Test catalog'!$A$2:$A$200,0))),"")</f>
        <v/>
      </c>
      <c r="R1013" s="5" t="n"/>
      <c r="S1013" s="10">
        <f>IFERROR(IF(INDEX('Test catalog'!$L$2:$L$200,MATCH($AB1013,'Test catalog'!$A$2:$A$200,0))="","",INDEX('Test catalog'!$L$2:$L$200,MATCH($AB1013,'Test catalog'!$A$2:$A$200,0))),"")</f>
        <v/>
      </c>
      <c r="T1013" s="10">
        <f>IFERROR(IF(INDEX('Test catalog'!$M$2:$M$200,MATCH($AB1013,'Test catalog'!$A$2:$A$200,0))="","",INDEX('Test catalog'!$M$2:$M$200,MATCH($AB1013,'Test catalog'!$A$2:$A$200,0))),"")</f>
        <v/>
      </c>
      <c r="U1013" s="10">
        <f>IFERROR(IF(INDEX('Test catalog'!$N$2:$N$200,MATCH($AB1013,'Test catalog'!$A$2:$A$200,0))="","",INDEX('Test catalog'!$N$2:$N$200,MATCH($AB1013,'Test catalog'!$A$2:$A$200,0))),"")</f>
        <v/>
      </c>
      <c r="V1013" s="15" t="n"/>
      <c r="W1013" s="5" t="inlineStr">
        <is>
          <t>N</t>
        </is>
      </c>
      <c r="X1013" s="5" t="n"/>
      <c r="Y1013" s="5" t="n"/>
      <c r="Z1013" s="5" t="n"/>
      <c r="AA1013" s="10">
        <f>IFERROR(IF(INDEX('Test catalog'!$O$2:$O$200,MATCH($AB1013,'Test catalog'!$A$2:$A$200,0))="","",INDEX('Test catalog'!$O$2:$O$200,MATCH($AB1013,'Test catalog'!$A$2:$A$200,0))),"")</f>
        <v/>
      </c>
      <c r="AB1013" s="10" t="inlineStr">
        <is>
          <t>SG</t>
        </is>
      </c>
      <c r="AC1013" s="10" t="inlineStr">
        <is>
          <t>Alcohol · Specific Tests &lt;841&gt;</t>
        </is>
      </c>
      <c r="AD1013" s="10" t="n"/>
      <c r="AE1013" s="10" t="n"/>
    </row>
    <row r="1014">
      <c r="A1014" s="10" t="inlineStr">
        <is>
          <t>Ethanol (% not stated)</t>
        </is>
      </c>
      <c r="B1014" s="10" t="inlineStr">
        <is>
          <t>RM</t>
        </is>
      </c>
      <c r="C1014" s="10" t="inlineStr">
        <is>
          <t>Solvent</t>
        </is>
      </c>
      <c r="D1014" s="10" t="inlineStr">
        <is>
          <t>Ultraviolet Absorption</t>
        </is>
      </c>
      <c r="E1014" s="10">
        <f>IF(A1014="","",A1014&amp;"|"&amp;D1014)</f>
        <v/>
      </c>
      <c r="F1014" s="5" t="inlineStr">
        <is>
          <t>Y</t>
        </is>
      </c>
      <c r="G1014" s="5" t="inlineStr">
        <is>
          <t>UV-Vis</t>
        </is>
      </c>
      <c r="H1014" s="5" t="inlineStr">
        <is>
          <t>Low</t>
        </is>
      </c>
      <c r="I1014" s="5" t="n">
        <v>1</v>
      </c>
      <c r="J1014" s="5" t="n"/>
      <c r="K1014" s="10">
        <f>IFERROR(IF(INDEX('Test catalog'!$F$2:$F$200,MATCH($AB1014,'Test catalog'!$A$2:$A$200,0))="","",INDEX('Test catalog'!$F$2:$F$200,MATCH($AB1014,'Test catalog'!$A$2:$A$200,0))),"")</f>
        <v/>
      </c>
      <c r="L1014" s="10">
        <f>IFERROR(IF(INDEX('Test catalog'!$G$2:$G$200,MATCH($AB1014,'Test catalog'!$A$2:$A$200,0))="","",INDEX('Test catalog'!$G$2:$G$200,MATCH($AB1014,'Test catalog'!$A$2:$A$200,0))),"")</f>
        <v/>
      </c>
      <c r="M1014" s="10">
        <f>IFERROR(IF(INDEX('Test catalog'!$H$2:$H$200,MATCH($AB1014,'Test catalog'!$A$2:$A$200,0))="","",INDEX('Test catalog'!$H$2:$H$200,MATCH($AB1014,'Test catalog'!$A$2:$A$200,0))),"")</f>
        <v/>
      </c>
      <c r="N1014" s="10">
        <f>IFERROR(IF(INDEX('Test catalog'!$I$2:$I$200,MATCH($AB1014,'Test catalog'!$A$2:$A$200,0))="","",INDEX('Test catalog'!$I$2:$I$200,MATCH($AB1014,'Test catalog'!$A$2:$A$200,0))),"")</f>
        <v/>
      </c>
      <c r="O1014" s="10">
        <f>IFERROR(IF(INDEX('Test catalog'!$J$2:$J$200,MATCH($AB1014,'Test catalog'!$A$2:$A$200,0))="","",INDEX('Test catalog'!$J$2:$J$200,MATCH($AB1014,'Test catalog'!$A$2:$A$200,0))),"")</f>
        <v/>
      </c>
      <c r="P1014" s="14">
        <f>IF(N1014="","",IF(OR(M1014="",O1014=""),N1014,(M1014+4*N1014+O1014)/6))</f>
        <v/>
      </c>
      <c r="Q1014" s="10">
        <f>IFERROR(IF(INDEX('Test catalog'!$K$2:$K$200,MATCH($AB1014,'Test catalog'!$A$2:$A$200,0))="","",INDEX('Test catalog'!$K$2:$K$200,MATCH($AB1014,'Test catalog'!$A$2:$A$200,0))),"")</f>
        <v/>
      </c>
      <c r="R1014" s="5" t="n"/>
      <c r="S1014" s="10">
        <f>IFERROR(IF(INDEX('Test catalog'!$L$2:$L$200,MATCH($AB1014,'Test catalog'!$A$2:$A$200,0))="","",INDEX('Test catalog'!$L$2:$L$200,MATCH($AB1014,'Test catalog'!$A$2:$A$200,0))),"")</f>
        <v/>
      </c>
      <c r="T1014" s="10">
        <f>IFERROR(IF(INDEX('Test catalog'!$M$2:$M$200,MATCH($AB1014,'Test catalog'!$A$2:$A$200,0))="","",INDEX('Test catalog'!$M$2:$M$200,MATCH($AB1014,'Test catalog'!$A$2:$A$200,0))),"")</f>
        <v/>
      </c>
      <c r="U1014" s="10">
        <f>IFERROR(IF(INDEX('Test catalog'!$N$2:$N$200,MATCH($AB1014,'Test catalog'!$A$2:$A$200,0))="","",INDEX('Test catalog'!$N$2:$N$200,MATCH($AB1014,'Test catalog'!$A$2:$A$200,0))),"")</f>
        <v/>
      </c>
      <c r="V1014" s="15" t="n"/>
      <c r="W1014" s="5" t="inlineStr">
        <is>
          <t>N</t>
        </is>
      </c>
      <c r="X1014" s="5" t="n"/>
      <c r="Y1014" s="5" t="n"/>
      <c r="Z1014" s="5" t="n"/>
      <c r="AA1014" s="10">
        <f>IFERROR(IF(INDEX('Test catalog'!$O$2:$O$200,MATCH($AB1014,'Test catalog'!$A$2:$A$200,0))="","",INDEX('Test catalog'!$O$2:$O$200,MATCH($AB1014,'Test catalog'!$A$2:$A$200,0))),"")</f>
        <v/>
      </c>
      <c r="AB1014" s="10" t="inlineStr">
        <is>
          <t>UV</t>
        </is>
      </c>
      <c r="AC1014" s="10" t="inlineStr">
        <is>
          <t>Alcohol · Specific Tests</t>
        </is>
      </c>
      <c r="AD1014" s="10" t="n"/>
      <c r="AE1014" s="10" t="n"/>
    </row>
    <row r="1015">
      <c r="A1015" s="10" t="inlineStr">
        <is>
          <t>Ethanol (% not stated)</t>
        </is>
      </c>
      <c r="B1015" s="10" t="inlineStr">
        <is>
          <t>RM</t>
        </is>
      </c>
      <c r="C1015" s="10" t="inlineStr">
        <is>
          <t>Solvent</t>
        </is>
      </c>
      <c r="D1015" s="10" t="inlineStr">
        <is>
          <t>Clarity of Solution</t>
        </is>
      </c>
      <c r="E1015" s="10">
        <f>IF(A1015="","",A1015&amp;"|"&amp;D1015)</f>
        <v/>
      </c>
      <c r="F1015" s="5" t="inlineStr">
        <is>
          <t>Y</t>
        </is>
      </c>
      <c r="G1015" s="5" t="inlineStr">
        <is>
          <t>Other / bench</t>
        </is>
      </c>
      <c r="H1015" s="5" t="inlineStr">
        <is>
          <t>Low</t>
        </is>
      </c>
      <c r="I1015" s="5" t="n">
        <v>1</v>
      </c>
      <c r="J1015" s="5" t="n"/>
      <c r="K1015" s="10">
        <f>IFERROR(IF(INDEX('Test catalog'!$F$2:$F$200,MATCH($AB1015,'Test catalog'!$A$2:$A$200,0))="","",INDEX('Test catalog'!$F$2:$F$200,MATCH($AB1015,'Test catalog'!$A$2:$A$200,0))),"")</f>
        <v/>
      </c>
      <c r="L1015" s="10">
        <f>IFERROR(IF(INDEX('Test catalog'!$G$2:$G$200,MATCH($AB1015,'Test catalog'!$A$2:$A$200,0))="","",INDEX('Test catalog'!$G$2:$G$200,MATCH($AB1015,'Test catalog'!$A$2:$A$200,0))),"")</f>
        <v/>
      </c>
      <c r="M1015" s="10">
        <f>IFERROR(IF(INDEX('Test catalog'!$H$2:$H$200,MATCH($AB1015,'Test catalog'!$A$2:$A$200,0))="","",INDEX('Test catalog'!$H$2:$H$200,MATCH($AB1015,'Test catalog'!$A$2:$A$200,0))),"")</f>
        <v/>
      </c>
      <c r="N1015" s="10">
        <f>IFERROR(IF(INDEX('Test catalog'!$I$2:$I$200,MATCH($AB1015,'Test catalog'!$A$2:$A$200,0))="","",INDEX('Test catalog'!$I$2:$I$200,MATCH($AB1015,'Test catalog'!$A$2:$A$200,0))),"")</f>
        <v/>
      </c>
      <c r="O1015" s="10">
        <f>IFERROR(IF(INDEX('Test catalog'!$J$2:$J$200,MATCH($AB1015,'Test catalog'!$A$2:$A$200,0))="","",INDEX('Test catalog'!$J$2:$J$200,MATCH($AB1015,'Test catalog'!$A$2:$A$200,0))),"")</f>
        <v/>
      </c>
      <c r="P1015" s="14">
        <f>IF(N1015="","",IF(OR(M1015="",O1015=""),N1015,(M1015+4*N1015+O1015)/6))</f>
        <v/>
      </c>
      <c r="Q1015" s="10">
        <f>IFERROR(IF(INDEX('Test catalog'!$K$2:$K$200,MATCH($AB1015,'Test catalog'!$A$2:$A$200,0))="","",INDEX('Test catalog'!$K$2:$K$200,MATCH($AB1015,'Test catalog'!$A$2:$A$200,0))),"")</f>
        <v/>
      </c>
      <c r="R1015" s="5" t="n"/>
      <c r="S1015" s="10">
        <f>IFERROR(IF(INDEX('Test catalog'!$L$2:$L$200,MATCH($AB1015,'Test catalog'!$A$2:$A$200,0))="","",INDEX('Test catalog'!$L$2:$L$200,MATCH($AB1015,'Test catalog'!$A$2:$A$200,0))),"")</f>
        <v/>
      </c>
      <c r="T1015" s="10">
        <f>IFERROR(IF(INDEX('Test catalog'!$M$2:$M$200,MATCH($AB1015,'Test catalog'!$A$2:$A$200,0))="","",INDEX('Test catalog'!$M$2:$M$200,MATCH($AB1015,'Test catalog'!$A$2:$A$200,0))),"")</f>
        <v/>
      </c>
      <c r="U1015" s="10">
        <f>IFERROR(IF(INDEX('Test catalog'!$N$2:$N$200,MATCH($AB1015,'Test catalog'!$A$2:$A$200,0))="","",INDEX('Test catalog'!$N$2:$N$200,MATCH($AB1015,'Test catalog'!$A$2:$A$200,0))),"")</f>
        <v/>
      </c>
      <c r="V1015" s="15" t="n"/>
      <c r="W1015" s="5" t="inlineStr">
        <is>
          <t>N</t>
        </is>
      </c>
      <c r="X1015" s="5" t="n"/>
      <c r="Y1015" s="5" t="n"/>
      <c r="Z1015" s="5" t="n"/>
      <c r="AA1015" s="10">
        <f>IFERROR(IF(INDEX('Test catalog'!$O$2:$O$200,MATCH($AB1015,'Test catalog'!$A$2:$A$200,0))="","",INDEX('Test catalog'!$O$2:$O$200,MATCH($AB1015,'Test catalog'!$A$2:$A$200,0))),"")</f>
        <v/>
      </c>
      <c r="AB1015" s="10" t="inlineStr">
        <is>
          <t>CLAR</t>
        </is>
      </c>
      <c r="AC1015" s="10" t="inlineStr">
        <is>
          <t>Alcohol · Specific Tests</t>
        </is>
      </c>
      <c r="AD1015" s="10" t="n"/>
      <c r="AE1015" s="10" t="n"/>
    </row>
    <row r="1016">
      <c r="A1016" s="10" t="inlineStr">
        <is>
          <t>Ethanol (% not stated)</t>
        </is>
      </c>
      <c r="B1016" s="10" t="inlineStr">
        <is>
          <t>RM</t>
        </is>
      </c>
      <c r="C1016" s="10" t="inlineStr">
        <is>
          <t>Solvent</t>
        </is>
      </c>
      <c r="D1016" s="10" t="inlineStr">
        <is>
          <t>Acidity or Alkalinity</t>
        </is>
      </c>
      <c r="E1016" s="10">
        <f>IF(A1016="","",A1016&amp;"|"&amp;D1016)</f>
        <v/>
      </c>
      <c r="F1016" s="5" t="inlineStr">
        <is>
          <t>Y</t>
        </is>
      </c>
      <c r="G1016" s="5" t="inlineStr">
        <is>
          <t>Other / bench</t>
        </is>
      </c>
      <c r="H1016" s="5" t="inlineStr">
        <is>
          <t>Low</t>
        </is>
      </c>
      <c r="I1016" s="5" t="n">
        <v>1</v>
      </c>
      <c r="J1016" s="5" t="n"/>
      <c r="K1016" s="10">
        <f>IFERROR(IF(INDEX('Test catalog'!$F$2:$F$200,MATCH($AB1016,'Test catalog'!$A$2:$A$200,0))="","",INDEX('Test catalog'!$F$2:$F$200,MATCH($AB1016,'Test catalog'!$A$2:$A$200,0))),"")</f>
        <v/>
      </c>
      <c r="L1016" s="10">
        <f>IFERROR(IF(INDEX('Test catalog'!$G$2:$G$200,MATCH($AB1016,'Test catalog'!$A$2:$A$200,0))="","",INDEX('Test catalog'!$G$2:$G$200,MATCH($AB1016,'Test catalog'!$A$2:$A$200,0))),"")</f>
        <v/>
      </c>
      <c r="M1016" s="10">
        <f>IFERROR(IF(INDEX('Test catalog'!$H$2:$H$200,MATCH($AB1016,'Test catalog'!$A$2:$A$200,0))="","",INDEX('Test catalog'!$H$2:$H$200,MATCH($AB1016,'Test catalog'!$A$2:$A$200,0))),"")</f>
        <v/>
      </c>
      <c r="N1016" s="10">
        <f>IFERROR(IF(INDEX('Test catalog'!$I$2:$I$200,MATCH($AB1016,'Test catalog'!$A$2:$A$200,0))="","",INDEX('Test catalog'!$I$2:$I$200,MATCH($AB1016,'Test catalog'!$A$2:$A$200,0))),"")</f>
        <v/>
      </c>
      <c r="O1016" s="10">
        <f>IFERROR(IF(INDEX('Test catalog'!$J$2:$J$200,MATCH($AB1016,'Test catalog'!$A$2:$A$200,0))="","",INDEX('Test catalog'!$J$2:$J$200,MATCH($AB1016,'Test catalog'!$A$2:$A$200,0))),"")</f>
        <v/>
      </c>
      <c r="P1016" s="14">
        <f>IF(N1016="","",IF(OR(M1016="",O1016=""),N1016,(M1016+4*N1016+O1016)/6))</f>
        <v/>
      </c>
      <c r="Q1016" s="10">
        <f>IFERROR(IF(INDEX('Test catalog'!$K$2:$K$200,MATCH($AB1016,'Test catalog'!$A$2:$A$200,0))="","",INDEX('Test catalog'!$K$2:$K$200,MATCH($AB1016,'Test catalog'!$A$2:$A$200,0))),"")</f>
        <v/>
      </c>
      <c r="R1016" s="5" t="n"/>
      <c r="S1016" s="10">
        <f>IFERROR(IF(INDEX('Test catalog'!$L$2:$L$200,MATCH($AB1016,'Test catalog'!$A$2:$A$200,0))="","",INDEX('Test catalog'!$L$2:$L$200,MATCH($AB1016,'Test catalog'!$A$2:$A$200,0))),"")</f>
        <v/>
      </c>
      <c r="T1016" s="10">
        <f>IFERROR(IF(INDEX('Test catalog'!$M$2:$M$200,MATCH($AB1016,'Test catalog'!$A$2:$A$200,0))="","",INDEX('Test catalog'!$M$2:$M$200,MATCH($AB1016,'Test catalog'!$A$2:$A$200,0))),"")</f>
        <v/>
      </c>
      <c r="U1016" s="10">
        <f>IFERROR(IF(INDEX('Test catalog'!$N$2:$N$200,MATCH($AB1016,'Test catalog'!$A$2:$A$200,0))="","",INDEX('Test catalog'!$N$2:$N$200,MATCH($AB1016,'Test catalog'!$A$2:$A$200,0))),"")</f>
        <v/>
      </c>
      <c r="V1016" s="15" t="n"/>
      <c r="W1016" s="5" t="inlineStr">
        <is>
          <t>N</t>
        </is>
      </c>
      <c r="X1016" s="5" t="n"/>
      <c r="Y1016" s="5" t="n"/>
      <c r="Z1016" s="5" t="n"/>
      <c r="AA1016" s="10">
        <f>IFERROR(IF(INDEX('Test catalog'!$O$2:$O$200,MATCH($AB1016,'Test catalog'!$A$2:$A$200,0))="","",INDEX('Test catalog'!$O$2:$O$200,MATCH($AB1016,'Test catalog'!$A$2:$A$200,0))),"")</f>
        <v/>
      </c>
      <c r="AB1016" s="10" t="inlineStr">
        <is>
          <t>ACID</t>
        </is>
      </c>
      <c r="AC1016" s="10" t="inlineStr">
        <is>
          <t>Alcohol · Specific Tests</t>
        </is>
      </c>
      <c r="AD1016" s="10" t="n"/>
      <c r="AE1016" s="10" t="n"/>
    </row>
    <row r="1017">
      <c r="A1017" s="10" t="inlineStr">
        <is>
          <t>Ethanol (% not stated)</t>
        </is>
      </c>
      <c r="B1017" s="10" t="inlineStr">
        <is>
          <t>RM</t>
        </is>
      </c>
      <c r="C1017" s="10" t="inlineStr">
        <is>
          <t>Solvent</t>
        </is>
      </c>
      <c r="D1017" s="10" t="inlineStr">
        <is>
          <t>Color of Solution</t>
        </is>
      </c>
      <c r="E1017" s="10">
        <f>IF(A1017="","",A1017&amp;"|"&amp;D1017)</f>
        <v/>
      </c>
      <c r="F1017" s="5" t="inlineStr">
        <is>
          <t>Y</t>
        </is>
      </c>
      <c r="G1017" s="5" t="inlineStr">
        <is>
          <t>Other / bench</t>
        </is>
      </c>
      <c r="H1017" s="5" t="inlineStr">
        <is>
          <t>Low</t>
        </is>
      </c>
      <c r="I1017" s="5" t="n">
        <v>1</v>
      </c>
      <c r="J1017" s="5" t="n"/>
      <c r="K1017" s="10">
        <f>IFERROR(IF(INDEX('Test catalog'!$F$2:$F$200,MATCH($AB1017,'Test catalog'!$A$2:$A$200,0))="","",INDEX('Test catalog'!$F$2:$F$200,MATCH($AB1017,'Test catalog'!$A$2:$A$200,0))),"")</f>
        <v/>
      </c>
      <c r="L1017" s="10">
        <f>IFERROR(IF(INDEX('Test catalog'!$G$2:$G$200,MATCH($AB1017,'Test catalog'!$A$2:$A$200,0))="","",INDEX('Test catalog'!$G$2:$G$200,MATCH($AB1017,'Test catalog'!$A$2:$A$200,0))),"")</f>
        <v/>
      </c>
      <c r="M1017" s="10">
        <f>IFERROR(IF(INDEX('Test catalog'!$H$2:$H$200,MATCH($AB1017,'Test catalog'!$A$2:$A$200,0))="","",INDEX('Test catalog'!$H$2:$H$200,MATCH($AB1017,'Test catalog'!$A$2:$A$200,0))),"")</f>
        <v/>
      </c>
      <c r="N1017" s="10">
        <f>IFERROR(IF(INDEX('Test catalog'!$I$2:$I$200,MATCH($AB1017,'Test catalog'!$A$2:$A$200,0))="","",INDEX('Test catalog'!$I$2:$I$200,MATCH($AB1017,'Test catalog'!$A$2:$A$200,0))),"")</f>
        <v/>
      </c>
      <c r="O1017" s="10">
        <f>IFERROR(IF(INDEX('Test catalog'!$J$2:$J$200,MATCH($AB1017,'Test catalog'!$A$2:$A$200,0))="","",INDEX('Test catalog'!$J$2:$J$200,MATCH($AB1017,'Test catalog'!$A$2:$A$200,0))),"")</f>
        <v/>
      </c>
      <c r="P1017" s="14">
        <f>IF(N1017="","",IF(OR(M1017="",O1017=""),N1017,(M1017+4*N1017+O1017)/6))</f>
        <v/>
      </c>
      <c r="Q1017" s="10">
        <f>IFERROR(IF(INDEX('Test catalog'!$K$2:$K$200,MATCH($AB1017,'Test catalog'!$A$2:$A$200,0))="","",INDEX('Test catalog'!$K$2:$K$200,MATCH($AB1017,'Test catalog'!$A$2:$A$200,0))),"")</f>
        <v/>
      </c>
      <c r="R1017" s="5" t="n"/>
      <c r="S1017" s="10">
        <f>IFERROR(IF(INDEX('Test catalog'!$L$2:$L$200,MATCH($AB1017,'Test catalog'!$A$2:$A$200,0))="","",INDEX('Test catalog'!$L$2:$L$200,MATCH($AB1017,'Test catalog'!$A$2:$A$200,0))),"")</f>
        <v/>
      </c>
      <c r="T1017" s="10">
        <f>IFERROR(IF(INDEX('Test catalog'!$M$2:$M$200,MATCH($AB1017,'Test catalog'!$A$2:$A$200,0))="","",INDEX('Test catalog'!$M$2:$M$200,MATCH($AB1017,'Test catalog'!$A$2:$A$200,0))),"")</f>
        <v/>
      </c>
      <c r="U1017" s="10">
        <f>IFERROR(IF(INDEX('Test catalog'!$N$2:$N$200,MATCH($AB1017,'Test catalog'!$A$2:$A$200,0))="","",INDEX('Test catalog'!$N$2:$N$200,MATCH($AB1017,'Test catalog'!$A$2:$A$200,0))),"")</f>
        <v/>
      </c>
      <c r="V1017" s="15" t="n"/>
      <c r="W1017" s="5" t="inlineStr">
        <is>
          <t>N</t>
        </is>
      </c>
      <c r="X1017" s="5" t="n"/>
      <c r="Y1017" s="5" t="n"/>
      <c r="Z1017" s="5" t="n"/>
      <c r="AA1017" s="10">
        <f>IFERROR(IF(INDEX('Test catalog'!$O$2:$O$200,MATCH($AB1017,'Test catalog'!$A$2:$A$200,0))="","",INDEX('Test catalog'!$O$2:$O$200,MATCH($AB1017,'Test catalog'!$A$2:$A$200,0))),"")</f>
        <v/>
      </c>
      <c r="AB1017" s="10" t="inlineStr">
        <is>
          <t>CLAR</t>
        </is>
      </c>
      <c r="AC1017" s="10" t="inlineStr">
        <is>
          <t>Alcohol · Specific Tests</t>
        </is>
      </c>
      <c r="AD1017" s="10" t="n"/>
      <c r="AE1017" s="10" t="n"/>
    </row>
    <row r="1018">
      <c r="A1018" s="10" t="inlineStr">
        <is>
          <t>Ethanol 96%</t>
        </is>
      </c>
      <c r="B1018" s="10" t="inlineStr">
        <is>
          <t>RM</t>
        </is>
      </c>
      <c r="C1018" s="10" t="inlineStr">
        <is>
          <t>Solvent</t>
        </is>
      </c>
      <c r="D1018" s="10" t="inlineStr">
        <is>
          <t>Appearance / description and solubility</t>
        </is>
      </c>
      <c r="E1018" s="10">
        <f>IF(A1018="","",A1018&amp;"|"&amp;D1018)</f>
        <v/>
      </c>
      <c r="F1018" s="5" t="inlineStr">
        <is>
          <t>Y</t>
        </is>
      </c>
      <c r="G1018" s="5" t="inlineStr">
        <is>
          <t>Other / bench</t>
        </is>
      </c>
      <c r="H1018" s="5" t="inlineStr">
        <is>
          <t>Low</t>
        </is>
      </c>
      <c r="I1018" s="5" t="n">
        <v>1</v>
      </c>
      <c r="J1018" s="5" t="n"/>
      <c r="K1018" s="10">
        <f>IFERROR(IF(INDEX('Test catalog'!$F$2:$F$200,MATCH($AB1018,'Test catalog'!$A$2:$A$200,0))="","",INDEX('Test catalog'!$F$2:$F$200,MATCH($AB1018,'Test catalog'!$A$2:$A$200,0))),"")</f>
        <v/>
      </c>
      <c r="L1018" s="10">
        <f>IFERROR(IF(INDEX('Test catalog'!$G$2:$G$200,MATCH($AB1018,'Test catalog'!$A$2:$A$200,0))="","",INDEX('Test catalog'!$G$2:$G$200,MATCH($AB1018,'Test catalog'!$A$2:$A$200,0))),"")</f>
        <v/>
      </c>
      <c r="M1018" s="10">
        <f>IFERROR(IF(INDEX('Test catalog'!$H$2:$H$200,MATCH($AB1018,'Test catalog'!$A$2:$A$200,0))="","",INDEX('Test catalog'!$H$2:$H$200,MATCH($AB1018,'Test catalog'!$A$2:$A$200,0))),"")</f>
        <v/>
      </c>
      <c r="N1018" s="10">
        <f>IFERROR(IF(INDEX('Test catalog'!$I$2:$I$200,MATCH($AB1018,'Test catalog'!$A$2:$A$200,0))="","",INDEX('Test catalog'!$I$2:$I$200,MATCH($AB1018,'Test catalog'!$A$2:$A$200,0))),"")</f>
        <v/>
      </c>
      <c r="O1018" s="10">
        <f>IFERROR(IF(INDEX('Test catalog'!$J$2:$J$200,MATCH($AB1018,'Test catalog'!$A$2:$A$200,0))="","",INDEX('Test catalog'!$J$2:$J$200,MATCH($AB1018,'Test catalog'!$A$2:$A$200,0))),"")</f>
        <v/>
      </c>
      <c r="P1018" s="14">
        <f>IF(N1018="","",IF(OR(M1018="",O1018=""),N1018,(M1018+4*N1018+O1018)/6))</f>
        <v/>
      </c>
      <c r="Q1018" s="10">
        <f>IFERROR(IF(INDEX('Test catalog'!$K$2:$K$200,MATCH($AB1018,'Test catalog'!$A$2:$A$200,0))="","",INDEX('Test catalog'!$K$2:$K$200,MATCH($AB1018,'Test catalog'!$A$2:$A$200,0))),"")</f>
        <v/>
      </c>
      <c r="R1018" s="5" t="n"/>
      <c r="S1018" s="10">
        <f>IFERROR(IF(INDEX('Test catalog'!$L$2:$L$200,MATCH($AB1018,'Test catalog'!$A$2:$A$200,0))="","",INDEX('Test catalog'!$L$2:$L$200,MATCH($AB1018,'Test catalog'!$A$2:$A$200,0))),"")</f>
        <v/>
      </c>
      <c r="T1018" s="10">
        <f>IFERROR(IF(INDEX('Test catalog'!$M$2:$M$200,MATCH($AB1018,'Test catalog'!$A$2:$A$200,0))="","",INDEX('Test catalog'!$M$2:$M$200,MATCH($AB1018,'Test catalog'!$A$2:$A$200,0))),"")</f>
        <v/>
      </c>
      <c r="U1018" s="10">
        <f>IFERROR(IF(INDEX('Test catalog'!$N$2:$N$200,MATCH($AB1018,'Test catalog'!$A$2:$A$200,0))="","",INDEX('Test catalog'!$N$2:$N$200,MATCH($AB1018,'Test catalog'!$A$2:$A$200,0))),"")</f>
        <v/>
      </c>
      <c r="V1018" s="15" t="n"/>
      <c r="W1018" s="5" t="inlineStr">
        <is>
          <t>N</t>
        </is>
      </c>
      <c r="X1018" s="5" t="n"/>
      <c r="Y1018" s="5" t="n"/>
      <c r="Z1018" s="5" t="n"/>
      <c r="AA1018" s="10">
        <f>IFERROR(IF(INDEX('Test catalog'!$O$2:$O$200,MATCH($AB1018,'Test catalog'!$A$2:$A$200,0))="","",INDEX('Test catalog'!$O$2:$O$200,MATCH($AB1018,'Test catalog'!$A$2:$A$200,0))),"")</f>
        <v/>
      </c>
      <c r="AB1018" s="10" t="inlineStr">
        <is>
          <t>APPEAR</t>
        </is>
      </c>
      <c r="AC1018" s="10" t="inlineStr">
        <is>
          <t>Lab practice (not a USP test)</t>
        </is>
      </c>
      <c r="AD1018" s="10" t="n"/>
      <c r="AE1018" s="10" t="n"/>
    </row>
    <row r="1019">
      <c r="A1019" s="10" t="inlineStr">
        <is>
          <t>Ethanol 96%</t>
        </is>
      </c>
      <c r="B1019" s="10" t="inlineStr">
        <is>
          <t>RM</t>
        </is>
      </c>
      <c r="C1019" s="10" t="inlineStr">
        <is>
          <t>Solvent</t>
        </is>
      </c>
      <c r="D1019" s="10" t="inlineStr">
        <is>
          <t>ID A - Specific gravity / density</t>
        </is>
      </c>
      <c r="E1019" s="10">
        <f>IF(A1019="","",A1019&amp;"|"&amp;D1019)</f>
        <v/>
      </c>
      <c r="F1019" s="5" t="inlineStr">
        <is>
          <t>Y</t>
        </is>
      </c>
      <c r="G1019" s="5" t="inlineStr">
        <is>
          <t>Other / bench</t>
        </is>
      </c>
      <c r="H1019" s="5" t="inlineStr">
        <is>
          <t>Low</t>
        </is>
      </c>
      <c r="I1019" s="5" t="n">
        <v>1</v>
      </c>
      <c r="J1019" s="5" t="n"/>
      <c r="K1019" s="10">
        <f>IFERROR(IF(INDEX('Test catalog'!$F$2:$F$200,MATCH($AB1019,'Test catalog'!$A$2:$A$200,0))="","",INDEX('Test catalog'!$F$2:$F$200,MATCH($AB1019,'Test catalog'!$A$2:$A$200,0))),"")</f>
        <v/>
      </c>
      <c r="L1019" s="10">
        <f>IFERROR(IF(INDEX('Test catalog'!$G$2:$G$200,MATCH($AB1019,'Test catalog'!$A$2:$A$200,0))="","",INDEX('Test catalog'!$G$2:$G$200,MATCH($AB1019,'Test catalog'!$A$2:$A$200,0))),"")</f>
        <v/>
      </c>
      <c r="M1019" s="10">
        <f>IFERROR(IF(INDEX('Test catalog'!$H$2:$H$200,MATCH($AB1019,'Test catalog'!$A$2:$A$200,0))="","",INDEX('Test catalog'!$H$2:$H$200,MATCH($AB1019,'Test catalog'!$A$2:$A$200,0))),"")</f>
        <v/>
      </c>
      <c r="N1019" s="10">
        <f>IFERROR(IF(INDEX('Test catalog'!$I$2:$I$200,MATCH($AB1019,'Test catalog'!$A$2:$A$200,0))="","",INDEX('Test catalog'!$I$2:$I$200,MATCH($AB1019,'Test catalog'!$A$2:$A$200,0))),"")</f>
        <v/>
      </c>
      <c r="O1019" s="10">
        <f>IFERROR(IF(INDEX('Test catalog'!$J$2:$J$200,MATCH($AB1019,'Test catalog'!$A$2:$A$200,0))="","",INDEX('Test catalog'!$J$2:$J$200,MATCH($AB1019,'Test catalog'!$A$2:$A$200,0))),"")</f>
        <v/>
      </c>
      <c r="P1019" s="14">
        <f>IF(N1019="","",IF(OR(M1019="",O1019=""),N1019,(M1019+4*N1019+O1019)/6))</f>
        <v/>
      </c>
      <c r="Q1019" s="10">
        <f>IFERROR(IF(INDEX('Test catalog'!$K$2:$K$200,MATCH($AB1019,'Test catalog'!$A$2:$A$200,0))="","",INDEX('Test catalog'!$K$2:$K$200,MATCH($AB1019,'Test catalog'!$A$2:$A$200,0))),"")</f>
        <v/>
      </c>
      <c r="R1019" s="5" t="n"/>
      <c r="S1019" s="10">
        <f>IFERROR(IF(INDEX('Test catalog'!$L$2:$L$200,MATCH($AB1019,'Test catalog'!$A$2:$A$200,0))="","",INDEX('Test catalog'!$L$2:$L$200,MATCH($AB1019,'Test catalog'!$A$2:$A$200,0))),"")</f>
        <v/>
      </c>
      <c r="T1019" s="10">
        <f>IFERROR(IF(INDEX('Test catalog'!$M$2:$M$200,MATCH($AB1019,'Test catalog'!$A$2:$A$200,0))="","",INDEX('Test catalog'!$M$2:$M$200,MATCH($AB1019,'Test catalog'!$A$2:$A$200,0))),"")</f>
        <v/>
      </c>
      <c r="U1019" s="10">
        <f>IFERROR(IF(INDEX('Test catalog'!$N$2:$N$200,MATCH($AB1019,'Test catalog'!$A$2:$A$200,0))="","",INDEX('Test catalog'!$N$2:$N$200,MATCH($AB1019,'Test catalog'!$A$2:$A$200,0))),"")</f>
        <v/>
      </c>
      <c r="V1019" s="15" t="n"/>
      <c r="W1019" s="5" t="inlineStr">
        <is>
          <t>N</t>
        </is>
      </c>
      <c r="X1019" s="5" t="n"/>
      <c r="Y1019" s="5" t="n"/>
      <c r="Z1019" s="5" t="n"/>
      <c r="AA1019" s="10">
        <f>IFERROR(IF(INDEX('Test catalog'!$O$2:$O$200,MATCH($AB1019,'Test catalog'!$A$2:$A$200,0))="","",INDEX('Test catalog'!$O$2:$O$200,MATCH($AB1019,'Test catalog'!$A$2:$A$200,0))),"")</f>
        <v/>
      </c>
      <c r="AB1019" s="10" t="inlineStr">
        <is>
          <t>SG</t>
        </is>
      </c>
      <c r="AC1019" s="10" t="inlineStr">
        <is>
          <t>Alcohol · Identification &lt;841&gt;</t>
        </is>
      </c>
      <c r="AD1019" s="10" t="n"/>
      <c r="AE1019" s="10" t="n"/>
    </row>
    <row r="1020">
      <c r="A1020" s="10" t="inlineStr">
        <is>
          <t>Ethanol 96%</t>
        </is>
      </c>
      <c r="B1020" s="10" t="inlineStr">
        <is>
          <t>RM</t>
        </is>
      </c>
      <c r="C1020" s="10" t="inlineStr">
        <is>
          <t>Solvent</t>
        </is>
      </c>
      <c r="D1020" s="10" t="inlineStr">
        <is>
          <t>ID B - IR spectrum</t>
        </is>
      </c>
      <c r="E1020" s="10">
        <f>IF(A1020="","",A1020&amp;"|"&amp;D1020)</f>
        <v/>
      </c>
      <c r="F1020" s="5" t="inlineStr">
        <is>
          <t>Y</t>
        </is>
      </c>
      <c r="G1020" s="5" t="inlineStr">
        <is>
          <t>Other / bench</t>
        </is>
      </c>
      <c r="H1020" s="5" t="inlineStr">
        <is>
          <t>Low</t>
        </is>
      </c>
      <c r="I1020" s="5" t="n">
        <v>1</v>
      </c>
      <c r="J1020" s="5" t="n"/>
      <c r="K1020" s="10">
        <f>IFERROR(IF(INDEX('Test catalog'!$F$2:$F$200,MATCH($AB1020,'Test catalog'!$A$2:$A$200,0))="","",INDEX('Test catalog'!$F$2:$F$200,MATCH($AB1020,'Test catalog'!$A$2:$A$200,0))),"")</f>
        <v/>
      </c>
      <c r="L1020" s="10">
        <f>IFERROR(IF(INDEX('Test catalog'!$G$2:$G$200,MATCH($AB1020,'Test catalog'!$A$2:$A$200,0))="","",INDEX('Test catalog'!$G$2:$G$200,MATCH($AB1020,'Test catalog'!$A$2:$A$200,0))),"")</f>
        <v/>
      </c>
      <c r="M1020" s="10">
        <f>IFERROR(IF(INDEX('Test catalog'!$H$2:$H$200,MATCH($AB1020,'Test catalog'!$A$2:$A$200,0))="","",INDEX('Test catalog'!$H$2:$H$200,MATCH($AB1020,'Test catalog'!$A$2:$A$200,0))),"")</f>
        <v/>
      </c>
      <c r="N1020" s="10">
        <f>IFERROR(IF(INDEX('Test catalog'!$I$2:$I$200,MATCH($AB1020,'Test catalog'!$A$2:$A$200,0))="","",INDEX('Test catalog'!$I$2:$I$200,MATCH($AB1020,'Test catalog'!$A$2:$A$200,0))),"")</f>
        <v/>
      </c>
      <c r="O1020" s="10">
        <f>IFERROR(IF(INDEX('Test catalog'!$J$2:$J$200,MATCH($AB1020,'Test catalog'!$A$2:$A$200,0))="","",INDEX('Test catalog'!$J$2:$J$200,MATCH($AB1020,'Test catalog'!$A$2:$A$200,0))),"")</f>
        <v/>
      </c>
      <c r="P1020" s="14">
        <f>IF(N1020="","",IF(OR(M1020="",O1020=""),N1020,(M1020+4*N1020+O1020)/6))</f>
        <v/>
      </c>
      <c r="Q1020" s="10">
        <f>IFERROR(IF(INDEX('Test catalog'!$K$2:$K$200,MATCH($AB1020,'Test catalog'!$A$2:$A$200,0))="","",INDEX('Test catalog'!$K$2:$K$200,MATCH($AB1020,'Test catalog'!$A$2:$A$200,0))),"")</f>
        <v/>
      </c>
      <c r="R1020" s="5" t="n"/>
      <c r="S1020" s="10">
        <f>IFERROR(IF(INDEX('Test catalog'!$L$2:$L$200,MATCH($AB1020,'Test catalog'!$A$2:$A$200,0))="","",INDEX('Test catalog'!$L$2:$L$200,MATCH($AB1020,'Test catalog'!$A$2:$A$200,0))),"")</f>
        <v/>
      </c>
      <c r="T1020" s="10">
        <f>IFERROR(IF(INDEX('Test catalog'!$M$2:$M$200,MATCH($AB1020,'Test catalog'!$A$2:$A$200,0))="","",INDEX('Test catalog'!$M$2:$M$200,MATCH($AB1020,'Test catalog'!$A$2:$A$200,0))),"")</f>
        <v/>
      </c>
      <c r="U1020" s="10">
        <f>IFERROR(IF(INDEX('Test catalog'!$N$2:$N$200,MATCH($AB1020,'Test catalog'!$A$2:$A$200,0))="","",INDEX('Test catalog'!$N$2:$N$200,MATCH($AB1020,'Test catalog'!$A$2:$A$200,0))),"")</f>
        <v/>
      </c>
      <c r="V1020" s="15" t="n"/>
      <c r="W1020" s="5" t="inlineStr">
        <is>
          <t>N</t>
        </is>
      </c>
      <c r="X1020" s="5" t="n"/>
      <c r="Y1020" s="5" t="n"/>
      <c r="Z1020" s="5" t="n"/>
      <c r="AA1020" s="10">
        <f>IFERROR(IF(INDEX('Test catalog'!$O$2:$O$200,MATCH($AB1020,'Test catalog'!$A$2:$A$200,0))="","",INDEX('Test catalog'!$O$2:$O$200,MATCH($AB1020,'Test catalog'!$A$2:$A$200,0))),"")</f>
        <v/>
      </c>
      <c r="AB1020" s="10" t="inlineStr">
        <is>
          <t>ID_IR</t>
        </is>
      </c>
      <c r="AC1020" s="10" t="inlineStr">
        <is>
          <t>Alcohol · Identification &lt;197&gt;</t>
        </is>
      </c>
      <c r="AD1020" s="10" t="n"/>
      <c r="AE1020" s="10" t="n"/>
    </row>
    <row r="1021">
      <c r="A1021" s="10" t="inlineStr">
        <is>
          <t>Ethanol 96%</t>
        </is>
      </c>
      <c r="B1021" s="10" t="inlineStr">
        <is>
          <t>RM</t>
        </is>
      </c>
      <c r="C1021" s="10" t="inlineStr">
        <is>
          <t>Solvent</t>
        </is>
      </c>
      <c r="D1021" s="10" t="inlineStr">
        <is>
          <t>ID C - HPLC</t>
        </is>
      </c>
      <c r="E1021" s="10">
        <f>IF(A1021="","",A1021&amp;"|"&amp;D1021)</f>
        <v/>
      </c>
      <c r="F1021" s="5" t="inlineStr">
        <is>
          <t>Y</t>
        </is>
      </c>
      <c r="G1021" s="5" t="inlineStr">
        <is>
          <t>HPLC</t>
        </is>
      </c>
      <c r="H1021" s="5" t="inlineStr">
        <is>
          <t>Medium</t>
        </is>
      </c>
      <c r="I1021" s="5" t="n">
        <v>1</v>
      </c>
      <c r="J1021" s="5" t="n"/>
      <c r="K1021" s="5" t="n"/>
      <c r="L1021" s="5" t="n"/>
      <c r="M1021" s="5" t="n"/>
      <c r="N1021" s="5" t="n"/>
      <c r="O1021" s="5" t="n"/>
      <c r="P1021" s="14">
        <f>IF(N1021="","",IF(OR(M1021="",O1021=""),N1021,(M1021+4*N1021+O1021)/6))</f>
        <v/>
      </c>
      <c r="Q1021" s="5" t="n"/>
      <c r="R1021" s="5" t="n"/>
      <c r="S1021" s="5" t="n"/>
      <c r="T1021" s="5" t="n"/>
      <c r="U1021" s="5" t="n"/>
      <c r="V1021" s="15" t="n"/>
      <c r="W1021" s="5" t="inlineStr">
        <is>
          <t>N</t>
        </is>
      </c>
      <c r="X1021" s="5" t="n"/>
      <c r="Y1021" s="5" t="n"/>
      <c r="Z1021" s="5" t="n"/>
      <c r="AA1021" s="5" t="n"/>
      <c r="AB1021" s="10" t="n"/>
      <c r="AC1021" s="10" t="inlineStr">
        <is>
          <t>Alcohol · Identification</t>
        </is>
      </c>
      <c r="AD1021" s="10" t="n"/>
      <c r="AE1021" s="10" t="n"/>
    </row>
    <row r="1022">
      <c r="A1022" s="10" t="inlineStr">
        <is>
          <t>Ethanol 96%</t>
        </is>
      </c>
      <c r="B1022" s="10" t="inlineStr">
        <is>
          <t>RM</t>
        </is>
      </c>
      <c r="C1022" s="10" t="inlineStr">
        <is>
          <t>Solvent</t>
        </is>
      </c>
      <c r="D1022" s="10" t="inlineStr">
        <is>
          <t>Limit of Nonvolatile Residue</t>
        </is>
      </c>
      <c r="E1022" s="10">
        <f>IF(A1022="","",A1022&amp;"|"&amp;D1022)</f>
        <v/>
      </c>
      <c r="F1022" s="5" t="inlineStr">
        <is>
          <t>Y</t>
        </is>
      </c>
      <c r="G1022" s="5" t="inlineStr">
        <is>
          <t>Other / bench</t>
        </is>
      </c>
      <c r="H1022" s="5" t="inlineStr">
        <is>
          <t>Low</t>
        </is>
      </c>
      <c r="I1022" s="5" t="n">
        <v>1</v>
      </c>
      <c r="J1022" s="5" t="n"/>
      <c r="K1022" s="10">
        <f>IFERROR(IF(INDEX('Test catalog'!$F$2:$F$200,MATCH($AB1022,'Test catalog'!$A$2:$A$200,0))="","",INDEX('Test catalog'!$F$2:$F$200,MATCH($AB1022,'Test catalog'!$A$2:$A$200,0))),"")</f>
        <v/>
      </c>
      <c r="L1022" s="10">
        <f>IFERROR(IF(INDEX('Test catalog'!$G$2:$G$200,MATCH($AB1022,'Test catalog'!$A$2:$A$200,0))="","",INDEX('Test catalog'!$G$2:$G$200,MATCH($AB1022,'Test catalog'!$A$2:$A$200,0))),"")</f>
        <v/>
      </c>
      <c r="M1022" s="10">
        <f>IFERROR(IF(INDEX('Test catalog'!$H$2:$H$200,MATCH($AB1022,'Test catalog'!$A$2:$A$200,0))="","",INDEX('Test catalog'!$H$2:$H$200,MATCH($AB1022,'Test catalog'!$A$2:$A$200,0))),"")</f>
        <v/>
      </c>
      <c r="N1022" s="10">
        <f>IFERROR(IF(INDEX('Test catalog'!$I$2:$I$200,MATCH($AB1022,'Test catalog'!$A$2:$A$200,0))="","",INDEX('Test catalog'!$I$2:$I$200,MATCH($AB1022,'Test catalog'!$A$2:$A$200,0))),"")</f>
        <v/>
      </c>
      <c r="O1022" s="10">
        <f>IFERROR(IF(INDEX('Test catalog'!$J$2:$J$200,MATCH($AB1022,'Test catalog'!$A$2:$A$200,0))="","",INDEX('Test catalog'!$J$2:$J$200,MATCH($AB1022,'Test catalog'!$A$2:$A$200,0))),"")</f>
        <v/>
      </c>
      <c r="P1022" s="14">
        <f>IF(N1022="","",IF(OR(M1022="",O1022=""),N1022,(M1022+4*N1022+O1022)/6))</f>
        <v/>
      </c>
      <c r="Q1022" s="10">
        <f>IFERROR(IF(INDEX('Test catalog'!$K$2:$K$200,MATCH($AB1022,'Test catalog'!$A$2:$A$200,0))="","",INDEX('Test catalog'!$K$2:$K$200,MATCH($AB1022,'Test catalog'!$A$2:$A$200,0))),"")</f>
        <v/>
      </c>
      <c r="R1022" s="5" t="n"/>
      <c r="S1022" s="10">
        <f>IFERROR(IF(INDEX('Test catalog'!$L$2:$L$200,MATCH($AB1022,'Test catalog'!$A$2:$A$200,0))="","",INDEX('Test catalog'!$L$2:$L$200,MATCH($AB1022,'Test catalog'!$A$2:$A$200,0))),"")</f>
        <v/>
      </c>
      <c r="T1022" s="10">
        <f>IFERROR(IF(INDEX('Test catalog'!$M$2:$M$200,MATCH($AB1022,'Test catalog'!$A$2:$A$200,0))="","",INDEX('Test catalog'!$M$2:$M$200,MATCH($AB1022,'Test catalog'!$A$2:$A$200,0))),"")</f>
        <v/>
      </c>
      <c r="U1022" s="10">
        <f>IFERROR(IF(INDEX('Test catalog'!$N$2:$N$200,MATCH($AB1022,'Test catalog'!$A$2:$A$200,0))="","",INDEX('Test catalog'!$N$2:$N$200,MATCH($AB1022,'Test catalog'!$A$2:$A$200,0))),"")</f>
        <v/>
      </c>
      <c r="V1022" s="15" t="n"/>
      <c r="W1022" s="5" t="inlineStr">
        <is>
          <t>N</t>
        </is>
      </c>
      <c r="X1022" s="5" t="n"/>
      <c r="Y1022" s="5" t="n"/>
      <c r="Z1022" s="5" t="n"/>
      <c r="AA1022" s="10">
        <f>IFERROR(IF(INDEX('Test catalog'!$O$2:$O$200,MATCH($AB1022,'Test catalog'!$A$2:$A$200,0))="","",INDEX('Test catalog'!$O$2:$O$200,MATCH($AB1022,'Test catalog'!$A$2:$A$200,0))),"")</f>
        <v/>
      </c>
      <c r="AB1022" s="10" t="inlineStr">
        <is>
          <t>GRAV</t>
        </is>
      </c>
      <c r="AC1022" s="10" t="inlineStr">
        <is>
          <t>Alcohol · Impurities</t>
        </is>
      </c>
      <c r="AD1022" s="10" t="n"/>
      <c r="AE1022" s="10" t="n"/>
    </row>
    <row r="1023">
      <c r="A1023" s="10" t="inlineStr">
        <is>
          <t>Ethanol 96%</t>
        </is>
      </c>
      <c r="B1023" s="10" t="inlineStr">
        <is>
          <t>RM</t>
        </is>
      </c>
      <c r="C1023" s="10" t="inlineStr">
        <is>
          <t>Solvent</t>
        </is>
      </c>
      <c r="D1023" s="10" t="inlineStr">
        <is>
          <t>Organic Impurities (GC)</t>
        </is>
      </c>
      <c r="E1023" s="10">
        <f>IF(A1023="","",A1023&amp;"|"&amp;D1023)</f>
        <v/>
      </c>
      <c r="F1023" s="5" t="inlineStr">
        <is>
          <t>Y</t>
        </is>
      </c>
      <c r="G1023" s="5" t="inlineStr">
        <is>
          <t>GC</t>
        </is>
      </c>
      <c r="H1023" s="5" t="inlineStr">
        <is>
          <t>Medium</t>
        </is>
      </c>
      <c r="I1023" s="5" t="n">
        <v>1</v>
      </c>
      <c r="J1023" s="5" t="n"/>
      <c r="K1023" s="5" t="n"/>
      <c r="L1023" s="5" t="n"/>
      <c r="M1023" s="5" t="n"/>
      <c r="N1023" s="5" t="n"/>
      <c r="O1023" s="5" t="n"/>
      <c r="P1023" s="14">
        <f>IF(N1023="","",IF(OR(M1023="",O1023=""),N1023,(M1023+4*N1023+O1023)/6))</f>
        <v/>
      </c>
      <c r="Q1023" s="5" t="n"/>
      <c r="R1023" s="5" t="n"/>
      <c r="S1023" s="5" t="n"/>
      <c r="T1023" s="5" t="n"/>
      <c r="U1023" s="5" t="n"/>
      <c r="V1023" s="15" t="n"/>
      <c r="W1023" s="5" t="inlineStr">
        <is>
          <t>N</t>
        </is>
      </c>
      <c r="X1023" s="5" t="n"/>
      <c r="Y1023" s="5" t="n"/>
      <c r="Z1023" s="5" t="n"/>
      <c r="AA1023" s="5" t="n"/>
      <c r="AB1023" s="10" t="n"/>
      <c r="AC1023" s="10" t="inlineStr">
        <is>
          <t>Alcohol · Impurities</t>
        </is>
      </c>
      <c r="AD1023" s="10" t="n"/>
      <c r="AE1023" s="10" t="n"/>
    </row>
    <row r="1024">
      <c r="A1024" s="10" t="inlineStr">
        <is>
          <t>Ethanol 96%</t>
        </is>
      </c>
      <c r="B1024" s="10" t="inlineStr">
        <is>
          <t>RM</t>
        </is>
      </c>
      <c r="C1024" s="10" t="inlineStr">
        <is>
          <t>Solvent</t>
        </is>
      </c>
      <c r="D1024" s="10" t="inlineStr">
        <is>
          <t>Specific Gravity</t>
        </is>
      </c>
      <c r="E1024" s="10">
        <f>IF(A1024="","",A1024&amp;"|"&amp;D1024)</f>
        <v/>
      </c>
      <c r="F1024" s="5" t="inlineStr">
        <is>
          <t>Y</t>
        </is>
      </c>
      <c r="G1024" s="5" t="inlineStr">
        <is>
          <t>Other / bench</t>
        </is>
      </c>
      <c r="H1024" s="5" t="inlineStr">
        <is>
          <t>Low</t>
        </is>
      </c>
      <c r="I1024" s="5" t="n">
        <v>1</v>
      </c>
      <c r="J1024" s="5" t="n"/>
      <c r="K1024" s="10">
        <f>IFERROR(IF(INDEX('Test catalog'!$F$2:$F$200,MATCH($AB1024,'Test catalog'!$A$2:$A$200,0))="","",INDEX('Test catalog'!$F$2:$F$200,MATCH($AB1024,'Test catalog'!$A$2:$A$200,0))),"")</f>
        <v/>
      </c>
      <c r="L1024" s="10">
        <f>IFERROR(IF(INDEX('Test catalog'!$G$2:$G$200,MATCH($AB1024,'Test catalog'!$A$2:$A$200,0))="","",INDEX('Test catalog'!$G$2:$G$200,MATCH($AB1024,'Test catalog'!$A$2:$A$200,0))),"")</f>
        <v/>
      </c>
      <c r="M1024" s="10">
        <f>IFERROR(IF(INDEX('Test catalog'!$H$2:$H$200,MATCH($AB1024,'Test catalog'!$A$2:$A$200,0))="","",INDEX('Test catalog'!$H$2:$H$200,MATCH($AB1024,'Test catalog'!$A$2:$A$200,0))),"")</f>
        <v/>
      </c>
      <c r="N1024" s="10">
        <f>IFERROR(IF(INDEX('Test catalog'!$I$2:$I$200,MATCH($AB1024,'Test catalog'!$A$2:$A$200,0))="","",INDEX('Test catalog'!$I$2:$I$200,MATCH($AB1024,'Test catalog'!$A$2:$A$200,0))),"")</f>
        <v/>
      </c>
      <c r="O1024" s="10">
        <f>IFERROR(IF(INDEX('Test catalog'!$J$2:$J$200,MATCH($AB1024,'Test catalog'!$A$2:$A$200,0))="","",INDEX('Test catalog'!$J$2:$J$200,MATCH($AB1024,'Test catalog'!$A$2:$A$200,0))),"")</f>
        <v/>
      </c>
      <c r="P1024" s="14">
        <f>IF(N1024="","",IF(OR(M1024="",O1024=""),N1024,(M1024+4*N1024+O1024)/6))</f>
        <v/>
      </c>
      <c r="Q1024" s="10">
        <f>IFERROR(IF(INDEX('Test catalog'!$K$2:$K$200,MATCH($AB1024,'Test catalog'!$A$2:$A$200,0))="","",INDEX('Test catalog'!$K$2:$K$200,MATCH($AB1024,'Test catalog'!$A$2:$A$200,0))),"")</f>
        <v/>
      </c>
      <c r="R1024" s="5" t="n"/>
      <c r="S1024" s="10">
        <f>IFERROR(IF(INDEX('Test catalog'!$L$2:$L$200,MATCH($AB1024,'Test catalog'!$A$2:$A$200,0))="","",INDEX('Test catalog'!$L$2:$L$200,MATCH($AB1024,'Test catalog'!$A$2:$A$200,0))),"")</f>
        <v/>
      </c>
      <c r="T1024" s="10">
        <f>IFERROR(IF(INDEX('Test catalog'!$M$2:$M$200,MATCH($AB1024,'Test catalog'!$A$2:$A$200,0))="","",INDEX('Test catalog'!$M$2:$M$200,MATCH($AB1024,'Test catalog'!$A$2:$A$200,0))),"")</f>
        <v/>
      </c>
      <c r="U1024" s="10">
        <f>IFERROR(IF(INDEX('Test catalog'!$N$2:$N$200,MATCH($AB1024,'Test catalog'!$A$2:$A$200,0))="","",INDEX('Test catalog'!$N$2:$N$200,MATCH($AB1024,'Test catalog'!$A$2:$A$200,0))),"")</f>
        <v/>
      </c>
      <c r="V1024" s="15" t="n"/>
      <c r="W1024" s="5" t="inlineStr">
        <is>
          <t>N</t>
        </is>
      </c>
      <c r="X1024" s="5" t="n"/>
      <c r="Y1024" s="5" t="n"/>
      <c r="Z1024" s="5" t="n"/>
      <c r="AA1024" s="10">
        <f>IFERROR(IF(INDEX('Test catalog'!$O$2:$O$200,MATCH($AB1024,'Test catalog'!$A$2:$A$200,0))="","",INDEX('Test catalog'!$O$2:$O$200,MATCH($AB1024,'Test catalog'!$A$2:$A$200,0))),"")</f>
        <v/>
      </c>
      <c r="AB1024" s="10" t="inlineStr">
        <is>
          <t>SG</t>
        </is>
      </c>
      <c r="AC1024" s="10" t="inlineStr">
        <is>
          <t>Alcohol · Specific Tests &lt;841&gt;</t>
        </is>
      </c>
      <c r="AD1024" s="10" t="n"/>
      <c r="AE1024" s="10" t="n"/>
    </row>
    <row r="1025">
      <c r="A1025" s="10" t="inlineStr">
        <is>
          <t>Ethanol 96%</t>
        </is>
      </c>
      <c r="B1025" s="10" t="inlineStr">
        <is>
          <t>RM</t>
        </is>
      </c>
      <c r="C1025" s="10" t="inlineStr">
        <is>
          <t>Solvent</t>
        </is>
      </c>
      <c r="D1025" s="10" t="inlineStr">
        <is>
          <t>Ultraviolet Absorption</t>
        </is>
      </c>
      <c r="E1025" s="10">
        <f>IF(A1025="","",A1025&amp;"|"&amp;D1025)</f>
        <v/>
      </c>
      <c r="F1025" s="5" t="inlineStr">
        <is>
          <t>Y</t>
        </is>
      </c>
      <c r="G1025" s="5" t="inlineStr">
        <is>
          <t>UV-Vis</t>
        </is>
      </c>
      <c r="H1025" s="5" t="inlineStr">
        <is>
          <t>Low</t>
        </is>
      </c>
      <c r="I1025" s="5" t="n">
        <v>1</v>
      </c>
      <c r="J1025" s="5" t="n"/>
      <c r="K1025" s="10">
        <f>IFERROR(IF(INDEX('Test catalog'!$F$2:$F$200,MATCH($AB1025,'Test catalog'!$A$2:$A$200,0))="","",INDEX('Test catalog'!$F$2:$F$200,MATCH($AB1025,'Test catalog'!$A$2:$A$200,0))),"")</f>
        <v/>
      </c>
      <c r="L1025" s="10">
        <f>IFERROR(IF(INDEX('Test catalog'!$G$2:$G$200,MATCH($AB1025,'Test catalog'!$A$2:$A$200,0))="","",INDEX('Test catalog'!$G$2:$G$200,MATCH($AB1025,'Test catalog'!$A$2:$A$200,0))),"")</f>
        <v/>
      </c>
      <c r="M1025" s="10">
        <f>IFERROR(IF(INDEX('Test catalog'!$H$2:$H$200,MATCH($AB1025,'Test catalog'!$A$2:$A$200,0))="","",INDEX('Test catalog'!$H$2:$H$200,MATCH($AB1025,'Test catalog'!$A$2:$A$200,0))),"")</f>
        <v/>
      </c>
      <c r="N1025" s="10">
        <f>IFERROR(IF(INDEX('Test catalog'!$I$2:$I$200,MATCH($AB1025,'Test catalog'!$A$2:$A$200,0))="","",INDEX('Test catalog'!$I$2:$I$200,MATCH($AB1025,'Test catalog'!$A$2:$A$200,0))),"")</f>
        <v/>
      </c>
      <c r="O1025" s="10">
        <f>IFERROR(IF(INDEX('Test catalog'!$J$2:$J$200,MATCH($AB1025,'Test catalog'!$A$2:$A$200,0))="","",INDEX('Test catalog'!$J$2:$J$200,MATCH($AB1025,'Test catalog'!$A$2:$A$200,0))),"")</f>
        <v/>
      </c>
      <c r="P1025" s="14">
        <f>IF(N1025="","",IF(OR(M1025="",O1025=""),N1025,(M1025+4*N1025+O1025)/6))</f>
        <v/>
      </c>
      <c r="Q1025" s="10">
        <f>IFERROR(IF(INDEX('Test catalog'!$K$2:$K$200,MATCH($AB1025,'Test catalog'!$A$2:$A$200,0))="","",INDEX('Test catalog'!$K$2:$K$200,MATCH($AB1025,'Test catalog'!$A$2:$A$200,0))),"")</f>
        <v/>
      </c>
      <c r="R1025" s="5" t="n"/>
      <c r="S1025" s="10">
        <f>IFERROR(IF(INDEX('Test catalog'!$L$2:$L$200,MATCH($AB1025,'Test catalog'!$A$2:$A$200,0))="","",INDEX('Test catalog'!$L$2:$L$200,MATCH($AB1025,'Test catalog'!$A$2:$A$200,0))),"")</f>
        <v/>
      </c>
      <c r="T1025" s="10">
        <f>IFERROR(IF(INDEX('Test catalog'!$M$2:$M$200,MATCH($AB1025,'Test catalog'!$A$2:$A$200,0))="","",INDEX('Test catalog'!$M$2:$M$200,MATCH($AB1025,'Test catalog'!$A$2:$A$200,0))),"")</f>
        <v/>
      </c>
      <c r="U1025" s="10">
        <f>IFERROR(IF(INDEX('Test catalog'!$N$2:$N$200,MATCH($AB1025,'Test catalog'!$A$2:$A$200,0))="","",INDEX('Test catalog'!$N$2:$N$200,MATCH($AB1025,'Test catalog'!$A$2:$A$200,0))),"")</f>
        <v/>
      </c>
      <c r="V1025" s="15" t="n"/>
      <c r="W1025" s="5" t="inlineStr">
        <is>
          <t>N</t>
        </is>
      </c>
      <c r="X1025" s="5" t="n"/>
      <c r="Y1025" s="5" t="n"/>
      <c r="Z1025" s="5" t="n"/>
      <c r="AA1025" s="10">
        <f>IFERROR(IF(INDEX('Test catalog'!$O$2:$O$200,MATCH($AB1025,'Test catalog'!$A$2:$A$200,0))="","",INDEX('Test catalog'!$O$2:$O$200,MATCH($AB1025,'Test catalog'!$A$2:$A$200,0))),"")</f>
        <v/>
      </c>
      <c r="AB1025" s="10" t="inlineStr">
        <is>
          <t>UV</t>
        </is>
      </c>
      <c r="AC1025" s="10" t="inlineStr">
        <is>
          <t>Alcohol · Specific Tests</t>
        </is>
      </c>
      <c r="AD1025" s="10" t="n"/>
      <c r="AE1025" s="10" t="n"/>
    </row>
    <row r="1026">
      <c r="A1026" s="10" t="inlineStr">
        <is>
          <t>Ethanol 96%</t>
        </is>
      </c>
      <c r="B1026" s="10" t="inlineStr">
        <is>
          <t>RM</t>
        </is>
      </c>
      <c r="C1026" s="10" t="inlineStr">
        <is>
          <t>Solvent</t>
        </is>
      </c>
      <c r="D1026" s="10" t="inlineStr">
        <is>
          <t>Clarity of Solution</t>
        </is>
      </c>
      <c r="E1026" s="10">
        <f>IF(A1026="","",A1026&amp;"|"&amp;D1026)</f>
        <v/>
      </c>
      <c r="F1026" s="5" t="inlineStr">
        <is>
          <t>Y</t>
        </is>
      </c>
      <c r="G1026" s="5" t="inlineStr">
        <is>
          <t>Other / bench</t>
        </is>
      </c>
      <c r="H1026" s="5" t="inlineStr">
        <is>
          <t>Low</t>
        </is>
      </c>
      <c r="I1026" s="5" t="n">
        <v>1</v>
      </c>
      <c r="J1026" s="5" t="n"/>
      <c r="K1026" s="10">
        <f>IFERROR(IF(INDEX('Test catalog'!$F$2:$F$200,MATCH($AB1026,'Test catalog'!$A$2:$A$200,0))="","",INDEX('Test catalog'!$F$2:$F$200,MATCH($AB1026,'Test catalog'!$A$2:$A$200,0))),"")</f>
        <v/>
      </c>
      <c r="L1026" s="10">
        <f>IFERROR(IF(INDEX('Test catalog'!$G$2:$G$200,MATCH($AB1026,'Test catalog'!$A$2:$A$200,0))="","",INDEX('Test catalog'!$G$2:$G$200,MATCH($AB1026,'Test catalog'!$A$2:$A$200,0))),"")</f>
        <v/>
      </c>
      <c r="M1026" s="10">
        <f>IFERROR(IF(INDEX('Test catalog'!$H$2:$H$200,MATCH($AB1026,'Test catalog'!$A$2:$A$200,0))="","",INDEX('Test catalog'!$H$2:$H$200,MATCH($AB1026,'Test catalog'!$A$2:$A$200,0))),"")</f>
        <v/>
      </c>
      <c r="N1026" s="10">
        <f>IFERROR(IF(INDEX('Test catalog'!$I$2:$I$200,MATCH($AB1026,'Test catalog'!$A$2:$A$200,0))="","",INDEX('Test catalog'!$I$2:$I$200,MATCH($AB1026,'Test catalog'!$A$2:$A$200,0))),"")</f>
        <v/>
      </c>
      <c r="O1026" s="10">
        <f>IFERROR(IF(INDEX('Test catalog'!$J$2:$J$200,MATCH($AB1026,'Test catalog'!$A$2:$A$200,0))="","",INDEX('Test catalog'!$J$2:$J$200,MATCH($AB1026,'Test catalog'!$A$2:$A$200,0))),"")</f>
        <v/>
      </c>
      <c r="P1026" s="14">
        <f>IF(N1026="","",IF(OR(M1026="",O1026=""),N1026,(M1026+4*N1026+O1026)/6))</f>
        <v/>
      </c>
      <c r="Q1026" s="10">
        <f>IFERROR(IF(INDEX('Test catalog'!$K$2:$K$200,MATCH($AB1026,'Test catalog'!$A$2:$A$200,0))="","",INDEX('Test catalog'!$K$2:$K$200,MATCH($AB1026,'Test catalog'!$A$2:$A$200,0))),"")</f>
        <v/>
      </c>
      <c r="R1026" s="5" t="n"/>
      <c r="S1026" s="10">
        <f>IFERROR(IF(INDEX('Test catalog'!$L$2:$L$200,MATCH($AB1026,'Test catalog'!$A$2:$A$200,0))="","",INDEX('Test catalog'!$L$2:$L$200,MATCH($AB1026,'Test catalog'!$A$2:$A$200,0))),"")</f>
        <v/>
      </c>
      <c r="T1026" s="10">
        <f>IFERROR(IF(INDEX('Test catalog'!$M$2:$M$200,MATCH($AB1026,'Test catalog'!$A$2:$A$200,0))="","",INDEX('Test catalog'!$M$2:$M$200,MATCH($AB1026,'Test catalog'!$A$2:$A$200,0))),"")</f>
        <v/>
      </c>
      <c r="U1026" s="10">
        <f>IFERROR(IF(INDEX('Test catalog'!$N$2:$N$200,MATCH($AB1026,'Test catalog'!$A$2:$A$200,0))="","",INDEX('Test catalog'!$N$2:$N$200,MATCH($AB1026,'Test catalog'!$A$2:$A$200,0))),"")</f>
        <v/>
      </c>
      <c r="V1026" s="15" t="n"/>
      <c r="W1026" s="5" t="inlineStr">
        <is>
          <t>N</t>
        </is>
      </c>
      <c r="X1026" s="5" t="n"/>
      <c r="Y1026" s="5" t="n"/>
      <c r="Z1026" s="5" t="n"/>
      <c r="AA1026" s="10">
        <f>IFERROR(IF(INDEX('Test catalog'!$O$2:$O$200,MATCH($AB1026,'Test catalog'!$A$2:$A$200,0))="","",INDEX('Test catalog'!$O$2:$O$200,MATCH($AB1026,'Test catalog'!$A$2:$A$200,0))),"")</f>
        <v/>
      </c>
      <c r="AB1026" s="10" t="inlineStr">
        <is>
          <t>CLAR</t>
        </is>
      </c>
      <c r="AC1026" s="10" t="inlineStr">
        <is>
          <t>Alcohol · Specific Tests</t>
        </is>
      </c>
      <c r="AD1026" s="10" t="n"/>
      <c r="AE1026" s="10" t="n"/>
    </row>
    <row r="1027">
      <c r="A1027" s="10" t="inlineStr">
        <is>
          <t>Ethanol 96%</t>
        </is>
      </c>
      <c r="B1027" s="10" t="inlineStr">
        <is>
          <t>RM</t>
        </is>
      </c>
      <c r="C1027" s="10" t="inlineStr">
        <is>
          <t>Solvent</t>
        </is>
      </c>
      <c r="D1027" s="10" t="inlineStr">
        <is>
          <t>Acidity or Alkalinity</t>
        </is>
      </c>
      <c r="E1027" s="10">
        <f>IF(A1027="","",A1027&amp;"|"&amp;D1027)</f>
        <v/>
      </c>
      <c r="F1027" s="5" t="inlineStr">
        <is>
          <t>Y</t>
        </is>
      </c>
      <c r="G1027" s="5" t="inlineStr">
        <is>
          <t>Other / bench</t>
        </is>
      </c>
      <c r="H1027" s="5" t="inlineStr">
        <is>
          <t>Low</t>
        </is>
      </c>
      <c r="I1027" s="5" t="n">
        <v>1</v>
      </c>
      <c r="J1027" s="5" t="n"/>
      <c r="K1027" s="10">
        <f>IFERROR(IF(INDEX('Test catalog'!$F$2:$F$200,MATCH($AB1027,'Test catalog'!$A$2:$A$200,0))="","",INDEX('Test catalog'!$F$2:$F$200,MATCH($AB1027,'Test catalog'!$A$2:$A$200,0))),"")</f>
        <v/>
      </c>
      <c r="L1027" s="10">
        <f>IFERROR(IF(INDEX('Test catalog'!$G$2:$G$200,MATCH($AB1027,'Test catalog'!$A$2:$A$200,0))="","",INDEX('Test catalog'!$G$2:$G$200,MATCH($AB1027,'Test catalog'!$A$2:$A$200,0))),"")</f>
        <v/>
      </c>
      <c r="M1027" s="10">
        <f>IFERROR(IF(INDEX('Test catalog'!$H$2:$H$200,MATCH($AB1027,'Test catalog'!$A$2:$A$200,0))="","",INDEX('Test catalog'!$H$2:$H$200,MATCH($AB1027,'Test catalog'!$A$2:$A$200,0))),"")</f>
        <v/>
      </c>
      <c r="N1027" s="10">
        <f>IFERROR(IF(INDEX('Test catalog'!$I$2:$I$200,MATCH($AB1027,'Test catalog'!$A$2:$A$200,0))="","",INDEX('Test catalog'!$I$2:$I$200,MATCH($AB1027,'Test catalog'!$A$2:$A$200,0))),"")</f>
        <v/>
      </c>
      <c r="O1027" s="10">
        <f>IFERROR(IF(INDEX('Test catalog'!$J$2:$J$200,MATCH($AB1027,'Test catalog'!$A$2:$A$200,0))="","",INDEX('Test catalog'!$J$2:$J$200,MATCH($AB1027,'Test catalog'!$A$2:$A$200,0))),"")</f>
        <v/>
      </c>
      <c r="P1027" s="14">
        <f>IF(N1027="","",IF(OR(M1027="",O1027=""),N1027,(M1027+4*N1027+O1027)/6))</f>
        <v/>
      </c>
      <c r="Q1027" s="10">
        <f>IFERROR(IF(INDEX('Test catalog'!$K$2:$K$200,MATCH($AB1027,'Test catalog'!$A$2:$A$200,0))="","",INDEX('Test catalog'!$K$2:$K$200,MATCH($AB1027,'Test catalog'!$A$2:$A$200,0))),"")</f>
        <v/>
      </c>
      <c r="R1027" s="5" t="n"/>
      <c r="S1027" s="10">
        <f>IFERROR(IF(INDEX('Test catalog'!$L$2:$L$200,MATCH($AB1027,'Test catalog'!$A$2:$A$200,0))="","",INDEX('Test catalog'!$L$2:$L$200,MATCH($AB1027,'Test catalog'!$A$2:$A$200,0))),"")</f>
        <v/>
      </c>
      <c r="T1027" s="10">
        <f>IFERROR(IF(INDEX('Test catalog'!$M$2:$M$200,MATCH($AB1027,'Test catalog'!$A$2:$A$200,0))="","",INDEX('Test catalog'!$M$2:$M$200,MATCH($AB1027,'Test catalog'!$A$2:$A$200,0))),"")</f>
        <v/>
      </c>
      <c r="U1027" s="10">
        <f>IFERROR(IF(INDEX('Test catalog'!$N$2:$N$200,MATCH($AB1027,'Test catalog'!$A$2:$A$200,0))="","",INDEX('Test catalog'!$N$2:$N$200,MATCH($AB1027,'Test catalog'!$A$2:$A$200,0))),"")</f>
        <v/>
      </c>
      <c r="V1027" s="15" t="n"/>
      <c r="W1027" s="5" t="inlineStr">
        <is>
          <t>N</t>
        </is>
      </c>
      <c r="X1027" s="5" t="n"/>
      <c r="Y1027" s="5" t="n"/>
      <c r="Z1027" s="5" t="n"/>
      <c r="AA1027" s="10">
        <f>IFERROR(IF(INDEX('Test catalog'!$O$2:$O$200,MATCH($AB1027,'Test catalog'!$A$2:$A$200,0))="","",INDEX('Test catalog'!$O$2:$O$200,MATCH($AB1027,'Test catalog'!$A$2:$A$200,0))),"")</f>
        <v/>
      </c>
      <c r="AB1027" s="10" t="inlineStr">
        <is>
          <t>ACID</t>
        </is>
      </c>
      <c r="AC1027" s="10" t="inlineStr">
        <is>
          <t>Alcohol · Specific Tests</t>
        </is>
      </c>
      <c r="AD1027" s="10" t="n"/>
      <c r="AE1027" s="10" t="n"/>
    </row>
    <row r="1028">
      <c r="A1028" s="10" t="inlineStr">
        <is>
          <t>Ethanol 96%</t>
        </is>
      </c>
      <c r="B1028" s="10" t="inlineStr">
        <is>
          <t>RM</t>
        </is>
      </c>
      <c r="C1028" s="10" t="inlineStr">
        <is>
          <t>Solvent</t>
        </is>
      </c>
      <c r="D1028" s="10" t="inlineStr">
        <is>
          <t>Color of Solution</t>
        </is>
      </c>
      <c r="E1028" s="10">
        <f>IF(A1028="","",A1028&amp;"|"&amp;D1028)</f>
        <v/>
      </c>
      <c r="F1028" s="5" t="inlineStr">
        <is>
          <t>Y</t>
        </is>
      </c>
      <c r="G1028" s="5" t="inlineStr">
        <is>
          <t>Other / bench</t>
        </is>
      </c>
      <c r="H1028" s="5" t="inlineStr">
        <is>
          <t>Low</t>
        </is>
      </c>
      <c r="I1028" s="5" t="n">
        <v>1</v>
      </c>
      <c r="J1028" s="5" t="n"/>
      <c r="K1028" s="10">
        <f>IFERROR(IF(INDEX('Test catalog'!$F$2:$F$200,MATCH($AB1028,'Test catalog'!$A$2:$A$200,0))="","",INDEX('Test catalog'!$F$2:$F$200,MATCH($AB1028,'Test catalog'!$A$2:$A$200,0))),"")</f>
        <v/>
      </c>
      <c r="L1028" s="10">
        <f>IFERROR(IF(INDEX('Test catalog'!$G$2:$G$200,MATCH($AB1028,'Test catalog'!$A$2:$A$200,0))="","",INDEX('Test catalog'!$G$2:$G$200,MATCH($AB1028,'Test catalog'!$A$2:$A$200,0))),"")</f>
        <v/>
      </c>
      <c r="M1028" s="10">
        <f>IFERROR(IF(INDEX('Test catalog'!$H$2:$H$200,MATCH($AB1028,'Test catalog'!$A$2:$A$200,0))="","",INDEX('Test catalog'!$H$2:$H$200,MATCH($AB1028,'Test catalog'!$A$2:$A$200,0))),"")</f>
        <v/>
      </c>
      <c r="N1028" s="10">
        <f>IFERROR(IF(INDEX('Test catalog'!$I$2:$I$200,MATCH($AB1028,'Test catalog'!$A$2:$A$200,0))="","",INDEX('Test catalog'!$I$2:$I$200,MATCH($AB1028,'Test catalog'!$A$2:$A$200,0))),"")</f>
        <v/>
      </c>
      <c r="O1028" s="10">
        <f>IFERROR(IF(INDEX('Test catalog'!$J$2:$J$200,MATCH($AB1028,'Test catalog'!$A$2:$A$200,0))="","",INDEX('Test catalog'!$J$2:$J$200,MATCH($AB1028,'Test catalog'!$A$2:$A$200,0))),"")</f>
        <v/>
      </c>
      <c r="P1028" s="14">
        <f>IF(N1028="","",IF(OR(M1028="",O1028=""),N1028,(M1028+4*N1028+O1028)/6))</f>
        <v/>
      </c>
      <c r="Q1028" s="10">
        <f>IFERROR(IF(INDEX('Test catalog'!$K$2:$K$200,MATCH($AB1028,'Test catalog'!$A$2:$A$200,0))="","",INDEX('Test catalog'!$K$2:$K$200,MATCH($AB1028,'Test catalog'!$A$2:$A$200,0))),"")</f>
        <v/>
      </c>
      <c r="R1028" s="5" t="n"/>
      <c r="S1028" s="10">
        <f>IFERROR(IF(INDEX('Test catalog'!$L$2:$L$200,MATCH($AB1028,'Test catalog'!$A$2:$A$200,0))="","",INDEX('Test catalog'!$L$2:$L$200,MATCH($AB1028,'Test catalog'!$A$2:$A$200,0))),"")</f>
        <v/>
      </c>
      <c r="T1028" s="10">
        <f>IFERROR(IF(INDEX('Test catalog'!$M$2:$M$200,MATCH($AB1028,'Test catalog'!$A$2:$A$200,0))="","",INDEX('Test catalog'!$M$2:$M$200,MATCH($AB1028,'Test catalog'!$A$2:$A$200,0))),"")</f>
        <v/>
      </c>
      <c r="U1028" s="10">
        <f>IFERROR(IF(INDEX('Test catalog'!$N$2:$N$200,MATCH($AB1028,'Test catalog'!$A$2:$A$200,0))="","",INDEX('Test catalog'!$N$2:$N$200,MATCH($AB1028,'Test catalog'!$A$2:$A$200,0))),"")</f>
        <v/>
      </c>
      <c r="V1028" s="15" t="n"/>
      <c r="W1028" s="5" t="inlineStr">
        <is>
          <t>N</t>
        </is>
      </c>
      <c r="X1028" s="5" t="n"/>
      <c r="Y1028" s="5" t="n"/>
      <c r="Z1028" s="5" t="n"/>
      <c r="AA1028" s="10">
        <f>IFERROR(IF(INDEX('Test catalog'!$O$2:$O$200,MATCH($AB1028,'Test catalog'!$A$2:$A$200,0))="","",INDEX('Test catalog'!$O$2:$O$200,MATCH($AB1028,'Test catalog'!$A$2:$A$200,0))),"")</f>
        <v/>
      </c>
      <c r="AB1028" s="10" t="inlineStr">
        <is>
          <t>CLAR</t>
        </is>
      </c>
      <c r="AC1028" s="10" t="inlineStr">
        <is>
          <t>Alcohol · Specific Tests</t>
        </is>
      </c>
      <c r="AD1028" s="10" t="n"/>
      <c r="AE1028" s="10" t="n"/>
    </row>
    <row r="1029">
      <c r="A1029" s="10" t="inlineStr">
        <is>
          <t>Isopropyl Alcohol</t>
        </is>
      </c>
      <c r="B1029" s="10" t="inlineStr">
        <is>
          <t>RM</t>
        </is>
      </c>
      <c r="C1029" s="10" t="inlineStr">
        <is>
          <t>Solvent</t>
        </is>
      </c>
      <c r="D1029" s="10" t="inlineStr">
        <is>
          <t>Appearance / description and solubility</t>
        </is>
      </c>
      <c r="E1029" s="10">
        <f>IF(A1029="","",A1029&amp;"|"&amp;D1029)</f>
        <v/>
      </c>
      <c r="F1029" s="5" t="inlineStr">
        <is>
          <t>Y</t>
        </is>
      </c>
      <c r="G1029" s="5" t="inlineStr">
        <is>
          <t>Other / bench</t>
        </is>
      </c>
      <c r="H1029" s="5" t="inlineStr">
        <is>
          <t>Low</t>
        </is>
      </c>
      <c r="I1029" s="5" t="n">
        <v>1</v>
      </c>
      <c r="J1029" s="5" t="n"/>
      <c r="K1029" s="10">
        <f>IFERROR(IF(INDEX('Test catalog'!$F$2:$F$200,MATCH($AB1029,'Test catalog'!$A$2:$A$200,0))="","",INDEX('Test catalog'!$F$2:$F$200,MATCH($AB1029,'Test catalog'!$A$2:$A$200,0))),"")</f>
        <v/>
      </c>
      <c r="L1029" s="10">
        <f>IFERROR(IF(INDEX('Test catalog'!$G$2:$G$200,MATCH($AB1029,'Test catalog'!$A$2:$A$200,0))="","",INDEX('Test catalog'!$G$2:$G$200,MATCH($AB1029,'Test catalog'!$A$2:$A$200,0))),"")</f>
        <v/>
      </c>
      <c r="M1029" s="10">
        <f>IFERROR(IF(INDEX('Test catalog'!$H$2:$H$200,MATCH($AB1029,'Test catalog'!$A$2:$A$200,0))="","",INDEX('Test catalog'!$H$2:$H$200,MATCH($AB1029,'Test catalog'!$A$2:$A$200,0))),"")</f>
        <v/>
      </c>
      <c r="N1029" s="10">
        <f>IFERROR(IF(INDEX('Test catalog'!$I$2:$I$200,MATCH($AB1029,'Test catalog'!$A$2:$A$200,0))="","",INDEX('Test catalog'!$I$2:$I$200,MATCH($AB1029,'Test catalog'!$A$2:$A$200,0))),"")</f>
        <v/>
      </c>
      <c r="O1029" s="10">
        <f>IFERROR(IF(INDEX('Test catalog'!$J$2:$J$200,MATCH($AB1029,'Test catalog'!$A$2:$A$200,0))="","",INDEX('Test catalog'!$J$2:$J$200,MATCH($AB1029,'Test catalog'!$A$2:$A$200,0))),"")</f>
        <v/>
      </c>
      <c r="P1029" s="14">
        <f>IF(N1029="","",IF(OR(M1029="",O1029=""),N1029,(M1029+4*N1029+O1029)/6))</f>
        <v/>
      </c>
      <c r="Q1029" s="10">
        <f>IFERROR(IF(INDEX('Test catalog'!$K$2:$K$200,MATCH($AB1029,'Test catalog'!$A$2:$A$200,0))="","",INDEX('Test catalog'!$K$2:$K$200,MATCH($AB1029,'Test catalog'!$A$2:$A$200,0))),"")</f>
        <v/>
      </c>
      <c r="R1029" s="5" t="n"/>
      <c r="S1029" s="10">
        <f>IFERROR(IF(INDEX('Test catalog'!$L$2:$L$200,MATCH($AB1029,'Test catalog'!$A$2:$A$200,0))="","",INDEX('Test catalog'!$L$2:$L$200,MATCH($AB1029,'Test catalog'!$A$2:$A$200,0))),"")</f>
        <v/>
      </c>
      <c r="T1029" s="10">
        <f>IFERROR(IF(INDEX('Test catalog'!$M$2:$M$200,MATCH($AB1029,'Test catalog'!$A$2:$A$200,0))="","",INDEX('Test catalog'!$M$2:$M$200,MATCH($AB1029,'Test catalog'!$A$2:$A$200,0))),"")</f>
        <v/>
      </c>
      <c r="U1029" s="10">
        <f>IFERROR(IF(INDEX('Test catalog'!$N$2:$N$200,MATCH($AB1029,'Test catalog'!$A$2:$A$200,0))="","",INDEX('Test catalog'!$N$2:$N$200,MATCH($AB1029,'Test catalog'!$A$2:$A$200,0))),"")</f>
        <v/>
      </c>
      <c r="V1029" s="15" t="n"/>
      <c r="W1029" s="5" t="inlineStr">
        <is>
          <t>N</t>
        </is>
      </c>
      <c r="X1029" s="5" t="n"/>
      <c r="Y1029" s="5" t="n"/>
      <c r="Z1029" s="5" t="n"/>
      <c r="AA1029" s="10">
        <f>IFERROR(IF(INDEX('Test catalog'!$O$2:$O$200,MATCH($AB1029,'Test catalog'!$A$2:$A$200,0))="","",INDEX('Test catalog'!$O$2:$O$200,MATCH($AB1029,'Test catalog'!$A$2:$A$200,0))),"")</f>
        <v/>
      </c>
      <c r="AB1029" s="10" t="inlineStr">
        <is>
          <t>APPEAR</t>
        </is>
      </c>
      <c r="AC1029" s="10" t="inlineStr">
        <is>
          <t>Lab practice (not a USP test)</t>
        </is>
      </c>
      <c r="AD1029" s="10" t="n"/>
      <c r="AE1029" s="10" t="n"/>
    </row>
    <row r="1030">
      <c r="A1030" s="10" t="inlineStr">
        <is>
          <t>Isopropyl Alcohol</t>
        </is>
      </c>
      <c r="B1030" s="10" t="inlineStr">
        <is>
          <t>RM</t>
        </is>
      </c>
      <c r="C1030" s="10" t="inlineStr">
        <is>
          <t>Solvent</t>
        </is>
      </c>
      <c r="D1030" s="10" t="inlineStr">
        <is>
          <t>ID A - IR spectrum</t>
        </is>
      </c>
      <c r="E1030" s="10">
        <f>IF(A1030="","",A1030&amp;"|"&amp;D1030)</f>
        <v/>
      </c>
      <c r="F1030" s="5" t="inlineStr">
        <is>
          <t>Y</t>
        </is>
      </c>
      <c r="G1030" s="5" t="inlineStr">
        <is>
          <t>Other / bench</t>
        </is>
      </c>
      <c r="H1030" s="5" t="inlineStr">
        <is>
          <t>Low</t>
        </is>
      </c>
      <c r="I1030" s="5" t="n">
        <v>1</v>
      </c>
      <c r="J1030" s="5" t="n"/>
      <c r="K1030" s="10">
        <f>IFERROR(IF(INDEX('Test catalog'!$F$2:$F$200,MATCH($AB1030,'Test catalog'!$A$2:$A$200,0))="","",INDEX('Test catalog'!$F$2:$F$200,MATCH($AB1030,'Test catalog'!$A$2:$A$200,0))),"")</f>
        <v/>
      </c>
      <c r="L1030" s="10">
        <f>IFERROR(IF(INDEX('Test catalog'!$G$2:$G$200,MATCH($AB1030,'Test catalog'!$A$2:$A$200,0))="","",INDEX('Test catalog'!$G$2:$G$200,MATCH($AB1030,'Test catalog'!$A$2:$A$200,0))),"")</f>
        <v/>
      </c>
      <c r="M1030" s="10">
        <f>IFERROR(IF(INDEX('Test catalog'!$H$2:$H$200,MATCH($AB1030,'Test catalog'!$A$2:$A$200,0))="","",INDEX('Test catalog'!$H$2:$H$200,MATCH($AB1030,'Test catalog'!$A$2:$A$200,0))),"")</f>
        <v/>
      </c>
      <c r="N1030" s="10">
        <f>IFERROR(IF(INDEX('Test catalog'!$I$2:$I$200,MATCH($AB1030,'Test catalog'!$A$2:$A$200,0))="","",INDEX('Test catalog'!$I$2:$I$200,MATCH($AB1030,'Test catalog'!$A$2:$A$200,0))),"")</f>
        <v/>
      </c>
      <c r="O1030" s="10">
        <f>IFERROR(IF(INDEX('Test catalog'!$J$2:$J$200,MATCH($AB1030,'Test catalog'!$A$2:$A$200,0))="","",INDEX('Test catalog'!$J$2:$J$200,MATCH($AB1030,'Test catalog'!$A$2:$A$200,0))),"")</f>
        <v/>
      </c>
      <c r="P1030" s="14">
        <f>IF(N1030="","",IF(OR(M1030="",O1030=""),N1030,(M1030+4*N1030+O1030)/6))</f>
        <v/>
      </c>
      <c r="Q1030" s="10">
        <f>IFERROR(IF(INDEX('Test catalog'!$K$2:$K$200,MATCH($AB1030,'Test catalog'!$A$2:$A$200,0))="","",INDEX('Test catalog'!$K$2:$K$200,MATCH($AB1030,'Test catalog'!$A$2:$A$200,0))),"")</f>
        <v/>
      </c>
      <c r="R1030" s="5" t="n"/>
      <c r="S1030" s="10">
        <f>IFERROR(IF(INDEX('Test catalog'!$L$2:$L$200,MATCH($AB1030,'Test catalog'!$A$2:$A$200,0))="","",INDEX('Test catalog'!$L$2:$L$200,MATCH($AB1030,'Test catalog'!$A$2:$A$200,0))),"")</f>
        <v/>
      </c>
      <c r="T1030" s="10">
        <f>IFERROR(IF(INDEX('Test catalog'!$M$2:$M$200,MATCH($AB1030,'Test catalog'!$A$2:$A$200,0))="","",INDEX('Test catalog'!$M$2:$M$200,MATCH($AB1030,'Test catalog'!$A$2:$A$200,0))),"")</f>
        <v/>
      </c>
      <c r="U1030" s="10">
        <f>IFERROR(IF(INDEX('Test catalog'!$N$2:$N$200,MATCH($AB1030,'Test catalog'!$A$2:$A$200,0))="","",INDEX('Test catalog'!$N$2:$N$200,MATCH($AB1030,'Test catalog'!$A$2:$A$200,0))),"")</f>
        <v/>
      </c>
      <c r="V1030" s="15" t="n"/>
      <c r="W1030" s="5" t="inlineStr">
        <is>
          <t>N</t>
        </is>
      </c>
      <c r="X1030" s="5" t="n"/>
      <c r="Y1030" s="5" t="n"/>
      <c r="Z1030" s="5" t="n"/>
      <c r="AA1030" s="10">
        <f>IFERROR(IF(INDEX('Test catalog'!$O$2:$O$200,MATCH($AB1030,'Test catalog'!$A$2:$A$200,0))="","",INDEX('Test catalog'!$O$2:$O$200,MATCH($AB1030,'Test catalog'!$A$2:$A$200,0))),"")</f>
        <v/>
      </c>
      <c r="AB1030" s="10" t="inlineStr">
        <is>
          <t>ID_IR</t>
        </is>
      </c>
      <c r="AC1030" s="10" t="inlineStr">
        <is>
          <t>Isopropyl Alcohol · Identification &lt;197&gt;</t>
        </is>
      </c>
      <c r="AD1030" s="10" t="n"/>
      <c r="AE1030" s="10" t="n"/>
    </row>
    <row r="1031">
      <c r="A1031" s="10" t="inlineStr">
        <is>
          <t>Isopropyl Alcohol</t>
        </is>
      </c>
      <c r="B1031" s="10" t="inlineStr">
        <is>
          <t>RM</t>
        </is>
      </c>
      <c r="C1031" s="10" t="inlineStr">
        <is>
          <t>Solvent</t>
        </is>
      </c>
      <c r="D1031" s="10" t="inlineStr">
        <is>
          <t>ID C - GC</t>
        </is>
      </c>
      <c r="E1031" s="10">
        <f>IF(A1031="","",A1031&amp;"|"&amp;D1031)</f>
        <v/>
      </c>
      <c r="F1031" s="5" t="inlineStr">
        <is>
          <t>Y</t>
        </is>
      </c>
      <c r="G1031" s="5" t="inlineStr">
        <is>
          <t>GC</t>
        </is>
      </c>
      <c r="H1031" s="5" t="inlineStr">
        <is>
          <t>Medium</t>
        </is>
      </c>
      <c r="I1031" s="5" t="n">
        <v>1</v>
      </c>
      <c r="J1031" s="5" t="n"/>
      <c r="K1031" s="5" t="n"/>
      <c r="L1031" s="5" t="n"/>
      <c r="M1031" s="5" t="n"/>
      <c r="N1031" s="5" t="n"/>
      <c r="O1031" s="5" t="n"/>
      <c r="P1031" s="14">
        <f>IF(N1031="","",IF(OR(M1031="",O1031=""),N1031,(M1031+4*N1031+O1031)/6))</f>
        <v/>
      </c>
      <c r="Q1031" s="5" t="n"/>
      <c r="R1031" s="5" t="n"/>
      <c r="S1031" s="5" t="n"/>
      <c r="T1031" s="5" t="n"/>
      <c r="U1031" s="5" t="n"/>
      <c r="V1031" s="15" t="n"/>
      <c r="W1031" s="5" t="inlineStr">
        <is>
          <t>N</t>
        </is>
      </c>
      <c r="X1031" s="5" t="n"/>
      <c r="Y1031" s="5" t="n"/>
      <c r="Z1031" s="5" t="n"/>
      <c r="AA1031" s="5" t="n"/>
      <c r="AB1031" s="10" t="n"/>
      <c r="AC1031" s="10" t="inlineStr">
        <is>
          <t>Isopropyl Alcohol · Identification</t>
        </is>
      </c>
      <c r="AD1031" s="10" t="n"/>
      <c r="AE1031" s="10" t="n"/>
    </row>
    <row r="1032">
      <c r="A1032" s="10" t="inlineStr">
        <is>
          <t>Isopropyl Alcohol</t>
        </is>
      </c>
      <c r="B1032" s="10" t="inlineStr">
        <is>
          <t>RM</t>
        </is>
      </c>
      <c r="C1032" s="10" t="inlineStr">
        <is>
          <t>Solvent</t>
        </is>
      </c>
      <c r="D1032" s="10" t="inlineStr">
        <is>
          <t>Assay (GC)</t>
        </is>
      </c>
      <c r="E1032" s="10">
        <f>IF(A1032="","",A1032&amp;"|"&amp;D1032)</f>
        <v/>
      </c>
      <c r="F1032" s="5" t="inlineStr">
        <is>
          <t>Y</t>
        </is>
      </c>
      <c r="G1032" s="5" t="inlineStr">
        <is>
          <t>GC</t>
        </is>
      </c>
      <c r="H1032" s="5" t="inlineStr">
        <is>
          <t>Medium</t>
        </is>
      </c>
      <c r="I1032" s="5" t="n">
        <v>1</v>
      </c>
      <c r="J1032" s="5" t="n"/>
      <c r="K1032" s="5" t="n"/>
      <c r="L1032" s="5" t="n"/>
      <c r="M1032" s="5" t="n"/>
      <c r="N1032" s="5" t="n"/>
      <c r="O1032" s="5" t="n"/>
      <c r="P1032" s="14">
        <f>IF(N1032="","",IF(OR(M1032="",O1032=""),N1032,(M1032+4*N1032+O1032)/6))</f>
        <v/>
      </c>
      <c r="Q1032" s="5" t="n"/>
      <c r="R1032" s="5" t="n"/>
      <c r="S1032" s="5" t="n"/>
      <c r="T1032" s="5" t="n"/>
      <c r="U1032" s="5" t="n"/>
      <c r="V1032" s="15" t="n"/>
      <c r="W1032" s="5" t="inlineStr">
        <is>
          <t>N</t>
        </is>
      </c>
      <c r="X1032" s="5" t="n"/>
      <c r="Y1032" s="5" t="n"/>
      <c r="Z1032" s="5" t="n"/>
      <c r="AA1032" s="5" t="n"/>
      <c r="AB1032" s="10" t="n"/>
      <c r="AC1032" s="10" t="inlineStr">
        <is>
          <t>Isopropyl Alcohol · Assay</t>
        </is>
      </c>
      <c r="AD1032" s="10" t="n"/>
      <c r="AE1032" s="10" t="n"/>
    </row>
    <row r="1033">
      <c r="A1033" s="10" t="inlineStr">
        <is>
          <t>Isopropyl Alcohol</t>
        </is>
      </c>
      <c r="B1033" s="10" t="inlineStr">
        <is>
          <t>RM</t>
        </is>
      </c>
      <c r="C1033" s="10" t="inlineStr">
        <is>
          <t>Solvent</t>
        </is>
      </c>
      <c r="D1033" s="10" t="inlineStr">
        <is>
          <t>Limit of Volatile Impurities (GC)</t>
        </is>
      </c>
      <c r="E1033" s="10">
        <f>IF(A1033="","",A1033&amp;"|"&amp;D1033)</f>
        <v/>
      </c>
      <c r="F1033" s="5" t="inlineStr">
        <is>
          <t>Y</t>
        </is>
      </c>
      <c r="G1033" s="5" t="inlineStr">
        <is>
          <t>GC</t>
        </is>
      </c>
      <c r="H1033" s="5" t="inlineStr">
        <is>
          <t>Medium</t>
        </is>
      </c>
      <c r="I1033" s="5" t="n">
        <v>1</v>
      </c>
      <c r="J1033" s="5" t="n"/>
      <c r="K1033" s="5" t="n"/>
      <c r="L1033" s="5" t="n"/>
      <c r="M1033" s="5" t="n"/>
      <c r="N1033" s="5" t="n"/>
      <c r="O1033" s="5" t="n"/>
      <c r="P1033" s="14">
        <f>IF(N1033="","",IF(OR(M1033="",O1033=""),N1033,(M1033+4*N1033+O1033)/6))</f>
        <v/>
      </c>
      <c r="Q1033" s="5" t="n"/>
      <c r="R1033" s="5" t="n"/>
      <c r="S1033" s="5" t="n"/>
      <c r="T1033" s="5" t="n"/>
      <c r="U1033" s="5" t="n"/>
      <c r="V1033" s="15" t="n"/>
      <c r="W1033" s="5" t="inlineStr">
        <is>
          <t>N</t>
        </is>
      </c>
      <c r="X1033" s="5" t="n"/>
      <c r="Y1033" s="5" t="n"/>
      <c r="Z1033" s="5" t="n"/>
      <c r="AA1033" s="5" t="n"/>
      <c r="AB1033" s="10" t="n"/>
      <c r="AC1033" s="10" t="inlineStr">
        <is>
          <t>Isopropyl Alcohol · Impurities</t>
        </is>
      </c>
      <c r="AD1033" s="10" t="n"/>
      <c r="AE1033" s="10" t="n"/>
    </row>
    <row r="1034">
      <c r="A1034" s="10" t="inlineStr">
        <is>
          <t>Isopropyl Alcohol</t>
        </is>
      </c>
      <c r="B1034" s="10" t="inlineStr">
        <is>
          <t>RM</t>
        </is>
      </c>
      <c r="C1034" s="10" t="inlineStr">
        <is>
          <t>Solvent</t>
        </is>
      </c>
      <c r="D1034" s="10" t="inlineStr">
        <is>
          <t>Limit of Nonvolatile Residue</t>
        </is>
      </c>
      <c r="E1034" s="10">
        <f>IF(A1034="","",A1034&amp;"|"&amp;D1034)</f>
        <v/>
      </c>
      <c r="F1034" s="5" t="inlineStr">
        <is>
          <t>Y</t>
        </is>
      </c>
      <c r="G1034" s="5" t="inlineStr">
        <is>
          <t>Other / bench</t>
        </is>
      </c>
      <c r="H1034" s="5" t="inlineStr">
        <is>
          <t>Low</t>
        </is>
      </c>
      <c r="I1034" s="5" t="n">
        <v>1</v>
      </c>
      <c r="J1034" s="5" t="n"/>
      <c r="K1034" s="10">
        <f>IFERROR(IF(INDEX('Test catalog'!$F$2:$F$200,MATCH($AB1034,'Test catalog'!$A$2:$A$200,0))="","",INDEX('Test catalog'!$F$2:$F$200,MATCH($AB1034,'Test catalog'!$A$2:$A$200,0))),"")</f>
        <v/>
      </c>
      <c r="L1034" s="10">
        <f>IFERROR(IF(INDEX('Test catalog'!$G$2:$G$200,MATCH($AB1034,'Test catalog'!$A$2:$A$200,0))="","",INDEX('Test catalog'!$G$2:$G$200,MATCH($AB1034,'Test catalog'!$A$2:$A$200,0))),"")</f>
        <v/>
      </c>
      <c r="M1034" s="10">
        <f>IFERROR(IF(INDEX('Test catalog'!$H$2:$H$200,MATCH($AB1034,'Test catalog'!$A$2:$A$200,0))="","",INDEX('Test catalog'!$H$2:$H$200,MATCH($AB1034,'Test catalog'!$A$2:$A$200,0))),"")</f>
        <v/>
      </c>
      <c r="N1034" s="10">
        <f>IFERROR(IF(INDEX('Test catalog'!$I$2:$I$200,MATCH($AB1034,'Test catalog'!$A$2:$A$200,0))="","",INDEX('Test catalog'!$I$2:$I$200,MATCH($AB1034,'Test catalog'!$A$2:$A$200,0))),"")</f>
        <v/>
      </c>
      <c r="O1034" s="10">
        <f>IFERROR(IF(INDEX('Test catalog'!$J$2:$J$200,MATCH($AB1034,'Test catalog'!$A$2:$A$200,0))="","",INDEX('Test catalog'!$J$2:$J$200,MATCH($AB1034,'Test catalog'!$A$2:$A$200,0))),"")</f>
        <v/>
      </c>
      <c r="P1034" s="14">
        <f>IF(N1034="","",IF(OR(M1034="",O1034=""),N1034,(M1034+4*N1034+O1034)/6))</f>
        <v/>
      </c>
      <c r="Q1034" s="10">
        <f>IFERROR(IF(INDEX('Test catalog'!$K$2:$K$200,MATCH($AB1034,'Test catalog'!$A$2:$A$200,0))="","",INDEX('Test catalog'!$K$2:$K$200,MATCH($AB1034,'Test catalog'!$A$2:$A$200,0))),"")</f>
        <v/>
      </c>
      <c r="R1034" s="5" t="n"/>
      <c r="S1034" s="10">
        <f>IFERROR(IF(INDEX('Test catalog'!$L$2:$L$200,MATCH($AB1034,'Test catalog'!$A$2:$A$200,0))="","",INDEX('Test catalog'!$L$2:$L$200,MATCH($AB1034,'Test catalog'!$A$2:$A$200,0))),"")</f>
        <v/>
      </c>
      <c r="T1034" s="10">
        <f>IFERROR(IF(INDEX('Test catalog'!$M$2:$M$200,MATCH($AB1034,'Test catalog'!$A$2:$A$200,0))="","",INDEX('Test catalog'!$M$2:$M$200,MATCH($AB1034,'Test catalog'!$A$2:$A$200,0))),"")</f>
        <v/>
      </c>
      <c r="U1034" s="10">
        <f>IFERROR(IF(INDEX('Test catalog'!$N$2:$N$200,MATCH($AB1034,'Test catalog'!$A$2:$A$200,0))="","",INDEX('Test catalog'!$N$2:$N$200,MATCH($AB1034,'Test catalog'!$A$2:$A$200,0))),"")</f>
        <v/>
      </c>
      <c r="V1034" s="15" t="n"/>
      <c r="W1034" s="5" t="inlineStr">
        <is>
          <t>N</t>
        </is>
      </c>
      <c r="X1034" s="5" t="n"/>
      <c r="Y1034" s="5" t="n"/>
      <c r="Z1034" s="5" t="n"/>
      <c r="AA1034" s="10">
        <f>IFERROR(IF(INDEX('Test catalog'!$O$2:$O$200,MATCH($AB1034,'Test catalog'!$A$2:$A$200,0))="","",INDEX('Test catalog'!$O$2:$O$200,MATCH($AB1034,'Test catalog'!$A$2:$A$200,0))),"")</f>
        <v/>
      </c>
      <c r="AB1034" s="10" t="inlineStr">
        <is>
          <t>GRAV</t>
        </is>
      </c>
      <c r="AC1034" s="10" t="inlineStr">
        <is>
          <t>Isopropyl Alcohol · Impurities</t>
        </is>
      </c>
      <c r="AD1034" s="10" t="n"/>
      <c r="AE1034" s="10" t="n"/>
    </row>
    <row r="1035">
      <c r="A1035" s="10" t="inlineStr">
        <is>
          <t>Isopropyl Alcohol</t>
        </is>
      </c>
      <c r="B1035" s="10" t="inlineStr">
        <is>
          <t>RM</t>
        </is>
      </c>
      <c r="C1035" s="10" t="inlineStr">
        <is>
          <t>Solvent</t>
        </is>
      </c>
      <c r="D1035" s="10" t="inlineStr">
        <is>
          <t>Specific Gravity</t>
        </is>
      </c>
      <c r="E1035" s="10">
        <f>IF(A1035="","",A1035&amp;"|"&amp;D1035)</f>
        <v/>
      </c>
      <c r="F1035" s="5" t="inlineStr">
        <is>
          <t>Y</t>
        </is>
      </c>
      <c r="G1035" s="5" t="inlineStr">
        <is>
          <t>Other / bench</t>
        </is>
      </c>
      <c r="H1035" s="5" t="inlineStr">
        <is>
          <t>Low</t>
        </is>
      </c>
      <c r="I1035" s="5" t="n">
        <v>1</v>
      </c>
      <c r="J1035" s="5" t="n"/>
      <c r="K1035" s="10">
        <f>IFERROR(IF(INDEX('Test catalog'!$F$2:$F$200,MATCH($AB1035,'Test catalog'!$A$2:$A$200,0))="","",INDEX('Test catalog'!$F$2:$F$200,MATCH($AB1035,'Test catalog'!$A$2:$A$200,0))),"")</f>
        <v/>
      </c>
      <c r="L1035" s="10">
        <f>IFERROR(IF(INDEX('Test catalog'!$G$2:$G$200,MATCH($AB1035,'Test catalog'!$A$2:$A$200,0))="","",INDEX('Test catalog'!$G$2:$G$200,MATCH($AB1035,'Test catalog'!$A$2:$A$200,0))),"")</f>
        <v/>
      </c>
      <c r="M1035" s="10">
        <f>IFERROR(IF(INDEX('Test catalog'!$H$2:$H$200,MATCH($AB1035,'Test catalog'!$A$2:$A$200,0))="","",INDEX('Test catalog'!$H$2:$H$200,MATCH($AB1035,'Test catalog'!$A$2:$A$200,0))),"")</f>
        <v/>
      </c>
      <c r="N1035" s="10">
        <f>IFERROR(IF(INDEX('Test catalog'!$I$2:$I$200,MATCH($AB1035,'Test catalog'!$A$2:$A$200,0))="","",INDEX('Test catalog'!$I$2:$I$200,MATCH($AB1035,'Test catalog'!$A$2:$A$200,0))),"")</f>
        <v/>
      </c>
      <c r="O1035" s="10">
        <f>IFERROR(IF(INDEX('Test catalog'!$J$2:$J$200,MATCH($AB1035,'Test catalog'!$A$2:$A$200,0))="","",INDEX('Test catalog'!$J$2:$J$200,MATCH($AB1035,'Test catalog'!$A$2:$A$200,0))),"")</f>
        <v/>
      </c>
      <c r="P1035" s="14">
        <f>IF(N1035="","",IF(OR(M1035="",O1035=""),N1035,(M1035+4*N1035+O1035)/6))</f>
        <v/>
      </c>
      <c r="Q1035" s="10">
        <f>IFERROR(IF(INDEX('Test catalog'!$K$2:$K$200,MATCH($AB1035,'Test catalog'!$A$2:$A$200,0))="","",INDEX('Test catalog'!$K$2:$K$200,MATCH($AB1035,'Test catalog'!$A$2:$A$200,0))),"")</f>
        <v/>
      </c>
      <c r="R1035" s="5" t="n"/>
      <c r="S1035" s="10">
        <f>IFERROR(IF(INDEX('Test catalog'!$L$2:$L$200,MATCH($AB1035,'Test catalog'!$A$2:$A$200,0))="","",INDEX('Test catalog'!$L$2:$L$200,MATCH($AB1035,'Test catalog'!$A$2:$A$200,0))),"")</f>
        <v/>
      </c>
      <c r="T1035" s="10">
        <f>IFERROR(IF(INDEX('Test catalog'!$M$2:$M$200,MATCH($AB1035,'Test catalog'!$A$2:$A$200,0))="","",INDEX('Test catalog'!$M$2:$M$200,MATCH($AB1035,'Test catalog'!$A$2:$A$200,0))),"")</f>
        <v/>
      </c>
      <c r="U1035" s="10">
        <f>IFERROR(IF(INDEX('Test catalog'!$N$2:$N$200,MATCH($AB1035,'Test catalog'!$A$2:$A$200,0))="","",INDEX('Test catalog'!$N$2:$N$200,MATCH($AB1035,'Test catalog'!$A$2:$A$200,0))),"")</f>
        <v/>
      </c>
      <c r="V1035" s="15" t="n"/>
      <c r="W1035" s="5" t="inlineStr">
        <is>
          <t>N</t>
        </is>
      </c>
      <c r="X1035" s="5" t="n"/>
      <c r="Y1035" s="5" t="n"/>
      <c r="Z1035" s="5" t="n"/>
      <c r="AA1035" s="10">
        <f>IFERROR(IF(INDEX('Test catalog'!$O$2:$O$200,MATCH($AB1035,'Test catalog'!$A$2:$A$200,0))="","",INDEX('Test catalog'!$O$2:$O$200,MATCH($AB1035,'Test catalog'!$A$2:$A$200,0))),"")</f>
        <v/>
      </c>
      <c r="AB1035" s="10" t="inlineStr">
        <is>
          <t>SG</t>
        </is>
      </c>
      <c r="AC1035" s="10" t="inlineStr">
        <is>
          <t>Isopropyl Alcohol · Specific Tests &lt;841&gt;</t>
        </is>
      </c>
      <c r="AD1035" s="10" t="n"/>
      <c r="AE1035" s="10" t="n"/>
    </row>
    <row r="1036">
      <c r="A1036" s="10" t="inlineStr">
        <is>
          <t>Isopropyl Alcohol</t>
        </is>
      </c>
      <c r="B1036" s="10" t="inlineStr">
        <is>
          <t>RM</t>
        </is>
      </c>
      <c r="C1036" s="10" t="inlineStr">
        <is>
          <t>Solvent</t>
        </is>
      </c>
      <c r="D1036" s="10" t="inlineStr">
        <is>
          <t>Refractive Index</t>
        </is>
      </c>
      <c r="E1036" s="10">
        <f>IF(A1036="","",A1036&amp;"|"&amp;D1036)</f>
        <v/>
      </c>
      <c r="F1036" s="5" t="inlineStr">
        <is>
          <t>Y</t>
        </is>
      </c>
      <c r="G1036" s="5" t="inlineStr">
        <is>
          <t>Other / bench</t>
        </is>
      </c>
      <c r="H1036" s="5" t="inlineStr">
        <is>
          <t>Low</t>
        </is>
      </c>
      <c r="I1036" s="5" t="n">
        <v>1</v>
      </c>
      <c r="J1036" s="5" t="n"/>
      <c r="K1036" s="10">
        <f>IFERROR(IF(INDEX('Test catalog'!$F$2:$F$200,MATCH($AB1036,'Test catalog'!$A$2:$A$200,0))="","",INDEX('Test catalog'!$F$2:$F$200,MATCH($AB1036,'Test catalog'!$A$2:$A$200,0))),"")</f>
        <v/>
      </c>
      <c r="L1036" s="10">
        <f>IFERROR(IF(INDEX('Test catalog'!$G$2:$G$200,MATCH($AB1036,'Test catalog'!$A$2:$A$200,0))="","",INDEX('Test catalog'!$G$2:$G$200,MATCH($AB1036,'Test catalog'!$A$2:$A$200,0))),"")</f>
        <v/>
      </c>
      <c r="M1036" s="10">
        <f>IFERROR(IF(INDEX('Test catalog'!$H$2:$H$200,MATCH($AB1036,'Test catalog'!$A$2:$A$200,0))="","",INDEX('Test catalog'!$H$2:$H$200,MATCH($AB1036,'Test catalog'!$A$2:$A$200,0))),"")</f>
        <v/>
      </c>
      <c r="N1036" s="10">
        <f>IFERROR(IF(INDEX('Test catalog'!$I$2:$I$200,MATCH($AB1036,'Test catalog'!$A$2:$A$200,0))="","",INDEX('Test catalog'!$I$2:$I$200,MATCH($AB1036,'Test catalog'!$A$2:$A$200,0))),"")</f>
        <v/>
      </c>
      <c r="O1036" s="10">
        <f>IFERROR(IF(INDEX('Test catalog'!$J$2:$J$200,MATCH($AB1036,'Test catalog'!$A$2:$A$200,0))="","",INDEX('Test catalog'!$J$2:$J$200,MATCH($AB1036,'Test catalog'!$A$2:$A$200,0))),"")</f>
        <v/>
      </c>
      <c r="P1036" s="14">
        <f>IF(N1036="","",IF(OR(M1036="",O1036=""),N1036,(M1036+4*N1036+O1036)/6))</f>
        <v/>
      </c>
      <c r="Q1036" s="10">
        <f>IFERROR(IF(INDEX('Test catalog'!$K$2:$K$200,MATCH($AB1036,'Test catalog'!$A$2:$A$200,0))="","",INDEX('Test catalog'!$K$2:$K$200,MATCH($AB1036,'Test catalog'!$A$2:$A$200,0))),"")</f>
        <v/>
      </c>
      <c r="R1036" s="5" t="n"/>
      <c r="S1036" s="10">
        <f>IFERROR(IF(INDEX('Test catalog'!$L$2:$L$200,MATCH($AB1036,'Test catalog'!$A$2:$A$200,0))="","",INDEX('Test catalog'!$L$2:$L$200,MATCH($AB1036,'Test catalog'!$A$2:$A$200,0))),"")</f>
        <v/>
      </c>
      <c r="T1036" s="10">
        <f>IFERROR(IF(INDEX('Test catalog'!$M$2:$M$200,MATCH($AB1036,'Test catalog'!$A$2:$A$200,0))="","",INDEX('Test catalog'!$M$2:$M$200,MATCH($AB1036,'Test catalog'!$A$2:$A$200,0))),"")</f>
        <v/>
      </c>
      <c r="U1036" s="10">
        <f>IFERROR(IF(INDEX('Test catalog'!$N$2:$N$200,MATCH($AB1036,'Test catalog'!$A$2:$A$200,0))="","",INDEX('Test catalog'!$N$2:$N$200,MATCH($AB1036,'Test catalog'!$A$2:$A$200,0))),"")</f>
        <v/>
      </c>
      <c r="V1036" s="15" t="n"/>
      <c r="W1036" s="5" t="inlineStr">
        <is>
          <t>N</t>
        </is>
      </c>
      <c r="X1036" s="5" t="n"/>
      <c r="Y1036" s="5" t="n"/>
      <c r="Z1036" s="5" t="n"/>
      <c r="AA1036" s="10">
        <f>IFERROR(IF(INDEX('Test catalog'!$O$2:$O$200,MATCH($AB1036,'Test catalog'!$A$2:$A$200,0))="","",INDEX('Test catalog'!$O$2:$O$200,MATCH($AB1036,'Test catalog'!$A$2:$A$200,0))),"")</f>
        <v/>
      </c>
      <c r="AB1036" s="10" t="inlineStr">
        <is>
          <t>RI</t>
        </is>
      </c>
      <c r="AC1036" s="10" t="inlineStr">
        <is>
          <t>Isopropyl Alcohol · Specific Tests &lt;831&gt;</t>
        </is>
      </c>
      <c r="AD1036" s="10" t="n"/>
      <c r="AE1036" s="10" t="n"/>
    </row>
    <row r="1037">
      <c r="A1037" s="10" t="inlineStr">
        <is>
          <t>Isopropyl Alcohol</t>
        </is>
      </c>
      <c r="B1037" s="10" t="inlineStr">
        <is>
          <t>RM</t>
        </is>
      </c>
      <c r="C1037" s="10" t="inlineStr">
        <is>
          <t>Solvent</t>
        </is>
      </c>
      <c r="D1037" s="10" t="inlineStr">
        <is>
          <t>Acidity</t>
        </is>
      </c>
      <c r="E1037" s="10">
        <f>IF(A1037="","",A1037&amp;"|"&amp;D1037)</f>
        <v/>
      </c>
      <c r="F1037" s="5" t="inlineStr">
        <is>
          <t>Y</t>
        </is>
      </c>
      <c r="G1037" s="5" t="inlineStr">
        <is>
          <t>Other / bench</t>
        </is>
      </c>
      <c r="H1037" s="5" t="inlineStr">
        <is>
          <t>Low</t>
        </is>
      </c>
      <c r="I1037" s="5" t="n">
        <v>1</v>
      </c>
      <c r="J1037" s="5" t="n"/>
      <c r="K1037" s="10">
        <f>IFERROR(IF(INDEX('Test catalog'!$F$2:$F$200,MATCH($AB1037,'Test catalog'!$A$2:$A$200,0))="","",INDEX('Test catalog'!$F$2:$F$200,MATCH($AB1037,'Test catalog'!$A$2:$A$200,0))),"")</f>
        <v/>
      </c>
      <c r="L1037" s="10">
        <f>IFERROR(IF(INDEX('Test catalog'!$G$2:$G$200,MATCH($AB1037,'Test catalog'!$A$2:$A$200,0))="","",INDEX('Test catalog'!$G$2:$G$200,MATCH($AB1037,'Test catalog'!$A$2:$A$200,0))),"")</f>
        <v/>
      </c>
      <c r="M1037" s="10">
        <f>IFERROR(IF(INDEX('Test catalog'!$H$2:$H$200,MATCH($AB1037,'Test catalog'!$A$2:$A$200,0))="","",INDEX('Test catalog'!$H$2:$H$200,MATCH($AB1037,'Test catalog'!$A$2:$A$200,0))),"")</f>
        <v/>
      </c>
      <c r="N1037" s="10">
        <f>IFERROR(IF(INDEX('Test catalog'!$I$2:$I$200,MATCH($AB1037,'Test catalog'!$A$2:$A$200,0))="","",INDEX('Test catalog'!$I$2:$I$200,MATCH($AB1037,'Test catalog'!$A$2:$A$200,0))),"")</f>
        <v/>
      </c>
      <c r="O1037" s="10">
        <f>IFERROR(IF(INDEX('Test catalog'!$J$2:$J$200,MATCH($AB1037,'Test catalog'!$A$2:$A$200,0))="","",INDEX('Test catalog'!$J$2:$J$200,MATCH($AB1037,'Test catalog'!$A$2:$A$200,0))),"")</f>
        <v/>
      </c>
      <c r="P1037" s="14">
        <f>IF(N1037="","",IF(OR(M1037="",O1037=""),N1037,(M1037+4*N1037+O1037)/6))</f>
        <v/>
      </c>
      <c r="Q1037" s="10">
        <f>IFERROR(IF(INDEX('Test catalog'!$K$2:$K$200,MATCH($AB1037,'Test catalog'!$A$2:$A$200,0))="","",INDEX('Test catalog'!$K$2:$K$200,MATCH($AB1037,'Test catalog'!$A$2:$A$200,0))),"")</f>
        <v/>
      </c>
      <c r="R1037" s="5" t="n"/>
      <c r="S1037" s="10">
        <f>IFERROR(IF(INDEX('Test catalog'!$L$2:$L$200,MATCH($AB1037,'Test catalog'!$A$2:$A$200,0))="","",INDEX('Test catalog'!$L$2:$L$200,MATCH($AB1037,'Test catalog'!$A$2:$A$200,0))),"")</f>
        <v/>
      </c>
      <c r="T1037" s="10">
        <f>IFERROR(IF(INDEX('Test catalog'!$M$2:$M$200,MATCH($AB1037,'Test catalog'!$A$2:$A$200,0))="","",INDEX('Test catalog'!$M$2:$M$200,MATCH($AB1037,'Test catalog'!$A$2:$A$200,0))),"")</f>
        <v/>
      </c>
      <c r="U1037" s="10">
        <f>IFERROR(IF(INDEX('Test catalog'!$N$2:$N$200,MATCH($AB1037,'Test catalog'!$A$2:$A$200,0))="","",INDEX('Test catalog'!$N$2:$N$200,MATCH($AB1037,'Test catalog'!$A$2:$A$200,0))),"")</f>
        <v/>
      </c>
      <c r="V1037" s="15" t="n"/>
      <c r="W1037" s="5" t="inlineStr">
        <is>
          <t>N</t>
        </is>
      </c>
      <c r="X1037" s="5" t="n"/>
      <c r="Y1037" s="5" t="n"/>
      <c r="Z1037" s="5" t="n"/>
      <c r="AA1037" s="10">
        <f>IFERROR(IF(INDEX('Test catalog'!$O$2:$O$200,MATCH($AB1037,'Test catalog'!$A$2:$A$200,0))="","",INDEX('Test catalog'!$O$2:$O$200,MATCH($AB1037,'Test catalog'!$A$2:$A$200,0))),"")</f>
        <v/>
      </c>
      <c r="AB1037" s="10" t="inlineStr">
        <is>
          <t>ACID</t>
        </is>
      </c>
      <c r="AC1037" s="10" t="inlineStr">
        <is>
          <t>Isopropyl Alcohol · Specific Tests</t>
        </is>
      </c>
      <c r="AD1037" s="10" t="n"/>
      <c r="AE1037" s="10" t="n"/>
    </row>
    <row r="1038">
      <c r="A1038" s="10" t="inlineStr">
        <is>
          <t>Isopropyl Alcohol</t>
        </is>
      </c>
      <c r="B1038" s="10" t="inlineStr">
        <is>
          <t>RM</t>
        </is>
      </c>
      <c r="C1038" s="10" t="inlineStr">
        <is>
          <t>Solvent</t>
        </is>
      </c>
      <c r="D1038" s="10" t="inlineStr">
        <is>
          <t>Water Determination</t>
        </is>
      </c>
      <c r="E1038" s="10">
        <f>IF(A1038="","",A1038&amp;"|"&amp;D1038)</f>
        <v/>
      </c>
      <c r="F1038" s="5" t="inlineStr">
        <is>
          <t>Y</t>
        </is>
      </c>
      <c r="G1038" s="5" t="inlineStr">
        <is>
          <t>KF titrator</t>
        </is>
      </c>
      <c r="H1038" s="5" t="inlineStr">
        <is>
          <t>Low</t>
        </is>
      </c>
      <c r="I1038" s="5" t="n">
        <v>1</v>
      </c>
      <c r="J1038" s="5" t="n"/>
      <c r="K1038" s="10">
        <f>IFERROR(IF(INDEX('Test catalog'!$F$2:$F$200,MATCH($AB1038,'Test catalog'!$A$2:$A$200,0))="","",INDEX('Test catalog'!$F$2:$F$200,MATCH($AB1038,'Test catalog'!$A$2:$A$200,0))),"")</f>
        <v/>
      </c>
      <c r="L1038" s="10">
        <f>IFERROR(IF(INDEX('Test catalog'!$G$2:$G$200,MATCH($AB1038,'Test catalog'!$A$2:$A$200,0))="","",INDEX('Test catalog'!$G$2:$G$200,MATCH($AB1038,'Test catalog'!$A$2:$A$200,0))),"")</f>
        <v/>
      </c>
      <c r="M1038" s="10">
        <f>IFERROR(IF(INDEX('Test catalog'!$H$2:$H$200,MATCH($AB1038,'Test catalog'!$A$2:$A$200,0))="","",INDEX('Test catalog'!$H$2:$H$200,MATCH($AB1038,'Test catalog'!$A$2:$A$200,0))),"")</f>
        <v/>
      </c>
      <c r="N1038" s="10">
        <f>IFERROR(IF(INDEX('Test catalog'!$I$2:$I$200,MATCH($AB1038,'Test catalog'!$A$2:$A$200,0))="","",INDEX('Test catalog'!$I$2:$I$200,MATCH($AB1038,'Test catalog'!$A$2:$A$200,0))),"")</f>
        <v/>
      </c>
      <c r="O1038" s="10">
        <f>IFERROR(IF(INDEX('Test catalog'!$J$2:$J$200,MATCH($AB1038,'Test catalog'!$A$2:$A$200,0))="","",INDEX('Test catalog'!$J$2:$J$200,MATCH($AB1038,'Test catalog'!$A$2:$A$200,0))),"")</f>
        <v/>
      </c>
      <c r="P1038" s="14">
        <f>IF(N1038="","",IF(OR(M1038="",O1038=""),N1038,(M1038+4*N1038+O1038)/6))</f>
        <v/>
      </c>
      <c r="Q1038" s="10">
        <f>IFERROR(IF(INDEX('Test catalog'!$K$2:$K$200,MATCH($AB1038,'Test catalog'!$A$2:$A$200,0))="","",INDEX('Test catalog'!$K$2:$K$200,MATCH($AB1038,'Test catalog'!$A$2:$A$200,0))),"")</f>
        <v/>
      </c>
      <c r="R1038" s="5" t="n"/>
      <c r="S1038" s="10">
        <f>IFERROR(IF(INDEX('Test catalog'!$L$2:$L$200,MATCH($AB1038,'Test catalog'!$A$2:$A$200,0))="","",INDEX('Test catalog'!$L$2:$L$200,MATCH($AB1038,'Test catalog'!$A$2:$A$200,0))),"")</f>
        <v/>
      </c>
      <c r="T1038" s="10">
        <f>IFERROR(IF(INDEX('Test catalog'!$M$2:$M$200,MATCH($AB1038,'Test catalog'!$A$2:$A$200,0))="","",INDEX('Test catalog'!$M$2:$M$200,MATCH($AB1038,'Test catalog'!$A$2:$A$200,0))),"")</f>
        <v/>
      </c>
      <c r="U1038" s="10">
        <f>IFERROR(IF(INDEX('Test catalog'!$N$2:$N$200,MATCH($AB1038,'Test catalog'!$A$2:$A$200,0))="","",INDEX('Test catalog'!$N$2:$N$200,MATCH($AB1038,'Test catalog'!$A$2:$A$200,0))),"")</f>
        <v/>
      </c>
      <c r="V1038" s="15" t="n"/>
      <c r="W1038" s="5" t="inlineStr">
        <is>
          <t>N</t>
        </is>
      </c>
      <c r="X1038" s="5" t="n"/>
      <c r="Y1038" s="5" t="n"/>
      <c r="Z1038" s="5" t="n"/>
      <c r="AA1038" s="10">
        <f>IFERROR(IF(INDEX('Test catalog'!$O$2:$O$200,MATCH($AB1038,'Test catalog'!$A$2:$A$200,0))="","",INDEX('Test catalog'!$O$2:$O$200,MATCH($AB1038,'Test catalog'!$A$2:$A$200,0))),"")</f>
        <v/>
      </c>
      <c r="AB1038" s="10" t="inlineStr">
        <is>
          <t>KF</t>
        </is>
      </c>
      <c r="AC1038" s="10" t="inlineStr">
        <is>
          <t>Isopropyl Alcohol · Specific Tests &lt;921&gt;</t>
        </is>
      </c>
      <c r="AD1038" s="10" t="n"/>
      <c r="AE1038" s="10" t="n"/>
    </row>
    <row r="1039">
      <c r="A1039" s="10" t="inlineStr">
        <is>
          <t>Isopropyl Alcohol</t>
        </is>
      </c>
      <c r="B1039" s="10" t="inlineStr">
        <is>
          <t>RM</t>
        </is>
      </c>
      <c r="C1039" s="10" t="inlineStr">
        <is>
          <t>Solvent</t>
        </is>
      </c>
      <c r="D1039" s="10" t="inlineStr">
        <is>
          <t>Ultraviolet Absorption</t>
        </is>
      </c>
      <c r="E1039" s="10">
        <f>IF(A1039="","",A1039&amp;"|"&amp;D1039)</f>
        <v/>
      </c>
      <c r="F1039" s="5" t="inlineStr">
        <is>
          <t>Y</t>
        </is>
      </c>
      <c r="G1039" s="5" t="inlineStr">
        <is>
          <t>UV-Vis</t>
        </is>
      </c>
      <c r="H1039" s="5" t="inlineStr">
        <is>
          <t>Low</t>
        </is>
      </c>
      <c r="I1039" s="5" t="n">
        <v>1</v>
      </c>
      <c r="J1039" s="5" t="n"/>
      <c r="K1039" s="10">
        <f>IFERROR(IF(INDEX('Test catalog'!$F$2:$F$200,MATCH($AB1039,'Test catalog'!$A$2:$A$200,0))="","",INDEX('Test catalog'!$F$2:$F$200,MATCH($AB1039,'Test catalog'!$A$2:$A$200,0))),"")</f>
        <v/>
      </c>
      <c r="L1039" s="10">
        <f>IFERROR(IF(INDEX('Test catalog'!$G$2:$G$200,MATCH($AB1039,'Test catalog'!$A$2:$A$200,0))="","",INDEX('Test catalog'!$G$2:$G$200,MATCH($AB1039,'Test catalog'!$A$2:$A$200,0))),"")</f>
        <v/>
      </c>
      <c r="M1039" s="10">
        <f>IFERROR(IF(INDEX('Test catalog'!$H$2:$H$200,MATCH($AB1039,'Test catalog'!$A$2:$A$200,0))="","",INDEX('Test catalog'!$H$2:$H$200,MATCH($AB1039,'Test catalog'!$A$2:$A$200,0))),"")</f>
        <v/>
      </c>
      <c r="N1039" s="10">
        <f>IFERROR(IF(INDEX('Test catalog'!$I$2:$I$200,MATCH($AB1039,'Test catalog'!$A$2:$A$200,0))="","",INDEX('Test catalog'!$I$2:$I$200,MATCH($AB1039,'Test catalog'!$A$2:$A$200,0))),"")</f>
        <v/>
      </c>
      <c r="O1039" s="10">
        <f>IFERROR(IF(INDEX('Test catalog'!$J$2:$J$200,MATCH($AB1039,'Test catalog'!$A$2:$A$200,0))="","",INDEX('Test catalog'!$J$2:$J$200,MATCH($AB1039,'Test catalog'!$A$2:$A$200,0))),"")</f>
        <v/>
      </c>
      <c r="P1039" s="14">
        <f>IF(N1039="","",IF(OR(M1039="",O1039=""),N1039,(M1039+4*N1039+O1039)/6))</f>
        <v/>
      </c>
      <c r="Q1039" s="10">
        <f>IFERROR(IF(INDEX('Test catalog'!$K$2:$K$200,MATCH($AB1039,'Test catalog'!$A$2:$A$200,0))="","",INDEX('Test catalog'!$K$2:$K$200,MATCH($AB1039,'Test catalog'!$A$2:$A$200,0))),"")</f>
        <v/>
      </c>
      <c r="R1039" s="5" t="n"/>
      <c r="S1039" s="10">
        <f>IFERROR(IF(INDEX('Test catalog'!$L$2:$L$200,MATCH($AB1039,'Test catalog'!$A$2:$A$200,0))="","",INDEX('Test catalog'!$L$2:$L$200,MATCH($AB1039,'Test catalog'!$A$2:$A$200,0))),"")</f>
        <v/>
      </c>
      <c r="T1039" s="10">
        <f>IFERROR(IF(INDEX('Test catalog'!$M$2:$M$200,MATCH($AB1039,'Test catalog'!$A$2:$A$200,0))="","",INDEX('Test catalog'!$M$2:$M$200,MATCH($AB1039,'Test catalog'!$A$2:$A$200,0))),"")</f>
        <v/>
      </c>
      <c r="U1039" s="10">
        <f>IFERROR(IF(INDEX('Test catalog'!$N$2:$N$200,MATCH($AB1039,'Test catalog'!$A$2:$A$200,0))="","",INDEX('Test catalog'!$N$2:$N$200,MATCH($AB1039,'Test catalog'!$A$2:$A$200,0))),"")</f>
        <v/>
      </c>
      <c r="V1039" s="15" t="n"/>
      <c r="W1039" s="5" t="inlineStr">
        <is>
          <t>N</t>
        </is>
      </c>
      <c r="X1039" s="5" t="n"/>
      <c r="Y1039" s="5" t="n"/>
      <c r="Z1039" s="5" t="n"/>
      <c r="AA1039" s="10">
        <f>IFERROR(IF(INDEX('Test catalog'!$O$2:$O$200,MATCH($AB1039,'Test catalog'!$A$2:$A$200,0))="","",INDEX('Test catalog'!$O$2:$O$200,MATCH($AB1039,'Test catalog'!$A$2:$A$200,0))),"")</f>
        <v/>
      </c>
      <c r="AB1039" s="10" t="inlineStr">
        <is>
          <t>UV</t>
        </is>
      </c>
      <c r="AC1039" s="10" t="inlineStr">
        <is>
          <t>Isopropyl Alcohol · Specific Tests</t>
        </is>
      </c>
      <c r="AD1039" s="10" t="n"/>
      <c r="AE1039" s="10" t="n"/>
    </row>
    <row r="1040">
      <c r="A1040" s="10" t="inlineStr">
        <is>
          <t>Purified Water</t>
        </is>
      </c>
      <c r="B1040" s="10" t="inlineStr">
        <is>
          <t>RM</t>
        </is>
      </c>
      <c r="C1040" s="10" t="inlineStr">
        <is>
          <t>Solvent</t>
        </is>
      </c>
      <c r="D1040" s="10" t="inlineStr">
        <is>
          <t>Appearance / description and solubility</t>
        </is>
      </c>
      <c r="E1040" s="10">
        <f>IF(A1040="","",A1040&amp;"|"&amp;D1040)</f>
        <v/>
      </c>
      <c r="F1040" s="5" t="inlineStr">
        <is>
          <t>Y</t>
        </is>
      </c>
      <c r="G1040" s="5" t="inlineStr">
        <is>
          <t>Other / bench</t>
        </is>
      </c>
      <c r="H1040" s="5" t="inlineStr">
        <is>
          <t>Low</t>
        </is>
      </c>
      <c r="I1040" s="5" t="n">
        <v>1</v>
      </c>
      <c r="J1040" s="5" t="n"/>
      <c r="K1040" s="10">
        <f>IFERROR(IF(INDEX('Test catalog'!$F$2:$F$200,MATCH($AB1040,'Test catalog'!$A$2:$A$200,0))="","",INDEX('Test catalog'!$F$2:$F$200,MATCH($AB1040,'Test catalog'!$A$2:$A$200,0))),"")</f>
        <v/>
      </c>
      <c r="L1040" s="10">
        <f>IFERROR(IF(INDEX('Test catalog'!$G$2:$G$200,MATCH($AB1040,'Test catalog'!$A$2:$A$200,0))="","",INDEX('Test catalog'!$G$2:$G$200,MATCH($AB1040,'Test catalog'!$A$2:$A$200,0))),"")</f>
        <v/>
      </c>
      <c r="M1040" s="10">
        <f>IFERROR(IF(INDEX('Test catalog'!$H$2:$H$200,MATCH($AB1040,'Test catalog'!$A$2:$A$200,0))="","",INDEX('Test catalog'!$H$2:$H$200,MATCH($AB1040,'Test catalog'!$A$2:$A$200,0))),"")</f>
        <v/>
      </c>
      <c r="N1040" s="10">
        <f>IFERROR(IF(INDEX('Test catalog'!$I$2:$I$200,MATCH($AB1040,'Test catalog'!$A$2:$A$200,0))="","",INDEX('Test catalog'!$I$2:$I$200,MATCH($AB1040,'Test catalog'!$A$2:$A$200,0))),"")</f>
        <v/>
      </c>
      <c r="O1040" s="10">
        <f>IFERROR(IF(INDEX('Test catalog'!$J$2:$J$200,MATCH($AB1040,'Test catalog'!$A$2:$A$200,0))="","",INDEX('Test catalog'!$J$2:$J$200,MATCH($AB1040,'Test catalog'!$A$2:$A$200,0))),"")</f>
        <v/>
      </c>
      <c r="P1040" s="14">
        <f>IF(N1040="","",IF(OR(M1040="",O1040=""),N1040,(M1040+4*N1040+O1040)/6))</f>
        <v/>
      </c>
      <c r="Q1040" s="10">
        <f>IFERROR(IF(INDEX('Test catalog'!$K$2:$K$200,MATCH($AB1040,'Test catalog'!$A$2:$A$200,0))="","",INDEX('Test catalog'!$K$2:$K$200,MATCH($AB1040,'Test catalog'!$A$2:$A$200,0))),"")</f>
        <v/>
      </c>
      <c r="R1040" s="5" t="n"/>
      <c r="S1040" s="10">
        <f>IFERROR(IF(INDEX('Test catalog'!$L$2:$L$200,MATCH($AB1040,'Test catalog'!$A$2:$A$200,0))="","",INDEX('Test catalog'!$L$2:$L$200,MATCH($AB1040,'Test catalog'!$A$2:$A$200,0))),"")</f>
        <v/>
      </c>
      <c r="T1040" s="10">
        <f>IFERROR(IF(INDEX('Test catalog'!$M$2:$M$200,MATCH($AB1040,'Test catalog'!$A$2:$A$200,0))="","",INDEX('Test catalog'!$M$2:$M$200,MATCH($AB1040,'Test catalog'!$A$2:$A$200,0))),"")</f>
        <v/>
      </c>
      <c r="U1040" s="10">
        <f>IFERROR(IF(INDEX('Test catalog'!$N$2:$N$200,MATCH($AB1040,'Test catalog'!$A$2:$A$200,0))="","",INDEX('Test catalog'!$N$2:$N$200,MATCH($AB1040,'Test catalog'!$A$2:$A$200,0))),"")</f>
        <v/>
      </c>
      <c r="V1040" s="15" t="n"/>
      <c r="W1040" s="5" t="inlineStr">
        <is>
          <t>N</t>
        </is>
      </c>
      <c r="X1040" s="5" t="n"/>
      <c r="Y1040" s="5" t="n"/>
      <c r="Z1040" s="5" t="n"/>
      <c r="AA1040" s="10">
        <f>IFERROR(IF(INDEX('Test catalog'!$O$2:$O$200,MATCH($AB1040,'Test catalog'!$A$2:$A$200,0))="","",INDEX('Test catalog'!$O$2:$O$200,MATCH($AB1040,'Test catalog'!$A$2:$A$200,0))),"")</f>
        <v/>
      </c>
      <c r="AB1040" s="10" t="inlineStr">
        <is>
          <t>APPEAR</t>
        </is>
      </c>
      <c r="AC1040" s="10" t="inlineStr">
        <is>
          <t>Lab practice (not a USP test)</t>
        </is>
      </c>
      <c r="AD1040" s="10" t="n"/>
      <c r="AE1040" s="10" t="n"/>
    </row>
    <row r="1041">
      <c r="A1041" s="10" t="inlineStr">
        <is>
          <t>Purified Water</t>
        </is>
      </c>
      <c r="B1041" s="10" t="inlineStr">
        <is>
          <t>RM</t>
        </is>
      </c>
      <c r="C1041" s="10" t="inlineStr">
        <is>
          <t>Solvent</t>
        </is>
      </c>
      <c r="D1041" s="10" t="inlineStr">
        <is>
          <t>Total Organic Carbon</t>
        </is>
      </c>
      <c r="E1041" s="10">
        <f>IF(A1041="","",A1041&amp;"|"&amp;D1041)</f>
        <v/>
      </c>
      <c r="F1041" s="5" t="inlineStr">
        <is>
          <t>Y</t>
        </is>
      </c>
      <c r="G1041" s="5" t="inlineStr">
        <is>
          <t>Other / bench</t>
        </is>
      </c>
      <c r="H1041" s="5" t="inlineStr">
        <is>
          <t>Low</t>
        </is>
      </c>
      <c r="I1041" s="5" t="n">
        <v>1</v>
      </c>
      <c r="J1041" s="5" t="n"/>
      <c r="K1041" s="10">
        <f>IFERROR(IF(INDEX('Test catalog'!$F$2:$F$200,MATCH($AB1041,'Test catalog'!$A$2:$A$200,0))="","",INDEX('Test catalog'!$F$2:$F$200,MATCH($AB1041,'Test catalog'!$A$2:$A$200,0))),"")</f>
        <v/>
      </c>
      <c r="L1041" s="10">
        <f>IFERROR(IF(INDEX('Test catalog'!$G$2:$G$200,MATCH($AB1041,'Test catalog'!$A$2:$A$200,0))="","",INDEX('Test catalog'!$G$2:$G$200,MATCH($AB1041,'Test catalog'!$A$2:$A$200,0))),"")</f>
        <v/>
      </c>
      <c r="M1041" s="10">
        <f>IFERROR(IF(INDEX('Test catalog'!$H$2:$H$200,MATCH($AB1041,'Test catalog'!$A$2:$A$200,0))="","",INDEX('Test catalog'!$H$2:$H$200,MATCH($AB1041,'Test catalog'!$A$2:$A$200,0))),"")</f>
        <v/>
      </c>
      <c r="N1041" s="10">
        <f>IFERROR(IF(INDEX('Test catalog'!$I$2:$I$200,MATCH($AB1041,'Test catalog'!$A$2:$A$200,0))="","",INDEX('Test catalog'!$I$2:$I$200,MATCH($AB1041,'Test catalog'!$A$2:$A$200,0))),"")</f>
        <v/>
      </c>
      <c r="O1041" s="10">
        <f>IFERROR(IF(INDEX('Test catalog'!$J$2:$J$200,MATCH($AB1041,'Test catalog'!$A$2:$A$200,0))="","",INDEX('Test catalog'!$J$2:$J$200,MATCH($AB1041,'Test catalog'!$A$2:$A$200,0))),"")</f>
        <v/>
      </c>
      <c r="P1041" s="14">
        <f>IF(N1041="","",IF(OR(M1041="",O1041=""),N1041,(M1041+4*N1041+O1041)/6))</f>
        <v/>
      </c>
      <c r="Q1041" s="10">
        <f>IFERROR(IF(INDEX('Test catalog'!$K$2:$K$200,MATCH($AB1041,'Test catalog'!$A$2:$A$200,0))="","",INDEX('Test catalog'!$K$2:$K$200,MATCH($AB1041,'Test catalog'!$A$2:$A$200,0))),"")</f>
        <v/>
      </c>
      <c r="R1041" s="5" t="n"/>
      <c r="S1041" s="10">
        <f>IFERROR(IF(INDEX('Test catalog'!$L$2:$L$200,MATCH($AB1041,'Test catalog'!$A$2:$A$200,0))="","",INDEX('Test catalog'!$L$2:$L$200,MATCH($AB1041,'Test catalog'!$A$2:$A$200,0))),"")</f>
        <v/>
      </c>
      <c r="T1041" s="10">
        <f>IFERROR(IF(INDEX('Test catalog'!$M$2:$M$200,MATCH($AB1041,'Test catalog'!$A$2:$A$200,0))="","",INDEX('Test catalog'!$M$2:$M$200,MATCH($AB1041,'Test catalog'!$A$2:$A$200,0))),"")</f>
        <v/>
      </c>
      <c r="U1041" s="10">
        <f>IFERROR(IF(INDEX('Test catalog'!$N$2:$N$200,MATCH($AB1041,'Test catalog'!$A$2:$A$200,0))="","",INDEX('Test catalog'!$N$2:$N$200,MATCH($AB1041,'Test catalog'!$A$2:$A$200,0))),"")</f>
        <v/>
      </c>
      <c r="V1041" s="15" t="n"/>
      <c r="W1041" s="5" t="inlineStr">
        <is>
          <t>N</t>
        </is>
      </c>
      <c r="X1041" s="5" t="n"/>
      <c r="Y1041" s="5" t="n"/>
      <c r="Z1041" s="5" t="n"/>
      <c r="AA1041" s="10">
        <f>IFERROR(IF(INDEX('Test catalog'!$O$2:$O$200,MATCH($AB1041,'Test catalog'!$A$2:$A$200,0))="","",INDEX('Test catalog'!$O$2:$O$200,MATCH($AB1041,'Test catalog'!$A$2:$A$200,0))),"")</f>
        <v/>
      </c>
      <c r="AB1041" s="10" t="inlineStr">
        <is>
          <t>TOC</t>
        </is>
      </c>
      <c r="AC1041" s="10" t="inlineStr">
        <is>
          <t>Purified Water · Specific Tests &lt;643&gt;</t>
        </is>
      </c>
      <c r="AD1041" s="10" t="n"/>
      <c r="AE1041" s="10" t="n"/>
    </row>
    <row r="1042">
      <c r="A1042" s="10" t="inlineStr">
        <is>
          <t>Water</t>
        </is>
      </c>
      <c r="B1042" s="10" t="inlineStr">
        <is>
          <t>RM</t>
        </is>
      </c>
      <c r="C1042" s="10" t="inlineStr">
        <is>
          <t>Solvent</t>
        </is>
      </c>
      <c r="D1042" s="10" t="inlineStr">
        <is>
          <t>Appearance / description and solubility</t>
        </is>
      </c>
      <c r="E1042" s="10">
        <f>IF(A1042="","",A1042&amp;"|"&amp;D1042)</f>
        <v/>
      </c>
      <c r="F1042" s="5" t="inlineStr">
        <is>
          <t>Y</t>
        </is>
      </c>
      <c r="G1042" s="5" t="inlineStr">
        <is>
          <t>Other / bench</t>
        </is>
      </c>
      <c r="H1042" s="5" t="inlineStr">
        <is>
          <t>Low</t>
        </is>
      </c>
      <c r="I1042" s="5" t="n">
        <v>1</v>
      </c>
      <c r="J1042" s="5" t="n"/>
      <c r="K1042" s="10">
        <f>IFERROR(IF(INDEX('Test catalog'!$F$2:$F$200,MATCH($AB1042,'Test catalog'!$A$2:$A$200,0))="","",INDEX('Test catalog'!$F$2:$F$200,MATCH($AB1042,'Test catalog'!$A$2:$A$200,0))),"")</f>
        <v/>
      </c>
      <c r="L1042" s="10">
        <f>IFERROR(IF(INDEX('Test catalog'!$G$2:$G$200,MATCH($AB1042,'Test catalog'!$A$2:$A$200,0))="","",INDEX('Test catalog'!$G$2:$G$200,MATCH($AB1042,'Test catalog'!$A$2:$A$200,0))),"")</f>
        <v/>
      </c>
      <c r="M1042" s="10">
        <f>IFERROR(IF(INDEX('Test catalog'!$H$2:$H$200,MATCH($AB1042,'Test catalog'!$A$2:$A$200,0))="","",INDEX('Test catalog'!$H$2:$H$200,MATCH($AB1042,'Test catalog'!$A$2:$A$200,0))),"")</f>
        <v/>
      </c>
      <c r="N1042" s="10">
        <f>IFERROR(IF(INDEX('Test catalog'!$I$2:$I$200,MATCH($AB1042,'Test catalog'!$A$2:$A$200,0))="","",INDEX('Test catalog'!$I$2:$I$200,MATCH($AB1042,'Test catalog'!$A$2:$A$200,0))),"")</f>
        <v/>
      </c>
      <c r="O1042" s="10">
        <f>IFERROR(IF(INDEX('Test catalog'!$J$2:$J$200,MATCH($AB1042,'Test catalog'!$A$2:$A$200,0))="","",INDEX('Test catalog'!$J$2:$J$200,MATCH($AB1042,'Test catalog'!$A$2:$A$200,0))),"")</f>
        <v/>
      </c>
      <c r="P1042" s="14">
        <f>IF(N1042="","",IF(OR(M1042="",O1042=""),N1042,(M1042+4*N1042+O1042)/6))</f>
        <v/>
      </c>
      <c r="Q1042" s="10">
        <f>IFERROR(IF(INDEX('Test catalog'!$K$2:$K$200,MATCH($AB1042,'Test catalog'!$A$2:$A$200,0))="","",INDEX('Test catalog'!$K$2:$K$200,MATCH($AB1042,'Test catalog'!$A$2:$A$200,0))),"")</f>
        <v/>
      </c>
      <c r="R1042" s="5" t="n"/>
      <c r="S1042" s="10">
        <f>IFERROR(IF(INDEX('Test catalog'!$L$2:$L$200,MATCH($AB1042,'Test catalog'!$A$2:$A$200,0))="","",INDEX('Test catalog'!$L$2:$L$200,MATCH($AB1042,'Test catalog'!$A$2:$A$200,0))),"")</f>
        <v/>
      </c>
      <c r="T1042" s="10">
        <f>IFERROR(IF(INDEX('Test catalog'!$M$2:$M$200,MATCH($AB1042,'Test catalog'!$A$2:$A$200,0))="","",INDEX('Test catalog'!$M$2:$M$200,MATCH($AB1042,'Test catalog'!$A$2:$A$200,0))),"")</f>
        <v/>
      </c>
      <c r="U1042" s="10">
        <f>IFERROR(IF(INDEX('Test catalog'!$N$2:$N$200,MATCH($AB1042,'Test catalog'!$A$2:$A$200,0))="","",INDEX('Test catalog'!$N$2:$N$200,MATCH($AB1042,'Test catalog'!$A$2:$A$200,0))),"")</f>
        <v/>
      </c>
      <c r="V1042" s="15" t="n"/>
      <c r="W1042" s="5" t="inlineStr">
        <is>
          <t>N</t>
        </is>
      </c>
      <c r="X1042" s="5" t="n"/>
      <c r="Y1042" s="5" t="n"/>
      <c r="Z1042" s="5" t="n"/>
      <c r="AA1042" s="10">
        <f>IFERROR(IF(INDEX('Test catalog'!$O$2:$O$200,MATCH($AB1042,'Test catalog'!$A$2:$A$200,0))="","",INDEX('Test catalog'!$O$2:$O$200,MATCH($AB1042,'Test catalog'!$A$2:$A$200,0))),"")</f>
        <v/>
      </c>
      <c r="AB1042" s="10" t="inlineStr">
        <is>
          <t>APPEAR</t>
        </is>
      </c>
      <c r="AC1042" s="10" t="inlineStr">
        <is>
          <t>Lab practice (not a USP test)</t>
        </is>
      </c>
      <c r="AD1042" s="10" t="n"/>
      <c r="AE1042" s="10" t="n"/>
    </row>
    <row r="1043">
      <c r="A1043" s="10" t="inlineStr">
        <is>
          <t>Water</t>
        </is>
      </c>
      <c r="B1043" s="10" t="inlineStr">
        <is>
          <t>RM</t>
        </is>
      </c>
      <c r="C1043" s="10" t="inlineStr">
        <is>
          <t>Solvent</t>
        </is>
      </c>
      <c r="D1043" s="10" t="inlineStr">
        <is>
          <t>Total Organic Carbon</t>
        </is>
      </c>
      <c r="E1043" s="10">
        <f>IF(A1043="","",A1043&amp;"|"&amp;D1043)</f>
        <v/>
      </c>
      <c r="F1043" s="5" t="inlineStr">
        <is>
          <t>Y</t>
        </is>
      </c>
      <c r="G1043" s="5" t="inlineStr">
        <is>
          <t>Other / bench</t>
        </is>
      </c>
      <c r="H1043" s="5" t="inlineStr">
        <is>
          <t>Low</t>
        </is>
      </c>
      <c r="I1043" s="5" t="n">
        <v>1</v>
      </c>
      <c r="J1043" s="5" t="n"/>
      <c r="K1043" s="10">
        <f>IFERROR(IF(INDEX('Test catalog'!$F$2:$F$200,MATCH($AB1043,'Test catalog'!$A$2:$A$200,0))="","",INDEX('Test catalog'!$F$2:$F$200,MATCH($AB1043,'Test catalog'!$A$2:$A$200,0))),"")</f>
        <v/>
      </c>
      <c r="L1043" s="10">
        <f>IFERROR(IF(INDEX('Test catalog'!$G$2:$G$200,MATCH($AB1043,'Test catalog'!$A$2:$A$200,0))="","",INDEX('Test catalog'!$G$2:$G$200,MATCH($AB1043,'Test catalog'!$A$2:$A$200,0))),"")</f>
        <v/>
      </c>
      <c r="M1043" s="10">
        <f>IFERROR(IF(INDEX('Test catalog'!$H$2:$H$200,MATCH($AB1043,'Test catalog'!$A$2:$A$200,0))="","",INDEX('Test catalog'!$H$2:$H$200,MATCH($AB1043,'Test catalog'!$A$2:$A$200,0))),"")</f>
        <v/>
      </c>
      <c r="N1043" s="10">
        <f>IFERROR(IF(INDEX('Test catalog'!$I$2:$I$200,MATCH($AB1043,'Test catalog'!$A$2:$A$200,0))="","",INDEX('Test catalog'!$I$2:$I$200,MATCH($AB1043,'Test catalog'!$A$2:$A$200,0))),"")</f>
        <v/>
      </c>
      <c r="O1043" s="10">
        <f>IFERROR(IF(INDEX('Test catalog'!$J$2:$J$200,MATCH($AB1043,'Test catalog'!$A$2:$A$200,0))="","",INDEX('Test catalog'!$J$2:$J$200,MATCH($AB1043,'Test catalog'!$A$2:$A$200,0))),"")</f>
        <v/>
      </c>
      <c r="P1043" s="14">
        <f>IF(N1043="","",IF(OR(M1043="",O1043=""),N1043,(M1043+4*N1043+O1043)/6))</f>
        <v/>
      </c>
      <c r="Q1043" s="10">
        <f>IFERROR(IF(INDEX('Test catalog'!$K$2:$K$200,MATCH($AB1043,'Test catalog'!$A$2:$A$200,0))="","",INDEX('Test catalog'!$K$2:$K$200,MATCH($AB1043,'Test catalog'!$A$2:$A$200,0))),"")</f>
        <v/>
      </c>
      <c r="R1043" s="5" t="n"/>
      <c r="S1043" s="10">
        <f>IFERROR(IF(INDEX('Test catalog'!$L$2:$L$200,MATCH($AB1043,'Test catalog'!$A$2:$A$200,0))="","",INDEX('Test catalog'!$L$2:$L$200,MATCH($AB1043,'Test catalog'!$A$2:$A$200,0))),"")</f>
        <v/>
      </c>
      <c r="T1043" s="10">
        <f>IFERROR(IF(INDEX('Test catalog'!$M$2:$M$200,MATCH($AB1043,'Test catalog'!$A$2:$A$200,0))="","",INDEX('Test catalog'!$M$2:$M$200,MATCH($AB1043,'Test catalog'!$A$2:$A$200,0))),"")</f>
        <v/>
      </c>
      <c r="U1043" s="10">
        <f>IFERROR(IF(INDEX('Test catalog'!$N$2:$N$200,MATCH($AB1043,'Test catalog'!$A$2:$A$200,0))="","",INDEX('Test catalog'!$N$2:$N$200,MATCH($AB1043,'Test catalog'!$A$2:$A$200,0))),"")</f>
        <v/>
      </c>
      <c r="V1043" s="15" t="n"/>
      <c r="W1043" s="5" t="inlineStr">
        <is>
          <t>N</t>
        </is>
      </c>
      <c r="X1043" s="5" t="n"/>
      <c r="Y1043" s="5" t="n"/>
      <c r="Z1043" s="5" t="n"/>
      <c r="AA1043" s="10">
        <f>IFERROR(IF(INDEX('Test catalog'!$O$2:$O$200,MATCH($AB1043,'Test catalog'!$A$2:$A$200,0))="","",INDEX('Test catalog'!$O$2:$O$200,MATCH($AB1043,'Test catalog'!$A$2:$A$200,0))),"")</f>
        <v/>
      </c>
      <c r="AB1043" s="10" t="inlineStr">
        <is>
          <t>TOC</t>
        </is>
      </c>
      <c r="AC1043" s="10" t="inlineStr">
        <is>
          <t>Purified Water · Specific Tests &lt;643&gt;</t>
        </is>
      </c>
      <c r="AD1043" s="10" t="n"/>
      <c r="AE1043" s="10" t="n"/>
    </row>
    <row r="1044">
      <c r="A1044" s="10" t="inlineStr">
        <is>
          <t>Water for Injection (WFI)</t>
        </is>
      </c>
      <c r="B1044" s="10" t="inlineStr">
        <is>
          <t>RM</t>
        </is>
      </c>
      <c r="C1044" s="10" t="inlineStr">
        <is>
          <t>Solvent</t>
        </is>
      </c>
      <c r="D1044" s="10" t="inlineStr">
        <is>
          <t>Appearance / description and solubility</t>
        </is>
      </c>
      <c r="E1044" s="10">
        <f>IF(A1044="","",A1044&amp;"|"&amp;D1044)</f>
        <v/>
      </c>
      <c r="F1044" s="5" t="inlineStr">
        <is>
          <t>Y</t>
        </is>
      </c>
      <c r="G1044" s="5" t="inlineStr">
        <is>
          <t>Other / bench</t>
        </is>
      </c>
      <c r="H1044" s="5" t="inlineStr">
        <is>
          <t>Low</t>
        </is>
      </c>
      <c r="I1044" s="5" t="n">
        <v>1</v>
      </c>
      <c r="J1044" s="5" t="n"/>
      <c r="K1044" s="10">
        <f>IFERROR(IF(INDEX('Test catalog'!$F$2:$F$200,MATCH($AB1044,'Test catalog'!$A$2:$A$200,0))="","",INDEX('Test catalog'!$F$2:$F$200,MATCH($AB1044,'Test catalog'!$A$2:$A$200,0))),"")</f>
        <v/>
      </c>
      <c r="L1044" s="10">
        <f>IFERROR(IF(INDEX('Test catalog'!$G$2:$G$200,MATCH($AB1044,'Test catalog'!$A$2:$A$200,0))="","",INDEX('Test catalog'!$G$2:$G$200,MATCH($AB1044,'Test catalog'!$A$2:$A$200,0))),"")</f>
        <v/>
      </c>
      <c r="M1044" s="10">
        <f>IFERROR(IF(INDEX('Test catalog'!$H$2:$H$200,MATCH($AB1044,'Test catalog'!$A$2:$A$200,0))="","",INDEX('Test catalog'!$H$2:$H$200,MATCH($AB1044,'Test catalog'!$A$2:$A$200,0))),"")</f>
        <v/>
      </c>
      <c r="N1044" s="10">
        <f>IFERROR(IF(INDEX('Test catalog'!$I$2:$I$200,MATCH($AB1044,'Test catalog'!$A$2:$A$200,0))="","",INDEX('Test catalog'!$I$2:$I$200,MATCH($AB1044,'Test catalog'!$A$2:$A$200,0))),"")</f>
        <v/>
      </c>
      <c r="O1044" s="10">
        <f>IFERROR(IF(INDEX('Test catalog'!$J$2:$J$200,MATCH($AB1044,'Test catalog'!$A$2:$A$200,0))="","",INDEX('Test catalog'!$J$2:$J$200,MATCH($AB1044,'Test catalog'!$A$2:$A$200,0))),"")</f>
        <v/>
      </c>
      <c r="P1044" s="14">
        <f>IF(N1044="","",IF(OR(M1044="",O1044=""),N1044,(M1044+4*N1044+O1044)/6))</f>
        <v/>
      </c>
      <c r="Q1044" s="10">
        <f>IFERROR(IF(INDEX('Test catalog'!$K$2:$K$200,MATCH($AB1044,'Test catalog'!$A$2:$A$200,0))="","",INDEX('Test catalog'!$K$2:$K$200,MATCH($AB1044,'Test catalog'!$A$2:$A$200,0))),"")</f>
        <v/>
      </c>
      <c r="R1044" s="5" t="n"/>
      <c r="S1044" s="10">
        <f>IFERROR(IF(INDEX('Test catalog'!$L$2:$L$200,MATCH($AB1044,'Test catalog'!$A$2:$A$200,0))="","",INDEX('Test catalog'!$L$2:$L$200,MATCH($AB1044,'Test catalog'!$A$2:$A$200,0))),"")</f>
        <v/>
      </c>
      <c r="T1044" s="10">
        <f>IFERROR(IF(INDEX('Test catalog'!$M$2:$M$200,MATCH($AB1044,'Test catalog'!$A$2:$A$200,0))="","",INDEX('Test catalog'!$M$2:$M$200,MATCH($AB1044,'Test catalog'!$A$2:$A$200,0))),"")</f>
        <v/>
      </c>
      <c r="U1044" s="10">
        <f>IFERROR(IF(INDEX('Test catalog'!$N$2:$N$200,MATCH($AB1044,'Test catalog'!$A$2:$A$200,0))="","",INDEX('Test catalog'!$N$2:$N$200,MATCH($AB1044,'Test catalog'!$A$2:$A$200,0))),"")</f>
        <v/>
      </c>
      <c r="V1044" s="15" t="n"/>
      <c r="W1044" s="5" t="inlineStr">
        <is>
          <t>N</t>
        </is>
      </c>
      <c r="X1044" s="5" t="n"/>
      <c r="Y1044" s="5" t="n"/>
      <c r="Z1044" s="5" t="n"/>
      <c r="AA1044" s="10">
        <f>IFERROR(IF(INDEX('Test catalog'!$O$2:$O$200,MATCH($AB1044,'Test catalog'!$A$2:$A$200,0))="","",INDEX('Test catalog'!$O$2:$O$200,MATCH($AB1044,'Test catalog'!$A$2:$A$200,0))),"")</f>
        <v/>
      </c>
      <c r="AB1044" s="10" t="inlineStr">
        <is>
          <t>APPEAR</t>
        </is>
      </c>
      <c r="AC1044" s="10" t="inlineStr">
        <is>
          <t>Lab practice (not a USP test)</t>
        </is>
      </c>
      <c r="AD1044" s="10" t="n"/>
      <c r="AE1044" s="10" t="n"/>
    </row>
    <row r="1045">
      <c r="A1045" s="10" t="inlineStr">
        <is>
          <t>Water for Injection (WFI)</t>
        </is>
      </c>
      <c r="B1045" s="10" t="inlineStr">
        <is>
          <t>RM</t>
        </is>
      </c>
      <c r="C1045" s="10" t="inlineStr">
        <is>
          <t>Solvent</t>
        </is>
      </c>
      <c r="D1045" s="10" t="inlineStr">
        <is>
          <t>Water Conductivity, Bulk Water</t>
        </is>
      </c>
      <c r="E1045" s="10">
        <f>IF(A1045="","",A1045&amp;"|"&amp;D1045)</f>
        <v/>
      </c>
      <c r="F1045" s="5" t="inlineStr">
        <is>
          <t>Y</t>
        </is>
      </c>
      <c r="G1045" s="5" t="inlineStr">
        <is>
          <t>Other / bench</t>
        </is>
      </c>
      <c r="H1045" s="5" t="inlineStr">
        <is>
          <t>Low</t>
        </is>
      </c>
      <c r="I1045" s="5" t="n">
        <v>1</v>
      </c>
      <c r="J1045" s="5" t="n"/>
      <c r="K1045" s="10">
        <f>IFERROR(IF(INDEX('Test catalog'!$F$2:$F$200,MATCH($AB1045,'Test catalog'!$A$2:$A$200,0))="","",INDEX('Test catalog'!$F$2:$F$200,MATCH($AB1045,'Test catalog'!$A$2:$A$200,0))),"")</f>
        <v/>
      </c>
      <c r="L1045" s="10">
        <f>IFERROR(IF(INDEX('Test catalog'!$G$2:$G$200,MATCH($AB1045,'Test catalog'!$A$2:$A$200,0))="","",INDEX('Test catalog'!$G$2:$G$200,MATCH($AB1045,'Test catalog'!$A$2:$A$200,0))),"")</f>
        <v/>
      </c>
      <c r="M1045" s="10">
        <f>IFERROR(IF(INDEX('Test catalog'!$H$2:$H$200,MATCH($AB1045,'Test catalog'!$A$2:$A$200,0))="","",INDEX('Test catalog'!$H$2:$H$200,MATCH($AB1045,'Test catalog'!$A$2:$A$200,0))),"")</f>
        <v/>
      </c>
      <c r="N1045" s="10">
        <f>IFERROR(IF(INDEX('Test catalog'!$I$2:$I$200,MATCH($AB1045,'Test catalog'!$A$2:$A$200,0))="","",INDEX('Test catalog'!$I$2:$I$200,MATCH($AB1045,'Test catalog'!$A$2:$A$200,0))),"")</f>
        <v/>
      </c>
      <c r="O1045" s="10">
        <f>IFERROR(IF(INDEX('Test catalog'!$J$2:$J$200,MATCH($AB1045,'Test catalog'!$A$2:$A$200,0))="","",INDEX('Test catalog'!$J$2:$J$200,MATCH($AB1045,'Test catalog'!$A$2:$A$200,0))),"")</f>
        <v/>
      </c>
      <c r="P1045" s="14">
        <f>IF(N1045="","",IF(OR(M1045="",O1045=""),N1045,(M1045+4*N1045+O1045)/6))</f>
        <v/>
      </c>
      <c r="Q1045" s="10">
        <f>IFERROR(IF(INDEX('Test catalog'!$K$2:$K$200,MATCH($AB1045,'Test catalog'!$A$2:$A$200,0))="","",INDEX('Test catalog'!$K$2:$K$200,MATCH($AB1045,'Test catalog'!$A$2:$A$200,0))),"")</f>
        <v/>
      </c>
      <c r="R1045" s="5" t="n"/>
      <c r="S1045" s="10">
        <f>IFERROR(IF(INDEX('Test catalog'!$L$2:$L$200,MATCH($AB1045,'Test catalog'!$A$2:$A$200,0))="","",INDEX('Test catalog'!$L$2:$L$200,MATCH($AB1045,'Test catalog'!$A$2:$A$200,0))),"")</f>
        <v/>
      </c>
      <c r="T1045" s="10">
        <f>IFERROR(IF(INDEX('Test catalog'!$M$2:$M$200,MATCH($AB1045,'Test catalog'!$A$2:$A$200,0))="","",INDEX('Test catalog'!$M$2:$M$200,MATCH($AB1045,'Test catalog'!$A$2:$A$200,0))),"")</f>
        <v/>
      </c>
      <c r="U1045" s="10">
        <f>IFERROR(IF(INDEX('Test catalog'!$N$2:$N$200,MATCH($AB1045,'Test catalog'!$A$2:$A$200,0))="","",INDEX('Test catalog'!$N$2:$N$200,MATCH($AB1045,'Test catalog'!$A$2:$A$200,0))),"")</f>
        <v/>
      </c>
      <c r="V1045" s="15" t="n"/>
      <c r="W1045" s="5" t="inlineStr">
        <is>
          <t>N</t>
        </is>
      </c>
      <c r="X1045" s="5" t="n"/>
      <c r="Y1045" s="5" t="n"/>
      <c r="Z1045" s="5" t="n"/>
      <c r="AA1045" s="10">
        <f>IFERROR(IF(INDEX('Test catalog'!$O$2:$O$200,MATCH($AB1045,'Test catalog'!$A$2:$A$200,0))="","",INDEX('Test catalog'!$O$2:$O$200,MATCH($AB1045,'Test catalog'!$A$2:$A$200,0))),"")</f>
        <v/>
      </c>
      <c r="AB1045" s="10" t="inlineStr">
        <is>
          <t>COND</t>
        </is>
      </c>
      <c r="AC1045" s="10" t="inlineStr">
        <is>
          <t>Water for Injection · Specific Tests &lt;645&gt;</t>
        </is>
      </c>
      <c r="AD1045" s="10" t="n"/>
      <c r="AE1045" s="10" t="n"/>
    </row>
    <row r="1046">
      <c r="A1046" s="10" t="inlineStr">
        <is>
          <t>Polysorbate 80</t>
        </is>
      </c>
      <c r="B1046" s="10" t="inlineStr">
        <is>
          <t>RM</t>
        </is>
      </c>
      <c r="C1046" s="10" t="inlineStr">
        <is>
          <t>Surfactant</t>
        </is>
      </c>
      <c r="D1046" s="10" t="inlineStr">
        <is>
          <t>Appearance / description and solubility</t>
        </is>
      </c>
      <c r="E1046" s="10">
        <f>IF(A1046="","",A1046&amp;"|"&amp;D1046)</f>
        <v/>
      </c>
      <c r="F1046" s="5" t="inlineStr">
        <is>
          <t>Y</t>
        </is>
      </c>
      <c r="G1046" s="5" t="inlineStr">
        <is>
          <t>Other / bench</t>
        </is>
      </c>
      <c r="H1046" s="5" t="inlineStr">
        <is>
          <t>Low</t>
        </is>
      </c>
      <c r="I1046" s="5" t="n">
        <v>1</v>
      </c>
      <c r="J1046" s="5" t="n"/>
      <c r="K1046" s="10">
        <f>IFERROR(IF(INDEX('Test catalog'!$F$2:$F$200,MATCH($AB1046,'Test catalog'!$A$2:$A$200,0))="","",INDEX('Test catalog'!$F$2:$F$200,MATCH($AB1046,'Test catalog'!$A$2:$A$200,0))),"")</f>
        <v/>
      </c>
      <c r="L1046" s="10">
        <f>IFERROR(IF(INDEX('Test catalog'!$G$2:$G$200,MATCH($AB1046,'Test catalog'!$A$2:$A$200,0))="","",INDEX('Test catalog'!$G$2:$G$200,MATCH($AB1046,'Test catalog'!$A$2:$A$200,0))),"")</f>
        <v/>
      </c>
      <c r="M1046" s="10">
        <f>IFERROR(IF(INDEX('Test catalog'!$H$2:$H$200,MATCH($AB1046,'Test catalog'!$A$2:$A$200,0))="","",INDEX('Test catalog'!$H$2:$H$200,MATCH($AB1046,'Test catalog'!$A$2:$A$200,0))),"")</f>
        <v/>
      </c>
      <c r="N1046" s="10">
        <f>IFERROR(IF(INDEX('Test catalog'!$I$2:$I$200,MATCH($AB1046,'Test catalog'!$A$2:$A$200,0))="","",INDEX('Test catalog'!$I$2:$I$200,MATCH($AB1046,'Test catalog'!$A$2:$A$200,0))),"")</f>
        <v/>
      </c>
      <c r="O1046" s="10">
        <f>IFERROR(IF(INDEX('Test catalog'!$J$2:$J$200,MATCH($AB1046,'Test catalog'!$A$2:$A$200,0))="","",INDEX('Test catalog'!$J$2:$J$200,MATCH($AB1046,'Test catalog'!$A$2:$A$200,0))),"")</f>
        <v/>
      </c>
      <c r="P1046" s="14">
        <f>IF(N1046="","",IF(OR(M1046="",O1046=""),N1046,(M1046+4*N1046+O1046)/6))</f>
        <v/>
      </c>
      <c r="Q1046" s="10">
        <f>IFERROR(IF(INDEX('Test catalog'!$K$2:$K$200,MATCH($AB1046,'Test catalog'!$A$2:$A$200,0))="","",INDEX('Test catalog'!$K$2:$K$200,MATCH($AB1046,'Test catalog'!$A$2:$A$200,0))),"")</f>
        <v/>
      </c>
      <c r="R1046" s="5" t="n"/>
      <c r="S1046" s="10">
        <f>IFERROR(IF(INDEX('Test catalog'!$L$2:$L$200,MATCH($AB1046,'Test catalog'!$A$2:$A$200,0))="","",INDEX('Test catalog'!$L$2:$L$200,MATCH($AB1046,'Test catalog'!$A$2:$A$200,0))),"")</f>
        <v/>
      </c>
      <c r="T1046" s="10">
        <f>IFERROR(IF(INDEX('Test catalog'!$M$2:$M$200,MATCH($AB1046,'Test catalog'!$A$2:$A$200,0))="","",INDEX('Test catalog'!$M$2:$M$200,MATCH($AB1046,'Test catalog'!$A$2:$A$200,0))),"")</f>
        <v/>
      </c>
      <c r="U1046" s="10">
        <f>IFERROR(IF(INDEX('Test catalog'!$N$2:$N$200,MATCH($AB1046,'Test catalog'!$A$2:$A$200,0))="","",INDEX('Test catalog'!$N$2:$N$200,MATCH($AB1046,'Test catalog'!$A$2:$A$200,0))),"")</f>
        <v/>
      </c>
      <c r="V1046" s="15" t="n"/>
      <c r="W1046" s="5" t="inlineStr">
        <is>
          <t>N</t>
        </is>
      </c>
      <c r="X1046" s="5" t="n"/>
      <c r="Y1046" s="5" t="n"/>
      <c r="Z1046" s="5" t="n"/>
      <c r="AA1046" s="10">
        <f>IFERROR(IF(INDEX('Test catalog'!$O$2:$O$200,MATCH($AB1046,'Test catalog'!$A$2:$A$200,0))="","",INDEX('Test catalog'!$O$2:$O$200,MATCH($AB1046,'Test catalog'!$A$2:$A$200,0))),"")</f>
        <v/>
      </c>
      <c r="AB1046" s="10" t="inlineStr">
        <is>
          <t>APPEAR</t>
        </is>
      </c>
      <c r="AC1046" s="10" t="inlineStr">
        <is>
          <t>Lab practice (not a USP test)</t>
        </is>
      </c>
      <c r="AD1046" s="10" t="n"/>
      <c r="AE1046" s="10" t="n"/>
    </row>
    <row r="1047">
      <c r="A1047" s="10" t="inlineStr">
        <is>
          <t>Polysorbate 80</t>
        </is>
      </c>
      <c r="B1047" s="10" t="inlineStr">
        <is>
          <t>RM</t>
        </is>
      </c>
      <c r="C1047" s="10" t="inlineStr">
        <is>
          <t>Surfactant</t>
        </is>
      </c>
      <c r="D1047" s="10" t="inlineStr">
        <is>
          <t>ID A - chemical reaction</t>
        </is>
      </c>
      <c r="E1047" s="10">
        <f>IF(A1047="","",A1047&amp;"|"&amp;D1047)</f>
        <v/>
      </c>
      <c r="F1047" s="5" t="inlineStr">
        <is>
          <t>Y</t>
        </is>
      </c>
      <c r="G1047" s="5" t="inlineStr">
        <is>
          <t>Other / bench</t>
        </is>
      </c>
      <c r="H1047" s="5" t="inlineStr">
        <is>
          <t>Low</t>
        </is>
      </c>
      <c r="I1047" s="5" t="n">
        <v>1</v>
      </c>
      <c r="J1047" s="5" t="n"/>
      <c r="K1047" s="10">
        <f>IFERROR(IF(INDEX('Test catalog'!$F$2:$F$200,MATCH($AB1047,'Test catalog'!$A$2:$A$200,0))="","",INDEX('Test catalog'!$F$2:$F$200,MATCH($AB1047,'Test catalog'!$A$2:$A$200,0))),"")</f>
        <v/>
      </c>
      <c r="L1047" s="10">
        <f>IFERROR(IF(INDEX('Test catalog'!$G$2:$G$200,MATCH($AB1047,'Test catalog'!$A$2:$A$200,0))="","",INDEX('Test catalog'!$G$2:$G$200,MATCH($AB1047,'Test catalog'!$A$2:$A$200,0))),"")</f>
        <v/>
      </c>
      <c r="M1047" s="10">
        <f>IFERROR(IF(INDEX('Test catalog'!$H$2:$H$200,MATCH($AB1047,'Test catalog'!$A$2:$A$200,0))="","",INDEX('Test catalog'!$H$2:$H$200,MATCH($AB1047,'Test catalog'!$A$2:$A$200,0))),"")</f>
        <v/>
      </c>
      <c r="N1047" s="10">
        <f>IFERROR(IF(INDEX('Test catalog'!$I$2:$I$200,MATCH($AB1047,'Test catalog'!$A$2:$A$200,0))="","",INDEX('Test catalog'!$I$2:$I$200,MATCH($AB1047,'Test catalog'!$A$2:$A$200,0))),"")</f>
        <v/>
      </c>
      <c r="O1047" s="10">
        <f>IFERROR(IF(INDEX('Test catalog'!$J$2:$J$200,MATCH($AB1047,'Test catalog'!$A$2:$A$200,0))="","",INDEX('Test catalog'!$J$2:$J$200,MATCH($AB1047,'Test catalog'!$A$2:$A$200,0))),"")</f>
        <v/>
      </c>
      <c r="P1047" s="14">
        <f>IF(N1047="","",IF(OR(M1047="",O1047=""),N1047,(M1047+4*N1047+O1047)/6))</f>
        <v/>
      </c>
      <c r="Q1047" s="10">
        <f>IFERROR(IF(INDEX('Test catalog'!$K$2:$K$200,MATCH($AB1047,'Test catalog'!$A$2:$A$200,0))="","",INDEX('Test catalog'!$K$2:$K$200,MATCH($AB1047,'Test catalog'!$A$2:$A$200,0))),"")</f>
        <v/>
      </c>
      <c r="R1047" s="5" t="n"/>
      <c r="S1047" s="10">
        <f>IFERROR(IF(INDEX('Test catalog'!$L$2:$L$200,MATCH($AB1047,'Test catalog'!$A$2:$A$200,0))="","",INDEX('Test catalog'!$L$2:$L$200,MATCH($AB1047,'Test catalog'!$A$2:$A$200,0))),"")</f>
        <v/>
      </c>
      <c r="T1047" s="10">
        <f>IFERROR(IF(INDEX('Test catalog'!$M$2:$M$200,MATCH($AB1047,'Test catalog'!$A$2:$A$200,0))="","",INDEX('Test catalog'!$M$2:$M$200,MATCH($AB1047,'Test catalog'!$A$2:$A$200,0))),"")</f>
        <v/>
      </c>
      <c r="U1047" s="10">
        <f>IFERROR(IF(INDEX('Test catalog'!$N$2:$N$200,MATCH($AB1047,'Test catalog'!$A$2:$A$200,0))="","",INDEX('Test catalog'!$N$2:$N$200,MATCH($AB1047,'Test catalog'!$A$2:$A$200,0))),"")</f>
        <v/>
      </c>
      <c r="V1047" s="15" t="n"/>
      <c r="W1047" s="5" t="inlineStr">
        <is>
          <t>N</t>
        </is>
      </c>
      <c r="X1047" s="5" t="n"/>
      <c r="Y1047" s="5" t="n"/>
      <c r="Z1047" s="5" t="n"/>
      <c r="AA1047" s="10">
        <f>IFERROR(IF(INDEX('Test catalog'!$O$2:$O$200,MATCH($AB1047,'Test catalog'!$A$2:$A$200,0))="","",INDEX('Test catalog'!$O$2:$O$200,MATCH($AB1047,'Test catalog'!$A$2:$A$200,0))),"")</f>
        <v/>
      </c>
      <c r="AB1047" s="10" t="inlineStr">
        <is>
          <t>ID_CHEM</t>
        </is>
      </c>
      <c r="AC1047" s="10" t="inlineStr">
        <is>
          <t>Polysorbate 80 · Identification</t>
        </is>
      </c>
      <c r="AD1047" s="10" t="n"/>
      <c r="AE1047" s="10" t="n"/>
    </row>
    <row r="1048">
      <c r="A1048" s="10" t="inlineStr">
        <is>
          <t>Polysorbate 80</t>
        </is>
      </c>
      <c r="B1048" s="10" t="inlineStr">
        <is>
          <t>RM</t>
        </is>
      </c>
      <c r="C1048" s="10" t="inlineStr">
        <is>
          <t>Surfactant</t>
        </is>
      </c>
      <c r="D1048" s="10" t="inlineStr">
        <is>
          <t>Assay - Composition of Fatty Acids (GC)</t>
        </is>
      </c>
      <c r="E1048" s="10">
        <f>IF(A1048="","",A1048&amp;"|"&amp;D1048)</f>
        <v/>
      </c>
      <c r="F1048" s="5" t="inlineStr">
        <is>
          <t>Y</t>
        </is>
      </c>
      <c r="G1048" s="5" t="inlineStr">
        <is>
          <t>GC</t>
        </is>
      </c>
      <c r="H1048" s="5" t="inlineStr">
        <is>
          <t>Medium</t>
        </is>
      </c>
      <c r="I1048" s="5" t="n">
        <v>1</v>
      </c>
      <c r="J1048" s="5" t="n"/>
      <c r="K1048" s="5" t="n"/>
      <c r="L1048" s="5" t="n"/>
      <c r="M1048" s="5" t="n"/>
      <c r="N1048" s="5" t="n"/>
      <c r="O1048" s="5" t="n"/>
      <c r="P1048" s="14">
        <f>IF(N1048="","",IF(OR(M1048="",O1048=""),N1048,(M1048+4*N1048+O1048)/6))</f>
        <v/>
      </c>
      <c r="Q1048" s="5" t="n"/>
      <c r="R1048" s="5" t="n"/>
      <c r="S1048" s="5" t="n"/>
      <c r="T1048" s="5" t="n"/>
      <c r="U1048" s="5" t="n"/>
      <c r="V1048" s="15" t="n"/>
      <c r="W1048" s="5" t="inlineStr">
        <is>
          <t>N</t>
        </is>
      </c>
      <c r="X1048" s="5" t="n"/>
      <c r="Y1048" s="5" t="n"/>
      <c r="Z1048" s="5" t="inlineStr">
        <is>
          <t>Alternative assays - keep only the one you run</t>
        </is>
      </c>
      <c r="AA1048" s="5" t="n"/>
      <c r="AB1048" s="10" t="n"/>
      <c r="AC1048" s="10" t="inlineStr">
        <is>
          <t>Polysorbate 80 · Assay &lt;197&gt;</t>
        </is>
      </c>
      <c r="AD1048" s="10" t="n"/>
      <c r="AE1048" s="10" t="n"/>
    </row>
    <row r="1049">
      <c r="A1049" s="10" t="inlineStr">
        <is>
          <t>Polysorbate 80</t>
        </is>
      </c>
      <c r="B1049" s="10" t="inlineStr">
        <is>
          <t>RM</t>
        </is>
      </c>
      <c r="C1049" s="10" t="inlineStr">
        <is>
          <t>Surfactant</t>
        </is>
      </c>
      <c r="D1049" s="10" t="inlineStr">
        <is>
          <t>Assay - B. Spectroscopic Identification Tests (GC)</t>
        </is>
      </c>
      <c r="E1049" s="10">
        <f>IF(A1049="","",A1049&amp;"|"&amp;D1049)</f>
        <v/>
      </c>
      <c r="F1049" s="5" t="inlineStr">
        <is>
          <t>Y</t>
        </is>
      </c>
      <c r="G1049" s="5" t="inlineStr">
        <is>
          <t>GC</t>
        </is>
      </c>
      <c r="H1049" s="5" t="inlineStr">
        <is>
          <t>Medium</t>
        </is>
      </c>
      <c r="I1049" s="5" t="n">
        <v>1</v>
      </c>
      <c r="J1049" s="5" t="n"/>
      <c r="K1049" s="5" t="n"/>
      <c r="L1049" s="5" t="n"/>
      <c r="M1049" s="5" t="n"/>
      <c r="N1049" s="5" t="n"/>
      <c r="O1049" s="5" t="n"/>
      <c r="P1049" s="14">
        <f>IF(N1049="","",IF(OR(M1049="",O1049=""),N1049,(M1049+4*N1049+O1049)/6))</f>
        <v/>
      </c>
      <c r="Q1049" s="5" t="n"/>
      <c r="R1049" s="5" t="n"/>
      <c r="S1049" s="5" t="n"/>
      <c r="T1049" s="5" t="n"/>
      <c r="U1049" s="5" t="n"/>
      <c r="V1049" s="15" t="n"/>
      <c r="W1049" s="5" t="inlineStr">
        <is>
          <t>N</t>
        </is>
      </c>
      <c r="X1049" s="5" t="n"/>
      <c r="Y1049" s="5" t="n"/>
      <c r="Z1049" s="5" t="inlineStr">
        <is>
          <t>Alternative assays - keep only the one you run</t>
        </is>
      </c>
      <c r="AA1049" s="5" t="n"/>
      <c r="AB1049" s="10" t="n"/>
      <c r="AC1049" s="10" t="inlineStr">
        <is>
          <t>Polysorbate 80 · Assay &lt;197&gt;</t>
        </is>
      </c>
      <c r="AD1049" s="10" t="n"/>
      <c r="AE1049" s="10" t="n"/>
    </row>
    <row r="1050">
      <c r="A1050" s="10" t="inlineStr">
        <is>
          <t>Polysorbate 80</t>
        </is>
      </c>
      <c r="B1050" s="10" t="inlineStr">
        <is>
          <t>RM</t>
        </is>
      </c>
      <c r="C1050" s="10" t="inlineStr">
        <is>
          <t>Surfactant</t>
        </is>
      </c>
      <c r="D1050" s="10" t="inlineStr">
        <is>
          <t>Residue on Ignition</t>
        </is>
      </c>
      <c r="E1050" s="10">
        <f>IF(A1050="","",A1050&amp;"|"&amp;D1050)</f>
        <v/>
      </c>
      <c r="F1050" s="5" t="inlineStr">
        <is>
          <t>Y</t>
        </is>
      </c>
      <c r="G1050" s="5" t="inlineStr">
        <is>
          <t>Other / bench</t>
        </is>
      </c>
      <c r="H1050" s="5" t="inlineStr">
        <is>
          <t>Low</t>
        </is>
      </c>
      <c r="I1050" s="5" t="n">
        <v>1</v>
      </c>
      <c r="J1050" s="5" t="n"/>
      <c r="K1050" s="10">
        <f>IFERROR(IF(INDEX('Test catalog'!$F$2:$F$200,MATCH($AB1050,'Test catalog'!$A$2:$A$200,0))="","",INDEX('Test catalog'!$F$2:$F$200,MATCH($AB1050,'Test catalog'!$A$2:$A$200,0))),"")</f>
        <v/>
      </c>
      <c r="L1050" s="10">
        <f>IFERROR(IF(INDEX('Test catalog'!$G$2:$G$200,MATCH($AB1050,'Test catalog'!$A$2:$A$200,0))="","",INDEX('Test catalog'!$G$2:$G$200,MATCH($AB1050,'Test catalog'!$A$2:$A$200,0))),"")</f>
        <v/>
      </c>
      <c r="M1050" s="10">
        <f>IFERROR(IF(INDEX('Test catalog'!$H$2:$H$200,MATCH($AB1050,'Test catalog'!$A$2:$A$200,0))="","",INDEX('Test catalog'!$H$2:$H$200,MATCH($AB1050,'Test catalog'!$A$2:$A$200,0))),"")</f>
        <v/>
      </c>
      <c r="N1050" s="10">
        <f>IFERROR(IF(INDEX('Test catalog'!$I$2:$I$200,MATCH($AB1050,'Test catalog'!$A$2:$A$200,0))="","",INDEX('Test catalog'!$I$2:$I$200,MATCH($AB1050,'Test catalog'!$A$2:$A$200,0))),"")</f>
        <v/>
      </c>
      <c r="O1050" s="10">
        <f>IFERROR(IF(INDEX('Test catalog'!$J$2:$J$200,MATCH($AB1050,'Test catalog'!$A$2:$A$200,0))="","",INDEX('Test catalog'!$J$2:$J$200,MATCH($AB1050,'Test catalog'!$A$2:$A$200,0))),"")</f>
        <v/>
      </c>
      <c r="P1050" s="14">
        <f>IF(N1050="","",IF(OR(M1050="",O1050=""),N1050,(M1050+4*N1050+O1050)/6))</f>
        <v/>
      </c>
      <c r="Q1050" s="10">
        <f>IFERROR(IF(INDEX('Test catalog'!$K$2:$K$200,MATCH($AB1050,'Test catalog'!$A$2:$A$200,0))="","",INDEX('Test catalog'!$K$2:$K$200,MATCH($AB1050,'Test catalog'!$A$2:$A$200,0))),"")</f>
        <v/>
      </c>
      <c r="R1050" s="5" t="n"/>
      <c r="S1050" s="10">
        <f>IFERROR(IF(INDEX('Test catalog'!$L$2:$L$200,MATCH($AB1050,'Test catalog'!$A$2:$A$200,0))="","",INDEX('Test catalog'!$L$2:$L$200,MATCH($AB1050,'Test catalog'!$A$2:$A$200,0))),"")</f>
        <v/>
      </c>
      <c r="T1050" s="10">
        <f>IFERROR(IF(INDEX('Test catalog'!$M$2:$M$200,MATCH($AB1050,'Test catalog'!$A$2:$A$200,0))="","",INDEX('Test catalog'!$M$2:$M$200,MATCH($AB1050,'Test catalog'!$A$2:$A$200,0))),"")</f>
        <v/>
      </c>
      <c r="U1050" s="10">
        <f>IFERROR(IF(INDEX('Test catalog'!$N$2:$N$200,MATCH($AB1050,'Test catalog'!$A$2:$A$200,0))="","",INDEX('Test catalog'!$N$2:$N$200,MATCH($AB1050,'Test catalog'!$A$2:$A$200,0))),"")</f>
        <v/>
      </c>
      <c r="V1050" s="15" t="n"/>
      <c r="W1050" s="5" t="inlineStr">
        <is>
          <t>N</t>
        </is>
      </c>
      <c r="X1050" s="5" t="n"/>
      <c r="Y1050" s="5" t="n"/>
      <c r="Z1050" s="5" t="n"/>
      <c r="AA1050" s="10">
        <f>IFERROR(IF(INDEX('Test catalog'!$O$2:$O$200,MATCH($AB1050,'Test catalog'!$A$2:$A$200,0))="","",INDEX('Test catalog'!$O$2:$O$200,MATCH($AB1050,'Test catalog'!$A$2:$A$200,0))),"")</f>
        <v/>
      </c>
      <c r="AB1050" s="10" t="inlineStr">
        <is>
          <t>LIMIT</t>
        </is>
      </c>
      <c r="AC1050" s="10" t="inlineStr">
        <is>
          <t>Polysorbate 80 · Impurities</t>
        </is>
      </c>
      <c r="AD1050" s="10" t="n"/>
      <c r="AE1050" s="10" t="n"/>
    </row>
    <row r="1051">
      <c r="A1051" s="10" t="inlineStr">
        <is>
          <t>Polysorbate 80</t>
        </is>
      </c>
      <c r="B1051" s="10" t="inlineStr">
        <is>
          <t>RM</t>
        </is>
      </c>
      <c r="C1051" s="10" t="inlineStr">
        <is>
          <t>Surfactant</t>
        </is>
      </c>
      <c r="D1051" s="10" t="inlineStr">
        <is>
          <t>Ethylene Oxide and Dioxane (GC)</t>
        </is>
      </c>
      <c r="E1051" s="10">
        <f>IF(A1051="","",A1051&amp;"|"&amp;D1051)</f>
        <v/>
      </c>
      <c r="F1051" s="5" t="inlineStr">
        <is>
          <t>Y</t>
        </is>
      </c>
      <c r="G1051" s="5" t="inlineStr">
        <is>
          <t>GC</t>
        </is>
      </c>
      <c r="H1051" s="5" t="inlineStr">
        <is>
          <t>Medium</t>
        </is>
      </c>
      <c r="I1051" s="5" t="n">
        <v>1</v>
      </c>
      <c r="J1051" s="5" t="n"/>
      <c r="K1051" s="5" t="n"/>
      <c r="L1051" s="5" t="n"/>
      <c r="M1051" s="5" t="n"/>
      <c r="N1051" s="5" t="n"/>
      <c r="O1051" s="5" t="n"/>
      <c r="P1051" s="14">
        <f>IF(N1051="","",IF(OR(M1051="",O1051=""),N1051,(M1051+4*N1051+O1051)/6))</f>
        <v/>
      </c>
      <c r="Q1051" s="5" t="n"/>
      <c r="R1051" s="5" t="n"/>
      <c r="S1051" s="5" t="n"/>
      <c r="T1051" s="5" t="n"/>
      <c r="U1051" s="5" t="n"/>
      <c r="V1051" s="15" t="n"/>
      <c r="W1051" s="5" t="inlineStr">
        <is>
          <t>N</t>
        </is>
      </c>
      <c r="X1051" s="5" t="n"/>
      <c r="Y1051" s="5" t="n"/>
      <c r="Z1051" s="5" t="n"/>
      <c r="AA1051" s="5" t="n"/>
      <c r="AB1051" s="10" t="n"/>
      <c r="AC1051" s="10" t="inlineStr">
        <is>
          <t>Polysorbate 80 · Impurities</t>
        </is>
      </c>
      <c r="AD1051" s="10" t="n"/>
      <c r="AE1051" s="10" t="n"/>
    </row>
    <row r="1052">
      <c r="A1052" s="10" t="inlineStr">
        <is>
          <t>Polysorbate 80</t>
        </is>
      </c>
      <c r="B1052" s="10" t="inlineStr">
        <is>
          <t>RM</t>
        </is>
      </c>
      <c r="C1052" s="10" t="inlineStr">
        <is>
          <t>Surfactant</t>
        </is>
      </c>
      <c r="D1052" s="10" t="inlineStr">
        <is>
          <t>Specific Gravity</t>
        </is>
      </c>
      <c r="E1052" s="10">
        <f>IF(A1052="","",A1052&amp;"|"&amp;D1052)</f>
        <v/>
      </c>
      <c r="F1052" s="5" t="inlineStr">
        <is>
          <t>Y</t>
        </is>
      </c>
      <c r="G1052" s="5" t="inlineStr">
        <is>
          <t>Other / bench</t>
        </is>
      </c>
      <c r="H1052" s="5" t="inlineStr">
        <is>
          <t>Low</t>
        </is>
      </c>
      <c r="I1052" s="5" t="n">
        <v>1</v>
      </c>
      <c r="J1052" s="5" t="n"/>
      <c r="K1052" s="10">
        <f>IFERROR(IF(INDEX('Test catalog'!$F$2:$F$200,MATCH($AB1052,'Test catalog'!$A$2:$A$200,0))="","",INDEX('Test catalog'!$F$2:$F$200,MATCH($AB1052,'Test catalog'!$A$2:$A$200,0))),"")</f>
        <v/>
      </c>
      <c r="L1052" s="10">
        <f>IFERROR(IF(INDEX('Test catalog'!$G$2:$G$200,MATCH($AB1052,'Test catalog'!$A$2:$A$200,0))="","",INDEX('Test catalog'!$G$2:$G$200,MATCH($AB1052,'Test catalog'!$A$2:$A$200,0))),"")</f>
        <v/>
      </c>
      <c r="M1052" s="10">
        <f>IFERROR(IF(INDEX('Test catalog'!$H$2:$H$200,MATCH($AB1052,'Test catalog'!$A$2:$A$200,0))="","",INDEX('Test catalog'!$H$2:$H$200,MATCH($AB1052,'Test catalog'!$A$2:$A$200,0))),"")</f>
        <v/>
      </c>
      <c r="N1052" s="10">
        <f>IFERROR(IF(INDEX('Test catalog'!$I$2:$I$200,MATCH($AB1052,'Test catalog'!$A$2:$A$200,0))="","",INDEX('Test catalog'!$I$2:$I$200,MATCH($AB1052,'Test catalog'!$A$2:$A$200,0))),"")</f>
        <v/>
      </c>
      <c r="O1052" s="10">
        <f>IFERROR(IF(INDEX('Test catalog'!$J$2:$J$200,MATCH($AB1052,'Test catalog'!$A$2:$A$200,0))="","",INDEX('Test catalog'!$J$2:$J$200,MATCH($AB1052,'Test catalog'!$A$2:$A$200,0))),"")</f>
        <v/>
      </c>
      <c r="P1052" s="14">
        <f>IF(N1052="","",IF(OR(M1052="",O1052=""),N1052,(M1052+4*N1052+O1052)/6))</f>
        <v/>
      </c>
      <c r="Q1052" s="10">
        <f>IFERROR(IF(INDEX('Test catalog'!$K$2:$K$200,MATCH($AB1052,'Test catalog'!$A$2:$A$200,0))="","",INDEX('Test catalog'!$K$2:$K$200,MATCH($AB1052,'Test catalog'!$A$2:$A$200,0))),"")</f>
        <v/>
      </c>
      <c r="R1052" s="5" t="n"/>
      <c r="S1052" s="10">
        <f>IFERROR(IF(INDEX('Test catalog'!$L$2:$L$200,MATCH($AB1052,'Test catalog'!$A$2:$A$200,0))="","",INDEX('Test catalog'!$L$2:$L$200,MATCH($AB1052,'Test catalog'!$A$2:$A$200,0))),"")</f>
        <v/>
      </c>
      <c r="T1052" s="10">
        <f>IFERROR(IF(INDEX('Test catalog'!$M$2:$M$200,MATCH($AB1052,'Test catalog'!$A$2:$A$200,0))="","",INDEX('Test catalog'!$M$2:$M$200,MATCH($AB1052,'Test catalog'!$A$2:$A$200,0))),"")</f>
        <v/>
      </c>
      <c r="U1052" s="10">
        <f>IFERROR(IF(INDEX('Test catalog'!$N$2:$N$200,MATCH($AB1052,'Test catalog'!$A$2:$A$200,0))="","",INDEX('Test catalog'!$N$2:$N$200,MATCH($AB1052,'Test catalog'!$A$2:$A$200,0))),"")</f>
        <v/>
      </c>
      <c r="V1052" s="15" t="n"/>
      <c r="W1052" s="5" t="inlineStr">
        <is>
          <t>N</t>
        </is>
      </c>
      <c r="X1052" s="5" t="n"/>
      <c r="Y1052" s="5" t="n"/>
      <c r="Z1052" s="5" t="n"/>
      <c r="AA1052" s="10">
        <f>IFERROR(IF(INDEX('Test catalog'!$O$2:$O$200,MATCH($AB1052,'Test catalog'!$A$2:$A$200,0))="","",INDEX('Test catalog'!$O$2:$O$200,MATCH($AB1052,'Test catalog'!$A$2:$A$200,0))),"")</f>
        <v/>
      </c>
      <c r="AB1052" s="10" t="inlineStr">
        <is>
          <t>SG</t>
        </is>
      </c>
      <c r="AC1052" s="10" t="inlineStr">
        <is>
          <t>Polysorbate 80 · Specific Tests &lt;841&gt;</t>
        </is>
      </c>
      <c r="AD1052" s="10" t="n"/>
      <c r="AE1052" s="10" t="n"/>
    </row>
    <row r="1053">
      <c r="A1053" s="10" t="inlineStr">
        <is>
          <t>Polysorbate 80</t>
        </is>
      </c>
      <c r="B1053" s="10" t="inlineStr">
        <is>
          <t>RM</t>
        </is>
      </c>
      <c r="C1053" s="10" t="inlineStr">
        <is>
          <t>Surfactant</t>
        </is>
      </c>
      <c r="D1053" s="10" t="inlineStr">
        <is>
          <t>Fats and Fixed Oils, Acid Value</t>
        </is>
      </c>
      <c r="E1053" s="10">
        <f>IF(A1053="","",A1053&amp;"|"&amp;D1053)</f>
        <v/>
      </c>
      <c r="F1053" s="5" t="inlineStr">
        <is>
          <t>Y</t>
        </is>
      </c>
      <c r="G1053" s="5" t="inlineStr">
        <is>
          <t>Other / bench</t>
        </is>
      </c>
      <c r="H1053" s="5" t="inlineStr">
        <is>
          <t>Low</t>
        </is>
      </c>
      <c r="I1053" s="5" t="n">
        <v>1</v>
      </c>
      <c r="J1053" s="5" t="n"/>
      <c r="K1053" s="10">
        <f>IFERROR(IF(INDEX('Test catalog'!$F$2:$F$200,MATCH($AB1053,'Test catalog'!$A$2:$A$200,0))="","",INDEX('Test catalog'!$F$2:$F$200,MATCH($AB1053,'Test catalog'!$A$2:$A$200,0))),"")</f>
        <v/>
      </c>
      <c r="L1053" s="10">
        <f>IFERROR(IF(INDEX('Test catalog'!$G$2:$G$200,MATCH($AB1053,'Test catalog'!$A$2:$A$200,0))="","",INDEX('Test catalog'!$G$2:$G$200,MATCH($AB1053,'Test catalog'!$A$2:$A$200,0))),"")</f>
        <v/>
      </c>
      <c r="M1053" s="10">
        <f>IFERROR(IF(INDEX('Test catalog'!$H$2:$H$200,MATCH($AB1053,'Test catalog'!$A$2:$A$200,0))="","",INDEX('Test catalog'!$H$2:$H$200,MATCH($AB1053,'Test catalog'!$A$2:$A$200,0))),"")</f>
        <v/>
      </c>
      <c r="N1053" s="10">
        <f>IFERROR(IF(INDEX('Test catalog'!$I$2:$I$200,MATCH($AB1053,'Test catalog'!$A$2:$A$200,0))="","",INDEX('Test catalog'!$I$2:$I$200,MATCH($AB1053,'Test catalog'!$A$2:$A$200,0))),"")</f>
        <v/>
      </c>
      <c r="O1053" s="10">
        <f>IFERROR(IF(INDEX('Test catalog'!$J$2:$J$200,MATCH($AB1053,'Test catalog'!$A$2:$A$200,0))="","",INDEX('Test catalog'!$J$2:$J$200,MATCH($AB1053,'Test catalog'!$A$2:$A$200,0))),"")</f>
        <v/>
      </c>
      <c r="P1053" s="14">
        <f>IF(N1053="","",IF(OR(M1053="",O1053=""),N1053,(M1053+4*N1053+O1053)/6))</f>
        <v/>
      </c>
      <c r="Q1053" s="10">
        <f>IFERROR(IF(INDEX('Test catalog'!$K$2:$K$200,MATCH($AB1053,'Test catalog'!$A$2:$A$200,0))="","",INDEX('Test catalog'!$K$2:$K$200,MATCH($AB1053,'Test catalog'!$A$2:$A$200,0))),"")</f>
        <v/>
      </c>
      <c r="R1053" s="5" t="n"/>
      <c r="S1053" s="10">
        <f>IFERROR(IF(INDEX('Test catalog'!$L$2:$L$200,MATCH($AB1053,'Test catalog'!$A$2:$A$200,0))="","",INDEX('Test catalog'!$L$2:$L$200,MATCH($AB1053,'Test catalog'!$A$2:$A$200,0))),"")</f>
        <v/>
      </c>
      <c r="T1053" s="10">
        <f>IFERROR(IF(INDEX('Test catalog'!$M$2:$M$200,MATCH($AB1053,'Test catalog'!$A$2:$A$200,0))="","",INDEX('Test catalog'!$M$2:$M$200,MATCH($AB1053,'Test catalog'!$A$2:$A$200,0))),"")</f>
        <v/>
      </c>
      <c r="U1053" s="10">
        <f>IFERROR(IF(INDEX('Test catalog'!$N$2:$N$200,MATCH($AB1053,'Test catalog'!$A$2:$A$200,0))="","",INDEX('Test catalog'!$N$2:$N$200,MATCH($AB1053,'Test catalog'!$A$2:$A$200,0))),"")</f>
        <v/>
      </c>
      <c r="V1053" s="15" t="n"/>
      <c r="W1053" s="5" t="inlineStr">
        <is>
          <t>N</t>
        </is>
      </c>
      <c r="X1053" s="5" t="n"/>
      <c r="Y1053" s="5" t="n"/>
      <c r="Z1053" s="5" t="n"/>
      <c r="AA1053" s="10">
        <f>IFERROR(IF(INDEX('Test catalog'!$O$2:$O$200,MATCH($AB1053,'Test catalog'!$A$2:$A$200,0))="","",INDEX('Test catalog'!$O$2:$O$200,MATCH($AB1053,'Test catalog'!$A$2:$A$200,0))),"")</f>
        <v/>
      </c>
      <c r="AB1053" s="10" t="inlineStr">
        <is>
          <t>FATS</t>
        </is>
      </c>
      <c r="AC1053" s="10" t="inlineStr">
        <is>
          <t>Polysorbate 80 · Specific Tests &lt;401,911,912&gt;</t>
        </is>
      </c>
      <c r="AD1053" s="10" t="n"/>
      <c r="AE1053" s="10" t="n"/>
    </row>
    <row r="1054">
      <c r="A1054" s="10" t="inlineStr">
        <is>
          <t>Polysorbate 80</t>
        </is>
      </c>
      <c r="B1054" s="10" t="inlineStr">
        <is>
          <t>RM</t>
        </is>
      </c>
      <c r="C1054" s="10" t="inlineStr">
        <is>
          <t>Surfactant</t>
        </is>
      </c>
      <c r="D1054" s="10" t="inlineStr">
        <is>
          <t>Viscosity—Capillary Methods</t>
        </is>
      </c>
      <c r="E1054" s="10">
        <f>IF(A1054="","",A1054&amp;"|"&amp;D1054)</f>
        <v/>
      </c>
      <c r="F1054" s="5" t="inlineStr">
        <is>
          <t>Y</t>
        </is>
      </c>
      <c r="G1054" s="5" t="inlineStr">
        <is>
          <t>Other / bench</t>
        </is>
      </c>
      <c r="H1054" s="5" t="inlineStr">
        <is>
          <t>Low</t>
        </is>
      </c>
      <c r="I1054" s="5" t="n">
        <v>1</v>
      </c>
      <c r="J1054" s="5" t="n"/>
      <c r="K1054" s="10">
        <f>IFERROR(IF(INDEX('Test catalog'!$F$2:$F$200,MATCH($AB1054,'Test catalog'!$A$2:$A$200,0))="","",INDEX('Test catalog'!$F$2:$F$200,MATCH($AB1054,'Test catalog'!$A$2:$A$200,0))),"")</f>
        <v/>
      </c>
      <c r="L1054" s="10">
        <f>IFERROR(IF(INDEX('Test catalog'!$G$2:$G$200,MATCH($AB1054,'Test catalog'!$A$2:$A$200,0))="","",INDEX('Test catalog'!$G$2:$G$200,MATCH($AB1054,'Test catalog'!$A$2:$A$200,0))),"")</f>
        <v/>
      </c>
      <c r="M1054" s="10">
        <f>IFERROR(IF(INDEX('Test catalog'!$H$2:$H$200,MATCH($AB1054,'Test catalog'!$A$2:$A$200,0))="","",INDEX('Test catalog'!$H$2:$H$200,MATCH($AB1054,'Test catalog'!$A$2:$A$200,0))),"")</f>
        <v/>
      </c>
      <c r="N1054" s="10">
        <f>IFERROR(IF(INDEX('Test catalog'!$I$2:$I$200,MATCH($AB1054,'Test catalog'!$A$2:$A$200,0))="","",INDEX('Test catalog'!$I$2:$I$200,MATCH($AB1054,'Test catalog'!$A$2:$A$200,0))),"")</f>
        <v/>
      </c>
      <c r="O1054" s="10">
        <f>IFERROR(IF(INDEX('Test catalog'!$J$2:$J$200,MATCH($AB1054,'Test catalog'!$A$2:$A$200,0))="","",INDEX('Test catalog'!$J$2:$J$200,MATCH($AB1054,'Test catalog'!$A$2:$A$200,0))),"")</f>
        <v/>
      </c>
      <c r="P1054" s="14">
        <f>IF(N1054="","",IF(OR(M1054="",O1054=""),N1054,(M1054+4*N1054+O1054)/6))</f>
        <v/>
      </c>
      <c r="Q1054" s="10">
        <f>IFERROR(IF(INDEX('Test catalog'!$K$2:$K$200,MATCH($AB1054,'Test catalog'!$A$2:$A$200,0))="","",INDEX('Test catalog'!$K$2:$K$200,MATCH($AB1054,'Test catalog'!$A$2:$A$200,0))),"")</f>
        <v/>
      </c>
      <c r="R1054" s="5" t="n"/>
      <c r="S1054" s="10">
        <f>IFERROR(IF(INDEX('Test catalog'!$L$2:$L$200,MATCH($AB1054,'Test catalog'!$A$2:$A$200,0))="","",INDEX('Test catalog'!$L$2:$L$200,MATCH($AB1054,'Test catalog'!$A$2:$A$200,0))),"")</f>
        <v/>
      </c>
      <c r="T1054" s="10">
        <f>IFERROR(IF(INDEX('Test catalog'!$M$2:$M$200,MATCH($AB1054,'Test catalog'!$A$2:$A$200,0))="","",INDEX('Test catalog'!$M$2:$M$200,MATCH($AB1054,'Test catalog'!$A$2:$A$200,0))),"")</f>
        <v/>
      </c>
      <c r="U1054" s="10">
        <f>IFERROR(IF(INDEX('Test catalog'!$N$2:$N$200,MATCH($AB1054,'Test catalog'!$A$2:$A$200,0))="","",INDEX('Test catalog'!$N$2:$N$200,MATCH($AB1054,'Test catalog'!$A$2:$A$200,0))),"")</f>
        <v/>
      </c>
      <c r="V1054" s="15" t="n"/>
      <c r="W1054" s="5" t="inlineStr">
        <is>
          <t>N</t>
        </is>
      </c>
      <c r="X1054" s="5" t="n"/>
      <c r="Y1054" s="5" t="n"/>
      <c r="Z1054" s="5" t="n"/>
      <c r="AA1054" s="10">
        <f>IFERROR(IF(INDEX('Test catalog'!$O$2:$O$200,MATCH($AB1054,'Test catalog'!$A$2:$A$200,0))="","",INDEX('Test catalog'!$O$2:$O$200,MATCH($AB1054,'Test catalog'!$A$2:$A$200,0))),"")</f>
        <v/>
      </c>
      <c r="AB1054" s="10" t="inlineStr">
        <is>
          <t>VISC</t>
        </is>
      </c>
      <c r="AC1054" s="10" t="inlineStr">
        <is>
          <t>Polysorbate 80 · Specific Tests &lt;911,912&gt;</t>
        </is>
      </c>
      <c r="AD1054" s="10" t="n"/>
      <c r="AE1054" s="10" t="n"/>
    </row>
    <row r="1055">
      <c r="A1055" s="10" t="inlineStr">
        <is>
          <t>Polysorbate 80</t>
        </is>
      </c>
      <c r="B1055" s="10" t="inlineStr">
        <is>
          <t>RM</t>
        </is>
      </c>
      <c r="C1055" s="10" t="inlineStr">
        <is>
          <t>Surfactant</t>
        </is>
      </c>
      <c r="D1055" s="10" t="inlineStr">
        <is>
          <t>Water Determination, Method I</t>
        </is>
      </c>
      <c r="E1055" s="10">
        <f>IF(A1055="","",A1055&amp;"|"&amp;D1055)</f>
        <v/>
      </c>
      <c r="F1055" s="5" t="inlineStr">
        <is>
          <t>Y</t>
        </is>
      </c>
      <c r="G1055" s="5" t="inlineStr">
        <is>
          <t>KF titrator</t>
        </is>
      </c>
      <c r="H1055" s="5" t="inlineStr">
        <is>
          <t>Low</t>
        </is>
      </c>
      <c r="I1055" s="5" t="n">
        <v>1</v>
      </c>
      <c r="J1055" s="5" t="n"/>
      <c r="K1055" s="10">
        <f>IFERROR(IF(INDEX('Test catalog'!$F$2:$F$200,MATCH($AB1055,'Test catalog'!$A$2:$A$200,0))="","",INDEX('Test catalog'!$F$2:$F$200,MATCH($AB1055,'Test catalog'!$A$2:$A$200,0))),"")</f>
        <v/>
      </c>
      <c r="L1055" s="10">
        <f>IFERROR(IF(INDEX('Test catalog'!$G$2:$G$200,MATCH($AB1055,'Test catalog'!$A$2:$A$200,0))="","",INDEX('Test catalog'!$G$2:$G$200,MATCH($AB1055,'Test catalog'!$A$2:$A$200,0))),"")</f>
        <v/>
      </c>
      <c r="M1055" s="10">
        <f>IFERROR(IF(INDEX('Test catalog'!$H$2:$H$200,MATCH($AB1055,'Test catalog'!$A$2:$A$200,0))="","",INDEX('Test catalog'!$H$2:$H$200,MATCH($AB1055,'Test catalog'!$A$2:$A$200,0))),"")</f>
        <v/>
      </c>
      <c r="N1055" s="10">
        <f>IFERROR(IF(INDEX('Test catalog'!$I$2:$I$200,MATCH($AB1055,'Test catalog'!$A$2:$A$200,0))="","",INDEX('Test catalog'!$I$2:$I$200,MATCH($AB1055,'Test catalog'!$A$2:$A$200,0))),"")</f>
        <v/>
      </c>
      <c r="O1055" s="10">
        <f>IFERROR(IF(INDEX('Test catalog'!$J$2:$J$200,MATCH($AB1055,'Test catalog'!$A$2:$A$200,0))="","",INDEX('Test catalog'!$J$2:$J$200,MATCH($AB1055,'Test catalog'!$A$2:$A$200,0))),"")</f>
        <v/>
      </c>
      <c r="P1055" s="14">
        <f>IF(N1055="","",IF(OR(M1055="",O1055=""),N1055,(M1055+4*N1055+O1055)/6))</f>
        <v/>
      </c>
      <c r="Q1055" s="10">
        <f>IFERROR(IF(INDEX('Test catalog'!$K$2:$K$200,MATCH($AB1055,'Test catalog'!$A$2:$A$200,0))="","",INDEX('Test catalog'!$K$2:$K$200,MATCH($AB1055,'Test catalog'!$A$2:$A$200,0))),"")</f>
        <v/>
      </c>
      <c r="R1055" s="5" t="n"/>
      <c r="S1055" s="10">
        <f>IFERROR(IF(INDEX('Test catalog'!$L$2:$L$200,MATCH($AB1055,'Test catalog'!$A$2:$A$200,0))="","",INDEX('Test catalog'!$L$2:$L$200,MATCH($AB1055,'Test catalog'!$A$2:$A$200,0))),"")</f>
        <v/>
      </c>
      <c r="T1055" s="10">
        <f>IFERROR(IF(INDEX('Test catalog'!$M$2:$M$200,MATCH($AB1055,'Test catalog'!$A$2:$A$200,0))="","",INDEX('Test catalog'!$M$2:$M$200,MATCH($AB1055,'Test catalog'!$A$2:$A$200,0))),"")</f>
        <v/>
      </c>
      <c r="U1055" s="10">
        <f>IFERROR(IF(INDEX('Test catalog'!$N$2:$N$200,MATCH($AB1055,'Test catalog'!$A$2:$A$200,0))="","",INDEX('Test catalog'!$N$2:$N$200,MATCH($AB1055,'Test catalog'!$A$2:$A$200,0))),"")</f>
        <v/>
      </c>
      <c r="V1055" s="15" t="n"/>
      <c r="W1055" s="5" t="inlineStr">
        <is>
          <t>N</t>
        </is>
      </c>
      <c r="X1055" s="5" t="n"/>
      <c r="Y1055" s="5" t="n"/>
      <c r="Z1055" s="5" t="n"/>
      <c r="AA1055" s="10">
        <f>IFERROR(IF(INDEX('Test catalog'!$O$2:$O$200,MATCH($AB1055,'Test catalog'!$A$2:$A$200,0))="","",INDEX('Test catalog'!$O$2:$O$200,MATCH($AB1055,'Test catalog'!$A$2:$A$200,0))),"")</f>
        <v/>
      </c>
      <c r="AB1055" s="10" t="inlineStr">
        <is>
          <t>KF</t>
        </is>
      </c>
      <c r="AC1055" s="10" t="inlineStr">
        <is>
          <t>Polysorbate 80 · Specific Tests &lt;921&gt;</t>
        </is>
      </c>
      <c r="AD1055" s="10" t="n"/>
      <c r="AE1055" s="10" t="n"/>
    </row>
    <row r="1056">
      <c r="A1056" s="10" t="inlineStr">
        <is>
          <t>Sodium Lauryl Sulfate</t>
        </is>
      </c>
      <c r="B1056" s="10" t="inlineStr">
        <is>
          <t>RM</t>
        </is>
      </c>
      <c r="C1056" s="10" t="inlineStr">
        <is>
          <t>Surfactant</t>
        </is>
      </c>
      <c r="D1056" s="10" t="inlineStr">
        <is>
          <t>Appearance / description and solubility</t>
        </is>
      </c>
      <c r="E1056" s="10">
        <f>IF(A1056="","",A1056&amp;"|"&amp;D1056)</f>
        <v/>
      </c>
      <c r="F1056" s="5" t="inlineStr">
        <is>
          <t>Y</t>
        </is>
      </c>
      <c r="G1056" s="5" t="inlineStr">
        <is>
          <t>Other / bench</t>
        </is>
      </c>
      <c r="H1056" s="5" t="inlineStr">
        <is>
          <t>Low</t>
        </is>
      </c>
      <c r="I1056" s="5" t="n">
        <v>1</v>
      </c>
      <c r="J1056" s="5" t="n"/>
      <c r="K1056" s="10">
        <f>IFERROR(IF(INDEX('Test catalog'!$F$2:$F$200,MATCH($AB1056,'Test catalog'!$A$2:$A$200,0))="","",INDEX('Test catalog'!$F$2:$F$200,MATCH($AB1056,'Test catalog'!$A$2:$A$200,0))),"")</f>
        <v/>
      </c>
      <c r="L1056" s="10">
        <f>IFERROR(IF(INDEX('Test catalog'!$G$2:$G$200,MATCH($AB1056,'Test catalog'!$A$2:$A$200,0))="","",INDEX('Test catalog'!$G$2:$G$200,MATCH($AB1056,'Test catalog'!$A$2:$A$200,0))),"")</f>
        <v/>
      </c>
      <c r="M1056" s="10">
        <f>IFERROR(IF(INDEX('Test catalog'!$H$2:$H$200,MATCH($AB1056,'Test catalog'!$A$2:$A$200,0))="","",INDEX('Test catalog'!$H$2:$H$200,MATCH($AB1056,'Test catalog'!$A$2:$A$200,0))),"")</f>
        <v/>
      </c>
      <c r="N1056" s="10">
        <f>IFERROR(IF(INDEX('Test catalog'!$I$2:$I$200,MATCH($AB1056,'Test catalog'!$A$2:$A$200,0))="","",INDEX('Test catalog'!$I$2:$I$200,MATCH($AB1056,'Test catalog'!$A$2:$A$200,0))),"")</f>
        <v/>
      </c>
      <c r="O1056" s="10">
        <f>IFERROR(IF(INDEX('Test catalog'!$J$2:$J$200,MATCH($AB1056,'Test catalog'!$A$2:$A$200,0))="","",INDEX('Test catalog'!$J$2:$J$200,MATCH($AB1056,'Test catalog'!$A$2:$A$200,0))),"")</f>
        <v/>
      </c>
      <c r="P1056" s="14">
        <f>IF(N1056="","",IF(OR(M1056="",O1056=""),N1056,(M1056+4*N1056+O1056)/6))</f>
        <v/>
      </c>
      <c r="Q1056" s="10">
        <f>IFERROR(IF(INDEX('Test catalog'!$K$2:$K$200,MATCH($AB1056,'Test catalog'!$A$2:$A$200,0))="","",INDEX('Test catalog'!$K$2:$K$200,MATCH($AB1056,'Test catalog'!$A$2:$A$200,0))),"")</f>
        <v/>
      </c>
      <c r="R1056" s="5" t="n"/>
      <c r="S1056" s="10">
        <f>IFERROR(IF(INDEX('Test catalog'!$L$2:$L$200,MATCH($AB1056,'Test catalog'!$A$2:$A$200,0))="","",INDEX('Test catalog'!$L$2:$L$200,MATCH($AB1056,'Test catalog'!$A$2:$A$200,0))),"")</f>
        <v/>
      </c>
      <c r="T1056" s="10">
        <f>IFERROR(IF(INDEX('Test catalog'!$M$2:$M$200,MATCH($AB1056,'Test catalog'!$A$2:$A$200,0))="","",INDEX('Test catalog'!$M$2:$M$200,MATCH($AB1056,'Test catalog'!$A$2:$A$200,0))),"")</f>
        <v/>
      </c>
      <c r="U1056" s="10">
        <f>IFERROR(IF(INDEX('Test catalog'!$N$2:$N$200,MATCH($AB1056,'Test catalog'!$A$2:$A$200,0))="","",INDEX('Test catalog'!$N$2:$N$200,MATCH($AB1056,'Test catalog'!$A$2:$A$200,0))),"")</f>
        <v/>
      </c>
      <c r="V1056" s="15" t="n"/>
      <c r="W1056" s="5" t="inlineStr">
        <is>
          <t>N</t>
        </is>
      </c>
      <c r="X1056" s="5" t="n"/>
      <c r="Y1056" s="5" t="n"/>
      <c r="Z1056" s="5" t="n"/>
      <c r="AA1056" s="10">
        <f>IFERROR(IF(INDEX('Test catalog'!$O$2:$O$200,MATCH($AB1056,'Test catalog'!$A$2:$A$200,0))="","",INDEX('Test catalog'!$O$2:$O$200,MATCH($AB1056,'Test catalog'!$A$2:$A$200,0))),"")</f>
        <v/>
      </c>
      <c r="AB1056" s="10" t="inlineStr">
        <is>
          <t>APPEAR</t>
        </is>
      </c>
      <c r="AC1056" s="10" t="inlineStr">
        <is>
          <t>Lab practice (not a USP test)</t>
        </is>
      </c>
      <c r="AD1056" s="10" t="n"/>
      <c r="AE1056" s="10" t="n"/>
    </row>
    <row r="1057">
      <c r="A1057" s="10" t="inlineStr">
        <is>
          <t>Sodium Lauryl Sulfate</t>
        </is>
      </c>
      <c r="B1057" s="10" t="inlineStr">
        <is>
          <t>RM</t>
        </is>
      </c>
      <c r="C1057" s="10" t="inlineStr">
        <is>
          <t>Surfactant</t>
        </is>
      </c>
      <c r="D1057" s="10" t="inlineStr">
        <is>
          <t>ID A - IR spectrum</t>
        </is>
      </c>
      <c r="E1057" s="10">
        <f>IF(A1057="","",A1057&amp;"|"&amp;D1057)</f>
        <v/>
      </c>
      <c r="F1057" s="5" t="inlineStr">
        <is>
          <t>Y</t>
        </is>
      </c>
      <c r="G1057" s="5" t="inlineStr">
        <is>
          <t>Other / bench</t>
        </is>
      </c>
      <c r="H1057" s="5" t="inlineStr">
        <is>
          <t>Low</t>
        </is>
      </c>
      <c r="I1057" s="5" t="n">
        <v>1</v>
      </c>
      <c r="J1057" s="5" t="n"/>
      <c r="K1057" s="10">
        <f>IFERROR(IF(INDEX('Test catalog'!$F$2:$F$200,MATCH($AB1057,'Test catalog'!$A$2:$A$200,0))="","",INDEX('Test catalog'!$F$2:$F$200,MATCH($AB1057,'Test catalog'!$A$2:$A$200,0))),"")</f>
        <v/>
      </c>
      <c r="L1057" s="10">
        <f>IFERROR(IF(INDEX('Test catalog'!$G$2:$G$200,MATCH($AB1057,'Test catalog'!$A$2:$A$200,0))="","",INDEX('Test catalog'!$G$2:$G$200,MATCH($AB1057,'Test catalog'!$A$2:$A$200,0))),"")</f>
        <v/>
      </c>
      <c r="M1057" s="10">
        <f>IFERROR(IF(INDEX('Test catalog'!$H$2:$H$200,MATCH($AB1057,'Test catalog'!$A$2:$A$200,0))="","",INDEX('Test catalog'!$H$2:$H$200,MATCH($AB1057,'Test catalog'!$A$2:$A$200,0))),"")</f>
        <v/>
      </c>
      <c r="N1057" s="10">
        <f>IFERROR(IF(INDEX('Test catalog'!$I$2:$I$200,MATCH($AB1057,'Test catalog'!$A$2:$A$200,0))="","",INDEX('Test catalog'!$I$2:$I$200,MATCH($AB1057,'Test catalog'!$A$2:$A$200,0))),"")</f>
        <v/>
      </c>
      <c r="O1057" s="10">
        <f>IFERROR(IF(INDEX('Test catalog'!$J$2:$J$200,MATCH($AB1057,'Test catalog'!$A$2:$A$200,0))="","",INDEX('Test catalog'!$J$2:$J$200,MATCH($AB1057,'Test catalog'!$A$2:$A$200,0))),"")</f>
        <v/>
      </c>
      <c r="P1057" s="14">
        <f>IF(N1057="","",IF(OR(M1057="",O1057=""),N1057,(M1057+4*N1057+O1057)/6))</f>
        <v/>
      </c>
      <c r="Q1057" s="10">
        <f>IFERROR(IF(INDEX('Test catalog'!$K$2:$K$200,MATCH($AB1057,'Test catalog'!$A$2:$A$200,0))="","",INDEX('Test catalog'!$K$2:$K$200,MATCH($AB1057,'Test catalog'!$A$2:$A$200,0))),"")</f>
        <v/>
      </c>
      <c r="R1057" s="5" t="n"/>
      <c r="S1057" s="10">
        <f>IFERROR(IF(INDEX('Test catalog'!$L$2:$L$200,MATCH($AB1057,'Test catalog'!$A$2:$A$200,0))="","",INDEX('Test catalog'!$L$2:$L$200,MATCH($AB1057,'Test catalog'!$A$2:$A$200,0))),"")</f>
        <v/>
      </c>
      <c r="T1057" s="10">
        <f>IFERROR(IF(INDEX('Test catalog'!$M$2:$M$200,MATCH($AB1057,'Test catalog'!$A$2:$A$200,0))="","",INDEX('Test catalog'!$M$2:$M$200,MATCH($AB1057,'Test catalog'!$A$2:$A$200,0))),"")</f>
        <v/>
      </c>
      <c r="U1057" s="10">
        <f>IFERROR(IF(INDEX('Test catalog'!$N$2:$N$200,MATCH($AB1057,'Test catalog'!$A$2:$A$200,0))="","",INDEX('Test catalog'!$N$2:$N$200,MATCH($AB1057,'Test catalog'!$A$2:$A$200,0))),"")</f>
        <v/>
      </c>
      <c r="V1057" s="15" t="n"/>
      <c r="W1057" s="5" t="inlineStr">
        <is>
          <t>N</t>
        </is>
      </c>
      <c r="X1057" s="5" t="n"/>
      <c r="Y1057" s="5" t="n"/>
      <c r="Z1057" s="5" t="n"/>
      <c r="AA1057" s="10">
        <f>IFERROR(IF(INDEX('Test catalog'!$O$2:$O$200,MATCH($AB1057,'Test catalog'!$A$2:$A$200,0))="","",INDEX('Test catalog'!$O$2:$O$200,MATCH($AB1057,'Test catalog'!$A$2:$A$200,0))),"")</f>
        <v/>
      </c>
      <c r="AB1057" s="10" t="inlineStr">
        <is>
          <t>ID_IR</t>
        </is>
      </c>
      <c r="AC1057" s="10" t="inlineStr">
        <is>
          <t>Sodium Lauryl Sulfate · Identification &lt;197&gt;</t>
        </is>
      </c>
      <c r="AD1057" s="10" t="n"/>
      <c r="AE1057" s="10" t="n"/>
    </row>
    <row r="1058">
      <c r="A1058" s="10" t="inlineStr">
        <is>
          <t>Sodium Lauryl Sulfate</t>
        </is>
      </c>
      <c r="B1058" s="10" t="inlineStr">
        <is>
          <t>RM</t>
        </is>
      </c>
      <c r="C1058" s="10" t="inlineStr">
        <is>
          <t>Surfactant</t>
        </is>
      </c>
      <c r="D1058" s="10" t="inlineStr">
        <is>
          <t>ID B - chemical reaction</t>
        </is>
      </c>
      <c r="E1058" s="10">
        <f>IF(A1058="","",A1058&amp;"|"&amp;D1058)</f>
        <v/>
      </c>
      <c r="F1058" s="5" t="inlineStr">
        <is>
          <t>Y</t>
        </is>
      </c>
      <c r="G1058" s="5" t="inlineStr">
        <is>
          <t>Other / bench</t>
        </is>
      </c>
      <c r="H1058" s="5" t="inlineStr">
        <is>
          <t>Low</t>
        </is>
      </c>
      <c r="I1058" s="5" t="n">
        <v>1</v>
      </c>
      <c r="J1058" s="5" t="n"/>
      <c r="K1058" s="10">
        <f>IFERROR(IF(INDEX('Test catalog'!$F$2:$F$200,MATCH($AB1058,'Test catalog'!$A$2:$A$200,0))="","",INDEX('Test catalog'!$F$2:$F$200,MATCH($AB1058,'Test catalog'!$A$2:$A$200,0))),"")</f>
        <v/>
      </c>
      <c r="L1058" s="10">
        <f>IFERROR(IF(INDEX('Test catalog'!$G$2:$G$200,MATCH($AB1058,'Test catalog'!$A$2:$A$200,0))="","",INDEX('Test catalog'!$G$2:$G$200,MATCH($AB1058,'Test catalog'!$A$2:$A$200,0))),"")</f>
        <v/>
      </c>
      <c r="M1058" s="10">
        <f>IFERROR(IF(INDEX('Test catalog'!$H$2:$H$200,MATCH($AB1058,'Test catalog'!$A$2:$A$200,0))="","",INDEX('Test catalog'!$H$2:$H$200,MATCH($AB1058,'Test catalog'!$A$2:$A$200,0))),"")</f>
        <v/>
      </c>
      <c r="N1058" s="10">
        <f>IFERROR(IF(INDEX('Test catalog'!$I$2:$I$200,MATCH($AB1058,'Test catalog'!$A$2:$A$200,0))="","",INDEX('Test catalog'!$I$2:$I$200,MATCH($AB1058,'Test catalog'!$A$2:$A$200,0))),"")</f>
        <v/>
      </c>
      <c r="O1058" s="10">
        <f>IFERROR(IF(INDEX('Test catalog'!$J$2:$J$200,MATCH($AB1058,'Test catalog'!$A$2:$A$200,0))="","",INDEX('Test catalog'!$J$2:$J$200,MATCH($AB1058,'Test catalog'!$A$2:$A$200,0))),"")</f>
        <v/>
      </c>
      <c r="P1058" s="14">
        <f>IF(N1058="","",IF(OR(M1058="",O1058=""),N1058,(M1058+4*N1058+O1058)/6))</f>
        <v/>
      </c>
      <c r="Q1058" s="10">
        <f>IFERROR(IF(INDEX('Test catalog'!$K$2:$K$200,MATCH($AB1058,'Test catalog'!$A$2:$A$200,0))="","",INDEX('Test catalog'!$K$2:$K$200,MATCH($AB1058,'Test catalog'!$A$2:$A$200,0))),"")</f>
        <v/>
      </c>
      <c r="R1058" s="5" t="n"/>
      <c r="S1058" s="10">
        <f>IFERROR(IF(INDEX('Test catalog'!$L$2:$L$200,MATCH($AB1058,'Test catalog'!$A$2:$A$200,0))="","",INDEX('Test catalog'!$L$2:$L$200,MATCH($AB1058,'Test catalog'!$A$2:$A$200,0))),"")</f>
        <v/>
      </c>
      <c r="T1058" s="10">
        <f>IFERROR(IF(INDEX('Test catalog'!$M$2:$M$200,MATCH($AB1058,'Test catalog'!$A$2:$A$200,0))="","",INDEX('Test catalog'!$M$2:$M$200,MATCH($AB1058,'Test catalog'!$A$2:$A$200,0))),"")</f>
        <v/>
      </c>
      <c r="U1058" s="10">
        <f>IFERROR(IF(INDEX('Test catalog'!$N$2:$N$200,MATCH($AB1058,'Test catalog'!$A$2:$A$200,0))="","",INDEX('Test catalog'!$N$2:$N$200,MATCH($AB1058,'Test catalog'!$A$2:$A$200,0))),"")</f>
        <v/>
      </c>
      <c r="V1058" s="15" t="n"/>
      <c r="W1058" s="5" t="inlineStr">
        <is>
          <t>N</t>
        </is>
      </c>
      <c r="X1058" s="5" t="n"/>
      <c r="Y1058" s="5" t="n"/>
      <c r="Z1058" s="5" t="n"/>
      <c r="AA1058" s="10">
        <f>IFERROR(IF(INDEX('Test catalog'!$O$2:$O$200,MATCH($AB1058,'Test catalog'!$A$2:$A$200,0))="","",INDEX('Test catalog'!$O$2:$O$200,MATCH($AB1058,'Test catalog'!$A$2:$A$200,0))),"")</f>
        <v/>
      </c>
      <c r="AB1058" s="10" t="inlineStr">
        <is>
          <t>ID_CHEM</t>
        </is>
      </c>
      <c r="AC1058" s="10" t="inlineStr">
        <is>
          <t>Sodium Lauryl Sulfate · Identification</t>
        </is>
      </c>
      <c r="AD1058" s="10" t="n"/>
      <c r="AE1058" s="10" t="n"/>
    </row>
    <row r="1059">
      <c r="A1059" s="10" t="inlineStr">
        <is>
          <t>Sodium Lauryl Sulfate</t>
        </is>
      </c>
      <c r="B1059" s="10" t="inlineStr">
        <is>
          <t>RM</t>
        </is>
      </c>
      <c r="C1059" s="10" t="inlineStr">
        <is>
          <t>Surfactant</t>
        </is>
      </c>
      <c r="D1059" s="10" t="inlineStr">
        <is>
          <t>ID C - chemical reaction</t>
        </is>
      </c>
      <c r="E1059" s="10">
        <f>IF(A1059="","",A1059&amp;"|"&amp;D1059)</f>
        <v/>
      </c>
      <c r="F1059" s="5" t="inlineStr">
        <is>
          <t>Y</t>
        </is>
      </c>
      <c r="G1059" s="5" t="inlineStr">
        <is>
          <t>Other / bench</t>
        </is>
      </c>
      <c r="H1059" s="5" t="inlineStr">
        <is>
          <t>Low</t>
        </is>
      </c>
      <c r="I1059" s="5" t="n">
        <v>1</v>
      </c>
      <c r="J1059" s="5" t="n"/>
      <c r="K1059" s="10">
        <f>IFERROR(IF(INDEX('Test catalog'!$F$2:$F$200,MATCH($AB1059,'Test catalog'!$A$2:$A$200,0))="","",INDEX('Test catalog'!$F$2:$F$200,MATCH($AB1059,'Test catalog'!$A$2:$A$200,0))),"")</f>
        <v/>
      </c>
      <c r="L1059" s="10">
        <f>IFERROR(IF(INDEX('Test catalog'!$G$2:$G$200,MATCH($AB1059,'Test catalog'!$A$2:$A$200,0))="","",INDEX('Test catalog'!$G$2:$G$200,MATCH($AB1059,'Test catalog'!$A$2:$A$200,0))),"")</f>
        <v/>
      </c>
      <c r="M1059" s="10">
        <f>IFERROR(IF(INDEX('Test catalog'!$H$2:$H$200,MATCH($AB1059,'Test catalog'!$A$2:$A$200,0))="","",INDEX('Test catalog'!$H$2:$H$200,MATCH($AB1059,'Test catalog'!$A$2:$A$200,0))),"")</f>
        <v/>
      </c>
      <c r="N1059" s="10">
        <f>IFERROR(IF(INDEX('Test catalog'!$I$2:$I$200,MATCH($AB1059,'Test catalog'!$A$2:$A$200,0))="","",INDEX('Test catalog'!$I$2:$I$200,MATCH($AB1059,'Test catalog'!$A$2:$A$200,0))),"")</f>
        <v/>
      </c>
      <c r="O1059" s="10">
        <f>IFERROR(IF(INDEX('Test catalog'!$J$2:$J$200,MATCH($AB1059,'Test catalog'!$A$2:$A$200,0))="","",INDEX('Test catalog'!$J$2:$J$200,MATCH($AB1059,'Test catalog'!$A$2:$A$200,0))),"")</f>
        <v/>
      </c>
      <c r="P1059" s="14">
        <f>IF(N1059="","",IF(OR(M1059="",O1059=""),N1059,(M1059+4*N1059+O1059)/6))</f>
        <v/>
      </c>
      <c r="Q1059" s="10">
        <f>IFERROR(IF(INDEX('Test catalog'!$K$2:$K$200,MATCH($AB1059,'Test catalog'!$A$2:$A$200,0))="","",INDEX('Test catalog'!$K$2:$K$200,MATCH($AB1059,'Test catalog'!$A$2:$A$200,0))),"")</f>
        <v/>
      </c>
      <c r="R1059" s="5" t="n"/>
      <c r="S1059" s="10">
        <f>IFERROR(IF(INDEX('Test catalog'!$L$2:$L$200,MATCH($AB1059,'Test catalog'!$A$2:$A$200,0))="","",INDEX('Test catalog'!$L$2:$L$200,MATCH($AB1059,'Test catalog'!$A$2:$A$200,0))),"")</f>
        <v/>
      </c>
      <c r="T1059" s="10">
        <f>IFERROR(IF(INDEX('Test catalog'!$M$2:$M$200,MATCH($AB1059,'Test catalog'!$A$2:$A$200,0))="","",INDEX('Test catalog'!$M$2:$M$200,MATCH($AB1059,'Test catalog'!$A$2:$A$200,0))),"")</f>
        <v/>
      </c>
      <c r="U1059" s="10">
        <f>IFERROR(IF(INDEX('Test catalog'!$N$2:$N$200,MATCH($AB1059,'Test catalog'!$A$2:$A$200,0))="","",INDEX('Test catalog'!$N$2:$N$200,MATCH($AB1059,'Test catalog'!$A$2:$A$200,0))),"")</f>
        <v/>
      </c>
      <c r="V1059" s="15" t="n"/>
      <c r="W1059" s="5" t="inlineStr">
        <is>
          <t>N</t>
        </is>
      </c>
      <c r="X1059" s="5" t="n"/>
      <c r="Y1059" s="5" t="n"/>
      <c r="Z1059" s="5" t="n"/>
      <c r="AA1059" s="10">
        <f>IFERROR(IF(INDEX('Test catalog'!$O$2:$O$200,MATCH($AB1059,'Test catalog'!$A$2:$A$200,0))="","",INDEX('Test catalog'!$O$2:$O$200,MATCH($AB1059,'Test catalog'!$A$2:$A$200,0))),"")</f>
        <v/>
      </c>
      <c r="AB1059" s="10" t="inlineStr">
        <is>
          <t>ID_CHEM</t>
        </is>
      </c>
      <c r="AC1059" s="10" t="inlineStr">
        <is>
          <t>Sodium Lauryl Sulfate · Identification</t>
        </is>
      </c>
      <c r="AD1059" s="10" t="n"/>
      <c r="AE1059" s="10" t="n"/>
    </row>
    <row r="1060">
      <c r="A1060" s="10" t="inlineStr">
        <is>
          <t>Sodium Lauryl Sulfate</t>
        </is>
      </c>
      <c r="B1060" s="10" t="inlineStr">
        <is>
          <t>RM</t>
        </is>
      </c>
      <c r="C1060" s="10" t="inlineStr">
        <is>
          <t>Surfactant</t>
        </is>
      </c>
      <c r="D1060" s="10" t="inlineStr">
        <is>
          <t>ID E - chemical reaction</t>
        </is>
      </c>
      <c r="E1060" s="10">
        <f>IF(A1060="","",A1060&amp;"|"&amp;D1060)</f>
        <v/>
      </c>
      <c r="F1060" s="5" t="inlineStr">
        <is>
          <t>Y</t>
        </is>
      </c>
      <c r="G1060" s="5" t="inlineStr">
        <is>
          <t>Other / bench</t>
        </is>
      </c>
      <c r="H1060" s="5" t="inlineStr">
        <is>
          <t>Low</t>
        </is>
      </c>
      <c r="I1060" s="5" t="n">
        <v>1</v>
      </c>
      <c r="J1060" s="5" t="n"/>
      <c r="K1060" s="10">
        <f>IFERROR(IF(INDEX('Test catalog'!$F$2:$F$200,MATCH($AB1060,'Test catalog'!$A$2:$A$200,0))="","",INDEX('Test catalog'!$F$2:$F$200,MATCH($AB1060,'Test catalog'!$A$2:$A$200,0))),"")</f>
        <v/>
      </c>
      <c r="L1060" s="10">
        <f>IFERROR(IF(INDEX('Test catalog'!$G$2:$G$200,MATCH($AB1060,'Test catalog'!$A$2:$A$200,0))="","",INDEX('Test catalog'!$G$2:$G$200,MATCH($AB1060,'Test catalog'!$A$2:$A$200,0))),"")</f>
        <v/>
      </c>
      <c r="M1060" s="10">
        <f>IFERROR(IF(INDEX('Test catalog'!$H$2:$H$200,MATCH($AB1060,'Test catalog'!$A$2:$A$200,0))="","",INDEX('Test catalog'!$H$2:$H$200,MATCH($AB1060,'Test catalog'!$A$2:$A$200,0))),"")</f>
        <v/>
      </c>
      <c r="N1060" s="10">
        <f>IFERROR(IF(INDEX('Test catalog'!$I$2:$I$200,MATCH($AB1060,'Test catalog'!$A$2:$A$200,0))="","",INDEX('Test catalog'!$I$2:$I$200,MATCH($AB1060,'Test catalog'!$A$2:$A$200,0))),"")</f>
        <v/>
      </c>
      <c r="O1060" s="10">
        <f>IFERROR(IF(INDEX('Test catalog'!$J$2:$J$200,MATCH($AB1060,'Test catalog'!$A$2:$A$200,0))="","",INDEX('Test catalog'!$J$2:$J$200,MATCH($AB1060,'Test catalog'!$A$2:$A$200,0))),"")</f>
        <v/>
      </c>
      <c r="P1060" s="14">
        <f>IF(N1060="","",IF(OR(M1060="",O1060=""),N1060,(M1060+4*N1060+O1060)/6))</f>
        <v/>
      </c>
      <c r="Q1060" s="10">
        <f>IFERROR(IF(INDEX('Test catalog'!$K$2:$K$200,MATCH($AB1060,'Test catalog'!$A$2:$A$200,0))="","",INDEX('Test catalog'!$K$2:$K$200,MATCH($AB1060,'Test catalog'!$A$2:$A$200,0))),"")</f>
        <v/>
      </c>
      <c r="R1060" s="5" t="n"/>
      <c r="S1060" s="10">
        <f>IFERROR(IF(INDEX('Test catalog'!$L$2:$L$200,MATCH($AB1060,'Test catalog'!$A$2:$A$200,0))="","",INDEX('Test catalog'!$L$2:$L$200,MATCH($AB1060,'Test catalog'!$A$2:$A$200,0))),"")</f>
        <v/>
      </c>
      <c r="T1060" s="10">
        <f>IFERROR(IF(INDEX('Test catalog'!$M$2:$M$200,MATCH($AB1060,'Test catalog'!$A$2:$A$200,0))="","",INDEX('Test catalog'!$M$2:$M$200,MATCH($AB1060,'Test catalog'!$A$2:$A$200,0))),"")</f>
        <v/>
      </c>
      <c r="U1060" s="10">
        <f>IFERROR(IF(INDEX('Test catalog'!$N$2:$N$200,MATCH($AB1060,'Test catalog'!$A$2:$A$200,0))="","",INDEX('Test catalog'!$N$2:$N$200,MATCH($AB1060,'Test catalog'!$A$2:$A$200,0))),"")</f>
        <v/>
      </c>
      <c r="V1060" s="15" t="n"/>
      <c r="W1060" s="5" t="inlineStr">
        <is>
          <t>N</t>
        </is>
      </c>
      <c r="X1060" s="5" t="n"/>
      <c r="Y1060" s="5" t="n"/>
      <c r="Z1060" s="5" t="n"/>
      <c r="AA1060" s="10">
        <f>IFERROR(IF(INDEX('Test catalog'!$O$2:$O$200,MATCH($AB1060,'Test catalog'!$A$2:$A$200,0))="","",INDEX('Test catalog'!$O$2:$O$200,MATCH($AB1060,'Test catalog'!$A$2:$A$200,0))),"")</f>
        <v/>
      </c>
      <c r="AB1060" s="10" t="inlineStr">
        <is>
          <t>ID_CHEM</t>
        </is>
      </c>
      <c r="AC1060" s="10" t="inlineStr">
        <is>
          <t>Sodium Lauryl Sulfate · Identification</t>
        </is>
      </c>
      <c r="AD1060" s="10" t="n"/>
      <c r="AE1060" s="10" t="n"/>
    </row>
    <row r="1061">
      <c r="A1061" s="10" t="inlineStr">
        <is>
          <t>Sodium Lauryl Sulfate</t>
        </is>
      </c>
      <c r="B1061" s="10" t="inlineStr">
        <is>
          <t>RM</t>
        </is>
      </c>
      <c r="C1061" s="10" t="inlineStr">
        <is>
          <t>Surfactant</t>
        </is>
      </c>
      <c r="D1061" s="10" t="inlineStr">
        <is>
          <t>Content of Sodium Alkyl Sulfates</t>
        </is>
      </c>
      <c r="E1061" s="10">
        <f>IF(A1061="","",A1061&amp;"|"&amp;D1061)</f>
        <v/>
      </c>
      <c r="F1061" s="5" t="inlineStr">
        <is>
          <t>Y</t>
        </is>
      </c>
      <c r="G1061" s="5" t="inlineStr">
        <is>
          <t>Other / bench</t>
        </is>
      </c>
      <c r="H1061" s="5" t="inlineStr">
        <is>
          <t>Low</t>
        </is>
      </c>
      <c r="I1061" s="5" t="n">
        <v>1</v>
      </c>
      <c r="J1061" s="5" t="n"/>
      <c r="K1061" s="10">
        <f>IFERROR(IF(INDEX('Test catalog'!$F$2:$F$200,MATCH($AB1061,'Test catalog'!$A$2:$A$200,0))="","",INDEX('Test catalog'!$F$2:$F$200,MATCH($AB1061,'Test catalog'!$A$2:$A$200,0))),"")</f>
        <v/>
      </c>
      <c r="L1061" s="10">
        <f>IFERROR(IF(INDEX('Test catalog'!$G$2:$G$200,MATCH($AB1061,'Test catalog'!$A$2:$A$200,0))="","",INDEX('Test catalog'!$G$2:$G$200,MATCH($AB1061,'Test catalog'!$A$2:$A$200,0))),"")</f>
        <v/>
      </c>
      <c r="M1061" s="10">
        <f>IFERROR(IF(INDEX('Test catalog'!$H$2:$H$200,MATCH($AB1061,'Test catalog'!$A$2:$A$200,0))="","",INDEX('Test catalog'!$H$2:$H$200,MATCH($AB1061,'Test catalog'!$A$2:$A$200,0))),"")</f>
        <v/>
      </c>
      <c r="N1061" s="10">
        <f>IFERROR(IF(INDEX('Test catalog'!$I$2:$I$200,MATCH($AB1061,'Test catalog'!$A$2:$A$200,0))="","",INDEX('Test catalog'!$I$2:$I$200,MATCH($AB1061,'Test catalog'!$A$2:$A$200,0))),"")</f>
        <v/>
      </c>
      <c r="O1061" s="10">
        <f>IFERROR(IF(INDEX('Test catalog'!$J$2:$J$200,MATCH($AB1061,'Test catalog'!$A$2:$A$200,0))="","",INDEX('Test catalog'!$J$2:$J$200,MATCH($AB1061,'Test catalog'!$A$2:$A$200,0))),"")</f>
        <v/>
      </c>
      <c r="P1061" s="14">
        <f>IF(N1061="","",IF(OR(M1061="",O1061=""),N1061,(M1061+4*N1061+O1061)/6))</f>
        <v/>
      </c>
      <c r="Q1061" s="10">
        <f>IFERROR(IF(INDEX('Test catalog'!$K$2:$K$200,MATCH($AB1061,'Test catalog'!$A$2:$A$200,0))="","",INDEX('Test catalog'!$K$2:$K$200,MATCH($AB1061,'Test catalog'!$A$2:$A$200,0))),"")</f>
        <v/>
      </c>
      <c r="R1061" s="5" t="n"/>
      <c r="S1061" s="10">
        <f>IFERROR(IF(INDEX('Test catalog'!$L$2:$L$200,MATCH($AB1061,'Test catalog'!$A$2:$A$200,0))="","",INDEX('Test catalog'!$L$2:$L$200,MATCH($AB1061,'Test catalog'!$A$2:$A$200,0))),"")</f>
        <v/>
      </c>
      <c r="T1061" s="10">
        <f>IFERROR(IF(INDEX('Test catalog'!$M$2:$M$200,MATCH($AB1061,'Test catalog'!$A$2:$A$200,0))="","",INDEX('Test catalog'!$M$2:$M$200,MATCH($AB1061,'Test catalog'!$A$2:$A$200,0))),"")</f>
        <v/>
      </c>
      <c r="U1061" s="10">
        <f>IFERROR(IF(INDEX('Test catalog'!$N$2:$N$200,MATCH($AB1061,'Test catalog'!$A$2:$A$200,0))="","",INDEX('Test catalog'!$N$2:$N$200,MATCH($AB1061,'Test catalog'!$A$2:$A$200,0))),"")</f>
        <v/>
      </c>
      <c r="V1061" s="15" t="n"/>
      <c r="W1061" s="5" t="inlineStr">
        <is>
          <t>N</t>
        </is>
      </c>
      <c r="X1061" s="5" t="n"/>
      <c r="Y1061" s="5" t="n"/>
      <c r="Z1061" s="5" t="n"/>
      <c r="AA1061" s="10">
        <f>IFERROR(IF(INDEX('Test catalog'!$O$2:$O$200,MATCH($AB1061,'Test catalog'!$A$2:$A$200,0))="","",INDEX('Test catalog'!$O$2:$O$200,MATCH($AB1061,'Test catalog'!$A$2:$A$200,0))),"")</f>
        <v/>
      </c>
      <c r="AB1061" s="10" t="inlineStr">
        <is>
          <t>TITR</t>
        </is>
      </c>
      <c r="AC1061" s="10" t="inlineStr">
        <is>
          <t>Sodium Lauryl Sulfate · Assay</t>
        </is>
      </c>
      <c r="AD1061" s="10" t="n"/>
      <c r="AE1061" s="10" t="n"/>
    </row>
    <row r="1062">
      <c r="A1062" s="10" t="inlineStr">
        <is>
          <t>Sodium Lauryl Sulfate</t>
        </is>
      </c>
      <c r="B1062" s="10" t="inlineStr">
        <is>
          <t>RM</t>
        </is>
      </c>
      <c r="C1062" s="10" t="inlineStr">
        <is>
          <t>Surfactant</t>
        </is>
      </c>
      <c r="D1062" s="10" t="inlineStr">
        <is>
          <t>Sodium Chloride</t>
        </is>
      </c>
      <c r="E1062" s="10">
        <f>IF(A1062="","",A1062&amp;"|"&amp;D1062)</f>
        <v/>
      </c>
      <c r="F1062" s="5" t="inlineStr">
        <is>
          <t>Y</t>
        </is>
      </c>
      <c r="G1062" s="5" t="inlineStr">
        <is>
          <t>Other / bench</t>
        </is>
      </c>
      <c r="H1062" s="5" t="inlineStr">
        <is>
          <t>Low</t>
        </is>
      </c>
      <c r="I1062" s="5" t="n">
        <v>1</v>
      </c>
      <c r="J1062" s="5" t="n"/>
      <c r="K1062" s="10">
        <f>IFERROR(IF(INDEX('Test catalog'!$F$2:$F$200,MATCH($AB1062,'Test catalog'!$A$2:$A$200,0))="","",INDEX('Test catalog'!$F$2:$F$200,MATCH($AB1062,'Test catalog'!$A$2:$A$200,0))),"")</f>
        <v/>
      </c>
      <c r="L1062" s="10">
        <f>IFERROR(IF(INDEX('Test catalog'!$G$2:$G$200,MATCH($AB1062,'Test catalog'!$A$2:$A$200,0))="","",INDEX('Test catalog'!$G$2:$G$200,MATCH($AB1062,'Test catalog'!$A$2:$A$200,0))),"")</f>
        <v/>
      </c>
      <c r="M1062" s="10">
        <f>IFERROR(IF(INDEX('Test catalog'!$H$2:$H$200,MATCH($AB1062,'Test catalog'!$A$2:$A$200,0))="","",INDEX('Test catalog'!$H$2:$H$200,MATCH($AB1062,'Test catalog'!$A$2:$A$200,0))),"")</f>
        <v/>
      </c>
      <c r="N1062" s="10">
        <f>IFERROR(IF(INDEX('Test catalog'!$I$2:$I$200,MATCH($AB1062,'Test catalog'!$A$2:$A$200,0))="","",INDEX('Test catalog'!$I$2:$I$200,MATCH($AB1062,'Test catalog'!$A$2:$A$200,0))),"")</f>
        <v/>
      </c>
      <c r="O1062" s="10">
        <f>IFERROR(IF(INDEX('Test catalog'!$J$2:$J$200,MATCH($AB1062,'Test catalog'!$A$2:$A$200,0))="","",INDEX('Test catalog'!$J$2:$J$200,MATCH($AB1062,'Test catalog'!$A$2:$A$200,0))),"")</f>
        <v/>
      </c>
      <c r="P1062" s="14">
        <f>IF(N1062="","",IF(OR(M1062="",O1062=""),N1062,(M1062+4*N1062+O1062)/6))</f>
        <v/>
      </c>
      <c r="Q1062" s="10">
        <f>IFERROR(IF(INDEX('Test catalog'!$K$2:$K$200,MATCH($AB1062,'Test catalog'!$A$2:$A$200,0))="","",INDEX('Test catalog'!$K$2:$K$200,MATCH($AB1062,'Test catalog'!$A$2:$A$200,0))),"")</f>
        <v/>
      </c>
      <c r="R1062" s="5" t="n"/>
      <c r="S1062" s="10">
        <f>IFERROR(IF(INDEX('Test catalog'!$L$2:$L$200,MATCH($AB1062,'Test catalog'!$A$2:$A$200,0))="","",INDEX('Test catalog'!$L$2:$L$200,MATCH($AB1062,'Test catalog'!$A$2:$A$200,0))),"")</f>
        <v/>
      </c>
      <c r="T1062" s="10">
        <f>IFERROR(IF(INDEX('Test catalog'!$M$2:$M$200,MATCH($AB1062,'Test catalog'!$A$2:$A$200,0))="","",INDEX('Test catalog'!$M$2:$M$200,MATCH($AB1062,'Test catalog'!$A$2:$A$200,0))),"")</f>
        <v/>
      </c>
      <c r="U1062" s="10">
        <f>IFERROR(IF(INDEX('Test catalog'!$N$2:$N$200,MATCH($AB1062,'Test catalog'!$A$2:$A$200,0))="","",INDEX('Test catalog'!$N$2:$N$200,MATCH($AB1062,'Test catalog'!$A$2:$A$200,0))),"")</f>
        <v/>
      </c>
      <c r="V1062" s="15" t="n"/>
      <c r="W1062" s="5" t="inlineStr">
        <is>
          <t>N</t>
        </is>
      </c>
      <c r="X1062" s="5" t="n"/>
      <c r="Y1062" s="5" t="n"/>
      <c r="Z1062" s="5" t="n"/>
      <c r="AA1062" s="10">
        <f>IFERROR(IF(INDEX('Test catalog'!$O$2:$O$200,MATCH($AB1062,'Test catalog'!$A$2:$A$200,0))="","",INDEX('Test catalog'!$O$2:$O$200,MATCH($AB1062,'Test catalog'!$A$2:$A$200,0))),"")</f>
        <v/>
      </c>
      <c r="AB1062" s="10" t="inlineStr">
        <is>
          <t>TITR</t>
        </is>
      </c>
      <c r="AC1062" s="10" t="inlineStr">
        <is>
          <t>Sodium Lauryl Sulfate · Impurities</t>
        </is>
      </c>
      <c r="AD1062" s="10" t="n"/>
      <c r="AE1062" s="10" t="n"/>
    </row>
    <row r="1063">
      <c r="A1063" s="10" t="inlineStr">
        <is>
          <t>Sodium Lauryl Sulfate</t>
        </is>
      </c>
      <c r="B1063" s="10" t="inlineStr">
        <is>
          <t>RM</t>
        </is>
      </c>
      <c r="C1063" s="10" t="inlineStr">
        <is>
          <t>Surfactant</t>
        </is>
      </c>
      <c r="D1063" s="10" t="inlineStr">
        <is>
          <t>Sodium Sulfate</t>
        </is>
      </c>
      <c r="E1063" s="10">
        <f>IF(A1063="","",A1063&amp;"|"&amp;D1063)</f>
        <v/>
      </c>
      <c r="F1063" s="5" t="inlineStr">
        <is>
          <t>Y</t>
        </is>
      </c>
      <c r="G1063" s="5" t="inlineStr">
        <is>
          <t>Other / bench</t>
        </is>
      </c>
      <c r="H1063" s="5" t="inlineStr">
        <is>
          <t>Low</t>
        </is>
      </c>
      <c r="I1063" s="5" t="n">
        <v>1</v>
      </c>
      <c r="J1063" s="5" t="n"/>
      <c r="K1063" s="10">
        <f>IFERROR(IF(INDEX('Test catalog'!$F$2:$F$200,MATCH($AB1063,'Test catalog'!$A$2:$A$200,0))="","",INDEX('Test catalog'!$F$2:$F$200,MATCH($AB1063,'Test catalog'!$A$2:$A$200,0))),"")</f>
        <v/>
      </c>
      <c r="L1063" s="10">
        <f>IFERROR(IF(INDEX('Test catalog'!$G$2:$G$200,MATCH($AB1063,'Test catalog'!$A$2:$A$200,0))="","",INDEX('Test catalog'!$G$2:$G$200,MATCH($AB1063,'Test catalog'!$A$2:$A$200,0))),"")</f>
        <v/>
      </c>
      <c r="M1063" s="10">
        <f>IFERROR(IF(INDEX('Test catalog'!$H$2:$H$200,MATCH($AB1063,'Test catalog'!$A$2:$A$200,0))="","",INDEX('Test catalog'!$H$2:$H$200,MATCH($AB1063,'Test catalog'!$A$2:$A$200,0))),"")</f>
        <v/>
      </c>
      <c r="N1063" s="10">
        <f>IFERROR(IF(INDEX('Test catalog'!$I$2:$I$200,MATCH($AB1063,'Test catalog'!$A$2:$A$200,0))="","",INDEX('Test catalog'!$I$2:$I$200,MATCH($AB1063,'Test catalog'!$A$2:$A$200,0))),"")</f>
        <v/>
      </c>
      <c r="O1063" s="10">
        <f>IFERROR(IF(INDEX('Test catalog'!$J$2:$J$200,MATCH($AB1063,'Test catalog'!$A$2:$A$200,0))="","",INDEX('Test catalog'!$J$2:$J$200,MATCH($AB1063,'Test catalog'!$A$2:$A$200,0))),"")</f>
        <v/>
      </c>
      <c r="P1063" s="14">
        <f>IF(N1063="","",IF(OR(M1063="",O1063=""),N1063,(M1063+4*N1063+O1063)/6))</f>
        <v/>
      </c>
      <c r="Q1063" s="10">
        <f>IFERROR(IF(INDEX('Test catalog'!$K$2:$K$200,MATCH($AB1063,'Test catalog'!$A$2:$A$200,0))="","",INDEX('Test catalog'!$K$2:$K$200,MATCH($AB1063,'Test catalog'!$A$2:$A$200,0))),"")</f>
        <v/>
      </c>
      <c r="R1063" s="5" t="n"/>
      <c r="S1063" s="10">
        <f>IFERROR(IF(INDEX('Test catalog'!$L$2:$L$200,MATCH($AB1063,'Test catalog'!$A$2:$A$200,0))="","",INDEX('Test catalog'!$L$2:$L$200,MATCH($AB1063,'Test catalog'!$A$2:$A$200,0))),"")</f>
        <v/>
      </c>
      <c r="T1063" s="10">
        <f>IFERROR(IF(INDEX('Test catalog'!$M$2:$M$200,MATCH($AB1063,'Test catalog'!$A$2:$A$200,0))="","",INDEX('Test catalog'!$M$2:$M$200,MATCH($AB1063,'Test catalog'!$A$2:$A$200,0))),"")</f>
        <v/>
      </c>
      <c r="U1063" s="10">
        <f>IFERROR(IF(INDEX('Test catalog'!$N$2:$N$200,MATCH($AB1063,'Test catalog'!$A$2:$A$200,0))="","",INDEX('Test catalog'!$N$2:$N$200,MATCH($AB1063,'Test catalog'!$A$2:$A$200,0))),"")</f>
        <v/>
      </c>
      <c r="V1063" s="15" t="n"/>
      <c r="W1063" s="5" t="inlineStr">
        <is>
          <t>N</t>
        </is>
      </c>
      <c r="X1063" s="5" t="n"/>
      <c r="Y1063" s="5" t="n"/>
      <c r="Z1063" s="5" t="n"/>
      <c r="AA1063" s="10">
        <f>IFERROR(IF(INDEX('Test catalog'!$O$2:$O$200,MATCH($AB1063,'Test catalog'!$A$2:$A$200,0))="","",INDEX('Test catalog'!$O$2:$O$200,MATCH($AB1063,'Test catalog'!$A$2:$A$200,0))),"")</f>
        <v/>
      </c>
      <c r="AB1063" s="10" t="inlineStr">
        <is>
          <t>LIMIT</t>
        </is>
      </c>
      <c r="AC1063" s="10" t="inlineStr">
        <is>
          <t>Sodium Lauryl Sulfate · Impurities</t>
        </is>
      </c>
      <c r="AD1063" s="10" t="n"/>
      <c r="AE1063" s="10" t="n"/>
    </row>
    <row r="1064">
      <c r="A1064" s="10" t="inlineStr">
        <is>
          <t>Sodium Lauryl Sulfate</t>
        </is>
      </c>
      <c r="B1064" s="10" t="inlineStr">
        <is>
          <t>RM</t>
        </is>
      </c>
      <c r="C1064" s="10" t="inlineStr">
        <is>
          <t>Surfactant</t>
        </is>
      </c>
      <c r="D1064" s="10" t="inlineStr">
        <is>
          <t>Alkalinity</t>
        </is>
      </c>
      <c r="E1064" s="10">
        <f>IF(A1064="","",A1064&amp;"|"&amp;D1064)</f>
        <v/>
      </c>
      <c r="F1064" s="5" t="inlineStr">
        <is>
          <t>Y</t>
        </is>
      </c>
      <c r="G1064" s="5" t="inlineStr">
        <is>
          <t>Other / bench</t>
        </is>
      </c>
      <c r="H1064" s="5" t="inlineStr">
        <is>
          <t>Low</t>
        </is>
      </c>
      <c r="I1064" s="5" t="n">
        <v>1</v>
      </c>
      <c r="J1064" s="5" t="n"/>
      <c r="K1064" s="10">
        <f>IFERROR(IF(INDEX('Test catalog'!$F$2:$F$200,MATCH($AB1064,'Test catalog'!$A$2:$A$200,0))="","",INDEX('Test catalog'!$F$2:$F$200,MATCH($AB1064,'Test catalog'!$A$2:$A$200,0))),"")</f>
        <v/>
      </c>
      <c r="L1064" s="10">
        <f>IFERROR(IF(INDEX('Test catalog'!$G$2:$G$200,MATCH($AB1064,'Test catalog'!$A$2:$A$200,0))="","",INDEX('Test catalog'!$G$2:$G$200,MATCH($AB1064,'Test catalog'!$A$2:$A$200,0))),"")</f>
        <v/>
      </c>
      <c r="M1064" s="10">
        <f>IFERROR(IF(INDEX('Test catalog'!$H$2:$H$200,MATCH($AB1064,'Test catalog'!$A$2:$A$200,0))="","",INDEX('Test catalog'!$H$2:$H$200,MATCH($AB1064,'Test catalog'!$A$2:$A$200,0))),"")</f>
        <v/>
      </c>
      <c r="N1064" s="10">
        <f>IFERROR(IF(INDEX('Test catalog'!$I$2:$I$200,MATCH($AB1064,'Test catalog'!$A$2:$A$200,0))="","",INDEX('Test catalog'!$I$2:$I$200,MATCH($AB1064,'Test catalog'!$A$2:$A$200,0))),"")</f>
        <v/>
      </c>
      <c r="O1064" s="10">
        <f>IFERROR(IF(INDEX('Test catalog'!$J$2:$J$200,MATCH($AB1064,'Test catalog'!$A$2:$A$200,0))="","",INDEX('Test catalog'!$J$2:$J$200,MATCH($AB1064,'Test catalog'!$A$2:$A$200,0))),"")</f>
        <v/>
      </c>
      <c r="P1064" s="14">
        <f>IF(N1064="","",IF(OR(M1064="",O1064=""),N1064,(M1064+4*N1064+O1064)/6))</f>
        <v/>
      </c>
      <c r="Q1064" s="10">
        <f>IFERROR(IF(INDEX('Test catalog'!$K$2:$K$200,MATCH($AB1064,'Test catalog'!$A$2:$A$200,0))="","",INDEX('Test catalog'!$K$2:$K$200,MATCH($AB1064,'Test catalog'!$A$2:$A$200,0))),"")</f>
        <v/>
      </c>
      <c r="R1064" s="5" t="n"/>
      <c r="S1064" s="10">
        <f>IFERROR(IF(INDEX('Test catalog'!$L$2:$L$200,MATCH($AB1064,'Test catalog'!$A$2:$A$200,0))="","",INDEX('Test catalog'!$L$2:$L$200,MATCH($AB1064,'Test catalog'!$A$2:$A$200,0))),"")</f>
        <v/>
      </c>
      <c r="T1064" s="10">
        <f>IFERROR(IF(INDEX('Test catalog'!$M$2:$M$200,MATCH($AB1064,'Test catalog'!$A$2:$A$200,0))="","",INDEX('Test catalog'!$M$2:$M$200,MATCH($AB1064,'Test catalog'!$A$2:$A$200,0))),"")</f>
        <v/>
      </c>
      <c r="U1064" s="10">
        <f>IFERROR(IF(INDEX('Test catalog'!$N$2:$N$200,MATCH($AB1064,'Test catalog'!$A$2:$A$200,0))="","",INDEX('Test catalog'!$N$2:$N$200,MATCH($AB1064,'Test catalog'!$A$2:$A$200,0))),"")</f>
        <v/>
      </c>
      <c r="V1064" s="15" t="n"/>
      <c r="W1064" s="5" t="inlineStr">
        <is>
          <t>N</t>
        </is>
      </c>
      <c r="X1064" s="5" t="n"/>
      <c r="Y1064" s="5" t="n"/>
      <c r="Z1064" s="5" t="n"/>
      <c r="AA1064" s="10">
        <f>IFERROR(IF(INDEX('Test catalog'!$O$2:$O$200,MATCH($AB1064,'Test catalog'!$A$2:$A$200,0))="","",INDEX('Test catalog'!$O$2:$O$200,MATCH($AB1064,'Test catalog'!$A$2:$A$200,0))),"")</f>
        <v/>
      </c>
      <c r="AB1064" s="10" t="inlineStr">
        <is>
          <t>ACID</t>
        </is>
      </c>
      <c r="AC1064" s="10" t="inlineStr">
        <is>
          <t>Sodium Lauryl Sulfate · Specific Tests</t>
        </is>
      </c>
      <c r="AD1064" s="10" t="n"/>
      <c r="AE1064" s="10" t="n"/>
    </row>
    <row r="1065">
      <c r="A1065" s="10" t="inlineStr">
        <is>
          <t>Sodium Lauryl Sulfate</t>
        </is>
      </c>
      <c r="B1065" s="10" t="inlineStr">
        <is>
          <t>RM</t>
        </is>
      </c>
      <c r="C1065" s="10" t="inlineStr">
        <is>
          <t>Surfactant</t>
        </is>
      </c>
      <c r="D1065" s="10" t="inlineStr">
        <is>
          <t>Total Alcohols</t>
        </is>
      </c>
      <c r="E1065" s="10">
        <f>IF(A1065="","",A1065&amp;"|"&amp;D1065)</f>
        <v/>
      </c>
      <c r="F1065" s="5" t="inlineStr">
        <is>
          <t>Y</t>
        </is>
      </c>
      <c r="G1065" s="5" t="inlineStr">
        <is>
          <t>Other / bench</t>
        </is>
      </c>
      <c r="H1065" s="5" t="inlineStr">
        <is>
          <t>Low</t>
        </is>
      </c>
      <c r="I1065" s="5" t="n">
        <v>1</v>
      </c>
      <c r="J1065" s="5" t="n"/>
      <c r="K1065" s="10">
        <f>IFERROR(IF(INDEX('Test catalog'!$F$2:$F$200,MATCH($AB1065,'Test catalog'!$A$2:$A$200,0))="","",INDEX('Test catalog'!$F$2:$F$200,MATCH($AB1065,'Test catalog'!$A$2:$A$200,0))),"")</f>
        <v/>
      </c>
      <c r="L1065" s="10">
        <f>IFERROR(IF(INDEX('Test catalog'!$G$2:$G$200,MATCH($AB1065,'Test catalog'!$A$2:$A$200,0))="","",INDEX('Test catalog'!$G$2:$G$200,MATCH($AB1065,'Test catalog'!$A$2:$A$200,0))),"")</f>
        <v/>
      </c>
      <c r="M1065" s="10">
        <f>IFERROR(IF(INDEX('Test catalog'!$H$2:$H$200,MATCH($AB1065,'Test catalog'!$A$2:$A$200,0))="","",INDEX('Test catalog'!$H$2:$H$200,MATCH($AB1065,'Test catalog'!$A$2:$A$200,0))),"")</f>
        <v/>
      </c>
      <c r="N1065" s="10">
        <f>IFERROR(IF(INDEX('Test catalog'!$I$2:$I$200,MATCH($AB1065,'Test catalog'!$A$2:$A$200,0))="","",INDEX('Test catalog'!$I$2:$I$200,MATCH($AB1065,'Test catalog'!$A$2:$A$200,0))),"")</f>
        <v/>
      </c>
      <c r="O1065" s="10">
        <f>IFERROR(IF(INDEX('Test catalog'!$J$2:$J$200,MATCH($AB1065,'Test catalog'!$A$2:$A$200,0))="","",INDEX('Test catalog'!$J$2:$J$200,MATCH($AB1065,'Test catalog'!$A$2:$A$200,0))),"")</f>
        <v/>
      </c>
      <c r="P1065" s="14">
        <f>IF(N1065="","",IF(OR(M1065="",O1065=""),N1065,(M1065+4*N1065+O1065)/6))</f>
        <v/>
      </c>
      <c r="Q1065" s="10">
        <f>IFERROR(IF(INDEX('Test catalog'!$K$2:$K$200,MATCH($AB1065,'Test catalog'!$A$2:$A$200,0))="","",INDEX('Test catalog'!$K$2:$K$200,MATCH($AB1065,'Test catalog'!$A$2:$A$200,0))),"")</f>
        <v/>
      </c>
      <c r="R1065" s="5" t="n"/>
      <c r="S1065" s="10">
        <f>IFERROR(IF(INDEX('Test catalog'!$L$2:$L$200,MATCH($AB1065,'Test catalog'!$A$2:$A$200,0))="","",INDEX('Test catalog'!$L$2:$L$200,MATCH($AB1065,'Test catalog'!$A$2:$A$200,0))),"")</f>
        <v/>
      </c>
      <c r="T1065" s="10">
        <f>IFERROR(IF(INDEX('Test catalog'!$M$2:$M$200,MATCH($AB1065,'Test catalog'!$A$2:$A$200,0))="","",INDEX('Test catalog'!$M$2:$M$200,MATCH($AB1065,'Test catalog'!$A$2:$A$200,0))),"")</f>
        <v/>
      </c>
      <c r="U1065" s="10">
        <f>IFERROR(IF(INDEX('Test catalog'!$N$2:$N$200,MATCH($AB1065,'Test catalog'!$A$2:$A$200,0))="","",INDEX('Test catalog'!$N$2:$N$200,MATCH($AB1065,'Test catalog'!$A$2:$A$200,0))),"")</f>
        <v/>
      </c>
      <c r="V1065" s="15" t="n"/>
      <c r="W1065" s="5" t="inlineStr">
        <is>
          <t>N</t>
        </is>
      </c>
      <c r="X1065" s="5" t="n"/>
      <c r="Y1065" s="5" t="n"/>
      <c r="Z1065" s="5" t="n"/>
      <c r="AA1065" s="10">
        <f>IFERROR(IF(INDEX('Test catalog'!$O$2:$O$200,MATCH($AB1065,'Test catalog'!$A$2:$A$200,0))="","",INDEX('Test catalog'!$O$2:$O$200,MATCH($AB1065,'Test catalog'!$A$2:$A$200,0))),"")</f>
        <v/>
      </c>
      <c r="AB1065" s="10" t="inlineStr">
        <is>
          <t>TITR</t>
        </is>
      </c>
      <c r="AC1065" s="10" t="inlineStr">
        <is>
          <t>Sodium Lauryl Sulfate · Specific Tests</t>
        </is>
      </c>
      <c r="AD1065" s="10" t="n"/>
      <c r="AE1065" s="10" t="n"/>
    </row>
    <row r="1066">
      <c r="A1066" s="10" t="inlineStr">
        <is>
          <t>Sodium Lauryl Sulfate</t>
        </is>
      </c>
      <c r="B1066" s="10" t="inlineStr">
        <is>
          <t>RM</t>
        </is>
      </c>
      <c r="C1066" s="10" t="inlineStr">
        <is>
          <t>Surfactant</t>
        </is>
      </c>
      <c r="D1066" s="10" t="inlineStr">
        <is>
          <t>Unsulfated Alcohols</t>
        </is>
      </c>
      <c r="E1066" s="10">
        <f>IF(A1066="","",A1066&amp;"|"&amp;D1066)</f>
        <v/>
      </c>
      <c r="F1066" s="5" t="inlineStr">
        <is>
          <t>Y</t>
        </is>
      </c>
      <c r="G1066" s="5" t="inlineStr">
        <is>
          <t>Other / bench</t>
        </is>
      </c>
      <c r="H1066" s="5" t="inlineStr">
        <is>
          <t>Low</t>
        </is>
      </c>
      <c r="I1066" s="5" t="n">
        <v>1</v>
      </c>
      <c r="J1066" s="5" t="n"/>
      <c r="K1066" s="10">
        <f>IFERROR(IF(INDEX('Test catalog'!$F$2:$F$200,MATCH($AB1066,'Test catalog'!$A$2:$A$200,0))="","",INDEX('Test catalog'!$F$2:$F$200,MATCH($AB1066,'Test catalog'!$A$2:$A$200,0))),"")</f>
        <v/>
      </c>
      <c r="L1066" s="10">
        <f>IFERROR(IF(INDEX('Test catalog'!$G$2:$G$200,MATCH($AB1066,'Test catalog'!$A$2:$A$200,0))="","",INDEX('Test catalog'!$G$2:$G$200,MATCH($AB1066,'Test catalog'!$A$2:$A$200,0))),"")</f>
        <v/>
      </c>
      <c r="M1066" s="10">
        <f>IFERROR(IF(INDEX('Test catalog'!$H$2:$H$200,MATCH($AB1066,'Test catalog'!$A$2:$A$200,0))="","",INDEX('Test catalog'!$H$2:$H$200,MATCH($AB1066,'Test catalog'!$A$2:$A$200,0))),"")</f>
        <v/>
      </c>
      <c r="N1066" s="10">
        <f>IFERROR(IF(INDEX('Test catalog'!$I$2:$I$200,MATCH($AB1066,'Test catalog'!$A$2:$A$200,0))="","",INDEX('Test catalog'!$I$2:$I$200,MATCH($AB1066,'Test catalog'!$A$2:$A$200,0))),"")</f>
        <v/>
      </c>
      <c r="O1066" s="10">
        <f>IFERROR(IF(INDEX('Test catalog'!$J$2:$J$200,MATCH($AB1066,'Test catalog'!$A$2:$A$200,0))="","",INDEX('Test catalog'!$J$2:$J$200,MATCH($AB1066,'Test catalog'!$A$2:$A$200,0))),"")</f>
        <v/>
      </c>
      <c r="P1066" s="14">
        <f>IF(N1066="","",IF(OR(M1066="",O1066=""),N1066,(M1066+4*N1066+O1066)/6))</f>
        <v/>
      </c>
      <c r="Q1066" s="10">
        <f>IFERROR(IF(INDEX('Test catalog'!$K$2:$K$200,MATCH($AB1066,'Test catalog'!$A$2:$A$200,0))="","",INDEX('Test catalog'!$K$2:$K$200,MATCH($AB1066,'Test catalog'!$A$2:$A$200,0))),"")</f>
        <v/>
      </c>
      <c r="R1066" s="5" t="n"/>
      <c r="S1066" s="10">
        <f>IFERROR(IF(INDEX('Test catalog'!$L$2:$L$200,MATCH($AB1066,'Test catalog'!$A$2:$A$200,0))="","",INDEX('Test catalog'!$L$2:$L$200,MATCH($AB1066,'Test catalog'!$A$2:$A$200,0))),"")</f>
        <v/>
      </c>
      <c r="T1066" s="10">
        <f>IFERROR(IF(INDEX('Test catalog'!$M$2:$M$200,MATCH($AB1066,'Test catalog'!$A$2:$A$200,0))="","",INDEX('Test catalog'!$M$2:$M$200,MATCH($AB1066,'Test catalog'!$A$2:$A$200,0))),"")</f>
        <v/>
      </c>
      <c r="U1066" s="10">
        <f>IFERROR(IF(INDEX('Test catalog'!$N$2:$N$200,MATCH($AB1066,'Test catalog'!$A$2:$A$200,0))="","",INDEX('Test catalog'!$N$2:$N$200,MATCH($AB1066,'Test catalog'!$A$2:$A$200,0))),"")</f>
        <v/>
      </c>
      <c r="V1066" s="15" t="n"/>
      <c r="W1066" s="5" t="inlineStr">
        <is>
          <t>N</t>
        </is>
      </c>
      <c r="X1066" s="5" t="n"/>
      <c r="Y1066" s="5" t="n"/>
      <c r="Z1066" s="5" t="n"/>
      <c r="AA1066" s="10">
        <f>IFERROR(IF(INDEX('Test catalog'!$O$2:$O$200,MATCH($AB1066,'Test catalog'!$A$2:$A$200,0))="","",INDEX('Test catalog'!$O$2:$O$200,MATCH($AB1066,'Test catalog'!$A$2:$A$200,0))),"")</f>
        <v/>
      </c>
      <c r="AB1066" s="10" t="inlineStr">
        <is>
          <t>LIMIT</t>
        </is>
      </c>
      <c r="AC1066" s="10" t="inlineStr">
        <is>
          <t>Sodium Lauryl Sulfate · Specific Tests</t>
        </is>
      </c>
      <c r="AD1066" s="10" t="n"/>
      <c r="AE1066" s="10" t="n"/>
    </row>
    <row r="1067">
      <c r="A1067" s="10" t="inlineStr">
        <is>
          <t>Microcrystalline Cellulose RC591</t>
        </is>
      </c>
      <c r="B1067" s="10" t="inlineStr">
        <is>
          <t>RM</t>
        </is>
      </c>
      <c r="C1067" s="10" t="inlineStr">
        <is>
          <t>Suspending Agent</t>
        </is>
      </c>
      <c r="D1067" s="10" t="inlineStr">
        <is>
          <t>Appearance / description and solubility</t>
        </is>
      </c>
      <c r="E1067" s="10">
        <f>IF(A1067="","",A1067&amp;"|"&amp;D1067)</f>
        <v/>
      </c>
      <c r="F1067" s="5" t="inlineStr">
        <is>
          <t>Y</t>
        </is>
      </c>
      <c r="G1067" s="5" t="inlineStr">
        <is>
          <t>Other / bench</t>
        </is>
      </c>
      <c r="H1067" s="5" t="inlineStr">
        <is>
          <t>Low</t>
        </is>
      </c>
      <c r="I1067" s="5" t="n">
        <v>1</v>
      </c>
      <c r="J1067" s="5" t="n"/>
      <c r="K1067" s="10">
        <f>IFERROR(IF(INDEX('Test catalog'!$F$2:$F$200,MATCH($AB1067,'Test catalog'!$A$2:$A$200,0))="","",INDEX('Test catalog'!$F$2:$F$200,MATCH($AB1067,'Test catalog'!$A$2:$A$200,0))),"")</f>
        <v/>
      </c>
      <c r="L1067" s="10">
        <f>IFERROR(IF(INDEX('Test catalog'!$G$2:$G$200,MATCH($AB1067,'Test catalog'!$A$2:$A$200,0))="","",INDEX('Test catalog'!$G$2:$G$200,MATCH($AB1067,'Test catalog'!$A$2:$A$200,0))),"")</f>
        <v/>
      </c>
      <c r="M1067" s="10">
        <f>IFERROR(IF(INDEX('Test catalog'!$H$2:$H$200,MATCH($AB1067,'Test catalog'!$A$2:$A$200,0))="","",INDEX('Test catalog'!$H$2:$H$200,MATCH($AB1067,'Test catalog'!$A$2:$A$200,0))),"")</f>
        <v/>
      </c>
      <c r="N1067" s="10">
        <f>IFERROR(IF(INDEX('Test catalog'!$I$2:$I$200,MATCH($AB1067,'Test catalog'!$A$2:$A$200,0))="","",INDEX('Test catalog'!$I$2:$I$200,MATCH($AB1067,'Test catalog'!$A$2:$A$200,0))),"")</f>
        <v/>
      </c>
      <c r="O1067" s="10">
        <f>IFERROR(IF(INDEX('Test catalog'!$J$2:$J$200,MATCH($AB1067,'Test catalog'!$A$2:$A$200,0))="","",INDEX('Test catalog'!$J$2:$J$200,MATCH($AB1067,'Test catalog'!$A$2:$A$200,0))),"")</f>
        <v/>
      </c>
      <c r="P1067" s="14">
        <f>IF(N1067="","",IF(OR(M1067="",O1067=""),N1067,(M1067+4*N1067+O1067)/6))</f>
        <v/>
      </c>
      <c r="Q1067" s="10">
        <f>IFERROR(IF(INDEX('Test catalog'!$K$2:$K$200,MATCH($AB1067,'Test catalog'!$A$2:$A$200,0))="","",INDEX('Test catalog'!$K$2:$K$200,MATCH($AB1067,'Test catalog'!$A$2:$A$200,0))),"")</f>
        <v/>
      </c>
      <c r="R1067" s="5" t="n"/>
      <c r="S1067" s="10">
        <f>IFERROR(IF(INDEX('Test catalog'!$L$2:$L$200,MATCH($AB1067,'Test catalog'!$A$2:$A$200,0))="","",INDEX('Test catalog'!$L$2:$L$200,MATCH($AB1067,'Test catalog'!$A$2:$A$200,0))),"")</f>
        <v/>
      </c>
      <c r="T1067" s="10">
        <f>IFERROR(IF(INDEX('Test catalog'!$M$2:$M$200,MATCH($AB1067,'Test catalog'!$A$2:$A$200,0))="","",INDEX('Test catalog'!$M$2:$M$200,MATCH($AB1067,'Test catalog'!$A$2:$A$200,0))),"")</f>
        <v/>
      </c>
      <c r="U1067" s="10">
        <f>IFERROR(IF(INDEX('Test catalog'!$N$2:$N$200,MATCH($AB1067,'Test catalog'!$A$2:$A$200,0))="","",INDEX('Test catalog'!$N$2:$N$200,MATCH($AB1067,'Test catalog'!$A$2:$A$200,0))),"")</f>
        <v/>
      </c>
      <c r="V1067" s="15" t="n"/>
      <c r="W1067" s="5" t="inlineStr">
        <is>
          <t>N</t>
        </is>
      </c>
      <c r="X1067" s="5" t="n"/>
      <c r="Y1067" s="5" t="n"/>
      <c r="Z1067" s="5" t="n"/>
      <c r="AA1067" s="10">
        <f>IFERROR(IF(INDEX('Test catalog'!$O$2:$O$200,MATCH($AB1067,'Test catalog'!$A$2:$A$200,0))="","",INDEX('Test catalog'!$O$2:$O$200,MATCH($AB1067,'Test catalog'!$A$2:$A$200,0))),"")</f>
        <v/>
      </c>
      <c r="AB1067" s="10" t="inlineStr">
        <is>
          <t>APPEAR</t>
        </is>
      </c>
      <c r="AC1067" s="10" t="inlineStr">
        <is>
          <t>Lab practice (not a USP test)</t>
        </is>
      </c>
      <c r="AD1067" s="10" t="n"/>
      <c r="AE1067" s="10" t="n"/>
    </row>
    <row r="1068">
      <c r="A1068" s="10" t="inlineStr">
        <is>
          <t>Microcrystalline Cellulose RC591</t>
        </is>
      </c>
      <c r="B1068" s="10" t="inlineStr">
        <is>
          <t>RM</t>
        </is>
      </c>
      <c r="C1068" s="10" t="inlineStr">
        <is>
          <t>Suspending Agent</t>
        </is>
      </c>
      <c r="D1068" s="10" t="inlineStr">
        <is>
          <t>ID A - chemical reaction</t>
        </is>
      </c>
      <c r="E1068" s="10">
        <f>IF(A1068="","",A1068&amp;"|"&amp;D1068)</f>
        <v/>
      </c>
      <c r="F1068" s="5" t="inlineStr">
        <is>
          <t>Y</t>
        </is>
      </c>
      <c r="G1068" s="5" t="inlineStr">
        <is>
          <t>Other / bench</t>
        </is>
      </c>
      <c r="H1068" s="5" t="inlineStr">
        <is>
          <t>Low</t>
        </is>
      </c>
      <c r="I1068" s="5" t="n">
        <v>1</v>
      </c>
      <c r="J1068" s="5" t="n"/>
      <c r="K1068" s="10">
        <f>IFERROR(IF(INDEX('Test catalog'!$F$2:$F$200,MATCH($AB1068,'Test catalog'!$A$2:$A$200,0))="","",INDEX('Test catalog'!$F$2:$F$200,MATCH($AB1068,'Test catalog'!$A$2:$A$200,0))),"")</f>
        <v/>
      </c>
      <c r="L1068" s="10">
        <f>IFERROR(IF(INDEX('Test catalog'!$G$2:$G$200,MATCH($AB1068,'Test catalog'!$A$2:$A$200,0))="","",INDEX('Test catalog'!$G$2:$G$200,MATCH($AB1068,'Test catalog'!$A$2:$A$200,0))),"")</f>
        <v/>
      </c>
      <c r="M1068" s="10">
        <f>IFERROR(IF(INDEX('Test catalog'!$H$2:$H$200,MATCH($AB1068,'Test catalog'!$A$2:$A$200,0))="","",INDEX('Test catalog'!$H$2:$H$200,MATCH($AB1068,'Test catalog'!$A$2:$A$200,0))),"")</f>
        <v/>
      </c>
      <c r="N1068" s="10">
        <f>IFERROR(IF(INDEX('Test catalog'!$I$2:$I$200,MATCH($AB1068,'Test catalog'!$A$2:$A$200,0))="","",INDEX('Test catalog'!$I$2:$I$200,MATCH($AB1068,'Test catalog'!$A$2:$A$200,0))),"")</f>
        <v/>
      </c>
      <c r="O1068" s="10">
        <f>IFERROR(IF(INDEX('Test catalog'!$J$2:$J$200,MATCH($AB1068,'Test catalog'!$A$2:$A$200,0))="","",INDEX('Test catalog'!$J$2:$J$200,MATCH($AB1068,'Test catalog'!$A$2:$A$200,0))),"")</f>
        <v/>
      </c>
      <c r="P1068" s="14">
        <f>IF(N1068="","",IF(OR(M1068="",O1068=""),N1068,(M1068+4*N1068+O1068)/6))</f>
        <v/>
      </c>
      <c r="Q1068" s="10">
        <f>IFERROR(IF(INDEX('Test catalog'!$K$2:$K$200,MATCH($AB1068,'Test catalog'!$A$2:$A$200,0))="","",INDEX('Test catalog'!$K$2:$K$200,MATCH($AB1068,'Test catalog'!$A$2:$A$200,0))),"")</f>
        <v/>
      </c>
      <c r="R1068" s="5" t="n"/>
      <c r="S1068" s="10">
        <f>IFERROR(IF(INDEX('Test catalog'!$L$2:$L$200,MATCH($AB1068,'Test catalog'!$A$2:$A$200,0))="","",INDEX('Test catalog'!$L$2:$L$200,MATCH($AB1068,'Test catalog'!$A$2:$A$200,0))),"")</f>
        <v/>
      </c>
      <c r="T1068" s="10">
        <f>IFERROR(IF(INDEX('Test catalog'!$M$2:$M$200,MATCH($AB1068,'Test catalog'!$A$2:$A$200,0))="","",INDEX('Test catalog'!$M$2:$M$200,MATCH($AB1068,'Test catalog'!$A$2:$A$200,0))),"")</f>
        <v/>
      </c>
      <c r="U1068" s="10">
        <f>IFERROR(IF(INDEX('Test catalog'!$N$2:$N$200,MATCH($AB1068,'Test catalog'!$A$2:$A$200,0))="","",INDEX('Test catalog'!$N$2:$N$200,MATCH($AB1068,'Test catalog'!$A$2:$A$200,0))),"")</f>
        <v/>
      </c>
      <c r="V1068" s="15" t="n"/>
      <c r="W1068" s="5" t="inlineStr">
        <is>
          <t>N</t>
        </is>
      </c>
      <c r="X1068" s="5" t="n"/>
      <c r="Y1068" s="5" t="n"/>
      <c r="Z1068" s="5" t="n"/>
      <c r="AA1068" s="10">
        <f>IFERROR(IF(INDEX('Test catalog'!$O$2:$O$200,MATCH($AB1068,'Test catalog'!$A$2:$A$200,0))="","",INDEX('Test catalog'!$O$2:$O$200,MATCH($AB1068,'Test catalog'!$A$2:$A$200,0))),"")</f>
        <v/>
      </c>
      <c r="AB1068" s="10" t="inlineStr">
        <is>
          <t>ID_CHEM</t>
        </is>
      </c>
      <c r="AC1068" s="10" t="inlineStr">
        <is>
          <t>Microcrystalline Cellulose and Carboxymethylcellulose Sodium · Identification</t>
        </is>
      </c>
      <c r="AD1068" s="10" t="n"/>
      <c r="AE1068" s="10" t="n"/>
    </row>
    <row r="1069">
      <c r="A1069" s="10" t="inlineStr">
        <is>
          <t>Microcrystalline Cellulose RC591</t>
        </is>
      </c>
      <c r="B1069" s="10" t="inlineStr">
        <is>
          <t>RM</t>
        </is>
      </c>
      <c r="C1069" s="10" t="inlineStr">
        <is>
          <t>Suspending Agent</t>
        </is>
      </c>
      <c r="D1069" s="10" t="inlineStr">
        <is>
          <t>ID B - chemical reaction</t>
        </is>
      </c>
      <c r="E1069" s="10">
        <f>IF(A1069="","",A1069&amp;"|"&amp;D1069)</f>
        <v/>
      </c>
      <c r="F1069" s="5" t="inlineStr">
        <is>
          <t>Y</t>
        </is>
      </c>
      <c r="G1069" s="5" t="inlineStr">
        <is>
          <t>Other / bench</t>
        </is>
      </c>
      <c r="H1069" s="5" t="inlineStr">
        <is>
          <t>Low</t>
        </is>
      </c>
      <c r="I1069" s="5" t="n">
        <v>1</v>
      </c>
      <c r="J1069" s="5" t="n"/>
      <c r="K1069" s="10">
        <f>IFERROR(IF(INDEX('Test catalog'!$F$2:$F$200,MATCH($AB1069,'Test catalog'!$A$2:$A$200,0))="","",INDEX('Test catalog'!$F$2:$F$200,MATCH($AB1069,'Test catalog'!$A$2:$A$200,0))),"")</f>
        <v/>
      </c>
      <c r="L1069" s="10">
        <f>IFERROR(IF(INDEX('Test catalog'!$G$2:$G$200,MATCH($AB1069,'Test catalog'!$A$2:$A$200,0))="","",INDEX('Test catalog'!$G$2:$G$200,MATCH($AB1069,'Test catalog'!$A$2:$A$200,0))),"")</f>
        <v/>
      </c>
      <c r="M1069" s="10">
        <f>IFERROR(IF(INDEX('Test catalog'!$H$2:$H$200,MATCH($AB1069,'Test catalog'!$A$2:$A$200,0))="","",INDEX('Test catalog'!$H$2:$H$200,MATCH($AB1069,'Test catalog'!$A$2:$A$200,0))),"")</f>
        <v/>
      </c>
      <c r="N1069" s="10">
        <f>IFERROR(IF(INDEX('Test catalog'!$I$2:$I$200,MATCH($AB1069,'Test catalog'!$A$2:$A$200,0))="","",INDEX('Test catalog'!$I$2:$I$200,MATCH($AB1069,'Test catalog'!$A$2:$A$200,0))),"")</f>
        <v/>
      </c>
      <c r="O1069" s="10">
        <f>IFERROR(IF(INDEX('Test catalog'!$J$2:$J$200,MATCH($AB1069,'Test catalog'!$A$2:$A$200,0))="","",INDEX('Test catalog'!$J$2:$J$200,MATCH($AB1069,'Test catalog'!$A$2:$A$200,0))),"")</f>
        <v/>
      </c>
      <c r="P1069" s="14">
        <f>IF(N1069="","",IF(OR(M1069="",O1069=""),N1069,(M1069+4*N1069+O1069)/6))</f>
        <v/>
      </c>
      <c r="Q1069" s="10">
        <f>IFERROR(IF(INDEX('Test catalog'!$K$2:$K$200,MATCH($AB1069,'Test catalog'!$A$2:$A$200,0))="","",INDEX('Test catalog'!$K$2:$K$200,MATCH($AB1069,'Test catalog'!$A$2:$A$200,0))),"")</f>
        <v/>
      </c>
      <c r="R1069" s="5" t="n"/>
      <c r="S1069" s="10">
        <f>IFERROR(IF(INDEX('Test catalog'!$L$2:$L$200,MATCH($AB1069,'Test catalog'!$A$2:$A$200,0))="","",INDEX('Test catalog'!$L$2:$L$200,MATCH($AB1069,'Test catalog'!$A$2:$A$200,0))),"")</f>
        <v/>
      </c>
      <c r="T1069" s="10">
        <f>IFERROR(IF(INDEX('Test catalog'!$M$2:$M$200,MATCH($AB1069,'Test catalog'!$A$2:$A$200,0))="","",INDEX('Test catalog'!$M$2:$M$200,MATCH($AB1069,'Test catalog'!$A$2:$A$200,0))),"")</f>
        <v/>
      </c>
      <c r="U1069" s="10">
        <f>IFERROR(IF(INDEX('Test catalog'!$N$2:$N$200,MATCH($AB1069,'Test catalog'!$A$2:$A$200,0))="","",INDEX('Test catalog'!$N$2:$N$200,MATCH($AB1069,'Test catalog'!$A$2:$A$200,0))),"")</f>
        <v/>
      </c>
      <c r="V1069" s="15" t="n"/>
      <c r="W1069" s="5" t="inlineStr">
        <is>
          <t>N</t>
        </is>
      </c>
      <c r="X1069" s="5" t="n"/>
      <c r="Y1069" s="5" t="n"/>
      <c r="Z1069" s="5" t="n"/>
      <c r="AA1069" s="10">
        <f>IFERROR(IF(INDEX('Test catalog'!$O$2:$O$200,MATCH($AB1069,'Test catalog'!$A$2:$A$200,0))="","",INDEX('Test catalog'!$O$2:$O$200,MATCH($AB1069,'Test catalog'!$A$2:$A$200,0))),"")</f>
        <v/>
      </c>
      <c r="AB1069" s="10" t="inlineStr">
        <is>
          <t>ID_CHEM</t>
        </is>
      </c>
      <c r="AC1069" s="10" t="inlineStr">
        <is>
          <t>Microcrystalline Cellulose and Carboxymethylcellulose Sodium · Identification</t>
        </is>
      </c>
      <c r="AD1069" s="10" t="n"/>
      <c r="AE1069" s="10" t="n"/>
    </row>
    <row r="1070">
      <c r="A1070" s="10" t="inlineStr">
        <is>
          <t>Microcrystalline Cellulose RC591</t>
        </is>
      </c>
      <c r="B1070" s="10" t="inlineStr">
        <is>
          <t>RM</t>
        </is>
      </c>
      <c r="C1070" s="10" t="inlineStr">
        <is>
          <t>Suspending Agent</t>
        </is>
      </c>
      <c r="D1070" s="10" t="inlineStr">
        <is>
          <t>ID C - chemical reaction</t>
        </is>
      </c>
      <c r="E1070" s="10">
        <f>IF(A1070="","",A1070&amp;"|"&amp;D1070)</f>
        <v/>
      </c>
      <c r="F1070" s="5" t="inlineStr">
        <is>
          <t>Y</t>
        </is>
      </c>
      <c r="G1070" s="5" t="inlineStr">
        <is>
          <t>Other / bench</t>
        </is>
      </c>
      <c r="H1070" s="5" t="inlineStr">
        <is>
          <t>Low</t>
        </is>
      </c>
      <c r="I1070" s="5" t="n">
        <v>1</v>
      </c>
      <c r="J1070" s="5" t="n"/>
      <c r="K1070" s="10">
        <f>IFERROR(IF(INDEX('Test catalog'!$F$2:$F$200,MATCH($AB1070,'Test catalog'!$A$2:$A$200,0))="","",INDEX('Test catalog'!$F$2:$F$200,MATCH($AB1070,'Test catalog'!$A$2:$A$200,0))),"")</f>
        <v/>
      </c>
      <c r="L1070" s="10">
        <f>IFERROR(IF(INDEX('Test catalog'!$G$2:$G$200,MATCH($AB1070,'Test catalog'!$A$2:$A$200,0))="","",INDEX('Test catalog'!$G$2:$G$200,MATCH($AB1070,'Test catalog'!$A$2:$A$200,0))),"")</f>
        <v/>
      </c>
      <c r="M1070" s="10">
        <f>IFERROR(IF(INDEX('Test catalog'!$H$2:$H$200,MATCH($AB1070,'Test catalog'!$A$2:$A$200,0))="","",INDEX('Test catalog'!$H$2:$H$200,MATCH($AB1070,'Test catalog'!$A$2:$A$200,0))),"")</f>
        <v/>
      </c>
      <c r="N1070" s="10">
        <f>IFERROR(IF(INDEX('Test catalog'!$I$2:$I$200,MATCH($AB1070,'Test catalog'!$A$2:$A$200,0))="","",INDEX('Test catalog'!$I$2:$I$200,MATCH($AB1070,'Test catalog'!$A$2:$A$200,0))),"")</f>
        <v/>
      </c>
      <c r="O1070" s="10">
        <f>IFERROR(IF(INDEX('Test catalog'!$J$2:$J$200,MATCH($AB1070,'Test catalog'!$A$2:$A$200,0))="","",INDEX('Test catalog'!$J$2:$J$200,MATCH($AB1070,'Test catalog'!$A$2:$A$200,0))),"")</f>
        <v/>
      </c>
      <c r="P1070" s="14">
        <f>IF(N1070="","",IF(OR(M1070="",O1070=""),N1070,(M1070+4*N1070+O1070)/6))</f>
        <v/>
      </c>
      <c r="Q1070" s="10">
        <f>IFERROR(IF(INDEX('Test catalog'!$K$2:$K$200,MATCH($AB1070,'Test catalog'!$A$2:$A$200,0))="","",INDEX('Test catalog'!$K$2:$K$200,MATCH($AB1070,'Test catalog'!$A$2:$A$200,0))),"")</f>
        <v/>
      </c>
      <c r="R1070" s="5" t="n"/>
      <c r="S1070" s="10">
        <f>IFERROR(IF(INDEX('Test catalog'!$L$2:$L$200,MATCH($AB1070,'Test catalog'!$A$2:$A$200,0))="","",INDEX('Test catalog'!$L$2:$L$200,MATCH($AB1070,'Test catalog'!$A$2:$A$200,0))),"")</f>
        <v/>
      </c>
      <c r="T1070" s="10">
        <f>IFERROR(IF(INDEX('Test catalog'!$M$2:$M$200,MATCH($AB1070,'Test catalog'!$A$2:$A$200,0))="","",INDEX('Test catalog'!$M$2:$M$200,MATCH($AB1070,'Test catalog'!$A$2:$A$200,0))),"")</f>
        <v/>
      </c>
      <c r="U1070" s="10">
        <f>IFERROR(IF(INDEX('Test catalog'!$N$2:$N$200,MATCH($AB1070,'Test catalog'!$A$2:$A$200,0))="","",INDEX('Test catalog'!$N$2:$N$200,MATCH($AB1070,'Test catalog'!$A$2:$A$200,0))),"")</f>
        <v/>
      </c>
      <c r="V1070" s="15" t="n"/>
      <c r="W1070" s="5" t="inlineStr">
        <is>
          <t>N</t>
        </is>
      </c>
      <c r="X1070" s="5" t="n"/>
      <c r="Y1070" s="5" t="n"/>
      <c r="Z1070" s="5" t="n"/>
      <c r="AA1070" s="10">
        <f>IFERROR(IF(INDEX('Test catalog'!$O$2:$O$200,MATCH($AB1070,'Test catalog'!$A$2:$A$200,0))="","",INDEX('Test catalog'!$O$2:$O$200,MATCH($AB1070,'Test catalog'!$A$2:$A$200,0))),"")</f>
        <v/>
      </c>
      <c r="AB1070" s="10" t="inlineStr">
        <is>
          <t>ID_CHEM</t>
        </is>
      </c>
      <c r="AC1070" s="10" t="inlineStr">
        <is>
          <t>Microcrystalline Cellulose and Carboxymethylcellulose Sodium · Identification</t>
        </is>
      </c>
      <c r="AD1070" s="10" t="n"/>
      <c r="AE1070" s="10" t="n"/>
    </row>
    <row r="1071">
      <c r="A1071" s="10" t="inlineStr">
        <is>
          <t>Microcrystalline Cellulose RC591</t>
        </is>
      </c>
      <c r="B1071" s="10" t="inlineStr">
        <is>
          <t>RM</t>
        </is>
      </c>
      <c r="C1071" s="10" t="inlineStr">
        <is>
          <t>Suspending Agent</t>
        </is>
      </c>
      <c r="D1071" s="10" t="inlineStr">
        <is>
          <t>Assay - Carboxymethylcellulose Sodium</t>
        </is>
      </c>
      <c r="E1071" s="10">
        <f>IF(A1071="","",A1071&amp;"|"&amp;D1071)</f>
        <v/>
      </c>
      <c r="F1071" s="5" t="inlineStr">
        <is>
          <t>Y</t>
        </is>
      </c>
      <c r="G1071" s="5" t="inlineStr">
        <is>
          <t>Other / bench</t>
        </is>
      </c>
      <c r="H1071" s="5" t="inlineStr">
        <is>
          <t>Low</t>
        </is>
      </c>
      <c r="I1071" s="5" t="n">
        <v>1</v>
      </c>
      <c r="J1071" s="5" t="n"/>
      <c r="K1071" s="10">
        <f>IFERROR(IF(INDEX('Test catalog'!$F$2:$F$200,MATCH($AB1071,'Test catalog'!$A$2:$A$200,0))="","",INDEX('Test catalog'!$F$2:$F$200,MATCH($AB1071,'Test catalog'!$A$2:$A$200,0))),"")</f>
        <v/>
      </c>
      <c r="L1071" s="10">
        <f>IFERROR(IF(INDEX('Test catalog'!$G$2:$G$200,MATCH($AB1071,'Test catalog'!$A$2:$A$200,0))="","",INDEX('Test catalog'!$G$2:$G$200,MATCH($AB1071,'Test catalog'!$A$2:$A$200,0))),"")</f>
        <v/>
      </c>
      <c r="M1071" s="10">
        <f>IFERROR(IF(INDEX('Test catalog'!$H$2:$H$200,MATCH($AB1071,'Test catalog'!$A$2:$A$200,0))="","",INDEX('Test catalog'!$H$2:$H$200,MATCH($AB1071,'Test catalog'!$A$2:$A$200,0))),"")</f>
        <v/>
      </c>
      <c r="N1071" s="10">
        <f>IFERROR(IF(INDEX('Test catalog'!$I$2:$I$200,MATCH($AB1071,'Test catalog'!$A$2:$A$200,0))="","",INDEX('Test catalog'!$I$2:$I$200,MATCH($AB1071,'Test catalog'!$A$2:$A$200,0))),"")</f>
        <v/>
      </c>
      <c r="O1071" s="10">
        <f>IFERROR(IF(INDEX('Test catalog'!$J$2:$J$200,MATCH($AB1071,'Test catalog'!$A$2:$A$200,0))="","",INDEX('Test catalog'!$J$2:$J$200,MATCH($AB1071,'Test catalog'!$A$2:$A$200,0))),"")</f>
        <v/>
      </c>
      <c r="P1071" s="14">
        <f>IF(N1071="","",IF(OR(M1071="",O1071=""),N1071,(M1071+4*N1071+O1071)/6))</f>
        <v/>
      </c>
      <c r="Q1071" s="10">
        <f>IFERROR(IF(INDEX('Test catalog'!$K$2:$K$200,MATCH($AB1071,'Test catalog'!$A$2:$A$200,0))="","",INDEX('Test catalog'!$K$2:$K$200,MATCH($AB1071,'Test catalog'!$A$2:$A$200,0))),"")</f>
        <v/>
      </c>
      <c r="R1071" s="5" t="n"/>
      <c r="S1071" s="10">
        <f>IFERROR(IF(INDEX('Test catalog'!$L$2:$L$200,MATCH($AB1071,'Test catalog'!$A$2:$A$200,0))="","",INDEX('Test catalog'!$L$2:$L$200,MATCH($AB1071,'Test catalog'!$A$2:$A$200,0))),"")</f>
        <v/>
      </c>
      <c r="T1071" s="10">
        <f>IFERROR(IF(INDEX('Test catalog'!$M$2:$M$200,MATCH($AB1071,'Test catalog'!$A$2:$A$200,0))="","",INDEX('Test catalog'!$M$2:$M$200,MATCH($AB1071,'Test catalog'!$A$2:$A$200,0))),"")</f>
        <v/>
      </c>
      <c r="U1071" s="10">
        <f>IFERROR(IF(INDEX('Test catalog'!$N$2:$N$200,MATCH($AB1071,'Test catalog'!$A$2:$A$200,0))="","",INDEX('Test catalog'!$N$2:$N$200,MATCH($AB1071,'Test catalog'!$A$2:$A$200,0))),"")</f>
        <v/>
      </c>
      <c r="V1071" s="15" t="n"/>
      <c r="W1071" s="5" t="inlineStr">
        <is>
          <t>N</t>
        </is>
      </c>
      <c r="X1071" s="5" t="n"/>
      <c r="Y1071" s="5" t="n"/>
      <c r="Z1071" s="5" t="n"/>
      <c r="AA1071" s="10">
        <f>IFERROR(IF(INDEX('Test catalog'!$O$2:$O$200,MATCH($AB1071,'Test catalog'!$A$2:$A$200,0))="","",INDEX('Test catalog'!$O$2:$O$200,MATCH($AB1071,'Test catalog'!$A$2:$A$200,0))),"")</f>
        <v/>
      </c>
      <c r="AB1071" s="10" t="inlineStr">
        <is>
          <t>TITR</t>
        </is>
      </c>
      <c r="AC1071" s="10" t="inlineStr">
        <is>
          <t>Microcrystalline Cellulose and Carboxymethylcellulose Sodium · Assay</t>
        </is>
      </c>
      <c r="AD1071" s="10" t="n"/>
      <c r="AE1071" s="10" t="n"/>
    </row>
    <row r="1072">
      <c r="A1072" s="10" t="inlineStr">
        <is>
          <t>Microcrystalline Cellulose RC591</t>
        </is>
      </c>
      <c r="B1072" s="10" t="inlineStr">
        <is>
          <t>RM</t>
        </is>
      </c>
      <c r="C1072" s="10" t="inlineStr">
        <is>
          <t>Suspending Agent</t>
        </is>
      </c>
      <c r="D1072" s="10" t="inlineStr">
        <is>
          <t>Residue on Ignition</t>
        </is>
      </c>
      <c r="E1072" s="10">
        <f>IF(A1072="","",A1072&amp;"|"&amp;D1072)</f>
        <v/>
      </c>
      <c r="F1072" s="5" t="inlineStr">
        <is>
          <t>Y</t>
        </is>
      </c>
      <c r="G1072" s="5" t="inlineStr">
        <is>
          <t>Other / bench</t>
        </is>
      </c>
      <c r="H1072" s="5" t="inlineStr">
        <is>
          <t>Low</t>
        </is>
      </c>
      <c r="I1072" s="5" t="n">
        <v>1</v>
      </c>
      <c r="J1072" s="5" t="n"/>
      <c r="K1072" s="10">
        <f>IFERROR(IF(INDEX('Test catalog'!$F$2:$F$200,MATCH($AB1072,'Test catalog'!$A$2:$A$200,0))="","",INDEX('Test catalog'!$F$2:$F$200,MATCH($AB1072,'Test catalog'!$A$2:$A$200,0))),"")</f>
        <v/>
      </c>
      <c r="L1072" s="10">
        <f>IFERROR(IF(INDEX('Test catalog'!$G$2:$G$200,MATCH($AB1072,'Test catalog'!$A$2:$A$200,0))="","",INDEX('Test catalog'!$G$2:$G$200,MATCH($AB1072,'Test catalog'!$A$2:$A$200,0))),"")</f>
        <v/>
      </c>
      <c r="M1072" s="10">
        <f>IFERROR(IF(INDEX('Test catalog'!$H$2:$H$200,MATCH($AB1072,'Test catalog'!$A$2:$A$200,0))="","",INDEX('Test catalog'!$H$2:$H$200,MATCH($AB1072,'Test catalog'!$A$2:$A$200,0))),"")</f>
        <v/>
      </c>
      <c r="N1072" s="10">
        <f>IFERROR(IF(INDEX('Test catalog'!$I$2:$I$200,MATCH($AB1072,'Test catalog'!$A$2:$A$200,0))="","",INDEX('Test catalog'!$I$2:$I$200,MATCH($AB1072,'Test catalog'!$A$2:$A$200,0))),"")</f>
        <v/>
      </c>
      <c r="O1072" s="10">
        <f>IFERROR(IF(INDEX('Test catalog'!$J$2:$J$200,MATCH($AB1072,'Test catalog'!$A$2:$A$200,0))="","",INDEX('Test catalog'!$J$2:$J$200,MATCH($AB1072,'Test catalog'!$A$2:$A$200,0))),"")</f>
        <v/>
      </c>
      <c r="P1072" s="14">
        <f>IF(N1072="","",IF(OR(M1072="",O1072=""),N1072,(M1072+4*N1072+O1072)/6))</f>
        <v/>
      </c>
      <c r="Q1072" s="10">
        <f>IFERROR(IF(INDEX('Test catalog'!$K$2:$K$200,MATCH($AB1072,'Test catalog'!$A$2:$A$200,0))="","",INDEX('Test catalog'!$K$2:$K$200,MATCH($AB1072,'Test catalog'!$A$2:$A$200,0))),"")</f>
        <v/>
      </c>
      <c r="R1072" s="5" t="n"/>
      <c r="S1072" s="10">
        <f>IFERROR(IF(INDEX('Test catalog'!$L$2:$L$200,MATCH($AB1072,'Test catalog'!$A$2:$A$200,0))="","",INDEX('Test catalog'!$L$2:$L$200,MATCH($AB1072,'Test catalog'!$A$2:$A$200,0))),"")</f>
        <v/>
      </c>
      <c r="T1072" s="10">
        <f>IFERROR(IF(INDEX('Test catalog'!$M$2:$M$200,MATCH($AB1072,'Test catalog'!$A$2:$A$200,0))="","",INDEX('Test catalog'!$M$2:$M$200,MATCH($AB1072,'Test catalog'!$A$2:$A$200,0))),"")</f>
        <v/>
      </c>
      <c r="U1072" s="10">
        <f>IFERROR(IF(INDEX('Test catalog'!$N$2:$N$200,MATCH($AB1072,'Test catalog'!$A$2:$A$200,0))="","",INDEX('Test catalog'!$N$2:$N$200,MATCH($AB1072,'Test catalog'!$A$2:$A$200,0))),"")</f>
        <v/>
      </c>
      <c r="V1072" s="15" t="n"/>
      <c r="W1072" s="5" t="inlineStr">
        <is>
          <t>N</t>
        </is>
      </c>
      <c r="X1072" s="5" t="n"/>
      <c r="Y1072" s="5" t="n"/>
      <c r="Z1072" s="5" t="n"/>
      <c r="AA1072" s="10">
        <f>IFERROR(IF(INDEX('Test catalog'!$O$2:$O$200,MATCH($AB1072,'Test catalog'!$A$2:$A$200,0))="","",INDEX('Test catalog'!$O$2:$O$200,MATCH($AB1072,'Test catalog'!$A$2:$A$200,0))),"")</f>
        <v/>
      </c>
      <c r="AB1072" s="10" t="inlineStr">
        <is>
          <t>ROI</t>
        </is>
      </c>
      <c r="AC1072" s="10" t="inlineStr">
        <is>
          <t>Microcrystalline Cellulose and Carboxymethylcellulose Sodium · Impurities &lt;281&gt;</t>
        </is>
      </c>
      <c r="AD1072" s="10" t="n"/>
      <c r="AE1072" s="10" t="n"/>
    </row>
    <row r="1073">
      <c r="A1073" s="10" t="inlineStr">
        <is>
          <t>Microcrystalline Cellulose RC591</t>
        </is>
      </c>
      <c r="B1073" s="10" t="inlineStr">
        <is>
          <t>RM</t>
        </is>
      </c>
      <c r="C1073" s="10" t="inlineStr">
        <is>
          <t>Suspending Agent</t>
        </is>
      </c>
      <c r="D1073" s="10" t="inlineStr">
        <is>
          <t>Viscosity—Rotational Methods</t>
        </is>
      </c>
      <c r="E1073" s="10">
        <f>IF(A1073="","",A1073&amp;"|"&amp;D1073)</f>
        <v/>
      </c>
      <c r="F1073" s="5" t="inlineStr">
        <is>
          <t>Y</t>
        </is>
      </c>
      <c r="G1073" s="5" t="inlineStr">
        <is>
          <t>Other / bench</t>
        </is>
      </c>
      <c r="H1073" s="5" t="inlineStr">
        <is>
          <t>Low</t>
        </is>
      </c>
      <c r="I1073" s="5" t="n">
        <v>1</v>
      </c>
      <c r="J1073" s="5" t="n"/>
      <c r="K1073" s="10">
        <f>IFERROR(IF(INDEX('Test catalog'!$F$2:$F$200,MATCH($AB1073,'Test catalog'!$A$2:$A$200,0))="","",INDEX('Test catalog'!$F$2:$F$200,MATCH($AB1073,'Test catalog'!$A$2:$A$200,0))),"")</f>
        <v/>
      </c>
      <c r="L1073" s="10">
        <f>IFERROR(IF(INDEX('Test catalog'!$G$2:$G$200,MATCH($AB1073,'Test catalog'!$A$2:$A$200,0))="","",INDEX('Test catalog'!$G$2:$G$200,MATCH($AB1073,'Test catalog'!$A$2:$A$200,0))),"")</f>
        <v/>
      </c>
      <c r="M1073" s="10">
        <f>IFERROR(IF(INDEX('Test catalog'!$H$2:$H$200,MATCH($AB1073,'Test catalog'!$A$2:$A$200,0))="","",INDEX('Test catalog'!$H$2:$H$200,MATCH($AB1073,'Test catalog'!$A$2:$A$200,0))),"")</f>
        <v/>
      </c>
      <c r="N1073" s="10">
        <f>IFERROR(IF(INDEX('Test catalog'!$I$2:$I$200,MATCH($AB1073,'Test catalog'!$A$2:$A$200,0))="","",INDEX('Test catalog'!$I$2:$I$200,MATCH($AB1073,'Test catalog'!$A$2:$A$200,0))),"")</f>
        <v/>
      </c>
      <c r="O1073" s="10">
        <f>IFERROR(IF(INDEX('Test catalog'!$J$2:$J$200,MATCH($AB1073,'Test catalog'!$A$2:$A$200,0))="","",INDEX('Test catalog'!$J$2:$J$200,MATCH($AB1073,'Test catalog'!$A$2:$A$200,0))),"")</f>
        <v/>
      </c>
      <c r="P1073" s="14">
        <f>IF(N1073="","",IF(OR(M1073="",O1073=""),N1073,(M1073+4*N1073+O1073)/6))</f>
        <v/>
      </c>
      <c r="Q1073" s="10">
        <f>IFERROR(IF(INDEX('Test catalog'!$K$2:$K$200,MATCH($AB1073,'Test catalog'!$A$2:$A$200,0))="","",INDEX('Test catalog'!$K$2:$K$200,MATCH($AB1073,'Test catalog'!$A$2:$A$200,0))),"")</f>
        <v/>
      </c>
      <c r="R1073" s="5" t="n"/>
      <c r="S1073" s="10">
        <f>IFERROR(IF(INDEX('Test catalog'!$L$2:$L$200,MATCH($AB1073,'Test catalog'!$A$2:$A$200,0))="","",INDEX('Test catalog'!$L$2:$L$200,MATCH($AB1073,'Test catalog'!$A$2:$A$200,0))),"")</f>
        <v/>
      </c>
      <c r="T1073" s="10">
        <f>IFERROR(IF(INDEX('Test catalog'!$M$2:$M$200,MATCH($AB1073,'Test catalog'!$A$2:$A$200,0))="","",INDEX('Test catalog'!$M$2:$M$200,MATCH($AB1073,'Test catalog'!$A$2:$A$200,0))),"")</f>
        <v/>
      </c>
      <c r="U1073" s="10">
        <f>IFERROR(IF(INDEX('Test catalog'!$N$2:$N$200,MATCH($AB1073,'Test catalog'!$A$2:$A$200,0))="","",INDEX('Test catalog'!$N$2:$N$200,MATCH($AB1073,'Test catalog'!$A$2:$A$200,0))),"")</f>
        <v/>
      </c>
      <c r="V1073" s="15" t="n"/>
      <c r="W1073" s="5" t="inlineStr">
        <is>
          <t>N</t>
        </is>
      </c>
      <c r="X1073" s="5" t="n"/>
      <c r="Y1073" s="5" t="n"/>
      <c r="Z1073" s="5" t="n"/>
      <c r="AA1073" s="10">
        <f>IFERROR(IF(INDEX('Test catalog'!$O$2:$O$200,MATCH($AB1073,'Test catalog'!$A$2:$A$200,0))="","",INDEX('Test catalog'!$O$2:$O$200,MATCH($AB1073,'Test catalog'!$A$2:$A$200,0))),"")</f>
        <v/>
      </c>
      <c r="AB1073" s="10" t="inlineStr">
        <is>
          <t>VISC</t>
        </is>
      </c>
      <c r="AC1073" s="10" t="inlineStr">
        <is>
          <t>Microcrystalline Cellulose and Carboxymethylcellulose Sodium · Specific Tests &lt;912&gt;</t>
        </is>
      </c>
      <c r="AD1073" s="10" t="n"/>
      <c r="AE1073" s="10" t="n"/>
    </row>
    <row r="1074">
      <c r="A1074" s="10" t="inlineStr">
        <is>
          <t>Microcrystalline Cellulose RC591</t>
        </is>
      </c>
      <c r="B1074" s="10" t="inlineStr">
        <is>
          <t>RM</t>
        </is>
      </c>
      <c r="C1074" s="10" t="inlineStr">
        <is>
          <t>Suspending Agent</t>
        </is>
      </c>
      <c r="D1074" s="10" t="inlineStr">
        <is>
          <t>pH</t>
        </is>
      </c>
      <c r="E1074" s="10">
        <f>IF(A1074="","",A1074&amp;"|"&amp;D1074)</f>
        <v/>
      </c>
      <c r="F1074" s="5" t="inlineStr">
        <is>
          <t>Y</t>
        </is>
      </c>
      <c r="G1074" s="5" t="inlineStr">
        <is>
          <t>Other / bench</t>
        </is>
      </c>
      <c r="H1074" s="5" t="inlineStr">
        <is>
          <t>Low</t>
        </is>
      </c>
      <c r="I1074" s="5" t="n">
        <v>1</v>
      </c>
      <c r="J1074" s="5" t="n"/>
      <c r="K1074" s="10">
        <f>IFERROR(IF(INDEX('Test catalog'!$F$2:$F$200,MATCH($AB1074,'Test catalog'!$A$2:$A$200,0))="","",INDEX('Test catalog'!$F$2:$F$200,MATCH($AB1074,'Test catalog'!$A$2:$A$200,0))),"")</f>
        <v/>
      </c>
      <c r="L1074" s="10">
        <f>IFERROR(IF(INDEX('Test catalog'!$G$2:$G$200,MATCH($AB1074,'Test catalog'!$A$2:$A$200,0))="","",INDEX('Test catalog'!$G$2:$G$200,MATCH($AB1074,'Test catalog'!$A$2:$A$200,0))),"")</f>
        <v/>
      </c>
      <c r="M1074" s="10">
        <f>IFERROR(IF(INDEX('Test catalog'!$H$2:$H$200,MATCH($AB1074,'Test catalog'!$A$2:$A$200,0))="","",INDEX('Test catalog'!$H$2:$H$200,MATCH($AB1074,'Test catalog'!$A$2:$A$200,0))),"")</f>
        <v/>
      </c>
      <c r="N1074" s="10">
        <f>IFERROR(IF(INDEX('Test catalog'!$I$2:$I$200,MATCH($AB1074,'Test catalog'!$A$2:$A$200,0))="","",INDEX('Test catalog'!$I$2:$I$200,MATCH($AB1074,'Test catalog'!$A$2:$A$200,0))),"")</f>
        <v/>
      </c>
      <c r="O1074" s="10">
        <f>IFERROR(IF(INDEX('Test catalog'!$J$2:$J$200,MATCH($AB1074,'Test catalog'!$A$2:$A$200,0))="","",INDEX('Test catalog'!$J$2:$J$200,MATCH($AB1074,'Test catalog'!$A$2:$A$200,0))),"")</f>
        <v/>
      </c>
      <c r="P1074" s="14">
        <f>IF(N1074="","",IF(OR(M1074="",O1074=""),N1074,(M1074+4*N1074+O1074)/6))</f>
        <v/>
      </c>
      <c r="Q1074" s="10">
        <f>IFERROR(IF(INDEX('Test catalog'!$K$2:$K$200,MATCH($AB1074,'Test catalog'!$A$2:$A$200,0))="","",INDEX('Test catalog'!$K$2:$K$200,MATCH($AB1074,'Test catalog'!$A$2:$A$200,0))),"")</f>
        <v/>
      </c>
      <c r="R1074" s="5" t="n"/>
      <c r="S1074" s="10">
        <f>IFERROR(IF(INDEX('Test catalog'!$L$2:$L$200,MATCH($AB1074,'Test catalog'!$A$2:$A$200,0))="","",INDEX('Test catalog'!$L$2:$L$200,MATCH($AB1074,'Test catalog'!$A$2:$A$200,0))),"")</f>
        <v/>
      </c>
      <c r="T1074" s="10">
        <f>IFERROR(IF(INDEX('Test catalog'!$M$2:$M$200,MATCH($AB1074,'Test catalog'!$A$2:$A$200,0))="","",INDEX('Test catalog'!$M$2:$M$200,MATCH($AB1074,'Test catalog'!$A$2:$A$200,0))),"")</f>
        <v/>
      </c>
      <c r="U1074" s="10">
        <f>IFERROR(IF(INDEX('Test catalog'!$N$2:$N$200,MATCH($AB1074,'Test catalog'!$A$2:$A$200,0))="","",INDEX('Test catalog'!$N$2:$N$200,MATCH($AB1074,'Test catalog'!$A$2:$A$200,0))),"")</f>
        <v/>
      </c>
      <c r="V1074" s="15" t="n"/>
      <c r="W1074" s="5" t="inlineStr">
        <is>
          <t>N</t>
        </is>
      </c>
      <c r="X1074" s="5" t="n"/>
      <c r="Y1074" s="5" t="n"/>
      <c r="Z1074" s="5" t="n"/>
      <c r="AA1074" s="10">
        <f>IFERROR(IF(INDEX('Test catalog'!$O$2:$O$200,MATCH($AB1074,'Test catalog'!$A$2:$A$200,0))="","",INDEX('Test catalog'!$O$2:$O$200,MATCH($AB1074,'Test catalog'!$A$2:$A$200,0))),"")</f>
        <v/>
      </c>
      <c r="AB1074" s="10" t="inlineStr">
        <is>
          <t>PH</t>
        </is>
      </c>
      <c r="AC1074" s="10" t="inlineStr">
        <is>
          <t>Microcrystalline Cellulose and Carboxymethylcellulose Sodium · Specific Tests &lt;791,912&gt;</t>
        </is>
      </c>
      <c r="AD1074" s="10" t="n"/>
      <c r="AE1074" s="10" t="n"/>
    </row>
    <row r="1075">
      <c r="A1075" s="10" t="inlineStr">
        <is>
          <t>Microcrystalline Cellulose RC591</t>
        </is>
      </c>
      <c r="B1075" s="10" t="inlineStr">
        <is>
          <t>RM</t>
        </is>
      </c>
      <c r="C1075" s="10" t="inlineStr">
        <is>
          <t>Suspending Agent</t>
        </is>
      </c>
      <c r="D1075" s="10" t="inlineStr">
        <is>
          <t>Loss on Drying</t>
        </is>
      </c>
      <c r="E1075" s="10">
        <f>IF(A1075="","",A1075&amp;"|"&amp;D1075)</f>
        <v/>
      </c>
      <c r="F1075" s="5" t="inlineStr">
        <is>
          <t>Y</t>
        </is>
      </c>
      <c r="G1075" s="5" t="inlineStr">
        <is>
          <t>Other / bench</t>
        </is>
      </c>
      <c r="H1075" s="5" t="inlineStr">
        <is>
          <t>Low</t>
        </is>
      </c>
      <c r="I1075" s="5" t="n">
        <v>1</v>
      </c>
      <c r="J1075" s="5" t="n"/>
      <c r="K1075" s="10">
        <f>IFERROR(IF(INDEX('Test catalog'!$F$2:$F$200,MATCH($AB1075,'Test catalog'!$A$2:$A$200,0))="","",INDEX('Test catalog'!$F$2:$F$200,MATCH($AB1075,'Test catalog'!$A$2:$A$200,0))),"")</f>
        <v/>
      </c>
      <c r="L1075" s="10">
        <f>IFERROR(IF(INDEX('Test catalog'!$G$2:$G$200,MATCH($AB1075,'Test catalog'!$A$2:$A$200,0))="","",INDEX('Test catalog'!$G$2:$G$200,MATCH($AB1075,'Test catalog'!$A$2:$A$200,0))),"")</f>
        <v/>
      </c>
      <c r="M1075" s="10">
        <f>IFERROR(IF(INDEX('Test catalog'!$H$2:$H$200,MATCH($AB1075,'Test catalog'!$A$2:$A$200,0))="","",INDEX('Test catalog'!$H$2:$H$200,MATCH($AB1075,'Test catalog'!$A$2:$A$200,0))),"")</f>
        <v/>
      </c>
      <c r="N1075" s="10">
        <f>IFERROR(IF(INDEX('Test catalog'!$I$2:$I$200,MATCH($AB1075,'Test catalog'!$A$2:$A$200,0))="","",INDEX('Test catalog'!$I$2:$I$200,MATCH($AB1075,'Test catalog'!$A$2:$A$200,0))),"")</f>
        <v/>
      </c>
      <c r="O1075" s="10">
        <f>IFERROR(IF(INDEX('Test catalog'!$J$2:$J$200,MATCH($AB1075,'Test catalog'!$A$2:$A$200,0))="","",INDEX('Test catalog'!$J$2:$J$200,MATCH($AB1075,'Test catalog'!$A$2:$A$200,0))),"")</f>
        <v/>
      </c>
      <c r="P1075" s="14">
        <f>IF(N1075="","",IF(OR(M1075="",O1075=""),N1075,(M1075+4*N1075+O1075)/6))</f>
        <v/>
      </c>
      <c r="Q1075" s="10">
        <f>IFERROR(IF(INDEX('Test catalog'!$K$2:$K$200,MATCH($AB1075,'Test catalog'!$A$2:$A$200,0))="","",INDEX('Test catalog'!$K$2:$K$200,MATCH($AB1075,'Test catalog'!$A$2:$A$200,0))),"")</f>
        <v/>
      </c>
      <c r="R1075" s="5" t="n"/>
      <c r="S1075" s="10">
        <f>IFERROR(IF(INDEX('Test catalog'!$L$2:$L$200,MATCH($AB1075,'Test catalog'!$A$2:$A$200,0))="","",INDEX('Test catalog'!$L$2:$L$200,MATCH($AB1075,'Test catalog'!$A$2:$A$200,0))),"")</f>
        <v/>
      </c>
      <c r="T1075" s="10">
        <f>IFERROR(IF(INDEX('Test catalog'!$M$2:$M$200,MATCH($AB1075,'Test catalog'!$A$2:$A$200,0))="","",INDEX('Test catalog'!$M$2:$M$200,MATCH($AB1075,'Test catalog'!$A$2:$A$200,0))),"")</f>
        <v/>
      </c>
      <c r="U1075" s="10">
        <f>IFERROR(IF(INDEX('Test catalog'!$N$2:$N$200,MATCH($AB1075,'Test catalog'!$A$2:$A$200,0))="","",INDEX('Test catalog'!$N$2:$N$200,MATCH($AB1075,'Test catalog'!$A$2:$A$200,0))),"")</f>
        <v/>
      </c>
      <c r="V1075" s="15" t="n"/>
      <c r="W1075" s="5" t="inlineStr">
        <is>
          <t>N</t>
        </is>
      </c>
      <c r="X1075" s="5" t="n"/>
      <c r="Y1075" s="5" t="n"/>
      <c r="Z1075" s="5" t="n"/>
      <c r="AA1075" s="10">
        <f>IFERROR(IF(INDEX('Test catalog'!$O$2:$O$200,MATCH($AB1075,'Test catalog'!$A$2:$A$200,0))="","",INDEX('Test catalog'!$O$2:$O$200,MATCH($AB1075,'Test catalog'!$A$2:$A$200,0))),"")</f>
        <v/>
      </c>
      <c r="AB1075" s="10" t="inlineStr">
        <is>
          <t>LOD</t>
        </is>
      </c>
      <c r="AC1075" s="10" t="inlineStr">
        <is>
          <t>Microcrystalline Cellulose and Carboxymethylcellulose Sodium · Specific Tests &lt;731&gt;</t>
        </is>
      </c>
      <c r="AD1075" s="10" t="n"/>
      <c r="AE1075" s="10" t="n"/>
    </row>
    <row r="1076">
      <c r="A1076" s="10" t="inlineStr">
        <is>
          <t>Sodium Carboxymethyl Cellulose (Medium Viscosity)</t>
        </is>
      </c>
      <c r="B1076" s="10" t="inlineStr">
        <is>
          <t>RM</t>
        </is>
      </c>
      <c r="C1076" s="10" t="inlineStr">
        <is>
          <t>Suspending Agent</t>
        </is>
      </c>
      <c r="D1076" s="10" t="inlineStr">
        <is>
          <t>Appearance / description and solubility</t>
        </is>
      </c>
      <c r="E1076" s="10">
        <f>IF(A1076="","",A1076&amp;"|"&amp;D1076)</f>
        <v/>
      </c>
      <c r="F1076" s="5" t="inlineStr">
        <is>
          <t>Y</t>
        </is>
      </c>
      <c r="G1076" s="5" t="inlineStr">
        <is>
          <t>Other / bench</t>
        </is>
      </c>
      <c r="H1076" s="5" t="inlineStr">
        <is>
          <t>Low</t>
        </is>
      </c>
      <c r="I1076" s="5" t="n">
        <v>1</v>
      </c>
      <c r="J1076" s="5" t="n"/>
      <c r="K1076" s="10">
        <f>IFERROR(IF(INDEX('Test catalog'!$F$2:$F$200,MATCH($AB1076,'Test catalog'!$A$2:$A$200,0))="","",INDEX('Test catalog'!$F$2:$F$200,MATCH($AB1076,'Test catalog'!$A$2:$A$200,0))),"")</f>
        <v/>
      </c>
      <c r="L1076" s="10">
        <f>IFERROR(IF(INDEX('Test catalog'!$G$2:$G$200,MATCH($AB1076,'Test catalog'!$A$2:$A$200,0))="","",INDEX('Test catalog'!$G$2:$G$200,MATCH($AB1076,'Test catalog'!$A$2:$A$200,0))),"")</f>
        <v/>
      </c>
      <c r="M1076" s="10">
        <f>IFERROR(IF(INDEX('Test catalog'!$H$2:$H$200,MATCH($AB1076,'Test catalog'!$A$2:$A$200,0))="","",INDEX('Test catalog'!$H$2:$H$200,MATCH($AB1076,'Test catalog'!$A$2:$A$200,0))),"")</f>
        <v/>
      </c>
      <c r="N1076" s="10">
        <f>IFERROR(IF(INDEX('Test catalog'!$I$2:$I$200,MATCH($AB1076,'Test catalog'!$A$2:$A$200,0))="","",INDEX('Test catalog'!$I$2:$I$200,MATCH($AB1076,'Test catalog'!$A$2:$A$200,0))),"")</f>
        <v/>
      </c>
      <c r="O1076" s="10">
        <f>IFERROR(IF(INDEX('Test catalog'!$J$2:$J$200,MATCH($AB1076,'Test catalog'!$A$2:$A$200,0))="","",INDEX('Test catalog'!$J$2:$J$200,MATCH($AB1076,'Test catalog'!$A$2:$A$200,0))),"")</f>
        <v/>
      </c>
      <c r="P1076" s="14">
        <f>IF(N1076="","",IF(OR(M1076="",O1076=""),N1076,(M1076+4*N1076+O1076)/6))</f>
        <v/>
      </c>
      <c r="Q1076" s="10">
        <f>IFERROR(IF(INDEX('Test catalog'!$K$2:$K$200,MATCH($AB1076,'Test catalog'!$A$2:$A$200,0))="","",INDEX('Test catalog'!$K$2:$K$200,MATCH($AB1076,'Test catalog'!$A$2:$A$200,0))),"")</f>
        <v/>
      </c>
      <c r="R1076" s="5" t="n"/>
      <c r="S1076" s="10">
        <f>IFERROR(IF(INDEX('Test catalog'!$L$2:$L$200,MATCH($AB1076,'Test catalog'!$A$2:$A$200,0))="","",INDEX('Test catalog'!$L$2:$L$200,MATCH($AB1076,'Test catalog'!$A$2:$A$200,0))),"")</f>
        <v/>
      </c>
      <c r="T1076" s="10">
        <f>IFERROR(IF(INDEX('Test catalog'!$M$2:$M$200,MATCH($AB1076,'Test catalog'!$A$2:$A$200,0))="","",INDEX('Test catalog'!$M$2:$M$200,MATCH($AB1076,'Test catalog'!$A$2:$A$200,0))),"")</f>
        <v/>
      </c>
      <c r="U1076" s="10">
        <f>IFERROR(IF(INDEX('Test catalog'!$N$2:$N$200,MATCH($AB1076,'Test catalog'!$A$2:$A$200,0))="","",INDEX('Test catalog'!$N$2:$N$200,MATCH($AB1076,'Test catalog'!$A$2:$A$200,0))),"")</f>
        <v/>
      </c>
      <c r="V1076" s="15" t="n"/>
      <c r="W1076" s="5" t="inlineStr">
        <is>
          <t>N</t>
        </is>
      </c>
      <c r="X1076" s="5" t="n"/>
      <c r="Y1076" s="5" t="n"/>
      <c r="Z1076" s="5" t="n"/>
      <c r="AA1076" s="10">
        <f>IFERROR(IF(INDEX('Test catalog'!$O$2:$O$200,MATCH($AB1076,'Test catalog'!$A$2:$A$200,0))="","",INDEX('Test catalog'!$O$2:$O$200,MATCH($AB1076,'Test catalog'!$A$2:$A$200,0))),"")</f>
        <v/>
      </c>
      <c r="AB1076" s="10" t="inlineStr">
        <is>
          <t>APPEAR</t>
        </is>
      </c>
      <c r="AC1076" s="10" t="inlineStr">
        <is>
          <t>Lab practice (not a USP test)</t>
        </is>
      </c>
      <c r="AD1076" s="10" t="n"/>
      <c r="AE1076" s="10" t="n"/>
    </row>
    <row r="1077">
      <c r="A1077" s="10" t="inlineStr">
        <is>
          <t>Sodium Carboxymethyl Cellulose (Medium Viscosity)</t>
        </is>
      </c>
      <c r="B1077" s="10" t="inlineStr">
        <is>
          <t>RM</t>
        </is>
      </c>
      <c r="C1077" s="10" t="inlineStr">
        <is>
          <t>Suspending Agent</t>
        </is>
      </c>
      <c r="D1077" s="10" t="inlineStr">
        <is>
          <t>ID A - chemical reaction</t>
        </is>
      </c>
      <c r="E1077" s="10">
        <f>IF(A1077="","",A1077&amp;"|"&amp;D1077)</f>
        <v/>
      </c>
      <c r="F1077" s="5" t="inlineStr">
        <is>
          <t>Y</t>
        </is>
      </c>
      <c r="G1077" s="5" t="inlineStr">
        <is>
          <t>Other / bench</t>
        </is>
      </c>
      <c r="H1077" s="5" t="inlineStr">
        <is>
          <t>Low</t>
        </is>
      </c>
      <c r="I1077" s="5" t="n">
        <v>1</v>
      </c>
      <c r="J1077" s="5" t="n"/>
      <c r="K1077" s="10">
        <f>IFERROR(IF(INDEX('Test catalog'!$F$2:$F$200,MATCH($AB1077,'Test catalog'!$A$2:$A$200,0))="","",INDEX('Test catalog'!$F$2:$F$200,MATCH($AB1077,'Test catalog'!$A$2:$A$200,0))),"")</f>
        <v/>
      </c>
      <c r="L1077" s="10">
        <f>IFERROR(IF(INDEX('Test catalog'!$G$2:$G$200,MATCH($AB1077,'Test catalog'!$A$2:$A$200,0))="","",INDEX('Test catalog'!$G$2:$G$200,MATCH($AB1077,'Test catalog'!$A$2:$A$200,0))),"")</f>
        <v/>
      </c>
      <c r="M1077" s="10">
        <f>IFERROR(IF(INDEX('Test catalog'!$H$2:$H$200,MATCH($AB1077,'Test catalog'!$A$2:$A$200,0))="","",INDEX('Test catalog'!$H$2:$H$200,MATCH($AB1077,'Test catalog'!$A$2:$A$200,0))),"")</f>
        <v/>
      </c>
      <c r="N1077" s="10">
        <f>IFERROR(IF(INDEX('Test catalog'!$I$2:$I$200,MATCH($AB1077,'Test catalog'!$A$2:$A$200,0))="","",INDEX('Test catalog'!$I$2:$I$200,MATCH($AB1077,'Test catalog'!$A$2:$A$200,0))),"")</f>
        <v/>
      </c>
      <c r="O1077" s="10">
        <f>IFERROR(IF(INDEX('Test catalog'!$J$2:$J$200,MATCH($AB1077,'Test catalog'!$A$2:$A$200,0))="","",INDEX('Test catalog'!$J$2:$J$200,MATCH($AB1077,'Test catalog'!$A$2:$A$200,0))),"")</f>
        <v/>
      </c>
      <c r="P1077" s="14">
        <f>IF(N1077="","",IF(OR(M1077="",O1077=""),N1077,(M1077+4*N1077+O1077)/6))</f>
        <v/>
      </c>
      <c r="Q1077" s="10">
        <f>IFERROR(IF(INDEX('Test catalog'!$K$2:$K$200,MATCH($AB1077,'Test catalog'!$A$2:$A$200,0))="","",INDEX('Test catalog'!$K$2:$K$200,MATCH($AB1077,'Test catalog'!$A$2:$A$200,0))),"")</f>
        <v/>
      </c>
      <c r="R1077" s="5" t="n"/>
      <c r="S1077" s="10">
        <f>IFERROR(IF(INDEX('Test catalog'!$L$2:$L$200,MATCH($AB1077,'Test catalog'!$A$2:$A$200,0))="","",INDEX('Test catalog'!$L$2:$L$200,MATCH($AB1077,'Test catalog'!$A$2:$A$200,0))),"")</f>
        <v/>
      </c>
      <c r="T1077" s="10">
        <f>IFERROR(IF(INDEX('Test catalog'!$M$2:$M$200,MATCH($AB1077,'Test catalog'!$A$2:$A$200,0))="","",INDEX('Test catalog'!$M$2:$M$200,MATCH($AB1077,'Test catalog'!$A$2:$A$200,0))),"")</f>
        <v/>
      </c>
      <c r="U1077" s="10">
        <f>IFERROR(IF(INDEX('Test catalog'!$N$2:$N$200,MATCH($AB1077,'Test catalog'!$A$2:$A$200,0))="","",INDEX('Test catalog'!$N$2:$N$200,MATCH($AB1077,'Test catalog'!$A$2:$A$200,0))),"")</f>
        <v/>
      </c>
      <c r="V1077" s="15" t="n"/>
      <c r="W1077" s="5" t="inlineStr">
        <is>
          <t>N</t>
        </is>
      </c>
      <c r="X1077" s="5" t="n"/>
      <c r="Y1077" s="5" t="n"/>
      <c r="Z1077" s="5" t="n"/>
      <c r="AA1077" s="10">
        <f>IFERROR(IF(INDEX('Test catalog'!$O$2:$O$200,MATCH($AB1077,'Test catalog'!$A$2:$A$200,0))="","",INDEX('Test catalog'!$O$2:$O$200,MATCH($AB1077,'Test catalog'!$A$2:$A$200,0))),"")</f>
        <v/>
      </c>
      <c r="AB1077" s="10" t="inlineStr">
        <is>
          <t>ID_CHEM</t>
        </is>
      </c>
      <c r="AC1077" s="10" t="inlineStr">
        <is>
          <t>Carboxymethylcellulose Sodium · Identification</t>
        </is>
      </c>
      <c r="AD1077" s="10" t="n"/>
      <c r="AE1077" s="10" t="n"/>
    </row>
    <row r="1078">
      <c r="A1078" s="10" t="inlineStr">
        <is>
          <t>Sodium Carboxymethyl Cellulose (Medium Viscosity)</t>
        </is>
      </c>
      <c r="B1078" s="10" t="inlineStr">
        <is>
          <t>RM</t>
        </is>
      </c>
      <c r="C1078" s="10" t="inlineStr">
        <is>
          <t>Suspending Agent</t>
        </is>
      </c>
      <c r="D1078" s="10" t="inlineStr">
        <is>
          <t>ID B - chemical reaction</t>
        </is>
      </c>
      <c r="E1078" s="10">
        <f>IF(A1078="","",A1078&amp;"|"&amp;D1078)</f>
        <v/>
      </c>
      <c r="F1078" s="5" t="inlineStr">
        <is>
          <t>Y</t>
        </is>
      </c>
      <c r="G1078" s="5" t="inlineStr">
        <is>
          <t>Other / bench</t>
        </is>
      </c>
      <c r="H1078" s="5" t="inlineStr">
        <is>
          <t>Low</t>
        </is>
      </c>
      <c r="I1078" s="5" t="n">
        <v>1</v>
      </c>
      <c r="J1078" s="5" t="n"/>
      <c r="K1078" s="10">
        <f>IFERROR(IF(INDEX('Test catalog'!$F$2:$F$200,MATCH($AB1078,'Test catalog'!$A$2:$A$200,0))="","",INDEX('Test catalog'!$F$2:$F$200,MATCH($AB1078,'Test catalog'!$A$2:$A$200,0))),"")</f>
        <v/>
      </c>
      <c r="L1078" s="10">
        <f>IFERROR(IF(INDEX('Test catalog'!$G$2:$G$200,MATCH($AB1078,'Test catalog'!$A$2:$A$200,0))="","",INDEX('Test catalog'!$G$2:$G$200,MATCH($AB1078,'Test catalog'!$A$2:$A$200,0))),"")</f>
        <v/>
      </c>
      <c r="M1078" s="10">
        <f>IFERROR(IF(INDEX('Test catalog'!$H$2:$H$200,MATCH($AB1078,'Test catalog'!$A$2:$A$200,0))="","",INDEX('Test catalog'!$H$2:$H$200,MATCH($AB1078,'Test catalog'!$A$2:$A$200,0))),"")</f>
        <v/>
      </c>
      <c r="N1078" s="10">
        <f>IFERROR(IF(INDEX('Test catalog'!$I$2:$I$200,MATCH($AB1078,'Test catalog'!$A$2:$A$200,0))="","",INDEX('Test catalog'!$I$2:$I$200,MATCH($AB1078,'Test catalog'!$A$2:$A$200,0))),"")</f>
        <v/>
      </c>
      <c r="O1078" s="10">
        <f>IFERROR(IF(INDEX('Test catalog'!$J$2:$J$200,MATCH($AB1078,'Test catalog'!$A$2:$A$200,0))="","",INDEX('Test catalog'!$J$2:$J$200,MATCH($AB1078,'Test catalog'!$A$2:$A$200,0))),"")</f>
        <v/>
      </c>
      <c r="P1078" s="14">
        <f>IF(N1078="","",IF(OR(M1078="",O1078=""),N1078,(M1078+4*N1078+O1078)/6))</f>
        <v/>
      </c>
      <c r="Q1078" s="10">
        <f>IFERROR(IF(INDEX('Test catalog'!$K$2:$K$200,MATCH($AB1078,'Test catalog'!$A$2:$A$200,0))="","",INDEX('Test catalog'!$K$2:$K$200,MATCH($AB1078,'Test catalog'!$A$2:$A$200,0))),"")</f>
        <v/>
      </c>
      <c r="R1078" s="5" t="n"/>
      <c r="S1078" s="10">
        <f>IFERROR(IF(INDEX('Test catalog'!$L$2:$L$200,MATCH($AB1078,'Test catalog'!$A$2:$A$200,0))="","",INDEX('Test catalog'!$L$2:$L$200,MATCH($AB1078,'Test catalog'!$A$2:$A$200,0))),"")</f>
        <v/>
      </c>
      <c r="T1078" s="10">
        <f>IFERROR(IF(INDEX('Test catalog'!$M$2:$M$200,MATCH($AB1078,'Test catalog'!$A$2:$A$200,0))="","",INDEX('Test catalog'!$M$2:$M$200,MATCH($AB1078,'Test catalog'!$A$2:$A$200,0))),"")</f>
        <v/>
      </c>
      <c r="U1078" s="10">
        <f>IFERROR(IF(INDEX('Test catalog'!$N$2:$N$200,MATCH($AB1078,'Test catalog'!$A$2:$A$200,0))="","",INDEX('Test catalog'!$N$2:$N$200,MATCH($AB1078,'Test catalog'!$A$2:$A$200,0))),"")</f>
        <v/>
      </c>
      <c r="V1078" s="15" t="n"/>
      <c r="W1078" s="5" t="inlineStr">
        <is>
          <t>N</t>
        </is>
      </c>
      <c r="X1078" s="5" t="n"/>
      <c r="Y1078" s="5" t="n"/>
      <c r="Z1078" s="5" t="n"/>
      <c r="AA1078" s="10">
        <f>IFERROR(IF(INDEX('Test catalog'!$O$2:$O$200,MATCH($AB1078,'Test catalog'!$A$2:$A$200,0))="","",INDEX('Test catalog'!$O$2:$O$200,MATCH($AB1078,'Test catalog'!$A$2:$A$200,0))),"")</f>
        <v/>
      </c>
      <c r="AB1078" s="10" t="inlineStr">
        <is>
          <t>ID_CHEM</t>
        </is>
      </c>
      <c r="AC1078" s="10" t="inlineStr">
        <is>
          <t>Carboxymethylcellulose Sodium · Identification</t>
        </is>
      </c>
      <c r="AD1078" s="10" t="n"/>
      <c r="AE1078" s="10" t="n"/>
    </row>
    <row r="1079">
      <c r="A1079" s="10" t="inlineStr">
        <is>
          <t>Sodium Carboxymethyl Cellulose (Medium Viscosity)</t>
        </is>
      </c>
      <c r="B1079" s="10" t="inlineStr">
        <is>
          <t>RM</t>
        </is>
      </c>
      <c r="C1079" s="10" t="inlineStr">
        <is>
          <t>Suspending Agent</t>
        </is>
      </c>
      <c r="D1079" s="10" t="inlineStr">
        <is>
          <t>ID C - chemical reaction</t>
        </is>
      </c>
      <c r="E1079" s="10">
        <f>IF(A1079="","",A1079&amp;"|"&amp;D1079)</f>
        <v/>
      </c>
      <c r="F1079" s="5" t="inlineStr">
        <is>
          <t>Y</t>
        </is>
      </c>
      <c r="G1079" s="5" t="inlineStr">
        <is>
          <t>Other / bench</t>
        </is>
      </c>
      <c r="H1079" s="5" t="inlineStr">
        <is>
          <t>Low</t>
        </is>
      </c>
      <c r="I1079" s="5" t="n">
        <v>1</v>
      </c>
      <c r="J1079" s="5" t="n"/>
      <c r="K1079" s="10">
        <f>IFERROR(IF(INDEX('Test catalog'!$F$2:$F$200,MATCH($AB1079,'Test catalog'!$A$2:$A$200,0))="","",INDEX('Test catalog'!$F$2:$F$200,MATCH($AB1079,'Test catalog'!$A$2:$A$200,0))),"")</f>
        <v/>
      </c>
      <c r="L1079" s="10">
        <f>IFERROR(IF(INDEX('Test catalog'!$G$2:$G$200,MATCH($AB1079,'Test catalog'!$A$2:$A$200,0))="","",INDEX('Test catalog'!$G$2:$G$200,MATCH($AB1079,'Test catalog'!$A$2:$A$200,0))),"")</f>
        <v/>
      </c>
      <c r="M1079" s="10">
        <f>IFERROR(IF(INDEX('Test catalog'!$H$2:$H$200,MATCH($AB1079,'Test catalog'!$A$2:$A$200,0))="","",INDEX('Test catalog'!$H$2:$H$200,MATCH($AB1079,'Test catalog'!$A$2:$A$200,0))),"")</f>
        <v/>
      </c>
      <c r="N1079" s="10">
        <f>IFERROR(IF(INDEX('Test catalog'!$I$2:$I$200,MATCH($AB1079,'Test catalog'!$A$2:$A$200,0))="","",INDEX('Test catalog'!$I$2:$I$200,MATCH($AB1079,'Test catalog'!$A$2:$A$200,0))),"")</f>
        <v/>
      </c>
      <c r="O1079" s="10">
        <f>IFERROR(IF(INDEX('Test catalog'!$J$2:$J$200,MATCH($AB1079,'Test catalog'!$A$2:$A$200,0))="","",INDEX('Test catalog'!$J$2:$J$200,MATCH($AB1079,'Test catalog'!$A$2:$A$200,0))),"")</f>
        <v/>
      </c>
      <c r="P1079" s="14">
        <f>IF(N1079="","",IF(OR(M1079="",O1079=""),N1079,(M1079+4*N1079+O1079)/6))</f>
        <v/>
      </c>
      <c r="Q1079" s="10">
        <f>IFERROR(IF(INDEX('Test catalog'!$K$2:$K$200,MATCH($AB1079,'Test catalog'!$A$2:$A$200,0))="","",INDEX('Test catalog'!$K$2:$K$200,MATCH($AB1079,'Test catalog'!$A$2:$A$200,0))),"")</f>
        <v/>
      </c>
      <c r="R1079" s="5" t="n"/>
      <c r="S1079" s="10">
        <f>IFERROR(IF(INDEX('Test catalog'!$L$2:$L$200,MATCH($AB1079,'Test catalog'!$A$2:$A$200,0))="","",INDEX('Test catalog'!$L$2:$L$200,MATCH($AB1079,'Test catalog'!$A$2:$A$200,0))),"")</f>
        <v/>
      </c>
      <c r="T1079" s="10">
        <f>IFERROR(IF(INDEX('Test catalog'!$M$2:$M$200,MATCH($AB1079,'Test catalog'!$A$2:$A$200,0))="","",INDEX('Test catalog'!$M$2:$M$200,MATCH($AB1079,'Test catalog'!$A$2:$A$200,0))),"")</f>
        <v/>
      </c>
      <c r="U1079" s="10">
        <f>IFERROR(IF(INDEX('Test catalog'!$N$2:$N$200,MATCH($AB1079,'Test catalog'!$A$2:$A$200,0))="","",INDEX('Test catalog'!$N$2:$N$200,MATCH($AB1079,'Test catalog'!$A$2:$A$200,0))),"")</f>
        <v/>
      </c>
      <c r="V1079" s="15" t="n"/>
      <c r="W1079" s="5" t="inlineStr">
        <is>
          <t>N</t>
        </is>
      </c>
      <c r="X1079" s="5" t="n"/>
      <c r="Y1079" s="5" t="n"/>
      <c r="Z1079" s="5" t="n"/>
      <c r="AA1079" s="10">
        <f>IFERROR(IF(INDEX('Test catalog'!$O$2:$O$200,MATCH($AB1079,'Test catalog'!$A$2:$A$200,0))="","",INDEX('Test catalog'!$O$2:$O$200,MATCH($AB1079,'Test catalog'!$A$2:$A$200,0))),"")</f>
        <v/>
      </c>
      <c r="AB1079" s="10" t="inlineStr">
        <is>
          <t>ID_CHEM</t>
        </is>
      </c>
      <c r="AC1079" s="10" t="inlineStr">
        <is>
          <t>Carboxymethylcellulose Sodium · Identification &lt;191&gt;</t>
        </is>
      </c>
      <c r="AD1079" s="10" t="n"/>
      <c r="AE1079" s="10" t="n"/>
    </row>
    <row r="1080">
      <c r="A1080" s="10" t="inlineStr">
        <is>
          <t>Sodium Carboxymethyl Cellulose (Medium Viscosity)</t>
        </is>
      </c>
      <c r="B1080" s="10" t="inlineStr">
        <is>
          <t>RM</t>
        </is>
      </c>
      <c r="C1080" s="10" t="inlineStr">
        <is>
          <t>Suspending Agent</t>
        </is>
      </c>
      <c r="D1080" s="10" t="inlineStr">
        <is>
          <t>ID - Assay or test by titration</t>
        </is>
      </c>
      <c r="E1080" s="10">
        <f>IF(A1080="","",A1080&amp;"|"&amp;D1080)</f>
        <v/>
      </c>
      <c r="F1080" s="5" t="inlineStr">
        <is>
          <t>Y</t>
        </is>
      </c>
      <c r="G1080" s="5" t="inlineStr">
        <is>
          <t>Other / bench</t>
        </is>
      </c>
      <c r="H1080" s="5" t="inlineStr">
        <is>
          <t>Low</t>
        </is>
      </c>
      <c r="I1080" s="5" t="n">
        <v>1</v>
      </c>
      <c r="J1080" s="5" t="n"/>
      <c r="K1080" s="10">
        <f>IFERROR(IF(INDEX('Test catalog'!$F$2:$F$200,MATCH($AB1080,'Test catalog'!$A$2:$A$200,0))="","",INDEX('Test catalog'!$F$2:$F$200,MATCH($AB1080,'Test catalog'!$A$2:$A$200,0))),"")</f>
        <v/>
      </c>
      <c r="L1080" s="10">
        <f>IFERROR(IF(INDEX('Test catalog'!$G$2:$G$200,MATCH($AB1080,'Test catalog'!$A$2:$A$200,0))="","",INDEX('Test catalog'!$G$2:$G$200,MATCH($AB1080,'Test catalog'!$A$2:$A$200,0))),"")</f>
        <v/>
      </c>
      <c r="M1080" s="10">
        <f>IFERROR(IF(INDEX('Test catalog'!$H$2:$H$200,MATCH($AB1080,'Test catalog'!$A$2:$A$200,0))="","",INDEX('Test catalog'!$H$2:$H$200,MATCH($AB1080,'Test catalog'!$A$2:$A$200,0))),"")</f>
        <v/>
      </c>
      <c r="N1080" s="10">
        <f>IFERROR(IF(INDEX('Test catalog'!$I$2:$I$200,MATCH($AB1080,'Test catalog'!$A$2:$A$200,0))="","",INDEX('Test catalog'!$I$2:$I$200,MATCH($AB1080,'Test catalog'!$A$2:$A$200,0))),"")</f>
        <v/>
      </c>
      <c r="O1080" s="10">
        <f>IFERROR(IF(INDEX('Test catalog'!$J$2:$J$200,MATCH($AB1080,'Test catalog'!$A$2:$A$200,0))="","",INDEX('Test catalog'!$J$2:$J$200,MATCH($AB1080,'Test catalog'!$A$2:$A$200,0))),"")</f>
        <v/>
      </c>
      <c r="P1080" s="14">
        <f>IF(N1080="","",IF(OR(M1080="",O1080=""),N1080,(M1080+4*N1080+O1080)/6))</f>
        <v/>
      </c>
      <c r="Q1080" s="10">
        <f>IFERROR(IF(INDEX('Test catalog'!$K$2:$K$200,MATCH($AB1080,'Test catalog'!$A$2:$A$200,0))="","",INDEX('Test catalog'!$K$2:$K$200,MATCH($AB1080,'Test catalog'!$A$2:$A$200,0))),"")</f>
        <v/>
      </c>
      <c r="R1080" s="5" t="n"/>
      <c r="S1080" s="10">
        <f>IFERROR(IF(INDEX('Test catalog'!$L$2:$L$200,MATCH($AB1080,'Test catalog'!$A$2:$A$200,0))="","",INDEX('Test catalog'!$L$2:$L$200,MATCH($AB1080,'Test catalog'!$A$2:$A$200,0))),"")</f>
        <v/>
      </c>
      <c r="T1080" s="10">
        <f>IFERROR(IF(INDEX('Test catalog'!$M$2:$M$200,MATCH($AB1080,'Test catalog'!$A$2:$A$200,0))="","",INDEX('Test catalog'!$M$2:$M$200,MATCH($AB1080,'Test catalog'!$A$2:$A$200,0))),"")</f>
        <v/>
      </c>
      <c r="U1080" s="10">
        <f>IFERROR(IF(INDEX('Test catalog'!$N$2:$N$200,MATCH($AB1080,'Test catalog'!$A$2:$A$200,0))="","",INDEX('Test catalog'!$N$2:$N$200,MATCH($AB1080,'Test catalog'!$A$2:$A$200,0))),"")</f>
        <v/>
      </c>
      <c r="V1080" s="15" t="n"/>
      <c r="W1080" s="5" t="inlineStr">
        <is>
          <t>N</t>
        </is>
      </c>
      <c r="X1080" s="5" t="n"/>
      <c r="Y1080" s="5" t="n"/>
      <c r="Z1080" s="5" t="n"/>
      <c r="AA1080" s="10">
        <f>IFERROR(IF(INDEX('Test catalog'!$O$2:$O$200,MATCH($AB1080,'Test catalog'!$A$2:$A$200,0))="","",INDEX('Test catalog'!$O$2:$O$200,MATCH($AB1080,'Test catalog'!$A$2:$A$200,0))),"")</f>
        <v/>
      </c>
      <c r="AB1080" s="10" t="inlineStr">
        <is>
          <t>TITR</t>
        </is>
      </c>
      <c r="AC1080" s="10" t="inlineStr">
        <is>
          <t>Carboxymethylcellulose Sodium · Identification</t>
        </is>
      </c>
      <c r="AD1080" s="10" t="n"/>
      <c r="AE1080" s="10" t="n"/>
    </row>
    <row r="1081">
      <c r="A1081" s="10" t="inlineStr">
        <is>
          <t>Sodium Carboxymethyl Cellulose (Medium Viscosity)</t>
        </is>
      </c>
      <c r="B1081" s="10" t="inlineStr">
        <is>
          <t>RM</t>
        </is>
      </c>
      <c r="C1081" s="10" t="inlineStr">
        <is>
          <t>Suspending Agent</t>
        </is>
      </c>
      <c r="D1081" s="10" t="inlineStr">
        <is>
          <t>Viscosity—Rotational Methods</t>
        </is>
      </c>
      <c r="E1081" s="10">
        <f>IF(A1081="","",A1081&amp;"|"&amp;D1081)</f>
        <v/>
      </c>
      <c r="F1081" s="5" t="inlineStr">
        <is>
          <t>Y</t>
        </is>
      </c>
      <c r="G1081" s="5" t="inlineStr">
        <is>
          <t>Other / bench</t>
        </is>
      </c>
      <c r="H1081" s="5" t="inlineStr">
        <is>
          <t>Low</t>
        </is>
      </c>
      <c r="I1081" s="5" t="n">
        <v>1</v>
      </c>
      <c r="J1081" s="5" t="n"/>
      <c r="K1081" s="10">
        <f>IFERROR(IF(INDEX('Test catalog'!$F$2:$F$200,MATCH($AB1081,'Test catalog'!$A$2:$A$200,0))="","",INDEX('Test catalog'!$F$2:$F$200,MATCH($AB1081,'Test catalog'!$A$2:$A$200,0))),"")</f>
        <v/>
      </c>
      <c r="L1081" s="10">
        <f>IFERROR(IF(INDEX('Test catalog'!$G$2:$G$200,MATCH($AB1081,'Test catalog'!$A$2:$A$200,0))="","",INDEX('Test catalog'!$G$2:$G$200,MATCH($AB1081,'Test catalog'!$A$2:$A$200,0))),"")</f>
        <v/>
      </c>
      <c r="M1081" s="10">
        <f>IFERROR(IF(INDEX('Test catalog'!$H$2:$H$200,MATCH($AB1081,'Test catalog'!$A$2:$A$200,0))="","",INDEX('Test catalog'!$H$2:$H$200,MATCH($AB1081,'Test catalog'!$A$2:$A$200,0))),"")</f>
        <v/>
      </c>
      <c r="N1081" s="10">
        <f>IFERROR(IF(INDEX('Test catalog'!$I$2:$I$200,MATCH($AB1081,'Test catalog'!$A$2:$A$200,0))="","",INDEX('Test catalog'!$I$2:$I$200,MATCH($AB1081,'Test catalog'!$A$2:$A$200,0))),"")</f>
        <v/>
      </c>
      <c r="O1081" s="10">
        <f>IFERROR(IF(INDEX('Test catalog'!$J$2:$J$200,MATCH($AB1081,'Test catalog'!$A$2:$A$200,0))="","",INDEX('Test catalog'!$J$2:$J$200,MATCH($AB1081,'Test catalog'!$A$2:$A$200,0))),"")</f>
        <v/>
      </c>
      <c r="P1081" s="14">
        <f>IF(N1081="","",IF(OR(M1081="",O1081=""),N1081,(M1081+4*N1081+O1081)/6))</f>
        <v/>
      </c>
      <c r="Q1081" s="10">
        <f>IFERROR(IF(INDEX('Test catalog'!$K$2:$K$200,MATCH($AB1081,'Test catalog'!$A$2:$A$200,0))="","",INDEX('Test catalog'!$K$2:$K$200,MATCH($AB1081,'Test catalog'!$A$2:$A$200,0))),"")</f>
        <v/>
      </c>
      <c r="R1081" s="5" t="n"/>
      <c r="S1081" s="10">
        <f>IFERROR(IF(INDEX('Test catalog'!$L$2:$L$200,MATCH($AB1081,'Test catalog'!$A$2:$A$200,0))="","",INDEX('Test catalog'!$L$2:$L$200,MATCH($AB1081,'Test catalog'!$A$2:$A$200,0))),"")</f>
        <v/>
      </c>
      <c r="T1081" s="10">
        <f>IFERROR(IF(INDEX('Test catalog'!$M$2:$M$200,MATCH($AB1081,'Test catalog'!$A$2:$A$200,0))="","",INDEX('Test catalog'!$M$2:$M$200,MATCH($AB1081,'Test catalog'!$A$2:$A$200,0))),"")</f>
        <v/>
      </c>
      <c r="U1081" s="10">
        <f>IFERROR(IF(INDEX('Test catalog'!$N$2:$N$200,MATCH($AB1081,'Test catalog'!$A$2:$A$200,0))="","",INDEX('Test catalog'!$N$2:$N$200,MATCH($AB1081,'Test catalog'!$A$2:$A$200,0))),"")</f>
        <v/>
      </c>
      <c r="V1081" s="15" t="n"/>
      <c r="W1081" s="5" t="inlineStr">
        <is>
          <t>N</t>
        </is>
      </c>
      <c r="X1081" s="5" t="n"/>
      <c r="Y1081" s="5" t="n"/>
      <c r="Z1081" s="5" t="n"/>
      <c r="AA1081" s="10">
        <f>IFERROR(IF(INDEX('Test catalog'!$O$2:$O$200,MATCH($AB1081,'Test catalog'!$A$2:$A$200,0))="","",INDEX('Test catalog'!$O$2:$O$200,MATCH($AB1081,'Test catalog'!$A$2:$A$200,0))),"")</f>
        <v/>
      </c>
      <c r="AB1081" s="10" t="inlineStr">
        <is>
          <t>VISC</t>
        </is>
      </c>
      <c r="AC1081" s="10" t="inlineStr">
        <is>
          <t>Carboxymethylcellulose Sodium · Specific Tests &lt;912&gt;</t>
        </is>
      </c>
      <c r="AD1081" s="10" t="n"/>
      <c r="AE1081" s="10" t="n"/>
    </row>
    <row r="1082">
      <c r="A1082" s="10" t="inlineStr">
        <is>
          <t>Sodium Carboxymethyl Cellulose (Medium Viscosity)</t>
        </is>
      </c>
      <c r="B1082" s="10" t="inlineStr">
        <is>
          <t>RM</t>
        </is>
      </c>
      <c r="C1082" s="10" t="inlineStr">
        <is>
          <t>Suspending Agent</t>
        </is>
      </c>
      <c r="D1082" s="10" t="inlineStr">
        <is>
          <t>pH</t>
        </is>
      </c>
      <c r="E1082" s="10">
        <f>IF(A1082="","",A1082&amp;"|"&amp;D1082)</f>
        <v/>
      </c>
      <c r="F1082" s="5" t="inlineStr">
        <is>
          <t>Y</t>
        </is>
      </c>
      <c r="G1082" s="5" t="inlineStr">
        <is>
          <t>Other / bench</t>
        </is>
      </c>
      <c r="H1082" s="5" t="inlineStr">
        <is>
          <t>Low</t>
        </is>
      </c>
      <c r="I1082" s="5" t="n">
        <v>1</v>
      </c>
      <c r="J1082" s="5" t="n"/>
      <c r="K1082" s="10">
        <f>IFERROR(IF(INDEX('Test catalog'!$F$2:$F$200,MATCH($AB1082,'Test catalog'!$A$2:$A$200,0))="","",INDEX('Test catalog'!$F$2:$F$200,MATCH($AB1082,'Test catalog'!$A$2:$A$200,0))),"")</f>
        <v/>
      </c>
      <c r="L1082" s="10">
        <f>IFERROR(IF(INDEX('Test catalog'!$G$2:$G$200,MATCH($AB1082,'Test catalog'!$A$2:$A$200,0))="","",INDEX('Test catalog'!$G$2:$G$200,MATCH($AB1082,'Test catalog'!$A$2:$A$200,0))),"")</f>
        <v/>
      </c>
      <c r="M1082" s="10">
        <f>IFERROR(IF(INDEX('Test catalog'!$H$2:$H$200,MATCH($AB1082,'Test catalog'!$A$2:$A$200,0))="","",INDEX('Test catalog'!$H$2:$H$200,MATCH($AB1082,'Test catalog'!$A$2:$A$200,0))),"")</f>
        <v/>
      </c>
      <c r="N1082" s="10">
        <f>IFERROR(IF(INDEX('Test catalog'!$I$2:$I$200,MATCH($AB1082,'Test catalog'!$A$2:$A$200,0))="","",INDEX('Test catalog'!$I$2:$I$200,MATCH($AB1082,'Test catalog'!$A$2:$A$200,0))),"")</f>
        <v/>
      </c>
      <c r="O1082" s="10">
        <f>IFERROR(IF(INDEX('Test catalog'!$J$2:$J$200,MATCH($AB1082,'Test catalog'!$A$2:$A$200,0))="","",INDEX('Test catalog'!$J$2:$J$200,MATCH($AB1082,'Test catalog'!$A$2:$A$200,0))),"")</f>
        <v/>
      </c>
      <c r="P1082" s="14">
        <f>IF(N1082="","",IF(OR(M1082="",O1082=""),N1082,(M1082+4*N1082+O1082)/6))</f>
        <v/>
      </c>
      <c r="Q1082" s="10">
        <f>IFERROR(IF(INDEX('Test catalog'!$K$2:$K$200,MATCH($AB1082,'Test catalog'!$A$2:$A$200,0))="","",INDEX('Test catalog'!$K$2:$K$200,MATCH($AB1082,'Test catalog'!$A$2:$A$200,0))),"")</f>
        <v/>
      </c>
      <c r="R1082" s="5" t="n"/>
      <c r="S1082" s="10">
        <f>IFERROR(IF(INDEX('Test catalog'!$L$2:$L$200,MATCH($AB1082,'Test catalog'!$A$2:$A$200,0))="","",INDEX('Test catalog'!$L$2:$L$200,MATCH($AB1082,'Test catalog'!$A$2:$A$200,0))),"")</f>
        <v/>
      </c>
      <c r="T1082" s="10">
        <f>IFERROR(IF(INDEX('Test catalog'!$M$2:$M$200,MATCH($AB1082,'Test catalog'!$A$2:$A$200,0))="","",INDEX('Test catalog'!$M$2:$M$200,MATCH($AB1082,'Test catalog'!$A$2:$A$200,0))),"")</f>
        <v/>
      </c>
      <c r="U1082" s="10">
        <f>IFERROR(IF(INDEX('Test catalog'!$N$2:$N$200,MATCH($AB1082,'Test catalog'!$A$2:$A$200,0))="","",INDEX('Test catalog'!$N$2:$N$200,MATCH($AB1082,'Test catalog'!$A$2:$A$200,0))),"")</f>
        <v/>
      </c>
      <c r="V1082" s="15" t="n"/>
      <c r="W1082" s="5" t="inlineStr">
        <is>
          <t>N</t>
        </is>
      </c>
      <c r="X1082" s="5" t="n"/>
      <c r="Y1082" s="5" t="n"/>
      <c r="Z1082" s="5" t="n"/>
      <c r="AA1082" s="10">
        <f>IFERROR(IF(INDEX('Test catalog'!$O$2:$O$200,MATCH($AB1082,'Test catalog'!$A$2:$A$200,0))="","",INDEX('Test catalog'!$O$2:$O$200,MATCH($AB1082,'Test catalog'!$A$2:$A$200,0))),"")</f>
        <v/>
      </c>
      <c r="AB1082" s="10" t="inlineStr">
        <is>
          <t>PH</t>
        </is>
      </c>
      <c r="AC1082" s="10" t="inlineStr">
        <is>
          <t>Carboxymethylcellulose Sodium · Specific Tests &lt;791&gt;</t>
        </is>
      </c>
      <c r="AD1082" s="10" t="n"/>
      <c r="AE1082" s="10" t="n"/>
    </row>
    <row r="1083">
      <c r="A1083" s="10" t="inlineStr">
        <is>
          <t>Sodium Carboxymethyl Cellulose (Medium Viscosity)</t>
        </is>
      </c>
      <c r="B1083" s="10" t="inlineStr">
        <is>
          <t>RM</t>
        </is>
      </c>
      <c r="C1083" s="10" t="inlineStr">
        <is>
          <t>Suspending Agent</t>
        </is>
      </c>
      <c r="D1083" s="10" t="inlineStr">
        <is>
          <t>Loss on Drying</t>
        </is>
      </c>
      <c r="E1083" s="10">
        <f>IF(A1083="","",A1083&amp;"|"&amp;D1083)</f>
        <v/>
      </c>
      <c r="F1083" s="5" t="inlineStr">
        <is>
          <t>Y</t>
        </is>
      </c>
      <c r="G1083" s="5" t="inlineStr">
        <is>
          <t>Other / bench</t>
        </is>
      </c>
      <c r="H1083" s="5" t="inlineStr">
        <is>
          <t>Low</t>
        </is>
      </c>
      <c r="I1083" s="5" t="n">
        <v>1</v>
      </c>
      <c r="J1083" s="5" t="n"/>
      <c r="K1083" s="10">
        <f>IFERROR(IF(INDEX('Test catalog'!$F$2:$F$200,MATCH($AB1083,'Test catalog'!$A$2:$A$200,0))="","",INDEX('Test catalog'!$F$2:$F$200,MATCH($AB1083,'Test catalog'!$A$2:$A$200,0))),"")</f>
        <v/>
      </c>
      <c r="L1083" s="10">
        <f>IFERROR(IF(INDEX('Test catalog'!$G$2:$G$200,MATCH($AB1083,'Test catalog'!$A$2:$A$200,0))="","",INDEX('Test catalog'!$G$2:$G$200,MATCH($AB1083,'Test catalog'!$A$2:$A$200,0))),"")</f>
        <v/>
      </c>
      <c r="M1083" s="10">
        <f>IFERROR(IF(INDEX('Test catalog'!$H$2:$H$200,MATCH($AB1083,'Test catalog'!$A$2:$A$200,0))="","",INDEX('Test catalog'!$H$2:$H$200,MATCH($AB1083,'Test catalog'!$A$2:$A$200,0))),"")</f>
        <v/>
      </c>
      <c r="N1083" s="10">
        <f>IFERROR(IF(INDEX('Test catalog'!$I$2:$I$200,MATCH($AB1083,'Test catalog'!$A$2:$A$200,0))="","",INDEX('Test catalog'!$I$2:$I$200,MATCH($AB1083,'Test catalog'!$A$2:$A$200,0))),"")</f>
        <v/>
      </c>
      <c r="O1083" s="10">
        <f>IFERROR(IF(INDEX('Test catalog'!$J$2:$J$200,MATCH($AB1083,'Test catalog'!$A$2:$A$200,0))="","",INDEX('Test catalog'!$J$2:$J$200,MATCH($AB1083,'Test catalog'!$A$2:$A$200,0))),"")</f>
        <v/>
      </c>
      <c r="P1083" s="14">
        <f>IF(N1083="","",IF(OR(M1083="",O1083=""),N1083,(M1083+4*N1083+O1083)/6))</f>
        <v/>
      </c>
      <c r="Q1083" s="10">
        <f>IFERROR(IF(INDEX('Test catalog'!$K$2:$K$200,MATCH($AB1083,'Test catalog'!$A$2:$A$200,0))="","",INDEX('Test catalog'!$K$2:$K$200,MATCH($AB1083,'Test catalog'!$A$2:$A$200,0))),"")</f>
        <v/>
      </c>
      <c r="R1083" s="5" t="n"/>
      <c r="S1083" s="10">
        <f>IFERROR(IF(INDEX('Test catalog'!$L$2:$L$200,MATCH($AB1083,'Test catalog'!$A$2:$A$200,0))="","",INDEX('Test catalog'!$L$2:$L$200,MATCH($AB1083,'Test catalog'!$A$2:$A$200,0))),"")</f>
        <v/>
      </c>
      <c r="T1083" s="10">
        <f>IFERROR(IF(INDEX('Test catalog'!$M$2:$M$200,MATCH($AB1083,'Test catalog'!$A$2:$A$200,0))="","",INDEX('Test catalog'!$M$2:$M$200,MATCH($AB1083,'Test catalog'!$A$2:$A$200,0))),"")</f>
        <v/>
      </c>
      <c r="U1083" s="10">
        <f>IFERROR(IF(INDEX('Test catalog'!$N$2:$N$200,MATCH($AB1083,'Test catalog'!$A$2:$A$200,0))="","",INDEX('Test catalog'!$N$2:$N$200,MATCH($AB1083,'Test catalog'!$A$2:$A$200,0))),"")</f>
        <v/>
      </c>
      <c r="V1083" s="15" t="n"/>
      <c r="W1083" s="5" t="inlineStr">
        <is>
          <t>N</t>
        </is>
      </c>
      <c r="X1083" s="5" t="n"/>
      <c r="Y1083" s="5" t="n"/>
      <c r="Z1083" s="5" t="n"/>
      <c r="AA1083" s="10">
        <f>IFERROR(IF(INDEX('Test catalog'!$O$2:$O$200,MATCH($AB1083,'Test catalog'!$A$2:$A$200,0))="","",INDEX('Test catalog'!$O$2:$O$200,MATCH($AB1083,'Test catalog'!$A$2:$A$200,0))),"")</f>
        <v/>
      </c>
      <c r="AB1083" s="10" t="inlineStr">
        <is>
          <t>LOD</t>
        </is>
      </c>
      <c r="AC1083" s="10" t="inlineStr">
        <is>
          <t>Carboxymethylcellulose Sodium · Specific Tests &lt;731&gt;</t>
        </is>
      </c>
      <c r="AD1083" s="10" t="n"/>
      <c r="AE1083" s="10" t="n"/>
    </row>
    <row r="1084">
      <c r="A1084" s="10" t="inlineStr">
        <is>
          <t>Neotame</t>
        </is>
      </c>
      <c r="B1084" s="10" t="inlineStr">
        <is>
          <t>RM</t>
        </is>
      </c>
      <c r="C1084" s="10" t="inlineStr">
        <is>
          <t>Sweetener</t>
        </is>
      </c>
      <c r="D1084" s="10" t="inlineStr">
        <is>
          <t>Appearance / description and solubility</t>
        </is>
      </c>
      <c r="E1084" s="10">
        <f>IF(A1084="","",A1084&amp;"|"&amp;D1084)</f>
        <v/>
      </c>
      <c r="F1084" s="5" t="inlineStr">
        <is>
          <t>Y</t>
        </is>
      </c>
      <c r="G1084" s="5" t="inlineStr">
        <is>
          <t>Other / bench</t>
        </is>
      </c>
      <c r="H1084" s="5" t="inlineStr">
        <is>
          <t>Low</t>
        </is>
      </c>
      <c r="I1084" s="5" t="n">
        <v>1</v>
      </c>
      <c r="J1084" s="5" t="n"/>
      <c r="K1084" s="10">
        <f>IFERROR(IF(INDEX('Test catalog'!$F$2:$F$200,MATCH($AB1084,'Test catalog'!$A$2:$A$200,0))="","",INDEX('Test catalog'!$F$2:$F$200,MATCH($AB1084,'Test catalog'!$A$2:$A$200,0))),"")</f>
        <v/>
      </c>
      <c r="L1084" s="10">
        <f>IFERROR(IF(INDEX('Test catalog'!$G$2:$G$200,MATCH($AB1084,'Test catalog'!$A$2:$A$200,0))="","",INDEX('Test catalog'!$G$2:$G$200,MATCH($AB1084,'Test catalog'!$A$2:$A$200,0))),"")</f>
        <v/>
      </c>
      <c r="M1084" s="10">
        <f>IFERROR(IF(INDEX('Test catalog'!$H$2:$H$200,MATCH($AB1084,'Test catalog'!$A$2:$A$200,0))="","",INDEX('Test catalog'!$H$2:$H$200,MATCH($AB1084,'Test catalog'!$A$2:$A$200,0))),"")</f>
        <v/>
      </c>
      <c r="N1084" s="10">
        <f>IFERROR(IF(INDEX('Test catalog'!$I$2:$I$200,MATCH($AB1084,'Test catalog'!$A$2:$A$200,0))="","",INDEX('Test catalog'!$I$2:$I$200,MATCH($AB1084,'Test catalog'!$A$2:$A$200,0))),"")</f>
        <v/>
      </c>
      <c r="O1084" s="10">
        <f>IFERROR(IF(INDEX('Test catalog'!$J$2:$J$200,MATCH($AB1084,'Test catalog'!$A$2:$A$200,0))="","",INDEX('Test catalog'!$J$2:$J$200,MATCH($AB1084,'Test catalog'!$A$2:$A$200,0))),"")</f>
        <v/>
      </c>
      <c r="P1084" s="14">
        <f>IF(N1084="","",IF(OR(M1084="",O1084=""),N1084,(M1084+4*N1084+O1084)/6))</f>
        <v/>
      </c>
      <c r="Q1084" s="10">
        <f>IFERROR(IF(INDEX('Test catalog'!$K$2:$K$200,MATCH($AB1084,'Test catalog'!$A$2:$A$200,0))="","",INDEX('Test catalog'!$K$2:$K$200,MATCH($AB1084,'Test catalog'!$A$2:$A$200,0))),"")</f>
        <v/>
      </c>
      <c r="R1084" s="5" t="n"/>
      <c r="S1084" s="10">
        <f>IFERROR(IF(INDEX('Test catalog'!$L$2:$L$200,MATCH($AB1084,'Test catalog'!$A$2:$A$200,0))="","",INDEX('Test catalog'!$L$2:$L$200,MATCH($AB1084,'Test catalog'!$A$2:$A$200,0))),"")</f>
        <v/>
      </c>
      <c r="T1084" s="10">
        <f>IFERROR(IF(INDEX('Test catalog'!$M$2:$M$200,MATCH($AB1084,'Test catalog'!$A$2:$A$200,0))="","",INDEX('Test catalog'!$M$2:$M$200,MATCH($AB1084,'Test catalog'!$A$2:$A$200,0))),"")</f>
        <v/>
      </c>
      <c r="U1084" s="10">
        <f>IFERROR(IF(INDEX('Test catalog'!$N$2:$N$200,MATCH($AB1084,'Test catalog'!$A$2:$A$200,0))="","",INDEX('Test catalog'!$N$2:$N$200,MATCH($AB1084,'Test catalog'!$A$2:$A$200,0))),"")</f>
        <v/>
      </c>
      <c r="V1084" s="15" t="n"/>
      <c r="W1084" s="5" t="inlineStr">
        <is>
          <t>N</t>
        </is>
      </c>
      <c r="X1084" s="5" t="n"/>
      <c r="Y1084" s="5" t="n"/>
      <c r="Z1084" s="5" t="n"/>
      <c r="AA1084" s="10">
        <f>IFERROR(IF(INDEX('Test catalog'!$O$2:$O$200,MATCH($AB1084,'Test catalog'!$A$2:$A$200,0))="","",INDEX('Test catalog'!$O$2:$O$200,MATCH($AB1084,'Test catalog'!$A$2:$A$200,0))),"")</f>
        <v/>
      </c>
      <c r="AB1084" s="10" t="inlineStr">
        <is>
          <t>APPEAR</t>
        </is>
      </c>
      <c r="AC1084" s="10" t="inlineStr">
        <is>
          <t>Lab practice (not a USP test)</t>
        </is>
      </c>
      <c r="AD1084" s="10" t="n"/>
      <c r="AE1084" s="10" t="n"/>
    </row>
    <row r="1085">
      <c r="A1085" s="10" t="inlineStr">
        <is>
          <t>Neotame</t>
        </is>
      </c>
      <c r="B1085" s="10" t="inlineStr">
        <is>
          <t>RM</t>
        </is>
      </c>
      <c r="C1085" s="10" t="inlineStr">
        <is>
          <t>Sweetener</t>
        </is>
      </c>
      <c r="D1085" s="10" t="inlineStr">
        <is>
          <t>ID A - IR spectrum</t>
        </is>
      </c>
      <c r="E1085" s="10">
        <f>IF(A1085="","",A1085&amp;"|"&amp;D1085)</f>
        <v/>
      </c>
      <c r="F1085" s="5" t="inlineStr">
        <is>
          <t>Y</t>
        </is>
      </c>
      <c r="G1085" s="5" t="inlineStr">
        <is>
          <t>Other / bench</t>
        </is>
      </c>
      <c r="H1085" s="5" t="inlineStr">
        <is>
          <t>Low</t>
        </is>
      </c>
      <c r="I1085" s="5" t="n">
        <v>1</v>
      </c>
      <c r="J1085" s="5" t="n"/>
      <c r="K1085" s="10">
        <f>IFERROR(IF(INDEX('Test catalog'!$F$2:$F$200,MATCH($AB1085,'Test catalog'!$A$2:$A$200,0))="","",INDEX('Test catalog'!$F$2:$F$200,MATCH($AB1085,'Test catalog'!$A$2:$A$200,0))),"")</f>
        <v/>
      </c>
      <c r="L1085" s="10">
        <f>IFERROR(IF(INDEX('Test catalog'!$G$2:$G$200,MATCH($AB1085,'Test catalog'!$A$2:$A$200,0))="","",INDEX('Test catalog'!$G$2:$G$200,MATCH($AB1085,'Test catalog'!$A$2:$A$200,0))),"")</f>
        <v/>
      </c>
      <c r="M1085" s="10">
        <f>IFERROR(IF(INDEX('Test catalog'!$H$2:$H$200,MATCH($AB1085,'Test catalog'!$A$2:$A$200,0))="","",INDEX('Test catalog'!$H$2:$H$200,MATCH($AB1085,'Test catalog'!$A$2:$A$200,0))),"")</f>
        <v/>
      </c>
      <c r="N1085" s="10">
        <f>IFERROR(IF(INDEX('Test catalog'!$I$2:$I$200,MATCH($AB1085,'Test catalog'!$A$2:$A$200,0))="","",INDEX('Test catalog'!$I$2:$I$200,MATCH($AB1085,'Test catalog'!$A$2:$A$200,0))),"")</f>
        <v/>
      </c>
      <c r="O1085" s="10">
        <f>IFERROR(IF(INDEX('Test catalog'!$J$2:$J$200,MATCH($AB1085,'Test catalog'!$A$2:$A$200,0))="","",INDEX('Test catalog'!$J$2:$J$200,MATCH($AB1085,'Test catalog'!$A$2:$A$200,0))),"")</f>
        <v/>
      </c>
      <c r="P1085" s="14">
        <f>IF(N1085="","",IF(OR(M1085="",O1085=""),N1085,(M1085+4*N1085+O1085)/6))</f>
        <v/>
      </c>
      <c r="Q1085" s="10">
        <f>IFERROR(IF(INDEX('Test catalog'!$K$2:$K$200,MATCH($AB1085,'Test catalog'!$A$2:$A$200,0))="","",INDEX('Test catalog'!$K$2:$K$200,MATCH($AB1085,'Test catalog'!$A$2:$A$200,0))),"")</f>
        <v/>
      </c>
      <c r="R1085" s="5" t="n"/>
      <c r="S1085" s="10">
        <f>IFERROR(IF(INDEX('Test catalog'!$L$2:$L$200,MATCH($AB1085,'Test catalog'!$A$2:$A$200,0))="","",INDEX('Test catalog'!$L$2:$L$200,MATCH($AB1085,'Test catalog'!$A$2:$A$200,0))),"")</f>
        <v/>
      </c>
      <c r="T1085" s="10">
        <f>IFERROR(IF(INDEX('Test catalog'!$M$2:$M$200,MATCH($AB1085,'Test catalog'!$A$2:$A$200,0))="","",INDEX('Test catalog'!$M$2:$M$200,MATCH($AB1085,'Test catalog'!$A$2:$A$200,0))),"")</f>
        <v/>
      </c>
      <c r="U1085" s="10">
        <f>IFERROR(IF(INDEX('Test catalog'!$N$2:$N$200,MATCH($AB1085,'Test catalog'!$A$2:$A$200,0))="","",INDEX('Test catalog'!$N$2:$N$200,MATCH($AB1085,'Test catalog'!$A$2:$A$200,0))),"")</f>
        <v/>
      </c>
      <c r="V1085" s="15" t="n"/>
      <c r="W1085" s="5" t="inlineStr">
        <is>
          <t>N</t>
        </is>
      </c>
      <c r="X1085" s="5" t="n"/>
      <c r="Y1085" s="5" t="n"/>
      <c r="Z1085" s="5" t="n"/>
      <c r="AA1085" s="10">
        <f>IFERROR(IF(INDEX('Test catalog'!$O$2:$O$200,MATCH($AB1085,'Test catalog'!$A$2:$A$200,0))="","",INDEX('Test catalog'!$O$2:$O$200,MATCH($AB1085,'Test catalog'!$A$2:$A$200,0))),"")</f>
        <v/>
      </c>
      <c r="AB1085" s="10" t="inlineStr">
        <is>
          <t>ID_IR</t>
        </is>
      </c>
      <c r="AC1085" s="10" t="inlineStr">
        <is>
          <t>Neotame · Identification &lt;197&gt;</t>
        </is>
      </c>
      <c r="AD1085" s="10" t="n"/>
      <c r="AE1085" s="10" t="n"/>
    </row>
    <row r="1086">
      <c r="A1086" s="10" t="inlineStr">
        <is>
          <t>Neotame</t>
        </is>
      </c>
      <c r="B1086" s="10" t="inlineStr">
        <is>
          <t>RM</t>
        </is>
      </c>
      <c r="C1086" s="10" t="inlineStr">
        <is>
          <t>Sweetener</t>
        </is>
      </c>
      <c r="D1086" s="10" t="inlineStr">
        <is>
          <t>Assay (HPLC)</t>
        </is>
      </c>
      <c r="E1086" s="10">
        <f>IF(A1086="","",A1086&amp;"|"&amp;D1086)</f>
        <v/>
      </c>
      <c r="F1086" s="5" t="inlineStr">
        <is>
          <t>Y</t>
        </is>
      </c>
      <c r="G1086" s="5" t="inlineStr">
        <is>
          <t>HPLC</t>
        </is>
      </c>
      <c r="H1086" s="5" t="inlineStr">
        <is>
          <t>Medium</t>
        </is>
      </c>
      <c r="I1086" s="5" t="n">
        <v>1</v>
      </c>
      <c r="J1086" s="5" t="n"/>
      <c r="K1086" s="5" t="n"/>
      <c r="L1086" s="5" t="n"/>
      <c r="M1086" s="5" t="n"/>
      <c r="N1086" s="5" t="n"/>
      <c r="O1086" s="5" t="n"/>
      <c r="P1086" s="14">
        <f>IF(N1086="","",IF(OR(M1086="",O1086=""),N1086,(M1086+4*N1086+O1086)/6))</f>
        <v/>
      </c>
      <c r="Q1086" s="5" t="n"/>
      <c r="R1086" s="5" t="n"/>
      <c r="S1086" s="5" t="n"/>
      <c r="T1086" s="5" t="n"/>
      <c r="U1086" s="5" t="n"/>
      <c r="V1086" s="15" t="n"/>
      <c r="W1086" s="5" t="inlineStr">
        <is>
          <t>N</t>
        </is>
      </c>
      <c r="X1086" s="5" t="n"/>
      <c r="Y1086" s="5" t="n"/>
      <c r="Z1086" s="5" t="n"/>
      <c r="AA1086" s="5" t="n"/>
      <c r="AB1086" s="10" t="n"/>
      <c r="AC1086" s="10" t="inlineStr">
        <is>
          <t>Neotame · Assay</t>
        </is>
      </c>
      <c r="AD1086" s="10" t="n"/>
      <c r="AE1086" s="10" t="n"/>
    </row>
    <row r="1087">
      <c r="A1087" s="10" t="inlineStr">
        <is>
          <t>Neotame</t>
        </is>
      </c>
      <c r="B1087" s="10" t="inlineStr">
        <is>
          <t>RM</t>
        </is>
      </c>
      <c r="C1087" s="10" t="inlineStr">
        <is>
          <t>Sweetener</t>
        </is>
      </c>
      <c r="D1087" s="10" t="inlineStr">
        <is>
          <t>Residue on Ignition</t>
        </is>
      </c>
      <c r="E1087" s="10">
        <f>IF(A1087="","",A1087&amp;"|"&amp;D1087)</f>
        <v/>
      </c>
      <c r="F1087" s="5" t="inlineStr">
        <is>
          <t>Y</t>
        </is>
      </c>
      <c r="G1087" s="5" t="inlineStr">
        <is>
          <t>Other / bench</t>
        </is>
      </c>
      <c r="H1087" s="5" t="inlineStr">
        <is>
          <t>Low</t>
        </is>
      </c>
      <c r="I1087" s="5" t="n">
        <v>1</v>
      </c>
      <c r="J1087" s="5" t="n"/>
      <c r="K1087" s="10">
        <f>IFERROR(IF(INDEX('Test catalog'!$F$2:$F$200,MATCH($AB1087,'Test catalog'!$A$2:$A$200,0))="","",INDEX('Test catalog'!$F$2:$F$200,MATCH($AB1087,'Test catalog'!$A$2:$A$200,0))),"")</f>
        <v/>
      </c>
      <c r="L1087" s="10">
        <f>IFERROR(IF(INDEX('Test catalog'!$G$2:$G$200,MATCH($AB1087,'Test catalog'!$A$2:$A$200,0))="","",INDEX('Test catalog'!$G$2:$G$200,MATCH($AB1087,'Test catalog'!$A$2:$A$200,0))),"")</f>
        <v/>
      </c>
      <c r="M1087" s="10">
        <f>IFERROR(IF(INDEX('Test catalog'!$H$2:$H$200,MATCH($AB1087,'Test catalog'!$A$2:$A$200,0))="","",INDEX('Test catalog'!$H$2:$H$200,MATCH($AB1087,'Test catalog'!$A$2:$A$200,0))),"")</f>
        <v/>
      </c>
      <c r="N1087" s="10">
        <f>IFERROR(IF(INDEX('Test catalog'!$I$2:$I$200,MATCH($AB1087,'Test catalog'!$A$2:$A$200,0))="","",INDEX('Test catalog'!$I$2:$I$200,MATCH($AB1087,'Test catalog'!$A$2:$A$200,0))),"")</f>
        <v/>
      </c>
      <c r="O1087" s="10">
        <f>IFERROR(IF(INDEX('Test catalog'!$J$2:$J$200,MATCH($AB1087,'Test catalog'!$A$2:$A$200,0))="","",INDEX('Test catalog'!$J$2:$J$200,MATCH($AB1087,'Test catalog'!$A$2:$A$200,0))),"")</f>
        <v/>
      </c>
      <c r="P1087" s="14">
        <f>IF(N1087="","",IF(OR(M1087="",O1087=""),N1087,(M1087+4*N1087+O1087)/6))</f>
        <v/>
      </c>
      <c r="Q1087" s="10">
        <f>IFERROR(IF(INDEX('Test catalog'!$K$2:$K$200,MATCH($AB1087,'Test catalog'!$A$2:$A$200,0))="","",INDEX('Test catalog'!$K$2:$K$200,MATCH($AB1087,'Test catalog'!$A$2:$A$200,0))),"")</f>
        <v/>
      </c>
      <c r="R1087" s="5" t="n"/>
      <c r="S1087" s="10">
        <f>IFERROR(IF(INDEX('Test catalog'!$L$2:$L$200,MATCH($AB1087,'Test catalog'!$A$2:$A$200,0))="","",INDEX('Test catalog'!$L$2:$L$200,MATCH($AB1087,'Test catalog'!$A$2:$A$200,0))),"")</f>
        <v/>
      </c>
      <c r="T1087" s="10">
        <f>IFERROR(IF(INDEX('Test catalog'!$M$2:$M$200,MATCH($AB1087,'Test catalog'!$A$2:$A$200,0))="","",INDEX('Test catalog'!$M$2:$M$200,MATCH($AB1087,'Test catalog'!$A$2:$A$200,0))),"")</f>
        <v/>
      </c>
      <c r="U1087" s="10">
        <f>IFERROR(IF(INDEX('Test catalog'!$N$2:$N$200,MATCH($AB1087,'Test catalog'!$A$2:$A$200,0))="","",INDEX('Test catalog'!$N$2:$N$200,MATCH($AB1087,'Test catalog'!$A$2:$A$200,0))),"")</f>
        <v/>
      </c>
      <c r="V1087" s="15" t="n"/>
      <c r="W1087" s="5" t="inlineStr">
        <is>
          <t>N</t>
        </is>
      </c>
      <c r="X1087" s="5" t="n"/>
      <c r="Y1087" s="5" t="n"/>
      <c r="Z1087" s="5" t="n"/>
      <c r="AA1087" s="10">
        <f>IFERROR(IF(INDEX('Test catalog'!$O$2:$O$200,MATCH($AB1087,'Test catalog'!$A$2:$A$200,0))="","",INDEX('Test catalog'!$O$2:$O$200,MATCH($AB1087,'Test catalog'!$A$2:$A$200,0))),"")</f>
        <v/>
      </c>
      <c r="AB1087" s="10" t="inlineStr">
        <is>
          <t>ROI</t>
        </is>
      </c>
      <c r="AC1087" s="10" t="inlineStr">
        <is>
          <t>Neotame · Impurities &lt;281&gt;</t>
        </is>
      </c>
      <c r="AD1087" s="10" t="n"/>
      <c r="AE1087" s="10" t="n"/>
    </row>
    <row r="1088">
      <c r="A1088" s="10" t="inlineStr">
        <is>
          <t>Neotame</t>
        </is>
      </c>
      <c r="B1088" s="10" t="inlineStr">
        <is>
          <t>RM</t>
        </is>
      </c>
      <c r="C1088" s="10" t="inlineStr">
        <is>
          <t>Sweetener</t>
        </is>
      </c>
      <c r="D1088" s="10" t="inlineStr">
        <is>
          <t>Lead</t>
        </is>
      </c>
      <c r="E1088" s="10">
        <f>IF(A1088="","",A1088&amp;"|"&amp;D1088)</f>
        <v/>
      </c>
      <c r="F1088" s="5" t="inlineStr">
        <is>
          <t>Y</t>
        </is>
      </c>
      <c r="G1088" s="5" t="inlineStr">
        <is>
          <t>AAS / ICP</t>
        </is>
      </c>
      <c r="H1088" s="5" t="inlineStr">
        <is>
          <t>Low</t>
        </is>
      </c>
      <c r="I1088" s="5" t="n">
        <v>1</v>
      </c>
      <c r="J1088" s="5" t="n"/>
      <c r="K1088" s="10">
        <f>IFERROR(IF(INDEX('Test catalog'!$F$2:$F$200,MATCH($AB1088,'Test catalog'!$A$2:$A$200,0))="","",INDEX('Test catalog'!$F$2:$F$200,MATCH($AB1088,'Test catalog'!$A$2:$A$200,0))),"")</f>
        <v/>
      </c>
      <c r="L1088" s="10">
        <f>IFERROR(IF(INDEX('Test catalog'!$G$2:$G$200,MATCH($AB1088,'Test catalog'!$A$2:$A$200,0))="","",INDEX('Test catalog'!$G$2:$G$200,MATCH($AB1088,'Test catalog'!$A$2:$A$200,0))),"")</f>
        <v/>
      </c>
      <c r="M1088" s="10">
        <f>IFERROR(IF(INDEX('Test catalog'!$H$2:$H$200,MATCH($AB1088,'Test catalog'!$A$2:$A$200,0))="","",INDEX('Test catalog'!$H$2:$H$200,MATCH($AB1088,'Test catalog'!$A$2:$A$200,0))),"")</f>
        <v/>
      </c>
      <c r="N1088" s="10">
        <f>IFERROR(IF(INDEX('Test catalog'!$I$2:$I$200,MATCH($AB1088,'Test catalog'!$A$2:$A$200,0))="","",INDEX('Test catalog'!$I$2:$I$200,MATCH($AB1088,'Test catalog'!$A$2:$A$200,0))),"")</f>
        <v/>
      </c>
      <c r="O1088" s="10">
        <f>IFERROR(IF(INDEX('Test catalog'!$J$2:$J$200,MATCH($AB1088,'Test catalog'!$A$2:$A$200,0))="","",INDEX('Test catalog'!$J$2:$J$200,MATCH($AB1088,'Test catalog'!$A$2:$A$200,0))),"")</f>
        <v/>
      </c>
      <c r="P1088" s="14">
        <f>IF(N1088="","",IF(OR(M1088="",O1088=""),N1088,(M1088+4*N1088+O1088)/6))</f>
        <v/>
      </c>
      <c r="Q1088" s="10">
        <f>IFERROR(IF(INDEX('Test catalog'!$K$2:$K$200,MATCH($AB1088,'Test catalog'!$A$2:$A$200,0))="","",INDEX('Test catalog'!$K$2:$K$200,MATCH($AB1088,'Test catalog'!$A$2:$A$200,0))),"")</f>
        <v/>
      </c>
      <c r="R1088" s="5" t="n"/>
      <c r="S1088" s="10">
        <f>IFERROR(IF(INDEX('Test catalog'!$L$2:$L$200,MATCH($AB1088,'Test catalog'!$A$2:$A$200,0))="","",INDEX('Test catalog'!$L$2:$L$200,MATCH($AB1088,'Test catalog'!$A$2:$A$200,0))),"")</f>
        <v/>
      </c>
      <c r="T1088" s="10">
        <f>IFERROR(IF(INDEX('Test catalog'!$M$2:$M$200,MATCH($AB1088,'Test catalog'!$A$2:$A$200,0))="","",INDEX('Test catalog'!$M$2:$M$200,MATCH($AB1088,'Test catalog'!$A$2:$A$200,0))),"")</f>
        <v/>
      </c>
      <c r="U1088" s="10">
        <f>IFERROR(IF(INDEX('Test catalog'!$N$2:$N$200,MATCH($AB1088,'Test catalog'!$A$2:$A$200,0))="","",INDEX('Test catalog'!$N$2:$N$200,MATCH($AB1088,'Test catalog'!$A$2:$A$200,0))),"")</f>
        <v/>
      </c>
      <c r="V1088" s="15" t="n"/>
      <c r="W1088" s="5" t="inlineStr">
        <is>
          <t>N</t>
        </is>
      </c>
      <c r="X1088" s="5" t="n"/>
      <c r="Y1088" s="5" t="n"/>
      <c r="Z1088" s="5" t="n"/>
      <c r="AA1088" s="10">
        <f>IFERROR(IF(INDEX('Test catalog'!$O$2:$O$200,MATCH($AB1088,'Test catalog'!$A$2:$A$200,0))="","",INDEX('Test catalog'!$O$2:$O$200,MATCH($AB1088,'Test catalog'!$A$2:$A$200,0))),"")</f>
        <v/>
      </c>
      <c r="AB1088" s="10" t="inlineStr">
        <is>
          <t>AAS</t>
        </is>
      </c>
      <c r="AC1088" s="10" t="inlineStr">
        <is>
          <t>Neotame · Impurities</t>
        </is>
      </c>
      <c r="AD1088" s="10" t="n"/>
      <c r="AE1088" s="10" t="n"/>
    </row>
    <row r="1089">
      <c r="A1089" s="10" t="inlineStr">
        <is>
          <t>Neotame</t>
        </is>
      </c>
      <c r="B1089" s="10" t="inlineStr">
        <is>
          <t>RM</t>
        </is>
      </c>
      <c r="C1089" s="10" t="inlineStr">
        <is>
          <t>Sweetener</t>
        </is>
      </c>
      <c r="D1089" s="10" t="inlineStr">
        <is>
          <t>Related Compounds (HPLC)</t>
        </is>
      </c>
      <c r="E1089" s="10">
        <f>IF(A1089="","",A1089&amp;"|"&amp;D1089)</f>
        <v/>
      </c>
      <c r="F1089" s="5" t="inlineStr">
        <is>
          <t>Y</t>
        </is>
      </c>
      <c r="G1089" s="5" t="inlineStr">
        <is>
          <t>HPLC</t>
        </is>
      </c>
      <c r="H1089" s="5" t="inlineStr">
        <is>
          <t>Medium</t>
        </is>
      </c>
      <c r="I1089" s="5" t="n">
        <v>1</v>
      </c>
      <c r="J1089" s="5" t="n"/>
      <c r="K1089" s="5" t="n"/>
      <c r="L1089" s="5" t="n"/>
      <c r="M1089" s="5" t="n"/>
      <c r="N1089" s="5" t="n"/>
      <c r="O1089" s="5" t="n"/>
      <c r="P1089" s="14">
        <f>IF(N1089="","",IF(OR(M1089="",O1089=""),N1089,(M1089+4*N1089+O1089)/6))</f>
        <v/>
      </c>
      <c r="Q1089" s="5" t="n"/>
      <c r="R1089" s="5" t="n"/>
      <c r="S1089" s="5" t="n"/>
      <c r="T1089" s="5" t="n"/>
      <c r="U1089" s="5" t="n"/>
      <c r="V1089" s="15" t="n"/>
      <c r="W1089" s="5" t="inlineStr">
        <is>
          <t>N</t>
        </is>
      </c>
      <c r="X1089" s="5" t="n"/>
      <c r="Y1089" s="5" t="n"/>
      <c r="Z1089" s="5" t="n"/>
      <c r="AA1089" s="5" t="n"/>
      <c r="AB1089" s="10" t="n"/>
      <c r="AC1089" s="10" t="inlineStr">
        <is>
          <t>Neotame · Impurities</t>
        </is>
      </c>
      <c r="AD1089" s="10" t="n"/>
      <c r="AE1089" s="10" t="n"/>
    </row>
    <row r="1090">
      <c r="A1090" s="10" t="inlineStr">
        <is>
          <t>Neotame</t>
        </is>
      </c>
      <c r="B1090" s="10" t="inlineStr">
        <is>
          <t>RM</t>
        </is>
      </c>
      <c r="C1090" s="10" t="inlineStr">
        <is>
          <t>Sweetener</t>
        </is>
      </c>
      <c r="D1090" s="10" t="inlineStr">
        <is>
          <t>Optical Rotation</t>
        </is>
      </c>
      <c r="E1090" s="10">
        <f>IF(A1090="","",A1090&amp;"|"&amp;D1090)</f>
        <v/>
      </c>
      <c r="F1090" s="5" t="inlineStr">
        <is>
          <t>Y</t>
        </is>
      </c>
      <c r="G1090" s="5" t="inlineStr">
        <is>
          <t>Other / bench</t>
        </is>
      </c>
      <c r="H1090" s="5" t="inlineStr">
        <is>
          <t>Low</t>
        </is>
      </c>
      <c r="I1090" s="5" t="n">
        <v>1</v>
      </c>
      <c r="J1090" s="5" t="n"/>
      <c r="K1090" s="10">
        <f>IFERROR(IF(INDEX('Test catalog'!$F$2:$F$200,MATCH($AB1090,'Test catalog'!$A$2:$A$200,0))="","",INDEX('Test catalog'!$F$2:$F$200,MATCH($AB1090,'Test catalog'!$A$2:$A$200,0))),"")</f>
        <v/>
      </c>
      <c r="L1090" s="10">
        <f>IFERROR(IF(INDEX('Test catalog'!$G$2:$G$200,MATCH($AB1090,'Test catalog'!$A$2:$A$200,0))="","",INDEX('Test catalog'!$G$2:$G$200,MATCH($AB1090,'Test catalog'!$A$2:$A$200,0))),"")</f>
        <v/>
      </c>
      <c r="M1090" s="10">
        <f>IFERROR(IF(INDEX('Test catalog'!$H$2:$H$200,MATCH($AB1090,'Test catalog'!$A$2:$A$200,0))="","",INDEX('Test catalog'!$H$2:$H$200,MATCH($AB1090,'Test catalog'!$A$2:$A$200,0))),"")</f>
        <v/>
      </c>
      <c r="N1090" s="10">
        <f>IFERROR(IF(INDEX('Test catalog'!$I$2:$I$200,MATCH($AB1090,'Test catalog'!$A$2:$A$200,0))="","",INDEX('Test catalog'!$I$2:$I$200,MATCH($AB1090,'Test catalog'!$A$2:$A$200,0))),"")</f>
        <v/>
      </c>
      <c r="O1090" s="10">
        <f>IFERROR(IF(INDEX('Test catalog'!$J$2:$J$200,MATCH($AB1090,'Test catalog'!$A$2:$A$200,0))="","",INDEX('Test catalog'!$J$2:$J$200,MATCH($AB1090,'Test catalog'!$A$2:$A$200,0))),"")</f>
        <v/>
      </c>
      <c r="P1090" s="14">
        <f>IF(N1090="","",IF(OR(M1090="",O1090=""),N1090,(M1090+4*N1090+O1090)/6))</f>
        <v/>
      </c>
      <c r="Q1090" s="10">
        <f>IFERROR(IF(INDEX('Test catalog'!$K$2:$K$200,MATCH($AB1090,'Test catalog'!$A$2:$A$200,0))="","",INDEX('Test catalog'!$K$2:$K$200,MATCH($AB1090,'Test catalog'!$A$2:$A$200,0))),"")</f>
        <v/>
      </c>
      <c r="R1090" s="5" t="n"/>
      <c r="S1090" s="10">
        <f>IFERROR(IF(INDEX('Test catalog'!$L$2:$L$200,MATCH($AB1090,'Test catalog'!$A$2:$A$200,0))="","",INDEX('Test catalog'!$L$2:$L$200,MATCH($AB1090,'Test catalog'!$A$2:$A$200,0))),"")</f>
        <v/>
      </c>
      <c r="T1090" s="10">
        <f>IFERROR(IF(INDEX('Test catalog'!$M$2:$M$200,MATCH($AB1090,'Test catalog'!$A$2:$A$200,0))="","",INDEX('Test catalog'!$M$2:$M$200,MATCH($AB1090,'Test catalog'!$A$2:$A$200,0))),"")</f>
        <v/>
      </c>
      <c r="U1090" s="10">
        <f>IFERROR(IF(INDEX('Test catalog'!$N$2:$N$200,MATCH($AB1090,'Test catalog'!$A$2:$A$200,0))="","",INDEX('Test catalog'!$N$2:$N$200,MATCH($AB1090,'Test catalog'!$A$2:$A$200,0))),"")</f>
        <v/>
      </c>
      <c r="V1090" s="15" t="n"/>
      <c r="W1090" s="5" t="inlineStr">
        <is>
          <t>N</t>
        </is>
      </c>
      <c r="X1090" s="5" t="n"/>
      <c r="Y1090" s="5" t="n"/>
      <c r="Z1090" s="5" t="n"/>
      <c r="AA1090" s="10">
        <f>IFERROR(IF(INDEX('Test catalog'!$O$2:$O$200,MATCH($AB1090,'Test catalog'!$A$2:$A$200,0))="","",INDEX('Test catalog'!$O$2:$O$200,MATCH($AB1090,'Test catalog'!$A$2:$A$200,0))),"")</f>
        <v/>
      </c>
      <c r="AB1090" s="10" t="inlineStr">
        <is>
          <t>OR</t>
        </is>
      </c>
      <c r="AC1090" s="10" t="inlineStr">
        <is>
          <t>Neotame · Specific Tests &lt;781&gt;</t>
        </is>
      </c>
      <c r="AD1090" s="10" t="n"/>
      <c r="AE1090" s="10" t="n"/>
    </row>
    <row r="1091">
      <c r="A1091" s="10" t="inlineStr">
        <is>
          <t>Neotame</t>
        </is>
      </c>
      <c r="B1091" s="10" t="inlineStr">
        <is>
          <t>RM</t>
        </is>
      </c>
      <c r="C1091" s="10" t="inlineStr">
        <is>
          <t>Sweetener</t>
        </is>
      </c>
      <c r="D1091" s="10" t="inlineStr">
        <is>
          <t>Water Determination</t>
        </is>
      </c>
      <c r="E1091" s="10">
        <f>IF(A1091="","",A1091&amp;"|"&amp;D1091)</f>
        <v/>
      </c>
      <c r="F1091" s="5" t="inlineStr">
        <is>
          <t>Y</t>
        </is>
      </c>
      <c r="G1091" s="5" t="inlineStr">
        <is>
          <t>KF titrator</t>
        </is>
      </c>
      <c r="H1091" s="5" t="inlineStr">
        <is>
          <t>Low</t>
        </is>
      </c>
      <c r="I1091" s="5" t="n">
        <v>1</v>
      </c>
      <c r="J1091" s="5" t="n"/>
      <c r="K1091" s="10">
        <f>IFERROR(IF(INDEX('Test catalog'!$F$2:$F$200,MATCH($AB1091,'Test catalog'!$A$2:$A$200,0))="","",INDEX('Test catalog'!$F$2:$F$200,MATCH($AB1091,'Test catalog'!$A$2:$A$200,0))),"")</f>
        <v/>
      </c>
      <c r="L1091" s="10">
        <f>IFERROR(IF(INDEX('Test catalog'!$G$2:$G$200,MATCH($AB1091,'Test catalog'!$A$2:$A$200,0))="","",INDEX('Test catalog'!$G$2:$G$200,MATCH($AB1091,'Test catalog'!$A$2:$A$200,0))),"")</f>
        <v/>
      </c>
      <c r="M1091" s="10">
        <f>IFERROR(IF(INDEX('Test catalog'!$H$2:$H$200,MATCH($AB1091,'Test catalog'!$A$2:$A$200,0))="","",INDEX('Test catalog'!$H$2:$H$200,MATCH($AB1091,'Test catalog'!$A$2:$A$200,0))),"")</f>
        <v/>
      </c>
      <c r="N1091" s="10">
        <f>IFERROR(IF(INDEX('Test catalog'!$I$2:$I$200,MATCH($AB1091,'Test catalog'!$A$2:$A$200,0))="","",INDEX('Test catalog'!$I$2:$I$200,MATCH($AB1091,'Test catalog'!$A$2:$A$200,0))),"")</f>
        <v/>
      </c>
      <c r="O1091" s="10">
        <f>IFERROR(IF(INDEX('Test catalog'!$J$2:$J$200,MATCH($AB1091,'Test catalog'!$A$2:$A$200,0))="","",INDEX('Test catalog'!$J$2:$J$200,MATCH($AB1091,'Test catalog'!$A$2:$A$200,0))),"")</f>
        <v/>
      </c>
      <c r="P1091" s="14">
        <f>IF(N1091="","",IF(OR(M1091="",O1091=""),N1091,(M1091+4*N1091+O1091)/6))</f>
        <v/>
      </c>
      <c r="Q1091" s="10">
        <f>IFERROR(IF(INDEX('Test catalog'!$K$2:$K$200,MATCH($AB1091,'Test catalog'!$A$2:$A$200,0))="","",INDEX('Test catalog'!$K$2:$K$200,MATCH($AB1091,'Test catalog'!$A$2:$A$200,0))),"")</f>
        <v/>
      </c>
      <c r="R1091" s="5" t="n"/>
      <c r="S1091" s="10">
        <f>IFERROR(IF(INDEX('Test catalog'!$L$2:$L$200,MATCH($AB1091,'Test catalog'!$A$2:$A$200,0))="","",INDEX('Test catalog'!$L$2:$L$200,MATCH($AB1091,'Test catalog'!$A$2:$A$200,0))),"")</f>
        <v/>
      </c>
      <c r="T1091" s="10">
        <f>IFERROR(IF(INDEX('Test catalog'!$M$2:$M$200,MATCH($AB1091,'Test catalog'!$A$2:$A$200,0))="","",INDEX('Test catalog'!$M$2:$M$200,MATCH($AB1091,'Test catalog'!$A$2:$A$200,0))),"")</f>
        <v/>
      </c>
      <c r="U1091" s="10">
        <f>IFERROR(IF(INDEX('Test catalog'!$N$2:$N$200,MATCH($AB1091,'Test catalog'!$A$2:$A$200,0))="","",INDEX('Test catalog'!$N$2:$N$200,MATCH($AB1091,'Test catalog'!$A$2:$A$200,0))),"")</f>
        <v/>
      </c>
      <c r="V1091" s="15" t="n"/>
      <c r="W1091" s="5" t="inlineStr">
        <is>
          <t>N</t>
        </is>
      </c>
      <c r="X1091" s="5" t="n"/>
      <c r="Y1091" s="5" t="n"/>
      <c r="Z1091" s="5" t="n"/>
      <c r="AA1091" s="10">
        <f>IFERROR(IF(INDEX('Test catalog'!$O$2:$O$200,MATCH($AB1091,'Test catalog'!$A$2:$A$200,0))="","",INDEX('Test catalog'!$O$2:$O$200,MATCH($AB1091,'Test catalog'!$A$2:$A$200,0))),"")</f>
        <v/>
      </c>
      <c r="AB1091" s="10" t="inlineStr">
        <is>
          <t>KF</t>
        </is>
      </c>
      <c r="AC1091" s="10" t="inlineStr">
        <is>
          <t>Neotame · Specific Tests &lt;921&gt;</t>
        </is>
      </c>
      <c r="AD1091" s="10" t="n"/>
      <c r="AE1091" s="10" t="n"/>
    </row>
    <row r="1092">
      <c r="A1092" s="10" t="inlineStr">
        <is>
          <t>Sorbitol Solution 70%</t>
        </is>
      </c>
      <c r="B1092" s="10" t="inlineStr">
        <is>
          <t>RM</t>
        </is>
      </c>
      <c r="C1092" s="10" t="inlineStr">
        <is>
          <t>Sweetener</t>
        </is>
      </c>
      <c r="D1092" s="10" t="inlineStr">
        <is>
          <t>Appearance / description and solubility</t>
        </is>
      </c>
      <c r="E1092" s="10">
        <f>IF(A1092="","",A1092&amp;"|"&amp;D1092)</f>
        <v/>
      </c>
      <c r="F1092" s="5" t="inlineStr">
        <is>
          <t>Y</t>
        </is>
      </c>
      <c r="G1092" s="5" t="inlineStr">
        <is>
          <t>Other / bench</t>
        </is>
      </c>
      <c r="H1092" s="5" t="inlineStr">
        <is>
          <t>Low</t>
        </is>
      </c>
      <c r="I1092" s="5" t="n">
        <v>1</v>
      </c>
      <c r="J1092" s="5" t="n"/>
      <c r="K1092" s="10">
        <f>IFERROR(IF(INDEX('Test catalog'!$F$2:$F$200,MATCH($AB1092,'Test catalog'!$A$2:$A$200,0))="","",INDEX('Test catalog'!$F$2:$F$200,MATCH($AB1092,'Test catalog'!$A$2:$A$200,0))),"")</f>
        <v/>
      </c>
      <c r="L1092" s="10">
        <f>IFERROR(IF(INDEX('Test catalog'!$G$2:$G$200,MATCH($AB1092,'Test catalog'!$A$2:$A$200,0))="","",INDEX('Test catalog'!$G$2:$G$200,MATCH($AB1092,'Test catalog'!$A$2:$A$200,0))),"")</f>
        <v/>
      </c>
      <c r="M1092" s="10">
        <f>IFERROR(IF(INDEX('Test catalog'!$H$2:$H$200,MATCH($AB1092,'Test catalog'!$A$2:$A$200,0))="","",INDEX('Test catalog'!$H$2:$H$200,MATCH($AB1092,'Test catalog'!$A$2:$A$200,0))),"")</f>
        <v/>
      </c>
      <c r="N1092" s="10">
        <f>IFERROR(IF(INDEX('Test catalog'!$I$2:$I$200,MATCH($AB1092,'Test catalog'!$A$2:$A$200,0))="","",INDEX('Test catalog'!$I$2:$I$200,MATCH($AB1092,'Test catalog'!$A$2:$A$200,0))),"")</f>
        <v/>
      </c>
      <c r="O1092" s="10">
        <f>IFERROR(IF(INDEX('Test catalog'!$J$2:$J$200,MATCH($AB1092,'Test catalog'!$A$2:$A$200,0))="","",INDEX('Test catalog'!$J$2:$J$200,MATCH($AB1092,'Test catalog'!$A$2:$A$200,0))),"")</f>
        <v/>
      </c>
      <c r="P1092" s="14">
        <f>IF(N1092="","",IF(OR(M1092="",O1092=""),N1092,(M1092+4*N1092+O1092)/6))</f>
        <v/>
      </c>
      <c r="Q1092" s="10">
        <f>IFERROR(IF(INDEX('Test catalog'!$K$2:$K$200,MATCH($AB1092,'Test catalog'!$A$2:$A$200,0))="","",INDEX('Test catalog'!$K$2:$K$200,MATCH($AB1092,'Test catalog'!$A$2:$A$200,0))),"")</f>
        <v/>
      </c>
      <c r="R1092" s="5" t="n"/>
      <c r="S1092" s="10">
        <f>IFERROR(IF(INDEX('Test catalog'!$L$2:$L$200,MATCH($AB1092,'Test catalog'!$A$2:$A$200,0))="","",INDEX('Test catalog'!$L$2:$L$200,MATCH($AB1092,'Test catalog'!$A$2:$A$200,0))),"")</f>
        <v/>
      </c>
      <c r="T1092" s="10">
        <f>IFERROR(IF(INDEX('Test catalog'!$M$2:$M$200,MATCH($AB1092,'Test catalog'!$A$2:$A$200,0))="","",INDEX('Test catalog'!$M$2:$M$200,MATCH($AB1092,'Test catalog'!$A$2:$A$200,0))),"")</f>
        <v/>
      </c>
      <c r="U1092" s="10">
        <f>IFERROR(IF(INDEX('Test catalog'!$N$2:$N$200,MATCH($AB1092,'Test catalog'!$A$2:$A$200,0))="","",INDEX('Test catalog'!$N$2:$N$200,MATCH($AB1092,'Test catalog'!$A$2:$A$200,0))),"")</f>
        <v/>
      </c>
      <c r="V1092" s="15" t="n"/>
      <c r="W1092" s="5" t="inlineStr">
        <is>
          <t>N</t>
        </is>
      </c>
      <c r="X1092" s="5" t="n"/>
      <c r="Y1092" s="5" t="n"/>
      <c r="Z1092" s="5" t="n"/>
      <c r="AA1092" s="10">
        <f>IFERROR(IF(INDEX('Test catalog'!$O$2:$O$200,MATCH($AB1092,'Test catalog'!$A$2:$A$200,0))="","",INDEX('Test catalog'!$O$2:$O$200,MATCH($AB1092,'Test catalog'!$A$2:$A$200,0))),"")</f>
        <v/>
      </c>
      <c r="AB1092" s="10" t="inlineStr">
        <is>
          <t>APPEAR</t>
        </is>
      </c>
      <c r="AC1092" s="10" t="inlineStr">
        <is>
          <t>Lab practice (not a USP test)</t>
        </is>
      </c>
      <c r="AD1092" s="10" t="n"/>
      <c r="AE1092" s="10" t="n"/>
    </row>
    <row r="1093">
      <c r="A1093" s="10" t="inlineStr">
        <is>
          <t>Sorbitol Solution 70%</t>
        </is>
      </c>
      <c r="B1093" s="10" t="inlineStr">
        <is>
          <t>RM</t>
        </is>
      </c>
      <c r="C1093" s="10" t="inlineStr">
        <is>
          <t>Sweetener</t>
        </is>
      </c>
      <c r="D1093" s="10" t="inlineStr">
        <is>
          <t>ID A - chemical reaction</t>
        </is>
      </c>
      <c r="E1093" s="10">
        <f>IF(A1093="","",A1093&amp;"|"&amp;D1093)</f>
        <v/>
      </c>
      <c r="F1093" s="5" t="inlineStr">
        <is>
          <t>Y</t>
        </is>
      </c>
      <c r="G1093" s="5" t="inlineStr">
        <is>
          <t>Other / bench</t>
        </is>
      </c>
      <c r="H1093" s="5" t="inlineStr">
        <is>
          <t>Low</t>
        </is>
      </c>
      <c r="I1093" s="5" t="n">
        <v>1</v>
      </c>
      <c r="J1093" s="5" t="n"/>
      <c r="K1093" s="10">
        <f>IFERROR(IF(INDEX('Test catalog'!$F$2:$F$200,MATCH($AB1093,'Test catalog'!$A$2:$A$200,0))="","",INDEX('Test catalog'!$F$2:$F$200,MATCH($AB1093,'Test catalog'!$A$2:$A$200,0))),"")</f>
        <v/>
      </c>
      <c r="L1093" s="10">
        <f>IFERROR(IF(INDEX('Test catalog'!$G$2:$G$200,MATCH($AB1093,'Test catalog'!$A$2:$A$200,0))="","",INDEX('Test catalog'!$G$2:$G$200,MATCH($AB1093,'Test catalog'!$A$2:$A$200,0))),"")</f>
        <v/>
      </c>
      <c r="M1093" s="10">
        <f>IFERROR(IF(INDEX('Test catalog'!$H$2:$H$200,MATCH($AB1093,'Test catalog'!$A$2:$A$200,0))="","",INDEX('Test catalog'!$H$2:$H$200,MATCH($AB1093,'Test catalog'!$A$2:$A$200,0))),"")</f>
        <v/>
      </c>
      <c r="N1093" s="10">
        <f>IFERROR(IF(INDEX('Test catalog'!$I$2:$I$200,MATCH($AB1093,'Test catalog'!$A$2:$A$200,0))="","",INDEX('Test catalog'!$I$2:$I$200,MATCH($AB1093,'Test catalog'!$A$2:$A$200,0))),"")</f>
        <v/>
      </c>
      <c r="O1093" s="10">
        <f>IFERROR(IF(INDEX('Test catalog'!$J$2:$J$200,MATCH($AB1093,'Test catalog'!$A$2:$A$200,0))="","",INDEX('Test catalog'!$J$2:$J$200,MATCH($AB1093,'Test catalog'!$A$2:$A$200,0))),"")</f>
        <v/>
      </c>
      <c r="P1093" s="14">
        <f>IF(N1093="","",IF(OR(M1093="",O1093=""),N1093,(M1093+4*N1093+O1093)/6))</f>
        <v/>
      </c>
      <c r="Q1093" s="10">
        <f>IFERROR(IF(INDEX('Test catalog'!$K$2:$K$200,MATCH($AB1093,'Test catalog'!$A$2:$A$200,0))="","",INDEX('Test catalog'!$K$2:$K$200,MATCH($AB1093,'Test catalog'!$A$2:$A$200,0))),"")</f>
        <v/>
      </c>
      <c r="R1093" s="5" t="n"/>
      <c r="S1093" s="10">
        <f>IFERROR(IF(INDEX('Test catalog'!$L$2:$L$200,MATCH($AB1093,'Test catalog'!$A$2:$A$200,0))="","",INDEX('Test catalog'!$L$2:$L$200,MATCH($AB1093,'Test catalog'!$A$2:$A$200,0))),"")</f>
        <v/>
      </c>
      <c r="T1093" s="10">
        <f>IFERROR(IF(INDEX('Test catalog'!$M$2:$M$200,MATCH($AB1093,'Test catalog'!$A$2:$A$200,0))="","",INDEX('Test catalog'!$M$2:$M$200,MATCH($AB1093,'Test catalog'!$A$2:$A$200,0))),"")</f>
        <v/>
      </c>
      <c r="U1093" s="10">
        <f>IFERROR(IF(INDEX('Test catalog'!$N$2:$N$200,MATCH($AB1093,'Test catalog'!$A$2:$A$200,0))="","",INDEX('Test catalog'!$N$2:$N$200,MATCH($AB1093,'Test catalog'!$A$2:$A$200,0))),"")</f>
        <v/>
      </c>
      <c r="V1093" s="15" t="n"/>
      <c r="W1093" s="5" t="inlineStr">
        <is>
          <t>N</t>
        </is>
      </c>
      <c r="X1093" s="5" t="n"/>
      <c r="Y1093" s="5" t="n"/>
      <c r="Z1093" s="5" t="n"/>
      <c r="AA1093" s="10">
        <f>IFERROR(IF(INDEX('Test catalog'!$O$2:$O$200,MATCH($AB1093,'Test catalog'!$A$2:$A$200,0))="","",INDEX('Test catalog'!$O$2:$O$200,MATCH($AB1093,'Test catalog'!$A$2:$A$200,0))),"")</f>
        <v/>
      </c>
      <c r="AB1093" s="10" t="inlineStr">
        <is>
          <t>ID_CHEM</t>
        </is>
      </c>
      <c r="AC1093" s="10" t="inlineStr">
        <is>
          <t>Sorbitol Solution · Identification</t>
        </is>
      </c>
      <c r="AD1093" s="10" t="n"/>
      <c r="AE1093" s="10" t="n"/>
    </row>
    <row r="1094">
      <c r="A1094" s="10" t="inlineStr">
        <is>
          <t>Sorbitol Solution 70%</t>
        </is>
      </c>
      <c r="B1094" s="10" t="inlineStr">
        <is>
          <t>RM</t>
        </is>
      </c>
      <c r="C1094" s="10" t="inlineStr">
        <is>
          <t>Sweetener</t>
        </is>
      </c>
      <c r="D1094" s="10" t="inlineStr">
        <is>
          <t>ID C - GC</t>
        </is>
      </c>
      <c r="E1094" s="10">
        <f>IF(A1094="","",A1094&amp;"|"&amp;D1094)</f>
        <v/>
      </c>
      <c r="F1094" s="5" t="inlineStr">
        <is>
          <t>Y</t>
        </is>
      </c>
      <c r="G1094" s="5" t="inlineStr">
        <is>
          <t>GC</t>
        </is>
      </c>
      <c r="H1094" s="5" t="inlineStr">
        <is>
          <t>Medium</t>
        </is>
      </c>
      <c r="I1094" s="5" t="n">
        <v>1</v>
      </c>
      <c r="J1094" s="5" t="n"/>
      <c r="K1094" s="5" t="n"/>
      <c r="L1094" s="5" t="n"/>
      <c r="M1094" s="5" t="n"/>
      <c r="N1094" s="5" t="n"/>
      <c r="O1094" s="5" t="n"/>
      <c r="P1094" s="14">
        <f>IF(N1094="","",IF(OR(M1094="",O1094=""),N1094,(M1094+4*N1094+O1094)/6))</f>
        <v/>
      </c>
      <c r="Q1094" s="5" t="n"/>
      <c r="R1094" s="5" t="n"/>
      <c r="S1094" s="5" t="n"/>
      <c r="T1094" s="5" t="n"/>
      <c r="U1094" s="5" t="n"/>
      <c r="V1094" s="15" t="n"/>
      <c r="W1094" s="5" t="inlineStr">
        <is>
          <t>N</t>
        </is>
      </c>
      <c r="X1094" s="5" t="n"/>
      <c r="Y1094" s="5" t="n"/>
      <c r="Z1094" s="5" t="n"/>
      <c r="AA1094" s="5" t="n"/>
      <c r="AB1094" s="10" t="n"/>
      <c r="AC1094" s="10" t="inlineStr">
        <is>
          <t>Sorbitol Solution · Identification</t>
        </is>
      </c>
      <c r="AD1094" s="10" t="n"/>
      <c r="AE1094" s="10" t="n"/>
    </row>
    <row r="1095">
      <c r="A1095" s="10" t="inlineStr">
        <is>
          <t>Sorbitol Solution 70%</t>
        </is>
      </c>
      <c r="B1095" s="10" t="inlineStr">
        <is>
          <t>RM</t>
        </is>
      </c>
      <c r="C1095" s="10" t="inlineStr">
        <is>
          <t>Sweetener</t>
        </is>
      </c>
      <c r="D1095" s="10" t="inlineStr">
        <is>
          <t>Assay (HPLC)</t>
        </is>
      </c>
      <c r="E1095" s="10">
        <f>IF(A1095="","",A1095&amp;"|"&amp;D1095)</f>
        <v/>
      </c>
      <c r="F1095" s="5" t="inlineStr">
        <is>
          <t>Y</t>
        </is>
      </c>
      <c r="G1095" s="5" t="inlineStr">
        <is>
          <t>HPLC</t>
        </is>
      </c>
      <c r="H1095" s="5" t="inlineStr">
        <is>
          <t>Medium</t>
        </is>
      </c>
      <c r="I1095" s="5" t="n">
        <v>1</v>
      </c>
      <c r="J1095" s="5" t="n"/>
      <c r="K1095" s="5" t="n"/>
      <c r="L1095" s="5" t="n"/>
      <c r="M1095" s="5" t="n"/>
      <c r="N1095" s="5" t="n"/>
      <c r="O1095" s="5" t="n"/>
      <c r="P1095" s="14">
        <f>IF(N1095="","",IF(OR(M1095="",O1095=""),N1095,(M1095+4*N1095+O1095)/6))</f>
        <v/>
      </c>
      <c r="Q1095" s="5" t="n"/>
      <c r="R1095" s="5" t="n"/>
      <c r="S1095" s="5" t="n"/>
      <c r="T1095" s="5" t="n"/>
      <c r="U1095" s="5" t="n"/>
      <c r="V1095" s="15" t="n"/>
      <c r="W1095" s="5" t="inlineStr">
        <is>
          <t>N</t>
        </is>
      </c>
      <c r="X1095" s="5" t="n"/>
      <c r="Y1095" s="5" t="n"/>
      <c r="Z1095" s="5" t="n"/>
      <c r="AA1095" s="5" t="n"/>
      <c r="AB1095" s="10" t="n"/>
      <c r="AC1095" s="10" t="inlineStr">
        <is>
          <t>Sorbitol Solution · Assay &lt;621&gt;</t>
        </is>
      </c>
      <c r="AD1095" s="10" t="n"/>
      <c r="AE1095" s="10" t="n"/>
    </row>
    <row r="1096">
      <c r="A1096" s="10" t="inlineStr">
        <is>
          <t>Sorbitol Solution 70%</t>
        </is>
      </c>
      <c r="B1096" s="10" t="inlineStr">
        <is>
          <t>RM</t>
        </is>
      </c>
      <c r="C1096" s="10" t="inlineStr">
        <is>
          <t>Sweetener</t>
        </is>
      </c>
      <c r="D1096" s="10" t="inlineStr">
        <is>
          <t>Residue on Ignition</t>
        </is>
      </c>
      <c r="E1096" s="10">
        <f>IF(A1096="","",A1096&amp;"|"&amp;D1096)</f>
        <v/>
      </c>
      <c r="F1096" s="5" t="inlineStr">
        <is>
          <t>Y</t>
        </is>
      </c>
      <c r="G1096" s="5" t="inlineStr">
        <is>
          <t>Other / bench</t>
        </is>
      </c>
      <c r="H1096" s="5" t="inlineStr">
        <is>
          <t>Low</t>
        </is>
      </c>
      <c r="I1096" s="5" t="n">
        <v>1</v>
      </c>
      <c r="J1096" s="5" t="n"/>
      <c r="K1096" s="10">
        <f>IFERROR(IF(INDEX('Test catalog'!$F$2:$F$200,MATCH($AB1096,'Test catalog'!$A$2:$A$200,0))="","",INDEX('Test catalog'!$F$2:$F$200,MATCH($AB1096,'Test catalog'!$A$2:$A$200,0))),"")</f>
        <v/>
      </c>
      <c r="L1096" s="10">
        <f>IFERROR(IF(INDEX('Test catalog'!$G$2:$G$200,MATCH($AB1096,'Test catalog'!$A$2:$A$200,0))="","",INDEX('Test catalog'!$G$2:$G$200,MATCH($AB1096,'Test catalog'!$A$2:$A$200,0))),"")</f>
        <v/>
      </c>
      <c r="M1096" s="10">
        <f>IFERROR(IF(INDEX('Test catalog'!$H$2:$H$200,MATCH($AB1096,'Test catalog'!$A$2:$A$200,0))="","",INDEX('Test catalog'!$H$2:$H$200,MATCH($AB1096,'Test catalog'!$A$2:$A$200,0))),"")</f>
        <v/>
      </c>
      <c r="N1096" s="10">
        <f>IFERROR(IF(INDEX('Test catalog'!$I$2:$I$200,MATCH($AB1096,'Test catalog'!$A$2:$A$200,0))="","",INDEX('Test catalog'!$I$2:$I$200,MATCH($AB1096,'Test catalog'!$A$2:$A$200,0))),"")</f>
        <v/>
      </c>
      <c r="O1096" s="10">
        <f>IFERROR(IF(INDEX('Test catalog'!$J$2:$J$200,MATCH($AB1096,'Test catalog'!$A$2:$A$200,0))="","",INDEX('Test catalog'!$J$2:$J$200,MATCH($AB1096,'Test catalog'!$A$2:$A$200,0))),"")</f>
        <v/>
      </c>
      <c r="P1096" s="14">
        <f>IF(N1096="","",IF(OR(M1096="",O1096=""),N1096,(M1096+4*N1096+O1096)/6))</f>
        <v/>
      </c>
      <c r="Q1096" s="10">
        <f>IFERROR(IF(INDEX('Test catalog'!$K$2:$K$200,MATCH($AB1096,'Test catalog'!$A$2:$A$200,0))="","",INDEX('Test catalog'!$K$2:$K$200,MATCH($AB1096,'Test catalog'!$A$2:$A$200,0))),"")</f>
        <v/>
      </c>
      <c r="R1096" s="5" t="n"/>
      <c r="S1096" s="10">
        <f>IFERROR(IF(INDEX('Test catalog'!$L$2:$L$200,MATCH($AB1096,'Test catalog'!$A$2:$A$200,0))="","",INDEX('Test catalog'!$L$2:$L$200,MATCH($AB1096,'Test catalog'!$A$2:$A$200,0))),"")</f>
        <v/>
      </c>
      <c r="T1096" s="10">
        <f>IFERROR(IF(INDEX('Test catalog'!$M$2:$M$200,MATCH($AB1096,'Test catalog'!$A$2:$A$200,0))="","",INDEX('Test catalog'!$M$2:$M$200,MATCH($AB1096,'Test catalog'!$A$2:$A$200,0))),"")</f>
        <v/>
      </c>
      <c r="U1096" s="10">
        <f>IFERROR(IF(INDEX('Test catalog'!$N$2:$N$200,MATCH($AB1096,'Test catalog'!$A$2:$A$200,0))="","",INDEX('Test catalog'!$N$2:$N$200,MATCH($AB1096,'Test catalog'!$A$2:$A$200,0))),"")</f>
        <v/>
      </c>
      <c r="V1096" s="15" t="n"/>
      <c r="W1096" s="5" t="inlineStr">
        <is>
          <t>N</t>
        </is>
      </c>
      <c r="X1096" s="5" t="n"/>
      <c r="Y1096" s="5" t="n"/>
      <c r="Z1096" s="5" t="n"/>
      <c r="AA1096" s="10">
        <f>IFERROR(IF(INDEX('Test catalog'!$O$2:$O$200,MATCH($AB1096,'Test catalog'!$A$2:$A$200,0))="","",INDEX('Test catalog'!$O$2:$O$200,MATCH($AB1096,'Test catalog'!$A$2:$A$200,0))),"")</f>
        <v/>
      </c>
      <c r="AB1096" s="10" t="inlineStr">
        <is>
          <t>ROI</t>
        </is>
      </c>
      <c r="AC1096" s="10" t="inlineStr">
        <is>
          <t>Sorbitol Solution · Impurities &lt;281&gt;</t>
        </is>
      </c>
      <c r="AD1096" s="10" t="n"/>
      <c r="AE1096" s="10" t="n"/>
    </row>
    <row r="1097">
      <c r="A1097" s="10" t="inlineStr">
        <is>
          <t>Sorbitol Solution 70%</t>
        </is>
      </c>
      <c r="B1097" s="10" t="inlineStr">
        <is>
          <t>RM</t>
        </is>
      </c>
      <c r="C1097" s="10" t="inlineStr">
        <is>
          <t>Sweetener</t>
        </is>
      </c>
      <c r="D1097" s="10" t="inlineStr">
        <is>
          <t>Limit of Nickel</t>
        </is>
      </c>
      <c r="E1097" s="10">
        <f>IF(A1097="","",A1097&amp;"|"&amp;D1097)</f>
        <v/>
      </c>
      <c r="F1097" s="5" t="inlineStr">
        <is>
          <t>Y</t>
        </is>
      </c>
      <c r="G1097" s="5" t="inlineStr">
        <is>
          <t>UV-Vis</t>
        </is>
      </c>
      <c r="H1097" s="5" t="inlineStr">
        <is>
          <t>Low</t>
        </is>
      </c>
      <c r="I1097" s="5" t="n">
        <v>1</v>
      </c>
      <c r="J1097" s="5" t="n"/>
      <c r="K1097" s="10">
        <f>IFERROR(IF(INDEX('Test catalog'!$F$2:$F$200,MATCH($AB1097,'Test catalog'!$A$2:$A$200,0))="","",INDEX('Test catalog'!$F$2:$F$200,MATCH($AB1097,'Test catalog'!$A$2:$A$200,0))),"")</f>
        <v/>
      </c>
      <c r="L1097" s="10">
        <f>IFERROR(IF(INDEX('Test catalog'!$G$2:$G$200,MATCH($AB1097,'Test catalog'!$A$2:$A$200,0))="","",INDEX('Test catalog'!$G$2:$G$200,MATCH($AB1097,'Test catalog'!$A$2:$A$200,0))),"")</f>
        <v/>
      </c>
      <c r="M1097" s="10">
        <f>IFERROR(IF(INDEX('Test catalog'!$H$2:$H$200,MATCH($AB1097,'Test catalog'!$A$2:$A$200,0))="","",INDEX('Test catalog'!$H$2:$H$200,MATCH($AB1097,'Test catalog'!$A$2:$A$200,0))),"")</f>
        <v/>
      </c>
      <c r="N1097" s="10">
        <f>IFERROR(IF(INDEX('Test catalog'!$I$2:$I$200,MATCH($AB1097,'Test catalog'!$A$2:$A$200,0))="","",INDEX('Test catalog'!$I$2:$I$200,MATCH($AB1097,'Test catalog'!$A$2:$A$200,0))),"")</f>
        <v/>
      </c>
      <c r="O1097" s="10">
        <f>IFERROR(IF(INDEX('Test catalog'!$J$2:$J$200,MATCH($AB1097,'Test catalog'!$A$2:$A$200,0))="","",INDEX('Test catalog'!$J$2:$J$200,MATCH($AB1097,'Test catalog'!$A$2:$A$200,0))),"")</f>
        <v/>
      </c>
      <c r="P1097" s="14">
        <f>IF(N1097="","",IF(OR(M1097="",O1097=""),N1097,(M1097+4*N1097+O1097)/6))</f>
        <v/>
      </c>
      <c r="Q1097" s="10">
        <f>IFERROR(IF(INDEX('Test catalog'!$K$2:$K$200,MATCH($AB1097,'Test catalog'!$A$2:$A$200,0))="","",INDEX('Test catalog'!$K$2:$K$200,MATCH($AB1097,'Test catalog'!$A$2:$A$200,0))),"")</f>
        <v/>
      </c>
      <c r="R1097" s="5" t="n"/>
      <c r="S1097" s="10">
        <f>IFERROR(IF(INDEX('Test catalog'!$L$2:$L$200,MATCH($AB1097,'Test catalog'!$A$2:$A$200,0))="","",INDEX('Test catalog'!$L$2:$L$200,MATCH($AB1097,'Test catalog'!$A$2:$A$200,0))),"")</f>
        <v/>
      </c>
      <c r="T1097" s="10">
        <f>IFERROR(IF(INDEX('Test catalog'!$M$2:$M$200,MATCH($AB1097,'Test catalog'!$A$2:$A$200,0))="","",INDEX('Test catalog'!$M$2:$M$200,MATCH($AB1097,'Test catalog'!$A$2:$A$200,0))),"")</f>
        <v/>
      </c>
      <c r="U1097" s="10">
        <f>IFERROR(IF(INDEX('Test catalog'!$N$2:$N$200,MATCH($AB1097,'Test catalog'!$A$2:$A$200,0))="","",INDEX('Test catalog'!$N$2:$N$200,MATCH($AB1097,'Test catalog'!$A$2:$A$200,0))),"")</f>
        <v/>
      </c>
      <c r="V1097" s="15" t="n"/>
      <c r="W1097" s="5" t="inlineStr">
        <is>
          <t>N</t>
        </is>
      </c>
      <c r="X1097" s="5" t="n"/>
      <c r="Y1097" s="5" t="n"/>
      <c r="Z1097" s="5" t="n"/>
      <c r="AA1097" s="10">
        <f>IFERROR(IF(INDEX('Test catalog'!$O$2:$O$200,MATCH($AB1097,'Test catalog'!$A$2:$A$200,0))="","",INDEX('Test catalog'!$O$2:$O$200,MATCH($AB1097,'Test catalog'!$A$2:$A$200,0))),"")</f>
        <v/>
      </c>
      <c r="AB1097" s="10" t="inlineStr">
        <is>
          <t>UV</t>
        </is>
      </c>
      <c r="AC1097" s="10" t="inlineStr">
        <is>
          <t>Sorbitol Solution · Impurities</t>
        </is>
      </c>
      <c r="AD1097" s="10" t="n"/>
      <c r="AE1097" s="10" t="n"/>
    </row>
    <row r="1098">
      <c r="A1098" s="10" t="inlineStr">
        <is>
          <t>Sorbitol Solution 70%</t>
        </is>
      </c>
      <c r="B1098" s="10" t="inlineStr">
        <is>
          <t>RM</t>
        </is>
      </c>
      <c r="C1098" s="10" t="inlineStr">
        <is>
          <t>Sweetener</t>
        </is>
      </c>
      <c r="D1098" s="10" t="inlineStr">
        <is>
          <t>Reducing Sugars</t>
        </is>
      </c>
      <c r="E1098" s="10">
        <f>IF(A1098="","",A1098&amp;"|"&amp;D1098)</f>
        <v/>
      </c>
      <c r="F1098" s="5" t="inlineStr">
        <is>
          <t>Y</t>
        </is>
      </c>
      <c r="G1098" s="5" t="inlineStr">
        <is>
          <t>Other / bench</t>
        </is>
      </c>
      <c r="H1098" s="5" t="inlineStr">
        <is>
          <t>Low</t>
        </is>
      </c>
      <c r="I1098" s="5" t="n">
        <v>1</v>
      </c>
      <c r="J1098" s="5" t="n"/>
      <c r="K1098" s="10">
        <f>IFERROR(IF(INDEX('Test catalog'!$F$2:$F$200,MATCH($AB1098,'Test catalog'!$A$2:$A$200,0))="","",INDEX('Test catalog'!$F$2:$F$200,MATCH($AB1098,'Test catalog'!$A$2:$A$200,0))),"")</f>
        <v/>
      </c>
      <c r="L1098" s="10">
        <f>IFERROR(IF(INDEX('Test catalog'!$G$2:$G$200,MATCH($AB1098,'Test catalog'!$A$2:$A$200,0))="","",INDEX('Test catalog'!$G$2:$G$200,MATCH($AB1098,'Test catalog'!$A$2:$A$200,0))),"")</f>
        <v/>
      </c>
      <c r="M1098" s="10">
        <f>IFERROR(IF(INDEX('Test catalog'!$H$2:$H$200,MATCH($AB1098,'Test catalog'!$A$2:$A$200,0))="","",INDEX('Test catalog'!$H$2:$H$200,MATCH($AB1098,'Test catalog'!$A$2:$A$200,0))),"")</f>
        <v/>
      </c>
      <c r="N1098" s="10">
        <f>IFERROR(IF(INDEX('Test catalog'!$I$2:$I$200,MATCH($AB1098,'Test catalog'!$A$2:$A$200,0))="","",INDEX('Test catalog'!$I$2:$I$200,MATCH($AB1098,'Test catalog'!$A$2:$A$200,0))),"")</f>
        <v/>
      </c>
      <c r="O1098" s="10">
        <f>IFERROR(IF(INDEX('Test catalog'!$J$2:$J$200,MATCH($AB1098,'Test catalog'!$A$2:$A$200,0))="","",INDEX('Test catalog'!$J$2:$J$200,MATCH($AB1098,'Test catalog'!$A$2:$A$200,0))),"")</f>
        <v/>
      </c>
      <c r="P1098" s="14">
        <f>IF(N1098="","",IF(OR(M1098="",O1098=""),N1098,(M1098+4*N1098+O1098)/6))</f>
        <v/>
      </c>
      <c r="Q1098" s="10">
        <f>IFERROR(IF(INDEX('Test catalog'!$K$2:$K$200,MATCH($AB1098,'Test catalog'!$A$2:$A$200,0))="","",INDEX('Test catalog'!$K$2:$K$200,MATCH($AB1098,'Test catalog'!$A$2:$A$200,0))),"")</f>
        <v/>
      </c>
      <c r="R1098" s="5" t="n"/>
      <c r="S1098" s="10">
        <f>IFERROR(IF(INDEX('Test catalog'!$L$2:$L$200,MATCH($AB1098,'Test catalog'!$A$2:$A$200,0))="","",INDEX('Test catalog'!$L$2:$L$200,MATCH($AB1098,'Test catalog'!$A$2:$A$200,0))),"")</f>
        <v/>
      </c>
      <c r="T1098" s="10">
        <f>IFERROR(IF(INDEX('Test catalog'!$M$2:$M$200,MATCH($AB1098,'Test catalog'!$A$2:$A$200,0))="","",INDEX('Test catalog'!$M$2:$M$200,MATCH($AB1098,'Test catalog'!$A$2:$A$200,0))),"")</f>
        <v/>
      </c>
      <c r="U1098" s="10">
        <f>IFERROR(IF(INDEX('Test catalog'!$N$2:$N$200,MATCH($AB1098,'Test catalog'!$A$2:$A$200,0))="","",INDEX('Test catalog'!$N$2:$N$200,MATCH($AB1098,'Test catalog'!$A$2:$A$200,0))),"")</f>
        <v/>
      </c>
      <c r="V1098" s="15" t="n"/>
      <c r="W1098" s="5" t="inlineStr">
        <is>
          <t>N</t>
        </is>
      </c>
      <c r="X1098" s="5" t="n"/>
      <c r="Y1098" s="5" t="n"/>
      <c r="Z1098" s="5" t="n"/>
      <c r="AA1098" s="10">
        <f>IFERROR(IF(INDEX('Test catalog'!$O$2:$O$200,MATCH($AB1098,'Test catalog'!$A$2:$A$200,0))="","",INDEX('Test catalog'!$O$2:$O$200,MATCH($AB1098,'Test catalog'!$A$2:$A$200,0))),"")</f>
        <v/>
      </c>
      <c r="AB1098" s="10" t="inlineStr">
        <is>
          <t>TITR</t>
        </is>
      </c>
      <c r="AC1098" s="10" t="inlineStr">
        <is>
          <t>Sorbitol Solution · Impurities</t>
        </is>
      </c>
      <c r="AD1098" s="10" t="n"/>
      <c r="AE1098" s="10" t="n"/>
    </row>
    <row r="1099">
      <c r="A1099" s="10" t="inlineStr">
        <is>
          <t>Sorbitol Solution 70%</t>
        </is>
      </c>
      <c r="B1099" s="10" t="inlineStr">
        <is>
          <t>RM</t>
        </is>
      </c>
      <c r="C1099" s="10" t="inlineStr">
        <is>
          <t>Sweetener</t>
        </is>
      </c>
      <c r="D1099" s="10" t="inlineStr">
        <is>
          <t>Water Determination</t>
        </is>
      </c>
      <c r="E1099" s="10">
        <f>IF(A1099="","",A1099&amp;"|"&amp;D1099)</f>
        <v/>
      </c>
      <c r="F1099" s="5" t="inlineStr">
        <is>
          <t>Y</t>
        </is>
      </c>
      <c r="G1099" s="5" t="inlineStr">
        <is>
          <t>KF titrator</t>
        </is>
      </c>
      <c r="H1099" s="5" t="inlineStr">
        <is>
          <t>Low</t>
        </is>
      </c>
      <c r="I1099" s="5" t="n">
        <v>1</v>
      </c>
      <c r="J1099" s="5" t="n"/>
      <c r="K1099" s="10">
        <f>IFERROR(IF(INDEX('Test catalog'!$F$2:$F$200,MATCH($AB1099,'Test catalog'!$A$2:$A$200,0))="","",INDEX('Test catalog'!$F$2:$F$200,MATCH($AB1099,'Test catalog'!$A$2:$A$200,0))),"")</f>
        <v/>
      </c>
      <c r="L1099" s="10">
        <f>IFERROR(IF(INDEX('Test catalog'!$G$2:$G$200,MATCH($AB1099,'Test catalog'!$A$2:$A$200,0))="","",INDEX('Test catalog'!$G$2:$G$200,MATCH($AB1099,'Test catalog'!$A$2:$A$200,0))),"")</f>
        <v/>
      </c>
      <c r="M1099" s="10">
        <f>IFERROR(IF(INDEX('Test catalog'!$H$2:$H$200,MATCH($AB1099,'Test catalog'!$A$2:$A$200,0))="","",INDEX('Test catalog'!$H$2:$H$200,MATCH($AB1099,'Test catalog'!$A$2:$A$200,0))),"")</f>
        <v/>
      </c>
      <c r="N1099" s="10">
        <f>IFERROR(IF(INDEX('Test catalog'!$I$2:$I$200,MATCH($AB1099,'Test catalog'!$A$2:$A$200,0))="","",INDEX('Test catalog'!$I$2:$I$200,MATCH($AB1099,'Test catalog'!$A$2:$A$200,0))),"")</f>
        <v/>
      </c>
      <c r="O1099" s="10">
        <f>IFERROR(IF(INDEX('Test catalog'!$J$2:$J$200,MATCH($AB1099,'Test catalog'!$A$2:$A$200,0))="","",INDEX('Test catalog'!$J$2:$J$200,MATCH($AB1099,'Test catalog'!$A$2:$A$200,0))),"")</f>
        <v/>
      </c>
      <c r="P1099" s="14">
        <f>IF(N1099="","",IF(OR(M1099="",O1099=""),N1099,(M1099+4*N1099+O1099)/6))</f>
        <v/>
      </c>
      <c r="Q1099" s="10">
        <f>IFERROR(IF(INDEX('Test catalog'!$K$2:$K$200,MATCH($AB1099,'Test catalog'!$A$2:$A$200,0))="","",INDEX('Test catalog'!$K$2:$K$200,MATCH($AB1099,'Test catalog'!$A$2:$A$200,0))),"")</f>
        <v/>
      </c>
      <c r="R1099" s="5" t="n"/>
      <c r="S1099" s="10">
        <f>IFERROR(IF(INDEX('Test catalog'!$L$2:$L$200,MATCH($AB1099,'Test catalog'!$A$2:$A$200,0))="","",INDEX('Test catalog'!$L$2:$L$200,MATCH($AB1099,'Test catalog'!$A$2:$A$200,0))),"")</f>
        <v/>
      </c>
      <c r="T1099" s="10">
        <f>IFERROR(IF(INDEX('Test catalog'!$M$2:$M$200,MATCH($AB1099,'Test catalog'!$A$2:$A$200,0))="","",INDEX('Test catalog'!$M$2:$M$200,MATCH($AB1099,'Test catalog'!$A$2:$A$200,0))),"")</f>
        <v/>
      </c>
      <c r="U1099" s="10">
        <f>IFERROR(IF(INDEX('Test catalog'!$N$2:$N$200,MATCH($AB1099,'Test catalog'!$A$2:$A$200,0))="","",INDEX('Test catalog'!$N$2:$N$200,MATCH($AB1099,'Test catalog'!$A$2:$A$200,0))),"")</f>
        <v/>
      </c>
      <c r="V1099" s="15" t="n"/>
      <c r="W1099" s="5" t="inlineStr">
        <is>
          <t>N</t>
        </is>
      </c>
      <c r="X1099" s="5" t="n"/>
      <c r="Y1099" s="5" t="n"/>
      <c r="Z1099" s="5" t="n"/>
      <c r="AA1099" s="10">
        <f>IFERROR(IF(INDEX('Test catalog'!$O$2:$O$200,MATCH($AB1099,'Test catalog'!$A$2:$A$200,0))="","",INDEX('Test catalog'!$O$2:$O$200,MATCH($AB1099,'Test catalog'!$A$2:$A$200,0))),"")</f>
        <v/>
      </c>
      <c r="AB1099" s="10" t="inlineStr">
        <is>
          <t>KF</t>
        </is>
      </c>
      <c r="AC1099" s="10" t="inlineStr">
        <is>
          <t>Sorbitol Solution · Specific Tests &lt;921&gt;</t>
        </is>
      </c>
      <c r="AD1099" s="10" t="n"/>
      <c r="AE1099" s="10" t="n"/>
    </row>
    <row r="1100">
      <c r="A1100" s="10" t="inlineStr">
        <is>
          <t>Sucralose</t>
        </is>
      </c>
      <c r="B1100" s="10" t="inlineStr">
        <is>
          <t>RM</t>
        </is>
      </c>
      <c r="C1100" s="10" t="inlineStr">
        <is>
          <t>Sweetener</t>
        </is>
      </c>
      <c r="D1100" s="10" t="inlineStr">
        <is>
          <t>Appearance / description and solubility</t>
        </is>
      </c>
      <c r="E1100" s="10">
        <f>IF(A1100="","",A1100&amp;"|"&amp;D1100)</f>
        <v/>
      </c>
      <c r="F1100" s="5" t="inlineStr">
        <is>
          <t>Y</t>
        </is>
      </c>
      <c r="G1100" s="5" t="inlineStr">
        <is>
          <t>Other / bench</t>
        </is>
      </c>
      <c r="H1100" s="5" t="inlineStr">
        <is>
          <t>Low</t>
        </is>
      </c>
      <c r="I1100" s="5" t="n">
        <v>1</v>
      </c>
      <c r="J1100" s="5" t="n"/>
      <c r="K1100" s="10">
        <f>IFERROR(IF(INDEX('Test catalog'!$F$2:$F$200,MATCH($AB1100,'Test catalog'!$A$2:$A$200,0))="","",INDEX('Test catalog'!$F$2:$F$200,MATCH($AB1100,'Test catalog'!$A$2:$A$200,0))),"")</f>
        <v/>
      </c>
      <c r="L1100" s="10">
        <f>IFERROR(IF(INDEX('Test catalog'!$G$2:$G$200,MATCH($AB1100,'Test catalog'!$A$2:$A$200,0))="","",INDEX('Test catalog'!$G$2:$G$200,MATCH($AB1100,'Test catalog'!$A$2:$A$200,0))),"")</f>
        <v/>
      </c>
      <c r="M1100" s="10">
        <f>IFERROR(IF(INDEX('Test catalog'!$H$2:$H$200,MATCH($AB1100,'Test catalog'!$A$2:$A$200,0))="","",INDEX('Test catalog'!$H$2:$H$200,MATCH($AB1100,'Test catalog'!$A$2:$A$200,0))),"")</f>
        <v/>
      </c>
      <c r="N1100" s="10">
        <f>IFERROR(IF(INDEX('Test catalog'!$I$2:$I$200,MATCH($AB1100,'Test catalog'!$A$2:$A$200,0))="","",INDEX('Test catalog'!$I$2:$I$200,MATCH($AB1100,'Test catalog'!$A$2:$A$200,0))),"")</f>
        <v/>
      </c>
      <c r="O1100" s="10">
        <f>IFERROR(IF(INDEX('Test catalog'!$J$2:$J$200,MATCH($AB1100,'Test catalog'!$A$2:$A$200,0))="","",INDEX('Test catalog'!$J$2:$J$200,MATCH($AB1100,'Test catalog'!$A$2:$A$200,0))),"")</f>
        <v/>
      </c>
      <c r="P1100" s="14">
        <f>IF(N1100="","",IF(OR(M1100="",O1100=""),N1100,(M1100+4*N1100+O1100)/6))</f>
        <v/>
      </c>
      <c r="Q1100" s="10">
        <f>IFERROR(IF(INDEX('Test catalog'!$K$2:$K$200,MATCH($AB1100,'Test catalog'!$A$2:$A$200,0))="","",INDEX('Test catalog'!$K$2:$K$200,MATCH($AB1100,'Test catalog'!$A$2:$A$200,0))),"")</f>
        <v/>
      </c>
      <c r="R1100" s="5" t="n"/>
      <c r="S1100" s="10">
        <f>IFERROR(IF(INDEX('Test catalog'!$L$2:$L$200,MATCH($AB1100,'Test catalog'!$A$2:$A$200,0))="","",INDEX('Test catalog'!$L$2:$L$200,MATCH($AB1100,'Test catalog'!$A$2:$A$200,0))),"")</f>
        <v/>
      </c>
      <c r="T1100" s="10">
        <f>IFERROR(IF(INDEX('Test catalog'!$M$2:$M$200,MATCH($AB1100,'Test catalog'!$A$2:$A$200,0))="","",INDEX('Test catalog'!$M$2:$M$200,MATCH($AB1100,'Test catalog'!$A$2:$A$200,0))),"")</f>
        <v/>
      </c>
      <c r="U1100" s="10">
        <f>IFERROR(IF(INDEX('Test catalog'!$N$2:$N$200,MATCH($AB1100,'Test catalog'!$A$2:$A$200,0))="","",INDEX('Test catalog'!$N$2:$N$200,MATCH($AB1100,'Test catalog'!$A$2:$A$200,0))),"")</f>
        <v/>
      </c>
      <c r="V1100" s="15" t="n"/>
      <c r="W1100" s="5" t="inlineStr">
        <is>
          <t>N</t>
        </is>
      </c>
      <c r="X1100" s="5" t="n"/>
      <c r="Y1100" s="5" t="n"/>
      <c r="Z1100" s="5" t="n"/>
      <c r="AA1100" s="10">
        <f>IFERROR(IF(INDEX('Test catalog'!$O$2:$O$200,MATCH($AB1100,'Test catalog'!$A$2:$A$200,0))="","",INDEX('Test catalog'!$O$2:$O$200,MATCH($AB1100,'Test catalog'!$A$2:$A$200,0))),"")</f>
        <v/>
      </c>
      <c r="AB1100" s="10" t="inlineStr">
        <is>
          <t>APPEAR</t>
        </is>
      </c>
      <c r="AC1100" s="10" t="inlineStr">
        <is>
          <t>Lab practice (not a USP test)</t>
        </is>
      </c>
      <c r="AD1100" s="10" t="n"/>
      <c r="AE1100" s="10" t="n"/>
    </row>
    <row r="1101">
      <c r="A1101" s="10" t="inlineStr">
        <is>
          <t>Sucralose</t>
        </is>
      </c>
      <c r="B1101" s="10" t="inlineStr">
        <is>
          <t>RM</t>
        </is>
      </c>
      <c r="C1101" s="10" t="inlineStr">
        <is>
          <t>Sweetener</t>
        </is>
      </c>
      <c r="D1101" s="10" t="inlineStr">
        <is>
          <t>ID A - IR spectrum</t>
        </is>
      </c>
      <c r="E1101" s="10">
        <f>IF(A1101="","",A1101&amp;"|"&amp;D1101)</f>
        <v/>
      </c>
      <c r="F1101" s="5" t="inlineStr">
        <is>
          <t>Y</t>
        </is>
      </c>
      <c r="G1101" s="5" t="inlineStr">
        <is>
          <t>Other / bench</t>
        </is>
      </c>
      <c r="H1101" s="5" t="inlineStr">
        <is>
          <t>Low</t>
        </is>
      </c>
      <c r="I1101" s="5" t="n">
        <v>1</v>
      </c>
      <c r="J1101" s="5" t="n"/>
      <c r="K1101" s="10">
        <f>IFERROR(IF(INDEX('Test catalog'!$F$2:$F$200,MATCH($AB1101,'Test catalog'!$A$2:$A$200,0))="","",INDEX('Test catalog'!$F$2:$F$200,MATCH($AB1101,'Test catalog'!$A$2:$A$200,0))),"")</f>
        <v/>
      </c>
      <c r="L1101" s="10">
        <f>IFERROR(IF(INDEX('Test catalog'!$G$2:$G$200,MATCH($AB1101,'Test catalog'!$A$2:$A$200,0))="","",INDEX('Test catalog'!$G$2:$G$200,MATCH($AB1101,'Test catalog'!$A$2:$A$200,0))),"")</f>
        <v/>
      </c>
      <c r="M1101" s="10">
        <f>IFERROR(IF(INDEX('Test catalog'!$H$2:$H$200,MATCH($AB1101,'Test catalog'!$A$2:$A$200,0))="","",INDEX('Test catalog'!$H$2:$H$200,MATCH($AB1101,'Test catalog'!$A$2:$A$200,0))),"")</f>
        <v/>
      </c>
      <c r="N1101" s="10">
        <f>IFERROR(IF(INDEX('Test catalog'!$I$2:$I$200,MATCH($AB1101,'Test catalog'!$A$2:$A$200,0))="","",INDEX('Test catalog'!$I$2:$I$200,MATCH($AB1101,'Test catalog'!$A$2:$A$200,0))),"")</f>
        <v/>
      </c>
      <c r="O1101" s="10">
        <f>IFERROR(IF(INDEX('Test catalog'!$J$2:$J$200,MATCH($AB1101,'Test catalog'!$A$2:$A$200,0))="","",INDEX('Test catalog'!$J$2:$J$200,MATCH($AB1101,'Test catalog'!$A$2:$A$200,0))),"")</f>
        <v/>
      </c>
      <c r="P1101" s="14">
        <f>IF(N1101="","",IF(OR(M1101="",O1101=""),N1101,(M1101+4*N1101+O1101)/6))</f>
        <v/>
      </c>
      <c r="Q1101" s="10">
        <f>IFERROR(IF(INDEX('Test catalog'!$K$2:$K$200,MATCH($AB1101,'Test catalog'!$A$2:$A$200,0))="","",INDEX('Test catalog'!$K$2:$K$200,MATCH($AB1101,'Test catalog'!$A$2:$A$200,0))),"")</f>
        <v/>
      </c>
      <c r="R1101" s="5" t="n"/>
      <c r="S1101" s="10">
        <f>IFERROR(IF(INDEX('Test catalog'!$L$2:$L$200,MATCH($AB1101,'Test catalog'!$A$2:$A$200,0))="","",INDEX('Test catalog'!$L$2:$L$200,MATCH($AB1101,'Test catalog'!$A$2:$A$200,0))),"")</f>
        <v/>
      </c>
      <c r="T1101" s="10">
        <f>IFERROR(IF(INDEX('Test catalog'!$M$2:$M$200,MATCH($AB1101,'Test catalog'!$A$2:$A$200,0))="","",INDEX('Test catalog'!$M$2:$M$200,MATCH($AB1101,'Test catalog'!$A$2:$A$200,0))),"")</f>
        <v/>
      </c>
      <c r="U1101" s="10">
        <f>IFERROR(IF(INDEX('Test catalog'!$N$2:$N$200,MATCH($AB1101,'Test catalog'!$A$2:$A$200,0))="","",INDEX('Test catalog'!$N$2:$N$200,MATCH($AB1101,'Test catalog'!$A$2:$A$200,0))),"")</f>
        <v/>
      </c>
      <c r="V1101" s="15" t="n"/>
      <c r="W1101" s="5" t="inlineStr">
        <is>
          <t>N</t>
        </is>
      </c>
      <c r="X1101" s="5" t="n"/>
      <c r="Y1101" s="5" t="n"/>
      <c r="Z1101" s="5" t="n"/>
      <c r="AA1101" s="10">
        <f>IFERROR(IF(INDEX('Test catalog'!$O$2:$O$200,MATCH($AB1101,'Test catalog'!$A$2:$A$200,0))="","",INDEX('Test catalog'!$O$2:$O$200,MATCH($AB1101,'Test catalog'!$A$2:$A$200,0))),"")</f>
        <v/>
      </c>
      <c r="AB1101" s="10" t="inlineStr">
        <is>
          <t>ID_IR</t>
        </is>
      </c>
      <c r="AC1101" s="10" t="inlineStr">
        <is>
          <t>Sucralose · Identification &lt;197&gt;</t>
        </is>
      </c>
      <c r="AD1101" s="10" t="n"/>
      <c r="AE1101" s="10" t="n"/>
    </row>
    <row r="1102">
      <c r="A1102" s="10" t="inlineStr">
        <is>
          <t>Sucralose</t>
        </is>
      </c>
      <c r="B1102" s="10" t="inlineStr">
        <is>
          <t>RM</t>
        </is>
      </c>
      <c r="C1102" s="10" t="inlineStr">
        <is>
          <t>Sweetener</t>
        </is>
      </c>
      <c r="D1102" s="10" t="inlineStr">
        <is>
          <t>Assay (HPLC)</t>
        </is>
      </c>
      <c r="E1102" s="10">
        <f>IF(A1102="","",A1102&amp;"|"&amp;D1102)</f>
        <v/>
      </c>
      <c r="F1102" s="5" t="inlineStr">
        <is>
          <t>Y</t>
        </is>
      </c>
      <c r="G1102" s="5" t="inlineStr">
        <is>
          <t>HPLC</t>
        </is>
      </c>
      <c r="H1102" s="5" t="inlineStr">
        <is>
          <t>Medium</t>
        </is>
      </c>
      <c r="I1102" s="5" t="n">
        <v>1</v>
      </c>
      <c r="J1102" s="5" t="n"/>
      <c r="K1102" s="5" t="n"/>
      <c r="L1102" s="5" t="n"/>
      <c r="M1102" s="5" t="n"/>
      <c r="N1102" s="5" t="n"/>
      <c r="O1102" s="5" t="n"/>
      <c r="P1102" s="14">
        <f>IF(N1102="","",IF(OR(M1102="",O1102=""),N1102,(M1102+4*N1102+O1102)/6))</f>
        <v/>
      </c>
      <c r="Q1102" s="5" t="n"/>
      <c r="R1102" s="5" t="n"/>
      <c r="S1102" s="5" t="n"/>
      <c r="T1102" s="5" t="n"/>
      <c r="U1102" s="5" t="n"/>
      <c r="V1102" s="15" t="n"/>
      <c r="W1102" s="5" t="inlineStr">
        <is>
          <t>N</t>
        </is>
      </c>
      <c r="X1102" s="5" t="n"/>
      <c r="Y1102" s="5" t="n"/>
      <c r="Z1102" s="5" t="n"/>
      <c r="AA1102" s="5" t="n"/>
      <c r="AB1102" s="10" t="n"/>
      <c r="AC1102" s="10" t="inlineStr">
        <is>
          <t>Sucralose · Assay &lt;621&gt;</t>
        </is>
      </c>
      <c r="AD1102" s="10" t="n"/>
      <c r="AE1102" s="10" t="n"/>
    </row>
    <row r="1103">
      <c r="A1103" s="10" t="inlineStr">
        <is>
          <t>Sucralose</t>
        </is>
      </c>
      <c r="B1103" s="10" t="inlineStr">
        <is>
          <t>RM</t>
        </is>
      </c>
      <c r="C1103" s="10" t="inlineStr">
        <is>
          <t>Sweetener</t>
        </is>
      </c>
      <c r="D1103" s="10" t="inlineStr">
        <is>
          <t>Residue on Ignition</t>
        </is>
      </c>
      <c r="E1103" s="10">
        <f>IF(A1103="","",A1103&amp;"|"&amp;D1103)</f>
        <v/>
      </c>
      <c r="F1103" s="5" t="inlineStr">
        <is>
          <t>Y</t>
        </is>
      </c>
      <c r="G1103" s="5" t="inlineStr">
        <is>
          <t>Other / bench</t>
        </is>
      </c>
      <c r="H1103" s="5" t="inlineStr">
        <is>
          <t>Low</t>
        </is>
      </c>
      <c r="I1103" s="5" t="n">
        <v>1</v>
      </c>
      <c r="J1103" s="5" t="n"/>
      <c r="K1103" s="10">
        <f>IFERROR(IF(INDEX('Test catalog'!$F$2:$F$200,MATCH($AB1103,'Test catalog'!$A$2:$A$200,0))="","",INDEX('Test catalog'!$F$2:$F$200,MATCH($AB1103,'Test catalog'!$A$2:$A$200,0))),"")</f>
        <v/>
      </c>
      <c r="L1103" s="10">
        <f>IFERROR(IF(INDEX('Test catalog'!$G$2:$G$200,MATCH($AB1103,'Test catalog'!$A$2:$A$200,0))="","",INDEX('Test catalog'!$G$2:$G$200,MATCH($AB1103,'Test catalog'!$A$2:$A$200,0))),"")</f>
        <v/>
      </c>
      <c r="M1103" s="10">
        <f>IFERROR(IF(INDEX('Test catalog'!$H$2:$H$200,MATCH($AB1103,'Test catalog'!$A$2:$A$200,0))="","",INDEX('Test catalog'!$H$2:$H$200,MATCH($AB1103,'Test catalog'!$A$2:$A$200,0))),"")</f>
        <v/>
      </c>
      <c r="N1103" s="10">
        <f>IFERROR(IF(INDEX('Test catalog'!$I$2:$I$200,MATCH($AB1103,'Test catalog'!$A$2:$A$200,0))="","",INDEX('Test catalog'!$I$2:$I$200,MATCH($AB1103,'Test catalog'!$A$2:$A$200,0))),"")</f>
        <v/>
      </c>
      <c r="O1103" s="10">
        <f>IFERROR(IF(INDEX('Test catalog'!$J$2:$J$200,MATCH($AB1103,'Test catalog'!$A$2:$A$200,0))="","",INDEX('Test catalog'!$J$2:$J$200,MATCH($AB1103,'Test catalog'!$A$2:$A$200,0))),"")</f>
        <v/>
      </c>
      <c r="P1103" s="14">
        <f>IF(N1103="","",IF(OR(M1103="",O1103=""),N1103,(M1103+4*N1103+O1103)/6))</f>
        <v/>
      </c>
      <c r="Q1103" s="10">
        <f>IFERROR(IF(INDEX('Test catalog'!$K$2:$K$200,MATCH($AB1103,'Test catalog'!$A$2:$A$200,0))="","",INDEX('Test catalog'!$K$2:$K$200,MATCH($AB1103,'Test catalog'!$A$2:$A$200,0))),"")</f>
        <v/>
      </c>
      <c r="R1103" s="5" t="n"/>
      <c r="S1103" s="10">
        <f>IFERROR(IF(INDEX('Test catalog'!$L$2:$L$200,MATCH($AB1103,'Test catalog'!$A$2:$A$200,0))="","",INDEX('Test catalog'!$L$2:$L$200,MATCH($AB1103,'Test catalog'!$A$2:$A$200,0))),"")</f>
        <v/>
      </c>
      <c r="T1103" s="10">
        <f>IFERROR(IF(INDEX('Test catalog'!$M$2:$M$200,MATCH($AB1103,'Test catalog'!$A$2:$A$200,0))="","",INDEX('Test catalog'!$M$2:$M$200,MATCH($AB1103,'Test catalog'!$A$2:$A$200,0))),"")</f>
        <v/>
      </c>
      <c r="U1103" s="10">
        <f>IFERROR(IF(INDEX('Test catalog'!$N$2:$N$200,MATCH($AB1103,'Test catalog'!$A$2:$A$200,0))="","",INDEX('Test catalog'!$N$2:$N$200,MATCH($AB1103,'Test catalog'!$A$2:$A$200,0))),"")</f>
        <v/>
      </c>
      <c r="V1103" s="15" t="n"/>
      <c r="W1103" s="5" t="inlineStr">
        <is>
          <t>N</t>
        </is>
      </c>
      <c r="X1103" s="5" t="n"/>
      <c r="Y1103" s="5" t="n"/>
      <c r="Z1103" s="5" t="n"/>
      <c r="AA1103" s="10">
        <f>IFERROR(IF(INDEX('Test catalog'!$O$2:$O$200,MATCH($AB1103,'Test catalog'!$A$2:$A$200,0))="","",INDEX('Test catalog'!$O$2:$O$200,MATCH($AB1103,'Test catalog'!$A$2:$A$200,0))),"")</f>
        <v/>
      </c>
      <c r="AB1103" s="10" t="inlineStr">
        <is>
          <t>ROI</t>
        </is>
      </c>
      <c r="AC1103" s="10" t="inlineStr">
        <is>
          <t>Sucralose · Impurities &lt;281&gt;</t>
        </is>
      </c>
      <c r="AD1103" s="10" t="n"/>
      <c r="AE1103" s="10" t="n"/>
    </row>
    <row r="1104">
      <c r="A1104" s="10" t="inlineStr">
        <is>
          <t>Sucralose</t>
        </is>
      </c>
      <c r="B1104" s="10" t="inlineStr">
        <is>
          <t>RM</t>
        </is>
      </c>
      <c r="C1104" s="10" t="inlineStr">
        <is>
          <t>Sweetener</t>
        </is>
      </c>
      <c r="D1104" s="10" t="inlineStr">
        <is>
          <t>Limit of Methanol (GC)</t>
        </is>
      </c>
      <c r="E1104" s="10">
        <f>IF(A1104="","",A1104&amp;"|"&amp;D1104)</f>
        <v/>
      </c>
      <c r="F1104" s="5" t="inlineStr">
        <is>
          <t>Y</t>
        </is>
      </c>
      <c r="G1104" s="5" t="inlineStr">
        <is>
          <t>GC</t>
        </is>
      </c>
      <c r="H1104" s="5" t="inlineStr">
        <is>
          <t>Medium</t>
        </is>
      </c>
      <c r="I1104" s="5" t="n">
        <v>1</v>
      </c>
      <c r="J1104" s="5" t="n"/>
      <c r="K1104" s="5" t="n"/>
      <c r="L1104" s="5" t="n"/>
      <c r="M1104" s="5" t="n"/>
      <c r="N1104" s="5" t="n"/>
      <c r="O1104" s="5" t="n"/>
      <c r="P1104" s="14">
        <f>IF(N1104="","",IF(OR(M1104="",O1104=""),N1104,(M1104+4*N1104+O1104)/6))</f>
        <v/>
      </c>
      <c r="Q1104" s="5" t="n"/>
      <c r="R1104" s="5" t="n"/>
      <c r="S1104" s="5" t="n"/>
      <c r="T1104" s="5" t="n"/>
      <c r="U1104" s="5" t="n"/>
      <c r="V1104" s="15" t="n"/>
      <c r="W1104" s="5" t="inlineStr">
        <is>
          <t>N</t>
        </is>
      </c>
      <c r="X1104" s="5" t="n"/>
      <c r="Y1104" s="5" t="n"/>
      <c r="Z1104" s="5" t="n"/>
      <c r="AA1104" s="5" t="n"/>
      <c r="AB1104" s="10" t="n"/>
      <c r="AC1104" s="10" t="inlineStr">
        <is>
          <t>Sucralose · Impurities</t>
        </is>
      </c>
      <c r="AD1104" s="10" t="n"/>
      <c r="AE1104" s="10" t="n"/>
    </row>
    <row r="1105">
      <c r="A1105" s="10" t="inlineStr">
        <is>
          <t>Sucralose</t>
        </is>
      </c>
      <c r="B1105" s="10" t="inlineStr">
        <is>
          <t>RM</t>
        </is>
      </c>
      <c r="C1105" s="10" t="inlineStr">
        <is>
          <t>Sweetener</t>
        </is>
      </c>
      <c r="D1105" s="10" t="inlineStr">
        <is>
          <t>Related Compounds</t>
        </is>
      </c>
      <c r="E1105" s="10">
        <f>IF(A1105="","",A1105&amp;"|"&amp;D1105)</f>
        <v/>
      </c>
      <c r="F1105" s="5" t="inlineStr">
        <is>
          <t>Y</t>
        </is>
      </c>
      <c r="G1105" s="5" t="inlineStr">
        <is>
          <t>Other / bench</t>
        </is>
      </c>
      <c r="H1105" s="5" t="inlineStr">
        <is>
          <t>Low</t>
        </is>
      </c>
      <c r="I1105" s="5" t="n">
        <v>1</v>
      </c>
      <c r="J1105" s="5" t="n"/>
      <c r="K1105" s="10">
        <f>IFERROR(IF(INDEX('Test catalog'!$F$2:$F$200,MATCH($AB1105,'Test catalog'!$A$2:$A$200,0))="","",INDEX('Test catalog'!$F$2:$F$200,MATCH($AB1105,'Test catalog'!$A$2:$A$200,0))),"")</f>
        <v/>
      </c>
      <c r="L1105" s="10">
        <f>IFERROR(IF(INDEX('Test catalog'!$G$2:$G$200,MATCH($AB1105,'Test catalog'!$A$2:$A$200,0))="","",INDEX('Test catalog'!$G$2:$G$200,MATCH($AB1105,'Test catalog'!$A$2:$A$200,0))),"")</f>
        <v/>
      </c>
      <c r="M1105" s="10">
        <f>IFERROR(IF(INDEX('Test catalog'!$H$2:$H$200,MATCH($AB1105,'Test catalog'!$A$2:$A$200,0))="","",INDEX('Test catalog'!$H$2:$H$200,MATCH($AB1105,'Test catalog'!$A$2:$A$200,0))),"")</f>
        <v/>
      </c>
      <c r="N1105" s="10">
        <f>IFERROR(IF(INDEX('Test catalog'!$I$2:$I$200,MATCH($AB1105,'Test catalog'!$A$2:$A$200,0))="","",INDEX('Test catalog'!$I$2:$I$200,MATCH($AB1105,'Test catalog'!$A$2:$A$200,0))),"")</f>
        <v/>
      </c>
      <c r="O1105" s="10">
        <f>IFERROR(IF(INDEX('Test catalog'!$J$2:$J$200,MATCH($AB1105,'Test catalog'!$A$2:$A$200,0))="","",INDEX('Test catalog'!$J$2:$J$200,MATCH($AB1105,'Test catalog'!$A$2:$A$200,0))),"")</f>
        <v/>
      </c>
      <c r="P1105" s="14">
        <f>IF(N1105="","",IF(OR(M1105="",O1105=""),N1105,(M1105+4*N1105+O1105)/6))</f>
        <v/>
      </c>
      <c r="Q1105" s="10">
        <f>IFERROR(IF(INDEX('Test catalog'!$K$2:$K$200,MATCH($AB1105,'Test catalog'!$A$2:$A$200,0))="","",INDEX('Test catalog'!$K$2:$K$200,MATCH($AB1105,'Test catalog'!$A$2:$A$200,0))),"")</f>
        <v/>
      </c>
      <c r="R1105" s="5" t="n"/>
      <c r="S1105" s="10">
        <f>IFERROR(IF(INDEX('Test catalog'!$L$2:$L$200,MATCH($AB1105,'Test catalog'!$A$2:$A$200,0))="","",INDEX('Test catalog'!$L$2:$L$200,MATCH($AB1105,'Test catalog'!$A$2:$A$200,0))),"")</f>
        <v/>
      </c>
      <c r="T1105" s="10">
        <f>IFERROR(IF(INDEX('Test catalog'!$M$2:$M$200,MATCH($AB1105,'Test catalog'!$A$2:$A$200,0))="","",INDEX('Test catalog'!$M$2:$M$200,MATCH($AB1105,'Test catalog'!$A$2:$A$200,0))),"")</f>
        <v/>
      </c>
      <c r="U1105" s="10">
        <f>IFERROR(IF(INDEX('Test catalog'!$N$2:$N$200,MATCH($AB1105,'Test catalog'!$A$2:$A$200,0))="","",INDEX('Test catalog'!$N$2:$N$200,MATCH($AB1105,'Test catalog'!$A$2:$A$200,0))),"")</f>
        <v/>
      </c>
      <c r="V1105" s="15" t="n"/>
      <c r="W1105" s="5" t="inlineStr">
        <is>
          <t>N</t>
        </is>
      </c>
      <c r="X1105" s="5" t="n"/>
      <c r="Y1105" s="5" t="n"/>
      <c r="Z1105" s="5" t="n"/>
      <c r="AA1105" s="10">
        <f>IFERROR(IF(INDEX('Test catalog'!$O$2:$O$200,MATCH($AB1105,'Test catalog'!$A$2:$A$200,0))="","",INDEX('Test catalog'!$O$2:$O$200,MATCH($AB1105,'Test catalog'!$A$2:$A$200,0))),"")</f>
        <v/>
      </c>
      <c r="AB1105" s="10" t="inlineStr">
        <is>
          <t>TLC</t>
        </is>
      </c>
      <c r="AC1105" s="10" t="inlineStr">
        <is>
          <t>Sucralose · Impurities</t>
        </is>
      </c>
      <c r="AD1105" s="10" t="n"/>
      <c r="AE1105" s="10" t="n"/>
    </row>
    <row r="1106">
      <c r="A1106" s="10" t="inlineStr">
        <is>
          <t>Sucralose</t>
        </is>
      </c>
      <c r="B1106" s="10" t="inlineStr">
        <is>
          <t>RM</t>
        </is>
      </c>
      <c r="C1106" s="10" t="inlineStr">
        <is>
          <t>Sweetener</t>
        </is>
      </c>
      <c r="D1106" s="10" t="inlineStr">
        <is>
          <t>Limit of Hydrolysis Products</t>
        </is>
      </c>
      <c r="E1106" s="10">
        <f>IF(A1106="","",A1106&amp;"|"&amp;D1106)</f>
        <v/>
      </c>
      <c r="F1106" s="5" t="inlineStr">
        <is>
          <t>Y</t>
        </is>
      </c>
      <c r="G1106" s="5" t="inlineStr">
        <is>
          <t>Other / bench</t>
        </is>
      </c>
      <c r="H1106" s="5" t="inlineStr">
        <is>
          <t>Low</t>
        </is>
      </c>
      <c r="I1106" s="5" t="n">
        <v>1</v>
      </c>
      <c r="J1106" s="5" t="n"/>
      <c r="K1106" s="10">
        <f>IFERROR(IF(INDEX('Test catalog'!$F$2:$F$200,MATCH($AB1106,'Test catalog'!$A$2:$A$200,0))="","",INDEX('Test catalog'!$F$2:$F$200,MATCH($AB1106,'Test catalog'!$A$2:$A$200,0))),"")</f>
        <v/>
      </c>
      <c r="L1106" s="10">
        <f>IFERROR(IF(INDEX('Test catalog'!$G$2:$G$200,MATCH($AB1106,'Test catalog'!$A$2:$A$200,0))="","",INDEX('Test catalog'!$G$2:$G$200,MATCH($AB1106,'Test catalog'!$A$2:$A$200,0))),"")</f>
        <v/>
      </c>
      <c r="M1106" s="10">
        <f>IFERROR(IF(INDEX('Test catalog'!$H$2:$H$200,MATCH($AB1106,'Test catalog'!$A$2:$A$200,0))="","",INDEX('Test catalog'!$H$2:$H$200,MATCH($AB1106,'Test catalog'!$A$2:$A$200,0))),"")</f>
        <v/>
      </c>
      <c r="N1106" s="10">
        <f>IFERROR(IF(INDEX('Test catalog'!$I$2:$I$200,MATCH($AB1106,'Test catalog'!$A$2:$A$200,0))="","",INDEX('Test catalog'!$I$2:$I$200,MATCH($AB1106,'Test catalog'!$A$2:$A$200,0))),"")</f>
        <v/>
      </c>
      <c r="O1106" s="10">
        <f>IFERROR(IF(INDEX('Test catalog'!$J$2:$J$200,MATCH($AB1106,'Test catalog'!$A$2:$A$200,0))="","",INDEX('Test catalog'!$J$2:$J$200,MATCH($AB1106,'Test catalog'!$A$2:$A$200,0))),"")</f>
        <v/>
      </c>
      <c r="P1106" s="14">
        <f>IF(N1106="","",IF(OR(M1106="",O1106=""),N1106,(M1106+4*N1106+O1106)/6))</f>
        <v/>
      </c>
      <c r="Q1106" s="10">
        <f>IFERROR(IF(INDEX('Test catalog'!$K$2:$K$200,MATCH($AB1106,'Test catalog'!$A$2:$A$200,0))="","",INDEX('Test catalog'!$K$2:$K$200,MATCH($AB1106,'Test catalog'!$A$2:$A$200,0))),"")</f>
        <v/>
      </c>
      <c r="R1106" s="5" t="n"/>
      <c r="S1106" s="10">
        <f>IFERROR(IF(INDEX('Test catalog'!$L$2:$L$200,MATCH($AB1106,'Test catalog'!$A$2:$A$200,0))="","",INDEX('Test catalog'!$L$2:$L$200,MATCH($AB1106,'Test catalog'!$A$2:$A$200,0))),"")</f>
        <v/>
      </c>
      <c r="T1106" s="10">
        <f>IFERROR(IF(INDEX('Test catalog'!$M$2:$M$200,MATCH($AB1106,'Test catalog'!$A$2:$A$200,0))="","",INDEX('Test catalog'!$M$2:$M$200,MATCH($AB1106,'Test catalog'!$A$2:$A$200,0))),"")</f>
        <v/>
      </c>
      <c r="U1106" s="10">
        <f>IFERROR(IF(INDEX('Test catalog'!$N$2:$N$200,MATCH($AB1106,'Test catalog'!$A$2:$A$200,0))="","",INDEX('Test catalog'!$N$2:$N$200,MATCH($AB1106,'Test catalog'!$A$2:$A$200,0))),"")</f>
        <v/>
      </c>
      <c r="V1106" s="15" t="n"/>
      <c r="W1106" s="5" t="inlineStr">
        <is>
          <t>N</t>
        </is>
      </c>
      <c r="X1106" s="5" t="n"/>
      <c r="Y1106" s="5" t="n"/>
      <c r="Z1106" s="5" t="n"/>
      <c r="AA1106" s="10">
        <f>IFERROR(IF(INDEX('Test catalog'!$O$2:$O$200,MATCH($AB1106,'Test catalog'!$A$2:$A$200,0))="","",INDEX('Test catalog'!$O$2:$O$200,MATCH($AB1106,'Test catalog'!$A$2:$A$200,0))),"")</f>
        <v/>
      </c>
      <c r="AB1106" s="10" t="inlineStr">
        <is>
          <t>TLC</t>
        </is>
      </c>
      <c r="AC1106" s="10" t="inlineStr">
        <is>
          <t>Sucralose · Impurities</t>
        </is>
      </c>
      <c r="AD1106" s="10" t="n"/>
      <c r="AE1106" s="10" t="n"/>
    </row>
    <row r="1107">
      <c r="A1107" s="10" t="inlineStr">
        <is>
          <t>Sucralose</t>
        </is>
      </c>
      <c r="B1107" s="10" t="inlineStr">
        <is>
          <t>RM</t>
        </is>
      </c>
      <c r="C1107" s="10" t="inlineStr">
        <is>
          <t>Sweetener</t>
        </is>
      </c>
      <c r="D1107" s="10" t="inlineStr">
        <is>
          <t>Optical Rotation</t>
        </is>
      </c>
      <c r="E1107" s="10">
        <f>IF(A1107="","",A1107&amp;"|"&amp;D1107)</f>
        <v/>
      </c>
      <c r="F1107" s="5" t="inlineStr">
        <is>
          <t>Y</t>
        </is>
      </c>
      <c r="G1107" s="5" t="inlineStr">
        <is>
          <t>Other / bench</t>
        </is>
      </c>
      <c r="H1107" s="5" t="inlineStr">
        <is>
          <t>Low</t>
        </is>
      </c>
      <c r="I1107" s="5" t="n">
        <v>1</v>
      </c>
      <c r="J1107" s="5" t="n"/>
      <c r="K1107" s="10">
        <f>IFERROR(IF(INDEX('Test catalog'!$F$2:$F$200,MATCH($AB1107,'Test catalog'!$A$2:$A$200,0))="","",INDEX('Test catalog'!$F$2:$F$200,MATCH($AB1107,'Test catalog'!$A$2:$A$200,0))),"")</f>
        <v/>
      </c>
      <c r="L1107" s="10">
        <f>IFERROR(IF(INDEX('Test catalog'!$G$2:$G$200,MATCH($AB1107,'Test catalog'!$A$2:$A$200,0))="","",INDEX('Test catalog'!$G$2:$G$200,MATCH($AB1107,'Test catalog'!$A$2:$A$200,0))),"")</f>
        <v/>
      </c>
      <c r="M1107" s="10">
        <f>IFERROR(IF(INDEX('Test catalog'!$H$2:$H$200,MATCH($AB1107,'Test catalog'!$A$2:$A$200,0))="","",INDEX('Test catalog'!$H$2:$H$200,MATCH($AB1107,'Test catalog'!$A$2:$A$200,0))),"")</f>
        <v/>
      </c>
      <c r="N1107" s="10">
        <f>IFERROR(IF(INDEX('Test catalog'!$I$2:$I$200,MATCH($AB1107,'Test catalog'!$A$2:$A$200,0))="","",INDEX('Test catalog'!$I$2:$I$200,MATCH($AB1107,'Test catalog'!$A$2:$A$200,0))),"")</f>
        <v/>
      </c>
      <c r="O1107" s="10">
        <f>IFERROR(IF(INDEX('Test catalog'!$J$2:$J$200,MATCH($AB1107,'Test catalog'!$A$2:$A$200,0))="","",INDEX('Test catalog'!$J$2:$J$200,MATCH($AB1107,'Test catalog'!$A$2:$A$200,0))),"")</f>
        <v/>
      </c>
      <c r="P1107" s="14">
        <f>IF(N1107="","",IF(OR(M1107="",O1107=""),N1107,(M1107+4*N1107+O1107)/6))</f>
        <v/>
      </c>
      <c r="Q1107" s="10">
        <f>IFERROR(IF(INDEX('Test catalog'!$K$2:$K$200,MATCH($AB1107,'Test catalog'!$A$2:$A$200,0))="","",INDEX('Test catalog'!$K$2:$K$200,MATCH($AB1107,'Test catalog'!$A$2:$A$200,0))),"")</f>
        <v/>
      </c>
      <c r="R1107" s="5" t="n"/>
      <c r="S1107" s="10">
        <f>IFERROR(IF(INDEX('Test catalog'!$L$2:$L$200,MATCH($AB1107,'Test catalog'!$A$2:$A$200,0))="","",INDEX('Test catalog'!$L$2:$L$200,MATCH($AB1107,'Test catalog'!$A$2:$A$200,0))),"")</f>
        <v/>
      </c>
      <c r="T1107" s="10">
        <f>IFERROR(IF(INDEX('Test catalog'!$M$2:$M$200,MATCH($AB1107,'Test catalog'!$A$2:$A$200,0))="","",INDEX('Test catalog'!$M$2:$M$200,MATCH($AB1107,'Test catalog'!$A$2:$A$200,0))),"")</f>
        <v/>
      </c>
      <c r="U1107" s="10">
        <f>IFERROR(IF(INDEX('Test catalog'!$N$2:$N$200,MATCH($AB1107,'Test catalog'!$A$2:$A$200,0))="","",INDEX('Test catalog'!$N$2:$N$200,MATCH($AB1107,'Test catalog'!$A$2:$A$200,0))),"")</f>
        <v/>
      </c>
      <c r="V1107" s="15" t="n"/>
      <c r="W1107" s="5" t="inlineStr">
        <is>
          <t>N</t>
        </is>
      </c>
      <c r="X1107" s="5" t="n"/>
      <c r="Y1107" s="5" t="n"/>
      <c r="Z1107" s="5" t="n"/>
      <c r="AA1107" s="10">
        <f>IFERROR(IF(INDEX('Test catalog'!$O$2:$O$200,MATCH($AB1107,'Test catalog'!$A$2:$A$200,0))="","",INDEX('Test catalog'!$O$2:$O$200,MATCH($AB1107,'Test catalog'!$A$2:$A$200,0))),"")</f>
        <v/>
      </c>
      <c r="AB1107" s="10" t="inlineStr">
        <is>
          <t>OR</t>
        </is>
      </c>
      <c r="AC1107" s="10" t="inlineStr">
        <is>
          <t>Sucralose · Specific Tests &lt;781&gt;</t>
        </is>
      </c>
      <c r="AD1107" s="10" t="n"/>
      <c r="AE1107" s="10" t="n"/>
    </row>
    <row r="1108">
      <c r="A1108" s="10" t="inlineStr">
        <is>
          <t>Sucralose</t>
        </is>
      </c>
      <c r="B1108" s="10" t="inlineStr">
        <is>
          <t>RM</t>
        </is>
      </c>
      <c r="C1108" s="10" t="inlineStr">
        <is>
          <t>Sweetener</t>
        </is>
      </c>
      <c r="D1108" s="10" t="inlineStr">
        <is>
          <t>Water Determination</t>
        </is>
      </c>
      <c r="E1108" s="10">
        <f>IF(A1108="","",A1108&amp;"|"&amp;D1108)</f>
        <v/>
      </c>
      <c r="F1108" s="5" t="inlineStr">
        <is>
          <t>Y</t>
        </is>
      </c>
      <c r="G1108" s="5" t="inlineStr">
        <is>
          <t>KF titrator</t>
        </is>
      </c>
      <c r="H1108" s="5" t="inlineStr">
        <is>
          <t>Low</t>
        </is>
      </c>
      <c r="I1108" s="5" t="n">
        <v>1</v>
      </c>
      <c r="J1108" s="5" t="n"/>
      <c r="K1108" s="10">
        <f>IFERROR(IF(INDEX('Test catalog'!$F$2:$F$200,MATCH($AB1108,'Test catalog'!$A$2:$A$200,0))="","",INDEX('Test catalog'!$F$2:$F$200,MATCH($AB1108,'Test catalog'!$A$2:$A$200,0))),"")</f>
        <v/>
      </c>
      <c r="L1108" s="10">
        <f>IFERROR(IF(INDEX('Test catalog'!$G$2:$G$200,MATCH($AB1108,'Test catalog'!$A$2:$A$200,0))="","",INDEX('Test catalog'!$G$2:$G$200,MATCH($AB1108,'Test catalog'!$A$2:$A$200,0))),"")</f>
        <v/>
      </c>
      <c r="M1108" s="10">
        <f>IFERROR(IF(INDEX('Test catalog'!$H$2:$H$200,MATCH($AB1108,'Test catalog'!$A$2:$A$200,0))="","",INDEX('Test catalog'!$H$2:$H$200,MATCH($AB1108,'Test catalog'!$A$2:$A$200,0))),"")</f>
        <v/>
      </c>
      <c r="N1108" s="10">
        <f>IFERROR(IF(INDEX('Test catalog'!$I$2:$I$200,MATCH($AB1108,'Test catalog'!$A$2:$A$200,0))="","",INDEX('Test catalog'!$I$2:$I$200,MATCH($AB1108,'Test catalog'!$A$2:$A$200,0))),"")</f>
        <v/>
      </c>
      <c r="O1108" s="10">
        <f>IFERROR(IF(INDEX('Test catalog'!$J$2:$J$200,MATCH($AB1108,'Test catalog'!$A$2:$A$200,0))="","",INDEX('Test catalog'!$J$2:$J$200,MATCH($AB1108,'Test catalog'!$A$2:$A$200,0))),"")</f>
        <v/>
      </c>
      <c r="P1108" s="14">
        <f>IF(N1108="","",IF(OR(M1108="",O1108=""),N1108,(M1108+4*N1108+O1108)/6))</f>
        <v/>
      </c>
      <c r="Q1108" s="10">
        <f>IFERROR(IF(INDEX('Test catalog'!$K$2:$K$200,MATCH($AB1108,'Test catalog'!$A$2:$A$200,0))="","",INDEX('Test catalog'!$K$2:$K$200,MATCH($AB1108,'Test catalog'!$A$2:$A$200,0))),"")</f>
        <v/>
      </c>
      <c r="R1108" s="5" t="n"/>
      <c r="S1108" s="10">
        <f>IFERROR(IF(INDEX('Test catalog'!$L$2:$L$200,MATCH($AB1108,'Test catalog'!$A$2:$A$200,0))="","",INDEX('Test catalog'!$L$2:$L$200,MATCH($AB1108,'Test catalog'!$A$2:$A$200,0))),"")</f>
        <v/>
      </c>
      <c r="T1108" s="10">
        <f>IFERROR(IF(INDEX('Test catalog'!$M$2:$M$200,MATCH($AB1108,'Test catalog'!$A$2:$A$200,0))="","",INDEX('Test catalog'!$M$2:$M$200,MATCH($AB1108,'Test catalog'!$A$2:$A$200,0))),"")</f>
        <v/>
      </c>
      <c r="U1108" s="10">
        <f>IFERROR(IF(INDEX('Test catalog'!$N$2:$N$200,MATCH($AB1108,'Test catalog'!$A$2:$A$200,0))="","",INDEX('Test catalog'!$N$2:$N$200,MATCH($AB1108,'Test catalog'!$A$2:$A$200,0))),"")</f>
        <v/>
      </c>
      <c r="V1108" s="15" t="n"/>
      <c r="W1108" s="5" t="inlineStr">
        <is>
          <t>N</t>
        </is>
      </c>
      <c r="X1108" s="5" t="n"/>
      <c r="Y1108" s="5" t="n"/>
      <c r="Z1108" s="5" t="n"/>
      <c r="AA1108" s="10">
        <f>IFERROR(IF(INDEX('Test catalog'!$O$2:$O$200,MATCH($AB1108,'Test catalog'!$A$2:$A$200,0))="","",INDEX('Test catalog'!$O$2:$O$200,MATCH($AB1108,'Test catalog'!$A$2:$A$200,0))),"")</f>
        <v/>
      </c>
      <c r="AB1108" s="10" t="inlineStr">
        <is>
          <t>KF</t>
        </is>
      </c>
      <c r="AC1108" s="10" t="inlineStr">
        <is>
          <t>Sucralose · Specific Tests &lt;921&gt;</t>
        </is>
      </c>
      <c r="AD1108" s="10" t="n"/>
      <c r="AE1108" s="10" t="n"/>
    </row>
    <row r="1109">
      <c r="A1109" s="10" t="inlineStr">
        <is>
          <t>Sorbitol</t>
        </is>
      </c>
      <c r="B1109" s="10" t="inlineStr">
        <is>
          <t>RM</t>
        </is>
      </c>
      <c r="C1109" s="10" t="inlineStr">
        <is>
          <t>Sweetener / Filler</t>
        </is>
      </c>
      <c r="D1109" s="10" t="inlineStr">
        <is>
          <t>Appearance / description and solubility</t>
        </is>
      </c>
      <c r="E1109" s="10">
        <f>IF(A1109="","",A1109&amp;"|"&amp;D1109)</f>
        <v/>
      </c>
      <c r="F1109" s="5" t="inlineStr">
        <is>
          <t>Y</t>
        </is>
      </c>
      <c r="G1109" s="5" t="inlineStr">
        <is>
          <t>Other / bench</t>
        </is>
      </c>
      <c r="H1109" s="5" t="inlineStr">
        <is>
          <t>Low</t>
        </is>
      </c>
      <c r="I1109" s="5" t="n">
        <v>1</v>
      </c>
      <c r="J1109" s="5" t="n"/>
      <c r="K1109" s="10">
        <f>IFERROR(IF(INDEX('Test catalog'!$F$2:$F$200,MATCH($AB1109,'Test catalog'!$A$2:$A$200,0))="","",INDEX('Test catalog'!$F$2:$F$200,MATCH($AB1109,'Test catalog'!$A$2:$A$200,0))),"")</f>
        <v/>
      </c>
      <c r="L1109" s="10">
        <f>IFERROR(IF(INDEX('Test catalog'!$G$2:$G$200,MATCH($AB1109,'Test catalog'!$A$2:$A$200,0))="","",INDEX('Test catalog'!$G$2:$G$200,MATCH($AB1109,'Test catalog'!$A$2:$A$200,0))),"")</f>
        <v/>
      </c>
      <c r="M1109" s="10">
        <f>IFERROR(IF(INDEX('Test catalog'!$H$2:$H$200,MATCH($AB1109,'Test catalog'!$A$2:$A$200,0))="","",INDEX('Test catalog'!$H$2:$H$200,MATCH($AB1109,'Test catalog'!$A$2:$A$200,0))),"")</f>
        <v/>
      </c>
      <c r="N1109" s="10">
        <f>IFERROR(IF(INDEX('Test catalog'!$I$2:$I$200,MATCH($AB1109,'Test catalog'!$A$2:$A$200,0))="","",INDEX('Test catalog'!$I$2:$I$200,MATCH($AB1109,'Test catalog'!$A$2:$A$200,0))),"")</f>
        <v/>
      </c>
      <c r="O1109" s="10">
        <f>IFERROR(IF(INDEX('Test catalog'!$J$2:$J$200,MATCH($AB1109,'Test catalog'!$A$2:$A$200,0))="","",INDEX('Test catalog'!$J$2:$J$200,MATCH($AB1109,'Test catalog'!$A$2:$A$200,0))),"")</f>
        <v/>
      </c>
      <c r="P1109" s="14">
        <f>IF(N1109="","",IF(OR(M1109="",O1109=""),N1109,(M1109+4*N1109+O1109)/6))</f>
        <v/>
      </c>
      <c r="Q1109" s="10">
        <f>IFERROR(IF(INDEX('Test catalog'!$K$2:$K$200,MATCH($AB1109,'Test catalog'!$A$2:$A$200,0))="","",INDEX('Test catalog'!$K$2:$K$200,MATCH($AB1109,'Test catalog'!$A$2:$A$200,0))),"")</f>
        <v/>
      </c>
      <c r="R1109" s="5" t="n"/>
      <c r="S1109" s="10">
        <f>IFERROR(IF(INDEX('Test catalog'!$L$2:$L$200,MATCH($AB1109,'Test catalog'!$A$2:$A$200,0))="","",INDEX('Test catalog'!$L$2:$L$200,MATCH($AB1109,'Test catalog'!$A$2:$A$200,0))),"")</f>
        <v/>
      </c>
      <c r="T1109" s="10">
        <f>IFERROR(IF(INDEX('Test catalog'!$M$2:$M$200,MATCH($AB1109,'Test catalog'!$A$2:$A$200,0))="","",INDEX('Test catalog'!$M$2:$M$200,MATCH($AB1109,'Test catalog'!$A$2:$A$200,0))),"")</f>
        <v/>
      </c>
      <c r="U1109" s="10">
        <f>IFERROR(IF(INDEX('Test catalog'!$N$2:$N$200,MATCH($AB1109,'Test catalog'!$A$2:$A$200,0))="","",INDEX('Test catalog'!$N$2:$N$200,MATCH($AB1109,'Test catalog'!$A$2:$A$200,0))),"")</f>
        <v/>
      </c>
      <c r="V1109" s="15" t="n"/>
      <c r="W1109" s="5" t="inlineStr">
        <is>
          <t>N</t>
        </is>
      </c>
      <c r="X1109" s="5" t="n"/>
      <c r="Y1109" s="5" t="n"/>
      <c r="Z1109" s="5" t="n"/>
      <c r="AA1109" s="10">
        <f>IFERROR(IF(INDEX('Test catalog'!$O$2:$O$200,MATCH($AB1109,'Test catalog'!$A$2:$A$200,0))="","",INDEX('Test catalog'!$O$2:$O$200,MATCH($AB1109,'Test catalog'!$A$2:$A$200,0))),"")</f>
        <v/>
      </c>
      <c r="AB1109" s="10" t="inlineStr">
        <is>
          <t>APPEAR</t>
        </is>
      </c>
      <c r="AC1109" s="10" t="inlineStr">
        <is>
          <t>Lab practice (not a USP test)</t>
        </is>
      </c>
      <c r="AD1109" s="10" t="n"/>
      <c r="AE1109" s="10" t="n"/>
    </row>
    <row r="1110">
      <c r="A1110" s="10" t="inlineStr">
        <is>
          <t>Sorbitol</t>
        </is>
      </c>
      <c r="B1110" s="10" t="inlineStr">
        <is>
          <t>RM</t>
        </is>
      </c>
      <c r="C1110" s="10" t="inlineStr">
        <is>
          <t>Sweetener / Filler</t>
        </is>
      </c>
      <c r="D1110" s="10" t="inlineStr">
        <is>
          <t>ID A - chemical reaction</t>
        </is>
      </c>
      <c r="E1110" s="10">
        <f>IF(A1110="","",A1110&amp;"|"&amp;D1110)</f>
        <v/>
      </c>
      <c r="F1110" s="5" t="inlineStr">
        <is>
          <t>Y</t>
        </is>
      </c>
      <c r="G1110" s="5" t="inlineStr">
        <is>
          <t>Other / bench</t>
        </is>
      </c>
      <c r="H1110" s="5" t="inlineStr">
        <is>
          <t>Low</t>
        </is>
      </c>
      <c r="I1110" s="5" t="n">
        <v>1</v>
      </c>
      <c r="J1110" s="5" t="n"/>
      <c r="K1110" s="10">
        <f>IFERROR(IF(INDEX('Test catalog'!$F$2:$F$200,MATCH($AB1110,'Test catalog'!$A$2:$A$200,0))="","",INDEX('Test catalog'!$F$2:$F$200,MATCH($AB1110,'Test catalog'!$A$2:$A$200,0))),"")</f>
        <v/>
      </c>
      <c r="L1110" s="10">
        <f>IFERROR(IF(INDEX('Test catalog'!$G$2:$G$200,MATCH($AB1110,'Test catalog'!$A$2:$A$200,0))="","",INDEX('Test catalog'!$G$2:$G$200,MATCH($AB1110,'Test catalog'!$A$2:$A$200,0))),"")</f>
        <v/>
      </c>
      <c r="M1110" s="10">
        <f>IFERROR(IF(INDEX('Test catalog'!$H$2:$H$200,MATCH($AB1110,'Test catalog'!$A$2:$A$200,0))="","",INDEX('Test catalog'!$H$2:$H$200,MATCH($AB1110,'Test catalog'!$A$2:$A$200,0))),"")</f>
        <v/>
      </c>
      <c r="N1110" s="10">
        <f>IFERROR(IF(INDEX('Test catalog'!$I$2:$I$200,MATCH($AB1110,'Test catalog'!$A$2:$A$200,0))="","",INDEX('Test catalog'!$I$2:$I$200,MATCH($AB1110,'Test catalog'!$A$2:$A$200,0))),"")</f>
        <v/>
      </c>
      <c r="O1110" s="10">
        <f>IFERROR(IF(INDEX('Test catalog'!$J$2:$J$200,MATCH($AB1110,'Test catalog'!$A$2:$A$200,0))="","",INDEX('Test catalog'!$J$2:$J$200,MATCH($AB1110,'Test catalog'!$A$2:$A$200,0))),"")</f>
        <v/>
      </c>
      <c r="P1110" s="14">
        <f>IF(N1110="","",IF(OR(M1110="",O1110=""),N1110,(M1110+4*N1110+O1110)/6))</f>
        <v/>
      </c>
      <c r="Q1110" s="10">
        <f>IFERROR(IF(INDEX('Test catalog'!$K$2:$K$200,MATCH($AB1110,'Test catalog'!$A$2:$A$200,0))="","",INDEX('Test catalog'!$K$2:$K$200,MATCH($AB1110,'Test catalog'!$A$2:$A$200,0))),"")</f>
        <v/>
      </c>
      <c r="R1110" s="5" t="n"/>
      <c r="S1110" s="10">
        <f>IFERROR(IF(INDEX('Test catalog'!$L$2:$L$200,MATCH($AB1110,'Test catalog'!$A$2:$A$200,0))="","",INDEX('Test catalog'!$L$2:$L$200,MATCH($AB1110,'Test catalog'!$A$2:$A$200,0))),"")</f>
        <v/>
      </c>
      <c r="T1110" s="10">
        <f>IFERROR(IF(INDEX('Test catalog'!$M$2:$M$200,MATCH($AB1110,'Test catalog'!$A$2:$A$200,0))="","",INDEX('Test catalog'!$M$2:$M$200,MATCH($AB1110,'Test catalog'!$A$2:$A$200,0))),"")</f>
        <v/>
      </c>
      <c r="U1110" s="10">
        <f>IFERROR(IF(INDEX('Test catalog'!$N$2:$N$200,MATCH($AB1110,'Test catalog'!$A$2:$A$200,0))="","",INDEX('Test catalog'!$N$2:$N$200,MATCH($AB1110,'Test catalog'!$A$2:$A$200,0))),"")</f>
        <v/>
      </c>
      <c r="V1110" s="15" t="n"/>
      <c r="W1110" s="5" t="inlineStr">
        <is>
          <t>N</t>
        </is>
      </c>
      <c r="X1110" s="5" t="n"/>
      <c r="Y1110" s="5" t="n"/>
      <c r="Z1110" s="5" t="n"/>
      <c r="AA1110" s="10">
        <f>IFERROR(IF(INDEX('Test catalog'!$O$2:$O$200,MATCH($AB1110,'Test catalog'!$A$2:$A$200,0))="","",INDEX('Test catalog'!$O$2:$O$200,MATCH($AB1110,'Test catalog'!$A$2:$A$200,0))),"")</f>
        <v/>
      </c>
      <c r="AB1110" s="10" t="inlineStr">
        <is>
          <t>ID_CHEM</t>
        </is>
      </c>
      <c r="AC1110" s="10" t="inlineStr">
        <is>
          <t>Sorbitol · Identification</t>
        </is>
      </c>
      <c r="AD1110" s="10" t="n"/>
      <c r="AE1110" s="10" t="n"/>
    </row>
    <row r="1111">
      <c r="A1111" s="10" t="inlineStr">
        <is>
          <t>Sorbitol</t>
        </is>
      </c>
      <c r="B1111" s="10" t="inlineStr">
        <is>
          <t>RM</t>
        </is>
      </c>
      <c r="C1111" s="10" t="inlineStr">
        <is>
          <t>Sweetener / Filler</t>
        </is>
      </c>
      <c r="D1111" s="10" t="inlineStr">
        <is>
          <t>Assay (HPLC)</t>
        </is>
      </c>
      <c r="E1111" s="10">
        <f>IF(A1111="","",A1111&amp;"|"&amp;D1111)</f>
        <v/>
      </c>
      <c r="F1111" s="5" t="inlineStr">
        <is>
          <t>Y</t>
        </is>
      </c>
      <c r="G1111" s="5" t="inlineStr">
        <is>
          <t>HPLC</t>
        </is>
      </c>
      <c r="H1111" s="5" t="inlineStr">
        <is>
          <t>Medium</t>
        </is>
      </c>
      <c r="I1111" s="5" t="n">
        <v>1</v>
      </c>
      <c r="J1111" s="5" t="n"/>
      <c r="K1111" s="5" t="n"/>
      <c r="L1111" s="5" t="n"/>
      <c r="M1111" s="5" t="n"/>
      <c r="N1111" s="5" t="n"/>
      <c r="O1111" s="5" t="n"/>
      <c r="P1111" s="14">
        <f>IF(N1111="","",IF(OR(M1111="",O1111=""),N1111,(M1111+4*N1111+O1111)/6))</f>
        <v/>
      </c>
      <c r="Q1111" s="5" t="n"/>
      <c r="R1111" s="5" t="n"/>
      <c r="S1111" s="5" t="n"/>
      <c r="T1111" s="5" t="n"/>
      <c r="U1111" s="5" t="n"/>
      <c r="V1111" s="15" t="n"/>
      <c r="W1111" s="5" t="inlineStr">
        <is>
          <t>N</t>
        </is>
      </c>
      <c r="X1111" s="5" t="n"/>
      <c r="Y1111" s="5" t="n"/>
      <c r="Z1111" s="5" t="n"/>
      <c r="AA1111" s="5" t="n"/>
      <c r="AB1111" s="10" t="n"/>
      <c r="AC1111" s="10" t="inlineStr">
        <is>
          <t>Sorbitol · Assay</t>
        </is>
      </c>
      <c r="AD1111" s="10" t="n"/>
      <c r="AE1111" s="10" t="n"/>
    </row>
    <row r="1112">
      <c r="A1112" s="10" t="inlineStr">
        <is>
          <t>Sorbitol</t>
        </is>
      </c>
      <c r="B1112" s="10" t="inlineStr">
        <is>
          <t>RM</t>
        </is>
      </c>
      <c r="C1112" s="10" t="inlineStr">
        <is>
          <t>Sweetener / Filler</t>
        </is>
      </c>
      <c r="D1112" s="10" t="inlineStr">
        <is>
          <t>Limit of Nickel</t>
        </is>
      </c>
      <c r="E1112" s="10">
        <f>IF(A1112="","",A1112&amp;"|"&amp;D1112)</f>
        <v/>
      </c>
      <c r="F1112" s="5" t="inlineStr">
        <is>
          <t>Y</t>
        </is>
      </c>
      <c r="G1112" s="5" t="inlineStr">
        <is>
          <t>UV-Vis</t>
        </is>
      </c>
      <c r="H1112" s="5" t="inlineStr">
        <is>
          <t>Low</t>
        </is>
      </c>
      <c r="I1112" s="5" t="n">
        <v>1</v>
      </c>
      <c r="J1112" s="5" t="n"/>
      <c r="K1112" s="10">
        <f>IFERROR(IF(INDEX('Test catalog'!$F$2:$F$200,MATCH($AB1112,'Test catalog'!$A$2:$A$200,0))="","",INDEX('Test catalog'!$F$2:$F$200,MATCH($AB1112,'Test catalog'!$A$2:$A$200,0))),"")</f>
        <v/>
      </c>
      <c r="L1112" s="10">
        <f>IFERROR(IF(INDEX('Test catalog'!$G$2:$G$200,MATCH($AB1112,'Test catalog'!$A$2:$A$200,0))="","",INDEX('Test catalog'!$G$2:$G$200,MATCH($AB1112,'Test catalog'!$A$2:$A$200,0))),"")</f>
        <v/>
      </c>
      <c r="M1112" s="10">
        <f>IFERROR(IF(INDEX('Test catalog'!$H$2:$H$200,MATCH($AB1112,'Test catalog'!$A$2:$A$200,0))="","",INDEX('Test catalog'!$H$2:$H$200,MATCH($AB1112,'Test catalog'!$A$2:$A$200,0))),"")</f>
        <v/>
      </c>
      <c r="N1112" s="10">
        <f>IFERROR(IF(INDEX('Test catalog'!$I$2:$I$200,MATCH($AB1112,'Test catalog'!$A$2:$A$200,0))="","",INDEX('Test catalog'!$I$2:$I$200,MATCH($AB1112,'Test catalog'!$A$2:$A$200,0))),"")</f>
        <v/>
      </c>
      <c r="O1112" s="10">
        <f>IFERROR(IF(INDEX('Test catalog'!$J$2:$J$200,MATCH($AB1112,'Test catalog'!$A$2:$A$200,0))="","",INDEX('Test catalog'!$J$2:$J$200,MATCH($AB1112,'Test catalog'!$A$2:$A$200,0))),"")</f>
        <v/>
      </c>
      <c r="P1112" s="14">
        <f>IF(N1112="","",IF(OR(M1112="",O1112=""),N1112,(M1112+4*N1112+O1112)/6))</f>
        <v/>
      </c>
      <c r="Q1112" s="10">
        <f>IFERROR(IF(INDEX('Test catalog'!$K$2:$K$200,MATCH($AB1112,'Test catalog'!$A$2:$A$200,0))="","",INDEX('Test catalog'!$K$2:$K$200,MATCH($AB1112,'Test catalog'!$A$2:$A$200,0))),"")</f>
        <v/>
      </c>
      <c r="R1112" s="5" t="n"/>
      <c r="S1112" s="10">
        <f>IFERROR(IF(INDEX('Test catalog'!$L$2:$L$200,MATCH($AB1112,'Test catalog'!$A$2:$A$200,0))="","",INDEX('Test catalog'!$L$2:$L$200,MATCH($AB1112,'Test catalog'!$A$2:$A$200,0))),"")</f>
        <v/>
      </c>
      <c r="T1112" s="10">
        <f>IFERROR(IF(INDEX('Test catalog'!$M$2:$M$200,MATCH($AB1112,'Test catalog'!$A$2:$A$200,0))="","",INDEX('Test catalog'!$M$2:$M$200,MATCH($AB1112,'Test catalog'!$A$2:$A$200,0))),"")</f>
        <v/>
      </c>
      <c r="U1112" s="10">
        <f>IFERROR(IF(INDEX('Test catalog'!$N$2:$N$200,MATCH($AB1112,'Test catalog'!$A$2:$A$200,0))="","",INDEX('Test catalog'!$N$2:$N$200,MATCH($AB1112,'Test catalog'!$A$2:$A$200,0))),"")</f>
        <v/>
      </c>
      <c r="V1112" s="15" t="n"/>
      <c r="W1112" s="5" t="inlineStr">
        <is>
          <t>N</t>
        </is>
      </c>
      <c r="X1112" s="5" t="n"/>
      <c r="Y1112" s="5" t="n"/>
      <c r="Z1112" s="5" t="n"/>
      <c r="AA1112" s="10">
        <f>IFERROR(IF(INDEX('Test catalog'!$O$2:$O$200,MATCH($AB1112,'Test catalog'!$A$2:$A$200,0))="","",INDEX('Test catalog'!$O$2:$O$200,MATCH($AB1112,'Test catalog'!$A$2:$A$200,0))),"")</f>
        <v/>
      </c>
      <c r="AB1112" s="10" t="inlineStr">
        <is>
          <t>UV</t>
        </is>
      </c>
      <c r="AC1112" s="10" t="inlineStr">
        <is>
          <t>Sorbitol · Impurities</t>
        </is>
      </c>
      <c r="AD1112" s="10" t="n"/>
      <c r="AE1112" s="10" t="n"/>
    </row>
    <row r="1113">
      <c r="A1113" s="10" t="inlineStr">
        <is>
          <t>Sorbitol</t>
        </is>
      </c>
      <c r="B1113" s="10" t="inlineStr">
        <is>
          <t>RM</t>
        </is>
      </c>
      <c r="C1113" s="10" t="inlineStr">
        <is>
          <t>Sweetener / Filler</t>
        </is>
      </c>
      <c r="D1113" s="10" t="inlineStr">
        <is>
          <t>Residue on Ignition</t>
        </is>
      </c>
      <c r="E1113" s="10">
        <f>IF(A1113="","",A1113&amp;"|"&amp;D1113)</f>
        <v/>
      </c>
      <c r="F1113" s="5" t="inlineStr">
        <is>
          <t>Y</t>
        </is>
      </c>
      <c r="G1113" s="5" t="inlineStr">
        <is>
          <t>Other / bench</t>
        </is>
      </c>
      <c r="H1113" s="5" t="inlineStr">
        <is>
          <t>Low</t>
        </is>
      </c>
      <c r="I1113" s="5" t="n">
        <v>1</v>
      </c>
      <c r="J1113" s="5" t="n"/>
      <c r="K1113" s="10">
        <f>IFERROR(IF(INDEX('Test catalog'!$F$2:$F$200,MATCH($AB1113,'Test catalog'!$A$2:$A$200,0))="","",INDEX('Test catalog'!$F$2:$F$200,MATCH($AB1113,'Test catalog'!$A$2:$A$200,0))),"")</f>
        <v/>
      </c>
      <c r="L1113" s="10">
        <f>IFERROR(IF(INDEX('Test catalog'!$G$2:$G$200,MATCH($AB1113,'Test catalog'!$A$2:$A$200,0))="","",INDEX('Test catalog'!$G$2:$G$200,MATCH($AB1113,'Test catalog'!$A$2:$A$200,0))),"")</f>
        <v/>
      </c>
      <c r="M1113" s="10">
        <f>IFERROR(IF(INDEX('Test catalog'!$H$2:$H$200,MATCH($AB1113,'Test catalog'!$A$2:$A$200,0))="","",INDEX('Test catalog'!$H$2:$H$200,MATCH($AB1113,'Test catalog'!$A$2:$A$200,0))),"")</f>
        <v/>
      </c>
      <c r="N1113" s="10">
        <f>IFERROR(IF(INDEX('Test catalog'!$I$2:$I$200,MATCH($AB1113,'Test catalog'!$A$2:$A$200,0))="","",INDEX('Test catalog'!$I$2:$I$200,MATCH($AB1113,'Test catalog'!$A$2:$A$200,0))),"")</f>
        <v/>
      </c>
      <c r="O1113" s="10">
        <f>IFERROR(IF(INDEX('Test catalog'!$J$2:$J$200,MATCH($AB1113,'Test catalog'!$A$2:$A$200,0))="","",INDEX('Test catalog'!$J$2:$J$200,MATCH($AB1113,'Test catalog'!$A$2:$A$200,0))),"")</f>
        <v/>
      </c>
      <c r="P1113" s="14">
        <f>IF(N1113="","",IF(OR(M1113="",O1113=""),N1113,(M1113+4*N1113+O1113)/6))</f>
        <v/>
      </c>
      <c r="Q1113" s="10">
        <f>IFERROR(IF(INDEX('Test catalog'!$K$2:$K$200,MATCH($AB1113,'Test catalog'!$A$2:$A$200,0))="","",INDEX('Test catalog'!$K$2:$K$200,MATCH($AB1113,'Test catalog'!$A$2:$A$200,0))),"")</f>
        <v/>
      </c>
      <c r="R1113" s="5" t="n"/>
      <c r="S1113" s="10">
        <f>IFERROR(IF(INDEX('Test catalog'!$L$2:$L$200,MATCH($AB1113,'Test catalog'!$A$2:$A$200,0))="","",INDEX('Test catalog'!$L$2:$L$200,MATCH($AB1113,'Test catalog'!$A$2:$A$200,0))),"")</f>
        <v/>
      </c>
      <c r="T1113" s="10">
        <f>IFERROR(IF(INDEX('Test catalog'!$M$2:$M$200,MATCH($AB1113,'Test catalog'!$A$2:$A$200,0))="","",INDEX('Test catalog'!$M$2:$M$200,MATCH($AB1113,'Test catalog'!$A$2:$A$200,0))),"")</f>
        <v/>
      </c>
      <c r="U1113" s="10">
        <f>IFERROR(IF(INDEX('Test catalog'!$N$2:$N$200,MATCH($AB1113,'Test catalog'!$A$2:$A$200,0))="","",INDEX('Test catalog'!$N$2:$N$200,MATCH($AB1113,'Test catalog'!$A$2:$A$200,0))),"")</f>
        <v/>
      </c>
      <c r="V1113" s="15" t="n"/>
      <c r="W1113" s="5" t="inlineStr">
        <is>
          <t>N</t>
        </is>
      </c>
      <c r="X1113" s="5" t="n"/>
      <c r="Y1113" s="5" t="n"/>
      <c r="Z1113" s="5" t="n"/>
      <c r="AA1113" s="10">
        <f>IFERROR(IF(INDEX('Test catalog'!$O$2:$O$200,MATCH($AB1113,'Test catalog'!$A$2:$A$200,0))="","",INDEX('Test catalog'!$O$2:$O$200,MATCH($AB1113,'Test catalog'!$A$2:$A$200,0))),"")</f>
        <v/>
      </c>
      <c r="AB1113" s="10" t="inlineStr">
        <is>
          <t>ROI</t>
        </is>
      </c>
      <c r="AC1113" s="10" t="inlineStr">
        <is>
          <t>Sorbitol · Impurities &lt;281&gt;</t>
        </is>
      </c>
      <c r="AD1113" s="10" t="n"/>
      <c r="AE1113" s="10" t="n"/>
    </row>
    <row r="1114">
      <c r="A1114" s="10" t="inlineStr">
        <is>
          <t>Sorbitol</t>
        </is>
      </c>
      <c r="B1114" s="10" t="inlineStr">
        <is>
          <t>RM</t>
        </is>
      </c>
      <c r="C1114" s="10" t="inlineStr">
        <is>
          <t>Sweetener / Filler</t>
        </is>
      </c>
      <c r="D1114" s="10" t="inlineStr">
        <is>
          <t>Reducing Sugars</t>
        </is>
      </c>
      <c r="E1114" s="10">
        <f>IF(A1114="","",A1114&amp;"|"&amp;D1114)</f>
        <v/>
      </c>
      <c r="F1114" s="5" t="inlineStr">
        <is>
          <t>Y</t>
        </is>
      </c>
      <c r="G1114" s="5" t="inlineStr">
        <is>
          <t>Other / bench</t>
        </is>
      </c>
      <c r="H1114" s="5" t="inlineStr">
        <is>
          <t>Low</t>
        </is>
      </c>
      <c r="I1114" s="5" t="n">
        <v>1</v>
      </c>
      <c r="J1114" s="5" t="n"/>
      <c r="K1114" s="10">
        <f>IFERROR(IF(INDEX('Test catalog'!$F$2:$F$200,MATCH($AB1114,'Test catalog'!$A$2:$A$200,0))="","",INDEX('Test catalog'!$F$2:$F$200,MATCH($AB1114,'Test catalog'!$A$2:$A$200,0))),"")</f>
        <v/>
      </c>
      <c r="L1114" s="10">
        <f>IFERROR(IF(INDEX('Test catalog'!$G$2:$G$200,MATCH($AB1114,'Test catalog'!$A$2:$A$200,0))="","",INDEX('Test catalog'!$G$2:$G$200,MATCH($AB1114,'Test catalog'!$A$2:$A$200,0))),"")</f>
        <v/>
      </c>
      <c r="M1114" s="10">
        <f>IFERROR(IF(INDEX('Test catalog'!$H$2:$H$200,MATCH($AB1114,'Test catalog'!$A$2:$A$200,0))="","",INDEX('Test catalog'!$H$2:$H$200,MATCH($AB1114,'Test catalog'!$A$2:$A$200,0))),"")</f>
        <v/>
      </c>
      <c r="N1114" s="10">
        <f>IFERROR(IF(INDEX('Test catalog'!$I$2:$I$200,MATCH($AB1114,'Test catalog'!$A$2:$A$200,0))="","",INDEX('Test catalog'!$I$2:$I$200,MATCH($AB1114,'Test catalog'!$A$2:$A$200,0))),"")</f>
        <v/>
      </c>
      <c r="O1114" s="10">
        <f>IFERROR(IF(INDEX('Test catalog'!$J$2:$J$200,MATCH($AB1114,'Test catalog'!$A$2:$A$200,0))="","",INDEX('Test catalog'!$J$2:$J$200,MATCH($AB1114,'Test catalog'!$A$2:$A$200,0))),"")</f>
        <v/>
      </c>
      <c r="P1114" s="14">
        <f>IF(N1114="","",IF(OR(M1114="",O1114=""),N1114,(M1114+4*N1114+O1114)/6))</f>
        <v/>
      </c>
      <c r="Q1114" s="10">
        <f>IFERROR(IF(INDEX('Test catalog'!$K$2:$K$200,MATCH($AB1114,'Test catalog'!$A$2:$A$200,0))="","",INDEX('Test catalog'!$K$2:$K$200,MATCH($AB1114,'Test catalog'!$A$2:$A$200,0))),"")</f>
        <v/>
      </c>
      <c r="R1114" s="5" t="n"/>
      <c r="S1114" s="10">
        <f>IFERROR(IF(INDEX('Test catalog'!$L$2:$L$200,MATCH($AB1114,'Test catalog'!$A$2:$A$200,0))="","",INDEX('Test catalog'!$L$2:$L$200,MATCH($AB1114,'Test catalog'!$A$2:$A$200,0))),"")</f>
        <v/>
      </c>
      <c r="T1114" s="10">
        <f>IFERROR(IF(INDEX('Test catalog'!$M$2:$M$200,MATCH($AB1114,'Test catalog'!$A$2:$A$200,0))="","",INDEX('Test catalog'!$M$2:$M$200,MATCH($AB1114,'Test catalog'!$A$2:$A$200,0))),"")</f>
        <v/>
      </c>
      <c r="U1114" s="10">
        <f>IFERROR(IF(INDEX('Test catalog'!$N$2:$N$200,MATCH($AB1114,'Test catalog'!$A$2:$A$200,0))="","",INDEX('Test catalog'!$N$2:$N$200,MATCH($AB1114,'Test catalog'!$A$2:$A$200,0))),"")</f>
        <v/>
      </c>
      <c r="V1114" s="15" t="n"/>
      <c r="W1114" s="5" t="inlineStr">
        <is>
          <t>N</t>
        </is>
      </c>
      <c r="X1114" s="5" t="n"/>
      <c r="Y1114" s="5" t="n"/>
      <c r="Z1114" s="5" t="n"/>
      <c r="AA1114" s="10">
        <f>IFERROR(IF(INDEX('Test catalog'!$O$2:$O$200,MATCH($AB1114,'Test catalog'!$A$2:$A$200,0))="","",INDEX('Test catalog'!$O$2:$O$200,MATCH($AB1114,'Test catalog'!$A$2:$A$200,0))),"")</f>
        <v/>
      </c>
      <c r="AB1114" s="10" t="inlineStr">
        <is>
          <t>TITR</t>
        </is>
      </c>
      <c r="AC1114" s="10" t="inlineStr">
        <is>
          <t>Sorbitol · Impurities</t>
        </is>
      </c>
      <c r="AD1114" s="10" t="n"/>
      <c r="AE1114" s="10" t="n"/>
    </row>
    <row r="1115">
      <c r="A1115" s="10" t="inlineStr">
        <is>
          <t>Sorbitol</t>
        </is>
      </c>
      <c r="B1115" s="10" t="inlineStr">
        <is>
          <t>RM</t>
        </is>
      </c>
      <c r="C1115" s="10" t="inlineStr">
        <is>
          <t>Sweetener / Filler</t>
        </is>
      </c>
      <c r="D1115" s="10" t="inlineStr">
        <is>
          <t>Chloride</t>
        </is>
      </c>
      <c r="E1115" s="10">
        <f>IF(A1115="","",A1115&amp;"|"&amp;D1115)</f>
        <v/>
      </c>
      <c r="F1115" s="5" t="inlineStr">
        <is>
          <t>Y</t>
        </is>
      </c>
      <c r="G1115" s="5" t="inlineStr">
        <is>
          <t>Other / bench</t>
        </is>
      </c>
      <c r="H1115" s="5" t="inlineStr">
        <is>
          <t>Low</t>
        </is>
      </c>
      <c r="I1115" s="5" t="n">
        <v>1</v>
      </c>
      <c r="J1115" s="5" t="n"/>
      <c r="K1115" s="10">
        <f>IFERROR(IF(INDEX('Test catalog'!$F$2:$F$200,MATCH($AB1115,'Test catalog'!$A$2:$A$200,0))="","",INDEX('Test catalog'!$F$2:$F$200,MATCH($AB1115,'Test catalog'!$A$2:$A$200,0))),"")</f>
        <v/>
      </c>
      <c r="L1115" s="10">
        <f>IFERROR(IF(INDEX('Test catalog'!$G$2:$G$200,MATCH($AB1115,'Test catalog'!$A$2:$A$200,0))="","",INDEX('Test catalog'!$G$2:$G$200,MATCH($AB1115,'Test catalog'!$A$2:$A$200,0))),"")</f>
        <v/>
      </c>
      <c r="M1115" s="10">
        <f>IFERROR(IF(INDEX('Test catalog'!$H$2:$H$200,MATCH($AB1115,'Test catalog'!$A$2:$A$200,0))="","",INDEX('Test catalog'!$H$2:$H$200,MATCH($AB1115,'Test catalog'!$A$2:$A$200,0))),"")</f>
        <v/>
      </c>
      <c r="N1115" s="10">
        <f>IFERROR(IF(INDEX('Test catalog'!$I$2:$I$200,MATCH($AB1115,'Test catalog'!$A$2:$A$200,0))="","",INDEX('Test catalog'!$I$2:$I$200,MATCH($AB1115,'Test catalog'!$A$2:$A$200,0))),"")</f>
        <v/>
      </c>
      <c r="O1115" s="10">
        <f>IFERROR(IF(INDEX('Test catalog'!$J$2:$J$200,MATCH($AB1115,'Test catalog'!$A$2:$A$200,0))="","",INDEX('Test catalog'!$J$2:$J$200,MATCH($AB1115,'Test catalog'!$A$2:$A$200,0))),"")</f>
        <v/>
      </c>
      <c r="P1115" s="14">
        <f>IF(N1115="","",IF(OR(M1115="",O1115=""),N1115,(M1115+4*N1115+O1115)/6))</f>
        <v/>
      </c>
      <c r="Q1115" s="10">
        <f>IFERROR(IF(INDEX('Test catalog'!$K$2:$K$200,MATCH($AB1115,'Test catalog'!$A$2:$A$200,0))="","",INDEX('Test catalog'!$K$2:$K$200,MATCH($AB1115,'Test catalog'!$A$2:$A$200,0))),"")</f>
        <v/>
      </c>
      <c r="R1115" s="5" t="n"/>
      <c r="S1115" s="10">
        <f>IFERROR(IF(INDEX('Test catalog'!$L$2:$L$200,MATCH($AB1115,'Test catalog'!$A$2:$A$200,0))="","",INDEX('Test catalog'!$L$2:$L$200,MATCH($AB1115,'Test catalog'!$A$2:$A$200,0))),"")</f>
        <v/>
      </c>
      <c r="T1115" s="10">
        <f>IFERROR(IF(INDEX('Test catalog'!$M$2:$M$200,MATCH($AB1115,'Test catalog'!$A$2:$A$200,0))="","",INDEX('Test catalog'!$M$2:$M$200,MATCH($AB1115,'Test catalog'!$A$2:$A$200,0))),"")</f>
        <v/>
      </c>
      <c r="U1115" s="10">
        <f>IFERROR(IF(INDEX('Test catalog'!$N$2:$N$200,MATCH($AB1115,'Test catalog'!$A$2:$A$200,0))="","",INDEX('Test catalog'!$N$2:$N$200,MATCH($AB1115,'Test catalog'!$A$2:$A$200,0))),"")</f>
        <v/>
      </c>
      <c r="V1115" s="15" t="n"/>
      <c r="W1115" s="5" t="inlineStr">
        <is>
          <t>N</t>
        </is>
      </c>
      <c r="X1115" s="5" t="n"/>
      <c r="Y1115" s="5" t="n"/>
      <c r="Z1115" s="5" t="n"/>
      <c r="AA1115" s="10">
        <f>IFERROR(IF(INDEX('Test catalog'!$O$2:$O$200,MATCH($AB1115,'Test catalog'!$A$2:$A$200,0))="","",INDEX('Test catalog'!$O$2:$O$200,MATCH($AB1115,'Test catalog'!$A$2:$A$200,0))),"")</f>
        <v/>
      </c>
      <c r="AB1115" s="10" t="inlineStr">
        <is>
          <t>LIMIT</t>
        </is>
      </c>
      <c r="AC1115" s="10" t="inlineStr">
        <is>
          <t>Sorbitol · Impurities &lt;221&gt;</t>
        </is>
      </c>
      <c r="AD1115" s="10" t="n"/>
      <c r="AE1115" s="10" t="n"/>
    </row>
    <row r="1116">
      <c r="A1116" s="10" t="inlineStr">
        <is>
          <t>Sorbitol</t>
        </is>
      </c>
      <c r="B1116" s="10" t="inlineStr">
        <is>
          <t>RM</t>
        </is>
      </c>
      <c r="C1116" s="10" t="inlineStr">
        <is>
          <t>Sweetener / Filler</t>
        </is>
      </c>
      <c r="D1116" s="10" t="inlineStr">
        <is>
          <t>Sulfate</t>
        </is>
      </c>
      <c r="E1116" s="10">
        <f>IF(A1116="","",A1116&amp;"|"&amp;D1116)</f>
        <v/>
      </c>
      <c r="F1116" s="5" t="inlineStr">
        <is>
          <t>Y</t>
        </is>
      </c>
      <c r="G1116" s="5" t="inlineStr">
        <is>
          <t>Other / bench</t>
        </is>
      </c>
      <c r="H1116" s="5" t="inlineStr">
        <is>
          <t>Low</t>
        </is>
      </c>
      <c r="I1116" s="5" t="n">
        <v>1</v>
      </c>
      <c r="J1116" s="5" t="n"/>
      <c r="K1116" s="10">
        <f>IFERROR(IF(INDEX('Test catalog'!$F$2:$F$200,MATCH($AB1116,'Test catalog'!$A$2:$A$200,0))="","",INDEX('Test catalog'!$F$2:$F$200,MATCH($AB1116,'Test catalog'!$A$2:$A$200,0))),"")</f>
        <v/>
      </c>
      <c r="L1116" s="10">
        <f>IFERROR(IF(INDEX('Test catalog'!$G$2:$G$200,MATCH($AB1116,'Test catalog'!$A$2:$A$200,0))="","",INDEX('Test catalog'!$G$2:$G$200,MATCH($AB1116,'Test catalog'!$A$2:$A$200,0))),"")</f>
        <v/>
      </c>
      <c r="M1116" s="10">
        <f>IFERROR(IF(INDEX('Test catalog'!$H$2:$H$200,MATCH($AB1116,'Test catalog'!$A$2:$A$200,0))="","",INDEX('Test catalog'!$H$2:$H$200,MATCH($AB1116,'Test catalog'!$A$2:$A$200,0))),"")</f>
        <v/>
      </c>
      <c r="N1116" s="10">
        <f>IFERROR(IF(INDEX('Test catalog'!$I$2:$I$200,MATCH($AB1116,'Test catalog'!$A$2:$A$200,0))="","",INDEX('Test catalog'!$I$2:$I$200,MATCH($AB1116,'Test catalog'!$A$2:$A$200,0))),"")</f>
        <v/>
      </c>
      <c r="O1116" s="10">
        <f>IFERROR(IF(INDEX('Test catalog'!$J$2:$J$200,MATCH($AB1116,'Test catalog'!$A$2:$A$200,0))="","",INDEX('Test catalog'!$J$2:$J$200,MATCH($AB1116,'Test catalog'!$A$2:$A$200,0))),"")</f>
        <v/>
      </c>
      <c r="P1116" s="14">
        <f>IF(N1116="","",IF(OR(M1116="",O1116=""),N1116,(M1116+4*N1116+O1116)/6))</f>
        <v/>
      </c>
      <c r="Q1116" s="10">
        <f>IFERROR(IF(INDEX('Test catalog'!$K$2:$K$200,MATCH($AB1116,'Test catalog'!$A$2:$A$200,0))="","",INDEX('Test catalog'!$K$2:$K$200,MATCH($AB1116,'Test catalog'!$A$2:$A$200,0))),"")</f>
        <v/>
      </c>
      <c r="R1116" s="5" t="n"/>
      <c r="S1116" s="10">
        <f>IFERROR(IF(INDEX('Test catalog'!$L$2:$L$200,MATCH($AB1116,'Test catalog'!$A$2:$A$200,0))="","",INDEX('Test catalog'!$L$2:$L$200,MATCH($AB1116,'Test catalog'!$A$2:$A$200,0))),"")</f>
        <v/>
      </c>
      <c r="T1116" s="10">
        <f>IFERROR(IF(INDEX('Test catalog'!$M$2:$M$200,MATCH($AB1116,'Test catalog'!$A$2:$A$200,0))="","",INDEX('Test catalog'!$M$2:$M$200,MATCH($AB1116,'Test catalog'!$A$2:$A$200,0))),"")</f>
        <v/>
      </c>
      <c r="U1116" s="10">
        <f>IFERROR(IF(INDEX('Test catalog'!$N$2:$N$200,MATCH($AB1116,'Test catalog'!$A$2:$A$200,0))="","",INDEX('Test catalog'!$N$2:$N$200,MATCH($AB1116,'Test catalog'!$A$2:$A$200,0))),"")</f>
        <v/>
      </c>
      <c r="V1116" s="15" t="n"/>
      <c r="W1116" s="5" t="inlineStr">
        <is>
          <t>N</t>
        </is>
      </c>
      <c r="X1116" s="5" t="n"/>
      <c r="Y1116" s="5" t="n"/>
      <c r="Z1116" s="5" t="n"/>
      <c r="AA1116" s="10">
        <f>IFERROR(IF(INDEX('Test catalog'!$O$2:$O$200,MATCH($AB1116,'Test catalog'!$A$2:$A$200,0))="","",INDEX('Test catalog'!$O$2:$O$200,MATCH($AB1116,'Test catalog'!$A$2:$A$200,0))),"")</f>
        <v/>
      </c>
      <c r="AB1116" s="10" t="inlineStr">
        <is>
          <t>LIMIT</t>
        </is>
      </c>
      <c r="AC1116" s="10" t="inlineStr">
        <is>
          <t>Sorbitol · Impurities &lt;221&gt;</t>
        </is>
      </c>
      <c r="AD1116" s="10" t="n"/>
      <c r="AE1116" s="10" t="n"/>
    </row>
    <row r="1117">
      <c r="A1117" s="10" t="inlineStr">
        <is>
          <t>Sorbitol</t>
        </is>
      </c>
      <c r="B1117" s="10" t="inlineStr">
        <is>
          <t>RM</t>
        </is>
      </c>
      <c r="C1117" s="10" t="inlineStr">
        <is>
          <t>Sweetener / Filler</t>
        </is>
      </c>
      <c r="D1117" s="10" t="inlineStr">
        <is>
          <t>pH</t>
        </is>
      </c>
      <c r="E1117" s="10">
        <f>IF(A1117="","",A1117&amp;"|"&amp;D1117)</f>
        <v/>
      </c>
      <c r="F1117" s="5" t="inlineStr">
        <is>
          <t>Y</t>
        </is>
      </c>
      <c r="G1117" s="5" t="inlineStr">
        <is>
          <t>Other / bench</t>
        </is>
      </c>
      <c r="H1117" s="5" t="inlineStr">
        <is>
          <t>Low</t>
        </is>
      </c>
      <c r="I1117" s="5" t="n">
        <v>1</v>
      </c>
      <c r="J1117" s="5" t="n"/>
      <c r="K1117" s="10">
        <f>IFERROR(IF(INDEX('Test catalog'!$F$2:$F$200,MATCH($AB1117,'Test catalog'!$A$2:$A$200,0))="","",INDEX('Test catalog'!$F$2:$F$200,MATCH($AB1117,'Test catalog'!$A$2:$A$200,0))),"")</f>
        <v/>
      </c>
      <c r="L1117" s="10">
        <f>IFERROR(IF(INDEX('Test catalog'!$G$2:$G$200,MATCH($AB1117,'Test catalog'!$A$2:$A$200,0))="","",INDEX('Test catalog'!$G$2:$G$200,MATCH($AB1117,'Test catalog'!$A$2:$A$200,0))),"")</f>
        <v/>
      </c>
      <c r="M1117" s="10">
        <f>IFERROR(IF(INDEX('Test catalog'!$H$2:$H$200,MATCH($AB1117,'Test catalog'!$A$2:$A$200,0))="","",INDEX('Test catalog'!$H$2:$H$200,MATCH($AB1117,'Test catalog'!$A$2:$A$200,0))),"")</f>
        <v/>
      </c>
      <c r="N1117" s="10">
        <f>IFERROR(IF(INDEX('Test catalog'!$I$2:$I$200,MATCH($AB1117,'Test catalog'!$A$2:$A$200,0))="","",INDEX('Test catalog'!$I$2:$I$200,MATCH($AB1117,'Test catalog'!$A$2:$A$200,0))),"")</f>
        <v/>
      </c>
      <c r="O1117" s="10">
        <f>IFERROR(IF(INDEX('Test catalog'!$J$2:$J$200,MATCH($AB1117,'Test catalog'!$A$2:$A$200,0))="","",INDEX('Test catalog'!$J$2:$J$200,MATCH($AB1117,'Test catalog'!$A$2:$A$200,0))),"")</f>
        <v/>
      </c>
      <c r="P1117" s="14">
        <f>IF(N1117="","",IF(OR(M1117="",O1117=""),N1117,(M1117+4*N1117+O1117)/6))</f>
        <v/>
      </c>
      <c r="Q1117" s="10">
        <f>IFERROR(IF(INDEX('Test catalog'!$K$2:$K$200,MATCH($AB1117,'Test catalog'!$A$2:$A$200,0))="","",INDEX('Test catalog'!$K$2:$K$200,MATCH($AB1117,'Test catalog'!$A$2:$A$200,0))),"")</f>
        <v/>
      </c>
      <c r="R1117" s="5" t="n"/>
      <c r="S1117" s="10">
        <f>IFERROR(IF(INDEX('Test catalog'!$L$2:$L$200,MATCH($AB1117,'Test catalog'!$A$2:$A$200,0))="","",INDEX('Test catalog'!$L$2:$L$200,MATCH($AB1117,'Test catalog'!$A$2:$A$200,0))),"")</f>
        <v/>
      </c>
      <c r="T1117" s="10">
        <f>IFERROR(IF(INDEX('Test catalog'!$M$2:$M$200,MATCH($AB1117,'Test catalog'!$A$2:$A$200,0))="","",INDEX('Test catalog'!$M$2:$M$200,MATCH($AB1117,'Test catalog'!$A$2:$A$200,0))),"")</f>
        <v/>
      </c>
      <c r="U1117" s="10">
        <f>IFERROR(IF(INDEX('Test catalog'!$N$2:$N$200,MATCH($AB1117,'Test catalog'!$A$2:$A$200,0))="","",INDEX('Test catalog'!$N$2:$N$200,MATCH($AB1117,'Test catalog'!$A$2:$A$200,0))),"")</f>
        <v/>
      </c>
      <c r="V1117" s="15" t="n"/>
      <c r="W1117" s="5" t="inlineStr">
        <is>
          <t>N</t>
        </is>
      </c>
      <c r="X1117" s="5" t="n"/>
      <c r="Y1117" s="5" t="n"/>
      <c r="Z1117" s="5" t="n"/>
      <c r="AA1117" s="10">
        <f>IFERROR(IF(INDEX('Test catalog'!$O$2:$O$200,MATCH($AB1117,'Test catalog'!$A$2:$A$200,0))="","",INDEX('Test catalog'!$O$2:$O$200,MATCH($AB1117,'Test catalog'!$A$2:$A$200,0))),"")</f>
        <v/>
      </c>
      <c r="AB1117" s="10" t="inlineStr">
        <is>
          <t>PH</t>
        </is>
      </c>
      <c r="AC1117" s="10" t="inlineStr">
        <is>
          <t>Sorbitol · Specific Tests &lt;791&gt;</t>
        </is>
      </c>
      <c r="AD1117" s="10" t="n"/>
      <c r="AE1117" s="10" t="n"/>
    </row>
    <row r="1118">
      <c r="A1118" s="10" t="inlineStr">
        <is>
          <t>Sorbitol</t>
        </is>
      </c>
      <c r="B1118" s="10" t="inlineStr">
        <is>
          <t>RM</t>
        </is>
      </c>
      <c r="C1118" s="10" t="inlineStr">
        <is>
          <t>Sweetener / Filler</t>
        </is>
      </c>
      <c r="D1118" s="10" t="inlineStr">
        <is>
          <t>Water Determination</t>
        </is>
      </c>
      <c r="E1118" s="10">
        <f>IF(A1118="","",A1118&amp;"|"&amp;D1118)</f>
        <v/>
      </c>
      <c r="F1118" s="5" t="inlineStr">
        <is>
          <t>Y</t>
        </is>
      </c>
      <c r="G1118" s="5" t="inlineStr">
        <is>
          <t>KF titrator</t>
        </is>
      </c>
      <c r="H1118" s="5" t="inlineStr">
        <is>
          <t>Low</t>
        </is>
      </c>
      <c r="I1118" s="5" t="n">
        <v>1</v>
      </c>
      <c r="J1118" s="5" t="n"/>
      <c r="K1118" s="10">
        <f>IFERROR(IF(INDEX('Test catalog'!$F$2:$F$200,MATCH($AB1118,'Test catalog'!$A$2:$A$200,0))="","",INDEX('Test catalog'!$F$2:$F$200,MATCH($AB1118,'Test catalog'!$A$2:$A$200,0))),"")</f>
        <v/>
      </c>
      <c r="L1118" s="10">
        <f>IFERROR(IF(INDEX('Test catalog'!$G$2:$G$200,MATCH($AB1118,'Test catalog'!$A$2:$A$200,0))="","",INDEX('Test catalog'!$G$2:$G$200,MATCH($AB1118,'Test catalog'!$A$2:$A$200,0))),"")</f>
        <v/>
      </c>
      <c r="M1118" s="10">
        <f>IFERROR(IF(INDEX('Test catalog'!$H$2:$H$200,MATCH($AB1118,'Test catalog'!$A$2:$A$200,0))="","",INDEX('Test catalog'!$H$2:$H$200,MATCH($AB1118,'Test catalog'!$A$2:$A$200,0))),"")</f>
        <v/>
      </c>
      <c r="N1118" s="10">
        <f>IFERROR(IF(INDEX('Test catalog'!$I$2:$I$200,MATCH($AB1118,'Test catalog'!$A$2:$A$200,0))="","",INDEX('Test catalog'!$I$2:$I$200,MATCH($AB1118,'Test catalog'!$A$2:$A$200,0))),"")</f>
        <v/>
      </c>
      <c r="O1118" s="10">
        <f>IFERROR(IF(INDEX('Test catalog'!$J$2:$J$200,MATCH($AB1118,'Test catalog'!$A$2:$A$200,0))="","",INDEX('Test catalog'!$J$2:$J$200,MATCH($AB1118,'Test catalog'!$A$2:$A$200,0))),"")</f>
        <v/>
      </c>
      <c r="P1118" s="14">
        <f>IF(N1118="","",IF(OR(M1118="",O1118=""),N1118,(M1118+4*N1118+O1118)/6))</f>
        <v/>
      </c>
      <c r="Q1118" s="10">
        <f>IFERROR(IF(INDEX('Test catalog'!$K$2:$K$200,MATCH($AB1118,'Test catalog'!$A$2:$A$200,0))="","",INDEX('Test catalog'!$K$2:$K$200,MATCH($AB1118,'Test catalog'!$A$2:$A$200,0))),"")</f>
        <v/>
      </c>
      <c r="R1118" s="5" t="n"/>
      <c r="S1118" s="10">
        <f>IFERROR(IF(INDEX('Test catalog'!$L$2:$L$200,MATCH($AB1118,'Test catalog'!$A$2:$A$200,0))="","",INDEX('Test catalog'!$L$2:$L$200,MATCH($AB1118,'Test catalog'!$A$2:$A$200,0))),"")</f>
        <v/>
      </c>
      <c r="T1118" s="10">
        <f>IFERROR(IF(INDEX('Test catalog'!$M$2:$M$200,MATCH($AB1118,'Test catalog'!$A$2:$A$200,0))="","",INDEX('Test catalog'!$M$2:$M$200,MATCH($AB1118,'Test catalog'!$A$2:$A$200,0))),"")</f>
        <v/>
      </c>
      <c r="U1118" s="10">
        <f>IFERROR(IF(INDEX('Test catalog'!$N$2:$N$200,MATCH($AB1118,'Test catalog'!$A$2:$A$200,0))="","",INDEX('Test catalog'!$N$2:$N$200,MATCH($AB1118,'Test catalog'!$A$2:$A$200,0))),"")</f>
        <v/>
      </c>
      <c r="V1118" s="15" t="n"/>
      <c r="W1118" s="5" t="inlineStr">
        <is>
          <t>N</t>
        </is>
      </c>
      <c r="X1118" s="5" t="n"/>
      <c r="Y1118" s="5" t="n"/>
      <c r="Z1118" s="5" t="n"/>
      <c r="AA1118" s="10">
        <f>IFERROR(IF(INDEX('Test catalog'!$O$2:$O$200,MATCH($AB1118,'Test catalog'!$A$2:$A$200,0))="","",INDEX('Test catalog'!$O$2:$O$200,MATCH($AB1118,'Test catalog'!$A$2:$A$200,0))),"")</f>
        <v/>
      </c>
      <c r="AB1118" s="10" t="inlineStr">
        <is>
          <t>KF</t>
        </is>
      </c>
      <c r="AC1118" s="10" t="inlineStr">
        <is>
          <t>Sorbitol · Specific Tests &lt;921&gt;</t>
        </is>
      </c>
      <c r="AD1118" s="10" t="n"/>
      <c r="AE1118" s="10" t="n"/>
    </row>
    <row r="1119">
      <c r="A1119" s="10" t="inlineStr">
        <is>
          <t>Sorbitol</t>
        </is>
      </c>
      <c r="B1119" s="10" t="inlineStr">
        <is>
          <t>RM</t>
        </is>
      </c>
      <c r="C1119" s="10" t="inlineStr">
        <is>
          <t>Sweetener / Filler</t>
        </is>
      </c>
      <c r="D1119" s="10" t="inlineStr">
        <is>
          <t>Clarity and Color of Solution (if labeled for use in preparing parenteral dosage forms)</t>
        </is>
      </c>
      <c r="E1119" s="10">
        <f>IF(A1119="","",A1119&amp;"|"&amp;D1119)</f>
        <v/>
      </c>
      <c r="F1119" s="5" t="inlineStr">
        <is>
          <t>Y</t>
        </is>
      </c>
      <c r="G1119" s="5" t="inlineStr">
        <is>
          <t>Other / bench</t>
        </is>
      </c>
      <c r="H1119" s="5" t="inlineStr">
        <is>
          <t>Low</t>
        </is>
      </c>
      <c r="I1119" s="5" t="n">
        <v>1</v>
      </c>
      <c r="J1119" s="5" t="n"/>
      <c r="K1119" s="10">
        <f>IFERROR(IF(INDEX('Test catalog'!$F$2:$F$200,MATCH($AB1119,'Test catalog'!$A$2:$A$200,0))="","",INDEX('Test catalog'!$F$2:$F$200,MATCH($AB1119,'Test catalog'!$A$2:$A$200,0))),"")</f>
        <v/>
      </c>
      <c r="L1119" s="10">
        <f>IFERROR(IF(INDEX('Test catalog'!$G$2:$G$200,MATCH($AB1119,'Test catalog'!$A$2:$A$200,0))="","",INDEX('Test catalog'!$G$2:$G$200,MATCH($AB1119,'Test catalog'!$A$2:$A$200,0))),"")</f>
        <v/>
      </c>
      <c r="M1119" s="10">
        <f>IFERROR(IF(INDEX('Test catalog'!$H$2:$H$200,MATCH($AB1119,'Test catalog'!$A$2:$A$200,0))="","",INDEX('Test catalog'!$H$2:$H$200,MATCH($AB1119,'Test catalog'!$A$2:$A$200,0))),"")</f>
        <v/>
      </c>
      <c r="N1119" s="10">
        <f>IFERROR(IF(INDEX('Test catalog'!$I$2:$I$200,MATCH($AB1119,'Test catalog'!$A$2:$A$200,0))="","",INDEX('Test catalog'!$I$2:$I$200,MATCH($AB1119,'Test catalog'!$A$2:$A$200,0))),"")</f>
        <v/>
      </c>
      <c r="O1119" s="10">
        <f>IFERROR(IF(INDEX('Test catalog'!$J$2:$J$200,MATCH($AB1119,'Test catalog'!$A$2:$A$200,0))="","",INDEX('Test catalog'!$J$2:$J$200,MATCH($AB1119,'Test catalog'!$A$2:$A$200,0))),"")</f>
        <v/>
      </c>
      <c r="P1119" s="14">
        <f>IF(N1119="","",IF(OR(M1119="",O1119=""),N1119,(M1119+4*N1119+O1119)/6))</f>
        <v/>
      </c>
      <c r="Q1119" s="10">
        <f>IFERROR(IF(INDEX('Test catalog'!$K$2:$K$200,MATCH($AB1119,'Test catalog'!$A$2:$A$200,0))="","",INDEX('Test catalog'!$K$2:$K$200,MATCH($AB1119,'Test catalog'!$A$2:$A$200,0))),"")</f>
        <v/>
      </c>
      <c r="R1119" s="5" t="n"/>
      <c r="S1119" s="10">
        <f>IFERROR(IF(INDEX('Test catalog'!$L$2:$L$200,MATCH($AB1119,'Test catalog'!$A$2:$A$200,0))="","",INDEX('Test catalog'!$L$2:$L$200,MATCH($AB1119,'Test catalog'!$A$2:$A$200,0))),"")</f>
        <v/>
      </c>
      <c r="T1119" s="10">
        <f>IFERROR(IF(INDEX('Test catalog'!$M$2:$M$200,MATCH($AB1119,'Test catalog'!$A$2:$A$200,0))="","",INDEX('Test catalog'!$M$2:$M$200,MATCH($AB1119,'Test catalog'!$A$2:$A$200,0))),"")</f>
        <v/>
      </c>
      <c r="U1119" s="10">
        <f>IFERROR(IF(INDEX('Test catalog'!$N$2:$N$200,MATCH($AB1119,'Test catalog'!$A$2:$A$200,0))="","",INDEX('Test catalog'!$N$2:$N$200,MATCH($AB1119,'Test catalog'!$A$2:$A$200,0))),"")</f>
        <v/>
      </c>
      <c r="V1119" s="15" t="n"/>
      <c r="W1119" s="5" t="inlineStr">
        <is>
          <t>N</t>
        </is>
      </c>
      <c r="X1119" s="5" t="n"/>
      <c r="Y1119" s="5" t="n"/>
      <c r="Z1119" s="5" t="n"/>
      <c r="AA1119" s="10">
        <f>IFERROR(IF(INDEX('Test catalog'!$O$2:$O$200,MATCH($AB1119,'Test catalog'!$A$2:$A$200,0))="","",INDEX('Test catalog'!$O$2:$O$200,MATCH($AB1119,'Test catalog'!$A$2:$A$200,0))),"")</f>
        <v/>
      </c>
      <c r="AB1119" s="10" t="inlineStr">
        <is>
          <t>CLAR</t>
        </is>
      </c>
      <c r="AC1119" s="10" t="inlineStr">
        <is>
          <t>Sorbitol · Specific Tests</t>
        </is>
      </c>
      <c r="AD1119" s="10" t="n"/>
      <c r="AE1119" s="10" t="n"/>
    </row>
    <row r="1120">
      <c r="A1120" s="10" t="inlineStr">
        <is>
          <t>Sucrose</t>
        </is>
      </c>
      <c r="B1120" s="10" t="inlineStr">
        <is>
          <t>RM</t>
        </is>
      </c>
      <c r="C1120" s="10" t="inlineStr">
        <is>
          <t>Sweetener / Filler</t>
        </is>
      </c>
      <c r="D1120" s="10" t="inlineStr">
        <is>
          <t>Appearance / description and solubility</t>
        </is>
      </c>
      <c r="E1120" s="10">
        <f>IF(A1120="","",A1120&amp;"|"&amp;D1120)</f>
        <v/>
      </c>
      <c r="F1120" s="5" t="inlineStr">
        <is>
          <t>Y</t>
        </is>
      </c>
      <c r="G1120" s="5" t="inlineStr">
        <is>
          <t>Other / bench</t>
        </is>
      </c>
      <c r="H1120" s="5" t="inlineStr">
        <is>
          <t>Low</t>
        </is>
      </c>
      <c r="I1120" s="5" t="n">
        <v>1</v>
      </c>
      <c r="J1120" s="5" t="n"/>
      <c r="K1120" s="10">
        <f>IFERROR(IF(INDEX('Test catalog'!$F$2:$F$200,MATCH($AB1120,'Test catalog'!$A$2:$A$200,0))="","",INDEX('Test catalog'!$F$2:$F$200,MATCH($AB1120,'Test catalog'!$A$2:$A$200,0))),"")</f>
        <v/>
      </c>
      <c r="L1120" s="10">
        <f>IFERROR(IF(INDEX('Test catalog'!$G$2:$G$200,MATCH($AB1120,'Test catalog'!$A$2:$A$200,0))="","",INDEX('Test catalog'!$G$2:$G$200,MATCH($AB1120,'Test catalog'!$A$2:$A$200,0))),"")</f>
        <v/>
      </c>
      <c r="M1120" s="10">
        <f>IFERROR(IF(INDEX('Test catalog'!$H$2:$H$200,MATCH($AB1120,'Test catalog'!$A$2:$A$200,0))="","",INDEX('Test catalog'!$H$2:$H$200,MATCH($AB1120,'Test catalog'!$A$2:$A$200,0))),"")</f>
        <v/>
      </c>
      <c r="N1120" s="10">
        <f>IFERROR(IF(INDEX('Test catalog'!$I$2:$I$200,MATCH($AB1120,'Test catalog'!$A$2:$A$200,0))="","",INDEX('Test catalog'!$I$2:$I$200,MATCH($AB1120,'Test catalog'!$A$2:$A$200,0))),"")</f>
        <v/>
      </c>
      <c r="O1120" s="10">
        <f>IFERROR(IF(INDEX('Test catalog'!$J$2:$J$200,MATCH($AB1120,'Test catalog'!$A$2:$A$200,0))="","",INDEX('Test catalog'!$J$2:$J$200,MATCH($AB1120,'Test catalog'!$A$2:$A$200,0))),"")</f>
        <v/>
      </c>
      <c r="P1120" s="14">
        <f>IF(N1120="","",IF(OR(M1120="",O1120=""),N1120,(M1120+4*N1120+O1120)/6))</f>
        <v/>
      </c>
      <c r="Q1120" s="10">
        <f>IFERROR(IF(INDEX('Test catalog'!$K$2:$K$200,MATCH($AB1120,'Test catalog'!$A$2:$A$200,0))="","",INDEX('Test catalog'!$K$2:$K$200,MATCH($AB1120,'Test catalog'!$A$2:$A$200,0))),"")</f>
        <v/>
      </c>
      <c r="R1120" s="5" t="n"/>
      <c r="S1120" s="10">
        <f>IFERROR(IF(INDEX('Test catalog'!$L$2:$L$200,MATCH($AB1120,'Test catalog'!$A$2:$A$200,0))="","",INDEX('Test catalog'!$L$2:$L$200,MATCH($AB1120,'Test catalog'!$A$2:$A$200,0))),"")</f>
        <v/>
      </c>
      <c r="T1120" s="10">
        <f>IFERROR(IF(INDEX('Test catalog'!$M$2:$M$200,MATCH($AB1120,'Test catalog'!$A$2:$A$200,0))="","",INDEX('Test catalog'!$M$2:$M$200,MATCH($AB1120,'Test catalog'!$A$2:$A$200,0))),"")</f>
        <v/>
      </c>
      <c r="U1120" s="10">
        <f>IFERROR(IF(INDEX('Test catalog'!$N$2:$N$200,MATCH($AB1120,'Test catalog'!$A$2:$A$200,0))="","",INDEX('Test catalog'!$N$2:$N$200,MATCH($AB1120,'Test catalog'!$A$2:$A$200,0))),"")</f>
        <v/>
      </c>
      <c r="V1120" s="15" t="n"/>
      <c r="W1120" s="5" t="inlineStr">
        <is>
          <t>N</t>
        </is>
      </c>
      <c r="X1120" s="5" t="n"/>
      <c r="Y1120" s="5" t="n"/>
      <c r="Z1120" s="5" t="n"/>
      <c r="AA1120" s="10">
        <f>IFERROR(IF(INDEX('Test catalog'!$O$2:$O$200,MATCH($AB1120,'Test catalog'!$A$2:$A$200,0))="","",INDEX('Test catalog'!$O$2:$O$200,MATCH($AB1120,'Test catalog'!$A$2:$A$200,0))),"")</f>
        <v/>
      </c>
      <c r="AB1120" s="10" t="inlineStr">
        <is>
          <t>APPEAR</t>
        </is>
      </c>
      <c r="AC1120" s="10" t="inlineStr">
        <is>
          <t>Lab practice (not a USP test)</t>
        </is>
      </c>
      <c r="AD1120" s="10" t="n"/>
      <c r="AE1120" s="10" t="n"/>
    </row>
    <row r="1121">
      <c r="A1121" s="10" t="inlineStr">
        <is>
          <t>Sucrose</t>
        </is>
      </c>
      <c r="B1121" s="10" t="inlineStr">
        <is>
          <t>RM</t>
        </is>
      </c>
      <c r="C1121" s="10" t="inlineStr">
        <is>
          <t>Sweetener / Filler</t>
        </is>
      </c>
      <c r="D1121" s="10" t="inlineStr">
        <is>
          <t>ID A - IR spectrum</t>
        </is>
      </c>
      <c r="E1121" s="10">
        <f>IF(A1121="","",A1121&amp;"|"&amp;D1121)</f>
        <v/>
      </c>
      <c r="F1121" s="5" t="inlineStr">
        <is>
          <t>Y</t>
        </is>
      </c>
      <c r="G1121" s="5" t="inlineStr">
        <is>
          <t>Other / bench</t>
        </is>
      </c>
      <c r="H1121" s="5" t="inlineStr">
        <is>
          <t>Low</t>
        </is>
      </c>
      <c r="I1121" s="5" t="n">
        <v>1</v>
      </c>
      <c r="J1121" s="5" t="n"/>
      <c r="K1121" s="10">
        <f>IFERROR(IF(INDEX('Test catalog'!$F$2:$F$200,MATCH($AB1121,'Test catalog'!$A$2:$A$200,0))="","",INDEX('Test catalog'!$F$2:$F$200,MATCH($AB1121,'Test catalog'!$A$2:$A$200,0))),"")</f>
        <v/>
      </c>
      <c r="L1121" s="10">
        <f>IFERROR(IF(INDEX('Test catalog'!$G$2:$G$200,MATCH($AB1121,'Test catalog'!$A$2:$A$200,0))="","",INDEX('Test catalog'!$G$2:$G$200,MATCH($AB1121,'Test catalog'!$A$2:$A$200,0))),"")</f>
        <v/>
      </c>
      <c r="M1121" s="10">
        <f>IFERROR(IF(INDEX('Test catalog'!$H$2:$H$200,MATCH($AB1121,'Test catalog'!$A$2:$A$200,0))="","",INDEX('Test catalog'!$H$2:$H$200,MATCH($AB1121,'Test catalog'!$A$2:$A$200,0))),"")</f>
        <v/>
      </c>
      <c r="N1121" s="10">
        <f>IFERROR(IF(INDEX('Test catalog'!$I$2:$I$200,MATCH($AB1121,'Test catalog'!$A$2:$A$200,0))="","",INDEX('Test catalog'!$I$2:$I$200,MATCH($AB1121,'Test catalog'!$A$2:$A$200,0))),"")</f>
        <v/>
      </c>
      <c r="O1121" s="10">
        <f>IFERROR(IF(INDEX('Test catalog'!$J$2:$J$200,MATCH($AB1121,'Test catalog'!$A$2:$A$200,0))="","",INDEX('Test catalog'!$J$2:$J$200,MATCH($AB1121,'Test catalog'!$A$2:$A$200,0))),"")</f>
        <v/>
      </c>
      <c r="P1121" s="14">
        <f>IF(N1121="","",IF(OR(M1121="",O1121=""),N1121,(M1121+4*N1121+O1121)/6))</f>
        <v/>
      </c>
      <c r="Q1121" s="10">
        <f>IFERROR(IF(INDEX('Test catalog'!$K$2:$K$200,MATCH($AB1121,'Test catalog'!$A$2:$A$200,0))="","",INDEX('Test catalog'!$K$2:$K$200,MATCH($AB1121,'Test catalog'!$A$2:$A$200,0))),"")</f>
        <v/>
      </c>
      <c r="R1121" s="5" t="n"/>
      <c r="S1121" s="10">
        <f>IFERROR(IF(INDEX('Test catalog'!$L$2:$L$200,MATCH($AB1121,'Test catalog'!$A$2:$A$200,0))="","",INDEX('Test catalog'!$L$2:$L$200,MATCH($AB1121,'Test catalog'!$A$2:$A$200,0))),"")</f>
        <v/>
      </c>
      <c r="T1121" s="10">
        <f>IFERROR(IF(INDEX('Test catalog'!$M$2:$M$200,MATCH($AB1121,'Test catalog'!$A$2:$A$200,0))="","",INDEX('Test catalog'!$M$2:$M$200,MATCH($AB1121,'Test catalog'!$A$2:$A$200,0))),"")</f>
        <v/>
      </c>
      <c r="U1121" s="10">
        <f>IFERROR(IF(INDEX('Test catalog'!$N$2:$N$200,MATCH($AB1121,'Test catalog'!$A$2:$A$200,0))="","",INDEX('Test catalog'!$N$2:$N$200,MATCH($AB1121,'Test catalog'!$A$2:$A$200,0))),"")</f>
        <v/>
      </c>
      <c r="V1121" s="15" t="n"/>
      <c r="W1121" s="5" t="inlineStr">
        <is>
          <t>N</t>
        </is>
      </c>
      <c r="X1121" s="5" t="n"/>
      <c r="Y1121" s="5" t="n"/>
      <c r="Z1121" s="5" t="n"/>
      <c r="AA1121" s="10">
        <f>IFERROR(IF(INDEX('Test catalog'!$O$2:$O$200,MATCH($AB1121,'Test catalog'!$A$2:$A$200,0))="","",INDEX('Test catalog'!$O$2:$O$200,MATCH($AB1121,'Test catalog'!$A$2:$A$200,0))),"")</f>
        <v/>
      </c>
      <c r="AB1121" s="10" t="inlineStr">
        <is>
          <t>ID_IR</t>
        </is>
      </c>
      <c r="AC1121" s="10" t="inlineStr">
        <is>
          <t>Sucrose · Identification &lt;197&gt;</t>
        </is>
      </c>
      <c r="AD1121" s="10" t="n"/>
      <c r="AE1121" s="10" t="n"/>
    </row>
    <row r="1122">
      <c r="A1122" s="10" t="inlineStr">
        <is>
          <t>Sucrose</t>
        </is>
      </c>
      <c r="B1122" s="10" t="inlineStr">
        <is>
          <t>RM</t>
        </is>
      </c>
      <c r="C1122" s="10" t="inlineStr">
        <is>
          <t>Sweetener / Filler</t>
        </is>
      </c>
      <c r="D1122" s="10" t="inlineStr">
        <is>
          <t>Sulfite</t>
        </is>
      </c>
      <c r="E1122" s="10">
        <f>IF(A1122="","",A1122&amp;"|"&amp;D1122)</f>
        <v/>
      </c>
      <c r="F1122" s="5" t="inlineStr">
        <is>
          <t>Y</t>
        </is>
      </c>
      <c r="G1122" s="5" t="inlineStr">
        <is>
          <t>UV-Vis</t>
        </is>
      </c>
      <c r="H1122" s="5" t="inlineStr">
        <is>
          <t>Low</t>
        </is>
      </c>
      <c r="I1122" s="5" t="n">
        <v>1</v>
      </c>
      <c r="J1122" s="5" t="n"/>
      <c r="K1122" s="10">
        <f>IFERROR(IF(INDEX('Test catalog'!$F$2:$F$200,MATCH($AB1122,'Test catalog'!$A$2:$A$200,0))="","",INDEX('Test catalog'!$F$2:$F$200,MATCH($AB1122,'Test catalog'!$A$2:$A$200,0))),"")</f>
        <v/>
      </c>
      <c r="L1122" s="10">
        <f>IFERROR(IF(INDEX('Test catalog'!$G$2:$G$200,MATCH($AB1122,'Test catalog'!$A$2:$A$200,0))="","",INDEX('Test catalog'!$G$2:$G$200,MATCH($AB1122,'Test catalog'!$A$2:$A$200,0))),"")</f>
        <v/>
      </c>
      <c r="M1122" s="10">
        <f>IFERROR(IF(INDEX('Test catalog'!$H$2:$H$200,MATCH($AB1122,'Test catalog'!$A$2:$A$200,0))="","",INDEX('Test catalog'!$H$2:$H$200,MATCH($AB1122,'Test catalog'!$A$2:$A$200,0))),"")</f>
        <v/>
      </c>
      <c r="N1122" s="10">
        <f>IFERROR(IF(INDEX('Test catalog'!$I$2:$I$200,MATCH($AB1122,'Test catalog'!$A$2:$A$200,0))="","",INDEX('Test catalog'!$I$2:$I$200,MATCH($AB1122,'Test catalog'!$A$2:$A$200,0))),"")</f>
        <v/>
      </c>
      <c r="O1122" s="10">
        <f>IFERROR(IF(INDEX('Test catalog'!$J$2:$J$200,MATCH($AB1122,'Test catalog'!$A$2:$A$200,0))="","",INDEX('Test catalog'!$J$2:$J$200,MATCH($AB1122,'Test catalog'!$A$2:$A$200,0))),"")</f>
        <v/>
      </c>
      <c r="P1122" s="14">
        <f>IF(N1122="","",IF(OR(M1122="",O1122=""),N1122,(M1122+4*N1122+O1122)/6))</f>
        <v/>
      </c>
      <c r="Q1122" s="10">
        <f>IFERROR(IF(INDEX('Test catalog'!$K$2:$K$200,MATCH($AB1122,'Test catalog'!$A$2:$A$200,0))="","",INDEX('Test catalog'!$K$2:$K$200,MATCH($AB1122,'Test catalog'!$A$2:$A$200,0))),"")</f>
        <v/>
      </c>
      <c r="R1122" s="5" t="n"/>
      <c r="S1122" s="10">
        <f>IFERROR(IF(INDEX('Test catalog'!$L$2:$L$200,MATCH($AB1122,'Test catalog'!$A$2:$A$200,0))="","",INDEX('Test catalog'!$L$2:$L$200,MATCH($AB1122,'Test catalog'!$A$2:$A$200,0))),"")</f>
        <v/>
      </c>
      <c r="T1122" s="10">
        <f>IFERROR(IF(INDEX('Test catalog'!$M$2:$M$200,MATCH($AB1122,'Test catalog'!$A$2:$A$200,0))="","",INDEX('Test catalog'!$M$2:$M$200,MATCH($AB1122,'Test catalog'!$A$2:$A$200,0))),"")</f>
        <v/>
      </c>
      <c r="U1122" s="10">
        <f>IFERROR(IF(INDEX('Test catalog'!$N$2:$N$200,MATCH($AB1122,'Test catalog'!$A$2:$A$200,0))="","",INDEX('Test catalog'!$N$2:$N$200,MATCH($AB1122,'Test catalog'!$A$2:$A$200,0))),"")</f>
        <v/>
      </c>
      <c r="V1122" s="15" t="n"/>
      <c r="W1122" s="5" t="inlineStr">
        <is>
          <t>N</t>
        </is>
      </c>
      <c r="X1122" s="5" t="n"/>
      <c r="Y1122" s="5" t="n"/>
      <c r="Z1122" s="5" t="n"/>
      <c r="AA1122" s="10">
        <f>IFERROR(IF(INDEX('Test catalog'!$O$2:$O$200,MATCH($AB1122,'Test catalog'!$A$2:$A$200,0))="","",INDEX('Test catalog'!$O$2:$O$200,MATCH($AB1122,'Test catalog'!$A$2:$A$200,0))),"")</f>
        <v/>
      </c>
      <c r="AB1122" s="10" t="inlineStr">
        <is>
          <t>UV</t>
        </is>
      </c>
      <c r="AC1122" s="10" t="inlineStr">
        <is>
          <t>Sucrose · Impurities</t>
        </is>
      </c>
      <c r="AD1122" s="10" t="n"/>
      <c r="AE1122" s="10" t="n"/>
    </row>
    <row r="1123">
      <c r="A1123" s="10" t="inlineStr">
        <is>
          <t>Sucrose</t>
        </is>
      </c>
      <c r="B1123" s="10" t="inlineStr">
        <is>
          <t>RM</t>
        </is>
      </c>
      <c r="C1123" s="10" t="inlineStr">
        <is>
          <t>Sweetener / Filler</t>
        </is>
      </c>
      <c r="D1123" s="10" t="inlineStr">
        <is>
          <t>Appearance of Solution</t>
        </is>
      </c>
      <c r="E1123" s="10">
        <f>IF(A1123="","",A1123&amp;"|"&amp;D1123)</f>
        <v/>
      </c>
      <c r="F1123" s="5" t="inlineStr">
        <is>
          <t>Y</t>
        </is>
      </c>
      <c r="G1123" s="5" t="inlineStr">
        <is>
          <t>Other / bench</t>
        </is>
      </c>
      <c r="H1123" s="5" t="inlineStr">
        <is>
          <t>Low</t>
        </is>
      </c>
      <c r="I1123" s="5" t="n">
        <v>1</v>
      </c>
      <c r="J1123" s="5" t="n"/>
      <c r="K1123" s="10">
        <f>IFERROR(IF(INDEX('Test catalog'!$F$2:$F$200,MATCH($AB1123,'Test catalog'!$A$2:$A$200,0))="","",INDEX('Test catalog'!$F$2:$F$200,MATCH($AB1123,'Test catalog'!$A$2:$A$200,0))),"")</f>
        <v/>
      </c>
      <c r="L1123" s="10">
        <f>IFERROR(IF(INDEX('Test catalog'!$G$2:$G$200,MATCH($AB1123,'Test catalog'!$A$2:$A$200,0))="","",INDEX('Test catalog'!$G$2:$G$200,MATCH($AB1123,'Test catalog'!$A$2:$A$200,0))),"")</f>
        <v/>
      </c>
      <c r="M1123" s="10">
        <f>IFERROR(IF(INDEX('Test catalog'!$H$2:$H$200,MATCH($AB1123,'Test catalog'!$A$2:$A$200,0))="","",INDEX('Test catalog'!$H$2:$H$200,MATCH($AB1123,'Test catalog'!$A$2:$A$200,0))),"")</f>
        <v/>
      </c>
      <c r="N1123" s="10">
        <f>IFERROR(IF(INDEX('Test catalog'!$I$2:$I$200,MATCH($AB1123,'Test catalog'!$A$2:$A$200,0))="","",INDEX('Test catalog'!$I$2:$I$200,MATCH($AB1123,'Test catalog'!$A$2:$A$200,0))),"")</f>
        <v/>
      </c>
      <c r="O1123" s="10">
        <f>IFERROR(IF(INDEX('Test catalog'!$J$2:$J$200,MATCH($AB1123,'Test catalog'!$A$2:$A$200,0))="","",INDEX('Test catalog'!$J$2:$J$200,MATCH($AB1123,'Test catalog'!$A$2:$A$200,0))),"")</f>
        <v/>
      </c>
      <c r="P1123" s="14">
        <f>IF(N1123="","",IF(OR(M1123="",O1123=""),N1123,(M1123+4*N1123+O1123)/6))</f>
        <v/>
      </c>
      <c r="Q1123" s="10">
        <f>IFERROR(IF(INDEX('Test catalog'!$K$2:$K$200,MATCH($AB1123,'Test catalog'!$A$2:$A$200,0))="","",INDEX('Test catalog'!$K$2:$K$200,MATCH($AB1123,'Test catalog'!$A$2:$A$200,0))),"")</f>
        <v/>
      </c>
      <c r="R1123" s="5" t="n"/>
      <c r="S1123" s="10">
        <f>IFERROR(IF(INDEX('Test catalog'!$L$2:$L$200,MATCH($AB1123,'Test catalog'!$A$2:$A$200,0))="","",INDEX('Test catalog'!$L$2:$L$200,MATCH($AB1123,'Test catalog'!$A$2:$A$200,0))),"")</f>
        <v/>
      </c>
      <c r="T1123" s="10">
        <f>IFERROR(IF(INDEX('Test catalog'!$M$2:$M$200,MATCH($AB1123,'Test catalog'!$A$2:$A$200,0))="","",INDEX('Test catalog'!$M$2:$M$200,MATCH($AB1123,'Test catalog'!$A$2:$A$200,0))),"")</f>
        <v/>
      </c>
      <c r="U1123" s="10">
        <f>IFERROR(IF(INDEX('Test catalog'!$N$2:$N$200,MATCH($AB1123,'Test catalog'!$A$2:$A$200,0))="","",INDEX('Test catalog'!$N$2:$N$200,MATCH($AB1123,'Test catalog'!$A$2:$A$200,0))),"")</f>
        <v/>
      </c>
      <c r="V1123" s="15" t="n"/>
      <c r="W1123" s="5" t="inlineStr">
        <is>
          <t>N</t>
        </is>
      </c>
      <c r="X1123" s="5" t="n"/>
      <c r="Y1123" s="5" t="n"/>
      <c r="Z1123" s="5" t="n"/>
      <c r="AA1123" s="10">
        <f>IFERROR(IF(INDEX('Test catalog'!$O$2:$O$200,MATCH($AB1123,'Test catalog'!$A$2:$A$200,0))="","",INDEX('Test catalog'!$O$2:$O$200,MATCH($AB1123,'Test catalog'!$A$2:$A$200,0))),"")</f>
        <v/>
      </c>
      <c r="AB1123" s="10" t="inlineStr">
        <is>
          <t>CLAR</t>
        </is>
      </c>
      <c r="AC1123" s="10" t="inlineStr">
        <is>
          <t>Sucrose · Specific Tests</t>
        </is>
      </c>
      <c r="AD1123" s="10" t="n"/>
      <c r="AE1123" s="10" t="n"/>
    </row>
    <row r="1124">
      <c r="A1124" s="10" t="inlineStr">
        <is>
          <t>Sucrose</t>
        </is>
      </c>
      <c r="B1124" s="10" t="inlineStr">
        <is>
          <t>RM</t>
        </is>
      </c>
      <c r="C1124" s="10" t="inlineStr">
        <is>
          <t>Sweetener / Filler</t>
        </is>
      </c>
      <c r="D1124" s="10" t="inlineStr">
        <is>
          <t>Conductivity</t>
        </is>
      </c>
      <c r="E1124" s="10">
        <f>IF(A1124="","",A1124&amp;"|"&amp;D1124)</f>
        <v/>
      </c>
      <c r="F1124" s="5" t="inlineStr">
        <is>
          <t>Y</t>
        </is>
      </c>
      <c r="G1124" s="5" t="inlineStr">
        <is>
          <t>Other / bench</t>
        </is>
      </c>
      <c r="H1124" s="5" t="inlineStr">
        <is>
          <t>Low</t>
        </is>
      </c>
      <c r="I1124" s="5" t="n">
        <v>1</v>
      </c>
      <c r="J1124" s="5" t="n"/>
      <c r="K1124" s="10">
        <f>IFERROR(IF(INDEX('Test catalog'!$F$2:$F$200,MATCH($AB1124,'Test catalog'!$A$2:$A$200,0))="","",INDEX('Test catalog'!$F$2:$F$200,MATCH($AB1124,'Test catalog'!$A$2:$A$200,0))),"")</f>
        <v/>
      </c>
      <c r="L1124" s="10">
        <f>IFERROR(IF(INDEX('Test catalog'!$G$2:$G$200,MATCH($AB1124,'Test catalog'!$A$2:$A$200,0))="","",INDEX('Test catalog'!$G$2:$G$200,MATCH($AB1124,'Test catalog'!$A$2:$A$200,0))),"")</f>
        <v/>
      </c>
      <c r="M1124" s="10">
        <f>IFERROR(IF(INDEX('Test catalog'!$H$2:$H$200,MATCH($AB1124,'Test catalog'!$A$2:$A$200,0))="","",INDEX('Test catalog'!$H$2:$H$200,MATCH($AB1124,'Test catalog'!$A$2:$A$200,0))),"")</f>
        <v/>
      </c>
      <c r="N1124" s="10">
        <f>IFERROR(IF(INDEX('Test catalog'!$I$2:$I$200,MATCH($AB1124,'Test catalog'!$A$2:$A$200,0))="","",INDEX('Test catalog'!$I$2:$I$200,MATCH($AB1124,'Test catalog'!$A$2:$A$200,0))),"")</f>
        <v/>
      </c>
      <c r="O1124" s="10">
        <f>IFERROR(IF(INDEX('Test catalog'!$J$2:$J$200,MATCH($AB1124,'Test catalog'!$A$2:$A$200,0))="","",INDEX('Test catalog'!$J$2:$J$200,MATCH($AB1124,'Test catalog'!$A$2:$A$200,0))),"")</f>
        <v/>
      </c>
      <c r="P1124" s="14">
        <f>IF(N1124="","",IF(OR(M1124="",O1124=""),N1124,(M1124+4*N1124+O1124)/6))</f>
        <v/>
      </c>
      <c r="Q1124" s="10">
        <f>IFERROR(IF(INDEX('Test catalog'!$K$2:$K$200,MATCH($AB1124,'Test catalog'!$A$2:$A$200,0))="","",INDEX('Test catalog'!$K$2:$K$200,MATCH($AB1124,'Test catalog'!$A$2:$A$200,0))),"")</f>
        <v/>
      </c>
      <c r="R1124" s="5" t="n"/>
      <c r="S1124" s="10">
        <f>IFERROR(IF(INDEX('Test catalog'!$L$2:$L$200,MATCH($AB1124,'Test catalog'!$A$2:$A$200,0))="","",INDEX('Test catalog'!$L$2:$L$200,MATCH($AB1124,'Test catalog'!$A$2:$A$200,0))),"")</f>
        <v/>
      </c>
      <c r="T1124" s="10">
        <f>IFERROR(IF(INDEX('Test catalog'!$M$2:$M$200,MATCH($AB1124,'Test catalog'!$A$2:$A$200,0))="","",INDEX('Test catalog'!$M$2:$M$200,MATCH($AB1124,'Test catalog'!$A$2:$A$200,0))),"")</f>
        <v/>
      </c>
      <c r="U1124" s="10">
        <f>IFERROR(IF(INDEX('Test catalog'!$N$2:$N$200,MATCH($AB1124,'Test catalog'!$A$2:$A$200,0))="","",INDEX('Test catalog'!$N$2:$N$200,MATCH($AB1124,'Test catalog'!$A$2:$A$200,0))),"")</f>
        <v/>
      </c>
      <c r="V1124" s="15" t="n"/>
      <c r="W1124" s="5" t="inlineStr">
        <is>
          <t>N</t>
        </is>
      </c>
      <c r="X1124" s="5" t="n"/>
      <c r="Y1124" s="5" t="n"/>
      <c r="Z1124" s="5" t="n"/>
      <c r="AA1124" s="10">
        <f>IFERROR(IF(INDEX('Test catalog'!$O$2:$O$200,MATCH($AB1124,'Test catalog'!$A$2:$A$200,0))="","",INDEX('Test catalog'!$O$2:$O$200,MATCH($AB1124,'Test catalog'!$A$2:$A$200,0))),"")</f>
        <v/>
      </c>
      <c r="AB1124" s="10" t="inlineStr">
        <is>
          <t>COND</t>
        </is>
      </c>
      <c r="AC1124" s="10" t="inlineStr">
        <is>
          <t>Sucrose · Specific Tests</t>
        </is>
      </c>
      <c r="AD1124" s="10" t="n"/>
      <c r="AE1124" s="10" t="n"/>
    </row>
    <row r="1125">
      <c r="A1125" s="10" t="inlineStr">
        <is>
          <t>Sucrose</t>
        </is>
      </c>
      <c r="B1125" s="10" t="inlineStr">
        <is>
          <t>RM</t>
        </is>
      </c>
      <c r="C1125" s="10" t="inlineStr">
        <is>
          <t>Sweetener / Filler</t>
        </is>
      </c>
      <c r="D1125" s="10" t="inlineStr">
        <is>
          <t>Optical Rotation</t>
        </is>
      </c>
      <c r="E1125" s="10">
        <f>IF(A1125="","",A1125&amp;"|"&amp;D1125)</f>
        <v/>
      </c>
      <c r="F1125" s="5" t="inlineStr">
        <is>
          <t>Y</t>
        </is>
      </c>
      <c r="G1125" s="5" t="inlineStr">
        <is>
          <t>Other / bench</t>
        </is>
      </c>
      <c r="H1125" s="5" t="inlineStr">
        <is>
          <t>Low</t>
        </is>
      </c>
      <c r="I1125" s="5" t="n">
        <v>1</v>
      </c>
      <c r="J1125" s="5" t="n"/>
      <c r="K1125" s="10">
        <f>IFERROR(IF(INDEX('Test catalog'!$F$2:$F$200,MATCH($AB1125,'Test catalog'!$A$2:$A$200,0))="","",INDEX('Test catalog'!$F$2:$F$200,MATCH($AB1125,'Test catalog'!$A$2:$A$200,0))),"")</f>
        <v/>
      </c>
      <c r="L1125" s="10">
        <f>IFERROR(IF(INDEX('Test catalog'!$G$2:$G$200,MATCH($AB1125,'Test catalog'!$A$2:$A$200,0))="","",INDEX('Test catalog'!$G$2:$G$200,MATCH($AB1125,'Test catalog'!$A$2:$A$200,0))),"")</f>
        <v/>
      </c>
      <c r="M1125" s="10">
        <f>IFERROR(IF(INDEX('Test catalog'!$H$2:$H$200,MATCH($AB1125,'Test catalog'!$A$2:$A$200,0))="","",INDEX('Test catalog'!$H$2:$H$200,MATCH($AB1125,'Test catalog'!$A$2:$A$200,0))),"")</f>
        <v/>
      </c>
      <c r="N1125" s="10">
        <f>IFERROR(IF(INDEX('Test catalog'!$I$2:$I$200,MATCH($AB1125,'Test catalog'!$A$2:$A$200,0))="","",INDEX('Test catalog'!$I$2:$I$200,MATCH($AB1125,'Test catalog'!$A$2:$A$200,0))),"")</f>
        <v/>
      </c>
      <c r="O1125" s="10">
        <f>IFERROR(IF(INDEX('Test catalog'!$J$2:$J$200,MATCH($AB1125,'Test catalog'!$A$2:$A$200,0))="","",INDEX('Test catalog'!$J$2:$J$200,MATCH($AB1125,'Test catalog'!$A$2:$A$200,0))),"")</f>
        <v/>
      </c>
      <c r="P1125" s="14">
        <f>IF(N1125="","",IF(OR(M1125="",O1125=""),N1125,(M1125+4*N1125+O1125)/6))</f>
        <v/>
      </c>
      <c r="Q1125" s="10">
        <f>IFERROR(IF(INDEX('Test catalog'!$K$2:$K$200,MATCH($AB1125,'Test catalog'!$A$2:$A$200,0))="","",INDEX('Test catalog'!$K$2:$K$200,MATCH($AB1125,'Test catalog'!$A$2:$A$200,0))),"")</f>
        <v/>
      </c>
      <c r="R1125" s="5" t="n"/>
      <c r="S1125" s="10">
        <f>IFERROR(IF(INDEX('Test catalog'!$L$2:$L$200,MATCH($AB1125,'Test catalog'!$A$2:$A$200,0))="","",INDEX('Test catalog'!$L$2:$L$200,MATCH($AB1125,'Test catalog'!$A$2:$A$200,0))),"")</f>
        <v/>
      </c>
      <c r="T1125" s="10">
        <f>IFERROR(IF(INDEX('Test catalog'!$M$2:$M$200,MATCH($AB1125,'Test catalog'!$A$2:$A$200,0))="","",INDEX('Test catalog'!$M$2:$M$200,MATCH($AB1125,'Test catalog'!$A$2:$A$200,0))),"")</f>
        <v/>
      </c>
      <c r="U1125" s="10">
        <f>IFERROR(IF(INDEX('Test catalog'!$N$2:$N$200,MATCH($AB1125,'Test catalog'!$A$2:$A$200,0))="","",INDEX('Test catalog'!$N$2:$N$200,MATCH($AB1125,'Test catalog'!$A$2:$A$200,0))),"")</f>
        <v/>
      </c>
      <c r="V1125" s="15" t="n"/>
      <c r="W1125" s="5" t="inlineStr">
        <is>
          <t>N</t>
        </is>
      </c>
      <c r="X1125" s="5" t="n"/>
      <c r="Y1125" s="5" t="n"/>
      <c r="Z1125" s="5" t="n"/>
      <c r="AA1125" s="10">
        <f>IFERROR(IF(INDEX('Test catalog'!$O$2:$O$200,MATCH($AB1125,'Test catalog'!$A$2:$A$200,0))="","",INDEX('Test catalog'!$O$2:$O$200,MATCH($AB1125,'Test catalog'!$A$2:$A$200,0))),"")</f>
        <v/>
      </c>
      <c r="AB1125" s="10" t="inlineStr">
        <is>
          <t>OR</t>
        </is>
      </c>
      <c r="AC1125" s="10" t="inlineStr">
        <is>
          <t>Sucrose · Specific Tests &lt;781&gt;</t>
        </is>
      </c>
      <c r="AD1125" s="10" t="n"/>
      <c r="AE1125" s="10" t="n"/>
    </row>
    <row r="1126">
      <c r="A1126" s="10" t="inlineStr">
        <is>
          <t>Sucrose</t>
        </is>
      </c>
      <c r="B1126" s="10" t="inlineStr">
        <is>
          <t>RM</t>
        </is>
      </c>
      <c r="C1126" s="10" t="inlineStr">
        <is>
          <t>Sweetener / Filler</t>
        </is>
      </c>
      <c r="D1126" s="10" t="inlineStr">
        <is>
          <t>Color Value</t>
        </is>
      </c>
      <c r="E1126" s="10">
        <f>IF(A1126="","",A1126&amp;"|"&amp;D1126)</f>
        <v/>
      </c>
      <c r="F1126" s="5" t="inlineStr">
        <is>
          <t>Y</t>
        </is>
      </c>
      <c r="G1126" s="5" t="inlineStr">
        <is>
          <t>UV-Vis</t>
        </is>
      </c>
      <c r="H1126" s="5" t="inlineStr">
        <is>
          <t>Low</t>
        </is>
      </c>
      <c r="I1126" s="5" t="n">
        <v>1</v>
      </c>
      <c r="J1126" s="5" t="n"/>
      <c r="K1126" s="10">
        <f>IFERROR(IF(INDEX('Test catalog'!$F$2:$F$200,MATCH($AB1126,'Test catalog'!$A$2:$A$200,0))="","",INDEX('Test catalog'!$F$2:$F$200,MATCH($AB1126,'Test catalog'!$A$2:$A$200,0))),"")</f>
        <v/>
      </c>
      <c r="L1126" s="10">
        <f>IFERROR(IF(INDEX('Test catalog'!$G$2:$G$200,MATCH($AB1126,'Test catalog'!$A$2:$A$200,0))="","",INDEX('Test catalog'!$G$2:$G$200,MATCH($AB1126,'Test catalog'!$A$2:$A$200,0))),"")</f>
        <v/>
      </c>
      <c r="M1126" s="10">
        <f>IFERROR(IF(INDEX('Test catalog'!$H$2:$H$200,MATCH($AB1126,'Test catalog'!$A$2:$A$200,0))="","",INDEX('Test catalog'!$H$2:$H$200,MATCH($AB1126,'Test catalog'!$A$2:$A$200,0))),"")</f>
        <v/>
      </c>
      <c r="N1126" s="10">
        <f>IFERROR(IF(INDEX('Test catalog'!$I$2:$I$200,MATCH($AB1126,'Test catalog'!$A$2:$A$200,0))="","",INDEX('Test catalog'!$I$2:$I$200,MATCH($AB1126,'Test catalog'!$A$2:$A$200,0))),"")</f>
        <v/>
      </c>
      <c r="O1126" s="10">
        <f>IFERROR(IF(INDEX('Test catalog'!$J$2:$J$200,MATCH($AB1126,'Test catalog'!$A$2:$A$200,0))="","",INDEX('Test catalog'!$J$2:$J$200,MATCH($AB1126,'Test catalog'!$A$2:$A$200,0))),"")</f>
        <v/>
      </c>
      <c r="P1126" s="14">
        <f>IF(N1126="","",IF(OR(M1126="",O1126=""),N1126,(M1126+4*N1126+O1126)/6))</f>
        <v/>
      </c>
      <c r="Q1126" s="10">
        <f>IFERROR(IF(INDEX('Test catalog'!$K$2:$K$200,MATCH($AB1126,'Test catalog'!$A$2:$A$200,0))="","",INDEX('Test catalog'!$K$2:$K$200,MATCH($AB1126,'Test catalog'!$A$2:$A$200,0))),"")</f>
        <v/>
      </c>
      <c r="R1126" s="5" t="n"/>
      <c r="S1126" s="10">
        <f>IFERROR(IF(INDEX('Test catalog'!$L$2:$L$200,MATCH($AB1126,'Test catalog'!$A$2:$A$200,0))="","",INDEX('Test catalog'!$L$2:$L$200,MATCH($AB1126,'Test catalog'!$A$2:$A$200,0))),"")</f>
        <v/>
      </c>
      <c r="T1126" s="10">
        <f>IFERROR(IF(INDEX('Test catalog'!$M$2:$M$200,MATCH($AB1126,'Test catalog'!$A$2:$A$200,0))="","",INDEX('Test catalog'!$M$2:$M$200,MATCH($AB1126,'Test catalog'!$A$2:$A$200,0))),"")</f>
        <v/>
      </c>
      <c r="U1126" s="10">
        <f>IFERROR(IF(INDEX('Test catalog'!$N$2:$N$200,MATCH($AB1126,'Test catalog'!$A$2:$A$200,0))="","",INDEX('Test catalog'!$N$2:$N$200,MATCH($AB1126,'Test catalog'!$A$2:$A$200,0))),"")</f>
        <v/>
      </c>
      <c r="V1126" s="15" t="n"/>
      <c r="W1126" s="5" t="inlineStr">
        <is>
          <t>N</t>
        </is>
      </c>
      <c r="X1126" s="5" t="n"/>
      <c r="Y1126" s="5" t="n"/>
      <c r="Z1126" s="5" t="n"/>
      <c r="AA1126" s="10">
        <f>IFERROR(IF(INDEX('Test catalog'!$O$2:$O$200,MATCH($AB1126,'Test catalog'!$A$2:$A$200,0))="","",INDEX('Test catalog'!$O$2:$O$200,MATCH($AB1126,'Test catalog'!$A$2:$A$200,0))),"")</f>
        <v/>
      </c>
      <c r="AB1126" s="10" t="inlineStr">
        <is>
          <t>UV</t>
        </is>
      </c>
      <c r="AC1126" s="10" t="inlineStr">
        <is>
          <t>Sucrose · Specific Tests</t>
        </is>
      </c>
      <c r="AD1126" s="10" t="n"/>
      <c r="AE1126" s="10" t="n"/>
    </row>
    <row r="1127">
      <c r="A1127" s="10" t="inlineStr">
        <is>
          <t>Sucrose</t>
        </is>
      </c>
      <c r="B1127" s="10" t="inlineStr">
        <is>
          <t>RM</t>
        </is>
      </c>
      <c r="C1127" s="10" t="inlineStr">
        <is>
          <t>Sweetener / Filler</t>
        </is>
      </c>
      <c r="D1127" s="10" t="inlineStr">
        <is>
          <t>Dextrins</t>
        </is>
      </c>
      <c r="E1127" s="10">
        <f>IF(A1127="","",A1127&amp;"|"&amp;D1127)</f>
        <v/>
      </c>
      <c r="F1127" s="5" t="inlineStr">
        <is>
          <t>Y</t>
        </is>
      </c>
      <c r="G1127" s="5" t="inlineStr">
        <is>
          <t>Other / bench</t>
        </is>
      </c>
      <c r="H1127" s="5" t="inlineStr">
        <is>
          <t>Low</t>
        </is>
      </c>
      <c r="I1127" s="5" t="n">
        <v>1</v>
      </c>
      <c r="J1127" s="5" t="n"/>
      <c r="K1127" s="10">
        <f>IFERROR(IF(INDEX('Test catalog'!$F$2:$F$200,MATCH($AB1127,'Test catalog'!$A$2:$A$200,0))="","",INDEX('Test catalog'!$F$2:$F$200,MATCH($AB1127,'Test catalog'!$A$2:$A$200,0))),"")</f>
        <v/>
      </c>
      <c r="L1127" s="10">
        <f>IFERROR(IF(INDEX('Test catalog'!$G$2:$G$200,MATCH($AB1127,'Test catalog'!$A$2:$A$200,0))="","",INDEX('Test catalog'!$G$2:$G$200,MATCH($AB1127,'Test catalog'!$A$2:$A$200,0))),"")</f>
        <v/>
      </c>
      <c r="M1127" s="10">
        <f>IFERROR(IF(INDEX('Test catalog'!$H$2:$H$200,MATCH($AB1127,'Test catalog'!$A$2:$A$200,0))="","",INDEX('Test catalog'!$H$2:$H$200,MATCH($AB1127,'Test catalog'!$A$2:$A$200,0))),"")</f>
        <v/>
      </c>
      <c r="N1127" s="10">
        <f>IFERROR(IF(INDEX('Test catalog'!$I$2:$I$200,MATCH($AB1127,'Test catalog'!$A$2:$A$200,0))="","",INDEX('Test catalog'!$I$2:$I$200,MATCH($AB1127,'Test catalog'!$A$2:$A$200,0))),"")</f>
        <v/>
      </c>
      <c r="O1127" s="10">
        <f>IFERROR(IF(INDEX('Test catalog'!$J$2:$J$200,MATCH($AB1127,'Test catalog'!$A$2:$A$200,0))="","",INDEX('Test catalog'!$J$2:$J$200,MATCH($AB1127,'Test catalog'!$A$2:$A$200,0))),"")</f>
        <v/>
      </c>
      <c r="P1127" s="14">
        <f>IF(N1127="","",IF(OR(M1127="",O1127=""),N1127,(M1127+4*N1127+O1127)/6))</f>
        <v/>
      </c>
      <c r="Q1127" s="10">
        <f>IFERROR(IF(INDEX('Test catalog'!$K$2:$K$200,MATCH($AB1127,'Test catalog'!$A$2:$A$200,0))="","",INDEX('Test catalog'!$K$2:$K$200,MATCH($AB1127,'Test catalog'!$A$2:$A$200,0))),"")</f>
        <v/>
      </c>
      <c r="R1127" s="5" t="n"/>
      <c r="S1127" s="10">
        <f>IFERROR(IF(INDEX('Test catalog'!$L$2:$L$200,MATCH($AB1127,'Test catalog'!$A$2:$A$200,0))="","",INDEX('Test catalog'!$L$2:$L$200,MATCH($AB1127,'Test catalog'!$A$2:$A$200,0))),"")</f>
        <v/>
      </c>
      <c r="T1127" s="10">
        <f>IFERROR(IF(INDEX('Test catalog'!$M$2:$M$200,MATCH($AB1127,'Test catalog'!$A$2:$A$200,0))="","",INDEX('Test catalog'!$M$2:$M$200,MATCH($AB1127,'Test catalog'!$A$2:$A$200,0))),"")</f>
        <v/>
      </c>
      <c r="U1127" s="10">
        <f>IFERROR(IF(INDEX('Test catalog'!$N$2:$N$200,MATCH($AB1127,'Test catalog'!$A$2:$A$200,0))="","",INDEX('Test catalog'!$N$2:$N$200,MATCH($AB1127,'Test catalog'!$A$2:$A$200,0))),"")</f>
        <v/>
      </c>
      <c r="V1127" s="15" t="n"/>
      <c r="W1127" s="5" t="inlineStr">
        <is>
          <t>N</t>
        </is>
      </c>
      <c r="X1127" s="5" t="n"/>
      <c r="Y1127" s="5" t="n"/>
      <c r="Z1127" s="5" t="n"/>
      <c r="AA1127" s="10">
        <f>IFERROR(IF(INDEX('Test catalog'!$O$2:$O$200,MATCH($AB1127,'Test catalog'!$A$2:$A$200,0))="","",INDEX('Test catalog'!$O$2:$O$200,MATCH($AB1127,'Test catalog'!$A$2:$A$200,0))),"")</f>
        <v/>
      </c>
      <c r="AB1127" s="10" t="inlineStr">
        <is>
          <t>LIMIT</t>
        </is>
      </c>
      <c r="AC1127" s="10" t="inlineStr">
        <is>
          <t>Sucrose · Specific Tests</t>
        </is>
      </c>
      <c r="AD1127" s="10" t="n"/>
      <c r="AE1127" s="10" t="n"/>
    </row>
    <row r="1128">
      <c r="A1128" s="10" t="inlineStr">
        <is>
          <t>Sucrose</t>
        </is>
      </c>
      <c r="B1128" s="10" t="inlineStr">
        <is>
          <t>RM</t>
        </is>
      </c>
      <c r="C1128" s="10" t="inlineStr">
        <is>
          <t>Sweetener / Filler</t>
        </is>
      </c>
      <c r="D1128" s="10" t="inlineStr">
        <is>
          <t>Reducing Sugars</t>
        </is>
      </c>
      <c r="E1128" s="10">
        <f>IF(A1128="","",A1128&amp;"|"&amp;D1128)</f>
        <v/>
      </c>
      <c r="F1128" s="5" t="inlineStr">
        <is>
          <t>Y</t>
        </is>
      </c>
      <c r="G1128" s="5" t="inlineStr">
        <is>
          <t>Other / bench</t>
        </is>
      </c>
      <c r="H1128" s="5" t="inlineStr">
        <is>
          <t>Low</t>
        </is>
      </c>
      <c r="I1128" s="5" t="n">
        <v>1</v>
      </c>
      <c r="J1128" s="5" t="n"/>
      <c r="K1128" s="10">
        <f>IFERROR(IF(INDEX('Test catalog'!$F$2:$F$200,MATCH($AB1128,'Test catalog'!$A$2:$A$200,0))="","",INDEX('Test catalog'!$F$2:$F$200,MATCH($AB1128,'Test catalog'!$A$2:$A$200,0))),"")</f>
        <v/>
      </c>
      <c r="L1128" s="10">
        <f>IFERROR(IF(INDEX('Test catalog'!$G$2:$G$200,MATCH($AB1128,'Test catalog'!$A$2:$A$200,0))="","",INDEX('Test catalog'!$G$2:$G$200,MATCH($AB1128,'Test catalog'!$A$2:$A$200,0))),"")</f>
        <v/>
      </c>
      <c r="M1128" s="10">
        <f>IFERROR(IF(INDEX('Test catalog'!$H$2:$H$200,MATCH($AB1128,'Test catalog'!$A$2:$A$200,0))="","",INDEX('Test catalog'!$H$2:$H$200,MATCH($AB1128,'Test catalog'!$A$2:$A$200,0))),"")</f>
        <v/>
      </c>
      <c r="N1128" s="10">
        <f>IFERROR(IF(INDEX('Test catalog'!$I$2:$I$200,MATCH($AB1128,'Test catalog'!$A$2:$A$200,0))="","",INDEX('Test catalog'!$I$2:$I$200,MATCH($AB1128,'Test catalog'!$A$2:$A$200,0))),"")</f>
        <v/>
      </c>
      <c r="O1128" s="10">
        <f>IFERROR(IF(INDEX('Test catalog'!$J$2:$J$200,MATCH($AB1128,'Test catalog'!$A$2:$A$200,0))="","",INDEX('Test catalog'!$J$2:$J$200,MATCH($AB1128,'Test catalog'!$A$2:$A$200,0))),"")</f>
        <v/>
      </c>
      <c r="P1128" s="14">
        <f>IF(N1128="","",IF(OR(M1128="",O1128=""),N1128,(M1128+4*N1128+O1128)/6))</f>
        <v/>
      </c>
      <c r="Q1128" s="10">
        <f>IFERROR(IF(INDEX('Test catalog'!$K$2:$K$200,MATCH($AB1128,'Test catalog'!$A$2:$A$200,0))="","",INDEX('Test catalog'!$K$2:$K$200,MATCH($AB1128,'Test catalog'!$A$2:$A$200,0))),"")</f>
        <v/>
      </c>
      <c r="R1128" s="5" t="n"/>
      <c r="S1128" s="10">
        <f>IFERROR(IF(INDEX('Test catalog'!$L$2:$L$200,MATCH($AB1128,'Test catalog'!$A$2:$A$200,0))="","",INDEX('Test catalog'!$L$2:$L$200,MATCH($AB1128,'Test catalog'!$A$2:$A$200,0))),"")</f>
        <v/>
      </c>
      <c r="T1128" s="10">
        <f>IFERROR(IF(INDEX('Test catalog'!$M$2:$M$200,MATCH($AB1128,'Test catalog'!$A$2:$A$200,0))="","",INDEX('Test catalog'!$M$2:$M$200,MATCH($AB1128,'Test catalog'!$A$2:$A$200,0))),"")</f>
        <v/>
      </c>
      <c r="U1128" s="10">
        <f>IFERROR(IF(INDEX('Test catalog'!$N$2:$N$200,MATCH($AB1128,'Test catalog'!$A$2:$A$200,0))="","",INDEX('Test catalog'!$N$2:$N$200,MATCH($AB1128,'Test catalog'!$A$2:$A$200,0))),"")</f>
        <v/>
      </c>
      <c r="V1128" s="15" t="n"/>
      <c r="W1128" s="5" t="inlineStr">
        <is>
          <t>N</t>
        </is>
      </c>
      <c r="X1128" s="5" t="n"/>
      <c r="Y1128" s="5" t="n"/>
      <c r="Z1128" s="5" t="n"/>
      <c r="AA1128" s="10">
        <f>IFERROR(IF(INDEX('Test catalog'!$O$2:$O$200,MATCH($AB1128,'Test catalog'!$A$2:$A$200,0))="","",INDEX('Test catalog'!$O$2:$O$200,MATCH($AB1128,'Test catalog'!$A$2:$A$200,0))),"")</f>
        <v/>
      </c>
      <c r="AB1128" s="10" t="inlineStr">
        <is>
          <t>LIMIT</t>
        </is>
      </c>
      <c r="AC1128" s="10" t="inlineStr">
        <is>
          <t>Sucrose · Specific Tests</t>
        </is>
      </c>
      <c r="AD1128" s="10" t="n"/>
      <c r="AE1128" s="10" t="n"/>
    </row>
    <row r="1129">
      <c r="A1129" s="10" t="inlineStr">
        <is>
          <t>Sucrose</t>
        </is>
      </c>
      <c r="B1129" s="10" t="inlineStr">
        <is>
          <t>RM</t>
        </is>
      </c>
      <c r="C1129" s="10" t="inlineStr">
        <is>
          <t>Sweetener / Filler</t>
        </is>
      </c>
      <c r="D1129" s="10" t="inlineStr">
        <is>
          <t>Loss on Drying</t>
        </is>
      </c>
      <c r="E1129" s="10">
        <f>IF(A1129="","",A1129&amp;"|"&amp;D1129)</f>
        <v/>
      </c>
      <c r="F1129" s="5" t="inlineStr">
        <is>
          <t>Y</t>
        </is>
      </c>
      <c r="G1129" s="5" t="inlineStr">
        <is>
          <t>Other / bench</t>
        </is>
      </c>
      <c r="H1129" s="5" t="inlineStr">
        <is>
          <t>Low</t>
        </is>
      </c>
      <c r="I1129" s="5" t="n">
        <v>1</v>
      </c>
      <c r="J1129" s="5" t="n"/>
      <c r="K1129" s="10">
        <f>IFERROR(IF(INDEX('Test catalog'!$F$2:$F$200,MATCH($AB1129,'Test catalog'!$A$2:$A$200,0))="","",INDEX('Test catalog'!$F$2:$F$200,MATCH($AB1129,'Test catalog'!$A$2:$A$200,0))),"")</f>
        <v/>
      </c>
      <c r="L1129" s="10">
        <f>IFERROR(IF(INDEX('Test catalog'!$G$2:$G$200,MATCH($AB1129,'Test catalog'!$A$2:$A$200,0))="","",INDEX('Test catalog'!$G$2:$G$200,MATCH($AB1129,'Test catalog'!$A$2:$A$200,0))),"")</f>
        <v/>
      </c>
      <c r="M1129" s="10">
        <f>IFERROR(IF(INDEX('Test catalog'!$H$2:$H$200,MATCH($AB1129,'Test catalog'!$A$2:$A$200,0))="","",INDEX('Test catalog'!$H$2:$H$200,MATCH($AB1129,'Test catalog'!$A$2:$A$200,0))),"")</f>
        <v/>
      </c>
      <c r="N1129" s="10">
        <f>IFERROR(IF(INDEX('Test catalog'!$I$2:$I$200,MATCH($AB1129,'Test catalog'!$A$2:$A$200,0))="","",INDEX('Test catalog'!$I$2:$I$200,MATCH($AB1129,'Test catalog'!$A$2:$A$200,0))),"")</f>
        <v/>
      </c>
      <c r="O1129" s="10">
        <f>IFERROR(IF(INDEX('Test catalog'!$J$2:$J$200,MATCH($AB1129,'Test catalog'!$A$2:$A$200,0))="","",INDEX('Test catalog'!$J$2:$J$200,MATCH($AB1129,'Test catalog'!$A$2:$A$200,0))),"")</f>
        <v/>
      </c>
      <c r="P1129" s="14">
        <f>IF(N1129="","",IF(OR(M1129="",O1129=""),N1129,(M1129+4*N1129+O1129)/6))</f>
        <v/>
      </c>
      <c r="Q1129" s="10">
        <f>IFERROR(IF(INDEX('Test catalog'!$K$2:$K$200,MATCH($AB1129,'Test catalog'!$A$2:$A$200,0))="","",INDEX('Test catalog'!$K$2:$K$200,MATCH($AB1129,'Test catalog'!$A$2:$A$200,0))),"")</f>
        <v/>
      </c>
      <c r="R1129" s="5" t="n"/>
      <c r="S1129" s="10">
        <f>IFERROR(IF(INDEX('Test catalog'!$L$2:$L$200,MATCH($AB1129,'Test catalog'!$A$2:$A$200,0))="","",INDEX('Test catalog'!$L$2:$L$200,MATCH($AB1129,'Test catalog'!$A$2:$A$200,0))),"")</f>
        <v/>
      </c>
      <c r="T1129" s="10">
        <f>IFERROR(IF(INDEX('Test catalog'!$M$2:$M$200,MATCH($AB1129,'Test catalog'!$A$2:$A$200,0))="","",INDEX('Test catalog'!$M$2:$M$200,MATCH($AB1129,'Test catalog'!$A$2:$A$200,0))),"")</f>
        <v/>
      </c>
      <c r="U1129" s="10">
        <f>IFERROR(IF(INDEX('Test catalog'!$N$2:$N$200,MATCH($AB1129,'Test catalog'!$A$2:$A$200,0))="","",INDEX('Test catalog'!$N$2:$N$200,MATCH($AB1129,'Test catalog'!$A$2:$A$200,0))),"")</f>
        <v/>
      </c>
      <c r="V1129" s="15" t="n"/>
      <c r="W1129" s="5" t="inlineStr">
        <is>
          <t>N</t>
        </is>
      </c>
      <c r="X1129" s="5" t="n"/>
      <c r="Y1129" s="5" t="n"/>
      <c r="Z1129" s="5" t="n"/>
      <c r="AA1129" s="10">
        <f>IFERROR(IF(INDEX('Test catalog'!$O$2:$O$200,MATCH($AB1129,'Test catalog'!$A$2:$A$200,0))="","",INDEX('Test catalog'!$O$2:$O$200,MATCH($AB1129,'Test catalog'!$A$2:$A$200,0))),"")</f>
        <v/>
      </c>
      <c r="AB1129" s="10" t="inlineStr">
        <is>
          <t>LOD</t>
        </is>
      </c>
      <c r="AC1129" s="10" t="inlineStr">
        <is>
          <t>Sucrose · Specific Tests &lt;731&gt;</t>
        </is>
      </c>
      <c r="AD1129" s="10" t="n"/>
      <c r="AE1129" s="10" t="n"/>
    </row>
    <row r="1130">
      <c r="A1130" s="10" t="inlineStr">
        <is>
          <t>Citric Acid</t>
        </is>
      </c>
      <c r="B1130" s="10" t="inlineStr">
        <is>
          <t>RM</t>
        </is>
      </c>
      <c r="C1130" s="10" t="inlineStr">
        <is>
          <t>pH Modifier / Buffer</t>
        </is>
      </c>
      <c r="D1130" s="10" t="inlineStr">
        <is>
          <t>Appearance / description and solubility</t>
        </is>
      </c>
      <c r="E1130" s="10">
        <f>IF(A1130="","",A1130&amp;"|"&amp;D1130)</f>
        <v/>
      </c>
      <c r="F1130" s="5" t="inlineStr">
        <is>
          <t>Y</t>
        </is>
      </c>
      <c r="G1130" s="5" t="inlineStr">
        <is>
          <t>Other / bench</t>
        </is>
      </c>
      <c r="H1130" s="5" t="inlineStr">
        <is>
          <t>Low</t>
        </is>
      </c>
      <c r="I1130" s="5" t="n">
        <v>1</v>
      </c>
      <c r="J1130" s="5" t="n"/>
      <c r="K1130" s="10">
        <f>IFERROR(IF(INDEX('Test catalog'!$F$2:$F$200,MATCH($AB1130,'Test catalog'!$A$2:$A$200,0))="","",INDEX('Test catalog'!$F$2:$F$200,MATCH($AB1130,'Test catalog'!$A$2:$A$200,0))),"")</f>
        <v/>
      </c>
      <c r="L1130" s="10">
        <f>IFERROR(IF(INDEX('Test catalog'!$G$2:$G$200,MATCH($AB1130,'Test catalog'!$A$2:$A$200,0))="","",INDEX('Test catalog'!$G$2:$G$200,MATCH($AB1130,'Test catalog'!$A$2:$A$200,0))),"")</f>
        <v/>
      </c>
      <c r="M1130" s="10">
        <f>IFERROR(IF(INDEX('Test catalog'!$H$2:$H$200,MATCH($AB1130,'Test catalog'!$A$2:$A$200,0))="","",INDEX('Test catalog'!$H$2:$H$200,MATCH($AB1130,'Test catalog'!$A$2:$A$200,0))),"")</f>
        <v/>
      </c>
      <c r="N1130" s="10">
        <f>IFERROR(IF(INDEX('Test catalog'!$I$2:$I$200,MATCH($AB1130,'Test catalog'!$A$2:$A$200,0))="","",INDEX('Test catalog'!$I$2:$I$200,MATCH($AB1130,'Test catalog'!$A$2:$A$200,0))),"")</f>
        <v/>
      </c>
      <c r="O1130" s="10">
        <f>IFERROR(IF(INDEX('Test catalog'!$J$2:$J$200,MATCH($AB1130,'Test catalog'!$A$2:$A$200,0))="","",INDEX('Test catalog'!$J$2:$J$200,MATCH($AB1130,'Test catalog'!$A$2:$A$200,0))),"")</f>
        <v/>
      </c>
      <c r="P1130" s="14">
        <f>IF(N1130="","",IF(OR(M1130="",O1130=""),N1130,(M1130+4*N1130+O1130)/6))</f>
        <v/>
      </c>
      <c r="Q1130" s="10">
        <f>IFERROR(IF(INDEX('Test catalog'!$K$2:$K$200,MATCH($AB1130,'Test catalog'!$A$2:$A$200,0))="","",INDEX('Test catalog'!$K$2:$K$200,MATCH($AB1130,'Test catalog'!$A$2:$A$200,0))),"")</f>
        <v/>
      </c>
      <c r="R1130" s="5" t="n"/>
      <c r="S1130" s="10">
        <f>IFERROR(IF(INDEX('Test catalog'!$L$2:$L$200,MATCH($AB1130,'Test catalog'!$A$2:$A$200,0))="","",INDEX('Test catalog'!$L$2:$L$200,MATCH($AB1130,'Test catalog'!$A$2:$A$200,0))),"")</f>
        <v/>
      </c>
      <c r="T1130" s="10">
        <f>IFERROR(IF(INDEX('Test catalog'!$M$2:$M$200,MATCH($AB1130,'Test catalog'!$A$2:$A$200,0))="","",INDEX('Test catalog'!$M$2:$M$200,MATCH($AB1130,'Test catalog'!$A$2:$A$200,0))),"")</f>
        <v/>
      </c>
      <c r="U1130" s="10">
        <f>IFERROR(IF(INDEX('Test catalog'!$N$2:$N$200,MATCH($AB1130,'Test catalog'!$A$2:$A$200,0))="","",INDEX('Test catalog'!$N$2:$N$200,MATCH($AB1130,'Test catalog'!$A$2:$A$200,0))),"")</f>
        <v/>
      </c>
      <c r="V1130" s="15" t="n"/>
      <c r="W1130" s="5" t="inlineStr">
        <is>
          <t>N</t>
        </is>
      </c>
      <c r="X1130" s="5" t="n"/>
      <c r="Y1130" s="5" t="n"/>
      <c r="Z1130" s="5" t="n"/>
      <c r="AA1130" s="10">
        <f>IFERROR(IF(INDEX('Test catalog'!$O$2:$O$200,MATCH($AB1130,'Test catalog'!$A$2:$A$200,0))="","",INDEX('Test catalog'!$O$2:$O$200,MATCH($AB1130,'Test catalog'!$A$2:$A$200,0))),"")</f>
        <v/>
      </c>
      <c r="AB1130" s="10" t="inlineStr">
        <is>
          <t>APPEAR</t>
        </is>
      </c>
      <c r="AC1130" s="10" t="inlineStr">
        <is>
          <t>Lab practice (not a USP test)</t>
        </is>
      </c>
      <c r="AD1130" s="10" t="n"/>
      <c r="AE1130" s="10" t="n"/>
    </row>
    <row r="1131">
      <c r="A1131" s="10" t="inlineStr">
        <is>
          <t>Citric Acid</t>
        </is>
      </c>
      <c r="B1131" s="10" t="inlineStr">
        <is>
          <t>RM</t>
        </is>
      </c>
      <c r="C1131" s="10" t="inlineStr">
        <is>
          <t>pH Modifier / Buffer</t>
        </is>
      </c>
      <c r="D1131" s="10" t="inlineStr">
        <is>
          <t>ID A - IR spectrum</t>
        </is>
      </c>
      <c r="E1131" s="10">
        <f>IF(A1131="","",A1131&amp;"|"&amp;D1131)</f>
        <v/>
      </c>
      <c r="F1131" s="5" t="inlineStr">
        <is>
          <t>Y</t>
        </is>
      </c>
      <c r="G1131" s="5" t="inlineStr">
        <is>
          <t>Other / bench</t>
        </is>
      </c>
      <c r="H1131" s="5" t="inlineStr">
        <is>
          <t>Low</t>
        </is>
      </c>
      <c r="I1131" s="5" t="n">
        <v>1</v>
      </c>
      <c r="J1131" s="5" t="n"/>
      <c r="K1131" s="10">
        <f>IFERROR(IF(INDEX('Test catalog'!$F$2:$F$200,MATCH($AB1131,'Test catalog'!$A$2:$A$200,0))="","",INDEX('Test catalog'!$F$2:$F$200,MATCH($AB1131,'Test catalog'!$A$2:$A$200,0))),"")</f>
        <v/>
      </c>
      <c r="L1131" s="10">
        <f>IFERROR(IF(INDEX('Test catalog'!$G$2:$G$200,MATCH($AB1131,'Test catalog'!$A$2:$A$200,0))="","",INDEX('Test catalog'!$G$2:$G$200,MATCH($AB1131,'Test catalog'!$A$2:$A$200,0))),"")</f>
        <v/>
      </c>
      <c r="M1131" s="10">
        <f>IFERROR(IF(INDEX('Test catalog'!$H$2:$H$200,MATCH($AB1131,'Test catalog'!$A$2:$A$200,0))="","",INDEX('Test catalog'!$H$2:$H$200,MATCH($AB1131,'Test catalog'!$A$2:$A$200,0))),"")</f>
        <v/>
      </c>
      <c r="N1131" s="10">
        <f>IFERROR(IF(INDEX('Test catalog'!$I$2:$I$200,MATCH($AB1131,'Test catalog'!$A$2:$A$200,0))="","",INDEX('Test catalog'!$I$2:$I$200,MATCH($AB1131,'Test catalog'!$A$2:$A$200,0))),"")</f>
        <v/>
      </c>
      <c r="O1131" s="10">
        <f>IFERROR(IF(INDEX('Test catalog'!$J$2:$J$200,MATCH($AB1131,'Test catalog'!$A$2:$A$200,0))="","",INDEX('Test catalog'!$J$2:$J$200,MATCH($AB1131,'Test catalog'!$A$2:$A$200,0))),"")</f>
        <v/>
      </c>
      <c r="P1131" s="14">
        <f>IF(N1131="","",IF(OR(M1131="",O1131=""),N1131,(M1131+4*N1131+O1131)/6))</f>
        <v/>
      </c>
      <c r="Q1131" s="10">
        <f>IFERROR(IF(INDEX('Test catalog'!$K$2:$K$200,MATCH($AB1131,'Test catalog'!$A$2:$A$200,0))="","",INDEX('Test catalog'!$K$2:$K$200,MATCH($AB1131,'Test catalog'!$A$2:$A$200,0))),"")</f>
        <v/>
      </c>
      <c r="R1131" s="5" t="n"/>
      <c r="S1131" s="10">
        <f>IFERROR(IF(INDEX('Test catalog'!$L$2:$L$200,MATCH($AB1131,'Test catalog'!$A$2:$A$200,0))="","",INDEX('Test catalog'!$L$2:$L$200,MATCH($AB1131,'Test catalog'!$A$2:$A$200,0))),"")</f>
        <v/>
      </c>
      <c r="T1131" s="10">
        <f>IFERROR(IF(INDEX('Test catalog'!$M$2:$M$200,MATCH($AB1131,'Test catalog'!$A$2:$A$200,0))="","",INDEX('Test catalog'!$M$2:$M$200,MATCH($AB1131,'Test catalog'!$A$2:$A$200,0))),"")</f>
        <v/>
      </c>
      <c r="U1131" s="10">
        <f>IFERROR(IF(INDEX('Test catalog'!$N$2:$N$200,MATCH($AB1131,'Test catalog'!$A$2:$A$200,0))="","",INDEX('Test catalog'!$N$2:$N$200,MATCH($AB1131,'Test catalog'!$A$2:$A$200,0))),"")</f>
        <v/>
      </c>
      <c r="V1131" s="15" t="n"/>
      <c r="W1131" s="5" t="inlineStr">
        <is>
          <t>N</t>
        </is>
      </c>
      <c r="X1131" s="5" t="n"/>
      <c r="Y1131" s="5" t="n"/>
      <c r="Z1131" s="5" t="n"/>
      <c r="AA1131" s="10">
        <f>IFERROR(IF(INDEX('Test catalog'!$O$2:$O$200,MATCH($AB1131,'Test catalog'!$A$2:$A$200,0))="","",INDEX('Test catalog'!$O$2:$O$200,MATCH($AB1131,'Test catalog'!$A$2:$A$200,0))),"")</f>
        <v/>
      </c>
      <c r="AB1131" s="10" t="inlineStr">
        <is>
          <t>ID_IR</t>
        </is>
      </c>
      <c r="AC1131" s="10" t="inlineStr">
        <is>
          <t>Citric Acid Monohydrate · Identification &lt;197&gt;</t>
        </is>
      </c>
      <c r="AD1131" s="10" t="n"/>
      <c r="AE1131" s="10" t="n"/>
    </row>
    <row r="1132">
      <c r="A1132" s="10" t="inlineStr">
        <is>
          <t>Citric Acid</t>
        </is>
      </c>
      <c r="B1132" s="10" t="inlineStr">
        <is>
          <t>RM</t>
        </is>
      </c>
      <c r="C1132" s="10" t="inlineStr">
        <is>
          <t>pH Modifier / Buffer</t>
        </is>
      </c>
      <c r="D1132" s="10" t="inlineStr">
        <is>
          <t>Assay</t>
        </is>
      </c>
      <c r="E1132" s="10">
        <f>IF(A1132="","",A1132&amp;"|"&amp;D1132)</f>
        <v/>
      </c>
      <c r="F1132" s="5" t="inlineStr">
        <is>
          <t>Y</t>
        </is>
      </c>
      <c r="G1132" s="5" t="inlineStr">
        <is>
          <t>Other / bench</t>
        </is>
      </c>
      <c r="H1132" s="5" t="inlineStr">
        <is>
          <t>Low</t>
        </is>
      </c>
      <c r="I1132" s="5" t="n">
        <v>1</v>
      </c>
      <c r="J1132" s="5" t="n"/>
      <c r="K1132" s="10">
        <f>IFERROR(IF(INDEX('Test catalog'!$F$2:$F$200,MATCH($AB1132,'Test catalog'!$A$2:$A$200,0))="","",INDEX('Test catalog'!$F$2:$F$200,MATCH($AB1132,'Test catalog'!$A$2:$A$200,0))),"")</f>
        <v/>
      </c>
      <c r="L1132" s="10">
        <f>IFERROR(IF(INDEX('Test catalog'!$G$2:$G$200,MATCH($AB1132,'Test catalog'!$A$2:$A$200,0))="","",INDEX('Test catalog'!$G$2:$G$200,MATCH($AB1132,'Test catalog'!$A$2:$A$200,0))),"")</f>
        <v/>
      </c>
      <c r="M1132" s="10">
        <f>IFERROR(IF(INDEX('Test catalog'!$H$2:$H$200,MATCH($AB1132,'Test catalog'!$A$2:$A$200,0))="","",INDEX('Test catalog'!$H$2:$H$200,MATCH($AB1132,'Test catalog'!$A$2:$A$200,0))),"")</f>
        <v/>
      </c>
      <c r="N1132" s="10">
        <f>IFERROR(IF(INDEX('Test catalog'!$I$2:$I$200,MATCH($AB1132,'Test catalog'!$A$2:$A$200,0))="","",INDEX('Test catalog'!$I$2:$I$200,MATCH($AB1132,'Test catalog'!$A$2:$A$200,0))),"")</f>
        <v/>
      </c>
      <c r="O1132" s="10">
        <f>IFERROR(IF(INDEX('Test catalog'!$J$2:$J$200,MATCH($AB1132,'Test catalog'!$A$2:$A$200,0))="","",INDEX('Test catalog'!$J$2:$J$200,MATCH($AB1132,'Test catalog'!$A$2:$A$200,0))),"")</f>
        <v/>
      </c>
      <c r="P1132" s="14">
        <f>IF(N1132="","",IF(OR(M1132="",O1132=""),N1132,(M1132+4*N1132+O1132)/6))</f>
        <v/>
      </c>
      <c r="Q1132" s="10">
        <f>IFERROR(IF(INDEX('Test catalog'!$K$2:$K$200,MATCH($AB1132,'Test catalog'!$A$2:$A$200,0))="","",INDEX('Test catalog'!$K$2:$K$200,MATCH($AB1132,'Test catalog'!$A$2:$A$200,0))),"")</f>
        <v/>
      </c>
      <c r="R1132" s="5" t="n"/>
      <c r="S1132" s="10">
        <f>IFERROR(IF(INDEX('Test catalog'!$L$2:$L$200,MATCH($AB1132,'Test catalog'!$A$2:$A$200,0))="","",INDEX('Test catalog'!$L$2:$L$200,MATCH($AB1132,'Test catalog'!$A$2:$A$200,0))),"")</f>
        <v/>
      </c>
      <c r="T1132" s="10">
        <f>IFERROR(IF(INDEX('Test catalog'!$M$2:$M$200,MATCH($AB1132,'Test catalog'!$A$2:$A$200,0))="","",INDEX('Test catalog'!$M$2:$M$200,MATCH($AB1132,'Test catalog'!$A$2:$A$200,0))),"")</f>
        <v/>
      </c>
      <c r="U1132" s="10">
        <f>IFERROR(IF(INDEX('Test catalog'!$N$2:$N$200,MATCH($AB1132,'Test catalog'!$A$2:$A$200,0))="","",INDEX('Test catalog'!$N$2:$N$200,MATCH($AB1132,'Test catalog'!$A$2:$A$200,0))),"")</f>
        <v/>
      </c>
      <c r="V1132" s="15" t="n"/>
      <c r="W1132" s="5" t="inlineStr">
        <is>
          <t>N</t>
        </is>
      </c>
      <c r="X1132" s="5" t="n"/>
      <c r="Y1132" s="5" t="n"/>
      <c r="Z1132" s="5" t="n"/>
      <c r="AA1132" s="10">
        <f>IFERROR(IF(INDEX('Test catalog'!$O$2:$O$200,MATCH($AB1132,'Test catalog'!$A$2:$A$200,0))="","",INDEX('Test catalog'!$O$2:$O$200,MATCH($AB1132,'Test catalog'!$A$2:$A$200,0))),"")</f>
        <v/>
      </c>
      <c r="AB1132" s="10" t="inlineStr">
        <is>
          <t>TITR</t>
        </is>
      </c>
      <c r="AC1132" s="10" t="inlineStr">
        <is>
          <t>Citric Acid Monohydrate · Assay</t>
        </is>
      </c>
      <c r="AD1132" s="10" t="n"/>
      <c r="AE1132" s="10" t="n"/>
    </row>
    <row r="1133">
      <c r="A1133" s="10" t="inlineStr">
        <is>
          <t>Citric Acid</t>
        </is>
      </c>
      <c r="B1133" s="10" t="inlineStr">
        <is>
          <t>RM</t>
        </is>
      </c>
      <c r="C1133" s="10" t="inlineStr">
        <is>
          <t>pH Modifier / Buffer</t>
        </is>
      </c>
      <c r="D1133" s="10" t="inlineStr">
        <is>
          <t>Residue on Ignition</t>
        </is>
      </c>
      <c r="E1133" s="10">
        <f>IF(A1133="","",A1133&amp;"|"&amp;D1133)</f>
        <v/>
      </c>
      <c r="F1133" s="5" t="inlineStr">
        <is>
          <t>Y</t>
        </is>
      </c>
      <c r="G1133" s="5" t="inlineStr">
        <is>
          <t>Other / bench</t>
        </is>
      </c>
      <c r="H1133" s="5" t="inlineStr">
        <is>
          <t>Low</t>
        </is>
      </c>
      <c r="I1133" s="5" t="n">
        <v>1</v>
      </c>
      <c r="J1133" s="5" t="n"/>
      <c r="K1133" s="10">
        <f>IFERROR(IF(INDEX('Test catalog'!$F$2:$F$200,MATCH($AB1133,'Test catalog'!$A$2:$A$200,0))="","",INDEX('Test catalog'!$F$2:$F$200,MATCH($AB1133,'Test catalog'!$A$2:$A$200,0))),"")</f>
        <v/>
      </c>
      <c r="L1133" s="10">
        <f>IFERROR(IF(INDEX('Test catalog'!$G$2:$G$200,MATCH($AB1133,'Test catalog'!$A$2:$A$200,0))="","",INDEX('Test catalog'!$G$2:$G$200,MATCH($AB1133,'Test catalog'!$A$2:$A$200,0))),"")</f>
        <v/>
      </c>
      <c r="M1133" s="10">
        <f>IFERROR(IF(INDEX('Test catalog'!$H$2:$H$200,MATCH($AB1133,'Test catalog'!$A$2:$A$200,0))="","",INDEX('Test catalog'!$H$2:$H$200,MATCH($AB1133,'Test catalog'!$A$2:$A$200,0))),"")</f>
        <v/>
      </c>
      <c r="N1133" s="10">
        <f>IFERROR(IF(INDEX('Test catalog'!$I$2:$I$200,MATCH($AB1133,'Test catalog'!$A$2:$A$200,0))="","",INDEX('Test catalog'!$I$2:$I$200,MATCH($AB1133,'Test catalog'!$A$2:$A$200,0))),"")</f>
        <v/>
      </c>
      <c r="O1133" s="10">
        <f>IFERROR(IF(INDEX('Test catalog'!$J$2:$J$200,MATCH($AB1133,'Test catalog'!$A$2:$A$200,0))="","",INDEX('Test catalog'!$J$2:$J$200,MATCH($AB1133,'Test catalog'!$A$2:$A$200,0))),"")</f>
        <v/>
      </c>
      <c r="P1133" s="14">
        <f>IF(N1133="","",IF(OR(M1133="",O1133=""),N1133,(M1133+4*N1133+O1133)/6))</f>
        <v/>
      </c>
      <c r="Q1133" s="10">
        <f>IFERROR(IF(INDEX('Test catalog'!$K$2:$K$200,MATCH($AB1133,'Test catalog'!$A$2:$A$200,0))="","",INDEX('Test catalog'!$K$2:$K$200,MATCH($AB1133,'Test catalog'!$A$2:$A$200,0))),"")</f>
        <v/>
      </c>
      <c r="R1133" s="5" t="n"/>
      <c r="S1133" s="10">
        <f>IFERROR(IF(INDEX('Test catalog'!$L$2:$L$200,MATCH($AB1133,'Test catalog'!$A$2:$A$200,0))="","",INDEX('Test catalog'!$L$2:$L$200,MATCH($AB1133,'Test catalog'!$A$2:$A$200,0))),"")</f>
        <v/>
      </c>
      <c r="T1133" s="10">
        <f>IFERROR(IF(INDEX('Test catalog'!$M$2:$M$200,MATCH($AB1133,'Test catalog'!$A$2:$A$200,0))="","",INDEX('Test catalog'!$M$2:$M$200,MATCH($AB1133,'Test catalog'!$A$2:$A$200,0))),"")</f>
        <v/>
      </c>
      <c r="U1133" s="10">
        <f>IFERROR(IF(INDEX('Test catalog'!$N$2:$N$200,MATCH($AB1133,'Test catalog'!$A$2:$A$200,0))="","",INDEX('Test catalog'!$N$2:$N$200,MATCH($AB1133,'Test catalog'!$A$2:$A$200,0))),"")</f>
        <v/>
      </c>
      <c r="V1133" s="15" t="n"/>
      <c r="W1133" s="5" t="inlineStr">
        <is>
          <t>N</t>
        </is>
      </c>
      <c r="X1133" s="5" t="n"/>
      <c r="Y1133" s="5" t="n"/>
      <c r="Z1133" s="5" t="n"/>
      <c r="AA1133" s="10">
        <f>IFERROR(IF(INDEX('Test catalog'!$O$2:$O$200,MATCH($AB1133,'Test catalog'!$A$2:$A$200,0))="","",INDEX('Test catalog'!$O$2:$O$200,MATCH($AB1133,'Test catalog'!$A$2:$A$200,0))),"")</f>
        <v/>
      </c>
      <c r="AB1133" s="10" t="inlineStr">
        <is>
          <t>ROI</t>
        </is>
      </c>
      <c r="AC1133" s="10" t="inlineStr">
        <is>
          <t>Citric Acid Monohydrate · Impurities &lt;281&gt;</t>
        </is>
      </c>
      <c r="AD1133" s="10" t="n"/>
      <c r="AE1133" s="10" t="n"/>
    </row>
    <row r="1134">
      <c r="A1134" s="10" t="inlineStr">
        <is>
          <t>Citric Acid</t>
        </is>
      </c>
      <c r="B1134" s="10" t="inlineStr">
        <is>
          <t>RM</t>
        </is>
      </c>
      <c r="C1134" s="10" t="inlineStr">
        <is>
          <t>pH Modifier / Buffer</t>
        </is>
      </c>
      <c r="D1134" s="10" t="inlineStr">
        <is>
          <t>Sulfate</t>
        </is>
      </c>
      <c r="E1134" s="10">
        <f>IF(A1134="","",A1134&amp;"|"&amp;D1134)</f>
        <v/>
      </c>
      <c r="F1134" s="5" t="inlineStr">
        <is>
          <t>Y</t>
        </is>
      </c>
      <c r="G1134" s="5" t="inlineStr">
        <is>
          <t>Other / bench</t>
        </is>
      </c>
      <c r="H1134" s="5" t="inlineStr">
        <is>
          <t>Low</t>
        </is>
      </c>
      <c r="I1134" s="5" t="n">
        <v>1</v>
      </c>
      <c r="J1134" s="5" t="n"/>
      <c r="K1134" s="10">
        <f>IFERROR(IF(INDEX('Test catalog'!$F$2:$F$200,MATCH($AB1134,'Test catalog'!$A$2:$A$200,0))="","",INDEX('Test catalog'!$F$2:$F$200,MATCH($AB1134,'Test catalog'!$A$2:$A$200,0))),"")</f>
        <v/>
      </c>
      <c r="L1134" s="10">
        <f>IFERROR(IF(INDEX('Test catalog'!$G$2:$G$200,MATCH($AB1134,'Test catalog'!$A$2:$A$200,0))="","",INDEX('Test catalog'!$G$2:$G$200,MATCH($AB1134,'Test catalog'!$A$2:$A$200,0))),"")</f>
        <v/>
      </c>
      <c r="M1134" s="10">
        <f>IFERROR(IF(INDEX('Test catalog'!$H$2:$H$200,MATCH($AB1134,'Test catalog'!$A$2:$A$200,0))="","",INDEX('Test catalog'!$H$2:$H$200,MATCH($AB1134,'Test catalog'!$A$2:$A$200,0))),"")</f>
        <v/>
      </c>
      <c r="N1134" s="10">
        <f>IFERROR(IF(INDEX('Test catalog'!$I$2:$I$200,MATCH($AB1134,'Test catalog'!$A$2:$A$200,0))="","",INDEX('Test catalog'!$I$2:$I$200,MATCH($AB1134,'Test catalog'!$A$2:$A$200,0))),"")</f>
        <v/>
      </c>
      <c r="O1134" s="10">
        <f>IFERROR(IF(INDEX('Test catalog'!$J$2:$J$200,MATCH($AB1134,'Test catalog'!$A$2:$A$200,0))="","",INDEX('Test catalog'!$J$2:$J$200,MATCH($AB1134,'Test catalog'!$A$2:$A$200,0))),"")</f>
        <v/>
      </c>
      <c r="P1134" s="14">
        <f>IF(N1134="","",IF(OR(M1134="",O1134=""),N1134,(M1134+4*N1134+O1134)/6))</f>
        <v/>
      </c>
      <c r="Q1134" s="10">
        <f>IFERROR(IF(INDEX('Test catalog'!$K$2:$K$200,MATCH($AB1134,'Test catalog'!$A$2:$A$200,0))="","",INDEX('Test catalog'!$K$2:$K$200,MATCH($AB1134,'Test catalog'!$A$2:$A$200,0))),"")</f>
        <v/>
      </c>
      <c r="R1134" s="5" t="n"/>
      <c r="S1134" s="10">
        <f>IFERROR(IF(INDEX('Test catalog'!$L$2:$L$200,MATCH($AB1134,'Test catalog'!$A$2:$A$200,0))="","",INDEX('Test catalog'!$L$2:$L$200,MATCH($AB1134,'Test catalog'!$A$2:$A$200,0))),"")</f>
        <v/>
      </c>
      <c r="T1134" s="10">
        <f>IFERROR(IF(INDEX('Test catalog'!$M$2:$M$200,MATCH($AB1134,'Test catalog'!$A$2:$A$200,0))="","",INDEX('Test catalog'!$M$2:$M$200,MATCH($AB1134,'Test catalog'!$A$2:$A$200,0))),"")</f>
        <v/>
      </c>
      <c r="U1134" s="10">
        <f>IFERROR(IF(INDEX('Test catalog'!$N$2:$N$200,MATCH($AB1134,'Test catalog'!$A$2:$A$200,0))="","",INDEX('Test catalog'!$N$2:$N$200,MATCH($AB1134,'Test catalog'!$A$2:$A$200,0))),"")</f>
        <v/>
      </c>
      <c r="V1134" s="15" t="n"/>
      <c r="W1134" s="5" t="inlineStr">
        <is>
          <t>N</t>
        </is>
      </c>
      <c r="X1134" s="5" t="n"/>
      <c r="Y1134" s="5" t="n"/>
      <c r="Z1134" s="5" t="n"/>
      <c r="AA1134" s="10">
        <f>IFERROR(IF(INDEX('Test catalog'!$O$2:$O$200,MATCH($AB1134,'Test catalog'!$A$2:$A$200,0))="","",INDEX('Test catalog'!$O$2:$O$200,MATCH($AB1134,'Test catalog'!$A$2:$A$200,0))),"")</f>
        <v/>
      </c>
      <c r="AB1134" s="10" t="inlineStr">
        <is>
          <t>LIMIT</t>
        </is>
      </c>
      <c r="AC1134" s="10" t="inlineStr">
        <is>
          <t>Citric Acid Monohydrate · Impurities</t>
        </is>
      </c>
      <c r="AD1134" s="10" t="n"/>
      <c r="AE1134" s="10" t="n"/>
    </row>
    <row r="1135">
      <c r="A1135" s="10" t="inlineStr">
        <is>
          <t>Citric Acid</t>
        </is>
      </c>
      <c r="B1135" s="10" t="inlineStr">
        <is>
          <t>RM</t>
        </is>
      </c>
      <c r="C1135" s="10" t="inlineStr">
        <is>
          <t>pH Modifier / Buffer</t>
        </is>
      </c>
      <c r="D1135" s="10" t="inlineStr">
        <is>
          <t>Limit of Aluminum (where it is labeled as intended for use in dialysis)</t>
        </is>
      </c>
      <c r="E1135" s="10">
        <f>IF(A1135="","",A1135&amp;"|"&amp;D1135)</f>
        <v/>
      </c>
      <c r="F1135" s="5" t="inlineStr">
        <is>
          <t>N</t>
        </is>
      </c>
      <c r="G1135" s="5" t="inlineStr">
        <is>
          <t>UV-Vis</t>
        </is>
      </c>
      <c r="H1135" s="5" t="inlineStr">
        <is>
          <t>Low</t>
        </is>
      </c>
      <c r="I1135" s="5" t="n">
        <v>1</v>
      </c>
      <c r="J1135" s="5" t="n"/>
      <c r="K1135" s="10">
        <f>IFERROR(IF(INDEX('Test catalog'!$F$2:$F$200,MATCH($AB1135,'Test catalog'!$A$2:$A$200,0))="","",INDEX('Test catalog'!$F$2:$F$200,MATCH($AB1135,'Test catalog'!$A$2:$A$200,0))),"")</f>
        <v/>
      </c>
      <c r="L1135" s="10">
        <f>IFERROR(IF(INDEX('Test catalog'!$G$2:$G$200,MATCH($AB1135,'Test catalog'!$A$2:$A$200,0))="","",INDEX('Test catalog'!$G$2:$G$200,MATCH($AB1135,'Test catalog'!$A$2:$A$200,0))),"")</f>
        <v/>
      </c>
      <c r="M1135" s="10">
        <f>IFERROR(IF(INDEX('Test catalog'!$H$2:$H$200,MATCH($AB1135,'Test catalog'!$A$2:$A$200,0))="","",INDEX('Test catalog'!$H$2:$H$200,MATCH($AB1135,'Test catalog'!$A$2:$A$200,0))),"")</f>
        <v/>
      </c>
      <c r="N1135" s="10">
        <f>IFERROR(IF(INDEX('Test catalog'!$I$2:$I$200,MATCH($AB1135,'Test catalog'!$A$2:$A$200,0))="","",INDEX('Test catalog'!$I$2:$I$200,MATCH($AB1135,'Test catalog'!$A$2:$A$200,0))),"")</f>
        <v/>
      </c>
      <c r="O1135" s="10">
        <f>IFERROR(IF(INDEX('Test catalog'!$J$2:$J$200,MATCH($AB1135,'Test catalog'!$A$2:$A$200,0))="","",INDEX('Test catalog'!$J$2:$J$200,MATCH($AB1135,'Test catalog'!$A$2:$A$200,0))),"")</f>
        <v/>
      </c>
      <c r="P1135" s="14">
        <f>IF(N1135="","",IF(OR(M1135="",O1135=""),N1135,(M1135+4*N1135+O1135)/6))</f>
        <v/>
      </c>
      <c r="Q1135" s="10">
        <f>IFERROR(IF(INDEX('Test catalog'!$K$2:$K$200,MATCH($AB1135,'Test catalog'!$A$2:$A$200,0))="","",INDEX('Test catalog'!$K$2:$K$200,MATCH($AB1135,'Test catalog'!$A$2:$A$200,0))),"")</f>
        <v/>
      </c>
      <c r="R1135" s="5" t="n"/>
      <c r="S1135" s="10">
        <f>IFERROR(IF(INDEX('Test catalog'!$L$2:$L$200,MATCH($AB1135,'Test catalog'!$A$2:$A$200,0))="","",INDEX('Test catalog'!$L$2:$L$200,MATCH($AB1135,'Test catalog'!$A$2:$A$200,0))),"")</f>
        <v/>
      </c>
      <c r="T1135" s="10">
        <f>IFERROR(IF(INDEX('Test catalog'!$M$2:$M$200,MATCH($AB1135,'Test catalog'!$A$2:$A$200,0))="","",INDEX('Test catalog'!$M$2:$M$200,MATCH($AB1135,'Test catalog'!$A$2:$A$200,0))),"")</f>
        <v/>
      </c>
      <c r="U1135" s="10">
        <f>IFERROR(IF(INDEX('Test catalog'!$N$2:$N$200,MATCH($AB1135,'Test catalog'!$A$2:$A$200,0))="","",INDEX('Test catalog'!$N$2:$N$200,MATCH($AB1135,'Test catalog'!$A$2:$A$200,0))),"")</f>
        <v/>
      </c>
      <c r="V1135" s="15" t="n"/>
      <c r="W1135" s="5" t="inlineStr">
        <is>
          <t>N</t>
        </is>
      </c>
      <c r="X1135" s="5" t="n"/>
      <c r="Y1135" s="5" t="n"/>
      <c r="Z1135" s="5" t="inlineStr">
        <is>
          <t>Only for some grades/labels - check your supplier grade</t>
        </is>
      </c>
      <c r="AA1135" s="10">
        <f>IFERROR(IF(INDEX('Test catalog'!$O$2:$O$200,MATCH($AB1135,'Test catalog'!$A$2:$A$200,0))="","",INDEX('Test catalog'!$O$2:$O$200,MATCH($AB1135,'Test catalog'!$A$2:$A$200,0))),"")</f>
        <v/>
      </c>
      <c r="AB1135" s="10" t="inlineStr">
        <is>
          <t>UV</t>
        </is>
      </c>
      <c r="AC1135" s="10" t="inlineStr">
        <is>
          <t>Citric Acid Monohydrate · Impurities</t>
        </is>
      </c>
      <c r="AD1135" s="10" t="n"/>
      <c r="AE1135" s="10" t="n"/>
    </row>
    <row r="1136">
      <c r="A1136" s="10" t="inlineStr">
        <is>
          <t>Citric Acid</t>
        </is>
      </c>
      <c r="B1136" s="10" t="inlineStr">
        <is>
          <t>RM</t>
        </is>
      </c>
      <c r="C1136" s="10" t="inlineStr">
        <is>
          <t>pH Modifier / Buffer</t>
        </is>
      </c>
      <c r="D1136" s="10" t="inlineStr">
        <is>
          <t>Limit of Oxalic Acid</t>
        </is>
      </c>
      <c r="E1136" s="10">
        <f>IF(A1136="","",A1136&amp;"|"&amp;D1136)</f>
        <v/>
      </c>
      <c r="F1136" s="5" t="inlineStr">
        <is>
          <t>Y</t>
        </is>
      </c>
      <c r="G1136" s="5" t="inlineStr">
        <is>
          <t>Other / bench</t>
        </is>
      </c>
      <c r="H1136" s="5" t="inlineStr">
        <is>
          <t>Low</t>
        </is>
      </c>
      <c r="I1136" s="5" t="n">
        <v>1</v>
      </c>
      <c r="J1136" s="5" t="n"/>
      <c r="K1136" s="10">
        <f>IFERROR(IF(INDEX('Test catalog'!$F$2:$F$200,MATCH($AB1136,'Test catalog'!$A$2:$A$200,0))="","",INDEX('Test catalog'!$F$2:$F$200,MATCH($AB1136,'Test catalog'!$A$2:$A$200,0))),"")</f>
        <v/>
      </c>
      <c r="L1136" s="10">
        <f>IFERROR(IF(INDEX('Test catalog'!$G$2:$G$200,MATCH($AB1136,'Test catalog'!$A$2:$A$200,0))="","",INDEX('Test catalog'!$G$2:$G$200,MATCH($AB1136,'Test catalog'!$A$2:$A$200,0))),"")</f>
        <v/>
      </c>
      <c r="M1136" s="10">
        <f>IFERROR(IF(INDEX('Test catalog'!$H$2:$H$200,MATCH($AB1136,'Test catalog'!$A$2:$A$200,0))="","",INDEX('Test catalog'!$H$2:$H$200,MATCH($AB1136,'Test catalog'!$A$2:$A$200,0))),"")</f>
        <v/>
      </c>
      <c r="N1136" s="10">
        <f>IFERROR(IF(INDEX('Test catalog'!$I$2:$I$200,MATCH($AB1136,'Test catalog'!$A$2:$A$200,0))="","",INDEX('Test catalog'!$I$2:$I$200,MATCH($AB1136,'Test catalog'!$A$2:$A$200,0))),"")</f>
        <v/>
      </c>
      <c r="O1136" s="10">
        <f>IFERROR(IF(INDEX('Test catalog'!$J$2:$J$200,MATCH($AB1136,'Test catalog'!$A$2:$A$200,0))="","",INDEX('Test catalog'!$J$2:$J$200,MATCH($AB1136,'Test catalog'!$A$2:$A$200,0))),"")</f>
        <v/>
      </c>
      <c r="P1136" s="14">
        <f>IF(N1136="","",IF(OR(M1136="",O1136=""),N1136,(M1136+4*N1136+O1136)/6))</f>
        <v/>
      </c>
      <c r="Q1136" s="10">
        <f>IFERROR(IF(INDEX('Test catalog'!$K$2:$K$200,MATCH($AB1136,'Test catalog'!$A$2:$A$200,0))="","",INDEX('Test catalog'!$K$2:$K$200,MATCH($AB1136,'Test catalog'!$A$2:$A$200,0))),"")</f>
        <v/>
      </c>
      <c r="R1136" s="5" t="n"/>
      <c r="S1136" s="10">
        <f>IFERROR(IF(INDEX('Test catalog'!$L$2:$L$200,MATCH($AB1136,'Test catalog'!$A$2:$A$200,0))="","",INDEX('Test catalog'!$L$2:$L$200,MATCH($AB1136,'Test catalog'!$A$2:$A$200,0))),"")</f>
        <v/>
      </c>
      <c r="T1136" s="10">
        <f>IFERROR(IF(INDEX('Test catalog'!$M$2:$M$200,MATCH($AB1136,'Test catalog'!$A$2:$A$200,0))="","",INDEX('Test catalog'!$M$2:$M$200,MATCH($AB1136,'Test catalog'!$A$2:$A$200,0))),"")</f>
        <v/>
      </c>
      <c r="U1136" s="10">
        <f>IFERROR(IF(INDEX('Test catalog'!$N$2:$N$200,MATCH($AB1136,'Test catalog'!$A$2:$A$200,0))="","",INDEX('Test catalog'!$N$2:$N$200,MATCH($AB1136,'Test catalog'!$A$2:$A$200,0))),"")</f>
        <v/>
      </c>
      <c r="V1136" s="15" t="n"/>
      <c r="W1136" s="5" t="inlineStr">
        <is>
          <t>N</t>
        </is>
      </c>
      <c r="X1136" s="5" t="n"/>
      <c r="Y1136" s="5" t="n"/>
      <c r="Z1136" s="5" t="n"/>
      <c r="AA1136" s="10">
        <f>IFERROR(IF(INDEX('Test catalog'!$O$2:$O$200,MATCH($AB1136,'Test catalog'!$A$2:$A$200,0))="","",INDEX('Test catalog'!$O$2:$O$200,MATCH($AB1136,'Test catalog'!$A$2:$A$200,0))),"")</f>
        <v/>
      </c>
      <c r="AB1136" s="10" t="inlineStr">
        <is>
          <t>LIMIT</t>
        </is>
      </c>
      <c r="AC1136" s="10" t="inlineStr">
        <is>
          <t>Citric Acid Monohydrate · Impurities</t>
        </is>
      </c>
      <c r="AD1136" s="10" t="n"/>
      <c r="AE1136" s="10" t="n"/>
    </row>
    <row r="1137">
      <c r="A1137" s="10" t="inlineStr">
        <is>
          <t>Citric Acid</t>
        </is>
      </c>
      <c r="B1137" s="10" t="inlineStr">
        <is>
          <t>RM</t>
        </is>
      </c>
      <c r="C1137" s="10" t="inlineStr">
        <is>
          <t>pH Modifier / Buffer</t>
        </is>
      </c>
      <c r="D1137" s="10" t="inlineStr">
        <is>
          <t>Clarity of Solution</t>
        </is>
      </c>
      <c r="E1137" s="10">
        <f>IF(A1137="","",A1137&amp;"|"&amp;D1137)</f>
        <v/>
      </c>
      <c r="F1137" s="5" t="inlineStr">
        <is>
          <t>Y</t>
        </is>
      </c>
      <c r="G1137" s="5" t="inlineStr">
        <is>
          <t>Other / bench</t>
        </is>
      </c>
      <c r="H1137" s="5" t="inlineStr">
        <is>
          <t>Low</t>
        </is>
      </c>
      <c r="I1137" s="5" t="n">
        <v>1</v>
      </c>
      <c r="J1137" s="5" t="n"/>
      <c r="K1137" s="10">
        <f>IFERROR(IF(INDEX('Test catalog'!$F$2:$F$200,MATCH($AB1137,'Test catalog'!$A$2:$A$200,0))="","",INDEX('Test catalog'!$F$2:$F$200,MATCH($AB1137,'Test catalog'!$A$2:$A$200,0))),"")</f>
        <v/>
      </c>
      <c r="L1137" s="10">
        <f>IFERROR(IF(INDEX('Test catalog'!$G$2:$G$200,MATCH($AB1137,'Test catalog'!$A$2:$A$200,0))="","",INDEX('Test catalog'!$G$2:$G$200,MATCH($AB1137,'Test catalog'!$A$2:$A$200,0))),"")</f>
        <v/>
      </c>
      <c r="M1137" s="10">
        <f>IFERROR(IF(INDEX('Test catalog'!$H$2:$H$200,MATCH($AB1137,'Test catalog'!$A$2:$A$200,0))="","",INDEX('Test catalog'!$H$2:$H$200,MATCH($AB1137,'Test catalog'!$A$2:$A$200,0))),"")</f>
        <v/>
      </c>
      <c r="N1137" s="10">
        <f>IFERROR(IF(INDEX('Test catalog'!$I$2:$I$200,MATCH($AB1137,'Test catalog'!$A$2:$A$200,0))="","",INDEX('Test catalog'!$I$2:$I$200,MATCH($AB1137,'Test catalog'!$A$2:$A$200,0))),"")</f>
        <v/>
      </c>
      <c r="O1137" s="10">
        <f>IFERROR(IF(INDEX('Test catalog'!$J$2:$J$200,MATCH($AB1137,'Test catalog'!$A$2:$A$200,0))="","",INDEX('Test catalog'!$J$2:$J$200,MATCH($AB1137,'Test catalog'!$A$2:$A$200,0))),"")</f>
        <v/>
      </c>
      <c r="P1137" s="14">
        <f>IF(N1137="","",IF(OR(M1137="",O1137=""),N1137,(M1137+4*N1137+O1137)/6))</f>
        <v/>
      </c>
      <c r="Q1137" s="10">
        <f>IFERROR(IF(INDEX('Test catalog'!$K$2:$K$200,MATCH($AB1137,'Test catalog'!$A$2:$A$200,0))="","",INDEX('Test catalog'!$K$2:$K$200,MATCH($AB1137,'Test catalog'!$A$2:$A$200,0))),"")</f>
        <v/>
      </c>
      <c r="R1137" s="5" t="n"/>
      <c r="S1137" s="10">
        <f>IFERROR(IF(INDEX('Test catalog'!$L$2:$L$200,MATCH($AB1137,'Test catalog'!$A$2:$A$200,0))="","",INDEX('Test catalog'!$L$2:$L$200,MATCH($AB1137,'Test catalog'!$A$2:$A$200,0))),"")</f>
        <v/>
      </c>
      <c r="T1137" s="10">
        <f>IFERROR(IF(INDEX('Test catalog'!$M$2:$M$200,MATCH($AB1137,'Test catalog'!$A$2:$A$200,0))="","",INDEX('Test catalog'!$M$2:$M$200,MATCH($AB1137,'Test catalog'!$A$2:$A$200,0))),"")</f>
        <v/>
      </c>
      <c r="U1137" s="10">
        <f>IFERROR(IF(INDEX('Test catalog'!$N$2:$N$200,MATCH($AB1137,'Test catalog'!$A$2:$A$200,0))="","",INDEX('Test catalog'!$N$2:$N$200,MATCH($AB1137,'Test catalog'!$A$2:$A$200,0))),"")</f>
        <v/>
      </c>
      <c r="V1137" s="15" t="n"/>
      <c r="W1137" s="5" t="inlineStr">
        <is>
          <t>N</t>
        </is>
      </c>
      <c r="X1137" s="5" t="n"/>
      <c r="Y1137" s="5" t="n"/>
      <c r="Z1137" s="5" t="n"/>
      <c r="AA1137" s="10">
        <f>IFERROR(IF(INDEX('Test catalog'!$O$2:$O$200,MATCH($AB1137,'Test catalog'!$A$2:$A$200,0))="","",INDEX('Test catalog'!$O$2:$O$200,MATCH($AB1137,'Test catalog'!$A$2:$A$200,0))),"")</f>
        <v/>
      </c>
      <c r="AB1137" s="10" t="inlineStr">
        <is>
          <t>CLAR</t>
        </is>
      </c>
      <c r="AC1137" s="10" t="inlineStr">
        <is>
          <t>Citric Acid Monohydrate · Specific Tests</t>
        </is>
      </c>
      <c r="AD1137" s="10" t="n"/>
      <c r="AE1137" s="10" t="n"/>
    </row>
    <row r="1138">
      <c r="A1138" s="10" t="inlineStr">
        <is>
          <t>Citric Acid</t>
        </is>
      </c>
      <c r="B1138" s="10" t="inlineStr">
        <is>
          <t>RM</t>
        </is>
      </c>
      <c r="C1138" s="10" t="inlineStr">
        <is>
          <t>pH Modifier / Buffer</t>
        </is>
      </c>
      <c r="D1138" s="10" t="inlineStr">
        <is>
          <t>Color of Solution</t>
        </is>
      </c>
      <c r="E1138" s="10">
        <f>IF(A1138="","",A1138&amp;"|"&amp;D1138)</f>
        <v/>
      </c>
      <c r="F1138" s="5" t="inlineStr">
        <is>
          <t>Y</t>
        </is>
      </c>
      <c r="G1138" s="5" t="inlineStr">
        <is>
          <t>Other / bench</t>
        </is>
      </c>
      <c r="H1138" s="5" t="inlineStr">
        <is>
          <t>Low</t>
        </is>
      </c>
      <c r="I1138" s="5" t="n">
        <v>1</v>
      </c>
      <c r="J1138" s="5" t="n"/>
      <c r="K1138" s="10">
        <f>IFERROR(IF(INDEX('Test catalog'!$F$2:$F$200,MATCH($AB1138,'Test catalog'!$A$2:$A$200,0))="","",INDEX('Test catalog'!$F$2:$F$200,MATCH($AB1138,'Test catalog'!$A$2:$A$200,0))),"")</f>
        <v/>
      </c>
      <c r="L1138" s="10">
        <f>IFERROR(IF(INDEX('Test catalog'!$G$2:$G$200,MATCH($AB1138,'Test catalog'!$A$2:$A$200,0))="","",INDEX('Test catalog'!$G$2:$G$200,MATCH($AB1138,'Test catalog'!$A$2:$A$200,0))),"")</f>
        <v/>
      </c>
      <c r="M1138" s="10">
        <f>IFERROR(IF(INDEX('Test catalog'!$H$2:$H$200,MATCH($AB1138,'Test catalog'!$A$2:$A$200,0))="","",INDEX('Test catalog'!$H$2:$H$200,MATCH($AB1138,'Test catalog'!$A$2:$A$200,0))),"")</f>
        <v/>
      </c>
      <c r="N1138" s="10">
        <f>IFERROR(IF(INDEX('Test catalog'!$I$2:$I$200,MATCH($AB1138,'Test catalog'!$A$2:$A$200,0))="","",INDEX('Test catalog'!$I$2:$I$200,MATCH($AB1138,'Test catalog'!$A$2:$A$200,0))),"")</f>
        <v/>
      </c>
      <c r="O1138" s="10">
        <f>IFERROR(IF(INDEX('Test catalog'!$J$2:$J$200,MATCH($AB1138,'Test catalog'!$A$2:$A$200,0))="","",INDEX('Test catalog'!$J$2:$J$200,MATCH($AB1138,'Test catalog'!$A$2:$A$200,0))),"")</f>
        <v/>
      </c>
      <c r="P1138" s="14">
        <f>IF(N1138="","",IF(OR(M1138="",O1138=""),N1138,(M1138+4*N1138+O1138)/6))</f>
        <v/>
      </c>
      <c r="Q1138" s="10">
        <f>IFERROR(IF(INDEX('Test catalog'!$K$2:$K$200,MATCH($AB1138,'Test catalog'!$A$2:$A$200,0))="","",INDEX('Test catalog'!$K$2:$K$200,MATCH($AB1138,'Test catalog'!$A$2:$A$200,0))),"")</f>
        <v/>
      </c>
      <c r="R1138" s="5" t="n"/>
      <c r="S1138" s="10">
        <f>IFERROR(IF(INDEX('Test catalog'!$L$2:$L$200,MATCH($AB1138,'Test catalog'!$A$2:$A$200,0))="","",INDEX('Test catalog'!$L$2:$L$200,MATCH($AB1138,'Test catalog'!$A$2:$A$200,0))),"")</f>
        <v/>
      </c>
      <c r="T1138" s="10">
        <f>IFERROR(IF(INDEX('Test catalog'!$M$2:$M$200,MATCH($AB1138,'Test catalog'!$A$2:$A$200,0))="","",INDEX('Test catalog'!$M$2:$M$200,MATCH($AB1138,'Test catalog'!$A$2:$A$200,0))),"")</f>
        <v/>
      </c>
      <c r="U1138" s="10">
        <f>IFERROR(IF(INDEX('Test catalog'!$N$2:$N$200,MATCH($AB1138,'Test catalog'!$A$2:$A$200,0))="","",INDEX('Test catalog'!$N$2:$N$200,MATCH($AB1138,'Test catalog'!$A$2:$A$200,0))),"")</f>
        <v/>
      </c>
      <c r="V1138" s="15" t="n"/>
      <c r="W1138" s="5" t="inlineStr">
        <is>
          <t>N</t>
        </is>
      </c>
      <c r="X1138" s="5" t="n"/>
      <c r="Y1138" s="5" t="n"/>
      <c r="Z1138" s="5" t="n"/>
      <c r="AA1138" s="10">
        <f>IFERROR(IF(INDEX('Test catalog'!$O$2:$O$200,MATCH($AB1138,'Test catalog'!$A$2:$A$200,0))="","",INDEX('Test catalog'!$O$2:$O$200,MATCH($AB1138,'Test catalog'!$A$2:$A$200,0))),"")</f>
        <v/>
      </c>
      <c r="AB1138" s="10" t="inlineStr">
        <is>
          <t>CLAR</t>
        </is>
      </c>
      <c r="AC1138" s="10" t="inlineStr">
        <is>
          <t>Citric Acid Monohydrate · Specific Tests</t>
        </is>
      </c>
      <c r="AD1138" s="10" t="n"/>
      <c r="AE1138" s="10" t="n"/>
    </row>
    <row r="1139">
      <c r="A1139" s="10" t="inlineStr">
        <is>
          <t>Citric Acid</t>
        </is>
      </c>
      <c r="B1139" s="10" t="inlineStr">
        <is>
          <t>RM</t>
        </is>
      </c>
      <c r="C1139" s="10" t="inlineStr">
        <is>
          <t>pH Modifier / Buffer</t>
        </is>
      </c>
      <c r="D1139" s="10" t="inlineStr">
        <is>
          <t>Readily Carbonizable Substances</t>
        </is>
      </c>
      <c r="E1139" s="10">
        <f>IF(A1139="","",A1139&amp;"|"&amp;D1139)</f>
        <v/>
      </c>
      <c r="F1139" s="5" t="inlineStr">
        <is>
          <t>Y</t>
        </is>
      </c>
      <c r="G1139" s="5" t="inlineStr">
        <is>
          <t>Other / bench</t>
        </is>
      </c>
      <c r="H1139" s="5" t="inlineStr">
        <is>
          <t>Low</t>
        </is>
      </c>
      <c r="I1139" s="5" t="n">
        <v>1</v>
      </c>
      <c r="J1139" s="5" t="n"/>
      <c r="K1139" s="10">
        <f>IFERROR(IF(INDEX('Test catalog'!$F$2:$F$200,MATCH($AB1139,'Test catalog'!$A$2:$A$200,0))="","",INDEX('Test catalog'!$F$2:$F$200,MATCH($AB1139,'Test catalog'!$A$2:$A$200,0))),"")</f>
        <v/>
      </c>
      <c r="L1139" s="10">
        <f>IFERROR(IF(INDEX('Test catalog'!$G$2:$G$200,MATCH($AB1139,'Test catalog'!$A$2:$A$200,0))="","",INDEX('Test catalog'!$G$2:$G$200,MATCH($AB1139,'Test catalog'!$A$2:$A$200,0))),"")</f>
        <v/>
      </c>
      <c r="M1139" s="10">
        <f>IFERROR(IF(INDEX('Test catalog'!$H$2:$H$200,MATCH($AB1139,'Test catalog'!$A$2:$A$200,0))="","",INDEX('Test catalog'!$H$2:$H$200,MATCH($AB1139,'Test catalog'!$A$2:$A$200,0))),"")</f>
        <v/>
      </c>
      <c r="N1139" s="10">
        <f>IFERROR(IF(INDEX('Test catalog'!$I$2:$I$200,MATCH($AB1139,'Test catalog'!$A$2:$A$200,0))="","",INDEX('Test catalog'!$I$2:$I$200,MATCH($AB1139,'Test catalog'!$A$2:$A$200,0))),"")</f>
        <v/>
      </c>
      <c r="O1139" s="10">
        <f>IFERROR(IF(INDEX('Test catalog'!$J$2:$J$200,MATCH($AB1139,'Test catalog'!$A$2:$A$200,0))="","",INDEX('Test catalog'!$J$2:$J$200,MATCH($AB1139,'Test catalog'!$A$2:$A$200,0))),"")</f>
        <v/>
      </c>
      <c r="P1139" s="14">
        <f>IF(N1139="","",IF(OR(M1139="",O1139=""),N1139,(M1139+4*N1139+O1139)/6))</f>
        <v/>
      </c>
      <c r="Q1139" s="10">
        <f>IFERROR(IF(INDEX('Test catalog'!$K$2:$K$200,MATCH($AB1139,'Test catalog'!$A$2:$A$200,0))="","",INDEX('Test catalog'!$K$2:$K$200,MATCH($AB1139,'Test catalog'!$A$2:$A$200,0))),"")</f>
        <v/>
      </c>
      <c r="R1139" s="5" t="n"/>
      <c r="S1139" s="10">
        <f>IFERROR(IF(INDEX('Test catalog'!$L$2:$L$200,MATCH($AB1139,'Test catalog'!$A$2:$A$200,0))="","",INDEX('Test catalog'!$L$2:$L$200,MATCH($AB1139,'Test catalog'!$A$2:$A$200,0))),"")</f>
        <v/>
      </c>
      <c r="T1139" s="10">
        <f>IFERROR(IF(INDEX('Test catalog'!$M$2:$M$200,MATCH($AB1139,'Test catalog'!$A$2:$A$200,0))="","",INDEX('Test catalog'!$M$2:$M$200,MATCH($AB1139,'Test catalog'!$A$2:$A$200,0))),"")</f>
        <v/>
      </c>
      <c r="U1139" s="10">
        <f>IFERROR(IF(INDEX('Test catalog'!$N$2:$N$200,MATCH($AB1139,'Test catalog'!$A$2:$A$200,0))="","",INDEX('Test catalog'!$N$2:$N$200,MATCH($AB1139,'Test catalog'!$A$2:$A$200,0))),"")</f>
        <v/>
      </c>
      <c r="V1139" s="15" t="n"/>
      <c r="W1139" s="5" t="inlineStr">
        <is>
          <t>N</t>
        </is>
      </c>
      <c r="X1139" s="5" t="n"/>
      <c r="Y1139" s="5" t="n"/>
      <c r="Z1139" s="5" t="n"/>
      <c r="AA1139" s="10">
        <f>IFERROR(IF(INDEX('Test catalog'!$O$2:$O$200,MATCH($AB1139,'Test catalog'!$A$2:$A$200,0))="","",INDEX('Test catalog'!$O$2:$O$200,MATCH($AB1139,'Test catalog'!$A$2:$A$200,0))),"")</f>
        <v/>
      </c>
      <c r="AB1139" s="10" t="inlineStr">
        <is>
          <t>LIMIT</t>
        </is>
      </c>
      <c r="AC1139" s="10" t="inlineStr">
        <is>
          <t>Citric Acid Monohydrate · Specific Tests</t>
        </is>
      </c>
      <c r="AD1139" s="10" t="n"/>
      <c r="AE1139" s="10" t="n"/>
    </row>
    <row r="1140">
      <c r="A1140" s="10" t="inlineStr">
        <is>
          <t>Citric Acid</t>
        </is>
      </c>
      <c r="B1140" s="10" t="inlineStr">
        <is>
          <t>RM</t>
        </is>
      </c>
      <c r="C1140" s="10" t="inlineStr">
        <is>
          <t>pH Modifier / Buffer</t>
        </is>
      </c>
      <c r="D1140" s="10" t="inlineStr">
        <is>
          <t>Water Determination, Method I</t>
        </is>
      </c>
      <c r="E1140" s="10">
        <f>IF(A1140="","",A1140&amp;"|"&amp;D1140)</f>
        <v/>
      </c>
      <c r="F1140" s="5" t="inlineStr">
        <is>
          <t>Y</t>
        </is>
      </c>
      <c r="G1140" s="5" t="inlineStr">
        <is>
          <t>KF titrator</t>
        </is>
      </c>
      <c r="H1140" s="5" t="inlineStr">
        <is>
          <t>Low</t>
        </is>
      </c>
      <c r="I1140" s="5" t="n">
        <v>1</v>
      </c>
      <c r="J1140" s="5" t="n"/>
      <c r="K1140" s="10">
        <f>IFERROR(IF(INDEX('Test catalog'!$F$2:$F$200,MATCH($AB1140,'Test catalog'!$A$2:$A$200,0))="","",INDEX('Test catalog'!$F$2:$F$200,MATCH($AB1140,'Test catalog'!$A$2:$A$200,0))),"")</f>
        <v/>
      </c>
      <c r="L1140" s="10">
        <f>IFERROR(IF(INDEX('Test catalog'!$G$2:$G$200,MATCH($AB1140,'Test catalog'!$A$2:$A$200,0))="","",INDEX('Test catalog'!$G$2:$G$200,MATCH($AB1140,'Test catalog'!$A$2:$A$200,0))),"")</f>
        <v/>
      </c>
      <c r="M1140" s="10">
        <f>IFERROR(IF(INDEX('Test catalog'!$H$2:$H$200,MATCH($AB1140,'Test catalog'!$A$2:$A$200,0))="","",INDEX('Test catalog'!$H$2:$H$200,MATCH($AB1140,'Test catalog'!$A$2:$A$200,0))),"")</f>
        <v/>
      </c>
      <c r="N1140" s="10">
        <f>IFERROR(IF(INDEX('Test catalog'!$I$2:$I$200,MATCH($AB1140,'Test catalog'!$A$2:$A$200,0))="","",INDEX('Test catalog'!$I$2:$I$200,MATCH($AB1140,'Test catalog'!$A$2:$A$200,0))),"")</f>
        <v/>
      </c>
      <c r="O1140" s="10">
        <f>IFERROR(IF(INDEX('Test catalog'!$J$2:$J$200,MATCH($AB1140,'Test catalog'!$A$2:$A$200,0))="","",INDEX('Test catalog'!$J$2:$J$200,MATCH($AB1140,'Test catalog'!$A$2:$A$200,0))),"")</f>
        <v/>
      </c>
      <c r="P1140" s="14">
        <f>IF(N1140="","",IF(OR(M1140="",O1140=""),N1140,(M1140+4*N1140+O1140)/6))</f>
        <v/>
      </c>
      <c r="Q1140" s="10">
        <f>IFERROR(IF(INDEX('Test catalog'!$K$2:$K$200,MATCH($AB1140,'Test catalog'!$A$2:$A$200,0))="","",INDEX('Test catalog'!$K$2:$K$200,MATCH($AB1140,'Test catalog'!$A$2:$A$200,0))),"")</f>
        <v/>
      </c>
      <c r="R1140" s="5" t="n"/>
      <c r="S1140" s="10">
        <f>IFERROR(IF(INDEX('Test catalog'!$L$2:$L$200,MATCH($AB1140,'Test catalog'!$A$2:$A$200,0))="","",INDEX('Test catalog'!$L$2:$L$200,MATCH($AB1140,'Test catalog'!$A$2:$A$200,0))),"")</f>
        <v/>
      </c>
      <c r="T1140" s="10">
        <f>IFERROR(IF(INDEX('Test catalog'!$M$2:$M$200,MATCH($AB1140,'Test catalog'!$A$2:$A$200,0))="","",INDEX('Test catalog'!$M$2:$M$200,MATCH($AB1140,'Test catalog'!$A$2:$A$200,0))),"")</f>
        <v/>
      </c>
      <c r="U1140" s="10">
        <f>IFERROR(IF(INDEX('Test catalog'!$N$2:$N$200,MATCH($AB1140,'Test catalog'!$A$2:$A$200,0))="","",INDEX('Test catalog'!$N$2:$N$200,MATCH($AB1140,'Test catalog'!$A$2:$A$200,0))),"")</f>
        <v/>
      </c>
      <c r="V1140" s="15" t="n"/>
      <c r="W1140" s="5" t="inlineStr">
        <is>
          <t>N</t>
        </is>
      </c>
      <c r="X1140" s="5" t="n"/>
      <c r="Y1140" s="5" t="n"/>
      <c r="Z1140" s="5" t="n"/>
      <c r="AA1140" s="10">
        <f>IFERROR(IF(INDEX('Test catalog'!$O$2:$O$200,MATCH($AB1140,'Test catalog'!$A$2:$A$200,0))="","",INDEX('Test catalog'!$O$2:$O$200,MATCH($AB1140,'Test catalog'!$A$2:$A$200,0))),"")</f>
        <v/>
      </c>
      <c r="AB1140" s="10" t="inlineStr">
        <is>
          <t>KF</t>
        </is>
      </c>
      <c r="AC1140" s="10" t="inlineStr">
        <is>
          <t>Citric Acid Monohydrate · Specific Tests &lt;921&gt;</t>
        </is>
      </c>
      <c r="AD1140" s="10" t="n"/>
      <c r="AE1140" s="10" t="n"/>
    </row>
    <row r="1141">
      <c r="A1141" s="10" t="inlineStr">
        <is>
          <t>Citric Acid Anhydrous</t>
        </is>
      </c>
      <c r="B1141" s="10" t="inlineStr">
        <is>
          <t>RM</t>
        </is>
      </c>
      <c r="C1141" s="10" t="inlineStr">
        <is>
          <t>pH Modifier / Buffer</t>
        </is>
      </c>
      <c r="D1141" s="10" t="inlineStr">
        <is>
          <t>Appearance / description and solubility</t>
        </is>
      </c>
      <c r="E1141" s="10">
        <f>IF(A1141="","",A1141&amp;"|"&amp;D1141)</f>
        <v/>
      </c>
      <c r="F1141" s="5" t="inlineStr">
        <is>
          <t>Y</t>
        </is>
      </c>
      <c r="G1141" s="5" t="inlineStr">
        <is>
          <t>Other / bench</t>
        </is>
      </c>
      <c r="H1141" s="5" t="inlineStr">
        <is>
          <t>Low</t>
        </is>
      </c>
      <c r="I1141" s="5" t="n">
        <v>1</v>
      </c>
      <c r="J1141" s="5" t="n"/>
      <c r="K1141" s="10">
        <f>IFERROR(IF(INDEX('Test catalog'!$F$2:$F$200,MATCH($AB1141,'Test catalog'!$A$2:$A$200,0))="","",INDEX('Test catalog'!$F$2:$F$200,MATCH($AB1141,'Test catalog'!$A$2:$A$200,0))),"")</f>
        <v/>
      </c>
      <c r="L1141" s="10">
        <f>IFERROR(IF(INDEX('Test catalog'!$G$2:$G$200,MATCH($AB1141,'Test catalog'!$A$2:$A$200,0))="","",INDEX('Test catalog'!$G$2:$G$200,MATCH($AB1141,'Test catalog'!$A$2:$A$200,0))),"")</f>
        <v/>
      </c>
      <c r="M1141" s="10">
        <f>IFERROR(IF(INDEX('Test catalog'!$H$2:$H$200,MATCH($AB1141,'Test catalog'!$A$2:$A$200,0))="","",INDEX('Test catalog'!$H$2:$H$200,MATCH($AB1141,'Test catalog'!$A$2:$A$200,0))),"")</f>
        <v/>
      </c>
      <c r="N1141" s="10">
        <f>IFERROR(IF(INDEX('Test catalog'!$I$2:$I$200,MATCH($AB1141,'Test catalog'!$A$2:$A$200,0))="","",INDEX('Test catalog'!$I$2:$I$200,MATCH($AB1141,'Test catalog'!$A$2:$A$200,0))),"")</f>
        <v/>
      </c>
      <c r="O1141" s="10">
        <f>IFERROR(IF(INDEX('Test catalog'!$J$2:$J$200,MATCH($AB1141,'Test catalog'!$A$2:$A$200,0))="","",INDEX('Test catalog'!$J$2:$J$200,MATCH($AB1141,'Test catalog'!$A$2:$A$200,0))),"")</f>
        <v/>
      </c>
      <c r="P1141" s="14">
        <f>IF(N1141="","",IF(OR(M1141="",O1141=""),N1141,(M1141+4*N1141+O1141)/6))</f>
        <v/>
      </c>
      <c r="Q1141" s="10">
        <f>IFERROR(IF(INDEX('Test catalog'!$K$2:$K$200,MATCH($AB1141,'Test catalog'!$A$2:$A$200,0))="","",INDEX('Test catalog'!$K$2:$K$200,MATCH($AB1141,'Test catalog'!$A$2:$A$200,0))),"")</f>
        <v/>
      </c>
      <c r="R1141" s="5" t="n"/>
      <c r="S1141" s="10">
        <f>IFERROR(IF(INDEX('Test catalog'!$L$2:$L$200,MATCH($AB1141,'Test catalog'!$A$2:$A$200,0))="","",INDEX('Test catalog'!$L$2:$L$200,MATCH($AB1141,'Test catalog'!$A$2:$A$200,0))),"")</f>
        <v/>
      </c>
      <c r="T1141" s="10">
        <f>IFERROR(IF(INDEX('Test catalog'!$M$2:$M$200,MATCH($AB1141,'Test catalog'!$A$2:$A$200,0))="","",INDEX('Test catalog'!$M$2:$M$200,MATCH($AB1141,'Test catalog'!$A$2:$A$200,0))),"")</f>
        <v/>
      </c>
      <c r="U1141" s="10">
        <f>IFERROR(IF(INDEX('Test catalog'!$N$2:$N$200,MATCH($AB1141,'Test catalog'!$A$2:$A$200,0))="","",INDEX('Test catalog'!$N$2:$N$200,MATCH($AB1141,'Test catalog'!$A$2:$A$200,0))),"")</f>
        <v/>
      </c>
      <c r="V1141" s="15" t="n"/>
      <c r="W1141" s="5" t="inlineStr">
        <is>
          <t>N</t>
        </is>
      </c>
      <c r="X1141" s="5" t="n"/>
      <c r="Y1141" s="5" t="n"/>
      <c r="Z1141" s="5" t="n"/>
      <c r="AA1141" s="10">
        <f>IFERROR(IF(INDEX('Test catalog'!$O$2:$O$200,MATCH($AB1141,'Test catalog'!$A$2:$A$200,0))="","",INDEX('Test catalog'!$O$2:$O$200,MATCH($AB1141,'Test catalog'!$A$2:$A$200,0))),"")</f>
        <v/>
      </c>
      <c r="AB1141" s="10" t="inlineStr">
        <is>
          <t>APPEAR</t>
        </is>
      </c>
      <c r="AC1141" s="10" t="inlineStr">
        <is>
          <t>Lab practice (not a USP test)</t>
        </is>
      </c>
      <c r="AD1141" s="10" t="n"/>
      <c r="AE1141" s="10" t="n"/>
    </row>
    <row r="1142">
      <c r="A1142" s="10" t="inlineStr">
        <is>
          <t>Citric Acid Anhydrous</t>
        </is>
      </c>
      <c r="B1142" s="10" t="inlineStr">
        <is>
          <t>RM</t>
        </is>
      </c>
      <c r="C1142" s="10" t="inlineStr">
        <is>
          <t>pH Modifier / Buffer</t>
        </is>
      </c>
      <c r="D1142" s="10" t="inlineStr">
        <is>
          <t>ID A - IR spectrum</t>
        </is>
      </c>
      <c r="E1142" s="10">
        <f>IF(A1142="","",A1142&amp;"|"&amp;D1142)</f>
        <v/>
      </c>
      <c r="F1142" s="5" t="inlineStr">
        <is>
          <t>Y</t>
        </is>
      </c>
      <c r="G1142" s="5" t="inlineStr">
        <is>
          <t>Other / bench</t>
        </is>
      </c>
      <c r="H1142" s="5" t="inlineStr">
        <is>
          <t>Low</t>
        </is>
      </c>
      <c r="I1142" s="5" t="n">
        <v>1</v>
      </c>
      <c r="J1142" s="5" t="n"/>
      <c r="K1142" s="10">
        <f>IFERROR(IF(INDEX('Test catalog'!$F$2:$F$200,MATCH($AB1142,'Test catalog'!$A$2:$A$200,0))="","",INDEX('Test catalog'!$F$2:$F$200,MATCH($AB1142,'Test catalog'!$A$2:$A$200,0))),"")</f>
        <v/>
      </c>
      <c r="L1142" s="10">
        <f>IFERROR(IF(INDEX('Test catalog'!$G$2:$G$200,MATCH($AB1142,'Test catalog'!$A$2:$A$200,0))="","",INDEX('Test catalog'!$G$2:$G$200,MATCH($AB1142,'Test catalog'!$A$2:$A$200,0))),"")</f>
        <v/>
      </c>
      <c r="M1142" s="10">
        <f>IFERROR(IF(INDEX('Test catalog'!$H$2:$H$200,MATCH($AB1142,'Test catalog'!$A$2:$A$200,0))="","",INDEX('Test catalog'!$H$2:$H$200,MATCH($AB1142,'Test catalog'!$A$2:$A$200,0))),"")</f>
        <v/>
      </c>
      <c r="N1142" s="10">
        <f>IFERROR(IF(INDEX('Test catalog'!$I$2:$I$200,MATCH($AB1142,'Test catalog'!$A$2:$A$200,0))="","",INDEX('Test catalog'!$I$2:$I$200,MATCH($AB1142,'Test catalog'!$A$2:$A$200,0))),"")</f>
        <v/>
      </c>
      <c r="O1142" s="10">
        <f>IFERROR(IF(INDEX('Test catalog'!$J$2:$J$200,MATCH($AB1142,'Test catalog'!$A$2:$A$200,0))="","",INDEX('Test catalog'!$J$2:$J$200,MATCH($AB1142,'Test catalog'!$A$2:$A$200,0))),"")</f>
        <v/>
      </c>
      <c r="P1142" s="14">
        <f>IF(N1142="","",IF(OR(M1142="",O1142=""),N1142,(M1142+4*N1142+O1142)/6))</f>
        <v/>
      </c>
      <c r="Q1142" s="10">
        <f>IFERROR(IF(INDEX('Test catalog'!$K$2:$K$200,MATCH($AB1142,'Test catalog'!$A$2:$A$200,0))="","",INDEX('Test catalog'!$K$2:$K$200,MATCH($AB1142,'Test catalog'!$A$2:$A$200,0))),"")</f>
        <v/>
      </c>
      <c r="R1142" s="5" t="n"/>
      <c r="S1142" s="10">
        <f>IFERROR(IF(INDEX('Test catalog'!$L$2:$L$200,MATCH($AB1142,'Test catalog'!$A$2:$A$200,0))="","",INDEX('Test catalog'!$L$2:$L$200,MATCH($AB1142,'Test catalog'!$A$2:$A$200,0))),"")</f>
        <v/>
      </c>
      <c r="T1142" s="10">
        <f>IFERROR(IF(INDEX('Test catalog'!$M$2:$M$200,MATCH($AB1142,'Test catalog'!$A$2:$A$200,0))="","",INDEX('Test catalog'!$M$2:$M$200,MATCH($AB1142,'Test catalog'!$A$2:$A$200,0))),"")</f>
        <v/>
      </c>
      <c r="U1142" s="10">
        <f>IFERROR(IF(INDEX('Test catalog'!$N$2:$N$200,MATCH($AB1142,'Test catalog'!$A$2:$A$200,0))="","",INDEX('Test catalog'!$N$2:$N$200,MATCH($AB1142,'Test catalog'!$A$2:$A$200,0))),"")</f>
        <v/>
      </c>
      <c r="V1142" s="15" t="n"/>
      <c r="W1142" s="5" t="inlineStr">
        <is>
          <t>N</t>
        </is>
      </c>
      <c r="X1142" s="5" t="n"/>
      <c r="Y1142" s="5" t="n"/>
      <c r="Z1142" s="5" t="n"/>
      <c r="AA1142" s="10">
        <f>IFERROR(IF(INDEX('Test catalog'!$O$2:$O$200,MATCH($AB1142,'Test catalog'!$A$2:$A$200,0))="","",INDEX('Test catalog'!$O$2:$O$200,MATCH($AB1142,'Test catalog'!$A$2:$A$200,0))),"")</f>
        <v/>
      </c>
      <c r="AB1142" s="10" t="inlineStr">
        <is>
          <t>ID_IR</t>
        </is>
      </c>
      <c r="AC1142" s="10" t="inlineStr">
        <is>
          <t>Anhydrous Citric Acid · Identification &lt;197&gt;</t>
        </is>
      </c>
      <c r="AD1142" s="10" t="n"/>
      <c r="AE1142" s="10" t="n"/>
    </row>
    <row r="1143">
      <c r="A1143" s="10" t="inlineStr">
        <is>
          <t>Citric Acid Anhydrous</t>
        </is>
      </c>
      <c r="B1143" s="10" t="inlineStr">
        <is>
          <t>RM</t>
        </is>
      </c>
      <c r="C1143" s="10" t="inlineStr">
        <is>
          <t>pH Modifier / Buffer</t>
        </is>
      </c>
      <c r="D1143" s="10" t="inlineStr">
        <is>
          <t>Assay</t>
        </is>
      </c>
      <c r="E1143" s="10">
        <f>IF(A1143="","",A1143&amp;"|"&amp;D1143)</f>
        <v/>
      </c>
      <c r="F1143" s="5" t="inlineStr">
        <is>
          <t>Y</t>
        </is>
      </c>
      <c r="G1143" s="5" t="inlineStr">
        <is>
          <t>Other / bench</t>
        </is>
      </c>
      <c r="H1143" s="5" t="inlineStr">
        <is>
          <t>Low</t>
        </is>
      </c>
      <c r="I1143" s="5" t="n">
        <v>1</v>
      </c>
      <c r="J1143" s="5" t="n"/>
      <c r="K1143" s="10">
        <f>IFERROR(IF(INDEX('Test catalog'!$F$2:$F$200,MATCH($AB1143,'Test catalog'!$A$2:$A$200,0))="","",INDEX('Test catalog'!$F$2:$F$200,MATCH($AB1143,'Test catalog'!$A$2:$A$200,0))),"")</f>
        <v/>
      </c>
      <c r="L1143" s="10">
        <f>IFERROR(IF(INDEX('Test catalog'!$G$2:$G$200,MATCH($AB1143,'Test catalog'!$A$2:$A$200,0))="","",INDEX('Test catalog'!$G$2:$G$200,MATCH($AB1143,'Test catalog'!$A$2:$A$200,0))),"")</f>
        <v/>
      </c>
      <c r="M1143" s="10">
        <f>IFERROR(IF(INDEX('Test catalog'!$H$2:$H$200,MATCH($AB1143,'Test catalog'!$A$2:$A$200,0))="","",INDEX('Test catalog'!$H$2:$H$200,MATCH($AB1143,'Test catalog'!$A$2:$A$200,0))),"")</f>
        <v/>
      </c>
      <c r="N1143" s="10">
        <f>IFERROR(IF(INDEX('Test catalog'!$I$2:$I$200,MATCH($AB1143,'Test catalog'!$A$2:$A$200,0))="","",INDEX('Test catalog'!$I$2:$I$200,MATCH($AB1143,'Test catalog'!$A$2:$A$200,0))),"")</f>
        <v/>
      </c>
      <c r="O1143" s="10">
        <f>IFERROR(IF(INDEX('Test catalog'!$J$2:$J$200,MATCH($AB1143,'Test catalog'!$A$2:$A$200,0))="","",INDEX('Test catalog'!$J$2:$J$200,MATCH($AB1143,'Test catalog'!$A$2:$A$200,0))),"")</f>
        <v/>
      </c>
      <c r="P1143" s="14">
        <f>IF(N1143="","",IF(OR(M1143="",O1143=""),N1143,(M1143+4*N1143+O1143)/6))</f>
        <v/>
      </c>
      <c r="Q1143" s="10">
        <f>IFERROR(IF(INDEX('Test catalog'!$K$2:$K$200,MATCH($AB1143,'Test catalog'!$A$2:$A$200,0))="","",INDEX('Test catalog'!$K$2:$K$200,MATCH($AB1143,'Test catalog'!$A$2:$A$200,0))),"")</f>
        <v/>
      </c>
      <c r="R1143" s="5" t="n"/>
      <c r="S1143" s="10">
        <f>IFERROR(IF(INDEX('Test catalog'!$L$2:$L$200,MATCH($AB1143,'Test catalog'!$A$2:$A$200,0))="","",INDEX('Test catalog'!$L$2:$L$200,MATCH($AB1143,'Test catalog'!$A$2:$A$200,0))),"")</f>
        <v/>
      </c>
      <c r="T1143" s="10">
        <f>IFERROR(IF(INDEX('Test catalog'!$M$2:$M$200,MATCH($AB1143,'Test catalog'!$A$2:$A$200,0))="","",INDEX('Test catalog'!$M$2:$M$200,MATCH($AB1143,'Test catalog'!$A$2:$A$200,0))),"")</f>
        <v/>
      </c>
      <c r="U1143" s="10">
        <f>IFERROR(IF(INDEX('Test catalog'!$N$2:$N$200,MATCH($AB1143,'Test catalog'!$A$2:$A$200,0))="","",INDEX('Test catalog'!$N$2:$N$200,MATCH($AB1143,'Test catalog'!$A$2:$A$200,0))),"")</f>
        <v/>
      </c>
      <c r="V1143" s="15" t="n"/>
      <c r="W1143" s="5" t="inlineStr">
        <is>
          <t>N</t>
        </is>
      </c>
      <c r="X1143" s="5" t="n"/>
      <c r="Y1143" s="5" t="n"/>
      <c r="Z1143" s="5" t="n"/>
      <c r="AA1143" s="10">
        <f>IFERROR(IF(INDEX('Test catalog'!$O$2:$O$200,MATCH($AB1143,'Test catalog'!$A$2:$A$200,0))="","",INDEX('Test catalog'!$O$2:$O$200,MATCH($AB1143,'Test catalog'!$A$2:$A$200,0))),"")</f>
        <v/>
      </c>
      <c r="AB1143" s="10" t="inlineStr">
        <is>
          <t>TITR</t>
        </is>
      </c>
      <c r="AC1143" s="10" t="inlineStr">
        <is>
          <t>Anhydrous Citric Acid · Assay</t>
        </is>
      </c>
      <c r="AD1143" s="10" t="n"/>
      <c r="AE1143" s="10" t="n"/>
    </row>
    <row r="1144">
      <c r="A1144" s="10" t="inlineStr">
        <is>
          <t>Citric Acid Anhydrous</t>
        </is>
      </c>
      <c r="B1144" s="10" t="inlineStr">
        <is>
          <t>RM</t>
        </is>
      </c>
      <c r="C1144" s="10" t="inlineStr">
        <is>
          <t>pH Modifier / Buffer</t>
        </is>
      </c>
      <c r="D1144" s="10" t="inlineStr">
        <is>
          <t>Residue on Ignition</t>
        </is>
      </c>
      <c r="E1144" s="10">
        <f>IF(A1144="","",A1144&amp;"|"&amp;D1144)</f>
        <v/>
      </c>
      <c r="F1144" s="5" t="inlineStr">
        <is>
          <t>Y</t>
        </is>
      </c>
      <c r="G1144" s="5" t="inlineStr">
        <is>
          <t>Other / bench</t>
        </is>
      </c>
      <c r="H1144" s="5" t="inlineStr">
        <is>
          <t>Low</t>
        </is>
      </c>
      <c r="I1144" s="5" t="n">
        <v>1</v>
      </c>
      <c r="J1144" s="5" t="n"/>
      <c r="K1144" s="10">
        <f>IFERROR(IF(INDEX('Test catalog'!$F$2:$F$200,MATCH($AB1144,'Test catalog'!$A$2:$A$200,0))="","",INDEX('Test catalog'!$F$2:$F$200,MATCH($AB1144,'Test catalog'!$A$2:$A$200,0))),"")</f>
        <v/>
      </c>
      <c r="L1144" s="10">
        <f>IFERROR(IF(INDEX('Test catalog'!$G$2:$G$200,MATCH($AB1144,'Test catalog'!$A$2:$A$200,0))="","",INDEX('Test catalog'!$G$2:$G$200,MATCH($AB1144,'Test catalog'!$A$2:$A$200,0))),"")</f>
        <v/>
      </c>
      <c r="M1144" s="10">
        <f>IFERROR(IF(INDEX('Test catalog'!$H$2:$H$200,MATCH($AB1144,'Test catalog'!$A$2:$A$200,0))="","",INDEX('Test catalog'!$H$2:$H$200,MATCH($AB1144,'Test catalog'!$A$2:$A$200,0))),"")</f>
        <v/>
      </c>
      <c r="N1144" s="10">
        <f>IFERROR(IF(INDEX('Test catalog'!$I$2:$I$200,MATCH($AB1144,'Test catalog'!$A$2:$A$200,0))="","",INDEX('Test catalog'!$I$2:$I$200,MATCH($AB1144,'Test catalog'!$A$2:$A$200,0))),"")</f>
        <v/>
      </c>
      <c r="O1144" s="10">
        <f>IFERROR(IF(INDEX('Test catalog'!$J$2:$J$200,MATCH($AB1144,'Test catalog'!$A$2:$A$200,0))="","",INDEX('Test catalog'!$J$2:$J$200,MATCH($AB1144,'Test catalog'!$A$2:$A$200,0))),"")</f>
        <v/>
      </c>
      <c r="P1144" s="14">
        <f>IF(N1144="","",IF(OR(M1144="",O1144=""),N1144,(M1144+4*N1144+O1144)/6))</f>
        <v/>
      </c>
      <c r="Q1144" s="10">
        <f>IFERROR(IF(INDEX('Test catalog'!$K$2:$K$200,MATCH($AB1144,'Test catalog'!$A$2:$A$200,0))="","",INDEX('Test catalog'!$K$2:$K$200,MATCH($AB1144,'Test catalog'!$A$2:$A$200,0))),"")</f>
        <v/>
      </c>
      <c r="R1144" s="5" t="n"/>
      <c r="S1144" s="10">
        <f>IFERROR(IF(INDEX('Test catalog'!$L$2:$L$200,MATCH($AB1144,'Test catalog'!$A$2:$A$200,0))="","",INDEX('Test catalog'!$L$2:$L$200,MATCH($AB1144,'Test catalog'!$A$2:$A$200,0))),"")</f>
        <v/>
      </c>
      <c r="T1144" s="10">
        <f>IFERROR(IF(INDEX('Test catalog'!$M$2:$M$200,MATCH($AB1144,'Test catalog'!$A$2:$A$200,0))="","",INDEX('Test catalog'!$M$2:$M$200,MATCH($AB1144,'Test catalog'!$A$2:$A$200,0))),"")</f>
        <v/>
      </c>
      <c r="U1144" s="10">
        <f>IFERROR(IF(INDEX('Test catalog'!$N$2:$N$200,MATCH($AB1144,'Test catalog'!$A$2:$A$200,0))="","",INDEX('Test catalog'!$N$2:$N$200,MATCH($AB1144,'Test catalog'!$A$2:$A$200,0))),"")</f>
        <v/>
      </c>
      <c r="V1144" s="15" t="n"/>
      <c r="W1144" s="5" t="inlineStr">
        <is>
          <t>N</t>
        </is>
      </c>
      <c r="X1144" s="5" t="n"/>
      <c r="Y1144" s="5" t="n"/>
      <c r="Z1144" s="5" t="n"/>
      <c r="AA1144" s="10">
        <f>IFERROR(IF(INDEX('Test catalog'!$O$2:$O$200,MATCH($AB1144,'Test catalog'!$A$2:$A$200,0))="","",INDEX('Test catalog'!$O$2:$O$200,MATCH($AB1144,'Test catalog'!$A$2:$A$200,0))),"")</f>
        <v/>
      </c>
      <c r="AB1144" s="10" t="inlineStr">
        <is>
          <t>ROI</t>
        </is>
      </c>
      <c r="AC1144" s="10" t="inlineStr">
        <is>
          <t>Anhydrous Citric Acid · Impurities &lt;281&gt;</t>
        </is>
      </c>
      <c r="AD1144" s="10" t="n"/>
      <c r="AE1144" s="10" t="n"/>
    </row>
    <row r="1145">
      <c r="A1145" s="10" t="inlineStr">
        <is>
          <t>Citric Acid Anhydrous</t>
        </is>
      </c>
      <c r="B1145" s="10" t="inlineStr">
        <is>
          <t>RM</t>
        </is>
      </c>
      <c r="C1145" s="10" t="inlineStr">
        <is>
          <t>pH Modifier / Buffer</t>
        </is>
      </c>
      <c r="D1145" s="10" t="inlineStr">
        <is>
          <t>Sulfate</t>
        </is>
      </c>
      <c r="E1145" s="10">
        <f>IF(A1145="","",A1145&amp;"|"&amp;D1145)</f>
        <v/>
      </c>
      <c r="F1145" s="5" t="inlineStr">
        <is>
          <t>Y</t>
        </is>
      </c>
      <c r="G1145" s="5" t="inlineStr">
        <is>
          <t>Other / bench</t>
        </is>
      </c>
      <c r="H1145" s="5" t="inlineStr">
        <is>
          <t>Low</t>
        </is>
      </c>
      <c r="I1145" s="5" t="n">
        <v>1</v>
      </c>
      <c r="J1145" s="5" t="n"/>
      <c r="K1145" s="10">
        <f>IFERROR(IF(INDEX('Test catalog'!$F$2:$F$200,MATCH($AB1145,'Test catalog'!$A$2:$A$200,0))="","",INDEX('Test catalog'!$F$2:$F$200,MATCH($AB1145,'Test catalog'!$A$2:$A$200,0))),"")</f>
        <v/>
      </c>
      <c r="L1145" s="10">
        <f>IFERROR(IF(INDEX('Test catalog'!$G$2:$G$200,MATCH($AB1145,'Test catalog'!$A$2:$A$200,0))="","",INDEX('Test catalog'!$G$2:$G$200,MATCH($AB1145,'Test catalog'!$A$2:$A$200,0))),"")</f>
        <v/>
      </c>
      <c r="M1145" s="10">
        <f>IFERROR(IF(INDEX('Test catalog'!$H$2:$H$200,MATCH($AB1145,'Test catalog'!$A$2:$A$200,0))="","",INDEX('Test catalog'!$H$2:$H$200,MATCH($AB1145,'Test catalog'!$A$2:$A$200,0))),"")</f>
        <v/>
      </c>
      <c r="N1145" s="10">
        <f>IFERROR(IF(INDEX('Test catalog'!$I$2:$I$200,MATCH($AB1145,'Test catalog'!$A$2:$A$200,0))="","",INDEX('Test catalog'!$I$2:$I$200,MATCH($AB1145,'Test catalog'!$A$2:$A$200,0))),"")</f>
        <v/>
      </c>
      <c r="O1145" s="10">
        <f>IFERROR(IF(INDEX('Test catalog'!$J$2:$J$200,MATCH($AB1145,'Test catalog'!$A$2:$A$200,0))="","",INDEX('Test catalog'!$J$2:$J$200,MATCH($AB1145,'Test catalog'!$A$2:$A$200,0))),"")</f>
        <v/>
      </c>
      <c r="P1145" s="14">
        <f>IF(N1145="","",IF(OR(M1145="",O1145=""),N1145,(M1145+4*N1145+O1145)/6))</f>
        <v/>
      </c>
      <c r="Q1145" s="10">
        <f>IFERROR(IF(INDEX('Test catalog'!$K$2:$K$200,MATCH($AB1145,'Test catalog'!$A$2:$A$200,0))="","",INDEX('Test catalog'!$K$2:$K$200,MATCH($AB1145,'Test catalog'!$A$2:$A$200,0))),"")</f>
        <v/>
      </c>
      <c r="R1145" s="5" t="n"/>
      <c r="S1145" s="10">
        <f>IFERROR(IF(INDEX('Test catalog'!$L$2:$L$200,MATCH($AB1145,'Test catalog'!$A$2:$A$200,0))="","",INDEX('Test catalog'!$L$2:$L$200,MATCH($AB1145,'Test catalog'!$A$2:$A$200,0))),"")</f>
        <v/>
      </c>
      <c r="T1145" s="10">
        <f>IFERROR(IF(INDEX('Test catalog'!$M$2:$M$200,MATCH($AB1145,'Test catalog'!$A$2:$A$200,0))="","",INDEX('Test catalog'!$M$2:$M$200,MATCH($AB1145,'Test catalog'!$A$2:$A$200,0))),"")</f>
        <v/>
      </c>
      <c r="U1145" s="10">
        <f>IFERROR(IF(INDEX('Test catalog'!$N$2:$N$200,MATCH($AB1145,'Test catalog'!$A$2:$A$200,0))="","",INDEX('Test catalog'!$N$2:$N$200,MATCH($AB1145,'Test catalog'!$A$2:$A$200,0))),"")</f>
        <v/>
      </c>
      <c r="V1145" s="15" t="n"/>
      <c r="W1145" s="5" t="inlineStr">
        <is>
          <t>N</t>
        </is>
      </c>
      <c r="X1145" s="5" t="n"/>
      <c r="Y1145" s="5" t="n"/>
      <c r="Z1145" s="5" t="n"/>
      <c r="AA1145" s="10">
        <f>IFERROR(IF(INDEX('Test catalog'!$O$2:$O$200,MATCH($AB1145,'Test catalog'!$A$2:$A$200,0))="","",INDEX('Test catalog'!$O$2:$O$200,MATCH($AB1145,'Test catalog'!$A$2:$A$200,0))),"")</f>
        <v/>
      </c>
      <c r="AB1145" s="10" t="inlineStr">
        <is>
          <t>LIMIT</t>
        </is>
      </c>
      <c r="AC1145" s="10" t="inlineStr">
        <is>
          <t>Anhydrous Citric Acid · Impurities</t>
        </is>
      </c>
      <c r="AD1145" s="10" t="n"/>
      <c r="AE1145" s="10" t="n"/>
    </row>
    <row r="1146">
      <c r="A1146" s="10" t="inlineStr">
        <is>
          <t>Citric Acid Anhydrous</t>
        </is>
      </c>
      <c r="B1146" s="10" t="inlineStr">
        <is>
          <t>RM</t>
        </is>
      </c>
      <c r="C1146" s="10" t="inlineStr">
        <is>
          <t>pH Modifier / Buffer</t>
        </is>
      </c>
      <c r="D1146" s="10" t="inlineStr">
        <is>
          <t>Limit of Aluminum (where it is labeled as intended for use in dialysis)</t>
        </is>
      </c>
      <c r="E1146" s="10">
        <f>IF(A1146="","",A1146&amp;"|"&amp;D1146)</f>
        <v/>
      </c>
      <c r="F1146" s="5" t="inlineStr">
        <is>
          <t>N</t>
        </is>
      </c>
      <c r="G1146" s="5" t="inlineStr">
        <is>
          <t>UV-Vis</t>
        </is>
      </c>
      <c r="H1146" s="5" t="inlineStr">
        <is>
          <t>Low</t>
        </is>
      </c>
      <c r="I1146" s="5" t="n">
        <v>1</v>
      </c>
      <c r="J1146" s="5" t="n"/>
      <c r="K1146" s="10">
        <f>IFERROR(IF(INDEX('Test catalog'!$F$2:$F$200,MATCH($AB1146,'Test catalog'!$A$2:$A$200,0))="","",INDEX('Test catalog'!$F$2:$F$200,MATCH($AB1146,'Test catalog'!$A$2:$A$200,0))),"")</f>
        <v/>
      </c>
      <c r="L1146" s="10">
        <f>IFERROR(IF(INDEX('Test catalog'!$G$2:$G$200,MATCH($AB1146,'Test catalog'!$A$2:$A$200,0))="","",INDEX('Test catalog'!$G$2:$G$200,MATCH($AB1146,'Test catalog'!$A$2:$A$200,0))),"")</f>
        <v/>
      </c>
      <c r="M1146" s="10">
        <f>IFERROR(IF(INDEX('Test catalog'!$H$2:$H$200,MATCH($AB1146,'Test catalog'!$A$2:$A$200,0))="","",INDEX('Test catalog'!$H$2:$H$200,MATCH($AB1146,'Test catalog'!$A$2:$A$200,0))),"")</f>
        <v/>
      </c>
      <c r="N1146" s="10">
        <f>IFERROR(IF(INDEX('Test catalog'!$I$2:$I$200,MATCH($AB1146,'Test catalog'!$A$2:$A$200,0))="","",INDEX('Test catalog'!$I$2:$I$200,MATCH($AB1146,'Test catalog'!$A$2:$A$200,0))),"")</f>
        <v/>
      </c>
      <c r="O1146" s="10">
        <f>IFERROR(IF(INDEX('Test catalog'!$J$2:$J$200,MATCH($AB1146,'Test catalog'!$A$2:$A$200,0))="","",INDEX('Test catalog'!$J$2:$J$200,MATCH($AB1146,'Test catalog'!$A$2:$A$200,0))),"")</f>
        <v/>
      </c>
      <c r="P1146" s="14">
        <f>IF(N1146="","",IF(OR(M1146="",O1146=""),N1146,(M1146+4*N1146+O1146)/6))</f>
        <v/>
      </c>
      <c r="Q1146" s="10">
        <f>IFERROR(IF(INDEX('Test catalog'!$K$2:$K$200,MATCH($AB1146,'Test catalog'!$A$2:$A$200,0))="","",INDEX('Test catalog'!$K$2:$K$200,MATCH($AB1146,'Test catalog'!$A$2:$A$200,0))),"")</f>
        <v/>
      </c>
      <c r="R1146" s="5" t="n"/>
      <c r="S1146" s="10">
        <f>IFERROR(IF(INDEX('Test catalog'!$L$2:$L$200,MATCH($AB1146,'Test catalog'!$A$2:$A$200,0))="","",INDEX('Test catalog'!$L$2:$L$200,MATCH($AB1146,'Test catalog'!$A$2:$A$200,0))),"")</f>
        <v/>
      </c>
      <c r="T1146" s="10">
        <f>IFERROR(IF(INDEX('Test catalog'!$M$2:$M$200,MATCH($AB1146,'Test catalog'!$A$2:$A$200,0))="","",INDEX('Test catalog'!$M$2:$M$200,MATCH($AB1146,'Test catalog'!$A$2:$A$200,0))),"")</f>
        <v/>
      </c>
      <c r="U1146" s="10">
        <f>IFERROR(IF(INDEX('Test catalog'!$N$2:$N$200,MATCH($AB1146,'Test catalog'!$A$2:$A$200,0))="","",INDEX('Test catalog'!$N$2:$N$200,MATCH($AB1146,'Test catalog'!$A$2:$A$200,0))),"")</f>
        <v/>
      </c>
      <c r="V1146" s="15" t="n"/>
      <c r="W1146" s="5" t="inlineStr">
        <is>
          <t>N</t>
        </is>
      </c>
      <c r="X1146" s="5" t="n"/>
      <c r="Y1146" s="5" t="n"/>
      <c r="Z1146" s="5" t="inlineStr">
        <is>
          <t>Only for some grades/labels - check your supplier grade</t>
        </is>
      </c>
      <c r="AA1146" s="10">
        <f>IFERROR(IF(INDEX('Test catalog'!$O$2:$O$200,MATCH($AB1146,'Test catalog'!$A$2:$A$200,0))="","",INDEX('Test catalog'!$O$2:$O$200,MATCH($AB1146,'Test catalog'!$A$2:$A$200,0))),"")</f>
        <v/>
      </c>
      <c r="AB1146" s="10" t="inlineStr">
        <is>
          <t>UV</t>
        </is>
      </c>
      <c r="AC1146" s="10" t="inlineStr">
        <is>
          <t>Anhydrous Citric Acid · Impurities</t>
        </is>
      </c>
      <c r="AD1146" s="10" t="n"/>
      <c r="AE1146" s="10" t="n"/>
    </row>
    <row r="1147">
      <c r="A1147" s="10" t="inlineStr">
        <is>
          <t>Citric Acid Anhydrous</t>
        </is>
      </c>
      <c r="B1147" s="10" t="inlineStr">
        <is>
          <t>RM</t>
        </is>
      </c>
      <c r="C1147" s="10" t="inlineStr">
        <is>
          <t>pH Modifier / Buffer</t>
        </is>
      </c>
      <c r="D1147" s="10" t="inlineStr">
        <is>
          <t>Limit of Oxalic Acid</t>
        </is>
      </c>
      <c r="E1147" s="10">
        <f>IF(A1147="","",A1147&amp;"|"&amp;D1147)</f>
        <v/>
      </c>
      <c r="F1147" s="5" t="inlineStr">
        <is>
          <t>Y</t>
        </is>
      </c>
      <c r="G1147" s="5" t="inlineStr">
        <is>
          <t>Other / bench</t>
        </is>
      </c>
      <c r="H1147" s="5" t="inlineStr">
        <is>
          <t>Low</t>
        </is>
      </c>
      <c r="I1147" s="5" t="n">
        <v>1</v>
      </c>
      <c r="J1147" s="5" t="n"/>
      <c r="K1147" s="10">
        <f>IFERROR(IF(INDEX('Test catalog'!$F$2:$F$200,MATCH($AB1147,'Test catalog'!$A$2:$A$200,0))="","",INDEX('Test catalog'!$F$2:$F$200,MATCH($AB1147,'Test catalog'!$A$2:$A$200,0))),"")</f>
        <v/>
      </c>
      <c r="L1147" s="10">
        <f>IFERROR(IF(INDEX('Test catalog'!$G$2:$G$200,MATCH($AB1147,'Test catalog'!$A$2:$A$200,0))="","",INDEX('Test catalog'!$G$2:$G$200,MATCH($AB1147,'Test catalog'!$A$2:$A$200,0))),"")</f>
        <v/>
      </c>
      <c r="M1147" s="10">
        <f>IFERROR(IF(INDEX('Test catalog'!$H$2:$H$200,MATCH($AB1147,'Test catalog'!$A$2:$A$200,0))="","",INDEX('Test catalog'!$H$2:$H$200,MATCH($AB1147,'Test catalog'!$A$2:$A$200,0))),"")</f>
        <v/>
      </c>
      <c r="N1147" s="10">
        <f>IFERROR(IF(INDEX('Test catalog'!$I$2:$I$200,MATCH($AB1147,'Test catalog'!$A$2:$A$200,0))="","",INDEX('Test catalog'!$I$2:$I$200,MATCH($AB1147,'Test catalog'!$A$2:$A$200,0))),"")</f>
        <v/>
      </c>
      <c r="O1147" s="10">
        <f>IFERROR(IF(INDEX('Test catalog'!$J$2:$J$200,MATCH($AB1147,'Test catalog'!$A$2:$A$200,0))="","",INDEX('Test catalog'!$J$2:$J$200,MATCH($AB1147,'Test catalog'!$A$2:$A$200,0))),"")</f>
        <v/>
      </c>
      <c r="P1147" s="14">
        <f>IF(N1147="","",IF(OR(M1147="",O1147=""),N1147,(M1147+4*N1147+O1147)/6))</f>
        <v/>
      </c>
      <c r="Q1147" s="10">
        <f>IFERROR(IF(INDEX('Test catalog'!$K$2:$K$200,MATCH($AB1147,'Test catalog'!$A$2:$A$200,0))="","",INDEX('Test catalog'!$K$2:$K$200,MATCH($AB1147,'Test catalog'!$A$2:$A$200,0))),"")</f>
        <v/>
      </c>
      <c r="R1147" s="5" t="n"/>
      <c r="S1147" s="10">
        <f>IFERROR(IF(INDEX('Test catalog'!$L$2:$L$200,MATCH($AB1147,'Test catalog'!$A$2:$A$200,0))="","",INDEX('Test catalog'!$L$2:$L$200,MATCH($AB1147,'Test catalog'!$A$2:$A$200,0))),"")</f>
        <v/>
      </c>
      <c r="T1147" s="10">
        <f>IFERROR(IF(INDEX('Test catalog'!$M$2:$M$200,MATCH($AB1147,'Test catalog'!$A$2:$A$200,0))="","",INDEX('Test catalog'!$M$2:$M$200,MATCH($AB1147,'Test catalog'!$A$2:$A$200,0))),"")</f>
        <v/>
      </c>
      <c r="U1147" s="10">
        <f>IFERROR(IF(INDEX('Test catalog'!$N$2:$N$200,MATCH($AB1147,'Test catalog'!$A$2:$A$200,0))="","",INDEX('Test catalog'!$N$2:$N$200,MATCH($AB1147,'Test catalog'!$A$2:$A$200,0))),"")</f>
        <v/>
      </c>
      <c r="V1147" s="15" t="n"/>
      <c r="W1147" s="5" t="inlineStr">
        <is>
          <t>N</t>
        </is>
      </c>
      <c r="X1147" s="5" t="n"/>
      <c r="Y1147" s="5" t="n"/>
      <c r="Z1147" s="5" t="n"/>
      <c r="AA1147" s="10">
        <f>IFERROR(IF(INDEX('Test catalog'!$O$2:$O$200,MATCH($AB1147,'Test catalog'!$A$2:$A$200,0))="","",INDEX('Test catalog'!$O$2:$O$200,MATCH($AB1147,'Test catalog'!$A$2:$A$200,0))),"")</f>
        <v/>
      </c>
      <c r="AB1147" s="10" t="inlineStr">
        <is>
          <t>LIMIT</t>
        </is>
      </c>
      <c r="AC1147" s="10" t="inlineStr">
        <is>
          <t>Anhydrous Citric Acid · Impurities</t>
        </is>
      </c>
      <c r="AD1147" s="10" t="n"/>
      <c r="AE1147" s="10" t="n"/>
    </row>
    <row r="1148">
      <c r="A1148" s="10" t="inlineStr">
        <is>
          <t>Citric Acid Anhydrous</t>
        </is>
      </c>
      <c r="B1148" s="10" t="inlineStr">
        <is>
          <t>RM</t>
        </is>
      </c>
      <c r="C1148" s="10" t="inlineStr">
        <is>
          <t>pH Modifier / Buffer</t>
        </is>
      </c>
      <c r="D1148" s="10" t="inlineStr">
        <is>
          <t>Clarity of Solution</t>
        </is>
      </c>
      <c r="E1148" s="10">
        <f>IF(A1148="","",A1148&amp;"|"&amp;D1148)</f>
        <v/>
      </c>
      <c r="F1148" s="5" t="inlineStr">
        <is>
          <t>Y</t>
        </is>
      </c>
      <c r="G1148" s="5" t="inlineStr">
        <is>
          <t>Other / bench</t>
        </is>
      </c>
      <c r="H1148" s="5" t="inlineStr">
        <is>
          <t>Low</t>
        </is>
      </c>
      <c r="I1148" s="5" t="n">
        <v>1</v>
      </c>
      <c r="J1148" s="5" t="n"/>
      <c r="K1148" s="10">
        <f>IFERROR(IF(INDEX('Test catalog'!$F$2:$F$200,MATCH($AB1148,'Test catalog'!$A$2:$A$200,0))="","",INDEX('Test catalog'!$F$2:$F$200,MATCH($AB1148,'Test catalog'!$A$2:$A$200,0))),"")</f>
        <v/>
      </c>
      <c r="L1148" s="10">
        <f>IFERROR(IF(INDEX('Test catalog'!$G$2:$G$200,MATCH($AB1148,'Test catalog'!$A$2:$A$200,0))="","",INDEX('Test catalog'!$G$2:$G$200,MATCH($AB1148,'Test catalog'!$A$2:$A$200,0))),"")</f>
        <v/>
      </c>
      <c r="M1148" s="10">
        <f>IFERROR(IF(INDEX('Test catalog'!$H$2:$H$200,MATCH($AB1148,'Test catalog'!$A$2:$A$200,0))="","",INDEX('Test catalog'!$H$2:$H$200,MATCH($AB1148,'Test catalog'!$A$2:$A$200,0))),"")</f>
        <v/>
      </c>
      <c r="N1148" s="10">
        <f>IFERROR(IF(INDEX('Test catalog'!$I$2:$I$200,MATCH($AB1148,'Test catalog'!$A$2:$A$200,0))="","",INDEX('Test catalog'!$I$2:$I$200,MATCH($AB1148,'Test catalog'!$A$2:$A$200,0))),"")</f>
        <v/>
      </c>
      <c r="O1148" s="10">
        <f>IFERROR(IF(INDEX('Test catalog'!$J$2:$J$200,MATCH($AB1148,'Test catalog'!$A$2:$A$200,0))="","",INDEX('Test catalog'!$J$2:$J$200,MATCH($AB1148,'Test catalog'!$A$2:$A$200,0))),"")</f>
        <v/>
      </c>
      <c r="P1148" s="14">
        <f>IF(N1148="","",IF(OR(M1148="",O1148=""),N1148,(M1148+4*N1148+O1148)/6))</f>
        <v/>
      </c>
      <c r="Q1148" s="10">
        <f>IFERROR(IF(INDEX('Test catalog'!$K$2:$K$200,MATCH($AB1148,'Test catalog'!$A$2:$A$200,0))="","",INDEX('Test catalog'!$K$2:$K$200,MATCH($AB1148,'Test catalog'!$A$2:$A$200,0))),"")</f>
        <v/>
      </c>
      <c r="R1148" s="5" t="n"/>
      <c r="S1148" s="10">
        <f>IFERROR(IF(INDEX('Test catalog'!$L$2:$L$200,MATCH($AB1148,'Test catalog'!$A$2:$A$200,0))="","",INDEX('Test catalog'!$L$2:$L$200,MATCH($AB1148,'Test catalog'!$A$2:$A$200,0))),"")</f>
        <v/>
      </c>
      <c r="T1148" s="10">
        <f>IFERROR(IF(INDEX('Test catalog'!$M$2:$M$200,MATCH($AB1148,'Test catalog'!$A$2:$A$200,0))="","",INDEX('Test catalog'!$M$2:$M$200,MATCH($AB1148,'Test catalog'!$A$2:$A$200,0))),"")</f>
        <v/>
      </c>
      <c r="U1148" s="10">
        <f>IFERROR(IF(INDEX('Test catalog'!$N$2:$N$200,MATCH($AB1148,'Test catalog'!$A$2:$A$200,0))="","",INDEX('Test catalog'!$N$2:$N$200,MATCH($AB1148,'Test catalog'!$A$2:$A$200,0))),"")</f>
        <v/>
      </c>
      <c r="V1148" s="15" t="n"/>
      <c r="W1148" s="5" t="inlineStr">
        <is>
          <t>N</t>
        </is>
      </c>
      <c r="X1148" s="5" t="n"/>
      <c r="Y1148" s="5" t="n"/>
      <c r="Z1148" s="5" t="n"/>
      <c r="AA1148" s="10">
        <f>IFERROR(IF(INDEX('Test catalog'!$O$2:$O$200,MATCH($AB1148,'Test catalog'!$A$2:$A$200,0))="","",INDEX('Test catalog'!$O$2:$O$200,MATCH($AB1148,'Test catalog'!$A$2:$A$200,0))),"")</f>
        <v/>
      </c>
      <c r="AB1148" s="10" t="inlineStr">
        <is>
          <t>CLAR</t>
        </is>
      </c>
      <c r="AC1148" s="10" t="inlineStr">
        <is>
          <t>Anhydrous Citric Acid · Specific Tests</t>
        </is>
      </c>
      <c r="AD1148" s="10" t="n"/>
      <c r="AE1148" s="10" t="n"/>
    </row>
    <row r="1149">
      <c r="A1149" s="10" t="inlineStr">
        <is>
          <t>Citric Acid Anhydrous</t>
        </is>
      </c>
      <c r="B1149" s="10" t="inlineStr">
        <is>
          <t>RM</t>
        </is>
      </c>
      <c r="C1149" s="10" t="inlineStr">
        <is>
          <t>pH Modifier / Buffer</t>
        </is>
      </c>
      <c r="D1149" s="10" t="inlineStr">
        <is>
          <t>Color of Solution</t>
        </is>
      </c>
      <c r="E1149" s="10">
        <f>IF(A1149="","",A1149&amp;"|"&amp;D1149)</f>
        <v/>
      </c>
      <c r="F1149" s="5" t="inlineStr">
        <is>
          <t>Y</t>
        </is>
      </c>
      <c r="G1149" s="5" t="inlineStr">
        <is>
          <t>Other / bench</t>
        </is>
      </c>
      <c r="H1149" s="5" t="inlineStr">
        <is>
          <t>Low</t>
        </is>
      </c>
      <c r="I1149" s="5" t="n">
        <v>1</v>
      </c>
      <c r="J1149" s="5" t="n"/>
      <c r="K1149" s="10">
        <f>IFERROR(IF(INDEX('Test catalog'!$F$2:$F$200,MATCH($AB1149,'Test catalog'!$A$2:$A$200,0))="","",INDEX('Test catalog'!$F$2:$F$200,MATCH($AB1149,'Test catalog'!$A$2:$A$200,0))),"")</f>
        <v/>
      </c>
      <c r="L1149" s="10">
        <f>IFERROR(IF(INDEX('Test catalog'!$G$2:$G$200,MATCH($AB1149,'Test catalog'!$A$2:$A$200,0))="","",INDEX('Test catalog'!$G$2:$G$200,MATCH($AB1149,'Test catalog'!$A$2:$A$200,0))),"")</f>
        <v/>
      </c>
      <c r="M1149" s="10">
        <f>IFERROR(IF(INDEX('Test catalog'!$H$2:$H$200,MATCH($AB1149,'Test catalog'!$A$2:$A$200,0))="","",INDEX('Test catalog'!$H$2:$H$200,MATCH($AB1149,'Test catalog'!$A$2:$A$200,0))),"")</f>
        <v/>
      </c>
      <c r="N1149" s="10">
        <f>IFERROR(IF(INDEX('Test catalog'!$I$2:$I$200,MATCH($AB1149,'Test catalog'!$A$2:$A$200,0))="","",INDEX('Test catalog'!$I$2:$I$200,MATCH($AB1149,'Test catalog'!$A$2:$A$200,0))),"")</f>
        <v/>
      </c>
      <c r="O1149" s="10">
        <f>IFERROR(IF(INDEX('Test catalog'!$J$2:$J$200,MATCH($AB1149,'Test catalog'!$A$2:$A$200,0))="","",INDEX('Test catalog'!$J$2:$J$200,MATCH($AB1149,'Test catalog'!$A$2:$A$200,0))),"")</f>
        <v/>
      </c>
      <c r="P1149" s="14">
        <f>IF(N1149="","",IF(OR(M1149="",O1149=""),N1149,(M1149+4*N1149+O1149)/6))</f>
        <v/>
      </c>
      <c r="Q1149" s="10">
        <f>IFERROR(IF(INDEX('Test catalog'!$K$2:$K$200,MATCH($AB1149,'Test catalog'!$A$2:$A$200,0))="","",INDEX('Test catalog'!$K$2:$K$200,MATCH($AB1149,'Test catalog'!$A$2:$A$200,0))),"")</f>
        <v/>
      </c>
      <c r="R1149" s="5" t="n"/>
      <c r="S1149" s="10">
        <f>IFERROR(IF(INDEX('Test catalog'!$L$2:$L$200,MATCH($AB1149,'Test catalog'!$A$2:$A$200,0))="","",INDEX('Test catalog'!$L$2:$L$200,MATCH($AB1149,'Test catalog'!$A$2:$A$200,0))),"")</f>
        <v/>
      </c>
      <c r="T1149" s="10">
        <f>IFERROR(IF(INDEX('Test catalog'!$M$2:$M$200,MATCH($AB1149,'Test catalog'!$A$2:$A$200,0))="","",INDEX('Test catalog'!$M$2:$M$200,MATCH($AB1149,'Test catalog'!$A$2:$A$200,0))),"")</f>
        <v/>
      </c>
      <c r="U1149" s="10">
        <f>IFERROR(IF(INDEX('Test catalog'!$N$2:$N$200,MATCH($AB1149,'Test catalog'!$A$2:$A$200,0))="","",INDEX('Test catalog'!$N$2:$N$200,MATCH($AB1149,'Test catalog'!$A$2:$A$200,0))),"")</f>
        <v/>
      </c>
      <c r="V1149" s="15" t="n"/>
      <c r="W1149" s="5" t="inlineStr">
        <is>
          <t>N</t>
        </is>
      </c>
      <c r="X1149" s="5" t="n"/>
      <c r="Y1149" s="5" t="n"/>
      <c r="Z1149" s="5" t="n"/>
      <c r="AA1149" s="10">
        <f>IFERROR(IF(INDEX('Test catalog'!$O$2:$O$200,MATCH($AB1149,'Test catalog'!$A$2:$A$200,0))="","",INDEX('Test catalog'!$O$2:$O$200,MATCH($AB1149,'Test catalog'!$A$2:$A$200,0))),"")</f>
        <v/>
      </c>
      <c r="AB1149" s="10" t="inlineStr">
        <is>
          <t>CLAR</t>
        </is>
      </c>
      <c r="AC1149" s="10" t="inlineStr">
        <is>
          <t>Anhydrous Citric Acid · Specific Tests</t>
        </is>
      </c>
      <c r="AD1149" s="10" t="n"/>
      <c r="AE1149" s="10" t="n"/>
    </row>
    <row r="1150">
      <c r="A1150" s="10" t="inlineStr">
        <is>
          <t>Citric Acid Anhydrous</t>
        </is>
      </c>
      <c r="B1150" s="10" t="inlineStr">
        <is>
          <t>RM</t>
        </is>
      </c>
      <c r="C1150" s="10" t="inlineStr">
        <is>
          <t>pH Modifier / Buffer</t>
        </is>
      </c>
      <c r="D1150" s="10" t="inlineStr">
        <is>
          <t>Readily Carbonizable Substances</t>
        </is>
      </c>
      <c r="E1150" s="10">
        <f>IF(A1150="","",A1150&amp;"|"&amp;D1150)</f>
        <v/>
      </c>
      <c r="F1150" s="5" t="inlineStr">
        <is>
          <t>Y</t>
        </is>
      </c>
      <c r="G1150" s="5" t="inlineStr">
        <is>
          <t>Other / bench</t>
        </is>
      </c>
      <c r="H1150" s="5" t="inlineStr">
        <is>
          <t>Low</t>
        </is>
      </c>
      <c r="I1150" s="5" t="n">
        <v>1</v>
      </c>
      <c r="J1150" s="5" t="n"/>
      <c r="K1150" s="10">
        <f>IFERROR(IF(INDEX('Test catalog'!$F$2:$F$200,MATCH($AB1150,'Test catalog'!$A$2:$A$200,0))="","",INDEX('Test catalog'!$F$2:$F$200,MATCH($AB1150,'Test catalog'!$A$2:$A$200,0))),"")</f>
        <v/>
      </c>
      <c r="L1150" s="10">
        <f>IFERROR(IF(INDEX('Test catalog'!$G$2:$G$200,MATCH($AB1150,'Test catalog'!$A$2:$A$200,0))="","",INDEX('Test catalog'!$G$2:$G$200,MATCH($AB1150,'Test catalog'!$A$2:$A$200,0))),"")</f>
        <v/>
      </c>
      <c r="M1150" s="10">
        <f>IFERROR(IF(INDEX('Test catalog'!$H$2:$H$200,MATCH($AB1150,'Test catalog'!$A$2:$A$200,0))="","",INDEX('Test catalog'!$H$2:$H$200,MATCH($AB1150,'Test catalog'!$A$2:$A$200,0))),"")</f>
        <v/>
      </c>
      <c r="N1150" s="10">
        <f>IFERROR(IF(INDEX('Test catalog'!$I$2:$I$200,MATCH($AB1150,'Test catalog'!$A$2:$A$200,0))="","",INDEX('Test catalog'!$I$2:$I$200,MATCH($AB1150,'Test catalog'!$A$2:$A$200,0))),"")</f>
        <v/>
      </c>
      <c r="O1150" s="10">
        <f>IFERROR(IF(INDEX('Test catalog'!$J$2:$J$200,MATCH($AB1150,'Test catalog'!$A$2:$A$200,0))="","",INDEX('Test catalog'!$J$2:$J$200,MATCH($AB1150,'Test catalog'!$A$2:$A$200,0))),"")</f>
        <v/>
      </c>
      <c r="P1150" s="14">
        <f>IF(N1150="","",IF(OR(M1150="",O1150=""),N1150,(M1150+4*N1150+O1150)/6))</f>
        <v/>
      </c>
      <c r="Q1150" s="10">
        <f>IFERROR(IF(INDEX('Test catalog'!$K$2:$K$200,MATCH($AB1150,'Test catalog'!$A$2:$A$200,0))="","",INDEX('Test catalog'!$K$2:$K$200,MATCH($AB1150,'Test catalog'!$A$2:$A$200,0))),"")</f>
        <v/>
      </c>
      <c r="R1150" s="5" t="n"/>
      <c r="S1150" s="10">
        <f>IFERROR(IF(INDEX('Test catalog'!$L$2:$L$200,MATCH($AB1150,'Test catalog'!$A$2:$A$200,0))="","",INDEX('Test catalog'!$L$2:$L$200,MATCH($AB1150,'Test catalog'!$A$2:$A$200,0))),"")</f>
        <v/>
      </c>
      <c r="T1150" s="10">
        <f>IFERROR(IF(INDEX('Test catalog'!$M$2:$M$200,MATCH($AB1150,'Test catalog'!$A$2:$A$200,0))="","",INDEX('Test catalog'!$M$2:$M$200,MATCH($AB1150,'Test catalog'!$A$2:$A$200,0))),"")</f>
        <v/>
      </c>
      <c r="U1150" s="10">
        <f>IFERROR(IF(INDEX('Test catalog'!$N$2:$N$200,MATCH($AB1150,'Test catalog'!$A$2:$A$200,0))="","",INDEX('Test catalog'!$N$2:$N$200,MATCH($AB1150,'Test catalog'!$A$2:$A$200,0))),"")</f>
        <v/>
      </c>
      <c r="V1150" s="15" t="n"/>
      <c r="W1150" s="5" t="inlineStr">
        <is>
          <t>N</t>
        </is>
      </c>
      <c r="X1150" s="5" t="n"/>
      <c r="Y1150" s="5" t="n"/>
      <c r="Z1150" s="5" t="n"/>
      <c r="AA1150" s="10">
        <f>IFERROR(IF(INDEX('Test catalog'!$O$2:$O$200,MATCH($AB1150,'Test catalog'!$A$2:$A$200,0))="","",INDEX('Test catalog'!$O$2:$O$200,MATCH($AB1150,'Test catalog'!$A$2:$A$200,0))),"")</f>
        <v/>
      </c>
      <c r="AB1150" s="10" t="inlineStr">
        <is>
          <t>LIMIT</t>
        </is>
      </c>
      <c r="AC1150" s="10" t="inlineStr">
        <is>
          <t>Anhydrous Citric Acid · Specific Tests</t>
        </is>
      </c>
      <c r="AD1150" s="10" t="n"/>
      <c r="AE1150" s="10" t="n"/>
    </row>
    <row r="1151">
      <c r="A1151" s="10" t="inlineStr">
        <is>
          <t>Citric Acid Anhydrous</t>
        </is>
      </c>
      <c r="B1151" s="10" t="inlineStr">
        <is>
          <t>RM</t>
        </is>
      </c>
      <c r="C1151" s="10" t="inlineStr">
        <is>
          <t>pH Modifier / Buffer</t>
        </is>
      </c>
      <c r="D1151" s="10" t="inlineStr">
        <is>
          <t>Water Determination, Method I</t>
        </is>
      </c>
      <c r="E1151" s="10">
        <f>IF(A1151="","",A1151&amp;"|"&amp;D1151)</f>
        <v/>
      </c>
      <c r="F1151" s="5" t="inlineStr">
        <is>
          <t>Y</t>
        </is>
      </c>
      <c r="G1151" s="5" t="inlineStr">
        <is>
          <t>KF titrator</t>
        </is>
      </c>
      <c r="H1151" s="5" t="inlineStr">
        <is>
          <t>Low</t>
        </is>
      </c>
      <c r="I1151" s="5" t="n">
        <v>1</v>
      </c>
      <c r="J1151" s="5" t="n"/>
      <c r="K1151" s="10">
        <f>IFERROR(IF(INDEX('Test catalog'!$F$2:$F$200,MATCH($AB1151,'Test catalog'!$A$2:$A$200,0))="","",INDEX('Test catalog'!$F$2:$F$200,MATCH($AB1151,'Test catalog'!$A$2:$A$200,0))),"")</f>
        <v/>
      </c>
      <c r="L1151" s="10">
        <f>IFERROR(IF(INDEX('Test catalog'!$G$2:$G$200,MATCH($AB1151,'Test catalog'!$A$2:$A$200,0))="","",INDEX('Test catalog'!$G$2:$G$200,MATCH($AB1151,'Test catalog'!$A$2:$A$200,0))),"")</f>
        <v/>
      </c>
      <c r="M1151" s="10">
        <f>IFERROR(IF(INDEX('Test catalog'!$H$2:$H$200,MATCH($AB1151,'Test catalog'!$A$2:$A$200,0))="","",INDEX('Test catalog'!$H$2:$H$200,MATCH($AB1151,'Test catalog'!$A$2:$A$200,0))),"")</f>
        <v/>
      </c>
      <c r="N1151" s="10">
        <f>IFERROR(IF(INDEX('Test catalog'!$I$2:$I$200,MATCH($AB1151,'Test catalog'!$A$2:$A$200,0))="","",INDEX('Test catalog'!$I$2:$I$200,MATCH($AB1151,'Test catalog'!$A$2:$A$200,0))),"")</f>
        <v/>
      </c>
      <c r="O1151" s="10">
        <f>IFERROR(IF(INDEX('Test catalog'!$J$2:$J$200,MATCH($AB1151,'Test catalog'!$A$2:$A$200,0))="","",INDEX('Test catalog'!$J$2:$J$200,MATCH($AB1151,'Test catalog'!$A$2:$A$200,0))),"")</f>
        <v/>
      </c>
      <c r="P1151" s="14">
        <f>IF(N1151="","",IF(OR(M1151="",O1151=""),N1151,(M1151+4*N1151+O1151)/6))</f>
        <v/>
      </c>
      <c r="Q1151" s="10">
        <f>IFERROR(IF(INDEX('Test catalog'!$K$2:$K$200,MATCH($AB1151,'Test catalog'!$A$2:$A$200,0))="","",INDEX('Test catalog'!$K$2:$K$200,MATCH($AB1151,'Test catalog'!$A$2:$A$200,0))),"")</f>
        <v/>
      </c>
      <c r="R1151" s="5" t="n"/>
      <c r="S1151" s="10">
        <f>IFERROR(IF(INDEX('Test catalog'!$L$2:$L$200,MATCH($AB1151,'Test catalog'!$A$2:$A$200,0))="","",INDEX('Test catalog'!$L$2:$L$200,MATCH($AB1151,'Test catalog'!$A$2:$A$200,0))),"")</f>
        <v/>
      </c>
      <c r="T1151" s="10">
        <f>IFERROR(IF(INDEX('Test catalog'!$M$2:$M$200,MATCH($AB1151,'Test catalog'!$A$2:$A$200,0))="","",INDEX('Test catalog'!$M$2:$M$200,MATCH($AB1151,'Test catalog'!$A$2:$A$200,0))),"")</f>
        <v/>
      </c>
      <c r="U1151" s="10">
        <f>IFERROR(IF(INDEX('Test catalog'!$N$2:$N$200,MATCH($AB1151,'Test catalog'!$A$2:$A$200,0))="","",INDEX('Test catalog'!$N$2:$N$200,MATCH($AB1151,'Test catalog'!$A$2:$A$200,0))),"")</f>
        <v/>
      </c>
      <c r="V1151" s="15" t="n"/>
      <c r="W1151" s="5" t="inlineStr">
        <is>
          <t>N</t>
        </is>
      </c>
      <c r="X1151" s="5" t="n"/>
      <c r="Y1151" s="5" t="n"/>
      <c r="Z1151" s="5" t="n"/>
      <c r="AA1151" s="10">
        <f>IFERROR(IF(INDEX('Test catalog'!$O$2:$O$200,MATCH($AB1151,'Test catalog'!$A$2:$A$200,0))="","",INDEX('Test catalog'!$O$2:$O$200,MATCH($AB1151,'Test catalog'!$A$2:$A$200,0))),"")</f>
        <v/>
      </c>
      <c r="AB1151" s="10" t="inlineStr">
        <is>
          <t>KF</t>
        </is>
      </c>
      <c r="AC1151" s="10" t="inlineStr">
        <is>
          <t>Anhydrous Citric Acid · Specific Tests &lt;921&gt;</t>
        </is>
      </c>
      <c r="AD1151" s="10" t="n"/>
      <c r="AE1151" s="10" t="n"/>
    </row>
    <row r="1152">
      <c r="A1152" s="10" t="inlineStr">
        <is>
          <t>Hydrochloric Acid Solution 37%</t>
        </is>
      </c>
      <c r="B1152" s="10" t="inlineStr">
        <is>
          <t>RM</t>
        </is>
      </c>
      <c r="C1152" s="10" t="inlineStr">
        <is>
          <t>pH Modifier / Buffer</t>
        </is>
      </c>
      <c r="D1152" s="10" t="inlineStr">
        <is>
          <t>Appearance / description and solubility</t>
        </is>
      </c>
      <c r="E1152" s="10">
        <f>IF(A1152="","",A1152&amp;"|"&amp;D1152)</f>
        <v/>
      </c>
      <c r="F1152" s="5" t="inlineStr">
        <is>
          <t>Y</t>
        </is>
      </c>
      <c r="G1152" s="5" t="inlineStr">
        <is>
          <t>Other / bench</t>
        </is>
      </c>
      <c r="H1152" s="5" t="inlineStr">
        <is>
          <t>Low</t>
        </is>
      </c>
      <c r="I1152" s="5" t="n">
        <v>1</v>
      </c>
      <c r="J1152" s="5" t="n"/>
      <c r="K1152" s="10">
        <f>IFERROR(IF(INDEX('Test catalog'!$F$2:$F$200,MATCH($AB1152,'Test catalog'!$A$2:$A$200,0))="","",INDEX('Test catalog'!$F$2:$F$200,MATCH($AB1152,'Test catalog'!$A$2:$A$200,0))),"")</f>
        <v/>
      </c>
      <c r="L1152" s="10">
        <f>IFERROR(IF(INDEX('Test catalog'!$G$2:$G$200,MATCH($AB1152,'Test catalog'!$A$2:$A$200,0))="","",INDEX('Test catalog'!$G$2:$G$200,MATCH($AB1152,'Test catalog'!$A$2:$A$200,0))),"")</f>
        <v/>
      </c>
      <c r="M1152" s="10">
        <f>IFERROR(IF(INDEX('Test catalog'!$H$2:$H$200,MATCH($AB1152,'Test catalog'!$A$2:$A$200,0))="","",INDEX('Test catalog'!$H$2:$H$200,MATCH($AB1152,'Test catalog'!$A$2:$A$200,0))),"")</f>
        <v/>
      </c>
      <c r="N1152" s="10">
        <f>IFERROR(IF(INDEX('Test catalog'!$I$2:$I$200,MATCH($AB1152,'Test catalog'!$A$2:$A$200,0))="","",INDEX('Test catalog'!$I$2:$I$200,MATCH($AB1152,'Test catalog'!$A$2:$A$200,0))),"")</f>
        <v/>
      </c>
      <c r="O1152" s="10">
        <f>IFERROR(IF(INDEX('Test catalog'!$J$2:$J$200,MATCH($AB1152,'Test catalog'!$A$2:$A$200,0))="","",INDEX('Test catalog'!$J$2:$J$200,MATCH($AB1152,'Test catalog'!$A$2:$A$200,0))),"")</f>
        <v/>
      </c>
      <c r="P1152" s="14">
        <f>IF(N1152="","",IF(OR(M1152="",O1152=""),N1152,(M1152+4*N1152+O1152)/6))</f>
        <v/>
      </c>
      <c r="Q1152" s="10">
        <f>IFERROR(IF(INDEX('Test catalog'!$K$2:$K$200,MATCH($AB1152,'Test catalog'!$A$2:$A$200,0))="","",INDEX('Test catalog'!$K$2:$K$200,MATCH($AB1152,'Test catalog'!$A$2:$A$200,0))),"")</f>
        <v/>
      </c>
      <c r="R1152" s="5" t="n"/>
      <c r="S1152" s="10">
        <f>IFERROR(IF(INDEX('Test catalog'!$L$2:$L$200,MATCH($AB1152,'Test catalog'!$A$2:$A$200,0))="","",INDEX('Test catalog'!$L$2:$L$200,MATCH($AB1152,'Test catalog'!$A$2:$A$200,0))),"")</f>
        <v/>
      </c>
      <c r="T1152" s="10">
        <f>IFERROR(IF(INDEX('Test catalog'!$M$2:$M$200,MATCH($AB1152,'Test catalog'!$A$2:$A$200,0))="","",INDEX('Test catalog'!$M$2:$M$200,MATCH($AB1152,'Test catalog'!$A$2:$A$200,0))),"")</f>
        <v/>
      </c>
      <c r="U1152" s="10">
        <f>IFERROR(IF(INDEX('Test catalog'!$N$2:$N$200,MATCH($AB1152,'Test catalog'!$A$2:$A$200,0))="","",INDEX('Test catalog'!$N$2:$N$200,MATCH($AB1152,'Test catalog'!$A$2:$A$200,0))),"")</f>
        <v/>
      </c>
      <c r="V1152" s="15" t="n"/>
      <c r="W1152" s="5" t="inlineStr">
        <is>
          <t>N</t>
        </is>
      </c>
      <c r="X1152" s="5" t="n"/>
      <c r="Y1152" s="5" t="n"/>
      <c r="Z1152" s="5" t="n"/>
      <c r="AA1152" s="10">
        <f>IFERROR(IF(INDEX('Test catalog'!$O$2:$O$200,MATCH($AB1152,'Test catalog'!$A$2:$A$200,0))="","",INDEX('Test catalog'!$O$2:$O$200,MATCH($AB1152,'Test catalog'!$A$2:$A$200,0))),"")</f>
        <v/>
      </c>
      <c r="AB1152" s="10" t="inlineStr">
        <is>
          <t>APPEAR</t>
        </is>
      </c>
      <c r="AC1152" s="10" t="inlineStr">
        <is>
          <t>Lab practice (not a USP test)</t>
        </is>
      </c>
      <c r="AD1152" s="10" t="n"/>
      <c r="AE1152" s="10" t="n"/>
    </row>
    <row r="1153">
      <c r="A1153" s="10" t="inlineStr">
        <is>
          <t>Hydrochloric Acid Solution 37%</t>
        </is>
      </c>
      <c r="B1153" s="10" t="inlineStr">
        <is>
          <t>RM</t>
        </is>
      </c>
      <c r="C1153" s="10" t="inlineStr">
        <is>
          <t>pH Modifier / Buffer</t>
        </is>
      </c>
      <c r="D1153" s="10" t="inlineStr">
        <is>
          <t>ID A - chemical reaction</t>
        </is>
      </c>
      <c r="E1153" s="10">
        <f>IF(A1153="","",A1153&amp;"|"&amp;D1153)</f>
        <v/>
      </c>
      <c r="F1153" s="5" t="inlineStr">
        <is>
          <t>Y</t>
        </is>
      </c>
      <c r="G1153" s="5" t="inlineStr">
        <is>
          <t>Other / bench</t>
        </is>
      </c>
      <c r="H1153" s="5" t="inlineStr">
        <is>
          <t>Low</t>
        </is>
      </c>
      <c r="I1153" s="5" t="n">
        <v>1</v>
      </c>
      <c r="J1153" s="5" t="n"/>
      <c r="K1153" s="10">
        <f>IFERROR(IF(INDEX('Test catalog'!$F$2:$F$200,MATCH($AB1153,'Test catalog'!$A$2:$A$200,0))="","",INDEX('Test catalog'!$F$2:$F$200,MATCH($AB1153,'Test catalog'!$A$2:$A$200,0))),"")</f>
        <v/>
      </c>
      <c r="L1153" s="10">
        <f>IFERROR(IF(INDEX('Test catalog'!$G$2:$G$200,MATCH($AB1153,'Test catalog'!$A$2:$A$200,0))="","",INDEX('Test catalog'!$G$2:$G$200,MATCH($AB1153,'Test catalog'!$A$2:$A$200,0))),"")</f>
        <v/>
      </c>
      <c r="M1153" s="10">
        <f>IFERROR(IF(INDEX('Test catalog'!$H$2:$H$200,MATCH($AB1153,'Test catalog'!$A$2:$A$200,0))="","",INDEX('Test catalog'!$H$2:$H$200,MATCH($AB1153,'Test catalog'!$A$2:$A$200,0))),"")</f>
        <v/>
      </c>
      <c r="N1153" s="10">
        <f>IFERROR(IF(INDEX('Test catalog'!$I$2:$I$200,MATCH($AB1153,'Test catalog'!$A$2:$A$200,0))="","",INDEX('Test catalog'!$I$2:$I$200,MATCH($AB1153,'Test catalog'!$A$2:$A$200,0))),"")</f>
        <v/>
      </c>
      <c r="O1153" s="10">
        <f>IFERROR(IF(INDEX('Test catalog'!$J$2:$J$200,MATCH($AB1153,'Test catalog'!$A$2:$A$200,0))="","",INDEX('Test catalog'!$J$2:$J$200,MATCH($AB1153,'Test catalog'!$A$2:$A$200,0))),"")</f>
        <v/>
      </c>
      <c r="P1153" s="14">
        <f>IF(N1153="","",IF(OR(M1153="",O1153=""),N1153,(M1153+4*N1153+O1153)/6))</f>
        <v/>
      </c>
      <c r="Q1153" s="10">
        <f>IFERROR(IF(INDEX('Test catalog'!$K$2:$K$200,MATCH($AB1153,'Test catalog'!$A$2:$A$200,0))="","",INDEX('Test catalog'!$K$2:$K$200,MATCH($AB1153,'Test catalog'!$A$2:$A$200,0))),"")</f>
        <v/>
      </c>
      <c r="R1153" s="5" t="n"/>
      <c r="S1153" s="10">
        <f>IFERROR(IF(INDEX('Test catalog'!$L$2:$L$200,MATCH($AB1153,'Test catalog'!$A$2:$A$200,0))="","",INDEX('Test catalog'!$L$2:$L$200,MATCH($AB1153,'Test catalog'!$A$2:$A$200,0))),"")</f>
        <v/>
      </c>
      <c r="T1153" s="10">
        <f>IFERROR(IF(INDEX('Test catalog'!$M$2:$M$200,MATCH($AB1153,'Test catalog'!$A$2:$A$200,0))="","",INDEX('Test catalog'!$M$2:$M$200,MATCH($AB1153,'Test catalog'!$A$2:$A$200,0))),"")</f>
        <v/>
      </c>
      <c r="U1153" s="10">
        <f>IFERROR(IF(INDEX('Test catalog'!$N$2:$N$200,MATCH($AB1153,'Test catalog'!$A$2:$A$200,0))="","",INDEX('Test catalog'!$N$2:$N$200,MATCH($AB1153,'Test catalog'!$A$2:$A$200,0))),"")</f>
        <v/>
      </c>
      <c r="V1153" s="15" t="n"/>
      <c r="W1153" s="5" t="inlineStr">
        <is>
          <t>N</t>
        </is>
      </c>
      <c r="X1153" s="5" t="n"/>
      <c r="Y1153" s="5" t="n"/>
      <c r="Z1153" s="5" t="n"/>
      <c r="AA1153" s="10">
        <f>IFERROR(IF(INDEX('Test catalog'!$O$2:$O$200,MATCH($AB1153,'Test catalog'!$A$2:$A$200,0))="","",INDEX('Test catalog'!$O$2:$O$200,MATCH($AB1153,'Test catalog'!$A$2:$A$200,0))),"")</f>
        <v/>
      </c>
      <c r="AB1153" s="10" t="inlineStr">
        <is>
          <t>ID_CHEM</t>
        </is>
      </c>
      <c r="AC1153" s="10" t="inlineStr">
        <is>
          <t>Hydrochloric Acid · Identification &lt;191&gt;</t>
        </is>
      </c>
      <c r="AD1153" s="10" t="n"/>
      <c r="AE1153" s="10" t="n"/>
    </row>
    <row r="1154">
      <c r="A1154" s="10" t="inlineStr">
        <is>
          <t>Hydrochloric Acid Solution 37%</t>
        </is>
      </c>
      <c r="B1154" s="10" t="inlineStr">
        <is>
          <t>RM</t>
        </is>
      </c>
      <c r="C1154" s="10" t="inlineStr">
        <is>
          <t>pH Modifier / Buffer</t>
        </is>
      </c>
      <c r="D1154" s="10" t="inlineStr">
        <is>
          <t>Assay</t>
        </is>
      </c>
      <c r="E1154" s="10">
        <f>IF(A1154="","",A1154&amp;"|"&amp;D1154)</f>
        <v/>
      </c>
      <c r="F1154" s="5" t="inlineStr">
        <is>
          <t>Y</t>
        </is>
      </c>
      <c r="G1154" s="5" t="inlineStr">
        <is>
          <t>Other / bench</t>
        </is>
      </c>
      <c r="H1154" s="5" t="inlineStr">
        <is>
          <t>Low</t>
        </is>
      </c>
      <c r="I1154" s="5" t="n">
        <v>1</v>
      </c>
      <c r="J1154" s="5" t="n"/>
      <c r="K1154" s="10">
        <f>IFERROR(IF(INDEX('Test catalog'!$F$2:$F$200,MATCH($AB1154,'Test catalog'!$A$2:$A$200,0))="","",INDEX('Test catalog'!$F$2:$F$200,MATCH($AB1154,'Test catalog'!$A$2:$A$200,0))),"")</f>
        <v/>
      </c>
      <c r="L1154" s="10">
        <f>IFERROR(IF(INDEX('Test catalog'!$G$2:$G$200,MATCH($AB1154,'Test catalog'!$A$2:$A$200,0))="","",INDEX('Test catalog'!$G$2:$G$200,MATCH($AB1154,'Test catalog'!$A$2:$A$200,0))),"")</f>
        <v/>
      </c>
      <c r="M1154" s="10">
        <f>IFERROR(IF(INDEX('Test catalog'!$H$2:$H$200,MATCH($AB1154,'Test catalog'!$A$2:$A$200,0))="","",INDEX('Test catalog'!$H$2:$H$200,MATCH($AB1154,'Test catalog'!$A$2:$A$200,0))),"")</f>
        <v/>
      </c>
      <c r="N1154" s="10">
        <f>IFERROR(IF(INDEX('Test catalog'!$I$2:$I$200,MATCH($AB1154,'Test catalog'!$A$2:$A$200,0))="","",INDEX('Test catalog'!$I$2:$I$200,MATCH($AB1154,'Test catalog'!$A$2:$A$200,0))),"")</f>
        <v/>
      </c>
      <c r="O1154" s="10">
        <f>IFERROR(IF(INDEX('Test catalog'!$J$2:$J$200,MATCH($AB1154,'Test catalog'!$A$2:$A$200,0))="","",INDEX('Test catalog'!$J$2:$J$200,MATCH($AB1154,'Test catalog'!$A$2:$A$200,0))),"")</f>
        <v/>
      </c>
      <c r="P1154" s="14">
        <f>IF(N1154="","",IF(OR(M1154="",O1154=""),N1154,(M1154+4*N1154+O1154)/6))</f>
        <v/>
      </c>
      <c r="Q1154" s="10">
        <f>IFERROR(IF(INDEX('Test catalog'!$K$2:$K$200,MATCH($AB1154,'Test catalog'!$A$2:$A$200,0))="","",INDEX('Test catalog'!$K$2:$K$200,MATCH($AB1154,'Test catalog'!$A$2:$A$200,0))),"")</f>
        <v/>
      </c>
      <c r="R1154" s="5" t="n"/>
      <c r="S1154" s="10">
        <f>IFERROR(IF(INDEX('Test catalog'!$L$2:$L$200,MATCH($AB1154,'Test catalog'!$A$2:$A$200,0))="","",INDEX('Test catalog'!$L$2:$L$200,MATCH($AB1154,'Test catalog'!$A$2:$A$200,0))),"")</f>
        <v/>
      </c>
      <c r="T1154" s="10">
        <f>IFERROR(IF(INDEX('Test catalog'!$M$2:$M$200,MATCH($AB1154,'Test catalog'!$A$2:$A$200,0))="","",INDEX('Test catalog'!$M$2:$M$200,MATCH($AB1154,'Test catalog'!$A$2:$A$200,0))),"")</f>
        <v/>
      </c>
      <c r="U1154" s="10">
        <f>IFERROR(IF(INDEX('Test catalog'!$N$2:$N$200,MATCH($AB1154,'Test catalog'!$A$2:$A$200,0))="","",INDEX('Test catalog'!$N$2:$N$200,MATCH($AB1154,'Test catalog'!$A$2:$A$200,0))),"")</f>
        <v/>
      </c>
      <c r="V1154" s="15" t="n"/>
      <c r="W1154" s="5" t="inlineStr">
        <is>
          <t>N</t>
        </is>
      </c>
      <c r="X1154" s="5" t="n"/>
      <c r="Y1154" s="5" t="n"/>
      <c r="Z1154" s="5" t="n"/>
      <c r="AA1154" s="10">
        <f>IFERROR(IF(INDEX('Test catalog'!$O$2:$O$200,MATCH($AB1154,'Test catalog'!$A$2:$A$200,0))="","",INDEX('Test catalog'!$O$2:$O$200,MATCH($AB1154,'Test catalog'!$A$2:$A$200,0))),"")</f>
        <v/>
      </c>
      <c r="AB1154" s="10" t="inlineStr">
        <is>
          <t>TITR</t>
        </is>
      </c>
      <c r="AC1154" s="10" t="inlineStr">
        <is>
          <t>Hydrochloric Acid · Assay &lt;541&gt;</t>
        </is>
      </c>
      <c r="AD1154" s="10" t="n"/>
      <c r="AE1154" s="10" t="n"/>
    </row>
    <row r="1155">
      <c r="A1155" s="10" t="inlineStr">
        <is>
          <t>Hydrochloric Acid Solution 37%</t>
        </is>
      </c>
      <c r="B1155" s="10" t="inlineStr">
        <is>
          <t>RM</t>
        </is>
      </c>
      <c r="C1155" s="10" t="inlineStr">
        <is>
          <t>pH Modifier / Buffer</t>
        </is>
      </c>
      <c r="D1155" s="10" t="inlineStr">
        <is>
          <t>Residue on Ignition</t>
        </is>
      </c>
      <c r="E1155" s="10">
        <f>IF(A1155="","",A1155&amp;"|"&amp;D1155)</f>
        <v/>
      </c>
      <c r="F1155" s="5" t="inlineStr">
        <is>
          <t>Y</t>
        </is>
      </c>
      <c r="G1155" s="5" t="inlineStr">
        <is>
          <t>Other / bench</t>
        </is>
      </c>
      <c r="H1155" s="5" t="inlineStr">
        <is>
          <t>Low</t>
        </is>
      </c>
      <c r="I1155" s="5" t="n">
        <v>1</v>
      </c>
      <c r="J1155" s="5" t="n"/>
      <c r="K1155" s="10">
        <f>IFERROR(IF(INDEX('Test catalog'!$F$2:$F$200,MATCH($AB1155,'Test catalog'!$A$2:$A$200,0))="","",INDEX('Test catalog'!$F$2:$F$200,MATCH($AB1155,'Test catalog'!$A$2:$A$200,0))),"")</f>
        <v/>
      </c>
      <c r="L1155" s="10">
        <f>IFERROR(IF(INDEX('Test catalog'!$G$2:$G$200,MATCH($AB1155,'Test catalog'!$A$2:$A$200,0))="","",INDEX('Test catalog'!$G$2:$G$200,MATCH($AB1155,'Test catalog'!$A$2:$A$200,0))),"")</f>
        <v/>
      </c>
      <c r="M1155" s="10">
        <f>IFERROR(IF(INDEX('Test catalog'!$H$2:$H$200,MATCH($AB1155,'Test catalog'!$A$2:$A$200,0))="","",INDEX('Test catalog'!$H$2:$H$200,MATCH($AB1155,'Test catalog'!$A$2:$A$200,0))),"")</f>
        <v/>
      </c>
      <c r="N1155" s="10">
        <f>IFERROR(IF(INDEX('Test catalog'!$I$2:$I$200,MATCH($AB1155,'Test catalog'!$A$2:$A$200,0))="","",INDEX('Test catalog'!$I$2:$I$200,MATCH($AB1155,'Test catalog'!$A$2:$A$200,0))),"")</f>
        <v/>
      </c>
      <c r="O1155" s="10">
        <f>IFERROR(IF(INDEX('Test catalog'!$J$2:$J$200,MATCH($AB1155,'Test catalog'!$A$2:$A$200,0))="","",INDEX('Test catalog'!$J$2:$J$200,MATCH($AB1155,'Test catalog'!$A$2:$A$200,0))),"")</f>
        <v/>
      </c>
      <c r="P1155" s="14">
        <f>IF(N1155="","",IF(OR(M1155="",O1155=""),N1155,(M1155+4*N1155+O1155)/6))</f>
        <v/>
      </c>
      <c r="Q1155" s="10">
        <f>IFERROR(IF(INDEX('Test catalog'!$K$2:$K$200,MATCH($AB1155,'Test catalog'!$A$2:$A$200,0))="","",INDEX('Test catalog'!$K$2:$K$200,MATCH($AB1155,'Test catalog'!$A$2:$A$200,0))),"")</f>
        <v/>
      </c>
      <c r="R1155" s="5" t="n"/>
      <c r="S1155" s="10">
        <f>IFERROR(IF(INDEX('Test catalog'!$L$2:$L$200,MATCH($AB1155,'Test catalog'!$A$2:$A$200,0))="","",INDEX('Test catalog'!$L$2:$L$200,MATCH($AB1155,'Test catalog'!$A$2:$A$200,0))),"")</f>
        <v/>
      </c>
      <c r="T1155" s="10">
        <f>IFERROR(IF(INDEX('Test catalog'!$M$2:$M$200,MATCH($AB1155,'Test catalog'!$A$2:$A$200,0))="","",INDEX('Test catalog'!$M$2:$M$200,MATCH($AB1155,'Test catalog'!$A$2:$A$200,0))),"")</f>
        <v/>
      </c>
      <c r="U1155" s="10">
        <f>IFERROR(IF(INDEX('Test catalog'!$N$2:$N$200,MATCH($AB1155,'Test catalog'!$A$2:$A$200,0))="","",INDEX('Test catalog'!$N$2:$N$200,MATCH($AB1155,'Test catalog'!$A$2:$A$200,0))),"")</f>
        <v/>
      </c>
      <c r="V1155" s="15" t="n"/>
      <c r="W1155" s="5" t="inlineStr">
        <is>
          <t>N</t>
        </is>
      </c>
      <c r="X1155" s="5" t="n"/>
      <c r="Y1155" s="5" t="n"/>
      <c r="Z1155" s="5" t="n"/>
      <c r="AA1155" s="10">
        <f>IFERROR(IF(INDEX('Test catalog'!$O$2:$O$200,MATCH($AB1155,'Test catalog'!$A$2:$A$200,0))="","",INDEX('Test catalog'!$O$2:$O$200,MATCH($AB1155,'Test catalog'!$A$2:$A$200,0))),"")</f>
        <v/>
      </c>
      <c r="AB1155" s="10" t="inlineStr">
        <is>
          <t>ROI</t>
        </is>
      </c>
      <c r="AC1155" s="10" t="inlineStr">
        <is>
          <t>Hydrochloric Acid · Impurities &lt;281&gt;</t>
        </is>
      </c>
      <c r="AD1155" s="10" t="n"/>
      <c r="AE1155" s="10" t="n"/>
    </row>
    <row r="1156">
      <c r="A1156" s="10" t="inlineStr">
        <is>
          <t>Hydrochloric Acid Solution 37%</t>
        </is>
      </c>
      <c r="B1156" s="10" t="inlineStr">
        <is>
          <t>RM</t>
        </is>
      </c>
      <c r="C1156" s="10" t="inlineStr">
        <is>
          <t>pH Modifier / Buffer</t>
        </is>
      </c>
      <c r="D1156" s="10" t="inlineStr">
        <is>
          <t>Bromide or Iodide</t>
        </is>
      </c>
      <c r="E1156" s="10">
        <f>IF(A1156="","",A1156&amp;"|"&amp;D1156)</f>
        <v/>
      </c>
      <c r="F1156" s="5" t="inlineStr">
        <is>
          <t>Y</t>
        </is>
      </c>
      <c r="G1156" s="5" t="inlineStr">
        <is>
          <t>Other / bench</t>
        </is>
      </c>
      <c r="H1156" s="5" t="inlineStr">
        <is>
          <t>Low</t>
        </is>
      </c>
      <c r="I1156" s="5" t="n">
        <v>1</v>
      </c>
      <c r="J1156" s="5" t="n"/>
      <c r="K1156" s="10">
        <f>IFERROR(IF(INDEX('Test catalog'!$F$2:$F$200,MATCH($AB1156,'Test catalog'!$A$2:$A$200,0))="","",INDEX('Test catalog'!$F$2:$F$200,MATCH($AB1156,'Test catalog'!$A$2:$A$200,0))),"")</f>
        <v/>
      </c>
      <c r="L1156" s="10">
        <f>IFERROR(IF(INDEX('Test catalog'!$G$2:$G$200,MATCH($AB1156,'Test catalog'!$A$2:$A$200,0))="","",INDEX('Test catalog'!$G$2:$G$200,MATCH($AB1156,'Test catalog'!$A$2:$A$200,0))),"")</f>
        <v/>
      </c>
      <c r="M1156" s="10">
        <f>IFERROR(IF(INDEX('Test catalog'!$H$2:$H$200,MATCH($AB1156,'Test catalog'!$A$2:$A$200,0))="","",INDEX('Test catalog'!$H$2:$H$200,MATCH($AB1156,'Test catalog'!$A$2:$A$200,0))),"")</f>
        <v/>
      </c>
      <c r="N1156" s="10">
        <f>IFERROR(IF(INDEX('Test catalog'!$I$2:$I$200,MATCH($AB1156,'Test catalog'!$A$2:$A$200,0))="","",INDEX('Test catalog'!$I$2:$I$200,MATCH($AB1156,'Test catalog'!$A$2:$A$200,0))),"")</f>
        <v/>
      </c>
      <c r="O1156" s="10">
        <f>IFERROR(IF(INDEX('Test catalog'!$J$2:$J$200,MATCH($AB1156,'Test catalog'!$A$2:$A$200,0))="","",INDEX('Test catalog'!$J$2:$J$200,MATCH($AB1156,'Test catalog'!$A$2:$A$200,0))),"")</f>
        <v/>
      </c>
      <c r="P1156" s="14">
        <f>IF(N1156="","",IF(OR(M1156="",O1156=""),N1156,(M1156+4*N1156+O1156)/6))</f>
        <v/>
      </c>
      <c r="Q1156" s="10">
        <f>IFERROR(IF(INDEX('Test catalog'!$K$2:$K$200,MATCH($AB1156,'Test catalog'!$A$2:$A$200,0))="","",INDEX('Test catalog'!$K$2:$K$200,MATCH($AB1156,'Test catalog'!$A$2:$A$200,0))),"")</f>
        <v/>
      </c>
      <c r="R1156" s="5" t="n"/>
      <c r="S1156" s="10">
        <f>IFERROR(IF(INDEX('Test catalog'!$L$2:$L$200,MATCH($AB1156,'Test catalog'!$A$2:$A$200,0))="","",INDEX('Test catalog'!$L$2:$L$200,MATCH($AB1156,'Test catalog'!$A$2:$A$200,0))),"")</f>
        <v/>
      </c>
      <c r="T1156" s="10">
        <f>IFERROR(IF(INDEX('Test catalog'!$M$2:$M$200,MATCH($AB1156,'Test catalog'!$A$2:$A$200,0))="","",INDEX('Test catalog'!$M$2:$M$200,MATCH($AB1156,'Test catalog'!$A$2:$A$200,0))),"")</f>
        <v/>
      </c>
      <c r="U1156" s="10">
        <f>IFERROR(IF(INDEX('Test catalog'!$N$2:$N$200,MATCH($AB1156,'Test catalog'!$A$2:$A$200,0))="","",INDEX('Test catalog'!$N$2:$N$200,MATCH($AB1156,'Test catalog'!$A$2:$A$200,0))),"")</f>
        <v/>
      </c>
      <c r="V1156" s="15" t="n"/>
      <c r="W1156" s="5" t="inlineStr">
        <is>
          <t>N</t>
        </is>
      </c>
      <c r="X1156" s="5" t="n"/>
      <c r="Y1156" s="5" t="n"/>
      <c r="Z1156" s="5" t="n"/>
      <c r="AA1156" s="10">
        <f>IFERROR(IF(INDEX('Test catalog'!$O$2:$O$200,MATCH($AB1156,'Test catalog'!$A$2:$A$200,0))="","",INDEX('Test catalog'!$O$2:$O$200,MATCH($AB1156,'Test catalog'!$A$2:$A$200,0))),"")</f>
        <v/>
      </c>
      <c r="AB1156" s="10" t="inlineStr">
        <is>
          <t>LIMIT</t>
        </is>
      </c>
      <c r="AC1156" s="10" t="inlineStr">
        <is>
          <t>Hydrochloric Acid · Specific Tests</t>
        </is>
      </c>
      <c r="AD1156" s="10" t="n"/>
      <c r="AE1156" s="10" t="n"/>
    </row>
    <row r="1157">
      <c r="A1157" s="10" t="inlineStr">
        <is>
          <t>Hydrochloric Acid Solution 37%</t>
        </is>
      </c>
      <c r="B1157" s="10" t="inlineStr">
        <is>
          <t>RM</t>
        </is>
      </c>
      <c r="C1157" s="10" t="inlineStr">
        <is>
          <t>pH Modifier / Buffer</t>
        </is>
      </c>
      <c r="D1157" s="10" t="inlineStr">
        <is>
          <t>Free Bromine or Chlorine</t>
        </is>
      </c>
      <c r="E1157" s="10">
        <f>IF(A1157="","",A1157&amp;"|"&amp;D1157)</f>
        <v/>
      </c>
      <c r="F1157" s="5" t="inlineStr">
        <is>
          <t>Y</t>
        </is>
      </c>
      <c r="G1157" s="5" t="inlineStr">
        <is>
          <t>Other / bench</t>
        </is>
      </c>
      <c r="H1157" s="5" t="inlineStr">
        <is>
          <t>Low</t>
        </is>
      </c>
      <c r="I1157" s="5" t="n">
        <v>1</v>
      </c>
      <c r="J1157" s="5" t="n"/>
      <c r="K1157" s="10">
        <f>IFERROR(IF(INDEX('Test catalog'!$F$2:$F$200,MATCH($AB1157,'Test catalog'!$A$2:$A$200,0))="","",INDEX('Test catalog'!$F$2:$F$200,MATCH($AB1157,'Test catalog'!$A$2:$A$200,0))),"")</f>
        <v/>
      </c>
      <c r="L1157" s="10">
        <f>IFERROR(IF(INDEX('Test catalog'!$G$2:$G$200,MATCH($AB1157,'Test catalog'!$A$2:$A$200,0))="","",INDEX('Test catalog'!$G$2:$G$200,MATCH($AB1157,'Test catalog'!$A$2:$A$200,0))),"")</f>
        <v/>
      </c>
      <c r="M1157" s="10">
        <f>IFERROR(IF(INDEX('Test catalog'!$H$2:$H$200,MATCH($AB1157,'Test catalog'!$A$2:$A$200,0))="","",INDEX('Test catalog'!$H$2:$H$200,MATCH($AB1157,'Test catalog'!$A$2:$A$200,0))),"")</f>
        <v/>
      </c>
      <c r="N1157" s="10">
        <f>IFERROR(IF(INDEX('Test catalog'!$I$2:$I$200,MATCH($AB1157,'Test catalog'!$A$2:$A$200,0))="","",INDEX('Test catalog'!$I$2:$I$200,MATCH($AB1157,'Test catalog'!$A$2:$A$200,0))),"")</f>
        <v/>
      </c>
      <c r="O1157" s="10">
        <f>IFERROR(IF(INDEX('Test catalog'!$J$2:$J$200,MATCH($AB1157,'Test catalog'!$A$2:$A$200,0))="","",INDEX('Test catalog'!$J$2:$J$200,MATCH($AB1157,'Test catalog'!$A$2:$A$200,0))),"")</f>
        <v/>
      </c>
      <c r="P1157" s="14">
        <f>IF(N1157="","",IF(OR(M1157="",O1157=""),N1157,(M1157+4*N1157+O1157)/6))</f>
        <v/>
      </c>
      <c r="Q1157" s="10">
        <f>IFERROR(IF(INDEX('Test catalog'!$K$2:$K$200,MATCH($AB1157,'Test catalog'!$A$2:$A$200,0))="","",INDEX('Test catalog'!$K$2:$K$200,MATCH($AB1157,'Test catalog'!$A$2:$A$200,0))),"")</f>
        <v/>
      </c>
      <c r="R1157" s="5" t="n"/>
      <c r="S1157" s="10">
        <f>IFERROR(IF(INDEX('Test catalog'!$L$2:$L$200,MATCH($AB1157,'Test catalog'!$A$2:$A$200,0))="","",INDEX('Test catalog'!$L$2:$L$200,MATCH($AB1157,'Test catalog'!$A$2:$A$200,0))),"")</f>
        <v/>
      </c>
      <c r="T1157" s="10">
        <f>IFERROR(IF(INDEX('Test catalog'!$M$2:$M$200,MATCH($AB1157,'Test catalog'!$A$2:$A$200,0))="","",INDEX('Test catalog'!$M$2:$M$200,MATCH($AB1157,'Test catalog'!$A$2:$A$200,0))),"")</f>
        <v/>
      </c>
      <c r="U1157" s="10">
        <f>IFERROR(IF(INDEX('Test catalog'!$N$2:$N$200,MATCH($AB1157,'Test catalog'!$A$2:$A$200,0))="","",INDEX('Test catalog'!$N$2:$N$200,MATCH($AB1157,'Test catalog'!$A$2:$A$200,0))),"")</f>
        <v/>
      </c>
      <c r="V1157" s="15" t="n"/>
      <c r="W1157" s="5" t="inlineStr">
        <is>
          <t>N</t>
        </is>
      </c>
      <c r="X1157" s="5" t="n"/>
      <c r="Y1157" s="5" t="n"/>
      <c r="Z1157" s="5" t="n"/>
      <c r="AA1157" s="10">
        <f>IFERROR(IF(INDEX('Test catalog'!$O$2:$O$200,MATCH($AB1157,'Test catalog'!$A$2:$A$200,0))="","",INDEX('Test catalog'!$O$2:$O$200,MATCH($AB1157,'Test catalog'!$A$2:$A$200,0))),"")</f>
        <v/>
      </c>
      <c r="AB1157" s="10" t="inlineStr">
        <is>
          <t>LIMIT</t>
        </is>
      </c>
      <c r="AC1157" s="10" t="inlineStr">
        <is>
          <t>Hydrochloric Acid · Specific Tests</t>
        </is>
      </c>
      <c r="AD1157" s="10" t="n"/>
      <c r="AE1157" s="10" t="n"/>
    </row>
    <row r="1158">
      <c r="A1158" s="10" t="inlineStr">
        <is>
          <t>Hydrochloric Acid Solution 37%</t>
        </is>
      </c>
      <c r="B1158" s="10" t="inlineStr">
        <is>
          <t>RM</t>
        </is>
      </c>
      <c r="C1158" s="10" t="inlineStr">
        <is>
          <t>pH Modifier / Buffer</t>
        </is>
      </c>
      <c r="D1158" s="10" t="inlineStr">
        <is>
          <t>Sulfate</t>
        </is>
      </c>
      <c r="E1158" s="10">
        <f>IF(A1158="","",A1158&amp;"|"&amp;D1158)</f>
        <v/>
      </c>
      <c r="F1158" s="5" t="inlineStr">
        <is>
          <t>Y</t>
        </is>
      </c>
      <c r="G1158" s="5" t="inlineStr">
        <is>
          <t>Other / bench</t>
        </is>
      </c>
      <c r="H1158" s="5" t="inlineStr">
        <is>
          <t>Low</t>
        </is>
      </c>
      <c r="I1158" s="5" t="n">
        <v>1</v>
      </c>
      <c r="J1158" s="5" t="n"/>
      <c r="K1158" s="10">
        <f>IFERROR(IF(INDEX('Test catalog'!$F$2:$F$200,MATCH($AB1158,'Test catalog'!$A$2:$A$200,0))="","",INDEX('Test catalog'!$F$2:$F$200,MATCH($AB1158,'Test catalog'!$A$2:$A$200,0))),"")</f>
        <v/>
      </c>
      <c r="L1158" s="10">
        <f>IFERROR(IF(INDEX('Test catalog'!$G$2:$G$200,MATCH($AB1158,'Test catalog'!$A$2:$A$200,0))="","",INDEX('Test catalog'!$G$2:$G$200,MATCH($AB1158,'Test catalog'!$A$2:$A$200,0))),"")</f>
        <v/>
      </c>
      <c r="M1158" s="10">
        <f>IFERROR(IF(INDEX('Test catalog'!$H$2:$H$200,MATCH($AB1158,'Test catalog'!$A$2:$A$200,0))="","",INDEX('Test catalog'!$H$2:$H$200,MATCH($AB1158,'Test catalog'!$A$2:$A$200,0))),"")</f>
        <v/>
      </c>
      <c r="N1158" s="10">
        <f>IFERROR(IF(INDEX('Test catalog'!$I$2:$I$200,MATCH($AB1158,'Test catalog'!$A$2:$A$200,0))="","",INDEX('Test catalog'!$I$2:$I$200,MATCH($AB1158,'Test catalog'!$A$2:$A$200,0))),"")</f>
        <v/>
      </c>
      <c r="O1158" s="10">
        <f>IFERROR(IF(INDEX('Test catalog'!$J$2:$J$200,MATCH($AB1158,'Test catalog'!$A$2:$A$200,0))="","",INDEX('Test catalog'!$J$2:$J$200,MATCH($AB1158,'Test catalog'!$A$2:$A$200,0))),"")</f>
        <v/>
      </c>
      <c r="P1158" s="14">
        <f>IF(N1158="","",IF(OR(M1158="",O1158=""),N1158,(M1158+4*N1158+O1158)/6))</f>
        <v/>
      </c>
      <c r="Q1158" s="10">
        <f>IFERROR(IF(INDEX('Test catalog'!$K$2:$K$200,MATCH($AB1158,'Test catalog'!$A$2:$A$200,0))="","",INDEX('Test catalog'!$K$2:$K$200,MATCH($AB1158,'Test catalog'!$A$2:$A$200,0))),"")</f>
        <v/>
      </c>
      <c r="R1158" s="5" t="n"/>
      <c r="S1158" s="10">
        <f>IFERROR(IF(INDEX('Test catalog'!$L$2:$L$200,MATCH($AB1158,'Test catalog'!$A$2:$A$200,0))="","",INDEX('Test catalog'!$L$2:$L$200,MATCH($AB1158,'Test catalog'!$A$2:$A$200,0))),"")</f>
        <v/>
      </c>
      <c r="T1158" s="10">
        <f>IFERROR(IF(INDEX('Test catalog'!$M$2:$M$200,MATCH($AB1158,'Test catalog'!$A$2:$A$200,0))="","",INDEX('Test catalog'!$M$2:$M$200,MATCH($AB1158,'Test catalog'!$A$2:$A$200,0))),"")</f>
        <v/>
      </c>
      <c r="U1158" s="10">
        <f>IFERROR(IF(INDEX('Test catalog'!$N$2:$N$200,MATCH($AB1158,'Test catalog'!$A$2:$A$200,0))="","",INDEX('Test catalog'!$N$2:$N$200,MATCH($AB1158,'Test catalog'!$A$2:$A$200,0))),"")</f>
        <v/>
      </c>
      <c r="V1158" s="15" t="n"/>
      <c r="W1158" s="5" t="inlineStr">
        <is>
          <t>N</t>
        </is>
      </c>
      <c r="X1158" s="5" t="n"/>
      <c r="Y1158" s="5" t="n"/>
      <c r="Z1158" s="5" t="n"/>
      <c r="AA1158" s="10">
        <f>IFERROR(IF(INDEX('Test catalog'!$O$2:$O$200,MATCH($AB1158,'Test catalog'!$A$2:$A$200,0))="","",INDEX('Test catalog'!$O$2:$O$200,MATCH($AB1158,'Test catalog'!$A$2:$A$200,0))),"")</f>
        <v/>
      </c>
      <c r="AB1158" s="10" t="inlineStr">
        <is>
          <t>LIMIT</t>
        </is>
      </c>
      <c r="AC1158" s="10" t="inlineStr">
        <is>
          <t>Hydrochloric Acid · Specific Tests</t>
        </is>
      </c>
      <c r="AD1158" s="10" t="n"/>
      <c r="AE1158" s="10" t="n"/>
    </row>
    <row r="1159">
      <c r="A1159" s="10" t="inlineStr">
        <is>
          <t>Hydrochloric Acid Solution 37%</t>
        </is>
      </c>
      <c r="B1159" s="10" t="inlineStr">
        <is>
          <t>RM</t>
        </is>
      </c>
      <c r="C1159" s="10" t="inlineStr">
        <is>
          <t>pH Modifier / Buffer</t>
        </is>
      </c>
      <c r="D1159" s="10" t="inlineStr">
        <is>
          <t>Sulfite</t>
        </is>
      </c>
      <c r="E1159" s="10">
        <f>IF(A1159="","",A1159&amp;"|"&amp;D1159)</f>
        <v/>
      </c>
      <c r="F1159" s="5" t="inlineStr">
        <is>
          <t>Y</t>
        </is>
      </c>
      <c r="G1159" s="5" t="inlineStr">
        <is>
          <t>Other / bench</t>
        </is>
      </c>
      <c r="H1159" s="5" t="inlineStr">
        <is>
          <t>Low</t>
        </is>
      </c>
      <c r="I1159" s="5" t="n">
        <v>1</v>
      </c>
      <c r="J1159" s="5" t="n"/>
      <c r="K1159" s="10">
        <f>IFERROR(IF(INDEX('Test catalog'!$F$2:$F$200,MATCH($AB1159,'Test catalog'!$A$2:$A$200,0))="","",INDEX('Test catalog'!$F$2:$F$200,MATCH($AB1159,'Test catalog'!$A$2:$A$200,0))),"")</f>
        <v/>
      </c>
      <c r="L1159" s="10">
        <f>IFERROR(IF(INDEX('Test catalog'!$G$2:$G$200,MATCH($AB1159,'Test catalog'!$A$2:$A$200,0))="","",INDEX('Test catalog'!$G$2:$G$200,MATCH($AB1159,'Test catalog'!$A$2:$A$200,0))),"")</f>
        <v/>
      </c>
      <c r="M1159" s="10">
        <f>IFERROR(IF(INDEX('Test catalog'!$H$2:$H$200,MATCH($AB1159,'Test catalog'!$A$2:$A$200,0))="","",INDEX('Test catalog'!$H$2:$H$200,MATCH($AB1159,'Test catalog'!$A$2:$A$200,0))),"")</f>
        <v/>
      </c>
      <c r="N1159" s="10">
        <f>IFERROR(IF(INDEX('Test catalog'!$I$2:$I$200,MATCH($AB1159,'Test catalog'!$A$2:$A$200,0))="","",INDEX('Test catalog'!$I$2:$I$200,MATCH($AB1159,'Test catalog'!$A$2:$A$200,0))),"")</f>
        <v/>
      </c>
      <c r="O1159" s="10">
        <f>IFERROR(IF(INDEX('Test catalog'!$J$2:$J$200,MATCH($AB1159,'Test catalog'!$A$2:$A$200,0))="","",INDEX('Test catalog'!$J$2:$J$200,MATCH($AB1159,'Test catalog'!$A$2:$A$200,0))),"")</f>
        <v/>
      </c>
      <c r="P1159" s="14">
        <f>IF(N1159="","",IF(OR(M1159="",O1159=""),N1159,(M1159+4*N1159+O1159)/6))</f>
        <v/>
      </c>
      <c r="Q1159" s="10">
        <f>IFERROR(IF(INDEX('Test catalog'!$K$2:$K$200,MATCH($AB1159,'Test catalog'!$A$2:$A$200,0))="","",INDEX('Test catalog'!$K$2:$K$200,MATCH($AB1159,'Test catalog'!$A$2:$A$200,0))),"")</f>
        <v/>
      </c>
      <c r="R1159" s="5" t="n"/>
      <c r="S1159" s="10">
        <f>IFERROR(IF(INDEX('Test catalog'!$L$2:$L$200,MATCH($AB1159,'Test catalog'!$A$2:$A$200,0))="","",INDEX('Test catalog'!$L$2:$L$200,MATCH($AB1159,'Test catalog'!$A$2:$A$200,0))),"")</f>
        <v/>
      </c>
      <c r="T1159" s="10">
        <f>IFERROR(IF(INDEX('Test catalog'!$M$2:$M$200,MATCH($AB1159,'Test catalog'!$A$2:$A$200,0))="","",INDEX('Test catalog'!$M$2:$M$200,MATCH($AB1159,'Test catalog'!$A$2:$A$200,0))),"")</f>
        <v/>
      </c>
      <c r="U1159" s="10">
        <f>IFERROR(IF(INDEX('Test catalog'!$N$2:$N$200,MATCH($AB1159,'Test catalog'!$A$2:$A$200,0))="","",INDEX('Test catalog'!$N$2:$N$200,MATCH($AB1159,'Test catalog'!$A$2:$A$200,0))),"")</f>
        <v/>
      </c>
      <c r="V1159" s="15" t="n"/>
      <c r="W1159" s="5" t="inlineStr">
        <is>
          <t>N</t>
        </is>
      </c>
      <c r="X1159" s="5" t="n"/>
      <c r="Y1159" s="5" t="n"/>
      <c r="Z1159" s="5" t="n"/>
      <c r="AA1159" s="10">
        <f>IFERROR(IF(INDEX('Test catalog'!$O$2:$O$200,MATCH($AB1159,'Test catalog'!$A$2:$A$200,0))="","",INDEX('Test catalog'!$O$2:$O$200,MATCH($AB1159,'Test catalog'!$A$2:$A$200,0))),"")</f>
        <v/>
      </c>
      <c r="AB1159" s="10" t="inlineStr">
        <is>
          <t>LIMIT</t>
        </is>
      </c>
      <c r="AC1159" s="10" t="inlineStr">
        <is>
          <t>Hydrochloric Acid · Specific Tests</t>
        </is>
      </c>
      <c r="AD1159" s="10" t="n"/>
      <c r="AE1159" s="10" t="n"/>
    </row>
    <row r="1160">
      <c r="A1160" s="10" t="inlineStr">
        <is>
          <t>Sodium Bicarbonate</t>
        </is>
      </c>
      <c r="B1160" s="10" t="inlineStr">
        <is>
          <t>RM</t>
        </is>
      </c>
      <c r="C1160" s="10" t="inlineStr">
        <is>
          <t>pH Modifier / Buffer</t>
        </is>
      </c>
      <c r="D1160" s="10" t="inlineStr">
        <is>
          <t>Appearance / description and solubility</t>
        </is>
      </c>
      <c r="E1160" s="10">
        <f>IF(A1160="","",A1160&amp;"|"&amp;D1160)</f>
        <v/>
      </c>
      <c r="F1160" s="5" t="inlineStr">
        <is>
          <t>Y</t>
        </is>
      </c>
      <c r="G1160" s="5" t="inlineStr">
        <is>
          <t>Other / bench</t>
        </is>
      </c>
      <c r="H1160" s="5" t="inlineStr">
        <is>
          <t>Low</t>
        </is>
      </c>
      <c r="I1160" s="5" t="n">
        <v>1</v>
      </c>
      <c r="J1160" s="5" t="n"/>
      <c r="K1160" s="10">
        <f>IFERROR(IF(INDEX('Test catalog'!$F$2:$F$200,MATCH($AB1160,'Test catalog'!$A$2:$A$200,0))="","",INDEX('Test catalog'!$F$2:$F$200,MATCH($AB1160,'Test catalog'!$A$2:$A$200,0))),"")</f>
        <v/>
      </c>
      <c r="L1160" s="10">
        <f>IFERROR(IF(INDEX('Test catalog'!$G$2:$G$200,MATCH($AB1160,'Test catalog'!$A$2:$A$200,0))="","",INDEX('Test catalog'!$G$2:$G$200,MATCH($AB1160,'Test catalog'!$A$2:$A$200,0))),"")</f>
        <v/>
      </c>
      <c r="M1160" s="10">
        <f>IFERROR(IF(INDEX('Test catalog'!$H$2:$H$200,MATCH($AB1160,'Test catalog'!$A$2:$A$200,0))="","",INDEX('Test catalog'!$H$2:$H$200,MATCH($AB1160,'Test catalog'!$A$2:$A$200,0))),"")</f>
        <v/>
      </c>
      <c r="N1160" s="10">
        <f>IFERROR(IF(INDEX('Test catalog'!$I$2:$I$200,MATCH($AB1160,'Test catalog'!$A$2:$A$200,0))="","",INDEX('Test catalog'!$I$2:$I$200,MATCH($AB1160,'Test catalog'!$A$2:$A$200,0))),"")</f>
        <v/>
      </c>
      <c r="O1160" s="10">
        <f>IFERROR(IF(INDEX('Test catalog'!$J$2:$J$200,MATCH($AB1160,'Test catalog'!$A$2:$A$200,0))="","",INDEX('Test catalog'!$J$2:$J$200,MATCH($AB1160,'Test catalog'!$A$2:$A$200,0))),"")</f>
        <v/>
      </c>
      <c r="P1160" s="14">
        <f>IF(N1160="","",IF(OR(M1160="",O1160=""),N1160,(M1160+4*N1160+O1160)/6))</f>
        <v/>
      </c>
      <c r="Q1160" s="10">
        <f>IFERROR(IF(INDEX('Test catalog'!$K$2:$K$200,MATCH($AB1160,'Test catalog'!$A$2:$A$200,0))="","",INDEX('Test catalog'!$K$2:$K$200,MATCH($AB1160,'Test catalog'!$A$2:$A$200,0))),"")</f>
        <v/>
      </c>
      <c r="R1160" s="5" t="n"/>
      <c r="S1160" s="10">
        <f>IFERROR(IF(INDEX('Test catalog'!$L$2:$L$200,MATCH($AB1160,'Test catalog'!$A$2:$A$200,0))="","",INDEX('Test catalog'!$L$2:$L$200,MATCH($AB1160,'Test catalog'!$A$2:$A$200,0))),"")</f>
        <v/>
      </c>
      <c r="T1160" s="10">
        <f>IFERROR(IF(INDEX('Test catalog'!$M$2:$M$200,MATCH($AB1160,'Test catalog'!$A$2:$A$200,0))="","",INDEX('Test catalog'!$M$2:$M$200,MATCH($AB1160,'Test catalog'!$A$2:$A$200,0))),"")</f>
        <v/>
      </c>
      <c r="U1160" s="10">
        <f>IFERROR(IF(INDEX('Test catalog'!$N$2:$N$200,MATCH($AB1160,'Test catalog'!$A$2:$A$200,0))="","",INDEX('Test catalog'!$N$2:$N$200,MATCH($AB1160,'Test catalog'!$A$2:$A$200,0))),"")</f>
        <v/>
      </c>
      <c r="V1160" s="15" t="n"/>
      <c r="W1160" s="5" t="inlineStr">
        <is>
          <t>N</t>
        </is>
      </c>
      <c r="X1160" s="5" t="n"/>
      <c r="Y1160" s="5" t="n"/>
      <c r="Z1160" s="5" t="n"/>
      <c r="AA1160" s="10">
        <f>IFERROR(IF(INDEX('Test catalog'!$O$2:$O$200,MATCH($AB1160,'Test catalog'!$A$2:$A$200,0))="","",INDEX('Test catalog'!$O$2:$O$200,MATCH($AB1160,'Test catalog'!$A$2:$A$200,0))),"")</f>
        <v/>
      </c>
      <c r="AB1160" s="10" t="inlineStr">
        <is>
          <t>APPEAR</t>
        </is>
      </c>
      <c r="AC1160" s="10" t="inlineStr">
        <is>
          <t>Lab practice (not a USP test)</t>
        </is>
      </c>
      <c r="AD1160" s="10" t="n"/>
      <c r="AE1160" s="10" t="n"/>
    </row>
    <row r="1161">
      <c r="A1161" s="10" t="inlineStr">
        <is>
          <t>Sodium Bicarbonate</t>
        </is>
      </c>
      <c r="B1161" s="10" t="inlineStr">
        <is>
          <t>RM</t>
        </is>
      </c>
      <c r="C1161" s="10" t="inlineStr">
        <is>
          <t>pH Modifier / Buffer</t>
        </is>
      </c>
      <c r="D1161" s="10" t="inlineStr">
        <is>
          <t>ID A - chemical reaction</t>
        </is>
      </c>
      <c r="E1161" s="10">
        <f>IF(A1161="","",A1161&amp;"|"&amp;D1161)</f>
        <v/>
      </c>
      <c r="F1161" s="5" t="inlineStr">
        <is>
          <t>Y</t>
        </is>
      </c>
      <c r="G1161" s="5" t="inlineStr">
        <is>
          <t>Other / bench</t>
        </is>
      </c>
      <c r="H1161" s="5" t="inlineStr">
        <is>
          <t>Low</t>
        </is>
      </c>
      <c r="I1161" s="5" t="n">
        <v>1</v>
      </c>
      <c r="J1161" s="5" t="n"/>
      <c r="K1161" s="10">
        <f>IFERROR(IF(INDEX('Test catalog'!$F$2:$F$200,MATCH($AB1161,'Test catalog'!$A$2:$A$200,0))="","",INDEX('Test catalog'!$F$2:$F$200,MATCH($AB1161,'Test catalog'!$A$2:$A$200,0))),"")</f>
        <v/>
      </c>
      <c r="L1161" s="10">
        <f>IFERROR(IF(INDEX('Test catalog'!$G$2:$G$200,MATCH($AB1161,'Test catalog'!$A$2:$A$200,0))="","",INDEX('Test catalog'!$G$2:$G$200,MATCH($AB1161,'Test catalog'!$A$2:$A$200,0))),"")</f>
        <v/>
      </c>
      <c r="M1161" s="10">
        <f>IFERROR(IF(INDEX('Test catalog'!$H$2:$H$200,MATCH($AB1161,'Test catalog'!$A$2:$A$200,0))="","",INDEX('Test catalog'!$H$2:$H$200,MATCH($AB1161,'Test catalog'!$A$2:$A$200,0))),"")</f>
        <v/>
      </c>
      <c r="N1161" s="10">
        <f>IFERROR(IF(INDEX('Test catalog'!$I$2:$I$200,MATCH($AB1161,'Test catalog'!$A$2:$A$200,0))="","",INDEX('Test catalog'!$I$2:$I$200,MATCH($AB1161,'Test catalog'!$A$2:$A$200,0))),"")</f>
        <v/>
      </c>
      <c r="O1161" s="10">
        <f>IFERROR(IF(INDEX('Test catalog'!$J$2:$J$200,MATCH($AB1161,'Test catalog'!$A$2:$A$200,0))="","",INDEX('Test catalog'!$J$2:$J$200,MATCH($AB1161,'Test catalog'!$A$2:$A$200,0))),"")</f>
        <v/>
      </c>
      <c r="P1161" s="14">
        <f>IF(N1161="","",IF(OR(M1161="",O1161=""),N1161,(M1161+4*N1161+O1161)/6))</f>
        <v/>
      </c>
      <c r="Q1161" s="10">
        <f>IFERROR(IF(INDEX('Test catalog'!$K$2:$K$200,MATCH($AB1161,'Test catalog'!$A$2:$A$200,0))="","",INDEX('Test catalog'!$K$2:$K$200,MATCH($AB1161,'Test catalog'!$A$2:$A$200,0))),"")</f>
        <v/>
      </c>
      <c r="R1161" s="5" t="n"/>
      <c r="S1161" s="10">
        <f>IFERROR(IF(INDEX('Test catalog'!$L$2:$L$200,MATCH($AB1161,'Test catalog'!$A$2:$A$200,0))="","",INDEX('Test catalog'!$L$2:$L$200,MATCH($AB1161,'Test catalog'!$A$2:$A$200,0))),"")</f>
        <v/>
      </c>
      <c r="T1161" s="10">
        <f>IFERROR(IF(INDEX('Test catalog'!$M$2:$M$200,MATCH($AB1161,'Test catalog'!$A$2:$A$200,0))="","",INDEX('Test catalog'!$M$2:$M$200,MATCH($AB1161,'Test catalog'!$A$2:$A$200,0))),"")</f>
        <v/>
      </c>
      <c r="U1161" s="10">
        <f>IFERROR(IF(INDEX('Test catalog'!$N$2:$N$200,MATCH($AB1161,'Test catalog'!$A$2:$A$200,0))="","",INDEX('Test catalog'!$N$2:$N$200,MATCH($AB1161,'Test catalog'!$A$2:$A$200,0))),"")</f>
        <v/>
      </c>
      <c r="V1161" s="15" t="n"/>
      <c r="W1161" s="5" t="inlineStr">
        <is>
          <t>N</t>
        </is>
      </c>
      <c r="X1161" s="5" t="n"/>
      <c r="Y1161" s="5" t="n"/>
      <c r="Z1161" s="5" t="n"/>
      <c r="AA1161" s="10">
        <f>IFERROR(IF(INDEX('Test catalog'!$O$2:$O$200,MATCH($AB1161,'Test catalog'!$A$2:$A$200,0))="","",INDEX('Test catalog'!$O$2:$O$200,MATCH($AB1161,'Test catalog'!$A$2:$A$200,0))),"")</f>
        <v/>
      </c>
      <c r="AB1161" s="10" t="inlineStr">
        <is>
          <t>ID_CHEM</t>
        </is>
      </c>
      <c r="AC1161" s="10" t="inlineStr">
        <is>
          <t>Sodium Bicarbonate · Identification &lt;191&gt;</t>
        </is>
      </c>
      <c r="AD1161" s="10" t="n"/>
      <c r="AE1161" s="10" t="n"/>
    </row>
    <row r="1162">
      <c r="A1162" s="10" t="inlineStr">
        <is>
          <t>Sodium Bicarbonate</t>
        </is>
      </c>
      <c r="B1162" s="10" t="inlineStr">
        <is>
          <t>RM</t>
        </is>
      </c>
      <c r="C1162" s="10" t="inlineStr">
        <is>
          <t>pH Modifier / Buffer</t>
        </is>
      </c>
      <c r="D1162" s="10" t="inlineStr">
        <is>
          <t>ID B - chemical reaction</t>
        </is>
      </c>
      <c r="E1162" s="10">
        <f>IF(A1162="","",A1162&amp;"|"&amp;D1162)</f>
        <v/>
      </c>
      <c r="F1162" s="5" t="inlineStr">
        <is>
          <t>Y</t>
        </is>
      </c>
      <c r="G1162" s="5" t="inlineStr">
        <is>
          <t>Other / bench</t>
        </is>
      </c>
      <c r="H1162" s="5" t="inlineStr">
        <is>
          <t>Low</t>
        </is>
      </c>
      <c r="I1162" s="5" t="n">
        <v>1</v>
      </c>
      <c r="J1162" s="5" t="n"/>
      <c r="K1162" s="10">
        <f>IFERROR(IF(INDEX('Test catalog'!$F$2:$F$200,MATCH($AB1162,'Test catalog'!$A$2:$A$200,0))="","",INDEX('Test catalog'!$F$2:$F$200,MATCH($AB1162,'Test catalog'!$A$2:$A$200,0))),"")</f>
        <v/>
      </c>
      <c r="L1162" s="10">
        <f>IFERROR(IF(INDEX('Test catalog'!$G$2:$G$200,MATCH($AB1162,'Test catalog'!$A$2:$A$200,0))="","",INDEX('Test catalog'!$G$2:$G$200,MATCH($AB1162,'Test catalog'!$A$2:$A$200,0))),"")</f>
        <v/>
      </c>
      <c r="M1162" s="10">
        <f>IFERROR(IF(INDEX('Test catalog'!$H$2:$H$200,MATCH($AB1162,'Test catalog'!$A$2:$A$200,0))="","",INDEX('Test catalog'!$H$2:$H$200,MATCH($AB1162,'Test catalog'!$A$2:$A$200,0))),"")</f>
        <v/>
      </c>
      <c r="N1162" s="10">
        <f>IFERROR(IF(INDEX('Test catalog'!$I$2:$I$200,MATCH($AB1162,'Test catalog'!$A$2:$A$200,0))="","",INDEX('Test catalog'!$I$2:$I$200,MATCH($AB1162,'Test catalog'!$A$2:$A$200,0))),"")</f>
        <v/>
      </c>
      <c r="O1162" s="10">
        <f>IFERROR(IF(INDEX('Test catalog'!$J$2:$J$200,MATCH($AB1162,'Test catalog'!$A$2:$A$200,0))="","",INDEX('Test catalog'!$J$2:$J$200,MATCH($AB1162,'Test catalog'!$A$2:$A$200,0))),"")</f>
        <v/>
      </c>
      <c r="P1162" s="14">
        <f>IF(N1162="","",IF(OR(M1162="",O1162=""),N1162,(M1162+4*N1162+O1162)/6))</f>
        <v/>
      </c>
      <c r="Q1162" s="10">
        <f>IFERROR(IF(INDEX('Test catalog'!$K$2:$K$200,MATCH($AB1162,'Test catalog'!$A$2:$A$200,0))="","",INDEX('Test catalog'!$K$2:$K$200,MATCH($AB1162,'Test catalog'!$A$2:$A$200,0))),"")</f>
        <v/>
      </c>
      <c r="R1162" s="5" t="n"/>
      <c r="S1162" s="10">
        <f>IFERROR(IF(INDEX('Test catalog'!$L$2:$L$200,MATCH($AB1162,'Test catalog'!$A$2:$A$200,0))="","",INDEX('Test catalog'!$L$2:$L$200,MATCH($AB1162,'Test catalog'!$A$2:$A$200,0))),"")</f>
        <v/>
      </c>
      <c r="T1162" s="10">
        <f>IFERROR(IF(INDEX('Test catalog'!$M$2:$M$200,MATCH($AB1162,'Test catalog'!$A$2:$A$200,0))="","",INDEX('Test catalog'!$M$2:$M$200,MATCH($AB1162,'Test catalog'!$A$2:$A$200,0))),"")</f>
        <v/>
      </c>
      <c r="U1162" s="10">
        <f>IFERROR(IF(INDEX('Test catalog'!$N$2:$N$200,MATCH($AB1162,'Test catalog'!$A$2:$A$200,0))="","",INDEX('Test catalog'!$N$2:$N$200,MATCH($AB1162,'Test catalog'!$A$2:$A$200,0))),"")</f>
        <v/>
      </c>
      <c r="V1162" s="15" t="n"/>
      <c r="W1162" s="5" t="inlineStr">
        <is>
          <t>N</t>
        </is>
      </c>
      <c r="X1162" s="5" t="n"/>
      <c r="Y1162" s="5" t="n"/>
      <c r="Z1162" s="5" t="n"/>
      <c r="AA1162" s="10">
        <f>IFERROR(IF(INDEX('Test catalog'!$O$2:$O$200,MATCH($AB1162,'Test catalog'!$A$2:$A$200,0))="","",INDEX('Test catalog'!$O$2:$O$200,MATCH($AB1162,'Test catalog'!$A$2:$A$200,0))),"")</f>
        <v/>
      </c>
      <c r="AB1162" s="10" t="inlineStr">
        <is>
          <t>ID_CHEM</t>
        </is>
      </c>
      <c r="AC1162" s="10" t="inlineStr">
        <is>
          <t>Sodium Bicarbonate · Identification &lt;191&gt;</t>
        </is>
      </c>
      <c r="AD1162" s="10" t="n"/>
      <c r="AE1162" s="10" t="n"/>
    </row>
    <row r="1163">
      <c r="A1163" s="10" t="inlineStr">
        <is>
          <t>Sodium Bicarbonate</t>
        </is>
      </c>
      <c r="B1163" s="10" t="inlineStr">
        <is>
          <t>RM</t>
        </is>
      </c>
      <c r="C1163" s="10" t="inlineStr">
        <is>
          <t>pH Modifier / Buffer</t>
        </is>
      </c>
      <c r="D1163" s="10" t="inlineStr">
        <is>
          <t>Assay</t>
        </is>
      </c>
      <c r="E1163" s="10">
        <f>IF(A1163="","",A1163&amp;"|"&amp;D1163)</f>
        <v/>
      </c>
      <c r="F1163" s="5" t="inlineStr">
        <is>
          <t>Y</t>
        </is>
      </c>
      <c r="G1163" s="5" t="inlineStr">
        <is>
          <t>Other / bench</t>
        </is>
      </c>
      <c r="H1163" s="5" t="inlineStr">
        <is>
          <t>Low</t>
        </is>
      </c>
      <c r="I1163" s="5" t="n">
        <v>1</v>
      </c>
      <c r="J1163" s="5" t="n"/>
      <c r="K1163" s="10">
        <f>IFERROR(IF(INDEX('Test catalog'!$F$2:$F$200,MATCH($AB1163,'Test catalog'!$A$2:$A$200,0))="","",INDEX('Test catalog'!$F$2:$F$200,MATCH($AB1163,'Test catalog'!$A$2:$A$200,0))),"")</f>
        <v/>
      </c>
      <c r="L1163" s="10">
        <f>IFERROR(IF(INDEX('Test catalog'!$G$2:$G$200,MATCH($AB1163,'Test catalog'!$A$2:$A$200,0))="","",INDEX('Test catalog'!$G$2:$G$200,MATCH($AB1163,'Test catalog'!$A$2:$A$200,0))),"")</f>
        <v/>
      </c>
      <c r="M1163" s="10">
        <f>IFERROR(IF(INDEX('Test catalog'!$H$2:$H$200,MATCH($AB1163,'Test catalog'!$A$2:$A$200,0))="","",INDEX('Test catalog'!$H$2:$H$200,MATCH($AB1163,'Test catalog'!$A$2:$A$200,0))),"")</f>
        <v/>
      </c>
      <c r="N1163" s="10">
        <f>IFERROR(IF(INDEX('Test catalog'!$I$2:$I$200,MATCH($AB1163,'Test catalog'!$A$2:$A$200,0))="","",INDEX('Test catalog'!$I$2:$I$200,MATCH($AB1163,'Test catalog'!$A$2:$A$200,0))),"")</f>
        <v/>
      </c>
      <c r="O1163" s="10">
        <f>IFERROR(IF(INDEX('Test catalog'!$J$2:$J$200,MATCH($AB1163,'Test catalog'!$A$2:$A$200,0))="","",INDEX('Test catalog'!$J$2:$J$200,MATCH($AB1163,'Test catalog'!$A$2:$A$200,0))),"")</f>
        <v/>
      </c>
      <c r="P1163" s="14">
        <f>IF(N1163="","",IF(OR(M1163="",O1163=""),N1163,(M1163+4*N1163+O1163)/6))</f>
        <v/>
      </c>
      <c r="Q1163" s="10">
        <f>IFERROR(IF(INDEX('Test catalog'!$K$2:$K$200,MATCH($AB1163,'Test catalog'!$A$2:$A$200,0))="","",INDEX('Test catalog'!$K$2:$K$200,MATCH($AB1163,'Test catalog'!$A$2:$A$200,0))),"")</f>
        <v/>
      </c>
      <c r="R1163" s="5" t="n"/>
      <c r="S1163" s="10">
        <f>IFERROR(IF(INDEX('Test catalog'!$L$2:$L$200,MATCH($AB1163,'Test catalog'!$A$2:$A$200,0))="","",INDEX('Test catalog'!$L$2:$L$200,MATCH($AB1163,'Test catalog'!$A$2:$A$200,0))),"")</f>
        <v/>
      </c>
      <c r="T1163" s="10">
        <f>IFERROR(IF(INDEX('Test catalog'!$M$2:$M$200,MATCH($AB1163,'Test catalog'!$A$2:$A$200,0))="","",INDEX('Test catalog'!$M$2:$M$200,MATCH($AB1163,'Test catalog'!$A$2:$A$200,0))),"")</f>
        <v/>
      </c>
      <c r="U1163" s="10">
        <f>IFERROR(IF(INDEX('Test catalog'!$N$2:$N$200,MATCH($AB1163,'Test catalog'!$A$2:$A$200,0))="","",INDEX('Test catalog'!$N$2:$N$200,MATCH($AB1163,'Test catalog'!$A$2:$A$200,0))),"")</f>
        <v/>
      </c>
      <c r="V1163" s="15" t="n"/>
      <c r="W1163" s="5" t="inlineStr">
        <is>
          <t>N</t>
        </is>
      </c>
      <c r="X1163" s="5" t="n"/>
      <c r="Y1163" s="5" t="n"/>
      <c r="Z1163" s="5" t="n"/>
      <c r="AA1163" s="10">
        <f>IFERROR(IF(INDEX('Test catalog'!$O$2:$O$200,MATCH($AB1163,'Test catalog'!$A$2:$A$200,0))="","",INDEX('Test catalog'!$O$2:$O$200,MATCH($AB1163,'Test catalog'!$A$2:$A$200,0))),"")</f>
        <v/>
      </c>
      <c r="AB1163" s="10" t="inlineStr">
        <is>
          <t>TITR</t>
        </is>
      </c>
      <c r="AC1163" s="10" t="inlineStr">
        <is>
          <t>Sodium Bicarbonate · Assay</t>
        </is>
      </c>
      <c r="AD1163" s="10" t="n"/>
      <c r="AE1163" s="10" t="n"/>
    </row>
    <row r="1164">
      <c r="A1164" s="10" t="inlineStr">
        <is>
          <t>Sodium Bicarbonate</t>
        </is>
      </c>
      <c r="B1164" s="10" t="inlineStr">
        <is>
          <t>RM</t>
        </is>
      </c>
      <c r="C1164" s="10" t="inlineStr">
        <is>
          <t>pH Modifier / Buffer</t>
        </is>
      </c>
      <c r="D1164" s="10" t="inlineStr">
        <is>
          <t>Insoluble Substances</t>
        </is>
      </c>
      <c r="E1164" s="10">
        <f>IF(A1164="","",A1164&amp;"|"&amp;D1164)</f>
        <v/>
      </c>
      <c r="F1164" s="5" t="inlineStr">
        <is>
          <t>Y</t>
        </is>
      </c>
      <c r="G1164" s="5" t="inlineStr">
        <is>
          <t>Other / bench</t>
        </is>
      </c>
      <c r="H1164" s="5" t="inlineStr">
        <is>
          <t>Low</t>
        </is>
      </c>
      <c r="I1164" s="5" t="n">
        <v>1</v>
      </c>
      <c r="J1164" s="5" t="n"/>
      <c r="K1164" s="10">
        <f>IFERROR(IF(INDEX('Test catalog'!$F$2:$F$200,MATCH($AB1164,'Test catalog'!$A$2:$A$200,0))="","",INDEX('Test catalog'!$F$2:$F$200,MATCH($AB1164,'Test catalog'!$A$2:$A$200,0))),"")</f>
        <v/>
      </c>
      <c r="L1164" s="10">
        <f>IFERROR(IF(INDEX('Test catalog'!$G$2:$G$200,MATCH($AB1164,'Test catalog'!$A$2:$A$200,0))="","",INDEX('Test catalog'!$G$2:$G$200,MATCH($AB1164,'Test catalog'!$A$2:$A$200,0))),"")</f>
        <v/>
      </c>
      <c r="M1164" s="10">
        <f>IFERROR(IF(INDEX('Test catalog'!$H$2:$H$200,MATCH($AB1164,'Test catalog'!$A$2:$A$200,0))="","",INDEX('Test catalog'!$H$2:$H$200,MATCH($AB1164,'Test catalog'!$A$2:$A$200,0))),"")</f>
        <v/>
      </c>
      <c r="N1164" s="10">
        <f>IFERROR(IF(INDEX('Test catalog'!$I$2:$I$200,MATCH($AB1164,'Test catalog'!$A$2:$A$200,0))="","",INDEX('Test catalog'!$I$2:$I$200,MATCH($AB1164,'Test catalog'!$A$2:$A$200,0))),"")</f>
        <v/>
      </c>
      <c r="O1164" s="10">
        <f>IFERROR(IF(INDEX('Test catalog'!$J$2:$J$200,MATCH($AB1164,'Test catalog'!$A$2:$A$200,0))="","",INDEX('Test catalog'!$J$2:$J$200,MATCH($AB1164,'Test catalog'!$A$2:$A$200,0))),"")</f>
        <v/>
      </c>
      <c r="P1164" s="14">
        <f>IF(N1164="","",IF(OR(M1164="",O1164=""),N1164,(M1164+4*N1164+O1164)/6))</f>
        <v/>
      </c>
      <c r="Q1164" s="10">
        <f>IFERROR(IF(INDEX('Test catalog'!$K$2:$K$200,MATCH($AB1164,'Test catalog'!$A$2:$A$200,0))="","",INDEX('Test catalog'!$K$2:$K$200,MATCH($AB1164,'Test catalog'!$A$2:$A$200,0))),"")</f>
        <v/>
      </c>
      <c r="R1164" s="5" t="n"/>
      <c r="S1164" s="10">
        <f>IFERROR(IF(INDEX('Test catalog'!$L$2:$L$200,MATCH($AB1164,'Test catalog'!$A$2:$A$200,0))="","",INDEX('Test catalog'!$L$2:$L$200,MATCH($AB1164,'Test catalog'!$A$2:$A$200,0))),"")</f>
        <v/>
      </c>
      <c r="T1164" s="10">
        <f>IFERROR(IF(INDEX('Test catalog'!$M$2:$M$200,MATCH($AB1164,'Test catalog'!$A$2:$A$200,0))="","",INDEX('Test catalog'!$M$2:$M$200,MATCH($AB1164,'Test catalog'!$A$2:$A$200,0))),"")</f>
        <v/>
      </c>
      <c r="U1164" s="10">
        <f>IFERROR(IF(INDEX('Test catalog'!$N$2:$N$200,MATCH($AB1164,'Test catalog'!$A$2:$A$200,0))="","",INDEX('Test catalog'!$N$2:$N$200,MATCH($AB1164,'Test catalog'!$A$2:$A$200,0))),"")</f>
        <v/>
      </c>
      <c r="V1164" s="15" t="n"/>
      <c r="W1164" s="5" t="inlineStr">
        <is>
          <t>N</t>
        </is>
      </c>
      <c r="X1164" s="5" t="n"/>
      <c r="Y1164" s="5" t="n"/>
      <c r="Z1164" s="5" t="n"/>
      <c r="AA1164" s="10">
        <f>IFERROR(IF(INDEX('Test catalog'!$O$2:$O$200,MATCH($AB1164,'Test catalog'!$A$2:$A$200,0))="","",INDEX('Test catalog'!$O$2:$O$200,MATCH($AB1164,'Test catalog'!$A$2:$A$200,0))),"")</f>
        <v/>
      </c>
      <c r="AB1164" s="10" t="inlineStr">
        <is>
          <t>GRAV</t>
        </is>
      </c>
      <c r="AC1164" s="10" t="inlineStr">
        <is>
          <t>Sodium Bicarbonate · Impurities</t>
        </is>
      </c>
      <c r="AD1164" s="10" t="n"/>
      <c r="AE1164" s="10" t="n"/>
    </row>
    <row r="1165">
      <c r="A1165" s="10" t="inlineStr">
        <is>
          <t>Sodium Bicarbonate</t>
        </is>
      </c>
      <c r="B1165" s="10" t="inlineStr">
        <is>
          <t>RM</t>
        </is>
      </c>
      <c r="C1165" s="10" t="inlineStr">
        <is>
          <t>pH Modifier / Buffer</t>
        </is>
      </c>
      <c r="D1165" s="10" t="inlineStr">
        <is>
          <t>Carbonate (where it is labeled as intended for use in hemodialysis)</t>
        </is>
      </c>
      <c r="E1165" s="10">
        <f>IF(A1165="","",A1165&amp;"|"&amp;D1165)</f>
        <v/>
      </c>
      <c r="F1165" s="5" t="inlineStr">
        <is>
          <t>N</t>
        </is>
      </c>
      <c r="G1165" s="5" t="inlineStr">
        <is>
          <t>Other / bench</t>
        </is>
      </c>
      <c r="H1165" s="5" t="inlineStr">
        <is>
          <t>Low</t>
        </is>
      </c>
      <c r="I1165" s="5" t="n">
        <v>1</v>
      </c>
      <c r="J1165" s="5" t="n"/>
      <c r="K1165" s="10">
        <f>IFERROR(IF(INDEX('Test catalog'!$F$2:$F$200,MATCH($AB1165,'Test catalog'!$A$2:$A$200,0))="","",INDEX('Test catalog'!$F$2:$F$200,MATCH($AB1165,'Test catalog'!$A$2:$A$200,0))),"")</f>
        <v/>
      </c>
      <c r="L1165" s="10">
        <f>IFERROR(IF(INDEX('Test catalog'!$G$2:$G$200,MATCH($AB1165,'Test catalog'!$A$2:$A$200,0))="","",INDEX('Test catalog'!$G$2:$G$200,MATCH($AB1165,'Test catalog'!$A$2:$A$200,0))),"")</f>
        <v/>
      </c>
      <c r="M1165" s="10">
        <f>IFERROR(IF(INDEX('Test catalog'!$H$2:$H$200,MATCH($AB1165,'Test catalog'!$A$2:$A$200,0))="","",INDEX('Test catalog'!$H$2:$H$200,MATCH($AB1165,'Test catalog'!$A$2:$A$200,0))),"")</f>
        <v/>
      </c>
      <c r="N1165" s="10">
        <f>IFERROR(IF(INDEX('Test catalog'!$I$2:$I$200,MATCH($AB1165,'Test catalog'!$A$2:$A$200,0))="","",INDEX('Test catalog'!$I$2:$I$200,MATCH($AB1165,'Test catalog'!$A$2:$A$200,0))),"")</f>
        <v/>
      </c>
      <c r="O1165" s="10">
        <f>IFERROR(IF(INDEX('Test catalog'!$J$2:$J$200,MATCH($AB1165,'Test catalog'!$A$2:$A$200,0))="","",INDEX('Test catalog'!$J$2:$J$200,MATCH($AB1165,'Test catalog'!$A$2:$A$200,0))),"")</f>
        <v/>
      </c>
      <c r="P1165" s="14">
        <f>IF(N1165="","",IF(OR(M1165="",O1165=""),N1165,(M1165+4*N1165+O1165)/6))</f>
        <v/>
      </c>
      <c r="Q1165" s="10">
        <f>IFERROR(IF(INDEX('Test catalog'!$K$2:$K$200,MATCH($AB1165,'Test catalog'!$A$2:$A$200,0))="","",INDEX('Test catalog'!$K$2:$K$200,MATCH($AB1165,'Test catalog'!$A$2:$A$200,0))),"")</f>
        <v/>
      </c>
      <c r="R1165" s="5" t="n"/>
      <c r="S1165" s="10">
        <f>IFERROR(IF(INDEX('Test catalog'!$L$2:$L$200,MATCH($AB1165,'Test catalog'!$A$2:$A$200,0))="","",INDEX('Test catalog'!$L$2:$L$200,MATCH($AB1165,'Test catalog'!$A$2:$A$200,0))),"")</f>
        <v/>
      </c>
      <c r="T1165" s="10">
        <f>IFERROR(IF(INDEX('Test catalog'!$M$2:$M$200,MATCH($AB1165,'Test catalog'!$A$2:$A$200,0))="","",INDEX('Test catalog'!$M$2:$M$200,MATCH($AB1165,'Test catalog'!$A$2:$A$200,0))),"")</f>
        <v/>
      </c>
      <c r="U1165" s="10">
        <f>IFERROR(IF(INDEX('Test catalog'!$N$2:$N$200,MATCH($AB1165,'Test catalog'!$A$2:$A$200,0))="","",INDEX('Test catalog'!$N$2:$N$200,MATCH($AB1165,'Test catalog'!$A$2:$A$200,0))),"")</f>
        <v/>
      </c>
      <c r="V1165" s="15" t="n"/>
      <c r="W1165" s="5" t="inlineStr">
        <is>
          <t>N</t>
        </is>
      </c>
      <c r="X1165" s="5" t="n"/>
      <c r="Y1165" s="5" t="n"/>
      <c r="Z1165" s="5" t="inlineStr">
        <is>
          <t>Only for some grades/labels - check your supplier grade</t>
        </is>
      </c>
      <c r="AA1165" s="10">
        <f>IFERROR(IF(INDEX('Test catalog'!$O$2:$O$200,MATCH($AB1165,'Test catalog'!$A$2:$A$200,0))="","",INDEX('Test catalog'!$O$2:$O$200,MATCH($AB1165,'Test catalog'!$A$2:$A$200,0))),"")</f>
        <v/>
      </c>
      <c r="AB1165" s="10" t="inlineStr">
        <is>
          <t>LIMIT</t>
        </is>
      </c>
      <c r="AC1165" s="10" t="inlineStr">
        <is>
          <t>Sodium Bicarbonate · Impurities</t>
        </is>
      </c>
      <c r="AD1165" s="10" t="n"/>
      <c r="AE1165" s="10" t="n"/>
    </row>
    <row r="1166">
      <c r="A1166" s="10" t="inlineStr">
        <is>
          <t>Sodium Bicarbonate</t>
        </is>
      </c>
      <c r="B1166" s="10" t="inlineStr">
        <is>
          <t>RM</t>
        </is>
      </c>
      <c r="C1166" s="10" t="inlineStr">
        <is>
          <t>pH Modifier / Buffer</t>
        </is>
      </c>
      <c r="D1166" s="10" t="inlineStr">
        <is>
          <t>Normal Carbonate</t>
        </is>
      </c>
      <c r="E1166" s="10">
        <f>IF(A1166="","",A1166&amp;"|"&amp;D1166)</f>
        <v/>
      </c>
      <c r="F1166" s="5" t="inlineStr">
        <is>
          <t>Y</t>
        </is>
      </c>
      <c r="G1166" s="5" t="inlineStr">
        <is>
          <t>Other / bench</t>
        </is>
      </c>
      <c r="H1166" s="5" t="inlineStr">
        <is>
          <t>Low</t>
        </is>
      </c>
      <c r="I1166" s="5" t="n">
        <v>1</v>
      </c>
      <c r="J1166" s="5" t="n"/>
      <c r="K1166" s="10">
        <f>IFERROR(IF(INDEX('Test catalog'!$F$2:$F$200,MATCH($AB1166,'Test catalog'!$A$2:$A$200,0))="","",INDEX('Test catalog'!$F$2:$F$200,MATCH($AB1166,'Test catalog'!$A$2:$A$200,0))),"")</f>
        <v/>
      </c>
      <c r="L1166" s="10">
        <f>IFERROR(IF(INDEX('Test catalog'!$G$2:$G$200,MATCH($AB1166,'Test catalog'!$A$2:$A$200,0))="","",INDEX('Test catalog'!$G$2:$G$200,MATCH($AB1166,'Test catalog'!$A$2:$A$200,0))),"")</f>
        <v/>
      </c>
      <c r="M1166" s="10">
        <f>IFERROR(IF(INDEX('Test catalog'!$H$2:$H$200,MATCH($AB1166,'Test catalog'!$A$2:$A$200,0))="","",INDEX('Test catalog'!$H$2:$H$200,MATCH($AB1166,'Test catalog'!$A$2:$A$200,0))),"")</f>
        <v/>
      </c>
      <c r="N1166" s="10">
        <f>IFERROR(IF(INDEX('Test catalog'!$I$2:$I$200,MATCH($AB1166,'Test catalog'!$A$2:$A$200,0))="","",INDEX('Test catalog'!$I$2:$I$200,MATCH($AB1166,'Test catalog'!$A$2:$A$200,0))),"")</f>
        <v/>
      </c>
      <c r="O1166" s="10">
        <f>IFERROR(IF(INDEX('Test catalog'!$J$2:$J$200,MATCH($AB1166,'Test catalog'!$A$2:$A$200,0))="","",INDEX('Test catalog'!$J$2:$J$200,MATCH($AB1166,'Test catalog'!$A$2:$A$200,0))),"")</f>
        <v/>
      </c>
      <c r="P1166" s="14">
        <f>IF(N1166="","",IF(OR(M1166="",O1166=""),N1166,(M1166+4*N1166+O1166)/6))</f>
        <v/>
      </c>
      <c r="Q1166" s="10">
        <f>IFERROR(IF(INDEX('Test catalog'!$K$2:$K$200,MATCH($AB1166,'Test catalog'!$A$2:$A$200,0))="","",INDEX('Test catalog'!$K$2:$K$200,MATCH($AB1166,'Test catalog'!$A$2:$A$200,0))),"")</f>
        <v/>
      </c>
      <c r="R1166" s="5" t="n"/>
      <c r="S1166" s="10">
        <f>IFERROR(IF(INDEX('Test catalog'!$L$2:$L$200,MATCH($AB1166,'Test catalog'!$A$2:$A$200,0))="","",INDEX('Test catalog'!$L$2:$L$200,MATCH($AB1166,'Test catalog'!$A$2:$A$200,0))),"")</f>
        <v/>
      </c>
      <c r="T1166" s="10">
        <f>IFERROR(IF(INDEX('Test catalog'!$M$2:$M$200,MATCH($AB1166,'Test catalog'!$A$2:$A$200,0))="","",INDEX('Test catalog'!$M$2:$M$200,MATCH($AB1166,'Test catalog'!$A$2:$A$200,0))),"")</f>
        <v/>
      </c>
      <c r="U1166" s="10">
        <f>IFERROR(IF(INDEX('Test catalog'!$N$2:$N$200,MATCH($AB1166,'Test catalog'!$A$2:$A$200,0))="","",INDEX('Test catalog'!$N$2:$N$200,MATCH($AB1166,'Test catalog'!$A$2:$A$200,0))),"")</f>
        <v/>
      </c>
      <c r="V1166" s="15" t="n"/>
      <c r="W1166" s="5" t="inlineStr">
        <is>
          <t>N</t>
        </is>
      </c>
      <c r="X1166" s="5" t="n"/>
      <c r="Y1166" s="5" t="n"/>
      <c r="Z1166" s="5" t="n"/>
      <c r="AA1166" s="10">
        <f>IFERROR(IF(INDEX('Test catalog'!$O$2:$O$200,MATCH($AB1166,'Test catalog'!$A$2:$A$200,0))="","",INDEX('Test catalog'!$O$2:$O$200,MATCH($AB1166,'Test catalog'!$A$2:$A$200,0))),"")</f>
        <v/>
      </c>
      <c r="AB1166" s="10" t="inlineStr">
        <is>
          <t>LIMIT</t>
        </is>
      </c>
      <c r="AC1166" s="10" t="inlineStr">
        <is>
          <t>Sodium Bicarbonate · Impurities</t>
        </is>
      </c>
      <c r="AD1166" s="10" t="n"/>
      <c r="AE1166" s="10" t="n"/>
    </row>
    <row r="1167">
      <c r="A1167" s="10" t="inlineStr">
        <is>
          <t>Sodium Bicarbonate</t>
        </is>
      </c>
      <c r="B1167" s="10" t="inlineStr">
        <is>
          <t>RM</t>
        </is>
      </c>
      <c r="C1167" s="10" t="inlineStr">
        <is>
          <t>pH Modifier / Buffer</t>
        </is>
      </c>
      <c r="D1167" s="10" t="inlineStr">
        <is>
          <t>Chloride</t>
        </is>
      </c>
      <c r="E1167" s="10">
        <f>IF(A1167="","",A1167&amp;"|"&amp;D1167)</f>
        <v/>
      </c>
      <c r="F1167" s="5" t="inlineStr">
        <is>
          <t>Y</t>
        </is>
      </c>
      <c r="G1167" s="5" t="inlineStr">
        <is>
          <t>Other / bench</t>
        </is>
      </c>
      <c r="H1167" s="5" t="inlineStr">
        <is>
          <t>Low</t>
        </is>
      </c>
      <c r="I1167" s="5" t="n">
        <v>1</v>
      </c>
      <c r="J1167" s="5" t="n"/>
      <c r="K1167" s="10">
        <f>IFERROR(IF(INDEX('Test catalog'!$F$2:$F$200,MATCH($AB1167,'Test catalog'!$A$2:$A$200,0))="","",INDEX('Test catalog'!$F$2:$F$200,MATCH($AB1167,'Test catalog'!$A$2:$A$200,0))),"")</f>
        <v/>
      </c>
      <c r="L1167" s="10">
        <f>IFERROR(IF(INDEX('Test catalog'!$G$2:$G$200,MATCH($AB1167,'Test catalog'!$A$2:$A$200,0))="","",INDEX('Test catalog'!$G$2:$G$200,MATCH($AB1167,'Test catalog'!$A$2:$A$200,0))),"")</f>
        <v/>
      </c>
      <c r="M1167" s="10">
        <f>IFERROR(IF(INDEX('Test catalog'!$H$2:$H$200,MATCH($AB1167,'Test catalog'!$A$2:$A$200,0))="","",INDEX('Test catalog'!$H$2:$H$200,MATCH($AB1167,'Test catalog'!$A$2:$A$200,0))),"")</f>
        <v/>
      </c>
      <c r="N1167" s="10">
        <f>IFERROR(IF(INDEX('Test catalog'!$I$2:$I$200,MATCH($AB1167,'Test catalog'!$A$2:$A$200,0))="","",INDEX('Test catalog'!$I$2:$I$200,MATCH($AB1167,'Test catalog'!$A$2:$A$200,0))),"")</f>
        <v/>
      </c>
      <c r="O1167" s="10">
        <f>IFERROR(IF(INDEX('Test catalog'!$J$2:$J$200,MATCH($AB1167,'Test catalog'!$A$2:$A$200,0))="","",INDEX('Test catalog'!$J$2:$J$200,MATCH($AB1167,'Test catalog'!$A$2:$A$200,0))),"")</f>
        <v/>
      </c>
      <c r="P1167" s="14">
        <f>IF(N1167="","",IF(OR(M1167="",O1167=""),N1167,(M1167+4*N1167+O1167)/6))</f>
        <v/>
      </c>
      <c r="Q1167" s="10">
        <f>IFERROR(IF(INDEX('Test catalog'!$K$2:$K$200,MATCH($AB1167,'Test catalog'!$A$2:$A$200,0))="","",INDEX('Test catalog'!$K$2:$K$200,MATCH($AB1167,'Test catalog'!$A$2:$A$200,0))),"")</f>
        <v/>
      </c>
      <c r="R1167" s="5" t="n"/>
      <c r="S1167" s="10">
        <f>IFERROR(IF(INDEX('Test catalog'!$L$2:$L$200,MATCH($AB1167,'Test catalog'!$A$2:$A$200,0))="","",INDEX('Test catalog'!$L$2:$L$200,MATCH($AB1167,'Test catalog'!$A$2:$A$200,0))),"")</f>
        <v/>
      </c>
      <c r="T1167" s="10">
        <f>IFERROR(IF(INDEX('Test catalog'!$M$2:$M$200,MATCH($AB1167,'Test catalog'!$A$2:$A$200,0))="","",INDEX('Test catalog'!$M$2:$M$200,MATCH($AB1167,'Test catalog'!$A$2:$A$200,0))),"")</f>
        <v/>
      </c>
      <c r="U1167" s="10">
        <f>IFERROR(IF(INDEX('Test catalog'!$N$2:$N$200,MATCH($AB1167,'Test catalog'!$A$2:$A$200,0))="","",INDEX('Test catalog'!$N$2:$N$200,MATCH($AB1167,'Test catalog'!$A$2:$A$200,0))),"")</f>
        <v/>
      </c>
      <c r="V1167" s="15" t="n"/>
      <c r="W1167" s="5" t="inlineStr">
        <is>
          <t>N</t>
        </is>
      </c>
      <c r="X1167" s="5" t="n"/>
      <c r="Y1167" s="5" t="n"/>
      <c r="Z1167" s="5" t="n"/>
      <c r="AA1167" s="10">
        <f>IFERROR(IF(INDEX('Test catalog'!$O$2:$O$200,MATCH($AB1167,'Test catalog'!$A$2:$A$200,0))="","",INDEX('Test catalog'!$O$2:$O$200,MATCH($AB1167,'Test catalog'!$A$2:$A$200,0))),"")</f>
        <v/>
      </c>
      <c r="AB1167" s="10" t="inlineStr">
        <is>
          <t>LIMIT</t>
        </is>
      </c>
      <c r="AC1167" s="10" t="inlineStr">
        <is>
          <t>Sodium Bicarbonate · Impurities &lt;221&gt;</t>
        </is>
      </c>
      <c r="AD1167" s="10" t="n"/>
      <c r="AE1167" s="10" t="n"/>
    </row>
    <row r="1168">
      <c r="A1168" s="10" t="inlineStr">
        <is>
          <t>Sodium Bicarbonate</t>
        </is>
      </c>
      <c r="B1168" s="10" t="inlineStr">
        <is>
          <t>RM</t>
        </is>
      </c>
      <c r="C1168" s="10" t="inlineStr">
        <is>
          <t>pH Modifier / Buffer</t>
        </is>
      </c>
      <c r="D1168" s="10" t="inlineStr">
        <is>
          <t>Sulfate</t>
        </is>
      </c>
      <c r="E1168" s="10">
        <f>IF(A1168="","",A1168&amp;"|"&amp;D1168)</f>
        <v/>
      </c>
      <c r="F1168" s="5" t="inlineStr">
        <is>
          <t>Y</t>
        </is>
      </c>
      <c r="G1168" s="5" t="inlineStr">
        <is>
          <t>Other / bench</t>
        </is>
      </c>
      <c r="H1168" s="5" t="inlineStr">
        <is>
          <t>Low</t>
        </is>
      </c>
      <c r="I1168" s="5" t="n">
        <v>1</v>
      </c>
      <c r="J1168" s="5" t="n"/>
      <c r="K1168" s="10">
        <f>IFERROR(IF(INDEX('Test catalog'!$F$2:$F$200,MATCH($AB1168,'Test catalog'!$A$2:$A$200,0))="","",INDEX('Test catalog'!$F$2:$F$200,MATCH($AB1168,'Test catalog'!$A$2:$A$200,0))),"")</f>
        <v/>
      </c>
      <c r="L1168" s="10">
        <f>IFERROR(IF(INDEX('Test catalog'!$G$2:$G$200,MATCH($AB1168,'Test catalog'!$A$2:$A$200,0))="","",INDEX('Test catalog'!$G$2:$G$200,MATCH($AB1168,'Test catalog'!$A$2:$A$200,0))),"")</f>
        <v/>
      </c>
      <c r="M1168" s="10">
        <f>IFERROR(IF(INDEX('Test catalog'!$H$2:$H$200,MATCH($AB1168,'Test catalog'!$A$2:$A$200,0))="","",INDEX('Test catalog'!$H$2:$H$200,MATCH($AB1168,'Test catalog'!$A$2:$A$200,0))),"")</f>
        <v/>
      </c>
      <c r="N1168" s="10">
        <f>IFERROR(IF(INDEX('Test catalog'!$I$2:$I$200,MATCH($AB1168,'Test catalog'!$A$2:$A$200,0))="","",INDEX('Test catalog'!$I$2:$I$200,MATCH($AB1168,'Test catalog'!$A$2:$A$200,0))),"")</f>
        <v/>
      </c>
      <c r="O1168" s="10">
        <f>IFERROR(IF(INDEX('Test catalog'!$J$2:$J$200,MATCH($AB1168,'Test catalog'!$A$2:$A$200,0))="","",INDEX('Test catalog'!$J$2:$J$200,MATCH($AB1168,'Test catalog'!$A$2:$A$200,0))),"")</f>
        <v/>
      </c>
      <c r="P1168" s="14">
        <f>IF(N1168="","",IF(OR(M1168="",O1168=""),N1168,(M1168+4*N1168+O1168)/6))</f>
        <v/>
      </c>
      <c r="Q1168" s="10">
        <f>IFERROR(IF(INDEX('Test catalog'!$K$2:$K$200,MATCH($AB1168,'Test catalog'!$A$2:$A$200,0))="","",INDEX('Test catalog'!$K$2:$K$200,MATCH($AB1168,'Test catalog'!$A$2:$A$200,0))),"")</f>
        <v/>
      </c>
      <c r="R1168" s="5" t="n"/>
      <c r="S1168" s="10">
        <f>IFERROR(IF(INDEX('Test catalog'!$L$2:$L$200,MATCH($AB1168,'Test catalog'!$A$2:$A$200,0))="","",INDEX('Test catalog'!$L$2:$L$200,MATCH($AB1168,'Test catalog'!$A$2:$A$200,0))),"")</f>
        <v/>
      </c>
      <c r="T1168" s="10">
        <f>IFERROR(IF(INDEX('Test catalog'!$M$2:$M$200,MATCH($AB1168,'Test catalog'!$A$2:$A$200,0))="","",INDEX('Test catalog'!$M$2:$M$200,MATCH($AB1168,'Test catalog'!$A$2:$A$200,0))),"")</f>
        <v/>
      </c>
      <c r="U1168" s="10">
        <f>IFERROR(IF(INDEX('Test catalog'!$N$2:$N$200,MATCH($AB1168,'Test catalog'!$A$2:$A$200,0))="","",INDEX('Test catalog'!$N$2:$N$200,MATCH($AB1168,'Test catalog'!$A$2:$A$200,0))),"")</f>
        <v/>
      </c>
      <c r="V1168" s="15" t="n"/>
      <c r="W1168" s="5" t="inlineStr">
        <is>
          <t>N</t>
        </is>
      </c>
      <c r="X1168" s="5" t="n"/>
      <c r="Y1168" s="5" t="n"/>
      <c r="Z1168" s="5" t="n"/>
      <c r="AA1168" s="10">
        <f>IFERROR(IF(INDEX('Test catalog'!$O$2:$O$200,MATCH($AB1168,'Test catalog'!$A$2:$A$200,0))="","",INDEX('Test catalog'!$O$2:$O$200,MATCH($AB1168,'Test catalog'!$A$2:$A$200,0))),"")</f>
        <v/>
      </c>
      <c r="AB1168" s="10" t="inlineStr">
        <is>
          <t>LIMIT</t>
        </is>
      </c>
      <c r="AC1168" s="10" t="inlineStr">
        <is>
          <t>Sodium Bicarbonate · Impurities &lt;221&gt;</t>
        </is>
      </c>
      <c r="AD1168" s="10" t="n"/>
      <c r="AE1168" s="10" t="n"/>
    </row>
    <row r="1169">
      <c r="A1169" s="10" t="inlineStr">
        <is>
          <t>Sodium Bicarbonate</t>
        </is>
      </c>
      <c r="B1169" s="10" t="inlineStr">
        <is>
          <t>RM</t>
        </is>
      </c>
      <c r="C1169" s="10" t="inlineStr">
        <is>
          <t>pH Modifier / Buffer</t>
        </is>
      </c>
      <c r="D1169" s="10" t="inlineStr">
        <is>
          <t>Limit of Sulfur Compounds</t>
        </is>
      </c>
      <c r="E1169" s="10">
        <f>IF(A1169="","",A1169&amp;"|"&amp;D1169)</f>
        <v/>
      </c>
      <c r="F1169" s="5" t="inlineStr">
        <is>
          <t>Y</t>
        </is>
      </c>
      <c r="G1169" s="5" t="inlineStr">
        <is>
          <t>Other / bench</t>
        </is>
      </c>
      <c r="H1169" s="5" t="inlineStr">
        <is>
          <t>Low</t>
        </is>
      </c>
      <c r="I1169" s="5" t="n">
        <v>1</v>
      </c>
      <c r="J1169" s="5" t="n"/>
      <c r="K1169" s="10">
        <f>IFERROR(IF(INDEX('Test catalog'!$F$2:$F$200,MATCH($AB1169,'Test catalog'!$A$2:$A$200,0))="","",INDEX('Test catalog'!$F$2:$F$200,MATCH($AB1169,'Test catalog'!$A$2:$A$200,0))),"")</f>
        <v/>
      </c>
      <c r="L1169" s="10">
        <f>IFERROR(IF(INDEX('Test catalog'!$G$2:$G$200,MATCH($AB1169,'Test catalog'!$A$2:$A$200,0))="","",INDEX('Test catalog'!$G$2:$G$200,MATCH($AB1169,'Test catalog'!$A$2:$A$200,0))),"")</f>
        <v/>
      </c>
      <c r="M1169" s="10">
        <f>IFERROR(IF(INDEX('Test catalog'!$H$2:$H$200,MATCH($AB1169,'Test catalog'!$A$2:$A$200,0))="","",INDEX('Test catalog'!$H$2:$H$200,MATCH($AB1169,'Test catalog'!$A$2:$A$200,0))),"")</f>
        <v/>
      </c>
      <c r="N1169" s="10">
        <f>IFERROR(IF(INDEX('Test catalog'!$I$2:$I$200,MATCH($AB1169,'Test catalog'!$A$2:$A$200,0))="","",INDEX('Test catalog'!$I$2:$I$200,MATCH($AB1169,'Test catalog'!$A$2:$A$200,0))),"")</f>
        <v/>
      </c>
      <c r="O1169" s="10">
        <f>IFERROR(IF(INDEX('Test catalog'!$J$2:$J$200,MATCH($AB1169,'Test catalog'!$A$2:$A$200,0))="","",INDEX('Test catalog'!$J$2:$J$200,MATCH($AB1169,'Test catalog'!$A$2:$A$200,0))),"")</f>
        <v/>
      </c>
      <c r="P1169" s="14">
        <f>IF(N1169="","",IF(OR(M1169="",O1169=""),N1169,(M1169+4*N1169+O1169)/6))</f>
        <v/>
      </c>
      <c r="Q1169" s="10">
        <f>IFERROR(IF(INDEX('Test catalog'!$K$2:$K$200,MATCH($AB1169,'Test catalog'!$A$2:$A$200,0))="","",INDEX('Test catalog'!$K$2:$K$200,MATCH($AB1169,'Test catalog'!$A$2:$A$200,0))),"")</f>
        <v/>
      </c>
      <c r="R1169" s="5" t="n"/>
      <c r="S1169" s="10">
        <f>IFERROR(IF(INDEX('Test catalog'!$L$2:$L$200,MATCH($AB1169,'Test catalog'!$A$2:$A$200,0))="","",INDEX('Test catalog'!$L$2:$L$200,MATCH($AB1169,'Test catalog'!$A$2:$A$200,0))),"")</f>
        <v/>
      </c>
      <c r="T1169" s="10">
        <f>IFERROR(IF(INDEX('Test catalog'!$M$2:$M$200,MATCH($AB1169,'Test catalog'!$A$2:$A$200,0))="","",INDEX('Test catalog'!$M$2:$M$200,MATCH($AB1169,'Test catalog'!$A$2:$A$200,0))),"")</f>
        <v/>
      </c>
      <c r="U1169" s="10">
        <f>IFERROR(IF(INDEX('Test catalog'!$N$2:$N$200,MATCH($AB1169,'Test catalog'!$A$2:$A$200,0))="","",INDEX('Test catalog'!$N$2:$N$200,MATCH($AB1169,'Test catalog'!$A$2:$A$200,0))),"")</f>
        <v/>
      </c>
      <c r="V1169" s="15" t="n"/>
      <c r="W1169" s="5" t="inlineStr">
        <is>
          <t>N</t>
        </is>
      </c>
      <c r="X1169" s="5" t="n"/>
      <c r="Y1169" s="5" t="n"/>
      <c r="Z1169" s="5" t="n"/>
      <c r="AA1169" s="10">
        <f>IFERROR(IF(INDEX('Test catalog'!$O$2:$O$200,MATCH($AB1169,'Test catalog'!$A$2:$A$200,0))="","",INDEX('Test catalog'!$O$2:$O$200,MATCH($AB1169,'Test catalog'!$A$2:$A$200,0))),"")</f>
        <v/>
      </c>
      <c r="AB1169" s="10" t="inlineStr">
        <is>
          <t>LIMIT</t>
        </is>
      </c>
      <c r="AC1169" s="10" t="inlineStr">
        <is>
          <t>Sodium Bicarbonate · Impurities</t>
        </is>
      </c>
      <c r="AD1169" s="10" t="n"/>
      <c r="AE1169" s="10" t="n"/>
    </row>
    <row r="1170">
      <c r="A1170" s="10" t="inlineStr">
        <is>
          <t>Sodium Bicarbonate</t>
        </is>
      </c>
      <c r="B1170" s="10" t="inlineStr">
        <is>
          <t>RM</t>
        </is>
      </c>
      <c r="C1170" s="10" t="inlineStr">
        <is>
          <t>pH Modifier / Buffer</t>
        </is>
      </c>
      <c r="D1170" s="10" t="inlineStr">
        <is>
          <t>Aluminum</t>
        </is>
      </c>
      <c r="E1170" s="10">
        <f>IF(A1170="","",A1170&amp;"|"&amp;D1170)</f>
        <v/>
      </c>
      <c r="F1170" s="5" t="inlineStr">
        <is>
          <t>N</t>
        </is>
      </c>
      <c r="G1170" s="5" t="inlineStr">
        <is>
          <t>Other / bench</t>
        </is>
      </c>
      <c r="H1170" s="5" t="inlineStr">
        <is>
          <t>Low</t>
        </is>
      </c>
      <c r="I1170" s="5" t="n">
        <v>1</v>
      </c>
      <c r="J1170" s="5" t="n"/>
      <c r="K1170" s="10">
        <f>IFERROR(IF(INDEX('Test catalog'!$F$2:$F$200,MATCH($AB1170,'Test catalog'!$A$2:$A$200,0))="","",INDEX('Test catalog'!$F$2:$F$200,MATCH($AB1170,'Test catalog'!$A$2:$A$200,0))),"")</f>
        <v/>
      </c>
      <c r="L1170" s="10">
        <f>IFERROR(IF(INDEX('Test catalog'!$G$2:$G$200,MATCH($AB1170,'Test catalog'!$A$2:$A$200,0))="","",INDEX('Test catalog'!$G$2:$G$200,MATCH($AB1170,'Test catalog'!$A$2:$A$200,0))),"")</f>
        <v/>
      </c>
      <c r="M1170" s="10">
        <f>IFERROR(IF(INDEX('Test catalog'!$H$2:$H$200,MATCH($AB1170,'Test catalog'!$A$2:$A$200,0))="","",INDEX('Test catalog'!$H$2:$H$200,MATCH($AB1170,'Test catalog'!$A$2:$A$200,0))),"")</f>
        <v/>
      </c>
      <c r="N1170" s="10">
        <f>IFERROR(IF(INDEX('Test catalog'!$I$2:$I$200,MATCH($AB1170,'Test catalog'!$A$2:$A$200,0))="","",INDEX('Test catalog'!$I$2:$I$200,MATCH($AB1170,'Test catalog'!$A$2:$A$200,0))),"")</f>
        <v/>
      </c>
      <c r="O1170" s="10">
        <f>IFERROR(IF(INDEX('Test catalog'!$J$2:$J$200,MATCH($AB1170,'Test catalog'!$A$2:$A$200,0))="","",INDEX('Test catalog'!$J$2:$J$200,MATCH($AB1170,'Test catalog'!$A$2:$A$200,0))),"")</f>
        <v/>
      </c>
      <c r="P1170" s="14">
        <f>IF(N1170="","",IF(OR(M1170="",O1170=""),N1170,(M1170+4*N1170+O1170)/6))</f>
        <v/>
      </c>
      <c r="Q1170" s="10">
        <f>IFERROR(IF(INDEX('Test catalog'!$K$2:$K$200,MATCH($AB1170,'Test catalog'!$A$2:$A$200,0))="","",INDEX('Test catalog'!$K$2:$K$200,MATCH($AB1170,'Test catalog'!$A$2:$A$200,0))),"")</f>
        <v/>
      </c>
      <c r="R1170" s="5" t="n"/>
      <c r="S1170" s="10">
        <f>IFERROR(IF(INDEX('Test catalog'!$L$2:$L$200,MATCH($AB1170,'Test catalog'!$A$2:$A$200,0))="","",INDEX('Test catalog'!$L$2:$L$200,MATCH($AB1170,'Test catalog'!$A$2:$A$200,0))),"")</f>
        <v/>
      </c>
      <c r="T1170" s="10">
        <f>IFERROR(IF(INDEX('Test catalog'!$M$2:$M$200,MATCH($AB1170,'Test catalog'!$A$2:$A$200,0))="","",INDEX('Test catalog'!$M$2:$M$200,MATCH($AB1170,'Test catalog'!$A$2:$A$200,0))),"")</f>
        <v/>
      </c>
      <c r="U1170" s="10">
        <f>IFERROR(IF(INDEX('Test catalog'!$N$2:$N$200,MATCH($AB1170,'Test catalog'!$A$2:$A$200,0))="","",INDEX('Test catalog'!$N$2:$N$200,MATCH($AB1170,'Test catalog'!$A$2:$A$200,0))),"")</f>
        <v/>
      </c>
      <c r="V1170" s="15" t="n"/>
      <c r="W1170" s="5" t="inlineStr">
        <is>
          <t>N</t>
        </is>
      </c>
      <c r="X1170" s="5" t="n"/>
      <c r="Y1170" s="5" t="n"/>
      <c r="Z1170" s="5" t="inlineStr">
        <is>
          <t>Only for some grades/labels - check your supplier grade</t>
        </is>
      </c>
      <c r="AA1170" s="10">
        <f>IFERROR(IF(INDEX('Test catalog'!$O$2:$O$200,MATCH($AB1170,'Test catalog'!$A$2:$A$200,0))="","",INDEX('Test catalog'!$O$2:$O$200,MATCH($AB1170,'Test catalog'!$A$2:$A$200,0))),"")</f>
        <v/>
      </c>
      <c r="AB1170" s="10" t="inlineStr">
        <is>
          <t>LIMIT</t>
        </is>
      </c>
      <c r="AC1170" s="10" t="inlineStr">
        <is>
          <t>Sodium Bicarbonate · Impurities &lt;206&gt;</t>
        </is>
      </c>
      <c r="AD1170" s="10" t="n"/>
      <c r="AE1170" s="10" t="n"/>
    </row>
    <row r="1171">
      <c r="A1171" s="10" t="inlineStr">
        <is>
          <t>Sodium Bicarbonate</t>
        </is>
      </c>
      <c r="B1171" s="10" t="inlineStr">
        <is>
          <t>RM</t>
        </is>
      </c>
      <c r="C1171" s="10" t="inlineStr">
        <is>
          <t>pH Modifier / Buffer</t>
        </is>
      </c>
      <c r="D1171" s="10" t="inlineStr">
        <is>
          <t>Arsenic</t>
        </is>
      </c>
      <c r="E1171" s="10">
        <f>IF(A1171="","",A1171&amp;"|"&amp;D1171)</f>
        <v/>
      </c>
      <c r="F1171" s="5" t="inlineStr">
        <is>
          <t>Y</t>
        </is>
      </c>
      <c r="G1171" s="5" t="inlineStr">
        <is>
          <t>Other / bench</t>
        </is>
      </c>
      <c r="H1171" s="5" t="inlineStr">
        <is>
          <t>Low</t>
        </is>
      </c>
      <c r="I1171" s="5" t="n">
        <v>1</v>
      </c>
      <c r="J1171" s="5" t="n"/>
      <c r="K1171" s="10">
        <f>IFERROR(IF(INDEX('Test catalog'!$F$2:$F$200,MATCH($AB1171,'Test catalog'!$A$2:$A$200,0))="","",INDEX('Test catalog'!$F$2:$F$200,MATCH($AB1171,'Test catalog'!$A$2:$A$200,0))),"")</f>
        <v/>
      </c>
      <c r="L1171" s="10">
        <f>IFERROR(IF(INDEX('Test catalog'!$G$2:$G$200,MATCH($AB1171,'Test catalog'!$A$2:$A$200,0))="","",INDEX('Test catalog'!$G$2:$G$200,MATCH($AB1171,'Test catalog'!$A$2:$A$200,0))),"")</f>
        <v/>
      </c>
      <c r="M1171" s="10">
        <f>IFERROR(IF(INDEX('Test catalog'!$H$2:$H$200,MATCH($AB1171,'Test catalog'!$A$2:$A$200,0))="","",INDEX('Test catalog'!$H$2:$H$200,MATCH($AB1171,'Test catalog'!$A$2:$A$200,0))),"")</f>
        <v/>
      </c>
      <c r="N1171" s="10">
        <f>IFERROR(IF(INDEX('Test catalog'!$I$2:$I$200,MATCH($AB1171,'Test catalog'!$A$2:$A$200,0))="","",INDEX('Test catalog'!$I$2:$I$200,MATCH($AB1171,'Test catalog'!$A$2:$A$200,0))),"")</f>
        <v/>
      </c>
      <c r="O1171" s="10">
        <f>IFERROR(IF(INDEX('Test catalog'!$J$2:$J$200,MATCH($AB1171,'Test catalog'!$A$2:$A$200,0))="","",INDEX('Test catalog'!$J$2:$J$200,MATCH($AB1171,'Test catalog'!$A$2:$A$200,0))),"")</f>
        <v/>
      </c>
      <c r="P1171" s="14">
        <f>IF(N1171="","",IF(OR(M1171="",O1171=""),N1171,(M1171+4*N1171+O1171)/6))</f>
        <v/>
      </c>
      <c r="Q1171" s="10">
        <f>IFERROR(IF(INDEX('Test catalog'!$K$2:$K$200,MATCH($AB1171,'Test catalog'!$A$2:$A$200,0))="","",INDEX('Test catalog'!$K$2:$K$200,MATCH($AB1171,'Test catalog'!$A$2:$A$200,0))),"")</f>
        <v/>
      </c>
      <c r="R1171" s="5" t="n"/>
      <c r="S1171" s="10">
        <f>IFERROR(IF(INDEX('Test catalog'!$L$2:$L$200,MATCH($AB1171,'Test catalog'!$A$2:$A$200,0))="","",INDEX('Test catalog'!$L$2:$L$200,MATCH($AB1171,'Test catalog'!$A$2:$A$200,0))),"")</f>
        <v/>
      </c>
      <c r="T1171" s="10">
        <f>IFERROR(IF(INDEX('Test catalog'!$M$2:$M$200,MATCH($AB1171,'Test catalog'!$A$2:$A$200,0))="","",INDEX('Test catalog'!$M$2:$M$200,MATCH($AB1171,'Test catalog'!$A$2:$A$200,0))),"")</f>
        <v/>
      </c>
      <c r="U1171" s="10">
        <f>IFERROR(IF(INDEX('Test catalog'!$N$2:$N$200,MATCH($AB1171,'Test catalog'!$A$2:$A$200,0))="","",INDEX('Test catalog'!$N$2:$N$200,MATCH($AB1171,'Test catalog'!$A$2:$A$200,0))),"")</f>
        <v/>
      </c>
      <c r="V1171" s="15" t="n"/>
      <c r="W1171" s="5" t="inlineStr">
        <is>
          <t>N</t>
        </is>
      </c>
      <c r="X1171" s="5" t="n"/>
      <c r="Y1171" s="5" t="n"/>
      <c r="Z1171" s="5" t="n"/>
      <c r="AA1171" s="10">
        <f>IFERROR(IF(INDEX('Test catalog'!$O$2:$O$200,MATCH($AB1171,'Test catalog'!$A$2:$A$200,0))="","",INDEX('Test catalog'!$O$2:$O$200,MATCH($AB1171,'Test catalog'!$A$2:$A$200,0))),"")</f>
        <v/>
      </c>
      <c r="AB1171" s="10" t="inlineStr">
        <is>
          <t>LIM_TOX</t>
        </is>
      </c>
      <c r="AC1171" s="10" t="inlineStr">
        <is>
          <t>Sodium Bicarbonate · Impurities &lt;211&gt;</t>
        </is>
      </c>
      <c r="AD1171" s="10" t="n"/>
      <c r="AE1171" s="10" t="n"/>
    </row>
    <row r="1172">
      <c r="A1172" s="10" t="inlineStr">
        <is>
          <t>Sodium Bicarbonate</t>
        </is>
      </c>
      <c r="B1172" s="10" t="inlineStr">
        <is>
          <t>RM</t>
        </is>
      </c>
      <c r="C1172" s="10" t="inlineStr">
        <is>
          <t>pH Modifier / Buffer</t>
        </is>
      </c>
      <c r="D1172" s="10" t="inlineStr">
        <is>
          <t>Calcium (where it is labeled as intended for use in hemodialysis)</t>
        </is>
      </c>
      <c r="E1172" s="10">
        <f>IF(A1172="","",A1172&amp;"|"&amp;D1172)</f>
        <v/>
      </c>
      <c r="F1172" s="5" t="inlineStr">
        <is>
          <t>N</t>
        </is>
      </c>
      <c r="G1172" s="5" t="inlineStr">
        <is>
          <t>AAS / ICP</t>
        </is>
      </c>
      <c r="H1172" s="5" t="inlineStr">
        <is>
          <t>Low</t>
        </is>
      </c>
      <c r="I1172" s="5" t="n">
        <v>1</v>
      </c>
      <c r="J1172" s="5" t="n"/>
      <c r="K1172" s="10">
        <f>IFERROR(IF(INDEX('Test catalog'!$F$2:$F$200,MATCH($AB1172,'Test catalog'!$A$2:$A$200,0))="","",INDEX('Test catalog'!$F$2:$F$200,MATCH($AB1172,'Test catalog'!$A$2:$A$200,0))),"")</f>
        <v/>
      </c>
      <c r="L1172" s="10">
        <f>IFERROR(IF(INDEX('Test catalog'!$G$2:$G$200,MATCH($AB1172,'Test catalog'!$A$2:$A$200,0))="","",INDEX('Test catalog'!$G$2:$G$200,MATCH($AB1172,'Test catalog'!$A$2:$A$200,0))),"")</f>
        <v/>
      </c>
      <c r="M1172" s="10">
        <f>IFERROR(IF(INDEX('Test catalog'!$H$2:$H$200,MATCH($AB1172,'Test catalog'!$A$2:$A$200,0))="","",INDEX('Test catalog'!$H$2:$H$200,MATCH($AB1172,'Test catalog'!$A$2:$A$200,0))),"")</f>
        <v/>
      </c>
      <c r="N1172" s="10">
        <f>IFERROR(IF(INDEX('Test catalog'!$I$2:$I$200,MATCH($AB1172,'Test catalog'!$A$2:$A$200,0))="","",INDEX('Test catalog'!$I$2:$I$200,MATCH($AB1172,'Test catalog'!$A$2:$A$200,0))),"")</f>
        <v/>
      </c>
      <c r="O1172" s="10">
        <f>IFERROR(IF(INDEX('Test catalog'!$J$2:$J$200,MATCH($AB1172,'Test catalog'!$A$2:$A$200,0))="","",INDEX('Test catalog'!$J$2:$J$200,MATCH($AB1172,'Test catalog'!$A$2:$A$200,0))),"")</f>
        <v/>
      </c>
      <c r="P1172" s="14">
        <f>IF(N1172="","",IF(OR(M1172="",O1172=""),N1172,(M1172+4*N1172+O1172)/6))</f>
        <v/>
      </c>
      <c r="Q1172" s="10">
        <f>IFERROR(IF(INDEX('Test catalog'!$K$2:$K$200,MATCH($AB1172,'Test catalog'!$A$2:$A$200,0))="","",INDEX('Test catalog'!$K$2:$K$200,MATCH($AB1172,'Test catalog'!$A$2:$A$200,0))),"")</f>
        <v/>
      </c>
      <c r="R1172" s="5" t="n"/>
      <c r="S1172" s="10">
        <f>IFERROR(IF(INDEX('Test catalog'!$L$2:$L$200,MATCH($AB1172,'Test catalog'!$A$2:$A$200,0))="","",INDEX('Test catalog'!$L$2:$L$200,MATCH($AB1172,'Test catalog'!$A$2:$A$200,0))),"")</f>
        <v/>
      </c>
      <c r="T1172" s="10">
        <f>IFERROR(IF(INDEX('Test catalog'!$M$2:$M$200,MATCH($AB1172,'Test catalog'!$A$2:$A$200,0))="","",INDEX('Test catalog'!$M$2:$M$200,MATCH($AB1172,'Test catalog'!$A$2:$A$200,0))),"")</f>
        <v/>
      </c>
      <c r="U1172" s="10">
        <f>IFERROR(IF(INDEX('Test catalog'!$N$2:$N$200,MATCH($AB1172,'Test catalog'!$A$2:$A$200,0))="","",INDEX('Test catalog'!$N$2:$N$200,MATCH($AB1172,'Test catalog'!$A$2:$A$200,0))),"")</f>
        <v/>
      </c>
      <c r="V1172" s="15" t="n"/>
      <c r="W1172" s="5" t="inlineStr">
        <is>
          <t>N</t>
        </is>
      </c>
      <c r="X1172" s="5" t="n"/>
      <c r="Y1172" s="5" t="n"/>
      <c r="Z1172" s="5" t="inlineStr">
        <is>
          <t>Only for some grades/labels - check your supplier grade</t>
        </is>
      </c>
      <c r="AA1172" s="10">
        <f>IFERROR(IF(INDEX('Test catalog'!$O$2:$O$200,MATCH($AB1172,'Test catalog'!$A$2:$A$200,0))="","",INDEX('Test catalog'!$O$2:$O$200,MATCH($AB1172,'Test catalog'!$A$2:$A$200,0))),"")</f>
        <v/>
      </c>
      <c r="AB1172" s="10" t="inlineStr">
        <is>
          <t>AAS</t>
        </is>
      </c>
      <c r="AC1172" s="10" t="inlineStr">
        <is>
          <t>Sodium Bicarbonate · Impurities</t>
        </is>
      </c>
      <c r="AD1172" s="10" t="n"/>
      <c r="AE1172" s="10" t="n"/>
    </row>
    <row r="1173">
      <c r="A1173" s="10" t="inlineStr">
        <is>
          <t>Sodium Bicarbonate</t>
        </is>
      </c>
      <c r="B1173" s="10" t="inlineStr">
        <is>
          <t>RM</t>
        </is>
      </c>
      <c r="C1173" s="10" t="inlineStr">
        <is>
          <t>pH Modifier / Buffer</t>
        </is>
      </c>
      <c r="D1173" s="10" t="inlineStr">
        <is>
          <t>Magnesium (where it is labeled as intended for use in hemodialysis)</t>
        </is>
      </c>
      <c r="E1173" s="10">
        <f>IF(A1173="","",A1173&amp;"|"&amp;D1173)</f>
        <v/>
      </c>
      <c r="F1173" s="5" t="inlineStr">
        <is>
          <t>N</t>
        </is>
      </c>
      <c r="G1173" s="5" t="inlineStr">
        <is>
          <t>AAS / ICP</t>
        </is>
      </c>
      <c r="H1173" s="5" t="inlineStr">
        <is>
          <t>Low</t>
        </is>
      </c>
      <c r="I1173" s="5" t="n">
        <v>1</v>
      </c>
      <c r="J1173" s="5" t="n"/>
      <c r="K1173" s="10">
        <f>IFERROR(IF(INDEX('Test catalog'!$F$2:$F$200,MATCH($AB1173,'Test catalog'!$A$2:$A$200,0))="","",INDEX('Test catalog'!$F$2:$F$200,MATCH($AB1173,'Test catalog'!$A$2:$A$200,0))),"")</f>
        <v/>
      </c>
      <c r="L1173" s="10">
        <f>IFERROR(IF(INDEX('Test catalog'!$G$2:$G$200,MATCH($AB1173,'Test catalog'!$A$2:$A$200,0))="","",INDEX('Test catalog'!$G$2:$G$200,MATCH($AB1173,'Test catalog'!$A$2:$A$200,0))),"")</f>
        <v/>
      </c>
      <c r="M1173" s="10">
        <f>IFERROR(IF(INDEX('Test catalog'!$H$2:$H$200,MATCH($AB1173,'Test catalog'!$A$2:$A$200,0))="","",INDEX('Test catalog'!$H$2:$H$200,MATCH($AB1173,'Test catalog'!$A$2:$A$200,0))),"")</f>
        <v/>
      </c>
      <c r="N1173" s="10">
        <f>IFERROR(IF(INDEX('Test catalog'!$I$2:$I$200,MATCH($AB1173,'Test catalog'!$A$2:$A$200,0))="","",INDEX('Test catalog'!$I$2:$I$200,MATCH($AB1173,'Test catalog'!$A$2:$A$200,0))),"")</f>
        <v/>
      </c>
      <c r="O1173" s="10">
        <f>IFERROR(IF(INDEX('Test catalog'!$J$2:$J$200,MATCH($AB1173,'Test catalog'!$A$2:$A$200,0))="","",INDEX('Test catalog'!$J$2:$J$200,MATCH($AB1173,'Test catalog'!$A$2:$A$200,0))),"")</f>
        <v/>
      </c>
      <c r="P1173" s="14">
        <f>IF(N1173="","",IF(OR(M1173="",O1173=""),N1173,(M1173+4*N1173+O1173)/6))</f>
        <v/>
      </c>
      <c r="Q1173" s="10">
        <f>IFERROR(IF(INDEX('Test catalog'!$K$2:$K$200,MATCH($AB1173,'Test catalog'!$A$2:$A$200,0))="","",INDEX('Test catalog'!$K$2:$K$200,MATCH($AB1173,'Test catalog'!$A$2:$A$200,0))),"")</f>
        <v/>
      </c>
      <c r="R1173" s="5" t="n"/>
      <c r="S1173" s="10">
        <f>IFERROR(IF(INDEX('Test catalog'!$L$2:$L$200,MATCH($AB1173,'Test catalog'!$A$2:$A$200,0))="","",INDEX('Test catalog'!$L$2:$L$200,MATCH($AB1173,'Test catalog'!$A$2:$A$200,0))),"")</f>
        <v/>
      </c>
      <c r="T1173" s="10">
        <f>IFERROR(IF(INDEX('Test catalog'!$M$2:$M$200,MATCH($AB1173,'Test catalog'!$A$2:$A$200,0))="","",INDEX('Test catalog'!$M$2:$M$200,MATCH($AB1173,'Test catalog'!$A$2:$A$200,0))),"")</f>
        <v/>
      </c>
      <c r="U1173" s="10">
        <f>IFERROR(IF(INDEX('Test catalog'!$N$2:$N$200,MATCH($AB1173,'Test catalog'!$A$2:$A$200,0))="","",INDEX('Test catalog'!$N$2:$N$200,MATCH($AB1173,'Test catalog'!$A$2:$A$200,0))),"")</f>
        <v/>
      </c>
      <c r="V1173" s="15" t="n"/>
      <c r="W1173" s="5" t="inlineStr">
        <is>
          <t>N</t>
        </is>
      </c>
      <c r="X1173" s="5" t="n"/>
      <c r="Y1173" s="5" t="n"/>
      <c r="Z1173" s="5" t="inlineStr">
        <is>
          <t>Only for some grades/labels - check your supplier grade</t>
        </is>
      </c>
      <c r="AA1173" s="10">
        <f>IFERROR(IF(INDEX('Test catalog'!$O$2:$O$200,MATCH($AB1173,'Test catalog'!$A$2:$A$200,0))="","",INDEX('Test catalog'!$O$2:$O$200,MATCH($AB1173,'Test catalog'!$A$2:$A$200,0))),"")</f>
        <v/>
      </c>
      <c r="AB1173" s="10" t="inlineStr">
        <is>
          <t>AAS</t>
        </is>
      </c>
      <c r="AC1173" s="10" t="inlineStr">
        <is>
          <t>Sodium Bicarbonate · Impurities</t>
        </is>
      </c>
      <c r="AD1173" s="10" t="n"/>
      <c r="AE1173" s="10" t="n"/>
    </row>
    <row r="1174">
      <c r="A1174" s="10" t="inlineStr">
        <is>
          <t>Sodium Bicarbonate</t>
        </is>
      </c>
      <c r="B1174" s="10" t="inlineStr">
        <is>
          <t>RM</t>
        </is>
      </c>
      <c r="C1174" s="10" t="inlineStr">
        <is>
          <t>pH Modifier / Buffer</t>
        </is>
      </c>
      <c r="D1174" s="10" t="inlineStr">
        <is>
          <t>Copper (where it is labeled as intended for use in hemodialysis)</t>
        </is>
      </c>
      <c r="E1174" s="10">
        <f>IF(A1174="","",A1174&amp;"|"&amp;D1174)</f>
        <v/>
      </c>
      <c r="F1174" s="5" t="inlineStr">
        <is>
          <t>N</t>
        </is>
      </c>
      <c r="G1174" s="5" t="inlineStr">
        <is>
          <t>AAS / ICP</t>
        </is>
      </c>
      <c r="H1174" s="5" t="inlineStr">
        <is>
          <t>Low</t>
        </is>
      </c>
      <c r="I1174" s="5" t="n">
        <v>1</v>
      </c>
      <c r="J1174" s="5" t="n"/>
      <c r="K1174" s="10">
        <f>IFERROR(IF(INDEX('Test catalog'!$F$2:$F$200,MATCH($AB1174,'Test catalog'!$A$2:$A$200,0))="","",INDEX('Test catalog'!$F$2:$F$200,MATCH($AB1174,'Test catalog'!$A$2:$A$200,0))),"")</f>
        <v/>
      </c>
      <c r="L1174" s="10">
        <f>IFERROR(IF(INDEX('Test catalog'!$G$2:$G$200,MATCH($AB1174,'Test catalog'!$A$2:$A$200,0))="","",INDEX('Test catalog'!$G$2:$G$200,MATCH($AB1174,'Test catalog'!$A$2:$A$200,0))),"")</f>
        <v/>
      </c>
      <c r="M1174" s="10">
        <f>IFERROR(IF(INDEX('Test catalog'!$H$2:$H$200,MATCH($AB1174,'Test catalog'!$A$2:$A$200,0))="","",INDEX('Test catalog'!$H$2:$H$200,MATCH($AB1174,'Test catalog'!$A$2:$A$200,0))),"")</f>
        <v/>
      </c>
      <c r="N1174" s="10">
        <f>IFERROR(IF(INDEX('Test catalog'!$I$2:$I$200,MATCH($AB1174,'Test catalog'!$A$2:$A$200,0))="","",INDEX('Test catalog'!$I$2:$I$200,MATCH($AB1174,'Test catalog'!$A$2:$A$200,0))),"")</f>
        <v/>
      </c>
      <c r="O1174" s="10">
        <f>IFERROR(IF(INDEX('Test catalog'!$J$2:$J$200,MATCH($AB1174,'Test catalog'!$A$2:$A$200,0))="","",INDEX('Test catalog'!$J$2:$J$200,MATCH($AB1174,'Test catalog'!$A$2:$A$200,0))),"")</f>
        <v/>
      </c>
      <c r="P1174" s="14">
        <f>IF(N1174="","",IF(OR(M1174="",O1174=""),N1174,(M1174+4*N1174+O1174)/6))</f>
        <v/>
      </c>
      <c r="Q1174" s="10">
        <f>IFERROR(IF(INDEX('Test catalog'!$K$2:$K$200,MATCH($AB1174,'Test catalog'!$A$2:$A$200,0))="","",INDEX('Test catalog'!$K$2:$K$200,MATCH($AB1174,'Test catalog'!$A$2:$A$200,0))),"")</f>
        <v/>
      </c>
      <c r="R1174" s="5" t="n"/>
      <c r="S1174" s="10">
        <f>IFERROR(IF(INDEX('Test catalog'!$L$2:$L$200,MATCH($AB1174,'Test catalog'!$A$2:$A$200,0))="","",INDEX('Test catalog'!$L$2:$L$200,MATCH($AB1174,'Test catalog'!$A$2:$A$200,0))),"")</f>
        <v/>
      </c>
      <c r="T1174" s="10">
        <f>IFERROR(IF(INDEX('Test catalog'!$M$2:$M$200,MATCH($AB1174,'Test catalog'!$A$2:$A$200,0))="","",INDEX('Test catalog'!$M$2:$M$200,MATCH($AB1174,'Test catalog'!$A$2:$A$200,0))),"")</f>
        <v/>
      </c>
      <c r="U1174" s="10">
        <f>IFERROR(IF(INDEX('Test catalog'!$N$2:$N$200,MATCH($AB1174,'Test catalog'!$A$2:$A$200,0))="","",INDEX('Test catalog'!$N$2:$N$200,MATCH($AB1174,'Test catalog'!$A$2:$A$200,0))),"")</f>
        <v/>
      </c>
      <c r="V1174" s="15" t="n"/>
      <c r="W1174" s="5" t="inlineStr">
        <is>
          <t>N</t>
        </is>
      </c>
      <c r="X1174" s="5" t="n"/>
      <c r="Y1174" s="5" t="n"/>
      <c r="Z1174" s="5" t="inlineStr">
        <is>
          <t>Only for some grades/labels - check your supplier grade</t>
        </is>
      </c>
      <c r="AA1174" s="10">
        <f>IFERROR(IF(INDEX('Test catalog'!$O$2:$O$200,MATCH($AB1174,'Test catalog'!$A$2:$A$200,0))="","",INDEX('Test catalog'!$O$2:$O$200,MATCH($AB1174,'Test catalog'!$A$2:$A$200,0))),"")</f>
        <v/>
      </c>
      <c r="AB1174" s="10" t="inlineStr">
        <is>
          <t>AAS</t>
        </is>
      </c>
      <c r="AC1174" s="10" t="inlineStr">
        <is>
          <t>Sodium Bicarbonate · Impurities</t>
        </is>
      </c>
      <c r="AD1174" s="10" t="n"/>
      <c r="AE1174" s="10" t="n"/>
    </row>
    <row r="1175">
      <c r="A1175" s="10" t="inlineStr">
        <is>
          <t>Sodium Bicarbonate</t>
        </is>
      </c>
      <c r="B1175" s="10" t="inlineStr">
        <is>
          <t>RM</t>
        </is>
      </c>
      <c r="C1175" s="10" t="inlineStr">
        <is>
          <t>pH Modifier / Buffer</t>
        </is>
      </c>
      <c r="D1175" s="10" t="inlineStr">
        <is>
          <t>Iron</t>
        </is>
      </c>
      <c r="E1175" s="10">
        <f>IF(A1175="","",A1175&amp;"|"&amp;D1175)</f>
        <v/>
      </c>
      <c r="F1175" s="5" t="inlineStr">
        <is>
          <t>N</t>
        </is>
      </c>
      <c r="G1175" s="5" t="inlineStr">
        <is>
          <t>Other / bench</t>
        </is>
      </c>
      <c r="H1175" s="5" t="inlineStr">
        <is>
          <t>Low</t>
        </is>
      </c>
      <c r="I1175" s="5" t="n">
        <v>1</v>
      </c>
      <c r="J1175" s="5" t="n"/>
      <c r="K1175" s="10">
        <f>IFERROR(IF(INDEX('Test catalog'!$F$2:$F$200,MATCH($AB1175,'Test catalog'!$A$2:$A$200,0))="","",INDEX('Test catalog'!$F$2:$F$200,MATCH($AB1175,'Test catalog'!$A$2:$A$200,0))),"")</f>
        <v/>
      </c>
      <c r="L1175" s="10">
        <f>IFERROR(IF(INDEX('Test catalog'!$G$2:$G$200,MATCH($AB1175,'Test catalog'!$A$2:$A$200,0))="","",INDEX('Test catalog'!$G$2:$G$200,MATCH($AB1175,'Test catalog'!$A$2:$A$200,0))),"")</f>
        <v/>
      </c>
      <c r="M1175" s="10">
        <f>IFERROR(IF(INDEX('Test catalog'!$H$2:$H$200,MATCH($AB1175,'Test catalog'!$A$2:$A$200,0))="","",INDEX('Test catalog'!$H$2:$H$200,MATCH($AB1175,'Test catalog'!$A$2:$A$200,0))),"")</f>
        <v/>
      </c>
      <c r="N1175" s="10">
        <f>IFERROR(IF(INDEX('Test catalog'!$I$2:$I$200,MATCH($AB1175,'Test catalog'!$A$2:$A$200,0))="","",INDEX('Test catalog'!$I$2:$I$200,MATCH($AB1175,'Test catalog'!$A$2:$A$200,0))),"")</f>
        <v/>
      </c>
      <c r="O1175" s="10">
        <f>IFERROR(IF(INDEX('Test catalog'!$J$2:$J$200,MATCH($AB1175,'Test catalog'!$A$2:$A$200,0))="","",INDEX('Test catalog'!$J$2:$J$200,MATCH($AB1175,'Test catalog'!$A$2:$A$200,0))),"")</f>
        <v/>
      </c>
      <c r="P1175" s="14">
        <f>IF(N1175="","",IF(OR(M1175="",O1175=""),N1175,(M1175+4*N1175+O1175)/6))</f>
        <v/>
      </c>
      <c r="Q1175" s="10">
        <f>IFERROR(IF(INDEX('Test catalog'!$K$2:$K$200,MATCH($AB1175,'Test catalog'!$A$2:$A$200,0))="","",INDEX('Test catalog'!$K$2:$K$200,MATCH($AB1175,'Test catalog'!$A$2:$A$200,0))),"")</f>
        <v/>
      </c>
      <c r="R1175" s="5" t="n"/>
      <c r="S1175" s="10">
        <f>IFERROR(IF(INDEX('Test catalog'!$L$2:$L$200,MATCH($AB1175,'Test catalog'!$A$2:$A$200,0))="","",INDEX('Test catalog'!$L$2:$L$200,MATCH($AB1175,'Test catalog'!$A$2:$A$200,0))),"")</f>
        <v/>
      </c>
      <c r="T1175" s="10">
        <f>IFERROR(IF(INDEX('Test catalog'!$M$2:$M$200,MATCH($AB1175,'Test catalog'!$A$2:$A$200,0))="","",INDEX('Test catalog'!$M$2:$M$200,MATCH($AB1175,'Test catalog'!$A$2:$A$200,0))),"")</f>
        <v/>
      </c>
      <c r="U1175" s="10">
        <f>IFERROR(IF(INDEX('Test catalog'!$N$2:$N$200,MATCH($AB1175,'Test catalog'!$A$2:$A$200,0))="","",INDEX('Test catalog'!$N$2:$N$200,MATCH($AB1175,'Test catalog'!$A$2:$A$200,0))),"")</f>
        <v/>
      </c>
      <c r="V1175" s="15" t="n"/>
      <c r="W1175" s="5" t="inlineStr">
        <is>
          <t>N</t>
        </is>
      </c>
      <c r="X1175" s="5" t="n"/>
      <c r="Y1175" s="5" t="n"/>
      <c r="Z1175" s="5" t="inlineStr">
        <is>
          <t>Only for some grades/labels - check your supplier grade</t>
        </is>
      </c>
      <c r="AA1175" s="10">
        <f>IFERROR(IF(INDEX('Test catalog'!$O$2:$O$200,MATCH($AB1175,'Test catalog'!$A$2:$A$200,0))="","",INDEX('Test catalog'!$O$2:$O$200,MATCH($AB1175,'Test catalog'!$A$2:$A$200,0))),"")</f>
        <v/>
      </c>
      <c r="AB1175" s="10" t="inlineStr">
        <is>
          <t>LIMIT</t>
        </is>
      </c>
      <c r="AC1175" s="10" t="inlineStr">
        <is>
          <t>Sodium Bicarbonate · Impurities &lt;241&gt;</t>
        </is>
      </c>
      <c r="AD1175" s="10" t="n"/>
      <c r="AE1175" s="10" t="n"/>
    </row>
    <row r="1176">
      <c r="A1176" s="10" t="inlineStr">
        <is>
          <t>Sodium Bicarbonate</t>
        </is>
      </c>
      <c r="B1176" s="10" t="inlineStr">
        <is>
          <t>RM</t>
        </is>
      </c>
      <c r="C1176" s="10" t="inlineStr">
        <is>
          <t>pH Modifier / Buffer</t>
        </is>
      </c>
      <c r="D1176" s="10" t="inlineStr">
        <is>
          <t>Limit of Ammonia (HPLC)</t>
        </is>
      </c>
      <c r="E1176" s="10">
        <f>IF(A1176="","",A1176&amp;"|"&amp;D1176)</f>
        <v/>
      </c>
      <c r="F1176" s="5" t="inlineStr">
        <is>
          <t>Y</t>
        </is>
      </c>
      <c r="G1176" s="5" t="inlineStr">
        <is>
          <t>HPLC</t>
        </is>
      </c>
      <c r="H1176" s="5" t="inlineStr">
        <is>
          <t>Medium</t>
        </is>
      </c>
      <c r="I1176" s="5" t="n">
        <v>1</v>
      </c>
      <c r="J1176" s="5" t="n"/>
      <c r="K1176" s="5" t="n"/>
      <c r="L1176" s="5" t="n"/>
      <c r="M1176" s="5" t="n"/>
      <c r="N1176" s="5" t="n"/>
      <c r="O1176" s="5" t="n"/>
      <c r="P1176" s="14">
        <f>IF(N1176="","",IF(OR(M1176="",O1176=""),N1176,(M1176+4*N1176+O1176)/6))</f>
        <v/>
      </c>
      <c r="Q1176" s="5" t="n"/>
      <c r="R1176" s="5" t="n"/>
      <c r="S1176" s="5" t="n"/>
      <c r="T1176" s="5" t="n"/>
      <c r="U1176" s="5" t="n"/>
      <c r="V1176" s="15" t="n"/>
      <c r="W1176" s="5" t="inlineStr">
        <is>
          <t>N</t>
        </is>
      </c>
      <c r="X1176" s="5" t="n"/>
      <c r="Y1176" s="5" t="n"/>
      <c r="Z1176" s="5" t="n"/>
      <c r="AA1176" s="5" t="n"/>
      <c r="AB1176" s="10" t="n"/>
      <c r="AC1176" s="10" t="inlineStr">
        <is>
          <t>Sodium Bicarbonate · Impurities</t>
        </is>
      </c>
      <c r="AD1176" s="10" t="n"/>
      <c r="AE1176" s="10" t="n"/>
    </row>
    <row r="1177">
      <c r="A1177" s="10" t="inlineStr">
        <is>
          <t>Sodium Bicarbonate</t>
        </is>
      </c>
      <c r="B1177" s="10" t="inlineStr">
        <is>
          <t>RM</t>
        </is>
      </c>
      <c r="C1177" s="10" t="inlineStr">
        <is>
          <t>pH Modifier / Buffer</t>
        </is>
      </c>
      <c r="D1177" s="10" t="inlineStr">
        <is>
          <t>Limit of Organics (where it is labeled as intended for use in hemodialysis)</t>
        </is>
      </c>
      <c r="E1177" s="10">
        <f>IF(A1177="","",A1177&amp;"|"&amp;D1177)</f>
        <v/>
      </c>
      <c r="F1177" s="5" t="inlineStr">
        <is>
          <t>N</t>
        </is>
      </c>
      <c r="G1177" s="5" t="inlineStr">
        <is>
          <t>Other / bench</t>
        </is>
      </c>
      <c r="H1177" s="5" t="inlineStr">
        <is>
          <t>Low</t>
        </is>
      </c>
      <c r="I1177" s="5" t="n">
        <v>1</v>
      </c>
      <c r="J1177" s="5" t="n"/>
      <c r="K1177" s="10">
        <f>IFERROR(IF(INDEX('Test catalog'!$F$2:$F$200,MATCH($AB1177,'Test catalog'!$A$2:$A$200,0))="","",INDEX('Test catalog'!$F$2:$F$200,MATCH($AB1177,'Test catalog'!$A$2:$A$200,0))),"")</f>
        <v/>
      </c>
      <c r="L1177" s="10">
        <f>IFERROR(IF(INDEX('Test catalog'!$G$2:$G$200,MATCH($AB1177,'Test catalog'!$A$2:$A$200,0))="","",INDEX('Test catalog'!$G$2:$G$200,MATCH($AB1177,'Test catalog'!$A$2:$A$200,0))),"")</f>
        <v/>
      </c>
      <c r="M1177" s="10">
        <f>IFERROR(IF(INDEX('Test catalog'!$H$2:$H$200,MATCH($AB1177,'Test catalog'!$A$2:$A$200,0))="","",INDEX('Test catalog'!$H$2:$H$200,MATCH($AB1177,'Test catalog'!$A$2:$A$200,0))),"")</f>
        <v/>
      </c>
      <c r="N1177" s="10">
        <f>IFERROR(IF(INDEX('Test catalog'!$I$2:$I$200,MATCH($AB1177,'Test catalog'!$A$2:$A$200,0))="","",INDEX('Test catalog'!$I$2:$I$200,MATCH($AB1177,'Test catalog'!$A$2:$A$200,0))),"")</f>
        <v/>
      </c>
      <c r="O1177" s="10">
        <f>IFERROR(IF(INDEX('Test catalog'!$J$2:$J$200,MATCH($AB1177,'Test catalog'!$A$2:$A$200,0))="","",INDEX('Test catalog'!$J$2:$J$200,MATCH($AB1177,'Test catalog'!$A$2:$A$200,0))),"")</f>
        <v/>
      </c>
      <c r="P1177" s="14">
        <f>IF(N1177="","",IF(OR(M1177="",O1177=""),N1177,(M1177+4*N1177+O1177)/6))</f>
        <v/>
      </c>
      <c r="Q1177" s="10">
        <f>IFERROR(IF(INDEX('Test catalog'!$K$2:$K$200,MATCH($AB1177,'Test catalog'!$A$2:$A$200,0))="","",INDEX('Test catalog'!$K$2:$K$200,MATCH($AB1177,'Test catalog'!$A$2:$A$200,0))),"")</f>
        <v/>
      </c>
      <c r="R1177" s="5" t="n"/>
      <c r="S1177" s="10">
        <f>IFERROR(IF(INDEX('Test catalog'!$L$2:$L$200,MATCH($AB1177,'Test catalog'!$A$2:$A$200,0))="","",INDEX('Test catalog'!$L$2:$L$200,MATCH($AB1177,'Test catalog'!$A$2:$A$200,0))),"")</f>
        <v/>
      </c>
      <c r="T1177" s="10">
        <f>IFERROR(IF(INDEX('Test catalog'!$M$2:$M$200,MATCH($AB1177,'Test catalog'!$A$2:$A$200,0))="","",INDEX('Test catalog'!$M$2:$M$200,MATCH($AB1177,'Test catalog'!$A$2:$A$200,0))),"")</f>
        <v/>
      </c>
      <c r="U1177" s="10">
        <f>IFERROR(IF(INDEX('Test catalog'!$N$2:$N$200,MATCH($AB1177,'Test catalog'!$A$2:$A$200,0))="","",INDEX('Test catalog'!$N$2:$N$200,MATCH($AB1177,'Test catalog'!$A$2:$A$200,0))),"")</f>
        <v/>
      </c>
      <c r="V1177" s="15" t="n"/>
      <c r="W1177" s="5" t="inlineStr">
        <is>
          <t>N</t>
        </is>
      </c>
      <c r="X1177" s="5" t="n"/>
      <c r="Y1177" s="5" t="n"/>
      <c r="Z1177" s="5" t="inlineStr">
        <is>
          <t>Only for some grades/labels - check your supplier grade</t>
        </is>
      </c>
      <c r="AA1177" s="10">
        <f>IFERROR(IF(INDEX('Test catalog'!$O$2:$O$200,MATCH($AB1177,'Test catalog'!$A$2:$A$200,0))="","",INDEX('Test catalog'!$O$2:$O$200,MATCH($AB1177,'Test catalog'!$A$2:$A$200,0))),"")</f>
        <v/>
      </c>
      <c r="AB1177" s="10" t="inlineStr">
        <is>
          <t>TITR</t>
        </is>
      </c>
      <c r="AC1177" s="10" t="inlineStr">
        <is>
          <t>Sodium Bicarbonate · Impurities</t>
        </is>
      </c>
      <c r="AD1177" s="10" t="n"/>
      <c r="AE1177" s="10" t="n"/>
    </row>
    <row r="1178">
      <c r="A1178" s="10" t="inlineStr">
        <is>
          <t>Sodium Bicarbonate</t>
        </is>
      </c>
      <c r="B1178" s="10" t="inlineStr">
        <is>
          <t>RM</t>
        </is>
      </c>
      <c r="C1178" s="10" t="inlineStr">
        <is>
          <t>pH Modifier / Buffer</t>
        </is>
      </c>
      <c r="D1178" s="10" t="inlineStr">
        <is>
          <t>Loss on Drying</t>
        </is>
      </c>
      <c r="E1178" s="10">
        <f>IF(A1178="","",A1178&amp;"|"&amp;D1178)</f>
        <v/>
      </c>
      <c r="F1178" s="5" t="inlineStr">
        <is>
          <t>Y</t>
        </is>
      </c>
      <c r="G1178" s="5" t="inlineStr">
        <is>
          <t>Other / bench</t>
        </is>
      </c>
      <c r="H1178" s="5" t="inlineStr">
        <is>
          <t>Low</t>
        </is>
      </c>
      <c r="I1178" s="5" t="n">
        <v>1</v>
      </c>
      <c r="J1178" s="5" t="n"/>
      <c r="K1178" s="10">
        <f>IFERROR(IF(INDEX('Test catalog'!$F$2:$F$200,MATCH($AB1178,'Test catalog'!$A$2:$A$200,0))="","",INDEX('Test catalog'!$F$2:$F$200,MATCH($AB1178,'Test catalog'!$A$2:$A$200,0))),"")</f>
        <v/>
      </c>
      <c r="L1178" s="10">
        <f>IFERROR(IF(INDEX('Test catalog'!$G$2:$G$200,MATCH($AB1178,'Test catalog'!$A$2:$A$200,0))="","",INDEX('Test catalog'!$G$2:$G$200,MATCH($AB1178,'Test catalog'!$A$2:$A$200,0))),"")</f>
        <v/>
      </c>
      <c r="M1178" s="10">
        <f>IFERROR(IF(INDEX('Test catalog'!$H$2:$H$200,MATCH($AB1178,'Test catalog'!$A$2:$A$200,0))="","",INDEX('Test catalog'!$H$2:$H$200,MATCH($AB1178,'Test catalog'!$A$2:$A$200,0))),"")</f>
        <v/>
      </c>
      <c r="N1178" s="10">
        <f>IFERROR(IF(INDEX('Test catalog'!$I$2:$I$200,MATCH($AB1178,'Test catalog'!$A$2:$A$200,0))="","",INDEX('Test catalog'!$I$2:$I$200,MATCH($AB1178,'Test catalog'!$A$2:$A$200,0))),"")</f>
        <v/>
      </c>
      <c r="O1178" s="10">
        <f>IFERROR(IF(INDEX('Test catalog'!$J$2:$J$200,MATCH($AB1178,'Test catalog'!$A$2:$A$200,0))="","",INDEX('Test catalog'!$J$2:$J$200,MATCH($AB1178,'Test catalog'!$A$2:$A$200,0))),"")</f>
        <v/>
      </c>
      <c r="P1178" s="14">
        <f>IF(N1178="","",IF(OR(M1178="",O1178=""),N1178,(M1178+4*N1178+O1178)/6))</f>
        <v/>
      </c>
      <c r="Q1178" s="10">
        <f>IFERROR(IF(INDEX('Test catalog'!$K$2:$K$200,MATCH($AB1178,'Test catalog'!$A$2:$A$200,0))="","",INDEX('Test catalog'!$K$2:$K$200,MATCH($AB1178,'Test catalog'!$A$2:$A$200,0))),"")</f>
        <v/>
      </c>
      <c r="R1178" s="5" t="n"/>
      <c r="S1178" s="10">
        <f>IFERROR(IF(INDEX('Test catalog'!$L$2:$L$200,MATCH($AB1178,'Test catalog'!$A$2:$A$200,0))="","",INDEX('Test catalog'!$L$2:$L$200,MATCH($AB1178,'Test catalog'!$A$2:$A$200,0))),"")</f>
        <v/>
      </c>
      <c r="T1178" s="10">
        <f>IFERROR(IF(INDEX('Test catalog'!$M$2:$M$200,MATCH($AB1178,'Test catalog'!$A$2:$A$200,0))="","",INDEX('Test catalog'!$M$2:$M$200,MATCH($AB1178,'Test catalog'!$A$2:$A$200,0))),"")</f>
        <v/>
      </c>
      <c r="U1178" s="10">
        <f>IFERROR(IF(INDEX('Test catalog'!$N$2:$N$200,MATCH($AB1178,'Test catalog'!$A$2:$A$200,0))="","",INDEX('Test catalog'!$N$2:$N$200,MATCH($AB1178,'Test catalog'!$A$2:$A$200,0))),"")</f>
        <v/>
      </c>
      <c r="V1178" s="15" t="n"/>
      <c r="W1178" s="5" t="inlineStr">
        <is>
          <t>N</t>
        </is>
      </c>
      <c r="X1178" s="5" t="n"/>
      <c r="Y1178" s="5" t="n"/>
      <c r="Z1178" s="5" t="n"/>
      <c r="AA1178" s="10">
        <f>IFERROR(IF(INDEX('Test catalog'!$O$2:$O$200,MATCH($AB1178,'Test catalog'!$A$2:$A$200,0))="","",INDEX('Test catalog'!$O$2:$O$200,MATCH($AB1178,'Test catalog'!$A$2:$A$200,0))),"")</f>
        <v/>
      </c>
      <c r="AB1178" s="10" t="inlineStr">
        <is>
          <t>LOD</t>
        </is>
      </c>
      <c r="AC1178" s="10" t="inlineStr">
        <is>
          <t>Sodium Bicarbonate · Specific Tests &lt;731&gt;</t>
        </is>
      </c>
      <c r="AD1178" s="10" t="n"/>
      <c r="AE1178" s="10" t="n"/>
    </row>
    <row r="1179">
      <c r="A1179" s="10" t="inlineStr">
        <is>
          <t>Sodium Citrate</t>
        </is>
      </c>
      <c r="B1179" s="10" t="inlineStr">
        <is>
          <t>RM</t>
        </is>
      </c>
      <c r="C1179" s="10" t="inlineStr">
        <is>
          <t>pH Modifier / Buffer</t>
        </is>
      </c>
      <c r="D1179" s="10" t="inlineStr">
        <is>
          <t>Appearance / description and solubility</t>
        </is>
      </c>
      <c r="E1179" s="10">
        <f>IF(A1179="","",A1179&amp;"|"&amp;D1179)</f>
        <v/>
      </c>
      <c r="F1179" s="5" t="inlineStr">
        <is>
          <t>Y</t>
        </is>
      </c>
      <c r="G1179" s="5" t="inlineStr">
        <is>
          <t>Other / bench</t>
        </is>
      </c>
      <c r="H1179" s="5" t="inlineStr">
        <is>
          <t>Low</t>
        </is>
      </c>
      <c r="I1179" s="5" t="n">
        <v>1</v>
      </c>
      <c r="J1179" s="5" t="n"/>
      <c r="K1179" s="10">
        <f>IFERROR(IF(INDEX('Test catalog'!$F$2:$F$200,MATCH($AB1179,'Test catalog'!$A$2:$A$200,0))="","",INDEX('Test catalog'!$F$2:$F$200,MATCH($AB1179,'Test catalog'!$A$2:$A$200,0))),"")</f>
        <v/>
      </c>
      <c r="L1179" s="10">
        <f>IFERROR(IF(INDEX('Test catalog'!$G$2:$G$200,MATCH($AB1179,'Test catalog'!$A$2:$A$200,0))="","",INDEX('Test catalog'!$G$2:$G$200,MATCH($AB1179,'Test catalog'!$A$2:$A$200,0))),"")</f>
        <v/>
      </c>
      <c r="M1179" s="10">
        <f>IFERROR(IF(INDEX('Test catalog'!$H$2:$H$200,MATCH($AB1179,'Test catalog'!$A$2:$A$200,0))="","",INDEX('Test catalog'!$H$2:$H$200,MATCH($AB1179,'Test catalog'!$A$2:$A$200,0))),"")</f>
        <v/>
      </c>
      <c r="N1179" s="10">
        <f>IFERROR(IF(INDEX('Test catalog'!$I$2:$I$200,MATCH($AB1179,'Test catalog'!$A$2:$A$200,0))="","",INDEX('Test catalog'!$I$2:$I$200,MATCH($AB1179,'Test catalog'!$A$2:$A$200,0))),"")</f>
        <v/>
      </c>
      <c r="O1179" s="10">
        <f>IFERROR(IF(INDEX('Test catalog'!$J$2:$J$200,MATCH($AB1179,'Test catalog'!$A$2:$A$200,0))="","",INDEX('Test catalog'!$J$2:$J$200,MATCH($AB1179,'Test catalog'!$A$2:$A$200,0))),"")</f>
        <v/>
      </c>
      <c r="P1179" s="14">
        <f>IF(N1179="","",IF(OR(M1179="",O1179=""),N1179,(M1179+4*N1179+O1179)/6))</f>
        <v/>
      </c>
      <c r="Q1179" s="10">
        <f>IFERROR(IF(INDEX('Test catalog'!$K$2:$K$200,MATCH($AB1179,'Test catalog'!$A$2:$A$200,0))="","",INDEX('Test catalog'!$K$2:$K$200,MATCH($AB1179,'Test catalog'!$A$2:$A$200,0))),"")</f>
        <v/>
      </c>
      <c r="R1179" s="5" t="n"/>
      <c r="S1179" s="10">
        <f>IFERROR(IF(INDEX('Test catalog'!$L$2:$L$200,MATCH($AB1179,'Test catalog'!$A$2:$A$200,0))="","",INDEX('Test catalog'!$L$2:$L$200,MATCH($AB1179,'Test catalog'!$A$2:$A$200,0))),"")</f>
        <v/>
      </c>
      <c r="T1179" s="10">
        <f>IFERROR(IF(INDEX('Test catalog'!$M$2:$M$200,MATCH($AB1179,'Test catalog'!$A$2:$A$200,0))="","",INDEX('Test catalog'!$M$2:$M$200,MATCH($AB1179,'Test catalog'!$A$2:$A$200,0))),"")</f>
        <v/>
      </c>
      <c r="U1179" s="10">
        <f>IFERROR(IF(INDEX('Test catalog'!$N$2:$N$200,MATCH($AB1179,'Test catalog'!$A$2:$A$200,0))="","",INDEX('Test catalog'!$N$2:$N$200,MATCH($AB1179,'Test catalog'!$A$2:$A$200,0))),"")</f>
        <v/>
      </c>
      <c r="V1179" s="15" t="n"/>
      <c r="W1179" s="5" t="inlineStr">
        <is>
          <t>N</t>
        </is>
      </c>
      <c r="X1179" s="5" t="n"/>
      <c r="Y1179" s="5" t="n"/>
      <c r="Z1179" s="5" t="n"/>
      <c r="AA1179" s="10">
        <f>IFERROR(IF(INDEX('Test catalog'!$O$2:$O$200,MATCH($AB1179,'Test catalog'!$A$2:$A$200,0))="","",INDEX('Test catalog'!$O$2:$O$200,MATCH($AB1179,'Test catalog'!$A$2:$A$200,0))),"")</f>
        <v/>
      </c>
      <c r="AB1179" s="10" t="inlineStr">
        <is>
          <t>APPEAR</t>
        </is>
      </c>
      <c r="AC1179" s="10" t="inlineStr">
        <is>
          <t>Lab practice (not a USP test)</t>
        </is>
      </c>
      <c r="AD1179" s="10" t="n"/>
      <c r="AE1179" s="10" t="n"/>
    </row>
    <row r="1180">
      <c r="A1180" s="10" t="inlineStr">
        <is>
          <t>Sodium Citrate</t>
        </is>
      </c>
      <c r="B1180" s="10" t="inlineStr">
        <is>
          <t>RM</t>
        </is>
      </c>
      <c r="C1180" s="10" t="inlineStr">
        <is>
          <t>pH Modifier / Buffer</t>
        </is>
      </c>
      <c r="D1180" s="10" t="inlineStr">
        <is>
          <t>ID A - chemical reaction</t>
        </is>
      </c>
      <c r="E1180" s="10">
        <f>IF(A1180="","",A1180&amp;"|"&amp;D1180)</f>
        <v/>
      </c>
      <c r="F1180" s="5" t="inlineStr">
        <is>
          <t>Y</t>
        </is>
      </c>
      <c r="G1180" s="5" t="inlineStr">
        <is>
          <t>Other / bench</t>
        </is>
      </c>
      <c r="H1180" s="5" t="inlineStr">
        <is>
          <t>Low</t>
        </is>
      </c>
      <c r="I1180" s="5" t="n">
        <v>1</v>
      </c>
      <c r="J1180" s="5" t="n"/>
      <c r="K1180" s="10">
        <f>IFERROR(IF(INDEX('Test catalog'!$F$2:$F$200,MATCH($AB1180,'Test catalog'!$A$2:$A$200,0))="","",INDEX('Test catalog'!$F$2:$F$200,MATCH($AB1180,'Test catalog'!$A$2:$A$200,0))),"")</f>
        <v/>
      </c>
      <c r="L1180" s="10">
        <f>IFERROR(IF(INDEX('Test catalog'!$G$2:$G$200,MATCH($AB1180,'Test catalog'!$A$2:$A$200,0))="","",INDEX('Test catalog'!$G$2:$G$200,MATCH($AB1180,'Test catalog'!$A$2:$A$200,0))),"")</f>
        <v/>
      </c>
      <c r="M1180" s="10">
        <f>IFERROR(IF(INDEX('Test catalog'!$H$2:$H$200,MATCH($AB1180,'Test catalog'!$A$2:$A$200,0))="","",INDEX('Test catalog'!$H$2:$H$200,MATCH($AB1180,'Test catalog'!$A$2:$A$200,0))),"")</f>
        <v/>
      </c>
      <c r="N1180" s="10">
        <f>IFERROR(IF(INDEX('Test catalog'!$I$2:$I$200,MATCH($AB1180,'Test catalog'!$A$2:$A$200,0))="","",INDEX('Test catalog'!$I$2:$I$200,MATCH($AB1180,'Test catalog'!$A$2:$A$200,0))),"")</f>
        <v/>
      </c>
      <c r="O1180" s="10">
        <f>IFERROR(IF(INDEX('Test catalog'!$J$2:$J$200,MATCH($AB1180,'Test catalog'!$A$2:$A$200,0))="","",INDEX('Test catalog'!$J$2:$J$200,MATCH($AB1180,'Test catalog'!$A$2:$A$200,0))),"")</f>
        <v/>
      </c>
      <c r="P1180" s="14">
        <f>IF(N1180="","",IF(OR(M1180="",O1180=""),N1180,(M1180+4*N1180+O1180)/6))</f>
        <v/>
      </c>
      <c r="Q1180" s="10">
        <f>IFERROR(IF(INDEX('Test catalog'!$K$2:$K$200,MATCH($AB1180,'Test catalog'!$A$2:$A$200,0))="","",INDEX('Test catalog'!$K$2:$K$200,MATCH($AB1180,'Test catalog'!$A$2:$A$200,0))),"")</f>
        <v/>
      </c>
      <c r="R1180" s="5" t="n"/>
      <c r="S1180" s="10">
        <f>IFERROR(IF(INDEX('Test catalog'!$L$2:$L$200,MATCH($AB1180,'Test catalog'!$A$2:$A$200,0))="","",INDEX('Test catalog'!$L$2:$L$200,MATCH($AB1180,'Test catalog'!$A$2:$A$200,0))),"")</f>
        <v/>
      </c>
      <c r="T1180" s="10">
        <f>IFERROR(IF(INDEX('Test catalog'!$M$2:$M$200,MATCH($AB1180,'Test catalog'!$A$2:$A$200,0))="","",INDEX('Test catalog'!$M$2:$M$200,MATCH($AB1180,'Test catalog'!$A$2:$A$200,0))),"")</f>
        <v/>
      </c>
      <c r="U1180" s="10">
        <f>IFERROR(IF(INDEX('Test catalog'!$N$2:$N$200,MATCH($AB1180,'Test catalog'!$A$2:$A$200,0))="","",INDEX('Test catalog'!$N$2:$N$200,MATCH($AB1180,'Test catalog'!$A$2:$A$200,0))),"")</f>
        <v/>
      </c>
      <c r="V1180" s="15" t="n"/>
      <c r="W1180" s="5" t="inlineStr">
        <is>
          <t>N</t>
        </is>
      </c>
      <c r="X1180" s="5" t="n"/>
      <c r="Y1180" s="5" t="n"/>
      <c r="Z1180" s="5" t="n"/>
      <c r="AA1180" s="10">
        <f>IFERROR(IF(INDEX('Test catalog'!$O$2:$O$200,MATCH($AB1180,'Test catalog'!$A$2:$A$200,0))="","",INDEX('Test catalog'!$O$2:$O$200,MATCH($AB1180,'Test catalog'!$A$2:$A$200,0))),"")</f>
        <v/>
      </c>
      <c r="AB1180" s="10" t="inlineStr">
        <is>
          <t>ID_CHEM</t>
        </is>
      </c>
      <c r="AC1180" s="10" t="inlineStr">
        <is>
          <t>Sodium Citrate · Identification &lt;191&gt;</t>
        </is>
      </c>
      <c r="AD1180" s="10" t="n"/>
      <c r="AE1180" s="10" t="n"/>
    </row>
    <row r="1181">
      <c r="A1181" s="10" t="inlineStr">
        <is>
          <t>Sodium Citrate</t>
        </is>
      </c>
      <c r="B1181" s="10" t="inlineStr">
        <is>
          <t>RM</t>
        </is>
      </c>
      <c r="C1181" s="10" t="inlineStr">
        <is>
          <t>pH Modifier / Buffer</t>
        </is>
      </c>
      <c r="D1181" s="10" t="inlineStr">
        <is>
          <t>ID B - chemical reaction</t>
        </is>
      </c>
      <c r="E1181" s="10">
        <f>IF(A1181="","",A1181&amp;"|"&amp;D1181)</f>
        <v/>
      </c>
      <c r="F1181" s="5" t="inlineStr">
        <is>
          <t>Y</t>
        </is>
      </c>
      <c r="G1181" s="5" t="inlineStr">
        <is>
          <t>Other / bench</t>
        </is>
      </c>
      <c r="H1181" s="5" t="inlineStr">
        <is>
          <t>Low</t>
        </is>
      </c>
      <c r="I1181" s="5" t="n">
        <v>1</v>
      </c>
      <c r="J1181" s="5" t="n"/>
      <c r="K1181" s="10">
        <f>IFERROR(IF(INDEX('Test catalog'!$F$2:$F$200,MATCH($AB1181,'Test catalog'!$A$2:$A$200,0))="","",INDEX('Test catalog'!$F$2:$F$200,MATCH($AB1181,'Test catalog'!$A$2:$A$200,0))),"")</f>
        <v/>
      </c>
      <c r="L1181" s="10">
        <f>IFERROR(IF(INDEX('Test catalog'!$G$2:$G$200,MATCH($AB1181,'Test catalog'!$A$2:$A$200,0))="","",INDEX('Test catalog'!$G$2:$G$200,MATCH($AB1181,'Test catalog'!$A$2:$A$200,0))),"")</f>
        <v/>
      </c>
      <c r="M1181" s="10">
        <f>IFERROR(IF(INDEX('Test catalog'!$H$2:$H$200,MATCH($AB1181,'Test catalog'!$A$2:$A$200,0))="","",INDEX('Test catalog'!$H$2:$H$200,MATCH($AB1181,'Test catalog'!$A$2:$A$200,0))),"")</f>
        <v/>
      </c>
      <c r="N1181" s="10">
        <f>IFERROR(IF(INDEX('Test catalog'!$I$2:$I$200,MATCH($AB1181,'Test catalog'!$A$2:$A$200,0))="","",INDEX('Test catalog'!$I$2:$I$200,MATCH($AB1181,'Test catalog'!$A$2:$A$200,0))),"")</f>
        <v/>
      </c>
      <c r="O1181" s="10">
        <f>IFERROR(IF(INDEX('Test catalog'!$J$2:$J$200,MATCH($AB1181,'Test catalog'!$A$2:$A$200,0))="","",INDEX('Test catalog'!$J$2:$J$200,MATCH($AB1181,'Test catalog'!$A$2:$A$200,0))),"")</f>
        <v/>
      </c>
      <c r="P1181" s="14">
        <f>IF(N1181="","",IF(OR(M1181="",O1181=""),N1181,(M1181+4*N1181+O1181)/6))</f>
        <v/>
      </c>
      <c r="Q1181" s="10">
        <f>IFERROR(IF(INDEX('Test catalog'!$K$2:$K$200,MATCH($AB1181,'Test catalog'!$A$2:$A$200,0))="","",INDEX('Test catalog'!$K$2:$K$200,MATCH($AB1181,'Test catalog'!$A$2:$A$200,0))),"")</f>
        <v/>
      </c>
      <c r="R1181" s="5" t="n"/>
      <c r="S1181" s="10">
        <f>IFERROR(IF(INDEX('Test catalog'!$L$2:$L$200,MATCH($AB1181,'Test catalog'!$A$2:$A$200,0))="","",INDEX('Test catalog'!$L$2:$L$200,MATCH($AB1181,'Test catalog'!$A$2:$A$200,0))),"")</f>
        <v/>
      </c>
      <c r="T1181" s="10">
        <f>IFERROR(IF(INDEX('Test catalog'!$M$2:$M$200,MATCH($AB1181,'Test catalog'!$A$2:$A$200,0))="","",INDEX('Test catalog'!$M$2:$M$200,MATCH($AB1181,'Test catalog'!$A$2:$A$200,0))),"")</f>
        <v/>
      </c>
      <c r="U1181" s="10">
        <f>IFERROR(IF(INDEX('Test catalog'!$N$2:$N$200,MATCH($AB1181,'Test catalog'!$A$2:$A$200,0))="","",INDEX('Test catalog'!$N$2:$N$200,MATCH($AB1181,'Test catalog'!$A$2:$A$200,0))),"")</f>
        <v/>
      </c>
      <c r="V1181" s="15" t="n"/>
      <c r="W1181" s="5" t="inlineStr">
        <is>
          <t>N</t>
        </is>
      </c>
      <c r="X1181" s="5" t="n"/>
      <c r="Y1181" s="5" t="n"/>
      <c r="Z1181" s="5" t="n"/>
      <c r="AA1181" s="10">
        <f>IFERROR(IF(INDEX('Test catalog'!$O$2:$O$200,MATCH($AB1181,'Test catalog'!$A$2:$A$200,0))="","",INDEX('Test catalog'!$O$2:$O$200,MATCH($AB1181,'Test catalog'!$A$2:$A$200,0))),"")</f>
        <v/>
      </c>
      <c r="AB1181" s="10" t="inlineStr">
        <is>
          <t>ID_CHEM</t>
        </is>
      </c>
      <c r="AC1181" s="10" t="inlineStr">
        <is>
          <t>Sodium Citrate · Identification &lt;191&gt;</t>
        </is>
      </c>
      <c r="AD1181" s="10" t="n"/>
      <c r="AE1181" s="10" t="n"/>
    </row>
    <row r="1182">
      <c r="A1182" s="10" t="inlineStr">
        <is>
          <t>Sodium Citrate</t>
        </is>
      </c>
      <c r="B1182" s="10" t="inlineStr">
        <is>
          <t>RM</t>
        </is>
      </c>
      <c r="C1182" s="10" t="inlineStr">
        <is>
          <t>pH Modifier / Buffer</t>
        </is>
      </c>
      <c r="D1182" s="10" t="inlineStr">
        <is>
          <t>Assay</t>
        </is>
      </c>
      <c r="E1182" s="10">
        <f>IF(A1182="","",A1182&amp;"|"&amp;D1182)</f>
        <v/>
      </c>
      <c r="F1182" s="5" t="inlineStr">
        <is>
          <t>Y</t>
        </is>
      </c>
      <c r="G1182" s="5" t="inlineStr">
        <is>
          <t>Other / bench</t>
        </is>
      </c>
      <c r="H1182" s="5" t="inlineStr">
        <is>
          <t>Low</t>
        </is>
      </c>
      <c r="I1182" s="5" t="n">
        <v>1</v>
      </c>
      <c r="J1182" s="5" t="n"/>
      <c r="K1182" s="10">
        <f>IFERROR(IF(INDEX('Test catalog'!$F$2:$F$200,MATCH($AB1182,'Test catalog'!$A$2:$A$200,0))="","",INDEX('Test catalog'!$F$2:$F$200,MATCH($AB1182,'Test catalog'!$A$2:$A$200,0))),"")</f>
        <v/>
      </c>
      <c r="L1182" s="10">
        <f>IFERROR(IF(INDEX('Test catalog'!$G$2:$G$200,MATCH($AB1182,'Test catalog'!$A$2:$A$200,0))="","",INDEX('Test catalog'!$G$2:$G$200,MATCH($AB1182,'Test catalog'!$A$2:$A$200,0))),"")</f>
        <v/>
      </c>
      <c r="M1182" s="10">
        <f>IFERROR(IF(INDEX('Test catalog'!$H$2:$H$200,MATCH($AB1182,'Test catalog'!$A$2:$A$200,0))="","",INDEX('Test catalog'!$H$2:$H$200,MATCH($AB1182,'Test catalog'!$A$2:$A$200,0))),"")</f>
        <v/>
      </c>
      <c r="N1182" s="10">
        <f>IFERROR(IF(INDEX('Test catalog'!$I$2:$I$200,MATCH($AB1182,'Test catalog'!$A$2:$A$200,0))="","",INDEX('Test catalog'!$I$2:$I$200,MATCH($AB1182,'Test catalog'!$A$2:$A$200,0))),"")</f>
        <v/>
      </c>
      <c r="O1182" s="10">
        <f>IFERROR(IF(INDEX('Test catalog'!$J$2:$J$200,MATCH($AB1182,'Test catalog'!$A$2:$A$200,0))="","",INDEX('Test catalog'!$J$2:$J$200,MATCH($AB1182,'Test catalog'!$A$2:$A$200,0))),"")</f>
        <v/>
      </c>
      <c r="P1182" s="14">
        <f>IF(N1182="","",IF(OR(M1182="",O1182=""),N1182,(M1182+4*N1182+O1182)/6))</f>
        <v/>
      </c>
      <c r="Q1182" s="10">
        <f>IFERROR(IF(INDEX('Test catalog'!$K$2:$K$200,MATCH($AB1182,'Test catalog'!$A$2:$A$200,0))="","",INDEX('Test catalog'!$K$2:$K$200,MATCH($AB1182,'Test catalog'!$A$2:$A$200,0))),"")</f>
        <v/>
      </c>
      <c r="R1182" s="5" t="n"/>
      <c r="S1182" s="10">
        <f>IFERROR(IF(INDEX('Test catalog'!$L$2:$L$200,MATCH($AB1182,'Test catalog'!$A$2:$A$200,0))="","",INDEX('Test catalog'!$L$2:$L$200,MATCH($AB1182,'Test catalog'!$A$2:$A$200,0))),"")</f>
        <v/>
      </c>
      <c r="T1182" s="10">
        <f>IFERROR(IF(INDEX('Test catalog'!$M$2:$M$200,MATCH($AB1182,'Test catalog'!$A$2:$A$200,0))="","",INDEX('Test catalog'!$M$2:$M$200,MATCH($AB1182,'Test catalog'!$A$2:$A$200,0))),"")</f>
        <v/>
      </c>
      <c r="U1182" s="10">
        <f>IFERROR(IF(INDEX('Test catalog'!$N$2:$N$200,MATCH($AB1182,'Test catalog'!$A$2:$A$200,0))="","",INDEX('Test catalog'!$N$2:$N$200,MATCH($AB1182,'Test catalog'!$A$2:$A$200,0))),"")</f>
        <v/>
      </c>
      <c r="V1182" s="15" t="n"/>
      <c r="W1182" s="5" t="inlineStr">
        <is>
          <t>N</t>
        </is>
      </c>
      <c r="X1182" s="5" t="n"/>
      <c r="Y1182" s="5" t="n"/>
      <c r="Z1182" s="5" t="n"/>
      <c r="AA1182" s="10">
        <f>IFERROR(IF(INDEX('Test catalog'!$O$2:$O$200,MATCH($AB1182,'Test catalog'!$A$2:$A$200,0))="","",INDEX('Test catalog'!$O$2:$O$200,MATCH($AB1182,'Test catalog'!$A$2:$A$200,0))),"")</f>
        <v/>
      </c>
      <c r="AB1182" s="10" t="inlineStr">
        <is>
          <t>TITR</t>
        </is>
      </c>
      <c r="AC1182" s="10" t="inlineStr">
        <is>
          <t>Sodium Citrate · Assay</t>
        </is>
      </c>
      <c r="AD1182" s="10" t="n"/>
      <c r="AE1182" s="10" t="n"/>
    </row>
    <row r="1183">
      <c r="A1183" s="10" t="inlineStr">
        <is>
          <t>Sodium Citrate</t>
        </is>
      </c>
      <c r="B1183" s="10" t="inlineStr">
        <is>
          <t>RM</t>
        </is>
      </c>
      <c r="C1183" s="10" t="inlineStr">
        <is>
          <t>pH Modifier / Buffer</t>
        </is>
      </c>
      <c r="D1183" s="10" t="inlineStr">
        <is>
          <t>ID C - Assay or test by titration</t>
        </is>
      </c>
      <c r="E1183" s="10">
        <f>IF(A1183="","",A1183&amp;"|"&amp;D1183)</f>
        <v/>
      </c>
      <c r="F1183" s="5" t="inlineStr">
        <is>
          <t>Y</t>
        </is>
      </c>
      <c r="G1183" s="5" t="inlineStr">
        <is>
          <t>Other / bench</t>
        </is>
      </c>
      <c r="H1183" s="5" t="inlineStr">
        <is>
          <t>Low</t>
        </is>
      </c>
      <c r="I1183" s="5" t="n">
        <v>1</v>
      </c>
      <c r="J1183" s="5" t="n"/>
      <c r="K1183" s="10">
        <f>IFERROR(IF(INDEX('Test catalog'!$F$2:$F$200,MATCH($AB1183,'Test catalog'!$A$2:$A$200,0))="","",INDEX('Test catalog'!$F$2:$F$200,MATCH($AB1183,'Test catalog'!$A$2:$A$200,0))),"")</f>
        <v/>
      </c>
      <c r="L1183" s="10">
        <f>IFERROR(IF(INDEX('Test catalog'!$G$2:$G$200,MATCH($AB1183,'Test catalog'!$A$2:$A$200,0))="","",INDEX('Test catalog'!$G$2:$G$200,MATCH($AB1183,'Test catalog'!$A$2:$A$200,0))),"")</f>
        <v/>
      </c>
      <c r="M1183" s="10">
        <f>IFERROR(IF(INDEX('Test catalog'!$H$2:$H$200,MATCH($AB1183,'Test catalog'!$A$2:$A$200,0))="","",INDEX('Test catalog'!$H$2:$H$200,MATCH($AB1183,'Test catalog'!$A$2:$A$200,0))),"")</f>
        <v/>
      </c>
      <c r="N1183" s="10">
        <f>IFERROR(IF(INDEX('Test catalog'!$I$2:$I$200,MATCH($AB1183,'Test catalog'!$A$2:$A$200,0))="","",INDEX('Test catalog'!$I$2:$I$200,MATCH($AB1183,'Test catalog'!$A$2:$A$200,0))),"")</f>
        <v/>
      </c>
      <c r="O1183" s="10">
        <f>IFERROR(IF(INDEX('Test catalog'!$J$2:$J$200,MATCH($AB1183,'Test catalog'!$A$2:$A$200,0))="","",INDEX('Test catalog'!$J$2:$J$200,MATCH($AB1183,'Test catalog'!$A$2:$A$200,0))),"")</f>
        <v/>
      </c>
      <c r="P1183" s="14">
        <f>IF(N1183="","",IF(OR(M1183="",O1183=""),N1183,(M1183+4*N1183+O1183)/6))</f>
        <v/>
      </c>
      <c r="Q1183" s="10">
        <f>IFERROR(IF(INDEX('Test catalog'!$K$2:$K$200,MATCH($AB1183,'Test catalog'!$A$2:$A$200,0))="","",INDEX('Test catalog'!$K$2:$K$200,MATCH($AB1183,'Test catalog'!$A$2:$A$200,0))),"")</f>
        <v/>
      </c>
      <c r="R1183" s="5" t="n"/>
      <c r="S1183" s="10">
        <f>IFERROR(IF(INDEX('Test catalog'!$L$2:$L$200,MATCH($AB1183,'Test catalog'!$A$2:$A$200,0))="","",INDEX('Test catalog'!$L$2:$L$200,MATCH($AB1183,'Test catalog'!$A$2:$A$200,0))),"")</f>
        <v/>
      </c>
      <c r="T1183" s="10">
        <f>IFERROR(IF(INDEX('Test catalog'!$M$2:$M$200,MATCH($AB1183,'Test catalog'!$A$2:$A$200,0))="","",INDEX('Test catalog'!$M$2:$M$200,MATCH($AB1183,'Test catalog'!$A$2:$A$200,0))),"")</f>
        <v/>
      </c>
      <c r="U1183" s="10">
        <f>IFERROR(IF(INDEX('Test catalog'!$N$2:$N$200,MATCH($AB1183,'Test catalog'!$A$2:$A$200,0))="","",INDEX('Test catalog'!$N$2:$N$200,MATCH($AB1183,'Test catalog'!$A$2:$A$200,0))),"")</f>
        <v/>
      </c>
      <c r="V1183" s="15" t="n"/>
      <c r="W1183" s="5" t="inlineStr">
        <is>
          <t>N</t>
        </is>
      </c>
      <c r="X1183" s="5" t="n"/>
      <c r="Y1183" s="5" t="n"/>
      <c r="Z1183" s="5" t="n"/>
      <c r="AA1183" s="10">
        <f>IFERROR(IF(INDEX('Test catalog'!$O$2:$O$200,MATCH($AB1183,'Test catalog'!$A$2:$A$200,0))="","",INDEX('Test catalog'!$O$2:$O$200,MATCH($AB1183,'Test catalog'!$A$2:$A$200,0))),"")</f>
        <v/>
      </c>
      <c r="AB1183" s="10" t="inlineStr">
        <is>
          <t>TITR</t>
        </is>
      </c>
      <c r="AC1183" s="10" t="inlineStr">
        <is>
          <t>Sodium Citrate · Identification</t>
        </is>
      </c>
      <c r="AD1183" s="10" t="n"/>
      <c r="AE1183" s="10" t="n"/>
    </row>
    <row r="1184">
      <c r="A1184" s="10" t="inlineStr">
        <is>
          <t>Sodium Citrate</t>
        </is>
      </c>
      <c r="B1184" s="10" t="inlineStr">
        <is>
          <t>RM</t>
        </is>
      </c>
      <c r="C1184" s="10" t="inlineStr">
        <is>
          <t>pH Modifier / Buffer</t>
        </is>
      </c>
      <c r="D1184" s="10" t="inlineStr">
        <is>
          <t>Tartrate</t>
        </is>
      </c>
      <c r="E1184" s="10">
        <f>IF(A1184="","",A1184&amp;"|"&amp;D1184)</f>
        <v/>
      </c>
      <c r="F1184" s="5" t="inlineStr">
        <is>
          <t>Y</t>
        </is>
      </c>
      <c r="G1184" s="5" t="inlineStr">
        <is>
          <t>Other / bench</t>
        </is>
      </c>
      <c r="H1184" s="5" t="inlineStr">
        <is>
          <t>Low</t>
        </is>
      </c>
      <c r="I1184" s="5" t="n">
        <v>1</v>
      </c>
      <c r="J1184" s="5" t="n"/>
      <c r="K1184" s="10">
        <f>IFERROR(IF(INDEX('Test catalog'!$F$2:$F$200,MATCH($AB1184,'Test catalog'!$A$2:$A$200,0))="","",INDEX('Test catalog'!$F$2:$F$200,MATCH($AB1184,'Test catalog'!$A$2:$A$200,0))),"")</f>
        <v/>
      </c>
      <c r="L1184" s="10">
        <f>IFERROR(IF(INDEX('Test catalog'!$G$2:$G$200,MATCH($AB1184,'Test catalog'!$A$2:$A$200,0))="","",INDEX('Test catalog'!$G$2:$G$200,MATCH($AB1184,'Test catalog'!$A$2:$A$200,0))),"")</f>
        <v/>
      </c>
      <c r="M1184" s="10">
        <f>IFERROR(IF(INDEX('Test catalog'!$H$2:$H$200,MATCH($AB1184,'Test catalog'!$A$2:$A$200,0))="","",INDEX('Test catalog'!$H$2:$H$200,MATCH($AB1184,'Test catalog'!$A$2:$A$200,0))),"")</f>
        <v/>
      </c>
      <c r="N1184" s="10">
        <f>IFERROR(IF(INDEX('Test catalog'!$I$2:$I$200,MATCH($AB1184,'Test catalog'!$A$2:$A$200,0))="","",INDEX('Test catalog'!$I$2:$I$200,MATCH($AB1184,'Test catalog'!$A$2:$A$200,0))),"")</f>
        <v/>
      </c>
      <c r="O1184" s="10">
        <f>IFERROR(IF(INDEX('Test catalog'!$J$2:$J$200,MATCH($AB1184,'Test catalog'!$A$2:$A$200,0))="","",INDEX('Test catalog'!$J$2:$J$200,MATCH($AB1184,'Test catalog'!$A$2:$A$200,0))),"")</f>
        <v/>
      </c>
      <c r="P1184" s="14">
        <f>IF(N1184="","",IF(OR(M1184="",O1184=""),N1184,(M1184+4*N1184+O1184)/6))</f>
        <v/>
      </c>
      <c r="Q1184" s="10">
        <f>IFERROR(IF(INDEX('Test catalog'!$K$2:$K$200,MATCH($AB1184,'Test catalog'!$A$2:$A$200,0))="","",INDEX('Test catalog'!$K$2:$K$200,MATCH($AB1184,'Test catalog'!$A$2:$A$200,0))),"")</f>
        <v/>
      </c>
      <c r="R1184" s="5" t="n"/>
      <c r="S1184" s="10">
        <f>IFERROR(IF(INDEX('Test catalog'!$L$2:$L$200,MATCH($AB1184,'Test catalog'!$A$2:$A$200,0))="","",INDEX('Test catalog'!$L$2:$L$200,MATCH($AB1184,'Test catalog'!$A$2:$A$200,0))),"")</f>
        <v/>
      </c>
      <c r="T1184" s="10">
        <f>IFERROR(IF(INDEX('Test catalog'!$M$2:$M$200,MATCH($AB1184,'Test catalog'!$A$2:$A$200,0))="","",INDEX('Test catalog'!$M$2:$M$200,MATCH($AB1184,'Test catalog'!$A$2:$A$200,0))),"")</f>
        <v/>
      </c>
      <c r="U1184" s="10">
        <f>IFERROR(IF(INDEX('Test catalog'!$N$2:$N$200,MATCH($AB1184,'Test catalog'!$A$2:$A$200,0))="","",INDEX('Test catalog'!$N$2:$N$200,MATCH($AB1184,'Test catalog'!$A$2:$A$200,0))),"")</f>
        <v/>
      </c>
      <c r="V1184" s="15" t="n"/>
      <c r="W1184" s="5" t="inlineStr">
        <is>
          <t>N</t>
        </is>
      </c>
      <c r="X1184" s="5" t="n"/>
      <c r="Y1184" s="5" t="n"/>
      <c r="Z1184" s="5" t="n"/>
      <c r="AA1184" s="10">
        <f>IFERROR(IF(INDEX('Test catalog'!$O$2:$O$200,MATCH($AB1184,'Test catalog'!$A$2:$A$200,0))="","",INDEX('Test catalog'!$O$2:$O$200,MATCH($AB1184,'Test catalog'!$A$2:$A$200,0))),"")</f>
        <v/>
      </c>
      <c r="AB1184" s="10" t="inlineStr">
        <is>
          <t>LIMIT</t>
        </is>
      </c>
      <c r="AC1184" s="10" t="inlineStr">
        <is>
          <t>Sodium Citrate · Impurities</t>
        </is>
      </c>
      <c r="AD1184" s="10" t="n"/>
      <c r="AE1184" s="10" t="n"/>
    </row>
    <row r="1185">
      <c r="A1185" s="10" t="inlineStr">
        <is>
          <t>Sodium Citrate</t>
        </is>
      </c>
      <c r="B1185" s="10" t="inlineStr">
        <is>
          <t>RM</t>
        </is>
      </c>
      <c r="C1185" s="10" t="inlineStr">
        <is>
          <t>pH Modifier / Buffer</t>
        </is>
      </c>
      <c r="D1185" s="10" t="inlineStr">
        <is>
          <t>Alkalinity</t>
        </is>
      </c>
      <c r="E1185" s="10">
        <f>IF(A1185="","",A1185&amp;"|"&amp;D1185)</f>
        <v/>
      </c>
      <c r="F1185" s="5" t="inlineStr">
        <is>
          <t>Y</t>
        </is>
      </c>
      <c r="G1185" s="5" t="inlineStr">
        <is>
          <t>Other / bench</t>
        </is>
      </c>
      <c r="H1185" s="5" t="inlineStr">
        <is>
          <t>Low</t>
        </is>
      </c>
      <c r="I1185" s="5" t="n">
        <v>1</v>
      </c>
      <c r="J1185" s="5" t="n"/>
      <c r="K1185" s="10">
        <f>IFERROR(IF(INDEX('Test catalog'!$F$2:$F$200,MATCH($AB1185,'Test catalog'!$A$2:$A$200,0))="","",INDEX('Test catalog'!$F$2:$F$200,MATCH($AB1185,'Test catalog'!$A$2:$A$200,0))),"")</f>
        <v/>
      </c>
      <c r="L1185" s="10">
        <f>IFERROR(IF(INDEX('Test catalog'!$G$2:$G$200,MATCH($AB1185,'Test catalog'!$A$2:$A$200,0))="","",INDEX('Test catalog'!$G$2:$G$200,MATCH($AB1185,'Test catalog'!$A$2:$A$200,0))),"")</f>
        <v/>
      </c>
      <c r="M1185" s="10">
        <f>IFERROR(IF(INDEX('Test catalog'!$H$2:$H$200,MATCH($AB1185,'Test catalog'!$A$2:$A$200,0))="","",INDEX('Test catalog'!$H$2:$H$200,MATCH($AB1185,'Test catalog'!$A$2:$A$200,0))),"")</f>
        <v/>
      </c>
      <c r="N1185" s="10">
        <f>IFERROR(IF(INDEX('Test catalog'!$I$2:$I$200,MATCH($AB1185,'Test catalog'!$A$2:$A$200,0))="","",INDEX('Test catalog'!$I$2:$I$200,MATCH($AB1185,'Test catalog'!$A$2:$A$200,0))),"")</f>
        <v/>
      </c>
      <c r="O1185" s="10">
        <f>IFERROR(IF(INDEX('Test catalog'!$J$2:$J$200,MATCH($AB1185,'Test catalog'!$A$2:$A$200,0))="","",INDEX('Test catalog'!$J$2:$J$200,MATCH($AB1185,'Test catalog'!$A$2:$A$200,0))),"")</f>
        <v/>
      </c>
      <c r="P1185" s="14">
        <f>IF(N1185="","",IF(OR(M1185="",O1185=""),N1185,(M1185+4*N1185+O1185)/6))</f>
        <v/>
      </c>
      <c r="Q1185" s="10">
        <f>IFERROR(IF(INDEX('Test catalog'!$K$2:$K$200,MATCH($AB1185,'Test catalog'!$A$2:$A$200,0))="","",INDEX('Test catalog'!$K$2:$K$200,MATCH($AB1185,'Test catalog'!$A$2:$A$200,0))),"")</f>
        <v/>
      </c>
      <c r="R1185" s="5" t="n"/>
      <c r="S1185" s="10">
        <f>IFERROR(IF(INDEX('Test catalog'!$L$2:$L$200,MATCH($AB1185,'Test catalog'!$A$2:$A$200,0))="","",INDEX('Test catalog'!$L$2:$L$200,MATCH($AB1185,'Test catalog'!$A$2:$A$200,0))),"")</f>
        <v/>
      </c>
      <c r="T1185" s="10">
        <f>IFERROR(IF(INDEX('Test catalog'!$M$2:$M$200,MATCH($AB1185,'Test catalog'!$A$2:$A$200,0))="","",INDEX('Test catalog'!$M$2:$M$200,MATCH($AB1185,'Test catalog'!$A$2:$A$200,0))),"")</f>
        <v/>
      </c>
      <c r="U1185" s="10">
        <f>IFERROR(IF(INDEX('Test catalog'!$N$2:$N$200,MATCH($AB1185,'Test catalog'!$A$2:$A$200,0))="","",INDEX('Test catalog'!$N$2:$N$200,MATCH($AB1185,'Test catalog'!$A$2:$A$200,0))),"")</f>
        <v/>
      </c>
      <c r="V1185" s="15" t="n"/>
      <c r="W1185" s="5" t="inlineStr">
        <is>
          <t>N</t>
        </is>
      </c>
      <c r="X1185" s="5" t="n"/>
      <c r="Y1185" s="5" t="n"/>
      <c r="Z1185" s="5" t="n"/>
      <c r="AA1185" s="10">
        <f>IFERROR(IF(INDEX('Test catalog'!$O$2:$O$200,MATCH($AB1185,'Test catalog'!$A$2:$A$200,0))="","",INDEX('Test catalog'!$O$2:$O$200,MATCH($AB1185,'Test catalog'!$A$2:$A$200,0))),"")</f>
        <v/>
      </c>
      <c r="AB1185" s="10" t="inlineStr">
        <is>
          <t>ACID</t>
        </is>
      </c>
      <c r="AC1185" s="10" t="inlineStr">
        <is>
          <t>Sodium Citrate · Specific Tests</t>
        </is>
      </c>
      <c r="AD1185" s="10" t="n"/>
      <c r="AE1185" s="10" t="n"/>
    </row>
    <row r="1186">
      <c r="A1186" s="10" t="inlineStr">
        <is>
          <t>Sodium Citrate</t>
        </is>
      </c>
      <c r="B1186" s="10" t="inlineStr">
        <is>
          <t>RM</t>
        </is>
      </c>
      <c r="C1186" s="10" t="inlineStr">
        <is>
          <t>pH Modifier / Buffer</t>
        </is>
      </c>
      <c r="D1186" s="10" t="inlineStr">
        <is>
          <t>Water Determination, Method III</t>
        </is>
      </c>
      <c r="E1186" s="10">
        <f>IF(A1186="","",A1186&amp;"|"&amp;D1186)</f>
        <v/>
      </c>
      <c r="F1186" s="5" t="inlineStr">
        <is>
          <t>Y</t>
        </is>
      </c>
      <c r="G1186" s="5" t="inlineStr">
        <is>
          <t>Other / bench</t>
        </is>
      </c>
      <c r="H1186" s="5" t="inlineStr">
        <is>
          <t>Low</t>
        </is>
      </c>
      <c r="I1186" s="5" t="n">
        <v>1</v>
      </c>
      <c r="J1186" s="5" t="n"/>
      <c r="K1186" s="10">
        <f>IFERROR(IF(INDEX('Test catalog'!$F$2:$F$200,MATCH($AB1186,'Test catalog'!$A$2:$A$200,0))="","",INDEX('Test catalog'!$F$2:$F$200,MATCH($AB1186,'Test catalog'!$A$2:$A$200,0))),"")</f>
        <v/>
      </c>
      <c r="L1186" s="10">
        <f>IFERROR(IF(INDEX('Test catalog'!$G$2:$G$200,MATCH($AB1186,'Test catalog'!$A$2:$A$200,0))="","",INDEX('Test catalog'!$G$2:$G$200,MATCH($AB1186,'Test catalog'!$A$2:$A$200,0))),"")</f>
        <v/>
      </c>
      <c r="M1186" s="10">
        <f>IFERROR(IF(INDEX('Test catalog'!$H$2:$H$200,MATCH($AB1186,'Test catalog'!$A$2:$A$200,0))="","",INDEX('Test catalog'!$H$2:$H$200,MATCH($AB1186,'Test catalog'!$A$2:$A$200,0))),"")</f>
        <v/>
      </c>
      <c r="N1186" s="10">
        <f>IFERROR(IF(INDEX('Test catalog'!$I$2:$I$200,MATCH($AB1186,'Test catalog'!$A$2:$A$200,0))="","",INDEX('Test catalog'!$I$2:$I$200,MATCH($AB1186,'Test catalog'!$A$2:$A$200,0))),"")</f>
        <v/>
      </c>
      <c r="O1186" s="10">
        <f>IFERROR(IF(INDEX('Test catalog'!$J$2:$J$200,MATCH($AB1186,'Test catalog'!$A$2:$A$200,0))="","",INDEX('Test catalog'!$J$2:$J$200,MATCH($AB1186,'Test catalog'!$A$2:$A$200,0))),"")</f>
        <v/>
      </c>
      <c r="P1186" s="14">
        <f>IF(N1186="","",IF(OR(M1186="",O1186=""),N1186,(M1186+4*N1186+O1186)/6))</f>
        <v/>
      </c>
      <c r="Q1186" s="10">
        <f>IFERROR(IF(INDEX('Test catalog'!$K$2:$K$200,MATCH($AB1186,'Test catalog'!$A$2:$A$200,0))="","",INDEX('Test catalog'!$K$2:$K$200,MATCH($AB1186,'Test catalog'!$A$2:$A$200,0))),"")</f>
        <v/>
      </c>
      <c r="R1186" s="5" t="n"/>
      <c r="S1186" s="10">
        <f>IFERROR(IF(INDEX('Test catalog'!$L$2:$L$200,MATCH($AB1186,'Test catalog'!$A$2:$A$200,0))="","",INDEX('Test catalog'!$L$2:$L$200,MATCH($AB1186,'Test catalog'!$A$2:$A$200,0))),"")</f>
        <v/>
      </c>
      <c r="T1186" s="10">
        <f>IFERROR(IF(INDEX('Test catalog'!$M$2:$M$200,MATCH($AB1186,'Test catalog'!$A$2:$A$200,0))="","",INDEX('Test catalog'!$M$2:$M$200,MATCH($AB1186,'Test catalog'!$A$2:$A$200,0))),"")</f>
        <v/>
      </c>
      <c r="U1186" s="10">
        <f>IFERROR(IF(INDEX('Test catalog'!$N$2:$N$200,MATCH($AB1186,'Test catalog'!$A$2:$A$200,0))="","",INDEX('Test catalog'!$N$2:$N$200,MATCH($AB1186,'Test catalog'!$A$2:$A$200,0))),"")</f>
        <v/>
      </c>
      <c r="V1186" s="15" t="n"/>
      <c r="W1186" s="5" t="inlineStr">
        <is>
          <t>N</t>
        </is>
      </c>
      <c r="X1186" s="5" t="n"/>
      <c r="Y1186" s="5" t="n"/>
      <c r="Z1186" s="5" t="n"/>
      <c r="AA1186" s="10">
        <f>IFERROR(IF(INDEX('Test catalog'!$O$2:$O$200,MATCH($AB1186,'Test catalog'!$A$2:$A$200,0))="","",INDEX('Test catalog'!$O$2:$O$200,MATCH($AB1186,'Test catalog'!$A$2:$A$200,0))),"")</f>
        <v/>
      </c>
      <c r="AB1186" s="10" t="inlineStr">
        <is>
          <t>LOD</t>
        </is>
      </c>
      <c r="AC1186" s="10" t="inlineStr">
        <is>
          <t>Sodium Citrate · Specific Tests &lt;921&gt;</t>
        </is>
      </c>
      <c r="AD1186" s="10" t="n"/>
      <c r="AE1186" s="10" t="n"/>
    </row>
    <row r="1187">
      <c r="A1187" s="10" t="inlineStr">
        <is>
          <t>Sodium Citrate Dihydrate</t>
        </is>
      </c>
      <c r="B1187" s="10" t="inlineStr">
        <is>
          <t>RM</t>
        </is>
      </c>
      <c r="C1187" s="10" t="inlineStr">
        <is>
          <t>pH Modifier / Buffer</t>
        </is>
      </c>
      <c r="D1187" s="10" t="inlineStr">
        <is>
          <t>Appearance / description and solubility</t>
        </is>
      </c>
      <c r="E1187" s="10">
        <f>IF(A1187="","",A1187&amp;"|"&amp;D1187)</f>
        <v/>
      </c>
      <c r="F1187" s="5" t="inlineStr">
        <is>
          <t>Y</t>
        </is>
      </c>
      <c r="G1187" s="5" t="inlineStr">
        <is>
          <t>Other / bench</t>
        </is>
      </c>
      <c r="H1187" s="5" t="inlineStr">
        <is>
          <t>Low</t>
        </is>
      </c>
      <c r="I1187" s="5" t="n">
        <v>1</v>
      </c>
      <c r="J1187" s="5" t="n"/>
      <c r="K1187" s="10">
        <f>IFERROR(IF(INDEX('Test catalog'!$F$2:$F$200,MATCH($AB1187,'Test catalog'!$A$2:$A$200,0))="","",INDEX('Test catalog'!$F$2:$F$200,MATCH($AB1187,'Test catalog'!$A$2:$A$200,0))),"")</f>
        <v/>
      </c>
      <c r="L1187" s="10">
        <f>IFERROR(IF(INDEX('Test catalog'!$G$2:$G$200,MATCH($AB1187,'Test catalog'!$A$2:$A$200,0))="","",INDEX('Test catalog'!$G$2:$G$200,MATCH($AB1187,'Test catalog'!$A$2:$A$200,0))),"")</f>
        <v/>
      </c>
      <c r="M1187" s="10">
        <f>IFERROR(IF(INDEX('Test catalog'!$H$2:$H$200,MATCH($AB1187,'Test catalog'!$A$2:$A$200,0))="","",INDEX('Test catalog'!$H$2:$H$200,MATCH($AB1187,'Test catalog'!$A$2:$A$200,0))),"")</f>
        <v/>
      </c>
      <c r="N1187" s="10">
        <f>IFERROR(IF(INDEX('Test catalog'!$I$2:$I$200,MATCH($AB1187,'Test catalog'!$A$2:$A$200,0))="","",INDEX('Test catalog'!$I$2:$I$200,MATCH($AB1187,'Test catalog'!$A$2:$A$200,0))),"")</f>
        <v/>
      </c>
      <c r="O1187" s="10">
        <f>IFERROR(IF(INDEX('Test catalog'!$J$2:$J$200,MATCH($AB1187,'Test catalog'!$A$2:$A$200,0))="","",INDEX('Test catalog'!$J$2:$J$200,MATCH($AB1187,'Test catalog'!$A$2:$A$200,0))),"")</f>
        <v/>
      </c>
      <c r="P1187" s="14">
        <f>IF(N1187="","",IF(OR(M1187="",O1187=""),N1187,(M1187+4*N1187+O1187)/6))</f>
        <v/>
      </c>
      <c r="Q1187" s="10">
        <f>IFERROR(IF(INDEX('Test catalog'!$K$2:$K$200,MATCH($AB1187,'Test catalog'!$A$2:$A$200,0))="","",INDEX('Test catalog'!$K$2:$K$200,MATCH($AB1187,'Test catalog'!$A$2:$A$200,0))),"")</f>
        <v/>
      </c>
      <c r="R1187" s="5" t="n"/>
      <c r="S1187" s="10">
        <f>IFERROR(IF(INDEX('Test catalog'!$L$2:$L$200,MATCH($AB1187,'Test catalog'!$A$2:$A$200,0))="","",INDEX('Test catalog'!$L$2:$L$200,MATCH($AB1187,'Test catalog'!$A$2:$A$200,0))),"")</f>
        <v/>
      </c>
      <c r="T1187" s="10">
        <f>IFERROR(IF(INDEX('Test catalog'!$M$2:$M$200,MATCH($AB1187,'Test catalog'!$A$2:$A$200,0))="","",INDEX('Test catalog'!$M$2:$M$200,MATCH($AB1187,'Test catalog'!$A$2:$A$200,0))),"")</f>
        <v/>
      </c>
      <c r="U1187" s="10">
        <f>IFERROR(IF(INDEX('Test catalog'!$N$2:$N$200,MATCH($AB1187,'Test catalog'!$A$2:$A$200,0))="","",INDEX('Test catalog'!$N$2:$N$200,MATCH($AB1187,'Test catalog'!$A$2:$A$200,0))),"")</f>
        <v/>
      </c>
      <c r="V1187" s="15" t="n"/>
      <c r="W1187" s="5" t="inlineStr">
        <is>
          <t>N</t>
        </is>
      </c>
      <c r="X1187" s="5" t="n"/>
      <c r="Y1187" s="5" t="n"/>
      <c r="Z1187" s="5" t="n"/>
      <c r="AA1187" s="10">
        <f>IFERROR(IF(INDEX('Test catalog'!$O$2:$O$200,MATCH($AB1187,'Test catalog'!$A$2:$A$200,0))="","",INDEX('Test catalog'!$O$2:$O$200,MATCH($AB1187,'Test catalog'!$A$2:$A$200,0))),"")</f>
        <v/>
      </c>
      <c r="AB1187" s="10" t="inlineStr">
        <is>
          <t>APPEAR</t>
        </is>
      </c>
      <c r="AC1187" s="10" t="inlineStr">
        <is>
          <t>Lab practice (not a USP test)</t>
        </is>
      </c>
      <c r="AD1187" s="10" t="n"/>
      <c r="AE1187" s="10" t="n"/>
    </row>
    <row r="1188">
      <c r="A1188" s="10" t="inlineStr">
        <is>
          <t>Sodium Citrate Dihydrate</t>
        </is>
      </c>
      <c r="B1188" s="10" t="inlineStr">
        <is>
          <t>RM</t>
        </is>
      </c>
      <c r="C1188" s="10" t="inlineStr">
        <is>
          <t>pH Modifier / Buffer</t>
        </is>
      </c>
      <c r="D1188" s="10" t="inlineStr">
        <is>
          <t>ID A - chemical reaction</t>
        </is>
      </c>
      <c r="E1188" s="10">
        <f>IF(A1188="","",A1188&amp;"|"&amp;D1188)</f>
        <v/>
      </c>
      <c r="F1188" s="5" t="inlineStr">
        <is>
          <t>Y</t>
        </is>
      </c>
      <c r="G1188" s="5" t="inlineStr">
        <is>
          <t>Other / bench</t>
        </is>
      </c>
      <c r="H1188" s="5" t="inlineStr">
        <is>
          <t>Low</t>
        </is>
      </c>
      <c r="I1188" s="5" t="n">
        <v>1</v>
      </c>
      <c r="J1188" s="5" t="n"/>
      <c r="K1188" s="10">
        <f>IFERROR(IF(INDEX('Test catalog'!$F$2:$F$200,MATCH($AB1188,'Test catalog'!$A$2:$A$200,0))="","",INDEX('Test catalog'!$F$2:$F$200,MATCH($AB1188,'Test catalog'!$A$2:$A$200,0))),"")</f>
        <v/>
      </c>
      <c r="L1188" s="10">
        <f>IFERROR(IF(INDEX('Test catalog'!$G$2:$G$200,MATCH($AB1188,'Test catalog'!$A$2:$A$200,0))="","",INDEX('Test catalog'!$G$2:$G$200,MATCH($AB1188,'Test catalog'!$A$2:$A$200,0))),"")</f>
        <v/>
      </c>
      <c r="M1188" s="10">
        <f>IFERROR(IF(INDEX('Test catalog'!$H$2:$H$200,MATCH($AB1188,'Test catalog'!$A$2:$A$200,0))="","",INDEX('Test catalog'!$H$2:$H$200,MATCH($AB1188,'Test catalog'!$A$2:$A$200,0))),"")</f>
        <v/>
      </c>
      <c r="N1188" s="10">
        <f>IFERROR(IF(INDEX('Test catalog'!$I$2:$I$200,MATCH($AB1188,'Test catalog'!$A$2:$A$200,0))="","",INDEX('Test catalog'!$I$2:$I$200,MATCH($AB1188,'Test catalog'!$A$2:$A$200,0))),"")</f>
        <v/>
      </c>
      <c r="O1188" s="10">
        <f>IFERROR(IF(INDEX('Test catalog'!$J$2:$J$200,MATCH($AB1188,'Test catalog'!$A$2:$A$200,0))="","",INDEX('Test catalog'!$J$2:$J$200,MATCH($AB1188,'Test catalog'!$A$2:$A$200,0))),"")</f>
        <v/>
      </c>
      <c r="P1188" s="14">
        <f>IF(N1188="","",IF(OR(M1188="",O1188=""),N1188,(M1188+4*N1188+O1188)/6))</f>
        <v/>
      </c>
      <c r="Q1188" s="10">
        <f>IFERROR(IF(INDEX('Test catalog'!$K$2:$K$200,MATCH($AB1188,'Test catalog'!$A$2:$A$200,0))="","",INDEX('Test catalog'!$K$2:$K$200,MATCH($AB1188,'Test catalog'!$A$2:$A$200,0))),"")</f>
        <v/>
      </c>
      <c r="R1188" s="5" t="n"/>
      <c r="S1188" s="10">
        <f>IFERROR(IF(INDEX('Test catalog'!$L$2:$L$200,MATCH($AB1188,'Test catalog'!$A$2:$A$200,0))="","",INDEX('Test catalog'!$L$2:$L$200,MATCH($AB1188,'Test catalog'!$A$2:$A$200,0))),"")</f>
        <v/>
      </c>
      <c r="T1188" s="10">
        <f>IFERROR(IF(INDEX('Test catalog'!$M$2:$M$200,MATCH($AB1188,'Test catalog'!$A$2:$A$200,0))="","",INDEX('Test catalog'!$M$2:$M$200,MATCH($AB1188,'Test catalog'!$A$2:$A$200,0))),"")</f>
        <v/>
      </c>
      <c r="U1188" s="10">
        <f>IFERROR(IF(INDEX('Test catalog'!$N$2:$N$200,MATCH($AB1188,'Test catalog'!$A$2:$A$200,0))="","",INDEX('Test catalog'!$N$2:$N$200,MATCH($AB1188,'Test catalog'!$A$2:$A$200,0))),"")</f>
        <v/>
      </c>
      <c r="V1188" s="15" t="n"/>
      <c r="W1188" s="5" t="inlineStr">
        <is>
          <t>N</t>
        </is>
      </c>
      <c r="X1188" s="5" t="n"/>
      <c r="Y1188" s="5" t="n"/>
      <c r="Z1188" s="5" t="n"/>
      <c r="AA1188" s="10">
        <f>IFERROR(IF(INDEX('Test catalog'!$O$2:$O$200,MATCH($AB1188,'Test catalog'!$A$2:$A$200,0))="","",INDEX('Test catalog'!$O$2:$O$200,MATCH($AB1188,'Test catalog'!$A$2:$A$200,0))),"")</f>
        <v/>
      </c>
      <c r="AB1188" s="10" t="inlineStr">
        <is>
          <t>ID_CHEM</t>
        </is>
      </c>
      <c r="AC1188" s="10" t="inlineStr">
        <is>
          <t>Sodium Citrate · Identification &lt;191&gt;</t>
        </is>
      </c>
      <c r="AD1188" s="10" t="n"/>
      <c r="AE1188" s="10" t="n"/>
    </row>
    <row r="1189">
      <c r="A1189" s="10" t="inlineStr">
        <is>
          <t>Sodium Citrate Dihydrate</t>
        </is>
      </c>
      <c r="B1189" s="10" t="inlineStr">
        <is>
          <t>RM</t>
        </is>
      </c>
      <c r="C1189" s="10" t="inlineStr">
        <is>
          <t>pH Modifier / Buffer</t>
        </is>
      </c>
      <c r="D1189" s="10" t="inlineStr">
        <is>
          <t>ID B - chemical reaction</t>
        </is>
      </c>
      <c r="E1189" s="10">
        <f>IF(A1189="","",A1189&amp;"|"&amp;D1189)</f>
        <v/>
      </c>
      <c r="F1189" s="5" t="inlineStr">
        <is>
          <t>Y</t>
        </is>
      </c>
      <c r="G1189" s="5" t="inlineStr">
        <is>
          <t>Other / bench</t>
        </is>
      </c>
      <c r="H1189" s="5" t="inlineStr">
        <is>
          <t>Low</t>
        </is>
      </c>
      <c r="I1189" s="5" t="n">
        <v>1</v>
      </c>
      <c r="J1189" s="5" t="n"/>
      <c r="K1189" s="10">
        <f>IFERROR(IF(INDEX('Test catalog'!$F$2:$F$200,MATCH($AB1189,'Test catalog'!$A$2:$A$200,0))="","",INDEX('Test catalog'!$F$2:$F$200,MATCH($AB1189,'Test catalog'!$A$2:$A$200,0))),"")</f>
        <v/>
      </c>
      <c r="L1189" s="10">
        <f>IFERROR(IF(INDEX('Test catalog'!$G$2:$G$200,MATCH($AB1189,'Test catalog'!$A$2:$A$200,0))="","",INDEX('Test catalog'!$G$2:$G$200,MATCH($AB1189,'Test catalog'!$A$2:$A$200,0))),"")</f>
        <v/>
      </c>
      <c r="M1189" s="10">
        <f>IFERROR(IF(INDEX('Test catalog'!$H$2:$H$200,MATCH($AB1189,'Test catalog'!$A$2:$A$200,0))="","",INDEX('Test catalog'!$H$2:$H$200,MATCH($AB1189,'Test catalog'!$A$2:$A$200,0))),"")</f>
        <v/>
      </c>
      <c r="N1189" s="10">
        <f>IFERROR(IF(INDEX('Test catalog'!$I$2:$I$200,MATCH($AB1189,'Test catalog'!$A$2:$A$200,0))="","",INDEX('Test catalog'!$I$2:$I$200,MATCH($AB1189,'Test catalog'!$A$2:$A$200,0))),"")</f>
        <v/>
      </c>
      <c r="O1189" s="10">
        <f>IFERROR(IF(INDEX('Test catalog'!$J$2:$J$200,MATCH($AB1189,'Test catalog'!$A$2:$A$200,0))="","",INDEX('Test catalog'!$J$2:$J$200,MATCH($AB1189,'Test catalog'!$A$2:$A$200,0))),"")</f>
        <v/>
      </c>
      <c r="P1189" s="14">
        <f>IF(N1189="","",IF(OR(M1189="",O1189=""),N1189,(M1189+4*N1189+O1189)/6))</f>
        <v/>
      </c>
      <c r="Q1189" s="10">
        <f>IFERROR(IF(INDEX('Test catalog'!$K$2:$K$200,MATCH($AB1189,'Test catalog'!$A$2:$A$200,0))="","",INDEX('Test catalog'!$K$2:$K$200,MATCH($AB1189,'Test catalog'!$A$2:$A$200,0))),"")</f>
        <v/>
      </c>
      <c r="R1189" s="5" t="n"/>
      <c r="S1189" s="10">
        <f>IFERROR(IF(INDEX('Test catalog'!$L$2:$L$200,MATCH($AB1189,'Test catalog'!$A$2:$A$200,0))="","",INDEX('Test catalog'!$L$2:$L$200,MATCH($AB1189,'Test catalog'!$A$2:$A$200,0))),"")</f>
        <v/>
      </c>
      <c r="T1189" s="10">
        <f>IFERROR(IF(INDEX('Test catalog'!$M$2:$M$200,MATCH($AB1189,'Test catalog'!$A$2:$A$200,0))="","",INDEX('Test catalog'!$M$2:$M$200,MATCH($AB1189,'Test catalog'!$A$2:$A$200,0))),"")</f>
        <v/>
      </c>
      <c r="U1189" s="10">
        <f>IFERROR(IF(INDEX('Test catalog'!$N$2:$N$200,MATCH($AB1189,'Test catalog'!$A$2:$A$200,0))="","",INDEX('Test catalog'!$N$2:$N$200,MATCH($AB1189,'Test catalog'!$A$2:$A$200,0))),"")</f>
        <v/>
      </c>
      <c r="V1189" s="15" t="n"/>
      <c r="W1189" s="5" t="inlineStr">
        <is>
          <t>N</t>
        </is>
      </c>
      <c r="X1189" s="5" t="n"/>
      <c r="Y1189" s="5" t="n"/>
      <c r="Z1189" s="5" t="n"/>
      <c r="AA1189" s="10">
        <f>IFERROR(IF(INDEX('Test catalog'!$O$2:$O$200,MATCH($AB1189,'Test catalog'!$A$2:$A$200,0))="","",INDEX('Test catalog'!$O$2:$O$200,MATCH($AB1189,'Test catalog'!$A$2:$A$200,0))),"")</f>
        <v/>
      </c>
      <c r="AB1189" s="10" t="inlineStr">
        <is>
          <t>ID_CHEM</t>
        </is>
      </c>
      <c r="AC1189" s="10" t="inlineStr">
        <is>
          <t>Sodium Citrate · Identification &lt;191&gt;</t>
        </is>
      </c>
      <c r="AD1189" s="10" t="n"/>
      <c r="AE1189" s="10" t="n"/>
    </row>
    <row r="1190">
      <c r="A1190" s="10" t="inlineStr">
        <is>
          <t>Sodium Citrate Dihydrate</t>
        </is>
      </c>
      <c r="B1190" s="10" t="inlineStr">
        <is>
          <t>RM</t>
        </is>
      </c>
      <c r="C1190" s="10" t="inlineStr">
        <is>
          <t>pH Modifier / Buffer</t>
        </is>
      </c>
      <c r="D1190" s="10" t="inlineStr">
        <is>
          <t>Assay</t>
        </is>
      </c>
      <c r="E1190" s="10">
        <f>IF(A1190="","",A1190&amp;"|"&amp;D1190)</f>
        <v/>
      </c>
      <c r="F1190" s="5" t="inlineStr">
        <is>
          <t>Y</t>
        </is>
      </c>
      <c r="G1190" s="5" t="inlineStr">
        <is>
          <t>Other / bench</t>
        </is>
      </c>
      <c r="H1190" s="5" t="inlineStr">
        <is>
          <t>Low</t>
        </is>
      </c>
      <c r="I1190" s="5" t="n">
        <v>1</v>
      </c>
      <c r="J1190" s="5" t="n"/>
      <c r="K1190" s="10">
        <f>IFERROR(IF(INDEX('Test catalog'!$F$2:$F$200,MATCH($AB1190,'Test catalog'!$A$2:$A$200,0))="","",INDEX('Test catalog'!$F$2:$F$200,MATCH($AB1190,'Test catalog'!$A$2:$A$200,0))),"")</f>
        <v/>
      </c>
      <c r="L1190" s="10">
        <f>IFERROR(IF(INDEX('Test catalog'!$G$2:$G$200,MATCH($AB1190,'Test catalog'!$A$2:$A$200,0))="","",INDEX('Test catalog'!$G$2:$G$200,MATCH($AB1190,'Test catalog'!$A$2:$A$200,0))),"")</f>
        <v/>
      </c>
      <c r="M1190" s="10">
        <f>IFERROR(IF(INDEX('Test catalog'!$H$2:$H$200,MATCH($AB1190,'Test catalog'!$A$2:$A$200,0))="","",INDEX('Test catalog'!$H$2:$H$200,MATCH($AB1190,'Test catalog'!$A$2:$A$200,0))),"")</f>
        <v/>
      </c>
      <c r="N1190" s="10">
        <f>IFERROR(IF(INDEX('Test catalog'!$I$2:$I$200,MATCH($AB1190,'Test catalog'!$A$2:$A$200,0))="","",INDEX('Test catalog'!$I$2:$I$200,MATCH($AB1190,'Test catalog'!$A$2:$A$200,0))),"")</f>
        <v/>
      </c>
      <c r="O1190" s="10">
        <f>IFERROR(IF(INDEX('Test catalog'!$J$2:$J$200,MATCH($AB1190,'Test catalog'!$A$2:$A$200,0))="","",INDEX('Test catalog'!$J$2:$J$200,MATCH($AB1190,'Test catalog'!$A$2:$A$200,0))),"")</f>
        <v/>
      </c>
      <c r="P1190" s="14">
        <f>IF(N1190="","",IF(OR(M1190="",O1190=""),N1190,(M1190+4*N1190+O1190)/6))</f>
        <v/>
      </c>
      <c r="Q1190" s="10">
        <f>IFERROR(IF(INDEX('Test catalog'!$K$2:$K$200,MATCH($AB1190,'Test catalog'!$A$2:$A$200,0))="","",INDEX('Test catalog'!$K$2:$K$200,MATCH($AB1190,'Test catalog'!$A$2:$A$200,0))),"")</f>
        <v/>
      </c>
      <c r="R1190" s="5" t="n"/>
      <c r="S1190" s="10">
        <f>IFERROR(IF(INDEX('Test catalog'!$L$2:$L$200,MATCH($AB1190,'Test catalog'!$A$2:$A$200,0))="","",INDEX('Test catalog'!$L$2:$L$200,MATCH($AB1190,'Test catalog'!$A$2:$A$200,0))),"")</f>
        <v/>
      </c>
      <c r="T1190" s="10">
        <f>IFERROR(IF(INDEX('Test catalog'!$M$2:$M$200,MATCH($AB1190,'Test catalog'!$A$2:$A$200,0))="","",INDEX('Test catalog'!$M$2:$M$200,MATCH($AB1190,'Test catalog'!$A$2:$A$200,0))),"")</f>
        <v/>
      </c>
      <c r="U1190" s="10">
        <f>IFERROR(IF(INDEX('Test catalog'!$N$2:$N$200,MATCH($AB1190,'Test catalog'!$A$2:$A$200,0))="","",INDEX('Test catalog'!$N$2:$N$200,MATCH($AB1190,'Test catalog'!$A$2:$A$200,0))),"")</f>
        <v/>
      </c>
      <c r="V1190" s="15" t="n"/>
      <c r="W1190" s="5" t="inlineStr">
        <is>
          <t>N</t>
        </is>
      </c>
      <c r="X1190" s="5" t="n"/>
      <c r="Y1190" s="5" t="n"/>
      <c r="Z1190" s="5" t="n"/>
      <c r="AA1190" s="10">
        <f>IFERROR(IF(INDEX('Test catalog'!$O$2:$O$200,MATCH($AB1190,'Test catalog'!$A$2:$A$200,0))="","",INDEX('Test catalog'!$O$2:$O$200,MATCH($AB1190,'Test catalog'!$A$2:$A$200,0))),"")</f>
        <v/>
      </c>
      <c r="AB1190" s="10" t="inlineStr">
        <is>
          <t>TITR</t>
        </is>
      </c>
      <c r="AC1190" s="10" t="inlineStr">
        <is>
          <t>Sodium Citrate · Assay</t>
        </is>
      </c>
      <c r="AD1190" s="10" t="n"/>
      <c r="AE1190" s="10" t="n"/>
    </row>
    <row r="1191">
      <c r="A1191" s="10" t="inlineStr">
        <is>
          <t>Sodium Citrate Dihydrate</t>
        </is>
      </c>
      <c r="B1191" s="10" t="inlineStr">
        <is>
          <t>RM</t>
        </is>
      </c>
      <c r="C1191" s="10" t="inlineStr">
        <is>
          <t>pH Modifier / Buffer</t>
        </is>
      </c>
      <c r="D1191" s="10" t="inlineStr">
        <is>
          <t>ID C - Assay or test by titration</t>
        </is>
      </c>
      <c r="E1191" s="10">
        <f>IF(A1191="","",A1191&amp;"|"&amp;D1191)</f>
        <v/>
      </c>
      <c r="F1191" s="5" t="inlineStr">
        <is>
          <t>Y</t>
        </is>
      </c>
      <c r="G1191" s="5" t="inlineStr">
        <is>
          <t>Other / bench</t>
        </is>
      </c>
      <c r="H1191" s="5" t="inlineStr">
        <is>
          <t>Low</t>
        </is>
      </c>
      <c r="I1191" s="5" t="n">
        <v>1</v>
      </c>
      <c r="J1191" s="5" t="n"/>
      <c r="K1191" s="10">
        <f>IFERROR(IF(INDEX('Test catalog'!$F$2:$F$200,MATCH($AB1191,'Test catalog'!$A$2:$A$200,0))="","",INDEX('Test catalog'!$F$2:$F$200,MATCH($AB1191,'Test catalog'!$A$2:$A$200,0))),"")</f>
        <v/>
      </c>
      <c r="L1191" s="10">
        <f>IFERROR(IF(INDEX('Test catalog'!$G$2:$G$200,MATCH($AB1191,'Test catalog'!$A$2:$A$200,0))="","",INDEX('Test catalog'!$G$2:$G$200,MATCH($AB1191,'Test catalog'!$A$2:$A$200,0))),"")</f>
        <v/>
      </c>
      <c r="M1191" s="10">
        <f>IFERROR(IF(INDEX('Test catalog'!$H$2:$H$200,MATCH($AB1191,'Test catalog'!$A$2:$A$200,0))="","",INDEX('Test catalog'!$H$2:$H$200,MATCH($AB1191,'Test catalog'!$A$2:$A$200,0))),"")</f>
        <v/>
      </c>
      <c r="N1191" s="10">
        <f>IFERROR(IF(INDEX('Test catalog'!$I$2:$I$200,MATCH($AB1191,'Test catalog'!$A$2:$A$200,0))="","",INDEX('Test catalog'!$I$2:$I$200,MATCH($AB1191,'Test catalog'!$A$2:$A$200,0))),"")</f>
        <v/>
      </c>
      <c r="O1191" s="10">
        <f>IFERROR(IF(INDEX('Test catalog'!$J$2:$J$200,MATCH($AB1191,'Test catalog'!$A$2:$A$200,0))="","",INDEX('Test catalog'!$J$2:$J$200,MATCH($AB1191,'Test catalog'!$A$2:$A$200,0))),"")</f>
        <v/>
      </c>
      <c r="P1191" s="14">
        <f>IF(N1191="","",IF(OR(M1191="",O1191=""),N1191,(M1191+4*N1191+O1191)/6))</f>
        <v/>
      </c>
      <c r="Q1191" s="10">
        <f>IFERROR(IF(INDEX('Test catalog'!$K$2:$K$200,MATCH($AB1191,'Test catalog'!$A$2:$A$200,0))="","",INDEX('Test catalog'!$K$2:$K$200,MATCH($AB1191,'Test catalog'!$A$2:$A$200,0))),"")</f>
        <v/>
      </c>
      <c r="R1191" s="5" t="n"/>
      <c r="S1191" s="10">
        <f>IFERROR(IF(INDEX('Test catalog'!$L$2:$L$200,MATCH($AB1191,'Test catalog'!$A$2:$A$200,0))="","",INDEX('Test catalog'!$L$2:$L$200,MATCH($AB1191,'Test catalog'!$A$2:$A$200,0))),"")</f>
        <v/>
      </c>
      <c r="T1191" s="10">
        <f>IFERROR(IF(INDEX('Test catalog'!$M$2:$M$200,MATCH($AB1191,'Test catalog'!$A$2:$A$200,0))="","",INDEX('Test catalog'!$M$2:$M$200,MATCH($AB1191,'Test catalog'!$A$2:$A$200,0))),"")</f>
        <v/>
      </c>
      <c r="U1191" s="10">
        <f>IFERROR(IF(INDEX('Test catalog'!$N$2:$N$200,MATCH($AB1191,'Test catalog'!$A$2:$A$200,0))="","",INDEX('Test catalog'!$N$2:$N$200,MATCH($AB1191,'Test catalog'!$A$2:$A$200,0))),"")</f>
        <v/>
      </c>
      <c r="V1191" s="15" t="n"/>
      <c r="W1191" s="5" t="inlineStr">
        <is>
          <t>N</t>
        </is>
      </c>
      <c r="X1191" s="5" t="n"/>
      <c r="Y1191" s="5" t="n"/>
      <c r="Z1191" s="5" t="n"/>
      <c r="AA1191" s="10">
        <f>IFERROR(IF(INDEX('Test catalog'!$O$2:$O$200,MATCH($AB1191,'Test catalog'!$A$2:$A$200,0))="","",INDEX('Test catalog'!$O$2:$O$200,MATCH($AB1191,'Test catalog'!$A$2:$A$200,0))),"")</f>
        <v/>
      </c>
      <c r="AB1191" s="10" t="inlineStr">
        <is>
          <t>TITR</t>
        </is>
      </c>
      <c r="AC1191" s="10" t="inlineStr">
        <is>
          <t>Sodium Citrate · Identification</t>
        </is>
      </c>
      <c r="AD1191" s="10" t="n"/>
      <c r="AE1191" s="10" t="n"/>
    </row>
    <row r="1192">
      <c r="A1192" s="10" t="inlineStr">
        <is>
          <t>Sodium Citrate Dihydrate</t>
        </is>
      </c>
      <c r="B1192" s="10" t="inlineStr">
        <is>
          <t>RM</t>
        </is>
      </c>
      <c r="C1192" s="10" t="inlineStr">
        <is>
          <t>pH Modifier / Buffer</t>
        </is>
      </c>
      <c r="D1192" s="10" t="inlineStr">
        <is>
          <t>Tartrate</t>
        </is>
      </c>
      <c r="E1192" s="10">
        <f>IF(A1192="","",A1192&amp;"|"&amp;D1192)</f>
        <v/>
      </c>
      <c r="F1192" s="5" t="inlineStr">
        <is>
          <t>Y</t>
        </is>
      </c>
      <c r="G1192" s="5" t="inlineStr">
        <is>
          <t>Other / bench</t>
        </is>
      </c>
      <c r="H1192" s="5" t="inlineStr">
        <is>
          <t>Low</t>
        </is>
      </c>
      <c r="I1192" s="5" t="n">
        <v>1</v>
      </c>
      <c r="J1192" s="5" t="n"/>
      <c r="K1192" s="10">
        <f>IFERROR(IF(INDEX('Test catalog'!$F$2:$F$200,MATCH($AB1192,'Test catalog'!$A$2:$A$200,0))="","",INDEX('Test catalog'!$F$2:$F$200,MATCH($AB1192,'Test catalog'!$A$2:$A$200,0))),"")</f>
        <v/>
      </c>
      <c r="L1192" s="10">
        <f>IFERROR(IF(INDEX('Test catalog'!$G$2:$G$200,MATCH($AB1192,'Test catalog'!$A$2:$A$200,0))="","",INDEX('Test catalog'!$G$2:$G$200,MATCH($AB1192,'Test catalog'!$A$2:$A$200,0))),"")</f>
        <v/>
      </c>
      <c r="M1192" s="10">
        <f>IFERROR(IF(INDEX('Test catalog'!$H$2:$H$200,MATCH($AB1192,'Test catalog'!$A$2:$A$200,0))="","",INDEX('Test catalog'!$H$2:$H$200,MATCH($AB1192,'Test catalog'!$A$2:$A$200,0))),"")</f>
        <v/>
      </c>
      <c r="N1192" s="10">
        <f>IFERROR(IF(INDEX('Test catalog'!$I$2:$I$200,MATCH($AB1192,'Test catalog'!$A$2:$A$200,0))="","",INDEX('Test catalog'!$I$2:$I$200,MATCH($AB1192,'Test catalog'!$A$2:$A$200,0))),"")</f>
        <v/>
      </c>
      <c r="O1192" s="10">
        <f>IFERROR(IF(INDEX('Test catalog'!$J$2:$J$200,MATCH($AB1192,'Test catalog'!$A$2:$A$200,0))="","",INDEX('Test catalog'!$J$2:$J$200,MATCH($AB1192,'Test catalog'!$A$2:$A$200,0))),"")</f>
        <v/>
      </c>
      <c r="P1192" s="14">
        <f>IF(N1192="","",IF(OR(M1192="",O1192=""),N1192,(M1192+4*N1192+O1192)/6))</f>
        <v/>
      </c>
      <c r="Q1192" s="10">
        <f>IFERROR(IF(INDEX('Test catalog'!$K$2:$K$200,MATCH($AB1192,'Test catalog'!$A$2:$A$200,0))="","",INDEX('Test catalog'!$K$2:$K$200,MATCH($AB1192,'Test catalog'!$A$2:$A$200,0))),"")</f>
        <v/>
      </c>
      <c r="R1192" s="5" t="n"/>
      <c r="S1192" s="10">
        <f>IFERROR(IF(INDEX('Test catalog'!$L$2:$L$200,MATCH($AB1192,'Test catalog'!$A$2:$A$200,0))="","",INDEX('Test catalog'!$L$2:$L$200,MATCH($AB1192,'Test catalog'!$A$2:$A$200,0))),"")</f>
        <v/>
      </c>
      <c r="T1192" s="10">
        <f>IFERROR(IF(INDEX('Test catalog'!$M$2:$M$200,MATCH($AB1192,'Test catalog'!$A$2:$A$200,0))="","",INDEX('Test catalog'!$M$2:$M$200,MATCH($AB1192,'Test catalog'!$A$2:$A$200,0))),"")</f>
        <v/>
      </c>
      <c r="U1192" s="10">
        <f>IFERROR(IF(INDEX('Test catalog'!$N$2:$N$200,MATCH($AB1192,'Test catalog'!$A$2:$A$200,0))="","",INDEX('Test catalog'!$N$2:$N$200,MATCH($AB1192,'Test catalog'!$A$2:$A$200,0))),"")</f>
        <v/>
      </c>
      <c r="V1192" s="15" t="n"/>
      <c r="W1192" s="5" t="inlineStr">
        <is>
          <t>N</t>
        </is>
      </c>
      <c r="X1192" s="5" t="n"/>
      <c r="Y1192" s="5" t="n"/>
      <c r="Z1192" s="5" t="n"/>
      <c r="AA1192" s="10">
        <f>IFERROR(IF(INDEX('Test catalog'!$O$2:$O$200,MATCH($AB1192,'Test catalog'!$A$2:$A$200,0))="","",INDEX('Test catalog'!$O$2:$O$200,MATCH($AB1192,'Test catalog'!$A$2:$A$200,0))),"")</f>
        <v/>
      </c>
      <c r="AB1192" s="10" t="inlineStr">
        <is>
          <t>LIMIT</t>
        </is>
      </c>
      <c r="AC1192" s="10" t="inlineStr">
        <is>
          <t>Sodium Citrate · Impurities</t>
        </is>
      </c>
      <c r="AD1192" s="10" t="n"/>
      <c r="AE1192" s="10" t="n"/>
    </row>
    <row r="1193">
      <c r="A1193" s="10" t="inlineStr">
        <is>
          <t>Sodium Citrate Dihydrate</t>
        </is>
      </c>
      <c r="B1193" s="10" t="inlineStr">
        <is>
          <t>RM</t>
        </is>
      </c>
      <c r="C1193" s="10" t="inlineStr">
        <is>
          <t>pH Modifier / Buffer</t>
        </is>
      </c>
      <c r="D1193" s="10" t="inlineStr">
        <is>
          <t>Alkalinity</t>
        </is>
      </c>
      <c r="E1193" s="10">
        <f>IF(A1193="","",A1193&amp;"|"&amp;D1193)</f>
        <v/>
      </c>
      <c r="F1193" s="5" t="inlineStr">
        <is>
          <t>Y</t>
        </is>
      </c>
      <c r="G1193" s="5" t="inlineStr">
        <is>
          <t>Other / bench</t>
        </is>
      </c>
      <c r="H1193" s="5" t="inlineStr">
        <is>
          <t>Low</t>
        </is>
      </c>
      <c r="I1193" s="5" t="n">
        <v>1</v>
      </c>
      <c r="J1193" s="5" t="n"/>
      <c r="K1193" s="10">
        <f>IFERROR(IF(INDEX('Test catalog'!$F$2:$F$200,MATCH($AB1193,'Test catalog'!$A$2:$A$200,0))="","",INDEX('Test catalog'!$F$2:$F$200,MATCH($AB1193,'Test catalog'!$A$2:$A$200,0))),"")</f>
        <v/>
      </c>
      <c r="L1193" s="10">
        <f>IFERROR(IF(INDEX('Test catalog'!$G$2:$G$200,MATCH($AB1193,'Test catalog'!$A$2:$A$200,0))="","",INDEX('Test catalog'!$G$2:$G$200,MATCH($AB1193,'Test catalog'!$A$2:$A$200,0))),"")</f>
        <v/>
      </c>
      <c r="M1193" s="10">
        <f>IFERROR(IF(INDEX('Test catalog'!$H$2:$H$200,MATCH($AB1193,'Test catalog'!$A$2:$A$200,0))="","",INDEX('Test catalog'!$H$2:$H$200,MATCH($AB1193,'Test catalog'!$A$2:$A$200,0))),"")</f>
        <v/>
      </c>
      <c r="N1193" s="10">
        <f>IFERROR(IF(INDEX('Test catalog'!$I$2:$I$200,MATCH($AB1193,'Test catalog'!$A$2:$A$200,0))="","",INDEX('Test catalog'!$I$2:$I$200,MATCH($AB1193,'Test catalog'!$A$2:$A$200,0))),"")</f>
        <v/>
      </c>
      <c r="O1193" s="10">
        <f>IFERROR(IF(INDEX('Test catalog'!$J$2:$J$200,MATCH($AB1193,'Test catalog'!$A$2:$A$200,0))="","",INDEX('Test catalog'!$J$2:$J$200,MATCH($AB1193,'Test catalog'!$A$2:$A$200,0))),"")</f>
        <v/>
      </c>
      <c r="P1193" s="14">
        <f>IF(N1193="","",IF(OR(M1193="",O1193=""),N1193,(M1193+4*N1193+O1193)/6))</f>
        <v/>
      </c>
      <c r="Q1193" s="10">
        <f>IFERROR(IF(INDEX('Test catalog'!$K$2:$K$200,MATCH($AB1193,'Test catalog'!$A$2:$A$200,0))="","",INDEX('Test catalog'!$K$2:$K$200,MATCH($AB1193,'Test catalog'!$A$2:$A$200,0))),"")</f>
        <v/>
      </c>
      <c r="R1193" s="5" t="n"/>
      <c r="S1193" s="10">
        <f>IFERROR(IF(INDEX('Test catalog'!$L$2:$L$200,MATCH($AB1193,'Test catalog'!$A$2:$A$200,0))="","",INDEX('Test catalog'!$L$2:$L$200,MATCH($AB1193,'Test catalog'!$A$2:$A$200,0))),"")</f>
        <v/>
      </c>
      <c r="T1193" s="10">
        <f>IFERROR(IF(INDEX('Test catalog'!$M$2:$M$200,MATCH($AB1193,'Test catalog'!$A$2:$A$200,0))="","",INDEX('Test catalog'!$M$2:$M$200,MATCH($AB1193,'Test catalog'!$A$2:$A$200,0))),"")</f>
        <v/>
      </c>
      <c r="U1193" s="10">
        <f>IFERROR(IF(INDEX('Test catalog'!$N$2:$N$200,MATCH($AB1193,'Test catalog'!$A$2:$A$200,0))="","",INDEX('Test catalog'!$N$2:$N$200,MATCH($AB1193,'Test catalog'!$A$2:$A$200,0))),"")</f>
        <v/>
      </c>
      <c r="V1193" s="15" t="n"/>
      <c r="W1193" s="5" t="inlineStr">
        <is>
          <t>N</t>
        </is>
      </c>
      <c r="X1193" s="5" t="n"/>
      <c r="Y1193" s="5" t="n"/>
      <c r="Z1193" s="5" t="n"/>
      <c r="AA1193" s="10">
        <f>IFERROR(IF(INDEX('Test catalog'!$O$2:$O$200,MATCH($AB1193,'Test catalog'!$A$2:$A$200,0))="","",INDEX('Test catalog'!$O$2:$O$200,MATCH($AB1193,'Test catalog'!$A$2:$A$200,0))),"")</f>
        <v/>
      </c>
      <c r="AB1193" s="10" t="inlineStr">
        <is>
          <t>ACID</t>
        </is>
      </c>
      <c r="AC1193" s="10" t="inlineStr">
        <is>
          <t>Sodium Citrate · Specific Tests</t>
        </is>
      </c>
      <c r="AD1193" s="10" t="n"/>
      <c r="AE1193" s="10" t="n"/>
    </row>
    <row r="1194">
      <c r="A1194" s="10" t="inlineStr">
        <is>
          <t>Sodium Citrate Dihydrate</t>
        </is>
      </c>
      <c r="B1194" s="10" t="inlineStr">
        <is>
          <t>RM</t>
        </is>
      </c>
      <c r="C1194" s="10" t="inlineStr">
        <is>
          <t>pH Modifier / Buffer</t>
        </is>
      </c>
      <c r="D1194" s="10" t="inlineStr">
        <is>
          <t>Water Determination, Method III</t>
        </is>
      </c>
      <c r="E1194" s="10">
        <f>IF(A1194="","",A1194&amp;"|"&amp;D1194)</f>
        <v/>
      </c>
      <c r="F1194" s="5" t="inlineStr">
        <is>
          <t>Y</t>
        </is>
      </c>
      <c r="G1194" s="5" t="inlineStr">
        <is>
          <t>Other / bench</t>
        </is>
      </c>
      <c r="H1194" s="5" t="inlineStr">
        <is>
          <t>Low</t>
        </is>
      </c>
      <c r="I1194" s="5" t="n">
        <v>1</v>
      </c>
      <c r="J1194" s="5" t="n"/>
      <c r="K1194" s="10">
        <f>IFERROR(IF(INDEX('Test catalog'!$F$2:$F$200,MATCH($AB1194,'Test catalog'!$A$2:$A$200,0))="","",INDEX('Test catalog'!$F$2:$F$200,MATCH($AB1194,'Test catalog'!$A$2:$A$200,0))),"")</f>
        <v/>
      </c>
      <c r="L1194" s="10">
        <f>IFERROR(IF(INDEX('Test catalog'!$G$2:$G$200,MATCH($AB1194,'Test catalog'!$A$2:$A$200,0))="","",INDEX('Test catalog'!$G$2:$G$200,MATCH($AB1194,'Test catalog'!$A$2:$A$200,0))),"")</f>
        <v/>
      </c>
      <c r="M1194" s="10">
        <f>IFERROR(IF(INDEX('Test catalog'!$H$2:$H$200,MATCH($AB1194,'Test catalog'!$A$2:$A$200,0))="","",INDEX('Test catalog'!$H$2:$H$200,MATCH($AB1194,'Test catalog'!$A$2:$A$200,0))),"")</f>
        <v/>
      </c>
      <c r="N1194" s="10">
        <f>IFERROR(IF(INDEX('Test catalog'!$I$2:$I$200,MATCH($AB1194,'Test catalog'!$A$2:$A$200,0))="","",INDEX('Test catalog'!$I$2:$I$200,MATCH($AB1194,'Test catalog'!$A$2:$A$200,0))),"")</f>
        <v/>
      </c>
      <c r="O1194" s="10">
        <f>IFERROR(IF(INDEX('Test catalog'!$J$2:$J$200,MATCH($AB1194,'Test catalog'!$A$2:$A$200,0))="","",INDEX('Test catalog'!$J$2:$J$200,MATCH($AB1194,'Test catalog'!$A$2:$A$200,0))),"")</f>
        <v/>
      </c>
      <c r="P1194" s="14">
        <f>IF(N1194="","",IF(OR(M1194="",O1194=""),N1194,(M1194+4*N1194+O1194)/6))</f>
        <v/>
      </c>
      <c r="Q1194" s="10">
        <f>IFERROR(IF(INDEX('Test catalog'!$K$2:$K$200,MATCH($AB1194,'Test catalog'!$A$2:$A$200,0))="","",INDEX('Test catalog'!$K$2:$K$200,MATCH($AB1194,'Test catalog'!$A$2:$A$200,0))),"")</f>
        <v/>
      </c>
      <c r="R1194" s="5" t="n"/>
      <c r="S1194" s="10">
        <f>IFERROR(IF(INDEX('Test catalog'!$L$2:$L$200,MATCH($AB1194,'Test catalog'!$A$2:$A$200,0))="","",INDEX('Test catalog'!$L$2:$L$200,MATCH($AB1194,'Test catalog'!$A$2:$A$200,0))),"")</f>
        <v/>
      </c>
      <c r="T1194" s="10">
        <f>IFERROR(IF(INDEX('Test catalog'!$M$2:$M$200,MATCH($AB1194,'Test catalog'!$A$2:$A$200,0))="","",INDEX('Test catalog'!$M$2:$M$200,MATCH($AB1194,'Test catalog'!$A$2:$A$200,0))),"")</f>
        <v/>
      </c>
      <c r="U1194" s="10">
        <f>IFERROR(IF(INDEX('Test catalog'!$N$2:$N$200,MATCH($AB1194,'Test catalog'!$A$2:$A$200,0))="","",INDEX('Test catalog'!$N$2:$N$200,MATCH($AB1194,'Test catalog'!$A$2:$A$200,0))),"")</f>
        <v/>
      </c>
      <c r="V1194" s="15" t="n"/>
      <c r="W1194" s="5" t="inlineStr">
        <is>
          <t>N</t>
        </is>
      </c>
      <c r="X1194" s="5" t="n"/>
      <c r="Y1194" s="5" t="n"/>
      <c r="Z1194" s="5" t="n"/>
      <c r="AA1194" s="10">
        <f>IFERROR(IF(INDEX('Test catalog'!$O$2:$O$200,MATCH($AB1194,'Test catalog'!$A$2:$A$200,0))="","",INDEX('Test catalog'!$O$2:$O$200,MATCH($AB1194,'Test catalog'!$A$2:$A$200,0))),"")</f>
        <v/>
      </c>
      <c r="AB1194" s="10" t="inlineStr">
        <is>
          <t>LOD</t>
        </is>
      </c>
      <c r="AC1194" s="10" t="inlineStr">
        <is>
          <t>Sodium Citrate · Specific Tests &lt;921&gt;</t>
        </is>
      </c>
      <c r="AD1194" s="10" t="n"/>
      <c r="AE1194" s="10" t="n"/>
    </row>
  </sheetData>
  <autoFilter ref="A1:AE1194"/>
  <conditionalFormatting sqref="A2:AF1394">
    <cfRule type="expression" priority="1" dxfId="0" stopIfTrue="0">
      <formula>OR($F2="N",$AA2="Y")</formula>
    </cfRule>
  </conditionalFormatting>
  <dataValidations count="6">
    <dataValidation sqref="F2:F1394" showDropDown="0" showInputMessage="0" showErrorMessage="0" allowBlank="1" type="list">
      <formula1>"Y,N"</formula1>
    </dataValidation>
    <dataValidation sqref="G2:G1394" showDropDown="0" showInputMessage="0" showErrorMessage="0" allowBlank="1" type="list">
      <formula1>"HPLC,GC,UV-Vis,AAS / ICP,KF titrator,Other / bench,None"</formula1>
    </dataValidation>
    <dataValidation sqref="H2:H1394" showDropDown="0" showInputMessage="0" showErrorMessage="0" allowBlank="1" type="list">
      <formula1>"Low,Medium,High"</formula1>
    </dataValidation>
    <dataValidation sqref="W2:W1394" showDropDown="0" showInputMessage="0" showErrorMessage="0" allowBlank="1" type="list">
      <formula1>"Y,N"</formula1>
    </dataValidation>
    <dataValidation sqref="Y2:Y1394" showDropDown="0" showInputMessage="0" showErrorMessage="0" allowBlank="1" type="list">
      <formula1>"High,Medium,Low"</formula1>
    </dataValidation>
    <dataValidation sqref="AA2:AA1394"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26" customWidth="1" min="4" max="4"/>
    <col hidden="1" width="1" customWidth="1" min="5" max="5"/>
    <col width="9" customWidth="1" min="6" max="6"/>
    <col width="13" customWidth="1" min="7" max="7"/>
    <col width="10" customWidth="1" min="8" max="8"/>
    <col width="9" customWidth="1" min="9" max="9"/>
    <col width="10" customWidth="1" min="10" max="10"/>
    <col width="10" customWidth="1" min="11" max="11"/>
    <col width="10" customWidth="1" min="12" max="12"/>
    <col width="10" customWidth="1" min="13" max="13"/>
    <col width="10" customWidth="1" min="14" max="14"/>
    <col width="10" customWidth="1" min="15" max="15"/>
    <col width="9" customWidth="1" min="16" max="16"/>
    <col width="10" customWidth="1" min="17" max="17"/>
    <col width="10" customWidth="1" min="18" max="18"/>
    <col width="10" customWidth="1" min="19" max="19"/>
    <col width="10" customWidth="1" min="20" max="20"/>
    <col width="10" customWidth="1" min="21" max="21"/>
    <col width="9" customWidth="1" min="22" max="22"/>
    <col width="10" customWidth="1" min="23" max="23"/>
    <col width="16" customWidth="1" min="24" max="24"/>
    <col width="11" customWidth="1" min="25" max="25"/>
    <col width="30" customWidth="1" min="26" max="26"/>
    <col width="10" customWidth="1" min="27" max="27"/>
  </cols>
  <sheetData>
    <row r="1" ht="45" customHeight="1">
      <c r="A1" s="13" t="inlineStr">
        <is>
          <t>Key (Family ID / Material)</t>
        </is>
      </c>
      <c r="B1" s="13" t="inlineStr">
        <is>
          <t>Type</t>
        </is>
      </c>
      <c r="C1" s="13" t="inlineStr">
        <is>
          <t>Description</t>
        </is>
      </c>
      <c r="D1" s="13" t="inlineStr">
        <is>
          <t>Test</t>
        </is>
      </c>
      <c r="E1" s="13" t="inlineStr">
        <is>
          <t>Lookup key (auto)</t>
        </is>
      </c>
      <c r="F1" s="13" t="inlineStr">
        <is>
          <t>Applicable (Y/N)</t>
        </is>
      </c>
      <c r="G1" s="13" t="inlineStr">
        <is>
          <t>Instrument</t>
        </is>
      </c>
      <c r="H1" s="13" t="inlineStr">
        <is>
          <t>Complexity</t>
        </is>
      </c>
      <c r="I1" s="13" t="inlineStr">
        <is>
          <t>No. of separate methods</t>
        </is>
      </c>
      <c r="J1" s="13" t="inlineStr">
        <is>
          <t>Campaign group code</t>
        </is>
      </c>
      <c r="K1" s="13" t="inlineStr">
        <is>
          <t>Setup analyst h / sequence</t>
        </is>
      </c>
      <c r="L1" s="13" t="inlineStr">
        <is>
          <t>Setup instrument h / sequence</t>
        </is>
      </c>
      <c r="M1" s="13" t="inlineStr">
        <is>
          <t>Prep analyst h/sample – MIN</t>
        </is>
      </c>
      <c r="N1" s="13" t="inlineStr">
        <is>
          <t>Prep – MOST LIKELY</t>
        </is>
      </c>
      <c r="O1" s="13" t="inlineStr">
        <is>
          <t>Prep – MAX</t>
        </is>
      </c>
      <c r="P1" s="13" t="inlineStr">
        <is>
          <t>Prep PERT (auto)</t>
        </is>
      </c>
      <c r="Q1" s="13" t="inlineStr">
        <is>
          <t>Instrument run h / sample</t>
        </is>
      </c>
      <c r="R1" s="13" t="inlineStr">
        <is>
          <t>Dissolution bath h / sample</t>
        </is>
      </c>
      <c r="S1" s="13" t="inlineStr">
        <is>
          <t>Data processing + doc h / sample</t>
        </is>
      </c>
      <c r="T1" s="13" t="inlineStr">
        <is>
          <t>Review h / sample</t>
        </is>
      </c>
      <c r="U1" s="13" t="inlineStr">
        <is>
          <t>Samples per sequence</t>
        </is>
      </c>
      <c r="V1" s="13" t="inlineStr">
        <is>
          <t>Retest / OOS %</t>
        </is>
      </c>
      <c r="W1" s="13" t="inlineStr">
        <is>
          <t>Applies to stability (Y/N)</t>
        </is>
      </c>
      <c r="X1" s="13" t="inlineStr">
        <is>
          <t>Respondent(s) / source</t>
        </is>
      </c>
      <c r="Y1" s="13" t="inlineStr">
        <is>
          <t>Confidence</t>
        </is>
      </c>
      <c r="Z1" s="13" t="inlineStr">
        <is>
          <t>Notes / difficulty</t>
        </is>
      </c>
      <c r="AA1" s="13" t="inlineStr">
        <is>
          <t>Outsourced (Y/N)</t>
        </is>
      </c>
    </row>
    <row r="2">
      <c r="A2" s="5" t="n"/>
      <c r="B2" s="10" t="inlineStr">
        <is>
          <t>RM</t>
        </is>
      </c>
      <c r="C2" s="5" t="n"/>
      <c r="D2" s="5" t="n"/>
      <c r="E2" s="10">
        <f>IF(A2="","",A2&amp;"|"&amp;D2)</f>
        <v/>
      </c>
      <c r="F2" s="5" t="n"/>
      <c r="G2" s="5" t="n"/>
      <c r="H2" s="5" t="n"/>
      <c r="I2" s="5" t="n"/>
      <c r="J2" s="5" t="n"/>
      <c r="K2" s="5" t="n"/>
      <c r="L2" s="5" t="n"/>
      <c r="M2" s="5" t="n"/>
      <c r="N2" s="5" t="n"/>
      <c r="O2" s="5" t="n"/>
      <c r="P2" s="14">
        <f>IF(N2="","",IF(OR(M2="",O2=""),N2,(M2+4*N2+O2)/6))</f>
        <v/>
      </c>
      <c r="Q2" s="5" t="n"/>
      <c r="R2" s="5" t="n"/>
      <c r="S2" s="5" t="n"/>
      <c r="T2" s="5" t="n"/>
      <c r="U2" s="5" t="n"/>
      <c r="V2" s="15" t="n"/>
      <c r="W2" s="5" t="n"/>
      <c r="X2" s="5" t="n"/>
      <c r="Y2" s="5" t="n"/>
      <c r="Z2" s="5" t="n"/>
      <c r="AA2" s="5" t="n"/>
    </row>
    <row r="3">
      <c r="A3" s="5" t="n"/>
      <c r="B3" s="10" t="inlineStr">
        <is>
          <t>RM</t>
        </is>
      </c>
      <c r="C3" s="5" t="n"/>
      <c r="D3" s="5" t="n"/>
      <c r="E3" s="10">
        <f>IF(A3="","",A3&amp;"|"&amp;D3)</f>
        <v/>
      </c>
      <c r="F3" s="5" t="n"/>
      <c r="G3" s="5" t="n"/>
      <c r="H3" s="5" t="n"/>
      <c r="I3" s="5" t="n"/>
      <c r="J3" s="5" t="n"/>
      <c r="K3" s="5" t="n"/>
      <c r="L3" s="5" t="n"/>
      <c r="M3" s="5" t="n"/>
      <c r="N3" s="5" t="n"/>
      <c r="O3" s="5" t="n"/>
      <c r="P3" s="14">
        <f>IF(N3="","",IF(OR(M3="",O3=""),N3,(M3+4*N3+O3)/6))</f>
        <v/>
      </c>
      <c r="Q3" s="5" t="n"/>
      <c r="R3" s="5" t="n"/>
      <c r="S3" s="5" t="n"/>
      <c r="T3" s="5" t="n"/>
      <c r="U3" s="5" t="n"/>
      <c r="V3" s="15" t="n"/>
      <c r="W3" s="5" t="n"/>
      <c r="X3" s="5" t="n"/>
      <c r="Y3" s="5" t="n"/>
      <c r="Z3" s="5" t="n"/>
      <c r="AA3" s="5" t="n"/>
    </row>
    <row r="4">
      <c r="A4" s="5" t="n"/>
      <c r="B4" s="10" t="inlineStr">
        <is>
          <t>RM</t>
        </is>
      </c>
      <c r="C4" s="5" t="n"/>
      <c r="D4" s="5" t="n"/>
      <c r="E4" s="10">
        <f>IF(A4="","",A4&amp;"|"&amp;D4)</f>
        <v/>
      </c>
      <c r="F4" s="5" t="n"/>
      <c r="G4" s="5" t="n"/>
      <c r="H4" s="5" t="n"/>
      <c r="I4" s="5" t="n"/>
      <c r="J4" s="5" t="n"/>
      <c r="K4" s="5" t="n"/>
      <c r="L4" s="5" t="n"/>
      <c r="M4" s="5" t="n"/>
      <c r="N4" s="5" t="n"/>
      <c r="O4" s="5" t="n"/>
      <c r="P4" s="14">
        <f>IF(N4="","",IF(OR(M4="",O4=""),N4,(M4+4*N4+O4)/6))</f>
        <v/>
      </c>
      <c r="Q4" s="5" t="n"/>
      <c r="R4" s="5" t="n"/>
      <c r="S4" s="5" t="n"/>
      <c r="T4" s="5" t="n"/>
      <c r="U4" s="5" t="n"/>
      <c r="V4" s="15" t="n"/>
      <c r="W4" s="5" t="n"/>
      <c r="X4" s="5" t="n"/>
      <c r="Y4" s="5" t="n"/>
      <c r="Z4" s="5" t="n"/>
      <c r="AA4" s="5" t="n"/>
    </row>
    <row r="5">
      <c r="A5" s="5" t="n"/>
      <c r="B5" s="10" t="inlineStr">
        <is>
          <t>RM</t>
        </is>
      </c>
      <c r="C5" s="5" t="n"/>
      <c r="D5" s="5" t="n"/>
      <c r="E5" s="10">
        <f>IF(A5="","",A5&amp;"|"&amp;D5)</f>
        <v/>
      </c>
      <c r="F5" s="5" t="n"/>
      <c r="G5" s="5" t="n"/>
      <c r="H5" s="5" t="n"/>
      <c r="I5" s="5" t="n"/>
      <c r="J5" s="5" t="n"/>
      <c r="K5" s="5" t="n"/>
      <c r="L5" s="5" t="n"/>
      <c r="M5" s="5" t="n"/>
      <c r="N5" s="5" t="n"/>
      <c r="O5" s="5" t="n"/>
      <c r="P5" s="14">
        <f>IF(N5="","",IF(OR(M5="",O5=""),N5,(M5+4*N5+O5)/6))</f>
        <v/>
      </c>
      <c r="Q5" s="5" t="n"/>
      <c r="R5" s="5" t="n"/>
      <c r="S5" s="5" t="n"/>
      <c r="T5" s="5" t="n"/>
      <c r="U5" s="5" t="n"/>
      <c r="V5" s="15" t="n"/>
      <c r="W5" s="5" t="n"/>
      <c r="X5" s="5" t="n"/>
      <c r="Y5" s="5" t="n"/>
      <c r="Z5" s="5" t="n"/>
      <c r="AA5" s="5" t="n"/>
    </row>
    <row r="6">
      <c r="A6" s="5" t="n"/>
      <c r="B6" s="10" t="inlineStr">
        <is>
          <t>RM</t>
        </is>
      </c>
      <c r="C6" s="5" t="n"/>
      <c r="D6" s="5" t="n"/>
      <c r="E6" s="10">
        <f>IF(A6="","",A6&amp;"|"&amp;D6)</f>
        <v/>
      </c>
      <c r="F6" s="5" t="n"/>
      <c r="G6" s="5" t="n"/>
      <c r="H6" s="5" t="n"/>
      <c r="I6" s="5" t="n"/>
      <c r="J6" s="5" t="n"/>
      <c r="K6" s="5" t="n"/>
      <c r="L6" s="5" t="n"/>
      <c r="M6" s="5" t="n"/>
      <c r="N6" s="5" t="n"/>
      <c r="O6" s="5" t="n"/>
      <c r="P6" s="14">
        <f>IF(N6="","",IF(OR(M6="",O6=""),N6,(M6+4*N6+O6)/6))</f>
        <v/>
      </c>
      <c r="Q6" s="5" t="n"/>
      <c r="R6" s="5" t="n"/>
      <c r="S6" s="5" t="n"/>
      <c r="T6" s="5" t="n"/>
      <c r="U6" s="5" t="n"/>
      <c r="V6" s="15" t="n"/>
      <c r="W6" s="5" t="n"/>
      <c r="X6" s="5" t="n"/>
      <c r="Y6" s="5" t="n"/>
      <c r="Z6" s="5" t="n"/>
      <c r="AA6" s="5" t="n"/>
    </row>
    <row r="7">
      <c r="A7" s="5" t="n"/>
      <c r="B7" s="10" t="inlineStr">
        <is>
          <t>RM</t>
        </is>
      </c>
      <c r="C7" s="5" t="n"/>
      <c r="D7" s="5" t="n"/>
      <c r="E7" s="10">
        <f>IF(A7="","",A7&amp;"|"&amp;D7)</f>
        <v/>
      </c>
      <c r="F7" s="5" t="n"/>
      <c r="G7" s="5" t="n"/>
      <c r="H7" s="5" t="n"/>
      <c r="I7" s="5" t="n"/>
      <c r="J7" s="5" t="n"/>
      <c r="K7" s="5" t="n"/>
      <c r="L7" s="5" t="n"/>
      <c r="M7" s="5" t="n"/>
      <c r="N7" s="5" t="n"/>
      <c r="O7" s="5" t="n"/>
      <c r="P7" s="14">
        <f>IF(N7="","",IF(OR(M7="",O7=""),N7,(M7+4*N7+O7)/6))</f>
        <v/>
      </c>
      <c r="Q7" s="5" t="n"/>
      <c r="R7" s="5" t="n"/>
      <c r="S7" s="5" t="n"/>
      <c r="T7" s="5" t="n"/>
      <c r="U7" s="5" t="n"/>
      <c r="V7" s="15" t="n"/>
      <c r="W7" s="5" t="n"/>
      <c r="X7" s="5" t="n"/>
      <c r="Y7" s="5" t="n"/>
      <c r="Z7" s="5" t="n"/>
      <c r="AA7" s="5" t="n"/>
    </row>
    <row r="8">
      <c r="A8" s="5" t="n"/>
      <c r="B8" s="10" t="inlineStr">
        <is>
          <t>RM</t>
        </is>
      </c>
      <c r="C8" s="5" t="n"/>
      <c r="D8" s="5" t="n"/>
      <c r="E8" s="10">
        <f>IF(A8="","",A8&amp;"|"&amp;D8)</f>
        <v/>
      </c>
      <c r="F8" s="5" t="n"/>
      <c r="G8" s="5" t="n"/>
      <c r="H8" s="5" t="n"/>
      <c r="I8" s="5" t="n"/>
      <c r="J8" s="5" t="n"/>
      <c r="K8" s="5" t="n"/>
      <c r="L8" s="5" t="n"/>
      <c r="M8" s="5" t="n"/>
      <c r="N8" s="5" t="n"/>
      <c r="O8" s="5" t="n"/>
      <c r="P8" s="14">
        <f>IF(N8="","",IF(OR(M8="",O8=""),N8,(M8+4*N8+O8)/6))</f>
        <v/>
      </c>
      <c r="Q8" s="5" t="n"/>
      <c r="R8" s="5" t="n"/>
      <c r="S8" s="5" t="n"/>
      <c r="T8" s="5" t="n"/>
      <c r="U8" s="5" t="n"/>
      <c r="V8" s="15" t="n"/>
      <c r="W8" s="5" t="n"/>
      <c r="X8" s="5" t="n"/>
      <c r="Y8" s="5" t="n"/>
      <c r="Z8" s="5" t="n"/>
      <c r="AA8" s="5" t="n"/>
    </row>
    <row r="9">
      <c r="A9" s="5" t="n"/>
      <c r="B9" s="10" t="inlineStr">
        <is>
          <t>RM</t>
        </is>
      </c>
      <c r="C9" s="5" t="n"/>
      <c r="D9" s="5" t="n"/>
      <c r="E9" s="10">
        <f>IF(A9="","",A9&amp;"|"&amp;D9)</f>
        <v/>
      </c>
      <c r="F9" s="5" t="n"/>
      <c r="G9" s="5" t="n"/>
      <c r="H9" s="5" t="n"/>
      <c r="I9" s="5" t="n"/>
      <c r="J9" s="5" t="n"/>
      <c r="K9" s="5" t="n"/>
      <c r="L9" s="5" t="n"/>
      <c r="M9" s="5" t="n"/>
      <c r="N9" s="5" t="n"/>
      <c r="O9" s="5" t="n"/>
      <c r="P9" s="14">
        <f>IF(N9="","",IF(OR(M9="",O9=""),N9,(M9+4*N9+O9)/6))</f>
        <v/>
      </c>
      <c r="Q9" s="5" t="n"/>
      <c r="R9" s="5" t="n"/>
      <c r="S9" s="5" t="n"/>
      <c r="T9" s="5" t="n"/>
      <c r="U9" s="5" t="n"/>
      <c r="V9" s="15" t="n"/>
      <c r="W9" s="5" t="n"/>
      <c r="X9" s="5" t="n"/>
      <c r="Y9" s="5" t="n"/>
      <c r="Z9" s="5" t="n"/>
      <c r="AA9" s="5" t="n"/>
    </row>
    <row r="10">
      <c r="A10" s="5" t="n"/>
      <c r="B10" s="10" t="inlineStr">
        <is>
          <t>RM</t>
        </is>
      </c>
      <c r="C10" s="5" t="n"/>
      <c r="D10" s="5" t="n"/>
      <c r="E10" s="10">
        <f>IF(A10="","",A10&amp;"|"&amp;D10)</f>
        <v/>
      </c>
      <c r="F10" s="5" t="n"/>
      <c r="G10" s="5" t="n"/>
      <c r="H10" s="5" t="n"/>
      <c r="I10" s="5" t="n"/>
      <c r="J10" s="5" t="n"/>
      <c r="K10" s="5" t="n"/>
      <c r="L10" s="5" t="n"/>
      <c r="M10" s="5" t="n"/>
      <c r="N10" s="5" t="n"/>
      <c r="O10" s="5" t="n"/>
      <c r="P10" s="14">
        <f>IF(N10="","",IF(OR(M10="",O10=""),N10,(M10+4*N10+O10)/6))</f>
        <v/>
      </c>
      <c r="Q10" s="5" t="n"/>
      <c r="R10" s="5" t="n"/>
      <c r="S10" s="5" t="n"/>
      <c r="T10" s="5" t="n"/>
      <c r="U10" s="5" t="n"/>
      <c r="V10" s="15" t="n"/>
      <c r="W10" s="5" t="n"/>
      <c r="X10" s="5" t="n"/>
      <c r="Y10" s="5" t="n"/>
      <c r="Z10" s="5" t="n"/>
      <c r="AA10" s="5" t="n"/>
    </row>
    <row r="11">
      <c r="A11" s="5" t="n"/>
      <c r="B11" s="10" t="inlineStr">
        <is>
          <t>RM</t>
        </is>
      </c>
      <c r="C11" s="5" t="n"/>
      <c r="D11" s="5" t="n"/>
      <c r="E11" s="10">
        <f>IF(A11="","",A11&amp;"|"&amp;D11)</f>
        <v/>
      </c>
      <c r="F11" s="5" t="n"/>
      <c r="G11" s="5" t="n"/>
      <c r="H11" s="5" t="n"/>
      <c r="I11" s="5" t="n"/>
      <c r="J11" s="5" t="n"/>
      <c r="K11" s="5" t="n"/>
      <c r="L11" s="5" t="n"/>
      <c r="M11" s="5" t="n"/>
      <c r="N11" s="5" t="n"/>
      <c r="O11" s="5" t="n"/>
      <c r="P11" s="14">
        <f>IF(N11="","",IF(OR(M11="",O11=""),N11,(M11+4*N11+O11)/6))</f>
        <v/>
      </c>
      <c r="Q11" s="5" t="n"/>
      <c r="R11" s="5" t="n"/>
      <c r="S11" s="5" t="n"/>
      <c r="T11" s="5" t="n"/>
      <c r="U11" s="5" t="n"/>
      <c r="V11" s="15" t="n"/>
      <c r="W11" s="5" t="n"/>
      <c r="X11" s="5" t="n"/>
      <c r="Y11" s="5" t="n"/>
      <c r="Z11" s="5" t="n"/>
      <c r="AA11" s="5" t="n"/>
    </row>
    <row r="12">
      <c r="A12" s="5" t="n"/>
      <c r="B12" s="10" t="inlineStr">
        <is>
          <t>RM</t>
        </is>
      </c>
      <c r="C12" s="5" t="n"/>
      <c r="D12" s="5" t="n"/>
      <c r="E12" s="10">
        <f>IF(A12="","",A12&amp;"|"&amp;D12)</f>
        <v/>
      </c>
      <c r="F12" s="5" t="n"/>
      <c r="G12" s="5" t="n"/>
      <c r="H12" s="5" t="n"/>
      <c r="I12" s="5" t="n"/>
      <c r="J12" s="5" t="n"/>
      <c r="K12" s="5" t="n"/>
      <c r="L12" s="5" t="n"/>
      <c r="M12" s="5" t="n"/>
      <c r="N12" s="5" t="n"/>
      <c r="O12" s="5" t="n"/>
      <c r="P12" s="14">
        <f>IF(N12="","",IF(OR(M12="",O12=""),N12,(M12+4*N12+O12)/6))</f>
        <v/>
      </c>
      <c r="Q12" s="5" t="n"/>
      <c r="R12" s="5" t="n"/>
      <c r="S12" s="5" t="n"/>
      <c r="T12" s="5" t="n"/>
      <c r="U12" s="5" t="n"/>
      <c r="V12" s="15" t="n"/>
      <c r="W12" s="5" t="n"/>
      <c r="X12" s="5" t="n"/>
      <c r="Y12" s="5" t="n"/>
      <c r="Z12" s="5" t="n"/>
      <c r="AA12" s="5" t="n"/>
    </row>
    <row r="13">
      <c r="A13" s="5" t="n"/>
      <c r="B13" s="10" t="inlineStr">
        <is>
          <t>RM</t>
        </is>
      </c>
      <c r="C13" s="5" t="n"/>
      <c r="D13" s="5" t="n"/>
      <c r="E13" s="10">
        <f>IF(A13="","",A13&amp;"|"&amp;D13)</f>
        <v/>
      </c>
      <c r="F13" s="5" t="n"/>
      <c r="G13" s="5" t="n"/>
      <c r="H13" s="5" t="n"/>
      <c r="I13" s="5" t="n"/>
      <c r="J13" s="5" t="n"/>
      <c r="K13" s="5" t="n"/>
      <c r="L13" s="5" t="n"/>
      <c r="M13" s="5" t="n"/>
      <c r="N13" s="5" t="n"/>
      <c r="O13" s="5" t="n"/>
      <c r="P13" s="14">
        <f>IF(N13="","",IF(OR(M13="",O13=""),N13,(M13+4*N13+O13)/6))</f>
        <v/>
      </c>
      <c r="Q13" s="5" t="n"/>
      <c r="R13" s="5" t="n"/>
      <c r="S13" s="5" t="n"/>
      <c r="T13" s="5" t="n"/>
      <c r="U13" s="5" t="n"/>
      <c r="V13" s="15" t="n"/>
      <c r="W13" s="5" t="n"/>
      <c r="X13" s="5" t="n"/>
      <c r="Y13" s="5" t="n"/>
      <c r="Z13" s="5" t="n"/>
      <c r="AA13" s="5" t="n"/>
    </row>
    <row r="14">
      <c r="A14" s="5" t="n"/>
      <c r="B14" s="10" t="inlineStr">
        <is>
          <t>RM</t>
        </is>
      </c>
      <c r="C14" s="5" t="n"/>
      <c r="D14" s="5" t="n"/>
      <c r="E14" s="10">
        <f>IF(A14="","",A14&amp;"|"&amp;D14)</f>
        <v/>
      </c>
      <c r="F14" s="5" t="n"/>
      <c r="G14" s="5" t="n"/>
      <c r="H14" s="5" t="n"/>
      <c r="I14" s="5" t="n"/>
      <c r="J14" s="5" t="n"/>
      <c r="K14" s="5" t="n"/>
      <c r="L14" s="5" t="n"/>
      <c r="M14" s="5" t="n"/>
      <c r="N14" s="5" t="n"/>
      <c r="O14" s="5" t="n"/>
      <c r="P14" s="14">
        <f>IF(N14="","",IF(OR(M14="",O14=""),N14,(M14+4*N14+O14)/6))</f>
        <v/>
      </c>
      <c r="Q14" s="5" t="n"/>
      <c r="R14" s="5" t="n"/>
      <c r="S14" s="5" t="n"/>
      <c r="T14" s="5" t="n"/>
      <c r="U14" s="5" t="n"/>
      <c r="V14" s="15" t="n"/>
      <c r="W14" s="5" t="n"/>
      <c r="X14" s="5" t="n"/>
      <c r="Y14" s="5" t="n"/>
      <c r="Z14" s="5" t="n"/>
      <c r="AA14" s="5" t="n"/>
    </row>
    <row r="15">
      <c r="A15" s="5" t="n"/>
      <c r="B15" s="10" t="inlineStr">
        <is>
          <t>RM</t>
        </is>
      </c>
      <c r="C15" s="5" t="n"/>
      <c r="D15" s="5" t="n"/>
      <c r="E15" s="10">
        <f>IF(A15="","",A15&amp;"|"&amp;D15)</f>
        <v/>
      </c>
      <c r="F15" s="5" t="n"/>
      <c r="G15" s="5" t="n"/>
      <c r="H15" s="5" t="n"/>
      <c r="I15" s="5" t="n"/>
      <c r="J15" s="5" t="n"/>
      <c r="K15" s="5" t="n"/>
      <c r="L15" s="5" t="n"/>
      <c r="M15" s="5" t="n"/>
      <c r="N15" s="5" t="n"/>
      <c r="O15" s="5" t="n"/>
      <c r="P15" s="14">
        <f>IF(N15="","",IF(OR(M15="",O15=""),N15,(M15+4*N15+O15)/6))</f>
        <v/>
      </c>
      <c r="Q15" s="5" t="n"/>
      <c r="R15" s="5" t="n"/>
      <c r="S15" s="5" t="n"/>
      <c r="T15" s="5" t="n"/>
      <c r="U15" s="5" t="n"/>
      <c r="V15" s="15" t="n"/>
      <c r="W15" s="5" t="n"/>
      <c r="X15" s="5" t="n"/>
      <c r="Y15" s="5" t="n"/>
      <c r="Z15" s="5" t="n"/>
      <c r="AA15" s="5" t="n"/>
    </row>
    <row r="16">
      <c r="A16" s="5" t="n"/>
      <c r="B16" s="10" t="inlineStr">
        <is>
          <t>RM</t>
        </is>
      </c>
      <c r="C16" s="5" t="n"/>
      <c r="D16" s="5" t="n"/>
      <c r="E16" s="10">
        <f>IF(A16="","",A16&amp;"|"&amp;D16)</f>
        <v/>
      </c>
      <c r="F16" s="5" t="n"/>
      <c r="G16" s="5" t="n"/>
      <c r="H16" s="5" t="n"/>
      <c r="I16" s="5" t="n"/>
      <c r="J16" s="5" t="n"/>
      <c r="K16" s="5" t="n"/>
      <c r="L16" s="5" t="n"/>
      <c r="M16" s="5" t="n"/>
      <c r="N16" s="5" t="n"/>
      <c r="O16" s="5" t="n"/>
      <c r="P16" s="14">
        <f>IF(N16="","",IF(OR(M16="",O16=""),N16,(M16+4*N16+O16)/6))</f>
        <v/>
      </c>
      <c r="Q16" s="5" t="n"/>
      <c r="R16" s="5" t="n"/>
      <c r="S16" s="5" t="n"/>
      <c r="T16" s="5" t="n"/>
      <c r="U16" s="5" t="n"/>
      <c r="V16" s="15" t="n"/>
      <c r="W16" s="5" t="n"/>
      <c r="X16" s="5" t="n"/>
      <c r="Y16" s="5" t="n"/>
      <c r="Z16" s="5" t="n"/>
      <c r="AA16" s="5" t="n"/>
    </row>
    <row r="17">
      <c r="A17" s="5" t="n"/>
      <c r="B17" s="10" t="inlineStr">
        <is>
          <t>RM</t>
        </is>
      </c>
      <c r="C17" s="5" t="n"/>
      <c r="D17" s="5" t="n"/>
      <c r="E17" s="10">
        <f>IF(A17="","",A17&amp;"|"&amp;D17)</f>
        <v/>
      </c>
      <c r="F17" s="5" t="n"/>
      <c r="G17" s="5" t="n"/>
      <c r="H17" s="5" t="n"/>
      <c r="I17" s="5" t="n"/>
      <c r="J17" s="5" t="n"/>
      <c r="K17" s="5" t="n"/>
      <c r="L17" s="5" t="n"/>
      <c r="M17" s="5" t="n"/>
      <c r="N17" s="5" t="n"/>
      <c r="O17" s="5" t="n"/>
      <c r="P17" s="14">
        <f>IF(N17="","",IF(OR(M17="",O17=""),N17,(M17+4*N17+O17)/6))</f>
        <v/>
      </c>
      <c r="Q17" s="5" t="n"/>
      <c r="R17" s="5" t="n"/>
      <c r="S17" s="5" t="n"/>
      <c r="T17" s="5" t="n"/>
      <c r="U17" s="5" t="n"/>
      <c r="V17" s="15" t="n"/>
      <c r="W17" s="5" t="n"/>
      <c r="X17" s="5" t="n"/>
      <c r="Y17" s="5" t="n"/>
      <c r="Z17" s="5" t="n"/>
      <c r="AA17" s="5" t="n"/>
    </row>
    <row r="18">
      <c r="A18" s="5" t="n"/>
      <c r="B18" s="10" t="inlineStr">
        <is>
          <t>RM</t>
        </is>
      </c>
      <c r="C18" s="5" t="n"/>
      <c r="D18" s="5" t="n"/>
      <c r="E18" s="10">
        <f>IF(A18="","",A18&amp;"|"&amp;D18)</f>
        <v/>
      </c>
      <c r="F18" s="5" t="n"/>
      <c r="G18" s="5" t="n"/>
      <c r="H18" s="5" t="n"/>
      <c r="I18" s="5" t="n"/>
      <c r="J18" s="5" t="n"/>
      <c r="K18" s="5" t="n"/>
      <c r="L18" s="5" t="n"/>
      <c r="M18" s="5" t="n"/>
      <c r="N18" s="5" t="n"/>
      <c r="O18" s="5" t="n"/>
      <c r="P18" s="14">
        <f>IF(N18="","",IF(OR(M18="",O18=""),N18,(M18+4*N18+O18)/6))</f>
        <v/>
      </c>
      <c r="Q18" s="5" t="n"/>
      <c r="R18" s="5" t="n"/>
      <c r="S18" s="5" t="n"/>
      <c r="T18" s="5" t="n"/>
      <c r="U18" s="5" t="n"/>
      <c r="V18" s="15" t="n"/>
      <c r="W18" s="5" t="n"/>
      <c r="X18" s="5" t="n"/>
      <c r="Y18" s="5" t="n"/>
      <c r="Z18" s="5" t="n"/>
      <c r="AA18" s="5" t="n"/>
    </row>
    <row r="19">
      <c r="A19" s="5" t="n"/>
      <c r="B19" s="10" t="inlineStr">
        <is>
          <t>RM</t>
        </is>
      </c>
      <c r="C19" s="5" t="n"/>
      <c r="D19" s="5" t="n"/>
      <c r="E19" s="10">
        <f>IF(A19="","",A19&amp;"|"&amp;D19)</f>
        <v/>
      </c>
      <c r="F19" s="5" t="n"/>
      <c r="G19" s="5" t="n"/>
      <c r="H19" s="5" t="n"/>
      <c r="I19" s="5" t="n"/>
      <c r="J19" s="5" t="n"/>
      <c r="K19" s="5" t="n"/>
      <c r="L19" s="5" t="n"/>
      <c r="M19" s="5" t="n"/>
      <c r="N19" s="5" t="n"/>
      <c r="O19" s="5" t="n"/>
      <c r="P19" s="14">
        <f>IF(N19="","",IF(OR(M19="",O19=""),N19,(M19+4*N19+O19)/6))</f>
        <v/>
      </c>
      <c r="Q19" s="5" t="n"/>
      <c r="R19" s="5" t="n"/>
      <c r="S19" s="5" t="n"/>
      <c r="T19" s="5" t="n"/>
      <c r="U19" s="5" t="n"/>
      <c r="V19" s="15" t="n"/>
      <c r="W19" s="5" t="n"/>
      <c r="X19" s="5" t="n"/>
      <c r="Y19" s="5" t="n"/>
      <c r="Z19" s="5" t="n"/>
      <c r="AA19" s="5" t="n"/>
    </row>
    <row r="20">
      <c r="A20" s="5" t="n"/>
      <c r="B20" s="10" t="inlineStr">
        <is>
          <t>RM</t>
        </is>
      </c>
      <c r="C20" s="5" t="n"/>
      <c r="D20" s="5" t="n"/>
      <c r="E20" s="10">
        <f>IF(A20="","",A20&amp;"|"&amp;D20)</f>
        <v/>
      </c>
      <c r="F20" s="5" t="n"/>
      <c r="G20" s="5" t="n"/>
      <c r="H20" s="5" t="n"/>
      <c r="I20" s="5" t="n"/>
      <c r="J20" s="5" t="n"/>
      <c r="K20" s="5" t="n"/>
      <c r="L20" s="5" t="n"/>
      <c r="M20" s="5" t="n"/>
      <c r="N20" s="5" t="n"/>
      <c r="O20" s="5" t="n"/>
      <c r="P20" s="14">
        <f>IF(N20="","",IF(OR(M20="",O20=""),N20,(M20+4*N20+O20)/6))</f>
        <v/>
      </c>
      <c r="Q20" s="5" t="n"/>
      <c r="R20" s="5" t="n"/>
      <c r="S20" s="5" t="n"/>
      <c r="T20" s="5" t="n"/>
      <c r="U20" s="5" t="n"/>
      <c r="V20" s="15" t="n"/>
      <c r="W20" s="5" t="n"/>
      <c r="X20" s="5" t="n"/>
      <c r="Y20" s="5" t="n"/>
      <c r="Z20" s="5" t="n"/>
      <c r="AA20" s="5" t="n"/>
    </row>
    <row r="21">
      <c r="A21" s="5" t="n"/>
      <c r="B21" s="10" t="inlineStr">
        <is>
          <t>RM</t>
        </is>
      </c>
      <c r="C21" s="5" t="n"/>
      <c r="D21" s="5" t="n"/>
      <c r="E21" s="10">
        <f>IF(A21="","",A21&amp;"|"&amp;D21)</f>
        <v/>
      </c>
      <c r="F21" s="5" t="n"/>
      <c r="G21" s="5" t="n"/>
      <c r="H21" s="5" t="n"/>
      <c r="I21" s="5" t="n"/>
      <c r="J21" s="5" t="n"/>
      <c r="K21" s="5" t="n"/>
      <c r="L21" s="5" t="n"/>
      <c r="M21" s="5" t="n"/>
      <c r="N21" s="5" t="n"/>
      <c r="O21" s="5" t="n"/>
      <c r="P21" s="14">
        <f>IF(N21="","",IF(OR(M21="",O21=""),N21,(M21+4*N21+O21)/6))</f>
        <v/>
      </c>
      <c r="Q21" s="5" t="n"/>
      <c r="R21" s="5" t="n"/>
      <c r="S21" s="5" t="n"/>
      <c r="T21" s="5" t="n"/>
      <c r="U21" s="5" t="n"/>
      <c r="V21" s="15" t="n"/>
      <c r="W21" s="5" t="n"/>
      <c r="X21" s="5" t="n"/>
      <c r="Y21" s="5" t="n"/>
      <c r="Z21" s="5" t="n"/>
      <c r="AA21" s="5" t="n"/>
    </row>
    <row r="22">
      <c r="A22" s="5" t="n"/>
      <c r="B22" s="10" t="inlineStr">
        <is>
          <t>RM</t>
        </is>
      </c>
      <c r="C22" s="5" t="n"/>
      <c r="D22" s="5" t="n"/>
      <c r="E22" s="10">
        <f>IF(A22="","",A22&amp;"|"&amp;D22)</f>
        <v/>
      </c>
      <c r="F22" s="5" t="n"/>
      <c r="G22" s="5" t="n"/>
      <c r="H22" s="5" t="n"/>
      <c r="I22" s="5" t="n"/>
      <c r="J22" s="5" t="n"/>
      <c r="K22" s="5" t="n"/>
      <c r="L22" s="5" t="n"/>
      <c r="M22" s="5" t="n"/>
      <c r="N22" s="5" t="n"/>
      <c r="O22" s="5" t="n"/>
      <c r="P22" s="14">
        <f>IF(N22="","",IF(OR(M22="",O22=""),N22,(M22+4*N22+O22)/6))</f>
        <v/>
      </c>
      <c r="Q22" s="5" t="n"/>
      <c r="R22" s="5" t="n"/>
      <c r="S22" s="5" t="n"/>
      <c r="T22" s="5" t="n"/>
      <c r="U22" s="5" t="n"/>
      <c r="V22" s="15" t="n"/>
      <c r="W22" s="5" t="n"/>
      <c r="X22" s="5" t="n"/>
      <c r="Y22" s="5" t="n"/>
      <c r="Z22" s="5" t="n"/>
      <c r="AA22" s="5" t="n"/>
    </row>
    <row r="23">
      <c r="A23" s="5" t="n"/>
      <c r="B23" s="10" t="inlineStr">
        <is>
          <t>RM</t>
        </is>
      </c>
      <c r="C23" s="5" t="n"/>
      <c r="D23" s="5" t="n"/>
      <c r="E23" s="10">
        <f>IF(A23="","",A23&amp;"|"&amp;D23)</f>
        <v/>
      </c>
      <c r="F23" s="5" t="n"/>
      <c r="G23" s="5" t="n"/>
      <c r="H23" s="5" t="n"/>
      <c r="I23" s="5" t="n"/>
      <c r="J23" s="5" t="n"/>
      <c r="K23" s="5" t="n"/>
      <c r="L23" s="5" t="n"/>
      <c r="M23" s="5" t="n"/>
      <c r="N23" s="5" t="n"/>
      <c r="O23" s="5" t="n"/>
      <c r="P23" s="14">
        <f>IF(N23="","",IF(OR(M23="",O23=""),N23,(M23+4*N23+O23)/6))</f>
        <v/>
      </c>
      <c r="Q23" s="5" t="n"/>
      <c r="R23" s="5" t="n"/>
      <c r="S23" s="5" t="n"/>
      <c r="T23" s="5" t="n"/>
      <c r="U23" s="5" t="n"/>
      <c r="V23" s="15" t="n"/>
      <c r="W23" s="5" t="n"/>
      <c r="X23" s="5" t="n"/>
      <c r="Y23" s="5" t="n"/>
      <c r="Z23" s="5" t="n"/>
      <c r="AA23" s="5" t="n"/>
    </row>
    <row r="24">
      <c r="A24" s="5" t="n"/>
      <c r="B24" s="10" t="inlineStr">
        <is>
          <t>RM</t>
        </is>
      </c>
      <c r="C24" s="5" t="n"/>
      <c r="D24" s="5" t="n"/>
      <c r="E24" s="10">
        <f>IF(A24="","",A24&amp;"|"&amp;D24)</f>
        <v/>
      </c>
      <c r="F24" s="5" t="n"/>
      <c r="G24" s="5" t="n"/>
      <c r="H24" s="5" t="n"/>
      <c r="I24" s="5" t="n"/>
      <c r="J24" s="5" t="n"/>
      <c r="K24" s="5" t="n"/>
      <c r="L24" s="5" t="n"/>
      <c r="M24" s="5" t="n"/>
      <c r="N24" s="5" t="n"/>
      <c r="O24" s="5" t="n"/>
      <c r="P24" s="14">
        <f>IF(N24="","",IF(OR(M24="",O24=""),N24,(M24+4*N24+O24)/6))</f>
        <v/>
      </c>
      <c r="Q24" s="5" t="n"/>
      <c r="R24" s="5" t="n"/>
      <c r="S24" s="5" t="n"/>
      <c r="T24" s="5" t="n"/>
      <c r="U24" s="5" t="n"/>
      <c r="V24" s="15" t="n"/>
      <c r="W24" s="5" t="n"/>
      <c r="X24" s="5" t="n"/>
      <c r="Y24" s="5" t="n"/>
      <c r="Z24" s="5" t="n"/>
      <c r="AA24" s="5" t="n"/>
    </row>
    <row r="25">
      <c r="A25" s="5" t="n"/>
      <c r="B25" s="10" t="inlineStr">
        <is>
          <t>RM</t>
        </is>
      </c>
      <c r="C25" s="5" t="n"/>
      <c r="D25" s="5" t="n"/>
      <c r="E25" s="10">
        <f>IF(A25="","",A25&amp;"|"&amp;D25)</f>
        <v/>
      </c>
      <c r="F25" s="5" t="n"/>
      <c r="G25" s="5" t="n"/>
      <c r="H25" s="5" t="n"/>
      <c r="I25" s="5" t="n"/>
      <c r="J25" s="5" t="n"/>
      <c r="K25" s="5" t="n"/>
      <c r="L25" s="5" t="n"/>
      <c r="M25" s="5" t="n"/>
      <c r="N25" s="5" t="n"/>
      <c r="O25" s="5" t="n"/>
      <c r="P25" s="14">
        <f>IF(N25="","",IF(OR(M25="",O25=""),N25,(M25+4*N25+O25)/6))</f>
        <v/>
      </c>
      <c r="Q25" s="5" t="n"/>
      <c r="R25" s="5" t="n"/>
      <c r="S25" s="5" t="n"/>
      <c r="T25" s="5" t="n"/>
      <c r="U25" s="5" t="n"/>
      <c r="V25" s="15" t="n"/>
      <c r="W25" s="5" t="n"/>
      <c r="X25" s="5" t="n"/>
      <c r="Y25" s="5" t="n"/>
      <c r="Z25" s="5" t="n"/>
      <c r="AA25" s="5" t="n"/>
    </row>
    <row r="26">
      <c r="A26" s="5" t="n"/>
      <c r="B26" s="10" t="inlineStr">
        <is>
          <t>RM</t>
        </is>
      </c>
      <c r="C26" s="5" t="n"/>
      <c r="D26" s="5" t="n"/>
      <c r="E26" s="10">
        <f>IF(A26="","",A26&amp;"|"&amp;D26)</f>
        <v/>
      </c>
      <c r="F26" s="5" t="n"/>
      <c r="G26" s="5" t="n"/>
      <c r="H26" s="5" t="n"/>
      <c r="I26" s="5" t="n"/>
      <c r="J26" s="5" t="n"/>
      <c r="K26" s="5" t="n"/>
      <c r="L26" s="5" t="n"/>
      <c r="M26" s="5" t="n"/>
      <c r="N26" s="5" t="n"/>
      <c r="O26" s="5" t="n"/>
      <c r="P26" s="14">
        <f>IF(N26="","",IF(OR(M26="",O26=""),N26,(M26+4*N26+O26)/6))</f>
        <v/>
      </c>
      <c r="Q26" s="5" t="n"/>
      <c r="R26" s="5" t="n"/>
      <c r="S26" s="5" t="n"/>
      <c r="T26" s="5" t="n"/>
      <c r="U26" s="5" t="n"/>
      <c r="V26" s="15" t="n"/>
      <c r="W26" s="5" t="n"/>
      <c r="X26" s="5" t="n"/>
      <c r="Y26" s="5" t="n"/>
      <c r="Z26" s="5" t="n"/>
      <c r="AA26" s="5" t="n"/>
    </row>
    <row r="27">
      <c r="A27" s="5" t="n"/>
      <c r="B27" s="10" t="inlineStr">
        <is>
          <t>RM</t>
        </is>
      </c>
      <c r="C27" s="5" t="n"/>
      <c r="D27" s="5" t="n"/>
      <c r="E27" s="10">
        <f>IF(A27="","",A27&amp;"|"&amp;D27)</f>
        <v/>
      </c>
      <c r="F27" s="5" t="n"/>
      <c r="G27" s="5" t="n"/>
      <c r="H27" s="5" t="n"/>
      <c r="I27" s="5" t="n"/>
      <c r="J27" s="5" t="n"/>
      <c r="K27" s="5" t="n"/>
      <c r="L27" s="5" t="n"/>
      <c r="M27" s="5" t="n"/>
      <c r="N27" s="5" t="n"/>
      <c r="O27" s="5" t="n"/>
      <c r="P27" s="14">
        <f>IF(N27="","",IF(OR(M27="",O27=""),N27,(M27+4*N27+O27)/6))</f>
        <v/>
      </c>
      <c r="Q27" s="5" t="n"/>
      <c r="R27" s="5" t="n"/>
      <c r="S27" s="5" t="n"/>
      <c r="T27" s="5" t="n"/>
      <c r="U27" s="5" t="n"/>
      <c r="V27" s="15" t="n"/>
      <c r="W27" s="5" t="n"/>
      <c r="X27" s="5" t="n"/>
      <c r="Y27" s="5" t="n"/>
      <c r="Z27" s="5" t="n"/>
      <c r="AA27" s="5" t="n"/>
    </row>
    <row r="28">
      <c r="A28" s="5" t="n"/>
      <c r="B28" s="10" t="inlineStr">
        <is>
          <t>RM</t>
        </is>
      </c>
      <c r="C28" s="5" t="n"/>
      <c r="D28" s="5" t="n"/>
      <c r="E28" s="10">
        <f>IF(A28="","",A28&amp;"|"&amp;D28)</f>
        <v/>
      </c>
      <c r="F28" s="5" t="n"/>
      <c r="G28" s="5" t="n"/>
      <c r="H28" s="5" t="n"/>
      <c r="I28" s="5" t="n"/>
      <c r="J28" s="5" t="n"/>
      <c r="K28" s="5" t="n"/>
      <c r="L28" s="5" t="n"/>
      <c r="M28" s="5" t="n"/>
      <c r="N28" s="5" t="n"/>
      <c r="O28" s="5" t="n"/>
      <c r="P28" s="14">
        <f>IF(N28="","",IF(OR(M28="",O28=""),N28,(M28+4*N28+O28)/6))</f>
        <v/>
      </c>
      <c r="Q28" s="5" t="n"/>
      <c r="R28" s="5" t="n"/>
      <c r="S28" s="5" t="n"/>
      <c r="T28" s="5" t="n"/>
      <c r="U28" s="5" t="n"/>
      <c r="V28" s="15" t="n"/>
      <c r="W28" s="5" t="n"/>
      <c r="X28" s="5" t="n"/>
      <c r="Y28" s="5" t="n"/>
      <c r="Z28" s="5" t="n"/>
      <c r="AA28" s="5" t="n"/>
    </row>
    <row r="29">
      <c r="A29" s="5" t="n"/>
      <c r="B29" s="10" t="inlineStr">
        <is>
          <t>RM</t>
        </is>
      </c>
      <c r="C29" s="5" t="n"/>
      <c r="D29" s="5" t="n"/>
      <c r="E29" s="10">
        <f>IF(A29="","",A29&amp;"|"&amp;D29)</f>
        <v/>
      </c>
      <c r="F29" s="5" t="n"/>
      <c r="G29" s="5" t="n"/>
      <c r="H29" s="5" t="n"/>
      <c r="I29" s="5" t="n"/>
      <c r="J29" s="5" t="n"/>
      <c r="K29" s="5" t="n"/>
      <c r="L29" s="5" t="n"/>
      <c r="M29" s="5" t="n"/>
      <c r="N29" s="5" t="n"/>
      <c r="O29" s="5" t="n"/>
      <c r="P29" s="14">
        <f>IF(N29="","",IF(OR(M29="",O29=""),N29,(M29+4*N29+O29)/6))</f>
        <v/>
      </c>
      <c r="Q29" s="5" t="n"/>
      <c r="R29" s="5" t="n"/>
      <c r="S29" s="5" t="n"/>
      <c r="T29" s="5" t="n"/>
      <c r="U29" s="5" t="n"/>
      <c r="V29" s="15" t="n"/>
      <c r="W29" s="5" t="n"/>
      <c r="X29" s="5" t="n"/>
      <c r="Y29" s="5" t="n"/>
      <c r="Z29" s="5" t="n"/>
      <c r="AA29" s="5" t="n"/>
    </row>
    <row r="30">
      <c r="A30" s="5" t="n"/>
      <c r="B30" s="10" t="inlineStr">
        <is>
          <t>RM</t>
        </is>
      </c>
      <c r="C30" s="5" t="n"/>
      <c r="D30" s="5" t="n"/>
      <c r="E30" s="10">
        <f>IF(A30="","",A30&amp;"|"&amp;D30)</f>
        <v/>
      </c>
      <c r="F30" s="5" t="n"/>
      <c r="G30" s="5" t="n"/>
      <c r="H30" s="5" t="n"/>
      <c r="I30" s="5" t="n"/>
      <c r="J30" s="5" t="n"/>
      <c r="K30" s="5" t="n"/>
      <c r="L30" s="5" t="n"/>
      <c r="M30" s="5" t="n"/>
      <c r="N30" s="5" t="n"/>
      <c r="O30" s="5" t="n"/>
      <c r="P30" s="14">
        <f>IF(N30="","",IF(OR(M30="",O30=""),N30,(M30+4*N30+O30)/6))</f>
        <v/>
      </c>
      <c r="Q30" s="5" t="n"/>
      <c r="R30" s="5" t="n"/>
      <c r="S30" s="5" t="n"/>
      <c r="T30" s="5" t="n"/>
      <c r="U30" s="5" t="n"/>
      <c r="V30" s="15" t="n"/>
      <c r="W30" s="5" t="n"/>
      <c r="X30" s="5" t="n"/>
      <c r="Y30" s="5" t="n"/>
      <c r="Z30" s="5" t="n"/>
      <c r="AA30" s="5" t="n"/>
    </row>
    <row r="31">
      <c r="A31" s="5" t="n"/>
      <c r="B31" s="10" t="inlineStr">
        <is>
          <t>RM</t>
        </is>
      </c>
      <c r="C31" s="5" t="n"/>
      <c r="D31" s="5" t="n"/>
      <c r="E31" s="10">
        <f>IF(A31="","",A31&amp;"|"&amp;D31)</f>
        <v/>
      </c>
      <c r="F31" s="5" t="n"/>
      <c r="G31" s="5" t="n"/>
      <c r="H31" s="5" t="n"/>
      <c r="I31" s="5" t="n"/>
      <c r="J31" s="5" t="n"/>
      <c r="K31" s="5" t="n"/>
      <c r="L31" s="5" t="n"/>
      <c r="M31" s="5" t="n"/>
      <c r="N31" s="5" t="n"/>
      <c r="O31" s="5" t="n"/>
      <c r="P31" s="14">
        <f>IF(N31="","",IF(OR(M31="",O31=""),N31,(M31+4*N31+O31)/6))</f>
        <v/>
      </c>
      <c r="Q31" s="5" t="n"/>
      <c r="R31" s="5" t="n"/>
      <c r="S31" s="5" t="n"/>
      <c r="T31" s="5" t="n"/>
      <c r="U31" s="5" t="n"/>
      <c r="V31" s="15" t="n"/>
      <c r="W31" s="5" t="n"/>
      <c r="X31" s="5" t="n"/>
      <c r="Y31" s="5" t="n"/>
      <c r="Z31" s="5" t="n"/>
      <c r="AA31" s="5" t="n"/>
    </row>
    <row r="32">
      <c r="A32" s="5" t="n"/>
      <c r="B32" s="10" t="inlineStr">
        <is>
          <t>RM</t>
        </is>
      </c>
      <c r="C32" s="5" t="n"/>
      <c r="D32" s="5" t="n"/>
      <c r="E32" s="10">
        <f>IF(A32="","",A32&amp;"|"&amp;D32)</f>
        <v/>
      </c>
      <c r="F32" s="5" t="n"/>
      <c r="G32" s="5" t="n"/>
      <c r="H32" s="5" t="n"/>
      <c r="I32" s="5" t="n"/>
      <c r="J32" s="5" t="n"/>
      <c r="K32" s="5" t="n"/>
      <c r="L32" s="5" t="n"/>
      <c r="M32" s="5" t="n"/>
      <c r="N32" s="5" t="n"/>
      <c r="O32" s="5" t="n"/>
      <c r="P32" s="14">
        <f>IF(N32="","",IF(OR(M32="",O32=""),N32,(M32+4*N32+O32)/6))</f>
        <v/>
      </c>
      <c r="Q32" s="5" t="n"/>
      <c r="R32" s="5" t="n"/>
      <c r="S32" s="5" t="n"/>
      <c r="T32" s="5" t="n"/>
      <c r="U32" s="5" t="n"/>
      <c r="V32" s="15" t="n"/>
      <c r="W32" s="5" t="n"/>
      <c r="X32" s="5" t="n"/>
      <c r="Y32" s="5" t="n"/>
      <c r="Z32" s="5" t="n"/>
      <c r="AA32" s="5" t="n"/>
    </row>
    <row r="33">
      <c r="A33" s="5" t="n"/>
      <c r="B33" s="10" t="inlineStr">
        <is>
          <t>RM</t>
        </is>
      </c>
      <c r="C33" s="5" t="n"/>
      <c r="D33" s="5" t="n"/>
      <c r="E33" s="10">
        <f>IF(A33="","",A33&amp;"|"&amp;D33)</f>
        <v/>
      </c>
      <c r="F33" s="5" t="n"/>
      <c r="G33" s="5" t="n"/>
      <c r="H33" s="5" t="n"/>
      <c r="I33" s="5" t="n"/>
      <c r="J33" s="5" t="n"/>
      <c r="K33" s="5" t="n"/>
      <c r="L33" s="5" t="n"/>
      <c r="M33" s="5" t="n"/>
      <c r="N33" s="5" t="n"/>
      <c r="O33" s="5" t="n"/>
      <c r="P33" s="14">
        <f>IF(N33="","",IF(OR(M33="",O33=""),N33,(M33+4*N33+O33)/6))</f>
        <v/>
      </c>
      <c r="Q33" s="5" t="n"/>
      <c r="R33" s="5" t="n"/>
      <c r="S33" s="5" t="n"/>
      <c r="T33" s="5" t="n"/>
      <c r="U33" s="5" t="n"/>
      <c r="V33" s="15" t="n"/>
      <c r="W33" s="5" t="n"/>
      <c r="X33" s="5" t="n"/>
      <c r="Y33" s="5" t="n"/>
      <c r="Z33" s="5" t="n"/>
      <c r="AA33" s="5" t="n"/>
    </row>
    <row r="34">
      <c r="A34" s="5" t="n"/>
      <c r="B34" s="10" t="inlineStr">
        <is>
          <t>RM</t>
        </is>
      </c>
      <c r="C34" s="5" t="n"/>
      <c r="D34" s="5" t="n"/>
      <c r="E34" s="10">
        <f>IF(A34="","",A34&amp;"|"&amp;D34)</f>
        <v/>
      </c>
      <c r="F34" s="5" t="n"/>
      <c r="G34" s="5" t="n"/>
      <c r="H34" s="5" t="n"/>
      <c r="I34" s="5" t="n"/>
      <c r="J34" s="5" t="n"/>
      <c r="K34" s="5" t="n"/>
      <c r="L34" s="5" t="n"/>
      <c r="M34" s="5" t="n"/>
      <c r="N34" s="5" t="n"/>
      <c r="O34" s="5" t="n"/>
      <c r="P34" s="14">
        <f>IF(N34="","",IF(OR(M34="",O34=""),N34,(M34+4*N34+O34)/6))</f>
        <v/>
      </c>
      <c r="Q34" s="5" t="n"/>
      <c r="R34" s="5" t="n"/>
      <c r="S34" s="5" t="n"/>
      <c r="T34" s="5" t="n"/>
      <c r="U34" s="5" t="n"/>
      <c r="V34" s="15" t="n"/>
      <c r="W34" s="5" t="n"/>
      <c r="X34" s="5" t="n"/>
      <c r="Y34" s="5" t="n"/>
      <c r="Z34" s="5" t="n"/>
      <c r="AA34" s="5" t="n"/>
    </row>
    <row r="35">
      <c r="A35" s="5" t="n"/>
      <c r="B35" s="10" t="inlineStr">
        <is>
          <t>RM</t>
        </is>
      </c>
      <c r="C35" s="5" t="n"/>
      <c r="D35" s="5" t="n"/>
      <c r="E35" s="10">
        <f>IF(A35="","",A35&amp;"|"&amp;D35)</f>
        <v/>
      </c>
      <c r="F35" s="5" t="n"/>
      <c r="G35" s="5" t="n"/>
      <c r="H35" s="5" t="n"/>
      <c r="I35" s="5" t="n"/>
      <c r="J35" s="5" t="n"/>
      <c r="K35" s="5" t="n"/>
      <c r="L35" s="5" t="n"/>
      <c r="M35" s="5" t="n"/>
      <c r="N35" s="5" t="n"/>
      <c r="O35" s="5" t="n"/>
      <c r="P35" s="14">
        <f>IF(N35="","",IF(OR(M35="",O35=""),N35,(M35+4*N35+O35)/6))</f>
        <v/>
      </c>
      <c r="Q35" s="5" t="n"/>
      <c r="R35" s="5" t="n"/>
      <c r="S35" s="5" t="n"/>
      <c r="T35" s="5" t="n"/>
      <c r="U35" s="5" t="n"/>
      <c r="V35" s="15" t="n"/>
      <c r="W35" s="5" t="n"/>
      <c r="X35" s="5" t="n"/>
      <c r="Y35" s="5" t="n"/>
      <c r="Z35" s="5" t="n"/>
      <c r="AA35" s="5" t="n"/>
    </row>
    <row r="36">
      <c r="A36" s="5" t="n"/>
      <c r="B36" s="10" t="inlineStr">
        <is>
          <t>RM</t>
        </is>
      </c>
      <c r="C36" s="5" t="n"/>
      <c r="D36" s="5" t="n"/>
      <c r="E36" s="10">
        <f>IF(A36="","",A36&amp;"|"&amp;D36)</f>
        <v/>
      </c>
      <c r="F36" s="5" t="n"/>
      <c r="G36" s="5" t="n"/>
      <c r="H36" s="5" t="n"/>
      <c r="I36" s="5" t="n"/>
      <c r="J36" s="5" t="n"/>
      <c r="K36" s="5" t="n"/>
      <c r="L36" s="5" t="n"/>
      <c r="M36" s="5" t="n"/>
      <c r="N36" s="5" t="n"/>
      <c r="O36" s="5" t="n"/>
      <c r="P36" s="14">
        <f>IF(N36="","",IF(OR(M36="",O36=""),N36,(M36+4*N36+O36)/6))</f>
        <v/>
      </c>
      <c r="Q36" s="5" t="n"/>
      <c r="R36" s="5" t="n"/>
      <c r="S36" s="5" t="n"/>
      <c r="T36" s="5" t="n"/>
      <c r="U36" s="5" t="n"/>
      <c r="V36" s="15" t="n"/>
      <c r="W36" s="5" t="n"/>
      <c r="X36" s="5" t="n"/>
      <c r="Y36" s="5" t="n"/>
      <c r="Z36" s="5" t="n"/>
      <c r="AA36" s="5" t="n"/>
    </row>
    <row r="37">
      <c r="A37" s="5" t="n"/>
      <c r="B37" s="10" t="inlineStr">
        <is>
          <t>RM</t>
        </is>
      </c>
      <c r="C37" s="5" t="n"/>
      <c r="D37" s="5" t="n"/>
      <c r="E37" s="10">
        <f>IF(A37="","",A37&amp;"|"&amp;D37)</f>
        <v/>
      </c>
      <c r="F37" s="5" t="n"/>
      <c r="G37" s="5" t="n"/>
      <c r="H37" s="5" t="n"/>
      <c r="I37" s="5" t="n"/>
      <c r="J37" s="5" t="n"/>
      <c r="K37" s="5" t="n"/>
      <c r="L37" s="5" t="n"/>
      <c r="M37" s="5" t="n"/>
      <c r="N37" s="5" t="n"/>
      <c r="O37" s="5" t="n"/>
      <c r="P37" s="14">
        <f>IF(N37="","",IF(OR(M37="",O37=""),N37,(M37+4*N37+O37)/6))</f>
        <v/>
      </c>
      <c r="Q37" s="5" t="n"/>
      <c r="R37" s="5" t="n"/>
      <c r="S37" s="5" t="n"/>
      <c r="T37" s="5" t="n"/>
      <c r="U37" s="5" t="n"/>
      <c r="V37" s="15" t="n"/>
      <c r="W37" s="5" t="n"/>
      <c r="X37" s="5" t="n"/>
      <c r="Y37" s="5" t="n"/>
      <c r="Z37" s="5" t="n"/>
      <c r="AA37" s="5" t="n"/>
    </row>
    <row r="38">
      <c r="A38" s="5" t="n"/>
      <c r="B38" s="10" t="inlineStr">
        <is>
          <t>RM</t>
        </is>
      </c>
      <c r="C38" s="5" t="n"/>
      <c r="D38" s="5" t="n"/>
      <c r="E38" s="10">
        <f>IF(A38="","",A38&amp;"|"&amp;D38)</f>
        <v/>
      </c>
      <c r="F38" s="5" t="n"/>
      <c r="G38" s="5" t="n"/>
      <c r="H38" s="5" t="n"/>
      <c r="I38" s="5" t="n"/>
      <c r="J38" s="5" t="n"/>
      <c r="K38" s="5" t="n"/>
      <c r="L38" s="5" t="n"/>
      <c r="M38" s="5" t="n"/>
      <c r="N38" s="5" t="n"/>
      <c r="O38" s="5" t="n"/>
      <c r="P38" s="14">
        <f>IF(N38="","",IF(OR(M38="",O38=""),N38,(M38+4*N38+O38)/6))</f>
        <v/>
      </c>
      <c r="Q38" s="5" t="n"/>
      <c r="R38" s="5" t="n"/>
      <c r="S38" s="5" t="n"/>
      <c r="T38" s="5" t="n"/>
      <c r="U38" s="5" t="n"/>
      <c r="V38" s="15" t="n"/>
      <c r="W38" s="5" t="n"/>
      <c r="X38" s="5" t="n"/>
      <c r="Y38" s="5" t="n"/>
      <c r="Z38" s="5" t="n"/>
      <c r="AA38" s="5" t="n"/>
    </row>
    <row r="39">
      <c r="A39" s="5" t="n"/>
      <c r="B39" s="10" t="inlineStr">
        <is>
          <t>RM</t>
        </is>
      </c>
      <c r="C39" s="5" t="n"/>
      <c r="D39" s="5" t="n"/>
      <c r="E39" s="10">
        <f>IF(A39="","",A39&amp;"|"&amp;D39)</f>
        <v/>
      </c>
      <c r="F39" s="5" t="n"/>
      <c r="G39" s="5" t="n"/>
      <c r="H39" s="5" t="n"/>
      <c r="I39" s="5" t="n"/>
      <c r="J39" s="5" t="n"/>
      <c r="K39" s="5" t="n"/>
      <c r="L39" s="5" t="n"/>
      <c r="M39" s="5" t="n"/>
      <c r="N39" s="5" t="n"/>
      <c r="O39" s="5" t="n"/>
      <c r="P39" s="14">
        <f>IF(N39="","",IF(OR(M39="",O39=""),N39,(M39+4*N39+O39)/6))</f>
        <v/>
      </c>
      <c r="Q39" s="5" t="n"/>
      <c r="R39" s="5" t="n"/>
      <c r="S39" s="5" t="n"/>
      <c r="T39" s="5" t="n"/>
      <c r="U39" s="5" t="n"/>
      <c r="V39" s="15" t="n"/>
      <c r="W39" s="5" t="n"/>
      <c r="X39" s="5" t="n"/>
      <c r="Y39" s="5" t="n"/>
      <c r="Z39" s="5" t="n"/>
      <c r="AA39" s="5" t="n"/>
    </row>
    <row r="40">
      <c r="A40" s="5" t="n"/>
      <c r="B40" s="10" t="inlineStr">
        <is>
          <t>RM</t>
        </is>
      </c>
      <c r="C40" s="5" t="n"/>
      <c r="D40" s="5" t="n"/>
      <c r="E40" s="10">
        <f>IF(A40="","",A40&amp;"|"&amp;D40)</f>
        <v/>
      </c>
      <c r="F40" s="5" t="n"/>
      <c r="G40" s="5" t="n"/>
      <c r="H40" s="5" t="n"/>
      <c r="I40" s="5" t="n"/>
      <c r="J40" s="5" t="n"/>
      <c r="K40" s="5" t="n"/>
      <c r="L40" s="5" t="n"/>
      <c r="M40" s="5" t="n"/>
      <c r="N40" s="5" t="n"/>
      <c r="O40" s="5" t="n"/>
      <c r="P40" s="14">
        <f>IF(N40="","",IF(OR(M40="",O40=""),N40,(M40+4*N40+O40)/6))</f>
        <v/>
      </c>
      <c r="Q40" s="5" t="n"/>
      <c r="R40" s="5" t="n"/>
      <c r="S40" s="5" t="n"/>
      <c r="T40" s="5" t="n"/>
      <c r="U40" s="5" t="n"/>
      <c r="V40" s="15" t="n"/>
      <c r="W40" s="5" t="n"/>
      <c r="X40" s="5" t="n"/>
      <c r="Y40" s="5" t="n"/>
      <c r="Z40" s="5" t="n"/>
      <c r="AA40" s="5" t="n"/>
    </row>
    <row r="41">
      <c r="A41" s="5" t="n"/>
      <c r="B41" s="10" t="inlineStr">
        <is>
          <t>RM</t>
        </is>
      </c>
      <c r="C41" s="5" t="n"/>
      <c r="D41" s="5" t="n"/>
      <c r="E41" s="10">
        <f>IF(A41="","",A41&amp;"|"&amp;D41)</f>
        <v/>
      </c>
      <c r="F41" s="5" t="n"/>
      <c r="G41" s="5" t="n"/>
      <c r="H41" s="5" t="n"/>
      <c r="I41" s="5" t="n"/>
      <c r="J41" s="5" t="n"/>
      <c r="K41" s="5" t="n"/>
      <c r="L41" s="5" t="n"/>
      <c r="M41" s="5" t="n"/>
      <c r="N41" s="5" t="n"/>
      <c r="O41" s="5" t="n"/>
      <c r="P41" s="14">
        <f>IF(N41="","",IF(OR(M41="",O41=""),N41,(M41+4*N41+O41)/6))</f>
        <v/>
      </c>
      <c r="Q41" s="5" t="n"/>
      <c r="R41" s="5" t="n"/>
      <c r="S41" s="5" t="n"/>
      <c r="T41" s="5" t="n"/>
      <c r="U41" s="5" t="n"/>
      <c r="V41" s="15" t="n"/>
      <c r="W41" s="5" t="n"/>
      <c r="X41" s="5" t="n"/>
      <c r="Y41" s="5" t="n"/>
      <c r="Z41" s="5" t="n"/>
      <c r="AA41" s="5" t="n"/>
    </row>
  </sheetData>
  <autoFilter ref="A1:AA41"/>
  <conditionalFormatting sqref="A2:AA241">
    <cfRule type="expression" priority="1" dxfId="0" stopIfTrue="0">
      <formula>OR($F2="N",$AA2="Y")</formula>
    </cfRule>
  </conditionalFormatting>
  <dataValidations count="7">
    <dataValidation sqref="F2:F241" showDropDown="0" showInputMessage="0" showErrorMessage="0" allowBlank="1" type="list">
      <formula1>"Y,N"</formula1>
    </dataValidation>
    <dataValidation sqref="G2:G241" showDropDown="0" showInputMessage="0" showErrorMessage="0" allowBlank="1" type="list">
      <formula1>"HPLC,GC,UV-Vis,AAS / ICP,KF titrator,Other / bench,None"</formula1>
    </dataValidation>
    <dataValidation sqref="H2:H241" showDropDown="0" showInputMessage="0" showErrorMessage="0" allowBlank="1" type="list">
      <formula1>"Low,Medium,High"</formula1>
    </dataValidation>
    <dataValidation sqref="W2:W241" showDropDown="0" showInputMessage="0" showErrorMessage="0" allowBlank="1" type="list">
      <formula1>"Y,N"</formula1>
    </dataValidation>
    <dataValidation sqref="Y2:Y241" showDropDown="0" showInputMessage="0" showErrorMessage="0" allowBlank="1" type="list">
      <formula1>"High,Medium,Low"</formula1>
    </dataValidation>
    <dataValidation sqref="AA2:AA241" showDropDown="0" showInputMessage="0" showErrorMessage="0" allowBlank="1" type="list">
      <formula1>"Y,N"</formula1>
    </dataValidation>
    <dataValidation sqref="A2:A241" showDropDown="0" showInputMessage="0" showErrorMessage="0" allowBlank="1" type="list">
      <formula1>Materials!$A$2:$A$1000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2026-10-19T03:19:28Z</dcterms:created>
  <dcterms:modified xmlns:dcterms="http://purl.org/dc/terms/" xmlns:xsi="http://www.w3.org/2001/XMLSchema-instance" xsi:type="dcterms:W3CDTF">2026-10-19T03:19:31Z</dcterms:modified>
</cp:coreProperties>
</file>
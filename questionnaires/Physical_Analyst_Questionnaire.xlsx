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uide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Volumes" sheetId="4" state="visible" r:id="rId4"/>
    <sheet xmlns:r="http://schemas.openxmlformats.org/officeDocument/2006/relationships" name="Test catalog" sheetId="5" state="visible" r:id="rId5"/>
    <sheet xmlns:r="http://schemas.openxmlformats.org/officeDocument/2006/relationships" name="Test times" sheetId="6" state="visible" r:id="rId6"/>
    <sheet xmlns:r="http://schemas.openxmlformats.org/officeDocument/2006/relationships" name="Extra tests" sheetId="7" state="visible" r:id="rId7"/>
  </sheets>
  <definedNames>
    <definedName name="_xlnm._FilterDatabase" localSheetId="3" hidden="1">'Volumes'!$A$1:$O$118</definedName>
    <definedName name="_xlnm._FilterDatabase" localSheetId="4" hidden="1">'Test catalog'!$A$1:$P$11</definedName>
    <definedName name="_xlnm._FilterDatabase" localSheetId="5" hidden="1">'Test times'!$A$1:$AB$481</definedName>
    <definedName name="_xlnm._FilterDatabase" localSheetId="6" hidden="1">'Extra tests'!$A$1:$AA$41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4" fillId="3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4" borderId="0" pivotButton="0" quotePrefix="0" xfId="0"/>
    <xf numFmtId="0" fontId="0" fillId="4" borderId="0" pivotButton="0" quotePrefix="0" xfId="0"/>
    <xf numFmtId="0" fontId="4" fillId="3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9" fontId="0" fillId="2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color rgb="007F7F7F"/>
      </font>
      <fill>
        <patternFill patternType="solid">
          <fgColor rgb="00BFBFBF"/>
          <bgColor rgb="00BFBF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Physical Lab Analyst Questionnaire</t>
        </is>
      </c>
    </row>
    <row r="2">
      <c r="A2" s="2" t="inlineStr">
        <is>
          <t>Deliverable 2 - analyst edition. Part of the QC Laboratory Capacity, Staffing Gap and CAPEX Assessment.</t>
        </is>
      </c>
    </row>
    <row r="4">
      <c r="A4" s="3" t="inlineStr">
        <is>
          <t>Area</t>
        </is>
      </c>
      <c r="B4" s="4" t="inlineStr">
        <is>
          <t>QC Physical Laboratory - finished products (release, stability, in-process checks), plus any raw-material and packaging physical tests</t>
        </is>
      </c>
    </row>
    <row r="5">
      <c r="A5" s="3" t="inlineStr">
        <is>
          <t>Who fills it</t>
        </is>
      </c>
      <c r="B5" s="4" t="inlineStr">
        <is>
          <t>Each analyst who runs physical tests (2-3 people). Each person fills a separate copy.</t>
        </is>
      </c>
    </row>
    <row r="6">
      <c r="A6" s="3" t="inlineStr">
        <is>
          <t>Time needed</t>
        </is>
      </c>
      <c r="B6" s="4" t="inlineStr">
        <is>
          <t>About 1.5 hours: questions 20 min, test catalog 30 min, the rest on the tables.</t>
        </is>
      </c>
    </row>
    <row r="7">
      <c r="A7" s="3" t="inlineStr"/>
      <c r="B7" s="4" t="inlineStr"/>
    </row>
    <row r="8">
      <c r="A8" s="3" t="inlineStr">
        <is>
          <t>Sheet: Guide</t>
        </is>
      </c>
      <c r="B8" s="4" t="inlineStr">
        <is>
          <t>Rules, and what each column means.</t>
        </is>
      </c>
    </row>
    <row r="9">
      <c r="A9" s="3" t="inlineStr">
        <is>
          <t>Sheet: Questions</t>
        </is>
      </c>
      <c r="B9" s="4" t="inlineStr">
        <is>
          <t>Respondent profile, samples &amp; IPC, methods, workload.</t>
        </is>
      </c>
    </row>
    <row r="10">
      <c r="A10" s="3" t="inlineStr">
        <is>
          <t>Sheet: Volumes</t>
        </is>
      </c>
      <c r="B10" s="4" t="inlineStr">
        <is>
          <t>In-process checks per batch for each product (and release / stability numbers if you know them).</t>
        </is>
      </c>
    </row>
    <row r="11">
      <c r="A11" s="3" t="inlineStr">
        <is>
          <t>Sheet: Test catalog</t>
        </is>
      </c>
      <c r="B11" s="4" t="inlineStr">
        <is>
          <t>Time each physical test once (weight, diameter, thickness, hardness, brittleness, friability, disintegration ...).</t>
        </is>
      </c>
    </row>
    <row r="12">
      <c r="A12" s="3" t="inlineStr">
        <is>
          <t>Sheet: Test times</t>
        </is>
      </c>
      <c r="B12" s="4" t="inlineStr">
        <is>
          <t>One row per family x physical test: confirm Applicable (grey rows come from the catalog).</t>
        </is>
      </c>
    </row>
    <row r="13">
      <c r="A13" s="3" t="inlineStr">
        <is>
          <t>Sheet: Extra tests</t>
        </is>
      </c>
      <c r="B13" s="4" t="inlineStr">
        <is>
          <t>Tests missing from the list: raw-material (particle size, bulk / tapped density), packaging (dimensions, leak test), dissolution bath work ...</t>
        </is>
      </c>
    </row>
    <row r="14">
      <c r="A14" s="3" t="inlineStr"/>
      <c r="B14" s="4" t="inlineStr"/>
    </row>
    <row r="15">
      <c r="A15" s="3" t="inlineStr">
        <is>
          <t>How to fill</t>
        </is>
      </c>
      <c r="B15" s="4" t="inlineStr">
        <is>
          <t>Read the 'Guide' sheet first: rules, which sheets take new rows, and what every column means.</t>
        </is>
      </c>
    </row>
    <row r="16">
      <c r="A16" s="3" t="inlineStr">
        <is>
          <t>Data basis</t>
        </is>
      </c>
      <c r="B16" s="4" t="inlineStr">
        <is>
          <t>107 products in 64 method families; dosage forms: 96 Tablet, 7 Capsule, 2 Sachet, 1 Nasal spray, 1 not stated.</t>
        </is>
      </c>
    </row>
    <row r="17">
      <c r="A17" s="3" t="inlineStr">
        <is>
          <t>Data basis</t>
        </is>
      </c>
      <c r="B17" s="4" t="inlineStr">
        <is>
          <t>480 family x test rows; the 10 physical tests are timed once on 'Test catalog' and linked by dosage form.</t>
        </is>
      </c>
    </row>
    <row r="18">
      <c r="A18" s="3" t="inlineStr">
        <is>
          <t>Data basis</t>
        </is>
      </c>
      <c r="B18" s="4" t="inlineStr">
        <is>
          <t>No recorded physical test times exist yet, so all times are new estimates.</t>
        </is>
      </c>
    </row>
    <row r="19">
      <c r="A19" s="3" t="inlineStr"/>
      <c r="B19" s="4" t="inlineStr"/>
    </row>
    <row r="20">
      <c r="A20" s="3" t="inlineStr">
        <is>
          <t>Respondent</t>
        </is>
      </c>
      <c r="B20" s="5" t="n"/>
    </row>
    <row r="21">
      <c r="A21" s="3" t="inlineStr">
        <is>
          <t>Date</t>
        </is>
      </c>
      <c r="B21" s="5" t="n"/>
    </row>
    <row r="22">
      <c r="A22" s="3" t="inlineStr">
        <is>
          <t>Reviewed by (unit head)</t>
        </is>
      </c>
      <c r="B22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6" t="inlineStr">
        <is>
          <t>How to fill</t>
        </is>
      </c>
      <c r="B1" s="6" t="inlineStr"/>
    </row>
    <row r="2">
      <c r="A2" s="7" t="inlineStr">
        <is>
          <t>Colours</t>
        </is>
      </c>
      <c r="B2" s="8" t="inlineStr">
        <is>
          <t>Yellow = you type. Grey = pre-filled or automatic; type over a grey value only if it is wrong. Dark-grey row = Applicable = N or Outsourced = Y (outsourced rows still take the in-house Prep time).</t>
        </is>
      </c>
    </row>
    <row r="3">
      <c r="A3" s="7" t="inlineStr">
        <is>
          <t>Units</t>
        </is>
      </c>
      <c r="B3" s="8" t="inlineStr">
        <is>
          <t>Times in HOURS (0.25 = 15 min) per sample unless the header says per sequence.</t>
        </is>
      </c>
    </row>
    <row r="4">
      <c r="A4" s="7" t="inlineStr">
        <is>
          <t>Minimum effort</t>
        </is>
      </c>
      <c r="B4" s="8" t="inlineStr">
        <is>
          <t>Only 'Prep – MOST LIKELY' is required; MIN and MAX are optional. Blank = not known.</t>
        </is>
      </c>
    </row>
    <row r="5">
      <c r="A5" s="7" t="inlineStr">
        <is>
          <t>Outsourced tests</t>
        </is>
      </c>
      <c r="B5" s="8" t="inlineStr">
        <is>
          <t>Outsourced = Y. Enter only in-house time (sampling, sending, checking the report) as Prep; leave instrument times blank.</t>
        </is>
      </c>
    </row>
    <row r="6">
      <c r="A6" s="7" t="inlineStr">
        <is>
          <t>Columns</t>
        </is>
      </c>
      <c r="B6" s="8" t="inlineStr">
        <is>
          <t>Do not insert, delete or reorder columns - answers are collected by column position.</t>
        </is>
      </c>
    </row>
    <row r="7">
      <c r="A7" s="7" t="inlineStr">
        <is>
          <t>Adding rows</t>
        </is>
      </c>
      <c r="B7" s="8" t="inlineStr">
        <is>
          <t>Use the empty rows at the bottom of a sheet. If you need more: select the last empty row, Ctrl+C, right-click the row number below it, 'Insert Copied Cells' - colours, dropdowns and formulas come with it.</t>
        </is>
      </c>
    </row>
    <row r="8">
      <c r="A8" s="7" t="inlineStr">
        <is>
          <t>Hands-on vs instrument</t>
        </is>
      </c>
      <c r="B8" s="8" t="inlineStr">
        <is>
          <t>Analyst columns = hands-on time only. Unattended time (disintegration run, friabilator drum, dissolution bath) goes in 'Instrument run'.</t>
        </is>
      </c>
    </row>
    <row r="9">
      <c r="A9" s="7" t="inlineStr">
        <is>
          <t>Fill order</t>
        </is>
      </c>
      <c r="B9" s="8" t="inlineStr">
        <is>
          <t>1) Test catalog - each physical test is timed once and copied to every family that uses it. 2) Test times - confirm Applicable per family; type over a grey value only where one family differs. 3) Volumes (in-process checks), then Questions.</t>
        </is>
      </c>
    </row>
    <row r="10">
      <c r="A10" s="7" t="inlineStr">
        <is>
          <t>Catalog time</t>
        </is>
      </c>
      <c r="B10" s="8" t="inlineStr">
        <is>
          <t>One catalog row = the time of ONE test on ONE sample (e.g. one friability test). Every Test times row with that Catalog code gets it, so each row is counted once.</t>
        </is>
      </c>
    </row>
    <row r="11">
      <c r="A11" s="7" t="inlineStr">
        <is>
          <t>One test needs its own time</t>
        </is>
      </c>
      <c r="B11" s="8" t="inlineStr">
        <is>
          <t>e.g. Disintegration of film-coated tablets 40 min while the rest of DISINT stays 20: on Test catalog copy the DISINT row into a new row (Insert Copied Cells), give it a new Code (e.g. DIS_FC) and its own times; on Test times filter Test = Disintegration, pick the film-coated families and change Catalog code to DIS_FC. Those rows then follow the new row.</t>
        </is>
      </c>
    </row>
    <row r="12">
      <c r="A12" s="7" t="inlineStr">
        <is>
          <t>One family differs</t>
        </is>
      </c>
      <c r="B12" s="8" t="inlineStr">
        <is>
          <t>Type over that row's grey cells on Test times (e.g. disintegration of an enteric-coated tablet that takes much longer). That cell then stops following the catalog.</t>
        </is>
      </c>
    </row>
    <row r="13">
      <c r="A13" s="7" t="inlineStr">
        <is>
          <t>Missing / unused tests</t>
        </is>
      </c>
      <c r="B13" s="8" t="inlineStr">
        <is>
          <t>Unused test: Applicable = N (do not delete the row). Missing test: add it on 'Extra tests'.</t>
        </is>
      </c>
    </row>
    <row r="14">
      <c r="A14" s="7" t="inlineStr">
        <is>
          <t>Measured together</t>
        </is>
      </c>
      <c r="B14" s="8" t="inlineStr">
        <is>
          <t>If one tablet tester measures weight, thickness, diameter and hardness in one run, put the whole run on HARD and enter 0 on DIAM and THICK (and AVG_WT if it is part of the run), with 'measured with HARD' in Notes. Each minute is then counted once.</t>
        </is>
      </c>
    </row>
    <row r="15">
      <c r="A15" s="7" t="inlineStr">
        <is>
          <t>In-process checks</t>
        </is>
      </c>
      <c r="B15" s="8" t="inlineStr">
        <is>
          <t>The IPC row is ONE check at the machine: all tests in it, plus walking to the line. Checks per batch go on 'Volumes'.</t>
        </is>
      </c>
    </row>
    <row r="16">
      <c r="A16" s="7" t="inlineStr">
        <is>
          <t>Other labs</t>
        </is>
      </c>
      <c r="B16" s="8" t="inlineStr">
        <is>
          <t>Assay, dissolution finish (HPLC / UV), water content and pH are on the Chemical lab questionnaires; microbial tests on the Micro lab questionnaire. If the Physical lab runs the dissolution bath, add it on 'Extra tests'.</t>
        </is>
      </c>
    </row>
    <row r="17">
      <c r="A17" s="7" t="inlineStr">
        <is>
          <t>Volumes</t>
        </is>
      </c>
      <c r="B17" s="8" t="inlineStr">
        <is>
          <t>Release batches and stability samples are also asked on the FP questionnaire: fill them only if you know them. The in-process columns are what this sheet needs most.</t>
        </is>
      </c>
    </row>
    <row r="18">
      <c r="A18" s="7" t="inlineStr">
        <is>
          <t>Families</t>
        </is>
      </c>
      <c r="B18" s="8" t="inlineStr">
        <is>
          <t>A family = all strengths tested with the same methods. If one strength needs a different method, say so in Notes.</t>
        </is>
      </c>
    </row>
    <row r="20">
      <c r="A20" s="6" t="inlineStr">
        <is>
          <t>Sheet</t>
        </is>
      </c>
      <c r="B20" s="6" t="inlineStr">
        <is>
          <t>Use  ·  Can I add rows?</t>
        </is>
      </c>
    </row>
    <row r="21">
      <c r="A21" s="7" t="inlineStr">
        <is>
          <t>Overview</t>
        </is>
      </c>
      <c r="B21" s="8" t="inlineStr">
        <is>
          <t>Scope; your name and date.  ·  No.</t>
        </is>
      </c>
    </row>
    <row r="22">
      <c r="A22" s="7" t="inlineStr">
        <is>
          <t>Guide</t>
        </is>
      </c>
      <c r="B22" s="8" t="inlineStr">
        <is>
          <t>Rules, and what each column means.  ·  No.</t>
        </is>
      </c>
    </row>
    <row r="23">
      <c r="A23" s="7" t="inlineStr">
        <is>
          <t>Questions</t>
        </is>
      </c>
      <c r="B23" s="8" t="inlineStr">
        <is>
          <t>Respondent profile, samples &amp; IPC, methods, workload.  ·  No.</t>
        </is>
      </c>
    </row>
    <row r="24">
      <c r="A24" s="7" t="inlineStr">
        <is>
          <t>Volumes</t>
        </is>
      </c>
      <c r="B24" s="8" t="inlineStr">
        <is>
          <t>In-process checks per batch for each product (and release / stability numbers if you know them).  ·  Yes - 10 empty rows at the bottom for new products.</t>
        </is>
      </c>
    </row>
    <row r="25">
      <c r="A25" s="7" t="inlineStr">
        <is>
          <t>Test catalog</t>
        </is>
      </c>
      <c r="B25" s="8" t="inlineStr">
        <is>
          <t>Time each physical test once (weight, diameter, thickness, hardness, brittleness, friability, disintegration ...).  ·  Only to give one test its own time (see 'One test needs its own time' above); do not sort or delete rows.</t>
        </is>
      </c>
    </row>
    <row r="26">
      <c r="A26" s="7" t="inlineStr">
        <is>
          <t>Test times</t>
        </is>
      </c>
      <c r="B26" s="8" t="inlineStr">
        <is>
          <t>One row per family x physical test: confirm Applicable (grey rows come from the catalog).  ·  No - set Applicable = N instead of deleting; missing tests go on 'Extra tests'. Sorting and filtering are fine.</t>
        </is>
      </c>
    </row>
    <row r="27">
      <c r="A27" s="7" t="inlineStr">
        <is>
          <t>Extra tests</t>
        </is>
      </c>
      <c r="B27" s="8" t="inlineStr">
        <is>
          <t>Tests missing from the list: raw-material (particle size, bulk / tapped density), packaging (dimensions, leak test), dissolution bath work ...  ·  Yes - 40 empty rows; choose the Type (FP, RM, PM, IPC).</t>
        </is>
      </c>
    </row>
    <row r="29">
      <c r="A29" s="6" t="inlineStr">
        <is>
          <t>Questions - columns</t>
        </is>
      </c>
      <c r="B29" s="6" t="inlineStr">
        <is>
          <t>Meaning</t>
        </is>
      </c>
    </row>
    <row r="30">
      <c r="A30" s="7" t="inlineStr">
        <is>
          <t>A · #</t>
        </is>
      </c>
      <c r="B30" s="8" t="inlineStr">
        <is>
          <t>Question number.</t>
        </is>
      </c>
    </row>
    <row r="31">
      <c r="A31" s="7" t="inlineStr">
        <is>
          <t>B · Question</t>
        </is>
      </c>
      <c r="B31" s="8" t="inlineStr">
        <is>
          <t>The question.</t>
        </is>
      </c>
    </row>
    <row r="32">
      <c r="A32" s="7" t="inlineStr">
        <is>
          <t>C · Answer</t>
        </is>
      </c>
      <c r="B32" s="8" t="inlineStr">
        <is>
          <t>Your answer - short is fine.</t>
        </is>
      </c>
    </row>
    <row r="34">
      <c r="A34" s="6" t="inlineStr">
        <is>
          <t>Volumes - columns</t>
        </is>
      </c>
      <c r="B34" s="6" t="inlineStr">
        <is>
          <t>Meaning</t>
        </is>
      </c>
    </row>
    <row r="35">
      <c r="A35" s="7" t="inlineStr">
        <is>
          <t>A · Product</t>
        </is>
      </c>
      <c r="B35" s="8" t="inlineStr">
        <is>
          <t>Product name and strength.</t>
        </is>
      </c>
    </row>
    <row r="36">
      <c r="A36" s="7" t="inlineStr">
        <is>
          <t>B · Active(s) (from product formulas)</t>
        </is>
      </c>
      <c r="B36" s="8" t="inlineStr">
        <is>
          <t>Active ingredients.</t>
        </is>
      </c>
    </row>
    <row r="37">
      <c r="A37" s="7" t="inlineStr">
        <is>
          <t>C · # Actives</t>
        </is>
      </c>
      <c r="B37" s="8" t="inlineStr">
        <is>
          <t>Number of actives.</t>
        </is>
      </c>
    </row>
    <row r="38">
      <c r="A38" s="7" t="inlineStr">
        <is>
          <t>D · Dosage form (verify)</t>
        </is>
      </c>
      <c r="B38" s="8" t="inlineStr">
        <is>
          <t>Tablet, capsule, syrup ... - correct if wrong.</t>
        </is>
      </c>
    </row>
    <row r="39">
      <c r="A39" s="7" t="inlineStr">
        <is>
          <t>E · Family ID</t>
        </is>
      </c>
      <c r="B39" s="8" t="inlineStr">
        <is>
          <t>Method family: strengths tested with the same methods.</t>
        </is>
      </c>
    </row>
    <row r="40">
      <c r="A40" s="7" t="inlineStr">
        <is>
          <t>F · Release batches / yr (now)</t>
        </is>
      </c>
      <c r="B40" s="8" t="inlineStr">
        <is>
          <t>Release batches tested per year today.</t>
        </is>
      </c>
    </row>
    <row r="41">
      <c r="A41" s="7" t="inlineStr">
        <is>
          <t>G · Stability samples / yr (now)</t>
        </is>
      </c>
      <c r="B41" s="8" t="inlineStr">
        <is>
          <t>Stability samples tested per year today.</t>
        </is>
      </c>
    </row>
    <row r="42">
      <c r="A42" s="7" t="inlineStr">
        <is>
          <t>H · Status</t>
        </is>
      </c>
      <c r="B42" s="8" t="inlineStr">
        <is>
          <t>Where the name came from; 'Suggested - confirm' and 'Not on master list' rows need a check.</t>
        </is>
      </c>
    </row>
    <row r="43">
      <c r="A43" s="7" t="inlineStr">
        <is>
          <t>I · Release batches / yr (future, blank = growth %)</t>
        </is>
      </c>
      <c r="B43" s="8" t="inlineStr">
        <is>
          <t>Expected release batches per year in 2-3 years.</t>
        </is>
      </c>
    </row>
    <row r="44">
      <c r="A44" s="7" t="inlineStr">
        <is>
          <t>J · Stability samples / yr (future)</t>
        </is>
      </c>
      <c r="B44" s="8" t="inlineStr">
        <is>
          <t>Expected stability samples per year in 2-3 years.</t>
        </is>
      </c>
    </row>
    <row r="45">
      <c r="A45" s="9" t="inlineStr">
        <is>
          <t>K · Release used future (auto)</t>
        </is>
      </c>
      <c r="B45" s="10" t="inlineStr">
        <is>
          <t>Hidden, calculated in the study. Leave empty.</t>
        </is>
      </c>
    </row>
    <row r="46">
      <c r="A46" s="9" t="inlineStr">
        <is>
          <t>L · Stability used future (auto)</t>
        </is>
      </c>
      <c r="B46" s="10" t="inlineStr">
        <is>
          <t>Hidden, calculated in the study. Leave empty.</t>
        </is>
      </c>
    </row>
    <row r="47">
      <c r="A47" s="7" t="inlineStr">
        <is>
          <t>M · Notes</t>
        </is>
      </c>
      <c r="B47" s="8" t="inlineStr">
        <is>
          <t>Anything unusual.</t>
        </is>
      </c>
    </row>
    <row r="48">
      <c r="A48" s="7" t="inlineStr">
        <is>
          <t>N · IPC checks per batch (Physical lab)</t>
        </is>
      </c>
      <c r="B48" s="8" t="inlineStr">
        <is>
          <t>In-process checks per batch done by the Physical lab at the machine (0 = production does them all).</t>
        </is>
      </c>
    </row>
    <row r="49">
      <c r="A49" s="7" t="inlineStr">
        <is>
          <t>O · Units tested per IPC check</t>
        </is>
      </c>
      <c r="B49" s="8" t="inlineStr">
        <is>
          <t>Tablets / capsules / sachets tested in one in-process check.</t>
        </is>
      </c>
    </row>
    <row r="51">
      <c r="A51" s="6" t="inlineStr">
        <is>
          <t>Test catalog - columns</t>
        </is>
      </c>
      <c r="B51" s="6" t="inlineStr">
        <is>
          <t>Meaning</t>
        </is>
      </c>
    </row>
    <row r="52">
      <c r="A52" s="7" t="inlineStr">
        <is>
          <t>A · Code</t>
        </is>
      </c>
      <c r="B52" s="8" t="inlineStr">
        <is>
          <t>Short code of the general test; Test times rows find their times by this code.</t>
        </is>
      </c>
    </row>
    <row r="53">
      <c r="A53" s="7" t="inlineStr">
        <is>
          <t>B · Test</t>
        </is>
      </c>
      <c r="B53" s="8" t="inlineStr">
        <is>
          <t>Test name.</t>
        </is>
      </c>
    </row>
    <row r="54">
      <c r="A54" s="7" t="inlineStr">
        <is>
          <t>C · Instrument</t>
        </is>
      </c>
      <c r="B54" s="8" t="inlineStr">
        <is>
          <t>Main instrument the test occupies.</t>
        </is>
      </c>
    </row>
    <row r="55">
      <c r="A55" s="7" t="inlineStr">
        <is>
          <t>D · Rows using it (auto)</t>
        </is>
      </c>
      <c r="B55" s="8" t="inlineStr">
        <is>
          <t>Automatic: number of Test times rows (and Monitoring rows) that use this test and are Applicable = Y.</t>
        </is>
      </c>
    </row>
    <row r="56">
      <c r="A56" s="9" t="inlineStr">
        <is>
          <t>E · Lab catalog time (min)</t>
        </is>
      </c>
      <c r="B56" s="10" t="inlineStr">
        <is>
          <t>Reference: minutes in the lab's existing test catalog.</t>
        </is>
      </c>
    </row>
    <row r="57">
      <c r="A57" s="7" t="inlineStr">
        <is>
          <t>F · Setup analyst h / sequence</t>
        </is>
      </c>
      <c r="B57" s="8" t="inlineStr">
        <is>
          <t>Hands-on hours to set up one sequence/run (mobile phase, standards, system suitability).</t>
        </is>
      </c>
    </row>
    <row r="58">
      <c r="A58" s="7" t="inlineStr">
        <is>
          <t>G · Setup instrument h / sequence</t>
        </is>
      </c>
      <c r="B58" s="8" t="inlineStr">
        <is>
          <t>Instrument hours per sequence that are not per sample (equilibration, blanks, standards).</t>
        </is>
      </c>
    </row>
    <row r="59">
      <c r="A59" s="7" t="inlineStr">
        <is>
          <t>H · Prep analyst h/sample – MIN</t>
        </is>
      </c>
      <c r="B59" s="8" t="inlineStr">
        <is>
          <t>Optional. Fastest realistic hands-on preparation per sample.</t>
        </is>
      </c>
    </row>
    <row r="60">
      <c r="A60" s="7" t="inlineStr">
        <is>
          <t>I · Prep – MOST LIKELY</t>
        </is>
      </c>
      <c r="B60" s="8" t="inlineStr">
        <is>
          <t>Required. Usual hands-on preparation per sample (weighing, dissolving, diluting, filtering).</t>
        </is>
      </c>
    </row>
    <row r="61">
      <c r="A61" s="7" t="inlineStr">
        <is>
          <t>J · Prep – MAX</t>
        </is>
      </c>
      <c r="B61" s="8" t="inlineStr">
        <is>
          <t>Optional. Slowest realistic preparation per sample.</t>
        </is>
      </c>
    </row>
    <row r="62">
      <c r="A62" s="7" t="inlineStr">
        <is>
          <t>K · Instrument run h / sample</t>
        </is>
      </c>
      <c r="B62" s="8" t="inlineStr">
        <is>
          <t>Unattended instrument time per sample (run time, oven/LOD time, titrator time).</t>
        </is>
      </c>
    </row>
    <row r="63">
      <c r="A63" s="7" t="inlineStr">
        <is>
          <t>L · Data processing + doc h / sample</t>
        </is>
      </c>
      <c r="B63" s="8" t="inlineStr">
        <is>
          <t>Integration, calculation, LIMS/logbook entries per sample.</t>
        </is>
      </c>
    </row>
    <row r="64">
      <c r="A64" s="7" t="inlineStr">
        <is>
          <t>M · Review h / sample</t>
        </is>
      </c>
      <c r="B64" s="8" t="inlineStr">
        <is>
          <t>Time a second person spends checking the data per sample.</t>
        </is>
      </c>
    </row>
    <row r="65">
      <c r="A65" s="7" t="inlineStr">
        <is>
          <t>N · Samples per sequence / run</t>
        </is>
      </c>
      <c r="B65" s="8" t="inlineStr">
        <is>
          <t>Typical number of samples run together.</t>
        </is>
      </c>
    </row>
    <row r="66">
      <c r="A66" s="7" t="inlineStr">
        <is>
          <t>O · Outsourced (Y/N)</t>
        </is>
      </c>
      <c r="B66" s="8" t="inlineStr">
        <is>
          <t>Y = sent to an external lab. Then enter only in-house time (sampling, sending, checking the report) as Prep; leave instrument times blank.</t>
        </is>
      </c>
    </row>
    <row r="67">
      <c r="A67" s="7" t="inlineStr">
        <is>
          <t>P · Notes</t>
        </is>
      </c>
      <c r="B67" s="8" t="inlineStr">
        <is>
          <t>Anything unusual.</t>
        </is>
      </c>
    </row>
    <row r="69">
      <c r="A69" s="6" t="inlineStr">
        <is>
          <t>Test times - columns</t>
        </is>
      </c>
      <c r="B69" s="6" t="inlineStr">
        <is>
          <t>Meaning</t>
        </is>
      </c>
    </row>
    <row r="70">
      <c r="A70" s="7" t="inlineStr">
        <is>
          <t>A · Key (Family ID / Material)</t>
        </is>
      </c>
      <c r="B70" s="8" t="inlineStr">
        <is>
          <t>The item tested: material name (raw materials) or method family ID (finished products).</t>
        </is>
      </c>
    </row>
    <row r="71">
      <c r="A71" s="7" t="inlineStr">
        <is>
          <t>B · Type</t>
        </is>
      </c>
      <c r="B71" s="8" t="inlineStr">
        <is>
          <t>RM = raw material, FP = finished product (Extra tests may also use PM = packaging, IPC, Water, EM, Other).</t>
        </is>
      </c>
    </row>
    <row r="72">
      <c r="A72" s="7" t="inlineStr">
        <is>
          <t>C · Description</t>
        </is>
      </c>
      <c r="B72" s="8" t="inlineStr">
        <is>
          <t>Material category, or the products in the family.</t>
        </is>
      </c>
    </row>
    <row r="73">
      <c r="A73" s="7" t="inlineStr">
        <is>
          <t>D · Test</t>
        </is>
      </c>
      <c r="B73" s="8" t="inlineStr">
        <is>
          <t>Test name.</t>
        </is>
      </c>
    </row>
    <row r="74">
      <c r="A74" s="9" t="inlineStr">
        <is>
          <t>E · Lookup key (auto)</t>
        </is>
      </c>
      <c r="B74" s="10" t="inlineStr">
        <is>
          <t>Hidden, automatic: Key | Test joined, used to match your answers back to the study. Do not type.</t>
        </is>
      </c>
    </row>
    <row r="75">
      <c r="A75" s="7" t="inlineStr">
        <is>
          <t>F · Applicable (Y/N)</t>
        </is>
      </c>
      <c r="B75" s="8" t="inlineStr">
        <is>
          <t>Y = you run this test on this item; N = you do not (do not delete the row).</t>
        </is>
      </c>
    </row>
    <row r="76">
      <c r="A76" s="7" t="inlineStr">
        <is>
          <t>G · Instrument</t>
        </is>
      </c>
      <c r="B76" s="8" t="inlineStr">
        <is>
          <t>Main instrument the test occupies.</t>
        </is>
      </c>
    </row>
    <row r="77">
      <c r="A77" s="7" t="inlineStr">
        <is>
          <t>H · Complexity</t>
        </is>
      </c>
      <c r="B77" s="8" t="inlineStr">
        <is>
          <t>Low / Medium / High - how demanding the test is.</t>
        </is>
      </c>
    </row>
    <row r="78">
      <c r="A78" s="7" t="inlineStr">
        <is>
          <t>I · No. of separate methods</t>
        </is>
      </c>
      <c r="B78" s="8" t="inlineStr">
        <is>
          <t>Separate runs this test needs (e.g. 2 actives with separate HPLC methods = 2). Usually 1.</t>
        </is>
      </c>
    </row>
    <row r="79">
      <c r="A79" s="9" t="inlineStr">
        <is>
          <t>J · Campaign group code</t>
        </is>
      </c>
      <c r="B79" s="10" t="inlineStr">
        <is>
          <t>Same code (e.g. G1) on tests run in one instrument sequence; their setup time is then counted once.</t>
        </is>
      </c>
    </row>
    <row r="80">
      <c r="A80" s="7" t="inlineStr">
        <is>
          <t>K · Setup analyst h / sequence</t>
        </is>
      </c>
      <c r="B80" s="8" t="inlineStr">
        <is>
          <t>Hands-on hours to set up one sequence/run (mobile phase, standards, system suitability).</t>
        </is>
      </c>
    </row>
    <row r="81">
      <c r="A81" s="7" t="inlineStr">
        <is>
          <t>L · Setup instrument h / sequence</t>
        </is>
      </c>
      <c r="B81" s="8" t="inlineStr">
        <is>
          <t>Instrument hours per sequence that are not per sample (equilibration, blanks, standards).</t>
        </is>
      </c>
    </row>
    <row r="82">
      <c r="A82" s="7" t="inlineStr">
        <is>
          <t>M · Prep analyst h/sample – MIN</t>
        </is>
      </c>
      <c r="B82" s="8" t="inlineStr">
        <is>
          <t>Optional. Fastest realistic hands-on preparation per sample.</t>
        </is>
      </c>
    </row>
    <row r="83">
      <c r="A83" s="7" t="inlineStr">
        <is>
          <t>N · Prep – MOST LIKELY</t>
        </is>
      </c>
      <c r="B83" s="8" t="inlineStr">
        <is>
          <t>Required. Usual hands-on preparation per sample (weighing, dissolving, diluting, filtering).</t>
        </is>
      </c>
    </row>
    <row r="84">
      <c r="A84" s="7" t="inlineStr">
        <is>
          <t>O · Prep – MAX</t>
        </is>
      </c>
      <c r="B84" s="8" t="inlineStr">
        <is>
          <t>Optional. Slowest realistic preparation per sample.</t>
        </is>
      </c>
    </row>
    <row r="85">
      <c r="A85" s="7" t="inlineStr">
        <is>
          <t>P · Prep PERT (auto)</t>
        </is>
      </c>
      <c r="B85" s="8" t="inlineStr">
        <is>
          <t>Automatic: (MIN + 4 x MOST LIKELY + MAX) / 6; equals MOST LIKELY if MIN or MAX is blank.</t>
        </is>
      </c>
    </row>
    <row r="86">
      <c r="A86" s="7" t="inlineStr">
        <is>
          <t>Q · Instrument run h / sample</t>
        </is>
      </c>
      <c r="B86" s="8" t="inlineStr">
        <is>
          <t>Unattended instrument time per sample (run time, oven/LOD time, titrator time).</t>
        </is>
      </c>
    </row>
    <row r="87">
      <c r="A87" s="9" t="inlineStr">
        <is>
          <t>R · Dissolution bath h / sample</t>
        </is>
      </c>
      <c r="B87" s="10" t="inlineStr">
        <is>
          <t>Finished products only: bath time per sample.</t>
        </is>
      </c>
    </row>
    <row r="88">
      <c r="A88" s="7" t="inlineStr">
        <is>
          <t>S · Data processing + doc h / sample</t>
        </is>
      </c>
      <c r="B88" s="8" t="inlineStr">
        <is>
          <t>Integration, calculation, LIMS/logbook entries per sample.</t>
        </is>
      </c>
    </row>
    <row r="89">
      <c r="A89" s="7" t="inlineStr">
        <is>
          <t>T · Review h / sample</t>
        </is>
      </c>
      <c r="B89" s="8" t="inlineStr">
        <is>
          <t>Time a second person spends checking the data per sample.</t>
        </is>
      </c>
    </row>
    <row r="90">
      <c r="A90" s="7" t="inlineStr">
        <is>
          <t>U · Samples per sequence</t>
        </is>
      </c>
      <c r="B90" s="8" t="inlineStr">
        <is>
          <t>Typical number of samples run together in one sequence/run.</t>
        </is>
      </c>
    </row>
    <row r="91">
      <c r="A91" s="7" t="inlineStr">
        <is>
          <t>V · Retest / OOS %</t>
        </is>
      </c>
      <c r="B91" s="8" t="inlineStr">
        <is>
          <t>Share of samples tested again (type 5 for 5%).</t>
        </is>
      </c>
    </row>
    <row r="92">
      <c r="A92" s="7" t="inlineStr">
        <is>
          <t>W · Applies to stability (Y/N)</t>
        </is>
      </c>
      <c r="B92" s="8" t="inlineStr">
        <is>
          <t>Finished products only: Y if the test is also run on stability samples.</t>
        </is>
      </c>
    </row>
    <row r="93">
      <c r="A93" s="7" t="inlineStr">
        <is>
          <t>X · Respondent(s) / source</t>
        </is>
      </c>
      <c r="B93" s="8" t="inlineStr">
        <is>
          <t>Who gave the time, or where it comes from.</t>
        </is>
      </c>
    </row>
    <row r="94">
      <c r="A94" s="7" t="inlineStr">
        <is>
          <t>Y · Confidence</t>
        </is>
      </c>
      <c r="B94" s="8" t="inlineStr">
        <is>
          <t>How sure you are of the times: High / Medium / Low.</t>
        </is>
      </c>
    </row>
    <row r="95">
      <c r="A95" s="7" t="inlineStr">
        <is>
          <t>Z · Notes / difficulty</t>
        </is>
      </c>
      <c r="B95" s="8" t="inlineStr">
        <is>
          <t>Anything unusual, e.g. 'solution shared with Assay'.</t>
        </is>
      </c>
    </row>
    <row r="96">
      <c r="A96" s="7" t="inlineStr">
        <is>
          <t>AA · Outsourced (Y/N)</t>
        </is>
      </c>
      <c r="B96" s="8" t="inlineStr">
        <is>
          <t>Y = sent to an external lab. Then enter only in-house time (sampling, sending, checking the report) as Prep; leave instrument times blank.</t>
        </is>
      </c>
    </row>
    <row r="97">
      <c r="A97" s="7" t="inlineStr">
        <is>
          <t>AB · Catalog code</t>
        </is>
      </c>
      <c r="B97" s="8" t="inlineStr">
        <is>
          <t>The Test catalog row this test takes its times from. Change it only to point to a different catalog test.</t>
        </is>
      </c>
    </row>
    <row r="99">
      <c r="A99" s="6" t="inlineStr">
        <is>
          <t>Extra tests - columns</t>
        </is>
      </c>
      <c r="B99" s="6" t="inlineStr">
        <is>
          <t>Meaning</t>
        </is>
      </c>
    </row>
    <row r="100">
      <c r="A100" s="7" t="inlineStr">
        <is>
          <t>A · Key (Family ID / Material)</t>
        </is>
      </c>
      <c r="B100" s="8" t="inlineStr">
        <is>
          <t>The item tested: material name (raw materials) or method family ID (finished products).</t>
        </is>
      </c>
    </row>
    <row r="101">
      <c r="A101" s="7" t="inlineStr">
        <is>
          <t>B · Type</t>
        </is>
      </c>
      <c r="B101" s="8" t="inlineStr">
        <is>
          <t>RM = raw material, FP = finished product (Extra tests may also use PM = packaging, IPC, Water, EM, Other).</t>
        </is>
      </c>
    </row>
    <row r="102">
      <c r="A102" s="7" t="inlineStr">
        <is>
          <t>C · Description</t>
        </is>
      </c>
      <c r="B102" s="8" t="inlineStr">
        <is>
          <t>Material category, or the products in the family.</t>
        </is>
      </c>
    </row>
    <row r="103">
      <c r="A103" s="7" t="inlineStr">
        <is>
          <t>D · Test</t>
        </is>
      </c>
      <c r="B103" s="8" t="inlineStr">
        <is>
          <t>Test name.</t>
        </is>
      </c>
    </row>
    <row r="104">
      <c r="A104" s="9" t="inlineStr">
        <is>
          <t>E · Lookup key (auto)</t>
        </is>
      </c>
      <c r="B104" s="10" t="inlineStr">
        <is>
          <t>Hidden, automatic: Key | Test joined, used to match your answers back to the study. Do not type.</t>
        </is>
      </c>
    </row>
    <row r="105">
      <c r="A105" s="7" t="inlineStr">
        <is>
          <t>F · Applicable (Y/N)</t>
        </is>
      </c>
      <c r="B105" s="8" t="inlineStr">
        <is>
          <t>Y = you run this test on this item; N = you do not (do not delete the row).</t>
        </is>
      </c>
    </row>
    <row r="106">
      <c r="A106" s="7" t="inlineStr">
        <is>
          <t>G · Instrument</t>
        </is>
      </c>
      <c r="B106" s="8" t="inlineStr">
        <is>
          <t>Main instrument the test occupies.</t>
        </is>
      </c>
    </row>
    <row r="107">
      <c r="A107" s="7" t="inlineStr">
        <is>
          <t>H · Complexity</t>
        </is>
      </c>
      <c r="B107" s="8" t="inlineStr">
        <is>
          <t>Low / Medium / High - how demanding the test is.</t>
        </is>
      </c>
    </row>
    <row r="108">
      <c r="A108" s="7" t="inlineStr">
        <is>
          <t>I · No. of separate methods</t>
        </is>
      </c>
      <c r="B108" s="8" t="inlineStr">
        <is>
          <t>Separate runs this test needs (e.g. 2 actives with separate HPLC methods = 2). Usually 1.</t>
        </is>
      </c>
    </row>
    <row r="109">
      <c r="A109" s="7" t="inlineStr">
        <is>
          <t>J · Campaign group code</t>
        </is>
      </c>
      <c r="B109" s="8" t="inlineStr">
        <is>
          <t>Same code (e.g. G1) on tests run in one instrument sequence; their setup time is then counted once.</t>
        </is>
      </c>
    </row>
    <row r="110">
      <c r="A110" s="7" t="inlineStr">
        <is>
          <t>K · Setup analyst h / sequence</t>
        </is>
      </c>
      <c r="B110" s="8" t="inlineStr">
        <is>
          <t>Hands-on hours to set up one sequence/run (mobile phase, standards, system suitability).</t>
        </is>
      </c>
    </row>
    <row r="111">
      <c r="A111" s="7" t="inlineStr">
        <is>
          <t>L · Setup instrument h / sequence</t>
        </is>
      </c>
      <c r="B111" s="8" t="inlineStr">
        <is>
          <t>Instrument hours per sequence that are not per sample (equilibration, blanks, standards).</t>
        </is>
      </c>
    </row>
    <row r="112">
      <c r="A112" s="7" t="inlineStr">
        <is>
          <t>M · Prep analyst h/sample – MIN</t>
        </is>
      </c>
      <c r="B112" s="8" t="inlineStr">
        <is>
          <t>Optional. Fastest realistic hands-on preparation per sample.</t>
        </is>
      </c>
    </row>
    <row r="113">
      <c r="A113" s="7" t="inlineStr">
        <is>
          <t>N · Prep – MOST LIKELY</t>
        </is>
      </c>
      <c r="B113" s="8" t="inlineStr">
        <is>
          <t>Required. Usual hands-on preparation per sample (weighing, dissolving, diluting, filtering).</t>
        </is>
      </c>
    </row>
    <row r="114">
      <c r="A114" s="7" t="inlineStr">
        <is>
          <t>O · Prep – MAX</t>
        </is>
      </c>
      <c r="B114" s="8" t="inlineStr">
        <is>
          <t>Optional. Slowest realistic preparation per sample.</t>
        </is>
      </c>
    </row>
    <row r="115">
      <c r="A115" s="7" t="inlineStr">
        <is>
          <t>P · Prep PERT (auto)</t>
        </is>
      </c>
      <c r="B115" s="8" t="inlineStr">
        <is>
          <t>Automatic: (MIN + 4 x MOST LIKELY + MAX) / 6; equals MOST LIKELY if MIN or MAX is blank.</t>
        </is>
      </c>
    </row>
    <row r="116">
      <c r="A116" s="7" t="inlineStr">
        <is>
          <t>Q · Instrument run h / sample</t>
        </is>
      </c>
      <c r="B116" s="8" t="inlineStr">
        <is>
          <t>Unattended instrument time per sample (run time, oven/LOD time, titrator time).</t>
        </is>
      </c>
    </row>
    <row r="117">
      <c r="A117" s="7" t="inlineStr">
        <is>
          <t>R · Dissolution bath h / sample</t>
        </is>
      </c>
      <c r="B117" s="8" t="inlineStr">
        <is>
          <t>Finished products only: bath time per sample.</t>
        </is>
      </c>
    </row>
    <row r="118">
      <c r="A118" s="7" t="inlineStr">
        <is>
          <t>S · Data processing + doc h / sample</t>
        </is>
      </c>
      <c r="B118" s="8" t="inlineStr">
        <is>
          <t>Integration, calculation, LIMS/logbook entries per sample.</t>
        </is>
      </c>
    </row>
    <row r="119">
      <c r="A119" s="7" t="inlineStr">
        <is>
          <t>T · Review h / sample</t>
        </is>
      </c>
      <c r="B119" s="8" t="inlineStr">
        <is>
          <t>Time a second person spends checking the data per sample.</t>
        </is>
      </c>
    </row>
    <row r="120">
      <c r="A120" s="7" t="inlineStr">
        <is>
          <t>U · Samples per sequence</t>
        </is>
      </c>
      <c r="B120" s="8" t="inlineStr">
        <is>
          <t>Typical number of samples run together in one sequence/run.</t>
        </is>
      </c>
    </row>
    <row r="121">
      <c r="A121" s="7" t="inlineStr">
        <is>
          <t>V · Retest / OOS %</t>
        </is>
      </c>
      <c r="B121" s="8" t="inlineStr">
        <is>
          <t>Share of samples tested again (type 5 for 5%).</t>
        </is>
      </c>
    </row>
    <row r="122">
      <c r="A122" s="7" t="inlineStr">
        <is>
          <t>W · Applies to stability (Y/N)</t>
        </is>
      </c>
      <c r="B122" s="8" t="inlineStr">
        <is>
          <t>Finished products only: Y if the test is also run on stability samples.</t>
        </is>
      </c>
    </row>
    <row r="123">
      <c r="A123" s="7" t="inlineStr">
        <is>
          <t>X · Respondent(s) / source</t>
        </is>
      </c>
      <c r="B123" s="8" t="inlineStr">
        <is>
          <t>Who gave the time, or where it comes from.</t>
        </is>
      </c>
    </row>
    <row r="124">
      <c r="A124" s="7" t="inlineStr">
        <is>
          <t>Y · Confidence</t>
        </is>
      </c>
      <c r="B124" s="8" t="inlineStr">
        <is>
          <t>How sure you are of the times: High / Medium / Low.</t>
        </is>
      </c>
    </row>
    <row r="125">
      <c r="A125" s="7" t="inlineStr">
        <is>
          <t>Z · Notes / difficulty</t>
        </is>
      </c>
      <c r="B125" s="8" t="inlineStr">
        <is>
          <t>Anything unusual, e.g. 'solution shared with Assay'.</t>
        </is>
      </c>
    </row>
    <row r="126">
      <c r="A126" s="7" t="inlineStr">
        <is>
          <t>AA · Outsourced (Y/N)</t>
        </is>
      </c>
      <c r="B126" s="8" t="inlineStr">
        <is>
          <t>Y = sent to an external lab. Then enter only in-house time (sampling, sending, checking the report) as Prep; leave instrument times blank.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0" customWidth="1" min="2" max="2"/>
    <col width="60" customWidth="1" min="3" max="3"/>
  </cols>
  <sheetData>
    <row r="1">
      <c r="A1" s="6" t="inlineStr">
        <is>
          <t>#</t>
        </is>
      </c>
      <c r="B1" s="6" t="inlineStr">
        <is>
          <t>Question</t>
        </is>
      </c>
      <c r="C1" s="6" t="inlineStr">
        <is>
          <t>Answer</t>
        </is>
      </c>
    </row>
    <row r="2">
      <c r="A2" s="11" t="inlineStr">
        <is>
          <t>A. Respondent</t>
        </is>
      </c>
      <c r="B2" s="12" t="n"/>
      <c r="C2" s="12" t="n"/>
    </row>
    <row r="3" ht="30" customHeight="1">
      <c r="A3" s="10" t="inlineStr">
        <is>
          <t>A1</t>
        </is>
      </c>
      <c r="B3" s="10" t="inlineStr">
        <is>
          <t>Name / ID, role, years of QC experience.</t>
        </is>
      </c>
      <c r="C3" s="5" t="n"/>
    </row>
    <row r="4" ht="45" customHeight="1">
      <c r="A4" s="10" t="inlineStr">
        <is>
          <t>A2</t>
        </is>
      </c>
      <c r="B4" s="10" t="inlineStr">
        <is>
          <t>Which instruments are you qualified on (balance, tablet tester, friabilator, disintegration tester, dissolution bath, moisture analyser, sieve shaker, density tester, leak tester)?</t>
        </is>
      </c>
      <c r="C4" s="5" t="n"/>
    </row>
    <row r="5" ht="30" customHeight="1">
      <c r="A5" s="10" t="inlineStr">
        <is>
          <t>A3</t>
        </is>
      </c>
      <c r="B5" s="10" t="inlineStr">
        <is>
          <t>Contract hours per week and annual leave weeks.</t>
        </is>
      </c>
      <c r="C5" s="5" t="n"/>
    </row>
    <row r="6" ht="45" customHeight="1">
      <c r="A6" s="10" t="inlineStr">
        <is>
          <t>A4</t>
        </is>
      </c>
      <c r="B6" s="10" t="inlineStr">
        <is>
          <t>In a normal week, what % of your time is: testing / reviewing others' data / documentation &amp; LIMS / meetings &amp; training / cleaning &amp; housekeeping / investigations? (should add to 100%)</t>
        </is>
      </c>
      <c r="C6" s="5" t="n"/>
    </row>
    <row r="7" ht="30" customHeight="1">
      <c r="A7" s="10" t="inlineStr">
        <is>
          <t>A5</t>
        </is>
      </c>
      <c r="B7" s="10" t="inlineStr">
        <is>
          <t>Average overtime hours per month over the last 6 months, and the main reason.</t>
        </is>
      </c>
      <c r="C7" s="5" t="n"/>
    </row>
    <row r="8" ht="30" customHeight="1">
      <c r="A8" s="10" t="inlineStr">
        <is>
          <t>A6</t>
        </is>
      </c>
      <c r="B8" s="10" t="inlineStr">
        <is>
          <t>Is any method or instrument in your area done by only one qualified person? Which?</t>
        </is>
      </c>
      <c r="C8" s="5" t="n"/>
    </row>
    <row r="9">
      <c r="A9" s="11" t="inlineStr">
        <is>
          <t>B. Samples and in-process checks</t>
        </is>
      </c>
      <c r="B9" s="12" t="n"/>
      <c r="C9" s="12" t="n"/>
    </row>
    <row r="10" ht="45" customHeight="1">
      <c r="A10" s="10" t="inlineStr">
        <is>
          <t>B1</t>
        </is>
      </c>
      <c r="B10" s="10" t="inlineStr">
        <is>
          <t>Who does the in-process checks during compression / encapsulation / filling: the Physical lab, production operators, or both? How many checks per batch and how many units per check? (enter on 'Volumes')</t>
        </is>
      </c>
      <c r="C10" s="5" t="n"/>
    </row>
    <row r="11" ht="30" customHeight="1">
      <c r="A11" s="10" t="inlineStr">
        <is>
          <t>B2</t>
        </is>
      </c>
      <c r="B11" s="10" t="inlineStr">
        <is>
          <t>Do you walk to the production line for in-process checks, or are samples brought to the lab? Minutes per round trip?</t>
        </is>
      </c>
      <c r="C11" s="5" t="n"/>
    </row>
    <row r="12" ht="30" customHeight="1">
      <c r="A12" s="10" t="inlineStr">
        <is>
          <t>B3</t>
        </is>
      </c>
      <c r="B12" s="10" t="inlineStr">
        <is>
          <t>Stability: which physical tests are run at stability pulls (hardness, disintegration, ...)? How many stability samples per year?</t>
        </is>
      </c>
      <c r="C12" s="5" t="n"/>
    </row>
    <row r="13" ht="30" customHeight="1">
      <c r="A13" s="10" t="inlineStr">
        <is>
          <t>B4</t>
        </is>
      </c>
      <c r="B13" s="10" t="inlineStr">
        <is>
          <t>Who checks appearance / description of finished products and raw materials: the Physical or the Chemical lab?</t>
        </is>
      </c>
      <c r="C13" s="5" t="n"/>
    </row>
    <row r="14" ht="45" customHeight="1">
      <c r="A14" s="10" t="inlineStr">
        <is>
          <t>B5</t>
        </is>
      </c>
      <c r="B14" s="10" t="inlineStr">
        <is>
          <t>Does the Physical lab test raw materials (particle size, bulk / tapped density, sieve analysis, flow) or packaging materials (dimensions, foil thickness, leak test)? Which tests, and how many samples per year? (add them on 'Extra tests')</t>
        </is>
      </c>
      <c r="C14" s="5" t="n"/>
    </row>
    <row r="15">
      <c r="A15" s="11" t="inlineStr">
        <is>
          <t>C. Methods and instruments</t>
        </is>
      </c>
      <c r="B15" s="12" t="n"/>
      <c r="C15" s="12" t="n"/>
    </row>
    <row r="16" ht="30" customHeight="1">
      <c r="A16" s="10" t="inlineStr">
        <is>
          <t>C1</t>
        </is>
      </c>
      <c r="B16" s="10" t="inlineStr">
        <is>
          <t>Are weight, thickness, diameter and hardness measured on one automatic tablet tester in one run, or one by one (balance, caliper, hardness tester)?</t>
        </is>
      </c>
      <c r="C16" s="5" t="n"/>
    </row>
    <row r="17" ht="30" customHeight="1">
      <c r="A17" s="10" t="inlineStr">
        <is>
          <t>C2</t>
        </is>
      </c>
      <c r="B17" s="10" t="inlineStr">
        <is>
          <t>Brittleness: how is it measured, on which instrument, and how is it different from hardness and friability?</t>
        </is>
      </c>
      <c r="C17" s="5" t="n"/>
    </row>
    <row r="18" ht="30" customHeight="1">
      <c r="A18" s="10" t="inlineStr">
        <is>
          <t>C3</t>
        </is>
      </c>
      <c r="B18" s="10" t="inlineStr">
        <is>
          <t>Disintegration: how many baskets / stations? How long for uncoated, film-coated and enteric-coated tablets? How many runs at once?</t>
        </is>
      </c>
      <c r="C18" s="5" t="n"/>
    </row>
    <row r="19" ht="30" customHeight="1">
      <c r="A19" s="10" t="inlineStr">
        <is>
          <t>C4</t>
        </is>
      </c>
      <c r="B19" s="10" t="inlineStr">
        <is>
          <t>Dissolution: does the Physical lab run the bath and take the samples (with UV / HPLC finish in the Chemical lab)? If yes, add it on 'Extra tests'.</t>
        </is>
      </c>
      <c r="C19" s="5" t="n"/>
    </row>
    <row r="20" ht="30" customHeight="1">
      <c r="A20" s="10" t="inlineStr">
        <is>
          <t>C5</t>
        </is>
      </c>
      <c r="B20" s="10" t="inlineStr">
        <is>
          <t>How many days per month is each instrument down (breakdown, calibration, waiting for repair)?</t>
        </is>
      </c>
      <c r="C20" s="5" t="n"/>
    </row>
    <row r="21" ht="30" customHeight="1">
      <c r="A21" s="10" t="inlineStr">
        <is>
          <t>C6</t>
        </is>
      </c>
      <c r="B21" s="10" t="inlineStr">
        <is>
          <t>Which instrument do you wait for most? How often per week and for how long?</t>
        </is>
      </c>
      <c r="C21" s="5" t="n"/>
    </row>
    <row r="22">
      <c r="A22" s="11" t="inlineStr">
        <is>
          <t>D. Workload and service level</t>
        </is>
      </c>
      <c r="B22" s="12" t="n"/>
      <c r="C22" s="12" t="n"/>
    </row>
    <row r="23" ht="30" customHeight="1">
      <c r="A23" s="10" t="inlineStr">
        <is>
          <t>D1</t>
        </is>
      </c>
      <c r="B23" s="10" t="inlineStr">
        <is>
          <t>Target time for an in-process result (minutes) and for release results (days); actual typical times. Has production waited for you?</t>
        </is>
      </c>
      <c r="C23" s="5" t="n"/>
    </row>
    <row r="24" ht="30" customHeight="1">
      <c r="A24" s="10" t="inlineStr">
        <is>
          <t>D2</t>
        </is>
      </c>
      <c r="B24" s="10" t="inlineStr">
        <is>
          <t>How many samples are typically waiting at month end? Which months are busiest (production campaigns)?</t>
        </is>
      </c>
      <c r="C24" s="5" t="n"/>
    </row>
    <row r="25" ht="60" customHeight="1">
      <c r="A25" s="10" t="inlineStr">
        <is>
          <t>D3</t>
        </is>
      </c>
      <c r="B25" s="10" t="inlineStr">
        <is>
          <t>Non-routine work - number per year and hours each: (a) instrument calibration / mechanical checks (disintegration tester, friabilator, hardness tester, dissolution bath, daily balance checks); (b) process validation batches with extra sampling; (c) OOS investigations; (d) complaint samples; (e) R&amp;D or trial batches.</t>
        </is>
      </c>
      <c r="C25" s="5" t="n"/>
    </row>
    <row r="26" ht="30" customHeight="1">
      <c r="A26" s="10" t="inlineStr">
        <is>
          <t>D4</t>
        </is>
      </c>
      <c r="B26" s="10" t="inlineStr">
        <is>
          <t>Which new products in the next 2-3 years need new physical tests (chewable, orodispersible, effervescent, coated, modified release)?</t>
        </is>
      </c>
      <c r="C26" s="5" t="n"/>
    </row>
    <row r="27">
      <c r="A27" s="11" t="inlineStr">
        <is>
          <t>E. Closing</t>
        </is>
      </c>
      <c r="B27" s="12" t="n"/>
      <c r="C27" s="12" t="n"/>
    </row>
    <row r="28" ht="30" customHeight="1">
      <c r="A28" s="10" t="inlineStr">
        <is>
          <t>E1</t>
        </is>
      </c>
      <c r="B28" s="10" t="inlineStr">
        <is>
          <t>If you had one more analyst or one more instrument, what would change first?</t>
        </is>
      </c>
      <c r="C28" s="5" t="n"/>
    </row>
    <row r="29" ht="30" customHeight="1">
      <c r="A29" s="10" t="inlineStr">
        <is>
          <t>E2</t>
        </is>
      </c>
      <c r="B29" s="10" t="inlineStr">
        <is>
          <t>What is the biggest risk to on-time in-process and release results today?</t>
        </is>
      </c>
      <c r="C29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8" customWidth="1" min="3" max="3"/>
    <col width="12" customWidth="1" min="4" max="4"/>
    <col width="8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hidden="1" width="1" customWidth="1" min="11" max="11"/>
    <col hidden="1" width="1" customWidth="1" min="12" max="12"/>
    <col width="30" customWidth="1" min="13" max="13"/>
    <col width="14" customWidth="1" min="14" max="14"/>
    <col width="14" customWidth="1" min="15" max="15"/>
  </cols>
  <sheetData>
    <row r="1" ht="45" customHeight="1">
      <c r="A1" s="13" t="inlineStr">
        <is>
          <t>Product</t>
        </is>
      </c>
      <c r="B1" s="13" t="inlineStr">
        <is>
          <t>Active(s) (from product formulas)</t>
        </is>
      </c>
      <c r="C1" s="13" t="inlineStr">
        <is>
          <t># Actives</t>
        </is>
      </c>
      <c r="D1" s="13" t="inlineStr">
        <is>
          <t>Dosage form (verify)</t>
        </is>
      </c>
      <c r="E1" s="13" t="inlineStr">
        <is>
          <t>Family ID</t>
        </is>
      </c>
      <c r="F1" s="13" t="inlineStr">
        <is>
          <t>Release batches / yr (now)</t>
        </is>
      </c>
      <c r="G1" s="13" t="inlineStr">
        <is>
          <t>Stability samples / yr (now)</t>
        </is>
      </c>
      <c r="H1" s="13" t="inlineStr">
        <is>
          <t>Status</t>
        </is>
      </c>
      <c r="I1" s="13" t="inlineStr">
        <is>
          <t>Release batches / yr (future, blank = growth %)</t>
        </is>
      </c>
      <c r="J1" s="13" t="inlineStr">
        <is>
          <t>Stability samples / yr (future)</t>
        </is>
      </c>
      <c r="K1" s="13" t="inlineStr">
        <is>
          <t>Release used future (auto)</t>
        </is>
      </c>
      <c r="L1" s="13" t="inlineStr">
        <is>
          <t>Stability used future (auto)</t>
        </is>
      </c>
      <c r="M1" s="13" t="inlineStr">
        <is>
          <t>Notes</t>
        </is>
      </c>
      <c r="N1" s="13" t="inlineStr">
        <is>
          <t>IPC checks per batch (Physical lab)</t>
        </is>
      </c>
      <c r="O1" s="13" t="inlineStr">
        <is>
          <t>Units tested per IPC check</t>
        </is>
      </c>
    </row>
    <row r="2">
      <c r="A2" s="10" t="inlineStr">
        <is>
          <t>Ezetimibe-Rosuvastatin 10-10</t>
        </is>
      </c>
      <c r="B2" s="10" t="inlineStr">
        <is>
          <t>Ezetimibe, Rosuvastatin Calcium</t>
        </is>
      </c>
      <c r="C2" s="10" t="n">
        <v>2</v>
      </c>
      <c r="D2" s="5" t="inlineStr">
        <is>
          <t>Tablet</t>
        </is>
      </c>
      <c r="E2" s="5" t="inlineStr">
        <is>
          <t>F01</t>
        </is>
      </c>
      <c r="F2" s="5" t="n"/>
      <c r="G2" s="5" t="n"/>
      <c r="H2" s="5" t="inlineStr">
        <is>
          <t>Marketed</t>
        </is>
      </c>
      <c r="I2" s="5" t="n"/>
      <c r="J2" s="5" t="n"/>
      <c r="K2" s="10" t="n"/>
      <c r="L2" s="10" t="n"/>
      <c r="M2" s="5" t="n"/>
      <c r="N2" s="5" t="n"/>
      <c r="O2" s="5" t="n"/>
    </row>
    <row r="3">
      <c r="A3" s="10" t="inlineStr">
        <is>
          <t>Ezetimibe-Rosuvastatin 10-20</t>
        </is>
      </c>
      <c r="B3" s="10" t="inlineStr">
        <is>
          <t>Ezetimibe, Rosuvastatin Calcium</t>
        </is>
      </c>
      <c r="C3" s="10" t="n">
        <v>2</v>
      </c>
      <c r="D3" s="5" t="inlineStr">
        <is>
          <t>Tablet</t>
        </is>
      </c>
      <c r="E3" s="5" t="inlineStr">
        <is>
          <t>F01</t>
        </is>
      </c>
      <c r="F3" s="5" t="n"/>
      <c r="G3" s="5" t="n"/>
      <c r="H3" s="5" t="inlineStr">
        <is>
          <t>Marketed</t>
        </is>
      </c>
      <c r="I3" s="5" t="n"/>
      <c r="J3" s="5" t="n"/>
      <c r="K3" s="10" t="n"/>
      <c r="L3" s="10" t="n"/>
      <c r="M3" s="5" t="n"/>
      <c r="N3" s="5" t="n"/>
      <c r="O3" s="5" t="n"/>
    </row>
    <row r="4">
      <c r="A4" s="10" t="inlineStr">
        <is>
          <t>Ezetimibe-Rosuvastatin 10-40</t>
        </is>
      </c>
      <c r="B4" s="10" t="inlineStr">
        <is>
          <t>Ezetimibe, Rosuvastatin Calcium</t>
        </is>
      </c>
      <c r="C4" s="10" t="n">
        <v>2</v>
      </c>
      <c r="D4" s="5" t="inlineStr">
        <is>
          <t>Tablet</t>
        </is>
      </c>
      <c r="E4" s="5" t="inlineStr">
        <is>
          <t>F01</t>
        </is>
      </c>
      <c r="F4" s="5" t="n"/>
      <c r="G4" s="5" t="n"/>
      <c r="H4" s="5" t="inlineStr">
        <is>
          <t>Marketed</t>
        </is>
      </c>
      <c r="I4" s="5" t="n"/>
      <c r="J4" s="5" t="n"/>
      <c r="K4" s="10" t="n"/>
      <c r="L4" s="10" t="n"/>
      <c r="M4" s="5" t="n"/>
      <c r="N4" s="5" t="n"/>
      <c r="O4" s="5" t="n"/>
    </row>
    <row r="5">
      <c r="A5" s="10" t="inlineStr">
        <is>
          <t>Resmitrom (Resffera) 60</t>
        </is>
      </c>
      <c r="B5" s="10" t="inlineStr">
        <is>
          <t>Resmetirom</t>
        </is>
      </c>
      <c r="C5" s="10" t="n">
        <v>1</v>
      </c>
      <c r="D5" s="5" t="inlineStr">
        <is>
          <t>Tablet</t>
        </is>
      </c>
      <c r="E5" s="5" t="inlineStr">
        <is>
          <t>F02</t>
        </is>
      </c>
      <c r="F5" s="5" t="n"/>
      <c r="G5" s="5" t="n"/>
      <c r="H5" s="5" t="inlineStr">
        <is>
          <t>Marketed</t>
        </is>
      </c>
      <c r="I5" s="5" t="n"/>
      <c r="J5" s="5" t="n"/>
      <c r="K5" s="10" t="n"/>
      <c r="L5" s="10" t="n"/>
      <c r="M5" s="5" t="n"/>
      <c r="N5" s="5" t="n"/>
      <c r="O5" s="5" t="n"/>
    </row>
    <row r="6">
      <c r="A6" s="10" t="inlineStr">
        <is>
          <t>Resmitrom (Resffera) 80</t>
        </is>
      </c>
      <c r="B6" s="10" t="inlineStr">
        <is>
          <t>Resmetirom</t>
        </is>
      </c>
      <c r="C6" s="10" t="n">
        <v>1</v>
      </c>
      <c r="D6" s="5" t="inlineStr">
        <is>
          <t>Tablet</t>
        </is>
      </c>
      <c r="E6" s="5" t="inlineStr">
        <is>
          <t>F02</t>
        </is>
      </c>
      <c r="F6" s="5" t="n"/>
      <c r="G6" s="5" t="n"/>
      <c r="H6" s="5" t="inlineStr">
        <is>
          <t>Marketed</t>
        </is>
      </c>
      <c r="I6" s="5" t="n"/>
      <c r="J6" s="5" t="n"/>
      <c r="K6" s="10" t="n"/>
      <c r="L6" s="10" t="n"/>
      <c r="M6" s="5" t="n"/>
      <c r="N6" s="5" t="n"/>
      <c r="O6" s="5" t="n"/>
    </row>
    <row r="7">
      <c r="A7" s="10" t="inlineStr">
        <is>
          <t>Resmitrom (Resffera) 100</t>
        </is>
      </c>
      <c r="B7" s="10" t="inlineStr">
        <is>
          <t>Resmetirom</t>
        </is>
      </c>
      <c r="C7" s="10" t="n">
        <v>1</v>
      </c>
      <c r="D7" s="5" t="inlineStr">
        <is>
          <t>Tablet</t>
        </is>
      </c>
      <c r="E7" s="5" t="inlineStr">
        <is>
          <t>F02</t>
        </is>
      </c>
      <c r="F7" s="5" t="n"/>
      <c r="G7" s="5" t="n"/>
      <c r="H7" s="5" t="inlineStr">
        <is>
          <t>Marketed</t>
        </is>
      </c>
      <c r="I7" s="5" t="n"/>
      <c r="J7" s="5" t="n"/>
      <c r="K7" s="10" t="n"/>
      <c r="L7" s="10" t="n"/>
      <c r="M7" s="5" t="n"/>
      <c r="N7" s="5" t="n"/>
      <c r="O7" s="5" t="n"/>
    </row>
    <row r="8">
      <c r="A8" s="10" t="inlineStr">
        <is>
          <t>Finerodyd 10</t>
        </is>
      </c>
      <c r="B8" s="10" t="inlineStr">
        <is>
          <t>Finerenone</t>
        </is>
      </c>
      <c r="C8" s="10" t="n">
        <v>1</v>
      </c>
      <c r="D8" s="5" t="inlineStr">
        <is>
          <t>Tablet</t>
        </is>
      </c>
      <c r="E8" s="5" t="inlineStr">
        <is>
          <t>F03</t>
        </is>
      </c>
      <c r="F8" s="5" t="n"/>
      <c r="G8" s="5" t="n"/>
      <c r="H8" s="5" t="inlineStr">
        <is>
          <t>Marketed</t>
        </is>
      </c>
      <c r="I8" s="5" t="n"/>
      <c r="J8" s="5" t="n"/>
      <c r="K8" s="10" t="n"/>
      <c r="L8" s="10" t="n"/>
      <c r="M8" s="5" t="n"/>
      <c r="N8" s="5" t="n"/>
      <c r="O8" s="5" t="n"/>
    </row>
    <row r="9">
      <c r="A9" s="10" t="inlineStr">
        <is>
          <t>Finerodyd 20</t>
        </is>
      </c>
      <c r="B9" s="10" t="inlineStr">
        <is>
          <t>Finerenone</t>
        </is>
      </c>
      <c r="C9" s="10" t="n">
        <v>1</v>
      </c>
      <c r="D9" s="5" t="inlineStr">
        <is>
          <t>Tablet</t>
        </is>
      </c>
      <c r="E9" s="5" t="inlineStr">
        <is>
          <t>F03</t>
        </is>
      </c>
      <c r="F9" s="5" t="n"/>
      <c r="G9" s="5" t="n"/>
      <c r="H9" s="5" t="inlineStr">
        <is>
          <t>Marketed</t>
        </is>
      </c>
      <c r="I9" s="5" t="n"/>
      <c r="J9" s="5" t="n"/>
      <c r="K9" s="10" t="n"/>
      <c r="L9" s="10" t="n"/>
      <c r="M9" s="5" t="n"/>
      <c r="N9" s="5" t="n"/>
      <c r="O9" s="5" t="n"/>
    </row>
    <row r="10">
      <c r="A10" s="10" t="inlineStr">
        <is>
          <t>Cardyd 20</t>
        </is>
      </c>
      <c r="B10" s="10" t="inlineStr">
        <is>
          <t>Telmisartan</t>
        </is>
      </c>
      <c r="C10" s="10" t="n">
        <v>1</v>
      </c>
      <c r="D10" s="5" t="inlineStr">
        <is>
          <t>Tablet</t>
        </is>
      </c>
      <c r="E10" s="5" t="inlineStr">
        <is>
          <t>F04</t>
        </is>
      </c>
      <c r="F10" s="5" t="n"/>
      <c r="G10" s="5" t="n"/>
      <c r="H10" s="5" t="inlineStr">
        <is>
          <t>Marketed</t>
        </is>
      </c>
      <c r="I10" s="5" t="n"/>
      <c r="J10" s="5" t="n"/>
      <c r="K10" s="10" t="n"/>
      <c r="L10" s="10" t="n"/>
      <c r="M10" s="5" t="n"/>
      <c r="N10" s="5" t="n"/>
      <c r="O10" s="5" t="n"/>
    </row>
    <row r="11">
      <c r="A11" s="10" t="inlineStr">
        <is>
          <t>Cardyd 40</t>
        </is>
      </c>
      <c r="B11" s="10" t="inlineStr">
        <is>
          <t>Telmisartan</t>
        </is>
      </c>
      <c r="C11" s="10" t="n">
        <v>1</v>
      </c>
      <c r="D11" s="5" t="inlineStr">
        <is>
          <t>Tablet</t>
        </is>
      </c>
      <c r="E11" s="5" t="inlineStr">
        <is>
          <t>F04</t>
        </is>
      </c>
      <c r="F11" s="5" t="n"/>
      <c r="G11" s="5" t="n"/>
      <c r="H11" s="5" t="inlineStr">
        <is>
          <t>Marketed</t>
        </is>
      </c>
      <c r="I11" s="5" t="n"/>
      <c r="J11" s="5" t="n"/>
      <c r="K11" s="10" t="n"/>
      <c r="L11" s="10" t="n"/>
      <c r="M11" s="5" t="n"/>
      <c r="N11" s="5" t="n"/>
      <c r="O11" s="5" t="n"/>
    </row>
    <row r="12">
      <c r="A12" s="10" t="inlineStr">
        <is>
          <t>Cardyd 80</t>
        </is>
      </c>
      <c r="B12" s="10" t="inlineStr">
        <is>
          <t>Telmisartan</t>
        </is>
      </c>
      <c r="C12" s="10" t="n">
        <v>1</v>
      </c>
      <c r="D12" s="5" t="inlineStr">
        <is>
          <t>Tablet</t>
        </is>
      </c>
      <c r="E12" s="5" t="inlineStr">
        <is>
          <t>F04</t>
        </is>
      </c>
      <c r="F12" s="5" t="n"/>
      <c r="G12" s="5" t="n"/>
      <c r="H12" s="5" t="inlineStr">
        <is>
          <t>Marketed</t>
        </is>
      </c>
      <c r="I12" s="5" t="n"/>
      <c r="J12" s="5" t="n"/>
      <c r="K12" s="10" t="n"/>
      <c r="L12" s="10" t="n"/>
      <c r="M12" s="5" t="n"/>
      <c r="N12" s="5" t="n"/>
      <c r="O12" s="5" t="n"/>
    </row>
    <row r="13">
      <c r="A13" s="10" t="inlineStr">
        <is>
          <t>Cardyd-AM 80/5</t>
        </is>
      </c>
      <c r="B13" s="10" t="inlineStr">
        <is>
          <t>Telmisartan, Amlodipine Besylate</t>
        </is>
      </c>
      <c r="C13" s="10" t="n">
        <v>2</v>
      </c>
      <c r="D13" s="5" t="inlineStr">
        <is>
          <t>Tablet</t>
        </is>
      </c>
      <c r="E13" s="5" t="inlineStr">
        <is>
          <t>F05</t>
        </is>
      </c>
      <c r="F13" s="5" t="n"/>
      <c r="G13" s="5" t="n"/>
      <c r="H13" s="5" t="inlineStr">
        <is>
          <t>Marketed</t>
        </is>
      </c>
      <c r="I13" s="5" t="n"/>
      <c r="J13" s="5" t="n"/>
      <c r="K13" s="10" t="n"/>
      <c r="L13" s="10" t="n"/>
      <c r="M13" s="5" t="n"/>
      <c r="N13" s="5" t="n"/>
      <c r="O13" s="5" t="n"/>
    </row>
    <row r="14">
      <c r="A14" s="10" t="inlineStr">
        <is>
          <t>Cardyd-AM 80/10</t>
        </is>
      </c>
      <c r="B14" s="10" t="inlineStr">
        <is>
          <t>Telmisartan, Amlodipine Besylate</t>
        </is>
      </c>
      <c r="C14" s="10" t="n">
        <v>2</v>
      </c>
      <c r="D14" s="5" t="inlineStr">
        <is>
          <t>Tablet</t>
        </is>
      </c>
      <c r="E14" s="5" t="inlineStr">
        <is>
          <t>F05</t>
        </is>
      </c>
      <c r="F14" s="5" t="n"/>
      <c r="G14" s="5" t="n"/>
      <c r="H14" s="5" t="inlineStr">
        <is>
          <t>Marketed</t>
        </is>
      </c>
      <c r="I14" s="5" t="n"/>
      <c r="J14" s="5" t="n"/>
      <c r="K14" s="10" t="n"/>
      <c r="L14" s="10" t="n"/>
      <c r="M14" s="5" t="n"/>
      <c r="N14" s="5" t="n"/>
      <c r="O14" s="5" t="n"/>
    </row>
    <row r="15">
      <c r="A15" s="10" t="inlineStr">
        <is>
          <t>Cardyd-AM 40/5</t>
        </is>
      </c>
      <c r="B15" s="10" t="inlineStr">
        <is>
          <t>Telmisartan, Amlodipine Besylate</t>
        </is>
      </c>
      <c r="C15" s="10" t="n">
        <v>2</v>
      </c>
      <c r="D15" s="5" t="inlineStr">
        <is>
          <t>Tablet</t>
        </is>
      </c>
      <c r="E15" s="5" t="inlineStr">
        <is>
          <t>F05</t>
        </is>
      </c>
      <c r="F15" s="5" t="n"/>
      <c r="G15" s="5" t="n"/>
      <c r="H15" s="5" t="inlineStr">
        <is>
          <t>Marketed</t>
        </is>
      </c>
      <c r="I15" s="5" t="n"/>
      <c r="J15" s="5" t="n"/>
      <c r="K15" s="10" t="n"/>
      <c r="L15" s="10" t="n"/>
      <c r="M15" s="5" t="n"/>
      <c r="N15" s="5" t="n"/>
      <c r="O15" s="5" t="n"/>
    </row>
    <row r="16">
      <c r="A16" s="10" t="inlineStr">
        <is>
          <t>Cardyd-AM 40/10</t>
        </is>
      </c>
      <c r="B16" s="10" t="inlineStr">
        <is>
          <t>Telmisartan, Amlodipine Besylate</t>
        </is>
      </c>
      <c r="C16" s="10" t="n">
        <v>2</v>
      </c>
      <c r="D16" s="5" t="inlineStr">
        <is>
          <t>Tablet</t>
        </is>
      </c>
      <c r="E16" s="5" t="inlineStr">
        <is>
          <t>F05</t>
        </is>
      </c>
      <c r="F16" s="5" t="n"/>
      <c r="G16" s="5" t="n"/>
      <c r="H16" s="5" t="inlineStr">
        <is>
          <t>Marketed</t>
        </is>
      </c>
      <c r="I16" s="5" t="n"/>
      <c r="J16" s="5" t="n"/>
      <c r="K16" s="10" t="n"/>
      <c r="L16" s="10" t="n"/>
      <c r="M16" s="5" t="n"/>
      <c r="N16" s="5" t="n"/>
      <c r="O16" s="5" t="n"/>
    </row>
    <row r="17">
      <c r="A17" s="10" t="inlineStr">
        <is>
          <t>Cardyd-H 40/12.5</t>
        </is>
      </c>
      <c r="B17" s="10" t="inlineStr">
        <is>
          <t>Telmisartan, Hydrochlorothiazide</t>
        </is>
      </c>
      <c r="C17" s="10" t="n">
        <v>2</v>
      </c>
      <c r="D17" s="5" t="inlineStr">
        <is>
          <t>Tablet</t>
        </is>
      </c>
      <c r="E17" s="5" t="inlineStr">
        <is>
          <t>F06</t>
        </is>
      </c>
      <c r="F17" s="5" t="n"/>
      <c r="G17" s="5" t="n"/>
      <c r="H17" s="5" t="inlineStr">
        <is>
          <t>Marketed</t>
        </is>
      </c>
      <c r="I17" s="5" t="n"/>
      <c r="J17" s="5" t="n"/>
      <c r="K17" s="10" t="n"/>
      <c r="L17" s="10" t="n"/>
      <c r="M17" s="5" t="n"/>
      <c r="N17" s="5" t="n"/>
      <c r="O17" s="5" t="n"/>
    </row>
    <row r="18">
      <c r="A18" s="10" t="inlineStr">
        <is>
          <t>Cardyd-H 80/12.5</t>
        </is>
      </c>
      <c r="B18" s="10" t="inlineStr">
        <is>
          <t>Telmisartan, Hydrochlorothiazide</t>
        </is>
      </c>
      <c r="C18" s="10" t="n">
        <v>2</v>
      </c>
      <c r="D18" s="5" t="inlineStr">
        <is>
          <t>Tablet</t>
        </is>
      </c>
      <c r="E18" s="5" t="inlineStr">
        <is>
          <t>F06</t>
        </is>
      </c>
      <c r="F18" s="5" t="n"/>
      <c r="G18" s="5" t="n"/>
      <c r="H18" s="5" t="inlineStr">
        <is>
          <t>Marketed</t>
        </is>
      </c>
      <c r="I18" s="5" t="n"/>
      <c r="J18" s="5" t="n"/>
      <c r="K18" s="10" t="n"/>
      <c r="L18" s="10" t="n"/>
      <c r="M18" s="5" t="n"/>
      <c r="N18" s="5" t="n"/>
      <c r="O18" s="5" t="n"/>
    </row>
    <row r="19">
      <c r="A19" s="10" t="inlineStr">
        <is>
          <t>Cardyd-H 80/25</t>
        </is>
      </c>
      <c r="B19" s="10" t="inlineStr">
        <is>
          <t>Telmisartan, Hydrochlorothiazide</t>
        </is>
      </c>
      <c r="C19" s="10" t="n">
        <v>2</v>
      </c>
      <c r="D19" s="5" t="inlineStr">
        <is>
          <t>Tablet</t>
        </is>
      </c>
      <c r="E19" s="5" t="inlineStr">
        <is>
          <t>F06</t>
        </is>
      </c>
      <c r="F19" s="5" t="n"/>
      <c r="G19" s="5" t="n"/>
      <c r="H19" s="5" t="inlineStr">
        <is>
          <t>Marketed</t>
        </is>
      </c>
      <c r="I19" s="5" t="n"/>
      <c r="J19" s="5" t="n"/>
      <c r="K19" s="10" t="n"/>
      <c r="L19" s="10" t="n"/>
      <c r="M19" s="5" t="n"/>
      <c r="N19" s="5" t="n"/>
      <c r="O19" s="5" t="n"/>
    </row>
    <row r="20">
      <c r="A20" s="10" t="inlineStr">
        <is>
          <t>Dexlansoprazole 60</t>
        </is>
      </c>
      <c r="B20" s="10" t="inlineStr">
        <is>
          <t>Dexlansoprazole Pellets 20%</t>
        </is>
      </c>
      <c r="C20" s="10" t="n">
        <v>1</v>
      </c>
      <c r="D20" s="5" t="inlineStr">
        <is>
          <t>Capsule</t>
        </is>
      </c>
      <c r="E20" s="5" t="inlineStr">
        <is>
          <t>F07</t>
        </is>
      </c>
      <c r="F20" s="5" t="n"/>
      <c r="G20" s="5" t="n"/>
      <c r="H20" s="5" t="inlineStr">
        <is>
          <t>Marketed</t>
        </is>
      </c>
      <c r="I20" s="5" t="n"/>
      <c r="J20" s="5" t="n"/>
      <c r="K20" s="10" t="n"/>
      <c r="L20" s="10" t="n"/>
      <c r="M20" s="5" t="n"/>
      <c r="N20" s="5" t="n"/>
      <c r="O20" s="5" t="n"/>
    </row>
    <row r="21">
      <c r="A21" s="10" t="inlineStr">
        <is>
          <t>Dexlansoprazole 30</t>
        </is>
      </c>
      <c r="B21" s="10" t="inlineStr">
        <is>
          <t>Dexlansoprazole Pellets 20%</t>
        </is>
      </c>
      <c r="C21" s="10" t="n">
        <v>1</v>
      </c>
      <c r="D21" s="5" t="inlineStr">
        <is>
          <t>Capsule</t>
        </is>
      </c>
      <c r="E21" s="5" t="inlineStr">
        <is>
          <t>F07</t>
        </is>
      </c>
      <c r="F21" s="5" t="n"/>
      <c r="G21" s="5" t="n"/>
      <c r="H21" s="5" t="inlineStr">
        <is>
          <t>Marketed</t>
        </is>
      </c>
      <c r="I21" s="5" t="n"/>
      <c r="J21" s="5" t="n"/>
      <c r="K21" s="10" t="n"/>
      <c r="L21" s="10" t="n"/>
      <c r="M21" s="5" t="n"/>
      <c r="N21" s="5" t="n"/>
      <c r="O21" s="5" t="n"/>
    </row>
    <row r="22">
      <c r="A22" s="10" t="inlineStr">
        <is>
          <t>Prucalopride 1</t>
        </is>
      </c>
      <c r="B22" s="10" t="inlineStr">
        <is>
          <t>Prucalopride Succinate</t>
        </is>
      </c>
      <c r="C22" s="10" t="n">
        <v>1</v>
      </c>
      <c r="D22" s="5" t="inlineStr">
        <is>
          <t>Tablet</t>
        </is>
      </c>
      <c r="E22" s="5" t="inlineStr">
        <is>
          <t>F08</t>
        </is>
      </c>
      <c r="F22" s="5" t="n"/>
      <c r="G22" s="5" t="n"/>
      <c r="H22" s="5" t="inlineStr">
        <is>
          <t>Marketed</t>
        </is>
      </c>
      <c r="I22" s="5" t="n"/>
      <c r="J22" s="5" t="n"/>
      <c r="K22" s="10" t="n"/>
      <c r="L22" s="10" t="n"/>
      <c r="M22" s="5" t="n"/>
      <c r="N22" s="5" t="n"/>
      <c r="O22" s="5" t="n"/>
    </row>
    <row r="23">
      <c r="A23" s="10" t="inlineStr">
        <is>
          <t>Prucalopride 2</t>
        </is>
      </c>
      <c r="B23" s="10" t="inlineStr">
        <is>
          <t>Prucalopride Succinate</t>
        </is>
      </c>
      <c r="C23" s="10" t="n">
        <v>1</v>
      </c>
      <c r="D23" s="5" t="inlineStr">
        <is>
          <t>Tablet</t>
        </is>
      </c>
      <c r="E23" s="5" t="inlineStr">
        <is>
          <t>F08</t>
        </is>
      </c>
      <c r="F23" s="5" t="n"/>
      <c r="G23" s="5" t="n"/>
      <c r="H23" s="5" t="inlineStr">
        <is>
          <t>Marketed</t>
        </is>
      </c>
      <c r="I23" s="5" t="n"/>
      <c r="J23" s="5" t="n"/>
      <c r="K23" s="10" t="n"/>
      <c r="L23" s="10" t="n"/>
      <c r="M23" s="5" t="n"/>
      <c r="N23" s="5" t="n"/>
      <c r="O23" s="5" t="n"/>
    </row>
    <row r="24">
      <c r="A24" s="10" t="inlineStr">
        <is>
          <t>Ranulo 500</t>
        </is>
      </c>
      <c r="B24" s="10" t="inlineStr">
        <is>
          <t>Ranolazine</t>
        </is>
      </c>
      <c r="C24" s="10" t="n">
        <v>1</v>
      </c>
      <c r="D24" s="5" t="inlineStr">
        <is>
          <t>Tablet</t>
        </is>
      </c>
      <c r="E24" s="5" t="inlineStr">
        <is>
          <t>F09</t>
        </is>
      </c>
      <c r="F24" s="5" t="n"/>
      <c r="G24" s="5" t="n"/>
      <c r="H24" s="5" t="inlineStr">
        <is>
          <t>Marketed</t>
        </is>
      </c>
      <c r="I24" s="5" t="n"/>
      <c r="J24" s="5" t="n"/>
      <c r="K24" s="10" t="n"/>
      <c r="L24" s="10" t="n"/>
      <c r="M24" s="5" t="n"/>
      <c r="N24" s="5" t="n"/>
      <c r="O24" s="5" t="n"/>
    </row>
    <row r="25">
      <c r="A25" s="10" t="inlineStr">
        <is>
          <t>Bempedoic Acid 180</t>
        </is>
      </c>
      <c r="B25" s="10" t="inlineStr">
        <is>
          <t>Bempedoic Acid</t>
        </is>
      </c>
      <c r="C25" s="10" t="n">
        <v>1</v>
      </c>
      <c r="D25" s="5" t="inlineStr">
        <is>
          <t>Tablet</t>
        </is>
      </c>
      <c r="E25" s="5" t="inlineStr">
        <is>
          <t>F10</t>
        </is>
      </c>
      <c r="F25" s="5" t="n"/>
      <c r="G25" s="5" t="n"/>
      <c r="H25" s="5" t="inlineStr">
        <is>
          <t>Marketed</t>
        </is>
      </c>
      <c r="I25" s="5" t="n"/>
      <c r="J25" s="5" t="n"/>
      <c r="K25" s="10" t="n"/>
      <c r="L25" s="10" t="n"/>
      <c r="M25" s="5" t="n"/>
      <c r="N25" s="5" t="n"/>
      <c r="O25" s="5" t="n"/>
    </row>
    <row r="26">
      <c r="A26" s="10" t="inlineStr">
        <is>
          <t>Bempedoic Ezetimibe 180/10</t>
        </is>
      </c>
      <c r="B26" s="10" t="inlineStr">
        <is>
          <t>Bempedoic Acid, Ezetimibe</t>
        </is>
      </c>
      <c r="C26" s="10" t="n">
        <v>2</v>
      </c>
      <c r="D26" s="5" t="inlineStr">
        <is>
          <t>Tablet</t>
        </is>
      </c>
      <c r="E26" s="5" t="inlineStr">
        <is>
          <t>F11</t>
        </is>
      </c>
      <c r="F26" s="5" t="n"/>
      <c r="G26" s="5" t="n"/>
      <c r="H26" s="5" t="inlineStr">
        <is>
          <t>Marketed</t>
        </is>
      </c>
      <c r="I26" s="5" t="n"/>
      <c r="J26" s="5" t="n"/>
      <c r="K26" s="10" t="n"/>
      <c r="L26" s="10" t="n"/>
      <c r="M26" s="5" t="n"/>
      <c r="N26" s="5" t="n"/>
      <c r="O26" s="5" t="n"/>
    </row>
    <row r="27">
      <c r="A27" s="10" t="inlineStr">
        <is>
          <t>loperamide 2</t>
        </is>
      </c>
      <c r="B27" s="10" t="inlineStr">
        <is>
          <t>Loperamide HCl</t>
        </is>
      </c>
      <c r="C27" s="10" t="n">
        <v>1</v>
      </c>
      <c r="D27" s="5" t="inlineStr">
        <is>
          <t>Tablet</t>
        </is>
      </c>
      <c r="E27" s="5" t="inlineStr">
        <is>
          <t>F12</t>
        </is>
      </c>
      <c r="F27" s="5" t="n"/>
      <c r="G27" s="5" t="n"/>
      <c r="H27" s="5" t="inlineStr">
        <is>
          <t>Marketed</t>
        </is>
      </c>
      <c r="I27" s="5" t="n"/>
      <c r="J27" s="5" t="n"/>
      <c r="K27" s="10" t="n"/>
      <c r="L27" s="10" t="n"/>
      <c r="M27" s="5" t="n"/>
      <c r="N27" s="5" t="n"/>
      <c r="O27" s="5" t="n"/>
    </row>
    <row r="28">
      <c r="A28" s="10" t="inlineStr">
        <is>
          <t>Naproxen 750</t>
        </is>
      </c>
      <c r="B28" s="10" t="inlineStr">
        <is>
          <t>Naproxen</t>
        </is>
      </c>
      <c r="C28" s="10" t="n">
        <v>1</v>
      </c>
      <c r="D28" s="5" t="inlineStr">
        <is>
          <t>Tablet</t>
        </is>
      </c>
      <c r="E28" s="5" t="inlineStr">
        <is>
          <t>F13</t>
        </is>
      </c>
      <c r="F28" s="5" t="n"/>
      <c r="G28" s="5" t="n"/>
      <c r="H28" s="5" t="inlineStr">
        <is>
          <t>Marketed</t>
        </is>
      </c>
      <c r="I28" s="5" t="n"/>
      <c r="J28" s="5" t="n"/>
      <c r="K28" s="10" t="n"/>
      <c r="L28" s="10" t="n"/>
      <c r="M28" s="5" t="n"/>
      <c r="N28" s="5" t="n"/>
      <c r="O28" s="5" t="n"/>
    </row>
    <row r="29">
      <c r="A29" s="10" t="inlineStr">
        <is>
          <t>Azelastin+Fluticasone (Nasal Spray)</t>
        </is>
      </c>
      <c r="B29" s="10" t="inlineStr">
        <is>
          <t>Azelastine Hydrochloride, Fluticasone Propionate</t>
        </is>
      </c>
      <c r="C29" s="10" t="n">
        <v>2</v>
      </c>
      <c r="D29" s="5" t="inlineStr">
        <is>
          <t>Nasal spray</t>
        </is>
      </c>
      <c r="E29" s="5" t="inlineStr">
        <is>
          <t>F14</t>
        </is>
      </c>
      <c r="F29" s="5" t="n"/>
      <c r="G29" s="5" t="n"/>
      <c r="H29" s="5" t="inlineStr">
        <is>
          <t>Marketed</t>
        </is>
      </c>
      <c r="I29" s="5" t="n"/>
      <c r="J29" s="5" t="n"/>
      <c r="K29" s="10" t="n"/>
      <c r="L29" s="10" t="n"/>
      <c r="M29" s="5" t="n"/>
      <c r="N29" s="5" t="n"/>
      <c r="O29" s="5" t="n"/>
    </row>
    <row r="30">
      <c r="A30" s="10" t="inlineStr">
        <is>
          <t>Scadia 50</t>
        </is>
      </c>
      <c r="B30" s="10" t="inlineStr">
        <is>
          <t>Sacubitril/Valsartan 3Sodium 2.5H2O Co-crystal</t>
        </is>
      </c>
      <c r="C30" s="10" t="n">
        <v>1</v>
      </c>
      <c r="D30" s="5" t="inlineStr">
        <is>
          <t>Tablet</t>
        </is>
      </c>
      <c r="E30" s="5" t="inlineStr">
        <is>
          <t>F15</t>
        </is>
      </c>
      <c r="F30" s="5" t="n"/>
      <c r="G30" s="5" t="n"/>
      <c r="H30" s="5" t="inlineStr">
        <is>
          <t>Marketed</t>
        </is>
      </c>
      <c r="I30" s="5" t="n"/>
      <c r="J30" s="5" t="n"/>
      <c r="K30" s="10" t="n"/>
      <c r="L30" s="10" t="n"/>
      <c r="M30" s="5" t="n"/>
      <c r="N30" s="5" t="n"/>
      <c r="O30" s="5" t="n"/>
    </row>
    <row r="31">
      <c r="A31" s="10" t="inlineStr">
        <is>
          <t>Scadia 100</t>
        </is>
      </c>
      <c r="B31" s="10" t="inlineStr">
        <is>
          <t>Sacubitril/Valsartan 3Sodium 2.5H2O Co-crystal</t>
        </is>
      </c>
      <c r="C31" s="10" t="n">
        <v>1</v>
      </c>
      <c r="D31" s="5" t="inlineStr">
        <is>
          <t>Tablet</t>
        </is>
      </c>
      <c r="E31" s="5" t="inlineStr">
        <is>
          <t>F15</t>
        </is>
      </c>
      <c r="F31" s="5" t="n"/>
      <c r="G31" s="5" t="n"/>
      <c r="H31" s="5" t="inlineStr">
        <is>
          <t>Marketed</t>
        </is>
      </c>
      <c r="I31" s="5" t="n"/>
      <c r="J31" s="5" t="n"/>
      <c r="K31" s="10" t="n"/>
      <c r="L31" s="10" t="n"/>
      <c r="M31" s="5" t="n"/>
      <c r="N31" s="5" t="n"/>
      <c r="O31" s="5" t="n"/>
    </row>
    <row r="32">
      <c r="A32" s="10" t="inlineStr">
        <is>
          <t>Scadia 200</t>
        </is>
      </c>
      <c r="B32" s="10" t="inlineStr">
        <is>
          <t>Sacubitril/Valsartan 3Sodium 2.5H2O Co-crystal</t>
        </is>
      </c>
      <c r="C32" s="10" t="n">
        <v>1</v>
      </c>
      <c r="D32" s="5" t="inlineStr">
        <is>
          <t>Tablet</t>
        </is>
      </c>
      <c r="E32" s="5" t="inlineStr">
        <is>
          <t>F15</t>
        </is>
      </c>
      <c r="F32" s="5" t="n"/>
      <c r="G32" s="5" t="n"/>
      <c r="H32" s="5" t="inlineStr">
        <is>
          <t>Marketed</t>
        </is>
      </c>
      <c r="I32" s="5" t="n"/>
      <c r="J32" s="5" t="n"/>
      <c r="K32" s="10" t="n"/>
      <c r="L32" s="10" t="n"/>
      <c r="M32" s="5" t="n"/>
      <c r="N32" s="5" t="n"/>
      <c r="O32" s="5" t="n"/>
    </row>
    <row r="33">
      <c r="A33" s="10" t="inlineStr">
        <is>
          <t>Taglida 5</t>
        </is>
      </c>
      <c r="B33" s="10" t="inlineStr">
        <is>
          <t>Linagliptin</t>
        </is>
      </c>
      <c r="C33" s="10" t="n">
        <v>1</v>
      </c>
      <c r="D33" s="5" t="inlineStr">
        <is>
          <t>Tablet</t>
        </is>
      </c>
      <c r="E33" s="5" t="inlineStr">
        <is>
          <t>F16</t>
        </is>
      </c>
      <c r="F33" s="5" t="n"/>
      <c r="G33" s="5" t="n"/>
      <c r="H33" s="5" t="inlineStr">
        <is>
          <t>Marketed</t>
        </is>
      </c>
      <c r="I33" s="5" t="n"/>
      <c r="J33" s="5" t="n"/>
      <c r="K33" s="10" t="n"/>
      <c r="L33" s="10" t="n"/>
      <c r="M33" s="5" t="n"/>
      <c r="N33" s="5" t="n"/>
      <c r="O33" s="5" t="n"/>
    </row>
    <row r="34">
      <c r="A34" s="10" t="inlineStr">
        <is>
          <t>Dapaglose 10</t>
        </is>
      </c>
      <c r="B34" s="10" t="inlineStr">
        <is>
          <t>Dapagliflozin Propanediol Monohydrate</t>
        </is>
      </c>
      <c r="C34" s="10" t="n">
        <v>1</v>
      </c>
      <c r="D34" s="5" t="inlineStr">
        <is>
          <t>Tablet</t>
        </is>
      </c>
      <c r="E34" s="5" t="inlineStr">
        <is>
          <t>F17</t>
        </is>
      </c>
      <c r="F34" s="5" t="n"/>
      <c r="G34" s="5" t="n"/>
      <c r="H34" s="5" t="inlineStr">
        <is>
          <t>Marketed</t>
        </is>
      </c>
      <c r="I34" s="5" t="n"/>
      <c r="J34" s="5" t="n"/>
      <c r="K34" s="10" t="n"/>
      <c r="L34" s="10" t="n"/>
      <c r="M34" s="5" t="n"/>
      <c r="N34" s="5" t="n"/>
      <c r="O34" s="5" t="n"/>
    </row>
    <row r="35">
      <c r="A35" s="10" t="inlineStr">
        <is>
          <t>Dapaglose 5</t>
        </is>
      </c>
      <c r="B35" s="10" t="inlineStr">
        <is>
          <t>Dapagliflozin Propanediol Monohydrate</t>
        </is>
      </c>
      <c r="C35" s="10" t="n">
        <v>1</v>
      </c>
      <c r="D35" s="5" t="inlineStr">
        <is>
          <t>Tablet</t>
        </is>
      </c>
      <c r="E35" s="5" t="inlineStr">
        <is>
          <t>F17</t>
        </is>
      </c>
      <c r="F35" s="5" t="n"/>
      <c r="G35" s="5" t="n"/>
      <c r="H35" s="5" t="inlineStr">
        <is>
          <t>Marketed</t>
        </is>
      </c>
      <c r="I35" s="5" t="n"/>
      <c r="J35" s="5" t="n"/>
      <c r="K35" s="10" t="n"/>
      <c r="L35" s="10" t="n"/>
      <c r="M35" s="5" t="n"/>
      <c r="N35" s="5" t="n"/>
      <c r="O35" s="5" t="n"/>
    </row>
    <row r="36">
      <c r="A36" s="10" t="inlineStr">
        <is>
          <t>Taglida Duo 2.5/1000</t>
        </is>
      </c>
      <c r="B36" s="10" t="inlineStr">
        <is>
          <t>Metformin Hydrochloride, Linagliptin (+1 more)</t>
        </is>
      </c>
      <c r="C36" s="10" t="n">
        <v>3</v>
      </c>
      <c r="D36" s="5" t="inlineStr">
        <is>
          <t>Tablet</t>
        </is>
      </c>
      <c r="E36" s="5" t="inlineStr">
        <is>
          <t>F18</t>
        </is>
      </c>
      <c r="F36" s="5" t="n"/>
      <c r="G36" s="5" t="n"/>
      <c r="H36" s="5" t="inlineStr">
        <is>
          <t>Marketed</t>
        </is>
      </c>
      <c r="I36" s="5" t="n"/>
      <c r="J36" s="5" t="n"/>
      <c r="K36" s="10" t="n"/>
      <c r="L36" s="10" t="n"/>
      <c r="M36" s="5" t="n"/>
      <c r="N36" s="5" t="n"/>
      <c r="O36" s="5" t="n"/>
    </row>
    <row r="37">
      <c r="A37" s="10" t="inlineStr">
        <is>
          <t>Taglida Duo 2.5/500</t>
        </is>
      </c>
      <c r="B37" s="10" t="inlineStr">
        <is>
          <t>Metformin Hydrochloride, Linagliptin (+1 more)</t>
        </is>
      </c>
      <c r="C37" s="10" t="n">
        <v>3</v>
      </c>
      <c r="D37" s="5" t="inlineStr">
        <is>
          <t>Tablet</t>
        </is>
      </c>
      <c r="E37" s="5" t="inlineStr">
        <is>
          <t>F18</t>
        </is>
      </c>
      <c r="F37" s="5" t="n"/>
      <c r="G37" s="5" t="n"/>
      <c r="H37" s="5" t="inlineStr">
        <is>
          <t>Marketed</t>
        </is>
      </c>
      <c r="I37" s="5" t="n"/>
      <c r="J37" s="5" t="n"/>
      <c r="K37" s="10" t="n"/>
      <c r="L37" s="10" t="n"/>
      <c r="M37" s="5" t="n"/>
      <c r="N37" s="5" t="n"/>
      <c r="O37" s="5" t="n"/>
    </row>
    <row r="38">
      <c r="A38" s="10" t="inlineStr">
        <is>
          <t>Ozanimod 0.23/0.46</t>
        </is>
      </c>
      <c r="B38" s="10" t="inlineStr">
        <is>
          <t>Ozanimod Hydrochloride</t>
        </is>
      </c>
      <c r="C38" s="10" t="n">
        <v>1</v>
      </c>
      <c r="D38" s="5" t="inlineStr">
        <is>
          <t>Capsule</t>
        </is>
      </c>
      <c r="E38" s="5" t="inlineStr">
        <is>
          <t>F19</t>
        </is>
      </c>
      <c r="F38" s="5" t="n"/>
      <c r="G38" s="5" t="n"/>
      <c r="H38" s="5" t="inlineStr">
        <is>
          <t>Marketed</t>
        </is>
      </c>
      <c r="I38" s="5" t="n"/>
      <c r="J38" s="5" t="n"/>
      <c r="K38" s="10" t="n"/>
      <c r="L38" s="10" t="n"/>
      <c r="M38" s="5" t="n"/>
      <c r="N38" s="5" t="n"/>
      <c r="O38" s="5" t="n"/>
    </row>
    <row r="39">
      <c r="A39" s="10" t="inlineStr">
        <is>
          <t>Ozanimod 0.92 mg</t>
        </is>
      </c>
      <c r="B39" s="10" t="inlineStr">
        <is>
          <t>Ozanimod Hydrochloride</t>
        </is>
      </c>
      <c r="C39" s="10" t="n">
        <v>1</v>
      </c>
      <c r="D39" s="5" t="inlineStr">
        <is>
          <t>Capsule</t>
        </is>
      </c>
      <c r="E39" s="5" t="inlineStr">
        <is>
          <t>F19</t>
        </is>
      </c>
      <c r="F39" s="5" t="n"/>
      <c r="G39" s="5" t="n"/>
      <c r="H39" s="5" t="inlineStr">
        <is>
          <t>Marketed</t>
        </is>
      </c>
      <c r="I39" s="5" t="n"/>
      <c r="J39" s="5" t="n"/>
      <c r="K39" s="10" t="n"/>
      <c r="L39" s="10" t="n"/>
      <c r="M39" s="5" t="n"/>
      <c r="N39" s="5" t="n"/>
      <c r="O39" s="5" t="n"/>
    </row>
    <row r="40">
      <c r="A40" s="10" t="inlineStr">
        <is>
          <t>Flusip Cold and cough-Day</t>
        </is>
      </c>
      <c r="B40" s="10" t="inlineStr">
        <is>
          <t>Acetaminophen, Phenylephrine HCl (+2 more)</t>
        </is>
      </c>
      <c r="C40" s="10" t="n">
        <v>4</v>
      </c>
      <c r="D40" s="5" t="inlineStr">
        <is>
          <t>Tablet</t>
        </is>
      </c>
      <c r="E40" s="5" t="inlineStr">
        <is>
          <t>F20</t>
        </is>
      </c>
      <c r="F40" s="5" t="n"/>
      <c r="G40" s="5" t="n"/>
      <c r="H40" s="5" t="inlineStr">
        <is>
          <t>Marketed</t>
        </is>
      </c>
      <c r="I40" s="5" t="n"/>
      <c r="J40" s="5" t="n"/>
      <c r="K40" s="10" t="n"/>
      <c r="L40" s="10" t="n"/>
      <c r="M40" s="5" t="n"/>
      <c r="N40" s="5" t="n"/>
      <c r="O40" s="5" t="n"/>
    </row>
    <row r="41">
      <c r="A41" s="10" t="inlineStr">
        <is>
          <t>Flusip Cold and Cough-Day (Sugar Free)</t>
        </is>
      </c>
      <c r="B41" s="10" t="inlineStr">
        <is>
          <t>Acetaminophen, Phenylephrine HCl (+2 more)</t>
        </is>
      </c>
      <c r="C41" s="10" t="n">
        <v>4</v>
      </c>
      <c r="D41" s="5" t="inlineStr">
        <is>
          <t>Tablet</t>
        </is>
      </c>
      <c r="E41" s="5" t="inlineStr">
        <is>
          <t>F20</t>
        </is>
      </c>
      <c r="F41" s="5" t="n"/>
      <c r="G41" s="5" t="n"/>
      <c r="H41" s="5" t="inlineStr">
        <is>
          <t>Marketed</t>
        </is>
      </c>
      <c r="I41" s="5" t="n"/>
      <c r="J41" s="5" t="n"/>
      <c r="K41" s="10" t="n"/>
      <c r="L41" s="10" t="n"/>
      <c r="M41" s="5" t="n"/>
      <c r="N41" s="5" t="n"/>
      <c r="O41" s="5" t="n"/>
    </row>
    <row r="42">
      <c r="A42" s="10" t="inlineStr">
        <is>
          <t>Flusip Cold and Cough-Night</t>
        </is>
      </c>
      <c r="B42" s="10" t="inlineStr">
        <is>
          <t>Acetaminophen, Phenylephrine HCl (+2 more)</t>
        </is>
      </c>
      <c r="C42" s="10" t="n">
        <v>4</v>
      </c>
      <c r="D42" s="5" t="inlineStr">
        <is>
          <t>Tablet</t>
        </is>
      </c>
      <c r="E42" s="5" t="inlineStr">
        <is>
          <t>F20</t>
        </is>
      </c>
      <c r="F42" s="5" t="n"/>
      <c r="G42" s="5" t="n"/>
      <c r="H42" s="5" t="inlineStr">
        <is>
          <t>Marketed</t>
        </is>
      </c>
      <c r="I42" s="5" t="n"/>
      <c r="J42" s="5" t="n"/>
      <c r="K42" s="10" t="n"/>
      <c r="L42" s="10" t="n"/>
      <c r="M42" s="5" t="n"/>
      <c r="N42" s="5" t="n"/>
      <c r="O42" s="5" t="n"/>
    </row>
    <row r="43">
      <c r="A43" s="10" t="inlineStr">
        <is>
          <t>Flusip Cold &amp; Cough Night (Sugar Free)</t>
        </is>
      </c>
      <c r="B43" s="10" t="inlineStr">
        <is>
          <t>Acetaminophen, Phenylephrine HCl (+2 more)</t>
        </is>
      </c>
      <c r="C43" s="10" t="n">
        <v>4</v>
      </c>
      <c r="D43" s="5" t="inlineStr">
        <is>
          <t>Tablet</t>
        </is>
      </c>
      <c r="E43" s="5" t="inlineStr">
        <is>
          <t>F20</t>
        </is>
      </c>
      <c r="F43" s="5" t="n"/>
      <c r="G43" s="5" t="n"/>
      <c r="H43" s="5" t="inlineStr">
        <is>
          <t>Marketed</t>
        </is>
      </c>
      <c r="I43" s="5" t="n"/>
      <c r="J43" s="5" t="n"/>
      <c r="K43" s="10" t="n"/>
      <c r="L43" s="10" t="n"/>
      <c r="M43" s="5" t="n"/>
      <c r="N43" s="5" t="n"/>
      <c r="O43" s="5" t="n"/>
    </row>
    <row r="44">
      <c r="A44" s="10" t="inlineStr">
        <is>
          <t>Flusip Cold and Flu</t>
        </is>
      </c>
      <c r="B44" s="10" t="inlineStr">
        <is>
          <t>Acetaminophen, Phenylephrine HCl (+1 more)</t>
        </is>
      </c>
      <c r="C44" s="10" t="n">
        <v>3</v>
      </c>
      <c r="D44" s="5" t="inlineStr">
        <is>
          <t>Tablet</t>
        </is>
      </c>
      <c r="E44" s="5" t="inlineStr">
        <is>
          <t>F21</t>
        </is>
      </c>
      <c r="F44" s="5" t="n"/>
      <c r="G44" s="5" t="n"/>
      <c r="H44" s="5" t="inlineStr">
        <is>
          <t>Marketed</t>
        </is>
      </c>
      <c r="I44" s="5" t="n"/>
      <c r="J44" s="5" t="n"/>
      <c r="K44" s="10" t="n"/>
      <c r="L44" s="10" t="n"/>
      <c r="M44" s="5" t="n"/>
      <c r="N44" s="5" t="n"/>
      <c r="O44" s="5" t="n"/>
    </row>
    <row r="45">
      <c r="A45" s="10" t="inlineStr">
        <is>
          <t>Flusip Cold and Flu (Sugar Free)</t>
        </is>
      </c>
      <c r="B45" s="10" t="inlineStr">
        <is>
          <t>Acetaminophen, Phenylephrine HCl (+1 more)</t>
        </is>
      </c>
      <c r="C45" s="10" t="n">
        <v>3</v>
      </c>
      <c r="D45" s="5" t="inlineStr">
        <is>
          <t>Tablet</t>
        </is>
      </c>
      <c r="E45" s="5" t="inlineStr">
        <is>
          <t>F21</t>
        </is>
      </c>
      <c r="F45" s="5" t="n"/>
      <c r="G45" s="5" t="n"/>
      <c r="H45" s="5" t="inlineStr">
        <is>
          <t>Marketed</t>
        </is>
      </c>
      <c r="I45" s="5" t="n"/>
      <c r="J45" s="5" t="n"/>
      <c r="K45" s="10" t="n"/>
      <c r="L45" s="10" t="n"/>
      <c r="M45" s="5" t="n"/>
      <c r="N45" s="5" t="n"/>
      <c r="O45" s="5" t="n"/>
    </row>
    <row r="46">
      <c r="A46" s="10" t="inlineStr">
        <is>
          <t>Flusip-C</t>
        </is>
      </c>
      <c r="B46" s="10" t="inlineStr">
        <is>
          <t>Not on record – define</t>
        </is>
      </c>
      <c r="C46" s="10" t="n">
        <v>0</v>
      </c>
      <c r="D46" s="5" t="inlineStr">
        <is>
          <t>Tablet</t>
        </is>
      </c>
      <c r="E46" s="5" t="inlineStr">
        <is>
          <t>F22</t>
        </is>
      </c>
      <c r="F46" s="5" t="n"/>
      <c r="G46" s="5" t="n"/>
      <c r="H46" s="5" t="inlineStr">
        <is>
          <t>Pipeline / no formula</t>
        </is>
      </c>
      <c r="I46" s="5" t="n"/>
      <c r="J46" s="5" t="n"/>
      <c r="K46" s="10" t="n"/>
      <c r="L46" s="10" t="n"/>
      <c r="M46" s="5" t="n"/>
      <c r="N46" s="5" t="n"/>
      <c r="O46" s="5" t="n"/>
    </row>
    <row r="47">
      <c r="A47" s="10" t="inlineStr">
        <is>
          <t>Empagliflozin 10 mg</t>
        </is>
      </c>
      <c r="B47" s="10" t="inlineStr">
        <is>
          <t>Empagliflozin</t>
        </is>
      </c>
      <c r="C47" s="10" t="n">
        <v>1</v>
      </c>
      <c r="D47" s="5" t="inlineStr">
        <is>
          <t>Tablet</t>
        </is>
      </c>
      <c r="E47" s="5" t="inlineStr">
        <is>
          <t>F23</t>
        </is>
      </c>
      <c r="F47" s="5" t="n"/>
      <c r="G47" s="5" t="n"/>
      <c r="H47" s="5" t="inlineStr">
        <is>
          <t>Marketed</t>
        </is>
      </c>
      <c r="I47" s="5" t="n"/>
      <c r="J47" s="5" t="n"/>
      <c r="K47" s="10" t="n"/>
      <c r="L47" s="10" t="n"/>
      <c r="M47" s="5" t="n"/>
      <c r="N47" s="5" t="n"/>
      <c r="O47" s="5" t="n"/>
    </row>
    <row r="48">
      <c r="A48" s="10" t="inlineStr">
        <is>
          <t>Empaglose 25</t>
        </is>
      </c>
      <c r="B48" s="10" t="inlineStr">
        <is>
          <t>Empagliflozin</t>
        </is>
      </c>
      <c r="C48" s="10" t="n">
        <v>1</v>
      </c>
      <c r="D48" s="5" t="inlineStr">
        <is>
          <t>Tablet</t>
        </is>
      </c>
      <c r="E48" s="5" t="inlineStr">
        <is>
          <t>F23</t>
        </is>
      </c>
      <c r="F48" s="5" t="n"/>
      <c r="G48" s="5" t="n"/>
      <c r="H48" s="5" t="inlineStr">
        <is>
          <t>Marketed</t>
        </is>
      </c>
      <c r="I48" s="5" t="n"/>
      <c r="J48" s="5" t="n"/>
      <c r="K48" s="10" t="n"/>
      <c r="L48" s="10" t="n"/>
      <c r="M48" s="5" t="n"/>
      <c r="N48" s="5" t="n"/>
      <c r="O48" s="5" t="n"/>
    </row>
    <row r="49">
      <c r="A49" s="10" t="inlineStr">
        <is>
          <t>Lixiban 2.5</t>
        </is>
      </c>
      <c r="B49" s="10" t="inlineStr">
        <is>
          <t>Apixaban</t>
        </is>
      </c>
      <c r="C49" s="10" t="n">
        <v>1</v>
      </c>
      <c r="D49" s="5" t="inlineStr">
        <is>
          <t>Tablet</t>
        </is>
      </c>
      <c r="E49" s="5" t="inlineStr">
        <is>
          <t>F24</t>
        </is>
      </c>
      <c r="F49" s="5" t="n"/>
      <c r="G49" s="5" t="n"/>
      <c r="H49" s="5" t="inlineStr">
        <is>
          <t>Marketed</t>
        </is>
      </c>
      <c r="I49" s="5" t="n"/>
      <c r="J49" s="5" t="n"/>
      <c r="K49" s="10" t="n"/>
      <c r="L49" s="10" t="n"/>
      <c r="M49" s="5" t="n"/>
      <c r="N49" s="5" t="n"/>
      <c r="O49" s="5" t="n"/>
    </row>
    <row r="50">
      <c r="A50" s="10" t="inlineStr">
        <is>
          <t>Lixiban 5</t>
        </is>
      </c>
      <c r="B50" s="10" t="inlineStr">
        <is>
          <t>Apixaban</t>
        </is>
      </c>
      <c r="C50" s="10" t="n">
        <v>1</v>
      </c>
      <c r="D50" s="5" t="inlineStr">
        <is>
          <t>Tablet</t>
        </is>
      </c>
      <c r="E50" s="5" t="inlineStr">
        <is>
          <t>F24</t>
        </is>
      </c>
      <c r="F50" s="5" t="n"/>
      <c r="G50" s="5" t="n"/>
      <c r="H50" s="5" t="inlineStr">
        <is>
          <t>Marketed</t>
        </is>
      </c>
      <c r="I50" s="5" t="n"/>
      <c r="J50" s="5" t="n"/>
      <c r="K50" s="10" t="n"/>
      <c r="L50" s="10" t="n"/>
      <c r="M50" s="5" t="n"/>
      <c r="N50" s="5" t="n"/>
      <c r="O50" s="5" t="n"/>
    </row>
    <row r="51">
      <c r="A51" s="10" t="inlineStr">
        <is>
          <t>Glose-lin 10/5</t>
        </is>
      </c>
      <c r="B51" s="10" t="inlineStr">
        <is>
          <t>Empagliflozin, Linagliptin</t>
        </is>
      </c>
      <c r="C51" s="10" t="n">
        <v>2</v>
      </c>
      <c r="D51" s="5" t="inlineStr">
        <is>
          <t>Tablet</t>
        </is>
      </c>
      <c r="E51" s="5" t="inlineStr">
        <is>
          <t>F25</t>
        </is>
      </c>
      <c r="F51" s="5" t="n"/>
      <c r="G51" s="5" t="n"/>
      <c r="H51" s="5" t="inlineStr">
        <is>
          <t>Marketed</t>
        </is>
      </c>
      <c r="I51" s="5" t="n"/>
      <c r="J51" s="5" t="n"/>
      <c r="K51" s="10" t="n"/>
      <c r="L51" s="10" t="n"/>
      <c r="M51" s="5" t="n"/>
      <c r="N51" s="5" t="n"/>
      <c r="O51" s="5" t="n"/>
    </row>
    <row r="52">
      <c r="A52" s="10" t="inlineStr">
        <is>
          <t>Glose-lin 25/5</t>
        </is>
      </c>
      <c r="B52" s="10" t="inlineStr">
        <is>
          <t>Empagliflozin, Linagliptin</t>
        </is>
      </c>
      <c r="C52" s="10" t="n">
        <v>2</v>
      </c>
      <c r="D52" s="5" t="inlineStr">
        <is>
          <t>Tablet</t>
        </is>
      </c>
      <c r="E52" s="5" t="inlineStr">
        <is>
          <t>F25</t>
        </is>
      </c>
      <c r="F52" s="5" t="n"/>
      <c r="G52" s="5" t="n"/>
      <c r="H52" s="5" t="inlineStr">
        <is>
          <t>Marketed</t>
        </is>
      </c>
      <c r="I52" s="5" t="n"/>
      <c r="J52" s="5" t="n"/>
      <c r="K52" s="10" t="n"/>
      <c r="L52" s="10" t="n"/>
      <c r="M52" s="5" t="n"/>
      <c r="N52" s="5" t="n"/>
      <c r="O52" s="5" t="n"/>
    </row>
    <row r="53">
      <c r="A53" s="10" t="inlineStr">
        <is>
          <t>TRILEMO ER 5-2.5-1000</t>
        </is>
      </c>
      <c r="B53" s="10" t="inlineStr">
        <is>
          <t>Metformin Hydrochloride, Empagliflozin (+1 more)</t>
        </is>
      </c>
      <c r="C53" s="10" t="n">
        <v>3</v>
      </c>
      <c r="D53" s="5" t="inlineStr">
        <is>
          <t>Tablet</t>
        </is>
      </c>
      <c r="E53" s="5" t="inlineStr">
        <is>
          <t>F26</t>
        </is>
      </c>
      <c r="F53" s="5" t="n"/>
      <c r="G53" s="5" t="n"/>
      <c r="H53" s="5" t="inlineStr">
        <is>
          <t>Marketed</t>
        </is>
      </c>
      <c r="I53" s="5" t="n"/>
      <c r="J53" s="5" t="n"/>
      <c r="K53" s="10" t="n"/>
      <c r="L53" s="10" t="n"/>
      <c r="M53" s="5" t="n"/>
      <c r="N53" s="5" t="n"/>
      <c r="O53" s="5" t="n"/>
    </row>
    <row r="54">
      <c r="A54" s="10" t="inlineStr">
        <is>
          <t>TRILEMO ER 10-5-1000</t>
        </is>
      </c>
      <c r="B54" s="10" t="inlineStr">
        <is>
          <t>Metformin Hydrochloride, Empagliflozin (+1 more)</t>
        </is>
      </c>
      <c r="C54" s="10" t="n">
        <v>3</v>
      </c>
      <c r="D54" s="5" t="inlineStr">
        <is>
          <t>Tablet</t>
        </is>
      </c>
      <c r="E54" s="5" t="inlineStr">
        <is>
          <t>F26</t>
        </is>
      </c>
      <c r="F54" s="5" t="n"/>
      <c r="G54" s="5" t="n"/>
      <c r="H54" s="5" t="inlineStr">
        <is>
          <t>Marketed</t>
        </is>
      </c>
      <c r="I54" s="5" t="n"/>
      <c r="J54" s="5" t="n"/>
      <c r="K54" s="10" t="n"/>
      <c r="L54" s="10" t="n"/>
      <c r="M54" s="5" t="n"/>
      <c r="N54" s="5" t="n"/>
      <c r="O54" s="5" t="n"/>
    </row>
    <row r="55">
      <c r="A55" s="10" t="inlineStr">
        <is>
          <t>TRILEMO ER 12.5-2.5-1000</t>
        </is>
      </c>
      <c r="B55" s="10" t="inlineStr">
        <is>
          <t>Metformin Hydrochloride, Empagliflozin (+1 more)</t>
        </is>
      </c>
      <c r="C55" s="10" t="n">
        <v>3</v>
      </c>
      <c r="D55" s="5" t="inlineStr">
        <is>
          <t>Tablet</t>
        </is>
      </c>
      <c r="E55" s="5" t="inlineStr">
        <is>
          <t>F26</t>
        </is>
      </c>
      <c r="F55" s="5" t="n"/>
      <c r="G55" s="5" t="n"/>
      <c r="H55" s="5" t="inlineStr">
        <is>
          <t>Marketed</t>
        </is>
      </c>
      <c r="I55" s="5" t="n"/>
      <c r="J55" s="5" t="n"/>
      <c r="K55" s="10" t="n"/>
      <c r="L55" s="10" t="n"/>
      <c r="M55" s="5" t="n"/>
      <c r="N55" s="5" t="n"/>
      <c r="O55" s="5" t="n"/>
    </row>
    <row r="56">
      <c r="A56" s="10" t="inlineStr">
        <is>
          <t>TRILEMO ER 25-5-1000</t>
        </is>
      </c>
      <c r="B56" s="10" t="inlineStr">
        <is>
          <t>Metformin Hydrochloride, Empagliflozin (+1 more)</t>
        </is>
      </c>
      <c r="C56" s="10" t="n">
        <v>3</v>
      </c>
      <c r="D56" s="5" t="inlineStr">
        <is>
          <t>Tablet</t>
        </is>
      </c>
      <c r="E56" s="5" t="inlineStr">
        <is>
          <t>F26</t>
        </is>
      </c>
      <c r="F56" s="5" t="n"/>
      <c r="G56" s="5" t="n"/>
      <c r="H56" s="5" t="inlineStr">
        <is>
          <t>Marketed</t>
        </is>
      </c>
      <c r="I56" s="5" t="n"/>
      <c r="J56" s="5" t="n"/>
      <c r="K56" s="10" t="n"/>
      <c r="L56" s="10" t="n"/>
      <c r="M56" s="5" t="n"/>
      <c r="N56" s="5" t="n"/>
      <c r="O56" s="5" t="n"/>
    </row>
    <row r="57">
      <c r="A57" s="10" t="inlineStr">
        <is>
          <t>Emet-Duo 5/1000 ER</t>
        </is>
      </c>
      <c r="B57" s="10" t="inlineStr">
        <is>
          <t>Metformin Hydrochloride, Empagliflozin</t>
        </is>
      </c>
      <c r="C57" s="10" t="n">
        <v>2</v>
      </c>
      <c r="D57" s="5" t="inlineStr">
        <is>
          <t>Tablet</t>
        </is>
      </c>
      <c r="E57" s="5" t="inlineStr">
        <is>
          <t>F27</t>
        </is>
      </c>
      <c r="F57" s="5" t="n"/>
      <c r="G57" s="5" t="n"/>
      <c r="H57" s="5" t="inlineStr">
        <is>
          <t>Marketed</t>
        </is>
      </c>
      <c r="I57" s="5" t="n"/>
      <c r="J57" s="5" t="n"/>
      <c r="K57" s="10" t="n"/>
      <c r="L57" s="10" t="n"/>
      <c r="M57" s="5" t="n"/>
      <c r="N57" s="5" t="n"/>
      <c r="O57" s="5" t="n"/>
    </row>
    <row r="58">
      <c r="A58" s="10" t="inlineStr">
        <is>
          <t>Emet-Duo 10/1000 ER</t>
        </is>
      </c>
      <c r="B58" s="10" t="inlineStr">
        <is>
          <t>Metformin Hydrochloride, Empagliflozin</t>
        </is>
      </c>
      <c r="C58" s="10" t="n">
        <v>2</v>
      </c>
      <c r="D58" s="5" t="inlineStr">
        <is>
          <t>Tablet</t>
        </is>
      </c>
      <c r="E58" s="5" t="inlineStr">
        <is>
          <t>F27</t>
        </is>
      </c>
      <c r="F58" s="5" t="n"/>
      <c r="G58" s="5" t="n"/>
      <c r="H58" s="5" t="inlineStr">
        <is>
          <t>Marketed</t>
        </is>
      </c>
      <c r="I58" s="5" t="n"/>
      <c r="J58" s="5" t="n"/>
      <c r="K58" s="10" t="n"/>
      <c r="L58" s="10" t="n"/>
      <c r="M58" s="5" t="n"/>
      <c r="N58" s="5" t="n"/>
      <c r="O58" s="5" t="n"/>
    </row>
    <row r="59">
      <c r="A59" s="10" t="inlineStr">
        <is>
          <t>Emet-Duo 12.5/1000 ER</t>
        </is>
      </c>
      <c r="B59" s="10" t="inlineStr">
        <is>
          <t>Metformin Hydrochloride, Empagliflozin</t>
        </is>
      </c>
      <c r="C59" s="10" t="n">
        <v>2</v>
      </c>
      <c r="D59" s="5" t="inlineStr">
        <is>
          <t>Tablet</t>
        </is>
      </c>
      <c r="E59" s="5" t="inlineStr">
        <is>
          <t>F27</t>
        </is>
      </c>
      <c r="F59" s="5" t="n"/>
      <c r="G59" s="5" t="n"/>
      <c r="H59" s="5" t="inlineStr">
        <is>
          <t>Marketed</t>
        </is>
      </c>
      <c r="I59" s="5" t="n"/>
      <c r="J59" s="5" t="n"/>
      <c r="K59" s="10" t="n"/>
      <c r="L59" s="10" t="n"/>
      <c r="M59" s="5" t="n"/>
      <c r="N59" s="5" t="n"/>
      <c r="O59" s="5" t="n"/>
    </row>
    <row r="60">
      <c r="A60" s="10" t="inlineStr">
        <is>
          <t>Emet-Duo 25/1000 ER</t>
        </is>
      </c>
      <c r="B60" s="10" t="inlineStr">
        <is>
          <t>Metformin Hydrochloride, Empagliflozin</t>
        </is>
      </c>
      <c r="C60" s="10" t="n">
        <v>2</v>
      </c>
      <c r="D60" s="5" t="inlineStr">
        <is>
          <t>Tablet</t>
        </is>
      </c>
      <c r="E60" s="5" t="inlineStr">
        <is>
          <t>F27</t>
        </is>
      </c>
      <c r="F60" s="5" t="n"/>
      <c r="G60" s="5" t="n"/>
      <c r="H60" s="5" t="inlineStr">
        <is>
          <t>Marketed</t>
        </is>
      </c>
      <c r="I60" s="5" t="n"/>
      <c r="J60" s="5" t="n"/>
      <c r="K60" s="10" t="n"/>
      <c r="L60" s="10" t="n"/>
      <c r="M60" s="5" t="n"/>
      <c r="N60" s="5" t="n"/>
      <c r="O60" s="5" t="n"/>
    </row>
    <row r="61">
      <c r="A61" s="10" t="inlineStr">
        <is>
          <t>Emet-Duo 12.5/1000</t>
        </is>
      </c>
      <c r="B61" s="10" t="inlineStr">
        <is>
          <t>Not on record – define</t>
        </is>
      </c>
      <c r="C61" s="10" t="n">
        <v>0</v>
      </c>
      <c r="D61" s="5" t="inlineStr">
        <is>
          <t>Tablet</t>
        </is>
      </c>
      <c r="E61" s="5" t="inlineStr">
        <is>
          <t>F28</t>
        </is>
      </c>
      <c r="F61" s="5" t="n"/>
      <c r="G61" s="5" t="n"/>
      <c r="H61" s="5" t="inlineStr">
        <is>
          <t>Pipeline / no formula</t>
        </is>
      </c>
      <c r="I61" s="5" t="n"/>
      <c r="J61" s="5" t="n"/>
      <c r="K61" s="10" t="n"/>
      <c r="L61" s="10" t="n"/>
      <c r="M61" s="5" t="n"/>
      <c r="N61" s="5" t="n"/>
      <c r="O61" s="5" t="n"/>
    </row>
    <row r="62">
      <c r="A62" s="10" t="inlineStr">
        <is>
          <t>Emet-Duo 5/1000</t>
        </is>
      </c>
      <c r="B62" s="10" t="inlineStr">
        <is>
          <t>Empagliflozin, Metformin Hydrochloride</t>
        </is>
      </c>
      <c r="C62" s="10" t="n">
        <v>2</v>
      </c>
      <c r="D62" s="5" t="inlineStr">
        <is>
          <t>Tablet</t>
        </is>
      </c>
      <c r="E62" s="5" t="inlineStr">
        <is>
          <t>F28</t>
        </is>
      </c>
      <c r="F62" s="5" t="n"/>
      <c r="G62" s="5" t="n"/>
      <c r="H62" s="5" t="inlineStr">
        <is>
          <t>Marketed</t>
        </is>
      </c>
      <c r="I62" s="5" t="n"/>
      <c r="J62" s="5" t="n"/>
      <c r="K62" s="10" t="n"/>
      <c r="L62" s="10" t="n"/>
      <c r="M62" s="5" t="n"/>
      <c r="N62" s="5" t="n"/>
      <c r="O62" s="5" t="n"/>
    </row>
    <row r="63">
      <c r="A63" s="10" t="inlineStr">
        <is>
          <t>Emet-Duo 12.5/500</t>
        </is>
      </c>
      <c r="B63" s="10" t="inlineStr">
        <is>
          <t>Empagliflozin, Metformin Hydrochloride</t>
        </is>
      </c>
      <c r="C63" s="10" t="n">
        <v>2</v>
      </c>
      <c r="D63" s="5" t="inlineStr">
        <is>
          <t>Tablet</t>
        </is>
      </c>
      <c r="E63" s="5" t="inlineStr">
        <is>
          <t>F28</t>
        </is>
      </c>
      <c r="F63" s="5" t="n"/>
      <c r="G63" s="5" t="n"/>
      <c r="H63" s="5" t="inlineStr">
        <is>
          <t>Marketed</t>
        </is>
      </c>
      <c r="I63" s="5" t="n"/>
      <c r="J63" s="5" t="n"/>
      <c r="K63" s="10" t="n"/>
      <c r="L63" s="10" t="n"/>
      <c r="M63" s="5" t="n"/>
      <c r="N63" s="5" t="n"/>
      <c r="O63" s="5" t="n"/>
    </row>
    <row r="64">
      <c r="A64" s="10" t="inlineStr">
        <is>
          <t>Emet-Duo 5/500</t>
        </is>
      </c>
      <c r="B64" s="10" t="inlineStr">
        <is>
          <t>Empagliflozin, Metformin Hydrochloride</t>
        </is>
      </c>
      <c r="C64" s="10" t="n">
        <v>2</v>
      </c>
      <c r="D64" s="5" t="inlineStr">
        <is>
          <t>Tablet</t>
        </is>
      </c>
      <c r="E64" s="5" t="inlineStr">
        <is>
          <t>F28</t>
        </is>
      </c>
      <c r="F64" s="5" t="n"/>
      <c r="G64" s="5" t="n"/>
      <c r="H64" s="5" t="inlineStr">
        <is>
          <t>Marketed</t>
        </is>
      </c>
      <c r="I64" s="5" t="n"/>
      <c r="J64" s="5" t="n"/>
      <c r="K64" s="10" t="n"/>
      <c r="L64" s="10" t="n"/>
      <c r="M64" s="5" t="n"/>
      <c r="N64" s="5" t="n"/>
      <c r="O64" s="5" t="n"/>
    </row>
    <row r="65">
      <c r="A65" s="10" t="inlineStr">
        <is>
          <t>Citicoline 500</t>
        </is>
      </c>
      <c r="B65" s="10" t="inlineStr">
        <is>
          <t>Citicoline Sodium</t>
        </is>
      </c>
      <c r="C65" s="10" t="n">
        <v>1</v>
      </c>
      <c r="D65" s="5" t="inlineStr">
        <is>
          <t>Tablet</t>
        </is>
      </c>
      <c r="E65" s="5" t="inlineStr">
        <is>
          <t>F29</t>
        </is>
      </c>
      <c r="F65" s="5" t="n"/>
      <c r="G65" s="5" t="n"/>
      <c r="H65" s="5" t="inlineStr">
        <is>
          <t>Marketed</t>
        </is>
      </c>
      <c r="I65" s="5" t="n"/>
      <c r="J65" s="5" t="n"/>
      <c r="K65" s="10" t="n"/>
      <c r="L65" s="10" t="n"/>
      <c r="M65" s="5" t="n"/>
      <c r="N65" s="5" t="n"/>
      <c r="O65" s="5" t="n"/>
    </row>
    <row r="66">
      <c r="A66" s="10" t="inlineStr">
        <is>
          <t>NMN</t>
        </is>
      </c>
      <c r="B66" s="10" t="inlineStr">
        <is>
          <t>Nicotinamide Mononucleotide (NMN) Granule</t>
        </is>
      </c>
      <c r="C66" s="10" t="n">
        <v>1</v>
      </c>
      <c r="D66" s="5" t="inlineStr">
        <is>
          <t>Tablet</t>
        </is>
      </c>
      <c r="E66" s="5" t="inlineStr">
        <is>
          <t>F30</t>
        </is>
      </c>
      <c r="F66" s="5" t="n"/>
      <c r="G66" s="5" t="n"/>
      <c r="H66" s="5" t="inlineStr">
        <is>
          <t>Marketed</t>
        </is>
      </c>
      <c r="I66" s="5" t="n"/>
      <c r="J66" s="5" t="n"/>
      <c r="K66" s="10" t="n"/>
      <c r="L66" s="10" t="n"/>
      <c r="M66" s="5" t="n"/>
      <c r="N66" s="5" t="n"/>
      <c r="O66" s="5" t="n"/>
    </row>
    <row r="67">
      <c r="A67" s="10" t="inlineStr">
        <is>
          <t>L-Arginine 1000</t>
        </is>
      </c>
      <c r="B67" s="10" t="inlineStr">
        <is>
          <t>L-Arginine</t>
        </is>
      </c>
      <c r="C67" s="10" t="n">
        <v>1</v>
      </c>
      <c r="D67" s="5" t="inlineStr">
        <is>
          <t>Tablet</t>
        </is>
      </c>
      <c r="E67" s="5" t="inlineStr">
        <is>
          <t>F31</t>
        </is>
      </c>
      <c r="F67" s="5" t="n"/>
      <c r="G67" s="5" t="n"/>
      <c r="H67" s="5" t="inlineStr">
        <is>
          <t>Marketed</t>
        </is>
      </c>
      <c r="I67" s="5" t="n"/>
      <c r="J67" s="5" t="n"/>
      <c r="K67" s="10" t="n"/>
      <c r="L67" s="10" t="n"/>
      <c r="M67" s="5" t="n"/>
      <c r="N67" s="5" t="n"/>
      <c r="O67" s="5" t="n"/>
    </row>
    <row r="68">
      <c r="A68" s="10" t="inlineStr">
        <is>
          <t>L-Arginine 2000</t>
        </is>
      </c>
      <c r="B68" s="10" t="inlineStr">
        <is>
          <t>L-Arginine</t>
        </is>
      </c>
      <c r="C68" s="10" t="n">
        <v>1</v>
      </c>
      <c r="D68" s="5" t="inlineStr">
        <is>
          <t>Tablet</t>
        </is>
      </c>
      <c r="E68" s="5" t="inlineStr">
        <is>
          <t>F31</t>
        </is>
      </c>
      <c r="F68" s="5" t="n"/>
      <c r="G68" s="5" t="n"/>
      <c r="H68" s="5" t="inlineStr">
        <is>
          <t>Marketed</t>
        </is>
      </c>
      <c r="I68" s="5" t="n"/>
      <c r="J68" s="5" t="n"/>
      <c r="K68" s="10" t="n"/>
      <c r="L68" s="10" t="n"/>
      <c r="M68" s="5" t="n"/>
      <c r="N68" s="5" t="n"/>
      <c r="O68" s="5" t="n"/>
    </row>
    <row r="69">
      <c r="A69" s="10" t="inlineStr">
        <is>
          <t>L-Carnitine 1000/10</t>
        </is>
      </c>
      <c r="B69" s="10" t="inlineStr">
        <is>
          <t>L-Carnitine (Base)</t>
        </is>
      </c>
      <c r="C69" s="10" t="n">
        <v>1</v>
      </c>
      <c r="D69" s="5" t="inlineStr">
        <is>
          <t>Tablet</t>
        </is>
      </c>
      <c r="E69" s="5" t="inlineStr">
        <is>
          <t>F32</t>
        </is>
      </c>
      <c r="F69" s="5" t="n"/>
      <c r="G69" s="5" t="n"/>
      <c r="H69" s="5" t="inlineStr">
        <is>
          <t>Marketed</t>
        </is>
      </c>
      <c r="I69" s="5" t="n"/>
      <c r="J69" s="5" t="n"/>
      <c r="K69" s="10" t="n"/>
      <c r="L69" s="10" t="n"/>
      <c r="M69" s="5" t="n"/>
      <c r="N69" s="5" t="n"/>
      <c r="O69" s="5" t="n"/>
    </row>
    <row r="70">
      <c r="A70" s="10" t="inlineStr">
        <is>
          <t>L-Carnitine 2000/10</t>
        </is>
      </c>
      <c r="B70" s="10" t="inlineStr">
        <is>
          <t>L-Carnitine (Base)</t>
        </is>
      </c>
      <c r="C70" s="10" t="n">
        <v>1</v>
      </c>
      <c r="D70" s="5" t="inlineStr">
        <is>
          <t>Tablet</t>
        </is>
      </c>
      <c r="E70" s="5" t="inlineStr">
        <is>
          <t>F32</t>
        </is>
      </c>
      <c r="F70" s="5" t="n"/>
      <c r="G70" s="5" t="n"/>
      <c r="H70" s="5" t="inlineStr">
        <is>
          <t>Marketed</t>
        </is>
      </c>
      <c r="I70" s="5" t="n"/>
      <c r="J70" s="5" t="n"/>
      <c r="K70" s="10" t="n"/>
      <c r="L70" s="10" t="n"/>
      <c r="M70" s="5" t="n"/>
      <c r="N70" s="5" t="n"/>
      <c r="O70" s="5" t="n"/>
    </row>
    <row r="71">
      <c r="A71" s="10" t="inlineStr">
        <is>
          <t>L-Carnitine Caffeine</t>
        </is>
      </c>
      <c r="B71" s="10" t="inlineStr">
        <is>
          <t>L-Carnitine (Base), Caffeine (Base) (+3 more)</t>
        </is>
      </c>
      <c r="C71" s="10" t="n">
        <v>5</v>
      </c>
      <c r="D71" s="5" t="inlineStr">
        <is>
          <t>Tablet</t>
        </is>
      </c>
      <c r="E71" s="5" t="inlineStr">
        <is>
          <t>F33</t>
        </is>
      </c>
      <c r="F71" s="5" t="n"/>
      <c r="G71" s="5" t="n"/>
      <c r="H71" s="5" t="inlineStr">
        <is>
          <t>Marketed</t>
        </is>
      </c>
      <c r="I71" s="5" t="n"/>
      <c r="J71" s="5" t="n"/>
      <c r="K71" s="10" t="n"/>
      <c r="L71" s="10" t="n"/>
      <c r="M71" s="5" t="n"/>
      <c r="N71" s="5" t="n"/>
      <c r="O71" s="5" t="n"/>
    </row>
    <row r="72">
      <c r="A72" s="10" t="inlineStr">
        <is>
          <t>B-Complex</t>
        </is>
      </c>
      <c r="B72" s="10" t="inlineStr">
        <is>
          <t>Cyanocobalamin (Vitamin B12), Thiamine Hydrochloride (Vitamin B1) (+6 more)</t>
        </is>
      </c>
      <c r="C72" s="10" t="n">
        <v>8</v>
      </c>
      <c r="D72" s="5" t="inlineStr">
        <is>
          <t>Tablet</t>
        </is>
      </c>
      <c r="E72" s="5" t="inlineStr">
        <is>
          <t>F34</t>
        </is>
      </c>
      <c r="F72" s="5" t="n"/>
      <c r="G72" s="5" t="n"/>
      <c r="H72" s="5" t="inlineStr">
        <is>
          <t>Marketed</t>
        </is>
      </c>
      <c r="I72" s="5" t="n"/>
      <c r="J72" s="5" t="n"/>
      <c r="K72" s="10" t="n"/>
      <c r="L72" s="10" t="n"/>
      <c r="M72" s="5" t="n"/>
      <c r="N72" s="5" t="n"/>
      <c r="O72" s="5" t="n"/>
    </row>
    <row r="73">
      <c r="A73" s="10" t="inlineStr">
        <is>
          <t>Sachet Vitamin B12</t>
        </is>
      </c>
      <c r="B73" s="10" t="inlineStr">
        <is>
          <t>Cyanocobalamin (Vitamin B12)</t>
        </is>
      </c>
      <c r="C73" s="10" t="n">
        <v>1</v>
      </c>
      <c r="D73" s="5" t="inlineStr">
        <is>
          <t>Sachet</t>
        </is>
      </c>
      <c r="E73" s="5" t="inlineStr">
        <is>
          <t>F35</t>
        </is>
      </c>
      <c r="F73" s="5" t="n"/>
      <c r="G73" s="5" t="n"/>
      <c r="H73" s="5" t="inlineStr">
        <is>
          <t>Marketed</t>
        </is>
      </c>
      <c r="I73" s="5" t="n"/>
      <c r="J73" s="5" t="n"/>
      <c r="K73" s="10" t="n"/>
      <c r="L73" s="10" t="n"/>
      <c r="M73" s="5" t="n"/>
      <c r="N73" s="5" t="n"/>
      <c r="O73" s="5" t="n"/>
    </row>
    <row r="74">
      <c r="A74" s="10" t="inlineStr">
        <is>
          <t>Ca+k+D3</t>
        </is>
      </c>
      <c r="B74" s="10" t="inlineStr">
        <is>
          <t>Calcium Carbonate, Vitamin D3 (+1 more)</t>
        </is>
      </c>
      <c r="C74" s="10" t="n">
        <v>3</v>
      </c>
      <c r="D74" s="5" t="inlineStr">
        <is>
          <t>Tablet</t>
        </is>
      </c>
      <c r="E74" s="5" t="inlineStr">
        <is>
          <t>F36</t>
        </is>
      </c>
      <c r="F74" s="5" t="n"/>
      <c r="G74" s="5" t="n"/>
      <c r="H74" s="5" t="inlineStr">
        <is>
          <t>Marketed</t>
        </is>
      </c>
      <c r="I74" s="5" t="n"/>
      <c r="J74" s="5" t="n"/>
      <c r="K74" s="10" t="n"/>
      <c r="L74" s="10" t="n"/>
      <c r="M74" s="5" t="n"/>
      <c r="N74" s="5" t="n"/>
      <c r="O74" s="5" t="n"/>
    </row>
    <row r="75">
      <c r="A75" s="10" t="inlineStr">
        <is>
          <t>Zinc+Vitamin C</t>
        </is>
      </c>
      <c r="B75" s="10" t="inlineStr">
        <is>
          <t>Not on record – define</t>
        </is>
      </c>
      <c r="C75" s="10" t="n">
        <v>0</v>
      </c>
      <c r="D75" s="5" t="inlineStr">
        <is>
          <t>Tablet</t>
        </is>
      </c>
      <c r="E75" s="5" t="inlineStr">
        <is>
          <t>F37</t>
        </is>
      </c>
      <c r="F75" s="5" t="n"/>
      <c r="G75" s="5" t="n"/>
      <c r="H75" s="5" t="inlineStr">
        <is>
          <t>Pipeline / no formula</t>
        </is>
      </c>
      <c r="I75" s="5" t="n"/>
      <c r="J75" s="5" t="n"/>
      <c r="K75" s="10" t="n"/>
      <c r="L75" s="10" t="n"/>
      <c r="M75" s="5" t="n"/>
      <c r="N75" s="5" t="n"/>
      <c r="O75" s="5" t="n"/>
    </row>
    <row r="76">
      <c r="A76" s="10" t="inlineStr">
        <is>
          <t>Vitamin C 1000 mg</t>
        </is>
      </c>
      <c r="B76" s="10" t="inlineStr">
        <is>
          <t>Ascorbic Acid Coated 97%</t>
        </is>
      </c>
      <c r="C76" s="10" t="n">
        <v>1</v>
      </c>
      <c r="D76" s="5" t="inlineStr">
        <is>
          <t>Tablet</t>
        </is>
      </c>
      <c r="E76" s="5" t="inlineStr">
        <is>
          <t>F38</t>
        </is>
      </c>
      <c r="F76" s="5" t="n"/>
      <c r="G76" s="5" t="n"/>
      <c r="H76" s="5" t="inlineStr">
        <is>
          <t>Marketed</t>
        </is>
      </c>
      <c r="I76" s="5" t="n"/>
      <c r="J76" s="5" t="n"/>
      <c r="K76" s="10" t="n"/>
      <c r="L76" s="10" t="n"/>
      <c r="M76" s="5" t="n"/>
      <c r="N76" s="5" t="n"/>
      <c r="O76" s="5" t="n"/>
    </row>
    <row r="77">
      <c r="A77" s="10" t="inlineStr">
        <is>
          <t>Magnesium Oxide</t>
        </is>
      </c>
      <c r="B77" s="10" t="inlineStr">
        <is>
          <t>Magnesium Oxide Heavy</t>
        </is>
      </c>
      <c r="C77" s="10" t="n">
        <v>1</v>
      </c>
      <c r="D77" s="5" t="inlineStr">
        <is>
          <t>Tablet</t>
        </is>
      </c>
      <c r="E77" s="5" t="inlineStr">
        <is>
          <t>F39</t>
        </is>
      </c>
      <c r="F77" s="5" t="n"/>
      <c r="G77" s="5" t="n"/>
      <c r="H77" s="5" t="inlineStr">
        <is>
          <t>Marketed</t>
        </is>
      </c>
      <c r="I77" s="5" t="n"/>
      <c r="J77" s="5" t="n"/>
      <c r="K77" s="10" t="n"/>
      <c r="L77" s="10" t="n"/>
      <c r="M77" s="5" t="n"/>
      <c r="N77" s="5" t="n"/>
      <c r="O77" s="5" t="n"/>
    </row>
    <row r="78">
      <c r="A78" s="10" t="inlineStr">
        <is>
          <t>Magni D</t>
        </is>
      </c>
      <c r="B78" s="10" t="inlineStr">
        <is>
          <t>Magnesium Oxide Heavy, Thiamine Hydrochloride (Vitamin B1) (+2 more)</t>
        </is>
      </c>
      <c r="C78" s="10" t="n">
        <v>4</v>
      </c>
      <c r="D78" s="5" t="inlineStr">
        <is>
          <t>Tablet</t>
        </is>
      </c>
      <c r="E78" s="5" t="inlineStr">
        <is>
          <t>F40</t>
        </is>
      </c>
      <c r="F78" s="5" t="n"/>
      <c r="G78" s="5" t="n"/>
      <c r="H78" s="5" t="inlineStr">
        <is>
          <t>Marketed</t>
        </is>
      </c>
      <c r="I78" s="5" t="n"/>
      <c r="J78" s="5" t="n"/>
      <c r="K78" s="10" t="n"/>
      <c r="L78" s="10" t="n"/>
      <c r="M78" s="5" t="n"/>
      <c r="N78" s="5" t="n"/>
      <c r="O78" s="5" t="n"/>
    </row>
    <row r="79">
      <c r="A79" s="10" t="inlineStr">
        <is>
          <t>Sweet Sleep</t>
        </is>
      </c>
      <c r="B79" s="10" t="inlineStr">
        <is>
          <t>Not on record – define</t>
        </is>
      </c>
      <c r="C79" s="10" t="n">
        <v>0</v>
      </c>
      <c r="D79" s="5" t="inlineStr">
        <is>
          <t>Tablet</t>
        </is>
      </c>
      <c r="E79" s="5" t="inlineStr">
        <is>
          <t>F41</t>
        </is>
      </c>
      <c r="F79" s="5" t="n"/>
      <c r="G79" s="5" t="n"/>
      <c r="H79" s="5" t="inlineStr">
        <is>
          <t>Pipeline / no formula</t>
        </is>
      </c>
      <c r="I79" s="5" t="n"/>
      <c r="J79" s="5" t="n"/>
      <c r="K79" s="10" t="n"/>
      <c r="L79" s="10" t="n"/>
      <c r="M79" s="5" t="n"/>
      <c r="N79" s="5" t="n"/>
      <c r="O79" s="5" t="n"/>
    </row>
    <row r="80">
      <c r="A80" s="10" t="inlineStr">
        <is>
          <t>Ferrikid</t>
        </is>
      </c>
      <c r="B80" s="10" t="inlineStr">
        <is>
          <t>Not on record – define</t>
        </is>
      </c>
      <c r="C80" s="10" t="n">
        <v>0</v>
      </c>
      <c r="D80" s="5" t="inlineStr">
        <is>
          <t>Tablet</t>
        </is>
      </c>
      <c r="E80" s="5" t="inlineStr">
        <is>
          <t>F42</t>
        </is>
      </c>
      <c r="F80" s="5" t="n"/>
      <c r="G80" s="5" t="n"/>
      <c r="H80" s="5" t="inlineStr">
        <is>
          <t>Pipeline / no formula</t>
        </is>
      </c>
      <c r="I80" s="5" t="n"/>
      <c r="J80" s="5" t="n"/>
      <c r="K80" s="10" t="n"/>
      <c r="L80" s="10" t="n"/>
      <c r="M80" s="5" t="n"/>
      <c r="N80" s="5" t="n"/>
      <c r="O80" s="5" t="n"/>
    </row>
    <row r="81">
      <c r="A81" s="10" t="inlineStr">
        <is>
          <t>Painlys</t>
        </is>
      </c>
      <c r="B81" s="10" t="inlineStr">
        <is>
          <t>Ginger Dry Extract 5:1, Devil's Claw Dry Extract 6:1 (+1 more)</t>
        </is>
      </c>
      <c r="C81" s="10" t="n">
        <v>3</v>
      </c>
      <c r="D81" s="5" t="inlineStr">
        <is>
          <t>Tablet</t>
        </is>
      </c>
      <c r="E81" s="5" t="inlineStr">
        <is>
          <t>F43</t>
        </is>
      </c>
      <c r="F81" s="5" t="n"/>
      <c r="G81" s="5" t="n"/>
      <c r="H81" s="5" t="inlineStr">
        <is>
          <t>Marketed</t>
        </is>
      </c>
      <c r="I81" s="5" t="n"/>
      <c r="J81" s="5" t="n"/>
      <c r="K81" s="10" t="n"/>
      <c r="L81" s="10" t="n"/>
      <c r="M81" s="5" t="n"/>
      <c r="N81" s="5" t="n"/>
      <c r="O81" s="5" t="n"/>
    </row>
    <row r="82">
      <c r="A82" s="10" t="inlineStr">
        <is>
          <t>Feroral Premium</t>
        </is>
      </c>
      <c r="B82" s="10" t="inlineStr">
        <is>
          <t>Ferrous Bisglycinate, Folic Acid (Vitamin B9) (+2 more)</t>
        </is>
      </c>
      <c r="C82" s="10" t="n">
        <v>4</v>
      </c>
      <c r="D82" s="5" t="inlineStr">
        <is>
          <t>Tablet</t>
        </is>
      </c>
      <c r="E82" s="5" t="inlineStr">
        <is>
          <t>F44</t>
        </is>
      </c>
      <c r="F82" s="5" t="n"/>
      <c r="G82" s="5" t="n"/>
      <c r="H82" s="5" t="inlineStr">
        <is>
          <t>Marketed</t>
        </is>
      </c>
      <c r="I82" s="5" t="n"/>
      <c r="J82" s="5" t="n"/>
      <c r="K82" s="10" t="n"/>
      <c r="L82" s="10" t="n"/>
      <c r="M82" s="5" t="n"/>
      <c r="N82" s="5" t="n"/>
      <c r="O82" s="5" t="n"/>
    </row>
    <row r="83">
      <c r="A83" s="10" t="inlineStr">
        <is>
          <t>Ginc Active</t>
        </is>
      </c>
      <c r="B83" s="10" t="inlineStr">
        <is>
          <t>Ginkgo Biloba Leaf Dry Extract 50:1, Calcium Carbonate Heavy</t>
        </is>
      </c>
      <c r="C83" s="10" t="n">
        <v>2</v>
      </c>
      <c r="D83" s="5" t="inlineStr">
        <is>
          <t>Tablet</t>
        </is>
      </c>
      <c r="E83" s="5" t="inlineStr">
        <is>
          <t>F45</t>
        </is>
      </c>
      <c r="F83" s="5" t="n"/>
      <c r="G83" s="5" t="n"/>
      <c r="H83" s="5" t="inlineStr">
        <is>
          <t>Marketed</t>
        </is>
      </c>
      <c r="I83" s="5" t="n"/>
      <c r="J83" s="5" t="n"/>
      <c r="K83" s="10" t="n"/>
      <c r="L83" s="10" t="n"/>
      <c r="M83" s="5" t="n"/>
      <c r="N83" s="5" t="n"/>
      <c r="O83" s="5" t="n"/>
    </row>
    <row r="84">
      <c r="A84" s="10" t="inlineStr">
        <is>
          <t>URomax</t>
        </is>
      </c>
      <c r="B84" s="10" t="inlineStr">
        <is>
          <t>Cranberry Dry Extract 25:1, Ascorbic Acid Coated 97%</t>
        </is>
      </c>
      <c r="C84" s="10" t="n">
        <v>2</v>
      </c>
      <c r="D84" s="5" t="inlineStr">
        <is>
          <t>Tablet</t>
        </is>
      </c>
      <c r="E84" s="5" t="inlineStr">
        <is>
          <t>F46</t>
        </is>
      </c>
      <c r="F84" s="5" t="n"/>
      <c r="G84" s="5" t="n"/>
      <c r="H84" s="5" t="inlineStr">
        <is>
          <t>Marketed</t>
        </is>
      </c>
      <c r="I84" s="5" t="n"/>
      <c r="J84" s="5" t="n"/>
      <c r="K84" s="10" t="n"/>
      <c r="L84" s="10" t="n"/>
      <c r="M84" s="5" t="n"/>
      <c r="N84" s="5" t="n"/>
      <c r="O84" s="5" t="n"/>
    </row>
    <row r="85">
      <c r="A85" s="10" t="inlineStr">
        <is>
          <t>Uromax Sachet</t>
        </is>
      </c>
      <c r="B85" s="10" t="inlineStr">
        <is>
          <t>Cranberry Dry Extract 25:1, Ascorbic Acid Coated 97%</t>
        </is>
      </c>
      <c r="C85" s="10" t="n">
        <v>2</v>
      </c>
      <c r="D85" s="5" t="inlineStr">
        <is>
          <t>Sachet</t>
        </is>
      </c>
      <c r="E85" s="5" t="inlineStr">
        <is>
          <t>F46</t>
        </is>
      </c>
      <c r="F85" s="5" t="n"/>
      <c r="G85" s="5" t="n"/>
      <c r="H85" s="5" t="inlineStr">
        <is>
          <t>Marketed</t>
        </is>
      </c>
      <c r="I85" s="5" t="n"/>
      <c r="J85" s="5" t="n"/>
      <c r="K85" s="10" t="n"/>
      <c r="L85" s="10" t="n"/>
      <c r="M85" s="5" t="n"/>
      <c r="N85" s="5" t="n"/>
      <c r="O85" s="5" t="n"/>
    </row>
    <row r="86">
      <c r="A86" s="10" t="inlineStr">
        <is>
          <t>Healthy Liver</t>
        </is>
      </c>
      <c r="B86" s="10" t="inlineStr">
        <is>
          <t>Milk Thistle Dry Extract 70:1, Artichoke Dry Extract 25:1 (+4 more)</t>
        </is>
      </c>
      <c r="C86" s="10" t="n">
        <v>6</v>
      </c>
      <c r="D86" s="5" t="inlineStr">
        <is>
          <t>Tablet</t>
        </is>
      </c>
      <c r="E86" s="5" t="inlineStr">
        <is>
          <t>F47</t>
        </is>
      </c>
      <c r="F86" s="5" t="n"/>
      <c r="G86" s="5" t="n"/>
      <c r="H86" s="5" t="inlineStr">
        <is>
          <t>Marketed</t>
        </is>
      </c>
      <c r="I86" s="5" t="n"/>
      <c r="J86" s="5" t="n"/>
      <c r="K86" s="10" t="n"/>
      <c r="L86" s="10" t="n"/>
      <c r="M86" s="5" t="n"/>
      <c r="N86" s="5" t="n"/>
      <c r="O86" s="5" t="n"/>
    </row>
    <row r="87">
      <c r="A87" s="10" t="inlineStr">
        <is>
          <t>Kamasotra premium</t>
        </is>
      </c>
      <c r="B87" s="10" t="inlineStr">
        <is>
          <t>Cyanocobalamin (Vitamin B12), Ginseng Panax (+3 more)</t>
        </is>
      </c>
      <c r="C87" s="10" t="n">
        <v>5</v>
      </c>
      <c r="D87" s="5" t="inlineStr">
        <is>
          <t>Tablet</t>
        </is>
      </c>
      <c r="E87" s="5" t="inlineStr">
        <is>
          <t>F48</t>
        </is>
      </c>
      <c r="F87" s="5" t="n"/>
      <c r="G87" s="5" t="n"/>
      <c r="H87" s="5" t="inlineStr">
        <is>
          <t>Marketed</t>
        </is>
      </c>
      <c r="I87" s="5" t="n"/>
      <c r="J87" s="5" t="n"/>
      <c r="K87" s="10" t="n"/>
      <c r="L87" s="10" t="n"/>
      <c r="M87" s="5" t="n"/>
      <c r="N87" s="5" t="n"/>
      <c r="O87" s="5" t="n"/>
    </row>
    <row r="88">
      <c r="A88" s="10" t="inlineStr">
        <is>
          <t>Prostica</t>
        </is>
      </c>
      <c r="B88" s="10" t="inlineStr">
        <is>
          <t>Saw Palmetto Dry Extract 4:1, Sodium Selenite (+1 more)</t>
        </is>
      </c>
      <c r="C88" s="10" t="n">
        <v>3</v>
      </c>
      <c r="D88" s="5" t="inlineStr">
        <is>
          <t>Tablet</t>
        </is>
      </c>
      <c r="E88" s="5" t="inlineStr">
        <is>
          <t>F49</t>
        </is>
      </c>
      <c r="F88" s="5" t="n"/>
      <c r="G88" s="5" t="n"/>
      <c r="H88" s="5" t="inlineStr">
        <is>
          <t>Marketed</t>
        </is>
      </c>
      <c r="I88" s="5" t="n"/>
      <c r="J88" s="5" t="n"/>
      <c r="K88" s="10" t="n"/>
      <c r="L88" s="10" t="n"/>
      <c r="M88" s="5" t="n"/>
      <c r="N88" s="5" t="n"/>
      <c r="O88" s="5" t="n"/>
    </row>
    <row r="89">
      <c r="A89" s="10" t="inlineStr">
        <is>
          <t>Vitacal Forte</t>
        </is>
      </c>
      <c r="B89" s="10" t="inlineStr">
        <is>
          <t>Calcium Carbonate Heavy, Vitamin D3 (+7 more)</t>
        </is>
      </c>
      <c r="C89" s="10" t="n">
        <v>9</v>
      </c>
      <c r="D89" s="5" t="inlineStr">
        <is>
          <t>Tablet</t>
        </is>
      </c>
      <c r="E89" s="5" t="inlineStr">
        <is>
          <t>F50</t>
        </is>
      </c>
      <c r="F89" s="5" t="n"/>
      <c r="G89" s="5" t="n"/>
      <c r="H89" s="5" t="inlineStr">
        <is>
          <t>Marketed</t>
        </is>
      </c>
      <c r="I89" s="5" t="n"/>
      <c r="J89" s="5" t="n"/>
      <c r="K89" s="10" t="n"/>
      <c r="L89" s="10" t="n"/>
      <c r="M89" s="5" t="n"/>
      <c r="N89" s="5" t="n"/>
      <c r="O89" s="5" t="n"/>
    </row>
    <row r="90">
      <c r="A90" s="10" t="inlineStr">
        <is>
          <t>Burning Fat</t>
        </is>
      </c>
      <c r="B90" s="10" t="inlineStr">
        <is>
          <t>Coleus Forskohlii Root Dry Extract 10:1, Chromium Picolinate (+5 more)</t>
        </is>
      </c>
      <c r="C90" s="10" t="n">
        <v>7</v>
      </c>
      <c r="D90" s="5" t="inlineStr">
        <is>
          <t>Tablet</t>
        </is>
      </c>
      <c r="E90" s="5" t="inlineStr">
        <is>
          <t>F51</t>
        </is>
      </c>
      <c r="F90" s="5" t="n"/>
      <c r="G90" s="5" t="n"/>
      <c r="H90" s="5" t="inlineStr">
        <is>
          <t>Marketed</t>
        </is>
      </c>
      <c r="I90" s="5" t="n"/>
      <c r="J90" s="5" t="n"/>
      <c r="K90" s="10" t="n"/>
      <c r="L90" s="10" t="n"/>
      <c r="M90" s="5" t="n"/>
      <c r="N90" s="5" t="n"/>
      <c r="O90" s="5" t="n"/>
    </row>
    <row r="91">
      <c r="A91" s="10" t="inlineStr">
        <is>
          <t>Co-Enzyme Q10 (30mg)</t>
        </is>
      </c>
      <c r="B91" s="10" t="inlineStr">
        <is>
          <t>Ubidecarenone (Co-Q10)</t>
        </is>
      </c>
      <c r="C91" s="10" t="n">
        <v>1</v>
      </c>
      <c r="D91" s="5" t="inlineStr">
        <is>
          <t>Tablet</t>
        </is>
      </c>
      <c r="E91" s="5" t="inlineStr">
        <is>
          <t>F52</t>
        </is>
      </c>
      <c r="F91" s="5" t="n"/>
      <c r="G91" s="5" t="n"/>
      <c r="H91" s="5" t="inlineStr">
        <is>
          <t>Marketed</t>
        </is>
      </c>
      <c r="I91" s="5" t="n"/>
      <c r="J91" s="5" t="n"/>
      <c r="K91" s="10" t="n"/>
      <c r="L91" s="10" t="n"/>
      <c r="M91" s="5" t="n"/>
      <c r="N91" s="5" t="n"/>
      <c r="O91" s="5" t="n"/>
    </row>
    <row r="92">
      <c r="A92" s="10" t="inlineStr">
        <is>
          <t>Co-Enzyme Q10 (100mg)</t>
        </is>
      </c>
      <c r="B92" s="10" t="inlineStr">
        <is>
          <t>Ubidecarenone (Co-Q10)</t>
        </is>
      </c>
      <c r="C92" s="10" t="n">
        <v>1</v>
      </c>
      <c r="D92" s="5" t="inlineStr">
        <is>
          <t>Tablet</t>
        </is>
      </c>
      <c r="E92" s="5" t="inlineStr">
        <is>
          <t>F52</t>
        </is>
      </c>
      <c r="F92" s="5" t="n"/>
      <c r="G92" s="5" t="n"/>
      <c r="H92" s="5" t="inlineStr">
        <is>
          <t>Marketed</t>
        </is>
      </c>
      <c r="I92" s="5" t="n"/>
      <c r="J92" s="5" t="n"/>
      <c r="K92" s="10" t="n"/>
      <c r="L92" s="10" t="n"/>
      <c r="M92" s="5" t="n"/>
      <c r="N92" s="5" t="n"/>
      <c r="O92" s="5" t="n"/>
    </row>
    <row r="93">
      <c r="A93" s="10" t="inlineStr">
        <is>
          <t>Digestive Aid (30)</t>
        </is>
      </c>
      <c r="B93" s="10" t="inlineStr">
        <is>
          <t>Marshmallow Dry Extract 3:1, Liquorice Dry Extract 8:1 (+4 more)</t>
        </is>
      </c>
      <c r="C93" s="10" t="n">
        <v>6</v>
      </c>
      <c r="D93" s="5" t="inlineStr">
        <is>
          <t>Tablet</t>
        </is>
      </c>
      <c r="E93" s="5" t="inlineStr">
        <is>
          <t>F53</t>
        </is>
      </c>
      <c r="F93" s="5" t="n"/>
      <c r="G93" s="5" t="n"/>
      <c r="H93" s="5" t="inlineStr">
        <is>
          <t>Marketed</t>
        </is>
      </c>
      <c r="I93" s="5" t="n"/>
      <c r="J93" s="5" t="n"/>
      <c r="K93" s="10" t="n"/>
      <c r="L93" s="10" t="n"/>
      <c r="M93" s="5" t="n"/>
      <c r="N93" s="5" t="n"/>
      <c r="O93" s="5" t="n"/>
    </row>
    <row r="94">
      <c r="A94" s="10" t="inlineStr">
        <is>
          <t>Digestive Aid (60)</t>
        </is>
      </c>
      <c r="B94" s="10" t="inlineStr">
        <is>
          <t>Marshmallow Dry Extract 3:1, Liquorice Dry Extract 8:1 (+4 more)</t>
        </is>
      </c>
      <c r="C94" s="10" t="n">
        <v>6</v>
      </c>
      <c r="D94" s="5" t="inlineStr">
        <is>
          <t>Tablet</t>
        </is>
      </c>
      <c r="E94" s="5" t="inlineStr">
        <is>
          <t>F53</t>
        </is>
      </c>
      <c r="F94" s="5" t="n"/>
      <c r="G94" s="5" t="n"/>
      <c r="H94" s="5" t="inlineStr">
        <is>
          <t>Marketed</t>
        </is>
      </c>
      <c r="I94" s="5" t="n"/>
      <c r="J94" s="5" t="n"/>
      <c r="K94" s="10" t="n"/>
      <c r="L94" s="10" t="n"/>
      <c r="M94" s="5" t="n"/>
      <c r="N94" s="5" t="n"/>
      <c r="O94" s="5" t="n"/>
    </row>
    <row r="95">
      <c r="A95" s="10" t="inlineStr">
        <is>
          <t>Celer-X Forte</t>
        </is>
      </c>
      <c r="B95" s="10" t="inlineStr">
        <is>
          <t>Apium Graveolens Seed Dry Extract 6:1, Juniper Communis Fruit Dry Extract 2:1 (+1 more)</t>
        </is>
      </c>
      <c r="C95" s="10" t="n">
        <v>3</v>
      </c>
      <c r="D95" s="5" t="inlineStr">
        <is>
          <t>Tablet</t>
        </is>
      </c>
      <c r="E95" s="5" t="inlineStr">
        <is>
          <t>F54</t>
        </is>
      </c>
      <c r="F95" s="5" t="n"/>
      <c r="G95" s="5" t="n"/>
      <c r="H95" s="5" t="inlineStr">
        <is>
          <t>Marketed</t>
        </is>
      </c>
      <c r="I95" s="5" t="n"/>
      <c r="J95" s="5" t="n"/>
      <c r="K95" s="10" t="n"/>
      <c r="L95" s="10" t="n"/>
      <c r="M95" s="5" t="n"/>
      <c r="N95" s="5" t="n"/>
      <c r="O95" s="5" t="n"/>
    </row>
    <row r="96">
      <c r="A96" s="10" t="inlineStr">
        <is>
          <t>Opti Woman 30 Cap</t>
        </is>
      </c>
      <c r="B96" s="10" t="inlineStr">
        <is>
          <t>Biotin (Vitamin B7), Folic Acid (Vitamin B9) (+22 more)</t>
        </is>
      </c>
      <c r="C96" s="10" t="n">
        <v>24</v>
      </c>
      <c r="D96" s="5" t="inlineStr">
        <is>
          <t>Capsule</t>
        </is>
      </c>
      <c r="E96" s="5" t="inlineStr">
        <is>
          <t>F55</t>
        </is>
      </c>
      <c r="F96" s="5" t="n"/>
      <c r="G96" s="5" t="n"/>
      <c r="H96" s="5" t="inlineStr">
        <is>
          <t>Marketed</t>
        </is>
      </c>
      <c r="I96" s="5" t="n"/>
      <c r="J96" s="5" t="n"/>
      <c r="K96" s="10" t="n"/>
      <c r="L96" s="10" t="n"/>
      <c r="M96" s="5" t="n"/>
      <c r="N96" s="5" t="n"/>
      <c r="O96" s="5" t="n"/>
    </row>
    <row r="97">
      <c r="A97" s="10" t="inlineStr">
        <is>
          <t>Opti Woman 60 Cap</t>
        </is>
      </c>
      <c r="B97" s="10" t="inlineStr">
        <is>
          <t>Biotin (Vitamin B7), Folic Acid (Vitamin B9) (+22 more)</t>
        </is>
      </c>
      <c r="C97" s="10" t="n">
        <v>24</v>
      </c>
      <c r="D97" s="5" t="inlineStr">
        <is>
          <t>Capsule</t>
        </is>
      </c>
      <c r="E97" s="5" t="inlineStr">
        <is>
          <t>F55</t>
        </is>
      </c>
      <c r="F97" s="5" t="n"/>
      <c r="G97" s="5" t="n"/>
      <c r="H97" s="5" t="inlineStr">
        <is>
          <t>Marketed</t>
        </is>
      </c>
      <c r="I97" s="5" t="n"/>
      <c r="J97" s="5" t="n"/>
      <c r="K97" s="10" t="n"/>
      <c r="L97" s="10" t="n"/>
      <c r="M97" s="5" t="n"/>
      <c r="N97" s="5" t="n"/>
      <c r="O97" s="5" t="n"/>
    </row>
    <row r="98">
      <c r="A98" s="10" t="inlineStr">
        <is>
          <t>Pregnalife</t>
        </is>
      </c>
      <c r="B98" s="10" t="inlineStr">
        <is>
          <t>D-Alpha Tocopheryl Acetate 50% (Vitamin E), Magnesium Oxide Heavy (+13 more)</t>
        </is>
      </c>
      <c r="C98" s="10" t="n">
        <v>15</v>
      </c>
      <c r="D98" s="5" t="inlineStr">
        <is>
          <t>Tablet</t>
        </is>
      </c>
      <c r="E98" s="5" t="inlineStr">
        <is>
          <t>F56</t>
        </is>
      </c>
      <c r="F98" s="5" t="n"/>
      <c r="G98" s="5" t="n"/>
      <c r="H98" s="5" t="inlineStr">
        <is>
          <t>Marketed</t>
        </is>
      </c>
      <c r="I98" s="5" t="n"/>
      <c r="J98" s="5" t="n"/>
      <c r="K98" s="10" t="n"/>
      <c r="L98" s="10" t="n"/>
      <c r="M98" s="5" t="n"/>
      <c r="N98" s="5" t="n"/>
      <c r="O98" s="5" t="n"/>
    </row>
    <row r="99">
      <c r="A99" s="10" t="inlineStr">
        <is>
          <t>Immune AID</t>
        </is>
      </c>
      <c r="B99" s="10" t="inlineStr">
        <is>
          <t>Cyanocobalamin (Vitamin B12), Folic Acid (Vitamin B9) (+13 more)</t>
        </is>
      </c>
      <c r="C99" s="10" t="n">
        <v>15</v>
      </c>
      <c r="D99" s="5" t="inlineStr">
        <is>
          <t>Tablet</t>
        </is>
      </c>
      <c r="E99" s="5" t="inlineStr">
        <is>
          <t>F57</t>
        </is>
      </c>
      <c r="F99" s="5" t="n"/>
      <c r="G99" s="5" t="n"/>
      <c r="H99" s="5" t="inlineStr">
        <is>
          <t>Marketed</t>
        </is>
      </c>
      <c r="I99" s="5" t="n"/>
      <c r="J99" s="5" t="n"/>
      <c r="K99" s="10" t="n"/>
      <c r="L99" s="10" t="n"/>
      <c r="M99" s="5" t="n"/>
      <c r="N99" s="5" t="n"/>
      <c r="O99" s="5" t="n"/>
    </row>
    <row r="100">
      <c r="A100" s="10" t="inlineStr">
        <is>
          <t>Immune AID Direct</t>
        </is>
      </c>
      <c r="B100" s="10" t="inlineStr">
        <is>
          <t>Cyanocobalamin (Vitamin B12), Thiamine Hydrochloride (Vitamin B1) (+14 more)</t>
        </is>
      </c>
      <c r="C100" s="10" t="n">
        <v>16</v>
      </c>
      <c r="D100" s="5" t="inlineStr">
        <is>
          <t>Tablet</t>
        </is>
      </c>
      <c r="E100" s="5" t="inlineStr">
        <is>
          <t>F58</t>
        </is>
      </c>
      <c r="F100" s="5" t="n"/>
      <c r="G100" s="5" t="n"/>
      <c r="H100" s="5" t="inlineStr">
        <is>
          <t>Marketed</t>
        </is>
      </c>
      <c r="I100" s="5" t="n"/>
      <c r="J100" s="5" t="n"/>
      <c r="K100" s="10" t="n"/>
      <c r="L100" s="10" t="n"/>
      <c r="M100" s="5" t="n"/>
      <c r="N100" s="5" t="n"/>
      <c r="O100" s="5" t="n"/>
    </row>
    <row r="101">
      <c r="A101" s="10" t="inlineStr">
        <is>
          <t>X-Ade (Blister 15 pcs)</t>
        </is>
      </c>
      <c r="B101" s="10" t="inlineStr">
        <is>
          <t>Zinc Gluconate, Magnesium Oxide Heavy (+8 more)</t>
        </is>
      </c>
      <c r="C101" s="10" t="n">
        <v>10</v>
      </c>
      <c r="D101" s="5" t="inlineStr">
        <is>
          <t>Tablet</t>
        </is>
      </c>
      <c r="E101" s="5" t="inlineStr">
        <is>
          <t>F59</t>
        </is>
      </c>
      <c r="F101" s="5" t="n"/>
      <c r="G101" s="5" t="n"/>
      <c r="H101" s="5" t="inlineStr">
        <is>
          <t>Marketed</t>
        </is>
      </c>
      <c r="I101" s="5" t="n"/>
      <c r="J101" s="5" t="n"/>
      <c r="K101" s="10" t="n"/>
      <c r="L101" s="10" t="n"/>
      <c r="M101" s="5" t="n"/>
      <c r="N101" s="5" t="n"/>
      <c r="O101" s="5" t="n"/>
    </row>
    <row r="102">
      <c r="A102" s="10" t="inlineStr">
        <is>
          <t>X-Ade (Bottle 30 pcs)</t>
        </is>
      </c>
      <c r="B102" s="10" t="inlineStr">
        <is>
          <t>Zinc Gluconate, Magnesium Oxide Heavy (+8 more)</t>
        </is>
      </c>
      <c r="C102" s="10" t="n">
        <v>10</v>
      </c>
      <c r="D102" s="5" t="inlineStr">
        <is>
          <t>Tablet</t>
        </is>
      </c>
      <c r="E102" s="5" t="inlineStr">
        <is>
          <t>F59</t>
        </is>
      </c>
      <c r="F102" s="5" t="n"/>
      <c r="G102" s="5" t="n"/>
      <c r="H102" s="5" t="inlineStr">
        <is>
          <t>Marketed</t>
        </is>
      </c>
      <c r="I102" s="5" t="n"/>
      <c r="J102" s="5" t="n"/>
      <c r="K102" s="10" t="n"/>
      <c r="L102" s="10" t="n"/>
      <c r="M102" s="5" t="n"/>
      <c r="N102" s="5" t="n"/>
      <c r="O102" s="5" t="n"/>
    </row>
    <row r="103">
      <c r="A103" s="10" t="inlineStr">
        <is>
          <t>Energe-X</t>
        </is>
      </c>
      <c r="B103" s="10" t="inlineStr">
        <is>
          <t>Not on record – define</t>
        </is>
      </c>
      <c r="C103" s="10" t="n">
        <v>0</v>
      </c>
      <c r="D103" s="5" t="inlineStr">
        <is>
          <t>Tablet</t>
        </is>
      </c>
      <c r="E103" s="5" t="inlineStr">
        <is>
          <t>F60</t>
        </is>
      </c>
      <c r="F103" s="5" t="n"/>
      <c r="G103" s="5" t="n"/>
      <c r="H103" s="5" t="inlineStr">
        <is>
          <t>Pipeline / no formula</t>
        </is>
      </c>
      <c r="I103" s="5" t="n"/>
      <c r="J103" s="5" t="n"/>
      <c r="K103" s="10" t="n"/>
      <c r="L103" s="10" t="n"/>
      <c r="M103" s="5" t="n"/>
      <c r="N103" s="5" t="n"/>
      <c r="O103" s="5" t="n"/>
    </row>
    <row r="104">
      <c r="A104" s="10" t="inlineStr">
        <is>
          <t>Dermo bella Permium 30 Cap</t>
        </is>
      </c>
      <c r="B104" s="10" t="inlineStr">
        <is>
          <t>Premix Dermo Bella, L-Cystine (+1 more)</t>
        </is>
      </c>
      <c r="C104" s="10" t="n">
        <v>3</v>
      </c>
      <c r="D104" s="5" t="inlineStr">
        <is>
          <t>Capsule</t>
        </is>
      </c>
      <c r="E104" s="5" t="inlineStr">
        <is>
          <t>F61</t>
        </is>
      </c>
      <c r="F104" s="5" t="n"/>
      <c r="G104" s="5" t="n"/>
      <c r="H104" s="5" t="inlineStr">
        <is>
          <t>Marketed</t>
        </is>
      </c>
      <c r="I104" s="5" t="n"/>
      <c r="J104" s="5" t="n"/>
      <c r="K104" s="10" t="n"/>
      <c r="L104" s="10" t="n"/>
      <c r="M104" s="5" t="n"/>
      <c r="N104" s="5" t="n"/>
      <c r="O104" s="5" t="n"/>
    </row>
    <row r="105">
      <c r="A105" s="10" t="inlineStr">
        <is>
          <t>Zylicut 180</t>
        </is>
      </c>
      <c r="B105" s="10" t="inlineStr">
        <is>
          <t>Not on record – define</t>
        </is>
      </c>
      <c r="C105" s="10" t="n">
        <v>0</v>
      </c>
      <c r="D105" s="5" t="inlineStr">
        <is>
          <t>Tablet</t>
        </is>
      </c>
      <c r="E105" s="5" t="inlineStr">
        <is>
          <t>F62</t>
        </is>
      </c>
      <c r="F105" s="5" t="n"/>
      <c r="G105" s="5" t="n"/>
      <c r="H105" s="5" t="inlineStr">
        <is>
          <t>Pipeline / no formula</t>
        </is>
      </c>
      <c r="I105" s="5" t="n"/>
      <c r="J105" s="5" t="n"/>
      <c r="K105" s="10" t="n"/>
      <c r="L105" s="10" t="n"/>
      <c r="M105" s="5" t="n"/>
      <c r="N105" s="5" t="n"/>
      <c r="O105" s="5" t="n"/>
    </row>
    <row r="106">
      <c r="A106" s="10" t="inlineStr">
        <is>
          <t>Zylicut-Duo 180/10</t>
        </is>
      </c>
      <c r="B106" s="10" t="inlineStr">
        <is>
          <t>Not on record – define</t>
        </is>
      </c>
      <c r="C106" s="10" t="n">
        <v>0</v>
      </c>
      <c r="D106" s="5" t="inlineStr">
        <is>
          <t>Tablet</t>
        </is>
      </c>
      <c r="E106" s="5" t="inlineStr">
        <is>
          <t>F63</t>
        </is>
      </c>
      <c r="F106" s="5" t="n"/>
      <c r="G106" s="5" t="n"/>
      <c r="H106" s="5" t="inlineStr">
        <is>
          <t>Pipeline / no formula</t>
        </is>
      </c>
      <c r="I106" s="5" t="n"/>
      <c r="J106" s="5" t="n"/>
      <c r="K106" s="10" t="n"/>
      <c r="L106" s="10" t="n"/>
      <c r="M106" s="5" t="n"/>
      <c r="N106" s="5" t="n"/>
      <c r="O106" s="5" t="n"/>
    </row>
    <row r="107">
      <c r="A107" s="10" t="inlineStr">
        <is>
          <t>Hair and Skin</t>
        </is>
      </c>
      <c r="B107" s="10" t="inlineStr">
        <is>
          <t>Biotin (Vitamin B7), Folic Acid (Vitamin B9) (+7 more)</t>
        </is>
      </c>
      <c r="C107" s="10" t="n">
        <v>9</v>
      </c>
      <c r="D107" s="5" t="inlineStr">
        <is>
          <t>Tablet</t>
        </is>
      </c>
      <c r="E107" s="5" t="inlineStr">
        <is>
          <t>F64</t>
        </is>
      </c>
      <c r="F107" s="5" t="n"/>
      <c r="G107" s="5" t="n"/>
      <c r="H107" s="5" t="inlineStr">
        <is>
          <t>Marketed</t>
        </is>
      </c>
      <c r="I107" s="5" t="n"/>
      <c r="J107" s="5" t="n"/>
      <c r="K107" s="10" t="n"/>
      <c r="L107" s="10" t="n"/>
      <c r="M107" s="5" t="n"/>
      <c r="N107" s="5" t="n"/>
      <c r="O107" s="5" t="n"/>
    </row>
    <row r="108">
      <c r="A108" s="10" t="inlineStr">
        <is>
          <t>Stability samples/yr = number of stability studies running x time points pulled per year (each pull = 1 sample).</t>
        </is>
      </c>
      <c r="B108" s="10" t="n"/>
      <c r="C108" s="10" t="n"/>
      <c r="D108" s="5" t="n"/>
      <c r="E108" s="5" t="n"/>
      <c r="F108" s="5" t="n"/>
      <c r="G108" s="5" t="n"/>
      <c r="H108" s="5" t="n"/>
      <c r="I108" s="5" t="n"/>
      <c r="J108" s="5" t="n"/>
      <c r="K108" s="10" t="n"/>
      <c r="L108" s="10" t="n"/>
      <c r="M108" s="5" t="n"/>
      <c r="N108" s="5" t="n"/>
      <c r="O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10" t="n"/>
      <c r="L109" s="10" t="n"/>
      <c r="M109" s="5" t="n"/>
      <c r="N109" s="5" t="n"/>
      <c r="O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10" t="n"/>
      <c r="L110" s="10" t="n"/>
      <c r="M110" s="5" t="n"/>
      <c r="N110" s="5" t="n"/>
      <c r="O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10" t="n"/>
      <c r="L111" s="10" t="n"/>
      <c r="M111" s="5" t="n"/>
      <c r="N111" s="5" t="n"/>
      <c r="O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10" t="n"/>
      <c r="L112" s="10" t="n"/>
      <c r="M112" s="5" t="n"/>
      <c r="N112" s="5" t="n"/>
      <c r="O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10" t="n"/>
      <c r="L113" s="10" t="n"/>
      <c r="M113" s="5" t="n"/>
      <c r="N113" s="5" t="n"/>
      <c r="O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10" t="n"/>
      <c r="L114" s="10" t="n"/>
      <c r="M114" s="5" t="n"/>
      <c r="N114" s="5" t="n"/>
      <c r="O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10" t="n"/>
      <c r="L115" s="10" t="n"/>
      <c r="M115" s="5" t="n"/>
      <c r="N115" s="5" t="n"/>
      <c r="O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10" t="n"/>
      <c r="L116" s="10" t="n"/>
      <c r="M116" s="5" t="n"/>
      <c r="N116" s="5" t="n"/>
      <c r="O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10" t="n"/>
      <c r="L117" s="10" t="n"/>
      <c r="M117" s="5" t="n"/>
      <c r="N117" s="5" t="n"/>
      <c r="O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10" t="n"/>
      <c r="L118" s="10" t="n"/>
      <c r="M118" s="5" t="n"/>
      <c r="N118" s="5" t="n"/>
      <c r="O118" s="5" t="n"/>
    </row>
  </sheetData>
  <autoFilter ref="A1:O118"/>
  <dataValidations count="1">
    <dataValidation sqref="H2:H318" showDropDown="0" showInputMessage="0" showErrorMessage="0" allowBlank="1" type="list">
      <formula1>"Marketed,Pipeline / no formula,Discontinued"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4" customWidth="1" min="2" max="2"/>
    <col width="13" customWidth="1" min="3" max="3"/>
    <col width="8" customWidth="1" min="4" max="4"/>
    <col hidden="1"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30" customWidth="1" min="16" max="16"/>
  </cols>
  <sheetData>
    <row r="1" ht="45" customHeight="1">
      <c r="A1" s="13" t="inlineStr">
        <is>
          <t>Code</t>
        </is>
      </c>
      <c r="B1" s="13" t="inlineStr">
        <is>
          <t>Test</t>
        </is>
      </c>
      <c r="C1" s="13" t="inlineStr">
        <is>
          <t>Instrument</t>
        </is>
      </c>
      <c r="D1" s="13" t="inlineStr">
        <is>
          <t>Rows using it (auto)</t>
        </is>
      </c>
      <c r="E1" s="13" t="inlineStr">
        <is>
          <t>Lab catalog time (min)</t>
        </is>
      </c>
      <c r="F1" s="13" t="inlineStr">
        <is>
          <t>Setup analyst h / sequence</t>
        </is>
      </c>
      <c r="G1" s="13" t="inlineStr">
        <is>
          <t>Setup instrument h / sequence</t>
        </is>
      </c>
      <c r="H1" s="13" t="inlineStr">
        <is>
          <t>Prep analyst h/sample – MIN</t>
        </is>
      </c>
      <c r="I1" s="13" t="inlineStr">
        <is>
          <t>Prep – MOST LIKELY</t>
        </is>
      </c>
      <c r="J1" s="13" t="inlineStr">
        <is>
          <t>Prep – MAX</t>
        </is>
      </c>
      <c r="K1" s="13" t="inlineStr">
        <is>
          <t>Instrument run h / sample</t>
        </is>
      </c>
      <c r="L1" s="13" t="inlineStr">
        <is>
          <t>Data processing + doc h / sample</t>
        </is>
      </c>
      <c r="M1" s="13" t="inlineStr">
        <is>
          <t>Review h / sample</t>
        </is>
      </c>
      <c r="N1" s="13" t="inlineStr">
        <is>
          <t>Samples per sequence / run</t>
        </is>
      </c>
      <c r="O1" s="13" t="inlineStr">
        <is>
          <t>Outsourced (Y/N)</t>
        </is>
      </c>
      <c r="P1" s="13" t="inlineStr">
        <is>
          <t>Notes</t>
        </is>
      </c>
    </row>
    <row r="2">
      <c r="A2" s="10" t="inlineStr">
        <is>
          <t>AVG_WT</t>
        </is>
      </c>
      <c r="B2" s="10" t="inlineStr">
        <is>
          <t>Average weight / uniformity of mass</t>
        </is>
      </c>
      <c r="C2" s="10" t="inlineStr">
        <is>
          <t>Balance</t>
        </is>
      </c>
      <c r="D2" s="10">
        <f>COUNTIFS('Test times'!$AB:$AB,$A2,'Test times'!$F:$F,"Y")</f>
        <v/>
      </c>
      <c r="E2" s="10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>
      <c r="A3" s="10" t="inlineStr">
        <is>
          <t>DIAM</t>
        </is>
      </c>
      <c r="B3" s="10" t="inlineStr">
        <is>
          <t>Diameter (or length / width)</t>
        </is>
      </c>
      <c r="C3" s="10" t="inlineStr">
        <is>
          <t>Tablet tester</t>
        </is>
      </c>
      <c r="D3" s="10">
        <f>COUNTIFS('Test times'!$AB:$AB,$A3,'Test times'!$F:$F,"Y")</f>
        <v/>
      </c>
      <c r="E3" s="10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A4" s="10" t="inlineStr">
        <is>
          <t>THICK</t>
        </is>
      </c>
      <c r="B4" s="10" t="inlineStr">
        <is>
          <t>Thickness</t>
        </is>
      </c>
      <c r="C4" s="10" t="inlineStr">
        <is>
          <t>Tablet tester</t>
        </is>
      </c>
      <c r="D4" s="10">
        <f>COUNTIFS('Test times'!$AB:$AB,$A4,'Test times'!$F:$F,"Y")</f>
        <v/>
      </c>
      <c r="E4" s="10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A5" s="10" t="inlineStr">
        <is>
          <t>HARD</t>
        </is>
      </c>
      <c r="B5" s="10" t="inlineStr">
        <is>
          <t>Hardness / breaking force</t>
        </is>
      </c>
      <c r="C5" s="10" t="inlineStr">
        <is>
          <t>Tablet tester</t>
        </is>
      </c>
      <c r="D5" s="10">
        <f>COUNTIFS('Test times'!$AB:$AB,$A5,'Test times'!$F:$F,"Y")</f>
        <v/>
      </c>
      <c r="E5" s="10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A6" s="10" t="inlineStr">
        <is>
          <t>BRITTLE</t>
        </is>
      </c>
      <c r="B6" s="10" t="inlineStr">
        <is>
          <t>Brittleness</t>
        </is>
      </c>
      <c r="C6" s="10" t="inlineStr">
        <is>
          <t>Other / bench</t>
        </is>
      </c>
      <c r="D6" s="10">
        <f>COUNTIFS('Test times'!$AB:$AB,$A6,'Test times'!$F:$F,"Y")</f>
        <v/>
      </c>
      <c r="E6" s="10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A7" s="10" t="inlineStr">
        <is>
          <t>FRIAB</t>
        </is>
      </c>
      <c r="B7" s="10" t="inlineStr">
        <is>
          <t>Friability</t>
        </is>
      </c>
      <c r="C7" s="10" t="inlineStr">
        <is>
          <t>Friabilator</t>
        </is>
      </c>
      <c r="D7" s="10">
        <f>COUNTIFS('Test times'!$AB:$AB,$A7,'Test times'!$F:$F,"Y")</f>
        <v/>
      </c>
      <c r="E7" s="10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A8" s="10" t="inlineStr">
        <is>
          <t>DISINT</t>
        </is>
      </c>
      <c r="B8" s="10" t="inlineStr">
        <is>
          <t>Disintegration</t>
        </is>
      </c>
      <c r="C8" s="10" t="inlineStr">
        <is>
          <t>Disintegration tester</t>
        </is>
      </c>
      <c r="D8" s="10">
        <f>COUNTIFS('Test times'!$AB:$AB,$A8,'Test times'!$F:$F,"Y")</f>
        <v/>
      </c>
      <c r="E8" s="10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>
      <c r="A9" s="10" t="inlineStr">
        <is>
          <t>IPC</t>
        </is>
      </c>
      <c r="B9" s="10" t="inlineStr">
        <is>
          <t>In-process check at the machine (one check, all its tests)</t>
        </is>
      </c>
      <c r="C9" s="10" t="inlineStr">
        <is>
          <t>Tablet tester</t>
        </is>
      </c>
      <c r="D9" s="10">
        <f>COUNTIFS('Test times'!$AB:$AB,$A9,'Test times'!$F:$F,"Y")</f>
        <v/>
      </c>
      <c r="E9" s="10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</row>
    <row r="10">
      <c r="A10" s="10" t="inlineStr">
        <is>
          <t>FILL</t>
        </is>
      </c>
      <c r="B10" s="10" t="inlineStr">
        <is>
          <t>Fill volume / deliverable volume</t>
        </is>
      </c>
      <c r="C10" s="10" t="inlineStr">
        <is>
          <t>Balance</t>
        </is>
      </c>
      <c r="D10" s="10">
        <f>COUNTIFS('Test times'!$AB:$AB,$A10,'Test times'!$F:$F,"Y")</f>
        <v/>
      </c>
      <c r="E10" s="10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>
      <c r="A11" s="10" t="inlineStr">
        <is>
          <t>SPRAY</t>
        </is>
      </c>
      <c r="B11" s="10" t="inlineStr">
        <is>
          <t>Spray weight per actuation (shot weight)</t>
        </is>
      </c>
      <c r="C11" s="10" t="inlineStr">
        <is>
          <t>Balance</t>
        </is>
      </c>
      <c r="D11" s="10">
        <f>COUNTIFS('Test times'!$AB:$AB,$A11,'Test times'!$F:$F,"Y")</f>
        <v/>
      </c>
      <c r="E11" s="10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</row>
  </sheetData>
  <autoFilter ref="A1:P11"/>
  <conditionalFormatting sqref="A2:P211">
    <cfRule type="expression" priority="1" dxfId="0" stopIfTrue="0">
      <formula>OR($O2="Y")</formula>
    </cfRule>
  </conditionalFormatting>
  <dataValidations count="2">
    <dataValidation sqref="O2:O211" showDropDown="0" showInputMessage="0" showErrorMessage="0" allowBlank="1" type="list">
      <formula1>"Y,N"</formula1>
    </dataValidation>
    <dataValidation sqref="C2:C200" showDropDown="0" showInputMessage="0" showErrorMessage="0" allowBlank="1" type="list">
      <formula1>"Balance,Tablet tester,Caliper / micrometer,Friabilator,Disintegration tester,Dissolution bath,Moisture analyser,Sieve shaker,Density tester,Leak tester,Other / bench,None"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34" customWidth="1" min="3" max="3"/>
    <col width="26" customWidth="1" min="4" max="4"/>
    <col hidden="1" width="1" customWidth="1" min="5" max="5"/>
    <col width="9" customWidth="1" min="6" max="6"/>
    <col width="13" customWidth="1" min="7" max="7"/>
    <col width="10" customWidth="1" min="8" max="8"/>
    <col width="9" customWidth="1" min="9" max="9"/>
    <col hidden="1"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10" customWidth="1" min="17" max="17"/>
    <col hidden="1" width="10" customWidth="1" min="18" max="18"/>
    <col width="10" customWidth="1" min="19" max="19"/>
    <col width="10" customWidth="1" min="20" max="20"/>
    <col width="10" customWidth="1" min="21" max="21"/>
    <col width="9" customWidth="1" min="22" max="22"/>
    <col width="10" customWidth="1" min="23" max="23"/>
    <col width="16" customWidth="1" min="24" max="24"/>
    <col width="11" customWidth="1" min="25" max="25"/>
    <col width="30" customWidth="1" min="26" max="26"/>
    <col width="10" customWidth="1" min="27" max="27"/>
    <col width="9" customWidth="1" min="28" max="28"/>
  </cols>
  <sheetData>
    <row r="1" ht="45" customHeight="1">
      <c r="A1" s="13" t="inlineStr">
        <is>
          <t>Key (Family ID / Material)</t>
        </is>
      </c>
      <c r="B1" s="13" t="inlineStr">
        <is>
          <t>Type</t>
        </is>
      </c>
      <c r="C1" s="13" t="inlineStr">
        <is>
          <t>Description</t>
        </is>
      </c>
      <c r="D1" s="13" t="inlineStr">
        <is>
          <t>Test</t>
        </is>
      </c>
      <c r="E1" s="13" t="inlineStr">
        <is>
          <t>Lookup key (auto)</t>
        </is>
      </c>
      <c r="F1" s="13" t="inlineStr">
        <is>
          <t>Applicable (Y/N)</t>
        </is>
      </c>
      <c r="G1" s="13" t="inlineStr">
        <is>
          <t>Instrument</t>
        </is>
      </c>
      <c r="H1" s="13" t="inlineStr">
        <is>
          <t>Complexity</t>
        </is>
      </c>
      <c r="I1" s="13" t="inlineStr">
        <is>
          <t>No. of separate methods</t>
        </is>
      </c>
      <c r="J1" s="13" t="inlineStr">
        <is>
          <t>Campaign group code</t>
        </is>
      </c>
      <c r="K1" s="13" t="inlineStr">
        <is>
          <t>Setup analyst h / sequence</t>
        </is>
      </c>
      <c r="L1" s="13" t="inlineStr">
        <is>
          <t>Setup instrument h / sequence</t>
        </is>
      </c>
      <c r="M1" s="13" t="inlineStr">
        <is>
          <t>Prep analyst h/sample – MIN</t>
        </is>
      </c>
      <c r="N1" s="13" t="inlineStr">
        <is>
          <t>Prep – MOST LIKELY</t>
        </is>
      </c>
      <c r="O1" s="13" t="inlineStr">
        <is>
          <t>Prep – MAX</t>
        </is>
      </c>
      <c r="P1" s="13" t="inlineStr">
        <is>
          <t>Prep PERT (auto)</t>
        </is>
      </c>
      <c r="Q1" s="13" t="inlineStr">
        <is>
          <t>Instrument run h / sample</t>
        </is>
      </c>
      <c r="R1" s="13" t="inlineStr">
        <is>
          <t>Dissolution bath h / sample</t>
        </is>
      </c>
      <c r="S1" s="13" t="inlineStr">
        <is>
          <t>Data processing + doc h / sample</t>
        </is>
      </c>
      <c r="T1" s="13" t="inlineStr">
        <is>
          <t>Review h / sample</t>
        </is>
      </c>
      <c r="U1" s="13" t="inlineStr">
        <is>
          <t>Samples per sequence</t>
        </is>
      </c>
      <c r="V1" s="13" t="inlineStr">
        <is>
          <t>Retest / OOS %</t>
        </is>
      </c>
      <c r="W1" s="13" t="inlineStr">
        <is>
          <t>Applies to stability (Y/N)</t>
        </is>
      </c>
      <c r="X1" s="13" t="inlineStr">
        <is>
          <t>Respondent(s) / source</t>
        </is>
      </c>
      <c r="Y1" s="13" t="inlineStr">
        <is>
          <t>Confidence</t>
        </is>
      </c>
      <c r="Z1" s="13" t="inlineStr">
        <is>
          <t>Notes / difficulty</t>
        </is>
      </c>
      <c r="AA1" s="13" t="inlineStr">
        <is>
          <t>Outsourced (Y/N)</t>
        </is>
      </c>
      <c r="AB1" s="13" t="inlineStr">
        <is>
          <t>Catalog code</t>
        </is>
      </c>
    </row>
    <row r="2">
      <c r="A2" s="10" t="inlineStr">
        <is>
          <t>F01</t>
        </is>
      </c>
      <c r="B2" s="10" t="inlineStr">
        <is>
          <t>FP</t>
        </is>
      </c>
      <c r="C2" s="10" t="inlineStr">
        <is>
          <t>Ezetimibe-Rosuvastatin 10-10; Ezetimibe-Rosuvastatin 10-20; Ezetimibe-Rosuvastatin 10-40  |  Ezetimibe, Rosuvastatin Calcium</t>
        </is>
      </c>
      <c r="D2" s="10" t="inlineStr">
        <is>
          <t>Average weight / uniformity of mass</t>
        </is>
      </c>
      <c r="E2" s="10">
        <f>IF(A2="","",A2&amp;"|"&amp;D2)</f>
        <v/>
      </c>
      <c r="F2" s="5" t="inlineStr">
        <is>
          <t>Y</t>
        </is>
      </c>
      <c r="G2" s="5" t="inlineStr">
        <is>
          <t>Balance</t>
        </is>
      </c>
      <c r="H2" s="5" t="inlineStr">
        <is>
          <t>Low</t>
        </is>
      </c>
      <c r="I2" s="5" t="n">
        <v>1</v>
      </c>
      <c r="J2" s="5" t="n"/>
      <c r="K2" s="10">
        <f>IFERROR(IF(INDEX('Test catalog'!$F$2:$F$200,MATCH($AB2,'Test catalog'!$A$2:$A$200,0))="","",INDEX('Test catalog'!$F$2:$F$200,MATCH($AB2,'Test catalog'!$A$2:$A$200,0))),"")</f>
        <v/>
      </c>
      <c r="L2" s="10">
        <f>IFERROR(IF(INDEX('Test catalog'!$G$2:$G$200,MATCH($AB2,'Test catalog'!$A$2:$A$200,0))="","",INDEX('Test catalog'!$G$2:$G$200,MATCH($AB2,'Test catalog'!$A$2:$A$200,0))),"")</f>
        <v/>
      </c>
      <c r="M2" s="10">
        <f>IFERROR(IF(INDEX('Test catalog'!$H$2:$H$200,MATCH($AB2,'Test catalog'!$A$2:$A$200,0))="","",INDEX('Test catalog'!$H$2:$H$200,MATCH($AB2,'Test catalog'!$A$2:$A$200,0))),"")</f>
        <v/>
      </c>
      <c r="N2" s="10">
        <f>IFERROR(IF(INDEX('Test catalog'!$I$2:$I$200,MATCH($AB2,'Test catalog'!$A$2:$A$200,0))="","",INDEX('Test catalog'!$I$2:$I$200,MATCH($AB2,'Test catalog'!$A$2:$A$200,0))),"")</f>
        <v/>
      </c>
      <c r="O2" s="10">
        <f>IFERROR(IF(INDEX('Test catalog'!$J$2:$J$200,MATCH($AB2,'Test catalog'!$A$2:$A$200,0))="","",INDEX('Test catalog'!$J$2:$J$200,MATCH($AB2,'Test catalog'!$A$2:$A$200,0))),"")</f>
        <v/>
      </c>
      <c r="P2" s="14">
        <f>IF(N2="","",IF(OR(M2="",O2=""),N2,(M2+4*N2+O2)/6))</f>
        <v/>
      </c>
      <c r="Q2" s="10">
        <f>IFERROR(IF(INDEX('Test catalog'!$K$2:$K$200,MATCH($AB2,'Test catalog'!$A$2:$A$200,0))="","",INDEX('Test catalog'!$K$2:$K$200,MATCH($AB2,'Test catalog'!$A$2:$A$200,0))),"")</f>
        <v/>
      </c>
      <c r="R2" s="5" t="n"/>
      <c r="S2" s="10">
        <f>IFERROR(IF(INDEX('Test catalog'!$L$2:$L$200,MATCH($AB2,'Test catalog'!$A$2:$A$200,0))="","",INDEX('Test catalog'!$L$2:$L$200,MATCH($AB2,'Test catalog'!$A$2:$A$200,0))),"")</f>
        <v/>
      </c>
      <c r="T2" s="10">
        <f>IFERROR(IF(INDEX('Test catalog'!$M$2:$M$200,MATCH($AB2,'Test catalog'!$A$2:$A$200,0))="","",INDEX('Test catalog'!$M$2:$M$200,MATCH($AB2,'Test catalog'!$A$2:$A$200,0))),"")</f>
        <v/>
      </c>
      <c r="U2" s="10">
        <f>IFERROR(IF(INDEX('Test catalog'!$N$2:$N$200,MATCH($AB2,'Test catalog'!$A$2:$A$200,0))="","",INDEX('Test catalog'!$N$2:$N$200,MATCH($AB2,'Test catalog'!$A$2:$A$200,0))),"")</f>
        <v/>
      </c>
      <c r="V2" s="15" t="n"/>
      <c r="W2" s="5" t="inlineStr">
        <is>
          <t>N</t>
        </is>
      </c>
      <c r="X2" s="5" t="n"/>
      <c r="Y2" s="5" t="n"/>
      <c r="Z2" s="5" t="n"/>
      <c r="AA2" s="10">
        <f>IFERROR(IF(INDEX('Test catalog'!$O$2:$O$200,MATCH($AB2,'Test catalog'!$A$2:$A$200,0))="","",INDEX('Test catalog'!$O$2:$O$200,MATCH($AB2,'Test catalog'!$A$2:$A$200,0))),"")</f>
        <v/>
      </c>
      <c r="AB2" s="10" t="inlineStr">
        <is>
          <t>AVG_WT</t>
        </is>
      </c>
    </row>
    <row r="3">
      <c r="A3" s="10" t="inlineStr">
        <is>
          <t>F01</t>
        </is>
      </c>
      <c r="B3" s="10" t="inlineStr">
        <is>
          <t>FP</t>
        </is>
      </c>
      <c r="C3" s="10" t="inlineStr">
        <is>
          <t>Ezetimibe-Rosuvastatin 10-10; Ezetimibe-Rosuvastatin 10-20; Ezetimibe-Rosuvastatin 10-40  |  Ezetimibe, Rosuvastatin Calcium</t>
        </is>
      </c>
      <c r="D3" s="10" t="inlineStr">
        <is>
          <t>Diameter (or length / width)</t>
        </is>
      </c>
      <c r="E3" s="10">
        <f>IF(A3="","",A3&amp;"|"&amp;D3)</f>
        <v/>
      </c>
      <c r="F3" s="5" t="inlineStr">
        <is>
          <t>Y</t>
        </is>
      </c>
      <c r="G3" s="5" t="inlineStr">
        <is>
          <t>Tablet tester</t>
        </is>
      </c>
      <c r="H3" s="5" t="inlineStr">
        <is>
          <t>Low</t>
        </is>
      </c>
      <c r="I3" s="5" t="n">
        <v>1</v>
      </c>
      <c r="J3" s="5" t="n"/>
      <c r="K3" s="10">
        <f>IFERROR(IF(INDEX('Test catalog'!$F$2:$F$200,MATCH($AB3,'Test catalog'!$A$2:$A$200,0))="","",INDEX('Test catalog'!$F$2:$F$200,MATCH($AB3,'Test catalog'!$A$2:$A$200,0))),"")</f>
        <v/>
      </c>
      <c r="L3" s="10">
        <f>IFERROR(IF(INDEX('Test catalog'!$G$2:$G$200,MATCH($AB3,'Test catalog'!$A$2:$A$200,0))="","",INDEX('Test catalog'!$G$2:$G$200,MATCH($AB3,'Test catalog'!$A$2:$A$200,0))),"")</f>
        <v/>
      </c>
      <c r="M3" s="10">
        <f>IFERROR(IF(INDEX('Test catalog'!$H$2:$H$200,MATCH($AB3,'Test catalog'!$A$2:$A$200,0))="","",INDEX('Test catalog'!$H$2:$H$200,MATCH($AB3,'Test catalog'!$A$2:$A$200,0))),"")</f>
        <v/>
      </c>
      <c r="N3" s="10">
        <f>IFERROR(IF(INDEX('Test catalog'!$I$2:$I$200,MATCH($AB3,'Test catalog'!$A$2:$A$200,0))="","",INDEX('Test catalog'!$I$2:$I$200,MATCH($AB3,'Test catalog'!$A$2:$A$200,0))),"")</f>
        <v/>
      </c>
      <c r="O3" s="10">
        <f>IFERROR(IF(INDEX('Test catalog'!$J$2:$J$200,MATCH($AB3,'Test catalog'!$A$2:$A$200,0))="","",INDEX('Test catalog'!$J$2:$J$200,MATCH($AB3,'Test catalog'!$A$2:$A$200,0))),"")</f>
        <v/>
      </c>
      <c r="P3" s="14">
        <f>IF(N3="","",IF(OR(M3="",O3=""),N3,(M3+4*N3+O3)/6))</f>
        <v/>
      </c>
      <c r="Q3" s="10">
        <f>IFERROR(IF(INDEX('Test catalog'!$K$2:$K$200,MATCH($AB3,'Test catalog'!$A$2:$A$200,0))="","",INDEX('Test catalog'!$K$2:$K$200,MATCH($AB3,'Test catalog'!$A$2:$A$200,0))),"")</f>
        <v/>
      </c>
      <c r="R3" s="5" t="n"/>
      <c r="S3" s="10">
        <f>IFERROR(IF(INDEX('Test catalog'!$L$2:$L$200,MATCH($AB3,'Test catalog'!$A$2:$A$200,0))="","",INDEX('Test catalog'!$L$2:$L$200,MATCH($AB3,'Test catalog'!$A$2:$A$200,0))),"")</f>
        <v/>
      </c>
      <c r="T3" s="10">
        <f>IFERROR(IF(INDEX('Test catalog'!$M$2:$M$200,MATCH($AB3,'Test catalog'!$A$2:$A$200,0))="","",INDEX('Test catalog'!$M$2:$M$200,MATCH($AB3,'Test catalog'!$A$2:$A$200,0))),"")</f>
        <v/>
      </c>
      <c r="U3" s="10">
        <f>IFERROR(IF(INDEX('Test catalog'!$N$2:$N$200,MATCH($AB3,'Test catalog'!$A$2:$A$200,0))="","",INDEX('Test catalog'!$N$2:$N$200,MATCH($AB3,'Test catalog'!$A$2:$A$200,0))),"")</f>
        <v/>
      </c>
      <c r="V3" s="15" t="n"/>
      <c r="W3" s="5" t="inlineStr">
        <is>
          <t>N</t>
        </is>
      </c>
      <c r="X3" s="5" t="n"/>
      <c r="Y3" s="5" t="n"/>
      <c r="Z3" s="5" t="n"/>
      <c r="AA3" s="10">
        <f>IFERROR(IF(INDEX('Test catalog'!$O$2:$O$200,MATCH($AB3,'Test catalog'!$A$2:$A$200,0))="","",INDEX('Test catalog'!$O$2:$O$200,MATCH($AB3,'Test catalog'!$A$2:$A$200,0))),"")</f>
        <v/>
      </c>
      <c r="AB3" s="10" t="inlineStr">
        <is>
          <t>DIAM</t>
        </is>
      </c>
    </row>
    <row r="4">
      <c r="A4" s="10" t="inlineStr">
        <is>
          <t>F01</t>
        </is>
      </c>
      <c r="B4" s="10" t="inlineStr">
        <is>
          <t>FP</t>
        </is>
      </c>
      <c r="C4" s="10" t="inlineStr">
        <is>
          <t>Ezetimibe-Rosuvastatin 10-10; Ezetimibe-Rosuvastatin 10-20; Ezetimibe-Rosuvastatin 10-40  |  Ezetimibe, Rosuvastatin Calcium</t>
        </is>
      </c>
      <c r="D4" s="10" t="inlineStr">
        <is>
          <t>Thickness</t>
        </is>
      </c>
      <c r="E4" s="10">
        <f>IF(A4="","",A4&amp;"|"&amp;D4)</f>
        <v/>
      </c>
      <c r="F4" s="5" t="inlineStr">
        <is>
          <t>Y</t>
        </is>
      </c>
      <c r="G4" s="5" t="inlineStr">
        <is>
          <t>Tablet tester</t>
        </is>
      </c>
      <c r="H4" s="5" t="inlineStr">
        <is>
          <t>Low</t>
        </is>
      </c>
      <c r="I4" s="5" t="n">
        <v>1</v>
      </c>
      <c r="J4" s="5" t="n"/>
      <c r="K4" s="10">
        <f>IFERROR(IF(INDEX('Test catalog'!$F$2:$F$200,MATCH($AB4,'Test catalog'!$A$2:$A$200,0))="","",INDEX('Test catalog'!$F$2:$F$200,MATCH($AB4,'Test catalog'!$A$2:$A$200,0))),"")</f>
        <v/>
      </c>
      <c r="L4" s="10">
        <f>IFERROR(IF(INDEX('Test catalog'!$G$2:$G$200,MATCH($AB4,'Test catalog'!$A$2:$A$200,0))="","",INDEX('Test catalog'!$G$2:$G$200,MATCH($AB4,'Test catalog'!$A$2:$A$200,0))),"")</f>
        <v/>
      </c>
      <c r="M4" s="10">
        <f>IFERROR(IF(INDEX('Test catalog'!$H$2:$H$200,MATCH($AB4,'Test catalog'!$A$2:$A$200,0))="","",INDEX('Test catalog'!$H$2:$H$200,MATCH($AB4,'Test catalog'!$A$2:$A$200,0))),"")</f>
        <v/>
      </c>
      <c r="N4" s="10">
        <f>IFERROR(IF(INDEX('Test catalog'!$I$2:$I$200,MATCH($AB4,'Test catalog'!$A$2:$A$200,0))="","",INDEX('Test catalog'!$I$2:$I$200,MATCH($AB4,'Test catalog'!$A$2:$A$200,0))),"")</f>
        <v/>
      </c>
      <c r="O4" s="10">
        <f>IFERROR(IF(INDEX('Test catalog'!$J$2:$J$200,MATCH($AB4,'Test catalog'!$A$2:$A$200,0))="","",INDEX('Test catalog'!$J$2:$J$200,MATCH($AB4,'Test catalog'!$A$2:$A$200,0))),"")</f>
        <v/>
      </c>
      <c r="P4" s="14">
        <f>IF(N4="","",IF(OR(M4="",O4=""),N4,(M4+4*N4+O4)/6))</f>
        <v/>
      </c>
      <c r="Q4" s="10">
        <f>IFERROR(IF(INDEX('Test catalog'!$K$2:$K$200,MATCH($AB4,'Test catalog'!$A$2:$A$200,0))="","",INDEX('Test catalog'!$K$2:$K$200,MATCH($AB4,'Test catalog'!$A$2:$A$200,0))),"")</f>
        <v/>
      </c>
      <c r="R4" s="5" t="n"/>
      <c r="S4" s="10">
        <f>IFERROR(IF(INDEX('Test catalog'!$L$2:$L$200,MATCH($AB4,'Test catalog'!$A$2:$A$200,0))="","",INDEX('Test catalog'!$L$2:$L$200,MATCH($AB4,'Test catalog'!$A$2:$A$200,0))),"")</f>
        <v/>
      </c>
      <c r="T4" s="10">
        <f>IFERROR(IF(INDEX('Test catalog'!$M$2:$M$200,MATCH($AB4,'Test catalog'!$A$2:$A$200,0))="","",INDEX('Test catalog'!$M$2:$M$200,MATCH($AB4,'Test catalog'!$A$2:$A$200,0))),"")</f>
        <v/>
      </c>
      <c r="U4" s="10">
        <f>IFERROR(IF(INDEX('Test catalog'!$N$2:$N$200,MATCH($AB4,'Test catalog'!$A$2:$A$200,0))="","",INDEX('Test catalog'!$N$2:$N$200,MATCH($AB4,'Test catalog'!$A$2:$A$200,0))),"")</f>
        <v/>
      </c>
      <c r="V4" s="15" t="n"/>
      <c r="W4" s="5" t="inlineStr">
        <is>
          <t>N</t>
        </is>
      </c>
      <c r="X4" s="5" t="n"/>
      <c r="Y4" s="5" t="n"/>
      <c r="Z4" s="5" t="n"/>
      <c r="AA4" s="10">
        <f>IFERROR(IF(INDEX('Test catalog'!$O$2:$O$200,MATCH($AB4,'Test catalog'!$A$2:$A$200,0))="","",INDEX('Test catalog'!$O$2:$O$200,MATCH($AB4,'Test catalog'!$A$2:$A$200,0))),"")</f>
        <v/>
      </c>
      <c r="AB4" s="10" t="inlineStr">
        <is>
          <t>THICK</t>
        </is>
      </c>
    </row>
    <row r="5">
      <c r="A5" s="10" t="inlineStr">
        <is>
          <t>F01</t>
        </is>
      </c>
      <c r="B5" s="10" t="inlineStr">
        <is>
          <t>FP</t>
        </is>
      </c>
      <c r="C5" s="10" t="inlineStr">
        <is>
          <t>Ezetimibe-Rosuvastatin 10-10; Ezetimibe-Rosuvastatin 10-20; Ezetimibe-Rosuvastatin 10-40  |  Ezetimibe, Rosuvastatin Calcium</t>
        </is>
      </c>
      <c r="D5" s="10" t="inlineStr">
        <is>
          <t>Hardness / breaking force</t>
        </is>
      </c>
      <c r="E5" s="10">
        <f>IF(A5="","",A5&amp;"|"&amp;D5)</f>
        <v/>
      </c>
      <c r="F5" s="5" t="inlineStr">
        <is>
          <t>Y</t>
        </is>
      </c>
      <c r="G5" s="5" t="inlineStr">
        <is>
          <t>Tablet tester</t>
        </is>
      </c>
      <c r="H5" s="5" t="inlineStr">
        <is>
          <t>Low</t>
        </is>
      </c>
      <c r="I5" s="5" t="n">
        <v>1</v>
      </c>
      <c r="J5" s="5" t="n"/>
      <c r="K5" s="10">
        <f>IFERROR(IF(INDEX('Test catalog'!$F$2:$F$200,MATCH($AB5,'Test catalog'!$A$2:$A$200,0))="","",INDEX('Test catalog'!$F$2:$F$200,MATCH($AB5,'Test catalog'!$A$2:$A$200,0))),"")</f>
        <v/>
      </c>
      <c r="L5" s="10">
        <f>IFERROR(IF(INDEX('Test catalog'!$G$2:$G$200,MATCH($AB5,'Test catalog'!$A$2:$A$200,0))="","",INDEX('Test catalog'!$G$2:$G$200,MATCH($AB5,'Test catalog'!$A$2:$A$200,0))),"")</f>
        <v/>
      </c>
      <c r="M5" s="10">
        <f>IFERROR(IF(INDEX('Test catalog'!$H$2:$H$200,MATCH($AB5,'Test catalog'!$A$2:$A$200,0))="","",INDEX('Test catalog'!$H$2:$H$200,MATCH($AB5,'Test catalog'!$A$2:$A$200,0))),"")</f>
        <v/>
      </c>
      <c r="N5" s="10">
        <f>IFERROR(IF(INDEX('Test catalog'!$I$2:$I$200,MATCH($AB5,'Test catalog'!$A$2:$A$200,0))="","",INDEX('Test catalog'!$I$2:$I$200,MATCH($AB5,'Test catalog'!$A$2:$A$200,0))),"")</f>
        <v/>
      </c>
      <c r="O5" s="10">
        <f>IFERROR(IF(INDEX('Test catalog'!$J$2:$J$200,MATCH($AB5,'Test catalog'!$A$2:$A$200,0))="","",INDEX('Test catalog'!$J$2:$J$200,MATCH($AB5,'Test catalog'!$A$2:$A$200,0))),"")</f>
        <v/>
      </c>
      <c r="P5" s="14">
        <f>IF(N5="","",IF(OR(M5="",O5=""),N5,(M5+4*N5+O5)/6))</f>
        <v/>
      </c>
      <c r="Q5" s="10">
        <f>IFERROR(IF(INDEX('Test catalog'!$K$2:$K$200,MATCH($AB5,'Test catalog'!$A$2:$A$200,0))="","",INDEX('Test catalog'!$K$2:$K$200,MATCH($AB5,'Test catalog'!$A$2:$A$200,0))),"")</f>
        <v/>
      </c>
      <c r="R5" s="5" t="n"/>
      <c r="S5" s="10">
        <f>IFERROR(IF(INDEX('Test catalog'!$L$2:$L$200,MATCH($AB5,'Test catalog'!$A$2:$A$200,0))="","",INDEX('Test catalog'!$L$2:$L$200,MATCH($AB5,'Test catalog'!$A$2:$A$200,0))),"")</f>
        <v/>
      </c>
      <c r="T5" s="10">
        <f>IFERROR(IF(INDEX('Test catalog'!$M$2:$M$200,MATCH($AB5,'Test catalog'!$A$2:$A$200,0))="","",INDEX('Test catalog'!$M$2:$M$200,MATCH($AB5,'Test catalog'!$A$2:$A$200,0))),"")</f>
        <v/>
      </c>
      <c r="U5" s="10">
        <f>IFERROR(IF(INDEX('Test catalog'!$N$2:$N$200,MATCH($AB5,'Test catalog'!$A$2:$A$200,0))="","",INDEX('Test catalog'!$N$2:$N$200,MATCH($AB5,'Test catalog'!$A$2:$A$200,0))),"")</f>
        <v/>
      </c>
      <c r="V5" s="15" t="n"/>
      <c r="W5" s="5" t="inlineStr">
        <is>
          <t>Y</t>
        </is>
      </c>
      <c r="X5" s="5" t="n"/>
      <c r="Y5" s="5" t="n"/>
      <c r="Z5" s="5" t="n"/>
      <c r="AA5" s="10">
        <f>IFERROR(IF(INDEX('Test catalog'!$O$2:$O$200,MATCH($AB5,'Test catalog'!$A$2:$A$200,0))="","",INDEX('Test catalog'!$O$2:$O$200,MATCH($AB5,'Test catalog'!$A$2:$A$200,0))),"")</f>
        <v/>
      </c>
      <c r="AB5" s="10" t="inlineStr">
        <is>
          <t>HARD</t>
        </is>
      </c>
    </row>
    <row r="6">
      <c r="A6" s="10" t="inlineStr">
        <is>
          <t>F01</t>
        </is>
      </c>
      <c r="B6" s="10" t="inlineStr">
        <is>
          <t>FP</t>
        </is>
      </c>
      <c r="C6" s="10" t="inlineStr">
        <is>
          <t>Ezetimibe-Rosuvastatin 10-10; Ezetimibe-Rosuvastatin 10-20; Ezetimibe-Rosuvastatin 10-40  |  Ezetimibe, Rosuvastatin Calcium</t>
        </is>
      </c>
      <c r="D6" s="10" t="inlineStr">
        <is>
          <t>Brittleness</t>
        </is>
      </c>
      <c r="E6" s="10">
        <f>IF(A6="","",A6&amp;"|"&amp;D6)</f>
        <v/>
      </c>
      <c r="F6" s="5" t="inlineStr">
        <is>
          <t>Y</t>
        </is>
      </c>
      <c r="G6" s="5" t="inlineStr">
        <is>
          <t>Other / bench</t>
        </is>
      </c>
      <c r="H6" s="5" t="inlineStr">
        <is>
          <t>Low</t>
        </is>
      </c>
      <c r="I6" s="5" t="n">
        <v>1</v>
      </c>
      <c r="J6" s="5" t="n"/>
      <c r="K6" s="10">
        <f>IFERROR(IF(INDEX('Test catalog'!$F$2:$F$200,MATCH($AB6,'Test catalog'!$A$2:$A$200,0))="","",INDEX('Test catalog'!$F$2:$F$200,MATCH($AB6,'Test catalog'!$A$2:$A$200,0))),"")</f>
        <v/>
      </c>
      <c r="L6" s="10">
        <f>IFERROR(IF(INDEX('Test catalog'!$G$2:$G$200,MATCH($AB6,'Test catalog'!$A$2:$A$200,0))="","",INDEX('Test catalog'!$G$2:$G$200,MATCH($AB6,'Test catalog'!$A$2:$A$200,0))),"")</f>
        <v/>
      </c>
      <c r="M6" s="10">
        <f>IFERROR(IF(INDEX('Test catalog'!$H$2:$H$200,MATCH($AB6,'Test catalog'!$A$2:$A$200,0))="","",INDEX('Test catalog'!$H$2:$H$200,MATCH($AB6,'Test catalog'!$A$2:$A$200,0))),"")</f>
        <v/>
      </c>
      <c r="N6" s="10">
        <f>IFERROR(IF(INDEX('Test catalog'!$I$2:$I$200,MATCH($AB6,'Test catalog'!$A$2:$A$200,0))="","",INDEX('Test catalog'!$I$2:$I$200,MATCH($AB6,'Test catalog'!$A$2:$A$200,0))),"")</f>
        <v/>
      </c>
      <c r="O6" s="10">
        <f>IFERROR(IF(INDEX('Test catalog'!$J$2:$J$200,MATCH($AB6,'Test catalog'!$A$2:$A$200,0))="","",INDEX('Test catalog'!$J$2:$J$200,MATCH($AB6,'Test catalog'!$A$2:$A$200,0))),"")</f>
        <v/>
      </c>
      <c r="P6" s="14">
        <f>IF(N6="","",IF(OR(M6="",O6=""),N6,(M6+4*N6+O6)/6))</f>
        <v/>
      </c>
      <c r="Q6" s="10">
        <f>IFERROR(IF(INDEX('Test catalog'!$K$2:$K$200,MATCH($AB6,'Test catalog'!$A$2:$A$200,0))="","",INDEX('Test catalog'!$K$2:$K$200,MATCH($AB6,'Test catalog'!$A$2:$A$200,0))),"")</f>
        <v/>
      </c>
      <c r="R6" s="5" t="n"/>
      <c r="S6" s="10">
        <f>IFERROR(IF(INDEX('Test catalog'!$L$2:$L$200,MATCH($AB6,'Test catalog'!$A$2:$A$200,0))="","",INDEX('Test catalog'!$L$2:$L$200,MATCH($AB6,'Test catalog'!$A$2:$A$200,0))),"")</f>
        <v/>
      </c>
      <c r="T6" s="10">
        <f>IFERROR(IF(INDEX('Test catalog'!$M$2:$M$200,MATCH($AB6,'Test catalog'!$A$2:$A$200,0))="","",INDEX('Test catalog'!$M$2:$M$200,MATCH($AB6,'Test catalog'!$A$2:$A$200,0))),"")</f>
        <v/>
      </c>
      <c r="U6" s="10">
        <f>IFERROR(IF(INDEX('Test catalog'!$N$2:$N$200,MATCH($AB6,'Test catalog'!$A$2:$A$200,0))="","",INDEX('Test catalog'!$N$2:$N$200,MATCH($AB6,'Test catalog'!$A$2:$A$200,0))),"")</f>
        <v/>
      </c>
      <c r="V6" s="15" t="n"/>
      <c r="W6" s="5" t="inlineStr">
        <is>
          <t>N</t>
        </is>
      </c>
      <c r="X6" s="5" t="n"/>
      <c r="Y6" s="5" t="n"/>
      <c r="Z6" s="5" t="n"/>
      <c r="AA6" s="10">
        <f>IFERROR(IF(INDEX('Test catalog'!$O$2:$O$200,MATCH($AB6,'Test catalog'!$A$2:$A$200,0))="","",INDEX('Test catalog'!$O$2:$O$200,MATCH($AB6,'Test catalog'!$A$2:$A$200,0))),"")</f>
        <v/>
      </c>
      <c r="AB6" s="10" t="inlineStr">
        <is>
          <t>BRITTLE</t>
        </is>
      </c>
    </row>
    <row r="7">
      <c r="A7" s="10" t="inlineStr">
        <is>
          <t>F01</t>
        </is>
      </c>
      <c r="B7" s="10" t="inlineStr">
        <is>
          <t>FP</t>
        </is>
      </c>
      <c r="C7" s="10" t="inlineStr">
        <is>
          <t>Ezetimibe-Rosuvastatin 10-10; Ezetimibe-Rosuvastatin 10-20; Ezetimibe-Rosuvastatin 10-40  |  Ezetimibe, Rosuvastatin Calcium</t>
        </is>
      </c>
      <c r="D7" s="10" t="inlineStr">
        <is>
          <t>Friability</t>
        </is>
      </c>
      <c r="E7" s="10">
        <f>IF(A7="","",A7&amp;"|"&amp;D7)</f>
        <v/>
      </c>
      <c r="F7" s="5" t="inlineStr">
        <is>
          <t>Y</t>
        </is>
      </c>
      <c r="G7" s="5" t="inlineStr">
        <is>
          <t>Friabilator</t>
        </is>
      </c>
      <c r="H7" s="5" t="inlineStr">
        <is>
          <t>Low</t>
        </is>
      </c>
      <c r="I7" s="5" t="n">
        <v>1</v>
      </c>
      <c r="J7" s="5" t="n"/>
      <c r="K7" s="10">
        <f>IFERROR(IF(INDEX('Test catalog'!$F$2:$F$200,MATCH($AB7,'Test catalog'!$A$2:$A$200,0))="","",INDEX('Test catalog'!$F$2:$F$200,MATCH($AB7,'Test catalog'!$A$2:$A$200,0))),"")</f>
        <v/>
      </c>
      <c r="L7" s="10">
        <f>IFERROR(IF(INDEX('Test catalog'!$G$2:$G$200,MATCH($AB7,'Test catalog'!$A$2:$A$200,0))="","",INDEX('Test catalog'!$G$2:$G$200,MATCH($AB7,'Test catalog'!$A$2:$A$200,0))),"")</f>
        <v/>
      </c>
      <c r="M7" s="10">
        <f>IFERROR(IF(INDEX('Test catalog'!$H$2:$H$200,MATCH($AB7,'Test catalog'!$A$2:$A$200,0))="","",INDEX('Test catalog'!$H$2:$H$200,MATCH($AB7,'Test catalog'!$A$2:$A$200,0))),"")</f>
        <v/>
      </c>
      <c r="N7" s="10">
        <f>IFERROR(IF(INDEX('Test catalog'!$I$2:$I$200,MATCH($AB7,'Test catalog'!$A$2:$A$200,0))="","",INDEX('Test catalog'!$I$2:$I$200,MATCH($AB7,'Test catalog'!$A$2:$A$200,0))),"")</f>
        <v/>
      </c>
      <c r="O7" s="10">
        <f>IFERROR(IF(INDEX('Test catalog'!$J$2:$J$200,MATCH($AB7,'Test catalog'!$A$2:$A$200,0))="","",INDEX('Test catalog'!$J$2:$J$200,MATCH($AB7,'Test catalog'!$A$2:$A$200,0))),"")</f>
        <v/>
      </c>
      <c r="P7" s="14">
        <f>IF(N7="","",IF(OR(M7="",O7=""),N7,(M7+4*N7+O7)/6))</f>
        <v/>
      </c>
      <c r="Q7" s="10">
        <f>IFERROR(IF(INDEX('Test catalog'!$K$2:$K$200,MATCH($AB7,'Test catalog'!$A$2:$A$200,0))="","",INDEX('Test catalog'!$K$2:$K$200,MATCH($AB7,'Test catalog'!$A$2:$A$200,0))),"")</f>
        <v/>
      </c>
      <c r="R7" s="5" t="n"/>
      <c r="S7" s="10">
        <f>IFERROR(IF(INDEX('Test catalog'!$L$2:$L$200,MATCH($AB7,'Test catalog'!$A$2:$A$200,0))="","",INDEX('Test catalog'!$L$2:$L$200,MATCH($AB7,'Test catalog'!$A$2:$A$200,0))),"")</f>
        <v/>
      </c>
      <c r="T7" s="10">
        <f>IFERROR(IF(INDEX('Test catalog'!$M$2:$M$200,MATCH($AB7,'Test catalog'!$A$2:$A$200,0))="","",INDEX('Test catalog'!$M$2:$M$200,MATCH($AB7,'Test catalog'!$A$2:$A$200,0))),"")</f>
        <v/>
      </c>
      <c r="U7" s="10">
        <f>IFERROR(IF(INDEX('Test catalog'!$N$2:$N$200,MATCH($AB7,'Test catalog'!$A$2:$A$200,0))="","",INDEX('Test catalog'!$N$2:$N$200,MATCH($AB7,'Test catalog'!$A$2:$A$200,0))),"")</f>
        <v/>
      </c>
      <c r="V7" s="15" t="n"/>
      <c r="W7" s="5" t="inlineStr">
        <is>
          <t>N</t>
        </is>
      </c>
      <c r="X7" s="5" t="n"/>
      <c r="Y7" s="5" t="n"/>
      <c r="Z7" s="5" t="n"/>
      <c r="AA7" s="10">
        <f>IFERROR(IF(INDEX('Test catalog'!$O$2:$O$200,MATCH($AB7,'Test catalog'!$A$2:$A$200,0))="","",INDEX('Test catalog'!$O$2:$O$200,MATCH($AB7,'Test catalog'!$A$2:$A$200,0))),"")</f>
        <v/>
      </c>
      <c r="AB7" s="10" t="inlineStr">
        <is>
          <t>FRIAB</t>
        </is>
      </c>
    </row>
    <row r="8">
      <c r="A8" s="10" t="inlineStr">
        <is>
          <t>F01</t>
        </is>
      </c>
      <c r="B8" s="10" t="inlineStr">
        <is>
          <t>FP</t>
        </is>
      </c>
      <c r="C8" s="10" t="inlineStr">
        <is>
          <t>Ezetimibe-Rosuvastatin 10-10; Ezetimibe-Rosuvastatin 10-20; Ezetimibe-Rosuvastatin 10-40  |  Ezetimibe, Rosuvastatin Calcium</t>
        </is>
      </c>
      <c r="D8" s="10" t="inlineStr">
        <is>
          <t>Disintegration</t>
        </is>
      </c>
      <c r="E8" s="10">
        <f>IF(A8="","",A8&amp;"|"&amp;D8)</f>
        <v/>
      </c>
      <c r="F8" s="5" t="inlineStr">
        <is>
          <t>Y</t>
        </is>
      </c>
      <c r="G8" s="5" t="inlineStr">
        <is>
          <t>Disintegration tester</t>
        </is>
      </c>
      <c r="H8" s="5" t="inlineStr">
        <is>
          <t>Low</t>
        </is>
      </c>
      <c r="I8" s="5" t="n">
        <v>1</v>
      </c>
      <c r="J8" s="5" t="n"/>
      <c r="K8" s="10">
        <f>IFERROR(IF(INDEX('Test catalog'!$F$2:$F$200,MATCH($AB8,'Test catalog'!$A$2:$A$200,0))="","",INDEX('Test catalog'!$F$2:$F$200,MATCH($AB8,'Test catalog'!$A$2:$A$200,0))),"")</f>
        <v/>
      </c>
      <c r="L8" s="10">
        <f>IFERROR(IF(INDEX('Test catalog'!$G$2:$G$200,MATCH($AB8,'Test catalog'!$A$2:$A$200,0))="","",INDEX('Test catalog'!$G$2:$G$200,MATCH($AB8,'Test catalog'!$A$2:$A$200,0))),"")</f>
        <v/>
      </c>
      <c r="M8" s="10">
        <f>IFERROR(IF(INDEX('Test catalog'!$H$2:$H$200,MATCH($AB8,'Test catalog'!$A$2:$A$200,0))="","",INDEX('Test catalog'!$H$2:$H$200,MATCH($AB8,'Test catalog'!$A$2:$A$200,0))),"")</f>
        <v/>
      </c>
      <c r="N8" s="10">
        <f>IFERROR(IF(INDEX('Test catalog'!$I$2:$I$200,MATCH($AB8,'Test catalog'!$A$2:$A$200,0))="","",INDEX('Test catalog'!$I$2:$I$200,MATCH($AB8,'Test catalog'!$A$2:$A$200,0))),"")</f>
        <v/>
      </c>
      <c r="O8" s="10">
        <f>IFERROR(IF(INDEX('Test catalog'!$J$2:$J$200,MATCH($AB8,'Test catalog'!$A$2:$A$200,0))="","",INDEX('Test catalog'!$J$2:$J$200,MATCH($AB8,'Test catalog'!$A$2:$A$200,0))),"")</f>
        <v/>
      </c>
      <c r="P8" s="14">
        <f>IF(N8="","",IF(OR(M8="",O8=""),N8,(M8+4*N8+O8)/6))</f>
        <v/>
      </c>
      <c r="Q8" s="10">
        <f>IFERROR(IF(INDEX('Test catalog'!$K$2:$K$200,MATCH($AB8,'Test catalog'!$A$2:$A$200,0))="","",INDEX('Test catalog'!$K$2:$K$200,MATCH($AB8,'Test catalog'!$A$2:$A$200,0))),"")</f>
        <v/>
      </c>
      <c r="R8" s="5" t="n"/>
      <c r="S8" s="10">
        <f>IFERROR(IF(INDEX('Test catalog'!$L$2:$L$200,MATCH($AB8,'Test catalog'!$A$2:$A$200,0))="","",INDEX('Test catalog'!$L$2:$L$200,MATCH($AB8,'Test catalog'!$A$2:$A$200,0))),"")</f>
        <v/>
      </c>
      <c r="T8" s="10">
        <f>IFERROR(IF(INDEX('Test catalog'!$M$2:$M$200,MATCH($AB8,'Test catalog'!$A$2:$A$200,0))="","",INDEX('Test catalog'!$M$2:$M$200,MATCH($AB8,'Test catalog'!$A$2:$A$200,0))),"")</f>
        <v/>
      </c>
      <c r="U8" s="10">
        <f>IFERROR(IF(INDEX('Test catalog'!$N$2:$N$200,MATCH($AB8,'Test catalog'!$A$2:$A$200,0))="","",INDEX('Test catalog'!$N$2:$N$200,MATCH($AB8,'Test catalog'!$A$2:$A$200,0))),"")</f>
        <v/>
      </c>
      <c r="V8" s="15" t="n"/>
      <c r="W8" s="5" t="inlineStr">
        <is>
          <t>Y</t>
        </is>
      </c>
      <c r="X8" s="5" t="n"/>
      <c r="Y8" s="5" t="n"/>
      <c r="Z8" s="5" t="n"/>
      <c r="AA8" s="10">
        <f>IFERROR(IF(INDEX('Test catalog'!$O$2:$O$200,MATCH($AB8,'Test catalog'!$A$2:$A$200,0))="","",INDEX('Test catalog'!$O$2:$O$200,MATCH($AB8,'Test catalog'!$A$2:$A$200,0))),"")</f>
        <v/>
      </c>
      <c r="AB8" s="10" t="inlineStr">
        <is>
          <t>DISINT</t>
        </is>
      </c>
    </row>
    <row r="9">
      <c r="A9" s="10" t="inlineStr">
        <is>
          <t>F01</t>
        </is>
      </c>
      <c r="B9" s="10" t="inlineStr">
        <is>
          <t>FP</t>
        </is>
      </c>
      <c r="C9" s="10" t="inlineStr">
        <is>
          <t>Ezetimibe-Rosuvastatin 10-10; Ezetimibe-Rosuvastatin 10-20; Ezetimibe-Rosuvastatin 10-40  |  Ezetimibe, Rosuvastatin Calcium</t>
        </is>
      </c>
      <c r="D9" s="10" t="inlineStr">
        <is>
          <t>In-process check at the machine (one check, all its tests)</t>
        </is>
      </c>
      <c r="E9" s="10">
        <f>IF(A9="","",A9&amp;"|"&amp;D9)</f>
        <v/>
      </c>
      <c r="F9" s="5" t="inlineStr">
        <is>
          <t>Y</t>
        </is>
      </c>
      <c r="G9" s="5" t="inlineStr">
        <is>
          <t>Tablet tester</t>
        </is>
      </c>
      <c r="H9" s="5" t="inlineStr">
        <is>
          <t>Low</t>
        </is>
      </c>
      <c r="I9" s="5" t="n">
        <v>1</v>
      </c>
      <c r="J9" s="5" t="n"/>
      <c r="K9" s="10">
        <f>IFERROR(IF(INDEX('Test catalog'!$F$2:$F$200,MATCH($AB9,'Test catalog'!$A$2:$A$200,0))="","",INDEX('Test catalog'!$F$2:$F$200,MATCH($AB9,'Test catalog'!$A$2:$A$200,0))),"")</f>
        <v/>
      </c>
      <c r="L9" s="10">
        <f>IFERROR(IF(INDEX('Test catalog'!$G$2:$G$200,MATCH($AB9,'Test catalog'!$A$2:$A$200,0))="","",INDEX('Test catalog'!$G$2:$G$200,MATCH($AB9,'Test catalog'!$A$2:$A$200,0))),"")</f>
        <v/>
      </c>
      <c r="M9" s="10">
        <f>IFERROR(IF(INDEX('Test catalog'!$H$2:$H$200,MATCH($AB9,'Test catalog'!$A$2:$A$200,0))="","",INDEX('Test catalog'!$H$2:$H$200,MATCH($AB9,'Test catalog'!$A$2:$A$200,0))),"")</f>
        <v/>
      </c>
      <c r="N9" s="10">
        <f>IFERROR(IF(INDEX('Test catalog'!$I$2:$I$200,MATCH($AB9,'Test catalog'!$A$2:$A$200,0))="","",INDEX('Test catalog'!$I$2:$I$200,MATCH($AB9,'Test catalog'!$A$2:$A$200,0))),"")</f>
        <v/>
      </c>
      <c r="O9" s="10">
        <f>IFERROR(IF(INDEX('Test catalog'!$J$2:$J$200,MATCH($AB9,'Test catalog'!$A$2:$A$200,0))="","",INDEX('Test catalog'!$J$2:$J$200,MATCH($AB9,'Test catalog'!$A$2:$A$200,0))),"")</f>
        <v/>
      </c>
      <c r="P9" s="14">
        <f>IF(N9="","",IF(OR(M9="",O9=""),N9,(M9+4*N9+O9)/6))</f>
        <v/>
      </c>
      <c r="Q9" s="10">
        <f>IFERROR(IF(INDEX('Test catalog'!$K$2:$K$200,MATCH($AB9,'Test catalog'!$A$2:$A$200,0))="","",INDEX('Test catalog'!$K$2:$K$200,MATCH($AB9,'Test catalog'!$A$2:$A$200,0))),"")</f>
        <v/>
      </c>
      <c r="R9" s="5" t="n"/>
      <c r="S9" s="10">
        <f>IFERROR(IF(INDEX('Test catalog'!$L$2:$L$200,MATCH($AB9,'Test catalog'!$A$2:$A$200,0))="","",INDEX('Test catalog'!$L$2:$L$200,MATCH($AB9,'Test catalog'!$A$2:$A$200,0))),"")</f>
        <v/>
      </c>
      <c r="T9" s="10">
        <f>IFERROR(IF(INDEX('Test catalog'!$M$2:$M$200,MATCH($AB9,'Test catalog'!$A$2:$A$200,0))="","",INDEX('Test catalog'!$M$2:$M$200,MATCH($AB9,'Test catalog'!$A$2:$A$200,0))),"")</f>
        <v/>
      </c>
      <c r="U9" s="10">
        <f>IFERROR(IF(INDEX('Test catalog'!$N$2:$N$200,MATCH($AB9,'Test catalog'!$A$2:$A$200,0))="","",INDEX('Test catalog'!$N$2:$N$200,MATCH($AB9,'Test catalog'!$A$2:$A$200,0))),"")</f>
        <v/>
      </c>
      <c r="V9" s="15" t="n"/>
      <c r="W9" s="5" t="inlineStr">
        <is>
          <t>N</t>
        </is>
      </c>
      <c r="X9" s="5" t="n"/>
      <c r="Y9" s="5" t="n"/>
      <c r="Z9" s="5" t="n"/>
      <c r="AA9" s="10">
        <f>IFERROR(IF(INDEX('Test catalog'!$O$2:$O$200,MATCH($AB9,'Test catalog'!$A$2:$A$200,0))="","",INDEX('Test catalog'!$O$2:$O$200,MATCH($AB9,'Test catalog'!$A$2:$A$200,0))),"")</f>
        <v/>
      </c>
      <c r="AB9" s="10" t="inlineStr">
        <is>
          <t>IPC</t>
        </is>
      </c>
    </row>
    <row r="10">
      <c r="A10" s="10" t="inlineStr">
        <is>
          <t>F02</t>
        </is>
      </c>
      <c r="B10" s="10" t="inlineStr">
        <is>
          <t>FP</t>
        </is>
      </c>
      <c r="C10" s="10" t="inlineStr">
        <is>
          <t>Resmitrom (Resffera) 60; Resmitrom (Resffera) 80; Resmitrom (Resffera) 100  |  Resmetirom</t>
        </is>
      </c>
      <c r="D10" s="10" t="inlineStr">
        <is>
          <t>Average weight / uniformity of mass</t>
        </is>
      </c>
      <c r="E10" s="10">
        <f>IF(A10="","",A10&amp;"|"&amp;D10)</f>
        <v/>
      </c>
      <c r="F10" s="5" t="inlineStr">
        <is>
          <t>Y</t>
        </is>
      </c>
      <c r="G10" s="5" t="inlineStr">
        <is>
          <t>Balance</t>
        </is>
      </c>
      <c r="H10" s="5" t="inlineStr">
        <is>
          <t>Low</t>
        </is>
      </c>
      <c r="I10" s="5" t="n">
        <v>1</v>
      </c>
      <c r="J10" s="5" t="n"/>
      <c r="K10" s="10">
        <f>IFERROR(IF(INDEX('Test catalog'!$F$2:$F$200,MATCH($AB10,'Test catalog'!$A$2:$A$200,0))="","",INDEX('Test catalog'!$F$2:$F$200,MATCH($AB10,'Test catalog'!$A$2:$A$200,0))),"")</f>
        <v/>
      </c>
      <c r="L10" s="10">
        <f>IFERROR(IF(INDEX('Test catalog'!$G$2:$G$200,MATCH($AB10,'Test catalog'!$A$2:$A$200,0))="","",INDEX('Test catalog'!$G$2:$G$200,MATCH($AB10,'Test catalog'!$A$2:$A$200,0))),"")</f>
        <v/>
      </c>
      <c r="M10" s="10">
        <f>IFERROR(IF(INDEX('Test catalog'!$H$2:$H$200,MATCH($AB10,'Test catalog'!$A$2:$A$200,0))="","",INDEX('Test catalog'!$H$2:$H$200,MATCH($AB10,'Test catalog'!$A$2:$A$200,0))),"")</f>
        <v/>
      </c>
      <c r="N10" s="10">
        <f>IFERROR(IF(INDEX('Test catalog'!$I$2:$I$200,MATCH($AB10,'Test catalog'!$A$2:$A$200,0))="","",INDEX('Test catalog'!$I$2:$I$200,MATCH($AB10,'Test catalog'!$A$2:$A$200,0))),"")</f>
        <v/>
      </c>
      <c r="O10" s="10">
        <f>IFERROR(IF(INDEX('Test catalog'!$J$2:$J$200,MATCH($AB10,'Test catalog'!$A$2:$A$200,0))="","",INDEX('Test catalog'!$J$2:$J$200,MATCH($AB10,'Test catalog'!$A$2:$A$200,0))),"")</f>
        <v/>
      </c>
      <c r="P10" s="14">
        <f>IF(N10="","",IF(OR(M10="",O10=""),N10,(M10+4*N10+O10)/6))</f>
        <v/>
      </c>
      <c r="Q10" s="10">
        <f>IFERROR(IF(INDEX('Test catalog'!$K$2:$K$200,MATCH($AB10,'Test catalog'!$A$2:$A$200,0))="","",INDEX('Test catalog'!$K$2:$K$200,MATCH($AB10,'Test catalog'!$A$2:$A$200,0))),"")</f>
        <v/>
      </c>
      <c r="R10" s="5" t="n"/>
      <c r="S10" s="10">
        <f>IFERROR(IF(INDEX('Test catalog'!$L$2:$L$200,MATCH($AB10,'Test catalog'!$A$2:$A$200,0))="","",INDEX('Test catalog'!$L$2:$L$200,MATCH($AB10,'Test catalog'!$A$2:$A$200,0))),"")</f>
        <v/>
      </c>
      <c r="T10" s="10">
        <f>IFERROR(IF(INDEX('Test catalog'!$M$2:$M$200,MATCH($AB10,'Test catalog'!$A$2:$A$200,0))="","",INDEX('Test catalog'!$M$2:$M$200,MATCH($AB10,'Test catalog'!$A$2:$A$200,0))),"")</f>
        <v/>
      </c>
      <c r="U10" s="10">
        <f>IFERROR(IF(INDEX('Test catalog'!$N$2:$N$200,MATCH($AB10,'Test catalog'!$A$2:$A$200,0))="","",INDEX('Test catalog'!$N$2:$N$200,MATCH($AB10,'Test catalog'!$A$2:$A$200,0))),"")</f>
        <v/>
      </c>
      <c r="V10" s="15" t="n"/>
      <c r="W10" s="5" t="inlineStr">
        <is>
          <t>N</t>
        </is>
      </c>
      <c r="X10" s="5" t="n"/>
      <c r="Y10" s="5" t="n"/>
      <c r="Z10" s="5" t="n"/>
      <c r="AA10" s="10">
        <f>IFERROR(IF(INDEX('Test catalog'!$O$2:$O$200,MATCH($AB10,'Test catalog'!$A$2:$A$200,0))="","",INDEX('Test catalog'!$O$2:$O$200,MATCH($AB10,'Test catalog'!$A$2:$A$200,0))),"")</f>
        <v/>
      </c>
      <c r="AB10" s="10" t="inlineStr">
        <is>
          <t>AVG_WT</t>
        </is>
      </c>
    </row>
    <row r="11">
      <c r="A11" s="10" t="inlineStr">
        <is>
          <t>F02</t>
        </is>
      </c>
      <c r="B11" s="10" t="inlineStr">
        <is>
          <t>FP</t>
        </is>
      </c>
      <c r="C11" s="10" t="inlineStr">
        <is>
          <t>Resmitrom (Resffera) 60; Resmitrom (Resffera) 80; Resmitrom (Resffera) 100  |  Resmetirom</t>
        </is>
      </c>
      <c r="D11" s="10" t="inlineStr">
        <is>
          <t>Diameter (or length / width)</t>
        </is>
      </c>
      <c r="E11" s="10">
        <f>IF(A11="","",A11&amp;"|"&amp;D11)</f>
        <v/>
      </c>
      <c r="F11" s="5" t="inlineStr">
        <is>
          <t>Y</t>
        </is>
      </c>
      <c r="G11" s="5" t="inlineStr">
        <is>
          <t>Tablet tester</t>
        </is>
      </c>
      <c r="H11" s="5" t="inlineStr">
        <is>
          <t>Low</t>
        </is>
      </c>
      <c r="I11" s="5" t="n">
        <v>1</v>
      </c>
      <c r="J11" s="5" t="n"/>
      <c r="K11" s="10">
        <f>IFERROR(IF(INDEX('Test catalog'!$F$2:$F$200,MATCH($AB11,'Test catalog'!$A$2:$A$200,0))="","",INDEX('Test catalog'!$F$2:$F$200,MATCH($AB11,'Test catalog'!$A$2:$A$200,0))),"")</f>
        <v/>
      </c>
      <c r="L11" s="10">
        <f>IFERROR(IF(INDEX('Test catalog'!$G$2:$G$200,MATCH($AB11,'Test catalog'!$A$2:$A$200,0))="","",INDEX('Test catalog'!$G$2:$G$200,MATCH($AB11,'Test catalog'!$A$2:$A$200,0))),"")</f>
        <v/>
      </c>
      <c r="M11" s="10">
        <f>IFERROR(IF(INDEX('Test catalog'!$H$2:$H$200,MATCH($AB11,'Test catalog'!$A$2:$A$200,0))="","",INDEX('Test catalog'!$H$2:$H$200,MATCH($AB11,'Test catalog'!$A$2:$A$200,0))),"")</f>
        <v/>
      </c>
      <c r="N11" s="10">
        <f>IFERROR(IF(INDEX('Test catalog'!$I$2:$I$200,MATCH($AB11,'Test catalog'!$A$2:$A$200,0))="","",INDEX('Test catalog'!$I$2:$I$200,MATCH($AB11,'Test catalog'!$A$2:$A$200,0))),"")</f>
        <v/>
      </c>
      <c r="O11" s="10">
        <f>IFERROR(IF(INDEX('Test catalog'!$J$2:$J$200,MATCH($AB11,'Test catalog'!$A$2:$A$200,0))="","",INDEX('Test catalog'!$J$2:$J$200,MATCH($AB11,'Test catalog'!$A$2:$A$200,0))),"")</f>
        <v/>
      </c>
      <c r="P11" s="14">
        <f>IF(N11="","",IF(OR(M11="",O11=""),N11,(M11+4*N11+O11)/6))</f>
        <v/>
      </c>
      <c r="Q11" s="10">
        <f>IFERROR(IF(INDEX('Test catalog'!$K$2:$K$200,MATCH($AB11,'Test catalog'!$A$2:$A$200,0))="","",INDEX('Test catalog'!$K$2:$K$200,MATCH($AB11,'Test catalog'!$A$2:$A$200,0))),"")</f>
        <v/>
      </c>
      <c r="R11" s="5" t="n"/>
      <c r="S11" s="10">
        <f>IFERROR(IF(INDEX('Test catalog'!$L$2:$L$200,MATCH($AB11,'Test catalog'!$A$2:$A$200,0))="","",INDEX('Test catalog'!$L$2:$L$200,MATCH($AB11,'Test catalog'!$A$2:$A$200,0))),"")</f>
        <v/>
      </c>
      <c r="T11" s="10">
        <f>IFERROR(IF(INDEX('Test catalog'!$M$2:$M$200,MATCH($AB11,'Test catalog'!$A$2:$A$200,0))="","",INDEX('Test catalog'!$M$2:$M$200,MATCH($AB11,'Test catalog'!$A$2:$A$200,0))),"")</f>
        <v/>
      </c>
      <c r="U11" s="10">
        <f>IFERROR(IF(INDEX('Test catalog'!$N$2:$N$200,MATCH($AB11,'Test catalog'!$A$2:$A$200,0))="","",INDEX('Test catalog'!$N$2:$N$200,MATCH($AB11,'Test catalog'!$A$2:$A$200,0))),"")</f>
        <v/>
      </c>
      <c r="V11" s="15" t="n"/>
      <c r="W11" s="5" t="inlineStr">
        <is>
          <t>N</t>
        </is>
      </c>
      <c r="X11" s="5" t="n"/>
      <c r="Y11" s="5" t="n"/>
      <c r="Z11" s="5" t="n"/>
      <c r="AA11" s="10">
        <f>IFERROR(IF(INDEX('Test catalog'!$O$2:$O$200,MATCH($AB11,'Test catalog'!$A$2:$A$200,0))="","",INDEX('Test catalog'!$O$2:$O$200,MATCH($AB11,'Test catalog'!$A$2:$A$200,0))),"")</f>
        <v/>
      </c>
      <c r="AB11" s="10" t="inlineStr">
        <is>
          <t>DIAM</t>
        </is>
      </c>
    </row>
    <row r="12">
      <c r="A12" s="10" t="inlineStr">
        <is>
          <t>F02</t>
        </is>
      </c>
      <c r="B12" s="10" t="inlineStr">
        <is>
          <t>FP</t>
        </is>
      </c>
      <c r="C12" s="10" t="inlineStr">
        <is>
          <t>Resmitrom (Resffera) 60; Resmitrom (Resffera) 80; Resmitrom (Resffera) 100  |  Resmetirom</t>
        </is>
      </c>
      <c r="D12" s="10" t="inlineStr">
        <is>
          <t>Thickness</t>
        </is>
      </c>
      <c r="E12" s="10">
        <f>IF(A12="","",A12&amp;"|"&amp;D12)</f>
        <v/>
      </c>
      <c r="F12" s="5" t="inlineStr">
        <is>
          <t>Y</t>
        </is>
      </c>
      <c r="G12" s="5" t="inlineStr">
        <is>
          <t>Tablet tester</t>
        </is>
      </c>
      <c r="H12" s="5" t="inlineStr">
        <is>
          <t>Low</t>
        </is>
      </c>
      <c r="I12" s="5" t="n">
        <v>1</v>
      </c>
      <c r="J12" s="5" t="n"/>
      <c r="K12" s="10">
        <f>IFERROR(IF(INDEX('Test catalog'!$F$2:$F$200,MATCH($AB12,'Test catalog'!$A$2:$A$200,0))="","",INDEX('Test catalog'!$F$2:$F$200,MATCH($AB12,'Test catalog'!$A$2:$A$200,0))),"")</f>
        <v/>
      </c>
      <c r="L12" s="10">
        <f>IFERROR(IF(INDEX('Test catalog'!$G$2:$G$200,MATCH($AB12,'Test catalog'!$A$2:$A$200,0))="","",INDEX('Test catalog'!$G$2:$G$200,MATCH($AB12,'Test catalog'!$A$2:$A$200,0))),"")</f>
        <v/>
      </c>
      <c r="M12" s="10">
        <f>IFERROR(IF(INDEX('Test catalog'!$H$2:$H$200,MATCH($AB12,'Test catalog'!$A$2:$A$200,0))="","",INDEX('Test catalog'!$H$2:$H$200,MATCH($AB12,'Test catalog'!$A$2:$A$200,0))),"")</f>
        <v/>
      </c>
      <c r="N12" s="10">
        <f>IFERROR(IF(INDEX('Test catalog'!$I$2:$I$200,MATCH($AB12,'Test catalog'!$A$2:$A$200,0))="","",INDEX('Test catalog'!$I$2:$I$200,MATCH($AB12,'Test catalog'!$A$2:$A$200,0))),"")</f>
        <v/>
      </c>
      <c r="O12" s="10">
        <f>IFERROR(IF(INDEX('Test catalog'!$J$2:$J$200,MATCH($AB12,'Test catalog'!$A$2:$A$200,0))="","",INDEX('Test catalog'!$J$2:$J$200,MATCH($AB12,'Test catalog'!$A$2:$A$200,0))),"")</f>
        <v/>
      </c>
      <c r="P12" s="14">
        <f>IF(N12="","",IF(OR(M12="",O12=""),N12,(M12+4*N12+O12)/6))</f>
        <v/>
      </c>
      <c r="Q12" s="10">
        <f>IFERROR(IF(INDEX('Test catalog'!$K$2:$K$200,MATCH($AB12,'Test catalog'!$A$2:$A$200,0))="","",INDEX('Test catalog'!$K$2:$K$200,MATCH($AB12,'Test catalog'!$A$2:$A$200,0))),"")</f>
        <v/>
      </c>
      <c r="R12" s="5" t="n"/>
      <c r="S12" s="10">
        <f>IFERROR(IF(INDEX('Test catalog'!$L$2:$L$200,MATCH($AB12,'Test catalog'!$A$2:$A$200,0))="","",INDEX('Test catalog'!$L$2:$L$200,MATCH($AB12,'Test catalog'!$A$2:$A$200,0))),"")</f>
        <v/>
      </c>
      <c r="T12" s="10">
        <f>IFERROR(IF(INDEX('Test catalog'!$M$2:$M$200,MATCH($AB12,'Test catalog'!$A$2:$A$200,0))="","",INDEX('Test catalog'!$M$2:$M$200,MATCH($AB12,'Test catalog'!$A$2:$A$200,0))),"")</f>
        <v/>
      </c>
      <c r="U12" s="10">
        <f>IFERROR(IF(INDEX('Test catalog'!$N$2:$N$200,MATCH($AB12,'Test catalog'!$A$2:$A$200,0))="","",INDEX('Test catalog'!$N$2:$N$200,MATCH($AB12,'Test catalog'!$A$2:$A$200,0))),"")</f>
        <v/>
      </c>
      <c r="V12" s="15" t="n"/>
      <c r="W12" s="5" t="inlineStr">
        <is>
          <t>N</t>
        </is>
      </c>
      <c r="X12" s="5" t="n"/>
      <c r="Y12" s="5" t="n"/>
      <c r="Z12" s="5" t="n"/>
      <c r="AA12" s="10">
        <f>IFERROR(IF(INDEX('Test catalog'!$O$2:$O$200,MATCH($AB12,'Test catalog'!$A$2:$A$200,0))="","",INDEX('Test catalog'!$O$2:$O$200,MATCH($AB12,'Test catalog'!$A$2:$A$200,0))),"")</f>
        <v/>
      </c>
      <c r="AB12" s="10" t="inlineStr">
        <is>
          <t>THICK</t>
        </is>
      </c>
    </row>
    <row r="13">
      <c r="A13" s="10" t="inlineStr">
        <is>
          <t>F02</t>
        </is>
      </c>
      <c r="B13" s="10" t="inlineStr">
        <is>
          <t>FP</t>
        </is>
      </c>
      <c r="C13" s="10" t="inlineStr">
        <is>
          <t>Resmitrom (Resffera) 60; Resmitrom (Resffera) 80; Resmitrom (Resffera) 100  |  Resmetirom</t>
        </is>
      </c>
      <c r="D13" s="10" t="inlineStr">
        <is>
          <t>Hardness / breaking force</t>
        </is>
      </c>
      <c r="E13" s="10">
        <f>IF(A13="","",A13&amp;"|"&amp;D13)</f>
        <v/>
      </c>
      <c r="F13" s="5" t="inlineStr">
        <is>
          <t>Y</t>
        </is>
      </c>
      <c r="G13" s="5" t="inlineStr">
        <is>
          <t>Tablet tester</t>
        </is>
      </c>
      <c r="H13" s="5" t="inlineStr">
        <is>
          <t>Low</t>
        </is>
      </c>
      <c r="I13" s="5" t="n">
        <v>1</v>
      </c>
      <c r="J13" s="5" t="n"/>
      <c r="K13" s="10">
        <f>IFERROR(IF(INDEX('Test catalog'!$F$2:$F$200,MATCH($AB13,'Test catalog'!$A$2:$A$200,0))="","",INDEX('Test catalog'!$F$2:$F$200,MATCH($AB13,'Test catalog'!$A$2:$A$200,0))),"")</f>
        <v/>
      </c>
      <c r="L13" s="10">
        <f>IFERROR(IF(INDEX('Test catalog'!$G$2:$G$200,MATCH($AB13,'Test catalog'!$A$2:$A$200,0))="","",INDEX('Test catalog'!$G$2:$G$200,MATCH($AB13,'Test catalog'!$A$2:$A$200,0))),"")</f>
        <v/>
      </c>
      <c r="M13" s="10">
        <f>IFERROR(IF(INDEX('Test catalog'!$H$2:$H$200,MATCH($AB13,'Test catalog'!$A$2:$A$200,0))="","",INDEX('Test catalog'!$H$2:$H$200,MATCH($AB13,'Test catalog'!$A$2:$A$200,0))),"")</f>
        <v/>
      </c>
      <c r="N13" s="10">
        <f>IFERROR(IF(INDEX('Test catalog'!$I$2:$I$200,MATCH($AB13,'Test catalog'!$A$2:$A$200,0))="","",INDEX('Test catalog'!$I$2:$I$200,MATCH($AB13,'Test catalog'!$A$2:$A$200,0))),"")</f>
        <v/>
      </c>
      <c r="O13" s="10">
        <f>IFERROR(IF(INDEX('Test catalog'!$J$2:$J$200,MATCH($AB13,'Test catalog'!$A$2:$A$200,0))="","",INDEX('Test catalog'!$J$2:$J$200,MATCH($AB13,'Test catalog'!$A$2:$A$200,0))),"")</f>
        <v/>
      </c>
      <c r="P13" s="14">
        <f>IF(N13="","",IF(OR(M13="",O13=""),N13,(M13+4*N13+O13)/6))</f>
        <v/>
      </c>
      <c r="Q13" s="10">
        <f>IFERROR(IF(INDEX('Test catalog'!$K$2:$K$200,MATCH($AB13,'Test catalog'!$A$2:$A$200,0))="","",INDEX('Test catalog'!$K$2:$K$200,MATCH($AB13,'Test catalog'!$A$2:$A$200,0))),"")</f>
        <v/>
      </c>
      <c r="R13" s="5" t="n"/>
      <c r="S13" s="10">
        <f>IFERROR(IF(INDEX('Test catalog'!$L$2:$L$200,MATCH($AB13,'Test catalog'!$A$2:$A$200,0))="","",INDEX('Test catalog'!$L$2:$L$200,MATCH($AB13,'Test catalog'!$A$2:$A$200,0))),"")</f>
        <v/>
      </c>
      <c r="T13" s="10">
        <f>IFERROR(IF(INDEX('Test catalog'!$M$2:$M$200,MATCH($AB13,'Test catalog'!$A$2:$A$200,0))="","",INDEX('Test catalog'!$M$2:$M$200,MATCH($AB13,'Test catalog'!$A$2:$A$200,0))),"")</f>
        <v/>
      </c>
      <c r="U13" s="10">
        <f>IFERROR(IF(INDEX('Test catalog'!$N$2:$N$200,MATCH($AB13,'Test catalog'!$A$2:$A$200,0))="","",INDEX('Test catalog'!$N$2:$N$200,MATCH($AB13,'Test catalog'!$A$2:$A$200,0))),"")</f>
        <v/>
      </c>
      <c r="V13" s="15" t="n"/>
      <c r="W13" s="5" t="inlineStr">
        <is>
          <t>Y</t>
        </is>
      </c>
      <c r="X13" s="5" t="n"/>
      <c r="Y13" s="5" t="n"/>
      <c r="Z13" s="5" t="n"/>
      <c r="AA13" s="10">
        <f>IFERROR(IF(INDEX('Test catalog'!$O$2:$O$200,MATCH($AB13,'Test catalog'!$A$2:$A$200,0))="","",INDEX('Test catalog'!$O$2:$O$200,MATCH($AB13,'Test catalog'!$A$2:$A$200,0))),"")</f>
        <v/>
      </c>
      <c r="AB13" s="10" t="inlineStr">
        <is>
          <t>HARD</t>
        </is>
      </c>
    </row>
    <row r="14">
      <c r="A14" s="10" t="inlineStr">
        <is>
          <t>F02</t>
        </is>
      </c>
      <c r="B14" s="10" t="inlineStr">
        <is>
          <t>FP</t>
        </is>
      </c>
      <c r="C14" s="10" t="inlineStr">
        <is>
          <t>Resmitrom (Resffera) 60; Resmitrom (Resffera) 80; Resmitrom (Resffera) 100  |  Resmetirom</t>
        </is>
      </c>
      <c r="D14" s="10" t="inlineStr">
        <is>
          <t>Brittleness</t>
        </is>
      </c>
      <c r="E14" s="10">
        <f>IF(A14="","",A14&amp;"|"&amp;D14)</f>
        <v/>
      </c>
      <c r="F14" s="5" t="inlineStr">
        <is>
          <t>Y</t>
        </is>
      </c>
      <c r="G14" s="5" t="inlineStr">
        <is>
          <t>Other / bench</t>
        </is>
      </c>
      <c r="H14" s="5" t="inlineStr">
        <is>
          <t>Low</t>
        </is>
      </c>
      <c r="I14" s="5" t="n">
        <v>1</v>
      </c>
      <c r="J14" s="5" t="n"/>
      <c r="K14" s="10">
        <f>IFERROR(IF(INDEX('Test catalog'!$F$2:$F$200,MATCH($AB14,'Test catalog'!$A$2:$A$200,0))="","",INDEX('Test catalog'!$F$2:$F$200,MATCH($AB14,'Test catalog'!$A$2:$A$200,0))),"")</f>
        <v/>
      </c>
      <c r="L14" s="10">
        <f>IFERROR(IF(INDEX('Test catalog'!$G$2:$G$200,MATCH($AB14,'Test catalog'!$A$2:$A$200,0))="","",INDEX('Test catalog'!$G$2:$G$200,MATCH($AB14,'Test catalog'!$A$2:$A$200,0))),"")</f>
        <v/>
      </c>
      <c r="M14" s="10">
        <f>IFERROR(IF(INDEX('Test catalog'!$H$2:$H$200,MATCH($AB14,'Test catalog'!$A$2:$A$200,0))="","",INDEX('Test catalog'!$H$2:$H$200,MATCH($AB14,'Test catalog'!$A$2:$A$200,0))),"")</f>
        <v/>
      </c>
      <c r="N14" s="10">
        <f>IFERROR(IF(INDEX('Test catalog'!$I$2:$I$200,MATCH($AB14,'Test catalog'!$A$2:$A$200,0))="","",INDEX('Test catalog'!$I$2:$I$200,MATCH($AB14,'Test catalog'!$A$2:$A$200,0))),"")</f>
        <v/>
      </c>
      <c r="O14" s="10">
        <f>IFERROR(IF(INDEX('Test catalog'!$J$2:$J$200,MATCH($AB14,'Test catalog'!$A$2:$A$200,0))="","",INDEX('Test catalog'!$J$2:$J$200,MATCH($AB14,'Test catalog'!$A$2:$A$200,0))),"")</f>
        <v/>
      </c>
      <c r="P14" s="14">
        <f>IF(N14="","",IF(OR(M14="",O14=""),N14,(M14+4*N14+O14)/6))</f>
        <v/>
      </c>
      <c r="Q14" s="10">
        <f>IFERROR(IF(INDEX('Test catalog'!$K$2:$K$200,MATCH($AB14,'Test catalog'!$A$2:$A$200,0))="","",INDEX('Test catalog'!$K$2:$K$200,MATCH($AB14,'Test catalog'!$A$2:$A$200,0))),"")</f>
        <v/>
      </c>
      <c r="R14" s="5" t="n"/>
      <c r="S14" s="10">
        <f>IFERROR(IF(INDEX('Test catalog'!$L$2:$L$200,MATCH($AB14,'Test catalog'!$A$2:$A$200,0))="","",INDEX('Test catalog'!$L$2:$L$200,MATCH($AB14,'Test catalog'!$A$2:$A$200,0))),"")</f>
        <v/>
      </c>
      <c r="T14" s="10">
        <f>IFERROR(IF(INDEX('Test catalog'!$M$2:$M$200,MATCH($AB14,'Test catalog'!$A$2:$A$200,0))="","",INDEX('Test catalog'!$M$2:$M$200,MATCH($AB14,'Test catalog'!$A$2:$A$200,0))),"")</f>
        <v/>
      </c>
      <c r="U14" s="10">
        <f>IFERROR(IF(INDEX('Test catalog'!$N$2:$N$200,MATCH($AB14,'Test catalog'!$A$2:$A$200,0))="","",INDEX('Test catalog'!$N$2:$N$200,MATCH($AB14,'Test catalog'!$A$2:$A$200,0))),"")</f>
        <v/>
      </c>
      <c r="V14" s="15" t="n"/>
      <c r="W14" s="5" t="inlineStr">
        <is>
          <t>N</t>
        </is>
      </c>
      <c r="X14" s="5" t="n"/>
      <c r="Y14" s="5" t="n"/>
      <c r="Z14" s="5" t="n"/>
      <c r="AA14" s="10">
        <f>IFERROR(IF(INDEX('Test catalog'!$O$2:$O$200,MATCH($AB14,'Test catalog'!$A$2:$A$200,0))="","",INDEX('Test catalog'!$O$2:$O$200,MATCH($AB14,'Test catalog'!$A$2:$A$200,0))),"")</f>
        <v/>
      </c>
      <c r="AB14" s="10" t="inlineStr">
        <is>
          <t>BRITTLE</t>
        </is>
      </c>
    </row>
    <row r="15">
      <c r="A15" s="10" t="inlineStr">
        <is>
          <t>F02</t>
        </is>
      </c>
      <c r="B15" s="10" t="inlineStr">
        <is>
          <t>FP</t>
        </is>
      </c>
      <c r="C15" s="10" t="inlineStr">
        <is>
          <t>Resmitrom (Resffera) 60; Resmitrom (Resffera) 80; Resmitrom (Resffera) 100  |  Resmetirom</t>
        </is>
      </c>
      <c r="D15" s="10" t="inlineStr">
        <is>
          <t>Friability</t>
        </is>
      </c>
      <c r="E15" s="10">
        <f>IF(A15="","",A15&amp;"|"&amp;D15)</f>
        <v/>
      </c>
      <c r="F15" s="5" t="inlineStr">
        <is>
          <t>Y</t>
        </is>
      </c>
      <c r="G15" s="5" t="inlineStr">
        <is>
          <t>Friabilator</t>
        </is>
      </c>
      <c r="H15" s="5" t="inlineStr">
        <is>
          <t>Low</t>
        </is>
      </c>
      <c r="I15" s="5" t="n">
        <v>1</v>
      </c>
      <c r="J15" s="5" t="n"/>
      <c r="K15" s="10">
        <f>IFERROR(IF(INDEX('Test catalog'!$F$2:$F$200,MATCH($AB15,'Test catalog'!$A$2:$A$200,0))="","",INDEX('Test catalog'!$F$2:$F$200,MATCH($AB15,'Test catalog'!$A$2:$A$200,0))),"")</f>
        <v/>
      </c>
      <c r="L15" s="10">
        <f>IFERROR(IF(INDEX('Test catalog'!$G$2:$G$200,MATCH($AB15,'Test catalog'!$A$2:$A$200,0))="","",INDEX('Test catalog'!$G$2:$G$200,MATCH($AB15,'Test catalog'!$A$2:$A$200,0))),"")</f>
        <v/>
      </c>
      <c r="M15" s="10">
        <f>IFERROR(IF(INDEX('Test catalog'!$H$2:$H$200,MATCH($AB15,'Test catalog'!$A$2:$A$200,0))="","",INDEX('Test catalog'!$H$2:$H$200,MATCH($AB15,'Test catalog'!$A$2:$A$200,0))),"")</f>
        <v/>
      </c>
      <c r="N15" s="10">
        <f>IFERROR(IF(INDEX('Test catalog'!$I$2:$I$200,MATCH($AB15,'Test catalog'!$A$2:$A$200,0))="","",INDEX('Test catalog'!$I$2:$I$200,MATCH($AB15,'Test catalog'!$A$2:$A$200,0))),"")</f>
        <v/>
      </c>
      <c r="O15" s="10">
        <f>IFERROR(IF(INDEX('Test catalog'!$J$2:$J$200,MATCH($AB15,'Test catalog'!$A$2:$A$200,0))="","",INDEX('Test catalog'!$J$2:$J$200,MATCH($AB15,'Test catalog'!$A$2:$A$200,0))),"")</f>
        <v/>
      </c>
      <c r="P15" s="14">
        <f>IF(N15="","",IF(OR(M15="",O15=""),N15,(M15+4*N15+O15)/6))</f>
        <v/>
      </c>
      <c r="Q15" s="10">
        <f>IFERROR(IF(INDEX('Test catalog'!$K$2:$K$200,MATCH($AB15,'Test catalog'!$A$2:$A$200,0))="","",INDEX('Test catalog'!$K$2:$K$200,MATCH($AB15,'Test catalog'!$A$2:$A$200,0))),"")</f>
        <v/>
      </c>
      <c r="R15" s="5" t="n"/>
      <c r="S15" s="10">
        <f>IFERROR(IF(INDEX('Test catalog'!$L$2:$L$200,MATCH($AB15,'Test catalog'!$A$2:$A$200,0))="","",INDEX('Test catalog'!$L$2:$L$200,MATCH($AB15,'Test catalog'!$A$2:$A$200,0))),"")</f>
        <v/>
      </c>
      <c r="T15" s="10">
        <f>IFERROR(IF(INDEX('Test catalog'!$M$2:$M$200,MATCH($AB15,'Test catalog'!$A$2:$A$200,0))="","",INDEX('Test catalog'!$M$2:$M$200,MATCH($AB15,'Test catalog'!$A$2:$A$200,0))),"")</f>
        <v/>
      </c>
      <c r="U15" s="10">
        <f>IFERROR(IF(INDEX('Test catalog'!$N$2:$N$200,MATCH($AB15,'Test catalog'!$A$2:$A$200,0))="","",INDEX('Test catalog'!$N$2:$N$200,MATCH($AB15,'Test catalog'!$A$2:$A$200,0))),"")</f>
        <v/>
      </c>
      <c r="V15" s="15" t="n"/>
      <c r="W15" s="5" t="inlineStr">
        <is>
          <t>N</t>
        </is>
      </c>
      <c r="X15" s="5" t="n"/>
      <c r="Y15" s="5" t="n"/>
      <c r="Z15" s="5" t="n"/>
      <c r="AA15" s="10">
        <f>IFERROR(IF(INDEX('Test catalog'!$O$2:$O$200,MATCH($AB15,'Test catalog'!$A$2:$A$200,0))="","",INDEX('Test catalog'!$O$2:$O$200,MATCH($AB15,'Test catalog'!$A$2:$A$200,0))),"")</f>
        <v/>
      </c>
      <c r="AB15" s="10" t="inlineStr">
        <is>
          <t>FRIAB</t>
        </is>
      </c>
    </row>
    <row r="16">
      <c r="A16" s="10" t="inlineStr">
        <is>
          <t>F02</t>
        </is>
      </c>
      <c r="B16" s="10" t="inlineStr">
        <is>
          <t>FP</t>
        </is>
      </c>
      <c r="C16" s="10" t="inlineStr">
        <is>
          <t>Resmitrom (Resffera) 60; Resmitrom (Resffera) 80; Resmitrom (Resffera) 100  |  Resmetirom</t>
        </is>
      </c>
      <c r="D16" s="10" t="inlineStr">
        <is>
          <t>Disintegration</t>
        </is>
      </c>
      <c r="E16" s="10">
        <f>IF(A16="","",A16&amp;"|"&amp;D16)</f>
        <v/>
      </c>
      <c r="F16" s="5" t="inlineStr">
        <is>
          <t>Y</t>
        </is>
      </c>
      <c r="G16" s="5" t="inlineStr">
        <is>
          <t>Disintegration tester</t>
        </is>
      </c>
      <c r="H16" s="5" t="inlineStr">
        <is>
          <t>Low</t>
        </is>
      </c>
      <c r="I16" s="5" t="n">
        <v>1</v>
      </c>
      <c r="J16" s="5" t="n"/>
      <c r="K16" s="10">
        <f>IFERROR(IF(INDEX('Test catalog'!$F$2:$F$200,MATCH($AB16,'Test catalog'!$A$2:$A$200,0))="","",INDEX('Test catalog'!$F$2:$F$200,MATCH($AB16,'Test catalog'!$A$2:$A$200,0))),"")</f>
        <v/>
      </c>
      <c r="L16" s="10">
        <f>IFERROR(IF(INDEX('Test catalog'!$G$2:$G$200,MATCH($AB16,'Test catalog'!$A$2:$A$200,0))="","",INDEX('Test catalog'!$G$2:$G$200,MATCH($AB16,'Test catalog'!$A$2:$A$200,0))),"")</f>
        <v/>
      </c>
      <c r="M16" s="10">
        <f>IFERROR(IF(INDEX('Test catalog'!$H$2:$H$200,MATCH($AB16,'Test catalog'!$A$2:$A$200,0))="","",INDEX('Test catalog'!$H$2:$H$200,MATCH($AB16,'Test catalog'!$A$2:$A$200,0))),"")</f>
        <v/>
      </c>
      <c r="N16" s="10">
        <f>IFERROR(IF(INDEX('Test catalog'!$I$2:$I$200,MATCH($AB16,'Test catalog'!$A$2:$A$200,0))="","",INDEX('Test catalog'!$I$2:$I$200,MATCH($AB16,'Test catalog'!$A$2:$A$200,0))),"")</f>
        <v/>
      </c>
      <c r="O16" s="10">
        <f>IFERROR(IF(INDEX('Test catalog'!$J$2:$J$200,MATCH($AB16,'Test catalog'!$A$2:$A$200,0))="","",INDEX('Test catalog'!$J$2:$J$200,MATCH($AB16,'Test catalog'!$A$2:$A$200,0))),"")</f>
        <v/>
      </c>
      <c r="P16" s="14">
        <f>IF(N16="","",IF(OR(M16="",O16=""),N16,(M16+4*N16+O16)/6))</f>
        <v/>
      </c>
      <c r="Q16" s="10">
        <f>IFERROR(IF(INDEX('Test catalog'!$K$2:$K$200,MATCH($AB16,'Test catalog'!$A$2:$A$200,0))="","",INDEX('Test catalog'!$K$2:$K$200,MATCH($AB16,'Test catalog'!$A$2:$A$200,0))),"")</f>
        <v/>
      </c>
      <c r="R16" s="5" t="n"/>
      <c r="S16" s="10">
        <f>IFERROR(IF(INDEX('Test catalog'!$L$2:$L$200,MATCH($AB16,'Test catalog'!$A$2:$A$200,0))="","",INDEX('Test catalog'!$L$2:$L$200,MATCH($AB16,'Test catalog'!$A$2:$A$200,0))),"")</f>
        <v/>
      </c>
      <c r="T16" s="10">
        <f>IFERROR(IF(INDEX('Test catalog'!$M$2:$M$200,MATCH($AB16,'Test catalog'!$A$2:$A$200,0))="","",INDEX('Test catalog'!$M$2:$M$200,MATCH($AB16,'Test catalog'!$A$2:$A$200,0))),"")</f>
        <v/>
      </c>
      <c r="U16" s="10">
        <f>IFERROR(IF(INDEX('Test catalog'!$N$2:$N$200,MATCH($AB16,'Test catalog'!$A$2:$A$200,0))="","",INDEX('Test catalog'!$N$2:$N$200,MATCH($AB16,'Test catalog'!$A$2:$A$200,0))),"")</f>
        <v/>
      </c>
      <c r="V16" s="15" t="n"/>
      <c r="W16" s="5" t="inlineStr">
        <is>
          <t>Y</t>
        </is>
      </c>
      <c r="X16" s="5" t="n"/>
      <c r="Y16" s="5" t="n"/>
      <c r="Z16" s="5" t="n"/>
      <c r="AA16" s="10">
        <f>IFERROR(IF(INDEX('Test catalog'!$O$2:$O$200,MATCH($AB16,'Test catalog'!$A$2:$A$200,0))="","",INDEX('Test catalog'!$O$2:$O$200,MATCH($AB16,'Test catalog'!$A$2:$A$200,0))),"")</f>
        <v/>
      </c>
      <c r="AB16" s="10" t="inlineStr">
        <is>
          <t>DISINT</t>
        </is>
      </c>
    </row>
    <row r="17">
      <c r="A17" s="10" t="inlineStr">
        <is>
          <t>F02</t>
        </is>
      </c>
      <c r="B17" s="10" t="inlineStr">
        <is>
          <t>FP</t>
        </is>
      </c>
      <c r="C17" s="10" t="inlineStr">
        <is>
          <t>Resmitrom (Resffera) 60; Resmitrom (Resffera) 80; Resmitrom (Resffera) 100  |  Resmetirom</t>
        </is>
      </c>
      <c r="D17" s="10" t="inlineStr">
        <is>
          <t>In-process check at the machine (one check, all its tests)</t>
        </is>
      </c>
      <c r="E17" s="10">
        <f>IF(A17="","",A17&amp;"|"&amp;D17)</f>
        <v/>
      </c>
      <c r="F17" s="5" t="inlineStr">
        <is>
          <t>Y</t>
        </is>
      </c>
      <c r="G17" s="5" t="inlineStr">
        <is>
          <t>Tablet tester</t>
        </is>
      </c>
      <c r="H17" s="5" t="inlineStr">
        <is>
          <t>Low</t>
        </is>
      </c>
      <c r="I17" s="5" t="n">
        <v>1</v>
      </c>
      <c r="J17" s="5" t="n"/>
      <c r="K17" s="10">
        <f>IFERROR(IF(INDEX('Test catalog'!$F$2:$F$200,MATCH($AB17,'Test catalog'!$A$2:$A$200,0))="","",INDEX('Test catalog'!$F$2:$F$200,MATCH($AB17,'Test catalog'!$A$2:$A$200,0))),"")</f>
        <v/>
      </c>
      <c r="L17" s="10">
        <f>IFERROR(IF(INDEX('Test catalog'!$G$2:$G$200,MATCH($AB17,'Test catalog'!$A$2:$A$200,0))="","",INDEX('Test catalog'!$G$2:$G$200,MATCH($AB17,'Test catalog'!$A$2:$A$200,0))),"")</f>
        <v/>
      </c>
      <c r="M17" s="10">
        <f>IFERROR(IF(INDEX('Test catalog'!$H$2:$H$200,MATCH($AB17,'Test catalog'!$A$2:$A$200,0))="","",INDEX('Test catalog'!$H$2:$H$200,MATCH($AB17,'Test catalog'!$A$2:$A$200,0))),"")</f>
        <v/>
      </c>
      <c r="N17" s="10">
        <f>IFERROR(IF(INDEX('Test catalog'!$I$2:$I$200,MATCH($AB17,'Test catalog'!$A$2:$A$200,0))="","",INDEX('Test catalog'!$I$2:$I$200,MATCH($AB17,'Test catalog'!$A$2:$A$200,0))),"")</f>
        <v/>
      </c>
      <c r="O17" s="10">
        <f>IFERROR(IF(INDEX('Test catalog'!$J$2:$J$200,MATCH($AB17,'Test catalog'!$A$2:$A$200,0))="","",INDEX('Test catalog'!$J$2:$J$200,MATCH($AB17,'Test catalog'!$A$2:$A$200,0))),"")</f>
        <v/>
      </c>
      <c r="P17" s="14">
        <f>IF(N17="","",IF(OR(M17="",O17=""),N17,(M17+4*N17+O17)/6))</f>
        <v/>
      </c>
      <c r="Q17" s="10">
        <f>IFERROR(IF(INDEX('Test catalog'!$K$2:$K$200,MATCH($AB17,'Test catalog'!$A$2:$A$200,0))="","",INDEX('Test catalog'!$K$2:$K$200,MATCH($AB17,'Test catalog'!$A$2:$A$200,0))),"")</f>
        <v/>
      </c>
      <c r="R17" s="5" t="n"/>
      <c r="S17" s="10">
        <f>IFERROR(IF(INDEX('Test catalog'!$L$2:$L$200,MATCH($AB17,'Test catalog'!$A$2:$A$200,0))="","",INDEX('Test catalog'!$L$2:$L$200,MATCH($AB17,'Test catalog'!$A$2:$A$200,0))),"")</f>
        <v/>
      </c>
      <c r="T17" s="10">
        <f>IFERROR(IF(INDEX('Test catalog'!$M$2:$M$200,MATCH($AB17,'Test catalog'!$A$2:$A$200,0))="","",INDEX('Test catalog'!$M$2:$M$200,MATCH($AB17,'Test catalog'!$A$2:$A$200,0))),"")</f>
        <v/>
      </c>
      <c r="U17" s="10">
        <f>IFERROR(IF(INDEX('Test catalog'!$N$2:$N$200,MATCH($AB17,'Test catalog'!$A$2:$A$200,0))="","",INDEX('Test catalog'!$N$2:$N$200,MATCH($AB17,'Test catalog'!$A$2:$A$200,0))),"")</f>
        <v/>
      </c>
      <c r="V17" s="15" t="n"/>
      <c r="W17" s="5" t="inlineStr">
        <is>
          <t>N</t>
        </is>
      </c>
      <c r="X17" s="5" t="n"/>
      <c r="Y17" s="5" t="n"/>
      <c r="Z17" s="5" t="n"/>
      <c r="AA17" s="10">
        <f>IFERROR(IF(INDEX('Test catalog'!$O$2:$O$200,MATCH($AB17,'Test catalog'!$A$2:$A$200,0))="","",INDEX('Test catalog'!$O$2:$O$200,MATCH($AB17,'Test catalog'!$A$2:$A$200,0))),"")</f>
        <v/>
      </c>
      <c r="AB17" s="10" t="inlineStr">
        <is>
          <t>IPC</t>
        </is>
      </c>
    </row>
    <row r="18">
      <c r="A18" s="10" t="inlineStr">
        <is>
          <t>F03</t>
        </is>
      </c>
      <c r="B18" s="10" t="inlineStr">
        <is>
          <t>FP</t>
        </is>
      </c>
      <c r="C18" s="10" t="inlineStr">
        <is>
          <t>Finerodyd 10; Finerodyd 20  |  Finerenone</t>
        </is>
      </c>
      <c r="D18" s="10" t="inlineStr">
        <is>
          <t>Average weight / uniformity of mass</t>
        </is>
      </c>
      <c r="E18" s="10">
        <f>IF(A18="","",A18&amp;"|"&amp;D18)</f>
        <v/>
      </c>
      <c r="F18" s="5" t="inlineStr">
        <is>
          <t>Y</t>
        </is>
      </c>
      <c r="G18" s="5" t="inlineStr">
        <is>
          <t>Balance</t>
        </is>
      </c>
      <c r="H18" s="5" t="inlineStr">
        <is>
          <t>Low</t>
        </is>
      </c>
      <c r="I18" s="5" t="n">
        <v>1</v>
      </c>
      <c r="J18" s="5" t="n"/>
      <c r="K18" s="10">
        <f>IFERROR(IF(INDEX('Test catalog'!$F$2:$F$200,MATCH($AB18,'Test catalog'!$A$2:$A$200,0))="","",INDEX('Test catalog'!$F$2:$F$200,MATCH($AB18,'Test catalog'!$A$2:$A$200,0))),"")</f>
        <v/>
      </c>
      <c r="L18" s="10">
        <f>IFERROR(IF(INDEX('Test catalog'!$G$2:$G$200,MATCH($AB18,'Test catalog'!$A$2:$A$200,0))="","",INDEX('Test catalog'!$G$2:$G$200,MATCH($AB18,'Test catalog'!$A$2:$A$200,0))),"")</f>
        <v/>
      </c>
      <c r="M18" s="10">
        <f>IFERROR(IF(INDEX('Test catalog'!$H$2:$H$200,MATCH($AB18,'Test catalog'!$A$2:$A$200,0))="","",INDEX('Test catalog'!$H$2:$H$200,MATCH($AB18,'Test catalog'!$A$2:$A$200,0))),"")</f>
        <v/>
      </c>
      <c r="N18" s="10">
        <f>IFERROR(IF(INDEX('Test catalog'!$I$2:$I$200,MATCH($AB18,'Test catalog'!$A$2:$A$200,0))="","",INDEX('Test catalog'!$I$2:$I$200,MATCH($AB18,'Test catalog'!$A$2:$A$200,0))),"")</f>
        <v/>
      </c>
      <c r="O18" s="10">
        <f>IFERROR(IF(INDEX('Test catalog'!$J$2:$J$200,MATCH($AB18,'Test catalog'!$A$2:$A$200,0))="","",INDEX('Test catalog'!$J$2:$J$200,MATCH($AB18,'Test catalog'!$A$2:$A$200,0))),"")</f>
        <v/>
      </c>
      <c r="P18" s="14">
        <f>IF(N18="","",IF(OR(M18="",O18=""),N18,(M18+4*N18+O18)/6))</f>
        <v/>
      </c>
      <c r="Q18" s="10">
        <f>IFERROR(IF(INDEX('Test catalog'!$K$2:$K$200,MATCH($AB18,'Test catalog'!$A$2:$A$200,0))="","",INDEX('Test catalog'!$K$2:$K$200,MATCH($AB18,'Test catalog'!$A$2:$A$200,0))),"")</f>
        <v/>
      </c>
      <c r="R18" s="5" t="n"/>
      <c r="S18" s="10">
        <f>IFERROR(IF(INDEX('Test catalog'!$L$2:$L$200,MATCH($AB18,'Test catalog'!$A$2:$A$200,0))="","",INDEX('Test catalog'!$L$2:$L$200,MATCH($AB18,'Test catalog'!$A$2:$A$200,0))),"")</f>
        <v/>
      </c>
      <c r="T18" s="10">
        <f>IFERROR(IF(INDEX('Test catalog'!$M$2:$M$200,MATCH($AB18,'Test catalog'!$A$2:$A$200,0))="","",INDEX('Test catalog'!$M$2:$M$200,MATCH($AB18,'Test catalog'!$A$2:$A$200,0))),"")</f>
        <v/>
      </c>
      <c r="U18" s="10">
        <f>IFERROR(IF(INDEX('Test catalog'!$N$2:$N$200,MATCH($AB18,'Test catalog'!$A$2:$A$200,0))="","",INDEX('Test catalog'!$N$2:$N$200,MATCH($AB18,'Test catalog'!$A$2:$A$200,0))),"")</f>
        <v/>
      </c>
      <c r="V18" s="15" t="n"/>
      <c r="W18" s="5" t="inlineStr">
        <is>
          <t>N</t>
        </is>
      </c>
      <c r="X18" s="5" t="n"/>
      <c r="Y18" s="5" t="n"/>
      <c r="Z18" s="5" t="n"/>
      <c r="AA18" s="10">
        <f>IFERROR(IF(INDEX('Test catalog'!$O$2:$O$200,MATCH($AB18,'Test catalog'!$A$2:$A$200,0))="","",INDEX('Test catalog'!$O$2:$O$200,MATCH($AB18,'Test catalog'!$A$2:$A$200,0))),"")</f>
        <v/>
      </c>
      <c r="AB18" s="10" t="inlineStr">
        <is>
          <t>AVG_WT</t>
        </is>
      </c>
    </row>
    <row r="19">
      <c r="A19" s="10" t="inlineStr">
        <is>
          <t>F03</t>
        </is>
      </c>
      <c r="B19" s="10" t="inlineStr">
        <is>
          <t>FP</t>
        </is>
      </c>
      <c r="C19" s="10" t="inlineStr">
        <is>
          <t>Finerodyd 10; Finerodyd 20  |  Finerenone</t>
        </is>
      </c>
      <c r="D19" s="10" t="inlineStr">
        <is>
          <t>Diameter (or length / width)</t>
        </is>
      </c>
      <c r="E19" s="10">
        <f>IF(A19="","",A19&amp;"|"&amp;D19)</f>
        <v/>
      </c>
      <c r="F19" s="5" t="inlineStr">
        <is>
          <t>Y</t>
        </is>
      </c>
      <c r="G19" s="5" t="inlineStr">
        <is>
          <t>Tablet tester</t>
        </is>
      </c>
      <c r="H19" s="5" t="inlineStr">
        <is>
          <t>Low</t>
        </is>
      </c>
      <c r="I19" s="5" t="n">
        <v>1</v>
      </c>
      <c r="J19" s="5" t="n"/>
      <c r="K19" s="10">
        <f>IFERROR(IF(INDEX('Test catalog'!$F$2:$F$200,MATCH($AB19,'Test catalog'!$A$2:$A$200,0))="","",INDEX('Test catalog'!$F$2:$F$200,MATCH($AB19,'Test catalog'!$A$2:$A$200,0))),"")</f>
        <v/>
      </c>
      <c r="L19" s="10">
        <f>IFERROR(IF(INDEX('Test catalog'!$G$2:$G$200,MATCH($AB19,'Test catalog'!$A$2:$A$200,0))="","",INDEX('Test catalog'!$G$2:$G$200,MATCH($AB19,'Test catalog'!$A$2:$A$200,0))),"")</f>
        <v/>
      </c>
      <c r="M19" s="10">
        <f>IFERROR(IF(INDEX('Test catalog'!$H$2:$H$200,MATCH($AB19,'Test catalog'!$A$2:$A$200,0))="","",INDEX('Test catalog'!$H$2:$H$200,MATCH($AB19,'Test catalog'!$A$2:$A$200,0))),"")</f>
        <v/>
      </c>
      <c r="N19" s="10">
        <f>IFERROR(IF(INDEX('Test catalog'!$I$2:$I$200,MATCH($AB19,'Test catalog'!$A$2:$A$200,0))="","",INDEX('Test catalog'!$I$2:$I$200,MATCH($AB19,'Test catalog'!$A$2:$A$200,0))),"")</f>
        <v/>
      </c>
      <c r="O19" s="10">
        <f>IFERROR(IF(INDEX('Test catalog'!$J$2:$J$200,MATCH($AB19,'Test catalog'!$A$2:$A$200,0))="","",INDEX('Test catalog'!$J$2:$J$200,MATCH($AB19,'Test catalog'!$A$2:$A$200,0))),"")</f>
        <v/>
      </c>
      <c r="P19" s="14">
        <f>IF(N19="","",IF(OR(M19="",O19=""),N19,(M19+4*N19+O19)/6))</f>
        <v/>
      </c>
      <c r="Q19" s="10">
        <f>IFERROR(IF(INDEX('Test catalog'!$K$2:$K$200,MATCH($AB19,'Test catalog'!$A$2:$A$200,0))="","",INDEX('Test catalog'!$K$2:$K$200,MATCH($AB19,'Test catalog'!$A$2:$A$200,0))),"")</f>
        <v/>
      </c>
      <c r="R19" s="5" t="n"/>
      <c r="S19" s="10">
        <f>IFERROR(IF(INDEX('Test catalog'!$L$2:$L$200,MATCH($AB19,'Test catalog'!$A$2:$A$200,0))="","",INDEX('Test catalog'!$L$2:$L$200,MATCH($AB19,'Test catalog'!$A$2:$A$200,0))),"")</f>
        <v/>
      </c>
      <c r="T19" s="10">
        <f>IFERROR(IF(INDEX('Test catalog'!$M$2:$M$200,MATCH($AB19,'Test catalog'!$A$2:$A$200,0))="","",INDEX('Test catalog'!$M$2:$M$200,MATCH($AB19,'Test catalog'!$A$2:$A$200,0))),"")</f>
        <v/>
      </c>
      <c r="U19" s="10">
        <f>IFERROR(IF(INDEX('Test catalog'!$N$2:$N$200,MATCH($AB19,'Test catalog'!$A$2:$A$200,0))="","",INDEX('Test catalog'!$N$2:$N$200,MATCH($AB19,'Test catalog'!$A$2:$A$200,0))),"")</f>
        <v/>
      </c>
      <c r="V19" s="15" t="n"/>
      <c r="W19" s="5" t="inlineStr">
        <is>
          <t>N</t>
        </is>
      </c>
      <c r="X19" s="5" t="n"/>
      <c r="Y19" s="5" t="n"/>
      <c r="Z19" s="5" t="n"/>
      <c r="AA19" s="10">
        <f>IFERROR(IF(INDEX('Test catalog'!$O$2:$O$200,MATCH($AB19,'Test catalog'!$A$2:$A$200,0))="","",INDEX('Test catalog'!$O$2:$O$200,MATCH($AB19,'Test catalog'!$A$2:$A$200,0))),"")</f>
        <v/>
      </c>
      <c r="AB19" s="10" t="inlineStr">
        <is>
          <t>DIAM</t>
        </is>
      </c>
    </row>
    <row r="20">
      <c r="A20" s="10" t="inlineStr">
        <is>
          <t>F03</t>
        </is>
      </c>
      <c r="B20" s="10" t="inlineStr">
        <is>
          <t>FP</t>
        </is>
      </c>
      <c r="C20" s="10" t="inlineStr">
        <is>
          <t>Finerodyd 10; Finerodyd 20  |  Finerenone</t>
        </is>
      </c>
      <c r="D20" s="10" t="inlineStr">
        <is>
          <t>Thickness</t>
        </is>
      </c>
      <c r="E20" s="10">
        <f>IF(A20="","",A20&amp;"|"&amp;D20)</f>
        <v/>
      </c>
      <c r="F20" s="5" t="inlineStr">
        <is>
          <t>Y</t>
        </is>
      </c>
      <c r="G20" s="5" t="inlineStr">
        <is>
          <t>Tablet tester</t>
        </is>
      </c>
      <c r="H20" s="5" t="inlineStr">
        <is>
          <t>Low</t>
        </is>
      </c>
      <c r="I20" s="5" t="n">
        <v>1</v>
      </c>
      <c r="J20" s="5" t="n"/>
      <c r="K20" s="10">
        <f>IFERROR(IF(INDEX('Test catalog'!$F$2:$F$200,MATCH($AB20,'Test catalog'!$A$2:$A$200,0))="","",INDEX('Test catalog'!$F$2:$F$200,MATCH($AB20,'Test catalog'!$A$2:$A$200,0))),"")</f>
        <v/>
      </c>
      <c r="L20" s="10">
        <f>IFERROR(IF(INDEX('Test catalog'!$G$2:$G$200,MATCH($AB20,'Test catalog'!$A$2:$A$200,0))="","",INDEX('Test catalog'!$G$2:$G$200,MATCH($AB20,'Test catalog'!$A$2:$A$200,0))),"")</f>
        <v/>
      </c>
      <c r="M20" s="10">
        <f>IFERROR(IF(INDEX('Test catalog'!$H$2:$H$200,MATCH($AB20,'Test catalog'!$A$2:$A$200,0))="","",INDEX('Test catalog'!$H$2:$H$200,MATCH($AB20,'Test catalog'!$A$2:$A$200,0))),"")</f>
        <v/>
      </c>
      <c r="N20" s="10">
        <f>IFERROR(IF(INDEX('Test catalog'!$I$2:$I$200,MATCH($AB20,'Test catalog'!$A$2:$A$200,0))="","",INDEX('Test catalog'!$I$2:$I$200,MATCH($AB20,'Test catalog'!$A$2:$A$200,0))),"")</f>
        <v/>
      </c>
      <c r="O20" s="10">
        <f>IFERROR(IF(INDEX('Test catalog'!$J$2:$J$200,MATCH($AB20,'Test catalog'!$A$2:$A$200,0))="","",INDEX('Test catalog'!$J$2:$J$200,MATCH($AB20,'Test catalog'!$A$2:$A$200,0))),"")</f>
        <v/>
      </c>
      <c r="P20" s="14">
        <f>IF(N20="","",IF(OR(M20="",O20=""),N20,(M20+4*N20+O20)/6))</f>
        <v/>
      </c>
      <c r="Q20" s="10">
        <f>IFERROR(IF(INDEX('Test catalog'!$K$2:$K$200,MATCH($AB20,'Test catalog'!$A$2:$A$200,0))="","",INDEX('Test catalog'!$K$2:$K$200,MATCH($AB20,'Test catalog'!$A$2:$A$200,0))),"")</f>
        <v/>
      </c>
      <c r="R20" s="5" t="n"/>
      <c r="S20" s="10">
        <f>IFERROR(IF(INDEX('Test catalog'!$L$2:$L$200,MATCH($AB20,'Test catalog'!$A$2:$A$200,0))="","",INDEX('Test catalog'!$L$2:$L$200,MATCH($AB20,'Test catalog'!$A$2:$A$200,0))),"")</f>
        <v/>
      </c>
      <c r="T20" s="10">
        <f>IFERROR(IF(INDEX('Test catalog'!$M$2:$M$200,MATCH($AB20,'Test catalog'!$A$2:$A$200,0))="","",INDEX('Test catalog'!$M$2:$M$200,MATCH($AB20,'Test catalog'!$A$2:$A$200,0))),"")</f>
        <v/>
      </c>
      <c r="U20" s="10">
        <f>IFERROR(IF(INDEX('Test catalog'!$N$2:$N$200,MATCH($AB20,'Test catalog'!$A$2:$A$200,0))="","",INDEX('Test catalog'!$N$2:$N$200,MATCH($AB20,'Test catalog'!$A$2:$A$200,0))),"")</f>
        <v/>
      </c>
      <c r="V20" s="15" t="n"/>
      <c r="W20" s="5" t="inlineStr">
        <is>
          <t>N</t>
        </is>
      </c>
      <c r="X20" s="5" t="n"/>
      <c r="Y20" s="5" t="n"/>
      <c r="Z20" s="5" t="n"/>
      <c r="AA20" s="10">
        <f>IFERROR(IF(INDEX('Test catalog'!$O$2:$O$200,MATCH($AB20,'Test catalog'!$A$2:$A$200,0))="","",INDEX('Test catalog'!$O$2:$O$200,MATCH($AB20,'Test catalog'!$A$2:$A$200,0))),"")</f>
        <v/>
      </c>
      <c r="AB20" s="10" t="inlineStr">
        <is>
          <t>THICK</t>
        </is>
      </c>
    </row>
    <row r="21">
      <c r="A21" s="10" t="inlineStr">
        <is>
          <t>F03</t>
        </is>
      </c>
      <c r="B21" s="10" t="inlineStr">
        <is>
          <t>FP</t>
        </is>
      </c>
      <c r="C21" s="10" t="inlineStr">
        <is>
          <t>Finerodyd 10; Finerodyd 20  |  Finerenone</t>
        </is>
      </c>
      <c r="D21" s="10" t="inlineStr">
        <is>
          <t>Hardness / breaking force</t>
        </is>
      </c>
      <c r="E21" s="10">
        <f>IF(A21="","",A21&amp;"|"&amp;D21)</f>
        <v/>
      </c>
      <c r="F21" s="5" t="inlineStr">
        <is>
          <t>Y</t>
        </is>
      </c>
      <c r="G21" s="5" t="inlineStr">
        <is>
          <t>Tablet tester</t>
        </is>
      </c>
      <c r="H21" s="5" t="inlineStr">
        <is>
          <t>Low</t>
        </is>
      </c>
      <c r="I21" s="5" t="n">
        <v>1</v>
      </c>
      <c r="J21" s="5" t="n"/>
      <c r="K21" s="10">
        <f>IFERROR(IF(INDEX('Test catalog'!$F$2:$F$200,MATCH($AB21,'Test catalog'!$A$2:$A$200,0))="","",INDEX('Test catalog'!$F$2:$F$200,MATCH($AB21,'Test catalog'!$A$2:$A$200,0))),"")</f>
        <v/>
      </c>
      <c r="L21" s="10">
        <f>IFERROR(IF(INDEX('Test catalog'!$G$2:$G$200,MATCH($AB21,'Test catalog'!$A$2:$A$200,0))="","",INDEX('Test catalog'!$G$2:$G$200,MATCH($AB21,'Test catalog'!$A$2:$A$200,0))),"")</f>
        <v/>
      </c>
      <c r="M21" s="10">
        <f>IFERROR(IF(INDEX('Test catalog'!$H$2:$H$200,MATCH($AB21,'Test catalog'!$A$2:$A$200,0))="","",INDEX('Test catalog'!$H$2:$H$200,MATCH($AB21,'Test catalog'!$A$2:$A$200,0))),"")</f>
        <v/>
      </c>
      <c r="N21" s="10">
        <f>IFERROR(IF(INDEX('Test catalog'!$I$2:$I$200,MATCH($AB21,'Test catalog'!$A$2:$A$200,0))="","",INDEX('Test catalog'!$I$2:$I$200,MATCH($AB21,'Test catalog'!$A$2:$A$200,0))),"")</f>
        <v/>
      </c>
      <c r="O21" s="10">
        <f>IFERROR(IF(INDEX('Test catalog'!$J$2:$J$200,MATCH($AB21,'Test catalog'!$A$2:$A$200,0))="","",INDEX('Test catalog'!$J$2:$J$200,MATCH($AB21,'Test catalog'!$A$2:$A$200,0))),"")</f>
        <v/>
      </c>
      <c r="P21" s="14">
        <f>IF(N21="","",IF(OR(M21="",O21=""),N21,(M21+4*N21+O21)/6))</f>
        <v/>
      </c>
      <c r="Q21" s="10">
        <f>IFERROR(IF(INDEX('Test catalog'!$K$2:$K$200,MATCH($AB21,'Test catalog'!$A$2:$A$200,0))="","",INDEX('Test catalog'!$K$2:$K$200,MATCH($AB21,'Test catalog'!$A$2:$A$200,0))),"")</f>
        <v/>
      </c>
      <c r="R21" s="5" t="n"/>
      <c r="S21" s="10">
        <f>IFERROR(IF(INDEX('Test catalog'!$L$2:$L$200,MATCH($AB21,'Test catalog'!$A$2:$A$200,0))="","",INDEX('Test catalog'!$L$2:$L$200,MATCH($AB21,'Test catalog'!$A$2:$A$200,0))),"")</f>
        <v/>
      </c>
      <c r="T21" s="10">
        <f>IFERROR(IF(INDEX('Test catalog'!$M$2:$M$200,MATCH($AB21,'Test catalog'!$A$2:$A$200,0))="","",INDEX('Test catalog'!$M$2:$M$200,MATCH($AB21,'Test catalog'!$A$2:$A$200,0))),"")</f>
        <v/>
      </c>
      <c r="U21" s="10">
        <f>IFERROR(IF(INDEX('Test catalog'!$N$2:$N$200,MATCH($AB21,'Test catalog'!$A$2:$A$200,0))="","",INDEX('Test catalog'!$N$2:$N$200,MATCH($AB21,'Test catalog'!$A$2:$A$200,0))),"")</f>
        <v/>
      </c>
      <c r="V21" s="15" t="n"/>
      <c r="W21" s="5" t="inlineStr">
        <is>
          <t>Y</t>
        </is>
      </c>
      <c r="X21" s="5" t="n"/>
      <c r="Y21" s="5" t="n"/>
      <c r="Z21" s="5" t="n"/>
      <c r="AA21" s="10">
        <f>IFERROR(IF(INDEX('Test catalog'!$O$2:$O$200,MATCH($AB21,'Test catalog'!$A$2:$A$200,0))="","",INDEX('Test catalog'!$O$2:$O$200,MATCH($AB21,'Test catalog'!$A$2:$A$200,0))),"")</f>
        <v/>
      </c>
      <c r="AB21" s="10" t="inlineStr">
        <is>
          <t>HARD</t>
        </is>
      </c>
    </row>
    <row r="22">
      <c r="A22" s="10" t="inlineStr">
        <is>
          <t>F03</t>
        </is>
      </c>
      <c r="B22" s="10" t="inlineStr">
        <is>
          <t>FP</t>
        </is>
      </c>
      <c r="C22" s="10" t="inlineStr">
        <is>
          <t>Finerodyd 10; Finerodyd 20  |  Finerenone</t>
        </is>
      </c>
      <c r="D22" s="10" t="inlineStr">
        <is>
          <t>Brittleness</t>
        </is>
      </c>
      <c r="E22" s="10">
        <f>IF(A22="","",A22&amp;"|"&amp;D22)</f>
        <v/>
      </c>
      <c r="F22" s="5" t="inlineStr">
        <is>
          <t>Y</t>
        </is>
      </c>
      <c r="G22" s="5" t="inlineStr">
        <is>
          <t>Other / bench</t>
        </is>
      </c>
      <c r="H22" s="5" t="inlineStr">
        <is>
          <t>Low</t>
        </is>
      </c>
      <c r="I22" s="5" t="n">
        <v>1</v>
      </c>
      <c r="J22" s="5" t="n"/>
      <c r="K22" s="10">
        <f>IFERROR(IF(INDEX('Test catalog'!$F$2:$F$200,MATCH($AB22,'Test catalog'!$A$2:$A$200,0))="","",INDEX('Test catalog'!$F$2:$F$200,MATCH($AB22,'Test catalog'!$A$2:$A$200,0))),"")</f>
        <v/>
      </c>
      <c r="L22" s="10">
        <f>IFERROR(IF(INDEX('Test catalog'!$G$2:$G$200,MATCH($AB22,'Test catalog'!$A$2:$A$200,0))="","",INDEX('Test catalog'!$G$2:$G$200,MATCH($AB22,'Test catalog'!$A$2:$A$200,0))),"")</f>
        <v/>
      </c>
      <c r="M22" s="10">
        <f>IFERROR(IF(INDEX('Test catalog'!$H$2:$H$200,MATCH($AB22,'Test catalog'!$A$2:$A$200,0))="","",INDEX('Test catalog'!$H$2:$H$200,MATCH($AB22,'Test catalog'!$A$2:$A$200,0))),"")</f>
        <v/>
      </c>
      <c r="N22" s="10">
        <f>IFERROR(IF(INDEX('Test catalog'!$I$2:$I$200,MATCH($AB22,'Test catalog'!$A$2:$A$200,0))="","",INDEX('Test catalog'!$I$2:$I$200,MATCH($AB22,'Test catalog'!$A$2:$A$200,0))),"")</f>
        <v/>
      </c>
      <c r="O22" s="10">
        <f>IFERROR(IF(INDEX('Test catalog'!$J$2:$J$200,MATCH($AB22,'Test catalog'!$A$2:$A$200,0))="","",INDEX('Test catalog'!$J$2:$J$200,MATCH($AB22,'Test catalog'!$A$2:$A$200,0))),"")</f>
        <v/>
      </c>
      <c r="P22" s="14">
        <f>IF(N22="","",IF(OR(M22="",O22=""),N22,(M22+4*N22+O22)/6))</f>
        <v/>
      </c>
      <c r="Q22" s="10">
        <f>IFERROR(IF(INDEX('Test catalog'!$K$2:$K$200,MATCH($AB22,'Test catalog'!$A$2:$A$200,0))="","",INDEX('Test catalog'!$K$2:$K$200,MATCH($AB22,'Test catalog'!$A$2:$A$200,0))),"")</f>
        <v/>
      </c>
      <c r="R22" s="5" t="n"/>
      <c r="S22" s="10">
        <f>IFERROR(IF(INDEX('Test catalog'!$L$2:$L$200,MATCH($AB22,'Test catalog'!$A$2:$A$200,0))="","",INDEX('Test catalog'!$L$2:$L$200,MATCH($AB22,'Test catalog'!$A$2:$A$200,0))),"")</f>
        <v/>
      </c>
      <c r="T22" s="10">
        <f>IFERROR(IF(INDEX('Test catalog'!$M$2:$M$200,MATCH($AB22,'Test catalog'!$A$2:$A$200,0))="","",INDEX('Test catalog'!$M$2:$M$200,MATCH($AB22,'Test catalog'!$A$2:$A$200,0))),"")</f>
        <v/>
      </c>
      <c r="U22" s="10">
        <f>IFERROR(IF(INDEX('Test catalog'!$N$2:$N$200,MATCH($AB22,'Test catalog'!$A$2:$A$200,0))="","",INDEX('Test catalog'!$N$2:$N$200,MATCH($AB22,'Test catalog'!$A$2:$A$200,0))),"")</f>
        <v/>
      </c>
      <c r="V22" s="15" t="n"/>
      <c r="W22" s="5" t="inlineStr">
        <is>
          <t>N</t>
        </is>
      </c>
      <c r="X22" s="5" t="n"/>
      <c r="Y22" s="5" t="n"/>
      <c r="Z22" s="5" t="n"/>
      <c r="AA22" s="10">
        <f>IFERROR(IF(INDEX('Test catalog'!$O$2:$O$200,MATCH($AB22,'Test catalog'!$A$2:$A$200,0))="","",INDEX('Test catalog'!$O$2:$O$200,MATCH($AB22,'Test catalog'!$A$2:$A$200,0))),"")</f>
        <v/>
      </c>
      <c r="AB22" s="10" t="inlineStr">
        <is>
          <t>BRITTLE</t>
        </is>
      </c>
    </row>
    <row r="23">
      <c r="A23" s="10" t="inlineStr">
        <is>
          <t>F03</t>
        </is>
      </c>
      <c r="B23" s="10" t="inlineStr">
        <is>
          <t>FP</t>
        </is>
      </c>
      <c r="C23" s="10" t="inlineStr">
        <is>
          <t>Finerodyd 10; Finerodyd 20  |  Finerenone</t>
        </is>
      </c>
      <c r="D23" s="10" t="inlineStr">
        <is>
          <t>Friability</t>
        </is>
      </c>
      <c r="E23" s="10">
        <f>IF(A23="","",A23&amp;"|"&amp;D23)</f>
        <v/>
      </c>
      <c r="F23" s="5" t="inlineStr">
        <is>
          <t>Y</t>
        </is>
      </c>
      <c r="G23" s="5" t="inlineStr">
        <is>
          <t>Friabilator</t>
        </is>
      </c>
      <c r="H23" s="5" t="inlineStr">
        <is>
          <t>Low</t>
        </is>
      </c>
      <c r="I23" s="5" t="n">
        <v>1</v>
      </c>
      <c r="J23" s="5" t="n"/>
      <c r="K23" s="10">
        <f>IFERROR(IF(INDEX('Test catalog'!$F$2:$F$200,MATCH($AB23,'Test catalog'!$A$2:$A$200,0))="","",INDEX('Test catalog'!$F$2:$F$200,MATCH($AB23,'Test catalog'!$A$2:$A$200,0))),"")</f>
        <v/>
      </c>
      <c r="L23" s="10">
        <f>IFERROR(IF(INDEX('Test catalog'!$G$2:$G$200,MATCH($AB23,'Test catalog'!$A$2:$A$200,0))="","",INDEX('Test catalog'!$G$2:$G$200,MATCH($AB23,'Test catalog'!$A$2:$A$200,0))),"")</f>
        <v/>
      </c>
      <c r="M23" s="10">
        <f>IFERROR(IF(INDEX('Test catalog'!$H$2:$H$200,MATCH($AB23,'Test catalog'!$A$2:$A$200,0))="","",INDEX('Test catalog'!$H$2:$H$200,MATCH($AB23,'Test catalog'!$A$2:$A$200,0))),"")</f>
        <v/>
      </c>
      <c r="N23" s="10">
        <f>IFERROR(IF(INDEX('Test catalog'!$I$2:$I$200,MATCH($AB23,'Test catalog'!$A$2:$A$200,0))="","",INDEX('Test catalog'!$I$2:$I$200,MATCH($AB23,'Test catalog'!$A$2:$A$200,0))),"")</f>
        <v/>
      </c>
      <c r="O23" s="10">
        <f>IFERROR(IF(INDEX('Test catalog'!$J$2:$J$200,MATCH($AB23,'Test catalog'!$A$2:$A$200,0))="","",INDEX('Test catalog'!$J$2:$J$200,MATCH($AB23,'Test catalog'!$A$2:$A$200,0))),"")</f>
        <v/>
      </c>
      <c r="P23" s="14">
        <f>IF(N23="","",IF(OR(M23="",O23=""),N23,(M23+4*N23+O23)/6))</f>
        <v/>
      </c>
      <c r="Q23" s="10">
        <f>IFERROR(IF(INDEX('Test catalog'!$K$2:$K$200,MATCH($AB23,'Test catalog'!$A$2:$A$200,0))="","",INDEX('Test catalog'!$K$2:$K$200,MATCH($AB23,'Test catalog'!$A$2:$A$200,0))),"")</f>
        <v/>
      </c>
      <c r="R23" s="5" t="n"/>
      <c r="S23" s="10">
        <f>IFERROR(IF(INDEX('Test catalog'!$L$2:$L$200,MATCH($AB23,'Test catalog'!$A$2:$A$200,0))="","",INDEX('Test catalog'!$L$2:$L$200,MATCH($AB23,'Test catalog'!$A$2:$A$200,0))),"")</f>
        <v/>
      </c>
      <c r="T23" s="10">
        <f>IFERROR(IF(INDEX('Test catalog'!$M$2:$M$200,MATCH($AB23,'Test catalog'!$A$2:$A$200,0))="","",INDEX('Test catalog'!$M$2:$M$200,MATCH($AB23,'Test catalog'!$A$2:$A$200,0))),"")</f>
        <v/>
      </c>
      <c r="U23" s="10">
        <f>IFERROR(IF(INDEX('Test catalog'!$N$2:$N$200,MATCH($AB23,'Test catalog'!$A$2:$A$200,0))="","",INDEX('Test catalog'!$N$2:$N$200,MATCH($AB23,'Test catalog'!$A$2:$A$200,0))),"")</f>
        <v/>
      </c>
      <c r="V23" s="15" t="n"/>
      <c r="W23" s="5" t="inlineStr">
        <is>
          <t>N</t>
        </is>
      </c>
      <c r="X23" s="5" t="n"/>
      <c r="Y23" s="5" t="n"/>
      <c r="Z23" s="5" t="n"/>
      <c r="AA23" s="10">
        <f>IFERROR(IF(INDEX('Test catalog'!$O$2:$O$200,MATCH($AB23,'Test catalog'!$A$2:$A$200,0))="","",INDEX('Test catalog'!$O$2:$O$200,MATCH($AB23,'Test catalog'!$A$2:$A$200,0))),"")</f>
        <v/>
      </c>
      <c r="AB23" s="10" t="inlineStr">
        <is>
          <t>FRIAB</t>
        </is>
      </c>
    </row>
    <row r="24">
      <c r="A24" s="10" t="inlineStr">
        <is>
          <t>F03</t>
        </is>
      </c>
      <c r="B24" s="10" t="inlineStr">
        <is>
          <t>FP</t>
        </is>
      </c>
      <c r="C24" s="10" t="inlineStr">
        <is>
          <t>Finerodyd 10; Finerodyd 20  |  Finerenone</t>
        </is>
      </c>
      <c r="D24" s="10" t="inlineStr">
        <is>
          <t>Disintegration</t>
        </is>
      </c>
      <c r="E24" s="10">
        <f>IF(A24="","",A24&amp;"|"&amp;D24)</f>
        <v/>
      </c>
      <c r="F24" s="5" t="inlineStr">
        <is>
          <t>Y</t>
        </is>
      </c>
      <c r="G24" s="5" t="inlineStr">
        <is>
          <t>Disintegration tester</t>
        </is>
      </c>
      <c r="H24" s="5" t="inlineStr">
        <is>
          <t>Low</t>
        </is>
      </c>
      <c r="I24" s="5" t="n">
        <v>1</v>
      </c>
      <c r="J24" s="5" t="n"/>
      <c r="K24" s="10">
        <f>IFERROR(IF(INDEX('Test catalog'!$F$2:$F$200,MATCH($AB24,'Test catalog'!$A$2:$A$200,0))="","",INDEX('Test catalog'!$F$2:$F$200,MATCH($AB24,'Test catalog'!$A$2:$A$200,0))),"")</f>
        <v/>
      </c>
      <c r="L24" s="10">
        <f>IFERROR(IF(INDEX('Test catalog'!$G$2:$G$200,MATCH($AB24,'Test catalog'!$A$2:$A$200,0))="","",INDEX('Test catalog'!$G$2:$G$200,MATCH($AB24,'Test catalog'!$A$2:$A$200,0))),"")</f>
        <v/>
      </c>
      <c r="M24" s="10">
        <f>IFERROR(IF(INDEX('Test catalog'!$H$2:$H$200,MATCH($AB24,'Test catalog'!$A$2:$A$200,0))="","",INDEX('Test catalog'!$H$2:$H$200,MATCH($AB24,'Test catalog'!$A$2:$A$200,0))),"")</f>
        <v/>
      </c>
      <c r="N24" s="10">
        <f>IFERROR(IF(INDEX('Test catalog'!$I$2:$I$200,MATCH($AB24,'Test catalog'!$A$2:$A$200,0))="","",INDEX('Test catalog'!$I$2:$I$200,MATCH($AB24,'Test catalog'!$A$2:$A$200,0))),"")</f>
        <v/>
      </c>
      <c r="O24" s="10">
        <f>IFERROR(IF(INDEX('Test catalog'!$J$2:$J$200,MATCH($AB24,'Test catalog'!$A$2:$A$200,0))="","",INDEX('Test catalog'!$J$2:$J$200,MATCH($AB24,'Test catalog'!$A$2:$A$200,0))),"")</f>
        <v/>
      </c>
      <c r="P24" s="14">
        <f>IF(N24="","",IF(OR(M24="",O24=""),N24,(M24+4*N24+O24)/6))</f>
        <v/>
      </c>
      <c r="Q24" s="10">
        <f>IFERROR(IF(INDEX('Test catalog'!$K$2:$K$200,MATCH($AB24,'Test catalog'!$A$2:$A$200,0))="","",INDEX('Test catalog'!$K$2:$K$200,MATCH($AB24,'Test catalog'!$A$2:$A$200,0))),"")</f>
        <v/>
      </c>
      <c r="R24" s="5" t="n"/>
      <c r="S24" s="10">
        <f>IFERROR(IF(INDEX('Test catalog'!$L$2:$L$200,MATCH($AB24,'Test catalog'!$A$2:$A$200,0))="","",INDEX('Test catalog'!$L$2:$L$200,MATCH($AB24,'Test catalog'!$A$2:$A$200,0))),"")</f>
        <v/>
      </c>
      <c r="T24" s="10">
        <f>IFERROR(IF(INDEX('Test catalog'!$M$2:$M$200,MATCH($AB24,'Test catalog'!$A$2:$A$200,0))="","",INDEX('Test catalog'!$M$2:$M$200,MATCH($AB24,'Test catalog'!$A$2:$A$200,0))),"")</f>
        <v/>
      </c>
      <c r="U24" s="10">
        <f>IFERROR(IF(INDEX('Test catalog'!$N$2:$N$200,MATCH($AB24,'Test catalog'!$A$2:$A$200,0))="","",INDEX('Test catalog'!$N$2:$N$200,MATCH($AB24,'Test catalog'!$A$2:$A$200,0))),"")</f>
        <v/>
      </c>
      <c r="V24" s="15" t="n"/>
      <c r="W24" s="5" t="inlineStr">
        <is>
          <t>Y</t>
        </is>
      </c>
      <c r="X24" s="5" t="n"/>
      <c r="Y24" s="5" t="n"/>
      <c r="Z24" s="5" t="n"/>
      <c r="AA24" s="10">
        <f>IFERROR(IF(INDEX('Test catalog'!$O$2:$O$200,MATCH($AB24,'Test catalog'!$A$2:$A$200,0))="","",INDEX('Test catalog'!$O$2:$O$200,MATCH($AB24,'Test catalog'!$A$2:$A$200,0))),"")</f>
        <v/>
      </c>
      <c r="AB24" s="10" t="inlineStr">
        <is>
          <t>DISINT</t>
        </is>
      </c>
    </row>
    <row r="25">
      <c r="A25" s="10" t="inlineStr">
        <is>
          <t>F03</t>
        </is>
      </c>
      <c r="B25" s="10" t="inlineStr">
        <is>
          <t>FP</t>
        </is>
      </c>
      <c r="C25" s="10" t="inlineStr">
        <is>
          <t>Finerodyd 10; Finerodyd 20  |  Finerenone</t>
        </is>
      </c>
      <c r="D25" s="10" t="inlineStr">
        <is>
          <t>In-process check at the machine (one check, all its tests)</t>
        </is>
      </c>
      <c r="E25" s="10">
        <f>IF(A25="","",A25&amp;"|"&amp;D25)</f>
        <v/>
      </c>
      <c r="F25" s="5" t="inlineStr">
        <is>
          <t>Y</t>
        </is>
      </c>
      <c r="G25" s="5" t="inlineStr">
        <is>
          <t>Tablet tester</t>
        </is>
      </c>
      <c r="H25" s="5" t="inlineStr">
        <is>
          <t>Low</t>
        </is>
      </c>
      <c r="I25" s="5" t="n">
        <v>1</v>
      </c>
      <c r="J25" s="5" t="n"/>
      <c r="K25" s="10">
        <f>IFERROR(IF(INDEX('Test catalog'!$F$2:$F$200,MATCH($AB25,'Test catalog'!$A$2:$A$200,0))="","",INDEX('Test catalog'!$F$2:$F$200,MATCH($AB25,'Test catalog'!$A$2:$A$200,0))),"")</f>
        <v/>
      </c>
      <c r="L25" s="10">
        <f>IFERROR(IF(INDEX('Test catalog'!$G$2:$G$200,MATCH($AB25,'Test catalog'!$A$2:$A$200,0))="","",INDEX('Test catalog'!$G$2:$G$200,MATCH($AB25,'Test catalog'!$A$2:$A$200,0))),"")</f>
        <v/>
      </c>
      <c r="M25" s="10">
        <f>IFERROR(IF(INDEX('Test catalog'!$H$2:$H$200,MATCH($AB25,'Test catalog'!$A$2:$A$200,0))="","",INDEX('Test catalog'!$H$2:$H$200,MATCH($AB25,'Test catalog'!$A$2:$A$200,0))),"")</f>
        <v/>
      </c>
      <c r="N25" s="10">
        <f>IFERROR(IF(INDEX('Test catalog'!$I$2:$I$200,MATCH($AB25,'Test catalog'!$A$2:$A$200,0))="","",INDEX('Test catalog'!$I$2:$I$200,MATCH($AB25,'Test catalog'!$A$2:$A$200,0))),"")</f>
        <v/>
      </c>
      <c r="O25" s="10">
        <f>IFERROR(IF(INDEX('Test catalog'!$J$2:$J$200,MATCH($AB25,'Test catalog'!$A$2:$A$200,0))="","",INDEX('Test catalog'!$J$2:$J$200,MATCH($AB25,'Test catalog'!$A$2:$A$200,0))),"")</f>
        <v/>
      </c>
      <c r="P25" s="14">
        <f>IF(N25="","",IF(OR(M25="",O25=""),N25,(M25+4*N25+O25)/6))</f>
        <v/>
      </c>
      <c r="Q25" s="10">
        <f>IFERROR(IF(INDEX('Test catalog'!$K$2:$K$200,MATCH($AB25,'Test catalog'!$A$2:$A$200,0))="","",INDEX('Test catalog'!$K$2:$K$200,MATCH($AB25,'Test catalog'!$A$2:$A$200,0))),"")</f>
        <v/>
      </c>
      <c r="R25" s="5" t="n"/>
      <c r="S25" s="10">
        <f>IFERROR(IF(INDEX('Test catalog'!$L$2:$L$200,MATCH($AB25,'Test catalog'!$A$2:$A$200,0))="","",INDEX('Test catalog'!$L$2:$L$200,MATCH($AB25,'Test catalog'!$A$2:$A$200,0))),"")</f>
        <v/>
      </c>
      <c r="T25" s="10">
        <f>IFERROR(IF(INDEX('Test catalog'!$M$2:$M$200,MATCH($AB25,'Test catalog'!$A$2:$A$200,0))="","",INDEX('Test catalog'!$M$2:$M$200,MATCH($AB25,'Test catalog'!$A$2:$A$200,0))),"")</f>
        <v/>
      </c>
      <c r="U25" s="10">
        <f>IFERROR(IF(INDEX('Test catalog'!$N$2:$N$200,MATCH($AB25,'Test catalog'!$A$2:$A$200,0))="","",INDEX('Test catalog'!$N$2:$N$200,MATCH($AB25,'Test catalog'!$A$2:$A$200,0))),"")</f>
        <v/>
      </c>
      <c r="V25" s="15" t="n"/>
      <c r="W25" s="5" t="inlineStr">
        <is>
          <t>N</t>
        </is>
      </c>
      <c r="X25" s="5" t="n"/>
      <c r="Y25" s="5" t="n"/>
      <c r="Z25" s="5" t="n"/>
      <c r="AA25" s="10">
        <f>IFERROR(IF(INDEX('Test catalog'!$O$2:$O$200,MATCH($AB25,'Test catalog'!$A$2:$A$200,0))="","",INDEX('Test catalog'!$O$2:$O$200,MATCH($AB25,'Test catalog'!$A$2:$A$200,0))),"")</f>
        <v/>
      </c>
      <c r="AB25" s="10" t="inlineStr">
        <is>
          <t>IPC</t>
        </is>
      </c>
    </row>
    <row r="26">
      <c r="A26" s="10" t="inlineStr">
        <is>
          <t>F04</t>
        </is>
      </c>
      <c r="B26" s="10" t="inlineStr">
        <is>
          <t>FP</t>
        </is>
      </c>
      <c r="C26" s="10" t="inlineStr">
        <is>
          <t>Cardyd 20; Cardyd 40; Cardyd 80  |  Telmisartan</t>
        </is>
      </c>
      <c r="D26" s="10" t="inlineStr">
        <is>
          <t>Average weight / uniformity of mass</t>
        </is>
      </c>
      <c r="E26" s="10">
        <f>IF(A26="","",A26&amp;"|"&amp;D26)</f>
        <v/>
      </c>
      <c r="F26" s="5" t="inlineStr">
        <is>
          <t>Y</t>
        </is>
      </c>
      <c r="G26" s="5" t="inlineStr">
        <is>
          <t>Balance</t>
        </is>
      </c>
      <c r="H26" s="5" t="inlineStr">
        <is>
          <t>Low</t>
        </is>
      </c>
      <c r="I26" s="5" t="n">
        <v>1</v>
      </c>
      <c r="J26" s="5" t="n"/>
      <c r="K26" s="10">
        <f>IFERROR(IF(INDEX('Test catalog'!$F$2:$F$200,MATCH($AB26,'Test catalog'!$A$2:$A$200,0))="","",INDEX('Test catalog'!$F$2:$F$200,MATCH($AB26,'Test catalog'!$A$2:$A$200,0))),"")</f>
        <v/>
      </c>
      <c r="L26" s="10">
        <f>IFERROR(IF(INDEX('Test catalog'!$G$2:$G$200,MATCH($AB26,'Test catalog'!$A$2:$A$200,0))="","",INDEX('Test catalog'!$G$2:$G$200,MATCH($AB26,'Test catalog'!$A$2:$A$200,0))),"")</f>
        <v/>
      </c>
      <c r="M26" s="10">
        <f>IFERROR(IF(INDEX('Test catalog'!$H$2:$H$200,MATCH($AB26,'Test catalog'!$A$2:$A$200,0))="","",INDEX('Test catalog'!$H$2:$H$200,MATCH($AB26,'Test catalog'!$A$2:$A$200,0))),"")</f>
        <v/>
      </c>
      <c r="N26" s="10">
        <f>IFERROR(IF(INDEX('Test catalog'!$I$2:$I$200,MATCH($AB26,'Test catalog'!$A$2:$A$200,0))="","",INDEX('Test catalog'!$I$2:$I$200,MATCH($AB26,'Test catalog'!$A$2:$A$200,0))),"")</f>
        <v/>
      </c>
      <c r="O26" s="10">
        <f>IFERROR(IF(INDEX('Test catalog'!$J$2:$J$200,MATCH($AB26,'Test catalog'!$A$2:$A$200,0))="","",INDEX('Test catalog'!$J$2:$J$200,MATCH($AB26,'Test catalog'!$A$2:$A$200,0))),"")</f>
        <v/>
      </c>
      <c r="P26" s="14">
        <f>IF(N26="","",IF(OR(M26="",O26=""),N26,(M26+4*N26+O26)/6))</f>
        <v/>
      </c>
      <c r="Q26" s="10">
        <f>IFERROR(IF(INDEX('Test catalog'!$K$2:$K$200,MATCH($AB26,'Test catalog'!$A$2:$A$200,0))="","",INDEX('Test catalog'!$K$2:$K$200,MATCH($AB26,'Test catalog'!$A$2:$A$200,0))),"")</f>
        <v/>
      </c>
      <c r="R26" s="5" t="n"/>
      <c r="S26" s="10">
        <f>IFERROR(IF(INDEX('Test catalog'!$L$2:$L$200,MATCH($AB26,'Test catalog'!$A$2:$A$200,0))="","",INDEX('Test catalog'!$L$2:$L$200,MATCH($AB26,'Test catalog'!$A$2:$A$200,0))),"")</f>
        <v/>
      </c>
      <c r="T26" s="10">
        <f>IFERROR(IF(INDEX('Test catalog'!$M$2:$M$200,MATCH($AB26,'Test catalog'!$A$2:$A$200,0))="","",INDEX('Test catalog'!$M$2:$M$200,MATCH($AB26,'Test catalog'!$A$2:$A$200,0))),"")</f>
        <v/>
      </c>
      <c r="U26" s="10">
        <f>IFERROR(IF(INDEX('Test catalog'!$N$2:$N$200,MATCH($AB26,'Test catalog'!$A$2:$A$200,0))="","",INDEX('Test catalog'!$N$2:$N$200,MATCH($AB26,'Test catalog'!$A$2:$A$200,0))),"")</f>
        <v/>
      </c>
      <c r="V26" s="15" t="n"/>
      <c r="W26" s="5" t="inlineStr">
        <is>
          <t>N</t>
        </is>
      </c>
      <c r="X26" s="5" t="n"/>
      <c r="Y26" s="5" t="n"/>
      <c r="Z26" s="5" t="n"/>
      <c r="AA26" s="10">
        <f>IFERROR(IF(INDEX('Test catalog'!$O$2:$O$200,MATCH($AB26,'Test catalog'!$A$2:$A$200,0))="","",INDEX('Test catalog'!$O$2:$O$200,MATCH($AB26,'Test catalog'!$A$2:$A$200,0))),"")</f>
        <v/>
      </c>
      <c r="AB26" s="10" t="inlineStr">
        <is>
          <t>AVG_WT</t>
        </is>
      </c>
    </row>
    <row r="27">
      <c r="A27" s="10" t="inlineStr">
        <is>
          <t>F04</t>
        </is>
      </c>
      <c r="B27" s="10" t="inlineStr">
        <is>
          <t>FP</t>
        </is>
      </c>
      <c r="C27" s="10" t="inlineStr">
        <is>
          <t>Cardyd 20; Cardyd 40; Cardyd 80  |  Telmisartan</t>
        </is>
      </c>
      <c r="D27" s="10" t="inlineStr">
        <is>
          <t>Diameter (or length / width)</t>
        </is>
      </c>
      <c r="E27" s="10">
        <f>IF(A27="","",A27&amp;"|"&amp;D27)</f>
        <v/>
      </c>
      <c r="F27" s="5" t="inlineStr">
        <is>
          <t>Y</t>
        </is>
      </c>
      <c r="G27" s="5" t="inlineStr">
        <is>
          <t>Tablet tester</t>
        </is>
      </c>
      <c r="H27" s="5" t="inlineStr">
        <is>
          <t>Low</t>
        </is>
      </c>
      <c r="I27" s="5" t="n">
        <v>1</v>
      </c>
      <c r="J27" s="5" t="n"/>
      <c r="K27" s="10">
        <f>IFERROR(IF(INDEX('Test catalog'!$F$2:$F$200,MATCH($AB27,'Test catalog'!$A$2:$A$200,0))="","",INDEX('Test catalog'!$F$2:$F$200,MATCH($AB27,'Test catalog'!$A$2:$A$200,0))),"")</f>
        <v/>
      </c>
      <c r="L27" s="10">
        <f>IFERROR(IF(INDEX('Test catalog'!$G$2:$G$200,MATCH($AB27,'Test catalog'!$A$2:$A$200,0))="","",INDEX('Test catalog'!$G$2:$G$200,MATCH($AB27,'Test catalog'!$A$2:$A$200,0))),"")</f>
        <v/>
      </c>
      <c r="M27" s="10">
        <f>IFERROR(IF(INDEX('Test catalog'!$H$2:$H$200,MATCH($AB27,'Test catalog'!$A$2:$A$200,0))="","",INDEX('Test catalog'!$H$2:$H$200,MATCH($AB27,'Test catalog'!$A$2:$A$200,0))),"")</f>
        <v/>
      </c>
      <c r="N27" s="10">
        <f>IFERROR(IF(INDEX('Test catalog'!$I$2:$I$200,MATCH($AB27,'Test catalog'!$A$2:$A$200,0))="","",INDEX('Test catalog'!$I$2:$I$200,MATCH($AB27,'Test catalog'!$A$2:$A$200,0))),"")</f>
        <v/>
      </c>
      <c r="O27" s="10">
        <f>IFERROR(IF(INDEX('Test catalog'!$J$2:$J$200,MATCH($AB27,'Test catalog'!$A$2:$A$200,0))="","",INDEX('Test catalog'!$J$2:$J$200,MATCH($AB27,'Test catalog'!$A$2:$A$200,0))),"")</f>
        <v/>
      </c>
      <c r="P27" s="14">
        <f>IF(N27="","",IF(OR(M27="",O27=""),N27,(M27+4*N27+O27)/6))</f>
        <v/>
      </c>
      <c r="Q27" s="10">
        <f>IFERROR(IF(INDEX('Test catalog'!$K$2:$K$200,MATCH($AB27,'Test catalog'!$A$2:$A$200,0))="","",INDEX('Test catalog'!$K$2:$K$200,MATCH($AB27,'Test catalog'!$A$2:$A$200,0))),"")</f>
        <v/>
      </c>
      <c r="R27" s="5" t="n"/>
      <c r="S27" s="10">
        <f>IFERROR(IF(INDEX('Test catalog'!$L$2:$L$200,MATCH($AB27,'Test catalog'!$A$2:$A$200,0))="","",INDEX('Test catalog'!$L$2:$L$200,MATCH($AB27,'Test catalog'!$A$2:$A$200,0))),"")</f>
        <v/>
      </c>
      <c r="T27" s="10">
        <f>IFERROR(IF(INDEX('Test catalog'!$M$2:$M$200,MATCH($AB27,'Test catalog'!$A$2:$A$200,0))="","",INDEX('Test catalog'!$M$2:$M$200,MATCH($AB27,'Test catalog'!$A$2:$A$200,0))),"")</f>
        <v/>
      </c>
      <c r="U27" s="10">
        <f>IFERROR(IF(INDEX('Test catalog'!$N$2:$N$200,MATCH($AB27,'Test catalog'!$A$2:$A$200,0))="","",INDEX('Test catalog'!$N$2:$N$200,MATCH($AB27,'Test catalog'!$A$2:$A$200,0))),"")</f>
        <v/>
      </c>
      <c r="V27" s="15" t="n"/>
      <c r="W27" s="5" t="inlineStr">
        <is>
          <t>N</t>
        </is>
      </c>
      <c r="X27" s="5" t="n"/>
      <c r="Y27" s="5" t="n"/>
      <c r="Z27" s="5" t="n"/>
      <c r="AA27" s="10">
        <f>IFERROR(IF(INDEX('Test catalog'!$O$2:$O$200,MATCH($AB27,'Test catalog'!$A$2:$A$200,0))="","",INDEX('Test catalog'!$O$2:$O$200,MATCH($AB27,'Test catalog'!$A$2:$A$200,0))),"")</f>
        <v/>
      </c>
      <c r="AB27" s="10" t="inlineStr">
        <is>
          <t>DIAM</t>
        </is>
      </c>
    </row>
    <row r="28">
      <c r="A28" s="10" t="inlineStr">
        <is>
          <t>F04</t>
        </is>
      </c>
      <c r="B28" s="10" t="inlineStr">
        <is>
          <t>FP</t>
        </is>
      </c>
      <c r="C28" s="10" t="inlineStr">
        <is>
          <t>Cardyd 20; Cardyd 40; Cardyd 80  |  Telmisartan</t>
        </is>
      </c>
      <c r="D28" s="10" t="inlineStr">
        <is>
          <t>Thickness</t>
        </is>
      </c>
      <c r="E28" s="10">
        <f>IF(A28="","",A28&amp;"|"&amp;D28)</f>
        <v/>
      </c>
      <c r="F28" s="5" t="inlineStr">
        <is>
          <t>Y</t>
        </is>
      </c>
      <c r="G28" s="5" t="inlineStr">
        <is>
          <t>Tablet tester</t>
        </is>
      </c>
      <c r="H28" s="5" t="inlineStr">
        <is>
          <t>Low</t>
        </is>
      </c>
      <c r="I28" s="5" t="n">
        <v>1</v>
      </c>
      <c r="J28" s="5" t="n"/>
      <c r="K28" s="10">
        <f>IFERROR(IF(INDEX('Test catalog'!$F$2:$F$200,MATCH($AB28,'Test catalog'!$A$2:$A$200,0))="","",INDEX('Test catalog'!$F$2:$F$200,MATCH($AB28,'Test catalog'!$A$2:$A$200,0))),"")</f>
        <v/>
      </c>
      <c r="L28" s="10">
        <f>IFERROR(IF(INDEX('Test catalog'!$G$2:$G$200,MATCH($AB28,'Test catalog'!$A$2:$A$200,0))="","",INDEX('Test catalog'!$G$2:$G$200,MATCH($AB28,'Test catalog'!$A$2:$A$200,0))),"")</f>
        <v/>
      </c>
      <c r="M28" s="10">
        <f>IFERROR(IF(INDEX('Test catalog'!$H$2:$H$200,MATCH($AB28,'Test catalog'!$A$2:$A$200,0))="","",INDEX('Test catalog'!$H$2:$H$200,MATCH($AB28,'Test catalog'!$A$2:$A$200,0))),"")</f>
        <v/>
      </c>
      <c r="N28" s="10">
        <f>IFERROR(IF(INDEX('Test catalog'!$I$2:$I$200,MATCH($AB28,'Test catalog'!$A$2:$A$200,0))="","",INDEX('Test catalog'!$I$2:$I$200,MATCH($AB28,'Test catalog'!$A$2:$A$200,0))),"")</f>
        <v/>
      </c>
      <c r="O28" s="10">
        <f>IFERROR(IF(INDEX('Test catalog'!$J$2:$J$200,MATCH($AB28,'Test catalog'!$A$2:$A$200,0))="","",INDEX('Test catalog'!$J$2:$J$200,MATCH($AB28,'Test catalog'!$A$2:$A$200,0))),"")</f>
        <v/>
      </c>
      <c r="P28" s="14">
        <f>IF(N28="","",IF(OR(M28="",O28=""),N28,(M28+4*N28+O28)/6))</f>
        <v/>
      </c>
      <c r="Q28" s="10">
        <f>IFERROR(IF(INDEX('Test catalog'!$K$2:$K$200,MATCH($AB28,'Test catalog'!$A$2:$A$200,0))="","",INDEX('Test catalog'!$K$2:$K$200,MATCH($AB28,'Test catalog'!$A$2:$A$200,0))),"")</f>
        <v/>
      </c>
      <c r="R28" s="5" t="n"/>
      <c r="S28" s="10">
        <f>IFERROR(IF(INDEX('Test catalog'!$L$2:$L$200,MATCH($AB28,'Test catalog'!$A$2:$A$200,0))="","",INDEX('Test catalog'!$L$2:$L$200,MATCH($AB28,'Test catalog'!$A$2:$A$200,0))),"")</f>
        <v/>
      </c>
      <c r="T28" s="10">
        <f>IFERROR(IF(INDEX('Test catalog'!$M$2:$M$200,MATCH($AB28,'Test catalog'!$A$2:$A$200,0))="","",INDEX('Test catalog'!$M$2:$M$200,MATCH($AB28,'Test catalog'!$A$2:$A$200,0))),"")</f>
        <v/>
      </c>
      <c r="U28" s="10">
        <f>IFERROR(IF(INDEX('Test catalog'!$N$2:$N$200,MATCH($AB28,'Test catalog'!$A$2:$A$200,0))="","",INDEX('Test catalog'!$N$2:$N$200,MATCH($AB28,'Test catalog'!$A$2:$A$200,0))),"")</f>
        <v/>
      </c>
      <c r="V28" s="15" t="n"/>
      <c r="W28" s="5" t="inlineStr">
        <is>
          <t>N</t>
        </is>
      </c>
      <c r="X28" s="5" t="n"/>
      <c r="Y28" s="5" t="n"/>
      <c r="Z28" s="5" t="n"/>
      <c r="AA28" s="10">
        <f>IFERROR(IF(INDEX('Test catalog'!$O$2:$O$200,MATCH($AB28,'Test catalog'!$A$2:$A$200,0))="","",INDEX('Test catalog'!$O$2:$O$200,MATCH($AB28,'Test catalog'!$A$2:$A$200,0))),"")</f>
        <v/>
      </c>
      <c r="AB28" s="10" t="inlineStr">
        <is>
          <t>THICK</t>
        </is>
      </c>
    </row>
    <row r="29">
      <c r="A29" s="10" t="inlineStr">
        <is>
          <t>F04</t>
        </is>
      </c>
      <c r="B29" s="10" t="inlineStr">
        <is>
          <t>FP</t>
        </is>
      </c>
      <c r="C29" s="10" t="inlineStr">
        <is>
          <t>Cardyd 20; Cardyd 40; Cardyd 80  |  Telmisartan</t>
        </is>
      </c>
      <c r="D29" s="10" t="inlineStr">
        <is>
          <t>Hardness / breaking force</t>
        </is>
      </c>
      <c r="E29" s="10">
        <f>IF(A29="","",A29&amp;"|"&amp;D29)</f>
        <v/>
      </c>
      <c r="F29" s="5" t="inlineStr">
        <is>
          <t>Y</t>
        </is>
      </c>
      <c r="G29" s="5" t="inlineStr">
        <is>
          <t>Tablet tester</t>
        </is>
      </c>
      <c r="H29" s="5" t="inlineStr">
        <is>
          <t>Low</t>
        </is>
      </c>
      <c r="I29" s="5" t="n">
        <v>1</v>
      </c>
      <c r="J29" s="5" t="n"/>
      <c r="K29" s="10">
        <f>IFERROR(IF(INDEX('Test catalog'!$F$2:$F$200,MATCH($AB29,'Test catalog'!$A$2:$A$200,0))="","",INDEX('Test catalog'!$F$2:$F$200,MATCH($AB29,'Test catalog'!$A$2:$A$200,0))),"")</f>
        <v/>
      </c>
      <c r="L29" s="10">
        <f>IFERROR(IF(INDEX('Test catalog'!$G$2:$G$200,MATCH($AB29,'Test catalog'!$A$2:$A$200,0))="","",INDEX('Test catalog'!$G$2:$G$200,MATCH($AB29,'Test catalog'!$A$2:$A$200,0))),"")</f>
        <v/>
      </c>
      <c r="M29" s="10">
        <f>IFERROR(IF(INDEX('Test catalog'!$H$2:$H$200,MATCH($AB29,'Test catalog'!$A$2:$A$200,0))="","",INDEX('Test catalog'!$H$2:$H$200,MATCH($AB29,'Test catalog'!$A$2:$A$200,0))),"")</f>
        <v/>
      </c>
      <c r="N29" s="10">
        <f>IFERROR(IF(INDEX('Test catalog'!$I$2:$I$200,MATCH($AB29,'Test catalog'!$A$2:$A$200,0))="","",INDEX('Test catalog'!$I$2:$I$200,MATCH($AB29,'Test catalog'!$A$2:$A$200,0))),"")</f>
        <v/>
      </c>
      <c r="O29" s="10">
        <f>IFERROR(IF(INDEX('Test catalog'!$J$2:$J$200,MATCH($AB29,'Test catalog'!$A$2:$A$200,0))="","",INDEX('Test catalog'!$J$2:$J$200,MATCH($AB29,'Test catalog'!$A$2:$A$200,0))),"")</f>
        <v/>
      </c>
      <c r="P29" s="14">
        <f>IF(N29="","",IF(OR(M29="",O29=""),N29,(M29+4*N29+O29)/6))</f>
        <v/>
      </c>
      <c r="Q29" s="10">
        <f>IFERROR(IF(INDEX('Test catalog'!$K$2:$K$200,MATCH($AB29,'Test catalog'!$A$2:$A$200,0))="","",INDEX('Test catalog'!$K$2:$K$200,MATCH($AB29,'Test catalog'!$A$2:$A$200,0))),"")</f>
        <v/>
      </c>
      <c r="R29" s="5" t="n"/>
      <c r="S29" s="10">
        <f>IFERROR(IF(INDEX('Test catalog'!$L$2:$L$200,MATCH($AB29,'Test catalog'!$A$2:$A$200,0))="","",INDEX('Test catalog'!$L$2:$L$200,MATCH($AB29,'Test catalog'!$A$2:$A$200,0))),"")</f>
        <v/>
      </c>
      <c r="T29" s="10">
        <f>IFERROR(IF(INDEX('Test catalog'!$M$2:$M$200,MATCH($AB29,'Test catalog'!$A$2:$A$200,0))="","",INDEX('Test catalog'!$M$2:$M$200,MATCH($AB29,'Test catalog'!$A$2:$A$200,0))),"")</f>
        <v/>
      </c>
      <c r="U29" s="10">
        <f>IFERROR(IF(INDEX('Test catalog'!$N$2:$N$200,MATCH($AB29,'Test catalog'!$A$2:$A$200,0))="","",INDEX('Test catalog'!$N$2:$N$200,MATCH($AB29,'Test catalog'!$A$2:$A$200,0))),"")</f>
        <v/>
      </c>
      <c r="V29" s="15" t="n"/>
      <c r="W29" s="5" t="inlineStr">
        <is>
          <t>Y</t>
        </is>
      </c>
      <c r="X29" s="5" t="n"/>
      <c r="Y29" s="5" t="n"/>
      <c r="Z29" s="5" t="n"/>
      <c r="AA29" s="10">
        <f>IFERROR(IF(INDEX('Test catalog'!$O$2:$O$200,MATCH($AB29,'Test catalog'!$A$2:$A$200,0))="","",INDEX('Test catalog'!$O$2:$O$200,MATCH($AB29,'Test catalog'!$A$2:$A$200,0))),"")</f>
        <v/>
      </c>
      <c r="AB29" s="10" t="inlineStr">
        <is>
          <t>HARD</t>
        </is>
      </c>
    </row>
    <row r="30">
      <c r="A30" s="10" t="inlineStr">
        <is>
          <t>F04</t>
        </is>
      </c>
      <c r="B30" s="10" t="inlineStr">
        <is>
          <t>FP</t>
        </is>
      </c>
      <c r="C30" s="10" t="inlineStr">
        <is>
          <t>Cardyd 20; Cardyd 40; Cardyd 80  |  Telmisartan</t>
        </is>
      </c>
      <c r="D30" s="10" t="inlineStr">
        <is>
          <t>Brittleness</t>
        </is>
      </c>
      <c r="E30" s="10">
        <f>IF(A30="","",A30&amp;"|"&amp;D30)</f>
        <v/>
      </c>
      <c r="F30" s="5" t="inlineStr">
        <is>
          <t>Y</t>
        </is>
      </c>
      <c r="G30" s="5" t="inlineStr">
        <is>
          <t>Other / bench</t>
        </is>
      </c>
      <c r="H30" s="5" t="inlineStr">
        <is>
          <t>Low</t>
        </is>
      </c>
      <c r="I30" s="5" t="n">
        <v>1</v>
      </c>
      <c r="J30" s="5" t="n"/>
      <c r="K30" s="10">
        <f>IFERROR(IF(INDEX('Test catalog'!$F$2:$F$200,MATCH($AB30,'Test catalog'!$A$2:$A$200,0))="","",INDEX('Test catalog'!$F$2:$F$200,MATCH($AB30,'Test catalog'!$A$2:$A$200,0))),"")</f>
        <v/>
      </c>
      <c r="L30" s="10">
        <f>IFERROR(IF(INDEX('Test catalog'!$G$2:$G$200,MATCH($AB30,'Test catalog'!$A$2:$A$200,0))="","",INDEX('Test catalog'!$G$2:$G$200,MATCH($AB30,'Test catalog'!$A$2:$A$200,0))),"")</f>
        <v/>
      </c>
      <c r="M30" s="10">
        <f>IFERROR(IF(INDEX('Test catalog'!$H$2:$H$200,MATCH($AB30,'Test catalog'!$A$2:$A$200,0))="","",INDEX('Test catalog'!$H$2:$H$200,MATCH($AB30,'Test catalog'!$A$2:$A$200,0))),"")</f>
        <v/>
      </c>
      <c r="N30" s="10">
        <f>IFERROR(IF(INDEX('Test catalog'!$I$2:$I$200,MATCH($AB30,'Test catalog'!$A$2:$A$200,0))="","",INDEX('Test catalog'!$I$2:$I$200,MATCH($AB30,'Test catalog'!$A$2:$A$200,0))),"")</f>
        <v/>
      </c>
      <c r="O30" s="10">
        <f>IFERROR(IF(INDEX('Test catalog'!$J$2:$J$200,MATCH($AB30,'Test catalog'!$A$2:$A$200,0))="","",INDEX('Test catalog'!$J$2:$J$200,MATCH($AB30,'Test catalog'!$A$2:$A$200,0))),"")</f>
        <v/>
      </c>
      <c r="P30" s="14">
        <f>IF(N30="","",IF(OR(M30="",O30=""),N30,(M30+4*N30+O30)/6))</f>
        <v/>
      </c>
      <c r="Q30" s="10">
        <f>IFERROR(IF(INDEX('Test catalog'!$K$2:$K$200,MATCH($AB30,'Test catalog'!$A$2:$A$200,0))="","",INDEX('Test catalog'!$K$2:$K$200,MATCH($AB30,'Test catalog'!$A$2:$A$200,0))),"")</f>
        <v/>
      </c>
      <c r="R30" s="5" t="n"/>
      <c r="S30" s="10">
        <f>IFERROR(IF(INDEX('Test catalog'!$L$2:$L$200,MATCH($AB30,'Test catalog'!$A$2:$A$200,0))="","",INDEX('Test catalog'!$L$2:$L$200,MATCH($AB30,'Test catalog'!$A$2:$A$200,0))),"")</f>
        <v/>
      </c>
      <c r="T30" s="10">
        <f>IFERROR(IF(INDEX('Test catalog'!$M$2:$M$200,MATCH($AB30,'Test catalog'!$A$2:$A$200,0))="","",INDEX('Test catalog'!$M$2:$M$200,MATCH($AB30,'Test catalog'!$A$2:$A$200,0))),"")</f>
        <v/>
      </c>
      <c r="U30" s="10">
        <f>IFERROR(IF(INDEX('Test catalog'!$N$2:$N$200,MATCH($AB30,'Test catalog'!$A$2:$A$200,0))="","",INDEX('Test catalog'!$N$2:$N$200,MATCH($AB30,'Test catalog'!$A$2:$A$200,0))),"")</f>
        <v/>
      </c>
      <c r="V30" s="15" t="n"/>
      <c r="W30" s="5" t="inlineStr">
        <is>
          <t>N</t>
        </is>
      </c>
      <c r="X30" s="5" t="n"/>
      <c r="Y30" s="5" t="n"/>
      <c r="Z30" s="5" t="n"/>
      <c r="AA30" s="10">
        <f>IFERROR(IF(INDEX('Test catalog'!$O$2:$O$200,MATCH($AB30,'Test catalog'!$A$2:$A$200,0))="","",INDEX('Test catalog'!$O$2:$O$200,MATCH($AB30,'Test catalog'!$A$2:$A$200,0))),"")</f>
        <v/>
      </c>
      <c r="AB30" s="10" t="inlineStr">
        <is>
          <t>BRITTLE</t>
        </is>
      </c>
    </row>
    <row r="31">
      <c r="A31" s="10" t="inlineStr">
        <is>
          <t>F04</t>
        </is>
      </c>
      <c r="B31" s="10" t="inlineStr">
        <is>
          <t>FP</t>
        </is>
      </c>
      <c r="C31" s="10" t="inlineStr">
        <is>
          <t>Cardyd 20; Cardyd 40; Cardyd 80  |  Telmisartan</t>
        </is>
      </c>
      <c r="D31" s="10" t="inlineStr">
        <is>
          <t>Friability</t>
        </is>
      </c>
      <c r="E31" s="10">
        <f>IF(A31="","",A31&amp;"|"&amp;D31)</f>
        <v/>
      </c>
      <c r="F31" s="5" t="inlineStr">
        <is>
          <t>Y</t>
        </is>
      </c>
      <c r="G31" s="5" t="inlineStr">
        <is>
          <t>Friabilator</t>
        </is>
      </c>
      <c r="H31" s="5" t="inlineStr">
        <is>
          <t>Low</t>
        </is>
      </c>
      <c r="I31" s="5" t="n">
        <v>1</v>
      </c>
      <c r="J31" s="5" t="n"/>
      <c r="K31" s="10">
        <f>IFERROR(IF(INDEX('Test catalog'!$F$2:$F$200,MATCH($AB31,'Test catalog'!$A$2:$A$200,0))="","",INDEX('Test catalog'!$F$2:$F$200,MATCH($AB31,'Test catalog'!$A$2:$A$200,0))),"")</f>
        <v/>
      </c>
      <c r="L31" s="10">
        <f>IFERROR(IF(INDEX('Test catalog'!$G$2:$G$200,MATCH($AB31,'Test catalog'!$A$2:$A$200,0))="","",INDEX('Test catalog'!$G$2:$G$200,MATCH($AB31,'Test catalog'!$A$2:$A$200,0))),"")</f>
        <v/>
      </c>
      <c r="M31" s="10">
        <f>IFERROR(IF(INDEX('Test catalog'!$H$2:$H$200,MATCH($AB31,'Test catalog'!$A$2:$A$200,0))="","",INDEX('Test catalog'!$H$2:$H$200,MATCH($AB31,'Test catalog'!$A$2:$A$200,0))),"")</f>
        <v/>
      </c>
      <c r="N31" s="10">
        <f>IFERROR(IF(INDEX('Test catalog'!$I$2:$I$200,MATCH($AB31,'Test catalog'!$A$2:$A$200,0))="","",INDEX('Test catalog'!$I$2:$I$200,MATCH($AB31,'Test catalog'!$A$2:$A$200,0))),"")</f>
        <v/>
      </c>
      <c r="O31" s="10">
        <f>IFERROR(IF(INDEX('Test catalog'!$J$2:$J$200,MATCH($AB31,'Test catalog'!$A$2:$A$200,0))="","",INDEX('Test catalog'!$J$2:$J$200,MATCH($AB31,'Test catalog'!$A$2:$A$200,0))),"")</f>
        <v/>
      </c>
      <c r="P31" s="14">
        <f>IF(N31="","",IF(OR(M31="",O31=""),N31,(M31+4*N31+O31)/6))</f>
        <v/>
      </c>
      <c r="Q31" s="10">
        <f>IFERROR(IF(INDEX('Test catalog'!$K$2:$K$200,MATCH($AB31,'Test catalog'!$A$2:$A$200,0))="","",INDEX('Test catalog'!$K$2:$K$200,MATCH($AB31,'Test catalog'!$A$2:$A$200,0))),"")</f>
        <v/>
      </c>
      <c r="R31" s="5" t="n"/>
      <c r="S31" s="10">
        <f>IFERROR(IF(INDEX('Test catalog'!$L$2:$L$200,MATCH($AB31,'Test catalog'!$A$2:$A$200,0))="","",INDEX('Test catalog'!$L$2:$L$200,MATCH($AB31,'Test catalog'!$A$2:$A$200,0))),"")</f>
        <v/>
      </c>
      <c r="T31" s="10">
        <f>IFERROR(IF(INDEX('Test catalog'!$M$2:$M$200,MATCH($AB31,'Test catalog'!$A$2:$A$200,0))="","",INDEX('Test catalog'!$M$2:$M$200,MATCH($AB31,'Test catalog'!$A$2:$A$200,0))),"")</f>
        <v/>
      </c>
      <c r="U31" s="10">
        <f>IFERROR(IF(INDEX('Test catalog'!$N$2:$N$200,MATCH($AB31,'Test catalog'!$A$2:$A$200,0))="","",INDEX('Test catalog'!$N$2:$N$200,MATCH($AB31,'Test catalog'!$A$2:$A$200,0))),"")</f>
        <v/>
      </c>
      <c r="V31" s="15" t="n"/>
      <c r="W31" s="5" t="inlineStr">
        <is>
          <t>N</t>
        </is>
      </c>
      <c r="X31" s="5" t="n"/>
      <c r="Y31" s="5" t="n"/>
      <c r="Z31" s="5" t="n"/>
      <c r="AA31" s="10">
        <f>IFERROR(IF(INDEX('Test catalog'!$O$2:$O$200,MATCH($AB31,'Test catalog'!$A$2:$A$200,0))="","",INDEX('Test catalog'!$O$2:$O$200,MATCH($AB31,'Test catalog'!$A$2:$A$200,0))),"")</f>
        <v/>
      </c>
      <c r="AB31" s="10" t="inlineStr">
        <is>
          <t>FRIAB</t>
        </is>
      </c>
    </row>
    <row r="32">
      <c r="A32" s="10" t="inlineStr">
        <is>
          <t>F04</t>
        </is>
      </c>
      <c r="B32" s="10" t="inlineStr">
        <is>
          <t>FP</t>
        </is>
      </c>
      <c r="C32" s="10" t="inlineStr">
        <is>
          <t>Cardyd 20; Cardyd 40; Cardyd 80  |  Telmisartan</t>
        </is>
      </c>
      <c r="D32" s="10" t="inlineStr">
        <is>
          <t>Disintegration</t>
        </is>
      </c>
      <c r="E32" s="10">
        <f>IF(A32="","",A32&amp;"|"&amp;D32)</f>
        <v/>
      </c>
      <c r="F32" s="5" t="inlineStr">
        <is>
          <t>Y</t>
        </is>
      </c>
      <c r="G32" s="5" t="inlineStr">
        <is>
          <t>Disintegration tester</t>
        </is>
      </c>
      <c r="H32" s="5" t="inlineStr">
        <is>
          <t>Low</t>
        </is>
      </c>
      <c r="I32" s="5" t="n">
        <v>1</v>
      </c>
      <c r="J32" s="5" t="n"/>
      <c r="K32" s="10">
        <f>IFERROR(IF(INDEX('Test catalog'!$F$2:$F$200,MATCH($AB32,'Test catalog'!$A$2:$A$200,0))="","",INDEX('Test catalog'!$F$2:$F$200,MATCH($AB32,'Test catalog'!$A$2:$A$200,0))),"")</f>
        <v/>
      </c>
      <c r="L32" s="10">
        <f>IFERROR(IF(INDEX('Test catalog'!$G$2:$G$200,MATCH($AB32,'Test catalog'!$A$2:$A$200,0))="","",INDEX('Test catalog'!$G$2:$G$200,MATCH($AB32,'Test catalog'!$A$2:$A$200,0))),"")</f>
        <v/>
      </c>
      <c r="M32" s="10">
        <f>IFERROR(IF(INDEX('Test catalog'!$H$2:$H$200,MATCH($AB32,'Test catalog'!$A$2:$A$200,0))="","",INDEX('Test catalog'!$H$2:$H$200,MATCH($AB32,'Test catalog'!$A$2:$A$200,0))),"")</f>
        <v/>
      </c>
      <c r="N32" s="10">
        <f>IFERROR(IF(INDEX('Test catalog'!$I$2:$I$200,MATCH($AB32,'Test catalog'!$A$2:$A$200,0))="","",INDEX('Test catalog'!$I$2:$I$200,MATCH($AB32,'Test catalog'!$A$2:$A$200,0))),"")</f>
        <v/>
      </c>
      <c r="O32" s="10">
        <f>IFERROR(IF(INDEX('Test catalog'!$J$2:$J$200,MATCH($AB32,'Test catalog'!$A$2:$A$200,0))="","",INDEX('Test catalog'!$J$2:$J$200,MATCH($AB32,'Test catalog'!$A$2:$A$200,0))),"")</f>
        <v/>
      </c>
      <c r="P32" s="14">
        <f>IF(N32="","",IF(OR(M32="",O32=""),N32,(M32+4*N32+O32)/6))</f>
        <v/>
      </c>
      <c r="Q32" s="10">
        <f>IFERROR(IF(INDEX('Test catalog'!$K$2:$K$200,MATCH($AB32,'Test catalog'!$A$2:$A$200,0))="","",INDEX('Test catalog'!$K$2:$K$200,MATCH($AB32,'Test catalog'!$A$2:$A$200,0))),"")</f>
        <v/>
      </c>
      <c r="R32" s="5" t="n"/>
      <c r="S32" s="10">
        <f>IFERROR(IF(INDEX('Test catalog'!$L$2:$L$200,MATCH($AB32,'Test catalog'!$A$2:$A$200,0))="","",INDEX('Test catalog'!$L$2:$L$200,MATCH($AB32,'Test catalog'!$A$2:$A$200,0))),"")</f>
        <v/>
      </c>
      <c r="T32" s="10">
        <f>IFERROR(IF(INDEX('Test catalog'!$M$2:$M$200,MATCH($AB32,'Test catalog'!$A$2:$A$200,0))="","",INDEX('Test catalog'!$M$2:$M$200,MATCH($AB32,'Test catalog'!$A$2:$A$200,0))),"")</f>
        <v/>
      </c>
      <c r="U32" s="10">
        <f>IFERROR(IF(INDEX('Test catalog'!$N$2:$N$200,MATCH($AB32,'Test catalog'!$A$2:$A$200,0))="","",INDEX('Test catalog'!$N$2:$N$200,MATCH($AB32,'Test catalog'!$A$2:$A$200,0))),"")</f>
        <v/>
      </c>
      <c r="V32" s="15" t="n"/>
      <c r="W32" s="5" t="inlineStr">
        <is>
          <t>Y</t>
        </is>
      </c>
      <c r="X32" s="5" t="n"/>
      <c r="Y32" s="5" t="n"/>
      <c r="Z32" s="5" t="n"/>
      <c r="AA32" s="10">
        <f>IFERROR(IF(INDEX('Test catalog'!$O$2:$O$200,MATCH($AB32,'Test catalog'!$A$2:$A$200,0))="","",INDEX('Test catalog'!$O$2:$O$200,MATCH($AB32,'Test catalog'!$A$2:$A$200,0))),"")</f>
        <v/>
      </c>
      <c r="AB32" s="10" t="inlineStr">
        <is>
          <t>DISINT</t>
        </is>
      </c>
    </row>
    <row r="33">
      <c r="A33" s="10" t="inlineStr">
        <is>
          <t>F04</t>
        </is>
      </c>
      <c r="B33" s="10" t="inlineStr">
        <is>
          <t>FP</t>
        </is>
      </c>
      <c r="C33" s="10" t="inlineStr">
        <is>
          <t>Cardyd 20; Cardyd 40; Cardyd 80  |  Telmisartan</t>
        </is>
      </c>
      <c r="D33" s="10" t="inlineStr">
        <is>
          <t>In-process check at the machine (one check, all its tests)</t>
        </is>
      </c>
      <c r="E33" s="10">
        <f>IF(A33="","",A33&amp;"|"&amp;D33)</f>
        <v/>
      </c>
      <c r="F33" s="5" t="inlineStr">
        <is>
          <t>Y</t>
        </is>
      </c>
      <c r="G33" s="5" t="inlineStr">
        <is>
          <t>Tablet tester</t>
        </is>
      </c>
      <c r="H33" s="5" t="inlineStr">
        <is>
          <t>Low</t>
        </is>
      </c>
      <c r="I33" s="5" t="n">
        <v>1</v>
      </c>
      <c r="J33" s="5" t="n"/>
      <c r="K33" s="10">
        <f>IFERROR(IF(INDEX('Test catalog'!$F$2:$F$200,MATCH($AB33,'Test catalog'!$A$2:$A$200,0))="","",INDEX('Test catalog'!$F$2:$F$200,MATCH($AB33,'Test catalog'!$A$2:$A$200,0))),"")</f>
        <v/>
      </c>
      <c r="L33" s="10">
        <f>IFERROR(IF(INDEX('Test catalog'!$G$2:$G$200,MATCH($AB33,'Test catalog'!$A$2:$A$200,0))="","",INDEX('Test catalog'!$G$2:$G$200,MATCH($AB33,'Test catalog'!$A$2:$A$200,0))),"")</f>
        <v/>
      </c>
      <c r="M33" s="10">
        <f>IFERROR(IF(INDEX('Test catalog'!$H$2:$H$200,MATCH($AB33,'Test catalog'!$A$2:$A$200,0))="","",INDEX('Test catalog'!$H$2:$H$200,MATCH($AB33,'Test catalog'!$A$2:$A$200,0))),"")</f>
        <v/>
      </c>
      <c r="N33" s="10">
        <f>IFERROR(IF(INDEX('Test catalog'!$I$2:$I$200,MATCH($AB33,'Test catalog'!$A$2:$A$200,0))="","",INDEX('Test catalog'!$I$2:$I$200,MATCH($AB33,'Test catalog'!$A$2:$A$200,0))),"")</f>
        <v/>
      </c>
      <c r="O33" s="10">
        <f>IFERROR(IF(INDEX('Test catalog'!$J$2:$J$200,MATCH($AB33,'Test catalog'!$A$2:$A$200,0))="","",INDEX('Test catalog'!$J$2:$J$200,MATCH($AB33,'Test catalog'!$A$2:$A$200,0))),"")</f>
        <v/>
      </c>
      <c r="P33" s="14">
        <f>IF(N33="","",IF(OR(M33="",O33=""),N33,(M33+4*N33+O33)/6))</f>
        <v/>
      </c>
      <c r="Q33" s="10">
        <f>IFERROR(IF(INDEX('Test catalog'!$K$2:$K$200,MATCH($AB33,'Test catalog'!$A$2:$A$200,0))="","",INDEX('Test catalog'!$K$2:$K$200,MATCH($AB33,'Test catalog'!$A$2:$A$200,0))),"")</f>
        <v/>
      </c>
      <c r="R33" s="5" t="n"/>
      <c r="S33" s="10">
        <f>IFERROR(IF(INDEX('Test catalog'!$L$2:$L$200,MATCH($AB33,'Test catalog'!$A$2:$A$200,0))="","",INDEX('Test catalog'!$L$2:$L$200,MATCH($AB33,'Test catalog'!$A$2:$A$200,0))),"")</f>
        <v/>
      </c>
      <c r="T33" s="10">
        <f>IFERROR(IF(INDEX('Test catalog'!$M$2:$M$200,MATCH($AB33,'Test catalog'!$A$2:$A$200,0))="","",INDEX('Test catalog'!$M$2:$M$200,MATCH($AB33,'Test catalog'!$A$2:$A$200,0))),"")</f>
        <v/>
      </c>
      <c r="U33" s="10">
        <f>IFERROR(IF(INDEX('Test catalog'!$N$2:$N$200,MATCH($AB33,'Test catalog'!$A$2:$A$200,0))="","",INDEX('Test catalog'!$N$2:$N$200,MATCH($AB33,'Test catalog'!$A$2:$A$200,0))),"")</f>
        <v/>
      </c>
      <c r="V33" s="15" t="n"/>
      <c r="W33" s="5" t="inlineStr">
        <is>
          <t>N</t>
        </is>
      </c>
      <c r="X33" s="5" t="n"/>
      <c r="Y33" s="5" t="n"/>
      <c r="Z33" s="5" t="n"/>
      <c r="AA33" s="10">
        <f>IFERROR(IF(INDEX('Test catalog'!$O$2:$O$200,MATCH($AB33,'Test catalog'!$A$2:$A$200,0))="","",INDEX('Test catalog'!$O$2:$O$200,MATCH($AB33,'Test catalog'!$A$2:$A$200,0))),"")</f>
        <v/>
      </c>
      <c r="AB33" s="10" t="inlineStr">
        <is>
          <t>IPC</t>
        </is>
      </c>
    </row>
    <row r="34">
      <c r="A34" s="10" t="inlineStr">
        <is>
          <t>F05</t>
        </is>
      </c>
      <c r="B34" s="10" t="inlineStr">
        <is>
          <t>FP</t>
        </is>
      </c>
      <c r="C34" s="10" t="inlineStr">
        <is>
          <t>Cardyd-AM 80/5; Cardyd-AM 80/10; Cardyd-AM 40/5; Cardyd-AM 40/10  |  Telmisartan, Amlodipine Besylate</t>
        </is>
      </c>
      <c r="D34" s="10" t="inlineStr">
        <is>
          <t>Average weight / uniformity of mass</t>
        </is>
      </c>
      <c r="E34" s="10">
        <f>IF(A34="","",A34&amp;"|"&amp;D34)</f>
        <v/>
      </c>
      <c r="F34" s="5" t="inlineStr">
        <is>
          <t>Y</t>
        </is>
      </c>
      <c r="G34" s="5" t="inlineStr">
        <is>
          <t>Balance</t>
        </is>
      </c>
      <c r="H34" s="5" t="inlineStr">
        <is>
          <t>Low</t>
        </is>
      </c>
      <c r="I34" s="5" t="n">
        <v>1</v>
      </c>
      <c r="J34" s="5" t="n"/>
      <c r="K34" s="10">
        <f>IFERROR(IF(INDEX('Test catalog'!$F$2:$F$200,MATCH($AB34,'Test catalog'!$A$2:$A$200,0))="","",INDEX('Test catalog'!$F$2:$F$200,MATCH($AB34,'Test catalog'!$A$2:$A$200,0))),"")</f>
        <v/>
      </c>
      <c r="L34" s="10">
        <f>IFERROR(IF(INDEX('Test catalog'!$G$2:$G$200,MATCH($AB34,'Test catalog'!$A$2:$A$200,0))="","",INDEX('Test catalog'!$G$2:$G$200,MATCH($AB34,'Test catalog'!$A$2:$A$200,0))),"")</f>
        <v/>
      </c>
      <c r="M34" s="10">
        <f>IFERROR(IF(INDEX('Test catalog'!$H$2:$H$200,MATCH($AB34,'Test catalog'!$A$2:$A$200,0))="","",INDEX('Test catalog'!$H$2:$H$200,MATCH($AB34,'Test catalog'!$A$2:$A$200,0))),"")</f>
        <v/>
      </c>
      <c r="N34" s="10">
        <f>IFERROR(IF(INDEX('Test catalog'!$I$2:$I$200,MATCH($AB34,'Test catalog'!$A$2:$A$200,0))="","",INDEX('Test catalog'!$I$2:$I$200,MATCH($AB34,'Test catalog'!$A$2:$A$200,0))),"")</f>
        <v/>
      </c>
      <c r="O34" s="10">
        <f>IFERROR(IF(INDEX('Test catalog'!$J$2:$J$200,MATCH($AB34,'Test catalog'!$A$2:$A$200,0))="","",INDEX('Test catalog'!$J$2:$J$200,MATCH($AB34,'Test catalog'!$A$2:$A$200,0))),"")</f>
        <v/>
      </c>
      <c r="P34" s="14">
        <f>IF(N34="","",IF(OR(M34="",O34=""),N34,(M34+4*N34+O34)/6))</f>
        <v/>
      </c>
      <c r="Q34" s="10">
        <f>IFERROR(IF(INDEX('Test catalog'!$K$2:$K$200,MATCH($AB34,'Test catalog'!$A$2:$A$200,0))="","",INDEX('Test catalog'!$K$2:$K$200,MATCH($AB34,'Test catalog'!$A$2:$A$200,0))),"")</f>
        <v/>
      </c>
      <c r="R34" s="5" t="n"/>
      <c r="S34" s="10">
        <f>IFERROR(IF(INDEX('Test catalog'!$L$2:$L$200,MATCH($AB34,'Test catalog'!$A$2:$A$200,0))="","",INDEX('Test catalog'!$L$2:$L$200,MATCH($AB34,'Test catalog'!$A$2:$A$200,0))),"")</f>
        <v/>
      </c>
      <c r="T34" s="10">
        <f>IFERROR(IF(INDEX('Test catalog'!$M$2:$M$200,MATCH($AB34,'Test catalog'!$A$2:$A$200,0))="","",INDEX('Test catalog'!$M$2:$M$200,MATCH($AB34,'Test catalog'!$A$2:$A$200,0))),"")</f>
        <v/>
      </c>
      <c r="U34" s="10">
        <f>IFERROR(IF(INDEX('Test catalog'!$N$2:$N$200,MATCH($AB34,'Test catalog'!$A$2:$A$200,0))="","",INDEX('Test catalog'!$N$2:$N$200,MATCH($AB34,'Test catalog'!$A$2:$A$200,0))),"")</f>
        <v/>
      </c>
      <c r="V34" s="15" t="n"/>
      <c r="W34" s="5" t="inlineStr">
        <is>
          <t>N</t>
        </is>
      </c>
      <c r="X34" s="5" t="n"/>
      <c r="Y34" s="5" t="n"/>
      <c r="Z34" s="5" t="n"/>
      <c r="AA34" s="10">
        <f>IFERROR(IF(INDEX('Test catalog'!$O$2:$O$200,MATCH($AB34,'Test catalog'!$A$2:$A$200,0))="","",INDEX('Test catalog'!$O$2:$O$200,MATCH($AB34,'Test catalog'!$A$2:$A$200,0))),"")</f>
        <v/>
      </c>
      <c r="AB34" s="10" t="inlineStr">
        <is>
          <t>AVG_WT</t>
        </is>
      </c>
    </row>
    <row r="35">
      <c r="A35" s="10" t="inlineStr">
        <is>
          <t>F05</t>
        </is>
      </c>
      <c r="B35" s="10" t="inlineStr">
        <is>
          <t>FP</t>
        </is>
      </c>
      <c r="C35" s="10" t="inlineStr">
        <is>
          <t>Cardyd-AM 80/5; Cardyd-AM 80/10; Cardyd-AM 40/5; Cardyd-AM 40/10  |  Telmisartan, Amlodipine Besylate</t>
        </is>
      </c>
      <c r="D35" s="10" t="inlineStr">
        <is>
          <t>Diameter (or length / width)</t>
        </is>
      </c>
      <c r="E35" s="10">
        <f>IF(A35="","",A35&amp;"|"&amp;D35)</f>
        <v/>
      </c>
      <c r="F35" s="5" t="inlineStr">
        <is>
          <t>Y</t>
        </is>
      </c>
      <c r="G35" s="5" t="inlineStr">
        <is>
          <t>Tablet tester</t>
        </is>
      </c>
      <c r="H35" s="5" t="inlineStr">
        <is>
          <t>Low</t>
        </is>
      </c>
      <c r="I35" s="5" t="n">
        <v>1</v>
      </c>
      <c r="J35" s="5" t="n"/>
      <c r="K35" s="10">
        <f>IFERROR(IF(INDEX('Test catalog'!$F$2:$F$200,MATCH($AB35,'Test catalog'!$A$2:$A$200,0))="","",INDEX('Test catalog'!$F$2:$F$200,MATCH($AB35,'Test catalog'!$A$2:$A$200,0))),"")</f>
        <v/>
      </c>
      <c r="L35" s="10">
        <f>IFERROR(IF(INDEX('Test catalog'!$G$2:$G$200,MATCH($AB35,'Test catalog'!$A$2:$A$200,0))="","",INDEX('Test catalog'!$G$2:$G$200,MATCH($AB35,'Test catalog'!$A$2:$A$200,0))),"")</f>
        <v/>
      </c>
      <c r="M35" s="10">
        <f>IFERROR(IF(INDEX('Test catalog'!$H$2:$H$200,MATCH($AB35,'Test catalog'!$A$2:$A$200,0))="","",INDEX('Test catalog'!$H$2:$H$200,MATCH($AB35,'Test catalog'!$A$2:$A$200,0))),"")</f>
        <v/>
      </c>
      <c r="N35" s="10">
        <f>IFERROR(IF(INDEX('Test catalog'!$I$2:$I$200,MATCH($AB35,'Test catalog'!$A$2:$A$200,0))="","",INDEX('Test catalog'!$I$2:$I$200,MATCH($AB35,'Test catalog'!$A$2:$A$200,0))),"")</f>
        <v/>
      </c>
      <c r="O35" s="10">
        <f>IFERROR(IF(INDEX('Test catalog'!$J$2:$J$200,MATCH($AB35,'Test catalog'!$A$2:$A$200,0))="","",INDEX('Test catalog'!$J$2:$J$200,MATCH($AB35,'Test catalog'!$A$2:$A$200,0))),"")</f>
        <v/>
      </c>
      <c r="P35" s="14">
        <f>IF(N35="","",IF(OR(M35="",O35=""),N35,(M35+4*N35+O35)/6))</f>
        <v/>
      </c>
      <c r="Q35" s="10">
        <f>IFERROR(IF(INDEX('Test catalog'!$K$2:$K$200,MATCH($AB35,'Test catalog'!$A$2:$A$200,0))="","",INDEX('Test catalog'!$K$2:$K$200,MATCH($AB35,'Test catalog'!$A$2:$A$200,0))),"")</f>
        <v/>
      </c>
      <c r="R35" s="5" t="n"/>
      <c r="S35" s="10">
        <f>IFERROR(IF(INDEX('Test catalog'!$L$2:$L$200,MATCH($AB35,'Test catalog'!$A$2:$A$200,0))="","",INDEX('Test catalog'!$L$2:$L$200,MATCH($AB35,'Test catalog'!$A$2:$A$200,0))),"")</f>
        <v/>
      </c>
      <c r="T35" s="10">
        <f>IFERROR(IF(INDEX('Test catalog'!$M$2:$M$200,MATCH($AB35,'Test catalog'!$A$2:$A$200,0))="","",INDEX('Test catalog'!$M$2:$M$200,MATCH($AB35,'Test catalog'!$A$2:$A$200,0))),"")</f>
        <v/>
      </c>
      <c r="U35" s="10">
        <f>IFERROR(IF(INDEX('Test catalog'!$N$2:$N$200,MATCH($AB35,'Test catalog'!$A$2:$A$200,0))="","",INDEX('Test catalog'!$N$2:$N$200,MATCH($AB35,'Test catalog'!$A$2:$A$200,0))),"")</f>
        <v/>
      </c>
      <c r="V35" s="15" t="n"/>
      <c r="W35" s="5" t="inlineStr">
        <is>
          <t>N</t>
        </is>
      </c>
      <c r="X35" s="5" t="n"/>
      <c r="Y35" s="5" t="n"/>
      <c r="Z35" s="5" t="n"/>
      <c r="AA35" s="10">
        <f>IFERROR(IF(INDEX('Test catalog'!$O$2:$O$200,MATCH($AB35,'Test catalog'!$A$2:$A$200,0))="","",INDEX('Test catalog'!$O$2:$O$200,MATCH($AB35,'Test catalog'!$A$2:$A$200,0))),"")</f>
        <v/>
      </c>
      <c r="AB35" s="10" t="inlineStr">
        <is>
          <t>DIAM</t>
        </is>
      </c>
    </row>
    <row r="36">
      <c r="A36" s="10" t="inlineStr">
        <is>
          <t>F05</t>
        </is>
      </c>
      <c r="B36" s="10" t="inlineStr">
        <is>
          <t>FP</t>
        </is>
      </c>
      <c r="C36" s="10" t="inlineStr">
        <is>
          <t>Cardyd-AM 80/5; Cardyd-AM 80/10; Cardyd-AM 40/5; Cardyd-AM 40/10  |  Telmisartan, Amlodipine Besylate</t>
        </is>
      </c>
      <c r="D36" s="10" t="inlineStr">
        <is>
          <t>Thickness</t>
        </is>
      </c>
      <c r="E36" s="10">
        <f>IF(A36="","",A36&amp;"|"&amp;D36)</f>
        <v/>
      </c>
      <c r="F36" s="5" t="inlineStr">
        <is>
          <t>Y</t>
        </is>
      </c>
      <c r="G36" s="5" t="inlineStr">
        <is>
          <t>Tablet tester</t>
        </is>
      </c>
      <c r="H36" s="5" t="inlineStr">
        <is>
          <t>Low</t>
        </is>
      </c>
      <c r="I36" s="5" t="n">
        <v>1</v>
      </c>
      <c r="J36" s="5" t="n"/>
      <c r="K36" s="10">
        <f>IFERROR(IF(INDEX('Test catalog'!$F$2:$F$200,MATCH($AB36,'Test catalog'!$A$2:$A$200,0))="","",INDEX('Test catalog'!$F$2:$F$200,MATCH($AB36,'Test catalog'!$A$2:$A$200,0))),"")</f>
        <v/>
      </c>
      <c r="L36" s="10">
        <f>IFERROR(IF(INDEX('Test catalog'!$G$2:$G$200,MATCH($AB36,'Test catalog'!$A$2:$A$200,0))="","",INDEX('Test catalog'!$G$2:$G$200,MATCH($AB36,'Test catalog'!$A$2:$A$200,0))),"")</f>
        <v/>
      </c>
      <c r="M36" s="10">
        <f>IFERROR(IF(INDEX('Test catalog'!$H$2:$H$200,MATCH($AB36,'Test catalog'!$A$2:$A$200,0))="","",INDEX('Test catalog'!$H$2:$H$200,MATCH($AB36,'Test catalog'!$A$2:$A$200,0))),"")</f>
        <v/>
      </c>
      <c r="N36" s="10">
        <f>IFERROR(IF(INDEX('Test catalog'!$I$2:$I$200,MATCH($AB36,'Test catalog'!$A$2:$A$200,0))="","",INDEX('Test catalog'!$I$2:$I$200,MATCH($AB36,'Test catalog'!$A$2:$A$200,0))),"")</f>
        <v/>
      </c>
      <c r="O36" s="10">
        <f>IFERROR(IF(INDEX('Test catalog'!$J$2:$J$200,MATCH($AB36,'Test catalog'!$A$2:$A$200,0))="","",INDEX('Test catalog'!$J$2:$J$200,MATCH($AB36,'Test catalog'!$A$2:$A$200,0))),"")</f>
        <v/>
      </c>
      <c r="P36" s="14">
        <f>IF(N36="","",IF(OR(M36="",O36=""),N36,(M36+4*N36+O36)/6))</f>
        <v/>
      </c>
      <c r="Q36" s="10">
        <f>IFERROR(IF(INDEX('Test catalog'!$K$2:$K$200,MATCH($AB36,'Test catalog'!$A$2:$A$200,0))="","",INDEX('Test catalog'!$K$2:$K$200,MATCH($AB36,'Test catalog'!$A$2:$A$200,0))),"")</f>
        <v/>
      </c>
      <c r="R36" s="5" t="n"/>
      <c r="S36" s="10">
        <f>IFERROR(IF(INDEX('Test catalog'!$L$2:$L$200,MATCH($AB36,'Test catalog'!$A$2:$A$200,0))="","",INDEX('Test catalog'!$L$2:$L$200,MATCH($AB36,'Test catalog'!$A$2:$A$200,0))),"")</f>
        <v/>
      </c>
      <c r="T36" s="10">
        <f>IFERROR(IF(INDEX('Test catalog'!$M$2:$M$200,MATCH($AB36,'Test catalog'!$A$2:$A$200,0))="","",INDEX('Test catalog'!$M$2:$M$200,MATCH($AB36,'Test catalog'!$A$2:$A$200,0))),"")</f>
        <v/>
      </c>
      <c r="U36" s="10">
        <f>IFERROR(IF(INDEX('Test catalog'!$N$2:$N$200,MATCH($AB36,'Test catalog'!$A$2:$A$200,0))="","",INDEX('Test catalog'!$N$2:$N$200,MATCH($AB36,'Test catalog'!$A$2:$A$200,0))),"")</f>
        <v/>
      </c>
      <c r="V36" s="15" t="n"/>
      <c r="W36" s="5" t="inlineStr">
        <is>
          <t>N</t>
        </is>
      </c>
      <c r="X36" s="5" t="n"/>
      <c r="Y36" s="5" t="n"/>
      <c r="Z36" s="5" t="n"/>
      <c r="AA36" s="10">
        <f>IFERROR(IF(INDEX('Test catalog'!$O$2:$O$200,MATCH($AB36,'Test catalog'!$A$2:$A$200,0))="","",INDEX('Test catalog'!$O$2:$O$200,MATCH($AB36,'Test catalog'!$A$2:$A$200,0))),"")</f>
        <v/>
      </c>
      <c r="AB36" s="10" t="inlineStr">
        <is>
          <t>THICK</t>
        </is>
      </c>
    </row>
    <row r="37">
      <c r="A37" s="10" t="inlineStr">
        <is>
          <t>F05</t>
        </is>
      </c>
      <c r="B37" s="10" t="inlineStr">
        <is>
          <t>FP</t>
        </is>
      </c>
      <c r="C37" s="10" t="inlineStr">
        <is>
          <t>Cardyd-AM 80/5; Cardyd-AM 80/10; Cardyd-AM 40/5; Cardyd-AM 40/10  |  Telmisartan, Amlodipine Besylate</t>
        </is>
      </c>
      <c r="D37" s="10" t="inlineStr">
        <is>
          <t>Hardness / breaking force</t>
        </is>
      </c>
      <c r="E37" s="10">
        <f>IF(A37="","",A37&amp;"|"&amp;D37)</f>
        <v/>
      </c>
      <c r="F37" s="5" t="inlineStr">
        <is>
          <t>Y</t>
        </is>
      </c>
      <c r="G37" s="5" t="inlineStr">
        <is>
          <t>Tablet tester</t>
        </is>
      </c>
      <c r="H37" s="5" t="inlineStr">
        <is>
          <t>Low</t>
        </is>
      </c>
      <c r="I37" s="5" t="n">
        <v>1</v>
      </c>
      <c r="J37" s="5" t="n"/>
      <c r="K37" s="10">
        <f>IFERROR(IF(INDEX('Test catalog'!$F$2:$F$200,MATCH($AB37,'Test catalog'!$A$2:$A$200,0))="","",INDEX('Test catalog'!$F$2:$F$200,MATCH($AB37,'Test catalog'!$A$2:$A$200,0))),"")</f>
        <v/>
      </c>
      <c r="L37" s="10">
        <f>IFERROR(IF(INDEX('Test catalog'!$G$2:$G$200,MATCH($AB37,'Test catalog'!$A$2:$A$200,0))="","",INDEX('Test catalog'!$G$2:$G$200,MATCH($AB37,'Test catalog'!$A$2:$A$200,0))),"")</f>
        <v/>
      </c>
      <c r="M37" s="10">
        <f>IFERROR(IF(INDEX('Test catalog'!$H$2:$H$200,MATCH($AB37,'Test catalog'!$A$2:$A$200,0))="","",INDEX('Test catalog'!$H$2:$H$200,MATCH($AB37,'Test catalog'!$A$2:$A$200,0))),"")</f>
        <v/>
      </c>
      <c r="N37" s="10">
        <f>IFERROR(IF(INDEX('Test catalog'!$I$2:$I$200,MATCH($AB37,'Test catalog'!$A$2:$A$200,0))="","",INDEX('Test catalog'!$I$2:$I$200,MATCH($AB37,'Test catalog'!$A$2:$A$200,0))),"")</f>
        <v/>
      </c>
      <c r="O37" s="10">
        <f>IFERROR(IF(INDEX('Test catalog'!$J$2:$J$200,MATCH($AB37,'Test catalog'!$A$2:$A$200,0))="","",INDEX('Test catalog'!$J$2:$J$200,MATCH($AB37,'Test catalog'!$A$2:$A$200,0))),"")</f>
        <v/>
      </c>
      <c r="P37" s="14">
        <f>IF(N37="","",IF(OR(M37="",O37=""),N37,(M37+4*N37+O37)/6))</f>
        <v/>
      </c>
      <c r="Q37" s="10">
        <f>IFERROR(IF(INDEX('Test catalog'!$K$2:$K$200,MATCH($AB37,'Test catalog'!$A$2:$A$200,0))="","",INDEX('Test catalog'!$K$2:$K$200,MATCH($AB37,'Test catalog'!$A$2:$A$200,0))),"")</f>
        <v/>
      </c>
      <c r="R37" s="5" t="n"/>
      <c r="S37" s="10">
        <f>IFERROR(IF(INDEX('Test catalog'!$L$2:$L$200,MATCH($AB37,'Test catalog'!$A$2:$A$200,0))="","",INDEX('Test catalog'!$L$2:$L$200,MATCH($AB37,'Test catalog'!$A$2:$A$200,0))),"")</f>
        <v/>
      </c>
      <c r="T37" s="10">
        <f>IFERROR(IF(INDEX('Test catalog'!$M$2:$M$200,MATCH($AB37,'Test catalog'!$A$2:$A$200,0))="","",INDEX('Test catalog'!$M$2:$M$200,MATCH($AB37,'Test catalog'!$A$2:$A$200,0))),"")</f>
        <v/>
      </c>
      <c r="U37" s="10">
        <f>IFERROR(IF(INDEX('Test catalog'!$N$2:$N$200,MATCH($AB37,'Test catalog'!$A$2:$A$200,0))="","",INDEX('Test catalog'!$N$2:$N$200,MATCH($AB37,'Test catalog'!$A$2:$A$200,0))),"")</f>
        <v/>
      </c>
      <c r="V37" s="15" t="n"/>
      <c r="W37" s="5" t="inlineStr">
        <is>
          <t>Y</t>
        </is>
      </c>
      <c r="X37" s="5" t="n"/>
      <c r="Y37" s="5" t="n"/>
      <c r="Z37" s="5" t="n"/>
      <c r="AA37" s="10">
        <f>IFERROR(IF(INDEX('Test catalog'!$O$2:$O$200,MATCH($AB37,'Test catalog'!$A$2:$A$200,0))="","",INDEX('Test catalog'!$O$2:$O$200,MATCH($AB37,'Test catalog'!$A$2:$A$200,0))),"")</f>
        <v/>
      </c>
      <c r="AB37" s="10" t="inlineStr">
        <is>
          <t>HARD</t>
        </is>
      </c>
    </row>
    <row r="38">
      <c r="A38" s="10" t="inlineStr">
        <is>
          <t>F05</t>
        </is>
      </c>
      <c r="B38" s="10" t="inlineStr">
        <is>
          <t>FP</t>
        </is>
      </c>
      <c r="C38" s="10" t="inlineStr">
        <is>
          <t>Cardyd-AM 80/5; Cardyd-AM 80/10; Cardyd-AM 40/5; Cardyd-AM 40/10  |  Telmisartan, Amlodipine Besylate</t>
        </is>
      </c>
      <c r="D38" s="10" t="inlineStr">
        <is>
          <t>Brittleness</t>
        </is>
      </c>
      <c r="E38" s="10">
        <f>IF(A38="","",A38&amp;"|"&amp;D38)</f>
        <v/>
      </c>
      <c r="F38" s="5" t="inlineStr">
        <is>
          <t>Y</t>
        </is>
      </c>
      <c r="G38" s="5" t="inlineStr">
        <is>
          <t>Other / bench</t>
        </is>
      </c>
      <c r="H38" s="5" t="inlineStr">
        <is>
          <t>Low</t>
        </is>
      </c>
      <c r="I38" s="5" t="n">
        <v>1</v>
      </c>
      <c r="J38" s="5" t="n"/>
      <c r="K38" s="10">
        <f>IFERROR(IF(INDEX('Test catalog'!$F$2:$F$200,MATCH($AB38,'Test catalog'!$A$2:$A$200,0))="","",INDEX('Test catalog'!$F$2:$F$200,MATCH($AB38,'Test catalog'!$A$2:$A$200,0))),"")</f>
        <v/>
      </c>
      <c r="L38" s="10">
        <f>IFERROR(IF(INDEX('Test catalog'!$G$2:$G$200,MATCH($AB38,'Test catalog'!$A$2:$A$200,0))="","",INDEX('Test catalog'!$G$2:$G$200,MATCH($AB38,'Test catalog'!$A$2:$A$200,0))),"")</f>
        <v/>
      </c>
      <c r="M38" s="10">
        <f>IFERROR(IF(INDEX('Test catalog'!$H$2:$H$200,MATCH($AB38,'Test catalog'!$A$2:$A$200,0))="","",INDEX('Test catalog'!$H$2:$H$200,MATCH($AB38,'Test catalog'!$A$2:$A$200,0))),"")</f>
        <v/>
      </c>
      <c r="N38" s="10">
        <f>IFERROR(IF(INDEX('Test catalog'!$I$2:$I$200,MATCH($AB38,'Test catalog'!$A$2:$A$200,0))="","",INDEX('Test catalog'!$I$2:$I$200,MATCH($AB38,'Test catalog'!$A$2:$A$200,0))),"")</f>
        <v/>
      </c>
      <c r="O38" s="10">
        <f>IFERROR(IF(INDEX('Test catalog'!$J$2:$J$200,MATCH($AB38,'Test catalog'!$A$2:$A$200,0))="","",INDEX('Test catalog'!$J$2:$J$200,MATCH($AB38,'Test catalog'!$A$2:$A$200,0))),"")</f>
        <v/>
      </c>
      <c r="P38" s="14">
        <f>IF(N38="","",IF(OR(M38="",O38=""),N38,(M38+4*N38+O38)/6))</f>
        <v/>
      </c>
      <c r="Q38" s="10">
        <f>IFERROR(IF(INDEX('Test catalog'!$K$2:$K$200,MATCH($AB38,'Test catalog'!$A$2:$A$200,0))="","",INDEX('Test catalog'!$K$2:$K$200,MATCH($AB38,'Test catalog'!$A$2:$A$200,0))),"")</f>
        <v/>
      </c>
      <c r="R38" s="5" t="n"/>
      <c r="S38" s="10">
        <f>IFERROR(IF(INDEX('Test catalog'!$L$2:$L$200,MATCH($AB38,'Test catalog'!$A$2:$A$200,0))="","",INDEX('Test catalog'!$L$2:$L$200,MATCH($AB38,'Test catalog'!$A$2:$A$200,0))),"")</f>
        <v/>
      </c>
      <c r="T38" s="10">
        <f>IFERROR(IF(INDEX('Test catalog'!$M$2:$M$200,MATCH($AB38,'Test catalog'!$A$2:$A$200,0))="","",INDEX('Test catalog'!$M$2:$M$200,MATCH($AB38,'Test catalog'!$A$2:$A$200,0))),"")</f>
        <v/>
      </c>
      <c r="U38" s="10">
        <f>IFERROR(IF(INDEX('Test catalog'!$N$2:$N$200,MATCH($AB38,'Test catalog'!$A$2:$A$200,0))="","",INDEX('Test catalog'!$N$2:$N$200,MATCH($AB38,'Test catalog'!$A$2:$A$200,0))),"")</f>
        <v/>
      </c>
      <c r="V38" s="15" t="n"/>
      <c r="W38" s="5" t="inlineStr">
        <is>
          <t>N</t>
        </is>
      </c>
      <c r="X38" s="5" t="n"/>
      <c r="Y38" s="5" t="n"/>
      <c r="Z38" s="5" t="n"/>
      <c r="AA38" s="10">
        <f>IFERROR(IF(INDEX('Test catalog'!$O$2:$O$200,MATCH($AB38,'Test catalog'!$A$2:$A$200,0))="","",INDEX('Test catalog'!$O$2:$O$200,MATCH($AB38,'Test catalog'!$A$2:$A$200,0))),"")</f>
        <v/>
      </c>
      <c r="AB38" s="10" t="inlineStr">
        <is>
          <t>BRITTLE</t>
        </is>
      </c>
    </row>
    <row r="39">
      <c r="A39" s="10" t="inlineStr">
        <is>
          <t>F05</t>
        </is>
      </c>
      <c r="B39" s="10" t="inlineStr">
        <is>
          <t>FP</t>
        </is>
      </c>
      <c r="C39" s="10" t="inlineStr">
        <is>
          <t>Cardyd-AM 80/5; Cardyd-AM 80/10; Cardyd-AM 40/5; Cardyd-AM 40/10  |  Telmisartan, Amlodipine Besylate</t>
        </is>
      </c>
      <c r="D39" s="10" t="inlineStr">
        <is>
          <t>Friability</t>
        </is>
      </c>
      <c r="E39" s="10">
        <f>IF(A39="","",A39&amp;"|"&amp;D39)</f>
        <v/>
      </c>
      <c r="F39" s="5" t="inlineStr">
        <is>
          <t>Y</t>
        </is>
      </c>
      <c r="G39" s="5" t="inlineStr">
        <is>
          <t>Friabilator</t>
        </is>
      </c>
      <c r="H39" s="5" t="inlineStr">
        <is>
          <t>Low</t>
        </is>
      </c>
      <c r="I39" s="5" t="n">
        <v>1</v>
      </c>
      <c r="J39" s="5" t="n"/>
      <c r="K39" s="10">
        <f>IFERROR(IF(INDEX('Test catalog'!$F$2:$F$200,MATCH($AB39,'Test catalog'!$A$2:$A$200,0))="","",INDEX('Test catalog'!$F$2:$F$200,MATCH($AB39,'Test catalog'!$A$2:$A$200,0))),"")</f>
        <v/>
      </c>
      <c r="L39" s="10">
        <f>IFERROR(IF(INDEX('Test catalog'!$G$2:$G$200,MATCH($AB39,'Test catalog'!$A$2:$A$200,0))="","",INDEX('Test catalog'!$G$2:$G$200,MATCH($AB39,'Test catalog'!$A$2:$A$200,0))),"")</f>
        <v/>
      </c>
      <c r="M39" s="10">
        <f>IFERROR(IF(INDEX('Test catalog'!$H$2:$H$200,MATCH($AB39,'Test catalog'!$A$2:$A$200,0))="","",INDEX('Test catalog'!$H$2:$H$200,MATCH($AB39,'Test catalog'!$A$2:$A$200,0))),"")</f>
        <v/>
      </c>
      <c r="N39" s="10">
        <f>IFERROR(IF(INDEX('Test catalog'!$I$2:$I$200,MATCH($AB39,'Test catalog'!$A$2:$A$200,0))="","",INDEX('Test catalog'!$I$2:$I$200,MATCH($AB39,'Test catalog'!$A$2:$A$200,0))),"")</f>
        <v/>
      </c>
      <c r="O39" s="10">
        <f>IFERROR(IF(INDEX('Test catalog'!$J$2:$J$200,MATCH($AB39,'Test catalog'!$A$2:$A$200,0))="","",INDEX('Test catalog'!$J$2:$J$200,MATCH($AB39,'Test catalog'!$A$2:$A$200,0))),"")</f>
        <v/>
      </c>
      <c r="P39" s="14">
        <f>IF(N39="","",IF(OR(M39="",O39=""),N39,(M39+4*N39+O39)/6))</f>
        <v/>
      </c>
      <c r="Q39" s="10">
        <f>IFERROR(IF(INDEX('Test catalog'!$K$2:$K$200,MATCH($AB39,'Test catalog'!$A$2:$A$200,0))="","",INDEX('Test catalog'!$K$2:$K$200,MATCH($AB39,'Test catalog'!$A$2:$A$200,0))),"")</f>
        <v/>
      </c>
      <c r="R39" s="5" t="n"/>
      <c r="S39" s="10">
        <f>IFERROR(IF(INDEX('Test catalog'!$L$2:$L$200,MATCH($AB39,'Test catalog'!$A$2:$A$200,0))="","",INDEX('Test catalog'!$L$2:$L$200,MATCH($AB39,'Test catalog'!$A$2:$A$200,0))),"")</f>
        <v/>
      </c>
      <c r="T39" s="10">
        <f>IFERROR(IF(INDEX('Test catalog'!$M$2:$M$200,MATCH($AB39,'Test catalog'!$A$2:$A$200,0))="","",INDEX('Test catalog'!$M$2:$M$200,MATCH($AB39,'Test catalog'!$A$2:$A$200,0))),"")</f>
        <v/>
      </c>
      <c r="U39" s="10">
        <f>IFERROR(IF(INDEX('Test catalog'!$N$2:$N$200,MATCH($AB39,'Test catalog'!$A$2:$A$200,0))="","",INDEX('Test catalog'!$N$2:$N$200,MATCH($AB39,'Test catalog'!$A$2:$A$200,0))),"")</f>
        <v/>
      </c>
      <c r="V39" s="15" t="n"/>
      <c r="W39" s="5" t="inlineStr">
        <is>
          <t>N</t>
        </is>
      </c>
      <c r="X39" s="5" t="n"/>
      <c r="Y39" s="5" t="n"/>
      <c r="Z39" s="5" t="n"/>
      <c r="AA39" s="10">
        <f>IFERROR(IF(INDEX('Test catalog'!$O$2:$O$200,MATCH($AB39,'Test catalog'!$A$2:$A$200,0))="","",INDEX('Test catalog'!$O$2:$O$200,MATCH($AB39,'Test catalog'!$A$2:$A$200,0))),"")</f>
        <v/>
      </c>
      <c r="AB39" s="10" t="inlineStr">
        <is>
          <t>FRIAB</t>
        </is>
      </c>
    </row>
    <row r="40">
      <c r="A40" s="10" t="inlineStr">
        <is>
          <t>F05</t>
        </is>
      </c>
      <c r="B40" s="10" t="inlineStr">
        <is>
          <t>FP</t>
        </is>
      </c>
      <c r="C40" s="10" t="inlineStr">
        <is>
          <t>Cardyd-AM 80/5; Cardyd-AM 80/10; Cardyd-AM 40/5; Cardyd-AM 40/10  |  Telmisartan, Amlodipine Besylate</t>
        </is>
      </c>
      <c r="D40" s="10" t="inlineStr">
        <is>
          <t>Disintegration</t>
        </is>
      </c>
      <c r="E40" s="10">
        <f>IF(A40="","",A40&amp;"|"&amp;D40)</f>
        <v/>
      </c>
      <c r="F40" s="5" t="inlineStr">
        <is>
          <t>Y</t>
        </is>
      </c>
      <c r="G40" s="5" t="inlineStr">
        <is>
          <t>Disintegration tester</t>
        </is>
      </c>
      <c r="H40" s="5" t="inlineStr">
        <is>
          <t>Low</t>
        </is>
      </c>
      <c r="I40" s="5" t="n">
        <v>1</v>
      </c>
      <c r="J40" s="5" t="n"/>
      <c r="K40" s="10">
        <f>IFERROR(IF(INDEX('Test catalog'!$F$2:$F$200,MATCH($AB40,'Test catalog'!$A$2:$A$200,0))="","",INDEX('Test catalog'!$F$2:$F$200,MATCH($AB40,'Test catalog'!$A$2:$A$200,0))),"")</f>
        <v/>
      </c>
      <c r="L40" s="10">
        <f>IFERROR(IF(INDEX('Test catalog'!$G$2:$G$200,MATCH($AB40,'Test catalog'!$A$2:$A$200,0))="","",INDEX('Test catalog'!$G$2:$G$200,MATCH($AB40,'Test catalog'!$A$2:$A$200,0))),"")</f>
        <v/>
      </c>
      <c r="M40" s="10">
        <f>IFERROR(IF(INDEX('Test catalog'!$H$2:$H$200,MATCH($AB40,'Test catalog'!$A$2:$A$200,0))="","",INDEX('Test catalog'!$H$2:$H$200,MATCH($AB40,'Test catalog'!$A$2:$A$200,0))),"")</f>
        <v/>
      </c>
      <c r="N40" s="10">
        <f>IFERROR(IF(INDEX('Test catalog'!$I$2:$I$200,MATCH($AB40,'Test catalog'!$A$2:$A$200,0))="","",INDEX('Test catalog'!$I$2:$I$200,MATCH($AB40,'Test catalog'!$A$2:$A$200,0))),"")</f>
        <v/>
      </c>
      <c r="O40" s="10">
        <f>IFERROR(IF(INDEX('Test catalog'!$J$2:$J$200,MATCH($AB40,'Test catalog'!$A$2:$A$200,0))="","",INDEX('Test catalog'!$J$2:$J$200,MATCH($AB40,'Test catalog'!$A$2:$A$200,0))),"")</f>
        <v/>
      </c>
      <c r="P40" s="14">
        <f>IF(N40="","",IF(OR(M40="",O40=""),N40,(M40+4*N40+O40)/6))</f>
        <v/>
      </c>
      <c r="Q40" s="10">
        <f>IFERROR(IF(INDEX('Test catalog'!$K$2:$K$200,MATCH($AB40,'Test catalog'!$A$2:$A$200,0))="","",INDEX('Test catalog'!$K$2:$K$200,MATCH($AB40,'Test catalog'!$A$2:$A$200,0))),"")</f>
        <v/>
      </c>
      <c r="R40" s="5" t="n"/>
      <c r="S40" s="10">
        <f>IFERROR(IF(INDEX('Test catalog'!$L$2:$L$200,MATCH($AB40,'Test catalog'!$A$2:$A$200,0))="","",INDEX('Test catalog'!$L$2:$L$200,MATCH($AB40,'Test catalog'!$A$2:$A$200,0))),"")</f>
        <v/>
      </c>
      <c r="T40" s="10">
        <f>IFERROR(IF(INDEX('Test catalog'!$M$2:$M$200,MATCH($AB40,'Test catalog'!$A$2:$A$200,0))="","",INDEX('Test catalog'!$M$2:$M$200,MATCH($AB40,'Test catalog'!$A$2:$A$200,0))),"")</f>
        <v/>
      </c>
      <c r="U40" s="10">
        <f>IFERROR(IF(INDEX('Test catalog'!$N$2:$N$200,MATCH($AB40,'Test catalog'!$A$2:$A$200,0))="","",INDEX('Test catalog'!$N$2:$N$200,MATCH($AB40,'Test catalog'!$A$2:$A$200,0))),"")</f>
        <v/>
      </c>
      <c r="V40" s="15" t="n"/>
      <c r="W40" s="5" t="inlineStr">
        <is>
          <t>Y</t>
        </is>
      </c>
      <c r="X40" s="5" t="n"/>
      <c r="Y40" s="5" t="n"/>
      <c r="Z40" s="5" t="n"/>
      <c r="AA40" s="10">
        <f>IFERROR(IF(INDEX('Test catalog'!$O$2:$O$200,MATCH($AB40,'Test catalog'!$A$2:$A$200,0))="","",INDEX('Test catalog'!$O$2:$O$200,MATCH($AB40,'Test catalog'!$A$2:$A$200,0))),"")</f>
        <v/>
      </c>
      <c r="AB40" s="10" t="inlineStr">
        <is>
          <t>DISINT</t>
        </is>
      </c>
    </row>
    <row r="41">
      <c r="A41" s="10" t="inlineStr">
        <is>
          <t>F05</t>
        </is>
      </c>
      <c r="B41" s="10" t="inlineStr">
        <is>
          <t>FP</t>
        </is>
      </c>
      <c r="C41" s="10" t="inlineStr">
        <is>
          <t>Cardyd-AM 80/5; Cardyd-AM 80/10; Cardyd-AM 40/5; Cardyd-AM 40/10  |  Telmisartan, Amlodipine Besylate</t>
        </is>
      </c>
      <c r="D41" s="10" t="inlineStr">
        <is>
          <t>In-process check at the machine (one check, all its tests)</t>
        </is>
      </c>
      <c r="E41" s="10">
        <f>IF(A41="","",A41&amp;"|"&amp;D41)</f>
        <v/>
      </c>
      <c r="F41" s="5" t="inlineStr">
        <is>
          <t>Y</t>
        </is>
      </c>
      <c r="G41" s="5" t="inlineStr">
        <is>
          <t>Tablet tester</t>
        </is>
      </c>
      <c r="H41" s="5" t="inlineStr">
        <is>
          <t>Low</t>
        </is>
      </c>
      <c r="I41" s="5" t="n">
        <v>1</v>
      </c>
      <c r="J41" s="5" t="n"/>
      <c r="K41" s="10">
        <f>IFERROR(IF(INDEX('Test catalog'!$F$2:$F$200,MATCH($AB41,'Test catalog'!$A$2:$A$200,0))="","",INDEX('Test catalog'!$F$2:$F$200,MATCH($AB41,'Test catalog'!$A$2:$A$200,0))),"")</f>
        <v/>
      </c>
      <c r="L41" s="10">
        <f>IFERROR(IF(INDEX('Test catalog'!$G$2:$G$200,MATCH($AB41,'Test catalog'!$A$2:$A$200,0))="","",INDEX('Test catalog'!$G$2:$G$200,MATCH($AB41,'Test catalog'!$A$2:$A$200,0))),"")</f>
        <v/>
      </c>
      <c r="M41" s="10">
        <f>IFERROR(IF(INDEX('Test catalog'!$H$2:$H$200,MATCH($AB41,'Test catalog'!$A$2:$A$200,0))="","",INDEX('Test catalog'!$H$2:$H$200,MATCH($AB41,'Test catalog'!$A$2:$A$200,0))),"")</f>
        <v/>
      </c>
      <c r="N41" s="10">
        <f>IFERROR(IF(INDEX('Test catalog'!$I$2:$I$200,MATCH($AB41,'Test catalog'!$A$2:$A$200,0))="","",INDEX('Test catalog'!$I$2:$I$200,MATCH($AB41,'Test catalog'!$A$2:$A$200,0))),"")</f>
        <v/>
      </c>
      <c r="O41" s="10">
        <f>IFERROR(IF(INDEX('Test catalog'!$J$2:$J$200,MATCH($AB41,'Test catalog'!$A$2:$A$200,0))="","",INDEX('Test catalog'!$J$2:$J$200,MATCH($AB41,'Test catalog'!$A$2:$A$200,0))),"")</f>
        <v/>
      </c>
      <c r="P41" s="14">
        <f>IF(N41="","",IF(OR(M41="",O41=""),N41,(M41+4*N41+O41)/6))</f>
        <v/>
      </c>
      <c r="Q41" s="10">
        <f>IFERROR(IF(INDEX('Test catalog'!$K$2:$K$200,MATCH($AB41,'Test catalog'!$A$2:$A$200,0))="","",INDEX('Test catalog'!$K$2:$K$200,MATCH($AB41,'Test catalog'!$A$2:$A$200,0))),"")</f>
        <v/>
      </c>
      <c r="R41" s="5" t="n"/>
      <c r="S41" s="10">
        <f>IFERROR(IF(INDEX('Test catalog'!$L$2:$L$200,MATCH($AB41,'Test catalog'!$A$2:$A$200,0))="","",INDEX('Test catalog'!$L$2:$L$200,MATCH($AB41,'Test catalog'!$A$2:$A$200,0))),"")</f>
        <v/>
      </c>
      <c r="T41" s="10">
        <f>IFERROR(IF(INDEX('Test catalog'!$M$2:$M$200,MATCH($AB41,'Test catalog'!$A$2:$A$200,0))="","",INDEX('Test catalog'!$M$2:$M$200,MATCH($AB41,'Test catalog'!$A$2:$A$200,0))),"")</f>
        <v/>
      </c>
      <c r="U41" s="10">
        <f>IFERROR(IF(INDEX('Test catalog'!$N$2:$N$200,MATCH($AB41,'Test catalog'!$A$2:$A$200,0))="","",INDEX('Test catalog'!$N$2:$N$200,MATCH($AB41,'Test catalog'!$A$2:$A$200,0))),"")</f>
        <v/>
      </c>
      <c r="V41" s="15" t="n"/>
      <c r="W41" s="5" t="inlineStr">
        <is>
          <t>N</t>
        </is>
      </c>
      <c r="X41" s="5" t="n"/>
      <c r="Y41" s="5" t="n"/>
      <c r="Z41" s="5" t="n"/>
      <c r="AA41" s="10">
        <f>IFERROR(IF(INDEX('Test catalog'!$O$2:$O$200,MATCH($AB41,'Test catalog'!$A$2:$A$200,0))="","",INDEX('Test catalog'!$O$2:$O$200,MATCH($AB41,'Test catalog'!$A$2:$A$200,0))),"")</f>
        <v/>
      </c>
      <c r="AB41" s="10" t="inlineStr">
        <is>
          <t>IPC</t>
        </is>
      </c>
    </row>
    <row r="42">
      <c r="A42" s="10" t="inlineStr">
        <is>
          <t>F06</t>
        </is>
      </c>
      <c r="B42" s="10" t="inlineStr">
        <is>
          <t>FP</t>
        </is>
      </c>
      <c r="C42" s="10" t="inlineStr">
        <is>
          <t>Cardyd-H 40/12.5; Cardyd-H 80/12.5; Cardyd-H 80/25  |  Telmisartan, Hydrochlorothiazide</t>
        </is>
      </c>
      <c r="D42" s="10" t="inlineStr">
        <is>
          <t>Average weight / uniformity of mass</t>
        </is>
      </c>
      <c r="E42" s="10">
        <f>IF(A42="","",A42&amp;"|"&amp;D42)</f>
        <v/>
      </c>
      <c r="F42" s="5" t="inlineStr">
        <is>
          <t>Y</t>
        </is>
      </c>
      <c r="G42" s="5" t="inlineStr">
        <is>
          <t>Balance</t>
        </is>
      </c>
      <c r="H42" s="5" t="inlineStr">
        <is>
          <t>Low</t>
        </is>
      </c>
      <c r="I42" s="5" t="n">
        <v>1</v>
      </c>
      <c r="J42" s="5" t="n"/>
      <c r="K42" s="10">
        <f>IFERROR(IF(INDEX('Test catalog'!$F$2:$F$200,MATCH($AB42,'Test catalog'!$A$2:$A$200,0))="","",INDEX('Test catalog'!$F$2:$F$200,MATCH($AB42,'Test catalog'!$A$2:$A$200,0))),"")</f>
        <v/>
      </c>
      <c r="L42" s="10">
        <f>IFERROR(IF(INDEX('Test catalog'!$G$2:$G$200,MATCH($AB42,'Test catalog'!$A$2:$A$200,0))="","",INDEX('Test catalog'!$G$2:$G$200,MATCH($AB42,'Test catalog'!$A$2:$A$200,0))),"")</f>
        <v/>
      </c>
      <c r="M42" s="10">
        <f>IFERROR(IF(INDEX('Test catalog'!$H$2:$H$200,MATCH($AB42,'Test catalog'!$A$2:$A$200,0))="","",INDEX('Test catalog'!$H$2:$H$200,MATCH($AB42,'Test catalog'!$A$2:$A$200,0))),"")</f>
        <v/>
      </c>
      <c r="N42" s="10">
        <f>IFERROR(IF(INDEX('Test catalog'!$I$2:$I$200,MATCH($AB42,'Test catalog'!$A$2:$A$200,0))="","",INDEX('Test catalog'!$I$2:$I$200,MATCH($AB42,'Test catalog'!$A$2:$A$200,0))),"")</f>
        <v/>
      </c>
      <c r="O42" s="10">
        <f>IFERROR(IF(INDEX('Test catalog'!$J$2:$J$200,MATCH($AB42,'Test catalog'!$A$2:$A$200,0))="","",INDEX('Test catalog'!$J$2:$J$200,MATCH($AB42,'Test catalog'!$A$2:$A$200,0))),"")</f>
        <v/>
      </c>
      <c r="P42" s="14">
        <f>IF(N42="","",IF(OR(M42="",O42=""),N42,(M42+4*N42+O42)/6))</f>
        <v/>
      </c>
      <c r="Q42" s="10">
        <f>IFERROR(IF(INDEX('Test catalog'!$K$2:$K$200,MATCH($AB42,'Test catalog'!$A$2:$A$200,0))="","",INDEX('Test catalog'!$K$2:$K$200,MATCH($AB42,'Test catalog'!$A$2:$A$200,0))),"")</f>
        <v/>
      </c>
      <c r="R42" s="5" t="n"/>
      <c r="S42" s="10">
        <f>IFERROR(IF(INDEX('Test catalog'!$L$2:$L$200,MATCH($AB42,'Test catalog'!$A$2:$A$200,0))="","",INDEX('Test catalog'!$L$2:$L$200,MATCH($AB42,'Test catalog'!$A$2:$A$200,0))),"")</f>
        <v/>
      </c>
      <c r="T42" s="10">
        <f>IFERROR(IF(INDEX('Test catalog'!$M$2:$M$200,MATCH($AB42,'Test catalog'!$A$2:$A$200,0))="","",INDEX('Test catalog'!$M$2:$M$200,MATCH($AB42,'Test catalog'!$A$2:$A$200,0))),"")</f>
        <v/>
      </c>
      <c r="U42" s="10">
        <f>IFERROR(IF(INDEX('Test catalog'!$N$2:$N$200,MATCH($AB42,'Test catalog'!$A$2:$A$200,0))="","",INDEX('Test catalog'!$N$2:$N$200,MATCH($AB42,'Test catalog'!$A$2:$A$200,0))),"")</f>
        <v/>
      </c>
      <c r="V42" s="15" t="n"/>
      <c r="W42" s="5" t="inlineStr">
        <is>
          <t>N</t>
        </is>
      </c>
      <c r="X42" s="5" t="n"/>
      <c r="Y42" s="5" t="n"/>
      <c r="Z42" s="5" t="n"/>
      <c r="AA42" s="10">
        <f>IFERROR(IF(INDEX('Test catalog'!$O$2:$O$200,MATCH($AB42,'Test catalog'!$A$2:$A$200,0))="","",INDEX('Test catalog'!$O$2:$O$200,MATCH($AB42,'Test catalog'!$A$2:$A$200,0))),"")</f>
        <v/>
      </c>
      <c r="AB42" s="10" t="inlineStr">
        <is>
          <t>AVG_WT</t>
        </is>
      </c>
    </row>
    <row r="43">
      <c r="A43" s="10" t="inlineStr">
        <is>
          <t>F06</t>
        </is>
      </c>
      <c r="B43" s="10" t="inlineStr">
        <is>
          <t>FP</t>
        </is>
      </c>
      <c r="C43" s="10" t="inlineStr">
        <is>
          <t>Cardyd-H 40/12.5; Cardyd-H 80/12.5; Cardyd-H 80/25  |  Telmisartan, Hydrochlorothiazide</t>
        </is>
      </c>
      <c r="D43" s="10" t="inlineStr">
        <is>
          <t>Diameter (or length / width)</t>
        </is>
      </c>
      <c r="E43" s="10">
        <f>IF(A43="","",A43&amp;"|"&amp;D43)</f>
        <v/>
      </c>
      <c r="F43" s="5" t="inlineStr">
        <is>
          <t>Y</t>
        </is>
      </c>
      <c r="G43" s="5" t="inlineStr">
        <is>
          <t>Tablet tester</t>
        </is>
      </c>
      <c r="H43" s="5" t="inlineStr">
        <is>
          <t>Low</t>
        </is>
      </c>
      <c r="I43" s="5" t="n">
        <v>1</v>
      </c>
      <c r="J43" s="5" t="n"/>
      <c r="K43" s="10">
        <f>IFERROR(IF(INDEX('Test catalog'!$F$2:$F$200,MATCH($AB43,'Test catalog'!$A$2:$A$200,0))="","",INDEX('Test catalog'!$F$2:$F$200,MATCH($AB43,'Test catalog'!$A$2:$A$200,0))),"")</f>
        <v/>
      </c>
      <c r="L43" s="10">
        <f>IFERROR(IF(INDEX('Test catalog'!$G$2:$G$200,MATCH($AB43,'Test catalog'!$A$2:$A$200,0))="","",INDEX('Test catalog'!$G$2:$G$200,MATCH($AB43,'Test catalog'!$A$2:$A$200,0))),"")</f>
        <v/>
      </c>
      <c r="M43" s="10">
        <f>IFERROR(IF(INDEX('Test catalog'!$H$2:$H$200,MATCH($AB43,'Test catalog'!$A$2:$A$200,0))="","",INDEX('Test catalog'!$H$2:$H$200,MATCH($AB43,'Test catalog'!$A$2:$A$200,0))),"")</f>
        <v/>
      </c>
      <c r="N43" s="10">
        <f>IFERROR(IF(INDEX('Test catalog'!$I$2:$I$200,MATCH($AB43,'Test catalog'!$A$2:$A$200,0))="","",INDEX('Test catalog'!$I$2:$I$200,MATCH($AB43,'Test catalog'!$A$2:$A$200,0))),"")</f>
        <v/>
      </c>
      <c r="O43" s="10">
        <f>IFERROR(IF(INDEX('Test catalog'!$J$2:$J$200,MATCH($AB43,'Test catalog'!$A$2:$A$200,0))="","",INDEX('Test catalog'!$J$2:$J$200,MATCH($AB43,'Test catalog'!$A$2:$A$200,0))),"")</f>
        <v/>
      </c>
      <c r="P43" s="14">
        <f>IF(N43="","",IF(OR(M43="",O43=""),N43,(M43+4*N43+O43)/6))</f>
        <v/>
      </c>
      <c r="Q43" s="10">
        <f>IFERROR(IF(INDEX('Test catalog'!$K$2:$K$200,MATCH($AB43,'Test catalog'!$A$2:$A$200,0))="","",INDEX('Test catalog'!$K$2:$K$200,MATCH($AB43,'Test catalog'!$A$2:$A$200,0))),"")</f>
        <v/>
      </c>
      <c r="R43" s="5" t="n"/>
      <c r="S43" s="10">
        <f>IFERROR(IF(INDEX('Test catalog'!$L$2:$L$200,MATCH($AB43,'Test catalog'!$A$2:$A$200,0))="","",INDEX('Test catalog'!$L$2:$L$200,MATCH($AB43,'Test catalog'!$A$2:$A$200,0))),"")</f>
        <v/>
      </c>
      <c r="T43" s="10">
        <f>IFERROR(IF(INDEX('Test catalog'!$M$2:$M$200,MATCH($AB43,'Test catalog'!$A$2:$A$200,0))="","",INDEX('Test catalog'!$M$2:$M$200,MATCH($AB43,'Test catalog'!$A$2:$A$200,0))),"")</f>
        <v/>
      </c>
      <c r="U43" s="10">
        <f>IFERROR(IF(INDEX('Test catalog'!$N$2:$N$200,MATCH($AB43,'Test catalog'!$A$2:$A$200,0))="","",INDEX('Test catalog'!$N$2:$N$200,MATCH($AB43,'Test catalog'!$A$2:$A$200,0))),"")</f>
        <v/>
      </c>
      <c r="V43" s="15" t="n"/>
      <c r="W43" s="5" t="inlineStr">
        <is>
          <t>N</t>
        </is>
      </c>
      <c r="X43" s="5" t="n"/>
      <c r="Y43" s="5" t="n"/>
      <c r="Z43" s="5" t="n"/>
      <c r="AA43" s="10">
        <f>IFERROR(IF(INDEX('Test catalog'!$O$2:$O$200,MATCH($AB43,'Test catalog'!$A$2:$A$200,0))="","",INDEX('Test catalog'!$O$2:$O$200,MATCH($AB43,'Test catalog'!$A$2:$A$200,0))),"")</f>
        <v/>
      </c>
      <c r="AB43" s="10" t="inlineStr">
        <is>
          <t>DIAM</t>
        </is>
      </c>
    </row>
    <row r="44">
      <c r="A44" s="10" t="inlineStr">
        <is>
          <t>F06</t>
        </is>
      </c>
      <c r="B44" s="10" t="inlineStr">
        <is>
          <t>FP</t>
        </is>
      </c>
      <c r="C44" s="10" t="inlineStr">
        <is>
          <t>Cardyd-H 40/12.5; Cardyd-H 80/12.5; Cardyd-H 80/25  |  Telmisartan, Hydrochlorothiazide</t>
        </is>
      </c>
      <c r="D44" s="10" t="inlineStr">
        <is>
          <t>Thickness</t>
        </is>
      </c>
      <c r="E44" s="10">
        <f>IF(A44="","",A44&amp;"|"&amp;D44)</f>
        <v/>
      </c>
      <c r="F44" s="5" t="inlineStr">
        <is>
          <t>Y</t>
        </is>
      </c>
      <c r="G44" s="5" t="inlineStr">
        <is>
          <t>Tablet tester</t>
        </is>
      </c>
      <c r="H44" s="5" t="inlineStr">
        <is>
          <t>Low</t>
        </is>
      </c>
      <c r="I44" s="5" t="n">
        <v>1</v>
      </c>
      <c r="J44" s="5" t="n"/>
      <c r="K44" s="10">
        <f>IFERROR(IF(INDEX('Test catalog'!$F$2:$F$200,MATCH($AB44,'Test catalog'!$A$2:$A$200,0))="","",INDEX('Test catalog'!$F$2:$F$200,MATCH($AB44,'Test catalog'!$A$2:$A$200,0))),"")</f>
        <v/>
      </c>
      <c r="L44" s="10">
        <f>IFERROR(IF(INDEX('Test catalog'!$G$2:$G$200,MATCH($AB44,'Test catalog'!$A$2:$A$200,0))="","",INDEX('Test catalog'!$G$2:$G$200,MATCH($AB44,'Test catalog'!$A$2:$A$200,0))),"")</f>
        <v/>
      </c>
      <c r="M44" s="10">
        <f>IFERROR(IF(INDEX('Test catalog'!$H$2:$H$200,MATCH($AB44,'Test catalog'!$A$2:$A$200,0))="","",INDEX('Test catalog'!$H$2:$H$200,MATCH($AB44,'Test catalog'!$A$2:$A$200,0))),"")</f>
        <v/>
      </c>
      <c r="N44" s="10">
        <f>IFERROR(IF(INDEX('Test catalog'!$I$2:$I$200,MATCH($AB44,'Test catalog'!$A$2:$A$200,0))="","",INDEX('Test catalog'!$I$2:$I$200,MATCH($AB44,'Test catalog'!$A$2:$A$200,0))),"")</f>
        <v/>
      </c>
      <c r="O44" s="10">
        <f>IFERROR(IF(INDEX('Test catalog'!$J$2:$J$200,MATCH($AB44,'Test catalog'!$A$2:$A$200,0))="","",INDEX('Test catalog'!$J$2:$J$200,MATCH($AB44,'Test catalog'!$A$2:$A$200,0))),"")</f>
        <v/>
      </c>
      <c r="P44" s="14">
        <f>IF(N44="","",IF(OR(M44="",O44=""),N44,(M44+4*N44+O44)/6))</f>
        <v/>
      </c>
      <c r="Q44" s="10">
        <f>IFERROR(IF(INDEX('Test catalog'!$K$2:$K$200,MATCH($AB44,'Test catalog'!$A$2:$A$200,0))="","",INDEX('Test catalog'!$K$2:$K$200,MATCH($AB44,'Test catalog'!$A$2:$A$200,0))),"")</f>
        <v/>
      </c>
      <c r="R44" s="5" t="n"/>
      <c r="S44" s="10">
        <f>IFERROR(IF(INDEX('Test catalog'!$L$2:$L$200,MATCH($AB44,'Test catalog'!$A$2:$A$200,0))="","",INDEX('Test catalog'!$L$2:$L$200,MATCH($AB44,'Test catalog'!$A$2:$A$200,0))),"")</f>
        <v/>
      </c>
      <c r="T44" s="10">
        <f>IFERROR(IF(INDEX('Test catalog'!$M$2:$M$200,MATCH($AB44,'Test catalog'!$A$2:$A$200,0))="","",INDEX('Test catalog'!$M$2:$M$200,MATCH($AB44,'Test catalog'!$A$2:$A$200,0))),"")</f>
        <v/>
      </c>
      <c r="U44" s="10">
        <f>IFERROR(IF(INDEX('Test catalog'!$N$2:$N$200,MATCH($AB44,'Test catalog'!$A$2:$A$200,0))="","",INDEX('Test catalog'!$N$2:$N$200,MATCH($AB44,'Test catalog'!$A$2:$A$200,0))),"")</f>
        <v/>
      </c>
      <c r="V44" s="15" t="n"/>
      <c r="W44" s="5" t="inlineStr">
        <is>
          <t>N</t>
        </is>
      </c>
      <c r="X44" s="5" t="n"/>
      <c r="Y44" s="5" t="n"/>
      <c r="Z44" s="5" t="n"/>
      <c r="AA44" s="10">
        <f>IFERROR(IF(INDEX('Test catalog'!$O$2:$O$200,MATCH($AB44,'Test catalog'!$A$2:$A$200,0))="","",INDEX('Test catalog'!$O$2:$O$200,MATCH($AB44,'Test catalog'!$A$2:$A$200,0))),"")</f>
        <v/>
      </c>
      <c r="AB44" s="10" t="inlineStr">
        <is>
          <t>THICK</t>
        </is>
      </c>
    </row>
    <row r="45">
      <c r="A45" s="10" t="inlineStr">
        <is>
          <t>F06</t>
        </is>
      </c>
      <c r="B45" s="10" t="inlineStr">
        <is>
          <t>FP</t>
        </is>
      </c>
      <c r="C45" s="10" t="inlineStr">
        <is>
          <t>Cardyd-H 40/12.5; Cardyd-H 80/12.5; Cardyd-H 80/25  |  Telmisartan, Hydrochlorothiazide</t>
        </is>
      </c>
      <c r="D45" s="10" t="inlineStr">
        <is>
          <t>Hardness / breaking force</t>
        </is>
      </c>
      <c r="E45" s="10">
        <f>IF(A45="","",A45&amp;"|"&amp;D45)</f>
        <v/>
      </c>
      <c r="F45" s="5" t="inlineStr">
        <is>
          <t>Y</t>
        </is>
      </c>
      <c r="G45" s="5" t="inlineStr">
        <is>
          <t>Tablet tester</t>
        </is>
      </c>
      <c r="H45" s="5" t="inlineStr">
        <is>
          <t>Low</t>
        </is>
      </c>
      <c r="I45" s="5" t="n">
        <v>1</v>
      </c>
      <c r="J45" s="5" t="n"/>
      <c r="K45" s="10">
        <f>IFERROR(IF(INDEX('Test catalog'!$F$2:$F$200,MATCH($AB45,'Test catalog'!$A$2:$A$200,0))="","",INDEX('Test catalog'!$F$2:$F$200,MATCH($AB45,'Test catalog'!$A$2:$A$200,0))),"")</f>
        <v/>
      </c>
      <c r="L45" s="10">
        <f>IFERROR(IF(INDEX('Test catalog'!$G$2:$G$200,MATCH($AB45,'Test catalog'!$A$2:$A$200,0))="","",INDEX('Test catalog'!$G$2:$G$200,MATCH($AB45,'Test catalog'!$A$2:$A$200,0))),"")</f>
        <v/>
      </c>
      <c r="M45" s="10">
        <f>IFERROR(IF(INDEX('Test catalog'!$H$2:$H$200,MATCH($AB45,'Test catalog'!$A$2:$A$200,0))="","",INDEX('Test catalog'!$H$2:$H$200,MATCH($AB45,'Test catalog'!$A$2:$A$200,0))),"")</f>
        <v/>
      </c>
      <c r="N45" s="10">
        <f>IFERROR(IF(INDEX('Test catalog'!$I$2:$I$200,MATCH($AB45,'Test catalog'!$A$2:$A$200,0))="","",INDEX('Test catalog'!$I$2:$I$200,MATCH($AB45,'Test catalog'!$A$2:$A$200,0))),"")</f>
        <v/>
      </c>
      <c r="O45" s="10">
        <f>IFERROR(IF(INDEX('Test catalog'!$J$2:$J$200,MATCH($AB45,'Test catalog'!$A$2:$A$200,0))="","",INDEX('Test catalog'!$J$2:$J$200,MATCH($AB45,'Test catalog'!$A$2:$A$200,0))),"")</f>
        <v/>
      </c>
      <c r="P45" s="14">
        <f>IF(N45="","",IF(OR(M45="",O45=""),N45,(M45+4*N45+O45)/6))</f>
        <v/>
      </c>
      <c r="Q45" s="10">
        <f>IFERROR(IF(INDEX('Test catalog'!$K$2:$K$200,MATCH($AB45,'Test catalog'!$A$2:$A$200,0))="","",INDEX('Test catalog'!$K$2:$K$200,MATCH($AB45,'Test catalog'!$A$2:$A$200,0))),"")</f>
        <v/>
      </c>
      <c r="R45" s="5" t="n"/>
      <c r="S45" s="10">
        <f>IFERROR(IF(INDEX('Test catalog'!$L$2:$L$200,MATCH($AB45,'Test catalog'!$A$2:$A$200,0))="","",INDEX('Test catalog'!$L$2:$L$200,MATCH($AB45,'Test catalog'!$A$2:$A$200,0))),"")</f>
        <v/>
      </c>
      <c r="T45" s="10">
        <f>IFERROR(IF(INDEX('Test catalog'!$M$2:$M$200,MATCH($AB45,'Test catalog'!$A$2:$A$200,0))="","",INDEX('Test catalog'!$M$2:$M$200,MATCH($AB45,'Test catalog'!$A$2:$A$200,0))),"")</f>
        <v/>
      </c>
      <c r="U45" s="10">
        <f>IFERROR(IF(INDEX('Test catalog'!$N$2:$N$200,MATCH($AB45,'Test catalog'!$A$2:$A$200,0))="","",INDEX('Test catalog'!$N$2:$N$200,MATCH($AB45,'Test catalog'!$A$2:$A$200,0))),"")</f>
        <v/>
      </c>
      <c r="V45" s="15" t="n"/>
      <c r="W45" s="5" t="inlineStr">
        <is>
          <t>Y</t>
        </is>
      </c>
      <c r="X45" s="5" t="n"/>
      <c r="Y45" s="5" t="n"/>
      <c r="Z45" s="5" t="n"/>
      <c r="AA45" s="10">
        <f>IFERROR(IF(INDEX('Test catalog'!$O$2:$O$200,MATCH($AB45,'Test catalog'!$A$2:$A$200,0))="","",INDEX('Test catalog'!$O$2:$O$200,MATCH($AB45,'Test catalog'!$A$2:$A$200,0))),"")</f>
        <v/>
      </c>
      <c r="AB45" s="10" t="inlineStr">
        <is>
          <t>HARD</t>
        </is>
      </c>
    </row>
    <row r="46">
      <c r="A46" s="10" t="inlineStr">
        <is>
          <t>F06</t>
        </is>
      </c>
      <c r="B46" s="10" t="inlineStr">
        <is>
          <t>FP</t>
        </is>
      </c>
      <c r="C46" s="10" t="inlineStr">
        <is>
          <t>Cardyd-H 40/12.5; Cardyd-H 80/12.5; Cardyd-H 80/25  |  Telmisartan, Hydrochlorothiazide</t>
        </is>
      </c>
      <c r="D46" s="10" t="inlineStr">
        <is>
          <t>Brittleness</t>
        </is>
      </c>
      <c r="E46" s="10">
        <f>IF(A46="","",A46&amp;"|"&amp;D46)</f>
        <v/>
      </c>
      <c r="F46" s="5" t="inlineStr">
        <is>
          <t>Y</t>
        </is>
      </c>
      <c r="G46" s="5" t="inlineStr">
        <is>
          <t>Other / bench</t>
        </is>
      </c>
      <c r="H46" s="5" t="inlineStr">
        <is>
          <t>Low</t>
        </is>
      </c>
      <c r="I46" s="5" t="n">
        <v>1</v>
      </c>
      <c r="J46" s="5" t="n"/>
      <c r="K46" s="10">
        <f>IFERROR(IF(INDEX('Test catalog'!$F$2:$F$200,MATCH($AB46,'Test catalog'!$A$2:$A$200,0))="","",INDEX('Test catalog'!$F$2:$F$200,MATCH($AB46,'Test catalog'!$A$2:$A$200,0))),"")</f>
        <v/>
      </c>
      <c r="L46" s="10">
        <f>IFERROR(IF(INDEX('Test catalog'!$G$2:$G$200,MATCH($AB46,'Test catalog'!$A$2:$A$200,0))="","",INDEX('Test catalog'!$G$2:$G$200,MATCH($AB46,'Test catalog'!$A$2:$A$200,0))),"")</f>
        <v/>
      </c>
      <c r="M46" s="10">
        <f>IFERROR(IF(INDEX('Test catalog'!$H$2:$H$200,MATCH($AB46,'Test catalog'!$A$2:$A$200,0))="","",INDEX('Test catalog'!$H$2:$H$200,MATCH($AB46,'Test catalog'!$A$2:$A$200,0))),"")</f>
        <v/>
      </c>
      <c r="N46" s="10">
        <f>IFERROR(IF(INDEX('Test catalog'!$I$2:$I$200,MATCH($AB46,'Test catalog'!$A$2:$A$200,0))="","",INDEX('Test catalog'!$I$2:$I$200,MATCH($AB46,'Test catalog'!$A$2:$A$200,0))),"")</f>
        <v/>
      </c>
      <c r="O46" s="10">
        <f>IFERROR(IF(INDEX('Test catalog'!$J$2:$J$200,MATCH($AB46,'Test catalog'!$A$2:$A$200,0))="","",INDEX('Test catalog'!$J$2:$J$200,MATCH($AB46,'Test catalog'!$A$2:$A$200,0))),"")</f>
        <v/>
      </c>
      <c r="P46" s="14">
        <f>IF(N46="","",IF(OR(M46="",O46=""),N46,(M46+4*N46+O46)/6))</f>
        <v/>
      </c>
      <c r="Q46" s="10">
        <f>IFERROR(IF(INDEX('Test catalog'!$K$2:$K$200,MATCH($AB46,'Test catalog'!$A$2:$A$200,0))="","",INDEX('Test catalog'!$K$2:$K$200,MATCH($AB46,'Test catalog'!$A$2:$A$200,0))),"")</f>
        <v/>
      </c>
      <c r="R46" s="5" t="n"/>
      <c r="S46" s="10">
        <f>IFERROR(IF(INDEX('Test catalog'!$L$2:$L$200,MATCH($AB46,'Test catalog'!$A$2:$A$200,0))="","",INDEX('Test catalog'!$L$2:$L$200,MATCH($AB46,'Test catalog'!$A$2:$A$200,0))),"")</f>
        <v/>
      </c>
      <c r="T46" s="10">
        <f>IFERROR(IF(INDEX('Test catalog'!$M$2:$M$200,MATCH($AB46,'Test catalog'!$A$2:$A$200,0))="","",INDEX('Test catalog'!$M$2:$M$200,MATCH($AB46,'Test catalog'!$A$2:$A$200,0))),"")</f>
        <v/>
      </c>
      <c r="U46" s="10">
        <f>IFERROR(IF(INDEX('Test catalog'!$N$2:$N$200,MATCH($AB46,'Test catalog'!$A$2:$A$200,0))="","",INDEX('Test catalog'!$N$2:$N$200,MATCH($AB46,'Test catalog'!$A$2:$A$200,0))),"")</f>
        <v/>
      </c>
      <c r="V46" s="15" t="n"/>
      <c r="W46" s="5" t="inlineStr">
        <is>
          <t>N</t>
        </is>
      </c>
      <c r="X46" s="5" t="n"/>
      <c r="Y46" s="5" t="n"/>
      <c r="Z46" s="5" t="n"/>
      <c r="AA46" s="10">
        <f>IFERROR(IF(INDEX('Test catalog'!$O$2:$O$200,MATCH($AB46,'Test catalog'!$A$2:$A$200,0))="","",INDEX('Test catalog'!$O$2:$O$200,MATCH($AB46,'Test catalog'!$A$2:$A$200,0))),"")</f>
        <v/>
      </c>
      <c r="AB46" s="10" t="inlineStr">
        <is>
          <t>BRITTLE</t>
        </is>
      </c>
    </row>
    <row r="47">
      <c r="A47" s="10" t="inlineStr">
        <is>
          <t>F06</t>
        </is>
      </c>
      <c r="B47" s="10" t="inlineStr">
        <is>
          <t>FP</t>
        </is>
      </c>
      <c r="C47" s="10" t="inlineStr">
        <is>
          <t>Cardyd-H 40/12.5; Cardyd-H 80/12.5; Cardyd-H 80/25  |  Telmisartan, Hydrochlorothiazide</t>
        </is>
      </c>
      <c r="D47" s="10" t="inlineStr">
        <is>
          <t>Friability</t>
        </is>
      </c>
      <c r="E47" s="10">
        <f>IF(A47="","",A47&amp;"|"&amp;D47)</f>
        <v/>
      </c>
      <c r="F47" s="5" t="inlineStr">
        <is>
          <t>Y</t>
        </is>
      </c>
      <c r="G47" s="5" t="inlineStr">
        <is>
          <t>Friabilator</t>
        </is>
      </c>
      <c r="H47" s="5" t="inlineStr">
        <is>
          <t>Low</t>
        </is>
      </c>
      <c r="I47" s="5" t="n">
        <v>1</v>
      </c>
      <c r="J47" s="5" t="n"/>
      <c r="K47" s="10">
        <f>IFERROR(IF(INDEX('Test catalog'!$F$2:$F$200,MATCH($AB47,'Test catalog'!$A$2:$A$200,0))="","",INDEX('Test catalog'!$F$2:$F$200,MATCH($AB47,'Test catalog'!$A$2:$A$200,0))),"")</f>
        <v/>
      </c>
      <c r="L47" s="10">
        <f>IFERROR(IF(INDEX('Test catalog'!$G$2:$G$200,MATCH($AB47,'Test catalog'!$A$2:$A$200,0))="","",INDEX('Test catalog'!$G$2:$G$200,MATCH($AB47,'Test catalog'!$A$2:$A$200,0))),"")</f>
        <v/>
      </c>
      <c r="M47" s="10">
        <f>IFERROR(IF(INDEX('Test catalog'!$H$2:$H$200,MATCH($AB47,'Test catalog'!$A$2:$A$200,0))="","",INDEX('Test catalog'!$H$2:$H$200,MATCH($AB47,'Test catalog'!$A$2:$A$200,0))),"")</f>
        <v/>
      </c>
      <c r="N47" s="10">
        <f>IFERROR(IF(INDEX('Test catalog'!$I$2:$I$200,MATCH($AB47,'Test catalog'!$A$2:$A$200,0))="","",INDEX('Test catalog'!$I$2:$I$200,MATCH($AB47,'Test catalog'!$A$2:$A$200,0))),"")</f>
        <v/>
      </c>
      <c r="O47" s="10">
        <f>IFERROR(IF(INDEX('Test catalog'!$J$2:$J$200,MATCH($AB47,'Test catalog'!$A$2:$A$200,0))="","",INDEX('Test catalog'!$J$2:$J$200,MATCH($AB47,'Test catalog'!$A$2:$A$200,0))),"")</f>
        <v/>
      </c>
      <c r="P47" s="14">
        <f>IF(N47="","",IF(OR(M47="",O47=""),N47,(M47+4*N47+O47)/6))</f>
        <v/>
      </c>
      <c r="Q47" s="10">
        <f>IFERROR(IF(INDEX('Test catalog'!$K$2:$K$200,MATCH($AB47,'Test catalog'!$A$2:$A$200,0))="","",INDEX('Test catalog'!$K$2:$K$200,MATCH($AB47,'Test catalog'!$A$2:$A$200,0))),"")</f>
        <v/>
      </c>
      <c r="R47" s="5" t="n"/>
      <c r="S47" s="10">
        <f>IFERROR(IF(INDEX('Test catalog'!$L$2:$L$200,MATCH($AB47,'Test catalog'!$A$2:$A$200,0))="","",INDEX('Test catalog'!$L$2:$L$200,MATCH($AB47,'Test catalog'!$A$2:$A$200,0))),"")</f>
        <v/>
      </c>
      <c r="T47" s="10">
        <f>IFERROR(IF(INDEX('Test catalog'!$M$2:$M$200,MATCH($AB47,'Test catalog'!$A$2:$A$200,0))="","",INDEX('Test catalog'!$M$2:$M$200,MATCH($AB47,'Test catalog'!$A$2:$A$200,0))),"")</f>
        <v/>
      </c>
      <c r="U47" s="10">
        <f>IFERROR(IF(INDEX('Test catalog'!$N$2:$N$200,MATCH($AB47,'Test catalog'!$A$2:$A$200,0))="","",INDEX('Test catalog'!$N$2:$N$200,MATCH($AB47,'Test catalog'!$A$2:$A$200,0))),"")</f>
        <v/>
      </c>
      <c r="V47" s="15" t="n"/>
      <c r="W47" s="5" t="inlineStr">
        <is>
          <t>N</t>
        </is>
      </c>
      <c r="X47" s="5" t="n"/>
      <c r="Y47" s="5" t="n"/>
      <c r="Z47" s="5" t="n"/>
      <c r="AA47" s="10">
        <f>IFERROR(IF(INDEX('Test catalog'!$O$2:$O$200,MATCH($AB47,'Test catalog'!$A$2:$A$200,0))="","",INDEX('Test catalog'!$O$2:$O$200,MATCH($AB47,'Test catalog'!$A$2:$A$200,0))),"")</f>
        <v/>
      </c>
      <c r="AB47" s="10" t="inlineStr">
        <is>
          <t>FRIAB</t>
        </is>
      </c>
    </row>
    <row r="48">
      <c r="A48" s="10" t="inlineStr">
        <is>
          <t>F06</t>
        </is>
      </c>
      <c r="B48" s="10" t="inlineStr">
        <is>
          <t>FP</t>
        </is>
      </c>
      <c r="C48" s="10" t="inlineStr">
        <is>
          <t>Cardyd-H 40/12.5; Cardyd-H 80/12.5; Cardyd-H 80/25  |  Telmisartan, Hydrochlorothiazide</t>
        </is>
      </c>
      <c r="D48" s="10" t="inlineStr">
        <is>
          <t>Disintegration</t>
        </is>
      </c>
      <c r="E48" s="10">
        <f>IF(A48="","",A48&amp;"|"&amp;D48)</f>
        <v/>
      </c>
      <c r="F48" s="5" t="inlineStr">
        <is>
          <t>Y</t>
        </is>
      </c>
      <c r="G48" s="5" t="inlineStr">
        <is>
          <t>Disintegration tester</t>
        </is>
      </c>
      <c r="H48" s="5" t="inlineStr">
        <is>
          <t>Low</t>
        </is>
      </c>
      <c r="I48" s="5" t="n">
        <v>1</v>
      </c>
      <c r="J48" s="5" t="n"/>
      <c r="K48" s="10">
        <f>IFERROR(IF(INDEX('Test catalog'!$F$2:$F$200,MATCH($AB48,'Test catalog'!$A$2:$A$200,0))="","",INDEX('Test catalog'!$F$2:$F$200,MATCH($AB48,'Test catalog'!$A$2:$A$200,0))),"")</f>
        <v/>
      </c>
      <c r="L48" s="10">
        <f>IFERROR(IF(INDEX('Test catalog'!$G$2:$G$200,MATCH($AB48,'Test catalog'!$A$2:$A$200,0))="","",INDEX('Test catalog'!$G$2:$G$200,MATCH($AB48,'Test catalog'!$A$2:$A$200,0))),"")</f>
        <v/>
      </c>
      <c r="M48" s="10">
        <f>IFERROR(IF(INDEX('Test catalog'!$H$2:$H$200,MATCH($AB48,'Test catalog'!$A$2:$A$200,0))="","",INDEX('Test catalog'!$H$2:$H$200,MATCH($AB48,'Test catalog'!$A$2:$A$200,0))),"")</f>
        <v/>
      </c>
      <c r="N48" s="10">
        <f>IFERROR(IF(INDEX('Test catalog'!$I$2:$I$200,MATCH($AB48,'Test catalog'!$A$2:$A$200,0))="","",INDEX('Test catalog'!$I$2:$I$200,MATCH($AB48,'Test catalog'!$A$2:$A$200,0))),"")</f>
        <v/>
      </c>
      <c r="O48" s="10">
        <f>IFERROR(IF(INDEX('Test catalog'!$J$2:$J$200,MATCH($AB48,'Test catalog'!$A$2:$A$200,0))="","",INDEX('Test catalog'!$J$2:$J$200,MATCH($AB48,'Test catalog'!$A$2:$A$200,0))),"")</f>
        <v/>
      </c>
      <c r="P48" s="14">
        <f>IF(N48="","",IF(OR(M48="",O48=""),N48,(M48+4*N48+O48)/6))</f>
        <v/>
      </c>
      <c r="Q48" s="10">
        <f>IFERROR(IF(INDEX('Test catalog'!$K$2:$K$200,MATCH($AB48,'Test catalog'!$A$2:$A$200,0))="","",INDEX('Test catalog'!$K$2:$K$200,MATCH($AB48,'Test catalog'!$A$2:$A$200,0))),"")</f>
        <v/>
      </c>
      <c r="R48" s="5" t="n"/>
      <c r="S48" s="10">
        <f>IFERROR(IF(INDEX('Test catalog'!$L$2:$L$200,MATCH($AB48,'Test catalog'!$A$2:$A$200,0))="","",INDEX('Test catalog'!$L$2:$L$200,MATCH($AB48,'Test catalog'!$A$2:$A$200,0))),"")</f>
        <v/>
      </c>
      <c r="T48" s="10">
        <f>IFERROR(IF(INDEX('Test catalog'!$M$2:$M$200,MATCH($AB48,'Test catalog'!$A$2:$A$200,0))="","",INDEX('Test catalog'!$M$2:$M$200,MATCH($AB48,'Test catalog'!$A$2:$A$200,0))),"")</f>
        <v/>
      </c>
      <c r="U48" s="10">
        <f>IFERROR(IF(INDEX('Test catalog'!$N$2:$N$200,MATCH($AB48,'Test catalog'!$A$2:$A$200,0))="","",INDEX('Test catalog'!$N$2:$N$200,MATCH($AB48,'Test catalog'!$A$2:$A$200,0))),"")</f>
        <v/>
      </c>
      <c r="V48" s="15" t="n"/>
      <c r="W48" s="5" t="inlineStr">
        <is>
          <t>Y</t>
        </is>
      </c>
      <c r="X48" s="5" t="n"/>
      <c r="Y48" s="5" t="n"/>
      <c r="Z48" s="5" t="n"/>
      <c r="AA48" s="10">
        <f>IFERROR(IF(INDEX('Test catalog'!$O$2:$O$200,MATCH($AB48,'Test catalog'!$A$2:$A$200,0))="","",INDEX('Test catalog'!$O$2:$O$200,MATCH($AB48,'Test catalog'!$A$2:$A$200,0))),"")</f>
        <v/>
      </c>
      <c r="AB48" s="10" t="inlineStr">
        <is>
          <t>DISINT</t>
        </is>
      </c>
    </row>
    <row r="49">
      <c r="A49" s="10" t="inlineStr">
        <is>
          <t>F06</t>
        </is>
      </c>
      <c r="B49" s="10" t="inlineStr">
        <is>
          <t>FP</t>
        </is>
      </c>
      <c r="C49" s="10" t="inlineStr">
        <is>
          <t>Cardyd-H 40/12.5; Cardyd-H 80/12.5; Cardyd-H 80/25  |  Telmisartan, Hydrochlorothiazide</t>
        </is>
      </c>
      <c r="D49" s="10" t="inlineStr">
        <is>
          <t>In-process check at the machine (one check, all its tests)</t>
        </is>
      </c>
      <c r="E49" s="10">
        <f>IF(A49="","",A49&amp;"|"&amp;D49)</f>
        <v/>
      </c>
      <c r="F49" s="5" t="inlineStr">
        <is>
          <t>Y</t>
        </is>
      </c>
      <c r="G49" s="5" t="inlineStr">
        <is>
          <t>Tablet tester</t>
        </is>
      </c>
      <c r="H49" s="5" t="inlineStr">
        <is>
          <t>Low</t>
        </is>
      </c>
      <c r="I49" s="5" t="n">
        <v>1</v>
      </c>
      <c r="J49" s="5" t="n"/>
      <c r="K49" s="10">
        <f>IFERROR(IF(INDEX('Test catalog'!$F$2:$F$200,MATCH($AB49,'Test catalog'!$A$2:$A$200,0))="","",INDEX('Test catalog'!$F$2:$F$200,MATCH($AB49,'Test catalog'!$A$2:$A$200,0))),"")</f>
        <v/>
      </c>
      <c r="L49" s="10">
        <f>IFERROR(IF(INDEX('Test catalog'!$G$2:$G$200,MATCH($AB49,'Test catalog'!$A$2:$A$200,0))="","",INDEX('Test catalog'!$G$2:$G$200,MATCH($AB49,'Test catalog'!$A$2:$A$200,0))),"")</f>
        <v/>
      </c>
      <c r="M49" s="10">
        <f>IFERROR(IF(INDEX('Test catalog'!$H$2:$H$200,MATCH($AB49,'Test catalog'!$A$2:$A$200,0))="","",INDEX('Test catalog'!$H$2:$H$200,MATCH($AB49,'Test catalog'!$A$2:$A$200,0))),"")</f>
        <v/>
      </c>
      <c r="N49" s="10">
        <f>IFERROR(IF(INDEX('Test catalog'!$I$2:$I$200,MATCH($AB49,'Test catalog'!$A$2:$A$200,0))="","",INDEX('Test catalog'!$I$2:$I$200,MATCH($AB49,'Test catalog'!$A$2:$A$200,0))),"")</f>
        <v/>
      </c>
      <c r="O49" s="10">
        <f>IFERROR(IF(INDEX('Test catalog'!$J$2:$J$200,MATCH($AB49,'Test catalog'!$A$2:$A$200,0))="","",INDEX('Test catalog'!$J$2:$J$200,MATCH($AB49,'Test catalog'!$A$2:$A$200,0))),"")</f>
        <v/>
      </c>
      <c r="P49" s="14">
        <f>IF(N49="","",IF(OR(M49="",O49=""),N49,(M49+4*N49+O49)/6))</f>
        <v/>
      </c>
      <c r="Q49" s="10">
        <f>IFERROR(IF(INDEX('Test catalog'!$K$2:$K$200,MATCH($AB49,'Test catalog'!$A$2:$A$200,0))="","",INDEX('Test catalog'!$K$2:$K$200,MATCH($AB49,'Test catalog'!$A$2:$A$200,0))),"")</f>
        <v/>
      </c>
      <c r="R49" s="5" t="n"/>
      <c r="S49" s="10">
        <f>IFERROR(IF(INDEX('Test catalog'!$L$2:$L$200,MATCH($AB49,'Test catalog'!$A$2:$A$200,0))="","",INDEX('Test catalog'!$L$2:$L$200,MATCH($AB49,'Test catalog'!$A$2:$A$200,0))),"")</f>
        <v/>
      </c>
      <c r="T49" s="10">
        <f>IFERROR(IF(INDEX('Test catalog'!$M$2:$M$200,MATCH($AB49,'Test catalog'!$A$2:$A$200,0))="","",INDEX('Test catalog'!$M$2:$M$200,MATCH($AB49,'Test catalog'!$A$2:$A$200,0))),"")</f>
        <v/>
      </c>
      <c r="U49" s="10">
        <f>IFERROR(IF(INDEX('Test catalog'!$N$2:$N$200,MATCH($AB49,'Test catalog'!$A$2:$A$200,0))="","",INDEX('Test catalog'!$N$2:$N$200,MATCH($AB49,'Test catalog'!$A$2:$A$200,0))),"")</f>
        <v/>
      </c>
      <c r="V49" s="15" t="n"/>
      <c r="W49" s="5" t="inlineStr">
        <is>
          <t>N</t>
        </is>
      </c>
      <c r="X49" s="5" t="n"/>
      <c r="Y49" s="5" t="n"/>
      <c r="Z49" s="5" t="n"/>
      <c r="AA49" s="10">
        <f>IFERROR(IF(INDEX('Test catalog'!$O$2:$O$200,MATCH($AB49,'Test catalog'!$A$2:$A$200,0))="","",INDEX('Test catalog'!$O$2:$O$200,MATCH($AB49,'Test catalog'!$A$2:$A$200,0))),"")</f>
        <v/>
      </c>
      <c r="AB49" s="10" t="inlineStr">
        <is>
          <t>IPC</t>
        </is>
      </c>
    </row>
    <row r="50">
      <c r="A50" s="10" t="inlineStr">
        <is>
          <t>F07</t>
        </is>
      </c>
      <c r="B50" s="10" t="inlineStr">
        <is>
          <t>FP</t>
        </is>
      </c>
      <c r="C50" s="10" t="inlineStr">
        <is>
          <t>Dexlansoprazole 60; Dexlansoprazole 30  |  Dexlansoprazole Pellets 20%</t>
        </is>
      </c>
      <c r="D50" s="10" t="inlineStr">
        <is>
          <t>Average weight / uniformity of mass</t>
        </is>
      </c>
      <c r="E50" s="10">
        <f>IF(A50="","",A50&amp;"|"&amp;D50)</f>
        <v/>
      </c>
      <c r="F50" s="5" t="inlineStr">
        <is>
          <t>Y</t>
        </is>
      </c>
      <c r="G50" s="5" t="inlineStr">
        <is>
          <t>Balance</t>
        </is>
      </c>
      <c r="H50" s="5" t="inlineStr">
        <is>
          <t>Low</t>
        </is>
      </c>
      <c r="I50" s="5" t="n">
        <v>1</v>
      </c>
      <c r="J50" s="5" t="n"/>
      <c r="K50" s="10">
        <f>IFERROR(IF(INDEX('Test catalog'!$F$2:$F$200,MATCH($AB50,'Test catalog'!$A$2:$A$200,0))="","",INDEX('Test catalog'!$F$2:$F$200,MATCH($AB50,'Test catalog'!$A$2:$A$200,0))),"")</f>
        <v/>
      </c>
      <c r="L50" s="10">
        <f>IFERROR(IF(INDEX('Test catalog'!$G$2:$G$200,MATCH($AB50,'Test catalog'!$A$2:$A$200,0))="","",INDEX('Test catalog'!$G$2:$G$200,MATCH($AB50,'Test catalog'!$A$2:$A$200,0))),"")</f>
        <v/>
      </c>
      <c r="M50" s="10">
        <f>IFERROR(IF(INDEX('Test catalog'!$H$2:$H$200,MATCH($AB50,'Test catalog'!$A$2:$A$200,0))="","",INDEX('Test catalog'!$H$2:$H$200,MATCH($AB50,'Test catalog'!$A$2:$A$200,0))),"")</f>
        <v/>
      </c>
      <c r="N50" s="10">
        <f>IFERROR(IF(INDEX('Test catalog'!$I$2:$I$200,MATCH($AB50,'Test catalog'!$A$2:$A$200,0))="","",INDEX('Test catalog'!$I$2:$I$200,MATCH($AB50,'Test catalog'!$A$2:$A$200,0))),"")</f>
        <v/>
      </c>
      <c r="O50" s="10">
        <f>IFERROR(IF(INDEX('Test catalog'!$J$2:$J$200,MATCH($AB50,'Test catalog'!$A$2:$A$200,0))="","",INDEX('Test catalog'!$J$2:$J$200,MATCH($AB50,'Test catalog'!$A$2:$A$200,0))),"")</f>
        <v/>
      </c>
      <c r="P50" s="14">
        <f>IF(N50="","",IF(OR(M50="",O50=""),N50,(M50+4*N50+O50)/6))</f>
        <v/>
      </c>
      <c r="Q50" s="10">
        <f>IFERROR(IF(INDEX('Test catalog'!$K$2:$K$200,MATCH($AB50,'Test catalog'!$A$2:$A$200,0))="","",INDEX('Test catalog'!$K$2:$K$200,MATCH($AB50,'Test catalog'!$A$2:$A$200,0))),"")</f>
        <v/>
      </c>
      <c r="R50" s="5" t="n"/>
      <c r="S50" s="10">
        <f>IFERROR(IF(INDEX('Test catalog'!$L$2:$L$200,MATCH($AB50,'Test catalog'!$A$2:$A$200,0))="","",INDEX('Test catalog'!$L$2:$L$200,MATCH($AB50,'Test catalog'!$A$2:$A$200,0))),"")</f>
        <v/>
      </c>
      <c r="T50" s="10">
        <f>IFERROR(IF(INDEX('Test catalog'!$M$2:$M$200,MATCH($AB50,'Test catalog'!$A$2:$A$200,0))="","",INDEX('Test catalog'!$M$2:$M$200,MATCH($AB50,'Test catalog'!$A$2:$A$200,0))),"")</f>
        <v/>
      </c>
      <c r="U50" s="10">
        <f>IFERROR(IF(INDEX('Test catalog'!$N$2:$N$200,MATCH($AB50,'Test catalog'!$A$2:$A$200,0))="","",INDEX('Test catalog'!$N$2:$N$200,MATCH($AB50,'Test catalog'!$A$2:$A$200,0))),"")</f>
        <v/>
      </c>
      <c r="V50" s="15" t="n"/>
      <c r="W50" s="5" t="inlineStr">
        <is>
          <t>N</t>
        </is>
      </c>
      <c r="X50" s="5" t="n"/>
      <c r="Y50" s="5" t="n"/>
      <c r="Z50" s="5" t="n"/>
      <c r="AA50" s="10">
        <f>IFERROR(IF(INDEX('Test catalog'!$O$2:$O$200,MATCH($AB50,'Test catalog'!$A$2:$A$200,0))="","",INDEX('Test catalog'!$O$2:$O$200,MATCH($AB50,'Test catalog'!$A$2:$A$200,0))),"")</f>
        <v/>
      </c>
      <c r="AB50" s="10" t="inlineStr">
        <is>
          <t>AVG_WT</t>
        </is>
      </c>
    </row>
    <row r="51">
      <c r="A51" s="10" t="inlineStr">
        <is>
          <t>F07</t>
        </is>
      </c>
      <c r="B51" s="10" t="inlineStr">
        <is>
          <t>FP</t>
        </is>
      </c>
      <c r="C51" s="10" t="inlineStr">
        <is>
          <t>Dexlansoprazole 60; Dexlansoprazole 30  |  Dexlansoprazole Pellets 20%</t>
        </is>
      </c>
      <c r="D51" s="10" t="inlineStr">
        <is>
          <t>Disintegration</t>
        </is>
      </c>
      <c r="E51" s="10">
        <f>IF(A51="","",A51&amp;"|"&amp;D51)</f>
        <v/>
      </c>
      <c r="F51" s="5" t="inlineStr">
        <is>
          <t>Y</t>
        </is>
      </c>
      <c r="G51" s="5" t="inlineStr">
        <is>
          <t>Disintegration tester</t>
        </is>
      </c>
      <c r="H51" s="5" t="inlineStr">
        <is>
          <t>Low</t>
        </is>
      </c>
      <c r="I51" s="5" t="n">
        <v>1</v>
      </c>
      <c r="J51" s="5" t="n"/>
      <c r="K51" s="10">
        <f>IFERROR(IF(INDEX('Test catalog'!$F$2:$F$200,MATCH($AB51,'Test catalog'!$A$2:$A$200,0))="","",INDEX('Test catalog'!$F$2:$F$200,MATCH($AB51,'Test catalog'!$A$2:$A$200,0))),"")</f>
        <v/>
      </c>
      <c r="L51" s="10">
        <f>IFERROR(IF(INDEX('Test catalog'!$G$2:$G$200,MATCH($AB51,'Test catalog'!$A$2:$A$200,0))="","",INDEX('Test catalog'!$G$2:$G$200,MATCH($AB51,'Test catalog'!$A$2:$A$200,0))),"")</f>
        <v/>
      </c>
      <c r="M51" s="10">
        <f>IFERROR(IF(INDEX('Test catalog'!$H$2:$H$200,MATCH($AB51,'Test catalog'!$A$2:$A$200,0))="","",INDEX('Test catalog'!$H$2:$H$200,MATCH($AB51,'Test catalog'!$A$2:$A$200,0))),"")</f>
        <v/>
      </c>
      <c r="N51" s="10">
        <f>IFERROR(IF(INDEX('Test catalog'!$I$2:$I$200,MATCH($AB51,'Test catalog'!$A$2:$A$200,0))="","",INDEX('Test catalog'!$I$2:$I$200,MATCH($AB51,'Test catalog'!$A$2:$A$200,0))),"")</f>
        <v/>
      </c>
      <c r="O51" s="10">
        <f>IFERROR(IF(INDEX('Test catalog'!$J$2:$J$200,MATCH($AB51,'Test catalog'!$A$2:$A$200,0))="","",INDEX('Test catalog'!$J$2:$J$200,MATCH($AB51,'Test catalog'!$A$2:$A$200,0))),"")</f>
        <v/>
      </c>
      <c r="P51" s="14">
        <f>IF(N51="","",IF(OR(M51="",O51=""),N51,(M51+4*N51+O51)/6))</f>
        <v/>
      </c>
      <c r="Q51" s="10">
        <f>IFERROR(IF(INDEX('Test catalog'!$K$2:$K$200,MATCH($AB51,'Test catalog'!$A$2:$A$200,0))="","",INDEX('Test catalog'!$K$2:$K$200,MATCH($AB51,'Test catalog'!$A$2:$A$200,0))),"")</f>
        <v/>
      </c>
      <c r="R51" s="5" t="n"/>
      <c r="S51" s="10">
        <f>IFERROR(IF(INDEX('Test catalog'!$L$2:$L$200,MATCH($AB51,'Test catalog'!$A$2:$A$200,0))="","",INDEX('Test catalog'!$L$2:$L$200,MATCH($AB51,'Test catalog'!$A$2:$A$200,0))),"")</f>
        <v/>
      </c>
      <c r="T51" s="10">
        <f>IFERROR(IF(INDEX('Test catalog'!$M$2:$M$200,MATCH($AB51,'Test catalog'!$A$2:$A$200,0))="","",INDEX('Test catalog'!$M$2:$M$200,MATCH($AB51,'Test catalog'!$A$2:$A$200,0))),"")</f>
        <v/>
      </c>
      <c r="U51" s="10">
        <f>IFERROR(IF(INDEX('Test catalog'!$N$2:$N$200,MATCH($AB51,'Test catalog'!$A$2:$A$200,0))="","",INDEX('Test catalog'!$N$2:$N$200,MATCH($AB51,'Test catalog'!$A$2:$A$200,0))),"")</f>
        <v/>
      </c>
      <c r="V51" s="15" t="n"/>
      <c r="W51" s="5" t="inlineStr">
        <is>
          <t>Y</t>
        </is>
      </c>
      <c r="X51" s="5" t="n"/>
      <c r="Y51" s="5" t="n"/>
      <c r="Z51" s="5" t="n"/>
      <c r="AA51" s="10">
        <f>IFERROR(IF(INDEX('Test catalog'!$O$2:$O$200,MATCH($AB51,'Test catalog'!$A$2:$A$200,0))="","",INDEX('Test catalog'!$O$2:$O$200,MATCH($AB51,'Test catalog'!$A$2:$A$200,0))),"")</f>
        <v/>
      </c>
      <c r="AB51" s="10" t="inlineStr">
        <is>
          <t>DISINT</t>
        </is>
      </c>
    </row>
    <row r="52">
      <c r="A52" s="10" t="inlineStr">
        <is>
          <t>F07</t>
        </is>
      </c>
      <c r="B52" s="10" t="inlineStr">
        <is>
          <t>FP</t>
        </is>
      </c>
      <c r="C52" s="10" t="inlineStr">
        <is>
          <t>Dexlansoprazole 60; Dexlansoprazole 30  |  Dexlansoprazole Pellets 20%</t>
        </is>
      </c>
      <c r="D52" s="10" t="inlineStr">
        <is>
          <t>In-process check at the machine (one check, all its tests)</t>
        </is>
      </c>
      <c r="E52" s="10">
        <f>IF(A52="","",A52&amp;"|"&amp;D52)</f>
        <v/>
      </c>
      <c r="F52" s="5" t="inlineStr">
        <is>
          <t>Y</t>
        </is>
      </c>
      <c r="G52" s="5" t="inlineStr">
        <is>
          <t>Tablet tester</t>
        </is>
      </c>
      <c r="H52" s="5" t="inlineStr">
        <is>
          <t>Low</t>
        </is>
      </c>
      <c r="I52" s="5" t="n">
        <v>1</v>
      </c>
      <c r="J52" s="5" t="n"/>
      <c r="K52" s="10">
        <f>IFERROR(IF(INDEX('Test catalog'!$F$2:$F$200,MATCH($AB52,'Test catalog'!$A$2:$A$200,0))="","",INDEX('Test catalog'!$F$2:$F$200,MATCH($AB52,'Test catalog'!$A$2:$A$200,0))),"")</f>
        <v/>
      </c>
      <c r="L52" s="10">
        <f>IFERROR(IF(INDEX('Test catalog'!$G$2:$G$200,MATCH($AB52,'Test catalog'!$A$2:$A$200,0))="","",INDEX('Test catalog'!$G$2:$G$200,MATCH($AB52,'Test catalog'!$A$2:$A$200,0))),"")</f>
        <v/>
      </c>
      <c r="M52" s="10">
        <f>IFERROR(IF(INDEX('Test catalog'!$H$2:$H$200,MATCH($AB52,'Test catalog'!$A$2:$A$200,0))="","",INDEX('Test catalog'!$H$2:$H$200,MATCH($AB52,'Test catalog'!$A$2:$A$200,0))),"")</f>
        <v/>
      </c>
      <c r="N52" s="10">
        <f>IFERROR(IF(INDEX('Test catalog'!$I$2:$I$200,MATCH($AB52,'Test catalog'!$A$2:$A$200,0))="","",INDEX('Test catalog'!$I$2:$I$200,MATCH($AB52,'Test catalog'!$A$2:$A$200,0))),"")</f>
        <v/>
      </c>
      <c r="O52" s="10">
        <f>IFERROR(IF(INDEX('Test catalog'!$J$2:$J$200,MATCH($AB52,'Test catalog'!$A$2:$A$200,0))="","",INDEX('Test catalog'!$J$2:$J$200,MATCH($AB52,'Test catalog'!$A$2:$A$200,0))),"")</f>
        <v/>
      </c>
      <c r="P52" s="14">
        <f>IF(N52="","",IF(OR(M52="",O52=""),N52,(M52+4*N52+O52)/6))</f>
        <v/>
      </c>
      <c r="Q52" s="10">
        <f>IFERROR(IF(INDEX('Test catalog'!$K$2:$K$200,MATCH($AB52,'Test catalog'!$A$2:$A$200,0))="","",INDEX('Test catalog'!$K$2:$K$200,MATCH($AB52,'Test catalog'!$A$2:$A$200,0))),"")</f>
        <v/>
      </c>
      <c r="R52" s="5" t="n"/>
      <c r="S52" s="10">
        <f>IFERROR(IF(INDEX('Test catalog'!$L$2:$L$200,MATCH($AB52,'Test catalog'!$A$2:$A$200,0))="","",INDEX('Test catalog'!$L$2:$L$200,MATCH($AB52,'Test catalog'!$A$2:$A$200,0))),"")</f>
        <v/>
      </c>
      <c r="T52" s="10">
        <f>IFERROR(IF(INDEX('Test catalog'!$M$2:$M$200,MATCH($AB52,'Test catalog'!$A$2:$A$200,0))="","",INDEX('Test catalog'!$M$2:$M$200,MATCH($AB52,'Test catalog'!$A$2:$A$200,0))),"")</f>
        <v/>
      </c>
      <c r="U52" s="10">
        <f>IFERROR(IF(INDEX('Test catalog'!$N$2:$N$200,MATCH($AB52,'Test catalog'!$A$2:$A$200,0))="","",INDEX('Test catalog'!$N$2:$N$200,MATCH($AB52,'Test catalog'!$A$2:$A$200,0))),"")</f>
        <v/>
      </c>
      <c r="V52" s="15" t="n"/>
      <c r="W52" s="5" t="inlineStr">
        <is>
          <t>N</t>
        </is>
      </c>
      <c r="X52" s="5" t="n"/>
      <c r="Y52" s="5" t="n"/>
      <c r="Z52" s="5" t="n"/>
      <c r="AA52" s="10">
        <f>IFERROR(IF(INDEX('Test catalog'!$O$2:$O$200,MATCH($AB52,'Test catalog'!$A$2:$A$200,0))="","",INDEX('Test catalog'!$O$2:$O$200,MATCH($AB52,'Test catalog'!$A$2:$A$200,0))),"")</f>
        <v/>
      </c>
      <c r="AB52" s="10" t="inlineStr">
        <is>
          <t>IPC</t>
        </is>
      </c>
    </row>
    <row r="53">
      <c r="A53" s="10" t="inlineStr">
        <is>
          <t>F08</t>
        </is>
      </c>
      <c r="B53" s="10" t="inlineStr">
        <is>
          <t>FP</t>
        </is>
      </c>
      <c r="C53" s="10" t="inlineStr">
        <is>
          <t>Prucalopride 1; Prucalopride 2  |  Prucalopride Succinate</t>
        </is>
      </c>
      <c r="D53" s="10" t="inlineStr">
        <is>
          <t>Average weight / uniformity of mass</t>
        </is>
      </c>
      <c r="E53" s="10">
        <f>IF(A53="","",A53&amp;"|"&amp;D53)</f>
        <v/>
      </c>
      <c r="F53" s="5" t="inlineStr">
        <is>
          <t>Y</t>
        </is>
      </c>
      <c r="G53" s="5" t="inlineStr">
        <is>
          <t>Balance</t>
        </is>
      </c>
      <c r="H53" s="5" t="inlineStr">
        <is>
          <t>Low</t>
        </is>
      </c>
      <c r="I53" s="5" t="n">
        <v>1</v>
      </c>
      <c r="J53" s="5" t="n"/>
      <c r="K53" s="10">
        <f>IFERROR(IF(INDEX('Test catalog'!$F$2:$F$200,MATCH($AB53,'Test catalog'!$A$2:$A$200,0))="","",INDEX('Test catalog'!$F$2:$F$200,MATCH($AB53,'Test catalog'!$A$2:$A$200,0))),"")</f>
        <v/>
      </c>
      <c r="L53" s="10">
        <f>IFERROR(IF(INDEX('Test catalog'!$G$2:$G$200,MATCH($AB53,'Test catalog'!$A$2:$A$200,0))="","",INDEX('Test catalog'!$G$2:$G$200,MATCH($AB53,'Test catalog'!$A$2:$A$200,0))),"")</f>
        <v/>
      </c>
      <c r="M53" s="10">
        <f>IFERROR(IF(INDEX('Test catalog'!$H$2:$H$200,MATCH($AB53,'Test catalog'!$A$2:$A$200,0))="","",INDEX('Test catalog'!$H$2:$H$200,MATCH($AB53,'Test catalog'!$A$2:$A$200,0))),"")</f>
        <v/>
      </c>
      <c r="N53" s="10">
        <f>IFERROR(IF(INDEX('Test catalog'!$I$2:$I$200,MATCH($AB53,'Test catalog'!$A$2:$A$200,0))="","",INDEX('Test catalog'!$I$2:$I$200,MATCH($AB53,'Test catalog'!$A$2:$A$200,0))),"")</f>
        <v/>
      </c>
      <c r="O53" s="10">
        <f>IFERROR(IF(INDEX('Test catalog'!$J$2:$J$200,MATCH($AB53,'Test catalog'!$A$2:$A$200,0))="","",INDEX('Test catalog'!$J$2:$J$200,MATCH($AB53,'Test catalog'!$A$2:$A$200,0))),"")</f>
        <v/>
      </c>
      <c r="P53" s="14">
        <f>IF(N53="","",IF(OR(M53="",O53=""),N53,(M53+4*N53+O53)/6))</f>
        <v/>
      </c>
      <c r="Q53" s="10">
        <f>IFERROR(IF(INDEX('Test catalog'!$K$2:$K$200,MATCH($AB53,'Test catalog'!$A$2:$A$200,0))="","",INDEX('Test catalog'!$K$2:$K$200,MATCH($AB53,'Test catalog'!$A$2:$A$200,0))),"")</f>
        <v/>
      </c>
      <c r="R53" s="5" t="n"/>
      <c r="S53" s="10">
        <f>IFERROR(IF(INDEX('Test catalog'!$L$2:$L$200,MATCH($AB53,'Test catalog'!$A$2:$A$200,0))="","",INDEX('Test catalog'!$L$2:$L$200,MATCH($AB53,'Test catalog'!$A$2:$A$200,0))),"")</f>
        <v/>
      </c>
      <c r="T53" s="10">
        <f>IFERROR(IF(INDEX('Test catalog'!$M$2:$M$200,MATCH($AB53,'Test catalog'!$A$2:$A$200,0))="","",INDEX('Test catalog'!$M$2:$M$200,MATCH($AB53,'Test catalog'!$A$2:$A$200,0))),"")</f>
        <v/>
      </c>
      <c r="U53" s="10">
        <f>IFERROR(IF(INDEX('Test catalog'!$N$2:$N$200,MATCH($AB53,'Test catalog'!$A$2:$A$200,0))="","",INDEX('Test catalog'!$N$2:$N$200,MATCH($AB53,'Test catalog'!$A$2:$A$200,0))),"")</f>
        <v/>
      </c>
      <c r="V53" s="15" t="n"/>
      <c r="W53" s="5" t="inlineStr">
        <is>
          <t>N</t>
        </is>
      </c>
      <c r="X53" s="5" t="n"/>
      <c r="Y53" s="5" t="n"/>
      <c r="Z53" s="5" t="n"/>
      <c r="AA53" s="10">
        <f>IFERROR(IF(INDEX('Test catalog'!$O$2:$O$200,MATCH($AB53,'Test catalog'!$A$2:$A$200,0))="","",INDEX('Test catalog'!$O$2:$O$200,MATCH($AB53,'Test catalog'!$A$2:$A$200,0))),"")</f>
        <v/>
      </c>
      <c r="AB53" s="10" t="inlineStr">
        <is>
          <t>AVG_WT</t>
        </is>
      </c>
    </row>
    <row r="54">
      <c r="A54" s="10" t="inlineStr">
        <is>
          <t>F08</t>
        </is>
      </c>
      <c r="B54" s="10" t="inlineStr">
        <is>
          <t>FP</t>
        </is>
      </c>
      <c r="C54" s="10" t="inlineStr">
        <is>
          <t>Prucalopride 1; Prucalopride 2  |  Prucalopride Succinate</t>
        </is>
      </c>
      <c r="D54" s="10" t="inlineStr">
        <is>
          <t>Diameter (or length / width)</t>
        </is>
      </c>
      <c r="E54" s="10">
        <f>IF(A54="","",A54&amp;"|"&amp;D54)</f>
        <v/>
      </c>
      <c r="F54" s="5" t="inlineStr">
        <is>
          <t>Y</t>
        </is>
      </c>
      <c r="G54" s="5" t="inlineStr">
        <is>
          <t>Tablet tester</t>
        </is>
      </c>
      <c r="H54" s="5" t="inlineStr">
        <is>
          <t>Low</t>
        </is>
      </c>
      <c r="I54" s="5" t="n">
        <v>1</v>
      </c>
      <c r="J54" s="5" t="n"/>
      <c r="K54" s="10">
        <f>IFERROR(IF(INDEX('Test catalog'!$F$2:$F$200,MATCH($AB54,'Test catalog'!$A$2:$A$200,0))="","",INDEX('Test catalog'!$F$2:$F$200,MATCH($AB54,'Test catalog'!$A$2:$A$200,0))),"")</f>
        <v/>
      </c>
      <c r="L54" s="10">
        <f>IFERROR(IF(INDEX('Test catalog'!$G$2:$G$200,MATCH($AB54,'Test catalog'!$A$2:$A$200,0))="","",INDEX('Test catalog'!$G$2:$G$200,MATCH($AB54,'Test catalog'!$A$2:$A$200,0))),"")</f>
        <v/>
      </c>
      <c r="M54" s="10">
        <f>IFERROR(IF(INDEX('Test catalog'!$H$2:$H$200,MATCH($AB54,'Test catalog'!$A$2:$A$200,0))="","",INDEX('Test catalog'!$H$2:$H$200,MATCH($AB54,'Test catalog'!$A$2:$A$200,0))),"")</f>
        <v/>
      </c>
      <c r="N54" s="10">
        <f>IFERROR(IF(INDEX('Test catalog'!$I$2:$I$200,MATCH($AB54,'Test catalog'!$A$2:$A$200,0))="","",INDEX('Test catalog'!$I$2:$I$200,MATCH($AB54,'Test catalog'!$A$2:$A$200,0))),"")</f>
        <v/>
      </c>
      <c r="O54" s="10">
        <f>IFERROR(IF(INDEX('Test catalog'!$J$2:$J$200,MATCH($AB54,'Test catalog'!$A$2:$A$200,0))="","",INDEX('Test catalog'!$J$2:$J$200,MATCH($AB54,'Test catalog'!$A$2:$A$200,0))),"")</f>
        <v/>
      </c>
      <c r="P54" s="14">
        <f>IF(N54="","",IF(OR(M54="",O54=""),N54,(M54+4*N54+O54)/6))</f>
        <v/>
      </c>
      <c r="Q54" s="10">
        <f>IFERROR(IF(INDEX('Test catalog'!$K$2:$K$200,MATCH($AB54,'Test catalog'!$A$2:$A$200,0))="","",INDEX('Test catalog'!$K$2:$K$200,MATCH($AB54,'Test catalog'!$A$2:$A$200,0))),"")</f>
        <v/>
      </c>
      <c r="R54" s="5" t="n"/>
      <c r="S54" s="10">
        <f>IFERROR(IF(INDEX('Test catalog'!$L$2:$L$200,MATCH($AB54,'Test catalog'!$A$2:$A$200,0))="","",INDEX('Test catalog'!$L$2:$L$200,MATCH($AB54,'Test catalog'!$A$2:$A$200,0))),"")</f>
        <v/>
      </c>
      <c r="T54" s="10">
        <f>IFERROR(IF(INDEX('Test catalog'!$M$2:$M$200,MATCH($AB54,'Test catalog'!$A$2:$A$200,0))="","",INDEX('Test catalog'!$M$2:$M$200,MATCH($AB54,'Test catalog'!$A$2:$A$200,0))),"")</f>
        <v/>
      </c>
      <c r="U54" s="10">
        <f>IFERROR(IF(INDEX('Test catalog'!$N$2:$N$200,MATCH($AB54,'Test catalog'!$A$2:$A$200,0))="","",INDEX('Test catalog'!$N$2:$N$200,MATCH($AB54,'Test catalog'!$A$2:$A$200,0))),"")</f>
        <v/>
      </c>
      <c r="V54" s="15" t="n"/>
      <c r="W54" s="5" t="inlineStr">
        <is>
          <t>N</t>
        </is>
      </c>
      <c r="X54" s="5" t="n"/>
      <c r="Y54" s="5" t="n"/>
      <c r="Z54" s="5" t="n"/>
      <c r="AA54" s="10">
        <f>IFERROR(IF(INDEX('Test catalog'!$O$2:$O$200,MATCH($AB54,'Test catalog'!$A$2:$A$200,0))="","",INDEX('Test catalog'!$O$2:$O$200,MATCH($AB54,'Test catalog'!$A$2:$A$200,0))),"")</f>
        <v/>
      </c>
      <c r="AB54" s="10" t="inlineStr">
        <is>
          <t>DIAM</t>
        </is>
      </c>
    </row>
    <row r="55">
      <c r="A55" s="10" t="inlineStr">
        <is>
          <t>F08</t>
        </is>
      </c>
      <c r="B55" s="10" t="inlineStr">
        <is>
          <t>FP</t>
        </is>
      </c>
      <c r="C55" s="10" t="inlineStr">
        <is>
          <t>Prucalopride 1; Prucalopride 2  |  Prucalopride Succinate</t>
        </is>
      </c>
      <c r="D55" s="10" t="inlineStr">
        <is>
          <t>Thickness</t>
        </is>
      </c>
      <c r="E55" s="10">
        <f>IF(A55="","",A55&amp;"|"&amp;D55)</f>
        <v/>
      </c>
      <c r="F55" s="5" t="inlineStr">
        <is>
          <t>Y</t>
        </is>
      </c>
      <c r="G55" s="5" t="inlineStr">
        <is>
          <t>Tablet tester</t>
        </is>
      </c>
      <c r="H55" s="5" t="inlineStr">
        <is>
          <t>Low</t>
        </is>
      </c>
      <c r="I55" s="5" t="n">
        <v>1</v>
      </c>
      <c r="J55" s="5" t="n"/>
      <c r="K55" s="10">
        <f>IFERROR(IF(INDEX('Test catalog'!$F$2:$F$200,MATCH($AB55,'Test catalog'!$A$2:$A$200,0))="","",INDEX('Test catalog'!$F$2:$F$200,MATCH($AB55,'Test catalog'!$A$2:$A$200,0))),"")</f>
        <v/>
      </c>
      <c r="L55" s="10">
        <f>IFERROR(IF(INDEX('Test catalog'!$G$2:$G$200,MATCH($AB55,'Test catalog'!$A$2:$A$200,0))="","",INDEX('Test catalog'!$G$2:$G$200,MATCH($AB55,'Test catalog'!$A$2:$A$200,0))),"")</f>
        <v/>
      </c>
      <c r="M55" s="10">
        <f>IFERROR(IF(INDEX('Test catalog'!$H$2:$H$200,MATCH($AB55,'Test catalog'!$A$2:$A$200,0))="","",INDEX('Test catalog'!$H$2:$H$200,MATCH($AB55,'Test catalog'!$A$2:$A$200,0))),"")</f>
        <v/>
      </c>
      <c r="N55" s="10">
        <f>IFERROR(IF(INDEX('Test catalog'!$I$2:$I$200,MATCH($AB55,'Test catalog'!$A$2:$A$200,0))="","",INDEX('Test catalog'!$I$2:$I$200,MATCH($AB55,'Test catalog'!$A$2:$A$200,0))),"")</f>
        <v/>
      </c>
      <c r="O55" s="10">
        <f>IFERROR(IF(INDEX('Test catalog'!$J$2:$J$200,MATCH($AB55,'Test catalog'!$A$2:$A$200,0))="","",INDEX('Test catalog'!$J$2:$J$200,MATCH($AB55,'Test catalog'!$A$2:$A$200,0))),"")</f>
        <v/>
      </c>
      <c r="P55" s="14">
        <f>IF(N55="","",IF(OR(M55="",O55=""),N55,(M55+4*N55+O55)/6))</f>
        <v/>
      </c>
      <c r="Q55" s="10">
        <f>IFERROR(IF(INDEX('Test catalog'!$K$2:$K$200,MATCH($AB55,'Test catalog'!$A$2:$A$200,0))="","",INDEX('Test catalog'!$K$2:$K$200,MATCH($AB55,'Test catalog'!$A$2:$A$200,0))),"")</f>
        <v/>
      </c>
      <c r="R55" s="5" t="n"/>
      <c r="S55" s="10">
        <f>IFERROR(IF(INDEX('Test catalog'!$L$2:$L$200,MATCH($AB55,'Test catalog'!$A$2:$A$200,0))="","",INDEX('Test catalog'!$L$2:$L$200,MATCH($AB55,'Test catalog'!$A$2:$A$200,0))),"")</f>
        <v/>
      </c>
      <c r="T55" s="10">
        <f>IFERROR(IF(INDEX('Test catalog'!$M$2:$M$200,MATCH($AB55,'Test catalog'!$A$2:$A$200,0))="","",INDEX('Test catalog'!$M$2:$M$200,MATCH($AB55,'Test catalog'!$A$2:$A$200,0))),"")</f>
        <v/>
      </c>
      <c r="U55" s="10">
        <f>IFERROR(IF(INDEX('Test catalog'!$N$2:$N$200,MATCH($AB55,'Test catalog'!$A$2:$A$200,0))="","",INDEX('Test catalog'!$N$2:$N$200,MATCH($AB55,'Test catalog'!$A$2:$A$200,0))),"")</f>
        <v/>
      </c>
      <c r="V55" s="15" t="n"/>
      <c r="W55" s="5" t="inlineStr">
        <is>
          <t>N</t>
        </is>
      </c>
      <c r="X55" s="5" t="n"/>
      <c r="Y55" s="5" t="n"/>
      <c r="Z55" s="5" t="n"/>
      <c r="AA55" s="10">
        <f>IFERROR(IF(INDEX('Test catalog'!$O$2:$O$200,MATCH($AB55,'Test catalog'!$A$2:$A$200,0))="","",INDEX('Test catalog'!$O$2:$O$200,MATCH($AB55,'Test catalog'!$A$2:$A$200,0))),"")</f>
        <v/>
      </c>
      <c r="AB55" s="10" t="inlineStr">
        <is>
          <t>THICK</t>
        </is>
      </c>
    </row>
    <row r="56">
      <c r="A56" s="10" t="inlineStr">
        <is>
          <t>F08</t>
        </is>
      </c>
      <c r="B56" s="10" t="inlineStr">
        <is>
          <t>FP</t>
        </is>
      </c>
      <c r="C56" s="10" t="inlineStr">
        <is>
          <t>Prucalopride 1; Prucalopride 2  |  Prucalopride Succinate</t>
        </is>
      </c>
      <c r="D56" s="10" t="inlineStr">
        <is>
          <t>Hardness / breaking force</t>
        </is>
      </c>
      <c r="E56" s="10">
        <f>IF(A56="","",A56&amp;"|"&amp;D56)</f>
        <v/>
      </c>
      <c r="F56" s="5" t="inlineStr">
        <is>
          <t>Y</t>
        </is>
      </c>
      <c r="G56" s="5" t="inlineStr">
        <is>
          <t>Tablet tester</t>
        </is>
      </c>
      <c r="H56" s="5" t="inlineStr">
        <is>
          <t>Low</t>
        </is>
      </c>
      <c r="I56" s="5" t="n">
        <v>1</v>
      </c>
      <c r="J56" s="5" t="n"/>
      <c r="K56" s="10">
        <f>IFERROR(IF(INDEX('Test catalog'!$F$2:$F$200,MATCH($AB56,'Test catalog'!$A$2:$A$200,0))="","",INDEX('Test catalog'!$F$2:$F$200,MATCH($AB56,'Test catalog'!$A$2:$A$200,0))),"")</f>
        <v/>
      </c>
      <c r="L56" s="10">
        <f>IFERROR(IF(INDEX('Test catalog'!$G$2:$G$200,MATCH($AB56,'Test catalog'!$A$2:$A$200,0))="","",INDEX('Test catalog'!$G$2:$G$200,MATCH($AB56,'Test catalog'!$A$2:$A$200,0))),"")</f>
        <v/>
      </c>
      <c r="M56" s="10">
        <f>IFERROR(IF(INDEX('Test catalog'!$H$2:$H$200,MATCH($AB56,'Test catalog'!$A$2:$A$200,0))="","",INDEX('Test catalog'!$H$2:$H$200,MATCH($AB56,'Test catalog'!$A$2:$A$200,0))),"")</f>
        <v/>
      </c>
      <c r="N56" s="10">
        <f>IFERROR(IF(INDEX('Test catalog'!$I$2:$I$200,MATCH($AB56,'Test catalog'!$A$2:$A$200,0))="","",INDEX('Test catalog'!$I$2:$I$200,MATCH($AB56,'Test catalog'!$A$2:$A$200,0))),"")</f>
        <v/>
      </c>
      <c r="O56" s="10">
        <f>IFERROR(IF(INDEX('Test catalog'!$J$2:$J$200,MATCH($AB56,'Test catalog'!$A$2:$A$200,0))="","",INDEX('Test catalog'!$J$2:$J$200,MATCH($AB56,'Test catalog'!$A$2:$A$200,0))),"")</f>
        <v/>
      </c>
      <c r="P56" s="14">
        <f>IF(N56="","",IF(OR(M56="",O56=""),N56,(M56+4*N56+O56)/6))</f>
        <v/>
      </c>
      <c r="Q56" s="10">
        <f>IFERROR(IF(INDEX('Test catalog'!$K$2:$K$200,MATCH($AB56,'Test catalog'!$A$2:$A$200,0))="","",INDEX('Test catalog'!$K$2:$K$200,MATCH($AB56,'Test catalog'!$A$2:$A$200,0))),"")</f>
        <v/>
      </c>
      <c r="R56" s="5" t="n"/>
      <c r="S56" s="10">
        <f>IFERROR(IF(INDEX('Test catalog'!$L$2:$L$200,MATCH($AB56,'Test catalog'!$A$2:$A$200,0))="","",INDEX('Test catalog'!$L$2:$L$200,MATCH($AB56,'Test catalog'!$A$2:$A$200,0))),"")</f>
        <v/>
      </c>
      <c r="T56" s="10">
        <f>IFERROR(IF(INDEX('Test catalog'!$M$2:$M$200,MATCH($AB56,'Test catalog'!$A$2:$A$200,0))="","",INDEX('Test catalog'!$M$2:$M$200,MATCH($AB56,'Test catalog'!$A$2:$A$200,0))),"")</f>
        <v/>
      </c>
      <c r="U56" s="10">
        <f>IFERROR(IF(INDEX('Test catalog'!$N$2:$N$200,MATCH($AB56,'Test catalog'!$A$2:$A$200,0))="","",INDEX('Test catalog'!$N$2:$N$200,MATCH($AB56,'Test catalog'!$A$2:$A$200,0))),"")</f>
        <v/>
      </c>
      <c r="V56" s="15" t="n"/>
      <c r="W56" s="5" t="inlineStr">
        <is>
          <t>Y</t>
        </is>
      </c>
      <c r="X56" s="5" t="n"/>
      <c r="Y56" s="5" t="n"/>
      <c r="Z56" s="5" t="n"/>
      <c r="AA56" s="10">
        <f>IFERROR(IF(INDEX('Test catalog'!$O$2:$O$200,MATCH($AB56,'Test catalog'!$A$2:$A$200,0))="","",INDEX('Test catalog'!$O$2:$O$200,MATCH($AB56,'Test catalog'!$A$2:$A$200,0))),"")</f>
        <v/>
      </c>
      <c r="AB56" s="10" t="inlineStr">
        <is>
          <t>HARD</t>
        </is>
      </c>
    </row>
    <row r="57">
      <c r="A57" s="10" t="inlineStr">
        <is>
          <t>F08</t>
        </is>
      </c>
      <c r="B57" s="10" t="inlineStr">
        <is>
          <t>FP</t>
        </is>
      </c>
      <c r="C57" s="10" t="inlineStr">
        <is>
          <t>Prucalopride 1; Prucalopride 2  |  Prucalopride Succinate</t>
        </is>
      </c>
      <c r="D57" s="10" t="inlineStr">
        <is>
          <t>Brittleness</t>
        </is>
      </c>
      <c r="E57" s="10">
        <f>IF(A57="","",A57&amp;"|"&amp;D57)</f>
        <v/>
      </c>
      <c r="F57" s="5" t="inlineStr">
        <is>
          <t>Y</t>
        </is>
      </c>
      <c r="G57" s="5" t="inlineStr">
        <is>
          <t>Other / bench</t>
        </is>
      </c>
      <c r="H57" s="5" t="inlineStr">
        <is>
          <t>Low</t>
        </is>
      </c>
      <c r="I57" s="5" t="n">
        <v>1</v>
      </c>
      <c r="J57" s="5" t="n"/>
      <c r="K57" s="10">
        <f>IFERROR(IF(INDEX('Test catalog'!$F$2:$F$200,MATCH($AB57,'Test catalog'!$A$2:$A$200,0))="","",INDEX('Test catalog'!$F$2:$F$200,MATCH($AB57,'Test catalog'!$A$2:$A$200,0))),"")</f>
        <v/>
      </c>
      <c r="L57" s="10">
        <f>IFERROR(IF(INDEX('Test catalog'!$G$2:$G$200,MATCH($AB57,'Test catalog'!$A$2:$A$200,0))="","",INDEX('Test catalog'!$G$2:$G$200,MATCH($AB57,'Test catalog'!$A$2:$A$200,0))),"")</f>
        <v/>
      </c>
      <c r="M57" s="10">
        <f>IFERROR(IF(INDEX('Test catalog'!$H$2:$H$200,MATCH($AB57,'Test catalog'!$A$2:$A$200,0))="","",INDEX('Test catalog'!$H$2:$H$200,MATCH($AB57,'Test catalog'!$A$2:$A$200,0))),"")</f>
        <v/>
      </c>
      <c r="N57" s="10">
        <f>IFERROR(IF(INDEX('Test catalog'!$I$2:$I$200,MATCH($AB57,'Test catalog'!$A$2:$A$200,0))="","",INDEX('Test catalog'!$I$2:$I$200,MATCH($AB57,'Test catalog'!$A$2:$A$200,0))),"")</f>
        <v/>
      </c>
      <c r="O57" s="10">
        <f>IFERROR(IF(INDEX('Test catalog'!$J$2:$J$200,MATCH($AB57,'Test catalog'!$A$2:$A$200,0))="","",INDEX('Test catalog'!$J$2:$J$200,MATCH($AB57,'Test catalog'!$A$2:$A$200,0))),"")</f>
        <v/>
      </c>
      <c r="P57" s="14">
        <f>IF(N57="","",IF(OR(M57="",O57=""),N57,(M57+4*N57+O57)/6))</f>
        <v/>
      </c>
      <c r="Q57" s="10">
        <f>IFERROR(IF(INDEX('Test catalog'!$K$2:$K$200,MATCH($AB57,'Test catalog'!$A$2:$A$200,0))="","",INDEX('Test catalog'!$K$2:$K$200,MATCH($AB57,'Test catalog'!$A$2:$A$200,0))),"")</f>
        <v/>
      </c>
      <c r="R57" s="5" t="n"/>
      <c r="S57" s="10">
        <f>IFERROR(IF(INDEX('Test catalog'!$L$2:$L$200,MATCH($AB57,'Test catalog'!$A$2:$A$200,0))="","",INDEX('Test catalog'!$L$2:$L$200,MATCH($AB57,'Test catalog'!$A$2:$A$200,0))),"")</f>
        <v/>
      </c>
      <c r="T57" s="10">
        <f>IFERROR(IF(INDEX('Test catalog'!$M$2:$M$200,MATCH($AB57,'Test catalog'!$A$2:$A$200,0))="","",INDEX('Test catalog'!$M$2:$M$200,MATCH($AB57,'Test catalog'!$A$2:$A$200,0))),"")</f>
        <v/>
      </c>
      <c r="U57" s="10">
        <f>IFERROR(IF(INDEX('Test catalog'!$N$2:$N$200,MATCH($AB57,'Test catalog'!$A$2:$A$200,0))="","",INDEX('Test catalog'!$N$2:$N$200,MATCH($AB57,'Test catalog'!$A$2:$A$200,0))),"")</f>
        <v/>
      </c>
      <c r="V57" s="15" t="n"/>
      <c r="W57" s="5" t="inlineStr">
        <is>
          <t>N</t>
        </is>
      </c>
      <c r="X57" s="5" t="n"/>
      <c r="Y57" s="5" t="n"/>
      <c r="Z57" s="5" t="n"/>
      <c r="AA57" s="10">
        <f>IFERROR(IF(INDEX('Test catalog'!$O$2:$O$200,MATCH($AB57,'Test catalog'!$A$2:$A$200,0))="","",INDEX('Test catalog'!$O$2:$O$200,MATCH($AB57,'Test catalog'!$A$2:$A$200,0))),"")</f>
        <v/>
      </c>
      <c r="AB57" s="10" t="inlineStr">
        <is>
          <t>BRITTLE</t>
        </is>
      </c>
    </row>
    <row r="58">
      <c r="A58" s="10" t="inlineStr">
        <is>
          <t>F08</t>
        </is>
      </c>
      <c r="B58" s="10" t="inlineStr">
        <is>
          <t>FP</t>
        </is>
      </c>
      <c r="C58" s="10" t="inlineStr">
        <is>
          <t>Prucalopride 1; Prucalopride 2  |  Prucalopride Succinate</t>
        </is>
      </c>
      <c r="D58" s="10" t="inlineStr">
        <is>
          <t>Friability</t>
        </is>
      </c>
      <c r="E58" s="10">
        <f>IF(A58="","",A58&amp;"|"&amp;D58)</f>
        <v/>
      </c>
      <c r="F58" s="5" t="inlineStr">
        <is>
          <t>Y</t>
        </is>
      </c>
      <c r="G58" s="5" t="inlineStr">
        <is>
          <t>Friabilator</t>
        </is>
      </c>
      <c r="H58" s="5" t="inlineStr">
        <is>
          <t>Low</t>
        </is>
      </c>
      <c r="I58" s="5" t="n">
        <v>1</v>
      </c>
      <c r="J58" s="5" t="n"/>
      <c r="K58" s="10">
        <f>IFERROR(IF(INDEX('Test catalog'!$F$2:$F$200,MATCH($AB58,'Test catalog'!$A$2:$A$200,0))="","",INDEX('Test catalog'!$F$2:$F$200,MATCH($AB58,'Test catalog'!$A$2:$A$200,0))),"")</f>
        <v/>
      </c>
      <c r="L58" s="10">
        <f>IFERROR(IF(INDEX('Test catalog'!$G$2:$G$200,MATCH($AB58,'Test catalog'!$A$2:$A$200,0))="","",INDEX('Test catalog'!$G$2:$G$200,MATCH($AB58,'Test catalog'!$A$2:$A$200,0))),"")</f>
        <v/>
      </c>
      <c r="M58" s="10">
        <f>IFERROR(IF(INDEX('Test catalog'!$H$2:$H$200,MATCH($AB58,'Test catalog'!$A$2:$A$200,0))="","",INDEX('Test catalog'!$H$2:$H$200,MATCH($AB58,'Test catalog'!$A$2:$A$200,0))),"")</f>
        <v/>
      </c>
      <c r="N58" s="10">
        <f>IFERROR(IF(INDEX('Test catalog'!$I$2:$I$200,MATCH($AB58,'Test catalog'!$A$2:$A$200,0))="","",INDEX('Test catalog'!$I$2:$I$200,MATCH($AB58,'Test catalog'!$A$2:$A$200,0))),"")</f>
        <v/>
      </c>
      <c r="O58" s="10">
        <f>IFERROR(IF(INDEX('Test catalog'!$J$2:$J$200,MATCH($AB58,'Test catalog'!$A$2:$A$200,0))="","",INDEX('Test catalog'!$J$2:$J$200,MATCH($AB58,'Test catalog'!$A$2:$A$200,0))),"")</f>
        <v/>
      </c>
      <c r="P58" s="14">
        <f>IF(N58="","",IF(OR(M58="",O58=""),N58,(M58+4*N58+O58)/6))</f>
        <v/>
      </c>
      <c r="Q58" s="10">
        <f>IFERROR(IF(INDEX('Test catalog'!$K$2:$K$200,MATCH($AB58,'Test catalog'!$A$2:$A$200,0))="","",INDEX('Test catalog'!$K$2:$K$200,MATCH($AB58,'Test catalog'!$A$2:$A$200,0))),"")</f>
        <v/>
      </c>
      <c r="R58" s="5" t="n"/>
      <c r="S58" s="10">
        <f>IFERROR(IF(INDEX('Test catalog'!$L$2:$L$200,MATCH($AB58,'Test catalog'!$A$2:$A$200,0))="","",INDEX('Test catalog'!$L$2:$L$200,MATCH($AB58,'Test catalog'!$A$2:$A$200,0))),"")</f>
        <v/>
      </c>
      <c r="T58" s="10">
        <f>IFERROR(IF(INDEX('Test catalog'!$M$2:$M$200,MATCH($AB58,'Test catalog'!$A$2:$A$200,0))="","",INDEX('Test catalog'!$M$2:$M$200,MATCH($AB58,'Test catalog'!$A$2:$A$200,0))),"")</f>
        <v/>
      </c>
      <c r="U58" s="10">
        <f>IFERROR(IF(INDEX('Test catalog'!$N$2:$N$200,MATCH($AB58,'Test catalog'!$A$2:$A$200,0))="","",INDEX('Test catalog'!$N$2:$N$200,MATCH($AB58,'Test catalog'!$A$2:$A$200,0))),"")</f>
        <v/>
      </c>
      <c r="V58" s="15" t="n"/>
      <c r="W58" s="5" t="inlineStr">
        <is>
          <t>N</t>
        </is>
      </c>
      <c r="X58" s="5" t="n"/>
      <c r="Y58" s="5" t="n"/>
      <c r="Z58" s="5" t="n"/>
      <c r="AA58" s="10">
        <f>IFERROR(IF(INDEX('Test catalog'!$O$2:$O$200,MATCH($AB58,'Test catalog'!$A$2:$A$200,0))="","",INDEX('Test catalog'!$O$2:$O$200,MATCH($AB58,'Test catalog'!$A$2:$A$200,0))),"")</f>
        <v/>
      </c>
      <c r="AB58" s="10" t="inlineStr">
        <is>
          <t>FRIAB</t>
        </is>
      </c>
    </row>
    <row r="59">
      <c r="A59" s="10" t="inlineStr">
        <is>
          <t>F08</t>
        </is>
      </c>
      <c r="B59" s="10" t="inlineStr">
        <is>
          <t>FP</t>
        </is>
      </c>
      <c r="C59" s="10" t="inlineStr">
        <is>
          <t>Prucalopride 1; Prucalopride 2  |  Prucalopride Succinate</t>
        </is>
      </c>
      <c r="D59" s="10" t="inlineStr">
        <is>
          <t>Disintegration</t>
        </is>
      </c>
      <c r="E59" s="10">
        <f>IF(A59="","",A59&amp;"|"&amp;D59)</f>
        <v/>
      </c>
      <c r="F59" s="5" t="inlineStr">
        <is>
          <t>Y</t>
        </is>
      </c>
      <c r="G59" s="5" t="inlineStr">
        <is>
          <t>Disintegration tester</t>
        </is>
      </c>
      <c r="H59" s="5" t="inlineStr">
        <is>
          <t>Low</t>
        </is>
      </c>
      <c r="I59" s="5" t="n">
        <v>1</v>
      </c>
      <c r="J59" s="5" t="n"/>
      <c r="K59" s="10">
        <f>IFERROR(IF(INDEX('Test catalog'!$F$2:$F$200,MATCH($AB59,'Test catalog'!$A$2:$A$200,0))="","",INDEX('Test catalog'!$F$2:$F$200,MATCH($AB59,'Test catalog'!$A$2:$A$200,0))),"")</f>
        <v/>
      </c>
      <c r="L59" s="10">
        <f>IFERROR(IF(INDEX('Test catalog'!$G$2:$G$200,MATCH($AB59,'Test catalog'!$A$2:$A$200,0))="","",INDEX('Test catalog'!$G$2:$G$200,MATCH($AB59,'Test catalog'!$A$2:$A$200,0))),"")</f>
        <v/>
      </c>
      <c r="M59" s="10">
        <f>IFERROR(IF(INDEX('Test catalog'!$H$2:$H$200,MATCH($AB59,'Test catalog'!$A$2:$A$200,0))="","",INDEX('Test catalog'!$H$2:$H$200,MATCH($AB59,'Test catalog'!$A$2:$A$200,0))),"")</f>
        <v/>
      </c>
      <c r="N59" s="10">
        <f>IFERROR(IF(INDEX('Test catalog'!$I$2:$I$200,MATCH($AB59,'Test catalog'!$A$2:$A$200,0))="","",INDEX('Test catalog'!$I$2:$I$200,MATCH($AB59,'Test catalog'!$A$2:$A$200,0))),"")</f>
        <v/>
      </c>
      <c r="O59" s="10">
        <f>IFERROR(IF(INDEX('Test catalog'!$J$2:$J$200,MATCH($AB59,'Test catalog'!$A$2:$A$200,0))="","",INDEX('Test catalog'!$J$2:$J$200,MATCH($AB59,'Test catalog'!$A$2:$A$200,0))),"")</f>
        <v/>
      </c>
      <c r="P59" s="14">
        <f>IF(N59="","",IF(OR(M59="",O59=""),N59,(M59+4*N59+O59)/6))</f>
        <v/>
      </c>
      <c r="Q59" s="10">
        <f>IFERROR(IF(INDEX('Test catalog'!$K$2:$K$200,MATCH($AB59,'Test catalog'!$A$2:$A$200,0))="","",INDEX('Test catalog'!$K$2:$K$200,MATCH($AB59,'Test catalog'!$A$2:$A$200,0))),"")</f>
        <v/>
      </c>
      <c r="R59" s="5" t="n"/>
      <c r="S59" s="10">
        <f>IFERROR(IF(INDEX('Test catalog'!$L$2:$L$200,MATCH($AB59,'Test catalog'!$A$2:$A$200,0))="","",INDEX('Test catalog'!$L$2:$L$200,MATCH($AB59,'Test catalog'!$A$2:$A$200,0))),"")</f>
        <v/>
      </c>
      <c r="T59" s="10">
        <f>IFERROR(IF(INDEX('Test catalog'!$M$2:$M$200,MATCH($AB59,'Test catalog'!$A$2:$A$200,0))="","",INDEX('Test catalog'!$M$2:$M$200,MATCH($AB59,'Test catalog'!$A$2:$A$200,0))),"")</f>
        <v/>
      </c>
      <c r="U59" s="10">
        <f>IFERROR(IF(INDEX('Test catalog'!$N$2:$N$200,MATCH($AB59,'Test catalog'!$A$2:$A$200,0))="","",INDEX('Test catalog'!$N$2:$N$200,MATCH($AB59,'Test catalog'!$A$2:$A$200,0))),"")</f>
        <v/>
      </c>
      <c r="V59" s="15" t="n"/>
      <c r="W59" s="5" t="inlineStr">
        <is>
          <t>Y</t>
        </is>
      </c>
      <c r="X59" s="5" t="n"/>
      <c r="Y59" s="5" t="n"/>
      <c r="Z59" s="5" t="n"/>
      <c r="AA59" s="10">
        <f>IFERROR(IF(INDEX('Test catalog'!$O$2:$O$200,MATCH($AB59,'Test catalog'!$A$2:$A$200,0))="","",INDEX('Test catalog'!$O$2:$O$200,MATCH($AB59,'Test catalog'!$A$2:$A$200,0))),"")</f>
        <v/>
      </c>
      <c r="AB59" s="10" t="inlineStr">
        <is>
          <t>DISINT</t>
        </is>
      </c>
    </row>
    <row r="60">
      <c r="A60" s="10" t="inlineStr">
        <is>
          <t>F08</t>
        </is>
      </c>
      <c r="B60" s="10" t="inlineStr">
        <is>
          <t>FP</t>
        </is>
      </c>
      <c r="C60" s="10" t="inlineStr">
        <is>
          <t>Prucalopride 1; Prucalopride 2  |  Prucalopride Succinate</t>
        </is>
      </c>
      <c r="D60" s="10" t="inlineStr">
        <is>
          <t>In-process check at the machine (one check, all its tests)</t>
        </is>
      </c>
      <c r="E60" s="10">
        <f>IF(A60="","",A60&amp;"|"&amp;D60)</f>
        <v/>
      </c>
      <c r="F60" s="5" t="inlineStr">
        <is>
          <t>Y</t>
        </is>
      </c>
      <c r="G60" s="5" t="inlineStr">
        <is>
          <t>Tablet tester</t>
        </is>
      </c>
      <c r="H60" s="5" t="inlineStr">
        <is>
          <t>Low</t>
        </is>
      </c>
      <c r="I60" s="5" t="n">
        <v>1</v>
      </c>
      <c r="J60" s="5" t="n"/>
      <c r="K60" s="10">
        <f>IFERROR(IF(INDEX('Test catalog'!$F$2:$F$200,MATCH($AB60,'Test catalog'!$A$2:$A$200,0))="","",INDEX('Test catalog'!$F$2:$F$200,MATCH($AB60,'Test catalog'!$A$2:$A$200,0))),"")</f>
        <v/>
      </c>
      <c r="L60" s="10">
        <f>IFERROR(IF(INDEX('Test catalog'!$G$2:$G$200,MATCH($AB60,'Test catalog'!$A$2:$A$200,0))="","",INDEX('Test catalog'!$G$2:$G$200,MATCH($AB60,'Test catalog'!$A$2:$A$200,0))),"")</f>
        <v/>
      </c>
      <c r="M60" s="10">
        <f>IFERROR(IF(INDEX('Test catalog'!$H$2:$H$200,MATCH($AB60,'Test catalog'!$A$2:$A$200,0))="","",INDEX('Test catalog'!$H$2:$H$200,MATCH($AB60,'Test catalog'!$A$2:$A$200,0))),"")</f>
        <v/>
      </c>
      <c r="N60" s="10">
        <f>IFERROR(IF(INDEX('Test catalog'!$I$2:$I$200,MATCH($AB60,'Test catalog'!$A$2:$A$200,0))="","",INDEX('Test catalog'!$I$2:$I$200,MATCH($AB60,'Test catalog'!$A$2:$A$200,0))),"")</f>
        <v/>
      </c>
      <c r="O60" s="10">
        <f>IFERROR(IF(INDEX('Test catalog'!$J$2:$J$200,MATCH($AB60,'Test catalog'!$A$2:$A$200,0))="","",INDEX('Test catalog'!$J$2:$J$200,MATCH($AB60,'Test catalog'!$A$2:$A$200,0))),"")</f>
        <v/>
      </c>
      <c r="P60" s="14">
        <f>IF(N60="","",IF(OR(M60="",O60=""),N60,(M60+4*N60+O60)/6))</f>
        <v/>
      </c>
      <c r="Q60" s="10">
        <f>IFERROR(IF(INDEX('Test catalog'!$K$2:$K$200,MATCH($AB60,'Test catalog'!$A$2:$A$200,0))="","",INDEX('Test catalog'!$K$2:$K$200,MATCH($AB60,'Test catalog'!$A$2:$A$200,0))),"")</f>
        <v/>
      </c>
      <c r="R60" s="5" t="n"/>
      <c r="S60" s="10">
        <f>IFERROR(IF(INDEX('Test catalog'!$L$2:$L$200,MATCH($AB60,'Test catalog'!$A$2:$A$200,0))="","",INDEX('Test catalog'!$L$2:$L$200,MATCH($AB60,'Test catalog'!$A$2:$A$200,0))),"")</f>
        <v/>
      </c>
      <c r="T60" s="10">
        <f>IFERROR(IF(INDEX('Test catalog'!$M$2:$M$200,MATCH($AB60,'Test catalog'!$A$2:$A$200,0))="","",INDEX('Test catalog'!$M$2:$M$200,MATCH($AB60,'Test catalog'!$A$2:$A$200,0))),"")</f>
        <v/>
      </c>
      <c r="U60" s="10">
        <f>IFERROR(IF(INDEX('Test catalog'!$N$2:$N$200,MATCH($AB60,'Test catalog'!$A$2:$A$200,0))="","",INDEX('Test catalog'!$N$2:$N$200,MATCH($AB60,'Test catalog'!$A$2:$A$200,0))),"")</f>
        <v/>
      </c>
      <c r="V60" s="15" t="n"/>
      <c r="W60" s="5" t="inlineStr">
        <is>
          <t>N</t>
        </is>
      </c>
      <c r="X60" s="5" t="n"/>
      <c r="Y60" s="5" t="n"/>
      <c r="Z60" s="5" t="n"/>
      <c r="AA60" s="10">
        <f>IFERROR(IF(INDEX('Test catalog'!$O$2:$O$200,MATCH($AB60,'Test catalog'!$A$2:$A$200,0))="","",INDEX('Test catalog'!$O$2:$O$200,MATCH($AB60,'Test catalog'!$A$2:$A$200,0))),"")</f>
        <v/>
      </c>
      <c r="AB60" s="10" t="inlineStr">
        <is>
          <t>IPC</t>
        </is>
      </c>
    </row>
    <row r="61">
      <c r="A61" s="10" t="inlineStr">
        <is>
          <t>F09</t>
        </is>
      </c>
      <c r="B61" s="10" t="inlineStr">
        <is>
          <t>FP</t>
        </is>
      </c>
      <c r="C61" s="10" t="inlineStr">
        <is>
          <t>Ranulo 500  |  Ranolazine</t>
        </is>
      </c>
      <c r="D61" s="10" t="inlineStr">
        <is>
          <t>Average weight / uniformity of mass</t>
        </is>
      </c>
      <c r="E61" s="10">
        <f>IF(A61="","",A61&amp;"|"&amp;D61)</f>
        <v/>
      </c>
      <c r="F61" s="5" t="inlineStr">
        <is>
          <t>Y</t>
        </is>
      </c>
      <c r="G61" s="5" t="inlineStr">
        <is>
          <t>Balance</t>
        </is>
      </c>
      <c r="H61" s="5" t="inlineStr">
        <is>
          <t>Low</t>
        </is>
      </c>
      <c r="I61" s="5" t="n">
        <v>1</v>
      </c>
      <c r="J61" s="5" t="n"/>
      <c r="K61" s="10">
        <f>IFERROR(IF(INDEX('Test catalog'!$F$2:$F$200,MATCH($AB61,'Test catalog'!$A$2:$A$200,0))="","",INDEX('Test catalog'!$F$2:$F$200,MATCH($AB61,'Test catalog'!$A$2:$A$200,0))),"")</f>
        <v/>
      </c>
      <c r="L61" s="10">
        <f>IFERROR(IF(INDEX('Test catalog'!$G$2:$G$200,MATCH($AB61,'Test catalog'!$A$2:$A$200,0))="","",INDEX('Test catalog'!$G$2:$G$200,MATCH($AB61,'Test catalog'!$A$2:$A$200,0))),"")</f>
        <v/>
      </c>
      <c r="M61" s="10">
        <f>IFERROR(IF(INDEX('Test catalog'!$H$2:$H$200,MATCH($AB61,'Test catalog'!$A$2:$A$200,0))="","",INDEX('Test catalog'!$H$2:$H$200,MATCH($AB61,'Test catalog'!$A$2:$A$200,0))),"")</f>
        <v/>
      </c>
      <c r="N61" s="10">
        <f>IFERROR(IF(INDEX('Test catalog'!$I$2:$I$200,MATCH($AB61,'Test catalog'!$A$2:$A$200,0))="","",INDEX('Test catalog'!$I$2:$I$200,MATCH($AB61,'Test catalog'!$A$2:$A$200,0))),"")</f>
        <v/>
      </c>
      <c r="O61" s="10">
        <f>IFERROR(IF(INDEX('Test catalog'!$J$2:$J$200,MATCH($AB61,'Test catalog'!$A$2:$A$200,0))="","",INDEX('Test catalog'!$J$2:$J$200,MATCH($AB61,'Test catalog'!$A$2:$A$200,0))),"")</f>
        <v/>
      </c>
      <c r="P61" s="14">
        <f>IF(N61="","",IF(OR(M61="",O61=""),N61,(M61+4*N61+O61)/6))</f>
        <v/>
      </c>
      <c r="Q61" s="10">
        <f>IFERROR(IF(INDEX('Test catalog'!$K$2:$K$200,MATCH($AB61,'Test catalog'!$A$2:$A$200,0))="","",INDEX('Test catalog'!$K$2:$K$200,MATCH($AB61,'Test catalog'!$A$2:$A$200,0))),"")</f>
        <v/>
      </c>
      <c r="R61" s="5" t="n"/>
      <c r="S61" s="10">
        <f>IFERROR(IF(INDEX('Test catalog'!$L$2:$L$200,MATCH($AB61,'Test catalog'!$A$2:$A$200,0))="","",INDEX('Test catalog'!$L$2:$L$200,MATCH($AB61,'Test catalog'!$A$2:$A$200,0))),"")</f>
        <v/>
      </c>
      <c r="T61" s="10">
        <f>IFERROR(IF(INDEX('Test catalog'!$M$2:$M$200,MATCH($AB61,'Test catalog'!$A$2:$A$200,0))="","",INDEX('Test catalog'!$M$2:$M$200,MATCH($AB61,'Test catalog'!$A$2:$A$200,0))),"")</f>
        <v/>
      </c>
      <c r="U61" s="10">
        <f>IFERROR(IF(INDEX('Test catalog'!$N$2:$N$200,MATCH($AB61,'Test catalog'!$A$2:$A$200,0))="","",INDEX('Test catalog'!$N$2:$N$200,MATCH($AB61,'Test catalog'!$A$2:$A$200,0))),"")</f>
        <v/>
      </c>
      <c r="V61" s="15" t="n"/>
      <c r="W61" s="5" t="inlineStr">
        <is>
          <t>N</t>
        </is>
      </c>
      <c r="X61" s="5" t="n"/>
      <c r="Y61" s="5" t="n"/>
      <c r="Z61" s="5" t="n"/>
      <c r="AA61" s="10">
        <f>IFERROR(IF(INDEX('Test catalog'!$O$2:$O$200,MATCH($AB61,'Test catalog'!$A$2:$A$200,0))="","",INDEX('Test catalog'!$O$2:$O$200,MATCH($AB61,'Test catalog'!$A$2:$A$200,0))),"")</f>
        <v/>
      </c>
      <c r="AB61" s="10" t="inlineStr">
        <is>
          <t>AVG_WT</t>
        </is>
      </c>
    </row>
    <row r="62">
      <c r="A62" s="10" t="inlineStr">
        <is>
          <t>F09</t>
        </is>
      </c>
      <c r="B62" s="10" t="inlineStr">
        <is>
          <t>FP</t>
        </is>
      </c>
      <c r="C62" s="10" t="inlineStr">
        <is>
          <t>Ranulo 500  |  Ranolazine</t>
        </is>
      </c>
      <c r="D62" s="10" t="inlineStr">
        <is>
          <t>Diameter (or length / width)</t>
        </is>
      </c>
      <c r="E62" s="10">
        <f>IF(A62="","",A62&amp;"|"&amp;D62)</f>
        <v/>
      </c>
      <c r="F62" s="5" t="inlineStr">
        <is>
          <t>Y</t>
        </is>
      </c>
      <c r="G62" s="5" t="inlineStr">
        <is>
          <t>Tablet tester</t>
        </is>
      </c>
      <c r="H62" s="5" t="inlineStr">
        <is>
          <t>Low</t>
        </is>
      </c>
      <c r="I62" s="5" t="n">
        <v>1</v>
      </c>
      <c r="J62" s="5" t="n"/>
      <c r="K62" s="10">
        <f>IFERROR(IF(INDEX('Test catalog'!$F$2:$F$200,MATCH($AB62,'Test catalog'!$A$2:$A$200,0))="","",INDEX('Test catalog'!$F$2:$F$200,MATCH($AB62,'Test catalog'!$A$2:$A$200,0))),"")</f>
        <v/>
      </c>
      <c r="L62" s="10">
        <f>IFERROR(IF(INDEX('Test catalog'!$G$2:$G$200,MATCH($AB62,'Test catalog'!$A$2:$A$200,0))="","",INDEX('Test catalog'!$G$2:$G$200,MATCH($AB62,'Test catalog'!$A$2:$A$200,0))),"")</f>
        <v/>
      </c>
      <c r="M62" s="10">
        <f>IFERROR(IF(INDEX('Test catalog'!$H$2:$H$200,MATCH($AB62,'Test catalog'!$A$2:$A$200,0))="","",INDEX('Test catalog'!$H$2:$H$200,MATCH($AB62,'Test catalog'!$A$2:$A$200,0))),"")</f>
        <v/>
      </c>
      <c r="N62" s="10">
        <f>IFERROR(IF(INDEX('Test catalog'!$I$2:$I$200,MATCH($AB62,'Test catalog'!$A$2:$A$200,0))="","",INDEX('Test catalog'!$I$2:$I$200,MATCH($AB62,'Test catalog'!$A$2:$A$200,0))),"")</f>
        <v/>
      </c>
      <c r="O62" s="10">
        <f>IFERROR(IF(INDEX('Test catalog'!$J$2:$J$200,MATCH($AB62,'Test catalog'!$A$2:$A$200,0))="","",INDEX('Test catalog'!$J$2:$J$200,MATCH($AB62,'Test catalog'!$A$2:$A$200,0))),"")</f>
        <v/>
      </c>
      <c r="P62" s="14">
        <f>IF(N62="","",IF(OR(M62="",O62=""),N62,(M62+4*N62+O62)/6))</f>
        <v/>
      </c>
      <c r="Q62" s="10">
        <f>IFERROR(IF(INDEX('Test catalog'!$K$2:$K$200,MATCH($AB62,'Test catalog'!$A$2:$A$200,0))="","",INDEX('Test catalog'!$K$2:$K$200,MATCH($AB62,'Test catalog'!$A$2:$A$200,0))),"")</f>
        <v/>
      </c>
      <c r="R62" s="5" t="n"/>
      <c r="S62" s="10">
        <f>IFERROR(IF(INDEX('Test catalog'!$L$2:$L$200,MATCH($AB62,'Test catalog'!$A$2:$A$200,0))="","",INDEX('Test catalog'!$L$2:$L$200,MATCH($AB62,'Test catalog'!$A$2:$A$200,0))),"")</f>
        <v/>
      </c>
      <c r="T62" s="10">
        <f>IFERROR(IF(INDEX('Test catalog'!$M$2:$M$200,MATCH($AB62,'Test catalog'!$A$2:$A$200,0))="","",INDEX('Test catalog'!$M$2:$M$200,MATCH($AB62,'Test catalog'!$A$2:$A$200,0))),"")</f>
        <v/>
      </c>
      <c r="U62" s="10">
        <f>IFERROR(IF(INDEX('Test catalog'!$N$2:$N$200,MATCH($AB62,'Test catalog'!$A$2:$A$200,0))="","",INDEX('Test catalog'!$N$2:$N$200,MATCH($AB62,'Test catalog'!$A$2:$A$200,0))),"")</f>
        <v/>
      </c>
      <c r="V62" s="15" t="n"/>
      <c r="W62" s="5" t="inlineStr">
        <is>
          <t>N</t>
        </is>
      </c>
      <c r="X62" s="5" t="n"/>
      <c r="Y62" s="5" t="n"/>
      <c r="Z62" s="5" t="n"/>
      <c r="AA62" s="10">
        <f>IFERROR(IF(INDEX('Test catalog'!$O$2:$O$200,MATCH($AB62,'Test catalog'!$A$2:$A$200,0))="","",INDEX('Test catalog'!$O$2:$O$200,MATCH($AB62,'Test catalog'!$A$2:$A$200,0))),"")</f>
        <v/>
      </c>
      <c r="AB62" s="10" t="inlineStr">
        <is>
          <t>DIAM</t>
        </is>
      </c>
    </row>
    <row r="63">
      <c r="A63" s="10" t="inlineStr">
        <is>
          <t>F09</t>
        </is>
      </c>
      <c r="B63" s="10" t="inlineStr">
        <is>
          <t>FP</t>
        </is>
      </c>
      <c r="C63" s="10" t="inlineStr">
        <is>
          <t>Ranulo 500  |  Ranolazine</t>
        </is>
      </c>
      <c r="D63" s="10" t="inlineStr">
        <is>
          <t>Thickness</t>
        </is>
      </c>
      <c r="E63" s="10">
        <f>IF(A63="","",A63&amp;"|"&amp;D63)</f>
        <v/>
      </c>
      <c r="F63" s="5" t="inlineStr">
        <is>
          <t>Y</t>
        </is>
      </c>
      <c r="G63" s="5" t="inlineStr">
        <is>
          <t>Tablet tester</t>
        </is>
      </c>
      <c r="H63" s="5" t="inlineStr">
        <is>
          <t>Low</t>
        </is>
      </c>
      <c r="I63" s="5" t="n">
        <v>1</v>
      </c>
      <c r="J63" s="5" t="n"/>
      <c r="K63" s="10">
        <f>IFERROR(IF(INDEX('Test catalog'!$F$2:$F$200,MATCH($AB63,'Test catalog'!$A$2:$A$200,0))="","",INDEX('Test catalog'!$F$2:$F$200,MATCH($AB63,'Test catalog'!$A$2:$A$200,0))),"")</f>
        <v/>
      </c>
      <c r="L63" s="10">
        <f>IFERROR(IF(INDEX('Test catalog'!$G$2:$G$200,MATCH($AB63,'Test catalog'!$A$2:$A$200,0))="","",INDEX('Test catalog'!$G$2:$G$200,MATCH($AB63,'Test catalog'!$A$2:$A$200,0))),"")</f>
        <v/>
      </c>
      <c r="M63" s="10">
        <f>IFERROR(IF(INDEX('Test catalog'!$H$2:$H$200,MATCH($AB63,'Test catalog'!$A$2:$A$200,0))="","",INDEX('Test catalog'!$H$2:$H$200,MATCH($AB63,'Test catalog'!$A$2:$A$200,0))),"")</f>
        <v/>
      </c>
      <c r="N63" s="10">
        <f>IFERROR(IF(INDEX('Test catalog'!$I$2:$I$200,MATCH($AB63,'Test catalog'!$A$2:$A$200,0))="","",INDEX('Test catalog'!$I$2:$I$200,MATCH($AB63,'Test catalog'!$A$2:$A$200,0))),"")</f>
        <v/>
      </c>
      <c r="O63" s="10">
        <f>IFERROR(IF(INDEX('Test catalog'!$J$2:$J$200,MATCH($AB63,'Test catalog'!$A$2:$A$200,0))="","",INDEX('Test catalog'!$J$2:$J$200,MATCH($AB63,'Test catalog'!$A$2:$A$200,0))),"")</f>
        <v/>
      </c>
      <c r="P63" s="14">
        <f>IF(N63="","",IF(OR(M63="",O63=""),N63,(M63+4*N63+O63)/6))</f>
        <v/>
      </c>
      <c r="Q63" s="10">
        <f>IFERROR(IF(INDEX('Test catalog'!$K$2:$K$200,MATCH($AB63,'Test catalog'!$A$2:$A$200,0))="","",INDEX('Test catalog'!$K$2:$K$200,MATCH($AB63,'Test catalog'!$A$2:$A$200,0))),"")</f>
        <v/>
      </c>
      <c r="R63" s="5" t="n"/>
      <c r="S63" s="10">
        <f>IFERROR(IF(INDEX('Test catalog'!$L$2:$L$200,MATCH($AB63,'Test catalog'!$A$2:$A$200,0))="","",INDEX('Test catalog'!$L$2:$L$200,MATCH($AB63,'Test catalog'!$A$2:$A$200,0))),"")</f>
        <v/>
      </c>
      <c r="T63" s="10">
        <f>IFERROR(IF(INDEX('Test catalog'!$M$2:$M$200,MATCH($AB63,'Test catalog'!$A$2:$A$200,0))="","",INDEX('Test catalog'!$M$2:$M$200,MATCH($AB63,'Test catalog'!$A$2:$A$200,0))),"")</f>
        <v/>
      </c>
      <c r="U63" s="10">
        <f>IFERROR(IF(INDEX('Test catalog'!$N$2:$N$200,MATCH($AB63,'Test catalog'!$A$2:$A$200,0))="","",INDEX('Test catalog'!$N$2:$N$200,MATCH($AB63,'Test catalog'!$A$2:$A$200,0))),"")</f>
        <v/>
      </c>
      <c r="V63" s="15" t="n"/>
      <c r="W63" s="5" t="inlineStr">
        <is>
          <t>N</t>
        </is>
      </c>
      <c r="X63" s="5" t="n"/>
      <c r="Y63" s="5" t="n"/>
      <c r="Z63" s="5" t="n"/>
      <c r="AA63" s="10">
        <f>IFERROR(IF(INDEX('Test catalog'!$O$2:$O$200,MATCH($AB63,'Test catalog'!$A$2:$A$200,0))="","",INDEX('Test catalog'!$O$2:$O$200,MATCH($AB63,'Test catalog'!$A$2:$A$200,0))),"")</f>
        <v/>
      </c>
      <c r="AB63" s="10" t="inlineStr">
        <is>
          <t>THICK</t>
        </is>
      </c>
    </row>
    <row r="64">
      <c r="A64" s="10" t="inlineStr">
        <is>
          <t>F09</t>
        </is>
      </c>
      <c r="B64" s="10" t="inlineStr">
        <is>
          <t>FP</t>
        </is>
      </c>
      <c r="C64" s="10" t="inlineStr">
        <is>
          <t>Ranulo 500  |  Ranolazine</t>
        </is>
      </c>
      <c r="D64" s="10" t="inlineStr">
        <is>
          <t>Hardness / breaking force</t>
        </is>
      </c>
      <c r="E64" s="10">
        <f>IF(A64="","",A64&amp;"|"&amp;D64)</f>
        <v/>
      </c>
      <c r="F64" s="5" t="inlineStr">
        <is>
          <t>Y</t>
        </is>
      </c>
      <c r="G64" s="5" t="inlineStr">
        <is>
          <t>Tablet tester</t>
        </is>
      </c>
      <c r="H64" s="5" t="inlineStr">
        <is>
          <t>Low</t>
        </is>
      </c>
      <c r="I64" s="5" t="n">
        <v>1</v>
      </c>
      <c r="J64" s="5" t="n"/>
      <c r="K64" s="10">
        <f>IFERROR(IF(INDEX('Test catalog'!$F$2:$F$200,MATCH($AB64,'Test catalog'!$A$2:$A$200,0))="","",INDEX('Test catalog'!$F$2:$F$200,MATCH($AB64,'Test catalog'!$A$2:$A$200,0))),"")</f>
        <v/>
      </c>
      <c r="L64" s="10">
        <f>IFERROR(IF(INDEX('Test catalog'!$G$2:$G$200,MATCH($AB64,'Test catalog'!$A$2:$A$200,0))="","",INDEX('Test catalog'!$G$2:$G$200,MATCH($AB64,'Test catalog'!$A$2:$A$200,0))),"")</f>
        <v/>
      </c>
      <c r="M64" s="10">
        <f>IFERROR(IF(INDEX('Test catalog'!$H$2:$H$200,MATCH($AB64,'Test catalog'!$A$2:$A$200,0))="","",INDEX('Test catalog'!$H$2:$H$200,MATCH($AB64,'Test catalog'!$A$2:$A$200,0))),"")</f>
        <v/>
      </c>
      <c r="N64" s="10">
        <f>IFERROR(IF(INDEX('Test catalog'!$I$2:$I$200,MATCH($AB64,'Test catalog'!$A$2:$A$200,0))="","",INDEX('Test catalog'!$I$2:$I$200,MATCH($AB64,'Test catalog'!$A$2:$A$200,0))),"")</f>
        <v/>
      </c>
      <c r="O64" s="10">
        <f>IFERROR(IF(INDEX('Test catalog'!$J$2:$J$200,MATCH($AB64,'Test catalog'!$A$2:$A$200,0))="","",INDEX('Test catalog'!$J$2:$J$200,MATCH($AB64,'Test catalog'!$A$2:$A$200,0))),"")</f>
        <v/>
      </c>
      <c r="P64" s="14">
        <f>IF(N64="","",IF(OR(M64="",O64=""),N64,(M64+4*N64+O64)/6))</f>
        <v/>
      </c>
      <c r="Q64" s="10">
        <f>IFERROR(IF(INDEX('Test catalog'!$K$2:$K$200,MATCH($AB64,'Test catalog'!$A$2:$A$200,0))="","",INDEX('Test catalog'!$K$2:$K$200,MATCH($AB64,'Test catalog'!$A$2:$A$200,0))),"")</f>
        <v/>
      </c>
      <c r="R64" s="5" t="n"/>
      <c r="S64" s="10">
        <f>IFERROR(IF(INDEX('Test catalog'!$L$2:$L$200,MATCH($AB64,'Test catalog'!$A$2:$A$200,0))="","",INDEX('Test catalog'!$L$2:$L$200,MATCH($AB64,'Test catalog'!$A$2:$A$200,0))),"")</f>
        <v/>
      </c>
      <c r="T64" s="10">
        <f>IFERROR(IF(INDEX('Test catalog'!$M$2:$M$200,MATCH($AB64,'Test catalog'!$A$2:$A$200,0))="","",INDEX('Test catalog'!$M$2:$M$200,MATCH($AB64,'Test catalog'!$A$2:$A$200,0))),"")</f>
        <v/>
      </c>
      <c r="U64" s="10">
        <f>IFERROR(IF(INDEX('Test catalog'!$N$2:$N$200,MATCH($AB64,'Test catalog'!$A$2:$A$200,0))="","",INDEX('Test catalog'!$N$2:$N$200,MATCH($AB64,'Test catalog'!$A$2:$A$200,0))),"")</f>
        <v/>
      </c>
      <c r="V64" s="15" t="n"/>
      <c r="W64" s="5" t="inlineStr">
        <is>
          <t>Y</t>
        </is>
      </c>
      <c r="X64" s="5" t="n"/>
      <c r="Y64" s="5" t="n"/>
      <c r="Z64" s="5" t="n"/>
      <c r="AA64" s="10">
        <f>IFERROR(IF(INDEX('Test catalog'!$O$2:$O$200,MATCH($AB64,'Test catalog'!$A$2:$A$200,0))="","",INDEX('Test catalog'!$O$2:$O$200,MATCH($AB64,'Test catalog'!$A$2:$A$200,0))),"")</f>
        <v/>
      </c>
      <c r="AB64" s="10" t="inlineStr">
        <is>
          <t>HARD</t>
        </is>
      </c>
    </row>
    <row r="65">
      <c r="A65" s="10" t="inlineStr">
        <is>
          <t>F09</t>
        </is>
      </c>
      <c r="B65" s="10" t="inlineStr">
        <is>
          <t>FP</t>
        </is>
      </c>
      <c r="C65" s="10" t="inlineStr">
        <is>
          <t>Ranulo 500  |  Ranolazine</t>
        </is>
      </c>
      <c r="D65" s="10" t="inlineStr">
        <is>
          <t>Brittleness</t>
        </is>
      </c>
      <c r="E65" s="10">
        <f>IF(A65="","",A65&amp;"|"&amp;D65)</f>
        <v/>
      </c>
      <c r="F65" s="5" t="inlineStr">
        <is>
          <t>Y</t>
        </is>
      </c>
      <c r="G65" s="5" t="inlineStr">
        <is>
          <t>Other / bench</t>
        </is>
      </c>
      <c r="H65" s="5" t="inlineStr">
        <is>
          <t>Low</t>
        </is>
      </c>
      <c r="I65" s="5" t="n">
        <v>1</v>
      </c>
      <c r="J65" s="5" t="n"/>
      <c r="K65" s="10">
        <f>IFERROR(IF(INDEX('Test catalog'!$F$2:$F$200,MATCH($AB65,'Test catalog'!$A$2:$A$200,0))="","",INDEX('Test catalog'!$F$2:$F$200,MATCH($AB65,'Test catalog'!$A$2:$A$200,0))),"")</f>
        <v/>
      </c>
      <c r="L65" s="10">
        <f>IFERROR(IF(INDEX('Test catalog'!$G$2:$G$200,MATCH($AB65,'Test catalog'!$A$2:$A$200,0))="","",INDEX('Test catalog'!$G$2:$G$200,MATCH($AB65,'Test catalog'!$A$2:$A$200,0))),"")</f>
        <v/>
      </c>
      <c r="M65" s="10">
        <f>IFERROR(IF(INDEX('Test catalog'!$H$2:$H$200,MATCH($AB65,'Test catalog'!$A$2:$A$200,0))="","",INDEX('Test catalog'!$H$2:$H$200,MATCH($AB65,'Test catalog'!$A$2:$A$200,0))),"")</f>
        <v/>
      </c>
      <c r="N65" s="10">
        <f>IFERROR(IF(INDEX('Test catalog'!$I$2:$I$200,MATCH($AB65,'Test catalog'!$A$2:$A$200,0))="","",INDEX('Test catalog'!$I$2:$I$200,MATCH($AB65,'Test catalog'!$A$2:$A$200,0))),"")</f>
        <v/>
      </c>
      <c r="O65" s="10">
        <f>IFERROR(IF(INDEX('Test catalog'!$J$2:$J$200,MATCH($AB65,'Test catalog'!$A$2:$A$200,0))="","",INDEX('Test catalog'!$J$2:$J$200,MATCH($AB65,'Test catalog'!$A$2:$A$200,0))),"")</f>
        <v/>
      </c>
      <c r="P65" s="14">
        <f>IF(N65="","",IF(OR(M65="",O65=""),N65,(M65+4*N65+O65)/6))</f>
        <v/>
      </c>
      <c r="Q65" s="10">
        <f>IFERROR(IF(INDEX('Test catalog'!$K$2:$K$200,MATCH($AB65,'Test catalog'!$A$2:$A$200,0))="","",INDEX('Test catalog'!$K$2:$K$200,MATCH($AB65,'Test catalog'!$A$2:$A$200,0))),"")</f>
        <v/>
      </c>
      <c r="R65" s="5" t="n"/>
      <c r="S65" s="10">
        <f>IFERROR(IF(INDEX('Test catalog'!$L$2:$L$200,MATCH($AB65,'Test catalog'!$A$2:$A$200,0))="","",INDEX('Test catalog'!$L$2:$L$200,MATCH($AB65,'Test catalog'!$A$2:$A$200,0))),"")</f>
        <v/>
      </c>
      <c r="T65" s="10">
        <f>IFERROR(IF(INDEX('Test catalog'!$M$2:$M$200,MATCH($AB65,'Test catalog'!$A$2:$A$200,0))="","",INDEX('Test catalog'!$M$2:$M$200,MATCH($AB65,'Test catalog'!$A$2:$A$200,0))),"")</f>
        <v/>
      </c>
      <c r="U65" s="10">
        <f>IFERROR(IF(INDEX('Test catalog'!$N$2:$N$200,MATCH($AB65,'Test catalog'!$A$2:$A$200,0))="","",INDEX('Test catalog'!$N$2:$N$200,MATCH($AB65,'Test catalog'!$A$2:$A$200,0))),"")</f>
        <v/>
      </c>
      <c r="V65" s="15" t="n"/>
      <c r="W65" s="5" t="inlineStr">
        <is>
          <t>N</t>
        </is>
      </c>
      <c r="X65" s="5" t="n"/>
      <c r="Y65" s="5" t="n"/>
      <c r="Z65" s="5" t="n"/>
      <c r="AA65" s="10">
        <f>IFERROR(IF(INDEX('Test catalog'!$O$2:$O$200,MATCH($AB65,'Test catalog'!$A$2:$A$200,0))="","",INDEX('Test catalog'!$O$2:$O$200,MATCH($AB65,'Test catalog'!$A$2:$A$200,0))),"")</f>
        <v/>
      </c>
      <c r="AB65" s="10" t="inlineStr">
        <is>
          <t>BRITTLE</t>
        </is>
      </c>
    </row>
    <row r="66">
      <c r="A66" s="10" t="inlineStr">
        <is>
          <t>F09</t>
        </is>
      </c>
      <c r="B66" s="10" t="inlineStr">
        <is>
          <t>FP</t>
        </is>
      </c>
      <c r="C66" s="10" t="inlineStr">
        <is>
          <t>Ranulo 500  |  Ranolazine</t>
        </is>
      </c>
      <c r="D66" s="10" t="inlineStr">
        <is>
          <t>Friability</t>
        </is>
      </c>
      <c r="E66" s="10">
        <f>IF(A66="","",A66&amp;"|"&amp;D66)</f>
        <v/>
      </c>
      <c r="F66" s="5" t="inlineStr">
        <is>
          <t>Y</t>
        </is>
      </c>
      <c r="G66" s="5" t="inlineStr">
        <is>
          <t>Friabilator</t>
        </is>
      </c>
      <c r="H66" s="5" t="inlineStr">
        <is>
          <t>Low</t>
        </is>
      </c>
      <c r="I66" s="5" t="n">
        <v>1</v>
      </c>
      <c r="J66" s="5" t="n"/>
      <c r="K66" s="10">
        <f>IFERROR(IF(INDEX('Test catalog'!$F$2:$F$200,MATCH($AB66,'Test catalog'!$A$2:$A$200,0))="","",INDEX('Test catalog'!$F$2:$F$200,MATCH($AB66,'Test catalog'!$A$2:$A$200,0))),"")</f>
        <v/>
      </c>
      <c r="L66" s="10">
        <f>IFERROR(IF(INDEX('Test catalog'!$G$2:$G$200,MATCH($AB66,'Test catalog'!$A$2:$A$200,0))="","",INDEX('Test catalog'!$G$2:$G$200,MATCH($AB66,'Test catalog'!$A$2:$A$200,0))),"")</f>
        <v/>
      </c>
      <c r="M66" s="10">
        <f>IFERROR(IF(INDEX('Test catalog'!$H$2:$H$200,MATCH($AB66,'Test catalog'!$A$2:$A$200,0))="","",INDEX('Test catalog'!$H$2:$H$200,MATCH($AB66,'Test catalog'!$A$2:$A$200,0))),"")</f>
        <v/>
      </c>
      <c r="N66" s="10">
        <f>IFERROR(IF(INDEX('Test catalog'!$I$2:$I$200,MATCH($AB66,'Test catalog'!$A$2:$A$200,0))="","",INDEX('Test catalog'!$I$2:$I$200,MATCH($AB66,'Test catalog'!$A$2:$A$200,0))),"")</f>
        <v/>
      </c>
      <c r="O66" s="10">
        <f>IFERROR(IF(INDEX('Test catalog'!$J$2:$J$200,MATCH($AB66,'Test catalog'!$A$2:$A$200,0))="","",INDEX('Test catalog'!$J$2:$J$200,MATCH($AB66,'Test catalog'!$A$2:$A$200,0))),"")</f>
        <v/>
      </c>
      <c r="P66" s="14">
        <f>IF(N66="","",IF(OR(M66="",O66=""),N66,(M66+4*N66+O66)/6))</f>
        <v/>
      </c>
      <c r="Q66" s="10">
        <f>IFERROR(IF(INDEX('Test catalog'!$K$2:$K$200,MATCH($AB66,'Test catalog'!$A$2:$A$200,0))="","",INDEX('Test catalog'!$K$2:$K$200,MATCH($AB66,'Test catalog'!$A$2:$A$200,0))),"")</f>
        <v/>
      </c>
      <c r="R66" s="5" t="n"/>
      <c r="S66" s="10">
        <f>IFERROR(IF(INDEX('Test catalog'!$L$2:$L$200,MATCH($AB66,'Test catalog'!$A$2:$A$200,0))="","",INDEX('Test catalog'!$L$2:$L$200,MATCH($AB66,'Test catalog'!$A$2:$A$200,0))),"")</f>
        <v/>
      </c>
      <c r="T66" s="10">
        <f>IFERROR(IF(INDEX('Test catalog'!$M$2:$M$200,MATCH($AB66,'Test catalog'!$A$2:$A$200,0))="","",INDEX('Test catalog'!$M$2:$M$200,MATCH($AB66,'Test catalog'!$A$2:$A$200,0))),"")</f>
        <v/>
      </c>
      <c r="U66" s="10">
        <f>IFERROR(IF(INDEX('Test catalog'!$N$2:$N$200,MATCH($AB66,'Test catalog'!$A$2:$A$200,0))="","",INDEX('Test catalog'!$N$2:$N$200,MATCH($AB66,'Test catalog'!$A$2:$A$200,0))),"")</f>
        <v/>
      </c>
      <c r="V66" s="15" t="n"/>
      <c r="W66" s="5" t="inlineStr">
        <is>
          <t>N</t>
        </is>
      </c>
      <c r="X66" s="5" t="n"/>
      <c r="Y66" s="5" t="n"/>
      <c r="Z66" s="5" t="n"/>
      <c r="AA66" s="10">
        <f>IFERROR(IF(INDEX('Test catalog'!$O$2:$O$200,MATCH($AB66,'Test catalog'!$A$2:$A$200,0))="","",INDEX('Test catalog'!$O$2:$O$200,MATCH($AB66,'Test catalog'!$A$2:$A$200,0))),"")</f>
        <v/>
      </c>
      <c r="AB66" s="10" t="inlineStr">
        <is>
          <t>FRIAB</t>
        </is>
      </c>
    </row>
    <row r="67">
      <c r="A67" s="10" t="inlineStr">
        <is>
          <t>F09</t>
        </is>
      </c>
      <c r="B67" s="10" t="inlineStr">
        <is>
          <t>FP</t>
        </is>
      </c>
      <c r="C67" s="10" t="inlineStr">
        <is>
          <t>Ranulo 500  |  Ranolazine</t>
        </is>
      </c>
      <c r="D67" s="10" t="inlineStr">
        <is>
          <t>Disintegration</t>
        </is>
      </c>
      <c r="E67" s="10">
        <f>IF(A67="","",A67&amp;"|"&amp;D67)</f>
        <v/>
      </c>
      <c r="F67" s="5" t="inlineStr">
        <is>
          <t>Y</t>
        </is>
      </c>
      <c r="G67" s="5" t="inlineStr">
        <is>
          <t>Disintegration tester</t>
        </is>
      </c>
      <c r="H67" s="5" t="inlineStr">
        <is>
          <t>Low</t>
        </is>
      </c>
      <c r="I67" s="5" t="n">
        <v>1</v>
      </c>
      <c r="J67" s="5" t="n"/>
      <c r="K67" s="10">
        <f>IFERROR(IF(INDEX('Test catalog'!$F$2:$F$200,MATCH($AB67,'Test catalog'!$A$2:$A$200,0))="","",INDEX('Test catalog'!$F$2:$F$200,MATCH($AB67,'Test catalog'!$A$2:$A$200,0))),"")</f>
        <v/>
      </c>
      <c r="L67" s="10">
        <f>IFERROR(IF(INDEX('Test catalog'!$G$2:$G$200,MATCH($AB67,'Test catalog'!$A$2:$A$200,0))="","",INDEX('Test catalog'!$G$2:$G$200,MATCH($AB67,'Test catalog'!$A$2:$A$200,0))),"")</f>
        <v/>
      </c>
      <c r="M67" s="10">
        <f>IFERROR(IF(INDEX('Test catalog'!$H$2:$H$200,MATCH($AB67,'Test catalog'!$A$2:$A$200,0))="","",INDEX('Test catalog'!$H$2:$H$200,MATCH($AB67,'Test catalog'!$A$2:$A$200,0))),"")</f>
        <v/>
      </c>
      <c r="N67" s="10">
        <f>IFERROR(IF(INDEX('Test catalog'!$I$2:$I$200,MATCH($AB67,'Test catalog'!$A$2:$A$200,0))="","",INDEX('Test catalog'!$I$2:$I$200,MATCH($AB67,'Test catalog'!$A$2:$A$200,0))),"")</f>
        <v/>
      </c>
      <c r="O67" s="10">
        <f>IFERROR(IF(INDEX('Test catalog'!$J$2:$J$200,MATCH($AB67,'Test catalog'!$A$2:$A$200,0))="","",INDEX('Test catalog'!$J$2:$J$200,MATCH($AB67,'Test catalog'!$A$2:$A$200,0))),"")</f>
        <v/>
      </c>
      <c r="P67" s="14">
        <f>IF(N67="","",IF(OR(M67="",O67=""),N67,(M67+4*N67+O67)/6))</f>
        <v/>
      </c>
      <c r="Q67" s="10">
        <f>IFERROR(IF(INDEX('Test catalog'!$K$2:$K$200,MATCH($AB67,'Test catalog'!$A$2:$A$200,0))="","",INDEX('Test catalog'!$K$2:$K$200,MATCH($AB67,'Test catalog'!$A$2:$A$200,0))),"")</f>
        <v/>
      </c>
      <c r="R67" s="5" t="n"/>
      <c r="S67" s="10">
        <f>IFERROR(IF(INDEX('Test catalog'!$L$2:$L$200,MATCH($AB67,'Test catalog'!$A$2:$A$200,0))="","",INDEX('Test catalog'!$L$2:$L$200,MATCH($AB67,'Test catalog'!$A$2:$A$200,0))),"")</f>
        <v/>
      </c>
      <c r="T67" s="10">
        <f>IFERROR(IF(INDEX('Test catalog'!$M$2:$M$200,MATCH($AB67,'Test catalog'!$A$2:$A$200,0))="","",INDEX('Test catalog'!$M$2:$M$200,MATCH($AB67,'Test catalog'!$A$2:$A$200,0))),"")</f>
        <v/>
      </c>
      <c r="U67" s="10">
        <f>IFERROR(IF(INDEX('Test catalog'!$N$2:$N$200,MATCH($AB67,'Test catalog'!$A$2:$A$200,0))="","",INDEX('Test catalog'!$N$2:$N$200,MATCH($AB67,'Test catalog'!$A$2:$A$200,0))),"")</f>
        <v/>
      </c>
      <c r="V67" s="15" t="n"/>
      <c r="W67" s="5" t="inlineStr">
        <is>
          <t>Y</t>
        </is>
      </c>
      <c r="X67" s="5" t="n"/>
      <c r="Y67" s="5" t="n"/>
      <c r="Z67" s="5" t="n"/>
      <c r="AA67" s="10">
        <f>IFERROR(IF(INDEX('Test catalog'!$O$2:$O$200,MATCH($AB67,'Test catalog'!$A$2:$A$200,0))="","",INDEX('Test catalog'!$O$2:$O$200,MATCH($AB67,'Test catalog'!$A$2:$A$200,0))),"")</f>
        <v/>
      </c>
      <c r="AB67" s="10" t="inlineStr">
        <is>
          <t>DISINT</t>
        </is>
      </c>
    </row>
    <row r="68">
      <c r="A68" s="10" t="inlineStr">
        <is>
          <t>F09</t>
        </is>
      </c>
      <c r="B68" s="10" t="inlineStr">
        <is>
          <t>FP</t>
        </is>
      </c>
      <c r="C68" s="10" t="inlineStr">
        <is>
          <t>Ranulo 500  |  Ranolazine</t>
        </is>
      </c>
      <c r="D68" s="10" t="inlineStr">
        <is>
          <t>In-process check at the machine (one check, all its tests)</t>
        </is>
      </c>
      <c r="E68" s="10">
        <f>IF(A68="","",A68&amp;"|"&amp;D68)</f>
        <v/>
      </c>
      <c r="F68" s="5" t="inlineStr">
        <is>
          <t>Y</t>
        </is>
      </c>
      <c r="G68" s="5" t="inlineStr">
        <is>
          <t>Tablet tester</t>
        </is>
      </c>
      <c r="H68" s="5" t="inlineStr">
        <is>
          <t>Low</t>
        </is>
      </c>
      <c r="I68" s="5" t="n">
        <v>1</v>
      </c>
      <c r="J68" s="5" t="n"/>
      <c r="K68" s="10">
        <f>IFERROR(IF(INDEX('Test catalog'!$F$2:$F$200,MATCH($AB68,'Test catalog'!$A$2:$A$200,0))="","",INDEX('Test catalog'!$F$2:$F$200,MATCH($AB68,'Test catalog'!$A$2:$A$200,0))),"")</f>
        <v/>
      </c>
      <c r="L68" s="10">
        <f>IFERROR(IF(INDEX('Test catalog'!$G$2:$G$200,MATCH($AB68,'Test catalog'!$A$2:$A$200,0))="","",INDEX('Test catalog'!$G$2:$G$200,MATCH($AB68,'Test catalog'!$A$2:$A$200,0))),"")</f>
        <v/>
      </c>
      <c r="M68" s="10">
        <f>IFERROR(IF(INDEX('Test catalog'!$H$2:$H$200,MATCH($AB68,'Test catalog'!$A$2:$A$200,0))="","",INDEX('Test catalog'!$H$2:$H$200,MATCH($AB68,'Test catalog'!$A$2:$A$200,0))),"")</f>
        <v/>
      </c>
      <c r="N68" s="10">
        <f>IFERROR(IF(INDEX('Test catalog'!$I$2:$I$200,MATCH($AB68,'Test catalog'!$A$2:$A$200,0))="","",INDEX('Test catalog'!$I$2:$I$200,MATCH($AB68,'Test catalog'!$A$2:$A$200,0))),"")</f>
        <v/>
      </c>
      <c r="O68" s="10">
        <f>IFERROR(IF(INDEX('Test catalog'!$J$2:$J$200,MATCH($AB68,'Test catalog'!$A$2:$A$200,0))="","",INDEX('Test catalog'!$J$2:$J$200,MATCH($AB68,'Test catalog'!$A$2:$A$200,0))),"")</f>
        <v/>
      </c>
      <c r="P68" s="14">
        <f>IF(N68="","",IF(OR(M68="",O68=""),N68,(M68+4*N68+O68)/6))</f>
        <v/>
      </c>
      <c r="Q68" s="10">
        <f>IFERROR(IF(INDEX('Test catalog'!$K$2:$K$200,MATCH($AB68,'Test catalog'!$A$2:$A$200,0))="","",INDEX('Test catalog'!$K$2:$K$200,MATCH($AB68,'Test catalog'!$A$2:$A$200,0))),"")</f>
        <v/>
      </c>
      <c r="R68" s="5" t="n"/>
      <c r="S68" s="10">
        <f>IFERROR(IF(INDEX('Test catalog'!$L$2:$L$200,MATCH($AB68,'Test catalog'!$A$2:$A$200,0))="","",INDEX('Test catalog'!$L$2:$L$200,MATCH($AB68,'Test catalog'!$A$2:$A$200,0))),"")</f>
        <v/>
      </c>
      <c r="T68" s="10">
        <f>IFERROR(IF(INDEX('Test catalog'!$M$2:$M$200,MATCH($AB68,'Test catalog'!$A$2:$A$200,0))="","",INDEX('Test catalog'!$M$2:$M$200,MATCH($AB68,'Test catalog'!$A$2:$A$200,0))),"")</f>
        <v/>
      </c>
      <c r="U68" s="10">
        <f>IFERROR(IF(INDEX('Test catalog'!$N$2:$N$200,MATCH($AB68,'Test catalog'!$A$2:$A$200,0))="","",INDEX('Test catalog'!$N$2:$N$200,MATCH($AB68,'Test catalog'!$A$2:$A$200,0))),"")</f>
        <v/>
      </c>
      <c r="V68" s="15" t="n"/>
      <c r="W68" s="5" t="inlineStr">
        <is>
          <t>N</t>
        </is>
      </c>
      <c r="X68" s="5" t="n"/>
      <c r="Y68" s="5" t="n"/>
      <c r="Z68" s="5" t="n"/>
      <c r="AA68" s="10">
        <f>IFERROR(IF(INDEX('Test catalog'!$O$2:$O$200,MATCH($AB68,'Test catalog'!$A$2:$A$200,0))="","",INDEX('Test catalog'!$O$2:$O$200,MATCH($AB68,'Test catalog'!$A$2:$A$200,0))),"")</f>
        <v/>
      </c>
      <c r="AB68" s="10" t="inlineStr">
        <is>
          <t>IPC</t>
        </is>
      </c>
    </row>
    <row r="69">
      <c r="A69" s="10" t="inlineStr">
        <is>
          <t>F10</t>
        </is>
      </c>
      <c r="B69" s="10" t="inlineStr">
        <is>
          <t>FP</t>
        </is>
      </c>
      <c r="C69" s="10" t="inlineStr">
        <is>
          <t>Bempedoic Acid 180  |  Bempedoic Acid</t>
        </is>
      </c>
      <c r="D69" s="10" t="inlineStr">
        <is>
          <t>Average weight / uniformity of mass</t>
        </is>
      </c>
      <c r="E69" s="10">
        <f>IF(A69="","",A69&amp;"|"&amp;D69)</f>
        <v/>
      </c>
      <c r="F69" s="5" t="inlineStr">
        <is>
          <t>Y</t>
        </is>
      </c>
      <c r="G69" s="5" t="inlineStr">
        <is>
          <t>Balance</t>
        </is>
      </c>
      <c r="H69" s="5" t="inlineStr">
        <is>
          <t>Low</t>
        </is>
      </c>
      <c r="I69" s="5" t="n">
        <v>1</v>
      </c>
      <c r="J69" s="5" t="n"/>
      <c r="K69" s="10">
        <f>IFERROR(IF(INDEX('Test catalog'!$F$2:$F$200,MATCH($AB69,'Test catalog'!$A$2:$A$200,0))="","",INDEX('Test catalog'!$F$2:$F$200,MATCH($AB69,'Test catalog'!$A$2:$A$200,0))),"")</f>
        <v/>
      </c>
      <c r="L69" s="10">
        <f>IFERROR(IF(INDEX('Test catalog'!$G$2:$G$200,MATCH($AB69,'Test catalog'!$A$2:$A$200,0))="","",INDEX('Test catalog'!$G$2:$G$200,MATCH($AB69,'Test catalog'!$A$2:$A$200,0))),"")</f>
        <v/>
      </c>
      <c r="M69" s="10">
        <f>IFERROR(IF(INDEX('Test catalog'!$H$2:$H$200,MATCH($AB69,'Test catalog'!$A$2:$A$200,0))="","",INDEX('Test catalog'!$H$2:$H$200,MATCH($AB69,'Test catalog'!$A$2:$A$200,0))),"")</f>
        <v/>
      </c>
      <c r="N69" s="10">
        <f>IFERROR(IF(INDEX('Test catalog'!$I$2:$I$200,MATCH($AB69,'Test catalog'!$A$2:$A$200,0))="","",INDEX('Test catalog'!$I$2:$I$200,MATCH($AB69,'Test catalog'!$A$2:$A$200,0))),"")</f>
        <v/>
      </c>
      <c r="O69" s="10">
        <f>IFERROR(IF(INDEX('Test catalog'!$J$2:$J$200,MATCH($AB69,'Test catalog'!$A$2:$A$200,0))="","",INDEX('Test catalog'!$J$2:$J$200,MATCH($AB69,'Test catalog'!$A$2:$A$200,0))),"")</f>
        <v/>
      </c>
      <c r="P69" s="14">
        <f>IF(N69="","",IF(OR(M69="",O69=""),N69,(M69+4*N69+O69)/6))</f>
        <v/>
      </c>
      <c r="Q69" s="10">
        <f>IFERROR(IF(INDEX('Test catalog'!$K$2:$K$200,MATCH($AB69,'Test catalog'!$A$2:$A$200,0))="","",INDEX('Test catalog'!$K$2:$K$200,MATCH($AB69,'Test catalog'!$A$2:$A$200,0))),"")</f>
        <v/>
      </c>
      <c r="R69" s="5" t="n"/>
      <c r="S69" s="10">
        <f>IFERROR(IF(INDEX('Test catalog'!$L$2:$L$200,MATCH($AB69,'Test catalog'!$A$2:$A$200,0))="","",INDEX('Test catalog'!$L$2:$L$200,MATCH($AB69,'Test catalog'!$A$2:$A$200,0))),"")</f>
        <v/>
      </c>
      <c r="T69" s="10">
        <f>IFERROR(IF(INDEX('Test catalog'!$M$2:$M$200,MATCH($AB69,'Test catalog'!$A$2:$A$200,0))="","",INDEX('Test catalog'!$M$2:$M$200,MATCH($AB69,'Test catalog'!$A$2:$A$200,0))),"")</f>
        <v/>
      </c>
      <c r="U69" s="10">
        <f>IFERROR(IF(INDEX('Test catalog'!$N$2:$N$200,MATCH($AB69,'Test catalog'!$A$2:$A$200,0))="","",INDEX('Test catalog'!$N$2:$N$200,MATCH($AB69,'Test catalog'!$A$2:$A$200,0))),"")</f>
        <v/>
      </c>
      <c r="V69" s="15" t="n"/>
      <c r="W69" s="5" t="inlineStr">
        <is>
          <t>N</t>
        </is>
      </c>
      <c r="X69" s="5" t="n"/>
      <c r="Y69" s="5" t="n"/>
      <c r="Z69" s="5" t="n"/>
      <c r="AA69" s="10">
        <f>IFERROR(IF(INDEX('Test catalog'!$O$2:$O$200,MATCH($AB69,'Test catalog'!$A$2:$A$200,0))="","",INDEX('Test catalog'!$O$2:$O$200,MATCH($AB69,'Test catalog'!$A$2:$A$200,0))),"")</f>
        <v/>
      </c>
      <c r="AB69" s="10" t="inlineStr">
        <is>
          <t>AVG_WT</t>
        </is>
      </c>
    </row>
    <row r="70">
      <c r="A70" s="10" t="inlineStr">
        <is>
          <t>F10</t>
        </is>
      </c>
      <c r="B70" s="10" t="inlineStr">
        <is>
          <t>FP</t>
        </is>
      </c>
      <c r="C70" s="10" t="inlineStr">
        <is>
          <t>Bempedoic Acid 180  |  Bempedoic Acid</t>
        </is>
      </c>
      <c r="D70" s="10" t="inlineStr">
        <is>
          <t>Diameter (or length / width)</t>
        </is>
      </c>
      <c r="E70" s="10">
        <f>IF(A70="","",A70&amp;"|"&amp;D70)</f>
        <v/>
      </c>
      <c r="F70" s="5" t="inlineStr">
        <is>
          <t>Y</t>
        </is>
      </c>
      <c r="G70" s="5" t="inlineStr">
        <is>
          <t>Tablet tester</t>
        </is>
      </c>
      <c r="H70" s="5" t="inlineStr">
        <is>
          <t>Low</t>
        </is>
      </c>
      <c r="I70" s="5" t="n">
        <v>1</v>
      </c>
      <c r="J70" s="5" t="n"/>
      <c r="K70" s="10">
        <f>IFERROR(IF(INDEX('Test catalog'!$F$2:$F$200,MATCH($AB70,'Test catalog'!$A$2:$A$200,0))="","",INDEX('Test catalog'!$F$2:$F$200,MATCH($AB70,'Test catalog'!$A$2:$A$200,0))),"")</f>
        <v/>
      </c>
      <c r="L70" s="10">
        <f>IFERROR(IF(INDEX('Test catalog'!$G$2:$G$200,MATCH($AB70,'Test catalog'!$A$2:$A$200,0))="","",INDEX('Test catalog'!$G$2:$G$200,MATCH($AB70,'Test catalog'!$A$2:$A$200,0))),"")</f>
        <v/>
      </c>
      <c r="M70" s="10">
        <f>IFERROR(IF(INDEX('Test catalog'!$H$2:$H$200,MATCH($AB70,'Test catalog'!$A$2:$A$200,0))="","",INDEX('Test catalog'!$H$2:$H$200,MATCH($AB70,'Test catalog'!$A$2:$A$200,0))),"")</f>
        <v/>
      </c>
      <c r="N70" s="10">
        <f>IFERROR(IF(INDEX('Test catalog'!$I$2:$I$200,MATCH($AB70,'Test catalog'!$A$2:$A$200,0))="","",INDEX('Test catalog'!$I$2:$I$200,MATCH($AB70,'Test catalog'!$A$2:$A$200,0))),"")</f>
        <v/>
      </c>
      <c r="O70" s="10">
        <f>IFERROR(IF(INDEX('Test catalog'!$J$2:$J$200,MATCH($AB70,'Test catalog'!$A$2:$A$200,0))="","",INDEX('Test catalog'!$J$2:$J$200,MATCH($AB70,'Test catalog'!$A$2:$A$200,0))),"")</f>
        <v/>
      </c>
      <c r="P70" s="14">
        <f>IF(N70="","",IF(OR(M70="",O70=""),N70,(M70+4*N70+O70)/6))</f>
        <v/>
      </c>
      <c r="Q70" s="10">
        <f>IFERROR(IF(INDEX('Test catalog'!$K$2:$K$200,MATCH($AB70,'Test catalog'!$A$2:$A$200,0))="","",INDEX('Test catalog'!$K$2:$K$200,MATCH($AB70,'Test catalog'!$A$2:$A$200,0))),"")</f>
        <v/>
      </c>
      <c r="R70" s="5" t="n"/>
      <c r="S70" s="10">
        <f>IFERROR(IF(INDEX('Test catalog'!$L$2:$L$200,MATCH($AB70,'Test catalog'!$A$2:$A$200,0))="","",INDEX('Test catalog'!$L$2:$L$200,MATCH($AB70,'Test catalog'!$A$2:$A$200,0))),"")</f>
        <v/>
      </c>
      <c r="T70" s="10">
        <f>IFERROR(IF(INDEX('Test catalog'!$M$2:$M$200,MATCH($AB70,'Test catalog'!$A$2:$A$200,0))="","",INDEX('Test catalog'!$M$2:$M$200,MATCH($AB70,'Test catalog'!$A$2:$A$200,0))),"")</f>
        <v/>
      </c>
      <c r="U70" s="10">
        <f>IFERROR(IF(INDEX('Test catalog'!$N$2:$N$200,MATCH($AB70,'Test catalog'!$A$2:$A$200,0))="","",INDEX('Test catalog'!$N$2:$N$200,MATCH($AB70,'Test catalog'!$A$2:$A$200,0))),"")</f>
        <v/>
      </c>
      <c r="V70" s="15" t="n"/>
      <c r="W70" s="5" t="inlineStr">
        <is>
          <t>N</t>
        </is>
      </c>
      <c r="X70" s="5" t="n"/>
      <c r="Y70" s="5" t="n"/>
      <c r="Z70" s="5" t="n"/>
      <c r="AA70" s="10">
        <f>IFERROR(IF(INDEX('Test catalog'!$O$2:$O$200,MATCH($AB70,'Test catalog'!$A$2:$A$200,0))="","",INDEX('Test catalog'!$O$2:$O$200,MATCH($AB70,'Test catalog'!$A$2:$A$200,0))),"")</f>
        <v/>
      </c>
      <c r="AB70" s="10" t="inlineStr">
        <is>
          <t>DIAM</t>
        </is>
      </c>
    </row>
    <row r="71">
      <c r="A71" s="10" t="inlineStr">
        <is>
          <t>F10</t>
        </is>
      </c>
      <c r="B71" s="10" t="inlineStr">
        <is>
          <t>FP</t>
        </is>
      </c>
      <c r="C71" s="10" t="inlineStr">
        <is>
          <t>Bempedoic Acid 180  |  Bempedoic Acid</t>
        </is>
      </c>
      <c r="D71" s="10" t="inlineStr">
        <is>
          <t>Thickness</t>
        </is>
      </c>
      <c r="E71" s="10">
        <f>IF(A71="","",A71&amp;"|"&amp;D71)</f>
        <v/>
      </c>
      <c r="F71" s="5" t="inlineStr">
        <is>
          <t>Y</t>
        </is>
      </c>
      <c r="G71" s="5" t="inlineStr">
        <is>
          <t>Tablet tester</t>
        </is>
      </c>
      <c r="H71" s="5" t="inlineStr">
        <is>
          <t>Low</t>
        </is>
      </c>
      <c r="I71" s="5" t="n">
        <v>1</v>
      </c>
      <c r="J71" s="5" t="n"/>
      <c r="K71" s="10">
        <f>IFERROR(IF(INDEX('Test catalog'!$F$2:$F$200,MATCH($AB71,'Test catalog'!$A$2:$A$200,0))="","",INDEX('Test catalog'!$F$2:$F$200,MATCH($AB71,'Test catalog'!$A$2:$A$200,0))),"")</f>
        <v/>
      </c>
      <c r="L71" s="10">
        <f>IFERROR(IF(INDEX('Test catalog'!$G$2:$G$200,MATCH($AB71,'Test catalog'!$A$2:$A$200,0))="","",INDEX('Test catalog'!$G$2:$G$200,MATCH($AB71,'Test catalog'!$A$2:$A$200,0))),"")</f>
        <v/>
      </c>
      <c r="M71" s="10">
        <f>IFERROR(IF(INDEX('Test catalog'!$H$2:$H$200,MATCH($AB71,'Test catalog'!$A$2:$A$200,0))="","",INDEX('Test catalog'!$H$2:$H$200,MATCH($AB71,'Test catalog'!$A$2:$A$200,0))),"")</f>
        <v/>
      </c>
      <c r="N71" s="10">
        <f>IFERROR(IF(INDEX('Test catalog'!$I$2:$I$200,MATCH($AB71,'Test catalog'!$A$2:$A$200,0))="","",INDEX('Test catalog'!$I$2:$I$200,MATCH($AB71,'Test catalog'!$A$2:$A$200,0))),"")</f>
        <v/>
      </c>
      <c r="O71" s="10">
        <f>IFERROR(IF(INDEX('Test catalog'!$J$2:$J$200,MATCH($AB71,'Test catalog'!$A$2:$A$200,0))="","",INDEX('Test catalog'!$J$2:$J$200,MATCH($AB71,'Test catalog'!$A$2:$A$200,0))),"")</f>
        <v/>
      </c>
      <c r="P71" s="14">
        <f>IF(N71="","",IF(OR(M71="",O71=""),N71,(M71+4*N71+O71)/6))</f>
        <v/>
      </c>
      <c r="Q71" s="10">
        <f>IFERROR(IF(INDEX('Test catalog'!$K$2:$K$200,MATCH($AB71,'Test catalog'!$A$2:$A$200,0))="","",INDEX('Test catalog'!$K$2:$K$200,MATCH($AB71,'Test catalog'!$A$2:$A$200,0))),"")</f>
        <v/>
      </c>
      <c r="R71" s="5" t="n"/>
      <c r="S71" s="10">
        <f>IFERROR(IF(INDEX('Test catalog'!$L$2:$L$200,MATCH($AB71,'Test catalog'!$A$2:$A$200,0))="","",INDEX('Test catalog'!$L$2:$L$200,MATCH($AB71,'Test catalog'!$A$2:$A$200,0))),"")</f>
        <v/>
      </c>
      <c r="T71" s="10">
        <f>IFERROR(IF(INDEX('Test catalog'!$M$2:$M$200,MATCH($AB71,'Test catalog'!$A$2:$A$200,0))="","",INDEX('Test catalog'!$M$2:$M$200,MATCH($AB71,'Test catalog'!$A$2:$A$200,0))),"")</f>
        <v/>
      </c>
      <c r="U71" s="10">
        <f>IFERROR(IF(INDEX('Test catalog'!$N$2:$N$200,MATCH($AB71,'Test catalog'!$A$2:$A$200,0))="","",INDEX('Test catalog'!$N$2:$N$200,MATCH($AB71,'Test catalog'!$A$2:$A$200,0))),"")</f>
        <v/>
      </c>
      <c r="V71" s="15" t="n"/>
      <c r="W71" s="5" t="inlineStr">
        <is>
          <t>N</t>
        </is>
      </c>
      <c r="X71" s="5" t="n"/>
      <c r="Y71" s="5" t="n"/>
      <c r="Z71" s="5" t="n"/>
      <c r="AA71" s="10">
        <f>IFERROR(IF(INDEX('Test catalog'!$O$2:$O$200,MATCH($AB71,'Test catalog'!$A$2:$A$200,0))="","",INDEX('Test catalog'!$O$2:$O$200,MATCH($AB71,'Test catalog'!$A$2:$A$200,0))),"")</f>
        <v/>
      </c>
      <c r="AB71" s="10" t="inlineStr">
        <is>
          <t>THICK</t>
        </is>
      </c>
    </row>
    <row r="72">
      <c r="A72" s="10" t="inlineStr">
        <is>
          <t>F10</t>
        </is>
      </c>
      <c r="B72" s="10" t="inlineStr">
        <is>
          <t>FP</t>
        </is>
      </c>
      <c r="C72" s="10" t="inlineStr">
        <is>
          <t>Bempedoic Acid 180  |  Bempedoic Acid</t>
        </is>
      </c>
      <c r="D72" s="10" t="inlineStr">
        <is>
          <t>Hardness / breaking force</t>
        </is>
      </c>
      <c r="E72" s="10">
        <f>IF(A72="","",A72&amp;"|"&amp;D72)</f>
        <v/>
      </c>
      <c r="F72" s="5" t="inlineStr">
        <is>
          <t>Y</t>
        </is>
      </c>
      <c r="G72" s="5" t="inlineStr">
        <is>
          <t>Tablet tester</t>
        </is>
      </c>
      <c r="H72" s="5" t="inlineStr">
        <is>
          <t>Low</t>
        </is>
      </c>
      <c r="I72" s="5" t="n">
        <v>1</v>
      </c>
      <c r="J72" s="5" t="n"/>
      <c r="K72" s="10">
        <f>IFERROR(IF(INDEX('Test catalog'!$F$2:$F$200,MATCH($AB72,'Test catalog'!$A$2:$A$200,0))="","",INDEX('Test catalog'!$F$2:$F$200,MATCH($AB72,'Test catalog'!$A$2:$A$200,0))),"")</f>
        <v/>
      </c>
      <c r="L72" s="10">
        <f>IFERROR(IF(INDEX('Test catalog'!$G$2:$G$200,MATCH($AB72,'Test catalog'!$A$2:$A$200,0))="","",INDEX('Test catalog'!$G$2:$G$200,MATCH($AB72,'Test catalog'!$A$2:$A$200,0))),"")</f>
        <v/>
      </c>
      <c r="M72" s="10">
        <f>IFERROR(IF(INDEX('Test catalog'!$H$2:$H$200,MATCH($AB72,'Test catalog'!$A$2:$A$200,0))="","",INDEX('Test catalog'!$H$2:$H$200,MATCH($AB72,'Test catalog'!$A$2:$A$200,0))),"")</f>
        <v/>
      </c>
      <c r="N72" s="10">
        <f>IFERROR(IF(INDEX('Test catalog'!$I$2:$I$200,MATCH($AB72,'Test catalog'!$A$2:$A$200,0))="","",INDEX('Test catalog'!$I$2:$I$200,MATCH($AB72,'Test catalog'!$A$2:$A$200,0))),"")</f>
        <v/>
      </c>
      <c r="O72" s="10">
        <f>IFERROR(IF(INDEX('Test catalog'!$J$2:$J$200,MATCH($AB72,'Test catalog'!$A$2:$A$200,0))="","",INDEX('Test catalog'!$J$2:$J$200,MATCH($AB72,'Test catalog'!$A$2:$A$200,0))),"")</f>
        <v/>
      </c>
      <c r="P72" s="14">
        <f>IF(N72="","",IF(OR(M72="",O72=""),N72,(M72+4*N72+O72)/6))</f>
        <v/>
      </c>
      <c r="Q72" s="10">
        <f>IFERROR(IF(INDEX('Test catalog'!$K$2:$K$200,MATCH($AB72,'Test catalog'!$A$2:$A$200,0))="","",INDEX('Test catalog'!$K$2:$K$200,MATCH($AB72,'Test catalog'!$A$2:$A$200,0))),"")</f>
        <v/>
      </c>
      <c r="R72" s="5" t="n"/>
      <c r="S72" s="10">
        <f>IFERROR(IF(INDEX('Test catalog'!$L$2:$L$200,MATCH($AB72,'Test catalog'!$A$2:$A$200,0))="","",INDEX('Test catalog'!$L$2:$L$200,MATCH($AB72,'Test catalog'!$A$2:$A$200,0))),"")</f>
        <v/>
      </c>
      <c r="T72" s="10">
        <f>IFERROR(IF(INDEX('Test catalog'!$M$2:$M$200,MATCH($AB72,'Test catalog'!$A$2:$A$200,0))="","",INDEX('Test catalog'!$M$2:$M$200,MATCH($AB72,'Test catalog'!$A$2:$A$200,0))),"")</f>
        <v/>
      </c>
      <c r="U72" s="10">
        <f>IFERROR(IF(INDEX('Test catalog'!$N$2:$N$200,MATCH($AB72,'Test catalog'!$A$2:$A$200,0))="","",INDEX('Test catalog'!$N$2:$N$200,MATCH($AB72,'Test catalog'!$A$2:$A$200,0))),"")</f>
        <v/>
      </c>
      <c r="V72" s="15" t="n"/>
      <c r="W72" s="5" t="inlineStr">
        <is>
          <t>Y</t>
        </is>
      </c>
      <c r="X72" s="5" t="n"/>
      <c r="Y72" s="5" t="n"/>
      <c r="Z72" s="5" t="n"/>
      <c r="AA72" s="10">
        <f>IFERROR(IF(INDEX('Test catalog'!$O$2:$O$200,MATCH($AB72,'Test catalog'!$A$2:$A$200,0))="","",INDEX('Test catalog'!$O$2:$O$200,MATCH($AB72,'Test catalog'!$A$2:$A$200,0))),"")</f>
        <v/>
      </c>
      <c r="AB72" s="10" t="inlineStr">
        <is>
          <t>HARD</t>
        </is>
      </c>
    </row>
    <row r="73">
      <c r="A73" s="10" t="inlineStr">
        <is>
          <t>F10</t>
        </is>
      </c>
      <c r="B73" s="10" t="inlineStr">
        <is>
          <t>FP</t>
        </is>
      </c>
      <c r="C73" s="10" t="inlineStr">
        <is>
          <t>Bempedoic Acid 180  |  Bempedoic Acid</t>
        </is>
      </c>
      <c r="D73" s="10" t="inlineStr">
        <is>
          <t>Brittleness</t>
        </is>
      </c>
      <c r="E73" s="10">
        <f>IF(A73="","",A73&amp;"|"&amp;D73)</f>
        <v/>
      </c>
      <c r="F73" s="5" t="inlineStr">
        <is>
          <t>Y</t>
        </is>
      </c>
      <c r="G73" s="5" t="inlineStr">
        <is>
          <t>Other / bench</t>
        </is>
      </c>
      <c r="H73" s="5" t="inlineStr">
        <is>
          <t>Low</t>
        </is>
      </c>
      <c r="I73" s="5" t="n">
        <v>1</v>
      </c>
      <c r="J73" s="5" t="n"/>
      <c r="K73" s="10">
        <f>IFERROR(IF(INDEX('Test catalog'!$F$2:$F$200,MATCH($AB73,'Test catalog'!$A$2:$A$200,0))="","",INDEX('Test catalog'!$F$2:$F$200,MATCH($AB73,'Test catalog'!$A$2:$A$200,0))),"")</f>
        <v/>
      </c>
      <c r="L73" s="10">
        <f>IFERROR(IF(INDEX('Test catalog'!$G$2:$G$200,MATCH($AB73,'Test catalog'!$A$2:$A$200,0))="","",INDEX('Test catalog'!$G$2:$G$200,MATCH($AB73,'Test catalog'!$A$2:$A$200,0))),"")</f>
        <v/>
      </c>
      <c r="M73" s="10">
        <f>IFERROR(IF(INDEX('Test catalog'!$H$2:$H$200,MATCH($AB73,'Test catalog'!$A$2:$A$200,0))="","",INDEX('Test catalog'!$H$2:$H$200,MATCH($AB73,'Test catalog'!$A$2:$A$200,0))),"")</f>
        <v/>
      </c>
      <c r="N73" s="10">
        <f>IFERROR(IF(INDEX('Test catalog'!$I$2:$I$200,MATCH($AB73,'Test catalog'!$A$2:$A$200,0))="","",INDEX('Test catalog'!$I$2:$I$200,MATCH($AB73,'Test catalog'!$A$2:$A$200,0))),"")</f>
        <v/>
      </c>
      <c r="O73" s="10">
        <f>IFERROR(IF(INDEX('Test catalog'!$J$2:$J$200,MATCH($AB73,'Test catalog'!$A$2:$A$200,0))="","",INDEX('Test catalog'!$J$2:$J$200,MATCH($AB73,'Test catalog'!$A$2:$A$200,0))),"")</f>
        <v/>
      </c>
      <c r="P73" s="14">
        <f>IF(N73="","",IF(OR(M73="",O73=""),N73,(M73+4*N73+O73)/6))</f>
        <v/>
      </c>
      <c r="Q73" s="10">
        <f>IFERROR(IF(INDEX('Test catalog'!$K$2:$K$200,MATCH($AB73,'Test catalog'!$A$2:$A$200,0))="","",INDEX('Test catalog'!$K$2:$K$200,MATCH($AB73,'Test catalog'!$A$2:$A$200,0))),"")</f>
        <v/>
      </c>
      <c r="R73" s="5" t="n"/>
      <c r="S73" s="10">
        <f>IFERROR(IF(INDEX('Test catalog'!$L$2:$L$200,MATCH($AB73,'Test catalog'!$A$2:$A$200,0))="","",INDEX('Test catalog'!$L$2:$L$200,MATCH($AB73,'Test catalog'!$A$2:$A$200,0))),"")</f>
        <v/>
      </c>
      <c r="T73" s="10">
        <f>IFERROR(IF(INDEX('Test catalog'!$M$2:$M$200,MATCH($AB73,'Test catalog'!$A$2:$A$200,0))="","",INDEX('Test catalog'!$M$2:$M$200,MATCH($AB73,'Test catalog'!$A$2:$A$200,0))),"")</f>
        <v/>
      </c>
      <c r="U73" s="10">
        <f>IFERROR(IF(INDEX('Test catalog'!$N$2:$N$200,MATCH($AB73,'Test catalog'!$A$2:$A$200,0))="","",INDEX('Test catalog'!$N$2:$N$200,MATCH($AB73,'Test catalog'!$A$2:$A$200,0))),"")</f>
        <v/>
      </c>
      <c r="V73" s="15" t="n"/>
      <c r="W73" s="5" t="inlineStr">
        <is>
          <t>N</t>
        </is>
      </c>
      <c r="X73" s="5" t="n"/>
      <c r="Y73" s="5" t="n"/>
      <c r="Z73" s="5" t="n"/>
      <c r="AA73" s="10">
        <f>IFERROR(IF(INDEX('Test catalog'!$O$2:$O$200,MATCH($AB73,'Test catalog'!$A$2:$A$200,0))="","",INDEX('Test catalog'!$O$2:$O$200,MATCH($AB73,'Test catalog'!$A$2:$A$200,0))),"")</f>
        <v/>
      </c>
      <c r="AB73" s="10" t="inlineStr">
        <is>
          <t>BRITTLE</t>
        </is>
      </c>
    </row>
    <row r="74">
      <c r="A74" s="10" t="inlineStr">
        <is>
          <t>F10</t>
        </is>
      </c>
      <c r="B74" s="10" t="inlineStr">
        <is>
          <t>FP</t>
        </is>
      </c>
      <c r="C74" s="10" t="inlineStr">
        <is>
          <t>Bempedoic Acid 180  |  Bempedoic Acid</t>
        </is>
      </c>
      <c r="D74" s="10" t="inlineStr">
        <is>
          <t>Friability</t>
        </is>
      </c>
      <c r="E74" s="10">
        <f>IF(A74="","",A74&amp;"|"&amp;D74)</f>
        <v/>
      </c>
      <c r="F74" s="5" t="inlineStr">
        <is>
          <t>Y</t>
        </is>
      </c>
      <c r="G74" s="5" t="inlineStr">
        <is>
          <t>Friabilator</t>
        </is>
      </c>
      <c r="H74" s="5" t="inlineStr">
        <is>
          <t>Low</t>
        </is>
      </c>
      <c r="I74" s="5" t="n">
        <v>1</v>
      </c>
      <c r="J74" s="5" t="n"/>
      <c r="K74" s="10">
        <f>IFERROR(IF(INDEX('Test catalog'!$F$2:$F$200,MATCH($AB74,'Test catalog'!$A$2:$A$200,0))="","",INDEX('Test catalog'!$F$2:$F$200,MATCH($AB74,'Test catalog'!$A$2:$A$200,0))),"")</f>
        <v/>
      </c>
      <c r="L74" s="10">
        <f>IFERROR(IF(INDEX('Test catalog'!$G$2:$G$200,MATCH($AB74,'Test catalog'!$A$2:$A$200,0))="","",INDEX('Test catalog'!$G$2:$G$200,MATCH($AB74,'Test catalog'!$A$2:$A$200,0))),"")</f>
        <v/>
      </c>
      <c r="M74" s="10">
        <f>IFERROR(IF(INDEX('Test catalog'!$H$2:$H$200,MATCH($AB74,'Test catalog'!$A$2:$A$200,0))="","",INDEX('Test catalog'!$H$2:$H$200,MATCH($AB74,'Test catalog'!$A$2:$A$200,0))),"")</f>
        <v/>
      </c>
      <c r="N74" s="10">
        <f>IFERROR(IF(INDEX('Test catalog'!$I$2:$I$200,MATCH($AB74,'Test catalog'!$A$2:$A$200,0))="","",INDEX('Test catalog'!$I$2:$I$200,MATCH($AB74,'Test catalog'!$A$2:$A$200,0))),"")</f>
        <v/>
      </c>
      <c r="O74" s="10">
        <f>IFERROR(IF(INDEX('Test catalog'!$J$2:$J$200,MATCH($AB74,'Test catalog'!$A$2:$A$200,0))="","",INDEX('Test catalog'!$J$2:$J$200,MATCH($AB74,'Test catalog'!$A$2:$A$200,0))),"")</f>
        <v/>
      </c>
      <c r="P74" s="14">
        <f>IF(N74="","",IF(OR(M74="",O74=""),N74,(M74+4*N74+O74)/6))</f>
        <v/>
      </c>
      <c r="Q74" s="10">
        <f>IFERROR(IF(INDEX('Test catalog'!$K$2:$K$200,MATCH($AB74,'Test catalog'!$A$2:$A$200,0))="","",INDEX('Test catalog'!$K$2:$K$200,MATCH($AB74,'Test catalog'!$A$2:$A$200,0))),"")</f>
        <v/>
      </c>
      <c r="R74" s="5" t="n"/>
      <c r="S74" s="10">
        <f>IFERROR(IF(INDEX('Test catalog'!$L$2:$L$200,MATCH($AB74,'Test catalog'!$A$2:$A$200,0))="","",INDEX('Test catalog'!$L$2:$L$200,MATCH($AB74,'Test catalog'!$A$2:$A$200,0))),"")</f>
        <v/>
      </c>
      <c r="T74" s="10">
        <f>IFERROR(IF(INDEX('Test catalog'!$M$2:$M$200,MATCH($AB74,'Test catalog'!$A$2:$A$200,0))="","",INDEX('Test catalog'!$M$2:$M$200,MATCH($AB74,'Test catalog'!$A$2:$A$200,0))),"")</f>
        <v/>
      </c>
      <c r="U74" s="10">
        <f>IFERROR(IF(INDEX('Test catalog'!$N$2:$N$200,MATCH($AB74,'Test catalog'!$A$2:$A$200,0))="","",INDEX('Test catalog'!$N$2:$N$200,MATCH($AB74,'Test catalog'!$A$2:$A$200,0))),"")</f>
        <v/>
      </c>
      <c r="V74" s="15" t="n"/>
      <c r="W74" s="5" t="inlineStr">
        <is>
          <t>N</t>
        </is>
      </c>
      <c r="X74" s="5" t="n"/>
      <c r="Y74" s="5" t="n"/>
      <c r="Z74" s="5" t="n"/>
      <c r="AA74" s="10">
        <f>IFERROR(IF(INDEX('Test catalog'!$O$2:$O$200,MATCH($AB74,'Test catalog'!$A$2:$A$200,0))="","",INDEX('Test catalog'!$O$2:$O$200,MATCH($AB74,'Test catalog'!$A$2:$A$200,0))),"")</f>
        <v/>
      </c>
      <c r="AB74" s="10" t="inlineStr">
        <is>
          <t>FRIAB</t>
        </is>
      </c>
    </row>
    <row r="75">
      <c r="A75" s="10" t="inlineStr">
        <is>
          <t>F10</t>
        </is>
      </c>
      <c r="B75" s="10" t="inlineStr">
        <is>
          <t>FP</t>
        </is>
      </c>
      <c r="C75" s="10" t="inlineStr">
        <is>
          <t>Bempedoic Acid 180  |  Bempedoic Acid</t>
        </is>
      </c>
      <c r="D75" s="10" t="inlineStr">
        <is>
          <t>Disintegration</t>
        </is>
      </c>
      <c r="E75" s="10">
        <f>IF(A75="","",A75&amp;"|"&amp;D75)</f>
        <v/>
      </c>
      <c r="F75" s="5" t="inlineStr">
        <is>
          <t>Y</t>
        </is>
      </c>
      <c r="G75" s="5" t="inlineStr">
        <is>
          <t>Disintegration tester</t>
        </is>
      </c>
      <c r="H75" s="5" t="inlineStr">
        <is>
          <t>Low</t>
        </is>
      </c>
      <c r="I75" s="5" t="n">
        <v>1</v>
      </c>
      <c r="J75" s="5" t="n"/>
      <c r="K75" s="10">
        <f>IFERROR(IF(INDEX('Test catalog'!$F$2:$F$200,MATCH($AB75,'Test catalog'!$A$2:$A$200,0))="","",INDEX('Test catalog'!$F$2:$F$200,MATCH($AB75,'Test catalog'!$A$2:$A$200,0))),"")</f>
        <v/>
      </c>
      <c r="L75" s="10">
        <f>IFERROR(IF(INDEX('Test catalog'!$G$2:$G$200,MATCH($AB75,'Test catalog'!$A$2:$A$200,0))="","",INDEX('Test catalog'!$G$2:$G$200,MATCH($AB75,'Test catalog'!$A$2:$A$200,0))),"")</f>
        <v/>
      </c>
      <c r="M75" s="10">
        <f>IFERROR(IF(INDEX('Test catalog'!$H$2:$H$200,MATCH($AB75,'Test catalog'!$A$2:$A$200,0))="","",INDEX('Test catalog'!$H$2:$H$200,MATCH($AB75,'Test catalog'!$A$2:$A$200,0))),"")</f>
        <v/>
      </c>
      <c r="N75" s="10">
        <f>IFERROR(IF(INDEX('Test catalog'!$I$2:$I$200,MATCH($AB75,'Test catalog'!$A$2:$A$200,0))="","",INDEX('Test catalog'!$I$2:$I$200,MATCH($AB75,'Test catalog'!$A$2:$A$200,0))),"")</f>
        <v/>
      </c>
      <c r="O75" s="10">
        <f>IFERROR(IF(INDEX('Test catalog'!$J$2:$J$200,MATCH($AB75,'Test catalog'!$A$2:$A$200,0))="","",INDEX('Test catalog'!$J$2:$J$200,MATCH($AB75,'Test catalog'!$A$2:$A$200,0))),"")</f>
        <v/>
      </c>
      <c r="P75" s="14">
        <f>IF(N75="","",IF(OR(M75="",O75=""),N75,(M75+4*N75+O75)/6))</f>
        <v/>
      </c>
      <c r="Q75" s="10">
        <f>IFERROR(IF(INDEX('Test catalog'!$K$2:$K$200,MATCH($AB75,'Test catalog'!$A$2:$A$200,0))="","",INDEX('Test catalog'!$K$2:$K$200,MATCH($AB75,'Test catalog'!$A$2:$A$200,0))),"")</f>
        <v/>
      </c>
      <c r="R75" s="5" t="n"/>
      <c r="S75" s="10">
        <f>IFERROR(IF(INDEX('Test catalog'!$L$2:$L$200,MATCH($AB75,'Test catalog'!$A$2:$A$200,0))="","",INDEX('Test catalog'!$L$2:$L$200,MATCH($AB75,'Test catalog'!$A$2:$A$200,0))),"")</f>
        <v/>
      </c>
      <c r="T75" s="10">
        <f>IFERROR(IF(INDEX('Test catalog'!$M$2:$M$200,MATCH($AB75,'Test catalog'!$A$2:$A$200,0))="","",INDEX('Test catalog'!$M$2:$M$200,MATCH($AB75,'Test catalog'!$A$2:$A$200,0))),"")</f>
        <v/>
      </c>
      <c r="U75" s="10">
        <f>IFERROR(IF(INDEX('Test catalog'!$N$2:$N$200,MATCH($AB75,'Test catalog'!$A$2:$A$200,0))="","",INDEX('Test catalog'!$N$2:$N$200,MATCH($AB75,'Test catalog'!$A$2:$A$200,0))),"")</f>
        <v/>
      </c>
      <c r="V75" s="15" t="n"/>
      <c r="W75" s="5" t="inlineStr">
        <is>
          <t>Y</t>
        </is>
      </c>
      <c r="X75" s="5" t="n"/>
      <c r="Y75" s="5" t="n"/>
      <c r="Z75" s="5" t="n"/>
      <c r="AA75" s="10">
        <f>IFERROR(IF(INDEX('Test catalog'!$O$2:$O$200,MATCH($AB75,'Test catalog'!$A$2:$A$200,0))="","",INDEX('Test catalog'!$O$2:$O$200,MATCH($AB75,'Test catalog'!$A$2:$A$200,0))),"")</f>
        <v/>
      </c>
      <c r="AB75" s="10" t="inlineStr">
        <is>
          <t>DISINT</t>
        </is>
      </c>
    </row>
    <row r="76">
      <c r="A76" s="10" t="inlineStr">
        <is>
          <t>F10</t>
        </is>
      </c>
      <c r="B76" s="10" t="inlineStr">
        <is>
          <t>FP</t>
        </is>
      </c>
      <c r="C76" s="10" t="inlineStr">
        <is>
          <t>Bempedoic Acid 180  |  Bempedoic Acid</t>
        </is>
      </c>
      <c r="D76" s="10" t="inlineStr">
        <is>
          <t>In-process check at the machine (one check, all its tests)</t>
        </is>
      </c>
      <c r="E76" s="10">
        <f>IF(A76="","",A76&amp;"|"&amp;D76)</f>
        <v/>
      </c>
      <c r="F76" s="5" t="inlineStr">
        <is>
          <t>Y</t>
        </is>
      </c>
      <c r="G76" s="5" t="inlineStr">
        <is>
          <t>Tablet tester</t>
        </is>
      </c>
      <c r="H76" s="5" t="inlineStr">
        <is>
          <t>Low</t>
        </is>
      </c>
      <c r="I76" s="5" t="n">
        <v>1</v>
      </c>
      <c r="J76" s="5" t="n"/>
      <c r="K76" s="10">
        <f>IFERROR(IF(INDEX('Test catalog'!$F$2:$F$200,MATCH($AB76,'Test catalog'!$A$2:$A$200,0))="","",INDEX('Test catalog'!$F$2:$F$200,MATCH($AB76,'Test catalog'!$A$2:$A$200,0))),"")</f>
        <v/>
      </c>
      <c r="L76" s="10">
        <f>IFERROR(IF(INDEX('Test catalog'!$G$2:$G$200,MATCH($AB76,'Test catalog'!$A$2:$A$200,0))="","",INDEX('Test catalog'!$G$2:$G$200,MATCH($AB76,'Test catalog'!$A$2:$A$200,0))),"")</f>
        <v/>
      </c>
      <c r="M76" s="10">
        <f>IFERROR(IF(INDEX('Test catalog'!$H$2:$H$200,MATCH($AB76,'Test catalog'!$A$2:$A$200,0))="","",INDEX('Test catalog'!$H$2:$H$200,MATCH($AB76,'Test catalog'!$A$2:$A$200,0))),"")</f>
        <v/>
      </c>
      <c r="N76" s="10">
        <f>IFERROR(IF(INDEX('Test catalog'!$I$2:$I$200,MATCH($AB76,'Test catalog'!$A$2:$A$200,0))="","",INDEX('Test catalog'!$I$2:$I$200,MATCH($AB76,'Test catalog'!$A$2:$A$200,0))),"")</f>
        <v/>
      </c>
      <c r="O76" s="10">
        <f>IFERROR(IF(INDEX('Test catalog'!$J$2:$J$200,MATCH($AB76,'Test catalog'!$A$2:$A$200,0))="","",INDEX('Test catalog'!$J$2:$J$200,MATCH($AB76,'Test catalog'!$A$2:$A$200,0))),"")</f>
        <v/>
      </c>
      <c r="P76" s="14">
        <f>IF(N76="","",IF(OR(M76="",O76=""),N76,(M76+4*N76+O76)/6))</f>
        <v/>
      </c>
      <c r="Q76" s="10">
        <f>IFERROR(IF(INDEX('Test catalog'!$K$2:$K$200,MATCH($AB76,'Test catalog'!$A$2:$A$200,0))="","",INDEX('Test catalog'!$K$2:$K$200,MATCH($AB76,'Test catalog'!$A$2:$A$200,0))),"")</f>
        <v/>
      </c>
      <c r="R76" s="5" t="n"/>
      <c r="S76" s="10">
        <f>IFERROR(IF(INDEX('Test catalog'!$L$2:$L$200,MATCH($AB76,'Test catalog'!$A$2:$A$200,0))="","",INDEX('Test catalog'!$L$2:$L$200,MATCH($AB76,'Test catalog'!$A$2:$A$200,0))),"")</f>
        <v/>
      </c>
      <c r="T76" s="10">
        <f>IFERROR(IF(INDEX('Test catalog'!$M$2:$M$200,MATCH($AB76,'Test catalog'!$A$2:$A$200,0))="","",INDEX('Test catalog'!$M$2:$M$200,MATCH($AB76,'Test catalog'!$A$2:$A$200,0))),"")</f>
        <v/>
      </c>
      <c r="U76" s="10">
        <f>IFERROR(IF(INDEX('Test catalog'!$N$2:$N$200,MATCH($AB76,'Test catalog'!$A$2:$A$200,0))="","",INDEX('Test catalog'!$N$2:$N$200,MATCH($AB76,'Test catalog'!$A$2:$A$200,0))),"")</f>
        <v/>
      </c>
      <c r="V76" s="15" t="n"/>
      <c r="W76" s="5" t="inlineStr">
        <is>
          <t>N</t>
        </is>
      </c>
      <c r="X76" s="5" t="n"/>
      <c r="Y76" s="5" t="n"/>
      <c r="Z76" s="5" t="n"/>
      <c r="AA76" s="10">
        <f>IFERROR(IF(INDEX('Test catalog'!$O$2:$O$200,MATCH($AB76,'Test catalog'!$A$2:$A$200,0))="","",INDEX('Test catalog'!$O$2:$O$200,MATCH($AB76,'Test catalog'!$A$2:$A$200,0))),"")</f>
        <v/>
      </c>
      <c r="AB76" s="10" t="inlineStr">
        <is>
          <t>IPC</t>
        </is>
      </c>
    </row>
    <row r="77">
      <c r="A77" s="10" t="inlineStr">
        <is>
          <t>F11</t>
        </is>
      </c>
      <c r="B77" s="10" t="inlineStr">
        <is>
          <t>FP</t>
        </is>
      </c>
      <c r="C77" s="10" t="inlineStr">
        <is>
          <t>Bempedoic Ezetimibe 180/10  |  Bempedoic Acid, Ezetimibe</t>
        </is>
      </c>
      <c r="D77" s="10" t="inlineStr">
        <is>
          <t>Average weight / uniformity of mass</t>
        </is>
      </c>
      <c r="E77" s="10">
        <f>IF(A77="","",A77&amp;"|"&amp;D77)</f>
        <v/>
      </c>
      <c r="F77" s="5" t="inlineStr">
        <is>
          <t>Y</t>
        </is>
      </c>
      <c r="G77" s="5" t="inlineStr">
        <is>
          <t>Balance</t>
        </is>
      </c>
      <c r="H77" s="5" t="inlineStr">
        <is>
          <t>Low</t>
        </is>
      </c>
      <c r="I77" s="5" t="n">
        <v>1</v>
      </c>
      <c r="J77" s="5" t="n"/>
      <c r="K77" s="10">
        <f>IFERROR(IF(INDEX('Test catalog'!$F$2:$F$200,MATCH($AB77,'Test catalog'!$A$2:$A$200,0))="","",INDEX('Test catalog'!$F$2:$F$200,MATCH($AB77,'Test catalog'!$A$2:$A$200,0))),"")</f>
        <v/>
      </c>
      <c r="L77" s="10">
        <f>IFERROR(IF(INDEX('Test catalog'!$G$2:$G$200,MATCH($AB77,'Test catalog'!$A$2:$A$200,0))="","",INDEX('Test catalog'!$G$2:$G$200,MATCH($AB77,'Test catalog'!$A$2:$A$200,0))),"")</f>
        <v/>
      </c>
      <c r="M77" s="10">
        <f>IFERROR(IF(INDEX('Test catalog'!$H$2:$H$200,MATCH($AB77,'Test catalog'!$A$2:$A$200,0))="","",INDEX('Test catalog'!$H$2:$H$200,MATCH($AB77,'Test catalog'!$A$2:$A$200,0))),"")</f>
        <v/>
      </c>
      <c r="N77" s="10">
        <f>IFERROR(IF(INDEX('Test catalog'!$I$2:$I$200,MATCH($AB77,'Test catalog'!$A$2:$A$200,0))="","",INDEX('Test catalog'!$I$2:$I$200,MATCH($AB77,'Test catalog'!$A$2:$A$200,0))),"")</f>
        <v/>
      </c>
      <c r="O77" s="10">
        <f>IFERROR(IF(INDEX('Test catalog'!$J$2:$J$200,MATCH($AB77,'Test catalog'!$A$2:$A$200,0))="","",INDEX('Test catalog'!$J$2:$J$200,MATCH($AB77,'Test catalog'!$A$2:$A$200,0))),"")</f>
        <v/>
      </c>
      <c r="P77" s="14">
        <f>IF(N77="","",IF(OR(M77="",O77=""),N77,(M77+4*N77+O77)/6))</f>
        <v/>
      </c>
      <c r="Q77" s="10">
        <f>IFERROR(IF(INDEX('Test catalog'!$K$2:$K$200,MATCH($AB77,'Test catalog'!$A$2:$A$200,0))="","",INDEX('Test catalog'!$K$2:$K$200,MATCH($AB77,'Test catalog'!$A$2:$A$200,0))),"")</f>
        <v/>
      </c>
      <c r="R77" s="5" t="n"/>
      <c r="S77" s="10">
        <f>IFERROR(IF(INDEX('Test catalog'!$L$2:$L$200,MATCH($AB77,'Test catalog'!$A$2:$A$200,0))="","",INDEX('Test catalog'!$L$2:$L$200,MATCH($AB77,'Test catalog'!$A$2:$A$200,0))),"")</f>
        <v/>
      </c>
      <c r="T77" s="10">
        <f>IFERROR(IF(INDEX('Test catalog'!$M$2:$M$200,MATCH($AB77,'Test catalog'!$A$2:$A$200,0))="","",INDEX('Test catalog'!$M$2:$M$200,MATCH($AB77,'Test catalog'!$A$2:$A$200,0))),"")</f>
        <v/>
      </c>
      <c r="U77" s="10">
        <f>IFERROR(IF(INDEX('Test catalog'!$N$2:$N$200,MATCH($AB77,'Test catalog'!$A$2:$A$200,0))="","",INDEX('Test catalog'!$N$2:$N$200,MATCH($AB77,'Test catalog'!$A$2:$A$200,0))),"")</f>
        <v/>
      </c>
      <c r="V77" s="15" t="n"/>
      <c r="W77" s="5" t="inlineStr">
        <is>
          <t>N</t>
        </is>
      </c>
      <c r="X77" s="5" t="n"/>
      <c r="Y77" s="5" t="n"/>
      <c r="Z77" s="5" t="n"/>
      <c r="AA77" s="10">
        <f>IFERROR(IF(INDEX('Test catalog'!$O$2:$O$200,MATCH($AB77,'Test catalog'!$A$2:$A$200,0))="","",INDEX('Test catalog'!$O$2:$O$200,MATCH($AB77,'Test catalog'!$A$2:$A$200,0))),"")</f>
        <v/>
      </c>
      <c r="AB77" s="10" t="inlineStr">
        <is>
          <t>AVG_WT</t>
        </is>
      </c>
    </row>
    <row r="78">
      <c r="A78" s="10" t="inlineStr">
        <is>
          <t>F11</t>
        </is>
      </c>
      <c r="B78" s="10" t="inlineStr">
        <is>
          <t>FP</t>
        </is>
      </c>
      <c r="C78" s="10" t="inlineStr">
        <is>
          <t>Bempedoic Ezetimibe 180/10  |  Bempedoic Acid, Ezetimibe</t>
        </is>
      </c>
      <c r="D78" s="10" t="inlineStr">
        <is>
          <t>Diameter (or length / width)</t>
        </is>
      </c>
      <c r="E78" s="10">
        <f>IF(A78="","",A78&amp;"|"&amp;D78)</f>
        <v/>
      </c>
      <c r="F78" s="5" t="inlineStr">
        <is>
          <t>Y</t>
        </is>
      </c>
      <c r="G78" s="5" t="inlineStr">
        <is>
          <t>Tablet tester</t>
        </is>
      </c>
      <c r="H78" s="5" t="inlineStr">
        <is>
          <t>Low</t>
        </is>
      </c>
      <c r="I78" s="5" t="n">
        <v>1</v>
      </c>
      <c r="J78" s="5" t="n"/>
      <c r="K78" s="10">
        <f>IFERROR(IF(INDEX('Test catalog'!$F$2:$F$200,MATCH($AB78,'Test catalog'!$A$2:$A$200,0))="","",INDEX('Test catalog'!$F$2:$F$200,MATCH($AB78,'Test catalog'!$A$2:$A$200,0))),"")</f>
        <v/>
      </c>
      <c r="L78" s="10">
        <f>IFERROR(IF(INDEX('Test catalog'!$G$2:$G$200,MATCH($AB78,'Test catalog'!$A$2:$A$200,0))="","",INDEX('Test catalog'!$G$2:$G$200,MATCH($AB78,'Test catalog'!$A$2:$A$200,0))),"")</f>
        <v/>
      </c>
      <c r="M78" s="10">
        <f>IFERROR(IF(INDEX('Test catalog'!$H$2:$H$200,MATCH($AB78,'Test catalog'!$A$2:$A$200,0))="","",INDEX('Test catalog'!$H$2:$H$200,MATCH($AB78,'Test catalog'!$A$2:$A$200,0))),"")</f>
        <v/>
      </c>
      <c r="N78" s="10">
        <f>IFERROR(IF(INDEX('Test catalog'!$I$2:$I$200,MATCH($AB78,'Test catalog'!$A$2:$A$200,0))="","",INDEX('Test catalog'!$I$2:$I$200,MATCH($AB78,'Test catalog'!$A$2:$A$200,0))),"")</f>
        <v/>
      </c>
      <c r="O78" s="10">
        <f>IFERROR(IF(INDEX('Test catalog'!$J$2:$J$200,MATCH($AB78,'Test catalog'!$A$2:$A$200,0))="","",INDEX('Test catalog'!$J$2:$J$200,MATCH($AB78,'Test catalog'!$A$2:$A$200,0))),"")</f>
        <v/>
      </c>
      <c r="P78" s="14">
        <f>IF(N78="","",IF(OR(M78="",O78=""),N78,(M78+4*N78+O78)/6))</f>
        <v/>
      </c>
      <c r="Q78" s="10">
        <f>IFERROR(IF(INDEX('Test catalog'!$K$2:$K$200,MATCH($AB78,'Test catalog'!$A$2:$A$200,0))="","",INDEX('Test catalog'!$K$2:$K$200,MATCH($AB78,'Test catalog'!$A$2:$A$200,0))),"")</f>
        <v/>
      </c>
      <c r="R78" s="5" t="n"/>
      <c r="S78" s="10">
        <f>IFERROR(IF(INDEX('Test catalog'!$L$2:$L$200,MATCH($AB78,'Test catalog'!$A$2:$A$200,0))="","",INDEX('Test catalog'!$L$2:$L$200,MATCH($AB78,'Test catalog'!$A$2:$A$200,0))),"")</f>
        <v/>
      </c>
      <c r="T78" s="10">
        <f>IFERROR(IF(INDEX('Test catalog'!$M$2:$M$200,MATCH($AB78,'Test catalog'!$A$2:$A$200,0))="","",INDEX('Test catalog'!$M$2:$M$200,MATCH($AB78,'Test catalog'!$A$2:$A$200,0))),"")</f>
        <v/>
      </c>
      <c r="U78" s="10">
        <f>IFERROR(IF(INDEX('Test catalog'!$N$2:$N$200,MATCH($AB78,'Test catalog'!$A$2:$A$200,0))="","",INDEX('Test catalog'!$N$2:$N$200,MATCH($AB78,'Test catalog'!$A$2:$A$200,0))),"")</f>
        <v/>
      </c>
      <c r="V78" s="15" t="n"/>
      <c r="W78" s="5" t="inlineStr">
        <is>
          <t>N</t>
        </is>
      </c>
      <c r="X78" s="5" t="n"/>
      <c r="Y78" s="5" t="n"/>
      <c r="Z78" s="5" t="n"/>
      <c r="AA78" s="10">
        <f>IFERROR(IF(INDEX('Test catalog'!$O$2:$O$200,MATCH($AB78,'Test catalog'!$A$2:$A$200,0))="","",INDEX('Test catalog'!$O$2:$O$200,MATCH($AB78,'Test catalog'!$A$2:$A$200,0))),"")</f>
        <v/>
      </c>
      <c r="AB78" s="10" t="inlineStr">
        <is>
          <t>DIAM</t>
        </is>
      </c>
    </row>
    <row r="79">
      <c r="A79" s="10" t="inlineStr">
        <is>
          <t>F11</t>
        </is>
      </c>
      <c r="B79" s="10" t="inlineStr">
        <is>
          <t>FP</t>
        </is>
      </c>
      <c r="C79" s="10" t="inlineStr">
        <is>
          <t>Bempedoic Ezetimibe 180/10  |  Bempedoic Acid, Ezetimibe</t>
        </is>
      </c>
      <c r="D79" s="10" t="inlineStr">
        <is>
          <t>Thickness</t>
        </is>
      </c>
      <c r="E79" s="10">
        <f>IF(A79="","",A79&amp;"|"&amp;D79)</f>
        <v/>
      </c>
      <c r="F79" s="5" t="inlineStr">
        <is>
          <t>Y</t>
        </is>
      </c>
      <c r="G79" s="5" t="inlineStr">
        <is>
          <t>Tablet tester</t>
        </is>
      </c>
      <c r="H79" s="5" t="inlineStr">
        <is>
          <t>Low</t>
        </is>
      </c>
      <c r="I79" s="5" t="n">
        <v>1</v>
      </c>
      <c r="J79" s="5" t="n"/>
      <c r="K79" s="10">
        <f>IFERROR(IF(INDEX('Test catalog'!$F$2:$F$200,MATCH($AB79,'Test catalog'!$A$2:$A$200,0))="","",INDEX('Test catalog'!$F$2:$F$200,MATCH($AB79,'Test catalog'!$A$2:$A$200,0))),"")</f>
        <v/>
      </c>
      <c r="L79" s="10">
        <f>IFERROR(IF(INDEX('Test catalog'!$G$2:$G$200,MATCH($AB79,'Test catalog'!$A$2:$A$200,0))="","",INDEX('Test catalog'!$G$2:$G$200,MATCH($AB79,'Test catalog'!$A$2:$A$200,0))),"")</f>
        <v/>
      </c>
      <c r="M79" s="10">
        <f>IFERROR(IF(INDEX('Test catalog'!$H$2:$H$200,MATCH($AB79,'Test catalog'!$A$2:$A$200,0))="","",INDEX('Test catalog'!$H$2:$H$200,MATCH($AB79,'Test catalog'!$A$2:$A$200,0))),"")</f>
        <v/>
      </c>
      <c r="N79" s="10">
        <f>IFERROR(IF(INDEX('Test catalog'!$I$2:$I$200,MATCH($AB79,'Test catalog'!$A$2:$A$200,0))="","",INDEX('Test catalog'!$I$2:$I$200,MATCH($AB79,'Test catalog'!$A$2:$A$200,0))),"")</f>
        <v/>
      </c>
      <c r="O79" s="10">
        <f>IFERROR(IF(INDEX('Test catalog'!$J$2:$J$200,MATCH($AB79,'Test catalog'!$A$2:$A$200,0))="","",INDEX('Test catalog'!$J$2:$J$200,MATCH($AB79,'Test catalog'!$A$2:$A$200,0))),"")</f>
        <v/>
      </c>
      <c r="P79" s="14">
        <f>IF(N79="","",IF(OR(M79="",O79=""),N79,(M79+4*N79+O79)/6))</f>
        <v/>
      </c>
      <c r="Q79" s="10">
        <f>IFERROR(IF(INDEX('Test catalog'!$K$2:$K$200,MATCH($AB79,'Test catalog'!$A$2:$A$200,0))="","",INDEX('Test catalog'!$K$2:$K$200,MATCH($AB79,'Test catalog'!$A$2:$A$200,0))),"")</f>
        <v/>
      </c>
      <c r="R79" s="5" t="n"/>
      <c r="S79" s="10">
        <f>IFERROR(IF(INDEX('Test catalog'!$L$2:$L$200,MATCH($AB79,'Test catalog'!$A$2:$A$200,0))="","",INDEX('Test catalog'!$L$2:$L$200,MATCH($AB79,'Test catalog'!$A$2:$A$200,0))),"")</f>
        <v/>
      </c>
      <c r="T79" s="10">
        <f>IFERROR(IF(INDEX('Test catalog'!$M$2:$M$200,MATCH($AB79,'Test catalog'!$A$2:$A$200,0))="","",INDEX('Test catalog'!$M$2:$M$200,MATCH($AB79,'Test catalog'!$A$2:$A$200,0))),"")</f>
        <v/>
      </c>
      <c r="U79" s="10">
        <f>IFERROR(IF(INDEX('Test catalog'!$N$2:$N$200,MATCH($AB79,'Test catalog'!$A$2:$A$200,0))="","",INDEX('Test catalog'!$N$2:$N$200,MATCH($AB79,'Test catalog'!$A$2:$A$200,0))),"")</f>
        <v/>
      </c>
      <c r="V79" s="15" t="n"/>
      <c r="W79" s="5" t="inlineStr">
        <is>
          <t>N</t>
        </is>
      </c>
      <c r="X79" s="5" t="n"/>
      <c r="Y79" s="5" t="n"/>
      <c r="Z79" s="5" t="n"/>
      <c r="AA79" s="10">
        <f>IFERROR(IF(INDEX('Test catalog'!$O$2:$O$200,MATCH($AB79,'Test catalog'!$A$2:$A$200,0))="","",INDEX('Test catalog'!$O$2:$O$200,MATCH($AB79,'Test catalog'!$A$2:$A$200,0))),"")</f>
        <v/>
      </c>
      <c r="AB79" s="10" t="inlineStr">
        <is>
          <t>THICK</t>
        </is>
      </c>
    </row>
    <row r="80">
      <c r="A80" s="10" t="inlineStr">
        <is>
          <t>F11</t>
        </is>
      </c>
      <c r="B80" s="10" t="inlineStr">
        <is>
          <t>FP</t>
        </is>
      </c>
      <c r="C80" s="10" t="inlineStr">
        <is>
          <t>Bempedoic Ezetimibe 180/10  |  Bempedoic Acid, Ezetimibe</t>
        </is>
      </c>
      <c r="D80" s="10" t="inlineStr">
        <is>
          <t>Hardness / breaking force</t>
        </is>
      </c>
      <c r="E80" s="10">
        <f>IF(A80="","",A80&amp;"|"&amp;D80)</f>
        <v/>
      </c>
      <c r="F80" s="5" t="inlineStr">
        <is>
          <t>Y</t>
        </is>
      </c>
      <c r="G80" s="5" t="inlineStr">
        <is>
          <t>Tablet tester</t>
        </is>
      </c>
      <c r="H80" s="5" t="inlineStr">
        <is>
          <t>Low</t>
        </is>
      </c>
      <c r="I80" s="5" t="n">
        <v>1</v>
      </c>
      <c r="J80" s="5" t="n"/>
      <c r="K80" s="10">
        <f>IFERROR(IF(INDEX('Test catalog'!$F$2:$F$200,MATCH($AB80,'Test catalog'!$A$2:$A$200,0))="","",INDEX('Test catalog'!$F$2:$F$200,MATCH($AB80,'Test catalog'!$A$2:$A$200,0))),"")</f>
        <v/>
      </c>
      <c r="L80" s="10">
        <f>IFERROR(IF(INDEX('Test catalog'!$G$2:$G$200,MATCH($AB80,'Test catalog'!$A$2:$A$200,0))="","",INDEX('Test catalog'!$G$2:$G$200,MATCH($AB80,'Test catalog'!$A$2:$A$200,0))),"")</f>
        <v/>
      </c>
      <c r="M80" s="10">
        <f>IFERROR(IF(INDEX('Test catalog'!$H$2:$H$200,MATCH($AB80,'Test catalog'!$A$2:$A$200,0))="","",INDEX('Test catalog'!$H$2:$H$200,MATCH($AB80,'Test catalog'!$A$2:$A$200,0))),"")</f>
        <v/>
      </c>
      <c r="N80" s="10">
        <f>IFERROR(IF(INDEX('Test catalog'!$I$2:$I$200,MATCH($AB80,'Test catalog'!$A$2:$A$200,0))="","",INDEX('Test catalog'!$I$2:$I$200,MATCH($AB80,'Test catalog'!$A$2:$A$200,0))),"")</f>
        <v/>
      </c>
      <c r="O80" s="10">
        <f>IFERROR(IF(INDEX('Test catalog'!$J$2:$J$200,MATCH($AB80,'Test catalog'!$A$2:$A$200,0))="","",INDEX('Test catalog'!$J$2:$J$200,MATCH($AB80,'Test catalog'!$A$2:$A$200,0))),"")</f>
        <v/>
      </c>
      <c r="P80" s="14">
        <f>IF(N80="","",IF(OR(M80="",O80=""),N80,(M80+4*N80+O80)/6))</f>
        <v/>
      </c>
      <c r="Q80" s="10">
        <f>IFERROR(IF(INDEX('Test catalog'!$K$2:$K$200,MATCH($AB80,'Test catalog'!$A$2:$A$200,0))="","",INDEX('Test catalog'!$K$2:$K$200,MATCH($AB80,'Test catalog'!$A$2:$A$200,0))),"")</f>
        <v/>
      </c>
      <c r="R80" s="5" t="n"/>
      <c r="S80" s="10">
        <f>IFERROR(IF(INDEX('Test catalog'!$L$2:$L$200,MATCH($AB80,'Test catalog'!$A$2:$A$200,0))="","",INDEX('Test catalog'!$L$2:$L$200,MATCH($AB80,'Test catalog'!$A$2:$A$200,0))),"")</f>
        <v/>
      </c>
      <c r="T80" s="10">
        <f>IFERROR(IF(INDEX('Test catalog'!$M$2:$M$200,MATCH($AB80,'Test catalog'!$A$2:$A$200,0))="","",INDEX('Test catalog'!$M$2:$M$200,MATCH($AB80,'Test catalog'!$A$2:$A$200,0))),"")</f>
        <v/>
      </c>
      <c r="U80" s="10">
        <f>IFERROR(IF(INDEX('Test catalog'!$N$2:$N$200,MATCH($AB80,'Test catalog'!$A$2:$A$200,0))="","",INDEX('Test catalog'!$N$2:$N$200,MATCH($AB80,'Test catalog'!$A$2:$A$200,0))),"")</f>
        <v/>
      </c>
      <c r="V80" s="15" t="n"/>
      <c r="W80" s="5" t="inlineStr">
        <is>
          <t>Y</t>
        </is>
      </c>
      <c r="X80" s="5" t="n"/>
      <c r="Y80" s="5" t="n"/>
      <c r="Z80" s="5" t="n"/>
      <c r="AA80" s="10">
        <f>IFERROR(IF(INDEX('Test catalog'!$O$2:$O$200,MATCH($AB80,'Test catalog'!$A$2:$A$200,0))="","",INDEX('Test catalog'!$O$2:$O$200,MATCH($AB80,'Test catalog'!$A$2:$A$200,0))),"")</f>
        <v/>
      </c>
      <c r="AB80" s="10" t="inlineStr">
        <is>
          <t>HARD</t>
        </is>
      </c>
    </row>
    <row r="81">
      <c r="A81" s="10" t="inlineStr">
        <is>
          <t>F11</t>
        </is>
      </c>
      <c r="B81" s="10" t="inlineStr">
        <is>
          <t>FP</t>
        </is>
      </c>
      <c r="C81" s="10" t="inlineStr">
        <is>
          <t>Bempedoic Ezetimibe 180/10  |  Bempedoic Acid, Ezetimibe</t>
        </is>
      </c>
      <c r="D81" s="10" t="inlineStr">
        <is>
          <t>Brittleness</t>
        </is>
      </c>
      <c r="E81" s="10">
        <f>IF(A81="","",A81&amp;"|"&amp;D81)</f>
        <v/>
      </c>
      <c r="F81" s="5" t="inlineStr">
        <is>
          <t>Y</t>
        </is>
      </c>
      <c r="G81" s="5" t="inlineStr">
        <is>
          <t>Other / bench</t>
        </is>
      </c>
      <c r="H81" s="5" t="inlineStr">
        <is>
          <t>Low</t>
        </is>
      </c>
      <c r="I81" s="5" t="n">
        <v>1</v>
      </c>
      <c r="J81" s="5" t="n"/>
      <c r="K81" s="10">
        <f>IFERROR(IF(INDEX('Test catalog'!$F$2:$F$200,MATCH($AB81,'Test catalog'!$A$2:$A$200,0))="","",INDEX('Test catalog'!$F$2:$F$200,MATCH($AB81,'Test catalog'!$A$2:$A$200,0))),"")</f>
        <v/>
      </c>
      <c r="L81" s="10">
        <f>IFERROR(IF(INDEX('Test catalog'!$G$2:$G$200,MATCH($AB81,'Test catalog'!$A$2:$A$200,0))="","",INDEX('Test catalog'!$G$2:$G$200,MATCH($AB81,'Test catalog'!$A$2:$A$200,0))),"")</f>
        <v/>
      </c>
      <c r="M81" s="10">
        <f>IFERROR(IF(INDEX('Test catalog'!$H$2:$H$200,MATCH($AB81,'Test catalog'!$A$2:$A$200,0))="","",INDEX('Test catalog'!$H$2:$H$200,MATCH($AB81,'Test catalog'!$A$2:$A$200,0))),"")</f>
        <v/>
      </c>
      <c r="N81" s="10">
        <f>IFERROR(IF(INDEX('Test catalog'!$I$2:$I$200,MATCH($AB81,'Test catalog'!$A$2:$A$200,0))="","",INDEX('Test catalog'!$I$2:$I$200,MATCH($AB81,'Test catalog'!$A$2:$A$200,0))),"")</f>
        <v/>
      </c>
      <c r="O81" s="10">
        <f>IFERROR(IF(INDEX('Test catalog'!$J$2:$J$200,MATCH($AB81,'Test catalog'!$A$2:$A$200,0))="","",INDEX('Test catalog'!$J$2:$J$200,MATCH($AB81,'Test catalog'!$A$2:$A$200,0))),"")</f>
        <v/>
      </c>
      <c r="P81" s="14">
        <f>IF(N81="","",IF(OR(M81="",O81=""),N81,(M81+4*N81+O81)/6))</f>
        <v/>
      </c>
      <c r="Q81" s="10">
        <f>IFERROR(IF(INDEX('Test catalog'!$K$2:$K$200,MATCH($AB81,'Test catalog'!$A$2:$A$200,0))="","",INDEX('Test catalog'!$K$2:$K$200,MATCH($AB81,'Test catalog'!$A$2:$A$200,0))),"")</f>
        <v/>
      </c>
      <c r="R81" s="5" t="n"/>
      <c r="S81" s="10">
        <f>IFERROR(IF(INDEX('Test catalog'!$L$2:$L$200,MATCH($AB81,'Test catalog'!$A$2:$A$200,0))="","",INDEX('Test catalog'!$L$2:$L$200,MATCH($AB81,'Test catalog'!$A$2:$A$200,0))),"")</f>
        <v/>
      </c>
      <c r="T81" s="10">
        <f>IFERROR(IF(INDEX('Test catalog'!$M$2:$M$200,MATCH($AB81,'Test catalog'!$A$2:$A$200,0))="","",INDEX('Test catalog'!$M$2:$M$200,MATCH($AB81,'Test catalog'!$A$2:$A$200,0))),"")</f>
        <v/>
      </c>
      <c r="U81" s="10">
        <f>IFERROR(IF(INDEX('Test catalog'!$N$2:$N$200,MATCH($AB81,'Test catalog'!$A$2:$A$200,0))="","",INDEX('Test catalog'!$N$2:$N$200,MATCH($AB81,'Test catalog'!$A$2:$A$200,0))),"")</f>
        <v/>
      </c>
      <c r="V81" s="15" t="n"/>
      <c r="W81" s="5" t="inlineStr">
        <is>
          <t>N</t>
        </is>
      </c>
      <c r="X81" s="5" t="n"/>
      <c r="Y81" s="5" t="n"/>
      <c r="Z81" s="5" t="n"/>
      <c r="AA81" s="10">
        <f>IFERROR(IF(INDEX('Test catalog'!$O$2:$O$200,MATCH($AB81,'Test catalog'!$A$2:$A$200,0))="","",INDEX('Test catalog'!$O$2:$O$200,MATCH($AB81,'Test catalog'!$A$2:$A$200,0))),"")</f>
        <v/>
      </c>
      <c r="AB81" s="10" t="inlineStr">
        <is>
          <t>BRITTLE</t>
        </is>
      </c>
    </row>
    <row r="82">
      <c r="A82" s="10" t="inlineStr">
        <is>
          <t>F11</t>
        </is>
      </c>
      <c r="B82" s="10" t="inlineStr">
        <is>
          <t>FP</t>
        </is>
      </c>
      <c r="C82" s="10" t="inlineStr">
        <is>
          <t>Bempedoic Ezetimibe 180/10  |  Bempedoic Acid, Ezetimibe</t>
        </is>
      </c>
      <c r="D82" s="10" t="inlineStr">
        <is>
          <t>Friability</t>
        </is>
      </c>
      <c r="E82" s="10">
        <f>IF(A82="","",A82&amp;"|"&amp;D82)</f>
        <v/>
      </c>
      <c r="F82" s="5" t="inlineStr">
        <is>
          <t>Y</t>
        </is>
      </c>
      <c r="G82" s="5" t="inlineStr">
        <is>
          <t>Friabilator</t>
        </is>
      </c>
      <c r="H82" s="5" t="inlineStr">
        <is>
          <t>Low</t>
        </is>
      </c>
      <c r="I82" s="5" t="n">
        <v>1</v>
      </c>
      <c r="J82" s="5" t="n"/>
      <c r="K82" s="10">
        <f>IFERROR(IF(INDEX('Test catalog'!$F$2:$F$200,MATCH($AB82,'Test catalog'!$A$2:$A$200,0))="","",INDEX('Test catalog'!$F$2:$F$200,MATCH($AB82,'Test catalog'!$A$2:$A$200,0))),"")</f>
        <v/>
      </c>
      <c r="L82" s="10">
        <f>IFERROR(IF(INDEX('Test catalog'!$G$2:$G$200,MATCH($AB82,'Test catalog'!$A$2:$A$200,0))="","",INDEX('Test catalog'!$G$2:$G$200,MATCH($AB82,'Test catalog'!$A$2:$A$200,0))),"")</f>
        <v/>
      </c>
      <c r="M82" s="10">
        <f>IFERROR(IF(INDEX('Test catalog'!$H$2:$H$200,MATCH($AB82,'Test catalog'!$A$2:$A$200,0))="","",INDEX('Test catalog'!$H$2:$H$200,MATCH($AB82,'Test catalog'!$A$2:$A$200,0))),"")</f>
        <v/>
      </c>
      <c r="N82" s="10">
        <f>IFERROR(IF(INDEX('Test catalog'!$I$2:$I$200,MATCH($AB82,'Test catalog'!$A$2:$A$200,0))="","",INDEX('Test catalog'!$I$2:$I$200,MATCH($AB82,'Test catalog'!$A$2:$A$200,0))),"")</f>
        <v/>
      </c>
      <c r="O82" s="10">
        <f>IFERROR(IF(INDEX('Test catalog'!$J$2:$J$200,MATCH($AB82,'Test catalog'!$A$2:$A$200,0))="","",INDEX('Test catalog'!$J$2:$J$200,MATCH($AB82,'Test catalog'!$A$2:$A$200,0))),"")</f>
        <v/>
      </c>
      <c r="P82" s="14">
        <f>IF(N82="","",IF(OR(M82="",O82=""),N82,(M82+4*N82+O82)/6))</f>
        <v/>
      </c>
      <c r="Q82" s="10">
        <f>IFERROR(IF(INDEX('Test catalog'!$K$2:$K$200,MATCH($AB82,'Test catalog'!$A$2:$A$200,0))="","",INDEX('Test catalog'!$K$2:$K$200,MATCH($AB82,'Test catalog'!$A$2:$A$200,0))),"")</f>
        <v/>
      </c>
      <c r="R82" s="5" t="n"/>
      <c r="S82" s="10">
        <f>IFERROR(IF(INDEX('Test catalog'!$L$2:$L$200,MATCH($AB82,'Test catalog'!$A$2:$A$200,0))="","",INDEX('Test catalog'!$L$2:$L$200,MATCH($AB82,'Test catalog'!$A$2:$A$200,0))),"")</f>
        <v/>
      </c>
      <c r="T82" s="10">
        <f>IFERROR(IF(INDEX('Test catalog'!$M$2:$M$200,MATCH($AB82,'Test catalog'!$A$2:$A$200,0))="","",INDEX('Test catalog'!$M$2:$M$200,MATCH($AB82,'Test catalog'!$A$2:$A$200,0))),"")</f>
        <v/>
      </c>
      <c r="U82" s="10">
        <f>IFERROR(IF(INDEX('Test catalog'!$N$2:$N$200,MATCH($AB82,'Test catalog'!$A$2:$A$200,0))="","",INDEX('Test catalog'!$N$2:$N$200,MATCH($AB82,'Test catalog'!$A$2:$A$200,0))),"")</f>
        <v/>
      </c>
      <c r="V82" s="15" t="n"/>
      <c r="W82" s="5" t="inlineStr">
        <is>
          <t>N</t>
        </is>
      </c>
      <c r="X82" s="5" t="n"/>
      <c r="Y82" s="5" t="n"/>
      <c r="Z82" s="5" t="n"/>
      <c r="AA82" s="10">
        <f>IFERROR(IF(INDEX('Test catalog'!$O$2:$O$200,MATCH($AB82,'Test catalog'!$A$2:$A$200,0))="","",INDEX('Test catalog'!$O$2:$O$200,MATCH($AB82,'Test catalog'!$A$2:$A$200,0))),"")</f>
        <v/>
      </c>
      <c r="AB82" s="10" t="inlineStr">
        <is>
          <t>FRIAB</t>
        </is>
      </c>
    </row>
    <row r="83">
      <c r="A83" s="10" t="inlineStr">
        <is>
          <t>F11</t>
        </is>
      </c>
      <c r="B83" s="10" t="inlineStr">
        <is>
          <t>FP</t>
        </is>
      </c>
      <c r="C83" s="10" t="inlineStr">
        <is>
          <t>Bempedoic Ezetimibe 180/10  |  Bempedoic Acid, Ezetimibe</t>
        </is>
      </c>
      <c r="D83" s="10" t="inlineStr">
        <is>
          <t>Disintegration</t>
        </is>
      </c>
      <c r="E83" s="10">
        <f>IF(A83="","",A83&amp;"|"&amp;D83)</f>
        <v/>
      </c>
      <c r="F83" s="5" t="inlineStr">
        <is>
          <t>Y</t>
        </is>
      </c>
      <c r="G83" s="5" t="inlineStr">
        <is>
          <t>Disintegration tester</t>
        </is>
      </c>
      <c r="H83" s="5" t="inlineStr">
        <is>
          <t>Low</t>
        </is>
      </c>
      <c r="I83" s="5" t="n">
        <v>1</v>
      </c>
      <c r="J83" s="5" t="n"/>
      <c r="K83" s="10">
        <f>IFERROR(IF(INDEX('Test catalog'!$F$2:$F$200,MATCH($AB83,'Test catalog'!$A$2:$A$200,0))="","",INDEX('Test catalog'!$F$2:$F$200,MATCH($AB83,'Test catalog'!$A$2:$A$200,0))),"")</f>
        <v/>
      </c>
      <c r="L83" s="10">
        <f>IFERROR(IF(INDEX('Test catalog'!$G$2:$G$200,MATCH($AB83,'Test catalog'!$A$2:$A$200,0))="","",INDEX('Test catalog'!$G$2:$G$200,MATCH($AB83,'Test catalog'!$A$2:$A$200,0))),"")</f>
        <v/>
      </c>
      <c r="M83" s="10">
        <f>IFERROR(IF(INDEX('Test catalog'!$H$2:$H$200,MATCH($AB83,'Test catalog'!$A$2:$A$200,0))="","",INDEX('Test catalog'!$H$2:$H$200,MATCH($AB83,'Test catalog'!$A$2:$A$200,0))),"")</f>
        <v/>
      </c>
      <c r="N83" s="10">
        <f>IFERROR(IF(INDEX('Test catalog'!$I$2:$I$200,MATCH($AB83,'Test catalog'!$A$2:$A$200,0))="","",INDEX('Test catalog'!$I$2:$I$200,MATCH($AB83,'Test catalog'!$A$2:$A$200,0))),"")</f>
        <v/>
      </c>
      <c r="O83" s="10">
        <f>IFERROR(IF(INDEX('Test catalog'!$J$2:$J$200,MATCH($AB83,'Test catalog'!$A$2:$A$200,0))="","",INDEX('Test catalog'!$J$2:$J$200,MATCH($AB83,'Test catalog'!$A$2:$A$200,0))),"")</f>
        <v/>
      </c>
      <c r="P83" s="14">
        <f>IF(N83="","",IF(OR(M83="",O83=""),N83,(M83+4*N83+O83)/6))</f>
        <v/>
      </c>
      <c r="Q83" s="10">
        <f>IFERROR(IF(INDEX('Test catalog'!$K$2:$K$200,MATCH($AB83,'Test catalog'!$A$2:$A$200,0))="","",INDEX('Test catalog'!$K$2:$K$200,MATCH($AB83,'Test catalog'!$A$2:$A$200,0))),"")</f>
        <v/>
      </c>
      <c r="R83" s="5" t="n"/>
      <c r="S83" s="10">
        <f>IFERROR(IF(INDEX('Test catalog'!$L$2:$L$200,MATCH($AB83,'Test catalog'!$A$2:$A$200,0))="","",INDEX('Test catalog'!$L$2:$L$200,MATCH($AB83,'Test catalog'!$A$2:$A$200,0))),"")</f>
        <v/>
      </c>
      <c r="T83" s="10">
        <f>IFERROR(IF(INDEX('Test catalog'!$M$2:$M$200,MATCH($AB83,'Test catalog'!$A$2:$A$200,0))="","",INDEX('Test catalog'!$M$2:$M$200,MATCH($AB83,'Test catalog'!$A$2:$A$200,0))),"")</f>
        <v/>
      </c>
      <c r="U83" s="10">
        <f>IFERROR(IF(INDEX('Test catalog'!$N$2:$N$200,MATCH($AB83,'Test catalog'!$A$2:$A$200,0))="","",INDEX('Test catalog'!$N$2:$N$200,MATCH($AB83,'Test catalog'!$A$2:$A$200,0))),"")</f>
        <v/>
      </c>
      <c r="V83" s="15" t="n"/>
      <c r="W83" s="5" t="inlineStr">
        <is>
          <t>Y</t>
        </is>
      </c>
      <c r="X83" s="5" t="n"/>
      <c r="Y83" s="5" t="n"/>
      <c r="Z83" s="5" t="n"/>
      <c r="AA83" s="10">
        <f>IFERROR(IF(INDEX('Test catalog'!$O$2:$O$200,MATCH($AB83,'Test catalog'!$A$2:$A$200,0))="","",INDEX('Test catalog'!$O$2:$O$200,MATCH($AB83,'Test catalog'!$A$2:$A$200,0))),"")</f>
        <v/>
      </c>
      <c r="AB83" s="10" t="inlineStr">
        <is>
          <t>DISINT</t>
        </is>
      </c>
    </row>
    <row r="84">
      <c r="A84" s="10" t="inlineStr">
        <is>
          <t>F11</t>
        </is>
      </c>
      <c r="B84" s="10" t="inlineStr">
        <is>
          <t>FP</t>
        </is>
      </c>
      <c r="C84" s="10" t="inlineStr">
        <is>
          <t>Bempedoic Ezetimibe 180/10  |  Bempedoic Acid, Ezetimibe</t>
        </is>
      </c>
      <c r="D84" s="10" t="inlineStr">
        <is>
          <t>In-process check at the machine (one check, all its tests)</t>
        </is>
      </c>
      <c r="E84" s="10">
        <f>IF(A84="","",A84&amp;"|"&amp;D84)</f>
        <v/>
      </c>
      <c r="F84" s="5" t="inlineStr">
        <is>
          <t>Y</t>
        </is>
      </c>
      <c r="G84" s="5" t="inlineStr">
        <is>
          <t>Tablet tester</t>
        </is>
      </c>
      <c r="H84" s="5" t="inlineStr">
        <is>
          <t>Low</t>
        </is>
      </c>
      <c r="I84" s="5" t="n">
        <v>1</v>
      </c>
      <c r="J84" s="5" t="n"/>
      <c r="K84" s="10">
        <f>IFERROR(IF(INDEX('Test catalog'!$F$2:$F$200,MATCH($AB84,'Test catalog'!$A$2:$A$200,0))="","",INDEX('Test catalog'!$F$2:$F$200,MATCH($AB84,'Test catalog'!$A$2:$A$200,0))),"")</f>
        <v/>
      </c>
      <c r="L84" s="10">
        <f>IFERROR(IF(INDEX('Test catalog'!$G$2:$G$200,MATCH($AB84,'Test catalog'!$A$2:$A$200,0))="","",INDEX('Test catalog'!$G$2:$G$200,MATCH($AB84,'Test catalog'!$A$2:$A$200,0))),"")</f>
        <v/>
      </c>
      <c r="M84" s="10">
        <f>IFERROR(IF(INDEX('Test catalog'!$H$2:$H$200,MATCH($AB84,'Test catalog'!$A$2:$A$200,0))="","",INDEX('Test catalog'!$H$2:$H$200,MATCH($AB84,'Test catalog'!$A$2:$A$200,0))),"")</f>
        <v/>
      </c>
      <c r="N84" s="10">
        <f>IFERROR(IF(INDEX('Test catalog'!$I$2:$I$200,MATCH($AB84,'Test catalog'!$A$2:$A$200,0))="","",INDEX('Test catalog'!$I$2:$I$200,MATCH($AB84,'Test catalog'!$A$2:$A$200,0))),"")</f>
        <v/>
      </c>
      <c r="O84" s="10">
        <f>IFERROR(IF(INDEX('Test catalog'!$J$2:$J$200,MATCH($AB84,'Test catalog'!$A$2:$A$200,0))="","",INDEX('Test catalog'!$J$2:$J$200,MATCH($AB84,'Test catalog'!$A$2:$A$200,0))),"")</f>
        <v/>
      </c>
      <c r="P84" s="14">
        <f>IF(N84="","",IF(OR(M84="",O84=""),N84,(M84+4*N84+O84)/6))</f>
        <v/>
      </c>
      <c r="Q84" s="10">
        <f>IFERROR(IF(INDEX('Test catalog'!$K$2:$K$200,MATCH($AB84,'Test catalog'!$A$2:$A$200,0))="","",INDEX('Test catalog'!$K$2:$K$200,MATCH($AB84,'Test catalog'!$A$2:$A$200,0))),"")</f>
        <v/>
      </c>
      <c r="R84" s="5" t="n"/>
      <c r="S84" s="10">
        <f>IFERROR(IF(INDEX('Test catalog'!$L$2:$L$200,MATCH($AB84,'Test catalog'!$A$2:$A$200,0))="","",INDEX('Test catalog'!$L$2:$L$200,MATCH($AB84,'Test catalog'!$A$2:$A$200,0))),"")</f>
        <v/>
      </c>
      <c r="T84" s="10">
        <f>IFERROR(IF(INDEX('Test catalog'!$M$2:$M$200,MATCH($AB84,'Test catalog'!$A$2:$A$200,0))="","",INDEX('Test catalog'!$M$2:$M$200,MATCH($AB84,'Test catalog'!$A$2:$A$200,0))),"")</f>
        <v/>
      </c>
      <c r="U84" s="10">
        <f>IFERROR(IF(INDEX('Test catalog'!$N$2:$N$200,MATCH($AB84,'Test catalog'!$A$2:$A$200,0))="","",INDEX('Test catalog'!$N$2:$N$200,MATCH($AB84,'Test catalog'!$A$2:$A$200,0))),"")</f>
        <v/>
      </c>
      <c r="V84" s="15" t="n"/>
      <c r="W84" s="5" t="inlineStr">
        <is>
          <t>N</t>
        </is>
      </c>
      <c r="X84" s="5" t="n"/>
      <c r="Y84" s="5" t="n"/>
      <c r="Z84" s="5" t="n"/>
      <c r="AA84" s="10">
        <f>IFERROR(IF(INDEX('Test catalog'!$O$2:$O$200,MATCH($AB84,'Test catalog'!$A$2:$A$200,0))="","",INDEX('Test catalog'!$O$2:$O$200,MATCH($AB84,'Test catalog'!$A$2:$A$200,0))),"")</f>
        <v/>
      </c>
      <c r="AB84" s="10" t="inlineStr">
        <is>
          <t>IPC</t>
        </is>
      </c>
    </row>
    <row r="85">
      <c r="A85" s="10" t="inlineStr">
        <is>
          <t>F12</t>
        </is>
      </c>
      <c r="B85" s="10" t="inlineStr">
        <is>
          <t>FP</t>
        </is>
      </c>
      <c r="C85" s="10" t="inlineStr">
        <is>
          <t>loperamide 2  |  Loperamide HCl</t>
        </is>
      </c>
      <c r="D85" s="10" t="inlineStr">
        <is>
          <t>Average weight / uniformity of mass</t>
        </is>
      </c>
      <c r="E85" s="10">
        <f>IF(A85="","",A85&amp;"|"&amp;D85)</f>
        <v/>
      </c>
      <c r="F85" s="5" t="inlineStr">
        <is>
          <t>Y</t>
        </is>
      </c>
      <c r="G85" s="5" t="inlineStr">
        <is>
          <t>Balance</t>
        </is>
      </c>
      <c r="H85" s="5" t="inlineStr">
        <is>
          <t>Low</t>
        </is>
      </c>
      <c r="I85" s="5" t="n">
        <v>1</v>
      </c>
      <c r="J85" s="5" t="n"/>
      <c r="K85" s="10">
        <f>IFERROR(IF(INDEX('Test catalog'!$F$2:$F$200,MATCH($AB85,'Test catalog'!$A$2:$A$200,0))="","",INDEX('Test catalog'!$F$2:$F$200,MATCH($AB85,'Test catalog'!$A$2:$A$200,0))),"")</f>
        <v/>
      </c>
      <c r="L85" s="10">
        <f>IFERROR(IF(INDEX('Test catalog'!$G$2:$G$200,MATCH($AB85,'Test catalog'!$A$2:$A$200,0))="","",INDEX('Test catalog'!$G$2:$G$200,MATCH($AB85,'Test catalog'!$A$2:$A$200,0))),"")</f>
        <v/>
      </c>
      <c r="M85" s="10">
        <f>IFERROR(IF(INDEX('Test catalog'!$H$2:$H$200,MATCH($AB85,'Test catalog'!$A$2:$A$200,0))="","",INDEX('Test catalog'!$H$2:$H$200,MATCH($AB85,'Test catalog'!$A$2:$A$200,0))),"")</f>
        <v/>
      </c>
      <c r="N85" s="10">
        <f>IFERROR(IF(INDEX('Test catalog'!$I$2:$I$200,MATCH($AB85,'Test catalog'!$A$2:$A$200,0))="","",INDEX('Test catalog'!$I$2:$I$200,MATCH($AB85,'Test catalog'!$A$2:$A$200,0))),"")</f>
        <v/>
      </c>
      <c r="O85" s="10">
        <f>IFERROR(IF(INDEX('Test catalog'!$J$2:$J$200,MATCH($AB85,'Test catalog'!$A$2:$A$200,0))="","",INDEX('Test catalog'!$J$2:$J$200,MATCH($AB85,'Test catalog'!$A$2:$A$200,0))),"")</f>
        <v/>
      </c>
      <c r="P85" s="14">
        <f>IF(N85="","",IF(OR(M85="",O85=""),N85,(M85+4*N85+O85)/6))</f>
        <v/>
      </c>
      <c r="Q85" s="10">
        <f>IFERROR(IF(INDEX('Test catalog'!$K$2:$K$200,MATCH($AB85,'Test catalog'!$A$2:$A$200,0))="","",INDEX('Test catalog'!$K$2:$K$200,MATCH($AB85,'Test catalog'!$A$2:$A$200,0))),"")</f>
        <v/>
      </c>
      <c r="R85" s="5" t="n"/>
      <c r="S85" s="10">
        <f>IFERROR(IF(INDEX('Test catalog'!$L$2:$L$200,MATCH($AB85,'Test catalog'!$A$2:$A$200,0))="","",INDEX('Test catalog'!$L$2:$L$200,MATCH($AB85,'Test catalog'!$A$2:$A$200,0))),"")</f>
        <v/>
      </c>
      <c r="T85" s="10">
        <f>IFERROR(IF(INDEX('Test catalog'!$M$2:$M$200,MATCH($AB85,'Test catalog'!$A$2:$A$200,0))="","",INDEX('Test catalog'!$M$2:$M$200,MATCH($AB85,'Test catalog'!$A$2:$A$200,0))),"")</f>
        <v/>
      </c>
      <c r="U85" s="10">
        <f>IFERROR(IF(INDEX('Test catalog'!$N$2:$N$200,MATCH($AB85,'Test catalog'!$A$2:$A$200,0))="","",INDEX('Test catalog'!$N$2:$N$200,MATCH($AB85,'Test catalog'!$A$2:$A$200,0))),"")</f>
        <v/>
      </c>
      <c r="V85" s="15" t="n"/>
      <c r="W85" s="5" t="inlineStr">
        <is>
          <t>N</t>
        </is>
      </c>
      <c r="X85" s="5" t="n"/>
      <c r="Y85" s="5" t="n"/>
      <c r="Z85" s="5" t="n"/>
      <c r="AA85" s="10">
        <f>IFERROR(IF(INDEX('Test catalog'!$O$2:$O$200,MATCH($AB85,'Test catalog'!$A$2:$A$200,0))="","",INDEX('Test catalog'!$O$2:$O$200,MATCH($AB85,'Test catalog'!$A$2:$A$200,0))),"")</f>
        <v/>
      </c>
      <c r="AB85" s="10" t="inlineStr">
        <is>
          <t>AVG_WT</t>
        </is>
      </c>
    </row>
    <row r="86">
      <c r="A86" s="10" t="inlineStr">
        <is>
          <t>F12</t>
        </is>
      </c>
      <c r="B86" s="10" t="inlineStr">
        <is>
          <t>FP</t>
        </is>
      </c>
      <c r="C86" s="10" t="inlineStr">
        <is>
          <t>loperamide 2  |  Loperamide HCl</t>
        </is>
      </c>
      <c r="D86" s="10" t="inlineStr">
        <is>
          <t>Diameter (or length / width)</t>
        </is>
      </c>
      <c r="E86" s="10">
        <f>IF(A86="","",A86&amp;"|"&amp;D86)</f>
        <v/>
      </c>
      <c r="F86" s="5" t="inlineStr">
        <is>
          <t>Y</t>
        </is>
      </c>
      <c r="G86" s="5" t="inlineStr">
        <is>
          <t>Tablet tester</t>
        </is>
      </c>
      <c r="H86" s="5" t="inlineStr">
        <is>
          <t>Low</t>
        </is>
      </c>
      <c r="I86" s="5" t="n">
        <v>1</v>
      </c>
      <c r="J86" s="5" t="n"/>
      <c r="K86" s="10">
        <f>IFERROR(IF(INDEX('Test catalog'!$F$2:$F$200,MATCH($AB86,'Test catalog'!$A$2:$A$200,0))="","",INDEX('Test catalog'!$F$2:$F$200,MATCH($AB86,'Test catalog'!$A$2:$A$200,0))),"")</f>
        <v/>
      </c>
      <c r="L86" s="10">
        <f>IFERROR(IF(INDEX('Test catalog'!$G$2:$G$200,MATCH($AB86,'Test catalog'!$A$2:$A$200,0))="","",INDEX('Test catalog'!$G$2:$G$200,MATCH($AB86,'Test catalog'!$A$2:$A$200,0))),"")</f>
        <v/>
      </c>
      <c r="M86" s="10">
        <f>IFERROR(IF(INDEX('Test catalog'!$H$2:$H$200,MATCH($AB86,'Test catalog'!$A$2:$A$200,0))="","",INDEX('Test catalog'!$H$2:$H$200,MATCH($AB86,'Test catalog'!$A$2:$A$200,0))),"")</f>
        <v/>
      </c>
      <c r="N86" s="10">
        <f>IFERROR(IF(INDEX('Test catalog'!$I$2:$I$200,MATCH($AB86,'Test catalog'!$A$2:$A$200,0))="","",INDEX('Test catalog'!$I$2:$I$200,MATCH($AB86,'Test catalog'!$A$2:$A$200,0))),"")</f>
        <v/>
      </c>
      <c r="O86" s="10">
        <f>IFERROR(IF(INDEX('Test catalog'!$J$2:$J$200,MATCH($AB86,'Test catalog'!$A$2:$A$200,0))="","",INDEX('Test catalog'!$J$2:$J$200,MATCH($AB86,'Test catalog'!$A$2:$A$200,0))),"")</f>
        <v/>
      </c>
      <c r="P86" s="14">
        <f>IF(N86="","",IF(OR(M86="",O86=""),N86,(M86+4*N86+O86)/6))</f>
        <v/>
      </c>
      <c r="Q86" s="10">
        <f>IFERROR(IF(INDEX('Test catalog'!$K$2:$K$200,MATCH($AB86,'Test catalog'!$A$2:$A$200,0))="","",INDEX('Test catalog'!$K$2:$K$200,MATCH($AB86,'Test catalog'!$A$2:$A$200,0))),"")</f>
        <v/>
      </c>
      <c r="R86" s="5" t="n"/>
      <c r="S86" s="10">
        <f>IFERROR(IF(INDEX('Test catalog'!$L$2:$L$200,MATCH($AB86,'Test catalog'!$A$2:$A$200,0))="","",INDEX('Test catalog'!$L$2:$L$200,MATCH($AB86,'Test catalog'!$A$2:$A$200,0))),"")</f>
        <v/>
      </c>
      <c r="T86" s="10">
        <f>IFERROR(IF(INDEX('Test catalog'!$M$2:$M$200,MATCH($AB86,'Test catalog'!$A$2:$A$200,0))="","",INDEX('Test catalog'!$M$2:$M$200,MATCH($AB86,'Test catalog'!$A$2:$A$200,0))),"")</f>
        <v/>
      </c>
      <c r="U86" s="10">
        <f>IFERROR(IF(INDEX('Test catalog'!$N$2:$N$200,MATCH($AB86,'Test catalog'!$A$2:$A$200,0))="","",INDEX('Test catalog'!$N$2:$N$200,MATCH($AB86,'Test catalog'!$A$2:$A$200,0))),"")</f>
        <v/>
      </c>
      <c r="V86" s="15" t="n"/>
      <c r="W86" s="5" t="inlineStr">
        <is>
          <t>N</t>
        </is>
      </c>
      <c r="X86" s="5" t="n"/>
      <c r="Y86" s="5" t="n"/>
      <c r="Z86" s="5" t="n"/>
      <c r="AA86" s="10">
        <f>IFERROR(IF(INDEX('Test catalog'!$O$2:$O$200,MATCH($AB86,'Test catalog'!$A$2:$A$200,0))="","",INDEX('Test catalog'!$O$2:$O$200,MATCH($AB86,'Test catalog'!$A$2:$A$200,0))),"")</f>
        <v/>
      </c>
      <c r="AB86" s="10" t="inlineStr">
        <is>
          <t>DIAM</t>
        </is>
      </c>
    </row>
    <row r="87">
      <c r="A87" s="10" t="inlineStr">
        <is>
          <t>F12</t>
        </is>
      </c>
      <c r="B87" s="10" t="inlineStr">
        <is>
          <t>FP</t>
        </is>
      </c>
      <c r="C87" s="10" t="inlineStr">
        <is>
          <t>loperamide 2  |  Loperamide HCl</t>
        </is>
      </c>
      <c r="D87" s="10" t="inlineStr">
        <is>
          <t>Thickness</t>
        </is>
      </c>
      <c r="E87" s="10">
        <f>IF(A87="","",A87&amp;"|"&amp;D87)</f>
        <v/>
      </c>
      <c r="F87" s="5" t="inlineStr">
        <is>
          <t>Y</t>
        </is>
      </c>
      <c r="G87" s="5" t="inlineStr">
        <is>
          <t>Tablet tester</t>
        </is>
      </c>
      <c r="H87" s="5" t="inlineStr">
        <is>
          <t>Low</t>
        </is>
      </c>
      <c r="I87" s="5" t="n">
        <v>1</v>
      </c>
      <c r="J87" s="5" t="n"/>
      <c r="K87" s="10">
        <f>IFERROR(IF(INDEX('Test catalog'!$F$2:$F$200,MATCH($AB87,'Test catalog'!$A$2:$A$200,0))="","",INDEX('Test catalog'!$F$2:$F$200,MATCH($AB87,'Test catalog'!$A$2:$A$200,0))),"")</f>
        <v/>
      </c>
      <c r="L87" s="10">
        <f>IFERROR(IF(INDEX('Test catalog'!$G$2:$G$200,MATCH($AB87,'Test catalog'!$A$2:$A$200,0))="","",INDEX('Test catalog'!$G$2:$G$200,MATCH($AB87,'Test catalog'!$A$2:$A$200,0))),"")</f>
        <v/>
      </c>
      <c r="M87" s="10">
        <f>IFERROR(IF(INDEX('Test catalog'!$H$2:$H$200,MATCH($AB87,'Test catalog'!$A$2:$A$200,0))="","",INDEX('Test catalog'!$H$2:$H$200,MATCH($AB87,'Test catalog'!$A$2:$A$200,0))),"")</f>
        <v/>
      </c>
      <c r="N87" s="10">
        <f>IFERROR(IF(INDEX('Test catalog'!$I$2:$I$200,MATCH($AB87,'Test catalog'!$A$2:$A$200,0))="","",INDEX('Test catalog'!$I$2:$I$200,MATCH($AB87,'Test catalog'!$A$2:$A$200,0))),"")</f>
        <v/>
      </c>
      <c r="O87" s="10">
        <f>IFERROR(IF(INDEX('Test catalog'!$J$2:$J$200,MATCH($AB87,'Test catalog'!$A$2:$A$200,0))="","",INDEX('Test catalog'!$J$2:$J$200,MATCH($AB87,'Test catalog'!$A$2:$A$200,0))),"")</f>
        <v/>
      </c>
      <c r="P87" s="14">
        <f>IF(N87="","",IF(OR(M87="",O87=""),N87,(M87+4*N87+O87)/6))</f>
        <v/>
      </c>
      <c r="Q87" s="10">
        <f>IFERROR(IF(INDEX('Test catalog'!$K$2:$K$200,MATCH($AB87,'Test catalog'!$A$2:$A$200,0))="","",INDEX('Test catalog'!$K$2:$K$200,MATCH($AB87,'Test catalog'!$A$2:$A$200,0))),"")</f>
        <v/>
      </c>
      <c r="R87" s="5" t="n"/>
      <c r="S87" s="10">
        <f>IFERROR(IF(INDEX('Test catalog'!$L$2:$L$200,MATCH($AB87,'Test catalog'!$A$2:$A$200,0))="","",INDEX('Test catalog'!$L$2:$L$200,MATCH($AB87,'Test catalog'!$A$2:$A$200,0))),"")</f>
        <v/>
      </c>
      <c r="T87" s="10">
        <f>IFERROR(IF(INDEX('Test catalog'!$M$2:$M$200,MATCH($AB87,'Test catalog'!$A$2:$A$200,0))="","",INDEX('Test catalog'!$M$2:$M$200,MATCH($AB87,'Test catalog'!$A$2:$A$200,0))),"")</f>
        <v/>
      </c>
      <c r="U87" s="10">
        <f>IFERROR(IF(INDEX('Test catalog'!$N$2:$N$200,MATCH($AB87,'Test catalog'!$A$2:$A$200,0))="","",INDEX('Test catalog'!$N$2:$N$200,MATCH($AB87,'Test catalog'!$A$2:$A$200,0))),"")</f>
        <v/>
      </c>
      <c r="V87" s="15" t="n"/>
      <c r="W87" s="5" t="inlineStr">
        <is>
          <t>N</t>
        </is>
      </c>
      <c r="X87" s="5" t="n"/>
      <c r="Y87" s="5" t="n"/>
      <c r="Z87" s="5" t="n"/>
      <c r="AA87" s="10">
        <f>IFERROR(IF(INDEX('Test catalog'!$O$2:$O$200,MATCH($AB87,'Test catalog'!$A$2:$A$200,0))="","",INDEX('Test catalog'!$O$2:$O$200,MATCH($AB87,'Test catalog'!$A$2:$A$200,0))),"")</f>
        <v/>
      </c>
      <c r="AB87" s="10" t="inlineStr">
        <is>
          <t>THICK</t>
        </is>
      </c>
    </row>
    <row r="88">
      <c r="A88" s="10" t="inlineStr">
        <is>
          <t>F12</t>
        </is>
      </c>
      <c r="B88" s="10" t="inlineStr">
        <is>
          <t>FP</t>
        </is>
      </c>
      <c r="C88" s="10" t="inlineStr">
        <is>
          <t>loperamide 2  |  Loperamide HCl</t>
        </is>
      </c>
      <c r="D88" s="10" t="inlineStr">
        <is>
          <t>Hardness / breaking force</t>
        </is>
      </c>
      <c r="E88" s="10">
        <f>IF(A88="","",A88&amp;"|"&amp;D88)</f>
        <v/>
      </c>
      <c r="F88" s="5" t="inlineStr">
        <is>
          <t>Y</t>
        </is>
      </c>
      <c r="G88" s="5" t="inlineStr">
        <is>
          <t>Tablet tester</t>
        </is>
      </c>
      <c r="H88" s="5" t="inlineStr">
        <is>
          <t>Low</t>
        </is>
      </c>
      <c r="I88" s="5" t="n">
        <v>1</v>
      </c>
      <c r="J88" s="5" t="n"/>
      <c r="K88" s="10">
        <f>IFERROR(IF(INDEX('Test catalog'!$F$2:$F$200,MATCH($AB88,'Test catalog'!$A$2:$A$200,0))="","",INDEX('Test catalog'!$F$2:$F$200,MATCH($AB88,'Test catalog'!$A$2:$A$200,0))),"")</f>
        <v/>
      </c>
      <c r="L88" s="10">
        <f>IFERROR(IF(INDEX('Test catalog'!$G$2:$G$200,MATCH($AB88,'Test catalog'!$A$2:$A$200,0))="","",INDEX('Test catalog'!$G$2:$G$200,MATCH($AB88,'Test catalog'!$A$2:$A$200,0))),"")</f>
        <v/>
      </c>
      <c r="M88" s="10">
        <f>IFERROR(IF(INDEX('Test catalog'!$H$2:$H$200,MATCH($AB88,'Test catalog'!$A$2:$A$200,0))="","",INDEX('Test catalog'!$H$2:$H$200,MATCH($AB88,'Test catalog'!$A$2:$A$200,0))),"")</f>
        <v/>
      </c>
      <c r="N88" s="10">
        <f>IFERROR(IF(INDEX('Test catalog'!$I$2:$I$200,MATCH($AB88,'Test catalog'!$A$2:$A$200,0))="","",INDEX('Test catalog'!$I$2:$I$200,MATCH($AB88,'Test catalog'!$A$2:$A$200,0))),"")</f>
        <v/>
      </c>
      <c r="O88" s="10">
        <f>IFERROR(IF(INDEX('Test catalog'!$J$2:$J$200,MATCH($AB88,'Test catalog'!$A$2:$A$200,0))="","",INDEX('Test catalog'!$J$2:$J$200,MATCH($AB88,'Test catalog'!$A$2:$A$200,0))),"")</f>
        <v/>
      </c>
      <c r="P88" s="14">
        <f>IF(N88="","",IF(OR(M88="",O88=""),N88,(M88+4*N88+O88)/6))</f>
        <v/>
      </c>
      <c r="Q88" s="10">
        <f>IFERROR(IF(INDEX('Test catalog'!$K$2:$K$200,MATCH($AB88,'Test catalog'!$A$2:$A$200,0))="","",INDEX('Test catalog'!$K$2:$K$200,MATCH($AB88,'Test catalog'!$A$2:$A$200,0))),"")</f>
        <v/>
      </c>
      <c r="R88" s="5" t="n"/>
      <c r="S88" s="10">
        <f>IFERROR(IF(INDEX('Test catalog'!$L$2:$L$200,MATCH($AB88,'Test catalog'!$A$2:$A$200,0))="","",INDEX('Test catalog'!$L$2:$L$200,MATCH($AB88,'Test catalog'!$A$2:$A$200,0))),"")</f>
        <v/>
      </c>
      <c r="T88" s="10">
        <f>IFERROR(IF(INDEX('Test catalog'!$M$2:$M$200,MATCH($AB88,'Test catalog'!$A$2:$A$200,0))="","",INDEX('Test catalog'!$M$2:$M$200,MATCH($AB88,'Test catalog'!$A$2:$A$200,0))),"")</f>
        <v/>
      </c>
      <c r="U88" s="10">
        <f>IFERROR(IF(INDEX('Test catalog'!$N$2:$N$200,MATCH($AB88,'Test catalog'!$A$2:$A$200,0))="","",INDEX('Test catalog'!$N$2:$N$200,MATCH($AB88,'Test catalog'!$A$2:$A$200,0))),"")</f>
        <v/>
      </c>
      <c r="V88" s="15" t="n"/>
      <c r="W88" s="5" t="inlineStr">
        <is>
          <t>Y</t>
        </is>
      </c>
      <c r="X88" s="5" t="n"/>
      <c r="Y88" s="5" t="n"/>
      <c r="Z88" s="5" t="n"/>
      <c r="AA88" s="10">
        <f>IFERROR(IF(INDEX('Test catalog'!$O$2:$O$200,MATCH($AB88,'Test catalog'!$A$2:$A$200,0))="","",INDEX('Test catalog'!$O$2:$O$200,MATCH($AB88,'Test catalog'!$A$2:$A$200,0))),"")</f>
        <v/>
      </c>
      <c r="AB88" s="10" t="inlineStr">
        <is>
          <t>HARD</t>
        </is>
      </c>
    </row>
    <row r="89">
      <c r="A89" s="10" t="inlineStr">
        <is>
          <t>F12</t>
        </is>
      </c>
      <c r="B89" s="10" t="inlineStr">
        <is>
          <t>FP</t>
        </is>
      </c>
      <c r="C89" s="10" t="inlineStr">
        <is>
          <t>loperamide 2  |  Loperamide HCl</t>
        </is>
      </c>
      <c r="D89" s="10" t="inlineStr">
        <is>
          <t>Brittleness</t>
        </is>
      </c>
      <c r="E89" s="10">
        <f>IF(A89="","",A89&amp;"|"&amp;D89)</f>
        <v/>
      </c>
      <c r="F89" s="5" t="inlineStr">
        <is>
          <t>Y</t>
        </is>
      </c>
      <c r="G89" s="5" t="inlineStr">
        <is>
          <t>Other / bench</t>
        </is>
      </c>
      <c r="H89" s="5" t="inlineStr">
        <is>
          <t>Low</t>
        </is>
      </c>
      <c r="I89" s="5" t="n">
        <v>1</v>
      </c>
      <c r="J89" s="5" t="n"/>
      <c r="K89" s="10">
        <f>IFERROR(IF(INDEX('Test catalog'!$F$2:$F$200,MATCH($AB89,'Test catalog'!$A$2:$A$200,0))="","",INDEX('Test catalog'!$F$2:$F$200,MATCH($AB89,'Test catalog'!$A$2:$A$200,0))),"")</f>
        <v/>
      </c>
      <c r="L89" s="10">
        <f>IFERROR(IF(INDEX('Test catalog'!$G$2:$G$200,MATCH($AB89,'Test catalog'!$A$2:$A$200,0))="","",INDEX('Test catalog'!$G$2:$G$200,MATCH($AB89,'Test catalog'!$A$2:$A$200,0))),"")</f>
        <v/>
      </c>
      <c r="M89" s="10">
        <f>IFERROR(IF(INDEX('Test catalog'!$H$2:$H$200,MATCH($AB89,'Test catalog'!$A$2:$A$200,0))="","",INDEX('Test catalog'!$H$2:$H$200,MATCH($AB89,'Test catalog'!$A$2:$A$200,0))),"")</f>
        <v/>
      </c>
      <c r="N89" s="10">
        <f>IFERROR(IF(INDEX('Test catalog'!$I$2:$I$200,MATCH($AB89,'Test catalog'!$A$2:$A$200,0))="","",INDEX('Test catalog'!$I$2:$I$200,MATCH($AB89,'Test catalog'!$A$2:$A$200,0))),"")</f>
        <v/>
      </c>
      <c r="O89" s="10">
        <f>IFERROR(IF(INDEX('Test catalog'!$J$2:$J$200,MATCH($AB89,'Test catalog'!$A$2:$A$200,0))="","",INDEX('Test catalog'!$J$2:$J$200,MATCH($AB89,'Test catalog'!$A$2:$A$200,0))),"")</f>
        <v/>
      </c>
      <c r="P89" s="14">
        <f>IF(N89="","",IF(OR(M89="",O89=""),N89,(M89+4*N89+O89)/6))</f>
        <v/>
      </c>
      <c r="Q89" s="10">
        <f>IFERROR(IF(INDEX('Test catalog'!$K$2:$K$200,MATCH($AB89,'Test catalog'!$A$2:$A$200,0))="","",INDEX('Test catalog'!$K$2:$K$200,MATCH($AB89,'Test catalog'!$A$2:$A$200,0))),"")</f>
        <v/>
      </c>
      <c r="R89" s="5" t="n"/>
      <c r="S89" s="10">
        <f>IFERROR(IF(INDEX('Test catalog'!$L$2:$L$200,MATCH($AB89,'Test catalog'!$A$2:$A$200,0))="","",INDEX('Test catalog'!$L$2:$L$200,MATCH($AB89,'Test catalog'!$A$2:$A$200,0))),"")</f>
        <v/>
      </c>
      <c r="T89" s="10">
        <f>IFERROR(IF(INDEX('Test catalog'!$M$2:$M$200,MATCH($AB89,'Test catalog'!$A$2:$A$200,0))="","",INDEX('Test catalog'!$M$2:$M$200,MATCH($AB89,'Test catalog'!$A$2:$A$200,0))),"")</f>
        <v/>
      </c>
      <c r="U89" s="10">
        <f>IFERROR(IF(INDEX('Test catalog'!$N$2:$N$200,MATCH($AB89,'Test catalog'!$A$2:$A$200,0))="","",INDEX('Test catalog'!$N$2:$N$200,MATCH($AB89,'Test catalog'!$A$2:$A$200,0))),"")</f>
        <v/>
      </c>
      <c r="V89" s="15" t="n"/>
      <c r="W89" s="5" t="inlineStr">
        <is>
          <t>N</t>
        </is>
      </c>
      <c r="X89" s="5" t="n"/>
      <c r="Y89" s="5" t="n"/>
      <c r="Z89" s="5" t="n"/>
      <c r="AA89" s="10">
        <f>IFERROR(IF(INDEX('Test catalog'!$O$2:$O$200,MATCH($AB89,'Test catalog'!$A$2:$A$200,0))="","",INDEX('Test catalog'!$O$2:$O$200,MATCH($AB89,'Test catalog'!$A$2:$A$200,0))),"")</f>
        <v/>
      </c>
      <c r="AB89" s="10" t="inlineStr">
        <is>
          <t>BRITTLE</t>
        </is>
      </c>
    </row>
    <row r="90">
      <c r="A90" s="10" t="inlineStr">
        <is>
          <t>F12</t>
        </is>
      </c>
      <c r="B90" s="10" t="inlineStr">
        <is>
          <t>FP</t>
        </is>
      </c>
      <c r="C90" s="10" t="inlineStr">
        <is>
          <t>loperamide 2  |  Loperamide HCl</t>
        </is>
      </c>
      <c r="D90" s="10" t="inlineStr">
        <is>
          <t>Friability</t>
        </is>
      </c>
      <c r="E90" s="10">
        <f>IF(A90="","",A90&amp;"|"&amp;D90)</f>
        <v/>
      </c>
      <c r="F90" s="5" t="inlineStr">
        <is>
          <t>Y</t>
        </is>
      </c>
      <c r="G90" s="5" t="inlineStr">
        <is>
          <t>Friabilator</t>
        </is>
      </c>
      <c r="H90" s="5" t="inlineStr">
        <is>
          <t>Low</t>
        </is>
      </c>
      <c r="I90" s="5" t="n">
        <v>1</v>
      </c>
      <c r="J90" s="5" t="n"/>
      <c r="K90" s="10">
        <f>IFERROR(IF(INDEX('Test catalog'!$F$2:$F$200,MATCH($AB90,'Test catalog'!$A$2:$A$200,0))="","",INDEX('Test catalog'!$F$2:$F$200,MATCH($AB90,'Test catalog'!$A$2:$A$200,0))),"")</f>
        <v/>
      </c>
      <c r="L90" s="10">
        <f>IFERROR(IF(INDEX('Test catalog'!$G$2:$G$200,MATCH($AB90,'Test catalog'!$A$2:$A$200,0))="","",INDEX('Test catalog'!$G$2:$G$200,MATCH($AB90,'Test catalog'!$A$2:$A$200,0))),"")</f>
        <v/>
      </c>
      <c r="M90" s="10">
        <f>IFERROR(IF(INDEX('Test catalog'!$H$2:$H$200,MATCH($AB90,'Test catalog'!$A$2:$A$200,0))="","",INDEX('Test catalog'!$H$2:$H$200,MATCH($AB90,'Test catalog'!$A$2:$A$200,0))),"")</f>
        <v/>
      </c>
      <c r="N90" s="10">
        <f>IFERROR(IF(INDEX('Test catalog'!$I$2:$I$200,MATCH($AB90,'Test catalog'!$A$2:$A$200,0))="","",INDEX('Test catalog'!$I$2:$I$200,MATCH($AB90,'Test catalog'!$A$2:$A$200,0))),"")</f>
        <v/>
      </c>
      <c r="O90" s="10">
        <f>IFERROR(IF(INDEX('Test catalog'!$J$2:$J$200,MATCH($AB90,'Test catalog'!$A$2:$A$200,0))="","",INDEX('Test catalog'!$J$2:$J$200,MATCH($AB90,'Test catalog'!$A$2:$A$200,0))),"")</f>
        <v/>
      </c>
      <c r="P90" s="14">
        <f>IF(N90="","",IF(OR(M90="",O90=""),N90,(M90+4*N90+O90)/6))</f>
        <v/>
      </c>
      <c r="Q90" s="10">
        <f>IFERROR(IF(INDEX('Test catalog'!$K$2:$K$200,MATCH($AB90,'Test catalog'!$A$2:$A$200,0))="","",INDEX('Test catalog'!$K$2:$K$200,MATCH($AB90,'Test catalog'!$A$2:$A$200,0))),"")</f>
        <v/>
      </c>
      <c r="R90" s="5" t="n"/>
      <c r="S90" s="10">
        <f>IFERROR(IF(INDEX('Test catalog'!$L$2:$L$200,MATCH($AB90,'Test catalog'!$A$2:$A$200,0))="","",INDEX('Test catalog'!$L$2:$L$200,MATCH($AB90,'Test catalog'!$A$2:$A$200,0))),"")</f>
        <v/>
      </c>
      <c r="T90" s="10">
        <f>IFERROR(IF(INDEX('Test catalog'!$M$2:$M$200,MATCH($AB90,'Test catalog'!$A$2:$A$200,0))="","",INDEX('Test catalog'!$M$2:$M$200,MATCH($AB90,'Test catalog'!$A$2:$A$200,0))),"")</f>
        <v/>
      </c>
      <c r="U90" s="10">
        <f>IFERROR(IF(INDEX('Test catalog'!$N$2:$N$200,MATCH($AB90,'Test catalog'!$A$2:$A$200,0))="","",INDEX('Test catalog'!$N$2:$N$200,MATCH($AB90,'Test catalog'!$A$2:$A$200,0))),"")</f>
        <v/>
      </c>
      <c r="V90" s="15" t="n"/>
      <c r="W90" s="5" t="inlineStr">
        <is>
          <t>N</t>
        </is>
      </c>
      <c r="X90" s="5" t="n"/>
      <c r="Y90" s="5" t="n"/>
      <c r="Z90" s="5" t="n"/>
      <c r="AA90" s="10">
        <f>IFERROR(IF(INDEX('Test catalog'!$O$2:$O$200,MATCH($AB90,'Test catalog'!$A$2:$A$200,0))="","",INDEX('Test catalog'!$O$2:$O$200,MATCH($AB90,'Test catalog'!$A$2:$A$200,0))),"")</f>
        <v/>
      </c>
      <c r="AB90" s="10" t="inlineStr">
        <is>
          <t>FRIAB</t>
        </is>
      </c>
    </row>
    <row r="91">
      <c r="A91" s="10" t="inlineStr">
        <is>
          <t>F12</t>
        </is>
      </c>
      <c r="B91" s="10" t="inlineStr">
        <is>
          <t>FP</t>
        </is>
      </c>
      <c r="C91" s="10" t="inlineStr">
        <is>
          <t>loperamide 2  |  Loperamide HCl</t>
        </is>
      </c>
      <c r="D91" s="10" t="inlineStr">
        <is>
          <t>Disintegration</t>
        </is>
      </c>
      <c r="E91" s="10">
        <f>IF(A91="","",A91&amp;"|"&amp;D91)</f>
        <v/>
      </c>
      <c r="F91" s="5" t="inlineStr">
        <is>
          <t>Y</t>
        </is>
      </c>
      <c r="G91" s="5" t="inlineStr">
        <is>
          <t>Disintegration tester</t>
        </is>
      </c>
      <c r="H91" s="5" t="inlineStr">
        <is>
          <t>Low</t>
        </is>
      </c>
      <c r="I91" s="5" t="n">
        <v>1</v>
      </c>
      <c r="J91" s="5" t="n"/>
      <c r="K91" s="10">
        <f>IFERROR(IF(INDEX('Test catalog'!$F$2:$F$200,MATCH($AB91,'Test catalog'!$A$2:$A$200,0))="","",INDEX('Test catalog'!$F$2:$F$200,MATCH($AB91,'Test catalog'!$A$2:$A$200,0))),"")</f>
        <v/>
      </c>
      <c r="L91" s="10">
        <f>IFERROR(IF(INDEX('Test catalog'!$G$2:$G$200,MATCH($AB91,'Test catalog'!$A$2:$A$200,0))="","",INDEX('Test catalog'!$G$2:$G$200,MATCH($AB91,'Test catalog'!$A$2:$A$200,0))),"")</f>
        <v/>
      </c>
      <c r="M91" s="10">
        <f>IFERROR(IF(INDEX('Test catalog'!$H$2:$H$200,MATCH($AB91,'Test catalog'!$A$2:$A$200,0))="","",INDEX('Test catalog'!$H$2:$H$200,MATCH($AB91,'Test catalog'!$A$2:$A$200,0))),"")</f>
        <v/>
      </c>
      <c r="N91" s="10">
        <f>IFERROR(IF(INDEX('Test catalog'!$I$2:$I$200,MATCH($AB91,'Test catalog'!$A$2:$A$200,0))="","",INDEX('Test catalog'!$I$2:$I$200,MATCH($AB91,'Test catalog'!$A$2:$A$200,0))),"")</f>
        <v/>
      </c>
      <c r="O91" s="10">
        <f>IFERROR(IF(INDEX('Test catalog'!$J$2:$J$200,MATCH($AB91,'Test catalog'!$A$2:$A$200,0))="","",INDEX('Test catalog'!$J$2:$J$200,MATCH($AB91,'Test catalog'!$A$2:$A$200,0))),"")</f>
        <v/>
      </c>
      <c r="P91" s="14">
        <f>IF(N91="","",IF(OR(M91="",O91=""),N91,(M91+4*N91+O91)/6))</f>
        <v/>
      </c>
      <c r="Q91" s="10">
        <f>IFERROR(IF(INDEX('Test catalog'!$K$2:$K$200,MATCH($AB91,'Test catalog'!$A$2:$A$200,0))="","",INDEX('Test catalog'!$K$2:$K$200,MATCH($AB91,'Test catalog'!$A$2:$A$200,0))),"")</f>
        <v/>
      </c>
      <c r="R91" s="5" t="n"/>
      <c r="S91" s="10">
        <f>IFERROR(IF(INDEX('Test catalog'!$L$2:$L$200,MATCH($AB91,'Test catalog'!$A$2:$A$200,0))="","",INDEX('Test catalog'!$L$2:$L$200,MATCH($AB91,'Test catalog'!$A$2:$A$200,0))),"")</f>
        <v/>
      </c>
      <c r="T91" s="10">
        <f>IFERROR(IF(INDEX('Test catalog'!$M$2:$M$200,MATCH($AB91,'Test catalog'!$A$2:$A$200,0))="","",INDEX('Test catalog'!$M$2:$M$200,MATCH($AB91,'Test catalog'!$A$2:$A$200,0))),"")</f>
        <v/>
      </c>
      <c r="U91" s="10">
        <f>IFERROR(IF(INDEX('Test catalog'!$N$2:$N$200,MATCH($AB91,'Test catalog'!$A$2:$A$200,0))="","",INDEX('Test catalog'!$N$2:$N$200,MATCH($AB91,'Test catalog'!$A$2:$A$200,0))),"")</f>
        <v/>
      </c>
      <c r="V91" s="15" t="n"/>
      <c r="W91" s="5" t="inlineStr">
        <is>
          <t>Y</t>
        </is>
      </c>
      <c r="X91" s="5" t="n"/>
      <c r="Y91" s="5" t="n"/>
      <c r="Z91" s="5" t="n"/>
      <c r="AA91" s="10">
        <f>IFERROR(IF(INDEX('Test catalog'!$O$2:$O$200,MATCH($AB91,'Test catalog'!$A$2:$A$200,0))="","",INDEX('Test catalog'!$O$2:$O$200,MATCH($AB91,'Test catalog'!$A$2:$A$200,0))),"")</f>
        <v/>
      </c>
      <c r="AB91" s="10" t="inlineStr">
        <is>
          <t>DISINT</t>
        </is>
      </c>
    </row>
    <row r="92">
      <c r="A92" s="10" t="inlineStr">
        <is>
          <t>F12</t>
        </is>
      </c>
      <c r="B92" s="10" t="inlineStr">
        <is>
          <t>FP</t>
        </is>
      </c>
      <c r="C92" s="10" t="inlineStr">
        <is>
          <t>loperamide 2  |  Loperamide HCl</t>
        </is>
      </c>
      <c r="D92" s="10" t="inlineStr">
        <is>
          <t>In-process check at the machine (one check, all its tests)</t>
        </is>
      </c>
      <c r="E92" s="10">
        <f>IF(A92="","",A92&amp;"|"&amp;D92)</f>
        <v/>
      </c>
      <c r="F92" s="5" t="inlineStr">
        <is>
          <t>Y</t>
        </is>
      </c>
      <c r="G92" s="5" t="inlineStr">
        <is>
          <t>Tablet tester</t>
        </is>
      </c>
      <c r="H92" s="5" t="inlineStr">
        <is>
          <t>Low</t>
        </is>
      </c>
      <c r="I92" s="5" t="n">
        <v>1</v>
      </c>
      <c r="J92" s="5" t="n"/>
      <c r="K92" s="10">
        <f>IFERROR(IF(INDEX('Test catalog'!$F$2:$F$200,MATCH($AB92,'Test catalog'!$A$2:$A$200,0))="","",INDEX('Test catalog'!$F$2:$F$200,MATCH($AB92,'Test catalog'!$A$2:$A$200,0))),"")</f>
        <v/>
      </c>
      <c r="L92" s="10">
        <f>IFERROR(IF(INDEX('Test catalog'!$G$2:$G$200,MATCH($AB92,'Test catalog'!$A$2:$A$200,0))="","",INDEX('Test catalog'!$G$2:$G$200,MATCH($AB92,'Test catalog'!$A$2:$A$200,0))),"")</f>
        <v/>
      </c>
      <c r="M92" s="10">
        <f>IFERROR(IF(INDEX('Test catalog'!$H$2:$H$200,MATCH($AB92,'Test catalog'!$A$2:$A$200,0))="","",INDEX('Test catalog'!$H$2:$H$200,MATCH($AB92,'Test catalog'!$A$2:$A$200,0))),"")</f>
        <v/>
      </c>
      <c r="N92" s="10">
        <f>IFERROR(IF(INDEX('Test catalog'!$I$2:$I$200,MATCH($AB92,'Test catalog'!$A$2:$A$200,0))="","",INDEX('Test catalog'!$I$2:$I$200,MATCH($AB92,'Test catalog'!$A$2:$A$200,0))),"")</f>
        <v/>
      </c>
      <c r="O92" s="10">
        <f>IFERROR(IF(INDEX('Test catalog'!$J$2:$J$200,MATCH($AB92,'Test catalog'!$A$2:$A$200,0))="","",INDEX('Test catalog'!$J$2:$J$200,MATCH($AB92,'Test catalog'!$A$2:$A$200,0))),"")</f>
        <v/>
      </c>
      <c r="P92" s="14">
        <f>IF(N92="","",IF(OR(M92="",O92=""),N92,(M92+4*N92+O92)/6))</f>
        <v/>
      </c>
      <c r="Q92" s="10">
        <f>IFERROR(IF(INDEX('Test catalog'!$K$2:$K$200,MATCH($AB92,'Test catalog'!$A$2:$A$200,0))="","",INDEX('Test catalog'!$K$2:$K$200,MATCH($AB92,'Test catalog'!$A$2:$A$200,0))),"")</f>
        <v/>
      </c>
      <c r="R92" s="5" t="n"/>
      <c r="S92" s="10">
        <f>IFERROR(IF(INDEX('Test catalog'!$L$2:$L$200,MATCH($AB92,'Test catalog'!$A$2:$A$200,0))="","",INDEX('Test catalog'!$L$2:$L$200,MATCH($AB92,'Test catalog'!$A$2:$A$200,0))),"")</f>
        <v/>
      </c>
      <c r="T92" s="10">
        <f>IFERROR(IF(INDEX('Test catalog'!$M$2:$M$200,MATCH($AB92,'Test catalog'!$A$2:$A$200,0))="","",INDEX('Test catalog'!$M$2:$M$200,MATCH($AB92,'Test catalog'!$A$2:$A$200,0))),"")</f>
        <v/>
      </c>
      <c r="U92" s="10">
        <f>IFERROR(IF(INDEX('Test catalog'!$N$2:$N$200,MATCH($AB92,'Test catalog'!$A$2:$A$200,0))="","",INDEX('Test catalog'!$N$2:$N$200,MATCH($AB92,'Test catalog'!$A$2:$A$200,0))),"")</f>
        <v/>
      </c>
      <c r="V92" s="15" t="n"/>
      <c r="W92" s="5" t="inlineStr">
        <is>
          <t>N</t>
        </is>
      </c>
      <c r="X92" s="5" t="n"/>
      <c r="Y92" s="5" t="n"/>
      <c r="Z92" s="5" t="n"/>
      <c r="AA92" s="10">
        <f>IFERROR(IF(INDEX('Test catalog'!$O$2:$O$200,MATCH($AB92,'Test catalog'!$A$2:$A$200,0))="","",INDEX('Test catalog'!$O$2:$O$200,MATCH($AB92,'Test catalog'!$A$2:$A$200,0))),"")</f>
        <v/>
      </c>
      <c r="AB92" s="10" t="inlineStr">
        <is>
          <t>IPC</t>
        </is>
      </c>
    </row>
    <row r="93">
      <c r="A93" s="10" t="inlineStr">
        <is>
          <t>F13</t>
        </is>
      </c>
      <c r="B93" s="10" t="inlineStr">
        <is>
          <t>FP</t>
        </is>
      </c>
      <c r="C93" s="10" t="inlineStr">
        <is>
          <t>Naproxen 750  |  Naproxen</t>
        </is>
      </c>
      <c r="D93" s="10" t="inlineStr">
        <is>
          <t>Average weight / uniformity of mass</t>
        </is>
      </c>
      <c r="E93" s="10">
        <f>IF(A93="","",A93&amp;"|"&amp;D93)</f>
        <v/>
      </c>
      <c r="F93" s="5" t="inlineStr">
        <is>
          <t>Y</t>
        </is>
      </c>
      <c r="G93" s="5" t="inlineStr">
        <is>
          <t>Balance</t>
        </is>
      </c>
      <c r="H93" s="5" t="inlineStr">
        <is>
          <t>Low</t>
        </is>
      </c>
      <c r="I93" s="5" t="n">
        <v>1</v>
      </c>
      <c r="J93" s="5" t="n"/>
      <c r="K93" s="10">
        <f>IFERROR(IF(INDEX('Test catalog'!$F$2:$F$200,MATCH($AB93,'Test catalog'!$A$2:$A$200,0))="","",INDEX('Test catalog'!$F$2:$F$200,MATCH($AB93,'Test catalog'!$A$2:$A$200,0))),"")</f>
        <v/>
      </c>
      <c r="L93" s="10">
        <f>IFERROR(IF(INDEX('Test catalog'!$G$2:$G$200,MATCH($AB93,'Test catalog'!$A$2:$A$200,0))="","",INDEX('Test catalog'!$G$2:$G$200,MATCH($AB93,'Test catalog'!$A$2:$A$200,0))),"")</f>
        <v/>
      </c>
      <c r="M93" s="10">
        <f>IFERROR(IF(INDEX('Test catalog'!$H$2:$H$200,MATCH($AB93,'Test catalog'!$A$2:$A$200,0))="","",INDEX('Test catalog'!$H$2:$H$200,MATCH($AB93,'Test catalog'!$A$2:$A$200,0))),"")</f>
        <v/>
      </c>
      <c r="N93" s="10">
        <f>IFERROR(IF(INDEX('Test catalog'!$I$2:$I$200,MATCH($AB93,'Test catalog'!$A$2:$A$200,0))="","",INDEX('Test catalog'!$I$2:$I$200,MATCH($AB93,'Test catalog'!$A$2:$A$200,0))),"")</f>
        <v/>
      </c>
      <c r="O93" s="10">
        <f>IFERROR(IF(INDEX('Test catalog'!$J$2:$J$200,MATCH($AB93,'Test catalog'!$A$2:$A$200,0))="","",INDEX('Test catalog'!$J$2:$J$200,MATCH($AB93,'Test catalog'!$A$2:$A$200,0))),"")</f>
        <v/>
      </c>
      <c r="P93" s="14">
        <f>IF(N93="","",IF(OR(M93="",O93=""),N93,(M93+4*N93+O93)/6))</f>
        <v/>
      </c>
      <c r="Q93" s="10">
        <f>IFERROR(IF(INDEX('Test catalog'!$K$2:$K$200,MATCH($AB93,'Test catalog'!$A$2:$A$200,0))="","",INDEX('Test catalog'!$K$2:$K$200,MATCH($AB93,'Test catalog'!$A$2:$A$200,0))),"")</f>
        <v/>
      </c>
      <c r="R93" s="5" t="n"/>
      <c r="S93" s="10">
        <f>IFERROR(IF(INDEX('Test catalog'!$L$2:$L$200,MATCH($AB93,'Test catalog'!$A$2:$A$200,0))="","",INDEX('Test catalog'!$L$2:$L$200,MATCH($AB93,'Test catalog'!$A$2:$A$200,0))),"")</f>
        <v/>
      </c>
      <c r="T93" s="10">
        <f>IFERROR(IF(INDEX('Test catalog'!$M$2:$M$200,MATCH($AB93,'Test catalog'!$A$2:$A$200,0))="","",INDEX('Test catalog'!$M$2:$M$200,MATCH($AB93,'Test catalog'!$A$2:$A$200,0))),"")</f>
        <v/>
      </c>
      <c r="U93" s="10">
        <f>IFERROR(IF(INDEX('Test catalog'!$N$2:$N$200,MATCH($AB93,'Test catalog'!$A$2:$A$200,0))="","",INDEX('Test catalog'!$N$2:$N$200,MATCH($AB93,'Test catalog'!$A$2:$A$200,0))),"")</f>
        <v/>
      </c>
      <c r="V93" s="15" t="n"/>
      <c r="W93" s="5" t="inlineStr">
        <is>
          <t>N</t>
        </is>
      </c>
      <c r="X93" s="5" t="n"/>
      <c r="Y93" s="5" t="n"/>
      <c r="Z93" s="5" t="n"/>
      <c r="AA93" s="10">
        <f>IFERROR(IF(INDEX('Test catalog'!$O$2:$O$200,MATCH($AB93,'Test catalog'!$A$2:$A$200,0))="","",INDEX('Test catalog'!$O$2:$O$200,MATCH($AB93,'Test catalog'!$A$2:$A$200,0))),"")</f>
        <v/>
      </c>
      <c r="AB93" s="10" t="inlineStr">
        <is>
          <t>AVG_WT</t>
        </is>
      </c>
    </row>
    <row r="94">
      <c r="A94" s="10" t="inlineStr">
        <is>
          <t>F13</t>
        </is>
      </c>
      <c r="B94" s="10" t="inlineStr">
        <is>
          <t>FP</t>
        </is>
      </c>
      <c r="C94" s="10" t="inlineStr">
        <is>
          <t>Naproxen 750  |  Naproxen</t>
        </is>
      </c>
      <c r="D94" s="10" t="inlineStr">
        <is>
          <t>Diameter (or length / width)</t>
        </is>
      </c>
      <c r="E94" s="10">
        <f>IF(A94="","",A94&amp;"|"&amp;D94)</f>
        <v/>
      </c>
      <c r="F94" s="5" t="inlineStr">
        <is>
          <t>Y</t>
        </is>
      </c>
      <c r="G94" s="5" t="inlineStr">
        <is>
          <t>Tablet tester</t>
        </is>
      </c>
      <c r="H94" s="5" t="inlineStr">
        <is>
          <t>Low</t>
        </is>
      </c>
      <c r="I94" s="5" t="n">
        <v>1</v>
      </c>
      <c r="J94" s="5" t="n"/>
      <c r="K94" s="10">
        <f>IFERROR(IF(INDEX('Test catalog'!$F$2:$F$200,MATCH($AB94,'Test catalog'!$A$2:$A$200,0))="","",INDEX('Test catalog'!$F$2:$F$200,MATCH($AB94,'Test catalog'!$A$2:$A$200,0))),"")</f>
        <v/>
      </c>
      <c r="L94" s="10">
        <f>IFERROR(IF(INDEX('Test catalog'!$G$2:$G$200,MATCH($AB94,'Test catalog'!$A$2:$A$200,0))="","",INDEX('Test catalog'!$G$2:$G$200,MATCH($AB94,'Test catalog'!$A$2:$A$200,0))),"")</f>
        <v/>
      </c>
      <c r="M94" s="10">
        <f>IFERROR(IF(INDEX('Test catalog'!$H$2:$H$200,MATCH($AB94,'Test catalog'!$A$2:$A$200,0))="","",INDEX('Test catalog'!$H$2:$H$200,MATCH($AB94,'Test catalog'!$A$2:$A$200,0))),"")</f>
        <v/>
      </c>
      <c r="N94" s="10">
        <f>IFERROR(IF(INDEX('Test catalog'!$I$2:$I$200,MATCH($AB94,'Test catalog'!$A$2:$A$200,0))="","",INDEX('Test catalog'!$I$2:$I$200,MATCH($AB94,'Test catalog'!$A$2:$A$200,0))),"")</f>
        <v/>
      </c>
      <c r="O94" s="10">
        <f>IFERROR(IF(INDEX('Test catalog'!$J$2:$J$200,MATCH($AB94,'Test catalog'!$A$2:$A$200,0))="","",INDEX('Test catalog'!$J$2:$J$200,MATCH($AB94,'Test catalog'!$A$2:$A$200,0))),"")</f>
        <v/>
      </c>
      <c r="P94" s="14">
        <f>IF(N94="","",IF(OR(M94="",O94=""),N94,(M94+4*N94+O94)/6))</f>
        <v/>
      </c>
      <c r="Q94" s="10">
        <f>IFERROR(IF(INDEX('Test catalog'!$K$2:$K$200,MATCH($AB94,'Test catalog'!$A$2:$A$200,0))="","",INDEX('Test catalog'!$K$2:$K$200,MATCH($AB94,'Test catalog'!$A$2:$A$200,0))),"")</f>
        <v/>
      </c>
      <c r="R94" s="5" t="n"/>
      <c r="S94" s="10">
        <f>IFERROR(IF(INDEX('Test catalog'!$L$2:$L$200,MATCH($AB94,'Test catalog'!$A$2:$A$200,0))="","",INDEX('Test catalog'!$L$2:$L$200,MATCH($AB94,'Test catalog'!$A$2:$A$200,0))),"")</f>
        <v/>
      </c>
      <c r="T94" s="10">
        <f>IFERROR(IF(INDEX('Test catalog'!$M$2:$M$200,MATCH($AB94,'Test catalog'!$A$2:$A$200,0))="","",INDEX('Test catalog'!$M$2:$M$200,MATCH($AB94,'Test catalog'!$A$2:$A$200,0))),"")</f>
        <v/>
      </c>
      <c r="U94" s="10">
        <f>IFERROR(IF(INDEX('Test catalog'!$N$2:$N$200,MATCH($AB94,'Test catalog'!$A$2:$A$200,0))="","",INDEX('Test catalog'!$N$2:$N$200,MATCH($AB94,'Test catalog'!$A$2:$A$200,0))),"")</f>
        <v/>
      </c>
      <c r="V94" s="15" t="n"/>
      <c r="W94" s="5" t="inlineStr">
        <is>
          <t>N</t>
        </is>
      </c>
      <c r="X94" s="5" t="n"/>
      <c r="Y94" s="5" t="n"/>
      <c r="Z94" s="5" t="n"/>
      <c r="AA94" s="10">
        <f>IFERROR(IF(INDEX('Test catalog'!$O$2:$O$200,MATCH($AB94,'Test catalog'!$A$2:$A$200,0))="","",INDEX('Test catalog'!$O$2:$O$200,MATCH($AB94,'Test catalog'!$A$2:$A$200,0))),"")</f>
        <v/>
      </c>
      <c r="AB94" s="10" t="inlineStr">
        <is>
          <t>DIAM</t>
        </is>
      </c>
    </row>
    <row r="95">
      <c r="A95" s="10" t="inlineStr">
        <is>
          <t>F13</t>
        </is>
      </c>
      <c r="B95" s="10" t="inlineStr">
        <is>
          <t>FP</t>
        </is>
      </c>
      <c r="C95" s="10" t="inlineStr">
        <is>
          <t>Naproxen 750  |  Naproxen</t>
        </is>
      </c>
      <c r="D95" s="10" t="inlineStr">
        <is>
          <t>Thickness</t>
        </is>
      </c>
      <c r="E95" s="10">
        <f>IF(A95="","",A95&amp;"|"&amp;D95)</f>
        <v/>
      </c>
      <c r="F95" s="5" t="inlineStr">
        <is>
          <t>Y</t>
        </is>
      </c>
      <c r="G95" s="5" t="inlineStr">
        <is>
          <t>Tablet tester</t>
        </is>
      </c>
      <c r="H95" s="5" t="inlineStr">
        <is>
          <t>Low</t>
        </is>
      </c>
      <c r="I95" s="5" t="n">
        <v>1</v>
      </c>
      <c r="J95" s="5" t="n"/>
      <c r="K95" s="10">
        <f>IFERROR(IF(INDEX('Test catalog'!$F$2:$F$200,MATCH($AB95,'Test catalog'!$A$2:$A$200,0))="","",INDEX('Test catalog'!$F$2:$F$200,MATCH($AB95,'Test catalog'!$A$2:$A$200,0))),"")</f>
        <v/>
      </c>
      <c r="L95" s="10">
        <f>IFERROR(IF(INDEX('Test catalog'!$G$2:$G$200,MATCH($AB95,'Test catalog'!$A$2:$A$200,0))="","",INDEX('Test catalog'!$G$2:$G$200,MATCH($AB95,'Test catalog'!$A$2:$A$200,0))),"")</f>
        <v/>
      </c>
      <c r="M95" s="10">
        <f>IFERROR(IF(INDEX('Test catalog'!$H$2:$H$200,MATCH($AB95,'Test catalog'!$A$2:$A$200,0))="","",INDEX('Test catalog'!$H$2:$H$200,MATCH($AB95,'Test catalog'!$A$2:$A$200,0))),"")</f>
        <v/>
      </c>
      <c r="N95" s="10">
        <f>IFERROR(IF(INDEX('Test catalog'!$I$2:$I$200,MATCH($AB95,'Test catalog'!$A$2:$A$200,0))="","",INDEX('Test catalog'!$I$2:$I$200,MATCH($AB95,'Test catalog'!$A$2:$A$200,0))),"")</f>
        <v/>
      </c>
      <c r="O95" s="10">
        <f>IFERROR(IF(INDEX('Test catalog'!$J$2:$J$200,MATCH($AB95,'Test catalog'!$A$2:$A$200,0))="","",INDEX('Test catalog'!$J$2:$J$200,MATCH($AB95,'Test catalog'!$A$2:$A$200,0))),"")</f>
        <v/>
      </c>
      <c r="P95" s="14">
        <f>IF(N95="","",IF(OR(M95="",O95=""),N95,(M95+4*N95+O95)/6))</f>
        <v/>
      </c>
      <c r="Q95" s="10">
        <f>IFERROR(IF(INDEX('Test catalog'!$K$2:$K$200,MATCH($AB95,'Test catalog'!$A$2:$A$200,0))="","",INDEX('Test catalog'!$K$2:$K$200,MATCH($AB95,'Test catalog'!$A$2:$A$200,0))),"")</f>
        <v/>
      </c>
      <c r="R95" s="5" t="n"/>
      <c r="S95" s="10">
        <f>IFERROR(IF(INDEX('Test catalog'!$L$2:$L$200,MATCH($AB95,'Test catalog'!$A$2:$A$200,0))="","",INDEX('Test catalog'!$L$2:$L$200,MATCH($AB95,'Test catalog'!$A$2:$A$200,0))),"")</f>
        <v/>
      </c>
      <c r="T95" s="10">
        <f>IFERROR(IF(INDEX('Test catalog'!$M$2:$M$200,MATCH($AB95,'Test catalog'!$A$2:$A$200,0))="","",INDEX('Test catalog'!$M$2:$M$200,MATCH($AB95,'Test catalog'!$A$2:$A$200,0))),"")</f>
        <v/>
      </c>
      <c r="U95" s="10">
        <f>IFERROR(IF(INDEX('Test catalog'!$N$2:$N$200,MATCH($AB95,'Test catalog'!$A$2:$A$200,0))="","",INDEX('Test catalog'!$N$2:$N$200,MATCH($AB95,'Test catalog'!$A$2:$A$200,0))),"")</f>
        <v/>
      </c>
      <c r="V95" s="15" t="n"/>
      <c r="W95" s="5" t="inlineStr">
        <is>
          <t>N</t>
        </is>
      </c>
      <c r="X95" s="5" t="n"/>
      <c r="Y95" s="5" t="n"/>
      <c r="Z95" s="5" t="n"/>
      <c r="AA95" s="10">
        <f>IFERROR(IF(INDEX('Test catalog'!$O$2:$O$200,MATCH($AB95,'Test catalog'!$A$2:$A$200,0))="","",INDEX('Test catalog'!$O$2:$O$200,MATCH($AB95,'Test catalog'!$A$2:$A$200,0))),"")</f>
        <v/>
      </c>
      <c r="AB95" s="10" t="inlineStr">
        <is>
          <t>THICK</t>
        </is>
      </c>
    </row>
    <row r="96">
      <c r="A96" s="10" t="inlineStr">
        <is>
          <t>F13</t>
        </is>
      </c>
      <c r="B96" s="10" t="inlineStr">
        <is>
          <t>FP</t>
        </is>
      </c>
      <c r="C96" s="10" t="inlineStr">
        <is>
          <t>Naproxen 750  |  Naproxen</t>
        </is>
      </c>
      <c r="D96" s="10" t="inlineStr">
        <is>
          <t>Hardness / breaking force</t>
        </is>
      </c>
      <c r="E96" s="10">
        <f>IF(A96="","",A96&amp;"|"&amp;D96)</f>
        <v/>
      </c>
      <c r="F96" s="5" t="inlineStr">
        <is>
          <t>Y</t>
        </is>
      </c>
      <c r="G96" s="5" t="inlineStr">
        <is>
          <t>Tablet tester</t>
        </is>
      </c>
      <c r="H96" s="5" t="inlineStr">
        <is>
          <t>Low</t>
        </is>
      </c>
      <c r="I96" s="5" t="n">
        <v>1</v>
      </c>
      <c r="J96" s="5" t="n"/>
      <c r="K96" s="10">
        <f>IFERROR(IF(INDEX('Test catalog'!$F$2:$F$200,MATCH($AB96,'Test catalog'!$A$2:$A$200,0))="","",INDEX('Test catalog'!$F$2:$F$200,MATCH($AB96,'Test catalog'!$A$2:$A$200,0))),"")</f>
        <v/>
      </c>
      <c r="L96" s="10">
        <f>IFERROR(IF(INDEX('Test catalog'!$G$2:$G$200,MATCH($AB96,'Test catalog'!$A$2:$A$200,0))="","",INDEX('Test catalog'!$G$2:$G$200,MATCH($AB96,'Test catalog'!$A$2:$A$200,0))),"")</f>
        <v/>
      </c>
      <c r="M96" s="10">
        <f>IFERROR(IF(INDEX('Test catalog'!$H$2:$H$200,MATCH($AB96,'Test catalog'!$A$2:$A$200,0))="","",INDEX('Test catalog'!$H$2:$H$200,MATCH($AB96,'Test catalog'!$A$2:$A$200,0))),"")</f>
        <v/>
      </c>
      <c r="N96" s="10">
        <f>IFERROR(IF(INDEX('Test catalog'!$I$2:$I$200,MATCH($AB96,'Test catalog'!$A$2:$A$200,0))="","",INDEX('Test catalog'!$I$2:$I$200,MATCH($AB96,'Test catalog'!$A$2:$A$200,0))),"")</f>
        <v/>
      </c>
      <c r="O96" s="10">
        <f>IFERROR(IF(INDEX('Test catalog'!$J$2:$J$200,MATCH($AB96,'Test catalog'!$A$2:$A$200,0))="","",INDEX('Test catalog'!$J$2:$J$200,MATCH($AB96,'Test catalog'!$A$2:$A$200,0))),"")</f>
        <v/>
      </c>
      <c r="P96" s="14">
        <f>IF(N96="","",IF(OR(M96="",O96=""),N96,(M96+4*N96+O96)/6))</f>
        <v/>
      </c>
      <c r="Q96" s="10">
        <f>IFERROR(IF(INDEX('Test catalog'!$K$2:$K$200,MATCH($AB96,'Test catalog'!$A$2:$A$200,0))="","",INDEX('Test catalog'!$K$2:$K$200,MATCH($AB96,'Test catalog'!$A$2:$A$200,0))),"")</f>
        <v/>
      </c>
      <c r="R96" s="5" t="n"/>
      <c r="S96" s="10">
        <f>IFERROR(IF(INDEX('Test catalog'!$L$2:$L$200,MATCH($AB96,'Test catalog'!$A$2:$A$200,0))="","",INDEX('Test catalog'!$L$2:$L$200,MATCH($AB96,'Test catalog'!$A$2:$A$200,0))),"")</f>
        <v/>
      </c>
      <c r="T96" s="10">
        <f>IFERROR(IF(INDEX('Test catalog'!$M$2:$M$200,MATCH($AB96,'Test catalog'!$A$2:$A$200,0))="","",INDEX('Test catalog'!$M$2:$M$200,MATCH($AB96,'Test catalog'!$A$2:$A$200,0))),"")</f>
        <v/>
      </c>
      <c r="U96" s="10">
        <f>IFERROR(IF(INDEX('Test catalog'!$N$2:$N$200,MATCH($AB96,'Test catalog'!$A$2:$A$200,0))="","",INDEX('Test catalog'!$N$2:$N$200,MATCH($AB96,'Test catalog'!$A$2:$A$200,0))),"")</f>
        <v/>
      </c>
      <c r="V96" s="15" t="n"/>
      <c r="W96" s="5" t="inlineStr">
        <is>
          <t>Y</t>
        </is>
      </c>
      <c r="X96" s="5" t="n"/>
      <c r="Y96" s="5" t="n"/>
      <c r="Z96" s="5" t="n"/>
      <c r="AA96" s="10">
        <f>IFERROR(IF(INDEX('Test catalog'!$O$2:$O$200,MATCH($AB96,'Test catalog'!$A$2:$A$200,0))="","",INDEX('Test catalog'!$O$2:$O$200,MATCH($AB96,'Test catalog'!$A$2:$A$200,0))),"")</f>
        <v/>
      </c>
      <c r="AB96" s="10" t="inlineStr">
        <is>
          <t>HARD</t>
        </is>
      </c>
    </row>
    <row r="97">
      <c r="A97" s="10" t="inlineStr">
        <is>
          <t>F13</t>
        </is>
      </c>
      <c r="B97" s="10" t="inlineStr">
        <is>
          <t>FP</t>
        </is>
      </c>
      <c r="C97" s="10" t="inlineStr">
        <is>
          <t>Naproxen 750  |  Naproxen</t>
        </is>
      </c>
      <c r="D97" s="10" t="inlineStr">
        <is>
          <t>Brittleness</t>
        </is>
      </c>
      <c r="E97" s="10">
        <f>IF(A97="","",A97&amp;"|"&amp;D97)</f>
        <v/>
      </c>
      <c r="F97" s="5" t="inlineStr">
        <is>
          <t>Y</t>
        </is>
      </c>
      <c r="G97" s="5" t="inlineStr">
        <is>
          <t>Other / bench</t>
        </is>
      </c>
      <c r="H97" s="5" t="inlineStr">
        <is>
          <t>Low</t>
        </is>
      </c>
      <c r="I97" s="5" t="n">
        <v>1</v>
      </c>
      <c r="J97" s="5" t="n"/>
      <c r="K97" s="10">
        <f>IFERROR(IF(INDEX('Test catalog'!$F$2:$F$200,MATCH($AB97,'Test catalog'!$A$2:$A$200,0))="","",INDEX('Test catalog'!$F$2:$F$200,MATCH($AB97,'Test catalog'!$A$2:$A$200,0))),"")</f>
        <v/>
      </c>
      <c r="L97" s="10">
        <f>IFERROR(IF(INDEX('Test catalog'!$G$2:$G$200,MATCH($AB97,'Test catalog'!$A$2:$A$200,0))="","",INDEX('Test catalog'!$G$2:$G$200,MATCH($AB97,'Test catalog'!$A$2:$A$200,0))),"")</f>
        <v/>
      </c>
      <c r="M97" s="10">
        <f>IFERROR(IF(INDEX('Test catalog'!$H$2:$H$200,MATCH($AB97,'Test catalog'!$A$2:$A$200,0))="","",INDEX('Test catalog'!$H$2:$H$200,MATCH($AB97,'Test catalog'!$A$2:$A$200,0))),"")</f>
        <v/>
      </c>
      <c r="N97" s="10">
        <f>IFERROR(IF(INDEX('Test catalog'!$I$2:$I$200,MATCH($AB97,'Test catalog'!$A$2:$A$200,0))="","",INDEX('Test catalog'!$I$2:$I$200,MATCH($AB97,'Test catalog'!$A$2:$A$200,0))),"")</f>
        <v/>
      </c>
      <c r="O97" s="10">
        <f>IFERROR(IF(INDEX('Test catalog'!$J$2:$J$200,MATCH($AB97,'Test catalog'!$A$2:$A$200,0))="","",INDEX('Test catalog'!$J$2:$J$200,MATCH($AB97,'Test catalog'!$A$2:$A$200,0))),"")</f>
        <v/>
      </c>
      <c r="P97" s="14">
        <f>IF(N97="","",IF(OR(M97="",O97=""),N97,(M97+4*N97+O97)/6))</f>
        <v/>
      </c>
      <c r="Q97" s="10">
        <f>IFERROR(IF(INDEX('Test catalog'!$K$2:$K$200,MATCH($AB97,'Test catalog'!$A$2:$A$200,0))="","",INDEX('Test catalog'!$K$2:$K$200,MATCH($AB97,'Test catalog'!$A$2:$A$200,0))),"")</f>
        <v/>
      </c>
      <c r="R97" s="5" t="n"/>
      <c r="S97" s="10">
        <f>IFERROR(IF(INDEX('Test catalog'!$L$2:$L$200,MATCH($AB97,'Test catalog'!$A$2:$A$200,0))="","",INDEX('Test catalog'!$L$2:$L$200,MATCH($AB97,'Test catalog'!$A$2:$A$200,0))),"")</f>
        <v/>
      </c>
      <c r="T97" s="10">
        <f>IFERROR(IF(INDEX('Test catalog'!$M$2:$M$200,MATCH($AB97,'Test catalog'!$A$2:$A$200,0))="","",INDEX('Test catalog'!$M$2:$M$200,MATCH($AB97,'Test catalog'!$A$2:$A$200,0))),"")</f>
        <v/>
      </c>
      <c r="U97" s="10">
        <f>IFERROR(IF(INDEX('Test catalog'!$N$2:$N$200,MATCH($AB97,'Test catalog'!$A$2:$A$200,0))="","",INDEX('Test catalog'!$N$2:$N$200,MATCH($AB97,'Test catalog'!$A$2:$A$200,0))),"")</f>
        <v/>
      </c>
      <c r="V97" s="15" t="n"/>
      <c r="W97" s="5" t="inlineStr">
        <is>
          <t>N</t>
        </is>
      </c>
      <c r="X97" s="5" t="n"/>
      <c r="Y97" s="5" t="n"/>
      <c r="Z97" s="5" t="n"/>
      <c r="AA97" s="10">
        <f>IFERROR(IF(INDEX('Test catalog'!$O$2:$O$200,MATCH($AB97,'Test catalog'!$A$2:$A$200,0))="","",INDEX('Test catalog'!$O$2:$O$200,MATCH($AB97,'Test catalog'!$A$2:$A$200,0))),"")</f>
        <v/>
      </c>
      <c r="AB97" s="10" t="inlineStr">
        <is>
          <t>BRITTLE</t>
        </is>
      </c>
    </row>
    <row r="98">
      <c r="A98" s="10" t="inlineStr">
        <is>
          <t>F13</t>
        </is>
      </c>
      <c r="B98" s="10" t="inlineStr">
        <is>
          <t>FP</t>
        </is>
      </c>
      <c r="C98" s="10" t="inlineStr">
        <is>
          <t>Naproxen 750  |  Naproxen</t>
        </is>
      </c>
      <c r="D98" s="10" t="inlineStr">
        <is>
          <t>Friability</t>
        </is>
      </c>
      <c r="E98" s="10">
        <f>IF(A98="","",A98&amp;"|"&amp;D98)</f>
        <v/>
      </c>
      <c r="F98" s="5" t="inlineStr">
        <is>
          <t>Y</t>
        </is>
      </c>
      <c r="G98" s="5" t="inlineStr">
        <is>
          <t>Friabilator</t>
        </is>
      </c>
      <c r="H98" s="5" t="inlineStr">
        <is>
          <t>Low</t>
        </is>
      </c>
      <c r="I98" s="5" t="n">
        <v>1</v>
      </c>
      <c r="J98" s="5" t="n"/>
      <c r="K98" s="10">
        <f>IFERROR(IF(INDEX('Test catalog'!$F$2:$F$200,MATCH($AB98,'Test catalog'!$A$2:$A$200,0))="","",INDEX('Test catalog'!$F$2:$F$200,MATCH($AB98,'Test catalog'!$A$2:$A$200,0))),"")</f>
        <v/>
      </c>
      <c r="L98" s="10">
        <f>IFERROR(IF(INDEX('Test catalog'!$G$2:$G$200,MATCH($AB98,'Test catalog'!$A$2:$A$200,0))="","",INDEX('Test catalog'!$G$2:$G$200,MATCH($AB98,'Test catalog'!$A$2:$A$200,0))),"")</f>
        <v/>
      </c>
      <c r="M98" s="10">
        <f>IFERROR(IF(INDEX('Test catalog'!$H$2:$H$200,MATCH($AB98,'Test catalog'!$A$2:$A$200,0))="","",INDEX('Test catalog'!$H$2:$H$200,MATCH($AB98,'Test catalog'!$A$2:$A$200,0))),"")</f>
        <v/>
      </c>
      <c r="N98" s="10">
        <f>IFERROR(IF(INDEX('Test catalog'!$I$2:$I$200,MATCH($AB98,'Test catalog'!$A$2:$A$200,0))="","",INDEX('Test catalog'!$I$2:$I$200,MATCH($AB98,'Test catalog'!$A$2:$A$200,0))),"")</f>
        <v/>
      </c>
      <c r="O98" s="10">
        <f>IFERROR(IF(INDEX('Test catalog'!$J$2:$J$200,MATCH($AB98,'Test catalog'!$A$2:$A$200,0))="","",INDEX('Test catalog'!$J$2:$J$200,MATCH($AB98,'Test catalog'!$A$2:$A$200,0))),"")</f>
        <v/>
      </c>
      <c r="P98" s="14">
        <f>IF(N98="","",IF(OR(M98="",O98=""),N98,(M98+4*N98+O98)/6))</f>
        <v/>
      </c>
      <c r="Q98" s="10">
        <f>IFERROR(IF(INDEX('Test catalog'!$K$2:$K$200,MATCH($AB98,'Test catalog'!$A$2:$A$200,0))="","",INDEX('Test catalog'!$K$2:$K$200,MATCH($AB98,'Test catalog'!$A$2:$A$200,0))),"")</f>
        <v/>
      </c>
      <c r="R98" s="5" t="n"/>
      <c r="S98" s="10">
        <f>IFERROR(IF(INDEX('Test catalog'!$L$2:$L$200,MATCH($AB98,'Test catalog'!$A$2:$A$200,0))="","",INDEX('Test catalog'!$L$2:$L$200,MATCH($AB98,'Test catalog'!$A$2:$A$200,0))),"")</f>
        <v/>
      </c>
      <c r="T98" s="10">
        <f>IFERROR(IF(INDEX('Test catalog'!$M$2:$M$200,MATCH($AB98,'Test catalog'!$A$2:$A$200,0))="","",INDEX('Test catalog'!$M$2:$M$200,MATCH($AB98,'Test catalog'!$A$2:$A$200,0))),"")</f>
        <v/>
      </c>
      <c r="U98" s="10">
        <f>IFERROR(IF(INDEX('Test catalog'!$N$2:$N$200,MATCH($AB98,'Test catalog'!$A$2:$A$200,0))="","",INDEX('Test catalog'!$N$2:$N$200,MATCH($AB98,'Test catalog'!$A$2:$A$200,0))),"")</f>
        <v/>
      </c>
      <c r="V98" s="15" t="n"/>
      <c r="W98" s="5" t="inlineStr">
        <is>
          <t>N</t>
        </is>
      </c>
      <c r="X98" s="5" t="n"/>
      <c r="Y98" s="5" t="n"/>
      <c r="Z98" s="5" t="n"/>
      <c r="AA98" s="10">
        <f>IFERROR(IF(INDEX('Test catalog'!$O$2:$O$200,MATCH($AB98,'Test catalog'!$A$2:$A$200,0))="","",INDEX('Test catalog'!$O$2:$O$200,MATCH($AB98,'Test catalog'!$A$2:$A$200,0))),"")</f>
        <v/>
      </c>
      <c r="AB98" s="10" t="inlineStr">
        <is>
          <t>FRIAB</t>
        </is>
      </c>
    </row>
    <row r="99">
      <c r="A99" s="10" t="inlineStr">
        <is>
          <t>F13</t>
        </is>
      </c>
      <c r="B99" s="10" t="inlineStr">
        <is>
          <t>FP</t>
        </is>
      </c>
      <c r="C99" s="10" t="inlineStr">
        <is>
          <t>Naproxen 750  |  Naproxen</t>
        </is>
      </c>
      <c r="D99" s="10" t="inlineStr">
        <is>
          <t>Disintegration</t>
        </is>
      </c>
      <c r="E99" s="10">
        <f>IF(A99="","",A99&amp;"|"&amp;D99)</f>
        <v/>
      </c>
      <c r="F99" s="5" t="inlineStr">
        <is>
          <t>Y</t>
        </is>
      </c>
      <c r="G99" s="5" t="inlineStr">
        <is>
          <t>Disintegration tester</t>
        </is>
      </c>
      <c r="H99" s="5" t="inlineStr">
        <is>
          <t>Low</t>
        </is>
      </c>
      <c r="I99" s="5" t="n">
        <v>1</v>
      </c>
      <c r="J99" s="5" t="n"/>
      <c r="K99" s="10">
        <f>IFERROR(IF(INDEX('Test catalog'!$F$2:$F$200,MATCH($AB99,'Test catalog'!$A$2:$A$200,0))="","",INDEX('Test catalog'!$F$2:$F$200,MATCH($AB99,'Test catalog'!$A$2:$A$200,0))),"")</f>
        <v/>
      </c>
      <c r="L99" s="10">
        <f>IFERROR(IF(INDEX('Test catalog'!$G$2:$G$200,MATCH($AB99,'Test catalog'!$A$2:$A$200,0))="","",INDEX('Test catalog'!$G$2:$G$200,MATCH($AB99,'Test catalog'!$A$2:$A$200,0))),"")</f>
        <v/>
      </c>
      <c r="M99" s="10">
        <f>IFERROR(IF(INDEX('Test catalog'!$H$2:$H$200,MATCH($AB99,'Test catalog'!$A$2:$A$200,0))="","",INDEX('Test catalog'!$H$2:$H$200,MATCH($AB99,'Test catalog'!$A$2:$A$200,0))),"")</f>
        <v/>
      </c>
      <c r="N99" s="10">
        <f>IFERROR(IF(INDEX('Test catalog'!$I$2:$I$200,MATCH($AB99,'Test catalog'!$A$2:$A$200,0))="","",INDEX('Test catalog'!$I$2:$I$200,MATCH($AB99,'Test catalog'!$A$2:$A$200,0))),"")</f>
        <v/>
      </c>
      <c r="O99" s="10">
        <f>IFERROR(IF(INDEX('Test catalog'!$J$2:$J$200,MATCH($AB99,'Test catalog'!$A$2:$A$200,0))="","",INDEX('Test catalog'!$J$2:$J$200,MATCH($AB99,'Test catalog'!$A$2:$A$200,0))),"")</f>
        <v/>
      </c>
      <c r="P99" s="14">
        <f>IF(N99="","",IF(OR(M99="",O99=""),N99,(M99+4*N99+O99)/6))</f>
        <v/>
      </c>
      <c r="Q99" s="10">
        <f>IFERROR(IF(INDEX('Test catalog'!$K$2:$K$200,MATCH($AB99,'Test catalog'!$A$2:$A$200,0))="","",INDEX('Test catalog'!$K$2:$K$200,MATCH($AB99,'Test catalog'!$A$2:$A$200,0))),"")</f>
        <v/>
      </c>
      <c r="R99" s="5" t="n"/>
      <c r="S99" s="10">
        <f>IFERROR(IF(INDEX('Test catalog'!$L$2:$L$200,MATCH($AB99,'Test catalog'!$A$2:$A$200,0))="","",INDEX('Test catalog'!$L$2:$L$200,MATCH($AB99,'Test catalog'!$A$2:$A$200,0))),"")</f>
        <v/>
      </c>
      <c r="T99" s="10">
        <f>IFERROR(IF(INDEX('Test catalog'!$M$2:$M$200,MATCH($AB99,'Test catalog'!$A$2:$A$200,0))="","",INDEX('Test catalog'!$M$2:$M$200,MATCH($AB99,'Test catalog'!$A$2:$A$200,0))),"")</f>
        <v/>
      </c>
      <c r="U99" s="10">
        <f>IFERROR(IF(INDEX('Test catalog'!$N$2:$N$200,MATCH($AB99,'Test catalog'!$A$2:$A$200,0))="","",INDEX('Test catalog'!$N$2:$N$200,MATCH($AB99,'Test catalog'!$A$2:$A$200,0))),"")</f>
        <v/>
      </c>
      <c r="V99" s="15" t="n"/>
      <c r="W99" s="5" t="inlineStr">
        <is>
          <t>Y</t>
        </is>
      </c>
      <c r="X99" s="5" t="n"/>
      <c r="Y99" s="5" t="n"/>
      <c r="Z99" s="5" t="n"/>
      <c r="AA99" s="10">
        <f>IFERROR(IF(INDEX('Test catalog'!$O$2:$O$200,MATCH($AB99,'Test catalog'!$A$2:$A$200,0))="","",INDEX('Test catalog'!$O$2:$O$200,MATCH($AB99,'Test catalog'!$A$2:$A$200,0))),"")</f>
        <v/>
      </c>
      <c r="AB99" s="10" t="inlineStr">
        <is>
          <t>DISINT</t>
        </is>
      </c>
    </row>
    <row r="100">
      <c r="A100" s="10" t="inlineStr">
        <is>
          <t>F13</t>
        </is>
      </c>
      <c r="B100" s="10" t="inlineStr">
        <is>
          <t>FP</t>
        </is>
      </c>
      <c r="C100" s="10" t="inlineStr">
        <is>
          <t>Naproxen 750  |  Naproxen</t>
        </is>
      </c>
      <c r="D100" s="10" t="inlineStr">
        <is>
          <t>In-process check at the machine (one check, all its tests)</t>
        </is>
      </c>
      <c r="E100" s="10">
        <f>IF(A100="","",A100&amp;"|"&amp;D100)</f>
        <v/>
      </c>
      <c r="F100" s="5" t="inlineStr">
        <is>
          <t>Y</t>
        </is>
      </c>
      <c r="G100" s="5" t="inlineStr">
        <is>
          <t>Tablet tester</t>
        </is>
      </c>
      <c r="H100" s="5" t="inlineStr">
        <is>
          <t>Low</t>
        </is>
      </c>
      <c r="I100" s="5" t="n">
        <v>1</v>
      </c>
      <c r="J100" s="5" t="n"/>
      <c r="K100" s="10">
        <f>IFERROR(IF(INDEX('Test catalog'!$F$2:$F$200,MATCH($AB100,'Test catalog'!$A$2:$A$200,0))="","",INDEX('Test catalog'!$F$2:$F$200,MATCH($AB100,'Test catalog'!$A$2:$A$200,0))),"")</f>
        <v/>
      </c>
      <c r="L100" s="10">
        <f>IFERROR(IF(INDEX('Test catalog'!$G$2:$G$200,MATCH($AB100,'Test catalog'!$A$2:$A$200,0))="","",INDEX('Test catalog'!$G$2:$G$200,MATCH($AB100,'Test catalog'!$A$2:$A$200,0))),"")</f>
        <v/>
      </c>
      <c r="M100" s="10">
        <f>IFERROR(IF(INDEX('Test catalog'!$H$2:$H$200,MATCH($AB100,'Test catalog'!$A$2:$A$200,0))="","",INDEX('Test catalog'!$H$2:$H$200,MATCH($AB100,'Test catalog'!$A$2:$A$200,0))),"")</f>
        <v/>
      </c>
      <c r="N100" s="10">
        <f>IFERROR(IF(INDEX('Test catalog'!$I$2:$I$200,MATCH($AB100,'Test catalog'!$A$2:$A$200,0))="","",INDEX('Test catalog'!$I$2:$I$200,MATCH($AB100,'Test catalog'!$A$2:$A$200,0))),"")</f>
        <v/>
      </c>
      <c r="O100" s="10">
        <f>IFERROR(IF(INDEX('Test catalog'!$J$2:$J$200,MATCH($AB100,'Test catalog'!$A$2:$A$200,0))="","",INDEX('Test catalog'!$J$2:$J$200,MATCH($AB100,'Test catalog'!$A$2:$A$200,0))),"")</f>
        <v/>
      </c>
      <c r="P100" s="14">
        <f>IF(N100="","",IF(OR(M100="",O100=""),N100,(M100+4*N100+O100)/6))</f>
        <v/>
      </c>
      <c r="Q100" s="10">
        <f>IFERROR(IF(INDEX('Test catalog'!$K$2:$K$200,MATCH($AB100,'Test catalog'!$A$2:$A$200,0))="","",INDEX('Test catalog'!$K$2:$K$200,MATCH($AB100,'Test catalog'!$A$2:$A$200,0))),"")</f>
        <v/>
      </c>
      <c r="R100" s="5" t="n"/>
      <c r="S100" s="10">
        <f>IFERROR(IF(INDEX('Test catalog'!$L$2:$L$200,MATCH($AB100,'Test catalog'!$A$2:$A$200,0))="","",INDEX('Test catalog'!$L$2:$L$200,MATCH($AB100,'Test catalog'!$A$2:$A$200,0))),"")</f>
        <v/>
      </c>
      <c r="T100" s="10">
        <f>IFERROR(IF(INDEX('Test catalog'!$M$2:$M$200,MATCH($AB100,'Test catalog'!$A$2:$A$200,0))="","",INDEX('Test catalog'!$M$2:$M$200,MATCH($AB100,'Test catalog'!$A$2:$A$200,0))),"")</f>
        <v/>
      </c>
      <c r="U100" s="10">
        <f>IFERROR(IF(INDEX('Test catalog'!$N$2:$N$200,MATCH($AB100,'Test catalog'!$A$2:$A$200,0))="","",INDEX('Test catalog'!$N$2:$N$200,MATCH($AB100,'Test catalog'!$A$2:$A$200,0))),"")</f>
        <v/>
      </c>
      <c r="V100" s="15" t="n"/>
      <c r="W100" s="5" t="inlineStr">
        <is>
          <t>N</t>
        </is>
      </c>
      <c r="X100" s="5" t="n"/>
      <c r="Y100" s="5" t="n"/>
      <c r="Z100" s="5" t="n"/>
      <c r="AA100" s="10">
        <f>IFERROR(IF(INDEX('Test catalog'!$O$2:$O$200,MATCH($AB100,'Test catalog'!$A$2:$A$200,0))="","",INDEX('Test catalog'!$O$2:$O$200,MATCH($AB100,'Test catalog'!$A$2:$A$200,0))),"")</f>
        <v/>
      </c>
      <c r="AB100" s="10" t="inlineStr">
        <is>
          <t>IPC</t>
        </is>
      </c>
    </row>
    <row r="101">
      <c r="A101" s="10" t="inlineStr">
        <is>
          <t>F14</t>
        </is>
      </c>
      <c r="B101" s="10" t="inlineStr">
        <is>
          <t>FP</t>
        </is>
      </c>
      <c r="C101" s="10" t="inlineStr">
        <is>
          <t>Azelastin+Fluticasone (Nasal Spray)  |  Azelastine Hydrochloride, Fluticasone Propionate</t>
        </is>
      </c>
      <c r="D101" s="10" t="inlineStr">
        <is>
          <t>Fill volume / deliverable volume</t>
        </is>
      </c>
      <c r="E101" s="10">
        <f>IF(A101="","",A101&amp;"|"&amp;D101)</f>
        <v/>
      </c>
      <c r="F101" s="5" t="inlineStr">
        <is>
          <t>Y</t>
        </is>
      </c>
      <c r="G101" s="5" t="inlineStr">
        <is>
          <t>Balance</t>
        </is>
      </c>
      <c r="H101" s="5" t="inlineStr">
        <is>
          <t>Low</t>
        </is>
      </c>
      <c r="I101" s="5" t="n">
        <v>1</v>
      </c>
      <c r="J101" s="5" t="n"/>
      <c r="K101" s="10">
        <f>IFERROR(IF(INDEX('Test catalog'!$F$2:$F$200,MATCH($AB101,'Test catalog'!$A$2:$A$200,0))="","",INDEX('Test catalog'!$F$2:$F$200,MATCH($AB101,'Test catalog'!$A$2:$A$200,0))),"")</f>
        <v/>
      </c>
      <c r="L101" s="10">
        <f>IFERROR(IF(INDEX('Test catalog'!$G$2:$G$200,MATCH($AB101,'Test catalog'!$A$2:$A$200,0))="","",INDEX('Test catalog'!$G$2:$G$200,MATCH($AB101,'Test catalog'!$A$2:$A$200,0))),"")</f>
        <v/>
      </c>
      <c r="M101" s="10">
        <f>IFERROR(IF(INDEX('Test catalog'!$H$2:$H$200,MATCH($AB101,'Test catalog'!$A$2:$A$200,0))="","",INDEX('Test catalog'!$H$2:$H$200,MATCH($AB101,'Test catalog'!$A$2:$A$200,0))),"")</f>
        <v/>
      </c>
      <c r="N101" s="10">
        <f>IFERROR(IF(INDEX('Test catalog'!$I$2:$I$200,MATCH($AB101,'Test catalog'!$A$2:$A$200,0))="","",INDEX('Test catalog'!$I$2:$I$200,MATCH($AB101,'Test catalog'!$A$2:$A$200,0))),"")</f>
        <v/>
      </c>
      <c r="O101" s="10">
        <f>IFERROR(IF(INDEX('Test catalog'!$J$2:$J$200,MATCH($AB101,'Test catalog'!$A$2:$A$200,0))="","",INDEX('Test catalog'!$J$2:$J$200,MATCH($AB101,'Test catalog'!$A$2:$A$200,0))),"")</f>
        <v/>
      </c>
      <c r="P101" s="14">
        <f>IF(N101="","",IF(OR(M101="",O101=""),N101,(M101+4*N101+O101)/6))</f>
        <v/>
      </c>
      <c r="Q101" s="10">
        <f>IFERROR(IF(INDEX('Test catalog'!$K$2:$K$200,MATCH($AB101,'Test catalog'!$A$2:$A$200,0))="","",INDEX('Test catalog'!$K$2:$K$200,MATCH($AB101,'Test catalog'!$A$2:$A$200,0))),"")</f>
        <v/>
      </c>
      <c r="R101" s="5" t="n"/>
      <c r="S101" s="10">
        <f>IFERROR(IF(INDEX('Test catalog'!$L$2:$L$200,MATCH($AB101,'Test catalog'!$A$2:$A$200,0))="","",INDEX('Test catalog'!$L$2:$L$200,MATCH($AB101,'Test catalog'!$A$2:$A$200,0))),"")</f>
        <v/>
      </c>
      <c r="T101" s="10">
        <f>IFERROR(IF(INDEX('Test catalog'!$M$2:$M$200,MATCH($AB101,'Test catalog'!$A$2:$A$200,0))="","",INDEX('Test catalog'!$M$2:$M$200,MATCH($AB101,'Test catalog'!$A$2:$A$200,0))),"")</f>
        <v/>
      </c>
      <c r="U101" s="10">
        <f>IFERROR(IF(INDEX('Test catalog'!$N$2:$N$200,MATCH($AB101,'Test catalog'!$A$2:$A$200,0))="","",INDEX('Test catalog'!$N$2:$N$200,MATCH($AB101,'Test catalog'!$A$2:$A$200,0))),"")</f>
        <v/>
      </c>
      <c r="V101" s="15" t="n"/>
      <c r="W101" s="5" t="inlineStr">
        <is>
          <t>N</t>
        </is>
      </c>
      <c r="X101" s="5" t="n"/>
      <c r="Y101" s="5" t="n"/>
      <c r="Z101" s="5" t="n"/>
      <c r="AA101" s="10">
        <f>IFERROR(IF(INDEX('Test catalog'!$O$2:$O$200,MATCH($AB101,'Test catalog'!$A$2:$A$200,0))="","",INDEX('Test catalog'!$O$2:$O$200,MATCH($AB101,'Test catalog'!$A$2:$A$200,0))),"")</f>
        <v/>
      </c>
      <c r="AB101" s="10" t="inlineStr">
        <is>
          <t>FILL</t>
        </is>
      </c>
    </row>
    <row r="102">
      <c r="A102" s="10" t="inlineStr">
        <is>
          <t>F14</t>
        </is>
      </c>
      <c r="B102" s="10" t="inlineStr">
        <is>
          <t>FP</t>
        </is>
      </c>
      <c r="C102" s="10" t="inlineStr">
        <is>
          <t>Azelastin+Fluticasone (Nasal Spray)  |  Azelastine Hydrochloride, Fluticasone Propionate</t>
        </is>
      </c>
      <c r="D102" s="10" t="inlineStr">
        <is>
          <t>Spray weight per actuation (shot weight)</t>
        </is>
      </c>
      <c r="E102" s="10">
        <f>IF(A102="","",A102&amp;"|"&amp;D102)</f>
        <v/>
      </c>
      <c r="F102" s="5" t="inlineStr">
        <is>
          <t>Y</t>
        </is>
      </c>
      <c r="G102" s="5" t="inlineStr">
        <is>
          <t>Balance</t>
        </is>
      </c>
      <c r="H102" s="5" t="inlineStr">
        <is>
          <t>Low</t>
        </is>
      </c>
      <c r="I102" s="5" t="n">
        <v>1</v>
      </c>
      <c r="J102" s="5" t="n"/>
      <c r="K102" s="10">
        <f>IFERROR(IF(INDEX('Test catalog'!$F$2:$F$200,MATCH($AB102,'Test catalog'!$A$2:$A$200,0))="","",INDEX('Test catalog'!$F$2:$F$200,MATCH($AB102,'Test catalog'!$A$2:$A$200,0))),"")</f>
        <v/>
      </c>
      <c r="L102" s="10">
        <f>IFERROR(IF(INDEX('Test catalog'!$G$2:$G$200,MATCH($AB102,'Test catalog'!$A$2:$A$200,0))="","",INDEX('Test catalog'!$G$2:$G$200,MATCH($AB102,'Test catalog'!$A$2:$A$200,0))),"")</f>
        <v/>
      </c>
      <c r="M102" s="10">
        <f>IFERROR(IF(INDEX('Test catalog'!$H$2:$H$200,MATCH($AB102,'Test catalog'!$A$2:$A$200,0))="","",INDEX('Test catalog'!$H$2:$H$200,MATCH($AB102,'Test catalog'!$A$2:$A$200,0))),"")</f>
        <v/>
      </c>
      <c r="N102" s="10">
        <f>IFERROR(IF(INDEX('Test catalog'!$I$2:$I$200,MATCH($AB102,'Test catalog'!$A$2:$A$200,0))="","",INDEX('Test catalog'!$I$2:$I$200,MATCH($AB102,'Test catalog'!$A$2:$A$200,0))),"")</f>
        <v/>
      </c>
      <c r="O102" s="10">
        <f>IFERROR(IF(INDEX('Test catalog'!$J$2:$J$200,MATCH($AB102,'Test catalog'!$A$2:$A$200,0))="","",INDEX('Test catalog'!$J$2:$J$200,MATCH($AB102,'Test catalog'!$A$2:$A$200,0))),"")</f>
        <v/>
      </c>
      <c r="P102" s="14">
        <f>IF(N102="","",IF(OR(M102="",O102=""),N102,(M102+4*N102+O102)/6))</f>
        <v/>
      </c>
      <c r="Q102" s="10">
        <f>IFERROR(IF(INDEX('Test catalog'!$K$2:$K$200,MATCH($AB102,'Test catalog'!$A$2:$A$200,0))="","",INDEX('Test catalog'!$K$2:$K$200,MATCH($AB102,'Test catalog'!$A$2:$A$200,0))),"")</f>
        <v/>
      </c>
      <c r="R102" s="5" t="n"/>
      <c r="S102" s="10">
        <f>IFERROR(IF(INDEX('Test catalog'!$L$2:$L$200,MATCH($AB102,'Test catalog'!$A$2:$A$200,0))="","",INDEX('Test catalog'!$L$2:$L$200,MATCH($AB102,'Test catalog'!$A$2:$A$200,0))),"")</f>
        <v/>
      </c>
      <c r="T102" s="10">
        <f>IFERROR(IF(INDEX('Test catalog'!$M$2:$M$200,MATCH($AB102,'Test catalog'!$A$2:$A$200,0))="","",INDEX('Test catalog'!$M$2:$M$200,MATCH($AB102,'Test catalog'!$A$2:$A$200,0))),"")</f>
        <v/>
      </c>
      <c r="U102" s="10">
        <f>IFERROR(IF(INDEX('Test catalog'!$N$2:$N$200,MATCH($AB102,'Test catalog'!$A$2:$A$200,0))="","",INDEX('Test catalog'!$N$2:$N$200,MATCH($AB102,'Test catalog'!$A$2:$A$200,0))),"")</f>
        <v/>
      </c>
      <c r="V102" s="15" t="n"/>
      <c r="W102" s="5" t="inlineStr">
        <is>
          <t>Y</t>
        </is>
      </c>
      <c r="X102" s="5" t="n"/>
      <c r="Y102" s="5" t="n"/>
      <c r="Z102" s="5" t="n"/>
      <c r="AA102" s="10">
        <f>IFERROR(IF(INDEX('Test catalog'!$O$2:$O$200,MATCH($AB102,'Test catalog'!$A$2:$A$200,0))="","",INDEX('Test catalog'!$O$2:$O$200,MATCH($AB102,'Test catalog'!$A$2:$A$200,0))),"")</f>
        <v/>
      </c>
      <c r="AB102" s="10" t="inlineStr">
        <is>
          <t>SPRAY</t>
        </is>
      </c>
    </row>
    <row r="103">
      <c r="A103" s="10" t="inlineStr">
        <is>
          <t>F15</t>
        </is>
      </c>
      <c r="B103" s="10" t="inlineStr">
        <is>
          <t>FP</t>
        </is>
      </c>
      <c r="C103" s="10" t="inlineStr">
        <is>
          <t>Scadia 50; Scadia 100; Scadia 200  |  Sacubitril/Valsartan 3Sodium 2.5H2O Co-crystal</t>
        </is>
      </c>
      <c r="D103" s="10" t="inlineStr">
        <is>
          <t>Average weight / uniformity of mass</t>
        </is>
      </c>
      <c r="E103" s="10">
        <f>IF(A103="","",A103&amp;"|"&amp;D103)</f>
        <v/>
      </c>
      <c r="F103" s="5" t="inlineStr">
        <is>
          <t>Y</t>
        </is>
      </c>
      <c r="G103" s="5" t="inlineStr">
        <is>
          <t>Balance</t>
        </is>
      </c>
      <c r="H103" s="5" t="inlineStr">
        <is>
          <t>Low</t>
        </is>
      </c>
      <c r="I103" s="5" t="n">
        <v>1</v>
      </c>
      <c r="J103" s="5" t="n"/>
      <c r="K103" s="10">
        <f>IFERROR(IF(INDEX('Test catalog'!$F$2:$F$200,MATCH($AB103,'Test catalog'!$A$2:$A$200,0))="","",INDEX('Test catalog'!$F$2:$F$200,MATCH($AB103,'Test catalog'!$A$2:$A$200,0))),"")</f>
        <v/>
      </c>
      <c r="L103" s="10">
        <f>IFERROR(IF(INDEX('Test catalog'!$G$2:$G$200,MATCH($AB103,'Test catalog'!$A$2:$A$200,0))="","",INDEX('Test catalog'!$G$2:$G$200,MATCH($AB103,'Test catalog'!$A$2:$A$200,0))),"")</f>
        <v/>
      </c>
      <c r="M103" s="10">
        <f>IFERROR(IF(INDEX('Test catalog'!$H$2:$H$200,MATCH($AB103,'Test catalog'!$A$2:$A$200,0))="","",INDEX('Test catalog'!$H$2:$H$200,MATCH($AB103,'Test catalog'!$A$2:$A$200,0))),"")</f>
        <v/>
      </c>
      <c r="N103" s="10">
        <f>IFERROR(IF(INDEX('Test catalog'!$I$2:$I$200,MATCH($AB103,'Test catalog'!$A$2:$A$200,0))="","",INDEX('Test catalog'!$I$2:$I$200,MATCH($AB103,'Test catalog'!$A$2:$A$200,0))),"")</f>
        <v/>
      </c>
      <c r="O103" s="10">
        <f>IFERROR(IF(INDEX('Test catalog'!$J$2:$J$200,MATCH($AB103,'Test catalog'!$A$2:$A$200,0))="","",INDEX('Test catalog'!$J$2:$J$200,MATCH($AB103,'Test catalog'!$A$2:$A$200,0))),"")</f>
        <v/>
      </c>
      <c r="P103" s="14">
        <f>IF(N103="","",IF(OR(M103="",O103=""),N103,(M103+4*N103+O103)/6))</f>
        <v/>
      </c>
      <c r="Q103" s="10">
        <f>IFERROR(IF(INDEX('Test catalog'!$K$2:$K$200,MATCH($AB103,'Test catalog'!$A$2:$A$200,0))="","",INDEX('Test catalog'!$K$2:$K$200,MATCH($AB103,'Test catalog'!$A$2:$A$200,0))),"")</f>
        <v/>
      </c>
      <c r="R103" s="5" t="n"/>
      <c r="S103" s="10">
        <f>IFERROR(IF(INDEX('Test catalog'!$L$2:$L$200,MATCH($AB103,'Test catalog'!$A$2:$A$200,0))="","",INDEX('Test catalog'!$L$2:$L$200,MATCH($AB103,'Test catalog'!$A$2:$A$200,0))),"")</f>
        <v/>
      </c>
      <c r="T103" s="10">
        <f>IFERROR(IF(INDEX('Test catalog'!$M$2:$M$200,MATCH($AB103,'Test catalog'!$A$2:$A$200,0))="","",INDEX('Test catalog'!$M$2:$M$200,MATCH($AB103,'Test catalog'!$A$2:$A$200,0))),"")</f>
        <v/>
      </c>
      <c r="U103" s="10">
        <f>IFERROR(IF(INDEX('Test catalog'!$N$2:$N$200,MATCH($AB103,'Test catalog'!$A$2:$A$200,0))="","",INDEX('Test catalog'!$N$2:$N$200,MATCH($AB103,'Test catalog'!$A$2:$A$200,0))),"")</f>
        <v/>
      </c>
      <c r="V103" s="15" t="n"/>
      <c r="W103" s="5" t="inlineStr">
        <is>
          <t>N</t>
        </is>
      </c>
      <c r="X103" s="5" t="n"/>
      <c r="Y103" s="5" t="n"/>
      <c r="Z103" s="5" t="n"/>
      <c r="AA103" s="10">
        <f>IFERROR(IF(INDEX('Test catalog'!$O$2:$O$200,MATCH($AB103,'Test catalog'!$A$2:$A$200,0))="","",INDEX('Test catalog'!$O$2:$O$200,MATCH($AB103,'Test catalog'!$A$2:$A$200,0))),"")</f>
        <v/>
      </c>
      <c r="AB103" s="10" t="inlineStr">
        <is>
          <t>AVG_WT</t>
        </is>
      </c>
    </row>
    <row r="104">
      <c r="A104" s="10" t="inlineStr">
        <is>
          <t>F15</t>
        </is>
      </c>
      <c r="B104" s="10" t="inlineStr">
        <is>
          <t>FP</t>
        </is>
      </c>
      <c r="C104" s="10" t="inlineStr">
        <is>
          <t>Scadia 50; Scadia 100; Scadia 200  |  Sacubitril/Valsartan 3Sodium 2.5H2O Co-crystal</t>
        </is>
      </c>
      <c r="D104" s="10" t="inlineStr">
        <is>
          <t>Diameter (or length / width)</t>
        </is>
      </c>
      <c r="E104" s="10">
        <f>IF(A104="","",A104&amp;"|"&amp;D104)</f>
        <v/>
      </c>
      <c r="F104" s="5" t="inlineStr">
        <is>
          <t>Y</t>
        </is>
      </c>
      <c r="G104" s="5" t="inlineStr">
        <is>
          <t>Tablet tester</t>
        </is>
      </c>
      <c r="H104" s="5" t="inlineStr">
        <is>
          <t>Low</t>
        </is>
      </c>
      <c r="I104" s="5" t="n">
        <v>1</v>
      </c>
      <c r="J104" s="5" t="n"/>
      <c r="K104" s="10">
        <f>IFERROR(IF(INDEX('Test catalog'!$F$2:$F$200,MATCH($AB104,'Test catalog'!$A$2:$A$200,0))="","",INDEX('Test catalog'!$F$2:$F$200,MATCH($AB104,'Test catalog'!$A$2:$A$200,0))),"")</f>
        <v/>
      </c>
      <c r="L104" s="10">
        <f>IFERROR(IF(INDEX('Test catalog'!$G$2:$G$200,MATCH($AB104,'Test catalog'!$A$2:$A$200,0))="","",INDEX('Test catalog'!$G$2:$G$200,MATCH($AB104,'Test catalog'!$A$2:$A$200,0))),"")</f>
        <v/>
      </c>
      <c r="M104" s="10">
        <f>IFERROR(IF(INDEX('Test catalog'!$H$2:$H$200,MATCH($AB104,'Test catalog'!$A$2:$A$200,0))="","",INDEX('Test catalog'!$H$2:$H$200,MATCH($AB104,'Test catalog'!$A$2:$A$200,0))),"")</f>
        <v/>
      </c>
      <c r="N104" s="10">
        <f>IFERROR(IF(INDEX('Test catalog'!$I$2:$I$200,MATCH($AB104,'Test catalog'!$A$2:$A$200,0))="","",INDEX('Test catalog'!$I$2:$I$200,MATCH($AB104,'Test catalog'!$A$2:$A$200,0))),"")</f>
        <v/>
      </c>
      <c r="O104" s="10">
        <f>IFERROR(IF(INDEX('Test catalog'!$J$2:$J$200,MATCH($AB104,'Test catalog'!$A$2:$A$200,0))="","",INDEX('Test catalog'!$J$2:$J$200,MATCH($AB104,'Test catalog'!$A$2:$A$200,0))),"")</f>
        <v/>
      </c>
      <c r="P104" s="14">
        <f>IF(N104="","",IF(OR(M104="",O104=""),N104,(M104+4*N104+O104)/6))</f>
        <v/>
      </c>
      <c r="Q104" s="10">
        <f>IFERROR(IF(INDEX('Test catalog'!$K$2:$K$200,MATCH($AB104,'Test catalog'!$A$2:$A$200,0))="","",INDEX('Test catalog'!$K$2:$K$200,MATCH($AB104,'Test catalog'!$A$2:$A$200,0))),"")</f>
        <v/>
      </c>
      <c r="R104" s="5" t="n"/>
      <c r="S104" s="10">
        <f>IFERROR(IF(INDEX('Test catalog'!$L$2:$L$200,MATCH($AB104,'Test catalog'!$A$2:$A$200,0))="","",INDEX('Test catalog'!$L$2:$L$200,MATCH($AB104,'Test catalog'!$A$2:$A$200,0))),"")</f>
        <v/>
      </c>
      <c r="T104" s="10">
        <f>IFERROR(IF(INDEX('Test catalog'!$M$2:$M$200,MATCH($AB104,'Test catalog'!$A$2:$A$200,0))="","",INDEX('Test catalog'!$M$2:$M$200,MATCH($AB104,'Test catalog'!$A$2:$A$200,0))),"")</f>
        <v/>
      </c>
      <c r="U104" s="10">
        <f>IFERROR(IF(INDEX('Test catalog'!$N$2:$N$200,MATCH($AB104,'Test catalog'!$A$2:$A$200,0))="","",INDEX('Test catalog'!$N$2:$N$200,MATCH($AB104,'Test catalog'!$A$2:$A$200,0))),"")</f>
        <v/>
      </c>
      <c r="V104" s="15" t="n"/>
      <c r="W104" s="5" t="inlineStr">
        <is>
          <t>N</t>
        </is>
      </c>
      <c r="X104" s="5" t="n"/>
      <c r="Y104" s="5" t="n"/>
      <c r="Z104" s="5" t="n"/>
      <c r="AA104" s="10">
        <f>IFERROR(IF(INDEX('Test catalog'!$O$2:$O$200,MATCH($AB104,'Test catalog'!$A$2:$A$200,0))="","",INDEX('Test catalog'!$O$2:$O$200,MATCH($AB104,'Test catalog'!$A$2:$A$200,0))),"")</f>
        <v/>
      </c>
      <c r="AB104" s="10" t="inlineStr">
        <is>
          <t>DIAM</t>
        </is>
      </c>
    </row>
    <row r="105">
      <c r="A105" s="10" t="inlineStr">
        <is>
          <t>F15</t>
        </is>
      </c>
      <c r="B105" s="10" t="inlineStr">
        <is>
          <t>FP</t>
        </is>
      </c>
      <c r="C105" s="10" t="inlineStr">
        <is>
          <t>Scadia 50; Scadia 100; Scadia 200  |  Sacubitril/Valsartan 3Sodium 2.5H2O Co-crystal</t>
        </is>
      </c>
      <c r="D105" s="10" t="inlineStr">
        <is>
          <t>Thickness</t>
        </is>
      </c>
      <c r="E105" s="10">
        <f>IF(A105="","",A105&amp;"|"&amp;D105)</f>
        <v/>
      </c>
      <c r="F105" s="5" t="inlineStr">
        <is>
          <t>Y</t>
        </is>
      </c>
      <c r="G105" s="5" t="inlineStr">
        <is>
          <t>Tablet tester</t>
        </is>
      </c>
      <c r="H105" s="5" t="inlineStr">
        <is>
          <t>Low</t>
        </is>
      </c>
      <c r="I105" s="5" t="n">
        <v>1</v>
      </c>
      <c r="J105" s="5" t="n"/>
      <c r="K105" s="10">
        <f>IFERROR(IF(INDEX('Test catalog'!$F$2:$F$200,MATCH($AB105,'Test catalog'!$A$2:$A$200,0))="","",INDEX('Test catalog'!$F$2:$F$200,MATCH($AB105,'Test catalog'!$A$2:$A$200,0))),"")</f>
        <v/>
      </c>
      <c r="L105" s="10">
        <f>IFERROR(IF(INDEX('Test catalog'!$G$2:$G$200,MATCH($AB105,'Test catalog'!$A$2:$A$200,0))="","",INDEX('Test catalog'!$G$2:$G$200,MATCH($AB105,'Test catalog'!$A$2:$A$200,0))),"")</f>
        <v/>
      </c>
      <c r="M105" s="10">
        <f>IFERROR(IF(INDEX('Test catalog'!$H$2:$H$200,MATCH($AB105,'Test catalog'!$A$2:$A$200,0))="","",INDEX('Test catalog'!$H$2:$H$200,MATCH($AB105,'Test catalog'!$A$2:$A$200,0))),"")</f>
        <v/>
      </c>
      <c r="N105" s="10">
        <f>IFERROR(IF(INDEX('Test catalog'!$I$2:$I$200,MATCH($AB105,'Test catalog'!$A$2:$A$200,0))="","",INDEX('Test catalog'!$I$2:$I$200,MATCH($AB105,'Test catalog'!$A$2:$A$200,0))),"")</f>
        <v/>
      </c>
      <c r="O105" s="10">
        <f>IFERROR(IF(INDEX('Test catalog'!$J$2:$J$200,MATCH($AB105,'Test catalog'!$A$2:$A$200,0))="","",INDEX('Test catalog'!$J$2:$J$200,MATCH($AB105,'Test catalog'!$A$2:$A$200,0))),"")</f>
        <v/>
      </c>
      <c r="P105" s="14">
        <f>IF(N105="","",IF(OR(M105="",O105=""),N105,(M105+4*N105+O105)/6))</f>
        <v/>
      </c>
      <c r="Q105" s="10">
        <f>IFERROR(IF(INDEX('Test catalog'!$K$2:$K$200,MATCH($AB105,'Test catalog'!$A$2:$A$200,0))="","",INDEX('Test catalog'!$K$2:$K$200,MATCH($AB105,'Test catalog'!$A$2:$A$200,0))),"")</f>
        <v/>
      </c>
      <c r="R105" s="5" t="n"/>
      <c r="S105" s="10">
        <f>IFERROR(IF(INDEX('Test catalog'!$L$2:$L$200,MATCH($AB105,'Test catalog'!$A$2:$A$200,0))="","",INDEX('Test catalog'!$L$2:$L$200,MATCH($AB105,'Test catalog'!$A$2:$A$200,0))),"")</f>
        <v/>
      </c>
      <c r="T105" s="10">
        <f>IFERROR(IF(INDEX('Test catalog'!$M$2:$M$200,MATCH($AB105,'Test catalog'!$A$2:$A$200,0))="","",INDEX('Test catalog'!$M$2:$M$200,MATCH($AB105,'Test catalog'!$A$2:$A$200,0))),"")</f>
        <v/>
      </c>
      <c r="U105" s="10">
        <f>IFERROR(IF(INDEX('Test catalog'!$N$2:$N$200,MATCH($AB105,'Test catalog'!$A$2:$A$200,0))="","",INDEX('Test catalog'!$N$2:$N$200,MATCH($AB105,'Test catalog'!$A$2:$A$200,0))),"")</f>
        <v/>
      </c>
      <c r="V105" s="15" t="n"/>
      <c r="W105" s="5" t="inlineStr">
        <is>
          <t>N</t>
        </is>
      </c>
      <c r="X105" s="5" t="n"/>
      <c r="Y105" s="5" t="n"/>
      <c r="Z105" s="5" t="n"/>
      <c r="AA105" s="10">
        <f>IFERROR(IF(INDEX('Test catalog'!$O$2:$O$200,MATCH($AB105,'Test catalog'!$A$2:$A$200,0))="","",INDEX('Test catalog'!$O$2:$O$200,MATCH($AB105,'Test catalog'!$A$2:$A$200,0))),"")</f>
        <v/>
      </c>
      <c r="AB105" s="10" t="inlineStr">
        <is>
          <t>THICK</t>
        </is>
      </c>
    </row>
    <row r="106">
      <c r="A106" s="10" t="inlineStr">
        <is>
          <t>F15</t>
        </is>
      </c>
      <c r="B106" s="10" t="inlineStr">
        <is>
          <t>FP</t>
        </is>
      </c>
      <c r="C106" s="10" t="inlineStr">
        <is>
          <t>Scadia 50; Scadia 100; Scadia 200  |  Sacubitril/Valsartan 3Sodium 2.5H2O Co-crystal</t>
        </is>
      </c>
      <c r="D106" s="10" t="inlineStr">
        <is>
          <t>Hardness / breaking force</t>
        </is>
      </c>
      <c r="E106" s="10">
        <f>IF(A106="","",A106&amp;"|"&amp;D106)</f>
        <v/>
      </c>
      <c r="F106" s="5" t="inlineStr">
        <is>
          <t>Y</t>
        </is>
      </c>
      <c r="G106" s="5" t="inlineStr">
        <is>
          <t>Tablet tester</t>
        </is>
      </c>
      <c r="H106" s="5" t="inlineStr">
        <is>
          <t>Low</t>
        </is>
      </c>
      <c r="I106" s="5" t="n">
        <v>1</v>
      </c>
      <c r="J106" s="5" t="n"/>
      <c r="K106" s="10">
        <f>IFERROR(IF(INDEX('Test catalog'!$F$2:$F$200,MATCH($AB106,'Test catalog'!$A$2:$A$200,0))="","",INDEX('Test catalog'!$F$2:$F$200,MATCH($AB106,'Test catalog'!$A$2:$A$200,0))),"")</f>
        <v/>
      </c>
      <c r="L106" s="10">
        <f>IFERROR(IF(INDEX('Test catalog'!$G$2:$G$200,MATCH($AB106,'Test catalog'!$A$2:$A$200,0))="","",INDEX('Test catalog'!$G$2:$G$200,MATCH($AB106,'Test catalog'!$A$2:$A$200,0))),"")</f>
        <v/>
      </c>
      <c r="M106" s="10">
        <f>IFERROR(IF(INDEX('Test catalog'!$H$2:$H$200,MATCH($AB106,'Test catalog'!$A$2:$A$200,0))="","",INDEX('Test catalog'!$H$2:$H$200,MATCH($AB106,'Test catalog'!$A$2:$A$200,0))),"")</f>
        <v/>
      </c>
      <c r="N106" s="10">
        <f>IFERROR(IF(INDEX('Test catalog'!$I$2:$I$200,MATCH($AB106,'Test catalog'!$A$2:$A$200,0))="","",INDEX('Test catalog'!$I$2:$I$200,MATCH($AB106,'Test catalog'!$A$2:$A$200,0))),"")</f>
        <v/>
      </c>
      <c r="O106" s="10">
        <f>IFERROR(IF(INDEX('Test catalog'!$J$2:$J$200,MATCH($AB106,'Test catalog'!$A$2:$A$200,0))="","",INDEX('Test catalog'!$J$2:$J$200,MATCH($AB106,'Test catalog'!$A$2:$A$200,0))),"")</f>
        <v/>
      </c>
      <c r="P106" s="14">
        <f>IF(N106="","",IF(OR(M106="",O106=""),N106,(M106+4*N106+O106)/6))</f>
        <v/>
      </c>
      <c r="Q106" s="10">
        <f>IFERROR(IF(INDEX('Test catalog'!$K$2:$K$200,MATCH($AB106,'Test catalog'!$A$2:$A$200,0))="","",INDEX('Test catalog'!$K$2:$K$200,MATCH($AB106,'Test catalog'!$A$2:$A$200,0))),"")</f>
        <v/>
      </c>
      <c r="R106" s="5" t="n"/>
      <c r="S106" s="10">
        <f>IFERROR(IF(INDEX('Test catalog'!$L$2:$L$200,MATCH($AB106,'Test catalog'!$A$2:$A$200,0))="","",INDEX('Test catalog'!$L$2:$L$200,MATCH($AB106,'Test catalog'!$A$2:$A$200,0))),"")</f>
        <v/>
      </c>
      <c r="T106" s="10">
        <f>IFERROR(IF(INDEX('Test catalog'!$M$2:$M$200,MATCH($AB106,'Test catalog'!$A$2:$A$200,0))="","",INDEX('Test catalog'!$M$2:$M$200,MATCH($AB106,'Test catalog'!$A$2:$A$200,0))),"")</f>
        <v/>
      </c>
      <c r="U106" s="10">
        <f>IFERROR(IF(INDEX('Test catalog'!$N$2:$N$200,MATCH($AB106,'Test catalog'!$A$2:$A$200,0))="","",INDEX('Test catalog'!$N$2:$N$200,MATCH($AB106,'Test catalog'!$A$2:$A$200,0))),"")</f>
        <v/>
      </c>
      <c r="V106" s="15" t="n"/>
      <c r="W106" s="5" t="inlineStr">
        <is>
          <t>Y</t>
        </is>
      </c>
      <c r="X106" s="5" t="n"/>
      <c r="Y106" s="5" t="n"/>
      <c r="Z106" s="5" t="n"/>
      <c r="AA106" s="10">
        <f>IFERROR(IF(INDEX('Test catalog'!$O$2:$O$200,MATCH($AB106,'Test catalog'!$A$2:$A$200,0))="","",INDEX('Test catalog'!$O$2:$O$200,MATCH($AB106,'Test catalog'!$A$2:$A$200,0))),"")</f>
        <v/>
      </c>
      <c r="AB106" s="10" t="inlineStr">
        <is>
          <t>HARD</t>
        </is>
      </c>
    </row>
    <row r="107">
      <c r="A107" s="10" t="inlineStr">
        <is>
          <t>F15</t>
        </is>
      </c>
      <c r="B107" s="10" t="inlineStr">
        <is>
          <t>FP</t>
        </is>
      </c>
      <c r="C107" s="10" t="inlineStr">
        <is>
          <t>Scadia 50; Scadia 100; Scadia 200  |  Sacubitril/Valsartan 3Sodium 2.5H2O Co-crystal</t>
        </is>
      </c>
      <c r="D107" s="10" t="inlineStr">
        <is>
          <t>Brittleness</t>
        </is>
      </c>
      <c r="E107" s="10">
        <f>IF(A107="","",A107&amp;"|"&amp;D107)</f>
        <v/>
      </c>
      <c r="F107" s="5" t="inlineStr">
        <is>
          <t>Y</t>
        </is>
      </c>
      <c r="G107" s="5" t="inlineStr">
        <is>
          <t>Other / bench</t>
        </is>
      </c>
      <c r="H107" s="5" t="inlineStr">
        <is>
          <t>Low</t>
        </is>
      </c>
      <c r="I107" s="5" t="n">
        <v>1</v>
      </c>
      <c r="J107" s="5" t="n"/>
      <c r="K107" s="10">
        <f>IFERROR(IF(INDEX('Test catalog'!$F$2:$F$200,MATCH($AB107,'Test catalog'!$A$2:$A$200,0))="","",INDEX('Test catalog'!$F$2:$F$200,MATCH($AB107,'Test catalog'!$A$2:$A$200,0))),"")</f>
        <v/>
      </c>
      <c r="L107" s="10">
        <f>IFERROR(IF(INDEX('Test catalog'!$G$2:$G$200,MATCH($AB107,'Test catalog'!$A$2:$A$200,0))="","",INDEX('Test catalog'!$G$2:$G$200,MATCH($AB107,'Test catalog'!$A$2:$A$200,0))),"")</f>
        <v/>
      </c>
      <c r="M107" s="10">
        <f>IFERROR(IF(INDEX('Test catalog'!$H$2:$H$200,MATCH($AB107,'Test catalog'!$A$2:$A$200,0))="","",INDEX('Test catalog'!$H$2:$H$200,MATCH($AB107,'Test catalog'!$A$2:$A$200,0))),"")</f>
        <v/>
      </c>
      <c r="N107" s="10">
        <f>IFERROR(IF(INDEX('Test catalog'!$I$2:$I$200,MATCH($AB107,'Test catalog'!$A$2:$A$200,0))="","",INDEX('Test catalog'!$I$2:$I$200,MATCH($AB107,'Test catalog'!$A$2:$A$200,0))),"")</f>
        <v/>
      </c>
      <c r="O107" s="10">
        <f>IFERROR(IF(INDEX('Test catalog'!$J$2:$J$200,MATCH($AB107,'Test catalog'!$A$2:$A$200,0))="","",INDEX('Test catalog'!$J$2:$J$200,MATCH($AB107,'Test catalog'!$A$2:$A$200,0))),"")</f>
        <v/>
      </c>
      <c r="P107" s="14">
        <f>IF(N107="","",IF(OR(M107="",O107=""),N107,(M107+4*N107+O107)/6))</f>
        <v/>
      </c>
      <c r="Q107" s="10">
        <f>IFERROR(IF(INDEX('Test catalog'!$K$2:$K$200,MATCH($AB107,'Test catalog'!$A$2:$A$200,0))="","",INDEX('Test catalog'!$K$2:$K$200,MATCH($AB107,'Test catalog'!$A$2:$A$200,0))),"")</f>
        <v/>
      </c>
      <c r="R107" s="5" t="n"/>
      <c r="S107" s="10">
        <f>IFERROR(IF(INDEX('Test catalog'!$L$2:$L$200,MATCH($AB107,'Test catalog'!$A$2:$A$200,0))="","",INDEX('Test catalog'!$L$2:$L$200,MATCH($AB107,'Test catalog'!$A$2:$A$200,0))),"")</f>
        <v/>
      </c>
      <c r="T107" s="10">
        <f>IFERROR(IF(INDEX('Test catalog'!$M$2:$M$200,MATCH($AB107,'Test catalog'!$A$2:$A$200,0))="","",INDEX('Test catalog'!$M$2:$M$200,MATCH($AB107,'Test catalog'!$A$2:$A$200,0))),"")</f>
        <v/>
      </c>
      <c r="U107" s="10">
        <f>IFERROR(IF(INDEX('Test catalog'!$N$2:$N$200,MATCH($AB107,'Test catalog'!$A$2:$A$200,0))="","",INDEX('Test catalog'!$N$2:$N$200,MATCH($AB107,'Test catalog'!$A$2:$A$200,0))),"")</f>
        <v/>
      </c>
      <c r="V107" s="15" t="n"/>
      <c r="W107" s="5" t="inlineStr">
        <is>
          <t>N</t>
        </is>
      </c>
      <c r="X107" s="5" t="n"/>
      <c r="Y107" s="5" t="n"/>
      <c r="Z107" s="5" t="n"/>
      <c r="AA107" s="10">
        <f>IFERROR(IF(INDEX('Test catalog'!$O$2:$O$200,MATCH($AB107,'Test catalog'!$A$2:$A$200,0))="","",INDEX('Test catalog'!$O$2:$O$200,MATCH($AB107,'Test catalog'!$A$2:$A$200,0))),"")</f>
        <v/>
      </c>
      <c r="AB107" s="10" t="inlineStr">
        <is>
          <t>BRITTLE</t>
        </is>
      </c>
    </row>
    <row r="108">
      <c r="A108" s="10" t="inlineStr">
        <is>
          <t>F15</t>
        </is>
      </c>
      <c r="B108" s="10" t="inlineStr">
        <is>
          <t>FP</t>
        </is>
      </c>
      <c r="C108" s="10" t="inlineStr">
        <is>
          <t>Scadia 50; Scadia 100; Scadia 200  |  Sacubitril/Valsartan 3Sodium 2.5H2O Co-crystal</t>
        </is>
      </c>
      <c r="D108" s="10" t="inlineStr">
        <is>
          <t>Friability</t>
        </is>
      </c>
      <c r="E108" s="10">
        <f>IF(A108="","",A108&amp;"|"&amp;D108)</f>
        <v/>
      </c>
      <c r="F108" s="5" t="inlineStr">
        <is>
          <t>Y</t>
        </is>
      </c>
      <c r="G108" s="5" t="inlineStr">
        <is>
          <t>Friabilator</t>
        </is>
      </c>
      <c r="H108" s="5" t="inlineStr">
        <is>
          <t>Low</t>
        </is>
      </c>
      <c r="I108" s="5" t="n">
        <v>1</v>
      </c>
      <c r="J108" s="5" t="n"/>
      <c r="K108" s="10">
        <f>IFERROR(IF(INDEX('Test catalog'!$F$2:$F$200,MATCH($AB108,'Test catalog'!$A$2:$A$200,0))="","",INDEX('Test catalog'!$F$2:$F$200,MATCH($AB108,'Test catalog'!$A$2:$A$200,0))),"")</f>
        <v/>
      </c>
      <c r="L108" s="10">
        <f>IFERROR(IF(INDEX('Test catalog'!$G$2:$G$200,MATCH($AB108,'Test catalog'!$A$2:$A$200,0))="","",INDEX('Test catalog'!$G$2:$G$200,MATCH($AB108,'Test catalog'!$A$2:$A$200,0))),"")</f>
        <v/>
      </c>
      <c r="M108" s="10">
        <f>IFERROR(IF(INDEX('Test catalog'!$H$2:$H$200,MATCH($AB108,'Test catalog'!$A$2:$A$200,0))="","",INDEX('Test catalog'!$H$2:$H$200,MATCH($AB108,'Test catalog'!$A$2:$A$200,0))),"")</f>
        <v/>
      </c>
      <c r="N108" s="10">
        <f>IFERROR(IF(INDEX('Test catalog'!$I$2:$I$200,MATCH($AB108,'Test catalog'!$A$2:$A$200,0))="","",INDEX('Test catalog'!$I$2:$I$200,MATCH($AB108,'Test catalog'!$A$2:$A$200,0))),"")</f>
        <v/>
      </c>
      <c r="O108" s="10">
        <f>IFERROR(IF(INDEX('Test catalog'!$J$2:$J$200,MATCH($AB108,'Test catalog'!$A$2:$A$200,0))="","",INDEX('Test catalog'!$J$2:$J$200,MATCH($AB108,'Test catalog'!$A$2:$A$200,0))),"")</f>
        <v/>
      </c>
      <c r="P108" s="14">
        <f>IF(N108="","",IF(OR(M108="",O108=""),N108,(M108+4*N108+O108)/6))</f>
        <v/>
      </c>
      <c r="Q108" s="10">
        <f>IFERROR(IF(INDEX('Test catalog'!$K$2:$K$200,MATCH($AB108,'Test catalog'!$A$2:$A$200,0))="","",INDEX('Test catalog'!$K$2:$K$200,MATCH($AB108,'Test catalog'!$A$2:$A$200,0))),"")</f>
        <v/>
      </c>
      <c r="R108" s="5" t="n"/>
      <c r="S108" s="10">
        <f>IFERROR(IF(INDEX('Test catalog'!$L$2:$L$200,MATCH($AB108,'Test catalog'!$A$2:$A$200,0))="","",INDEX('Test catalog'!$L$2:$L$200,MATCH($AB108,'Test catalog'!$A$2:$A$200,0))),"")</f>
        <v/>
      </c>
      <c r="T108" s="10">
        <f>IFERROR(IF(INDEX('Test catalog'!$M$2:$M$200,MATCH($AB108,'Test catalog'!$A$2:$A$200,0))="","",INDEX('Test catalog'!$M$2:$M$200,MATCH($AB108,'Test catalog'!$A$2:$A$200,0))),"")</f>
        <v/>
      </c>
      <c r="U108" s="10">
        <f>IFERROR(IF(INDEX('Test catalog'!$N$2:$N$200,MATCH($AB108,'Test catalog'!$A$2:$A$200,0))="","",INDEX('Test catalog'!$N$2:$N$200,MATCH($AB108,'Test catalog'!$A$2:$A$200,0))),"")</f>
        <v/>
      </c>
      <c r="V108" s="15" t="n"/>
      <c r="W108" s="5" t="inlineStr">
        <is>
          <t>N</t>
        </is>
      </c>
      <c r="X108" s="5" t="n"/>
      <c r="Y108" s="5" t="n"/>
      <c r="Z108" s="5" t="n"/>
      <c r="AA108" s="10">
        <f>IFERROR(IF(INDEX('Test catalog'!$O$2:$O$200,MATCH($AB108,'Test catalog'!$A$2:$A$200,0))="","",INDEX('Test catalog'!$O$2:$O$200,MATCH($AB108,'Test catalog'!$A$2:$A$200,0))),"")</f>
        <v/>
      </c>
      <c r="AB108" s="10" t="inlineStr">
        <is>
          <t>FRIAB</t>
        </is>
      </c>
    </row>
    <row r="109">
      <c r="A109" s="10" t="inlineStr">
        <is>
          <t>F15</t>
        </is>
      </c>
      <c r="B109" s="10" t="inlineStr">
        <is>
          <t>FP</t>
        </is>
      </c>
      <c r="C109" s="10" t="inlineStr">
        <is>
          <t>Scadia 50; Scadia 100; Scadia 200  |  Sacubitril/Valsartan 3Sodium 2.5H2O Co-crystal</t>
        </is>
      </c>
      <c r="D109" s="10" t="inlineStr">
        <is>
          <t>Disintegration</t>
        </is>
      </c>
      <c r="E109" s="10">
        <f>IF(A109="","",A109&amp;"|"&amp;D109)</f>
        <v/>
      </c>
      <c r="F109" s="5" t="inlineStr">
        <is>
          <t>Y</t>
        </is>
      </c>
      <c r="G109" s="5" t="inlineStr">
        <is>
          <t>Disintegration tester</t>
        </is>
      </c>
      <c r="H109" s="5" t="inlineStr">
        <is>
          <t>Low</t>
        </is>
      </c>
      <c r="I109" s="5" t="n">
        <v>1</v>
      </c>
      <c r="J109" s="5" t="n"/>
      <c r="K109" s="10">
        <f>IFERROR(IF(INDEX('Test catalog'!$F$2:$F$200,MATCH($AB109,'Test catalog'!$A$2:$A$200,0))="","",INDEX('Test catalog'!$F$2:$F$200,MATCH($AB109,'Test catalog'!$A$2:$A$200,0))),"")</f>
        <v/>
      </c>
      <c r="L109" s="10">
        <f>IFERROR(IF(INDEX('Test catalog'!$G$2:$G$200,MATCH($AB109,'Test catalog'!$A$2:$A$200,0))="","",INDEX('Test catalog'!$G$2:$G$200,MATCH($AB109,'Test catalog'!$A$2:$A$200,0))),"")</f>
        <v/>
      </c>
      <c r="M109" s="10">
        <f>IFERROR(IF(INDEX('Test catalog'!$H$2:$H$200,MATCH($AB109,'Test catalog'!$A$2:$A$200,0))="","",INDEX('Test catalog'!$H$2:$H$200,MATCH($AB109,'Test catalog'!$A$2:$A$200,0))),"")</f>
        <v/>
      </c>
      <c r="N109" s="10">
        <f>IFERROR(IF(INDEX('Test catalog'!$I$2:$I$200,MATCH($AB109,'Test catalog'!$A$2:$A$200,0))="","",INDEX('Test catalog'!$I$2:$I$200,MATCH($AB109,'Test catalog'!$A$2:$A$200,0))),"")</f>
        <v/>
      </c>
      <c r="O109" s="10">
        <f>IFERROR(IF(INDEX('Test catalog'!$J$2:$J$200,MATCH($AB109,'Test catalog'!$A$2:$A$200,0))="","",INDEX('Test catalog'!$J$2:$J$200,MATCH($AB109,'Test catalog'!$A$2:$A$200,0))),"")</f>
        <v/>
      </c>
      <c r="P109" s="14">
        <f>IF(N109="","",IF(OR(M109="",O109=""),N109,(M109+4*N109+O109)/6))</f>
        <v/>
      </c>
      <c r="Q109" s="10">
        <f>IFERROR(IF(INDEX('Test catalog'!$K$2:$K$200,MATCH($AB109,'Test catalog'!$A$2:$A$200,0))="","",INDEX('Test catalog'!$K$2:$K$200,MATCH($AB109,'Test catalog'!$A$2:$A$200,0))),"")</f>
        <v/>
      </c>
      <c r="R109" s="5" t="n"/>
      <c r="S109" s="10">
        <f>IFERROR(IF(INDEX('Test catalog'!$L$2:$L$200,MATCH($AB109,'Test catalog'!$A$2:$A$200,0))="","",INDEX('Test catalog'!$L$2:$L$200,MATCH($AB109,'Test catalog'!$A$2:$A$200,0))),"")</f>
        <v/>
      </c>
      <c r="T109" s="10">
        <f>IFERROR(IF(INDEX('Test catalog'!$M$2:$M$200,MATCH($AB109,'Test catalog'!$A$2:$A$200,0))="","",INDEX('Test catalog'!$M$2:$M$200,MATCH($AB109,'Test catalog'!$A$2:$A$200,0))),"")</f>
        <v/>
      </c>
      <c r="U109" s="10">
        <f>IFERROR(IF(INDEX('Test catalog'!$N$2:$N$200,MATCH($AB109,'Test catalog'!$A$2:$A$200,0))="","",INDEX('Test catalog'!$N$2:$N$200,MATCH($AB109,'Test catalog'!$A$2:$A$200,0))),"")</f>
        <v/>
      </c>
      <c r="V109" s="15" t="n"/>
      <c r="W109" s="5" t="inlineStr">
        <is>
          <t>Y</t>
        </is>
      </c>
      <c r="X109" s="5" t="n"/>
      <c r="Y109" s="5" t="n"/>
      <c r="Z109" s="5" t="n"/>
      <c r="AA109" s="10">
        <f>IFERROR(IF(INDEX('Test catalog'!$O$2:$O$200,MATCH($AB109,'Test catalog'!$A$2:$A$200,0))="","",INDEX('Test catalog'!$O$2:$O$200,MATCH($AB109,'Test catalog'!$A$2:$A$200,0))),"")</f>
        <v/>
      </c>
      <c r="AB109" s="10" t="inlineStr">
        <is>
          <t>DISINT</t>
        </is>
      </c>
    </row>
    <row r="110">
      <c r="A110" s="10" t="inlineStr">
        <is>
          <t>F15</t>
        </is>
      </c>
      <c r="B110" s="10" t="inlineStr">
        <is>
          <t>FP</t>
        </is>
      </c>
      <c r="C110" s="10" t="inlineStr">
        <is>
          <t>Scadia 50; Scadia 100; Scadia 200  |  Sacubitril/Valsartan 3Sodium 2.5H2O Co-crystal</t>
        </is>
      </c>
      <c r="D110" s="10" t="inlineStr">
        <is>
          <t>In-process check at the machine (one check, all its tests)</t>
        </is>
      </c>
      <c r="E110" s="10">
        <f>IF(A110="","",A110&amp;"|"&amp;D110)</f>
        <v/>
      </c>
      <c r="F110" s="5" t="inlineStr">
        <is>
          <t>Y</t>
        </is>
      </c>
      <c r="G110" s="5" t="inlineStr">
        <is>
          <t>Tablet tester</t>
        </is>
      </c>
      <c r="H110" s="5" t="inlineStr">
        <is>
          <t>Low</t>
        </is>
      </c>
      <c r="I110" s="5" t="n">
        <v>1</v>
      </c>
      <c r="J110" s="5" t="n"/>
      <c r="K110" s="10">
        <f>IFERROR(IF(INDEX('Test catalog'!$F$2:$F$200,MATCH($AB110,'Test catalog'!$A$2:$A$200,0))="","",INDEX('Test catalog'!$F$2:$F$200,MATCH($AB110,'Test catalog'!$A$2:$A$200,0))),"")</f>
        <v/>
      </c>
      <c r="L110" s="10">
        <f>IFERROR(IF(INDEX('Test catalog'!$G$2:$G$200,MATCH($AB110,'Test catalog'!$A$2:$A$200,0))="","",INDEX('Test catalog'!$G$2:$G$200,MATCH($AB110,'Test catalog'!$A$2:$A$200,0))),"")</f>
        <v/>
      </c>
      <c r="M110" s="10">
        <f>IFERROR(IF(INDEX('Test catalog'!$H$2:$H$200,MATCH($AB110,'Test catalog'!$A$2:$A$200,0))="","",INDEX('Test catalog'!$H$2:$H$200,MATCH($AB110,'Test catalog'!$A$2:$A$200,0))),"")</f>
        <v/>
      </c>
      <c r="N110" s="10">
        <f>IFERROR(IF(INDEX('Test catalog'!$I$2:$I$200,MATCH($AB110,'Test catalog'!$A$2:$A$200,0))="","",INDEX('Test catalog'!$I$2:$I$200,MATCH($AB110,'Test catalog'!$A$2:$A$200,0))),"")</f>
        <v/>
      </c>
      <c r="O110" s="10">
        <f>IFERROR(IF(INDEX('Test catalog'!$J$2:$J$200,MATCH($AB110,'Test catalog'!$A$2:$A$200,0))="","",INDEX('Test catalog'!$J$2:$J$200,MATCH($AB110,'Test catalog'!$A$2:$A$200,0))),"")</f>
        <v/>
      </c>
      <c r="P110" s="14">
        <f>IF(N110="","",IF(OR(M110="",O110=""),N110,(M110+4*N110+O110)/6))</f>
        <v/>
      </c>
      <c r="Q110" s="10">
        <f>IFERROR(IF(INDEX('Test catalog'!$K$2:$K$200,MATCH($AB110,'Test catalog'!$A$2:$A$200,0))="","",INDEX('Test catalog'!$K$2:$K$200,MATCH($AB110,'Test catalog'!$A$2:$A$200,0))),"")</f>
        <v/>
      </c>
      <c r="R110" s="5" t="n"/>
      <c r="S110" s="10">
        <f>IFERROR(IF(INDEX('Test catalog'!$L$2:$L$200,MATCH($AB110,'Test catalog'!$A$2:$A$200,0))="","",INDEX('Test catalog'!$L$2:$L$200,MATCH($AB110,'Test catalog'!$A$2:$A$200,0))),"")</f>
        <v/>
      </c>
      <c r="T110" s="10">
        <f>IFERROR(IF(INDEX('Test catalog'!$M$2:$M$200,MATCH($AB110,'Test catalog'!$A$2:$A$200,0))="","",INDEX('Test catalog'!$M$2:$M$200,MATCH($AB110,'Test catalog'!$A$2:$A$200,0))),"")</f>
        <v/>
      </c>
      <c r="U110" s="10">
        <f>IFERROR(IF(INDEX('Test catalog'!$N$2:$N$200,MATCH($AB110,'Test catalog'!$A$2:$A$200,0))="","",INDEX('Test catalog'!$N$2:$N$200,MATCH($AB110,'Test catalog'!$A$2:$A$200,0))),"")</f>
        <v/>
      </c>
      <c r="V110" s="15" t="n"/>
      <c r="W110" s="5" t="inlineStr">
        <is>
          <t>N</t>
        </is>
      </c>
      <c r="X110" s="5" t="n"/>
      <c r="Y110" s="5" t="n"/>
      <c r="Z110" s="5" t="n"/>
      <c r="AA110" s="10">
        <f>IFERROR(IF(INDEX('Test catalog'!$O$2:$O$200,MATCH($AB110,'Test catalog'!$A$2:$A$200,0))="","",INDEX('Test catalog'!$O$2:$O$200,MATCH($AB110,'Test catalog'!$A$2:$A$200,0))),"")</f>
        <v/>
      </c>
      <c r="AB110" s="10" t="inlineStr">
        <is>
          <t>IPC</t>
        </is>
      </c>
    </row>
    <row r="111">
      <c r="A111" s="10" t="inlineStr">
        <is>
          <t>F16</t>
        </is>
      </c>
      <c r="B111" s="10" t="inlineStr">
        <is>
          <t>FP</t>
        </is>
      </c>
      <c r="C111" s="10" t="inlineStr">
        <is>
          <t>Taglida 5  |  Linagliptin</t>
        </is>
      </c>
      <c r="D111" s="10" t="inlineStr">
        <is>
          <t>Average weight / uniformity of mass</t>
        </is>
      </c>
      <c r="E111" s="10">
        <f>IF(A111="","",A111&amp;"|"&amp;D111)</f>
        <v/>
      </c>
      <c r="F111" s="5" t="inlineStr">
        <is>
          <t>Y</t>
        </is>
      </c>
      <c r="G111" s="5" t="inlineStr">
        <is>
          <t>Balance</t>
        </is>
      </c>
      <c r="H111" s="5" t="inlineStr">
        <is>
          <t>Low</t>
        </is>
      </c>
      <c r="I111" s="5" t="n">
        <v>1</v>
      </c>
      <c r="J111" s="5" t="n"/>
      <c r="K111" s="10">
        <f>IFERROR(IF(INDEX('Test catalog'!$F$2:$F$200,MATCH($AB111,'Test catalog'!$A$2:$A$200,0))="","",INDEX('Test catalog'!$F$2:$F$200,MATCH($AB111,'Test catalog'!$A$2:$A$200,0))),"")</f>
        <v/>
      </c>
      <c r="L111" s="10">
        <f>IFERROR(IF(INDEX('Test catalog'!$G$2:$G$200,MATCH($AB111,'Test catalog'!$A$2:$A$200,0))="","",INDEX('Test catalog'!$G$2:$G$200,MATCH($AB111,'Test catalog'!$A$2:$A$200,0))),"")</f>
        <v/>
      </c>
      <c r="M111" s="10">
        <f>IFERROR(IF(INDEX('Test catalog'!$H$2:$H$200,MATCH($AB111,'Test catalog'!$A$2:$A$200,0))="","",INDEX('Test catalog'!$H$2:$H$200,MATCH($AB111,'Test catalog'!$A$2:$A$200,0))),"")</f>
        <v/>
      </c>
      <c r="N111" s="10">
        <f>IFERROR(IF(INDEX('Test catalog'!$I$2:$I$200,MATCH($AB111,'Test catalog'!$A$2:$A$200,0))="","",INDEX('Test catalog'!$I$2:$I$200,MATCH($AB111,'Test catalog'!$A$2:$A$200,0))),"")</f>
        <v/>
      </c>
      <c r="O111" s="10">
        <f>IFERROR(IF(INDEX('Test catalog'!$J$2:$J$200,MATCH($AB111,'Test catalog'!$A$2:$A$200,0))="","",INDEX('Test catalog'!$J$2:$J$200,MATCH($AB111,'Test catalog'!$A$2:$A$200,0))),"")</f>
        <v/>
      </c>
      <c r="P111" s="14">
        <f>IF(N111="","",IF(OR(M111="",O111=""),N111,(M111+4*N111+O111)/6))</f>
        <v/>
      </c>
      <c r="Q111" s="10">
        <f>IFERROR(IF(INDEX('Test catalog'!$K$2:$K$200,MATCH($AB111,'Test catalog'!$A$2:$A$200,0))="","",INDEX('Test catalog'!$K$2:$K$200,MATCH($AB111,'Test catalog'!$A$2:$A$200,0))),"")</f>
        <v/>
      </c>
      <c r="R111" s="5" t="n"/>
      <c r="S111" s="10">
        <f>IFERROR(IF(INDEX('Test catalog'!$L$2:$L$200,MATCH($AB111,'Test catalog'!$A$2:$A$200,0))="","",INDEX('Test catalog'!$L$2:$L$200,MATCH($AB111,'Test catalog'!$A$2:$A$200,0))),"")</f>
        <v/>
      </c>
      <c r="T111" s="10">
        <f>IFERROR(IF(INDEX('Test catalog'!$M$2:$M$200,MATCH($AB111,'Test catalog'!$A$2:$A$200,0))="","",INDEX('Test catalog'!$M$2:$M$200,MATCH($AB111,'Test catalog'!$A$2:$A$200,0))),"")</f>
        <v/>
      </c>
      <c r="U111" s="10">
        <f>IFERROR(IF(INDEX('Test catalog'!$N$2:$N$200,MATCH($AB111,'Test catalog'!$A$2:$A$200,0))="","",INDEX('Test catalog'!$N$2:$N$200,MATCH($AB111,'Test catalog'!$A$2:$A$200,0))),"")</f>
        <v/>
      </c>
      <c r="V111" s="15" t="n"/>
      <c r="W111" s="5" t="inlineStr">
        <is>
          <t>N</t>
        </is>
      </c>
      <c r="X111" s="5" t="n"/>
      <c r="Y111" s="5" t="n"/>
      <c r="Z111" s="5" t="n"/>
      <c r="AA111" s="10">
        <f>IFERROR(IF(INDEX('Test catalog'!$O$2:$O$200,MATCH($AB111,'Test catalog'!$A$2:$A$200,0))="","",INDEX('Test catalog'!$O$2:$O$200,MATCH($AB111,'Test catalog'!$A$2:$A$200,0))),"")</f>
        <v/>
      </c>
      <c r="AB111" s="10" t="inlineStr">
        <is>
          <t>AVG_WT</t>
        </is>
      </c>
    </row>
    <row r="112">
      <c r="A112" s="10" t="inlineStr">
        <is>
          <t>F16</t>
        </is>
      </c>
      <c r="B112" s="10" t="inlineStr">
        <is>
          <t>FP</t>
        </is>
      </c>
      <c r="C112" s="10" t="inlineStr">
        <is>
          <t>Taglida 5  |  Linagliptin</t>
        </is>
      </c>
      <c r="D112" s="10" t="inlineStr">
        <is>
          <t>Diameter (or length / width)</t>
        </is>
      </c>
      <c r="E112" s="10">
        <f>IF(A112="","",A112&amp;"|"&amp;D112)</f>
        <v/>
      </c>
      <c r="F112" s="5" t="inlineStr">
        <is>
          <t>Y</t>
        </is>
      </c>
      <c r="G112" s="5" t="inlineStr">
        <is>
          <t>Tablet tester</t>
        </is>
      </c>
      <c r="H112" s="5" t="inlineStr">
        <is>
          <t>Low</t>
        </is>
      </c>
      <c r="I112" s="5" t="n">
        <v>1</v>
      </c>
      <c r="J112" s="5" t="n"/>
      <c r="K112" s="10">
        <f>IFERROR(IF(INDEX('Test catalog'!$F$2:$F$200,MATCH($AB112,'Test catalog'!$A$2:$A$200,0))="","",INDEX('Test catalog'!$F$2:$F$200,MATCH($AB112,'Test catalog'!$A$2:$A$200,0))),"")</f>
        <v/>
      </c>
      <c r="L112" s="10">
        <f>IFERROR(IF(INDEX('Test catalog'!$G$2:$G$200,MATCH($AB112,'Test catalog'!$A$2:$A$200,0))="","",INDEX('Test catalog'!$G$2:$G$200,MATCH($AB112,'Test catalog'!$A$2:$A$200,0))),"")</f>
        <v/>
      </c>
      <c r="M112" s="10">
        <f>IFERROR(IF(INDEX('Test catalog'!$H$2:$H$200,MATCH($AB112,'Test catalog'!$A$2:$A$200,0))="","",INDEX('Test catalog'!$H$2:$H$200,MATCH($AB112,'Test catalog'!$A$2:$A$200,0))),"")</f>
        <v/>
      </c>
      <c r="N112" s="10">
        <f>IFERROR(IF(INDEX('Test catalog'!$I$2:$I$200,MATCH($AB112,'Test catalog'!$A$2:$A$200,0))="","",INDEX('Test catalog'!$I$2:$I$200,MATCH($AB112,'Test catalog'!$A$2:$A$200,0))),"")</f>
        <v/>
      </c>
      <c r="O112" s="10">
        <f>IFERROR(IF(INDEX('Test catalog'!$J$2:$J$200,MATCH($AB112,'Test catalog'!$A$2:$A$200,0))="","",INDEX('Test catalog'!$J$2:$J$200,MATCH($AB112,'Test catalog'!$A$2:$A$200,0))),"")</f>
        <v/>
      </c>
      <c r="P112" s="14">
        <f>IF(N112="","",IF(OR(M112="",O112=""),N112,(M112+4*N112+O112)/6))</f>
        <v/>
      </c>
      <c r="Q112" s="10">
        <f>IFERROR(IF(INDEX('Test catalog'!$K$2:$K$200,MATCH($AB112,'Test catalog'!$A$2:$A$200,0))="","",INDEX('Test catalog'!$K$2:$K$200,MATCH($AB112,'Test catalog'!$A$2:$A$200,0))),"")</f>
        <v/>
      </c>
      <c r="R112" s="5" t="n"/>
      <c r="S112" s="10">
        <f>IFERROR(IF(INDEX('Test catalog'!$L$2:$L$200,MATCH($AB112,'Test catalog'!$A$2:$A$200,0))="","",INDEX('Test catalog'!$L$2:$L$200,MATCH($AB112,'Test catalog'!$A$2:$A$200,0))),"")</f>
        <v/>
      </c>
      <c r="T112" s="10">
        <f>IFERROR(IF(INDEX('Test catalog'!$M$2:$M$200,MATCH($AB112,'Test catalog'!$A$2:$A$200,0))="","",INDEX('Test catalog'!$M$2:$M$200,MATCH($AB112,'Test catalog'!$A$2:$A$200,0))),"")</f>
        <v/>
      </c>
      <c r="U112" s="10">
        <f>IFERROR(IF(INDEX('Test catalog'!$N$2:$N$200,MATCH($AB112,'Test catalog'!$A$2:$A$200,0))="","",INDEX('Test catalog'!$N$2:$N$200,MATCH($AB112,'Test catalog'!$A$2:$A$200,0))),"")</f>
        <v/>
      </c>
      <c r="V112" s="15" t="n"/>
      <c r="W112" s="5" t="inlineStr">
        <is>
          <t>N</t>
        </is>
      </c>
      <c r="X112" s="5" t="n"/>
      <c r="Y112" s="5" t="n"/>
      <c r="Z112" s="5" t="n"/>
      <c r="AA112" s="10">
        <f>IFERROR(IF(INDEX('Test catalog'!$O$2:$O$200,MATCH($AB112,'Test catalog'!$A$2:$A$200,0))="","",INDEX('Test catalog'!$O$2:$O$200,MATCH($AB112,'Test catalog'!$A$2:$A$200,0))),"")</f>
        <v/>
      </c>
      <c r="AB112" s="10" t="inlineStr">
        <is>
          <t>DIAM</t>
        </is>
      </c>
    </row>
    <row r="113">
      <c r="A113" s="10" t="inlineStr">
        <is>
          <t>F16</t>
        </is>
      </c>
      <c r="B113" s="10" t="inlineStr">
        <is>
          <t>FP</t>
        </is>
      </c>
      <c r="C113" s="10" t="inlineStr">
        <is>
          <t>Taglida 5  |  Linagliptin</t>
        </is>
      </c>
      <c r="D113" s="10" t="inlineStr">
        <is>
          <t>Thickness</t>
        </is>
      </c>
      <c r="E113" s="10">
        <f>IF(A113="","",A113&amp;"|"&amp;D113)</f>
        <v/>
      </c>
      <c r="F113" s="5" t="inlineStr">
        <is>
          <t>Y</t>
        </is>
      </c>
      <c r="G113" s="5" t="inlineStr">
        <is>
          <t>Tablet tester</t>
        </is>
      </c>
      <c r="H113" s="5" t="inlineStr">
        <is>
          <t>Low</t>
        </is>
      </c>
      <c r="I113" s="5" t="n">
        <v>1</v>
      </c>
      <c r="J113" s="5" t="n"/>
      <c r="K113" s="10">
        <f>IFERROR(IF(INDEX('Test catalog'!$F$2:$F$200,MATCH($AB113,'Test catalog'!$A$2:$A$200,0))="","",INDEX('Test catalog'!$F$2:$F$200,MATCH($AB113,'Test catalog'!$A$2:$A$200,0))),"")</f>
        <v/>
      </c>
      <c r="L113" s="10">
        <f>IFERROR(IF(INDEX('Test catalog'!$G$2:$G$200,MATCH($AB113,'Test catalog'!$A$2:$A$200,0))="","",INDEX('Test catalog'!$G$2:$G$200,MATCH($AB113,'Test catalog'!$A$2:$A$200,0))),"")</f>
        <v/>
      </c>
      <c r="M113" s="10">
        <f>IFERROR(IF(INDEX('Test catalog'!$H$2:$H$200,MATCH($AB113,'Test catalog'!$A$2:$A$200,0))="","",INDEX('Test catalog'!$H$2:$H$200,MATCH($AB113,'Test catalog'!$A$2:$A$200,0))),"")</f>
        <v/>
      </c>
      <c r="N113" s="10">
        <f>IFERROR(IF(INDEX('Test catalog'!$I$2:$I$200,MATCH($AB113,'Test catalog'!$A$2:$A$200,0))="","",INDEX('Test catalog'!$I$2:$I$200,MATCH($AB113,'Test catalog'!$A$2:$A$200,0))),"")</f>
        <v/>
      </c>
      <c r="O113" s="10">
        <f>IFERROR(IF(INDEX('Test catalog'!$J$2:$J$200,MATCH($AB113,'Test catalog'!$A$2:$A$200,0))="","",INDEX('Test catalog'!$J$2:$J$200,MATCH($AB113,'Test catalog'!$A$2:$A$200,0))),"")</f>
        <v/>
      </c>
      <c r="P113" s="14">
        <f>IF(N113="","",IF(OR(M113="",O113=""),N113,(M113+4*N113+O113)/6))</f>
        <v/>
      </c>
      <c r="Q113" s="10">
        <f>IFERROR(IF(INDEX('Test catalog'!$K$2:$K$200,MATCH($AB113,'Test catalog'!$A$2:$A$200,0))="","",INDEX('Test catalog'!$K$2:$K$200,MATCH($AB113,'Test catalog'!$A$2:$A$200,0))),"")</f>
        <v/>
      </c>
      <c r="R113" s="5" t="n"/>
      <c r="S113" s="10">
        <f>IFERROR(IF(INDEX('Test catalog'!$L$2:$L$200,MATCH($AB113,'Test catalog'!$A$2:$A$200,0))="","",INDEX('Test catalog'!$L$2:$L$200,MATCH($AB113,'Test catalog'!$A$2:$A$200,0))),"")</f>
        <v/>
      </c>
      <c r="T113" s="10">
        <f>IFERROR(IF(INDEX('Test catalog'!$M$2:$M$200,MATCH($AB113,'Test catalog'!$A$2:$A$200,0))="","",INDEX('Test catalog'!$M$2:$M$200,MATCH($AB113,'Test catalog'!$A$2:$A$200,0))),"")</f>
        <v/>
      </c>
      <c r="U113" s="10">
        <f>IFERROR(IF(INDEX('Test catalog'!$N$2:$N$200,MATCH($AB113,'Test catalog'!$A$2:$A$200,0))="","",INDEX('Test catalog'!$N$2:$N$200,MATCH($AB113,'Test catalog'!$A$2:$A$200,0))),"")</f>
        <v/>
      </c>
      <c r="V113" s="15" t="n"/>
      <c r="W113" s="5" t="inlineStr">
        <is>
          <t>N</t>
        </is>
      </c>
      <c r="X113" s="5" t="n"/>
      <c r="Y113" s="5" t="n"/>
      <c r="Z113" s="5" t="n"/>
      <c r="AA113" s="10">
        <f>IFERROR(IF(INDEX('Test catalog'!$O$2:$O$200,MATCH($AB113,'Test catalog'!$A$2:$A$200,0))="","",INDEX('Test catalog'!$O$2:$O$200,MATCH($AB113,'Test catalog'!$A$2:$A$200,0))),"")</f>
        <v/>
      </c>
      <c r="AB113" s="10" t="inlineStr">
        <is>
          <t>THICK</t>
        </is>
      </c>
    </row>
    <row r="114">
      <c r="A114" s="10" t="inlineStr">
        <is>
          <t>F16</t>
        </is>
      </c>
      <c r="B114" s="10" t="inlineStr">
        <is>
          <t>FP</t>
        </is>
      </c>
      <c r="C114" s="10" t="inlineStr">
        <is>
          <t>Taglida 5  |  Linagliptin</t>
        </is>
      </c>
      <c r="D114" s="10" t="inlineStr">
        <is>
          <t>Hardness / breaking force</t>
        </is>
      </c>
      <c r="E114" s="10">
        <f>IF(A114="","",A114&amp;"|"&amp;D114)</f>
        <v/>
      </c>
      <c r="F114" s="5" t="inlineStr">
        <is>
          <t>Y</t>
        </is>
      </c>
      <c r="G114" s="5" t="inlineStr">
        <is>
          <t>Tablet tester</t>
        </is>
      </c>
      <c r="H114" s="5" t="inlineStr">
        <is>
          <t>Low</t>
        </is>
      </c>
      <c r="I114" s="5" t="n">
        <v>1</v>
      </c>
      <c r="J114" s="5" t="n"/>
      <c r="K114" s="10">
        <f>IFERROR(IF(INDEX('Test catalog'!$F$2:$F$200,MATCH($AB114,'Test catalog'!$A$2:$A$200,0))="","",INDEX('Test catalog'!$F$2:$F$200,MATCH($AB114,'Test catalog'!$A$2:$A$200,0))),"")</f>
        <v/>
      </c>
      <c r="L114" s="10">
        <f>IFERROR(IF(INDEX('Test catalog'!$G$2:$G$200,MATCH($AB114,'Test catalog'!$A$2:$A$200,0))="","",INDEX('Test catalog'!$G$2:$G$200,MATCH($AB114,'Test catalog'!$A$2:$A$200,0))),"")</f>
        <v/>
      </c>
      <c r="M114" s="10">
        <f>IFERROR(IF(INDEX('Test catalog'!$H$2:$H$200,MATCH($AB114,'Test catalog'!$A$2:$A$200,0))="","",INDEX('Test catalog'!$H$2:$H$200,MATCH($AB114,'Test catalog'!$A$2:$A$200,0))),"")</f>
        <v/>
      </c>
      <c r="N114" s="10">
        <f>IFERROR(IF(INDEX('Test catalog'!$I$2:$I$200,MATCH($AB114,'Test catalog'!$A$2:$A$200,0))="","",INDEX('Test catalog'!$I$2:$I$200,MATCH($AB114,'Test catalog'!$A$2:$A$200,0))),"")</f>
        <v/>
      </c>
      <c r="O114" s="10">
        <f>IFERROR(IF(INDEX('Test catalog'!$J$2:$J$200,MATCH($AB114,'Test catalog'!$A$2:$A$200,0))="","",INDEX('Test catalog'!$J$2:$J$200,MATCH($AB114,'Test catalog'!$A$2:$A$200,0))),"")</f>
        <v/>
      </c>
      <c r="P114" s="14">
        <f>IF(N114="","",IF(OR(M114="",O114=""),N114,(M114+4*N114+O114)/6))</f>
        <v/>
      </c>
      <c r="Q114" s="10">
        <f>IFERROR(IF(INDEX('Test catalog'!$K$2:$K$200,MATCH($AB114,'Test catalog'!$A$2:$A$200,0))="","",INDEX('Test catalog'!$K$2:$K$200,MATCH($AB114,'Test catalog'!$A$2:$A$200,0))),"")</f>
        <v/>
      </c>
      <c r="R114" s="5" t="n"/>
      <c r="S114" s="10">
        <f>IFERROR(IF(INDEX('Test catalog'!$L$2:$L$200,MATCH($AB114,'Test catalog'!$A$2:$A$200,0))="","",INDEX('Test catalog'!$L$2:$L$200,MATCH($AB114,'Test catalog'!$A$2:$A$200,0))),"")</f>
        <v/>
      </c>
      <c r="T114" s="10">
        <f>IFERROR(IF(INDEX('Test catalog'!$M$2:$M$200,MATCH($AB114,'Test catalog'!$A$2:$A$200,0))="","",INDEX('Test catalog'!$M$2:$M$200,MATCH($AB114,'Test catalog'!$A$2:$A$200,0))),"")</f>
        <v/>
      </c>
      <c r="U114" s="10">
        <f>IFERROR(IF(INDEX('Test catalog'!$N$2:$N$200,MATCH($AB114,'Test catalog'!$A$2:$A$200,0))="","",INDEX('Test catalog'!$N$2:$N$200,MATCH($AB114,'Test catalog'!$A$2:$A$200,0))),"")</f>
        <v/>
      </c>
      <c r="V114" s="15" t="n"/>
      <c r="W114" s="5" t="inlineStr">
        <is>
          <t>Y</t>
        </is>
      </c>
      <c r="X114" s="5" t="n"/>
      <c r="Y114" s="5" t="n"/>
      <c r="Z114" s="5" t="n"/>
      <c r="AA114" s="10">
        <f>IFERROR(IF(INDEX('Test catalog'!$O$2:$O$200,MATCH($AB114,'Test catalog'!$A$2:$A$200,0))="","",INDEX('Test catalog'!$O$2:$O$200,MATCH($AB114,'Test catalog'!$A$2:$A$200,0))),"")</f>
        <v/>
      </c>
      <c r="AB114" s="10" t="inlineStr">
        <is>
          <t>HARD</t>
        </is>
      </c>
    </row>
    <row r="115">
      <c r="A115" s="10" t="inlineStr">
        <is>
          <t>F16</t>
        </is>
      </c>
      <c r="B115" s="10" t="inlineStr">
        <is>
          <t>FP</t>
        </is>
      </c>
      <c r="C115" s="10" t="inlineStr">
        <is>
          <t>Taglida 5  |  Linagliptin</t>
        </is>
      </c>
      <c r="D115" s="10" t="inlineStr">
        <is>
          <t>Brittleness</t>
        </is>
      </c>
      <c r="E115" s="10">
        <f>IF(A115="","",A115&amp;"|"&amp;D115)</f>
        <v/>
      </c>
      <c r="F115" s="5" t="inlineStr">
        <is>
          <t>Y</t>
        </is>
      </c>
      <c r="G115" s="5" t="inlineStr">
        <is>
          <t>Other / bench</t>
        </is>
      </c>
      <c r="H115" s="5" t="inlineStr">
        <is>
          <t>Low</t>
        </is>
      </c>
      <c r="I115" s="5" t="n">
        <v>1</v>
      </c>
      <c r="J115" s="5" t="n"/>
      <c r="K115" s="10">
        <f>IFERROR(IF(INDEX('Test catalog'!$F$2:$F$200,MATCH($AB115,'Test catalog'!$A$2:$A$200,0))="","",INDEX('Test catalog'!$F$2:$F$200,MATCH($AB115,'Test catalog'!$A$2:$A$200,0))),"")</f>
        <v/>
      </c>
      <c r="L115" s="10">
        <f>IFERROR(IF(INDEX('Test catalog'!$G$2:$G$200,MATCH($AB115,'Test catalog'!$A$2:$A$200,0))="","",INDEX('Test catalog'!$G$2:$G$200,MATCH($AB115,'Test catalog'!$A$2:$A$200,0))),"")</f>
        <v/>
      </c>
      <c r="M115" s="10">
        <f>IFERROR(IF(INDEX('Test catalog'!$H$2:$H$200,MATCH($AB115,'Test catalog'!$A$2:$A$200,0))="","",INDEX('Test catalog'!$H$2:$H$200,MATCH($AB115,'Test catalog'!$A$2:$A$200,0))),"")</f>
        <v/>
      </c>
      <c r="N115" s="10">
        <f>IFERROR(IF(INDEX('Test catalog'!$I$2:$I$200,MATCH($AB115,'Test catalog'!$A$2:$A$200,0))="","",INDEX('Test catalog'!$I$2:$I$200,MATCH($AB115,'Test catalog'!$A$2:$A$200,0))),"")</f>
        <v/>
      </c>
      <c r="O115" s="10">
        <f>IFERROR(IF(INDEX('Test catalog'!$J$2:$J$200,MATCH($AB115,'Test catalog'!$A$2:$A$200,0))="","",INDEX('Test catalog'!$J$2:$J$200,MATCH($AB115,'Test catalog'!$A$2:$A$200,0))),"")</f>
        <v/>
      </c>
      <c r="P115" s="14">
        <f>IF(N115="","",IF(OR(M115="",O115=""),N115,(M115+4*N115+O115)/6))</f>
        <v/>
      </c>
      <c r="Q115" s="10">
        <f>IFERROR(IF(INDEX('Test catalog'!$K$2:$K$200,MATCH($AB115,'Test catalog'!$A$2:$A$200,0))="","",INDEX('Test catalog'!$K$2:$K$200,MATCH($AB115,'Test catalog'!$A$2:$A$200,0))),"")</f>
        <v/>
      </c>
      <c r="R115" s="5" t="n"/>
      <c r="S115" s="10">
        <f>IFERROR(IF(INDEX('Test catalog'!$L$2:$L$200,MATCH($AB115,'Test catalog'!$A$2:$A$200,0))="","",INDEX('Test catalog'!$L$2:$L$200,MATCH($AB115,'Test catalog'!$A$2:$A$200,0))),"")</f>
        <v/>
      </c>
      <c r="T115" s="10">
        <f>IFERROR(IF(INDEX('Test catalog'!$M$2:$M$200,MATCH($AB115,'Test catalog'!$A$2:$A$200,0))="","",INDEX('Test catalog'!$M$2:$M$200,MATCH($AB115,'Test catalog'!$A$2:$A$200,0))),"")</f>
        <v/>
      </c>
      <c r="U115" s="10">
        <f>IFERROR(IF(INDEX('Test catalog'!$N$2:$N$200,MATCH($AB115,'Test catalog'!$A$2:$A$200,0))="","",INDEX('Test catalog'!$N$2:$N$200,MATCH($AB115,'Test catalog'!$A$2:$A$200,0))),"")</f>
        <v/>
      </c>
      <c r="V115" s="15" t="n"/>
      <c r="W115" s="5" t="inlineStr">
        <is>
          <t>N</t>
        </is>
      </c>
      <c r="X115" s="5" t="n"/>
      <c r="Y115" s="5" t="n"/>
      <c r="Z115" s="5" t="n"/>
      <c r="AA115" s="10">
        <f>IFERROR(IF(INDEX('Test catalog'!$O$2:$O$200,MATCH($AB115,'Test catalog'!$A$2:$A$200,0))="","",INDEX('Test catalog'!$O$2:$O$200,MATCH($AB115,'Test catalog'!$A$2:$A$200,0))),"")</f>
        <v/>
      </c>
      <c r="AB115" s="10" t="inlineStr">
        <is>
          <t>BRITTLE</t>
        </is>
      </c>
    </row>
    <row r="116">
      <c r="A116" s="10" t="inlineStr">
        <is>
          <t>F16</t>
        </is>
      </c>
      <c r="B116" s="10" t="inlineStr">
        <is>
          <t>FP</t>
        </is>
      </c>
      <c r="C116" s="10" t="inlineStr">
        <is>
          <t>Taglida 5  |  Linagliptin</t>
        </is>
      </c>
      <c r="D116" s="10" t="inlineStr">
        <is>
          <t>Friability</t>
        </is>
      </c>
      <c r="E116" s="10">
        <f>IF(A116="","",A116&amp;"|"&amp;D116)</f>
        <v/>
      </c>
      <c r="F116" s="5" t="inlineStr">
        <is>
          <t>Y</t>
        </is>
      </c>
      <c r="G116" s="5" t="inlineStr">
        <is>
          <t>Friabilator</t>
        </is>
      </c>
      <c r="H116" s="5" t="inlineStr">
        <is>
          <t>Low</t>
        </is>
      </c>
      <c r="I116" s="5" t="n">
        <v>1</v>
      </c>
      <c r="J116" s="5" t="n"/>
      <c r="K116" s="10">
        <f>IFERROR(IF(INDEX('Test catalog'!$F$2:$F$200,MATCH($AB116,'Test catalog'!$A$2:$A$200,0))="","",INDEX('Test catalog'!$F$2:$F$200,MATCH($AB116,'Test catalog'!$A$2:$A$200,0))),"")</f>
        <v/>
      </c>
      <c r="L116" s="10">
        <f>IFERROR(IF(INDEX('Test catalog'!$G$2:$G$200,MATCH($AB116,'Test catalog'!$A$2:$A$200,0))="","",INDEX('Test catalog'!$G$2:$G$200,MATCH($AB116,'Test catalog'!$A$2:$A$200,0))),"")</f>
        <v/>
      </c>
      <c r="M116" s="10">
        <f>IFERROR(IF(INDEX('Test catalog'!$H$2:$H$200,MATCH($AB116,'Test catalog'!$A$2:$A$200,0))="","",INDEX('Test catalog'!$H$2:$H$200,MATCH($AB116,'Test catalog'!$A$2:$A$200,0))),"")</f>
        <v/>
      </c>
      <c r="N116" s="10">
        <f>IFERROR(IF(INDEX('Test catalog'!$I$2:$I$200,MATCH($AB116,'Test catalog'!$A$2:$A$200,0))="","",INDEX('Test catalog'!$I$2:$I$200,MATCH($AB116,'Test catalog'!$A$2:$A$200,0))),"")</f>
        <v/>
      </c>
      <c r="O116" s="10">
        <f>IFERROR(IF(INDEX('Test catalog'!$J$2:$J$200,MATCH($AB116,'Test catalog'!$A$2:$A$200,0))="","",INDEX('Test catalog'!$J$2:$J$200,MATCH($AB116,'Test catalog'!$A$2:$A$200,0))),"")</f>
        <v/>
      </c>
      <c r="P116" s="14">
        <f>IF(N116="","",IF(OR(M116="",O116=""),N116,(M116+4*N116+O116)/6))</f>
        <v/>
      </c>
      <c r="Q116" s="10">
        <f>IFERROR(IF(INDEX('Test catalog'!$K$2:$K$200,MATCH($AB116,'Test catalog'!$A$2:$A$200,0))="","",INDEX('Test catalog'!$K$2:$K$200,MATCH($AB116,'Test catalog'!$A$2:$A$200,0))),"")</f>
        <v/>
      </c>
      <c r="R116" s="5" t="n"/>
      <c r="S116" s="10">
        <f>IFERROR(IF(INDEX('Test catalog'!$L$2:$L$200,MATCH($AB116,'Test catalog'!$A$2:$A$200,0))="","",INDEX('Test catalog'!$L$2:$L$200,MATCH($AB116,'Test catalog'!$A$2:$A$200,0))),"")</f>
        <v/>
      </c>
      <c r="T116" s="10">
        <f>IFERROR(IF(INDEX('Test catalog'!$M$2:$M$200,MATCH($AB116,'Test catalog'!$A$2:$A$200,0))="","",INDEX('Test catalog'!$M$2:$M$200,MATCH($AB116,'Test catalog'!$A$2:$A$200,0))),"")</f>
        <v/>
      </c>
      <c r="U116" s="10">
        <f>IFERROR(IF(INDEX('Test catalog'!$N$2:$N$200,MATCH($AB116,'Test catalog'!$A$2:$A$200,0))="","",INDEX('Test catalog'!$N$2:$N$200,MATCH($AB116,'Test catalog'!$A$2:$A$200,0))),"")</f>
        <v/>
      </c>
      <c r="V116" s="15" t="n"/>
      <c r="W116" s="5" t="inlineStr">
        <is>
          <t>N</t>
        </is>
      </c>
      <c r="X116" s="5" t="n"/>
      <c r="Y116" s="5" t="n"/>
      <c r="Z116" s="5" t="n"/>
      <c r="AA116" s="10">
        <f>IFERROR(IF(INDEX('Test catalog'!$O$2:$O$200,MATCH($AB116,'Test catalog'!$A$2:$A$200,0))="","",INDEX('Test catalog'!$O$2:$O$200,MATCH($AB116,'Test catalog'!$A$2:$A$200,0))),"")</f>
        <v/>
      </c>
      <c r="AB116" s="10" t="inlineStr">
        <is>
          <t>FRIAB</t>
        </is>
      </c>
    </row>
    <row r="117">
      <c r="A117" s="10" t="inlineStr">
        <is>
          <t>F16</t>
        </is>
      </c>
      <c r="B117" s="10" t="inlineStr">
        <is>
          <t>FP</t>
        </is>
      </c>
      <c r="C117" s="10" t="inlineStr">
        <is>
          <t>Taglida 5  |  Linagliptin</t>
        </is>
      </c>
      <c r="D117" s="10" t="inlineStr">
        <is>
          <t>Disintegration</t>
        </is>
      </c>
      <c r="E117" s="10">
        <f>IF(A117="","",A117&amp;"|"&amp;D117)</f>
        <v/>
      </c>
      <c r="F117" s="5" t="inlineStr">
        <is>
          <t>Y</t>
        </is>
      </c>
      <c r="G117" s="5" t="inlineStr">
        <is>
          <t>Disintegration tester</t>
        </is>
      </c>
      <c r="H117" s="5" t="inlineStr">
        <is>
          <t>Low</t>
        </is>
      </c>
      <c r="I117" s="5" t="n">
        <v>1</v>
      </c>
      <c r="J117" s="5" t="n"/>
      <c r="K117" s="10">
        <f>IFERROR(IF(INDEX('Test catalog'!$F$2:$F$200,MATCH($AB117,'Test catalog'!$A$2:$A$200,0))="","",INDEX('Test catalog'!$F$2:$F$200,MATCH($AB117,'Test catalog'!$A$2:$A$200,0))),"")</f>
        <v/>
      </c>
      <c r="L117" s="10">
        <f>IFERROR(IF(INDEX('Test catalog'!$G$2:$G$200,MATCH($AB117,'Test catalog'!$A$2:$A$200,0))="","",INDEX('Test catalog'!$G$2:$G$200,MATCH($AB117,'Test catalog'!$A$2:$A$200,0))),"")</f>
        <v/>
      </c>
      <c r="M117" s="10">
        <f>IFERROR(IF(INDEX('Test catalog'!$H$2:$H$200,MATCH($AB117,'Test catalog'!$A$2:$A$200,0))="","",INDEX('Test catalog'!$H$2:$H$200,MATCH($AB117,'Test catalog'!$A$2:$A$200,0))),"")</f>
        <v/>
      </c>
      <c r="N117" s="10">
        <f>IFERROR(IF(INDEX('Test catalog'!$I$2:$I$200,MATCH($AB117,'Test catalog'!$A$2:$A$200,0))="","",INDEX('Test catalog'!$I$2:$I$200,MATCH($AB117,'Test catalog'!$A$2:$A$200,0))),"")</f>
        <v/>
      </c>
      <c r="O117" s="10">
        <f>IFERROR(IF(INDEX('Test catalog'!$J$2:$J$200,MATCH($AB117,'Test catalog'!$A$2:$A$200,0))="","",INDEX('Test catalog'!$J$2:$J$200,MATCH($AB117,'Test catalog'!$A$2:$A$200,0))),"")</f>
        <v/>
      </c>
      <c r="P117" s="14">
        <f>IF(N117="","",IF(OR(M117="",O117=""),N117,(M117+4*N117+O117)/6))</f>
        <v/>
      </c>
      <c r="Q117" s="10">
        <f>IFERROR(IF(INDEX('Test catalog'!$K$2:$K$200,MATCH($AB117,'Test catalog'!$A$2:$A$200,0))="","",INDEX('Test catalog'!$K$2:$K$200,MATCH($AB117,'Test catalog'!$A$2:$A$200,0))),"")</f>
        <v/>
      </c>
      <c r="R117" s="5" t="n"/>
      <c r="S117" s="10">
        <f>IFERROR(IF(INDEX('Test catalog'!$L$2:$L$200,MATCH($AB117,'Test catalog'!$A$2:$A$200,0))="","",INDEX('Test catalog'!$L$2:$L$200,MATCH($AB117,'Test catalog'!$A$2:$A$200,0))),"")</f>
        <v/>
      </c>
      <c r="T117" s="10">
        <f>IFERROR(IF(INDEX('Test catalog'!$M$2:$M$200,MATCH($AB117,'Test catalog'!$A$2:$A$200,0))="","",INDEX('Test catalog'!$M$2:$M$200,MATCH($AB117,'Test catalog'!$A$2:$A$200,0))),"")</f>
        <v/>
      </c>
      <c r="U117" s="10">
        <f>IFERROR(IF(INDEX('Test catalog'!$N$2:$N$200,MATCH($AB117,'Test catalog'!$A$2:$A$200,0))="","",INDEX('Test catalog'!$N$2:$N$200,MATCH($AB117,'Test catalog'!$A$2:$A$200,0))),"")</f>
        <v/>
      </c>
      <c r="V117" s="15" t="n"/>
      <c r="W117" s="5" t="inlineStr">
        <is>
          <t>Y</t>
        </is>
      </c>
      <c r="X117" s="5" t="n"/>
      <c r="Y117" s="5" t="n"/>
      <c r="Z117" s="5" t="n"/>
      <c r="AA117" s="10">
        <f>IFERROR(IF(INDEX('Test catalog'!$O$2:$O$200,MATCH($AB117,'Test catalog'!$A$2:$A$200,0))="","",INDEX('Test catalog'!$O$2:$O$200,MATCH($AB117,'Test catalog'!$A$2:$A$200,0))),"")</f>
        <v/>
      </c>
      <c r="AB117" s="10" t="inlineStr">
        <is>
          <t>DISINT</t>
        </is>
      </c>
    </row>
    <row r="118">
      <c r="A118" s="10" t="inlineStr">
        <is>
          <t>F16</t>
        </is>
      </c>
      <c r="B118" s="10" t="inlineStr">
        <is>
          <t>FP</t>
        </is>
      </c>
      <c r="C118" s="10" t="inlineStr">
        <is>
          <t>Taglida 5  |  Linagliptin</t>
        </is>
      </c>
      <c r="D118" s="10" t="inlineStr">
        <is>
          <t>In-process check at the machine (one check, all its tests)</t>
        </is>
      </c>
      <c r="E118" s="10">
        <f>IF(A118="","",A118&amp;"|"&amp;D118)</f>
        <v/>
      </c>
      <c r="F118" s="5" t="inlineStr">
        <is>
          <t>Y</t>
        </is>
      </c>
      <c r="G118" s="5" t="inlineStr">
        <is>
          <t>Tablet tester</t>
        </is>
      </c>
      <c r="H118" s="5" t="inlineStr">
        <is>
          <t>Low</t>
        </is>
      </c>
      <c r="I118" s="5" t="n">
        <v>1</v>
      </c>
      <c r="J118" s="5" t="n"/>
      <c r="K118" s="10">
        <f>IFERROR(IF(INDEX('Test catalog'!$F$2:$F$200,MATCH($AB118,'Test catalog'!$A$2:$A$200,0))="","",INDEX('Test catalog'!$F$2:$F$200,MATCH($AB118,'Test catalog'!$A$2:$A$200,0))),"")</f>
        <v/>
      </c>
      <c r="L118" s="10">
        <f>IFERROR(IF(INDEX('Test catalog'!$G$2:$G$200,MATCH($AB118,'Test catalog'!$A$2:$A$200,0))="","",INDEX('Test catalog'!$G$2:$G$200,MATCH($AB118,'Test catalog'!$A$2:$A$200,0))),"")</f>
        <v/>
      </c>
      <c r="M118" s="10">
        <f>IFERROR(IF(INDEX('Test catalog'!$H$2:$H$200,MATCH($AB118,'Test catalog'!$A$2:$A$200,0))="","",INDEX('Test catalog'!$H$2:$H$200,MATCH($AB118,'Test catalog'!$A$2:$A$200,0))),"")</f>
        <v/>
      </c>
      <c r="N118" s="10">
        <f>IFERROR(IF(INDEX('Test catalog'!$I$2:$I$200,MATCH($AB118,'Test catalog'!$A$2:$A$200,0))="","",INDEX('Test catalog'!$I$2:$I$200,MATCH($AB118,'Test catalog'!$A$2:$A$200,0))),"")</f>
        <v/>
      </c>
      <c r="O118" s="10">
        <f>IFERROR(IF(INDEX('Test catalog'!$J$2:$J$200,MATCH($AB118,'Test catalog'!$A$2:$A$200,0))="","",INDEX('Test catalog'!$J$2:$J$200,MATCH($AB118,'Test catalog'!$A$2:$A$200,0))),"")</f>
        <v/>
      </c>
      <c r="P118" s="14">
        <f>IF(N118="","",IF(OR(M118="",O118=""),N118,(M118+4*N118+O118)/6))</f>
        <v/>
      </c>
      <c r="Q118" s="10">
        <f>IFERROR(IF(INDEX('Test catalog'!$K$2:$K$200,MATCH($AB118,'Test catalog'!$A$2:$A$200,0))="","",INDEX('Test catalog'!$K$2:$K$200,MATCH($AB118,'Test catalog'!$A$2:$A$200,0))),"")</f>
        <v/>
      </c>
      <c r="R118" s="5" t="n"/>
      <c r="S118" s="10">
        <f>IFERROR(IF(INDEX('Test catalog'!$L$2:$L$200,MATCH($AB118,'Test catalog'!$A$2:$A$200,0))="","",INDEX('Test catalog'!$L$2:$L$200,MATCH($AB118,'Test catalog'!$A$2:$A$200,0))),"")</f>
        <v/>
      </c>
      <c r="T118" s="10">
        <f>IFERROR(IF(INDEX('Test catalog'!$M$2:$M$200,MATCH($AB118,'Test catalog'!$A$2:$A$200,0))="","",INDEX('Test catalog'!$M$2:$M$200,MATCH($AB118,'Test catalog'!$A$2:$A$200,0))),"")</f>
        <v/>
      </c>
      <c r="U118" s="10">
        <f>IFERROR(IF(INDEX('Test catalog'!$N$2:$N$200,MATCH($AB118,'Test catalog'!$A$2:$A$200,0))="","",INDEX('Test catalog'!$N$2:$N$200,MATCH($AB118,'Test catalog'!$A$2:$A$200,0))),"")</f>
        <v/>
      </c>
      <c r="V118" s="15" t="n"/>
      <c r="W118" s="5" t="inlineStr">
        <is>
          <t>N</t>
        </is>
      </c>
      <c r="X118" s="5" t="n"/>
      <c r="Y118" s="5" t="n"/>
      <c r="Z118" s="5" t="n"/>
      <c r="AA118" s="10">
        <f>IFERROR(IF(INDEX('Test catalog'!$O$2:$O$200,MATCH($AB118,'Test catalog'!$A$2:$A$200,0))="","",INDEX('Test catalog'!$O$2:$O$200,MATCH($AB118,'Test catalog'!$A$2:$A$200,0))),"")</f>
        <v/>
      </c>
      <c r="AB118" s="10" t="inlineStr">
        <is>
          <t>IPC</t>
        </is>
      </c>
    </row>
    <row r="119">
      <c r="A119" s="10" t="inlineStr">
        <is>
          <t>F17</t>
        </is>
      </c>
      <c r="B119" s="10" t="inlineStr">
        <is>
          <t>FP</t>
        </is>
      </c>
      <c r="C119" s="10" t="inlineStr">
        <is>
          <t>Dapaglose 10; Dapaglose 5  |  Dapagliflozin Propanediol Monohydrate</t>
        </is>
      </c>
      <c r="D119" s="10" t="inlineStr">
        <is>
          <t>Average weight / uniformity of mass</t>
        </is>
      </c>
      <c r="E119" s="10">
        <f>IF(A119="","",A119&amp;"|"&amp;D119)</f>
        <v/>
      </c>
      <c r="F119" s="5" t="inlineStr">
        <is>
          <t>Y</t>
        </is>
      </c>
      <c r="G119" s="5" t="inlineStr">
        <is>
          <t>Balance</t>
        </is>
      </c>
      <c r="H119" s="5" t="inlineStr">
        <is>
          <t>Low</t>
        </is>
      </c>
      <c r="I119" s="5" t="n">
        <v>1</v>
      </c>
      <c r="J119" s="5" t="n"/>
      <c r="K119" s="10">
        <f>IFERROR(IF(INDEX('Test catalog'!$F$2:$F$200,MATCH($AB119,'Test catalog'!$A$2:$A$200,0))="","",INDEX('Test catalog'!$F$2:$F$200,MATCH($AB119,'Test catalog'!$A$2:$A$200,0))),"")</f>
        <v/>
      </c>
      <c r="L119" s="10">
        <f>IFERROR(IF(INDEX('Test catalog'!$G$2:$G$200,MATCH($AB119,'Test catalog'!$A$2:$A$200,0))="","",INDEX('Test catalog'!$G$2:$G$200,MATCH($AB119,'Test catalog'!$A$2:$A$200,0))),"")</f>
        <v/>
      </c>
      <c r="M119" s="10">
        <f>IFERROR(IF(INDEX('Test catalog'!$H$2:$H$200,MATCH($AB119,'Test catalog'!$A$2:$A$200,0))="","",INDEX('Test catalog'!$H$2:$H$200,MATCH($AB119,'Test catalog'!$A$2:$A$200,0))),"")</f>
        <v/>
      </c>
      <c r="N119" s="10">
        <f>IFERROR(IF(INDEX('Test catalog'!$I$2:$I$200,MATCH($AB119,'Test catalog'!$A$2:$A$200,0))="","",INDEX('Test catalog'!$I$2:$I$200,MATCH($AB119,'Test catalog'!$A$2:$A$200,0))),"")</f>
        <v/>
      </c>
      <c r="O119" s="10">
        <f>IFERROR(IF(INDEX('Test catalog'!$J$2:$J$200,MATCH($AB119,'Test catalog'!$A$2:$A$200,0))="","",INDEX('Test catalog'!$J$2:$J$200,MATCH($AB119,'Test catalog'!$A$2:$A$200,0))),"")</f>
        <v/>
      </c>
      <c r="P119" s="14">
        <f>IF(N119="","",IF(OR(M119="",O119=""),N119,(M119+4*N119+O119)/6))</f>
        <v/>
      </c>
      <c r="Q119" s="10">
        <f>IFERROR(IF(INDEX('Test catalog'!$K$2:$K$200,MATCH($AB119,'Test catalog'!$A$2:$A$200,0))="","",INDEX('Test catalog'!$K$2:$K$200,MATCH($AB119,'Test catalog'!$A$2:$A$200,0))),"")</f>
        <v/>
      </c>
      <c r="R119" s="5" t="n"/>
      <c r="S119" s="10">
        <f>IFERROR(IF(INDEX('Test catalog'!$L$2:$L$200,MATCH($AB119,'Test catalog'!$A$2:$A$200,0))="","",INDEX('Test catalog'!$L$2:$L$200,MATCH($AB119,'Test catalog'!$A$2:$A$200,0))),"")</f>
        <v/>
      </c>
      <c r="T119" s="10">
        <f>IFERROR(IF(INDEX('Test catalog'!$M$2:$M$200,MATCH($AB119,'Test catalog'!$A$2:$A$200,0))="","",INDEX('Test catalog'!$M$2:$M$200,MATCH($AB119,'Test catalog'!$A$2:$A$200,0))),"")</f>
        <v/>
      </c>
      <c r="U119" s="10">
        <f>IFERROR(IF(INDEX('Test catalog'!$N$2:$N$200,MATCH($AB119,'Test catalog'!$A$2:$A$200,0))="","",INDEX('Test catalog'!$N$2:$N$200,MATCH($AB119,'Test catalog'!$A$2:$A$200,0))),"")</f>
        <v/>
      </c>
      <c r="V119" s="15" t="n"/>
      <c r="W119" s="5" t="inlineStr">
        <is>
          <t>N</t>
        </is>
      </c>
      <c r="X119" s="5" t="n"/>
      <c r="Y119" s="5" t="n"/>
      <c r="Z119" s="5" t="n"/>
      <c r="AA119" s="10">
        <f>IFERROR(IF(INDEX('Test catalog'!$O$2:$O$200,MATCH($AB119,'Test catalog'!$A$2:$A$200,0))="","",INDEX('Test catalog'!$O$2:$O$200,MATCH($AB119,'Test catalog'!$A$2:$A$200,0))),"")</f>
        <v/>
      </c>
      <c r="AB119" s="10" t="inlineStr">
        <is>
          <t>AVG_WT</t>
        </is>
      </c>
    </row>
    <row r="120">
      <c r="A120" s="10" t="inlineStr">
        <is>
          <t>F17</t>
        </is>
      </c>
      <c r="B120" s="10" t="inlineStr">
        <is>
          <t>FP</t>
        </is>
      </c>
      <c r="C120" s="10" t="inlineStr">
        <is>
          <t>Dapaglose 10; Dapaglose 5  |  Dapagliflozin Propanediol Monohydrate</t>
        </is>
      </c>
      <c r="D120" s="10" t="inlineStr">
        <is>
          <t>Diameter (or length / width)</t>
        </is>
      </c>
      <c r="E120" s="10">
        <f>IF(A120="","",A120&amp;"|"&amp;D120)</f>
        <v/>
      </c>
      <c r="F120" s="5" t="inlineStr">
        <is>
          <t>Y</t>
        </is>
      </c>
      <c r="G120" s="5" t="inlineStr">
        <is>
          <t>Tablet tester</t>
        </is>
      </c>
      <c r="H120" s="5" t="inlineStr">
        <is>
          <t>Low</t>
        </is>
      </c>
      <c r="I120" s="5" t="n">
        <v>1</v>
      </c>
      <c r="J120" s="5" t="n"/>
      <c r="K120" s="10">
        <f>IFERROR(IF(INDEX('Test catalog'!$F$2:$F$200,MATCH($AB120,'Test catalog'!$A$2:$A$200,0))="","",INDEX('Test catalog'!$F$2:$F$200,MATCH($AB120,'Test catalog'!$A$2:$A$200,0))),"")</f>
        <v/>
      </c>
      <c r="L120" s="10">
        <f>IFERROR(IF(INDEX('Test catalog'!$G$2:$G$200,MATCH($AB120,'Test catalog'!$A$2:$A$200,0))="","",INDEX('Test catalog'!$G$2:$G$200,MATCH($AB120,'Test catalog'!$A$2:$A$200,0))),"")</f>
        <v/>
      </c>
      <c r="M120" s="10">
        <f>IFERROR(IF(INDEX('Test catalog'!$H$2:$H$200,MATCH($AB120,'Test catalog'!$A$2:$A$200,0))="","",INDEX('Test catalog'!$H$2:$H$200,MATCH($AB120,'Test catalog'!$A$2:$A$200,0))),"")</f>
        <v/>
      </c>
      <c r="N120" s="10">
        <f>IFERROR(IF(INDEX('Test catalog'!$I$2:$I$200,MATCH($AB120,'Test catalog'!$A$2:$A$200,0))="","",INDEX('Test catalog'!$I$2:$I$200,MATCH($AB120,'Test catalog'!$A$2:$A$200,0))),"")</f>
        <v/>
      </c>
      <c r="O120" s="10">
        <f>IFERROR(IF(INDEX('Test catalog'!$J$2:$J$200,MATCH($AB120,'Test catalog'!$A$2:$A$200,0))="","",INDEX('Test catalog'!$J$2:$J$200,MATCH($AB120,'Test catalog'!$A$2:$A$200,0))),"")</f>
        <v/>
      </c>
      <c r="P120" s="14">
        <f>IF(N120="","",IF(OR(M120="",O120=""),N120,(M120+4*N120+O120)/6))</f>
        <v/>
      </c>
      <c r="Q120" s="10">
        <f>IFERROR(IF(INDEX('Test catalog'!$K$2:$K$200,MATCH($AB120,'Test catalog'!$A$2:$A$200,0))="","",INDEX('Test catalog'!$K$2:$K$200,MATCH($AB120,'Test catalog'!$A$2:$A$200,0))),"")</f>
        <v/>
      </c>
      <c r="R120" s="5" t="n"/>
      <c r="S120" s="10">
        <f>IFERROR(IF(INDEX('Test catalog'!$L$2:$L$200,MATCH($AB120,'Test catalog'!$A$2:$A$200,0))="","",INDEX('Test catalog'!$L$2:$L$200,MATCH($AB120,'Test catalog'!$A$2:$A$200,0))),"")</f>
        <v/>
      </c>
      <c r="T120" s="10">
        <f>IFERROR(IF(INDEX('Test catalog'!$M$2:$M$200,MATCH($AB120,'Test catalog'!$A$2:$A$200,0))="","",INDEX('Test catalog'!$M$2:$M$200,MATCH($AB120,'Test catalog'!$A$2:$A$200,0))),"")</f>
        <v/>
      </c>
      <c r="U120" s="10">
        <f>IFERROR(IF(INDEX('Test catalog'!$N$2:$N$200,MATCH($AB120,'Test catalog'!$A$2:$A$200,0))="","",INDEX('Test catalog'!$N$2:$N$200,MATCH($AB120,'Test catalog'!$A$2:$A$200,0))),"")</f>
        <v/>
      </c>
      <c r="V120" s="15" t="n"/>
      <c r="W120" s="5" t="inlineStr">
        <is>
          <t>N</t>
        </is>
      </c>
      <c r="X120" s="5" t="n"/>
      <c r="Y120" s="5" t="n"/>
      <c r="Z120" s="5" t="n"/>
      <c r="AA120" s="10">
        <f>IFERROR(IF(INDEX('Test catalog'!$O$2:$O$200,MATCH($AB120,'Test catalog'!$A$2:$A$200,0))="","",INDEX('Test catalog'!$O$2:$O$200,MATCH($AB120,'Test catalog'!$A$2:$A$200,0))),"")</f>
        <v/>
      </c>
      <c r="AB120" s="10" t="inlineStr">
        <is>
          <t>DIAM</t>
        </is>
      </c>
    </row>
    <row r="121">
      <c r="A121" s="10" t="inlineStr">
        <is>
          <t>F17</t>
        </is>
      </c>
      <c r="B121" s="10" t="inlineStr">
        <is>
          <t>FP</t>
        </is>
      </c>
      <c r="C121" s="10" t="inlineStr">
        <is>
          <t>Dapaglose 10; Dapaglose 5  |  Dapagliflozin Propanediol Monohydrate</t>
        </is>
      </c>
      <c r="D121" s="10" t="inlineStr">
        <is>
          <t>Thickness</t>
        </is>
      </c>
      <c r="E121" s="10">
        <f>IF(A121="","",A121&amp;"|"&amp;D121)</f>
        <v/>
      </c>
      <c r="F121" s="5" t="inlineStr">
        <is>
          <t>Y</t>
        </is>
      </c>
      <c r="G121" s="5" t="inlineStr">
        <is>
          <t>Tablet tester</t>
        </is>
      </c>
      <c r="H121" s="5" t="inlineStr">
        <is>
          <t>Low</t>
        </is>
      </c>
      <c r="I121" s="5" t="n">
        <v>1</v>
      </c>
      <c r="J121" s="5" t="n"/>
      <c r="K121" s="10">
        <f>IFERROR(IF(INDEX('Test catalog'!$F$2:$F$200,MATCH($AB121,'Test catalog'!$A$2:$A$200,0))="","",INDEX('Test catalog'!$F$2:$F$200,MATCH($AB121,'Test catalog'!$A$2:$A$200,0))),"")</f>
        <v/>
      </c>
      <c r="L121" s="10">
        <f>IFERROR(IF(INDEX('Test catalog'!$G$2:$G$200,MATCH($AB121,'Test catalog'!$A$2:$A$200,0))="","",INDEX('Test catalog'!$G$2:$G$200,MATCH($AB121,'Test catalog'!$A$2:$A$200,0))),"")</f>
        <v/>
      </c>
      <c r="M121" s="10">
        <f>IFERROR(IF(INDEX('Test catalog'!$H$2:$H$200,MATCH($AB121,'Test catalog'!$A$2:$A$200,0))="","",INDEX('Test catalog'!$H$2:$H$200,MATCH($AB121,'Test catalog'!$A$2:$A$200,0))),"")</f>
        <v/>
      </c>
      <c r="N121" s="10">
        <f>IFERROR(IF(INDEX('Test catalog'!$I$2:$I$200,MATCH($AB121,'Test catalog'!$A$2:$A$200,0))="","",INDEX('Test catalog'!$I$2:$I$200,MATCH($AB121,'Test catalog'!$A$2:$A$200,0))),"")</f>
        <v/>
      </c>
      <c r="O121" s="10">
        <f>IFERROR(IF(INDEX('Test catalog'!$J$2:$J$200,MATCH($AB121,'Test catalog'!$A$2:$A$200,0))="","",INDEX('Test catalog'!$J$2:$J$200,MATCH($AB121,'Test catalog'!$A$2:$A$200,0))),"")</f>
        <v/>
      </c>
      <c r="P121" s="14">
        <f>IF(N121="","",IF(OR(M121="",O121=""),N121,(M121+4*N121+O121)/6))</f>
        <v/>
      </c>
      <c r="Q121" s="10">
        <f>IFERROR(IF(INDEX('Test catalog'!$K$2:$K$200,MATCH($AB121,'Test catalog'!$A$2:$A$200,0))="","",INDEX('Test catalog'!$K$2:$K$200,MATCH($AB121,'Test catalog'!$A$2:$A$200,0))),"")</f>
        <v/>
      </c>
      <c r="R121" s="5" t="n"/>
      <c r="S121" s="10">
        <f>IFERROR(IF(INDEX('Test catalog'!$L$2:$L$200,MATCH($AB121,'Test catalog'!$A$2:$A$200,0))="","",INDEX('Test catalog'!$L$2:$L$200,MATCH($AB121,'Test catalog'!$A$2:$A$200,0))),"")</f>
        <v/>
      </c>
      <c r="T121" s="10">
        <f>IFERROR(IF(INDEX('Test catalog'!$M$2:$M$200,MATCH($AB121,'Test catalog'!$A$2:$A$200,0))="","",INDEX('Test catalog'!$M$2:$M$200,MATCH($AB121,'Test catalog'!$A$2:$A$200,0))),"")</f>
        <v/>
      </c>
      <c r="U121" s="10">
        <f>IFERROR(IF(INDEX('Test catalog'!$N$2:$N$200,MATCH($AB121,'Test catalog'!$A$2:$A$200,0))="","",INDEX('Test catalog'!$N$2:$N$200,MATCH($AB121,'Test catalog'!$A$2:$A$200,0))),"")</f>
        <v/>
      </c>
      <c r="V121" s="15" t="n"/>
      <c r="W121" s="5" t="inlineStr">
        <is>
          <t>N</t>
        </is>
      </c>
      <c r="X121" s="5" t="n"/>
      <c r="Y121" s="5" t="n"/>
      <c r="Z121" s="5" t="n"/>
      <c r="AA121" s="10">
        <f>IFERROR(IF(INDEX('Test catalog'!$O$2:$O$200,MATCH($AB121,'Test catalog'!$A$2:$A$200,0))="","",INDEX('Test catalog'!$O$2:$O$200,MATCH($AB121,'Test catalog'!$A$2:$A$200,0))),"")</f>
        <v/>
      </c>
      <c r="AB121" s="10" t="inlineStr">
        <is>
          <t>THICK</t>
        </is>
      </c>
    </row>
    <row r="122">
      <c r="A122" s="10" t="inlineStr">
        <is>
          <t>F17</t>
        </is>
      </c>
      <c r="B122" s="10" t="inlineStr">
        <is>
          <t>FP</t>
        </is>
      </c>
      <c r="C122" s="10" t="inlineStr">
        <is>
          <t>Dapaglose 10; Dapaglose 5  |  Dapagliflozin Propanediol Monohydrate</t>
        </is>
      </c>
      <c r="D122" s="10" t="inlineStr">
        <is>
          <t>Hardness / breaking force</t>
        </is>
      </c>
      <c r="E122" s="10">
        <f>IF(A122="","",A122&amp;"|"&amp;D122)</f>
        <v/>
      </c>
      <c r="F122" s="5" t="inlineStr">
        <is>
          <t>Y</t>
        </is>
      </c>
      <c r="G122" s="5" t="inlineStr">
        <is>
          <t>Tablet tester</t>
        </is>
      </c>
      <c r="H122" s="5" t="inlineStr">
        <is>
          <t>Low</t>
        </is>
      </c>
      <c r="I122" s="5" t="n">
        <v>1</v>
      </c>
      <c r="J122" s="5" t="n"/>
      <c r="K122" s="10">
        <f>IFERROR(IF(INDEX('Test catalog'!$F$2:$F$200,MATCH($AB122,'Test catalog'!$A$2:$A$200,0))="","",INDEX('Test catalog'!$F$2:$F$200,MATCH($AB122,'Test catalog'!$A$2:$A$200,0))),"")</f>
        <v/>
      </c>
      <c r="L122" s="10">
        <f>IFERROR(IF(INDEX('Test catalog'!$G$2:$G$200,MATCH($AB122,'Test catalog'!$A$2:$A$200,0))="","",INDEX('Test catalog'!$G$2:$G$200,MATCH($AB122,'Test catalog'!$A$2:$A$200,0))),"")</f>
        <v/>
      </c>
      <c r="M122" s="10">
        <f>IFERROR(IF(INDEX('Test catalog'!$H$2:$H$200,MATCH($AB122,'Test catalog'!$A$2:$A$200,0))="","",INDEX('Test catalog'!$H$2:$H$200,MATCH($AB122,'Test catalog'!$A$2:$A$200,0))),"")</f>
        <v/>
      </c>
      <c r="N122" s="10">
        <f>IFERROR(IF(INDEX('Test catalog'!$I$2:$I$200,MATCH($AB122,'Test catalog'!$A$2:$A$200,0))="","",INDEX('Test catalog'!$I$2:$I$200,MATCH($AB122,'Test catalog'!$A$2:$A$200,0))),"")</f>
        <v/>
      </c>
      <c r="O122" s="10">
        <f>IFERROR(IF(INDEX('Test catalog'!$J$2:$J$200,MATCH($AB122,'Test catalog'!$A$2:$A$200,0))="","",INDEX('Test catalog'!$J$2:$J$200,MATCH($AB122,'Test catalog'!$A$2:$A$200,0))),"")</f>
        <v/>
      </c>
      <c r="P122" s="14">
        <f>IF(N122="","",IF(OR(M122="",O122=""),N122,(M122+4*N122+O122)/6))</f>
        <v/>
      </c>
      <c r="Q122" s="10">
        <f>IFERROR(IF(INDEX('Test catalog'!$K$2:$K$200,MATCH($AB122,'Test catalog'!$A$2:$A$200,0))="","",INDEX('Test catalog'!$K$2:$K$200,MATCH($AB122,'Test catalog'!$A$2:$A$200,0))),"")</f>
        <v/>
      </c>
      <c r="R122" s="5" t="n"/>
      <c r="S122" s="10">
        <f>IFERROR(IF(INDEX('Test catalog'!$L$2:$L$200,MATCH($AB122,'Test catalog'!$A$2:$A$200,0))="","",INDEX('Test catalog'!$L$2:$L$200,MATCH($AB122,'Test catalog'!$A$2:$A$200,0))),"")</f>
        <v/>
      </c>
      <c r="T122" s="10">
        <f>IFERROR(IF(INDEX('Test catalog'!$M$2:$M$200,MATCH($AB122,'Test catalog'!$A$2:$A$200,0))="","",INDEX('Test catalog'!$M$2:$M$200,MATCH($AB122,'Test catalog'!$A$2:$A$200,0))),"")</f>
        <v/>
      </c>
      <c r="U122" s="10">
        <f>IFERROR(IF(INDEX('Test catalog'!$N$2:$N$200,MATCH($AB122,'Test catalog'!$A$2:$A$200,0))="","",INDEX('Test catalog'!$N$2:$N$200,MATCH($AB122,'Test catalog'!$A$2:$A$200,0))),"")</f>
        <v/>
      </c>
      <c r="V122" s="15" t="n"/>
      <c r="W122" s="5" t="inlineStr">
        <is>
          <t>Y</t>
        </is>
      </c>
      <c r="X122" s="5" t="n"/>
      <c r="Y122" s="5" t="n"/>
      <c r="Z122" s="5" t="n"/>
      <c r="AA122" s="10">
        <f>IFERROR(IF(INDEX('Test catalog'!$O$2:$O$200,MATCH($AB122,'Test catalog'!$A$2:$A$200,0))="","",INDEX('Test catalog'!$O$2:$O$200,MATCH($AB122,'Test catalog'!$A$2:$A$200,0))),"")</f>
        <v/>
      </c>
      <c r="AB122" s="10" t="inlineStr">
        <is>
          <t>HARD</t>
        </is>
      </c>
    </row>
    <row r="123">
      <c r="A123" s="10" t="inlineStr">
        <is>
          <t>F17</t>
        </is>
      </c>
      <c r="B123" s="10" t="inlineStr">
        <is>
          <t>FP</t>
        </is>
      </c>
      <c r="C123" s="10" t="inlineStr">
        <is>
          <t>Dapaglose 10; Dapaglose 5  |  Dapagliflozin Propanediol Monohydrate</t>
        </is>
      </c>
      <c r="D123" s="10" t="inlineStr">
        <is>
          <t>Brittleness</t>
        </is>
      </c>
      <c r="E123" s="10">
        <f>IF(A123="","",A123&amp;"|"&amp;D123)</f>
        <v/>
      </c>
      <c r="F123" s="5" t="inlineStr">
        <is>
          <t>Y</t>
        </is>
      </c>
      <c r="G123" s="5" t="inlineStr">
        <is>
          <t>Other / bench</t>
        </is>
      </c>
      <c r="H123" s="5" t="inlineStr">
        <is>
          <t>Low</t>
        </is>
      </c>
      <c r="I123" s="5" t="n">
        <v>1</v>
      </c>
      <c r="J123" s="5" t="n"/>
      <c r="K123" s="10">
        <f>IFERROR(IF(INDEX('Test catalog'!$F$2:$F$200,MATCH($AB123,'Test catalog'!$A$2:$A$200,0))="","",INDEX('Test catalog'!$F$2:$F$200,MATCH($AB123,'Test catalog'!$A$2:$A$200,0))),"")</f>
        <v/>
      </c>
      <c r="L123" s="10">
        <f>IFERROR(IF(INDEX('Test catalog'!$G$2:$G$200,MATCH($AB123,'Test catalog'!$A$2:$A$200,0))="","",INDEX('Test catalog'!$G$2:$G$200,MATCH($AB123,'Test catalog'!$A$2:$A$200,0))),"")</f>
        <v/>
      </c>
      <c r="M123" s="10">
        <f>IFERROR(IF(INDEX('Test catalog'!$H$2:$H$200,MATCH($AB123,'Test catalog'!$A$2:$A$200,0))="","",INDEX('Test catalog'!$H$2:$H$200,MATCH($AB123,'Test catalog'!$A$2:$A$200,0))),"")</f>
        <v/>
      </c>
      <c r="N123" s="10">
        <f>IFERROR(IF(INDEX('Test catalog'!$I$2:$I$200,MATCH($AB123,'Test catalog'!$A$2:$A$200,0))="","",INDEX('Test catalog'!$I$2:$I$200,MATCH($AB123,'Test catalog'!$A$2:$A$200,0))),"")</f>
        <v/>
      </c>
      <c r="O123" s="10">
        <f>IFERROR(IF(INDEX('Test catalog'!$J$2:$J$200,MATCH($AB123,'Test catalog'!$A$2:$A$200,0))="","",INDEX('Test catalog'!$J$2:$J$200,MATCH($AB123,'Test catalog'!$A$2:$A$200,0))),"")</f>
        <v/>
      </c>
      <c r="P123" s="14">
        <f>IF(N123="","",IF(OR(M123="",O123=""),N123,(M123+4*N123+O123)/6))</f>
        <v/>
      </c>
      <c r="Q123" s="10">
        <f>IFERROR(IF(INDEX('Test catalog'!$K$2:$K$200,MATCH($AB123,'Test catalog'!$A$2:$A$200,0))="","",INDEX('Test catalog'!$K$2:$K$200,MATCH($AB123,'Test catalog'!$A$2:$A$200,0))),"")</f>
        <v/>
      </c>
      <c r="R123" s="5" t="n"/>
      <c r="S123" s="10">
        <f>IFERROR(IF(INDEX('Test catalog'!$L$2:$L$200,MATCH($AB123,'Test catalog'!$A$2:$A$200,0))="","",INDEX('Test catalog'!$L$2:$L$200,MATCH($AB123,'Test catalog'!$A$2:$A$200,0))),"")</f>
        <v/>
      </c>
      <c r="T123" s="10">
        <f>IFERROR(IF(INDEX('Test catalog'!$M$2:$M$200,MATCH($AB123,'Test catalog'!$A$2:$A$200,0))="","",INDEX('Test catalog'!$M$2:$M$200,MATCH($AB123,'Test catalog'!$A$2:$A$200,0))),"")</f>
        <v/>
      </c>
      <c r="U123" s="10">
        <f>IFERROR(IF(INDEX('Test catalog'!$N$2:$N$200,MATCH($AB123,'Test catalog'!$A$2:$A$200,0))="","",INDEX('Test catalog'!$N$2:$N$200,MATCH($AB123,'Test catalog'!$A$2:$A$200,0))),"")</f>
        <v/>
      </c>
      <c r="V123" s="15" t="n"/>
      <c r="W123" s="5" t="inlineStr">
        <is>
          <t>N</t>
        </is>
      </c>
      <c r="X123" s="5" t="n"/>
      <c r="Y123" s="5" t="n"/>
      <c r="Z123" s="5" t="n"/>
      <c r="AA123" s="10">
        <f>IFERROR(IF(INDEX('Test catalog'!$O$2:$O$200,MATCH($AB123,'Test catalog'!$A$2:$A$200,0))="","",INDEX('Test catalog'!$O$2:$O$200,MATCH($AB123,'Test catalog'!$A$2:$A$200,0))),"")</f>
        <v/>
      </c>
      <c r="AB123" s="10" t="inlineStr">
        <is>
          <t>BRITTLE</t>
        </is>
      </c>
    </row>
    <row r="124">
      <c r="A124" s="10" t="inlineStr">
        <is>
          <t>F17</t>
        </is>
      </c>
      <c r="B124" s="10" t="inlineStr">
        <is>
          <t>FP</t>
        </is>
      </c>
      <c r="C124" s="10" t="inlineStr">
        <is>
          <t>Dapaglose 10; Dapaglose 5  |  Dapagliflozin Propanediol Monohydrate</t>
        </is>
      </c>
      <c r="D124" s="10" t="inlineStr">
        <is>
          <t>Friability</t>
        </is>
      </c>
      <c r="E124" s="10">
        <f>IF(A124="","",A124&amp;"|"&amp;D124)</f>
        <v/>
      </c>
      <c r="F124" s="5" t="inlineStr">
        <is>
          <t>Y</t>
        </is>
      </c>
      <c r="G124" s="5" t="inlineStr">
        <is>
          <t>Friabilator</t>
        </is>
      </c>
      <c r="H124" s="5" t="inlineStr">
        <is>
          <t>Low</t>
        </is>
      </c>
      <c r="I124" s="5" t="n">
        <v>1</v>
      </c>
      <c r="J124" s="5" t="n"/>
      <c r="K124" s="10">
        <f>IFERROR(IF(INDEX('Test catalog'!$F$2:$F$200,MATCH($AB124,'Test catalog'!$A$2:$A$200,0))="","",INDEX('Test catalog'!$F$2:$F$200,MATCH($AB124,'Test catalog'!$A$2:$A$200,0))),"")</f>
        <v/>
      </c>
      <c r="L124" s="10">
        <f>IFERROR(IF(INDEX('Test catalog'!$G$2:$G$200,MATCH($AB124,'Test catalog'!$A$2:$A$200,0))="","",INDEX('Test catalog'!$G$2:$G$200,MATCH($AB124,'Test catalog'!$A$2:$A$200,0))),"")</f>
        <v/>
      </c>
      <c r="M124" s="10">
        <f>IFERROR(IF(INDEX('Test catalog'!$H$2:$H$200,MATCH($AB124,'Test catalog'!$A$2:$A$200,0))="","",INDEX('Test catalog'!$H$2:$H$200,MATCH($AB124,'Test catalog'!$A$2:$A$200,0))),"")</f>
        <v/>
      </c>
      <c r="N124" s="10">
        <f>IFERROR(IF(INDEX('Test catalog'!$I$2:$I$200,MATCH($AB124,'Test catalog'!$A$2:$A$200,0))="","",INDEX('Test catalog'!$I$2:$I$200,MATCH($AB124,'Test catalog'!$A$2:$A$200,0))),"")</f>
        <v/>
      </c>
      <c r="O124" s="10">
        <f>IFERROR(IF(INDEX('Test catalog'!$J$2:$J$200,MATCH($AB124,'Test catalog'!$A$2:$A$200,0))="","",INDEX('Test catalog'!$J$2:$J$200,MATCH($AB124,'Test catalog'!$A$2:$A$200,0))),"")</f>
        <v/>
      </c>
      <c r="P124" s="14">
        <f>IF(N124="","",IF(OR(M124="",O124=""),N124,(M124+4*N124+O124)/6))</f>
        <v/>
      </c>
      <c r="Q124" s="10">
        <f>IFERROR(IF(INDEX('Test catalog'!$K$2:$K$200,MATCH($AB124,'Test catalog'!$A$2:$A$200,0))="","",INDEX('Test catalog'!$K$2:$K$200,MATCH($AB124,'Test catalog'!$A$2:$A$200,0))),"")</f>
        <v/>
      </c>
      <c r="R124" s="5" t="n"/>
      <c r="S124" s="10">
        <f>IFERROR(IF(INDEX('Test catalog'!$L$2:$L$200,MATCH($AB124,'Test catalog'!$A$2:$A$200,0))="","",INDEX('Test catalog'!$L$2:$L$200,MATCH($AB124,'Test catalog'!$A$2:$A$200,0))),"")</f>
        <v/>
      </c>
      <c r="T124" s="10">
        <f>IFERROR(IF(INDEX('Test catalog'!$M$2:$M$200,MATCH($AB124,'Test catalog'!$A$2:$A$200,0))="","",INDEX('Test catalog'!$M$2:$M$200,MATCH($AB124,'Test catalog'!$A$2:$A$200,0))),"")</f>
        <v/>
      </c>
      <c r="U124" s="10">
        <f>IFERROR(IF(INDEX('Test catalog'!$N$2:$N$200,MATCH($AB124,'Test catalog'!$A$2:$A$200,0))="","",INDEX('Test catalog'!$N$2:$N$200,MATCH($AB124,'Test catalog'!$A$2:$A$200,0))),"")</f>
        <v/>
      </c>
      <c r="V124" s="15" t="n"/>
      <c r="W124" s="5" t="inlineStr">
        <is>
          <t>N</t>
        </is>
      </c>
      <c r="X124" s="5" t="n"/>
      <c r="Y124" s="5" t="n"/>
      <c r="Z124" s="5" t="n"/>
      <c r="AA124" s="10">
        <f>IFERROR(IF(INDEX('Test catalog'!$O$2:$O$200,MATCH($AB124,'Test catalog'!$A$2:$A$200,0))="","",INDEX('Test catalog'!$O$2:$O$200,MATCH($AB124,'Test catalog'!$A$2:$A$200,0))),"")</f>
        <v/>
      </c>
      <c r="AB124" s="10" t="inlineStr">
        <is>
          <t>FRIAB</t>
        </is>
      </c>
    </row>
    <row r="125">
      <c r="A125" s="10" t="inlineStr">
        <is>
          <t>F17</t>
        </is>
      </c>
      <c r="B125" s="10" t="inlineStr">
        <is>
          <t>FP</t>
        </is>
      </c>
      <c r="C125" s="10" t="inlineStr">
        <is>
          <t>Dapaglose 10; Dapaglose 5  |  Dapagliflozin Propanediol Monohydrate</t>
        </is>
      </c>
      <c r="D125" s="10" t="inlineStr">
        <is>
          <t>Disintegration</t>
        </is>
      </c>
      <c r="E125" s="10">
        <f>IF(A125="","",A125&amp;"|"&amp;D125)</f>
        <v/>
      </c>
      <c r="F125" s="5" t="inlineStr">
        <is>
          <t>Y</t>
        </is>
      </c>
      <c r="G125" s="5" t="inlineStr">
        <is>
          <t>Disintegration tester</t>
        </is>
      </c>
      <c r="H125" s="5" t="inlineStr">
        <is>
          <t>Low</t>
        </is>
      </c>
      <c r="I125" s="5" t="n">
        <v>1</v>
      </c>
      <c r="J125" s="5" t="n"/>
      <c r="K125" s="10">
        <f>IFERROR(IF(INDEX('Test catalog'!$F$2:$F$200,MATCH($AB125,'Test catalog'!$A$2:$A$200,0))="","",INDEX('Test catalog'!$F$2:$F$200,MATCH($AB125,'Test catalog'!$A$2:$A$200,0))),"")</f>
        <v/>
      </c>
      <c r="L125" s="10">
        <f>IFERROR(IF(INDEX('Test catalog'!$G$2:$G$200,MATCH($AB125,'Test catalog'!$A$2:$A$200,0))="","",INDEX('Test catalog'!$G$2:$G$200,MATCH($AB125,'Test catalog'!$A$2:$A$200,0))),"")</f>
        <v/>
      </c>
      <c r="M125" s="10">
        <f>IFERROR(IF(INDEX('Test catalog'!$H$2:$H$200,MATCH($AB125,'Test catalog'!$A$2:$A$200,0))="","",INDEX('Test catalog'!$H$2:$H$200,MATCH($AB125,'Test catalog'!$A$2:$A$200,0))),"")</f>
        <v/>
      </c>
      <c r="N125" s="10">
        <f>IFERROR(IF(INDEX('Test catalog'!$I$2:$I$200,MATCH($AB125,'Test catalog'!$A$2:$A$200,0))="","",INDEX('Test catalog'!$I$2:$I$200,MATCH($AB125,'Test catalog'!$A$2:$A$200,0))),"")</f>
        <v/>
      </c>
      <c r="O125" s="10">
        <f>IFERROR(IF(INDEX('Test catalog'!$J$2:$J$200,MATCH($AB125,'Test catalog'!$A$2:$A$200,0))="","",INDEX('Test catalog'!$J$2:$J$200,MATCH($AB125,'Test catalog'!$A$2:$A$200,0))),"")</f>
        <v/>
      </c>
      <c r="P125" s="14">
        <f>IF(N125="","",IF(OR(M125="",O125=""),N125,(M125+4*N125+O125)/6))</f>
        <v/>
      </c>
      <c r="Q125" s="10">
        <f>IFERROR(IF(INDEX('Test catalog'!$K$2:$K$200,MATCH($AB125,'Test catalog'!$A$2:$A$200,0))="","",INDEX('Test catalog'!$K$2:$K$200,MATCH($AB125,'Test catalog'!$A$2:$A$200,0))),"")</f>
        <v/>
      </c>
      <c r="R125" s="5" t="n"/>
      <c r="S125" s="10">
        <f>IFERROR(IF(INDEX('Test catalog'!$L$2:$L$200,MATCH($AB125,'Test catalog'!$A$2:$A$200,0))="","",INDEX('Test catalog'!$L$2:$L$200,MATCH($AB125,'Test catalog'!$A$2:$A$200,0))),"")</f>
        <v/>
      </c>
      <c r="T125" s="10">
        <f>IFERROR(IF(INDEX('Test catalog'!$M$2:$M$200,MATCH($AB125,'Test catalog'!$A$2:$A$200,0))="","",INDEX('Test catalog'!$M$2:$M$200,MATCH($AB125,'Test catalog'!$A$2:$A$200,0))),"")</f>
        <v/>
      </c>
      <c r="U125" s="10">
        <f>IFERROR(IF(INDEX('Test catalog'!$N$2:$N$200,MATCH($AB125,'Test catalog'!$A$2:$A$200,0))="","",INDEX('Test catalog'!$N$2:$N$200,MATCH($AB125,'Test catalog'!$A$2:$A$200,0))),"")</f>
        <v/>
      </c>
      <c r="V125" s="15" t="n"/>
      <c r="W125" s="5" t="inlineStr">
        <is>
          <t>Y</t>
        </is>
      </c>
      <c r="X125" s="5" t="n"/>
      <c r="Y125" s="5" t="n"/>
      <c r="Z125" s="5" t="n"/>
      <c r="AA125" s="10">
        <f>IFERROR(IF(INDEX('Test catalog'!$O$2:$O$200,MATCH($AB125,'Test catalog'!$A$2:$A$200,0))="","",INDEX('Test catalog'!$O$2:$O$200,MATCH($AB125,'Test catalog'!$A$2:$A$200,0))),"")</f>
        <v/>
      </c>
      <c r="AB125" s="10" t="inlineStr">
        <is>
          <t>DISINT</t>
        </is>
      </c>
    </row>
    <row r="126">
      <c r="A126" s="10" t="inlineStr">
        <is>
          <t>F17</t>
        </is>
      </c>
      <c r="B126" s="10" t="inlineStr">
        <is>
          <t>FP</t>
        </is>
      </c>
      <c r="C126" s="10" t="inlineStr">
        <is>
          <t>Dapaglose 10; Dapaglose 5  |  Dapagliflozin Propanediol Monohydrate</t>
        </is>
      </c>
      <c r="D126" s="10" t="inlineStr">
        <is>
          <t>In-process check at the machine (one check, all its tests)</t>
        </is>
      </c>
      <c r="E126" s="10">
        <f>IF(A126="","",A126&amp;"|"&amp;D126)</f>
        <v/>
      </c>
      <c r="F126" s="5" t="inlineStr">
        <is>
          <t>Y</t>
        </is>
      </c>
      <c r="G126" s="5" t="inlineStr">
        <is>
          <t>Tablet tester</t>
        </is>
      </c>
      <c r="H126" s="5" t="inlineStr">
        <is>
          <t>Low</t>
        </is>
      </c>
      <c r="I126" s="5" t="n">
        <v>1</v>
      </c>
      <c r="J126" s="5" t="n"/>
      <c r="K126" s="10">
        <f>IFERROR(IF(INDEX('Test catalog'!$F$2:$F$200,MATCH($AB126,'Test catalog'!$A$2:$A$200,0))="","",INDEX('Test catalog'!$F$2:$F$200,MATCH($AB126,'Test catalog'!$A$2:$A$200,0))),"")</f>
        <v/>
      </c>
      <c r="L126" s="10">
        <f>IFERROR(IF(INDEX('Test catalog'!$G$2:$G$200,MATCH($AB126,'Test catalog'!$A$2:$A$200,0))="","",INDEX('Test catalog'!$G$2:$G$200,MATCH($AB126,'Test catalog'!$A$2:$A$200,0))),"")</f>
        <v/>
      </c>
      <c r="M126" s="10">
        <f>IFERROR(IF(INDEX('Test catalog'!$H$2:$H$200,MATCH($AB126,'Test catalog'!$A$2:$A$200,0))="","",INDEX('Test catalog'!$H$2:$H$200,MATCH($AB126,'Test catalog'!$A$2:$A$200,0))),"")</f>
        <v/>
      </c>
      <c r="N126" s="10">
        <f>IFERROR(IF(INDEX('Test catalog'!$I$2:$I$200,MATCH($AB126,'Test catalog'!$A$2:$A$200,0))="","",INDEX('Test catalog'!$I$2:$I$200,MATCH($AB126,'Test catalog'!$A$2:$A$200,0))),"")</f>
        <v/>
      </c>
      <c r="O126" s="10">
        <f>IFERROR(IF(INDEX('Test catalog'!$J$2:$J$200,MATCH($AB126,'Test catalog'!$A$2:$A$200,0))="","",INDEX('Test catalog'!$J$2:$J$200,MATCH($AB126,'Test catalog'!$A$2:$A$200,0))),"")</f>
        <v/>
      </c>
      <c r="P126" s="14">
        <f>IF(N126="","",IF(OR(M126="",O126=""),N126,(M126+4*N126+O126)/6))</f>
        <v/>
      </c>
      <c r="Q126" s="10">
        <f>IFERROR(IF(INDEX('Test catalog'!$K$2:$K$200,MATCH($AB126,'Test catalog'!$A$2:$A$200,0))="","",INDEX('Test catalog'!$K$2:$K$200,MATCH($AB126,'Test catalog'!$A$2:$A$200,0))),"")</f>
        <v/>
      </c>
      <c r="R126" s="5" t="n"/>
      <c r="S126" s="10">
        <f>IFERROR(IF(INDEX('Test catalog'!$L$2:$L$200,MATCH($AB126,'Test catalog'!$A$2:$A$200,0))="","",INDEX('Test catalog'!$L$2:$L$200,MATCH($AB126,'Test catalog'!$A$2:$A$200,0))),"")</f>
        <v/>
      </c>
      <c r="T126" s="10">
        <f>IFERROR(IF(INDEX('Test catalog'!$M$2:$M$200,MATCH($AB126,'Test catalog'!$A$2:$A$200,0))="","",INDEX('Test catalog'!$M$2:$M$200,MATCH($AB126,'Test catalog'!$A$2:$A$200,0))),"")</f>
        <v/>
      </c>
      <c r="U126" s="10">
        <f>IFERROR(IF(INDEX('Test catalog'!$N$2:$N$200,MATCH($AB126,'Test catalog'!$A$2:$A$200,0))="","",INDEX('Test catalog'!$N$2:$N$200,MATCH($AB126,'Test catalog'!$A$2:$A$200,0))),"")</f>
        <v/>
      </c>
      <c r="V126" s="15" t="n"/>
      <c r="W126" s="5" t="inlineStr">
        <is>
          <t>N</t>
        </is>
      </c>
      <c r="X126" s="5" t="n"/>
      <c r="Y126" s="5" t="n"/>
      <c r="Z126" s="5" t="n"/>
      <c r="AA126" s="10">
        <f>IFERROR(IF(INDEX('Test catalog'!$O$2:$O$200,MATCH($AB126,'Test catalog'!$A$2:$A$200,0))="","",INDEX('Test catalog'!$O$2:$O$200,MATCH($AB126,'Test catalog'!$A$2:$A$200,0))),"")</f>
        <v/>
      </c>
      <c r="AB126" s="10" t="inlineStr">
        <is>
          <t>IPC</t>
        </is>
      </c>
    </row>
    <row r="127">
      <c r="A127" s="10" t="inlineStr">
        <is>
          <t>F18</t>
        </is>
      </c>
      <c r="B127" s="10" t="inlineStr">
        <is>
          <t>FP</t>
        </is>
      </c>
      <c r="C127" s="10" t="inlineStr">
        <is>
          <t>Taglida Duo 2.5/1000; Taglida Duo 2.5/500  |  Metformin Hydrochloride, Linagliptin (+1 more)</t>
        </is>
      </c>
      <c r="D127" s="10" t="inlineStr">
        <is>
          <t>Average weight / uniformity of mass</t>
        </is>
      </c>
      <c r="E127" s="10">
        <f>IF(A127="","",A127&amp;"|"&amp;D127)</f>
        <v/>
      </c>
      <c r="F127" s="5" t="inlineStr">
        <is>
          <t>Y</t>
        </is>
      </c>
      <c r="G127" s="5" t="inlineStr">
        <is>
          <t>Balance</t>
        </is>
      </c>
      <c r="H127" s="5" t="inlineStr">
        <is>
          <t>Low</t>
        </is>
      </c>
      <c r="I127" s="5" t="n">
        <v>1</v>
      </c>
      <c r="J127" s="5" t="n"/>
      <c r="K127" s="10">
        <f>IFERROR(IF(INDEX('Test catalog'!$F$2:$F$200,MATCH($AB127,'Test catalog'!$A$2:$A$200,0))="","",INDEX('Test catalog'!$F$2:$F$200,MATCH($AB127,'Test catalog'!$A$2:$A$200,0))),"")</f>
        <v/>
      </c>
      <c r="L127" s="10">
        <f>IFERROR(IF(INDEX('Test catalog'!$G$2:$G$200,MATCH($AB127,'Test catalog'!$A$2:$A$200,0))="","",INDEX('Test catalog'!$G$2:$G$200,MATCH($AB127,'Test catalog'!$A$2:$A$200,0))),"")</f>
        <v/>
      </c>
      <c r="M127" s="10">
        <f>IFERROR(IF(INDEX('Test catalog'!$H$2:$H$200,MATCH($AB127,'Test catalog'!$A$2:$A$200,0))="","",INDEX('Test catalog'!$H$2:$H$200,MATCH($AB127,'Test catalog'!$A$2:$A$200,0))),"")</f>
        <v/>
      </c>
      <c r="N127" s="10">
        <f>IFERROR(IF(INDEX('Test catalog'!$I$2:$I$200,MATCH($AB127,'Test catalog'!$A$2:$A$200,0))="","",INDEX('Test catalog'!$I$2:$I$200,MATCH($AB127,'Test catalog'!$A$2:$A$200,0))),"")</f>
        <v/>
      </c>
      <c r="O127" s="10">
        <f>IFERROR(IF(INDEX('Test catalog'!$J$2:$J$200,MATCH($AB127,'Test catalog'!$A$2:$A$200,0))="","",INDEX('Test catalog'!$J$2:$J$200,MATCH($AB127,'Test catalog'!$A$2:$A$200,0))),"")</f>
        <v/>
      </c>
      <c r="P127" s="14">
        <f>IF(N127="","",IF(OR(M127="",O127=""),N127,(M127+4*N127+O127)/6))</f>
        <v/>
      </c>
      <c r="Q127" s="10">
        <f>IFERROR(IF(INDEX('Test catalog'!$K$2:$K$200,MATCH($AB127,'Test catalog'!$A$2:$A$200,0))="","",INDEX('Test catalog'!$K$2:$K$200,MATCH($AB127,'Test catalog'!$A$2:$A$200,0))),"")</f>
        <v/>
      </c>
      <c r="R127" s="5" t="n"/>
      <c r="S127" s="10">
        <f>IFERROR(IF(INDEX('Test catalog'!$L$2:$L$200,MATCH($AB127,'Test catalog'!$A$2:$A$200,0))="","",INDEX('Test catalog'!$L$2:$L$200,MATCH($AB127,'Test catalog'!$A$2:$A$200,0))),"")</f>
        <v/>
      </c>
      <c r="T127" s="10">
        <f>IFERROR(IF(INDEX('Test catalog'!$M$2:$M$200,MATCH($AB127,'Test catalog'!$A$2:$A$200,0))="","",INDEX('Test catalog'!$M$2:$M$200,MATCH($AB127,'Test catalog'!$A$2:$A$200,0))),"")</f>
        <v/>
      </c>
      <c r="U127" s="10">
        <f>IFERROR(IF(INDEX('Test catalog'!$N$2:$N$200,MATCH($AB127,'Test catalog'!$A$2:$A$200,0))="","",INDEX('Test catalog'!$N$2:$N$200,MATCH($AB127,'Test catalog'!$A$2:$A$200,0))),"")</f>
        <v/>
      </c>
      <c r="V127" s="15" t="n"/>
      <c r="W127" s="5" t="inlineStr">
        <is>
          <t>N</t>
        </is>
      </c>
      <c r="X127" s="5" t="n"/>
      <c r="Y127" s="5" t="n"/>
      <c r="Z127" s="5" t="n"/>
      <c r="AA127" s="10">
        <f>IFERROR(IF(INDEX('Test catalog'!$O$2:$O$200,MATCH($AB127,'Test catalog'!$A$2:$A$200,0))="","",INDEX('Test catalog'!$O$2:$O$200,MATCH($AB127,'Test catalog'!$A$2:$A$200,0))),"")</f>
        <v/>
      </c>
      <c r="AB127" s="10" t="inlineStr">
        <is>
          <t>AVG_WT</t>
        </is>
      </c>
    </row>
    <row r="128">
      <c r="A128" s="10" t="inlineStr">
        <is>
          <t>F18</t>
        </is>
      </c>
      <c r="B128" s="10" t="inlineStr">
        <is>
          <t>FP</t>
        </is>
      </c>
      <c r="C128" s="10" t="inlineStr">
        <is>
          <t>Taglida Duo 2.5/1000; Taglida Duo 2.5/500  |  Metformin Hydrochloride, Linagliptin (+1 more)</t>
        </is>
      </c>
      <c r="D128" s="10" t="inlineStr">
        <is>
          <t>Diameter (or length / width)</t>
        </is>
      </c>
      <c r="E128" s="10">
        <f>IF(A128="","",A128&amp;"|"&amp;D128)</f>
        <v/>
      </c>
      <c r="F128" s="5" t="inlineStr">
        <is>
          <t>Y</t>
        </is>
      </c>
      <c r="G128" s="5" t="inlineStr">
        <is>
          <t>Tablet tester</t>
        </is>
      </c>
      <c r="H128" s="5" t="inlineStr">
        <is>
          <t>Low</t>
        </is>
      </c>
      <c r="I128" s="5" t="n">
        <v>1</v>
      </c>
      <c r="J128" s="5" t="n"/>
      <c r="K128" s="10">
        <f>IFERROR(IF(INDEX('Test catalog'!$F$2:$F$200,MATCH($AB128,'Test catalog'!$A$2:$A$200,0))="","",INDEX('Test catalog'!$F$2:$F$200,MATCH($AB128,'Test catalog'!$A$2:$A$200,0))),"")</f>
        <v/>
      </c>
      <c r="L128" s="10">
        <f>IFERROR(IF(INDEX('Test catalog'!$G$2:$G$200,MATCH($AB128,'Test catalog'!$A$2:$A$200,0))="","",INDEX('Test catalog'!$G$2:$G$200,MATCH($AB128,'Test catalog'!$A$2:$A$200,0))),"")</f>
        <v/>
      </c>
      <c r="M128" s="10">
        <f>IFERROR(IF(INDEX('Test catalog'!$H$2:$H$200,MATCH($AB128,'Test catalog'!$A$2:$A$200,0))="","",INDEX('Test catalog'!$H$2:$H$200,MATCH($AB128,'Test catalog'!$A$2:$A$200,0))),"")</f>
        <v/>
      </c>
      <c r="N128" s="10">
        <f>IFERROR(IF(INDEX('Test catalog'!$I$2:$I$200,MATCH($AB128,'Test catalog'!$A$2:$A$200,0))="","",INDEX('Test catalog'!$I$2:$I$200,MATCH($AB128,'Test catalog'!$A$2:$A$200,0))),"")</f>
        <v/>
      </c>
      <c r="O128" s="10">
        <f>IFERROR(IF(INDEX('Test catalog'!$J$2:$J$200,MATCH($AB128,'Test catalog'!$A$2:$A$200,0))="","",INDEX('Test catalog'!$J$2:$J$200,MATCH($AB128,'Test catalog'!$A$2:$A$200,0))),"")</f>
        <v/>
      </c>
      <c r="P128" s="14">
        <f>IF(N128="","",IF(OR(M128="",O128=""),N128,(M128+4*N128+O128)/6))</f>
        <v/>
      </c>
      <c r="Q128" s="10">
        <f>IFERROR(IF(INDEX('Test catalog'!$K$2:$K$200,MATCH($AB128,'Test catalog'!$A$2:$A$200,0))="","",INDEX('Test catalog'!$K$2:$K$200,MATCH($AB128,'Test catalog'!$A$2:$A$200,0))),"")</f>
        <v/>
      </c>
      <c r="R128" s="5" t="n"/>
      <c r="S128" s="10">
        <f>IFERROR(IF(INDEX('Test catalog'!$L$2:$L$200,MATCH($AB128,'Test catalog'!$A$2:$A$200,0))="","",INDEX('Test catalog'!$L$2:$L$200,MATCH($AB128,'Test catalog'!$A$2:$A$200,0))),"")</f>
        <v/>
      </c>
      <c r="T128" s="10">
        <f>IFERROR(IF(INDEX('Test catalog'!$M$2:$M$200,MATCH($AB128,'Test catalog'!$A$2:$A$200,0))="","",INDEX('Test catalog'!$M$2:$M$200,MATCH($AB128,'Test catalog'!$A$2:$A$200,0))),"")</f>
        <v/>
      </c>
      <c r="U128" s="10">
        <f>IFERROR(IF(INDEX('Test catalog'!$N$2:$N$200,MATCH($AB128,'Test catalog'!$A$2:$A$200,0))="","",INDEX('Test catalog'!$N$2:$N$200,MATCH($AB128,'Test catalog'!$A$2:$A$200,0))),"")</f>
        <v/>
      </c>
      <c r="V128" s="15" t="n"/>
      <c r="W128" s="5" t="inlineStr">
        <is>
          <t>N</t>
        </is>
      </c>
      <c r="X128" s="5" t="n"/>
      <c r="Y128" s="5" t="n"/>
      <c r="Z128" s="5" t="n"/>
      <c r="AA128" s="10">
        <f>IFERROR(IF(INDEX('Test catalog'!$O$2:$O$200,MATCH($AB128,'Test catalog'!$A$2:$A$200,0))="","",INDEX('Test catalog'!$O$2:$O$200,MATCH($AB128,'Test catalog'!$A$2:$A$200,0))),"")</f>
        <v/>
      </c>
      <c r="AB128" s="10" t="inlineStr">
        <is>
          <t>DIAM</t>
        </is>
      </c>
    </row>
    <row r="129">
      <c r="A129" s="10" t="inlineStr">
        <is>
          <t>F18</t>
        </is>
      </c>
      <c r="B129" s="10" t="inlineStr">
        <is>
          <t>FP</t>
        </is>
      </c>
      <c r="C129" s="10" t="inlineStr">
        <is>
          <t>Taglida Duo 2.5/1000; Taglida Duo 2.5/500  |  Metformin Hydrochloride, Linagliptin (+1 more)</t>
        </is>
      </c>
      <c r="D129" s="10" t="inlineStr">
        <is>
          <t>Thickness</t>
        </is>
      </c>
      <c r="E129" s="10">
        <f>IF(A129="","",A129&amp;"|"&amp;D129)</f>
        <v/>
      </c>
      <c r="F129" s="5" t="inlineStr">
        <is>
          <t>Y</t>
        </is>
      </c>
      <c r="G129" s="5" t="inlineStr">
        <is>
          <t>Tablet tester</t>
        </is>
      </c>
      <c r="H129" s="5" t="inlineStr">
        <is>
          <t>Low</t>
        </is>
      </c>
      <c r="I129" s="5" t="n">
        <v>1</v>
      </c>
      <c r="J129" s="5" t="n"/>
      <c r="K129" s="10">
        <f>IFERROR(IF(INDEX('Test catalog'!$F$2:$F$200,MATCH($AB129,'Test catalog'!$A$2:$A$200,0))="","",INDEX('Test catalog'!$F$2:$F$200,MATCH($AB129,'Test catalog'!$A$2:$A$200,0))),"")</f>
        <v/>
      </c>
      <c r="L129" s="10">
        <f>IFERROR(IF(INDEX('Test catalog'!$G$2:$G$200,MATCH($AB129,'Test catalog'!$A$2:$A$200,0))="","",INDEX('Test catalog'!$G$2:$G$200,MATCH($AB129,'Test catalog'!$A$2:$A$200,0))),"")</f>
        <v/>
      </c>
      <c r="M129" s="10">
        <f>IFERROR(IF(INDEX('Test catalog'!$H$2:$H$200,MATCH($AB129,'Test catalog'!$A$2:$A$200,0))="","",INDEX('Test catalog'!$H$2:$H$200,MATCH($AB129,'Test catalog'!$A$2:$A$200,0))),"")</f>
        <v/>
      </c>
      <c r="N129" s="10">
        <f>IFERROR(IF(INDEX('Test catalog'!$I$2:$I$200,MATCH($AB129,'Test catalog'!$A$2:$A$200,0))="","",INDEX('Test catalog'!$I$2:$I$200,MATCH($AB129,'Test catalog'!$A$2:$A$200,0))),"")</f>
        <v/>
      </c>
      <c r="O129" s="10">
        <f>IFERROR(IF(INDEX('Test catalog'!$J$2:$J$200,MATCH($AB129,'Test catalog'!$A$2:$A$200,0))="","",INDEX('Test catalog'!$J$2:$J$200,MATCH($AB129,'Test catalog'!$A$2:$A$200,0))),"")</f>
        <v/>
      </c>
      <c r="P129" s="14">
        <f>IF(N129="","",IF(OR(M129="",O129=""),N129,(M129+4*N129+O129)/6))</f>
        <v/>
      </c>
      <c r="Q129" s="10">
        <f>IFERROR(IF(INDEX('Test catalog'!$K$2:$K$200,MATCH($AB129,'Test catalog'!$A$2:$A$200,0))="","",INDEX('Test catalog'!$K$2:$K$200,MATCH($AB129,'Test catalog'!$A$2:$A$200,0))),"")</f>
        <v/>
      </c>
      <c r="R129" s="5" t="n"/>
      <c r="S129" s="10">
        <f>IFERROR(IF(INDEX('Test catalog'!$L$2:$L$200,MATCH($AB129,'Test catalog'!$A$2:$A$200,0))="","",INDEX('Test catalog'!$L$2:$L$200,MATCH($AB129,'Test catalog'!$A$2:$A$200,0))),"")</f>
        <v/>
      </c>
      <c r="T129" s="10">
        <f>IFERROR(IF(INDEX('Test catalog'!$M$2:$M$200,MATCH($AB129,'Test catalog'!$A$2:$A$200,0))="","",INDEX('Test catalog'!$M$2:$M$200,MATCH($AB129,'Test catalog'!$A$2:$A$200,0))),"")</f>
        <v/>
      </c>
      <c r="U129" s="10">
        <f>IFERROR(IF(INDEX('Test catalog'!$N$2:$N$200,MATCH($AB129,'Test catalog'!$A$2:$A$200,0))="","",INDEX('Test catalog'!$N$2:$N$200,MATCH($AB129,'Test catalog'!$A$2:$A$200,0))),"")</f>
        <v/>
      </c>
      <c r="V129" s="15" t="n"/>
      <c r="W129" s="5" t="inlineStr">
        <is>
          <t>N</t>
        </is>
      </c>
      <c r="X129" s="5" t="n"/>
      <c r="Y129" s="5" t="n"/>
      <c r="Z129" s="5" t="n"/>
      <c r="AA129" s="10">
        <f>IFERROR(IF(INDEX('Test catalog'!$O$2:$O$200,MATCH($AB129,'Test catalog'!$A$2:$A$200,0))="","",INDEX('Test catalog'!$O$2:$O$200,MATCH($AB129,'Test catalog'!$A$2:$A$200,0))),"")</f>
        <v/>
      </c>
      <c r="AB129" s="10" t="inlineStr">
        <is>
          <t>THICK</t>
        </is>
      </c>
    </row>
    <row r="130">
      <c r="A130" s="10" t="inlineStr">
        <is>
          <t>F18</t>
        </is>
      </c>
      <c r="B130" s="10" t="inlineStr">
        <is>
          <t>FP</t>
        </is>
      </c>
      <c r="C130" s="10" t="inlineStr">
        <is>
          <t>Taglida Duo 2.5/1000; Taglida Duo 2.5/500  |  Metformin Hydrochloride, Linagliptin (+1 more)</t>
        </is>
      </c>
      <c r="D130" s="10" t="inlineStr">
        <is>
          <t>Hardness / breaking force</t>
        </is>
      </c>
      <c r="E130" s="10">
        <f>IF(A130="","",A130&amp;"|"&amp;D130)</f>
        <v/>
      </c>
      <c r="F130" s="5" t="inlineStr">
        <is>
          <t>Y</t>
        </is>
      </c>
      <c r="G130" s="5" t="inlineStr">
        <is>
          <t>Tablet tester</t>
        </is>
      </c>
      <c r="H130" s="5" t="inlineStr">
        <is>
          <t>Low</t>
        </is>
      </c>
      <c r="I130" s="5" t="n">
        <v>1</v>
      </c>
      <c r="J130" s="5" t="n"/>
      <c r="K130" s="10">
        <f>IFERROR(IF(INDEX('Test catalog'!$F$2:$F$200,MATCH($AB130,'Test catalog'!$A$2:$A$200,0))="","",INDEX('Test catalog'!$F$2:$F$200,MATCH($AB130,'Test catalog'!$A$2:$A$200,0))),"")</f>
        <v/>
      </c>
      <c r="L130" s="10">
        <f>IFERROR(IF(INDEX('Test catalog'!$G$2:$G$200,MATCH($AB130,'Test catalog'!$A$2:$A$200,0))="","",INDEX('Test catalog'!$G$2:$G$200,MATCH($AB130,'Test catalog'!$A$2:$A$200,0))),"")</f>
        <v/>
      </c>
      <c r="M130" s="10">
        <f>IFERROR(IF(INDEX('Test catalog'!$H$2:$H$200,MATCH($AB130,'Test catalog'!$A$2:$A$200,0))="","",INDEX('Test catalog'!$H$2:$H$200,MATCH($AB130,'Test catalog'!$A$2:$A$200,0))),"")</f>
        <v/>
      </c>
      <c r="N130" s="10">
        <f>IFERROR(IF(INDEX('Test catalog'!$I$2:$I$200,MATCH($AB130,'Test catalog'!$A$2:$A$200,0))="","",INDEX('Test catalog'!$I$2:$I$200,MATCH($AB130,'Test catalog'!$A$2:$A$200,0))),"")</f>
        <v/>
      </c>
      <c r="O130" s="10">
        <f>IFERROR(IF(INDEX('Test catalog'!$J$2:$J$200,MATCH($AB130,'Test catalog'!$A$2:$A$200,0))="","",INDEX('Test catalog'!$J$2:$J$200,MATCH($AB130,'Test catalog'!$A$2:$A$200,0))),"")</f>
        <v/>
      </c>
      <c r="P130" s="14">
        <f>IF(N130="","",IF(OR(M130="",O130=""),N130,(M130+4*N130+O130)/6))</f>
        <v/>
      </c>
      <c r="Q130" s="10">
        <f>IFERROR(IF(INDEX('Test catalog'!$K$2:$K$200,MATCH($AB130,'Test catalog'!$A$2:$A$200,0))="","",INDEX('Test catalog'!$K$2:$K$200,MATCH($AB130,'Test catalog'!$A$2:$A$200,0))),"")</f>
        <v/>
      </c>
      <c r="R130" s="5" t="n"/>
      <c r="S130" s="10">
        <f>IFERROR(IF(INDEX('Test catalog'!$L$2:$L$200,MATCH($AB130,'Test catalog'!$A$2:$A$200,0))="","",INDEX('Test catalog'!$L$2:$L$200,MATCH($AB130,'Test catalog'!$A$2:$A$200,0))),"")</f>
        <v/>
      </c>
      <c r="T130" s="10">
        <f>IFERROR(IF(INDEX('Test catalog'!$M$2:$M$200,MATCH($AB130,'Test catalog'!$A$2:$A$200,0))="","",INDEX('Test catalog'!$M$2:$M$200,MATCH($AB130,'Test catalog'!$A$2:$A$200,0))),"")</f>
        <v/>
      </c>
      <c r="U130" s="10">
        <f>IFERROR(IF(INDEX('Test catalog'!$N$2:$N$200,MATCH($AB130,'Test catalog'!$A$2:$A$200,0))="","",INDEX('Test catalog'!$N$2:$N$200,MATCH($AB130,'Test catalog'!$A$2:$A$200,0))),"")</f>
        <v/>
      </c>
      <c r="V130" s="15" t="n"/>
      <c r="W130" s="5" t="inlineStr">
        <is>
          <t>Y</t>
        </is>
      </c>
      <c r="X130" s="5" t="n"/>
      <c r="Y130" s="5" t="n"/>
      <c r="Z130" s="5" t="n"/>
      <c r="AA130" s="10">
        <f>IFERROR(IF(INDEX('Test catalog'!$O$2:$O$200,MATCH($AB130,'Test catalog'!$A$2:$A$200,0))="","",INDEX('Test catalog'!$O$2:$O$200,MATCH($AB130,'Test catalog'!$A$2:$A$200,0))),"")</f>
        <v/>
      </c>
      <c r="AB130" s="10" t="inlineStr">
        <is>
          <t>HARD</t>
        </is>
      </c>
    </row>
    <row r="131">
      <c r="A131" s="10" t="inlineStr">
        <is>
          <t>F18</t>
        </is>
      </c>
      <c r="B131" s="10" t="inlineStr">
        <is>
          <t>FP</t>
        </is>
      </c>
      <c r="C131" s="10" t="inlineStr">
        <is>
          <t>Taglida Duo 2.5/1000; Taglida Duo 2.5/500  |  Metformin Hydrochloride, Linagliptin (+1 more)</t>
        </is>
      </c>
      <c r="D131" s="10" t="inlineStr">
        <is>
          <t>Brittleness</t>
        </is>
      </c>
      <c r="E131" s="10">
        <f>IF(A131="","",A131&amp;"|"&amp;D131)</f>
        <v/>
      </c>
      <c r="F131" s="5" t="inlineStr">
        <is>
          <t>Y</t>
        </is>
      </c>
      <c r="G131" s="5" t="inlineStr">
        <is>
          <t>Other / bench</t>
        </is>
      </c>
      <c r="H131" s="5" t="inlineStr">
        <is>
          <t>Low</t>
        </is>
      </c>
      <c r="I131" s="5" t="n">
        <v>1</v>
      </c>
      <c r="J131" s="5" t="n"/>
      <c r="K131" s="10">
        <f>IFERROR(IF(INDEX('Test catalog'!$F$2:$F$200,MATCH($AB131,'Test catalog'!$A$2:$A$200,0))="","",INDEX('Test catalog'!$F$2:$F$200,MATCH($AB131,'Test catalog'!$A$2:$A$200,0))),"")</f>
        <v/>
      </c>
      <c r="L131" s="10">
        <f>IFERROR(IF(INDEX('Test catalog'!$G$2:$G$200,MATCH($AB131,'Test catalog'!$A$2:$A$200,0))="","",INDEX('Test catalog'!$G$2:$G$200,MATCH($AB131,'Test catalog'!$A$2:$A$200,0))),"")</f>
        <v/>
      </c>
      <c r="M131" s="10">
        <f>IFERROR(IF(INDEX('Test catalog'!$H$2:$H$200,MATCH($AB131,'Test catalog'!$A$2:$A$200,0))="","",INDEX('Test catalog'!$H$2:$H$200,MATCH($AB131,'Test catalog'!$A$2:$A$200,0))),"")</f>
        <v/>
      </c>
      <c r="N131" s="10">
        <f>IFERROR(IF(INDEX('Test catalog'!$I$2:$I$200,MATCH($AB131,'Test catalog'!$A$2:$A$200,0))="","",INDEX('Test catalog'!$I$2:$I$200,MATCH($AB131,'Test catalog'!$A$2:$A$200,0))),"")</f>
        <v/>
      </c>
      <c r="O131" s="10">
        <f>IFERROR(IF(INDEX('Test catalog'!$J$2:$J$200,MATCH($AB131,'Test catalog'!$A$2:$A$200,0))="","",INDEX('Test catalog'!$J$2:$J$200,MATCH($AB131,'Test catalog'!$A$2:$A$200,0))),"")</f>
        <v/>
      </c>
      <c r="P131" s="14">
        <f>IF(N131="","",IF(OR(M131="",O131=""),N131,(M131+4*N131+O131)/6))</f>
        <v/>
      </c>
      <c r="Q131" s="10">
        <f>IFERROR(IF(INDEX('Test catalog'!$K$2:$K$200,MATCH($AB131,'Test catalog'!$A$2:$A$200,0))="","",INDEX('Test catalog'!$K$2:$K$200,MATCH($AB131,'Test catalog'!$A$2:$A$200,0))),"")</f>
        <v/>
      </c>
      <c r="R131" s="5" t="n"/>
      <c r="S131" s="10">
        <f>IFERROR(IF(INDEX('Test catalog'!$L$2:$L$200,MATCH($AB131,'Test catalog'!$A$2:$A$200,0))="","",INDEX('Test catalog'!$L$2:$L$200,MATCH($AB131,'Test catalog'!$A$2:$A$200,0))),"")</f>
        <v/>
      </c>
      <c r="T131" s="10">
        <f>IFERROR(IF(INDEX('Test catalog'!$M$2:$M$200,MATCH($AB131,'Test catalog'!$A$2:$A$200,0))="","",INDEX('Test catalog'!$M$2:$M$200,MATCH($AB131,'Test catalog'!$A$2:$A$200,0))),"")</f>
        <v/>
      </c>
      <c r="U131" s="10">
        <f>IFERROR(IF(INDEX('Test catalog'!$N$2:$N$200,MATCH($AB131,'Test catalog'!$A$2:$A$200,0))="","",INDEX('Test catalog'!$N$2:$N$200,MATCH($AB131,'Test catalog'!$A$2:$A$200,0))),"")</f>
        <v/>
      </c>
      <c r="V131" s="15" t="n"/>
      <c r="W131" s="5" t="inlineStr">
        <is>
          <t>N</t>
        </is>
      </c>
      <c r="X131" s="5" t="n"/>
      <c r="Y131" s="5" t="n"/>
      <c r="Z131" s="5" t="n"/>
      <c r="AA131" s="10">
        <f>IFERROR(IF(INDEX('Test catalog'!$O$2:$O$200,MATCH($AB131,'Test catalog'!$A$2:$A$200,0))="","",INDEX('Test catalog'!$O$2:$O$200,MATCH($AB131,'Test catalog'!$A$2:$A$200,0))),"")</f>
        <v/>
      </c>
      <c r="AB131" s="10" t="inlineStr">
        <is>
          <t>BRITTLE</t>
        </is>
      </c>
    </row>
    <row r="132">
      <c r="A132" s="10" t="inlineStr">
        <is>
          <t>F18</t>
        </is>
      </c>
      <c r="B132" s="10" t="inlineStr">
        <is>
          <t>FP</t>
        </is>
      </c>
      <c r="C132" s="10" t="inlineStr">
        <is>
          <t>Taglida Duo 2.5/1000; Taglida Duo 2.5/500  |  Metformin Hydrochloride, Linagliptin (+1 more)</t>
        </is>
      </c>
      <c r="D132" s="10" t="inlineStr">
        <is>
          <t>Friability</t>
        </is>
      </c>
      <c r="E132" s="10">
        <f>IF(A132="","",A132&amp;"|"&amp;D132)</f>
        <v/>
      </c>
      <c r="F132" s="5" t="inlineStr">
        <is>
          <t>Y</t>
        </is>
      </c>
      <c r="G132" s="5" t="inlineStr">
        <is>
          <t>Friabilator</t>
        </is>
      </c>
      <c r="H132" s="5" t="inlineStr">
        <is>
          <t>Low</t>
        </is>
      </c>
      <c r="I132" s="5" t="n">
        <v>1</v>
      </c>
      <c r="J132" s="5" t="n"/>
      <c r="K132" s="10">
        <f>IFERROR(IF(INDEX('Test catalog'!$F$2:$F$200,MATCH($AB132,'Test catalog'!$A$2:$A$200,0))="","",INDEX('Test catalog'!$F$2:$F$200,MATCH($AB132,'Test catalog'!$A$2:$A$200,0))),"")</f>
        <v/>
      </c>
      <c r="L132" s="10">
        <f>IFERROR(IF(INDEX('Test catalog'!$G$2:$G$200,MATCH($AB132,'Test catalog'!$A$2:$A$200,0))="","",INDEX('Test catalog'!$G$2:$G$200,MATCH($AB132,'Test catalog'!$A$2:$A$200,0))),"")</f>
        <v/>
      </c>
      <c r="M132" s="10">
        <f>IFERROR(IF(INDEX('Test catalog'!$H$2:$H$200,MATCH($AB132,'Test catalog'!$A$2:$A$200,0))="","",INDEX('Test catalog'!$H$2:$H$200,MATCH($AB132,'Test catalog'!$A$2:$A$200,0))),"")</f>
        <v/>
      </c>
      <c r="N132" s="10">
        <f>IFERROR(IF(INDEX('Test catalog'!$I$2:$I$200,MATCH($AB132,'Test catalog'!$A$2:$A$200,0))="","",INDEX('Test catalog'!$I$2:$I$200,MATCH($AB132,'Test catalog'!$A$2:$A$200,0))),"")</f>
        <v/>
      </c>
      <c r="O132" s="10">
        <f>IFERROR(IF(INDEX('Test catalog'!$J$2:$J$200,MATCH($AB132,'Test catalog'!$A$2:$A$200,0))="","",INDEX('Test catalog'!$J$2:$J$200,MATCH($AB132,'Test catalog'!$A$2:$A$200,0))),"")</f>
        <v/>
      </c>
      <c r="P132" s="14">
        <f>IF(N132="","",IF(OR(M132="",O132=""),N132,(M132+4*N132+O132)/6))</f>
        <v/>
      </c>
      <c r="Q132" s="10">
        <f>IFERROR(IF(INDEX('Test catalog'!$K$2:$K$200,MATCH($AB132,'Test catalog'!$A$2:$A$200,0))="","",INDEX('Test catalog'!$K$2:$K$200,MATCH($AB132,'Test catalog'!$A$2:$A$200,0))),"")</f>
        <v/>
      </c>
      <c r="R132" s="5" t="n"/>
      <c r="S132" s="10">
        <f>IFERROR(IF(INDEX('Test catalog'!$L$2:$L$200,MATCH($AB132,'Test catalog'!$A$2:$A$200,0))="","",INDEX('Test catalog'!$L$2:$L$200,MATCH($AB132,'Test catalog'!$A$2:$A$200,0))),"")</f>
        <v/>
      </c>
      <c r="T132" s="10">
        <f>IFERROR(IF(INDEX('Test catalog'!$M$2:$M$200,MATCH($AB132,'Test catalog'!$A$2:$A$200,0))="","",INDEX('Test catalog'!$M$2:$M$200,MATCH($AB132,'Test catalog'!$A$2:$A$200,0))),"")</f>
        <v/>
      </c>
      <c r="U132" s="10">
        <f>IFERROR(IF(INDEX('Test catalog'!$N$2:$N$200,MATCH($AB132,'Test catalog'!$A$2:$A$200,0))="","",INDEX('Test catalog'!$N$2:$N$200,MATCH($AB132,'Test catalog'!$A$2:$A$200,0))),"")</f>
        <v/>
      </c>
      <c r="V132" s="15" t="n"/>
      <c r="W132" s="5" t="inlineStr">
        <is>
          <t>N</t>
        </is>
      </c>
      <c r="X132" s="5" t="n"/>
      <c r="Y132" s="5" t="n"/>
      <c r="Z132" s="5" t="n"/>
      <c r="AA132" s="10">
        <f>IFERROR(IF(INDEX('Test catalog'!$O$2:$O$200,MATCH($AB132,'Test catalog'!$A$2:$A$200,0))="","",INDEX('Test catalog'!$O$2:$O$200,MATCH($AB132,'Test catalog'!$A$2:$A$200,0))),"")</f>
        <v/>
      </c>
      <c r="AB132" s="10" t="inlineStr">
        <is>
          <t>FRIAB</t>
        </is>
      </c>
    </row>
    <row r="133">
      <c r="A133" s="10" t="inlineStr">
        <is>
          <t>F18</t>
        </is>
      </c>
      <c r="B133" s="10" t="inlineStr">
        <is>
          <t>FP</t>
        </is>
      </c>
      <c r="C133" s="10" t="inlineStr">
        <is>
          <t>Taglida Duo 2.5/1000; Taglida Duo 2.5/500  |  Metformin Hydrochloride, Linagliptin (+1 more)</t>
        </is>
      </c>
      <c r="D133" s="10" t="inlineStr">
        <is>
          <t>Disintegration</t>
        </is>
      </c>
      <c r="E133" s="10">
        <f>IF(A133="","",A133&amp;"|"&amp;D133)</f>
        <v/>
      </c>
      <c r="F133" s="5" t="inlineStr">
        <is>
          <t>Y</t>
        </is>
      </c>
      <c r="G133" s="5" t="inlineStr">
        <is>
          <t>Disintegration tester</t>
        </is>
      </c>
      <c r="H133" s="5" t="inlineStr">
        <is>
          <t>Low</t>
        </is>
      </c>
      <c r="I133" s="5" t="n">
        <v>1</v>
      </c>
      <c r="J133" s="5" t="n"/>
      <c r="K133" s="10">
        <f>IFERROR(IF(INDEX('Test catalog'!$F$2:$F$200,MATCH($AB133,'Test catalog'!$A$2:$A$200,0))="","",INDEX('Test catalog'!$F$2:$F$200,MATCH($AB133,'Test catalog'!$A$2:$A$200,0))),"")</f>
        <v/>
      </c>
      <c r="L133" s="10">
        <f>IFERROR(IF(INDEX('Test catalog'!$G$2:$G$200,MATCH($AB133,'Test catalog'!$A$2:$A$200,0))="","",INDEX('Test catalog'!$G$2:$G$200,MATCH($AB133,'Test catalog'!$A$2:$A$200,0))),"")</f>
        <v/>
      </c>
      <c r="M133" s="10">
        <f>IFERROR(IF(INDEX('Test catalog'!$H$2:$H$200,MATCH($AB133,'Test catalog'!$A$2:$A$200,0))="","",INDEX('Test catalog'!$H$2:$H$200,MATCH($AB133,'Test catalog'!$A$2:$A$200,0))),"")</f>
        <v/>
      </c>
      <c r="N133" s="10">
        <f>IFERROR(IF(INDEX('Test catalog'!$I$2:$I$200,MATCH($AB133,'Test catalog'!$A$2:$A$200,0))="","",INDEX('Test catalog'!$I$2:$I$200,MATCH($AB133,'Test catalog'!$A$2:$A$200,0))),"")</f>
        <v/>
      </c>
      <c r="O133" s="10">
        <f>IFERROR(IF(INDEX('Test catalog'!$J$2:$J$200,MATCH($AB133,'Test catalog'!$A$2:$A$200,0))="","",INDEX('Test catalog'!$J$2:$J$200,MATCH($AB133,'Test catalog'!$A$2:$A$200,0))),"")</f>
        <v/>
      </c>
      <c r="P133" s="14">
        <f>IF(N133="","",IF(OR(M133="",O133=""),N133,(M133+4*N133+O133)/6))</f>
        <v/>
      </c>
      <c r="Q133" s="10">
        <f>IFERROR(IF(INDEX('Test catalog'!$K$2:$K$200,MATCH($AB133,'Test catalog'!$A$2:$A$200,0))="","",INDEX('Test catalog'!$K$2:$K$200,MATCH($AB133,'Test catalog'!$A$2:$A$200,0))),"")</f>
        <v/>
      </c>
      <c r="R133" s="5" t="n"/>
      <c r="S133" s="10">
        <f>IFERROR(IF(INDEX('Test catalog'!$L$2:$L$200,MATCH($AB133,'Test catalog'!$A$2:$A$200,0))="","",INDEX('Test catalog'!$L$2:$L$200,MATCH($AB133,'Test catalog'!$A$2:$A$200,0))),"")</f>
        <v/>
      </c>
      <c r="T133" s="10">
        <f>IFERROR(IF(INDEX('Test catalog'!$M$2:$M$200,MATCH($AB133,'Test catalog'!$A$2:$A$200,0))="","",INDEX('Test catalog'!$M$2:$M$200,MATCH($AB133,'Test catalog'!$A$2:$A$200,0))),"")</f>
        <v/>
      </c>
      <c r="U133" s="10">
        <f>IFERROR(IF(INDEX('Test catalog'!$N$2:$N$200,MATCH($AB133,'Test catalog'!$A$2:$A$200,0))="","",INDEX('Test catalog'!$N$2:$N$200,MATCH($AB133,'Test catalog'!$A$2:$A$200,0))),"")</f>
        <v/>
      </c>
      <c r="V133" s="15" t="n"/>
      <c r="W133" s="5" t="inlineStr">
        <is>
          <t>Y</t>
        </is>
      </c>
      <c r="X133" s="5" t="n"/>
      <c r="Y133" s="5" t="n"/>
      <c r="Z133" s="5" t="n"/>
      <c r="AA133" s="10">
        <f>IFERROR(IF(INDEX('Test catalog'!$O$2:$O$200,MATCH($AB133,'Test catalog'!$A$2:$A$200,0))="","",INDEX('Test catalog'!$O$2:$O$200,MATCH($AB133,'Test catalog'!$A$2:$A$200,0))),"")</f>
        <v/>
      </c>
      <c r="AB133" s="10" t="inlineStr">
        <is>
          <t>DISINT</t>
        </is>
      </c>
    </row>
    <row r="134">
      <c r="A134" s="10" t="inlineStr">
        <is>
          <t>F18</t>
        </is>
      </c>
      <c r="B134" s="10" t="inlineStr">
        <is>
          <t>FP</t>
        </is>
      </c>
      <c r="C134" s="10" t="inlineStr">
        <is>
          <t>Taglida Duo 2.5/1000; Taglida Duo 2.5/500  |  Metformin Hydrochloride, Linagliptin (+1 more)</t>
        </is>
      </c>
      <c r="D134" s="10" t="inlineStr">
        <is>
          <t>In-process check at the machine (one check, all its tests)</t>
        </is>
      </c>
      <c r="E134" s="10">
        <f>IF(A134="","",A134&amp;"|"&amp;D134)</f>
        <v/>
      </c>
      <c r="F134" s="5" t="inlineStr">
        <is>
          <t>Y</t>
        </is>
      </c>
      <c r="G134" s="5" t="inlineStr">
        <is>
          <t>Tablet tester</t>
        </is>
      </c>
      <c r="H134" s="5" t="inlineStr">
        <is>
          <t>Low</t>
        </is>
      </c>
      <c r="I134" s="5" t="n">
        <v>1</v>
      </c>
      <c r="J134" s="5" t="n"/>
      <c r="K134" s="10">
        <f>IFERROR(IF(INDEX('Test catalog'!$F$2:$F$200,MATCH($AB134,'Test catalog'!$A$2:$A$200,0))="","",INDEX('Test catalog'!$F$2:$F$200,MATCH($AB134,'Test catalog'!$A$2:$A$200,0))),"")</f>
        <v/>
      </c>
      <c r="L134" s="10">
        <f>IFERROR(IF(INDEX('Test catalog'!$G$2:$G$200,MATCH($AB134,'Test catalog'!$A$2:$A$200,0))="","",INDEX('Test catalog'!$G$2:$G$200,MATCH($AB134,'Test catalog'!$A$2:$A$200,0))),"")</f>
        <v/>
      </c>
      <c r="M134" s="10">
        <f>IFERROR(IF(INDEX('Test catalog'!$H$2:$H$200,MATCH($AB134,'Test catalog'!$A$2:$A$200,0))="","",INDEX('Test catalog'!$H$2:$H$200,MATCH($AB134,'Test catalog'!$A$2:$A$200,0))),"")</f>
        <v/>
      </c>
      <c r="N134" s="10">
        <f>IFERROR(IF(INDEX('Test catalog'!$I$2:$I$200,MATCH($AB134,'Test catalog'!$A$2:$A$200,0))="","",INDEX('Test catalog'!$I$2:$I$200,MATCH($AB134,'Test catalog'!$A$2:$A$200,0))),"")</f>
        <v/>
      </c>
      <c r="O134" s="10">
        <f>IFERROR(IF(INDEX('Test catalog'!$J$2:$J$200,MATCH($AB134,'Test catalog'!$A$2:$A$200,0))="","",INDEX('Test catalog'!$J$2:$J$200,MATCH($AB134,'Test catalog'!$A$2:$A$200,0))),"")</f>
        <v/>
      </c>
      <c r="P134" s="14">
        <f>IF(N134="","",IF(OR(M134="",O134=""),N134,(M134+4*N134+O134)/6))</f>
        <v/>
      </c>
      <c r="Q134" s="10">
        <f>IFERROR(IF(INDEX('Test catalog'!$K$2:$K$200,MATCH($AB134,'Test catalog'!$A$2:$A$200,0))="","",INDEX('Test catalog'!$K$2:$K$200,MATCH($AB134,'Test catalog'!$A$2:$A$200,0))),"")</f>
        <v/>
      </c>
      <c r="R134" s="5" t="n"/>
      <c r="S134" s="10">
        <f>IFERROR(IF(INDEX('Test catalog'!$L$2:$L$200,MATCH($AB134,'Test catalog'!$A$2:$A$200,0))="","",INDEX('Test catalog'!$L$2:$L$200,MATCH($AB134,'Test catalog'!$A$2:$A$200,0))),"")</f>
        <v/>
      </c>
      <c r="T134" s="10">
        <f>IFERROR(IF(INDEX('Test catalog'!$M$2:$M$200,MATCH($AB134,'Test catalog'!$A$2:$A$200,0))="","",INDEX('Test catalog'!$M$2:$M$200,MATCH($AB134,'Test catalog'!$A$2:$A$200,0))),"")</f>
        <v/>
      </c>
      <c r="U134" s="10">
        <f>IFERROR(IF(INDEX('Test catalog'!$N$2:$N$200,MATCH($AB134,'Test catalog'!$A$2:$A$200,0))="","",INDEX('Test catalog'!$N$2:$N$200,MATCH($AB134,'Test catalog'!$A$2:$A$200,0))),"")</f>
        <v/>
      </c>
      <c r="V134" s="15" t="n"/>
      <c r="W134" s="5" t="inlineStr">
        <is>
          <t>N</t>
        </is>
      </c>
      <c r="X134" s="5" t="n"/>
      <c r="Y134" s="5" t="n"/>
      <c r="Z134" s="5" t="n"/>
      <c r="AA134" s="10">
        <f>IFERROR(IF(INDEX('Test catalog'!$O$2:$O$200,MATCH($AB134,'Test catalog'!$A$2:$A$200,0))="","",INDEX('Test catalog'!$O$2:$O$200,MATCH($AB134,'Test catalog'!$A$2:$A$200,0))),"")</f>
        <v/>
      </c>
      <c r="AB134" s="10" t="inlineStr">
        <is>
          <t>IPC</t>
        </is>
      </c>
    </row>
    <row r="135">
      <c r="A135" s="10" t="inlineStr">
        <is>
          <t>F19</t>
        </is>
      </c>
      <c r="B135" s="10" t="inlineStr">
        <is>
          <t>FP</t>
        </is>
      </c>
      <c r="C135" s="10" t="inlineStr">
        <is>
          <t>Ozanimod 0.23/0.46; Ozanimod 0.92 mg  |  Ozanimod Hydrochloride</t>
        </is>
      </c>
      <c r="D135" s="10" t="inlineStr">
        <is>
          <t>Average weight / uniformity of mass</t>
        </is>
      </c>
      <c r="E135" s="10">
        <f>IF(A135="","",A135&amp;"|"&amp;D135)</f>
        <v/>
      </c>
      <c r="F135" s="5" t="inlineStr">
        <is>
          <t>Y</t>
        </is>
      </c>
      <c r="G135" s="5" t="inlineStr">
        <is>
          <t>Balance</t>
        </is>
      </c>
      <c r="H135" s="5" t="inlineStr">
        <is>
          <t>Low</t>
        </is>
      </c>
      <c r="I135" s="5" t="n">
        <v>1</v>
      </c>
      <c r="J135" s="5" t="n"/>
      <c r="K135" s="10">
        <f>IFERROR(IF(INDEX('Test catalog'!$F$2:$F$200,MATCH($AB135,'Test catalog'!$A$2:$A$200,0))="","",INDEX('Test catalog'!$F$2:$F$200,MATCH($AB135,'Test catalog'!$A$2:$A$200,0))),"")</f>
        <v/>
      </c>
      <c r="L135" s="10">
        <f>IFERROR(IF(INDEX('Test catalog'!$G$2:$G$200,MATCH($AB135,'Test catalog'!$A$2:$A$200,0))="","",INDEX('Test catalog'!$G$2:$G$200,MATCH($AB135,'Test catalog'!$A$2:$A$200,0))),"")</f>
        <v/>
      </c>
      <c r="M135" s="10">
        <f>IFERROR(IF(INDEX('Test catalog'!$H$2:$H$200,MATCH($AB135,'Test catalog'!$A$2:$A$200,0))="","",INDEX('Test catalog'!$H$2:$H$200,MATCH($AB135,'Test catalog'!$A$2:$A$200,0))),"")</f>
        <v/>
      </c>
      <c r="N135" s="10">
        <f>IFERROR(IF(INDEX('Test catalog'!$I$2:$I$200,MATCH($AB135,'Test catalog'!$A$2:$A$200,0))="","",INDEX('Test catalog'!$I$2:$I$200,MATCH($AB135,'Test catalog'!$A$2:$A$200,0))),"")</f>
        <v/>
      </c>
      <c r="O135" s="10">
        <f>IFERROR(IF(INDEX('Test catalog'!$J$2:$J$200,MATCH($AB135,'Test catalog'!$A$2:$A$200,0))="","",INDEX('Test catalog'!$J$2:$J$200,MATCH($AB135,'Test catalog'!$A$2:$A$200,0))),"")</f>
        <v/>
      </c>
      <c r="P135" s="14">
        <f>IF(N135="","",IF(OR(M135="",O135=""),N135,(M135+4*N135+O135)/6))</f>
        <v/>
      </c>
      <c r="Q135" s="10">
        <f>IFERROR(IF(INDEX('Test catalog'!$K$2:$K$200,MATCH($AB135,'Test catalog'!$A$2:$A$200,0))="","",INDEX('Test catalog'!$K$2:$K$200,MATCH($AB135,'Test catalog'!$A$2:$A$200,0))),"")</f>
        <v/>
      </c>
      <c r="R135" s="5" t="n"/>
      <c r="S135" s="10">
        <f>IFERROR(IF(INDEX('Test catalog'!$L$2:$L$200,MATCH($AB135,'Test catalog'!$A$2:$A$200,0))="","",INDEX('Test catalog'!$L$2:$L$200,MATCH($AB135,'Test catalog'!$A$2:$A$200,0))),"")</f>
        <v/>
      </c>
      <c r="T135" s="10">
        <f>IFERROR(IF(INDEX('Test catalog'!$M$2:$M$200,MATCH($AB135,'Test catalog'!$A$2:$A$200,0))="","",INDEX('Test catalog'!$M$2:$M$200,MATCH($AB135,'Test catalog'!$A$2:$A$200,0))),"")</f>
        <v/>
      </c>
      <c r="U135" s="10">
        <f>IFERROR(IF(INDEX('Test catalog'!$N$2:$N$200,MATCH($AB135,'Test catalog'!$A$2:$A$200,0))="","",INDEX('Test catalog'!$N$2:$N$200,MATCH($AB135,'Test catalog'!$A$2:$A$200,0))),"")</f>
        <v/>
      </c>
      <c r="V135" s="15" t="n"/>
      <c r="W135" s="5" t="inlineStr">
        <is>
          <t>N</t>
        </is>
      </c>
      <c r="X135" s="5" t="n"/>
      <c r="Y135" s="5" t="n"/>
      <c r="Z135" s="5" t="n"/>
      <c r="AA135" s="10">
        <f>IFERROR(IF(INDEX('Test catalog'!$O$2:$O$200,MATCH($AB135,'Test catalog'!$A$2:$A$200,0))="","",INDEX('Test catalog'!$O$2:$O$200,MATCH($AB135,'Test catalog'!$A$2:$A$200,0))),"")</f>
        <v/>
      </c>
      <c r="AB135" s="10" t="inlineStr">
        <is>
          <t>AVG_WT</t>
        </is>
      </c>
    </row>
    <row r="136">
      <c r="A136" s="10" t="inlineStr">
        <is>
          <t>F19</t>
        </is>
      </c>
      <c r="B136" s="10" t="inlineStr">
        <is>
          <t>FP</t>
        </is>
      </c>
      <c r="C136" s="10" t="inlineStr">
        <is>
          <t>Ozanimod 0.23/0.46; Ozanimod 0.92 mg  |  Ozanimod Hydrochloride</t>
        </is>
      </c>
      <c r="D136" s="10" t="inlineStr">
        <is>
          <t>Disintegration</t>
        </is>
      </c>
      <c r="E136" s="10">
        <f>IF(A136="","",A136&amp;"|"&amp;D136)</f>
        <v/>
      </c>
      <c r="F136" s="5" t="inlineStr">
        <is>
          <t>Y</t>
        </is>
      </c>
      <c r="G136" s="5" t="inlineStr">
        <is>
          <t>Disintegration tester</t>
        </is>
      </c>
      <c r="H136" s="5" t="inlineStr">
        <is>
          <t>Low</t>
        </is>
      </c>
      <c r="I136" s="5" t="n">
        <v>1</v>
      </c>
      <c r="J136" s="5" t="n"/>
      <c r="K136" s="10">
        <f>IFERROR(IF(INDEX('Test catalog'!$F$2:$F$200,MATCH($AB136,'Test catalog'!$A$2:$A$200,0))="","",INDEX('Test catalog'!$F$2:$F$200,MATCH($AB136,'Test catalog'!$A$2:$A$200,0))),"")</f>
        <v/>
      </c>
      <c r="L136" s="10">
        <f>IFERROR(IF(INDEX('Test catalog'!$G$2:$G$200,MATCH($AB136,'Test catalog'!$A$2:$A$200,0))="","",INDEX('Test catalog'!$G$2:$G$200,MATCH($AB136,'Test catalog'!$A$2:$A$200,0))),"")</f>
        <v/>
      </c>
      <c r="M136" s="10">
        <f>IFERROR(IF(INDEX('Test catalog'!$H$2:$H$200,MATCH($AB136,'Test catalog'!$A$2:$A$200,0))="","",INDEX('Test catalog'!$H$2:$H$200,MATCH($AB136,'Test catalog'!$A$2:$A$200,0))),"")</f>
        <v/>
      </c>
      <c r="N136" s="10">
        <f>IFERROR(IF(INDEX('Test catalog'!$I$2:$I$200,MATCH($AB136,'Test catalog'!$A$2:$A$200,0))="","",INDEX('Test catalog'!$I$2:$I$200,MATCH($AB136,'Test catalog'!$A$2:$A$200,0))),"")</f>
        <v/>
      </c>
      <c r="O136" s="10">
        <f>IFERROR(IF(INDEX('Test catalog'!$J$2:$J$200,MATCH($AB136,'Test catalog'!$A$2:$A$200,0))="","",INDEX('Test catalog'!$J$2:$J$200,MATCH($AB136,'Test catalog'!$A$2:$A$200,0))),"")</f>
        <v/>
      </c>
      <c r="P136" s="14">
        <f>IF(N136="","",IF(OR(M136="",O136=""),N136,(M136+4*N136+O136)/6))</f>
        <v/>
      </c>
      <c r="Q136" s="10">
        <f>IFERROR(IF(INDEX('Test catalog'!$K$2:$K$200,MATCH($AB136,'Test catalog'!$A$2:$A$200,0))="","",INDEX('Test catalog'!$K$2:$K$200,MATCH($AB136,'Test catalog'!$A$2:$A$200,0))),"")</f>
        <v/>
      </c>
      <c r="R136" s="5" t="n"/>
      <c r="S136" s="10">
        <f>IFERROR(IF(INDEX('Test catalog'!$L$2:$L$200,MATCH($AB136,'Test catalog'!$A$2:$A$200,0))="","",INDEX('Test catalog'!$L$2:$L$200,MATCH($AB136,'Test catalog'!$A$2:$A$200,0))),"")</f>
        <v/>
      </c>
      <c r="T136" s="10">
        <f>IFERROR(IF(INDEX('Test catalog'!$M$2:$M$200,MATCH($AB136,'Test catalog'!$A$2:$A$200,0))="","",INDEX('Test catalog'!$M$2:$M$200,MATCH($AB136,'Test catalog'!$A$2:$A$200,0))),"")</f>
        <v/>
      </c>
      <c r="U136" s="10">
        <f>IFERROR(IF(INDEX('Test catalog'!$N$2:$N$200,MATCH($AB136,'Test catalog'!$A$2:$A$200,0))="","",INDEX('Test catalog'!$N$2:$N$200,MATCH($AB136,'Test catalog'!$A$2:$A$200,0))),"")</f>
        <v/>
      </c>
      <c r="V136" s="15" t="n"/>
      <c r="W136" s="5" t="inlineStr">
        <is>
          <t>Y</t>
        </is>
      </c>
      <c r="X136" s="5" t="n"/>
      <c r="Y136" s="5" t="n"/>
      <c r="Z136" s="5" t="n"/>
      <c r="AA136" s="10">
        <f>IFERROR(IF(INDEX('Test catalog'!$O$2:$O$200,MATCH($AB136,'Test catalog'!$A$2:$A$200,0))="","",INDEX('Test catalog'!$O$2:$O$200,MATCH($AB136,'Test catalog'!$A$2:$A$200,0))),"")</f>
        <v/>
      </c>
      <c r="AB136" s="10" t="inlineStr">
        <is>
          <t>DISINT</t>
        </is>
      </c>
    </row>
    <row r="137">
      <c r="A137" s="10" t="inlineStr">
        <is>
          <t>F19</t>
        </is>
      </c>
      <c r="B137" s="10" t="inlineStr">
        <is>
          <t>FP</t>
        </is>
      </c>
      <c r="C137" s="10" t="inlineStr">
        <is>
          <t>Ozanimod 0.23/0.46; Ozanimod 0.92 mg  |  Ozanimod Hydrochloride</t>
        </is>
      </c>
      <c r="D137" s="10" t="inlineStr">
        <is>
          <t>In-process check at the machine (one check, all its tests)</t>
        </is>
      </c>
      <c r="E137" s="10">
        <f>IF(A137="","",A137&amp;"|"&amp;D137)</f>
        <v/>
      </c>
      <c r="F137" s="5" t="inlineStr">
        <is>
          <t>Y</t>
        </is>
      </c>
      <c r="G137" s="5" t="inlineStr">
        <is>
          <t>Tablet tester</t>
        </is>
      </c>
      <c r="H137" s="5" t="inlineStr">
        <is>
          <t>Low</t>
        </is>
      </c>
      <c r="I137" s="5" t="n">
        <v>1</v>
      </c>
      <c r="J137" s="5" t="n"/>
      <c r="K137" s="10">
        <f>IFERROR(IF(INDEX('Test catalog'!$F$2:$F$200,MATCH($AB137,'Test catalog'!$A$2:$A$200,0))="","",INDEX('Test catalog'!$F$2:$F$200,MATCH($AB137,'Test catalog'!$A$2:$A$200,0))),"")</f>
        <v/>
      </c>
      <c r="L137" s="10">
        <f>IFERROR(IF(INDEX('Test catalog'!$G$2:$G$200,MATCH($AB137,'Test catalog'!$A$2:$A$200,0))="","",INDEX('Test catalog'!$G$2:$G$200,MATCH($AB137,'Test catalog'!$A$2:$A$200,0))),"")</f>
        <v/>
      </c>
      <c r="M137" s="10">
        <f>IFERROR(IF(INDEX('Test catalog'!$H$2:$H$200,MATCH($AB137,'Test catalog'!$A$2:$A$200,0))="","",INDEX('Test catalog'!$H$2:$H$200,MATCH($AB137,'Test catalog'!$A$2:$A$200,0))),"")</f>
        <v/>
      </c>
      <c r="N137" s="10">
        <f>IFERROR(IF(INDEX('Test catalog'!$I$2:$I$200,MATCH($AB137,'Test catalog'!$A$2:$A$200,0))="","",INDEX('Test catalog'!$I$2:$I$200,MATCH($AB137,'Test catalog'!$A$2:$A$200,0))),"")</f>
        <v/>
      </c>
      <c r="O137" s="10">
        <f>IFERROR(IF(INDEX('Test catalog'!$J$2:$J$200,MATCH($AB137,'Test catalog'!$A$2:$A$200,0))="","",INDEX('Test catalog'!$J$2:$J$200,MATCH($AB137,'Test catalog'!$A$2:$A$200,0))),"")</f>
        <v/>
      </c>
      <c r="P137" s="14">
        <f>IF(N137="","",IF(OR(M137="",O137=""),N137,(M137+4*N137+O137)/6))</f>
        <v/>
      </c>
      <c r="Q137" s="10">
        <f>IFERROR(IF(INDEX('Test catalog'!$K$2:$K$200,MATCH($AB137,'Test catalog'!$A$2:$A$200,0))="","",INDEX('Test catalog'!$K$2:$K$200,MATCH($AB137,'Test catalog'!$A$2:$A$200,0))),"")</f>
        <v/>
      </c>
      <c r="R137" s="5" t="n"/>
      <c r="S137" s="10">
        <f>IFERROR(IF(INDEX('Test catalog'!$L$2:$L$200,MATCH($AB137,'Test catalog'!$A$2:$A$200,0))="","",INDEX('Test catalog'!$L$2:$L$200,MATCH($AB137,'Test catalog'!$A$2:$A$200,0))),"")</f>
        <v/>
      </c>
      <c r="T137" s="10">
        <f>IFERROR(IF(INDEX('Test catalog'!$M$2:$M$200,MATCH($AB137,'Test catalog'!$A$2:$A$200,0))="","",INDEX('Test catalog'!$M$2:$M$200,MATCH($AB137,'Test catalog'!$A$2:$A$200,0))),"")</f>
        <v/>
      </c>
      <c r="U137" s="10">
        <f>IFERROR(IF(INDEX('Test catalog'!$N$2:$N$200,MATCH($AB137,'Test catalog'!$A$2:$A$200,0))="","",INDEX('Test catalog'!$N$2:$N$200,MATCH($AB137,'Test catalog'!$A$2:$A$200,0))),"")</f>
        <v/>
      </c>
      <c r="V137" s="15" t="n"/>
      <c r="W137" s="5" t="inlineStr">
        <is>
          <t>N</t>
        </is>
      </c>
      <c r="X137" s="5" t="n"/>
      <c r="Y137" s="5" t="n"/>
      <c r="Z137" s="5" t="n"/>
      <c r="AA137" s="10">
        <f>IFERROR(IF(INDEX('Test catalog'!$O$2:$O$200,MATCH($AB137,'Test catalog'!$A$2:$A$200,0))="","",INDEX('Test catalog'!$O$2:$O$200,MATCH($AB137,'Test catalog'!$A$2:$A$200,0))),"")</f>
        <v/>
      </c>
      <c r="AB137" s="10" t="inlineStr">
        <is>
          <t>IPC</t>
        </is>
      </c>
    </row>
    <row r="138">
      <c r="A138" s="10" t="inlineStr">
        <is>
          <t>F20</t>
        </is>
      </c>
      <c r="B138" s="10" t="inlineStr">
        <is>
          <t>FP</t>
        </is>
      </c>
      <c r="C138" s="10" t="inlineStr">
        <is>
          <t>Flusip Cold and cough-Day; Flusip Cold and Cough-Day (Sugar Free); Flusip Cold and Cough-N  |  Acetaminophen, Phenylephrine HCl (+2 more)</t>
        </is>
      </c>
      <c r="D138" s="10" t="inlineStr">
        <is>
          <t>Average weight / uniformity of mass</t>
        </is>
      </c>
      <c r="E138" s="10">
        <f>IF(A138="","",A138&amp;"|"&amp;D138)</f>
        <v/>
      </c>
      <c r="F138" s="5" t="inlineStr">
        <is>
          <t>Y</t>
        </is>
      </c>
      <c r="G138" s="5" t="inlineStr">
        <is>
          <t>Balance</t>
        </is>
      </c>
      <c r="H138" s="5" t="inlineStr">
        <is>
          <t>Low</t>
        </is>
      </c>
      <c r="I138" s="5" t="n">
        <v>1</v>
      </c>
      <c r="J138" s="5" t="n"/>
      <c r="K138" s="10">
        <f>IFERROR(IF(INDEX('Test catalog'!$F$2:$F$200,MATCH($AB138,'Test catalog'!$A$2:$A$200,0))="","",INDEX('Test catalog'!$F$2:$F$200,MATCH($AB138,'Test catalog'!$A$2:$A$200,0))),"")</f>
        <v/>
      </c>
      <c r="L138" s="10">
        <f>IFERROR(IF(INDEX('Test catalog'!$G$2:$G$200,MATCH($AB138,'Test catalog'!$A$2:$A$200,0))="","",INDEX('Test catalog'!$G$2:$G$200,MATCH($AB138,'Test catalog'!$A$2:$A$200,0))),"")</f>
        <v/>
      </c>
      <c r="M138" s="10">
        <f>IFERROR(IF(INDEX('Test catalog'!$H$2:$H$200,MATCH($AB138,'Test catalog'!$A$2:$A$200,0))="","",INDEX('Test catalog'!$H$2:$H$200,MATCH($AB138,'Test catalog'!$A$2:$A$200,0))),"")</f>
        <v/>
      </c>
      <c r="N138" s="10">
        <f>IFERROR(IF(INDEX('Test catalog'!$I$2:$I$200,MATCH($AB138,'Test catalog'!$A$2:$A$200,0))="","",INDEX('Test catalog'!$I$2:$I$200,MATCH($AB138,'Test catalog'!$A$2:$A$200,0))),"")</f>
        <v/>
      </c>
      <c r="O138" s="10">
        <f>IFERROR(IF(INDEX('Test catalog'!$J$2:$J$200,MATCH($AB138,'Test catalog'!$A$2:$A$200,0))="","",INDEX('Test catalog'!$J$2:$J$200,MATCH($AB138,'Test catalog'!$A$2:$A$200,0))),"")</f>
        <v/>
      </c>
      <c r="P138" s="14">
        <f>IF(N138="","",IF(OR(M138="",O138=""),N138,(M138+4*N138+O138)/6))</f>
        <v/>
      </c>
      <c r="Q138" s="10">
        <f>IFERROR(IF(INDEX('Test catalog'!$K$2:$K$200,MATCH($AB138,'Test catalog'!$A$2:$A$200,0))="","",INDEX('Test catalog'!$K$2:$K$200,MATCH($AB138,'Test catalog'!$A$2:$A$200,0))),"")</f>
        <v/>
      </c>
      <c r="R138" s="5" t="n"/>
      <c r="S138" s="10">
        <f>IFERROR(IF(INDEX('Test catalog'!$L$2:$L$200,MATCH($AB138,'Test catalog'!$A$2:$A$200,0))="","",INDEX('Test catalog'!$L$2:$L$200,MATCH($AB138,'Test catalog'!$A$2:$A$200,0))),"")</f>
        <v/>
      </c>
      <c r="T138" s="10">
        <f>IFERROR(IF(INDEX('Test catalog'!$M$2:$M$200,MATCH($AB138,'Test catalog'!$A$2:$A$200,0))="","",INDEX('Test catalog'!$M$2:$M$200,MATCH($AB138,'Test catalog'!$A$2:$A$200,0))),"")</f>
        <v/>
      </c>
      <c r="U138" s="10">
        <f>IFERROR(IF(INDEX('Test catalog'!$N$2:$N$200,MATCH($AB138,'Test catalog'!$A$2:$A$200,0))="","",INDEX('Test catalog'!$N$2:$N$200,MATCH($AB138,'Test catalog'!$A$2:$A$200,0))),"")</f>
        <v/>
      </c>
      <c r="V138" s="15" t="n"/>
      <c r="W138" s="5" t="inlineStr">
        <is>
          <t>N</t>
        </is>
      </c>
      <c r="X138" s="5" t="n"/>
      <c r="Y138" s="5" t="n"/>
      <c r="Z138" s="5" t="n"/>
      <c r="AA138" s="10">
        <f>IFERROR(IF(INDEX('Test catalog'!$O$2:$O$200,MATCH($AB138,'Test catalog'!$A$2:$A$200,0))="","",INDEX('Test catalog'!$O$2:$O$200,MATCH($AB138,'Test catalog'!$A$2:$A$200,0))),"")</f>
        <v/>
      </c>
      <c r="AB138" s="10" t="inlineStr">
        <is>
          <t>AVG_WT</t>
        </is>
      </c>
    </row>
    <row r="139">
      <c r="A139" s="10" t="inlineStr">
        <is>
          <t>F20</t>
        </is>
      </c>
      <c r="B139" s="10" t="inlineStr">
        <is>
          <t>FP</t>
        </is>
      </c>
      <c r="C139" s="10" t="inlineStr">
        <is>
          <t>Flusip Cold and cough-Day; Flusip Cold and Cough-Day (Sugar Free); Flusip Cold and Cough-N  |  Acetaminophen, Phenylephrine HCl (+2 more)</t>
        </is>
      </c>
      <c r="D139" s="10" t="inlineStr">
        <is>
          <t>Diameter (or length / width)</t>
        </is>
      </c>
      <c r="E139" s="10">
        <f>IF(A139="","",A139&amp;"|"&amp;D139)</f>
        <v/>
      </c>
      <c r="F139" s="5" t="inlineStr">
        <is>
          <t>Y</t>
        </is>
      </c>
      <c r="G139" s="5" t="inlineStr">
        <is>
          <t>Tablet tester</t>
        </is>
      </c>
      <c r="H139" s="5" t="inlineStr">
        <is>
          <t>Low</t>
        </is>
      </c>
      <c r="I139" s="5" t="n">
        <v>1</v>
      </c>
      <c r="J139" s="5" t="n"/>
      <c r="K139" s="10">
        <f>IFERROR(IF(INDEX('Test catalog'!$F$2:$F$200,MATCH($AB139,'Test catalog'!$A$2:$A$200,0))="","",INDEX('Test catalog'!$F$2:$F$200,MATCH($AB139,'Test catalog'!$A$2:$A$200,0))),"")</f>
        <v/>
      </c>
      <c r="L139" s="10">
        <f>IFERROR(IF(INDEX('Test catalog'!$G$2:$G$200,MATCH($AB139,'Test catalog'!$A$2:$A$200,0))="","",INDEX('Test catalog'!$G$2:$G$200,MATCH($AB139,'Test catalog'!$A$2:$A$200,0))),"")</f>
        <v/>
      </c>
      <c r="M139" s="10">
        <f>IFERROR(IF(INDEX('Test catalog'!$H$2:$H$200,MATCH($AB139,'Test catalog'!$A$2:$A$200,0))="","",INDEX('Test catalog'!$H$2:$H$200,MATCH($AB139,'Test catalog'!$A$2:$A$200,0))),"")</f>
        <v/>
      </c>
      <c r="N139" s="10">
        <f>IFERROR(IF(INDEX('Test catalog'!$I$2:$I$200,MATCH($AB139,'Test catalog'!$A$2:$A$200,0))="","",INDEX('Test catalog'!$I$2:$I$200,MATCH($AB139,'Test catalog'!$A$2:$A$200,0))),"")</f>
        <v/>
      </c>
      <c r="O139" s="10">
        <f>IFERROR(IF(INDEX('Test catalog'!$J$2:$J$200,MATCH($AB139,'Test catalog'!$A$2:$A$200,0))="","",INDEX('Test catalog'!$J$2:$J$200,MATCH($AB139,'Test catalog'!$A$2:$A$200,0))),"")</f>
        <v/>
      </c>
      <c r="P139" s="14">
        <f>IF(N139="","",IF(OR(M139="",O139=""),N139,(M139+4*N139+O139)/6))</f>
        <v/>
      </c>
      <c r="Q139" s="10">
        <f>IFERROR(IF(INDEX('Test catalog'!$K$2:$K$200,MATCH($AB139,'Test catalog'!$A$2:$A$200,0))="","",INDEX('Test catalog'!$K$2:$K$200,MATCH($AB139,'Test catalog'!$A$2:$A$200,0))),"")</f>
        <v/>
      </c>
      <c r="R139" s="5" t="n"/>
      <c r="S139" s="10">
        <f>IFERROR(IF(INDEX('Test catalog'!$L$2:$L$200,MATCH($AB139,'Test catalog'!$A$2:$A$200,0))="","",INDEX('Test catalog'!$L$2:$L$200,MATCH($AB139,'Test catalog'!$A$2:$A$200,0))),"")</f>
        <v/>
      </c>
      <c r="T139" s="10">
        <f>IFERROR(IF(INDEX('Test catalog'!$M$2:$M$200,MATCH($AB139,'Test catalog'!$A$2:$A$200,0))="","",INDEX('Test catalog'!$M$2:$M$200,MATCH($AB139,'Test catalog'!$A$2:$A$200,0))),"")</f>
        <v/>
      </c>
      <c r="U139" s="10">
        <f>IFERROR(IF(INDEX('Test catalog'!$N$2:$N$200,MATCH($AB139,'Test catalog'!$A$2:$A$200,0))="","",INDEX('Test catalog'!$N$2:$N$200,MATCH($AB139,'Test catalog'!$A$2:$A$200,0))),"")</f>
        <v/>
      </c>
      <c r="V139" s="15" t="n"/>
      <c r="W139" s="5" t="inlineStr">
        <is>
          <t>N</t>
        </is>
      </c>
      <c r="X139" s="5" t="n"/>
      <c r="Y139" s="5" t="n"/>
      <c r="Z139" s="5" t="n"/>
      <c r="AA139" s="10">
        <f>IFERROR(IF(INDEX('Test catalog'!$O$2:$O$200,MATCH($AB139,'Test catalog'!$A$2:$A$200,0))="","",INDEX('Test catalog'!$O$2:$O$200,MATCH($AB139,'Test catalog'!$A$2:$A$200,0))),"")</f>
        <v/>
      </c>
      <c r="AB139" s="10" t="inlineStr">
        <is>
          <t>DIAM</t>
        </is>
      </c>
    </row>
    <row r="140">
      <c r="A140" s="10" t="inlineStr">
        <is>
          <t>F20</t>
        </is>
      </c>
      <c r="B140" s="10" t="inlineStr">
        <is>
          <t>FP</t>
        </is>
      </c>
      <c r="C140" s="10" t="inlineStr">
        <is>
          <t>Flusip Cold and cough-Day; Flusip Cold and Cough-Day (Sugar Free); Flusip Cold and Cough-N  |  Acetaminophen, Phenylephrine HCl (+2 more)</t>
        </is>
      </c>
      <c r="D140" s="10" t="inlineStr">
        <is>
          <t>Thickness</t>
        </is>
      </c>
      <c r="E140" s="10">
        <f>IF(A140="","",A140&amp;"|"&amp;D140)</f>
        <v/>
      </c>
      <c r="F140" s="5" t="inlineStr">
        <is>
          <t>Y</t>
        </is>
      </c>
      <c r="G140" s="5" t="inlineStr">
        <is>
          <t>Tablet tester</t>
        </is>
      </c>
      <c r="H140" s="5" t="inlineStr">
        <is>
          <t>Low</t>
        </is>
      </c>
      <c r="I140" s="5" t="n">
        <v>1</v>
      </c>
      <c r="J140" s="5" t="n"/>
      <c r="K140" s="10">
        <f>IFERROR(IF(INDEX('Test catalog'!$F$2:$F$200,MATCH($AB140,'Test catalog'!$A$2:$A$200,0))="","",INDEX('Test catalog'!$F$2:$F$200,MATCH($AB140,'Test catalog'!$A$2:$A$200,0))),"")</f>
        <v/>
      </c>
      <c r="L140" s="10">
        <f>IFERROR(IF(INDEX('Test catalog'!$G$2:$G$200,MATCH($AB140,'Test catalog'!$A$2:$A$200,0))="","",INDEX('Test catalog'!$G$2:$G$200,MATCH($AB140,'Test catalog'!$A$2:$A$200,0))),"")</f>
        <v/>
      </c>
      <c r="M140" s="10">
        <f>IFERROR(IF(INDEX('Test catalog'!$H$2:$H$200,MATCH($AB140,'Test catalog'!$A$2:$A$200,0))="","",INDEX('Test catalog'!$H$2:$H$200,MATCH($AB140,'Test catalog'!$A$2:$A$200,0))),"")</f>
        <v/>
      </c>
      <c r="N140" s="10">
        <f>IFERROR(IF(INDEX('Test catalog'!$I$2:$I$200,MATCH($AB140,'Test catalog'!$A$2:$A$200,0))="","",INDEX('Test catalog'!$I$2:$I$200,MATCH($AB140,'Test catalog'!$A$2:$A$200,0))),"")</f>
        <v/>
      </c>
      <c r="O140" s="10">
        <f>IFERROR(IF(INDEX('Test catalog'!$J$2:$J$200,MATCH($AB140,'Test catalog'!$A$2:$A$200,0))="","",INDEX('Test catalog'!$J$2:$J$200,MATCH($AB140,'Test catalog'!$A$2:$A$200,0))),"")</f>
        <v/>
      </c>
      <c r="P140" s="14">
        <f>IF(N140="","",IF(OR(M140="",O140=""),N140,(M140+4*N140+O140)/6))</f>
        <v/>
      </c>
      <c r="Q140" s="10">
        <f>IFERROR(IF(INDEX('Test catalog'!$K$2:$K$200,MATCH($AB140,'Test catalog'!$A$2:$A$200,0))="","",INDEX('Test catalog'!$K$2:$K$200,MATCH($AB140,'Test catalog'!$A$2:$A$200,0))),"")</f>
        <v/>
      </c>
      <c r="R140" s="5" t="n"/>
      <c r="S140" s="10">
        <f>IFERROR(IF(INDEX('Test catalog'!$L$2:$L$200,MATCH($AB140,'Test catalog'!$A$2:$A$200,0))="","",INDEX('Test catalog'!$L$2:$L$200,MATCH($AB140,'Test catalog'!$A$2:$A$200,0))),"")</f>
        <v/>
      </c>
      <c r="T140" s="10">
        <f>IFERROR(IF(INDEX('Test catalog'!$M$2:$M$200,MATCH($AB140,'Test catalog'!$A$2:$A$200,0))="","",INDEX('Test catalog'!$M$2:$M$200,MATCH($AB140,'Test catalog'!$A$2:$A$200,0))),"")</f>
        <v/>
      </c>
      <c r="U140" s="10">
        <f>IFERROR(IF(INDEX('Test catalog'!$N$2:$N$200,MATCH($AB140,'Test catalog'!$A$2:$A$200,0))="","",INDEX('Test catalog'!$N$2:$N$200,MATCH($AB140,'Test catalog'!$A$2:$A$200,0))),"")</f>
        <v/>
      </c>
      <c r="V140" s="15" t="n"/>
      <c r="W140" s="5" t="inlineStr">
        <is>
          <t>N</t>
        </is>
      </c>
      <c r="X140" s="5" t="n"/>
      <c r="Y140" s="5" t="n"/>
      <c r="Z140" s="5" t="n"/>
      <c r="AA140" s="10">
        <f>IFERROR(IF(INDEX('Test catalog'!$O$2:$O$200,MATCH($AB140,'Test catalog'!$A$2:$A$200,0))="","",INDEX('Test catalog'!$O$2:$O$200,MATCH($AB140,'Test catalog'!$A$2:$A$200,0))),"")</f>
        <v/>
      </c>
      <c r="AB140" s="10" t="inlineStr">
        <is>
          <t>THICK</t>
        </is>
      </c>
    </row>
    <row r="141">
      <c r="A141" s="10" t="inlineStr">
        <is>
          <t>F20</t>
        </is>
      </c>
      <c r="B141" s="10" t="inlineStr">
        <is>
          <t>FP</t>
        </is>
      </c>
      <c r="C141" s="10" t="inlineStr">
        <is>
          <t>Flusip Cold and cough-Day; Flusip Cold and Cough-Day (Sugar Free); Flusip Cold and Cough-N  |  Acetaminophen, Phenylephrine HCl (+2 more)</t>
        </is>
      </c>
      <c r="D141" s="10" t="inlineStr">
        <is>
          <t>Hardness / breaking force</t>
        </is>
      </c>
      <c r="E141" s="10">
        <f>IF(A141="","",A141&amp;"|"&amp;D141)</f>
        <v/>
      </c>
      <c r="F141" s="5" t="inlineStr">
        <is>
          <t>Y</t>
        </is>
      </c>
      <c r="G141" s="5" t="inlineStr">
        <is>
          <t>Tablet tester</t>
        </is>
      </c>
      <c r="H141" s="5" t="inlineStr">
        <is>
          <t>Low</t>
        </is>
      </c>
      <c r="I141" s="5" t="n">
        <v>1</v>
      </c>
      <c r="J141" s="5" t="n"/>
      <c r="K141" s="10">
        <f>IFERROR(IF(INDEX('Test catalog'!$F$2:$F$200,MATCH($AB141,'Test catalog'!$A$2:$A$200,0))="","",INDEX('Test catalog'!$F$2:$F$200,MATCH($AB141,'Test catalog'!$A$2:$A$200,0))),"")</f>
        <v/>
      </c>
      <c r="L141" s="10">
        <f>IFERROR(IF(INDEX('Test catalog'!$G$2:$G$200,MATCH($AB141,'Test catalog'!$A$2:$A$200,0))="","",INDEX('Test catalog'!$G$2:$G$200,MATCH($AB141,'Test catalog'!$A$2:$A$200,0))),"")</f>
        <v/>
      </c>
      <c r="M141" s="10">
        <f>IFERROR(IF(INDEX('Test catalog'!$H$2:$H$200,MATCH($AB141,'Test catalog'!$A$2:$A$200,0))="","",INDEX('Test catalog'!$H$2:$H$200,MATCH($AB141,'Test catalog'!$A$2:$A$200,0))),"")</f>
        <v/>
      </c>
      <c r="N141" s="10">
        <f>IFERROR(IF(INDEX('Test catalog'!$I$2:$I$200,MATCH($AB141,'Test catalog'!$A$2:$A$200,0))="","",INDEX('Test catalog'!$I$2:$I$200,MATCH($AB141,'Test catalog'!$A$2:$A$200,0))),"")</f>
        <v/>
      </c>
      <c r="O141" s="10">
        <f>IFERROR(IF(INDEX('Test catalog'!$J$2:$J$200,MATCH($AB141,'Test catalog'!$A$2:$A$200,0))="","",INDEX('Test catalog'!$J$2:$J$200,MATCH($AB141,'Test catalog'!$A$2:$A$200,0))),"")</f>
        <v/>
      </c>
      <c r="P141" s="14">
        <f>IF(N141="","",IF(OR(M141="",O141=""),N141,(M141+4*N141+O141)/6))</f>
        <v/>
      </c>
      <c r="Q141" s="10">
        <f>IFERROR(IF(INDEX('Test catalog'!$K$2:$K$200,MATCH($AB141,'Test catalog'!$A$2:$A$200,0))="","",INDEX('Test catalog'!$K$2:$K$200,MATCH($AB141,'Test catalog'!$A$2:$A$200,0))),"")</f>
        <v/>
      </c>
      <c r="R141" s="5" t="n"/>
      <c r="S141" s="10">
        <f>IFERROR(IF(INDEX('Test catalog'!$L$2:$L$200,MATCH($AB141,'Test catalog'!$A$2:$A$200,0))="","",INDEX('Test catalog'!$L$2:$L$200,MATCH($AB141,'Test catalog'!$A$2:$A$200,0))),"")</f>
        <v/>
      </c>
      <c r="T141" s="10">
        <f>IFERROR(IF(INDEX('Test catalog'!$M$2:$M$200,MATCH($AB141,'Test catalog'!$A$2:$A$200,0))="","",INDEX('Test catalog'!$M$2:$M$200,MATCH($AB141,'Test catalog'!$A$2:$A$200,0))),"")</f>
        <v/>
      </c>
      <c r="U141" s="10">
        <f>IFERROR(IF(INDEX('Test catalog'!$N$2:$N$200,MATCH($AB141,'Test catalog'!$A$2:$A$200,0))="","",INDEX('Test catalog'!$N$2:$N$200,MATCH($AB141,'Test catalog'!$A$2:$A$200,0))),"")</f>
        <v/>
      </c>
      <c r="V141" s="15" t="n"/>
      <c r="W141" s="5" t="inlineStr">
        <is>
          <t>Y</t>
        </is>
      </c>
      <c r="X141" s="5" t="n"/>
      <c r="Y141" s="5" t="n"/>
      <c r="Z141" s="5" t="n"/>
      <c r="AA141" s="10">
        <f>IFERROR(IF(INDEX('Test catalog'!$O$2:$O$200,MATCH($AB141,'Test catalog'!$A$2:$A$200,0))="","",INDEX('Test catalog'!$O$2:$O$200,MATCH($AB141,'Test catalog'!$A$2:$A$200,0))),"")</f>
        <v/>
      </c>
      <c r="AB141" s="10" t="inlineStr">
        <is>
          <t>HARD</t>
        </is>
      </c>
    </row>
    <row r="142">
      <c r="A142" s="10" t="inlineStr">
        <is>
          <t>F20</t>
        </is>
      </c>
      <c r="B142" s="10" t="inlineStr">
        <is>
          <t>FP</t>
        </is>
      </c>
      <c r="C142" s="10" t="inlineStr">
        <is>
          <t>Flusip Cold and cough-Day; Flusip Cold and Cough-Day (Sugar Free); Flusip Cold and Cough-N  |  Acetaminophen, Phenylephrine HCl (+2 more)</t>
        </is>
      </c>
      <c r="D142" s="10" t="inlineStr">
        <is>
          <t>Brittleness</t>
        </is>
      </c>
      <c r="E142" s="10">
        <f>IF(A142="","",A142&amp;"|"&amp;D142)</f>
        <v/>
      </c>
      <c r="F142" s="5" t="inlineStr">
        <is>
          <t>Y</t>
        </is>
      </c>
      <c r="G142" s="5" t="inlineStr">
        <is>
          <t>Other / bench</t>
        </is>
      </c>
      <c r="H142" s="5" t="inlineStr">
        <is>
          <t>Low</t>
        </is>
      </c>
      <c r="I142" s="5" t="n">
        <v>1</v>
      </c>
      <c r="J142" s="5" t="n"/>
      <c r="K142" s="10">
        <f>IFERROR(IF(INDEX('Test catalog'!$F$2:$F$200,MATCH($AB142,'Test catalog'!$A$2:$A$200,0))="","",INDEX('Test catalog'!$F$2:$F$200,MATCH($AB142,'Test catalog'!$A$2:$A$200,0))),"")</f>
        <v/>
      </c>
      <c r="L142" s="10">
        <f>IFERROR(IF(INDEX('Test catalog'!$G$2:$G$200,MATCH($AB142,'Test catalog'!$A$2:$A$200,0))="","",INDEX('Test catalog'!$G$2:$G$200,MATCH($AB142,'Test catalog'!$A$2:$A$200,0))),"")</f>
        <v/>
      </c>
      <c r="M142" s="10">
        <f>IFERROR(IF(INDEX('Test catalog'!$H$2:$H$200,MATCH($AB142,'Test catalog'!$A$2:$A$200,0))="","",INDEX('Test catalog'!$H$2:$H$200,MATCH($AB142,'Test catalog'!$A$2:$A$200,0))),"")</f>
        <v/>
      </c>
      <c r="N142" s="10">
        <f>IFERROR(IF(INDEX('Test catalog'!$I$2:$I$200,MATCH($AB142,'Test catalog'!$A$2:$A$200,0))="","",INDEX('Test catalog'!$I$2:$I$200,MATCH($AB142,'Test catalog'!$A$2:$A$200,0))),"")</f>
        <v/>
      </c>
      <c r="O142" s="10">
        <f>IFERROR(IF(INDEX('Test catalog'!$J$2:$J$200,MATCH($AB142,'Test catalog'!$A$2:$A$200,0))="","",INDEX('Test catalog'!$J$2:$J$200,MATCH($AB142,'Test catalog'!$A$2:$A$200,0))),"")</f>
        <v/>
      </c>
      <c r="P142" s="14">
        <f>IF(N142="","",IF(OR(M142="",O142=""),N142,(M142+4*N142+O142)/6))</f>
        <v/>
      </c>
      <c r="Q142" s="10">
        <f>IFERROR(IF(INDEX('Test catalog'!$K$2:$K$200,MATCH($AB142,'Test catalog'!$A$2:$A$200,0))="","",INDEX('Test catalog'!$K$2:$K$200,MATCH($AB142,'Test catalog'!$A$2:$A$200,0))),"")</f>
        <v/>
      </c>
      <c r="R142" s="5" t="n"/>
      <c r="S142" s="10">
        <f>IFERROR(IF(INDEX('Test catalog'!$L$2:$L$200,MATCH($AB142,'Test catalog'!$A$2:$A$200,0))="","",INDEX('Test catalog'!$L$2:$L$200,MATCH($AB142,'Test catalog'!$A$2:$A$200,0))),"")</f>
        <v/>
      </c>
      <c r="T142" s="10">
        <f>IFERROR(IF(INDEX('Test catalog'!$M$2:$M$200,MATCH($AB142,'Test catalog'!$A$2:$A$200,0))="","",INDEX('Test catalog'!$M$2:$M$200,MATCH($AB142,'Test catalog'!$A$2:$A$200,0))),"")</f>
        <v/>
      </c>
      <c r="U142" s="10">
        <f>IFERROR(IF(INDEX('Test catalog'!$N$2:$N$200,MATCH($AB142,'Test catalog'!$A$2:$A$200,0))="","",INDEX('Test catalog'!$N$2:$N$200,MATCH($AB142,'Test catalog'!$A$2:$A$200,0))),"")</f>
        <v/>
      </c>
      <c r="V142" s="15" t="n"/>
      <c r="W142" s="5" t="inlineStr">
        <is>
          <t>N</t>
        </is>
      </c>
      <c r="X142" s="5" t="n"/>
      <c r="Y142" s="5" t="n"/>
      <c r="Z142" s="5" t="n"/>
      <c r="AA142" s="10">
        <f>IFERROR(IF(INDEX('Test catalog'!$O$2:$O$200,MATCH($AB142,'Test catalog'!$A$2:$A$200,0))="","",INDEX('Test catalog'!$O$2:$O$200,MATCH($AB142,'Test catalog'!$A$2:$A$200,0))),"")</f>
        <v/>
      </c>
      <c r="AB142" s="10" t="inlineStr">
        <is>
          <t>BRITTLE</t>
        </is>
      </c>
    </row>
    <row r="143">
      <c r="A143" s="10" t="inlineStr">
        <is>
          <t>F20</t>
        </is>
      </c>
      <c r="B143" s="10" t="inlineStr">
        <is>
          <t>FP</t>
        </is>
      </c>
      <c r="C143" s="10" t="inlineStr">
        <is>
          <t>Flusip Cold and cough-Day; Flusip Cold and Cough-Day (Sugar Free); Flusip Cold and Cough-N  |  Acetaminophen, Phenylephrine HCl (+2 more)</t>
        </is>
      </c>
      <c r="D143" s="10" t="inlineStr">
        <is>
          <t>Friability</t>
        </is>
      </c>
      <c r="E143" s="10">
        <f>IF(A143="","",A143&amp;"|"&amp;D143)</f>
        <v/>
      </c>
      <c r="F143" s="5" t="inlineStr">
        <is>
          <t>Y</t>
        </is>
      </c>
      <c r="G143" s="5" t="inlineStr">
        <is>
          <t>Friabilator</t>
        </is>
      </c>
      <c r="H143" s="5" t="inlineStr">
        <is>
          <t>Low</t>
        </is>
      </c>
      <c r="I143" s="5" t="n">
        <v>1</v>
      </c>
      <c r="J143" s="5" t="n"/>
      <c r="K143" s="10">
        <f>IFERROR(IF(INDEX('Test catalog'!$F$2:$F$200,MATCH($AB143,'Test catalog'!$A$2:$A$200,0))="","",INDEX('Test catalog'!$F$2:$F$200,MATCH($AB143,'Test catalog'!$A$2:$A$200,0))),"")</f>
        <v/>
      </c>
      <c r="L143" s="10">
        <f>IFERROR(IF(INDEX('Test catalog'!$G$2:$G$200,MATCH($AB143,'Test catalog'!$A$2:$A$200,0))="","",INDEX('Test catalog'!$G$2:$G$200,MATCH($AB143,'Test catalog'!$A$2:$A$200,0))),"")</f>
        <v/>
      </c>
      <c r="M143" s="10">
        <f>IFERROR(IF(INDEX('Test catalog'!$H$2:$H$200,MATCH($AB143,'Test catalog'!$A$2:$A$200,0))="","",INDEX('Test catalog'!$H$2:$H$200,MATCH($AB143,'Test catalog'!$A$2:$A$200,0))),"")</f>
        <v/>
      </c>
      <c r="N143" s="10">
        <f>IFERROR(IF(INDEX('Test catalog'!$I$2:$I$200,MATCH($AB143,'Test catalog'!$A$2:$A$200,0))="","",INDEX('Test catalog'!$I$2:$I$200,MATCH($AB143,'Test catalog'!$A$2:$A$200,0))),"")</f>
        <v/>
      </c>
      <c r="O143" s="10">
        <f>IFERROR(IF(INDEX('Test catalog'!$J$2:$J$200,MATCH($AB143,'Test catalog'!$A$2:$A$200,0))="","",INDEX('Test catalog'!$J$2:$J$200,MATCH($AB143,'Test catalog'!$A$2:$A$200,0))),"")</f>
        <v/>
      </c>
      <c r="P143" s="14">
        <f>IF(N143="","",IF(OR(M143="",O143=""),N143,(M143+4*N143+O143)/6))</f>
        <v/>
      </c>
      <c r="Q143" s="10">
        <f>IFERROR(IF(INDEX('Test catalog'!$K$2:$K$200,MATCH($AB143,'Test catalog'!$A$2:$A$200,0))="","",INDEX('Test catalog'!$K$2:$K$200,MATCH($AB143,'Test catalog'!$A$2:$A$200,0))),"")</f>
        <v/>
      </c>
      <c r="R143" s="5" t="n"/>
      <c r="S143" s="10">
        <f>IFERROR(IF(INDEX('Test catalog'!$L$2:$L$200,MATCH($AB143,'Test catalog'!$A$2:$A$200,0))="","",INDEX('Test catalog'!$L$2:$L$200,MATCH($AB143,'Test catalog'!$A$2:$A$200,0))),"")</f>
        <v/>
      </c>
      <c r="T143" s="10">
        <f>IFERROR(IF(INDEX('Test catalog'!$M$2:$M$200,MATCH($AB143,'Test catalog'!$A$2:$A$200,0))="","",INDEX('Test catalog'!$M$2:$M$200,MATCH($AB143,'Test catalog'!$A$2:$A$200,0))),"")</f>
        <v/>
      </c>
      <c r="U143" s="10">
        <f>IFERROR(IF(INDEX('Test catalog'!$N$2:$N$200,MATCH($AB143,'Test catalog'!$A$2:$A$200,0))="","",INDEX('Test catalog'!$N$2:$N$200,MATCH($AB143,'Test catalog'!$A$2:$A$200,0))),"")</f>
        <v/>
      </c>
      <c r="V143" s="15" t="n"/>
      <c r="W143" s="5" t="inlineStr">
        <is>
          <t>N</t>
        </is>
      </c>
      <c r="X143" s="5" t="n"/>
      <c r="Y143" s="5" t="n"/>
      <c r="Z143" s="5" t="n"/>
      <c r="AA143" s="10">
        <f>IFERROR(IF(INDEX('Test catalog'!$O$2:$O$200,MATCH($AB143,'Test catalog'!$A$2:$A$200,0))="","",INDEX('Test catalog'!$O$2:$O$200,MATCH($AB143,'Test catalog'!$A$2:$A$200,0))),"")</f>
        <v/>
      </c>
      <c r="AB143" s="10" t="inlineStr">
        <is>
          <t>FRIAB</t>
        </is>
      </c>
    </row>
    <row r="144">
      <c r="A144" s="10" t="inlineStr">
        <is>
          <t>F20</t>
        </is>
      </c>
      <c r="B144" s="10" t="inlineStr">
        <is>
          <t>FP</t>
        </is>
      </c>
      <c r="C144" s="10" t="inlineStr">
        <is>
          <t>Flusip Cold and cough-Day; Flusip Cold and Cough-Day (Sugar Free); Flusip Cold and Cough-N  |  Acetaminophen, Phenylephrine HCl (+2 more)</t>
        </is>
      </c>
      <c r="D144" s="10" t="inlineStr">
        <is>
          <t>Disintegration</t>
        </is>
      </c>
      <c r="E144" s="10">
        <f>IF(A144="","",A144&amp;"|"&amp;D144)</f>
        <v/>
      </c>
      <c r="F144" s="5" t="inlineStr">
        <is>
          <t>Y</t>
        </is>
      </c>
      <c r="G144" s="5" t="inlineStr">
        <is>
          <t>Disintegration tester</t>
        </is>
      </c>
      <c r="H144" s="5" t="inlineStr">
        <is>
          <t>Low</t>
        </is>
      </c>
      <c r="I144" s="5" t="n">
        <v>1</v>
      </c>
      <c r="J144" s="5" t="n"/>
      <c r="K144" s="10">
        <f>IFERROR(IF(INDEX('Test catalog'!$F$2:$F$200,MATCH($AB144,'Test catalog'!$A$2:$A$200,0))="","",INDEX('Test catalog'!$F$2:$F$200,MATCH($AB144,'Test catalog'!$A$2:$A$200,0))),"")</f>
        <v/>
      </c>
      <c r="L144" s="10">
        <f>IFERROR(IF(INDEX('Test catalog'!$G$2:$G$200,MATCH($AB144,'Test catalog'!$A$2:$A$200,0))="","",INDEX('Test catalog'!$G$2:$G$200,MATCH($AB144,'Test catalog'!$A$2:$A$200,0))),"")</f>
        <v/>
      </c>
      <c r="M144" s="10">
        <f>IFERROR(IF(INDEX('Test catalog'!$H$2:$H$200,MATCH($AB144,'Test catalog'!$A$2:$A$200,0))="","",INDEX('Test catalog'!$H$2:$H$200,MATCH($AB144,'Test catalog'!$A$2:$A$200,0))),"")</f>
        <v/>
      </c>
      <c r="N144" s="10">
        <f>IFERROR(IF(INDEX('Test catalog'!$I$2:$I$200,MATCH($AB144,'Test catalog'!$A$2:$A$200,0))="","",INDEX('Test catalog'!$I$2:$I$200,MATCH($AB144,'Test catalog'!$A$2:$A$200,0))),"")</f>
        <v/>
      </c>
      <c r="O144" s="10">
        <f>IFERROR(IF(INDEX('Test catalog'!$J$2:$J$200,MATCH($AB144,'Test catalog'!$A$2:$A$200,0))="","",INDEX('Test catalog'!$J$2:$J$200,MATCH($AB144,'Test catalog'!$A$2:$A$200,0))),"")</f>
        <v/>
      </c>
      <c r="P144" s="14">
        <f>IF(N144="","",IF(OR(M144="",O144=""),N144,(M144+4*N144+O144)/6))</f>
        <v/>
      </c>
      <c r="Q144" s="10">
        <f>IFERROR(IF(INDEX('Test catalog'!$K$2:$K$200,MATCH($AB144,'Test catalog'!$A$2:$A$200,0))="","",INDEX('Test catalog'!$K$2:$K$200,MATCH($AB144,'Test catalog'!$A$2:$A$200,0))),"")</f>
        <v/>
      </c>
      <c r="R144" s="5" t="n"/>
      <c r="S144" s="10">
        <f>IFERROR(IF(INDEX('Test catalog'!$L$2:$L$200,MATCH($AB144,'Test catalog'!$A$2:$A$200,0))="","",INDEX('Test catalog'!$L$2:$L$200,MATCH($AB144,'Test catalog'!$A$2:$A$200,0))),"")</f>
        <v/>
      </c>
      <c r="T144" s="10">
        <f>IFERROR(IF(INDEX('Test catalog'!$M$2:$M$200,MATCH($AB144,'Test catalog'!$A$2:$A$200,0))="","",INDEX('Test catalog'!$M$2:$M$200,MATCH($AB144,'Test catalog'!$A$2:$A$200,0))),"")</f>
        <v/>
      </c>
      <c r="U144" s="10">
        <f>IFERROR(IF(INDEX('Test catalog'!$N$2:$N$200,MATCH($AB144,'Test catalog'!$A$2:$A$200,0))="","",INDEX('Test catalog'!$N$2:$N$200,MATCH($AB144,'Test catalog'!$A$2:$A$200,0))),"")</f>
        <v/>
      </c>
      <c r="V144" s="15" t="n"/>
      <c r="W144" s="5" t="inlineStr">
        <is>
          <t>Y</t>
        </is>
      </c>
      <c r="X144" s="5" t="n"/>
      <c r="Y144" s="5" t="n"/>
      <c r="Z144" s="5" t="n"/>
      <c r="AA144" s="10">
        <f>IFERROR(IF(INDEX('Test catalog'!$O$2:$O$200,MATCH($AB144,'Test catalog'!$A$2:$A$200,0))="","",INDEX('Test catalog'!$O$2:$O$200,MATCH($AB144,'Test catalog'!$A$2:$A$200,0))),"")</f>
        <v/>
      </c>
      <c r="AB144" s="10" t="inlineStr">
        <is>
          <t>DISINT</t>
        </is>
      </c>
    </row>
    <row r="145">
      <c r="A145" s="10" t="inlineStr">
        <is>
          <t>F20</t>
        </is>
      </c>
      <c r="B145" s="10" t="inlineStr">
        <is>
          <t>FP</t>
        </is>
      </c>
      <c r="C145" s="10" t="inlineStr">
        <is>
          <t>Flusip Cold and cough-Day; Flusip Cold and Cough-Day (Sugar Free); Flusip Cold and Cough-N  |  Acetaminophen, Phenylephrine HCl (+2 more)</t>
        </is>
      </c>
      <c r="D145" s="10" t="inlineStr">
        <is>
          <t>In-process check at the machine (one check, all its tests)</t>
        </is>
      </c>
      <c r="E145" s="10">
        <f>IF(A145="","",A145&amp;"|"&amp;D145)</f>
        <v/>
      </c>
      <c r="F145" s="5" t="inlineStr">
        <is>
          <t>Y</t>
        </is>
      </c>
      <c r="G145" s="5" t="inlineStr">
        <is>
          <t>Tablet tester</t>
        </is>
      </c>
      <c r="H145" s="5" t="inlineStr">
        <is>
          <t>Low</t>
        </is>
      </c>
      <c r="I145" s="5" t="n">
        <v>1</v>
      </c>
      <c r="J145" s="5" t="n"/>
      <c r="K145" s="10">
        <f>IFERROR(IF(INDEX('Test catalog'!$F$2:$F$200,MATCH($AB145,'Test catalog'!$A$2:$A$200,0))="","",INDEX('Test catalog'!$F$2:$F$200,MATCH($AB145,'Test catalog'!$A$2:$A$200,0))),"")</f>
        <v/>
      </c>
      <c r="L145" s="10">
        <f>IFERROR(IF(INDEX('Test catalog'!$G$2:$G$200,MATCH($AB145,'Test catalog'!$A$2:$A$200,0))="","",INDEX('Test catalog'!$G$2:$G$200,MATCH($AB145,'Test catalog'!$A$2:$A$200,0))),"")</f>
        <v/>
      </c>
      <c r="M145" s="10">
        <f>IFERROR(IF(INDEX('Test catalog'!$H$2:$H$200,MATCH($AB145,'Test catalog'!$A$2:$A$200,0))="","",INDEX('Test catalog'!$H$2:$H$200,MATCH($AB145,'Test catalog'!$A$2:$A$200,0))),"")</f>
        <v/>
      </c>
      <c r="N145" s="10">
        <f>IFERROR(IF(INDEX('Test catalog'!$I$2:$I$200,MATCH($AB145,'Test catalog'!$A$2:$A$200,0))="","",INDEX('Test catalog'!$I$2:$I$200,MATCH($AB145,'Test catalog'!$A$2:$A$200,0))),"")</f>
        <v/>
      </c>
      <c r="O145" s="10">
        <f>IFERROR(IF(INDEX('Test catalog'!$J$2:$J$200,MATCH($AB145,'Test catalog'!$A$2:$A$200,0))="","",INDEX('Test catalog'!$J$2:$J$200,MATCH($AB145,'Test catalog'!$A$2:$A$200,0))),"")</f>
        <v/>
      </c>
      <c r="P145" s="14">
        <f>IF(N145="","",IF(OR(M145="",O145=""),N145,(M145+4*N145+O145)/6))</f>
        <v/>
      </c>
      <c r="Q145" s="10">
        <f>IFERROR(IF(INDEX('Test catalog'!$K$2:$K$200,MATCH($AB145,'Test catalog'!$A$2:$A$200,0))="","",INDEX('Test catalog'!$K$2:$K$200,MATCH($AB145,'Test catalog'!$A$2:$A$200,0))),"")</f>
        <v/>
      </c>
      <c r="R145" s="5" t="n"/>
      <c r="S145" s="10">
        <f>IFERROR(IF(INDEX('Test catalog'!$L$2:$L$200,MATCH($AB145,'Test catalog'!$A$2:$A$200,0))="","",INDEX('Test catalog'!$L$2:$L$200,MATCH($AB145,'Test catalog'!$A$2:$A$200,0))),"")</f>
        <v/>
      </c>
      <c r="T145" s="10">
        <f>IFERROR(IF(INDEX('Test catalog'!$M$2:$M$200,MATCH($AB145,'Test catalog'!$A$2:$A$200,0))="","",INDEX('Test catalog'!$M$2:$M$200,MATCH($AB145,'Test catalog'!$A$2:$A$200,0))),"")</f>
        <v/>
      </c>
      <c r="U145" s="10">
        <f>IFERROR(IF(INDEX('Test catalog'!$N$2:$N$200,MATCH($AB145,'Test catalog'!$A$2:$A$200,0))="","",INDEX('Test catalog'!$N$2:$N$200,MATCH($AB145,'Test catalog'!$A$2:$A$200,0))),"")</f>
        <v/>
      </c>
      <c r="V145" s="15" t="n"/>
      <c r="W145" s="5" t="inlineStr">
        <is>
          <t>N</t>
        </is>
      </c>
      <c r="X145" s="5" t="n"/>
      <c r="Y145" s="5" t="n"/>
      <c r="Z145" s="5" t="n"/>
      <c r="AA145" s="10">
        <f>IFERROR(IF(INDEX('Test catalog'!$O$2:$O$200,MATCH($AB145,'Test catalog'!$A$2:$A$200,0))="","",INDEX('Test catalog'!$O$2:$O$200,MATCH($AB145,'Test catalog'!$A$2:$A$200,0))),"")</f>
        <v/>
      </c>
      <c r="AB145" s="10" t="inlineStr">
        <is>
          <t>IPC</t>
        </is>
      </c>
    </row>
    <row r="146">
      <c r="A146" s="10" t="inlineStr">
        <is>
          <t>F21</t>
        </is>
      </c>
      <c r="B146" s="10" t="inlineStr">
        <is>
          <t>FP</t>
        </is>
      </c>
      <c r="C146" s="10" t="inlineStr">
        <is>
          <t>Flusip Cold and Flu; Flusip Cold and Flu (Sugar Free)  |  Acetaminophen, Phenylephrine HCl (+1 more)</t>
        </is>
      </c>
      <c r="D146" s="10" t="inlineStr">
        <is>
          <t>Average weight / uniformity of mass</t>
        </is>
      </c>
      <c r="E146" s="10">
        <f>IF(A146="","",A146&amp;"|"&amp;D146)</f>
        <v/>
      </c>
      <c r="F146" s="5" t="inlineStr">
        <is>
          <t>Y</t>
        </is>
      </c>
      <c r="G146" s="5" t="inlineStr">
        <is>
          <t>Balance</t>
        </is>
      </c>
      <c r="H146" s="5" t="inlineStr">
        <is>
          <t>Low</t>
        </is>
      </c>
      <c r="I146" s="5" t="n">
        <v>1</v>
      </c>
      <c r="J146" s="5" t="n"/>
      <c r="K146" s="10">
        <f>IFERROR(IF(INDEX('Test catalog'!$F$2:$F$200,MATCH($AB146,'Test catalog'!$A$2:$A$200,0))="","",INDEX('Test catalog'!$F$2:$F$200,MATCH($AB146,'Test catalog'!$A$2:$A$200,0))),"")</f>
        <v/>
      </c>
      <c r="L146" s="10">
        <f>IFERROR(IF(INDEX('Test catalog'!$G$2:$G$200,MATCH($AB146,'Test catalog'!$A$2:$A$200,0))="","",INDEX('Test catalog'!$G$2:$G$200,MATCH($AB146,'Test catalog'!$A$2:$A$200,0))),"")</f>
        <v/>
      </c>
      <c r="M146" s="10">
        <f>IFERROR(IF(INDEX('Test catalog'!$H$2:$H$200,MATCH($AB146,'Test catalog'!$A$2:$A$200,0))="","",INDEX('Test catalog'!$H$2:$H$200,MATCH($AB146,'Test catalog'!$A$2:$A$200,0))),"")</f>
        <v/>
      </c>
      <c r="N146" s="10">
        <f>IFERROR(IF(INDEX('Test catalog'!$I$2:$I$200,MATCH($AB146,'Test catalog'!$A$2:$A$200,0))="","",INDEX('Test catalog'!$I$2:$I$200,MATCH($AB146,'Test catalog'!$A$2:$A$200,0))),"")</f>
        <v/>
      </c>
      <c r="O146" s="10">
        <f>IFERROR(IF(INDEX('Test catalog'!$J$2:$J$200,MATCH($AB146,'Test catalog'!$A$2:$A$200,0))="","",INDEX('Test catalog'!$J$2:$J$200,MATCH($AB146,'Test catalog'!$A$2:$A$200,0))),"")</f>
        <v/>
      </c>
      <c r="P146" s="14">
        <f>IF(N146="","",IF(OR(M146="",O146=""),N146,(M146+4*N146+O146)/6))</f>
        <v/>
      </c>
      <c r="Q146" s="10">
        <f>IFERROR(IF(INDEX('Test catalog'!$K$2:$K$200,MATCH($AB146,'Test catalog'!$A$2:$A$200,0))="","",INDEX('Test catalog'!$K$2:$K$200,MATCH($AB146,'Test catalog'!$A$2:$A$200,0))),"")</f>
        <v/>
      </c>
      <c r="R146" s="5" t="n"/>
      <c r="S146" s="10">
        <f>IFERROR(IF(INDEX('Test catalog'!$L$2:$L$200,MATCH($AB146,'Test catalog'!$A$2:$A$200,0))="","",INDEX('Test catalog'!$L$2:$L$200,MATCH($AB146,'Test catalog'!$A$2:$A$200,0))),"")</f>
        <v/>
      </c>
      <c r="T146" s="10">
        <f>IFERROR(IF(INDEX('Test catalog'!$M$2:$M$200,MATCH($AB146,'Test catalog'!$A$2:$A$200,0))="","",INDEX('Test catalog'!$M$2:$M$200,MATCH($AB146,'Test catalog'!$A$2:$A$200,0))),"")</f>
        <v/>
      </c>
      <c r="U146" s="10">
        <f>IFERROR(IF(INDEX('Test catalog'!$N$2:$N$200,MATCH($AB146,'Test catalog'!$A$2:$A$200,0))="","",INDEX('Test catalog'!$N$2:$N$200,MATCH($AB146,'Test catalog'!$A$2:$A$200,0))),"")</f>
        <v/>
      </c>
      <c r="V146" s="15" t="n"/>
      <c r="W146" s="5" t="inlineStr">
        <is>
          <t>N</t>
        </is>
      </c>
      <c r="X146" s="5" t="n"/>
      <c r="Y146" s="5" t="n"/>
      <c r="Z146" s="5" t="n"/>
      <c r="AA146" s="10">
        <f>IFERROR(IF(INDEX('Test catalog'!$O$2:$O$200,MATCH($AB146,'Test catalog'!$A$2:$A$200,0))="","",INDEX('Test catalog'!$O$2:$O$200,MATCH($AB146,'Test catalog'!$A$2:$A$200,0))),"")</f>
        <v/>
      </c>
      <c r="AB146" s="10" t="inlineStr">
        <is>
          <t>AVG_WT</t>
        </is>
      </c>
    </row>
    <row r="147">
      <c r="A147" s="10" t="inlineStr">
        <is>
          <t>F21</t>
        </is>
      </c>
      <c r="B147" s="10" t="inlineStr">
        <is>
          <t>FP</t>
        </is>
      </c>
      <c r="C147" s="10" t="inlineStr">
        <is>
          <t>Flusip Cold and Flu; Flusip Cold and Flu (Sugar Free)  |  Acetaminophen, Phenylephrine HCl (+1 more)</t>
        </is>
      </c>
      <c r="D147" s="10" t="inlineStr">
        <is>
          <t>Diameter (or length / width)</t>
        </is>
      </c>
      <c r="E147" s="10">
        <f>IF(A147="","",A147&amp;"|"&amp;D147)</f>
        <v/>
      </c>
      <c r="F147" s="5" t="inlineStr">
        <is>
          <t>Y</t>
        </is>
      </c>
      <c r="G147" s="5" t="inlineStr">
        <is>
          <t>Tablet tester</t>
        </is>
      </c>
      <c r="H147" s="5" t="inlineStr">
        <is>
          <t>Low</t>
        </is>
      </c>
      <c r="I147" s="5" t="n">
        <v>1</v>
      </c>
      <c r="J147" s="5" t="n"/>
      <c r="K147" s="10">
        <f>IFERROR(IF(INDEX('Test catalog'!$F$2:$F$200,MATCH($AB147,'Test catalog'!$A$2:$A$200,0))="","",INDEX('Test catalog'!$F$2:$F$200,MATCH($AB147,'Test catalog'!$A$2:$A$200,0))),"")</f>
        <v/>
      </c>
      <c r="L147" s="10">
        <f>IFERROR(IF(INDEX('Test catalog'!$G$2:$G$200,MATCH($AB147,'Test catalog'!$A$2:$A$200,0))="","",INDEX('Test catalog'!$G$2:$G$200,MATCH($AB147,'Test catalog'!$A$2:$A$200,0))),"")</f>
        <v/>
      </c>
      <c r="M147" s="10">
        <f>IFERROR(IF(INDEX('Test catalog'!$H$2:$H$200,MATCH($AB147,'Test catalog'!$A$2:$A$200,0))="","",INDEX('Test catalog'!$H$2:$H$200,MATCH($AB147,'Test catalog'!$A$2:$A$200,0))),"")</f>
        <v/>
      </c>
      <c r="N147" s="10">
        <f>IFERROR(IF(INDEX('Test catalog'!$I$2:$I$200,MATCH($AB147,'Test catalog'!$A$2:$A$200,0))="","",INDEX('Test catalog'!$I$2:$I$200,MATCH($AB147,'Test catalog'!$A$2:$A$200,0))),"")</f>
        <v/>
      </c>
      <c r="O147" s="10">
        <f>IFERROR(IF(INDEX('Test catalog'!$J$2:$J$200,MATCH($AB147,'Test catalog'!$A$2:$A$200,0))="","",INDEX('Test catalog'!$J$2:$J$200,MATCH($AB147,'Test catalog'!$A$2:$A$200,0))),"")</f>
        <v/>
      </c>
      <c r="P147" s="14">
        <f>IF(N147="","",IF(OR(M147="",O147=""),N147,(M147+4*N147+O147)/6))</f>
        <v/>
      </c>
      <c r="Q147" s="10">
        <f>IFERROR(IF(INDEX('Test catalog'!$K$2:$K$200,MATCH($AB147,'Test catalog'!$A$2:$A$200,0))="","",INDEX('Test catalog'!$K$2:$K$200,MATCH($AB147,'Test catalog'!$A$2:$A$200,0))),"")</f>
        <v/>
      </c>
      <c r="R147" s="5" t="n"/>
      <c r="S147" s="10">
        <f>IFERROR(IF(INDEX('Test catalog'!$L$2:$L$200,MATCH($AB147,'Test catalog'!$A$2:$A$200,0))="","",INDEX('Test catalog'!$L$2:$L$200,MATCH($AB147,'Test catalog'!$A$2:$A$200,0))),"")</f>
        <v/>
      </c>
      <c r="T147" s="10">
        <f>IFERROR(IF(INDEX('Test catalog'!$M$2:$M$200,MATCH($AB147,'Test catalog'!$A$2:$A$200,0))="","",INDEX('Test catalog'!$M$2:$M$200,MATCH($AB147,'Test catalog'!$A$2:$A$200,0))),"")</f>
        <v/>
      </c>
      <c r="U147" s="10">
        <f>IFERROR(IF(INDEX('Test catalog'!$N$2:$N$200,MATCH($AB147,'Test catalog'!$A$2:$A$200,0))="","",INDEX('Test catalog'!$N$2:$N$200,MATCH($AB147,'Test catalog'!$A$2:$A$200,0))),"")</f>
        <v/>
      </c>
      <c r="V147" s="15" t="n"/>
      <c r="W147" s="5" t="inlineStr">
        <is>
          <t>N</t>
        </is>
      </c>
      <c r="X147" s="5" t="n"/>
      <c r="Y147" s="5" t="n"/>
      <c r="Z147" s="5" t="n"/>
      <c r="AA147" s="10">
        <f>IFERROR(IF(INDEX('Test catalog'!$O$2:$O$200,MATCH($AB147,'Test catalog'!$A$2:$A$200,0))="","",INDEX('Test catalog'!$O$2:$O$200,MATCH($AB147,'Test catalog'!$A$2:$A$200,0))),"")</f>
        <v/>
      </c>
      <c r="AB147" s="10" t="inlineStr">
        <is>
          <t>DIAM</t>
        </is>
      </c>
    </row>
    <row r="148">
      <c r="A148" s="10" t="inlineStr">
        <is>
          <t>F21</t>
        </is>
      </c>
      <c r="B148" s="10" t="inlineStr">
        <is>
          <t>FP</t>
        </is>
      </c>
      <c r="C148" s="10" t="inlineStr">
        <is>
          <t>Flusip Cold and Flu; Flusip Cold and Flu (Sugar Free)  |  Acetaminophen, Phenylephrine HCl (+1 more)</t>
        </is>
      </c>
      <c r="D148" s="10" t="inlineStr">
        <is>
          <t>Thickness</t>
        </is>
      </c>
      <c r="E148" s="10">
        <f>IF(A148="","",A148&amp;"|"&amp;D148)</f>
        <v/>
      </c>
      <c r="F148" s="5" t="inlineStr">
        <is>
          <t>Y</t>
        </is>
      </c>
      <c r="G148" s="5" t="inlineStr">
        <is>
          <t>Tablet tester</t>
        </is>
      </c>
      <c r="H148" s="5" t="inlineStr">
        <is>
          <t>Low</t>
        </is>
      </c>
      <c r="I148" s="5" t="n">
        <v>1</v>
      </c>
      <c r="J148" s="5" t="n"/>
      <c r="K148" s="10">
        <f>IFERROR(IF(INDEX('Test catalog'!$F$2:$F$200,MATCH($AB148,'Test catalog'!$A$2:$A$200,0))="","",INDEX('Test catalog'!$F$2:$F$200,MATCH($AB148,'Test catalog'!$A$2:$A$200,0))),"")</f>
        <v/>
      </c>
      <c r="L148" s="10">
        <f>IFERROR(IF(INDEX('Test catalog'!$G$2:$G$200,MATCH($AB148,'Test catalog'!$A$2:$A$200,0))="","",INDEX('Test catalog'!$G$2:$G$200,MATCH($AB148,'Test catalog'!$A$2:$A$200,0))),"")</f>
        <v/>
      </c>
      <c r="M148" s="10">
        <f>IFERROR(IF(INDEX('Test catalog'!$H$2:$H$200,MATCH($AB148,'Test catalog'!$A$2:$A$200,0))="","",INDEX('Test catalog'!$H$2:$H$200,MATCH($AB148,'Test catalog'!$A$2:$A$200,0))),"")</f>
        <v/>
      </c>
      <c r="N148" s="10">
        <f>IFERROR(IF(INDEX('Test catalog'!$I$2:$I$200,MATCH($AB148,'Test catalog'!$A$2:$A$200,0))="","",INDEX('Test catalog'!$I$2:$I$200,MATCH($AB148,'Test catalog'!$A$2:$A$200,0))),"")</f>
        <v/>
      </c>
      <c r="O148" s="10">
        <f>IFERROR(IF(INDEX('Test catalog'!$J$2:$J$200,MATCH($AB148,'Test catalog'!$A$2:$A$200,0))="","",INDEX('Test catalog'!$J$2:$J$200,MATCH($AB148,'Test catalog'!$A$2:$A$200,0))),"")</f>
        <v/>
      </c>
      <c r="P148" s="14">
        <f>IF(N148="","",IF(OR(M148="",O148=""),N148,(M148+4*N148+O148)/6))</f>
        <v/>
      </c>
      <c r="Q148" s="10">
        <f>IFERROR(IF(INDEX('Test catalog'!$K$2:$K$200,MATCH($AB148,'Test catalog'!$A$2:$A$200,0))="","",INDEX('Test catalog'!$K$2:$K$200,MATCH($AB148,'Test catalog'!$A$2:$A$200,0))),"")</f>
        <v/>
      </c>
      <c r="R148" s="5" t="n"/>
      <c r="S148" s="10">
        <f>IFERROR(IF(INDEX('Test catalog'!$L$2:$L$200,MATCH($AB148,'Test catalog'!$A$2:$A$200,0))="","",INDEX('Test catalog'!$L$2:$L$200,MATCH($AB148,'Test catalog'!$A$2:$A$200,0))),"")</f>
        <v/>
      </c>
      <c r="T148" s="10">
        <f>IFERROR(IF(INDEX('Test catalog'!$M$2:$M$200,MATCH($AB148,'Test catalog'!$A$2:$A$200,0))="","",INDEX('Test catalog'!$M$2:$M$200,MATCH($AB148,'Test catalog'!$A$2:$A$200,0))),"")</f>
        <v/>
      </c>
      <c r="U148" s="10">
        <f>IFERROR(IF(INDEX('Test catalog'!$N$2:$N$200,MATCH($AB148,'Test catalog'!$A$2:$A$200,0))="","",INDEX('Test catalog'!$N$2:$N$200,MATCH($AB148,'Test catalog'!$A$2:$A$200,0))),"")</f>
        <v/>
      </c>
      <c r="V148" s="15" t="n"/>
      <c r="W148" s="5" t="inlineStr">
        <is>
          <t>N</t>
        </is>
      </c>
      <c r="X148" s="5" t="n"/>
      <c r="Y148" s="5" t="n"/>
      <c r="Z148" s="5" t="n"/>
      <c r="AA148" s="10">
        <f>IFERROR(IF(INDEX('Test catalog'!$O$2:$O$200,MATCH($AB148,'Test catalog'!$A$2:$A$200,0))="","",INDEX('Test catalog'!$O$2:$O$200,MATCH($AB148,'Test catalog'!$A$2:$A$200,0))),"")</f>
        <v/>
      </c>
      <c r="AB148" s="10" t="inlineStr">
        <is>
          <t>THICK</t>
        </is>
      </c>
    </row>
    <row r="149">
      <c r="A149" s="10" t="inlineStr">
        <is>
          <t>F21</t>
        </is>
      </c>
      <c r="B149" s="10" t="inlineStr">
        <is>
          <t>FP</t>
        </is>
      </c>
      <c r="C149" s="10" t="inlineStr">
        <is>
          <t>Flusip Cold and Flu; Flusip Cold and Flu (Sugar Free)  |  Acetaminophen, Phenylephrine HCl (+1 more)</t>
        </is>
      </c>
      <c r="D149" s="10" t="inlineStr">
        <is>
          <t>Hardness / breaking force</t>
        </is>
      </c>
      <c r="E149" s="10">
        <f>IF(A149="","",A149&amp;"|"&amp;D149)</f>
        <v/>
      </c>
      <c r="F149" s="5" t="inlineStr">
        <is>
          <t>Y</t>
        </is>
      </c>
      <c r="G149" s="5" t="inlineStr">
        <is>
          <t>Tablet tester</t>
        </is>
      </c>
      <c r="H149" s="5" t="inlineStr">
        <is>
          <t>Low</t>
        </is>
      </c>
      <c r="I149" s="5" t="n">
        <v>1</v>
      </c>
      <c r="J149" s="5" t="n"/>
      <c r="K149" s="10">
        <f>IFERROR(IF(INDEX('Test catalog'!$F$2:$F$200,MATCH($AB149,'Test catalog'!$A$2:$A$200,0))="","",INDEX('Test catalog'!$F$2:$F$200,MATCH($AB149,'Test catalog'!$A$2:$A$200,0))),"")</f>
        <v/>
      </c>
      <c r="L149" s="10">
        <f>IFERROR(IF(INDEX('Test catalog'!$G$2:$G$200,MATCH($AB149,'Test catalog'!$A$2:$A$200,0))="","",INDEX('Test catalog'!$G$2:$G$200,MATCH($AB149,'Test catalog'!$A$2:$A$200,0))),"")</f>
        <v/>
      </c>
      <c r="M149" s="10">
        <f>IFERROR(IF(INDEX('Test catalog'!$H$2:$H$200,MATCH($AB149,'Test catalog'!$A$2:$A$200,0))="","",INDEX('Test catalog'!$H$2:$H$200,MATCH($AB149,'Test catalog'!$A$2:$A$200,0))),"")</f>
        <v/>
      </c>
      <c r="N149" s="10">
        <f>IFERROR(IF(INDEX('Test catalog'!$I$2:$I$200,MATCH($AB149,'Test catalog'!$A$2:$A$200,0))="","",INDEX('Test catalog'!$I$2:$I$200,MATCH($AB149,'Test catalog'!$A$2:$A$200,0))),"")</f>
        <v/>
      </c>
      <c r="O149" s="10">
        <f>IFERROR(IF(INDEX('Test catalog'!$J$2:$J$200,MATCH($AB149,'Test catalog'!$A$2:$A$200,0))="","",INDEX('Test catalog'!$J$2:$J$200,MATCH($AB149,'Test catalog'!$A$2:$A$200,0))),"")</f>
        <v/>
      </c>
      <c r="P149" s="14">
        <f>IF(N149="","",IF(OR(M149="",O149=""),N149,(M149+4*N149+O149)/6))</f>
        <v/>
      </c>
      <c r="Q149" s="10">
        <f>IFERROR(IF(INDEX('Test catalog'!$K$2:$K$200,MATCH($AB149,'Test catalog'!$A$2:$A$200,0))="","",INDEX('Test catalog'!$K$2:$K$200,MATCH($AB149,'Test catalog'!$A$2:$A$200,0))),"")</f>
        <v/>
      </c>
      <c r="R149" s="5" t="n"/>
      <c r="S149" s="10">
        <f>IFERROR(IF(INDEX('Test catalog'!$L$2:$L$200,MATCH($AB149,'Test catalog'!$A$2:$A$200,0))="","",INDEX('Test catalog'!$L$2:$L$200,MATCH($AB149,'Test catalog'!$A$2:$A$200,0))),"")</f>
        <v/>
      </c>
      <c r="T149" s="10">
        <f>IFERROR(IF(INDEX('Test catalog'!$M$2:$M$200,MATCH($AB149,'Test catalog'!$A$2:$A$200,0))="","",INDEX('Test catalog'!$M$2:$M$200,MATCH($AB149,'Test catalog'!$A$2:$A$200,0))),"")</f>
        <v/>
      </c>
      <c r="U149" s="10">
        <f>IFERROR(IF(INDEX('Test catalog'!$N$2:$N$200,MATCH($AB149,'Test catalog'!$A$2:$A$200,0))="","",INDEX('Test catalog'!$N$2:$N$200,MATCH($AB149,'Test catalog'!$A$2:$A$200,0))),"")</f>
        <v/>
      </c>
      <c r="V149" s="15" t="n"/>
      <c r="W149" s="5" t="inlineStr">
        <is>
          <t>Y</t>
        </is>
      </c>
      <c r="X149" s="5" t="n"/>
      <c r="Y149" s="5" t="n"/>
      <c r="Z149" s="5" t="n"/>
      <c r="AA149" s="10">
        <f>IFERROR(IF(INDEX('Test catalog'!$O$2:$O$200,MATCH($AB149,'Test catalog'!$A$2:$A$200,0))="","",INDEX('Test catalog'!$O$2:$O$200,MATCH($AB149,'Test catalog'!$A$2:$A$200,0))),"")</f>
        <v/>
      </c>
      <c r="AB149" s="10" t="inlineStr">
        <is>
          <t>HARD</t>
        </is>
      </c>
    </row>
    <row r="150">
      <c r="A150" s="10" t="inlineStr">
        <is>
          <t>F21</t>
        </is>
      </c>
      <c r="B150" s="10" t="inlineStr">
        <is>
          <t>FP</t>
        </is>
      </c>
      <c r="C150" s="10" t="inlineStr">
        <is>
          <t>Flusip Cold and Flu; Flusip Cold and Flu (Sugar Free)  |  Acetaminophen, Phenylephrine HCl (+1 more)</t>
        </is>
      </c>
      <c r="D150" s="10" t="inlineStr">
        <is>
          <t>Brittleness</t>
        </is>
      </c>
      <c r="E150" s="10">
        <f>IF(A150="","",A150&amp;"|"&amp;D150)</f>
        <v/>
      </c>
      <c r="F150" s="5" t="inlineStr">
        <is>
          <t>Y</t>
        </is>
      </c>
      <c r="G150" s="5" t="inlineStr">
        <is>
          <t>Other / bench</t>
        </is>
      </c>
      <c r="H150" s="5" t="inlineStr">
        <is>
          <t>Low</t>
        </is>
      </c>
      <c r="I150" s="5" t="n">
        <v>1</v>
      </c>
      <c r="J150" s="5" t="n"/>
      <c r="K150" s="10">
        <f>IFERROR(IF(INDEX('Test catalog'!$F$2:$F$200,MATCH($AB150,'Test catalog'!$A$2:$A$200,0))="","",INDEX('Test catalog'!$F$2:$F$200,MATCH($AB150,'Test catalog'!$A$2:$A$200,0))),"")</f>
        <v/>
      </c>
      <c r="L150" s="10">
        <f>IFERROR(IF(INDEX('Test catalog'!$G$2:$G$200,MATCH($AB150,'Test catalog'!$A$2:$A$200,0))="","",INDEX('Test catalog'!$G$2:$G$200,MATCH($AB150,'Test catalog'!$A$2:$A$200,0))),"")</f>
        <v/>
      </c>
      <c r="M150" s="10">
        <f>IFERROR(IF(INDEX('Test catalog'!$H$2:$H$200,MATCH($AB150,'Test catalog'!$A$2:$A$200,0))="","",INDEX('Test catalog'!$H$2:$H$200,MATCH($AB150,'Test catalog'!$A$2:$A$200,0))),"")</f>
        <v/>
      </c>
      <c r="N150" s="10">
        <f>IFERROR(IF(INDEX('Test catalog'!$I$2:$I$200,MATCH($AB150,'Test catalog'!$A$2:$A$200,0))="","",INDEX('Test catalog'!$I$2:$I$200,MATCH($AB150,'Test catalog'!$A$2:$A$200,0))),"")</f>
        <v/>
      </c>
      <c r="O150" s="10">
        <f>IFERROR(IF(INDEX('Test catalog'!$J$2:$J$200,MATCH($AB150,'Test catalog'!$A$2:$A$200,0))="","",INDEX('Test catalog'!$J$2:$J$200,MATCH($AB150,'Test catalog'!$A$2:$A$200,0))),"")</f>
        <v/>
      </c>
      <c r="P150" s="14">
        <f>IF(N150="","",IF(OR(M150="",O150=""),N150,(M150+4*N150+O150)/6))</f>
        <v/>
      </c>
      <c r="Q150" s="10">
        <f>IFERROR(IF(INDEX('Test catalog'!$K$2:$K$200,MATCH($AB150,'Test catalog'!$A$2:$A$200,0))="","",INDEX('Test catalog'!$K$2:$K$200,MATCH($AB150,'Test catalog'!$A$2:$A$200,0))),"")</f>
        <v/>
      </c>
      <c r="R150" s="5" t="n"/>
      <c r="S150" s="10">
        <f>IFERROR(IF(INDEX('Test catalog'!$L$2:$L$200,MATCH($AB150,'Test catalog'!$A$2:$A$200,0))="","",INDEX('Test catalog'!$L$2:$L$200,MATCH($AB150,'Test catalog'!$A$2:$A$200,0))),"")</f>
        <v/>
      </c>
      <c r="T150" s="10">
        <f>IFERROR(IF(INDEX('Test catalog'!$M$2:$M$200,MATCH($AB150,'Test catalog'!$A$2:$A$200,0))="","",INDEX('Test catalog'!$M$2:$M$200,MATCH($AB150,'Test catalog'!$A$2:$A$200,0))),"")</f>
        <v/>
      </c>
      <c r="U150" s="10">
        <f>IFERROR(IF(INDEX('Test catalog'!$N$2:$N$200,MATCH($AB150,'Test catalog'!$A$2:$A$200,0))="","",INDEX('Test catalog'!$N$2:$N$200,MATCH($AB150,'Test catalog'!$A$2:$A$200,0))),"")</f>
        <v/>
      </c>
      <c r="V150" s="15" t="n"/>
      <c r="W150" s="5" t="inlineStr">
        <is>
          <t>N</t>
        </is>
      </c>
      <c r="X150" s="5" t="n"/>
      <c r="Y150" s="5" t="n"/>
      <c r="Z150" s="5" t="n"/>
      <c r="AA150" s="10">
        <f>IFERROR(IF(INDEX('Test catalog'!$O$2:$O$200,MATCH($AB150,'Test catalog'!$A$2:$A$200,0))="","",INDEX('Test catalog'!$O$2:$O$200,MATCH($AB150,'Test catalog'!$A$2:$A$200,0))),"")</f>
        <v/>
      </c>
      <c r="AB150" s="10" t="inlineStr">
        <is>
          <t>BRITTLE</t>
        </is>
      </c>
    </row>
    <row r="151">
      <c r="A151" s="10" t="inlineStr">
        <is>
          <t>F21</t>
        </is>
      </c>
      <c r="B151" s="10" t="inlineStr">
        <is>
          <t>FP</t>
        </is>
      </c>
      <c r="C151" s="10" t="inlineStr">
        <is>
          <t>Flusip Cold and Flu; Flusip Cold and Flu (Sugar Free)  |  Acetaminophen, Phenylephrine HCl (+1 more)</t>
        </is>
      </c>
      <c r="D151" s="10" t="inlineStr">
        <is>
          <t>Friability</t>
        </is>
      </c>
      <c r="E151" s="10">
        <f>IF(A151="","",A151&amp;"|"&amp;D151)</f>
        <v/>
      </c>
      <c r="F151" s="5" t="inlineStr">
        <is>
          <t>Y</t>
        </is>
      </c>
      <c r="G151" s="5" t="inlineStr">
        <is>
          <t>Friabilator</t>
        </is>
      </c>
      <c r="H151" s="5" t="inlineStr">
        <is>
          <t>Low</t>
        </is>
      </c>
      <c r="I151" s="5" t="n">
        <v>1</v>
      </c>
      <c r="J151" s="5" t="n"/>
      <c r="K151" s="10">
        <f>IFERROR(IF(INDEX('Test catalog'!$F$2:$F$200,MATCH($AB151,'Test catalog'!$A$2:$A$200,0))="","",INDEX('Test catalog'!$F$2:$F$200,MATCH($AB151,'Test catalog'!$A$2:$A$200,0))),"")</f>
        <v/>
      </c>
      <c r="L151" s="10">
        <f>IFERROR(IF(INDEX('Test catalog'!$G$2:$G$200,MATCH($AB151,'Test catalog'!$A$2:$A$200,0))="","",INDEX('Test catalog'!$G$2:$G$200,MATCH($AB151,'Test catalog'!$A$2:$A$200,0))),"")</f>
        <v/>
      </c>
      <c r="M151" s="10">
        <f>IFERROR(IF(INDEX('Test catalog'!$H$2:$H$200,MATCH($AB151,'Test catalog'!$A$2:$A$200,0))="","",INDEX('Test catalog'!$H$2:$H$200,MATCH($AB151,'Test catalog'!$A$2:$A$200,0))),"")</f>
        <v/>
      </c>
      <c r="N151" s="10">
        <f>IFERROR(IF(INDEX('Test catalog'!$I$2:$I$200,MATCH($AB151,'Test catalog'!$A$2:$A$200,0))="","",INDEX('Test catalog'!$I$2:$I$200,MATCH($AB151,'Test catalog'!$A$2:$A$200,0))),"")</f>
        <v/>
      </c>
      <c r="O151" s="10">
        <f>IFERROR(IF(INDEX('Test catalog'!$J$2:$J$200,MATCH($AB151,'Test catalog'!$A$2:$A$200,0))="","",INDEX('Test catalog'!$J$2:$J$200,MATCH($AB151,'Test catalog'!$A$2:$A$200,0))),"")</f>
        <v/>
      </c>
      <c r="P151" s="14">
        <f>IF(N151="","",IF(OR(M151="",O151=""),N151,(M151+4*N151+O151)/6))</f>
        <v/>
      </c>
      <c r="Q151" s="10">
        <f>IFERROR(IF(INDEX('Test catalog'!$K$2:$K$200,MATCH($AB151,'Test catalog'!$A$2:$A$200,0))="","",INDEX('Test catalog'!$K$2:$K$200,MATCH($AB151,'Test catalog'!$A$2:$A$200,0))),"")</f>
        <v/>
      </c>
      <c r="R151" s="5" t="n"/>
      <c r="S151" s="10">
        <f>IFERROR(IF(INDEX('Test catalog'!$L$2:$L$200,MATCH($AB151,'Test catalog'!$A$2:$A$200,0))="","",INDEX('Test catalog'!$L$2:$L$200,MATCH($AB151,'Test catalog'!$A$2:$A$200,0))),"")</f>
        <v/>
      </c>
      <c r="T151" s="10">
        <f>IFERROR(IF(INDEX('Test catalog'!$M$2:$M$200,MATCH($AB151,'Test catalog'!$A$2:$A$200,0))="","",INDEX('Test catalog'!$M$2:$M$200,MATCH($AB151,'Test catalog'!$A$2:$A$200,0))),"")</f>
        <v/>
      </c>
      <c r="U151" s="10">
        <f>IFERROR(IF(INDEX('Test catalog'!$N$2:$N$200,MATCH($AB151,'Test catalog'!$A$2:$A$200,0))="","",INDEX('Test catalog'!$N$2:$N$200,MATCH($AB151,'Test catalog'!$A$2:$A$200,0))),"")</f>
        <v/>
      </c>
      <c r="V151" s="15" t="n"/>
      <c r="W151" s="5" t="inlineStr">
        <is>
          <t>N</t>
        </is>
      </c>
      <c r="X151" s="5" t="n"/>
      <c r="Y151" s="5" t="n"/>
      <c r="Z151" s="5" t="n"/>
      <c r="AA151" s="10">
        <f>IFERROR(IF(INDEX('Test catalog'!$O$2:$O$200,MATCH($AB151,'Test catalog'!$A$2:$A$200,0))="","",INDEX('Test catalog'!$O$2:$O$200,MATCH($AB151,'Test catalog'!$A$2:$A$200,0))),"")</f>
        <v/>
      </c>
      <c r="AB151" s="10" t="inlineStr">
        <is>
          <t>FRIAB</t>
        </is>
      </c>
    </row>
    <row r="152">
      <c r="A152" s="10" t="inlineStr">
        <is>
          <t>F21</t>
        </is>
      </c>
      <c r="B152" s="10" t="inlineStr">
        <is>
          <t>FP</t>
        </is>
      </c>
      <c r="C152" s="10" t="inlineStr">
        <is>
          <t>Flusip Cold and Flu; Flusip Cold and Flu (Sugar Free)  |  Acetaminophen, Phenylephrine HCl (+1 more)</t>
        </is>
      </c>
      <c r="D152" s="10" t="inlineStr">
        <is>
          <t>Disintegration</t>
        </is>
      </c>
      <c r="E152" s="10">
        <f>IF(A152="","",A152&amp;"|"&amp;D152)</f>
        <v/>
      </c>
      <c r="F152" s="5" t="inlineStr">
        <is>
          <t>Y</t>
        </is>
      </c>
      <c r="G152" s="5" t="inlineStr">
        <is>
          <t>Disintegration tester</t>
        </is>
      </c>
      <c r="H152" s="5" t="inlineStr">
        <is>
          <t>Low</t>
        </is>
      </c>
      <c r="I152" s="5" t="n">
        <v>1</v>
      </c>
      <c r="J152" s="5" t="n"/>
      <c r="K152" s="10">
        <f>IFERROR(IF(INDEX('Test catalog'!$F$2:$F$200,MATCH($AB152,'Test catalog'!$A$2:$A$200,0))="","",INDEX('Test catalog'!$F$2:$F$200,MATCH($AB152,'Test catalog'!$A$2:$A$200,0))),"")</f>
        <v/>
      </c>
      <c r="L152" s="10">
        <f>IFERROR(IF(INDEX('Test catalog'!$G$2:$G$200,MATCH($AB152,'Test catalog'!$A$2:$A$200,0))="","",INDEX('Test catalog'!$G$2:$G$200,MATCH($AB152,'Test catalog'!$A$2:$A$200,0))),"")</f>
        <v/>
      </c>
      <c r="M152" s="10">
        <f>IFERROR(IF(INDEX('Test catalog'!$H$2:$H$200,MATCH($AB152,'Test catalog'!$A$2:$A$200,0))="","",INDEX('Test catalog'!$H$2:$H$200,MATCH($AB152,'Test catalog'!$A$2:$A$200,0))),"")</f>
        <v/>
      </c>
      <c r="N152" s="10">
        <f>IFERROR(IF(INDEX('Test catalog'!$I$2:$I$200,MATCH($AB152,'Test catalog'!$A$2:$A$200,0))="","",INDEX('Test catalog'!$I$2:$I$200,MATCH($AB152,'Test catalog'!$A$2:$A$200,0))),"")</f>
        <v/>
      </c>
      <c r="O152" s="10">
        <f>IFERROR(IF(INDEX('Test catalog'!$J$2:$J$200,MATCH($AB152,'Test catalog'!$A$2:$A$200,0))="","",INDEX('Test catalog'!$J$2:$J$200,MATCH($AB152,'Test catalog'!$A$2:$A$200,0))),"")</f>
        <v/>
      </c>
      <c r="P152" s="14">
        <f>IF(N152="","",IF(OR(M152="",O152=""),N152,(M152+4*N152+O152)/6))</f>
        <v/>
      </c>
      <c r="Q152" s="10">
        <f>IFERROR(IF(INDEX('Test catalog'!$K$2:$K$200,MATCH($AB152,'Test catalog'!$A$2:$A$200,0))="","",INDEX('Test catalog'!$K$2:$K$200,MATCH($AB152,'Test catalog'!$A$2:$A$200,0))),"")</f>
        <v/>
      </c>
      <c r="R152" s="5" t="n"/>
      <c r="S152" s="10">
        <f>IFERROR(IF(INDEX('Test catalog'!$L$2:$L$200,MATCH($AB152,'Test catalog'!$A$2:$A$200,0))="","",INDEX('Test catalog'!$L$2:$L$200,MATCH($AB152,'Test catalog'!$A$2:$A$200,0))),"")</f>
        <v/>
      </c>
      <c r="T152" s="10">
        <f>IFERROR(IF(INDEX('Test catalog'!$M$2:$M$200,MATCH($AB152,'Test catalog'!$A$2:$A$200,0))="","",INDEX('Test catalog'!$M$2:$M$200,MATCH($AB152,'Test catalog'!$A$2:$A$200,0))),"")</f>
        <v/>
      </c>
      <c r="U152" s="10">
        <f>IFERROR(IF(INDEX('Test catalog'!$N$2:$N$200,MATCH($AB152,'Test catalog'!$A$2:$A$200,0))="","",INDEX('Test catalog'!$N$2:$N$200,MATCH($AB152,'Test catalog'!$A$2:$A$200,0))),"")</f>
        <v/>
      </c>
      <c r="V152" s="15" t="n"/>
      <c r="W152" s="5" t="inlineStr">
        <is>
          <t>Y</t>
        </is>
      </c>
      <c r="X152" s="5" t="n"/>
      <c r="Y152" s="5" t="n"/>
      <c r="Z152" s="5" t="n"/>
      <c r="AA152" s="10">
        <f>IFERROR(IF(INDEX('Test catalog'!$O$2:$O$200,MATCH($AB152,'Test catalog'!$A$2:$A$200,0))="","",INDEX('Test catalog'!$O$2:$O$200,MATCH($AB152,'Test catalog'!$A$2:$A$200,0))),"")</f>
        <v/>
      </c>
      <c r="AB152" s="10" t="inlineStr">
        <is>
          <t>DISINT</t>
        </is>
      </c>
    </row>
    <row r="153">
      <c r="A153" s="10" t="inlineStr">
        <is>
          <t>F21</t>
        </is>
      </c>
      <c r="B153" s="10" t="inlineStr">
        <is>
          <t>FP</t>
        </is>
      </c>
      <c r="C153" s="10" t="inlineStr">
        <is>
          <t>Flusip Cold and Flu; Flusip Cold and Flu (Sugar Free)  |  Acetaminophen, Phenylephrine HCl (+1 more)</t>
        </is>
      </c>
      <c r="D153" s="10" t="inlineStr">
        <is>
          <t>In-process check at the machine (one check, all its tests)</t>
        </is>
      </c>
      <c r="E153" s="10">
        <f>IF(A153="","",A153&amp;"|"&amp;D153)</f>
        <v/>
      </c>
      <c r="F153" s="5" t="inlineStr">
        <is>
          <t>Y</t>
        </is>
      </c>
      <c r="G153" s="5" t="inlineStr">
        <is>
          <t>Tablet tester</t>
        </is>
      </c>
      <c r="H153" s="5" t="inlineStr">
        <is>
          <t>Low</t>
        </is>
      </c>
      <c r="I153" s="5" t="n">
        <v>1</v>
      </c>
      <c r="J153" s="5" t="n"/>
      <c r="K153" s="10">
        <f>IFERROR(IF(INDEX('Test catalog'!$F$2:$F$200,MATCH($AB153,'Test catalog'!$A$2:$A$200,0))="","",INDEX('Test catalog'!$F$2:$F$200,MATCH($AB153,'Test catalog'!$A$2:$A$200,0))),"")</f>
        <v/>
      </c>
      <c r="L153" s="10">
        <f>IFERROR(IF(INDEX('Test catalog'!$G$2:$G$200,MATCH($AB153,'Test catalog'!$A$2:$A$200,0))="","",INDEX('Test catalog'!$G$2:$G$200,MATCH($AB153,'Test catalog'!$A$2:$A$200,0))),"")</f>
        <v/>
      </c>
      <c r="M153" s="10">
        <f>IFERROR(IF(INDEX('Test catalog'!$H$2:$H$200,MATCH($AB153,'Test catalog'!$A$2:$A$200,0))="","",INDEX('Test catalog'!$H$2:$H$200,MATCH($AB153,'Test catalog'!$A$2:$A$200,0))),"")</f>
        <v/>
      </c>
      <c r="N153" s="10">
        <f>IFERROR(IF(INDEX('Test catalog'!$I$2:$I$200,MATCH($AB153,'Test catalog'!$A$2:$A$200,0))="","",INDEX('Test catalog'!$I$2:$I$200,MATCH($AB153,'Test catalog'!$A$2:$A$200,0))),"")</f>
        <v/>
      </c>
      <c r="O153" s="10">
        <f>IFERROR(IF(INDEX('Test catalog'!$J$2:$J$200,MATCH($AB153,'Test catalog'!$A$2:$A$200,0))="","",INDEX('Test catalog'!$J$2:$J$200,MATCH($AB153,'Test catalog'!$A$2:$A$200,0))),"")</f>
        <v/>
      </c>
      <c r="P153" s="14">
        <f>IF(N153="","",IF(OR(M153="",O153=""),N153,(M153+4*N153+O153)/6))</f>
        <v/>
      </c>
      <c r="Q153" s="10">
        <f>IFERROR(IF(INDEX('Test catalog'!$K$2:$K$200,MATCH($AB153,'Test catalog'!$A$2:$A$200,0))="","",INDEX('Test catalog'!$K$2:$K$200,MATCH($AB153,'Test catalog'!$A$2:$A$200,0))),"")</f>
        <v/>
      </c>
      <c r="R153" s="5" t="n"/>
      <c r="S153" s="10">
        <f>IFERROR(IF(INDEX('Test catalog'!$L$2:$L$200,MATCH($AB153,'Test catalog'!$A$2:$A$200,0))="","",INDEX('Test catalog'!$L$2:$L$200,MATCH($AB153,'Test catalog'!$A$2:$A$200,0))),"")</f>
        <v/>
      </c>
      <c r="T153" s="10">
        <f>IFERROR(IF(INDEX('Test catalog'!$M$2:$M$200,MATCH($AB153,'Test catalog'!$A$2:$A$200,0))="","",INDEX('Test catalog'!$M$2:$M$200,MATCH($AB153,'Test catalog'!$A$2:$A$200,0))),"")</f>
        <v/>
      </c>
      <c r="U153" s="10">
        <f>IFERROR(IF(INDEX('Test catalog'!$N$2:$N$200,MATCH($AB153,'Test catalog'!$A$2:$A$200,0))="","",INDEX('Test catalog'!$N$2:$N$200,MATCH($AB153,'Test catalog'!$A$2:$A$200,0))),"")</f>
        <v/>
      </c>
      <c r="V153" s="15" t="n"/>
      <c r="W153" s="5" t="inlineStr">
        <is>
          <t>N</t>
        </is>
      </c>
      <c r="X153" s="5" t="n"/>
      <c r="Y153" s="5" t="n"/>
      <c r="Z153" s="5" t="n"/>
      <c r="AA153" s="10">
        <f>IFERROR(IF(INDEX('Test catalog'!$O$2:$O$200,MATCH($AB153,'Test catalog'!$A$2:$A$200,0))="","",INDEX('Test catalog'!$O$2:$O$200,MATCH($AB153,'Test catalog'!$A$2:$A$200,0))),"")</f>
        <v/>
      </c>
      <c r="AB153" s="10" t="inlineStr">
        <is>
          <t>IPC</t>
        </is>
      </c>
    </row>
    <row r="154">
      <c r="A154" s="10" t="inlineStr">
        <is>
          <t>F22</t>
        </is>
      </c>
      <c r="B154" s="10" t="inlineStr">
        <is>
          <t>FP</t>
        </is>
      </c>
      <c r="C154" s="10" t="inlineStr">
        <is>
          <t>Flusip-C  |  actives TBD: Flusip-C</t>
        </is>
      </c>
      <c r="D154" s="10" t="inlineStr">
        <is>
          <t>Average weight / uniformity of mass</t>
        </is>
      </c>
      <c r="E154" s="10">
        <f>IF(A154="","",A154&amp;"|"&amp;D154)</f>
        <v/>
      </c>
      <c r="F154" s="5" t="inlineStr">
        <is>
          <t>Y</t>
        </is>
      </c>
      <c r="G154" s="5" t="inlineStr">
        <is>
          <t>Balance</t>
        </is>
      </c>
      <c r="H154" s="5" t="inlineStr">
        <is>
          <t>Low</t>
        </is>
      </c>
      <c r="I154" s="5" t="n">
        <v>1</v>
      </c>
      <c r="J154" s="5" t="n"/>
      <c r="K154" s="10">
        <f>IFERROR(IF(INDEX('Test catalog'!$F$2:$F$200,MATCH($AB154,'Test catalog'!$A$2:$A$200,0))="","",INDEX('Test catalog'!$F$2:$F$200,MATCH($AB154,'Test catalog'!$A$2:$A$200,0))),"")</f>
        <v/>
      </c>
      <c r="L154" s="10">
        <f>IFERROR(IF(INDEX('Test catalog'!$G$2:$G$200,MATCH($AB154,'Test catalog'!$A$2:$A$200,0))="","",INDEX('Test catalog'!$G$2:$G$200,MATCH($AB154,'Test catalog'!$A$2:$A$200,0))),"")</f>
        <v/>
      </c>
      <c r="M154" s="10">
        <f>IFERROR(IF(INDEX('Test catalog'!$H$2:$H$200,MATCH($AB154,'Test catalog'!$A$2:$A$200,0))="","",INDEX('Test catalog'!$H$2:$H$200,MATCH($AB154,'Test catalog'!$A$2:$A$200,0))),"")</f>
        <v/>
      </c>
      <c r="N154" s="10">
        <f>IFERROR(IF(INDEX('Test catalog'!$I$2:$I$200,MATCH($AB154,'Test catalog'!$A$2:$A$200,0))="","",INDEX('Test catalog'!$I$2:$I$200,MATCH($AB154,'Test catalog'!$A$2:$A$200,0))),"")</f>
        <v/>
      </c>
      <c r="O154" s="10">
        <f>IFERROR(IF(INDEX('Test catalog'!$J$2:$J$200,MATCH($AB154,'Test catalog'!$A$2:$A$200,0))="","",INDEX('Test catalog'!$J$2:$J$200,MATCH($AB154,'Test catalog'!$A$2:$A$200,0))),"")</f>
        <v/>
      </c>
      <c r="P154" s="14">
        <f>IF(N154="","",IF(OR(M154="",O154=""),N154,(M154+4*N154+O154)/6))</f>
        <v/>
      </c>
      <c r="Q154" s="10">
        <f>IFERROR(IF(INDEX('Test catalog'!$K$2:$K$200,MATCH($AB154,'Test catalog'!$A$2:$A$200,0))="","",INDEX('Test catalog'!$K$2:$K$200,MATCH($AB154,'Test catalog'!$A$2:$A$200,0))),"")</f>
        <v/>
      </c>
      <c r="R154" s="5" t="n"/>
      <c r="S154" s="10">
        <f>IFERROR(IF(INDEX('Test catalog'!$L$2:$L$200,MATCH($AB154,'Test catalog'!$A$2:$A$200,0))="","",INDEX('Test catalog'!$L$2:$L$200,MATCH($AB154,'Test catalog'!$A$2:$A$200,0))),"")</f>
        <v/>
      </c>
      <c r="T154" s="10">
        <f>IFERROR(IF(INDEX('Test catalog'!$M$2:$M$200,MATCH($AB154,'Test catalog'!$A$2:$A$200,0))="","",INDEX('Test catalog'!$M$2:$M$200,MATCH($AB154,'Test catalog'!$A$2:$A$200,0))),"")</f>
        <v/>
      </c>
      <c r="U154" s="10">
        <f>IFERROR(IF(INDEX('Test catalog'!$N$2:$N$200,MATCH($AB154,'Test catalog'!$A$2:$A$200,0))="","",INDEX('Test catalog'!$N$2:$N$200,MATCH($AB154,'Test catalog'!$A$2:$A$200,0))),"")</f>
        <v/>
      </c>
      <c r="V154" s="15" t="n"/>
      <c r="W154" s="5" t="inlineStr">
        <is>
          <t>N</t>
        </is>
      </c>
      <c r="X154" s="5" t="n"/>
      <c r="Y154" s="5" t="n"/>
      <c r="Z154" s="5" t="inlineStr">
        <is>
          <t>Actives not on record – confirm tests</t>
        </is>
      </c>
      <c r="AA154" s="10">
        <f>IFERROR(IF(INDEX('Test catalog'!$O$2:$O$200,MATCH($AB154,'Test catalog'!$A$2:$A$200,0))="","",INDEX('Test catalog'!$O$2:$O$200,MATCH($AB154,'Test catalog'!$A$2:$A$200,0))),"")</f>
        <v/>
      </c>
      <c r="AB154" s="10" t="inlineStr">
        <is>
          <t>AVG_WT</t>
        </is>
      </c>
    </row>
    <row r="155">
      <c r="A155" s="10" t="inlineStr">
        <is>
          <t>F22</t>
        </is>
      </c>
      <c r="B155" s="10" t="inlineStr">
        <is>
          <t>FP</t>
        </is>
      </c>
      <c r="C155" s="10" t="inlineStr">
        <is>
          <t>Flusip-C  |  actives TBD: Flusip-C</t>
        </is>
      </c>
      <c r="D155" s="10" t="inlineStr">
        <is>
          <t>Diameter (or length / width)</t>
        </is>
      </c>
      <c r="E155" s="10">
        <f>IF(A155="","",A155&amp;"|"&amp;D155)</f>
        <v/>
      </c>
      <c r="F155" s="5" t="inlineStr">
        <is>
          <t>Y</t>
        </is>
      </c>
      <c r="G155" s="5" t="inlineStr">
        <is>
          <t>Tablet tester</t>
        </is>
      </c>
      <c r="H155" s="5" t="inlineStr">
        <is>
          <t>Low</t>
        </is>
      </c>
      <c r="I155" s="5" t="n">
        <v>1</v>
      </c>
      <c r="J155" s="5" t="n"/>
      <c r="K155" s="10">
        <f>IFERROR(IF(INDEX('Test catalog'!$F$2:$F$200,MATCH($AB155,'Test catalog'!$A$2:$A$200,0))="","",INDEX('Test catalog'!$F$2:$F$200,MATCH($AB155,'Test catalog'!$A$2:$A$200,0))),"")</f>
        <v/>
      </c>
      <c r="L155" s="10">
        <f>IFERROR(IF(INDEX('Test catalog'!$G$2:$G$200,MATCH($AB155,'Test catalog'!$A$2:$A$200,0))="","",INDEX('Test catalog'!$G$2:$G$200,MATCH($AB155,'Test catalog'!$A$2:$A$200,0))),"")</f>
        <v/>
      </c>
      <c r="M155" s="10">
        <f>IFERROR(IF(INDEX('Test catalog'!$H$2:$H$200,MATCH($AB155,'Test catalog'!$A$2:$A$200,0))="","",INDEX('Test catalog'!$H$2:$H$200,MATCH($AB155,'Test catalog'!$A$2:$A$200,0))),"")</f>
        <v/>
      </c>
      <c r="N155" s="10">
        <f>IFERROR(IF(INDEX('Test catalog'!$I$2:$I$200,MATCH($AB155,'Test catalog'!$A$2:$A$200,0))="","",INDEX('Test catalog'!$I$2:$I$200,MATCH($AB155,'Test catalog'!$A$2:$A$200,0))),"")</f>
        <v/>
      </c>
      <c r="O155" s="10">
        <f>IFERROR(IF(INDEX('Test catalog'!$J$2:$J$200,MATCH($AB155,'Test catalog'!$A$2:$A$200,0))="","",INDEX('Test catalog'!$J$2:$J$200,MATCH($AB155,'Test catalog'!$A$2:$A$200,0))),"")</f>
        <v/>
      </c>
      <c r="P155" s="14">
        <f>IF(N155="","",IF(OR(M155="",O155=""),N155,(M155+4*N155+O155)/6))</f>
        <v/>
      </c>
      <c r="Q155" s="10">
        <f>IFERROR(IF(INDEX('Test catalog'!$K$2:$K$200,MATCH($AB155,'Test catalog'!$A$2:$A$200,0))="","",INDEX('Test catalog'!$K$2:$K$200,MATCH($AB155,'Test catalog'!$A$2:$A$200,0))),"")</f>
        <v/>
      </c>
      <c r="R155" s="5" t="n"/>
      <c r="S155" s="10">
        <f>IFERROR(IF(INDEX('Test catalog'!$L$2:$L$200,MATCH($AB155,'Test catalog'!$A$2:$A$200,0))="","",INDEX('Test catalog'!$L$2:$L$200,MATCH($AB155,'Test catalog'!$A$2:$A$200,0))),"")</f>
        <v/>
      </c>
      <c r="T155" s="10">
        <f>IFERROR(IF(INDEX('Test catalog'!$M$2:$M$200,MATCH($AB155,'Test catalog'!$A$2:$A$200,0))="","",INDEX('Test catalog'!$M$2:$M$200,MATCH($AB155,'Test catalog'!$A$2:$A$200,0))),"")</f>
        <v/>
      </c>
      <c r="U155" s="10">
        <f>IFERROR(IF(INDEX('Test catalog'!$N$2:$N$200,MATCH($AB155,'Test catalog'!$A$2:$A$200,0))="","",INDEX('Test catalog'!$N$2:$N$200,MATCH($AB155,'Test catalog'!$A$2:$A$200,0))),"")</f>
        <v/>
      </c>
      <c r="V155" s="15" t="n"/>
      <c r="W155" s="5" t="inlineStr">
        <is>
          <t>N</t>
        </is>
      </c>
      <c r="X155" s="5" t="n"/>
      <c r="Y155" s="5" t="n"/>
      <c r="Z155" s="5" t="inlineStr">
        <is>
          <t>Actives not on record – confirm tests</t>
        </is>
      </c>
      <c r="AA155" s="10">
        <f>IFERROR(IF(INDEX('Test catalog'!$O$2:$O$200,MATCH($AB155,'Test catalog'!$A$2:$A$200,0))="","",INDEX('Test catalog'!$O$2:$O$200,MATCH($AB155,'Test catalog'!$A$2:$A$200,0))),"")</f>
        <v/>
      </c>
      <c r="AB155" s="10" t="inlineStr">
        <is>
          <t>DIAM</t>
        </is>
      </c>
    </row>
    <row r="156">
      <c r="A156" s="10" t="inlineStr">
        <is>
          <t>F22</t>
        </is>
      </c>
      <c r="B156" s="10" t="inlineStr">
        <is>
          <t>FP</t>
        </is>
      </c>
      <c r="C156" s="10" t="inlineStr">
        <is>
          <t>Flusip-C  |  actives TBD: Flusip-C</t>
        </is>
      </c>
      <c r="D156" s="10" t="inlineStr">
        <is>
          <t>Thickness</t>
        </is>
      </c>
      <c r="E156" s="10">
        <f>IF(A156="","",A156&amp;"|"&amp;D156)</f>
        <v/>
      </c>
      <c r="F156" s="5" t="inlineStr">
        <is>
          <t>Y</t>
        </is>
      </c>
      <c r="G156" s="5" t="inlineStr">
        <is>
          <t>Tablet tester</t>
        </is>
      </c>
      <c r="H156" s="5" t="inlineStr">
        <is>
          <t>Low</t>
        </is>
      </c>
      <c r="I156" s="5" t="n">
        <v>1</v>
      </c>
      <c r="J156" s="5" t="n"/>
      <c r="K156" s="10">
        <f>IFERROR(IF(INDEX('Test catalog'!$F$2:$F$200,MATCH($AB156,'Test catalog'!$A$2:$A$200,0))="","",INDEX('Test catalog'!$F$2:$F$200,MATCH($AB156,'Test catalog'!$A$2:$A$200,0))),"")</f>
        <v/>
      </c>
      <c r="L156" s="10">
        <f>IFERROR(IF(INDEX('Test catalog'!$G$2:$G$200,MATCH($AB156,'Test catalog'!$A$2:$A$200,0))="","",INDEX('Test catalog'!$G$2:$G$200,MATCH($AB156,'Test catalog'!$A$2:$A$200,0))),"")</f>
        <v/>
      </c>
      <c r="M156" s="10">
        <f>IFERROR(IF(INDEX('Test catalog'!$H$2:$H$200,MATCH($AB156,'Test catalog'!$A$2:$A$200,0))="","",INDEX('Test catalog'!$H$2:$H$200,MATCH($AB156,'Test catalog'!$A$2:$A$200,0))),"")</f>
        <v/>
      </c>
      <c r="N156" s="10">
        <f>IFERROR(IF(INDEX('Test catalog'!$I$2:$I$200,MATCH($AB156,'Test catalog'!$A$2:$A$200,0))="","",INDEX('Test catalog'!$I$2:$I$200,MATCH($AB156,'Test catalog'!$A$2:$A$200,0))),"")</f>
        <v/>
      </c>
      <c r="O156" s="10">
        <f>IFERROR(IF(INDEX('Test catalog'!$J$2:$J$200,MATCH($AB156,'Test catalog'!$A$2:$A$200,0))="","",INDEX('Test catalog'!$J$2:$J$200,MATCH($AB156,'Test catalog'!$A$2:$A$200,0))),"")</f>
        <v/>
      </c>
      <c r="P156" s="14">
        <f>IF(N156="","",IF(OR(M156="",O156=""),N156,(M156+4*N156+O156)/6))</f>
        <v/>
      </c>
      <c r="Q156" s="10">
        <f>IFERROR(IF(INDEX('Test catalog'!$K$2:$K$200,MATCH($AB156,'Test catalog'!$A$2:$A$200,0))="","",INDEX('Test catalog'!$K$2:$K$200,MATCH($AB156,'Test catalog'!$A$2:$A$200,0))),"")</f>
        <v/>
      </c>
      <c r="R156" s="5" t="n"/>
      <c r="S156" s="10">
        <f>IFERROR(IF(INDEX('Test catalog'!$L$2:$L$200,MATCH($AB156,'Test catalog'!$A$2:$A$200,0))="","",INDEX('Test catalog'!$L$2:$L$200,MATCH($AB156,'Test catalog'!$A$2:$A$200,0))),"")</f>
        <v/>
      </c>
      <c r="T156" s="10">
        <f>IFERROR(IF(INDEX('Test catalog'!$M$2:$M$200,MATCH($AB156,'Test catalog'!$A$2:$A$200,0))="","",INDEX('Test catalog'!$M$2:$M$200,MATCH($AB156,'Test catalog'!$A$2:$A$200,0))),"")</f>
        <v/>
      </c>
      <c r="U156" s="10">
        <f>IFERROR(IF(INDEX('Test catalog'!$N$2:$N$200,MATCH($AB156,'Test catalog'!$A$2:$A$200,0))="","",INDEX('Test catalog'!$N$2:$N$200,MATCH($AB156,'Test catalog'!$A$2:$A$200,0))),"")</f>
        <v/>
      </c>
      <c r="V156" s="15" t="n"/>
      <c r="W156" s="5" t="inlineStr">
        <is>
          <t>N</t>
        </is>
      </c>
      <c r="X156" s="5" t="n"/>
      <c r="Y156" s="5" t="n"/>
      <c r="Z156" s="5" t="inlineStr">
        <is>
          <t>Actives not on record – confirm tests</t>
        </is>
      </c>
      <c r="AA156" s="10">
        <f>IFERROR(IF(INDEX('Test catalog'!$O$2:$O$200,MATCH($AB156,'Test catalog'!$A$2:$A$200,0))="","",INDEX('Test catalog'!$O$2:$O$200,MATCH($AB156,'Test catalog'!$A$2:$A$200,0))),"")</f>
        <v/>
      </c>
      <c r="AB156" s="10" t="inlineStr">
        <is>
          <t>THICK</t>
        </is>
      </c>
    </row>
    <row r="157">
      <c r="A157" s="10" t="inlineStr">
        <is>
          <t>F22</t>
        </is>
      </c>
      <c r="B157" s="10" t="inlineStr">
        <is>
          <t>FP</t>
        </is>
      </c>
      <c r="C157" s="10" t="inlineStr">
        <is>
          <t>Flusip-C  |  actives TBD: Flusip-C</t>
        </is>
      </c>
      <c r="D157" s="10" t="inlineStr">
        <is>
          <t>Hardness / breaking force</t>
        </is>
      </c>
      <c r="E157" s="10">
        <f>IF(A157="","",A157&amp;"|"&amp;D157)</f>
        <v/>
      </c>
      <c r="F157" s="5" t="inlineStr">
        <is>
          <t>Y</t>
        </is>
      </c>
      <c r="G157" s="5" t="inlineStr">
        <is>
          <t>Tablet tester</t>
        </is>
      </c>
      <c r="H157" s="5" t="inlineStr">
        <is>
          <t>Low</t>
        </is>
      </c>
      <c r="I157" s="5" t="n">
        <v>1</v>
      </c>
      <c r="J157" s="5" t="n"/>
      <c r="K157" s="10">
        <f>IFERROR(IF(INDEX('Test catalog'!$F$2:$F$200,MATCH($AB157,'Test catalog'!$A$2:$A$200,0))="","",INDEX('Test catalog'!$F$2:$F$200,MATCH($AB157,'Test catalog'!$A$2:$A$200,0))),"")</f>
        <v/>
      </c>
      <c r="L157" s="10">
        <f>IFERROR(IF(INDEX('Test catalog'!$G$2:$G$200,MATCH($AB157,'Test catalog'!$A$2:$A$200,0))="","",INDEX('Test catalog'!$G$2:$G$200,MATCH($AB157,'Test catalog'!$A$2:$A$200,0))),"")</f>
        <v/>
      </c>
      <c r="M157" s="10">
        <f>IFERROR(IF(INDEX('Test catalog'!$H$2:$H$200,MATCH($AB157,'Test catalog'!$A$2:$A$200,0))="","",INDEX('Test catalog'!$H$2:$H$200,MATCH($AB157,'Test catalog'!$A$2:$A$200,0))),"")</f>
        <v/>
      </c>
      <c r="N157" s="10">
        <f>IFERROR(IF(INDEX('Test catalog'!$I$2:$I$200,MATCH($AB157,'Test catalog'!$A$2:$A$200,0))="","",INDEX('Test catalog'!$I$2:$I$200,MATCH($AB157,'Test catalog'!$A$2:$A$200,0))),"")</f>
        <v/>
      </c>
      <c r="O157" s="10">
        <f>IFERROR(IF(INDEX('Test catalog'!$J$2:$J$200,MATCH($AB157,'Test catalog'!$A$2:$A$200,0))="","",INDEX('Test catalog'!$J$2:$J$200,MATCH($AB157,'Test catalog'!$A$2:$A$200,0))),"")</f>
        <v/>
      </c>
      <c r="P157" s="14">
        <f>IF(N157="","",IF(OR(M157="",O157=""),N157,(M157+4*N157+O157)/6))</f>
        <v/>
      </c>
      <c r="Q157" s="10">
        <f>IFERROR(IF(INDEX('Test catalog'!$K$2:$K$200,MATCH($AB157,'Test catalog'!$A$2:$A$200,0))="","",INDEX('Test catalog'!$K$2:$K$200,MATCH($AB157,'Test catalog'!$A$2:$A$200,0))),"")</f>
        <v/>
      </c>
      <c r="R157" s="5" t="n"/>
      <c r="S157" s="10">
        <f>IFERROR(IF(INDEX('Test catalog'!$L$2:$L$200,MATCH($AB157,'Test catalog'!$A$2:$A$200,0))="","",INDEX('Test catalog'!$L$2:$L$200,MATCH($AB157,'Test catalog'!$A$2:$A$200,0))),"")</f>
        <v/>
      </c>
      <c r="T157" s="10">
        <f>IFERROR(IF(INDEX('Test catalog'!$M$2:$M$200,MATCH($AB157,'Test catalog'!$A$2:$A$200,0))="","",INDEX('Test catalog'!$M$2:$M$200,MATCH($AB157,'Test catalog'!$A$2:$A$200,0))),"")</f>
        <v/>
      </c>
      <c r="U157" s="10">
        <f>IFERROR(IF(INDEX('Test catalog'!$N$2:$N$200,MATCH($AB157,'Test catalog'!$A$2:$A$200,0))="","",INDEX('Test catalog'!$N$2:$N$200,MATCH($AB157,'Test catalog'!$A$2:$A$200,0))),"")</f>
        <v/>
      </c>
      <c r="V157" s="15" t="n"/>
      <c r="W157" s="5" t="inlineStr">
        <is>
          <t>Y</t>
        </is>
      </c>
      <c r="X157" s="5" t="n"/>
      <c r="Y157" s="5" t="n"/>
      <c r="Z157" s="5" t="inlineStr">
        <is>
          <t>Actives not on record – confirm tests</t>
        </is>
      </c>
      <c r="AA157" s="10">
        <f>IFERROR(IF(INDEX('Test catalog'!$O$2:$O$200,MATCH($AB157,'Test catalog'!$A$2:$A$200,0))="","",INDEX('Test catalog'!$O$2:$O$200,MATCH($AB157,'Test catalog'!$A$2:$A$200,0))),"")</f>
        <v/>
      </c>
      <c r="AB157" s="10" t="inlineStr">
        <is>
          <t>HARD</t>
        </is>
      </c>
    </row>
    <row r="158">
      <c r="A158" s="10" t="inlineStr">
        <is>
          <t>F22</t>
        </is>
      </c>
      <c r="B158" s="10" t="inlineStr">
        <is>
          <t>FP</t>
        </is>
      </c>
      <c r="C158" s="10" t="inlineStr">
        <is>
          <t>Flusip-C  |  actives TBD: Flusip-C</t>
        </is>
      </c>
      <c r="D158" s="10" t="inlineStr">
        <is>
          <t>Brittleness</t>
        </is>
      </c>
      <c r="E158" s="10">
        <f>IF(A158="","",A158&amp;"|"&amp;D158)</f>
        <v/>
      </c>
      <c r="F158" s="5" t="inlineStr">
        <is>
          <t>Y</t>
        </is>
      </c>
      <c r="G158" s="5" t="inlineStr">
        <is>
          <t>Other / bench</t>
        </is>
      </c>
      <c r="H158" s="5" t="inlineStr">
        <is>
          <t>Low</t>
        </is>
      </c>
      <c r="I158" s="5" t="n">
        <v>1</v>
      </c>
      <c r="J158" s="5" t="n"/>
      <c r="K158" s="10">
        <f>IFERROR(IF(INDEX('Test catalog'!$F$2:$F$200,MATCH($AB158,'Test catalog'!$A$2:$A$200,0))="","",INDEX('Test catalog'!$F$2:$F$200,MATCH($AB158,'Test catalog'!$A$2:$A$200,0))),"")</f>
        <v/>
      </c>
      <c r="L158" s="10">
        <f>IFERROR(IF(INDEX('Test catalog'!$G$2:$G$200,MATCH($AB158,'Test catalog'!$A$2:$A$200,0))="","",INDEX('Test catalog'!$G$2:$G$200,MATCH($AB158,'Test catalog'!$A$2:$A$200,0))),"")</f>
        <v/>
      </c>
      <c r="M158" s="10">
        <f>IFERROR(IF(INDEX('Test catalog'!$H$2:$H$200,MATCH($AB158,'Test catalog'!$A$2:$A$200,0))="","",INDEX('Test catalog'!$H$2:$H$200,MATCH($AB158,'Test catalog'!$A$2:$A$200,0))),"")</f>
        <v/>
      </c>
      <c r="N158" s="10">
        <f>IFERROR(IF(INDEX('Test catalog'!$I$2:$I$200,MATCH($AB158,'Test catalog'!$A$2:$A$200,0))="","",INDEX('Test catalog'!$I$2:$I$200,MATCH($AB158,'Test catalog'!$A$2:$A$200,0))),"")</f>
        <v/>
      </c>
      <c r="O158" s="10">
        <f>IFERROR(IF(INDEX('Test catalog'!$J$2:$J$200,MATCH($AB158,'Test catalog'!$A$2:$A$200,0))="","",INDEX('Test catalog'!$J$2:$J$200,MATCH($AB158,'Test catalog'!$A$2:$A$200,0))),"")</f>
        <v/>
      </c>
      <c r="P158" s="14">
        <f>IF(N158="","",IF(OR(M158="",O158=""),N158,(M158+4*N158+O158)/6))</f>
        <v/>
      </c>
      <c r="Q158" s="10">
        <f>IFERROR(IF(INDEX('Test catalog'!$K$2:$K$200,MATCH($AB158,'Test catalog'!$A$2:$A$200,0))="","",INDEX('Test catalog'!$K$2:$K$200,MATCH($AB158,'Test catalog'!$A$2:$A$200,0))),"")</f>
        <v/>
      </c>
      <c r="R158" s="5" t="n"/>
      <c r="S158" s="10">
        <f>IFERROR(IF(INDEX('Test catalog'!$L$2:$L$200,MATCH($AB158,'Test catalog'!$A$2:$A$200,0))="","",INDEX('Test catalog'!$L$2:$L$200,MATCH($AB158,'Test catalog'!$A$2:$A$200,0))),"")</f>
        <v/>
      </c>
      <c r="T158" s="10">
        <f>IFERROR(IF(INDEX('Test catalog'!$M$2:$M$200,MATCH($AB158,'Test catalog'!$A$2:$A$200,0))="","",INDEX('Test catalog'!$M$2:$M$200,MATCH($AB158,'Test catalog'!$A$2:$A$200,0))),"")</f>
        <v/>
      </c>
      <c r="U158" s="10">
        <f>IFERROR(IF(INDEX('Test catalog'!$N$2:$N$200,MATCH($AB158,'Test catalog'!$A$2:$A$200,0))="","",INDEX('Test catalog'!$N$2:$N$200,MATCH($AB158,'Test catalog'!$A$2:$A$200,0))),"")</f>
        <v/>
      </c>
      <c r="V158" s="15" t="n"/>
      <c r="W158" s="5" t="inlineStr">
        <is>
          <t>N</t>
        </is>
      </c>
      <c r="X158" s="5" t="n"/>
      <c r="Y158" s="5" t="n"/>
      <c r="Z158" s="5" t="inlineStr">
        <is>
          <t>Actives not on record – confirm tests</t>
        </is>
      </c>
      <c r="AA158" s="10">
        <f>IFERROR(IF(INDEX('Test catalog'!$O$2:$O$200,MATCH($AB158,'Test catalog'!$A$2:$A$200,0))="","",INDEX('Test catalog'!$O$2:$O$200,MATCH($AB158,'Test catalog'!$A$2:$A$200,0))),"")</f>
        <v/>
      </c>
      <c r="AB158" s="10" t="inlineStr">
        <is>
          <t>BRITTLE</t>
        </is>
      </c>
    </row>
    <row r="159">
      <c r="A159" s="10" t="inlineStr">
        <is>
          <t>F22</t>
        </is>
      </c>
      <c r="B159" s="10" t="inlineStr">
        <is>
          <t>FP</t>
        </is>
      </c>
      <c r="C159" s="10" t="inlineStr">
        <is>
          <t>Flusip-C  |  actives TBD: Flusip-C</t>
        </is>
      </c>
      <c r="D159" s="10" t="inlineStr">
        <is>
          <t>Friability</t>
        </is>
      </c>
      <c r="E159" s="10">
        <f>IF(A159="","",A159&amp;"|"&amp;D159)</f>
        <v/>
      </c>
      <c r="F159" s="5" t="inlineStr">
        <is>
          <t>Y</t>
        </is>
      </c>
      <c r="G159" s="5" t="inlineStr">
        <is>
          <t>Friabilator</t>
        </is>
      </c>
      <c r="H159" s="5" t="inlineStr">
        <is>
          <t>Low</t>
        </is>
      </c>
      <c r="I159" s="5" t="n">
        <v>1</v>
      </c>
      <c r="J159" s="5" t="n"/>
      <c r="K159" s="10">
        <f>IFERROR(IF(INDEX('Test catalog'!$F$2:$F$200,MATCH($AB159,'Test catalog'!$A$2:$A$200,0))="","",INDEX('Test catalog'!$F$2:$F$200,MATCH($AB159,'Test catalog'!$A$2:$A$200,0))),"")</f>
        <v/>
      </c>
      <c r="L159" s="10">
        <f>IFERROR(IF(INDEX('Test catalog'!$G$2:$G$200,MATCH($AB159,'Test catalog'!$A$2:$A$200,0))="","",INDEX('Test catalog'!$G$2:$G$200,MATCH($AB159,'Test catalog'!$A$2:$A$200,0))),"")</f>
        <v/>
      </c>
      <c r="M159" s="10">
        <f>IFERROR(IF(INDEX('Test catalog'!$H$2:$H$200,MATCH($AB159,'Test catalog'!$A$2:$A$200,0))="","",INDEX('Test catalog'!$H$2:$H$200,MATCH($AB159,'Test catalog'!$A$2:$A$200,0))),"")</f>
        <v/>
      </c>
      <c r="N159" s="10">
        <f>IFERROR(IF(INDEX('Test catalog'!$I$2:$I$200,MATCH($AB159,'Test catalog'!$A$2:$A$200,0))="","",INDEX('Test catalog'!$I$2:$I$200,MATCH($AB159,'Test catalog'!$A$2:$A$200,0))),"")</f>
        <v/>
      </c>
      <c r="O159" s="10">
        <f>IFERROR(IF(INDEX('Test catalog'!$J$2:$J$200,MATCH($AB159,'Test catalog'!$A$2:$A$200,0))="","",INDEX('Test catalog'!$J$2:$J$200,MATCH($AB159,'Test catalog'!$A$2:$A$200,0))),"")</f>
        <v/>
      </c>
      <c r="P159" s="14">
        <f>IF(N159="","",IF(OR(M159="",O159=""),N159,(M159+4*N159+O159)/6))</f>
        <v/>
      </c>
      <c r="Q159" s="10">
        <f>IFERROR(IF(INDEX('Test catalog'!$K$2:$K$200,MATCH($AB159,'Test catalog'!$A$2:$A$200,0))="","",INDEX('Test catalog'!$K$2:$K$200,MATCH($AB159,'Test catalog'!$A$2:$A$200,0))),"")</f>
        <v/>
      </c>
      <c r="R159" s="5" t="n"/>
      <c r="S159" s="10">
        <f>IFERROR(IF(INDEX('Test catalog'!$L$2:$L$200,MATCH($AB159,'Test catalog'!$A$2:$A$200,0))="","",INDEX('Test catalog'!$L$2:$L$200,MATCH($AB159,'Test catalog'!$A$2:$A$200,0))),"")</f>
        <v/>
      </c>
      <c r="T159" s="10">
        <f>IFERROR(IF(INDEX('Test catalog'!$M$2:$M$200,MATCH($AB159,'Test catalog'!$A$2:$A$200,0))="","",INDEX('Test catalog'!$M$2:$M$200,MATCH($AB159,'Test catalog'!$A$2:$A$200,0))),"")</f>
        <v/>
      </c>
      <c r="U159" s="10">
        <f>IFERROR(IF(INDEX('Test catalog'!$N$2:$N$200,MATCH($AB159,'Test catalog'!$A$2:$A$200,0))="","",INDEX('Test catalog'!$N$2:$N$200,MATCH($AB159,'Test catalog'!$A$2:$A$200,0))),"")</f>
        <v/>
      </c>
      <c r="V159" s="15" t="n"/>
      <c r="W159" s="5" t="inlineStr">
        <is>
          <t>N</t>
        </is>
      </c>
      <c r="X159" s="5" t="n"/>
      <c r="Y159" s="5" t="n"/>
      <c r="Z159" s="5" t="inlineStr">
        <is>
          <t>Actives not on record – confirm tests</t>
        </is>
      </c>
      <c r="AA159" s="10">
        <f>IFERROR(IF(INDEX('Test catalog'!$O$2:$O$200,MATCH($AB159,'Test catalog'!$A$2:$A$200,0))="","",INDEX('Test catalog'!$O$2:$O$200,MATCH($AB159,'Test catalog'!$A$2:$A$200,0))),"")</f>
        <v/>
      </c>
      <c r="AB159" s="10" t="inlineStr">
        <is>
          <t>FRIAB</t>
        </is>
      </c>
    </row>
    <row r="160">
      <c r="A160" s="10" t="inlineStr">
        <is>
          <t>F22</t>
        </is>
      </c>
      <c r="B160" s="10" t="inlineStr">
        <is>
          <t>FP</t>
        </is>
      </c>
      <c r="C160" s="10" t="inlineStr">
        <is>
          <t>Flusip-C  |  actives TBD: Flusip-C</t>
        </is>
      </c>
      <c r="D160" s="10" t="inlineStr">
        <is>
          <t>Disintegration</t>
        </is>
      </c>
      <c r="E160" s="10">
        <f>IF(A160="","",A160&amp;"|"&amp;D160)</f>
        <v/>
      </c>
      <c r="F160" s="5" t="inlineStr">
        <is>
          <t>Y</t>
        </is>
      </c>
      <c r="G160" s="5" t="inlineStr">
        <is>
          <t>Disintegration tester</t>
        </is>
      </c>
      <c r="H160" s="5" t="inlineStr">
        <is>
          <t>Low</t>
        </is>
      </c>
      <c r="I160" s="5" t="n">
        <v>1</v>
      </c>
      <c r="J160" s="5" t="n"/>
      <c r="K160" s="10">
        <f>IFERROR(IF(INDEX('Test catalog'!$F$2:$F$200,MATCH($AB160,'Test catalog'!$A$2:$A$200,0))="","",INDEX('Test catalog'!$F$2:$F$200,MATCH($AB160,'Test catalog'!$A$2:$A$200,0))),"")</f>
        <v/>
      </c>
      <c r="L160" s="10">
        <f>IFERROR(IF(INDEX('Test catalog'!$G$2:$G$200,MATCH($AB160,'Test catalog'!$A$2:$A$200,0))="","",INDEX('Test catalog'!$G$2:$G$200,MATCH($AB160,'Test catalog'!$A$2:$A$200,0))),"")</f>
        <v/>
      </c>
      <c r="M160" s="10">
        <f>IFERROR(IF(INDEX('Test catalog'!$H$2:$H$200,MATCH($AB160,'Test catalog'!$A$2:$A$200,0))="","",INDEX('Test catalog'!$H$2:$H$200,MATCH($AB160,'Test catalog'!$A$2:$A$200,0))),"")</f>
        <v/>
      </c>
      <c r="N160" s="10">
        <f>IFERROR(IF(INDEX('Test catalog'!$I$2:$I$200,MATCH($AB160,'Test catalog'!$A$2:$A$200,0))="","",INDEX('Test catalog'!$I$2:$I$200,MATCH($AB160,'Test catalog'!$A$2:$A$200,0))),"")</f>
        <v/>
      </c>
      <c r="O160" s="10">
        <f>IFERROR(IF(INDEX('Test catalog'!$J$2:$J$200,MATCH($AB160,'Test catalog'!$A$2:$A$200,0))="","",INDEX('Test catalog'!$J$2:$J$200,MATCH($AB160,'Test catalog'!$A$2:$A$200,0))),"")</f>
        <v/>
      </c>
      <c r="P160" s="14">
        <f>IF(N160="","",IF(OR(M160="",O160=""),N160,(M160+4*N160+O160)/6))</f>
        <v/>
      </c>
      <c r="Q160" s="10">
        <f>IFERROR(IF(INDEX('Test catalog'!$K$2:$K$200,MATCH($AB160,'Test catalog'!$A$2:$A$200,0))="","",INDEX('Test catalog'!$K$2:$K$200,MATCH($AB160,'Test catalog'!$A$2:$A$200,0))),"")</f>
        <v/>
      </c>
      <c r="R160" s="5" t="n"/>
      <c r="S160" s="10">
        <f>IFERROR(IF(INDEX('Test catalog'!$L$2:$L$200,MATCH($AB160,'Test catalog'!$A$2:$A$200,0))="","",INDEX('Test catalog'!$L$2:$L$200,MATCH($AB160,'Test catalog'!$A$2:$A$200,0))),"")</f>
        <v/>
      </c>
      <c r="T160" s="10">
        <f>IFERROR(IF(INDEX('Test catalog'!$M$2:$M$200,MATCH($AB160,'Test catalog'!$A$2:$A$200,0))="","",INDEX('Test catalog'!$M$2:$M$200,MATCH($AB160,'Test catalog'!$A$2:$A$200,0))),"")</f>
        <v/>
      </c>
      <c r="U160" s="10">
        <f>IFERROR(IF(INDEX('Test catalog'!$N$2:$N$200,MATCH($AB160,'Test catalog'!$A$2:$A$200,0))="","",INDEX('Test catalog'!$N$2:$N$200,MATCH($AB160,'Test catalog'!$A$2:$A$200,0))),"")</f>
        <v/>
      </c>
      <c r="V160" s="15" t="n"/>
      <c r="W160" s="5" t="inlineStr">
        <is>
          <t>Y</t>
        </is>
      </c>
      <c r="X160" s="5" t="n"/>
      <c r="Y160" s="5" t="n"/>
      <c r="Z160" s="5" t="inlineStr">
        <is>
          <t>Actives not on record – confirm tests</t>
        </is>
      </c>
      <c r="AA160" s="10">
        <f>IFERROR(IF(INDEX('Test catalog'!$O$2:$O$200,MATCH($AB160,'Test catalog'!$A$2:$A$200,0))="","",INDEX('Test catalog'!$O$2:$O$200,MATCH($AB160,'Test catalog'!$A$2:$A$200,0))),"")</f>
        <v/>
      </c>
      <c r="AB160" s="10" t="inlineStr">
        <is>
          <t>DISINT</t>
        </is>
      </c>
    </row>
    <row r="161">
      <c r="A161" s="10" t="inlineStr">
        <is>
          <t>F22</t>
        </is>
      </c>
      <c r="B161" s="10" t="inlineStr">
        <is>
          <t>FP</t>
        </is>
      </c>
      <c r="C161" s="10" t="inlineStr">
        <is>
          <t>Flusip-C  |  actives TBD: Flusip-C</t>
        </is>
      </c>
      <c r="D161" s="10" t="inlineStr">
        <is>
          <t>In-process check at the machine (one check, all its tests)</t>
        </is>
      </c>
      <c r="E161" s="10">
        <f>IF(A161="","",A161&amp;"|"&amp;D161)</f>
        <v/>
      </c>
      <c r="F161" s="5" t="inlineStr">
        <is>
          <t>Y</t>
        </is>
      </c>
      <c r="G161" s="5" t="inlineStr">
        <is>
          <t>Tablet tester</t>
        </is>
      </c>
      <c r="H161" s="5" t="inlineStr">
        <is>
          <t>Low</t>
        </is>
      </c>
      <c r="I161" s="5" t="n">
        <v>1</v>
      </c>
      <c r="J161" s="5" t="n"/>
      <c r="K161" s="10">
        <f>IFERROR(IF(INDEX('Test catalog'!$F$2:$F$200,MATCH($AB161,'Test catalog'!$A$2:$A$200,0))="","",INDEX('Test catalog'!$F$2:$F$200,MATCH($AB161,'Test catalog'!$A$2:$A$200,0))),"")</f>
        <v/>
      </c>
      <c r="L161" s="10">
        <f>IFERROR(IF(INDEX('Test catalog'!$G$2:$G$200,MATCH($AB161,'Test catalog'!$A$2:$A$200,0))="","",INDEX('Test catalog'!$G$2:$G$200,MATCH($AB161,'Test catalog'!$A$2:$A$200,0))),"")</f>
        <v/>
      </c>
      <c r="M161" s="10">
        <f>IFERROR(IF(INDEX('Test catalog'!$H$2:$H$200,MATCH($AB161,'Test catalog'!$A$2:$A$200,0))="","",INDEX('Test catalog'!$H$2:$H$200,MATCH($AB161,'Test catalog'!$A$2:$A$200,0))),"")</f>
        <v/>
      </c>
      <c r="N161" s="10">
        <f>IFERROR(IF(INDEX('Test catalog'!$I$2:$I$200,MATCH($AB161,'Test catalog'!$A$2:$A$200,0))="","",INDEX('Test catalog'!$I$2:$I$200,MATCH($AB161,'Test catalog'!$A$2:$A$200,0))),"")</f>
        <v/>
      </c>
      <c r="O161" s="10">
        <f>IFERROR(IF(INDEX('Test catalog'!$J$2:$J$200,MATCH($AB161,'Test catalog'!$A$2:$A$200,0))="","",INDEX('Test catalog'!$J$2:$J$200,MATCH($AB161,'Test catalog'!$A$2:$A$200,0))),"")</f>
        <v/>
      </c>
      <c r="P161" s="14">
        <f>IF(N161="","",IF(OR(M161="",O161=""),N161,(M161+4*N161+O161)/6))</f>
        <v/>
      </c>
      <c r="Q161" s="10">
        <f>IFERROR(IF(INDEX('Test catalog'!$K$2:$K$200,MATCH($AB161,'Test catalog'!$A$2:$A$200,0))="","",INDEX('Test catalog'!$K$2:$K$200,MATCH($AB161,'Test catalog'!$A$2:$A$200,0))),"")</f>
        <v/>
      </c>
      <c r="R161" s="5" t="n"/>
      <c r="S161" s="10">
        <f>IFERROR(IF(INDEX('Test catalog'!$L$2:$L$200,MATCH($AB161,'Test catalog'!$A$2:$A$200,0))="","",INDEX('Test catalog'!$L$2:$L$200,MATCH($AB161,'Test catalog'!$A$2:$A$200,0))),"")</f>
        <v/>
      </c>
      <c r="T161" s="10">
        <f>IFERROR(IF(INDEX('Test catalog'!$M$2:$M$200,MATCH($AB161,'Test catalog'!$A$2:$A$200,0))="","",INDEX('Test catalog'!$M$2:$M$200,MATCH($AB161,'Test catalog'!$A$2:$A$200,0))),"")</f>
        <v/>
      </c>
      <c r="U161" s="10">
        <f>IFERROR(IF(INDEX('Test catalog'!$N$2:$N$200,MATCH($AB161,'Test catalog'!$A$2:$A$200,0))="","",INDEX('Test catalog'!$N$2:$N$200,MATCH($AB161,'Test catalog'!$A$2:$A$200,0))),"")</f>
        <v/>
      </c>
      <c r="V161" s="15" t="n"/>
      <c r="W161" s="5" t="inlineStr">
        <is>
          <t>N</t>
        </is>
      </c>
      <c r="X161" s="5" t="n"/>
      <c r="Y161" s="5" t="n"/>
      <c r="Z161" s="5" t="inlineStr">
        <is>
          <t>Actives not on record – confirm tests</t>
        </is>
      </c>
      <c r="AA161" s="10">
        <f>IFERROR(IF(INDEX('Test catalog'!$O$2:$O$200,MATCH($AB161,'Test catalog'!$A$2:$A$200,0))="","",INDEX('Test catalog'!$O$2:$O$200,MATCH($AB161,'Test catalog'!$A$2:$A$200,0))),"")</f>
        <v/>
      </c>
      <c r="AB161" s="10" t="inlineStr">
        <is>
          <t>IPC</t>
        </is>
      </c>
    </row>
    <row r="162">
      <c r="A162" s="10" t="inlineStr">
        <is>
          <t>F23</t>
        </is>
      </c>
      <c r="B162" s="10" t="inlineStr">
        <is>
          <t>FP</t>
        </is>
      </c>
      <c r="C162" s="10" t="inlineStr">
        <is>
          <t>Empagliflozin 10 mg; Empaglose 25  |  Empagliflozin</t>
        </is>
      </c>
      <c r="D162" s="10" t="inlineStr">
        <is>
          <t>Average weight / uniformity of mass</t>
        </is>
      </c>
      <c r="E162" s="10">
        <f>IF(A162="","",A162&amp;"|"&amp;D162)</f>
        <v/>
      </c>
      <c r="F162" s="5" t="inlineStr">
        <is>
          <t>Y</t>
        </is>
      </c>
      <c r="G162" s="5" t="inlineStr">
        <is>
          <t>Balance</t>
        </is>
      </c>
      <c r="H162" s="5" t="inlineStr">
        <is>
          <t>Low</t>
        </is>
      </c>
      <c r="I162" s="5" t="n">
        <v>1</v>
      </c>
      <c r="J162" s="5" t="n"/>
      <c r="K162" s="10">
        <f>IFERROR(IF(INDEX('Test catalog'!$F$2:$F$200,MATCH($AB162,'Test catalog'!$A$2:$A$200,0))="","",INDEX('Test catalog'!$F$2:$F$200,MATCH($AB162,'Test catalog'!$A$2:$A$200,0))),"")</f>
        <v/>
      </c>
      <c r="L162" s="10">
        <f>IFERROR(IF(INDEX('Test catalog'!$G$2:$G$200,MATCH($AB162,'Test catalog'!$A$2:$A$200,0))="","",INDEX('Test catalog'!$G$2:$G$200,MATCH($AB162,'Test catalog'!$A$2:$A$200,0))),"")</f>
        <v/>
      </c>
      <c r="M162" s="10">
        <f>IFERROR(IF(INDEX('Test catalog'!$H$2:$H$200,MATCH($AB162,'Test catalog'!$A$2:$A$200,0))="","",INDEX('Test catalog'!$H$2:$H$200,MATCH($AB162,'Test catalog'!$A$2:$A$200,0))),"")</f>
        <v/>
      </c>
      <c r="N162" s="10">
        <f>IFERROR(IF(INDEX('Test catalog'!$I$2:$I$200,MATCH($AB162,'Test catalog'!$A$2:$A$200,0))="","",INDEX('Test catalog'!$I$2:$I$200,MATCH($AB162,'Test catalog'!$A$2:$A$200,0))),"")</f>
        <v/>
      </c>
      <c r="O162" s="10">
        <f>IFERROR(IF(INDEX('Test catalog'!$J$2:$J$200,MATCH($AB162,'Test catalog'!$A$2:$A$200,0))="","",INDEX('Test catalog'!$J$2:$J$200,MATCH($AB162,'Test catalog'!$A$2:$A$200,0))),"")</f>
        <v/>
      </c>
      <c r="P162" s="14">
        <f>IF(N162="","",IF(OR(M162="",O162=""),N162,(M162+4*N162+O162)/6))</f>
        <v/>
      </c>
      <c r="Q162" s="10">
        <f>IFERROR(IF(INDEX('Test catalog'!$K$2:$K$200,MATCH($AB162,'Test catalog'!$A$2:$A$200,0))="","",INDEX('Test catalog'!$K$2:$K$200,MATCH($AB162,'Test catalog'!$A$2:$A$200,0))),"")</f>
        <v/>
      </c>
      <c r="R162" s="5" t="n"/>
      <c r="S162" s="10">
        <f>IFERROR(IF(INDEX('Test catalog'!$L$2:$L$200,MATCH($AB162,'Test catalog'!$A$2:$A$200,0))="","",INDEX('Test catalog'!$L$2:$L$200,MATCH($AB162,'Test catalog'!$A$2:$A$200,0))),"")</f>
        <v/>
      </c>
      <c r="T162" s="10">
        <f>IFERROR(IF(INDEX('Test catalog'!$M$2:$M$200,MATCH($AB162,'Test catalog'!$A$2:$A$200,0))="","",INDEX('Test catalog'!$M$2:$M$200,MATCH($AB162,'Test catalog'!$A$2:$A$200,0))),"")</f>
        <v/>
      </c>
      <c r="U162" s="10">
        <f>IFERROR(IF(INDEX('Test catalog'!$N$2:$N$200,MATCH($AB162,'Test catalog'!$A$2:$A$200,0))="","",INDEX('Test catalog'!$N$2:$N$200,MATCH($AB162,'Test catalog'!$A$2:$A$200,0))),"")</f>
        <v/>
      </c>
      <c r="V162" s="15" t="n"/>
      <c r="W162" s="5" t="inlineStr">
        <is>
          <t>N</t>
        </is>
      </c>
      <c r="X162" s="5" t="n"/>
      <c r="Y162" s="5" t="n"/>
      <c r="Z162" s="5" t="n"/>
      <c r="AA162" s="10">
        <f>IFERROR(IF(INDEX('Test catalog'!$O$2:$O$200,MATCH($AB162,'Test catalog'!$A$2:$A$200,0))="","",INDEX('Test catalog'!$O$2:$O$200,MATCH($AB162,'Test catalog'!$A$2:$A$200,0))),"")</f>
        <v/>
      </c>
      <c r="AB162" s="10" t="inlineStr">
        <is>
          <t>AVG_WT</t>
        </is>
      </c>
    </row>
    <row r="163">
      <c r="A163" s="10" t="inlineStr">
        <is>
          <t>F23</t>
        </is>
      </c>
      <c r="B163" s="10" t="inlineStr">
        <is>
          <t>FP</t>
        </is>
      </c>
      <c r="C163" s="10" t="inlineStr">
        <is>
          <t>Empagliflozin 10 mg; Empaglose 25  |  Empagliflozin</t>
        </is>
      </c>
      <c r="D163" s="10" t="inlineStr">
        <is>
          <t>Diameter (or length / width)</t>
        </is>
      </c>
      <c r="E163" s="10">
        <f>IF(A163="","",A163&amp;"|"&amp;D163)</f>
        <v/>
      </c>
      <c r="F163" s="5" t="inlineStr">
        <is>
          <t>Y</t>
        </is>
      </c>
      <c r="G163" s="5" t="inlineStr">
        <is>
          <t>Tablet tester</t>
        </is>
      </c>
      <c r="H163" s="5" t="inlineStr">
        <is>
          <t>Low</t>
        </is>
      </c>
      <c r="I163" s="5" t="n">
        <v>1</v>
      </c>
      <c r="J163" s="5" t="n"/>
      <c r="K163" s="10">
        <f>IFERROR(IF(INDEX('Test catalog'!$F$2:$F$200,MATCH($AB163,'Test catalog'!$A$2:$A$200,0))="","",INDEX('Test catalog'!$F$2:$F$200,MATCH($AB163,'Test catalog'!$A$2:$A$200,0))),"")</f>
        <v/>
      </c>
      <c r="L163" s="10">
        <f>IFERROR(IF(INDEX('Test catalog'!$G$2:$G$200,MATCH($AB163,'Test catalog'!$A$2:$A$200,0))="","",INDEX('Test catalog'!$G$2:$G$200,MATCH($AB163,'Test catalog'!$A$2:$A$200,0))),"")</f>
        <v/>
      </c>
      <c r="M163" s="10">
        <f>IFERROR(IF(INDEX('Test catalog'!$H$2:$H$200,MATCH($AB163,'Test catalog'!$A$2:$A$200,0))="","",INDEX('Test catalog'!$H$2:$H$200,MATCH($AB163,'Test catalog'!$A$2:$A$200,0))),"")</f>
        <v/>
      </c>
      <c r="N163" s="10">
        <f>IFERROR(IF(INDEX('Test catalog'!$I$2:$I$200,MATCH($AB163,'Test catalog'!$A$2:$A$200,0))="","",INDEX('Test catalog'!$I$2:$I$200,MATCH($AB163,'Test catalog'!$A$2:$A$200,0))),"")</f>
        <v/>
      </c>
      <c r="O163" s="10">
        <f>IFERROR(IF(INDEX('Test catalog'!$J$2:$J$200,MATCH($AB163,'Test catalog'!$A$2:$A$200,0))="","",INDEX('Test catalog'!$J$2:$J$200,MATCH($AB163,'Test catalog'!$A$2:$A$200,0))),"")</f>
        <v/>
      </c>
      <c r="P163" s="14">
        <f>IF(N163="","",IF(OR(M163="",O163=""),N163,(M163+4*N163+O163)/6))</f>
        <v/>
      </c>
      <c r="Q163" s="10">
        <f>IFERROR(IF(INDEX('Test catalog'!$K$2:$K$200,MATCH($AB163,'Test catalog'!$A$2:$A$200,0))="","",INDEX('Test catalog'!$K$2:$K$200,MATCH($AB163,'Test catalog'!$A$2:$A$200,0))),"")</f>
        <v/>
      </c>
      <c r="R163" s="5" t="n"/>
      <c r="S163" s="10">
        <f>IFERROR(IF(INDEX('Test catalog'!$L$2:$L$200,MATCH($AB163,'Test catalog'!$A$2:$A$200,0))="","",INDEX('Test catalog'!$L$2:$L$200,MATCH($AB163,'Test catalog'!$A$2:$A$200,0))),"")</f>
        <v/>
      </c>
      <c r="T163" s="10">
        <f>IFERROR(IF(INDEX('Test catalog'!$M$2:$M$200,MATCH($AB163,'Test catalog'!$A$2:$A$200,0))="","",INDEX('Test catalog'!$M$2:$M$200,MATCH($AB163,'Test catalog'!$A$2:$A$200,0))),"")</f>
        <v/>
      </c>
      <c r="U163" s="10">
        <f>IFERROR(IF(INDEX('Test catalog'!$N$2:$N$200,MATCH($AB163,'Test catalog'!$A$2:$A$200,0))="","",INDEX('Test catalog'!$N$2:$N$200,MATCH($AB163,'Test catalog'!$A$2:$A$200,0))),"")</f>
        <v/>
      </c>
      <c r="V163" s="15" t="n"/>
      <c r="W163" s="5" t="inlineStr">
        <is>
          <t>N</t>
        </is>
      </c>
      <c r="X163" s="5" t="n"/>
      <c r="Y163" s="5" t="n"/>
      <c r="Z163" s="5" t="n"/>
      <c r="AA163" s="10">
        <f>IFERROR(IF(INDEX('Test catalog'!$O$2:$O$200,MATCH($AB163,'Test catalog'!$A$2:$A$200,0))="","",INDEX('Test catalog'!$O$2:$O$200,MATCH($AB163,'Test catalog'!$A$2:$A$200,0))),"")</f>
        <v/>
      </c>
      <c r="AB163" s="10" t="inlineStr">
        <is>
          <t>DIAM</t>
        </is>
      </c>
    </row>
    <row r="164">
      <c r="A164" s="10" t="inlineStr">
        <is>
          <t>F23</t>
        </is>
      </c>
      <c r="B164" s="10" t="inlineStr">
        <is>
          <t>FP</t>
        </is>
      </c>
      <c r="C164" s="10" t="inlineStr">
        <is>
          <t>Empagliflozin 10 mg; Empaglose 25  |  Empagliflozin</t>
        </is>
      </c>
      <c r="D164" s="10" t="inlineStr">
        <is>
          <t>Thickness</t>
        </is>
      </c>
      <c r="E164" s="10">
        <f>IF(A164="","",A164&amp;"|"&amp;D164)</f>
        <v/>
      </c>
      <c r="F164" s="5" t="inlineStr">
        <is>
          <t>Y</t>
        </is>
      </c>
      <c r="G164" s="5" t="inlineStr">
        <is>
          <t>Tablet tester</t>
        </is>
      </c>
      <c r="H164" s="5" t="inlineStr">
        <is>
          <t>Low</t>
        </is>
      </c>
      <c r="I164" s="5" t="n">
        <v>1</v>
      </c>
      <c r="J164" s="5" t="n"/>
      <c r="K164" s="10">
        <f>IFERROR(IF(INDEX('Test catalog'!$F$2:$F$200,MATCH($AB164,'Test catalog'!$A$2:$A$200,0))="","",INDEX('Test catalog'!$F$2:$F$200,MATCH($AB164,'Test catalog'!$A$2:$A$200,0))),"")</f>
        <v/>
      </c>
      <c r="L164" s="10">
        <f>IFERROR(IF(INDEX('Test catalog'!$G$2:$G$200,MATCH($AB164,'Test catalog'!$A$2:$A$200,0))="","",INDEX('Test catalog'!$G$2:$G$200,MATCH($AB164,'Test catalog'!$A$2:$A$200,0))),"")</f>
        <v/>
      </c>
      <c r="M164" s="10">
        <f>IFERROR(IF(INDEX('Test catalog'!$H$2:$H$200,MATCH($AB164,'Test catalog'!$A$2:$A$200,0))="","",INDEX('Test catalog'!$H$2:$H$200,MATCH($AB164,'Test catalog'!$A$2:$A$200,0))),"")</f>
        <v/>
      </c>
      <c r="N164" s="10">
        <f>IFERROR(IF(INDEX('Test catalog'!$I$2:$I$200,MATCH($AB164,'Test catalog'!$A$2:$A$200,0))="","",INDEX('Test catalog'!$I$2:$I$200,MATCH($AB164,'Test catalog'!$A$2:$A$200,0))),"")</f>
        <v/>
      </c>
      <c r="O164" s="10">
        <f>IFERROR(IF(INDEX('Test catalog'!$J$2:$J$200,MATCH($AB164,'Test catalog'!$A$2:$A$200,0))="","",INDEX('Test catalog'!$J$2:$J$200,MATCH($AB164,'Test catalog'!$A$2:$A$200,0))),"")</f>
        <v/>
      </c>
      <c r="P164" s="14">
        <f>IF(N164="","",IF(OR(M164="",O164=""),N164,(M164+4*N164+O164)/6))</f>
        <v/>
      </c>
      <c r="Q164" s="10">
        <f>IFERROR(IF(INDEX('Test catalog'!$K$2:$K$200,MATCH($AB164,'Test catalog'!$A$2:$A$200,0))="","",INDEX('Test catalog'!$K$2:$K$200,MATCH($AB164,'Test catalog'!$A$2:$A$200,0))),"")</f>
        <v/>
      </c>
      <c r="R164" s="5" t="n"/>
      <c r="S164" s="10">
        <f>IFERROR(IF(INDEX('Test catalog'!$L$2:$L$200,MATCH($AB164,'Test catalog'!$A$2:$A$200,0))="","",INDEX('Test catalog'!$L$2:$L$200,MATCH($AB164,'Test catalog'!$A$2:$A$200,0))),"")</f>
        <v/>
      </c>
      <c r="T164" s="10">
        <f>IFERROR(IF(INDEX('Test catalog'!$M$2:$M$200,MATCH($AB164,'Test catalog'!$A$2:$A$200,0))="","",INDEX('Test catalog'!$M$2:$M$200,MATCH($AB164,'Test catalog'!$A$2:$A$200,0))),"")</f>
        <v/>
      </c>
      <c r="U164" s="10">
        <f>IFERROR(IF(INDEX('Test catalog'!$N$2:$N$200,MATCH($AB164,'Test catalog'!$A$2:$A$200,0))="","",INDEX('Test catalog'!$N$2:$N$200,MATCH($AB164,'Test catalog'!$A$2:$A$200,0))),"")</f>
        <v/>
      </c>
      <c r="V164" s="15" t="n"/>
      <c r="W164" s="5" t="inlineStr">
        <is>
          <t>N</t>
        </is>
      </c>
      <c r="X164" s="5" t="n"/>
      <c r="Y164" s="5" t="n"/>
      <c r="Z164" s="5" t="n"/>
      <c r="AA164" s="10">
        <f>IFERROR(IF(INDEX('Test catalog'!$O$2:$O$200,MATCH($AB164,'Test catalog'!$A$2:$A$200,0))="","",INDEX('Test catalog'!$O$2:$O$200,MATCH($AB164,'Test catalog'!$A$2:$A$200,0))),"")</f>
        <v/>
      </c>
      <c r="AB164" s="10" t="inlineStr">
        <is>
          <t>THICK</t>
        </is>
      </c>
    </row>
    <row r="165">
      <c r="A165" s="10" t="inlineStr">
        <is>
          <t>F23</t>
        </is>
      </c>
      <c r="B165" s="10" t="inlineStr">
        <is>
          <t>FP</t>
        </is>
      </c>
      <c r="C165" s="10" t="inlineStr">
        <is>
          <t>Empagliflozin 10 mg; Empaglose 25  |  Empagliflozin</t>
        </is>
      </c>
      <c r="D165" s="10" t="inlineStr">
        <is>
          <t>Hardness / breaking force</t>
        </is>
      </c>
      <c r="E165" s="10">
        <f>IF(A165="","",A165&amp;"|"&amp;D165)</f>
        <v/>
      </c>
      <c r="F165" s="5" t="inlineStr">
        <is>
          <t>Y</t>
        </is>
      </c>
      <c r="G165" s="5" t="inlineStr">
        <is>
          <t>Tablet tester</t>
        </is>
      </c>
      <c r="H165" s="5" t="inlineStr">
        <is>
          <t>Low</t>
        </is>
      </c>
      <c r="I165" s="5" t="n">
        <v>1</v>
      </c>
      <c r="J165" s="5" t="n"/>
      <c r="K165" s="10">
        <f>IFERROR(IF(INDEX('Test catalog'!$F$2:$F$200,MATCH($AB165,'Test catalog'!$A$2:$A$200,0))="","",INDEX('Test catalog'!$F$2:$F$200,MATCH($AB165,'Test catalog'!$A$2:$A$200,0))),"")</f>
        <v/>
      </c>
      <c r="L165" s="10">
        <f>IFERROR(IF(INDEX('Test catalog'!$G$2:$G$200,MATCH($AB165,'Test catalog'!$A$2:$A$200,0))="","",INDEX('Test catalog'!$G$2:$G$200,MATCH($AB165,'Test catalog'!$A$2:$A$200,0))),"")</f>
        <v/>
      </c>
      <c r="M165" s="10">
        <f>IFERROR(IF(INDEX('Test catalog'!$H$2:$H$200,MATCH($AB165,'Test catalog'!$A$2:$A$200,0))="","",INDEX('Test catalog'!$H$2:$H$200,MATCH($AB165,'Test catalog'!$A$2:$A$200,0))),"")</f>
        <v/>
      </c>
      <c r="N165" s="10">
        <f>IFERROR(IF(INDEX('Test catalog'!$I$2:$I$200,MATCH($AB165,'Test catalog'!$A$2:$A$200,0))="","",INDEX('Test catalog'!$I$2:$I$200,MATCH($AB165,'Test catalog'!$A$2:$A$200,0))),"")</f>
        <v/>
      </c>
      <c r="O165" s="10">
        <f>IFERROR(IF(INDEX('Test catalog'!$J$2:$J$200,MATCH($AB165,'Test catalog'!$A$2:$A$200,0))="","",INDEX('Test catalog'!$J$2:$J$200,MATCH($AB165,'Test catalog'!$A$2:$A$200,0))),"")</f>
        <v/>
      </c>
      <c r="P165" s="14">
        <f>IF(N165="","",IF(OR(M165="",O165=""),N165,(M165+4*N165+O165)/6))</f>
        <v/>
      </c>
      <c r="Q165" s="10">
        <f>IFERROR(IF(INDEX('Test catalog'!$K$2:$K$200,MATCH($AB165,'Test catalog'!$A$2:$A$200,0))="","",INDEX('Test catalog'!$K$2:$K$200,MATCH($AB165,'Test catalog'!$A$2:$A$200,0))),"")</f>
        <v/>
      </c>
      <c r="R165" s="5" t="n"/>
      <c r="S165" s="10">
        <f>IFERROR(IF(INDEX('Test catalog'!$L$2:$L$200,MATCH($AB165,'Test catalog'!$A$2:$A$200,0))="","",INDEX('Test catalog'!$L$2:$L$200,MATCH($AB165,'Test catalog'!$A$2:$A$200,0))),"")</f>
        <v/>
      </c>
      <c r="T165" s="10">
        <f>IFERROR(IF(INDEX('Test catalog'!$M$2:$M$200,MATCH($AB165,'Test catalog'!$A$2:$A$200,0))="","",INDEX('Test catalog'!$M$2:$M$200,MATCH($AB165,'Test catalog'!$A$2:$A$200,0))),"")</f>
        <v/>
      </c>
      <c r="U165" s="10">
        <f>IFERROR(IF(INDEX('Test catalog'!$N$2:$N$200,MATCH($AB165,'Test catalog'!$A$2:$A$200,0))="","",INDEX('Test catalog'!$N$2:$N$200,MATCH($AB165,'Test catalog'!$A$2:$A$200,0))),"")</f>
        <v/>
      </c>
      <c r="V165" s="15" t="n"/>
      <c r="W165" s="5" t="inlineStr">
        <is>
          <t>Y</t>
        </is>
      </c>
      <c r="X165" s="5" t="n"/>
      <c r="Y165" s="5" t="n"/>
      <c r="Z165" s="5" t="n"/>
      <c r="AA165" s="10">
        <f>IFERROR(IF(INDEX('Test catalog'!$O$2:$O$200,MATCH($AB165,'Test catalog'!$A$2:$A$200,0))="","",INDEX('Test catalog'!$O$2:$O$200,MATCH($AB165,'Test catalog'!$A$2:$A$200,0))),"")</f>
        <v/>
      </c>
      <c r="AB165" s="10" t="inlineStr">
        <is>
          <t>HARD</t>
        </is>
      </c>
    </row>
    <row r="166">
      <c r="A166" s="10" t="inlineStr">
        <is>
          <t>F23</t>
        </is>
      </c>
      <c r="B166" s="10" t="inlineStr">
        <is>
          <t>FP</t>
        </is>
      </c>
      <c r="C166" s="10" t="inlineStr">
        <is>
          <t>Empagliflozin 10 mg; Empaglose 25  |  Empagliflozin</t>
        </is>
      </c>
      <c r="D166" s="10" t="inlineStr">
        <is>
          <t>Brittleness</t>
        </is>
      </c>
      <c r="E166" s="10">
        <f>IF(A166="","",A166&amp;"|"&amp;D166)</f>
        <v/>
      </c>
      <c r="F166" s="5" t="inlineStr">
        <is>
          <t>Y</t>
        </is>
      </c>
      <c r="G166" s="5" t="inlineStr">
        <is>
          <t>Other / bench</t>
        </is>
      </c>
      <c r="H166" s="5" t="inlineStr">
        <is>
          <t>Low</t>
        </is>
      </c>
      <c r="I166" s="5" t="n">
        <v>1</v>
      </c>
      <c r="J166" s="5" t="n"/>
      <c r="K166" s="10">
        <f>IFERROR(IF(INDEX('Test catalog'!$F$2:$F$200,MATCH($AB166,'Test catalog'!$A$2:$A$200,0))="","",INDEX('Test catalog'!$F$2:$F$200,MATCH($AB166,'Test catalog'!$A$2:$A$200,0))),"")</f>
        <v/>
      </c>
      <c r="L166" s="10">
        <f>IFERROR(IF(INDEX('Test catalog'!$G$2:$G$200,MATCH($AB166,'Test catalog'!$A$2:$A$200,0))="","",INDEX('Test catalog'!$G$2:$G$200,MATCH($AB166,'Test catalog'!$A$2:$A$200,0))),"")</f>
        <v/>
      </c>
      <c r="M166" s="10">
        <f>IFERROR(IF(INDEX('Test catalog'!$H$2:$H$200,MATCH($AB166,'Test catalog'!$A$2:$A$200,0))="","",INDEX('Test catalog'!$H$2:$H$200,MATCH($AB166,'Test catalog'!$A$2:$A$200,0))),"")</f>
        <v/>
      </c>
      <c r="N166" s="10">
        <f>IFERROR(IF(INDEX('Test catalog'!$I$2:$I$200,MATCH($AB166,'Test catalog'!$A$2:$A$200,0))="","",INDEX('Test catalog'!$I$2:$I$200,MATCH($AB166,'Test catalog'!$A$2:$A$200,0))),"")</f>
        <v/>
      </c>
      <c r="O166" s="10">
        <f>IFERROR(IF(INDEX('Test catalog'!$J$2:$J$200,MATCH($AB166,'Test catalog'!$A$2:$A$200,0))="","",INDEX('Test catalog'!$J$2:$J$200,MATCH($AB166,'Test catalog'!$A$2:$A$200,0))),"")</f>
        <v/>
      </c>
      <c r="P166" s="14">
        <f>IF(N166="","",IF(OR(M166="",O166=""),N166,(M166+4*N166+O166)/6))</f>
        <v/>
      </c>
      <c r="Q166" s="10">
        <f>IFERROR(IF(INDEX('Test catalog'!$K$2:$K$200,MATCH($AB166,'Test catalog'!$A$2:$A$200,0))="","",INDEX('Test catalog'!$K$2:$K$200,MATCH($AB166,'Test catalog'!$A$2:$A$200,0))),"")</f>
        <v/>
      </c>
      <c r="R166" s="5" t="n"/>
      <c r="S166" s="10">
        <f>IFERROR(IF(INDEX('Test catalog'!$L$2:$L$200,MATCH($AB166,'Test catalog'!$A$2:$A$200,0))="","",INDEX('Test catalog'!$L$2:$L$200,MATCH($AB166,'Test catalog'!$A$2:$A$200,0))),"")</f>
        <v/>
      </c>
      <c r="T166" s="10">
        <f>IFERROR(IF(INDEX('Test catalog'!$M$2:$M$200,MATCH($AB166,'Test catalog'!$A$2:$A$200,0))="","",INDEX('Test catalog'!$M$2:$M$200,MATCH($AB166,'Test catalog'!$A$2:$A$200,0))),"")</f>
        <v/>
      </c>
      <c r="U166" s="10">
        <f>IFERROR(IF(INDEX('Test catalog'!$N$2:$N$200,MATCH($AB166,'Test catalog'!$A$2:$A$200,0))="","",INDEX('Test catalog'!$N$2:$N$200,MATCH($AB166,'Test catalog'!$A$2:$A$200,0))),"")</f>
        <v/>
      </c>
      <c r="V166" s="15" t="n"/>
      <c r="W166" s="5" t="inlineStr">
        <is>
          <t>N</t>
        </is>
      </c>
      <c r="X166" s="5" t="n"/>
      <c r="Y166" s="5" t="n"/>
      <c r="Z166" s="5" t="n"/>
      <c r="AA166" s="10">
        <f>IFERROR(IF(INDEX('Test catalog'!$O$2:$O$200,MATCH($AB166,'Test catalog'!$A$2:$A$200,0))="","",INDEX('Test catalog'!$O$2:$O$200,MATCH($AB166,'Test catalog'!$A$2:$A$200,0))),"")</f>
        <v/>
      </c>
      <c r="AB166" s="10" t="inlineStr">
        <is>
          <t>BRITTLE</t>
        </is>
      </c>
    </row>
    <row r="167">
      <c r="A167" s="10" t="inlineStr">
        <is>
          <t>F23</t>
        </is>
      </c>
      <c r="B167" s="10" t="inlineStr">
        <is>
          <t>FP</t>
        </is>
      </c>
      <c r="C167" s="10" t="inlineStr">
        <is>
          <t>Empagliflozin 10 mg; Empaglose 25  |  Empagliflozin</t>
        </is>
      </c>
      <c r="D167" s="10" t="inlineStr">
        <is>
          <t>Friability</t>
        </is>
      </c>
      <c r="E167" s="10">
        <f>IF(A167="","",A167&amp;"|"&amp;D167)</f>
        <v/>
      </c>
      <c r="F167" s="5" t="inlineStr">
        <is>
          <t>Y</t>
        </is>
      </c>
      <c r="G167" s="5" t="inlineStr">
        <is>
          <t>Friabilator</t>
        </is>
      </c>
      <c r="H167" s="5" t="inlineStr">
        <is>
          <t>Low</t>
        </is>
      </c>
      <c r="I167" s="5" t="n">
        <v>1</v>
      </c>
      <c r="J167" s="5" t="n"/>
      <c r="K167" s="10">
        <f>IFERROR(IF(INDEX('Test catalog'!$F$2:$F$200,MATCH($AB167,'Test catalog'!$A$2:$A$200,0))="","",INDEX('Test catalog'!$F$2:$F$200,MATCH($AB167,'Test catalog'!$A$2:$A$200,0))),"")</f>
        <v/>
      </c>
      <c r="L167" s="10">
        <f>IFERROR(IF(INDEX('Test catalog'!$G$2:$G$200,MATCH($AB167,'Test catalog'!$A$2:$A$200,0))="","",INDEX('Test catalog'!$G$2:$G$200,MATCH($AB167,'Test catalog'!$A$2:$A$200,0))),"")</f>
        <v/>
      </c>
      <c r="M167" s="10">
        <f>IFERROR(IF(INDEX('Test catalog'!$H$2:$H$200,MATCH($AB167,'Test catalog'!$A$2:$A$200,0))="","",INDEX('Test catalog'!$H$2:$H$200,MATCH($AB167,'Test catalog'!$A$2:$A$200,0))),"")</f>
        <v/>
      </c>
      <c r="N167" s="10">
        <f>IFERROR(IF(INDEX('Test catalog'!$I$2:$I$200,MATCH($AB167,'Test catalog'!$A$2:$A$200,0))="","",INDEX('Test catalog'!$I$2:$I$200,MATCH($AB167,'Test catalog'!$A$2:$A$200,0))),"")</f>
        <v/>
      </c>
      <c r="O167" s="10">
        <f>IFERROR(IF(INDEX('Test catalog'!$J$2:$J$200,MATCH($AB167,'Test catalog'!$A$2:$A$200,0))="","",INDEX('Test catalog'!$J$2:$J$200,MATCH($AB167,'Test catalog'!$A$2:$A$200,0))),"")</f>
        <v/>
      </c>
      <c r="P167" s="14">
        <f>IF(N167="","",IF(OR(M167="",O167=""),N167,(M167+4*N167+O167)/6))</f>
        <v/>
      </c>
      <c r="Q167" s="10">
        <f>IFERROR(IF(INDEX('Test catalog'!$K$2:$K$200,MATCH($AB167,'Test catalog'!$A$2:$A$200,0))="","",INDEX('Test catalog'!$K$2:$K$200,MATCH($AB167,'Test catalog'!$A$2:$A$200,0))),"")</f>
        <v/>
      </c>
      <c r="R167" s="5" t="n"/>
      <c r="S167" s="10">
        <f>IFERROR(IF(INDEX('Test catalog'!$L$2:$L$200,MATCH($AB167,'Test catalog'!$A$2:$A$200,0))="","",INDEX('Test catalog'!$L$2:$L$200,MATCH($AB167,'Test catalog'!$A$2:$A$200,0))),"")</f>
        <v/>
      </c>
      <c r="T167" s="10">
        <f>IFERROR(IF(INDEX('Test catalog'!$M$2:$M$200,MATCH($AB167,'Test catalog'!$A$2:$A$200,0))="","",INDEX('Test catalog'!$M$2:$M$200,MATCH($AB167,'Test catalog'!$A$2:$A$200,0))),"")</f>
        <v/>
      </c>
      <c r="U167" s="10">
        <f>IFERROR(IF(INDEX('Test catalog'!$N$2:$N$200,MATCH($AB167,'Test catalog'!$A$2:$A$200,0))="","",INDEX('Test catalog'!$N$2:$N$200,MATCH($AB167,'Test catalog'!$A$2:$A$200,0))),"")</f>
        <v/>
      </c>
      <c r="V167" s="15" t="n"/>
      <c r="W167" s="5" t="inlineStr">
        <is>
          <t>N</t>
        </is>
      </c>
      <c r="X167" s="5" t="n"/>
      <c r="Y167" s="5" t="n"/>
      <c r="Z167" s="5" t="n"/>
      <c r="AA167" s="10">
        <f>IFERROR(IF(INDEX('Test catalog'!$O$2:$O$200,MATCH($AB167,'Test catalog'!$A$2:$A$200,0))="","",INDEX('Test catalog'!$O$2:$O$200,MATCH($AB167,'Test catalog'!$A$2:$A$200,0))),"")</f>
        <v/>
      </c>
      <c r="AB167" s="10" t="inlineStr">
        <is>
          <t>FRIAB</t>
        </is>
      </c>
    </row>
    <row r="168">
      <c r="A168" s="10" t="inlineStr">
        <is>
          <t>F23</t>
        </is>
      </c>
      <c r="B168" s="10" t="inlineStr">
        <is>
          <t>FP</t>
        </is>
      </c>
      <c r="C168" s="10" t="inlineStr">
        <is>
          <t>Empagliflozin 10 mg; Empaglose 25  |  Empagliflozin</t>
        </is>
      </c>
      <c r="D168" s="10" t="inlineStr">
        <is>
          <t>Disintegration</t>
        </is>
      </c>
      <c r="E168" s="10">
        <f>IF(A168="","",A168&amp;"|"&amp;D168)</f>
        <v/>
      </c>
      <c r="F168" s="5" t="inlineStr">
        <is>
          <t>Y</t>
        </is>
      </c>
      <c r="G168" s="5" t="inlineStr">
        <is>
          <t>Disintegration tester</t>
        </is>
      </c>
      <c r="H168" s="5" t="inlineStr">
        <is>
          <t>Low</t>
        </is>
      </c>
      <c r="I168" s="5" t="n">
        <v>1</v>
      </c>
      <c r="J168" s="5" t="n"/>
      <c r="K168" s="10">
        <f>IFERROR(IF(INDEX('Test catalog'!$F$2:$F$200,MATCH($AB168,'Test catalog'!$A$2:$A$200,0))="","",INDEX('Test catalog'!$F$2:$F$200,MATCH($AB168,'Test catalog'!$A$2:$A$200,0))),"")</f>
        <v/>
      </c>
      <c r="L168" s="10">
        <f>IFERROR(IF(INDEX('Test catalog'!$G$2:$G$200,MATCH($AB168,'Test catalog'!$A$2:$A$200,0))="","",INDEX('Test catalog'!$G$2:$G$200,MATCH($AB168,'Test catalog'!$A$2:$A$200,0))),"")</f>
        <v/>
      </c>
      <c r="M168" s="10">
        <f>IFERROR(IF(INDEX('Test catalog'!$H$2:$H$200,MATCH($AB168,'Test catalog'!$A$2:$A$200,0))="","",INDEX('Test catalog'!$H$2:$H$200,MATCH($AB168,'Test catalog'!$A$2:$A$200,0))),"")</f>
        <v/>
      </c>
      <c r="N168" s="10">
        <f>IFERROR(IF(INDEX('Test catalog'!$I$2:$I$200,MATCH($AB168,'Test catalog'!$A$2:$A$200,0))="","",INDEX('Test catalog'!$I$2:$I$200,MATCH($AB168,'Test catalog'!$A$2:$A$200,0))),"")</f>
        <v/>
      </c>
      <c r="O168" s="10">
        <f>IFERROR(IF(INDEX('Test catalog'!$J$2:$J$200,MATCH($AB168,'Test catalog'!$A$2:$A$200,0))="","",INDEX('Test catalog'!$J$2:$J$200,MATCH($AB168,'Test catalog'!$A$2:$A$200,0))),"")</f>
        <v/>
      </c>
      <c r="P168" s="14">
        <f>IF(N168="","",IF(OR(M168="",O168=""),N168,(M168+4*N168+O168)/6))</f>
        <v/>
      </c>
      <c r="Q168" s="10">
        <f>IFERROR(IF(INDEX('Test catalog'!$K$2:$K$200,MATCH($AB168,'Test catalog'!$A$2:$A$200,0))="","",INDEX('Test catalog'!$K$2:$K$200,MATCH($AB168,'Test catalog'!$A$2:$A$200,0))),"")</f>
        <v/>
      </c>
      <c r="R168" s="5" t="n"/>
      <c r="S168" s="10">
        <f>IFERROR(IF(INDEX('Test catalog'!$L$2:$L$200,MATCH($AB168,'Test catalog'!$A$2:$A$200,0))="","",INDEX('Test catalog'!$L$2:$L$200,MATCH($AB168,'Test catalog'!$A$2:$A$200,0))),"")</f>
        <v/>
      </c>
      <c r="T168" s="10">
        <f>IFERROR(IF(INDEX('Test catalog'!$M$2:$M$200,MATCH($AB168,'Test catalog'!$A$2:$A$200,0))="","",INDEX('Test catalog'!$M$2:$M$200,MATCH($AB168,'Test catalog'!$A$2:$A$200,0))),"")</f>
        <v/>
      </c>
      <c r="U168" s="10">
        <f>IFERROR(IF(INDEX('Test catalog'!$N$2:$N$200,MATCH($AB168,'Test catalog'!$A$2:$A$200,0))="","",INDEX('Test catalog'!$N$2:$N$200,MATCH($AB168,'Test catalog'!$A$2:$A$200,0))),"")</f>
        <v/>
      </c>
      <c r="V168" s="15" t="n"/>
      <c r="W168" s="5" t="inlineStr">
        <is>
          <t>Y</t>
        </is>
      </c>
      <c r="X168" s="5" t="n"/>
      <c r="Y168" s="5" t="n"/>
      <c r="Z168" s="5" t="n"/>
      <c r="AA168" s="10">
        <f>IFERROR(IF(INDEX('Test catalog'!$O$2:$O$200,MATCH($AB168,'Test catalog'!$A$2:$A$200,0))="","",INDEX('Test catalog'!$O$2:$O$200,MATCH($AB168,'Test catalog'!$A$2:$A$200,0))),"")</f>
        <v/>
      </c>
      <c r="AB168" s="10" t="inlineStr">
        <is>
          <t>DISINT</t>
        </is>
      </c>
    </row>
    <row r="169">
      <c r="A169" s="10" t="inlineStr">
        <is>
          <t>F23</t>
        </is>
      </c>
      <c r="B169" s="10" t="inlineStr">
        <is>
          <t>FP</t>
        </is>
      </c>
      <c r="C169" s="10" t="inlineStr">
        <is>
          <t>Empagliflozin 10 mg; Empaglose 25  |  Empagliflozin</t>
        </is>
      </c>
      <c r="D169" s="10" t="inlineStr">
        <is>
          <t>In-process check at the machine (one check, all its tests)</t>
        </is>
      </c>
      <c r="E169" s="10">
        <f>IF(A169="","",A169&amp;"|"&amp;D169)</f>
        <v/>
      </c>
      <c r="F169" s="5" t="inlineStr">
        <is>
          <t>Y</t>
        </is>
      </c>
      <c r="G169" s="5" t="inlineStr">
        <is>
          <t>Tablet tester</t>
        </is>
      </c>
      <c r="H169" s="5" t="inlineStr">
        <is>
          <t>Low</t>
        </is>
      </c>
      <c r="I169" s="5" t="n">
        <v>1</v>
      </c>
      <c r="J169" s="5" t="n"/>
      <c r="K169" s="10">
        <f>IFERROR(IF(INDEX('Test catalog'!$F$2:$F$200,MATCH($AB169,'Test catalog'!$A$2:$A$200,0))="","",INDEX('Test catalog'!$F$2:$F$200,MATCH($AB169,'Test catalog'!$A$2:$A$200,0))),"")</f>
        <v/>
      </c>
      <c r="L169" s="10">
        <f>IFERROR(IF(INDEX('Test catalog'!$G$2:$G$200,MATCH($AB169,'Test catalog'!$A$2:$A$200,0))="","",INDEX('Test catalog'!$G$2:$G$200,MATCH($AB169,'Test catalog'!$A$2:$A$200,0))),"")</f>
        <v/>
      </c>
      <c r="M169" s="10">
        <f>IFERROR(IF(INDEX('Test catalog'!$H$2:$H$200,MATCH($AB169,'Test catalog'!$A$2:$A$200,0))="","",INDEX('Test catalog'!$H$2:$H$200,MATCH($AB169,'Test catalog'!$A$2:$A$200,0))),"")</f>
        <v/>
      </c>
      <c r="N169" s="10">
        <f>IFERROR(IF(INDEX('Test catalog'!$I$2:$I$200,MATCH($AB169,'Test catalog'!$A$2:$A$200,0))="","",INDEX('Test catalog'!$I$2:$I$200,MATCH($AB169,'Test catalog'!$A$2:$A$200,0))),"")</f>
        <v/>
      </c>
      <c r="O169" s="10">
        <f>IFERROR(IF(INDEX('Test catalog'!$J$2:$J$200,MATCH($AB169,'Test catalog'!$A$2:$A$200,0))="","",INDEX('Test catalog'!$J$2:$J$200,MATCH($AB169,'Test catalog'!$A$2:$A$200,0))),"")</f>
        <v/>
      </c>
      <c r="P169" s="14">
        <f>IF(N169="","",IF(OR(M169="",O169=""),N169,(M169+4*N169+O169)/6))</f>
        <v/>
      </c>
      <c r="Q169" s="10">
        <f>IFERROR(IF(INDEX('Test catalog'!$K$2:$K$200,MATCH($AB169,'Test catalog'!$A$2:$A$200,0))="","",INDEX('Test catalog'!$K$2:$K$200,MATCH($AB169,'Test catalog'!$A$2:$A$200,0))),"")</f>
        <v/>
      </c>
      <c r="R169" s="5" t="n"/>
      <c r="S169" s="10">
        <f>IFERROR(IF(INDEX('Test catalog'!$L$2:$L$200,MATCH($AB169,'Test catalog'!$A$2:$A$200,0))="","",INDEX('Test catalog'!$L$2:$L$200,MATCH($AB169,'Test catalog'!$A$2:$A$200,0))),"")</f>
        <v/>
      </c>
      <c r="T169" s="10">
        <f>IFERROR(IF(INDEX('Test catalog'!$M$2:$M$200,MATCH($AB169,'Test catalog'!$A$2:$A$200,0))="","",INDEX('Test catalog'!$M$2:$M$200,MATCH($AB169,'Test catalog'!$A$2:$A$200,0))),"")</f>
        <v/>
      </c>
      <c r="U169" s="10">
        <f>IFERROR(IF(INDEX('Test catalog'!$N$2:$N$200,MATCH($AB169,'Test catalog'!$A$2:$A$200,0))="","",INDEX('Test catalog'!$N$2:$N$200,MATCH($AB169,'Test catalog'!$A$2:$A$200,0))),"")</f>
        <v/>
      </c>
      <c r="V169" s="15" t="n"/>
      <c r="W169" s="5" t="inlineStr">
        <is>
          <t>N</t>
        </is>
      </c>
      <c r="X169" s="5" t="n"/>
      <c r="Y169" s="5" t="n"/>
      <c r="Z169" s="5" t="n"/>
      <c r="AA169" s="10">
        <f>IFERROR(IF(INDEX('Test catalog'!$O$2:$O$200,MATCH($AB169,'Test catalog'!$A$2:$A$200,0))="","",INDEX('Test catalog'!$O$2:$O$200,MATCH($AB169,'Test catalog'!$A$2:$A$200,0))),"")</f>
        <v/>
      </c>
      <c r="AB169" s="10" t="inlineStr">
        <is>
          <t>IPC</t>
        </is>
      </c>
    </row>
    <row r="170">
      <c r="A170" s="10" t="inlineStr">
        <is>
          <t>F24</t>
        </is>
      </c>
      <c r="B170" s="10" t="inlineStr">
        <is>
          <t>FP</t>
        </is>
      </c>
      <c r="C170" s="10" t="inlineStr">
        <is>
          <t>Lixiban 2.5; Lixiban 5  |  Apixaban</t>
        </is>
      </c>
      <c r="D170" s="10" t="inlineStr">
        <is>
          <t>Average weight / uniformity of mass</t>
        </is>
      </c>
      <c r="E170" s="10">
        <f>IF(A170="","",A170&amp;"|"&amp;D170)</f>
        <v/>
      </c>
      <c r="F170" s="5" t="inlineStr">
        <is>
          <t>Y</t>
        </is>
      </c>
      <c r="G170" s="5" t="inlineStr">
        <is>
          <t>Balance</t>
        </is>
      </c>
      <c r="H170" s="5" t="inlineStr">
        <is>
          <t>Low</t>
        </is>
      </c>
      <c r="I170" s="5" t="n">
        <v>1</v>
      </c>
      <c r="J170" s="5" t="n"/>
      <c r="K170" s="10">
        <f>IFERROR(IF(INDEX('Test catalog'!$F$2:$F$200,MATCH($AB170,'Test catalog'!$A$2:$A$200,0))="","",INDEX('Test catalog'!$F$2:$F$200,MATCH($AB170,'Test catalog'!$A$2:$A$200,0))),"")</f>
        <v/>
      </c>
      <c r="L170" s="10">
        <f>IFERROR(IF(INDEX('Test catalog'!$G$2:$G$200,MATCH($AB170,'Test catalog'!$A$2:$A$200,0))="","",INDEX('Test catalog'!$G$2:$G$200,MATCH($AB170,'Test catalog'!$A$2:$A$200,0))),"")</f>
        <v/>
      </c>
      <c r="M170" s="10">
        <f>IFERROR(IF(INDEX('Test catalog'!$H$2:$H$200,MATCH($AB170,'Test catalog'!$A$2:$A$200,0))="","",INDEX('Test catalog'!$H$2:$H$200,MATCH($AB170,'Test catalog'!$A$2:$A$200,0))),"")</f>
        <v/>
      </c>
      <c r="N170" s="10">
        <f>IFERROR(IF(INDEX('Test catalog'!$I$2:$I$200,MATCH($AB170,'Test catalog'!$A$2:$A$200,0))="","",INDEX('Test catalog'!$I$2:$I$200,MATCH($AB170,'Test catalog'!$A$2:$A$200,0))),"")</f>
        <v/>
      </c>
      <c r="O170" s="10">
        <f>IFERROR(IF(INDEX('Test catalog'!$J$2:$J$200,MATCH($AB170,'Test catalog'!$A$2:$A$200,0))="","",INDEX('Test catalog'!$J$2:$J$200,MATCH($AB170,'Test catalog'!$A$2:$A$200,0))),"")</f>
        <v/>
      </c>
      <c r="P170" s="14">
        <f>IF(N170="","",IF(OR(M170="",O170=""),N170,(M170+4*N170+O170)/6))</f>
        <v/>
      </c>
      <c r="Q170" s="10">
        <f>IFERROR(IF(INDEX('Test catalog'!$K$2:$K$200,MATCH($AB170,'Test catalog'!$A$2:$A$200,0))="","",INDEX('Test catalog'!$K$2:$K$200,MATCH($AB170,'Test catalog'!$A$2:$A$200,0))),"")</f>
        <v/>
      </c>
      <c r="R170" s="5" t="n"/>
      <c r="S170" s="10">
        <f>IFERROR(IF(INDEX('Test catalog'!$L$2:$L$200,MATCH($AB170,'Test catalog'!$A$2:$A$200,0))="","",INDEX('Test catalog'!$L$2:$L$200,MATCH($AB170,'Test catalog'!$A$2:$A$200,0))),"")</f>
        <v/>
      </c>
      <c r="T170" s="10">
        <f>IFERROR(IF(INDEX('Test catalog'!$M$2:$M$200,MATCH($AB170,'Test catalog'!$A$2:$A$200,0))="","",INDEX('Test catalog'!$M$2:$M$200,MATCH($AB170,'Test catalog'!$A$2:$A$200,0))),"")</f>
        <v/>
      </c>
      <c r="U170" s="10">
        <f>IFERROR(IF(INDEX('Test catalog'!$N$2:$N$200,MATCH($AB170,'Test catalog'!$A$2:$A$200,0))="","",INDEX('Test catalog'!$N$2:$N$200,MATCH($AB170,'Test catalog'!$A$2:$A$200,0))),"")</f>
        <v/>
      </c>
      <c r="V170" s="15" t="n"/>
      <c r="W170" s="5" t="inlineStr">
        <is>
          <t>N</t>
        </is>
      </c>
      <c r="X170" s="5" t="n"/>
      <c r="Y170" s="5" t="n"/>
      <c r="Z170" s="5" t="n"/>
      <c r="AA170" s="10">
        <f>IFERROR(IF(INDEX('Test catalog'!$O$2:$O$200,MATCH($AB170,'Test catalog'!$A$2:$A$200,0))="","",INDEX('Test catalog'!$O$2:$O$200,MATCH($AB170,'Test catalog'!$A$2:$A$200,0))),"")</f>
        <v/>
      </c>
      <c r="AB170" s="10" t="inlineStr">
        <is>
          <t>AVG_WT</t>
        </is>
      </c>
    </row>
    <row r="171">
      <c r="A171" s="10" t="inlineStr">
        <is>
          <t>F24</t>
        </is>
      </c>
      <c r="B171" s="10" t="inlineStr">
        <is>
          <t>FP</t>
        </is>
      </c>
      <c r="C171" s="10" t="inlineStr">
        <is>
          <t>Lixiban 2.5; Lixiban 5  |  Apixaban</t>
        </is>
      </c>
      <c r="D171" s="10" t="inlineStr">
        <is>
          <t>Diameter (or length / width)</t>
        </is>
      </c>
      <c r="E171" s="10">
        <f>IF(A171="","",A171&amp;"|"&amp;D171)</f>
        <v/>
      </c>
      <c r="F171" s="5" t="inlineStr">
        <is>
          <t>Y</t>
        </is>
      </c>
      <c r="G171" s="5" t="inlineStr">
        <is>
          <t>Tablet tester</t>
        </is>
      </c>
      <c r="H171" s="5" t="inlineStr">
        <is>
          <t>Low</t>
        </is>
      </c>
      <c r="I171" s="5" t="n">
        <v>1</v>
      </c>
      <c r="J171" s="5" t="n"/>
      <c r="K171" s="10">
        <f>IFERROR(IF(INDEX('Test catalog'!$F$2:$F$200,MATCH($AB171,'Test catalog'!$A$2:$A$200,0))="","",INDEX('Test catalog'!$F$2:$F$200,MATCH($AB171,'Test catalog'!$A$2:$A$200,0))),"")</f>
        <v/>
      </c>
      <c r="L171" s="10">
        <f>IFERROR(IF(INDEX('Test catalog'!$G$2:$G$200,MATCH($AB171,'Test catalog'!$A$2:$A$200,0))="","",INDEX('Test catalog'!$G$2:$G$200,MATCH($AB171,'Test catalog'!$A$2:$A$200,0))),"")</f>
        <v/>
      </c>
      <c r="M171" s="10">
        <f>IFERROR(IF(INDEX('Test catalog'!$H$2:$H$200,MATCH($AB171,'Test catalog'!$A$2:$A$200,0))="","",INDEX('Test catalog'!$H$2:$H$200,MATCH($AB171,'Test catalog'!$A$2:$A$200,0))),"")</f>
        <v/>
      </c>
      <c r="N171" s="10">
        <f>IFERROR(IF(INDEX('Test catalog'!$I$2:$I$200,MATCH($AB171,'Test catalog'!$A$2:$A$200,0))="","",INDEX('Test catalog'!$I$2:$I$200,MATCH($AB171,'Test catalog'!$A$2:$A$200,0))),"")</f>
        <v/>
      </c>
      <c r="O171" s="10">
        <f>IFERROR(IF(INDEX('Test catalog'!$J$2:$J$200,MATCH($AB171,'Test catalog'!$A$2:$A$200,0))="","",INDEX('Test catalog'!$J$2:$J$200,MATCH($AB171,'Test catalog'!$A$2:$A$200,0))),"")</f>
        <v/>
      </c>
      <c r="P171" s="14">
        <f>IF(N171="","",IF(OR(M171="",O171=""),N171,(M171+4*N171+O171)/6))</f>
        <v/>
      </c>
      <c r="Q171" s="10">
        <f>IFERROR(IF(INDEX('Test catalog'!$K$2:$K$200,MATCH($AB171,'Test catalog'!$A$2:$A$200,0))="","",INDEX('Test catalog'!$K$2:$K$200,MATCH($AB171,'Test catalog'!$A$2:$A$200,0))),"")</f>
        <v/>
      </c>
      <c r="R171" s="5" t="n"/>
      <c r="S171" s="10">
        <f>IFERROR(IF(INDEX('Test catalog'!$L$2:$L$200,MATCH($AB171,'Test catalog'!$A$2:$A$200,0))="","",INDEX('Test catalog'!$L$2:$L$200,MATCH($AB171,'Test catalog'!$A$2:$A$200,0))),"")</f>
        <v/>
      </c>
      <c r="T171" s="10">
        <f>IFERROR(IF(INDEX('Test catalog'!$M$2:$M$200,MATCH($AB171,'Test catalog'!$A$2:$A$200,0))="","",INDEX('Test catalog'!$M$2:$M$200,MATCH($AB171,'Test catalog'!$A$2:$A$200,0))),"")</f>
        <v/>
      </c>
      <c r="U171" s="10">
        <f>IFERROR(IF(INDEX('Test catalog'!$N$2:$N$200,MATCH($AB171,'Test catalog'!$A$2:$A$200,0))="","",INDEX('Test catalog'!$N$2:$N$200,MATCH($AB171,'Test catalog'!$A$2:$A$200,0))),"")</f>
        <v/>
      </c>
      <c r="V171" s="15" t="n"/>
      <c r="W171" s="5" t="inlineStr">
        <is>
          <t>N</t>
        </is>
      </c>
      <c r="X171" s="5" t="n"/>
      <c r="Y171" s="5" t="n"/>
      <c r="Z171" s="5" t="n"/>
      <c r="AA171" s="10">
        <f>IFERROR(IF(INDEX('Test catalog'!$O$2:$O$200,MATCH($AB171,'Test catalog'!$A$2:$A$200,0))="","",INDEX('Test catalog'!$O$2:$O$200,MATCH($AB171,'Test catalog'!$A$2:$A$200,0))),"")</f>
        <v/>
      </c>
      <c r="AB171" s="10" t="inlineStr">
        <is>
          <t>DIAM</t>
        </is>
      </c>
    </row>
    <row r="172">
      <c r="A172" s="10" t="inlineStr">
        <is>
          <t>F24</t>
        </is>
      </c>
      <c r="B172" s="10" t="inlineStr">
        <is>
          <t>FP</t>
        </is>
      </c>
      <c r="C172" s="10" t="inlineStr">
        <is>
          <t>Lixiban 2.5; Lixiban 5  |  Apixaban</t>
        </is>
      </c>
      <c r="D172" s="10" t="inlineStr">
        <is>
          <t>Thickness</t>
        </is>
      </c>
      <c r="E172" s="10">
        <f>IF(A172="","",A172&amp;"|"&amp;D172)</f>
        <v/>
      </c>
      <c r="F172" s="5" t="inlineStr">
        <is>
          <t>Y</t>
        </is>
      </c>
      <c r="G172" s="5" t="inlineStr">
        <is>
          <t>Tablet tester</t>
        </is>
      </c>
      <c r="H172" s="5" t="inlineStr">
        <is>
          <t>Low</t>
        </is>
      </c>
      <c r="I172" s="5" t="n">
        <v>1</v>
      </c>
      <c r="J172" s="5" t="n"/>
      <c r="K172" s="10">
        <f>IFERROR(IF(INDEX('Test catalog'!$F$2:$F$200,MATCH($AB172,'Test catalog'!$A$2:$A$200,0))="","",INDEX('Test catalog'!$F$2:$F$200,MATCH($AB172,'Test catalog'!$A$2:$A$200,0))),"")</f>
        <v/>
      </c>
      <c r="L172" s="10">
        <f>IFERROR(IF(INDEX('Test catalog'!$G$2:$G$200,MATCH($AB172,'Test catalog'!$A$2:$A$200,0))="","",INDEX('Test catalog'!$G$2:$G$200,MATCH($AB172,'Test catalog'!$A$2:$A$200,0))),"")</f>
        <v/>
      </c>
      <c r="M172" s="10">
        <f>IFERROR(IF(INDEX('Test catalog'!$H$2:$H$200,MATCH($AB172,'Test catalog'!$A$2:$A$200,0))="","",INDEX('Test catalog'!$H$2:$H$200,MATCH($AB172,'Test catalog'!$A$2:$A$200,0))),"")</f>
        <v/>
      </c>
      <c r="N172" s="10">
        <f>IFERROR(IF(INDEX('Test catalog'!$I$2:$I$200,MATCH($AB172,'Test catalog'!$A$2:$A$200,0))="","",INDEX('Test catalog'!$I$2:$I$200,MATCH($AB172,'Test catalog'!$A$2:$A$200,0))),"")</f>
        <v/>
      </c>
      <c r="O172" s="10">
        <f>IFERROR(IF(INDEX('Test catalog'!$J$2:$J$200,MATCH($AB172,'Test catalog'!$A$2:$A$200,0))="","",INDEX('Test catalog'!$J$2:$J$200,MATCH($AB172,'Test catalog'!$A$2:$A$200,0))),"")</f>
        <v/>
      </c>
      <c r="P172" s="14">
        <f>IF(N172="","",IF(OR(M172="",O172=""),N172,(M172+4*N172+O172)/6))</f>
        <v/>
      </c>
      <c r="Q172" s="10">
        <f>IFERROR(IF(INDEX('Test catalog'!$K$2:$K$200,MATCH($AB172,'Test catalog'!$A$2:$A$200,0))="","",INDEX('Test catalog'!$K$2:$K$200,MATCH($AB172,'Test catalog'!$A$2:$A$200,0))),"")</f>
        <v/>
      </c>
      <c r="R172" s="5" t="n"/>
      <c r="S172" s="10">
        <f>IFERROR(IF(INDEX('Test catalog'!$L$2:$L$200,MATCH($AB172,'Test catalog'!$A$2:$A$200,0))="","",INDEX('Test catalog'!$L$2:$L$200,MATCH($AB172,'Test catalog'!$A$2:$A$200,0))),"")</f>
        <v/>
      </c>
      <c r="T172" s="10">
        <f>IFERROR(IF(INDEX('Test catalog'!$M$2:$M$200,MATCH($AB172,'Test catalog'!$A$2:$A$200,0))="","",INDEX('Test catalog'!$M$2:$M$200,MATCH($AB172,'Test catalog'!$A$2:$A$200,0))),"")</f>
        <v/>
      </c>
      <c r="U172" s="10">
        <f>IFERROR(IF(INDEX('Test catalog'!$N$2:$N$200,MATCH($AB172,'Test catalog'!$A$2:$A$200,0))="","",INDEX('Test catalog'!$N$2:$N$200,MATCH($AB172,'Test catalog'!$A$2:$A$200,0))),"")</f>
        <v/>
      </c>
      <c r="V172" s="15" t="n"/>
      <c r="W172" s="5" t="inlineStr">
        <is>
          <t>N</t>
        </is>
      </c>
      <c r="X172" s="5" t="n"/>
      <c r="Y172" s="5" t="n"/>
      <c r="Z172" s="5" t="n"/>
      <c r="AA172" s="10">
        <f>IFERROR(IF(INDEX('Test catalog'!$O$2:$O$200,MATCH($AB172,'Test catalog'!$A$2:$A$200,0))="","",INDEX('Test catalog'!$O$2:$O$200,MATCH($AB172,'Test catalog'!$A$2:$A$200,0))),"")</f>
        <v/>
      </c>
      <c r="AB172" s="10" t="inlineStr">
        <is>
          <t>THICK</t>
        </is>
      </c>
    </row>
    <row r="173">
      <c r="A173" s="10" t="inlineStr">
        <is>
          <t>F24</t>
        </is>
      </c>
      <c r="B173" s="10" t="inlineStr">
        <is>
          <t>FP</t>
        </is>
      </c>
      <c r="C173" s="10" t="inlineStr">
        <is>
          <t>Lixiban 2.5; Lixiban 5  |  Apixaban</t>
        </is>
      </c>
      <c r="D173" s="10" t="inlineStr">
        <is>
          <t>Hardness / breaking force</t>
        </is>
      </c>
      <c r="E173" s="10">
        <f>IF(A173="","",A173&amp;"|"&amp;D173)</f>
        <v/>
      </c>
      <c r="F173" s="5" t="inlineStr">
        <is>
          <t>Y</t>
        </is>
      </c>
      <c r="G173" s="5" t="inlineStr">
        <is>
          <t>Tablet tester</t>
        </is>
      </c>
      <c r="H173" s="5" t="inlineStr">
        <is>
          <t>Low</t>
        </is>
      </c>
      <c r="I173" s="5" t="n">
        <v>1</v>
      </c>
      <c r="J173" s="5" t="n"/>
      <c r="K173" s="10">
        <f>IFERROR(IF(INDEX('Test catalog'!$F$2:$F$200,MATCH($AB173,'Test catalog'!$A$2:$A$200,0))="","",INDEX('Test catalog'!$F$2:$F$200,MATCH($AB173,'Test catalog'!$A$2:$A$200,0))),"")</f>
        <v/>
      </c>
      <c r="L173" s="10">
        <f>IFERROR(IF(INDEX('Test catalog'!$G$2:$G$200,MATCH($AB173,'Test catalog'!$A$2:$A$200,0))="","",INDEX('Test catalog'!$G$2:$G$200,MATCH($AB173,'Test catalog'!$A$2:$A$200,0))),"")</f>
        <v/>
      </c>
      <c r="M173" s="10">
        <f>IFERROR(IF(INDEX('Test catalog'!$H$2:$H$200,MATCH($AB173,'Test catalog'!$A$2:$A$200,0))="","",INDEX('Test catalog'!$H$2:$H$200,MATCH($AB173,'Test catalog'!$A$2:$A$200,0))),"")</f>
        <v/>
      </c>
      <c r="N173" s="10">
        <f>IFERROR(IF(INDEX('Test catalog'!$I$2:$I$200,MATCH($AB173,'Test catalog'!$A$2:$A$200,0))="","",INDEX('Test catalog'!$I$2:$I$200,MATCH($AB173,'Test catalog'!$A$2:$A$200,0))),"")</f>
        <v/>
      </c>
      <c r="O173" s="10">
        <f>IFERROR(IF(INDEX('Test catalog'!$J$2:$J$200,MATCH($AB173,'Test catalog'!$A$2:$A$200,0))="","",INDEX('Test catalog'!$J$2:$J$200,MATCH($AB173,'Test catalog'!$A$2:$A$200,0))),"")</f>
        <v/>
      </c>
      <c r="P173" s="14">
        <f>IF(N173="","",IF(OR(M173="",O173=""),N173,(M173+4*N173+O173)/6))</f>
        <v/>
      </c>
      <c r="Q173" s="10">
        <f>IFERROR(IF(INDEX('Test catalog'!$K$2:$K$200,MATCH($AB173,'Test catalog'!$A$2:$A$200,0))="","",INDEX('Test catalog'!$K$2:$K$200,MATCH($AB173,'Test catalog'!$A$2:$A$200,0))),"")</f>
        <v/>
      </c>
      <c r="R173" s="5" t="n"/>
      <c r="S173" s="10">
        <f>IFERROR(IF(INDEX('Test catalog'!$L$2:$L$200,MATCH($AB173,'Test catalog'!$A$2:$A$200,0))="","",INDEX('Test catalog'!$L$2:$L$200,MATCH($AB173,'Test catalog'!$A$2:$A$200,0))),"")</f>
        <v/>
      </c>
      <c r="T173" s="10">
        <f>IFERROR(IF(INDEX('Test catalog'!$M$2:$M$200,MATCH($AB173,'Test catalog'!$A$2:$A$200,0))="","",INDEX('Test catalog'!$M$2:$M$200,MATCH($AB173,'Test catalog'!$A$2:$A$200,0))),"")</f>
        <v/>
      </c>
      <c r="U173" s="10">
        <f>IFERROR(IF(INDEX('Test catalog'!$N$2:$N$200,MATCH($AB173,'Test catalog'!$A$2:$A$200,0))="","",INDEX('Test catalog'!$N$2:$N$200,MATCH($AB173,'Test catalog'!$A$2:$A$200,0))),"")</f>
        <v/>
      </c>
      <c r="V173" s="15" t="n"/>
      <c r="W173" s="5" t="inlineStr">
        <is>
          <t>Y</t>
        </is>
      </c>
      <c r="X173" s="5" t="n"/>
      <c r="Y173" s="5" t="n"/>
      <c r="Z173" s="5" t="n"/>
      <c r="AA173" s="10">
        <f>IFERROR(IF(INDEX('Test catalog'!$O$2:$O$200,MATCH($AB173,'Test catalog'!$A$2:$A$200,0))="","",INDEX('Test catalog'!$O$2:$O$200,MATCH($AB173,'Test catalog'!$A$2:$A$200,0))),"")</f>
        <v/>
      </c>
      <c r="AB173" s="10" t="inlineStr">
        <is>
          <t>HARD</t>
        </is>
      </c>
    </row>
    <row r="174">
      <c r="A174" s="10" t="inlineStr">
        <is>
          <t>F24</t>
        </is>
      </c>
      <c r="B174" s="10" t="inlineStr">
        <is>
          <t>FP</t>
        </is>
      </c>
      <c r="C174" s="10" t="inlineStr">
        <is>
          <t>Lixiban 2.5; Lixiban 5  |  Apixaban</t>
        </is>
      </c>
      <c r="D174" s="10" t="inlineStr">
        <is>
          <t>Brittleness</t>
        </is>
      </c>
      <c r="E174" s="10">
        <f>IF(A174="","",A174&amp;"|"&amp;D174)</f>
        <v/>
      </c>
      <c r="F174" s="5" t="inlineStr">
        <is>
          <t>Y</t>
        </is>
      </c>
      <c r="G174" s="5" t="inlineStr">
        <is>
          <t>Other / bench</t>
        </is>
      </c>
      <c r="H174" s="5" t="inlineStr">
        <is>
          <t>Low</t>
        </is>
      </c>
      <c r="I174" s="5" t="n">
        <v>1</v>
      </c>
      <c r="J174" s="5" t="n"/>
      <c r="K174" s="10">
        <f>IFERROR(IF(INDEX('Test catalog'!$F$2:$F$200,MATCH($AB174,'Test catalog'!$A$2:$A$200,0))="","",INDEX('Test catalog'!$F$2:$F$200,MATCH($AB174,'Test catalog'!$A$2:$A$200,0))),"")</f>
        <v/>
      </c>
      <c r="L174" s="10">
        <f>IFERROR(IF(INDEX('Test catalog'!$G$2:$G$200,MATCH($AB174,'Test catalog'!$A$2:$A$200,0))="","",INDEX('Test catalog'!$G$2:$G$200,MATCH($AB174,'Test catalog'!$A$2:$A$200,0))),"")</f>
        <v/>
      </c>
      <c r="M174" s="10">
        <f>IFERROR(IF(INDEX('Test catalog'!$H$2:$H$200,MATCH($AB174,'Test catalog'!$A$2:$A$200,0))="","",INDEX('Test catalog'!$H$2:$H$200,MATCH($AB174,'Test catalog'!$A$2:$A$200,0))),"")</f>
        <v/>
      </c>
      <c r="N174" s="10">
        <f>IFERROR(IF(INDEX('Test catalog'!$I$2:$I$200,MATCH($AB174,'Test catalog'!$A$2:$A$200,0))="","",INDEX('Test catalog'!$I$2:$I$200,MATCH($AB174,'Test catalog'!$A$2:$A$200,0))),"")</f>
        <v/>
      </c>
      <c r="O174" s="10">
        <f>IFERROR(IF(INDEX('Test catalog'!$J$2:$J$200,MATCH($AB174,'Test catalog'!$A$2:$A$200,0))="","",INDEX('Test catalog'!$J$2:$J$200,MATCH($AB174,'Test catalog'!$A$2:$A$200,0))),"")</f>
        <v/>
      </c>
      <c r="P174" s="14">
        <f>IF(N174="","",IF(OR(M174="",O174=""),N174,(M174+4*N174+O174)/6))</f>
        <v/>
      </c>
      <c r="Q174" s="10">
        <f>IFERROR(IF(INDEX('Test catalog'!$K$2:$K$200,MATCH($AB174,'Test catalog'!$A$2:$A$200,0))="","",INDEX('Test catalog'!$K$2:$K$200,MATCH($AB174,'Test catalog'!$A$2:$A$200,0))),"")</f>
        <v/>
      </c>
      <c r="R174" s="5" t="n"/>
      <c r="S174" s="10">
        <f>IFERROR(IF(INDEX('Test catalog'!$L$2:$L$200,MATCH($AB174,'Test catalog'!$A$2:$A$200,0))="","",INDEX('Test catalog'!$L$2:$L$200,MATCH($AB174,'Test catalog'!$A$2:$A$200,0))),"")</f>
        <v/>
      </c>
      <c r="T174" s="10">
        <f>IFERROR(IF(INDEX('Test catalog'!$M$2:$M$200,MATCH($AB174,'Test catalog'!$A$2:$A$200,0))="","",INDEX('Test catalog'!$M$2:$M$200,MATCH($AB174,'Test catalog'!$A$2:$A$200,0))),"")</f>
        <v/>
      </c>
      <c r="U174" s="10">
        <f>IFERROR(IF(INDEX('Test catalog'!$N$2:$N$200,MATCH($AB174,'Test catalog'!$A$2:$A$200,0))="","",INDEX('Test catalog'!$N$2:$N$200,MATCH($AB174,'Test catalog'!$A$2:$A$200,0))),"")</f>
        <v/>
      </c>
      <c r="V174" s="15" t="n"/>
      <c r="W174" s="5" t="inlineStr">
        <is>
          <t>N</t>
        </is>
      </c>
      <c r="X174" s="5" t="n"/>
      <c r="Y174" s="5" t="n"/>
      <c r="Z174" s="5" t="n"/>
      <c r="AA174" s="10">
        <f>IFERROR(IF(INDEX('Test catalog'!$O$2:$O$200,MATCH($AB174,'Test catalog'!$A$2:$A$200,0))="","",INDEX('Test catalog'!$O$2:$O$200,MATCH($AB174,'Test catalog'!$A$2:$A$200,0))),"")</f>
        <v/>
      </c>
      <c r="AB174" s="10" t="inlineStr">
        <is>
          <t>BRITTLE</t>
        </is>
      </c>
    </row>
    <row r="175">
      <c r="A175" s="10" t="inlineStr">
        <is>
          <t>F24</t>
        </is>
      </c>
      <c r="B175" s="10" t="inlineStr">
        <is>
          <t>FP</t>
        </is>
      </c>
      <c r="C175" s="10" t="inlineStr">
        <is>
          <t>Lixiban 2.5; Lixiban 5  |  Apixaban</t>
        </is>
      </c>
      <c r="D175" s="10" t="inlineStr">
        <is>
          <t>Friability</t>
        </is>
      </c>
      <c r="E175" s="10">
        <f>IF(A175="","",A175&amp;"|"&amp;D175)</f>
        <v/>
      </c>
      <c r="F175" s="5" t="inlineStr">
        <is>
          <t>Y</t>
        </is>
      </c>
      <c r="G175" s="5" t="inlineStr">
        <is>
          <t>Friabilator</t>
        </is>
      </c>
      <c r="H175" s="5" t="inlineStr">
        <is>
          <t>Low</t>
        </is>
      </c>
      <c r="I175" s="5" t="n">
        <v>1</v>
      </c>
      <c r="J175" s="5" t="n"/>
      <c r="K175" s="10">
        <f>IFERROR(IF(INDEX('Test catalog'!$F$2:$F$200,MATCH($AB175,'Test catalog'!$A$2:$A$200,0))="","",INDEX('Test catalog'!$F$2:$F$200,MATCH($AB175,'Test catalog'!$A$2:$A$200,0))),"")</f>
        <v/>
      </c>
      <c r="L175" s="10">
        <f>IFERROR(IF(INDEX('Test catalog'!$G$2:$G$200,MATCH($AB175,'Test catalog'!$A$2:$A$200,0))="","",INDEX('Test catalog'!$G$2:$G$200,MATCH($AB175,'Test catalog'!$A$2:$A$200,0))),"")</f>
        <v/>
      </c>
      <c r="M175" s="10">
        <f>IFERROR(IF(INDEX('Test catalog'!$H$2:$H$200,MATCH($AB175,'Test catalog'!$A$2:$A$200,0))="","",INDEX('Test catalog'!$H$2:$H$200,MATCH($AB175,'Test catalog'!$A$2:$A$200,0))),"")</f>
        <v/>
      </c>
      <c r="N175" s="10">
        <f>IFERROR(IF(INDEX('Test catalog'!$I$2:$I$200,MATCH($AB175,'Test catalog'!$A$2:$A$200,0))="","",INDEX('Test catalog'!$I$2:$I$200,MATCH($AB175,'Test catalog'!$A$2:$A$200,0))),"")</f>
        <v/>
      </c>
      <c r="O175" s="10">
        <f>IFERROR(IF(INDEX('Test catalog'!$J$2:$J$200,MATCH($AB175,'Test catalog'!$A$2:$A$200,0))="","",INDEX('Test catalog'!$J$2:$J$200,MATCH($AB175,'Test catalog'!$A$2:$A$200,0))),"")</f>
        <v/>
      </c>
      <c r="P175" s="14">
        <f>IF(N175="","",IF(OR(M175="",O175=""),N175,(M175+4*N175+O175)/6))</f>
        <v/>
      </c>
      <c r="Q175" s="10">
        <f>IFERROR(IF(INDEX('Test catalog'!$K$2:$K$200,MATCH($AB175,'Test catalog'!$A$2:$A$200,0))="","",INDEX('Test catalog'!$K$2:$K$200,MATCH($AB175,'Test catalog'!$A$2:$A$200,0))),"")</f>
        <v/>
      </c>
      <c r="R175" s="5" t="n"/>
      <c r="S175" s="10">
        <f>IFERROR(IF(INDEX('Test catalog'!$L$2:$L$200,MATCH($AB175,'Test catalog'!$A$2:$A$200,0))="","",INDEX('Test catalog'!$L$2:$L$200,MATCH($AB175,'Test catalog'!$A$2:$A$200,0))),"")</f>
        <v/>
      </c>
      <c r="T175" s="10">
        <f>IFERROR(IF(INDEX('Test catalog'!$M$2:$M$200,MATCH($AB175,'Test catalog'!$A$2:$A$200,0))="","",INDEX('Test catalog'!$M$2:$M$200,MATCH($AB175,'Test catalog'!$A$2:$A$200,0))),"")</f>
        <v/>
      </c>
      <c r="U175" s="10">
        <f>IFERROR(IF(INDEX('Test catalog'!$N$2:$N$200,MATCH($AB175,'Test catalog'!$A$2:$A$200,0))="","",INDEX('Test catalog'!$N$2:$N$200,MATCH($AB175,'Test catalog'!$A$2:$A$200,0))),"")</f>
        <v/>
      </c>
      <c r="V175" s="15" t="n"/>
      <c r="W175" s="5" t="inlineStr">
        <is>
          <t>N</t>
        </is>
      </c>
      <c r="X175" s="5" t="n"/>
      <c r="Y175" s="5" t="n"/>
      <c r="Z175" s="5" t="n"/>
      <c r="AA175" s="10">
        <f>IFERROR(IF(INDEX('Test catalog'!$O$2:$O$200,MATCH($AB175,'Test catalog'!$A$2:$A$200,0))="","",INDEX('Test catalog'!$O$2:$O$200,MATCH($AB175,'Test catalog'!$A$2:$A$200,0))),"")</f>
        <v/>
      </c>
      <c r="AB175" s="10" t="inlineStr">
        <is>
          <t>FRIAB</t>
        </is>
      </c>
    </row>
    <row r="176">
      <c r="A176" s="10" t="inlineStr">
        <is>
          <t>F24</t>
        </is>
      </c>
      <c r="B176" s="10" t="inlineStr">
        <is>
          <t>FP</t>
        </is>
      </c>
      <c r="C176" s="10" t="inlineStr">
        <is>
          <t>Lixiban 2.5; Lixiban 5  |  Apixaban</t>
        </is>
      </c>
      <c r="D176" s="10" t="inlineStr">
        <is>
          <t>Disintegration</t>
        </is>
      </c>
      <c r="E176" s="10">
        <f>IF(A176="","",A176&amp;"|"&amp;D176)</f>
        <v/>
      </c>
      <c r="F176" s="5" t="inlineStr">
        <is>
          <t>Y</t>
        </is>
      </c>
      <c r="G176" s="5" t="inlineStr">
        <is>
          <t>Disintegration tester</t>
        </is>
      </c>
      <c r="H176" s="5" t="inlineStr">
        <is>
          <t>Low</t>
        </is>
      </c>
      <c r="I176" s="5" t="n">
        <v>1</v>
      </c>
      <c r="J176" s="5" t="n"/>
      <c r="K176" s="10">
        <f>IFERROR(IF(INDEX('Test catalog'!$F$2:$F$200,MATCH($AB176,'Test catalog'!$A$2:$A$200,0))="","",INDEX('Test catalog'!$F$2:$F$200,MATCH($AB176,'Test catalog'!$A$2:$A$200,0))),"")</f>
        <v/>
      </c>
      <c r="L176" s="10">
        <f>IFERROR(IF(INDEX('Test catalog'!$G$2:$G$200,MATCH($AB176,'Test catalog'!$A$2:$A$200,0))="","",INDEX('Test catalog'!$G$2:$G$200,MATCH($AB176,'Test catalog'!$A$2:$A$200,0))),"")</f>
        <v/>
      </c>
      <c r="M176" s="10">
        <f>IFERROR(IF(INDEX('Test catalog'!$H$2:$H$200,MATCH($AB176,'Test catalog'!$A$2:$A$200,0))="","",INDEX('Test catalog'!$H$2:$H$200,MATCH($AB176,'Test catalog'!$A$2:$A$200,0))),"")</f>
        <v/>
      </c>
      <c r="N176" s="10">
        <f>IFERROR(IF(INDEX('Test catalog'!$I$2:$I$200,MATCH($AB176,'Test catalog'!$A$2:$A$200,0))="","",INDEX('Test catalog'!$I$2:$I$200,MATCH($AB176,'Test catalog'!$A$2:$A$200,0))),"")</f>
        <v/>
      </c>
      <c r="O176" s="10">
        <f>IFERROR(IF(INDEX('Test catalog'!$J$2:$J$200,MATCH($AB176,'Test catalog'!$A$2:$A$200,0))="","",INDEX('Test catalog'!$J$2:$J$200,MATCH($AB176,'Test catalog'!$A$2:$A$200,0))),"")</f>
        <v/>
      </c>
      <c r="P176" s="14">
        <f>IF(N176="","",IF(OR(M176="",O176=""),N176,(M176+4*N176+O176)/6))</f>
        <v/>
      </c>
      <c r="Q176" s="10">
        <f>IFERROR(IF(INDEX('Test catalog'!$K$2:$K$200,MATCH($AB176,'Test catalog'!$A$2:$A$200,0))="","",INDEX('Test catalog'!$K$2:$K$200,MATCH($AB176,'Test catalog'!$A$2:$A$200,0))),"")</f>
        <v/>
      </c>
      <c r="R176" s="5" t="n"/>
      <c r="S176" s="10">
        <f>IFERROR(IF(INDEX('Test catalog'!$L$2:$L$200,MATCH($AB176,'Test catalog'!$A$2:$A$200,0))="","",INDEX('Test catalog'!$L$2:$L$200,MATCH($AB176,'Test catalog'!$A$2:$A$200,0))),"")</f>
        <v/>
      </c>
      <c r="T176" s="10">
        <f>IFERROR(IF(INDEX('Test catalog'!$M$2:$M$200,MATCH($AB176,'Test catalog'!$A$2:$A$200,0))="","",INDEX('Test catalog'!$M$2:$M$200,MATCH($AB176,'Test catalog'!$A$2:$A$200,0))),"")</f>
        <v/>
      </c>
      <c r="U176" s="10">
        <f>IFERROR(IF(INDEX('Test catalog'!$N$2:$N$200,MATCH($AB176,'Test catalog'!$A$2:$A$200,0))="","",INDEX('Test catalog'!$N$2:$N$200,MATCH($AB176,'Test catalog'!$A$2:$A$200,0))),"")</f>
        <v/>
      </c>
      <c r="V176" s="15" t="n"/>
      <c r="W176" s="5" t="inlineStr">
        <is>
          <t>Y</t>
        </is>
      </c>
      <c r="X176" s="5" t="n"/>
      <c r="Y176" s="5" t="n"/>
      <c r="Z176" s="5" t="n"/>
      <c r="AA176" s="10">
        <f>IFERROR(IF(INDEX('Test catalog'!$O$2:$O$200,MATCH($AB176,'Test catalog'!$A$2:$A$200,0))="","",INDEX('Test catalog'!$O$2:$O$200,MATCH($AB176,'Test catalog'!$A$2:$A$200,0))),"")</f>
        <v/>
      </c>
      <c r="AB176" s="10" t="inlineStr">
        <is>
          <t>DISINT</t>
        </is>
      </c>
    </row>
    <row r="177">
      <c r="A177" s="10" t="inlineStr">
        <is>
          <t>F24</t>
        </is>
      </c>
      <c r="B177" s="10" t="inlineStr">
        <is>
          <t>FP</t>
        </is>
      </c>
      <c r="C177" s="10" t="inlineStr">
        <is>
          <t>Lixiban 2.5; Lixiban 5  |  Apixaban</t>
        </is>
      </c>
      <c r="D177" s="10" t="inlineStr">
        <is>
          <t>In-process check at the machine (one check, all its tests)</t>
        </is>
      </c>
      <c r="E177" s="10">
        <f>IF(A177="","",A177&amp;"|"&amp;D177)</f>
        <v/>
      </c>
      <c r="F177" s="5" t="inlineStr">
        <is>
          <t>Y</t>
        </is>
      </c>
      <c r="G177" s="5" t="inlineStr">
        <is>
          <t>Tablet tester</t>
        </is>
      </c>
      <c r="H177" s="5" t="inlineStr">
        <is>
          <t>Low</t>
        </is>
      </c>
      <c r="I177" s="5" t="n">
        <v>1</v>
      </c>
      <c r="J177" s="5" t="n"/>
      <c r="K177" s="10">
        <f>IFERROR(IF(INDEX('Test catalog'!$F$2:$F$200,MATCH($AB177,'Test catalog'!$A$2:$A$200,0))="","",INDEX('Test catalog'!$F$2:$F$200,MATCH($AB177,'Test catalog'!$A$2:$A$200,0))),"")</f>
        <v/>
      </c>
      <c r="L177" s="10">
        <f>IFERROR(IF(INDEX('Test catalog'!$G$2:$G$200,MATCH($AB177,'Test catalog'!$A$2:$A$200,0))="","",INDEX('Test catalog'!$G$2:$G$200,MATCH($AB177,'Test catalog'!$A$2:$A$200,0))),"")</f>
        <v/>
      </c>
      <c r="M177" s="10">
        <f>IFERROR(IF(INDEX('Test catalog'!$H$2:$H$200,MATCH($AB177,'Test catalog'!$A$2:$A$200,0))="","",INDEX('Test catalog'!$H$2:$H$200,MATCH($AB177,'Test catalog'!$A$2:$A$200,0))),"")</f>
        <v/>
      </c>
      <c r="N177" s="10">
        <f>IFERROR(IF(INDEX('Test catalog'!$I$2:$I$200,MATCH($AB177,'Test catalog'!$A$2:$A$200,0))="","",INDEX('Test catalog'!$I$2:$I$200,MATCH($AB177,'Test catalog'!$A$2:$A$200,0))),"")</f>
        <v/>
      </c>
      <c r="O177" s="10">
        <f>IFERROR(IF(INDEX('Test catalog'!$J$2:$J$200,MATCH($AB177,'Test catalog'!$A$2:$A$200,0))="","",INDEX('Test catalog'!$J$2:$J$200,MATCH($AB177,'Test catalog'!$A$2:$A$200,0))),"")</f>
        <v/>
      </c>
      <c r="P177" s="14">
        <f>IF(N177="","",IF(OR(M177="",O177=""),N177,(M177+4*N177+O177)/6))</f>
        <v/>
      </c>
      <c r="Q177" s="10">
        <f>IFERROR(IF(INDEX('Test catalog'!$K$2:$K$200,MATCH($AB177,'Test catalog'!$A$2:$A$200,0))="","",INDEX('Test catalog'!$K$2:$K$200,MATCH($AB177,'Test catalog'!$A$2:$A$200,0))),"")</f>
        <v/>
      </c>
      <c r="R177" s="5" t="n"/>
      <c r="S177" s="10">
        <f>IFERROR(IF(INDEX('Test catalog'!$L$2:$L$200,MATCH($AB177,'Test catalog'!$A$2:$A$200,0))="","",INDEX('Test catalog'!$L$2:$L$200,MATCH($AB177,'Test catalog'!$A$2:$A$200,0))),"")</f>
        <v/>
      </c>
      <c r="T177" s="10">
        <f>IFERROR(IF(INDEX('Test catalog'!$M$2:$M$200,MATCH($AB177,'Test catalog'!$A$2:$A$200,0))="","",INDEX('Test catalog'!$M$2:$M$200,MATCH($AB177,'Test catalog'!$A$2:$A$200,0))),"")</f>
        <v/>
      </c>
      <c r="U177" s="10">
        <f>IFERROR(IF(INDEX('Test catalog'!$N$2:$N$200,MATCH($AB177,'Test catalog'!$A$2:$A$200,0))="","",INDEX('Test catalog'!$N$2:$N$200,MATCH($AB177,'Test catalog'!$A$2:$A$200,0))),"")</f>
        <v/>
      </c>
      <c r="V177" s="15" t="n"/>
      <c r="W177" s="5" t="inlineStr">
        <is>
          <t>N</t>
        </is>
      </c>
      <c r="X177" s="5" t="n"/>
      <c r="Y177" s="5" t="n"/>
      <c r="Z177" s="5" t="n"/>
      <c r="AA177" s="10">
        <f>IFERROR(IF(INDEX('Test catalog'!$O$2:$O$200,MATCH($AB177,'Test catalog'!$A$2:$A$200,0))="","",INDEX('Test catalog'!$O$2:$O$200,MATCH($AB177,'Test catalog'!$A$2:$A$200,0))),"")</f>
        <v/>
      </c>
      <c r="AB177" s="10" t="inlineStr">
        <is>
          <t>IPC</t>
        </is>
      </c>
    </row>
    <row r="178">
      <c r="A178" s="10" t="inlineStr">
        <is>
          <t>F25</t>
        </is>
      </c>
      <c r="B178" s="10" t="inlineStr">
        <is>
          <t>FP</t>
        </is>
      </c>
      <c r="C178" s="10" t="inlineStr">
        <is>
          <t>Glose-lin 10/5; Glose-lin 25/5  |  Empagliflozin, Linagliptin</t>
        </is>
      </c>
      <c r="D178" s="10" t="inlineStr">
        <is>
          <t>Average weight / uniformity of mass</t>
        </is>
      </c>
      <c r="E178" s="10">
        <f>IF(A178="","",A178&amp;"|"&amp;D178)</f>
        <v/>
      </c>
      <c r="F178" s="5" t="inlineStr">
        <is>
          <t>Y</t>
        </is>
      </c>
      <c r="G178" s="5" t="inlineStr">
        <is>
          <t>Balance</t>
        </is>
      </c>
      <c r="H178" s="5" t="inlineStr">
        <is>
          <t>Low</t>
        </is>
      </c>
      <c r="I178" s="5" t="n">
        <v>1</v>
      </c>
      <c r="J178" s="5" t="n"/>
      <c r="K178" s="10">
        <f>IFERROR(IF(INDEX('Test catalog'!$F$2:$F$200,MATCH($AB178,'Test catalog'!$A$2:$A$200,0))="","",INDEX('Test catalog'!$F$2:$F$200,MATCH($AB178,'Test catalog'!$A$2:$A$200,0))),"")</f>
        <v/>
      </c>
      <c r="L178" s="10">
        <f>IFERROR(IF(INDEX('Test catalog'!$G$2:$G$200,MATCH($AB178,'Test catalog'!$A$2:$A$200,0))="","",INDEX('Test catalog'!$G$2:$G$200,MATCH($AB178,'Test catalog'!$A$2:$A$200,0))),"")</f>
        <v/>
      </c>
      <c r="M178" s="10">
        <f>IFERROR(IF(INDEX('Test catalog'!$H$2:$H$200,MATCH($AB178,'Test catalog'!$A$2:$A$200,0))="","",INDEX('Test catalog'!$H$2:$H$200,MATCH($AB178,'Test catalog'!$A$2:$A$200,0))),"")</f>
        <v/>
      </c>
      <c r="N178" s="10">
        <f>IFERROR(IF(INDEX('Test catalog'!$I$2:$I$200,MATCH($AB178,'Test catalog'!$A$2:$A$200,0))="","",INDEX('Test catalog'!$I$2:$I$200,MATCH($AB178,'Test catalog'!$A$2:$A$200,0))),"")</f>
        <v/>
      </c>
      <c r="O178" s="10">
        <f>IFERROR(IF(INDEX('Test catalog'!$J$2:$J$200,MATCH($AB178,'Test catalog'!$A$2:$A$200,0))="","",INDEX('Test catalog'!$J$2:$J$200,MATCH($AB178,'Test catalog'!$A$2:$A$200,0))),"")</f>
        <v/>
      </c>
      <c r="P178" s="14">
        <f>IF(N178="","",IF(OR(M178="",O178=""),N178,(M178+4*N178+O178)/6))</f>
        <v/>
      </c>
      <c r="Q178" s="10">
        <f>IFERROR(IF(INDEX('Test catalog'!$K$2:$K$200,MATCH($AB178,'Test catalog'!$A$2:$A$200,0))="","",INDEX('Test catalog'!$K$2:$K$200,MATCH($AB178,'Test catalog'!$A$2:$A$200,0))),"")</f>
        <v/>
      </c>
      <c r="R178" s="5" t="n"/>
      <c r="S178" s="10">
        <f>IFERROR(IF(INDEX('Test catalog'!$L$2:$L$200,MATCH($AB178,'Test catalog'!$A$2:$A$200,0))="","",INDEX('Test catalog'!$L$2:$L$200,MATCH($AB178,'Test catalog'!$A$2:$A$200,0))),"")</f>
        <v/>
      </c>
      <c r="T178" s="10">
        <f>IFERROR(IF(INDEX('Test catalog'!$M$2:$M$200,MATCH($AB178,'Test catalog'!$A$2:$A$200,0))="","",INDEX('Test catalog'!$M$2:$M$200,MATCH($AB178,'Test catalog'!$A$2:$A$200,0))),"")</f>
        <v/>
      </c>
      <c r="U178" s="10">
        <f>IFERROR(IF(INDEX('Test catalog'!$N$2:$N$200,MATCH($AB178,'Test catalog'!$A$2:$A$200,0))="","",INDEX('Test catalog'!$N$2:$N$200,MATCH($AB178,'Test catalog'!$A$2:$A$200,0))),"")</f>
        <v/>
      </c>
      <c r="V178" s="15" t="n"/>
      <c r="W178" s="5" t="inlineStr">
        <is>
          <t>N</t>
        </is>
      </c>
      <c r="X178" s="5" t="n"/>
      <c r="Y178" s="5" t="n"/>
      <c r="Z178" s="5" t="n"/>
      <c r="AA178" s="10">
        <f>IFERROR(IF(INDEX('Test catalog'!$O$2:$O$200,MATCH($AB178,'Test catalog'!$A$2:$A$200,0))="","",INDEX('Test catalog'!$O$2:$O$200,MATCH($AB178,'Test catalog'!$A$2:$A$200,0))),"")</f>
        <v/>
      </c>
      <c r="AB178" s="10" t="inlineStr">
        <is>
          <t>AVG_WT</t>
        </is>
      </c>
    </row>
    <row r="179">
      <c r="A179" s="10" t="inlineStr">
        <is>
          <t>F25</t>
        </is>
      </c>
      <c r="B179" s="10" t="inlineStr">
        <is>
          <t>FP</t>
        </is>
      </c>
      <c r="C179" s="10" t="inlineStr">
        <is>
          <t>Glose-lin 10/5; Glose-lin 25/5  |  Empagliflozin, Linagliptin</t>
        </is>
      </c>
      <c r="D179" s="10" t="inlineStr">
        <is>
          <t>Diameter (or length / width)</t>
        </is>
      </c>
      <c r="E179" s="10">
        <f>IF(A179="","",A179&amp;"|"&amp;D179)</f>
        <v/>
      </c>
      <c r="F179" s="5" t="inlineStr">
        <is>
          <t>Y</t>
        </is>
      </c>
      <c r="G179" s="5" t="inlineStr">
        <is>
          <t>Tablet tester</t>
        </is>
      </c>
      <c r="H179" s="5" t="inlineStr">
        <is>
          <t>Low</t>
        </is>
      </c>
      <c r="I179" s="5" t="n">
        <v>1</v>
      </c>
      <c r="J179" s="5" t="n"/>
      <c r="K179" s="10">
        <f>IFERROR(IF(INDEX('Test catalog'!$F$2:$F$200,MATCH($AB179,'Test catalog'!$A$2:$A$200,0))="","",INDEX('Test catalog'!$F$2:$F$200,MATCH($AB179,'Test catalog'!$A$2:$A$200,0))),"")</f>
        <v/>
      </c>
      <c r="L179" s="10">
        <f>IFERROR(IF(INDEX('Test catalog'!$G$2:$G$200,MATCH($AB179,'Test catalog'!$A$2:$A$200,0))="","",INDEX('Test catalog'!$G$2:$G$200,MATCH($AB179,'Test catalog'!$A$2:$A$200,0))),"")</f>
        <v/>
      </c>
      <c r="M179" s="10">
        <f>IFERROR(IF(INDEX('Test catalog'!$H$2:$H$200,MATCH($AB179,'Test catalog'!$A$2:$A$200,0))="","",INDEX('Test catalog'!$H$2:$H$200,MATCH($AB179,'Test catalog'!$A$2:$A$200,0))),"")</f>
        <v/>
      </c>
      <c r="N179" s="10">
        <f>IFERROR(IF(INDEX('Test catalog'!$I$2:$I$200,MATCH($AB179,'Test catalog'!$A$2:$A$200,0))="","",INDEX('Test catalog'!$I$2:$I$200,MATCH($AB179,'Test catalog'!$A$2:$A$200,0))),"")</f>
        <v/>
      </c>
      <c r="O179" s="10">
        <f>IFERROR(IF(INDEX('Test catalog'!$J$2:$J$200,MATCH($AB179,'Test catalog'!$A$2:$A$200,0))="","",INDEX('Test catalog'!$J$2:$J$200,MATCH($AB179,'Test catalog'!$A$2:$A$200,0))),"")</f>
        <v/>
      </c>
      <c r="P179" s="14">
        <f>IF(N179="","",IF(OR(M179="",O179=""),N179,(M179+4*N179+O179)/6))</f>
        <v/>
      </c>
      <c r="Q179" s="10">
        <f>IFERROR(IF(INDEX('Test catalog'!$K$2:$K$200,MATCH($AB179,'Test catalog'!$A$2:$A$200,0))="","",INDEX('Test catalog'!$K$2:$K$200,MATCH($AB179,'Test catalog'!$A$2:$A$200,0))),"")</f>
        <v/>
      </c>
      <c r="R179" s="5" t="n"/>
      <c r="S179" s="10">
        <f>IFERROR(IF(INDEX('Test catalog'!$L$2:$L$200,MATCH($AB179,'Test catalog'!$A$2:$A$200,0))="","",INDEX('Test catalog'!$L$2:$L$200,MATCH($AB179,'Test catalog'!$A$2:$A$200,0))),"")</f>
        <v/>
      </c>
      <c r="T179" s="10">
        <f>IFERROR(IF(INDEX('Test catalog'!$M$2:$M$200,MATCH($AB179,'Test catalog'!$A$2:$A$200,0))="","",INDEX('Test catalog'!$M$2:$M$200,MATCH($AB179,'Test catalog'!$A$2:$A$200,0))),"")</f>
        <v/>
      </c>
      <c r="U179" s="10">
        <f>IFERROR(IF(INDEX('Test catalog'!$N$2:$N$200,MATCH($AB179,'Test catalog'!$A$2:$A$200,0))="","",INDEX('Test catalog'!$N$2:$N$200,MATCH($AB179,'Test catalog'!$A$2:$A$200,0))),"")</f>
        <v/>
      </c>
      <c r="V179" s="15" t="n"/>
      <c r="W179" s="5" t="inlineStr">
        <is>
          <t>N</t>
        </is>
      </c>
      <c r="X179" s="5" t="n"/>
      <c r="Y179" s="5" t="n"/>
      <c r="Z179" s="5" t="n"/>
      <c r="AA179" s="10">
        <f>IFERROR(IF(INDEX('Test catalog'!$O$2:$O$200,MATCH($AB179,'Test catalog'!$A$2:$A$200,0))="","",INDEX('Test catalog'!$O$2:$O$200,MATCH($AB179,'Test catalog'!$A$2:$A$200,0))),"")</f>
        <v/>
      </c>
      <c r="AB179" s="10" t="inlineStr">
        <is>
          <t>DIAM</t>
        </is>
      </c>
    </row>
    <row r="180">
      <c r="A180" s="10" t="inlineStr">
        <is>
          <t>F25</t>
        </is>
      </c>
      <c r="B180" s="10" t="inlineStr">
        <is>
          <t>FP</t>
        </is>
      </c>
      <c r="C180" s="10" t="inlineStr">
        <is>
          <t>Glose-lin 10/5; Glose-lin 25/5  |  Empagliflozin, Linagliptin</t>
        </is>
      </c>
      <c r="D180" s="10" t="inlineStr">
        <is>
          <t>Thickness</t>
        </is>
      </c>
      <c r="E180" s="10">
        <f>IF(A180="","",A180&amp;"|"&amp;D180)</f>
        <v/>
      </c>
      <c r="F180" s="5" t="inlineStr">
        <is>
          <t>Y</t>
        </is>
      </c>
      <c r="G180" s="5" t="inlineStr">
        <is>
          <t>Tablet tester</t>
        </is>
      </c>
      <c r="H180" s="5" t="inlineStr">
        <is>
          <t>Low</t>
        </is>
      </c>
      <c r="I180" s="5" t="n">
        <v>1</v>
      </c>
      <c r="J180" s="5" t="n"/>
      <c r="K180" s="10">
        <f>IFERROR(IF(INDEX('Test catalog'!$F$2:$F$200,MATCH($AB180,'Test catalog'!$A$2:$A$200,0))="","",INDEX('Test catalog'!$F$2:$F$200,MATCH($AB180,'Test catalog'!$A$2:$A$200,0))),"")</f>
        <v/>
      </c>
      <c r="L180" s="10">
        <f>IFERROR(IF(INDEX('Test catalog'!$G$2:$G$200,MATCH($AB180,'Test catalog'!$A$2:$A$200,0))="","",INDEX('Test catalog'!$G$2:$G$200,MATCH($AB180,'Test catalog'!$A$2:$A$200,0))),"")</f>
        <v/>
      </c>
      <c r="M180" s="10">
        <f>IFERROR(IF(INDEX('Test catalog'!$H$2:$H$200,MATCH($AB180,'Test catalog'!$A$2:$A$200,0))="","",INDEX('Test catalog'!$H$2:$H$200,MATCH($AB180,'Test catalog'!$A$2:$A$200,0))),"")</f>
        <v/>
      </c>
      <c r="N180" s="10">
        <f>IFERROR(IF(INDEX('Test catalog'!$I$2:$I$200,MATCH($AB180,'Test catalog'!$A$2:$A$200,0))="","",INDEX('Test catalog'!$I$2:$I$200,MATCH($AB180,'Test catalog'!$A$2:$A$200,0))),"")</f>
        <v/>
      </c>
      <c r="O180" s="10">
        <f>IFERROR(IF(INDEX('Test catalog'!$J$2:$J$200,MATCH($AB180,'Test catalog'!$A$2:$A$200,0))="","",INDEX('Test catalog'!$J$2:$J$200,MATCH($AB180,'Test catalog'!$A$2:$A$200,0))),"")</f>
        <v/>
      </c>
      <c r="P180" s="14">
        <f>IF(N180="","",IF(OR(M180="",O180=""),N180,(M180+4*N180+O180)/6))</f>
        <v/>
      </c>
      <c r="Q180" s="10">
        <f>IFERROR(IF(INDEX('Test catalog'!$K$2:$K$200,MATCH($AB180,'Test catalog'!$A$2:$A$200,0))="","",INDEX('Test catalog'!$K$2:$K$200,MATCH($AB180,'Test catalog'!$A$2:$A$200,0))),"")</f>
        <v/>
      </c>
      <c r="R180" s="5" t="n"/>
      <c r="S180" s="10">
        <f>IFERROR(IF(INDEX('Test catalog'!$L$2:$L$200,MATCH($AB180,'Test catalog'!$A$2:$A$200,0))="","",INDEX('Test catalog'!$L$2:$L$200,MATCH($AB180,'Test catalog'!$A$2:$A$200,0))),"")</f>
        <v/>
      </c>
      <c r="T180" s="10">
        <f>IFERROR(IF(INDEX('Test catalog'!$M$2:$M$200,MATCH($AB180,'Test catalog'!$A$2:$A$200,0))="","",INDEX('Test catalog'!$M$2:$M$200,MATCH($AB180,'Test catalog'!$A$2:$A$200,0))),"")</f>
        <v/>
      </c>
      <c r="U180" s="10">
        <f>IFERROR(IF(INDEX('Test catalog'!$N$2:$N$200,MATCH($AB180,'Test catalog'!$A$2:$A$200,0))="","",INDEX('Test catalog'!$N$2:$N$200,MATCH($AB180,'Test catalog'!$A$2:$A$200,0))),"")</f>
        <v/>
      </c>
      <c r="V180" s="15" t="n"/>
      <c r="W180" s="5" t="inlineStr">
        <is>
          <t>N</t>
        </is>
      </c>
      <c r="X180" s="5" t="n"/>
      <c r="Y180" s="5" t="n"/>
      <c r="Z180" s="5" t="n"/>
      <c r="AA180" s="10">
        <f>IFERROR(IF(INDEX('Test catalog'!$O$2:$O$200,MATCH($AB180,'Test catalog'!$A$2:$A$200,0))="","",INDEX('Test catalog'!$O$2:$O$200,MATCH($AB180,'Test catalog'!$A$2:$A$200,0))),"")</f>
        <v/>
      </c>
      <c r="AB180" s="10" t="inlineStr">
        <is>
          <t>THICK</t>
        </is>
      </c>
    </row>
    <row r="181">
      <c r="A181" s="10" t="inlineStr">
        <is>
          <t>F25</t>
        </is>
      </c>
      <c r="B181" s="10" t="inlineStr">
        <is>
          <t>FP</t>
        </is>
      </c>
      <c r="C181" s="10" t="inlineStr">
        <is>
          <t>Glose-lin 10/5; Glose-lin 25/5  |  Empagliflozin, Linagliptin</t>
        </is>
      </c>
      <c r="D181" s="10" t="inlineStr">
        <is>
          <t>Hardness / breaking force</t>
        </is>
      </c>
      <c r="E181" s="10">
        <f>IF(A181="","",A181&amp;"|"&amp;D181)</f>
        <v/>
      </c>
      <c r="F181" s="5" t="inlineStr">
        <is>
          <t>Y</t>
        </is>
      </c>
      <c r="G181" s="5" t="inlineStr">
        <is>
          <t>Tablet tester</t>
        </is>
      </c>
      <c r="H181" s="5" t="inlineStr">
        <is>
          <t>Low</t>
        </is>
      </c>
      <c r="I181" s="5" t="n">
        <v>1</v>
      </c>
      <c r="J181" s="5" t="n"/>
      <c r="K181" s="10">
        <f>IFERROR(IF(INDEX('Test catalog'!$F$2:$F$200,MATCH($AB181,'Test catalog'!$A$2:$A$200,0))="","",INDEX('Test catalog'!$F$2:$F$200,MATCH($AB181,'Test catalog'!$A$2:$A$200,0))),"")</f>
        <v/>
      </c>
      <c r="L181" s="10">
        <f>IFERROR(IF(INDEX('Test catalog'!$G$2:$G$200,MATCH($AB181,'Test catalog'!$A$2:$A$200,0))="","",INDEX('Test catalog'!$G$2:$G$200,MATCH($AB181,'Test catalog'!$A$2:$A$200,0))),"")</f>
        <v/>
      </c>
      <c r="M181" s="10">
        <f>IFERROR(IF(INDEX('Test catalog'!$H$2:$H$200,MATCH($AB181,'Test catalog'!$A$2:$A$200,0))="","",INDEX('Test catalog'!$H$2:$H$200,MATCH($AB181,'Test catalog'!$A$2:$A$200,0))),"")</f>
        <v/>
      </c>
      <c r="N181" s="10">
        <f>IFERROR(IF(INDEX('Test catalog'!$I$2:$I$200,MATCH($AB181,'Test catalog'!$A$2:$A$200,0))="","",INDEX('Test catalog'!$I$2:$I$200,MATCH($AB181,'Test catalog'!$A$2:$A$200,0))),"")</f>
        <v/>
      </c>
      <c r="O181" s="10">
        <f>IFERROR(IF(INDEX('Test catalog'!$J$2:$J$200,MATCH($AB181,'Test catalog'!$A$2:$A$200,0))="","",INDEX('Test catalog'!$J$2:$J$200,MATCH($AB181,'Test catalog'!$A$2:$A$200,0))),"")</f>
        <v/>
      </c>
      <c r="P181" s="14">
        <f>IF(N181="","",IF(OR(M181="",O181=""),N181,(M181+4*N181+O181)/6))</f>
        <v/>
      </c>
      <c r="Q181" s="10">
        <f>IFERROR(IF(INDEX('Test catalog'!$K$2:$K$200,MATCH($AB181,'Test catalog'!$A$2:$A$200,0))="","",INDEX('Test catalog'!$K$2:$K$200,MATCH($AB181,'Test catalog'!$A$2:$A$200,0))),"")</f>
        <v/>
      </c>
      <c r="R181" s="5" t="n"/>
      <c r="S181" s="10">
        <f>IFERROR(IF(INDEX('Test catalog'!$L$2:$L$200,MATCH($AB181,'Test catalog'!$A$2:$A$200,0))="","",INDEX('Test catalog'!$L$2:$L$200,MATCH($AB181,'Test catalog'!$A$2:$A$200,0))),"")</f>
        <v/>
      </c>
      <c r="T181" s="10">
        <f>IFERROR(IF(INDEX('Test catalog'!$M$2:$M$200,MATCH($AB181,'Test catalog'!$A$2:$A$200,0))="","",INDEX('Test catalog'!$M$2:$M$200,MATCH($AB181,'Test catalog'!$A$2:$A$200,0))),"")</f>
        <v/>
      </c>
      <c r="U181" s="10">
        <f>IFERROR(IF(INDEX('Test catalog'!$N$2:$N$200,MATCH($AB181,'Test catalog'!$A$2:$A$200,0))="","",INDEX('Test catalog'!$N$2:$N$200,MATCH($AB181,'Test catalog'!$A$2:$A$200,0))),"")</f>
        <v/>
      </c>
      <c r="V181" s="15" t="n"/>
      <c r="W181" s="5" t="inlineStr">
        <is>
          <t>Y</t>
        </is>
      </c>
      <c r="X181" s="5" t="n"/>
      <c r="Y181" s="5" t="n"/>
      <c r="Z181" s="5" t="n"/>
      <c r="AA181" s="10">
        <f>IFERROR(IF(INDEX('Test catalog'!$O$2:$O$200,MATCH($AB181,'Test catalog'!$A$2:$A$200,0))="","",INDEX('Test catalog'!$O$2:$O$200,MATCH($AB181,'Test catalog'!$A$2:$A$200,0))),"")</f>
        <v/>
      </c>
      <c r="AB181" s="10" t="inlineStr">
        <is>
          <t>HARD</t>
        </is>
      </c>
    </row>
    <row r="182">
      <c r="A182" s="10" t="inlineStr">
        <is>
          <t>F25</t>
        </is>
      </c>
      <c r="B182" s="10" t="inlineStr">
        <is>
          <t>FP</t>
        </is>
      </c>
      <c r="C182" s="10" t="inlineStr">
        <is>
          <t>Glose-lin 10/5; Glose-lin 25/5  |  Empagliflozin, Linagliptin</t>
        </is>
      </c>
      <c r="D182" s="10" t="inlineStr">
        <is>
          <t>Brittleness</t>
        </is>
      </c>
      <c r="E182" s="10">
        <f>IF(A182="","",A182&amp;"|"&amp;D182)</f>
        <v/>
      </c>
      <c r="F182" s="5" t="inlineStr">
        <is>
          <t>Y</t>
        </is>
      </c>
      <c r="G182" s="5" t="inlineStr">
        <is>
          <t>Other / bench</t>
        </is>
      </c>
      <c r="H182" s="5" t="inlineStr">
        <is>
          <t>Low</t>
        </is>
      </c>
      <c r="I182" s="5" t="n">
        <v>1</v>
      </c>
      <c r="J182" s="5" t="n"/>
      <c r="K182" s="10">
        <f>IFERROR(IF(INDEX('Test catalog'!$F$2:$F$200,MATCH($AB182,'Test catalog'!$A$2:$A$200,0))="","",INDEX('Test catalog'!$F$2:$F$200,MATCH($AB182,'Test catalog'!$A$2:$A$200,0))),"")</f>
        <v/>
      </c>
      <c r="L182" s="10">
        <f>IFERROR(IF(INDEX('Test catalog'!$G$2:$G$200,MATCH($AB182,'Test catalog'!$A$2:$A$200,0))="","",INDEX('Test catalog'!$G$2:$G$200,MATCH($AB182,'Test catalog'!$A$2:$A$200,0))),"")</f>
        <v/>
      </c>
      <c r="M182" s="10">
        <f>IFERROR(IF(INDEX('Test catalog'!$H$2:$H$200,MATCH($AB182,'Test catalog'!$A$2:$A$200,0))="","",INDEX('Test catalog'!$H$2:$H$200,MATCH($AB182,'Test catalog'!$A$2:$A$200,0))),"")</f>
        <v/>
      </c>
      <c r="N182" s="10">
        <f>IFERROR(IF(INDEX('Test catalog'!$I$2:$I$200,MATCH($AB182,'Test catalog'!$A$2:$A$200,0))="","",INDEX('Test catalog'!$I$2:$I$200,MATCH($AB182,'Test catalog'!$A$2:$A$200,0))),"")</f>
        <v/>
      </c>
      <c r="O182" s="10">
        <f>IFERROR(IF(INDEX('Test catalog'!$J$2:$J$200,MATCH($AB182,'Test catalog'!$A$2:$A$200,0))="","",INDEX('Test catalog'!$J$2:$J$200,MATCH($AB182,'Test catalog'!$A$2:$A$200,0))),"")</f>
        <v/>
      </c>
      <c r="P182" s="14">
        <f>IF(N182="","",IF(OR(M182="",O182=""),N182,(M182+4*N182+O182)/6))</f>
        <v/>
      </c>
      <c r="Q182" s="10">
        <f>IFERROR(IF(INDEX('Test catalog'!$K$2:$K$200,MATCH($AB182,'Test catalog'!$A$2:$A$200,0))="","",INDEX('Test catalog'!$K$2:$K$200,MATCH($AB182,'Test catalog'!$A$2:$A$200,0))),"")</f>
        <v/>
      </c>
      <c r="R182" s="5" t="n"/>
      <c r="S182" s="10">
        <f>IFERROR(IF(INDEX('Test catalog'!$L$2:$L$200,MATCH($AB182,'Test catalog'!$A$2:$A$200,0))="","",INDEX('Test catalog'!$L$2:$L$200,MATCH($AB182,'Test catalog'!$A$2:$A$200,0))),"")</f>
        <v/>
      </c>
      <c r="T182" s="10">
        <f>IFERROR(IF(INDEX('Test catalog'!$M$2:$M$200,MATCH($AB182,'Test catalog'!$A$2:$A$200,0))="","",INDEX('Test catalog'!$M$2:$M$200,MATCH($AB182,'Test catalog'!$A$2:$A$200,0))),"")</f>
        <v/>
      </c>
      <c r="U182" s="10">
        <f>IFERROR(IF(INDEX('Test catalog'!$N$2:$N$200,MATCH($AB182,'Test catalog'!$A$2:$A$200,0))="","",INDEX('Test catalog'!$N$2:$N$200,MATCH($AB182,'Test catalog'!$A$2:$A$200,0))),"")</f>
        <v/>
      </c>
      <c r="V182" s="15" t="n"/>
      <c r="W182" s="5" t="inlineStr">
        <is>
          <t>N</t>
        </is>
      </c>
      <c r="X182" s="5" t="n"/>
      <c r="Y182" s="5" t="n"/>
      <c r="Z182" s="5" t="n"/>
      <c r="AA182" s="10">
        <f>IFERROR(IF(INDEX('Test catalog'!$O$2:$O$200,MATCH($AB182,'Test catalog'!$A$2:$A$200,0))="","",INDEX('Test catalog'!$O$2:$O$200,MATCH($AB182,'Test catalog'!$A$2:$A$200,0))),"")</f>
        <v/>
      </c>
      <c r="AB182" s="10" t="inlineStr">
        <is>
          <t>BRITTLE</t>
        </is>
      </c>
    </row>
    <row r="183">
      <c r="A183" s="10" t="inlineStr">
        <is>
          <t>F25</t>
        </is>
      </c>
      <c r="B183" s="10" t="inlineStr">
        <is>
          <t>FP</t>
        </is>
      </c>
      <c r="C183" s="10" t="inlineStr">
        <is>
          <t>Glose-lin 10/5; Glose-lin 25/5  |  Empagliflozin, Linagliptin</t>
        </is>
      </c>
      <c r="D183" s="10" t="inlineStr">
        <is>
          <t>Friability</t>
        </is>
      </c>
      <c r="E183" s="10">
        <f>IF(A183="","",A183&amp;"|"&amp;D183)</f>
        <v/>
      </c>
      <c r="F183" s="5" t="inlineStr">
        <is>
          <t>Y</t>
        </is>
      </c>
      <c r="G183" s="5" t="inlineStr">
        <is>
          <t>Friabilator</t>
        </is>
      </c>
      <c r="H183" s="5" t="inlineStr">
        <is>
          <t>Low</t>
        </is>
      </c>
      <c r="I183" s="5" t="n">
        <v>1</v>
      </c>
      <c r="J183" s="5" t="n"/>
      <c r="K183" s="10">
        <f>IFERROR(IF(INDEX('Test catalog'!$F$2:$F$200,MATCH($AB183,'Test catalog'!$A$2:$A$200,0))="","",INDEX('Test catalog'!$F$2:$F$200,MATCH($AB183,'Test catalog'!$A$2:$A$200,0))),"")</f>
        <v/>
      </c>
      <c r="L183" s="10">
        <f>IFERROR(IF(INDEX('Test catalog'!$G$2:$G$200,MATCH($AB183,'Test catalog'!$A$2:$A$200,0))="","",INDEX('Test catalog'!$G$2:$G$200,MATCH($AB183,'Test catalog'!$A$2:$A$200,0))),"")</f>
        <v/>
      </c>
      <c r="M183" s="10">
        <f>IFERROR(IF(INDEX('Test catalog'!$H$2:$H$200,MATCH($AB183,'Test catalog'!$A$2:$A$200,0))="","",INDEX('Test catalog'!$H$2:$H$200,MATCH($AB183,'Test catalog'!$A$2:$A$200,0))),"")</f>
        <v/>
      </c>
      <c r="N183" s="10">
        <f>IFERROR(IF(INDEX('Test catalog'!$I$2:$I$200,MATCH($AB183,'Test catalog'!$A$2:$A$200,0))="","",INDEX('Test catalog'!$I$2:$I$200,MATCH($AB183,'Test catalog'!$A$2:$A$200,0))),"")</f>
        <v/>
      </c>
      <c r="O183" s="10">
        <f>IFERROR(IF(INDEX('Test catalog'!$J$2:$J$200,MATCH($AB183,'Test catalog'!$A$2:$A$200,0))="","",INDEX('Test catalog'!$J$2:$J$200,MATCH($AB183,'Test catalog'!$A$2:$A$200,0))),"")</f>
        <v/>
      </c>
      <c r="P183" s="14">
        <f>IF(N183="","",IF(OR(M183="",O183=""),N183,(M183+4*N183+O183)/6))</f>
        <v/>
      </c>
      <c r="Q183" s="10">
        <f>IFERROR(IF(INDEX('Test catalog'!$K$2:$K$200,MATCH($AB183,'Test catalog'!$A$2:$A$200,0))="","",INDEX('Test catalog'!$K$2:$K$200,MATCH($AB183,'Test catalog'!$A$2:$A$200,0))),"")</f>
        <v/>
      </c>
      <c r="R183" s="5" t="n"/>
      <c r="S183" s="10">
        <f>IFERROR(IF(INDEX('Test catalog'!$L$2:$L$200,MATCH($AB183,'Test catalog'!$A$2:$A$200,0))="","",INDEX('Test catalog'!$L$2:$L$200,MATCH($AB183,'Test catalog'!$A$2:$A$200,0))),"")</f>
        <v/>
      </c>
      <c r="T183" s="10">
        <f>IFERROR(IF(INDEX('Test catalog'!$M$2:$M$200,MATCH($AB183,'Test catalog'!$A$2:$A$200,0))="","",INDEX('Test catalog'!$M$2:$M$200,MATCH($AB183,'Test catalog'!$A$2:$A$200,0))),"")</f>
        <v/>
      </c>
      <c r="U183" s="10">
        <f>IFERROR(IF(INDEX('Test catalog'!$N$2:$N$200,MATCH($AB183,'Test catalog'!$A$2:$A$200,0))="","",INDEX('Test catalog'!$N$2:$N$200,MATCH($AB183,'Test catalog'!$A$2:$A$200,0))),"")</f>
        <v/>
      </c>
      <c r="V183" s="15" t="n"/>
      <c r="W183" s="5" t="inlineStr">
        <is>
          <t>N</t>
        </is>
      </c>
      <c r="X183" s="5" t="n"/>
      <c r="Y183" s="5" t="n"/>
      <c r="Z183" s="5" t="n"/>
      <c r="AA183" s="10">
        <f>IFERROR(IF(INDEX('Test catalog'!$O$2:$O$200,MATCH($AB183,'Test catalog'!$A$2:$A$200,0))="","",INDEX('Test catalog'!$O$2:$O$200,MATCH($AB183,'Test catalog'!$A$2:$A$200,0))),"")</f>
        <v/>
      </c>
      <c r="AB183" s="10" t="inlineStr">
        <is>
          <t>FRIAB</t>
        </is>
      </c>
    </row>
    <row r="184">
      <c r="A184" s="10" t="inlineStr">
        <is>
          <t>F25</t>
        </is>
      </c>
      <c r="B184" s="10" t="inlineStr">
        <is>
          <t>FP</t>
        </is>
      </c>
      <c r="C184" s="10" t="inlineStr">
        <is>
          <t>Glose-lin 10/5; Glose-lin 25/5  |  Empagliflozin, Linagliptin</t>
        </is>
      </c>
      <c r="D184" s="10" t="inlineStr">
        <is>
          <t>Disintegration</t>
        </is>
      </c>
      <c r="E184" s="10">
        <f>IF(A184="","",A184&amp;"|"&amp;D184)</f>
        <v/>
      </c>
      <c r="F184" s="5" t="inlineStr">
        <is>
          <t>Y</t>
        </is>
      </c>
      <c r="G184" s="5" t="inlineStr">
        <is>
          <t>Disintegration tester</t>
        </is>
      </c>
      <c r="H184" s="5" t="inlineStr">
        <is>
          <t>Low</t>
        </is>
      </c>
      <c r="I184" s="5" t="n">
        <v>1</v>
      </c>
      <c r="J184" s="5" t="n"/>
      <c r="K184" s="10">
        <f>IFERROR(IF(INDEX('Test catalog'!$F$2:$F$200,MATCH($AB184,'Test catalog'!$A$2:$A$200,0))="","",INDEX('Test catalog'!$F$2:$F$200,MATCH($AB184,'Test catalog'!$A$2:$A$200,0))),"")</f>
        <v/>
      </c>
      <c r="L184" s="10">
        <f>IFERROR(IF(INDEX('Test catalog'!$G$2:$G$200,MATCH($AB184,'Test catalog'!$A$2:$A$200,0))="","",INDEX('Test catalog'!$G$2:$G$200,MATCH($AB184,'Test catalog'!$A$2:$A$200,0))),"")</f>
        <v/>
      </c>
      <c r="M184" s="10">
        <f>IFERROR(IF(INDEX('Test catalog'!$H$2:$H$200,MATCH($AB184,'Test catalog'!$A$2:$A$200,0))="","",INDEX('Test catalog'!$H$2:$H$200,MATCH($AB184,'Test catalog'!$A$2:$A$200,0))),"")</f>
        <v/>
      </c>
      <c r="N184" s="10">
        <f>IFERROR(IF(INDEX('Test catalog'!$I$2:$I$200,MATCH($AB184,'Test catalog'!$A$2:$A$200,0))="","",INDEX('Test catalog'!$I$2:$I$200,MATCH($AB184,'Test catalog'!$A$2:$A$200,0))),"")</f>
        <v/>
      </c>
      <c r="O184" s="10">
        <f>IFERROR(IF(INDEX('Test catalog'!$J$2:$J$200,MATCH($AB184,'Test catalog'!$A$2:$A$200,0))="","",INDEX('Test catalog'!$J$2:$J$200,MATCH($AB184,'Test catalog'!$A$2:$A$200,0))),"")</f>
        <v/>
      </c>
      <c r="P184" s="14">
        <f>IF(N184="","",IF(OR(M184="",O184=""),N184,(M184+4*N184+O184)/6))</f>
        <v/>
      </c>
      <c r="Q184" s="10">
        <f>IFERROR(IF(INDEX('Test catalog'!$K$2:$K$200,MATCH($AB184,'Test catalog'!$A$2:$A$200,0))="","",INDEX('Test catalog'!$K$2:$K$200,MATCH($AB184,'Test catalog'!$A$2:$A$200,0))),"")</f>
        <v/>
      </c>
      <c r="R184" s="5" t="n"/>
      <c r="S184" s="10">
        <f>IFERROR(IF(INDEX('Test catalog'!$L$2:$L$200,MATCH($AB184,'Test catalog'!$A$2:$A$200,0))="","",INDEX('Test catalog'!$L$2:$L$200,MATCH($AB184,'Test catalog'!$A$2:$A$200,0))),"")</f>
        <v/>
      </c>
      <c r="T184" s="10">
        <f>IFERROR(IF(INDEX('Test catalog'!$M$2:$M$200,MATCH($AB184,'Test catalog'!$A$2:$A$200,0))="","",INDEX('Test catalog'!$M$2:$M$200,MATCH($AB184,'Test catalog'!$A$2:$A$200,0))),"")</f>
        <v/>
      </c>
      <c r="U184" s="10">
        <f>IFERROR(IF(INDEX('Test catalog'!$N$2:$N$200,MATCH($AB184,'Test catalog'!$A$2:$A$200,0))="","",INDEX('Test catalog'!$N$2:$N$200,MATCH($AB184,'Test catalog'!$A$2:$A$200,0))),"")</f>
        <v/>
      </c>
      <c r="V184" s="15" t="n"/>
      <c r="W184" s="5" t="inlineStr">
        <is>
          <t>Y</t>
        </is>
      </c>
      <c r="X184" s="5" t="n"/>
      <c r="Y184" s="5" t="n"/>
      <c r="Z184" s="5" t="n"/>
      <c r="AA184" s="10">
        <f>IFERROR(IF(INDEX('Test catalog'!$O$2:$O$200,MATCH($AB184,'Test catalog'!$A$2:$A$200,0))="","",INDEX('Test catalog'!$O$2:$O$200,MATCH($AB184,'Test catalog'!$A$2:$A$200,0))),"")</f>
        <v/>
      </c>
      <c r="AB184" s="10" t="inlineStr">
        <is>
          <t>DISINT</t>
        </is>
      </c>
    </row>
    <row r="185">
      <c r="A185" s="10" t="inlineStr">
        <is>
          <t>F25</t>
        </is>
      </c>
      <c r="B185" s="10" t="inlineStr">
        <is>
          <t>FP</t>
        </is>
      </c>
      <c r="C185" s="10" t="inlineStr">
        <is>
          <t>Glose-lin 10/5; Glose-lin 25/5  |  Empagliflozin, Linagliptin</t>
        </is>
      </c>
      <c r="D185" s="10" t="inlineStr">
        <is>
          <t>In-process check at the machine (one check, all its tests)</t>
        </is>
      </c>
      <c r="E185" s="10">
        <f>IF(A185="","",A185&amp;"|"&amp;D185)</f>
        <v/>
      </c>
      <c r="F185" s="5" t="inlineStr">
        <is>
          <t>Y</t>
        </is>
      </c>
      <c r="G185" s="5" t="inlineStr">
        <is>
          <t>Tablet tester</t>
        </is>
      </c>
      <c r="H185" s="5" t="inlineStr">
        <is>
          <t>Low</t>
        </is>
      </c>
      <c r="I185" s="5" t="n">
        <v>1</v>
      </c>
      <c r="J185" s="5" t="n"/>
      <c r="K185" s="10">
        <f>IFERROR(IF(INDEX('Test catalog'!$F$2:$F$200,MATCH($AB185,'Test catalog'!$A$2:$A$200,0))="","",INDEX('Test catalog'!$F$2:$F$200,MATCH($AB185,'Test catalog'!$A$2:$A$200,0))),"")</f>
        <v/>
      </c>
      <c r="L185" s="10">
        <f>IFERROR(IF(INDEX('Test catalog'!$G$2:$G$200,MATCH($AB185,'Test catalog'!$A$2:$A$200,0))="","",INDEX('Test catalog'!$G$2:$G$200,MATCH($AB185,'Test catalog'!$A$2:$A$200,0))),"")</f>
        <v/>
      </c>
      <c r="M185" s="10">
        <f>IFERROR(IF(INDEX('Test catalog'!$H$2:$H$200,MATCH($AB185,'Test catalog'!$A$2:$A$200,0))="","",INDEX('Test catalog'!$H$2:$H$200,MATCH($AB185,'Test catalog'!$A$2:$A$200,0))),"")</f>
        <v/>
      </c>
      <c r="N185" s="10">
        <f>IFERROR(IF(INDEX('Test catalog'!$I$2:$I$200,MATCH($AB185,'Test catalog'!$A$2:$A$200,0))="","",INDEX('Test catalog'!$I$2:$I$200,MATCH($AB185,'Test catalog'!$A$2:$A$200,0))),"")</f>
        <v/>
      </c>
      <c r="O185" s="10">
        <f>IFERROR(IF(INDEX('Test catalog'!$J$2:$J$200,MATCH($AB185,'Test catalog'!$A$2:$A$200,0))="","",INDEX('Test catalog'!$J$2:$J$200,MATCH($AB185,'Test catalog'!$A$2:$A$200,0))),"")</f>
        <v/>
      </c>
      <c r="P185" s="14">
        <f>IF(N185="","",IF(OR(M185="",O185=""),N185,(M185+4*N185+O185)/6))</f>
        <v/>
      </c>
      <c r="Q185" s="10">
        <f>IFERROR(IF(INDEX('Test catalog'!$K$2:$K$200,MATCH($AB185,'Test catalog'!$A$2:$A$200,0))="","",INDEX('Test catalog'!$K$2:$K$200,MATCH($AB185,'Test catalog'!$A$2:$A$200,0))),"")</f>
        <v/>
      </c>
      <c r="R185" s="5" t="n"/>
      <c r="S185" s="10">
        <f>IFERROR(IF(INDEX('Test catalog'!$L$2:$L$200,MATCH($AB185,'Test catalog'!$A$2:$A$200,0))="","",INDEX('Test catalog'!$L$2:$L$200,MATCH($AB185,'Test catalog'!$A$2:$A$200,0))),"")</f>
        <v/>
      </c>
      <c r="T185" s="10">
        <f>IFERROR(IF(INDEX('Test catalog'!$M$2:$M$200,MATCH($AB185,'Test catalog'!$A$2:$A$200,0))="","",INDEX('Test catalog'!$M$2:$M$200,MATCH($AB185,'Test catalog'!$A$2:$A$200,0))),"")</f>
        <v/>
      </c>
      <c r="U185" s="10">
        <f>IFERROR(IF(INDEX('Test catalog'!$N$2:$N$200,MATCH($AB185,'Test catalog'!$A$2:$A$200,0))="","",INDEX('Test catalog'!$N$2:$N$200,MATCH($AB185,'Test catalog'!$A$2:$A$200,0))),"")</f>
        <v/>
      </c>
      <c r="V185" s="15" t="n"/>
      <c r="W185" s="5" t="inlineStr">
        <is>
          <t>N</t>
        </is>
      </c>
      <c r="X185" s="5" t="n"/>
      <c r="Y185" s="5" t="n"/>
      <c r="Z185" s="5" t="n"/>
      <c r="AA185" s="10">
        <f>IFERROR(IF(INDEX('Test catalog'!$O$2:$O$200,MATCH($AB185,'Test catalog'!$A$2:$A$200,0))="","",INDEX('Test catalog'!$O$2:$O$200,MATCH($AB185,'Test catalog'!$A$2:$A$200,0))),"")</f>
        <v/>
      </c>
      <c r="AB185" s="10" t="inlineStr">
        <is>
          <t>IPC</t>
        </is>
      </c>
    </row>
    <row r="186">
      <c r="A186" s="10" t="inlineStr">
        <is>
          <t>F26</t>
        </is>
      </c>
      <c r="B186" s="10" t="inlineStr">
        <is>
          <t>FP</t>
        </is>
      </c>
      <c r="C186" s="10" t="inlineStr">
        <is>
          <t>TRILEMO ER 5-2.5-1000; TRILEMO ER 10-5-1000; TRILEMO ER 12.5-2.5-1000; TRILEMO ER 25-5-100  |  Metformin Hydrochloride, Empagliflozin (+1 more) [ER]</t>
        </is>
      </c>
      <c r="D186" s="10" t="inlineStr">
        <is>
          <t>Average weight / uniformity of mass</t>
        </is>
      </c>
      <c r="E186" s="10">
        <f>IF(A186="","",A186&amp;"|"&amp;D186)</f>
        <v/>
      </c>
      <c r="F186" s="5" t="inlineStr">
        <is>
          <t>Y</t>
        </is>
      </c>
      <c r="G186" s="5" t="inlineStr">
        <is>
          <t>Balance</t>
        </is>
      </c>
      <c r="H186" s="5" t="inlineStr">
        <is>
          <t>Low</t>
        </is>
      </c>
      <c r="I186" s="5" t="n">
        <v>1</v>
      </c>
      <c r="J186" s="5" t="n"/>
      <c r="K186" s="10">
        <f>IFERROR(IF(INDEX('Test catalog'!$F$2:$F$200,MATCH($AB186,'Test catalog'!$A$2:$A$200,0))="","",INDEX('Test catalog'!$F$2:$F$200,MATCH($AB186,'Test catalog'!$A$2:$A$200,0))),"")</f>
        <v/>
      </c>
      <c r="L186" s="10">
        <f>IFERROR(IF(INDEX('Test catalog'!$G$2:$G$200,MATCH($AB186,'Test catalog'!$A$2:$A$200,0))="","",INDEX('Test catalog'!$G$2:$G$200,MATCH($AB186,'Test catalog'!$A$2:$A$200,0))),"")</f>
        <v/>
      </c>
      <c r="M186" s="10">
        <f>IFERROR(IF(INDEX('Test catalog'!$H$2:$H$200,MATCH($AB186,'Test catalog'!$A$2:$A$200,0))="","",INDEX('Test catalog'!$H$2:$H$200,MATCH($AB186,'Test catalog'!$A$2:$A$200,0))),"")</f>
        <v/>
      </c>
      <c r="N186" s="10">
        <f>IFERROR(IF(INDEX('Test catalog'!$I$2:$I$200,MATCH($AB186,'Test catalog'!$A$2:$A$200,0))="","",INDEX('Test catalog'!$I$2:$I$200,MATCH($AB186,'Test catalog'!$A$2:$A$200,0))),"")</f>
        <v/>
      </c>
      <c r="O186" s="10">
        <f>IFERROR(IF(INDEX('Test catalog'!$J$2:$J$200,MATCH($AB186,'Test catalog'!$A$2:$A$200,0))="","",INDEX('Test catalog'!$J$2:$J$200,MATCH($AB186,'Test catalog'!$A$2:$A$200,0))),"")</f>
        <v/>
      </c>
      <c r="P186" s="14">
        <f>IF(N186="","",IF(OR(M186="",O186=""),N186,(M186+4*N186+O186)/6))</f>
        <v/>
      </c>
      <c r="Q186" s="10">
        <f>IFERROR(IF(INDEX('Test catalog'!$K$2:$K$200,MATCH($AB186,'Test catalog'!$A$2:$A$200,0))="","",INDEX('Test catalog'!$K$2:$K$200,MATCH($AB186,'Test catalog'!$A$2:$A$200,0))),"")</f>
        <v/>
      </c>
      <c r="R186" s="5" t="n"/>
      <c r="S186" s="10">
        <f>IFERROR(IF(INDEX('Test catalog'!$L$2:$L$200,MATCH($AB186,'Test catalog'!$A$2:$A$200,0))="","",INDEX('Test catalog'!$L$2:$L$200,MATCH($AB186,'Test catalog'!$A$2:$A$200,0))),"")</f>
        <v/>
      </c>
      <c r="T186" s="10">
        <f>IFERROR(IF(INDEX('Test catalog'!$M$2:$M$200,MATCH($AB186,'Test catalog'!$A$2:$A$200,0))="","",INDEX('Test catalog'!$M$2:$M$200,MATCH($AB186,'Test catalog'!$A$2:$A$200,0))),"")</f>
        <v/>
      </c>
      <c r="U186" s="10">
        <f>IFERROR(IF(INDEX('Test catalog'!$N$2:$N$200,MATCH($AB186,'Test catalog'!$A$2:$A$200,0))="","",INDEX('Test catalog'!$N$2:$N$200,MATCH($AB186,'Test catalog'!$A$2:$A$200,0))),"")</f>
        <v/>
      </c>
      <c r="V186" s="15" t="n"/>
      <c r="W186" s="5" t="inlineStr">
        <is>
          <t>N</t>
        </is>
      </c>
      <c r="X186" s="5" t="n"/>
      <c r="Y186" s="5" t="n"/>
      <c r="Z186" s="5" t="n"/>
      <c r="AA186" s="10">
        <f>IFERROR(IF(INDEX('Test catalog'!$O$2:$O$200,MATCH($AB186,'Test catalog'!$A$2:$A$200,0))="","",INDEX('Test catalog'!$O$2:$O$200,MATCH($AB186,'Test catalog'!$A$2:$A$200,0))),"")</f>
        <v/>
      </c>
      <c r="AB186" s="10" t="inlineStr">
        <is>
          <t>AVG_WT</t>
        </is>
      </c>
    </row>
    <row r="187">
      <c r="A187" s="10" t="inlineStr">
        <is>
          <t>F26</t>
        </is>
      </c>
      <c r="B187" s="10" t="inlineStr">
        <is>
          <t>FP</t>
        </is>
      </c>
      <c r="C187" s="10" t="inlineStr">
        <is>
          <t>TRILEMO ER 5-2.5-1000; TRILEMO ER 10-5-1000; TRILEMO ER 12.5-2.5-1000; TRILEMO ER 25-5-100  |  Metformin Hydrochloride, Empagliflozin (+1 more) [ER]</t>
        </is>
      </c>
      <c r="D187" s="10" t="inlineStr">
        <is>
          <t>Diameter (or length / width)</t>
        </is>
      </c>
      <c r="E187" s="10">
        <f>IF(A187="","",A187&amp;"|"&amp;D187)</f>
        <v/>
      </c>
      <c r="F187" s="5" t="inlineStr">
        <is>
          <t>Y</t>
        </is>
      </c>
      <c r="G187" s="5" t="inlineStr">
        <is>
          <t>Tablet tester</t>
        </is>
      </c>
      <c r="H187" s="5" t="inlineStr">
        <is>
          <t>Low</t>
        </is>
      </c>
      <c r="I187" s="5" t="n">
        <v>1</v>
      </c>
      <c r="J187" s="5" t="n"/>
      <c r="K187" s="10">
        <f>IFERROR(IF(INDEX('Test catalog'!$F$2:$F$200,MATCH($AB187,'Test catalog'!$A$2:$A$200,0))="","",INDEX('Test catalog'!$F$2:$F$200,MATCH($AB187,'Test catalog'!$A$2:$A$200,0))),"")</f>
        <v/>
      </c>
      <c r="L187" s="10">
        <f>IFERROR(IF(INDEX('Test catalog'!$G$2:$G$200,MATCH($AB187,'Test catalog'!$A$2:$A$200,0))="","",INDEX('Test catalog'!$G$2:$G$200,MATCH($AB187,'Test catalog'!$A$2:$A$200,0))),"")</f>
        <v/>
      </c>
      <c r="M187" s="10">
        <f>IFERROR(IF(INDEX('Test catalog'!$H$2:$H$200,MATCH($AB187,'Test catalog'!$A$2:$A$200,0))="","",INDEX('Test catalog'!$H$2:$H$200,MATCH($AB187,'Test catalog'!$A$2:$A$200,0))),"")</f>
        <v/>
      </c>
      <c r="N187" s="10">
        <f>IFERROR(IF(INDEX('Test catalog'!$I$2:$I$200,MATCH($AB187,'Test catalog'!$A$2:$A$200,0))="","",INDEX('Test catalog'!$I$2:$I$200,MATCH($AB187,'Test catalog'!$A$2:$A$200,0))),"")</f>
        <v/>
      </c>
      <c r="O187" s="10">
        <f>IFERROR(IF(INDEX('Test catalog'!$J$2:$J$200,MATCH($AB187,'Test catalog'!$A$2:$A$200,0))="","",INDEX('Test catalog'!$J$2:$J$200,MATCH($AB187,'Test catalog'!$A$2:$A$200,0))),"")</f>
        <v/>
      </c>
      <c r="P187" s="14">
        <f>IF(N187="","",IF(OR(M187="",O187=""),N187,(M187+4*N187+O187)/6))</f>
        <v/>
      </c>
      <c r="Q187" s="10">
        <f>IFERROR(IF(INDEX('Test catalog'!$K$2:$K$200,MATCH($AB187,'Test catalog'!$A$2:$A$200,0))="","",INDEX('Test catalog'!$K$2:$K$200,MATCH($AB187,'Test catalog'!$A$2:$A$200,0))),"")</f>
        <v/>
      </c>
      <c r="R187" s="5" t="n"/>
      <c r="S187" s="10">
        <f>IFERROR(IF(INDEX('Test catalog'!$L$2:$L$200,MATCH($AB187,'Test catalog'!$A$2:$A$200,0))="","",INDEX('Test catalog'!$L$2:$L$200,MATCH($AB187,'Test catalog'!$A$2:$A$200,0))),"")</f>
        <v/>
      </c>
      <c r="T187" s="10">
        <f>IFERROR(IF(INDEX('Test catalog'!$M$2:$M$200,MATCH($AB187,'Test catalog'!$A$2:$A$200,0))="","",INDEX('Test catalog'!$M$2:$M$200,MATCH($AB187,'Test catalog'!$A$2:$A$200,0))),"")</f>
        <v/>
      </c>
      <c r="U187" s="10">
        <f>IFERROR(IF(INDEX('Test catalog'!$N$2:$N$200,MATCH($AB187,'Test catalog'!$A$2:$A$200,0))="","",INDEX('Test catalog'!$N$2:$N$200,MATCH($AB187,'Test catalog'!$A$2:$A$200,0))),"")</f>
        <v/>
      </c>
      <c r="V187" s="15" t="n"/>
      <c r="W187" s="5" t="inlineStr">
        <is>
          <t>N</t>
        </is>
      </c>
      <c r="X187" s="5" t="n"/>
      <c r="Y187" s="5" t="n"/>
      <c r="Z187" s="5" t="n"/>
      <c r="AA187" s="10">
        <f>IFERROR(IF(INDEX('Test catalog'!$O$2:$O$200,MATCH($AB187,'Test catalog'!$A$2:$A$200,0))="","",INDEX('Test catalog'!$O$2:$O$200,MATCH($AB187,'Test catalog'!$A$2:$A$200,0))),"")</f>
        <v/>
      </c>
      <c r="AB187" s="10" t="inlineStr">
        <is>
          <t>DIAM</t>
        </is>
      </c>
    </row>
    <row r="188">
      <c r="A188" s="10" t="inlineStr">
        <is>
          <t>F26</t>
        </is>
      </c>
      <c r="B188" s="10" t="inlineStr">
        <is>
          <t>FP</t>
        </is>
      </c>
      <c r="C188" s="10" t="inlineStr">
        <is>
          <t>TRILEMO ER 5-2.5-1000; TRILEMO ER 10-5-1000; TRILEMO ER 12.5-2.5-1000; TRILEMO ER 25-5-100  |  Metformin Hydrochloride, Empagliflozin (+1 more) [ER]</t>
        </is>
      </c>
      <c r="D188" s="10" t="inlineStr">
        <is>
          <t>Thickness</t>
        </is>
      </c>
      <c r="E188" s="10">
        <f>IF(A188="","",A188&amp;"|"&amp;D188)</f>
        <v/>
      </c>
      <c r="F188" s="5" t="inlineStr">
        <is>
          <t>Y</t>
        </is>
      </c>
      <c r="G188" s="5" t="inlineStr">
        <is>
          <t>Tablet tester</t>
        </is>
      </c>
      <c r="H188" s="5" t="inlineStr">
        <is>
          <t>Low</t>
        </is>
      </c>
      <c r="I188" s="5" t="n">
        <v>1</v>
      </c>
      <c r="J188" s="5" t="n"/>
      <c r="K188" s="10">
        <f>IFERROR(IF(INDEX('Test catalog'!$F$2:$F$200,MATCH($AB188,'Test catalog'!$A$2:$A$200,0))="","",INDEX('Test catalog'!$F$2:$F$200,MATCH($AB188,'Test catalog'!$A$2:$A$200,0))),"")</f>
        <v/>
      </c>
      <c r="L188" s="10">
        <f>IFERROR(IF(INDEX('Test catalog'!$G$2:$G$200,MATCH($AB188,'Test catalog'!$A$2:$A$200,0))="","",INDEX('Test catalog'!$G$2:$G$200,MATCH($AB188,'Test catalog'!$A$2:$A$200,0))),"")</f>
        <v/>
      </c>
      <c r="M188" s="10">
        <f>IFERROR(IF(INDEX('Test catalog'!$H$2:$H$200,MATCH($AB188,'Test catalog'!$A$2:$A$200,0))="","",INDEX('Test catalog'!$H$2:$H$200,MATCH($AB188,'Test catalog'!$A$2:$A$200,0))),"")</f>
        <v/>
      </c>
      <c r="N188" s="10">
        <f>IFERROR(IF(INDEX('Test catalog'!$I$2:$I$200,MATCH($AB188,'Test catalog'!$A$2:$A$200,0))="","",INDEX('Test catalog'!$I$2:$I$200,MATCH($AB188,'Test catalog'!$A$2:$A$200,0))),"")</f>
        <v/>
      </c>
      <c r="O188" s="10">
        <f>IFERROR(IF(INDEX('Test catalog'!$J$2:$J$200,MATCH($AB188,'Test catalog'!$A$2:$A$200,0))="","",INDEX('Test catalog'!$J$2:$J$200,MATCH($AB188,'Test catalog'!$A$2:$A$200,0))),"")</f>
        <v/>
      </c>
      <c r="P188" s="14">
        <f>IF(N188="","",IF(OR(M188="",O188=""),N188,(M188+4*N188+O188)/6))</f>
        <v/>
      </c>
      <c r="Q188" s="10">
        <f>IFERROR(IF(INDEX('Test catalog'!$K$2:$K$200,MATCH($AB188,'Test catalog'!$A$2:$A$200,0))="","",INDEX('Test catalog'!$K$2:$K$200,MATCH($AB188,'Test catalog'!$A$2:$A$200,0))),"")</f>
        <v/>
      </c>
      <c r="R188" s="5" t="n"/>
      <c r="S188" s="10">
        <f>IFERROR(IF(INDEX('Test catalog'!$L$2:$L$200,MATCH($AB188,'Test catalog'!$A$2:$A$200,0))="","",INDEX('Test catalog'!$L$2:$L$200,MATCH($AB188,'Test catalog'!$A$2:$A$200,0))),"")</f>
        <v/>
      </c>
      <c r="T188" s="10">
        <f>IFERROR(IF(INDEX('Test catalog'!$M$2:$M$200,MATCH($AB188,'Test catalog'!$A$2:$A$200,0))="","",INDEX('Test catalog'!$M$2:$M$200,MATCH($AB188,'Test catalog'!$A$2:$A$200,0))),"")</f>
        <v/>
      </c>
      <c r="U188" s="10">
        <f>IFERROR(IF(INDEX('Test catalog'!$N$2:$N$200,MATCH($AB188,'Test catalog'!$A$2:$A$200,0))="","",INDEX('Test catalog'!$N$2:$N$200,MATCH($AB188,'Test catalog'!$A$2:$A$200,0))),"")</f>
        <v/>
      </c>
      <c r="V188" s="15" t="n"/>
      <c r="W188" s="5" t="inlineStr">
        <is>
          <t>N</t>
        </is>
      </c>
      <c r="X188" s="5" t="n"/>
      <c r="Y188" s="5" t="n"/>
      <c r="Z188" s="5" t="n"/>
      <c r="AA188" s="10">
        <f>IFERROR(IF(INDEX('Test catalog'!$O$2:$O$200,MATCH($AB188,'Test catalog'!$A$2:$A$200,0))="","",INDEX('Test catalog'!$O$2:$O$200,MATCH($AB188,'Test catalog'!$A$2:$A$200,0))),"")</f>
        <v/>
      </c>
      <c r="AB188" s="10" t="inlineStr">
        <is>
          <t>THICK</t>
        </is>
      </c>
    </row>
    <row r="189">
      <c r="A189" s="10" t="inlineStr">
        <is>
          <t>F26</t>
        </is>
      </c>
      <c r="B189" s="10" t="inlineStr">
        <is>
          <t>FP</t>
        </is>
      </c>
      <c r="C189" s="10" t="inlineStr">
        <is>
          <t>TRILEMO ER 5-2.5-1000; TRILEMO ER 10-5-1000; TRILEMO ER 12.5-2.5-1000; TRILEMO ER 25-5-100  |  Metformin Hydrochloride, Empagliflozin (+1 more) [ER]</t>
        </is>
      </c>
      <c r="D189" s="10" t="inlineStr">
        <is>
          <t>Hardness / breaking force</t>
        </is>
      </c>
      <c r="E189" s="10">
        <f>IF(A189="","",A189&amp;"|"&amp;D189)</f>
        <v/>
      </c>
      <c r="F189" s="5" t="inlineStr">
        <is>
          <t>Y</t>
        </is>
      </c>
      <c r="G189" s="5" t="inlineStr">
        <is>
          <t>Tablet tester</t>
        </is>
      </c>
      <c r="H189" s="5" t="inlineStr">
        <is>
          <t>Low</t>
        </is>
      </c>
      <c r="I189" s="5" t="n">
        <v>1</v>
      </c>
      <c r="J189" s="5" t="n"/>
      <c r="K189" s="10">
        <f>IFERROR(IF(INDEX('Test catalog'!$F$2:$F$200,MATCH($AB189,'Test catalog'!$A$2:$A$200,0))="","",INDEX('Test catalog'!$F$2:$F$200,MATCH($AB189,'Test catalog'!$A$2:$A$200,0))),"")</f>
        <v/>
      </c>
      <c r="L189" s="10">
        <f>IFERROR(IF(INDEX('Test catalog'!$G$2:$G$200,MATCH($AB189,'Test catalog'!$A$2:$A$200,0))="","",INDEX('Test catalog'!$G$2:$G$200,MATCH($AB189,'Test catalog'!$A$2:$A$200,0))),"")</f>
        <v/>
      </c>
      <c r="M189" s="10">
        <f>IFERROR(IF(INDEX('Test catalog'!$H$2:$H$200,MATCH($AB189,'Test catalog'!$A$2:$A$200,0))="","",INDEX('Test catalog'!$H$2:$H$200,MATCH($AB189,'Test catalog'!$A$2:$A$200,0))),"")</f>
        <v/>
      </c>
      <c r="N189" s="10">
        <f>IFERROR(IF(INDEX('Test catalog'!$I$2:$I$200,MATCH($AB189,'Test catalog'!$A$2:$A$200,0))="","",INDEX('Test catalog'!$I$2:$I$200,MATCH($AB189,'Test catalog'!$A$2:$A$200,0))),"")</f>
        <v/>
      </c>
      <c r="O189" s="10">
        <f>IFERROR(IF(INDEX('Test catalog'!$J$2:$J$200,MATCH($AB189,'Test catalog'!$A$2:$A$200,0))="","",INDEX('Test catalog'!$J$2:$J$200,MATCH($AB189,'Test catalog'!$A$2:$A$200,0))),"")</f>
        <v/>
      </c>
      <c r="P189" s="14">
        <f>IF(N189="","",IF(OR(M189="",O189=""),N189,(M189+4*N189+O189)/6))</f>
        <v/>
      </c>
      <c r="Q189" s="10">
        <f>IFERROR(IF(INDEX('Test catalog'!$K$2:$K$200,MATCH($AB189,'Test catalog'!$A$2:$A$200,0))="","",INDEX('Test catalog'!$K$2:$K$200,MATCH($AB189,'Test catalog'!$A$2:$A$200,0))),"")</f>
        <v/>
      </c>
      <c r="R189" s="5" t="n"/>
      <c r="S189" s="10">
        <f>IFERROR(IF(INDEX('Test catalog'!$L$2:$L$200,MATCH($AB189,'Test catalog'!$A$2:$A$200,0))="","",INDEX('Test catalog'!$L$2:$L$200,MATCH($AB189,'Test catalog'!$A$2:$A$200,0))),"")</f>
        <v/>
      </c>
      <c r="T189" s="10">
        <f>IFERROR(IF(INDEX('Test catalog'!$M$2:$M$200,MATCH($AB189,'Test catalog'!$A$2:$A$200,0))="","",INDEX('Test catalog'!$M$2:$M$200,MATCH($AB189,'Test catalog'!$A$2:$A$200,0))),"")</f>
        <v/>
      </c>
      <c r="U189" s="10">
        <f>IFERROR(IF(INDEX('Test catalog'!$N$2:$N$200,MATCH($AB189,'Test catalog'!$A$2:$A$200,0))="","",INDEX('Test catalog'!$N$2:$N$200,MATCH($AB189,'Test catalog'!$A$2:$A$200,0))),"")</f>
        <v/>
      </c>
      <c r="V189" s="15" t="n"/>
      <c r="W189" s="5" t="inlineStr">
        <is>
          <t>Y</t>
        </is>
      </c>
      <c r="X189" s="5" t="n"/>
      <c r="Y189" s="5" t="n"/>
      <c r="Z189" s="5" t="n"/>
      <c r="AA189" s="10">
        <f>IFERROR(IF(INDEX('Test catalog'!$O$2:$O$200,MATCH($AB189,'Test catalog'!$A$2:$A$200,0))="","",INDEX('Test catalog'!$O$2:$O$200,MATCH($AB189,'Test catalog'!$A$2:$A$200,0))),"")</f>
        <v/>
      </c>
      <c r="AB189" s="10" t="inlineStr">
        <is>
          <t>HARD</t>
        </is>
      </c>
    </row>
    <row r="190">
      <c r="A190" s="10" t="inlineStr">
        <is>
          <t>F26</t>
        </is>
      </c>
      <c r="B190" s="10" t="inlineStr">
        <is>
          <t>FP</t>
        </is>
      </c>
      <c r="C190" s="10" t="inlineStr">
        <is>
          <t>TRILEMO ER 5-2.5-1000; TRILEMO ER 10-5-1000; TRILEMO ER 12.5-2.5-1000; TRILEMO ER 25-5-100  |  Metformin Hydrochloride, Empagliflozin (+1 more) [ER]</t>
        </is>
      </c>
      <c r="D190" s="10" t="inlineStr">
        <is>
          <t>Brittleness</t>
        </is>
      </c>
      <c r="E190" s="10">
        <f>IF(A190="","",A190&amp;"|"&amp;D190)</f>
        <v/>
      </c>
      <c r="F190" s="5" t="inlineStr">
        <is>
          <t>Y</t>
        </is>
      </c>
      <c r="G190" s="5" t="inlineStr">
        <is>
          <t>Other / bench</t>
        </is>
      </c>
      <c r="H190" s="5" t="inlineStr">
        <is>
          <t>Low</t>
        </is>
      </c>
      <c r="I190" s="5" t="n">
        <v>1</v>
      </c>
      <c r="J190" s="5" t="n"/>
      <c r="K190" s="10">
        <f>IFERROR(IF(INDEX('Test catalog'!$F$2:$F$200,MATCH($AB190,'Test catalog'!$A$2:$A$200,0))="","",INDEX('Test catalog'!$F$2:$F$200,MATCH($AB190,'Test catalog'!$A$2:$A$200,0))),"")</f>
        <v/>
      </c>
      <c r="L190" s="10">
        <f>IFERROR(IF(INDEX('Test catalog'!$G$2:$G$200,MATCH($AB190,'Test catalog'!$A$2:$A$200,0))="","",INDEX('Test catalog'!$G$2:$G$200,MATCH($AB190,'Test catalog'!$A$2:$A$200,0))),"")</f>
        <v/>
      </c>
      <c r="M190" s="10">
        <f>IFERROR(IF(INDEX('Test catalog'!$H$2:$H$200,MATCH($AB190,'Test catalog'!$A$2:$A$200,0))="","",INDEX('Test catalog'!$H$2:$H$200,MATCH($AB190,'Test catalog'!$A$2:$A$200,0))),"")</f>
        <v/>
      </c>
      <c r="N190" s="10">
        <f>IFERROR(IF(INDEX('Test catalog'!$I$2:$I$200,MATCH($AB190,'Test catalog'!$A$2:$A$200,0))="","",INDEX('Test catalog'!$I$2:$I$200,MATCH($AB190,'Test catalog'!$A$2:$A$200,0))),"")</f>
        <v/>
      </c>
      <c r="O190" s="10">
        <f>IFERROR(IF(INDEX('Test catalog'!$J$2:$J$200,MATCH($AB190,'Test catalog'!$A$2:$A$200,0))="","",INDEX('Test catalog'!$J$2:$J$200,MATCH($AB190,'Test catalog'!$A$2:$A$200,0))),"")</f>
        <v/>
      </c>
      <c r="P190" s="14">
        <f>IF(N190="","",IF(OR(M190="",O190=""),N190,(M190+4*N190+O190)/6))</f>
        <v/>
      </c>
      <c r="Q190" s="10">
        <f>IFERROR(IF(INDEX('Test catalog'!$K$2:$K$200,MATCH($AB190,'Test catalog'!$A$2:$A$200,0))="","",INDEX('Test catalog'!$K$2:$K$200,MATCH($AB190,'Test catalog'!$A$2:$A$200,0))),"")</f>
        <v/>
      </c>
      <c r="R190" s="5" t="n"/>
      <c r="S190" s="10">
        <f>IFERROR(IF(INDEX('Test catalog'!$L$2:$L$200,MATCH($AB190,'Test catalog'!$A$2:$A$200,0))="","",INDEX('Test catalog'!$L$2:$L$200,MATCH($AB190,'Test catalog'!$A$2:$A$200,0))),"")</f>
        <v/>
      </c>
      <c r="T190" s="10">
        <f>IFERROR(IF(INDEX('Test catalog'!$M$2:$M$200,MATCH($AB190,'Test catalog'!$A$2:$A$200,0))="","",INDEX('Test catalog'!$M$2:$M$200,MATCH($AB190,'Test catalog'!$A$2:$A$200,0))),"")</f>
        <v/>
      </c>
      <c r="U190" s="10">
        <f>IFERROR(IF(INDEX('Test catalog'!$N$2:$N$200,MATCH($AB190,'Test catalog'!$A$2:$A$200,0))="","",INDEX('Test catalog'!$N$2:$N$200,MATCH($AB190,'Test catalog'!$A$2:$A$200,0))),"")</f>
        <v/>
      </c>
      <c r="V190" s="15" t="n"/>
      <c r="W190" s="5" t="inlineStr">
        <is>
          <t>N</t>
        </is>
      </c>
      <c r="X190" s="5" t="n"/>
      <c r="Y190" s="5" t="n"/>
      <c r="Z190" s="5" t="n"/>
      <c r="AA190" s="10">
        <f>IFERROR(IF(INDEX('Test catalog'!$O$2:$O$200,MATCH($AB190,'Test catalog'!$A$2:$A$200,0))="","",INDEX('Test catalog'!$O$2:$O$200,MATCH($AB190,'Test catalog'!$A$2:$A$200,0))),"")</f>
        <v/>
      </c>
      <c r="AB190" s="10" t="inlineStr">
        <is>
          <t>BRITTLE</t>
        </is>
      </c>
    </row>
    <row r="191">
      <c r="A191" s="10" t="inlineStr">
        <is>
          <t>F26</t>
        </is>
      </c>
      <c r="B191" s="10" t="inlineStr">
        <is>
          <t>FP</t>
        </is>
      </c>
      <c r="C191" s="10" t="inlineStr">
        <is>
          <t>TRILEMO ER 5-2.5-1000; TRILEMO ER 10-5-1000; TRILEMO ER 12.5-2.5-1000; TRILEMO ER 25-5-100  |  Metformin Hydrochloride, Empagliflozin (+1 more) [ER]</t>
        </is>
      </c>
      <c r="D191" s="10" t="inlineStr">
        <is>
          <t>Friability</t>
        </is>
      </c>
      <c r="E191" s="10">
        <f>IF(A191="","",A191&amp;"|"&amp;D191)</f>
        <v/>
      </c>
      <c r="F191" s="5" t="inlineStr">
        <is>
          <t>Y</t>
        </is>
      </c>
      <c r="G191" s="5" t="inlineStr">
        <is>
          <t>Friabilator</t>
        </is>
      </c>
      <c r="H191" s="5" t="inlineStr">
        <is>
          <t>Low</t>
        </is>
      </c>
      <c r="I191" s="5" t="n">
        <v>1</v>
      </c>
      <c r="J191" s="5" t="n"/>
      <c r="K191" s="10">
        <f>IFERROR(IF(INDEX('Test catalog'!$F$2:$F$200,MATCH($AB191,'Test catalog'!$A$2:$A$200,0))="","",INDEX('Test catalog'!$F$2:$F$200,MATCH($AB191,'Test catalog'!$A$2:$A$200,0))),"")</f>
        <v/>
      </c>
      <c r="L191" s="10">
        <f>IFERROR(IF(INDEX('Test catalog'!$G$2:$G$200,MATCH($AB191,'Test catalog'!$A$2:$A$200,0))="","",INDEX('Test catalog'!$G$2:$G$200,MATCH($AB191,'Test catalog'!$A$2:$A$200,0))),"")</f>
        <v/>
      </c>
      <c r="M191" s="10">
        <f>IFERROR(IF(INDEX('Test catalog'!$H$2:$H$200,MATCH($AB191,'Test catalog'!$A$2:$A$200,0))="","",INDEX('Test catalog'!$H$2:$H$200,MATCH($AB191,'Test catalog'!$A$2:$A$200,0))),"")</f>
        <v/>
      </c>
      <c r="N191" s="10">
        <f>IFERROR(IF(INDEX('Test catalog'!$I$2:$I$200,MATCH($AB191,'Test catalog'!$A$2:$A$200,0))="","",INDEX('Test catalog'!$I$2:$I$200,MATCH($AB191,'Test catalog'!$A$2:$A$200,0))),"")</f>
        <v/>
      </c>
      <c r="O191" s="10">
        <f>IFERROR(IF(INDEX('Test catalog'!$J$2:$J$200,MATCH($AB191,'Test catalog'!$A$2:$A$200,0))="","",INDEX('Test catalog'!$J$2:$J$200,MATCH($AB191,'Test catalog'!$A$2:$A$200,0))),"")</f>
        <v/>
      </c>
      <c r="P191" s="14">
        <f>IF(N191="","",IF(OR(M191="",O191=""),N191,(M191+4*N191+O191)/6))</f>
        <v/>
      </c>
      <c r="Q191" s="10">
        <f>IFERROR(IF(INDEX('Test catalog'!$K$2:$K$200,MATCH($AB191,'Test catalog'!$A$2:$A$200,0))="","",INDEX('Test catalog'!$K$2:$K$200,MATCH($AB191,'Test catalog'!$A$2:$A$200,0))),"")</f>
        <v/>
      </c>
      <c r="R191" s="5" t="n"/>
      <c r="S191" s="10">
        <f>IFERROR(IF(INDEX('Test catalog'!$L$2:$L$200,MATCH($AB191,'Test catalog'!$A$2:$A$200,0))="","",INDEX('Test catalog'!$L$2:$L$200,MATCH($AB191,'Test catalog'!$A$2:$A$200,0))),"")</f>
        <v/>
      </c>
      <c r="T191" s="10">
        <f>IFERROR(IF(INDEX('Test catalog'!$M$2:$M$200,MATCH($AB191,'Test catalog'!$A$2:$A$200,0))="","",INDEX('Test catalog'!$M$2:$M$200,MATCH($AB191,'Test catalog'!$A$2:$A$200,0))),"")</f>
        <v/>
      </c>
      <c r="U191" s="10">
        <f>IFERROR(IF(INDEX('Test catalog'!$N$2:$N$200,MATCH($AB191,'Test catalog'!$A$2:$A$200,0))="","",INDEX('Test catalog'!$N$2:$N$200,MATCH($AB191,'Test catalog'!$A$2:$A$200,0))),"")</f>
        <v/>
      </c>
      <c r="V191" s="15" t="n"/>
      <c r="W191" s="5" t="inlineStr">
        <is>
          <t>N</t>
        </is>
      </c>
      <c r="X191" s="5" t="n"/>
      <c r="Y191" s="5" t="n"/>
      <c r="Z191" s="5" t="n"/>
      <c r="AA191" s="10">
        <f>IFERROR(IF(INDEX('Test catalog'!$O$2:$O$200,MATCH($AB191,'Test catalog'!$A$2:$A$200,0))="","",INDEX('Test catalog'!$O$2:$O$200,MATCH($AB191,'Test catalog'!$A$2:$A$200,0))),"")</f>
        <v/>
      </c>
      <c r="AB191" s="10" t="inlineStr">
        <is>
          <t>FRIAB</t>
        </is>
      </c>
    </row>
    <row r="192">
      <c r="A192" s="10" t="inlineStr">
        <is>
          <t>F26</t>
        </is>
      </c>
      <c r="B192" s="10" t="inlineStr">
        <is>
          <t>FP</t>
        </is>
      </c>
      <c r="C192" s="10" t="inlineStr">
        <is>
          <t>TRILEMO ER 5-2.5-1000; TRILEMO ER 10-5-1000; TRILEMO ER 12.5-2.5-1000; TRILEMO ER 25-5-100  |  Metformin Hydrochloride, Empagliflozin (+1 more) [ER]</t>
        </is>
      </c>
      <c r="D192" s="10" t="inlineStr">
        <is>
          <t>Disintegration</t>
        </is>
      </c>
      <c r="E192" s="10">
        <f>IF(A192="","",A192&amp;"|"&amp;D192)</f>
        <v/>
      </c>
      <c r="F192" s="5" t="inlineStr">
        <is>
          <t>Y</t>
        </is>
      </c>
      <c r="G192" s="5" t="inlineStr">
        <is>
          <t>Disintegration tester</t>
        </is>
      </c>
      <c r="H192" s="5" t="inlineStr">
        <is>
          <t>Low</t>
        </is>
      </c>
      <c r="I192" s="5" t="n">
        <v>1</v>
      </c>
      <c r="J192" s="5" t="n"/>
      <c r="K192" s="10">
        <f>IFERROR(IF(INDEX('Test catalog'!$F$2:$F$200,MATCH($AB192,'Test catalog'!$A$2:$A$200,0))="","",INDEX('Test catalog'!$F$2:$F$200,MATCH($AB192,'Test catalog'!$A$2:$A$200,0))),"")</f>
        <v/>
      </c>
      <c r="L192" s="10">
        <f>IFERROR(IF(INDEX('Test catalog'!$G$2:$G$200,MATCH($AB192,'Test catalog'!$A$2:$A$200,0))="","",INDEX('Test catalog'!$G$2:$G$200,MATCH($AB192,'Test catalog'!$A$2:$A$200,0))),"")</f>
        <v/>
      </c>
      <c r="M192" s="10">
        <f>IFERROR(IF(INDEX('Test catalog'!$H$2:$H$200,MATCH($AB192,'Test catalog'!$A$2:$A$200,0))="","",INDEX('Test catalog'!$H$2:$H$200,MATCH($AB192,'Test catalog'!$A$2:$A$200,0))),"")</f>
        <v/>
      </c>
      <c r="N192" s="10">
        <f>IFERROR(IF(INDEX('Test catalog'!$I$2:$I$200,MATCH($AB192,'Test catalog'!$A$2:$A$200,0))="","",INDEX('Test catalog'!$I$2:$I$200,MATCH($AB192,'Test catalog'!$A$2:$A$200,0))),"")</f>
        <v/>
      </c>
      <c r="O192" s="10">
        <f>IFERROR(IF(INDEX('Test catalog'!$J$2:$J$200,MATCH($AB192,'Test catalog'!$A$2:$A$200,0))="","",INDEX('Test catalog'!$J$2:$J$200,MATCH($AB192,'Test catalog'!$A$2:$A$200,0))),"")</f>
        <v/>
      </c>
      <c r="P192" s="14">
        <f>IF(N192="","",IF(OR(M192="",O192=""),N192,(M192+4*N192+O192)/6))</f>
        <v/>
      </c>
      <c r="Q192" s="10">
        <f>IFERROR(IF(INDEX('Test catalog'!$K$2:$K$200,MATCH($AB192,'Test catalog'!$A$2:$A$200,0))="","",INDEX('Test catalog'!$K$2:$K$200,MATCH($AB192,'Test catalog'!$A$2:$A$200,0))),"")</f>
        <v/>
      </c>
      <c r="R192" s="5" t="n"/>
      <c r="S192" s="10">
        <f>IFERROR(IF(INDEX('Test catalog'!$L$2:$L$200,MATCH($AB192,'Test catalog'!$A$2:$A$200,0))="","",INDEX('Test catalog'!$L$2:$L$200,MATCH($AB192,'Test catalog'!$A$2:$A$200,0))),"")</f>
        <v/>
      </c>
      <c r="T192" s="10">
        <f>IFERROR(IF(INDEX('Test catalog'!$M$2:$M$200,MATCH($AB192,'Test catalog'!$A$2:$A$200,0))="","",INDEX('Test catalog'!$M$2:$M$200,MATCH($AB192,'Test catalog'!$A$2:$A$200,0))),"")</f>
        <v/>
      </c>
      <c r="U192" s="10">
        <f>IFERROR(IF(INDEX('Test catalog'!$N$2:$N$200,MATCH($AB192,'Test catalog'!$A$2:$A$200,0))="","",INDEX('Test catalog'!$N$2:$N$200,MATCH($AB192,'Test catalog'!$A$2:$A$200,0))),"")</f>
        <v/>
      </c>
      <c r="V192" s="15" t="n"/>
      <c r="W192" s="5" t="inlineStr">
        <is>
          <t>Y</t>
        </is>
      </c>
      <c r="X192" s="5" t="n"/>
      <c r="Y192" s="5" t="n"/>
      <c r="Z192" s="5" t="n"/>
      <c r="AA192" s="10">
        <f>IFERROR(IF(INDEX('Test catalog'!$O$2:$O$200,MATCH($AB192,'Test catalog'!$A$2:$A$200,0))="","",INDEX('Test catalog'!$O$2:$O$200,MATCH($AB192,'Test catalog'!$A$2:$A$200,0))),"")</f>
        <v/>
      </c>
      <c r="AB192" s="10" t="inlineStr">
        <is>
          <t>DISINT</t>
        </is>
      </c>
    </row>
    <row r="193">
      <c r="A193" s="10" t="inlineStr">
        <is>
          <t>F26</t>
        </is>
      </c>
      <c r="B193" s="10" t="inlineStr">
        <is>
          <t>FP</t>
        </is>
      </c>
      <c r="C193" s="10" t="inlineStr">
        <is>
          <t>TRILEMO ER 5-2.5-1000; TRILEMO ER 10-5-1000; TRILEMO ER 12.5-2.5-1000; TRILEMO ER 25-5-100  |  Metformin Hydrochloride, Empagliflozin (+1 more) [ER]</t>
        </is>
      </c>
      <c r="D193" s="10" t="inlineStr">
        <is>
          <t>In-process check at the machine (one check, all its tests)</t>
        </is>
      </c>
      <c r="E193" s="10">
        <f>IF(A193="","",A193&amp;"|"&amp;D193)</f>
        <v/>
      </c>
      <c r="F193" s="5" t="inlineStr">
        <is>
          <t>Y</t>
        </is>
      </c>
      <c r="G193" s="5" t="inlineStr">
        <is>
          <t>Tablet tester</t>
        </is>
      </c>
      <c r="H193" s="5" t="inlineStr">
        <is>
          <t>Low</t>
        </is>
      </c>
      <c r="I193" s="5" t="n">
        <v>1</v>
      </c>
      <c r="J193" s="5" t="n"/>
      <c r="K193" s="10">
        <f>IFERROR(IF(INDEX('Test catalog'!$F$2:$F$200,MATCH($AB193,'Test catalog'!$A$2:$A$200,0))="","",INDEX('Test catalog'!$F$2:$F$200,MATCH($AB193,'Test catalog'!$A$2:$A$200,0))),"")</f>
        <v/>
      </c>
      <c r="L193" s="10">
        <f>IFERROR(IF(INDEX('Test catalog'!$G$2:$G$200,MATCH($AB193,'Test catalog'!$A$2:$A$200,0))="","",INDEX('Test catalog'!$G$2:$G$200,MATCH($AB193,'Test catalog'!$A$2:$A$200,0))),"")</f>
        <v/>
      </c>
      <c r="M193" s="10">
        <f>IFERROR(IF(INDEX('Test catalog'!$H$2:$H$200,MATCH($AB193,'Test catalog'!$A$2:$A$200,0))="","",INDEX('Test catalog'!$H$2:$H$200,MATCH($AB193,'Test catalog'!$A$2:$A$200,0))),"")</f>
        <v/>
      </c>
      <c r="N193" s="10">
        <f>IFERROR(IF(INDEX('Test catalog'!$I$2:$I$200,MATCH($AB193,'Test catalog'!$A$2:$A$200,0))="","",INDEX('Test catalog'!$I$2:$I$200,MATCH($AB193,'Test catalog'!$A$2:$A$200,0))),"")</f>
        <v/>
      </c>
      <c r="O193" s="10">
        <f>IFERROR(IF(INDEX('Test catalog'!$J$2:$J$200,MATCH($AB193,'Test catalog'!$A$2:$A$200,0))="","",INDEX('Test catalog'!$J$2:$J$200,MATCH($AB193,'Test catalog'!$A$2:$A$200,0))),"")</f>
        <v/>
      </c>
      <c r="P193" s="14">
        <f>IF(N193="","",IF(OR(M193="",O193=""),N193,(M193+4*N193+O193)/6))</f>
        <v/>
      </c>
      <c r="Q193" s="10">
        <f>IFERROR(IF(INDEX('Test catalog'!$K$2:$K$200,MATCH($AB193,'Test catalog'!$A$2:$A$200,0))="","",INDEX('Test catalog'!$K$2:$K$200,MATCH($AB193,'Test catalog'!$A$2:$A$200,0))),"")</f>
        <v/>
      </c>
      <c r="R193" s="5" t="n"/>
      <c r="S193" s="10">
        <f>IFERROR(IF(INDEX('Test catalog'!$L$2:$L$200,MATCH($AB193,'Test catalog'!$A$2:$A$200,0))="","",INDEX('Test catalog'!$L$2:$L$200,MATCH($AB193,'Test catalog'!$A$2:$A$200,0))),"")</f>
        <v/>
      </c>
      <c r="T193" s="10">
        <f>IFERROR(IF(INDEX('Test catalog'!$M$2:$M$200,MATCH($AB193,'Test catalog'!$A$2:$A$200,0))="","",INDEX('Test catalog'!$M$2:$M$200,MATCH($AB193,'Test catalog'!$A$2:$A$200,0))),"")</f>
        <v/>
      </c>
      <c r="U193" s="10">
        <f>IFERROR(IF(INDEX('Test catalog'!$N$2:$N$200,MATCH($AB193,'Test catalog'!$A$2:$A$200,0))="","",INDEX('Test catalog'!$N$2:$N$200,MATCH($AB193,'Test catalog'!$A$2:$A$200,0))),"")</f>
        <v/>
      </c>
      <c r="V193" s="15" t="n"/>
      <c r="W193" s="5" t="inlineStr">
        <is>
          <t>N</t>
        </is>
      </c>
      <c r="X193" s="5" t="n"/>
      <c r="Y193" s="5" t="n"/>
      <c r="Z193" s="5" t="n"/>
      <c r="AA193" s="10">
        <f>IFERROR(IF(INDEX('Test catalog'!$O$2:$O$200,MATCH($AB193,'Test catalog'!$A$2:$A$200,0))="","",INDEX('Test catalog'!$O$2:$O$200,MATCH($AB193,'Test catalog'!$A$2:$A$200,0))),"")</f>
        <v/>
      </c>
      <c r="AB193" s="10" t="inlineStr">
        <is>
          <t>IPC</t>
        </is>
      </c>
    </row>
    <row r="194">
      <c r="A194" s="10" t="inlineStr">
        <is>
          <t>F27</t>
        </is>
      </c>
      <c r="B194" s="10" t="inlineStr">
        <is>
          <t>FP</t>
        </is>
      </c>
      <c r="C194" s="10" t="inlineStr">
        <is>
          <t>Emet-Duo 5/1000 ER; Emet-Duo 10/1000 ER; Emet-Duo 12.5/1000 ER; Emet-Duo 25/1000 ER  |  Metformin Hydrochloride, Empagliflozin [ER]</t>
        </is>
      </c>
      <c r="D194" s="10" t="inlineStr">
        <is>
          <t>Average weight / uniformity of mass</t>
        </is>
      </c>
      <c r="E194" s="10">
        <f>IF(A194="","",A194&amp;"|"&amp;D194)</f>
        <v/>
      </c>
      <c r="F194" s="5" t="inlineStr">
        <is>
          <t>Y</t>
        </is>
      </c>
      <c r="G194" s="5" t="inlineStr">
        <is>
          <t>Balance</t>
        </is>
      </c>
      <c r="H194" s="5" t="inlineStr">
        <is>
          <t>Low</t>
        </is>
      </c>
      <c r="I194" s="5" t="n">
        <v>1</v>
      </c>
      <c r="J194" s="5" t="n"/>
      <c r="K194" s="10">
        <f>IFERROR(IF(INDEX('Test catalog'!$F$2:$F$200,MATCH($AB194,'Test catalog'!$A$2:$A$200,0))="","",INDEX('Test catalog'!$F$2:$F$200,MATCH($AB194,'Test catalog'!$A$2:$A$200,0))),"")</f>
        <v/>
      </c>
      <c r="L194" s="10">
        <f>IFERROR(IF(INDEX('Test catalog'!$G$2:$G$200,MATCH($AB194,'Test catalog'!$A$2:$A$200,0))="","",INDEX('Test catalog'!$G$2:$G$200,MATCH($AB194,'Test catalog'!$A$2:$A$200,0))),"")</f>
        <v/>
      </c>
      <c r="M194" s="10">
        <f>IFERROR(IF(INDEX('Test catalog'!$H$2:$H$200,MATCH($AB194,'Test catalog'!$A$2:$A$200,0))="","",INDEX('Test catalog'!$H$2:$H$200,MATCH($AB194,'Test catalog'!$A$2:$A$200,0))),"")</f>
        <v/>
      </c>
      <c r="N194" s="10">
        <f>IFERROR(IF(INDEX('Test catalog'!$I$2:$I$200,MATCH($AB194,'Test catalog'!$A$2:$A$200,0))="","",INDEX('Test catalog'!$I$2:$I$200,MATCH($AB194,'Test catalog'!$A$2:$A$200,0))),"")</f>
        <v/>
      </c>
      <c r="O194" s="10">
        <f>IFERROR(IF(INDEX('Test catalog'!$J$2:$J$200,MATCH($AB194,'Test catalog'!$A$2:$A$200,0))="","",INDEX('Test catalog'!$J$2:$J$200,MATCH($AB194,'Test catalog'!$A$2:$A$200,0))),"")</f>
        <v/>
      </c>
      <c r="P194" s="14">
        <f>IF(N194="","",IF(OR(M194="",O194=""),N194,(M194+4*N194+O194)/6))</f>
        <v/>
      </c>
      <c r="Q194" s="10">
        <f>IFERROR(IF(INDEX('Test catalog'!$K$2:$K$200,MATCH($AB194,'Test catalog'!$A$2:$A$200,0))="","",INDEX('Test catalog'!$K$2:$K$200,MATCH($AB194,'Test catalog'!$A$2:$A$200,0))),"")</f>
        <v/>
      </c>
      <c r="R194" s="5" t="n"/>
      <c r="S194" s="10">
        <f>IFERROR(IF(INDEX('Test catalog'!$L$2:$L$200,MATCH($AB194,'Test catalog'!$A$2:$A$200,0))="","",INDEX('Test catalog'!$L$2:$L$200,MATCH($AB194,'Test catalog'!$A$2:$A$200,0))),"")</f>
        <v/>
      </c>
      <c r="T194" s="10">
        <f>IFERROR(IF(INDEX('Test catalog'!$M$2:$M$200,MATCH($AB194,'Test catalog'!$A$2:$A$200,0))="","",INDEX('Test catalog'!$M$2:$M$200,MATCH($AB194,'Test catalog'!$A$2:$A$200,0))),"")</f>
        <v/>
      </c>
      <c r="U194" s="10">
        <f>IFERROR(IF(INDEX('Test catalog'!$N$2:$N$200,MATCH($AB194,'Test catalog'!$A$2:$A$200,0))="","",INDEX('Test catalog'!$N$2:$N$200,MATCH($AB194,'Test catalog'!$A$2:$A$200,0))),"")</f>
        <v/>
      </c>
      <c r="V194" s="15" t="n"/>
      <c r="W194" s="5" t="inlineStr">
        <is>
          <t>N</t>
        </is>
      </c>
      <c r="X194" s="5" t="n"/>
      <c r="Y194" s="5" t="n"/>
      <c r="Z194" s="5" t="n"/>
      <c r="AA194" s="10">
        <f>IFERROR(IF(INDEX('Test catalog'!$O$2:$O$200,MATCH($AB194,'Test catalog'!$A$2:$A$200,0))="","",INDEX('Test catalog'!$O$2:$O$200,MATCH($AB194,'Test catalog'!$A$2:$A$200,0))),"")</f>
        <v/>
      </c>
      <c r="AB194" s="10" t="inlineStr">
        <is>
          <t>AVG_WT</t>
        </is>
      </c>
    </row>
    <row r="195">
      <c r="A195" s="10" t="inlineStr">
        <is>
          <t>F27</t>
        </is>
      </c>
      <c r="B195" s="10" t="inlineStr">
        <is>
          <t>FP</t>
        </is>
      </c>
      <c r="C195" s="10" t="inlineStr">
        <is>
          <t>Emet-Duo 5/1000 ER; Emet-Duo 10/1000 ER; Emet-Duo 12.5/1000 ER; Emet-Duo 25/1000 ER  |  Metformin Hydrochloride, Empagliflozin [ER]</t>
        </is>
      </c>
      <c r="D195" s="10" t="inlineStr">
        <is>
          <t>Diameter (or length / width)</t>
        </is>
      </c>
      <c r="E195" s="10">
        <f>IF(A195="","",A195&amp;"|"&amp;D195)</f>
        <v/>
      </c>
      <c r="F195" s="5" t="inlineStr">
        <is>
          <t>Y</t>
        </is>
      </c>
      <c r="G195" s="5" t="inlineStr">
        <is>
          <t>Tablet tester</t>
        </is>
      </c>
      <c r="H195" s="5" t="inlineStr">
        <is>
          <t>Low</t>
        </is>
      </c>
      <c r="I195" s="5" t="n">
        <v>1</v>
      </c>
      <c r="J195" s="5" t="n"/>
      <c r="K195" s="10">
        <f>IFERROR(IF(INDEX('Test catalog'!$F$2:$F$200,MATCH($AB195,'Test catalog'!$A$2:$A$200,0))="","",INDEX('Test catalog'!$F$2:$F$200,MATCH($AB195,'Test catalog'!$A$2:$A$200,0))),"")</f>
        <v/>
      </c>
      <c r="L195" s="10">
        <f>IFERROR(IF(INDEX('Test catalog'!$G$2:$G$200,MATCH($AB195,'Test catalog'!$A$2:$A$200,0))="","",INDEX('Test catalog'!$G$2:$G$200,MATCH($AB195,'Test catalog'!$A$2:$A$200,0))),"")</f>
        <v/>
      </c>
      <c r="M195" s="10">
        <f>IFERROR(IF(INDEX('Test catalog'!$H$2:$H$200,MATCH($AB195,'Test catalog'!$A$2:$A$200,0))="","",INDEX('Test catalog'!$H$2:$H$200,MATCH($AB195,'Test catalog'!$A$2:$A$200,0))),"")</f>
        <v/>
      </c>
      <c r="N195" s="10">
        <f>IFERROR(IF(INDEX('Test catalog'!$I$2:$I$200,MATCH($AB195,'Test catalog'!$A$2:$A$200,0))="","",INDEX('Test catalog'!$I$2:$I$200,MATCH($AB195,'Test catalog'!$A$2:$A$200,0))),"")</f>
        <v/>
      </c>
      <c r="O195" s="10">
        <f>IFERROR(IF(INDEX('Test catalog'!$J$2:$J$200,MATCH($AB195,'Test catalog'!$A$2:$A$200,0))="","",INDEX('Test catalog'!$J$2:$J$200,MATCH($AB195,'Test catalog'!$A$2:$A$200,0))),"")</f>
        <v/>
      </c>
      <c r="P195" s="14">
        <f>IF(N195="","",IF(OR(M195="",O195=""),N195,(M195+4*N195+O195)/6))</f>
        <v/>
      </c>
      <c r="Q195" s="10">
        <f>IFERROR(IF(INDEX('Test catalog'!$K$2:$K$200,MATCH($AB195,'Test catalog'!$A$2:$A$200,0))="","",INDEX('Test catalog'!$K$2:$K$200,MATCH($AB195,'Test catalog'!$A$2:$A$200,0))),"")</f>
        <v/>
      </c>
      <c r="R195" s="5" t="n"/>
      <c r="S195" s="10">
        <f>IFERROR(IF(INDEX('Test catalog'!$L$2:$L$200,MATCH($AB195,'Test catalog'!$A$2:$A$200,0))="","",INDEX('Test catalog'!$L$2:$L$200,MATCH($AB195,'Test catalog'!$A$2:$A$200,0))),"")</f>
        <v/>
      </c>
      <c r="T195" s="10">
        <f>IFERROR(IF(INDEX('Test catalog'!$M$2:$M$200,MATCH($AB195,'Test catalog'!$A$2:$A$200,0))="","",INDEX('Test catalog'!$M$2:$M$200,MATCH($AB195,'Test catalog'!$A$2:$A$200,0))),"")</f>
        <v/>
      </c>
      <c r="U195" s="10">
        <f>IFERROR(IF(INDEX('Test catalog'!$N$2:$N$200,MATCH($AB195,'Test catalog'!$A$2:$A$200,0))="","",INDEX('Test catalog'!$N$2:$N$200,MATCH($AB195,'Test catalog'!$A$2:$A$200,0))),"")</f>
        <v/>
      </c>
      <c r="V195" s="15" t="n"/>
      <c r="W195" s="5" t="inlineStr">
        <is>
          <t>N</t>
        </is>
      </c>
      <c r="X195" s="5" t="n"/>
      <c r="Y195" s="5" t="n"/>
      <c r="Z195" s="5" t="n"/>
      <c r="AA195" s="10">
        <f>IFERROR(IF(INDEX('Test catalog'!$O$2:$O$200,MATCH($AB195,'Test catalog'!$A$2:$A$200,0))="","",INDEX('Test catalog'!$O$2:$O$200,MATCH($AB195,'Test catalog'!$A$2:$A$200,0))),"")</f>
        <v/>
      </c>
      <c r="AB195" s="10" t="inlineStr">
        <is>
          <t>DIAM</t>
        </is>
      </c>
    </row>
    <row r="196">
      <c r="A196" s="10" t="inlineStr">
        <is>
          <t>F27</t>
        </is>
      </c>
      <c r="B196" s="10" t="inlineStr">
        <is>
          <t>FP</t>
        </is>
      </c>
      <c r="C196" s="10" t="inlineStr">
        <is>
          <t>Emet-Duo 5/1000 ER; Emet-Duo 10/1000 ER; Emet-Duo 12.5/1000 ER; Emet-Duo 25/1000 ER  |  Metformin Hydrochloride, Empagliflozin [ER]</t>
        </is>
      </c>
      <c r="D196" s="10" t="inlineStr">
        <is>
          <t>Thickness</t>
        </is>
      </c>
      <c r="E196" s="10">
        <f>IF(A196="","",A196&amp;"|"&amp;D196)</f>
        <v/>
      </c>
      <c r="F196" s="5" t="inlineStr">
        <is>
          <t>Y</t>
        </is>
      </c>
      <c r="G196" s="5" t="inlineStr">
        <is>
          <t>Tablet tester</t>
        </is>
      </c>
      <c r="H196" s="5" t="inlineStr">
        <is>
          <t>Low</t>
        </is>
      </c>
      <c r="I196" s="5" t="n">
        <v>1</v>
      </c>
      <c r="J196" s="5" t="n"/>
      <c r="K196" s="10">
        <f>IFERROR(IF(INDEX('Test catalog'!$F$2:$F$200,MATCH($AB196,'Test catalog'!$A$2:$A$200,0))="","",INDEX('Test catalog'!$F$2:$F$200,MATCH($AB196,'Test catalog'!$A$2:$A$200,0))),"")</f>
        <v/>
      </c>
      <c r="L196" s="10">
        <f>IFERROR(IF(INDEX('Test catalog'!$G$2:$G$200,MATCH($AB196,'Test catalog'!$A$2:$A$200,0))="","",INDEX('Test catalog'!$G$2:$G$200,MATCH($AB196,'Test catalog'!$A$2:$A$200,0))),"")</f>
        <v/>
      </c>
      <c r="M196" s="10">
        <f>IFERROR(IF(INDEX('Test catalog'!$H$2:$H$200,MATCH($AB196,'Test catalog'!$A$2:$A$200,0))="","",INDEX('Test catalog'!$H$2:$H$200,MATCH($AB196,'Test catalog'!$A$2:$A$200,0))),"")</f>
        <v/>
      </c>
      <c r="N196" s="10">
        <f>IFERROR(IF(INDEX('Test catalog'!$I$2:$I$200,MATCH($AB196,'Test catalog'!$A$2:$A$200,0))="","",INDEX('Test catalog'!$I$2:$I$200,MATCH($AB196,'Test catalog'!$A$2:$A$200,0))),"")</f>
        <v/>
      </c>
      <c r="O196" s="10">
        <f>IFERROR(IF(INDEX('Test catalog'!$J$2:$J$200,MATCH($AB196,'Test catalog'!$A$2:$A$200,0))="","",INDEX('Test catalog'!$J$2:$J$200,MATCH($AB196,'Test catalog'!$A$2:$A$200,0))),"")</f>
        <v/>
      </c>
      <c r="P196" s="14">
        <f>IF(N196="","",IF(OR(M196="",O196=""),N196,(M196+4*N196+O196)/6))</f>
        <v/>
      </c>
      <c r="Q196" s="10">
        <f>IFERROR(IF(INDEX('Test catalog'!$K$2:$K$200,MATCH($AB196,'Test catalog'!$A$2:$A$200,0))="","",INDEX('Test catalog'!$K$2:$K$200,MATCH($AB196,'Test catalog'!$A$2:$A$200,0))),"")</f>
        <v/>
      </c>
      <c r="R196" s="5" t="n"/>
      <c r="S196" s="10">
        <f>IFERROR(IF(INDEX('Test catalog'!$L$2:$L$200,MATCH($AB196,'Test catalog'!$A$2:$A$200,0))="","",INDEX('Test catalog'!$L$2:$L$200,MATCH($AB196,'Test catalog'!$A$2:$A$200,0))),"")</f>
        <v/>
      </c>
      <c r="T196" s="10">
        <f>IFERROR(IF(INDEX('Test catalog'!$M$2:$M$200,MATCH($AB196,'Test catalog'!$A$2:$A$200,0))="","",INDEX('Test catalog'!$M$2:$M$200,MATCH($AB196,'Test catalog'!$A$2:$A$200,0))),"")</f>
        <v/>
      </c>
      <c r="U196" s="10">
        <f>IFERROR(IF(INDEX('Test catalog'!$N$2:$N$200,MATCH($AB196,'Test catalog'!$A$2:$A$200,0))="","",INDEX('Test catalog'!$N$2:$N$200,MATCH($AB196,'Test catalog'!$A$2:$A$200,0))),"")</f>
        <v/>
      </c>
      <c r="V196" s="15" t="n"/>
      <c r="W196" s="5" t="inlineStr">
        <is>
          <t>N</t>
        </is>
      </c>
      <c r="X196" s="5" t="n"/>
      <c r="Y196" s="5" t="n"/>
      <c r="Z196" s="5" t="n"/>
      <c r="AA196" s="10">
        <f>IFERROR(IF(INDEX('Test catalog'!$O$2:$O$200,MATCH($AB196,'Test catalog'!$A$2:$A$200,0))="","",INDEX('Test catalog'!$O$2:$O$200,MATCH($AB196,'Test catalog'!$A$2:$A$200,0))),"")</f>
        <v/>
      </c>
      <c r="AB196" s="10" t="inlineStr">
        <is>
          <t>THICK</t>
        </is>
      </c>
    </row>
    <row r="197">
      <c r="A197" s="10" t="inlineStr">
        <is>
          <t>F27</t>
        </is>
      </c>
      <c r="B197" s="10" t="inlineStr">
        <is>
          <t>FP</t>
        </is>
      </c>
      <c r="C197" s="10" t="inlineStr">
        <is>
          <t>Emet-Duo 5/1000 ER; Emet-Duo 10/1000 ER; Emet-Duo 12.5/1000 ER; Emet-Duo 25/1000 ER  |  Metformin Hydrochloride, Empagliflozin [ER]</t>
        </is>
      </c>
      <c r="D197" s="10" t="inlineStr">
        <is>
          <t>Hardness / breaking force</t>
        </is>
      </c>
      <c r="E197" s="10">
        <f>IF(A197="","",A197&amp;"|"&amp;D197)</f>
        <v/>
      </c>
      <c r="F197" s="5" t="inlineStr">
        <is>
          <t>Y</t>
        </is>
      </c>
      <c r="G197" s="5" t="inlineStr">
        <is>
          <t>Tablet tester</t>
        </is>
      </c>
      <c r="H197" s="5" t="inlineStr">
        <is>
          <t>Low</t>
        </is>
      </c>
      <c r="I197" s="5" t="n">
        <v>1</v>
      </c>
      <c r="J197" s="5" t="n"/>
      <c r="K197" s="10">
        <f>IFERROR(IF(INDEX('Test catalog'!$F$2:$F$200,MATCH($AB197,'Test catalog'!$A$2:$A$200,0))="","",INDEX('Test catalog'!$F$2:$F$200,MATCH($AB197,'Test catalog'!$A$2:$A$200,0))),"")</f>
        <v/>
      </c>
      <c r="L197" s="10">
        <f>IFERROR(IF(INDEX('Test catalog'!$G$2:$G$200,MATCH($AB197,'Test catalog'!$A$2:$A$200,0))="","",INDEX('Test catalog'!$G$2:$G$200,MATCH($AB197,'Test catalog'!$A$2:$A$200,0))),"")</f>
        <v/>
      </c>
      <c r="M197" s="10">
        <f>IFERROR(IF(INDEX('Test catalog'!$H$2:$H$200,MATCH($AB197,'Test catalog'!$A$2:$A$200,0))="","",INDEX('Test catalog'!$H$2:$H$200,MATCH($AB197,'Test catalog'!$A$2:$A$200,0))),"")</f>
        <v/>
      </c>
      <c r="N197" s="10">
        <f>IFERROR(IF(INDEX('Test catalog'!$I$2:$I$200,MATCH($AB197,'Test catalog'!$A$2:$A$200,0))="","",INDEX('Test catalog'!$I$2:$I$200,MATCH($AB197,'Test catalog'!$A$2:$A$200,0))),"")</f>
        <v/>
      </c>
      <c r="O197" s="10">
        <f>IFERROR(IF(INDEX('Test catalog'!$J$2:$J$200,MATCH($AB197,'Test catalog'!$A$2:$A$200,0))="","",INDEX('Test catalog'!$J$2:$J$200,MATCH($AB197,'Test catalog'!$A$2:$A$200,0))),"")</f>
        <v/>
      </c>
      <c r="P197" s="14">
        <f>IF(N197="","",IF(OR(M197="",O197=""),N197,(M197+4*N197+O197)/6))</f>
        <v/>
      </c>
      <c r="Q197" s="10">
        <f>IFERROR(IF(INDEX('Test catalog'!$K$2:$K$200,MATCH($AB197,'Test catalog'!$A$2:$A$200,0))="","",INDEX('Test catalog'!$K$2:$K$200,MATCH($AB197,'Test catalog'!$A$2:$A$200,0))),"")</f>
        <v/>
      </c>
      <c r="R197" s="5" t="n"/>
      <c r="S197" s="10">
        <f>IFERROR(IF(INDEX('Test catalog'!$L$2:$L$200,MATCH($AB197,'Test catalog'!$A$2:$A$200,0))="","",INDEX('Test catalog'!$L$2:$L$200,MATCH($AB197,'Test catalog'!$A$2:$A$200,0))),"")</f>
        <v/>
      </c>
      <c r="T197" s="10">
        <f>IFERROR(IF(INDEX('Test catalog'!$M$2:$M$200,MATCH($AB197,'Test catalog'!$A$2:$A$200,0))="","",INDEX('Test catalog'!$M$2:$M$200,MATCH($AB197,'Test catalog'!$A$2:$A$200,0))),"")</f>
        <v/>
      </c>
      <c r="U197" s="10">
        <f>IFERROR(IF(INDEX('Test catalog'!$N$2:$N$200,MATCH($AB197,'Test catalog'!$A$2:$A$200,0))="","",INDEX('Test catalog'!$N$2:$N$200,MATCH($AB197,'Test catalog'!$A$2:$A$200,0))),"")</f>
        <v/>
      </c>
      <c r="V197" s="15" t="n"/>
      <c r="W197" s="5" t="inlineStr">
        <is>
          <t>Y</t>
        </is>
      </c>
      <c r="X197" s="5" t="n"/>
      <c r="Y197" s="5" t="n"/>
      <c r="Z197" s="5" t="n"/>
      <c r="AA197" s="10">
        <f>IFERROR(IF(INDEX('Test catalog'!$O$2:$O$200,MATCH($AB197,'Test catalog'!$A$2:$A$200,0))="","",INDEX('Test catalog'!$O$2:$O$200,MATCH($AB197,'Test catalog'!$A$2:$A$200,0))),"")</f>
        <v/>
      </c>
      <c r="AB197" s="10" t="inlineStr">
        <is>
          <t>HARD</t>
        </is>
      </c>
    </row>
    <row r="198">
      <c r="A198" s="10" t="inlineStr">
        <is>
          <t>F27</t>
        </is>
      </c>
      <c r="B198" s="10" t="inlineStr">
        <is>
          <t>FP</t>
        </is>
      </c>
      <c r="C198" s="10" t="inlineStr">
        <is>
          <t>Emet-Duo 5/1000 ER; Emet-Duo 10/1000 ER; Emet-Duo 12.5/1000 ER; Emet-Duo 25/1000 ER  |  Metformin Hydrochloride, Empagliflozin [ER]</t>
        </is>
      </c>
      <c r="D198" s="10" t="inlineStr">
        <is>
          <t>Brittleness</t>
        </is>
      </c>
      <c r="E198" s="10">
        <f>IF(A198="","",A198&amp;"|"&amp;D198)</f>
        <v/>
      </c>
      <c r="F198" s="5" t="inlineStr">
        <is>
          <t>Y</t>
        </is>
      </c>
      <c r="G198" s="5" t="inlineStr">
        <is>
          <t>Other / bench</t>
        </is>
      </c>
      <c r="H198" s="5" t="inlineStr">
        <is>
          <t>Low</t>
        </is>
      </c>
      <c r="I198" s="5" t="n">
        <v>1</v>
      </c>
      <c r="J198" s="5" t="n"/>
      <c r="K198" s="10">
        <f>IFERROR(IF(INDEX('Test catalog'!$F$2:$F$200,MATCH($AB198,'Test catalog'!$A$2:$A$200,0))="","",INDEX('Test catalog'!$F$2:$F$200,MATCH($AB198,'Test catalog'!$A$2:$A$200,0))),"")</f>
        <v/>
      </c>
      <c r="L198" s="10">
        <f>IFERROR(IF(INDEX('Test catalog'!$G$2:$G$200,MATCH($AB198,'Test catalog'!$A$2:$A$200,0))="","",INDEX('Test catalog'!$G$2:$G$200,MATCH($AB198,'Test catalog'!$A$2:$A$200,0))),"")</f>
        <v/>
      </c>
      <c r="M198" s="10">
        <f>IFERROR(IF(INDEX('Test catalog'!$H$2:$H$200,MATCH($AB198,'Test catalog'!$A$2:$A$200,0))="","",INDEX('Test catalog'!$H$2:$H$200,MATCH($AB198,'Test catalog'!$A$2:$A$200,0))),"")</f>
        <v/>
      </c>
      <c r="N198" s="10">
        <f>IFERROR(IF(INDEX('Test catalog'!$I$2:$I$200,MATCH($AB198,'Test catalog'!$A$2:$A$200,0))="","",INDEX('Test catalog'!$I$2:$I$200,MATCH($AB198,'Test catalog'!$A$2:$A$200,0))),"")</f>
        <v/>
      </c>
      <c r="O198" s="10">
        <f>IFERROR(IF(INDEX('Test catalog'!$J$2:$J$200,MATCH($AB198,'Test catalog'!$A$2:$A$200,0))="","",INDEX('Test catalog'!$J$2:$J$200,MATCH($AB198,'Test catalog'!$A$2:$A$200,0))),"")</f>
        <v/>
      </c>
      <c r="P198" s="14">
        <f>IF(N198="","",IF(OR(M198="",O198=""),N198,(M198+4*N198+O198)/6))</f>
        <v/>
      </c>
      <c r="Q198" s="10">
        <f>IFERROR(IF(INDEX('Test catalog'!$K$2:$K$200,MATCH($AB198,'Test catalog'!$A$2:$A$200,0))="","",INDEX('Test catalog'!$K$2:$K$200,MATCH($AB198,'Test catalog'!$A$2:$A$200,0))),"")</f>
        <v/>
      </c>
      <c r="R198" s="5" t="n"/>
      <c r="S198" s="10">
        <f>IFERROR(IF(INDEX('Test catalog'!$L$2:$L$200,MATCH($AB198,'Test catalog'!$A$2:$A$200,0))="","",INDEX('Test catalog'!$L$2:$L$200,MATCH($AB198,'Test catalog'!$A$2:$A$200,0))),"")</f>
        <v/>
      </c>
      <c r="T198" s="10">
        <f>IFERROR(IF(INDEX('Test catalog'!$M$2:$M$200,MATCH($AB198,'Test catalog'!$A$2:$A$200,0))="","",INDEX('Test catalog'!$M$2:$M$200,MATCH($AB198,'Test catalog'!$A$2:$A$200,0))),"")</f>
        <v/>
      </c>
      <c r="U198" s="10">
        <f>IFERROR(IF(INDEX('Test catalog'!$N$2:$N$200,MATCH($AB198,'Test catalog'!$A$2:$A$200,0))="","",INDEX('Test catalog'!$N$2:$N$200,MATCH($AB198,'Test catalog'!$A$2:$A$200,0))),"")</f>
        <v/>
      </c>
      <c r="V198" s="15" t="n"/>
      <c r="W198" s="5" t="inlineStr">
        <is>
          <t>N</t>
        </is>
      </c>
      <c r="X198" s="5" t="n"/>
      <c r="Y198" s="5" t="n"/>
      <c r="Z198" s="5" t="n"/>
      <c r="AA198" s="10">
        <f>IFERROR(IF(INDEX('Test catalog'!$O$2:$O$200,MATCH($AB198,'Test catalog'!$A$2:$A$200,0))="","",INDEX('Test catalog'!$O$2:$O$200,MATCH($AB198,'Test catalog'!$A$2:$A$200,0))),"")</f>
        <v/>
      </c>
      <c r="AB198" s="10" t="inlineStr">
        <is>
          <t>BRITTLE</t>
        </is>
      </c>
    </row>
    <row r="199">
      <c r="A199" s="10" t="inlineStr">
        <is>
          <t>F27</t>
        </is>
      </c>
      <c r="B199" s="10" t="inlineStr">
        <is>
          <t>FP</t>
        </is>
      </c>
      <c r="C199" s="10" t="inlineStr">
        <is>
          <t>Emet-Duo 5/1000 ER; Emet-Duo 10/1000 ER; Emet-Duo 12.5/1000 ER; Emet-Duo 25/1000 ER  |  Metformin Hydrochloride, Empagliflozin [ER]</t>
        </is>
      </c>
      <c r="D199" s="10" t="inlineStr">
        <is>
          <t>Friability</t>
        </is>
      </c>
      <c r="E199" s="10">
        <f>IF(A199="","",A199&amp;"|"&amp;D199)</f>
        <v/>
      </c>
      <c r="F199" s="5" t="inlineStr">
        <is>
          <t>Y</t>
        </is>
      </c>
      <c r="G199" s="5" t="inlineStr">
        <is>
          <t>Friabilator</t>
        </is>
      </c>
      <c r="H199" s="5" t="inlineStr">
        <is>
          <t>Low</t>
        </is>
      </c>
      <c r="I199" s="5" t="n">
        <v>1</v>
      </c>
      <c r="J199" s="5" t="n"/>
      <c r="K199" s="10">
        <f>IFERROR(IF(INDEX('Test catalog'!$F$2:$F$200,MATCH($AB199,'Test catalog'!$A$2:$A$200,0))="","",INDEX('Test catalog'!$F$2:$F$200,MATCH($AB199,'Test catalog'!$A$2:$A$200,0))),"")</f>
        <v/>
      </c>
      <c r="L199" s="10">
        <f>IFERROR(IF(INDEX('Test catalog'!$G$2:$G$200,MATCH($AB199,'Test catalog'!$A$2:$A$200,0))="","",INDEX('Test catalog'!$G$2:$G$200,MATCH($AB199,'Test catalog'!$A$2:$A$200,0))),"")</f>
        <v/>
      </c>
      <c r="M199" s="10">
        <f>IFERROR(IF(INDEX('Test catalog'!$H$2:$H$200,MATCH($AB199,'Test catalog'!$A$2:$A$200,0))="","",INDEX('Test catalog'!$H$2:$H$200,MATCH($AB199,'Test catalog'!$A$2:$A$200,0))),"")</f>
        <v/>
      </c>
      <c r="N199" s="10">
        <f>IFERROR(IF(INDEX('Test catalog'!$I$2:$I$200,MATCH($AB199,'Test catalog'!$A$2:$A$200,0))="","",INDEX('Test catalog'!$I$2:$I$200,MATCH($AB199,'Test catalog'!$A$2:$A$200,0))),"")</f>
        <v/>
      </c>
      <c r="O199" s="10">
        <f>IFERROR(IF(INDEX('Test catalog'!$J$2:$J$200,MATCH($AB199,'Test catalog'!$A$2:$A$200,0))="","",INDEX('Test catalog'!$J$2:$J$200,MATCH($AB199,'Test catalog'!$A$2:$A$200,0))),"")</f>
        <v/>
      </c>
      <c r="P199" s="14">
        <f>IF(N199="","",IF(OR(M199="",O199=""),N199,(M199+4*N199+O199)/6))</f>
        <v/>
      </c>
      <c r="Q199" s="10">
        <f>IFERROR(IF(INDEX('Test catalog'!$K$2:$K$200,MATCH($AB199,'Test catalog'!$A$2:$A$200,0))="","",INDEX('Test catalog'!$K$2:$K$200,MATCH($AB199,'Test catalog'!$A$2:$A$200,0))),"")</f>
        <v/>
      </c>
      <c r="R199" s="5" t="n"/>
      <c r="S199" s="10">
        <f>IFERROR(IF(INDEX('Test catalog'!$L$2:$L$200,MATCH($AB199,'Test catalog'!$A$2:$A$200,0))="","",INDEX('Test catalog'!$L$2:$L$200,MATCH($AB199,'Test catalog'!$A$2:$A$200,0))),"")</f>
        <v/>
      </c>
      <c r="T199" s="10">
        <f>IFERROR(IF(INDEX('Test catalog'!$M$2:$M$200,MATCH($AB199,'Test catalog'!$A$2:$A$200,0))="","",INDEX('Test catalog'!$M$2:$M$200,MATCH($AB199,'Test catalog'!$A$2:$A$200,0))),"")</f>
        <v/>
      </c>
      <c r="U199" s="10">
        <f>IFERROR(IF(INDEX('Test catalog'!$N$2:$N$200,MATCH($AB199,'Test catalog'!$A$2:$A$200,0))="","",INDEX('Test catalog'!$N$2:$N$200,MATCH($AB199,'Test catalog'!$A$2:$A$200,0))),"")</f>
        <v/>
      </c>
      <c r="V199" s="15" t="n"/>
      <c r="W199" s="5" t="inlineStr">
        <is>
          <t>N</t>
        </is>
      </c>
      <c r="X199" s="5" t="n"/>
      <c r="Y199" s="5" t="n"/>
      <c r="Z199" s="5" t="n"/>
      <c r="AA199" s="10">
        <f>IFERROR(IF(INDEX('Test catalog'!$O$2:$O$200,MATCH($AB199,'Test catalog'!$A$2:$A$200,0))="","",INDEX('Test catalog'!$O$2:$O$200,MATCH($AB199,'Test catalog'!$A$2:$A$200,0))),"")</f>
        <v/>
      </c>
      <c r="AB199" s="10" t="inlineStr">
        <is>
          <t>FRIAB</t>
        </is>
      </c>
    </row>
    <row r="200">
      <c r="A200" s="10" t="inlineStr">
        <is>
          <t>F27</t>
        </is>
      </c>
      <c r="B200" s="10" t="inlineStr">
        <is>
          <t>FP</t>
        </is>
      </c>
      <c r="C200" s="10" t="inlineStr">
        <is>
          <t>Emet-Duo 5/1000 ER; Emet-Duo 10/1000 ER; Emet-Duo 12.5/1000 ER; Emet-Duo 25/1000 ER  |  Metformin Hydrochloride, Empagliflozin [ER]</t>
        </is>
      </c>
      <c r="D200" s="10" t="inlineStr">
        <is>
          <t>Disintegration</t>
        </is>
      </c>
      <c r="E200" s="10">
        <f>IF(A200="","",A200&amp;"|"&amp;D200)</f>
        <v/>
      </c>
      <c r="F200" s="5" t="inlineStr">
        <is>
          <t>Y</t>
        </is>
      </c>
      <c r="G200" s="5" t="inlineStr">
        <is>
          <t>Disintegration tester</t>
        </is>
      </c>
      <c r="H200" s="5" t="inlineStr">
        <is>
          <t>Low</t>
        </is>
      </c>
      <c r="I200" s="5" t="n">
        <v>1</v>
      </c>
      <c r="J200" s="5" t="n"/>
      <c r="K200" s="10">
        <f>IFERROR(IF(INDEX('Test catalog'!$F$2:$F$200,MATCH($AB200,'Test catalog'!$A$2:$A$200,0))="","",INDEX('Test catalog'!$F$2:$F$200,MATCH($AB200,'Test catalog'!$A$2:$A$200,0))),"")</f>
        <v/>
      </c>
      <c r="L200" s="10">
        <f>IFERROR(IF(INDEX('Test catalog'!$G$2:$G$200,MATCH($AB200,'Test catalog'!$A$2:$A$200,0))="","",INDEX('Test catalog'!$G$2:$G$200,MATCH($AB200,'Test catalog'!$A$2:$A$200,0))),"")</f>
        <v/>
      </c>
      <c r="M200" s="10">
        <f>IFERROR(IF(INDEX('Test catalog'!$H$2:$H$200,MATCH($AB200,'Test catalog'!$A$2:$A$200,0))="","",INDEX('Test catalog'!$H$2:$H$200,MATCH($AB200,'Test catalog'!$A$2:$A$200,0))),"")</f>
        <v/>
      </c>
      <c r="N200" s="10">
        <f>IFERROR(IF(INDEX('Test catalog'!$I$2:$I$200,MATCH($AB200,'Test catalog'!$A$2:$A$200,0))="","",INDEX('Test catalog'!$I$2:$I$200,MATCH($AB200,'Test catalog'!$A$2:$A$200,0))),"")</f>
        <v/>
      </c>
      <c r="O200" s="10">
        <f>IFERROR(IF(INDEX('Test catalog'!$J$2:$J$200,MATCH($AB200,'Test catalog'!$A$2:$A$200,0))="","",INDEX('Test catalog'!$J$2:$J$200,MATCH($AB200,'Test catalog'!$A$2:$A$200,0))),"")</f>
        <v/>
      </c>
      <c r="P200" s="14">
        <f>IF(N200="","",IF(OR(M200="",O200=""),N200,(M200+4*N200+O200)/6))</f>
        <v/>
      </c>
      <c r="Q200" s="10">
        <f>IFERROR(IF(INDEX('Test catalog'!$K$2:$K$200,MATCH($AB200,'Test catalog'!$A$2:$A$200,0))="","",INDEX('Test catalog'!$K$2:$K$200,MATCH($AB200,'Test catalog'!$A$2:$A$200,0))),"")</f>
        <v/>
      </c>
      <c r="R200" s="5" t="n"/>
      <c r="S200" s="10">
        <f>IFERROR(IF(INDEX('Test catalog'!$L$2:$L$200,MATCH($AB200,'Test catalog'!$A$2:$A$200,0))="","",INDEX('Test catalog'!$L$2:$L$200,MATCH($AB200,'Test catalog'!$A$2:$A$200,0))),"")</f>
        <v/>
      </c>
      <c r="T200" s="10">
        <f>IFERROR(IF(INDEX('Test catalog'!$M$2:$M$200,MATCH($AB200,'Test catalog'!$A$2:$A$200,0))="","",INDEX('Test catalog'!$M$2:$M$200,MATCH($AB200,'Test catalog'!$A$2:$A$200,0))),"")</f>
        <v/>
      </c>
      <c r="U200" s="10">
        <f>IFERROR(IF(INDEX('Test catalog'!$N$2:$N$200,MATCH($AB200,'Test catalog'!$A$2:$A$200,0))="","",INDEX('Test catalog'!$N$2:$N$200,MATCH($AB200,'Test catalog'!$A$2:$A$200,0))),"")</f>
        <v/>
      </c>
      <c r="V200" s="15" t="n"/>
      <c r="W200" s="5" t="inlineStr">
        <is>
          <t>Y</t>
        </is>
      </c>
      <c r="X200" s="5" t="n"/>
      <c r="Y200" s="5" t="n"/>
      <c r="Z200" s="5" t="n"/>
      <c r="AA200" s="10">
        <f>IFERROR(IF(INDEX('Test catalog'!$O$2:$O$200,MATCH($AB200,'Test catalog'!$A$2:$A$200,0))="","",INDEX('Test catalog'!$O$2:$O$200,MATCH($AB200,'Test catalog'!$A$2:$A$200,0))),"")</f>
        <v/>
      </c>
      <c r="AB200" s="10" t="inlineStr">
        <is>
          <t>DISINT</t>
        </is>
      </c>
    </row>
    <row r="201">
      <c r="A201" s="10" t="inlineStr">
        <is>
          <t>F27</t>
        </is>
      </c>
      <c r="B201" s="10" t="inlineStr">
        <is>
          <t>FP</t>
        </is>
      </c>
      <c r="C201" s="10" t="inlineStr">
        <is>
          <t>Emet-Duo 5/1000 ER; Emet-Duo 10/1000 ER; Emet-Duo 12.5/1000 ER; Emet-Duo 25/1000 ER  |  Metformin Hydrochloride, Empagliflozin [ER]</t>
        </is>
      </c>
      <c r="D201" s="10" t="inlineStr">
        <is>
          <t>In-process check at the machine (one check, all its tests)</t>
        </is>
      </c>
      <c r="E201" s="10">
        <f>IF(A201="","",A201&amp;"|"&amp;D201)</f>
        <v/>
      </c>
      <c r="F201" s="5" t="inlineStr">
        <is>
          <t>Y</t>
        </is>
      </c>
      <c r="G201" s="5" t="inlineStr">
        <is>
          <t>Tablet tester</t>
        </is>
      </c>
      <c r="H201" s="5" t="inlineStr">
        <is>
          <t>Low</t>
        </is>
      </c>
      <c r="I201" s="5" t="n">
        <v>1</v>
      </c>
      <c r="J201" s="5" t="n"/>
      <c r="K201" s="10">
        <f>IFERROR(IF(INDEX('Test catalog'!$F$2:$F$200,MATCH($AB201,'Test catalog'!$A$2:$A$200,0))="","",INDEX('Test catalog'!$F$2:$F$200,MATCH($AB201,'Test catalog'!$A$2:$A$200,0))),"")</f>
        <v/>
      </c>
      <c r="L201" s="10">
        <f>IFERROR(IF(INDEX('Test catalog'!$G$2:$G$200,MATCH($AB201,'Test catalog'!$A$2:$A$200,0))="","",INDEX('Test catalog'!$G$2:$G$200,MATCH($AB201,'Test catalog'!$A$2:$A$200,0))),"")</f>
        <v/>
      </c>
      <c r="M201" s="10">
        <f>IFERROR(IF(INDEX('Test catalog'!$H$2:$H$200,MATCH($AB201,'Test catalog'!$A$2:$A$200,0))="","",INDEX('Test catalog'!$H$2:$H$200,MATCH($AB201,'Test catalog'!$A$2:$A$200,0))),"")</f>
        <v/>
      </c>
      <c r="N201" s="10">
        <f>IFERROR(IF(INDEX('Test catalog'!$I$2:$I$200,MATCH($AB201,'Test catalog'!$A$2:$A$200,0))="","",INDEX('Test catalog'!$I$2:$I$200,MATCH($AB201,'Test catalog'!$A$2:$A$200,0))),"")</f>
        <v/>
      </c>
      <c r="O201" s="10">
        <f>IFERROR(IF(INDEX('Test catalog'!$J$2:$J$200,MATCH($AB201,'Test catalog'!$A$2:$A$200,0))="","",INDEX('Test catalog'!$J$2:$J$200,MATCH($AB201,'Test catalog'!$A$2:$A$200,0))),"")</f>
        <v/>
      </c>
      <c r="P201" s="14">
        <f>IF(N201="","",IF(OR(M201="",O201=""),N201,(M201+4*N201+O201)/6))</f>
        <v/>
      </c>
      <c r="Q201" s="10">
        <f>IFERROR(IF(INDEX('Test catalog'!$K$2:$K$200,MATCH($AB201,'Test catalog'!$A$2:$A$200,0))="","",INDEX('Test catalog'!$K$2:$K$200,MATCH($AB201,'Test catalog'!$A$2:$A$200,0))),"")</f>
        <v/>
      </c>
      <c r="R201" s="5" t="n"/>
      <c r="S201" s="10">
        <f>IFERROR(IF(INDEX('Test catalog'!$L$2:$L$200,MATCH($AB201,'Test catalog'!$A$2:$A$200,0))="","",INDEX('Test catalog'!$L$2:$L$200,MATCH($AB201,'Test catalog'!$A$2:$A$200,0))),"")</f>
        <v/>
      </c>
      <c r="T201" s="10">
        <f>IFERROR(IF(INDEX('Test catalog'!$M$2:$M$200,MATCH($AB201,'Test catalog'!$A$2:$A$200,0))="","",INDEX('Test catalog'!$M$2:$M$200,MATCH($AB201,'Test catalog'!$A$2:$A$200,0))),"")</f>
        <v/>
      </c>
      <c r="U201" s="10">
        <f>IFERROR(IF(INDEX('Test catalog'!$N$2:$N$200,MATCH($AB201,'Test catalog'!$A$2:$A$200,0))="","",INDEX('Test catalog'!$N$2:$N$200,MATCH($AB201,'Test catalog'!$A$2:$A$200,0))),"")</f>
        <v/>
      </c>
      <c r="V201" s="15" t="n"/>
      <c r="W201" s="5" t="inlineStr">
        <is>
          <t>N</t>
        </is>
      </c>
      <c r="X201" s="5" t="n"/>
      <c r="Y201" s="5" t="n"/>
      <c r="Z201" s="5" t="n"/>
      <c r="AA201" s="10">
        <f>IFERROR(IF(INDEX('Test catalog'!$O$2:$O$200,MATCH($AB201,'Test catalog'!$A$2:$A$200,0))="","",INDEX('Test catalog'!$O$2:$O$200,MATCH($AB201,'Test catalog'!$A$2:$A$200,0))),"")</f>
        <v/>
      </c>
      <c r="AB201" s="10" t="inlineStr">
        <is>
          <t>IPC</t>
        </is>
      </c>
    </row>
    <row r="202">
      <c r="A202" s="10" t="inlineStr">
        <is>
          <t>F28</t>
        </is>
      </c>
      <c r="B202" s="10" t="inlineStr">
        <is>
          <t>FP</t>
        </is>
      </c>
      <c r="C202" s="10" t="inlineStr">
        <is>
          <t>Emet-Duo 12.5/1000; Emet-Duo 5/1000; Emet-Duo 12.5/500; Emet-Duo 5/500  |  Empagliflozin, Metformin Hydrochloride</t>
        </is>
      </c>
      <c r="D202" s="10" t="inlineStr">
        <is>
          <t>Average weight / uniformity of mass</t>
        </is>
      </c>
      <c r="E202" s="10">
        <f>IF(A202="","",A202&amp;"|"&amp;D202)</f>
        <v/>
      </c>
      <c r="F202" s="5" t="inlineStr">
        <is>
          <t>Y</t>
        </is>
      </c>
      <c r="G202" s="5" t="inlineStr">
        <is>
          <t>Balance</t>
        </is>
      </c>
      <c r="H202" s="5" t="inlineStr">
        <is>
          <t>Low</t>
        </is>
      </c>
      <c r="I202" s="5" t="n">
        <v>1</v>
      </c>
      <c r="J202" s="5" t="n"/>
      <c r="K202" s="10">
        <f>IFERROR(IF(INDEX('Test catalog'!$F$2:$F$200,MATCH($AB202,'Test catalog'!$A$2:$A$200,0))="","",INDEX('Test catalog'!$F$2:$F$200,MATCH($AB202,'Test catalog'!$A$2:$A$200,0))),"")</f>
        <v/>
      </c>
      <c r="L202" s="10">
        <f>IFERROR(IF(INDEX('Test catalog'!$G$2:$G$200,MATCH($AB202,'Test catalog'!$A$2:$A$200,0))="","",INDEX('Test catalog'!$G$2:$G$200,MATCH($AB202,'Test catalog'!$A$2:$A$200,0))),"")</f>
        <v/>
      </c>
      <c r="M202" s="10">
        <f>IFERROR(IF(INDEX('Test catalog'!$H$2:$H$200,MATCH($AB202,'Test catalog'!$A$2:$A$200,0))="","",INDEX('Test catalog'!$H$2:$H$200,MATCH($AB202,'Test catalog'!$A$2:$A$200,0))),"")</f>
        <v/>
      </c>
      <c r="N202" s="10">
        <f>IFERROR(IF(INDEX('Test catalog'!$I$2:$I$200,MATCH($AB202,'Test catalog'!$A$2:$A$200,0))="","",INDEX('Test catalog'!$I$2:$I$200,MATCH($AB202,'Test catalog'!$A$2:$A$200,0))),"")</f>
        <v/>
      </c>
      <c r="O202" s="10">
        <f>IFERROR(IF(INDEX('Test catalog'!$J$2:$J$200,MATCH($AB202,'Test catalog'!$A$2:$A$200,0))="","",INDEX('Test catalog'!$J$2:$J$200,MATCH($AB202,'Test catalog'!$A$2:$A$200,0))),"")</f>
        <v/>
      </c>
      <c r="P202" s="14">
        <f>IF(N202="","",IF(OR(M202="",O202=""),N202,(M202+4*N202+O202)/6))</f>
        <v/>
      </c>
      <c r="Q202" s="10">
        <f>IFERROR(IF(INDEX('Test catalog'!$K$2:$K$200,MATCH($AB202,'Test catalog'!$A$2:$A$200,0))="","",INDEX('Test catalog'!$K$2:$K$200,MATCH($AB202,'Test catalog'!$A$2:$A$200,0))),"")</f>
        <v/>
      </c>
      <c r="R202" s="5" t="n"/>
      <c r="S202" s="10">
        <f>IFERROR(IF(INDEX('Test catalog'!$L$2:$L$200,MATCH($AB202,'Test catalog'!$A$2:$A$200,0))="","",INDEX('Test catalog'!$L$2:$L$200,MATCH($AB202,'Test catalog'!$A$2:$A$200,0))),"")</f>
        <v/>
      </c>
      <c r="T202" s="10">
        <f>IFERROR(IF(INDEX('Test catalog'!$M$2:$M$200,MATCH($AB202,'Test catalog'!$A$2:$A$200,0))="","",INDEX('Test catalog'!$M$2:$M$200,MATCH($AB202,'Test catalog'!$A$2:$A$200,0))),"")</f>
        <v/>
      </c>
      <c r="U202" s="10">
        <f>IFERROR(IF(INDEX('Test catalog'!$N$2:$N$200,MATCH($AB202,'Test catalog'!$A$2:$A$200,0))="","",INDEX('Test catalog'!$N$2:$N$200,MATCH($AB202,'Test catalog'!$A$2:$A$200,0))),"")</f>
        <v/>
      </c>
      <c r="V202" s="15" t="n"/>
      <c r="W202" s="5" t="inlineStr">
        <is>
          <t>N</t>
        </is>
      </c>
      <c r="X202" s="5" t="n"/>
      <c r="Y202" s="5" t="n"/>
      <c r="Z202" s="5" t="n"/>
      <c r="AA202" s="10">
        <f>IFERROR(IF(INDEX('Test catalog'!$O$2:$O$200,MATCH($AB202,'Test catalog'!$A$2:$A$200,0))="","",INDEX('Test catalog'!$O$2:$O$200,MATCH($AB202,'Test catalog'!$A$2:$A$200,0))),"")</f>
        <v/>
      </c>
      <c r="AB202" s="10" t="inlineStr">
        <is>
          <t>AVG_WT</t>
        </is>
      </c>
    </row>
    <row r="203">
      <c r="A203" s="10" t="inlineStr">
        <is>
          <t>F28</t>
        </is>
      </c>
      <c r="B203" s="10" t="inlineStr">
        <is>
          <t>FP</t>
        </is>
      </c>
      <c r="C203" s="10" t="inlineStr">
        <is>
          <t>Emet-Duo 12.5/1000; Emet-Duo 5/1000; Emet-Duo 12.5/500; Emet-Duo 5/500  |  Empagliflozin, Metformin Hydrochloride</t>
        </is>
      </c>
      <c r="D203" s="10" t="inlineStr">
        <is>
          <t>Diameter (or length / width)</t>
        </is>
      </c>
      <c r="E203" s="10">
        <f>IF(A203="","",A203&amp;"|"&amp;D203)</f>
        <v/>
      </c>
      <c r="F203" s="5" t="inlineStr">
        <is>
          <t>Y</t>
        </is>
      </c>
      <c r="G203" s="5" t="inlineStr">
        <is>
          <t>Tablet tester</t>
        </is>
      </c>
      <c r="H203" s="5" t="inlineStr">
        <is>
          <t>Low</t>
        </is>
      </c>
      <c r="I203" s="5" t="n">
        <v>1</v>
      </c>
      <c r="J203" s="5" t="n"/>
      <c r="K203" s="10">
        <f>IFERROR(IF(INDEX('Test catalog'!$F$2:$F$200,MATCH($AB203,'Test catalog'!$A$2:$A$200,0))="","",INDEX('Test catalog'!$F$2:$F$200,MATCH($AB203,'Test catalog'!$A$2:$A$200,0))),"")</f>
        <v/>
      </c>
      <c r="L203" s="10">
        <f>IFERROR(IF(INDEX('Test catalog'!$G$2:$G$200,MATCH($AB203,'Test catalog'!$A$2:$A$200,0))="","",INDEX('Test catalog'!$G$2:$G$200,MATCH($AB203,'Test catalog'!$A$2:$A$200,0))),"")</f>
        <v/>
      </c>
      <c r="M203" s="10">
        <f>IFERROR(IF(INDEX('Test catalog'!$H$2:$H$200,MATCH($AB203,'Test catalog'!$A$2:$A$200,0))="","",INDEX('Test catalog'!$H$2:$H$200,MATCH($AB203,'Test catalog'!$A$2:$A$200,0))),"")</f>
        <v/>
      </c>
      <c r="N203" s="10">
        <f>IFERROR(IF(INDEX('Test catalog'!$I$2:$I$200,MATCH($AB203,'Test catalog'!$A$2:$A$200,0))="","",INDEX('Test catalog'!$I$2:$I$200,MATCH($AB203,'Test catalog'!$A$2:$A$200,0))),"")</f>
        <v/>
      </c>
      <c r="O203" s="10">
        <f>IFERROR(IF(INDEX('Test catalog'!$J$2:$J$200,MATCH($AB203,'Test catalog'!$A$2:$A$200,0))="","",INDEX('Test catalog'!$J$2:$J$200,MATCH($AB203,'Test catalog'!$A$2:$A$200,0))),"")</f>
        <v/>
      </c>
      <c r="P203" s="14">
        <f>IF(N203="","",IF(OR(M203="",O203=""),N203,(M203+4*N203+O203)/6))</f>
        <v/>
      </c>
      <c r="Q203" s="10">
        <f>IFERROR(IF(INDEX('Test catalog'!$K$2:$K$200,MATCH($AB203,'Test catalog'!$A$2:$A$200,0))="","",INDEX('Test catalog'!$K$2:$K$200,MATCH($AB203,'Test catalog'!$A$2:$A$200,0))),"")</f>
        <v/>
      </c>
      <c r="R203" s="5" t="n"/>
      <c r="S203" s="10">
        <f>IFERROR(IF(INDEX('Test catalog'!$L$2:$L$200,MATCH($AB203,'Test catalog'!$A$2:$A$200,0))="","",INDEX('Test catalog'!$L$2:$L$200,MATCH($AB203,'Test catalog'!$A$2:$A$200,0))),"")</f>
        <v/>
      </c>
      <c r="T203" s="10">
        <f>IFERROR(IF(INDEX('Test catalog'!$M$2:$M$200,MATCH($AB203,'Test catalog'!$A$2:$A$200,0))="","",INDEX('Test catalog'!$M$2:$M$200,MATCH($AB203,'Test catalog'!$A$2:$A$200,0))),"")</f>
        <v/>
      </c>
      <c r="U203" s="10">
        <f>IFERROR(IF(INDEX('Test catalog'!$N$2:$N$200,MATCH($AB203,'Test catalog'!$A$2:$A$200,0))="","",INDEX('Test catalog'!$N$2:$N$200,MATCH($AB203,'Test catalog'!$A$2:$A$200,0))),"")</f>
        <v/>
      </c>
      <c r="V203" s="15" t="n"/>
      <c r="W203" s="5" t="inlineStr">
        <is>
          <t>N</t>
        </is>
      </c>
      <c r="X203" s="5" t="n"/>
      <c r="Y203" s="5" t="n"/>
      <c r="Z203" s="5" t="n"/>
      <c r="AA203" s="10">
        <f>IFERROR(IF(INDEX('Test catalog'!$O$2:$O$200,MATCH($AB203,'Test catalog'!$A$2:$A$200,0))="","",INDEX('Test catalog'!$O$2:$O$200,MATCH($AB203,'Test catalog'!$A$2:$A$200,0))),"")</f>
        <v/>
      </c>
      <c r="AB203" s="10" t="inlineStr">
        <is>
          <t>DIAM</t>
        </is>
      </c>
    </row>
    <row r="204">
      <c r="A204" s="10" t="inlineStr">
        <is>
          <t>F28</t>
        </is>
      </c>
      <c r="B204" s="10" t="inlineStr">
        <is>
          <t>FP</t>
        </is>
      </c>
      <c r="C204" s="10" t="inlineStr">
        <is>
          <t>Emet-Duo 12.5/1000; Emet-Duo 5/1000; Emet-Duo 12.5/500; Emet-Duo 5/500  |  Empagliflozin, Metformin Hydrochloride</t>
        </is>
      </c>
      <c r="D204" s="10" t="inlineStr">
        <is>
          <t>Thickness</t>
        </is>
      </c>
      <c r="E204" s="10">
        <f>IF(A204="","",A204&amp;"|"&amp;D204)</f>
        <v/>
      </c>
      <c r="F204" s="5" t="inlineStr">
        <is>
          <t>Y</t>
        </is>
      </c>
      <c r="G204" s="5" t="inlineStr">
        <is>
          <t>Tablet tester</t>
        </is>
      </c>
      <c r="H204" s="5" t="inlineStr">
        <is>
          <t>Low</t>
        </is>
      </c>
      <c r="I204" s="5" t="n">
        <v>1</v>
      </c>
      <c r="J204" s="5" t="n"/>
      <c r="K204" s="10">
        <f>IFERROR(IF(INDEX('Test catalog'!$F$2:$F$200,MATCH($AB204,'Test catalog'!$A$2:$A$200,0))="","",INDEX('Test catalog'!$F$2:$F$200,MATCH($AB204,'Test catalog'!$A$2:$A$200,0))),"")</f>
        <v/>
      </c>
      <c r="L204" s="10">
        <f>IFERROR(IF(INDEX('Test catalog'!$G$2:$G$200,MATCH($AB204,'Test catalog'!$A$2:$A$200,0))="","",INDEX('Test catalog'!$G$2:$G$200,MATCH($AB204,'Test catalog'!$A$2:$A$200,0))),"")</f>
        <v/>
      </c>
      <c r="M204" s="10">
        <f>IFERROR(IF(INDEX('Test catalog'!$H$2:$H$200,MATCH($AB204,'Test catalog'!$A$2:$A$200,0))="","",INDEX('Test catalog'!$H$2:$H$200,MATCH($AB204,'Test catalog'!$A$2:$A$200,0))),"")</f>
        <v/>
      </c>
      <c r="N204" s="10">
        <f>IFERROR(IF(INDEX('Test catalog'!$I$2:$I$200,MATCH($AB204,'Test catalog'!$A$2:$A$200,0))="","",INDEX('Test catalog'!$I$2:$I$200,MATCH($AB204,'Test catalog'!$A$2:$A$200,0))),"")</f>
        <v/>
      </c>
      <c r="O204" s="10">
        <f>IFERROR(IF(INDEX('Test catalog'!$J$2:$J$200,MATCH($AB204,'Test catalog'!$A$2:$A$200,0))="","",INDEX('Test catalog'!$J$2:$J$200,MATCH($AB204,'Test catalog'!$A$2:$A$200,0))),"")</f>
        <v/>
      </c>
      <c r="P204" s="14">
        <f>IF(N204="","",IF(OR(M204="",O204=""),N204,(M204+4*N204+O204)/6))</f>
        <v/>
      </c>
      <c r="Q204" s="10">
        <f>IFERROR(IF(INDEX('Test catalog'!$K$2:$K$200,MATCH($AB204,'Test catalog'!$A$2:$A$200,0))="","",INDEX('Test catalog'!$K$2:$K$200,MATCH($AB204,'Test catalog'!$A$2:$A$200,0))),"")</f>
        <v/>
      </c>
      <c r="R204" s="5" t="n"/>
      <c r="S204" s="10">
        <f>IFERROR(IF(INDEX('Test catalog'!$L$2:$L$200,MATCH($AB204,'Test catalog'!$A$2:$A$200,0))="","",INDEX('Test catalog'!$L$2:$L$200,MATCH($AB204,'Test catalog'!$A$2:$A$200,0))),"")</f>
        <v/>
      </c>
      <c r="T204" s="10">
        <f>IFERROR(IF(INDEX('Test catalog'!$M$2:$M$200,MATCH($AB204,'Test catalog'!$A$2:$A$200,0))="","",INDEX('Test catalog'!$M$2:$M$200,MATCH($AB204,'Test catalog'!$A$2:$A$200,0))),"")</f>
        <v/>
      </c>
      <c r="U204" s="10">
        <f>IFERROR(IF(INDEX('Test catalog'!$N$2:$N$200,MATCH($AB204,'Test catalog'!$A$2:$A$200,0))="","",INDEX('Test catalog'!$N$2:$N$200,MATCH($AB204,'Test catalog'!$A$2:$A$200,0))),"")</f>
        <v/>
      </c>
      <c r="V204" s="15" t="n"/>
      <c r="W204" s="5" t="inlineStr">
        <is>
          <t>N</t>
        </is>
      </c>
      <c r="X204" s="5" t="n"/>
      <c r="Y204" s="5" t="n"/>
      <c r="Z204" s="5" t="n"/>
      <c r="AA204" s="10">
        <f>IFERROR(IF(INDEX('Test catalog'!$O$2:$O$200,MATCH($AB204,'Test catalog'!$A$2:$A$200,0))="","",INDEX('Test catalog'!$O$2:$O$200,MATCH($AB204,'Test catalog'!$A$2:$A$200,0))),"")</f>
        <v/>
      </c>
      <c r="AB204" s="10" t="inlineStr">
        <is>
          <t>THICK</t>
        </is>
      </c>
    </row>
    <row r="205">
      <c r="A205" s="10" t="inlineStr">
        <is>
          <t>F28</t>
        </is>
      </c>
      <c r="B205" s="10" t="inlineStr">
        <is>
          <t>FP</t>
        </is>
      </c>
      <c r="C205" s="10" t="inlineStr">
        <is>
          <t>Emet-Duo 12.5/1000; Emet-Duo 5/1000; Emet-Duo 12.5/500; Emet-Duo 5/500  |  Empagliflozin, Metformin Hydrochloride</t>
        </is>
      </c>
      <c r="D205" s="10" t="inlineStr">
        <is>
          <t>Hardness / breaking force</t>
        </is>
      </c>
      <c r="E205" s="10">
        <f>IF(A205="","",A205&amp;"|"&amp;D205)</f>
        <v/>
      </c>
      <c r="F205" s="5" t="inlineStr">
        <is>
          <t>Y</t>
        </is>
      </c>
      <c r="G205" s="5" t="inlineStr">
        <is>
          <t>Tablet tester</t>
        </is>
      </c>
      <c r="H205" s="5" t="inlineStr">
        <is>
          <t>Low</t>
        </is>
      </c>
      <c r="I205" s="5" t="n">
        <v>1</v>
      </c>
      <c r="J205" s="5" t="n"/>
      <c r="K205" s="10">
        <f>IFERROR(IF(INDEX('Test catalog'!$F$2:$F$200,MATCH($AB205,'Test catalog'!$A$2:$A$200,0))="","",INDEX('Test catalog'!$F$2:$F$200,MATCH($AB205,'Test catalog'!$A$2:$A$200,0))),"")</f>
        <v/>
      </c>
      <c r="L205" s="10">
        <f>IFERROR(IF(INDEX('Test catalog'!$G$2:$G$200,MATCH($AB205,'Test catalog'!$A$2:$A$200,0))="","",INDEX('Test catalog'!$G$2:$G$200,MATCH($AB205,'Test catalog'!$A$2:$A$200,0))),"")</f>
        <v/>
      </c>
      <c r="M205" s="10">
        <f>IFERROR(IF(INDEX('Test catalog'!$H$2:$H$200,MATCH($AB205,'Test catalog'!$A$2:$A$200,0))="","",INDEX('Test catalog'!$H$2:$H$200,MATCH($AB205,'Test catalog'!$A$2:$A$200,0))),"")</f>
        <v/>
      </c>
      <c r="N205" s="10">
        <f>IFERROR(IF(INDEX('Test catalog'!$I$2:$I$200,MATCH($AB205,'Test catalog'!$A$2:$A$200,0))="","",INDEX('Test catalog'!$I$2:$I$200,MATCH($AB205,'Test catalog'!$A$2:$A$200,0))),"")</f>
        <v/>
      </c>
      <c r="O205" s="10">
        <f>IFERROR(IF(INDEX('Test catalog'!$J$2:$J$200,MATCH($AB205,'Test catalog'!$A$2:$A$200,0))="","",INDEX('Test catalog'!$J$2:$J$200,MATCH($AB205,'Test catalog'!$A$2:$A$200,0))),"")</f>
        <v/>
      </c>
      <c r="P205" s="14">
        <f>IF(N205="","",IF(OR(M205="",O205=""),N205,(M205+4*N205+O205)/6))</f>
        <v/>
      </c>
      <c r="Q205" s="10">
        <f>IFERROR(IF(INDEX('Test catalog'!$K$2:$K$200,MATCH($AB205,'Test catalog'!$A$2:$A$200,0))="","",INDEX('Test catalog'!$K$2:$K$200,MATCH($AB205,'Test catalog'!$A$2:$A$200,0))),"")</f>
        <v/>
      </c>
      <c r="R205" s="5" t="n"/>
      <c r="S205" s="10">
        <f>IFERROR(IF(INDEX('Test catalog'!$L$2:$L$200,MATCH($AB205,'Test catalog'!$A$2:$A$200,0))="","",INDEX('Test catalog'!$L$2:$L$200,MATCH($AB205,'Test catalog'!$A$2:$A$200,0))),"")</f>
        <v/>
      </c>
      <c r="T205" s="10">
        <f>IFERROR(IF(INDEX('Test catalog'!$M$2:$M$200,MATCH($AB205,'Test catalog'!$A$2:$A$200,0))="","",INDEX('Test catalog'!$M$2:$M$200,MATCH($AB205,'Test catalog'!$A$2:$A$200,0))),"")</f>
        <v/>
      </c>
      <c r="U205" s="10">
        <f>IFERROR(IF(INDEX('Test catalog'!$N$2:$N$200,MATCH($AB205,'Test catalog'!$A$2:$A$200,0))="","",INDEX('Test catalog'!$N$2:$N$200,MATCH($AB205,'Test catalog'!$A$2:$A$200,0))),"")</f>
        <v/>
      </c>
      <c r="V205" s="15" t="n"/>
      <c r="W205" s="5" t="inlineStr">
        <is>
          <t>Y</t>
        </is>
      </c>
      <c r="X205" s="5" t="n"/>
      <c r="Y205" s="5" t="n"/>
      <c r="Z205" s="5" t="n"/>
      <c r="AA205" s="10">
        <f>IFERROR(IF(INDEX('Test catalog'!$O$2:$O$200,MATCH($AB205,'Test catalog'!$A$2:$A$200,0))="","",INDEX('Test catalog'!$O$2:$O$200,MATCH($AB205,'Test catalog'!$A$2:$A$200,0))),"")</f>
        <v/>
      </c>
      <c r="AB205" s="10" t="inlineStr">
        <is>
          <t>HARD</t>
        </is>
      </c>
    </row>
    <row r="206">
      <c r="A206" s="10" t="inlineStr">
        <is>
          <t>F28</t>
        </is>
      </c>
      <c r="B206" s="10" t="inlineStr">
        <is>
          <t>FP</t>
        </is>
      </c>
      <c r="C206" s="10" t="inlineStr">
        <is>
          <t>Emet-Duo 12.5/1000; Emet-Duo 5/1000; Emet-Duo 12.5/500; Emet-Duo 5/500  |  Empagliflozin, Metformin Hydrochloride</t>
        </is>
      </c>
      <c r="D206" s="10" t="inlineStr">
        <is>
          <t>Brittleness</t>
        </is>
      </c>
      <c r="E206" s="10">
        <f>IF(A206="","",A206&amp;"|"&amp;D206)</f>
        <v/>
      </c>
      <c r="F206" s="5" t="inlineStr">
        <is>
          <t>Y</t>
        </is>
      </c>
      <c r="G206" s="5" t="inlineStr">
        <is>
          <t>Other / bench</t>
        </is>
      </c>
      <c r="H206" s="5" t="inlineStr">
        <is>
          <t>Low</t>
        </is>
      </c>
      <c r="I206" s="5" t="n">
        <v>1</v>
      </c>
      <c r="J206" s="5" t="n"/>
      <c r="K206" s="10">
        <f>IFERROR(IF(INDEX('Test catalog'!$F$2:$F$200,MATCH($AB206,'Test catalog'!$A$2:$A$200,0))="","",INDEX('Test catalog'!$F$2:$F$200,MATCH($AB206,'Test catalog'!$A$2:$A$200,0))),"")</f>
        <v/>
      </c>
      <c r="L206" s="10">
        <f>IFERROR(IF(INDEX('Test catalog'!$G$2:$G$200,MATCH($AB206,'Test catalog'!$A$2:$A$200,0))="","",INDEX('Test catalog'!$G$2:$G$200,MATCH($AB206,'Test catalog'!$A$2:$A$200,0))),"")</f>
        <v/>
      </c>
      <c r="M206" s="10">
        <f>IFERROR(IF(INDEX('Test catalog'!$H$2:$H$200,MATCH($AB206,'Test catalog'!$A$2:$A$200,0))="","",INDEX('Test catalog'!$H$2:$H$200,MATCH($AB206,'Test catalog'!$A$2:$A$200,0))),"")</f>
        <v/>
      </c>
      <c r="N206" s="10">
        <f>IFERROR(IF(INDEX('Test catalog'!$I$2:$I$200,MATCH($AB206,'Test catalog'!$A$2:$A$200,0))="","",INDEX('Test catalog'!$I$2:$I$200,MATCH($AB206,'Test catalog'!$A$2:$A$200,0))),"")</f>
        <v/>
      </c>
      <c r="O206" s="10">
        <f>IFERROR(IF(INDEX('Test catalog'!$J$2:$J$200,MATCH($AB206,'Test catalog'!$A$2:$A$200,0))="","",INDEX('Test catalog'!$J$2:$J$200,MATCH($AB206,'Test catalog'!$A$2:$A$200,0))),"")</f>
        <v/>
      </c>
      <c r="P206" s="14">
        <f>IF(N206="","",IF(OR(M206="",O206=""),N206,(M206+4*N206+O206)/6))</f>
        <v/>
      </c>
      <c r="Q206" s="10">
        <f>IFERROR(IF(INDEX('Test catalog'!$K$2:$K$200,MATCH($AB206,'Test catalog'!$A$2:$A$200,0))="","",INDEX('Test catalog'!$K$2:$K$200,MATCH($AB206,'Test catalog'!$A$2:$A$200,0))),"")</f>
        <v/>
      </c>
      <c r="R206" s="5" t="n"/>
      <c r="S206" s="10">
        <f>IFERROR(IF(INDEX('Test catalog'!$L$2:$L$200,MATCH($AB206,'Test catalog'!$A$2:$A$200,0))="","",INDEX('Test catalog'!$L$2:$L$200,MATCH($AB206,'Test catalog'!$A$2:$A$200,0))),"")</f>
        <v/>
      </c>
      <c r="T206" s="10">
        <f>IFERROR(IF(INDEX('Test catalog'!$M$2:$M$200,MATCH($AB206,'Test catalog'!$A$2:$A$200,0))="","",INDEX('Test catalog'!$M$2:$M$200,MATCH($AB206,'Test catalog'!$A$2:$A$200,0))),"")</f>
        <v/>
      </c>
      <c r="U206" s="10">
        <f>IFERROR(IF(INDEX('Test catalog'!$N$2:$N$200,MATCH($AB206,'Test catalog'!$A$2:$A$200,0))="","",INDEX('Test catalog'!$N$2:$N$200,MATCH($AB206,'Test catalog'!$A$2:$A$200,0))),"")</f>
        <v/>
      </c>
      <c r="V206" s="15" t="n"/>
      <c r="W206" s="5" t="inlineStr">
        <is>
          <t>N</t>
        </is>
      </c>
      <c r="X206" s="5" t="n"/>
      <c r="Y206" s="5" t="n"/>
      <c r="Z206" s="5" t="n"/>
      <c r="AA206" s="10">
        <f>IFERROR(IF(INDEX('Test catalog'!$O$2:$O$200,MATCH($AB206,'Test catalog'!$A$2:$A$200,0))="","",INDEX('Test catalog'!$O$2:$O$200,MATCH($AB206,'Test catalog'!$A$2:$A$200,0))),"")</f>
        <v/>
      </c>
      <c r="AB206" s="10" t="inlineStr">
        <is>
          <t>BRITTLE</t>
        </is>
      </c>
    </row>
    <row r="207">
      <c r="A207" s="10" t="inlineStr">
        <is>
          <t>F28</t>
        </is>
      </c>
      <c r="B207" s="10" t="inlineStr">
        <is>
          <t>FP</t>
        </is>
      </c>
      <c r="C207" s="10" t="inlineStr">
        <is>
          <t>Emet-Duo 12.5/1000; Emet-Duo 5/1000; Emet-Duo 12.5/500; Emet-Duo 5/500  |  Empagliflozin, Metformin Hydrochloride</t>
        </is>
      </c>
      <c r="D207" s="10" t="inlineStr">
        <is>
          <t>Friability</t>
        </is>
      </c>
      <c r="E207" s="10">
        <f>IF(A207="","",A207&amp;"|"&amp;D207)</f>
        <v/>
      </c>
      <c r="F207" s="5" t="inlineStr">
        <is>
          <t>Y</t>
        </is>
      </c>
      <c r="G207" s="5" t="inlineStr">
        <is>
          <t>Friabilator</t>
        </is>
      </c>
      <c r="H207" s="5" t="inlineStr">
        <is>
          <t>Low</t>
        </is>
      </c>
      <c r="I207" s="5" t="n">
        <v>1</v>
      </c>
      <c r="J207" s="5" t="n"/>
      <c r="K207" s="10">
        <f>IFERROR(IF(INDEX('Test catalog'!$F$2:$F$200,MATCH($AB207,'Test catalog'!$A$2:$A$200,0))="","",INDEX('Test catalog'!$F$2:$F$200,MATCH($AB207,'Test catalog'!$A$2:$A$200,0))),"")</f>
        <v/>
      </c>
      <c r="L207" s="10">
        <f>IFERROR(IF(INDEX('Test catalog'!$G$2:$G$200,MATCH($AB207,'Test catalog'!$A$2:$A$200,0))="","",INDEX('Test catalog'!$G$2:$G$200,MATCH($AB207,'Test catalog'!$A$2:$A$200,0))),"")</f>
        <v/>
      </c>
      <c r="M207" s="10">
        <f>IFERROR(IF(INDEX('Test catalog'!$H$2:$H$200,MATCH($AB207,'Test catalog'!$A$2:$A$200,0))="","",INDEX('Test catalog'!$H$2:$H$200,MATCH($AB207,'Test catalog'!$A$2:$A$200,0))),"")</f>
        <v/>
      </c>
      <c r="N207" s="10">
        <f>IFERROR(IF(INDEX('Test catalog'!$I$2:$I$200,MATCH($AB207,'Test catalog'!$A$2:$A$200,0))="","",INDEX('Test catalog'!$I$2:$I$200,MATCH($AB207,'Test catalog'!$A$2:$A$200,0))),"")</f>
        <v/>
      </c>
      <c r="O207" s="10">
        <f>IFERROR(IF(INDEX('Test catalog'!$J$2:$J$200,MATCH($AB207,'Test catalog'!$A$2:$A$200,0))="","",INDEX('Test catalog'!$J$2:$J$200,MATCH($AB207,'Test catalog'!$A$2:$A$200,0))),"")</f>
        <v/>
      </c>
      <c r="P207" s="14">
        <f>IF(N207="","",IF(OR(M207="",O207=""),N207,(M207+4*N207+O207)/6))</f>
        <v/>
      </c>
      <c r="Q207" s="10">
        <f>IFERROR(IF(INDEX('Test catalog'!$K$2:$K$200,MATCH($AB207,'Test catalog'!$A$2:$A$200,0))="","",INDEX('Test catalog'!$K$2:$K$200,MATCH($AB207,'Test catalog'!$A$2:$A$200,0))),"")</f>
        <v/>
      </c>
      <c r="R207" s="5" t="n"/>
      <c r="S207" s="10">
        <f>IFERROR(IF(INDEX('Test catalog'!$L$2:$L$200,MATCH($AB207,'Test catalog'!$A$2:$A$200,0))="","",INDEX('Test catalog'!$L$2:$L$200,MATCH($AB207,'Test catalog'!$A$2:$A$200,0))),"")</f>
        <v/>
      </c>
      <c r="T207" s="10">
        <f>IFERROR(IF(INDEX('Test catalog'!$M$2:$M$200,MATCH($AB207,'Test catalog'!$A$2:$A$200,0))="","",INDEX('Test catalog'!$M$2:$M$200,MATCH($AB207,'Test catalog'!$A$2:$A$200,0))),"")</f>
        <v/>
      </c>
      <c r="U207" s="10">
        <f>IFERROR(IF(INDEX('Test catalog'!$N$2:$N$200,MATCH($AB207,'Test catalog'!$A$2:$A$200,0))="","",INDEX('Test catalog'!$N$2:$N$200,MATCH($AB207,'Test catalog'!$A$2:$A$200,0))),"")</f>
        <v/>
      </c>
      <c r="V207" s="15" t="n"/>
      <c r="W207" s="5" t="inlineStr">
        <is>
          <t>N</t>
        </is>
      </c>
      <c r="X207" s="5" t="n"/>
      <c r="Y207" s="5" t="n"/>
      <c r="Z207" s="5" t="n"/>
      <c r="AA207" s="10">
        <f>IFERROR(IF(INDEX('Test catalog'!$O$2:$O$200,MATCH($AB207,'Test catalog'!$A$2:$A$200,0))="","",INDEX('Test catalog'!$O$2:$O$200,MATCH($AB207,'Test catalog'!$A$2:$A$200,0))),"")</f>
        <v/>
      </c>
      <c r="AB207" s="10" t="inlineStr">
        <is>
          <t>FRIAB</t>
        </is>
      </c>
    </row>
    <row r="208">
      <c r="A208" s="10" t="inlineStr">
        <is>
          <t>F28</t>
        </is>
      </c>
      <c r="B208" s="10" t="inlineStr">
        <is>
          <t>FP</t>
        </is>
      </c>
      <c r="C208" s="10" t="inlineStr">
        <is>
          <t>Emet-Duo 12.5/1000; Emet-Duo 5/1000; Emet-Duo 12.5/500; Emet-Duo 5/500  |  Empagliflozin, Metformin Hydrochloride</t>
        </is>
      </c>
      <c r="D208" s="10" t="inlineStr">
        <is>
          <t>Disintegration</t>
        </is>
      </c>
      <c r="E208" s="10">
        <f>IF(A208="","",A208&amp;"|"&amp;D208)</f>
        <v/>
      </c>
      <c r="F208" s="5" t="inlineStr">
        <is>
          <t>Y</t>
        </is>
      </c>
      <c r="G208" s="5" t="inlineStr">
        <is>
          <t>Disintegration tester</t>
        </is>
      </c>
      <c r="H208" s="5" t="inlineStr">
        <is>
          <t>Low</t>
        </is>
      </c>
      <c r="I208" s="5" t="n">
        <v>1</v>
      </c>
      <c r="J208" s="5" t="n"/>
      <c r="K208" s="10">
        <f>IFERROR(IF(INDEX('Test catalog'!$F$2:$F$200,MATCH($AB208,'Test catalog'!$A$2:$A$200,0))="","",INDEX('Test catalog'!$F$2:$F$200,MATCH($AB208,'Test catalog'!$A$2:$A$200,0))),"")</f>
        <v/>
      </c>
      <c r="L208" s="10">
        <f>IFERROR(IF(INDEX('Test catalog'!$G$2:$G$200,MATCH($AB208,'Test catalog'!$A$2:$A$200,0))="","",INDEX('Test catalog'!$G$2:$G$200,MATCH($AB208,'Test catalog'!$A$2:$A$200,0))),"")</f>
        <v/>
      </c>
      <c r="M208" s="10">
        <f>IFERROR(IF(INDEX('Test catalog'!$H$2:$H$200,MATCH($AB208,'Test catalog'!$A$2:$A$200,0))="","",INDEX('Test catalog'!$H$2:$H$200,MATCH($AB208,'Test catalog'!$A$2:$A$200,0))),"")</f>
        <v/>
      </c>
      <c r="N208" s="10">
        <f>IFERROR(IF(INDEX('Test catalog'!$I$2:$I$200,MATCH($AB208,'Test catalog'!$A$2:$A$200,0))="","",INDEX('Test catalog'!$I$2:$I$200,MATCH($AB208,'Test catalog'!$A$2:$A$200,0))),"")</f>
        <v/>
      </c>
      <c r="O208" s="10">
        <f>IFERROR(IF(INDEX('Test catalog'!$J$2:$J$200,MATCH($AB208,'Test catalog'!$A$2:$A$200,0))="","",INDEX('Test catalog'!$J$2:$J$200,MATCH($AB208,'Test catalog'!$A$2:$A$200,0))),"")</f>
        <v/>
      </c>
      <c r="P208" s="14">
        <f>IF(N208="","",IF(OR(M208="",O208=""),N208,(M208+4*N208+O208)/6))</f>
        <v/>
      </c>
      <c r="Q208" s="10">
        <f>IFERROR(IF(INDEX('Test catalog'!$K$2:$K$200,MATCH($AB208,'Test catalog'!$A$2:$A$200,0))="","",INDEX('Test catalog'!$K$2:$K$200,MATCH($AB208,'Test catalog'!$A$2:$A$200,0))),"")</f>
        <v/>
      </c>
      <c r="R208" s="5" t="n"/>
      <c r="S208" s="10">
        <f>IFERROR(IF(INDEX('Test catalog'!$L$2:$L$200,MATCH($AB208,'Test catalog'!$A$2:$A$200,0))="","",INDEX('Test catalog'!$L$2:$L$200,MATCH($AB208,'Test catalog'!$A$2:$A$200,0))),"")</f>
        <v/>
      </c>
      <c r="T208" s="10">
        <f>IFERROR(IF(INDEX('Test catalog'!$M$2:$M$200,MATCH($AB208,'Test catalog'!$A$2:$A$200,0))="","",INDEX('Test catalog'!$M$2:$M$200,MATCH($AB208,'Test catalog'!$A$2:$A$200,0))),"")</f>
        <v/>
      </c>
      <c r="U208" s="10">
        <f>IFERROR(IF(INDEX('Test catalog'!$N$2:$N$200,MATCH($AB208,'Test catalog'!$A$2:$A$200,0))="","",INDEX('Test catalog'!$N$2:$N$200,MATCH($AB208,'Test catalog'!$A$2:$A$200,0))),"")</f>
        <v/>
      </c>
      <c r="V208" s="15" t="n"/>
      <c r="W208" s="5" t="inlineStr">
        <is>
          <t>Y</t>
        </is>
      </c>
      <c r="X208" s="5" t="n"/>
      <c r="Y208" s="5" t="n"/>
      <c r="Z208" s="5" t="n"/>
      <c r="AA208" s="10">
        <f>IFERROR(IF(INDEX('Test catalog'!$O$2:$O$200,MATCH($AB208,'Test catalog'!$A$2:$A$200,0))="","",INDEX('Test catalog'!$O$2:$O$200,MATCH($AB208,'Test catalog'!$A$2:$A$200,0))),"")</f>
        <v/>
      </c>
      <c r="AB208" s="10" t="inlineStr">
        <is>
          <t>DISINT</t>
        </is>
      </c>
    </row>
    <row r="209">
      <c r="A209" s="10" t="inlineStr">
        <is>
          <t>F28</t>
        </is>
      </c>
      <c r="B209" s="10" t="inlineStr">
        <is>
          <t>FP</t>
        </is>
      </c>
      <c r="C209" s="10" t="inlineStr">
        <is>
          <t>Emet-Duo 12.5/1000; Emet-Duo 5/1000; Emet-Duo 12.5/500; Emet-Duo 5/500  |  Empagliflozin, Metformin Hydrochloride</t>
        </is>
      </c>
      <c r="D209" s="10" t="inlineStr">
        <is>
          <t>In-process check at the machine (one check, all its tests)</t>
        </is>
      </c>
      <c r="E209" s="10">
        <f>IF(A209="","",A209&amp;"|"&amp;D209)</f>
        <v/>
      </c>
      <c r="F209" s="5" t="inlineStr">
        <is>
          <t>Y</t>
        </is>
      </c>
      <c r="G209" s="5" t="inlineStr">
        <is>
          <t>Tablet tester</t>
        </is>
      </c>
      <c r="H209" s="5" t="inlineStr">
        <is>
          <t>Low</t>
        </is>
      </c>
      <c r="I209" s="5" t="n">
        <v>1</v>
      </c>
      <c r="J209" s="5" t="n"/>
      <c r="K209" s="10">
        <f>IFERROR(IF(INDEX('Test catalog'!$F$2:$F$200,MATCH($AB209,'Test catalog'!$A$2:$A$200,0))="","",INDEX('Test catalog'!$F$2:$F$200,MATCH($AB209,'Test catalog'!$A$2:$A$200,0))),"")</f>
        <v/>
      </c>
      <c r="L209" s="10">
        <f>IFERROR(IF(INDEX('Test catalog'!$G$2:$G$200,MATCH($AB209,'Test catalog'!$A$2:$A$200,0))="","",INDEX('Test catalog'!$G$2:$G$200,MATCH($AB209,'Test catalog'!$A$2:$A$200,0))),"")</f>
        <v/>
      </c>
      <c r="M209" s="10">
        <f>IFERROR(IF(INDEX('Test catalog'!$H$2:$H$200,MATCH($AB209,'Test catalog'!$A$2:$A$200,0))="","",INDEX('Test catalog'!$H$2:$H$200,MATCH($AB209,'Test catalog'!$A$2:$A$200,0))),"")</f>
        <v/>
      </c>
      <c r="N209" s="10">
        <f>IFERROR(IF(INDEX('Test catalog'!$I$2:$I$200,MATCH($AB209,'Test catalog'!$A$2:$A$200,0))="","",INDEX('Test catalog'!$I$2:$I$200,MATCH($AB209,'Test catalog'!$A$2:$A$200,0))),"")</f>
        <v/>
      </c>
      <c r="O209" s="10">
        <f>IFERROR(IF(INDEX('Test catalog'!$J$2:$J$200,MATCH($AB209,'Test catalog'!$A$2:$A$200,0))="","",INDEX('Test catalog'!$J$2:$J$200,MATCH($AB209,'Test catalog'!$A$2:$A$200,0))),"")</f>
        <v/>
      </c>
      <c r="P209" s="14">
        <f>IF(N209="","",IF(OR(M209="",O209=""),N209,(M209+4*N209+O209)/6))</f>
        <v/>
      </c>
      <c r="Q209" s="10">
        <f>IFERROR(IF(INDEX('Test catalog'!$K$2:$K$200,MATCH($AB209,'Test catalog'!$A$2:$A$200,0))="","",INDEX('Test catalog'!$K$2:$K$200,MATCH($AB209,'Test catalog'!$A$2:$A$200,0))),"")</f>
        <v/>
      </c>
      <c r="R209" s="5" t="n"/>
      <c r="S209" s="10">
        <f>IFERROR(IF(INDEX('Test catalog'!$L$2:$L$200,MATCH($AB209,'Test catalog'!$A$2:$A$200,0))="","",INDEX('Test catalog'!$L$2:$L$200,MATCH($AB209,'Test catalog'!$A$2:$A$200,0))),"")</f>
        <v/>
      </c>
      <c r="T209" s="10">
        <f>IFERROR(IF(INDEX('Test catalog'!$M$2:$M$200,MATCH($AB209,'Test catalog'!$A$2:$A$200,0))="","",INDEX('Test catalog'!$M$2:$M$200,MATCH($AB209,'Test catalog'!$A$2:$A$200,0))),"")</f>
        <v/>
      </c>
      <c r="U209" s="10">
        <f>IFERROR(IF(INDEX('Test catalog'!$N$2:$N$200,MATCH($AB209,'Test catalog'!$A$2:$A$200,0))="","",INDEX('Test catalog'!$N$2:$N$200,MATCH($AB209,'Test catalog'!$A$2:$A$200,0))),"")</f>
        <v/>
      </c>
      <c r="V209" s="15" t="n"/>
      <c r="W209" s="5" t="inlineStr">
        <is>
          <t>N</t>
        </is>
      </c>
      <c r="X209" s="5" t="n"/>
      <c r="Y209" s="5" t="n"/>
      <c r="Z209" s="5" t="n"/>
      <c r="AA209" s="10">
        <f>IFERROR(IF(INDEX('Test catalog'!$O$2:$O$200,MATCH($AB209,'Test catalog'!$A$2:$A$200,0))="","",INDEX('Test catalog'!$O$2:$O$200,MATCH($AB209,'Test catalog'!$A$2:$A$200,0))),"")</f>
        <v/>
      </c>
      <c r="AB209" s="10" t="inlineStr">
        <is>
          <t>IPC</t>
        </is>
      </c>
    </row>
    <row r="210">
      <c r="A210" s="10" t="inlineStr">
        <is>
          <t>F29</t>
        </is>
      </c>
      <c r="B210" s="10" t="inlineStr">
        <is>
          <t>FP</t>
        </is>
      </c>
      <c r="C210" s="10" t="inlineStr">
        <is>
          <t>Citicoline 500  |  Citicoline Sodium</t>
        </is>
      </c>
      <c r="D210" s="10" t="inlineStr">
        <is>
          <t>Average weight / uniformity of mass</t>
        </is>
      </c>
      <c r="E210" s="10">
        <f>IF(A210="","",A210&amp;"|"&amp;D210)</f>
        <v/>
      </c>
      <c r="F210" s="5" t="inlineStr">
        <is>
          <t>Y</t>
        </is>
      </c>
      <c r="G210" s="5" t="inlineStr">
        <is>
          <t>Balance</t>
        </is>
      </c>
      <c r="H210" s="5" t="inlineStr">
        <is>
          <t>Low</t>
        </is>
      </c>
      <c r="I210" s="5" t="n">
        <v>1</v>
      </c>
      <c r="J210" s="5" t="n"/>
      <c r="K210" s="10">
        <f>IFERROR(IF(INDEX('Test catalog'!$F$2:$F$200,MATCH($AB210,'Test catalog'!$A$2:$A$200,0))="","",INDEX('Test catalog'!$F$2:$F$200,MATCH($AB210,'Test catalog'!$A$2:$A$200,0))),"")</f>
        <v/>
      </c>
      <c r="L210" s="10">
        <f>IFERROR(IF(INDEX('Test catalog'!$G$2:$G$200,MATCH($AB210,'Test catalog'!$A$2:$A$200,0))="","",INDEX('Test catalog'!$G$2:$G$200,MATCH($AB210,'Test catalog'!$A$2:$A$200,0))),"")</f>
        <v/>
      </c>
      <c r="M210" s="10">
        <f>IFERROR(IF(INDEX('Test catalog'!$H$2:$H$200,MATCH($AB210,'Test catalog'!$A$2:$A$200,0))="","",INDEX('Test catalog'!$H$2:$H$200,MATCH($AB210,'Test catalog'!$A$2:$A$200,0))),"")</f>
        <v/>
      </c>
      <c r="N210" s="10">
        <f>IFERROR(IF(INDEX('Test catalog'!$I$2:$I$200,MATCH($AB210,'Test catalog'!$A$2:$A$200,0))="","",INDEX('Test catalog'!$I$2:$I$200,MATCH($AB210,'Test catalog'!$A$2:$A$200,0))),"")</f>
        <v/>
      </c>
      <c r="O210" s="10">
        <f>IFERROR(IF(INDEX('Test catalog'!$J$2:$J$200,MATCH($AB210,'Test catalog'!$A$2:$A$200,0))="","",INDEX('Test catalog'!$J$2:$J$200,MATCH($AB210,'Test catalog'!$A$2:$A$200,0))),"")</f>
        <v/>
      </c>
      <c r="P210" s="14">
        <f>IF(N210="","",IF(OR(M210="",O210=""),N210,(M210+4*N210+O210)/6))</f>
        <v/>
      </c>
      <c r="Q210" s="10">
        <f>IFERROR(IF(INDEX('Test catalog'!$K$2:$K$200,MATCH($AB210,'Test catalog'!$A$2:$A$200,0))="","",INDEX('Test catalog'!$K$2:$K$200,MATCH($AB210,'Test catalog'!$A$2:$A$200,0))),"")</f>
        <v/>
      </c>
      <c r="R210" s="5" t="n"/>
      <c r="S210" s="10">
        <f>IFERROR(IF(INDEX('Test catalog'!$L$2:$L$200,MATCH($AB210,'Test catalog'!$A$2:$A$200,0))="","",INDEX('Test catalog'!$L$2:$L$200,MATCH($AB210,'Test catalog'!$A$2:$A$200,0))),"")</f>
        <v/>
      </c>
      <c r="T210" s="10">
        <f>IFERROR(IF(INDEX('Test catalog'!$M$2:$M$200,MATCH($AB210,'Test catalog'!$A$2:$A$200,0))="","",INDEX('Test catalog'!$M$2:$M$200,MATCH($AB210,'Test catalog'!$A$2:$A$200,0))),"")</f>
        <v/>
      </c>
      <c r="U210" s="10">
        <f>IFERROR(IF(INDEX('Test catalog'!$N$2:$N$200,MATCH($AB210,'Test catalog'!$A$2:$A$200,0))="","",INDEX('Test catalog'!$N$2:$N$200,MATCH($AB210,'Test catalog'!$A$2:$A$200,0))),"")</f>
        <v/>
      </c>
      <c r="V210" s="15" t="n"/>
      <c r="W210" s="5" t="inlineStr">
        <is>
          <t>N</t>
        </is>
      </c>
      <c r="X210" s="5" t="n"/>
      <c r="Y210" s="5" t="n"/>
      <c r="Z210" s="5" t="n"/>
      <c r="AA210" s="10">
        <f>IFERROR(IF(INDEX('Test catalog'!$O$2:$O$200,MATCH($AB210,'Test catalog'!$A$2:$A$200,0))="","",INDEX('Test catalog'!$O$2:$O$200,MATCH($AB210,'Test catalog'!$A$2:$A$200,0))),"")</f>
        <v/>
      </c>
      <c r="AB210" s="10" t="inlineStr">
        <is>
          <t>AVG_WT</t>
        </is>
      </c>
    </row>
    <row r="211">
      <c r="A211" s="10" t="inlineStr">
        <is>
          <t>F29</t>
        </is>
      </c>
      <c r="B211" s="10" t="inlineStr">
        <is>
          <t>FP</t>
        </is>
      </c>
      <c r="C211" s="10" t="inlineStr">
        <is>
          <t>Citicoline 500  |  Citicoline Sodium</t>
        </is>
      </c>
      <c r="D211" s="10" t="inlineStr">
        <is>
          <t>Diameter (or length / width)</t>
        </is>
      </c>
      <c r="E211" s="10">
        <f>IF(A211="","",A211&amp;"|"&amp;D211)</f>
        <v/>
      </c>
      <c r="F211" s="5" t="inlineStr">
        <is>
          <t>Y</t>
        </is>
      </c>
      <c r="G211" s="5" t="inlineStr">
        <is>
          <t>Tablet tester</t>
        </is>
      </c>
      <c r="H211" s="5" t="inlineStr">
        <is>
          <t>Low</t>
        </is>
      </c>
      <c r="I211" s="5" t="n">
        <v>1</v>
      </c>
      <c r="J211" s="5" t="n"/>
      <c r="K211" s="10">
        <f>IFERROR(IF(INDEX('Test catalog'!$F$2:$F$200,MATCH($AB211,'Test catalog'!$A$2:$A$200,0))="","",INDEX('Test catalog'!$F$2:$F$200,MATCH($AB211,'Test catalog'!$A$2:$A$200,0))),"")</f>
        <v/>
      </c>
      <c r="L211" s="10">
        <f>IFERROR(IF(INDEX('Test catalog'!$G$2:$G$200,MATCH($AB211,'Test catalog'!$A$2:$A$200,0))="","",INDEX('Test catalog'!$G$2:$G$200,MATCH($AB211,'Test catalog'!$A$2:$A$200,0))),"")</f>
        <v/>
      </c>
      <c r="M211" s="10">
        <f>IFERROR(IF(INDEX('Test catalog'!$H$2:$H$200,MATCH($AB211,'Test catalog'!$A$2:$A$200,0))="","",INDEX('Test catalog'!$H$2:$H$200,MATCH($AB211,'Test catalog'!$A$2:$A$200,0))),"")</f>
        <v/>
      </c>
      <c r="N211" s="10">
        <f>IFERROR(IF(INDEX('Test catalog'!$I$2:$I$200,MATCH($AB211,'Test catalog'!$A$2:$A$200,0))="","",INDEX('Test catalog'!$I$2:$I$200,MATCH($AB211,'Test catalog'!$A$2:$A$200,0))),"")</f>
        <v/>
      </c>
      <c r="O211" s="10">
        <f>IFERROR(IF(INDEX('Test catalog'!$J$2:$J$200,MATCH($AB211,'Test catalog'!$A$2:$A$200,0))="","",INDEX('Test catalog'!$J$2:$J$200,MATCH($AB211,'Test catalog'!$A$2:$A$200,0))),"")</f>
        <v/>
      </c>
      <c r="P211" s="14">
        <f>IF(N211="","",IF(OR(M211="",O211=""),N211,(M211+4*N211+O211)/6))</f>
        <v/>
      </c>
      <c r="Q211" s="10">
        <f>IFERROR(IF(INDEX('Test catalog'!$K$2:$K$200,MATCH($AB211,'Test catalog'!$A$2:$A$200,0))="","",INDEX('Test catalog'!$K$2:$K$200,MATCH($AB211,'Test catalog'!$A$2:$A$200,0))),"")</f>
        <v/>
      </c>
      <c r="R211" s="5" t="n"/>
      <c r="S211" s="10">
        <f>IFERROR(IF(INDEX('Test catalog'!$L$2:$L$200,MATCH($AB211,'Test catalog'!$A$2:$A$200,0))="","",INDEX('Test catalog'!$L$2:$L$200,MATCH($AB211,'Test catalog'!$A$2:$A$200,0))),"")</f>
        <v/>
      </c>
      <c r="T211" s="10">
        <f>IFERROR(IF(INDEX('Test catalog'!$M$2:$M$200,MATCH($AB211,'Test catalog'!$A$2:$A$200,0))="","",INDEX('Test catalog'!$M$2:$M$200,MATCH($AB211,'Test catalog'!$A$2:$A$200,0))),"")</f>
        <v/>
      </c>
      <c r="U211" s="10">
        <f>IFERROR(IF(INDEX('Test catalog'!$N$2:$N$200,MATCH($AB211,'Test catalog'!$A$2:$A$200,0))="","",INDEX('Test catalog'!$N$2:$N$200,MATCH($AB211,'Test catalog'!$A$2:$A$200,0))),"")</f>
        <v/>
      </c>
      <c r="V211" s="15" t="n"/>
      <c r="W211" s="5" t="inlineStr">
        <is>
          <t>N</t>
        </is>
      </c>
      <c r="X211" s="5" t="n"/>
      <c r="Y211" s="5" t="n"/>
      <c r="Z211" s="5" t="n"/>
      <c r="AA211" s="10">
        <f>IFERROR(IF(INDEX('Test catalog'!$O$2:$O$200,MATCH($AB211,'Test catalog'!$A$2:$A$200,0))="","",INDEX('Test catalog'!$O$2:$O$200,MATCH($AB211,'Test catalog'!$A$2:$A$200,0))),"")</f>
        <v/>
      </c>
      <c r="AB211" s="10" t="inlineStr">
        <is>
          <t>DIAM</t>
        </is>
      </c>
    </row>
    <row r="212">
      <c r="A212" s="10" t="inlineStr">
        <is>
          <t>F29</t>
        </is>
      </c>
      <c r="B212" s="10" t="inlineStr">
        <is>
          <t>FP</t>
        </is>
      </c>
      <c r="C212" s="10" t="inlineStr">
        <is>
          <t>Citicoline 500  |  Citicoline Sodium</t>
        </is>
      </c>
      <c r="D212" s="10" t="inlineStr">
        <is>
          <t>Thickness</t>
        </is>
      </c>
      <c r="E212" s="10">
        <f>IF(A212="","",A212&amp;"|"&amp;D212)</f>
        <v/>
      </c>
      <c r="F212" s="5" t="inlineStr">
        <is>
          <t>Y</t>
        </is>
      </c>
      <c r="G212" s="5" t="inlineStr">
        <is>
          <t>Tablet tester</t>
        </is>
      </c>
      <c r="H212" s="5" t="inlineStr">
        <is>
          <t>Low</t>
        </is>
      </c>
      <c r="I212" s="5" t="n">
        <v>1</v>
      </c>
      <c r="J212" s="5" t="n"/>
      <c r="K212" s="10">
        <f>IFERROR(IF(INDEX('Test catalog'!$F$2:$F$200,MATCH($AB212,'Test catalog'!$A$2:$A$200,0))="","",INDEX('Test catalog'!$F$2:$F$200,MATCH($AB212,'Test catalog'!$A$2:$A$200,0))),"")</f>
        <v/>
      </c>
      <c r="L212" s="10">
        <f>IFERROR(IF(INDEX('Test catalog'!$G$2:$G$200,MATCH($AB212,'Test catalog'!$A$2:$A$200,0))="","",INDEX('Test catalog'!$G$2:$G$200,MATCH($AB212,'Test catalog'!$A$2:$A$200,0))),"")</f>
        <v/>
      </c>
      <c r="M212" s="10">
        <f>IFERROR(IF(INDEX('Test catalog'!$H$2:$H$200,MATCH($AB212,'Test catalog'!$A$2:$A$200,0))="","",INDEX('Test catalog'!$H$2:$H$200,MATCH($AB212,'Test catalog'!$A$2:$A$200,0))),"")</f>
        <v/>
      </c>
      <c r="N212" s="10">
        <f>IFERROR(IF(INDEX('Test catalog'!$I$2:$I$200,MATCH($AB212,'Test catalog'!$A$2:$A$200,0))="","",INDEX('Test catalog'!$I$2:$I$200,MATCH($AB212,'Test catalog'!$A$2:$A$200,0))),"")</f>
        <v/>
      </c>
      <c r="O212" s="10">
        <f>IFERROR(IF(INDEX('Test catalog'!$J$2:$J$200,MATCH($AB212,'Test catalog'!$A$2:$A$200,0))="","",INDEX('Test catalog'!$J$2:$J$200,MATCH($AB212,'Test catalog'!$A$2:$A$200,0))),"")</f>
        <v/>
      </c>
      <c r="P212" s="14">
        <f>IF(N212="","",IF(OR(M212="",O212=""),N212,(M212+4*N212+O212)/6))</f>
        <v/>
      </c>
      <c r="Q212" s="10">
        <f>IFERROR(IF(INDEX('Test catalog'!$K$2:$K$200,MATCH($AB212,'Test catalog'!$A$2:$A$200,0))="","",INDEX('Test catalog'!$K$2:$K$200,MATCH($AB212,'Test catalog'!$A$2:$A$200,0))),"")</f>
        <v/>
      </c>
      <c r="R212" s="5" t="n"/>
      <c r="S212" s="10">
        <f>IFERROR(IF(INDEX('Test catalog'!$L$2:$L$200,MATCH($AB212,'Test catalog'!$A$2:$A$200,0))="","",INDEX('Test catalog'!$L$2:$L$200,MATCH($AB212,'Test catalog'!$A$2:$A$200,0))),"")</f>
        <v/>
      </c>
      <c r="T212" s="10">
        <f>IFERROR(IF(INDEX('Test catalog'!$M$2:$M$200,MATCH($AB212,'Test catalog'!$A$2:$A$200,0))="","",INDEX('Test catalog'!$M$2:$M$200,MATCH($AB212,'Test catalog'!$A$2:$A$200,0))),"")</f>
        <v/>
      </c>
      <c r="U212" s="10">
        <f>IFERROR(IF(INDEX('Test catalog'!$N$2:$N$200,MATCH($AB212,'Test catalog'!$A$2:$A$200,0))="","",INDEX('Test catalog'!$N$2:$N$200,MATCH($AB212,'Test catalog'!$A$2:$A$200,0))),"")</f>
        <v/>
      </c>
      <c r="V212" s="15" t="n"/>
      <c r="W212" s="5" t="inlineStr">
        <is>
          <t>N</t>
        </is>
      </c>
      <c r="X212" s="5" t="n"/>
      <c r="Y212" s="5" t="n"/>
      <c r="Z212" s="5" t="n"/>
      <c r="AA212" s="10">
        <f>IFERROR(IF(INDEX('Test catalog'!$O$2:$O$200,MATCH($AB212,'Test catalog'!$A$2:$A$200,0))="","",INDEX('Test catalog'!$O$2:$O$200,MATCH($AB212,'Test catalog'!$A$2:$A$200,0))),"")</f>
        <v/>
      </c>
      <c r="AB212" s="10" t="inlineStr">
        <is>
          <t>THICK</t>
        </is>
      </c>
    </row>
    <row r="213">
      <c r="A213" s="10" t="inlineStr">
        <is>
          <t>F29</t>
        </is>
      </c>
      <c r="B213" s="10" t="inlineStr">
        <is>
          <t>FP</t>
        </is>
      </c>
      <c r="C213" s="10" t="inlineStr">
        <is>
          <t>Citicoline 500  |  Citicoline Sodium</t>
        </is>
      </c>
      <c r="D213" s="10" t="inlineStr">
        <is>
          <t>Hardness / breaking force</t>
        </is>
      </c>
      <c r="E213" s="10">
        <f>IF(A213="","",A213&amp;"|"&amp;D213)</f>
        <v/>
      </c>
      <c r="F213" s="5" t="inlineStr">
        <is>
          <t>Y</t>
        </is>
      </c>
      <c r="G213" s="5" t="inlineStr">
        <is>
          <t>Tablet tester</t>
        </is>
      </c>
      <c r="H213" s="5" t="inlineStr">
        <is>
          <t>Low</t>
        </is>
      </c>
      <c r="I213" s="5" t="n">
        <v>1</v>
      </c>
      <c r="J213" s="5" t="n"/>
      <c r="K213" s="10">
        <f>IFERROR(IF(INDEX('Test catalog'!$F$2:$F$200,MATCH($AB213,'Test catalog'!$A$2:$A$200,0))="","",INDEX('Test catalog'!$F$2:$F$200,MATCH($AB213,'Test catalog'!$A$2:$A$200,0))),"")</f>
        <v/>
      </c>
      <c r="L213" s="10">
        <f>IFERROR(IF(INDEX('Test catalog'!$G$2:$G$200,MATCH($AB213,'Test catalog'!$A$2:$A$200,0))="","",INDEX('Test catalog'!$G$2:$G$200,MATCH($AB213,'Test catalog'!$A$2:$A$200,0))),"")</f>
        <v/>
      </c>
      <c r="M213" s="10">
        <f>IFERROR(IF(INDEX('Test catalog'!$H$2:$H$200,MATCH($AB213,'Test catalog'!$A$2:$A$200,0))="","",INDEX('Test catalog'!$H$2:$H$200,MATCH($AB213,'Test catalog'!$A$2:$A$200,0))),"")</f>
        <v/>
      </c>
      <c r="N213" s="10">
        <f>IFERROR(IF(INDEX('Test catalog'!$I$2:$I$200,MATCH($AB213,'Test catalog'!$A$2:$A$200,0))="","",INDEX('Test catalog'!$I$2:$I$200,MATCH($AB213,'Test catalog'!$A$2:$A$200,0))),"")</f>
        <v/>
      </c>
      <c r="O213" s="10">
        <f>IFERROR(IF(INDEX('Test catalog'!$J$2:$J$200,MATCH($AB213,'Test catalog'!$A$2:$A$200,0))="","",INDEX('Test catalog'!$J$2:$J$200,MATCH($AB213,'Test catalog'!$A$2:$A$200,0))),"")</f>
        <v/>
      </c>
      <c r="P213" s="14">
        <f>IF(N213="","",IF(OR(M213="",O213=""),N213,(M213+4*N213+O213)/6))</f>
        <v/>
      </c>
      <c r="Q213" s="10">
        <f>IFERROR(IF(INDEX('Test catalog'!$K$2:$K$200,MATCH($AB213,'Test catalog'!$A$2:$A$200,0))="","",INDEX('Test catalog'!$K$2:$K$200,MATCH($AB213,'Test catalog'!$A$2:$A$200,0))),"")</f>
        <v/>
      </c>
      <c r="R213" s="5" t="n"/>
      <c r="S213" s="10">
        <f>IFERROR(IF(INDEX('Test catalog'!$L$2:$L$200,MATCH($AB213,'Test catalog'!$A$2:$A$200,0))="","",INDEX('Test catalog'!$L$2:$L$200,MATCH($AB213,'Test catalog'!$A$2:$A$200,0))),"")</f>
        <v/>
      </c>
      <c r="T213" s="10">
        <f>IFERROR(IF(INDEX('Test catalog'!$M$2:$M$200,MATCH($AB213,'Test catalog'!$A$2:$A$200,0))="","",INDEX('Test catalog'!$M$2:$M$200,MATCH($AB213,'Test catalog'!$A$2:$A$200,0))),"")</f>
        <v/>
      </c>
      <c r="U213" s="10">
        <f>IFERROR(IF(INDEX('Test catalog'!$N$2:$N$200,MATCH($AB213,'Test catalog'!$A$2:$A$200,0))="","",INDEX('Test catalog'!$N$2:$N$200,MATCH($AB213,'Test catalog'!$A$2:$A$200,0))),"")</f>
        <v/>
      </c>
      <c r="V213" s="15" t="n"/>
      <c r="W213" s="5" t="inlineStr">
        <is>
          <t>Y</t>
        </is>
      </c>
      <c r="X213" s="5" t="n"/>
      <c r="Y213" s="5" t="n"/>
      <c r="Z213" s="5" t="n"/>
      <c r="AA213" s="10">
        <f>IFERROR(IF(INDEX('Test catalog'!$O$2:$O$200,MATCH($AB213,'Test catalog'!$A$2:$A$200,0))="","",INDEX('Test catalog'!$O$2:$O$200,MATCH($AB213,'Test catalog'!$A$2:$A$200,0))),"")</f>
        <v/>
      </c>
      <c r="AB213" s="10" t="inlineStr">
        <is>
          <t>HARD</t>
        </is>
      </c>
    </row>
    <row r="214">
      <c r="A214" s="10" t="inlineStr">
        <is>
          <t>F29</t>
        </is>
      </c>
      <c r="B214" s="10" t="inlineStr">
        <is>
          <t>FP</t>
        </is>
      </c>
      <c r="C214" s="10" t="inlineStr">
        <is>
          <t>Citicoline 500  |  Citicoline Sodium</t>
        </is>
      </c>
      <c r="D214" s="10" t="inlineStr">
        <is>
          <t>Brittleness</t>
        </is>
      </c>
      <c r="E214" s="10">
        <f>IF(A214="","",A214&amp;"|"&amp;D214)</f>
        <v/>
      </c>
      <c r="F214" s="5" t="inlineStr">
        <is>
          <t>Y</t>
        </is>
      </c>
      <c r="G214" s="5" t="inlineStr">
        <is>
          <t>Other / bench</t>
        </is>
      </c>
      <c r="H214" s="5" t="inlineStr">
        <is>
          <t>Low</t>
        </is>
      </c>
      <c r="I214" s="5" t="n">
        <v>1</v>
      </c>
      <c r="J214" s="5" t="n"/>
      <c r="K214" s="10">
        <f>IFERROR(IF(INDEX('Test catalog'!$F$2:$F$200,MATCH($AB214,'Test catalog'!$A$2:$A$200,0))="","",INDEX('Test catalog'!$F$2:$F$200,MATCH($AB214,'Test catalog'!$A$2:$A$200,0))),"")</f>
        <v/>
      </c>
      <c r="L214" s="10">
        <f>IFERROR(IF(INDEX('Test catalog'!$G$2:$G$200,MATCH($AB214,'Test catalog'!$A$2:$A$200,0))="","",INDEX('Test catalog'!$G$2:$G$200,MATCH($AB214,'Test catalog'!$A$2:$A$200,0))),"")</f>
        <v/>
      </c>
      <c r="M214" s="10">
        <f>IFERROR(IF(INDEX('Test catalog'!$H$2:$H$200,MATCH($AB214,'Test catalog'!$A$2:$A$200,0))="","",INDEX('Test catalog'!$H$2:$H$200,MATCH($AB214,'Test catalog'!$A$2:$A$200,0))),"")</f>
        <v/>
      </c>
      <c r="N214" s="10">
        <f>IFERROR(IF(INDEX('Test catalog'!$I$2:$I$200,MATCH($AB214,'Test catalog'!$A$2:$A$200,0))="","",INDEX('Test catalog'!$I$2:$I$200,MATCH($AB214,'Test catalog'!$A$2:$A$200,0))),"")</f>
        <v/>
      </c>
      <c r="O214" s="10">
        <f>IFERROR(IF(INDEX('Test catalog'!$J$2:$J$200,MATCH($AB214,'Test catalog'!$A$2:$A$200,0))="","",INDEX('Test catalog'!$J$2:$J$200,MATCH($AB214,'Test catalog'!$A$2:$A$200,0))),"")</f>
        <v/>
      </c>
      <c r="P214" s="14">
        <f>IF(N214="","",IF(OR(M214="",O214=""),N214,(M214+4*N214+O214)/6))</f>
        <v/>
      </c>
      <c r="Q214" s="10">
        <f>IFERROR(IF(INDEX('Test catalog'!$K$2:$K$200,MATCH($AB214,'Test catalog'!$A$2:$A$200,0))="","",INDEX('Test catalog'!$K$2:$K$200,MATCH($AB214,'Test catalog'!$A$2:$A$200,0))),"")</f>
        <v/>
      </c>
      <c r="R214" s="5" t="n"/>
      <c r="S214" s="10">
        <f>IFERROR(IF(INDEX('Test catalog'!$L$2:$L$200,MATCH($AB214,'Test catalog'!$A$2:$A$200,0))="","",INDEX('Test catalog'!$L$2:$L$200,MATCH($AB214,'Test catalog'!$A$2:$A$200,0))),"")</f>
        <v/>
      </c>
      <c r="T214" s="10">
        <f>IFERROR(IF(INDEX('Test catalog'!$M$2:$M$200,MATCH($AB214,'Test catalog'!$A$2:$A$200,0))="","",INDEX('Test catalog'!$M$2:$M$200,MATCH($AB214,'Test catalog'!$A$2:$A$200,0))),"")</f>
        <v/>
      </c>
      <c r="U214" s="10">
        <f>IFERROR(IF(INDEX('Test catalog'!$N$2:$N$200,MATCH($AB214,'Test catalog'!$A$2:$A$200,0))="","",INDEX('Test catalog'!$N$2:$N$200,MATCH($AB214,'Test catalog'!$A$2:$A$200,0))),"")</f>
        <v/>
      </c>
      <c r="V214" s="15" t="n"/>
      <c r="W214" s="5" t="inlineStr">
        <is>
          <t>N</t>
        </is>
      </c>
      <c r="X214" s="5" t="n"/>
      <c r="Y214" s="5" t="n"/>
      <c r="Z214" s="5" t="n"/>
      <c r="AA214" s="10">
        <f>IFERROR(IF(INDEX('Test catalog'!$O$2:$O$200,MATCH($AB214,'Test catalog'!$A$2:$A$200,0))="","",INDEX('Test catalog'!$O$2:$O$200,MATCH($AB214,'Test catalog'!$A$2:$A$200,0))),"")</f>
        <v/>
      </c>
      <c r="AB214" s="10" t="inlineStr">
        <is>
          <t>BRITTLE</t>
        </is>
      </c>
    </row>
    <row r="215">
      <c r="A215" s="10" t="inlineStr">
        <is>
          <t>F29</t>
        </is>
      </c>
      <c r="B215" s="10" t="inlineStr">
        <is>
          <t>FP</t>
        </is>
      </c>
      <c r="C215" s="10" t="inlineStr">
        <is>
          <t>Citicoline 500  |  Citicoline Sodium</t>
        </is>
      </c>
      <c r="D215" s="10" t="inlineStr">
        <is>
          <t>Friability</t>
        </is>
      </c>
      <c r="E215" s="10">
        <f>IF(A215="","",A215&amp;"|"&amp;D215)</f>
        <v/>
      </c>
      <c r="F215" s="5" t="inlineStr">
        <is>
          <t>Y</t>
        </is>
      </c>
      <c r="G215" s="5" t="inlineStr">
        <is>
          <t>Friabilator</t>
        </is>
      </c>
      <c r="H215" s="5" t="inlineStr">
        <is>
          <t>Low</t>
        </is>
      </c>
      <c r="I215" s="5" t="n">
        <v>1</v>
      </c>
      <c r="J215" s="5" t="n"/>
      <c r="K215" s="10">
        <f>IFERROR(IF(INDEX('Test catalog'!$F$2:$F$200,MATCH($AB215,'Test catalog'!$A$2:$A$200,0))="","",INDEX('Test catalog'!$F$2:$F$200,MATCH($AB215,'Test catalog'!$A$2:$A$200,0))),"")</f>
        <v/>
      </c>
      <c r="L215" s="10">
        <f>IFERROR(IF(INDEX('Test catalog'!$G$2:$G$200,MATCH($AB215,'Test catalog'!$A$2:$A$200,0))="","",INDEX('Test catalog'!$G$2:$G$200,MATCH($AB215,'Test catalog'!$A$2:$A$200,0))),"")</f>
        <v/>
      </c>
      <c r="M215" s="10">
        <f>IFERROR(IF(INDEX('Test catalog'!$H$2:$H$200,MATCH($AB215,'Test catalog'!$A$2:$A$200,0))="","",INDEX('Test catalog'!$H$2:$H$200,MATCH($AB215,'Test catalog'!$A$2:$A$200,0))),"")</f>
        <v/>
      </c>
      <c r="N215" s="10">
        <f>IFERROR(IF(INDEX('Test catalog'!$I$2:$I$200,MATCH($AB215,'Test catalog'!$A$2:$A$200,0))="","",INDEX('Test catalog'!$I$2:$I$200,MATCH($AB215,'Test catalog'!$A$2:$A$200,0))),"")</f>
        <v/>
      </c>
      <c r="O215" s="10">
        <f>IFERROR(IF(INDEX('Test catalog'!$J$2:$J$200,MATCH($AB215,'Test catalog'!$A$2:$A$200,0))="","",INDEX('Test catalog'!$J$2:$J$200,MATCH($AB215,'Test catalog'!$A$2:$A$200,0))),"")</f>
        <v/>
      </c>
      <c r="P215" s="14">
        <f>IF(N215="","",IF(OR(M215="",O215=""),N215,(M215+4*N215+O215)/6))</f>
        <v/>
      </c>
      <c r="Q215" s="10">
        <f>IFERROR(IF(INDEX('Test catalog'!$K$2:$K$200,MATCH($AB215,'Test catalog'!$A$2:$A$200,0))="","",INDEX('Test catalog'!$K$2:$K$200,MATCH($AB215,'Test catalog'!$A$2:$A$200,0))),"")</f>
        <v/>
      </c>
      <c r="R215" s="5" t="n"/>
      <c r="S215" s="10">
        <f>IFERROR(IF(INDEX('Test catalog'!$L$2:$L$200,MATCH($AB215,'Test catalog'!$A$2:$A$200,0))="","",INDEX('Test catalog'!$L$2:$L$200,MATCH($AB215,'Test catalog'!$A$2:$A$200,0))),"")</f>
        <v/>
      </c>
      <c r="T215" s="10">
        <f>IFERROR(IF(INDEX('Test catalog'!$M$2:$M$200,MATCH($AB215,'Test catalog'!$A$2:$A$200,0))="","",INDEX('Test catalog'!$M$2:$M$200,MATCH($AB215,'Test catalog'!$A$2:$A$200,0))),"")</f>
        <v/>
      </c>
      <c r="U215" s="10">
        <f>IFERROR(IF(INDEX('Test catalog'!$N$2:$N$200,MATCH($AB215,'Test catalog'!$A$2:$A$200,0))="","",INDEX('Test catalog'!$N$2:$N$200,MATCH($AB215,'Test catalog'!$A$2:$A$200,0))),"")</f>
        <v/>
      </c>
      <c r="V215" s="15" t="n"/>
      <c r="W215" s="5" t="inlineStr">
        <is>
          <t>N</t>
        </is>
      </c>
      <c r="X215" s="5" t="n"/>
      <c r="Y215" s="5" t="n"/>
      <c r="Z215" s="5" t="n"/>
      <c r="AA215" s="10">
        <f>IFERROR(IF(INDEX('Test catalog'!$O$2:$O$200,MATCH($AB215,'Test catalog'!$A$2:$A$200,0))="","",INDEX('Test catalog'!$O$2:$O$200,MATCH($AB215,'Test catalog'!$A$2:$A$200,0))),"")</f>
        <v/>
      </c>
      <c r="AB215" s="10" t="inlineStr">
        <is>
          <t>FRIAB</t>
        </is>
      </c>
    </row>
    <row r="216">
      <c r="A216" s="10" t="inlineStr">
        <is>
          <t>F29</t>
        </is>
      </c>
      <c r="B216" s="10" t="inlineStr">
        <is>
          <t>FP</t>
        </is>
      </c>
      <c r="C216" s="10" t="inlineStr">
        <is>
          <t>Citicoline 500  |  Citicoline Sodium</t>
        </is>
      </c>
      <c r="D216" s="10" t="inlineStr">
        <is>
          <t>Disintegration</t>
        </is>
      </c>
      <c r="E216" s="10">
        <f>IF(A216="","",A216&amp;"|"&amp;D216)</f>
        <v/>
      </c>
      <c r="F216" s="5" t="inlineStr">
        <is>
          <t>Y</t>
        </is>
      </c>
      <c r="G216" s="5" t="inlineStr">
        <is>
          <t>Disintegration tester</t>
        </is>
      </c>
      <c r="H216" s="5" t="inlineStr">
        <is>
          <t>Low</t>
        </is>
      </c>
      <c r="I216" s="5" t="n">
        <v>1</v>
      </c>
      <c r="J216" s="5" t="n"/>
      <c r="K216" s="10">
        <f>IFERROR(IF(INDEX('Test catalog'!$F$2:$F$200,MATCH($AB216,'Test catalog'!$A$2:$A$200,0))="","",INDEX('Test catalog'!$F$2:$F$200,MATCH($AB216,'Test catalog'!$A$2:$A$200,0))),"")</f>
        <v/>
      </c>
      <c r="L216" s="10">
        <f>IFERROR(IF(INDEX('Test catalog'!$G$2:$G$200,MATCH($AB216,'Test catalog'!$A$2:$A$200,0))="","",INDEX('Test catalog'!$G$2:$G$200,MATCH($AB216,'Test catalog'!$A$2:$A$200,0))),"")</f>
        <v/>
      </c>
      <c r="M216" s="10">
        <f>IFERROR(IF(INDEX('Test catalog'!$H$2:$H$200,MATCH($AB216,'Test catalog'!$A$2:$A$200,0))="","",INDEX('Test catalog'!$H$2:$H$200,MATCH($AB216,'Test catalog'!$A$2:$A$200,0))),"")</f>
        <v/>
      </c>
      <c r="N216" s="10">
        <f>IFERROR(IF(INDEX('Test catalog'!$I$2:$I$200,MATCH($AB216,'Test catalog'!$A$2:$A$200,0))="","",INDEX('Test catalog'!$I$2:$I$200,MATCH($AB216,'Test catalog'!$A$2:$A$200,0))),"")</f>
        <v/>
      </c>
      <c r="O216" s="10">
        <f>IFERROR(IF(INDEX('Test catalog'!$J$2:$J$200,MATCH($AB216,'Test catalog'!$A$2:$A$200,0))="","",INDEX('Test catalog'!$J$2:$J$200,MATCH($AB216,'Test catalog'!$A$2:$A$200,0))),"")</f>
        <v/>
      </c>
      <c r="P216" s="14">
        <f>IF(N216="","",IF(OR(M216="",O216=""),N216,(M216+4*N216+O216)/6))</f>
        <v/>
      </c>
      <c r="Q216" s="10">
        <f>IFERROR(IF(INDEX('Test catalog'!$K$2:$K$200,MATCH($AB216,'Test catalog'!$A$2:$A$200,0))="","",INDEX('Test catalog'!$K$2:$K$200,MATCH($AB216,'Test catalog'!$A$2:$A$200,0))),"")</f>
        <v/>
      </c>
      <c r="R216" s="5" t="n"/>
      <c r="S216" s="10">
        <f>IFERROR(IF(INDEX('Test catalog'!$L$2:$L$200,MATCH($AB216,'Test catalog'!$A$2:$A$200,0))="","",INDEX('Test catalog'!$L$2:$L$200,MATCH($AB216,'Test catalog'!$A$2:$A$200,0))),"")</f>
        <v/>
      </c>
      <c r="T216" s="10">
        <f>IFERROR(IF(INDEX('Test catalog'!$M$2:$M$200,MATCH($AB216,'Test catalog'!$A$2:$A$200,0))="","",INDEX('Test catalog'!$M$2:$M$200,MATCH($AB216,'Test catalog'!$A$2:$A$200,0))),"")</f>
        <v/>
      </c>
      <c r="U216" s="10">
        <f>IFERROR(IF(INDEX('Test catalog'!$N$2:$N$200,MATCH($AB216,'Test catalog'!$A$2:$A$200,0))="","",INDEX('Test catalog'!$N$2:$N$200,MATCH($AB216,'Test catalog'!$A$2:$A$200,0))),"")</f>
        <v/>
      </c>
      <c r="V216" s="15" t="n"/>
      <c r="W216" s="5" t="inlineStr">
        <is>
          <t>Y</t>
        </is>
      </c>
      <c r="X216" s="5" t="n"/>
      <c r="Y216" s="5" t="n"/>
      <c r="Z216" s="5" t="n"/>
      <c r="AA216" s="10">
        <f>IFERROR(IF(INDEX('Test catalog'!$O$2:$O$200,MATCH($AB216,'Test catalog'!$A$2:$A$200,0))="","",INDEX('Test catalog'!$O$2:$O$200,MATCH($AB216,'Test catalog'!$A$2:$A$200,0))),"")</f>
        <v/>
      </c>
      <c r="AB216" s="10" t="inlineStr">
        <is>
          <t>DISINT</t>
        </is>
      </c>
    </row>
    <row r="217">
      <c r="A217" s="10" t="inlineStr">
        <is>
          <t>F29</t>
        </is>
      </c>
      <c r="B217" s="10" t="inlineStr">
        <is>
          <t>FP</t>
        </is>
      </c>
      <c r="C217" s="10" t="inlineStr">
        <is>
          <t>Citicoline 500  |  Citicoline Sodium</t>
        </is>
      </c>
      <c r="D217" s="10" t="inlineStr">
        <is>
          <t>In-process check at the machine (one check, all its tests)</t>
        </is>
      </c>
      <c r="E217" s="10">
        <f>IF(A217="","",A217&amp;"|"&amp;D217)</f>
        <v/>
      </c>
      <c r="F217" s="5" t="inlineStr">
        <is>
          <t>Y</t>
        </is>
      </c>
      <c r="G217" s="5" t="inlineStr">
        <is>
          <t>Tablet tester</t>
        </is>
      </c>
      <c r="H217" s="5" t="inlineStr">
        <is>
          <t>Low</t>
        </is>
      </c>
      <c r="I217" s="5" t="n">
        <v>1</v>
      </c>
      <c r="J217" s="5" t="n"/>
      <c r="K217" s="10">
        <f>IFERROR(IF(INDEX('Test catalog'!$F$2:$F$200,MATCH($AB217,'Test catalog'!$A$2:$A$200,0))="","",INDEX('Test catalog'!$F$2:$F$200,MATCH($AB217,'Test catalog'!$A$2:$A$200,0))),"")</f>
        <v/>
      </c>
      <c r="L217" s="10">
        <f>IFERROR(IF(INDEX('Test catalog'!$G$2:$G$200,MATCH($AB217,'Test catalog'!$A$2:$A$200,0))="","",INDEX('Test catalog'!$G$2:$G$200,MATCH($AB217,'Test catalog'!$A$2:$A$200,0))),"")</f>
        <v/>
      </c>
      <c r="M217" s="10">
        <f>IFERROR(IF(INDEX('Test catalog'!$H$2:$H$200,MATCH($AB217,'Test catalog'!$A$2:$A$200,0))="","",INDEX('Test catalog'!$H$2:$H$200,MATCH($AB217,'Test catalog'!$A$2:$A$200,0))),"")</f>
        <v/>
      </c>
      <c r="N217" s="10">
        <f>IFERROR(IF(INDEX('Test catalog'!$I$2:$I$200,MATCH($AB217,'Test catalog'!$A$2:$A$200,0))="","",INDEX('Test catalog'!$I$2:$I$200,MATCH($AB217,'Test catalog'!$A$2:$A$200,0))),"")</f>
        <v/>
      </c>
      <c r="O217" s="10">
        <f>IFERROR(IF(INDEX('Test catalog'!$J$2:$J$200,MATCH($AB217,'Test catalog'!$A$2:$A$200,0))="","",INDEX('Test catalog'!$J$2:$J$200,MATCH($AB217,'Test catalog'!$A$2:$A$200,0))),"")</f>
        <v/>
      </c>
      <c r="P217" s="14">
        <f>IF(N217="","",IF(OR(M217="",O217=""),N217,(M217+4*N217+O217)/6))</f>
        <v/>
      </c>
      <c r="Q217" s="10">
        <f>IFERROR(IF(INDEX('Test catalog'!$K$2:$K$200,MATCH($AB217,'Test catalog'!$A$2:$A$200,0))="","",INDEX('Test catalog'!$K$2:$K$200,MATCH($AB217,'Test catalog'!$A$2:$A$200,0))),"")</f>
        <v/>
      </c>
      <c r="R217" s="5" t="n"/>
      <c r="S217" s="10">
        <f>IFERROR(IF(INDEX('Test catalog'!$L$2:$L$200,MATCH($AB217,'Test catalog'!$A$2:$A$200,0))="","",INDEX('Test catalog'!$L$2:$L$200,MATCH($AB217,'Test catalog'!$A$2:$A$200,0))),"")</f>
        <v/>
      </c>
      <c r="T217" s="10">
        <f>IFERROR(IF(INDEX('Test catalog'!$M$2:$M$200,MATCH($AB217,'Test catalog'!$A$2:$A$200,0))="","",INDEX('Test catalog'!$M$2:$M$200,MATCH($AB217,'Test catalog'!$A$2:$A$200,0))),"")</f>
        <v/>
      </c>
      <c r="U217" s="10">
        <f>IFERROR(IF(INDEX('Test catalog'!$N$2:$N$200,MATCH($AB217,'Test catalog'!$A$2:$A$200,0))="","",INDEX('Test catalog'!$N$2:$N$200,MATCH($AB217,'Test catalog'!$A$2:$A$200,0))),"")</f>
        <v/>
      </c>
      <c r="V217" s="15" t="n"/>
      <c r="W217" s="5" t="inlineStr">
        <is>
          <t>N</t>
        </is>
      </c>
      <c r="X217" s="5" t="n"/>
      <c r="Y217" s="5" t="n"/>
      <c r="Z217" s="5" t="n"/>
      <c r="AA217" s="10">
        <f>IFERROR(IF(INDEX('Test catalog'!$O$2:$O$200,MATCH($AB217,'Test catalog'!$A$2:$A$200,0))="","",INDEX('Test catalog'!$O$2:$O$200,MATCH($AB217,'Test catalog'!$A$2:$A$200,0))),"")</f>
        <v/>
      </c>
      <c r="AB217" s="10" t="inlineStr">
        <is>
          <t>IPC</t>
        </is>
      </c>
    </row>
    <row r="218">
      <c r="A218" s="10" t="inlineStr">
        <is>
          <t>F30</t>
        </is>
      </c>
      <c r="B218" s="10" t="inlineStr">
        <is>
          <t>FP</t>
        </is>
      </c>
      <c r="C218" s="10" t="inlineStr">
        <is>
          <t>NMN  |  Nicotinamide Mononucleotide (NMN) Granule</t>
        </is>
      </c>
      <c r="D218" s="10" t="inlineStr">
        <is>
          <t>Average weight / uniformity of mass</t>
        </is>
      </c>
      <c r="E218" s="10">
        <f>IF(A218="","",A218&amp;"|"&amp;D218)</f>
        <v/>
      </c>
      <c r="F218" s="5" t="inlineStr">
        <is>
          <t>Y</t>
        </is>
      </c>
      <c r="G218" s="5" t="inlineStr">
        <is>
          <t>Balance</t>
        </is>
      </c>
      <c r="H218" s="5" t="inlineStr">
        <is>
          <t>Low</t>
        </is>
      </c>
      <c r="I218" s="5" t="n">
        <v>1</v>
      </c>
      <c r="J218" s="5" t="n"/>
      <c r="K218" s="10">
        <f>IFERROR(IF(INDEX('Test catalog'!$F$2:$F$200,MATCH($AB218,'Test catalog'!$A$2:$A$200,0))="","",INDEX('Test catalog'!$F$2:$F$200,MATCH($AB218,'Test catalog'!$A$2:$A$200,0))),"")</f>
        <v/>
      </c>
      <c r="L218" s="10">
        <f>IFERROR(IF(INDEX('Test catalog'!$G$2:$G$200,MATCH($AB218,'Test catalog'!$A$2:$A$200,0))="","",INDEX('Test catalog'!$G$2:$G$200,MATCH($AB218,'Test catalog'!$A$2:$A$200,0))),"")</f>
        <v/>
      </c>
      <c r="M218" s="10">
        <f>IFERROR(IF(INDEX('Test catalog'!$H$2:$H$200,MATCH($AB218,'Test catalog'!$A$2:$A$200,0))="","",INDEX('Test catalog'!$H$2:$H$200,MATCH($AB218,'Test catalog'!$A$2:$A$200,0))),"")</f>
        <v/>
      </c>
      <c r="N218" s="10">
        <f>IFERROR(IF(INDEX('Test catalog'!$I$2:$I$200,MATCH($AB218,'Test catalog'!$A$2:$A$200,0))="","",INDEX('Test catalog'!$I$2:$I$200,MATCH($AB218,'Test catalog'!$A$2:$A$200,0))),"")</f>
        <v/>
      </c>
      <c r="O218" s="10">
        <f>IFERROR(IF(INDEX('Test catalog'!$J$2:$J$200,MATCH($AB218,'Test catalog'!$A$2:$A$200,0))="","",INDEX('Test catalog'!$J$2:$J$200,MATCH($AB218,'Test catalog'!$A$2:$A$200,0))),"")</f>
        <v/>
      </c>
      <c r="P218" s="14">
        <f>IF(N218="","",IF(OR(M218="",O218=""),N218,(M218+4*N218+O218)/6))</f>
        <v/>
      </c>
      <c r="Q218" s="10">
        <f>IFERROR(IF(INDEX('Test catalog'!$K$2:$K$200,MATCH($AB218,'Test catalog'!$A$2:$A$200,0))="","",INDEX('Test catalog'!$K$2:$K$200,MATCH($AB218,'Test catalog'!$A$2:$A$200,0))),"")</f>
        <v/>
      </c>
      <c r="R218" s="5" t="n"/>
      <c r="S218" s="10">
        <f>IFERROR(IF(INDEX('Test catalog'!$L$2:$L$200,MATCH($AB218,'Test catalog'!$A$2:$A$200,0))="","",INDEX('Test catalog'!$L$2:$L$200,MATCH($AB218,'Test catalog'!$A$2:$A$200,0))),"")</f>
        <v/>
      </c>
      <c r="T218" s="10">
        <f>IFERROR(IF(INDEX('Test catalog'!$M$2:$M$200,MATCH($AB218,'Test catalog'!$A$2:$A$200,0))="","",INDEX('Test catalog'!$M$2:$M$200,MATCH($AB218,'Test catalog'!$A$2:$A$200,0))),"")</f>
        <v/>
      </c>
      <c r="U218" s="10">
        <f>IFERROR(IF(INDEX('Test catalog'!$N$2:$N$200,MATCH($AB218,'Test catalog'!$A$2:$A$200,0))="","",INDEX('Test catalog'!$N$2:$N$200,MATCH($AB218,'Test catalog'!$A$2:$A$200,0))),"")</f>
        <v/>
      </c>
      <c r="V218" s="15" t="n"/>
      <c r="W218" s="5" t="inlineStr">
        <is>
          <t>N</t>
        </is>
      </c>
      <c r="X218" s="5" t="n"/>
      <c r="Y218" s="5" t="n"/>
      <c r="Z218" s="5" t="n"/>
      <c r="AA218" s="10">
        <f>IFERROR(IF(INDEX('Test catalog'!$O$2:$O$200,MATCH($AB218,'Test catalog'!$A$2:$A$200,0))="","",INDEX('Test catalog'!$O$2:$O$200,MATCH($AB218,'Test catalog'!$A$2:$A$200,0))),"")</f>
        <v/>
      </c>
      <c r="AB218" s="10" t="inlineStr">
        <is>
          <t>AVG_WT</t>
        </is>
      </c>
    </row>
    <row r="219">
      <c r="A219" s="10" t="inlineStr">
        <is>
          <t>F30</t>
        </is>
      </c>
      <c r="B219" s="10" t="inlineStr">
        <is>
          <t>FP</t>
        </is>
      </c>
      <c r="C219" s="10" t="inlineStr">
        <is>
          <t>NMN  |  Nicotinamide Mononucleotide (NMN) Granule</t>
        </is>
      </c>
      <c r="D219" s="10" t="inlineStr">
        <is>
          <t>Diameter (or length / width)</t>
        </is>
      </c>
      <c r="E219" s="10">
        <f>IF(A219="","",A219&amp;"|"&amp;D219)</f>
        <v/>
      </c>
      <c r="F219" s="5" t="inlineStr">
        <is>
          <t>Y</t>
        </is>
      </c>
      <c r="G219" s="5" t="inlineStr">
        <is>
          <t>Tablet tester</t>
        </is>
      </c>
      <c r="H219" s="5" t="inlineStr">
        <is>
          <t>Low</t>
        </is>
      </c>
      <c r="I219" s="5" t="n">
        <v>1</v>
      </c>
      <c r="J219" s="5" t="n"/>
      <c r="K219" s="10">
        <f>IFERROR(IF(INDEX('Test catalog'!$F$2:$F$200,MATCH($AB219,'Test catalog'!$A$2:$A$200,0))="","",INDEX('Test catalog'!$F$2:$F$200,MATCH($AB219,'Test catalog'!$A$2:$A$200,0))),"")</f>
        <v/>
      </c>
      <c r="L219" s="10">
        <f>IFERROR(IF(INDEX('Test catalog'!$G$2:$G$200,MATCH($AB219,'Test catalog'!$A$2:$A$200,0))="","",INDEX('Test catalog'!$G$2:$G$200,MATCH($AB219,'Test catalog'!$A$2:$A$200,0))),"")</f>
        <v/>
      </c>
      <c r="M219" s="10">
        <f>IFERROR(IF(INDEX('Test catalog'!$H$2:$H$200,MATCH($AB219,'Test catalog'!$A$2:$A$200,0))="","",INDEX('Test catalog'!$H$2:$H$200,MATCH($AB219,'Test catalog'!$A$2:$A$200,0))),"")</f>
        <v/>
      </c>
      <c r="N219" s="10">
        <f>IFERROR(IF(INDEX('Test catalog'!$I$2:$I$200,MATCH($AB219,'Test catalog'!$A$2:$A$200,0))="","",INDEX('Test catalog'!$I$2:$I$200,MATCH($AB219,'Test catalog'!$A$2:$A$200,0))),"")</f>
        <v/>
      </c>
      <c r="O219" s="10">
        <f>IFERROR(IF(INDEX('Test catalog'!$J$2:$J$200,MATCH($AB219,'Test catalog'!$A$2:$A$200,0))="","",INDEX('Test catalog'!$J$2:$J$200,MATCH($AB219,'Test catalog'!$A$2:$A$200,0))),"")</f>
        <v/>
      </c>
      <c r="P219" s="14">
        <f>IF(N219="","",IF(OR(M219="",O219=""),N219,(M219+4*N219+O219)/6))</f>
        <v/>
      </c>
      <c r="Q219" s="10">
        <f>IFERROR(IF(INDEX('Test catalog'!$K$2:$K$200,MATCH($AB219,'Test catalog'!$A$2:$A$200,0))="","",INDEX('Test catalog'!$K$2:$K$200,MATCH($AB219,'Test catalog'!$A$2:$A$200,0))),"")</f>
        <v/>
      </c>
      <c r="R219" s="5" t="n"/>
      <c r="S219" s="10">
        <f>IFERROR(IF(INDEX('Test catalog'!$L$2:$L$200,MATCH($AB219,'Test catalog'!$A$2:$A$200,0))="","",INDEX('Test catalog'!$L$2:$L$200,MATCH($AB219,'Test catalog'!$A$2:$A$200,0))),"")</f>
        <v/>
      </c>
      <c r="T219" s="10">
        <f>IFERROR(IF(INDEX('Test catalog'!$M$2:$M$200,MATCH($AB219,'Test catalog'!$A$2:$A$200,0))="","",INDEX('Test catalog'!$M$2:$M$200,MATCH($AB219,'Test catalog'!$A$2:$A$200,0))),"")</f>
        <v/>
      </c>
      <c r="U219" s="10">
        <f>IFERROR(IF(INDEX('Test catalog'!$N$2:$N$200,MATCH($AB219,'Test catalog'!$A$2:$A$200,0))="","",INDEX('Test catalog'!$N$2:$N$200,MATCH($AB219,'Test catalog'!$A$2:$A$200,0))),"")</f>
        <v/>
      </c>
      <c r="V219" s="15" t="n"/>
      <c r="W219" s="5" t="inlineStr">
        <is>
          <t>N</t>
        </is>
      </c>
      <c r="X219" s="5" t="n"/>
      <c r="Y219" s="5" t="n"/>
      <c r="Z219" s="5" t="n"/>
      <c r="AA219" s="10">
        <f>IFERROR(IF(INDEX('Test catalog'!$O$2:$O$200,MATCH($AB219,'Test catalog'!$A$2:$A$200,0))="","",INDEX('Test catalog'!$O$2:$O$200,MATCH($AB219,'Test catalog'!$A$2:$A$200,0))),"")</f>
        <v/>
      </c>
      <c r="AB219" s="10" t="inlineStr">
        <is>
          <t>DIAM</t>
        </is>
      </c>
    </row>
    <row r="220">
      <c r="A220" s="10" t="inlineStr">
        <is>
          <t>F30</t>
        </is>
      </c>
      <c r="B220" s="10" t="inlineStr">
        <is>
          <t>FP</t>
        </is>
      </c>
      <c r="C220" s="10" t="inlineStr">
        <is>
          <t>NMN  |  Nicotinamide Mononucleotide (NMN) Granule</t>
        </is>
      </c>
      <c r="D220" s="10" t="inlineStr">
        <is>
          <t>Thickness</t>
        </is>
      </c>
      <c r="E220" s="10">
        <f>IF(A220="","",A220&amp;"|"&amp;D220)</f>
        <v/>
      </c>
      <c r="F220" s="5" t="inlineStr">
        <is>
          <t>Y</t>
        </is>
      </c>
      <c r="G220" s="5" t="inlineStr">
        <is>
          <t>Tablet tester</t>
        </is>
      </c>
      <c r="H220" s="5" t="inlineStr">
        <is>
          <t>Low</t>
        </is>
      </c>
      <c r="I220" s="5" t="n">
        <v>1</v>
      </c>
      <c r="J220" s="5" t="n"/>
      <c r="K220" s="10">
        <f>IFERROR(IF(INDEX('Test catalog'!$F$2:$F$200,MATCH($AB220,'Test catalog'!$A$2:$A$200,0))="","",INDEX('Test catalog'!$F$2:$F$200,MATCH($AB220,'Test catalog'!$A$2:$A$200,0))),"")</f>
        <v/>
      </c>
      <c r="L220" s="10">
        <f>IFERROR(IF(INDEX('Test catalog'!$G$2:$G$200,MATCH($AB220,'Test catalog'!$A$2:$A$200,0))="","",INDEX('Test catalog'!$G$2:$G$200,MATCH($AB220,'Test catalog'!$A$2:$A$200,0))),"")</f>
        <v/>
      </c>
      <c r="M220" s="10">
        <f>IFERROR(IF(INDEX('Test catalog'!$H$2:$H$200,MATCH($AB220,'Test catalog'!$A$2:$A$200,0))="","",INDEX('Test catalog'!$H$2:$H$200,MATCH($AB220,'Test catalog'!$A$2:$A$200,0))),"")</f>
        <v/>
      </c>
      <c r="N220" s="10">
        <f>IFERROR(IF(INDEX('Test catalog'!$I$2:$I$200,MATCH($AB220,'Test catalog'!$A$2:$A$200,0))="","",INDEX('Test catalog'!$I$2:$I$200,MATCH($AB220,'Test catalog'!$A$2:$A$200,0))),"")</f>
        <v/>
      </c>
      <c r="O220" s="10">
        <f>IFERROR(IF(INDEX('Test catalog'!$J$2:$J$200,MATCH($AB220,'Test catalog'!$A$2:$A$200,0))="","",INDEX('Test catalog'!$J$2:$J$200,MATCH($AB220,'Test catalog'!$A$2:$A$200,0))),"")</f>
        <v/>
      </c>
      <c r="P220" s="14">
        <f>IF(N220="","",IF(OR(M220="",O220=""),N220,(M220+4*N220+O220)/6))</f>
        <v/>
      </c>
      <c r="Q220" s="10">
        <f>IFERROR(IF(INDEX('Test catalog'!$K$2:$K$200,MATCH($AB220,'Test catalog'!$A$2:$A$200,0))="","",INDEX('Test catalog'!$K$2:$K$200,MATCH($AB220,'Test catalog'!$A$2:$A$200,0))),"")</f>
        <v/>
      </c>
      <c r="R220" s="5" t="n"/>
      <c r="S220" s="10">
        <f>IFERROR(IF(INDEX('Test catalog'!$L$2:$L$200,MATCH($AB220,'Test catalog'!$A$2:$A$200,0))="","",INDEX('Test catalog'!$L$2:$L$200,MATCH($AB220,'Test catalog'!$A$2:$A$200,0))),"")</f>
        <v/>
      </c>
      <c r="T220" s="10">
        <f>IFERROR(IF(INDEX('Test catalog'!$M$2:$M$200,MATCH($AB220,'Test catalog'!$A$2:$A$200,0))="","",INDEX('Test catalog'!$M$2:$M$200,MATCH($AB220,'Test catalog'!$A$2:$A$200,0))),"")</f>
        <v/>
      </c>
      <c r="U220" s="10">
        <f>IFERROR(IF(INDEX('Test catalog'!$N$2:$N$200,MATCH($AB220,'Test catalog'!$A$2:$A$200,0))="","",INDEX('Test catalog'!$N$2:$N$200,MATCH($AB220,'Test catalog'!$A$2:$A$200,0))),"")</f>
        <v/>
      </c>
      <c r="V220" s="15" t="n"/>
      <c r="W220" s="5" t="inlineStr">
        <is>
          <t>N</t>
        </is>
      </c>
      <c r="X220" s="5" t="n"/>
      <c r="Y220" s="5" t="n"/>
      <c r="Z220" s="5" t="n"/>
      <c r="AA220" s="10">
        <f>IFERROR(IF(INDEX('Test catalog'!$O$2:$O$200,MATCH($AB220,'Test catalog'!$A$2:$A$200,0))="","",INDEX('Test catalog'!$O$2:$O$200,MATCH($AB220,'Test catalog'!$A$2:$A$200,0))),"")</f>
        <v/>
      </c>
      <c r="AB220" s="10" t="inlineStr">
        <is>
          <t>THICK</t>
        </is>
      </c>
    </row>
    <row r="221">
      <c r="A221" s="10" t="inlineStr">
        <is>
          <t>F30</t>
        </is>
      </c>
      <c r="B221" s="10" t="inlineStr">
        <is>
          <t>FP</t>
        </is>
      </c>
      <c r="C221" s="10" t="inlineStr">
        <is>
          <t>NMN  |  Nicotinamide Mononucleotide (NMN) Granule</t>
        </is>
      </c>
      <c r="D221" s="10" t="inlineStr">
        <is>
          <t>Hardness / breaking force</t>
        </is>
      </c>
      <c r="E221" s="10">
        <f>IF(A221="","",A221&amp;"|"&amp;D221)</f>
        <v/>
      </c>
      <c r="F221" s="5" t="inlineStr">
        <is>
          <t>Y</t>
        </is>
      </c>
      <c r="G221" s="5" t="inlineStr">
        <is>
          <t>Tablet tester</t>
        </is>
      </c>
      <c r="H221" s="5" t="inlineStr">
        <is>
          <t>Low</t>
        </is>
      </c>
      <c r="I221" s="5" t="n">
        <v>1</v>
      </c>
      <c r="J221" s="5" t="n"/>
      <c r="K221" s="10">
        <f>IFERROR(IF(INDEX('Test catalog'!$F$2:$F$200,MATCH($AB221,'Test catalog'!$A$2:$A$200,0))="","",INDEX('Test catalog'!$F$2:$F$200,MATCH($AB221,'Test catalog'!$A$2:$A$200,0))),"")</f>
        <v/>
      </c>
      <c r="L221" s="10">
        <f>IFERROR(IF(INDEX('Test catalog'!$G$2:$G$200,MATCH($AB221,'Test catalog'!$A$2:$A$200,0))="","",INDEX('Test catalog'!$G$2:$G$200,MATCH($AB221,'Test catalog'!$A$2:$A$200,0))),"")</f>
        <v/>
      </c>
      <c r="M221" s="10">
        <f>IFERROR(IF(INDEX('Test catalog'!$H$2:$H$200,MATCH($AB221,'Test catalog'!$A$2:$A$200,0))="","",INDEX('Test catalog'!$H$2:$H$200,MATCH($AB221,'Test catalog'!$A$2:$A$200,0))),"")</f>
        <v/>
      </c>
      <c r="N221" s="10">
        <f>IFERROR(IF(INDEX('Test catalog'!$I$2:$I$200,MATCH($AB221,'Test catalog'!$A$2:$A$200,0))="","",INDEX('Test catalog'!$I$2:$I$200,MATCH($AB221,'Test catalog'!$A$2:$A$200,0))),"")</f>
        <v/>
      </c>
      <c r="O221" s="10">
        <f>IFERROR(IF(INDEX('Test catalog'!$J$2:$J$200,MATCH($AB221,'Test catalog'!$A$2:$A$200,0))="","",INDEX('Test catalog'!$J$2:$J$200,MATCH($AB221,'Test catalog'!$A$2:$A$200,0))),"")</f>
        <v/>
      </c>
      <c r="P221" s="14">
        <f>IF(N221="","",IF(OR(M221="",O221=""),N221,(M221+4*N221+O221)/6))</f>
        <v/>
      </c>
      <c r="Q221" s="10">
        <f>IFERROR(IF(INDEX('Test catalog'!$K$2:$K$200,MATCH($AB221,'Test catalog'!$A$2:$A$200,0))="","",INDEX('Test catalog'!$K$2:$K$200,MATCH($AB221,'Test catalog'!$A$2:$A$200,0))),"")</f>
        <v/>
      </c>
      <c r="R221" s="5" t="n"/>
      <c r="S221" s="10">
        <f>IFERROR(IF(INDEX('Test catalog'!$L$2:$L$200,MATCH($AB221,'Test catalog'!$A$2:$A$200,0))="","",INDEX('Test catalog'!$L$2:$L$200,MATCH($AB221,'Test catalog'!$A$2:$A$200,0))),"")</f>
        <v/>
      </c>
      <c r="T221" s="10">
        <f>IFERROR(IF(INDEX('Test catalog'!$M$2:$M$200,MATCH($AB221,'Test catalog'!$A$2:$A$200,0))="","",INDEX('Test catalog'!$M$2:$M$200,MATCH($AB221,'Test catalog'!$A$2:$A$200,0))),"")</f>
        <v/>
      </c>
      <c r="U221" s="10">
        <f>IFERROR(IF(INDEX('Test catalog'!$N$2:$N$200,MATCH($AB221,'Test catalog'!$A$2:$A$200,0))="","",INDEX('Test catalog'!$N$2:$N$200,MATCH($AB221,'Test catalog'!$A$2:$A$200,0))),"")</f>
        <v/>
      </c>
      <c r="V221" s="15" t="n"/>
      <c r="W221" s="5" t="inlineStr">
        <is>
          <t>Y</t>
        </is>
      </c>
      <c r="X221" s="5" t="n"/>
      <c r="Y221" s="5" t="n"/>
      <c r="Z221" s="5" t="n"/>
      <c r="AA221" s="10">
        <f>IFERROR(IF(INDEX('Test catalog'!$O$2:$O$200,MATCH($AB221,'Test catalog'!$A$2:$A$200,0))="","",INDEX('Test catalog'!$O$2:$O$200,MATCH($AB221,'Test catalog'!$A$2:$A$200,0))),"")</f>
        <v/>
      </c>
      <c r="AB221" s="10" t="inlineStr">
        <is>
          <t>HARD</t>
        </is>
      </c>
    </row>
    <row r="222">
      <c r="A222" s="10" t="inlineStr">
        <is>
          <t>F30</t>
        </is>
      </c>
      <c r="B222" s="10" t="inlineStr">
        <is>
          <t>FP</t>
        </is>
      </c>
      <c r="C222" s="10" t="inlineStr">
        <is>
          <t>NMN  |  Nicotinamide Mononucleotide (NMN) Granule</t>
        </is>
      </c>
      <c r="D222" s="10" t="inlineStr">
        <is>
          <t>Brittleness</t>
        </is>
      </c>
      <c r="E222" s="10">
        <f>IF(A222="","",A222&amp;"|"&amp;D222)</f>
        <v/>
      </c>
      <c r="F222" s="5" t="inlineStr">
        <is>
          <t>Y</t>
        </is>
      </c>
      <c r="G222" s="5" t="inlineStr">
        <is>
          <t>Other / bench</t>
        </is>
      </c>
      <c r="H222" s="5" t="inlineStr">
        <is>
          <t>Low</t>
        </is>
      </c>
      <c r="I222" s="5" t="n">
        <v>1</v>
      </c>
      <c r="J222" s="5" t="n"/>
      <c r="K222" s="10">
        <f>IFERROR(IF(INDEX('Test catalog'!$F$2:$F$200,MATCH($AB222,'Test catalog'!$A$2:$A$200,0))="","",INDEX('Test catalog'!$F$2:$F$200,MATCH($AB222,'Test catalog'!$A$2:$A$200,0))),"")</f>
        <v/>
      </c>
      <c r="L222" s="10">
        <f>IFERROR(IF(INDEX('Test catalog'!$G$2:$G$200,MATCH($AB222,'Test catalog'!$A$2:$A$200,0))="","",INDEX('Test catalog'!$G$2:$G$200,MATCH($AB222,'Test catalog'!$A$2:$A$200,0))),"")</f>
        <v/>
      </c>
      <c r="M222" s="10">
        <f>IFERROR(IF(INDEX('Test catalog'!$H$2:$H$200,MATCH($AB222,'Test catalog'!$A$2:$A$200,0))="","",INDEX('Test catalog'!$H$2:$H$200,MATCH($AB222,'Test catalog'!$A$2:$A$200,0))),"")</f>
        <v/>
      </c>
      <c r="N222" s="10">
        <f>IFERROR(IF(INDEX('Test catalog'!$I$2:$I$200,MATCH($AB222,'Test catalog'!$A$2:$A$200,0))="","",INDEX('Test catalog'!$I$2:$I$200,MATCH($AB222,'Test catalog'!$A$2:$A$200,0))),"")</f>
        <v/>
      </c>
      <c r="O222" s="10">
        <f>IFERROR(IF(INDEX('Test catalog'!$J$2:$J$200,MATCH($AB222,'Test catalog'!$A$2:$A$200,0))="","",INDEX('Test catalog'!$J$2:$J$200,MATCH($AB222,'Test catalog'!$A$2:$A$200,0))),"")</f>
        <v/>
      </c>
      <c r="P222" s="14">
        <f>IF(N222="","",IF(OR(M222="",O222=""),N222,(M222+4*N222+O222)/6))</f>
        <v/>
      </c>
      <c r="Q222" s="10">
        <f>IFERROR(IF(INDEX('Test catalog'!$K$2:$K$200,MATCH($AB222,'Test catalog'!$A$2:$A$200,0))="","",INDEX('Test catalog'!$K$2:$K$200,MATCH($AB222,'Test catalog'!$A$2:$A$200,0))),"")</f>
        <v/>
      </c>
      <c r="R222" s="5" t="n"/>
      <c r="S222" s="10">
        <f>IFERROR(IF(INDEX('Test catalog'!$L$2:$L$200,MATCH($AB222,'Test catalog'!$A$2:$A$200,0))="","",INDEX('Test catalog'!$L$2:$L$200,MATCH($AB222,'Test catalog'!$A$2:$A$200,0))),"")</f>
        <v/>
      </c>
      <c r="T222" s="10">
        <f>IFERROR(IF(INDEX('Test catalog'!$M$2:$M$200,MATCH($AB222,'Test catalog'!$A$2:$A$200,0))="","",INDEX('Test catalog'!$M$2:$M$200,MATCH($AB222,'Test catalog'!$A$2:$A$200,0))),"")</f>
        <v/>
      </c>
      <c r="U222" s="10">
        <f>IFERROR(IF(INDEX('Test catalog'!$N$2:$N$200,MATCH($AB222,'Test catalog'!$A$2:$A$200,0))="","",INDEX('Test catalog'!$N$2:$N$200,MATCH($AB222,'Test catalog'!$A$2:$A$200,0))),"")</f>
        <v/>
      </c>
      <c r="V222" s="15" t="n"/>
      <c r="W222" s="5" t="inlineStr">
        <is>
          <t>N</t>
        </is>
      </c>
      <c r="X222" s="5" t="n"/>
      <c r="Y222" s="5" t="n"/>
      <c r="Z222" s="5" t="n"/>
      <c r="AA222" s="10">
        <f>IFERROR(IF(INDEX('Test catalog'!$O$2:$O$200,MATCH($AB222,'Test catalog'!$A$2:$A$200,0))="","",INDEX('Test catalog'!$O$2:$O$200,MATCH($AB222,'Test catalog'!$A$2:$A$200,0))),"")</f>
        <v/>
      </c>
      <c r="AB222" s="10" t="inlineStr">
        <is>
          <t>BRITTLE</t>
        </is>
      </c>
    </row>
    <row r="223">
      <c r="A223" s="10" t="inlineStr">
        <is>
          <t>F30</t>
        </is>
      </c>
      <c r="B223" s="10" t="inlineStr">
        <is>
          <t>FP</t>
        </is>
      </c>
      <c r="C223" s="10" t="inlineStr">
        <is>
          <t>NMN  |  Nicotinamide Mononucleotide (NMN) Granule</t>
        </is>
      </c>
      <c r="D223" s="10" t="inlineStr">
        <is>
          <t>Friability</t>
        </is>
      </c>
      <c r="E223" s="10">
        <f>IF(A223="","",A223&amp;"|"&amp;D223)</f>
        <v/>
      </c>
      <c r="F223" s="5" t="inlineStr">
        <is>
          <t>Y</t>
        </is>
      </c>
      <c r="G223" s="5" t="inlineStr">
        <is>
          <t>Friabilator</t>
        </is>
      </c>
      <c r="H223" s="5" t="inlineStr">
        <is>
          <t>Low</t>
        </is>
      </c>
      <c r="I223" s="5" t="n">
        <v>1</v>
      </c>
      <c r="J223" s="5" t="n"/>
      <c r="K223" s="10">
        <f>IFERROR(IF(INDEX('Test catalog'!$F$2:$F$200,MATCH($AB223,'Test catalog'!$A$2:$A$200,0))="","",INDEX('Test catalog'!$F$2:$F$200,MATCH($AB223,'Test catalog'!$A$2:$A$200,0))),"")</f>
        <v/>
      </c>
      <c r="L223" s="10">
        <f>IFERROR(IF(INDEX('Test catalog'!$G$2:$G$200,MATCH($AB223,'Test catalog'!$A$2:$A$200,0))="","",INDEX('Test catalog'!$G$2:$G$200,MATCH($AB223,'Test catalog'!$A$2:$A$200,0))),"")</f>
        <v/>
      </c>
      <c r="M223" s="10">
        <f>IFERROR(IF(INDEX('Test catalog'!$H$2:$H$200,MATCH($AB223,'Test catalog'!$A$2:$A$200,0))="","",INDEX('Test catalog'!$H$2:$H$200,MATCH($AB223,'Test catalog'!$A$2:$A$200,0))),"")</f>
        <v/>
      </c>
      <c r="N223" s="10">
        <f>IFERROR(IF(INDEX('Test catalog'!$I$2:$I$200,MATCH($AB223,'Test catalog'!$A$2:$A$200,0))="","",INDEX('Test catalog'!$I$2:$I$200,MATCH($AB223,'Test catalog'!$A$2:$A$200,0))),"")</f>
        <v/>
      </c>
      <c r="O223" s="10">
        <f>IFERROR(IF(INDEX('Test catalog'!$J$2:$J$200,MATCH($AB223,'Test catalog'!$A$2:$A$200,0))="","",INDEX('Test catalog'!$J$2:$J$200,MATCH($AB223,'Test catalog'!$A$2:$A$200,0))),"")</f>
        <v/>
      </c>
      <c r="P223" s="14">
        <f>IF(N223="","",IF(OR(M223="",O223=""),N223,(M223+4*N223+O223)/6))</f>
        <v/>
      </c>
      <c r="Q223" s="10">
        <f>IFERROR(IF(INDEX('Test catalog'!$K$2:$K$200,MATCH($AB223,'Test catalog'!$A$2:$A$200,0))="","",INDEX('Test catalog'!$K$2:$K$200,MATCH($AB223,'Test catalog'!$A$2:$A$200,0))),"")</f>
        <v/>
      </c>
      <c r="R223" s="5" t="n"/>
      <c r="S223" s="10">
        <f>IFERROR(IF(INDEX('Test catalog'!$L$2:$L$200,MATCH($AB223,'Test catalog'!$A$2:$A$200,0))="","",INDEX('Test catalog'!$L$2:$L$200,MATCH($AB223,'Test catalog'!$A$2:$A$200,0))),"")</f>
        <v/>
      </c>
      <c r="T223" s="10">
        <f>IFERROR(IF(INDEX('Test catalog'!$M$2:$M$200,MATCH($AB223,'Test catalog'!$A$2:$A$200,0))="","",INDEX('Test catalog'!$M$2:$M$200,MATCH($AB223,'Test catalog'!$A$2:$A$200,0))),"")</f>
        <v/>
      </c>
      <c r="U223" s="10">
        <f>IFERROR(IF(INDEX('Test catalog'!$N$2:$N$200,MATCH($AB223,'Test catalog'!$A$2:$A$200,0))="","",INDEX('Test catalog'!$N$2:$N$200,MATCH($AB223,'Test catalog'!$A$2:$A$200,0))),"")</f>
        <v/>
      </c>
      <c r="V223" s="15" t="n"/>
      <c r="W223" s="5" t="inlineStr">
        <is>
          <t>N</t>
        </is>
      </c>
      <c r="X223" s="5" t="n"/>
      <c r="Y223" s="5" t="n"/>
      <c r="Z223" s="5" t="n"/>
      <c r="AA223" s="10">
        <f>IFERROR(IF(INDEX('Test catalog'!$O$2:$O$200,MATCH($AB223,'Test catalog'!$A$2:$A$200,0))="","",INDEX('Test catalog'!$O$2:$O$200,MATCH($AB223,'Test catalog'!$A$2:$A$200,0))),"")</f>
        <v/>
      </c>
      <c r="AB223" s="10" t="inlineStr">
        <is>
          <t>FRIAB</t>
        </is>
      </c>
    </row>
    <row r="224">
      <c r="A224" s="10" t="inlineStr">
        <is>
          <t>F30</t>
        </is>
      </c>
      <c r="B224" s="10" t="inlineStr">
        <is>
          <t>FP</t>
        </is>
      </c>
      <c r="C224" s="10" t="inlineStr">
        <is>
          <t>NMN  |  Nicotinamide Mononucleotide (NMN) Granule</t>
        </is>
      </c>
      <c r="D224" s="10" t="inlineStr">
        <is>
          <t>Disintegration</t>
        </is>
      </c>
      <c r="E224" s="10">
        <f>IF(A224="","",A224&amp;"|"&amp;D224)</f>
        <v/>
      </c>
      <c r="F224" s="5" t="inlineStr">
        <is>
          <t>Y</t>
        </is>
      </c>
      <c r="G224" s="5" t="inlineStr">
        <is>
          <t>Disintegration tester</t>
        </is>
      </c>
      <c r="H224" s="5" t="inlineStr">
        <is>
          <t>Low</t>
        </is>
      </c>
      <c r="I224" s="5" t="n">
        <v>1</v>
      </c>
      <c r="J224" s="5" t="n"/>
      <c r="K224" s="10">
        <f>IFERROR(IF(INDEX('Test catalog'!$F$2:$F$200,MATCH($AB224,'Test catalog'!$A$2:$A$200,0))="","",INDEX('Test catalog'!$F$2:$F$200,MATCH($AB224,'Test catalog'!$A$2:$A$200,0))),"")</f>
        <v/>
      </c>
      <c r="L224" s="10">
        <f>IFERROR(IF(INDEX('Test catalog'!$G$2:$G$200,MATCH($AB224,'Test catalog'!$A$2:$A$200,0))="","",INDEX('Test catalog'!$G$2:$G$200,MATCH($AB224,'Test catalog'!$A$2:$A$200,0))),"")</f>
        <v/>
      </c>
      <c r="M224" s="10">
        <f>IFERROR(IF(INDEX('Test catalog'!$H$2:$H$200,MATCH($AB224,'Test catalog'!$A$2:$A$200,0))="","",INDEX('Test catalog'!$H$2:$H$200,MATCH($AB224,'Test catalog'!$A$2:$A$200,0))),"")</f>
        <v/>
      </c>
      <c r="N224" s="10">
        <f>IFERROR(IF(INDEX('Test catalog'!$I$2:$I$200,MATCH($AB224,'Test catalog'!$A$2:$A$200,0))="","",INDEX('Test catalog'!$I$2:$I$200,MATCH($AB224,'Test catalog'!$A$2:$A$200,0))),"")</f>
        <v/>
      </c>
      <c r="O224" s="10">
        <f>IFERROR(IF(INDEX('Test catalog'!$J$2:$J$200,MATCH($AB224,'Test catalog'!$A$2:$A$200,0))="","",INDEX('Test catalog'!$J$2:$J$200,MATCH($AB224,'Test catalog'!$A$2:$A$200,0))),"")</f>
        <v/>
      </c>
      <c r="P224" s="14">
        <f>IF(N224="","",IF(OR(M224="",O224=""),N224,(M224+4*N224+O224)/6))</f>
        <v/>
      </c>
      <c r="Q224" s="10">
        <f>IFERROR(IF(INDEX('Test catalog'!$K$2:$K$200,MATCH($AB224,'Test catalog'!$A$2:$A$200,0))="","",INDEX('Test catalog'!$K$2:$K$200,MATCH($AB224,'Test catalog'!$A$2:$A$200,0))),"")</f>
        <v/>
      </c>
      <c r="R224" s="5" t="n"/>
      <c r="S224" s="10">
        <f>IFERROR(IF(INDEX('Test catalog'!$L$2:$L$200,MATCH($AB224,'Test catalog'!$A$2:$A$200,0))="","",INDEX('Test catalog'!$L$2:$L$200,MATCH($AB224,'Test catalog'!$A$2:$A$200,0))),"")</f>
        <v/>
      </c>
      <c r="T224" s="10">
        <f>IFERROR(IF(INDEX('Test catalog'!$M$2:$M$200,MATCH($AB224,'Test catalog'!$A$2:$A$200,0))="","",INDEX('Test catalog'!$M$2:$M$200,MATCH($AB224,'Test catalog'!$A$2:$A$200,0))),"")</f>
        <v/>
      </c>
      <c r="U224" s="10">
        <f>IFERROR(IF(INDEX('Test catalog'!$N$2:$N$200,MATCH($AB224,'Test catalog'!$A$2:$A$200,0))="","",INDEX('Test catalog'!$N$2:$N$200,MATCH($AB224,'Test catalog'!$A$2:$A$200,0))),"")</f>
        <v/>
      </c>
      <c r="V224" s="15" t="n"/>
      <c r="W224" s="5" t="inlineStr">
        <is>
          <t>Y</t>
        </is>
      </c>
      <c r="X224" s="5" t="n"/>
      <c r="Y224" s="5" t="n"/>
      <c r="Z224" s="5" t="n"/>
      <c r="AA224" s="10">
        <f>IFERROR(IF(INDEX('Test catalog'!$O$2:$O$200,MATCH($AB224,'Test catalog'!$A$2:$A$200,0))="","",INDEX('Test catalog'!$O$2:$O$200,MATCH($AB224,'Test catalog'!$A$2:$A$200,0))),"")</f>
        <v/>
      </c>
      <c r="AB224" s="10" t="inlineStr">
        <is>
          <t>DISINT</t>
        </is>
      </c>
    </row>
    <row r="225">
      <c r="A225" s="10" t="inlineStr">
        <is>
          <t>F30</t>
        </is>
      </c>
      <c r="B225" s="10" t="inlineStr">
        <is>
          <t>FP</t>
        </is>
      </c>
      <c r="C225" s="10" t="inlineStr">
        <is>
          <t>NMN  |  Nicotinamide Mononucleotide (NMN) Granule</t>
        </is>
      </c>
      <c r="D225" s="10" t="inlineStr">
        <is>
          <t>In-process check at the machine (one check, all its tests)</t>
        </is>
      </c>
      <c r="E225" s="10">
        <f>IF(A225="","",A225&amp;"|"&amp;D225)</f>
        <v/>
      </c>
      <c r="F225" s="5" t="inlineStr">
        <is>
          <t>Y</t>
        </is>
      </c>
      <c r="G225" s="5" t="inlineStr">
        <is>
          <t>Tablet tester</t>
        </is>
      </c>
      <c r="H225" s="5" t="inlineStr">
        <is>
          <t>Low</t>
        </is>
      </c>
      <c r="I225" s="5" t="n">
        <v>1</v>
      </c>
      <c r="J225" s="5" t="n"/>
      <c r="K225" s="10">
        <f>IFERROR(IF(INDEX('Test catalog'!$F$2:$F$200,MATCH($AB225,'Test catalog'!$A$2:$A$200,0))="","",INDEX('Test catalog'!$F$2:$F$200,MATCH($AB225,'Test catalog'!$A$2:$A$200,0))),"")</f>
        <v/>
      </c>
      <c r="L225" s="10">
        <f>IFERROR(IF(INDEX('Test catalog'!$G$2:$G$200,MATCH($AB225,'Test catalog'!$A$2:$A$200,0))="","",INDEX('Test catalog'!$G$2:$G$200,MATCH($AB225,'Test catalog'!$A$2:$A$200,0))),"")</f>
        <v/>
      </c>
      <c r="M225" s="10">
        <f>IFERROR(IF(INDEX('Test catalog'!$H$2:$H$200,MATCH($AB225,'Test catalog'!$A$2:$A$200,0))="","",INDEX('Test catalog'!$H$2:$H$200,MATCH($AB225,'Test catalog'!$A$2:$A$200,0))),"")</f>
        <v/>
      </c>
      <c r="N225" s="10">
        <f>IFERROR(IF(INDEX('Test catalog'!$I$2:$I$200,MATCH($AB225,'Test catalog'!$A$2:$A$200,0))="","",INDEX('Test catalog'!$I$2:$I$200,MATCH($AB225,'Test catalog'!$A$2:$A$200,0))),"")</f>
        <v/>
      </c>
      <c r="O225" s="10">
        <f>IFERROR(IF(INDEX('Test catalog'!$J$2:$J$200,MATCH($AB225,'Test catalog'!$A$2:$A$200,0))="","",INDEX('Test catalog'!$J$2:$J$200,MATCH($AB225,'Test catalog'!$A$2:$A$200,0))),"")</f>
        <v/>
      </c>
      <c r="P225" s="14">
        <f>IF(N225="","",IF(OR(M225="",O225=""),N225,(M225+4*N225+O225)/6))</f>
        <v/>
      </c>
      <c r="Q225" s="10">
        <f>IFERROR(IF(INDEX('Test catalog'!$K$2:$K$200,MATCH($AB225,'Test catalog'!$A$2:$A$200,0))="","",INDEX('Test catalog'!$K$2:$K$200,MATCH($AB225,'Test catalog'!$A$2:$A$200,0))),"")</f>
        <v/>
      </c>
      <c r="R225" s="5" t="n"/>
      <c r="S225" s="10">
        <f>IFERROR(IF(INDEX('Test catalog'!$L$2:$L$200,MATCH($AB225,'Test catalog'!$A$2:$A$200,0))="","",INDEX('Test catalog'!$L$2:$L$200,MATCH($AB225,'Test catalog'!$A$2:$A$200,0))),"")</f>
        <v/>
      </c>
      <c r="T225" s="10">
        <f>IFERROR(IF(INDEX('Test catalog'!$M$2:$M$200,MATCH($AB225,'Test catalog'!$A$2:$A$200,0))="","",INDEX('Test catalog'!$M$2:$M$200,MATCH($AB225,'Test catalog'!$A$2:$A$200,0))),"")</f>
        <v/>
      </c>
      <c r="U225" s="10">
        <f>IFERROR(IF(INDEX('Test catalog'!$N$2:$N$200,MATCH($AB225,'Test catalog'!$A$2:$A$200,0))="","",INDEX('Test catalog'!$N$2:$N$200,MATCH($AB225,'Test catalog'!$A$2:$A$200,0))),"")</f>
        <v/>
      </c>
      <c r="V225" s="15" t="n"/>
      <c r="W225" s="5" t="inlineStr">
        <is>
          <t>N</t>
        </is>
      </c>
      <c r="X225" s="5" t="n"/>
      <c r="Y225" s="5" t="n"/>
      <c r="Z225" s="5" t="n"/>
      <c r="AA225" s="10">
        <f>IFERROR(IF(INDEX('Test catalog'!$O$2:$O$200,MATCH($AB225,'Test catalog'!$A$2:$A$200,0))="","",INDEX('Test catalog'!$O$2:$O$200,MATCH($AB225,'Test catalog'!$A$2:$A$200,0))),"")</f>
        <v/>
      </c>
      <c r="AB225" s="10" t="inlineStr">
        <is>
          <t>IPC</t>
        </is>
      </c>
    </row>
    <row r="226">
      <c r="A226" s="10" t="inlineStr">
        <is>
          <t>F31</t>
        </is>
      </c>
      <c r="B226" s="10" t="inlineStr">
        <is>
          <t>FP</t>
        </is>
      </c>
      <c r="C226" s="10" t="inlineStr">
        <is>
          <t>L-Arginine 1000; L-Arginine 2000  |  L-Arginine</t>
        </is>
      </c>
      <c r="D226" s="10" t="inlineStr">
        <is>
          <t>Average weight / uniformity of mass</t>
        </is>
      </c>
      <c r="E226" s="10">
        <f>IF(A226="","",A226&amp;"|"&amp;D226)</f>
        <v/>
      </c>
      <c r="F226" s="5" t="inlineStr">
        <is>
          <t>Y</t>
        </is>
      </c>
      <c r="G226" s="5" t="inlineStr">
        <is>
          <t>Balance</t>
        </is>
      </c>
      <c r="H226" s="5" t="inlineStr">
        <is>
          <t>Low</t>
        </is>
      </c>
      <c r="I226" s="5" t="n">
        <v>1</v>
      </c>
      <c r="J226" s="5" t="n"/>
      <c r="K226" s="10">
        <f>IFERROR(IF(INDEX('Test catalog'!$F$2:$F$200,MATCH($AB226,'Test catalog'!$A$2:$A$200,0))="","",INDEX('Test catalog'!$F$2:$F$200,MATCH($AB226,'Test catalog'!$A$2:$A$200,0))),"")</f>
        <v/>
      </c>
      <c r="L226" s="10">
        <f>IFERROR(IF(INDEX('Test catalog'!$G$2:$G$200,MATCH($AB226,'Test catalog'!$A$2:$A$200,0))="","",INDEX('Test catalog'!$G$2:$G$200,MATCH($AB226,'Test catalog'!$A$2:$A$200,0))),"")</f>
        <v/>
      </c>
      <c r="M226" s="10">
        <f>IFERROR(IF(INDEX('Test catalog'!$H$2:$H$200,MATCH($AB226,'Test catalog'!$A$2:$A$200,0))="","",INDEX('Test catalog'!$H$2:$H$200,MATCH($AB226,'Test catalog'!$A$2:$A$200,0))),"")</f>
        <v/>
      </c>
      <c r="N226" s="10">
        <f>IFERROR(IF(INDEX('Test catalog'!$I$2:$I$200,MATCH($AB226,'Test catalog'!$A$2:$A$200,0))="","",INDEX('Test catalog'!$I$2:$I$200,MATCH($AB226,'Test catalog'!$A$2:$A$200,0))),"")</f>
        <v/>
      </c>
      <c r="O226" s="10">
        <f>IFERROR(IF(INDEX('Test catalog'!$J$2:$J$200,MATCH($AB226,'Test catalog'!$A$2:$A$200,0))="","",INDEX('Test catalog'!$J$2:$J$200,MATCH($AB226,'Test catalog'!$A$2:$A$200,0))),"")</f>
        <v/>
      </c>
      <c r="P226" s="14">
        <f>IF(N226="","",IF(OR(M226="",O226=""),N226,(M226+4*N226+O226)/6))</f>
        <v/>
      </c>
      <c r="Q226" s="10">
        <f>IFERROR(IF(INDEX('Test catalog'!$K$2:$K$200,MATCH($AB226,'Test catalog'!$A$2:$A$200,0))="","",INDEX('Test catalog'!$K$2:$K$200,MATCH($AB226,'Test catalog'!$A$2:$A$200,0))),"")</f>
        <v/>
      </c>
      <c r="R226" s="5" t="n"/>
      <c r="S226" s="10">
        <f>IFERROR(IF(INDEX('Test catalog'!$L$2:$L$200,MATCH($AB226,'Test catalog'!$A$2:$A$200,0))="","",INDEX('Test catalog'!$L$2:$L$200,MATCH($AB226,'Test catalog'!$A$2:$A$200,0))),"")</f>
        <v/>
      </c>
      <c r="T226" s="10">
        <f>IFERROR(IF(INDEX('Test catalog'!$M$2:$M$200,MATCH($AB226,'Test catalog'!$A$2:$A$200,0))="","",INDEX('Test catalog'!$M$2:$M$200,MATCH($AB226,'Test catalog'!$A$2:$A$200,0))),"")</f>
        <v/>
      </c>
      <c r="U226" s="10">
        <f>IFERROR(IF(INDEX('Test catalog'!$N$2:$N$200,MATCH($AB226,'Test catalog'!$A$2:$A$200,0))="","",INDEX('Test catalog'!$N$2:$N$200,MATCH($AB226,'Test catalog'!$A$2:$A$200,0))),"")</f>
        <v/>
      </c>
      <c r="V226" s="15" t="n"/>
      <c r="W226" s="5" t="inlineStr">
        <is>
          <t>N</t>
        </is>
      </c>
      <c r="X226" s="5" t="n"/>
      <c r="Y226" s="5" t="n"/>
      <c r="Z226" s="5" t="n"/>
      <c r="AA226" s="10">
        <f>IFERROR(IF(INDEX('Test catalog'!$O$2:$O$200,MATCH($AB226,'Test catalog'!$A$2:$A$200,0))="","",INDEX('Test catalog'!$O$2:$O$200,MATCH($AB226,'Test catalog'!$A$2:$A$200,0))),"")</f>
        <v/>
      </c>
      <c r="AB226" s="10" t="inlineStr">
        <is>
          <t>AVG_WT</t>
        </is>
      </c>
    </row>
    <row r="227">
      <c r="A227" s="10" t="inlineStr">
        <is>
          <t>F31</t>
        </is>
      </c>
      <c r="B227" s="10" t="inlineStr">
        <is>
          <t>FP</t>
        </is>
      </c>
      <c r="C227" s="10" t="inlineStr">
        <is>
          <t>L-Arginine 1000; L-Arginine 2000  |  L-Arginine</t>
        </is>
      </c>
      <c r="D227" s="10" t="inlineStr">
        <is>
          <t>Diameter (or length / width)</t>
        </is>
      </c>
      <c r="E227" s="10">
        <f>IF(A227="","",A227&amp;"|"&amp;D227)</f>
        <v/>
      </c>
      <c r="F227" s="5" t="inlineStr">
        <is>
          <t>Y</t>
        </is>
      </c>
      <c r="G227" s="5" t="inlineStr">
        <is>
          <t>Tablet tester</t>
        </is>
      </c>
      <c r="H227" s="5" t="inlineStr">
        <is>
          <t>Low</t>
        </is>
      </c>
      <c r="I227" s="5" t="n">
        <v>1</v>
      </c>
      <c r="J227" s="5" t="n"/>
      <c r="K227" s="10">
        <f>IFERROR(IF(INDEX('Test catalog'!$F$2:$F$200,MATCH($AB227,'Test catalog'!$A$2:$A$200,0))="","",INDEX('Test catalog'!$F$2:$F$200,MATCH($AB227,'Test catalog'!$A$2:$A$200,0))),"")</f>
        <v/>
      </c>
      <c r="L227" s="10">
        <f>IFERROR(IF(INDEX('Test catalog'!$G$2:$G$200,MATCH($AB227,'Test catalog'!$A$2:$A$200,0))="","",INDEX('Test catalog'!$G$2:$G$200,MATCH($AB227,'Test catalog'!$A$2:$A$200,0))),"")</f>
        <v/>
      </c>
      <c r="M227" s="10">
        <f>IFERROR(IF(INDEX('Test catalog'!$H$2:$H$200,MATCH($AB227,'Test catalog'!$A$2:$A$200,0))="","",INDEX('Test catalog'!$H$2:$H$200,MATCH($AB227,'Test catalog'!$A$2:$A$200,0))),"")</f>
        <v/>
      </c>
      <c r="N227" s="10">
        <f>IFERROR(IF(INDEX('Test catalog'!$I$2:$I$200,MATCH($AB227,'Test catalog'!$A$2:$A$200,0))="","",INDEX('Test catalog'!$I$2:$I$200,MATCH($AB227,'Test catalog'!$A$2:$A$200,0))),"")</f>
        <v/>
      </c>
      <c r="O227" s="10">
        <f>IFERROR(IF(INDEX('Test catalog'!$J$2:$J$200,MATCH($AB227,'Test catalog'!$A$2:$A$200,0))="","",INDEX('Test catalog'!$J$2:$J$200,MATCH($AB227,'Test catalog'!$A$2:$A$200,0))),"")</f>
        <v/>
      </c>
      <c r="P227" s="14">
        <f>IF(N227="","",IF(OR(M227="",O227=""),N227,(M227+4*N227+O227)/6))</f>
        <v/>
      </c>
      <c r="Q227" s="10">
        <f>IFERROR(IF(INDEX('Test catalog'!$K$2:$K$200,MATCH($AB227,'Test catalog'!$A$2:$A$200,0))="","",INDEX('Test catalog'!$K$2:$K$200,MATCH($AB227,'Test catalog'!$A$2:$A$200,0))),"")</f>
        <v/>
      </c>
      <c r="R227" s="5" t="n"/>
      <c r="S227" s="10">
        <f>IFERROR(IF(INDEX('Test catalog'!$L$2:$L$200,MATCH($AB227,'Test catalog'!$A$2:$A$200,0))="","",INDEX('Test catalog'!$L$2:$L$200,MATCH($AB227,'Test catalog'!$A$2:$A$200,0))),"")</f>
        <v/>
      </c>
      <c r="T227" s="10">
        <f>IFERROR(IF(INDEX('Test catalog'!$M$2:$M$200,MATCH($AB227,'Test catalog'!$A$2:$A$200,0))="","",INDEX('Test catalog'!$M$2:$M$200,MATCH($AB227,'Test catalog'!$A$2:$A$200,0))),"")</f>
        <v/>
      </c>
      <c r="U227" s="10">
        <f>IFERROR(IF(INDEX('Test catalog'!$N$2:$N$200,MATCH($AB227,'Test catalog'!$A$2:$A$200,0))="","",INDEX('Test catalog'!$N$2:$N$200,MATCH($AB227,'Test catalog'!$A$2:$A$200,0))),"")</f>
        <v/>
      </c>
      <c r="V227" s="15" t="n"/>
      <c r="W227" s="5" t="inlineStr">
        <is>
          <t>N</t>
        </is>
      </c>
      <c r="X227" s="5" t="n"/>
      <c r="Y227" s="5" t="n"/>
      <c r="Z227" s="5" t="n"/>
      <c r="AA227" s="10">
        <f>IFERROR(IF(INDEX('Test catalog'!$O$2:$O$200,MATCH($AB227,'Test catalog'!$A$2:$A$200,0))="","",INDEX('Test catalog'!$O$2:$O$200,MATCH($AB227,'Test catalog'!$A$2:$A$200,0))),"")</f>
        <v/>
      </c>
      <c r="AB227" s="10" t="inlineStr">
        <is>
          <t>DIAM</t>
        </is>
      </c>
    </row>
    <row r="228">
      <c r="A228" s="10" t="inlineStr">
        <is>
          <t>F31</t>
        </is>
      </c>
      <c r="B228" s="10" t="inlineStr">
        <is>
          <t>FP</t>
        </is>
      </c>
      <c r="C228" s="10" t="inlineStr">
        <is>
          <t>L-Arginine 1000; L-Arginine 2000  |  L-Arginine</t>
        </is>
      </c>
      <c r="D228" s="10" t="inlineStr">
        <is>
          <t>Thickness</t>
        </is>
      </c>
      <c r="E228" s="10">
        <f>IF(A228="","",A228&amp;"|"&amp;D228)</f>
        <v/>
      </c>
      <c r="F228" s="5" t="inlineStr">
        <is>
          <t>Y</t>
        </is>
      </c>
      <c r="G228" s="5" t="inlineStr">
        <is>
          <t>Tablet tester</t>
        </is>
      </c>
      <c r="H228" s="5" t="inlineStr">
        <is>
          <t>Low</t>
        </is>
      </c>
      <c r="I228" s="5" t="n">
        <v>1</v>
      </c>
      <c r="J228" s="5" t="n"/>
      <c r="K228" s="10">
        <f>IFERROR(IF(INDEX('Test catalog'!$F$2:$F$200,MATCH($AB228,'Test catalog'!$A$2:$A$200,0))="","",INDEX('Test catalog'!$F$2:$F$200,MATCH($AB228,'Test catalog'!$A$2:$A$200,0))),"")</f>
        <v/>
      </c>
      <c r="L228" s="10">
        <f>IFERROR(IF(INDEX('Test catalog'!$G$2:$G$200,MATCH($AB228,'Test catalog'!$A$2:$A$200,0))="","",INDEX('Test catalog'!$G$2:$G$200,MATCH($AB228,'Test catalog'!$A$2:$A$200,0))),"")</f>
        <v/>
      </c>
      <c r="M228" s="10">
        <f>IFERROR(IF(INDEX('Test catalog'!$H$2:$H$200,MATCH($AB228,'Test catalog'!$A$2:$A$200,0))="","",INDEX('Test catalog'!$H$2:$H$200,MATCH($AB228,'Test catalog'!$A$2:$A$200,0))),"")</f>
        <v/>
      </c>
      <c r="N228" s="10">
        <f>IFERROR(IF(INDEX('Test catalog'!$I$2:$I$200,MATCH($AB228,'Test catalog'!$A$2:$A$200,0))="","",INDEX('Test catalog'!$I$2:$I$200,MATCH($AB228,'Test catalog'!$A$2:$A$200,0))),"")</f>
        <v/>
      </c>
      <c r="O228" s="10">
        <f>IFERROR(IF(INDEX('Test catalog'!$J$2:$J$200,MATCH($AB228,'Test catalog'!$A$2:$A$200,0))="","",INDEX('Test catalog'!$J$2:$J$200,MATCH($AB228,'Test catalog'!$A$2:$A$200,0))),"")</f>
        <v/>
      </c>
      <c r="P228" s="14">
        <f>IF(N228="","",IF(OR(M228="",O228=""),N228,(M228+4*N228+O228)/6))</f>
        <v/>
      </c>
      <c r="Q228" s="10">
        <f>IFERROR(IF(INDEX('Test catalog'!$K$2:$K$200,MATCH($AB228,'Test catalog'!$A$2:$A$200,0))="","",INDEX('Test catalog'!$K$2:$K$200,MATCH($AB228,'Test catalog'!$A$2:$A$200,0))),"")</f>
        <v/>
      </c>
      <c r="R228" s="5" t="n"/>
      <c r="S228" s="10">
        <f>IFERROR(IF(INDEX('Test catalog'!$L$2:$L$200,MATCH($AB228,'Test catalog'!$A$2:$A$200,0))="","",INDEX('Test catalog'!$L$2:$L$200,MATCH($AB228,'Test catalog'!$A$2:$A$200,0))),"")</f>
        <v/>
      </c>
      <c r="T228" s="10">
        <f>IFERROR(IF(INDEX('Test catalog'!$M$2:$M$200,MATCH($AB228,'Test catalog'!$A$2:$A$200,0))="","",INDEX('Test catalog'!$M$2:$M$200,MATCH($AB228,'Test catalog'!$A$2:$A$200,0))),"")</f>
        <v/>
      </c>
      <c r="U228" s="10">
        <f>IFERROR(IF(INDEX('Test catalog'!$N$2:$N$200,MATCH($AB228,'Test catalog'!$A$2:$A$200,0))="","",INDEX('Test catalog'!$N$2:$N$200,MATCH($AB228,'Test catalog'!$A$2:$A$200,0))),"")</f>
        <v/>
      </c>
      <c r="V228" s="15" t="n"/>
      <c r="W228" s="5" t="inlineStr">
        <is>
          <t>N</t>
        </is>
      </c>
      <c r="X228" s="5" t="n"/>
      <c r="Y228" s="5" t="n"/>
      <c r="Z228" s="5" t="n"/>
      <c r="AA228" s="10">
        <f>IFERROR(IF(INDEX('Test catalog'!$O$2:$O$200,MATCH($AB228,'Test catalog'!$A$2:$A$200,0))="","",INDEX('Test catalog'!$O$2:$O$200,MATCH($AB228,'Test catalog'!$A$2:$A$200,0))),"")</f>
        <v/>
      </c>
      <c r="AB228" s="10" t="inlineStr">
        <is>
          <t>THICK</t>
        </is>
      </c>
    </row>
    <row r="229">
      <c r="A229" s="10" t="inlineStr">
        <is>
          <t>F31</t>
        </is>
      </c>
      <c r="B229" s="10" t="inlineStr">
        <is>
          <t>FP</t>
        </is>
      </c>
      <c r="C229" s="10" t="inlineStr">
        <is>
          <t>L-Arginine 1000; L-Arginine 2000  |  L-Arginine</t>
        </is>
      </c>
      <c r="D229" s="10" t="inlineStr">
        <is>
          <t>Hardness / breaking force</t>
        </is>
      </c>
      <c r="E229" s="10">
        <f>IF(A229="","",A229&amp;"|"&amp;D229)</f>
        <v/>
      </c>
      <c r="F229" s="5" t="inlineStr">
        <is>
          <t>Y</t>
        </is>
      </c>
      <c r="G229" s="5" t="inlineStr">
        <is>
          <t>Tablet tester</t>
        </is>
      </c>
      <c r="H229" s="5" t="inlineStr">
        <is>
          <t>Low</t>
        </is>
      </c>
      <c r="I229" s="5" t="n">
        <v>1</v>
      </c>
      <c r="J229" s="5" t="n"/>
      <c r="K229" s="10">
        <f>IFERROR(IF(INDEX('Test catalog'!$F$2:$F$200,MATCH($AB229,'Test catalog'!$A$2:$A$200,0))="","",INDEX('Test catalog'!$F$2:$F$200,MATCH($AB229,'Test catalog'!$A$2:$A$200,0))),"")</f>
        <v/>
      </c>
      <c r="L229" s="10">
        <f>IFERROR(IF(INDEX('Test catalog'!$G$2:$G$200,MATCH($AB229,'Test catalog'!$A$2:$A$200,0))="","",INDEX('Test catalog'!$G$2:$G$200,MATCH($AB229,'Test catalog'!$A$2:$A$200,0))),"")</f>
        <v/>
      </c>
      <c r="M229" s="10">
        <f>IFERROR(IF(INDEX('Test catalog'!$H$2:$H$200,MATCH($AB229,'Test catalog'!$A$2:$A$200,0))="","",INDEX('Test catalog'!$H$2:$H$200,MATCH($AB229,'Test catalog'!$A$2:$A$200,0))),"")</f>
        <v/>
      </c>
      <c r="N229" s="10">
        <f>IFERROR(IF(INDEX('Test catalog'!$I$2:$I$200,MATCH($AB229,'Test catalog'!$A$2:$A$200,0))="","",INDEX('Test catalog'!$I$2:$I$200,MATCH($AB229,'Test catalog'!$A$2:$A$200,0))),"")</f>
        <v/>
      </c>
      <c r="O229" s="10">
        <f>IFERROR(IF(INDEX('Test catalog'!$J$2:$J$200,MATCH($AB229,'Test catalog'!$A$2:$A$200,0))="","",INDEX('Test catalog'!$J$2:$J$200,MATCH($AB229,'Test catalog'!$A$2:$A$200,0))),"")</f>
        <v/>
      </c>
      <c r="P229" s="14">
        <f>IF(N229="","",IF(OR(M229="",O229=""),N229,(M229+4*N229+O229)/6))</f>
        <v/>
      </c>
      <c r="Q229" s="10">
        <f>IFERROR(IF(INDEX('Test catalog'!$K$2:$K$200,MATCH($AB229,'Test catalog'!$A$2:$A$200,0))="","",INDEX('Test catalog'!$K$2:$K$200,MATCH($AB229,'Test catalog'!$A$2:$A$200,0))),"")</f>
        <v/>
      </c>
      <c r="R229" s="5" t="n"/>
      <c r="S229" s="10">
        <f>IFERROR(IF(INDEX('Test catalog'!$L$2:$L$200,MATCH($AB229,'Test catalog'!$A$2:$A$200,0))="","",INDEX('Test catalog'!$L$2:$L$200,MATCH($AB229,'Test catalog'!$A$2:$A$200,0))),"")</f>
        <v/>
      </c>
      <c r="T229" s="10">
        <f>IFERROR(IF(INDEX('Test catalog'!$M$2:$M$200,MATCH($AB229,'Test catalog'!$A$2:$A$200,0))="","",INDEX('Test catalog'!$M$2:$M$200,MATCH($AB229,'Test catalog'!$A$2:$A$200,0))),"")</f>
        <v/>
      </c>
      <c r="U229" s="10">
        <f>IFERROR(IF(INDEX('Test catalog'!$N$2:$N$200,MATCH($AB229,'Test catalog'!$A$2:$A$200,0))="","",INDEX('Test catalog'!$N$2:$N$200,MATCH($AB229,'Test catalog'!$A$2:$A$200,0))),"")</f>
        <v/>
      </c>
      <c r="V229" s="15" t="n"/>
      <c r="W229" s="5" t="inlineStr">
        <is>
          <t>Y</t>
        </is>
      </c>
      <c r="X229" s="5" t="n"/>
      <c r="Y229" s="5" t="n"/>
      <c r="Z229" s="5" t="n"/>
      <c r="AA229" s="10">
        <f>IFERROR(IF(INDEX('Test catalog'!$O$2:$O$200,MATCH($AB229,'Test catalog'!$A$2:$A$200,0))="","",INDEX('Test catalog'!$O$2:$O$200,MATCH($AB229,'Test catalog'!$A$2:$A$200,0))),"")</f>
        <v/>
      </c>
      <c r="AB229" s="10" t="inlineStr">
        <is>
          <t>HARD</t>
        </is>
      </c>
    </row>
    <row r="230">
      <c r="A230" s="10" t="inlineStr">
        <is>
          <t>F31</t>
        </is>
      </c>
      <c r="B230" s="10" t="inlineStr">
        <is>
          <t>FP</t>
        </is>
      </c>
      <c r="C230" s="10" t="inlineStr">
        <is>
          <t>L-Arginine 1000; L-Arginine 2000  |  L-Arginine</t>
        </is>
      </c>
      <c r="D230" s="10" t="inlineStr">
        <is>
          <t>Brittleness</t>
        </is>
      </c>
      <c r="E230" s="10">
        <f>IF(A230="","",A230&amp;"|"&amp;D230)</f>
        <v/>
      </c>
      <c r="F230" s="5" t="inlineStr">
        <is>
          <t>Y</t>
        </is>
      </c>
      <c r="G230" s="5" t="inlineStr">
        <is>
          <t>Other / bench</t>
        </is>
      </c>
      <c r="H230" s="5" t="inlineStr">
        <is>
          <t>Low</t>
        </is>
      </c>
      <c r="I230" s="5" t="n">
        <v>1</v>
      </c>
      <c r="J230" s="5" t="n"/>
      <c r="K230" s="10">
        <f>IFERROR(IF(INDEX('Test catalog'!$F$2:$F$200,MATCH($AB230,'Test catalog'!$A$2:$A$200,0))="","",INDEX('Test catalog'!$F$2:$F$200,MATCH($AB230,'Test catalog'!$A$2:$A$200,0))),"")</f>
        <v/>
      </c>
      <c r="L230" s="10">
        <f>IFERROR(IF(INDEX('Test catalog'!$G$2:$G$200,MATCH($AB230,'Test catalog'!$A$2:$A$200,0))="","",INDEX('Test catalog'!$G$2:$G$200,MATCH($AB230,'Test catalog'!$A$2:$A$200,0))),"")</f>
        <v/>
      </c>
      <c r="M230" s="10">
        <f>IFERROR(IF(INDEX('Test catalog'!$H$2:$H$200,MATCH($AB230,'Test catalog'!$A$2:$A$200,0))="","",INDEX('Test catalog'!$H$2:$H$200,MATCH($AB230,'Test catalog'!$A$2:$A$200,0))),"")</f>
        <v/>
      </c>
      <c r="N230" s="10">
        <f>IFERROR(IF(INDEX('Test catalog'!$I$2:$I$200,MATCH($AB230,'Test catalog'!$A$2:$A$200,0))="","",INDEX('Test catalog'!$I$2:$I$200,MATCH($AB230,'Test catalog'!$A$2:$A$200,0))),"")</f>
        <v/>
      </c>
      <c r="O230" s="10">
        <f>IFERROR(IF(INDEX('Test catalog'!$J$2:$J$200,MATCH($AB230,'Test catalog'!$A$2:$A$200,0))="","",INDEX('Test catalog'!$J$2:$J$200,MATCH($AB230,'Test catalog'!$A$2:$A$200,0))),"")</f>
        <v/>
      </c>
      <c r="P230" s="14">
        <f>IF(N230="","",IF(OR(M230="",O230=""),N230,(M230+4*N230+O230)/6))</f>
        <v/>
      </c>
      <c r="Q230" s="10">
        <f>IFERROR(IF(INDEX('Test catalog'!$K$2:$K$200,MATCH($AB230,'Test catalog'!$A$2:$A$200,0))="","",INDEX('Test catalog'!$K$2:$K$200,MATCH($AB230,'Test catalog'!$A$2:$A$200,0))),"")</f>
        <v/>
      </c>
      <c r="R230" s="5" t="n"/>
      <c r="S230" s="10">
        <f>IFERROR(IF(INDEX('Test catalog'!$L$2:$L$200,MATCH($AB230,'Test catalog'!$A$2:$A$200,0))="","",INDEX('Test catalog'!$L$2:$L$200,MATCH($AB230,'Test catalog'!$A$2:$A$200,0))),"")</f>
        <v/>
      </c>
      <c r="T230" s="10">
        <f>IFERROR(IF(INDEX('Test catalog'!$M$2:$M$200,MATCH($AB230,'Test catalog'!$A$2:$A$200,0))="","",INDEX('Test catalog'!$M$2:$M$200,MATCH($AB230,'Test catalog'!$A$2:$A$200,0))),"")</f>
        <v/>
      </c>
      <c r="U230" s="10">
        <f>IFERROR(IF(INDEX('Test catalog'!$N$2:$N$200,MATCH($AB230,'Test catalog'!$A$2:$A$200,0))="","",INDEX('Test catalog'!$N$2:$N$200,MATCH($AB230,'Test catalog'!$A$2:$A$200,0))),"")</f>
        <v/>
      </c>
      <c r="V230" s="15" t="n"/>
      <c r="W230" s="5" t="inlineStr">
        <is>
          <t>N</t>
        </is>
      </c>
      <c r="X230" s="5" t="n"/>
      <c r="Y230" s="5" t="n"/>
      <c r="Z230" s="5" t="n"/>
      <c r="AA230" s="10">
        <f>IFERROR(IF(INDEX('Test catalog'!$O$2:$O$200,MATCH($AB230,'Test catalog'!$A$2:$A$200,0))="","",INDEX('Test catalog'!$O$2:$O$200,MATCH($AB230,'Test catalog'!$A$2:$A$200,0))),"")</f>
        <v/>
      </c>
      <c r="AB230" s="10" t="inlineStr">
        <is>
          <t>BRITTLE</t>
        </is>
      </c>
    </row>
    <row r="231">
      <c r="A231" s="10" t="inlineStr">
        <is>
          <t>F31</t>
        </is>
      </c>
      <c r="B231" s="10" t="inlineStr">
        <is>
          <t>FP</t>
        </is>
      </c>
      <c r="C231" s="10" t="inlineStr">
        <is>
          <t>L-Arginine 1000; L-Arginine 2000  |  L-Arginine</t>
        </is>
      </c>
      <c r="D231" s="10" t="inlineStr">
        <is>
          <t>Friability</t>
        </is>
      </c>
      <c r="E231" s="10">
        <f>IF(A231="","",A231&amp;"|"&amp;D231)</f>
        <v/>
      </c>
      <c r="F231" s="5" t="inlineStr">
        <is>
          <t>Y</t>
        </is>
      </c>
      <c r="G231" s="5" t="inlineStr">
        <is>
          <t>Friabilator</t>
        </is>
      </c>
      <c r="H231" s="5" t="inlineStr">
        <is>
          <t>Low</t>
        </is>
      </c>
      <c r="I231" s="5" t="n">
        <v>1</v>
      </c>
      <c r="J231" s="5" t="n"/>
      <c r="K231" s="10">
        <f>IFERROR(IF(INDEX('Test catalog'!$F$2:$F$200,MATCH($AB231,'Test catalog'!$A$2:$A$200,0))="","",INDEX('Test catalog'!$F$2:$F$200,MATCH($AB231,'Test catalog'!$A$2:$A$200,0))),"")</f>
        <v/>
      </c>
      <c r="L231" s="10">
        <f>IFERROR(IF(INDEX('Test catalog'!$G$2:$G$200,MATCH($AB231,'Test catalog'!$A$2:$A$200,0))="","",INDEX('Test catalog'!$G$2:$G$200,MATCH($AB231,'Test catalog'!$A$2:$A$200,0))),"")</f>
        <v/>
      </c>
      <c r="M231" s="10">
        <f>IFERROR(IF(INDEX('Test catalog'!$H$2:$H$200,MATCH($AB231,'Test catalog'!$A$2:$A$200,0))="","",INDEX('Test catalog'!$H$2:$H$200,MATCH($AB231,'Test catalog'!$A$2:$A$200,0))),"")</f>
        <v/>
      </c>
      <c r="N231" s="10">
        <f>IFERROR(IF(INDEX('Test catalog'!$I$2:$I$200,MATCH($AB231,'Test catalog'!$A$2:$A$200,0))="","",INDEX('Test catalog'!$I$2:$I$200,MATCH($AB231,'Test catalog'!$A$2:$A$200,0))),"")</f>
        <v/>
      </c>
      <c r="O231" s="10">
        <f>IFERROR(IF(INDEX('Test catalog'!$J$2:$J$200,MATCH($AB231,'Test catalog'!$A$2:$A$200,0))="","",INDEX('Test catalog'!$J$2:$J$200,MATCH($AB231,'Test catalog'!$A$2:$A$200,0))),"")</f>
        <v/>
      </c>
      <c r="P231" s="14">
        <f>IF(N231="","",IF(OR(M231="",O231=""),N231,(M231+4*N231+O231)/6))</f>
        <v/>
      </c>
      <c r="Q231" s="10">
        <f>IFERROR(IF(INDEX('Test catalog'!$K$2:$K$200,MATCH($AB231,'Test catalog'!$A$2:$A$200,0))="","",INDEX('Test catalog'!$K$2:$K$200,MATCH($AB231,'Test catalog'!$A$2:$A$200,0))),"")</f>
        <v/>
      </c>
      <c r="R231" s="5" t="n"/>
      <c r="S231" s="10">
        <f>IFERROR(IF(INDEX('Test catalog'!$L$2:$L$200,MATCH($AB231,'Test catalog'!$A$2:$A$200,0))="","",INDEX('Test catalog'!$L$2:$L$200,MATCH($AB231,'Test catalog'!$A$2:$A$200,0))),"")</f>
        <v/>
      </c>
      <c r="T231" s="10">
        <f>IFERROR(IF(INDEX('Test catalog'!$M$2:$M$200,MATCH($AB231,'Test catalog'!$A$2:$A$200,0))="","",INDEX('Test catalog'!$M$2:$M$200,MATCH($AB231,'Test catalog'!$A$2:$A$200,0))),"")</f>
        <v/>
      </c>
      <c r="U231" s="10">
        <f>IFERROR(IF(INDEX('Test catalog'!$N$2:$N$200,MATCH($AB231,'Test catalog'!$A$2:$A$200,0))="","",INDEX('Test catalog'!$N$2:$N$200,MATCH($AB231,'Test catalog'!$A$2:$A$200,0))),"")</f>
        <v/>
      </c>
      <c r="V231" s="15" t="n"/>
      <c r="W231" s="5" t="inlineStr">
        <is>
          <t>N</t>
        </is>
      </c>
      <c r="X231" s="5" t="n"/>
      <c r="Y231" s="5" t="n"/>
      <c r="Z231" s="5" t="n"/>
      <c r="AA231" s="10">
        <f>IFERROR(IF(INDEX('Test catalog'!$O$2:$O$200,MATCH($AB231,'Test catalog'!$A$2:$A$200,0))="","",INDEX('Test catalog'!$O$2:$O$200,MATCH($AB231,'Test catalog'!$A$2:$A$200,0))),"")</f>
        <v/>
      </c>
      <c r="AB231" s="10" t="inlineStr">
        <is>
          <t>FRIAB</t>
        </is>
      </c>
    </row>
    <row r="232">
      <c r="A232" s="10" t="inlineStr">
        <is>
          <t>F31</t>
        </is>
      </c>
      <c r="B232" s="10" t="inlineStr">
        <is>
          <t>FP</t>
        </is>
      </c>
      <c r="C232" s="10" t="inlineStr">
        <is>
          <t>L-Arginine 1000; L-Arginine 2000  |  L-Arginine</t>
        </is>
      </c>
      <c r="D232" s="10" t="inlineStr">
        <is>
          <t>Disintegration</t>
        </is>
      </c>
      <c r="E232" s="10">
        <f>IF(A232="","",A232&amp;"|"&amp;D232)</f>
        <v/>
      </c>
      <c r="F232" s="5" t="inlineStr">
        <is>
          <t>Y</t>
        </is>
      </c>
      <c r="G232" s="5" t="inlineStr">
        <is>
          <t>Disintegration tester</t>
        </is>
      </c>
      <c r="H232" s="5" t="inlineStr">
        <is>
          <t>Low</t>
        </is>
      </c>
      <c r="I232" s="5" t="n">
        <v>1</v>
      </c>
      <c r="J232" s="5" t="n"/>
      <c r="K232" s="10">
        <f>IFERROR(IF(INDEX('Test catalog'!$F$2:$F$200,MATCH($AB232,'Test catalog'!$A$2:$A$200,0))="","",INDEX('Test catalog'!$F$2:$F$200,MATCH($AB232,'Test catalog'!$A$2:$A$200,0))),"")</f>
        <v/>
      </c>
      <c r="L232" s="10">
        <f>IFERROR(IF(INDEX('Test catalog'!$G$2:$G$200,MATCH($AB232,'Test catalog'!$A$2:$A$200,0))="","",INDEX('Test catalog'!$G$2:$G$200,MATCH($AB232,'Test catalog'!$A$2:$A$200,0))),"")</f>
        <v/>
      </c>
      <c r="M232" s="10">
        <f>IFERROR(IF(INDEX('Test catalog'!$H$2:$H$200,MATCH($AB232,'Test catalog'!$A$2:$A$200,0))="","",INDEX('Test catalog'!$H$2:$H$200,MATCH($AB232,'Test catalog'!$A$2:$A$200,0))),"")</f>
        <v/>
      </c>
      <c r="N232" s="10">
        <f>IFERROR(IF(INDEX('Test catalog'!$I$2:$I$200,MATCH($AB232,'Test catalog'!$A$2:$A$200,0))="","",INDEX('Test catalog'!$I$2:$I$200,MATCH($AB232,'Test catalog'!$A$2:$A$200,0))),"")</f>
        <v/>
      </c>
      <c r="O232" s="10">
        <f>IFERROR(IF(INDEX('Test catalog'!$J$2:$J$200,MATCH($AB232,'Test catalog'!$A$2:$A$200,0))="","",INDEX('Test catalog'!$J$2:$J$200,MATCH($AB232,'Test catalog'!$A$2:$A$200,0))),"")</f>
        <v/>
      </c>
      <c r="P232" s="14">
        <f>IF(N232="","",IF(OR(M232="",O232=""),N232,(M232+4*N232+O232)/6))</f>
        <v/>
      </c>
      <c r="Q232" s="10">
        <f>IFERROR(IF(INDEX('Test catalog'!$K$2:$K$200,MATCH($AB232,'Test catalog'!$A$2:$A$200,0))="","",INDEX('Test catalog'!$K$2:$K$200,MATCH($AB232,'Test catalog'!$A$2:$A$200,0))),"")</f>
        <v/>
      </c>
      <c r="R232" s="5" t="n"/>
      <c r="S232" s="10">
        <f>IFERROR(IF(INDEX('Test catalog'!$L$2:$L$200,MATCH($AB232,'Test catalog'!$A$2:$A$200,0))="","",INDEX('Test catalog'!$L$2:$L$200,MATCH($AB232,'Test catalog'!$A$2:$A$200,0))),"")</f>
        <v/>
      </c>
      <c r="T232" s="10">
        <f>IFERROR(IF(INDEX('Test catalog'!$M$2:$M$200,MATCH($AB232,'Test catalog'!$A$2:$A$200,0))="","",INDEX('Test catalog'!$M$2:$M$200,MATCH($AB232,'Test catalog'!$A$2:$A$200,0))),"")</f>
        <v/>
      </c>
      <c r="U232" s="10">
        <f>IFERROR(IF(INDEX('Test catalog'!$N$2:$N$200,MATCH($AB232,'Test catalog'!$A$2:$A$200,0))="","",INDEX('Test catalog'!$N$2:$N$200,MATCH($AB232,'Test catalog'!$A$2:$A$200,0))),"")</f>
        <v/>
      </c>
      <c r="V232" s="15" t="n"/>
      <c r="W232" s="5" t="inlineStr">
        <is>
          <t>Y</t>
        </is>
      </c>
      <c r="X232" s="5" t="n"/>
      <c r="Y232" s="5" t="n"/>
      <c r="Z232" s="5" t="n"/>
      <c r="AA232" s="10">
        <f>IFERROR(IF(INDEX('Test catalog'!$O$2:$O$200,MATCH($AB232,'Test catalog'!$A$2:$A$200,0))="","",INDEX('Test catalog'!$O$2:$O$200,MATCH($AB232,'Test catalog'!$A$2:$A$200,0))),"")</f>
        <v/>
      </c>
      <c r="AB232" s="10" t="inlineStr">
        <is>
          <t>DISINT</t>
        </is>
      </c>
    </row>
    <row r="233">
      <c r="A233" s="10" t="inlineStr">
        <is>
          <t>F31</t>
        </is>
      </c>
      <c r="B233" s="10" t="inlineStr">
        <is>
          <t>FP</t>
        </is>
      </c>
      <c r="C233" s="10" t="inlineStr">
        <is>
          <t>L-Arginine 1000; L-Arginine 2000  |  L-Arginine</t>
        </is>
      </c>
      <c r="D233" s="10" t="inlineStr">
        <is>
          <t>In-process check at the machine (one check, all its tests)</t>
        </is>
      </c>
      <c r="E233" s="10">
        <f>IF(A233="","",A233&amp;"|"&amp;D233)</f>
        <v/>
      </c>
      <c r="F233" s="5" t="inlineStr">
        <is>
          <t>Y</t>
        </is>
      </c>
      <c r="G233" s="5" t="inlineStr">
        <is>
          <t>Tablet tester</t>
        </is>
      </c>
      <c r="H233" s="5" t="inlineStr">
        <is>
          <t>Low</t>
        </is>
      </c>
      <c r="I233" s="5" t="n">
        <v>1</v>
      </c>
      <c r="J233" s="5" t="n"/>
      <c r="K233" s="10">
        <f>IFERROR(IF(INDEX('Test catalog'!$F$2:$F$200,MATCH($AB233,'Test catalog'!$A$2:$A$200,0))="","",INDEX('Test catalog'!$F$2:$F$200,MATCH($AB233,'Test catalog'!$A$2:$A$200,0))),"")</f>
        <v/>
      </c>
      <c r="L233" s="10">
        <f>IFERROR(IF(INDEX('Test catalog'!$G$2:$G$200,MATCH($AB233,'Test catalog'!$A$2:$A$200,0))="","",INDEX('Test catalog'!$G$2:$G$200,MATCH($AB233,'Test catalog'!$A$2:$A$200,0))),"")</f>
        <v/>
      </c>
      <c r="M233" s="10">
        <f>IFERROR(IF(INDEX('Test catalog'!$H$2:$H$200,MATCH($AB233,'Test catalog'!$A$2:$A$200,0))="","",INDEX('Test catalog'!$H$2:$H$200,MATCH($AB233,'Test catalog'!$A$2:$A$200,0))),"")</f>
        <v/>
      </c>
      <c r="N233" s="10">
        <f>IFERROR(IF(INDEX('Test catalog'!$I$2:$I$200,MATCH($AB233,'Test catalog'!$A$2:$A$200,0))="","",INDEX('Test catalog'!$I$2:$I$200,MATCH($AB233,'Test catalog'!$A$2:$A$200,0))),"")</f>
        <v/>
      </c>
      <c r="O233" s="10">
        <f>IFERROR(IF(INDEX('Test catalog'!$J$2:$J$200,MATCH($AB233,'Test catalog'!$A$2:$A$200,0))="","",INDEX('Test catalog'!$J$2:$J$200,MATCH($AB233,'Test catalog'!$A$2:$A$200,0))),"")</f>
        <v/>
      </c>
      <c r="P233" s="14">
        <f>IF(N233="","",IF(OR(M233="",O233=""),N233,(M233+4*N233+O233)/6))</f>
        <v/>
      </c>
      <c r="Q233" s="10">
        <f>IFERROR(IF(INDEX('Test catalog'!$K$2:$K$200,MATCH($AB233,'Test catalog'!$A$2:$A$200,0))="","",INDEX('Test catalog'!$K$2:$K$200,MATCH($AB233,'Test catalog'!$A$2:$A$200,0))),"")</f>
        <v/>
      </c>
      <c r="R233" s="5" t="n"/>
      <c r="S233" s="10">
        <f>IFERROR(IF(INDEX('Test catalog'!$L$2:$L$200,MATCH($AB233,'Test catalog'!$A$2:$A$200,0))="","",INDEX('Test catalog'!$L$2:$L$200,MATCH($AB233,'Test catalog'!$A$2:$A$200,0))),"")</f>
        <v/>
      </c>
      <c r="T233" s="10">
        <f>IFERROR(IF(INDEX('Test catalog'!$M$2:$M$200,MATCH($AB233,'Test catalog'!$A$2:$A$200,0))="","",INDEX('Test catalog'!$M$2:$M$200,MATCH($AB233,'Test catalog'!$A$2:$A$200,0))),"")</f>
        <v/>
      </c>
      <c r="U233" s="10">
        <f>IFERROR(IF(INDEX('Test catalog'!$N$2:$N$200,MATCH($AB233,'Test catalog'!$A$2:$A$200,0))="","",INDEX('Test catalog'!$N$2:$N$200,MATCH($AB233,'Test catalog'!$A$2:$A$200,0))),"")</f>
        <v/>
      </c>
      <c r="V233" s="15" t="n"/>
      <c r="W233" s="5" t="inlineStr">
        <is>
          <t>N</t>
        </is>
      </c>
      <c r="X233" s="5" t="n"/>
      <c r="Y233" s="5" t="n"/>
      <c r="Z233" s="5" t="n"/>
      <c r="AA233" s="10">
        <f>IFERROR(IF(INDEX('Test catalog'!$O$2:$O$200,MATCH($AB233,'Test catalog'!$A$2:$A$200,0))="","",INDEX('Test catalog'!$O$2:$O$200,MATCH($AB233,'Test catalog'!$A$2:$A$200,0))),"")</f>
        <v/>
      </c>
      <c r="AB233" s="10" t="inlineStr">
        <is>
          <t>IPC</t>
        </is>
      </c>
    </row>
    <row r="234">
      <c r="A234" s="10" t="inlineStr">
        <is>
          <t>F32</t>
        </is>
      </c>
      <c r="B234" s="10" t="inlineStr">
        <is>
          <t>FP</t>
        </is>
      </c>
      <c r="C234" s="10" t="inlineStr">
        <is>
          <t>L-Carnitine 1000/10; L-Carnitine 2000/10  |  L-Carnitine (Base)</t>
        </is>
      </c>
      <c r="D234" s="10" t="inlineStr">
        <is>
          <t>Average weight / uniformity of mass</t>
        </is>
      </c>
      <c r="E234" s="10">
        <f>IF(A234="","",A234&amp;"|"&amp;D234)</f>
        <v/>
      </c>
      <c r="F234" s="5" t="inlineStr">
        <is>
          <t>Y</t>
        </is>
      </c>
      <c r="G234" s="5" t="inlineStr">
        <is>
          <t>Balance</t>
        </is>
      </c>
      <c r="H234" s="5" t="inlineStr">
        <is>
          <t>Low</t>
        </is>
      </c>
      <c r="I234" s="5" t="n">
        <v>1</v>
      </c>
      <c r="J234" s="5" t="n"/>
      <c r="K234" s="10">
        <f>IFERROR(IF(INDEX('Test catalog'!$F$2:$F$200,MATCH($AB234,'Test catalog'!$A$2:$A$200,0))="","",INDEX('Test catalog'!$F$2:$F$200,MATCH($AB234,'Test catalog'!$A$2:$A$200,0))),"")</f>
        <v/>
      </c>
      <c r="L234" s="10">
        <f>IFERROR(IF(INDEX('Test catalog'!$G$2:$G$200,MATCH($AB234,'Test catalog'!$A$2:$A$200,0))="","",INDEX('Test catalog'!$G$2:$G$200,MATCH($AB234,'Test catalog'!$A$2:$A$200,0))),"")</f>
        <v/>
      </c>
      <c r="M234" s="10">
        <f>IFERROR(IF(INDEX('Test catalog'!$H$2:$H$200,MATCH($AB234,'Test catalog'!$A$2:$A$200,0))="","",INDEX('Test catalog'!$H$2:$H$200,MATCH($AB234,'Test catalog'!$A$2:$A$200,0))),"")</f>
        <v/>
      </c>
      <c r="N234" s="10">
        <f>IFERROR(IF(INDEX('Test catalog'!$I$2:$I$200,MATCH($AB234,'Test catalog'!$A$2:$A$200,0))="","",INDEX('Test catalog'!$I$2:$I$200,MATCH($AB234,'Test catalog'!$A$2:$A$200,0))),"")</f>
        <v/>
      </c>
      <c r="O234" s="10">
        <f>IFERROR(IF(INDEX('Test catalog'!$J$2:$J$200,MATCH($AB234,'Test catalog'!$A$2:$A$200,0))="","",INDEX('Test catalog'!$J$2:$J$200,MATCH($AB234,'Test catalog'!$A$2:$A$200,0))),"")</f>
        <v/>
      </c>
      <c r="P234" s="14">
        <f>IF(N234="","",IF(OR(M234="",O234=""),N234,(M234+4*N234+O234)/6))</f>
        <v/>
      </c>
      <c r="Q234" s="10">
        <f>IFERROR(IF(INDEX('Test catalog'!$K$2:$K$200,MATCH($AB234,'Test catalog'!$A$2:$A$200,0))="","",INDEX('Test catalog'!$K$2:$K$200,MATCH($AB234,'Test catalog'!$A$2:$A$200,0))),"")</f>
        <v/>
      </c>
      <c r="R234" s="5" t="n"/>
      <c r="S234" s="10">
        <f>IFERROR(IF(INDEX('Test catalog'!$L$2:$L$200,MATCH($AB234,'Test catalog'!$A$2:$A$200,0))="","",INDEX('Test catalog'!$L$2:$L$200,MATCH($AB234,'Test catalog'!$A$2:$A$200,0))),"")</f>
        <v/>
      </c>
      <c r="T234" s="10">
        <f>IFERROR(IF(INDEX('Test catalog'!$M$2:$M$200,MATCH($AB234,'Test catalog'!$A$2:$A$200,0))="","",INDEX('Test catalog'!$M$2:$M$200,MATCH($AB234,'Test catalog'!$A$2:$A$200,0))),"")</f>
        <v/>
      </c>
      <c r="U234" s="10">
        <f>IFERROR(IF(INDEX('Test catalog'!$N$2:$N$200,MATCH($AB234,'Test catalog'!$A$2:$A$200,0))="","",INDEX('Test catalog'!$N$2:$N$200,MATCH($AB234,'Test catalog'!$A$2:$A$200,0))),"")</f>
        <v/>
      </c>
      <c r="V234" s="15" t="n"/>
      <c r="W234" s="5" t="inlineStr">
        <is>
          <t>N</t>
        </is>
      </c>
      <c r="X234" s="5" t="n"/>
      <c r="Y234" s="5" t="n"/>
      <c r="Z234" s="5" t="n"/>
      <c r="AA234" s="10">
        <f>IFERROR(IF(INDEX('Test catalog'!$O$2:$O$200,MATCH($AB234,'Test catalog'!$A$2:$A$200,0))="","",INDEX('Test catalog'!$O$2:$O$200,MATCH($AB234,'Test catalog'!$A$2:$A$200,0))),"")</f>
        <v/>
      </c>
      <c r="AB234" s="10" t="inlineStr">
        <is>
          <t>AVG_WT</t>
        </is>
      </c>
    </row>
    <row r="235">
      <c r="A235" s="10" t="inlineStr">
        <is>
          <t>F32</t>
        </is>
      </c>
      <c r="B235" s="10" t="inlineStr">
        <is>
          <t>FP</t>
        </is>
      </c>
      <c r="C235" s="10" t="inlineStr">
        <is>
          <t>L-Carnitine 1000/10; L-Carnitine 2000/10  |  L-Carnitine (Base)</t>
        </is>
      </c>
      <c r="D235" s="10" t="inlineStr">
        <is>
          <t>Diameter (or length / width)</t>
        </is>
      </c>
      <c r="E235" s="10">
        <f>IF(A235="","",A235&amp;"|"&amp;D235)</f>
        <v/>
      </c>
      <c r="F235" s="5" t="inlineStr">
        <is>
          <t>Y</t>
        </is>
      </c>
      <c r="G235" s="5" t="inlineStr">
        <is>
          <t>Tablet tester</t>
        </is>
      </c>
      <c r="H235" s="5" t="inlineStr">
        <is>
          <t>Low</t>
        </is>
      </c>
      <c r="I235" s="5" t="n">
        <v>1</v>
      </c>
      <c r="J235" s="5" t="n"/>
      <c r="K235" s="10">
        <f>IFERROR(IF(INDEX('Test catalog'!$F$2:$F$200,MATCH($AB235,'Test catalog'!$A$2:$A$200,0))="","",INDEX('Test catalog'!$F$2:$F$200,MATCH($AB235,'Test catalog'!$A$2:$A$200,0))),"")</f>
        <v/>
      </c>
      <c r="L235" s="10">
        <f>IFERROR(IF(INDEX('Test catalog'!$G$2:$G$200,MATCH($AB235,'Test catalog'!$A$2:$A$200,0))="","",INDEX('Test catalog'!$G$2:$G$200,MATCH($AB235,'Test catalog'!$A$2:$A$200,0))),"")</f>
        <v/>
      </c>
      <c r="M235" s="10">
        <f>IFERROR(IF(INDEX('Test catalog'!$H$2:$H$200,MATCH($AB235,'Test catalog'!$A$2:$A$200,0))="","",INDEX('Test catalog'!$H$2:$H$200,MATCH($AB235,'Test catalog'!$A$2:$A$200,0))),"")</f>
        <v/>
      </c>
      <c r="N235" s="10">
        <f>IFERROR(IF(INDEX('Test catalog'!$I$2:$I$200,MATCH($AB235,'Test catalog'!$A$2:$A$200,0))="","",INDEX('Test catalog'!$I$2:$I$200,MATCH($AB235,'Test catalog'!$A$2:$A$200,0))),"")</f>
        <v/>
      </c>
      <c r="O235" s="10">
        <f>IFERROR(IF(INDEX('Test catalog'!$J$2:$J$200,MATCH($AB235,'Test catalog'!$A$2:$A$200,0))="","",INDEX('Test catalog'!$J$2:$J$200,MATCH($AB235,'Test catalog'!$A$2:$A$200,0))),"")</f>
        <v/>
      </c>
      <c r="P235" s="14">
        <f>IF(N235="","",IF(OR(M235="",O235=""),N235,(M235+4*N235+O235)/6))</f>
        <v/>
      </c>
      <c r="Q235" s="10">
        <f>IFERROR(IF(INDEX('Test catalog'!$K$2:$K$200,MATCH($AB235,'Test catalog'!$A$2:$A$200,0))="","",INDEX('Test catalog'!$K$2:$K$200,MATCH($AB235,'Test catalog'!$A$2:$A$200,0))),"")</f>
        <v/>
      </c>
      <c r="R235" s="5" t="n"/>
      <c r="S235" s="10">
        <f>IFERROR(IF(INDEX('Test catalog'!$L$2:$L$200,MATCH($AB235,'Test catalog'!$A$2:$A$200,0))="","",INDEX('Test catalog'!$L$2:$L$200,MATCH($AB235,'Test catalog'!$A$2:$A$200,0))),"")</f>
        <v/>
      </c>
      <c r="T235" s="10">
        <f>IFERROR(IF(INDEX('Test catalog'!$M$2:$M$200,MATCH($AB235,'Test catalog'!$A$2:$A$200,0))="","",INDEX('Test catalog'!$M$2:$M$200,MATCH($AB235,'Test catalog'!$A$2:$A$200,0))),"")</f>
        <v/>
      </c>
      <c r="U235" s="10">
        <f>IFERROR(IF(INDEX('Test catalog'!$N$2:$N$200,MATCH($AB235,'Test catalog'!$A$2:$A$200,0))="","",INDEX('Test catalog'!$N$2:$N$200,MATCH($AB235,'Test catalog'!$A$2:$A$200,0))),"")</f>
        <v/>
      </c>
      <c r="V235" s="15" t="n"/>
      <c r="W235" s="5" t="inlineStr">
        <is>
          <t>N</t>
        </is>
      </c>
      <c r="X235" s="5" t="n"/>
      <c r="Y235" s="5" t="n"/>
      <c r="Z235" s="5" t="n"/>
      <c r="AA235" s="10">
        <f>IFERROR(IF(INDEX('Test catalog'!$O$2:$O$200,MATCH($AB235,'Test catalog'!$A$2:$A$200,0))="","",INDEX('Test catalog'!$O$2:$O$200,MATCH($AB235,'Test catalog'!$A$2:$A$200,0))),"")</f>
        <v/>
      </c>
      <c r="AB235" s="10" t="inlineStr">
        <is>
          <t>DIAM</t>
        </is>
      </c>
    </row>
    <row r="236">
      <c r="A236" s="10" t="inlineStr">
        <is>
          <t>F32</t>
        </is>
      </c>
      <c r="B236" s="10" t="inlineStr">
        <is>
          <t>FP</t>
        </is>
      </c>
      <c r="C236" s="10" t="inlineStr">
        <is>
          <t>L-Carnitine 1000/10; L-Carnitine 2000/10  |  L-Carnitine (Base)</t>
        </is>
      </c>
      <c r="D236" s="10" t="inlineStr">
        <is>
          <t>Thickness</t>
        </is>
      </c>
      <c r="E236" s="10">
        <f>IF(A236="","",A236&amp;"|"&amp;D236)</f>
        <v/>
      </c>
      <c r="F236" s="5" t="inlineStr">
        <is>
          <t>Y</t>
        </is>
      </c>
      <c r="G236" s="5" t="inlineStr">
        <is>
          <t>Tablet tester</t>
        </is>
      </c>
      <c r="H236" s="5" t="inlineStr">
        <is>
          <t>Low</t>
        </is>
      </c>
      <c r="I236" s="5" t="n">
        <v>1</v>
      </c>
      <c r="J236" s="5" t="n"/>
      <c r="K236" s="10">
        <f>IFERROR(IF(INDEX('Test catalog'!$F$2:$F$200,MATCH($AB236,'Test catalog'!$A$2:$A$200,0))="","",INDEX('Test catalog'!$F$2:$F$200,MATCH($AB236,'Test catalog'!$A$2:$A$200,0))),"")</f>
        <v/>
      </c>
      <c r="L236" s="10">
        <f>IFERROR(IF(INDEX('Test catalog'!$G$2:$G$200,MATCH($AB236,'Test catalog'!$A$2:$A$200,0))="","",INDEX('Test catalog'!$G$2:$G$200,MATCH($AB236,'Test catalog'!$A$2:$A$200,0))),"")</f>
        <v/>
      </c>
      <c r="M236" s="10">
        <f>IFERROR(IF(INDEX('Test catalog'!$H$2:$H$200,MATCH($AB236,'Test catalog'!$A$2:$A$200,0))="","",INDEX('Test catalog'!$H$2:$H$200,MATCH($AB236,'Test catalog'!$A$2:$A$200,0))),"")</f>
        <v/>
      </c>
      <c r="N236" s="10">
        <f>IFERROR(IF(INDEX('Test catalog'!$I$2:$I$200,MATCH($AB236,'Test catalog'!$A$2:$A$200,0))="","",INDEX('Test catalog'!$I$2:$I$200,MATCH($AB236,'Test catalog'!$A$2:$A$200,0))),"")</f>
        <v/>
      </c>
      <c r="O236" s="10">
        <f>IFERROR(IF(INDEX('Test catalog'!$J$2:$J$200,MATCH($AB236,'Test catalog'!$A$2:$A$200,0))="","",INDEX('Test catalog'!$J$2:$J$200,MATCH($AB236,'Test catalog'!$A$2:$A$200,0))),"")</f>
        <v/>
      </c>
      <c r="P236" s="14">
        <f>IF(N236="","",IF(OR(M236="",O236=""),N236,(M236+4*N236+O236)/6))</f>
        <v/>
      </c>
      <c r="Q236" s="10">
        <f>IFERROR(IF(INDEX('Test catalog'!$K$2:$K$200,MATCH($AB236,'Test catalog'!$A$2:$A$200,0))="","",INDEX('Test catalog'!$K$2:$K$200,MATCH($AB236,'Test catalog'!$A$2:$A$200,0))),"")</f>
        <v/>
      </c>
      <c r="R236" s="5" t="n"/>
      <c r="S236" s="10">
        <f>IFERROR(IF(INDEX('Test catalog'!$L$2:$L$200,MATCH($AB236,'Test catalog'!$A$2:$A$200,0))="","",INDEX('Test catalog'!$L$2:$L$200,MATCH($AB236,'Test catalog'!$A$2:$A$200,0))),"")</f>
        <v/>
      </c>
      <c r="T236" s="10">
        <f>IFERROR(IF(INDEX('Test catalog'!$M$2:$M$200,MATCH($AB236,'Test catalog'!$A$2:$A$200,0))="","",INDEX('Test catalog'!$M$2:$M$200,MATCH($AB236,'Test catalog'!$A$2:$A$200,0))),"")</f>
        <v/>
      </c>
      <c r="U236" s="10">
        <f>IFERROR(IF(INDEX('Test catalog'!$N$2:$N$200,MATCH($AB236,'Test catalog'!$A$2:$A$200,0))="","",INDEX('Test catalog'!$N$2:$N$200,MATCH($AB236,'Test catalog'!$A$2:$A$200,0))),"")</f>
        <v/>
      </c>
      <c r="V236" s="15" t="n"/>
      <c r="W236" s="5" t="inlineStr">
        <is>
          <t>N</t>
        </is>
      </c>
      <c r="X236" s="5" t="n"/>
      <c r="Y236" s="5" t="n"/>
      <c r="Z236" s="5" t="n"/>
      <c r="AA236" s="10">
        <f>IFERROR(IF(INDEX('Test catalog'!$O$2:$O$200,MATCH($AB236,'Test catalog'!$A$2:$A$200,0))="","",INDEX('Test catalog'!$O$2:$O$200,MATCH($AB236,'Test catalog'!$A$2:$A$200,0))),"")</f>
        <v/>
      </c>
      <c r="AB236" s="10" t="inlineStr">
        <is>
          <t>THICK</t>
        </is>
      </c>
    </row>
    <row r="237">
      <c r="A237" s="10" t="inlineStr">
        <is>
          <t>F32</t>
        </is>
      </c>
      <c r="B237" s="10" t="inlineStr">
        <is>
          <t>FP</t>
        </is>
      </c>
      <c r="C237" s="10" t="inlineStr">
        <is>
          <t>L-Carnitine 1000/10; L-Carnitine 2000/10  |  L-Carnitine (Base)</t>
        </is>
      </c>
      <c r="D237" s="10" t="inlineStr">
        <is>
          <t>Hardness / breaking force</t>
        </is>
      </c>
      <c r="E237" s="10">
        <f>IF(A237="","",A237&amp;"|"&amp;D237)</f>
        <v/>
      </c>
      <c r="F237" s="5" t="inlineStr">
        <is>
          <t>Y</t>
        </is>
      </c>
      <c r="G237" s="5" t="inlineStr">
        <is>
          <t>Tablet tester</t>
        </is>
      </c>
      <c r="H237" s="5" t="inlineStr">
        <is>
          <t>Low</t>
        </is>
      </c>
      <c r="I237" s="5" t="n">
        <v>1</v>
      </c>
      <c r="J237" s="5" t="n"/>
      <c r="K237" s="10">
        <f>IFERROR(IF(INDEX('Test catalog'!$F$2:$F$200,MATCH($AB237,'Test catalog'!$A$2:$A$200,0))="","",INDEX('Test catalog'!$F$2:$F$200,MATCH($AB237,'Test catalog'!$A$2:$A$200,0))),"")</f>
        <v/>
      </c>
      <c r="L237" s="10">
        <f>IFERROR(IF(INDEX('Test catalog'!$G$2:$G$200,MATCH($AB237,'Test catalog'!$A$2:$A$200,0))="","",INDEX('Test catalog'!$G$2:$G$200,MATCH($AB237,'Test catalog'!$A$2:$A$200,0))),"")</f>
        <v/>
      </c>
      <c r="M237" s="10">
        <f>IFERROR(IF(INDEX('Test catalog'!$H$2:$H$200,MATCH($AB237,'Test catalog'!$A$2:$A$200,0))="","",INDEX('Test catalog'!$H$2:$H$200,MATCH($AB237,'Test catalog'!$A$2:$A$200,0))),"")</f>
        <v/>
      </c>
      <c r="N237" s="10">
        <f>IFERROR(IF(INDEX('Test catalog'!$I$2:$I$200,MATCH($AB237,'Test catalog'!$A$2:$A$200,0))="","",INDEX('Test catalog'!$I$2:$I$200,MATCH($AB237,'Test catalog'!$A$2:$A$200,0))),"")</f>
        <v/>
      </c>
      <c r="O237" s="10">
        <f>IFERROR(IF(INDEX('Test catalog'!$J$2:$J$200,MATCH($AB237,'Test catalog'!$A$2:$A$200,0))="","",INDEX('Test catalog'!$J$2:$J$200,MATCH($AB237,'Test catalog'!$A$2:$A$200,0))),"")</f>
        <v/>
      </c>
      <c r="P237" s="14">
        <f>IF(N237="","",IF(OR(M237="",O237=""),N237,(M237+4*N237+O237)/6))</f>
        <v/>
      </c>
      <c r="Q237" s="10">
        <f>IFERROR(IF(INDEX('Test catalog'!$K$2:$K$200,MATCH($AB237,'Test catalog'!$A$2:$A$200,0))="","",INDEX('Test catalog'!$K$2:$K$200,MATCH($AB237,'Test catalog'!$A$2:$A$200,0))),"")</f>
        <v/>
      </c>
      <c r="R237" s="5" t="n"/>
      <c r="S237" s="10">
        <f>IFERROR(IF(INDEX('Test catalog'!$L$2:$L$200,MATCH($AB237,'Test catalog'!$A$2:$A$200,0))="","",INDEX('Test catalog'!$L$2:$L$200,MATCH($AB237,'Test catalog'!$A$2:$A$200,0))),"")</f>
        <v/>
      </c>
      <c r="T237" s="10">
        <f>IFERROR(IF(INDEX('Test catalog'!$M$2:$M$200,MATCH($AB237,'Test catalog'!$A$2:$A$200,0))="","",INDEX('Test catalog'!$M$2:$M$200,MATCH($AB237,'Test catalog'!$A$2:$A$200,0))),"")</f>
        <v/>
      </c>
      <c r="U237" s="10">
        <f>IFERROR(IF(INDEX('Test catalog'!$N$2:$N$200,MATCH($AB237,'Test catalog'!$A$2:$A$200,0))="","",INDEX('Test catalog'!$N$2:$N$200,MATCH($AB237,'Test catalog'!$A$2:$A$200,0))),"")</f>
        <v/>
      </c>
      <c r="V237" s="15" t="n"/>
      <c r="W237" s="5" t="inlineStr">
        <is>
          <t>Y</t>
        </is>
      </c>
      <c r="X237" s="5" t="n"/>
      <c r="Y237" s="5" t="n"/>
      <c r="Z237" s="5" t="n"/>
      <c r="AA237" s="10">
        <f>IFERROR(IF(INDEX('Test catalog'!$O$2:$O$200,MATCH($AB237,'Test catalog'!$A$2:$A$200,0))="","",INDEX('Test catalog'!$O$2:$O$200,MATCH($AB237,'Test catalog'!$A$2:$A$200,0))),"")</f>
        <v/>
      </c>
      <c r="AB237" s="10" t="inlineStr">
        <is>
          <t>HARD</t>
        </is>
      </c>
    </row>
    <row r="238">
      <c r="A238" s="10" t="inlineStr">
        <is>
          <t>F32</t>
        </is>
      </c>
      <c r="B238" s="10" t="inlineStr">
        <is>
          <t>FP</t>
        </is>
      </c>
      <c r="C238" s="10" t="inlineStr">
        <is>
          <t>L-Carnitine 1000/10; L-Carnitine 2000/10  |  L-Carnitine (Base)</t>
        </is>
      </c>
      <c r="D238" s="10" t="inlineStr">
        <is>
          <t>Brittleness</t>
        </is>
      </c>
      <c r="E238" s="10">
        <f>IF(A238="","",A238&amp;"|"&amp;D238)</f>
        <v/>
      </c>
      <c r="F238" s="5" t="inlineStr">
        <is>
          <t>Y</t>
        </is>
      </c>
      <c r="G238" s="5" t="inlineStr">
        <is>
          <t>Other / bench</t>
        </is>
      </c>
      <c r="H238" s="5" t="inlineStr">
        <is>
          <t>Low</t>
        </is>
      </c>
      <c r="I238" s="5" t="n">
        <v>1</v>
      </c>
      <c r="J238" s="5" t="n"/>
      <c r="K238" s="10">
        <f>IFERROR(IF(INDEX('Test catalog'!$F$2:$F$200,MATCH($AB238,'Test catalog'!$A$2:$A$200,0))="","",INDEX('Test catalog'!$F$2:$F$200,MATCH($AB238,'Test catalog'!$A$2:$A$200,0))),"")</f>
        <v/>
      </c>
      <c r="L238" s="10">
        <f>IFERROR(IF(INDEX('Test catalog'!$G$2:$G$200,MATCH($AB238,'Test catalog'!$A$2:$A$200,0))="","",INDEX('Test catalog'!$G$2:$G$200,MATCH($AB238,'Test catalog'!$A$2:$A$200,0))),"")</f>
        <v/>
      </c>
      <c r="M238" s="10">
        <f>IFERROR(IF(INDEX('Test catalog'!$H$2:$H$200,MATCH($AB238,'Test catalog'!$A$2:$A$200,0))="","",INDEX('Test catalog'!$H$2:$H$200,MATCH($AB238,'Test catalog'!$A$2:$A$200,0))),"")</f>
        <v/>
      </c>
      <c r="N238" s="10">
        <f>IFERROR(IF(INDEX('Test catalog'!$I$2:$I$200,MATCH($AB238,'Test catalog'!$A$2:$A$200,0))="","",INDEX('Test catalog'!$I$2:$I$200,MATCH($AB238,'Test catalog'!$A$2:$A$200,0))),"")</f>
        <v/>
      </c>
      <c r="O238" s="10">
        <f>IFERROR(IF(INDEX('Test catalog'!$J$2:$J$200,MATCH($AB238,'Test catalog'!$A$2:$A$200,0))="","",INDEX('Test catalog'!$J$2:$J$200,MATCH($AB238,'Test catalog'!$A$2:$A$200,0))),"")</f>
        <v/>
      </c>
      <c r="P238" s="14">
        <f>IF(N238="","",IF(OR(M238="",O238=""),N238,(M238+4*N238+O238)/6))</f>
        <v/>
      </c>
      <c r="Q238" s="10">
        <f>IFERROR(IF(INDEX('Test catalog'!$K$2:$K$200,MATCH($AB238,'Test catalog'!$A$2:$A$200,0))="","",INDEX('Test catalog'!$K$2:$K$200,MATCH($AB238,'Test catalog'!$A$2:$A$200,0))),"")</f>
        <v/>
      </c>
      <c r="R238" s="5" t="n"/>
      <c r="S238" s="10">
        <f>IFERROR(IF(INDEX('Test catalog'!$L$2:$L$200,MATCH($AB238,'Test catalog'!$A$2:$A$200,0))="","",INDEX('Test catalog'!$L$2:$L$200,MATCH($AB238,'Test catalog'!$A$2:$A$200,0))),"")</f>
        <v/>
      </c>
      <c r="T238" s="10">
        <f>IFERROR(IF(INDEX('Test catalog'!$M$2:$M$200,MATCH($AB238,'Test catalog'!$A$2:$A$200,0))="","",INDEX('Test catalog'!$M$2:$M$200,MATCH($AB238,'Test catalog'!$A$2:$A$200,0))),"")</f>
        <v/>
      </c>
      <c r="U238" s="10">
        <f>IFERROR(IF(INDEX('Test catalog'!$N$2:$N$200,MATCH($AB238,'Test catalog'!$A$2:$A$200,0))="","",INDEX('Test catalog'!$N$2:$N$200,MATCH($AB238,'Test catalog'!$A$2:$A$200,0))),"")</f>
        <v/>
      </c>
      <c r="V238" s="15" t="n"/>
      <c r="W238" s="5" t="inlineStr">
        <is>
          <t>N</t>
        </is>
      </c>
      <c r="X238" s="5" t="n"/>
      <c r="Y238" s="5" t="n"/>
      <c r="Z238" s="5" t="n"/>
      <c r="AA238" s="10">
        <f>IFERROR(IF(INDEX('Test catalog'!$O$2:$O$200,MATCH($AB238,'Test catalog'!$A$2:$A$200,0))="","",INDEX('Test catalog'!$O$2:$O$200,MATCH($AB238,'Test catalog'!$A$2:$A$200,0))),"")</f>
        <v/>
      </c>
      <c r="AB238" s="10" t="inlineStr">
        <is>
          <t>BRITTLE</t>
        </is>
      </c>
    </row>
    <row r="239">
      <c r="A239" s="10" t="inlineStr">
        <is>
          <t>F32</t>
        </is>
      </c>
      <c r="B239" s="10" t="inlineStr">
        <is>
          <t>FP</t>
        </is>
      </c>
      <c r="C239" s="10" t="inlineStr">
        <is>
          <t>L-Carnitine 1000/10; L-Carnitine 2000/10  |  L-Carnitine (Base)</t>
        </is>
      </c>
      <c r="D239" s="10" t="inlineStr">
        <is>
          <t>Friability</t>
        </is>
      </c>
      <c r="E239" s="10">
        <f>IF(A239="","",A239&amp;"|"&amp;D239)</f>
        <v/>
      </c>
      <c r="F239" s="5" t="inlineStr">
        <is>
          <t>Y</t>
        </is>
      </c>
      <c r="G239" s="5" t="inlineStr">
        <is>
          <t>Friabilator</t>
        </is>
      </c>
      <c r="H239" s="5" t="inlineStr">
        <is>
          <t>Low</t>
        </is>
      </c>
      <c r="I239" s="5" t="n">
        <v>1</v>
      </c>
      <c r="J239" s="5" t="n"/>
      <c r="K239" s="10">
        <f>IFERROR(IF(INDEX('Test catalog'!$F$2:$F$200,MATCH($AB239,'Test catalog'!$A$2:$A$200,0))="","",INDEX('Test catalog'!$F$2:$F$200,MATCH($AB239,'Test catalog'!$A$2:$A$200,0))),"")</f>
        <v/>
      </c>
      <c r="L239" s="10">
        <f>IFERROR(IF(INDEX('Test catalog'!$G$2:$G$200,MATCH($AB239,'Test catalog'!$A$2:$A$200,0))="","",INDEX('Test catalog'!$G$2:$G$200,MATCH($AB239,'Test catalog'!$A$2:$A$200,0))),"")</f>
        <v/>
      </c>
      <c r="M239" s="10">
        <f>IFERROR(IF(INDEX('Test catalog'!$H$2:$H$200,MATCH($AB239,'Test catalog'!$A$2:$A$200,0))="","",INDEX('Test catalog'!$H$2:$H$200,MATCH($AB239,'Test catalog'!$A$2:$A$200,0))),"")</f>
        <v/>
      </c>
      <c r="N239" s="10">
        <f>IFERROR(IF(INDEX('Test catalog'!$I$2:$I$200,MATCH($AB239,'Test catalog'!$A$2:$A$200,0))="","",INDEX('Test catalog'!$I$2:$I$200,MATCH($AB239,'Test catalog'!$A$2:$A$200,0))),"")</f>
        <v/>
      </c>
      <c r="O239" s="10">
        <f>IFERROR(IF(INDEX('Test catalog'!$J$2:$J$200,MATCH($AB239,'Test catalog'!$A$2:$A$200,0))="","",INDEX('Test catalog'!$J$2:$J$200,MATCH($AB239,'Test catalog'!$A$2:$A$200,0))),"")</f>
        <v/>
      </c>
      <c r="P239" s="14">
        <f>IF(N239="","",IF(OR(M239="",O239=""),N239,(M239+4*N239+O239)/6))</f>
        <v/>
      </c>
      <c r="Q239" s="10">
        <f>IFERROR(IF(INDEX('Test catalog'!$K$2:$K$200,MATCH($AB239,'Test catalog'!$A$2:$A$200,0))="","",INDEX('Test catalog'!$K$2:$K$200,MATCH($AB239,'Test catalog'!$A$2:$A$200,0))),"")</f>
        <v/>
      </c>
      <c r="R239" s="5" t="n"/>
      <c r="S239" s="10">
        <f>IFERROR(IF(INDEX('Test catalog'!$L$2:$L$200,MATCH($AB239,'Test catalog'!$A$2:$A$200,0))="","",INDEX('Test catalog'!$L$2:$L$200,MATCH($AB239,'Test catalog'!$A$2:$A$200,0))),"")</f>
        <v/>
      </c>
      <c r="T239" s="10">
        <f>IFERROR(IF(INDEX('Test catalog'!$M$2:$M$200,MATCH($AB239,'Test catalog'!$A$2:$A$200,0))="","",INDEX('Test catalog'!$M$2:$M$200,MATCH($AB239,'Test catalog'!$A$2:$A$200,0))),"")</f>
        <v/>
      </c>
      <c r="U239" s="10">
        <f>IFERROR(IF(INDEX('Test catalog'!$N$2:$N$200,MATCH($AB239,'Test catalog'!$A$2:$A$200,0))="","",INDEX('Test catalog'!$N$2:$N$200,MATCH($AB239,'Test catalog'!$A$2:$A$200,0))),"")</f>
        <v/>
      </c>
      <c r="V239" s="15" t="n"/>
      <c r="W239" s="5" t="inlineStr">
        <is>
          <t>N</t>
        </is>
      </c>
      <c r="X239" s="5" t="n"/>
      <c r="Y239" s="5" t="n"/>
      <c r="Z239" s="5" t="n"/>
      <c r="AA239" s="10">
        <f>IFERROR(IF(INDEX('Test catalog'!$O$2:$O$200,MATCH($AB239,'Test catalog'!$A$2:$A$200,0))="","",INDEX('Test catalog'!$O$2:$O$200,MATCH($AB239,'Test catalog'!$A$2:$A$200,0))),"")</f>
        <v/>
      </c>
      <c r="AB239" s="10" t="inlineStr">
        <is>
          <t>FRIAB</t>
        </is>
      </c>
    </row>
    <row r="240">
      <c r="A240" s="10" t="inlineStr">
        <is>
          <t>F32</t>
        </is>
      </c>
      <c r="B240" s="10" t="inlineStr">
        <is>
          <t>FP</t>
        </is>
      </c>
      <c r="C240" s="10" t="inlineStr">
        <is>
          <t>L-Carnitine 1000/10; L-Carnitine 2000/10  |  L-Carnitine (Base)</t>
        </is>
      </c>
      <c r="D240" s="10" t="inlineStr">
        <is>
          <t>Disintegration</t>
        </is>
      </c>
      <c r="E240" s="10">
        <f>IF(A240="","",A240&amp;"|"&amp;D240)</f>
        <v/>
      </c>
      <c r="F240" s="5" t="inlineStr">
        <is>
          <t>Y</t>
        </is>
      </c>
      <c r="G240" s="5" t="inlineStr">
        <is>
          <t>Disintegration tester</t>
        </is>
      </c>
      <c r="H240" s="5" t="inlineStr">
        <is>
          <t>Low</t>
        </is>
      </c>
      <c r="I240" s="5" t="n">
        <v>1</v>
      </c>
      <c r="J240" s="5" t="n"/>
      <c r="K240" s="10">
        <f>IFERROR(IF(INDEX('Test catalog'!$F$2:$F$200,MATCH($AB240,'Test catalog'!$A$2:$A$200,0))="","",INDEX('Test catalog'!$F$2:$F$200,MATCH($AB240,'Test catalog'!$A$2:$A$200,0))),"")</f>
        <v/>
      </c>
      <c r="L240" s="10">
        <f>IFERROR(IF(INDEX('Test catalog'!$G$2:$G$200,MATCH($AB240,'Test catalog'!$A$2:$A$200,0))="","",INDEX('Test catalog'!$G$2:$G$200,MATCH($AB240,'Test catalog'!$A$2:$A$200,0))),"")</f>
        <v/>
      </c>
      <c r="M240" s="10">
        <f>IFERROR(IF(INDEX('Test catalog'!$H$2:$H$200,MATCH($AB240,'Test catalog'!$A$2:$A$200,0))="","",INDEX('Test catalog'!$H$2:$H$200,MATCH($AB240,'Test catalog'!$A$2:$A$200,0))),"")</f>
        <v/>
      </c>
      <c r="N240" s="10">
        <f>IFERROR(IF(INDEX('Test catalog'!$I$2:$I$200,MATCH($AB240,'Test catalog'!$A$2:$A$200,0))="","",INDEX('Test catalog'!$I$2:$I$200,MATCH($AB240,'Test catalog'!$A$2:$A$200,0))),"")</f>
        <v/>
      </c>
      <c r="O240" s="10">
        <f>IFERROR(IF(INDEX('Test catalog'!$J$2:$J$200,MATCH($AB240,'Test catalog'!$A$2:$A$200,0))="","",INDEX('Test catalog'!$J$2:$J$200,MATCH($AB240,'Test catalog'!$A$2:$A$200,0))),"")</f>
        <v/>
      </c>
      <c r="P240" s="14">
        <f>IF(N240="","",IF(OR(M240="",O240=""),N240,(M240+4*N240+O240)/6))</f>
        <v/>
      </c>
      <c r="Q240" s="10">
        <f>IFERROR(IF(INDEX('Test catalog'!$K$2:$K$200,MATCH($AB240,'Test catalog'!$A$2:$A$200,0))="","",INDEX('Test catalog'!$K$2:$K$200,MATCH($AB240,'Test catalog'!$A$2:$A$200,0))),"")</f>
        <v/>
      </c>
      <c r="R240" s="5" t="n"/>
      <c r="S240" s="10">
        <f>IFERROR(IF(INDEX('Test catalog'!$L$2:$L$200,MATCH($AB240,'Test catalog'!$A$2:$A$200,0))="","",INDEX('Test catalog'!$L$2:$L$200,MATCH($AB240,'Test catalog'!$A$2:$A$200,0))),"")</f>
        <v/>
      </c>
      <c r="T240" s="10">
        <f>IFERROR(IF(INDEX('Test catalog'!$M$2:$M$200,MATCH($AB240,'Test catalog'!$A$2:$A$200,0))="","",INDEX('Test catalog'!$M$2:$M$200,MATCH($AB240,'Test catalog'!$A$2:$A$200,0))),"")</f>
        <v/>
      </c>
      <c r="U240" s="10">
        <f>IFERROR(IF(INDEX('Test catalog'!$N$2:$N$200,MATCH($AB240,'Test catalog'!$A$2:$A$200,0))="","",INDEX('Test catalog'!$N$2:$N$200,MATCH($AB240,'Test catalog'!$A$2:$A$200,0))),"")</f>
        <v/>
      </c>
      <c r="V240" s="15" t="n"/>
      <c r="W240" s="5" t="inlineStr">
        <is>
          <t>Y</t>
        </is>
      </c>
      <c r="X240" s="5" t="n"/>
      <c r="Y240" s="5" t="n"/>
      <c r="Z240" s="5" t="n"/>
      <c r="AA240" s="10">
        <f>IFERROR(IF(INDEX('Test catalog'!$O$2:$O$200,MATCH($AB240,'Test catalog'!$A$2:$A$200,0))="","",INDEX('Test catalog'!$O$2:$O$200,MATCH($AB240,'Test catalog'!$A$2:$A$200,0))),"")</f>
        <v/>
      </c>
      <c r="AB240" s="10" t="inlineStr">
        <is>
          <t>DISINT</t>
        </is>
      </c>
    </row>
    <row r="241">
      <c r="A241" s="10" t="inlineStr">
        <is>
          <t>F32</t>
        </is>
      </c>
      <c r="B241" s="10" t="inlineStr">
        <is>
          <t>FP</t>
        </is>
      </c>
      <c r="C241" s="10" t="inlineStr">
        <is>
          <t>L-Carnitine 1000/10; L-Carnitine 2000/10  |  L-Carnitine (Base)</t>
        </is>
      </c>
      <c r="D241" s="10" t="inlineStr">
        <is>
          <t>In-process check at the machine (one check, all its tests)</t>
        </is>
      </c>
      <c r="E241" s="10">
        <f>IF(A241="","",A241&amp;"|"&amp;D241)</f>
        <v/>
      </c>
      <c r="F241" s="5" t="inlineStr">
        <is>
          <t>Y</t>
        </is>
      </c>
      <c r="G241" s="5" t="inlineStr">
        <is>
          <t>Tablet tester</t>
        </is>
      </c>
      <c r="H241" s="5" t="inlineStr">
        <is>
          <t>Low</t>
        </is>
      </c>
      <c r="I241" s="5" t="n">
        <v>1</v>
      </c>
      <c r="J241" s="5" t="n"/>
      <c r="K241" s="10">
        <f>IFERROR(IF(INDEX('Test catalog'!$F$2:$F$200,MATCH($AB241,'Test catalog'!$A$2:$A$200,0))="","",INDEX('Test catalog'!$F$2:$F$200,MATCH($AB241,'Test catalog'!$A$2:$A$200,0))),"")</f>
        <v/>
      </c>
      <c r="L241" s="10">
        <f>IFERROR(IF(INDEX('Test catalog'!$G$2:$G$200,MATCH($AB241,'Test catalog'!$A$2:$A$200,0))="","",INDEX('Test catalog'!$G$2:$G$200,MATCH($AB241,'Test catalog'!$A$2:$A$200,0))),"")</f>
        <v/>
      </c>
      <c r="M241" s="10">
        <f>IFERROR(IF(INDEX('Test catalog'!$H$2:$H$200,MATCH($AB241,'Test catalog'!$A$2:$A$200,0))="","",INDEX('Test catalog'!$H$2:$H$200,MATCH($AB241,'Test catalog'!$A$2:$A$200,0))),"")</f>
        <v/>
      </c>
      <c r="N241" s="10">
        <f>IFERROR(IF(INDEX('Test catalog'!$I$2:$I$200,MATCH($AB241,'Test catalog'!$A$2:$A$200,0))="","",INDEX('Test catalog'!$I$2:$I$200,MATCH($AB241,'Test catalog'!$A$2:$A$200,0))),"")</f>
        <v/>
      </c>
      <c r="O241" s="10">
        <f>IFERROR(IF(INDEX('Test catalog'!$J$2:$J$200,MATCH($AB241,'Test catalog'!$A$2:$A$200,0))="","",INDEX('Test catalog'!$J$2:$J$200,MATCH($AB241,'Test catalog'!$A$2:$A$200,0))),"")</f>
        <v/>
      </c>
      <c r="P241" s="14">
        <f>IF(N241="","",IF(OR(M241="",O241=""),N241,(M241+4*N241+O241)/6))</f>
        <v/>
      </c>
      <c r="Q241" s="10">
        <f>IFERROR(IF(INDEX('Test catalog'!$K$2:$K$200,MATCH($AB241,'Test catalog'!$A$2:$A$200,0))="","",INDEX('Test catalog'!$K$2:$K$200,MATCH($AB241,'Test catalog'!$A$2:$A$200,0))),"")</f>
        <v/>
      </c>
      <c r="R241" s="5" t="n"/>
      <c r="S241" s="10">
        <f>IFERROR(IF(INDEX('Test catalog'!$L$2:$L$200,MATCH($AB241,'Test catalog'!$A$2:$A$200,0))="","",INDEX('Test catalog'!$L$2:$L$200,MATCH($AB241,'Test catalog'!$A$2:$A$200,0))),"")</f>
        <v/>
      </c>
      <c r="T241" s="10">
        <f>IFERROR(IF(INDEX('Test catalog'!$M$2:$M$200,MATCH($AB241,'Test catalog'!$A$2:$A$200,0))="","",INDEX('Test catalog'!$M$2:$M$200,MATCH($AB241,'Test catalog'!$A$2:$A$200,0))),"")</f>
        <v/>
      </c>
      <c r="U241" s="10">
        <f>IFERROR(IF(INDEX('Test catalog'!$N$2:$N$200,MATCH($AB241,'Test catalog'!$A$2:$A$200,0))="","",INDEX('Test catalog'!$N$2:$N$200,MATCH($AB241,'Test catalog'!$A$2:$A$200,0))),"")</f>
        <v/>
      </c>
      <c r="V241" s="15" t="n"/>
      <c r="W241" s="5" t="inlineStr">
        <is>
          <t>N</t>
        </is>
      </c>
      <c r="X241" s="5" t="n"/>
      <c r="Y241" s="5" t="n"/>
      <c r="Z241" s="5" t="n"/>
      <c r="AA241" s="10">
        <f>IFERROR(IF(INDEX('Test catalog'!$O$2:$O$200,MATCH($AB241,'Test catalog'!$A$2:$A$200,0))="","",INDEX('Test catalog'!$O$2:$O$200,MATCH($AB241,'Test catalog'!$A$2:$A$200,0))),"")</f>
        <v/>
      </c>
      <c r="AB241" s="10" t="inlineStr">
        <is>
          <t>IPC</t>
        </is>
      </c>
    </row>
    <row r="242">
      <c r="A242" s="10" t="inlineStr">
        <is>
          <t>F33</t>
        </is>
      </c>
      <c r="B242" s="10" t="inlineStr">
        <is>
          <t>FP</t>
        </is>
      </c>
      <c r="C242" s="10" t="inlineStr">
        <is>
          <t>L-Carnitine Caffeine  |  L-Carnitine (Base), Caffeine (Base) (+3 more)</t>
        </is>
      </c>
      <c r="D242" s="10" t="inlineStr">
        <is>
          <t>Average weight / uniformity of mass</t>
        </is>
      </c>
      <c r="E242" s="10">
        <f>IF(A242="","",A242&amp;"|"&amp;D242)</f>
        <v/>
      </c>
      <c r="F242" s="5" t="inlineStr">
        <is>
          <t>Y</t>
        </is>
      </c>
      <c r="G242" s="5" t="inlineStr">
        <is>
          <t>Balance</t>
        </is>
      </c>
      <c r="H242" s="5" t="inlineStr">
        <is>
          <t>Low</t>
        </is>
      </c>
      <c r="I242" s="5" t="n">
        <v>1</v>
      </c>
      <c r="J242" s="5" t="n"/>
      <c r="K242" s="10">
        <f>IFERROR(IF(INDEX('Test catalog'!$F$2:$F$200,MATCH($AB242,'Test catalog'!$A$2:$A$200,0))="","",INDEX('Test catalog'!$F$2:$F$200,MATCH($AB242,'Test catalog'!$A$2:$A$200,0))),"")</f>
        <v/>
      </c>
      <c r="L242" s="10">
        <f>IFERROR(IF(INDEX('Test catalog'!$G$2:$G$200,MATCH($AB242,'Test catalog'!$A$2:$A$200,0))="","",INDEX('Test catalog'!$G$2:$G$200,MATCH($AB242,'Test catalog'!$A$2:$A$200,0))),"")</f>
        <v/>
      </c>
      <c r="M242" s="10">
        <f>IFERROR(IF(INDEX('Test catalog'!$H$2:$H$200,MATCH($AB242,'Test catalog'!$A$2:$A$200,0))="","",INDEX('Test catalog'!$H$2:$H$200,MATCH($AB242,'Test catalog'!$A$2:$A$200,0))),"")</f>
        <v/>
      </c>
      <c r="N242" s="10">
        <f>IFERROR(IF(INDEX('Test catalog'!$I$2:$I$200,MATCH($AB242,'Test catalog'!$A$2:$A$200,0))="","",INDEX('Test catalog'!$I$2:$I$200,MATCH($AB242,'Test catalog'!$A$2:$A$200,0))),"")</f>
        <v/>
      </c>
      <c r="O242" s="10">
        <f>IFERROR(IF(INDEX('Test catalog'!$J$2:$J$200,MATCH($AB242,'Test catalog'!$A$2:$A$200,0))="","",INDEX('Test catalog'!$J$2:$J$200,MATCH($AB242,'Test catalog'!$A$2:$A$200,0))),"")</f>
        <v/>
      </c>
      <c r="P242" s="14">
        <f>IF(N242="","",IF(OR(M242="",O242=""),N242,(M242+4*N242+O242)/6))</f>
        <v/>
      </c>
      <c r="Q242" s="10">
        <f>IFERROR(IF(INDEX('Test catalog'!$K$2:$K$200,MATCH($AB242,'Test catalog'!$A$2:$A$200,0))="","",INDEX('Test catalog'!$K$2:$K$200,MATCH($AB242,'Test catalog'!$A$2:$A$200,0))),"")</f>
        <v/>
      </c>
      <c r="R242" s="5" t="n"/>
      <c r="S242" s="10">
        <f>IFERROR(IF(INDEX('Test catalog'!$L$2:$L$200,MATCH($AB242,'Test catalog'!$A$2:$A$200,0))="","",INDEX('Test catalog'!$L$2:$L$200,MATCH($AB242,'Test catalog'!$A$2:$A$200,0))),"")</f>
        <v/>
      </c>
      <c r="T242" s="10">
        <f>IFERROR(IF(INDEX('Test catalog'!$M$2:$M$200,MATCH($AB242,'Test catalog'!$A$2:$A$200,0))="","",INDEX('Test catalog'!$M$2:$M$200,MATCH($AB242,'Test catalog'!$A$2:$A$200,0))),"")</f>
        <v/>
      </c>
      <c r="U242" s="10">
        <f>IFERROR(IF(INDEX('Test catalog'!$N$2:$N$200,MATCH($AB242,'Test catalog'!$A$2:$A$200,0))="","",INDEX('Test catalog'!$N$2:$N$200,MATCH($AB242,'Test catalog'!$A$2:$A$200,0))),"")</f>
        <v/>
      </c>
      <c r="V242" s="15" t="n"/>
      <c r="W242" s="5" t="inlineStr">
        <is>
          <t>N</t>
        </is>
      </c>
      <c r="X242" s="5" t="n"/>
      <c r="Y242" s="5" t="n"/>
      <c r="Z242" s="5" t="n"/>
      <c r="AA242" s="10">
        <f>IFERROR(IF(INDEX('Test catalog'!$O$2:$O$200,MATCH($AB242,'Test catalog'!$A$2:$A$200,0))="","",INDEX('Test catalog'!$O$2:$O$200,MATCH($AB242,'Test catalog'!$A$2:$A$200,0))),"")</f>
        <v/>
      </c>
      <c r="AB242" s="10" t="inlineStr">
        <is>
          <t>AVG_WT</t>
        </is>
      </c>
    </row>
    <row r="243">
      <c r="A243" s="10" t="inlineStr">
        <is>
          <t>F33</t>
        </is>
      </c>
      <c r="B243" s="10" t="inlineStr">
        <is>
          <t>FP</t>
        </is>
      </c>
      <c r="C243" s="10" t="inlineStr">
        <is>
          <t>L-Carnitine Caffeine  |  L-Carnitine (Base), Caffeine (Base) (+3 more)</t>
        </is>
      </c>
      <c r="D243" s="10" t="inlineStr">
        <is>
          <t>Diameter (or length / width)</t>
        </is>
      </c>
      <c r="E243" s="10">
        <f>IF(A243="","",A243&amp;"|"&amp;D243)</f>
        <v/>
      </c>
      <c r="F243" s="5" t="inlineStr">
        <is>
          <t>Y</t>
        </is>
      </c>
      <c r="G243" s="5" t="inlineStr">
        <is>
          <t>Tablet tester</t>
        </is>
      </c>
      <c r="H243" s="5" t="inlineStr">
        <is>
          <t>Low</t>
        </is>
      </c>
      <c r="I243" s="5" t="n">
        <v>1</v>
      </c>
      <c r="J243" s="5" t="n"/>
      <c r="K243" s="10">
        <f>IFERROR(IF(INDEX('Test catalog'!$F$2:$F$200,MATCH($AB243,'Test catalog'!$A$2:$A$200,0))="","",INDEX('Test catalog'!$F$2:$F$200,MATCH($AB243,'Test catalog'!$A$2:$A$200,0))),"")</f>
        <v/>
      </c>
      <c r="L243" s="10">
        <f>IFERROR(IF(INDEX('Test catalog'!$G$2:$G$200,MATCH($AB243,'Test catalog'!$A$2:$A$200,0))="","",INDEX('Test catalog'!$G$2:$G$200,MATCH($AB243,'Test catalog'!$A$2:$A$200,0))),"")</f>
        <v/>
      </c>
      <c r="M243" s="10">
        <f>IFERROR(IF(INDEX('Test catalog'!$H$2:$H$200,MATCH($AB243,'Test catalog'!$A$2:$A$200,0))="","",INDEX('Test catalog'!$H$2:$H$200,MATCH($AB243,'Test catalog'!$A$2:$A$200,0))),"")</f>
        <v/>
      </c>
      <c r="N243" s="10">
        <f>IFERROR(IF(INDEX('Test catalog'!$I$2:$I$200,MATCH($AB243,'Test catalog'!$A$2:$A$200,0))="","",INDEX('Test catalog'!$I$2:$I$200,MATCH($AB243,'Test catalog'!$A$2:$A$200,0))),"")</f>
        <v/>
      </c>
      <c r="O243" s="10">
        <f>IFERROR(IF(INDEX('Test catalog'!$J$2:$J$200,MATCH($AB243,'Test catalog'!$A$2:$A$200,0))="","",INDEX('Test catalog'!$J$2:$J$200,MATCH($AB243,'Test catalog'!$A$2:$A$200,0))),"")</f>
        <v/>
      </c>
      <c r="P243" s="14">
        <f>IF(N243="","",IF(OR(M243="",O243=""),N243,(M243+4*N243+O243)/6))</f>
        <v/>
      </c>
      <c r="Q243" s="10">
        <f>IFERROR(IF(INDEX('Test catalog'!$K$2:$K$200,MATCH($AB243,'Test catalog'!$A$2:$A$200,0))="","",INDEX('Test catalog'!$K$2:$K$200,MATCH($AB243,'Test catalog'!$A$2:$A$200,0))),"")</f>
        <v/>
      </c>
      <c r="R243" s="5" t="n"/>
      <c r="S243" s="10">
        <f>IFERROR(IF(INDEX('Test catalog'!$L$2:$L$200,MATCH($AB243,'Test catalog'!$A$2:$A$200,0))="","",INDEX('Test catalog'!$L$2:$L$200,MATCH($AB243,'Test catalog'!$A$2:$A$200,0))),"")</f>
        <v/>
      </c>
      <c r="T243" s="10">
        <f>IFERROR(IF(INDEX('Test catalog'!$M$2:$M$200,MATCH($AB243,'Test catalog'!$A$2:$A$200,0))="","",INDEX('Test catalog'!$M$2:$M$200,MATCH($AB243,'Test catalog'!$A$2:$A$200,0))),"")</f>
        <v/>
      </c>
      <c r="U243" s="10">
        <f>IFERROR(IF(INDEX('Test catalog'!$N$2:$N$200,MATCH($AB243,'Test catalog'!$A$2:$A$200,0))="","",INDEX('Test catalog'!$N$2:$N$200,MATCH($AB243,'Test catalog'!$A$2:$A$200,0))),"")</f>
        <v/>
      </c>
      <c r="V243" s="15" t="n"/>
      <c r="W243" s="5" t="inlineStr">
        <is>
          <t>N</t>
        </is>
      </c>
      <c r="X243" s="5" t="n"/>
      <c r="Y243" s="5" t="n"/>
      <c r="Z243" s="5" t="n"/>
      <c r="AA243" s="10">
        <f>IFERROR(IF(INDEX('Test catalog'!$O$2:$O$200,MATCH($AB243,'Test catalog'!$A$2:$A$200,0))="","",INDEX('Test catalog'!$O$2:$O$200,MATCH($AB243,'Test catalog'!$A$2:$A$200,0))),"")</f>
        <v/>
      </c>
      <c r="AB243" s="10" t="inlineStr">
        <is>
          <t>DIAM</t>
        </is>
      </c>
    </row>
    <row r="244">
      <c r="A244" s="10" t="inlineStr">
        <is>
          <t>F33</t>
        </is>
      </c>
      <c r="B244" s="10" t="inlineStr">
        <is>
          <t>FP</t>
        </is>
      </c>
      <c r="C244" s="10" t="inlineStr">
        <is>
          <t>L-Carnitine Caffeine  |  L-Carnitine (Base), Caffeine (Base) (+3 more)</t>
        </is>
      </c>
      <c r="D244" s="10" t="inlineStr">
        <is>
          <t>Thickness</t>
        </is>
      </c>
      <c r="E244" s="10">
        <f>IF(A244="","",A244&amp;"|"&amp;D244)</f>
        <v/>
      </c>
      <c r="F244" s="5" t="inlineStr">
        <is>
          <t>Y</t>
        </is>
      </c>
      <c r="G244" s="5" t="inlineStr">
        <is>
          <t>Tablet tester</t>
        </is>
      </c>
      <c r="H244" s="5" t="inlineStr">
        <is>
          <t>Low</t>
        </is>
      </c>
      <c r="I244" s="5" t="n">
        <v>1</v>
      </c>
      <c r="J244" s="5" t="n"/>
      <c r="K244" s="10">
        <f>IFERROR(IF(INDEX('Test catalog'!$F$2:$F$200,MATCH($AB244,'Test catalog'!$A$2:$A$200,0))="","",INDEX('Test catalog'!$F$2:$F$200,MATCH($AB244,'Test catalog'!$A$2:$A$200,0))),"")</f>
        <v/>
      </c>
      <c r="L244" s="10">
        <f>IFERROR(IF(INDEX('Test catalog'!$G$2:$G$200,MATCH($AB244,'Test catalog'!$A$2:$A$200,0))="","",INDEX('Test catalog'!$G$2:$G$200,MATCH($AB244,'Test catalog'!$A$2:$A$200,0))),"")</f>
        <v/>
      </c>
      <c r="M244" s="10">
        <f>IFERROR(IF(INDEX('Test catalog'!$H$2:$H$200,MATCH($AB244,'Test catalog'!$A$2:$A$200,0))="","",INDEX('Test catalog'!$H$2:$H$200,MATCH($AB244,'Test catalog'!$A$2:$A$200,0))),"")</f>
        <v/>
      </c>
      <c r="N244" s="10">
        <f>IFERROR(IF(INDEX('Test catalog'!$I$2:$I$200,MATCH($AB244,'Test catalog'!$A$2:$A$200,0))="","",INDEX('Test catalog'!$I$2:$I$200,MATCH($AB244,'Test catalog'!$A$2:$A$200,0))),"")</f>
        <v/>
      </c>
      <c r="O244" s="10">
        <f>IFERROR(IF(INDEX('Test catalog'!$J$2:$J$200,MATCH($AB244,'Test catalog'!$A$2:$A$200,0))="","",INDEX('Test catalog'!$J$2:$J$200,MATCH($AB244,'Test catalog'!$A$2:$A$200,0))),"")</f>
        <v/>
      </c>
      <c r="P244" s="14">
        <f>IF(N244="","",IF(OR(M244="",O244=""),N244,(M244+4*N244+O244)/6))</f>
        <v/>
      </c>
      <c r="Q244" s="10">
        <f>IFERROR(IF(INDEX('Test catalog'!$K$2:$K$200,MATCH($AB244,'Test catalog'!$A$2:$A$200,0))="","",INDEX('Test catalog'!$K$2:$K$200,MATCH($AB244,'Test catalog'!$A$2:$A$200,0))),"")</f>
        <v/>
      </c>
      <c r="R244" s="5" t="n"/>
      <c r="S244" s="10">
        <f>IFERROR(IF(INDEX('Test catalog'!$L$2:$L$200,MATCH($AB244,'Test catalog'!$A$2:$A$200,0))="","",INDEX('Test catalog'!$L$2:$L$200,MATCH($AB244,'Test catalog'!$A$2:$A$200,0))),"")</f>
        <v/>
      </c>
      <c r="T244" s="10">
        <f>IFERROR(IF(INDEX('Test catalog'!$M$2:$M$200,MATCH($AB244,'Test catalog'!$A$2:$A$200,0))="","",INDEX('Test catalog'!$M$2:$M$200,MATCH($AB244,'Test catalog'!$A$2:$A$200,0))),"")</f>
        <v/>
      </c>
      <c r="U244" s="10">
        <f>IFERROR(IF(INDEX('Test catalog'!$N$2:$N$200,MATCH($AB244,'Test catalog'!$A$2:$A$200,0))="","",INDEX('Test catalog'!$N$2:$N$200,MATCH($AB244,'Test catalog'!$A$2:$A$200,0))),"")</f>
        <v/>
      </c>
      <c r="V244" s="15" t="n"/>
      <c r="W244" s="5" t="inlineStr">
        <is>
          <t>N</t>
        </is>
      </c>
      <c r="X244" s="5" t="n"/>
      <c r="Y244" s="5" t="n"/>
      <c r="Z244" s="5" t="n"/>
      <c r="AA244" s="10">
        <f>IFERROR(IF(INDEX('Test catalog'!$O$2:$O$200,MATCH($AB244,'Test catalog'!$A$2:$A$200,0))="","",INDEX('Test catalog'!$O$2:$O$200,MATCH($AB244,'Test catalog'!$A$2:$A$200,0))),"")</f>
        <v/>
      </c>
      <c r="AB244" s="10" t="inlineStr">
        <is>
          <t>THICK</t>
        </is>
      </c>
    </row>
    <row r="245">
      <c r="A245" s="10" t="inlineStr">
        <is>
          <t>F33</t>
        </is>
      </c>
      <c r="B245" s="10" t="inlineStr">
        <is>
          <t>FP</t>
        </is>
      </c>
      <c r="C245" s="10" t="inlineStr">
        <is>
          <t>L-Carnitine Caffeine  |  L-Carnitine (Base), Caffeine (Base) (+3 more)</t>
        </is>
      </c>
      <c r="D245" s="10" t="inlineStr">
        <is>
          <t>Hardness / breaking force</t>
        </is>
      </c>
      <c r="E245" s="10">
        <f>IF(A245="","",A245&amp;"|"&amp;D245)</f>
        <v/>
      </c>
      <c r="F245" s="5" t="inlineStr">
        <is>
          <t>Y</t>
        </is>
      </c>
      <c r="G245" s="5" t="inlineStr">
        <is>
          <t>Tablet tester</t>
        </is>
      </c>
      <c r="H245" s="5" t="inlineStr">
        <is>
          <t>Low</t>
        </is>
      </c>
      <c r="I245" s="5" t="n">
        <v>1</v>
      </c>
      <c r="J245" s="5" t="n"/>
      <c r="K245" s="10">
        <f>IFERROR(IF(INDEX('Test catalog'!$F$2:$F$200,MATCH($AB245,'Test catalog'!$A$2:$A$200,0))="","",INDEX('Test catalog'!$F$2:$F$200,MATCH($AB245,'Test catalog'!$A$2:$A$200,0))),"")</f>
        <v/>
      </c>
      <c r="L245" s="10">
        <f>IFERROR(IF(INDEX('Test catalog'!$G$2:$G$200,MATCH($AB245,'Test catalog'!$A$2:$A$200,0))="","",INDEX('Test catalog'!$G$2:$G$200,MATCH($AB245,'Test catalog'!$A$2:$A$200,0))),"")</f>
        <v/>
      </c>
      <c r="M245" s="10">
        <f>IFERROR(IF(INDEX('Test catalog'!$H$2:$H$200,MATCH($AB245,'Test catalog'!$A$2:$A$200,0))="","",INDEX('Test catalog'!$H$2:$H$200,MATCH($AB245,'Test catalog'!$A$2:$A$200,0))),"")</f>
        <v/>
      </c>
      <c r="N245" s="10">
        <f>IFERROR(IF(INDEX('Test catalog'!$I$2:$I$200,MATCH($AB245,'Test catalog'!$A$2:$A$200,0))="","",INDEX('Test catalog'!$I$2:$I$200,MATCH($AB245,'Test catalog'!$A$2:$A$200,0))),"")</f>
        <v/>
      </c>
      <c r="O245" s="10">
        <f>IFERROR(IF(INDEX('Test catalog'!$J$2:$J$200,MATCH($AB245,'Test catalog'!$A$2:$A$200,0))="","",INDEX('Test catalog'!$J$2:$J$200,MATCH($AB245,'Test catalog'!$A$2:$A$200,0))),"")</f>
        <v/>
      </c>
      <c r="P245" s="14">
        <f>IF(N245="","",IF(OR(M245="",O245=""),N245,(M245+4*N245+O245)/6))</f>
        <v/>
      </c>
      <c r="Q245" s="10">
        <f>IFERROR(IF(INDEX('Test catalog'!$K$2:$K$200,MATCH($AB245,'Test catalog'!$A$2:$A$200,0))="","",INDEX('Test catalog'!$K$2:$K$200,MATCH($AB245,'Test catalog'!$A$2:$A$200,0))),"")</f>
        <v/>
      </c>
      <c r="R245" s="5" t="n"/>
      <c r="S245" s="10">
        <f>IFERROR(IF(INDEX('Test catalog'!$L$2:$L$200,MATCH($AB245,'Test catalog'!$A$2:$A$200,0))="","",INDEX('Test catalog'!$L$2:$L$200,MATCH($AB245,'Test catalog'!$A$2:$A$200,0))),"")</f>
        <v/>
      </c>
      <c r="T245" s="10">
        <f>IFERROR(IF(INDEX('Test catalog'!$M$2:$M$200,MATCH($AB245,'Test catalog'!$A$2:$A$200,0))="","",INDEX('Test catalog'!$M$2:$M$200,MATCH($AB245,'Test catalog'!$A$2:$A$200,0))),"")</f>
        <v/>
      </c>
      <c r="U245" s="10">
        <f>IFERROR(IF(INDEX('Test catalog'!$N$2:$N$200,MATCH($AB245,'Test catalog'!$A$2:$A$200,0))="","",INDEX('Test catalog'!$N$2:$N$200,MATCH($AB245,'Test catalog'!$A$2:$A$200,0))),"")</f>
        <v/>
      </c>
      <c r="V245" s="15" t="n"/>
      <c r="W245" s="5" t="inlineStr">
        <is>
          <t>Y</t>
        </is>
      </c>
      <c r="X245" s="5" t="n"/>
      <c r="Y245" s="5" t="n"/>
      <c r="Z245" s="5" t="n"/>
      <c r="AA245" s="10">
        <f>IFERROR(IF(INDEX('Test catalog'!$O$2:$O$200,MATCH($AB245,'Test catalog'!$A$2:$A$200,0))="","",INDEX('Test catalog'!$O$2:$O$200,MATCH($AB245,'Test catalog'!$A$2:$A$200,0))),"")</f>
        <v/>
      </c>
      <c r="AB245" s="10" t="inlineStr">
        <is>
          <t>HARD</t>
        </is>
      </c>
    </row>
    <row r="246">
      <c r="A246" s="10" t="inlineStr">
        <is>
          <t>F33</t>
        </is>
      </c>
      <c r="B246" s="10" t="inlineStr">
        <is>
          <t>FP</t>
        </is>
      </c>
      <c r="C246" s="10" t="inlineStr">
        <is>
          <t>L-Carnitine Caffeine  |  L-Carnitine (Base), Caffeine (Base) (+3 more)</t>
        </is>
      </c>
      <c r="D246" s="10" t="inlineStr">
        <is>
          <t>Brittleness</t>
        </is>
      </c>
      <c r="E246" s="10">
        <f>IF(A246="","",A246&amp;"|"&amp;D246)</f>
        <v/>
      </c>
      <c r="F246" s="5" t="inlineStr">
        <is>
          <t>Y</t>
        </is>
      </c>
      <c r="G246" s="5" t="inlineStr">
        <is>
          <t>Other / bench</t>
        </is>
      </c>
      <c r="H246" s="5" t="inlineStr">
        <is>
          <t>Low</t>
        </is>
      </c>
      <c r="I246" s="5" t="n">
        <v>1</v>
      </c>
      <c r="J246" s="5" t="n"/>
      <c r="K246" s="10">
        <f>IFERROR(IF(INDEX('Test catalog'!$F$2:$F$200,MATCH($AB246,'Test catalog'!$A$2:$A$200,0))="","",INDEX('Test catalog'!$F$2:$F$200,MATCH($AB246,'Test catalog'!$A$2:$A$200,0))),"")</f>
        <v/>
      </c>
      <c r="L246" s="10">
        <f>IFERROR(IF(INDEX('Test catalog'!$G$2:$G$200,MATCH($AB246,'Test catalog'!$A$2:$A$200,0))="","",INDEX('Test catalog'!$G$2:$G$200,MATCH($AB246,'Test catalog'!$A$2:$A$200,0))),"")</f>
        <v/>
      </c>
      <c r="M246" s="10">
        <f>IFERROR(IF(INDEX('Test catalog'!$H$2:$H$200,MATCH($AB246,'Test catalog'!$A$2:$A$200,0))="","",INDEX('Test catalog'!$H$2:$H$200,MATCH($AB246,'Test catalog'!$A$2:$A$200,0))),"")</f>
        <v/>
      </c>
      <c r="N246" s="10">
        <f>IFERROR(IF(INDEX('Test catalog'!$I$2:$I$200,MATCH($AB246,'Test catalog'!$A$2:$A$200,0))="","",INDEX('Test catalog'!$I$2:$I$200,MATCH($AB246,'Test catalog'!$A$2:$A$200,0))),"")</f>
        <v/>
      </c>
      <c r="O246" s="10">
        <f>IFERROR(IF(INDEX('Test catalog'!$J$2:$J$200,MATCH($AB246,'Test catalog'!$A$2:$A$200,0))="","",INDEX('Test catalog'!$J$2:$J$200,MATCH($AB246,'Test catalog'!$A$2:$A$200,0))),"")</f>
        <v/>
      </c>
      <c r="P246" s="14">
        <f>IF(N246="","",IF(OR(M246="",O246=""),N246,(M246+4*N246+O246)/6))</f>
        <v/>
      </c>
      <c r="Q246" s="10">
        <f>IFERROR(IF(INDEX('Test catalog'!$K$2:$K$200,MATCH($AB246,'Test catalog'!$A$2:$A$200,0))="","",INDEX('Test catalog'!$K$2:$K$200,MATCH($AB246,'Test catalog'!$A$2:$A$200,0))),"")</f>
        <v/>
      </c>
      <c r="R246" s="5" t="n"/>
      <c r="S246" s="10">
        <f>IFERROR(IF(INDEX('Test catalog'!$L$2:$L$200,MATCH($AB246,'Test catalog'!$A$2:$A$200,0))="","",INDEX('Test catalog'!$L$2:$L$200,MATCH($AB246,'Test catalog'!$A$2:$A$200,0))),"")</f>
        <v/>
      </c>
      <c r="T246" s="10">
        <f>IFERROR(IF(INDEX('Test catalog'!$M$2:$M$200,MATCH($AB246,'Test catalog'!$A$2:$A$200,0))="","",INDEX('Test catalog'!$M$2:$M$200,MATCH($AB246,'Test catalog'!$A$2:$A$200,0))),"")</f>
        <v/>
      </c>
      <c r="U246" s="10">
        <f>IFERROR(IF(INDEX('Test catalog'!$N$2:$N$200,MATCH($AB246,'Test catalog'!$A$2:$A$200,0))="","",INDEX('Test catalog'!$N$2:$N$200,MATCH($AB246,'Test catalog'!$A$2:$A$200,0))),"")</f>
        <v/>
      </c>
      <c r="V246" s="15" t="n"/>
      <c r="W246" s="5" t="inlineStr">
        <is>
          <t>N</t>
        </is>
      </c>
      <c r="X246" s="5" t="n"/>
      <c r="Y246" s="5" t="n"/>
      <c r="Z246" s="5" t="n"/>
      <c r="AA246" s="10">
        <f>IFERROR(IF(INDEX('Test catalog'!$O$2:$O$200,MATCH($AB246,'Test catalog'!$A$2:$A$200,0))="","",INDEX('Test catalog'!$O$2:$O$200,MATCH($AB246,'Test catalog'!$A$2:$A$200,0))),"")</f>
        <v/>
      </c>
      <c r="AB246" s="10" t="inlineStr">
        <is>
          <t>BRITTLE</t>
        </is>
      </c>
    </row>
    <row r="247">
      <c r="A247" s="10" t="inlineStr">
        <is>
          <t>F33</t>
        </is>
      </c>
      <c r="B247" s="10" t="inlineStr">
        <is>
          <t>FP</t>
        </is>
      </c>
      <c r="C247" s="10" t="inlineStr">
        <is>
          <t>L-Carnitine Caffeine  |  L-Carnitine (Base), Caffeine (Base) (+3 more)</t>
        </is>
      </c>
      <c r="D247" s="10" t="inlineStr">
        <is>
          <t>Friability</t>
        </is>
      </c>
      <c r="E247" s="10">
        <f>IF(A247="","",A247&amp;"|"&amp;D247)</f>
        <v/>
      </c>
      <c r="F247" s="5" t="inlineStr">
        <is>
          <t>Y</t>
        </is>
      </c>
      <c r="G247" s="5" t="inlineStr">
        <is>
          <t>Friabilator</t>
        </is>
      </c>
      <c r="H247" s="5" t="inlineStr">
        <is>
          <t>Low</t>
        </is>
      </c>
      <c r="I247" s="5" t="n">
        <v>1</v>
      </c>
      <c r="J247" s="5" t="n"/>
      <c r="K247" s="10">
        <f>IFERROR(IF(INDEX('Test catalog'!$F$2:$F$200,MATCH($AB247,'Test catalog'!$A$2:$A$200,0))="","",INDEX('Test catalog'!$F$2:$F$200,MATCH($AB247,'Test catalog'!$A$2:$A$200,0))),"")</f>
        <v/>
      </c>
      <c r="L247" s="10">
        <f>IFERROR(IF(INDEX('Test catalog'!$G$2:$G$200,MATCH($AB247,'Test catalog'!$A$2:$A$200,0))="","",INDEX('Test catalog'!$G$2:$G$200,MATCH($AB247,'Test catalog'!$A$2:$A$200,0))),"")</f>
        <v/>
      </c>
      <c r="M247" s="10">
        <f>IFERROR(IF(INDEX('Test catalog'!$H$2:$H$200,MATCH($AB247,'Test catalog'!$A$2:$A$200,0))="","",INDEX('Test catalog'!$H$2:$H$200,MATCH($AB247,'Test catalog'!$A$2:$A$200,0))),"")</f>
        <v/>
      </c>
      <c r="N247" s="10">
        <f>IFERROR(IF(INDEX('Test catalog'!$I$2:$I$200,MATCH($AB247,'Test catalog'!$A$2:$A$200,0))="","",INDEX('Test catalog'!$I$2:$I$200,MATCH($AB247,'Test catalog'!$A$2:$A$200,0))),"")</f>
        <v/>
      </c>
      <c r="O247" s="10">
        <f>IFERROR(IF(INDEX('Test catalog'!$J$2:$J$200,MATCH($AB247,'Test catalog'!$A$2:$A$200,0))="","",INDEX('Test catalog'!$J$2:$J$200,MATCH($AB247,'Test catalog'!$A$2:$A$200,0))),"")</f>
        <v/>
      </c>
      <c r="P247" s="14">
        <f>IF(N247="","",IF(OR(M247="",O247=""),N247,(M247+4*N247+O247)/6))</f>
        <v/>
      </c>
      <c r="Q247" s="10">
        <f>IFERROR(IF(INDEX('Test catalog'!$K$2:$K$200,MATCH($AB247,'Test catalog'!$A$2:$A$200,0))="","",INDEX('Test catalog'!$K$2:$K$200,MATCH($AB247,'Test catalog'!$A$2:$A$200,0))),"")</f>
        <v/>
      </c>
      <c r="R247" s="5" t="n"/>
      <c r="S247" s="10">
        <f>IFERROR(IF(INDEX('Test catalog'!$L$2:$L$200,MATCH($AB247,'Test catalog'!$A$2:$A$200,0))="","",INDEX('Test catalog'!$L$2:$L$200,MATCH($AB247,'Test catalog'!$A$2:$A$200,0))),"")</f>
        <v/>
      </c>
      <c r="T247" s="10">
        <f>IFERROR(IF(INDEX('Test catalog'!$M$2:$M$200,MATCH($AB247,'Test catalog'!$A$2:$A$200,0))="","",INDEX('Test catalog'!$M$2:$M$200,MATCH($AB247,'Test catalog'!$A$2:$A$200,0))),"")</f>
        <v/>
      </c>
      <c r="U247" s="10">
        <f>IFERROR(IF(INDEX('Test catalog'!$N$2:$N$200,MATCH($AB247,'Test catalog'!$A$2:$A$200,0))="","",INDEX('Test catalog'!$N$2:$N$200,MATCH($AB247,'Test catalog'!$A$2:$A$200,0))),"")</f>
        <v/>
      </c>
      <c r="V247" s="15" t="n"/>
      <c r="W247" s="5" t="inlineStr">
        <is>
          <t>N</t>
        </is>
      </c>
      <c r="X247" s="5" t="n"/>
      <c r="Y247" s="5" t="n"/>
      <c r="Z247" s="5" t="n"/>
      <c r="AA247" s="10">
        <f>IFERROR(IF(INDEX('Test catalog'!$O$2:$O$200,MATCH($AB247,'Test catalog'!$A$2:$A$200,0))="","",INDEX('Test catalog'!$O$2:$O$200,MATCH($AB247,'Test catalog'!$A$2:$A$200,0))),"")</f>
        <v/>
      </c>
      <c r="AB247" s="10" t="inlineStr">
        <is>
          <t>FRIAB</t>
        </is>
      </c>
    </row>
    <row r="248">
      <c r="A248" s="10" t="inlineStr">
        <is>
          <t>F33</t>
        </is>
      </c>
      <c r="B248" s="10" t="inlineStr">
        <is>
          <t>FP</t>
        </is>
      </c>
      <c r="C248" s="10" t="inlineStr">
        <is>
          <t>L-Carnitine Caffeine  |  L-Carnitine (Base), Caffeine (Base) (+3 more)</t>
        </is>
      </c>
      <c r="D248" s="10" t="inlineStr">
        <is>
          <t>Disintegration</t>
        </is>
      </c>
      <c r="E248" s="10">
        <f>IF(A248="","",A248&amp;"|"&amp;D248)</f>
        <v/>
      </c>
      <c r="F248" s="5" t="inlineStr">
        <is>
          <t>Y</t>
        </is>
      </c>
      <c r="G248" s="5" t="inlineStr">
        <is>
          <t>Disintegration tester</t>
        </is>
      </c>
      <c r="H248" s="5" t="inlineStr">
        <is>
          <t>Low</t>
        </is>
      </c>
      <c r="I248" s="5" t="n">
        <v>1</v>
      </c>
      <c r="J248" s="5" t="n"/>
      <c r="K248" s="10">
        <f>IFERROR(IF(INDEX('Test catalog'!$F$2:$F$200,MATCH($AB248,'Test catalog'!$A$2:$A$200,0))="","",INDEX('Test catalog'!$F$2:$F$200,MATCH($AB248,'Test catalog'!$A$2:$A$200,0))),"")</f>
        <v/>
      </c>
      <c r="L248" s="10">
        <f>IFERROR(IF(INDEX('Test catalog'!$G$2:$G$200,MATCH($AB248,'Test catalog'!$A$2:$A$200,0))="","",INDEX('Test catalog'!$G$2:$G$200,MATCH($AB248,'Test catalog'!$A$2:$A$200,0))),"")</f>
        <v/>
      </c>
      <c r="M248" s="10">
        <f>IFERROR(IF(INDEX('Test catalog'!$H$2:$H$200,MATCH($AB248,'Test catalog'!$A$2:$A$200,0))="","",INDEX('Test catalog'!$H$2:$H$200,MATCH($AB248,'Test catalog'!$A$2:$A$200,0))),"")</f>
        <v/>
      </c>
      <c r="N248" s="10">
        <f>IFERROR(IF(INDEX('Test catalog'!$I$2:$I$200,MATCH($AB248,'Test catalog'!$A$2:$A$200,0))="","",INDEX('Test catalog'!$I$2:$I$200,MATCH($AB248,'Test catalog'!$A$2:$A$200,0))),"")</f>
        <v/>
      </c>
      <c r="O248" s="10">
        <f>IFERROR(IF(INDEX('Test catalog'!$J$2:$J$200,MATCH($AB248,'Test catalog'!$A$2:$A$200,0))="","",INDEX('Test catalog'!$J$2:$J$200,MATCH($AB248,'Test catalog'!$A$2:$A$200,0))),"")</f>
        <v/>
      </c>
      <c r="P248" s="14">
        <f>IF(N248="","",IF(OR(M248="",O248=""),N248,(M248+4*N248+O248)/6))</f>
        <v/>
      </c>
      <c r="Q248" s="10">
        <f>IFERROR(IF(INDEX('Test catalog'!$K$2:$K$200,MATCH($AB248,'Test catalog'!$A$2:$A$200,0))="","",INDEX('Test catalog'!$K$2:$K$200,MATCH($AB248,'Test catalog'!$A$2:$A$200,0))),"")</f>
        <v/>
      </c>
      <c r="R248" s="5" t="n"/>
      <c r="S248" s="10">
        <f>IFERROR(IF(INDEX('Test catalog'!$L$2:$L$200,MATCH($AB248,'Test catalog'!$A$2:$A$200,0))="","",INDEX('Test catalog'!$L$2:$L$200,MATCH($AB248,'Test catalog'!$A$2:$A$200,0))),"")</f>
        <v/>
      </c>
      <c r="T248" s="10">
        <f>IFERROR(IF(INDEX('Test catalog'!$M$2:$M$200,MATCH($AB248,'Test catalog'!$A$2:$A$200,0))="","",INDEX('Test catalog'!$M$2:$M$200,MATCH($AB248,'Test catalog'!$A$2:$A$200,0))),"")</f>
        <v/>
      </c>
      <c r="U248" s="10">
        <f>IFERROR(IF(INDEX('Test catalog'!$N$2:$N$200,MATCH($AB248,'Test catalog'!$A$2:$A$200,0))="","",INDEX('Test catalog'!$N$2:$N$200,MATCH($AB248,'Test catalog'!$A$2:$A$200,0))),"")</f>
        <v/>
      </c>
      <c r="V248" s="15" t="n"/>
      <c r="W248" s="5" t="inlineStr">
        <is>
          <t>Y</t>
        </is>
      </c>
      <c r="X248" s="5" t="n"/>
      <c r="Y248" s="5" t="n"/>
      <c r="Z248" s="5" t="n"/>
      <c r="AA248" s="10">
        <f>IFERROR(IF(INDEX('Test catalog'!$O$2:$O$200,MATCH($AB248,'Test catalog'!$A$2:$A$200,0))="","",INDEX('Test catalog'!$O$2:$O$200,MATCH($AB248,'Test catalog'!$A$2:$A$200,0))),"")</f>
        <v/>
      </c>
      <c r="AB248" s="10" t="inlineStr">
        <is>
          <t>DISINT</t>
        </is>
      </c>
    </row>
    <row r="249">
      <c r="A249" s="10" t="inlineStr">
        <is>
          <t>F33</t>
        </is>
      </c>
      <c r="B249" s="10" t="inlineStr">
        <is>
          <t>FP</t>
        </is>
      </c>
      <c r="C249" s="10" t="inlineStr">
        <is>
          <t>L-Carnitine Caffeine  |  L-Carnitine (Base), Caffeine (Base) (+3 more)</t>
        </is>
      </c>
      <c r="D249" s="10" t="inlineStr">
        <is>
          <t>In-process check at the machine (one check, all its tests)</t>
        </is>
      </c>
      <c r="E249" s="10">
        <f>IF(A249="","",A249&amp;"|"&amp;D249)</f>
        <v/>
      </c>
      <c r="F249" s="5" t="inlineStr">
        <is>
          <t>Y</t>
        </is>
      </c>
      <c r="G249" s="5" t="inlineStr">
        <is>
          <t>Tablet tester</t>
        </is>
      </c>
      <c r="H249" s="5" t="inlineStr">
        <is>
          <t>Low</t>
        </is>
      </c>
      <c r="I249" s="5" t="n">
        <v>1</v>
      </c>
      <c r="J249" s="5" t="n"/>
      <c r="K249" s="10">
        <f>IFERROR(IF(INDEX('Test catalog'!$F$2:$F$200,MATCH($AB249,'Test catalog'!$A$2:$A$200,0))="","",INDEX('Test catalog'!$F$2:$F$200,MATCH($AB249,'Test catalog'!$A$2:$A$200,0))),"")</f>
        <v/>
      </c>
      <c r="L249" s="10">
        <f>IFERROR(IF(INDEX('Test catalog'!$G$2:$G$200,MATCH($AB249,'Test catalog'!$A$2:$A$200,0))="","",INDEX('Test catalog'!$G$2:$G$200,MATCH($AB249,'Test catalog'!$A$2:$A$200,0))),"")</f>
        <v/>
      </c>
      <c r="M249" s="10">
        <f>IFERROR(IF(INDEX('Test catalog'!$H$2:$H$200,MATCH($AB249,'Test catalog'!$A$2:$A$200,0))="","",INDEX('Test catalog'!$H$2:$H$200,MATCH($AB249,'Test catalog'!$A$2:$A$200,0))),"")</f>
        <v/>
      </c>
      <c r="N249" s="10">
        <f>IFERROR(IF(INDEX('Test catalog'!$I$2:$I$200,MATCH($AB249,'Test catalog'!$A$2:$A$200,0))="","",INDEX('Test catalog'!$I$2:$I$200,MATCH($AB249,'Test catalog'!$A$2:$A$200,0))),"")</f>
        <v/>
      </c>
      <c r="O249" s="10">
        <f>IFERROR(IF(INDEX('Test catalog'!$J$2:$J$200,MATCH($AB249,'Test catalog'!$A$2:$A$200,0))="","",INDEX('Test catalog'!$J$2:$J$200,MATCH($AB249,'Test catalog'!$A$2:$A$200,0))),"")</f>
        <v/>
      </c>
      <c r="P249" s="14">
        <f>IF(N249="","",IF(OR(M249="",O249=""),N249,(M249+4*N249+O249)/6))</f>
        <v/>
      </c>
      <c r="Q249" s="10">
        <f>IFERROR(IF(INDEX('Test catalog'!$K$2:$K$200,MATCH($AB249,'Test catalog'!$A$2:$A$200,0))="","",INDEX('Test catalog'!$K$2:$K$200,MATCH($AB249,'Test catalog'!$A$2:$A$200,0))),"")</f>
        <v/>
      </c>
      <c r="R249" s="5" t="n"/>
      <c r="S249" s="10">
        <f>IFERROR(IF(INDEX('Test catalog'!$L$2:$L$200,MATCH($AB249,'Test catalog'!$A$2:$A$200,0))="","",INDEX('Test catalog'!$L$2:$L$200,MATCH($AB249,'Test catalog'!$A$2:$A$200,0))),"")</f>
        <v/>
      </c>
      <c r="T249" s="10">
        <f>IFERROR(IF(INDEX('Test catalog'!$M$2:$M$200,MATCH($AB249,'Test catalog'!$A$2:$A$200,0))="","",INDEX('Test catalog'!$M$2:$M$200,MATCH($AB249,'Test catalog'!$A$2:$A$200,0))),"")</f>
        <v/>
      </c>
      <c r="U249" s="10">
        <f>IFERROR(IF(INDEX('Test catalog'!$N$2:$N$200,MATCH($AB249,'Test catalog'!$A$2:$A$200,0))="","",INDEX('Test catalog'!$N$2:$N$200,MATCH($AB249,'Test catalog'!$A$2:$A$200,0))),"")</f>
        <v/>
      </c>
      <c r="V249" s="15" t="n"/>
      <c r="W249" s="5" t="inlineStr">
        <is>
          <t>N</t>
        </is>
      </c>
      <c r="X249" s="5" t="n"/>
      <c r="Y249" s="5" t="n"/>
      <c r="Z249" s="5" t="n"/>
      <c r="AA249" s="10">
        <f>IFERROR(IF(INDEX('Test catalog'!$O$2:$O$200,MATCH($AB249,'Test catalog'!$A$2:$A$200,0))="","",INDEX('Test catalog'!$O$2:$O$200,MATCH($AB249,'Test catalog'!$A$2:$A$200,0))),"")</f>
        <v/>
      </c>
      <c r="AB249" s="10" t="inlineStr">
        <is>
          <t>IPC</t>
        </is>
      </c>
    </row>
    <row r="250">
      <c r="A250" s="10" t="inlineStr">
        <is>
          <t>F34</t>
        </is>
      </c>
      <c r="B250" s="10" t="inlineStr">
        <is>
          <t>FP</t>
        </is>
      </c>
      <c r="C250" s="10" t="inlineStr">
        <is>
          <t>B-Complex  |  Cyanocobalamin (Vitamin B12), Thiamine Hydrochloride (Vitamin B1) (+6 more)</t>
        </is>
      </c>
      <c r="D250" s="10" t="inlineStr">
        <is>
          <t>Average weight / uniformity of mass</t>
        </is>
      </c>
      <c r="E250" s="10">
        <f>IF(A250="","",A250&amp;"|"&amp;D250)</f>
        <v/>
      </c>
      <c r="F250" s="5" t="inlineStr">
        <is>
          <t>Y</t>
        </is>
      </c>
      <c r="G250" s="5" t="inlineStr">
        <is>
          <t>Balance</t>
        </is>
      </c>
      <c r="H250" s="5" t="inlineStr">
        <is>
          <t>Low</t>
        </is>
      </c>
      <c r="I250" s="5" t="n">
        <v>1</v>
      </c>
      <c r="J250" s="5" t="n"/>
      <c r="K250" s="10">
        <f>IFERROR(IF(INDEX('Test catalog'!$F$2:$F$200,MATCH($AB250,'Test catalog'!$A$2:$A$200,0))="","",INDEX('Test catalog'!$F$2:$F$200,MATCH($AB250,'Test catalog'!$A$2:$A$200,0))),"")</f>
        <v/>
      </c>
      <c r="L250" s="10">
        <f>IFERROR(IF(INDEX('Test catalog'!$G$2:$G$200,MATCH($AB250,'Test catalog'!$A$2:$A$200,0))="","",INDEX('Test catalog'!$G$2:$G$200,MATCH($AB250,'Test catalog'!$A$2:$A$200,0))),"")</f>
        <v/>
      </c>
      <c r="M250" s="10">
        <f>IFERROR(IF(INDEX('Test catalog'!$H$2:$H$200,MATCH($AB250,'Test catalog'!$A$2:$A$200,0))="","",INDEX('Test catalog'!$H$2:$H$200,MATCH($AB250,'Test catalog'!$A$2:$A$200,0))),"")</f>
        <v/>
      </c>
      <c r="N250" s="10">
        <f>IFERROR(IF(INDEX('Test catalog'!$I$2:$I$200,MATCH($AB250,'Test catalog'!$A$2:$A$200,0))="","",INDEX('Test catalog'!$I$2:$I$200,MATCH($AB250,'Test catalog'!$A$2:$A$200,0))),"")</f>
        <v/>
      </c>
      <c r="O250" s="10">
        <f>IFERROR(IF(INDEX('Test catalog'!$J$2:$J$200,MATCH($AB250,'Test catalog'!$A$2:$A$200,0))="","",INDEX('Test catalog'!$J$2:$J$200,MATCH($AB250,'Test catalog'!$A$2:$A$200,0))),"")</f>
        <v/>
      </c>
      <c r="P250" s="14">
        <f>IF(N250="","",IF(OR(M250="",O250=""),N250,(M250+4*N250+O250)/6))</f>
        <v/>
      </c>
      <c r="Q250" s="10">
        <f>IFERROR(IF(INDEX('Test catalog'!$K$2:$K$200,MATCH($AB250,'Test catalog'!$A$2:$A$200,0))="","",INDEX('Test catalog'!$K$2:$K$200,MATCH($AB250,'Test catalog'!$A$2:$A$200,0))),"")</f>
        <v/>
      </c>
      <c r="R250" s="5" t="n"/>
      <c r="S250" s="10">
        <f>IFERROR(IF(INDEX('Test catalog'!$L$2:$L$200,MATCH($AB250,'Test catalog'!$A$2:$A$200,0))="","",INDEX('Test catalog'!$L$2:$L$200,MATCH($AB250,'Test catalog'!$A$2:$A$200,0))),"")</f>
        <v/>
      </c>
      <c r="T250" s="10">
        <f>IFERROR(IF(INDEX('Test catalog'!$M$2:$M$200,MATCH($AB250,'Test catalog'!$A$2:$A$200,0))="","",INDEX('Test catalog'!$M$2:$M$200,MATCH($AB250,'Test catalog'!$A$2:$A$200,0))),"")</f>
        <v/>
      </c>
      <c r="U250" s="10">
        <f>IFERROR(IF(INDEX('Test catalog'!$N$2:$N$200,MATCH($AB250,'Test catalog'!$A$2:$A$200,0))="","",INDEX('Test catalog'!$N$2:$N$200,MATCH($AB250,'Test catalog'!$A$2:$A$200,0))),"")</f>
        <v/>
      </c>
      <c r="V250" s="15" t="n"/>
      <c r="W250" s="5" t="inlineStr">
        <is>
          <t>N</t>
        </is>
      </c>
      <c r="X250" s="5" t="n"/>
      <c r="Y250" s="5" t="n"/>
      <c r="Z250" s="5" t="n"/>
      <c r="AA250" s="10">
        <f>IFERROR(IF(INDEX('Test catalog'!$O$2:$O$200,MATCH($AB250,'Test catalog'!$A$2:$A$200,0))="","",INDEX('Test catalog'!$O$2:$O$200,MATCH($AB250,'Test catalog'!$A$2:$A$200,0))),"")</f>
        <v/>
      </c>
      <c r="AB250" s="10" t="inlineStr">
        <is>
          <t>AVG_WT</t>
        </is>
      </c>
    </row>
    <row r="251">
      <c r="A251" s="10" t="inlineStr">
        <is>
          <t>F34</t>
        </is>
      </c>
      <c r="B251" s="10" t="inlineStr">
        <is>
          <t>FP</t>
        </is>
      </c>
      <c r="C251" s="10" t="inlineStr">
        <is>
          <t>B-Complex  |  Cyanocobalamin (Vitamin B12), Thiamine Hydrochloride (Vitamin B1) (+6 more)</t>
        </is>
      </c>
      <c r="D251" s="10" t="inlineStr">
        <is>
          <t>Diameter (or length / width)</t>
        </is>
      </c>
      <c r="E251" s="10">
        <f>IF(A251="","",A251&amp;"|"&amp;D251)</f>
        <v/>
      </c>
      <c r="F251" s="5" t="inlineStr">
        <is>
          <t>Y</t>
        </is>
      </c>
      <c r="G251" s="5" t="inlineStr">
        <is>
          <t>Tablet tester</t>
        </is>
      </c>
      <c r="H251" s="5" t="inlineStr">
        <is>
          <t>Low</t>
        </is>
      </c>
      <c r="I251" s="5" t="n">
        <v>1</v>
      </c>
      <c r="J251" s="5" t="n"/>
      <c r="K251" s="10">
        <f>IFERROR(IF(INDEX('Test catalog'!$F$2:$F$200,MATCH($AB251,'Test catalog'!$A$2:$A$200,0))="","",INDEX('Test catalog'!$F$2:$F$200,MATCH($AB251,'Test catalog'!$A$2:$A$200,0))),"")</f>
        <v/>
      </c>
      <c r="L251" s="10">
        <f>IFERROR(IF(INDEX('Test catalog'!$G$2:$G$200,MATCH($AB251,'Test catalog'!$A$2:$A$200,0))="","",INDEX('Test catalog'!$G$2:$G$200,MATCH($AB251,'Test catalog'!$A$2:$A$200,0))),"")</f>
        <v/>
      </c>
      <c r="M251" s="10">
        <f>IFERROR(IF(INDEX('Test catalog'!$H$2:$H$200,MATCH($AB251,'Test catalog'!$A$2:$A$200,0))="","",INDEX('Test catalog'!$H$2:$H$200,MATCH($AB251,'Test catalog'!$A$2:$A$200,0))),"")</f>
        <v/>
      </c>
      <c r="N251" s="10">
        <f>IFERROR(IF(INDEX('Test catalog'!$I$2:$I$200,MATCH($AB251,'Test catalog'!$A$2:$A$200,0))="","",INDEX('Test catalog'!$I$2:$I$200,MATCH($AB251,'Test catalog'!$A$2:$A$200,0))),"")</f>
        <v/>
      </c>
      <c r="O251" s="10">
        <f>IFERROR(IF(INDEX('Test catalog'!$J$2:$J$200,MATCH($AB251,'Test catalog'!$A$2:$A$200,0))="","",INDEX('Test catalog'!$J$2:$J$200,MATCH($AB251,'Test catalog'!$A$2:$A$200,0))),"")</f>
        <v/>
      </c>
      <c r="P251" s="14">
        <f>IF(N251="","",IF(OR(M251="",O251=""),N251,(M251+4*N251+O251)/6))</f>
        <v/>
      </c>
      <c r="Q251" s="10">
        <f>IFERROR(IF(INDEX('Test catalog'!$K$2:$K$200,MATCH($AB251,'Test catalog'!$A$2:$A$200,0))="","",INDEX('Test catalog'!$K$2:$K$200,MATCH($AB251,'Test catalog'!$A$2:$A$200,0))),"")</f>
        <v/>
      </c>
      <c r="R251" s="5" t="n"/>
      <c r="S251" s="10">
        <f>IFERROR(IF(INDEX('Test catalog'!$L$2:$L$200,MATCH($AB251,'Test catalog'!$A$2:$A$200,0))="","",INDEX('Test catalog'!$L$2:$L$200,MATCH($AB251,'Test catalog'!$A$2:$A$200,0))),"")</f>
        <v/>
      </c>
      <c r="T251" s="10">
        <f>IFERROR(IF(INDEX('Test catalog'!$M$2:$M$200,MATCH($AB251,'Test catalog'!$A$2:$A$200,0))="","",INDEX('Test catalog'!$M$2:$M$200,MATCH($AB251,'Test catalog'!$A$2:$A$200,0))),"")</f>
        <v/>
      </c>
      <c r="U251" s="10">
        <f>IFERROR(IF(INDEX('Test catalog'!$N$2:$N$200,MATCH($AB251,'Test catalog'!$A$2:$A$200,0))="","",INDEX('Test catalog'!$N$2:$N$200,MATCH($AB251,'Test catalog'!$A$2:$A$200,0))),"")</f>
        <v/>
      </c>
      <c r="V251" s="15" t="n"/>
      <c r="W251" s="5" t="inlineStr">
        <is>
          <t>N</t>
        </is>
      </c>
      <c r="X251" s="5" t="n"/>
      <c r="Y251" s="5" t="n"/>
      <c r="Z251" s="5" t="n"/>
      <c r="AA251" s="10">
        <f>IFERROR(IF(INDEX('Test catalog'!$O$2:$O$200,MATCH($AB251,'Test catalog'!$A$2:$A$200,0))="","",INDEX('Test catalog'!$O$2:$O$200,MATCH($AB251,'Test catalog'!$A$2:$A$200,0))),"")</f>
        <v/>
      </c>
      <c r="AB251" s="10" t="inlineStr">
        <is>
          <t>DIAM</t>
        </is>
      </c>
    </row>
    <row r="252">
      <c r="A252" s="10" t="inlineStr">
        <is>
          <t>F34</t>
        </is>
      </c>
      <c r="B252" s="10" t="inlineStr">
        <is>
          <t>FP</t>
        </is>
      </c>
      <c r="C252" s="10" t="inlineStr">
        <is>
          <t>B-Complex  |  Cyanocobalamin (Vitamin B12), Thiamine Hydrochloride (Vitamin B1) (+6 more)</t>
        </is>
      </c>
      <c r="D252" s="10" t="inlineStr">
        <is>
          <t>Thickness</t>
        </is>
      </c>
      <c r="E252" s="10">
        <f>IF(A252="","",A252&amp;"|"&amp;D252)</f>
        <v/>
      </c>
      <c r="F252" s="5" t="inlineStr">
        <is>
          <t>Y</t>
        </is>
      </c>
      <c r="G252" s="5" t="inlineStr">
        <is>
          <t>Tablet tester</t>
        </is>
      </c>
      <c r="H252" s="5" t="inlineStr">
        <is>
          <t>Low</t>
        </is>
      </c>
      <c r="I252" s="5" t="n">
        <v>1</v>
      </c>
      <c r="J252" s="5" t="n"/>
      <c r="K252" s="10">
        <f>IFERROR(IF(INDEX('Test catalog'!$F$2:$F$200,MATCH($AB252,'Test catalog'!$A$2:$A$200,0))="","",INDEX('Test catalog'!$F$2:$F$200,MATCH($AB252,'Test catalog'!$A$2:$A$200,0))),"")</f>
        <v/>
      </c>
      <c r="L252" s="10">
        <f>IFERROR(IF(INDEX('Test catalog'!$G$2:$G$200,MATCH($AB252,'Test catalog'!$A$2:$A$200,0))="","",INDEX('Test catalog'!$G$2:$G$200,MATCH($AB252,'Test catalog'!$A$2:$A$200,0))),"")</f>
        <v/>
      </c>
      <c r="M252" s="10">
        <f>IFERROR(IF(INDEX('Test catalog'!$H$2:$H$200,MATCH($AB252,'Test catalog'!$A$2:$A$200,0))="","",INDEX('Test catalog'!$H$2:$H$200,MATCH($AB252,'Test catalog'!$A$2:$A$200,0))),"")</f>
        <v/>
      </c>
      <c r="N252" s="10">
        <f>IFERROR(IF(INDEX('Test catalog'!$I$2:$I$200,MATCH($AB252,'Test catalog'!$A$2:$A$200,0))="","",INDEX('Test catalog'!$I$2:$I$200,MATCH($AB252,'Test catalog'!$A$2:$A$200,0))),"")</f>
        <v/>
      </c>
      <c r="O252" s="10">
        <f>IFERROR(IF(INDEX('Test catalog'!$J$2:$J$200,MATCH($AB252,'Test catalog'!$A$2:$A$200,0))="","",INDEX('Test catalog'!$J$2:$J$200,MATCH($AB252,'Test catalog'!$A$2:$A$200,0))),"")</f>
        <v/>
      </c>
      <c r="P252" s="14">
        <f>IF(N252="","",IF(OR(M252="",O252=""),N252,(M252+4*N252+O252)/6))</f>
        <v/>
      </c>
      <c r="Q252" s="10">
        <f>IFERROR(IF(INDEX('Test catalog'!$K$2:$K$200,MATCH($AB252,'Test catalog'!$A$2:$A$200,0))="","",INDEX('Test catalog'!$K$2:$K$200,MATCH($AB252,'Test catalog'!$A$2:$A$200,0))),"")</f>
        <v/>
      </c>
      <c r="R252" s="5" t="n"/>
      <c r="S252" s="10">
        <f>IFERROR(IF(INDEX('Test catalog'!$L$2:$L$200,MATCH($AB252,'Test catalog'!$A$2:$A$200,0))="","",INDEX('Test catalog'!$L$2:$L$200,MATCH($AB252,'Test catalog'!$A$2:$A$200,0))),"")</f>
        <v/>
      </c>
      <c r="T252" s="10">
        <f>IFERROR(IF(INDEX('Test catalog'!$M$2:$M$200,MATCH($AB252,'Test catalog'!$A$2:$A$200,0))="","",INDEX('Test catalog'!$M$2:$M$200,MATCH($AB252,'Test catalog'!$A$2:$A$200,0))),"")</f>
        <v/>
      </c>
      <c r="U252" s="10">
        <f>IFERROR(IF(INDEX('Test catalog'!$N$2:$N$200,MATCH($AB252,'Test catalog'!$A$2:$A$200,0))="","",INDEX('Test catalog'!$N$2:$N$200,MATCH($AB252,'Test catalog'!$A$2:$A$200,0))),"")</f>
        <v/>
      </c>
      <c r="V252" s="15" t="n"/>
      <c r="W252" s="5" t="inlineStr">
        <is>
          <t>N</t>
        </is>
      </c>
      <c r="X252" s="5" t="n"/>
      <c r="Y252" s="5" t="n"/>
      <c r="Z252" s="5" t="n"/>
      <c r="AA252" s="10">
        <f>IFERROR(IF(INDEX('Test catalog'!$O$2:$O$200,MATCH($AB252,'Test catalog'!$A$2:$A$200,0))="","",INDEX('Test catalog'!$O$2:$O$200,MATCH($AB252,'Test catalog'!$A$2:$A$200,0))),"")</f>
        <v/>
      </c>
      <c r="AB252" s="10" t="inlineStr">
        <is>
          <t>THICK</t>
        </is>
      </c>
    </row>
    <row r="253">
      <c r="A253" s="10" t="inlineStr">
        <is>
          <t>F34</t>
        </is>
      </c>
      <c r="B253" s="10" t="inlineStr">
        <is>
          <t>FP</t>
        </is>
      </c>
      <c r="C253" s="10" t="inlineStr">
        <is>
          <t>B-Complex  |  Cyanocobalamin (Vitamin B12), Thiamine Hydrochloride (Vitamin B1) (+6 more)</t>
        </is>
      </c>
      <c r="D253" s="10" t="inlineStr">
        <is>
          <t>Hardness / breaking force</t>
        </is>
      </c>
      <c r="E253" s="10">
        <f>IF(A253="","",A253&amp;"|"&amp;D253)</f>
        <v/>
      </c>
      <c r="F253" s="5" t="inlineStr">
        <is>
          <t>Y</t>
        </is>
      </c>
      <c r="G253" s="5" t="inlineStr">
        <is>
          <t>Tablet tester</t>
        </is>
      </c>
      <c r="H253" s="5" t="inlineStr">
        <is>
          <t>Low</t>
        </is>
      </c>
      <c r="I253" s="5" t="n">
        <v>1</v>
      </c>
      <c r="J253" s="5" t="n"/>
      <c r="K253" s="10">
        <f>IFERROR(IF(INDEX('Test catalog'!$F$2:$F$200,MATCH($AB253,'Test catalog'!$A$2:$A$200,0))="","",INDEX('Test catalog'!$F$2:$F$200,MATCH($AB253,'Test catalog'!$A$2:$A$200,0))),"")</f>
        <v/>
      </c>
      <c r="L253" s="10">
        <f>IFERROR(IF(INDEX('Test catalog'!$G$2:$G$200,MATCH($AB253,'Test catalog'!$A$2:$A$200,0))="","",INDEX('Test catalog'!$G$2:$G$200,MATCH($AB253,'Test catalog'!$A$2:$A$200,0))),"")</f>
        <v/>
      </c>
      <c r="M253" s="10">
        <f>IFERROR(IF(INDEX('Test catalog'!$H$2:$H$200,MATCH($AB253,'Test catalog'!$A$2:$A$200,0))="","",INDEX('Test catalog'!$H$2:$H$200,MATCH($AB253,'Test catalog'!$A$2:$A$200,0))),"")</f>
        <v/>
      </c>
      <c r="N253" s="10">
        <f>IFERROR(IF(INDEX('Test catalog'!$I$2:$I$200,MATCH($AB253,'Test catalog'!$A$2:$A$200,0))="","",INDEX('Test catalog'!$I$2:$I$200,MATCH($AB253,'Test catalog'!$A$2:$A$200,0))),"")</f>
        <v/>
      </c>
      <c r="O253" s="10">
        <f>IFERROR(IF(INDEX('Test catalog'!$J$2:$J$200,MATCH($AB253,'Test catalog'!$A$2:$A$200,0))="","",INDEX('Test catalog'!$J$2:$J$200,MATCH($AB253,'Test catalog'!$A$2:$A$200,0))),"")</f>
        <v/>
      </c>
      <c r="P253" s="14">
        <f>IF(N253="","",IF(OR(M253="",O253=""),N253,(M253+4*N253+O253)/6))</f>
        <v/>
      </c>
      <c r="Q253" s="10">
        <f>IFERROR(IF(INDEX('Test catalog'!$K$2:$K$200,MATCH($AB253,'Test catalog'!$A$2:$A$200,0))="","",INDEX('Test catalog'!$K$2:$K$200,MATCH($AB253,'Test catalog'!$A$2:$A$200,0))),"")</f>
        <v/>
      </c>
      <c r="R253" s="5" t="n"/>
      <c r="S253" s="10">
        <f>IFERROR(IF(INDEX('Test catalog'!$L$2:$L$200,MATCH($AB253,'Test catalog'!$A$2:$A$200,0))="","",INDEX('Test catalog'!$L$2:$L$200,MATCH($AB253,'Test catalog'!$A$2:$A$200,0))),"")</f>
        <v/>
      </c>
      <c r="T253" s="10">
        <f>IFERROR(IF(INDEX('Test catalog'!$M$2:$M$200,MATCH($AB253,'Test catalog'!$A$2:$A$200,0))="","",INDEX('Test catalog'!$M$2:$M$200,MATCH($AB253,'Test catalog'!$A$2:$A$200,0))),"")</f>
        <v/>
      </c>
      <c r="U253" s="10">
        <f>IFERROR(IF(INDEX('Test catalog'!$N$2:$N$200,MATCH($AB253,'Test catalog'!$A$2:$A$200,0))="","",INDEX('Test catalog'!$N$2:$N$200,MATCH($AB253,'Test catalog'!$A$2:$A$200,0))),"")</f>
        <v/>
      </c>
      <c r="V253" s="15" t="n"/>
      <c r="W253" s="5" t="inlineStr">
        <is>
          <t>Y</t>
        </is>
      </c>
      <c r="X253" s="5" t="n"/>
      <c r="Y253" s="5" t="n"/>
      <c r="Z253" s="5" t="n"/>
      <c r="AA253" s="10">
        <f>IFERROR(IF(INDEX('Test catalog'!$O$2:$O$200,MATCH($AB253,'Test catalog'!$A$2:$A$200,0))="","",INDEX('Test catalog'!$O$2:$O$200,MATCH($AB253,'Test catalog'!$A$2:$A$200,0))),"")</f>
        <v/>
      </c>
      <c r="AB253" s="10" t="inlineStr">
        <is>
          <t>HARD</t>
        </is>
      </c>
    </row>
    <row r="254">
      <c r="A254" s="10" t="inlineStr">
        <is>
          <t>F34</t>
        </is>
      </c>
      <c r="B254" s="10" t="inlineStr">
        <is>
          <t>FP</t>
        </is>
      </c>
      <c r="C254" s="10" t="inlineStr">
        <is>
          <t>B-Complex  |  Cyanocobalamin (Vitamin B12), Thiamine Hydrochloride (Vitamin B1) (+6 more)</t>
        </is>
      </c>
      <c r="D254" s="10" t="inlineStr">
        <is>
          <t>Brittleness</t>
        </is>
      </c>
      <c r="E254" s="10">
        <f>IF(A254="","",A254&amp;"|"&amp;D254)</f>
        <v/>
      </c>
      <c r="F254" s="5" t="inlineStr">
        <is>
          <t>Y</t>
        </is>
      </c>
      <c r="G254" s="5" t="inlineStr">
        <is>
          <t>Other / bench</t>
        </is>
      </c>
      <c r="H254" s="5" t="inlineStr">
        <is>
          <t>Low</t>
        </is>
      </c>
      <c r="I254" s="5" t="n">
        <v>1</v>
      </c>
      <c r="J254" s="5" t="n"/>
      <c r="K254" s="10">
        <f>IFERROR(IF(INDEX('Test catalog'!$F$2:$F$200,MATCH($AB254,'Test catalog'!$A$2:$A$200,0))="","",INDEX('Test catalog'!$F$2:$F$200,MATCH($AB254,'Test catalog'!$A$2:$A$200,0))),"")</f>
        <v/>
      </c>
      <c r="L254" s="10">
        <f>IFERROR(IF(INDEX('Test catalog'!$G$2:$G$200,MATCH($AB254,'Test catalog'!$A$2:$A$200,0))="","",INDEX('Test catalog'!$G$2:$G$200,MATCH($AB254,'Test catalog'!$A$2:$A$200,0))),"")</f>
        <v/>
      </c>
      <c r="M254" s="10">
        <f>IFERROR(IF(INDEX('Test catalog'!$H$2:$H$200,MATCH($AB254,'Test catalog'!$A$2:$A$200,0))="","",INDEX('Test catalog'!$H$2:$H$200,MATCH($AB254,'Test catalog'!$A$2:$A$200,0))),"")</f>
        <v/>
      </c>
      <c r="N254" s="10">
        <f>IFERROR(IF(INDEX('Test catalog'!$I$2:$I$200,MATCH($AB254,'Test catalog'!$A$2:$A$200,0))="","",INDEX('Test catalog'!$I$2:$I$200,MATCH($AB254,'Test catalog'!$A$2:$A$200,0))),"")</f>
        <v/>
      </c>
      <c r="O254" s="10">
        <f>IFERROR(IF(INDEX('Test catalog'!$J$2:$J$200,MATCH($AB254,'Test catalog'!$A$2:$A$200,0))="","",INDEX('Test catalog'!$J$2:$J$200,MATCH($AB254,'Test catalog'!$A$2:$A$200,0))),"")</f>
        <v/>
      </c>
      <c r="P254" s="14">
        <f>IF(N254="","",IF(OR(M254="",O254=""),N254,(M254+4*N254+O254)/6))</f>
        <v/>
      </c>
      <c r="Q254" s="10">
        <f>IFERROR(IF(INDEX('Test catalog'!$K$2:$K$200,MATCH($AB254,'Test catalog'!$A$2:$A$200,0))="","",INDEX('Test catalog'!$K$2:$K$200,MATCH($AB254,'Test catalog'!$A$2:$A$200,0))),"")</f>
        <v/>
      </c>
      <c r="R254" s="5" t="n"/>
      <c r="S254" s="10">
        <f>IFERROR(IF(INDEX('Test catalog'!$L$2:$L$200,MATCH($AB254,'Test catalog'!$A$2:$A$200,0))="","",INDEX('Test catalog'!$L$2:$L$200,MATCH($AB254,'Test catalog'!$A$2:$A$200,0))),"")</f>
        <v/>
      </c>
      <c r="T254" s="10">
        <f>IFERROR(IF(INDEX('Test catalog'!$M$2:$M$200,MATCH($AB254,'Test catalog'!$A$2:$A$200,0))="","",INDEX('Test catalog'!$M$2:$M$200,MATCH($AB254,'Test catalog'!$A$2:$A$200,0))),"")</f>
        <v/>
      </c>
      <c r="U254" s="10">
        <f>IFERROR(IF(INDEX('Test catalog'!$N$2:$N$200,MATCH($AB254,'Test catalog'!$A$2:$A$200,0))="","",INDEX('Test catalog'!$N$2:$N$200,MATCH($AB254,'Test catalog'!$A$2:$A$200,0))),"")</f>
        <v/>
      </c>
      <c r="V254" s="15" t="n"/>
      <c r="W254" s="5" t="inlineStr">
        <is>
          <t>N</t>
        </is>
      </c>
      <c r="X254" s="5" t="n"/>
      <c r="Y254" s="5" t="n"/>
      <c r="Z254" s="5" t="n"/>
      <c r="AA254" s="10">
        <f>IFERROR(IF(INDEX('Test catalog'!$O$2:$O$200,MATCH($AB254,'Test catalog'!$A$2:$A$200,0))="","",INDEX('Test catalog'!$O$2:$O$200,MATCH($AB254,'Test catalog'!$A$2:$A$200,0))),"")</f>
        <v/>
      </c>
      <c r="AB254" s="10" t="inlineStr">
        <is>
          <t>BRITTLE</t>
        </is>
      </c>
    </row>
    <row r="255">
      <c r="A255" s="10" t="inlineStr">
        <is>
          <t>F34</t>
        </is>
      </c>
      <c r="B255" s="10" t="inlineStr">
        <is>
          <t>FP</t>
        </is>
      </c>
      <c r="C255" s="10" t="inlineStr">
        <is>
          <t>B-Complex  |  Cyanocobalamin (Vitamin B12), Thiamine Hydrochloride (Vitamin B1) (+6 more)</t>
        </is>
      </c>
      <c r="D255" s="10" t="inlineStr">
        <is>
          <t>Friability</t>
        </is>
      </c>
      <c r="E255" s="10">
        <f>IF(A255="","",A255&amp;"|"&amp;D255)</f>
        <v/>
      </c>
      <c r="F255" s="5" t="inlineStr">
        <is>
          <t>Y</t>
        </is>
      </c>
      <c r="G255" s="5" t="inlineStr">
        <is>
          <t>Friabilator</t>
        </is>
      </c>
      <c r="H255" s="5" t="inlineStr">
        <is>
          <t>Low</t>
        </is>
      </c>
      <c r="I255" s="5" t="n">
        <v>1</v>
      </c>
      <c r="J255" s="5" t="n"/>
      <c r="K255" s="10">
        <f>IFERROR(IF(INDEX('Test catalog'!$F$2:$F$200,MATCH($AB255,'Test catalog'!$A$2:$A$200,0))="","",INDEX('Test catalog'!$F$2:$F$200,MATCH($AB255,'Test catalog'!$A$2:$A$200,0))),"")</f>
        <v/>
      </c>
      <c r="L255" s="10">
        <f>IFERROR(IF(INDEX('Test catalog'!$G$2:$G$200,MATCH($AB255,'Test catalog'!$A$2:$A$200,0))="","",INDEX('Test catalog'!$G$2:$G$200,MATCH($AB255,'Test catalog'!$A$2:$A$200,0))),"")</f>
        <v/>
      </c>
      <c r="M255" s="10">
        <f>IFERROR(IF(INDEX('Test catalog'!$H$2:$H$200,MATCH($AB255,'Test catalog'!$A$2:$A$200,0))="","",INDEX('Test catalog'!$H$2:$H$200,MATCH($AB255,'Test catalog'!$A$2:$A$200,0))),"")</f>
        <v/>
      </c>
      <c r="N255" s="10">
        <f>IFERROR(IF(INDEX('Test catalog'!$I$2:$I$200,MATCH($AB255,'Test catalog'!$A$2:$A$200,0))="","",INDEX('Test catalog'!$I$2:$I$200,MATCH($AB255,'Test catalog'!$A$2:$A$200,0))),"")</f>
        <v/>
      </c>
      <c r="O255" s="10">
        <f>IFERROR(IF(INDEX('Test catalog'!$J$2:$J$200,MATCH($AB255,'Test catalog'!$A$2:$A$200,0))="","",INDEX('Test catalog'!$J$2:$J$200,MATCH($AB255,'Test catalog'!$A$2:$A$200,0))),"")</f>
        <v/>
      </c>
      <c r="P255" s="14">
        <f>IF(N255="","",IF(OR(M255="",O255=""),N255,(M255+4*N255+O255)/6))</f>
        <v/>
      </c>
      <c r="Q255" s="10">
        <f>IFERROR(IF(INDEX('Test catalog'!$K$2:$K$200,MATCH($AB255,'Test catalog'!$A$2:$A$200,0))="","",INDEX('Test catalog'!$K$2:$K$200,MATCH($AB255,'Test catalog'!$A$2:$A$200,0))),"")</f>
        <v/>
      </c>
      <c r="R255" s="5" t="n"/>
      <c r="S255" s="10">
        <f>IFERROR(IF(INDEX('Test catalog'!$L$2:$L$200,MATCH($AB255,'Test catalog'!$A$2:$A$200,0))="","",INDEX('Test catalog'!$L$2:$L$200,MATCH($AB255,'Test catalog'!$A$2:$A$200,0))),"")</f>
        <v/>
      </c>
      <c r="T255" s="10">
        <f>IFERROR(IF(INDEX('Test catalog'!$M$2:$M$200,MATCH($AB255,'Test catalog'!$A$2:$A$200,0))="","",INDEX('Test catalog'!$M$2:$M$200,MATCH($AB255,'Test catalog'!$A$2:$A$200,0))),"")</f>
        <v/>
      </c>
      <c r="U255" s="10">
        <f>IFERROR(IF(INDEX('Test catalog'!$N$2:$N$200,MATCH($AB255,'Test catalog'!$A$2:$A$200,0))="","",INDEX('Test catalog'!$N$2:$N$200,MATCH($AB255,'Test catalog'!$A$2:$A$200,0))),"")</f>
        <v/>
      </c>
      <c r="V255" s="15" t="n"/>
      <c r="W255" s="5" t="inlineStr">
        <is>
          <t>N</t>
        </is>
      </c>
      <c r="X255" s="5" t="n"/>
      <c r="Y255" s="5" t="n"/>
      <c r="Z255" s="5" t="n"/>
      <c r="AA255" s="10">
        <f>IFERROR(IF(INDEX('Test catalog'!$O$2:$O$200,MATCH($AB255,'Test catalog'!$A$2:$A$200,0))="","",INDEX('Test catalog'!$O$2:$O$200,MATCH($AB255,'Test catalog'!$A$2:$A$200,0))),"")</f>
        <v/>
      </c>
      <c r="AB255" s="10" t="inlineStr">
        <is>
          <t>FRIAB</t>
        </is>
      </c>
    </row>
    <row r="256">
      <c r="A256" s="10" t="inlineStr">
        <is>
          <t>F34</t>
        </is>
      </c>
      <c r="B256" s="10" t="inlineStr">
        <is>
          <t>FP</t>
        </is>
      </c>
      <c r="C256" s="10" t="inlineStr">
        <is>
          <t>B-Complex  |  Cyanocobalamin (Vitamin B12), Thiamine Hydrochloride (Vitamin B1) (+6 more)</t>
        </is>
      </c>
      <c r="D256" s="10" t="inlineStr">
        <is>
          <t>Disintegration</t>
        </is>
      </c>
      <c r="E256" s="10">
        <f>IF(A256="","",A256&amp;"|"&amp;D256)</f>
        <v/>
      </c>
      <c r="F256" s="5" t="inlineStr">
        <is>
          <t>Y</t>
        </is>
      </c>
      <c r="G256" s="5" t="inlineStr">
        <is>
          <t>Disintegration tester</t>
        </is>
      </c>
      <c r="H256" s="5" t="inlineStr">
        <is>
          <t>Low</t>
        </is>
      </c>
      <c r="I256" s="5" t="n">
        <v>1</v>
      </c>
      <c r="J256" s="5" t="n"/>
      <c r="K256" s="10">
        <f>IFERROR(IF(INDEX('Test catalog'!$F$2:$F$200,MATCH($AB256,'Test catalog'!$A$2:$A$200,0))="","",INDEX('Test catalog'!$F$2:$F$200,MATCH($AB256,'Test catalog'!$A$2:$A$200,0))),"")</f>
        <v/>
      </c>
      <c r="L256" s="10">
        <f>IFERROR(IF(INDEX('Test catalog'!$G$2:$G$200,MATCH($AB256,'Test catalog'!$A$2:$A$200,0))="","",INDEX('Test catalog'!$G$2:$G$200,MATCH($AB256,'Test catalog'!$A$2:$A$200,0))),"")</f>
        <v/>
      </c>
      <c r="M256" s="10">
        <f>IFERROR(IF(INDEX('Test catalog'!$H$2:$H$200,MATCH($AB256,'Test catalog'!$A$2:$A$200,0))="","",INDEX('Test catalog'!$H$2:$H$200,MATCH($AB256,'Test catalog'!$A$2:$A$200,0))),"")</f>
        <v/>
      </c>
      <c r="N256" s="10">
        <f>IFERROR(IF(INDEX('Test catalog'!$I$2:$I$200,MATCH($AB256,'Test catalog'!$A$2:$A$200,0))="","",INDEX('Test catalog'!$I$2:$I$200,MATCH($AB256,'Test catalog'!$A$2:$A$200,0))),"")</f>
        <v/>
      </c>
      <c r="O256" s="10">
        <f>IFERROR(IF(INDEX('Test catalog'!$J$2:$J$200,MATCH($AB256,'Test catalog'!$A$2:$A$200,0))="","",INDEX('Test catalog'!$J$2:$J$200,MATCH($AB256,'Test catalog'!$A$2:$A$200,0))),"")</f>
        <v/>
      </c>
      <c r="P256" s="14">
        <f>IF(N256="","",IF(OR(M256="",O256=""),N256,(M256+4*N256+O256)/6))</f>
        <v/>
      </c>
      <c r="Q256" s="10">
        <f>IFERROR(IF(INDEX('Test catalog'!$K$2:$K$200,MATCH($AB256,'Test catalog'!$A$2:$A$200,0))="","",INDEX('Test catalog'!$K$2:$K$200,MATCH($AB256,'Test catalog'!$A$2:$A$200,0))),"")</f>
        <v/>
      </c>
      <c r="R256" s="5" t="n"/>
      <c r="S256" s="10">
        <f>IFERROR(IF(INDEX('Test catalog'!$L$2:$L$200,MATCH($AB256,'Test catalog'!$A$2:$A$200,0))="","",INDEX('Test catalog'!$L$2:$L$200,MATCH($AB256,'Test catalog'!$A$2:$A$200,0))),"")</f>
        <v/>
      </c>
      <c r="T256" s="10">
        <f>IFERROR(IF(INDEX('Test catalog'!$M$2:$M$200,MATCH($AB256,'Test catalog'!$A$2:$A$200,0))="","",INDEX('Test catalog'!$M$2:$M$200,MATCH($AB256,'Test catalog'!$A$2:$A$200,0))),"")</f>
        <v/>
      </c>
      <c r="U256" s="10">
        <f>IFERROR(IF(INDEX('Test catalog'!$N$2:$N$200,MATCH($AB256,'Test catalog'!$A$2:$A$200,0))="","",INDEX('Test catalog'!$N$2:$N$200,MATCH($AB256,'Test catalog'!$A$2:$A$200,0))),"")</f>
        <v/>
      </c>
      <c r="V256" s="15" t="n"/>
      <c r="W256" s="5" t="inlineStr">
        <is>
          <t>Y</t>
        </is>
      </c>
      <c r="X256" s="5" t="n"/>
      <c r="Y256" s="5" t="n"/>
      <c r="Z256" s="5" t="n"/>
      <c r="AA256" s="10">
        <f>IFERROR(IF(INDEX('Test catalog'!$O$2:$O$200,MATCH($AB256,'Test catalog'!$A$2:$A$200,0))="","",INDEX('Test catalog'!$O$2:$O$200,MATCH($AB256,'Test catalog'!$A$2:$A$200,0))),"")</f>
        <v/>
      </c>
      <c r="AB256" s="10" t="inlineStr">
        <is>
          <t>DISINT</t>
        </is>
      </c>
    </row>
    <row r="257">
      <c r="A257" s="10" t="inlineStr">
        <is>
          <t>F34</t>
        </is>
      </c>
      <c r="B257" s="10" t="inlineStr">
        <is>
          <t>FP</t>
        </is>
      </c>
      <c r="C257" s="10" t="inlineStr">
        <is>
          <t>B-Complex  |  Cyanocobalamin (Vitamin B12), Thiamine Hydrochloride (Vitamin B1) (+6 more)</t>
        </is>
      </c>
      <c r="D257" s="10" t="inlineStr">
        <is>
          <t>In-process check at the machine (one check, all its tests)</t>
        </is>
      </c>
      <c r="E257" s="10">
        <f>IF(A257="","",A257&amp;"|"&amp;D257)</f>
        <v/>
      </c>
      <c r="F257" s="5" t="inlineStr">
        <is>
          <t>Y</t>
        </is>
      </c>
      <c r="G257" s="5" t="inlineStr">
        <is>
          <t>Tablet tester</t>
        </is>
      </c>
      <c r="H257" s="5" t="inlineStr">
        <is>
          <t>Low</t>
        </is>
      </c>
      <c r="I257" s="5" t="n">
        <v>1</v>
      </c>
      <c r="J257" s="5" t="n"/>
      <c r="K257" s="10">
        <f>IFERROR(IF(INDEX('Test catalog'!$F$2:$F$200,MATCH($AB257,'Test catalog'!$A$2:$A$200,0))="","",INDEX('Test catalog'!$F$2:$F$200,MATCH($AB257,'Test catalog'!$A$2:$A$200,0))),"")</f>
        <v/>
      </c>
      <c r="L257" s="10">
        <f>IFERROR(IF(INDEX('Test catalog'!$G$2:$G$200,MATCH($AB257,'Test catalog'!$A$2:$A$200,0))="","",INDEX('Test catalog'!$G$2:$G$200,MATCH($AB257,'Test catalog'!$A$2:$A$200,0))),"")</f>
        <v/>
      </c>
      <c r="M257" s="10">
        <f>IFERROR(IF(INDEX('Test catalog'!$H$2:$H$200,MATCH($AB257,'Test catalog'!$A$2:$A$200,0))="","",INDEX('Test catalog'!$H$2:$H$200,MATCH($AB257,'Test catalog'!$A$2:$A$200,0))),"")</f>
        <v/>
      </c>
      <c r="N257" s="10">
        <f>IFERROR(IF(INDEX('Test catalog'!$I$2:$I$200,MATCH($AB257,'Test catalog'!$A$2:$A$200,0))="","",INDEX('Test catalog'!$I$2:$I$200,MATCH($AB257,'Test catalog'!$A$2:$A$200,0))),"")</f>
        <v/>
      </c>
      <c r="O257" s="10">
        <f>IFERROR(IF(INDEX('Test catalog'!$J$2:$J$200,MATCH($AB257,'Test catalog'!$A$2:$A$200,0))="","",INDEX('Test catalog'!$J$2:$J$200,MATCH($AB257,'Test catalog'!$A$2:$A$200,0))),"")</f>
        <v/>
      </c>
      <c r="P257" s="14">
        <f>IF(N257="","",IF(OR(M257="",O257=""),N257,(M257+4*N257+O257)/6))</f>
        <v/>
      </c>
      <c r="Q257" s="10">
        <f>IFERROR(IF(INDEX('Test catalog'!$K$2:$K$200,MATCH($AB257,'Test catalog'!$A$2:$A$200,0))="","",INDEX('Test catalog'!$K$2:$K$200,MATCH($AB257,'Test catalog'!$A$2:$A$200,0))),"")</f>
        <v/>
      </c>
      <c r="R257" s="5" t="n"/>
      <c r="S257" s="10">
        <f>IFERROR(IF(INDEX('Test catalog'!$L$2:$L$200,MATCH($AB257,'Test catalog'!$A$2:$A$200,0))="","",INDEX('Test catalog'!$L$2:$L$200,MATCH($AB257,'Test catalog'!$A$2:$A$200,0))),"")</f>
        <v/>
      </c>
      <c r="T257" s="10">
        <f>IFERROR(IF(INDEX('Test catalog'!$M$2:$M$200,MATCH($AB257,'Test catalog'!$A$2:$A$200,0))="","",INDEX('Test catalog'!$M$2:$M$200,MATCH($AB257,'Test catalog'!$A$2:$A$200,0))),"")</f>
        <v/>
      </c>
      <c r="U257" s="10">
        <f>IFERROR(IF(INDEX('Test catalog'!$N$2:$N$200,MATCH($AB257,'Test catalog'!$A$2:$A$200,0))="","",INDEX('Test catalog'!$N$2:$N$200,MATCH($AB257,'Test catalog'!$A$2:$A$200,0))),"")</f>
        <v/>
      </c>
      <c r="V257" s="15" t="n"/>
      <c r="W257" s="5" t="inlineStr">
        <is>
          <t>N</t>
        </is>
      </c>
      <c r="X257" s="5" t="n"/>
      <c r="Y257" s="5" t="n"/>
      <c r="Z257" s="5" t="n"/>
      <c r="AA257" s="10">
        <f>IFERROR(IF(INDEX('Test catalog'!$O$2:$O$200,MATCH($AB257,'Test catalog'!$A$2:$A$200,0))="","",INDEX('Test catalog'!$O$2:$O$200,MATCH($AB257,'Test catalog'!$A$2:$A$200,0))),"")</f>
        <v/>
      </c>
      <c r="AB257" s="10" t="inlineStr">
        <is>
          <t>IPC</t>
        </is>
      </c>
    </row>
    <row r="258">
      <c r="A258" s="10" t="inlineStr">
        <is>
          <t>F35</t>
        </is>
      </c>
      <c r="B258" s="10" t="inlineStr">
        <is>
          <t>FP</t>
        </is>
      </c>
      <c r="C258" s="10" t="inlineStr">
        <is>
          <t>Sachet Vitamin B12  |  Cyanocobalamin (Vitamin B12)</t>
        </is>
      </c>
      <c r="D258" s="10" t="inlineStr">
        <is>
          <t>Average weight / uniformity of mass</t>
        </is>
      </c>
      <c r="E258" s="10">
        <f>IF(A258="","",A258&amp;"|"&amp;D258)</f>
        <v/>
      </c>
      <c r="F258" s="5" t="inlineStr">
        <is>
          <t>Y</t>
        </is>
      </c>
      <c r="G258" s="5" t="inlineStr">
        <is>
          <t>Balance</t>
        </is>
      </c>
      <c r="H258" s="5" t="inlineStr">
        <is>
          <t>Low</t>
        </is>
      </c>
      <c r="I258" s="5" t="n">
        <v>1</v>
      </c>
      <c r="J258" s="5" t="n"/>
      <c r="K258" s="10">
        <f>IFERROR(IF(INDEX('Test catalog'!$F$2:$F$200,MATCH($AB258,'Test catalog'!$A$2:$A$200,0))="","",INDEX('Test catalog'!$F$2:$F$200,MATCH($AB258,'Test catalog'!$A$2:$A$200,0))),"")</f>
        <v/>
      </c>
      <c r="L258" s="10">
        <f>IFERROR(IF(INDEX('Test catalog'!$G$2:$G$200,MATCH($AB258,'Test catalog'!$A$2:$A$200,0))="","",INDEX('Test catalog'!$G$2:$G$200,MATCH($AB258,'Test catalog'!$A$2:$A$200,0))),"")</f>
        <v/>
      </c>
      <c r="M258" s="10">
        <f>IFERROR(IF(INDEX('Test catalog'!$H$2:$H$200,MATCH($AB258,'Test catalog'!$A$2:$A$200,0))="","",INDEX('Test catalog'!$H$2:$H$200,MATCH($AB258,'Test catalog'!$A$2:$A$200,0))),"")</f>
        <v/>
      </c>
      <c r="N258" s="10">
        <f>IFERROR(IF(INDEX('Test catalog'!$I$2:$I$200,MATCH($AB258,'Test catalog'!$A$2:$A$200,0))="","",INDEX('Test catalog'!$I$2:$I$200,MATCH($AB258,'Test catalog'!$A$2:$A$200,0))),"")</f>
        <v/>
      </c>
      <c r="O258" s="10">
        <f>IFERROR(IF(INDEX('Test catalog'!$J$2:$J$200,MATCH($AB258,'Test catalog'!$A$2:$A$200,0))="","",INDEX('Test catalog'!$J$2:$J$200,MATCH($AB258,'Test catalog'!$A$2:$A$200,0))),"")</f>
        <v/>
      </c>
      <c r="P258" s="14">
        <f>IF(N258="","",IF(OR(M258="",O258=""),N258,(M258+4*N258+O258)/6))</f>
        <v/>
      </c>
      <c r="Q258" s="10">
        <f>IFERROR(IF(INDEX('Test catalog'!$K$2:$K$200,MATCH($AB258,'Test catalog'!$A$2:$A$200,0))="","",INDEX('Test catalog'!$K$2:$K$200,MATCH($AB258,'Test catalog'!$A$2:$A$200,0))),"")</f>
        <v/>
      </c>
      <c r="R258" s="5" t="n"/>
      <c r="S258" s="10">
        <f>IFERROR(IF(INDEX('Test catalog'!$L$2:$L$200,MATCH($AB258,'Test catalog'!$A$2:$A$200,0))="","",INDEX('Test catalog'!$L$2:$L$200,MATCH($AB258,'Test catalog'!$A$2:$A$200,0))),"")</f>
        <v/>
      </c>
      <c r="T258" s="10">
        <f>IFERROR(IF(INDEX('Test catalog'!$M$2:$M$200,MATCH($AB258,'Test catalog'!$A$2:$A$200,0))="","",INDEX('Test catalog'!$M$2:$M$200,MATCH($AB258,'Test catalog'!$A$2:$A$200,0))),"")</f>
        <v/>
      </c>
      <c r="U258" s="10">
        <f>IFERROR(IF(INDEX('Test catalog'!$N$2:$N$200,MATCH($AB258,'Test catalog'!$A$2:$A$200,0))="","",INDEX('Test catalog'!$N$2:$N$200,MATCH($AB258,'Test catalog'!$A$2:$A$200,0))),"")</f>
        <v/>
      </c>
      <c r="V258" s="15" t="n"/>
      <c r="W258" s="5" t="inlineStr">
        <is>
          <t>N</t>
        </is>
      </c>
      <c r="X258" s="5" t="n"/>
      <c r="Y258" s="5" t="n"/>
      <c r="Z258" s="5" t="n"/>
      <c r="AA258" s="10">
        <f>IFERROR(IF(INDEX('Test catalog'!$O$2:$O$200,MATCH($AB258,'Test catalog'!$A$2:$A$200,0))="","",INDEX('Test catalog'!$O$2:$O$200,MATCH($AB258,'Test catalog'!$A$2:$A$200,0))),"")</f>
        <v/>
      </c>
      <c r="AB258" s="10" t="inlineStr">
        <is>
          <t>AVG_WT</t>
        </is>
      </c>
    </row>
    <row r="259">
      <c r="A259" s="10" t="inlineStr">
        <is>
          <t>F35</t>
        </is>
      </c>
      <c r="B259" s="10" t="inlineStr">
        <is>
          <t>FP</t>
        </is>
      </c>
      <c r="C259" s="10" t="inlineStr">
        <is>
          <t>Sachet Vitamin B12  |  Cyanocobalamin (Vitamin B12)</t>
        </is>
      </c>
      <c r="D259" s="10" t="inlineStr">
        <is>
          <t>In-process check at the machine (one check, all its tests)</t>
        </is>
      </c>
      <c r="E259" s="10">
        <f>IF(A259="","",A259&amp;"|"&amp;D259)</f>
        <v/>
      </c>
      <c r="F259" s="5" t="inlineStr">
        <is>
          <t>Y</t>
        </is>
      </c>
      <c r="G259" s="5" t="inlineStr">
        <is>
          <t>Tablet tester</t>
        </is>
      </c>
      <c r="H259" s="5" t="inlineStr">
        <is>
          <t>Low</t>
        </is>
      </c>
      <c r="I259" s="5" t="n">
        <v>1</v>
      </c>
      <c r="J259" s="5" t="n"/>
      <c r="K259" s="10">
        <f>IFERROR(IF(INDEX('Test catalog'!$F$2:$F$200,MATCH($AB259,'Test catalog'!$A$2:$A$200,0))="","",INDEX('Test catalog'!$F$2:$F$200,MATCH($AB259,'Test catalog'!$A$2:$A$200,0))),"")</f>
        <v/>
      </c>
      <c r="L259" s="10">
        <f>IFERROR(IF(INDEX('Test catalog'!$G$2:$G$200,MATCH($AB259,'Test catalog'!$A$2:$A$200,0))="","",INDEX('Test catalog'!$G$2:$G$200,MATCH($AB259,'Test catalog'!$A$2:$A$200,0))),"")</f>
        <v/>
      </c>
      <c r="M259" s="10">
        <f>IFERROR(IF(INDEX('Test catalog'!$H$2:$H$200,MATCH($AB259,'Test catalog'!$A$2:$A$200,0))="","",INDEX('Test catalog'!$H$2:$H$200,MATCH($AB259,'Test catalog'!$A$2:$A$200,0))),"")</f>
        <v/>
      </c>
      <c r="N259" s="10">
        <f>IFERROR(IF(INDEX('Test catalog'!$I$2:$I$200,MATCH($AB259,'Test catalog'!$A$2:$A$200,0))="","",INDEX('Test catalog'!$I$2:$I$200,MATCH($AB259,'Test catalog'!$A$2:$A$200,0))),"")</f>
        <v/>
      </c>
      <c r="O259" s="10">
        <f>IFERROR(IF(INDEX('Test catalog'!$J$2:$J$200,MATCH($AB259,'Test catalog'!$A$2:$A$200,0))="","",INDEX('Test catalog'!$J$2:$J$200,MATCH($AB259,'Test catalog'!$A$2:$A$200,0))),"")</f>
        <v/>
      </c>
      <c r="P259" s="14">
        <f>IF(N259="","",IF(OR(M259="",O259=""),N259,(M259+4*N259+O259)/6))</f>
        <v/>
      </c>
      <c r="Q259" s="10">
        <f>IFERROR(IF(INDEX('Test catalog'!$K$2:$K$200,MATCH($AB259,'Test catalog'!$A$2:$A$200,0))="","",INDEX('Test catalog'!$K$2:$K$200,MATCH($AB259,'Test catalog'!$A$2:$A$200,0))),"")</f>
        <v/>
      </c>
      <c r="R259" s="5" t="n"/>
      <c r="S259" s="10">
        <f>IFERROR(IF(INDEX('Test catalog'!$L$2:$L$200,MATCH($AB259,'Test catalog'!$A$2:$A$200,0))="","",INDEX('Test catalog'!$L$2:$L$200,MATCH($AB259,'Test catalog'!$A$2:$A$200,0))),"")</f>
        <v/>
      </c>
      <c r="T259" s="10">
        <f>IFERROR(IF(INDEX('Test catalog'!$M$2:$M$200,MATCH($AB259,'Test catalog'!$A$2:$A$200,0))="","",INDEX('Test catalog'!$M$2:$M$200,MATCH($AB259,'Test catalog'!$A$2:$A$200,0))),"")</f>
        <v/>
      </c>
      <c r="U259" s="10">
        <f>IFERROR(IF(INDEX('Test catalog'!$N$2:$N$200,MATCH($AB259,'Test catalog'!$A$2:$A$200,0))="","",INDEX('Test catalog'!$N$2:$N$200,MATCH($AB259,'Test catalog'!$A$2:$A$200,0))),"")</f>
        <v/>
      </c>
      <c r="V259" s="15" t="n"/>
      <c r="W259" s="5" t="inlineStr">
        <is>
          <t>N</t>
        </is>
      </c>
      <c r="X259" s="5" t="n"/>
      <c r="Y259" s="5" t="n"/>
      <c r="Z259" s="5" t="n"/>
      <c r="AA259" s="10">
        <f>IFERROR(IF(INDEX('Test catalog'!$O$2:$O$200,MATCH($AB259,'Test catalog'!$A$2:$A$200,0))="","",INDEX('Test catalog'!$O$2:$O$200,MATCH($AB259,'Test catalog'!$A$2:$A$200,0))),"")</f>
        <v/>
      </c>
      <c r="AB259" s="10" t="inlineStr">
        <is>
          <t>IPC</t>
        </is>
      </c>
    </row>
    <row r="260">
      <c r="A260" s="10" t="inlineStr">
        <is>
          <t>F36</t>
        </is>
      </c>
      <c r="B260" s="10" t="inlineStr">
        <is>
          <t>FP</t>
        </is>
      </c>
      <c r="C260" s="10" t="inlineStr">
        <is>
          <t>Ca+k+D3  |  Calcium Carbonate, Vitamin D3 (+1 more)</t>
        </is>
      </c>
      <c r="D260" s="10" t="inlineStr">
        <is>
          <t>Average weight / uniformity of mass</t>
        </is>
      </c>
      <c r="E260" s="10">
        <f>IF(A260="","",A260&amp;"|"&amp;D260)</f>
        <v/>
      </c>
      <c r="F260" s="5" t="inlineStr">
        <is>
          <t>Y</t>
        </is>
      </c>
      <c r="G260" s="5" t="inlineStr">
        <is>
          <t>Balance</t>
        </is>
      </c>
      <c r="H260" s="5" t="inlineStr">
        <is>
          <t>Low</t>
        </is>
      </c>
      <c r="I260" s="5" t="n">
        <v>1</v>
      </c>
      <c r="J260" s="5" t="n"/>
      <c r="K260" s="10">
        <f>IFERROR(IF(INDEX('Test catalog'!$F$2:$F$200,MATCH($AB260,'Test catalog'!$A$2:$A$200,0))="","",INDEX('Test catalog'!$F$2:$F$200,MATCH($AB260,'Test catalog'!$A$2:$A$200,0))),"")</f>
        <v/>
      </c>
      <c r="L260" s="10">
        <f>IFERROR(IF(INDEX('Test catalog'!$G$2:$G$200,MATCH($AB260,'Test catalog'!$A$2:$A$200,0))="","",INDEX('Test catalog'!$G$2:$G$200,MATCH($AB260,'Test catalog'!$A$2:$A$200,0))),"")</f>
        <v/>
      </c>
      <c r="M260" s="10">
        <f>IFERROR(IF(INDEX('Test catalog'!$H$2:$H$200,MATCH($AB260,'Test catalog'!$A$2:$A$200,0))="","",INDEX('Test catalog'!$H$2:$H$200,MATCH($AB260,'Test catalog'!$A$2:$A$200,0))),"")</f>
        <v/>
      </c>
      <c r="N260" s="10">
        <f>IFERROR(IF(INDEX('Test catalog'!$I$2:$I$200,MATCH($AB260,'Test catalog'!$A$2:$A$200,0))="","",INDEX('Test catalog'!$I$2:$I$200,MATCH($AB260,'Test catalog'!$A$2:$A$200,0))),"")</f>
        <v/>
      </c>
      <c r="O260" s="10">
        <f>IFERROR(IF(INDEX('Test catalog'!$J$2:$J$200,MATCH($AB260,'Test catalog'!$A$2:$A$200,0))="","",INDEX('Test catalog'!$J$2:$J$200,MATCH($AB260,'Test catalog'!$A$2:$A$200,0))),"")</f>
        <v/>
      </c>
      <c r="P260" s="14">
        <f>IF(N260="","",IF(OR(M260="",O260=""),N260,(M260+4*N260+O260)/6))</f>
        <v/>
      </c>
      <c r="Q260" s="10">
        <f>IFERROR(IF(INDEX('Test catalog'!$K$2:$K$200,MATCH($AB260,'Test catalog'!$A$2:$A$200,0))="","",INDEX('Test catalog'!$K$2:$K$200,MATCH($AB260,'Test catalog'!$A$2:$A$200,0))),"")</f>
        <v/>
      </c>
      <c r="R260" s="5" t="n"/>
      <c r="S260" s="10">
        <f>IFERROR(IF(INDEX('Test catalog'!$L$2:$L$200,MATCH($AB260,'Test catalog'!$A$2:$A$200,0))="","",INDEX('Test catalog'!$L$2:$L$200,MATCH($AB260,'Test catalog'!$A$2:$A$200,0))),"")</f>
        <v/>
      </c>
      <c r="T260" s="10">
        <f>IFERROR(IF(INDEX('Test catalog'!$M$2:$M$200,MATCH($AB260,'Test catalog'!$A$2:$A$200,0))="","",INDEX('Test catalog'!$M$2:$M$200,MATCH($AB260,'Test catalog'!$A$2:$A$200,0))),"")</f>
        <v/>
      </c>
      <c r="U260" s="10">
        <f>IFERROR(IF(INDEX('Test catalog'!$N$2:$N$200,MATCH($AB260,'Test catalog'!$A$2:$A$200,0))="","",INDEX('Test catalog'!$N$2:$N$200,MATCH($AB260,'Test catalog'!$A$2:$A$200,0))),"")</f>
        <v/>
      </c>
      <c r="V260" s="15" t="n"/>
      <c r="W260" s="5" t="inlineStr">
        <is>
          <t>N</t>
        </is>
      </c>
      <c r="X260" s="5" t="n"/>
      <c r="Y260" s="5" t="n"/>
      <c r="Z260" s="5" t="n"/>
      <c r="AA260" s="10">
        <f>IFERROR(IF(INDEX('Test catalog'!$O$2:$O$200,MATCH($AB260,'Test catalog'!$A$2:$A$200,0))="","",INDEX('Test catalog'!$O$2:$O$200,MATCH($AB260,'Test catalog'!$A$2:$A$200,0))),"")</f>
        <v/>
      </c>
      <c r="AB260" s="10" t="inlineStr">
        <is>
          <t>AVG_WT</t>
        </is>
      </c>
    </row>
    <row r="261">
      <c r="A261" s="10" t="inlineStr">
        <is>
          <t>F36</t>
        </is>
      </c>
      <c r="B261" s="10" t="inlineStr">
        <is>
          <t>FP</t>
        </is>
      </c>
      <c r="C261" s="10" t="inlineStr">
        <is>
          <t>Ca+k+D3  |  Calcium Carbonate, Vitamin D3 (+1 more)</t>
        </is>
      </c>
      <c r="D261" s="10" t="inlineStr">
        <is>
          <t>Diameter (or length / width)</t>
        </is>
      </c>
      <c r="E261" s="10">
        <f>IF(A261="","",A261&amp;"|"&amp;D261)</f>
        <v/>
      </c>
      <c r="F261" s="5" t="inlineStr">
        <is>
          <t>Y</t>
        </is>
      </c>
      <c r="G261" s="5" t="inlineStr">
        <is>
          <t>Tablet tester</t>
        </is>
      </c>
      <c r="H261" s="5" t="inlineStr">
        <is>
          <t>Low</t>
        </is>
      </c>
      <c r="I261" s="5" t="n">
        <v>1</v>
      </c>
      <c r="J261" s="5" t="n"/>
      <c r="K261" s="10">
        <f>IFERROR(IF(INDEX('Test catalog'!$F$2:$F$200,MATCH($AB261,'Test catalog'!$A$2:$A$200,0))="","",INDEX('Test catalog'!$F$2:$F$200,MATCH($AB261,'Test catalog'!$A$2:$A$200,0))),"")</f>
        <v/>
      </c>
      <c r="L261" s="10">
        <f>IFERROR(IF(INDEX('Test catalog'!$G$2:$G$200,MATCH($AB261,'Test catalog'!$A$2:$A$200,0))="","",INDEX('Test catalog'!$G$2:$G$200,MATCH($AB261,'Test catalog'!$A$2:$A$200,0))),"")</f>
        <v/>
      </c>
      <c r="M261" s="10">
        <f>IFERROR(IF(INDEX('Test catalog'!$H$2:$H$200,MATCH($AB261,'Test catalog'!$A$2:$A$200,0))="","",INDEX('Test catalog'!$H$2:$H$200,MATCH($AB261,'Test catalog'!$A$2:$A$200,0))),"")</f>
        <v/>
      </c>
      <c r="N261" s="10">
        <f>IFERROR(IF(INDEX('Test catalog'!$I$2:$I$200,MATCH($AB261,'Test catalog'!$A$2:$A$200,0))="","",INDEX('Test catalog'!$I$2:$I$200,MATCH($AB261,'Test catalog'!$A$2:$A$200,0))),"")</f>
        <v/>
      </c>
      <c r="O261" s="10">
        <f>IFERROR(IF(INDEX('Test catalog'!$J$2:$J$200,MATCH($AB261,'Test catalog'!$A$2:$A$200,0))="","",INDEX('Test catalog'!$J$2:$J$200,MATCH($AB261,'Test catalog'!$A$2:$A$200,0))),"")</f>
        <v/>
      </c>
      <c r="P261" s="14">
        <f>IF(N261="","",IF(OR(M261="",O261=""),N261,(M261+4*N261+O261)/6))</f>
        <v/>
      </c>
      <c r="Q261" s="10">
        <f>IFERROR(IF(INDEX('Test catalog'!$K$2:$K$200,MATCH($AB261,'Test catalog'!$A$2:$A$200,0))="","",INDEX('Test catalog'!$K$2:$K$200,MATCH($AB261,'Test catalog'!$A$2:$A$200,0))),"")</f>
        <v/>
      </c>
      <c r="R261" s="5" t="n"/>
      <c r="S261" s="10">
        <f>IFERROR(IF(INDEX('Test catalog'!$L$2:$L$200,MATCH($AB261,'Test catalog'!$A$2:$A$200,0))="","",INDEX('Test catalog'!$L$2:$L$200,MATCH($AB261,'Test catalog'!$A$2:$A$200,0))),"")</f>
        <v/>
      </c>
      <c r="T261" s="10">
        <f>IFERROR(IF(INDEX('Test catalog'!$M$2:$M$200,MATCH($AB261,'Test catalog'!$A$2:$A$200,0))="","",INDEX('Test catalog'!$M$2:$M$200,MATCH($AB261,'Test catalog'!$A$2:$A$200,0))),"")</f>
        <v/>
      </c>
      <c r="U261" s="10">
        <f>IFERROR(IF(INDEX('Test catalog'!$N$2:$N$200,MATCH($AB261,'Test catalog'!$A$2:$A$200,0))="","",INDEX('Test catalog'!$N$2:$N$200,MATCH($AB261,'Test catalog'!$A$2:$A$200,0))),"")</f>
        <v/>
      </c>
      <c r="V261" s="15" t="n"/>
      <c r="W261" s="5" t="inlineStr">
        <is>
          <t>N</t>
        </is>
      </c>
      <c r="X261" s="5" t="n"/>
      <c r="Y261" s="5" t="n"/>
      <c r="Z261" s="5" t="n"/>
      <c r="AA261" s="10">
        <f>IFERROR(IF(INDEX('Test catalog'!$O$2:$O$200,MATCH($AB261,'Test catalog'!$A$2:$A$200,0))="","",INDEX('Test catalog'!$O$2:$O$200,MATCH($AB261,'Test catalog'!$A$2:$A$200,0))),"")</f>
        <v/>
      </c>
      <c r="AB261" s="10" t="inlineStr">
        <is>
          <t>DIAM</t>
        </is>
      </c>
    </row>
    <row r="262">
      <c r="A262" s="10" t="inlineStr">
        <is>
          <t>F36</t>
        </is>
      </c>
      <c r="B262" s="10" t="inlineStr">
        <is>
          <t>FP</t>
        </is>
      </c>
      <c r="C262" s="10" t="inlineStr">
        <is>
          <t>Ca+k+D3  |  Calcium Carbonate, Vitamin D3 (+1 more)</t>
        </is>
      </c>
      <c r="D262" s="10" t="inlineStr">
        <is>
          <t>Thickness</t>
        </is>
      </c>
      <c r="E262" s="10">
        <f>IF(A262="","",A262&amp;"|"&amp;D262)</f>
        <v/>
      </c>
      <c r="F262" s="5" t="inlineStr">
        <is>
          <t>Y</t>
        </is>
      </c>
      <c r="G262" s="5" t="inlineStr">
        <is>
          <t>Tablet tester</t>
        </is>
      </c>
      <c r="H262" s="5" t="inlineStr">
        <is>
          <t>Low</t>
        </is>
      </c>
      <c r="I262" s="5" t="n">
        <v>1</v>
      </c>
      <c r="J262" s="5" t="n"/>
      <c r="K262" s="10">
        <f>IFERROR(IF(INDEX('Test catalog'!$F$2:$F$200,MATCH($AB262,'Test catalog'!$A$2:$A$200,0))="","",INDEX('Test catalog'!$F$2:$F$200,MATCH($AB262,'Test catalog'!$A$2:$A$200,0))),"")</f>
        <v/>
      </c>
      <c r="L262" s="10">
        <f>IFERROR(IF(INDEX('Test catalog'!$G$2:$G$200,MATCH($AB262,'Test catalog'!$A$2:$A$200,0))="","",INDEX('Test catalog'!$G$2:$G$200,MATCH($AB262,'Test catalog'!$A$2:$A$200,0))),"")</f>
        <v/>
      </c>
      <c r="M262" s="10">
        <f>IFERROR(IF(INDEX('Test catalog'!$H$2:$H$200,MATCH($AB262,'Test catalog'!$A$2:$A$200,0))="","",INDEX('Test catalog'!$H$2:$H$200,MATCH($AB262,'Test catalog'!$A$2:$A$200,0))),"")</f>
        <v/>
      </c>
      <c r="N262" s="10">
        <f>IFERROR(IF(INDEX('Test catalog'!$I$2:$I$200,MATCH($AB262,'Test catalog'!$A$2:$A$200,0))="","",INDEX('Test catalog'!$I$2:$I$200,MATCH($AB262,'Test catalog'!$A$2:$A$200,0))),"")</f>
        <v/>
      </c>
      <c r="O262" s="10">
        <f>IFERROR(IF(INDEX('Test catalog'!$J$2:$J$200,MATCH($AB262,'Test catalog'!$A$2:$A$200,0))="","",INDEX('Test catalog'!$J$2:$J$200,MATCH($AB262,'Test catalog'!$A$2:$A$200,0))),"")</f>
        <v/>
      </c>
      <c r="P262" s="14">
        <f>IF(N262="","",IF(OR(M262="",O262=""),N262,(M262+4*N262+O262)/6))</f>
        <v/>
      </c>
      <c r="Q262" s="10">
        <f>IFERROR(IF(INDEX('Test catalog'!$K$2:$K$200,MATCH($AB262,'Test catalog'!$A$2:$A$200,0))="","",INDEX('Test catalog'!$K$2:$K$200,MATCH($AB262,'Test catalog'!$A$2:$A$200,0))),"")</f>
        <v/>
      </c>
      <c r="R262" s="5" t="n"/>
      <c r="S262" s="10">
        <f>IFERROR(IF(INDEX('Test catalog'!$L$2:$L$200,MATCH($AB262,'Test catalog'!$A$2:$A$200,0))="","",INDEX('Test catalog'!$L$2:$L$200,MATCH($AB262,'Test catalog'!$A$2:$A$200,0))),"")</f>
        <v/>
      </c>
      <c r="T262" s="10">
        <f>IFERROR(IF(INDEX('Test catalog'!$M$2:$M$200,MATCH($AB262,'Test catalog'!$A$2:$A$200,0))="","",INDEX('Test catalog'!$M$2:$M$200,MATCH($AB262,'Test catalog'!$A$2:$A$200,0))),"")</f>
        <v/>
      </c>
      <c r="U262" s="10">
        <f>IFERROR(IF(INDEX('Test catalog'!$N$2:$N$200,MATCH($AB262,'Test catalog'!$A$2:$A$200,0))="","",INDEX('Test catalog'!$N$2:$N$200,MATCH($AB262,'Test catalog'!$A$2:$A$200,0))),"")</f>
        <v/>
      </c>
      <c r="V262" s="15" t="n"/>
      <c r="W262" s="5" t="inlineStr">
        <is>
          <t>N</t>
        </is>
      </c>
      <c r="X262" s="5" t="n"/>
      <c r="Y262" s="5" t="n"/>
      <c r="Z262" s="5" t="n"/>
      <c r="AA262" s="10">
        <f>IFERROR(IF(INDEX('Test catalog'!$O$2:$O$200,MATCH($AB262,'Test catalog'!$A$2:$A$200,0))="","",INDEX('Test catalog'!$O$2:$O$200,MATCH($AB262,'Test catalog'!$A$2:$A$200,0))),"")</f>
        <v/>
      </c>
      <c r="AB262" s="10" t="inlineStr">
        <is>
          <t>THICK</t>
        </is>
      </c>
    </row>
    <row r="263">
      <c r="A263" s="10" t="inlineStr">
        <is>
          <t>F36</t>
        </is>
      </c>
      <c r="B263" s="10" t="inlineStr">
        <is>
          <t>FP</t>
        </is>
      </c>
      <c r="C263" s="10" t="inlineStr">
        <is>
          <t>Ca+k+D3  |  Calcium Carbonate, Vitamin D3 (+1 more)</t>
        </is>
      </c>
      <c r="D263" s="10" t="inlineStr">
        <is>
          <t>Hardness / breaking force</t>
        </is>
      </c>
      <c r="E263" s="10">
        <f>IF(A263="","",A263&amp;"|"&amp;D263)</f>
        <v/>
      </c>
      <c r="F263" s="5" t="inlineStr">
        <is>
          <t>Y</t>
        </is>
      </c>
      <c r="G263" s="5" t="inlineStr">
        <is>
          <t>Tablet tester</t>
        </is>
      </c>
      <c r="H263" s="5" t="inlineStr">
        <is>
          <t>Low</t>
        </is>
      </c>
      <c r="I263" s="5" t="n">
        <v>1</v>
      </c>
      <c r="J263" s="5" t="n"/>
      <c r="K263" s="10">
        <f>IFERROR(IF(INDEX('Test catalog'!$F$2:$F$200,MATCH($AB263,'Test catalog'!$A$2:$A$200,0))="","",INDEX('Test catalog'!$F$2:$F$200,MATCH($AB263,'Test catalog'!$A$2:$A$200,0))),"")</f>
        <v/>
      </c>
      <c r="L263" s="10">
        <f>IFERROR(IF(INDEX('Test catalog'!$G$2:$G$200,MATCH($AB263,'Test catalog'!$A$2:$A$200,0))="","",INDEX('Test catalog'!$G$2:$G$200,MATCH($AB263,'Test catalog'!$A$2:$A$200,0))),"")</f>
        <v/>
      </c>
      <c r="M263" s="10">
        <f>IFERROR(IF(INDEX('Test catalog'!$H$2:$H$200,MATCH($AB263,'Test catalog'!$A$2:$A$200,0))="","",INDEX('Test catalog'!$H$2:$H$200,MATCH($AB263,'Test catalog'!$A$2:$A$200,0))),"")</f>
        <v/>
      </c>
      <c r="N263" s="10">
        <f>IFERROR(IF(INDEX('Test catalog'!$I$2:$I$200,MATCH($AB263,'Test catalog'!$A$2:$A$200,0))="","",INDEX('Test catalog'!$I$2:$I$200,MATCH($AB263,'Test catalog'!$A$2:$A$200,0))),"")</f>
        <v/>
      </c>
      <c r="O263" s="10">
        <f>IFERROR(IF(INDEX('Test catalog'!$J$2:$J$200,MATCH($AB263,'Test catalog'!$A$2:$A$200,0))="","",INDEX('Test catalog'!$J$2:$J$200,MATCH($AB263,'Test catalog'!$A$2:$A$200,0))),"")</f>
        <v/>
      </c>
      <c r="P263" s="14">
        <f>IF(N263="","",IF(OR(M263="",O263=""),N263,(M263+4*N263+O263)/6))</f>
        <v/>
      </c>
      <c r="Q263" s="10">
        <f>IFERROR(IF(INDEX('Test catalog'!$K$2:$K$200,MATCH($AB263,'Test catalog'!$A$2:$A$200,0))="","",INDEX('Test catalog'!$K$2:$K$200,MATCH($AB263,'Test catalog'!$A$2:$A$200,0))),"")</f>
        <v/>
      </c>
      <c r="R263" s="5" t="n"/>
      <c r="S263" s="10">
        <f>IFERROR(IF(INDEX('Test catalog'!$L$2:$L$200,MATCH($AB263,'Test catalog'!$A$2:$A$200,0))="","",INDEX('Test catalog'!$L$2:$L$200,MATCH($AB263,'Test catalog'!$A$2:$A$200,0))),"")</f>
        <v/>
      </c>
      <c r="T263" s="10">
        <f>IFERROR(IF(INDEX('Test catalog'!$M$2:$M$200,MATCH($AB263,'Test catalog'!$A$2:$A$200,0))="","",INDEX('Test catalog'!$M$2:$M$200,MATCH($AB263,'Test catalog'!$A$2:$A$200,0))),"")</f>
        <v/>
      </c>
      <c r="U263" s="10">
        <f>IFERROR(IF(INDEX('Test catalog'!$N$2:$N$200,MATCH($AB263,'Test catalog'!$A$2:$A$200,0))="","",INDEX('Test catalog'!$N$2:$N$200,MATCH($AB263,'Test catalog'!$A$2:$A$200,0))),"")</f>
        <v/>
      </c>
      <c r="V263" s="15" t="n"/>
      <c r="W263" s="5" t="inlineStr">
        <is>
          <t>Y</t>
        </is>
      </c>
      <c r="X263" s="5" t="n"/>
      <c r="Y263" s="5" t="n"/>
      <c r="Z263" s="5" t="n"/>
      <c r="AA263" s="10">
        <f>IFERROR(IF(INDEX('Test catalog'!$O$2:$O$200,MATCH($AB263,'Test catalog'!$A$2:$A$200,0))="","",INDEX('Test catalog'!$O$2:$O$200,MATCH($AB263,'Test catalog'!$A$2:$A$200,0))),"")</f>
        <v/>
      </c>
      <c r="AB263" s="10" t="inlineStr">
        <is>
          <t>HARD</t>
        </is>
      </c>
    </row>
    <row r="264">
      <c r="A264" s="10" t="inlineStr">
        <is>
          <t>F36</t>
        </is>
      </c>
      <c r="B264" s="10" t="inlineStr">
        <is>
          <t>FP</t>
        </is>
      </c>
      <c r="C264" s="10" t="inlineStr">
        <is>
          <t>Ca+k+D3  |  Calcium Carbonate, Vitamin D3 (+1 more)</t>
        </is>
      </c>
      <c r="D264" s="10" t="inlineStr">
        <is>
          <t>Brittleness</t>
        </is>
      </c>
      <c r="E264" s="10">
        <f>IF(A264="","",A264&amp;"|"&amp;D264)</f>
        <v/>
      </c>
      <c r="F264" s="5" t="inlineStr">
        <is>
          <t>Y</t>
        </is>
      </c>
      <c r="G264" s="5" t="inlineStr">
        <is>
          <t>Other / bench</t>
        </is>
      </c>
      <c r="H264" s="5" t="inlineStr">
        <is>
          <t>Low</t>
        </is>
      </c>
      <c r="I264" s="5" t="n">
        <v>1</v>
      </c>
      <c r="J264" s="5" t="n"/>
      <c r="K264" s="10">
        <f>IFERROR(IF(INDEX('Test catalog'!$F$2:$F$200,MATCH($AB264,'Test catalog'!$A$2:$A$200,0))="","",INDEX('Test catalog'!$F$2:$F$200,MATCH($AB264,'Test catalog'!$A$2:$A$200,0))),"")</f>
        <v/>
      </c>
      <c r="L264" s="10">
        <f>IFERROR(IF(INDEX('Test catalog'!$G$2:$G$200,MATCH($AB264,'Test catalog'!$A$2:$A$200,0))="","",INDEX('Test catalog'!$G$2:$G$200,MATCH($AB264,'Test catalog'!$A$2:$A$200,0))),"")</f>
        <v/>
      </c>
      <c r="M264" s="10">
        <f>IFERROR(IF(INDEX('Test catalog'!$H$2:$H$200,MATCH($AB264,'Test catalog'!$A$2:$A$200,0))="","",INDEX('Test catalog'!$H$2:$H$200,MATCH($AB264,'Test catalog'!$A$2:$A$200,0))),"")</f>
        <v/>
      </c>
      <c r="N264" s="10">
        <f>IFERROR(IF(INDEX('Test catalog'!$I$2:$I$200,MATCH($AB264,'Test catalog'!$A$2:$A$200,0))="","",INDEX('Test catalog'!$I$2:$I$200,MATCH($AB264,'Test catalog'!$A$2:$A$200,0))),"")</f>
        <v/>
      </c>
      <c r="O264" s="10">
        <f>IFERROR(IF(INDEX('Test catalog'!$J$2:$J$200,MATCH($AB264,'Test catalog'!$A$2:$A$200,0))="","",INDEX('Test catalog'!$J$2:$J$200,MATCH($AB264,'Test catalog'!$A$2:$A$200,0))),"")</f>
        <v/>
      </c>
      <c r="P264" s="14">
        <f>IF(N264="","",IF(OR(M264="",O264=""),N264,(M264+4*N264+O264)/6))</f>
        <v/>
      </c>
      <c r="Q264" s="10">
        <f>IFERROR(IF(INDEX('Test catalog'!$K$2:$K$200,MATCH($AB264,'Test catalog'!$A$2:$A$200,0))="","",INDEX('Test catalog'!$K$2:$K$200,MATCH($AB264,'Test catalog'!$A$2:$A$200,0))),"")</f>
        <v/>
      </c>
      <c r="R264" s="5" t="n"/>
      <c r="S264" s="10">
        <f>IFERROR(IF(INDEX('Test catalog'!$L$2:$L$200,MATCH($AB264,'Test catalog'!$A$2:$A$200,0))="","",INDEX('Test catalog'!$L$2:$L$200,MATCH($AB264,'Test catalog'!$A$2:$A$200,0))),"")</f>
        <v/>
      </c>
      <c r="T264" s="10">
        <f>IFERROR(IF(INDEX('Test catalog'!$M$2:$M$200,MATCH($AB264,'Test catalog'!$A$2:$A$200,0))="","",INDEX('Test catalog'!$M$2:$M$200,MATCH($AB264,'Test catalog'!$A$2:$A$200,0))),"")</f>
        <v/>
      </c>
      <c r="U264" s="10">
        <f>IFERROR(IF(INDEX('Test catalog'!$N$2:$N$200,MATCH($AB264,'Test catalog'!$A$2:$A$200,0))="","",INDEX('Test catalog'!$N$2:$N$200,MATCH($AB264,'Test catalog'!$A$2:$A$200,0))),"")</f>
        <v/>
      </c>
      <c r="V264" s="15" t="n"/>
      <c r="W264" s="5" t="inlineStr">
        <is>
          <t>N</t>
        </is>
      </c>
      <c r="X264" s="5" t="n"/>
      <c r="Y264" s="5" t="n"/>
      <c r="Z264" s="5" t="n"/>
      <c r="AA264" s="10">
        <f>IFERROR(IF(INDEX('Test catalog'!$O$2:$O$200,MATCH($AB264,'Test catalog'!$A$2:$A$200,0))="","",INDEX('Test catalog'!$O$2:$O$200,MATCH($AB264,'Test catalog'!$A$2:$A$200,0))),"")</f>
        <v/>
      </c>
      <c r="AB264" s="10" t="inlineStr">
        <is>
          <t>BRITTLE</t>
        </is>
      </c>
    </row>
    <row r="265">
      <c r="A265" s="10" t="inlineStr">
        <is>
          <t>F36</t>
        </is>
      </c>
      <c r="B265" s="10" t="inlineStr">
        <is>
          <t>FP</t>
        </is>
      </c>
      <c r="C265" s="10" t="inlineStr">
        <is>
          <t>Ca+k+D3  |  Calcium Carbonate, Vitamin D3 (+1 more)</t>
        </is>
      </c>
      <c r="D265" s="10" t="inlineStr">
        <is>
          <t>Friability</t>
        </is>
      </c>
      <c r="E265" s="10">
        <f>IF(A265="","",A265&amp;"|"&amp;D265)</f>
        <v/>
      </c>
      <c r="F265" s="5" t="inlineStr">
        <is>
          <t>Y</t>
        </is>
      </c>
      <c r="G265" s="5" t="inlineStr">
        <is>
          <t>Friabilator</t>
        </is>
      </c>
      <c r="H265" s="5" t="inlineStr">
        <is>
          <t>Low</t>
        </is>
      </c>
      <c r="I265" s="5" t="n">
        <v>1</v>
      </c>
      <c r="J265" s="5" t="n"/>
      <c r="K265" s="10">
        <f>IFERROR(IF(INDEX('Test catalog'!$F$2:$F$200,MATCH($AB265,'Test catalog'!$A$2:$A$200,0))="","",INDEX('Test catalog'!$F$2:$F$200,MATCH($AB265,'Test catalog'!$A$2:$A$200,0))),"")</f>
        <v/>
      </c>
      <c r="L265" s="10">
        <f>IFERROR(IF(INDEX('Test catalog'!$G$2:$G$200,MATCH($AB265,'Test catalog'!$A$2:$A$200,0))="","",INDEX('Test catalog'!$G$2:$G$200,MATCH($AB265,'Test catalog'!$A$2:$A$200,0))),"")</f>
        <v/>
      </c>
      <c r="M265" s="10">
        <f>IFERROR(IF(INDEX('Test catalog'!$H$2:$H$200,MATCH($AB265,'Test catalog'!$A$2:$A$200,0))="","",INDEX('Test catalog'!$H$2:$H$200,MATCH($AB265,'Test catalog'!$A$2:$A$200,0))),"")</f>
        <v/>
      </c>
      <c r="N265" s="10">
        <f>IFERROR(IF(INDEX('Test catalog'!$I$2:$I$200,MATCH($AB265,'Test catalog'!$A$2:$A$200,0))="","",INDEX('Test catalog'!$I$2:$I$200,MATCH($AB265,'Test catalog'!$A$2:$A$200,0))),"")</f>
        <v/>
      </c>
      <c r="O265" s="10">
        <f>IFERROR(IF(INDEX('Test catalog'!$J$2:$J$200,MATCH($AB265,'Test catalog'!$A$2:$A$200,0))="","",INDEX('Test catalog'!$J$2:$J$200,MATCH($AB265,'Test catalog'!$A$2:$A$200,0))),"")</f>
        <v/>
      </c>
      <c r="P265" s="14">
        <f>IF(N265="","",IF(OR(M265="",O265=""),N265,(M265+4*N265+O265)/6))</f>
        <v/>
      </c>
      <c r="Q265" s="10">
        <f>IFERROR(IF(INDEX('Test catalog'!$K$2:$K$200,MATCH($AB265,'Test catalog'!$A$2:$A$200,0))="","",INDEX('Test catalog'!$K$2:$K$200,MATCH($AB265,'Test catalog'!$A$2:$A$200,0))),"")</f>
        <v/>
      </c>
      <c r="R265" s="5" t="n"/>
      <c r="S265" s="10">
        <f>IFERROR(IF(INDEX('Test catalog'!$L$2:$L$200,MATCH($AB265,'Test catalog'!$A$2:$A$200,0))="","",INDEX('Test catalog'!$L$2:$L$200,MATCH($AB265,'Test catalog'!$A$2:$A$200,0))),"")</f>
        <v/>
      </c>
      <c r="T265" s="10">
        <f>IFERROR(IF(INDEX('Test catalog'!$M$2:$M$200,MATCH($AB265,'Test catalog'!$A$2:$A$200,0))="","",INDEX('Test catalog'!$M$2:$M$200,MATCH($AB265,'Test catalog'!$A$2:$A$200,0))),"")</f>
        <v/>
      </c>
      <c r="U265" s="10">
        <f>IFERROR(IF(INDEX('Test catalog'!$N$2:$N$200,MATCH($AB265,'Test catalog'!$A$2:$A$200,0))="","",INDEX('Test catalog'!$N$2:$N$200,MATCH($AB265,'Test catalog'!$A$2:$A$200,0))),"")</f>
        <v/>
      </c>
      <c r="V265" s="15" t="n"/>
      <c r="W265" s="5" t="inlineStr">
        <is>
          <t>N</t>
        </is>
      </c>
      <c r="X265" s="5" t="n"/>
      <c r="Y265" s="5" t="n"/>
      <c r="Z265" s="5" t="n"/>
      <c r="AA265" s="10">
        <f>IFERROR(IF(INDEX('Test catalog'!$O$2:$O$200,MATCH($AB265,'Test catalog'!$A$2:$A$200,0))="","",INDEX('Test catalog'!$O$2:$O$200,MATCH($AB265,'Test catalog'!$A$2:$A$200,0))),"")</f>
        <v/>
      </c>
      <c r="AB265" s="10" t="inlineStr">
        <is>
          <t>FRIAB</t>
        </is>
      </c>
    </row>
    <row r="266">
      <c r="A266" s="10" t="inlineStr">
        <is>
          <t>F36</t>
        </is>
      </c>
      <c r="B266" s="10" t="inlineStr">
        <is>
          <t>FP</t>
        </is>
      </c>
      <c r="C266" s="10" t="inlineStr">
        <is>
          <t>Ca+k+D3  |  Calcium Carbonate, Vitamin D3 (+1 more)</t>
        </is>
      </c>
      <c r="D266" s="10" t="inlineStr">
        <is>
          <t>Disintegration</t>
        </is>
      </c>
      <c r="E266" s="10">
        <f>IF(A266="","",A266&amp;"|"&amp;D266)</f>
        <v/>
      </c>
      <c r="F266" s="5" t="inlineStr">
        <is>
          <t>Y</t>
        </is>
      </c>
      <c r="G266" s="5" t="inlineStr">
        <is>
          <t>Disintegration tester</t>
        </is>
      </c>
      <c r="H266" s="5" t="inlineStr">
        <is>
          <t>Low</t>
        </is>
      </c>
      <c r="I266" s="5" t="n">
        <v>1</v>
      </c>
      <c r="J266" s="5" t="n"/>
      <c r="K266" s="10">
        <f>IFERROR(IF(INDEX('Test catalog'!$F$2:$F$200,MATCH($AB266,'Test catalog'!$A$2:$A$200,0))="","",INDEX('Test catalog'!$F$2:$F$200,MATCH($AB266,'Test catalog'!$A$2:$A$200,0))),"")</f>
        <v/>
      </c>
      <c r="L266" s="10">
        <f>IFERROR(IF(INDEX('Test catalog'!$G$2:$G$200,MATCH($AB266,'Test catalog'!$A$2:$A$200,0))="","",INDEX('Test catalog'!$G$2:$G$200,MATCH($AB266,'Test catalog'!$A$2:$A$200,0))),"")</f>
        <v/>
      </c>
      <c r="M266" s="10">
        <f>IFERROR(IF(INDEX('Test catalog'!$H$2:$H$200,MATCH($AB266,'Test catalog'!$A$2:$A$200,0))="","",INDEX('Test catalog'!$H$2:$H$200,MATCH($AB266,'Test catalog'!$A$2:$A$200,0))),"")</f>
        <v/>
      </c>
      <c r="N266" s="10">
        <f>IFERROR(IF(INDEX('Test catalog'!$I$2:$I$200,MATCH($AB266,'Test catalog'!$A$2:$A$200,0))="","",INDEX('Test catalog'!$I$2:$I$200,MATCH($AB266,'Test catalog'!$A$2:$A$200,0))),"")</f>
        <v/>
      </c>
      <c r="O266" s="10">
        <f>IFERROR(IF(INDEX('Test catalog'!$J$2:$J$200,MATCH($AB266,'Test catalog'!$A$2:$A$200,0))="","",INDEX('Test catalog'!$J$2:$J$200,MATCH($AB266,'Test catalog'!$A$2:$A$200,0))),"")</f>
        <v/>
      </c>
      <c r="P266" s="14">
        <f>IF(N266="","",IF(OR(M266="",O266=""),N266,(M266+4*N266+O266)/6))</f>
        <v/>
      </c>
      <c r="Q266" s="10">
        <f>IFERROR(IF(INDEX('Test catalog'!$K$2:$K$200,MATCH($AB266,'Test catalog'!$A$2:$A$200,0))="","",INDEX('Test catalog'!$K$2:$K$200,MATCH($AB266,'Test catalog'!$A$2:$A$200,0))),"")</f>
        <v/>
      </c>
      <c r="R266" s="5" t="n"/>
      <c r="S266" s="10">
        <f>IFERROR(IF(INDEX('Test catalog'!$L$2:$L$200,MATCH($AB266,'Test catalog'!$A$2:$A$200,0))="","",INDEX('Test catalog'!$L$2:$L$200,MATCH($AB266,'Test catalog'!$A$2:$A$200,0))),"")</f>
        <v/>
      </c>
      <c r="T266" s="10">
        <f>IFERROR(IF(INDEX('Test catalog'!$M$2:$M$200,MATCH($AB266,'Test catalog'!$A$2:$A$200,0))="","",INDEX('Test catalog'!$M$2:$M$200,MATCH($AB266,'Test catalog'!$A$2:$A$200,0))),"")</f>
        <v/>
      </c>
      <c r="U266" s="10">
        <f>IFERROR(IF(INDEX('Test catalog'!$N$2:$N$200,MATCH($AB266,'Test catalog'!$A$2:$A$200,0))="","",INDEX('Test catalog'!$N$2:$N$200,MATCH($AB266,'Test catalog'!$A$2:$A$200,0))),"")</f>
        <v/>
      </c>
      <c r="V266" s="15" t="n"/>
      <c r="W266" s="5" t="inlineStr">
        <is>
          <t>Y</t>
        </is>
      </c>
      <c r="X266" s="5" t="n"/>
      <c r="Y266" s="5" t="n"/>
      <c r="Z266" s="5" t="n"/>
      <c r="AA266" s="10">
        <f>IFERROR(IF(INDEX('Test catalog'!$O$2:$O$200,MATCH($AB266,'Test catalog'!$A$2:$A$200,0))="","",INDEX('Test catalog'!$O$2:$O$200,MATCH($AB266,'Test catalog'!$A$2:$A$200,0))),"")</f>
        <v/>
      </c>
      <c r="AB266" s="10" t="inlineStr">
        <is>
          <t>DISINT</t>
        </is>
      </c>
    </row>
    <row r="267">
      <c r="A267" s="10" t="inlineStr">
        <is>
          <t>F36</t>
        </is>
      </c>
      <c r="B267" s="10" t="inlineStr">
        <is>
          <t>FP</t>
        </is>
      </c>
      <c r="C267" s="10" t="inlineStr">
        <is>
          <t>Ca+k+D3  |  Calcium Carbonate, Vitamin D3 (+1 more)</t>
        </is>
      </c>
      <c r="D267" s="10" t="inlineStr">
        <is>
          <t>In-process check at the machine (one check, all its tests)</t>
        </is>
      </c>
      <c r="E267" s="10">
        <f>IF(A267="","",A267&amp;"|"&amp;D267)</f>
        <v/>
      </c>
      <c r="F267" s="5" t="inlineStr">
        <is>
          <t>Y</t>
        </is>
      </c>
      <c r="G267" s="5" t="inlineStr">
        <is>
          <t>Tablet tester</t>
        </is>
      </c>
      <c r="H267" s="5" t="inlineStr">
        <is>
          <t>Low</t>
        </is>
      </c>
      <c r="I267" s="5" t="n">
        <v>1</v>
      </c>
      <c r="J267" s="5" t="n"/>
      <c r="K267" s="10">
        <f>IFERROR(IF(INDEX('Test catalog'!$F$2:$F$200,MATCH($AB267,'Test catalog'!$A$2:$A$200,0))="","",INDEX('Test catalog'!$F$2:$F$200,MATCH($AB267,'Test catalog'!$A$2:$A$200,0))),"")</f>
        <v/>
      </c>
      <c r="L267" s="10">
        <f>IFERROR(IF(INDEX('Test catalog'!$G$2:$G$200,MATCH($AB267,'Test catalog'!$A$2:$A$200,0))="","",INDEX('Test catalog'!$G$2:$G$200,MATCH($AB267,'Test catalog'!$A$2:$A$200,0))),"")</f>
        <v/>
      </c>
      <c r="M267" s="10">
        <f>IFERROR(IF(INDEX('Test catalog'!$H$2:$H$200,MATCH($AB267,'Test catalog'!$A$2:$A$200,0))="","",INDEX('Test catalog'!$H$2:$H$200,MATCH($AB267,'Test catalog'!$A$2:$A$200,0))),"")</f>
        <v/>
      </c>
      <c r="N267" s="10">
        <f>IFERROR(IF(INDEX('Test catalog'!$I$2:$I$200,MATCH($AB267,'Test catalog'!$A$2:$A$200,0))="","",INDEX('Test catalog'!$I$2:$I$200,MATCH($AB267,'Test catalog'!$A$2:$A$200,0))),"")</f>
        <v/>
      </c>
      <c r="O267" s="10">
        <f>IFERROR(IF(INDEX('Test catalog'!$J$2:$J$200,MATCH($AB267,'Test catalog'!$A$2:$A$200,0))="","",INDEX('Test catalog'!$J$2:$J$200,MATCH($AB267,'Test catalog'!$A$2:$A$200,0))),"")</f>
        <v/>
      </c>
      <c r="P267" s="14">
        <f>IF(N267="","",IF(OR(M267="",O267=""),N267,(M267+4*N267+O267)/6))</f>
        <v/>
      </c>
      <c r="Q267" s="10">
        <f>IFERROR(IF(INDEX('Test catalog'!$K$2:$K$200,MATCH($AB267,'Test catalog'!$A$2:$A$200,0))="","",INDEX('Test catalog'!$K$2:$K$200,MATCH($AB267,'Test catalog'!$A$2:$A$200,0))),"")</f>
        <v/>
      </c>
      <c r="R267" s="5" t="n"/>
      <c r="S267" s="10">
        <f>IFERROR(IF(INDEX('Test catalog'!$L$2:$L$200,MATCH($AB267,'Test catalog'!$A$2:$A$200,0))="","",INDEX('Test catalog'!$L$2:$L$200,MATCH($AB267,'Test catalog'!$A$2:$A$200,0))),"")</f>
        <v/>
      </c>
      <c r="T267" s="10">
        <f>IFERROR(IF(INDEX('Test catalog'!$M$2:$M$200,MATCH($AB267,'Test catalog'!$A$2:$A$200,0))="","",INDEX('Test catalog'!$M$2:$M$200,MATCH($AB267,'Test catalog'!$A$2:$A$200,0))),"")</f>
        <v/>
      </c>
      <c r="U267" s="10">
        <f>IFERROR(IF(INDEX('Test catalog'!$N$2:$N$200,MATCH($AB267,'Test catalog'!$A$2:$A$200,0))="","",INDEX('Test catalog'!$N$2:$N$200,MATCH($AB267,'Test catalog'!$A$2:$A$200,0))),"")</f>
        <v/>
      </c>
      <c r="V267" s="15" t="n"/>
      <c r="W267" s="5" t="inlineStr">
        <is>
          <t>N</t>
        </is>
      </c>
      <c r="X267" s="5" t="n"/>
      <c r="Y267" s="5" t="n"/>
      <c r="Z267" s="5" t="n"/>
      <c r="AA267" s="10">
        <f>IFERROR(IF(INDEX('Test catalog'!$O$2:$O$200,MATCH($AB267,'Test catalog'!$A$2:$A$200,0))="","",INDEX('Test catalog'!$O$2:$O$200,MATCH($AB267,'Test catalog'!$A$2:$A$200,0))),"")</f>
        <v/>
      </c>
      <c r="AB267" s="10" t="inlineStr">
        <is>
          <t>IPC</t>
        </is>
      </c>
    </row>
    <row r="268">
      <c r="A268" s="10" t="inlineStr">
        <is>
          <t>F37</t>
        </is>
      </c>
      <c r="B268" s="10" t="inlineStr">
        <is>
          <t>FP</t>
        </is>
      </c>
      <c r="C268" s="10" t="inlineStr">
        <is>
          <t>Zinc+Vitamin C  |  actives TBD: Zinc+Vitamin C</t>
        </is>
      </c>
      <c r="D268" s="10" t="inlineStr">
        <is>
          <t>Average weight / uniformity of mass</t>
        </is>
      </c>
      <c r="E268" s="10">
        <f>IF(A268="","",A268&amp;"|"&amp;D268)</f>
        <v/>
      </c>
      <c r="F268" s="5" t="inlineStr">
        <is>
          <t>Y</t>
        </is>
      </c>
      <c r="G268" s="5" t="inlineStr">
        <is>
          <t>Balance</t>
        </is>
      </c>
      <c r="H268" s="5" t="inlineStr">
        <is>
          <t>Low</t>
        </is>
      </c>
      <c r="I268" s="5" t="n">
        <v>1</v>
      </c>
      <c r="J268" s="5" t="n"/>
      <c r="K268" s="10">
        <f>IFERROR(IF(INDEX('Test catalog'!$F$2:$F$200,MATCH($AB268,'Test catalog'!$A$2:$A$200,0))="","",INDEX('Test catalog'!$F$2:$F$200,MATCH($AB268,'Test catalog'!$A$2:$A$200,0))),"")</f>
        <v/>
      </c>
      <c r="L268" s="10">
        <f>IFERROR(IF(INDEX('Test catalog'!$G$2:$G$200,MATCH($AB268,'Test catalog'!$A$2:$A$200,0))="","",INDEX('Test catalog'!$G$2:$G$200,MATCH($AB268,'Test catalog'!$A$2:$A$200,0))),"")</f>
        <v/>
      </c>
      <c r="M268" s="10">
        <f>IFERROR(IF(INDEX('Test catalog'!$H$2:$H$200,MATCH($AB268,'Test catalog'!$A$2:$A$200,0))="","",INDEX('Test catalog'!$H$2:$H$200,MATCH($AB268,'Test catalog'!$A$2:$A$200,0))),"")</f>
        <v/>
      </c>
      <c r="N268" s="10">
        <f>IFERROR(IF(INDEX('Test catalog'!$I$2:$I$200,MATCH($AB268,'Test catalog'!$A$2:$A$200,0))="","",INDEX('Test catalog'!$I$2:$I$200,MATCH($AB268,'Test catalog'!$A$2:$A$200,0))),"")</f>
        <v/>
      </c>
      <c r="O268" s="10">
        <f>IFERROR(IF(INDEX('Test catalog'!$J$2:$J$200,MATCH($AB268,'Test catalog'!$A$2:$A$200,0))="","",INDEX('Test catalog'!$J$2:$J$200,MATCH($AB268,'Test catalog'!$A$2:$A$200,0))),"")</f>
        <v/>
      </c>
      <c r="P268" s="14">
        <f>IF(N268="","",IF(OR(M268="",O268=""),N268,(M268+4*N268+O268)/6))</f>
        <v/>
      </c>
      <c r="Q268" s="10">
        <f>IFERROR(IF(INDEX('Test catalog'!$K$2:$K$200,MATCH($AB268,'Test catalog'!$A$2:$A$200,0))="","",INDEX('Test catalog'!$K$2:$K$200,MATCH($AB268,'Test catalog'!$A$2:$A$200,0))),"")</f>
        <v/>
      </c>
      <c r="R268" s="5" t="n"/>
      <c r="S268" s="10">
        <f>IFERROR(IF(INDEX('Test catalog'!$L$2:$L$200,MATCH($AB268,'Test catalog'!$A$2:$A$200,0))="","",INDEX('Test catalog'!$L$2:$L$200,MATCH($AB268,'Test catalog'!$A$2:$A$200,0))),"")</f>
        <v/>
      </c>
      <c r="T268" s="10">
        <f>IFERROR(IF(INDEX('Test catalog'!$M$2:$M$200,MATCH($AB268,'Test catalog'!$A$2:$A$200,0))="","",INDEX('Test catalog'!$M$2:$M$200,MATCH($AB268,'Test catalog'!$A$2:$A$200,0))),"")</f>
        <v/>
      </c>
      <c r="U268" s="10">
        <f>IFERROR(IF(INDEX('Test catalog'!$N$2:$N$200,MATCH($AB268,'Test catalog'!$A$2:$A$200,0))="","",INDEX('Test catalog'!$N$2:$N$200,MATCH($AB268,'Test catalog'!$A$2:$A$200,0))),"")</f>
        <v/>
      </c>
      <c r="V268" s="15" t="n"/>
      <c r="W268" s="5" t="inlineStr">
        <is>
          <t>N</t>
        </is>
      </c>
      <c r="X268" s="5" t="n"/>
      <c r="Y268" s="5" t="n"/>
      <c r="Z268" s="5" t="inlineStr">
        <is>
          <t>Actives not on record – confirm tests</t>
        </is>
      </c>
      <c r="AA268" s="10">
        <f>IFERROR(IF(INDEX('Test catalog'!$O$2:$O$200,MATCH($AB268,'Test catalog'!$A$2:$A$200,0))="","",INDEX('Test catalog'!$O$2:$O$200,MATCH($AB268,'Test catalog'!$A$2:$A$200,0))),"")</f>
        <v/>
      </c>
      <c r="AB268" s="10" t="inlineStr">
        <is>
          <t>AVG_WT</t>
        </is>
      </c>
    </row>
    <row r="269">
      <c r="A269" s="10" t="inlineStr">
        <is>
          <t>F37</t>
        </is>
      </c>
      <c r="B269" s="10" t="inlineStr">
        <is>
          <t>FP</t>
        </is>
      </c>
      <c r="C269" s="10" t="inlineStr">
        <is>
          <t>Zinc+Vitamin C  |  actives TBD: Zinc+Vitamin C</t>
        </is>
      </c>
      <c r="D269" s="10" t="inlineStr">
        <is>
          <t>Diameter (or length / width)</t>
        </is>
      </c>
      <c r="E269" s="10">
        <f>IF(A269="","",A269&amp;"|"&amp;D269)</f>
        <v/>
      </c>
      <c r="F269" s="5" t="inlineStr">
        <is>
          <t>Y</t>
        </is>
      </c>
      <c r="G269" s="5" t="inlineStr">
        <is>
          <t>Tablet tester</t>
        </is>
      </c>
      <c r="H269" s="5" t="inlineStr">
        <is>
          <t>Low</t>
        </is>
      </c>
      <c r="I269" s="5" t="n">
        <v>1</v>
      </c>
      <c r="J269" s="5" t="n"/>
      <c r="K269" s="10">
        <f>IFERROR(IF(INDEX('Test catalog'!$F$2:$F$200,MATCH($AB269,'Test catalog'!$A$2:$A$200,0))="","",INDEX('Test catalog'!$F$2:$F$200,MATCH($AB269,'Test catalog'!$A$2:$A$200,0))),"")</f>
        <v/>
      </c>
      <c r="L269" s="10">
        <f>IFERROR(IF(INDEX('Test catalog'!$G$2:$G$200,MATCH($AB269,'Test catalog'!$A$2:$A$200,0))="","",INDEX('Test catalog'!$G$2:$G$200,MATCH($AB269,'Test catalog'!$A$2:$A$200,0))),"")</f>
        <v/>
      </c>
      <c r="M269" s="10">
        <f>IFERROR(IF(INDEX('Test catalog'!$H$2:$H$200,MATCH($AB269,'Test catalog'!$A$2:$A$200,0))="","",INDEX('Test catalog'!$H$2:$H$200,MATCH($AB269,'Test catalog'!$A$2:$A$200,0))),"")</f>
        <v/>
      </c>
      <c r="N269" s="10">
        <f>IFERROR(IF(INDEX('Test catalog'!$I$2:$I$200,MATCH($AB269,'Test catalog'!$A$2:$A$200,0))="","",INDEX('Test catalog'!$I$2:$I$200,MATCH($AB269,'Test catalog'!$A$2:$A$200,0))),"")</f>
        <v/>
      </c>
      <c r="O269" s="10">
        <f>IFERROR(IF(INDEX('Test catalog'!$J$2:$J$200,MATCH($AB269,'Test catalog'!$A$2:$A$200,0))="","",INDEX('Test catalog'!$J$2:$J$200,MATCH($AB269,'Test catalog'!$A$2:$A$200,0))),"")</f>
        <v/>
      </c>
      <c r="P269" s="14">
        <f>IF(N269="","",IF(OR(M269="",O269=""),N269,(M269+4*N269+O269)/6))</f>
        <v/>
      </c>
      <c r="Q269" s="10">
        <f>IFERROR(IF(INDEX('Test catalog'!$K$2:$K$200,MATCH($AB269,'Test catalog'!$A$2:$A$200,0))="","",INDEX('Test catalog'!$K$2:$K$200,MATCH($AB269,'Test catalog'!$A$2:$A$200,0))),"")</f>
        <v/>
      </c>
      <c r="R269" s="5" t="n"/>
      <c r="S269" s="10">
        <f>IFERROR(IF(INDEX('Test catalog'!$L$2:$L$200,MATCH($AB269,'Test catalog'!$A$2:$A$200,0))="","",INDEX('Test catalog'!$L$2:$L$200,MATCH($AB269,'Test catalog'!$A$2:$A$200,0))),"")</f>
        <v/>
      </c>
      <c r="T269" s="10">
        <f>IFERROR(IF(INDEX('Test catalog'!$M$2:$M$200,MATCH($AB269,'Test catalog'!$A$2:$A$200,0))="","",INDEX('Test catalog'!$M$2:$M$200,MATCH($AB269,'Test catalog'!$A$2:$A$200,0))),"")</f>
        <v/>
      </c>
      <c r="U269" s="10">
        <f>IFERROR(IF(INDEX('Test catalog'!$N$2:$N$200,MATCH($AB269,'Test catalog'!$A$2:$A$200,0))="","",INDEX('Test catalog'!$N$2:$N$200,MATCH($AB269,'Test catalog'!$A$2:$A$200,0))),"")</f>
        <v/>
      </c>
      <c r="V269" s="15" t="n"/>
      <c r="W269" s="5" t="inlineStr">
        <is>
          <t>N</t>
        </is>
      </c>
      <c r="X269" s="5" t="n"/>
      <c r="Y269" s="5" t="n"/>
      <c r="Z269" s="5" t="inlineStr">
        <is>
          <t>Actives not on record – confirm tests</t>
        </is>
      </c>
      <c r="AA269" s="10">
        <f>IFERROR(IF(INDEX('Test catalog'!$O$2:$O$200,MATCH($AB269,'Test catalog'!$A$2:$A$200,0))="","",INDEX('Test catalog'!$O$2:$O$200,MATCH($AB269,'Test catalog'!$A$2:$A$200,0))),"")</f>
        <v/>
      </c>
      <c r="AB269" s="10" t="inlineStr">
        <is>
          <t>DIAM</t>
        </is>
      </c>
    </row>
    <row r="270">
      <c r="A270" s="10" t="inlineStr">
        <is>
          <t>F37</t>
        </is>
      </c>
      <c r="B270" s="10" t="inlineStr">
        <is>
          <t>FP</t>
        </is>
      </c>
      <c r="C270" s="10" t="inlineStr">
        <is>
          <t>Zinc+Vitamin C  |  actives TBD: Zinc+Vitamin C</t>
        </is>
      </c>
      <c r="D270" s="10" t="inlineStr">
        <is>
          <t>Thickness</t>
        </is>
      </c>
      <c r="E270" s="10">
        <f>IF(A270="","",A270&amp;"|"&amp;D270)</f>
        <v/>
      </c>
      <c r="F270" s="5" t="inlineStr">
        <is>
          <t>Y</t>
        </is>
      </c>
      <c r="G270" s="5" t="inlineStr">
        <is>
          <t>Tablet tester</t>
        </is>
      </c>
      <c r="H270" s="5" t="inlineStr">
        <is>
          <t>Low</t>
        </is>
      </c>
      <c r="I270" s="5" t="n">
        <v>1</v>
      </c>
      <c r="J270" s="5" t="n"/>
      <c r="K270" s="10">
        <f>IFERROR(IF(INDEX('Test catalog'!$F$2:$F$200,MATCH($AB270,'Test catalog'!$A$2:$A$200,0))="","",INDEX('Test catalog'!$F$2:$F$200,MATCH($AB270,'Test catalog'!$A$2:$A$200,0))),"")</f>
        <v/>
      </c>
      <c r="L270" s="10">
        <f>IFERROR(IF(INDEX('Test catalog'!$G$2:$G$200,MATCH($AB270,'Test catalog'!$A$2:$A$200,0))="","",INDEX('Test catalog'!$G$2:$G$200,MATCH($AB270,'Test catalog'!$A$2:$A$200,0))),"")</f>
        <v/>
      </c>
      <c r="M270" s="10">
        <f>IFERROR(IF(INDEX('Test catalog'!$H$2:$H$200,MATCH($AB270,'Test catalog'!$A$2:$A$200,0))="","",INDEX('Test catalog'!$H$2:$H$200,MATCH($AB270,'Test catalog'!$A$2:$A$200,0))),"")</f>
        <v/>
      </c>
      <c r="N270" s="10">
        <f>IFERROR(IF(INDEX('Test catalog'!$I$2:$I$200,MATCH($AB270,'Test catalog'!$A$2:$A$200,0))="","",INDEX('Test catalog'!$I$2:$I$200,MATCH($AB270,'Test catalog'!$A$2:$A$200,0))),"")</f>
        <v/>
      </c>
      <c r="O270" s="10">
        <f>IFERROR(IF(INDEX('Test catalog'!$J$2:$J$200,MATCH($AB270,'Test catalog'!$A$2:$A$200,0))="","",INDEX('Test catalog'!$J$2:$J$200,MATCH($AB270,'Test catalog'!$A$2:$A$200,0))),"")</f>
        <v/>
      </c>
      <c r="P270" s="14">
        <f>IF(N270="","",IF(OR(M270="",O270=""),N270,(M270+4*N270+O270)/6))</f>
        <v/>
      </c>
      <c r="Q270" s="10">
        <f>IFERROR(IF(INDEX('Test catalog'!$K$2:$K$200,MATCH($AB270,'Test catalog'!$A$2:$A$200,0))="","",INDEX('Test catalog'!$K$2:$K$200,MATCH($AB270,'Test catalog'!$A$2:$A$200,0))),"")</f>
        <v/>
      </c>
      <c r="R270" s="5" t="n"/>
      <c r="S270" s="10">
        <f>IFERROR(IF(INDEX('Test catalog'!$L$2:$L$200,MATCH($AB270,'Test catalog'!$A$2:$A$200,0))="","",INDEX('Test catalog'!$L$2:$L$200,MATCH($AB270,'Test catalog'!$A$2:$A$200,0))),"")</f>
        <v/>
      </c>
      <c r="T270" s="10">
        <f>IFERROR(IF(INDEX('Test catalog'!$M$2:$M$200,MATCH($AB270,'Test catalog'!$A$2:$A$200,0))="","",INDEX('Test catalog'!$M$2:$M$200,MATCH($AB270,'Test catalog'!$A$2:$A$200,0))),"")</f>
        <v/>
      </c>
      <c r="U270" s="10">
        <f>IFERROR(IF(INDEX('Test catalog'!$N$2:$N$200,MATCH($AB270,'Test catalog'!$A$2:$A$200,0))="","",INDEX('Test catalog'!$N$2:$N$200,MATCH($AB270,'Test catalog'!$A$2:$A$200,0))),"")</f>
        <v/>
      </c>
      <c r="V270" s="15" t="n"/>
      <c r="W270" s="5" t="inlineStr">
        <is>
          <t>N</t>
        </is>
      </c>
      <c r="X270" s="5" t="n"/>
      <c r="Y270" s="5" t="n"/>
      <c r="Z270" s="5" t="inlineStr">
        <is>
          <t>Actives not on record – confirm tests</t>
        </is>
      </c>
      <c r="AA270" s="10">
        <f>IFERROR(IF(INDEX('Test catalog'!$O$2:$O$200,MATCH($AB270,'Test catalog'!$A$2:$A$200,0))="","",INDEX('Test catalog'!$O$2:$O$200,MATCH($AB270,'Test catalog'!$A$2:$A$200,0))),"")</f>
        <v/>
      </c>
      <c r="AB270" s="10" t="inlineStr">
        <is>
          <t>THICK</t>
        </is>
      </c>
    </row>
    <row r="271">
      <c r="A271" s="10" t="inlineStr">
        <is>
          <t>F37</t>
        </is>
      </c>
      <c r="B271" s="10" t="inlineStr">
        <is>
          <t>FP</t>
        </is>
      </c>
      <c r="C271" s="10" t="inlineStr">
        <is>
          <t>Zinc+Vitamin C  |  actives TBD: Zinc+Vitamin C</t>
        </is>
      </c>
      <c r="D271" s="10" t="inlineStr">
        <is>
          <t>Hardness / breaking force</t>
        </is>
      </c>
      <c r="E271" s="10">
        <f>IF(A271="","",A271&amp;"|"&amp;D271)</f>
        <v/>
      </c>
      <c r="F271" s="5" t="inlineStr">
        <is>
          <t>Y</t>
        </is>
      </c>
      <c r="G271" s="5" t="inlineStr">
        <is>
          <t>Tablet tester</t>
        </is>
      </c>
      <c r="H271" s="5" t="inlineStr">
        <is>
          <t>Low</t>
        </is>
      </c>
      <c r="I271" s="5" t="n">
        <v>1</v>
      </c>
      <c r="J271" s="5" t="n"/>
      <c r="K271" s="10">
        <f>IFERROR(IF(INDEX('Test catalog'!$F$2:$F$200,MATCH($AB271,'Test catalog'!$A$2:$A$200,0))="","",INDEX('Test catalog'!$F$2:$F$200,MATCH($AB271,'Test catalog'!$A$2:$A$200,0))),"")</f>
        <v/>
      </c>
      <c r="L271" s="10">
        <f>IFERROR(IF(INDEX('Test catalog'!$G$2:$G$200,MATCH($AB271,'Test catalog'!$A$2:$A$200,0))="","",INDEX('Test catalog'!$G$2:$G$200,MATCH($AB271,'Test catalog'!$A$2:$A$200,0))),"")</f>
        <v/>
      </c>
      <c r="M271" s="10">
        <f>IFERROR(IF(INDEX('Test catalog'!$H$2:$H$200,MATCH($AB271,'Test catalog'!$A$2:$A$200,0))="","",INDEX('Test catalog'!$H$2:$H$200,MATCH($AB271,'Test catalog'!$A$2:$A$200,0))),"")</f>
        <v/>
      </c>
      <c r="N271" s="10">
        <f>IFERROR(IF(INDEX('Test catalog'!$I$2:$I$200,MATCH($AB271,'Test catalog'!$A$2:$A$200,0))="","",INDEX('Test catalog'!$I$2:$I$200,MATCH($AB271,'Test catalog'!$A$2:$A$200,0))),"")</f>
        <v/>
      </c>
      <c r="O271" s="10">
        <f>IFERROR(IF(INDEX('Test catalog'!$J$2:$J$200,MATCH($AB271,'Test catalog'!$A$2:$A$200,0))="","",INDEX('Test catalog'!$J$2:$J$200,MATCH($AB271,'Test catalog'!$A$2:$A$200,0))),"")</f>
        <v/>
      </c>
      <c r="P271" s="14">
        <f>IF(N271="","",IF(OR(M271="",O271=""),N271,(M271+4*N271+O271)/6))</f>
        <v/>
      </c>
      <c r="Q271" s="10">
        <f>IFERROR(IF(INDEX('Test catalog'!$K$2:$K$200,MATCH($AB271,'Test catalog'!$A$2:$A$200,0))="","",INDEX('Test catalog'!$K$2:$K$200,MATCH($AB271,'Test catalog'!$A$2:$A$200,0))),"")</f>
        <v/>
      </c>
      <c r="R271" s="5" t="n"/>
      <c r="S271" s="10">
        <f>IFERROR(IF(INDEX('Test catalog'!$L$2:$L$200,MATCH($AB271,'Test catalog'!$A$2:$A$200,0))="","",INDEX('Test catalog'!$L$2:$L$200,MATCH($AB271,'Test catalog'!$A$2:$A$200,0))),"")</f>
        <v/>
      </c>
      <c r="T271" s="10">
        <f>IFERROR(IF(INDEX('Test catalog'!$M$2:$M$200,MATCH($AB271,'Test catalog'!$A$2:$A$200,0))="","",INDEX('Test catalog'!$M$2:$M$200,MATCH($AB271,'Test catalog'!$A$2:$A$200,0))),"")</f>
        <v/>
      </c>
      <c r="U271" s="10">
        <f>IFERROR(IF(INDEX('Test catalog'!$N$2:$N$200,MATCH($AB271,'Test catalog'!$A$2:$A$200,0))="","",INDEX('Test catalog'!$N$2:$N$200,MATCH($AB271,'Test catalog'!$A$2:$A$200,0))),"")</f>
        <v/>
      </c>
      <c r="V271" s="15" t="n"/>
      <c r="W271" s="5" t="inlineStr">
        <is>
          <t>Y</t>
        </is>
      </c>
      <c r="X271" s="5" t="n"/>
      <c r="Y271" s="5" t="n"/>
      <c r="Z271" s="5" t="inlineStr">
        <is>
          <t>Actives not on record – confirm tests</t>
        </is>
      </c>
      <c r="AA271" s="10">
        <f>IFERROR(IF(INDEX('Test catalog'!$O$2:$O$200,MATCH($AB271,'Test catalog'!$A$2:$A$200,0))="","",INDEX('Test catalog'!$O$2:$O$200,MATCH($AB271,'Test catalog'!$A$2:$A$200,0))),"")</f>
        <v/>
      </c>
      <c r="AB271" s="10" t="inlineStr">
        <is>
          <t>HARD</t>
        </is>
      </c>
    </row>
    <row r="272">
      <c r="A272" s="10" t="inlineStr">
        <is>
          <t>F37</t>
        </is>
      </c>
      <c r="B272" s="10" t="inlineStr">
        <is>
          <t>FP</t>
        </is>
      </c>
      <c r="C272" s="10" t="inlineStr">
        <is>
          <t>Zinc+Vitamin C  |  actives TBD: Zinc+Vitamin C</t>
        </is>
      </c>
      <c r="D272" s="10" t="inlineStr">
        <is>
          <t>Brittleness</t>
        </is>
      </c>
      <c r="E272" s="10">
        <f>IF(A272="","",A272&amp;"|"&amp;D272)</f>
        <v/>
      </c>
      <c r="F272" s="5" t="inlineStr">
        <is>
          <t>Y</t>
        </is>
      </c>
      <c r="G272" s="5" t="inlineStr">
        <is>
          <t>Other / bench</t>
        </is>
      </c>
      <c r="H272" s="5" t="inlineStr">
        <is>
          <t>Low</t>
        </is>
      </c>
      <c r="I272" s="5" t="n">
        <v>1</v>
      </c>
      <c r="J272" s="5" t="n"/>
      <c r="K272" s="10">
        <f>IFERROR(IF(INDEX('Test catalog'!$F$2:$F$200,MATCH($AB272,'Test catalog'!$A$2:$A$200,0))="","",INDEX('Test catalog'!$F$2:$F$200,MATCH($AB272,'Test catalog'!$A$2:$A$200,0))),"")</f>
        <v/>
      </c>
      <c r="L272" s="10">
        <f>IFERROR(IF(INDEX('Test catalog'!$G$2:$G$200,MATCH($AB272,'Test catalog'!$A$2:$A$200,0))="","",INDEX('Test catalog'!$G$2:$G$200,MATCH($AB272,'Test catalog'!$A$2:$A$200,0))),"")</f>
        <v/>
      </c>
      <c r="M272" s="10">
        <f>IFERROR(IF(INDEX('Test catalog'!$H$2:$H$200,MATCH($AB272,'Test catalog'!$A$2:$A$200,0))="","",INDEX('Test catalog'!$H$2:$H$200,MATCH($AB272,'Test catalog'!$A$2:$A$200,0))),"")</f>
        <v/>
      </c>
      <c r="N272" s="10">
        <f>IFERROR(IF(INDEX('Test catalog'!$I$2:$I$200,MATCH($AB272,'Test catalog'!$A$2:$A$200,0))="","",INDEX('Test catalog'!$I$2:$I$200,MATCH($AB272,'Test catalog'!$A$2:$A$200,0))),"")</f>
        <v/>
      </c>
      <c r="O272" s="10">
        <f>IFERROR(IF(INDEX('Test catalog'!$J$2:$J$200,MATCH($AB272,'Test catalog'!$A$2:$A$200,0))="","",INDEX('Test catalog'!$J$2:$J$200,MATCH($AB272,'Test catalog'!$A$2:$A$200,0))),"")</f>
        <v/>
      </c>
      <c r="P272" s="14">
        <f>IF(N272="","",IF(OR(M272="",O272=""),N272,(M272+4*N272+O272)/6))</f>
        <v/>
      </c>
      <c r="Q272" s="10">
        <f>IFERROR(IF(INDEX('Test catalog'!$K$2:$K$200,MATCH($AB272,'Test catalog'!$A$2:$A$200,0))="","",INDEX('Test catalog'!$K$2:$K$200,MATCH($AB272,'Test catalog'!$A$2:$A$200,0))),"")</f>
        <v/>
      </c>
      <c r="R272" s="5" t="n"/>
      <c r="S272" s="10">
        <f>IFERROR(IF(INDEX('Test catalog'!$L$2:$L$200,MATCH($AB272,'Test catalog'!$A$2:$A$200,0))="","",INDEX('Test catalog'!$L$2:$L$200,MATCH($AB272,'Test catalog'!$A$2:$A$200,0))),"")</f>
        <v/>
      </c>
      <c r="T272" s="10">
        <f>IFERROR(IF(INDEX('Test catalog'!$M$2:$M$200,MATCH($AB272,'Test catalog'!$A$2:$A$200,0))="","",INDEX('Test catalog'!$M$2:$M$200,MATCH($AB272,'Test catalog'!$A$2:$A$200,0))),"")</f>
        <v/>
      </c>
      <c r="U272" s="10">
        <f>IFERROR(IF(INDEX('Test catalog'!$N$2:$N$200,MATCH($AB272,'Test catalog'!$A$2:$A$200,0))="","",INDEX('Test catalog'!$N$2:$N$200,MATCH($AB272,'Test catalog'!$A$2:$A$200,0))),"")</f>
        <v/>
      </c>
      <c r="V272" s="15" t="n"/>
      <c r="W272" s="5" t="inlineStr">
        <is>
          <t>N</t>
        </is>
      </c>
      <c r="X272" s="5" t="n"/>
      <c r="Y272" s="5" t="n"/>
      <c r="Z272" s="5" t="inlineStr">
        <is>
          <t>Actives not on record – confirm tests</t>
        </is>
      </c>
      <c r="AA272" s="10">
        <f>IFERROR(IF(INDEX('Test catalog'!$O$2:$O$200,MATCH($AB272,'Test catalog'!$A$2:$A$200,0))="","",INDEX('Test catalog'!$O$2:$O$200,MATCH($AB272,'Test catalog'!$A$2:$A$200,0))),"")</f>
        <v/>
      </c>
      <c r="AB272" s="10" t="inlineStr">
        <is>
          <t>BRITTLE</t>
        </is>
      </c>
    </row>
    <row r="273">
      <c r="A273" s="10" t="inlineStr">
        <is>
          <t>F37</t>
        </is>
      </c>
      <c r="B273" s="10" t="inlineStr">
        <is>
          <t>FP</t>
        </is>
      </c>
      <c r="C273" s="10" t="inlineStr">
        <is>
          <t>Zinc+Vitamin C  |  actives TBD: Zinc+Vitamin C</t>
        </is>
      </c>
      <c r="D273" s="10" t="inlineStr">
        <is>
          <t>Friability</t>
        </is>
      </c>
      <c r="E273" s="10">
        <f>IF(A273="","",A273&amp;"|"&amp;D273)</f>
        <v/>
      </c>
      <c r="F273" s="5" t="inlineStr">
        <is>
          <t>Y</t>
        </is>
      </c>
      <c r="G273" s="5" t="inlineStr">
        <is>
          <t>Friabilator</t>
        </is>
      </c>
      <c r="H273" s="5" t="inlineStr">
        <is>
          <t>Low</t>
        </is>
      </c>
      <c r="I273" s="5" t="n">
        <v>1</v>
      </c>
      <c r="J273" s="5" t="n"/>
      <c r="K273" s="10">
        <f>IFERROR(IF(INDEX('Test catalog'!$F$2:$F$200,MATCH($AB273,'Test catalog'!$A$2:$A$200,0))="","",INDEX('Test catalog'!$F$2:$F$200,MATCH($AB273,'Test catalog'!$A$2:$A$200,0))),"")</f>
        <v/>
      </c>
      <c r="L273" s="10">
        <f>IFERROR(IF(INDEX('Test catalog'!$G$2:$G$200,MATCH($AB273,'Test catalog'!$A$2:$A$200,0))="","",INDEX('Test catalog'!$G$2:$G$200,MATCH($AB273,'Test catalog'!$A$2:$A$200,0))),"")</f>
        <v/>
      </c>
      <c r="M273" s="10">
        <f>IFERROR(IF(INDEX('Test catalog'!$H$2:$H$200,MATCH($AB273,'Test catalog'!$A$2:$A$200,0))="","",INDEX('Test catalog'!$H$2:$H$200,MATCH($AB273,'Test catalog'!$A$2:$A$200,0))),"")</f>
        <v/>
      </c>
      <c r="N273" s="10">
        <f>IFERROR(IF(INDEX('Test catalog'!$I$2:$I$200,MATCH($AB273,'Test catalog'!$A$2:$A$200,0))="","",INDEX('Test catalog'!$I$2:$I$200,MATCH($AB273,'Test catalog'!$A$2:$A$200,0))),"")</f>
        <v/>
      </c>
      <c r="O273" s="10">
        <f>IFERROR(IF(INDEX('Test catalog'!$J$2:$J$200,MATCH($AB273,'Test catalog'!$A$2:$A$200,0))="","",INDEX('Test catalog'!$J$2:$J$200,MATCH($AB273,'Test catalog'!$A$2:$A$200,0))),"")</f>
        <v/>
      </c>
      <c r="P273" s="14">
        <f>IF(N273="","",IF(OR(M273="",O273=""),N273,(M273+4*N273+O273)/6))</f>
        <v/>
      </c>
      <c r="Q273" s="10">
        <f>IFERROR(IF(INDEX('Test catalog'!$K$2:$K$200,MATCH($AB273,'Test catalog'!$A$2:$A$200,0))="","",INDEX('Test catalog'!$K$2:$K$200,MATCH($AB273,'Test catalog'!$A$2:$A$200,0))),"")</f>
        <v/>
      </c>
      <c r="R273" s="5" t="n"/>
      <c r="S273" s="10">
        <f>IFERROR(IF(INDEX('Test catalog'!$L$2:$L$200,MATCH($AB273,'Test catalog'!$A$2:$A$200,0))="","",INDEX('Test catalog'!$L$2:$L$200,MATCH($AB273,'Test catalog'!$A$2:$A$200,0))),"")</f>
        <v/>
      </c>
      <c r="T273" s="10">
        <f>IFERROR(IF(INDEX('Test catalog'!$M$2:$M$200,MATCH($AB273,'Test catalog'!$A$2:$A$200,0))="","",INDEX('Test catalog'!$M$2:$M$200,MATCH($AB273,'Test catalog'!$A$2:$A$200,0))),"")</f>
        <v/>
      </c>
      <c r="U273" s="10">
        <f>IFERROR(IF(INDEX('Test catalog'!$N$2:$N$200,MATCH($AB273,'Test catalog'!$A$2:$A$200,0))="","",INDEX('Test catalog'!$N$2:$N$200,MATCH($AB273,'Test catalog'!$A$2:$A$200,0))),"")</f>
        <v/>
      </c>
      <c r="V273" s="15" t="n"/>
      <c r="W273" s="5" t="inlineStr">
        <is>
          <t>N</t>
        </is>
      </c>
      <c r="X273" s="5" t="n"/>
      <c r="Y273" s="5" t="n"/>
      <c r="Z273" s="5" t="inlineStr">
        <is>
          <t>Actives not on record – confirm tests</t>
        </is>
      </c>
      <c r="AA273" s="10">
        <f>IFERROR(IF(INDEX('Test catalog'!$O$2:$O$200,MATCH($AB273,'Test catalog'!$A$2:$A$200,0))="","",INDEX('Test catalog'!$O$2:$O$200,MATCH($AB273,'Test catalog'!$A$2:$A$200,0))),"")</f>
        <v/>
      </c>
      <c r="AB273" s="10" t="inlineStr">
        <is>
          <t>FRIAB</t>
        </is>
      </c>
    </row>
    <row r="274">
      <c r="A274" s="10" t="inlineStr">
        <is>
          <t>F37</t>
        </is>
      </c>
      <c r="B274" s="10" t="inlineStr">
        <is>
          <t>FP</t>
        </is>
      </c>
      <c r="C274" s="10" t="inlineStr">
        <is>
          <t>Zinc+Vitamin C  |  actives TBD: Zinc+Vitamin C</t>
        </is>
      </c>
      <c r="D274" s="10" t="inlineStr">
        <is>
          <t>Disintegration</t>
        </is>
      </c>
      <c r="E274" s="10">
        <f>IF(A274="","",A274&amp;"|"&amp;D274)</f>
        <v/>
      </c>
      <c r="F274" s="5" t="inlineStr">
        <is>
          <t>Y</t>
        </is>
      </c>
      <c r="G274" s="5" t="inlineStr">
        <is>
          <t>Disintegration tester</t>
        </is>
      </c>
      <c r="H274" s="5" t="inlineStr">
        <is>
          <t>Low</t>
        </is>
      </c>
      <c r="I274" s="5" t="n">
        <v>1</v>
      </c>
      <c r="J274" s="5" t="n"/>
      <c r="K274" s="10">
        <f>IFERROR(IF(INDEX('Test catalog'!$F$2:$F$200,MATCH($AB274,'Test catalog'!$A$2:$A$200,0))="","",INDEX('Test catalog'!$F$2:$F$200,MATCH($AB274,'Test catalog'!$A$2:$A$200,0))),"")</f>
        <v/>
      </c>
      <c r="L274" s="10">
        <f>IFERROR(IF(INDEX('Test catalog'!$G$2:$G$200,MATCH($AB274,'Test catalog'!$A$2:$A$200,0))="","",INDEX('Test catalog'!$G$2:$G$200,MATCH($AB274,'Test catalog'!$A$2:$A$200,0))),"")</f>
        <v/>
      </c>
      <c r="M274" s="10">
        <f>IFERROR(IF(INDEX('Test catalog'!$H$2:$H$200,MATCH($AB274,'Test catalog'!$A$2:$A$200,0))="","",INDEX('Test catalog'!$H$2:$H$200,MATCH($AB274,'Test catalog'!$A$2:$A$200,0))),"")</f>
        <v/>
      </c>
      <c r="N274" s="10">
        <f>IFERROR(IF(INDEX('Test catalog'!$I$2:$I$200,MATCH($AB274,'Test catalog'!$A$2:$A$200,0))="","",INDEX('Test catalog'!$I$2:$I$200,MATCH($AB274,'Test catalog'!$A$2:$A$200,0))),"")</f>
        <v/>
      </c>
      <c r="O274" s="10">
        <f>IFERROR(IF(INDEX('Test catalog'!$J$2:$J$200,MATCH($AB274,'Test catalog'!$A$2:$A$200,0))="","",INDEX('Test catalog'!$J$2:$J$200,MATCH($AB274,'Test catalog'!$A$2:$A$200,0))),"")</f>
        <v/>
      </c>
      <c r="P274" s="14">
        <f>IF(N274="","",IF(OR(M274="",O274=""),N274,(M274+4*N274+O274)/6))</f>
        <v/>
      </c>
      <c r="Q274" s="10">
        <f>IFERROR(IF(INDEX('Test catalog'!$K$2:$K$200,MATCH($AB274,'Test catalog'!$A$2:$A$200,0))="","",INDEX('Test catalog'!$K$2:$K$200,MATCH($AB274,'Test catalog'!$A$2:$A$200,0))),"")</f>
        <v/>
      </c>
      <c r="R274" s="5" t="n"/>
      <c r="S274" s="10">
        <f>IFERROR(IF(INDEX('Test catalog'!$L$2:$L$200,MATCH($AB274,'Test catalog'!$A$2:$A$200,0))="","",INDEX('Test catalog'!$L$2:$L$200,MATCH($AB274,'Test catalog'!$A$2:$A$200,0))),"")</f>
        <v/>
      </c>
      <c r="T274" s="10">
        <f>IFERROR(IF(INDEX('Test catalog'!$M$2:$M$200,MATCH($AB274,'Test catalog'!$A$2:$A$200,0))="","",INDEX('Test catalog'!$M$2:$M$200,MATCH($AB274,'Test catalog'!$A$2:$A$200,0))),"")</f>
        <v/>
      </c>
      <c r="U274" s="10">
        <f>IFERROR(IF(INDEX('Test catalog'!$N$2:$N$200,MATCH($AB274,'Test catalog'!$A$2:$A$200,0))="","",INDEX('Test catalog'!$N$2:$N$200,MATCH($AB274,'Test catalog'!$A$2:$A$200,0))),"")</f>
        <v/>
      </c>
      <c r="V274" s="15" t="n"/>
      <c r="W274" s="5" t="inlineStr">
        <is>
          <t>Y</t>
        </is>
      </c>
      <c r="X274" s="5" t="n"/>
      <c r="Y274" s="5" t="n"/>
      <c r="Z274" s="5" t="inlineStr">
        <is>
          <t>Actives not on record – confirm tests</t>
        </is>
      </c>
      <c r="AA274" s="10">
        <f>IFERROR(IF(INDEX('Test catalog'!$O$2:$O$200,MATCH($AB274,'Test catalog'!$A$2:$A$200,0))="","",INDEX('Test catalog'!$O$2:$O$200,MATCH($AB274,'Test catalog'!$A$2:$A$200,0))),"")</f>
        <v/>
      </c>
      <c r="AB274" s="10" t="inlineStr">
        <is>
          <t>DISINT</t>
        </is>
      </c>
    </row>
    <row r="275">
      <c r="A275" s="10" t="inlineStr">
        <is>
          <t>F37</t>
        </is>
      </c>
      <c r="B275" s="10" t="inlineStr">
        <is>
          <t>FP</t>
        </is>
      </c>
      <c r="C275" s="10" t="inlineStr">
        <is>
          <t>Zinc+Vitamin C  |  actives TBD: Zinc+Vitamin C</t>
        </is>
      </c>
      <c r="D275" s="10" t="inlineStr">
        <is>
          <t>In-process check at the machine (one check, all its tests)</t>
        </is>
      </c>
      <c r="E275" s="10">
        <f>IF(A275="","",A275&amp;"|"&amp;D275)</f>
        <v/>
      </c>
      <c r="F275" s="5" t="inlineStr">
        <is>
          <t>Y</t>
        </is>
      </c>
      <c r="G275" s="5" t="inlineStr">
        <is>
          <t>Tablet tester</t>
        </is>
      </c>
      <c r="H275" s="5" t="inlineStr">
        <is>
          <t>Low</t>
        </is>
      </c>
      <c r="I275" s="5" t="n">
        <v>1</v>
      </c>
      <c r="J275" s="5" t="n"/>
      <c r="K275" s="10">
        <f>IFERROR(IF(INDEX('Test catalog'!$F$2:$F$200,MATCH($AB275,'Test catalog'!$A$2:$A$200,0))="","",INDEX('Test catalog'!$F$2:$F$200,MATCH($AB275,'Test catalog'!$A$2:$A$200,0))),"")</f>
        <v/>
      </c>
      <c r="L275" s="10">
        <f>IFERROR(IF(INDEX('Test catalog'!$G$2:$G$200,MATCH($AB275,'Test catalog'!$A$2:$A$200,0))="","",INDEX('Test catalog'!$G$2:$G$200,MATCH($AB275,'Test catalog'!$A$2:$A$200,0))),"")</f>
        <v/>
      </c>
      <c r="M275" s="10">
        <f>IFERROR(IF(INDEX('Test catalog'!$H$2:$H$200,MATCH($AB275,'Test catalog'!$A$2:$A$200,0))="","",INDEX('Test catalog'!$H$2:$H$200,MATCH($AB275,'Test catalog'!$A$2:$A$200,0))),"")</f>
        <v/>
      </c>
      <c r="N275" s="10">
        <f>IFERROR(IF(INDEX('Test catalog'!$I$2:$I$200,MATCH($AB275,'Test catalog'!$A$2:$A$200,0))="","",INDEX('Test catalog'!$I$2:$I$200,MATCH($AB275,'Test catalog'!$A$2:$A$200,0))),"")</f>
        <v/>
      </c>
      <c r="O275" s="10">
        <f>IFERROR(IF(INDEX('Test catalog'!$J$2:$J$200,MATCH($AB275,'Test catalog'!$A$2:$A$200,0))="","",INDEX('Test catalog'!$J$2:$J$200,MATCH($AB275,'Test catalog'!$A$2:$A$200,0))),"")</f>
        <v/>
      </c>
      <c r="P275" s="14">
        <f>IF(N275="","",IF(OR(M275="",O275=""),N275,(M275+4*N275+O275)/6))</f>
        <v/>
      </c>
      <c r="Q275" s="10">
        <f>IFERROR(IF(INDEX('Test catalog'!$K$2:$K$200,MATCH($AB275,'Test catalog'!$A$2:$A$200,0))="","",INDEX('Test catalog'!$K$2:$K$200,MATCH($AB275,'Test catalog'!$A$2:$A$200,0))),"")</f>
        <v/>
      </c>
      <c r="R275" s="5" t="n"/>
      <c r="S275" s="10">
        <f>IFERROR(IF(INDEX('Test catalog'!$L$2:$L$200,MATCH($AB275,'Test catalog'!$A$2:$A$200,0))="","",INDEX('Test catalog'!$L$2:$L$200,MATCH($AB275,'Test catalog'!$A$2:$A$200,0))),"")</f>
        <v/>
      </c>
      <c r="T275" s="10">
        <f>IFERROR(IF(INDEX('Test catalog'!$M$2:$M$200,MATCH($AB275,'Test catalog'!$A$2:$A$200,0))="","",INDEX('Test catalog'!$M$2:$M$200,MATCH($AB275,'Test catalog'!$A$2:$A$200,0))),"")</f>
        <v/>
      </c>
      <c r="U275" s="10">
        <f>IFERROR(IF(INDEX('Test catalog'!$N$2:$N$200,MATCH($AB275,'Test catalog'!$A$2:$A$200,0))="","",INDEX('Test catalog'!$N$2:$N$200,MATCH($AB275,'Test catalog'!$A$2:$A$200,0))),"")</f>
        <v/>
      </c>
      <c r="V275" s="15" t="n"/>
      <c r="W275" s="5" t="inlineStr">
        <is>
          <t>N</t>
        </is>
      </c>
      <c r="X275" s="5" t="n"/>
      <c r="Y275" s="5" t="n"/>
      <c r="Z275" s="5" t="inlineStr">
        <is>
          <t>Actives not on record – confirm tests</t>
        </is>
      </c>
      <c r="AA275" s="10">
        <f>IFERROR(IF(INDEX('Test catalog'!$O$2:$O$200,MATCH($AB275,'Test catalog'!$A$2:$A$200,0))="","",INDEX('Test catalog'!$O$2:$O$200,MATCH($AB275,'Test catalog'!$A$2:$A$200,0))),"")</f>
        <v/>
      </c>
      <c r="AB275" s="10" t="inlineStr">
        <is>
          <t>IPC</t>
        </is>
      </c>
    </row>
    <row r="276">
      <c r="A276" s="10" t="inlineStr">
        <is>
          <t>F38</t>
        </is>
      </c>
      <c r="B276" s="10" t="inlineStr">
        <is>
          <t>FP</t>
        </is>
      </c>
      <c r="C276" s="10" t="inlineStr">
        <is>
          <t>Vitamin C 1000 mg  |  Ascorbic Acid Coated 97%</t>
        </is>
      </c>
      <c r="D276" s="10" t="inlineStr">
        <is>
          <t>Average weight / uniformity of mass</t>
        </is>
      </c>
      <c r="E276" s="10">
        <f>IF(A276="","",A276&amp;"|"&amp;D276)</f>
        <v/>
      </c>
      <c r="F276" s="5" t="inlineStr">
        <is>
          <t>Y</t>
        </is>
      </c>
      <c r="G276" s="5" t="inlineStr">
        <is>
          <t>Balance</t>
        </is>
      </c>
      <c r="H276" s="5" t="inlineStr">
        <is>
          <t>Low</t>
        </is>
      </c>
      <c r="I276" s="5" t="n">
        <v>1</v>
      </c>
      <c r="J276" s="5" t="n"/>
      <c r="K276" s="10">
        <f>IFERROR(IF(INDEX('Test catalog'!$F$2:$F$200,MATCH($AB276,'Test catalog'!$A$2:$A$200,0))="","",INDEX('Test catalog'!$F$2:$F$200,MATCH($AB276,'Test catalog'!$A$2:$A$200,0))),"")</f>
        <v/>
      </c>
      <c r="L276" s="10">
        <f>IFERROR(IF(INDEX('Test catalog'!$G$2:$G$200,MATCH($AB276,'Test catalog'!$A$2:$A$200,0))="","",INDEX('Test catalog'!$G$2:$G$200,MATCH($AB276,'Test catalog'!$A$2:$A$200,0))),"")</f>
        <v/>
      </c>
      <c r="M276" s="10">
        <f>IFERROR(IF(INDEX('Test catalog'!$H$2:$H$200,MATCH($AB276,'Test catalog'!$A$2:$A$200,0))="","",INDEX('Test catalog'!$H$2:$H$200,MATCH($AB276,'Test catalog'!$A$2:$A$200,0))),"")</f>
        <v/>
      </c>
      <c r="N276" s="10">
        <f>IFERROR(IF(INDEX('Test catalog'!$I$2:$I$200,MATCH($AB276,'Test catalog'!$A$2:$A$200,0))="","",INDEX('Test catalog'!$I$2:$I$200,MATCH($AB276,'Test catalog'!$A$2:$A$200,0))),"")</f>
        <v/>
      </c>
      <c r="O276" s="10">
        <f>IFERROR(IF(INDEX('Test catalog'!$J$2:$J$200,MATCH($AB276,'Test catalog'!$A$2:$A$200,0))="","",INDEX('Test catalog'!$J$2:$J$200,MATCH($AB276,'Test catalog'!$A$2:$A$200,0))),"")</f>
        <v/>
      </c>
      <c r="P276" s="14">
        <f>IF(N276="","",IF(OR(M276="",O276=""),N276,(M276+4*N276+O276)/6))</f>
        <v/>
      </c>
      <c r="Q276" s="10">
        <f>IFERROR(IF(INDEX('Test catalog'!$K$2:$K$200,MATCH($AB276,'Test catalog'!$A$2:$A$200,0))="","",INDEX('Test catalog'!$K$2:$K$200,MATCH($AB276,'Test catalog'!$A$2:$A$200,0))),"")</f>
        <v/>
      </c>
      <c r="R276" s="5" t="n"/>
      <c r="S276" s="10">
        <f>IFERROR(IF(INDEX('Test catalog'!$L$2:$L$200,MATCH($AB276,'Test catalog'!$A$2:$A$200,0))="","",INDEX('Test catalog'!$L$2:$L$200,MATCH($AB276,'Test catalog'!$A$2:$A$200,0))),"")</f>
        <v/>
      </c>
      <c r="T276" s="10">
        <f>IFERROR(IF(INDEX('Test catalog'!$M$2:$M$200,MATCH($AB276,'Test catalog'!$A$2:$A$200,0))="","",INDEX('Test catalog'!$M$2:$M$200,MATCH($AB276,'Test catalog'!$A$2:$A$200,0))),"")</f>
        <v/>
      </c>
      <c r="U276" s="10">
        <f>IFERROR(IF(INDEX('Test catalog'!$N$2:$N$200,MATCH($AB276,'Test catalog'!$A$2:$A$200,0))="","",INDEX('Test catalog'!$N$2:$N$200,MATCH($AB276,'Test catalog'!$A$2:$A$200,0))),"")</f>
        <v/>
      </c>
      <c r="V276" s="15" t="n"/>
      <c r="W276" s="5" t="inlineStr">
        <is>
          <t>N</t>
        </is>
      </c>
      <c r="X276" s="5" t="n"/>
      <c r="Y276" s="5" t="n"/>
      <c r="Z276" s="5" t="n"/>
      <c r="AA276" s="10">
        <f>IFERROR(IF(INDEX('Test catalog'!$O$2:$O$200,MATCH($AB276,'Test catalog'!$A$2:$A$200,0))="","",INDEX('Test catalog'!$O$2:$O$200,MATCH($AB276,'Test catalog'!$A$2:$A$200,0))),"")</f>
        <v/>
      </c>
      <c r="AB276" s="10" t="inlineStr">
        <is>
          <t>AVG_WT</t>
        </is>
      </c>
    </row>
    <row r="277">
      <c r="A277" s="10" t="inlineStr">
        <is>
          <t>F38</t>
        </is>
      </c>
      <c r="B277" s="10" t="inlineStr">
        <is>
          <t>FP</t>
        </is>
      </c>
      <c r="C277" s="10" t="inlineStr">
        <is>
          <t>Vitamin C 1000 mg  |  Ascorbic Acid Coated 97%</t>
        </is>
      </c>
      <c r="D277" s="10" t="inlineStr">
        <is>
          <t>Diameter (or length / width)</t>
        </is>
      </c>
      <c r="E277" s="10">
        <f>IF(A277="","",A277&amp;"|"&amp;D277)</f>
        <v/>
      </c>
      <c r="F277" s="5" t="inlineStr">
        <is>
          <t>Y</t>
        </is>
      </c>
      <c r="G277" s="5" t="inlineStr">
        <is>
          <t>Tablet tester</t>
        </is>
      </c>
      <c r="H277" s="5" t="inlineStr">
        <is>
          <t>Low</t>
        </is>
      </c>
      <c r="I277" s="5" t="n">
        <v>1</v>
      </c>
      <c r="J277" s="5" t="n"/>
      <c r="K277" s="10">
        <f>IFERROR(IF(INDEX('Test catalog'!$F$2:$F$200,MATCH($AB277,'Test catalog'!$A$2:$A$200,0))="","",INDEX('Test catalog'!$F$2:$F$200,MATCH($AB277,'Test catalog'!$A$2:$A$200,0))),"")</f>
        <v/>
      </c>
      <c r="L277" s="10">
        <f>IFERROR(IF(INDEX('Test catalog'!$G$2:$G$200,MATCH($AB277,'Test catalog'!$A$2:$A$200,0))="","",INDEX('Test catalog'!$G$2:$G$200,MATCH($AB277,'Test catalog'!$A$2:$A$200,0))),"")</f>
        <v/>
      </c>
      <c r="M277" s="10">
        <f>IFERROR(IF(INDEX('Test catalog'!$H$2:$H$200,MATCH($AB277,'Test catalog'!$A$2:$A$200,0))="","",INDEX('Test catalog'!$H$2:$H$200,MATCH($AB277,'Test catalog'!$A$2:$A$200,0))),"")</f>
        <v/>
      </c>
      <c r="N277" s="10">
        <f>IFERROR(IF(INDEX('Test catalog'!$I$2:$I$200,MATCH($AB277,'Test catalog'!$A$2:$A$200,0))="","",INDEX('Test catalog'!$I$2:$I$200,MATCH($AB277,'Test catalog'!$A$2:$A$200,0))),"")</f>
        <v/>
      </c>
      <c r="O277" s="10">
        <f>IFERROR(IF(INDEX('Test catalog'!$J$2:$J$200,MATCH($AB277,'Test catalog'!$A$2:$A$200,0))="","",INDEX('Test catalog'!$J$2:$J$200,MATCH($AB277,'Test catalog'!$A$2:$A$200,0))),"")</f>
        <v/>
      </c>
      <c r="P277" s="14">
        <f>IF(N277="","",IF(OR(M277="",O277=""),N277,(M277+4*N277+O277)/6))</f>
        <v/>
      </c>
      <c r="Q277" s="10">
        <f>IFERROR(IF(INDEX('Test catalog'!$K$2:$K$200,MATCH($AB277,'Test catalog'!$A$2:$A$200,0))="","",INDEX('Test catalog'!$K$2:$K$200,MATCH($AB277,'Test catalog'!$A$2:$A$200,0))),"")</f>
        <v/>
      </c>
      <c r="R277" s="5" t="n"/>
      <c r="S277" s="10">
        <f>IFERROR(IF(INDEX('Test catalog'!$L$2:$L$200,MATCH($AB277,'Test catalog'!$A$2:$A$200,0))="","",INDEX('Test catalog'!$L$2:$L$200,MATCH($AB277,'Test catalog'!$A$2:$A$200,0))),"")</f>
        <v/>
      </c>
      <c r="T277" s="10">
        <f>IFERROR(IF(INDEX('Test catalog'!$M$2:$M$200,MATCH($AB277,'Test catalog'!$A$2:$A$200,0))="","",INDEX('Test catalog'!$M$2:$M$200,MATCH($AB277,'Test catalog'!$A$2:$A$200,0))),"")</f>
        <v/>
      </c>
      <c r="U277" s="10">
        <f>IFERROR(IF(INDEX('Test catalog'!$N$2:$N$200,MATCH($AB277,'Test catalog'!$A$2:$A$200,0))="","",INDEX('Test catalog'!$N$2:$N$200,MATCH($AB277,'Test catalog'!$A$2:$A$200,0))),"")</f>
        <v/>
      </c>
      <c r="V277" s="15" t="n"/>
      <c r="W277" s="5" t="inlineStr">
        <is>
          <t>N</t>
        </is>
      </c>
      <c r="X277" s="5" t="n"/>
      <c r="Y277" s="5" t="n"/>
      <c r="Z277" s="5" t="n"/>
      <c r="AA277" s="10">
        <f>IFERROR(IF(INDEX('Test catalog'!$O$2:$O$200,MATCH($AB277,'Test catalog'!$A$2:$A$200,0))="","",INDEX('Test catalog'!$O$2:$O$200,MATCH($AB277,'Test catalog'!$A$2:$A$200,0))),"")</f>
        <v/>
      </c>
      <c r="AB277" s="10" t="inlineStr">
        <is>
          <t>DIAM</t>
        </is>
      </c>
    </row>
    <row r="278">
      <c r="A278" s="10" t="inlineStr">
        <is>
          <t>F38</t>
        </is>
      </c>
      <c r="B278" s="10" t="inlineStr">
        <is>
          <t>FP</t>
        </is>
      </c>
      <c r="C278" s="10" t="inlineStr">
        <is>
          <t>Vitamin C 1000 mg  |  Ascorbic Acid Coated 97%</t>
        </is>
      </c>
      <c r="D278" s="10" t="inlineStr">
        <is>
          <t>Thickness</t>
        </is>
      </c>
      <c r="E278" s="10">
        <f>IF(A278="","",A278&amp;"|"&amp;D278)</f>
        <v/>
      </c>
      <c r="F278" s="5" t="inlineStr">
        <is>
          <t>Y</t>
        </is>
      </c>
      <c r="G278" s="5" t="inlineStr">
        <is>
          <t>Tablet tester</t>
        </is>
      </c>
      <c r="H278" s="5" t="inlineStr">
        <is>
          <t>Low</t>
        </is>
      </c>
      <c r="I278" s="5" t="n">
        <v>1</v>
      </c>
      <c r="J278" s="5" t="n"/>
      <c r="K278" s="10">
        <f>IFERROR(IF(INDEX('Test catalog'!$F$2:$F$200,MATCH($AB278,'Test catalog'!$A$2:$A$200,0))="","",INDEX('Test catalog'!$F$2:$F$200,MATCH($AB278,'Test catalog'!$A$2:$A$200,0))),"")</f>
        <v/>
      </c>
      <c r="L278" s="10">
        <f>IFERROR(IF(INDEX('Test catalog'!$G$2:$G$200,MATCH($AB278,'Test catalog'!$A$2:$A$200,0))="","",INDEX('Test catalog'!$G$2:$G$200,MATCH($AB278,'Test catalog'!$A$2:$A$200,0))),"")</f>
        <v/>
      </c>
      <c r="M278" s="10">
        <f>IFERROR(IF(INDEX('Test catalog'!$H$2:$H$200,MATCH($AB278,'Test catalog'!$A$2:$A$200,0))="","",INDEX('Test catalog'!$H$2:$H$200,MATCH($AB278,'Test catalog'!$A$2:$A$200,0))),"")</f>
        <v/>
      </c>
      <c r="N278" s="10">
        <f>IFERROR(IF(INDEX('Test catalog'!$I$2:$I$200,MATCH($AB278,'Test catalog'!$A$2:$A$200,0))="","",INDEX('Test catalog'!$I$2:$I$200,MATCH($AB278,'Test catalog'!$A$2:$A$200,0))),"")</f>
        <v/>
      </c>
      <c r="O278" s="10">
        <f>IFERROR(IF(INDEX('Test catalog'!$J$2:$J$200,MATCH($AB278,'Test catalog'!$A$2:$A$200,0))="","",INDEX('Test catalog'!$J$2:$J$200,MATCH($AB278,'Test catalog'!$A$2:$A$200,0))),"")</f>
        <v/>
      </c>
      <c r="P278" s="14">
        <f>IF(N278="","",IF(OR(M278="",O278=""),N278,(M278+4*N278+O278)/6))</f>
        <v/>
      </c>
      <c r="Q278" s="10">
        <f>IFERROR(IF(INDEX('Test catalog'!$K$2:$K$200,MATCH($AB278,'Test catalog'!$A$2:$A$200,0))="","",INDEX('Test catalog'!$K$2:$K$200,MATCH($AB278,'Test catalog'!$A$2:$A$200,0))),"")</f>
        <v/>
      </c>
      <c r="R278" s="5" t="n"/>
      <c r="S278" s="10">
        <f>IFERROR(IF(INDEX('Test catalog'!$L$2:$L$200,MATCH($AB278,'Test catalog'!$A$2:$A$200,0))="","",INDEX('Test catalog'!$L$2:$L$200,MATCH($AB278,'Test catalog'!$A$2:$A$200,0))),"")</f>
        <v/>
      </c>
      <c r="T278" s="10">
        <f>IFERROR(IF(INDEX('Test catalog'!$M$2:$M$200,MATCH($AB278,'Test catalog'!$A$2:$A$200,0))="","",INDEX('Test catalog'!$M$2:$M$200,MATCH($AB278,'Test catalog'!$A$2:$A$200,0))),"")</f>
        <v/>
      </c>
      <c r="U278" s="10">
        <f>IFERROR(IF(INDEX('Test catalog'!$N$2:$N$200,MATCH($AB278,'Test catalog'!$A$2:$A$200,0))="","",INDEX('Test catalog'!$N$2:$N$200,MATCH($AB278,'Test catalog'!$A$2:$A$200,0))),"")</f>
        <v/>
      </c>
      <c r="V278" s="15" t="n"/>
      <c r="W278" s="5" t="inlineStr">
        <is>
          <t>N</t>
        </is>
      </c>
      <c r="X278" s="5" t="n"/>
      <c r="Y278" s="5" t="n"/>
      <c r="Z278" s="5" t="n"/>
      <c r="AA278" s="10">
        <f>IFERROR(IF(INDEX('Test catalog'!$O$2:$O$200,MATCH($AB278,'Test catalog'!$A$2:$A$200,0))="","",INDEX('Test catalog'!$O$2:$O$200,MATCH($AB278,'Test catalog'!$A$2:$A$200,0))),"")</f>
        <v/>
      </c>
      <c r="AB278" s="10" t="inlineStr">
        <is>
          <t>THICK</t>
        </is>
      </c>
    </row>
    <row r="279">
      <c r="A279" s="10" t="inlineStr">
        <is>
          <t>F38</t>
        </is>
      </c>
      <c r="B279" s="10" t="inlineStr">
        <is>
          <t>FP</t>
        </is>
      </c>
      <c r="C279" s="10" t="inlineStr">
        <is>
          <t>Vitamin C 1000 mg  |  Ascorbic Acid Coated 97%</t>
        </is>
      </c>
      <c r="D279" s="10" t="inlineStr">
        <is>
          <t>Hardness / breaking force</t>
        </is>
      </c>
      <c r="E279" s="10">
        <f>IF(A279="","",A279&amp;"|"&amp;D279)</f>
        <v/>
      </c>
      <c r="F279" s="5" t="inlineStr">
        <is>
          <t>Y</t>
        </is>
      </c>
      <c r="G279" s="5" t="inlineStr">
        <is>
          <t>Tablet tester</t>
        </is>
      </c>
      <c r="H279" s="5" t="inlineStr">
        <is>
          <t>Low</t>
        </is>
      </c>
      <c r="I279" s="5" t="n">
        <v>1</v>
      </c>
      <c r="J279" s="5" t="n"/>
      <c r="K279" s="10">
        <f>IFERROR(IF(INDEX('Test catalog'!$F$2:$F$200,MATCH($AB279,'Test catalog'!$A$2:$A$200,0))="","",INDEX('Test catalog'!$F$2:$F$200,MATCH($AB279,'Test catalog'!$A$2:$A$200,0))),"")</f>
        <v/>
      </c>
      <c r="L279" s="10">
        <f>IFERROR(IF(INDEX('Test catalog'!$G$2:$G$200,MATCH($AB279,'Test catalog'!$A$2:$A$200,0))="","",INDEX('Test catalog'!$G$2:$G$200,MATCH($AB279,'Test catalog'!$A$2:$A$200,0))),"")</f>
        <v/>
      </c>
      <c r="M279" s="10">
        <f>IFERROR(IF(INDEX('Test catalog'!$H$2:$H$200,MATCH($AB279,'Test catalog'!$A$2:$A$200,0))="","",INDEX('Test catalog'!$H$2:$H$200,MATCH($AB279,'Test catalog'!$A$2:$A$200,0))),"")</f>
        <v/>
      </c>
      <c r="N279" s="10">
        <f>IFERROR(IF(INDEX('Test catalog'!$I$2:$I$200,MATCH($AB279,'Test catalog'!$A$2:$A$200,0))="","",INDEX('Test catalog'!$I$2:$I$200,MATCH($AB279,'Test catalog'!$A$2:$A$200,0))),"")</f>
        <v/>
      </c>
      <c r="O279" s="10">
        <f>IFERROR(IF(INDEX('Test catalog'!$J$2:$J$200,MATCH($AB279,'Test catalog'!$A$2:$A$200,0))="","",INDEX('Test catalog'!$J$2:$J$200,MATCH($AB279,'Test catalog'!$A$2:$A$200,0))),"")</f>
        <v/>
      </c>
      <c r="P279" s="14">
        <f>IF(N279="","",IF(OR(M279="",O279=""),N279,(M279+4*N279+O279)/6))</f>
        <v/>
      </c>
      <c r="Q279" s="10">
        <f>IFERROR(IF(INDEX('Test catalog'!$K$2:$K$200,MATCH($AB279,'Test catalog'!$A$2:$A$200,0))="","",INDEX('Test catalog'!$K$2:$K$200,MATCH($AB279,'Test catalog'!$A$2:$A$200,0))),"")</f>
        <v/>
      </c>
      <c r="R279" s="5" t="n"/>
      <c r="S279" s="10">
        <f>IFERROR(IF(INDEX('Test catalog'!$L$2:$L$200,MATCH($AB279,'Test catalog'!$A$2:$A$200,0))="","",INDEX('Test catalog'!$L$2:$L$200,MATCH($AB279,'Test catalog'!$A$2:$A$200,0))),"")</f>
        <v/>
      </c>
      <c r="T279" s="10">
        <f>IFERROR(IF(INDEX('Test catalog'!$M$2:$M$200,MATCH($AB279,'Test catalog'!$A$2:$A$200,0))="","",INDEX('Test catalog'!$M$2:$M$200,MATCH($AB279,'Test catalog'!$A$2:$A$200,0))),"")</f>
        <v/>
      </c>
      <c r="U279" s="10">
        <f>IFERROR(IF(INDEX('Test catalog'!$N$2:$N$200,MATCH($AB279,'Test catalog'!$A$2:$A$200,0))="","",INDEX('Test catalog'!$N$2:$N$200,MATCH($AB279,'Test catalog'!$A$2:$A$200,0))),"")</f>
        <v/>
      </c>
      <c r="V279" s="15" t="n"/>
      <c r="W279" s="5" t="inlineStr">
        <is>
          <t>Y</t>
        </is>
      </c>
      <c r="X279" s="5" t="n"/>
      <c r="Y279" s="5" t="n"/>
      <c r="Z279" s="5" t="n"/>
      <c r="AA279" s="10">
        <f>IFERROR(IF(INDEX('Test catalog'!$O$2:$O$200,MATCH($AB279,'Test catalog'!$A$2:$A$200,0))="","",INDEX('Test catalog'!$O$2:$O$200,MATCH($AB279,'Test catalog'!$A$2:$A$200,0))),"")</f>
        <v/>
      </c>
      <c r="AB279" s="10" t="inlineStr">
        <is>
          <t>HARD</t>
        </is>
      </c>
    </row>
    <row r="280">
      <c r="A280" s="10" t="inlineStr">
        <is>
          <t>F38</t>
        </is>
      </c>
      <c r="B280" s="10" t="inlineStr">
        <is>
          <t>FP</t>
        </is>
      </c>
      <c r="C280" s="10" t="inlineStr">
        <is>
          <t>Vitamin C 1000 mg  |  Ascorbic Acid Coated 97%</t>
        </is>
      </c>
      <c r="D280" s="10" t="inlineStr">
        <is>
          <t>Brittleness</t>
        </is>
      </c>
      <c r="E280" s="10">
        <f>IF(A280="","",A280&amp;"|"&amp;D280)</f>
        <v/>
      </c>
      <c r="F280" s="5" t="inlineStr">
        <is>
          <t>Y</t>
        </is>
      </c>
      <c r="G280" s="5" t="inlineStr">
        <is>
          <t>Other / bench</t>
        </is>
      </c>
      <c r="H280" s="5" t="inlineStr">
        <is>
          <t>Low</t>
        </is>
      </c>
      <c r="I280" s="5" t="n">
        <v>1</v>
      </c>
      <c r="J280" s="5" t="n"/>
      <c r="K280" s="10">
        <f>IFERROR(IF(INDEX('Test catalog'!$F$2:$F$200,MATCH($AB280,'Test catalog'!$A$2:$A$200,0))="","",INDEX('Test catalog'!$F$2:$F$200,MATCH($AB280,'Test catalog'!$A$2:$A$200,0))),"")</f>
        <v/>
      </c>
      <c r="L280" s="10">
        <f>IFERROR(IF(INDEX('Test catalog'!$G$2:$G$200,MATCH($AB280,'Test catalog'!$A$2:$A$200,0))="","",INDEX('Test catalog'!$G$2:$G$200,MATCH($AB280,'Test catalog'!$A$2:$A$200,0))),"")</f>
        <v/>
      </c>
      <c r="M280" s="10">
        <f>IFERROR(IF(INDEX('Test catalog'!$H$2:$H$200,MATCH($AB280,'Test catalog'!$A$2:$A$200,0))="","",INDEX('Test catalog'!$H$2:$H$200,MATCH($AB280,'Test catalog'!$A$2:$A$200,0))),"")</f>
        <v/>
      </c>
      <c r="N280" s="10">
        <f>IFERROR(IF(INDEX('Test catalog'!$I$2:$I$200,MATCH($AB280,'Test catalog'!$A$2:$A$200,0))="","",INDEX('Test catalog'!$I$2:$I$200,MATCH($AB280,'Test catalog'!$A$2:$A$200,0))),"")</f>
        <v/>
      </c>
      <c r="O280" s="10">
        <f>IFERROR(IF(INDEX('Test catalog'!$J$2:$J$200,MATCH($AB280,'Test catalog'!$A$2:$A$200,0))="","",INDEX('Test catalog'!$J$2:$J$200,MATCH($AB280,'Test catalog'!$A$2:$A$200,0))),"")</f>
        <v/>
      </c>
      <c r="P280" s="14">
        <f>IF(N280="","",IF(OR(M280="",O280=""),N280,(M280+4*N280+O280)/6))</f>
        <v/>
      </c>
      <c r="Q280" s="10">
        <f>IFERROR(IF(INDEX('Test catalog'!$K$2:$K$200,MATCH($AB280,'Test catalog'!$A$2:$A$200,0))="","",INDEX('Test catalog'!$K$2:$K$200,MATCH($AB280,'Test catalog'!$A$2:$A$200,0))),"")</f>
        <v/>
      </c>
      <c r="R280" s="5" t="n"/>
      <c r="S280" s="10">
        <f>IFERROR(IF(INDEX('Test catalog'!$L$2:$L$200,MATCH($AB280,'Test catalog'!$A$2:$A$200,0))="","",INDEX('Test catalog'!$L$2:$L$200,MATCH($AB280,'Test catalog'!$A$2:$A$200,0))),"")</f>
        <v/>
      </c>
      <c r="T280" s="10">
        <f>IFERROR(IF(INDEX('Test catalog'!$M$2:$M$200,MATCH($AB280,'Test catalog'!$A$2:$A$200,0))="","",INDEX('Test catalog'!$M$2:$M$200,MATCH($AB280,'Test catalog'!$A$2:$A$200,0))),"")</f>
        <v/>
      </c>
      <c r="U280" s="10">
        <f>IFERROR(IF(INDEX('Test catalog'!$N$2:$N$200,MATCH($AB280,'Test catalog'!$A$2:$A$200,0))="","",INDEX('Test catalog'!$N$2:$N$200,MATCH($AB280,'Test catalog'!$A$2:$A$200,0))),"")</f>
        <v/>
      </c>
      <c r="V280" s="15" t="n"/>
      <c r="W280" s="5" t="inlineStr">
        <is>
          <t>N</t>
        </is>
      </c>
      <c r="X280" s="5" t="n"/>
      <c r="Y280" s="5" t="n"/>
      <c r="Z280" s="5" t="n"/>
      <c r="AA280" s="10">
        <f>IFERROR(IF(INDEX('Test catalog'!$O$2:$O$200,MATCH($AB280,'Test catalog'!$A$2:$A$200,0))="","",INDEX('Test catalog'!$O$2:$O$200,MATCH($AB280,'Test catalog'!$A$2:$A$200,0))),"")</f>
        <v/>
      </c>
      <c r="AB280" s="10" t="inlineStr">
        <is>
          <t>BRITTLE</t>
        </is>
      </c>
    </row>
    <row r="281">
      <c r="A281" s="10" t="inlineStr">
        <is>
          <t>F38</t>
        </is>
      </c>
      <c r="B281" s="10" t="inlineStr">
        <is>
          <t>FP</t>
        </is>
      </c>
      <c r="C281" s="10" t="inlineStr">
        <is>
          <t>Vitamin C 1000 mg  |  Ascorbic Acid Coated 97%</t>
        </is>
      </c>
      <c r="D281" s="10" t="inlineStr">
        <is>
          <t>Friability</t>
        </is>
      </c>
      <c r="E281" s="10">
        <f>IF(A281="","",A281&amp;"|"&amp;D281)</f>
        <v/>
      </c>
      <c r="F281" s="5" t="inlineStr">
        <is>
          <t>Y</t>
        </is>
      </c>
      <c r="G281" s="5" t="inlineStr">
        <is>
          <t>Friabilator</t>
        </is>
      </c>
      <c r="H281" s="5" t="inlineStr">
        <is>
          <t>Low</t>
        </is>
      </c>
      <c r="I281" s="5" t="n">
        <v>1</v>
      </c>
      <c r="J281" s="5" t="n"/>
      <c r="K281" s="10">
        <f>IFERROR(IF(INDEX('Test catalog'!$F$2:$F$200,MATCH($AB281,'Test catalog'!$A$2:$A$200,0))="","",INDEX('Test catalog'!$F$2:$F$200,MATCH($AB281,'Test catalog'!$A$2:$A$200,0))),"")</f>
        <v/>
      </c>
      <c r="L281" s="10">
        <f>IFERROR(IF(INDEX('Test catalog'!$G$2:$G$200,MATCH($AB281,'Test catalog'!$A$2:$A$200,0))="","",INDEX('Test catalog'!$G$2:$G$200,MATCH($AB281,'Test catalog'!$A$2:$A$200,0))),"")</f>
        <v/>
      </c>
      <c r="M281" s="10">
        <f>IFERROR(IF(INDEX('Test catalog'!$H$2:$H$200,MATCH($AB281,'Test catalog'!$A$2:$A$200,0))="","",INDEX('Test catalog'!$H$2:$H$200,MATCH($AB281,'Test catalog'!$A$2:$A$200,0))),"")</f>
        <v/>
      </c>
      <c r="N281" s="10">
        <f>IFERROR(IF(INDEX('Test catalog'!$I$2:$I$200,MATCH($AB281,'Test catalog'!$A$2:$A$200,0))="","",INDEX('Test catalog'!$I$2:$I$200,MATCH($AB281,'Test catalog'!$A$2:$A$200,0))),"")</f>
        <v/>
      </c>
      <c r="O281" s="10">
        <f>IFERROR(IF(INDEX('Test catalog'!$J$2:$J$200,MATCH($AB281,'Test catalog'!$A$2:$A$200,0))="","",INDEX('Test catalog'!$J$2:$J$200,MATCH($AB281,'Test catalog'!$A$2:$A$200,0))),"")</f>
        <v/>
      </c>
      <c r="P281" s="14">
        <f>IF(N281="","",IF(OR(M281="",O281=""),N281,(M281+4*N281+O281)/6))</f>
        <v/>
      </c>
      <c r="Q281" s="10">
        <f>IFERROR(IF(INDEX('Test catalog'!$K$2:$K$200,MATCH($AB281,'Test catalog'!$A$2:$A$200,0))="","",INDEX('Test catalog'!$K$2:$K$200,MATCH($AB281,'Test catalog'!$A$2:$A$200,0))),"")</f>
        <v/>
      </c>
      <c r="R281" s="5" t="n"/>
      <c r="S281" s="10">
        <f>IFERROR(IF(INDEX('Test catalog'!$L$2:$L$200,MATCH($AB281,'Test catalog'!$A$2:$A$200,0))="","",INDEX('Test catalog'!$L$2:$L$200,MATCH($AB281,'Test catalog'!$A$2:$A$200,0))),"")</f>
        <v/>
      </c>
      <c r="T281" s="10">
        <f>IFERROR(IF(INDEX('Test catalog'!$M$2:$M$200,MATCH($AB281,'Test catalog'!$A$2:$A$200,0))="","",INDEX('Test catalog'!$M$2:$M$200,MATCH($AB281,'Test catalog'!$A$2:$A$200,0))),"")</f>
        <v/>
      </c>
      <c r="U281" s="10">
        <f>IFERROR(IF(INDEX('Test catalog'!$N$2:$N$200,MATCH($AB281,'Test catalog'!$A$2:$A$200,0))="","",INDEX('Test catalog'!$N$2:$N$200,MATCH($AB281,'Test catalog'!$A$2:$A$200,0))),"")</f>
        <v/>
      </c>
      <c r="V281" s="15" t="n"/>
      <c r="W281" s="5" t="inlineStr">
        <is>
          <t>N</t>
        </is>
      </c>
      <c r="X281" s="5" t="n"/>
      <c r="Y281" s="5" t="n"/>
      <c r="Z281" s="5" t="n"/>
      <c r="AA281" s="10">
        <f>IFERROR(IF(INDEX('Test catalog'!$O$2:$O$200,MATCH($AB281,'Test catalog'!$A$2:$A$200,0))="","",INDEX('Test catalog'!$O$2:$O$200,MATCH($AB281,'Test catalog'!$A$2:$A$200,0))),"")</f>
        <v/>
      </c>
      <c r="AB281" s="10" t="inlineStr">
        <is>
          <t>FRIAB</t>
        </is>
      </c>
    </row>
    <row r="282">
      <c r="A282" s="10" t="inlineStr">
        <is>
          <t>F38</t>
        </is>
      </c>
      <c r="B282" s="10" t="inlineStr">
        <is>
          <t>FP</t>
        </is>
      </c>
      <c r="C282" s="10" t="inlineStr">
        <is>
          <t>Vitamin C 1000 mg  |  Ascorbic Acid Coated 97%</t>
        </is>
      </c>
      <c r="D282" s="10" t="inlineStr">
        <is>
          <t>Disintegration</t>
        </is>
      </c>
      <c r="E282" s="10">
        <f>IF(A282="","",A282&amp;"|"&amp;D282)</f>
        <v/>
      </c>
      <c r="F282" s="5" t="inlineStr">
        <is>
          <t>Y</t>
        </is>
      </c>
      <c r="G282" s="5" t="inlineStr">
        <is>
          <t>Disintegration tester</t>
        </is>
      </c>
      <c r="H282" s="5" t="inlineStr">
        <is>
          <t>Low</t>
        </is>
      </c>
      <c r="I282" s="5" t="n">
        <v>1</v>
      </c>
      <c r="J282" s="5" t="n"/>
      <c r="K282" s="10">
        <f>IFERROR(IF(INDEX('Test catalog'!$F$2:$F$200,MATCH($AB282,'Test catalog'!$A$2:$A$200,0))="","",INDEX('Test catalog'!$F$2:$F$200,MATCH($AB282,'Test catalog'!$A$2:$A$200,0))),"")</f>
        <v/>
      </c>
      <c r="L282" s="10">
        <f>IFERROR(IF(INDEX('Test catalog'!$G$2:$G$200,MATCH($AB282,'Test catalog'!$A$2:$A$200,0))="","",INDEX('Test catalog'!$G$2:$G$200,MATCH($AB282,'Test catalog'!$A$2:$A$200,0))),"")</f>
        <v/>
      </c>
      <c r="M282" s="10">
        <f>IFERROR(IF(INDEX('Test catalog'!$H$2:$H$200,MATCH($AB282,'Test catalog'!$A$2:$A$200,0))="","",INDEX('Test catalog'!$H$2:$H$200,MATCH($AB282,'Test catalog'!$A$2:$A$200,0))),"")</f>
        <v/>
      </c>
      <c r="N282" s="10">
        <f>IFERROR(IF(INDEX('Test catalog'!$I$2:$I$200,MATCH($AB282,'Test catalog'!$A$2:$A$200,0))="","",INDEX('Test catalog'!$I$2:$I$200,MATCH($AB282,'Test catalog'!$A$2:$A$200,0))),"")</f>
        <v/>
      </c>
      <c r="O282" s="10">
        <f>IFERROR(IF(INDEX('Test catalog'!$J$2:$J$200,MATCH($AB282,'Test catalog'!$A$2:$A$200,0))="","",INDEX('Test catalog'!$J$2:$J$200,MATCH($AB282,'Test catalog'!$A$2:$A$200,0))),"")</f>
        <v/>
      </c>
      <c r="P282" s="14">
        <f>IF(N282="","",IF(OR(M282="",O282=""),N282,(M282+4*N282+O282)/6))</f>
        <v/>
      </c>
      <c r="Q282" s="10">
        <f>IFERROR(IF(INDEX('Test catalog'!$K$2:$K$200,MATCH($AB282,'Test catalog'!$A$2:$A$200,0))="","",INDEX('Test catalog'!$K$2:$K$200,MATCH($AB282,'Test catalog'!$A$2:$A$200,0))),"")</f>
        <v/>
      </c>
      <c r="R282" s="5" t="n"/>
      <c r="S282" s="10">
        <f>IFERROR(IF(INDEX('Test catalog'!$L$2:$L$200,MATCH($AB282,'Test catalog'!$A$2:$A$200,0))="","",INDEX('Test catalog'!$L$2:$L$200,MATCH($AB282,'Test catalog'!$A$2:$A$200,0))),"")</f>
        <v/>
      </c>
      <c r="T282" s="10">
        <f>IFERROR(IF(INDEX('Test catalog'!$M$2:$M$200,MATCH($AB282,'Test catalog'!$A$2:$A$200,0))="","",INDEX('Test catalog'!$M$2:$M$200,MATCH($AB282,'Test catalog'!$A$2:$A$200,0))),"")</f>
        <v/>
      </c>
      <c r="U282" s="10">
        <f>IFERROR(IF(INDEX('Test catalog'!$N$2:$N$200,MATCH($AB282,'Test catalog'!$A$2:$A$200,0))="","",INDEX('Test catalog'!$N$2:$N$200,MATCH($AB282,'Test catalog'!$A$2:$A$200,0))),"")</f>
        <v/>
      </c>
      <c r="V282" s="15" t="n"/>
      <c r="W282" s="5" t="inlineStr">
        <is>
          <t>Y</t>
        </is>
      </c>
      <c r="X282" s="5" t="n"/>
      <c r="Y282" s="5" t="n"/>
      <c r="Z282" s="5" t="n"/>
      <c r="AA282" s="10">
        <f>IFERROR(IF(INDEX('Test catalog'!$O$2:$O$200,MATCH($AB282,'Test catalog'!$A$2:$A$200,0))="","",INDEX('Test catalog'!$O$2:$O$200,MATCH($AB282,'Test catalog'!$A$2:$A$200,0))),"")</f>
        <v/>
      </c>
      <c r="AB282" s="10" t="inlineStr">
        <is>
          <t>DISINT</t>
        </is>
      </c>
    </row>
    <row r="283">
      <c r="A283" s="10" t="inlineStr">
        <is>
          <t>F38</t>
        </is>
      </c>
      <c r="B283" s="10" t="inlineStr">
        <is>
          <t>FP</t>
        </is>
      </c>
      <c r="C283" s="10" t="inlineStr">
        <is>
          <t>Vitamin C 1000 mg  |  Ascorbic Acid Coated 97%</t>
        </is>
      </c>
      <c r="D283" s="10" t="inlineStr">
        <is>
          <t>In-process check at the machine (one check, all its tests)</t>
        </is>
      </c>
      <c r="E283" s="10">
        <f>IF(A283="","",A283&amp;"|"&amp;D283)</f>
        <v/>
      </c>
      <c r="F283" s="5" t="inlineStr">
        <is>
          <t>Y</t>
        </is>
      </c>
      <c r="G283" s="5" t="inlineStr">
        <is>
          <t>Tablet tester</t>
        </is>
      </c>
      <c r="H283" s="5" t="inlineStr">
        <is>
          <t>Low</t>
        </is>
      </c>
      <c r="I283" s="5" t="n">
        <v>1</v>
      </c>
      <c r="J283" s="5" t="n"/>
      <c r="K283" s="10">
        <f>IFERROR(IF(INDEX('Test catalog'!$F$2:$F$200,MATCH($AB283,'Test catalog'!$A$2:$A$200,0))="","",INDEX('Test catalog'!$F$2:$F$200,MATCH($AB283,'Test catalog'!$A$2:$A$200,0))),"")</f>
        <v/>
      </c>
      <c r="L283" s="10">
        <f>IFERROR(IF(INDEX('Test catalog'!$G$2:$G$200,MATCH($AB283,'Test catalog'!$A$2:$A$200,0))="","",INDEX('Test catalog'!$G$2:$G$200,MATCH($AB283,'Test catalog'!$A$2:$A$200,0))),"")</f>
        <v/>
      </c>
      <c r="M283" s="10">
        <f>IFERROR(IF(INDEX('Test catalog'!$H$2:$H$200,MATCH($AB283,'Test catalog'!$A$2:$A$200,0))="","",INDEX('Test catalog'!$H$2:$H$200,MATCH($AB283,'Test catalog'!$A$2:$A$200,0))),"")</f>
        <v/>
      </c>
      <c r="N283" s="10">
        <f>IFERROR(IF(INDEX('Test catalog'!$I$2:$I$200,MATCH($AB283,'Test catalog'!$A$2:$A$200,0))="","",INDEX('Test catalog'!$I$2:$I$200,MATCH($AB283,'Test catalog'!$A$2:$A$200,0))),"")</f>
        <v/>
      </c>
      <c r="O283" s="10">
        <f>IFERROR(IF(INDEX('Test catalog'!$J$2:$J$200,MATCH($AB283,'Test catalog'!$A$2:$A$200,0))="","",INDEX('Test catalog'!$J$2:$J$200,MATCH($AB283,'Test catalog'!$A$2:$A$200,0))),"")</f>
        <v/>
      </c>
      <c r="P283" s="14">
        <f>IF(N283="","",IF(OR(M283="",O283=""),N283,(M283+4*N283+O283)/6))</f>
        <v/>
      </c>
      <c r="Q283" s="10">
        <f>IFERROR(IF(INDEX('Test catalog'!$K$2:$K$200,MATCH($AB283,'Test catalog'!$A$2:$A$200,0))="","",INDEX('Test catalog'!$K$2:$K$200,MATCH($AB283,'Test catalog'!$A$2:$A$200,0))),"")</f>
        <v/>
      </c>
      <c r="R283" s="5" t="n"/>
      <c r="S283" s="10">
        <f>IFERROR(IF(INDEX('Test catalog'!$L$2:$L$200,MATCH($AB283,'Test catalog'!$A$2:$A$200,0))="","",INDEX('Test catalog'!$L$2:$L$200,MATCH($AB283,'Test catalog'!$A$2:$A$200,0))),"")</f>
        <v/>
      </c>
      <c r="T283" s="10">
        <f>IFERROR(IF(INDEX('Test catalog'!$M$2:$M$200,MATCH($AB283,'Test catalog'!$A$2:$A$200,0))="","",INDEX('Test catalog'!$M$2:$M$200,MATCH($AB283,'Test catalog'!$A$2:$A$200,0))),"")</f>
        <v/>
      </c>
      <c r="U283" s="10">
        <f>IFERROR(IF(INDEX('Test catalog'!$N$2:$N$200,MATCH($AB283,'Test catalog'!$A$2:$A$200,0))="","",INDEX('Test catalog'!$N$2:$N$200,MATCH($AB283,'Test catalog'!$A$2:$A$200,0))),"")</f>
        <v/>
      </c>
      <c r="V283" s="15" t="n"/>
      <c r="W283" s="5" t="inlineStr">
        <is>
          <t>N</t>
        </is>
      </c>
      <c r="X283" s="5" t="n"/>
      <c r="Y283" s="5" t="n"/>
      <c r="Z283" s="5" t="n"/>
      <c r="AA283" s="10">
        <f>IFERROR(IF(INDEX('Test catalog'!$O$2:$O$200,MATCH($AB283,'Test catalog'!$A$2:$A$200,0))="","",INDEX('Test catalog'!$O$2:$O$200,MATCH($AB283,'Test catalog'!$A$2:$A$200,0))),"")</f>
        <v/>
      </c>
      <c r="AB283" s="10" t="inlineStr">
        <is>
          <t>IPC</t>
        </is>
      </c>
    </row>
    <row r="284">
      <c r="A284" s="10" t="inlineStr">
        <is>
          <t>F39</t>
        </is>
      </c>
      <c r="B284" s="10" t="inlineStr">
        <is>
          <t>FP</t>
        </is>
      </c>
      <c r="C284" s="10" t="inlineStr">
        <is>
          <t>Magnesium Oxide  |  Magnesium Oxide Heavy</t>
        </is>
      </c>
      <c r="D284" s="10" t="inlineStr">
        <is>
          <t>Average weight / uniformity of mass</t>
        </is>
      </c>
      <c r="E284" s="10">
        <f>IF(A284="","",A284&amp;"|"&amp;D284)</f>
        <v/>
      </c>
      <c r="F284" s="5" t="inlineStr">
        <is>
          <t>Y</t>
        </is>
      </c>
      <c r="G284" s="5" t="inlineStr">
        <is>
          <t>Balance</t>
        </is>
      </c>
      <c r="H284" s="5" t="inlineStr">
        <is>
          <t>Low</t>
        </is>
      </c>
      <c r="I284" s="5" t="n">
        <v>1</v>
      </c>
      <c r="J284" s="5" t="n"/>
      <c r="K284" s="10">
        <f>IFERROR(IF(INDEX('Test catalog'!$F$2:$F$200,MATCH($AB284,'Test catalog'!$A$2:$A$200,0))="","",INDEX('Test catalog'!$F$2:$F$200,MATCH($AB284,'Test catalog'!$A$2:$A$200,0))),"")</f>
        <v/>
      </c>
      <c r="L284" s="10">
        <f>IFERROR(IF(INDEX('Test catalog'!$G$2:$G$200,MATCH($AB284,'Test catalog'!$A$2:$A$200,0))="","",INDEX('Test catalog'!$G$2:$G$200,MATCH($AB284,'Test catalog'!$A$2:$A$200,0))),"")</f>
        <v/>
      </c>
      <c r="M284" s="10">
        <f>IFERROR(IF(INDEX('Test catalog'!$H$2:$H$200,MATCH($AB284,'Test catalog'!$A$2:$A$200,0))="","",INDEX('Test catalog'!$H$2:$H$200,MATCH($AB284,'Test catalog'!$A$2:$A$200,0))),"")</f>
        <v/>
      </c>
      <c r="N284" s="10">
        <f>IFERROR(IF(INDEX('Test catalog'!$I$2:$I$200,MATCH($AB284,'Test catalog'!$A$2:$A$200,0))="","",INDEX('Test catalog'!$I$2:$I$200,MATCH($AB284,'Test catalog'!$A$2:$A$200,0))),"")</f>
        <v/>
      </c>
      <c r="O284" s="10">
        <f>IFERROR(IF(INDEX('Test catalog'!$J$2:$J$200,MATCH($AB284,'Test catalog'!$A$2:$A$200,0))="","",INDEX('Test catalog'!$J$2:$J$200,MATCH($AB284,'Test catalog'!$A$2:$A$200,0))),"")</f>
        <v/>
      </c>
      <c r="P284" s="14">
        <f>IF(N284="","",IF(OR(M284="",O284=""),N284,(M284+4*N284+O284)/6))</f>
        <v/>
      </c>
      <c r="Q284" s="10">
        <f>IFERROR(IF(INDEX('Test catalog'!$K$2:$K$200,MATCH($AB284,'Test catalog'!$A$2:$A$200,0))="","",INDEX('Test catalog'!$K$2:$K$200,MATCH($AB284,'Test catalog'!$A$2:$A$200,0))),"")</f>
        <v/>
      </c>
      <c r="R284" s="5" t="n"/>
      <c r="S284" s="10">
        <f>IFERROR(IF(INDEX('Test catalog'!$L$2:$L$200,MATCH($AB284,'Test catalog'!$A$2:$A$200,0))="","",INDEX('Test catalog'!$L$2:$L$200,MATCH($AB284,'Test catalog'!$A$2:$A$200,0))),"")</f>
        <v/>
      </c>
      <c r="T284" s="10">
        <f>IFERROR(IF(INDEX('Test catalog'!$M$2:$M$200,MATCH($AB284,'Test catalog'!$A$2:$A$200,0))="","",INDEX('Test catalog'!$M$2:$M$200,MATCH($AB284,'Test catalog'!$A$2:$A$200,0))),"")</f>
        <v/>
      </c>
      <c r="U284" s="10">
        <f>IFERROR(IF(INDEX('Test catalog'!$N$2:$N$200,MATCH($AB284,'Test catalog'!$A$2:$A$200,0))="","",INDEX('Test catalog'!$N$2:$N$200,MATCH($AB284,'Test catalog'!$A$2:$A$200,0))),"")</f>
        <v/>
      </c>
      <c r="V284" s="15" t="n"/>
      <c r="W284" s="5" t="inlineStr">
        <is>
          <t>N</t>
        </is>
      </c>
      <c r="X284" s="5" t="n"/>
      <c r="Y284" s="5" t="n"/>
      <c r="Z284" s="5" t="n"/>
      <c r="AA284" s="10">
        <f>IFERROR(IF(INDEX('Test catalog'!$O$2:$O$200,MATCH($AB284,'Test catalog'!$A$2:$A$200,0))="","",INDEX('Test catalog'!$O$2:$O$200,MATCH($AB284,'Test catalog'!$A$2:$A$200,0))),"")</f>
        <v/>
      </c>
      <c r="AB284" s="10" t="inlineStr">
        <is>
          <t>AVG_WT</t>
        </is>
      </c>
    </row>
    <row r="285">
      <c r="A285" s="10" t="inlineStr">
        <is>
          <t>F39</t>
        </is>
      </c>
      <c r="B285" s="10" t="inlineStr">
        <is>
          <t>FP</t>
        </is>
      </c>
      <c r="C285" s="10" t="inlineStr">
        <is>
          <t>Magnesium Oxide  |  Magnesium Oxide Heavy</t>
        </is>
      </c>
      <c r="D285" s="10" t="inlineStr">
        <is>
          <t>Diameter (or length / width)</t>
        </is>
      </c>
      <c r="E285" s="10">
        <f>IF(A285="","",A285&amp;"|"&amp;D285)</f>
        <v/>
      </c>
      <c r="F285" s="5" t="inlineStr">
        <is>
          <t>Y</t>
        </is>
      </c>
      <c r="G285" s="5" t="inlineStr">
        <is>
          <t>Tablet tester</t>
        </is>
      </c>
      <c r="H285" s="5" t="inlineStr">
        <is>
          <t>Low</t>
        </is>
      </c>
      <c r="I285" s="5" t="n">
        <v>1</v>
      </c>
      <c r="J285" s="5" t="n"/>
      <c r="K285" s="10">
        <f>IFERROR(IF(INDEX('Test catalog'!$F$2:$F$200,MATCH($AB285,'Test catalog'!$A$2:$A$200,0))="","",INDEX('Test catalog'!$F$2:$F$200,MATCH($AB285,'Test catalog'!$A$2:$A$200,0))),"")</f>
        <v/>
      </c>
      <c r="L285" s="10">
        <f>IFERROR(IF(INDEX('Test catalog'!$G$2:$G$200,MATCH($AB285,'Test catalog'!$A$2:$A$200,0))="","",INDEX('Test catalog'!$G$2:$G$200,MATCH($AB285,'Test catalog'!$A$2:$A$200,0))),"")</f>
        <v/>
      </c>
      <c r="M285" s="10">
        <f>IFERROR(IF(INDEX('Test catalog'!$H$2:$H$200,MATCH($AB285,'Test catalog'!$A$2:$A$200,0))="","",INDEX('Test catalog'!$H$2:$H$200,MATCH($AB285,'Test catalog'!$A$2:$A$200,0))),"")</f>
        <v/>
      </c>
      <c r="N285" s="10">
        <f>IFERROR(IF(INDEX('Test catalog'!$I$2:$I$200,MATCH($AB285,'Test catalog'!$A$2:$A$200,0))="","",INDEX('Test catalog'!$I$2:$I$200,MATCH($AB285,'Test catalog'!$A$2:$A$200,0))),"")</f>
        <v/>
      </c>
      <c r="O285" s="10">
        <f>IFERROR(IF(INDEX('Test catalog'!$J$2:$J$200,MATCH($AB285,'Test catalog'!$A$2:$A$200,0))="","",INDEX('Test catalog'!$J$2:$J$200,MATCH($AB285,'Test catalog'!$A$2:$A$200,0))),"")</f>
        <v/>
      </c>
      <c r="P285" s="14">
        <f>IF(N285="","",IF(OR(M285="",O285=""),N285,(M285+4*N285+O285)/6))</f>
        <v/>
      </c>
      <c r="Q285" s="10">
        <f>IFERROR(IF(INDEX('Test catalog'!$K$2:$K$200,MATCH($AB285,'Test catalog'!$A$2:$A$200,0))="","",INDEX('Test catalog'!$K$2:$K$200,MATCH($AB285,'Test catalog'!$A$2:$A$200,0))),"")</f>
        <v/>
      </c>
      <c r="R285" s="5" t="n"/>
      <c r="S285" s="10">
        <f>IFERROR(IF(INDEX('Test catalog'!$L$2:$L$200,MATCH($AB285,'Test catalog'!$A$2:$A$200,0))="","",INDEX('Test catalog'!$L$2:$L$200,MATCH($AB285,'Test catalog'!$A$2:$A$200,0))),"")</f>
        <v/>
      </c>
      <c r="T285" s="10">
        <f>IFERROR(IF(INDEX('Test catalog'!$M$2:$M$200,MATCH($AB285,'Test catalog'!$A$2:$A$200,0))="","",INDEX('Test catalog'!$M$2:$M$200,MATCH($AB285,'Test catalog'!$A$2:$A$200,0))),"")</f>
        <v/>
      </c>
      <c r="U285" s="10">
        <f>IFERROR(IF(INDEX('Test catalog'!$N$2:$N$200,MATCH($AB285,'Test catalog'!$A$2:$A$200,0))="","",INDEX('Test catalog'!$N$2:$N$200,MATCH($AB285,'Test catalog'!$A$2:$A$200,0))),"")</f>
        <v/>
      </c>
      <c r="V285" s="15" t="n"/>
      <c r="W285" s="5" t="inlineStr">
        <is>
          <t>N</t>
        </is>
      </c>
      <c r="X285" s="5" t="n"/>
      <c r="Y285" s="5" t="n"/>
      <c r="Z285" s="5" t="n"/>
      <c r="AA285" s="10">
        <f>IFERROR(IF(INDEX('Test catalog'!$O$2:$O$200,MATCH($AB285,'Test catalog'!$A$2:$A$200,0))="","",INDEX('Test catalog'!$O$2:$O$200,MATCH($AB285,'Test catalog'!$A$2:$A$200,0))),"")</f>
        <v/>
      </c>
      <c r="AB285" s="10" t="inlineStr">
        <is>
          <t>DIAM</t>
        </is>
      </c>
    </row>
    <row r="286">
      <c r="A286" s="10" t="inlineStr">
        <is>
          <t>F39</t>
        </is>
      </c>
      <c r="B286" s="10" t="inlineStr">
        <is>
          <t>FP</t>
        </is>
      </c>
      <c r="C286" s="10" t="inlineStr">
        <is>
          <t>Magnesium Oxide  |  Magnesium Oxide Heavy</t>
        </is>
      </c>
      <c r="D286" s="10" t="inlineStr">
        <is>
          <t>Thickness</t>
        </is>
      </c>
      <c r="E286" s="10">
        <f>IF(A286="","",A286&amp;"|"&amp;D286)</f>
        <v/>
      </c>
      <c r="F286" s="5" t="inlineStr">
        <is>
          <t>Y</t>
        </is>
      </c>
      <c r="G286" s="5" t="inlineStr">
        <is>
          <t>Tablet tester</t>
        </is>
      </c>
      <c r="H286" s="5" t="inlineStr">
        <is>
          <t>Low</t>
        </is>
      </c>
      <c r="I286" s="5" t="n">
        <v>1</v>
      </c>
      <c r="J286" s="5" t="n"/>
      <c r="K286" s="10">
        <f>IFERROR(IF(INDEX('Test catalog'!$F$2:$F$200,MATCH($AB286,'Test catalog'!$A$2:$A$200,0))="","",INDEX('Test catalog'!$F$2:$F$200,MATCH($AB286,'Test catalog'!$A$2:$A$200,0))),"")</f>
        <v/>
      </c>
      <c r="L286" s="10">
        <f>IFERROR(IF(INDEX('Test catalog'!$G$2:$G$200,MATCH($AB286,'Test catalog'!$A$2:$A$200,0))="","",INDEX('Test catalog'!$G$2:$G$200,MATCH($AB286,'Test catalog'!$A$2:$A$200,0))),"")</f>
        <v/>
      </c>
      <c r="M286" s="10">
        <f>IFERROR(IF(INDEX('Test catalog'!$H$2:$H$200,MATCH($AB286,'Test catalog'!$A$2:$A$200,0))="","",INDEX('Test catalog'!$H$2:$H$200,MATCH($AB286,'Test catalog'!$A$2:$A$200,0))),"")</f>
        <v/>
      </c>
      <c r="N286" s="10">
        <f>IFERROR(IF(INDEX('Test catalog'!$I$2:$I$200,MATCH($AB286,'Test catalog'!$A$2:$A$200,0))="","",INDEX('Test catalog'!$I$2:$I$200,MATCH($AB286,'Test catalog'!$A$2:$A$200,0))),"")</f>
        <v/>
      </c>
      <c r="O286" s="10">
        <f>IFERROR(IF(INDEX('Test catalog'!$J$2:$J$200,MATCH($AB286,'Test catalog'!$A$2:$A$200,0))="","",INDEX('Test catalog'!$J$2:$J$200,MATCH($AB286,'Test catalog'!$A$2:$A$200,0))),"")</f>
        <v/>
      </c>
      <c r="P286" s="14">
        <f>IF(N286="","",IF(OR(M286="",O286=""),N286,(M286+4*N286+O286)/6))</f>
        <v/>
      </c>
      <c r="Q286" s="10">
        <f>IFERROR(IF(INDEX('Test catalog'!$K$2:$K$200,MATCH($AB286,'Test catalog'!$A$2:$A$200,0))="","",INDEX('Test catalog'!$K$2:$K$200,MATCH($AB286,'Test catalog'!$A$2:$A$200,0))),"")</f>
        <v/>
      </c>
      <c r="R286" s="5" t="n"/>
      <c r="S286" s="10">
        <f>IFERROR(IF(INDEX('Test catalog'!$L$2:$L$200,MATCH($AB286,'Test catalog'!$A$2:$A$200,0))="","",INDEX('Test catalog'!$L$2:$L$200,MATCH($AB286,'Test catalog'!$A$2:$A$200,0))),"")</f>
        <v/>
      </c>
      <c r="T286" s="10">
        <f>IFERROR(IF(INDEX('Test catalog'!$M$2:$M$200,MATCH($AB286,'Test catalog'!$A$2:$A$200,0))="","",INDEX('Test catalog'!$M$2:$M$200,MATCH($AB286,'Test catalog'!$A$2:$A$200,0))),"")</f>
        <v/>
      </c>
      <c r="U286" s="10">
        <f>IFERROR(IF(INDEX('Test catalog'!$N$2:$N$200,MATCH($AB286,'Test catalog'!$A$2:$A$200,0))="","",INDEX('Test catalog'!$N$2:$N$200,MATCH($AB286,'Test catalog'!$A$2:$A$200,0))),"")</f>
        <v/>
      </c>
      <c r="V286" s="15" t="n"/>
      <c r="W286" s="5" t="inlineStr">
        <is>
          <t>N</t>
        </is>
      </c>
      <c r="X286" s="5" t="n"/>
      <c r="Y286" s="5" t="n"/>
      <c r="Z286" s="5" t="n"/>
      <c r="AA286" s="10">
        <f>IFERROR(IF(INDEX('Test catalog'!$O$2:$O$200,MATCH($AB286,'Test catalog'!$A$2:$A$200,0))="","",INDEX('Test catalog'!$O$2:$O$200,MATCH($AB286,'Test catalog'!$A$2:$A$200,0))),"")</f>
        <v/>
      </c>
      <c r="AB286" s="10" t="inlineStr">
        <is>
          <t>THICK</t>
        </is>
      </c>
    </row>
    <row r="287">
      <c r="A287" s="10" t="inlineStr">
        <is>
          <t>F39</t>
        </is>
      </c>
      <c r="B287" s="10" t="inlineStr">
        <is>
          <t>FP</t>
        </is>
      </c>
      <c r="C287" s="10" t="inlineStr">
        <is>
          <t>Magnesium Oxide  |  Magnesium Oxide Heavy</t>
        </is>
      </c>
      <c r="D287" s="10" t="inlineStr">
        <is>
          <t>Hardness / breaking force</t>
        </is>
      </c>
      <c r="E287" s="10">
        <f>IF(A287="","",A287&amp;"|"&amp;D287)</f>
        <v/>
      </c>
      <c r="F287" s="5" t="inlineStr">
        <is>
          <t>Y</t>
        </is>
      </c>
      <c r="G287" s="5" t="inlineStr">
        <is>
          <t>Tablet tester</t>
        </is>
      </c>
      <c r="H287" s="5" t="inlineStr">
        <is>
          <t>Low</t>
        </is>
      </c>
      <c r="I287" s="5" t="n">
        <v>1</v>
      </c>
      <c r="J287" s="5" t="n"/>
      <c r="K287" s="10">
        <f>IFERROR(IF(INDEX('Test catalog'!$F$2:$F$200,MATCH($AB287,'Test catalog'!$A$2:$A$200,0))="","",INDEX('Test catalog'!$F$2:$F$200,MATCH($AB287,'Test catalog'!$A$2:$A$200,0))),"")</f>
        <v/>
      </c>
      <c r="L287" s="10">
        <f>IFERROR(IF(INDEX('Test catalog'!$G$2:$G$200,MATCH($AB287,'Test catalog'!$A$2:$A$200,0))="","",INDEX('Test catalog'!$G$2:$G$200,MATCH($AB287,'Test catalog'!$A$2:$A$200,0))),"")</f>
        <v/>
      </c>
      <c r="M287" s="10">
        <f>IFERROR(IF(INDEX('Test catalog'!$H$2:$H$200,MATCH($AB287,'Test catalog'!$A$2:$A$200,0))="","",INDEX('Test catalog'!$H$2:$H$200,MATCH($AB287,'Test catalog'!$A$2:$A$200,0))),"")</f>
        <v/>
      </c>
      <c r="N287" s="10">
        <f>IFERROR(IF(INDEX('Test catalog'!$I$2:$I$200,MATCH($AB287,'Test catalog'!$A$2:$A$200,0))="","",INDEX('Test catalog'!$I$2:$I$200,MATCH($AB287,'Test catalog'!$A$2:$A$200,0))),"")</f>
        <v/>
      </c>
      <c r="O287" s="10">
        <f>IFERROR(IF(INDEX('Test catalog'!$J$2:$J$200,MATCH($AB287,'Test catalog'!$A$2:$A$200,0))="","",INDEX('Test catalog'!$J$2:$J$200,MATCH($AB287,'Test catalog'!$A$2:$A$200,0))),"")</f>
        <v/>
      </c>
      <c r="P287" s="14">
        <f>IF(N287="","",IF(OR(M287="",O287=""),N287,(M287+4*N287+O287)/6))</f>
        <v/>
      </c>
      <c r="Q287" s="10">
        <f>IFERROR(IF(INDEX('Test catalog'!$K$2:$K$200,MATCH($AB287,'Test catalog'!$A$2:$A$200,0))="","",INDEX('Test catalog'!$K$2:$K$200,MATCH($AB287,'Test catalog'!$A$2:$A$200,0))),"")</f>
        <v/>
      </c>
      <c r="R287" s="5" t="n"/>
      <c r="S287" s="10">
        <f>IFERROR(IF(INDEX('Test catalog'!$L$2:$L$200,MATCH($AB287,'Test catalog'!$A$2:$A$200,0))="","",INDEX('Test catalog'!$L$2:$L$200,MATCH($AB287,'Test catalog'!$A$2:$A$200,0))),"")</f>
        <v/>
      </c>
      <c r="T287" s="10">
        <f>IFERROR(IF(INDEX('Test catalog'!$M$2:$M$200,MATCH($AB287,'Test catalog'!$A$2:$A$200,0))="","",INDEX('Test catalog'!$M$2:$M$200,MATCH($AB287,'Test catalog'!$A$2:$A$200,0))),"")</f>
        <v/>
      </c>
      <c r="U287" s="10">
        <f>IFERROR(IF(INDEX('Test catalog'!$N$2:$N$200,MATCH($AB287,'Test catalog'!$A$2:$A$200,0))="","",INDEX('Test catalog'!$N$2:$N$200,MATCH($AB287,'Test catalog'!$A$2:$A$200,0))),"")</f>
        <v/>
      </c>
      <c r="V287" s="15" t="n"/>
      <c r="W287" s="5" t="inlineStr">
        <is>
          <t>Y</t>
        </is>
      </c>
      <c r="X287" s="5" t="n"/>
      <c r="Y287" s="5" t="n"/>
      <c r="Z287" s="5" t="n"/>
      <c r="AA287" s="10">
        <f>IFERROR(IF(INDEX('Test catalog'!$O$2:$O$200,MATCH($AB287,'Test catalog'!$A$2:$A$200,0))="","",INDEX('Test catalog'!$O$2:$O$200,MATCH($AB287,'Test catalog'!$A$2:$A$200,0))),"")</f>
        <v/>
      </c>
      <c r="AB287" s="10" t="inlineStr">
        <is>
          <t>HARD</t>
        </is>
      </c>
    </row>
    <row r="288">
      <c r="A288" s="10" t="inlineStr">
        <is>
          <t>F39</t>
        </is>
      </c>
      <c r="B288" s="10" t="inlineStr">
        <is>
          <t>FP</t>
        </is>
      </c>
      <c r="C288" s="10" t="inlineStr">
        <is>
          <t>Magnesium Oxide  |  Magnesium Oxide Heavy</t>
        </is>
      </c>
      <c r="D288" s="10" t="inlineStr">
        <is>
          <t>Brittleness</t>
        </is>
      </c>
      <c r="E288" s="10">
        <f>IF(A288="","",A288&amp;"|"&amp;D288)</f>
        <v/>
      </c>
      <c r="F288" s="5" t="inlineStr">
        <is>
          <t>Y</t>
        </is>
      </c>
      <c r="G288" s="5" t="inlineStr">
        <is>
          <t>Other / bench</t>
        </is>
      </c>
      <c r="H288" s="5" t="inlineStr">
        <is>
          <t>Low</t>
        </is>
      </c>
      <c r="I288" s="5" t="n">
        <v>1</v>
      </c>
      <c r="J288" s="5" t="n"/>
      <c r="K288" s="10">
        <f>IFERROR(IF(INDEX('Test catalog'!$F$2:$F$200,MATCH($AB288,'Test catalog'!$A$2:$A$200,0))="","",INDEX('Test catalog'!$F$2:$F$200,MATCH($AB288,'Test catalog'!$A$2:$A$200,0))),"")</f>
        <v/>
      </c>
      <c r="L288" s="10">
        <f>IFERROR(IF(INDEX('Test catalog'!$G$2:$G$200,MATCH($AB288,'Test catalog'!$A$2:$A$200,0))="","",INDEX('Test catalog'!$G$2:$G$200,MATCH($AB288,'Test catalog'!$A$2:$A$200,0))),"")</f>
        <v/>
      </c>
      <c r="M288" s="10">
        <f>IFERROR(IF(INDEX('Test catalog'!$H$2:$H$200,MATCH($AB288,'Test catalog'!$A$2:$A$200,0))="","",INDEX('Test catalog'!$H$2:$H$200,MATCH($AB288,'Test catalog'!$A$2:$A$200,0))),"")</f>
        <v/>
      </c>
      <c r="N288" s="10">
        <f>IFERROR(IF(INDEX('Test catalog'!$I$2:$I$200,MATCH($AB288,'Test catalog'!$A$2:$A$200,0))="","",INDEX('Test catalog'!$I$2:$I$200,MATCH($AB288,'Test catalog'!$A$2:$A$200,0))),"")</f>
        <v/>
      </c>
      <c r="O288" s="10">
        <f>IFERROR(IF(INDEX('Test catalog'!$J$2:$J$200,MATCH($AB288,'Test catalog'!$A$2:$A$200,0))="","",INDEX('Test catalog'!$J$2:$J$200,MATCH($AB288,'Test catalog'!$A$2:$A$200,0))),"")</f>
        <v/>
      </c>
      <c r="P288" s="14">
        <f>IF(N288="","",IF(OR(M288="",O288=""),N288,(M288+4*N288+O288)/6))</f>
        <v/>
      </c>
      <c r="Q288" s="10">
        <f>IFERROR(IF(INDEX('Test catalog'!$K$2:$K$200,MATCH($AB288,'Test catalog'!$A$2:$A$200,0))="","",INDEX('Test catalog'!$K$2:$K$200,MATCH($AB288,'Test catalog'!$A$2:$A$200,0))),"")</f>
        <v/>
      </c>
      <c r="R288" s="5" t="n"/>
      <c r="S288" s="10">
        <f>IFERROR(IF(INDEX('Test catalog'!$L$2:$L$200,MATCH($AB288,'Test catalog'!$A$2:$A$200,0))="","",INDEX('Test catalog'!$L$2:$L$200,MATCH($AB288,'Test catalog'!$A$2:$A$200,0))),"")</f>
        <v/>
      </c>
      <c r="T288" s="10">
        <f>IFERROR(IF(INDEX('Test catalog'!$M$2:$M$200,MATCH($AB288,'Test catalog'!$A$2:$A$200,0))="","",INDEX('Test catalog'!$M$2:$M$200,MATCH($AB288,'Test catalog'!$A$2:$A$200,0))),"")</f>
        <v/>
      </c>
      <c r="U288" s="10">
        <f>IFERROR(IF(INDEX('Test catalog'!$N$2:$N$200,MATCH($AB288,'Test catalog'!$A$2:$A$200,0))="","",INDEX('Test catalog'!$N$2:$N$200,MATCH($AB288,'Test catalog'!$A$2:$A$200,0))),"")</f>
        <v/>
      </c>
      <c r="V288" s="15" t="n"/>
      <c r="W288" s="5" t="inlineStr">
        <is>
          <t>N</t>
        </is>
      </c>
      <c r="X288" s="5" t="n"/>
      <c r="Y288" s="5" t="n"/>
      <c r="Z288" s="5" t="n"/>
      <c r="AA288" s="10">
        <f>IFERROR(IF(INDEX('Test catalog'!$O$2:$O$200,MATCH($AB288,'Test catalog'!$A$2:$A$200,0))="","",INDEX('Test catalog'!$O$2:$O$200,MATCH($AB288,'Test catalog'!$A$2:$A$200,0))),"")</f>
        <v/>
      </c>
      <c r="AB288" s="10" t="inlineStr">
        <is>
          <t>BRITTLE</t>
        </is>
      </c>
    </row>
    <row r="289">
      <c r="A289" s="10" t="inlineStr">
        <is>
          <t>F39</t>
        </is>
      </c>
      <c r="B289" s="10" t="inlineStr">
        <is>
          <t>FP</t>
        </is>
      </c>
      <c r="C289" s="10" t="inlineStr">
        <is>
          <t>Magnesium Oxide  |  Magnesium Oxide Heavy</t>
        </is>
      </c>
      <c r="D289" s="10" t="inlineStr">
        <is>
          <t>Friability</t>
        </is>
      </c>
      <c r="E289" s="10">
        <f>IF(A289="","",A289&amp;"|"&amp;D289)</f>
        <v/>
      </c>
      <c r="F289" s="5" t="inlineStr">
        <is>
          <t>Y</t>
        </is>
      </c>
      <c r="G289" s="5" t="inlineStr">
        <is>
          <t>Friabilator</t>
        </is>
      </c>
      <c r="H289" s="5" t="inlineStr">
        <is>
          <t>Low</t>
        </is>
      </c>
      <c r="I289" s="5" t="n">
        <v>1</v>
      </c>
      <c r="J289" s="5" t="n"/>
      <c r="K289" s="10">
        <f>IFERROR(IF(INDEX('Test catalog'!$F$2:$F$200,MATCH($AB289,'Test catalog'!$A$2:$A$200,0))="","",INDEX('Test catalog'!$F$2:$F$200,MATCH($AB289,'Test catalog'!$A$2:$A$200,0))),"")</f>
        <v/>
      </c>
      <c r="L289" s="10">
        <f>IFERROR(IF(INDEX('Test catalog'!$G$2:$G$200,MATCH($AB289,'Test catalog'!$A$2:$A$200,0))="","",INDEX('Test catalog'!$G$2:$G$200,MATCH($AB289,'Test catalog'!$A$2:$A$200,0))),"")</f>
        <v/>
      </c>
      <c r="M289" s="10">
        <f>IFERROR(IF(INDEX('Test catalog'!$H$2:$H$200,MATCH($AB289,'Test catalog'!$A$2:$A$200,0))="","",INDEX('Test catalog'!$H$2:$H$200,MATCH($AB289,'Test catalog'!$A$2:$A$200,0))),"")</f>
        <v/>
      </c>
      <c r="N289" s="10">
        <f>IFERROR(IF(INDEX('Test catalog'!$I$2:$I$200,MATCH($AB289,'Test catalog'!$A$2:$A$200,0))="","",INDEX('Test catalog'!$I$2:$I$200,MATCH($AB289,'Test catalog'!$A$2:$A$200,0))),"")</f>
        <v/>
      </c>
      <c r="O289" s="10">
        <f>IFERROR(IF(INDEX('Test catalog'!$J$2:$J$200,MATCH($AB289,'Test catalog'!$A$2:$A$200,0))="","",INDEX('Test catalog'!$J$2:$J$200,MATCH($AB289,'Test catalog'!$A$2:$A$200,0))),"")</f>
        <v/>
      </c>
      <c r="P289" s="14">
        <f>IF(N289="","",IF(OR(M289="",O289=""),N289,(M289+4*N289+O289)/6))</f>
        <v/>
      </c>
      <c r="Q289" s="10">
        <f>IFERROR(IF(INDEX('Test catalog'!$K$2:$K$200,MATCH($AB289,'Test catalog'!$A$2:$A$200,0))="","",INDEX('Test catalog'!$K$2:$K$200,MATCH($AB289,'Test catalog'!$A$2:$A$200,0))),"")</f>
        <v/>
      </c>
      <c r="R289" s="5" t="n"/>
      <c r="S289" s="10">
        <f>IFERROR(IF(INDEX('Test catalog'!$L$2:$L$200,MATCH($AB289,'Test catalog'!$A$2:$A$200,0))="","",INDEX('Test catalog'!$L$2:$L$200,MATCH($AB289,'Test catalog'!$A$2:$A$200,0))),"")</f>
        <v/>
      </c>
      <c r="T289" s="10">
        <f>IFERROR(IF(INDEX('Test catalog'!$M$2:$M$200,MATCH($AB289,'Test catalog'!$A$2:$A$200,0))="","",INDEX('Test catalog'!$M$2:$M$200,MATCH($AB289,'Test catalog'!$A$2:$A$200,0))),"")</f>
        <v/>
      </c>
      <c r="U289" s="10">
        <f>IFERROR(IF(INDEX('Test catalog'!$N$2:$N$200,MATCH($AB289,'Test catalog'!$A$2:$A$200,0))="","",INDEX('Test catalog'!$N$2:$N$200,MATCH($AB289,'Test catalog'!$A$2:$A$200,0))),"")</f>
        <v/>
      </c>
      <c r="V289" s="15" t="n"/>
      <c r="W289" s="5" t="inlineStr">
        <is>
          <t>N</t>
        </is>
      </c>
      <c r="X289" s="5" t="n"/>
      <c r="Y289" s="5" t="n"/>
      <c r="Z289" s="5" t="n"/>
      <c r="AA289" s="10">
        <f>IFERROR(IF(INDEX('Test catalog'!$O$2:$O$200,MATCH($AB289,'Test catalog'!$A$2:$A$200,0))="","",INDEX('Test catalog'!$O$2:$O$200,MATCH($AB289,'Test catalog'!$A$2:$A$200,0))),"")</f>
        <v/>
      </c>
      <c r="AB289" s="10" t="inlineStr">
        <is>
          <t>FRIAB</t>
        </is>
      </c>
    </row>
    <row r="290">
      <c r="A290" s="10" t="inlineStr">
        <is>
          <t>F39</t>
        </is>
      </c>
      <c r="B290" s="10" t="inlineStr">
        <is>
          <t>FP</t>
        </is>
      </c>
      <c r="C290" s="10" t="inlineStr">
        <is>
          <t>Magnesium Oxide  |  Magnesium Oxide Heavy</t>
        </is>
      </c>
      <c r="D290" s="10" t="inlineStr">
        <is>
          <t>Disintegration</t>
        </is>
      </c>
      <c r="E290" s="10">
        <f>IF(A290="","",A290&amp;"|"&amp;D290)</f>
        <v/>
      </c>
      <c r="F290" s="5" t="inlineStr">
        <is>
          <t>Y</t>
        </is>
      </c>
      <c r="G290" s="5" t="inlineStr">
        <is>
          <t>Disintegration tester</t>
        </is>
      </c>
      <c r="H290" s="5" t="inlineStr">
        <is>
          <t>Low</t>
        </is>
      </c>
      <c r="I290" s="5" t="n">
        <v>1</v>
      </c>
      <c r="J290" s="5" t="n"/>
      <c r="K290" s="10">
        <f>IFERROR(IF(INDEX('Test catalog'!$F$2:$F$200,MATCH($AB290,'Test catalog'!$A$2:$A$200,0))="","",INDEX('Test catalog'!$F$2:$F$200,MATCH($AB290,'Test catalog'!$A$2:$A$200,0))),"")</f>
        <v/>
      </c>
      <c r="L290" s="10">
        <f>IFERROR(IF(INDEX('Test catalog'!$G$2:$G$200,MATCH($AB290,'Test catalog'!$A$2:$A$200,0))="","",INDEX('Test catalog'!$G$2:$G$200,MATCH($AB290,'Test catalog'!$A$2:$A$200,0))),"")</f>
        <v/>
      </c>
      <c r="M290" s="10">
        <f>IFERROR(IF(INDEX('Test catalog'!$H$2:$H$200,MATCH($AB290,'Test catalog'!$A$2:$A$200,0))="","",INDEX('Test catalog'!$H$2:$H$200,MATCH($AB290,'Test catalog'!$A$2:$A$200,0))),"")</f>
        <v/>
      </c>
      <c r="N290" s="10">
        <f>IFERROR(IF(INDEX('Test catalog'!$I$2:$I$200,MATCH($AB290,'Test catalog'!$A$2:$A$200,0))="","",INDEX('Test catalog'!$I$2:$I$200,MATCH($AB290,'Test catalog'!$A$2:$A$200,0))),"")</f>
        <v/>
      </c>
      <c r="O290" s="10">
        <f>IFERROR(IF(INDEX('Test catalog'!$J$2:$J$200,MATCH($AB290,'Test catalog'!$A$2:$A$200,0))="","",INDEX('Test catalog'!$J$2:$J$200,MATCH($AB290,'Test catalog'!$A$2:$A$200,0))),"")</f>
        <v/>
      </c>
      <c r="P290" s="14">
        <f>IF(N290="","",IF(OR(M290="",O290=""),N290,(M290+4*N290+O290)/6))</f>
        <v/>
      </c>
      <c r="Q290" s="10">
        <f>IFERROR(IF(INDEX('Test catalog'!$K$2:$K$200,MATCH($AB290,'Test catalog'!$A$2:$A$200,0))="","",INDEX('Test catalog'!$K$2:$K$200,MATCH($AB290,'Test catalog'!$A$2:$A$200,0))),"")</f>
        <v/>
      </c>
      <c r="R290" s="5" t="n"/>
      <c r="S290" s="10">
        <f>IFERROR(IF(INDEX('Test catalog'!$L$2:$L$200,MATCH($AB290,'Test catalog'!$A$2:$A$200,0))="","",INDEX('Test catalog'!$L$2:$L$200,MATCH($AB290,'Test catalog'!$A$2:$A$200,0))),"")</f>
        <v/>
      </c>
      <c r="T290" s="10">
        <f>IFERROR(IF(INDEX('Test catalog'!$M$2:$M$200,MATCH($AB290,'Test catalog'!$A$2:$A$200,0))="","",INDEX('Test catalog'!$M$2:$M$200,MATCH($AB290,'Test catalog'!$A$2:$A$200,0))),"")</f>
        <v/>
      </c>
      <c r="U290" s="10">
        <f>IFERROR(IF(INDEX('Test catalog'!$N$2:$N$200,MATCH($AB290,'Test catalog'!$A$2:$A$200,0))="","",INDEX('Test catalog'!$N$2:$N$200,MATCH($AB290,'Test catalog'!$A$2:$A$200,0))),"")</f>
        <v/>
      </c>
      <c r="V290" s="15" t="n"/>
      <c r="W290" s="5" t="inlineStr">
        <is>
          <t>Y</t>
        </is>
      </c>
      <c r="X290" s="5" t="n"/>
      <c r="Y290" s="5" t="n"/>
      <c r="Z290" s="5" t="n"/>
      <c r="AA290" s="10">
        <f>IFERROR(IF(INDEX('Test catalog'!$O$2:$O$200,MATCH($AB290,'Test catalog'!$A$2:$A$200,0))="","",INDEX('Test catalog'!$O$2:$O$200,MATCH($AB290,'Test catalog'!$A$2:$A$200,0))),"")</f>
        <v/>
      </c>
      <c r="AB290" s="10" t="inlineStr">
        <is>
          <t>DISINT</t>
        </is>
      </c>
    </row>
    <row r="291">
      <c r="A291" s="10" t="inlineStr">
        <is>
          <t>F39</t>
        </is>
      </c>
      <c r="B291" s="10" t="inlineStr">
        <is>
          <t>FP</t>
        </is>
      </c>
      <c r="C291" s="10" t="inlineStr">
        <is>
          <t>Magnesium Oxide  |  Magnesium Oxide Heavy</t>
        </is>
      </c>
      <c r="D291" s="10" t="inlineStr">
        <is>
          <t>In-process check at the machine (one check, all its tests)</t>
        </is>
      </c>
      <c r="E291" s="10">
        <f>IF(A291="","",A291&amp;"|"&amp;D291)</f>
        <v/>
      </c>
      <c r="F291" s="5" t="inlineStr">
        <is>
          <t>Y</t>
        </is>
      </c>
      <c r="G291" s="5" t="inlineStr">
        <is>
          <t>Tablet tester</t>
        </is>
      </c>
      <c r="H291" s="5" t="inlineStr">
        <is>
          <t>Low</t>
        </is>
      </c>
      <c r="I291" s="5" t="n">
        <v>1</v>
      </c>
      <c r="J291" s="5" t="n"/>
      <c r="K291" s="10">
        <f>IFERROR(IF(INDEX('Test catalog'!$F$2:$F$200,MATCH($AB291,'Test catalog'!$A$2:$A$200,0))="","",INDEX('Test catalog'!$F$2:$F$200,MATCH($AB291,'Test catalog'!$A$2:$A$200,0))),"")</f>
        <v/>
      </c>
      <c r="L291" s="10">
        <f>IFERROR(IF(INDEX('Test catalog'!$G$2:$G$200,MATCH($AB291,'Test catalog'!$A$2:$A$200,0))="","",INDEX('Test catalog'!$G$2:$G$200,MATCH($AB291,'Test catalog'!$A$2:$A$200,0))),"")</f>
        <v/>
      </c>
      <c r="M291" s="10">
        <f>IFERROR(IF(INDEX('Test catalog'!$H$2:$H$200,MATCH($AB291,'Test catalog'!$A$2:$A$200,0))="","",INDEX('Test catalog'!$H$2:$H$200,MATCH($AB291,'Test catalog'!$A$2:$A$200,0))),"")</f>
        <v/>
      </c>
      <c r="N291" s="10">
        <f>IFERROR(IF(INDEX('Test catalog'!$I$2:$I$200,MATCH($AB291,'Test catalog'!$A$2:$A$200,0))="","",INDEX('Test catalog'!$I$2:$I$200,MATCH($AB291,'Test catalog'!$A$2:$A$200,0))),"")</f>
        <v/>
      </c>
      <c r="O291" s="10">
        <f>IFERROR(IF(INDEX('Test catalog'!$J$2:$J$200,MATCH($AB291,'Test catalog'!$A$2:$A$200,0))="","",INDEX('Test catalog'!$J$2:$J$200,MATCH($AB291,'Test catalog'!$A$2:$A$200,0))),"")</f>
        <v/>
      </c>
      <c r="P291" s="14">
        <f>IF(N291="","",IF(OR(M291="",O291=""),N291,(M291+4*N291+O291)/6))</f>
        <v/>
      </c>
      <c r="Q291" s="10">
        <f>IFERROR(IF(INDEX('Test catalog'!$K$2:$K$200,MATCH($AB291,'Test catalog'!$A$2:$A$200,0))="","",INDEX('Test catalog'!$K$2:$K$200,MATCH($AB291,'Test catalog'!$A$2:$A$200,0))),"")</f>
        <v/>
      </c>
      <c r="R291" s="5" t="n"/>
      <c r="S291" s="10">
        <f>IFERROR(IF(INDEX('Test catalog'!$L$2:$L$200,MATCH($AB291,'Test catalog'!$A$2:$A$200,0))="","",INDEX('Test catalog'!$L$2:$L$200,MATCH($AB291,'Test catalog'!$A$2:$A$200,0))),"")</f>
        <v/>
      </c>
      <c r="T291" s="10">
        <f>IFERROR(IF(INDEX('Test catalog'!$M$2:$M$200,MATCH($AB291,'Test catalog'!$A$2:$A$200,0))="","",INDEX('Test catalog'!$M$2:$M$200,MATCH($AB291,'Test catalog'!$A$2:$A$200,0))),"")</f>
        <v/>
      </c>
      <c r="U291" s="10">
        <f>IFERROR(IF(INDEX('Test catalog'!$N$2:$N$200,MATCH($AB291,'Test catalog'!$A$2:$A$200,0))="","",INDEX('Test catalog'!$N$2:$N$200,MATCH($AB291,'Test catalog'!$A$2:$A$200,0))),"")</f>
        <v/>
      </c>
      <c r="V291" s="15" t="n"/>
      <c r="W291" s="5" t="inlineStr">
        <is>
          <t>N</t>
        </is>
      </c>
      <c r="X291" s="5" t="n"/>
      <c r="Y291" s="5" t="n"/>
      <c r="Z291" s="5" t="n"/>
      <c r="AA291" s="10">
        <f>IFERROR(IF(INDEX('Test catalog'!$O$2:$O$200,MATCH($AB291,'Test catalog'!$A$2:$A$200,0))="","",INDEX('Test catalog'!$O$2:$O$200,MATCH($AB291,'Test catalog'!$A$2:$A$200,0))),"")</f>
        <v/>
      </c>
      <c r="AB291" s="10" t="inlineStr">
        <is>
          <t>IPC</t>
        </is>
      </c>
    </row>
    <row r="292">
      <c r="A292" s="10" t="inlineStr">
        <is>
          <t>F40</t>
        </is>
      </c>
      <c r="B292" s="10" t="inlineStr">
        <is>
          <t>FP</t>
        </is>
      </c>
      <c r="C292" s="10" t="inlineStr">
        <is>
          <t>Magni D  |  Magnesium Oxide Heavy, Thiamine Hydrochloride (Vitamin B1) (+2 more)</t>
        </is>
      </c>
      <c r="D292" s="10" t="inlineStr">
        <is>
          <t>Average weight / uniformity of mass</t>
        </is>
      </c>
      <c r="E292" s="10">
        <f>IF(A292="","",A292&amp;"|"&amp;D292)</f>
        <v/>
      </c>
      <c r="F292" s="5" t="inlineStr">
        <is>
          <t>Y</t>
        </is>
      </c>
      <c r="G292" s="5" t="inlineStr">
        <is>
          <t>Balance</t>
        </is>
      </c>
      <c r="H292" s="5" t="inlineStr">
        <is>
          <t>Low</t>
        </is>
      </c>
      <c r="I292" s="5" t="n">
        <v>1</v>
      </c>
      <c r="J292" s="5" t="n"/>
      <c r="K292" s="10">
        <f>IFERROR(IF(INDEX('Test catalog'!$F$2:$F$200,MATCH($AB292,'Test catalog'!$A$2:$A$200,0))="","",INDEX('Test catalog'!$F$2:$F$200,MATCH($AB292,'Test catalog'!$A$2:$A$200,0))),"")</f>
        <v/>
      </c>
      <c r="L292" s="10">
        <f>IFERROR(IF(INDEX('Test catalog'!$G$2:$G$200,MATCH($AB292,'Test catalog'!$A$2:$A$200,0))="","",INDEX('Test catalog'!$G$2:$G$200,MATCH($AB292,'Test catalog'!$A$2:$A$200,0))),"")</f>
        <v/>
      </c>
      <c r="M292" s="10">
        <f>IFERROR(IF(INDEX('Test catalog'!$H$2:$H$200,MATCH($AB292,'Test catalog'!$A$2:$A$200,0))="","",INDEX('Test catalog'!$H$2:$H$200,MATCH($AB292,'Test catalog'!$A$2:$A$200,0))),"")</f>
        <v/>
      </c>
      <c r="N292" s="10">
        <f>IFERROR(IF(INDEX('Test catalog'!$I$2:$I$200,MATCH($AB292,'Test catalog'!$A$2:$A$200,0))="","",INDEX('Test catalog'!$I$2:$I$200,MATCH($AB292,'Test catalog'!$A$2:$A$200,0))),"")</f>
        <v/>
      </c>
      <c r="O292" s="10">
        <f>IFERROR(IF(INDEX('Test catalog'!$J$2:$J$200,MATCH($AB292,'Test catalog'!$A$2:$A$200,0))="","",INDEX('Test catalog'!$J$2:$J$200,MATCH($AB292,'Test catalog'!$A$2:$A$200,0))),"")</f>
        <v/>
      </c>
      <c r="P292" s="14">
        <f>IF(N292="","",IF(OR(M292="",O292=""),N292,(M292+4*N292+O292)/6))</f>
        <v/>
      </c>
      <c r="Q292" s="10">
        <f>IFERROR(IF(INDEX('Test catalog'!$K$2:$K$200,MATCH($AB292,'Test catalog'!$A$2:$A$200,0))="","",INDEX('Test catalog'!$K$2:$K$200,MATCH($AB292,'Test catalog'!$A$2:$A$200,0))),"")</f>
        <v/>
      </c>
      <c r="R292" s="5" t="n"/>
      <c r="S292" s="10">
        <f>IFERROR(IF(INDEX('Test catalog'!$L$2:$L$200,MATCH($AB292,'Test catalog'!$A$2:$A$200,0))="","",INDEX('Test catalog'!$L$2:$L$200,MATCH($AB292,'Test catalog'!$A$2:$A$200,0))),"")</f>
        <v/>
      </c>
      <c r="T292" s="10">
        <f>IFERROR(IF(INDEX('Test catalog'!$M$2:$M$200,MATCH($AB292,'Test catalog'!$A$2:$A$200,0))="","",INDEX('Test catalog'!$M$2:$M$200,MATCH($AB292,'Test catalog'!$A$2:$A$200,0))),"")</f>
        <v/>
      </c>
      <c r="U292" s="10">
        <f>IFERROR(IF(INDEX('Test catalog'!$N$2:$N$200,MATCH($AB292,'Test catalog'!$A$2:$A$200,0))="","",INDEX('Test catalog'!$N$2:$N$200,MATCH($AB292,'Test catalog'!$A$2:$A$200,0))),"")</f>
        <v/>
      </c>
      <c r="V292" s="15" t="n"/>
      <c r="W292" s="5" t="inlineStr">
        <is>
          <t>N</t>
        </is>
      </c>
      <c r="X292" s="5" t="n"/>
      <c r="Y292" s="5" t="n"/>
      <c r="Z292" s="5" t="n"/>
      <c r="AA292" s="10">
        <f>IFERROR(IF(INDEX('Test catalog'!$O$2:$O$200,MATCH($AB292,'Test catalog'!$A$2:$A$200,0))="","",INDEX('Test catalog'!$O$2:$O$200,MATCH($AB292,'Test catalog'!$A$2:$A$200,0))),"")</f>
        <v/>
      </c>
      <c r="AB292" s="10" t="inlineStr">
        <is>
          <t>AVG_WT</t>
        </is>
      </c>
    </row>
    <row r="293">
      <c r="A293" s="10" t="inlineStr">
        <is>
          <t>F40</t>
        </is>
      </c>
      <c r="B293" s="10" t="inlineStr">
        <is>
          <t>FP</t>
        </is>
      </c>
      <c r="C293" s="10" t="inlineStr">
        <is>
          <t>Magni D  |  Magnesium Oxide Heavy, Thiamine Hydrochloride (Vitamin B1) (+2 more)</t>
        </is>
      </c>
      <c r="D293" s="10" t="inlineStr">
        <is>
          <t>Diameter (or length / width)</t>
        </is>
      </c>
      <c r="E293" s="10">
        <f>IF(A293="","",A293&amp;"|"&amp;D293)</f>
        <v/>
      </c>
      <c r="F293" s="5" t="inlineStr">
        <is>
          <t>Y</t>
        </is>
      </c>
      <c r="G293" s="5" t="inlineStr">
        <is>
          <t>Tablet tester</t>
        </is>
      </c>
      <c r="H293" s="5" t="inlineStr">
        <is>
          <t>Low</t>
        </is>
      </c>
      <c r="I293" s="5" t="n">
        <v>1</v>
      </c>
      <c r="J293" s="5" t="n"/>
      <c r="K293" s="10">
        <f>IFERROR(IF(INDEX('Test catalog'!$F$2:$F$200,MATCH($AB293,'Test catalog'!$A$2:$A$200,0))="","",INDEX('Test catalog'!$F$2:$F$200,MATCH($AB293,'Test catalog'!$A$2:$A$200,0))),"")</f>
        <v/>
      </c>
      <c r="L293" s="10">
        <f>IFERROR(IF(INDEX('Test catalog'!$G$2:$G$200,MATCH($AB293,'Test catalog'!$A$2:$A$200,0))="","",INDEX('Test catalog'!$G$2:$G$200,MATCH($AB293,'Test catalog'!$A$2:$A$200,0))),"")</f>
        <v/>
      </c>
      <c r="M293" s="10">
        <f>IFERROR(IF(INDEX('Test catalog'!$H$2:$H$200,MATCH($AB293,'Test catalog'!$A$2:$A$200,0))="","",INDEX('Test catalog'!$H$2:$H$200,MATCH($AB293,'Test catalog'!$A$2:$A$200,0))),"")</f>
        <v/>
      </c>
      <c r="N293" s="10">
        <f>IFERROR(IF(INDEX('Test catalog'!$I$2:$I$200,MATCH($AB293,'Test catalog'!$A$2:$A$200,0))="","",INDEX('Test catalog'!$I$2:$I$200,MATCH($AB293,'Test catalog'!$A$2:$A$200,0))),"")</f>
        <v/>
      </c>
      <c r="O293" s="10">
        <f>IFERROR(IF(INDEX('Test catalog'!$J$2:$J$200,MATCH($AB293,'Test catalog'!$A$2:$A$200,0))="","",INDEX('Test catalog'!$J$2:$J$200,MATCH($AB293,'Test catalog'!$A$2:$A$200,0))),"")</f>
        <v/>
      </c>
      <c r="P293" s="14">
        <f>IF(N293="","",IF(OR(M293="",O293=""),N293,(M293+4*N293+O293)/6))</f>
        <v/>
      </c>
      <c r="Q293" s="10">
        <f>IFERROR(IF(INDEX('Test catalog'!$K$2:$K$200,MATCH($AB293,'Test catalog'!$A$2:$A$200,0))="","",INDEX('Test catalog'!$K$2:$K$200,MATCH($AB293,'Test catalog'!$A$2:$A$200,0))),"")</f>
        <v/>
      </c>
      <c r="R293" s="5" t="n"/>
      <c r="S293" s="10">
        <f>IFERROR(IF(INDEX('Test catalog'!$L$2:$L$200,MATCH($AB293,'Test catalog'!$A$2:$A$200,0))="","",INDEX('Test catalog'!$L$2:$L$200,MATCH($AB293,'Test catalog'!$A$2:$A$200,0))),"")</f>
        <v/>
      </c>
      <c r="T293" s="10">
        <f>IFERROR(IF(INDEX('Test catalog'!$M$2:$M$200,MATCH($AB293,'Test catalog'!$A$2:$A$200,0))="","",INDEX('Test catalog'!$M$2:$M$200,MATCH($AB293,'Test catalog'!$A$2:$A$200,0))),"")</f>
        <v/>
      </c>
      <c r="U293" s="10">
        <f>IFERROR(IF(INDEX('Test catalog'!$N$2:$N$200,MATCH($AB293,'Test catalog'!$A$2:$A$200,0))="","",INDEX('Test catalog'!$N$2:$N$200,MATCH($AB293,'Test catalog'!$A$2:$A$200,0))),"")</f>
        <v/>
      </c>
      <c r="V293" s="15" t="n"/>
      <c r="W293" s="5" t="inlineStr">
        <is>
          <t>N</t>
        </is>
      </c>
      <c r="X293" s="5" t="n"/>
      <c r="Y293" s="5" t="n"/>
      <c r="Z293" s="5" t="n"/>
      <c r="AA293" s="10">
        <f>IFERROR(IF(INDEX('Test catalog'!$O$2:$O$200,MATCH($AB293,'Test catalog'!$A$2:$A$200,0))="","",INDEX('Test catalog'!$O$2:$O$200,MATCH($AB293,'Test catalog'!$A$2:$A$200,0))),"")</f>
        <v/>
      </c>
      <c r="AB293" s="10" t="inlineStr">
        <is>
          <t>DIAM</t>
        </is>
      </c>
    </row>
    <row r="294">
      <c r="A294" s="10" t="inlineStr">
        <is>
          <t>F40</t>
        </is>
      </c>
      <c r="B294" s="10" t="inlineStr">
        <is>
          <t>FP</t>
        </is>
      </c>
      <c r="C294" s="10" t="inlineStr">
        <is>
          <t>Magni D  |  Magnesium Oxide Heavy, Thiamine Hydrochloride (Vitamin B1) (+2 more)</t>
        </is>
      </c>
      <c r="D294" s="10" t="inlineStr">
        <is>
          <t>Thickness</t>
        </is>
      </c>
      <c r="E294" s="10">
        <f>IF(A294="","",A294&amp;"|"&amp;D294)</f>
        <v/>
      </c>
      <c r="F294" s="5" t="inlineStr">
        <is>
          <t>Y</t>
        </is>
      </c>
      <c r="G294" s="5" t="inlineStr">
        <is>
          <t>Tablet tester</t>
        </is>
      </c>
      <c r="H294" s="5" t="inlineStr">
        <is>
          <t>Low</t>
        </is>
      </c>
      <c r="I294" s="5" t="n">
        <v>1</v>
      </c>
      <c r="J294" s="5" t="n"/>
      <c r="K294" s="10">
        <f>IFERROR(IF(INDEX('Test catalog'!$F$2:$F$200,MATCH($AB294,'Test catalog'!$A$2:$A$200,0))="","",INDEX('Test catalog'!$F$2:$F$200,MATCH($AB294,'Test catalog'!$A$2:$A$200,0))),"")</f>
        <v/>
      </c>
      <c r="L294" s="10">
        <f>IFERROR(IF(INDEX('Test catalog'!$G$2:$G$200,MATCH($AB294,'Test catalog'!$A$2:$A$200,0))="","",INDEX('Test catalog'!$G$2:$G$200,MATCH($AB294,'Test catalog'!$A$2:$A$200,0))),"")</f>
        <v/>
      </c>
      <c r="M294" s="10">
        <f>IFERROR(IF(INDEX('Test catalog'!$H$2:$H$200,MATCH($AB294,'Test catalog'!$A$2:$A$200,0))="","",INDEX('Test catalog'!$H$2:$H$200,MATCH($AB294,'Test catalog'!$A$2:$A$200,0))),"")</f>
        <v/>
      </c>
      <c r="N294" s="10">
        <f>IFERROR(IF(INDEX('Test catalog'!$I$2:$I$200,MATCH($AB294,'Test catalog'!$A$2:$A$200,0))="","",INDEX('Test catalog'!$I$2:$I$200,MATCH($AB294,'Test catalog'!$A$2:$A$200,0))),"")</f>
        <v/>
      </c>
      <c r="O294" s="10">
        <f>IFERROR(IF(INDEX('Test catalog'!$J$2:$J$200,MATCH($AB294,'Test catalog'!$A$2:$A$200,0))="","",INDEX('Test catalog'!$J$2:$J$200,MATCH($AB294,'Test catalog'!$A$2:$A$200,0))),"")</f>
        <v/>
      </c>
      <c r="P294" s="14">
        <f>IF(N294="","",IF(OR(M294="",O294=""),N294,(M294+4*N294+O294)/6))</f>
        <v/>
      </c>
      <c r="Q294" s="10">
        <f>IFERROR(IF(INDEX('Test catalog'!$K$2:$K$200,MATCH($AB294,'Test catalog'!$A$2:$A$200,0))="","",INDEX('Test catalog'!$K$2:$K$200,MATCH($AB294,'Test catalog'!$A$2:$A$200,0))),"")</f>
        <v/>
      </c>
      <c r="R294" s="5" t="n"/>
      <c r="S294" s="10">
        <f>IFERROR(IF(INDEX('Test catalog'!$L$2:$L$200,MATCH($AB294,'Test catalog'!$A$2:$A$200,0))="","",INDEX('Test catalog'!$L$2:$L$200,MATCH($AB294,'Test catalog'!$A$2:$A$200,0))),"")</f>
        <v/>
      </c>
      <c r="T294" s="10">
        <f>IFERROR(IF(INDEX('Test catalog'!$M$2:$M$200,MATCH($AB294,'Test catalog'!$A$2:$A$200,0))="","",INDEX('Test catalog'!$M$2:$M$200,MATCH($AB294,'Test catalog'!$A$2:$A$200,0))),"")</f>
        <v/>
      </c>
      <c r="U294" s="10">
        <f>IFERROR(IF(INDEX('Test catalog'!$N$2:$N$200,MATCH($AB294,'Test catalog'!$A$2:$A$200,0))="","",INDEX('Test catalog'!$N$2:$N$200,MATCH($AB294,'Test catalog'!$A$2:$A$200,0))),"")</f>
        <v/>
      </c>
      <c r="V294" s="15" t="n"/>
      <c r="W294" s="5" t="inlineStr">
        <is>
          <t>N</t>
        </is>
      </c>
      <c r="X294" s="5" t="n"/>
      <c r="Y294" s="5" t="n"/>
      <c r="Z294" s="5" t="n"/>
      <c r="AA294" s="10">
        <f>IFERROR(IF(INDEX('Test catalog'!$O$2:$O$200,MATCH($AB294,'Test catalog'!$A$2:$A$200,0))="","",INDEX('Test catalog'!$O$2:$O$200,MATCH($AB294,'Test catalog'!$A$2:$A$200,0))),"")</f>
        <v/>
      </c>
      <c r="AB294" s="10" t="inlineStr">
        <is>
          <t>THICK</t>
        </is>
      </c>
    </row>
    <row r="295">
      <c r="A295" s="10" t="inlineStr">
        <is>
          <t>F40</t>
        </is>
      </c>
      <c r="B295" s="10" t="inlineStr">
        <is>
          <t>FP</t>
        </is>
      </c>
      <c r="C295" s="10" t="inlineStr">
        <is>
          <t>Magni D  |  Magnesium Oxide Heavy, Thiamine Hydrochloride (Vitamin B1) (+2 more)</t>
        </is>
      </c>
      <c r="D295" s="10" t="inlineStr">
        <is>
          <t>Hardness / breaking force</t>
        </is>
      </c>
      <c r="E295" s="10">
        <f>IF(A295="","",A295&amp;"|"&amp;D295)</f>
        <v/>
      </c>
      <c r="F295" s="5" t="inlineStr">
        <is>
          <t>Y</t>
        </is>
      </c>
      <c r="G295" s="5" t="inlineStr">
        <is>
          <t>Tablet tester</t>
        </is>
      </c>
      <c r="H295" s="5" t="inlineStr">
        <is>
          <t>Low</t>
        </is>
      </c>
      <c r="I295" s="5" t="n">
        <v>1</v>
      </c>
      <c r="J295" s="5" t="n"/>
      <c r="K295" s="10">
        <f>IFERROR(IF(INDEX('Test catalog'!$F$2:$F$200,MATCH($AB295,'Test catalog'!$A$2:$A$200,0))="","",INDEX('Test catalog'!$F$2:$F$200,MATCH($AB295,'Test catalog'!$A$2:$A$200,0))),"")</f>
        <v/>
      </c>
      <c r="L295" s="10">
        <f>IFERROR(IF(INDEX('Test catalog'!$G$2:$G$200,MATCH($AB295,'Test catalog'!$A$2:$A$200,0))="","",INDEX('Test catalog'!$G$2:$G$200,MATCH($AB295,'Test catalog'!$A$2:$A$200,0))),"")</f>
        <v/>
      </c>
      <c r="M295" s="10">
        <f>IFERROR(IF(INDEX('Test catalog'!$H$2:$H$200,MATCH($AB295,'Test catalog'!$A$2:$A$200,0))="","",INDEX('Test catalog'!$H$2:$H$200,MATCH($AB295,'Test catalog'!$A$2:$A$200,0))),"")</f>
        <v/>
      </c>
      <c r="N295" s="10">
        <f>IFERROR(IF(INDEX('Test catalog'!$I$2:$I$200,MATCH($AB295,'Test catalog'!$A$2:$A$200,0))="","",INDEX('Test catalog'!$I$2:$I$200,MATCH($AB295,'Test catalog'!$A$2:$A$200,0))),"")</f>
        <v/>
      </c>
      <c r="O295" s="10">
        <f>IFERROR(IF(INDEX('Test catalog'!$J$2:$J$200,MATCH($AB295,'Test catalog'!$A$2:$A$200,0))="","",INDEX('Test catalog'!$J$2:$J$200,MATCH($AB295,'Test catalog'!$A$2:$A$200,0))),"")</f>
        <v/>
      </c>
      <c r="P295" s="14">
        <f>IF(N295="","",IF(OR(M295="",O295=""),N295,(M295+4*N295+O295)/6))</f>
        <v/>
      </c>
      <c r="Q295" s="10">
        <f>IFERROR(IF(INDEX('Test catalog'!$K$2:$K$200,MATCH($AB295,'Test catalog'!$A$2:$A$200,0))="","",INDEX('Test catalog'!$K$2:$K$200,MATCH($AB295,'Test catalog'!$A$2:$A$200,0))),"")</f>
        <v/>
      </c>
      <c r="R295" s="5" t="n"/>
      <c r="S295" s="10">
        <f>IFERROR(IF(INDEX('Test catalog'!$L$2:$L$200,MATCH($AB295,'Test catalog'!$A$2:$A$200,0))="","",INDEX('Test catalog'!$L$2:$L$200,MATCH($AB295,'Test catalog'!$A$2:$A$200,0))),"")</f>
        <v/>
      </c>
      <c r="T295" s="10">
        <f>IFERROR(IF(INDEX('Test catalog'!$M$2:$M$200,MATCH($AB295,'Test catalog'!$A$2:$A$200,0))="","",INDEX('Test catalog'!$M$2:$M$200,MATCH($AB295,'Test catalog'!$A$2:$A$200,0))),"")</f>
        <v/>
      </c>
      <c r="U295" s="10">
        <f>IFERROR(IF(INDEX('Test catalog'!$N$2:$N$200,MATCH($AB295,'Test catalog'!$A$2:$A$200,0))="","",INDEX('Test catalog'!$N$2:$N$200,MATCH($AB295,'Test catalog'!$A$2:$A$200,0))),"")</f>
        <v/>
      </c>
      <c r="V295" s="15" t="n"/>
      <c r="W295" s="5" t="inlineStr">
        <is>
          <t>Y</t>
        </is>
      </c>
      <c r="X295" s="5" t="n"/>
      <c r="Y295" s="5" t="n"/>
      <c r="Z295" s="5" t="n"/>
      <c r="AA295" s="10">
        <f>IFERROR(IF(INDEX('Test catalog'!$O$2:$O$200,MATCH($AB295,'Test catalog'!$A$2:$A$200,0))="","",INDEX('Test catalog'!$O$2:$O$200,MATCH($AB295,'Test catalog'!$A$2:$A$200,0))),"")</f>
        <v/>
      </c>
      <c r="AB295" s="10" t="inlineStr">
        <is>
          <t>HARD</t>
        </is>
      </c>
    </row>
    <row r="296">
      <c r="A296" s="10" t="inlineStr">
        <is>
          <t>F40</t>
        </is>
      </c>
      <c r="B296" s="10" t="inlineStr">
        <is>
          <t>FP</t>
        </is>
      </c>
      <c r="C296" s="10" t="inlineStr">
        <is>
          <t>Magni D  |  Magnesium Oxide Heavy, Thiamine Hydrochloride (Vitamin B1) (+2 more)</t>
        </is>
      </c>
      <c r="D296" s="10" t="inlineStr">
        <is>
          <t>Brittleness</t>
        </is>
      </c>
      <c r="E296" s="10">
        <f>IF(A296="","",A296&amp;"|"&amp;D296)</f>
        <v/>
      </c>
      <c r="F296" s="5" t="inlineStr">
        <is>
          <t>Y</t>
        </is>
      </c>
      <c r="G296" s="5" t="inlineStr">
        <is>
          <t>Other / bench</t>
        </is>
      </c>
      <c r="H296" s="5" t="inlineStr">
        <is>
          <t>Low</t>
        </is>
      </c>
      <c r="I296" s="5" t="n">
        <v>1</v>
      </c>
      <c r="J296" s="5" t="n"/>
      <c r="K296" s="10">
        <f>IFERROR(IF(INDEX('Test catalog'!$F$2:$F$200,MATCH($AB296,'Test catalog'!$A$2:$A$200,0))="","",INDEX('Test catalog'!$F$2:$F$200,MATCH($AB296,'Test catalog'!$A$2:$A$200,0))),"")</f>
        <v/>
      </c>
      <c r="L296" s="10">
        <f>IFERROR(IF(INDEX('Test catalog'!$G$2:$G$200,MATCH($AB296,'Test catalog'!$A$2:$A$200,0))="","",INDEX('Test catalog'!$G$2:$G$200,MATCH($AB296,'Test catalog'!$A$2:$A$200,0))),"")</f>
        <v/>
      </c>
      <c r="M296" s="10">
        <f>IFERROR(IF(INDEX('Test catalog'!$H$2:$H$200,MATCH($AB296,'Test catalog'!$A$2:$A$200,0))="","",INDEX('Test catalog'!$H$2:$H$200,MATCH($AB296,'Test catalog'!$A$2:$A$200,0))),"")</f>
        <v/>
      </c>
      <c r="N296" s="10">
        <f>IFERROR(IF(INDEX('Test catalog'!$I$2:$I$200,MATCH($AB296,'Test catalog'!$A$2:$A$200,0))="","",INDEX('Test catalog'!$I$2:$I$200,MATCH($AB296,'Test catalog'!$A$2:$A$200,0))),"")</f>
        <v/>
      </c>
      <c r="O296" s="10">
        <f>IFERROR(IF(INDEX('Test catalog'!$J$2:$J$200,MATCH($AB296,'Test catalog'!$A$2:$A$200,0))="","",INDEX('Test catalog'!$J$2:$J$200,MATCH($AB296,'Test catalog'!$A$2:$A$200,0))),"")</f>
        <v/>
      </c>
      <c r="P296" s="14">
        <f>IF(N296="","",IF(OR(M296="",O296=""),N296,(M296+4*N296+O296)/6))</f>
        <v/>
      </c>
      <c r="Q296" s="10">
        <f>IFERROR(IF(INDEX('Test catalog'!$K$2:$K$200,MATCH($AB296,'Test catalog'!$A$2:$A$200,0))="","",INDEX('Test catalog'!$K$2:$K$200,MATCH($AB296,'Test catalog'!$A$2:$A$200,0))),"")</f>
        <v/>
      </c>
      <c r="R296" s="5" t="n"/>
      <c r="S296" s="10">
        <f>IFERROR(IF(INDEX('Test catalog'!$L$2:$L$200,MATCH($AB296,'Test catalog'!$A$2:$A$200,0))="","",INDEX('Test catalog'!$L$2:$L$200,MATCH($AB296,'Test catalog'!$A$2:$A$200,0))),"")</f>
        <v/>
      </c>
      <c r="T296" s="10">
        <f>IFERROR(IF(INDEX('Test catalog'!$M$2:$M$200,MATCH($AB296,'Test catalog'!$A$2:$A$200,0))="","",INDEX('Test catalog'!$M$2:$M$200,MATCH($AB296,'Test catalog'!$A$2:$A$200,0))),"")</f>
        <v/>
      </c>
      <c r="U296" s="10">
        <f>IFERROR(IF(INDEX('Test catalog'!$N$2:$N$200,MATCH($AB296,'Test catalog'!$A$2:$A$200,0))="","",INDEX('Test catalog'!$N$2:$N$200,MATCH($AB296,'Test catalog'!$A$2:$A$200,0))),"")</f>
        <v/>
      </c>
      <c r="V296" s="15" t="n"/>
      <c r="W296" s="5" t="inlineStr">
        <is>
          <t>N</t>
        </is>
      </c>
      <c r="X296" s="5" t="n"/>
      <c r="Y296" s="5" t="n"/>
      <c r="Z296" s="5" t="n"/>
      <c r="AA296" s="10">
        <f>IFERROR(IF(INDEX('Test catalog'!$O$2:$O$200,MATCH($AB296,'Test catalog'!$A$2:$A$200,0))="","",INDEX('Test catalog'!$O$2:$O$200,MATCH($AB296,'Test catalog'!$A$2:$A$200,0))),"")</f>
        <v/>
      </c>
      <c r="AB296" s="10" t="inlineStr">
        <is>
          <t>BRITTLE</t>
        </is>
      </c>
    </row>
    <row r="297">
      <c r="A297" s="10" t="inlineStr">
        <is>
          <t>F40</t>
        </is>
      </c>
      <c r="B297" s="10" t="inlineStr">
        <is>
          <t>FP</t>
        </is>
      </c>
      <c r="C297" s="10" t="inlineStr">
        <is>
          <t>Magni D  |  Magnesium Oxide Heavy, Thiamine Hydrochloride (Vitamin B1) (+2 more)</t>
        </is>
      </c>
      <c r="D297" s="10" t="inlineStr">
        <is>
          <t>Friability</t>
        </is>
      </c>
      <c r="E297" s="10">
        <f>IF(A297="","",A297&amp;"|"&amp;D297)</f>
        <v/>
      </c>
      <c r="F297" s="5" t="inlineStr">
        <is>
          <t>Y</t>
        </is>
      </c>
      <c r="G297" s="5" t="inlineStr">
        <is>
          <t>Friabilator</t>
        </is>
      </c>
      <c r="H297" s="5" t="inlineStr">
        <is>
          <t>Low</t>
        </is>
      </c>
      <c r="I297" s="5" t="n">
        <v>1</v>
      </c>
      <c r="J297" s="5" t="n"/>
      <c r="K297" s="10">
        <f>IFERROR(IF(INDEX('Test catalog'!$F$2:$F$200,MATCH($AB297,'Test catalog'!$A$2:$A$200,0))="","",INDEX('Test catalog'!$F$2:$F$200,MATCH($AB297,'Test catalog'!$A$2:$A$200,0))),"")</f>
        <v/>
      </c>
      <c r="L297" s="10">
        <f>IFERROR(IF(INDEX('Test catalog'!$G$2:$G$200,MATCH($AB297,'Test catalog'!$A$2:$A$200,0))="","",INDEX('Test catalog'!$G$2:$G$200,MATCH($AB297,'Test catalog'!$A$2:$A$200,0))),"")</f>
        <v/>
      </c>
      <c r="M297" s="10">
        <f>IFERROR(IF(INDEX('Test catalog'!$H$2:$H$200,MATCH($AB297,'Test catalog'!$A$2:$A$200,0))="","",INDEX('Test catalog'!$H$2:$H$200,MATCH($AB297,'Test catalog'!$A$2:$A$200,0))),"")</f>
        <v/>
      </c>
      <c r="N297" s="10">
        <f>IFERROR(IF(INDEX('Test catalog'!$I$2:$I$200,MATCH($AB297,'Test catalog'!$A$2:$A$200,0))="","",INDEX('Test catalog'!$I$2:$I$200,MATCH($AB297,'Test catalog'!$A$2:$A$200,0))),"")</f>
        <v/>
      </c>
      <c r="O297" s="10">
        <f>IFERROR(IF(INDEX('Test catalog'!$J$2:$J$200,MATCH($AB297,'Test catalog'!$A$2:$A$200,0))="","",INDEX('Test catalog'!$J$2:$J$200,MATCH($AB297,'Test catalog'!$A$2:$A$200,0))),"")</f>
        <v/>
      </c>
      <c r="P297" s="14">
        <f>IF(N297="","",IF(OR(M297="",O297=""),N297,(M297+4*N297+O297)/6))</f>
        <v/>
      </c>
      <c r="Q297" s="10">
        <f>IFERROR(IF(INDEX('Test catalog'!$K$2:$K$200,MATCH($AB297,'Test catalog'!$A$2:$A$200,0))="","",INDEX('Test catalog'!$K$2:$K$200,MATCH($AB297,'Test catalog'!$A$2:$A$200,0))),"")</f>
        <v/>
      </c>
      <c r="R297" s="5" t="n"/>
      <c r="S297" s="10">
        <f>IFERROR(IF(INDEX('Test catalog'!$L$2:$L$200,MATCH($AB297,'Test catalog'!$A$2:$A$200,0))="","",INDEX('Test catalog'!$L$2:$L$200,MATCH($AB297,'Test catalog'!$A$2:$A$200,0))),"")</f>
        <v/>
      </c>
      <c r="T297" s="10">
        <f>IFERROR(IF(INDEX('Test catalog'!$M$2:$M$200,MATCH($AB297,'Test catalog'!$A$2:$A$200,0))="","",INDEX('Test catalog'!$M$2:$M$200,MATCH($AB297,'Test catalog'!$A$2:$A$200,0))),"")</f>
        <v/>
      </c>
      <c r="U297" s="10">
        <f>IFERROR(IF(INDEX('Test catalog'!$N$2:$N$200,MATCH($AB297,'Test catalog'!$A$2:$A$200,0))="","",INDEX('Test catalog'!$N$2:$N$200,MATCH($AB297,'Test catalog'!$A$2:$A$200,0))),"")</f>
        <v/>
      </c>
      <c r="V297" s="15" t="n"/>
      <c r="W297" s="5" t="inlineStr">
        <is>
          <t>N</t>
        </is>
      </c>
      <c r="X297" s="5" t="n"/>
      <c r="Y297" s="5" t="n"/>
      <c r="Z297" s="5" t="n"/>
      <c r="AA297" s="10">
        <f>IFERROR(IF(INDEX('Test catalog'!$O$2:$O$200,MATCH($AB297,'Test catalog'!$A$2:$A$200,0))="","",INDEX('Test catalog'!$O$2:$O$200,MATCH($AB297,'Test catalog'!$A$2:$A$200,0))),"")</f>
        <v/>
      </c>
      <c r="AB297" s="10" t="inlineStr">
        <is>
          <t>FRIAB</t>
        </is>
      </c>
    </row>
    <row r="298">
      <c r="A298" s="10" t="inlineStr">
        <is>
          <t>F40</t>
        </is>
      </c>
      <c r="B298" s="10" t="inlineStr">
        <is>
          <t>FP</t>
        </is>
      </c>
      <c r="C298" s="10" t="inlineStr">
        <is>
          <t>Magni D  |  Magnesium Oxide Heavy, Thiamine Hydrochloride (Vitamin B1) (+2 more)</t>
        </is>
      </c>
      <c r="D298" s="10" t="inlineStr">
        <is>
          <t>Disintegration</t>
        </is>
      </c>
      <c r="E298" s="10">
        <f>IF(A298="","",A298&amp;"|"&amp;D298)</f>
        <v/>
      </c>
      <c r="F298" s="5" t="inlineStr">
        <is>
          <t>Y</t>
        </is>
      </c>
      <c r="G298" s="5" t="inlineStr">
        <is>
          <t>Disintegration tester</t>
        </is>
      </c>
      <c r="H298" s="5" t="inlineStr">
        <is>
          <t>Low</t>
        </is>
      </c>
      <c r="I298" s="5" t="n">
        <v>1</v>
      </c>
      <c r="J298" s="5" t="n"/>
      <c r="K298" s="10">
        <f>IFERROR(IF(INDEX('Test catalog'!$F$2:$F$200,MATCH($AB298,'Test catalog'!$A$2:$A$200,0))="","",INDEX('Test catalog'!$F$2:$F$200,MATCH($AB298,'Test catalog'!$A$2:$A$200,0))),"")</f>
        <v/>
      </c>
      <c r="L298" s="10">
        <f>IFERROR(IF(INDEX('Test catalog'!$G$2:$G$200,MATCH($AB298,'Test catalog'!$A$2:$A$200,0))="","",INDEX('Test catalog'!$G$2:$G$200,MATCH($AB298,'Test catalog'!$A$2:$A$200,0))),"")</f>
        <v/>
      </c>
      <c r="M298" s="10">
        <f>IFERROR(IF(INDEX('Test catalog'!$H$2:$H$200,MATCH($AB298,'Test catalog'!$A$2:$A$200,0))="","",INDEX('Test catalog'!$H$2:$H$200,MATCH($AB298,'Test catalog'!$A$2:$A$200,0))),"")</f>
        <v/>
      </c>
      <c r="N298" s="10">
        <f>IFERROR(IF(INDEX('Test catalog'!$I$2:$I$200,MATCH($AB298,'Test catalog'!$A$2:$A$200,0))="","",INDEX('Test catalog'!$I$2:$I$200,MATCH($AB298,'Test catalog'!$A$2:$A$200,0))),"")</f>
        <v/>
      </c>
      <c r="O298" s="10">
        <f>IFERROR(IF(INDEX('Test catalog'!$J$2:$J$200,MATCH($AB298,'Test catalog'!$A$2:$A$200,0))="","",INDEX('Test catalog'!$J$2:$J$200,MATCH($AB298,'Test catalog'!$A$2:$A$200,0))),"")</f>
        <v/>
      </c>
      <c r="P298" s="14">
        <f>IF(N298="","",IF(OR(M298="",O298=""),N298,(M298+4*N298+O298)/6))</f>
        <v/>
      </c>
      <c r="Q298" s="10">
        <f>IFERROR(IF(INDEX('Test catalog'!$K$2:$K$200,MATCH($AB298,'Test catalog'!$A$2:$A$200,0))="","",INDEX('Test catalog'!$K$2:$K$200,MATCH($AB298,'Test catalog'!$A$2:$A$200,0))),"")</f>
        <v/>
      </c>
      <c r="R298" s="5" t="n"/>
      <c r="S298" s="10">
        <f>IFERROR(IF(INDEX('Test catalog'!$L$2:$L$200,MATCH($AB298,'Test catalog'!$A$2:$A$200,0))="","",INDEX('Test catalog'!$L$2:$L$200,MATCH($AB298,'Test catalog'!$A$2:$A$200,0))),"")</f>
        <v/>
      </c>
      <c r="T298" s="10">
        <f>IFERROR(IF(INDEX('Test catalog'!$M$2:$M$200,MATCH($AB298,'Test catalog'!$A$2:$A$200,0))="","",INDEX('Test catalog'!$M$2:$M$200,MATCH($AB298,'Test catalog'!$A$2:$A$200,0))),"")</f>
        <v/>
      </c>
      <c r="U298" s="10">
        <f>IFERROR(IF(INDEX('Test catalog'!$N$2:$N$200,MATCH($AB298,'Test catalog'!$A$2:$A$200,0))="","",INDEX('Test catalog'!$N$2:$N$200,MATCH($AB298,'Test catalog'!$A$2:$A$200,0))),"")</f>
        <v/>
      </c>
      <c r="V298" s="15" t="n"/>
      <c r="W298" s="5" t="inlineStr">
        <is>
          <t>Y</t>
        </is>
      </c>
      <c r="X298" s="5" t="n"/>
      <c r="Y298" s="5" t="n"/>
      <c r="Z298" s="5" t="n"/>
      <c r="AA298" s="10">
        <f>IFERROR(IF(INDEX('Test catalog'!$O$2:$O$200,MATCH($AB298,'Test catalog'!$A$2:$A$200,0))="","",INDEX('Test catalog'!$O$2:$O$200,MATCH($AB298,'Test catalog'!$A$2:$A$200,0))),"")</f>
        <v/>
      </c>
      <c r="AB298" s="10" t="inlineStr">
        <is>
          <t>DISINT</t>
        </is>
      </c>
    </row>
    <row r="299">
      <c r="A299" s="10" t="inlineStr">
        <is>
          <t>F40</t>
        </is>
      </c>
      <c r="B299" s="10" t="inlineStr">
        <is>
          <t>FP</t>
        </is>
      </c>
      <c r="C299" s="10" t="inlineStr">
        <is>
          <t>Magni D  |  Magnesium Oxide Heavy, Thiamine Hydrochloride (Vitamin B1) (+2 more)</t>
        </is>
      </c>
      <c r="D299" s="10" t="inlineStr">
        <is>
          <t>In-process check at the machine (one check, all its tests)</t>
        </is>
      </c>
      <c r="E299" s="10">
        <f>IF(A299="","",A299&amp;"|"&amp;D299)</f>
        <v/>
      </c>
      <c r="F299" s="5" t="inlineStr">
        <is>
          <t>Y</t>
        </is>
      </c>
      <c r="G299" s="5" t="inlineStr">
        <is>
          <t>Tablet tester</t>
        </is>
      </c>
      <c r="H299" s="5" t="inlineStr">
        <is>
          <t>Low</t>
        </is>
      </c>
      <c r="I299" s="5" t="n">
        <v>1</v>
      </c>
      <c r="J299" s="5" t="n"/>
      <c r="K299" s="10">
        <f>IFERROR(IF(INDEX('Test catalog'!$F$2:$F$200,MATCH($AB299,'Test catalog'!$A$2:$A$200,0))="","",INDEX('Test catalog'!$F$2:$F$200,MATCH($AB299,'Test catalog'!$A$2:$A$200,0))),"")</f>
        <v/>
      </c>
      <c r="L299" s="10">
        <f>IFERROR(IF(INDEX('Test catalog'!$G$2:$G$200,MATCH($AB299,'Test catalog'!$A$2:$A$200,0))="","",INDEX('Test catalog'!$G$2:$G$200,MATCH($AB299,'Test catalog'!$A$2:$A$200,0))),"")</f>
        <v/>
      </c>
      <c r="M299" s="10">
        <f>IFERROR(IF(INDEX('Test catalog'!$H$2:$H$200,MATCH($AB299,'Test catalog'!$A$2:$A$200,0))="","",INDEX('Test catalog'!$H$2:$H$200,MATCH($AB299,'Test catalog'!$A$2:$A$200,0))),"")</f>
        <v/>
      </c>
      <c r="N299" s="10">
        <f>IFERROR(IF(INDEX('Test catalog'!$I$2:$I$200,MATCH($AB299,'Test catalog'!$A$2:$A$200,0))="","",INDEX('Test catalog'!$I$2:$I$200,MATCH($AB299,'Test catalog'!$A$2:$A$200,0))),"")</f>
        <v/>
      </c>
      <c r="O299" s="10">
        <f>IFERROR(IF(INDEX('Test catalog'!$J$2:$J$200,MATCH($AB299,'Test catalog'!$A$2:$A$200,0))="","",INDEX('Test catalog'!$J$2:$J$200,MATCH($AB299,'Test catalog'!$A$2:$A$200,0))),"")</f>
        <v/>
      </c>
      <c r="P299" s="14">
        <f>IF(N299="","",IF(OR(M299="",O299=""),N299,(M299+4*N299+O299)/6))</f>
        <v/>
      </c>
      <c r="Q299" s="10">
        <f>IFERROR(IF(INDEX('Test catalog'!$K$2:$K$200,MATCH($AB299,'Test catalog'!$A$2:$A$200,0))="","",INDEX('Test catalog'!$K$2:$K$200,MATCH($AB299,'Test catalog'!$A$2:$A$200,0))),"")</f>
        <v/>
      </c>
      <c r="R299" s="5" t="n"/>
      <c r="S299" s="10">
        <f>IFERROR(IF(INDEX('Test catalog'!$L$2:$L$200,MATCH($AB299,'Test catalog'!$A$2:$A$200,0))="","",INDEX('Test catalog'!$L$2:$L$200,MATCH($AB299,'Test catalog'!$A$2:$A$200,0))),"")</f>
        <v/>
      </c>
      <c r="T299" s="10">
        <f>IFERROR(IF(INDEX('Test catalog'!$M$2:$M$200,MATCH($AB299,'Test catalog'!$A$2:$A$200,0))="","",INDEX('Test catalog'!$M$2:$M$200,MATCH($AB299,'Test catalog'!$A$2:$A$200,0))),"")</f>
        <v/>
      </c>
      <c r="U299" s="10">
        <f>IFERROR(IF(INDEX('Test catalog'!$N$2:$N$200,MATCH($AB299,'Test catalog'!$A$2:$A$200,0))="","",INDEX('Test catalog'!$N$2:$N$200,MATCH($AB299,'Test catalog'!$A$2:$A$200,0))),"")</f>
        <v/>
      </c>
      <c r="V299" s="15" t="n"/>
      <c r="W299" s="5" t="inlineStr">
        <is>
          <t>N</t>
        </is>
      </c>
      <c r="X299" s="5" t="n"/>
      <c r="Y299" s="5" t="n"/>
      <c r="Z299" s="5" t="n"/>
      <c r="AA299" s="10">
        <f>IFERROR(IF(INDEX('Test catalog'!$O$2:$O$200,MATCH($AB299,'Test catalog'!$A$2:$A$200,0))="","",INDEX('Test catalog'!$O$2:$O$200,MATCH($AB299,'Test catalog'!$A$2:$A$200,0))),"")</f>
        <v/>
      </c>
      <c r="AB299" s="10" t="inlineStr">
        <is>
          <t>IPC</t>
        </is>
      </c>
    </row>
    <row r="300">
      <c r="A300" s="10" t="inlineStr">
        <is>
          <t>F41</t>
        </is>
      </c>
      <c r="B300" s="10" t="inlineStr">
        <is>
          <t>FP</t>
        </is>
      </c>
      <c r="C300" s="10" t="inlineStr">
        <is>
          <t>Sweet Sleep  |  actives TBD: Sweet Sleep</t>
        </is>
      </c>
      <c r="D300" s="10" t="inlineStr">
        <is>
          <t>Average weight / uniformity of mass</t>
        </is>
      </c>
      <c r="E300" s="10">
        <f>IF(A300="","",A300&amp;"|"&amp;D300)</f>
        <v/>
      </c>
      <c r="F300" s="5" t="inlineStr">
        <is>
          <t>Y</t>
        </is>
      </c>
      <c r="G300" s="5" t="inlineStr">
        <is>
          <t>Balance</t>
        </is>
      </c>
      <c r="H300" s="5" t="inlineStr">
        <is>
          <t>Low</t>
        </is>
      </c>
      <c r="I300" s="5" t="n">
        <v>1</v>
      </c>
      <c r="J300" s="5" t="n"/>
      <c r="K300" s="10">
        <f>IFERROR(IF(INDEX('Test catalog'!$F$2:$F$200,MATCH($AB300,'Test catalog'!$A$2:$A$200,0))="","",INDEX('Test catalog'!$F$2:$F$200,MATCH($AB300,'Test catalog'!$A$2:$A$200,0))),"")</f>
        <v/>
      </c>
      <c r="L300" s="10">
        <f>IFERROR(IF(INDEX('Test catalog'!$G$2:$G$200,MATCH($AB300,'Test catalog'!$A$2:$A$200,0))="","",INDEX('Test catalog'!$G$2:$G$200,MATCH($AB300,'Test catalog'!$A$2:$A$200,0))),"")</f>
        <v/>
      </c>
      <c r="M300" s="10">
        <f>IFERROR(IF(INDEX('Test catalog'!$H$2:$H$200,MATCH($AB300,'Test catalog'!$A$2:$A$200,0))="","",INDEX('Test catalog'!$H$2:$H$200,MATCH($AB300,'Test catalog'!$A$2:$A$200,0))),"")</f>
        <v/>
      </c>
      <c r="N300" s="10">
        <f>IFERROR(IF(INDEX('Test catalog'!$I$2:$I$200,MATCH($AB300,'Test catalog'!$A$2:$A$200,0))="","",INDEX('Test catalog'!$I$2:$I$200,MATCH($AB300,'Test catalog'!$A$2:$A$200,0))),"")</f>
        <v/>
      </c>
      <c r="O300" s="10">
        <f>IFERROR(IF(INDEX('Test catalog'!$J$2:$J$200,MATCH($AB300,'Test catalog'!$A$2:$A$200,0))="","",INDEX('Test catalog'!$J$2:$J$200,MATCH($AB300,'Test catalog'!$A$2:$A$200,0))),"")</f>
        <v/>
      </c>
      <c r="P300" s="14">
        <f>IF(N300="","",IF(OR(M300="",O300=""),N300,(M300+4*N300+O300)/6))</f>
        <v/>
      </c>
      <c r="Q300" s="10">
        <f>IFERROR(IF(INDEX('Test catalog'!$K$2:$K$200,MATCH($AB300,'Test catalog'!$A$2:$A$200,0))="","",INDEX('Test catalog'!$K$2:$K$200,MATCH($AB300,'Test catalog'!$A$2:$A$200,0))),"")</f>
        <v/>
      </c>
      <c r="R300" s="5" t="n"/>
      <c r="S300" s="10">
        <f>IFERROR(IF(INDEX('Test catalog'!$L$2:$L$200,MATCH($AB300,'Test catalog'!$A$2:$A$200,0))="","",INDEX('Test catalog'!$L$2:$L$200,MATCH($AB300,'Test catalog'!$A$2:$A$200,0))),"")</f>
        <v/>
      </c>
      <c r="T300" s="10">
        <f>IFERROR(IF(INDEX('Test catalog'!$M$2:$M$200,MATCH($AB300,'Test catalog'!$A$2:$A$200,0))="","",INDEX('Test catalog'!$M$2:$M$200,MATCH($AB300,'Test catalog'!$A$2:$A$200,0))),"")</f>
        <v/>
      </c>
      <c r="U300" s="10">
        <f>IFERROR(IF(INDEX('Test catalog'!$N$2:$N$200,MATCH($AB300,'Test catalog'!$A$2:$A$200,0))="","",INDEX('Test catalog'!$N$2:$N$200,MATCH($AB300,'Test catalog'!$A$2:$A$200,0))),"")</f>
        <v/>
      </c>
      <c r="V300" s="15" t="n"/>
      <c r="W300" s="5" t="inlineStr">
        <is>
          <t>N</t>
        </is>
      </c>
      <c r="X300" s="5" t="n"/>
      <c r="Y300" s="5" t="n"/>
      <c r="Z300" s="5" t="inlineStr">
        <is>
          <t>Actives not on record – confirm tests</t>
        </is>
      </c>
      <c r="AA300" s="10">
        <f>IFERROR(IF(INDEX('Test catalog'!$O$2:$O$200,MATCH($AB300,'Test catalog'!$A$2:$A$200,0))="","",INDEX('Test catalog'!$O$2:$O$200,MATCH($AB300,'Test catalog'!$A$2:$A$200,0))),"")</f>
        <v/>
      </c>
      <c r="AB300" s="10" t="inlineStr">
        <is>
          <t>AVG_WT</t>
        </is>
      </c>
    </row>
    <row r="301">
      <c r="A301" s="10" t="inlineStr">
        <is>
          <t>F41</t>
        </is>
      </c>
      <c r="B301" s="10" t="inlineStr">
        <is>
          <t>FP</t>
        </is>
      </c>
      <c r="C301" s="10" t="inlineStr">
        <is>
          <t>Sweet Sleep  |  actives TBD: Sweet Sleep</t>
        </is>
      </c>
      <c r="D301" s="10" t="inlineStr">
        <is>
          <t>Diameter (or length / width)</t>
        </is>
      </c>
      <c r="E301" s="10">
        <f>IF(A301="","",A301&amp;"|"&amp;D301)</f>
        <v/>
      </c>
      <c r="F301" s="5" t="inlineStr">
        <is>
          <t>Y</t>
        </is>
      </c>
      <c r="G301" s="5" t="inlineStr">
        <is>
          <t>Tablet tester</t>
        </is>
      </c>
      <c r="H301" s="5" t="inlineStr">
        <is>
          <t>Low</t>
        </is>
      </c>
      <c r="I301" s="5" t="n">
        <v>1</v>
      </c>
      <c r="J301" s="5" t="n"/>
      <c r="K301" s="10">
        <f>IFERROR(IF(INDEX('Test catalog'!$F$2:$F$200,MATCH($AB301,'Test catalog'!$A$2:$A$200,0))="","",INDEX('Test catalog'!$F$2:$F$200,MATCH($AB301,'Test catalog'!$A$2:$A$200,0))),"")</f>
        <v/>
      </c>
      <c r="L301" s="10">
        <f>IFERROR(IF(INDEX('Test catalog'!$G$2:$G$200,MATCH($AB301,'Test catalog'!$A$2:$A$200,0))="","",INDEX('Test catalog'!$G$2:$G$200,MATCH($AB301,'Test catalog'!$A$2:$A$200,0))),"")</f>
        <v/>
      </c>
      <c r="M301" s="10">
        <f>IFERROR(IF(INDEX('Test catalog'!$H$2:$H$200,MATCH($AB301,'Test catalog'!$A$2:$A$200,0))="","",INDEX('Test catalog'!$H$2:$H$200,MATCH($AB301,'Test catalog'!$A$2:$A$200,0))),"")</f>
        <v/>
      </c>
      <c r="N301" s="10">
        <f>IFERROR(IF(INDEX('Test catalog'!$I$2:$I$200,MATCH($AB301,'Test catalog'!$A$2:$A$200,0))="","",INDEX('Test catalog'!$I$2:$I$200,MATCH($AB301,'Test catalog'!$A$2:$A$200,0))),"")</f>
        <v/>
      </c>
      <c r="O301" s="10">
        <f>IFERROR(IF(INDEX('Test catalog'!$J$2:$J$200,MATCH($AB301,'Test catalog'!$A$2:$A$200,0))="","",INDEX('Test catalog'!$J$2:$J$200,MATCH($AB301,'Test catalog'!$A$2:$A$200,0))),"")</f>
        <v/>
      </c>
      <c r="P301" s="14">
        <f>IF(N301="","",IF(OR(M301="",O301=""),N301,(M301+4*N301+O301)/6))</f>
        <v/>
      </c>
      <c r="Q301" s="10">
        <f>IFERROR(IF(INDEX('Test catalog'!$K$2:$K$200,MATCH($AB301,'Test catalog'!$A$2:$A$200,0))="","",INDEX('Test catalog'!$K$2:$K$200,MATCH($AB301,'Test catalog'!$A$2:$A$200,0))),"")</f>
        <v/>
      </c>
      <c r="R301" s="5" t="n"/>
      <c r="S301" s="10">
        <f>IFERROR(IF(INDEX('Test catalog'!$L$2:$L$200,MATCH($AB301,'Test catalog'!$A$2:$A$200,0))="","",INDEX('Test catalog'!$L$2:$L$200,MATCH($AB301,'Test catalog'!$A$2:$A$200,0))),"")</f>
        <v/>
      </c>
      <c r="T301" s="10">
        <f>IFERROR(IF(INDEX('Test catalog'!$M$2:$M$200,MATCH($AB301,'Test catalog'!$A$2:$A$200,0))="","",INDEX('Test catalog'!$M$2:$M$200,MATCH($AB301,'Test catalog'!$A$2:$A$200,0))),"")</f>
        <v/>
      </c>
      <c r="U301" s="10">
        <f>IFERROR(IF(INDEX('Test catalog'!$N$2:$N$200,MATCH($AB301,'Test catalog'!$A$2:$A$200,0))="","",INDEX('Test catalog'!$N$2:$N$200,MATCH($AB301,'Test catalog'!$A$2:$A$200,0))),"")</f>
        <v/>
      </c>
      <c r="V301" s="15" t="n"/>
      <c r="W301" s="5" t="inlineStr">
        <is>
          <t>N</t>
        </is>
      </c>
      <c r="X301" s="5" t="n"/>
      <c r="Y301" s="5" t="n"/>
      <c r="Z301" s="5" t="inlineStr">
        <is>
          <t>Actives not on record – confirm tests</t>
        </is>
      </c>
      <c r="AA301" s="10">
        <f>IFERROR(IF(INDEX('Test catalog'!$O$2:$O$200,MATCH($AB301,'Test catalog'!$A$2:$A$200,0))="","",INDEX('Test catalog'!$O$2:$O$200,MATCH($AB301,'Test catalog'!$A$2:$A$200,0))),"")</f>
        <v/>
      </c>
      <c r="AB301" s="10" t="inlineStr">
        <is>
          <t>DIAM</t>
        </is>
      </c>
    </row>
    <row r="302">
      <c r="A302" s="10" t="inlineStr">
        <is>
          <t>F41</t>
        </is>
      </c>
      <c r="B302" s="10" t="inlineStr">
        <is>
          <t>FP</t>
        </is>
      </c>
      <c r="C302" s="10" t="inlineStr">
        <is>
          <t>Sweet Sleep  |  actives TBD: Sweet Sleep</t>
        </is>
      </c>
      <c r="D302" s="10" t="inlineStr">
        <is>
          <t>Thickness</t>
        </is>
      </c>
      <c r="E302" s="10">
        <f>IF(A302="","",A302&amp;"|"&amp;D302)</f>
        <v/>
      </c>
      <c r="F302" s="5" t="inlineStr">
        <is>
          <t>Y</t>
        </is>
      </c>
      <c r="G302" s="5" t="inlineStr">
        <is>
          <t>Tablet tester</t>
        </is>
      </c>
      <c r="H302" s="5" t="inlineStr">
        <is>
          <t>Low</t>
        </is>
      </c>
      <c r="I302" s="5" t="n">
        <v>1</v>
      </c>
      <c r="J302" s="5" t="n"/>
      <c r="K302" s="10">
        <f>IFERROR(IF(INDEX('Test catalog'!$F$2:$F$200,MATCH($AB302,'Test catalog'!$A$2:$A$200,0))="","",INDEX('Test catalog'!$F$2:$F$200,MATCH($AB302,'Test catalog'!$A$2:$A$200,0))),"")</f>
        <v/>
      </c>
      <c r="L302" s="10">
        <f>IFERROR(IF(INDEX('Test catalog'!$G$2:$G$200,MATCH($AB302,'Test catalog'!$A$2:$A$200,0))="","",INDEX('Test catalog'!$G$2:$G$200,MATCH($AB302,'Test catalog'!$A$2:$A$200,0))),"")</f>
        <v/>
      </c>
      <c r="M302" s="10">
        <f>IFERROR(IF(INDEX('Test catalog'!$H$2:$H$200,MATCH($AB302,'Test catalog'!$A$2:$A$200,0))="","",INDEX('Test catalog'!$H$2:$H$200,MATCH($AB302,'Test catalog'!$A$2:$A$200,0))),"")</f>
        <v/>
      </c>
      <c r="N302" s="10">
        <f>IFERROR(IF(INDEX('Test catalog'!$I$2:$I$200,MATCH($AB302,'Test catalog'!$A$2:$A$200,0))="","",INDEX('Test catalog'!$I$2:$I$200,MATCH($AB302,'Test catalog'!$A$2:$A$200,0))),"")</f>
        <v/>
      </c>
      <c r="O302" s="10">
        <f>IFERROR(IF(INDEX('Test catalog'!$J$2:$J$200,MATCH($AB302,'Test catalog'!$A$2:$A$200,0))="","",INDEX('Test catalog'!$J$2:$J$200,MATCH($AB302,'Test catalog'!$A$2:$A$200,0))),"")</f>
        <v/>
      </c>
      <c r="P302" s="14">
        <f>IF(N302="","",IF(OR(M302="",O302=""),N302,(M302+4*N302+O302)/6))</f>
        <v/>
      </c>
      <c r="Q302" s="10">
        <f>IFERROR(IF(INDEX('Test catalog'!$K$2:$K$200,MATCH($AB302,'Test catalog'!$A$2:$A$200,0))="","",INDEX('Test catalog'!$K$2:$K$200,MATCH($AB302,'Test catalog'!$A$2:$A$200,0))),"")</f>
        <v/>
      </c>
      <c r="R302" s="5" t="n"/>
      <c r="S302" s="10">
        <f>IFERROR(IF(INDEX('Test catalog'!$L$2:$L$200,MATCH($AB302,'Test catalog'!$A$2:$A$200,0))="","",INDEX('Test catalog'!$L$2:$L$200,MATCH($AB302,'Test catalog'!$A$2:$A$200,0))),"")</f>
        <v/>
      </c>
      <c r="T302" s="10">
        <f>IFERROR(IF(INDEX('Test catalog'!$M$2:$M$200,MATCH($AB302,'Test catalog'!$A$2:$A$200,0))="","",INDEX('Test catalog'!$M$2:$M$200,MATCH($AB302,'Test catalog'!$A$2:$A$200,0))),"")</f>
        <v/>
      </c>
      <c r="U302" s="10">
        <f>IFERROR(IF(INDEX('Test catalog'!$N$2:$N$200,MATCH($AB302,'Test catalog'!$A$2:$A$200,0))="","",INDEX('Test catalog'!$N$2:$N$200,MATCH($AB302,'Test catalog'!$A$2:$A$200,0))),"")</f>
        <v/>
      </c>
      <c r="V302" s="15" t="n"/>
      <c r="W302" s="5" t="inlineStr">
        <is>
          <t>N</t>
        </is>
      </c>
      <c r="X302" s="5" t="n"/>
      <c r="Y302" s="5" t="n"/>
      <c r="Z302" s="5" t="inlineStr">
        <is>
          <t>Actives not on record – confirm tests</t>
        </is>
      </c>
      <c r="AA302" s="10">
        <f>IFERROR(IF(INDEX('Test catalog'!$O$2:$O$200,MATCH($AB302,'Test catalog'!$A$2:$A$200,0))="","",INDEX('Test catalog'!$O$2:$O$200,MATCH($AB302,'Test catalog'!$A$2:$A$200,0))),"")</f>
        <v/>
      </c>
      <c r="AB302" s="10" t="inlineStr">
        <is>
          <t>THICK</t>
        </is>
      </c>
    </row>
    <row r="303">
      <c r="A303" s="10" t="inlineStr">
        <is>
          <t>F41</t>
        </is>
      </c>
      <c r="B303" s="10" t="inlineStr">
        <is>
          <t>FP</t>
        </is>
      </c>
      <c r="C303" s="10" t="inlineStr">
        <is>
          <t>Sweet Sleep  |  actives TBD: Sweet Sleep</t>
        </is>
      </c>
      <c r="D303" s="10" t="inlineStr">
        <is>
          <t>Hardness / breaking force</t>
        </is>
      </c>
      <c r="E303" s="10">
        <f>IF(A303="","",A303&amp;"|"&amp;D303)</f>
        <v/>
      </c>
      <c r="F303" s="5" t="inlineStr">
        <is>
          <t>Y</t>
        </is>
      </c>
      <c r="G303" s="5" t="inlineStr">
        <is>
          <t>Tablet tester</t>
        </is>
      </c>
      <c r="H303" s="5" t="inlineStr">
        <is>
          <t>Low</t>
        </is>
      </c>
      <c r="I303" s="5" t="n">
        <v>1</v>
      </c>
      <c r="J303" s="5" t="n"/>
      <c r="K303" s="10">
        <f>IFERROR(IF(INDEX('Test catalog'!$F$2:$F$200,MATCH($AB303,'Test catalog'!$A$2:$A$200,0))="","",INDEX('Test catalog'!$F$2:$F$200,MATCH($AB303,'Test catalog'!$A$2:$A$200,0))),"")</f>
        <v/>
      </c>
      <c r="L303" s="10">
        <f>IFERROR(IF(INDEX('Test catalog'!$G$2:$G$200,MATCH($AB303,'Test catalog'!$A$2:$A$200,0))="","",INDEX('Test catalog'!$G$2:$G$200,MATCH($AB303,'Test catalog'!$A$2:$A$200,0))),"")</f>
        <v/>
      </c>
      <c r="M303" s="10">
        <f>IFERROR(IF(INDEX('Test catalog'!$H$2:$H$200,MATCH($AB303,'Test catalog'!$A$2:$A$200,0))="","",INDEX('Test catalog'!$H$2:$H$200,MATCH($AB303,'Test catalog'!$A$2:$A$200,0))),"")</f>
        <v/>
      </c>
      <c r="N303" s="10">
        <f>IFERROR(IF(INDEX('Test catalog'!$I$2:$I$200,MATCH($AB303,'Test catalog'!$A$2:$A$200,0))="","",INDEX('Test catalog'!$I$2:$I$200,MATCH($AB303,'Test catalog'!$A$2:$A$200,0))),"")</f>
        <v/>
      </c>
      <c r="O303" s="10">
        <f>IFERROR(IF(INDEX('Test catalog'!$J$2:$J$200,MATCH($AB303,'Test catalog'!$A$2:$A$200,0))="","",INDEX('Test catalog'!$J$2:$J$200,MATCH($AB303,'Test catalog'!$A$2:$A$200,0))),"")</f>
        <v/>
      </c>
      <c r="P303" s="14">
        <f>IF(N303="","",IF(OR(M303="",O303=""),N303,(M303+4*N303+O303)/6))</f>
        <v/>
      </c>
      <c r="Q303" s="10">
        <f>IFERROR(IF(INDEX('Test catalog'!$K$2:$K$200,MATCH($AB303,'Test catalog'!$A$2:$A$200,0))="","",INDEX('Test catalog'!$K$2:$K$200,MATCH($AB303,'Test catalog'!$A$2:$A$200,0))),"")</f>
        <v/>
      </c>
      <c r="R303" s="5" t="n"/>
      <c r="S303" s="10">
        <f>IFERROR(IF(INDEX('Test catalog'!$L$2:$L$200,MATCH($AB303,'Test catalog'!$A$2:$A$200,0))="","",INDEX('Test catalog'!$L$2:$L$200,MATCH($AB303,'Test catalog'!$A$2:$A$200,0))),"")</f>
        <v/>
      </c>
      <c r="T303" s="10">
        <f>IFERROR(IF(INDEX('Test catalog'!$M$2:$M$200,MATCH($AB303,'Test catalog'!$A$2:$A$200,0))="","",INDEX('Test catalog'!$M$2:$M$200,MATCH($AB303,'Test catalog'!$A$2:$A$200,0))),"")</f>
        <v/>
      </c>
      <c r="U303" s="10">
        <f>IFERROR(IF(INDEX('Test catalog'!$N$2:$N$200,MATCH($AB303,'Test catalog'!$A$2:$A$200,0))="","",INDEX('Test catalog'!$N$2:$N$200,MATCH($AB303,'Test catalog'!$A$2:$A$200,0))),"")</f>
        <v/>
      </c>
      <c r="V303" s="15" t="n"/>
      <c r="W303" s="5" t="inlineStr">
        <is>
          <t>Y</t>
        </is>
      </c>
      <c r="X303" s="5" t="n"/>
      <c r="Y303" s="5" t="n"/>
      <c r="Z303" s="5" t="inlineStr">
        <is>
          <t>Actives not on record – confirm tests</t>
        </is>
      </c>
      <c r="AA303" s="10">
        <f>IFERROR(IF(INDEX('Test catalog'!$O$2:$O$200,MATCH($AB303,'Test catalog'!$A$2:$A$200,0))="","",INDEX('Test catalog'!$O$2:$O$200,MATCH($AB303,'Test catalog'!$A$2:$A$200,0))),"")</f>
        <v/>
      </c>
      <c r="AB303" s="10" t="inlineStr">
        <is>
          <t>HARD</t>
        </is>
      </c>
    </row>
    <row r="304">
      <c r="A304" s="10" t="inlineStr">
        <is>
          <t>F41</t>
        </is>
      </c>
      <c r="B304" s="10" t="inlineStr">
        <is>
          <t>FP</t>
        </is>
      </c>
      <c r="C304" s="10" t="inlineStr">
        <is>
          <t>Sweet Sleep  |  actives TBD: Sweet Sleep</t>
        </is>
      </c>
      <c r="D304" s="10" t="inlineStr">
        <is>
          <t>Brittleness</t>
        </is>
      </c>
      <c r="E304" s="10">
        <f>IF(A304="","",A304&amp;"|"&amp;D304)</f>
        <v/>
      </c>
      <c r="F304" s="5" t="inlineStr">
        <is>
          <t>Y</t>
        </is>
      </c>
      <c r="G304" s="5" t="inlineStr">
        <is>
          <t>Other / bench</t>
        </is>
      </c>
      <c r="H304" s="5" t="inlineStr">
        <is>
          <t>Low</t>
        </is>
      </c>
      <c r="I304" s="5" t="n">
        <v>1</v>
      </c>
      <c r="J304" s="5" t="n"/>
      <c r="K304" s="10">
        <f>IFERROR(IF(INDEX('Test catalog'!$F$2:$F$200,MATCH($AB304,'Test catalog'!$A$2:$A$200,0))="","",INDEX('Test catalog'!$F$2:$F$200,MATCH($AB304,'Test catalog'!$A$2:$A$200,0))),"")</f>
        <v/>
      </c>
      <c r="L304" s="10">
        <f>IFERROR(IF(INDEX('Test catalog'!$G$2:$G$200,MATCH($AB304,'Test catalog'!$A$2:$A$200,0))="","",INDEX('Test catalog'!$G$2:$G$200,MATCH($AB304,'Test catalog'!$A$2:$A$200,0))),"")</f>
        <v/>
      </c>
      <c r="M304" s="10">
        <f>IFERROR(IF(INDEX('Test catalog'!$H$2:$H$200,MATCH($AB304,'Test catalog'!$A$2:$A$200,0))="","",INDEX('Test catalog'!$H$2:$H$200,MATCH($AB304,'Test catalog'!$A$2:$A$200,0))),"")</f>
        <v/>
      </c>
      <c r="N304" s="10">
        <f>IFERROR(IF(INDEX('Test catalog'!$I$2:$I$200,MATCH($AB304,'Test catalog'!$A$2:$A$200,0))="","",INDEX('Test catalog'!$I$2:$I$200,MATCH($AB304,'Test catalog'!$A$2:$A$200,0))),"")</f>
        <v/>
      </c>
      <c r="O304" s="10">
        <f>IFERROR(IF(INDEX('Test catalog'!$J$2:$J$200,MATCH($AB304,'Test catalog'!$A$2:$A$200,0))="","",INDEX('Test catalog'!$J$2:$J$200,MATCH($AB304,'Test catalog'!$A$2:$A$200,0))),"")</f>
        <v/>
      </c>
      <c r="P304" s="14">
        <f>IF(N304="","",IF(OR(M304="",O304=""),N304,(M304+4*N304+O304)/6))</f>
        <v/>
      </c>
      <c r="Q304" s="10">
        <f>IFERROR(IF(INDEX('Test catalog'!$K$2:$K$200,MATCH($AB304,'Test catalog'!$A$2:$A$200,0))="","",INDEX('Test catalog'!$K$2:$K$200,MATCH($AB304,'Test catalog'!$A$2:$A$200,0))),"")</f>
        <v/>
      </c>
      <c r="R304" s="5" t="n"/>
      <c r="S304" s="10">
        <f>IFERROR(IF(INDEX('Test catalog'!$L$2:$L$200,MATCH($AB304,'Test catalog'!$A$2:$A$200,0))="","",INDEX('Test catalog'!$L$2:$L$200,MATCH($AB304,'Test catalog'!$A$2:$A$200,0))),"")</f>
        <v/>
      </c>
      <c r="T304" s="10">
        <f>IFERROR(IF(INDEX('Test catalog'!$M$2:$M$200,MATCH($AB304,'Test catalog'!$A$2:$A$200,0))="","",INDEX('Test catalog'!$M$2:$M$200,MATCH($AB304,'Test catalog'!$A$2:$A$200,0))),"")</f>
        <v/>
      </c>
      <c r="U304" s="10">
        <f>IFERROR(IF(INDEX('Test catalog'!$N$2:$N$200,MATCH($AB304,'Test catalog'!$A$2:$A$200,0))="","",INDEX('Test catalog'!$N$2:$N$200,MATCH($AB304,'Test catalog'!$A$2:$A$200,0))),"")</f>
        <v/>
      </c>
      <c r="V304" s="15" t="n"/>
      <c r="W304" s="5" t="inlineStr">
        <is>
          <t>N</t>
        </is>
      </c>
      <c r="X304" s="5" t="n"/>
      <c r="Y304" s="5" t="n"/>
      <c r="Z304" s="5" t="inlineStr">
        <is>
          <t>Actives not on record – confirm tests</t>
        </is>
      </c>
      <c r="AA304" s="10">
        <f>IFERROR(IF(INDEX('Test catalog'!$O$2:$O$200,MATCH($AB304,'Test catalog'!$A$2:$A$200,0))="","",INDEX('Test catalog'!$O$2:$O$200,MATCH($AB304,'Test catalog'!$A$2:$A$200,0))),"")</f>
        <v/>
      </c>
      <c r="AB304" s="10" t="inlineStr">
        <is>
          <t>BRITTLE</t>
        </is>
      </c>
    </row>
    <row r="305">
      <c r="A305" s="10" t="inlineStr">
        <is>
          <t>F41</t>
        </is>
      </c>
      <c r="B305" s="10" t="inlineStr">
        <is>
          <t>FP</t>
        </is>
      </c>
      <c r="C305" s="10" t="inlineStr">
        <is>
          <t>Sweet Sleep  |  actives TBD: Sweet Sleep</t>
        </is>
      </c>
      <c r="D305" s="10" t="inlineStr">
        <is>
          <t>Friability</t>
        </is>
      </c>
      <c r="E305" s="10">
        <f>IF(A305="","",A305&amp;"|"&amp;D305)</f>
        <v/>
      </c>
      <c r="F305" s="5" t="inlineStr">
        <is>
          <t>Y</t>
        </is>
      </c>
      <c r="G305" s="5" t="inlineStr">
        <is>
          <t>Friabilator</t>
        </is>
      </c>
      <c r="H305" s="5" t="inlineStr">
        <is>
          <t>Low</t>
        </is>
      </c>
      <c r="I305" s="5" t="n">
        <v>1</v>
      </c>
      <c r="J305" s="5" t="n"/>
      <c r="K305" s="10">
        <f>IFERROR(IF(INDEX('Test catalog'!$F$2:$F$200,MATCH($AB305,'Test catalog'!$A$2:$A$200,0))="","",INDEX('Test catalog'!$F$2:$F$200,MATCH($AB305,'Test catalog'!$A$2:$A$200,0))),"")</f>
        <v/>
      </c>
      <c r="L305" s="10">
        <f>IFERROR(IF(INDEX('Test catalog'!$G$2:$G$200,MATCH($AB305,'Test catalog'!$A$2:$A$200,0))="","",INDEX('Test catalog'!$G$2:$G$200,MATCH($AB305,'Test catalog'!$A$2:$A$200,0))),"")</f>
        <v/>
      </c>
      <c r="M305" s="10">
        <f>IFERROR(IF(INDEX('Test catalog'!$H$2:$H$200,MATCH($AB305,'Test catalog'!$A$2:$A$200,0))="","",INDEX('Test catalog'!$H$2:$H$200,MATCH($AB305,'Test catalog'!$A$2:$A$200,0))),"")</f>
        <v/>
      </c>
      <c r="N305" s="10">
        <f>IFERROR(IF(INDEX('Test catalog'!$I$2:$I$200,MATCH($AB305,'Test catalog'!$A$2:$A$200,0))="","",INDEX('Test catalog'!$I$2:$I$200,MATCH($AB305,'Test catalog'!$A$2:$A$200,0))),"")</f>
        <v/>
      </c>
      <c r="O305" s="10">
        <f>IFERROR(IF(INDEX('Test catalog'!$J$2:$J$200,MATCH($AB305,'Test catalog'!$A$2:$A$200,0))="","",INDEX('Test catalog'!$J$2:$J$200,MATCH($AB305,'Test catalog'!$A$2:$A$200,0))),"")</f>
        <v/>
      </c>
      <c r="P305" s="14">
        <f>IF(N305="","",IF(OR(M305="",O305=""),N305,(M305+4*N305+O305)/6))</f>
        <v/>
      </c>
      <c r="Q305" s="10">
        <f>IFERROR(IF(INDEX('Test catalog'!$K$2:$K$200,MATCH($AB305,'Test catalog'!$A$2:$A$200,0))="","",INDEX('Test catalog'!$K$2:$K$200,MATCH($AB305,'Test catalog'!$A$2:$A$200,0))),"")</f>
        <v/>
      </c>
      <c r="R305" s="5" t="n"/>
      <c r="S305" s="10">
        <f>IFERROR(IF(INDEX('Test catalog'!$L$2:$L$200,MATCH($AB305,'Test catalog'!$A$2:$A$200,0))="","",INDEX('Test catalog'!$L$2:$L$200,MATCH($AB305,'Test catalog'!$A$2:$A$200,0))),"")</f>
        <v/>
      </c>
      <c r="T305" s="10">
        <f>IFERROR(IF(INDEX('Test catalog'!$M$2:$M$200,MATCH($AB305,'Test catalog'!$A$2:$A$200,0))="","",INDEX('Test catalog'!$M$2:$M$200,MATCH($AB305,'Test catalog'!$A$2:$A$200,0))),"")</f>
        <v/>
      </c>
      <c r="U305" s="10">
        <f>IFERROR(IF(INDEX('Test catalog'!$N$2:$N$200,MATCH($AB305,'Test catalog'!$A$2:$A$200,0))="","",INDEX('Test catalog'!$N$2:$N$200,MATCH($AB305,'Test catalog'!$A$2:$A$200,0))),"")</f>
        <v/>
      </c>
      <c r="V305" s="15" t="n"/>
      <c r="W305" s="5" t="inlineStr">
        <is>
          <t>N</t>
        </is>
      </c>
      <c r="X305" s="5" t="n"/>
      <c r="Y305" s="5" t="n"/>
      <c r="Z305" s="5" t="inlineStr">
        <is>
          <t>Actives not on record – confirm tests</t>
        </is>
      </c>
      <c r="AA305" s="10">
        <f>IFERROR(IF(INDEX('Test catalog'!$O$2:$O$200,MATCH($AB305,'Test catalog'!$A$2:$A$200,0))="","",INDEX('Test catalog'!$O$2:$O$200,MATCH($AB305,'Test catalog'!$A$2:$A$200,0))),"")</f>
        <v/>
      </c>
      <c r="AB305" s="10" t="inlineStr">
        <is>
          <t>FRIAB</t>
        </is>
      </c>
    </row>
    <row r="306">
      <c r="A306" s="10" t="inlineStr">
        <is>
          <t>F41</t>
        </is>
      </c>
      <c r="B306" s="10" t="inlineStr">
        <is>
          <t>FP</t>
        </is>
      </c>
      <c r="C306" s="10" t="inlineStr">
        <is>
          <t>Sweet Sleep  |  actives TBD: Sweet Sleep</t>
        </is>
      </c>
      <c r="D306" s="10" t="inlineStr">
        <is>
          <t>Disintegration</t>
        </is>
      </c>
      <c r="E306" s="10">
        <f>IF(A306="","",A306&amp;"|"&amp;D306)</f>
        <v/>
      </c>
      <c r="F306" s="5" t="inlineStr">
        <is>
          <t>Y</t>
        </is>
      </c>
      <c r="G306" s="5" t="inlineStr">
        <is>
          <t>Disintegration tester</t>
        </is>
      </c>
      <c r="H306" s="5" t="inlineStr">
        <is>
          <t>Low</t>
        </is>
      </c>
      <c r="I306" s="5" t="n">
        <v>1</v>
      </c>
      <c r="J306" s="5" t="n"/>
      <c r="K306" s="10">
        <f>IFERROR(IF(INDEX('Test catalog'!$F$2:$F$200,MATCH($AB306,'Test catalog'!$A$2:$A$200,0))="","",INDEX('Test catalog'!$F$2:$F$200,MATCH($AB306,'Test catalog'!$A$2:$A$200,0))),"")</f>
        <v/>
      </c>
      <c r="L306" s="10">
        <f>IFERROR(IF(INDEX('Test catalog'!$G$2:$G$200,MATCH($AB306,'Test catalog'!$A$2:$A$200,0))="","",INDEX('Test catalog'!$G$2:$G$200,MATCH($AB306,'Test catalog'!$A$2:$A$200,0))),"")</f>
        <v/>
      </c>
      <c r="M306" s="10">
        <f>IFERROR(IF(INDEX('Test catalog'!$H$2:$H$200,MATCH($AB306,'Test catalog'!$A$2:$A$200,0))="","",INDEX('Test catalog'!$H$2:$H$200,MATCH($AB306,'Test catalog'!$A$2:$A$200,0))),"")</f>
        <v/>
      </c>
      <c r="N306" s="10">
        <f>IFERROR(IF(INDEX('Test catalog'!$I$2:$I$200,MATCH($AB306,'Test catalog'!$A$2:$A$200,0))="","",INDEX('Test catalog'!$I$2:$I$200,MATCH($AB306,'Test catalog'!$A$2:$A$200,0))),"")</f>
        <v/>
      </c>
      <c r="O306" s="10">
        <f>IFERROR(IF(INDEX('Test catalog'!$J$2:$J$200,MATCH($AB306,'Test catalog'!$A$2:$A$200,0))="","",INDEX('Test catalog'!$J$2:$J$200,MATCH($AB306,'Test catalog'!$A$2:$A$200,0))),"")</f>
        <v/>
      </c>
      <c r="P306" s="14">
        <f>IF(N306="","",IF(OR(M306="",O306=""),N306,(M306+4*N306+O306)/6))</f>
        <v/>
      </c>
      <c r="Q306" s="10">
        <f>IFERROR(IF(INDEX('Test catalog'!$K$2:$K$200,MATCH($AB306,'Test catalog'!$A$2:$A$200,0))="","",INDEX('Test catalog'!$K$2:$K$200,MATCH($AB306,'Test catalog'!$A$2:$A$200,0))),"")</f>
        <v/>
      </c>
      <c r="R306" s="5" t="n"/>
      <c r="S306" s="10">
        <f>IFERROR(IF(INDEX('Test catalog'!$L$2:$L$200,MATCH($AB306,'Test catalog'!$A$2:$A$200,0))="","",INDEX('Test catalog'!$L$2:$L$200,MATCH($AB306,'Test catalog'!$A$2:$A$200,0))),"")</f>
        <v/>
      </c>
      <c r="T306" s="10">
        <f>IFERROR(IF(INDEX('Test catalog'!$M$2:$M$200,MATCH($AB306,'Test catalog'!$A$2:$A$200,0))="","",INDEX('Test catalog'!$M$2:$M$200,MATCH($AB306,'Test catalog'!$A$2:$A$200,0))),"")</f>
        <v/>
      </c>
      <c r="U306" s="10">
        <f>IFERROR(IF(INDEX('Test catalog'!$N$2:$N$200,MATCH($AB306,'Test catalog'!$A$2:$A$200,0))="","",INDEX('Test catalog'!$N$2:$N$200,MATCH($AB306,'Test catalog'!$A$2:$A$200,0))),"")</f>
        <v/>
      </c>
      <c r="V306" s="15" t="n"/>
      <c r="W306" s="5" t="inlineStr">
        <is>
          <t>Y</t>
        </is>
      </c>
      <c r="X306" s="5" t="n"/>
      <c r="Y306" s="5" t="n"/>
      <c r="Z306" s="5" t="inlineStr">
        <is>
          <t>Actives not on record – confirm tests</t>
        </is>
      </c>
      <c r="AA306" s="10">
        <f>IFERROR(IF(INDEX('Test catalog'!$O$2:$O$200,MATCH($AB306,'Test catalog'!$A$2:$A$200,0))="","",INDEX('Test catalog'!$O$2:$O$200,MATCH($AB306,'Test catalog'!$A$2:$A$200,0))),"")</f>
        <v/>
      </c>
      <c r="AB306" s="10" t="inlineStr">
        <is>
          <t>DISINT</t>
        </is>
      </c>
    </row>
    <row r="307">
      <c r="A307" s="10" t="inlineStr">
        <is>
          <t>F41</t>
        </is>
      </c>
      <c r="B307" s="10" t="inlineStr">
        <is>
          <t>FP</t>
        </is>
      </c>
      <c r="C307" s="10" t="inlineStr">
        <is>
          <t>Sweet Sleep  |  actives TBD: Sweet Sleep</t>
        </is>
      </c>
      <c r="D307" s="10" t="inlineStr">
        <is>
          <t>In-process check at the machine (one check, all its tests)</t>
        </is>
      </c>
      <c r="E307" s="10">
        <f>IF(A307="","",A307&amp;"|"&amp;D307)</f>
        <v/>
      </c>
      <c r="F307" s="5" t="inlineStr">
        <is>
          <t>Y</t>
        </is>
      </c>
      <c r="G307" s="5" t="inlineStr">
        <is>
          <t>Tablet tester</t>
        </is>
      </c>
      <c r="H307" s="5" t="inlineStr">
        <is>
          <t>Low</t>
        </is>
      </c>
      <c r="I307" s="5" t="n">
        <v>1</v>
      </c>
      <c r="J307" s="5" t="n"/>
      <c r="K307" s="10">
        <f>IFERROR(IF(INDEX('Test catalog'!$F$2:$F$200,MATCH($AB307,'Test catalog'!$A$2:$A$200,0))="","",INDEX('Test catalog'!$F$2:$F$200,MATCH($AB307,'Test catalog'!$A$2:$A$200,0))),"")</f>
        <v/>
      </c>
      <c r="L307" s="10">
        <f>IFERROR(IF(INDEX('Test catalog'!$G$2:$G$200,MATCH($AB307,'Test catalog'!$A$2:$A$200,0))="","",INDEX('Test catalog'!$G$2:$G$200,MATCH($AB307,'Test catalog'!$A$2:$A$200,0))),"")</f>
        <v/>
      </c>
      <c r="M307" s="10">
        <f>IFERROR(IF(INDEX('Test catalog'!$H$2:$H$200,MATCH($AB307,'Test catalog'!$A$2:$A$200,0))="","",INDEX('Test catalog'!$H$2:$H$200,MATCH($AB307,'Test catalog'!$A$2:$A$200,0))),"")</f>
        <v/>
      </c>
      <c r="N307" s="10">
        <f>IFERROR(IF(INDEX('Test catalog'!$I$2:$I$200,MATCH($AB307,'Test catalog'!$A$2:$A$200,0))="","",INDEX('Test catalog'!$I$2:$I$200,MATCH($AB307,'Test catalog'!$A$2:$A$200,0))),"")</f>
        <v/>
      </c>
      <c r="O307" s="10">
        <f>IFERROR(IF(INDEX('Test catalog'!$J$2:$J$200,MATCH($AB307,'Test catalog'!$A$2:$A$200,0))="","",INDEX('Test catalog'!$J$2:$J$200,MATCH($AB307,'Test catalog'!$A$2:$A$200,0))),"")</f>
        <v/>
      </c>
      <c r="P307" s="14">
        <f>IF(N307="","",IF(OR(M307="",O307=""),N307,(M307+4*N307+O307)/6))</f>
        <v/>
      </c>
      <c r="Q307" s="10">
        <f>IFERROR(IF(INDEX('Test catalog'!$K$2:$K$200,MATCH($AB307,'Test catalog'!$A$2:$A$200,0))="","",INDEX('Test catalog'!$K$2:$K$200,MATCH($AB307,'Test catalog'!$A$2:$A$200,0))),"")</f>
        <v/>
      </c>
      <c r="R307" s="5" t="n"/>
      <c r="S307" s="10">
        <f>IFERROR(IF(INDEX('Test catalog'!$L$2:$L$200,MATCH($AB307,'Test catalog'!$A$2:$A$200,0))="","",INDEX('Test catalog'!$L$2:$L$200,MATCH($AB307,'Test catalog'!$A$2:$A$200,0))),"")</f>
        <v/>
      </c>
      <c r="T307" s="10">
        <f>IFERROR(IF(INDEX('Test catalog'!$M$2:$M$200,MATCH($AB307,'Test catalog'!$A$2:$A$200,0))="","",INDEX('Test catalog'!$M$2:$M$200,MATCH($AB307,'Test catalog'!$A$2:$A$200,0))),"")</f>
        <v/>
      </c>
      <c r="U307" s="10">
        <f>IFERROR(IF(INDEX('Test catalog'!$N$2:$N$200,MATCH($AB307,'Test catalog'!$A$2:$A$200,0))="","",INDEX('Test catalog'!$N$2:$N$200,MATCH($AB307,'Test catalog'!$A$2:$A$200,0))),"")</f>
        <v/>
      </c>
      <c r="V307" s="15" t="n"/>
      <c r="W307" s="5" t="inlineStr">
        <is>
          <t>N</t>
        </is>
      </c>
      <c r="X307" s="5" t="n"/>
      <c r="Y307" s="5" t="n"/>
      <c r="Z307" s="5" t="inlineStr">
        <is>
          <t>Actives not on record – confirm tests</t>
        </is>
      </c>
      <c r="AA307" s="10">
        <f>IFERROR(IF(INDEX('Test catalog'!$O$2:$O$200,MATCH($AB307,'Test catalog'!$A$2:$A$200,0))="","",INDEX('Test catalog'!$O$2:$O$200,MATCH($AB307,'Test catalog'!$A$2:$A$200,0))),"")</f>
        <v/>
      </c>
      <c r="AB307" s="10" t="inlineStr">
        <is>
          <t>IPC</t>
        </is>
      </c>
    </row>
    <row r="308">
      <c r="A308" s="10" t="inlineStr">
        <is>
          <t>F42</t>
        </is>
      </c>
      <c r="B308" s="10" t="inlineStr">
        <is>
          <t>FP</t>
        </is>
      </c>
      <c r="C308" s="10" t="inlineStr">
        <is>
          <t>Ferrikid  |  actives TBD: Ferrikid</t>
        </is>
      </c>
      <c r="D308" s="10" t="inlineStr">
        <is>
          <t>Average weight / uniformity of mass</t>
        </is>
      </c>
      <c r="E308" s="10">
        <f>IF(A308="","",A308&amp;"|"&amp;D308)</f>
        <v/>
      </c>
      <c r="F308" s="5" t="inlineStr">
        <is>
          <t>Y</t>
        </is>
      </c>
      <c r="G308" s="5" t="inlineStr">
        <is>
          <t>Balance</t>
        </is>
      </c>
      <c r="H308" s="5" t="inlineStr">
        <is>
          <t>Low</t>
        </is>
      </c>
      <c r="I308" s="5" t="n">
        <v>1</v>
      </c>
      <c r="J308" s="5" t="n"/>
      <c r="K308" s="10">
        <f>IFERROR(IF(INDEX('Test catalog'!$F$2:$F$200,MATCH($AB308,'Test catalog'!$A$2:$A$200,0))="","",INDEX('Test catalog'!$F$2:$F$200,MATCH($AB308,'Test catalog'!$A$2:$A$200,0))),"")</f>
        <v/>
      </c>
      <c r="L308" s="10">
        <f>IFERROR(IF(INDEX('Test catalog'!$G$2:$G$200,MATCH($AB308,'Test catalog'!$A$2:$A$200,0))="","",INDEX('Test catalog'!$G$2:$G$200,MATCH($AB308,'Test catalog'!$A$2:$A$200,0))),"")</f>
        <v/>
      </c>
      <c r="M308" s="10">
        <f>IFERROR(IF(INDEX('Test catalog'!$H$2:$H$200,MATCH($AB308,'Test catalog'!$A$2:$A$200,0))="","",INDEX('Test catalog'!$H$2:$H$200,MATCH($AB308,'Test catalog'!$A$2:$A$200,0))),"")</f>
        <v/>
      </c>
      <c r="N308" s="10">
        <f>IFERROR(IF(INDEX('Test catalog'!$I$2:$I$200,MATCH($AB308,'Test catalog'!$A$2:$A$200,0))="","",INDEX('Test catalog'!$I$2:$I$200,MATCH($AB308,'Test catalog'!$A$2:$A$200,0))),"")</f>
        <v/>
      </c>
      <c r="O308" s="10">
        <f>IFERROR(IF(INDEX('Test catalog'!$J$2:$J$200,MATCH($AB308,'Test catalog'!$A$2:$A$200,0))="","",INDEX('Test catalog'!$J$2:$J$200,MATCH($AB308,'Test catalog'!$A$2:$A$200,0))),"")</f>
        <v/>
      </c>
      <c r="P308" s="14">
        <f>IF(N308="","",IF(OR(M308="",O308=""),N308,(M308+4*N308+O308)/6))</f>
        <v/>
      </c>
      <c r="Q308" s="10">
        <f>IFERROR(IF(INDEX('Test catalog'!$K$2:$K$200,MATCH($AB308,'Test catalog'!$A$2:$A$200,0))="","",INDEX('Test catalog'!$K$2:$K$200,MATCH($AB308,'Test catalog'!$A$2:$A$200,0))),"")</f>
        <v/>
      </c>
      <c r="R308" s="5" t="n"/>
      <c r="S308" s="10">
        <f>IFERROR(IF(INDEX('Test catalog'!$L$2:$L$200,MATCH($AB308,'Test catalog'!$A$2:$A$200,0))="","",INDEX('Test catalog'!$L$2:$L$200,MATCH($AB308,'Test catalog'!$A$2:$A$200,0))),"")</f>
        <v/>
      </c>
      <c r="T308" s="10">
        <f>IFERROR(IF(INDEX('Test catalog'!$M$2:$M$200,MATCH($AB308,'Test catalog'!$A$2:$A$200,0))="","",INDEX('Test catalog'!$M$2:$M$200,MATCH($AB308,'Test catalog'!$A$2:$A$200,0))),"")</f>
        <v/>
      </c>
      <c r="U308" s="10">
        <f>IFERROR(IF(INDEX('Test catalog'!$N$2:$N$200,MATCH($AB308,'Test catalog'!$A$2:$A$200,0))="","",INDEX('Test catalog'!$N$2:$N$200,MATCH($AB308,'Test catalog'!$A$2:$A$200,0))),"")</f>
        <v/>
      </c>
      <c r="V308" s="15" t="n"/>
      <c r="W308" s="5" t="inlineStr">
        <is>
          <t>N</t>
        </is>
      </c>
      <c r="X308" s="5" t="n"/>
      <c r="Y308" s="5" t="n"/>
      <c r="Z308" s="5" t="inlineStr">
        <is>
          <t>Actives not on record – confirm tests</t>
        </is>
      </c>
      <c r="AA308" s="10">
        <f>IFERROR(IF(INDEX('Test catalog'!$O$2:$O$200,MATCH($AB308,'Test catalog'!$A$2:$A$200,0))="","",INDEX('Test catalog'!$O$2:$O$200,MATCH($AB308,'Test catalog'!$A$2:$A$200,0))),"")</f>
        <v/>
      </c>
      <c r="AB308" s="10" t="inlineStr">
        <is>
          <t>AVG_WT</t>
        </is>
      </c>
    </row>
    <row r="309">
      <c r="A309" s="10" t="inlineStr">
        <is>
          <t>F42</t>
        </is>
      </c>
      <c r="B309" s="10" t="inlineStr">
        <is>
          <t>FP</t>
        </is>
      </c>
      <c r="C309" s="10" t="inlineStr">
        <is>
          <t>Ferrikid  |  actives TBD: Ferrikid</t>
        </is>
      </c>
      <c r="D309" s="10" t="inlineStr">
        <is>
          <t>Diameter (or length / width)</t>
        </is>
      </c>
      <c r="E309" s="10">
        <f>IF(A309="","",A309&amp;"|"&amp;D309)</f>
        <v/>
      </c>
      <c r="F309" s="5" t="inlineStr">
        <is>
          <t>Y</t>
        </is>
      </c>
      <c r="G309" s="5" t="inlineStr">
        <is>
          <t>Tablet tester</t>
        </is>
      </c>
      <c r="H309" s="5" t="inlineStr">
        <is>
          <t>Low</t>
        </is>
      </c>
      <c r="I309" s="5" t="n">
        <v>1</v>
      </c>
      <c r="J309" s="5" t="n"/>
      <c r="K309" s="10">
        <f>IFERROR(IF(INDEX('Test catalog'!$F$2:$F$200,MATCH($AB309,'Test catalog'!$A$2:$A$200,0))="","",INDEX('Test catalog'!$F$2:$F$200,MATCH($AB309,'Test catalog'!$A$2:$A$200,0))),"")</f>
        <v/>
      </c>
      <c r="L309" s="10">
        <f>IFERROR(IF(INDEX('Test catalog'!$G$2:$G$200,MATCH($AB309,'Test catalog'!$A$2:$A$200,0))="","",INDEX('Test catalog'!$G$2:$G$200,MATCH($AB309,'Test catalog'!$A$2:$A$200,0))),"")</f>
        <v/>
      </c>
      <c r="M309" s="10">
        <f>IFERROR(IF(INDEX('Test catalog'!$H$2:$H$200,MATCH($AB309,'Test catalog'!$A$2:$A$200,0))="","",INDEX('Test catalog'!$H$2:$H$200,MATCH($AB309,'Test catalog'!$A$2:$A$200,0))),"")</f>
        <v/>
      </c>
      <c r="N309" s="10">
        <f>IFERROR(IF(INDEX('Test catalog'!$I$2:$I$200,MATCH($AB309,'Test catalog'!$A$2:$A$200,0))="","",INDEX('Test catalog'!$I$2:$I$200,MATCH($AB309,'Test catalog'!$A$2:$A$200,0))),"")</f>
        <v/>
      </c>
      <c r="O309" s="10">
        <f>IFERROR(IF(INDEX('Test catalog'!$J$2:$J$200,MATCH($AB309,'Test catalog'!$A$2:$A$200,0))="","",INDEX('Test catalog'!$J$2:$J$200,MATCH($AB309,'Test catalog'!$A$2:$A$200,0))),"")</f>
        <v/>
      </c>
      <c r="P309" s="14">
        <f>IF(N309="","",IF(OR(M309="",O309=""),N309,(M309+4*N309+O309)/6))</f>
        <v/>
      </c>
      <c r="Q309" s="10">
        <f>IFERROR(IF(INDEX('Test catalog'!$K$2:$K$200,MATCH($AB309,'Test catalog'!$A$2:$A$200,0))="","",INDEX('Test catalog'!$K$2:$K$200,MATCH($AB309,'Test catalog'!$A$2:$A$200,0))),"")</f>
        <v/>
      </c>
      <c r="R309" s="5" t="n"/>
      <c r="S309" s="10">
        <f>IFERROR(IF(INDEX('Test catalog'!$L$2:$L$200,MATCH($AB309,'Test catalog'!$A$2:$A$200,0))="","",INDEX('Test catalog'!$L$2:$L$200,MATCH($AB309,'Test catalog'!$A$2:$A$200,0))),"")</f>
        <v/>
      </c>
      <c r="T309" s="10">
        <f>IFERROR(IF(INDEX('Test catalog'!$M$2:$M$200,MATCH($AB309,'Test catalog'!$A$2:$A$200,0))="","",INDEX('Test catalog'!$M$2:$M$200,MATCH($AB309,'Test catalog'!$A$2:$A$200,0))),"")</f>
        <v/>
      </c>
      <c r="U309" s="10">
        <f>IFERROR(IF(INDEX('Test catalog'!$N$2:$N$200,MATCH($AB309,'Test catalog'!$A$2:$A$200,0))="","",INDEX('Test catalog'!$N$2:$N$200,MATCH($AB309,'Test catalog'!$A$2:$A$200,0))),"")</f>
        <v/>
      </c>
      <c r="V309" s="15" t="n"/>
      <c r="W309" s="5" t="inlineStr">
        <is>
          <t>N</t>
        </is>
      </c>
      <c r="X309" s="5" t="n"/>
      <c r="Y309" s="5" t="n"/>
      <c r="Z309" s="5" t="inlineStr">
        <is>
          <t>Actives not on record – confirm tests</t>
        </is>
      </c>
      <c r="AA309" s="10">
        <f>IFERROR(IF(INDEX('Test catalog'!$O$2:$O$200,MATCH($AB309,'Test catalog'!$A$2:$A$200,0))="","",INDEX('Test catalog'!$O$2:$O$200,MATCH($AB309,'Test catalog'!$A$2:$A$200,0))),"")</f>
        <v/>
      </c>
      <c r="AB309" s="10" t="inlineStr">
        <is>
          <t>DIAM</t>
        </is>
      </c>
    </row>
    <row r="310">
      <c r="A310" s="10" t="inlineStr">
        <is>
          <t>F42</t>
        </is>
      </c>
      <c r="B310" s="10" t="inlineStr">
        <is>
          <t>FP</t>
        </is>
      </c>
      <c r="C310" s="10" t="inlineStr">
        <is>
          <t>Ferrikid  |  actives TBD: Ferrikid</t>
        </is>
      </c>
      <c r="D310" s="10" t="inlineStr">
        <is>
          <t>Thickness</t>
        </is>
      </c>
      <c r="E310" s="10">
        <f>IF(A310="","",A310&amp;"|"&amp;D310)</f>
        <v/>
      </c>
      <c r="F310" s="5" t="inlineStr">
        <is>
          <t>Y</t>
        </is>
      </c>
      <c r="G310" s="5" t="inlineStr">
        <is>
          <t>Tablet tester</t>
        </is>
      </c>
      <c r="H310" s="5" t="inlineStr">
        <is>
          <t>Low</t>
        </is>
      </c>
      <c r="I310" s="5" t="n">
        <v>1</v>
      </c>
      <c r="J310" s="5" t="n"/>
      <c r="K310" s="10">
        <f>IFERROR(IF(INDEX('Test catalog'!$F$2:$F$200,MATCH($AB310,'Test catalog'!$A$2:$A$200,0))="","",INDEX('Test catalog'!$F$2:$F$200,MATCH($AB310,'Test catalog'!$A$2:$A$200,0))),"")</f>
        <v/>
      </c>
      <c r="L310" s="10">
        <f>IFERROR(IF(INDEX('Test catalog'!$G$2:$G$200,MATCH($AB310,'Test catalog'!$A$2:$A$200,0))="","",INDEX('Test catalog'!$G$2:$G$200,MATCH($AB310,'Test catalog'!$A$2:$A$200,0))),"")</f>
        <v/>
      </c>
      <c r="M310" s="10">
        <f>IFERROR(IF(INDEX('Test catalog'!$H$2:$H$200,MATCH($AB310,'Test catalog'!$A$2:$A$200,0))="","",INDEX('Test catalog'!$H$2:$H$200,MATCH($AB310,'Test catalog'!$A$2:$A$200,0))),"")</f>
        <v/>
      </c>
      <c r="N310" s="10">
        <f>IFERROR(IF(INDEX('Test catalog'!$I$2:$I$200,MATCH($AB310,'Test catalog'!$A$2:$A$200,0))="","",INDEX('Test catalog'!$I$2:$I$200,MATCH($AB310,'Test catalog'!$A$2:$A$200,0))),"")</f>
        <v/>
      </c>
      <c r="O310" s="10">
        <f>IFERROR(IF(INDEX('Test catalog'!$J$2:$J$200,MATCH($AB310,'Test catalog'!$A$2:$A$200,0))="","",INDEX('Test catalog'!$J$2:$J$200,MATCH($AB310,'Test catalog'!$A$2:$A$200,0))),"")</f>
        <v/>
      </c>
      <c r="P310" s="14">
        <f>IF(N310="","",IF(OR(M310="",O310=""),N310,(M310+4*N310+O310)/6))</f>
        <v/>
      </c>
      <c r="Q310" s="10">
        <f>IFERROR(IF(INDEX('Test catalog'!$K$2:$K$200,MATCH($AB310,'Test catalog'!$A$2:$A$200,0))="","",INDEX('Test catalog'!$K$2:$K$200,MATCH($AB310,'Test catalog'!$A$2:$A$200,0))),"")</f>
        <v/>
      </c>
      <c r="R310" s="5" t="n"/>
      <c r="S310" s="10">
        <f>IFERROR(IF(INDEX('Test catalog'!$L$2:$L$200,MATCH($AB310,'Test catalog'!$A$2:$A$200,0))="","",INDEX('Test catalog'!$L$2:$L$200,MATCH($AB310,'Test catalog'!$A$2:$A$200,0))),"")</f>
        <v/>
      </c>
      <c r="T310" s="10">
        <f>IFERROR(IF(INDEX('Test catalog'!$M$2:$M$200,MATCH($AB310,'Test catalog'!$A$2:$A$200,0))="","",INDEX('Test catalog'!$M$2:$M$200,MATCH($AB310,'Test catalog'!$A$2:$A$200,0))),"")</f>
        <v/>
      </c>
      <c r="U310" s="10">
        <f>IFERROR(IF(INDEX('Test catalog'!$N$2:$N$200,MATCH($AB310,'Test catalog'!$A$2:$A$200,0))="","",INDEX('Test catalog'!$N$2:$N$200,MATCH($AB310,'Test catalog'!$A$2:$A$200,0))),"")</f>
        <v/>
      </c>
      <c r="V310" s="15" t="n"/>
      <c r="W310" s="5" t="inlineStr">
        <is>
          <t>N</t>
        </is>
      </c>
      <c r="X310" s="5" t="n"/>
      <c r="Y310" s="5" t="n"/>
      <c r="Z310" s="5" t="inlineStr">
        <is>
          <t>Actives not on record – confirm tests</t>
        </is>
      </c>
      <c r="AA310" s="10">
        <f>IFERROR(IF(INDEX('Test catalog'!$O$2:$O$200,MATCH($AB310,'Test catalog'!$A$2:$A$200,0))="","",INDEX('Test catalog'!$O$2:$O$200,MATCH($AB310,'Test catalog'!$A$2:$A$200,0))),"")</f>
        <v/>
      </c>
      <c r="AB310" s="10" t="inlineStr">
        <is>
          <t>THICK</t>
        </is>
      </c>
    </row>
    <row r="311">
      <c r="A311" s="10" t="inlineStr">
        <is>
          <t>F42</t>
        </is>
      </c>
      <c r="B311" s="10" t="inlineStr">
        <is>
          <t>FP</t>
        </is>
      </c>
      <c r="C311" s="10" t="inlineStr">
        <is>
          <t>Ferrikid  |  actives TBD: Ferrikid</t>
        </is>
      </c>
      <c r="D311" s="10" t="inlineStr">
        <is>
          <t>Hardness / breaking force</t>
        </is>
      </c>
      <c r="E311" s="10">
        <f>IF(A311="","",A311&amp;"|"&amp;D311)</f>
        <v/>
      </c>
      <c r="F311" s="5" t="inlineStr">
        <is>
          <t>Y</t>
        </is>
      </c>
      <c r="G311" s="5" t="inlineStr">
        <is>
          <t>Tablet tester</t>
        </is>
      </c>
      <c r="H311" s="5" t="inlineStr">
        <is>
          <t>Low</t>
        </is>
      </c>
      <c r="I311" s="5" t="n">
        <v>1</v>
      </c>
      <c r="J311" s="5" t="n"/>
      <c r="K311" s="10">
        <f>IFERROR(IF(INDEX('Test catalog'!$F$2:$F$200,MATCH($AB311,'Test catalog'!$A$2:$A$200,0))="","",INDEX('Test catalog'!$F$2:$F$200,MATCH($AB311,'Test catalog'!$A$2:$A$200,0))),"")</f>
        <v/>
      </c>
      <c r="L311" s="10">
        <f>IFERROR(IF(INDEX('Test catalog'!$G$2:$G$200,MATCH($AB311,'Test catalog'!$A$2:$A$200,0))="","",INDEX('Test catalog'!$G$2:$G$200,MATCH($AB311,'Test catalog'!$A$2:$A$200,0))),"")</f>
        <v/>
      </c>
      <c r="M311" s="10">
        <f>IFERROR(IF(INDEX('Test catalog'!$H$2:$H$200,MATCH($AB311,'Test catalog'!$A$2:$A$200,0))="","",INDEX('Test catalog'!$H$2:$H$200,MATCH($AB311,'Test catalog'!$A$2:$A$200,0))),"")</f>
        <v/>
      </c>
      <c r="N311" s="10">
        <f>IFERROR(IF(INDEX('Test catalog'!$I$2:$I$200,MATCH($AB311,'Test catalog'!$A$2:$A$200,0))="","",INDEX('Test catalog'!$I$2:$I$200,MATCH($AB311,'Test catalog'!$A$2:$A$200,0))),"")</f>
        <v/>
      </c>
      <c r="O311" s="10">
        <f>IFERROR(IF(INDEX('Test catalog'!$J$2:$J$200,MATCH($AB311,'Test catalog'!$A$2:$A$200,0))="","",INDEX('Test catalog'!$J$2:$J$200,MATCH($AB311,'Test catalog'!$A$2:$A$200,0))),"")</f>
        <v/>
      </c>
      <c r="P311" s="14">
        <f>IF(N311="","",IF(OR(M311="",O311=""),N311,(M311+4*N311+O311)/6))</f>
        <v/>
      </c>
      <c r="Q311" s="10">
        <f>IFERROR(IF(INDEX('Test catalog'!$K$2:$K$200,MATCH($AB311,'Test catalog'!$A$2:$A$200,0))="","",INDEX('Test catalog'!$K$2:$K$200,MATCH($AB311,'Test catalog'!$A$2:$A$200,0))),"")</f>
        <v/>
      </c>
      <c r="R311" s="5" t="n"/>
      <c r="S311" s="10">
        <f>IFERROR(IF(INDEX('Test catalog'!$L$2:$L$200,MATCH($AB311,'Test catalog'!$A$2:$A$200,0))="","",INDEX('Test catalog'!$L$2:$L$200,MATCH($AB311,'Test catalog'!$A$2:$A$200,0))),"")</f>
        <v/>
      </c>
      <c r="T311" s="10">
        <f>IFERROR(IF(INDEX('Test catalog'!$M$2:$M$200,MATCH($AB311,'Test catalog'!$A$2:$A$200,0))="","",INDEX('Test catalog'!$M$2:$M$200,MATCH($AB311,'Test catalog'!$A$2:$A$200,0))),"")</f>
        <v/>
      </c>
      <c r="U311" s="10">
        <f>IFERROR(IF(INDEX('Test catalog'!$N$2:$N$200,MATCH($AB311,'Test catalog'!$A$2:$A$200,0))="","",INDEX('Test catalog'!$N$2:$N$200,MATCH($AB311,'Test catalog'!$A$2:$A$200,0))),"")</f>
        <v/>
      </c>
      <c r="V311" s="15" t="n"/>
      <c r="W311" s="5" t="inlineStr">
        <is>
          <t>Y</t>
        </is>
      </c>
      <c r="X311" s="5" t="n"/>
      <c r="Y311" s="5" t="n"/>
      <c r="Z311" s="5" t="inlineStr">
        <is>
          <t>Actives not on record – confirm tests</t>
        </is>
      </c>
      <c r="AA311" s="10">
        <f>IFERROR(IF(INDEX('Test catalog'!$O$2:$O$200,MATCH($AB311,'Test catalog'!$A$2:$A$200,0))="","",INDEX('Test catalog'!$O$2:$O$200,MATCH($AB311,'Test catalog'!$A$2:$A$200,0))),"")</f>
        <v/>
      </c>
      <c r="AB311" s="10" t="inlineStr">
        <is>
          <t>HARD</t>
        </is>
      </c>
    </row>
    <row r="312">
      <c r="A312" s="10" t="inlineStr">
        <is>
          <t>F42</t>
        </is>
      </c>
      <c r="B312" s="10" t="inlineStr">
        <is>
          <t>FP</t>
        </is>
      </c>
      <c r="C312" s="10" t="inlineStr">
        <is>
          <t>Ferrikid  |  actives TBD: Ferrikid</t>
        </is>
      </c>
      <c r="D312" s="10" t="inlineStr">
        <is>
          <t>Brittleness</t>
        </is>
      </c>
      <c r="E312" s="10">
        <f>IF(A312="","",A312&amp;"|"&amp;D312)</f>
        <v/>
      </c>
      <c r="F312" s="5" t="inlineStr">
        <is>
          <t>Y</t>
        </is>
      </c>
      <c r="G312" s="5" t="inlineStr">
        <is>
          <t>Other / bench</t>
        </is>
      </c>
      <c r="H312" s="5" t="inlineStr">
        <is>
          <t>Low</t>
        </is>
      </c>
      <c r="I312" s="5" t="n">
        <v>1</v>
      </c>
      <c r="J312" s="5" t="n"/>
      <c r="K312" s="10">
        <f>IFERROR(IF(INDEX('Test catalog'!$F$2:$F$200,MATCH($AB312,'Test catalog'!$A$2:$A$200,0))="","",INDEX('Test catalog'!$F$2:$F$200,MATCH($AB312,'Test catalog'!$A$2:$A$200,0))),"")</f>
        <v/>
      </c>
      <c r="L312" s="10">
        <f>IFERROR(IF(INDEX('Test catalog'!$G$2:$G$200,MATCH($AB312,'Test catalog'!$A$2:$A$200,0))="","",INDEX('Test catalog'!$G$2:$G$200,MATCH($AB312,'Test catalog'!$A$2:$A$200,0))),"")</f>
        <v/>
      </c>
      <c r="M312" s="10">
        <f>IFERROR(IF(INDEX('Test catalog'!$H$2:$H$200,MATCH($AB312,'Test catalog'!$A$2:$A$200,0))="","",INDEX('Test catalog'!$H$2:$H$200,MATCH($AB312,'Test catalog'!$A$2:$A$200,0))),"")</f>
        <v/>
      </c>
      <c r="N312" s="10">
        <f>IFERROR(IF(INDEX('Test catalog'!$I$2:$I$200,MATCH($AB312,'Test catalog'!$A$2:$A$200,0))="","",INDEX('Test catalog'!$I$2:$I$200,MATCH($AB312,'Test catalog'!$A$2:$A$200,0))),"")</f>
        <v/>
      </c>
      <c r="O312" s="10">
        <f>IFERROR(IF(INDEX('Test catalog'!$J$2:$J$200,MATCH($AB312,'Test catalog'!$A$2:$A$200,0))="","",INDEX('Test catalog'!$J$2:$J$200,MATCH($AB312,'Test catalog'!$A$2:$A$200,0))),"")</f>
        <v/>
      </c>
      <c r="P312" s="14">
        <f>IF(N312="","",IF(OR(M312="",O312=""),N312,(M312+4*N312+O312)/6))</f>
        <v/>
      </c>
      <c r="Q312" s="10">
        <f>IFERROR(IF(INDEX('Test catalog'!$K$2:$K$200,MATCH($AB312,'Test catalog'!$A$2:$A$200,0))="","",INDEX('Test catalog'!$K$2:$K$200,MATCH($AB312,'Test catalog'!$A$2:$A$200,0))),"")</f>
        <v/>
      </c>
      <c r="R312" s="5" t="n"/>
      <c r="S312" s="10">
        <f>IFERROR(IF(INDEX('Test catalog'!$L$2:$L$200,MATCH($AB312,'Test catalog'!$A$2:$A$200,0))="","",INDEX('Test catalog'!$L$2:$L$200,MATCH($AB312,'Test catalog'!$A$2:$A$200,0))),"")</f>
        <v/>
      </c>
      <c r="T312" s="10">
        <f>IFERROR(IF(INDEX('Test catalog'!$M$2:$M$200,MATCH($AB312,'Test catalog'!$A$2:$A$200,0))="","",INDEX('Test catalog'!$M$2:$M$200,MATCH($AB312,'Test catalog'!$A$2:$A$200,0))),"")</f>
        <v/>
      </c>
      <c r="U312" s="10">
        <f>IFERROR(IF(INDEX('Test catalog'!$N$2:$N$200,MATCH($AB312,'Test catalog'!$A$2:$A$200,0))="","",INDEX('Test catalog'!$N$2:$N$200,MATCH($AB312,'Test catalog'!$A$2:$A$200,0))),"")</f>
        <v/>
      </c>
      <c r="V312" s="15" t="n"/>
      <c r="W312" s="5" t="inlineStr">
        <is>
          <t>N</t>
        </is>
      </c>
      <c r="X312" s="5" t="n"/>
      <c r="Y312" s="5" t="n"/>
      <c r="Z312" s="5" t="inlineStr">
        <is>
          <t>Actives not on record – confirm tests</t>
        </is>
      </c>
      <c r="AA312" s="10">
        <f>IFERROR(IF(INDEX('Test catalog'!$O$2:$O$200,MATCH($AB312,'Test catalog'!$A$2:$A$200,0))="","",INDEX('Test catalog'!$O$2:$O$200,MATCH($AB312,'Test catalog'!$A$2:$A$200,0))),"")</f>
        <v/>
      </c>
      <c r="AB312" s="10" t="inlineStr">
        <is>
          <t>BRITTLE</t>
        </is>
      </c>
    </row>
    <row r="313">
      <c r="A313" s="10" t="inlineStr">
        <is>
          <t>F42</t>
        </is>
      </c>
      <c r="B313" s="10" t="inlineStr">
        <is>
          <t>FP</t>
        </is>
      </c>
      <c r="C313" s="10" t="inlineStr">
        <is>
          <t>Ferrikid  |  actives TBD: Ferrikid</t>
        </is>
      </c>
      <c r="D313" s="10" t="inlineStr">
        <is>
          <t>Friability</t>
        </is>
      </c>
      <c r="E313" s="10">
        <f>IF(A313="","",A313&amp;"|"&amp;D313)</f>
        <v/>
      </c>
      <c r="F313" s="5" t="inlineStr">
        <is>
          <t>Y</t>
        </is>
      </c>
      <c r="G313" s="5" t="inlineStr">
        <is>
          <t>Friabilator</t>
        </is>
      </c>
      <c r="H313" s="5" t="inlineStr">
        <is>
          <t>Low</t>
        </is>
      </c>
      <c r="I313" s="5" t="n">
        <v>1</v>
      </c>
      <c r="J313" s="5" t="n"/>
      <c r="K313" s="10">
        <f>IFERROR(IF(INDEX('Test catalog'!$F$2:$F$200,MATCH($AB313,'Test catalog'!$A$2:$A$200,0))="","",INDEX('Test catalog'!$F$2:$F$200,MATCH($AB313,'Test catalog'!$A$2:$A$200,0))),"")</f>
        <v/>
      </c>
      <c r="L313" s="10">
        <f>IFERROR(IF(INDEX('Test catalog'!$G$2:$G$200,MATCH($AB313,'Test catalog'!$A$2:$A$200,0))="","",INDEX('Test catalog'!$G$2:$G$200,MATCH($AB313,'Test catalog'!$A$2:$A$200,0))),"")</f>
        <v/>
      </c>
      <c r="M313" s="10">
        <f>IFERROR(IF(INDEX('Test catalog'!$H$2:$H$200,MATCH($AB313,'Test catalog'!$A$2:$A$200,0))="","",INDEX('Test catalog'!$H$2:$H$200,MATCH($AB313,'Test catalog'!$A$2:$A$200,0))),"")</f>
        <v/>
      </c>
      <c r="N313" s="10">
        <f>IFERROR(IF(INDEX('Test catalog'!$I$2:$I$200,MATCH($AB313,'Test catalog'!$A$2:$A$200,0))="","",INDEX('Test catalog'!$I$2:$I$200,MATCH($AB313,'Test catalog'!$A$2:$A$200,0))),"")</f>
        <v/>
      </c>
      <c r="O313" s="10">
        <f>IFERROR(IF(INDEX('Test catalog'!$J$2:$J$200,MATCH($AB313,'Test catalog'!$A$2:$A$200,0))="","",INDEX('Test catalog'!$J$2:$J$200,MATCH($AB313,'Test catalog'!$A$2:$A$200,0))),"")</f>
        <v/>
      </c>
      <c r="P313" s="14">
        <f>IF(N313="","",IF(OR(M313="",O313=""),N313,(M313+4*N313+O313)/6))</f>
        <v/>
      </c>
      <c r="Q313" s="10">
        <f>IFERROR(IF(INDEX('Test catalog'!$K$2:$K$200,MATCH($AB313,'Test catalog'!$A$2:$A$200,0))="","",INDEX('Test catalog'!$K$2:$K$200,MATCH($AB313,'Test catalog'!$A$2:$A$200,0))),"")</f>
        <v/>
      </c>
      <c r="R313" s="5" t="n"/>
      <c r="S313" s="10">
        <f>IFERROR(IF(INDEX('Test catalog'!$L$2:$L$200,MATCH($AB313,'Test catalog'!$A$2:$A$200,0))="","",INDEX('Test catalog'!$L$2:$L$200,MATCH($AB313,'Test catalog'!$A$2:$A$200,0))),"")</f>
        <v/>
      </c>
      <c r="T313" s="10">
        <f>IFERROR(IF(INDEX('Test catalog'!$M$2:$M$200,MATCH($AB313,'Test catalog'!$A$2:$A$200,0))="","",INDEX('Test catalog'!$M$2:$M$200,MATCH($AB313,'Test catalog'!$A$2:$A$200,0))),"")</f>
        <v/>
      </c>
      <c r="U313" s="10">
        <f>IFERROR(IF(INDEX('Test catalog'!$N$2:$N$200,MATCH($AB313,'Test catalog'!$A$2:$A$200,0))="","",INDEX('Test catalog'!$N$2:$N$200,MATCH($AB313,'Test catalog'!$A$2:$A$200,0))),"")</f>
        <v/>
      </c>
      <c r="V313" s="15" t="n"/>
      <c r="W313" s="5" t="inlineStr">
        <is>
          <t>N</t>
        </is>
      </c>
      <c r="X313" s="5" t="n"/>
      <c r="Y313" s="5" t="n"/>
      <c r="Z313" s="5" t="inlineStr">
        <is>
          <t>Actives not on record – confirm tests</t>
        </is>
      </c>
      <c r="AA313" s="10">
        <f>IFERROR(IF(INDEX('Test catalog'!$O$2:$O$200,MATCH($AB313,'Test catalog'!$A$2:$A$200,0))="","",INDEX('Test catalog'!$O$2:$O$200,MATCH($AB313,'Test catalog'!$A$2:$A$200,0))),"")</f>
        <v/>
      </c>
      <c r="AB313" s="10" t="inlineStr">
        <is>
          <t>FRIAB</t>
        </is>
      </c>
    </row>
    <row r="314">
      <c r="A314" s="10" t="inlineStr">
        <is>
          <t>F42</t>
        </is>
      </c>
      <c r="B314" s="10" t="inlineStr">
        <is>
          <t>FP</t>
        </is>
      </c>
      <c r="C314" s="10" t="inlineStr">
        <is>
          <t>Ferrikid  |  actives TBD: Ferrikid</t>
        </is>
      </c>
      <c r="D314" s="10" t="inlineStr">
        <is>
          <t>Disintegration</t>
        </is>
      </c>
      <c r="E314" s="10">
        <f>IF(A314="","",A314&amp;"|"&amp;D314)</f>
        <v/>
      </c>
      <c r="F314" s="5" t="inlineStr">
        <is>
          <t>Y</t>
        </is>
      </c>
      <c r="G314" s="5" t="inlineStr">
        <is>
          <t>Disintegration tester</t>
        </is>
      </c>
      <c r="H314" s="5" t="inlineStr">
        <is>
          <t>Low</t>
        </is>
      </c>
      <c r="I314" s="5" t="n">
        <v>1</v>
      </c>
      <c r="J314" s="5" t="n"/>
      <c r="K314" s="10">
        <f>IFERROR(IF(INDEX('Test catalog'!$F$2:$F$200,MATCH($AB314,'Test catalog'!$A$2:$A$200,0))="","",INDEX('Test catalog'!$F$2:$F$200,MATCH($AB314,'Test catalog'!$A$2:$A$200,0))),"")</f>
        <v/>
      </c>
      <c r="L314" s="10">
        <f>IFERROR(IF(INDEX('Test catalog'!$G$2:$G$200,MATCH($AB314,'Test catalog'!$A$2:$A$200,0))="","",INDEX('Test catalog'!$G$2:$G$200,MATCH($AB314,'Test catalog'!$A$2:$A$200,0))),"")</f>
        <v/>
      </c>
      <c r="M314" s="10">
        <f>IFERROR(IF(INDEX('Test catalog'!$H$2:$H$200,MATCH($AB314,'Test catalog'!$A$2:$A$200,0))="","",INDEX('Test catalog'!$H$2:$H$200,MATCH($AB314,'Test catalog'!$A$2:$A$200,0))),"")</f>
        <v/>
      </c>
      <c r="N314" s="10">
        <f>IFERROR(IF(INDEX('Test catalog'!$I$2:$I$200,MATCH($AB314,'Test catalog'!$A$2:$A$200,0))="","",INDEX('Test catalog'!$I$2:$I$200,MATCH($AB314,'Test catalog'!$A$2:$A$200,0))),"")</f>
        <v/>
      </c>
      <c r="O314" s="10">
        <f>IFERROR(IF(INDEX('Test catalog'!$J$2:$J$200,MATCH($AB314,'Test catalog'!$A$2:$A$200,0))="","",INDEX('Test catalog'!$J$2:$J$200,MATCH($AB314,'Test catalog'!$A$2:$A$200,0))),"")</f>
        <v/>
      </c>
      <c r="P314" s="14">
        <f>IF(N314="","",IF(OR(M314="",O314=""),N314,(M314+4*N314+O314)/6))</f>
        <v/>
      </c>
      <c r="Q314" s="10">
        <f>IFERROR(IF(INDEX('Test catalog'!$K$2:$K$200,MATCH($AB314,'Test catalog'!$A$2:$A$200,0))="","",INDEX('Test catalog'!$K$2:$K$200,MATCH($AB314,'Test catalog'!$A$2:$A$200,0))),"")</f>
        <v/>
      </c>
      <c r="R314" s="5" t="n"/>
      <c r="S314" s="10">
        <f>IFERROR(IF(INDEX('Test catalog'!$L$2:$L$200,MATCH($AB314,'Test catalog'!$A$2:$A$200,0))="","",INDEX('Test catalog'!$L$2:$L$200,MATCH($AB314,'Test catalog'!$A$2:$A$200,0))),"")</f>
        <v/>
      </c>
      <c r="T314" s="10">
        <f>IFERROR(IF(INDEX('Test catalog'!$M$2:$M$200,MATCH($AB314,'Test catalog'!$A$2:$A$200,0))="","",INDEX('Test catalog'!$M$2:$M$200,MATCH($AB314,'Test catalog'!$A$2:$A$200,0))),"")</f>
        <v/>
      </c>
      <c r="U314" s="10">
        <f>IFERROR(IF(INDEX('Test catalog'!$N$2:$N$200,MATCH($AB314,'Test catalog'!$A$2:$A$200,0))="","",INDEX('Test catalog'!$N$2:$N$200,MATCH($AB314,'Test catalog'!$A$2:$A$200,0))),"")</f>
        <v/>
      </c>
      <c r="V314" s="15" t="n"/>
      <c r="W314" s="5" t="inlineStr">
        <is>
          <t>Y</t>
        </is>
      </c>
      <c r="X314" s="5" t="n"/>
      <c r="Y314" s="5" t="n"/>
      <c r="Z314" s="5" t="inlineStr">
        <is>
          <t>Actives not on record – confirm tests</t>
        </is>
      </c>
      <c r="AA314" s="10">
        <f>IFERROR(IF(INDEX('Test catalog'!$O$2:$O$200,MATCH($AB314,'Test catalog'!$A$2:$A$200,0))="","",INDEX('Test catalog'!$O$2:$O$200,MATCH($AB314,'Test catalog'!$A$2:$A$200,0))),"")</f>
        <v/>
      </c>
      <c r="AB314" s="10" t="inlineStr">
        <is>
          <t>DISINT</t>
        </is>
      </c>
    </row>
    <row r="315">
      <c r="A315" s="10" t="inlineStr">
        <is>
          <t>F42</t>
        </is>
      </c>
      <c r="B315" s="10" t="inlineStr">
        <is>
          <t>FP</t>
        </is>
      </c>
      <c r="C315" s="10" t="inlineStr">
        <is>
          <t>Ferrikid  |  actives TBD: Ferrikid</t>
        </is>
      </c>
      <c r="D315" s="10" t="inlineStr">
        <is>
          <t>In-process check at the machine (one check, all its tests)</t>
        </is>
      </c>
      <c r="E315" s="10">
        <f>IF(A315="","",A315&amp;"|"&amp;D315)</f>
        <v/>
      </c>
      <c r="F315" s="5" t="inlineStr">
        <is>
          <t>Y</t>
        </is>
      </c>
      <c r="G315" s="5" t="inlineStr">
        <is>
          <t>Tablet tester</t>
        </is>
      </c>
      <c r="H315" s="5" t="inlineStr">
        <is>
          <t>Low</t>
        </is>
      </c>
      <c r="I315" s="5" t="n">
        <v>1</v>
      </c>
      <c r="J315" s="5" t="n"/>
      <c r="K315" s="10">
        <f>IFERROR(IF(INDEX('Test catalog'!$F$2:$F$200,MATCH($AB315,'Test catalog'!$A$2:$A$200,0))="","",INDEX('Test catalog'!$F$2:$F$200,MATCH($AB315,'Test catalog'!$A$2:$A$200,0))),"")</f>
        <v/>
      </c>
      <c r="L315" s="10">
        <f>IFERROR(IF(INDEX('Test catalog'!$G$2:$G$200,MATCH($AB315,'Test catalog'!$A$2:$A$200,0))="","",INDEX('Test catalog'!$G$2:$G$200,MATCH($AB315,'Test catalog'!$A$2:$A$200,0))),"")</f>
        <v/>
      </c>
      <c r="M315" s="10">
        <f>IFERROR(IF(INDEX('Test catalog'!$H$2:$H$200,MATCH($AB315,'Test catalog'!$A$2:$A$200,0))="","",INDEX('Test catalog'!$H$2:$H$200,MATCH($AB315,'Test catalog'!$A$2:$A$200,0))),"")</f>
        <v/>
      </c>
      <c r="N315" s="10">
        <f>IFERROR(IF(INDEX('Test catalog'!$I$2:$I$200,MATCH($AB315,'Test catalog'!$A$2:$A$200,0))="","",INDEX('Test catalog'!$I$2:$I$200,MATCH($AB315,'Test catalog'!$A$2:$A$200,0))),"")</f>
        <v/>
      </c>
      <c r="O315" s="10">
        <f>IFERROR(IF(INDEX('Test catalog'!$J$2:$J$200,MATCH($AB315,'Test catalog'!$A$2:$A$200,0))="","",INDEX('Test catalog'!$J$2:$J$200,MATCH($AB315,'Test catalog'!$A$2:$A$200,0))),"")</f>
        <v/>
      </c>
      <c r="P315" s="14">
        <f>IF(N315="","",IF(OR(M315="",O315=""),N315,(M315+4*N315+O315)/6))</f>
        <v/>
      </c>
      <c r="Q315" s="10">
        <f>IFERROR(IF(INDEX('Test catalog'!$K$2:$K$200,MATCH($AB315,'Test catalog'!$A$2:$A$200,0))="","",INDEX('Test catalog'!$K$2:$K$200,MATCH($AB315,'Test catalog'!$A$2:$A$200,0))),"")</f>
        <v/>
      </c>
      <c r="R315" s="5" t="n"/>
      <c r="S315" s="10">
        <f>IFERROR(IF(INDEX('Test catalog'!$L$2:$L$200,MATCH($AB315,'Test catalog'!$A$2:$A$200,0))="","",INDEX('Test catalog'!$L$2:$L$200,MATCH($AB315,'Test catalog'!$A$2:$A$200,0))),"")</f>
        <v/>
      </c>
      <c r="T315" s="10">
        <f>IFERROR(IF(INDEX('Test catalog'!$M$2:$M$200,MATCH($AB315,'Test catalog'!$A$2:$A$200,0))="","",INDEX('Test catalog'!$M$2:$M$200,MATCH($AB315,'Test catalog'!$A$2:$A$200,0))),"")</f>
        <v/>
      </c>
      <c r="U315" s="10">
        <f>IFERROR(IF(INDEX('Test catalog'!$N$2:$N$200,MATCH($AB315,'Test catalog'!$A$2:$A$200,0))="","",INDEX('Test catalog'!$N$2:$N$200,MATCH($AB315,'Test catalog'!$A$2:$A$200,0))),"")</f>
        <v/>
      </c>
      <c r="V315" s="15" t="n"/>
      <c r="W315" s="5" t="inlineStr">
        <is>
          <t>N</t>
        </is>
      </c>
      <c r="X315" s="5" t="n"/>
      <c r="Y315" s="5" t="n"/>
      <c r="Z315" s="5" t="inlineStr">
        <is>
          <t>Actives not on record – confirm tests</t>
        </is>
      </c>
      <c r="AA315" s="10">
        <f>IFERROR(IF(INDEX('Test catalog'!$O$2:$O$200,MATCH($AB315,'Test catalog'!$A$2:$A$200,0))="","",INDEX('Test catalog'!$O$2:$O$200,MATCH($AB315,'Test catalog'!$A$2:$A$200,0))),"")</f>
        <v/>
      </c>
      <c r="AB315" s="10" t="inlineStr">
        <is>
          <t>IPC</t>
        </is>
      </c>
    </row>
    <row r="316">
      <c r="A316" s="10" t="inlineStr">
        <is>
          <t>F43</t>
        </is>
      </c>
      <c r="B316" s="10" t="inlineStr">
        <is>
          <t>FP</t>
        </is>
      </c>
      <c r="C316" s="10" t="inlineStr">
        <is>
          <t>Painlys  |  Ginger Dry Extract 5:1, Devil's Claw Dry Extract 6:1 (+1 more)</t>
        </is>
      </c>
      <c r="D316" s="10" t="inlineStr">
        <is>
          <t>Average weight / uniformity of mass</t>
        </is>
      </c>
      <c r="E316" s="10">
        <f>IF(A316="","",A316&amp;"|"&amp;D316)</f>
        <v/>
      </c>
      <c r="F316" s="5" t="inlineStr">
        <is>
          <t>Y</t>
        </is>
      </c>
      <c r="G316" s="5" t="inlineStr">
        <is>
          <t>Balance</t>
        </is>
      </c>
      <c r="H316" s="5" t="inlineStr">
        <is>
          <t>Low</t>
        </is>
      </c>
      <c r="I316" s="5" t="n">
        <v>1</v>
      </c>
      <c r="J316" s="5" t="n"/>
      <c r="K316" s="10">
        <f>IFERROR(IF(INDEX('Test catalog'!$F$2:$F$200,MATCH($AB316,'Test catalog'!$A$2:$A$200,0))="","",INDEX('Test catalog'!$F$2:$F$200,MATCH($AB316,'Test catalog'!$A$2:$A$200,0))),"")</f>
        <v/>
      </c>
      <c r="L316" s="10">
        <f>IFERROR(IF(INDEX('Test catalog'!$G$2:$G$200,MATCH($AB316,'Test catalog'!$A$2:$A$200,0))="","",INDEX('Test catalog'!$G$2:$G$200,MATCH($AB316,'Test catalog'!$A$2:$A$200,0))),"")</f>
        <v/>
      </c>
      <c r="M316" s="10">
        <f>IFERROR(IF(INDEX('Test catalog'!$H$2:$H$200,MATCH($AB316,'Test catalog'!$A$2:$A$200,0))="","",INDEX('Test catalog'!$H$2:$H$200,MATCH($AB316,'Test catalog'!$A$2:$A$200,0))),"")</f>
        <v/>
      </c>
      <c r="N316" s="10">
        <f>IFERROR(IF(INDEX('Test catalog'!$I$2:$I$200,MATCH($AB316,'Test catalog'!$A$2:$A$200,0))="","",INDEX('Test catalog'!$I$2:$I$200,MATCH($AB316,'Test catalog'!$A$2:$A$200,0))),"")</f>
        <v/>
      </c>
      <c r="O316" s="10">
        <f>IFERROR(IF(INDEX('Test catalog'!$J$2:$J$200,MATCH($AB316,'Test catalog'!$A$2:$A$200,0))="","",INDEX('Test catalog'!$J$2:$J$200,MATCH($AB316,'Test catalog'!$A$2:$A$200,0))),"")</f>
        <v/>
      </c>
      <c r="P316" s="14">
        <f>IF(N316="","",IF(OR(M316="",O316=""),N316,(M316+4*N316+O316)/6))</f>
        <v/>
      </c>
      <c r="Q316" s="10">
        <f>IFERROR(IF(INDEX('Test catalog'!$K$2:$K$200,MATCH($AB316,'Test catalog'!$A$2:$A$200,0))="","",INDEX('Test catalog'!$K$2:$K$200,MATCH($AB316,'Test catalog'!$A$2:$A$200,0))),"")</f>
        <v/>
      </c>
      <c r="R316" s="5" t="n"/>
      <c r="S316" s="10">
        <f>IFERROR(IF(INDEX('Test catalog'!$L$2:$L$200,MATCH($AB316,'Test catalog'!$A$2:$A$200,0))="","",INDEX('Test catalog'!$L$2:$L$200,MATCH($AB316,'Test catalog'!$A$2:$A$200,0))),"")</f>
        <v/>
      </c>
      <c r="T316" s="10">
        <f>IFERROR(IF(INDEX('Test catalog'!$M$2:$M$200,MATCH($AB316,'Test catalog'!$A$2:$A$200,0))="","",INDEX('Test catalog'!$M$2:$M$200,MATCH($AB316,'Test catalog'!$A$2:$A$200,0))),"")</f>
        <v/>
      </c>
      <c r="U316" s="10">
        <f>IFERROR(IF(INDEX('Test catalog'!$N$2:$N$200,MATCH($AB316,'Test catalog'!$A$2:$A$200,0))="","",INDEX('Test catalog'!$N$2:$N$200,MATCH($AB316,'Test catalog'!$A$2:$A$200,0))),"")</f>
        <v/>
      </c>
      <c r="V316" s="15" t="n"/>
      <c r="W316" s="5" t="inlineStr">
        <is>
          <t>N</t>
        </is>
      </c>
      <c r="X316" s="5" t="n"/>
      <c r="Y316" s="5" t="n"/>
      <c r="Z316" s="5" t="n"/>
      <c r="AA316" s="10">
        <f>IFERROR(IF(INDEX('Test catalog'!$O$2:$O$200,MATCH($AB316,'Test catalog'!$A$2:$A$200,0))="","",INDEX('Test catalog'!$O$2:$O$200,MATCH($AB316,'Test catalog'!$A$2:$A$200,0))),"")</f>
        <v/>
      </c>
      <c r="AB316" s="10" t="inlineStr">
        <is>
          <t>AVG_WT</t>
        </is>
      </c>
    </row>
    <row r="317">
      <c r="A317" s="10" t="inlineStr">
        <is>
          <t>F43</t>
        </is>
      </c>
      <c r="B317" s="10" t="inlineStr">
        <is>
          <t>FP</t>
        </is>
      </c>
      <c r="C317" s="10" t="inlineStr">
        <is>
          <t>Painlys  |  Ginger Dry Extract 5:1, Devil's Claw Dry Extract 6:1 (+1 more)</t>
        </is>
      </c>
      <c r="D317" s="10" t="inlineStr">
        <is>
          <t>Diameter (or length / width)</t>
        </is>
      </c>
      <c r="E317" s="10">
        <f>IF(A317="","",A317&amp;"|"&amp;D317)</f>
        <v/>
      </c>
      <c r="F317" s="5" t="inlineStr">
        <is>
          <t>Y</t>
        </is>
      </c>
      <c r="G317" s="5" t="inlineStr">
        <is>
          <t>Tablet tester</t>
        </is>
      </c>
      <c r="H317" s="5" t="inlineStr">
        <is>
          <t>Low</t>
        </is>
      </c>
      <c r="I317" s="5" t="n">
        <v>1</v>
      </c>
      <c r="J317" s="5" t="n"/>
      <c r="K317" s="10">
        <f>IFERROR(IF(INDEX('Test catalog'!$F$2:$F$200,MATCH($AB317,'Test catalog'!$A$2:$A$200,0))="","",INDEX('Test catalog'!$F$2:$F$200,MATCH($AB317,'Test catalog'!$A$2:$A$200,0))),"")</f>
        <v/>
      </c>
      <c r="L317" s="10">
        <f>IFERROR(IF(INDEX('Test catalog'!$G$2:$G$200,MATCH($AB317,'Test catalog'!$A$2:$A$200,0))="","",INDEX('Test catalog'!$G$2:$G$200,MATCH($AB317,'Test catalog'!$A$2:$A$200,0))),"")</f>
        <v/>
      </c>
      <c r="M317" s="10">
        <f>IFERROR(IF(INDEX('Test catalog'!$H$2:$H$200,MATCH($AB317,'Test catalog'!$A$2:$A$200,0))="","",INDEX('Test catalog'!$H$2:$H$200,MATCH($AB317,'Test catalog'!$A$2:$A$200,0))),"")</f>
        <v/>
      </c>
      <c r="N317" s="10">
        <f>IFERROR(IF(INDEX('Test catalog'!$I$2:$I$200,MATCH($AB317,'Test catalog'!$A$2:$A$200,0))="","",INDEX('Test catalog'!$I$2:$I$200,MATCH($AB317,'Test catalog'!$A$2:$A$200,0))),"")</f>
        <v/>
      </c>
      <c r="O317" s="10">
        <f>IFERROR(IF(INDEX('Test catalog'!$J$2:$J$200,MATCH($AB317,'Test catalog'!$A$2:$A$200,0))="","",INDEX('Test catalog'!$J$2:$J$200,MATCH($AB317,'Test catalog'!$A$2:$A$200,0))),"")</f>
        <v/>
      </c>
      <c r="P317" s="14">
        <f>IF(N317="","",IF(OR(M317="",O317=""),N317,(M317+4*N317+O317)/6))</f>
        <v/>
      </c>
      <c r="Q317" s="10">
        <f>IFERROR(IF(INDEX('Test catalog'!$K$2:$K$200,MATCH($AB317,'Test catalog'!$A$2:$A$200,0))="","",INDEX('Test catalog'!$K$2:$K$200,MATCH($AB317,'Test catalog'!$A$2:$A$200,0))),"")</f>
        <v/>
      </c>
      <c r="R317" s="5" t="n"/>
      <c r="S317" s="10">
        <f>IFERROR(IF(INDEX('Test catalog'!$L$2:$L$200,MATCH($AB317,'Test catalog'!$A$2:$A$200,0))="","",INDEX('Test catalog'!$L$2:$L$200,MATCH($AB317,'Test catalog'!$A$2:$A$200,0))),"")</f>
        <v/>
      </c>
      <c r="T317" s="10">
        <f>IFERROR(IF(INDEX('Test catalog'!$M$2:$M$200,MATCH($AB317,'Test catalog'!$A$2:$A$200,0))="","",INDEX('Test catalog'!$M$2:$M$200,MATCH($AB317,'Test catalog'!$A$2:$A$200,0))),"")</f>
        <v/>
      </c>
      <c r="U317" s="10">
        <f>IFERROR(IF(INDEX('Test catalog'!$N$2:$N$200,MATCH($AB317,'Test catalog'!$A$2:$A$200,0))="","",INDEX('Test catalog'!$N$2:$N$200,MATCH($AB317,'Test catalog'!$A$2:$A$200,0))),"")</f>
        <v/>
      </c>
      <c r="V317" s="15" t="n"/>
      <c r="W317" s="5" t="inlineStr">
        <is>
          <t>N</t>
        </is>
      </c>
      <c r="X317" s="5" t="n"/>
      <c r="Y317" s="5" t="n"/>
      <c r="Z317" s="5" t="n"/>
      <c r="AA317" s="10">
        <f>IFERROR(IF(INDEX('Test catalog'!$O$2:$O$200,MATCH($AB317,'Test catalog'!$A$2:$A$200,0))="","",INDEX('Test catalog'!$O$2:$O$200,MATCH($AB317,'Test catalog'!$A$2:$A$200,0))),"")</f>
        <v/>
      </c>
      <c r="AB317" s="10" t="inlineStr">
        <is>
          <t>DIAM</t>
        </is>
      </c>
    </row>
    <row r="318">
      <c r="A318" s="10" t="inlineStr">
        <is>
          <t>F43</t>
        </is>
      </c>
      <c r="B318" s="10" t="inlineStr">
        <is>
          <t>FP</t>
        </is>
      </c>
      <c r="C318" s="10" t="inlineStr">
        <is>
          <t>Painlys  |  Ginger Dry Extract 5:1, Devil's Claw Dry Extract 6:1 (+1 more)</t>
        </is>
      </c>
      <c r="D318" s="10" t="inlineStr">
        <is>
          <t>Thickness</t>
        </is>
      </c>
      <c r="E318" s="10">
        <f>IF(A318="","",A318&amp;"|"&amp;D318)</f>
        <v/>
      </c>
      <c r="F318" s="5" t="inlineStr">
        <is>
          <t>Y</t>
        </is>
      </c>
      <c r="G318" s="5" t="inlineStr">
        <is>
          <t>Tablet tester</t>
        </is>
      </c>
      <c r="H318" s="5" t="inlineStr">
        <is>
          <t>Low</t>
        </is>
      </c>
      <c r="I318" s="5" t="n">
        <v>1</v>
      </c>
      <c r="J318" s="5" t="n"/>
      <c r="K318" s="10">
        <f>IFERROR(IF(INDEX('Test catalog'!$F$2:$F$200,MATCH($AB318,'Test catalog'!$A$2:$A$200,0))="","",INDEX('Test catalog'!$F$2:$F$200,MATCH($AB318,'Test catalog'!$A$2:$A$200,0))),"")</f>
        <v/>
      </c>
      <c r="L318" s="10">
        <f>IFERROR(IF(INDEX('Test catalog'!$G$2:$G$200,MATCH($AB318,'Test catalog'!$A$2:$A$200,0))="","",INDEX('Test catalog'!$G$2:$G$200,MATCH($AB318,'Test catalog'!$A$2:$A$200,0))),"")</f>
        <v/>
      </c>
      <c r="M318" s="10">
        <f>IFERROR(IF(INDEX('Test catalog'!$H$2:$H$200,MATCH($AB318,'Test catalog'!$A$2:$A$200,0))="","",INDEX('Test catalog'!$H$2:$H$200,MATCH($AB318,'Test catalog'!$A$2:$A$200,0))),"")</f>
        <v/>
      </c>
      <c r="N318" s="10">
        <f>IFERROR(IF(INDEX('Test catalog'!$I$2:$I$200,MATCH($AB318,'Test catalog'!$A$2:$A$200,0))="","",INDEX('Test catalog'!$I$2:$I$200,MATCH($AB318,'Test catalog'!$A$2:$A$200,0))),"")</f>
        <v/>
      </c>
      <c r="O318" s="10">
        <f>IFERROR(IF(INDEX('Test catalog'!$J$2:$J$200,MATCH($AB318,'Test catalog'!$A$2:$A$200,0))="","",INDEX('Test catalog'!$J$2:$J$200,MATCH($AB318,'Test catalog'!$A$2:$A$200,0))),"")</f>
        <v/>
      </c>
      <c r="P318" s="14">
        <f>IF(N318="","",IF(OR(M318="",O318=""),N318,(M318+4*N318+O318)/6))</f>
        <v/>
      </c>
      <c r="Q318" s="10">
        <f>IFERROR(IF(INDEX('Test catalog'!$K$2:$K$200,MATCH($AB318,'Test catalog'!$A$2:$A$200,0))="","",INDEX('Test catalog'!$K$2:$K$200,MATCH($AB318,'Test catalog'!$A$2:$A$200,0))),"")</f>
        <v/>
      </c>
      <c r="R318" s="5" t="n"/>
      <c r="S318" s="10">
        <f>IFERROR(IF(INDEX('Test catalog'!$L$2:$L$200,MATCH($AB318,'Test catalog'!$A$2:$A$200,0))="","",INDEX('Test catalog'!$L$2:$L$200,MATCH($AB318,'Test catalog'!$A$2:$A$200,0))),"")</f>
        <v/>
      </c>
      <c r="T318" s="10">
        <f>IFERROR(IF(INDEX('Test catalog'!$M$2:$M$200,MATCH($AB318,'Test catalog'!$A$2:$A$200,0))="","",INDEX('Test catalog'!$M$2:$M$200,MATCH($AB318,'Test catalog'!$A$2:$A$200,0))),"")</f>
        <v/>
      </c>
      <c r="U318" s="10">
        <f>IFERROR(IF(INDEX('Test catalog'!$N$2:$N$200,MATCH($AB318,'Test catalog'!$A$2:$A$200,0))="","",INDEX('Test catalog'!$N$2:$N$200,MATCH($AB318,'Test catalog'!$A$2:$A$200,0))),"")</f>
        <v/>
      </c>
      <c r="V318" s="15" t="n"/>
      <c r="W318" s="5" t="inlineStr">
        <is>
          <t>N</t>
        </is>
      </c>
      <c r="X318" s="5" t="n"/>
      <c r="Y318" s="5" t="n"/>
      <c r="Z318" s="5" t="n"/>
      <c r="AA318" s="10">
        <f>IFERROR(IF(INDEX('Test catalog'!$O$2:$O$200,MATCH($AB318,'Test catalog'!$A$2:$A$200,0))="","",INDEX('Test catalog'!$O$2:$O$200,MATCH($AB318,'Test catalog'!$A$2:$A$200,0))),"")</f>
        <v/>
      </c>
      <c r="AB318" s="10" t="inlineStr">
        <is>
          <t>THICK</t>
        </is>
      </c>
    </row>
    <row r="319">
      <c r="A319" s="10" t="inlineStr">
        <is>
          <t>F43</t>
        </is>
      </c>
      <c r="B319" s="10" t="inlineStr">
        <is>
          <t>FP</t>
        </is>
      </c>
      <c r="C319" s="10" t="inlineStr">
        <is>
          <t>Painlys  |  Ginger Dry Extract 5:1, Devil's Claw Dry Extract 6:1 (+1 more)</t>
        </is>
      </c>
      <c r="D319" s="10" t="inlineStr">
        <is>
          <t>Hardness / breaking force</t>
        </is>
      </c>
      <c r="E319" s="10">
        <f>IF(A319="","",A319&amp;"|"&amp;D319)</f>
        <v/>
      </c>
      <c r="F319" s="5" t="inlineStr">
        <is>
          <t>Y</t>
        </is>
      </c>
      <c r="G319" s="5" t="inlineStr">
        <is>
          <t>Tablet tester</t>
        </is>
      </c>
      <c r="H319" s="5" t="inlineStr">
        <is>
          <t>Low</t>
        </is>
      </c>
      <c r="I319" s="5" t="n">
        <v>1</v>
      </c>
      <c r="J319" s="5" t="n"/>
      <c r="K319" s="10">
        <f>IFERROR(IF(INDEX('Test catalog'!$F$2:$F$200,MATCH($AB319,'Test catalog'!$A$2:$A$200,0))="","",INDEX('Test catalog'!$F$2:$F$200,MATCH($AB319,'Test catalog'!$A$2:$A$200,0))),"")</f>
        <v/>
      </c>
      <c r="L319" s="10">
        <f>IFERROR(IF(INDEX('Test catalog'!$G$2:$G$200,MATCH($AB319,'Test catalog'!$A$2:$A$200,0))="","",INDEX('Test catalog'!$G$2:$G$200,MATCH($AB319,'Test catalog'!$A$2:$A$200,0))),"")</f>
        <v/>
      </c>
      <c r="M319" s="10">
        <f>IFERROR(IF(INDEX('Test catalog'!$H$2:$H$200,MATCH($AB319,'Test catalog'!$A$2:$A$200,0))="","",INDEX('Test catalog'!$H$2:$H$200,MATCH($AB319,'Test catalog'!$A$2:$A$200,0))),"")</f>
        <v/>
      </c>
      <c r="N319" s="10">
        <f>IFERROR(IF(INDEX('Test catalog'!$I$2:$I$200,MATCH($AB319,'Test catalog'!$A$2:$A$200,0))="","",INDEX('Test catalog'!$I$2:$I$200,MATCH($AB319,'Test catalog'!$A$2:$A$200,0))),"")</f>
        <v/>
      </c>
      <c r="O319" s="10">
        <f>IFERROR(IF(INDEX('Test catalog'!$J$2:$J$200,MATCH($AB319,'Test catalog'!$A$2:$A$200,0))="","",INDEX('Test catalog'!$J$2:$J$200,MATCH($AB319,'Test catalog'!$A$2:$A$200,0))),"")</f>
        <v/>
      </c>
      <c r="P319" s="14">
        <f>IF(N319="","",IF(OR(M319="",O319=""),N319,(M319+4*N319+O319)/6))</f>
        <v/>
      </c>
      <c r="Q319" s="10">
        <f>IFERROR(IF(INDEX('Test catalog'!$K$2:$K$200,MATCH($AB319,'Test catalog'!$A$2:$A$200,0))="","",INDEX('Test catalog'!$K$2:$K$200,MATCH($AB319,'Test catalog'!$A$2:$A$200,0))),"")</f>
        <v/>
      </c>
      <c r="R319" s="5" t="n"/>
      <c r="S319" s="10">
        <f>IFERROR(IF(INDEX('Test catalog'!$L$2:$L$200,MATCH($AB319,'Test catalog'!$A$2:$A$200,0))="","",INDEX('Test catalog'!$L$2:$L$200,MATCH($AB319,'Test catalog'!$A$2:$A$200,0))),"")</f>
        <v/>
      </c>
      <c r="T319" s="10">
        <f>IFERROR(IF(INDEX('Test catalog'!$M$2:$M$200,MATCH($AB319,'Test catalog'!$A$2:$A$200,0))="","",INDEX('Test catalog'!$M$2:$M$200,MATCH($AB319,'Test catalog'!$A$2:$A$200,0))),"")</f>
        <v/>
      </c>
      <c r="U319" s="10">
        <f>IFERROR(IF(INDEX('Test catalog'!$N$2:$N$200,MATCH($AB319,'Test catalog'!$A$2:$A$200,0))="","",INDEX('Test catalog'!$N$2:$N$200,MATCH($AB319,'Test catalog'!$A$2:$A$200,0))),"")</f>
        <v/>
      </c>
      <c r="V319" s="15" t="n"/>
      <c r="W319" s="5" t="inlineStr">
        <is>
          <t>Y</t>
        </is>
      </c>
      <c r="X319" s="5" t="n"/>
      <c r="Y319" s="5" t="n"/>
      <c r="Z319" s="5" t="n"/>
      <c r="AA319" s="10">
        <f>IFERROR(IF(INDEX('Test catalog'!$O$2:$O$200,MATCH($AB319,'Test catalog'!$A$2:$A$200,0))="","",INDEX('Test catalog'!$O$2:$O$200,MATCH($AB319,'Test catalog'!$A$2:$A$200,0))),"")</f>
        <v/>
      </c>
      <c r="AB319" s="10" t="inlineStr">
        <is>
          <t>HARD</t>
        </is>
      </c>
    </row>
    <row r="320">
      <c r="A320" s="10" t="inlineStr">
        <is>
          <t>F43</t>
        </is>
      </c>
      <c r="B320" s="10" t="inlineStr">
        <is>
          <t>FP</t>
        </is>
      </c>
      <c r="C320" s="10" t="inlineStr">
        <is>
          <t>Painlys  |  Ginger Dry Extract 5:1, Devil's Claw Dry Extract 6:1 (+1 more)</t>
        </is>
      </c>
      <c r="D320" s="10" t="inlineStr">
        <is>
          <t>Brittleness</t>
        </is>
      </c>
      <c r="E320" s="10">
        <f>IF(A320="","",A320&amp;"|"&amp;D320)</f>
        <v/>
      </c>
      <c r="F320" s="5" t="inlineStr">
        <is>
          <t>Y</t>
        </is>
      </c>
      <c r="G320" s="5" t="inlineStr">
        <is>
          <t>Other / bench</t>
        </is>
      </c>
      <c r="H320" s="5" t="inlineStr">
        <is>
          <t>Low</t>
        </is>
      </c>
      <c r="I320" s="5" t="n">
        <v>1</v>
      </c>
      <c r="J320" s="5" t="n"/>
      <c r="K320" s="10">
        <f>IFERROR(IF(INDEX('Test catalog'!$F$2:$F$200,MATCH($AB320,'Test catalog'!$A$2:$A$200,0))="","",INDEX('Test catalog'!$F$2:$F$200,MATCH($AB320,'Test catalog'!$A$2:$A$200,0))),"")</f>
        <v/>
      </c>
      <c r="L320" s="10">
        <f>IFERROR(IF(INDEX('Test catalog'!$G$2:$G$200,MATCH($AB320,'Test catalog'!$A$2:$A$200,0))="","",INDEX('Test catalog'!$G$2:$G$200,MATCH($AB320,'Test catalog'!$A$2:$A$200,0))),"")</f>
        <v/>
      </c>
      <c r="M320" s="10">
        <f>IFERROR(IF(INDEX('Test catalog'!$H$2:$H$200,MATCH($AB320,'Test catalog'!$A$2:$A$200,0))="","",INDEX('Test catalog'!$H$2:$H$200,MATCH($AB320,'Test catalog'!$A$2:$A$200,0))),"")</f>
        <v/>
      </c>
      <c r="N320" s="10">
        <f>IFERROR(IF(INDEX('Test catalog'!$I$2:$I$200,MATCH($AB320,'Test catalog'!$A$2:$A$200,0))="","",INDEX('Test catalog'!$I$2:$I$200,MATCH($AB320,'Test catalog'!$A$2:$A$200,0))),"")</f>
        <v/>
      </c>
      <c r="O320" s="10">
        <f>IFERROR(IF(INDEX('Test catalog'!$J$2:$J$200,MATCH($AB320,'Test catalog'!$A$2:$A$200,0))="","",INDEX('Test catalog'!$J$2:$J$200,MATCH($AB320,'Test catalog'!$A$2:$A$200,0))),"")</f>
        <v/>
      </c>
      <c r="P320" s="14">
        <f>IF(N320="","",IF(OR(M320="",O320=""),N320,(M320+4*N320+O320)/6))</f>
        <v/>
      </c>
      <c r="Q320" s="10">
        <f>IFERROR(IF(INDEX('Test catalog'!$K$2:$K$200,MATCH($AB320,'Test catalog'!$A$2:$A$200,0))="","",INDEX('Test catalog'!$K$2:$K$200,MATCH($AB320,'Test catalog'!$A$2:$A$200,0))),"")</f>
        <v/>
      </c>
      <c r="R320" s="5" t="n"/>
      <c r="S320" s="10">
        <f>IFERROR(IF(INDEX('Test catalog'!$L$2:$L$200,MATCH($AB320,'Test catalog'!$A$2:$A$200,0))="","",INDEX('Test catalog'!$L$2:$L$200,MATCH($AB320,'Test catalog'!$A$2:$A$200,0))),"")</f>
        <v/>
      </c>
      <c r="T320" s="10">
        <f>IFERROR(IF(INDEX('Test catalog'!$M$2:$M$200,MATCH($AB320,'Test catalog'!$A$2:$A$200,0))="","",INDEX('Test catalog'!$M$2:$M$200,MATCH($AB320,'Test catalog'!$A$2:$A$200,0))),"")</f>
        <v/>
      </c>
      <c r="U320" s="10">
        <f>IFERROR(IF(INDEX('Test catalog'!$N$2:$N$200,MATCH($AB320,'Test catalog'!$A$2:$A$200,0))="","",INDEX('Test catalog'!$N$2:$N$200,MATCH($AB320,'Test catalog'!$A$2:$A$200,0))),"")</f>
        <v/>
      </c>
      <c r="V320" s="15" t="n"/>
      <c r="W320" s="5" t="inlineStr">
        <is>
          <t>N</t>
        </is>
      </c>
      <c r="X320" s="5" t="n"/>
      <c r="Y320" s="5" t="n"/>
      <c r="Z320" s="5" t="n"/>
      <c r="AA320" s="10">
        <f>IFERROR(IF(INDEX('Test catalog'!$O$2:$O$200,MATCH($AB320,'Test catalog'!$A$2:$A$200,0))="","",INDEX('Test catalog'!$O$2:$O$200,MATCH($AB320,'Test catalog'!$A$2:$A$200,0))),"")</f>
        <v/>
      </c>
      <c r="AB320" s="10" t="inlineStr">
        <is>
          <t>BRITTLE</t>
        </is>
      </c>
    </row>
    <row r="321">
      <c r="A321" s="10" t="inlineStr">
        <is>
          <t>F43</t>
        </is>
      </c>
      <c r="B321" s="10" t="inlineStr">
        <is>
          <t>FP</t>
        </is>
      </c>
      <c r="C321" s="10" t="inlineStr">
        <is>
          <t>Painlys  |  Ginger Dry Extract 5:1, Devil's Claw Dry Extract 6:1 (+1 more)</t>
        </is>
      </c>
      <c r="D321" s="10" t="inlineStr">
        <is>
          <t>Friability</t>
        </is>
      </c>
      <c r="E321" s="10">
        <f>IF(A321="","",A321&amp;"|"&amp;D321)</f>
        <v/>
      </c>
      <c r="F321" s="5" t="inlineStr">
        <is>
          <t>Y</t>
        </is>
      </c>
      <c r="G321" s="5" t="inlineStr">
        <is>
          <t>Friabilator</t>
        </is>
      </c>
      <c r="H321" s="5" t="inlineStr">
        <is>
          <t>Low</t>
        </is>
      </c>
      <c r="I321" s="5" t="n">
        <v>1</v>
      </c>
      <c r="J321" s="5" t="n"/>
      <c r="K321" s="10">
        <f>IFERROR(IF(INDEX('Test catalog'!$F$2:$F$200,MATCH($AB321,'Test catalog'!$A$2:$A$200,0))="","",INDEX('Test catalog'!$F$2:$F$200,MATCH($AB321,'Test catalog'!$A$2:$A$200,0))),"")</f>
        <v/>
      </c>
      <c r="L321" s="10">
        <f>IFERROR(IF(INDEX('Test catalog'!$G$2:$G$200,MATCH($AB321,'Test catalog'!$A$2:$A$200,0))="","",INDEX('Test catalog'!$G$2:$G$200,MATCH($AB321,'Test catalog'!$A$2:$A$200,0))),"")</f>
        <v/>
      </c>
      <c r="M321" s="10">
        <f>IFERROR(IF(INDEX('Test catalog'!$H$2:$H$200,MATCH($AB321,'Test catalog'!$A$2:$A$200,0))="","",INDEX('Test catalog'!$H$2:$H$200,MATCH($AB321,'Test catalog'!$A$2:$A$200,0))),"")</f>
        <v/>
      </c>
      <c r="N321" s="10">
        <f>IFERROR(IF(INDEX('Test catalog'!$I$2:$I$200,MATCH($AB321,'Test catalog'!$A$2:$A$200,0))="","",INDEX('Test catalog'!$I$2:$I$200,MATCH($AB321,'Test catalog'!$A$2:$A$200,0))),"")</f>
        <v/>
      </c>
      <c r="O321" s="10">
        <f>IFERROR(IF(INDEX('Test catalog'!$J$2:$J$200,MATCH($AB321,'Test catalog'!$A$2:$A$200,0))="","",INDEX('Test catalog'!$J$2:$J$200,MATCH($AB321,'Test catalog'!$A$2:$A$200,0))),"")</f>
        <v/>
      </c>
      <c r="P321" s="14">
        <f>IF(N321="","",IF(OR(M321="",O321=""),N321,(M321+4*N321+O321)/6))</f>
        <v/>
      </c>
      <c r="Q321" s="10">
        <f>IFERROR(IF(INDEX('Test catalog'!$K$2:$K$200,MATCH($AB321,'Test catalog'!$A$2:$A$200,0))="","",INDEX('Test catalog'!$K$2:$K$200,MATCH($AB321,'Test catalog'!$A$2:$A$200,0))),"")</f>
        <v/>
      </c>
      <c r="R321" s="5" t="n"/>
      <c r="S321" s="10">
        <f>IFERROR(IF(INDEX('Test catalog'!$L$2:$L$200,MATCH($AB321,'Test catalog'!$A$2:$A$200,0))="","",INDEX('Test catalog'!$L$2:$L$200,MATCH($AB321,'Test catalog'!$A$2:$A$200,0))),"")</f>
        <v/>
      </c>
      <c r="T321" s="10">
        <f>IFERROR(IF(INDEX('Test catalog'!$M$2:$M$200,MATCH($AB321,'Test catalog'!$A$2:$A$200,0))="","",INDEX('Test catalog'!$M$2:$M$200,MATCH($AB321,'Test catalog'!$A$2:$A$200,0))),"")</f>
        <v/>
      </c>
      <c r="U321" s="10">
        <f>IFERROR(IF(INDEX('Test catalog'!$N$2:$N$200,MATCH($AB321,'Test catalog'!$A$2:$A$200,0))="","",INDEX('Test catalog'!$N$2:$N$200,MATCH($AB321,'Test catalog'!$A$2:$A$200,0))),"")</f>
        <v/>
      </c>
      <c r="V321" s="15" t="n"/>
      <c r="W321" s="5" t="inlineStr">
        <is>
          <t>N</t>
        </is>
      </c>
      <c r="X321" s="5" t="n"/>
      <c r="Y321" s="5" t="n"/>
      <c r="Z321" s="5" t="n"/>
      <c r="AA321" s="10">
        <f>IFERROR(IF(INDEX('Test catalog'!$O$2:$O$200,MATCH($AB321,'Test catalog'!$A$2:$A$200,0))="","",INDEX('Test catalog'!$O$2:$O$200,MATCH($AB321,'Test catalog'!$A$2:$A$200,0))),"")</f>
        <v/>
      </c>
      <c r="AB321" s="10" t="inlineStr">
        <is>
          <t>FRIAB</t>
        </is>
      </c>
    </row>
    <row r="322">
      <c r="A322" s="10" t="inlineStr">
        <is>
          <t>F43</t>
        </is>
      </c>
      <c r="B322" s="10" t="inlineStr">
        <is>
          <t>FP</t>
        </is>
      </c>
      <c r="C322" s="10" t="inlineStr">
        <is>
          <t>Painlys  |  Ginger Dry Extract 5:1, Devil's Claw Dry Extract 6:1 (+1 more)</t>
        </is>
      </c>
      <c r="D322" s="10" t="inlineStr">
        <is>
          <t>Disintegration</t>
        </is>
      </c>
      <c r="E322" s="10">
        <f>IF(A322="","",A322&amp;"|"&amp;D322)</f>
        <v/>
      </c>
      <c r="F322" s="5" t="inlineStr">
        <is>
          <t>Y</t>
        </is>
      </c>
      <c r="G322" s="5" t="inlineStr">
        <is>
          <t>Disintegration tester</t>
        </is>
      </c>
      <c r="H322" s="5" t="inlineStr">
        <is>
          <t>Low</t>
        </is>
      </c>
      <c r="I322" s="5" t="n">
        <v>1</v>
      </c>
      <c r="J322" s="5" t="n"/>
      <c r="K322" s="10">
        <f>IFERROR(IF(INDEX('Test catalog'!$F$2:$F$200,MATCH($AB322,'Test catalog'!$A$2:$A$200,0))="","",INDEX('Test catalog'!$F$2:$F$200,MATCH($AB322,'Test catalog'!$A$2:$A$200,0))),"")</f>
        <v/>
      </c>
      <c r="L322" s="10">
        <f>IFERROR(IF(INDEX('Test catalog'!$G$2:$G$200,MATCH($AB322,'Test catalog'!$A$2:$A$200,0))="","",INDEX('Test catalog'!$G$2:$G$200,MATCH($AB322,'Test catalog'!$A$2:$A$200,0))),"")</f>
        <v/>
      </c>
      <c r="M322" s="10">
        <f>IFERROR(IF(INDEX('Test catalog'!$H$2:$H$200,MATCH($AB322,'Test catalog'!$A$2:$A$200,0))="","",INDEX('Test catalog'!$H$2:$H$200,MATCH($AB322,'Test catalog'!$A$2:$A$200,0))),"")</f>
        <v/>
      </c>
      <c r="N322" s="10">
        <f>IFERROR(IF(INDEX('Test catalog'!$I$2:$I$200,MATCH($AB322,'Test catalog'!$A$2:$A$200,0))="","",INDEX('Test catalog'!$I$2:$I$200,MATCH($AB322,'Test catalog'!$A$2:$A$200,0))),"")</f>
        <v/>
      </c>
      <c r="O322" s="10">
        <f>IFERROR(IF(INDEX('Test catalog'!$J$2:$J$200,MATCH($AB322,'Test catalog'!$A$2:$A$200,0))="","",INDEX('Test catalog'!$J$2:$J$200,MATCH($AB322,'Test catalog'!$A$2:$A$200,0))),"")</f>
        <v/>
      </c>
      <c r="P322" s="14">
        <f>IF(N322="","",IF(OR(M322="",O322=""),N322,(M322+4*N322+O322)/6))</f>
        <v/>
      </c>
      <c r="Q322" s="10">
        <f>IFERROR(IF(INDEX('Test catalog'!$K$2:$K$200,MATCH($AB322,'Test catalog'!$A$2:$A$200,0))="","",INDEX('Test catalog'!$K$2:$K$200,MATCH($AB322,'Test catalog'!$A$2:$A$200,0))),"")</f>
        <v/>
      </c>
      <c r="R322" s="5" t="n"/>
      <c r="S322" s="10">
        <f>IFERROR(IF(INDEX('Test catalog'!$L$2:$L$200,MATCH($AB322,'Test catalog'!$A$2:$A$200,0))="","",INDEX('Test catalog'!$L$2:$L$200,MATCH($AB322,'Test catalog'!$A$2:$A$200,0))),"")</f>
        <v/>
      </c>
      <c r="T322" s="10">
        <f>IFERROR(IF(INDEX('Test catalog'!$M$2:$M$200,MATCH($AB322,'Test catalog'!$A$2:$A$200,0))="","",INDEX('Test catalog'!$M$2:$M$200,MATCH($AB322,'Test catalog'!$A$2:$A$200,0))),"")</f>
        <v/>
      </c>
      <c r="U322" s="10">
        <f>IFERROR(IF(INDEX('Test catalog'!$N$2:$N$200,MATCH($AB322,'Test catalog'!$A$2:$A$200,0))="","",INDEX('Test catalog'!$N$2:$N$200,MATCH($AB322,'Test catalog'!$A$2:$A$200,0))),"")</f>
        <v/>
      </c>
      <c r="V322" s="15" t="n"/>
      <c r="W322" s="5" t="inlineStr">
        <is>
          <t>Y</t>
        </is>
      </c>
      <c r="X322" s="5" t="n"/>
      <c r="Y322" s="5" t="n"/>
      <c r="Z322" s="5" t="n"/>
      <c r="AA322" s="10">
        <f>IFERROR(IF(INDEX('Test catalog'!$O$2:$O$200,MATCH($AB322,'Test catalog'!$A$2:$A$200,0))="","",INDEX('Test catalog'!$O$2:$O$200,MATCH($AB322,'Test catalog'!$A$2:$A$200,0))),"")</f>
        <v/>
      </c>
      <c r="AB322" s="10" t="inlineStr">
        <is>
          <t>DISINT</t>
        </is>
      </c>
    </row>
    <row r="323">
      <c r="A323" s="10" t="inlineStr">
        <is>
          <t>F43</t>
        </is>
      </c>
      <c r="B323" s="10" t="inlineStr">
        <is>
          <t>FP</t>
        </is>
      </c>
      <c r="C323" s="10" t="inlineStr">
        <is>
          <t>Painlys  |  Ginger Dry Extract 5:1, Devil's Claw Dry Extract 6:1 (+1 more)</t>
        </is>
      </c>
      <c r="D323" s="10" t="inlineStr">
        <is>
          <t>In-process check at the machine (one check, all its tests)</t>
        </is>
      </c>
      <c r="E323" s="10">
        <f>IF(A323="","",A323&amp;"|"&amp;D323)</f>
        <v/>
      </c>
      <c r="F323" s="5" t="inlineStr">
        <is>
          <t>Y</t>
        </is>
      </c>
      <c r="G323" s="5" t="inlineStr">
        <is>
          <t>Tablet tester</t>
        </is>
      </c>
      <c r="H323" s="5" t="inlineStr">
        <is>
          <t>Low</t>
        </is>
      </c>
      <c r="I323" s="5" t="n">
        <v>1</v>
      </c>
      <c r="J323" s="5" t="n"/>
      <c r="K323" s="10">
        <f>IFERROR(IF(INDEX('Test catalog'!$F$2:$F$200,MATCH($AB323,'Test catalog'!$A$2:$A$200,0))="","",INDEX('Test catalog'!$F$2:$F$200,MATCH($AB323,'Test catalog'!$A$2:$A$200,0))),"")</f>
        <v/>
      </c>
      <c r="L323" s="10">
        <f>IFERROR(IF(INDEX('Test catalog'!$G$2:$G$200,MATCH($AB323,'Test catalog'!$A$2:$A$200,0))="","",INDEX('Test catalog'!$G$2:$G$200,MATCH($AB323,'Test catalog'!$A$2:$A$200,0))),"")</f>
        <v/>
      </c>
      <c r="M323" s="10">
        <f>IFERROR(IF(INDEX('Test catalog'!$H$2:$H$200,MATCH($AB323,'Test catalog'!$A$2:$A$200,0))="","",INDEX('Test catalog'!$H$2:$H$200,MATCH($AB323,'Test catalog'!$A$2:$A$200,0))),"")</f>
        <v/>
      </c>
      <c r="N323" s="10">
        <f>IFERROR(IF(INDEX('Test catalog'!$I$2:$I$200,MATCH($AB323,'Test catalog'!$A$2:$A$200,0))="","",INDEX('Test catalog'!$I$2:$I$200,MATCH($AB323,'Test catalog'!$A$2:$A$200,0))),"")</f>
        <v/>
      </c>
      <c r="O323" s="10">
        <f>IFERROR(IF(INDEX('Test catalog'!$J$2:$J$200,MATCH($AB323,'Test catalog'!$A$2:$A$200,0))="","",INDEX('Test catalog'!$J$2:$J$200,MATCH($AB323,'Test catalog'!$A$2:$A$200,0))),"")</f>
        <v/>
      </c>
      <c r="P323" s="14">
        <f>IF(N323="","",IF(OR(M323="",O323=""),N323,(M323+4*N323+O323)/6))</f>
        <v/>
      </c>
      <c r="Q323" s="10">
        <f>IFERROR(IF(INDEX('Test catalog'!$K$2:$K$200,MATCH($AB323,'Test catalog'!$A$2:$A$200,0))="","",INDEX('Test catalog'!$K$2:$K$200,MATCH($AB323,'Test catalog'!$A$2:$A$200,0))),"")</f>
        <v/>
      </c>
      <c r="R323" s="5" t="n"/>
      <c r="S323" s="10">
        <f>IFERROR(IF(INDEX('Test catalog'!$L$2:$L$200,MATCH($AB323,'Test catalog'!$A$2:$A$200,0))="","",INDEX('Test catalog'!$L$2:$L$200,MATCH($AB323,'Test catalog'!$A$2:$A$200,0))),"")</f>
        <v/>
      </c>
      <c r="T323" s="10">
        <f>IFERROR(IF(INDEX('Test catalog'!$M$2:$M$200,MATCH($AB323,'Test catalog'!$A$2:$A$200,0))="","",INDEX('Test catalog'!$M$2:$M$200,MATCH($AB323,'Test catalog'!$A$2:$A$200,0))),"")</f>
        <v/>
      </c>
      <c r="U323" s="10">
        <f>IFERROR(IF(INDEX('Test catalog'!$N$2:$N$200,MATCH($AB323,'Test catalog'!$A$2:$A$200,0))="","",INDEX('Test catalog'!$N$2:$N$200,MATCH($AB323,'Test catalog'!$A$2:$A$200,0))),"")</f>
        <v/>
      </c>
      <c r="V323" s="15" t="n"/>
      <c r="W323" s="5" t="inlineStr">
        <is>
          <t>N</t>
        </is>
      </c>
      <c r="X323" s="5" t="n"/>
      <c r="Y323" s="5" t="n"/>
      <c r="Z323" s="5" t="n"/>
      <c r="AA323" s="10">
        <f>IFERROR(IF(INDEX('Test catalog'!$O$2:$O$200,MATCH($AB323,'Test catalog'!$A$2:$A$200,0))="","",INDEX('Test catalog'!$O$2:$O$200,MATCH($AB323,'Test catalog'!$A$2:$A$200,0))),"")</f>
        <v/>
      </c>
      <c r="AB323" s="10" t="inlineStr">
        <is>
          <t>IPC</t>
        </is>
      </c>
    </row>
    <row r="324">
      <c r="A324" s="10" t="inlineStr">
        <is>
          <t>F44</t>
        </is>
      </c>
      <c r="B324" s="10" t="inlineStr">
        <is>
          <t>FP</t>
        </is>
      </c>
      <c r="C324" s="10" t="inlineStr">
        <is>
          <t>Feroral Premium  |  Ferrous Bisglycinate, Folic Acid (Vitamin B9) (+2 more)</t>
        </is>
      </c>
      <c r="D324" s="10" t="inlineStr">
        <is>
          <t>Average weight / uniformity of mass</t>
        </is>
      </c>
      <c r="E324" s="10">
        <f>IF(A324="","",A324&amp;"|"&amp;D324)</f>
        <v/>
      </c>
      <c r="F324" s="5" t="inlineStr">
        <is>
          <t>Y</t>
        </is>
      </c>
      <c r="G324" s="5" t="inlineStr">
        <is>
          <t>Balance</t>
        </is>
      </c>
      <c r="H324" s="5" t="inlineStr">
        <is>
          <t>Low</t>
        </is>
      </c>
      <c r="I324" s="5" t="n">
        <v>1</v>
      </c>
      <c r="J324" s="5" t="n"/>
      <c r="K324" s="10">
        <f>IFERROR(IF(INDEX('Test catalog'!$F$2:$F$200,MATCH($AB324,'Test catalog'!$A$2:$A$200,0))="","",INDEX('Test catalog'!$F$2:$F$200,MATCH($AB324,'Test catalog'!$A$2:$A$200,0))),"")</f>
        <v/>
      </c>
      <c r="L324" s="10">
        <f>IFERROR(IF(INDEX('Test catalog'!$G$2:$G$200,MATCH($AB324,'Test catalog'!$A$2:$A$200,0))="","",INDEX('Test catalog'!$G$2:$G$200,MATCH($AB324,'Test catalog'!$A$2:$A$200,0))),"")</f>
        <v/>
      </c>
      <c r="M324" s="10">
        <f>IFERROR(IF(INDEX('Test catalog'!$H$2:$H$200,MATCH($AB324,'Test catalog'!$A$2:$A$200,0))="","",INDEX('Test catalog'!$H$2:$H$200,MATCH($AB324,'Test catalog'!$A$2:$A$200,0))),"")</f>
        <v/>
      </c>
      <c r="N324" s="10">
        <f>IFERROR(IF(INDEX('Test catalog'!$I$2:$I$200,MATCH($AB324,'Test catalog'!$A$2:$A$200,0))="","",INDEX('Test catalog'!$I$2:$I$200,MATCH($AB324,'Test catalog'!$A$2:$A$200,0))),"")</f>
        <v/>
      </c>
      <c r="O324" s="10">
        <f>IFERROR(IF(INDEX('Test catalog'!$J$2:$J$200,MATCH($AB324,'Test catalog'!$A$2:$A$200,0))="","",INDEX('Test catalog'!$J$2:$J$200,MATCH($AB324,'Test catalog'!$A$2:$A$200,0))),"")</f>
        <v/>
      </c>
      <c r="P324" s="14">
        <f>IF(N324="","",IF(OR(M324="",O324=""),N324,(M324+4*N324+O324)/6))</f>
        <v/>
      </c>
      <c r="Q324" s="10">
        <f>IFERROR(IF(INDEX('Test catalog'!$K$2:$K$200,MATCH($AB324,'Test catalog'!$A$2:$A$200,0))="","",INDEX('Test catalog'!$K$2:$K$200,MATCH($AB324,'Test catalog'!$A$2:$A$200,0))),"")</f>
        <v/>
      </c>
      <c r="R324" s="5" t="n"/>
      <c r="S324" s="10">
        <f>IFERROR(IF(INDEX('Test catalog'!$L$2:$L$200,MATCH($AB324,'Test catalog'!$A$2:$A$200,0))="","",INDEX('Test catalog'!$L$2:$L$200,MATCH($AB324,'Test catalog'!$A$2:$A$200,0))),"")</f>
        <v/>
      </c>
      <c r="T324" s="10">
        <f>IFERROR(IF(INDEX('Test catalog'!$M$2:$M$200,MATCH($AB324,'Test catalog'!$A$2:$A$200,0))="","",INDEX('Test catalog'!$M$2:$M$200,MATCH($AB324,'Test catalog'!$A$2:$A$200,0))),"")</f>
        <v/>
      </c>
      <c r="U324" s="10">
        <f>IFERROR(IF(INDEX('Test catalog'!$N$2:$N$200,MATCH($AB324,'Test catalog'!$A$2:$A$200,0))="","",INDEX('Test catalog'!$N$2:$N$200,MATCH($AB324,'Test catalog'!$A$2:$A$200,0))),"")</f>
        <v/>
      </c>
      <c r="V324" s="15" t="n"/>
      <c r="W324" s="5" t="inlineStr">
        <is>
          <t>N</t>
        </is>
      </c>
      <c r="X324" s="5" t="n"/>
      <c r="Y324" s="5" t="n"/>
      <c r="Z324" s="5" t="n"/>
      <c r="AA324" s="10">
        <f>IFERROR(IF(INDEX('Test catalog'!$O$2:$O$200,MATCH($AB324,'Test catalog'!$A$2:$A$200,0))="","",INDEX('Test catalog'!$O$2:$O$200,MATCH($AB324,'Test catalog'!$A$2:$A$200,0))),"")</f>
        <v/>
      </c>
      <c r="AB324" s="10" t="inlineStr">
        <is>
          <t>AVG_WT</t>
        </is>
      </c>
    </row>
    <row r="325">
      <c r="A325" s="10" t="inlineStr">
        <is>
          <t>F44</t>
        </is>
      </c>
      <c r="B325" s="10" t="inlineStr">
        <is>
          <t>FP</t>
        </is>
      </c>
      <c r="C325" s="10" t="inlineStr">
        <is>
          <t>Feroral Premium  |  Ferrous Bisglycinate, Folic Acid (Vitamin B9) (+2 more)</t>
        </is>
      </c>
      <c r="D325" s="10" t="inlineStr">
        <is>
          <t>Diameter (or length / width)</t>
        </is>
      </c>
      <c r="E325" s="10">
        <f>IF(A325="","",A325&amp;"|"&amp;D325)</f>
        <v/>
      </c>
      <c r="F325" s="5" t="inlineStr">
        <is>
          <t>Y</t>
        </is>
      </c>
      <c r="G325" s="5" t="inlineStr">
        <is>
          <t>Tablet tester</t>
        </is>
      </c>
      <c r="H325" s="5" t="inlineStr">
        <is>
          <t>Low</t>
        </is>
      </c>
      <c r="I325" s="5" t="n">
        <v>1</v>
      </c>
      <c r="J325" s="5" t="n"/>
      <c r="K325" s="10">
        <f>IFERROR(IF(INDEX('Test catalog'!$F$2:$F$200,MATCH($AB325,'Test catalog'!$A$2:$A$200,0))="","",INDEX('Test catalog'!$F$2:$F$200,MATCH($AB325,'Test catalog'!$A$2:$A$200,0))),"")</f>
        <v/>
      </c>
      <c r="L325" s="10">
        <f>IFERROR(IF(INDEX('Test catalog'!$G$2:$G$200,MATCH($AB325,'Test catalog'!$A$2:$A$200,0))="","",INDEX('Test catalog'!$G$2:$G$200,MATCH($AB325,'Test catalog'!$A$2:$A$200,0))),"")</f>
        <v/>
      </c>
      <c r="M325" s="10">
        <f>IFERROR(IF(INDEX('Test catalog'!$H$2:$H$200,MATCH($AB325,'Test catalog'!$A$2:$A$200,0))="","",INDEX('Test catalog'!$H$2:$H$200,MATCH($AB325,'Test catalog'!$A$2:$A$200,0))),"")</f>
        <v/>
      </c>
      <c r="N325" s="10">
        <f>IFERROR(IF(INDEX('Test catalog'!$I$2:$I$200,MATCH($AB325,'Test catalog'!$A$2:$A$200,0))="","",INDEX('Test catalog'!$I$2:$I$200,MATCH($AB325,'Test catalog'!$A$2:$A$200,0))),"")</f>
        <v/>
      </c>
      <c r="O325" s="10">
        <f>IFERROR(IF(INDEX('Test catalog'!$J$2:$J$200,MATCH($AB325,'Test catalog'!$A$2:$A$200,0))="","",INDEX('Test catalog'!$J$2:$J$200,MATCH($AB325,'Test catalog'!$A$2:$A$200,0))),"")</f>
        <v/>
      </c>
      <c r="P325" s="14">
        <f>IF(N325="","",IF(OR(M325="",O325=""),N325,(M325+4*N325+O325)/6))</f>
        <v/>
      </c>
      <c r="Q325" s="10">
        <f>IFERROR(IF(INDEX('Test catalog'!$K$2:$K$200,MATCH($AB325,'Test catalog'!$A$2:$A$200,0))="","",INDEX('Test catalog'!$K$2:$K$200,MATCH($AB325,'Test catalog'!$A$2:$A$200,0))),"")</f>
        <v/>
      </c>
      <c r="R325" s="5" t="n"/>
      <c r="S325" s="10">
        <f>IFERROR(IF(INDEX('Test catalog'!$L$2:$L$200,MATCH($AB325,'Test catalog'!$A$2:$A$200,0))="","",INDEX('Test catalog'!$L$2:$L$200,MATCH($AB325,'Test catalog'!$A$2:$A$200,0))),"")</f>
        <v/>
      </c>
      <c r="T325" s="10">
        <f>IFERROR(IF(INDEX('Test catalog'!$M$2:$M$200,MATCH($AB325,'Test catalog'!$A$2:$A$200,0))="","",INDEX('Test catalog'!$M$2:$M$200,MATCH($AB325,'Test catalog'!$A$2:$A$200,0))),"")</f>
        <v/>
      </c>
      <c r="U325" s="10">
        <f>IFERROR(IF(INDEX('Test catalog'!$N$2:$N$200,MATCH($AB325,'Test catalog'!$A$2:$A$200,0))="","",INDEX('Test catalog'!$N$2:$N$200,MATCH($AB325,'Test catalog'!$A$2:$A$200,0))),"")</f>
        <v/>
      </c>
      <c r="V325" s="15" t="n"/>
      <c r="W325" s="5" t="inlineStr">
        <is>
          <t>N</t>
        </is>
      </c>
      <c r="X325" s="5" t="n"/>
      <c r="Y325" s="5" t="n"/>
      <c r="Z325" s="5" t="n"/>
      <c r="AA325" s="10">
        <f>IFERROR(IF(INDEX('Test catalog'!$O$2:$O$200,MATCH($AB325,'Test catalog'!$A$2:$A$200,0))="","",INDEX('Test catalog'!$O$2:$O$200,MATCH($AB325,'Test catalog'!$A$2:$A$200,0))),"")</f>
        <v/>
      </c>
      <c r="AB325" s="10" t="inlineStr">
        <is>
          <t>DIAM</t>
        </is>
      </c>
    </row>
    <row r="326">
      <c r="A326" s="10" t="inlineStr">
        <is>
          <t>F44</t>
        </is>
      </c>
      <c r="B326" s="10" t="inlineStr">
        <is>
          <t>FP</t>
        </is>
      </c>
      <c r="C326" s="10" t="inlineStr">
        <is>
          <t>Feroral Premium  |  Ferrous Bisglycinate, Folic Acid (Vitamin B9) (+2 more)</t>
        </is>
      </c>
      <c r="D326" s="10" t="inlineStr">
        <is>
          <t>Thickness</t>
        </is>
      </c>
      <c r="E326" s="10">
        <f>IF(A326="","",A326&amp;"|"&amp;D326)</f>
        <v/>
      </c>
      <c r="F326" s="5" t="inlineStr">
        <is>
          <t>Y</t>
        </is>
      </c>
      <c r="G326" s="5" t="inlineStr">
        <is>
          <t>Tablet tester</t>
        </is>
      </c>
      <c r="H326" s="5" t="inlineStr">
        <is>
          <t>Low</t>
        </is>
      </c>
      <c r="I326" s="5" t="n">
        <v>1</v>
      </c>
      <c r="J326" s="5" t="n"/>
      <c r="K326" s="10">
        <f>IFERROR(IF(INDEX('Test catalog'!$F$2:$F$200,MATCH($AB326,'Test catalog'!$A$2:$A$200,0))="","",INDEX('Test catalog'!$F$2:$F$200,MATCH($AB326,'Test catalog'!$A$2:$A$200,0))),"")</f>
        <v/>
      </c>
      <c r="L326" s="10">
        <f>IFERROR(IF(INDEX('Test catalog'!$G$2:$G$200,MATCH($AB326,'Test catalog'!$A$2:$A$200,0))="","",INDEX('Test catalog'!$G$2:$G$200,MATCH($AB326,'Test catalog'!$A$2:$A$200,0))),"")</f>
        <v/>
      </c>
      <c r="M326" s="10">
        <f>IFERROR(IF(INDEX('Test catalog'!$H$2:$H$200,MATCH($AB326,'Test catalog'!$A$2:$A$200,0))="","",INDEX('Test catalog'!$H$2:$H$200,MATCH($AB326,'Test catalog'!$A$2:$A$200,0))),"")</f>
        <v/>
      </c>
      <c r="N326" s="10">
        <f>IFERROR(IF(INDEX('Test catalog'!$I$2:$I$200,MATCH($AB326,'Test catalog'!$A$2:$A$200,0))="","",INDEX('Test catalog'!$I$2:$I$200,MATCH($AB326,'Test catalog'!$A$2:$A$200,0))),"")</f>
        <v/>
      </c>
      <c r="O326" s="10">
        <f>IFERROR(IF(INDEX('Test catalog'!$J$2:$J$200,MATCH($AB326,'Test catalog'!$A$2:$A$200,0))="","",INDEX('Test catalog'!$J$2:$J$200,MATCH($AB326,'Test catalog'!$A$2:$A$200,0))),"")</f>
        <v/>
      </c>
      <c r="P326" s="14">
        <f>IF(N326="","",IF(OR(M326="",O326=""),N326,(M326+4*N326+O326)/6))</f>
        <v/>
      </c>
      <c r="Q326" s="10">
        <f>IFERROR(IF(INDEX('Test catalog'!$K$2:$K$200,MATCH($AB326,'Test catalog'!$A$2:$A$200,0))="","",INDEX('Test catalog'!$K$2:$K$200,MATCH($AB326,'Test catalog'!$A$2:$A$200,0))),"")</f>
        <v/>
      </c>
      <c r="R326" s="5" t="n"/>
      <c r="S326" s="10">
        <f>IFERROR(IF(INDEX('Test catalog'!$L$2:$L$200,MATCH($AB326,'Test catalog'!$A$2:$A$200,0))="","",INDEX('Test catalog'!$L$2:$L$200,MATCH($AB326,'Test catalog'!$A$2:$A$200,0))),"")</f>
        <v/>
      </c>
      <c r="T326" s="10">
        <f>IFERROR(IF(INDEX('Test catalog'!$M$2:$M$200,MATCH($AB326,'Test catalog'!$A$2:$A$200,0))="","",INDEX('Test catalog'!$M$2:$M$200,MATCH($AB326,'Test catalog'!$A$2:$A$200,0))),"")</f>
        <v/>
      </c>
      <c r="U326" s="10">
        <f>IFERROR(IF(INDEX('Test catalog'!$N$2:$N$200,MATCH($AB326,'Test catalog'!$A$2:$A$200,0))="","",INDEX('Test catalog'!$N$2:$N$200,MATCH($AB326,'Test catalog'!$A$2:$A$200,0))),"")</f>
        <v/>
      </c>
      <c r="V326" s="15" t="n"/>
      <c r="W326" s="5" t="inlineStr">
        <is>
          <t>N</t>
        </is>
      </c>
      <c r="X326" s="5" t="n"/>
      <c r="Y326" s="5" t="n"/>
      <c r="Z326" s="5" t="n"/>
      <c r="AA326" s="10">
        <f>IFERROR(IF(INDEX('Test catalog'!$O$2:$O$200,MATCH($AB326,'Test catalog'!$A$2:$A$200,0))="","",INDEX('Test catalog'!$O$2:$O$200,MATCH($AB326,'Test catalog'!$A$2:$A$200,0))),"")</f>
        <v/>
      </c>
      <c r="AB326" s="10" t="inlineStr">
        <is>
          <t>THICK</t>
        </is>
      </c>
    </row>
    <row r="327">
      <c r="A327" s="10" t="inlineStr">
        <is>
          <t>F44</t>
        </is>
      </c>
      <c r="B327" s="10" t="inlineStr">
        <is>
          <t>FP</t>
        </is>
      </c>
      <c r="C327" s="10" t="inlineStr">
        <is>
          <t>Feroral Premium  |  Ferrous Bisglycinate, Folic Acid (Vitamin B9) (+2 more)</t>
        </is>
      </c>
      <c r="D327" s="10" t="inlineStr">
        <is>
          <t>Hardness / breaking force</t>
        </is>
      </c>
      <c r="E327" s="10">
        <f>IF(A327="","",A327&amp;"|"&amp;D327)</f>
        <v/>
      </c>
      <c r="F327" s="5" t="inlineStr">
        <is>
          <t>Y</t>
        </is>
      </c>
      <c r="G327" s="5" t="inlineStr">
        <is>
          <t>Tablet tester</t>
        </is>
      </c>
      <c r="H327" s="5" t="inlineStr">
        <is>
          <t>Low</t>
        </is>
      </c>
      <c r="I327" s="5" t="n">
        <v>1</v>
      </c>
      <c r="J327" s="5" t="n"/>
      <c r="K327" s="10">
        <f>IFERROR(IF(INDEX('Test catalog'!$F$2:$F$200,MATCH($AB327,'Test catalog'!$A$2:$A$200,0))="","",INDEX('Test catalog'!$F$2:$F$200,MATCH($AB327,'Test catalog'!$A$2:$A$200,0))),"")</f>
        <v/>
      </c>
      <c r="L327" s="10">
        <f>IFERROR(IF(INDEX('Test catalog'!$G$2:$G$200,MATCH($AB327,'Test catalog'!$A$2:$A$200,0))="","",INDEX('Test catalog'!$G$2:$G$200,MATCH($AB327,'Test catalog'!$A$2:$A$200,0))),"")</f>
        <v/>
      </c>
      <c r="M327" s="10">
        <f>IFERROR(IF(INDEX('Test catalog'!$H$2:$H$200,MATCH($AB327,'Test catalog'!$A$2:$A$200,0))="","",INDEX('Test catalog'!$H$2:$H$200,MATCH($AB327,'Test catalog'!$A$2:$A$200,0))),"")</f>
        <v/>
      </c>
      <c r="N327" s="10">
        <f>IFERROR(IF(INDEX('Test catalog'!$I$2:$I$200,MATCH($AB327,'Test catalog'!$A$2:$A$200,0))="","",INDEX('Test catalog'!$I$2:$I$200,MATCH($AB327,'Test catalog'!$A$2:$A$200,0))),"")</f>
        <v/>
      </c>
      <c r="O327" s="10">
        <f>IFERROR(IF(INDEX('Test catalog'!$J$2:$J$200,MATCH($AB327,'Test catalog'!$A$2:$A$200,0))="","",INDEX('Test catalog'!$J$2:$J$200,MATCH($AB327,'Test catalog'!$A$2:$A$200,0))),"")</f>
        <v/>
      </c>
      <c r="P327" s="14">
        <f>IF(N327="","",IF(OR(M327="",O327=""),N327,(M327+4*N327+O327)/6))</f>
        <v/>
      </c>
      <c r="Q327" s="10">
        <f>IFERROR(IF(INDEX('Test catalog'!$K$2:$K$200,MATCH($AB327,'Test catalog'!$A$2:$A$200,0))="","",INDEX('Test catalog'!$K$2:$K$200,MATCH($AB327,'Test catalog'!$A$2:$A$200,0))),"")</f>
        <v/>
      </c>
      <c r="R327" s="5" t="n"/>
      <c r="S327" s="10">
        <f>IFERROR(IF(INDEX('Test catalog'!$L$2:$L$200,MATCH($AB327,'Test catalog'!$A$2:$A$200,0))="","",INDEX('Test catalog'!$L$2:$L$200,MATCH($AB327,'Test catalog'!$A$2:$A$200,0))),"")</f>
        <v/>
      </c>
      <c r="T327" s="10">
        <f>IFERROR(IF(INDEX('Test catalog'!$M$2:$M$200,MATCH($AB327,'Test catalog'!$A$2:$A$200,0))="","",INDEX('Test catalog'!$M$2:$M$200,MATCH($AB327,'Test catalog'!$A$2:$A$200,0))),"")</f>
        <v/>
      </c>
      <c r="U327" s="10">
        <f>IFERROR(IF(INDEX('Test catalog'!$N$2:$N$200,MATCH($AB327,'Test catalog'!$A$2:$A$200,0))="","",INDEX('Test catalog'!$N$2:$N$200,MATCH($AB327,'Test catalog'!$A$2:$A$200,0))),"")</f>
        <v/>
      </c>
      <c r="V327" s="15" t="n"/>
      <c r="W327" s="5" t="inlineStr">
        <is>
          <t>Y</t>
        </is>
      </c>
      <c r="X327" s="5" t="n"/>
      <c r="Y327" s="5" t="n"/>
      <c r="Z327" s="5" t="n"/>
      <c r="AA327" s="10">
        <f>IFERROR(IF(INDEX('Test catalog'!$O$2:$O$200,MATCH($AB327,'Test catalog'!$A$2:$A$200,0))="","",INDEX('Test catalog'!$O$2:$O$200,MATCH($AB327,'Test catalog'!$A$2:$A$200,0))),"")</f>
        <v/>
      </c>
      <c r="AB327" s="10" t="inlineStr">
        <is>
          <t>HARD</t>
        </is>
      </c>
    </row>
    <row r="328">
      <c r="A328" s="10" t="inlineStr">
        <is>
          <t>F44</t>
        </is>
      </c>
      <c r="B328" s="10" t="inlineStr">
        <is>
          <t>FP</t>
        </is>
      </c>
      <c r="C328" s="10" t="inlineStr">
        <is>
          <t>Feroral Premium  |  Ferrous Bisglycinate, Folic Acid (Vitamin B9) (+2 more)</t>
        </is>
      </c>
      <c r="D328" s="10" t="inlineStr">
        <is>
          <t>Brittleness</t>
        </is>
      </c>
      <c r="E328" s="10">
        <f>IF(A328="","",A328&amp;"|"&amp;D328)</f>
        <v/>
      </c>
      <c r="F328" s="5" t="inlineStr">
        <is>
          <t>Y</t>
        </is>
      </c>
      <c r="G328" s="5" t="inlineStr">
        <is>
          <t>Other / bench</t>
        </is>
      </c>
      <c r="H328" s="5" t="inlineStr">
        <is>
          <t>Low</t>
        </is>
      </c>
      <c r="I328" s="5" t="n">
        <v>1</v>
      </c>
      <c r="J328" s="5" t="n"/>
      <c r="K328" s="10">
        <f>IFERROR(IF(INDEX('Test catalog'!$F$2:$F$200,MATCH($AB328,'Test catalog'!$A$2:$A$200,0))="","",INDEX('Test catalog'!$F$2:$F$200,MATCH($AB328,'Test catalog'!$A$2:$A$200,0))),"")</f>
        <v/>
      </c>
      <c r="L328" s="10">
        <f>IFERROR(IF(INDEX('Test catalog'!$G$2:$G$200,MATCH($AB328,'Test catalog'!$A$2:$A$200,0))="","",INDEX('Test catalog'!$G$2:$G$200,MATCH($AB328,'Test catalog'!$A$2:$A$200,0))),"")</f>
        <v/>
      </c>
      <c r="M328" s="10">
        <f>IFERROR(IF(INDEX('Test catalog'!$H$2:$H$200,MATCH($AB328,'Test catalog'!$A$2:$A$200,0))="","",INDEX('Test catalog'!$H$2:$H$200,MATCH($AB328,'Test catalog'!$A$2:$A$200,0))),"")</f>
        <v/>
      </c>
      <c r="N328" s="10">
        <f>IFERROR(IF(INDEX('Test catalog'!$I$2:$I$200,MATCH($AB328,'Test catalog'!$A$2:$A$200,0))="","",INDEX('Test catalog'!$I$2:$I$200,MATCH($AB328,'Test catalog'!$A$2:$A$200,0))),"")</f>
        <v/>
      </c>
      <c r="O328" s="10">
        <f>IFERROR(IF(INDEX('Test catalog'!$J$2:$J$200,MATCH($AB328,'Test catalog'!$A$2:$A$200,0))="","",INDEX('Test catalog'!$J$2:$J$200,MATCH($AB328,'Test catalog'!$A$2:$A$200,0))),"")</f>
        <v/>
      </c>
      <c r="P328" s="14">
        <f>IF(N328="","",IF(OR(M328="",O328=""),N328,(M328+4*N328+O328)/6))</f>
        <v/>
      </c>
      <c r="Q328" s="10">
        <f>IFERROR(IF(INDEX('Test catalog'!$K$2:$K$200,MATCH($AB328,'Test catalog'!$A$2:$A$200,0))="","",INDEX('Test catalog'!$K$2:$K$200,MATCH($AB328,'Test catalog'!$A$2:$A$200,0))),"")</f>
        <v/>
      </c>
      <c r="R328" s="5" t="n"/>
      <c r="S328" s="10">
        <f>IFERROR(IF(INDEX('Test catalog'!$L$2:$L$200,MATCH($AB328,'Test catalog'!$A$2:$A$200,0))="","",INDEX('Test catalog'!$L$2:$L$200,MATCH($AB328,'Test catalog'!$A$2:$A$200,0))),"")</f>
        <v/>
      </c>
      <c r="T328" s="10">
        <f>IFERROR(IF(INDEX('Test catalog'!$M$2:$M$200,MATCH($AB328,'Test catalog'!$A$2:$A$200,0))="","",INDEX('Test catalog'!$M$2:$M$200,MATCH($AB328,'Test catalog'!$A$2:$A$200,0))),"")</f>
        <v/>
      </c>
      <c r="U328" s="10">
        <f>IFERROR(IF(INDEX('Test catalog'!$N$2:$N$200,MATCH($AB328,'Test catalog'!$A$2:$A$200,0))="","",INDEX('Test catalog'!$N$2:$N$200,MATCH($AB328,'Test catalog'!$A$2:$A$200,0))),"")</f>
        <v/>
      </c>
      <c r="V328" s="15" t="n"/>
      <c r="W328" s="5" t="inlineStr">
        <is>
          <t>N</t>
        </is>
      </c>
      <c r="X328" s="5" t="n"/>
      <c r="Y328" s="5" t="n"/>
      <c r="Z328" s="5" t="n"/>
      <c r="AA328" s="10">
        <f>IFERROR(IF(INDEX('Test catalog'!$O$2:$O$200,MATCH($AB328,'Test catalog'!$A$2:$A$200,0))="","",INDEX('Test catalog'!$O$2:$O$200,MATCH($AB328,'Test catalog'!$A$2:$A$200,0))),"")</f>
        <v/>
      </c>
      <c r="AB328" s="10" t="inlineStr">
        <is>
          <t>BRITTLE</t>
        </is>
      </c>
    </row>
    <row r="329">
      <c r="A329" s="10" t="inlineStr">
        <is>
          <t>F44</t>
        </is>
      </c>
      <c r="B329" s="10" t="inlineStr">
        <is>
          <t>FP</t>
        </is>
      </c>
      <c r="C329" s="10" t="inlineStr">
        <is>
          <t>Feroral Premium  |  Ferrous Bisglycinate, Folic Acid (Vitamin B9) (+2 more)</t>
        </is>
      </c>
      <c r="D329" s="10" t="inlineStr">
        <is>
          <t>Friability</t>
        </is>
      </c>
      <c r="E329" s="10">
        <f>IF(A329="","",A329&amp;"|"&amp;D329)</f>
        <v/>
      </c>
      <c r="F329" s="5" t="inlineStr">
        <is>
          <t>Y</t>
        </is>
      </c>
      <c r="G329" s="5" t="inlineStr">
        <is>
          <t>Friabilator</t>
        </is>
      </c>
      <c r="H329" s="5" t="inlineStr">
        <is>
          <t>Low</t>
        </is>
      </c>
      <c r="I329" s="5" t="n">
        <v>1</v>
      </c>
      <c r="J329" s="5" t="n"/>
      <c r="K329" s="10">
        <f>IFERROR(IF(INDEX('Test catalog'!$F$2:$F$200,MATCH($AB329,'Test catalog'!$A$2:$A$200,0))="","",INDEX('Test catalog'!$F$2:$F$200,MATCH($AB329,'Test catalog'!$A$2:$A$200,0))),"")</f>
        <v/>
      </c>
      <c r="L329" s="10">
        <f>IFERROR(IF(INDEX('Test catalog'!$G$2:$G$200,MATCH($AB329,'Test catalog'!$A$2:$A$200,0))="","",INDEX('Test catalog'!$G$2:$G$200,MATCH($AB329,'Test catalog'!$A$2:$A$200,0))),"")</f>
        <v/>
      </c>
      <c r="M329" s="10">
        <f>IFERROR(IF(INDEX('Test catalog'!$H$2:$H$200,MATCH($AB329,'Test catalog'!$A$2:$A$200,0))="","",INDEX('Test catalog'!$H$2:$H$200,MATCH($AB329,'Test catalog'!$A$2:$A$200,0))),"")</f>
        <v/>
      </c>
      <c r="N329" s="10">
        <f>IFERROR(IF(INDEX('Test catalog'!$I$2:$I$200,MATCH($AB329,'Test catalog'!$A$2:$A$200,0))="","",INDEX('Test catalog'!$I$2:$I$200,MATCH($AB329,'Test catalog'!$A$2:$A$200,0))),"")</f>
        <v/>
      </c>
      <c r="O329" s="10">
        <f>IFERROR(IF(INDEX('Test catalog'!$J$2:$J$200,MATCH($AB329,'Test catalog'!$A$2:$A$200,0))="","",INDEX('Test catalog'!$J$2:$J$200,MATCH($AB329,'Test catalog'!$A$2:$A$200,0))),"")</f>
        <v/>
      </c>
      <c r="P329" s="14">
        <f>IF(N329="","",IF(OR(M329="",O329=""),N329,(M329+4*N329+O329)/6))</f>
        <v/>
      </c>
      <c r="Q329" s="10">
        <f>IFERROR(IF(INDEX('Test catalog'!$K$2:$K$200,MATCH($AB329,'Test catalog'!$A$2:$A$200,0))="","",INDEX('Test catalog'!$K$2:$K$200,MATCH($AB329,'Test catalog'!$A$2:$A$200,0))),"")</f>
        <v/>
      </c>
      <c r="R329" s="5" t="n"/>
      <c r="S329" s="10">
        <f>IFERROR(IF(INDEX('Test catalog'!$L$2:$L$200,MATCH($AB329,'Test catalog'!$A$2:$A$200,0))="","",INDEX('Test catalog'!$L$2:$L$200,MATCH($AB329,'Test catalog'!$A$2:$A$200,0))),"")</f>
        <v/>
      </c>
      <c r="T329" s="10">
        <f>IFERROR(IF(INDEX('Test catalog'!$M$2:$M$200,MATCH($AB329,'Test catalog'!$A$2:$A$200,0))="","",INDEX('Test catalog'!$M$2:$M$200,MATCH($AB329,'Test catalog'!$A$2:$A$200,0))),"")</f>
        <v/>
      </c>
      <c r="U329" s="10">
        <f>IFERROR(IF(INDEX('Test catalog'!$N$2:$N$200,MATCH($AB329,'Test catalog'!$A$2:$A$200,0))="","",INDEX('Test catalog'!$N$2:$N$200,MATCH($AB329,'Test catalog'!$A$2:$A$200,0))),"")</f>
        <v/>
      </c>
      <c r="V329" s="15" t="n"/>
      <c r="W329" s="5" t="inlineStr">
        <is>
          <t>N</t>
        </is>
      </c>
      <c r="X329" s="5" t="n"/>
      <c r="Y329" s="5" t="n"/>
      <c r="Z329" s="5" t="n"/>
      <c r="AA329" s="10">
        <f>IFERROR(IF(INDEX('Test catalog'!$O$2:$O$200,MATCH($AB329,'Test catalog'!$A$2:$A$200,0))="","",INDEX('Test catalog'!$O$2:$O$200,MATCH($AB329,'Test catalog'!$A$2:$A$200,0))),"")</f>
        <v/>
      </c>
      <c r="AB329" s="10" t="inlineStr">
        <is>
          <t>FRIAB</t>
        </is>
      </c>
    </row>
    <row r="330">
      <c r="A330" s="10" t="inlineStr">
        <is>
          <t>F44</t>
        </is>
      </c>
      <c r="B330" s="10" t="inlineStr">
        <is>
          <t>FP</t>
        </is>
      </c>
      <c r="C330" s="10" t="inlineStr">
        <is>
          <t>Feroral Premium  |  Ferrous Bisglycinate, Folic Acid (Vitamin B9) (+2 more)</t>
        </is>
      </c>
      <c r="D330" s="10" t="inlineStr">
        <is>
          <t>Disintegration</t>
        </is>
      </c>
      <c r="E330" s="10">
        <f>IF(A330="","",A330&amp;"|"&amp;D330)</f>
        <v/>
      </c>
      <c r="F330" s="5" t="inlineStr">
        <is>
          <t>Y</t>
        </is>
      </c>
      <c r="G330" s="5" t="inlineStr">
        <is>
          <t>Disintegration tester</t>
        </is>
      </c>
      <c r="H330" s="5" t="inlineStr">
        <is>
          <t>Low</t>
        </is>
      </c>
      <c r="I330" s="5" t="n">
        <v>1</v>
      </c>
      <c r="J330" s="5" t="n"/>
      <c r="K330" s="10">
        <f>IFERROR(IF(INDEX('Test catalog'!$F$2:$F$200,MATCH($AB330,'Test catalog'!$A$2:$A$200,0))="","",INDEX('Test catalog'!$F$2:$F$200,MATCH($AB330,'Test catalog'!$A$2:$A$200,0))),"")</f>
        <v/>
      </c>
      <c r="L330" s="10">
        <f>IFERROR(IF(INDEX('Test catalog'!$G$2:$G$200,MATCH($AB330,'Test catalog'!$A$2:$A$200,0))="","",INDEX('Test catalog'!$G$2:$G$200,MATCH($AB330,'Test catalog'!$A$2:$A$200,0))),"")</f>
        <v/>
      </c>
      <c r="M330" s="10">
        <f>IFERROR(IF(INDEX('Test catalog'!$H$2:$H$200,MATCH($AB330,'Test catalog'!$A$2:$A$200,0))="","",INDEX('Test catalog'!$H$2:$H$200,MATCH($AB330,'Test catalog'!$A$2:$A$200,0))),"")</f>
        <v/>
      </c>
      <c r="N330" s="10">
        <f>IFERROR(IF(INDEX('Test catalog'!$I$2:$I$200,MATCH($AB330,'Test catalog'!$A$2:$A$200,0))="","",INDEX('Test catalog'!$I$2:$I$200,MATCH($AB330,'Test catalog'!$A$2:$A$200,0))),"")</f>
        <v/>
      </c>
      <c r="O330" s="10">
        <f>IFERROR(IF(INDEX('Test catalog'!$J$2:$J$200,MATCH($AB330,'Test catalog'!$A$2:$A$200,0))="","",INDEX('Test catalog'!$J$2:$J$200,MATCH($AB330,'Test catalog'!$A$2:$A$200,0))),"")</f>
        <v/>
      </c>
      <c r="P330" s="14">
        <f>IF(N330="","",IF(OR(M330="",O330=""),N330,(M330+4*N330+O330)/6))</f>
        <v/>
      </c>
      <c r="Q330" s="10">
        <f>IFERROR(IF(INDEX('Test catalog'!$K$2:$K$200,MATCH($AB330,'Test catalog'!$A$2:$A$200,0))="","",INDEX('Test catalog'!$K$2:$K$200,MATCH($AB330,'Test catalog'!$A$2:$A$200,0))),"")</f>
        <v/>
      </c>
      <c r="R330" s="5" t="n"/>
      <c r="S330" s="10">
        <f>IFERROR(IF(INDEX('Test catalog'!$L$2:$L$200,MATCH($AB330,'Test catalog'!$A$2:$A$200,0))="","",INDEX('Test catalog'!$L$2:$L$200,MATCH($AB330,'Test catalog'!$A$2:$A$200,0))),"")</f>
        <v/>
      </c>
      <c r="T330" s="10">
        <f>IFERROR(IF(INDEX('Test catalog'!$M$2:$M$200,MATCH($AB330,'Test catalog'!$A$2:$A$200,0))="","",INDEX('Test catalog'!$M$2:$M$200,MATCH($AB330,'Test catalog'!$A$2:$A$200,0))),"")</f>
        <v/>
      </c>
      <c r="U330" s="10">
        <f>IFERROR(IF(INDEX('Test catalog'!$N$2:$N$200,MATCH($AB330,'Test catalog'!$A$2:$A$200,0))="","",INDEX('Test catalog'!$N$2:$N$200,MATCH($AB330,'Test catalog'!$A$2:$A$200,0))),"")</f>
        <v/>
      </c>
      <c r="V330" s="15" t="n"/>
      <c r="W330" s="5" t="inlineStr">
        <is>
          <t>Y</t>
        </is>
      </c>
      <c r="X330" s="5" t="n"/>
      <c r="Y330" s="5" t="n"/>
      <c r="Z330" s="5" t="n"/>
      <c r="AA330" s="10">
        <f>IFERROR(IF(INDEX('Test catalog'!$O$2:$O$200,MATCH($AB330,'Test catalog'!$A$2:$A$200,0))="","",INDEX('Test catalog'!$O$2:$O$200,MATCH($AB330,'Test catalog'!$A$2:$A$200,0))),"")</f>
        <v/>
      </c>
      <c r="AB330" s="10" t="inlineStr">
        <is>
          <t>DISINT</t>
        </is>
      </c>
    </row>
    <row r="331">
      <c r="A331" s="10" t="inlineStr">
        <is>
          <t>F44</t>
        </is>
      </c>
      <c r="B331" s="10" t="inlineStr">
        <is>
          <t>FP</t>
        </is>
      </c>
      <c r="C331" s="10" t="inlineStr">
        <is>
          <t>Feroral Premium  |  Ferrous Bisglycinate, Folic Acid (Vitamin B9) (+2 more)</t>
        </is>
      </c>
      <c r="D331" s="10" t="inlineStr">
        <is>
          <t>In-process check at the machine (one check, all its tests)</t>
        </is>
      </c>
      <c r="E331" s="10">
        <f>IF(A331="","",A331&amp;"|"&amp;D331)</f>
        <v/>
      </c>
      <c r="F331" s="5" t="inlineStr">
        <is>
          <t>Y</t>
        </is>
      </c>
      <c r="G331" s="5" t="inlineStr">
        <is>
          <t>Tablet tester</t>
        </is>
      </c>
      <c r="H331" s="5" t="inlineStr">
        <is>
          <t>Low</t>
        </is>
      </c>
      <c r="I331" s="5" t="n">
        <v>1</v>
      </c>
      <c r="J331" s="5" t="n"/>
      <c r="K331" s="10">
        <f>IFERROR(IF(INDEX('Test catalog'!$F$2:$F$200,MATCH($AB331,'Test catalog'!$A$2:$A$200,0))="","",INDEX('Test catalog'!$F$2:$F$200,MATCH($AB331,'Test catalog'!$A$2:$A$200,0))),"")</f>
        <v/>
      </c>
      <c r="L331" s="10">
        <f>IFERROR(IF(INDEX('Test catalog'!$G$2:$G$200,MATCH($AB331,'Test catalog'!$A$2:$A$200,0))="","",INDEX('Test catalog'!$G$2:$G$200,MATCH($AB331,'Test catalog'!$A$2:$A$200,0))),"")</f>
        <v/>
      </c>
      <c r="M331" s="10">
        <f>IFERROR(IF(INDEX('Test catalog'!$H$2:$H$200,MATCH($AB331,'Test catalog'!$A$2:$A$200,0))="","",INDEX('Test catalog'!$H$2:$H$200,MATCH($AB331,'Test catalog'!$A$2:$A$200,0))),"")</f>
        <v/>
      </c>
      <c r="N331" s="10">
        <f>IFERROR(IF(INDEX('Test catalog'!$I$2:$I$200,MATCH($AB331,'Test catalog'!$A$2:$A$200,0))="","",INDEX('Test catalog'!$I$2:$I$200,MATCH($AB331,'Test catalog'!$A$2:$A$200,0))),"")</f>
        <v/>
      </c>
      <c r="O331" s="10">
        <f>IFERROR(IF(INDEX('Test catalog'!$J$2:$J$200,MATCH($AB331,'Test catalog'!$A$2:$A$200,0))="","",INDEX('Test catalog'!$J$2:$J$200,MATCH($AB331,'Test catalog'!$A$2:$A$200,0))),"")</f>
        <v/>
      </c>
      <c r="P331" s="14">
        <f>IF(N331="","",IF(OR(M331="",O331=""),N331,(M331+4*N331+O331)/6))</f>
        <v/>
      </c>
      <c r="Q331" s="10">
        <f>IFERROR(IF(INDEX('Test catalog'!$K$2:$K$200,MATCH($AB331,'Test catalog'!$A$2:$A$200,0))="","",INDEX('Test catalog'!$K$2:$K$200,MATCH($AB331,'Test catalog'!$A$2:$A$200,0))),"")</f>
        <v/>
      </c>
      <c r="R331" s="5" t="n"/>
      <c r="S331" s="10">
        <f>IFERROR(IF(INDEX('Test catalog'!$L$2:$L$200,MATCH($AB331,'Test catalog'!$A$2:$A$200,0))="","",INDEX('Test catalog'!$L$2:$L$200,MATCH($AB331,'Test catalog'!$A$2:$A$200,0))),"")</f>
        <v/>
      </c>
      <c r="T331" s="10">
        <f>IFERROR(IF(INDEX('Test catalog'!$M$2:$M$200,MATCH($AB331,'Test catalog'!$A$2:$A$200,0))="","",INDEX('Test catalog'!$M$2:$M$200,MATCH($AB331,'Test catalog'!$A$2:$A$200,0))),"")</f>
        <v/>
      </c>
      <c r="U331" s="10">
        <f>IFERROR(IF(INDEX('Test catalog'!$N$2:$N$200,MATCH($AB331,'Test catalog'!$A$2:$A$200,0))="","",INDEX('Test catalog'!$N$2:$N$200,MATCH($AB331,'Test catalog'!$A$2:$A$200,0))),"")</f>
        <v/>
      </c>
      <c r="V331" s="15" t="n"/>
      <c r="W331" s="5" t="inlineStr">
        <is>
          <t>N</t>
        </is>
      </c>
      <c r="X331" s="5" t="n"/>
      <c r="Y331" s="5" t="n"/>
      <c r="Z331" s="5" t="n"/>
      <c r="AA331" s="10">
        <f>IFERROR(IF(INDEX('Test catalog'!$O$2:$O$200,MATCH($AB331,'Test catalog'!$A$2:$A$200,0))="","",INDEX('Test catalog'!$O$2:$O$200,MATCH($AB331,'Test catalog'!$A$2:$A$200,0))),"")</f>
        <v/>
      </c>
      <c r="AB331" s="10" t="inlineStr">
        <is>
          <t>IPC</t>
        </is>
      </c>
    </row>
    <row r="332">
      <c r="A332" s="10" t="inlineStr">
        <is>
          <t>F45</t>
        </is>
      </c>
      <c r="B332" s="10" t="inlineStr">
        <is>
          <t>FP</t>
        </is>
      </c>
      <c r="C332" s="10" t="inlineStr">
        <is>
          <t>Ginc Active  |  Ginkgo Biloba Leaf Dry Extract 50:1, Calcium Carbonate Heavy</t>
        </is>
      </c>
      <c r="D332" s="10" t="inlineStr">
        <is>
          <t>Average weight / uniformity of mass</t>
        </is>
      </c>
      <c r="E332" s="10">
        <f>IF(A332="","",A332&amp;"|"&amp;D332)</f>
        <v/>
      </c>
      <c r="F332" s="5" t="inlineStr">
        <is>
          <t>Y</t>
        </is>
      </c>
      <c r="G332" s="5" t="inlineStr">
        <is>
          <t>Balance</t>
        </is>
      </c>
      <c r="H332" s="5" t="inlineStr">
        <is>
          <t>Low</t>
        </is>
      </c>
      <c r="I332" s="5" t="n">
        <v>1</v>
      </c>
      <c r="J332" s="5" t="n"/>
      <c r="K332" s="10">
        <f>IFERROR(IF(INDEX('Test catalog'!$F$2:$F$200,MATCH($AB332,'Test catalog'!$A$2:$A$200,0))="","",INDEX('Test catalog'!$F$2:$F$200,MATCH($AB332,'Test catalog'!$A$2:$A$200,0))),"")</f>
        <v/>
      </c>
      <c r="L332" s="10">
        <f>IFERROR(IF(INDEX('Test catalog'!$G$2:$G$200,MATCH($AB332,'Test catalog'!$A$2:$A$200,0))="","",INDEX('Test catalog'!$G$2:$G$200,MATCH($AB332,'Test catalog'!$A$2:$A$200,0))),"")</f>
        <v/>
      </c>
      <c r="M332" s="10">
        <f>IFERROR(IF(INDEX('Test catalog'!$H$2:$H$200,MATCH($AB332,'Test catalog'!$A$2:$A$200,0))="","",INDEX('Test catalog'!$H$2:$H$200,MATCH($AB332,'Test catalog'!$A$2:$A$200,0))),"")</f>
        <v/>
      </c>
      <c r="N332" s="10">
        <f>IFERROR(IF(INDEX('Test catalog'!$I$2:$I$200,MATCH($AB332,'Test catalog'!$A$2:$A$200,0))="","",INDEX('Test catalog'!$I$2:$I$200,MATCH($AB332,'Test catalog'!$A$2:$A$200,0))),"")</f>
        <v/>
      </c>
      <c r="O332" s="10">
        <f>IFERROR(IF(INDEX('Test catalog'!$J$2:$J$200,MATCH($AB332,'Test catalog'!$A$2:$A$200,0))="","",INDEX('Test catalog'!$J$2:$J$200,MATCH($AB332,'Test catalog'!$A$2:$A$200,0))),"")</f>
        <v/>
      </c>
      <c r="P332" s="14">
        <f>IF(N332="","",IF(OR(M332="",O332=""),N332,(M332+4*N332+O332)/6))</f>
        <v/>
      </c>
      <c r="Q332" s="10">
        <f>IFERROR(IF(INDEX('Test catalog'!$K$2:$K$200,MATCH($AB332,'Test catalog'!$A$2:$A$200,0))="","",INDEX('Test catalog'!$K$2:$K$200,MATCH($AB332,'Test catalog'!$A$2:$A$200,0))),"")</f>
        <v/>
      </c>
      <c r="R332" s="5" t="n"/>
      <c r="S332" s="10">
        <f>IFERROR(IF(INDEX('Test catalog'!$L$2:$L$200,MATCH($AB332,'Test catalog'!$A$2:$A$200,0))="","",INDEX('Test catalog'!$L$2:$L$200,MATCH($AB332,'Test catalog'!$A$2:$A$200,0))),"")</f>
        <v/>
      </c>
      <c r="T332" s="10">
        <f>IFERROR(IF(INDEX('Test catalog'!$M$2:$M$200,MATCH($AB332,'Test catalog'!$A$2:$A$200,0))="","",INDEX('Test catalog'!$M$2:$M$200,MATCH($AB332,'Test catalog'!$A$2:$A$200,0))),"")</f>
        <v/>
      </c>
      <c r="U332" s="10">
        <f>IFERROR(IF(INDEX('Test catalog'!$N$2:$N$200,MATCH($AB332,'Test catalog'!$A$2:$A$200,0))="","",INDEX('Test catalog'!$N$2:$N$200,MATCH($AB332,'Test catalog'!$A$2:$A$200,0))),"")</f>
        <v/>
      </c>
      <c r="V332" s="15" t="n"/>
      <c r="W332" s="5" t="inlineStr">
        <is>
          <t>N</t>
        </is>
      </c>
      <c r="X332" s="5" t="n"/>
      <c r="Y332" s="5" t="n"/>
      <c r="Z332" s="5" t="n"/>
      <c r="AA332" s="10">
        <f>IFERROR(IF(INDEX('Test catalog'!$O$2:$O$200,MATCH($AB332,'Test catalog'!$A$2:$A$200,0))="","",INDEX('Test catalog'!$O$2:$O$200,MATCH($AB332,'Test catalog'!$A$2:$A$200,0))),"")</f>
        <v/>
      </c>
      <c r="AB332" s="10" t="inlineStr">
        <is>
          <t>AVG_WT</t>
        </is>
      </c>
    </row>
    <row r="333">
      <c r="A333" s="10" t="inlineStr">
        <is>
          <t>F45</t>
        </is>
      </c>
      <c r="B333" s="10" t="inlineStr">
        <is>
          <t>FP</t>
        </is>
      </c>
      <c r="C333" s="10" t="inlineStr">
        <is>
          <t>Ginc Active  |  Ginkgo Biloba Leaf Dry Extract 50:1, Calcium Carbonate Heavy</t>
        </is>
      </c>
      <c r="D333" s="10" t="inlineStr">
        <is>
          <t>Diameter (or length / width)</t>
        </is>
      </c>
      <c r="E333" s="10">
        <f>IF(A333="","",A333&amp;"|"&amp;D333)</f>
        <v/>
      </c>
      <c r="F333" s="5" t="inlineStr">
        <is>
          <t>Y</t>
        </is>
      </c>
      <c r="G333" s="5" t="inlineStr">
        <is>
          <t>Tablet tester</t>
        </is>
      </c>
      <c r="H333" s="5" t="inlineStr">
        <is>
          <t>Low</t>
        </is>
      </c>
      <c r="I333" s="5" t="n">
        <v>1</v>
      </c>
      <c r="J333" s="5" t="n"/>
      <c r="K333" s="10">
        <f>IFERROR(IF(INDEX('Test catalog'!$F$2:$F$200,MATCH($AB333,'Test catalog'!$A$2:$A$200,0))="","",INDEX('Test catalog'!$F$2:$F$200,MATCH($AB333,'Test catalog'!$A$2:$A$200,0))),"")</f>
        <v/>
      </c>
      <c r="L333" s="10">
        <f>IFERROR(IF(INDEX('Test catalog'!$G$2:$G$200,MATCH($AB333,'Test catalog'!$A$2:$A$200,0))="","",INDEX('Test catalog'!$G$2:$G$200,MATCH($AB333,'Test catalog'!$A$2:$A$200,0))),"")</f>
        <v/>
      </c>
      <c r="M333" s="10">
        <f>IFERROR(IF(INDEX('Test catalog'!$H$2:$H$200,MATCH($AB333,'Test catalog'!$A$2:$A$200,0))="","",INDEX('Test catalog'!$H$2:$H$200,MATCH($AB333,'Test catalog'!$A$2:$A$200,0))),"")</f>
        <v/>
      </c>
      <c r="N333" s="10">
        <f>IFERROR(IF(INDEX('Test catalog'!$I$2:$I$200,MATCH($AB333,'Test catalog'!$A$2:$A$200,0))="","",INDEX('Test catalog'!$I$2:$I$200,MATCH($AB333,'Test catalog'!$A$2:$A$200,0))),"")</f>
        <v/>
      </c>
      <c r="O333" s="10">
        <f>IFERROR(IF(INDEX('Test catalog'!$J$2:$J$200,MATCH($AB333,'Test catalog'!$A$2:$A$200,0))="","",INDEX('Test catalog'!$J$2:$J$200,MATCH($AB333,'Test catalog'!$A$2:$A$200,0))),"")</f>
        <v/>
      </c>
      <c r="P333" s="14">
        <f>IF(N333="","",IF(OR(M333="",O333=""),N333,(M333+4*N333+O333)/6))</f>
        <v/>
      </c>
      <c r="Q333" s="10">
        <f>IFERROR(IF(INDEX('Test catalog'!$K$2:$K$200,MATCH($AB333,'Test catalog'!$A$2:$A$200,0))="","",INDEX('Test catalog'!$K$2:$K$200,MATCH($AB333,'Test catalog'!$A$2:$A$200,0))),"")</f>
        <v/>
      </c>
      <c r="R333" s="5" t="n"/>
      <c r="S333" s="10">
        <f>IFERROR(IF(INDEX('Test catalog'!$L$2:$L$200,MATCH($AB333,'Test catalog'!$A$2:$A$200,0))="","",INDEX('Test catalog'!$L$2:$L$200,MATCH($AB333,'Test catalog'!$A$2:$A$200,0))),"")</f>
        <v/>
      </c>
      <c r="T333" s="10">
        <f>IFERROR(IF(INDEX('Test catalog'!$M$2:$M$200,MATCH($AB333,'Test catalog'!$A$2:$A$200,0))="","",INDEX('Test catalog'!$M$2:$M$200,MATCH($AB333,'Test catalog'!$A$2:$A$200,0))),"")</f>
        <v/>
      </c>
      <c r="U333" s="10">
        <f>IFERROR(IF(INDEX('Test catalog'!$N$2:$N$200,MATCH($AB333,'Test catalog'!$A$2:$A$200,0))="","",INDEX('Test catalog'!$N$2:$N$200,MATCH($AB333,'Test catalog'!$A$2:$A$200,0))),"")</f>
        <v/>
      </c>
      <c r="V333" s="15" t="n"/>
      <c r="W333" s="5" t="inlineStr">
        <is>
          <t>N</t>
        </is>
      </c>
      <c r="X333" s="5" t="n"/>
      <c r="Y333" s="5" t="n"/>
      <c r="Z333" s="5" t="n"/>
      <c r="AA333" s="10">
        <f>IFERROR(IF(INDEX('Test catalog'!$O$2:$O$200,MATCH($AB333,'Test catalog'!$A$2:$A$200,0))="","",INDEX('Test catalog'!$O$2:$O$200,MATCH($AB333,'Test catalog'!$A$2:$A$200,0))),"")</f>
        <v/>
      </c>
      <c r="AB333" s="10" t="inlineStr">
        <is>
          <t>DIAM</t>
        </is>
      </c>
    </row>
    <row r="334">
      <c r="A334" s="10" t="inlineStr">
        <is>
          <t>F45</t>
        </is>
      </c>
      <c r="B334" s="10" t="inlineStr">
        <is>
          <t>FP</t>
        </is>
      </c>
      <c r="C334" s="10" t="inlineStr">
        <is>
          <t>Ginc Active  |  Ginkgo Biloba Leaf Dry Extract 50:1, Calcium Carbonate Heavy</t>
        </is>
      </c>
      <c r="D334" s="10" t="inlineStr">
        <is>
          <t>Thickness</t>
        </is>
      </c>
      <c r="E334" s="10">
        <f>IF(A334="","",A334&amp;"|"&amp;D334)</f>
        <v/>
      </c>
      <c r="F334" s="5" t="inlineStr">
        <is>
          <t>Y</t>
        </is>
      </c>
      <c r="G334" s="5" t="inlineStr">
        <is>
          <t>Tablet tester</t>
        </is>
      </c>
      <c r="H334" s="5" t="inlineStr">
        <is>
          <t>Low</t>
        </is>
      </c>
      <c r="I334" s="5" t="n">
        <v>1</v>
      </c>
      <c r="J334" s="5" t="n"/>
      <c r="K334" s="10">
        <f>IFERROR(IF(INDEX('Test catalog'!$F$2:$F$200,MATCH($AB334,'Test catalog'!$A$2:$A$200,0))="","",INDEX('Test catalog'!$F$2:$F$200,MATCH($AB334,'Test catalog'!$A$2:$A$200,0))),"")</f>
        <v/>
      </c>
      <c r="L334" s="10">
        <f>IFERROR(IF(INDEX('Test catalog'!$G$2:$G$200,MATCH($AB334,'Test catalog'!$A$2:$A$200,0))="","",INDEX('Test catalog'!$G$2:$G$200,MATCH($AB334,'Test catalog'!$A$2:$A$200,0))),"")</f>
        <v/>
      </c>
      <c r="M334" s="10">
        <f>IFERROR(IF(INDEX('Test catalog'!$H$2:$H$200,MATCH($AB334,'Test catalog'!$A$2:$A$200,0))="","",INDEX('Test catalog'!$H$2:$H$200,MATCH($AB334,'Test catalog'!$A$2:$A$200,0))),"")</f>
        <v/>
      </c>
      <c r="N334" s="10">
        <f>IFERROR(IF(INDEX('Test catalog'!$I$2:$I$200,MATCH($AB334,'Test catalog'!$A$2:$A$200,0))="","",INDEX('Test catalog'!$I$2:$I$200,MATCH($AB334,'Test catalog'!$A$2:$A$200,0))),"")</f>
        <v/>
      </c>
      <c r="O334" s="10">
        <f>IFERROR(IF(INDEX('Test catalog'!$J$2:$J$200,MATCH($AB334,'Test catalog'!$A$2:$A$200,0))="","",INDEX('Test catalog'!$J$2:$J$200,MATCH($AB334,'Test catalog'!$A$2:$A$200,0))),"")</f>
        <v/>
      </c>
      <c r="P334" s="14">
        <f>IF(N334="","",IF(OR(M334="",O334=""),N334,(M334+4*N334+O334)/6))</f>
        <v/>
      </c>
      <c r="Q334" s="10">
        <f>IFERROR(IF(INDEX('Test catalog'!$K$2:$K$200,MATCH($AB334,'Test catalog'!$A$2:$A$200,0))="","",INDEX('Test catalog'!$K$2:$K$200,MATCH($AB334,'Test catalog'!$A$2:$A$200,0))),"")</f>
        <v/>
      </c>
      <c r="R334" s="5" t="n"/>
      <c r="S334" s="10">
        <f>IFERROR(IF(INDEX('Test catalog'!$L$2:$L$200,MATCH($AB334,'Test catalog'!$A$2:$A$200,0))="","",INDEX('Test catalog'!$L$2:$L$200,MATCH($AB334,'Test catalog'!$A$2:$A$200,0))),"")</f>
        <v/>
      </c>
      <c r="T334" s="10">
        <f>IFERROR(IF(INDEX('Test catalog'!$M$2:$M$200,MATCH($AB334,'Test catalog'!$A$2:$A$200,0))="","",INDEX('Test catalog'!$M$2:$M$200,MATCH($AB334,'Test catalog'!$A$2:$A$200,0))),"")</f>
        <v/>
      </c>
      <c r="U334" s="10">
        <f>IFERROR(IF(INDEX('Test catalog'!$N$2:$N$200,MATCH($AB334,'Test catalog'!$A$2:$A$200,0))="","",INDEX('Test catalog'!$N$2:$N$200,MATCH($AB334,'Test catalog'!$A$2:$A$200,0))),"")</f>
        <v/>
      </c>
      <c r="V334" s="15" t="n"/>
      <c r="W334" s="5" t="inlineStr">
        <is>
          <t>N</t>
        </is>
      </c>
      <c r="X334" s="5" t="n"/>
      <c r="Y334" s="5" t="n"/>
      <c r="Z334" s="5" t="n"/>
      <c r="AA334" s="10">
        <f>IFERROR(IF(INDEX('Test catalog'!$O$2:$O$200,MATCH($AB334,'Test catalog'!$A$2:$A$200,0))="","",INDEX('Test catalog'!$O$2:$O$200,MATCH($AB334,'Test catalog'!$A$2:$A$200,0))),"")</f>
        <v/>
      </c>
      <c r="AB334" s="10" t="inlineStr">
        <is>
          <t>THICK</t>
        </is>
      </c>
    </row>
    <row r="335">
      <c r="A335" s="10" t="inlineStr">
        <is>
          <t>F45</t>
        </is>
      </c>
      <c r="B335" s="10" t="inlineStr">
        <is>
          <t>FP</t>
        </is>
      </c>
      <c r="C335" s="10" t="inlineStr">
        <is>
          <t>Ginc Active  |  Ginkgo Biloba Leaf Dry Extract 50:1, Calcium Carbonate Heavy</t>
        </is>
      </c>
      <c r="D335" s="10" t="inlineStr">
        <is>
          <t>Hardness / breaking force</t>
        </is>
      </c>
      <c r="E335" s="10">
        <f>IF(A335="","",A335&amp;"|"&amp;D335)</f>
        <v/>
      </c>
      <c r="F335" s="5" t="inlineStr">
        <is>
          <t>Y</t>
        </is>
      </c>
      <c r="G335" s="5" t="inlineStr">
        <is>
          <t>Tablet tester</t>
        </is>
      </c>
      <c r="H335" s="5" t="inlineStr">
        <is>
          <t>Low</t>
        </is>
      </c>
      <c r="I335" s="5" t="n">
        <v>1</v>
      </c>
      <c r="J335" s="5" t="n"/>
      <c r="K335" s="10">
        <f>IFERROR(IF(INDEX('Test catalog'!$F$2:$F$200,MATCH($AB335,'Test catalog'!$A$2:$A$200,0))="","",INDEX('Test catalog'!$F$2:$F$200,MATCH($AB335,'Test catalog'!$A$2:$A$200,0))),"")</f>
        <v/>
      </c>
      <c r="L335" s="10">
        <f>IFERROR(IF(INDEX('Test catalog'!$G$2:$G$200,MATCH($AB335,'Test catalog'!$A$2:$A$200,0))="","",INDEX('Test catalog'!$G$2:$G$200,MATCH($AB335,'Test catalog'!$A$2:$A$200,0))),"")</f>
        <v/>
      </c>
      <c r="M335" s="10">
        <f>IFERROR(IF(INDEX('Test catalog'!$H$2:$H$200,MATCH($AB335,'Test catalog'!$A$2:$A$200,0))="","",INDEX('Test catalog'!$H$2:$H$200,MATCH($AB335,'Test catalog'!$A$2:$A$200,0))),"")</f>
        <v/>
      </c>
      <c r="N335" s="10">
        <f>IFERROR(IF(INDEX('Test catalog'!$I$2:$I$200,MATCH($AB335,'Test catalog'!$A$2:$A$200,0))="","",INDEX('Test catalog'!$I$2:$I$200,MATCH($AB335,'Test catalog'!$A$2:$A$200,0))),"")</f>
        <v/>
      </c>
      <c r="O335" s="10">
        <f>IFERROR(IF(INDEX('Test catalog'!$J$2:$J$200,MATCH($AB335,'Test catalog'!$A$2:$A$200,0))="","",INDEX('Test catalog'!$J$2:$J$200,MATCH($AB335,'Test catalog'!$A$2:$A$200,0))),"")</f>
        <v/>
      </c>
      <c r="P335" s="14">
        <f>IF(N335="","",IF(OR(M335="",O335=""),N335,(M335+4*N335+O335)/6))</f>
        <v/>
      </c>
      <c r="Q335" s="10">
        <f>IFERROR(IF(INDEX('Test catalog'!$K$2:$K$200,MATCH($AB335,'Test catalog'!$A$2:$A$200,0))="","",INDEX('Test catalog'!$K$2:$K$200,MATCH($AB335,'Test catalog'!$A$2:$A$200,0))),"")</f>
        <v/>
      </c>
      <c r="R335" s="5" t="n"/>
      <c r="S335" s="10">
        <f>IFERROR(IF(INDEX('Test catalog'!$L$2:$L$200,MATCH($AB335,'Test catalog'!$A$2:$A$200,0))="","",INDEX('Test catalog'!$L$2:$L$200,MATCH($AB335,'Test catalog'!$A$2:$A$200,0))),"")</f>
        <v/>
      </c>
      <c r="T335" s="10">
        <f>IFERROR(IF(INDEX('Test catalog'!$M$2:$M$200,MATCH($AB335,'Test catalog'!$A$2:$A$200,0))="","",INDEX('Test catalog'!$M$2:$M$200,MATCH($AB335,'Test catalog'!$A$2:$A$200,0))),"")</f>
        <v/>
      </c>
      <c r="U335" s="10">
        <f>IFERROR(IF(INDEX('Test catalog'!$N$2:$N$200,MATCH($AB335,'Test catalog'!$A$2:$A$200,0))="","",INDEX('Test catalog'!$N$2:$N$200,MATCH($AB335,'Test catalog'!$A$2:$A$200,0))),"")</f>
        <v/>
      </c>
      <c r="V335" s="15" t="n"/>
      <c r="W335" s="5" t="inlineStr">
        <is>
          <t>Y</t>
        </is>
      </c>
      <c r="X335" s="5" t="n"/>
      <c r="Y335" s="5" t="n"/>
      <c r="Z335" s="5" t="n"/>
      <c r="AA335" s="10">
        <f>IFERROR(IF(INDEX('Test catalog'!$O$2:$O$200,MATCH($AB335,'Test catalog'!$A$2:$A$200,0))="","",INDEX('Test catalog'!$O$2:$O$200,MATCH($AB335,'Test catalog'!$A$2:$A$200,0))),"")</f>
        <v/>
      </c>
      <c r="AB335" s="10" t="inlineStr">
        <is>
          <t>HARD</t>
        </is>
      </c>
    </row>
    <row r="336">
      <c r="A336" s="10" t="inlineStr">
        <is>
          <t>F45</t>
        </is>
      </c>
      <c r="B336" s="10" t="inlineStr">
        <is>
          <t>FP</t>
        </is>
      </c>
      <c r="C336" s="10" t="inlineStr">
        <is>
          <t>Ginc Active  |  Ginkgo Biloba Leaf Dry Extract 50:1, Calcium Carbonate Heavy</t>
        </is>
      </c>
      <c r="D336" s="10" t="inlineStr">
        <is>
          <t>Brittleness</t>
        </is>
      </c>
      <c r="E336" s="10">
        <f>IF(A336="","",A336&amp;"|"&amp;D336)</f>
        <v/>
      </c>
      <c r="F336" s="5" t="inlineStr">
        <is>
          <t>Y</t>
        </is>
      </c>
      <c r="G336" s="5" t="inlineStr">
        <is>
          <t>Other / bench</t>
        </is>
      </c>
      <c r="H336" s="5" t="inlineStr">
        <is>
          <t>Low</t>
        </is>
      </c>
      <c r="I336" s="5" t="n">
        <v>1</v>
      </c>
      <c r="J336" s="5" t="n"/>
      <c r="K336" s="10">
        <f>IFERROR(IF(INDEX('Test catalog'!$F$2:$F$200,MATCH($AB336,'Test catalog'!$A$2:$A$200,0))="","",INDEX('Test catalog'!$F$2:$F$200,MATCH($AB336,'Test catalog'!$A$2:$A$200,0))),"")</f>
        <v/>
      </c>
      <c r="L336" s="10">
        <f>IFERROR(IF(INDEX('Test catalog'!$G$2:$G$200,MATCH($AB336,'Test catalog'!$A$2:$A$200,0))="","",INDEX('Test catalog'!$G$2:$G$200,MATCH($AB336,'Test catalog'!$A$2:$A$200,0))),"")</f>
        <v/>
      </c>
      <c r="M336" s="10">
        <f>IFERROR(IF(INDEX('Test catalog'!$H$2:$H$200,MATCH($AB336,'Test catalog'!$A$2:$A$200,0))="","",INDEX('Test catalog'!$H$2:$H$200,MATCH($AB336,'Test catalog'!$A$2:$A$200,0))),"")</f>
        <v/>
      </c>
      <c r="N336" s="10">
        <f>IFERROR(IF(INDEX('Test catalog'!$I$2:$I$200,MATCH($AB336,'Test catalog'!$A$2:$A$200,0))="","",INDEX('Test catalog'!$I$2:$I$200,MATCH($AB336,'Test catalog'!$A$2:$A$200,0))),"")</f>
        <v/>
      </c>
      <c r="O336" s="10">
        <f>IFERROR(IF(INDEX('Test catalog'!$J$2:$J$200,MATCH($AB336,'Test catalog'!$A$2:$A$200,0))="","",INDEX('Test catalog'!$J$2:$J$200,MATCH($AB336,'Test catalog'!$A$2:$A$200,0))),"")</f>
        <v/>
      </c>
      <c r="P336" s="14">
        <f>IF(N336="","",IF(OR(M336="",O336=""),N336,(M336+4*N336+O336)/6))</f>
        <v/>
      </c>
      <c r="Q336" s="10">
        <f>IFERROR(IF(INDEX('Test catalog'!$K$2:$K$200,MATCH($AB336,'Test catalog'!$A$2:$A$200,0))="","",INDEX('Test catalog'!$K$2:$K$200,MATCH($AB336,'Test catalog'!$A$2:$A$200,0))),"")</f>
        <v/>
      </c>
      <c r="R336" s="5" t="n"/>
      <c r="S336" s="10">
        <f>IFERROR(IF(INDEX('Test catalog'!$L$2:$L$200,MATCH($AB336,'Test catalog'!$A$2:$A$200,0))="","",INDEX('Test catalog'!$L$2:$L$200,MATCH($AB336,'Test catalog'!$A$2:$A$200,0))),"")</f>
        <v/>
      </c>
      <c r="T336" s="10">
        <f>IFERROR(IF(INDEX('Test catalog'!$M$2:$M$200,MATCH($AB336,'Test catalog'!$A$2:$A$200,0))="","",INDEX('Test catalog'!$M$2:$M$200,MATCH($AB336,'Test catalog'!$A$2:$A$200,0))),"")</f>
        <v/>
      </c>
      <c r="U336" s="10">
        <f>IFERROR(IF(INDEX('Test catalog'!$N$2:$N$200,MATCH($AB336,'Test catalog'!$A$2:$A$200,0))="","",INDEX('Test catalog'!$N$2:$N$200,MATCH($AB336,'Test catalog'!$A$2:$A$200,0))),"")</f>
        <v/>
      </c>
      <c r="V336" s="15" t="n"/>
      <c r="W336" s="5" t="inlineStr">
        <is>
          <t>N</t>
        </is>
      </c>
      <c r="X336" s="5" t="n"/>
      <c r="Y336" s="5" t="n"/>
      <c r="Z336" s="5" t="n"/>
      <c r="AA336" s="10">
        <f>IFERROR(IF(INDEX('Test catalog'!$O$2:$O$200,MATCH($AB336,'Test catalog'!$A$2:$A$200,0))="","",INDEX('Test catalog'!$O$2:$O$200,MATCH($AB336,'Test catalog'!$A$2:$A$200,0))),"")</f>
        <v/>
      </c>
      <c r="AB336" s="10" t="inlineStr">
        <is>
          <t>BRITTLE</t>
        </is>
      </c>
    </row>
    <row r="337">
      <c r="A337" s="10" t="inlineStr">
        <is>
          <t>F45</t>
        </is>
      </c>
      <c r="B337" s="10" t="inlineStr">
        <is>
          <t>FP</t>
        </is>
      </c>
      <c r="C337" s="10" t="inlineStr">
        <is>
          <t>Ginc Active  |  Ginkgo Biloba Leaf Dry Extract 50:1, Calcium Carbonate Heavy</t>
        </is>
      </c>
      <c r="D337" s="10" t="inlineStr">
        <is>
          <t>Friability</t>
        </is>
      </c>
      <c r="E337" s="10">
        <f>IF(A337="","",A337&amp;"|"&amp;D337)</f>
        <v/>
      </c>
      <c r="F337" s="5" t="inlineStr">
        <is>
          <t>Y</t>
        </is>
      </c>
      <c r="G337" s="5" t="inlineStr">
        <is>
          <t>Friabilator</t>
        </is>
      </c>
      <c r="H337" s="5" t="inlineStr">
        <is>
          <t>Low</t>
        </is>
      </c>
      <c r="I337" s="5" t="n">
        <v>1</v>
      </c>
      <c r="J337" s="5" t="n"/>
      <c r="K337" s="10">
        <f>IFERROR(IF(INDEX('Test catalog'!$F$2:$F$200,MATCH($AB337,'Test catalog'!$A$2:$A$200,0))="","",INDEX('Test catalog'!$F$2:$F$200,MATCH($AB337,'Test catalog'!$A$2:$A$200,0))),"")</f>
        <v/>
      </c>
      <c r="L337" s="10">
        <f>IFERROR(IF(INDEX('Test catalog'!$G$2:$G$200,MATCH($AB337,'Test catalog'!$A$2:$A$200,0))="","",INDEX('Test catalog'!$G$2:$G$200,MATCH($AB337,'Test catalog'!$A$2:$A$200,0))),"")</f>
        <v/>
      </c>
      <c r="M337" s="10">
        <f>IFERROR(IF(INDEX('Test catalog'!$H$2:$H$200,MATCH($AB337,'Test catalog'!$A$2:$A$200,0))="","",INDEX('Test catalog'!$H$2:$H$200,MATCH($AB337,'Test catalog'!$A$2:$A$200,0))),"")</f>
        <v/>
      </c>
      <c r="N337" s="10">
        <f>IFERROR(IF(INDEX('Test catalog'!$I$2:$I$200,MATCH($AB337,'Test catalog'!$A$2:$A$200,0))="","",INDEX('Test catalog'!$I$2:$I$200,MATCH($AB337,'Test catalog'!$A$2:$A$200,0))),"")</f>
        <v/>
      </c>
      <c r="O337" s="10">
        <f>IFERROR(IF(INDEX('Test catalog'!$J$2:$J$200,MATCH($AB337,'Test catalog'!$A$2:$A$200,0))="","",INDEX('Test catalog'!$J$2:$J$200,MATCH($AB337,'Test catalog'!$A$2:$A$200,0))),"")</f>
        <v/>
      </c>
      <c r="P337" s="14">
        <f>IF(N337="","",IF(OR(M337="",O337=""),N337,(M337+4*N337+O337)/6))</f>
        <v/>
      </c>
      <c r="Q337" s="10">
        <f>IFERROR(IF(INDEX('Test catalog'!$K$2:$K$200,MATCH($AB337,'Test catalog'!$A$2:$A$200,0))="","",INDEX('Test catalog'!$K$2:$K$200,MATCH($AB337,'Test catalog'!$A$2:$A$200,0))),"")</f>
        <v/>
      </c>
      <c r="R337" s="5" t="n"/>
      <c r="S337" s="10">
        <f>IFERROR(IF(INDEX('Test catalog'!$L$2:$L$200,MATCH($AB337,'Test catalog'!$A$2:$A$200,0))="","",INDEX('Test catalog'!$L$2:$L$200,MATCH($AB337,'Test catalog'!$A$2:$A$200,0))),"")</f>
        <v/>
      </c>
      <c r="T337" s="10">
        <f>IFERROR(IF(INDEX('Test catalog'!$M$2:$M$200,MATCH($AB337,'Test catalog'!$A$2:$A$200,0))="","",INDEX('Test catalog'!$M$2:$M$200,MATCH($AB337,'Test catalog'!$A$2:$A$200,0))),"")</f>
        <v/>
      </c>
      <c r="U337" s="10">
        <f>IFERROR(IF(INDEX('Test catalog'!$N$2:$N$200,MATCH($AB337,'Test catalog'!$A$2:$A$200,0))="","",INDEX('Test catalog'!$N$2:$N$200,MATCH($AB337,'Test catalog'!$A$2:$A$200,0))),"")</f>
        <v/>
      </c>
      <c r="V337" s="15" t="n"/>
      <c r="W337" s="5" t="inlineStr">
        <is>
          <t>N</t>
        </is>
      </c>
      <c r="X337" s="5" t="n"/>
      <c r="Y337" s="5" t="n"/>
      <c r="Z337" s="5" t="n"/>
      <c r="AA337" s="10">
        <f>IFERROR(IF(INDEX('Test catalog'!$O$2:$O$200,MATCH($AB337,'Test catalog'!$A$2:$A$200,0))="","",INDEX('Test catalog'!$O$2:$O$200,MATCH($AB337,'Test catalog'!$A$2:$A$200,0))),"")</f>
        <v/>
      </c>
      <c r="AB337" s="10" t="inlineStr">
        <is>
          <t>FRIAB</t>
        </is>
      </c>
    </row>
    <row r="338">
      <c r="A338" s="10" t="inlineStr">
        <is>
          <t>F45</t>
        </is>
      </c>
      <c r="B338" s="10" t="inlineStr">
        <is>
          <t>FP</t>
        </is>
      </c>
      <c r="C338" s="10" t="inlineStr">
        <is>
          <t>Ginc Active  |  Ginkgo Biloba Leaf Dry Extract 50:1, Calcium Carbonate Heavy</t>
        </is>
      </c>
      <c r="D338" s="10" t="inlineStr">
        <is>
          <t>Disintegration</t>
        </is>
      </c>
      <c r="E338" s="10">
        <f>IF(A338="","",A338&amp;"|"&amp;D338)</f>
        <v/>
      </c>
      <c r="F338" s="5" t="inlineStr">
        <is>
          <t>Y</t>
        </is>
      </c>
      <c r="G338" s="5" t="inlineStr">
        <is>
          <t>Disintegration tester</t>
        </is>
      </c>
      <c r="H338" s="5" t="inlineStr">
        <is>
          <t>Low</t>
        </is>
      </c>
      <c r="I338" s="5" t="n">
        <v>1</v>
      </c>
      <c r="J338" s="5" t="n"/>
      <c r="K338" s="10">
        <f>IFERROR(IF(INDEX('Test catalog'!$F$2:$F$200,MATCH($AB338,'Test catalog'!$A$2:$A$200,0))="","",INDEX('Test catalog'!$F$2:$F$200,MATCH($AB338,'Test catalog'!$A$2:$A$200,0))),"")</f>
        <v/>
      </c>
      <c r="L338" s="10">
        <f>IFERROR(IF(INDEX('Test catalog'!$G$2:$G$200,MATCH($AB338,'Test catalog'!$A$2:$A$200,0))="","",INDEX('Test catalog'!$G$2:$G$200,MATCH($AB338,'Test catalog'!$A$2:$A$200,0))),"")</f>
        <v/>
      </c>
      <c r="M338" s="10">
        <f>IFERROR(IF(INDEX('Test catalog'!$H$2:$H$200,MATCH($AB338,'Test catalog'!$A$2:$A$200,0))="","",INDEX('Test catalog'!$H$2:$H$200,MATCH($AB338,'Test catalog'!$A$2:$A$200,0))),"")</f>
        <v/>
      </c>
      <c r="N338" s="10">
        <f>IFERROR(IF(INDEX('Test catalog'!$I$2:$I$200,MATCH($AB338,'Test catalog'!$A$2:$A$200,0))="","",INDEX('Test catalog'!$I$2:$I$200,MATCH($AB338,'Test catalog'!$A$2:$A$200,0))),"")</f>
        <v/>
      </c>
      <c r="O338" s="10">
        <f>IFERROR(IF(INDEX('Test catalog'!$J$2:$J$200,MATCH($AB338,'Test catalog'!$A$2:$A$200,0))="","",INDEX('Test catalog'!$J$2:$J$200,MATCH($AB338,'Test catalog'!$A$2:$A$200,0))),"")</f>
        <v/>
      </c>
      <c r="P338" s="14">
        <f>IF(N338="","",IF(OR(M338="",O338=""),N338,(M338+4*N338+O338)/6))</f>
        <v/>
      </c>
      <c r="Q338" s="10">
        <f>IFERROR(IF(INDEX('Test catalog'!$K$2:$K$200,MATCH($AB338,'Test catalog'!$A$2:$A$200,0))="","",INDEX('Test catalog'!$K$2:$K$200,MATCH($AB338,'Test catalog'!$A$2:$A$200,0))),"")</f>
        <v/>
      </c>
      <c r="R338" s="5" t="n"/>
      <c r="S338" s="10">
        <f>IFERROR(IF(INDEX('Test catalog'!$L$2:$L$200,MATCH($AB338,'Test catalog'!$A$2:$A$200,0))="","",INDEX('Test catalog'!$L$2:$L$200,MATCH($AB338,'Test catalog'!$A$2:$A$200,0))),"")</f>
        <v/>
      </c>
      <c r="T338" s="10">
        <f>IFERROR(IF(INDEX('Test catalog'!$M$2:$M$200,MATCH($AB338,'Test catalog'!$A$2:$A$200,0))="","",INDEX('Test catalog'!$M$2:$M$200,MATCH($AB338,'Test catalog'!$A$2:$A$200,0))),"")</f>
        <v/>
      </c>
      <c r="U338" s="10">
        <f>IFERROR(IF(INDEX('Test catalog'!$N$2:$N$200,MATCH($AB338,'Test catalog'!$A$2:$A$200,0))="","",INDEX('Test catalog'!$N$2:$N$200,MATCH($AB338,'Test catalog'!$A$2:$A$200,0))),"")</f>
        <v/>
      </c>
      <c r="V338" s="15" t="n"/>
      <c r="W338" s="5" t="inlineStr">
        <is>
          <t>Y</t>
        </is>
      </c>
      <c r="X338" s="5" t="n"/>
      <c r="Y338" s="5" t="n"/>
      <c r="Z338" s="5" t="n"/>
      <c r="AA338" s="10">
        <f>IFERROR(IF(INDEX('Test catalog'!$O$2:$O$200,MATCH($AB338,'Test catalog'!$A$2:$A$200,0))="","",INDEX('Test catalog'!$O$2:$O$200,MATCH($AB338,'Test catalog'!$A$2:$A$200,0))),"")</f>
        <v/>
      </c>
      <c r="AB338" s="10" t="inlineStr">
        <is>
          <t>DISINT</t>
        </is>
      </c>
    </row>
    <row r="339">
      <c r="A339" s="10" t="inlineStr">
        <is>
          <t>F45</t>
        </is>
      </c>
      <c r="B339" s="10" t="inlineStr">
        <is>
          <t>FP</t>
        </is>
      </c>
      <c r="C339" s="10" t="inlineStr">
        <is>
          <t>Ginc Active  |  Ginkgo Biloba Leaf Dry Extract 50:1, Calcium Carbonate Heavy</t>
        </is>
      </c>
      <c r="D339" s="10" t="inlineStr">
        <is>
          <t>In-process check at the machine (one check, all its tests)</t>
        </is>
      </c>
      <c r="E339" s="10">
        <f>IF(A339="","",A339&amp;"|"&amp;D339)</f>
        <v/>
      </c>
      <c r="F339" s="5" t="inlineStr">
        <is>
          <t>Y</t>
        </is>
      </c>
      <c r="G339" s="5" t="inlineStr">
        <is>
          <t>Tablet tester</t>
        </is>
      </c>
      <c r="H339" s="5" t="inlineStr">
        <is>
          <t>Low</t>
        </is>
      </c>
      <c r="I339" s="5" t="n">
        <v>1</v>
      </c>
      <c r="J339" s="5" t="n"/>
      <c r="K339" s="10">
        <f>IFERROR(IF(INDEX('Test catalog'!$F$2:$F$200,MATCH($AB339,'Test catalog'!$A$2:$A$200,0))="","",INDEX('Test catalog'!$F$2:$F$200,MATCH($AB339,'Test catalog'!$A$2:$A$200,0))),"")</f>
        <v/>
      </c>
      <c r="L339" s="10">
        <f>IFERROR(IF(INDEX('Test catalog'!$G$2:$G$200,MATCH($AB339,'Test catalog'!$A$2:$A$200,0))="","",INDEX('Test catalog'!$G$2:$G$200,MATCH($AB339,'Test catalog'!$A$2:$A$200,0))),"")</f>
        <v/>
      </c>
      <c r="M339" s="10">
        <f>IFERROR(IF(INDEX('Test catalog'!$H$2:$H$200,MATCH($AB339,'Test catalog'!$A$2:$A$200,0))="","",INDEX('Test catalog'!$H$2:$H$200,MATCH($AB339,'Test catalog'!$A$2:$A$200,0))),"")</f>
        <v/>
      </c>
      <c r="N339" s="10">
        <f>IFERROR(IF(INDEX('Test catalog'!$I$2:$I$200,MATCH($AB339,'Test catalog'!$A$2:$A$200,0))="","",INDEX('Test catalog'!$I$2:$I$200,MATCH($AB339,'Test catalog'!$A$2:$A$200,0))),"")</f>
        <v/>
      </c>
      <c r="O339" s="10">
        <f>IFERROR(IF(INDEX('Test catalog'!$J$2:$J$200,MATCH($AB339,'Test catalog'!$A$2:$A$200,0))="","",INDEX('Test catalog'!$J$2:$J$200,MATCH($AB339,'Test catalog'!$A$2:$A$200,0))),"")</f>
        <v/>
      </c>
      <c r="P339" s="14">
        <f>IF(N339="","",IF(OR(M339="",O339=""),N339,(M339+4*N339+O339)/6))</f>
        <v/>
      </c>
      <c r="Q339" s="10">
        <f>IFERROR(IF(INDEX('Test catalog'!$K$2:$K$200,MATCH($AB339,'Test catalog'!$A$2:$A$200,0))="","",INDEX('Test catalog'!$K$2:$K$200,MATCH($AB339,'Test catalog'!$A$2:$A$200,0))),"")</f>
        <v/>
      </c>
      <c r="R339" s="5" t="n"/>
      <c r="S339" s="10">
        <f>IFERROR(IF(INDEX('Test catalog'!$L$2:$L$200,MATCH($AB339,'Test catalog'!$A$2:$A$200,0))="","",INDEX('Test catalog'!$L$2:$L$200,MATCH($AB339,'Test catalog'!$A$2:$A$200,0))),"")</f>
        <v/>
      </c>
      <c r="T339" s="10">
        <f>IFERROR(IF(INDEX('Test catalog'!$M$2:$M$200,MATCH($AB339,'Test catalog'!$A$2:$A$200,0))="","",INDEX('Test catalog'!$M$2:$M$200,MATCH($AB339,'Test catalog'!$A$2:$A$200,0))),"")</f>
        <v/>
      </c>
      <c r="U339" s="10">
        <f>IFERROR(IF(INDEX('Test catalog'!$N$2:$N$200,MATCH($AB339,'Test catalog'!$A$2:$A$200,0))="","",INDEX('Test catalog'!$N$2:$N$200,MATCH($AB339,'Test catalog'!$A$2:$A$200,0))),"")</f>
        <v/>
      </c>
      <c r="V339" s="15" t="n"/>
      <c r="W339" s="5" t="inlineStr">
        <is>
          <t>N</t>
        </is>
      </c>
      <c r="X339" s="5" t="n"/>
      <c r="Y339" s="5" t="n"/>
      <c r="Z339" s="5" t="n"/>
      <c r="AA339" s="10">
        <f>IFERROR(IF(INDEX('Test catalog'!$O$2:$O$200,MATCH($AB339,'Test catalog'!$A$2:$A$200,0))="","",INDEX('Test catalog'!$O$2:$O$200,MATCH($AB339,'Test catalog'!$A$2:$A$200,0))),"")</f>
        <v/>
      </c>
      <c r="AB339" s="10" t="inlineStr">
        <is>
          <t>IPC</t>
        </is>
      </c>
    </row>
    <row r="340">
      <c r="A340" s="10" t="inlineStr">
        <is>
          <t>F46</t>
        </is>
      </c>
      <c r="B340" s="10" t="inlineStr">
        <is>
          <t>FP</t>
        </is>
      </c>
      <c r="C340" s="10" t="inlineStr">
        <is>
          <t>URomax; Uromax Sachet  |  Cranberry Dry Extract 25:1, Ascorbic Acid Coated 97%</t>
        </is>
      </c>
      <c r="D340" s="10" t="inlineStr">
        <is>
          <t>Average weight / uniformity of mass</t>
        </is>
      </c>
      <c r="E340" s="10">
        <f>IF(A340="","",A340&amp;"|"&amp;D340)</f>
        <v/>
      </c>
      <c r="F340" s="5" t="inlineStr">
        <is>
          <t>Y</t>
        </is>
      </c>
      <c r="G340" s="5" t="inlineStr">
        <is>
          <t>Balance</t>
        </is>
      </c>
      <c r="H340" s="5" t="inlineStr">
        <is>
          <t>Low</t>
        </is>
      </c>
      <c r="I340" s="5" t="n">
        <v>1</v>
      </c>
      <c r="J340" s="5" t="n"/>
      <c r="K340" s="10">
        <f>IFERROR(IF(INDEX('Test catalog'!$F$2:$F$200,MATCH($AB340,'Test catalog'!$A$2:$A$200,0))="","",INDEX('Test catalog'!$F$2:$F$200,MATCH($AB340,'Test catalog'!$A$2:$A$200,0))),"")</f>
        <v/>
      </c>
      <c r="L340" s="10">
        <f>IFERROR(IF(INDEX('Test catalog'!$G$2:$G$200,MATCH($AB340,'Test catalog'!$A$2:$A$200,0))="","",INDEX('Test catalog'!$G$2:$G$200,MATCH($AB340,'Test catalog'!$A$2:$A$200,0))),"")</f>
        <v/>
      </c>
      <c r="M340" s="10">
        <f>IFERROR(IF(INDEX('Test catalog'!$H$2:$H$200,MATCH($AB340,'Test catalog'!$A$2:$A$200,0))="","",INDEX('Test catalog'!$H$2:$H$200,MATCH($AB340,'Test catalog'!$A$2:$A$200,0))),"")</f>
        <v/>
      </c>
      <c r="N340" s="10">
        <f>IFERROR(IF(INDEX('Test catalog'!$I$2:$I$200,MATCH($AB340,'Test catalog'!$A$2:$A$200,0))="","",INDEX('Test catalog'!$I$2:$I$200,MATCH($AB340,'Test catalog'!$A$2:$A$200,0))),"")</f>
        <v/>
      </c>
      <c r="O340" s="10">
        <f>IFERROR(IF(INDEX('Test catalog'!$J$2:$J$200,MATCH($AB340,'Test catalog'!$A$2:$A$200,0))="","",INDEX('Test catalog'!$J$2:$J$200,MATCH($AB340,'Test catalog'!$A$2:$A$200,0))),"")</f>
        <v/>
      </c>
      <c r="P340" s="14">
        <f>IF(N340="","",IF(OR(M340="",O340=""),N340,(M340+4*N340+O340)/6))</f>
        <v/>
      </c>
      <c r="Q340" s="10">
        <f>IFERROR(IF(INDEX('Test catalog'!$K$2:$K$200,MATCH($AB340,'Test catalog'!$A$2:$A$200,0))="","",INDEX('Test catalog'!$K$2:$K$200,MATCH($AB340,'Test catalog'!$A$2:$A$200,0))),"")</f>
        <v/>
      </c>
      <c r="R340" s="5" t="n"/>
      <c r="S340" s="10">
        <f>IFERROR(IF(INDEX('Test catalog'!$L$2:$L$200,MATCH($AB340,'Test catalog'!$A$2:$A$200,0))="","",INDEX('Test catalog'!$L$2:$L$200,MATCH($AB340,'Test catalog'!$A$2:$A$200,0))),"")</f>
        <v/>
      </c>
      <c r="T340" s="10">
        <f>IFERROR(IF(INDEX('Test catalog'!$M$2:$M$200,MATCH($AB340,'Test catalog'!$A$2:$A$200,0))="","",INDEX('Test catalog'!$M$2:$M$200,MATCH($AB340,'Test catalog'!$A$2:$A$200,0))),"")</f>
        <v/>
      </c>
      <c r="U340" s="10">
        <f>IFERROR(IF(INDEX('Test catalog'!$N$2:$N$200,MATCH($AB340,'Test catalog'!$A$2:$A$200,0))="","",INDEX('Test catalog'!$N$2:$N$200,MATCH($AB340,'Test catalog'!$A$2:$A$200,0))),"")</f>
        <v/>
      </c>
      <c r="V340" s="15" t="n"/>
      <c r="W340" s="5" t="inlineStr">
        <is>
          <t>N</t>
        </is>
      </c>
      <c r="X340" s="5" t="n"/>
      <c r="Y340" s="5" t="n"/>
      <c r="Z340" s="5" t="n"/>
      <c r="AA340" s="10">
        <f>IFERROR(IF(INDEX('Test catalog'!$O$2:$O$200,MATCH($AB340,'Test catalog'!$A$2:$A$200,0))="","",INDEX('Test catalog'!$O$2:$O$200,MATCH($AB340,'Test catalog'!$A$2:$A$200,0))),"")</f>
        <v/>
      </c>
      <c r="AB340" s="10" t="inlineStr">
        <is>
          <t>AVG_WT</t>
        </is>
      </c>
    </row>
    <row r="341">
      <c r="A341" s="10" t="inlineStr">
        <is>
          <t>F46</t>
        </is>
      </c>
      <c r="B341" s="10" t="inlineStr">
        <is>
          <t>FP</t>
        </is>
      </c>
      <c r="C341" s="10" t="inlineStr">
        <is>
          <t>URomax; Uromax Sachet  |  Cranberry Dry Extract 25:1, Ascorbic Acid Coated 97%</t>
        </is>
      </c>
      <c r="D341" s="10" t="inlineStr">
        <is>
          <t>In-process check at the machine (one check, all its tests)</t>
        </is>
      </c>
      <c r="E341" s="10">
        <f>IF(A341="","",A341&amp;"|"&amp;D341)</f>
        <v/>
      </c>
      <c r="F341" s="5" t="inlineStr">
        <is>
          <t>Y</t>
        </is>
      </c>
      <c r="G341" s="5" t="inlineStr">
        <is>
          <t>Tablet tester</t>
        </is>
      </c>
      <c r="H341" s="5" t="inlineStr">
        <is>
          <t>Low</t>
        </is>
      </c>
      <c r="I341" s="5" t="n">
        <v>1</v>
      </c>
      <c r="J341" s="5" t="n"/>
      <c r="K341" s="10">
        <f>IFERROR(IF(INDEX('Test catalog'!$F$2:$F$200,MATCH($AB341,'Test catalog'!$A$2:$A$200,0))="","",INDEX('Test catalog'!$F$2:$F$200,MATCH($AB341,'Test catalog'!$A$2:$A$200,0))),"")</f>
        <v/>
      </c>
      <c r="L341" s="10">
        <f>IFERROR(IF(INDEX('Test catalog'!$G$2:$G$200,MATCH($AB341,'Test catalog'!$A$2:$A$200,0))="","",INDEX('Test catalog'!$G$2:$G$200,MATCH($AB341,'Test catalog'!$A$2:$A$200,0))),"")</f>
        <v/>
      </c>
      <c r="M341" s="10">
        <f>IFERROR(IF(INDEX('Test catalog'!$H$2:$H$200,MATCH($AB341,'Test catalog'!$A$2:$A$200,0))="","",INDEX('Test catalog'!$H$2:$H$200,MATCH($AB341,'Test catalog'!$A$2:$A$200,0))),"")</f>
        <v/>
      </c>
      <c r="N341" s="10">
        <f>IFERROR(IF(INDEX('Test catalog'!$I$2:$I$200,MATCH($AB341,'Test catalog'!$A$2:$A$200,0))="","",INDEX('Test catalog'!$I$2:$I$200,MATCH($AB341,'Test catalog'!$A$2:$A$200,0))),"")</f>
        <v/>
      </c>
      <c r="O341" s="10">
        <f>IFERROR(IF(INDEX('Test catalog'!$J$2:$J$200,MATCH($AB341,'Test catalog'!$A$2:$A$200,0))="","",INDEX('Test catalog'!$J$2:$J$200,MATCH($AB341,'Test catalog'!$A$2:$A$200,0))),"")</f>
        <v/>
      </c>
      <c r="P341" s="14">
        <f>IF(N341="","",IF(OR(M341="",O341=""),N341,(M341+4*N341+O341)/6))</f>
        <v/>
      </c>
      <c r="Q341" s="10">
        <f>IFERROR(IF(INDEX('Test catalog'!$K$2:$K$200,MATCH($AB341,'Test catalog'!$A$2:$A$200,0))="","",INDEX('Test catalog'!$K$2:$K$200,MATCH($AB341,'Test catalog'!$A$2:$A$200,0))),"")</f>
        <v/>
      </c>
      <c r="R341" s="5" t="n"/>
      <c r="S341" s="10">
        <f>IFERROR(IF(INDEX('Test catalog'!$L$2:$L$200,MATCH($AB341,'Test catalog'!$A$2:$A$200,0))="","",INDEX('Test catalog'!$L$2:$L$200,MATCH($AB341,'Test catalog'!$A$2:$A$200,0))),"")</f>
        <v/>
      </c>
      <c r="T341" s="10">
        <f>IFERROR(IF(INDEX('Test catalog'!$M$2:$M$200,MATCH($AB341,'Test catalog'!$A$2:$A$200,0))="","",INDEX('Test catalog'!$M$2:$M$200,MATCH($AB341,'Test catalog'!$A$2:$A$200,0))),"")</f>
        <v/>
      </c>
      <c r="U341" s="10">
        <f>IFERROR(IF(INDEX('Test catalog'!$N$2:$N$200,MATCH($AB341,'Test catalog'!$A$2:$A$200,0))="","",INDEX('Test catalog'!$N$2:$N$200,MATCH($AB341,'Test catalog'!$A$2:$A$200,0))),"")</f>
        <v/>
      </c>
      <c r="V341" s="15" t="n"/>
      <c r="W341" s="5" t="inlineStr">
        <is>
          <t>N</t>
        </is>
      </c>
      <c r="X341" s="5" t="n"/>
      <c r="Y341" s="5" t="n"/>
      <c r="Z341" s="5" t="n"/>
      <c r="AA341" s="10">
        <f>IFERROR(IF(INDEX('Test catalog'!$O$2:$O$200,MATCH($AB341,'Test catalog'!$A$2:$A$200,0))="","",INDEX('Test catalog'!$O$2:$O$200,MATCH($AB341,'Test catalog'!$A$2:$A$200,0))),"")</f>
        <v/>
      </c>
      <c r="AB341" s="10" t="inlineStr">
        <is>
          <t>IPC</t>
        </is>
      </c>
    </row>
    <row r="342">
      <c r="A342" s="10" t="inlineStr">
        <is>
          <t>F46</t>
        </is>
      </c>
      <c r="B342" s="10" t="inlineStr">
        <is>
          <t>FP</t>
        </is>
      </c>
      <c r="C342" s="10" t="inlineStr">
        <is>
          <t>URomax; Uromax Sachet  |  Cranberry Dry Extract 25:1, Ascorbic Acid Coated 97%</t>
        </is>
      </c>
      <c r="D342" s="10" t="inlineStr">
        <is>
          <t>Diameter (or length / width)</t>
        </is>
      </c>
      <c r="E342" s="10">
        <f>IF(A342="","",A342&amp;"|"&amp;D342)</f>
        <v/>
      </c>
      <c r="F342" s="5" t="inlineStr">
        <is>
          <t>Y</t>
        </is>
      </c>
      <c r="G342" s="5" t="inlineStr">
        <is>
          <t>Tablet tester</t>
        </is>
      </c>
      <c r="H342" s="5" t="inlineStr">
        <is>
          <t>Low</t>
        </is>
      </c>
      <c r="I342" s="5" t="n">
        <v>1</v>
      </c>
      <c r="J342" s="5" t="n"/>
      <c r="K342" s="10">
        <f>IFERROR(IF(INDEX('Test catalog'!$F$2:$F$200,MATCH($AB342,'Test catalog'!$A$2:$A$200,0))="","",INDEX('Test catalog'!$F$2:$F$200,MATCH($AB342,'Test catalog'!$A$2:$A$200,0))),"")</f>
        <v/>
      </c>
      <c r="L342" s="10">
        <f>IFERROR(IF(INDEX('Test catalog'!$G$2:$G$200,MATCH($AB342,'Test catalog'!$A$2:$A$200,0))="","",INDEX('Test catalog'!$G$2:$G$200,MATCH($AB342,'Test catalog'!$A$2:$A$200,0))),"")</f>
        <v/>
      </c>
      <c r="M342" s="10">
        <f>IFERROR(IF(INDEX('Test catalog'!$H$2:$H$200,MATCH($AB342,'Test catalog'!$A$2:$A$200,0))="","",INDEX('Test catalog'!$H$2:$H$200,MATCH($AB342,'Test catalog'!$A$2:$A$200,0))),"")</f>
        <v/>
      </c>
      <c r="N342" s="10">
        <f>IFERROR(IF(INDEX('Test catalog'!$I$2:$I$200,MATCH($AB342,'Test catalog'!$A$2:$A$200,0))="","",INDEX('Test catalog'!$I$2:$I$200,MATCH($AB342,'Test catalog'!$A$2:$A$200,0))),"")</f>
        <v/>
      </c>
      <c r="O342" s="10">
        <f>IFERROR(IF(INDEX('Test catalog'!$J$2:$J$200,MATCH($AB342,'Test catalog'!$A$2:$A$200,0))="","",INDEX('Test catalog'!$J$2:$J$200,MATCH($AB342,'Test catalog'!$A$2:$A$200,0))),"")</f>
        <v/>
      </c>
      <c r="P342" s="14">
        <f>IF(N342="","",IF(OR(M342="",O342=""),N342,(M342+4*N342+O342)/6))</f>
        <v/>
      </c>
      <c r="Q342" s="10">
        <f>IFERROR(IF(INDEX('Test catalog'!$K$2:$K$200,MATCH($AB342,'Test catalog'!$A$2:$A$200,0))="","",INDEX('Test catalog'!$K$2:$K$200,MATCH($AB342,'Test catalog'!$A$2:$A$200,0))),"")</f>
        <v/>
      </c>
      <c r="R342" s="5" t="n"/>
      <c r="S342" s="10">
        <f>IFERROR(IF(INDEX('Test catalog'!$L$2:$L$200,MATCH($AB342,'Test catalog'!$A$2:$A$200,0))="","",INDEX('Test catalog'!$L$2:$L$200,MATCH($AB342,'Test catalog'!$A$2:$A$200,0))),"")</f>
        <v/>
      </c>
      <c r="T342" s="10">
        <f>IFERROR(IF(INDEX('Test catalog'!$M$2:$M$200,MATCH($AB342,'Test catalog'!$A$2:$A$200,0))="","",INDEX('Test catalog'!$M$2:$M$200,MATCH($AB342,'Test catalog'!$A$2:$A$200,0))),"")</f>
        <v/>
      </c>
      <c r="U342" s="10">
        <f>IFERROR(IF(INDEX('Test catalog'!$N$2:$N$200,MATCH($AB342,'Test catalog'!$A$2:$A$200,0))="","",INDEX('Test catalog'!$N$2:$N$200,MATCH($AB342,'Test catalog'!$A$2:$A$200,0))),"")</f>
        <v/>
      </c>
      <c r="V342" s="15" t="n"/>
      <c r="W342" s="5" t="inlineStr">
        <is>
          <t>N</t>
        </is>
      </c>
      <c r="X342" s="5" t="n"/>
      <c r="Y342" s="5" t="n"/>
      <c r="Z342" s="5" t="n"/>
      <c r="AA342" s="10">
        <f>IFERROR(IF(INDEX('Test catalog'!$O$2:$O$200,MATCH($AB342,'Test catalog'!$A$2:$A$200,0))="","",INDEX('Test catalog'!$O$2:$O$200,MATCH($AB342,'Test catalog'!$A$2:$A$200,0))),"")</f>
        <v/>
      </c>
      <c r="AB342" s="10" t="inlineStr">
        <is>
          <t>DIAM</t>
        </is>
      </c>
    </row>
    <row r="343">
      <c r="A343" s="10" t="inlineStr">
        <is>
          <t>F46</t>
        </is>
      </c>
      <c r="B343" s="10" t="inlineStr">
        <is>
          <t>FP</t>
        </is>
      </c>
      <c r="C343" s="10" t="inlineStr">
        <is>
          <t>URomax; Uromax Sachet  |  Cranberry Dry Extract 25:1, Ascorbic Acid Coated 97%</t>
        </is>
      </c>
      <c r="D343" s="10" t="inlineStr">
        <is>
          <t>Thickness</t>
        </is>
      </c>
      <c r="E343" s="10">
        <f>IF(A343="","",A343&amp;"|"&amp;D343)</f>
        <v/>
      </c>
      <c r="F343" s="5" t="inlineStr">
        <is>
          <t>Y</t>
        </is>
      </c>
      <c r="G343" s="5" t="inlineStr">
        <is>
          <t>Tablet tester</t>
        </is>
      </c>
      <c r="H343" s="5" t="inlineStr">
        <is>
          <t>Low</t>
        </is>
      </c>
      <c r="I343" s="5" t="n">
        <v>1</v>
      </c>
      <c r="J343" s="5" t="n"/>
      <c r="K343" s="10">
        <f>IFERROR(IF(INDEX('Test catalog'!$F$2:$F$200,MATCH($AB343,'Test catalog'!$A$2:$A$200,0))="","",INDEX('Test catalog'!$F$2:$F$200,MATCH($AB343,'Test catalog'!$A$2:$A$200,0))),"")</f>
        <v/>
      </c>
      <c r="L343" s="10">
        <f>IFERROR(IF(INDEX('Test catalog'!$G$2:$G$200,MATCH($AB343,'Test catalog'!$A$2:$A$200,0))="","",INDEX('Test catalog'!$G$2:$G$200,MATCH($AB343,'Test catalog'!$A$2:$A$200,0))),"")</f>
        <v/>
      </c>
      <c r="M343" s="10">
        <f>IFERROR(IF(INDEX('Test catalog'!$H$2:$H$200,MATCH($AB343,'Test catalog'!$A$2:$A$200,0))="","",INDEX('Test catalog'!$H$2:$H$200,MATCH($AB343,'Test catalog'!$A$2:$A$200,0))),"")</f>
        <v/>
      </c>
      <c r="N343" s="10">
        <f>IFERROR(IF(INDEX('Test catalog'!$I$2:$I$200,MATCH($AB343,'Test catalog'!$A$2:$A$200,0))="","",INDEX('Test catalog'!$I$2:$I$200,MATCH($AB343,'Test catalog'!$A$2:$A$200,0))),"")</f>
        <v/>
      </c>
      <c r="O343" s="10">
        <f>IFERROR(IF(INDEX('Test catalog'!$J$2:$J$200,MATCH($AB343,'Test catalog'!$A$2:$A$200,0))="","",INDEX('Test catalog'!$J$2:$J$200,MATCH($AB343,'Test catalog'!$A$2:$A$200,0))),"")</f>
        <v/>
      </c>
      <c r="P343" s="14">
        <f>IF(N343="","",IF(OR(M343="",O343=""),N343,(M343+4*N343+O343)/6))</f>
        <v/>
      </c>
      <c r="Q343" s="10">
        <f>IFERROR(IF(INDEX('Test catalog'!$K$2:$K$200,MATCH($AB343,'Test catalog'!$A$2:$A$200,0))="","",INDEX('Test catalog'!$K$2:$K$200,MATCH($AB343,'Test catalog'!$A$2:$A$200,0))),"")</f>
        <v/>
      </c>
      <c r="R343" s="5" t="n"/>
      <c r="S343" s="10">
        <f>IFERROR(IF(INDEX('Test catalog'!$L$2:$L$200,MATCH($AB343,'Test catalog'!$A$2:$A$200,0))="","",INDEX('Test catalog'!$L$2:$L$200,MATCH($AB343,'Test catalog'!$A$2:$A$200,0))),"")</f>
        <v/>
      </c>
      <c r="T343" s="10">
        <f>IFERROR(IF(INDEX('Test catalog'!$M$2:$M$200,MATCH($AB343,'Test catalog'!$A$2:$A$200,0))="","",INDEX('Test catalog'!$M$2:$M$200,MATCH($AB343,'Test catalog'!$A$2:$A$200,0))),"")</f>
        <v/>
      </c>
      <c r="U343" s="10">
        <f>IFERROR(IF(INDEX('Test catalog'!$N$2:$N$200,MATCH($AB343,'Test catalog'!$A$2:$A$200,0))="","",INDEX('Test catalog'!$N$2:$N$200,MATCH($AB343,'Test catalog'!$A$2:$A$200,0))),"")</f>
        <v/>
      </c>
      <c r="V343" s="15" t="n"/>
      <c r="W343" s="5" t="inlineStr">
        <is>
          <t>N</t>
        </is>
      </c>
      <c r="X343" s="5" t="n"/>
      <c r="Y343" s="5" t="n"/>
      <c r="Z343" s="5" t="n"/>
      <c r="AA343" s="10">
        <f>IFERROR(IF(INDEX('Test catalog'!$O$2:$O$200,MATCH($AB343,'Test catalog'!$A$2:$A$200,0))="","",INDEX('Test catalog'!$O$2:$O$200,MATCH($AB343,'Test catalog'!$A$2:$A$200,0))),"")</f>
        <v/>
      </c>
      <c r="AB343" s="10" t="inlineStr">
        <is>
          <t>THICK</t>
        </is>
      </c>
    </row>
    <row r="344">
      <c r="A344" s="10" t="inlineStr">
        <is>
          <t>F46</t>
        </is>
      </c>
      <c r="B344" s="10" t="inlineStr">
        <is>
          <t>FP</t>
        </is>
      </c>
      <c r="C344" s="10" t="inlineStr">
        <is>
          <t>URomax; Uromax Sachet  |  Cranberry Dry Extract 25:1, Ascorbic Acid Coated 97%</t>
        </is>
      </c>
      <c r="D344" s="10" t="inlineStr">
        <is>
          <t>Hardness / breaking force</t>
        </is>
      </c>
      <c r="E344" s="10">
        <f>IF(A344="","",A344&amp;"|"&amp;D344)</f>
        <v/>
      </c>
      <c r="F344" s="5" t="inlineStr">
        <is>
          <t>Y</t>
        </is>
      </c>
      <c r="G344" s="5" t="inlineStr">
        <is>
          <t>Tablet tester</t>
        </is>
      </c>
      <c r="H344" s="5" t="inlineStr">
        <is>
          <t>Low</t>
        </is>
      </c>
      <c r="I344" s="5" t="n">
        <v>1</v>
      </c>
      <c r="J344" s="5" t="n"/>
      <c r="K344" s="10">
        <f>IFERROR(IF(INDEX('Test catalog'!$F$2:$F$200,MATCH($AB344,'Test catalog'!$A$2:$A$200,0))="","",INDEX('Test catalog'!$F$2:$F$200,MATCH($AB344,'Test catalog'!$A$2:$A$200,0))),"")</f>
        <v/>
      </c>
      <c r="L344" s="10">
        <f>IFERROR(IF(INDEX('Test catalog'!$G$2:$G$200,MATCH($AB344,'Test catalog'!$A$2:$A$200,0))="","",INDEX('Test catalog'!$G$2:$G$200,MATCH($AB344,'Test catalog'!$A$2:$A$200,0))),"")</f>
        <v/>
      </c>
      <c r="M344" s="10">
        <f>IFERROR(IF(INDEX('Test catalog'!$H$2:$H$200,MATCH($AB344,'Test catalog'!$A$2:$A$200,0))="","",INDEX('Test catalog'!$H$2:$H$200,MATCH($AB344,'Test catalog'!$A$2:$A$200,0))),"")</f>
        <v/>
      </c>
      <c r="N344" s="10">
        <f>IFERROR(IF(INDEX('Test catalog'!$I$2:$I$200,MATCH($AB344,'Test catalog'!$A$2:$A$200,0))="","",INDEX('Test catalog'!$I$2:$I$200,MATCH($AB344,'Test catalog'!$A$2:$A$200,0))),"")</f>
        <v/>
      </c>
      <c r="O344" s="10">
        <f>IFERROR(IF(INDEX('Test catalog'!$J$2:$J$200,MATCH($AB344,'Test catalog'!$A$2:$A$200,0))="","",INDEX('Test catalog'!$J$2:$J$200,MATCH($AB344,'Test catalog'!$A$2:$A$200,0))),"")</f>
        <v/>
      </c>
      <c r="P344" s="14">
        <f>IF(N344="","",IF(OR(M344="",O344=""),N344,(M344+4*N344+O344)/6))</f>
        <v/>
      </c>
      <c r="Q344" s="10">
        <f>IFERROR(IF(INDEX('Test catalog'!$K$2:$K$200,MATCH($AB344,'Test catalog'!$A$2:$A$200,0))="","",INDEX('Test catalog'!$K$2:$K$200,MATCH($AB344,'Test catalog'!$A$2:$A$200,0))),"")</f>
        <v/>
      </c>
      <c r="R344" s="5" t="n"/>
      <c r="S344" s="10">
        <f>IFERROR(IF(INDEX('Test catalog'!$L$2:$L$200,MATCH($AB344,'Test catalog'!$A$2:$A$200,0))="","",INDEX('Test catalog'!$L$2:$L$200,MATCH($AB344,'Test catalog'!$A$2:$A$200,0))),"")</f>
        <v/>
      </c>
      <c r="T344" s="10">
        <f>IFERROR(IF(INDEX('Test catalog'!$M$2:$M$200,MATCH($AB344,'Test catalog'!$A$2:$A$200,0))="","",INDEX('Test catalog'!$M$2:$M$200,MATCH($AB344,'Test catalog'!$A$2:$A$200,0))),"")</f>
        <v/>
      </c>
      <c r="U344" s="10">
        <f>IFERROR(IF(INDEX('Test catalog'!$N$2:$N$200,MATCH($AB344,'Test catalog'!$A$2:$A$200,0))="","",INDEX('Test catalog'!$N$2:$N$200,MATCH($AB344,'Test catalog'!$A$2:$A$200,0))),"")</f>
        <v/>
      </c>
      <c r="V344" s="15" t="n"/>
      <c r="W344" s="5" t="inlineStr">
        <is>
          <t>Y</t>
        </is>
      </c>
      <c r="X344" s="5" t="n"/>
      <c r="Y344" s="5" t="n"/>
      <c r="Z344" s="5" t="n"/>
      <c r="AA344" s="10">
        <f>IFERROR(IF(INDEX('Test catalog'!$O$2:$O$200,MATCH($AB344,'Test catalog'!$A$2:$A$200,0))="","",INDEX('Test catalog'!$O$2:$O$200,MATCH($AB344,'Test catalog'!$A$2:$A$200,0))),"")</f>
        <v/>
      </c>
      <c r="AB344" s="10" t="inlineStr">
        <is>
          <t>HARD</t>
        </is>
      </c>
    </row>
    <row r="345">
      <c r="A345" s="10" t="inlineStr">
        <is>
          <t>F46</t>
        </is>
      </c>
      <c r="B345" s="10" t="inlineStr">
        <is>
          <t>FP</t>
        </is>
      </c>
      <c r="C345" s="10" t="inlineStr">
        <is>
          <t>URomax; Uromax Sachet  |  Cranberry Dry Extract 25:1, Ascorbic Acid Coated 97%</t>
        </is>
      </c>
      <c r="D345" s="10" t="inlineStr">
        <is>
          <t>Brittleness</t>
        </is>
      </c>
      <c r="E345" s="10">
        <f>IF(A345="","",A345&amp;"|"&amp;D345)</f>
        <v/>
      </c>
      <c r="F345" s="5" t="inlineStr">
        <is>
          <t>Y</t>
        </is>
      </c>
      <c r="G345" s="5" t="inlineStr">
        <is>
          <t>Other / bench</t>
        </is>
      </c>
      <c r="H345" s="5" t="inlineStr">
        <is>
          <t>Low</t>
        </is>
      </c>
      <c r="I345" s="5" t="n">
        <v>1</v>
      </c>
      <c r="J345" s="5" t="n"/>
      <c r="K345" s="10">
        <f>IFERROR(IF(INDEX('Test catalog'!$F$2:$F$200,MATCH($AB345,'Test catalog'!$A$2:$A$200,0))="","",INDEX('Test catalog'!$F$2:$F$200,MATCH($AB345,'Test catalog'!$A$2:$A$200,0))),"")</f>
        <v/>
      </c>
      <c r="L345" s="10">
        <f>IFERROR(IF(INDEX('Test catalog'!$G$2:$G$200,MATCH($AB345,'Test catalog'!$A$2:$A$200,0))="","",INDEX('Test catalog'!$G$2:$G$200,MATCH($AB345,'Test catalog'!$A$2:$A$200,0))),"")</f>
        <v/>
      </c>
      <c r="M345" s="10">
        <f>IFERROR(IF(INDEX('Test catalog'!$H$2:$H$200,MATCH($AB345,'Test catalog'!$A$2:$A$200,0))="","",INDEX('Test catalog'!$H$2:$H$200,MATCH($AB345,'Test catalog'!$A$2:$A$200,0))),"")</f>
        <v/>
      </c>
      <c r="N345" s="10">
        <f>IFERROR(IF(INDEX('Test catalog'!$I$2:$I$200,MATCH($AB345,'Test catalog'!$A$2:$A$200,0))="","",INDEX('Test catalog'!$I$2:$I$200,MATCH($AB345,'Test catalog'!$A$2:$A$200,0))),"")</f>
        <v/>
      </c>
      <c r="O345" s="10">
        <f>IFERROR(IF(INDEX('Test catalog'!$J$2:$J$200,MATCH($AB345,'Test catalog'!$A$2:$A$200,0))="","",INDEX('Test catalog'!$J$2:$J$200,MATCH($AB345,'Test catalog'!$A$2:$A$200,0))),"")</f>
        <v/>
      </c>
      <c r="P345" s="14">
        <f>IF(N345="","",IF(OR(M345="",O345=""),N345,(M345+4*N345+O345)/6))</f>
        <v/>
      </c>
      <c r="Q345" s="10">
        <f>IFERROR(IF(INDEX('Test catalog'!$K$2:$K$200,MATCH($AB345,'Test catalog'!$A$2:$A$200,0))="","",INDEX('Test catalog'!$K$2:$K$200,MATCH($AB345,'Test catalog'!$A$2:$A$200,0))),"")</f>
        <v/>
      </c>
      <c r="R345" s="5" t="n"/>
      <c r="S345" s="10">
        <f>IFERROR(IF(INDEX('Test catalog'!$L$2:$L$200,MATCH($AB345,'Test catalog'!$A$2:$A$200,0))="","",INDEX('Test catalog'!$L$2:$L$200,MATCH($AB345,'Test catalog'!$A$2:$A$200,0))),"")</f>
        <v/>
      </c>
      <c r="T345" s="10">
        <f>IFERROR(IF(INDEX('Test catalog'!$M$2:$M$200,MATCH($AB345,'Test catalog'!$A$2:$A$200,0))="","",INDEX('Test catalog'!$M$2:$M$200,MATCH($AB345,'Test catalog'!$A$2:$A$200,0))),"")</f>
        <v/>
      </c>
      <c r="U345" s="10">
        <f>IFERROR(IF(INDEX('Test catalog'!$N$2:$N$200,MATCH($AB345,'Test catalog'!$A$2:$A$200,0))="","",INDEX('Test catalog'!$N$2:$N$200,MATCH($AB345,'Test catalog'!$A$2:$A$200,0))),"")</f>
        <v/>
      </c>
      <c r="V345" s="15" t="n"/>
      <c r="W345" s="5" t="inlineStr">
        <is>
          <t>N</t>
        </is>
      </c>
      <c r="X345" s="5" t="n"/>
      <c r="Y345" s="5" t="n"/>
      <c r="Z345" s="5" t="n"/>
      <c r="AA345" s="10">
        <f>IFERROR(IF(INDEX('Test catalog'!$O$2:$O$200,MATCH($AB345,'Test catalog'!$A$2:$A$200,0))="","",INDEX('Test catalog'!$O$2:$O$200,MATCH($AB345,'Test catalog'!$A$2:$A$200,0))),"")</f>
        <v/>
      </c>
      <c r="AB345" s="10" t="inlineStr">
        <is>
          <t>BRITTLE</t>
        </is>
      </c>
    </row>
    <row r="346">
      <c r="A346" s="10" t="inlineStr">
        <is>
          <t>F46</t>
        </is>
      </c>
      <c r="B346" s="10" t="inlineStr">
        <is>
          <t>FP</t>
        </is>
      </c>
      <c r="C346" s="10" t="inlineStr">
        <is>
          <t>URomax; Uromax Sachet  |  Cranberry Dry Extract 25:1, Ascorbic Acid Coated 97%</t>
        </is>
      </c>
      <c r="D346" s="10" t="inlineStr">
        <is>
          <t>Friability</t>
        </is>
      </c>
      <c r="E346" s="10">
        <f>IF(A346="","",A346&amp;"|"&amp;D346)</f>
        <v/>
      </c>
      <c r="F346" s="5" t="inlineStr">
        <is>
          <t>Y</t>
        </is>
      </c>
      <c r="G346" s="5" t="inlineStr">
        <is>
          <t>Friabilator</t>
        </is>
      </c>
      <c r="H346" s="5" t="inlineStr">
        <is>
          <t>Low</t>
        </is>
      </c>
      <c r="I346" s="5" t="n">
        <v>1</v>
      </c>
      <c r="J346" s="5" t="n"/>
      <c r="K346" s="10">
        <f>IFERROR(IF(INDEX('Test catalog'!$F$2:$F$200,MATCH($AB346,'Test catalog'!$A$2:$A$200,0))="","",INDEX('Test catalog'!$F$2:$F$200,MATCH($AB346,'Test catalog'!$A$2:$A$200,0))),"")</f>
        <v/>
      </c>
      <c r="L346" s="10">
        <f>IFERROR(IF(INDEX('Test catalog'!$G$2:$G$200,MATCH($AB346,'Test catalog'!$A$2:$A$200,0))="","",INDEX('Test catalog'!$G$2:$G$200,MATCH($AB346,'Test catalog'!$A$2:$A$200,0))),"")</f>
        <v/>
      </c>
      <c r="M346" s="10">
        <f>IFERROR(IF(INDEX('Test catalog'!$H$2:$H$200,MATCH($AB346,'Test catalog'!$A$2:$A$200,0))="","",INDEX('Test catalog'!$H$2:$H$200,MATCH($AB346,'Test catalog'!$A$2:$A$200,0))),"")</f>
        <v/>
      </c>
      <c r="N346" s="10">
        <f>IFERROR(IF(INDEX('Test catalog'!$I$2:$I$200,MATCH($AB346,'Test catalog'!$A$2:$A$200,0))="","",INDEX('Test catalog'!$I$2:$I$200,MATCH($AB346,'Test catalog'!$A$2:$A$200,0))),"")</f>
        <v/>
      </c>
      <c r="O346" s="10">
        <f>IFERROR(IF(INDEX('Test catalog'!$J$2:$J$200,MATCH($AB346,'Test catalog'!$A$2:$A$200,0))="","",INDEX('Test catalog'!$J$2:$J$200,MATCH($AB346,'Test catalog'!$A$2:$A$200,0))),"")</f>
        <v/>
      </c>
      <c r="P346" s="14">
        <f>IF(N346="","",IF(OR(M346="",O346=""),N346,(M346+4*N346+O346)/6))</f>
        <v/>
      </c>
      <c r="Q346" s="10">
        <f>IFERROR(IF(INDEX('Test catalog'!$K$2:$K$200,MATCH($AB346,'Test catalog'!$A$2:$A$200,0))="","",INDEX('Test catalog'!$K$2:$K$200,MATCH($AB346,'Test catalog'!$A$2:$A$200,0))),"")</f>
        <v/>
      </c>
      <c r="R346" s="5" t="n"/>
      <c r="S346" s="10">
        <f>IFERROR(IF(INDEX('Test catalog'!$L$2:$L$200,MATCH($AB346,'Test catalog'!$A$2:$A$200,0))="","",INDEX('Test catalog'!$L$2:$L$200,MATCH($AB346,'Test catalog'!$A$2:$A$200,0))),"")</f>
        <v/>
      </c>
      <c r="T346" s="10">
        <f>IFERROR(IF(INDEX('Test catalog'!$M$2:$M$200,MATCH($AB346,'Test catalog'!$A$2:$A$200,0))="","",INDEX('Test catalog'!$M$2:$M$200,MATCH($AB346,'Test catalog'!$A$2:$A$200,0))),"")</f>
        <v/>
      </c>
      <c r="U346" s="10">
        <f>IFERROR(IF(INDEX('Test catalog'!$N$2:$N$200,MATCH($AB346,'Test catalog'!$A$2:$A$200,0))="","",INDEX('Test catalog'!$N$2:$N$200,MATCH($AB346,'Test catalog'!$A$2:$A$200,0))),"")</f>
        <v/>
      </c>
      <c r="V346" s="15" t="n"/>
      <c r="W346" s="5" t="inlineStr">
        <is>
          <t>N</t>
        </is>
      </c>
      <c r="X346" s="5" t="n"/>
      <c r="Y346" s="5" t="n"/>
      <c r="Z346" s="5" t="n"/>
      <c r="AA346" s="10">
        <f>IFERROR(IF(INDEX('Test catalog'!$O$2:$O$200,MATCH($AB346,'Test catalog'!$A$2:$A$200,0))="","",INDEX('Test catalog'!$O$2:$O$200,MATCH($AB346,'Test catalog'!$A$2:$A$200,0))),"")</f>
        <v/>
      </c>
      <c r="AB346" s="10" t="inlineStr">
        <is>
          <t>FRIAB</t>
        </is>
      </c>
    </row>
    <row r="347">
      <c r="A347" s="10" t="inlineStr">
        <is>
          <t>F46</t>
        </is>
      </c>
      <c r="B347" s="10" t="inlineStr">
        <is>
          <t>FP</t>
        </is>
      </c>
      <c r="C347" s="10" t="inlineStr">
        <is>
          <t>URomax; Uromax Sachet  |  Cranberry Dry Extract 25:1, Ascorbic Acid Coated 97%</t>
        </is>
      </c>
      <c r="D347" s="10" t="inlineStr">
        <is>
          <t>Disintegration</t>
        </is>
      </c>
      <c r="E347" s="10">
        <f>IF(A347="","",A347&amp;"|"&amp;D347)</f>
        <v/>
      </c>
      <c r="F347" s="5" t="inlineStr">
        <is>
          <t>Y</t>
        </is>
      </c>
      <c r="G347" s="5" t="inlineStr">
        <is>
          <t>Disintegration tester</t>
        </is>
      </c>
      <c r="H347" s="5" t="inlineStr">
        <is>
          <t>Low</t>
        </is>
      </c>
      <c r="I347" s="5" t="n">
        <v>1</v>
      </c>
      <c r="J347" s="5" t="n"/>
      <c r="K347" s="10">
        <f>IFERROR(IF(INDEX('Test catalog'!$F$2:$F$200,MATCH($AB347,'Test catalog'!$A$2:$A$200,0))="","",INDEX('Test catalog'!$F$2:$F$200,MATCH($AB347,'Test catalog'!$A$2:$A$200,0))),"")</f>
        <v/>
      </c>
      <c r="L347" s="10">
        <f>IFERROR(IF(INDEX('Test catalog'!$G$2:$G$200,MATCH($AB347,'Test catalog'!$A$2:$A$200,0))="","",INDEX('Test catalog'!$G$2:$G$200,MATCH($AB347,'Test catalog'!$A$2:$A$200,0))),"")</f>
        <v/>
      </c>
      <c r="M347" s="10">
        <f>IFERROR(IF(INDEX('Test catalog'!$H$2:$H$200,MATCH($AB347,'Test catalog'!$A$2:$A$200,0))="","",INDEX('Test catalog'!$H$2:$H$200,MATCH($AB347,'Test catalog'!$A$2:$A$200,0))),"")</f>
        <v/>
      </c>
      <c r="N347" s="10">
        <f>IFERROR(IF(INDEX('Test catalog'!$I$2:$I$200,MATCH($AB347,'Test catalog'!$A$2:$A$200,0))="","",INDEX('Test catalog'!$I$2:$I$200,MATCH($AB347,'Test catalog'!$A$2:$A$200,0))),"")</f>
        <v/>
      </c>
      <c r="O347" s="10">
        <f>IFERROR(IF(INDEX('Test catalog'!$J$2:$J$200,MATCH($AB347,'Test catalog'!$A$2:$A$200,0))="","",INDEX('Test catalog'!$J$2:$J$200,MATCH($AB347,'Test catalog'!$A$2:$A$200,0))),"")</f>
        <v/>
      </c>
      <c r="P347" s="14">
        <f>IF(N347="","",IF(OR(M347="",O347=""),N347,(M347+4*N347+O347)/6))</f>
        <v/>
      </c>
      <c r="Q347" s="10">
        <f>IFERROR(IF(INDEX('Test catalog'!$K$2:$K$200,MATCH($AB347,'Test catalog'!$A$2:$A$200,0))="","",INDEX('Test catalog'!$K$2:$K$200,MATCH($AB347,'Test catalog'!$A$2:$A$200,0))),"")</f>
        <v/>
      </c>
      <c r="R347" s="5" t="n"/>
      <c r="S347" s="10">
        <f>IFERROR(IF(INDEX('Test catalog'!$L$2:$L$200,MATCH($AB347,'Test catalog'!$A$2:$A$200,0))="","",INDEX('Test catalog'!$L$2:$L$200,MATCH($AB347,'Test catalog'!$A$2:$A$200,0))),"")</f>
        <v/>
      </c>
      <c r="T347" s="10">
        <f>IFERROR(IF(INDEX('Test catalog'!$M$2:$M$200,MATCH($AB347,'Test catalog'!$A$2:$A$200,0))="","",INDEX('Test catalog'!$M$2:$M$200,MATCH($AB347,'Test catalog'!$A$2:$A$200,0))),"")</f>
        <v/>
      </c>
      <c r="U347" s="10">
        <f>IFERROR(IF(INDEX('Test catalog'!$N$2:$N$200,MATCH($AB347,'Test catalog'!$A$2:$A$200,0))="","",INDEX('Test catalog'!$N$2:$N$200,MATCH($AB347,'Test catalog'!$A$2:$A$200,0))),"")</f>
        <v/>
      </c>
      <c r="V347" s="15" t="n"/>
      <c r="W347" s="5" t="inlineStr">
        <is>
          <t>Y</t>
        </is>
      </c>
      <c r="X347" s="5" t="n"/>
      <c r="Y347" s="5" t="n"/>
      <c r="Z347" s="5" t="n"/>
      <c r="AA347" s="10">
        <f>IFERROR(IF(INDEX('Test catalog'!$O$2:$O$200,MATCH($AB347,'Test catalog'!$A$2:$A$200,0))="","",INDEX('Test catalog'!$O$2:$O$200,MATCH($AB347,'Test catalog'!$A$2:$A$200,0))),"")</f>
        <v/>
      </c>
      <c r="AB347" s="10" t="inlineStr">
        <is>
          <t>DISINT</t>
        </is>
      </c>
    </row>
    <row r="348">
      <c r="A348" s="10" t="inlineStr">
        <is>
          <t>F47</t>
        </is>
      </c>
      <c r="B348" s="10" t="inlineStr">
        <is>
          <t>FP</t>
        </is>
      </c>
      <c r="C348" s="10" t="inlineStr">
        <is>
          <t>Healthy Liver  |  Milk Thistle Dry Extract 70:1, Artichoke Dry Extract 25:1 (+4 more)</t>
        </is>
      </c>
      <c r="D348" s="10" t="inlineStr">
        <is>
          <t>Average weight / uniformity of mass</t>
        </is>
      </c>
      <c r="E348" s="10">
        <f>IF(A348="","",A348&amp;"|"&amp;D348)</f>
        <v/>
      </c>
      <c r="F348" s="5" t="inlineStr">
        <is>
          <t>Y</t>
        </is>
      </c>
      <c r="G348" s="5" t="inlineStr">
        <is>
          <t>Balance</t>
        </is>
      </c>
      <c r="H348" s="5" t="inlineStr">
        <is>
          <t>Low</t>
        </is>
      </c>
      <c r="I348" s="5" t="n">
        <v>1</v>
      </c>
      <c r="J348" s="5" t="n"/>
      <c r="K348" s="10">
        <f>IFERROR(IF(INDEX('Test catalog'!$F$2:$F$200,MATCH($AB348,'Test catalog'!$A$2:$A$200,0))="","",INDEX('Test catalog'!$F$2:$F$200,MATCH($AB348,'Test catalog'!$A$2:$A$200,0))),"")</f>
        <v/>
      </c>
      <c r="L348" s="10">
        <f>IFERROR(IF(INDEX('Test catalog'!$G$2:$G$200,MATCH($AB348,'Test catalog'!$A$2:$A$200,0))="","",INDEX('Test catalog'!$G$2:$G$200,MATCH($AB348,'Test catalog'!$A$2:$A$200,0))),"")</f>
        <v/>
      </c>
      <c r="M348" s="10">
        <f>IFERROR(IF(INDEX('Test catalog'!$H$2:$H$200,MATCH($AB348,'Test catalog'!$A$2:$A$200,0))="","",INDEX('Test catalog'!$H$2:$H$200,MATCH($AB348,'Test catalog'!$A$2:$A$200,0))),"")</f>
        <v/>
      </c>
      <c r="N348" s="10">
        <f>IFERROR(IF(INDEX('Test catalog'!$I$2:$I$200,MATCH($AB348,'Test catalog'!$A$2:$A$200,0))="","",INDEX('Test catalog'!$I$2:$I$200,MATCH($AB348,'Test catalog'!$A$2:$A$200,0))),"")</f>
        <v/>
      </c>
      <c r="O348" s="10">
        <f>IFERROR(IF(INDEX('Test catalog'!$J$2:$J$200,MATCH($AB348,'Test catalog'!$A$2:$A$200,0))="","",INDEX('Test catalog'!$J$2:$J$200,MATCH($AB348,'Test catalog'!$A$2:$A$200,0))),"")</f>
        <v/>
      </c>
      <c r="P348" s="14">
        <f>IF(N348="","",IF(OR(M348="",O348=""),N348,(M348+4*N348+O348)/6))</f>
        <v/>
      </c>
      <c r="Q348" s="10">
        <f>IFERROR(IF(INDEX('Test catalog'!$K$2:$K$200,MATCH($AB348,'Test catalog'!$A$2:$A$200,0))="","",INDEX('Test catalog'!$K$2:$K$200,MATCH($AB348,'Test catalog'!$A$2:$A$200,0))),"")</f>
        <v/>
      </c>
      <c r="R348" s="5" t="n"/>
      <c r="S348" s="10">
        <f>IFERROR(IF(INDEX('Test catalog'!$L$2:$L$200,MATCH($AB348,'Test catalog'!$A$2:$A$200,0))="","",INDEX('Test catalog'!$L$2:$L$200,MATCH($AB348,'Test catalog'!$A$2:$A$200,0))),"")</f>
        <v/>
      </c>
      <c r="T348" s="10">
        <f>IFERROR(IF(INDEX('Test catalog'!$M$2:$M$200,MATCH($AB348,'Test catalog'!$A$2:$A$200,0))="","",INDEX('Test catalog'!$M$2:$M$200,MATCH($AB348,'Test catalog'!$A$2:$A$200,0))),"")</f>
        <v/>
      </c>
      <c r="U348" s="10">
        <f>IFERROR(IF(INDEX('Test catalog'!$N$2:$N$200,MATCH($AB348,'Test catalog'!$A$2:$A$200,0))="","",INDEX('Test catalog'!$N$2:$N$200,MATCH($AB348,'Test catalog'!$A$2:$A$200,0))),"")</f>
        <v/>
      </c>
      <c r="V348" s="15" t="n"/>
      <c r="W348" s="5" t="inlineStr">
        <is>
          <t>N</t>
        </is>
      </c>
      <c r="X348" s="5" t="n"/>
      <c r="Y348" s="5" t="n"/>
      <c r="Z348" s="5" t="n"/>
      <c r="AA348" s="10">
        <f>IFERROR(IF(INDEX('Test catalog'!$O$2:$O$200,MATCH($AB348,'Test catalog'!$A$2:$A$200,0))="","",INDEX('Test catalog'!$O$2:$O$200,MATCH($AB348,'Test catalog'!$A$2:$A$200,0))),"")</f>
        <v/>
      </c>
      <c r="AB348" s="10" t="inlineStr">
        <is>
          <t>AVG_WT</t>
        </is>
      </c>
    </row>
    <row r="349">
      <c r="A349" s="10" t="inlineStr">
        <is>
          <t>F47</t>
        </is>
      </c>
      <c r="B349" s="10" t="inlineStr">
        <is>
          <t>FP</t>
        </is>
      </c>
      <c r="C349" s="10" t="inlineStr">
        <is>
          <t>Healthy Liver  |  Milk Thistle Dry Extract 70:1, Artichoke Dry Extract 25:1 (+4 more)</t>
        </is>
      </c>
      <c r="D349" s="10" t="inlineStr">
        <is>
          <t>Diameter (or length / width)</t>
        </is>
      </c>
      <c r="E349" s="10">
        <f>IF(A349="","",A349&amp;"|"&amp;D349)</f>
        <v/>
      </c>
      <c r="F349" s="5" t="inlineStr">
        <is>
          <t>Y</t>
        </is>
      </c>
      <c r="G349" s="5" t="inlineStr">
        <is>
          <t>Tablet tester</t>
        </is>
      </c>
      <c r="H349" s="5" t="inlineStr">
        <is>
          <t>Low</t>
        </is>
      </c>
      <c r="I349" s="5" t="n">
        <v>1</v>
      </c>
      <c r="J349" s="5" t="n"/>
      <c r="K349" s="10">
        <f>IFERROR(IF(INDEX('Test catalog'!$F$2:$F$200,MATCH($AB349,'Test catalog'!$A$2:$A$200,0))="","",INDEX('Test catalog'!$F$2:$F$200,MATCH($AB349,'Test catalog'!$A$2:$A$200,0))),"")</f>
        <v/>
      </c>
      <c r="L349" s="10">
        <f>IFERROR(IF(INDEX('Test catalog'!$G$2:$G$200,MATCH($AB349,'Test catalog'!$A$2:$A$200,0))="","",INDEX('Test catalog'!$G$2:$G$200,MATCH($AB349,'Test catalog'!$A$2:$A$200,0))),"")</f>
        <v/>
      </c>
      <c r="M349" s="10">
        <f>IFERROR(IF(INDEX('Test catalog'!$H$2:$H$200,MATCH($AB349,'Test catalog'!$A$2:$A$200,0))="","",INDEX('Test catalog'!$H$2:$H$200,MATCH($AB349,'Test catalog'!$A$2:$A$200,0))),"")</f>
        <v/>
      </c>
      <c r="N349" s="10">
        <f>IFERROR(IF(INDEX('Test catalog'!$I$2:$I$200,MATCH($AB349,'Test catalog'!$A$2:$A$200,0))="","",INDEX('Test catalog'!$I$2:$I$200,MATCH($AB349,'Test catalog'!$A$2:$A$200,0))),"")</f>
        <v/>
      </c>
      <c r="O349" s="10">
        <f>IFERROR(IF(INDEX('Test catalog'!$J$2:$J$200,MATCH($AB349,'Test catalog'!$A$2:$A$200,0))="","",INDEX('Test catalog'!$J$2:$J$200,MATCH($AB349,'Test catalog'!$A$2:$A$200,0))),"")</f>
        <v/>
      </c>
      <c r="P349" s="14">
        <f>IF(N349="","",IF(OR(M349="",O349=""),N349,(M349+4*N349+O349)/6))</f>
        <v/>
      </c>
      <c r="Q349" s="10">
        <f>IFERROR(IF(INDEX('Test catalog'!$K$2:$K$200,MATCH($AB349,'Test catalog'!$A$2:$A$200,0))="","",INDEX('Test catalog'!$K$2:$K$200,MATCH($AB349,'Test catalog'!$A$2:$A$200,0))),"")</f>
        <v/>
      </c>
      <c r="R349" s="5" t="n"/>
      <c r="S349" s="10">
        <f>IFERROR(IF(INDEX('Test catalog'!$L$2:$L$200,MATCH($AB349,'Test catalog'!$A$2:$A$200,0))="","",INDEX('Test catalog'!$L$2:$L$200,MATCH($AB349,'Test catalog'!$A$2:$A$200,0))),"")</f>
        <v/>
      </c>
      <c r="T349" s="10">
        <f>IFERROR(IF(INDEX('Test catalog'!$M$2:$M$200,MATCH($AB349,'Test catalog'!$A$2:$A$200,0))="","",INDEX('Test catalog'!$M$2:$M$200,MATCH($AB349,'Test catalog'!$A$2:$A$200,0))),"")</f>
        <v/>
      </c>
      <c r="U349" s="10">
        <f>IFERROR(IF(INDEX('Test catalog'!$N$2:$N$200,MATCH($AB349,'Test catalog'!$A$2:$A$200,0))="","",INDEX('Test catalog'!$N$2:$N$200,MATCH($AB349,'Test catalog'!$A$2:$A$200,0))),"")</f>
        <v/>
      </c>
      <c r="V349" s="15" t="n"/>
      <c r="W349" s="5" t="inlineStr">
        <is>
          <t>N</t>
        </is>
      </c>
      <c r="X349" s="5" t="n"/>
      <c r="Y349" s="5" t="n"/>
      <c r="Z349" s="5" t="n"/>
      <c r="AA349" s="10">
        <f>IFERROR(IF(INDEX('Test catalog'!$O$2:$O$200,MATCH($AB349,'Test catalog'!$A$2:$A$200,0))="","",INDEX('Test catalog'!$O$2:$O$200,MATCH($AB349,'Test catalog'!$A$2:$A$200,0))),"")</f>
        <v/>
      </c>
      <c r="AB349" s="10" t="inlineStr">
        <is>
          <t>DIAM</t>
        </is>
      </c>
    </row>
    <row r="350">
      <c r="A350" s="10" t="inlineStr">
        <is>
          <t>F47</t>
        </is>
      </c>
      <c r="B350" s="10" t="inlineStr">
        <is>
          <t>FP</t>
        </is>
      </c>
      <c r="C350" s="10" t="inlineStr">
        <is>
          <t>Healthy Liver  |  Milk Thistle Dry Extract 70:1, Artichoke Dry Extract 25:1 (+4 more)</t>
        </is>
      </c>
      <c r="D350" s="10" t="inlineStr">
        <is>
          <t>Thickness</t>
        </is>
      </c>
      <c r="E350" s="10">
        <f>IF(A350="","",A350&amp;"|"&amp;D350)</f>
        <v/>
      </c>
      <c r="F350" s="5" t="inlineStr">
        <is>
          <t>Y</t>
        </is>
      </c>
      <c r="G350" s="5" t="inlineStr">
        <is>
          <t>Tablet tester</t>
        </is>
      </c>
      <c r="H350" s="5" t="inlineStr">
        <is>
          <t>Low</t>
        </is>
      </c>
      <c r="I350" s="5" t="n">
        <v>1</v>
      </c>
      <c r="J350" s="5" t="n"/>
      <c r="K350" s="10">
        <f>IFERROR(IF(INDEX('Test catalog'!$F$2:$F$200,MATCH($AB350,'Test catalog'!$A$2:$A$200,0))="","",INDEX('Test catalog'!$F$2:$F$200,MATCH($AB350,'Test catalog'!$A$2:$A$200,0))),"")</f>
        <v/>
      </c>
      <c r="L350" s="10">
        <f>IFERROR(IF(INDEX('Test catalog'!$G$2:$G$200,MATCH($AB350,'Test catalog'!$A$2:$A$200,0))="","",INDEX('Test catalog'!$G$2:$G$200,MATCH($AB350,'Test catalog'!$A$2:$A$200,0))),"")</f>
        <v/>
      </c>
      <c r="M350" s="10">
        <f>IFERROR(IF(INDEX('Test catalog'!$H$2:$H$200,MATCH($AB350,'Test catalog'!$A$2:$A$200,0))="","",INDEX('Test catalog'!$H$2:$H$200,MATCH($AB350,'Test catalog'!$A$2:$A$200,0))),"")</f>
        <v/>
      </c>
      <c r="N350" s="10">
        <f>IFERROR(IF(INDEX('Test catalog'!$I$2:$I$200,MATCH($AB350,'Test catalog'!$A$2:$A$200,0))="","",INDEX('Test catalog'!$I$2:$I$200,MATCH($AB350,'Test catalog'!$A$2:$A$200,0))),"")</f>
        <v/>
      </c>
      <c r="O350" s="10">
        <f>IFERROR(IF(INDEX('Test catalog'!$J$2:$J$200,MATCH($AB350,'Test catalog'!$A$2:$A$200,0))="","",INDEX('Test catalog'!$J$2:$J$200,MATCH($AB350,'Test catalog'!$A$2:$A$200,0))),"")</f>
        <v/>
      </c>
      <c r="P350" s="14">
        <f>IF(N350="","",IF(OR(M350="",O350=""),N350,(M350+4*N350+O350)/6))</f>
        <v/>
      </c>
      <c r="Q350" s="10">
        <f>IFERROR(IF(INDEX('Test catalog'!$K$2:$K$200,MATCH($AB350,'Test catalog'!$A$2:$A$200,0))="","",INDEX('Test catalog'!$K$2:$K$200,MATCH($AB350,'Test catalog'!$A$2:$A$200,0))),"")</f>
        <v/>
      </c>
      <c r="R350" s="5" t="n"/>
      <c r="S350" s="10">
        <f>IFERROR(IF(INDEX('Test catalog'!$L$2:$L$200,MATCH($AB350,'Test catalog'!$A$2:$A$200,0))="","",INDEX('Test catalog'!$L$2:$L$200,MATCH($AB350,'Test catalog'!$A$2:$A$200,0))),"")</f>
        <v/>
      </c>
      <c r="T350" s="10">
        <f>IFERROR(IF(INDEX('Test catalog'!$M$2:$M$200,MATCH($AB350,'Test catalog'!$A$2:$A$200,0))="","",INDEX('Test catalog'!$M$2:$M$200,MATCH($AB350,'Test catalog'!$A$2:$A$200,0))),"")</f>
        <v/>
      </c>
      <c r="U350" s="10">
        <f>IFERROR(IF(INDEX('Test catalog'!$N$2:$N$200,MATCH($AB350,'Test catalog'!$A$2:$A$200,0))="","",INDEX('Test catalog'!$N$2:$N$200,MATCH($AB350,'Test catalog'!$A$2:$A$200,0))),"")</f>
        <v/>
      </c>
      <c r="V350" s="15" t="n"/>
      <c r="W350" s="5" t="inlineStr">
        <is>
          <t>N</t>
        </is>
      </c>
      <c r="X350" s="5" t="n"/>
      <c r="Y350" s="5" t="n"/>
      <c r="Z350" s="5" t="n"/>
      <c r="AA350" s="10">
        <f>IFERROR(IF(INDEX('Test catalog'!$O$2:$O$200,MATCH($AB350,'Test catalog'!$A$2:$A$200,0))="","",INDEX('Test catalog'!$O$2:$O$200,MATCH($AB350,'Test catalog'!$A$2:$A$200,0))),"")</f>
        <v/>
      </c>
      <c r="AB350" s="10" t="inlineStr">
        <is>
          <t>THICK</t>
        </is>
      </c>
    </row>
    <row r="351">
      <c r="A351" s="10" t="inlineStr">
        <is>
          <t>F47</t>
        </is>
      </c>
      <c r="B351" s="10" t="inlineStr">
        <is>
          <t>FP</t>
        </is>
      </c>
      <c r="C351" s="10" t="inlineStr">
        <is>
          <t>Healthy Liver  |  Milk Thistle Dry Extract 70:1, Artichoke Dry Extract 25:1 (+4 more)</t>
        </is>
      </c>
      <c r="D351" s="10" t="inlineStr">
        <is>
          <t>Hardness / breaking force</t>
        </is>
      </c>
      <c r="E351" s="10">
        <f>IF(A351="","",A351&amp;"|"&amp;D351)</f>
        <v/>
      </c>
      <c r="F351" s="5" t="inlineStr">
        <is>
          <t>Y</t>
        </is>
      </c>
      <c r="G351" s="5" t="inlineStr">
        <is>
          <t>Tablet tester</t>
        </is>
      </c>
      <c r="H351" s="5" t="inlineStr">
        <is>
          <t>Low</t>
        </is>
      </c>
      <c r="I351" s="5" t="n">
        <v>1</v>
      </c>
      <c r="J351" s="5" t="n"/>
      <c r="K351" s="10">
        <f>IFERROR(IF(INDEX('Test catalog'!$F$2:$F$200,MATCH($AB351,'Test catalog'!$A$2:$A$200,0))="","",INDEX('Test catalog'!$F$2:$F$200,MATCH($AB351,'Test catalog'!$A$2:$A$200,0))),"")</f>
        <v/>
      </c>
      <c r="L351" s="10">
        <f>IFERROR(IF(INDEX('Test catalog'!$G$2:$G$200,MATCH($AB351,'Test catalog'!$A$2:$A$200,0))="","",INDEX('Test catalog'!$G$2:$G$200,MATCH($AB351,'Test catalog'!$A$2:$A$200,0))),"")</f>
        <v/>
      </c>
      <c r="M351" s="10">
        <f>IFERROR(IF(INDEX('Test catalog'!$H$2:$H$200,MATCH($AB351,'Test catalog'!$A$2:$A$200,0))="","",INDEX('Test catalog'!$H$2:$H$200,MATCH($AB351,'Test catalog'!$A$2:$A$200,0))),"")</f>
        <v/>
      </c>
      <c r="N351" s="10">
        <f>IFERROR(IF(INDEX('Test catalog'!$I$2:$I$200,MATCH($AB351,'Test catalog'!$A$2:$A$200,0))="","",INDEX('Test catalog'!$I$2:$I$200,MATCH($AB351,'Test catalog'!$A$2:$A$200,0))),"")</f>
        <v/>
      </c>
      <c r="O351" s="10">
        <f>IFERROR(IF(INDEX('Test catalog'!$J$2:$J$200,MATCH($AB351,'Test catalog'!$A$2:$A$200,0))="","",INDEX('Test catalog'!$J$2:$J$200,MATCH($AB351,'Test catalog'!$A$2:$A$200,0))),"")</f>
        <v/>
      </c>
      <c r="P351" s="14">
        <f>IF(N351="","",IF(OR(M351="",O351=""),N351,(M351+4*N351+O351)/6))</f>
        <v/>
      </c>
      <c r="Q351" s="10">
        <f>IFERROR(IF(INDEX('Test catalog'!$K$2:$K$200,MATCH($AB351,'Test catalog'!$A$2:$A$200,0))="","",INDEX('Test catalog'!$K$2:$K$200,MATCH($AB351,'Test catalog'!$A$2:$A$200,0))),"")</f>
        <v/>
      </c>
      <c r="R351" s="5" t="n"/>
      <c r="S351" s="10">
        <f>IFERROR(IF(INDEX('Test catalog'!$L$2:$L$200,MATCH($AB351,'Test catalog'!$A$2:$A$200,0))="","",INDEX('Test catalog'!$L$2:$L$200,MATCH($AB351,'Test catalog'!$A$2:$A$200,0))),"")</f>
        <v/>
      </c>
      <c r="T351" s="10">
        <f>IFERROR(IF(INDEX('Test catalog'!$M$2:$M$200,MATCH($AB351,'Test catalog'!$A$2:$A$200,0))="","",INDEX('Test catalog'!$M$2:$M$200,MATCH($AB351,'Test catalog'!$A$2:$A$200,0))),"")</f>
        <v/>
      </c>
      <c r="U351" s="10">
        <f>IFERROR(IF(INDEX('Test catalog'!$N$2:$N$200,MATCH($AB351,'Test catalog'!$A$2:$A$200,0))="","",INDEX('Test catalog'!$N$2:$N$200,MATCH($AB351,'Test catalog'!$A$2:$A$200,0))),"")</f>
        <v/>
      </c>
      <c r="V351" s="15" t="n"/>
      <c r="W351" s="5" t="inlineStr">
        <is>
          <t>Y</t>
        </is>
      </c>
      <c r="X351" s="5" t="n"/>
      <c r="Y351" s="5" t="n"/>
      <c r="Z351" s="5" t="n"/>
      <c r="AA351" s="10">
        <f>IFERROR(IF(INDEX('Test catalog'!$O$2:$O$200,MATCH($AB351,'Test catalog'!$A$2:$A$200,0))="","",INDEX('Test catalog'!$O$2:$O$200,MATCH($AB351,'Test catalog'!$A$2:$A$200,0))),"")</f>
        <v/>
      </c>
      <c r="AB351" s="10" t="inlineStr">
        <is>
          <t>HARD</t>
        </is>
      </c>
    </row>
    <row r="352">
      <c r="A352" s="10" t="inlineStr">
        <is>
          <t>F47</t>
        </is>
      </c>
      <c r="B352" s="10" t="inlineStr">
        <is>
          <t>FP</t>
        </is>
      </c>
      <c r="C352" s="10" t="inlineStr">
        <is>
          <t>Healthy Liver  |  Milk Thistle Dry Extract 70:1, Artichoke Dry Extract 25:1 (+4 more)</t>
        </is>
      </c>
      <c r="D352" s="10" t="inlineStr">
        <is>
          <t>Brittleness</t>
        </is>
      </c>
      <c r="E352" s="10">
        <f>IF(A352="","",A352&amp;"|"&amp;D352)</f>
        <v/>
      </c>
      <c r="F352" s="5" t="inlineStr">
        <is>
          <t>Y</t>
        </is>
      </c>
      <c r="G352" s="5" t="inlineStr">
        <is>
          <t>Other / bench</t>
        </is>
      </c>
      <c r="H352" s="5" t="inlineStr">
        <is>
          <t>Low</t>
        </is>
      </c>
      <c r="I352" s="5" t="n">
        <v>1</v>
      </c>
      <c r="J352" s="5" t="n"/>
      <c r="K352" s="10">
        <f>IFERROR(IF(INDEX('Test catalog'!$F$2:$F$200,MATCH($AB352,'Test catalog'!$A$2:$A$200,0))="","",INDEX('Test catalog'!$F$2:$F$200,MATCH($AB352,'Test catalog'!$A$2:$A$200,0))),"")</f>
        <v/>
      </c>
      <c r="L352" s="10">
        <f>IFERROR(IF(INDEX('Test catalog'!$G$2:$G$200,MATCH($AB352,'Test catalog'!$A$2:$A$200,0))="","",INDEX('Test catalog'!$G$2:$G$200,MATCH($AB352,'Test catalog'!$A$2:$A$200,0))),"")</f>
        <v/>
      </c>
      <c r="M352" s="10">
        <f>IFERROR(IF(INDEX('Test catalog'!$H$2:$H$200,MATCH($AB352,'Test catalog'!$A$2:$A$200,0))="","",INDEX('Test catalog'!$H$2:$H$200,MATCH($AB352,'Test catalog'!$A$2:$A$200,0))),"")</f>
        <v/>
      </c>
      <c r="N352" s="10">
        <f>IFERROR(IF(INDEX('Test catalog'!$I$2:$I$200,MATCH($AB352,'Test catalog'!$A$2:$A$200,0))="","",INDEX('Test catalog'!$I$2:$I$200,MATCH($AB352,'Test catalog'!$A$2:$A$200,0))),"")</f>
        <v/>
      </c>
      <c r="O352" s="10">
        <f>IFERROR(IF(INDEX('Test catalog'!$J$2:$J$200,MATCH($AB352,'Test catalog'!$A$2:$A$200,0))="","",INDEX('Test catalog'!$J$2:$J$200,MATCH($AB352,'Test catalog'!$A$2:$A$200,0))),"")</f>
        <v/>
      </c>
      <c r="P352" s="14">
        <f>IF(N352="","",IF(OR(M352="",O352=""),N352,(M352+4*N352+O352)/6))</f>
        <v/>
      </c>
      <c r="Q352" s="10">
        <f>IFERROR(IF(INDEX('Test catalog'!$K$2:$K$200,MATCH($AB352,'Test catalog'!$A$2:$A$200,0))="","",INDEX('Test catalog'!$K$2:$K$200,MATCH($AB352,'Test catalog'!$A$2:$A$200,0))),"")</f>
        <v/>
      </c>
      <c r="R352" s="5" t="n"/>
      <c r="S352" s="10">
        <f>IFERROR(IF(INDEX('Test catalog'!$L$2:$L$200,MATCH($AB352,'Test catalog'!$A$2:$A$200,0))="","",INDEX('Test catalog'!$L$2:$L$200,MATCH($AB352,'Test catalog'!$A$2:$A$200,0))),"")</f>
        <v/>
      </c>
      <c r="T352" s="10">
        <f>IFERROR(IF(INDEX('Test catalog'!$M$2:$M$200,MATCH($AB352,'Test catalog'!$A$2:$A$200,0))="","",INDEX('Test catalog'!$M$2:$M$200,MATCH($AB352,'Test catalog'!$A$2:$A$200,0))),"")</f>
        <v/>
      </c>
      <c r="U352" s="10">
        <f>IFERROR(IF(INDEX('Test catalog'!$N$2:$N$200,MATCH($AB352,'Test catalog'!$A$2:$A$200,0))="","",INDEX('Test catalog'!$N$2:$N$200,MATCH($AB352,'Test catalog'!$A$2:$A$200,0))),"")</f>
        <v/>
      </c>
      <c r="V352" s="15" t="n"/>
      <c r="W352" s="5" t="inlineStr">
        <is>
          <t>N</t>
        </is>
      </c>
      <c r="X352" s="5" t="n"/>
      <c r="Y352" s="5" t="n"/>
      <c r="Z352" s="5" t="n"/>
      <c r="AA352" s="10">
        <f>IFERROR(IF(INDEX('Test catalog'!$O$2:$O$200,MATCH($AB352,'Test catalog'!$A$2:$A$200,0))="","",INDEX('Test catalog'!$O$2:$O$200,MATCH($AB352,'Test catalog'!$A$2:$A$200,0))),"")</f>
        <v/>
      </c>
      <c r="AB352" s="10" t="inlineStr">
        <is>
          <t>BRITTLE</t>
        </is>
      </c>
    </row>
    <row r="353">
      <c r="A353" s="10" t="inlineStr">
        <is>
          <t>F47</t>
        </is>
      </c>
      <c r="B353" s="10" t="inlineStr">
        <is>
          <t>FP</t>
        </is>
      </c>
      <c r="C353" s="10" t="inlineStr">
        <is>
          <t>Healthy Liver  |  Milk Thistle Dry Extract 70:1, Artichoke Dry Extract 25:1 (+4 more)</t>
        </is>
      </c>
      <c r="D353" s="10" t="inlineStr">
        <is>
          <t>Friability</t>
        </is>
      </c>
      <c r="E353" s="10">
        <f>IF(A353="","",A353&amp;"|"&amp;D353)</f>
        <v/>
      </c>
      <c r="F353" s="5" t="inlineStr">
        <is>
          <t>Y</t>
        </is>
      </c>
      <c r="G353" s="5" t="inlineStr">
        <is>
          <t>Friabilator</t>
        </is>
      </c>
      <c r="H353" s="5" t="inlineStr">
        <is>
          <t>Low</t>
        </is>
      </c>
      <c r="I353" s="5" t="n">
        <v>1</v>
      </c>
      <c r="J353" s="5" t="n"/>
      <c r="K353" s="10">
        <f>IFERROR(IF(INDEX('Test catalog'!$F$2:$F$200,MATCH($AB353,'Test catalog'!$A$2:$A$200,0))="","",INDEX('Test catalog'!$F$2:$F$200,MATCH($AB353,'Test catalog'!$A$2:$A$200,0))),"")</f>
        <v/>
      </c>
      <c r="L353" s="10">
        <f>IFERROR(IF(INDEX('Test catalog'!$G$2:$G$200,MATCH($AB353,'Test catalog'!$A$2:$A$200,0))="","",INDEX('Test catalog'!$G$2:$G$200,MATCH($AB353,'Test catalog'!$A$2:$A$200,0))),"")</f>
        <v/>
      </c>
      <c r="M353" s="10">
        <f>IFERROR(IF(INDEX('Test catalog'!$H$2:$H$200,MATCH($AB353,'Test catalog'!$A$2:$A$200,0))="","",INDEX('Test catalog'!$H$2:$H$200,MATCH($AB353,'Test catalog'!$A$2:$A$200,0))),"")</f>
        <v/>
      </c>
      <c r="N353" s="10">
        <f>IFERROR(IF(INDEX('Test catalog'!$I$2:$I$200,MATCH($AB353,'Test catalog'!$A$2:$A$200,0))="","",INDEX('Test catalog'!$I$2:$I$200,MATCH($AB353,'Test catalog'!$A$2:$A$200,0))),"")</f>
        <v/>
      </c>
      <c r="O353" s="10">
        <f>IFERROR(IF(INDEX('Test catalog'!$J$2:$J$200,MATCH($AB353,'Test catalog'!$A$2:$A$200,0))="","",INDEX('Test catalog'!$J$2:$J$200,MATCH($AB353,'Test catalog'!$A$2:$A$200,0))),"")</f>
        <v/>
      </c>
      <c r="P353" s="14">
        <f>IF(N353="","",IF(OR(M353="",O353=""),N353,(M353+4*N353+O353)/6))</f>
        <v/>
      </c>
      <c r="Q353" s="10">
        <f>IFERROR(IF(INDEX('Test catalog'!$K$2:$K$200,MATCH($AB353,'Test catalog'!$A$2:$A$200,0))="","",INDEX('Test catalog'!$K$2:$K$200,MATCH($AB353,'Test catalog'!$A$2:$A$200,0))),"")</f>
        <v/>
      </c>
      <c r="R353" s="5" t="n"/>
      <c r="S353" s="10">
        <f>IFERROR(IF(INDEX('Test catalog'!$L$2:$L$200,MATCH($AB353,'Test catalog'!$A$2:$A$200,0))="","",INDEX('Test catalog'!$L$2:$L$200,MATCH($AB353,'Test catalog'!$A$2:$A$200,0))),"")</f>
        <v/>
      </c>
      <c r="T353" s="10">
        <f>IFERROR(IF(INDEX('Test catalog'!$M$2:$M$200,MATCH($AB353,'Test catalog'!$A$2:$A$200,0))="","",INDEX('Test catalog'!$M$2:$M$200,MATCH($AB353,'Test catalog'!$A$2:$A$200,0))),"")</f>
        <v/>
      </c>
      <c r="U353" s="10">
        <f>IFERROR(IF(INDEX('Test catalog'!$N$2:$N$200,MATCH($AB353,'Test catalog'!$A$2:$A$200,0))="","",INDEX('Test catalog'!$N$2:$N$200,MATCH($AB353,'Test catalog'!$A$2:$A$200,0))),"")</f>
        <v/>
      </c>
      <c r="V353" s="15" t="n"/>
      <c r="W353" s="5" t="inlineStr">
        <is>
          <t>N</t>
        </is>
      </c>
      <c r="X353" s="5" t="n"/>
      <c r="Y353" s="5" t="n"/>
      <c r="Z353" s="5" t="n"/>
      <c r="AA353" s="10">
        <f>IFERROR(IF(INDEX('Test catalog'!$O$2:$O$200,MATCH($AB353,'Test catalog'!$A$2:$A$200,0))="","",INDEX('Test catalog'!$O$2:$O$200,MATCH($AB353,'Test catalog'!$A$2:$A$200,0))),"")</f>
        <v/>
      </c>
      <c r="AB353" s="10" t="inlineStr">
        <is>
          <t>FRIAB</t>
        </is>
      </c>
    </row>
    <row r="354">
      <c r="A354" s="10" t="inlineStr">
        <is>
          <t>F47</t>
        </is>
      </c>
      <c r="B354" s="10" t="inlineStr">
        <is>
          <t>FP</t>
        </is>
      </c>
      <c r="C354" s="10" t="inlineStr">
        <is>
          <t>Healthy Liver  |  Milk Thistle Dry Extract 70:1, Artichoke Dry Extract 25:1 (+4 more)</t>
        </is>
      </c>
      <c r="D354" s="10" t="inlineStr">
        <is>
          <t>Disintegration</t>
        </is>
      </c>
      <c r="E354" s="10">
        <f>IF(A354="","",A354&amp;"|"&amp;D354)</f>
        <v/>
      </c>
      <c r="F354" s="5" t="inlineStr">
        <is>
          <t>Y</t>
        </is>
      </c>
      <c r="G354" s="5" t="inlineStr">
        <is>
          <t>Disintegration tester</t>
        </is>
      </c>
      <c r="H354" s="5" t="inlineStr">
        <is>
          <t>Low</t>
        </is>
      </c>
      <c r="I354" s="5" t="n">
        <v>1</v>
      </c>
      <c r="J354" s="5" t="n"/>
      <c r="K354" s="10">
        <f>IFERROR(IF(INDEX('Test catalog'!$F$2:$F$200,MATCH($AB354,'Test catalog'!$A$2:$A$200,0))="","",INDEX('Test catalog'!$F$2:$F$200,MATCH($AB354,'Test catalog'!$A$2:$A$200,0))),"")</f>
        <v/>
      </c>
      <c r="L354" s="10">
        <f>IFERROR(IF(INDEX('Test catalog'!$G$2:$G$200,MATCH($AB354,'Test catalog'!$A$2:$A$200,0))="","",INDEX('Test catalog'!$G$2:$G$200,MATCH($AB354,'Test catalog'!$A$2:$A$200,0))),"")</f>
        <v/>
      </c>
      <c r="M354" s="10">
        <f>IFERROR(IF(INDEX('Test catalog'!$H$2:$H$200,MATCH($AB354,'Test catalog'!$A$2:$A$200,0))="","",INDEX('Test catalog'!$H$2:$H$200,MATCH($AB354,'Test catalog'!$A$2:$A$200,0))),"")</f>
        <v/>
      </c>
      <c r="N354" s="10">
        <f>IFERROR(IF(INDEX('Test catalog'!$I$2:$I$200,MATCH($AB354,'Test catalog'!$A$2:$A$200,0))="","",INDEX('Test catalog'!$I$2:$I$200,MATCH($AB354,'Test catalog'!$A$2:$A$200,0))),"")</f>
        <v/>
      </c>
      <c r="O354" s="10">
        <f>IFERROR(IF(INDEX('Test catalog'!$J$2:$J$200,MATCH($AB354,'Test catalog'!$A$2:$A$200,0))="","",INDEX('Test catalog'!$J$2:$J$200,MATCH($AB354,'Test catalog'!$A$2:$A$200,0))),"")</f>
        <v/>
      </c>
      <c r="P354" s="14">
        <f>IF(N354="","",IF(OR(M354="",O354=""),N354,(M354+4*N354+O354)/6))</f>
        <v/>
      </c>
      <c r="Q354" s="10">
        <f>IFERROR(IF(INDEX('Test catalog'!$K$2:$K$200,MATCH($AB354,'Test catalog'!$A$2:$A$200,0))="","",INDEX('Test catalog'!$K$2:$K$200,MATCH($AB354,'Test catalog'!$A$2:$A$200,0))),"")</f>
        <v/>
      </c>
      <c r="R354" s="5" t="n"/>
      <c r="S354" s="10">
        <f>IFERROR(IF(INDEX('Test catalog'!$L$2:$L$200,MATCH($AB354,'Test catalog'!$A$2:$A$200,0))="","",INDEX('Test catalog'!$L$2:$L$200,MATCH($AB354,'Test catalog'!$A$2:$A$200,0))),"")</f>
        <v/>
      </c>
      <c r="T354" s="10">
        <f>IFERROR(IF(INDEX('Test catalog'!$M$2:$M$200,MATCH($AB354,'Test catalog'!$A$2:$A$200,0))="","",INDEX('Test catalog'!$M$2:$M$200,MATCH($AB354,'Test catalog'!$A$2:$A$200,0))),"")</f>
        <v/>
      </c>
      <c r="U354" s="10">
        <f>IFERROR(IF(INDEX('Test catalog'!$N$2:$N$200,MATCH($AB354,'Test catalog'!$A$2:$A$200,0))="","",INDEX('Test catalog'!$N$2:$N$200,MATCH($AB354,'Test catalog'!$A$2:$A$200,0))),"")</f>
        <v/>
      </c>
      <c r="V354" s="15" t="n"/>
      <c r="W354" s="5" t="inlineStr">
        <is>
          <t>Y</t>
        </is>
      </c>
      <c r="X354" s="5" t="n"/>
      <c r="Y354" s="5" t="n"/>
      <c r="Z354" s="5" t="n"/>
      <c r="AA354" s="10">
        <f>IFERROR(IF(INDEX('Test catalog'!$O$2:$O$200,MATCH($AB354,'Test catalog'!$A$2:$A$200,0))="","",INDEX('Test catalog'!$O$2:$O$200,MATCH($AB354,'Test catalog'!$A$2:$A$200,0))),"")</f>
        <v/>
      </c>
      <c r="AB354" s="10" t="inlineStr">
        <is>
          <t>DISINT</t>
        </is>
      </c>
    </row>
    <row r="355">
      <c r="A355" s="10" t="inlineStr">
        <is>
          <t>F47</t>
        </is>
      </c>
      <c r="B355" s="10" t="inlineStr">
        <is>
          <t>FP</t>
        </is>
      </c>
      <c r="C355" s="10" t="inlineStr">
        <is>
          <t>Healthy Liver  |  Milk Thistle Dry Extract 70:1, Artichoke Dry Extract 25:1 (+4 more)</t>
        </is>
      </c>
      <c r="D355" s="10" t="inlineStr">
        <is>
          <t>In-process check at the machine (one check, all its tests)</t>
        </is>
      </c>
      <c r="E355" s="10">
        <f>IF(A355="","",A355&amp;"|"&amp;D355)</f>
        <v/>
      </c>
      <c r="F355" s="5" t="inlineStr">
        <is>
          <t>Y</t>
        </is>
      </c>
      <c r="G355" s="5" t="inlineStr">
        <is>
          <t>Tablet tester</t>
        </is>
      </c>
      <c r="H355" s="5" t="inlineStr">
        <is>
          <t>Low</t>
        </is>
      </c>
      <c r="I355" s="5" t="n">
        <v>1</v>
      </c>
      <c r="J355" s="5" t="n"/>
      <c r="K355" s="10">
        <f>IFERROR(IF(INDEX('Test catalog'!$F$2:$F$200,MATCH($AB355,'Test catalog'!$A$2:$A$200,0))="","",INDEX('Test catalog'!$F$2:$F$200,MATCH($AB355,'Test catalog'!$A$2:$A$200,0))),"")</f>
        <v/>
      </c>
      <c r="L355" s="10">
        <f>IFERROR(IF(INDEX('Test catalog'!$G$2:$G$200,MATCH($AB355,'Test catalog'!$A$2:$A$200,0))="","",INDEX('Test catalog'!$G$2:$G$200,MATCH($AB355,'Test catalog'!$A$2:$A$200,0))),"")</f>
        <v/>
      </c>
      <c r="M355" s="10">
        <f>IFERROR(IF(INDEX('Test catalog'!$H$2:$H$200,MATCH($AB355,'Test catalog'!$A$2:$A$200,0))="","",INDEX('Test catalog'!$H$2:$H$200,MATCH($AB355,'Test catalog'!$A$2:$A$200,0))),"")</f>
        <v/>
      </c>
      <c r="N355" s="10">
        <f>IFERROR(IF(INDEX('Test catalog'!$I$2:$I$200,MATCH($AB355,'Test catalog'!$A$2:$A$200,0))="","",INDEX('Test catalog'!$I$2:$I$200,MATCH($AB355,'Test catalog'!$A$2:$A$200,0))),"")</f>
        <v/>
      </c>
      <c r="O355" s="10">
        <f>IFERROR(IF(INDEX('Test catalog'!$J$2:$J$200,MATCH($AB355,'Test catalog'!$A$2:$A$200,0))="","",INDEX('Test catalog'!$J$2:$J$200,MATCH($AB355,'Test catalog'!$A$2:$A$200,0))),"")</f>
        <v/>
      </c>
      <c r="P355" s="14">
        <f>IF(N355="","",IF(OR(M355="",O355=""),N355,(M355+4*N355+O355)/6))</f>
        <v/>
      </c>
      <c r="Q355" s="10">
        <f>IFERROR(IF(INDEX('Test catalog'!$K$2:$K$200,MATCH($AB355,'Test catalog'!$A$2:$A$200,0))="","",INDEX('Test catalog'!$K$2:$K$200,MATCH($AB355,'Test catalog'!$A$2:$A$200,0))),"")</f>
        <v/>
      </c>
      <c r="R355" s="5" t="n"/>
      <c r="S355" s="10">
        <f>IFERROR(IF(INDEX('Test catalog'!$L$2:$L$200,MATCH($AB355,'Test catalog'!$A$2:$A$200,0))="","",INDEX('Test catalog'!$L$2:$L$200,MATCH($AB355,'Test catalog'!$A$2:$A$200,0))),"")</f>
        <v/>
      </c>
      <c r="T355" s="10">
        <f>IFERROR(IF(INDEX('Test catalog'!$M$2:$M$200,MATCH($AB355,'Test catalog'!$A$2:$A$200,0))="","",INDEX('Test catalog'!$M$2:$M$200,MATCH($AB355,'Test catalog'!$A$2:$A$200,0))),"")</f>
        <v/>
      </c>
      <c r="U355" s="10">
        <f>IFERROR(IF(INDEX('Test catalog'!$N$2:$N$200,MATCH($AB355,'Test catalog'!$A$2:$A$200,0))="","",INDEX('Test catalog'!$N$2:$N$200,MATCH($AB355,'Test catalog'!$A$2:$A$200,0))),"")</f>
        <v/>
      </c>
      <c r="V355" s="15" t="n"/>
      <c r="W355" s="5" t="inlineStr">
        <is>
          <t>N</t>
        </is>
      </c>
      <c r="X355" s="5" t="n"/>
      <c r="Y355" s="5" t="n"/>
      <c r="Z355" s="5" t="n"/>
      <c r="AA355" s="10">
        <f>IFERROR(IF(INDEX('Test catalog'!$O$2:$O$200,MATCH($AB355,'Test catalog'!$A$2:$A$200,0))="","",INDEX('Test catalog'!$O$2:$O$200,MATCH($AB355,'Test catalog'!$A$2:$A$200,0))),"")</f>
        <v/>
      </c>
      <c r="AB355" s="10" t="inlineStr">
        <is>
          <t>IPC</t>
        </is>
      </c>
    </row>
    <row r="356">
      <c r="A356" s="10" t="inlineStr">
        <is>
          <t>F48</t>
        </is>
      </c>
      <c r="B356" s="10" t="inlineStr">
        <is>
          <t>FP</t>
        </is>
      </c>
      <c r="C356" s="10" t="inlineStr">
        <is>
          <t>Kamasotra premium  |  Cyanocobalamin (Vitamin B12), Ginseng Panax (+3 more)</t>
        </is>
      </c>
      <c r="D356" s="10" t="inlineStr">
        <is>
          <t>Average weight / uniformity of mass</t>
        </is>
      </c>
      <c r="E356" s="10">
        <f>IF(A356="","",A356&amp;"|"&amp;D356)</f>
        <v/>
      </c>
      <c r="F356" s="5" t="inlineStr">
        <is>
          <t>Y</t>
        </is>
      </c>
      <c r="G356" s="5" t="inlineStr">
        <is>
          <t>Balance</t>
        </is>
      </c>
      <c r="H356" s="5" t="inlineStr">
        <is>
          <t>Low</t>
        </is>
      </c>
      <c r="I356" s="5" t="n">
        <v>1</v>
      </c>
      <c r="J356" s="5" t="n"/>
      <c r="K356" s="10">
        <f>IFERROR(IF(INDEX('Test catalog'!$F$2:$F$200,MATCH($AB356,'Test catalog'!$A$2:$A$200,0))="","",INDEX('Test catalog'!$F$2:$F$200,MATCH($AB356,'Test catalog'!$A$2:$A$200,0))),"")</f>
        <v/>
      </c>
      <c r="L356" s="10">
        <f>IFERROR(IF(INDEX('Test catalog'!$G$2:$G$200,MATCH($AB356,'Test catalog'!$A$2:$A$200,0))="","",INDEX('Test catalog'!$G$2:$G$200,MATCH($AB356,'Test catalog'!$A$2:$A$200,0))),"")</f>
        <v/>
      </c>
      <c r="M356" s="10">
        <f>IFERROR(IF(INDEX('Test catalog'!$H$2:$H$200,MATCH($AB356,'Test catalog'!$A$2:$A$200,0))="","",INDEX('Test catalog'!$H$2:$H$200,MATCH($AB356,'Test catalog'!$A$2:$A$200,0))),"")</f>
        <v/>
      </c>
      <c r="N356" s="10">
        <f>IFERROR(IF(INDEX('Test catalog'!$I$2:$I$200,MATCH($AB356,'Test catalog'!$A$2:$A$200,0))="","",INDEX('Test catalog'!$I$2:$I$200,MATCH($AB356,'Test catalog'!$A$2:$A$200,0))),"")</f>
        <v/>
      </c>
      <c r="O356" s="10">
        <f>IFERROR(IF(INDEX('Test catalog'!$J$2:$J$200,MATCH($AB356,'Test catalog'!$A$2:$A$200,0))="","",INDEX('Test catalog'!$J$2:$J$200,MATCH($AB356,'Test catalog'!$A$2:$A$200,0))),"")</f>
        <v/>
      </c>
      <c r="P356" s="14">
        <f>IF(N356="","",IF(OR(M356="",O356=""),N356,(M356+4*N356+O356)/6))</f>
        <v/>
      </c>
      <c r="Q356" s="10">
        <f>IFERROR(IF(INDEX('Test catalog'!$K$2:$K$200,MATCH($AB356,'Test catalog'!$A$2:$A$200,0))="","",INDEX('Test catalog'!$K$2:$K$200,MATCH($AB356,'Test catalog'!$A$2:$A$200,0))),"")</f>
        <v/>
      </c>
      <c r="R356" s="5" t="n"/>
      <c r="S356" s="10">
        <f>IFERROR(IF(INDEX('Test catalog'!$L$2:$L$200,MATCH($AB356,'Test catalog'!$A$2:$A$200,0))="","",INDEX('Test catalog'!$L$2:$L$200,MATCH($AB356,'Test catalog'!$A$2:$A$200,0))),"")</f>
        <v/>
      </c>
      <c r="T356" s="10">
        <f>IFERROR(IF(INDEX('Test catalog'!$M$2:$M$200,MATCH($AB356,'Test catalog'!$A$2:$A$200,0))="","",INDEX('Test catalog'!$M$2:$M$200,MATCH($AB356,'Test catalog'!$A$2:$A$200,0))),"")</f>
        <v/>
      </c>
      <c r="U356" s="10">
        <f>IFERROR(IF(INDEX('Test catalog'!$N$2:$N$200,MATCH($AB356,'Test catalog'!$A$2:$A$200,0))="","",INDEX('Test catalog'!$N$2:$N$200,MATCH($AB356,'Test catalog'!$A$2:$A$200,0))),"")</f>
        <v/>
      </c>
      <c r="V356" s="15" t="n"/>
      <c r="W356" s="5" t="inlineStr">
        <is>
          <t>N</t>
        </is>
      </c>
      <c r="X356" s="5" t="n"/>
      <c r="Y356" s="5" t="n"/>
      <c r="Z356" s="5" t="n"/>
      <c r="AA356" s="10">
        <f>IFERROR(IF(INDEX('Test catalog'!$O$2:$O$200,MATCH($AB356,'Test catalog'!$A$2:$A$200,0))="","",INDEX('Test catalog'!$O$2:$O$200,MATCH($AB356,'Test catalog'!$A$2:$A$200,0))),"")</f>
        <v/>
      </c>
      <c r="AB356" s="10" t="inlineStr">
        <is>
          <t>AVG_WT</t>
        </is>
      </c>
    </row>
    <row r="357">
      <c r="A357" s="10" t="inlineStr">
        <is>
          <t>F48</t>
        </is>
      </c>
      <c r="B357" s="10" t="inlineStr">
        <is>
          <t>FP</t>
        </is>
      </c>
      <c r="C357" s="10" t="inlineStr">
        <is>
          <t>Kamasotra premium  |  Cyanocobalamin (Vitamin B12), Ginseng Panax (+3 more)</t>
        </is>
      </c>
      <c r="D357" s="10" t="inlineStr">
        <is>
          <t>Diameter (or length / width)</t>
        </is>
      </c>
      <c r="E357" s="10">
        <f>IF(A357="","",A357&amp;"|"&amp;D357)</f>
        <v/>
      </c>
      <c r="F357" s="5" t="inlineStr">
        <is>
          <t>Y</t>
        </is>
      </c>
      <c r="G357" s="5" t="inlineStr">
        <is>
          <t>Tablet tester</t>
        </is>
      </c>
      <c r="H357" s="5" t="inlineStr">
        <is>
          <t>Low</t>
        </is>
      </c>
      <c r="I357" s="5" t="n">
        <v>1</v>
      </c>
      <c r="J357" s="5" t="n"/>
      <c r="K357" s="10">
        <f>IFERROR(IF(INDEX('Test catalog'!$F$2:$F$200,MATCH($AB357,'Test catalog'!$A$2:$A$200,0))="","",INDEX('Test catalog'!$F$2:$F$200,MATCH($AB357,'Test catalog'!$A$2:$A$200,0))),"")</f>
        <v/>
      </c>
      <c r="L357" s="10">
        <f>IFERROR(IF(INDEX('Test catalog'!$G$2:$G$200,MATCH($AB357,'Test catalog'!$A$2:$A$200,0))="","",INDEX('Test catalog'!$G$2:$G$200,MATCH($AB357,'Test catalog'!$A$2:$A$200,0))),"")</f>
        <v/>
      </c>
      <c r="M357" s="10">
        <f>IFERROR(IF(INDEX('Test catalog'!$H$2:$H$200,MATCH($AB357,'Test catalog'!$A$2:$A$200,0))="","",INDEX('Test catalog'!$H$2:$H$200,MATCH($AB357,'Test catalog'!$A$2:$A$200,0))),"")</f>
        <v/>
      </c>
      <c r="N357" s="10">
        <f>IFERROR(IF(INDEX('Test catalog'!$I$2:$I$200,MATCH($AB357,'Test catalog'!$A$2:$A$200,0))="","",INDEX('Test catalog'!$I$2:$I$200,MATCH($AB357,'Test catalog'!$A$2:$A$200,0))),"")</f>
        <v/>
      </c>
      <c r="O357" s="10">
        <f>IFERROR(IF(INDEX('Test catalog'!$J$2:$J$200,MATCH($AB357,'Test catalog'!$A$2:$A$200,0))="","",INDEX('Test catalog'!$J$2:$J$200,MATCH($AB357,'Test catalog'!$A$2:$A$200,0))),"")</f>
        <v/>
      </c>
      <c r="P357" s="14">
        <f>IF(N357="","",IF(OR(M357="",O357=""),N357,(M357+4*N357+O357)/6))</f>
        <v/>
      </c>
      <c r="Q357" s="10">
        <f>IFERROR(IF(INDEX('Test catalog'!$K$2:$K$200,MATCH($AB357,'Test catalog'!$A$2:$A$200,0))="","",INDEX('Test catalog'!$K$2:$K$200,MATCH($AB357,'Test catalog'!$A$2:$A$200,0))),"")</f>
        <v/>
      </c>
      <c r="R357" s="5" t="n"/>
      <c r="S357" s="10">
        <f>IFERROR(IF(INDEX('Test catalog'!$L$2:$L$200,MATCH($AB357,'Test catalog'!$A$2:$A$200,0))="","",INDEX('Test catalog'!$L$2:$L$200,MATCH($AB357,'Test catalog'!$A$2:$A$200,0))),"")</f>
        <v/>
      </c>
      <c r="T357" s="10">
        <f>IFERROR(IF(INDEX('Test catalog'!$M$2:$M$200,MATCH($AB357,'Test catalog'!$A$2:$A$200,0))="","",INDEX('Test catalog'!$M$2:$M$200,MATCH($AB357,'Test catalog'!$A$2:$A$200,0))),"")</f>
        <v/>
      </c>
      <c r="U357" s="10">
        <f>IFERROR(IF(INDEX('Test catalog'!$N$2:$N$200,MATCH($AB357,'Test catalog'!$A$2:$A$200,0))="","",INDEX('Test catalog'!$N$2:$N$200,MATCH($AB357,'Test catalog'!$A$2:$A$200,0))),"")</f>
        <v/>
      </c>
      <c r="V357" s="15" t="n"/>
      <c r="W357" s="5" t="inlineStr">
        <is>
          <t>N</t>
        </is>
      </c>
      <c r="X357" s="5" t="n"/>
      <c r="Y357" s="5" t="n"/>
      <c r="Z357" s="5" t="n"/>
      <c r="AA357" s="10">
        <f>IFERROR(IF(INDEX('Test catalog'!$O$2:$O$200,MATCH($AB357,'Test catalog'!$A$2:$A$200,0))="","",INDEX('Test catalog'!$O$2:$O$200,MATCH($AB357,'Test catalog'!$A$2:$A$200,0))),"")</f>
        <v/>
      </c>
      <c r="AB357" s="10" t="inlineStr">
        <is>
          <t>DIAM</t>
        </is>
      </c>
    </row>
    <row r="358">
      <c r="A358" s="10" t="inlineStr">
        <is>
          <t>F48</t>
        </is>
      </c>
      <c r="B358" s="10" t="inlineStr">
        <is>
          <t>FP</t>
        </is>
      </c>
      <c r="C358" s="10" t="inlineStr">
        <is>
          <t>Kamasotra premium  |  Cyanocobalamin (Vitamin B12), Ginseng Panax (+3 more)</t>
        </is>
      </c>
      <c r="D358" s="10" t="inlineStr">
        <is>
          <t>Thickness</t>
        </is>
      </c>
      <c r="E358" s="10">
        <f>IF(A358="","",A358&amp;"|"&amp;D358)</f>
        <v/>
      </c>
      <c r="F358" s="5" t="inlineStr">
        <is>
          <t>Y</t>
        </is>
      </c>
      <c r="G358" s="5" t="inlineStr">
        <is>
          <t>Tablet tester</t>
        </is>
      </c>
      <c r="H358" s="5" t="inlineStr">
        <is>
          <t>Low</t>
        </is>
      </c>
      <c r="I358" s="5" t="n">
        <v>1</v>
      </c>
      <c r="J358" s="5" t="n"/>
      <c r="K358" s="10">
        <f>IFERROR(IF(INDEX('Test catalog'!$F$2:$F$200,MATCH($AB358,'Test catalog'!$A$2:$A$200,0))="","",INDEX('Test catalog'!$F$2:$F$200,MATCH($AB358,'Test catalog'!$A$2:$A$200,0))),"")</f>
        <v/>
      </c>
      <c r="L358" s="10">
        <f>IFERROR(IF(INDEX('Test catalog'!$G$2:$G$200,MATCH($AB358,'Test catalog'!$A$2:$A$200,0))="","",INDEX('Test catalog'!$G$2:$G$200,MATCH($AB358,'Test catalog'!$A$2:$A$200,0))),"")</f>
        <v/>
      </c>
      <c r="M358" s="10">
        <f>IFERROR(IF(INDEX('Test catalog'!$H$2:$H$200,MATCH($AB358,'Test catalog'!$A$2:$A$200,0))="","",INDEX('Test catalog'!$H$2:$H$200,MATCH($AB358,'Test catalog'!$A$2:$A$200,0))),"")</f>
        <v/>
      </c>
      <c r="N358" s="10">
        <f>IFERROR(IF(INDEX('Test catalog'!$I$2:$I$200,MATCH($AB358,'Test catalog'!$A$2:$A$200,0))="","",INDEX('Test catalog'!$I$2:$I$200,MATCH($AB358,'Test catalog'!$A$2:$A$200,0))),"")</f>
        <v/>
      </c>
      <c r="O358" s="10">
        <f>IFERROR(IF(INDEX('Test catalog'!$J$2:$J$200,MATCH($AB358,'Test catalog'!$A$2:$A$200,0))="","",INDEX('Test catalog'!$J$2:$J$200,MATCH($AB358,'Test catalog'!$A$2:$A$200,0))),"")</f>
        <v/>
      </c>
      <c r="P358" s="14">
        <f>IF(N358="","",IF(OR(M358="",O358=""),N358,(M358+4*N358+O358)/6))</f>
        <v/>
      </c>
      <c r="Q358" s="10">
        <f>IFERROR(IF(INDEX('Test catalog'!$K$2:$K$200,MATCH($AB358,'Test catalog'!$A$2:$A$200,0))="","",INDEX('Test catalog'!$K$2:$K$200,MATCH($AB358,'Test catalog'!$A$2:$A$200,0))),"")</f>
        <v/>
      </c>
      <c r="R358" s="5" t="n"/>
      <c r="S358" s="10">
        <f>IFERROR(IF(INDEX('Test catalog'!$L$2:$L$200,MATCH($AB358,'Test catalog'!$A$2:$A$200,0))="","",INDEX('Test catalog'!$L$2:$L$200,MATCH($AB358,'Test catalog'!$A$2:$A$200,0))),"")</f>
        <v/>
      </c>
      <c r="T358" s="10">
        <f>IFERROR(IF(INDEX('Test catalog'!$M$2:$M$200,MATCH($AB358,'Test catalog'!$A$2:$A$200,0))="","",INDEX('Test catalog'!$M$2:$M$200,MATCH($AB358,'Test catalog'!$A$2:$A$200,0))),"")</f>
        <v/>
      </c>
      <c r="U358" s="10">
        <f>IFERROR(IF(INDEX('Test catalog'!$N$2:$N$200,MATCH($AB358,'Test catalog'!$A$2:$A$200,0))="","",INDEX('Test catalog'!$N$2:$N$200,MATCH($AB358,'Test catalog'!$A$2:$A$200,0))),"")</f>
        <v/>
      </c>
      <c r="V358" s="15" t="n"/>
      <c r="W358" s="5" t="inlineStr">
        <is>
          <t>N</t>
        </is>
      </c>
      <c r="X358" s="5" t="n"/>
      <c r="Y358" s="5" t="n"/>
      <c r="Z358" s="5" t="n"/>
      <c r="AA358" s="10">
        <f>IFERROR(IF(INDEX('Test catalog'!$O$2:$O$200,MATCH($AB358,'Test catalog'!$A$2:$A$200,0))="","",INDEX('Test catalog'!$O$2:$O$200,MATCH($AB358,'Test catalog'!$A$2:$A$200,0))),"")</f>
        <v/>
      </c>
      <c r="AB358" s="10" t="inlineStr">
        <is>
          <t>THICK</t>
        </is>
      </c>
    </row>
    <row r="359">
      <c r="A359" s="10" t="inlineStr">
        <is>
          <t>F48</t>
        </is>
      </c>
      <c r="B359" s="10" t="inlineStr">
        <is>
          <t>FP</t>
        </is>
      </c>
      <c r="C359" s="10" t="inlineStr">
        <is>
          <t>Kamasotra premium  |  Cyanocobalamin (Vitamin B12), Ginseng Panax (+3 more)</t>
        </is>
      </c>
      <c r="D359" s="10" t="inlineStr">
        <is>
          <t>Hardness / breaking force</t>
        </is>
      </c>
      <c r="E359" s="10">
        <f>IF(A359="","",A359&amp;"|"&amp;D359)</f>
        <v/>
      </c>
      <c r="F359" s="5" t="inlineStr">
        <is>
          <t>Y</t>
        </is>
      </c>
      <c r="G359" s="5" t="inlineStr">
        <is>
          <t>Tablet tester</t>
        </is>
      </c>
      <c r="H359" s="5" t="inlineStr">
        <is>
          <t>Low</t>
        </is>
      </c>
      <c r="I359" s="5" t="n">
        <v>1</v>
      </c>
      <c r="J359" s="5" t="n"/>
      <c r="K359" s="10">
        <f>IFERROR(IF(INDEX('Test catalog'!$F$2:$F$200,MATCH($AB359,'Test catalog'!$A$2:$A$200,0))="","",INDEX('Test catalog'!$F$2:$F$200,MATCH($AB359,'Test catalog'!$A$2:$A$200,0))),"")</f>
        <v/>
      </c>
      <c r="L359" s="10">
        <f>IFERROR(IF(INDEX('Test catalog'!$G$2:$G$200,MATCH($AB359,'Test catalog'!$A$2:$A$200,0))="","",INDEX('Test catalog'!$G$2:$G$200,MATCH($AB359,'Test catalog'!$A$2:$A$200,0))),"")</f>
        <v/>
      </c>
      <c r="M359" s="10">
        <f>IFERROR(IF(INDEX('Test catalog'!$H$2:$H$200,MATCH($AB359,'Test catalog'!$A$2:$A$200,0))="","",INDEX('Test catalog'!$H$2:$H$200,MATCH($AB359,'Test catalog'!$A$2:$A$200,0))),"")</f>
        <v/>
      </c>
      <c r="N359" s="10">
        <f>IFERROR(IF(INDEX('Test catalog'!$I$2:$I$200,MATCH($AB359,'Test catalog'!$A$2:$A$200,0))="","",INDEX('Test catalog'!$I$2:$I$200,MATCH($AB359,'Test catalog'!$A$2:$A$200,0))),"")</f>
        <v/>
      </c>
      <c r="O359" s="10">
        <f>IFERROR(IF(INDEX('Test catalog'!$J$2:$J$200,MATCH($AB359,'Test catalog'!$A$2:$A$200,0))="","",INDEX('Test catalog'!$J$2:$J$200,MATCH($AB359,'Test catalog'!$A$2:$A$200,0))),"")</f>
        <v/>
      </c>
      <c r="P359" s="14">
        <f>IF(N359="","",IF(OR(M359="",O359=""),N359,(M359+4*N359+O359)/6))</f>
        <v/>
      </c>
      <c r="Q359" s="10">
        <f>IFERROR(IF(INDEX('Test catalog'!$K$2:$K$200,MATCH($AB359,'Test catalog'!$A$2:$A$200,0))="","",INDEX('Test catalog'!$K$2:$K$200,MATCH($AB359,'Test catalog'!$A$2:$A$200,0))),"")</f>
        <v/>
      </c>
      <c r="R359" s="5" t="n"/>
      <c r="S359" s="10">
        <f>IFERROR(IF(INDEX('Test catalog'!$L$2:$L$200,MATCH($AB359,'Test catalog'!$A$2:$A$200,0))="","",INDEX('Test catalog'!$L$2:$L$200,MATCH($AB359,'Test catalog'!$A$2:$A$200,0))),"")</f>
        <v/>
      </c>
      <c r="T359" s="10">
        <f>IFERROR(IF(INDEX('Test catalog'!$M$2:$M$200,MATCH($AB359,'Test catalog'!$A$2:$A$200,0))="","",INDEX('Test catalog'!$M$2:$M$200,MATCH($AB359,'Test catalog'!$A$2:$A$200,0))),"")</f>
        <v/>
      </c>
      <c r="U359" s="10">
        <f>IFERROR(IF(INDEX('Test catalog'!$N$2:$N$200,MATCH($AB359,'Test catalog'!$A$2:$A$200,0))="","",INDEX('Test catalog'!$N$2:$N$200,MATCH($AB359,'Test catalog'!$A$2:$A$200,0))),"")</f>
        <v/>
      </c>
      <c r="V359" s="15" t="n"/>
      <c r="W359" s="5" t="inlineStr">
        <is>
          <t>Y</t>
        </is>
      </c>
      <c r="X359" s="5" t="n"/>
      <c r="Y359" s="5" t="n"/>
      <c r="Z359" s="5" t="n"/>
      <c r="AA359" s="10">
        <f>IFERROR(IF(INDEX('Test catalog'!$O$2:$O$200,MATCH($AB359,'Test catalog'!$A$2:$A$200,0))="","",INDEX('Test catalog'!$O$2:$O$200,MATCH($AB359,'Test catalog'!$A$2:$A$200,0))),"")</f>
        <v/>
      </c>
      <c r="AB359" s="10" t="inlineStr">
        <is>
          <t>HARD</t>
        </is>
      </c>
    </row>
    <row r="360">
      <c r="A360" s="10" t="inlineStr">
        <is>
          <t>F48</t>
        </is>
      </c>
      <c r="B360" s="10" t="inlineStr">
        <is>
          <t>FP</t>
        </is>
      </c>
      <c r="C360" s="10" t="inlineStr">
        <is>
          <t>Kamasotra premium  |  Cyanocobalamin (Vitamin B12), Ginseng Panax (+3 more)</t>
        </is>
      </c>
      <c r="D360" s="10" t="inlineStr">
        <is>
          <t>Brittleness</t>
        </is>
      </c>
      <c r="E360" s="10">
        <f>IF(A360="","",A360&amp;"|"&amp;D360)</f>
        <v/>
      </c>
      <c r="F360" s="5" t="inlineStr">
        <is>
          <t>Y</t>
        </is>
      </c>
      <c r="G360" s="5" t="inlineStr">
        <is>
          <t>Other / bench</t>
        </is>
      </c>
      <c r="H360" s="5" t="inlineStr">
        <is>
          <t>Low</t>
        </is>
      </c>
      <c r="I360" s="5" t="n">
        <v>1</v>
      </c>
      <c r="J360" s="5" t="n"/>
      <c r="K360" s="10">
        <f>IFERROR(IF(INDEX('Test catalog'!$F$2:$F$200,MATCH($AB360,'Test catalog'!$A$2:$A$200,0))="","",INDEX('Test catalog'!$F$2:$F$200,MATCH($AB360,'Test catalog'!$A$2:$A$200,0))),"")</f>
        <v/>
      </c>
      <c r="L360" s="10">
        <f>IFERROR(IF(INDEX('Test catalog'!$G$2:$G$200,MATCH($AB360,'Test catalog'!$A$2:$A$200,0))="","",INDEX('Test catalog'!$G$2:$G$200,MATCH($AB360,'Test catalog'!$A$2:$A$200,0))),"")</f>
        <v/>
      </c>
      <c r="M360" s="10">
        <f>IFERROR(IF(INDEX('Test catalog'!$H$2:$H$200,MATCH($AB360,'Test catalog'!$A$2:$A$200,0))="","",INDEX('Test catalog'!$H$2:$H$200,MATCH($AB360,'Test catalog'!$A$2:$A$200,0))),"")</f>
        <v/>
      </c>
      <c r="N360" s="10">
        <f>IFERROR(IF(INDEX('Test catalog'!$I$2:$I$200,MATCH($AB360,'Test catalog'!$A$2:$A$200,0))="","",INDEX('Test catalog'!$I$2:$I$200,MATCH($AB360,'Test catalog'!$A$2:$A$200,0))),"")</f>
        <v/>
      </c>
      <c r="O360" s="10">
        <f>IFERROR(IF(INDEX('Test catalog'!$J$2:$J$200,MATCH($AB360,'Test catalog'!$A$2:$A$200,0))="","",INDEX('Test catalog'!$J$2:$J$200,MATCH($AB360,'Test catalog'!$A$2:$A$200,0))),"")</f>
        <v/>
      </c>
      <c r="P360" s="14">
        <f>IF(N360="","",IF(OR(M360="",O360=""),N360,(M360+4*N360+O360)/6))</f>
        <v/>
      </c>
      <c r="Q360" s="10">
        <f>IFERROR(IF(INDEX('Test catalog'!$K$2:$K$200,MATCH($AB360,'Test catalog'!$A$2:$A$200,0))="","",INDEX('Test catalog'!$K$2:$K$200,MATCH($AB360,'Test catalog'!$A$2:$A$200,0))),"")</f>
        <v/>
      </c>
      <c r="R360" s="5" t="n"/>
      <c r="S360" s="10">
        <f>IFERROR(IF(INDEX('Test catalog'!$L$2:$L$200,MATCH($AB360,'Test catalog'!$A$2:$A$200,0))="","",INDEX('Test catalog'!$L$2:$L$200,MATCH($AB360,'Test catalog'!$A$2:$A$200,0))),"")</f>
        <v/>
      </c>
      <c r="T360" s="10">
        <f>IFERROR(IF(INDEX('Test catalog'!$M$2:$M$200,MATCH($AB360,'Test catalog'!$A$2:$A$200,0))="","",INDEX('Test catalog'!$M$2:$M$200,MATCH($AB360,'Test catalog'!$A$2:$A$200,0))),"")</f>
        <v/>
      </c>
      <c r="U360" s="10">
        <f>IFERROR(IF(INDEX('Test catalog'!$N$2:$N$200,MATCH($AB360,'Test catalog'!$A$2:$A$200,0))="","",INDEX('Test catalog'!$N$2:$N$200,MATCH($AB360,'Test catalog'!$A$2:$A$200,0))),"")</f>
        <v/>
      </c>
      <c r="V360" s="15" t="n"/>
      <c r="W360" s="5" t="inlineStr">
        <is>
          <t>N</t>
        </is>
      </c>
      <c r="X360" s="5" t="n"/>
      <c r="Y360" s="5" t="n"/>
      <c r="Z360" s="5" t="n"/>
      <c r="AA360" s="10">
        <f>IFERROR(IF(INDEX('Test catalog'!$O$2:$O$200,MATCH($AB360,'Test catalog'!$A$2:$A$200,0))="","",INDEX('Test catalog'!$O$2:$O$200,MATCH($AB360,'Test catalog'!$A$2:$A$200,0))),"")</f>
        <v/>
      </c>
      <c r="AB360" s="10" t="inlineStr">
        <is>
          <t>BRITTLE</t>
        </is>
      </c>
    </row>
    <row r="361">
      <c r="A361" s="10" t="inlineStr">
        <is>
          <t>F48</t>
        </is>
      </c>
      <c r="B361" s="10" t="inlineStr">
        <is>
          <t>FP</t>
        </is>
      </c>
      <c r="C361" s="10" t="inlineStr">
        <is>
          <t>Kamasotra premium  |  Cyanocobalamin (Vitamin B12), Ginseng Panax (+3 more)</t>
        </is>
      </c>
      <c r="D361" s="10" t="inlineStr">
        <is>
          <t>Friability</t>
        </is>
      </c>
      <c r="E361" s="10">
        <f>IF(A361="","",A361&amp;"|"&amp;D361)</f>
        <v/>
      </c>
      <c r="F361" s="5" t="inlineStr">
        <is>
          <t>Y</t>
        </is>
      </c>
      <c r="G361" s="5" t="inlineStr">
        <is>
          <t>Friabilator</t>
        </is>
      </c>
      <c r="H361" s="5" t="inlineStr">
        <is>
          <t>Low</t>
        </is>
      </c>
      <c r="I361" s="5" t="n">
        <v>1</v>
      </c>
      <c r="J361" s="5" t="n"/>
      <c r="K361" s="10">
        <f>IFERROR(IF(INDEX('Test catalog'!$F$2:$F$200,MATCH($AB361,'Test catalog'!$A$2:$A$200,0))="","",INDEX('Test catalog'!$F$2:$F$200,MATCH($AB361,'Test catalog'!$A$2:$A$200,0))),"")</f>
        <v/>
      </c>
      <c r="L361" s="10">
        <f>IFERROR(IF(INDEX('Test catalog'!$G$2:$G$200,MATCH($AB361,'Test catalog'!$A$2:$A$200,0))="","",INDEX('Test catalog'!$G$2:$G$200,MATCH($AB361,'Test catalog'!$A$2:$A$200,0))),"")</f>
        <v/>
      </c>
      <c r="M361" s="10">
        <f>IFERROR(IF(INDEX('Test catalog'!$H$2:$H$200,MATCH($AB361,'Test catalog'!$A$2:$A$200,0))="","",INDEX('Test catalog'!$H$2:$H$200,MATCH($AB361,'Test catalog'!$A$2:$A$200,0))),"")</f>
        <v/>
      </c>
      <c r="N361" s="10">
        <f>IFERROR(IF(INDEX('Test catalog'!$I$2:$I$200,MATCH($AB361,'Test catalog'!$A$2:$A$200,0))="","",INDEX('Test catalog'!$I$2:$I$200,MATCH($AB361,'Test catalog'!$A$2:$A$200,0))),"")</f>
        <v/>
      </c>
      <c r="O361" s="10">
        <f>IFERROR(IF(INDEX('Test catalog'!$J$2:$J$200,MATCH($AB361,'Test catalog'!$A$2:$A$200,0))="","",INDEX('Test catalog'!$J$2:$J$200,MATCH($AB361,'Test catalog'!$A$2:$A$200,0))),"")</f>
        <v/>
      </c>
      <c r="P361" s="14">
        <f>IF(N361="","",IF(OR(M361="",O361=""),N361,(M361+4*N361+O361)/6))</f>
        <v/>
      </c>
      <c r="Q361" s="10">
        <f>IFERROR(IF(INDEX('Test catalog'!$K$2:$K$200,MATCH($AB361,'Test catalog'!$A$2:$A$200,0))="","",INDEX('Test catalog'!$K$2:$K$200,MATCH($AB361,'Test catalog'!$A$2:$A$200,0))),"")</f>
        <v/>
      </c>
      <c r="R361" s="5" t="n"/>
      <c r="S361" s="10">
        <f>IFERROR(IF(INDEX('Test catalog'!$L$2:$L$200,MATCH($AB361,'Test catalog'!$A$2:$A$200,0))="","",INDEX('Test catalog'!$L$2:$L$200,MATCH($AB361,'Test catalog'!$A$2:$A$200,0))),"")</f>
        <v/>
      </c>
      <c r="T361" s="10">
        <f>IFERROR(IF(INDEX('Test catalog'!$M$2:$M$200,MATCH($AB361,'Test catalog'!$A$2:$A$200,0))="","",INDEX('Test catalog'!$M$2:$M$200,MATCH($AB361,'Test catalog'!$A$2:$A$200,0))),"")</f>
        <v/>
      </c>
      <c r="U361" s="10">
        <f>IFERROR(IF(INDEX('Test catalog'!$N$2:$N$200,MATCH($AB361,'Test catalog'!$A$2:$A$200,0))="","",INDEX('Test catalog'!$N$2:$N$200,MATCH($AB361,'Test catalog'!$A$2:$A$200,0))),"")</f>
        <v/>
      </c>
      <c r="V361" s="15" t="n"/>
      <c r="W361" s="5" t="inlineStr">
        <is>
          <t>N</t>
        </is>
      </c>
      <c r="X361" s="5" t="n"/>
      <c r="Y361" s="5" t="n"/>
      <c r="Z361" s="5" t="n"/>
      <c r="AA361" s="10">
        <f>IFERROR(IF(INDEX('Test catalog'!$O$2:$O$200,MATCH($AB361,'Test catalog'!$A$2:$A$200,0))="","",INDEX('Test catalog'!$O$2:$O$200,MATCH($AB361,'Test catalog'!$A$2:$A$200,0))),"")</f>
        <v/>
      </c>
      <c r="AB361" s="10" t="inlineStr">
        <is>
          <t>FRIAB</t>
        </is>
      </c>
    </row>
    <row r="362">
      <c r="A362" s="10" t="inlineStr">
        <is>
          <t>F48</t>
        </is>
      </c>
      <c r="B362" s="10" t="inlineStr">
        <is>
          <t>FP</t>
        </is>
      </c>
      <c r="C362" s="10" t="inlineStr">
        <is>
          <t>Kamasotra premium  |  Cyanocobalamin (Vitamin B12), Ginseng Panax (+3 more)</t>
        </is>
      </c>
      <c r="D362" s="10" t="inlineStr">
        <is>
          <t>Disintegration</t>
        </is>
      </c>
      <c r="E362" s="10">
        <f>IF(A362="","",A362&amp;"|"&amp;D362)</f>
        <v/>
      </c>
      <c r="F362" s="5" t="inlineStr">
        <is>
          <t>Y</t>
        </is>
      </c>
      <c r="G362" s="5" t="inlineStr">
        <is>
          <t>Disintegration tester</t>
        </is>
      </c>
      <c r="H362" s="5" t="inlineStr">
        <is>
          <t>Low</t>
        </is>
      </c>
      <c r="I362" s="5" t="n">
        <v>1</v>
      </c>
      <c r="J362" s="5" t="n"/>
      <c r="K362" s="10">
        <f>IFERROR(IF(INDEX('Test catalog'!$F$2:$F$200,MATCH($AB362,'Test catalog'!$A$2:$A$200,0))="","",INDEX('Test catalog'!$F$2:$F$200,MATCH($AB362,'Test catalog'!$A$2:$A$200,0))),"")</f>
        <v/>
      </c>
      <c r="L362" s="10">
        <f>IFERROR(IF(INDEX('Test catalog'!$G$2:$G$200,MATCH($AB362,'Test catalog'!$A$2:$A$200,0))="","",INDEX('Test catalog'!$G$2:$G$200,MATCH($AB362,'Test catalog'!$A$2:$A$200,0))),"")</f>
        <v/>
      </c>
      <c r="M362" s="10">
        <f>IFERROR(IF(INDEX('Test catalog'!$H$2:$H$200,MATCH($AB362,'Test catalog'!$A$2:$A$200,0))="","",INDEX('Test catalog'!$H$2:$H$200,MATCH($AB362,'Test catalog'!$A$2:$A$200,0))),"")</f>
        <v/>
      </c>
      <c r="N362" s="10">
        <f>IFERROR(IF(INDEX('Test catalog'!$I$2:$I$200,MATCH($AB362,'Test catalog'!$A$2:$A$200,0))="","",INDEX('Test catalog'!$I$2:$I$200,MATCH($AB362,'Test catalog'!$A$2:$A$200,0))),"")</f>
        <v/>
      </c>
      <c r="O362" s="10">
        <f>IFERROR(IF(INDEX('Test catalog'!$J$2:$J$200,MATCH($AB362,'Test catalog'!$A$2:$A$200,0))="","",INDEX('Test catalog'!$J$2:$J$200,MATCH($AB362,'Test catalog'!$A$2:$A$200,0))),"")</f>
        <v/>
      </c>
      <c r="P362" s="14">
        <f>IF(N362="","",IF(OR(M362="",O362=""),N362,(M362+4*N362+O362)/6))</f>
        <v/>
      </c>
      <c r="Q362" s="10">
        <f>IFERROR(IF(INDEX('Test catalog'!$K$2:$K$200,MATCH($AB362,'Test catalog'!$A$2:$A$200,0))="","",INDEX('Test catalog'!$K$2:$K$200,MATCH($AB362,'Test catalog'!$A$2:$A$200,0))),"")</f>
        <v/>
      </c>
      <c r="R362" s="5" t="n"/>
      <c r="S362" s="10">
        <f>IFERROR(IF(INDEX('Test catalog'!$L$2:$L$200,MATCH($AB362,'Test catalog'!$A$2:$A$200,0))="","",INDEX('Test catalog'!$L$2:$L$200,MATCH($AB362,'Test catalog'!$A$2:$A$200,0))),"")</f>
        <v/>
      </c>
      <c r="T362" s="10">
        <f>IFERROR(IF(INDEX('Test catalog'!$M$2:$M$200,MATCH($AB362,'Test catalog'!$A$2:$A$200,0))="","",INDEX('Test catalog'!$M$2:$M$200,MATCH($AB362,'Test catalog'!$A$2:$A$200,0))),"")</f>
        <v/>
      </c>
      <c r="U362" s="10">
        <f>IFERROR(IF(INDEX('Test catalog'!$N$2:$N$200,MATCH($AB362,'Test catalog'!$A$2:$A$200,0))="","",INDEX('Test catalog'!$N$2:$N$200,MATCH($AB362,'Test catalog'!$A$2:$A$200,0))),"")</f>
        <v/>
      </c>
      <c r="V362" s="15" t="n"/>
      <c r="W362" s="5" t="inlineStr">
        <is>
          <t>Y</t>
        </is>
      </c>
      <c r="X362" s="5" t="n"/>
      <c r="Y362" s="5" t="n"/>
      <c r="Z362" s="5" t="n"/>
      <c r="AA362" s="10">
        <f>IFERROR(IF(INDEX('Test catalog'!$O$2:$O$200,MATCH($AB362,'Test catalog'!$A$2:$A$200,0))="","",INDEX('Test catalog'!$O$2:$O$200,MATCH($AB362,'Test catalog'!$A$2:$A$200,0))),"")</f>
        <v/>
      </c>
      <c r="AB362" s="10" t="inlineStr">
        <is>
          <t>DISINT</t>
        </is>
      </c>
    </row>
    <row r="363">
      <c r="A363" s="10" t="inlineStr">
        <is>
          <t>F48</t>
        </is>
      </c>
      <c r="B363" s="10" t="inlineStr">
        <is>
          <t>FP</t>
        </is>
      </c>
      <c r="C363" s="10" t="inlineStr">
        <is>
          <t>Kamasotra premium  |  Cyanocobalamin (Vitamin B12), Ginseng Panax (+3 more)</t>
        </is>
      </c>
      <c r="D363" s="10" t="inlineStr">
        <is>
          <t>In-process check at the machine (one check, all its tests)</t>
        </is>
      </c>
      <c r="E363" s="10">
        <f>IF(A363="","",A363&amp;"|"&amp;D363)</f>
        <v/>
      </c>
      <c r="F363" s="5" t="inlineStr">
        <is>
          <t>Y</t>
        </is>
      </c>
      <c r="G363" s="5" t="inlineStr">
        <is>
          <t>Tablet tester</t>
        </is>
      </c>
      <c r="H363" s="5" t="inlineStr">
        <is>
          <t>Low</t>
        </is>
      </c>
      <c r="I363" s="5" t="n">
        <v>1</v>
      </c>
      <c r="J363" s="5" t="n"/>
      <c r="K363" s="10">
        <f>IFERROR(IF(INDEX('Test catalog'!$F$2:$F$200,MATCH($AB363,'Test catalog'!$A$2:$A$200,0))="","",INDEX('Test catalog'!$F$2:$F$200,MATCH($AB363,'Test catalog'!$A$2:$A$200,0))),"")</f>
        <v/>
      </c>
      <c r="L363" s="10">
        <f>IFERROR(IF(INDEX('Test catalog'!$G$2:$G$200,MATCH($AB363,'Test catalog'!$A$2:$A$200,0))="","",INDEX('Test catalog'!$G$2:$G$200,MATCH($AB363,'Test catalog'!$A$2:$A$200,0))),"")</f>
        <v/>
      </c>
      <c r="M363" s="10">
        <f>IFERROR(IF(INDEX('Test catalog'!$H$2:$H$200,MATCH($AB363,'Test catalog'!$A$2:$A$200,0))="","",INDEX('Test catalog'!$H$2:$H$200,MATCH($AB363,'Test catalog'!$A$2:$A$200,0))),"")</f>
        <v/>
      </c>
      <c r="N363" s="10">
        <f>IFERROR(IF(INDEX('Test catalog'!$I$2:$I$200,MATCH($AB363,'Test catalog'!$A$2:$A$200,0))="","",INDEX('Test catalog'!$I$2:$I$200,MATCH($AB363,'Test catalog'!$A$2:$A$200,0))),"")</f>
        <v/>
      </c>
      <c r="O363" s="10">
        <f>IFERROR(IF(INDEX('Test catalog'!$J$2:$J$200,MATCH($AB363,'Test catalog'!$A$2:$A$200,0))="","",INDEX('Test catalog'!$J$2:$J$200,MATCH($AB363,'Test catalog'!$A$2:$A$200,0))),"")</f>
        <v/>
      </c>
      <c r="P363" s="14">
        <f>IF(N363="","",IF(OR(M363="",O363=""),N363,(M363+4*N363+O363)/6))</f>
        <v/>
      </c>
      <c r="Q363" s="10">
        <f>IFERROR(IF(INDEX('Test catalog'!$K$2:$K$200,MATCH($AB363,'Test catalog'!$A$2:$A$200,0))="","",INDEX('Test catalog'!$K$2:$K$200,MATCH($AB363,'Test catalog'!$A$2:$A$200,0))),"")</f>
        <v/>
      </c>
      <c r="R363" s="5" t="n"/>
      <c r="S363" s="10">
        <f>IFERROR(IF(INDEX('Test catalog'!$L$2:$L$200,MATCH($AB363,'Test catalog'!$A$2:$A$200,0))="","",INDEX('Test catalog'!$L$2:$L$200,MATCH($AB363,'Test catalog'!$A$2:$A$200,0))),"")</f>
        <v/>
      </c>
      <c r="T363" s="10">
        <f>IFERROR(IF(INDEX('Test catalog'!$M$2:$M$200,MATCH($AB363,'Test catalog'!$A$2:$A$200,0))="","",INDEX('Test catalog'!$M$2:$M$200,MATCH($AB363,'Test catalog'!$A$2:$A$200,0))),"")</f>
        <v/>
      </c>
      <c r="U363" s="10">
        <f>IFERROR(IF(INDEX('Test catalog'!$N$2:$N$200,MATCH($AB363,'Test catalog'!$A$2:$A$200,0))="","",INDEX('Test catalog'!$N$2:$N$200,MATCH($AB363,'Test catalog'!$A$2:$A$200,0))),"")</f>
        <v/>
      </c>
      <c r="V363" s="15" t="n"/>
      <c r="W363" s="5" t="inlineStr">
        <is>
          <t>N</t>
        </is>
      </c>
      <c r="X363" s="5" t="n"/>
      <c r="Y363" s="5" t="n"/>
      <c r="Z363" s="5" t="n"/>
      <c r="AA363" s="10">
        <f>IFERROR(IF(INDEX('Test catalog'!$O$2:$O$200,MATCH($AB363,'Test catalog'!$A$2:$A$200,0))="","",INDEX('Test catalog'!$O$2:$O$200,MATCH($AB363,'Test catalog'!$A$2:$A$200,0))),"")</f>
        <v/>
      </c>
      <c r="AB363" s="10" t="inlineStr">
        <is>
          <t>IPC</t>
        </is>
      </c>
    </row>
    <row r="364">
      <c r="A364" s="10" t="inlineStr">
        <is>
          <t>F49</t>
        </is>
      </c>
      <c r="B364" s="10" t="inlineStr">
        <is>
          <t>FP</t>
        </is>
      </c>
      <c r="C364" s="10" t="inlineStr">
        <is>
          <t>Prostica  |  Saw Palmetto Dry Extract 4:1, Sodium Selenite (+1 more)</t>
        </is>
      </c>
      <c r="D364" s="10" t="inlineStr">
        <is>
          <t>Average weight / uniformity of mass</t>
        </is>
      </c>
      <c r="E364" s="10">
        <f>IF(A364="","",A364&amp;"|"&amp;D364)</f>
        <v/>
      </c>
      <c r="F364" s="5" t="inlineStr">
        <is>
          <t>Y</t>
        </is>
      </c>
      <c r="G364" s="5" t="inlineStr">
        <is>
          <t>Balance</t>
        </is>
      </c>
      <c r="H364" s="5" t="inlineStr">
        <is>
          <t>Low</t>
        </is>
      </c>
      <c r="I364" s="5" t="n">
        <v>1</v>
      </c>
      <c r="J364" s="5" t="n"/>
      <c r="K364" s="10">
        <f>IFERROR(IF(INDEX('Test catalog'!$F$2:$F$200,MATCH($AB364,'Test catalog'!$A$2:$A$200,0))="","",INDEX('Test catalog'!$F$2:$F$200,MATCH($AB364,'Test catalog'!$A$2:$A$200,0))),"")</f>
        <v/>
      </c>
      <c r="L364" s="10">
        <f>IFERROR(IF(INDEX('Test catalog'!$G$2:$G$200,MATCH($AB364,'Test catalog'!$A$2:$A$200,0))="","",INDEX('Test catalog'!$G$2:$G$200,MATCH($AB364,'Test catalog'!$A$2:$A$200,0))),"")</f>
        <v/>
      </c>
      <c r="M364" s="10">
        <f>IFERROR(IF(INDEX('Test catalog'!$H$2:$H$200,MATCH($AB364,'Test catalog'!$A$2:$A$200,0))="","",INDEX('Test catalog'!$H$2:$H$200,MATCH($AB364,'Test catalog'!$A$2:$A$200,0))),"")</f>
        <v/>
      </c>
      <c r="N364" s="10">
        <f>IFERROR(IF(INDEX('Test catalog'!$I$2:$I$200,MATCH($AB364,'Test catalog'!$A$2:$A$200,0))="","",INDEX('Test catalog'!$I$2:$I$200,MATCH($AB364,'Test catalog'!$A$2:$A$200,0))),"")</f>
        <v/>
      </c>
      <c r="O364" s="10">
        <f>IFERROR(IF(INDEX('Test catalog'!$J$2:$J$200,MATCH($AB364,'Test catalog'!$A$2:$A$200,0))="","",INDEX('Test catalog'!$J$2:$J$200,MATCH($AB364,'Test catalog'!$A$2:$A$200,0))),"")</f>
        <v/>
      </c>
      <c r="P364" s="14">
        <f>IF(N364="","",IF(OR(M364="",O364=""),N364,(M364+4*N364+O364)/6))</f>
        <v/>
      </c>
      <c r="Q364" s="10">
        <f>IFERROR(IF(INDEX('Test catalog'!$K$2:$K$200,MATCH($AB364,'Test catalog'!$A$2:$A$200,0))="","",INDEX('Test catalog'!$K$2:$K$200,MATCH($AB364,'Test catalog'!$A$2:$A$200,0))),"")</f>
        <v/>
      </c>
      <c r="R364" s="5" t="n"/>
      <c r="S364" s="10">
        <f>IFERROR(IF(INDEX('Test catalog'!$L$2:$L$200,MATCH($AB364,'Test catalog'!$A$2:$A$200,0))="","",INDEX('Test catalog'!$L$2:$L$200,MATCH($AB364,'Test catalog'!$A$2:$A$200,0))),"")</f>
        <v/>
      </c>
      <c r="T364" s="10">
        <f>IFERROR(IF(INDEX('Test catalog'!$M$2:$M$200,MATCH($AB364,'Test catalog'!$A$2:$A$200,0))="","",INDEX('Test catalog'!$M$2:$M$200,MATCH($AB364,'Test catalog'!$A$2:$A$200,0))),"")</f>
        <v/>
      </c>
      <c r="U364" s="10">
        <f>IFERROR(IF(INDEX('Test catalog'!$N$2:$N$200,MATCH($AB364,'Test catalog'!$A$2:$A$200,0))="","",INDEX('Test catalog'!$N$2:$N$200,MATCH($AB364,'Test catalog'!$A$2:$A$200,0))),"")</f>
        <v/>
      </c>
      <c r="V364" s="15" t="n"/>
      <c r="W364" s="5" t="inlineStr">
        <is>
          <t>N</t>
        </is>
      </c>
      <c r="X364" s="5" t="n"/>
      <c r="Y364" s="5" t="n"/>
      <c r="Z364" s="5" t="n"/>
      <c r="AA364" s="10">
        <f>IFERROR(IF(INDEX('Test catalog'!$O$2:$O$200,MATCH($AB364,'Test catalog'!$A$2:$A$200,0))="","",INDEX('Test catalog'!$O$2:$O$200,MATCH($AB364,'Test catalog'!$A$2:$A$200,0))),"")</f>
        <v/>
      </c>
      <c r="AB364" s="10" t="inlineStr">
        <is>
          <t>AVG_WT</t>
        </is>
      </c>
    </row>
    <row r="365">
      <c r="A365" s="10" t="inlineStr">
        <is>
          <t>F49</t>
        </is>
      </c>
      <c r="B365" s="10" t="inlineStr">
        <is>
          <t>FP</t>
        </is>
      </c>
      <c r="C365" s="10" t="inlineStr">
        <is>
          <t>Prostica  |  Saw Palmetto Dry Extract 4:1, Sodium Selenite (+1 more)</t>
        </is>
      </c>
      <c r="D365" s="10" t="inlineStr">
        <is>
          <t>Diameter (or length / width)</t>
        </is>
      </c>
      <c r="E365" s="10">
        <f>IF(A365="","",A365&amp;"|"&amp;D365)</f>
        <v/>
      </c>
      <c r="F365" s="5" t="inlineStr">
        <is>
          <t>Y</t>
        </is>
      </c>
      <c r="G365" s="5" t="inlineStr">
        <is>
          <t>Tablet tester</t>
        </is>
      </c>
      <c r="H365" s="5" t="inlineStr">
        <is>
          <t>Low</t>
        </is>
      </c>
      <c r="I365" s="5" t="n">
        <v>1</v>
      </c>
      <c r="J365" s="5" t="n"/>
      <c r="K365" s="10">
        <f>IFERROR(IF(INDEX('Test catalog'!$F$2:$F$200,MATCH($AB365,'Test catalog'!$A$2:$A$200,0))="","",INDEX('Test catalog'!$F$2:$F$200,MATCH($AB365,'Test catalog'!$A$2:$A$200,0))),"")</f>
        <v/>
      </c>
      <c r="L365" s="10">
        <f>IFERROR(IF(INDEX('Test catalog'!$G$2:$G$200,MATCH($AB365,'Test catalog'!$A$2:$A$200,0))="","",INDEX('Test catalog'!$G$2:$G$200,MATCH($AB365,'Test catalog'!$A$2:$A$200,0))),"")</f>
        <v/>
      </c>
      <c r="M365" s="10">
        <f>IFERROR(IF(INDEX('Test catalog'!$H$2:$H$200,MATCH($AB365,'Test catalog'!$A$2:$A$200,0))="","",INDEX('Test catalog'!$H$2:$H$200,MATCH($AB365,'Test catalog'!$A$2:$A$200,0))),"")</f>
        <v/>
      </c>
      <c r="N365" s="10">
        <f>IFERROR(IF(INDEX('Test catalog'!$I$2:$I$200,MATCH($AB365,'Test catalog'!$A$2:$A$200,0))="","",INDEX('Test catalog'!$I$2:$I$200,MATCH($AB365,'Test catalog'!$A$2:$A$200,0))),"")</f>
        <v/>
      </c>
      <c r="O365" s="10">
        <f>IFERROR(IF(INDEX('Test catalog'!$J$2:$J$200,MATCH($AB365,'Test catalog'!$A$2:$A$200,0))="","",INDEX('Test catalog'!$J$2:$J$200,MATCH($AB365,'Test catalog'!$A$2:$A$200,0))),"")</f>
        <v/>
      </c>
      <c r="P365" s="14">
        <f>IF(N365="","",IF(OR(M365="",O365=""),N365,(M365+4*N365+O365)/6))</f>
        <v/>
      </c>
      <c r="Q365" s="10">
        <f>IFERROR(IF(INDEX('Test catalog'!$K$2:$K$200,MATCH($AB365,'Test catalog'!$A$2:$A$200,0))="","",INDEX('Test catalog'!$K$2:$K$200,MATCH($AB365,'Test catalog'!$A$2:$A$200,0))),"")</f>
        <v/>
      </c>
      <c r="R365" s="5" t="n"/>
      <c r="S365" s="10">
        <f>IFERROR(IF(INDEX('Test catalog'!$L$2:$L$200,MATCH($AB365,'Test catalog'!$A$2:$A$200,0))="","",INDEX('Test catalog'!$L$2:$L$200,MATCH($AB365,'Test catalog'!$A$2:$A$200,0))),"")</f>
        <v/>
      </c>
      <c r="T365" s="10">
        <f>IFERROR(IF(INDEX('Test catalog'!$M$2:$M$200,MATCH($AB365,'Test catalog'!$A$2:$A$200,0))="","",INDEX('Test catalog'!$M$2:$M$200,MATCH($AB365,'Test catalog'!$A$2:$A$200,0))),"")</f>
        <v/>
      </c>
      <c r="U365" s="10">
        <f>IFERROR(IF(INDEX('Test catalog'!$N$2:$N$200,MATCH($AB365,'Test catalog'!$A$2:$A$200,0))="","",INDEX('Test catalog'!$N$2:$N$200,MATCH($AB365,'Test catalog'!$A$2:$A$200,0))),"")</f>
        <v/>
      </c>
      <c r="V365" s="15" t="n"/>
      <c r="W365" s="5" t="inlineStr">
        <is>
          <t>N</t>
        </is>
      </c>
      <c r="X365" s="5" t="n"/>
      <c r="Y365" s="5" t="n"/>
      <c r="Z365" s="5" t="n"/>
      <c r="AA365" s="10">
        <f>IFERROR(IF(INDEX('Test catalog'!$O$2:$O$200,MATCH($AB365,'Test catalog'!$A$2:$A$200,0))="","",INDEX('Test catalog'!$O$2:$O$200,MATCH($AB365,'Test catalog'!$A$2:$A$200,0))),"")</f>
        <v/>
      </c>
      <c r="AB365" s="10" t="inlineStr">
        <is>
          <t>DIAM</t>
        </is>
      </c>
    </row>
    <row r="366">
      <c r="A366" s="10" t="inlineStr">
        <is>
          <t>F49</t>
        </is>
      </c>
      <c r="B366" s="10" t="inlineStr">
        <is>
          <t>FP</t>
        </is>
      </c>
      <c r="C366" s="10" t="inlineStr">
        <is>
          <t>Prostica  |  Saw Palmetto Dry Extract 4:1, Sodium Selenite (+1 more)</t>
        </is>
      </c>
      <c r="D366" s="10" t="inlineStr">
        <is>
          <t>Thickness</t>
        </is>
      </c>
      <c r="E366" s="10">
        <f>IF(A366="","",A366&amp;"|"&amp;D366)</f>
        <v/>
      </c>
      <c r="F366" s="5" t="inlineStr">
        <is>
          <t>Y</t>
        </is>
      </c>
      <c r="G366" s="5" t="inlineStr">
        <is>
          <t>Tablet tester</t>
        </is>
      </c>
      <c r="H366" s="5" t="inlineStr">
        <is>
          <t>Low</t>
        </is>
      </c>
      <c r="I366" s="5" t="n">
        <v>1</v>
      </c>
      <c r="J366" s="5" t="n"/>
      <c r="K366" s="10">
        <f>IFERROR(IF(INDEX('Test catalog'!$F$2:$F$200,MATCH($AB366,'Test catalog'!$A$2:$A$200,0))="","",INDEX('Test catalog'!$F$2:$F$200,MATCH($AB366,'Test catalog'!$A$2:$A$200,0))),"")</f>
        <v/>
      </c>
      <c r="L366" s="10">
        <f>IFERROR(IF(INDEX('Test catalog'!$G$2:$G$200,MATCH($AB366,'Test catalog'!$A$2:$A$200,0))="","",INDEX('Test catalog'!$G$2:$G$200,MATCH($AB366,'Test catalog'!$A$2:$A$200,0))),"")</f>
        <v/>
      </c>
      <c r="M366" s="10">
        <f>IFERROR(IF(INDEX('Test catalog'!$H$2:$H$200,MATCH($AB366,'Test catalog'!$A$2:$A$200,0))="","",INDEX('Test catalog'!$H$2:$H$200,MATCH($AB366,'Test catalog'!$A$2:$A$200,0))),"")</f>
        <v/>
      </c>
      <c r="N366" s="10">
        <f>IFERROR(IF(INDEX('Test catalog'!$I$2:$I$200,MATCH($AB366,'Test catalog'!$A$2:$A$200,0))="","",INDEX('Test catalog'!$I$2:$I$200,MATCH($AB366,'Test catalog'!$A$2:$A$200,0))),"")</f>
        <v/>
      </c>
      <c r="O366" s="10">
        <f>IFERROR(IF(INDEX('Test catalog'!$J$2:$J$200,MATCH($AB366,'Test catalog'!$A$2:$A$200,0))="","",INDEX('Test catalog'!$J$2:$J$200,MATCH($AB366,'Test catalog'!$A$2:$A$200,0))),"")</f>
        <v/>
      </c>
      <c r="P366" s="14">
        <f>IF(N366="","",IF(OR(M366="",O366=""),N366,(M366+4*N366+O366)/6))</f>
        <v/>
      </c>
      <c r="Q366" s="10">
        <f>IFERROR(IF(INDEX('Test catalog'!$K$2:$K$200,MATCH($AB366,'Test catalog'!$A$2:$A$200,0))="","",INDEX('Test catalog'!$K$2:$K$200,MATCH($AB366,'Test catalog'!$A$2:$A$200,0))),"")</f>
        <v/>
      </c>
      <c r="R366" s="5" t="n"/>
      <c r="S366" s="10">
        <f>IFERROR(IF(INDEX('Test catalog'!$L$2:$L$200,MATCH($AB366,'Test catalog'!$A$2:$A$200,0))="","",INDEX('Test catalog'!$L$2:$L$200,MATCH($AB366,'Test catalog'!$A$2:$A$200,0))),"")</f>
        <v/>
      </c>
      <c r="T366" s="10">
        <f>IFERROR(IF(INDEX('Test catalog'!$M$2:$M$200,MATCH($AB366,'Test catalog'!$A$2:$A$200,0))="","",INDEX('Test catalog'!$M$2:$M$200,MATCH($AB366,'Test catalog'!$A$2:$A$200,0))),"")</f>
        <v/>
      </c>
      <c r="U366" s="10">
        <f>IFERROR(IF(INDEX('Test catalog'!$N$2:$N$200,MATCH($AB366,'Test catalog'!$A$2:$A$200,0))="","",INDEX('Test catalog'!$N$2:$N$200,MATCH($AB366,'Test catalog'!$A$2:$A$200,0))),"")</f>
        <v/>
      </c>
      <c r="V366" s="15" t="n"/>
      <c r="W366" s="5" t="inlineStr">
        <is>
          <t>N</t>
        </is>
      </c>
      <c r="X366" s="5" t="n"/>
      <c r="Y366" s="5" t="n"/>
      <c r="Z366" s="5" t="n"/>
      <c r="AA366" s="10">
        <f>IFERROR(IF(INDEX('Test catalog'!$O$2:$O$200,MATCH($AB366,'Test catalog'!$A$2:$A$200,0))="","",INDEX('Test catalog'!$O$2:$O$200,MATCH($AB366,'Test catalog'!$A$2:$A$200,0))),"")</f>
        <v/>
      </c>
      <c r="AB366" s="10" t="inlineStr">
        <is>
          <t>THICK</t>
        </is>
      </c>
    </row>
    <row r="367">
      <c r="A367" s="10" t="inlineStr">
        <is>
          <t>F49</t>
        </is>
      </c>
      <c r="B367" s="10" t="inlineStr">
        <is>
          <t>FP</t>
        </is>
      </c>
      <c r="C367" s="10" t="inlineStr">
        <is>
          <t>Prostica  |  Saw Palmetto Dry Extract 4:1, Sodium Selenite (+1 more)</t>
        </is>
      </c>
      <c r="D367" s="10" t="inlineStr">
        <is>
          <t>Hardness / breaking force</t>
        </is>
      </c>
      <c r="E367" s="10">
        <f>IF(A367="","",A367&amp;"|"&amp;D367)</f>
        <v/>
      </c>
      <c r="F367" s="5" t="inlineStr">
        <is>
          <t>Y</t>
        </is>
      </c>
      <c r="G367" s="5" t="inlineStr">
        <is>
          <t>Tablet tester</t>
        </is>
      </c>
      <c r="H367" s="5" t="inlineStr">
        <is>
          <t>Low</t>
        </is>
      </c>
      <c r="I367" s="5" t="n">
        <v>1</v>
      </c>
      <c r="J367" s="5" t="n"/>
      <c r="K367" s="10">
        <f>IFERROR(IF(INDEX('Test catalog'!$F$2:$F$200,MATCH($AB367,'Test catalog'!$A$2:$A$200,0))="","",INDEX('Test catalog'!$F$2:$F$200,MATCH($AB367,'Test catalog'!$A$2:$A$200,0))),"")</f>
        <v/>
      </c>
      <c r="L367" s="10">
        <f>IFERROR(IF(INDEX('Test catalog'!$G$2:$G$200,MATCH($AB367,'Test catalog'!$A$2:$A$200,0))="","",INDEX('Test catalog'!$G$2:$G$200,MATCH($AB367,'Test catalog'!$A$2:$A$200,0))),"")</f>
        <v/>
      </c>
      <c r="M367" s="10">
        <f>IFERROR(IF(INDEX('Test catalog'!$H$2:$H$200,MATCH($AB367,'Test catalog'!$A$2:$A$200,0))="","",INDEX('Test catalog'!$H$2:$H$200,MATCH($AB367,'Test catalog'!$A$2:$A$200,0))),"")</f>
        <v/>
      </c>
      <c r="N367" s="10">
        <f>IFERROR(IF(INDEX('Test catalog'!$I$2:$I$200,MATCH($AB367,'Test catalog'!$A$2:$A$200,0))="","",INDEX('Test catalog'!$I$2:$I$200,MATCH($AB367,'Test catalog'!$A$2:$A$200,0))),"")</f>
        <v/>
      </c>
      <c r="O367" s="10">
        <f>IFERROR(IF(INDEX('Test catalog'!$J$2:$J$200,MATCH($AB367,'Test catalog'!$A$2:$A$200,0))="","",INDEX('Test catalog'!$J$2:$J$200,MATCH($AB367,'Test catalog'!$A$2:$A$200,0))),"")</f>
        <v/>
      </c>
      <c r="P367" s="14">
        <f>IF(N367="","",IF(OR(M367="",O367=""),N367,(M367+4*N367+O367)/6))</f>
        <v/>
      </c>
      <c r="Q367" s="10">
        <f>IFERROR(IF(INDEX('Test catalog'!$K$2:$K$200,MATCH($AB367,'Test catalog'!$A$2:$A$200,0))="","",INDEX('Test catalog'!$K$2:$K$200,MATCH($AB367,'Test catalog'!$A$2:$A$200,0))),"")</f>
        <v/>
      </c>
      <c r="R367" s="5" t="n"/>
      <c r="S367" s="10">
        <f>IFERROR(IF(INDEX('Test catalog'!$L$2:$L$200,MATCH($AB367,'Test catalog'!$A$2:$A$200,0))="","",INDEX('Test catalog'!$L$2:$L$200,MATCH($AB367,'Test catalog'!$A$2:$A$200,0))),"")</f>
        <v/>
      </c>
      <c r="T367" s="10">
        <f>IFERROR(IF(INDEX('Test catalog'!$M$2:$M$200,MATCH($AB367,'Test catalog'!$A$2:$A$200,0))="","",INDEX('Test catalog'!$M$2:$M$200,MATCH($AB367,'Test catalog'!$A$2:$A$200,0))),"")</f>
        <v/>
      </c>
      <c r="U367" s="10">
        <f>IFERROR(IF(INDEX('Test catalog'!$N$2:$N$200,MATCH($AB367,'Test catalog'!$A$2:$A$200,0))="","",INDEX('Test catalog'!$N$2:$N$200,MATCH($AB367,'Test catalog'!$A$2:$A$200,0))),"")</f>
        <v/>
      </c>
      <c r="V367" s="15" t="n"/>
      <c r="W367" s="5" t="inlineStr">
        <is>
          <t>Y</t>
        </is>
      </c>
      <c r="X367" s="5" t="n"/>
      <c r="Y367" s="5" t="n"/>
      <c r="Z367" s="5" t="n"/>
      <c r="AA367" s="10">
        <f>IFERROR(IF(INDEX('Test catalog'!$O$2:$O$200,MATCH($AB367,'Test catalog'!$A$2:$A$200,0))="","",INDEX('Test catalog'!$O$2:$O$200,MATCH($AB367,'Test catalog'!$A$2:$A$200,0))),"")</f>
        <v/>
      </c>
      <c r="AB367" s="10" t="inlineStr">
        <is>
          <t>HARD</t>
        </is>
      </c>
    </row>
    <row r="368">
      <c r="A368" s="10" t="inlineStr">
        <is>
          <t>F49</t>
        </is>
      </c>
      <c r="B368" s="10" t="inlineStr">
        <is>
          <t>FP</t>
        </is>
      </c>
      <c r="C368" s="10" t="inlineStr">
        <is>
          <t>Prostica  |  Saw Palmetto Dry Extract 4:1, Sodium Selenite (+1 more)</t>
        </is>
      </c>
      <c r="D368" s="10" t="inlineStr">
        <is>
          <t>Brittleness</t>
        </is>
      </c>
      <c r="E368" s="10">
        <f>IF(A368="","",A368&amp;"|"&amp;D368)</f>
        <v/>
      </c>
      <c r="F368" s="5" t="inlineStr">
        <is>
          <t>Y</t>
        </is>
      </c>
      <c r="G368" s="5" t="inlineStr">
        <is>
          <t>Other / bench</t>
        </is>
      </c>
      <c r="H368" s="5" t="inlineStr">
        <is>
          <t>Low</t>
        </is>
      </c>
      <c r="I368" s="5" t="n">
        <v>1</v>
      </c>
      <c r="J368" s="5" t="n"/>
      <c r="K368" s="10">
        <f>IFERROR(IF(INDEX('Test catalog'!$F$2:$F$200,MATCH($AB368,'Test catalog'!$A$2:$A$200,0))="","",INDEX('Test catalog'!$F$2:$F$200,MATCH($AB368,'Test catalog'!$A$2:$A$200,0))),"")</f>
        <v/>
      </c>
      <c r="L368" s="10">
        <f>IFERROR(IF(INDEX('Test catalog'!$G$2:$G$200,MATCH($AB368,'Test catalog'!$A$2:$A$200,0))="","",INDEX('Test catalog'!$G$2:$G$200,MATCH($AB368,'Test catalog'!$A$2:$A$200,0))),"")</f>
        <v/>
      </c>
      <c r="M368" s="10">
        <f>IFERROR(IF(INDEX('Test catalog'!$H$2:$H$200,MATCH($AB368,'Test catalog'!$A$2:$A$200,0))="","",INDEX('Test catalog'!$H$2:$H$200,MATCH($AB368,'Test catalog'!$A$2:$A$200,0))),"")</f>
        <v/>
      </c>
      <c r="N368" s="10">
        <f>IFERROR(IF(INDEX('Test catalog'!$I$2:$I$200,MATCH($AB368,'Test catalog'!$A$2:$A$200,0))="","",INDEX('Test catalog'!$I$2:$I$200,MATCH($AB368,'Test catalog'!$A$2:$A$200,0))),"")</f>
        <v/>
      </c>
      <c r="O368" s="10">
        <f>IFERROR(IF(INDEX('Test catalog'!$J$2:$J$200,MATCH($AB368,'Test catalog'!$A$2:$A$200,0))="","",INDEX('Test catalog'!$J$2:$J$200,MATCH($AB368,'Test catalog'!$A$2:$A$200,0))),"")</f>
        <v/>
      </c>
      <c r="P368" s="14">
        <f>IF(N368="","",IF(OR(M368="",O368=""),N368,(M368+4*N368+O368)/6))</f>
        <v/>
      </c>
      <c r="Q368" s="10">
        <f>IFERROR(IF(INDEX('Test catalog'!$K$2:$K$200,MATCH($AB368,'Test catalog'!$A$2:$A$200,0))="","",INDEX('Test catalog'!$K$2:$K$200,MATCH($AB368,'Test catalog'!$A$2:$A$200,0))),"")</f>
        <v/>
      </c>
      <c r="R368" s="5" t="n"/>
      <c r="S368" s="10">
        <f>IFERROR(IF(INDEX('Test catalog'!$L$2:$L$200,MATCH($AB368,'Test catalog'!$A$2:$A$200,0))="","",INDEX('Test catalog'!$L$2:$L$200,MATCH($AB368,'Test catalog'!$A$2:$A$200,0))),"")</f>
        <v/>
      </c>
      <c r="T368" s="10">
        <f>IFERROR(IF(INDEX('Test catalog'!$M$2:$M$200,MATCH($AB368,'Test catalog'!$A$2:$A$200,0))="","",INDEX('Test catalog'!$M$2:$M$200,MATCH($AB368,'Test catalog'!$A$2:$A$200,0))),"")</f>
        <v/>
      </c>
      <c r="U368" s="10">
        <f>IFERROR(IF(INDEX('Test catalog'!$N$2:$N$200,MATCH($AB368,'Test catalog'!$A$2:$A$200,0))="","",INDEX('Test catalog'!$N$2:$N$200,MATCH($AB368,'Test catalog'!$A$2:$A$200,0))),"")</f>
        <v/>
      </c>
      <c r="V368" s="15" t="n"/>
      <c r="W368" s="5" t="inlineStr">
        <is>
          <t>N</t>
        </is>
      </c>
      <c r="X368" s="5" t="n"/>
      <c r="Y368" s="5" t="n"/>
      <c r="Z368" s="5" t="n"/>
      <c r="AA368" s="10">
        <f>IFERROR(IF(INDEX('Test catalog'!$O$2:$O$200,MATCH($AB368,'Test catalog'!$A$2:$A$200,0))="","",INDEX('Test catalog'!$O$2:$O$200,MATCH($AB368,'Test catalog'!$A$2:$A$200,0))),"")</f>
        <v/>
      </c>
      <c r="AB368" s="10" t="inlineStr">
        <is>
          <t>BRITTLE</t>
        </is>
      </c>
    </row>
    <row r="369">
      <c r="A369" s="10" t="inlineStr">
        <is>
          <t>F49</t>
        </is>
      </c>
      <c r="B369" s="10" t="inlineStr">
        <is>
          <t>FP</t>
        </is>
      </c>
      <c r="C369" s="10" t="inlineStr">
        <is>
          <t>Prostica  |  Saw Palmetto Dry Extract 4:1, Sodium Selenite (+1 more)</t>
        </is>
      </c>
      <c r="D369" s="10" t="inlineStr">
        <is>
          <t>Friability</t>
        </is>
      </c>
      <c r="E369" s="10">
        <f>IF(A369="","",A369&amp;"|"&amp;D369)</f>
        <v/>
      </c>
      <c r="F369" s="5" t="inlineStr">
        <is>
          <t>Y</t>
        </is>
      </c>
      <c r="G369" s="5" t="inlineStr">
        <is>
          <t>Friabilator</t>
        </is>
      </c>
      <c r="H369" s="5" t="inlineStr">
        <is>
          <t>Low</t>
        </is>
      </c>
      <c r="I369" s="5" t="n">
        <v>1</v>
      </c>
      <c r="J369" s="5" t="n"/>
      <c r="K369" s="10">
        <f>IFERROR(IF(INDEX('Test catalog'!$F$2:$F$200,MATCH($AB369,'Test catalog'!$A$2:$A$200,0))="","",INDEX('Test catalog'!$F$2:$F$200,MATCH($AB369,'Test catalog'!$A$2:$A$200,0))),"")</f>
        <v/>
      </c>
      <c r="L369" s="10">
        <f>IFERROR(IF(INDEX('Test catalog'!$G$2:$G$200,MATCH($AB369,'Test catalog'!$A$2:$A$200,0))="","",INDEX('Test catalog'!$G$2:$G$200,MATCH($AB369,'Test catalog'!$A$2:$A$200,0))),"")</f>
        <v/>
      </c>
      <c r="M369" s="10">
        <f>IFERROR(IF(INDEX('Test catalog'!$H$2:$H$200,MATCH($AB369,'Test catalog'!$A$2:$A$200,0))="","",INDEX('Test catalog'!$H$2:$H$200,MATCH($AB369,'Test catalog'!$A$2:$A$200,0))),"")</f>
        <v/>
      </c>
      <c r="N369" s="10">
        <f>IFERROR(IF(INDEX('Test catalog'!$I$2:$I$200,MATCH($AB369,'Test catalog'!$A$2:$A$200,0))="","",INDEX('Test catalog'!$I$2:$I$200,MATCH($AB369,'Test catalog'!$A$2:$A$200,0))),"")</f>
        <v/>
      </c>
      <c r="O369" s="10">
        <f>IFERROR(IF(INDEX('Test catalog'!$J$2:$J$200,MATCH($AB369,'Test catalog'!$A$2:$A$200,0))="","",INDEX('Test catalog'!$J$2:$J$200,MATCH($AB369,'Test catalog'!$A$2:$A$200,0))),"")</f>
        <v/>
      </c>
      <c r="P369" s="14">
        <f>IF(N369="","",IF(OR(M369="",O369=""),N369,(M369+4*N369+O369)/6))</f>
        <v/>
      </c>
      <c r="Q369" s="10">
        <f>IFERROR(IF(INDEX('Test catalog'!$K$2:$K$200,MATCH($AB369,'Test catalog'!$A$2:$A$200,0))="","",INDEX('Test catalog'!$K$2:$K$200,MATCH($AB369,'Test catalog'!$A$2:$A$200,0))),"")</f>
        <v/>
      </c>
      <c r="R369" s="5" t="n"/>
      <c r="S369" s="10">
        <f>IFERROR(IF(INDEX('Test catalog'!$L$2:$L$200,MATCH($AB369,'Test catalog'!$A$2:$A$200,0))="","",INDEX('Test catalog'!$L$2:$L$200,MATCH($AB369,'Test catalog'!$A$2:$A$200,0))),"")</f>
        <v/>
      </c>
      <c r="T369" s="10">
        <f>IFERROR(IF(INDEX('Test catalog'!$M$2:$M$200,MATCH($AB369,'Test catalog'!$A$2:$A$200,0))="","",INDEX('Test catalog'!$M$2:$M$200,MATCH($AB369,'Test catalog'!$A$2:$A$200,0))),"")</f>
        <v/>
      </c>
      <c r="U369" s="10">
        <f>IFERROR(IF(INDEX('Test catalog'!$N$2:$N$200,MATCH($AB369,'Test catalog'!$A$2:$A$200,0))="","",INDEX('Test catalog'!$N$2:$N$200,MATCH($AB369,'Test catalog'!$A$2:$A$200,0))),"")</f>
        <v/>
      </c>
      <c r="V369" s="15" t="n"/>
      <c r="W369" s="5" t="inlineStr">
        <is>
          <t>N</t>
        </is>
      </c>
      <c r="X369" s="5" t="n"/>
      <c r="Y369" s="5" t="n"/>
      <c r="Z369" s="5" t="n"/>
      <c r="AA369" s="10">
        <f>IFERROR(IF(INDEX('Test catalog'!$O$2:$O$200,MATCH($AB369,'Test catalog'!$A$2:$A$200,0))="","",INDEX('Test catalog'!$O$2:$O$200,MATCH($AB369,'Test catalog'!$A$2:$A$200,0))),"")</f>
        <v/>
      </c>
      <c r="AB369" s="10" t="inlineStr">
        <is>
          <t>FRIAB</t>
        </is>
      </c>
    </row>
    <row r="370">
      <c r="A370" s="10" t="inlineStr">
        <is>
          <t>F49</t>
        </is>
      </c>
      <c r="B370" s="10" t="inlineStr">
        <is>
          <t>FP</t>
        </is>
      </c>
      <c r="C370" s="10" t="inlineStr">
        <is>
          <t>Prostica  |  Saw Palmetto Dry Extract 4:1, Sodium Selenite (+1 more)</t>
        </is>
      </c>
      <c r="D370" s="10" t="inlineStr">
        <is>
          <t>Disintegration</t>
        </is>
      </c>
      <c r="E370" s="10">
        <f>IF(A370="","",A370&amp;"|"&amp;D370)</f>
        <v/>
      </c>
      <c r="F370" s="5" t="inlineStr">
        <is>
          <t>Y</t>
        </is>
      </c>
      <c r="G370" s="5" t="inlineStr">
        <is>
          <t>Disintegration tester</t>
        </is>
      </c>
      <c r="H370" s="5" t="inlineStr">
        <is>
          <t>Low</t>
        </is>
      </c>
      <c r="I370" s="5" t="n">
        <v>1</v>
      </c>
      <c r="J370" s="5" t="n"/>
      <c r="K370" s="10">
        <f>IFERROR(IF(INDEX('Test catalog'!$F$2:$F$200,MATCH($AB370,'Test catalog'!$A$2:$A$200,0))="","",INDEX('Test catalog'!$F$2:$F$200,MATCH($AB370,'Test catalog'!$A$2:$A$200,0))),"")</f>
        <v/>
      </c>
      <c r="L370" s="10">
        <f>IFERROR(IF(INDEX('Test catalog'!$G$2:$G$200,MATCH($AB370,'Test catalog'!$A$2:$A$200,0))="","",INDEX('Test catalog'!$G$2:$G$200,MATCH($AB370,'Test catalog'!$A$2:$A$200,0))),"")</f>
        <v/>
      </c>
      <c r="M370" s="10">
        <f>IFERROR(IF(INDEX('Test catalog'!$H$2:$H$200,MATCH($AB370,'Test catalog'!$A$2:$A$200,0))="","",INDEX('Test catalog'!$H$2:$H$200,MATCH($AB370,'Test catalog'!$A$2:$A$200,0))),"")</f>
        <v/>
      </c>
      <c r="N370" s="10">
        <f>IFERROR(IF(INDEX('Test catalog'!$I$2:$I$200,MATCH($AB370,'Test catalog'!$A$2:$A$200,0))="","",INDEX('Test catalog'!$I$2:$I$200,MATCH($AB370,'Test catalog'!$A$2:$A$200,0))),"")</f>
        <v/>
      </c>
      <c r="O370" s="10">
        <f>IFERROR(IF(INDEX('Test catalog'!$J$2:$J$200,MATCH($AB370,'Test catalog'!$A$2:$A$200,0))="","",INDEX('Test catalog'!$J$2:$J$200,MATCH($AB370,'Test catalog'!$A$2:$A$200,0))),"")</f>
        <v/>
      </c>
      <c r="P370" s="14">
        <f>IF(N370="","",IF(OR(M370="",O370=""),N370,(M370+4*N370+O370)/6))</f>
        <v/>
      </c>
      <c r="Q370" s="10">
        <f>IFERROR(IF(INDEX('Test catalog'!$K$2:$K$200,MATCH($AB370,'Test catalog'!$A$2:$A$200,0))="","",INDEX('Test catalog'!$K$2:$K$200,MATCH($AB370,'Test catalog'!$A$2:$A$200,0))),"")</f>
        <v/>
      </c>
      <c r="R370" s="5" t="n"/>
      <c r="S370" s="10">
        <f>IFERROR(IF(INDEX('Test catalog'!$L$2:$L$200,MATCH($AB370,'Test catalog'!$A$2:$A$200,0))="","",INDEX('Test catalog'!$L$2:$L$200,MATCH($AB370,'Test catalog'!$A$2:$A$200,0))),"")</f>
        <v/>
      </c>
      <c r="T370" s="10">
        <f>IFERROR(IF(INDEX('Test catalog'!$M$2:$M$200,MATCH($AB370,'Test catalog'!$A$2:$A$200,0))="","",INDEX('Test catalog'!$M$2:$M$200,MATCH($AB370,'Test catalog'!$A$2:$A$200,0))),"")</f>
        <v/>
      </c>
      <c r="U370" s="10">
        <f>IFERROR(IF(INDEX('Test catalog'!$N$2:$N$200,MATCH($AB370,'Test catalog'!$A$2:$A$200,0))="","",INDEX('Test catalog'!$N$2:$N$200,MATCH($AB370,'Test catalog'!$A$2:$A$200,0))),"")</f>
        <v/>
      </c>
      <c r="V370" s="15" t="n"/>
      <c r="W370" s="5" t="inlineStr">
        <is>
          <t>Y</t>
        </is>
      </c>
      <c r="X370" s="5" t="n"/>
      <c r="Y370" s="5" t="n"/>
      <c r="Z370" s="5" t="n"/>
      <c r="AA370" s="10">
        <f>IFERROR(IF(INDEX('Test catalog'!$O$2:$O$200,MATCH($AB370,'Test catalog'!$A$2:$A$200,0))="","",INDEX('Test catalog'!$O$2:$O$200,MATCH($AB370,'Test catalog'!$A$2:$A$200,0))),"")</f>
        <v/>
      </c>
      <c r="AB370" s="10" t="inlineStr">
        <is>
          <t>DISINT</t>
        </is>
      </c>
    </row>
    <row r="371">
      <c r="A371" s="10" t="inlineStr">
        <is>
          <t>F49</t>
        </is>
      </c>
      <c r="B371" s="10" t="inlineStr">
        <is>
          <t>FP</t>
        </is>
      </c>
      <c r="C371" s="10" t="inlineStr">
        <is>
          <t>Prostica  |  Saw Palmetto Dry Extract 4:1, Sodium Selenite (+1 more)</t>
        </is>
      </c>
      <c r="D371" s="10" t="inlineStr">
        <is>
          <t>In-process check at the machine (one check, all its tests)</t>
        </is>
      </c>
      <c r="E371" s="10">
        <f>IF(A371="","",A371&amp;"|"&amp;D371)</f>
        <v/>
      </c>
      <c r="F371" s="5" t="inlineStr">
        <is>
          <t>Y</t>
        </is>
      </c>
      <c r="G371" s="5" t="inlineStr">
        <is>
          <t>Tablet tester</t>
        </is>
      </c>
      <c r="H371" s="5" t="inlineStr">
        <is>
          <t>Low</t>
        </is>
      </c>
      <c r="I371" s="5" t="n">
        <v>1</v>
      </c>
      <c r="J371" s="5" t="n"/>
      <c r="K371" s="10">
        <f>IFERROR(IF(INDEX('Test catalog'!$F$2:$F$200,MATCH($AB371,'Test catalog'!$A$2:$A$200,0))="","",INDEX('Test catalog'!$F$2:$F$200,MATCH($AB371,'Test catalog'!$A$2:$A$200,0))),"")</f>
        <v/>
      </c>
      <c r="L371" s="10">
        <f>IFERROR(IF(INDEX('Test catalog'!$G$2:$G$200,MATCH($AB371,'Test catalog'!$A$2:$A$200,0))="","",INDEX('Test catalog'!$G$2:$G$200,MATCH($AB371,'Test catalog'!$A$2:$A$200,0))),"")</f>
        <v/>
      </c>
      <c r="M371" s="10">
        <f>IFERROR(IF(INDEX('Test catalog'!$H$2:$H$200,MATCH($AB371,'Test catalog'!$A$2:$A$200,0))="","",INDEX('Test catalog'!$H$2:$H$200,MATCH($AB371,'Test catalog'!$A$2:$A$200,0))),"")</f>
        <v/>
      </c>
      <c r="N371" s="10">
        <f>IFERROR(IF(INDEX('Test catalog'!$I$2:$I$200,MATCH($AB371,'Test catalog'!$A$2:$A$200,0))="","",INDEX('Test catalog'!$I$2:$I$200,MATCH($AB371,'Test catalog'!$A$2:$A$200,0))),"")</f>
        <v/>
      </c>
      <c r="O371" s="10">
        <f>IFERROR(IF(INDEX('Test catalog'!$J$2:$J$200,MATCH($AB371,'Test catalog'!$A$2:$A$200,0))="","",INDEX('Test catalog'!$J$2:$J$200,MATCH($AB371,'Test catalog'!$A$2:$A$200,0))),"")</f>
        <v/>
      </c>
      <c r="P371" s="14">
        <f>IF(N371="","",IF(OR(M371="",O371=""),N371,(M371+4*N371+O371)/6))</f>
        <v/>
      </c>
      <c r="Q371" s="10">
        <f>IFERROR(IF(INDEX('Test catalog'!$K$2:$K$200,MATCH($AB371,'Test catalog'!$A$2:$A$200,0))="","",INDEX('Test catalog'!$K$2:$K$200,MATCH($AB371,'Test catalog'!$A$2:$A$200,0))),"")</f>
        <v/>
      </c>
      <c r="R371" s="5" t="n"/>
      <c r="S371" s="10">
        <f>IFERROR(IF(INDEX('Test catalog'!$L$2:$L$200,MATCH($AB371,'Test catalog'!$A$2:$A$200,0))="","",INDEX('Test catalog'!$L$2:$L$200,MATCH($AB371,'Test catalog'!$A$2:$A$200,0))),"")</f>
        <v/>
      </c>
      <c r="T371" s="10">
        <f>IFERROR(IF(INDEX('Test catalog'!$M$2:$M$200,MATCH($AB371,'Test catalog'!$A$2:$A$200,0))="","",INDEX('Test catalog'!$M$2:$M$200,MATCH($AB371,'Test catalog'!$A$2:$A$200,0))),"")</f>
        <v/>
      </c>
      <c r="U371" s="10">
        <f>IFERROR(IF(INDEX('Test catalog'!$N$2:$N$200,MATCH($AB371,'Test catalog'!$A$2:$A$200,0))="","",INDEX('Test catalog'!$N$2:$N$200,MATCH($AB371,'Test catalog'!$A$2:$A$200,0))),"")</f>
        <v/>
      </c>
      <c r="V371" s="15" t="n"/>
      <c r="W371" s="5" t="inlineStr">
        <is>
          <t>N</t>
        </is>
      </c>
      <c r="X371" s="5" t="n"/>
      <c r="Y371" s="5" t="n"/>
      <c r="Z371" s="5" t="n"/>
      <c r="AA371" s="10">
        <f>IFERROR(IF(INDEX('Test catalog'!$O$2:$O$200,MATCH($AB371,'Test catalog'!$A$2:$A$200,0))="","",INDEX('Test catalog'!$O$2:$O$200,MATCH($AB371,'Test catalog'!$A$2:$A$200,0))),"")</f>
        <v/>
      </c>
      <c r="AB371" s="10" t="inlineStr">
        <is>
          <t>IPC</t>
        </is>
      </c>
    </row>
    <row r="372">
      <c r="A372" s="10" t="inlineStr">
        <is>
          <t>F50</t>
        </is>
      </c>
      <c r="B372" s="10" t="inlineStr">
        <is>
          <t>FP</t>
        </is>
      </c>
      <c r="C372" s="10" t="inlineStr">
        <is>
          <t>Vitacal Forte  |  Calcium Carbonate Heavy, Vitamin D3 (+7 more)</t>
        </is>
      </c>
      <c r="D372" s="10" t="inlineStr">
        <is>
          <t>Average weight / uniformity of mass</t>
        </is>
      </c>
      <c r="E372" s="10">
        <f>IF(A372="","",A372&amp;"|"&amp;D372)</f>
        <v/>
      </c>
      <c r="F372" s="5" t="inlineStr">
        <is>
          <t>Y</t>
        </is>
      </c>
      <c r="G372" s="5" t="inlineStr">
        <is>
          <t>Balance</t>
        </is>
      </c>
      <c r="H372" s="5" t="inlineStr">
        <is>
          <t>Low</t>
        </is>
      </c>
      <c r="I372" s="5" t="n">
        <v>1</v>
      </c>
      <c r="J372" s="5" t="n"/>
      <c r="K372" s="10">
        <f>IFERROR(IF(INDEX('Test catalog'!$F$2:$F$200,MATCH($AB372,'Test catalog'!$A$2:$A$200,0))="","",INDEX('Test catalog'!$F$2:$F$200,MATCH($AB372,'Test catalog'!$A$2:$A$200,0))),"")</f>
        <v/>
      </c>
      <c r="L372" s="10">
        <f>IFERROR(IF(INDEX('Test catalog'!$G$2:$G$200,MATCH($AB372,'Test catalog'!$A$2:$A$200,0))="","",INDEX('Test catalog'!$G$2:$G$200,MATCH($AB372,'Test catalog'!$A$2:$A$200,0))),"")</f>
        <v/>
      </c>
      <c r="M372" s="10">
        <f>IFERROR(IF(INDEX('Test catalog'!$H$2:$H$200,MATCH($AB372,'Test catalog'!$A$2:$A$200,0))="","",INDEX('Test catalog'!$H$2:$H$200,MATCH($AB372,'Test catalog'!$A$2:$A$200,0))),"")</f>
        <v/>
      </c>
      <c r="N372" s="10">
        <f>IFERROR(IF(INDEX('Test catalog'!$I$2:$I$200,MATCH($AB372,'Test catalog'!$A$2:$A$200,0))="","",INDEX('Test catalog'!$I$2:$I$200,MATCH($AB372,'Test catalog'!$A$2:$A$200,0))),"")</f>
        <v/>
      </c>
      <c r="O372" s="10">
        <f>IFERROR(IF(INDEX('Test catalog'!$J$2:$J$200,MATCH($AB372,'Test catalog'!$A$2:$A$200,0))="","",INDEX('Test catalog'!$J$2:$J$200,MATCH($AB372,'Test catalog'!$A$2:$A$200,0))),"")</f>
        <v/>
      </c>
      <c r="P372" s="14">
        <f>IF(N372="","",IF(OR(M372="",O372=""),N372,(M372+4*N372+O372)/6))</f>
        <v/>
      </c>
      <c r="Q372" s="10">
        <f>IFERROR(IF(INDEX('Test catalog'!$K$2:$K$200,MATCH($AB372,'Test catalog'!$A$2:$A$200,0))="","",INDEX('Test catalog'!$K$2:$K$200,MATCH($AB372,'Test catalog'!$A$2:$A$200,0))),"")</f>
        <v/>
      </c>
      <c r="R372" s="5" t="n"/>
      <c r="S372" s="10">
        <f>IFERROR(IF(INDEX('Test catalog'!$L$2:$L$200,MATCH($AB372,'Test catalog'!$A$2:$A$200,0))="","",INDEX('Test catalog'!$L$2:$L$200,MATCH($AB372,'Test catalog'!$A$2:$A$200,0))),"")</f>
        <v/>
      </c>
      <c r="T372" s="10">
        <f>IFERROR(IF(INDEX('Test catalog'!$M$2:$M$200,MATCH($AB372,'Test catalog'!$A$2:$A$200,0))="","",INDEX('Test catalog'!$M$2:$M$200,MATCH($AB372,'Test catalog'!$A$2:$A$200,0))),"")</f>
        <v/>
      </c>
      <c r="U372" s="10">
        <f>IFERROR(IF(INDEX('Test catalog'!$N$2:$N$200,MATCH($AB372,'Test catalog'!$A$2:$A$200,0))="","",INDEX('Test catalog'!$N$2:$N$200,MATCH($AB372,'Test catalog'!$A$2:$A$200,0))),"")</f>
        <v/>
      </c>
      <c r="V372" s="15" t="n"/>
      <c r="W372" s="5" t="inlineStr">
        <is>
          <t>N</t>
        </is>
      </c>
      <c r="X372" s="5" t="n"/>
      <c r="Y372" s="5" t="n"/>
      <c r="Z372" s="5" t="n"/>
      <c r="AA372" s="10">
        <f>IFERROR(IF(INDEX('Test catalog'!$O$2:$O$200,MATCH($AB372,'Test catalog'!$A$2:$A$200,0))="","",INDEX('Test catalog'!$O$2:$O$200,MATCH($AB372,'Test catalog'!$A$2:$A$200,0))),"")</f>
        <v/>
      </c>
      <c r="AB372" s="10" t="inlineStr">
        <is>
          <t>AVG_WT</t>
        </is>
      </c>
    </row>
    <row r="373">
      <c r="A373" s="10" t="inlineStr">
        <is>
          <t>F50</t>
        </is>
      </c>
      <c r="B373" s="10" t="inlineStr">
        <is>
          <t>FP</t>
        </is>
      </c>
      <c r="C373" s="10" t="inlineStr">
        <is>
          <t>Vitacal Forte  |  Calcium Carbonate Heavy, Vitamin D3 (+7 more)</t>
        </is>
      </c>
      <c r="D373" s="10" t="inlineStr">
        <is>
          <t>Diameter (or length / width)</t>
        </is>
      </c>
      <c r="E373" s="10">
        <f>IF(A373="","",A373&amp;"|"&amp;D373)</f>
        <v/>
      </c>
      <c r="F373" s="5" t="inlineStr">
        <is>
          <t>Y</t>
        </is>
      </c>
      <c r="G373" s="5" t="inlineStr">
        <is>
          <t>Tablet tester</t>
        </is>
      </c>
      <c r="H373" s="5" t="inlineStr">
        <is>
          <t>Low</t>
        </is>
      </c>
      <c r="I373" s="5" t="n">
        <v>1</v>
      </c>
      <c r="J373" s="5" t="n"/>
      <c r="K373" s="10">
        <f>IFERROR(IF(INDEX('Test catalog'!$F$2:$F$200,MATCH($AB373,'Test catalog'!$A$2:$A$200,0))="","",INDEX('Test catalog'!$F$2:$F$200,MATCH($AB373,'Test catalog'!$A$2:$A$200,0))),"")</f>
        <v/>
      </c>
      <c r="L373" s="10">
        <f>IFERROR(IF(INDEX('Test catalog'!$G$2:$G$200,MATCH($AB373,'Test catalog'!$A$2:$A$200,0))="","",INDEX('Test catalog'!$G$2:$G$200,MATCH($AB373,'Test catalog'!$A$2:$A$200,0))),"")</f>
        <v/>
      </c>
      <c r="M373" s="10">
        <f>IFERROR(IF(INDEX('Test catalog'!$H$2:$H$200,MATCH($AB373,'Test catalog'!$A$2:$A$200,0))="","",INDEX('Test catalog'!$H$2:$H$200,MATCH($AB373,'Test catalog'!$A$2:$A$200,0))),"")</f>
        <v/>
      </c>
      <c r="N373" s="10">
        <f>IFERROR(IF(INDEX('Test catalog'!$I$2:$I$200,MATCH($AB373,'Test catalog'!$A$2:$A$200,0))="","",INDEX('Test catalog'!$I$2:$I$200,MATCH($AB373,'Test catalog'!$A$2:$A$200,0))),"")</f>
        <v/>
      </c>
      <c r="O373" s="10">
        <f>IFERROR(IF(INDEX('Test catalog'!$J$2:$J$200,MATCH($AB373,'Test catalog'!$A$2:$A$200,0))="","",INDEX('Test catalog'!$J$2:$J$200,MATCH($AB373,'Test catalog'!$A$2:$A$200,0))),"")</f>
        <v/>
      </c>
      <c r="P373" s="14">
        <f>IF(N373="","",IF(OR(M373="",O373=""),N373,(M373+4*N373+O373)/6))</f>
        <v/>
      </c>
      <c r="Q373" s="10">
        <f>IFERROR(IF(INDEX('Test catalog'!$K$2:$K$200,MATCH($AB373,'Test catalog'!$A$2:$A$200,0))="","",INDEX('Test catalog'!$K$2:$K$200,MATCH($AB373,'Test catalog'!$A$2:$A$200,0))),"")</f>
        <v/>
      </c>
      <c r="R373" s="5" t="n"/>
      <c r="S373" s="10">
        <f>IFERROR(IF(INDEX('Test catalog'!$L$2:$L$200,MATCH($AB373,'Test catalog'!$A$2:$A$200,0))="","",INDEX('Test catalog'!$L$2:$L$200,MATCH($AB373,'Test catalog'!$A$2:$A$200,0))),"")</f>
        <v/>
      </c>
      <c r="T373" s="10">
        <f>IFERROR(IF(INDEX('Test catalog'!$M$2:$M$200,MATCH($AB373,'Test catalog'!$A$2:$A$200,0))="","",INDEX('Test catalog'!$M$2:$M$200,MATCH($AB373,'Test catalog'!$A$2:$A$200,0))),"")</f>
        <v/>
      </c>
      <c r="U373" s="10">
        <f>IFERROR(IF(INDEX('Test catalog'!$N$2:$N$200,MATCH($AB373,'Test catalog'!$A$2:$A$200,0))="","",INDEX('Test catalog'!$N$2:$N$200,MATCH($AB373,'Test catalog'!$A$2:$A$200,0))),"")</f>
        <v/>
      </c>
      <c r="V373" s="15" t="n"/>
      <c r="W373" s="5" t="inlineStr">
        <is>
          <t>N</t>
        </is>
      </c>
      <c r="X373" s="5" t="n"/>
      <c r="Y373" s="5" t="n"/>
      <c r="Z373" s="5" t="n"/>
      <c r="AA373" s="10">
        <f>IFERROR(IF(INDEX('Test catalog'!$O$2:$O$200,MATCH($AB373,'Test catalog'!$A$2:$A$200,0))="","",INDEX('Test catalog'!$O$2:$O$200,MATCH($AB373,'Test catalog'!$A$2:$A$200,0))),"")</f>
        <v/>
      </c>
      <c r="AB373" s="10" t="inlineStr">
        <is>
          <t>DIAM</t>
        </is>
      </c>
    </row>
    <row r="374">
      <c r="A374" s="10" t="inlineStr">
        <is>
          <t>F50</t>
        </is>
      </c>
      <c r="B374" s="10" t="inlineStr">
        <is>
          <t>FP</t>
        </is>
      </c>
      <c r="C374" s="10" t="inlineStr">
        <is>
          <t>Vitacal Forte  |  Calcium Carbonate Heavy, Vitamin D3 (+7 more)</t>
        </is>
      </c>
      <c r="D374" s="10" t="inlineStr">
        <is>
          <t>Thickness</t>
        </is>
      </c>
      <c r="E374" s="10">
        <f>IF(A374="","",A374&amp;"|"&amp;D374)</f>
        <v/>
      </c>
      <c r="F374" s="5" t="inlineStr">
        <is>
          <t>Y</t>
        </is>
      </c>
      <c r="G374" s="5" t="inlineStr">
        <is>
          <t>Tablet tester</t>
        </is>
      </c>
      <c r="H374" s="5" t="inlineStr">
        <is>
          <t>Low</t>
        </is>
      </c>
      <c r="I374" s="5" t="n">
        <v>1</v>
      </c>
      <c r="J374" s="5" t="n"/>
      <c r="K374" s="10">
        <f>IFERROR(IF(INDEX('Test catalog'!$F$2:$F$200,MATCH($AB374,'Test catalog'!$A$2:$A$200,0))="","",INDEX('Test catalog'!$F$2:$F$200,MATCH($AB374,'Test catalog'!$A$2:$A$200,0))),"")</f>
        <v/>
      </c>
      <c r="L374" s="10">
        <f>IFERROR(IF(INDEX('Test catalog'!$G$2:$G$200,MATCH($AB374,'Test catalog'!$A$2:$A$200,0))="","",INDEX('Test catalog'!$G$2:$G$200,MATCH($AB374,'Test catalog'!$A$2:$A$200,0))),"")</f>
        <v/>
      </c>
      <c r="M374" s="10">
        <f>IFERROR(IF(INDEX('Test catalog'!$H$2:$H$200,MATCH($AB374,'Test catalog'!$A$2:$A$200,0))="","",INDEX('Test catalog'!$H$2:$H$200,MATCH($AB374,'Test catalog'!$A$2:$A$200,0))),"")</f>
        <v/>
      </c>
      <c r="N374" s="10">
        <f>IFERROR(IF(INDEX('Test catalog'!$I$2:$I$200,MATCH($AB374,'Test catalog'!$A$2:$A$200,0))="","",INDEX('Test catalog'!$I$2:$I$200,MATCH($AB374,'Test catalog'!$A$2:$A$200,0))),"")</f>
        <v/>
      </c>
      <c r="O374" s="10">
        <f>IFERROR(IF(INDEX('Test catalog'!$J$2:$J$200,MATCH($AB374,'Test catalog'!$A$2:$A$200,0))="","",INDEX('Test catalog'!$J$2:$J$200,MATCH($AB374,'Test catalog'!$A$2:$A$200,0))),"")</f>
        <v/>
      </c>
      <c r="P374" s="14">
        <f>IF(N374="","",IF(OR(M374="",O374=""),N374,(M374+4*N374+O374)/6))</f>
        <v/>
      </c>
      <c r="Q374" s="10">
        <f>IFERROR(IF(INDEX('Test catalog'!$K$2:$K$200,MATCH($AB374,'Test catalog'!$A$2:$A$200,0))="","",INDEX('Test catalog'!$K$2:$K$200,MATCH($AB374,'Test catalog'!$A$2:$A$200,0))),"")</f>
        <v/>
      </c>
      <c r="R374" s="5" t="n"/>
      <c r="S374" s="10">
        <f>IFERROR(IF(INDEX('Test catalog'!$L$2:$L$200,MATCH($AB374,'Test catalog'!$A$2:$A$200,0))="","",INDEX('Test catalog'!$L$2:$L$200,MATCH($AB374,'Test catalog'!$A$2:$A$200,0))),"")</f>
        <v/>
      </c>
      <c r="T374" s="10">
        <f>IFERROR(IF(INDEX('Test catalog'!$M$2:$M$200,MATCH($AB374,'Test catalog'!$A$2:$A$200,0))="","",INDEX('Test catalog'!$M$2:$M$200,MATCH($AB374,'Test catalog'!$A$2:$A$200,0))),"")</f>
        <v/>
      </c>
      <c r="U374" s="10">
        <f>IFERROR(IF(INDEX('Test catalog'!$N$2:$N$200,MATCH($AB374,'Test catalog'!$A$2:$A$200,0))="","",INDEX('Test catalog'!$N$2:$N$200,MATCH($AB374,'Test catalog'!$A$2:$A$200,0))),"")</f>
        <v/>
      </c>
      <c r="V374" s="15" t="n"/>
      <c r="W374" s="5" t="inlineStr">
        <is>
          <t>N</t>
        </is>
      </c>
      <c r="X374" s="5" t="n"/>
      <c r="Y374" s="5" t="n"/>
      <c r="Z374" s="5" t="n"/>
      <c r="AA374" s="10">
        <f>IFERROR(IF(INDEX('Test catalog'!$O$2:$O$200,MATCH($AB374,'Test catalog'!$A$2:$A$200,0))="","",INDEX('Test catalog'!$O$2:$O$200,MATCH($AB374,'Test catalog'!$A$2:$A$200,0))),"")</f>
        <v/>
      </c>
      <c r="AB374" s="10" t="inlineStr">
        <is>
          <t>THICK</t>
        </is>
      </c>
    </row>
    <row r="375">
      <c r="A375" s="10" t="inlineStr">
        <is>
          <t>F50</t>
        </is>
      </c>
      <c r="B375" s="10" t="inlineStr">
        <is>
          <t>FP</t>
        </is>
      </c>
      <c r="C375" s="10" t="inlineStr">
        <is>
          <t>Vitacal Forte  |  Calcium Carbonate Heavy, Vitamin D3 (+7 more)</t>
        </is>
      </c>
      <c r="D375" s="10" t="inlineStr">
        <is>
          <t>Hardness / breaking force</t>
        </is>
      </c>
      <c r="E375" s="10">
        <f>IF(A375="","",A375&amp;"|"&amp;D375)</f>
        <v/>
      </c>
      <c r="F375" s="5" t="inlineStr">
        <is>
          <t>Y</t>
        </is>
      </c>
      <c r="G375" s="5" t="inlineStr">
        <is>
          <t>Tablet tester</t>
        </is>
      </c>
      <c r="H375" s="5" t="inlineStr">
        <is>
          <t>Low</t>
        </is>
      </c>
      <c r="I375" s="5" t="n">
        <v>1</v>
      </c>
      <c r="J375" s="5" t="n"/>
      <c r="K375" s="10">
        <f>IFERROR(IF(INDEX('Test catalog'!$F$2:$F$200,MATCH($AB375,'Test catalog'!$A$2:$A$200,0))="","",INDEX('Test catalog'!$F$2:$F$200,MATCH($AB375,'Test catalog'!$A$2:$A$200,0))),"")</f>
        <v/>
      </c>
      <c r="L375" s="10">
        <f>IFERROR(IF(INDEX('Test catalog'!$G$2:$G$200,MATCH($AB375,'Test catalog'!$A$2:$A$200,0))="","",INDEX('Test catalog'!$G$2:$G$200,MATCH($AB375,'Test catalog'!$A$2:$A$200,0))),"")</f>
        <v/>
      </c>
      <c r="M375" s="10">
        <f>IFERROR(IF(INDEX('Test catalog'!$H$2:$H$200,MATCH($AB375,'Test catalog'!$A$2:$A$200,0))="","",INDEX('Test catalog'!$H$2:$H$200,MATCH($AB375,'Test catalog'!$A$2:$A$200,0))),"")</f>
        <v/>
      </c>
      <c r="N375" s="10">
        <f>IFERROR(IF(INDEX('Test catalog'!$I$2:$I$200,MATCH($AB375,'Test catalog'!$A$2:$A$200,0))="","",INDEX('Test catalog'!$I$2:$I$200,MATCH($AB375,'Test catalog'!$A$2:$A$200,0))),"")</f>
        <v/>
      </c>
      <c r="O375" s="10">
        <f>IFERROR(IF(INDEX('Test catalog'!$J$2:$J$200,MATCH($AB375,'Test catalog'!$A$2:$A$200,0))="","",INDEX('Test catalog'!$J$2:$J$200,MATCH($AB375,'Test catalog'!$A$2:$A$200,0))),"")</f>
        <v/>
      </c>
      <c r="P375" s="14">
        <f>IF(N375="","",IF(OR(M375="",O375=""),N375,(M375+4*N375+O375)/6))</f>
        <v/>
      </c>
      <c r="Q375" s="10">
        <f>IFERROR(IF(INDEX('Test catalog'!$K$2:$K$200,MATCH($AB375,'Test catalog'!$A$2:$A$200,0))="","",INDEX('Test catalog'!$K$2:$K$200,MATCH($AB375,'Test catalog'!$A$2:$A$200,0))),"")</f>
        <v/>
      </c>
      <c r="R375" s="5" t="n"/>
      <c r="S375" s="10">
        <f>IFERROR(IF(INDEX('Test catalog'!$L$2:$L$200,MATCH($AB375,'Test catalog'!$A$2:$A$200,0))="","",INDEX('Test catalog'!$L$2:$L$200,MATCH($AB375,'Test catalog'!$A$2:$A$200,0))),"")</f>
        <v/>
      </c>
      <c r="T375" s="10">
        <f>IFERROR(IF(INDEX('Test catalog'!$M$2:$M$200,MATCH($AB375,'Test catalog'!$A$2:$A$200,0))="","",INDEX('Test catalog'!$M$2:$M$200,MATCH($AB375,'Test catalog'!$A$2:$A$200,0))),"")</f>
        <v/>
      </c>
      <c r="U375" s="10">
        <f>IFERROR(IF(INDEX('Test catalog'!$N$2:$N$200,MATCH($AB375,'Test catalog'!$A$2:$A$200,0))="","",INDEX('Test catalog'!$N$2:$N$200,MATCH($AB375,'Test catalog'!$A$2:$A$200,0))),"")</f>
        <v/>
      </c>
      <c r="V375" s="15" t="n"/>
      <c r="W375" s="5" t="inlineStr">
        <is>
          <t>Y</t>
        </is>
      </c>
      <c r="X375" s="5" t="n"/>
      <c r="Y375" s="5" t="n"/>
      <c r="Z375" s="5" t="n"/>
      <c r="AA375" s="10">
        <f>IFERROR(IF(INDEX('Test catalog'!$O$2:$O$200,MATCH($AB375,'Test catalog'!$A$2:$A$200,0))="","",INDEX('Test catalog'!$O$2:$O$200,MATCH($AB375,'Test catalog'!$A$2:$A$200,0))),"")</f>
        <v/>
      </c>
      <c r="AB375" s="10" t="inlineStr">
        <is>
          <t>HARD</t>
        </is>
      </c>
    </row>
    <row r="376">
      <c r="A376" s="10" t="inlineStr">
        <is>
          <t>F50</t>
        </is>
      </c>
      <c r="B376" s="10" t="inlineStr">
        <is>
          <t>FP</t>
        </is>
      </c>
      <c r="C376" s="10" t="inlineStr">
        <is>
          <t>Vitacal Forte  |  Calcium Carbonate Heavy, Vitamin D3 (+7 more)</t>
        </is>
      </c>
      <c r="D376" s="10" t="inlineStr">
        <is>
          <t>Brittleness</t>
        </is>
      </c>
      <c r="E376" s="10">
        <f>IF(A376="","",A376&amp;"|"&amp;D376)</f>
        <v/>
      </c>
      <c r="F376" s="5" t="inlineStr">
        <is>
          <t>Y</t>
        </is>
      </c>
      <c r="G376" s="5" t="inlineStr">
        <is>
          <t>Other / bench</t>
        </is>
      </c>
      <c r="H376" s="5" t="inlineStr">
        <is>
          <t>Low</t>
        </is>
      </c>
      <c r="I376" s="5" t="n">
        <v>1</v>
      </c>
      <c r="J376" s="5" t="n"/>
      <c r="K376" s="10">
        <f>IFERROR(IF(INDEX('Test catalog'!$F$2:$F$200,MATCH($AB376,'Test catalog'!$A$2:$A$200,0))="","",INDEX('Test catalog'!$F$2:$F$200,MATCH($AB376,'Test catalog'!$A$2:$A$200,0))),"")</f>
        <v/>
      </c>
      <c r="L376" s="10">
        <f>IFERROR(IF(INDEX('Test catalog'!$G$2:$G$200,MATCH($AB376,'Test catalog'!$A$2:$A$200,0))="","",INDEX('Test catalog'!$G$2:$G$200,MATCH($AB376,'Test catalog'!$A$2:$A$200,0))),"")</f>
        <v/>
      </c>
      <c r="M376" s="10">
        <f>IFERROR(IF(INDEX('Test catalog'!$H$2:$H$200,MATCH($AB376,'Test catalog'!$A$2:$A$200,0))="","",INDEX('Test catalog'!$H$2:$H$200,MATCH($AB376,'Test catalog'!$A$2:$A$200,0))),"")</f>
        <v/>
      </c>
      <c r="N376" s="10">
        <f>IFERROR(IF(INDEX('Test catalog'!$I$2:$I$200,MATCH($AB376,'Test catalog'!$A$2:$A$200,0))="","",INDEX('Test catalog'!$I$2:$I$200,MATCH($AB376,'Test catalog'!$A$2:$A$200,0))),"")</f>
        <v/>
      </c>
      <c r="O376" s="10">
        <f>IFERROR(IF(INDEX('Test catalog'!$J$2:$J$200,MATCH($AB376,'Test catalog'!$A$2:$A$200,0))="","",INDEX('Test catalog'!$J$2:$J$200,MATCH($AB376,'Test catalog'!$A$2:$A$200,0))),"")</f>
        <v/>
      </c>
      <c r="P376" s="14">
        <f>IF(N376="","",IF(OR(M376="",O376=""),N376,(M376+4*N376+O376)/6))</f>
        <v/>
      </c>
      <c r="Q376" s="10">
        <f>IFERROR(IF(INDEX('Test catalog'!$K$2:$K$200,MATCH($AB376,'Test catalog'!$A$2:$A$200,0))="","",INDEX('Test catalog'!$K$2:$K$200,MATCH($AB376,'Test catalog'!$A$2:$A$200,0))),"")</f>
        <v/>
      </c>
      <c r="R376" s="5" t="n"/>
      <c r="S376" s="10">
        <f>IFERROR(IF(INDEX('Test catalog'!$L$2:$L$200,MATCH($AB376,'Test catalog'!$A$2:$A$200,0))="","",INDEX('Test catalog'!$L$2:$L$200,MATCH($AB376,'Test catalog'!$A$2:$A$200,0))),"")</f>
        <v/>
      </c>
      <c r="T376" s="10">
        <f>IFERROR(IF(INDEX('Test catalog'!$M$2:$M$200,MATCH($AB376,'Test catalog'!$A$2:$A$200,0))="","",INDEX('Test catalog'!$M$2:$M$200,MATCH($AB376,'Test catalog'!$A$2:$A$200,0))),"")</f>
        <v/>
      </c>
      <c r="U376" s="10">
        <f>IFERROR(IF(INDEX('Test catalog'!$N$2:$N$200,MATCH($AB376,'Test catalog'!$A$2:$A$200,0))="","",INDEX('Test catalog'!$N$2:$N$200,MATCH($AB376,'Test catalog'!$A$2:$A$200,0))),"")</f>
        <v/>
      </c>
      <c r="V376" s="15" t="n"/>
      <c r="W376" s="5" t="inlineStr">
        <is>
          <t>N</t>
        </is>
      </c>
      <c r="X376" s="5" t="n"/>
      <c r="Y376" s="5" t="n"/>
      <c r="Z376" s="5" t="n"/>
      <c r="AA376" s="10">
        <f>IFERROR(IF(INDEX('Test catalog'!$O$2:$O$200,MATCH($AB376,'Test catalog'!$A$2:$A$200,0))="","",INDEX('Test catalog'!$O$2:$O$200,MATCH($AB376,'Test catalog'!$A$2:$A$200,0))),"")</f>
        <v/>
      </c>
      <c r="AB376" s="10" t="inlineStr">
        <is>
          <t>BRITTLE</t>
        </is>
      </c>
    </row>
    <row r="377">
      <c r="A377" s="10" t="inlineStr">
        <is>
          <t>F50</t>
        </is>
      </c>
      <c r="B377" s="10" t="inlineStr">
        <is>
          <t>FP</t>
        </is>
      </c>
      <c r="C377" s="10" t="inlineStr">
        <is>
          <t>Vitacal Forte  |  Calcium Carbonate Heavy, Vitamin D3 (+7 more)</t>
        </is>
      </c>
      <c r="D377" s="10" t="inlineStr">
        <is>
          <t>Friability</t>
        </is>
      </c>
      <c r="E377" s="10">
        <f>IF(A377="","",A377&amp;"|"&amp;D377)</f>
        <v/>
      </c>
      <c r="F377" s="5" t="inlineStr">
        <is>
          <t>Y</t>
        </is>
      </c>
      <c r="G377" s="5" t="inlineStr">
        <is>
          <t>Friabilator</t>
        </is>
      </c>
      <c r="H377" s="5" t="inlineStr">
        <is>
          <t>Low</t>
        </is>
      </c>
      <c r="I377" s="5" t="n">
        <v>1</v>
      </c>
      <c r="J377" s="5" t="n"/>
      <c r="K377" s="10">
        <f>IFERROR(IF(INDEX('Test catalog'!$F$2:$F$200,MATCH($AB377,'Test catalog'!$A$2:$A$200,0))="","",INDEX('Test catalog'!$F$2:$F$200,MATCH($AB377,'Test catalog'!$A$2:$A$200,0))),"")</f>
        <v/>
      </c>
      <c r="L377" s="10">
        <f>IFERROR(IF(INDEX('Test catalog'!$G$2:$G$200,MATCH($AB377,'Test catalog'!$A$2:$A$200,0))="","",INDEX('Test catalog'!$G$2:$G$200,MATCH($AB377,'Test catalog'!$A$2:$A$200,0))),"")</f>
        <v/>
      </c>
      <c r="M377" s="10">
        <f>IFERROR(IF(INDEX('Test catalog'!$H$2:$H$200,MATCH($AB377,'Test catalog'!$A$2:$A$200,0))="","",INDEX('Test catalog'!$H$2:$H$200,MATCH($AB377,'Test catalog'!$A$2:$A$200,0))),"")</f>
        <v/>
      </c>
      <c r="N377" s="10">
        <f>IFERROR(IF(INDEX('Test catalog'!$I$2:$I$200,MATCH($AB377,'Test catalog'!$A$2:$A$200,0))="","",INDEX('Test catalog'!$I$2:$I$200,MATCH($AB377,'Test catalog'!$A$2:$A$200,0))),"")</f>
        <v/>
      </c>
      <c r="O377" s="10">
        <f>IFERROR(IF(INDEX('Test catalog'!$J$2:$J$200,MATCH($AB377,'Test catalog'!$A$2:$A$200,0))="","",INDEX('Test catalog'!$J$2:$J$200,MATCH($AB377,'Test catalog'!$A$2:$A$200,0))),"")</f>
        <v/>
      </c>
      <c r="P377" s="14">
        <f>IF(N377="","",IF(OR(M377="",O377=""),N377,(M377+4*N377+O377)/6))</f>
        <v/>
      </c>
      <c r="Q377" s="10">
        <f>IFERROR(IF(INDEX('Test catalog'!$K$2:$K$200,MATCH($AB377,'Test catalog'!$A$2:$A$200,0))="","",INDEX('Test catalog'!$K$2:$K$200,MATCH($AB377,'Test catalog'!$A$2:$A$200,0))),"")</f>
        <v/>
      </c>
      <c r="R377" s="5" t="n"/>
      <c r="S377" s="10">
        <f>IFERROR(IF(INDEX('Test catalog'!$L$2:$L$200,MATCH($AB377,'Test catalog'!$A$2:$A$200,0))="","",INDEX('Test catalog'!$L$2:$L$200,MATCH($AB377,'Test catalog'!$A$2:$A$200,0))),"")</f>
        <v/>
      </c>
      <c r="T377" s="10">
        <f>IFERROR(IF(INDEX('Test catalog'!$M$2:$M$200,MATCH($AB377,'Test catalog'!$A$2:$A$200,0))="","",INDEX('Test catalog'!$M$2:$M$200,MATCH($AB377,'Test catalog'!$A$2:$A$200,0))),"")</f>
        <v/>
      </c>
      <c r="U377" s="10">
        <f>IFERROR(IF(INDEX('Test catalog'!$N$2:$N$200,MATCH($AB377,'Test catalog'!$A$2:$A$200,0))="","",INDEX('Test catalog'!$N$2:$N$200,MATCH($AB377,'Test catalog'!$A$2:$A$200,0))),"")</f>
        <v/>
      </c>
      <c r="V377" s="15" t="n"/>
      <c r="W377" s="5" t="inlineStr">
        <is>
          <t>N</t>
        </is>
      </c>
      <c r="X377" s="5" t="n"/>
      <c r="Y377" s="5" t="n"/>
      <c r="Z377" s="5" t="n"/>
      <c r="AA377" s="10">
        <f>IFERROR(IF(INDEX('Test catalog'!$O$2:$O$200,MATCH($AB377,'Test catalog'!$A$2:$A$200,0))="","",INDEX('Test catalog'!$O$2:$O$200,MATCH($AB377,'Test catalog'!$A$2:$A$200,0))),"")</f>
        <v/>
      </c>
      <c r="AB377" s="10" t="inlineStr">
        <is>
          <t>FRIAB</t>
        </is>
      </c>
    </row>
    <row r="378">
      <c r="A378" s="10" t="inlineStr">
        <is>
          <t>F50</t>
        </is>
      </c>
      <c r="B378" s="10" t="inlineStr">
        <is>
          <t>FP</t>
        </is>
      </c>
      <c r="C378" s="10" t="inlineStr">
        <is>
          <t>Vitacal Forte  |  Calcium Carbonate Heavy, Vitamin D3 (+7 more)</t>
        </is>
      </c>
      <c r="D378" s="10" t="inlineStr">
        <is>
          <t>Disintegration</t>
        </is>
      </c>
      <c r="E378" s="10">
        <f>IF(A378="","",A378&amp;"|"&amp;D378)</f>
        <v/>
      </c>
      <c r="F378" s="5" t="inlineStr">
        <is>
          <t>Y</t>
        </is>
      </c>
      <c r="G378" s="5" t="inlineStr">
        <is>
          <t>Disintegration tester</t>
        </is>
      </c>
      <c r="H378" s="5" t="inlineStr">
        <is>
          <t>Low</t>
        </is>
      </c>
      <c r="I378" s="5" t="n">
        <v>1</v>
      </c>
      <c r="J378" s="5" t="n"/>
      <c r="K378" s="10">
        <f>IFERROR(IF(INDEX('Test catalog'!$F$2:$F$200,MATCH($AB378,'Test catalog'!$A$2:$A$200,0))="","",INDEX('Test catalog'!$F$2:$F$200,MATCH($AB378,'Test catalog'!$A$2:$A$200,0))),"")</f>
        <v/>
      </c>
      <c r="L378" s="10">
        <f>IFERROR(IF(INDEX('Test catalog'!$G$2:$G$200,MATCH($AB378,'Test catalog'!$A$2:$A$200,0))="","",INDEX('Test catalog'!$G$2:$G$200,MATCH($AB378,'Test catalog'!$A$2:$A$200,0))),"")</f>
        <v/>
      </c>
      <c r="M378" s="10">
        <f>IFERROR(IF(INDEX('Test catalog'!$H$2:$H$200,MATCH($AB378,'Test catalog'!$A$2:$A$200,0))="","",INDEX('Test catalog'!$H$2:$H$200,MATCH($AB378,'Test catalog'!$A$2:$A$200,0))),"")</f>
        <v/>
      </c>
      <c r="N378" s="10">
        <f>IFERROR(IF(INDEX('Test catalog'!$I$2:$I$200,MATCH($AB378,'Test catalog'!$A$2:$A$200,0))="","",INDEX('Test catalog'!$I$2:$I$200,MATCH($AB378,'Test catalog'!$A$2:$A$200,0))),"")</f>
        <v/>
      </c>
      <c r="O378" s="10">
        <f>IFERROR(IF(INDEX('Test catalog'!$J$2:$J$200,MATCH($AB378,'Test catalog'!$A$2:$A$200,0))="","",INDEX('Test catalog'!$J$2:$J$200,MATCH($AB378,'Test catalog'!$A$2:$A$200,0))),"")</f>
        <v/>
      </c>
      <c r="P378" s="14">
        <f>IF(N378="","",IF(OR(M378="",O378=""),N378,(M378+4*N378+O378)/6))</f>
        <v/>
      </c>
      <c r="Q378" s="10">
        <f>IFERROR(IF(INDEX('Test catalog'!$K$2:$K$200,MATCH($AB378,'Test catalog'!$A$2:$A$200,0))="","",INDEX('Test catalog'!$K$2:$K$200,MATCH($AB378,'Test catalog'!$A$2:$A$200,0))),"")</f>
        <v/>
      </c>
      <c r="R378" s="5" t="n"/>
      <c r="S378" s="10">
        <f>IFERROR(IF(INDEX('Test catalog'!$L$2:$L$200,MATCH($AB378,'Test catalog'!$A$2:$A$200,0))="","",INDEX('Test catalog'!$L$2:$L$200,MATCH($AB378,'Test catalog'!$A$2:$A$200,0))),"")</f>
        <v/>
      </c>
      <c r="T378" s="10">
        <f>IFERROR(IF(INDEX('Test catalog'!$M$2:$M$200,MATCH($AB378,'Test catalog'!$A$2:$A$200,0))="","",INDEX('Test catalog'!$M$2:$M$200,MATCH($AB378,'Test catalog'!$A$2:$A$200,0))),"")</f>
        <v/>
      </c>
      <c r="U378" s="10">
        <f>IFERROR(IF(INDEX('Test catalog'!$N$2:$N$200,MATCH($AB378,'Test catalog'!$A$2:$A$200,0))="","",INDEX('Test catalog'!$N$2:$N$200,MATCH($AB378,'Test catalog'!$A$2:$A$200,0))),"")</f>
        <v/>
      </c>
      <c r="V378" s="15" t="n"/>
      <c r="W378" s="5" t="inlineStr">
        <is>
          <t>Y</t>
        </is>
      </c>
      <c r="X378" s="5" t="n"/>
      <c r="Y378" s="5" t="n"/>
      <c r="Z378" s="5" t="n"/>
      <c r="AA378" s="10">
        <f>IFERROR(IF(INDEX('Test catalog'!$O$2:$O$200,MATCH($AB378,'Test catalog'!$A$2:$A$200,0))="","",INDEX('Test catalog'!$O$2:$O$200,MATCH($AB378,'Test catalog'!$A$2:$A$200,0))),"")</f>
        <v/>
      </c>
      <c r="AB378" s="10" t="inlineStr">
        <is>
          <t>DISINT</t>
        </is>
      </c>
    </row>
    <row r="379">
      <c r="A379" s="10" t="inlineStr">
        <is>
          <t>F50</t>
        </is>
      </c>
      <c r="B379" s="10" t="inlineStr">
        <is>
          <t>FP</t>
        </is>
      </c>
      <c r="C379" s="10" t="inlineStr">
        <is>
          <t>Vitacal Forte  |  Calcium Carbonate Heavy, Vitamin D3 (+7 more)</t>
        </is>
      </c>
      <c r="D379" s="10" t="inlineStr">
        <is>
          <t>In-process check at the machine (one check, all its tests)</t>
        </is>
      </c>
      <c r="E379" s="10">
        <f>IF(A379="","",A379&amp;"|"&amp;D379)</f>
        <v/>
      </c>
      <c r="F379" s="5" t="inlineStr">
        <is>
          <t>Y</t>
        </is>
      </c>
      <c r="G379" s="5" t="inlineStr">
        <is>
          <t>Tablet tester</t>
        </is>
      </c>
      <c r="H379" s="5" t="inlineStr">
        <is>
          <t>Low</t>
        </is>
      </c>
      <c r="I379" s="5" t="n">
        <v>1</v>
      </c>
      <c r="J379" s="5" t="n"/>
      <c r="K379" s="10">
        <f>IFERROR(IF(INDEX('Test catalog'!$F$2:$F$200,MATCH($AB379,'Test catalog'!$A$2:$A$200,0))="","",INDEX('Test catalog'!$F$2:$F$200,MATCH($AB379,'Test catalog'!$A$2:$A$200,0))),"")</f>
        <v/>
      </c>
      <c r="L379" s="10">
        <f>IFERROR(IF(INDEX('Test catalog'!$G$2:$G$200,MATCH($AB379,'Test catalog'!$A$2:$A$200,0))="","",INDEX('Test catalog'!$G$2:$G$200,MATCH($AB379,'Test catalog'!$A$2:$A$200,0))),"")</f>
        <v/>
      </c>
      <c r="M379" s="10">
        <f>IFERROR(IF(INDEX('Test catalog'!$H$2:$H$200,MATCH($AB379,'Test catalog'!$A$2:$A$200,0))="","",INDEX('Test catalog'!$H$2:$H$200,MATCH($AB379,'Test catalog'!$A$2:$A$200,0))),"")</f>
        <v/>
      </c>
      <c r="N379" s="10">
        <f>IFERROR(IF(INDEX('Test catalog'!$I$2:$I$200,MATCH($AB379,'Test catalog'!$A$2:$A$200,0))="","",INDEX('Test catalog'!$I$2:$I$200,MATCH($AB379,'Test catalog'!$A$2:$A$200,0))),"")</f>
        <v/>
      </c>
      <c r="O379" s="10">
        <f>IFERROR(IF(INDEX('Test catalog'!$J$2:$J$200,MATCH($AB379,'Test catalog'!$A$2:$A$200,0))="","",INDEX('Test catalog'!$J$2:$J$200,MATCH($AB379,'Test catalog'!$A$2:$A$200,0))),"")</f>
        <v/>
      </c>
      <c r="P379" s="14">
        <f>IF(N379="","",IF(OR(M379="",O379=""),N379,(M379+4*N379+O379)/6))</f>
        <v/>
      </c>
      <c r="Q379" s="10">
        <f>IFERROR(IF(INDEX('Test catalog'!$K$2:$K$200,MATCH($AB379,'Test catalog'!$A$2:$A$200,0))="","",INDEX('Test catalog'!$K$2:$K$200,MATCH($AB379,'Test catalog'!$A$2:$A$200,0))),"")</f>
        <v/>
      </c>
      <c r="R379" s="5" t="n"/>
      <c r="S379" s="10">
        <f>IFERROR(IF(INDEX('Test catalog'!$L$2:$L$200,MATCH($AB379,'Test catalog'!$A$2:$A$200,0))="","",INDEX('Test catalog'!$L$2:$L$200,MATCH($AB379,'Test catalog'!$A$2:$A$200,0))),"")</f>
        <v/>
      </c>
      <c r="T379" s="10">
        <f>IFERROR(IF(INDEX('Test catalog'!$M$2:$M$200,MATCH($AB379,'Test catalog'!$A$2:$A$200,0))="","",INDEX('Test catalog'!$M$2:$M$200,MATCH($AB379,'Test catalog'!$A$2:$A$200,0))),"")</f>
        <v/>
      </c>
      <c r="U379" s="10">
        <f>IFERROR(IF(INDEX('Test catalog'!$N$2:$N$200,MATCH($AB379,'Test catalog'!$A$2:$A$200,0))="","",INDEX('Test catalog'!$N$2:$N$200,MATCH($AB379,'Test catalog'!$A$2:$A$200,0))),"")</f>
        <v/>
      </c>
      <c r="V379" s="15" t="n"/>
      <c r="W379" s="5" t="inlineStr">
        <is>
          <t>N</t>
        </is>
      </c>
      <c r="X379" s="5" t="n"/>
      <c r="Y379" s="5" t="n"/>
      <c r="Z379" s="5" t="n"/>
      <c r="AA379" s="10">
        <f>IFERROR(IF(INDEX('Test catalog'!$O$2:$O$200,MATCH($AB379,'Test catalog'!$A$2:$A$200,0))="","",INDEX('Test catalog'!$O$2:$O$200,MATCH($AB379,'Test catalog'!$A$2:$A$200,0))),"")</f>
        <v/>
      </c>
      <c r="AB379" s="10" t="inlineStr">
        <is>
          <t>IPC</t>
        </is>
      </c>
    </row>
    <row r="380">
      <c r="A380" s="10" t="inlineStr">
        <is>
          <t>F51</t>
        </is>
      </c>
      <c r="B380" s="10" t="inlineStr">
        <is>
          <t>FP</t>
        </is>
      </c>
      <c r="C380" s="10" t="inlineStr">
        <is>
          <t>Burning Fat  |  Coleus Forskohlii Root Dry Extract 10:1, Chromium Picolinate (+5 more)</t>
        </is>
      </c>
      <c r="D380" s="10" t="inlineStr">
        <is>
          <t>Average weight / uniformity of mass</t>
        </is>
      </c>
      <c r="E380" s="10">
        <f>IF(A380="","",A380&amp;"|"&amp;D380)</f>
        <v/>
      </c>
      <c r="F380" s="5" t="inlineStr">
        <is>
          <t>Y</t>
        </is>
      </c>
      <c r="G380" s="5" t="inlineStr">
        <is>
          <t>Balance</t>
        </is>
      </c>
      <c r="H380" s="5" t="inlineStr">
        <is>
          <t>Low</t>
        </is>
      </c>
      <c r="I380" s="5" t="n">
        <v>1</v>
      </c>
      <c r="J380" s="5" t="n"/>
      <c r="K380" s="10">
        <f>IFERROR(IF(INDEX('Test catalog'!$F$2:$F$200,MATCH($AB380,'Test catalog'!$A$2:$A$200,0))="","",INDEX('Test catalog'!$F$2:$F$200,MATCH($AB380,'Test catalog'!$A$2:$A$200,0))),"")</f>
        <v/>
      </c>
      <c r="L380" s="10">
        <f>IFERROR(IF(INDEX('Test catalog'!$G$2:$G$200,MATCH($AB380,'Test catalog'!$A$2:$A$200,0))="","",INDEX('Test catalog'!$G$2:$G$200,MATCH($AB380,'Test catalog'!$A$2:$A$200,0))),"")</f>
        <v/>
      </c>
      <c r="M380" s="10">
        <f>IFERROR(IF(INDEX('Test catalog'!$H$2:$H$200,MATCH($AB380,'Test catalog'!$A$2:$A$200,0))="","",INDEX('Test catalog'!$H$2:$H$200,MATCH($AB380,'Test catalog'!$A$2:$A$200,0))),"")</f>
        <v/>
      </c>
      <c r="N380" s="10">
        <f>IFERROR(IF(INDEX('Test catalog'!$I$2:$I$200,MATCH($AB380,'Test catalog'!$A$2:$A$200,0))="","",INDEX('Test catalog'!$I$2:$I$200,MATCH($AB380,'Test catalog'!$A$2:$A$200,0))),"")</f>
        <v/>
      </c>
      <c r="O380" s="10">
        <f>IFERROR(IF(INDEX('Test catalog'!$J$2:$J$200,MATCH($AB380,'Test catalog'!$A$2:$A$200,0))="","",INDEX('Test catalog'!$J$2:$J$200,MATCH($AB380,'Test catalog'!$A$2:$A$200,0))),"")</f>
        <v/>
      </c>
      <c r="P380" s="14">
        <f>IF(N380="","",IF(OR(M380="",O380=""),N380,(M380+4*N380+O380)/6))</f>
        <v/>
      </c>
      <c r="Q380" s="10">
        <f>IFERROR(IF(INDEX('Test catalog'!$K$2:$K$200,MATCH($AB380,'Test catalog'!$A$2:$A$200,0))="","",INDEX('Test catalog'!$K$2:$K$200,MATCH($AB380,'Test catalog'!$A$2:$A$200,0))),"")</f>
        <v/>
      </c>
      <c r="R380" s="5" t="n"/>
      <c r="S380" s="10">
        <f>IFERROR(IF(INDEX('Test catalog'!$L$2:$L$200,MATCH($AB380,'Test catalog'!$A$2:$A$200,0))="","",INDEX('Test catalog'!$L$2:$L$200,MATCH($AB380,'Test catalog'!$A$2:$A$200,0))),"")</f>
        <v/>
      </c>
      <c r="T380" s="10">
        <f>IFERROR(IF(INDEX('Test catalog'!$M$2:$M$200,MATCH($AB380,'Test catalog'!$A$2:$A$200,0))="","",INDEX('Test catalog'!$M$2:$M$200,MATCH($AB380,'Test catalog'!$A$2:$A$200,0))),"")</f>
        <v/>
      </c>
      <c r="U380" s="10">
        <f>IFERROR(IF(INDEX('Test catalog'!$N$2:$N$200,MATCH($AB380,'Test catalog'!$A$2:$A$200,0))="","",INDEX('Test catalog'!$N$2:$N$200,MATCH($AB380,'Test catalog'!$A$2:$A$200,0))),"")</f>
        <v/>
      </c>
      <c r="V380" s="15" t="n"/>
      <c r="W380" s="5" t="inlineStr">
        <is>
          <t>N</t>
        </is>
      </c>
      <c r="X380" s="5" t="n"/>
      <c r="Y380" s="5" t="n"/>
      <c r="Z380" s="5" t="n"/>
      <c r="AA380" s="10">
        <f>IFERROR(IF(INDEX('Test catalog'!$O$2:$O$200,MATCH($AB380,'Test catalog'!$A$2:$A$200,0))="","",INDEX('Test catalog'!$O$2:$O$200,MATCH($AB380,'Test catalog'!$A$2:$A$200,0))),"")</f>
        <v/>
      </c>
      <c r="AB380" s="10" t="inlineStr">
        <is>
          <t>AVG_WT</t>
        </is>
      </c>
    </row>
    <row r="381">
      <c r="A381" s="10" t="inlineStr">
        <is>
          <t>F51</t>
        </is>
      </c>
      <c r="B381" s="10" t="inlineStr">
        <is>
          <t>FP</t>
        </is>
      </c>
      <c r="C381" s="10" t="inlineStr">
        <is>
          <t>Burning Fat  |  Coleus Forskohlii Root Dry Extract 10:1, Chromium Picolinate (+5 more)</t>
        </is>
      </c>
      <c r="D381" s="10" t="inlineStr">
        <is>
          <t>Diameter (or length / width)</t>
        </is>
      </c>
      <c r="E381" s="10">
        <f>IF(A381="","",A381&amp;"|"&amp;D381)</f>
        <v/>
      </c>
      <c r="F381" s="5" t="inlineStr">
        <is>
          <t>Y</t>
        </is>
      </c>
      <c r="G381" s="5" t="inlineStr">
        <is>
          <t>Tablet tester</t>
        </is>
      </c>
      <c r="H381" s="5" t="inlineStr">
        <is>
          <t>Low</t>
        </is>
      </c>
      <c r="I381" s="5" t="n">
        <v>1</v>
      </c>
      <c r="J381" s="5" t="n"/>
      <c r="K381" s="10">
        <f>IFERROR(IF(INDEX('Test catalog'!$F$2:$F$200,MATCH($AB381,'Test catalog'!$A$2:$A$200,0))="","",INDEX('Test catalog'!$F$2:$F$200,MATCH($AB381,'Test catalog'!$A$2:$A$200,0))),"")</f>
        <v/>
      </c>
      <c r="L381" s="10">
        <f>IFERROR(IF(INDEX('Test catalog'!$G$2:$G$200,MATCH($AB381,'Test catalog'!$A$2:$A$200,0))="","",INDEX('Test catalog'!$G$2:$G$200,MATCH($AB381,'Test catalog'!$A$2:$A$200,0))),"")</f>
        <v/>
      </c>
      <c r="M381" s="10">
        <f>IFERROR(IF(INDEX('Test catalog'!$H$2:$H$200,MATCH($AB381,'Test catalog'!$A$2:$A$200,0))="","",INDEX('Test catalog'!$H$2:$H$200,MATCH($AB381,'Test catalog'!$A$2:$A$200,0))),"")</f>
        <v/>
      </c>
      <c r="N381" s="10">
        <f>IFERROR(IF(INDEX('Test catalog'!$I$2:$I$200,MATCH($AB381,'Test catalog'!$A$2:$A$200,0))="","",INDEX('Test catalog'!$I$2:$I$200,MATCH($AB381,'Test catalog'!$A$2:$A$200,0))),"")</f>
        <v/>
      </c>
      <c r="O381" s="10">
        <f>IFERROR(IF(INDEX('Test catalog'!$J$2:$J$200,MATCH($AB381,'Test catalog'!$A$2:$A$200,0))="","",INDEX('Test catalog'!$J$2:$J$200,MATCH($AB381,'Test catalog'!$A$2:$A$200,0))),"")</f>
        <v/>
      </c>
      <c r="P381" s="14">
        <f>IF(N381="","",IF(OR(M381="",O381=""),N381,(M381+4*N381+O381)/6))</f>
        <v/>
      </c>
      <c r="Q381" s="10">
        <f>IFERROR(IF(INDEX('Test catalog'!$K$2:$K$200,MATCH($AB381,'Test catalog'!$A$2:$A$200,0))="","",INDEX('Test catalog'!$K$2:$K$200,MATCH($AB381,'Test catalog'!$A$2:$A$200,0))),"")</f>
        <v/>
      </c>
      <c r="R381" s="5" t="n"/>
      <c r="S381" s="10">
        <f>IFERROR(IF(INDEX('Test catalog'!$L$2:$L$200,MATCH($AB381,'Test catalog'!$A$2:$A$200,0))="","",INDEX('Test catalog'!$L$2:$L$200,MATCH($AB381,'Test catalog'!$A$2:$A$200,0))),"")</f>
        <v/>
      </c>
      <c r="T381" s="10">
        <f>IFERROR(IF(INDEX('Test catalog'!$M$2:$M$200,MATCH($AB381,'Test catalog'!$A$2:$A$200,0))="","",INDEX('Test catalog'!$M$2:$M$200,MATCH($AB381,'Test catalog'!$A$2:$A$200,0))),"")</f>
        <v/>
      </c>
      <c r="U381" s="10">
        <f>IFERROR(IF(INDEX('Test catalog'!$N$2:$N$200,MATCH($AB381,'Test catalog'!$A$2:$A$200,0))="","",INDEX('Test catalog'!$N$2:$N$200,MATCH($AB381,'Test catalog'!$A$2:$A$200,0))),"")</f>
        <v/>
      </c>
      <c r="V381" s="15" t="n"/>
      <c r="W381" s="5" t="inlineStr">
        <is>
          <t>N</t>
        </is>
      </c>
      <c r="X381" s="5" t="n"/>
      <c r="Y381" s="5" t="n"/>
      <c r="Z381" s="5" t="n"/>
      <c r="AA381" s="10">
        <f>IFERROR(IF(INDEX('Test catalog'!$O$2:$O$200,MATCH($AB381,'Test catalog'!$A$2:$A$200,0))="","",INDEX('Test catalog'!$O$2:$O$200,MATCH($AB381,'Test catalog'!$A$2:$A$200,0))),"")</f>
        <v/>
      </c>
      <c r="AB381" s="10" t="inlineStr">
        <is>
          <t>DIAM</t>
        </is>
      </c>
    </row>
    <row r="382">
      <c r="A382" s="10" t="inlineStr">
        <is>
          <t>F51</t>
        </is>
      </c>
      <c r="B382" s="10" t="inlineStr">
        <is>
          <t>FP</t>
        </is>
      </c>
      <c r="C382" s="10" t="inlineStr">
        <is>
          <t>Burning Fat  |  Coleus Forskohlii Root Dry Extract 10:1, Chromium Picolinate (+5 more)</t>
        </is>
      </c>
      <c r="D382" s="10" t="inlineStr">
        <is>
          <t>Thickness</t>
        </is>
      </c>
      <c r="E382" s="10">
        <f>IF(A382="","",A382&amp;"|"&amp;D382)</f>
        <v/>
      </c>
      <c r="F382" s="5" t="inlineStr">
        <is>
          <t>Y</t>
        </is>
      </c>
      <c r="G382" s="5" t="inlineStr">
        <is>
          <t>Tablet tester</t>
        </is>
      </c>
      <c r="H382" s="5" t="inlineStr">
        <is>
          <t>Low</t>
        </is>
      </c>
      <c r="I382" s="5" t="n">
        <v>1</v>
      </c>
      <c r="J382" s="5" t="n"/>
      <c r="K382" s="10">
        <f>IFERROR(IF(INDEX('Test catalog'!$F$2:$F$200,MATCH($AB382,'Test catalog'!$A$2:$A$200,0))="","",INDEX('Test catalog'!$F$2:$F$200,MATCH($AB382,'Test catalog'!$A$2:$A$200,0))),"")</f>
        <v/>
      </c>
      <c r="L382" s="10">
        <f>IFERROR(IF(INDEX('Test catalog'!$G$2:$G$200,MATCH($AB382,'Test catalog'!$A$2:$A$200,0))="","",INDEX('Test catalog'!$G$2:$G$200,MATCH($AB382,'Test catalog'!$A$2:$A$200,0))),"")</f>
        <v/>
      </c>
      <c r="M382" s="10">
        <f>IFERROR(IF(INDEX('Test catalog'!$H$2:$H$200,MATCH($AB382,'Test catalog'!$A$2:$A$200,0))="","",INDEX('Test catalog'!$H$2:$H$200,MATCH($AB382,'Test catalog'!$A$2:$A$200,0))),"")</f>
        <v/>
      </c>
      <c r="N382" s="10">
        <f>IFERROR(IF(INDEX('Test catalog'!$I$2:$I$200,MATCH($AB382,'Test catalog'!$A$2:$A$200,0))="","",INDEX('Test catalog'!$I$2:$I$200,MATCH($AB382,'Test catalog'!$A$2:$A$200,0))),"")</f>
        <v/>
      </c>
      <c r="O382" s="10">
        <f>IFERROR(IF(INDEX('Test catalog'!$J$2:$J$200,MATCH($AB382,'Test catalog'!$A$2:$A$200,0))="","",INDEX('Test catalog'!$J$2:$J$200,MATCH($AB382,'Test catalog'!$A$2:$A$200,0))),"")</f>
        <v/>
      </c>
      <c r="P382" s="14">
        <f>IF(N382="","",IF(OR(M382="",O382=""),N382,(M382+4*N382+O382)/6))</f>
        <v/>
      </c>
      <c r="Q382" s="10">
        <f>IFERROR(IF(INDEX('Test catalog'!$K$2:$K$200,MATCH($AB382,'Test catalog'!$A$2:$A$200,0))="","",INDEX('Test catalog'!$K$2:$K$200,MATCH($AB382,'Test catalog'!$A$2:$A$200,0))),"")</f>
        <v/>
      </c>
      <c r="R382" s="5" t="n"/>
      <c r="S382" s="10">
        <f>IFERROR(IF(INDEX('Test catalog'!$L$2:$L$200,MATCH($AB382,'Test catalog'!$A$2:$A$200,0))="","",INDEX('Test catalog'!$L$2:$L$200,MATCH($AB382,'Test catalog'!$A$2:$A$200,0))),"")</f>
        <v/>
      </c>
      <c r="T382" s="10">
        <f>IFERROR(IF(INDEX('Test catalog'!$M$2:$M$200,MATCH($AB382,'Test catalog'!$A$2:$A$200,0))="","",INDEX('Test catalog'!$M$2:$M$200,MATCH($AB382,'Test catalog'!$A$2:$A$200,0))),"")</f>
        <v/>
      </c>
      <c r="U382" s="10">
        <f>IFERROR(IF(INDEX('Test catalog'!$N$2:$N$200,MATCH($AB382,'Test catalog'!$A$2:$A$200,0))="","",INDEX('Test catalog'!$N$2:$N$200,MATCH($AB382,'Test catalog'!$A$2:$A$200,0))),"")</f>
        <v/>
      </c>
      <c r="V382" s="15" t="n"/>
      <c r="W382" s="5" t="inlineStr">
        <is>
          <t>N</t>
        </is>
      </c>
      <c r="X382" s="5" t="n"/>
      <c r="Y382" s="5" t="n"/>
      <c r="Z382" s="5" t="n"/>
      <c r="AA382" s="10">
        <f>IFERROR(IF(INDEX('Test catalog'!$O$2:$O$200,MATCH($AB382,'Test catalog'!$A$2:$A$200,0))="","",INDEX('Test catalog'!$O$2:$O$200,MATCH($AB382,'Test catalog'!$A$2:$A$200,0))),"")</f>
        <v/>
      </c>
      <c r="AB382" s="10" t="inlineStr">
        <is>
          <t>THICK</t>
        </is>
      </c>
    </row>
    <row r="383">
      <c r="A383" s="10" t="inlineStr">
        <is>
          <t>F51</t>
        </is>
      </c>
      <c r="B383" s="10" t="inlineStr">
        <is>
          <t>FP</t>
        </is>
      </c>
      <c r="C383" s="10" t="inlineStr">
        <is>
          <t>Burning Fat  |  Coleus Forskohlii Root Dry Extract 10:1, Chromium Picolinate (+5 more)</t>
        </is>
      </c>
      <c r="D383" s="10" t="inlineStr">
        <is>
          <t>Hardness / breaking force</t>
        </is>
      </c>
      <c r="E383" s="10">
        <f>IF(A383="","",A383&amp;"|"&amp;D383)</f>
        <v/>
      </c>
      <c r="F383" s="5" t="inlineStr">
        <is>
          <t>Y</t>
        </is>
      </c>
      <c r="G383" s="5" t="inlineStr">
        <is>
          <t>Tablet tester</t>
        </is>
      </c>
      <c r="H383" s="5" t="inlineStr">
        <is>
          <t>Low</t>
        </is>
      </c>
      <c r="I383" s="5" t="n">
        <v>1</v>
      </c>
      <c r="J383" s="5" t="n"/>
      <c r="K383" s="10">
        <f>IFERROR(IF(INDEX('Test catalog'!$F$2:$F$200,MATCH($AB383,'Test catalog'!$A$2:$A$200,0))="","",INDEX('Test catalog'!$F$2:$F$200,MATCH($AB383,'Test catalog'!$A$2:$A$200,0))),"")</f>
        <v/>
      </c>
      <c r="L383" s="10">
        <f>IFERROR(IF(INDEX('Test catalog'!$G$2:$G$200,MATCH($AB383,'Test catalog'!$A$2:$A$200,0))="","",INDEX('Test catalog'!$G$2:$G$200,MATCH($AB383,'Test catalog'!$A$2:$A$200,0))),"")</f>
        <v/>
      </c>
      <c r="M383" s="10">
        <f>IFERROR(IF(INDEX('Test catalog'!$H$2:$H$200,MATCH($AB383,'Test catalog'!$A$2:$A$200,0))="","",INDEX('Test catalog'!$H$2:$H$200,MATCH($AB383,'Test catalog'!$A$2:$A$200,0))),"")</f>
        <v/>
      </c>
      <c r="N383" s="10">
        <f>IFERROR(IF(INDEX('Test catalog'!$I$2:$I$200,MATCH($AB383,'Test catalog'!$A$2:$A$200,0))="","",INDEX('Test catalog'!$I$2:$I$200,MATCH($AB383,'Test catalog'!$A$2:$A$200,0))),"")</f>
        <v/>
      </c>
      <c r="O383" s="10">
        <f>IFERROR(IF(INDEX('Test catalog'!$J$2:$J$200,MATCH($AB383,'Test catalog'!$A$2:$A$200,0))="","",INDEX('Test catalog'!$J$2:$J$200,MATCH($AB383,'Test catalog'!$A$2:$A$200,0))),"")</f>
        <v/>
      </c>
      <c r="P383" s="14">
        <f>IF(N383="","",IF(OR(M383="",O383=""),N383,(M383+4*N383+O383)/6))</f>
        <v/>
      </c>
      <c r="Q383" s="10">
        <f>IFERROR(IF(INDEX('Test catalog'!$K$2:$K$200,MATCH($AB383,'Test catalog'!$A$2:$A$200,0))="","",INDEX('Test catalog'!$K$2:$K$200,MATCH($AB383,'Test catalog'!$A$2:$A$200,0))),"")</f>
        <v/>
      </c>
      <c r="R383" s="5" t="n"/>
      <c r="S383" s="10">
        <f>IFERROR(IF(INDEX('Test catalog'!$L$2:$L$200,MATCH($AB383,'Test catalog'!$A$2:$A$200,0))="","",INDEX('Test catalog'!$L$2:$L$200,MATCH($AB383,'Test catalog'!$A$2:$A$200,0))),"")</f>
        <v/>
      </c>
      <c r="T383" s="10">
        <f>IFERROR(IF(INDEX('Test catalog'!$M$2:$M$200,MATCH($AB383,'Test catalog'!$A$2:$A$200,0))="","",INDEX('Test catalog'!$M$2:$M$200,MATCH($AB383,'Test catalog'!$A$2:$A$200,0))),"")</f>
        <v/>
      </c>
      <c r="U383" s="10">
        <f>IFERROR(IF(INDEX('Test catalog'!$N$2:$N$200,MATCH($AB383,'Test catalog'!$A$2:$A$200,0))="","",INDEX('Test catalog'!$N$2:$N$200,MATCH($AB383,'Test catalog'!$A$2:$A$200,0))),"")</f>
        <v/>
      </c>
      <c r="V383" s="15" t="n"/>
      <c r="W383" s="5" t="inlineStr">
        <is>
          <t>Y</t>
        </is>
      </c>
      <c r="X383" s="5" t="n"/>
      <c r="Y383" s="5" t="n"/>
      <c r="Z383" s="5" t="n"/>
      <c r="AA383" s="10">
        <f>IFERROR(IF(INDEX('Test catalog'!$O$2:$O$200,MATCH($AB383,'Test catalog'!$A$2:$A$200,0))="","",INDEX('Test catalog'!$O$2:$O$200,MATCH($AB383,'Test catalog'!$A$2:$A$200,0))),"")</f>
        <v/>
      </c>
      <c r="AB383" s="10" t="inlineStr">
        <is>
          <t>HARD</t>
        </is>
      </c>
    </row>
    <row r="384">
      <c r="A384" s="10" t="inlineStr">
        <is>
          <t>F51</t>
        </is>
      </c>
      <c r="B384" s="10" t="inlineStr">
        <is>
          <t>FP</t>
        </is>
      </c>
      <c r="C384" s="10" t="inlineStr">
        <is>
          <t>Burning Fat  |  Coleus Forskohlii Root Dry Extract 10:1, Chromium Picolinate (+5 more)</t>
        </is>
      </c>
      <c r="D384" s="10" t="inlineStr">
        <is>
          <t>Brittleness</t>
        </is>
      </c>
      <c r="E384" s="10">
        <f>IF(A384="","",A384&amp;"|"&amp;D384)</f>
        <v/>
      </c>
      <c r="F384" s="5" t="inlineStr">
        <is>
          <t>Y</t>
        </is>
      </c>
      <c r="G384" s="5" t="inlineStr">
        <is>
          <t>Other / bench</t>
        </is>
      </c>
      <c r="H384" s="5" t="inlineStr">
        <is>
          <t>Low</t>
        </is>
      </c>
      <c r="I384" s="5" t="n">
        <v>1</v>
      </c>
      <c r="J384" s="5" t="n"/>
      <c r="K384" s="10">
        <f>IFERROR(IF(INDEX('Test catalog'!$F$2:$F$200,MATCH($AB384,'Test catalog'!$A$2:$A$200,0))="","",INDEX('Test catalog'!$F$2:$F$200,MATCH($AB384,'Test catalog'!$A$2:$A$200,0))),"")</f>
        <v/>
      </c>
      <c r="L384" s="10">
        <f>IFERROR(IF(INDEX('Test catalog'!$G$2:$G$200,MATCH($AB384,'Test catalog'!$A$2:$A$200,0))="","",INDEX('Test catalog'!$G$2:$G$200,MATCH($AB384,'Test catalog'!$A$2:$A$200,0))),"")</f>
        <v/>
      </c>
      <c r="M384" s="10">
        <f>IFERROR(IF(INDEX('Test catalog'!$H$2:$H$200,MATCH($AB384,'Test catalog'!$A$2:$A$200,0))="","",INDEX('Test catalog'!$H$2:$H$200,MATCH($AB384,'Test catalog'!$A$2:$A$200,0))),"")</f>
        <v/>
      </c>
      <c r="N384" s="10">
        <f>IFERROR(IF(INDEX('Test catalog'!$I$2:$I$200,MATCH($AB384,'Test catalog'!$A$2:$A$200,0))="","",INDEX('Test catalog'!$I$2:$I$200,MATCH($AB384,'Test catalog'!$A$2:$A$200,0))),"")</f>
        <v/>
      </c>
      <c r="O384" s="10">
        <f>IFERROR(IF(INDEX('Test catalog'!$J$2:$J$200,MATCH($AB384,'Test catalog'!$A$2:$A$200,0))="","",INDEX('Test catalog'!$J$2:$J$200,MATCH($AB384,'Test catalog'!$A$2:$A$200,0))),"")</f>
        <v/>
      </c>
      <c r="P384" s="14">
        <f>IF(N384="","",IF(OR(M384="",O384=""),N384,(M384+4*N384+O384)/6))</f>
        <v/>
      </c>
      <c r="Q384" s="10">
        <f>IFERROR(IF(INDEX('Test catalog'!$K$2:$K$200,MATCH($AB384,'Test catalog'!$A$2:$A$200,0))="","",INDEX('Test catalog'!$K$2:$K$200,MATCH($AB384,'Test catalog'!$A$2:$A$200,0))),"")</f>
        <v/>
      </c>
      <c r="R384" s="5" t="n"/>
      <c r="S384" s="10">
        <f>IFERROR(IF(INDEX('Test catalog'!$L$2:$L$200,MATCH($AB384,'Test catalog'!$A$2:$A$200,0))="","",INDEX('Test catalog'!$L$2:$L$200,MATCH($AB384,'Test catalog'!$A$2:$A$200,0))),"")</f>
        <v/>
      </c>
      <c r="T384" s="10">
        <f>IFERROR(IF(INDEX('Test catalog'!$M$2:$M$200,MATCH($AB384,'Test catalog'!$A$2:$A$200,0))="","",INDEX('Test catalog'!$M$2:$M$200,MATCH($AB384,'Test catalog'!$A$2:$A$200,0))),"")</f>
        <v/>
      </c>
      <c r="U384" s="10">
        <f>IFERROR(IF(INDEX('Test catalog'!$N$2:$N$200,MATCH($AB384,'Test catalog'!$A$2:$A$200,0))="","",INDEX('Test catalog'!$N$2:$N$200,MATCH($AB384,'Test catalog'!$A$2:$A$200,0))),"")</f>
        <v/>
      </c>
      <c r="V384" s="15" t="n"/>
      <c r="W384" s="5" t="inlineStr">
        <is>
          <t>N</t>
        </is>
      </c>
      <c r="X384" s="5" t="n"/>
      <c r="Y384" s="5" t="n"/>
      <c r="Z384" s="5" t="n"/>
      <c r="AA384" s="10">
        <f>IFERROR(IF(INDEX('Test catalog'!$O$2:$O$200,MATCH($AB384,'Test catalog'!$A$2:$A$200,0))="","",INDEX('Test catalog'!$O$2:$O$200,MATCH($AB384,'Test catalog'!$A$2:$A$200,0))),"")</f>
        <v/>
      </c>
      <c r="AB384" s="10" t="inlineStr">
        <is>
          <t>BRITTLE</t>
        </is>
      </c>
    </row>
    <row r="385">
      <c r="A385" s="10" t="inlineStr">
        <is>
          <t>F51</t>
        </is>
      </c>
      <c r="B385" s="10" t="inlineStr">
        <is>
          <t>FP</t>
        </is>
      </c>
      <c r="C385" s="10" t="inlineStr">
        <is>
          <t>Burning Fat  |  Coleus Forskohlii Root Dry Extract 10:1, Chromium Picolinate (+5 more)</t>
        </is>
      </c>
      <c r="D385" s="10" t="inlineStr">
        <is>
          <t>Friability</t>
        </is>
      </c>
      <c r="E385" s="10">
        <f>IF(A385="","",A385&amp;"|"&amp;D385)</f>
        <v/>
      </c>
      <c r="F385" s="5" t="inlineStr">
        <is>
          <t>Y</t>
        </is>
      </c>
      <c r="G385" s="5" t="inlineStr">
        <is>
          <t>Friabilator</t>
        </is>
      </c>
      <c r="H385" s="5" t="inlineStr">
        <is>
          <t>Low</t>
        </is>
      </c>
      <c r="I385" s="5" t="n">
        <v>1</v>
      </c>
      <c r="J385" s="5" t="n"/>
      <c r="K385" s="10">
        <f>IFERROR(IF(INDEX('Test catalog'!$F$2:$F$200,MATCH($AB385,'Test catalog'!$A$2:$A$200,0))="","",INDEX('Test catalog'!$F$2:$F$200,MATCH($AB385,'Test catalog'!$A$2:$A$200,0))),"")</f>
        <v/>
      </c>
      <c r="L385" s="10">
        <f>IFERROR(IF(INDEX('Test catalog'!$G$2:$G$200,MATCH($AB385,'Test catalog'!$A$2:$A$200,0))="","",INDEX('Test catalog'!$G$2:$G$200,MATCH($AB385,'Test catalog'!$A$2:$A$200,0))),"")</f>
        <v/>
      </c>
      <c r="M385" s="10">
        <f>IFERROR(IF(INDEX('Test catalog'!$H$2:$H$200,MATCH($AB385,'Test catalog'!$A$2:$A$200,0))="","",INDEX('Test catalog'!$H$2:$H$200,MATCH($AB385,'Test catalog'!$A$2:$A$200,0))),"")</f>
        <v/>
      </c>
      <c r="N385" s="10">
        <f>IFERROR(IF(INDEX('Test catalog'!$I$2:$I$200,MATCH($AB385,'Test catalog'!$A$2:$A$200,0))="","",INDEX('Test catalog'!$I$2:$I$200,MATCH($AB385,'Test catalog'!$A$2:$A$200,0))),"")</f>
        <v/>
      </c>
      <c r="O385" s="10">
        <f>IFERROR(IF(INDEX('Test catalog'!$J$2:$J$200,MATCH($AB385,'Test catalog'!$A$2:$A$200,0))="","",INDEX('Test catalog'!$J$2:$J$200,MATCH($AB385,'Test catalog'!$A$2:$A$200,0))),"")</f>
        <v/>
      </c>
      <c r="P385" s="14">
        <f>IF(N385="","",IF(OR(M385="",O385=""),N385,(M385+4*N385+O385)/6))</f>
        <v/>
      </c>
      <c r="Q385" s="10">
        <f>IFERROR(IF(INDEX('Test catalog'!$K$2:$K$200,MATCH($AB385,'Test catalog'!$A$2:$A$200,0))="","",INDEX('Test catalog'!$K$2:$K$200,MATCH($AB385,'Test catalog'!$A$2:$A$200,0))),"")</f>
        <v/>
      </c>
      <c r="R385" s="5" t="n"/>
      <c r="S385" s="10">
        <f>IFERROR(IF(INDEX('Test catalog'!$L$2:$L$200,MATCH($AB385,'Test catalog'!$A$2:$A$200,0))="","",INDEX('Test catalog'!$L$2:$L$200,MATCH($AB385,'Test catalog'!$A$2:$A$200,0))),"")</f>
        <v/>
      </c>
      <c r="T385" s="10">
        <f>IFERROR(IF(INDEX('Test catalog'!$M$2:$M$200,MATCH($AB385,'Test catalog'!$A$2:$A$200,0))="","",INDEX('Test catalog'!$M$2:$M$200,MATCH($AB385,'Test catalog'!$A$2:$A$200,0))),"")</f>
        <v/>
      </c>
      <c r="U385" s="10">
        <f>IFERROR(IF(INDEX('Test catalog'!$N$2:$N$200,MATCH($AB385,'Test catalog'!$A$2:$A$200,0))="","",INDEX('Test catalog'!$N$2:$N$200,MATCH($AB385,'Test catalog'!$A$2:$A$200,0))),"")</f>
        <v/>
      </c>
      <c r="V385" s="15" t="n"/>
      <c r="W385" s="5" t="inlineStr">
        <is>
          <t>N</t>
        </is>
      </c>
      <c r="X385" s="5" t="n"/>
      <c r="Y385" s="5" t="n"/>
      <c r="Z385" s="5" t="n"/>
      <c r="AA385" s="10">
        <f>IFERROR(IF(INDEX('Test catalog'!$O$2:$O$200,MATCH($AB385,'Test catalog'!$A$2:$A$200,0))="","",INDEX('Test catalog'!$O$2:$O$200,MATCH($AB385,'Test catalog'!$A$2:$A$200,0))),"")</f>
        <v/>
      </c>
      <c r="AB385" s="10" t="inlineStr">
        <is>
          <t>FRIAB</t>
        </is>
      </c>
    </row>
    <row r="386">
      <c r="A386" s="10" t="inlineStr">
        <is>
          <t>F51</t>
        </is>
      </c>
      <c r="B386" s="10" t="inlineStr">
        <is>
          <t>FP</t>
        </is>
      </c>
      <c r="C386" s="10" t="inlineStr">
        <is>
          <t>Burning Fat  |  Coleus Forskohlii Root Dry Extract 10:1, Chromium Picolinate (+5 more)</t>
        </is>
      </c>
      <c r="D386" s="10" t="inlineStr">
        <is>
          <t>Disintegration</t>
        </is>
      </c>
      <c r="E386" s="10">
        <f>IF(A386="","",A386&amp;"|"&amp;D386)</f>
        <v/>
      </c>
      <c r="F386" s="5" t="inlineStr">
        <is>
          <t>Y</t>
        </is>
      </c>
      <c r="G386" s="5" t="inlineStr">
        <is>
          <t>Disintegration tester</t>
        </is>
      </c>
      <c r="H386" s="5" t="inlineStr">
        <is>
          <t>Low</t>
        </is>
      </c>
      <c r="I386" s="5" t="n">
        <v>1</v>
      </c>
      <c r="J386" s="5" t="n"/>
      <c r="K386" s="10">
        <f>IFERROR(IF(INDEX('Test catalog'!$F$2:$F$200,MATCH($AB386,'Test catalog'!$A$2:$A$200,0))="","",INDEX('Test catalog'!$F$2:$F$200,MATCH($AB386,'Test catalog'!$A$2:$A$200,0))),"")</f>
        <v/>
      </c>
      <c r="L386" s="10">
        <f>IFERROR(IF(INDEX('Test catalog'!$G$2:$G$200,MATCH($AB386,'Test catalog'!$A$2:$A$200,0))="","",INDEX('Test catalog'!$G$2:$G$200,MATCH($AB386,'Test catalog'!$A$2:$A$200,0))),"")</f>
        <v/>
      </c>
      <c r="M386" s="10">
        <f>IFERROR(IF(INDEX('Test catalog'!$H$2:$H$200,MATCH($AB386,'Test catalog'!$A$2:$A$200,0))="","",INDEX('Test catalog'!$H$2:$H$200,MATCH($AB386,'Test catalog'!$A$2:$A$200,0))),"")</f>
        <v/>
      </c>
      <c r="N386" s="10">
        <f>IFERROR(IF(INDEX('Test catalog'!$I$2:$I$200,MATCH($AB386,'Test catalog'!$A$2:$A$200,0))="","",INDEX('Test catalog'!$I$2:$I$200,MATCH($AB386,'Test catalog'!$A$2:$A$200,0))),"")</f>
        <v/>
      </c>
      <c r="O386" s="10">
        <f>IFERROR(IF(INDEX('Test catalog'!$J$2:$J$200,MATCH($AB386,'Test catalog'!$A$2:$A$200,0))="","",INDEX('Test catalog'!$J$2:$J$200,MATCH($AB386,'Test catalog'!$A$2:$A$200,0))),"")</f>
        <v/>
      </c>
      <c r="P386" s="14">
        <f>IF(N386="","",IF(OR(M386="",O386=""),N386,(M386+4*N386+O386)/6))</f>
        <v/>
      </c>
      <c r="Q386" s="10">
        <f>IFERROR(IF(INDEX('Test catalog'!$K$2:$K$200,MATCH($AB386,'Test catalog'!$A$2:$A$200,0))="","",INDEX('Test catalog'!$K$2:$K$200,MATCH($AB386,'Test catalog'!$A$2:$A$200,0))),"")</f>
        <v/>
      </c>
      <c r="R386" s="5" t="n"/>
      <c r="S386" s="10">
        <f>IFERROR(IF(INDEX('Test catalog'!$L$2:$L$200,MATCH($AB386,'Test catalog'!$A$2:$A$200,0))="","",INDEX('Test catalog'!$L$2:$L$200,MATCH($AB386,'Test catalog'!$A$2:$A$200,0))),"")</f>
        <v/>
      </c>
      <c r="T386" s="10">
        <f>IFERROR(IF(INDEX('Test catalog'!$M$2:$M$200,MATCH($AB386,'Test catalog'!$A$2:$A$200,0))="","",INDEX('Test catalog'!$M$2:$M$200,MATCH($AB386,'Test catalog'!$A$2:$A$200,0))),"")</f>
        <v/>
      </c>
      <c r="U386" s="10">
        <f>IFERROR(IF(INDEX('Test catalog'!$N$2:$N$200,MATCH($AB386,'Test catalog'!$A$2:$A$200,0))="","",INDEX('Test catalog'!$N$2:$N$200,MATCH($AB386,'Test catalog'!$A$2:$A$200,0))),"")</f>
        <v/>
      </c>
      <c r="V386" s="15" t="n"/>
      <c r="W386" s="5" t="inlineStr">
        <is>
          <t>Y</t>
        </is>
      </c>
      <c r="X386" s="5" t="n"/>
      <c r="Y386" s="5" t="n"/>
      <c r="Z386" s="5" t="n"/>
      <c r="AA386" s="10">
        <f>IFERROR(IF(INDEX('Test catalog'!$O$2:$O$200,MATCH($AB386,'Test catalog'!$A$2:$A$200,0))="","",INDEX('Test catalog'!$O$2:$O$200,MATCH($AB386,'Test catalog'!$A$2:$A$200,0))),"")</f>
        <v/>
      </c>
      <c r="AB386" s="10" t="inlineStr">
        <is>
          <t>DISINT</t>
        </is>
      </c>
    </row>
    <row r="387">
      <c r="A387" s="10" t="inlineStr">
        <is>
          <t>F51</t>
        </is>
      </c>
      <c r="B387" s="10" t="inlineStr">
        <is>
          <t>FP</t>
        </is>
      </c>
      <c r="C387" s="10" t="inlineStr">
        <is>
          <t>Burning Fat  |  Coleus Forskohlii Root Dry Extract 10:1, Chromium Picolinate (+5 more)</t>
        </is>
      </c>
      <c r="D387" s="10" t="inlineStr">
        <is>
          <t>In-process check at the machine (one check, all its tests)</t>
        </is>
      </c>
      <c r="E387" s="10">
        <f>IF(A387="","",A387&amp;"|"&amp;D387)</f>
        <v/>
      </c>
      <c r="F387" s="5" t="inlineStr">
        <is>
          <t>Y</t>
        </is>
      </c>
      <c r="G387" s="5" t="inlineStr">
        <is>
          <t>Tablet tester</t>
        </is>
      </c>
      <c r="H387" s="5" t="inlineStr">
        <is>
          <t>Low</t>
        </is>
      </c>
      <c r="I387" s="5" t="n">
        <v>1</v>
      </c>
      <c r="J387" s="5" t="n"/>
      <c r="K387" s="10">
        <f>IFERROR(IF(INDEX('Test catalog'!$F$2:$F$200,MATCH($AB387,'Test catalog'!$A$2:$A$200,0))="","",INDEX('Test catalog'!$F$2:$F$200,MATCH($AB387,'Test catalog'!$A$2:$A$200,0))),"")</f>
        <v/>
      </c>
      <c r="L387" s="10">
        <f>IFERROR(IF(INDEX('Test catalog'!$G$2:$G$200,MATCH($AB387,'Test catalog'!$A$2:$A$200,0))="","",INDEX('Test catalog'!$G$2:$G$200,MATCH($AB387,'Test catalog'!$A$2:$A$200,0))),"")</f>
        <v/>
      </c>
      <c r="M387" s="10">
        <f>IFERROR(IF(INDEX('Test catalog'!$H$2:$H$200,MATCH($AB387,'Test catalog'!$A$2:$A$200,0))="","",INDEX('Test catalog'!$H$2:$H$200,MATCH($AB387,'Test catalog'!$A$2:$A$200,0))),"")</f>
        <v/>
      </c>
      <c r="N387" s="10">
        <f>IFERROR(IF(INDEX('Test catalog'!$I$2:$I$200,MATCH($AB387,'Test catalog'!$A$2:$A$200,0))="","",INDEX('Test catalog'!$I$2:$I$200,MATCH($AB387,'Test catalog'!$A$2:$A$200,0))),"")</f>
        <v/>
      </c>
      <c r="O387" s="10">
        <f>IFERROR(IF(INDEX('Test catalog'!$J$2:$J$200,MATCH($AB387,'Test catalog'!$A$2:$A$200,0))="","",INDEX('Test catalog'!$J$2:$J$200,MATCH($AB387,'Test catalog'!$A$2:$A$200,0))),"")</f>
        <v/>
      </c>
      <c r="P387" s="14">
        <f>IF(N387="","",IF(OR(M387="",O387=""),N387,(M387+4*N387+O387)/6))</f>
        <v/>
      </c>
      <c r="Q387" s="10">
        <f>IFERROR(IF(INDEX('Test catalog'!$K$2:$K$200,MATCH($AB387,'Test catalog'!$A$2:$A$200,0))="","",INDEX('Test catalog'!$K$2:$K$200,MATCH($AB387,'Test catalog'!$A$2:$A$200,0))),"")</f>
        <v/>
      </c>
      <c r="R387" s="5" t="n"/>
      <c r="S387" s="10">
        <f>IFERROR(IF(INDEX('Test catalog'!$L$2:$L$200,MATCH($AB387,'Test catalog'!$A$2:$A$200,0))="","",INDEX('Test catalog'!$L$2:$L$200,MATCH($AB387,'Test catalog'!$A$2:$A$200,0))),"")</f>
        <v/>
      </c>
      <c r="T387" s="10">
        <f>IFERROR(IF(INDEX('Test catalog'!$M$2:$M$200,MATCH($AB387,'Test catalog'!$A$2:$A$200,0))="","",INDEX('Test catalog'!$M$2:$M$200,MATCH($AB387,'Test catalog'!$A$2:$A$200,0))),"")</f>
        <v/>
      </c>
      <c r="U387" s="10">
        <f>IFERROR(IF(INDEX('Test catalog'!$N$2:$N$200,MATCH($AB387,'Test catalog'!$A$2:$A$200,0))="","",INDEX('Test catalog'!$N$2:$N$200,MATCH($AB387,'Test catalog'!$A$2:$A$200,0))),"")</f>
        <v/>
      </c>
      <c r="V387" s="15" t="n"/>
      <c r="W387" s="5" t="inlineStr">
        <is>
          <t>N</t>
        </is>
      </c>
      <c r="X387" s="5" t="n"/>
      <c r="Y387" s="5" t="n"/>
      <c r="Z387" s="5" t="n"/>
      <c r="AA387" s="10">
        <f>IFERROR(IF(INDEX('Test catalog'!$O$2:$O$200,MATCH($AB387,'Test catalog'!$A$2:$A$200,0))="","",INDEX('Test catalog'!$O$2:$O$200,MATCH($AB387,'Test catalog'!$A$2:$A$200,0))),"")</f>
        <v/>
      </c>
      <c r="AB387" s="10" t="inlineStr">
        <is>
          <t>IPC</t>
        </is>
      </c>
    </row>
    <row r="388">
      <c r="A388" s="10" t="inlineStr">
        <is>
          <t>F52</t>
        </is>
      </c>
      <c r="B388" s="10" t="inlineStr">
        <is>
          <t>FP</t>
        </is>
      </c>
      <c r="C388" s="10" t="inlineStr">
        <is>
          <t>Co-Enzyme Q10 (30mg); Co-Enzyme Q10 (100mg)  |  Ubidecarenone (Co-Q10)</t>
        </is>
      </c>
      <c r="D388" s="10" t="inlineStr">
        <is>
          <t>Average weight / uniformity of mass</t>
        </is>
      </c>
      <c r="E388" s="10">
        <f>IF(A388="","",A388&amp;"|"&amp;D388)</f>
        <v/>
      </c>
      <c r="F388" s="5" t="inlineStr">
        <is>
          <t>Y</t>
        </is>
      </c>
      <c r="G388" s="5" t="inlineStr">
        <is>
          <t>Balance</t>
        </is>
      </c>
      <c r="H388" s="5" t="inlineStr">
        <is>
          <t>Low</t>
        </is>
      </c>
      <c r="I388" s="5" t="n">
        <v>1</v>
      </c>
      <c r="J388" s="5" t="n"/>
      <c r="K388" s="10">
        <f>IFERROR(IF(INDEX('Test catalog'!$F$2:$F$200,MATCH($AB388,'Test catalog'!$A$2:$A$200,0))="","",INDEX('Test catalog'!$F$2:$F$200,MATCH($AB388,'Test catalog'!$A$2:$A$200,0))),"")</f>
        <v/>
      </c>
      <c r="L388" s="10">
        <f>IFERROR(IF(INDEX('Test catalog'!$G$2:$G$200,MATCH($AB388,'Test catalog'!$A$2:$A$200,0))="","",INDEX('Test catalog'!$G$2:$G$200,MATCH($AB388,'Test catalog'!$A$2:$A$200,0))),"")</f>
        <v/>
      </c>
      <c r="M388" s="10">
        <f>IFERROR(IF(INDEX('Test catalog'!$H$2:$H$200,MATCH($AB388,'Test catalog'!$A$2:$A$200,0))="","",INDEX('Test catalog'!$H$2:$H$200,MATCH($AB388,'Test catalog'!$A$2:$A$200,0))),"")</f>
        <v/>
      </c>
      <c r="N388" s="10">
        <f>IFERROR(IF(INDEX('Test catalog'!$I$2:$I$200,MATCH($AB388,'Test catalog'!$A$2:$A$200,0))="","",INDEX('Test catalog'!$I$2:$I$200,MATCH($AB388,'Test catalog'!$A$2:$A$200,0))),"")</f>
        <v/>
      </c>
      <c r="O388" s="10">
        <f>IFERROR(IF(INDEX('Test catalog'!$J$2:$J$200,MATCH($AB388,'Test catalog'!$A$2:$A$200,0))="","",INDEX('Test catalog'!$J$2:$J$200,MATCH($AB388,'Test catalog'!$A$2:$A$200,0))),"")</f>
        <v/>
      </c>
      <c r="P388" s="14">
        <f>IF(N388="","",IF(OR(M388="",O388=""),N388,(M388+4*N388+O388)/6))</f>
        <v/>
      </c>
      <c r="Q388" s="10">
        <f>IFERROR(IF(INDEX('Test catalog'!$K$2:$K$200,MATCH($AB388,'Test catalog'!$A$2:$A$200,0))="","",INDEX('Test catalog'!$K$2:$K$200,MATCH($AB388,'Test catalog'!$A$2:$A$200,0))),"")</f>
        <v/>
      </c>
      <c r="R388" s="5" t="n"/>
      <c r="S388" s="10">
        <f>IFERROR(IF(INDEX('Test catalog'!$L$2:$L$200,MATCH($AB388,'Test catalog'!$A$2:$A$200,0))="","",INDEX('Test catalog'!$L$2:$L$200,MATCH($AB388,'Test catalog'!$A$2:$A$200,0))),"")</f>
        <v/>
      </c>
      <c r="T388" s="10">
        <f>IFERROR(IF(INDEX('Test catalog'!$M$2:$M$200,MATCH($AB388,'Test catalog'!$A$2:$A$200,0))="","",INDEX('Test catalog'!$M$2:$M$200,MATCH($AB388,'Test catalog'!$A$2:$A$200,0))),"")</f>
        <v/>
      </c>
      <c r="U388" s="10">
        <f>IFERROR(IF(INDEX('Test catalog'!$N$2:$N$200,MATCH($AB388,'Test catalog'!$A$2:$A$200,0))="","",INDEX('Test catalog'!$N$2:$N$200,MATCH($AB388,'Test catalog'!$A$2:$A$200,0))),"")</f>
        <v/>
      </c>
      <c r="V388" s="15" t="n"/>
      <c r="W388" s="5" t="inlineStr">
        <is>
          <t>N</t>
        </is>
      </c>
      <c r="X388" s="5" t="n"/>
      <c r="Y388" s="5" t="n"/>
      <c r="Z388" s="5" t="n"/>
      <c r="AA388" s="10">
        <f>IFERROR(IF(INDEX('Test catalog'!$O$2:$O$200,MATCH($AB388,'Test catalog'!$A$2:$A$200,0))="","",INDEX('Test catalog'!$O$2:$O$200,MATCH($AB388,'Test catalog'!$A$2:$A$200,0))),"")</f>
        <v/>
      </c>
      <c r="AB388" s="10" t="inlineStr">
        <is>
          <t>AVG_WT</t>
        </is>
      </c>
    </row>
    <row r="389">
      <c r="A389" s="10" t="inlineStr">
        <is>
          <t>F52</t>
        </is>
      </c>
      <c r="B389" s="10" t="inlineStr">
        <is>
          <t>FP</t>
        </is>
      </c>
      <c r="C389" s="10" t="inlineStr">
        <is>
          <t>Co-Enzyme Q10 (30mg); Co-Enzyme Q10 (100mg)  |  Ubidecarenone (Co-Q10)</t>
        </is>
      </c>
      <c r="D389" s="10" t="inlineStr">
        <is>
          <t>Diameter (or length / width)</t>
        </is>
      </c>
      <c r="E389" s="10">
        <f>IF(A389="","",A389&amp;"|"&amp;D389)</f>
        <v/>
      </c>
      <c r="F389" s="5" t="inlineStr">
        <is>
          <t>Y</t>
        </is>
      </c>
      <c r="G389" s="5" t="inlineStr">
        <is>
          <t>Tablet tester</t>
        </is>
      </c>
      <c r="H389" s="5" t="inlineStr">
        <is>
          <t>Low</t>
        </is>
      </c>
      <c r="I389" s="5" t="n">
        <v>1</v>
      </c>
      <c r="J389" s="5" t="n"/>
      <c r="K389" s="10">
        <f>IFERROR(IF(INDEX('Test catalog'!$F$2:$F$200,MATCH($AB389,'Test catalog'!$A$2:$A$200,0))="","",INDEX('Test catalog'!$F$2:$F$200,MATCH($AB389,'Test catalog'!$A$2:$A$200,0))),"")</f>
        <v/>
      </c>
      <c r="L389" s="10">
        <f>IFERROR(IF(INDEX('Test catalog'!$G$2:$G$200,MATCH($AB389,'Test catalog'!$A$2:$A$200,0))="","",INDEX('Test catalog'!$G$2:$G$200,MATCH($AB389,'Test catalog'!$A$2:$A$200,0))),"")</f>
        <v/>
      </c>
      <c r="M389" s="10">
        <f>IFERROR(IF(INDEX('Test catalog'!$H$2:$H$200,MATCH($AB389,'Test catalog'!$A$2:$A$200,0))="","",INDEX('Test catalog'!$H$2:$H$200,MATCH($AB389,'Test catalog'!$A$2:$A$200,0))),"")</f>
        <v/>
      </c>
      <c r="N389" s="10">
        <f>IFERROR(IF(INDEX('Test catalog'!$I$2:$I$200,MATCH($AB389,'Test catalog'!$A$2:$A$200,0))="","",INDEX('Test catalog'!$I$2:$I$200,MATCH($AB389,'Test catalog'!$A$2:$A$200,0))),"")</f>
        <v/>
      </c>
      <c r="O389" s="10">
        <f>IFERROR(IF(INDEX('Test catalog'!$J$2:$J$200,MATCH($AB389,'Test catalog'!$A$2:$A$200,0))="","",INDEX('Test catalog'!$J$2:$J$200,MATCH($AB389,'Test catalog'!$A$2:$A$200,0))),"")</f>
        <v/>
      </c>
      <c r="P389" s="14">
        <f>IF(N389="","",IF(OR(M389="",O389=""),N389,(M389+4*N389+O389)/6))</f>
        <v/>
      </c>
      <c r="Q389" s="10">
        <f>IFERROR(IF(INDEX('Test catalog'!$K$2:$K$200,MATCH($AB389,'Test catalog'!$A$2:$A$200,0))="","",INDEX('Test catalog'!$K$2:$K$200,MATCH($AB389,'Test catalog'!$A$2:$A$200,0))),"")</f>
        <v/>
      </c>
      <c r="R389" s="5" t="n"/>
      <c r="S389" s="10">
        <f>IFERROR(IF(INDEX('Test catalog'!$L$2:$L$200,MATCH($AB389,'Test catalog'!$A$2:$A$200,0))="","",INDEX('Test catalog'!$L$2:$L$200,MATCH($AB389,'Test catalog'!$A$2:$A$200,0))),"")</f>
        <v/>
      </c>
      <c r="T389" s="10">
        <f>IFERROR(IF(INDEX('Test catalog'!$M$2:$M$200,MATCH($AB389,'Test catalog'!$A$2:$A$200,0))="","",INDEX('Test catalog'!$M$2:$M$200,MATCH($AB389,'Test catalog'!$A$2:$A$200,0))),"")</f>
        <v/>
      </c>
      <c r="U389" s="10">
        <f>IFERROR(IF(INDEX('Test catalog'!$N$2:$N$200,MATCH($AB389,'Test catalog'!$A$2:$A$200,0))="","",INDEX('Test catalog'!$N$2:$N$200,MATCH($AB389,'Test catalog'!$A$2:$A$200,0))),"")</f>
        <v/>
      </c>
      <c r="V389" s="15" t="n"/>
      <c r="W389" s="5" t="inlineStr">
        <is>
          <t>N</t>
        </is>
      </c>
      <c r="X389" s="5" t="n"/>
      <c r="Y389" s="5" t="n"/>
      <c r="Z389" s="5" t="n"/>
      <c r="AA389" s="10">
        <f>IFERROR(IF(INDEX('Test catalog'!$O$2:$O$200,MATCH($AB389,'Test catalog'!$A$2:$A$200,0))="","",INDEX('Test catalog'!$O$2:$O$200,MATCH($AB389,'Test catalog'!$A$2:$A$200,0))),"")</f>
        <v/>
      </c>
      <c r="AB389" s="10" t="inlineStr">
        <is>
          <t>DIAM</t>
        </is>
      </c>
    </row>
    <row r="390">
      <c r="A390" s="10" t="inlineStr">
        <is>
          <t>F52</t>
        </is>
      </c>
      <c r="B390" s="10" t="inlineStr">
        <is>
          <t>FP</t>
        </is>
      </c>
      <c r="C390" s="10" t="inlineStr">
        <is>
          <t>Co-Enzyme Q10 (30mg); Co-Enzyme Q10 (100mg)  |  Ubidecarenone (Co-Q10)</t>
        </is>
      </c>
      <c r="D390" s="10" t="inlineStr">
        <is>
          <t>Thickness</t>
        </is>
      </c>
      <c r="E390" s="10">
        <f>IF(A390="","",A390&amp;"|"&amp;D390)</f>
        <v/>
      </c>
      <c r="F390" s="5" t="inlineStr">
        <is>
          <t>Y</t>
        </is>
      </c>
      <c r="G390" s="5" t="inlineStr">
        <is>
          <t>Tablet tester</t>
        </is>
      </c>
      <c r="H390" s="5" t="inlineStr">
        <is>
          <t>Low</t>
        </is>
      </c>
      <c r="I390" s="5" t="n">
        <v>1</v>
      </c>
      <c r="J390" s="5" t="n"/>
      <c r="K390" s="10">
        <f>IFERROR(IF(INDEX('Test catalog'!$F$2:$F$200,MATCH($AB390,'Test catalog'!$A$2:$A$200,0))="","",INDEX('Test catalog'!$F$2:$F$200,MATCH($AB390,'Test catalog'!$A$2:$A$200,0))),"")</f>
        <v/>
      </c>
      <c r="L390" s="10">
        <f>IFERROR(IF(INDEX('Test catalog'!$G$2:$G$200,MATCH($AB390,'Test catalog'!$A$2:$A$200,0))="","",INDEX('Test catalog'!$G$2:$G$200,MATCH($AB390,'Test catalog'!$A$2:$A$200,0))),"")</f>
        <v/>
      </c>
      <c r="M390" s="10">
        <f>IFERROR(IF(INDEX('Test catalog'!$H$2:$H$200,MATCH($AB390,'Test catalog'!$A$2:$A$200,0))="","",INDEX('Test catalog'!$H$2:$H$200,MATCH($AB390,'Test catalog'!$A$2:$A$200,0))),"")</f>
        <v/>
      </c>
      <c r="N390" s="10">
        <f>IFERROR(IF(INDEX('Test catalog'!$I$2:$I$200,MATCH($AB390,'Test catalog'!$A$2:$A$200,0))="","",INDEX('Test catalog'!$I$2:$I$200,MATCH($AB390,'Test catalog'!$A$2:$A$200,0))),"")</f>
        <v/>
      </c>
      <c r="O390" s="10">
        <f>IFERROR(IF(INDEX('Test catalog'!$J$2:$J$200,MATCH($AB390,'Test catalog'!$A$2:$A$200,0))="","",INDEX('Test catalog'!$J$2:$J$200,MATCH($AB390,'Test catalog'!$A$2:$A$200,0))),"")</f>
        <v/>
      </c>
      <c r="P390" s="14">
        <f>IF(N390="","",IF(OR(M390="",O390=""),N390,(M390+4*N390+O390)/6))</f>
        <v/>
      </c>
      <c r="Q390" s="10">
        <f>IFERROR(IF(INDEX('Test catalog'!$K$2:$K$200,MATCH($AB390,'Test catalog'!$A$2:$A$200,0))="","",INDEX('Test catalog'!$K$2:$K$200,MATCH($AB390,'Test catalog'!$A$2:$A$200,0))),"")</f>
        <v/>
      </c>
      <c r="R390" s="5" t="n"/>
      <c r="S390" s="10">
        <f>IFERROR(IF(INDEX('Test catalog'!$L$2:$L$200,MATCH($AB390,'Test catalog'!$A$2:$A$200,0))="","",INDEX('Test catalog'!$L$2:$L$200,MATCH($AB390,'Test catalog'!$A$2:$A$200,0))),"")</f>
        <v/>
      </c>
      <c r="T390" s="10">
        <f>IFERROR(IF(INDEX('Test catalog'!$M$2:$M$200,MATCH($AB390,'Test catalog'!$A$2:$A$200,0))="","",INDEX('Test catalog'!$M$2:$M$200,MATCH($AB390,'Test catalog'!$A$2:$A$200,0))),"")</f>
        <v/>
      </c>
      <c r="U390" s="10">
        <f>IFERROR(IF(INDEX('Test catalog'!$N$2:$N$200,MATCH($AB390,'Test catalog'!$A$2:$A$200,0))="","",INDEX('Test catalog'!$N$2:$N$200,MATCH($AB390,'Test catalog'!$A$2:$A$200,0))),"")</f>
        <v/>
      </c>
      <c r="V390" s="15" t="n"/>
      <c r="W390" s="5" t="inlineStr">
        <is>
          <t>N</t>
        </is>
      </c>
      <c r="X390" s="5" t="n"/>
      <c r="Y390" s="5" t="n"/>
      <c r="Z390" s="5" t="n"/>
      <c r="AA390" s="10">
        <f>IFERROR(IF(INDEX('Test catalog'!$O$2:$O$200,MATCH($AB390,'Test catalog'!$A$2:$A$200,0))="","",INDEX('Test catalog'!$O$2:$O$200,MATCH($AB390,'Test catalog'!$A$2:$A$200,0))),"")</f>
        <v/>
      </c>
      <c r="AB390" s="10" t="inlineStr">
        <is>
          <t>THICK</t>
        </is>
      </c>
    </row>
    <row r="391">
      <c r="A391" s="10" t="inlineStr">
        <is>
          <t>F52</t>
        </is>
      </c>
      <c r="B391" s="10" t="inlineStr">
        <is>
          <t>FP</t>
        </is>
      </c>
      <c r="C391" s="10" t="inlineStr">
        <is>
          <t>Co-Enzyme Q10 (30mg); Co-Enzyme Q10 (100mg)  |  Ubidecarenone (Co-Q10)</t>
        </is>
      </c>
      <c r="D391" s="10" t="inlineStr">
        <is>
          <t>Hardness / breaking force</t>
        </is>
      </c>
      <c r="E391" s="10">
        <f>IF(A391="","",A391&amp;"|"&amp;D391)</f>
        <v/>
      </c>
      <c r="F391" s="5" t="inlineStr">
        <is>
          <t>Y</t>
        </is>
      </c>
      <c r="G391" s="5" t="inlineStr">
        <is>
          <t>Tablet tester</t>
        </is>
      </c>
      <c r="H391" s="5" t="inlineStr">
        <is>
          <t>Low</t>
        </is>
      </c>
      <c r="I391" s="5" t="n">
        <v>1</v>
      </c>
      <c r="J391" s="5" t="n"/>
      <c r="K391" s="10">
        <f>IFERROR(IF(INDEX('Test catalog'!$F$2:$F$200,MATCH($AB391,'Test catalog'!$A$2:$A$200,0))="","",INDEX('Test catalog'!$F$2:$F$200,MATCH($AB391,'Test catalog'!$A$2:$A$200,0))),"")</f>
        <v/>
      </c>
      <c r="L391" s="10">
        <f>IFERROR(IF(INDEX('Test catalog'!$G$2:$G$200,MATCH($AB391,'Test catalog'!$A$2:$A$200,0))="","",INDEX('Test catalog'!$G$2:$G$200,MATCH($AB391,'Test catalog'!$A$2:$A$200,0))),"")</f>
        <v/>
      </c>
      <c r="M391" s="10">
        <f>IFERROR(IF(INDEX('Test catalog'!$H$2:$H$200,MATCH($AB391,'Test catalog'!$A$2:$A$200,0))="","",INDEX('Test catalog'!$H$2:$H$200,MATCH($AB391,'Test catalog'!$A$2:$A$200,0))),"")</f>
        <v/>
      </c>
      <c r="N391" s="10">
        <f>IFERROR(IF(INDEX('Test catalog'!$I$2:$I$200,MATCH($AB391,'Test catalog'!$A$2:$A$200,0))="","",INDEX('Test catalog'!$I$2:$I$200,MATCH($AB391,'Test catalog'!$A$2:$A$200,0))),"")</f>
        <v/>
      </c>
      <c r="O391" s="10">
        <f>IFERROR(IF(INDEX('Test catalog'!$J$2:$J$200,MATCH($AB391,'Test catalog'!$A$2:$A$200,0))="","",INDEX('Test catalog'!$J$2:$J$200,MATCH($AB391,'Test catalog'!$A$2:$A$200,0))),"")</f>
        <v/>
      </c>
      <c r="P391" s="14">
        <f>IF(N391="","",IF(OR(M391="",O391=""),N391,(M391+4*N391+O391)/6))</f>
        <v/>
      </c>
      <c r="Q391" s="10">
        <f>IFERROR(IF(INDEX('Test catalog'!$K$2:$K$200,MATCH($AB391,'Test catalog'!$A$2:$A$200,0))="","",INDEX('Test catalog'!$K$2:$K$200,MATCH($AB391,'Test catalog'!$A$2:$A$200,0))),"")</f>
        <v/>
      </c>
      <c r="R391" s="5" t="n"/>
      <c r="S391" s="10">
        <f>IFERROR(IF(INDEX('Test catalog'!$L$2:$L$200,MATCH($AB391,'Test catalog'!$A$2:$A$200,0))="","",INDEX('Test catalog'!$L$2:$L$200,MATCH($AB391,'Test catalog'!$A$2:$A$200,0))),"")</f>
        <v/>
      </c>
      <c r="T391" s="10">
        <f>IFERROR(IF(INDEX('Test catalog'!$M$2:$M$200,MATCH($AB391,'Test catalog'!$A$2:$A$200,0))="","",INDEX('Test catalog'!$M$2:$M$200,MATCH($AB391,'Test catalog'!$A$2:$A$200,0))),"")</f>
        <v/>
      </c>
      <c r="U391" s="10">
        <f>IFERROR(IF(INDEX('Test catalog'!$N$2:$N$200,MATCH($AB391,'Test catalog'!$A$2:$A$200,0))="","",INDEX('Test catalog'!$N$2:$N$200,MATCH($AB391,'Test catalog'!$A$2:$A$200,0))),"")</f>
        <v/>
      </c>
      <c r="V391" s="15" t="n"/>
      <c r="W391" s="5" t="inlineStr">
        <is>
          <t>Y</t>
        </is>
      </c>
      <c r="X391" s="5" t="n"/>
      <c r="Y391" s="5" t="n"/>
      <c r="Z391" s="5" t="n"/>
      <c r="AA391" s="10">
        <f>IFERROR(IF(INDEX('Test catalog'!$O$2:$O$200,MATCH($AB391,'Test catalog'!$A$2:$A$200,0))="","",INDEX('Test catalog'!$O$2:$O$200,MATCH($AB391,'Test catalog'!$A$2:$A$200,0))),"")</f>
        <v/>
      </c>
      <c r="AB391" s="10" t="inlineStr">
        <is>
          <t>HARD</t>
        </is>
      </c>
    </row>
    <row r="392">
      <c r="A392" s="10" t="inlineStr">
        <is>
          <t>F52</t>
        </is>
      </c>
      <c r="B392" s="10" t="inlineStr">
        <is>
          <t>FP</t>
        </is>
      </c>
      <c r="C392" s="10" t="inlineStr">
        <is>
          <t>Co-Enzyme Q10 (30mg); Co-Enzyme Q10 (100mg)  |  Ubidecarenone (Co-Q10)</t>
        </is>
      </c>
      <c r="D392" s="10" t="inlineStr">
        <is>
          <t>Brittleness</t>
        </is>
      </c>
      <c r="E392" s="10">
        <f>IF(A392="","",A392&amp;"|"&amp;D392)</f>
        <v/>
      </c>
      <c r="F392" s="5" t="inlineStr">
        <is>
          <t>Y</t>
        </is>
      </c>
      <c r="G392" s="5" t="inlineStr">
        <is>
          <t>Other / bench</t>
        </is>
      </c>
      <c r="H392" s="5" t="inlineStr">
        <is>
          <t>Low</t>
        </is>
      </c>
      <c r="I392" s="5" t="n">
        <v>1</v>
      </c>
      <c r="J392" s="5" t="n"/>
      <c r="K392" s="10">
        <f>IFERROR(IF(INDEX('Test catalog'!$F$2:$F$200,MATCH($AB392,'Test catalog'!$A$2:$A$200,0))="","",INDEX('Test catalog'!$F$2:$F$200,MATCH($AB392,'Test catalog'!$A$2:$A$200,0))),"")</f>
        <v/>
      </c>
      <c r="L392" s="10">
        <f>IFERROR(IF(INDEX('Test catalog'!$G$2:$G$200,MATCH($AB392,'Test catalog'!$A$2:$A$200,0))="","",INDEX('Test catalog'!$G$2:$G$200,MATCH($AB392,'Test catalog'!$A$2:$A$200,0))),"")</f>
        <v/>
      </c>
      <c r="M392" s="10">
        <f>IFERROR(IF(INDEX('Test catalog'!$H$2:$H$200,MATCH($AB392,'Test catalog'!$A$2:$A$200,0))="","",INDEX('Test catalog'!$H$2:$H$200,MATCH($AB392,'Test catalog'!$A$2:$A$200,0))),"")</f>
        <v/>
      </c>
      <c r="N392" s="10">
        <f>IFERROR(IF(INDEX('Test catalog'!$I$2:$I$200,MATCH($AB392,'Test catalog'!$A$2:$A$200,0))="","",INDEX('Test catalog'!$I$2:$I$200,MATCH($AB392,'Test catalog'!$A$2:$A$200,0))),"")</f>
        <v/>
      </c>
      <c r="O392" s="10">
        <f>IFERROR(IF(INDEX('Test catalog'!$J$2:$J$200,MATCH($AB392,'Test catalog'!$A$2:$A$200,0))="","",INDEX('Test catalog'!$J$2:$J$200,MATCH($AB392,'Test catalog'!$A$2:$A$200,0))),"")</f>
        <v/>
      </c>
      <c r="P392" s="14">
        <f>IF(N392="","",IF(OR(M392="",O392=""),N392,(M392+4*N392+O392)/6))</f>
        <v/>
      </c>
      <c r="Q392" s="10">
        <f>IFERROR(IF(INDEX('Test catalog'!$K$2:$K$200,MATCH($AB392,'Test catalog'!$A$2:$A$200,0))="","",INDEX('Test catalog'!$K$2:$K$200,MATCH($AB392,'Test catalog'!$A$2:$A$200,0))),"")</f>
        <v/>
      </c>
      <c r="R392" s="5" t="n"/>
      <c r="S392" s="10">
        <f>IFERROR(IF(INDEX('Test catalog'!$L$2:$L$200,MATCH($AB392,'Test catalog'!$A$2:$A$200,0))="","",INDEX('Test catalog'!$L$2:$L$200,MATCH($AB392,'Test catalog'!$A$2:$A$200,0))),"")</f>
        <v/>
      </c>
      <c r="T392" s="10">
        <f>IFERROR(IF(INDEX('Test catalog'!$M$2:$M$200,MATCH($AB392,'Test catalog'!$A$2:$A$200,0))="","",INDEX('Test catalog'!$M$2:$M$200,MATCH($AB392,'Test catalog'!$A$2:$A$200,0))),"")</f>
        <v/>
      </c>
      <c r="U392" s="10">
        <f>IFERROR(IF(INDEX('Test catalog'!$N$2:$N$200,MATCH($AB392,'Test catalog'!$A$2:$A$200,0))="","",INDEX('Test catalog'!$N$2:$N$200,MATCH($AB392,'Test catalog'!$A$2:$A$200,0))),"")</f>
        <v/>
      </c>
      <c r="V392" s="15" t="n"/>
      <c r="W392" s="5" t="inlineStr">
        <is>
          <t>N</t>
        </is>
      </c>
      <c r="X392" s="5" t="n"/>
      <c r="Y392" s="5" t="n"/>
      <c r="Z392" s="5" t="n"/>
      <c r="AA392" s="10">
        <f>IFERROR(IF(INDEX('Test catalog'!$O$2:$O$200,MATCH($AB392,'Test catalog'!$A$2:$A$200,0))="","",INDEX('Test catalog'!$O$2:$O$200,MATCH($AB392,'Test catalog'!$A$2:$A$200,0))),"")</f>
        <v/>
      </c>
      <c r="AB392" s="10" t="inlineStr">
        <is>
          <t>BRITTLE</t>
        </is>
      </c>
    </row>
    <row r="393">
      <c r="A393" s="10" t="inlineStr">
        <is>
          <t>F52</t>
        </is>
      </c>
      <c r="B393" s="10" t="inlineStr">
        <is>
          <t>FP</t>
        </is>
      </c>
      <c r="C393" s="10" t="inlineStr">
        <is>
          <t>Co-Enzyme Q10 (30mg); Co-Enzyme Q10 (100mg)  |  Ubidecarenone (Co-Q10)</t>
        </is>
      </c>
      <c r="D393" s="10" t="inlineStr">
        <is>
          <t>Friability</t>
        </is>
      </c>
      <c r="E393" s="10">
        <f>IF(A393="","",A393&amp;"|"&amp;D393)</f>
        <v/>
      </c>
      <c r="F393" s="5" t="inlineStr">
        <is>
          <t>Y</t>
        </is>
      </c>
      <c r="G393" s="5" t="inlineStr">
        <is>
          <t>Friabilator</t>
        </is>
      </c>
      <c r="H393" s="5" t="inlineStr">
        <is>
          <t>Low</t>
        </is>
      </c>
      <c r="I393" s="5" t="n">
        <v>1</v>
      </c>
      <c r="J393" s="5" t="n"/>
      <c r="K393" s="10">
        <f>IFERROR(IF(INDEX('Test catalog'!$F$2:$F$200,MATCH($AB393,'Test catalog'!$A$2:$A$200,0))="","",INDEX('Test catalog'!$F$2:$F$200,MATCH($AB393,'Test catalog'!$A$2:$A$200,0))),"")</f>
        <v/>
      </c>
      <c r="L393" s="10">
        <f>IFERROR(IF(INDEX('Test catalog'!$G$2:$G$200,MATCH($AB393,'Test catalog'!$A$2:$A$200,0))="","",INDEX('Test catalog'!$G$2:$G$200,MATCH($AB393,'Test catalog'!$A$2:$A$200,0))),"")</f>
        <v/>
      </c>
      <c r="M393" s="10">
        <f>IFERROR(IF(INDEX('Test catalog'!$H$2:$H$200,MATCH($AB393,'Test catalog'!$A$2:$A$200,0))="","",INDEX('Test catalog'!$H$2:$H$200,MATCH($AB393,'Test catalog'!$A$2:$A$200,0))),"")</f>
        <v/>
      </c>
      <c r="N393" s="10">
        <f>IFERROR(IF(INDEX('Test catalog'!$I$2:$I$200,MATCH($AB393,'Test catalog'!$A$2:$A$200,0))="","",INDEX('Test catalog'!$I$2:$I$200,MATCH($AB393,'Test catalog'!$A$2:$A$200,0))),"")</f>
        <v/>
      </c>
      <c r="O393" s="10">
        <f>IFERROR(IF(INDEX('Test catalog'!$J$2:$J$200,MATCH($AB393,'Test catalog'!$A$2:$A$200,0))="","",INDEX('Test catalog'!$J$2:$J$200,MATCH($AB393,'Test catalog'!$A$2:$A$200,0))),"")</f>
        <v/>
      </c>
      <c r="P393" s="14">
        <f>IF(N393="","",IF(OR(M393="",O393=""),N393,(M393+4*N393+O393)/6))</f>
        <v/>
      </c>
      <c r="Q393" s="10">
        <f>IFERROR(IF(INDEX('Test catalog'!$K$2:$K$200,MATCH($AB393,'Test catalog'!$A$2:$A$200,0))="","",INDEX('Test catalog'!$K$2:$K$200,MATCH($AB393,'Test catalog'!$A$2:$A$200,0))),"")</f>
        <v/>
      </c>
      <c r="R393" s="5" t="n"/>
      <c r="S393" s="10">
        <f>IFERROR(IF(INDEX('Test catalog'!$L$2:$L$200,MATCH($AB393,'Test catalog'!$A$2:$A$200,0))="","",INDEX('Test catalog'!$L$2:$L$200,MATCH($AB393,'Test catalog'!$A$2:$A$200,0))),"")</f>
        <v/>
      </c>
      <c r="T393" s="10">
        <f>IFERROR(IF(INDEX('Test catalog'!$M$2:$M$200,MATCH($AB393,'Test catalog'!$A$2:$A$200,0))="","",INDEX('Test catalog'!$M$2:$M$200,MATCH($AB393,'Test catalog'!$A$2:$A$200,0))),"")</f>
        <v/>
      </c>
      <c r="U393" s="10">
        <f>IFERROR(IF(INDEX('Test catalog'!$N$2:$N$200,MATCH($AB393,'Test catalog'!$A$2:$A$200,0))="","",INDEX('Test catalog'!$N$2:$N$200,MATCH($AB393,'Test catalog'!$A$2:$A$200,0))),"")</f>
        <v/>
      </c>
      <c r="V393" s="15" t="n"/>
      <c r="W393" s="5" t="inlineStr">
        <is>
          <t>N</t>
        </is>
      </c>
      <c r="X393" s="5" t="n"/>
      <c r="Y393" s="5" t="n"/>
      <c r="Z393" s="5" t="n"/>
      <c r="AA393" s="10">
        <f>IFERROR(IF(INDEX('Test catalog'!$O$2:$O$200,MATCH($AB393,'Test catalog'!$A$2:$A$200,0))="","",INDEX('Test catalog'!$O$2:$O$200,MATCH($AB393,'Test catalog'!$A$2:$A$200,0))),"")</f>
        <v/>
      </c>
      <c r="AB393" s="10" t="inlineStr">
        <is>
          <t>FRIAB</t>
        </is>
      </c>
    </row>
    <row r="394">
      <c r="A394" s="10" t="inlineStr">
        <is>
          <t>F52</t>
        </is>
      </c>
      <c r="B394" s="10" t="inlineStr">
        <is>
          <t>FP</t>
        </is>
      </c>
      <c r="C394" s="10" t="inlineStr">
        <is>
          <t>Co-Enzyme Q10 (30mg); Co-Enzyme Q10 (100mg)  |  Ubidecarenone (Co-Q10)</t>
        </is>
      </c>
      <c r="D394" s="10" t="inlineStr">
        <is>
          <t>Disintegration</t>
        </is>
      </c>
      <c r="E394" s="10">
        <f>IF(A394="","",A394&amp;"|"&amp;D394)</f>
        <v/>
      </c>
      <c r="F394" s="5" t="inlineStr">
        <is>
          <t>Y</t>
        </is>
      </c>
      <c r="G394" s="5" t="inlineStr">
        <is>
          <t>Disintegration tester</t>
        </is>
      </c>
      <c r="H394" s="5" t="inlineStr">
        <is>
          <t>Low</t>
        </is>
      </c>
      <c r="I394" s="5" t="n">
        <v>1</v>
      </c>
      <c r="J394" s="5" t="n"/>
      <c r="K394" s="10">
        <f>IFERROR(IF(INDEX('Test catalog'!$F$2:$F$200,MATCH($AB394,'Test catalog'!$A$2:$A$200,0))="","",INDEX('Test catalog'!$F$2:$F$200,MATCH($AB394,'Test catalog'!$A$2:$A$200,0))),"")</f>
        <v/>
      </c>
      <c r="L394" s="10">
        <f>IFERROR(IF(INDEX('Test catalog'!$G$2:$G$200,MATCH($AB394,'Test catalog'!$A$2:$A$200,0))="","",INDEX('Test catalog'!$G$2:$G$200,MATCH($AB394,'Test catalog'!$A$2:$A$200,0))),"")</f>
        <v/>
      </c>
      <c r="M394" s="10">
        <f>IFERROR(IF(INDEX('Test catalog'!$H$2:$H$200,MATCH($AB394,'Test catalog'!$A$2:$A$200,0))="","",INDEX('Test catalog'!$H$2:$H$200,MATCH($AB394,'Test catalog'!$A$2:$A$200,0))),"")</f>
        <v/>
      </c>
      <c r="N394" s="10">
        <f>IFERROR(IF(INDEX('Test catalog'!$I$2:$I$200,MATCH($AB394,'Test catalog'!$A$2:$A$200,0))="","",INDEX('Test catalog'!$I$2:$I$200,MATCH($AB394,'Test catalog'!$A$2:$A$200,0))),"")</f>
        <v/>
      </c>
      <c r="O394" s="10">
        <f>IFERROR(IF(INDEX('Test catalog'!$J$2:$J$200,MATCH($AB394,'Test catalog'!$A$2:$A$200,0))="","",INDEX('Test catalog'!$J$2:$J$200,MATCH($AB394,'Test catalog'!$A$2:$A$200,0))),"")</f>
        <v/>
      </c>
      <c r="P394" s="14">
        <f>IF(N394="","",IF(OR(M394="",O394=""),N394,(M394+4*N394+O394)/6))</f>
        <v/>
      </c>
      <c r="Q394" s="10">
        <f>IFERROR(IF(INDEX('Test catalog'!$K$2:$K$200,MATCH($AB394,'Test catalog'!$A$2:$A$200,0))="","",INDEX('Test catalog'!$K$2:$K$200,MATCH($AB394,'Test catalog'!$A$2:$A$200,0))),"")</f>
        <v/>
      </c>
      <c r="R394" s="5" t="n"/>
      <c r="S394" s="10">
        <f>IFERROR(IF(INDEX('Test catalog'!$L$2:$L$200,MATCH($AB394,'Test catalog'!$A$2:$A$200,0))="","",INDEX('Test catalog'!$L$2:$L$200,MATCH($AB394,'Test catalog'!$A$2:$A$200,0))),"")</f>
        <v/>
      </c>
      <c r="T394" s="10">
        <f>IFERROR(IF(INDEX('Test catalog'!$M$2:$M$200,MATCH($AB394,'Test catalog'!$A$2:$A$200,0))="","",INDEX('Test catalog'!$M$2:$M$200,MATCH($AB394,'Test catalog'!$A$2:$A$200,0))),"")</f>
        <v/>
      </c>
      <c r="U394" s="10">
        <f>IFERROR(IF(INDEX('Test catalog'!$N$2:$N$200,MATCH($AB394,'Test catalog'!$A$2:$A$200,0))="","",INDEX('Test catalog'!$N$2:$N$200,MATCH($AB394,'Test catalog'!$A$2:$A$200,0))),"")</f>
        <v/>
      </c>
      <c r="V394" s="15" t="n"/>
      <c r="W394" s="5" t="inlineStr">
        <is>
          <t>Y</t>
        </is>
      </c>
      <c r="X394" s="5" t="n"/>
      <c r="Y394" s="5" t="n"/>
      <c r="Z394" s="5" t="n"/>
      <c r="AA394" s="10">
        <f>IFERROR(IF(INDEX('Test catalog'!$O$2:$O$200,MATCH($AB394,'Test catalog'!$A$2:$A$200,0))="","",INDEX('Test catalog'!$O$2:$O$200,MATCH($AB394,'Test catalog'!$A$2:$A$200,0))),"")</f>
        <v/>
      </c>
      <c r="AB394" s="10" t="inlineStr">
        <is>
          <t>DISINT</t>
        </is>
      </c>
    </row>
    <row r="395">
      <c r="A395" s="10" t="inlineStr">
        <is>
          <t>F52</t>
        </is>
      </c>
      <c r="B395" s="10" t="inlineStr">
        <is>
          <t>FP</t>
        </is>
      </c>
      <c r="C395" s="10" t="inlineStr">
        <is>
          <t>Co-Enzyme Q10 (30mg); Co-Enzyme Q10 (100mg)  |  Ubidecarenone (Co-Q10)</t>
        </is>
      </c>
      <c r="D395" s="10" t="inlineStr">
        <is>
          <t>In-process check at the machine (one check, all its tests)</t>
        </is>
      </c>
      <c r="E395" s="10">
        <f>IF(A395="","",A395&amp;"|"&amp;D395)</f>
        <v/>
      </c>
      <c r="F395" s="5" t="inlineStr">
        <is>
          <t>Y</t>
        </is>
      </c>
      <c r="G395" s="5" t="inlineStr">
        <is>
          <t>Tablet tester</t>
        </is>
      </c>
      <c r="H395" s="5" t="inlineStr">
        <is>
          <t>Low</t>
        </is>
      </c>
      <c r="I395" s="5" t="n">
        <v>1</v>
      </c>
      <c r="J395" s="5" t="n"/>
      <c r="K395" s="10">
        <f>IFERROR(IF(INDEX('Test catalog'!$F$2:$F$200,MATCH($AB395,'Test catalog'!$A$2:$A$200,0))="","",INDEX('Test catalog'!$F$2:$F$200,MATCH($AB395,'Test catalog'!$A$2:$A$200,0))),"")</f>
        <v/>
      </c>
      <c r="L395" s="10">
        <f>IFERROR(IF(INDEX('Test catalog'!$G$2:$G$200,MATCH($AB395,'Test catalog'!$A$2:$A$200,0))="","",INDEX('Test catalog'!$G$2:$G$200,MATCH($AB395,'Test catalog'!$A$2:$A$200,0))),"")</f>
        <v/>
      </c>
      <c r="M395" s="10">
        <f>IFERROR(IF(INDEX('Test catalog'!$H$2:$H$200,MATCH($AB395,'Test catalog'!$A$2:$A$200,0))="","",INDEX('Test catalog'!$H$2:$H$200,MATCH($AB395,'Test catalog'!$A$2:$A$200,0))),"")</f>
        <v/>
      </c>
      <c r="N395" s="10">
        <f>IFERROR(IF(INDEX('Test catalog'!$I$2:$I$200,MATCH($AB395,'Test catalog'!$A$2:$A$200,0))="","",INDEX('Test catalog'!$I$2:$I$200,MATCH($AB395,'Test catalog'!$A$2:$A$200,0))),"")</f>
        <v/>
      </c>
      <c r="O395" s="10">
        <f>IFERROR(IF(INDEX('Test catalog'!$J$2:$J$200,MATCH($AB395,'Test catalog'!$A$2:$A$200,0))="","",INDEX('Test catalog'!$J$2:$J$200,MATCH($AB395,'Test catalog'!$A$2:$A$200,0))),"")</f>
        <v/>
      </c>
      <c r="P395" s="14">
        <f>IF(N395="","",IF(OR(M395="",O395=""),N395,(M395+4*N395+O395)/6))</f>
        <v/>
      </c>
      <c r="Q395" s="10">
        <f>IFERROR(IF(INDEX('Test catalog'!$K$2:$K$200,MATCH($AB395,'Test catalog'!$A$2:$A$200,0))="","",INDEX('Test catalog'!$K$2:$K$200,MATCH($AB395,'Test catalog'!$A$2:$A$200,0))),"")</f>
        <v/>
      </c>
      <c r="R395" s="5" t="n"/>
      <c r="S395" s="10">
        <f>IFERROR(IF(INDEX('Test catalog'!$L$2:$L$200,MATCH($AB395,'Test catalog'!$A$2:$A$200,0))="","",INDEX('Test catalog'!$L$2:$L$200,MATCH($AB395,'Test catalog'!$A$2:$A$200,0))),"")</f>
        <v/>
      </c>
      <c r="T395" s="10">
        <f>IFERROR(IF(INDEX('Test catalog'!$M$2:$M$200,MATCH($AB395,'Test catalog'!$A$2:$A$200,0))="","",INDEX('Test catalog'!$M$2:$M$200,MATCH($AB395,'Test catalog'!$A$2:$A$200,0))),"")</f>
        <v/>
      </c>
      <c r="U395" s="10">
        <f>IFERROR(IF(INDEX('Test catalog'!$N$2:$N$200,MATCH($AB395,'Test catalog'!$A$2:$A$200,0))="","",INDEX('Test catalog'!$N$2:$N$200,MATCH($AB395,'Test catalog'!$A$2:$A$200,0))),"")</f>
        <v/>
      </c>
      <c r="V395" s="15" t="n"/>
      <c r="W395" s="5" t="inlineStr">
        <is>
          <t>N</t>
        </is>
      </c>
      <c r="X395" s="5" t="n"/>
      <c r="Y395" s="5" t="n"/>
      <c r="Z395" s="5" t="n"/>
      <c r="AA395" s="10">
        <f>IFERROR(IF(INDEX('Test catalog'!$O$2:$O$200,MATCH($AB395,'Test catalog'!$A$2:$A$200,0))="","",INDEX('Test catalog'!$O$2:$O$200,MATCH($AB395,'Test catalog'!$A$2:$A$200,0))),"")</f>
        <v/>
      </c>
      <c r="AB395" s="10" t="inlineStr">
        <is>
          <t>IPC</t>
        </is>
      </c>
    </row>
    <row r="396">
      <c r="A396" s="10" t="inlineStr">
        <is>
          <t>F53</t>
        </is>
      </c>
      <c r="B396" s="10" t="inlineStr">
        <is>
          <t>FP</t>
        </is>
      </c>
      <c r="C396" s="10" t="inlineStr">
        <is>
          <t>Digestive Aid (30); Digestive Aid (60)  |  Marshmallow Dry Extract 3:1, Liquorice Dry Extract 8:1 (+4 more)</t>
        </is>
      </c>
      <c r="D396" s="10" t="inlineStr">
        <is>
          <t>Average weight / uniformity of mass</t>
        </is>
      </c>
      <c r="E396" s="10">
        <f>IF(A396="","",A396&amp;"|"&amp;D396)</f>
        <v/>
      </c>
      <c r="F396" s="5" t="inlineStr">
        <is>
          <t>Y</t>
        </is>
      </c>
      <c r="G396" s="5" t="inlineStr">
        <is>
          <t>Balance</t>
        </is>
      </c>
      <c r="H396" s="5" t="inlineStr">
        <is>
          <t>Low</t>
        </is>
      </c>
      <c r="I396" s="5" t="n">
        <v>1</v>
      </c>
      <c r="J396" s="5" t="n"/>
      <c r="K396" s="10">
        <f>IFERROR(IF(INDEX('Test catalog'!$F$2:$F$200,MATCH($AB396,'Test catalog'!$A$2:$A$200,0))="","",INDEX('Test catalog'!$F$2:$F$200,MATCH($AB396,'Test catalog'!$A$2:$A$200,0))),"")</f>
        <v/>
      </c>
      <c r="L396" s="10">
        <f>IFERROR(IF(INDEX('Test catalog'!$G$2:$G$200,MATCH($AB396,'Test catalog'!$A$2:$A$200,0))="","",INDEX('Test catalog'!$G$2:$G$200,MATCH($AB396,'Test catalog'!$A$2:$A$200,0))),"")</f>
        <v/>
      </c>
      <c r="M396" s="10">
        <f>IFERROR(IF(INDEX('Test catalog'!$H$2:$H$200,MATCH($AB396,'Test catalog'!$A$2:$A$200,0))="","",INDEX('Test catalog'!$H$2:$H$200,MATCH($AB396,'Test catalog'!$A$2:$A$200,0))),"")</f>
        <v/>
      </c>
      <c r="N396" s="10">
        <f>IFERROR(IF(INDEX('Test catalog'!$I$2:$I$200,MATCH($AB396,'Test catalog'!$A$2:$A$200,0))="","",INDEX('Test catalog'!$I$2:$I$200,MATCH($AB396,'Test catalog'!$A$2:$A$200,0))),"")</f>
        <v/>
      </c>
      <c r="O396" s="10">
        <f>IFERROR(IF(INDEX('Test catalog'!$J$2:$J$200,MATCH($AB396,'Test catalog'!$A$2:$A$200,0))="","",INDEX('Test catalog'!$J$2:$J$200,MATCH($AB396,'Test catalog'!$A$2:$A$200,0))),"")</f>
        <v/>
      </c>
      <c r="P396" s="14">
        <f>IF(N396="","",IF(OR(M396="",O396=""),N396,(M396+4*N396+O396)/6))</f>
        <v/>
      </c>
      <c r="Q396" s="10">
        <f>IFERROR(IF(INDEX('Test catalog'!$K$2:$K$200,MATCH($AB396,'Test catalog'!$A$2:$A$200,0))="","",INDEX('Test catalog'!$K$2:$K$200,MATCH($AB396,'Test catalog'!$A$2:$A$200,0))),"")</f>
        <v/>
      </c>
      <c r="R396" s="5" t="n"/>
      <c r="S396" s="10">
        <f>IFERROR(IF(INDEX('Test catalog'!$L$2:$L$200,MATCH($AB396,'Test catalog'!$A$2:$A$200,0))="","",INDEX('Test catalog'!$L$2:$L$200,MATCH($AB396,'Test catalog'!$A$2:$A$200,0))),"")</f>
        <v/>
      </c>
      <c r="T396" s="10">
        <f>IFERROR(IF(INDEX('Test catalog'!$M$2:$M$200,MATCH($AB396,'Test catalog'!$A$2:$A$200,0))="","",INDEX('Test catalog'!$M$2:$M$200,MATCH($AB396,'Test catalog'!$A$2:$A$200,0))),"")</f>
        <v/>
      </c>
      <c r="U396" s="10">
        <f>IFERROR(IF(INDEX('Test catalog'!$N$2:$N$200,MATCH($AB396,'Test catalog'!$A$2:$A$200,0))="","",INDEX('Test catalog'!$N$2:$N$200,MATCH($AB396,'Test catalog'!$A$2:$A$200,0))),"")</f>
        <v/>
      </c>
      <c r="V396" s="15" t="n"/>
      <c r="W396" s="5" t="inlineStr">
        <is>
          <t>N</t>
        </is>
      </c>
      <c r="X396" s="5" t="n"/>
      <c r="Y396" s="5" t="n"/>
      <c r="Z396" s="5" t="n"/>
      <c r="AA396" s="10">
        <f>IFERROR(IF(INDEX('Test catalog'!$O$2:$O$200,MATCH($AB396,'Test catalog'!$A$2:$A$200,0))="","",INDEX('Test catalog'!$O$2:$O$200,MATCH($AB396,'Test catalog'!$A$2:$A$200,0))),"")</f>
        <v/>
      </c>
      <c r="AB396" s="10" t="inlineStr">
        <is>
          <t>AVG_WT</t>
        </is>
      </c>
    </row>
    <row r="397">
      <c r="A397" s="10" t="inlineStr">
        <is>
          <t>F53</t>
        </is>
      </c>
      <c r="B397" s="10" t="inlineStr">
        <is>
          <t>FP</t>
        </is>
      </c>
      <c r="C397" s="10" t="inlineStr">
        <is>
          <t>Digestive Aid (30); Digestive Aid (60)  |  Marshmallow Dry Extract 3:1, Liquorice Dry Extract 8:1 (+4 more)</t>
        </is>
      </c>
      <c r="D397" s="10" t="inlineStr">
        <is>
          <t>Diameter (or length / width)</t>
        </is>
      </c>
      <c r="E397" s="10">
        <f>IF(A397="","",A397&amp;"|"&amp;D397)</f>
        <v/>
      </c>
      <c r="F397" s="5" t="inlineStr">
        <is>
          <t>Y</t>
        </is>
      </c>
      <c r="G397" s="5" t="inlineStr">
        <is>
          <t>Tablet tester</t>
        </is>
      </c>
      <c r="H397" s="5" t="inlineStr">
        <is>
          <t>Low</t>
        </is>
      </c>
      <c r="I397" s="5" t="n">
        <v>1</v>
      </c>
      <c r="J397" s="5" t="n"/>
      <c r="K397" s="10">
        <f>IFERROR(IF(INDEX('Test catalog'!$F$2:$F$200,MATCH($AB397,'Test catalog'!$A$2:$A$200,0))="","",INDEX('Test catalog'!$F$2:$F$200,MATCH($AB397,'Test catalog'!$A$2:$A$200,0))),"")</f>
        <v/>
      </c>
      <c r="L397" s="10">
        <f>IFERROR(IF(INDEX('Test catalog'!$G$2:$G$200,MATCH($AB397,'Test catalog'!$A$2:$A$200,0))="","",INDEX('Test catalog'!$G$2:$G$200,MATCH($AB397,'Test catalog'!$A$2:$A$200,0))),"")</f>
        <v/>
      </c>
      <c r="M397" s="10">
        <f>IFERROR(IF(INDEX('Test catalog'!$H$2:$H$200,MATCH($AB397,'Test catalog'!$A$2:$A$200,0))="","",INDEX('Test catalog'!$H$2:$H$200,MATCH($AB397,'Test catalog'!$A$2:$A$200,0))),"")</f>
        <v/>
      </c>
      <c r="N397" s="10">
        <f>IFERROR(IF(INDEX('Test catalog'!$I$2:$I$200,MATCH($AB397,'Test catalog'!$A$2:$A$200,0))="","",INDEX('Test catalog'!$I$2:$I$200,MATCH($AB397,'Test catalog'!$A$2:$A$200,0))),"")</f>
        <v/>
      </c>
      <c r="O397" s="10">
        <f>IFERROR(IF(INDEX('Test catalog'!$J$2:$J$200,MATCH($AB397,'Test catalog'!$A$2:$A$200,0))="","",INDEX('Test catalog'!$J$2:$J$200,MATCH($AB397,'Test catalog'!$A$2:$A$200,0))),"")</f>
        <v/>
      </c>
      <c r="P397" s="14">
        <f>IF(N397="","",IF(OR(M397="",O397=""),N397,(M397+4*N397+O397)/6))</f>
        <v/>
      </c>
      <c r="Q397" s="10">
        <f>IFERROR(IF(INDEX('Test catalog'!$K$2:$K$200,MATCH($AB397,'Test catalog'!$A$2:$A$200,0))="","",INDEX('Test catalog'!$K$2:$K$200,MATCH($AB397,'Test catalog'!$A$2:$A$200,0))),"")</f>
        <v/>
      </c>
      <c r="R397" s="5" t="n"/>
      <c r="S397" s="10">
        <f>IFERROR(IF(INDEX('Test catalog'!$L$2:$L$200,MATCH($AB397,'Test catalog'!$A$2:$A$200,0))="","",INDEX('Test catalog'!$L$2:$L$200,MATCH($AB397,'Test catalog'!$A$2:$A$200,0))),"")</f>
        <v/>
      </c>
      <c r="T397" s="10">
        <f>IFERROR(IF(INDEX('Test catalog'!$M$2:$M$200,MATCH($AB397,'Test catalog'!$A$2:$A$200,0))="","",INDEX('Test catalog'!$M$2:$M$200,MATCH($AB397,'Test catalog'!$A$2:$A$200,0))),"")</f>
        <v/>
      </c>
      <c r="U397" s="10">
        <f>IFERROR(IF(INDEX('Test catalog'!$N$2:$N$200,MATCH($AB397,'Test catalog'!$A$2:$A$200,0))="","",INDEX('Test catalog'!$N$2:$N$200,MATCH($AB397,'Test catalog'!$A$2:$A$200,0))),"")</f>
        <v/>
      </c>
      <c r="V397" s="15" t="n"/>
      <c r="W397" s="5" t="inlineStr">
        <is>
          <t>N</t>
        </is>
      </c>
      <c r="X397" s="5" t="n"/>
      <c r="Y397" s="5" t="n"/>
      <c r="Z397" s="5" t="n"/>
      <c r="AA397" s="10">
        <f>IFERROR(IF(INDEX('Test catalog'!$O$2:$O$200,MATCH($AB397,'Test catalog'!$A$2:$A$200,0))="","",INDEX('Test catalog'!$O$2:$O$200,MATCH($AB397,'Test catalog'!$A$2:$A$200,0))),"")</f>
        <v/>
      </c>
      <c r="AB397" s="10" t="inlineStr">
        <is>
          <t>DIAM</t>
        </is>
      </c>
    </row>
    <row r="398">
      <c r="A398" s="10" t="inlineStr">
        <is>
          <t>F53</t>
        </is>
      </c>
      <c r="B398" s="10" t="inlineStr">
        <is>
          <t>FP</t>
        </is>
      </c>
      <c r="C398" s="10" t="inlineStr">
        <is>
          <t>Digestive Aid (30); Digestive Aid (60)  |  Marshmallow Dry Extract 3:1, Liquorice Dry Extract 8:1 (+4 more)</t>
        </is>
      </c>
      <c r="D398" s="10" t="inlineStr">
        <is>
          <t>Thickness</t>
        </is>
      </c>
      <c r="E398" s="10">
        <f>IF(A398="","",A398&amp;"|"&amp;D398)</f>
        <v/>
      </c>
      <c r="F398" s="5" t="inlineStr">
        <is>
          <t>Y</t>
        </is>
      </c>
      <c r="G398" s="5" t="inlineStr">
        <is>
          <t>Tablet tester</t>
        </is>
      </c>
      <c r="H398" s="5" t="inlineStr">
        <is>
          <t>Low</t>
        </is>
      </c>
      <c r="I398" s="5" t="n">
        <v>1</v>
      </c>
      <c r="J398" s="5" t="n"/>
      <c r="K398" s="10">
        <f>IFERROR(IF(INDEX('Test catalog'!$F$2:$F$200,MATCH($AB398,'Test catalog'!$A$2:$A$200,0))="","",INDEX('Test catalog'!$F$2:$F$200,MATCH($AB398,'Test catalog'!$A$2:$A$200,0))),"")</f>
        <v/>
      </c>
      <c r="L398" s="10">
        <f>IFERROR(IF(INDEX('Test catalog'!$G$2:$G$200,MATCH($AB398,'Test catalog'!$A$2:$A$200,0))="","",INDEX('Test catalog'!$G$2:$G$200,MATCH($AB398,'Test catalog'!$A$2:$A$200,0))),"")</f>
        <v/>
      </c>
      <c r="M398" s="10">
        <f>IFERROR(IF(INDEX('Test catalog'!$H$2:$H$200,MATCH($AB398,'Test catalog'!$A$2:$A$200,0))="","",INDEX('Test catalog'!$H$2:$H$200,MATCH($AB398,'Test catalog'!$A$2:$A$200,0))),"")</f>
        <v/>
      </c>
      <c r="N398" s="10">
        <f>IFERROR(IF(INDEX('Test catalog'!$I$2:$I$200,MATCH($AB398,'Test catalog'!$A$2:$A$200,0))="","",INDEX('Test catalog'!$I$2:$I$200,MATCH($AB398,'Test catalog'!$A$2:$A$200,0))),"")</f>
        <v/>
      </c>
      <c r="O398" s="10">
        <f>IFERROR(IF(INDEX('Test catalog'!$J$2:$J$200,MATCH($AB398,'Test catalog'!$A$2:$A$200,0))="","",INDEX('Test catalog'!$J$2:$J$200,MATCH($AB398,'Test catalog'!$A$2:$A$200,0))),"")</f>
        <v/>
      </c>
      <c r="P398" s="14">
        <f>IF(N398="","",IF(OR(M398="",O398=""),N398,(M398+4*N398+O398)/6))</f>
        <v/>
      </c>
      <c r="Q398" s="10">
        <f>IFERROR(IF(INDEX('Test catalog'!$K$2:$K$200,MATCH($AB398,'Test catalog'!$A$2:$A$200,0))="","",INDEX('Test catalog'!$K$2:$K$200,MATCH($AB398,'Test catalog'!$A$2:$A$200,0))),"")</f>
        <v/>
      </c>
      <c r="R398" s="5" t="n"/>
      <c r="S398" s="10">
        <f>IFERROR(IF(INDEX('Test catalog'!$L$2:$L$200,MATCH($AB398,'Test catalog'!$A$2:$A$200,0))="","",INDEX('Test catalog'!$L$2:$L$200,MATCH($AB398,'Test catalog'!$A$2:$A$200,0))),"")</f>
        <v/>
      </c>
      <c r="T398" s="10">
        <f>IFERROR(IF(INDEX('Test catalog'!$M$2:$M$200,MATCH($AB398,'Test catalog'!$A$2:$A$200,0))="","",INDEX('Test catalog'!$M$2:$M$200,MATCH($AB398,'Test catalog'!$A$2:$A$200,0))),"")</f>
        <v/>
      </c>
      <c r="U398" s="10">
        <f>IFERROR(IF(INDEX('Test catalog'!$N$2:$N$200,MATCH($AB398,'Test catalog'!$A$2:$A$200,0))="","",INDEX('Test catalog'!$N$2:$N$200,MATCH($AB398,'Test catalog'!$A$2:$A$200,0))),"")</f>
        <v/>
      </c>
      <c r="V398" s="15" t="n"/>
      <c r="W398" s="5" t="inlineStr">
        <is>
          <t>N</t>
        </is>
      </c>
      <c r="X398" s="5" t="n"/>
      <c r="Y398" s="5" t="n"/>
      <c r="Z398" s="5" t="n"/>
      <c r="AA398" s="10">
        <f>IFERROR(IF(INDEX('Test catalog'!$O$2:$O$200,MATCH($AB398,'Test catalog'!$A$2:$A$200,0))="","",INDEX('Test catalog'!$O$2:$O$200,MATCH($AB398,'Test catalog'!$A$2:$A$200,0))),"")</f>
        <v/>
      </c>
      <c r="AB398" s="10" t="inlineStr">
        <is>
          <t>THICK</t>
        </is>
      </c>
    </row>
    <row r="399">
      <c r="A399" s="10" t="inlineStr">
        <is>
          <t>F53</t>
        </is>
      </c>
      <c r="B399" s="10" t="inlineStr">
        <is>
          <t>FP</t>
        </is>
      </c>
      <c r="C399" s="10" t="inlineStr">
        <is>
          <t>Digestive Aid (30); Digestive Aid (60)  |  Marshmallow Dry Extract 3:1, Liquorice Dry Extract 8:1 (+4 more)</t>
        </is>
      </c>
      <c r="D399" s="10" t="inlineStr">
        <is>
          <t>Hardness / breaking force</t>
        </is>
      </c>
      <c r="E399" s="10">
        <f>IF(A399="","",A399&amp;"|"&amp;D399)</f>
        <v/>
      </c>
      <c r="F399" s="5" t="inlineStr">
        <is>
          <t>Y</t>
        </is>
      </c>
      <c r="G399" s="5" t="inlineStr">
        <is>
          <t>Tablet tester</t>
        </is>
      </c>
      <c r="H399" s="5" t="inlineStr">
        <is>
          <t>Low</t>
        </is>
      </c>
      <c r="I399" s="5" t="n">
        <v>1</v>
      </c>
      <c r="J399" s="5" t="n"/>
      <c r="K399" s="10">
        <f>IFERROR(IF(INDEX('Test catalog'!$F$2:$F$200,MATCH($AB399,'Test catalog'!$A$2:$A$200,0))="","",INDEX('Test catalog'!$F$2:$F$200,MATCH($AB399,'Test catalog'!$A$2:$A$200,0))),"")</f>
        <v/>
      </c>
      <c r="L399" s="10">
        <f>IFERROR(IF(INDEX('Test catalog'!$G$2:$G$200,MATCH($AB399,'Test catalog'!$A$2:$A$200,0))="","",INDEX('Test catalog'!$G$2:$G$200,MATCH($AB399,'Test catalog'!$A$2:$A$200,0))),"")</f>
        <v/>
      </c>
      <c r="M399" s="10">
        <f>IFERROR(IF(INDEX('Test catalog'!$H$2:$H$200,MATCH($AB399,'Test catalog'!$A$2:$A$200,0))="","",INDEX('Test catalog'!$H$2:$H$200,MATCH($AB399,'Test catalog'!$A$2:$A$200,0))),"")</f>
        <v/>
      </c>
      <c r="N399" s="10">
        <f>IFERROR(IF(INDEX('Test catalog'!$I$2:$I$200,MATCH($AB399,'Test catalog'!$A$2:$A$200,0))="","",INDEX('Test catalog'!$I$2:$I$200,MATCH($AB399,'Test catalog'!$A$2:$A$200,0))),"")</f>
        <v/>
      </c>
      <c r="O399" s="10">
        <f>IFERROR(IF(INDEX('Test catalog'!$J$2:$J$200,MATCH($AB399,'Test catalog'!$A$2:$A$200,0))="","",INDEX('Test catalog'!$J$2:$J$200,MATCH($AB399,'Test catalog'!$A$2:$A$200,0))),"")</f>
        <v/>
      </c>
      <c r="P399" s="14">
        <f>IF(N399="","",IF(OR(M399="",O399=""),N399,(M399+4*N399+O399)/6))</f>
        <v/>
      </c>
      <c r="Q399" s="10">
        <f>IFERROR(IF(INDEX('Test catalog'!$K$2:$K$200,MATCH($AB399,'Test catalog'!$A$2:$A$200,0))="","",INDEX('Test catalog'!$K$2:$K$200,MATCH($AB399,'Test catalog'!$A$2:$A$200,0))),"")</f>
        <v/>
      </c>
      <c r="R399" s="5" t="n"/>
      <c r="S399" s="10">
        <f>IFERROR(IF(INDEX('Test catalog'!$L$2:$L$200,MATCH($AB399,'Test catalog'!$A$2:$A$200,0))="","",INDEX('Test catalog'!$L$2:$L$200,MATCH($AB399,'Test catalog'!$A$2:$A$200,0))),"")</f>
        <v/>
      </c>
      <c r="T399" s="10">
        <f>IFERROR(IF(INDEX('Test catalog'!$M$2:$M$200,MATCH($AB399,'Test catalog'!$A$2:$A$200,0))="","",INDEX('Test catalog'!$M$2:$M$200,MATCH($AB399,'Test catalog'!$A$2:$A$200,0))),"")</f>
        <v/>
      </c>
      <c r="U399" s="10">
        <f>IFERROR(IF(INDEX('Test catalog'!$N$2:$N$200,MATCH($AB399,'Test catalog'!$A$2:$A$200,0))="","",INDEX('Test catalog'!$N$2:$N$200,MATCH($AB399,'Test catalog'!$A$2:$A$200,0))),"")</f>
        <v/>
      </c>
      <c r="V399" s="15" t="n"/>
      <c r="W399" s="5" t="inlineStr">
        <is>
          <t>Y</t>
        </is>
      </c>
      <c r="X399" s="5" t="n"/>
      <c r="Y399" s="5" t="n"/>
      <c r="Z399" s="5" t="n"/>
      <c r="AA399" s="10">
        <f>IFERROR(IF(INDEX('Test catalog'!$O$2:$O$200,MATCH($AB399,'Test catalog'!$A$2:$A$200,0))="","",INDEX('Test catalog'!$O$2:$O$200,MATCH($AB399,'Test catalog'!$A$2:$A$200,0))),"")</f>
        <v/>
      </c>
      <c r="AB399" s="10" t="inlineStr">
        <is>
          <t>HARD</t>
        </is>
      </c>
    </row>
    <row r="400">
      <c r="A400" s="10" t="inlineStr">
        <is>
          <t>F53</t>
        </is>
      </c>
      <c r="B400" s="10" t="inlineStr">
        <is>
          <t>FP</t>
        </is>
      </c>
      <c r="C400" s="10" t="inlineStr">
        <is>
          <t>Digestive Aid (30); Digestive Aid (60)  |  Marshmallow Dry Extract 3:1, Liquorice Dry Extract 8:1 (+4 more)</t>
        </is>
      </c>
      <c r="D400" s="10" t="inlineStr">
        <is>
          <t>Brittleness</t>
        </is>
      </c>
      <c r="E400" s="10">
        <f>IF(A400="","",A400&amp;"|"&amp;D400)</f>
        <v/>
      </c>
      <c r="F400" s="5" t="inlineStr">
        <is>
          <t>Y</t>
        </is>
      </c>
      <c r="G400" s="5" t="inlineStr">
        <is>
          <t>Other / bench</t>
        </is>
      </c>
      <c r="H400" s="5" t="inlineStr">
        <is>
          <t>Low</t>
        </is>
      </c>
      <c r="I400" s="5" t="n">
        <v>1</v>
      </c>
      <c r="J400" s="5" t="n"/>
      <c r="K400" s="10">
        <f>IFERROR(IF(INDEX('Test catalog'!$F$2:$F$200,MATCH($AB400,'Test catalog'!$A$2:$A$200,0))="","",INDEX('Test catalog'!$F$2:$F$200,MATCH($AB400,'Test catalog'!$A$2:$A$200,0))),"")</f>
        <v/>
      </c>
      <c r="L400" s="10">
        <f>IFERROR(IF(INDEX('Test catalog'!$G$2:$G$200,MATCH($AB400,'Test catalog'!$A$2:$A$200,0))="","",INDEX('Test catalog'!$G$2:$G$200,MATCH($AB400,'Test catalog'!$A$2:$A$200,0))),"")</f>
        <v/>
      </c>
      <c r="M400" s="10">
        <f>IFERROR(IF(INDEX('Test catalog'!$H$2:$H$200,MATCH($AB400,'Test catalog'!$A$2:$A$200,0))="","",INDEX('Test catalog'!$H$2:$H$200,MATCH($AB400,'Test catalog'!$A$2:$A$200,0))),"")</f>
        <v/>
      </c>
      <c r="N400" s="10">
        <f>IFERROR(IF(INDEX('Test catalog'!$I$2:$I$200,MATCH($AB400,'Test catalog'!$A$2:$A$200,0))="","",INDEX('Test catalog'!$I$2:$I$200,MATCH($AB400,'Test catalog'!$A$2:$A$200,0))),"")</f>
        <v/>
      </c>
      <c r="O400" s="10">
        <f>IFERROR(IF(INDEX('Test catalog'!$J$2:$J$200,MATCH($AB400,'Test catalog'!$A$2:$A$200,0))="","",INDEX('Test catalog'!$J$2:$J$200,MATCH($AB400,'Test catalog'!$A$2:$A$200,0))),"")</f>
        <v/>
      </c>
      <c r="P400" s="14">
        <f>IF(N400="","",IF(OR(M400="",O400=""),N400,(M400+4*N400+O400)/6))</f>
        <v/>
      </c>
      <c r="Q400" s="10">
        <f>IFERROR(IF(INDEX('Test catalog'!$K$2:$K$200,MATCH($AB400,'Test catalog'!$A$2:$A$200,0))="","",INDEX('Test catalog'!$K$2:$K$200,MATCH($AB400,'Test catalog'!$A$2:$A$200,0))),"")</f>
        <v/>
      </c>
      <c r="R400" s="5" t="n"/>
      <c r="S400" s="10">
        <f>IFERROR(IF(INDEX('Test catalog'!$L$2:$L$200,MATCH($AB400,'Test catalog'!$A$2:$A$200,0))="","",INDEX('Test catalog'!$L$2:$L$200,MATCH($AB400,'Test catalog'!$A$2:$A$200,0))),"")</f>
        <v/>
      </c>
      <c r="T400" s="10">
        <f>IFERROR(IF(INDEX('Test catalog'!$M$2:$M$200,MATCH($AB400,'Test catalog'!$A$2:$A$200,0))="","",INDEX('Test catalog'!$M$2:$M$200,MATCH($AB400,'Test catalog'!$A$2:$A$200,0))),"")</f>
        <v/>
      </c>
      <c r="U400" s="10">
        <f>IFERROR(IF(INDEX('Test catalog'!$N$2:$N$200,MATCH($AB400,'Test catalog'!$A$2:$A$200,0))="","",INDEX('Test catalog'!$N$2:$N$200,MATCH($AB400,'Test catalog'!$A$2:$A$200,0))),"")</f>
        <v/>
      </c>
      <c r="V400" s="15" t="n"/>
      <c r="W400" s="5" t="inlineStr">
        <is>
          <t>N</t>
        </is>
      </c>
      <c r="X400" s="5" t="n"/>
      <c r="Y400" s="5" t="n"/>
      <c r="Z400" s="5" t="n"/>
      <c r="AA400" s="10">
        <f>IFERROR(IF(INDEX('Test catalog'!$O$2:$O$200,MATCH($AB400,'Test catalog'!$A$2:$A$200,0))="","",INDEX('Test catalog'!$O$2:$O$200,MATCH($AB400,'Test catalog'!$A$2:$A$200,0))),"")</f>
        <v/>
      </c>
      <c r="AB400" s="10" t="inlineStr">
        <is>
          <t>BRITTLE</t>
        </is>
      </c>
    </row>
    <row r="401">
      <c r="A401" s="10" t="inlineStr">
        <is>
          <t>F53</t>
        </is>
      </c>
      <c r="B401" s="10" t="inlineStr">
        <is>
          <t>FP</t>
        </is>
      </c>
      <c r="C401" s="10" t="inlineStr">
        <is>
          <t>Digestive Aid (30); Digestive Aid (60)  |  Marshmallow Dry Extract 3:1, Liquorice Dry Extract 8:1 (+4 more)</t>
        </is>
      </c>
      <c r="D401" s="10" t="inlineStr">
        <is>
          <t>Friability</t>
        </is>
      </c>
      <c r="E401" s="10">
        <f>IF(A401="","",A401&amp;"|"&amp;D401)</f>
        <v/>
      </c>
      <c r="F401" s="5" t="inlineStr">
        <is>
          <t>Y</t>
        </is>
      </c>
      <c r="G401" s="5" t="inlineStr">
        <is>
          <t>Friabilator</t>
        </is>
      </c>
      <c r="H401" s="5" t="inlineStr">
        <is>
          <t>Low</t>
        </is>
      </c>
      <c r="I401" s="5" t="n">
        <v>1</v>
      </c>
      <c r="J401" s="5" t="n"/>
      <c r="K401" s="10">
        <f>IFERROR(IF(INDEX('Test catalog'!$F$2:$F$200,MATCH($AB401,'Test catalog'!$A$2:$A$200,0))="","",INDEX('Test catalog'!$F$2:$F$200,MATCH($AB401,'Test catalog'!$A$2:$A$200,0))),"")</f>
        <v/>
      </c>
      <c r="L401" s="10">
        <f>IFERROR(IF(INDEX('Test catalog'!$G$2:$G$200,MATCH($AB401,'Test catalog'!$A$2:$A$200,0))="","",INDEX('Test catalog'!$G$2:$G$200,MATCH($AB401,'Test catalog'!$A$2:$A$200,0))),"")</f>
        <v/>
      </c>
      <c r="M401" s="10">
        <f>IFERROR(IF(INDEX('Test catalog'!$H$2:$H$200,MATCH($AB401,'Test catalog'!$A$2:$A$200,0))="","",INDEX('Test catalog'!$H$2:$H$200,MATCH($AB401,'Test catalog'!$A$2:$A$200,0))),"")</f>
        <v/>
      </c>
      <c r="N401" s="10">
        <f>IFERROR(IF(INDEX('Test catalog'!$I$2:$I$200,MATCH($AB401,'Test catalog'!$A$2:$A$200,0))="","",INDEX('Test catalog'!$I$2:$I$200,MATCH($AB401,'Test catalog'!$A$2:$A$200,0))),"")</f>
        <v/>
      </c>
      <c r="O401" s="10">
        <f>IFERROR(IF(INDEX('Test catalog'!$J$2:$J$200,MATCH($AB401,'Test catalog'!$A$2:$A$200,0))="","",INDEX('Test catalog'!$J$2:$J$200,MATCH($AB401,'Test catalog'!$A$2:$A$200,0))),"")</f>
        <v/>
      </c>
      <c r="P401" s="14">
        <f>IF(N401="","",IF(OR(M401="",O401=""),N401,(M401+4*N401+O401)/6))</f>
        <v/>
      </c>
      <c r="Q401" s="10">
        <f>IFERROR(IF(INDEX('Test catalog'!$K$2:$K$200,MATCH($AB401,'Test catalog'!$A$2:$A$200,0))="","",INDEX('Test catalog'!$K$2:$K$200,MATCH($AB401,'Test catalog'!$A$2:$A$200,0))),"")</f>
        <v/>
      </c>
      <c r="R401" s="5" t="n"/>
      <c r="S401" s="10">
        <f>IFERROR(IF(INDEX('Test catalog'!$L$2:$L$200,MATCH($AB401,'Test catalog'!$A$2:$A$200,0))="","",INDEX('Test catalog'!$L$2:$L$200,MATCH($AB401,'Test catalog'!$A$2:$A$200,0))),"")</f>
        <v/>
      </c>
      <c r="T401" s="10">
        <f>IFERROR(IF(INDEX('Test catalog'!$M$2:$M$200,MATCH($AB401,'Test catalog'!$A$2:$A$200,0))="","",INDEX('Test catalog'!$M$2:$M$200,MATCH($AB401,'Test catalog'!$A$2:$A$200,0))),"")</f>
        <v/>
      </c>
      <c r="U401" s="10">
        <f>IFERROR(IF(INDEX('Test catalog'!$N$2:$N$200,MATCH($AB401,'Test catalog'!$A$2:$A$200,0))="","",INDEX('Test catalog'!$N$2:$N$200,MATCH($AB401,'Test catalog'!$A$2:$A$200,0))),"")</f>
        <v/>
      </c>
      <c r="V401" s="15" t="n"/>
      <c r="W401" s="5" t="inlineStr">
        <is>
          <t>N</t>
        </is>
      </c>
      <c r="X401" s="5" t="n"/>
      <c r="Y401" s="5" t="n"/>
      <c r="Z401" s="5" t="n"/>
      <c r="AA401" s="10">
        <f>IFERROR(IF(INDEX('Test catalog'!$O$2:$O$200,MATCH($AB401,'Test catalog'!$A$2:$A$200,0))="","",INDEX('Test catalog'!$O$2:$O$200,MATCH($AB401,'Test catalog'!$A$2:$A$200,0))),"")</f>
        <v/>
      </c>
      <c r="AB401" s="10" t="inlineStr">
        <is>
          <t>FRIAB</t>
        </is>
      </c>
    </row>
    <row r="402">
      <c r="A402" s="10" t="inlineStr">
        <is>
          <t>F53</t>
        </is>
      </c>
      <c r="B402" s="10" t="inlineStr">
        <is>
          <t>FP</t>
        </is>
      </c>
      <c r="C402" s="10" t="inlineStr">
        <is>
          <t>Digestive Aid (30); Digestive Aid (60)  |  Marshmallow Dry Extract 3:1, Liquorice Dry Extract 8:1 (+4 more)</t>
        </is>
      </c>
      <c r="D402" s="10" t="inlineStr">
        <is>
          <t>Disintegration</t>
        </is>
      </c>
      <c r="E402" s="10">
        <f>IF(A402="","",A402&amp;"|"&amp;D402)</f>
        <v/>
      </c>
      <c r="F402" s="5" t="inlineStr">
        <is>
          <t>Y</t>
        </is>
      </c>
      <c r="G402" s="5" t="inlineStr">
        <is>
          <t>Disintegration tester</t>
        </is>
      </c>
      <c r="H402" s="5" t="inlineStr">
        <is>
          <t>Low</t>
        </is>
      </c>
      <c r="I402" s="5" t="n">
        <v>1</v>
      </c>
      <c r="J402" s="5" t="n"/>
      <c r="K402" s="10">
        <f>IFERROR(IF(INDEX('Test catalog'!$F$2:$F$200,MATCH($AB402,'Test catalog'!$A$2:$A$200,0))="","",INDEX('Test catalog'!$F$2:$F$200,MATCH($AB402,'Test catalog'!$A$2:$A$200,0))),"")</f>
        <v/>
      </c>
      <c r="L402" s="10">
        <f>IFERROR(IF(INDEX('Test catalog'!$G$2:$G$200,MATCH($AB402,'Test catalog'!$A$2:$A$200,0))="","",INDEX('Test catalog'!$G$2:$G$200,MATCH($AB402,'Test catalog'!$A$2:$A$200,0))),"")</f>
        <v/>
      </c>
      <c r="M402" s="10">
        <f>IFERROR(IF(INDEX('Test catalog'!$H$2:$H$200,MATCH($AB402,'Test catalog'!$A$2:$A$200,0))="","",INDEX('Test catalog'!$H$2:$H$200,MATCH($AB402,'Test catalog'!$A$2:$A$200,0))),"")</f>
        <v/>
      </c>
      <c r="N402" s="10">
        <f>IFERROR(IF(INDEX('Test catalog'!$I$2:$I$200,MATCH($AB402,'Test catalog'!$A$2:$A$200,0))="","",INDEX('Test catalog'!$I$2:$I$200,MATCH($AB402,'Test catalog'!$A$2:$A$200,0))),"")</f>
        <v/>
      </c>
      <c r="O402" s="10">
        <f>IFERROR(IF(INDEX('Test catalog'!$J$2:$J$200,MATCH($AB402,'Test catalog'!$A$2:$A$200,0))="","",INDEX('Test catalog'!$J$2:$J$200,MATCH($AB402,'Test catalog'!$A$2:$A$200,0))),"")</f>
        <v/>
      </c>
      <c r="P402" s="14">
        <f>IF(N402="","",IF(OR(M402="",O402=""),N402,(M402+4*N402+O402)/6))</f>
        <v/>
      </c>
      <c r="Q402" s="10">
        <f>IFERROR(IF(INDEX('Test catalog'!$K$2:$K$200,MATCH($AB402,'Test catalog'!$A$2:$A$200,0))="","",INDEX('Test catalog'!$K$2:$K$200,MATCH($AB402,'Test catalog'!$A$2:$A$200,0))),"")</f>
        <v/>
      </c>
      <c r="R402" s="5" t="n"/>
      <c r="S402" s="10">
        <f>IFERROR(IF(INDEX('Test catalog'!$L$2:$L$200,MATCH($AB402,'Test catalog'!$A$2:$A$200,0))="","",INDEX('Test catalog'!$L$2:$L$200,MATCH($AB402,'Test catalog'!$A$2:$A$200,0))),"")</f>
        <v/>
      </c>
      <c r="T402" s="10">
        <f>IFERROR(IF(INDEX('Test catalog'!$M$2:$M$200,MATCH($AB402,'Test catalog'!$A$2:$A$200,0))="","",INDEX('Test catalog'!$M$2:$M$200,MATCH($AB402,'Test catalog'!$A$2:$A$200,0))),"")</f>
        <v/>
      </c>
      <c r="U402" s="10">
        <f>IFERROR(IF(INDEX('Test catalog'!$N$2:$N$200,MATCH($AB402,'Test catalog'!$A$2:$A$200,0))="","",INDEX('Test catalog'!$N$2:$N$200,MATCH($AB402,'Test catalog'!$A$2:$A$200,0))),"")</f>
        <v/>
      </c>
      <c r="V402" s="15" t="n"/>
      <c r="W402" s="5" t="inlineStr">
        <is>
          <t>Y</t>
        </is>
      </c>
      <c r="X402" s="5" t="n"/>
      <c r="Y402" s="5" t="n"/>
      <c r="Z402" s="5" t="n"/>
      <c r="AA402" s="10">
        <f>IFERROR(IF(INDEX('Test catalog'!$O$2:$O$200,MATCH($AB402,'Test catalog'!$A$2:$A$200,0))="","",INDEX('Test catalog'!$O$2:$O$200,MATCH($AB402,'Test catalog'!$A$2:$A$200,0))),"")</f>
        <v/>
      </c>
      <c r="AB402" s="10" t="inlineStr">
        <is>
          <t>DISINT</t>
        </is>
      </c>
    </row>
    <row r="403">
      <c r="A403" s="10" t="inlineStr">
        <is>
          <t>F53</t>
        </is>
      </c>
      <c r="B403" s="10" t="inlineStr">
        <is>
          <t>FP</t>
        </is>
      </c>
      <c r="C403" s="10" t="inlineStr">
        <is>
          <t>Digestive Aid (30); Digestive Aid (60)  |  Marshmallow Dry Extract 3:1, Liquorice Dry Extract 8:1 (+4 more)</t>
        </is>
      </c>
      <c r="D403" s="10" t="inlineStr">
        <is>
          <t>In-process check at the machine (one check, all its tests)</t>
        </is>
      </c>
      <c r="E403" s="10">
        <f>IF(A403="","",A403&amp;"|"&amp;D403)</f>
        <v/>
      </c>
      <c r="F403" s="5" t="inlineStr">
        <is>
          <t>Y</t>
        </is>
      </c>
      <c r="G403" s="5" t="inlineStr">
        <is>
          <t>Tablet tester</t>
        </is>
      </c>
      <c r="H403" s="5" t="inlineStr">
        <is>
          <t>Low</t>
        </is>
      </c>
      <c r="I403" s="5" t="n">
        <v>1</v>
      </c>
      <c r="J403" s="5" t="n"/>
      <c r="K403" s="10">
        <f>IFERROR(IF(INDEX('Test catalog'!$F$2:$F$200,MATCH($AB403,'Test catalog'!$A$2:$A$200,0))="","",INDEX('Test catalog'!$F$2:$F$200,MATCH($AB403,'Test catalog'!$A$2:$A$200,0))),"")</f>
        <v/>
      </c>
      <c r="L403" s="10">
        <f>IFERROR(IF(INDEX('Test catalog'!$G$2:$G$200,MATCH($AB403,'Test catalog'!$A$2:$A$200,0))="","",INDEX('Test catalog'!$G$2:$G$200,MATCH($AB403,'Test catalog'!$A$2:$A$200,0))),"")</f>
        <v/>
      </c>
      <c r="M403" s="10">
        <f>IFERROR(IF(INDEX('Test catalog'!$H$2:$H$200,MATCH($AB403,'Test catalog'!$A$2:$A$200,0))="","",INDEX('Test catalog'!$H$2:$H$200,MATCH($AB403,'Test catalog'!$A$2:$A$200,0))),"")</f>
        <v/>
      </c>
      <c r="N403" s="10">
        <f>IFERROR(IF(INDEX('Test catalog'!$I$2:$I$200,MATCH($AB403,'Test catalog'!$A$2:$A$200,0))="","",INDEX('Test catalog'!$I$2:$I$200,MATCH($AB403,'Test catalog'!$A$2:$A$200,0))),"")</f>
        <v/>
      </c>
      <c r="O403" s="10">
        <f>IFERROR(IF(INDEX('Test catalog'!$J$2:$J$200,MATCH($AB403,'Test catalog'!$A$2:$A$200,0))="","",INDEX('Test catalog'!$J$2:$J$200,MATCH($AB403,'Test catalog'!$A$2:$A$200,0))),"")</f>
        <v/>
      </c>
      <c r="P403" s="14">
        <f>IF(N403="","",IF(OR(M403="",O403=""),N403,(M403+4*N403+O403)/6))</f>
        <v/>
      </c>
      <c r="Q403" s="10">
        <f>IFERROR(IF(INDEX('Test catalog'!$K$2:$K$200,MATCH($AB403,'Test catalog'!$A$2:$A$200,0))="","",INDEX('Test catalog'!$K$2:$K$200,MATCH($AB403,'Test catalog'!$A$2:$A$200,0))),"")</f>
        <v/>
      </c>
      <c r="R403" s="5" t="n"/>
      <c r="S403" s="10">
        <f>IFERROR(IF(INDEX('Test catalog'!$L$2:$L$200,MATCH($AB403,'Test catalog'!$A$2:$A$200,0))="","",INDEX('Test catalog'!$L$2:$L$200,MATCH($AB403,'Test catalog'!$A$2:$A$200,0))),"")</f>
        <v/>
      </c>
      <c r="T403" s="10">
        <f>IFERROR(IF(INDEX('Test catalog'!$M$2:$M$200,MATCH($AB403,'Test catalog'!$A$2:$A$200,0))="","",INDEX('Test catalog'!$M$2:$M$200,MATCH($AB403,'Test catalog'!$A$2:$A$200,0))),"")</f>
        <v/>
      </c>
      <c r="U403" s="10">
        <f>IFERROR(IF(INDEX('Test catalog'!$N$2:$N$200,MATCH($AB403,'Test catalog'!$A$2:$A$200,0))="","",INDEX('Test catalog'!$N$2:$N$200,MATCH($AB403,'Test catalog'!$A$2:$A$200,0))),"")</f>
        <v/>
      </c>
      <c r="V403" s="15" t="n"/>
      <c r="W403" s="5" t="inlineStr">
        <is>
          <t>N</t>
        </is>
      </c>
      <c r="X403" s="5" t="n"/>
      <c r="Y403" s="5" t="n"/>
      <c r="Z403" s="5" t="n"/>
      <c r="AA403" s="10">
        <f>IFERROR(IF(INDEX('Test catalog'!$O$2:$O$200,MATCH($AB403,'Test catalog'!$A$2:$A$200,0))="","",INDEX('Test catalog'!$O$2:$O$200,MATCH($AB403,'Test catalog'!$A$2:$A$200,0))),"")</f>
        <v/>
      </c>
      <c r="AB403" s="10" t="inlineStr">
        <is>
          <t>IPC</t>
        </is>
      </c>
    </row>
    <row r="404">
      <c r="A404" s="10" t="inlineStr">
        <is>
          <t>F54</t>
        </is>
      </c>
      <c r="B404" s="10" t="inlineStr">
        <is>
          <t>FP</t>
        </is>
      </c>
      <c r="C404" s="10" t="inlineStr">
        <is>
          <t>Celer-X Forte  |  Apium Graveolens Seed Dry Extract 6:1, Juniper Communis Fruit Dry Extract 2:1 (+1 more)</t>
        </is>
      </c>
      <c r="D404" s="10" t="inlineStr">
        <is>
          <t>Average weight / uniformity of mass</t>
        </is>
      </c>
      <c r="E404" s="10">
        <f>IF(A404="","",A404&amp;"|"&amp;D404)</f>
        <v/>
      </c>
      <c r="F404" s="5" t="inlineStr">
        <is>
          <t>Y</t>
        </is>
      </c>
      <c r="G404" s="5" t="inlineStr">
        <is>
          <t>Balance</t>
        </is>
      </c>
      <c r="H404" s="5" t="inlineStr">
        <is>
          <t>Low</t>
        </is>
      </c>
      <c r="I404" s="5" t="n">
        <v>1</v>
      </c>
      <c r="J404" s="5" t="n"/>
      <c r="K404" s="10">
        <f>IFERROR(IF(INDEX('Test catalog'!$F$2:$F$200,MATCH($AB404,'Test catalog'!$A$2:$A$200,0))="","",INDEX('Test catalog'!$F$2:$F$200,MATCH($AB404,'Test catalog'!$A$2:$A$200,0))),"")</f>
        <v/>
      </c>
      <c r="L404" s="10">
        <f>IFERROR(IF(INDEX('Test catalog'!$G$2:$G$200,MATCH($AB404,'Test catalog'!$A$2:$A$200,0))="","",INDEX('Test catalog'!$G$2:$G$200,MATCH($AB404,'Test catalog'!$A$2:$A$200,0))),"")</f>
        <v/>
      </c>
      <c r="M404" s="10">
        <f>IFERROR(IF(INDEX('Test catalog'!$H$2:$H$200,MATCH($AB404,'Test catalog'!$A$2:$A$200,0))="","",INDEX('Test catalog'!$H$2:$H$200,MATCH($AB404,'Test catalog'!$A$2:$A$200,0))),"")</f>
        <v/>
      </c>
      <c r="N404" s="10">
        <f>IFERROR(IF(INDEX('Test catalog'!$I$2:$I$200,MATCH($AB404,'Test catalog'!$A$2:$A$200,0))="","",INDEX('Test catalog'!$I$2:$I$200,MATCH($AB404,'Test catalog'!$A$2:$A$200,0))),"")</f>
        <v/>
      </c>
      <c r="O404" s="10">
        <f>IFERROR(IF(INDEX('Test catalog'!$J$2:$J$200,MATCH($AB404,'Test catalog'!$A$2:$A$200,0))="","",INDEX('Test catalog'!$J$2:$J$200,MATCH($AB404,'Test catalog'!$A$2:$A$200,0))),"")</f>
        <v/>
      </c>
      <c r="P404" s="14">
        <f>IF(N404="","",IF(OR(M404="",O404=""),N404,(M404+4*N404+O404)/6))</f>
        <v/>
      </c>
      <c r="Q404" s="10">
        <f>IFERROR(IF(INDEX('Test catalog'!$K$2:$K$200,MATCH($AB404,'Test catalog'!$A$2:$A$200,0))="","",INDEX('Test catalog'!$K$2:$K$200,MATCH($AB404,'Test catalog'!$A$2:$A$200,0))),"")</f>
        <v/>
      </c>
      <c r="R404" s="5" t="n"/>
      <c r="S404" s="10">
        <f>IFERROR(IF(INDEX('Test catalog'!$L$2:$L$200,MATCH($AB404,'Test catalog'!$A$2:$A$200,0))="","",INDEX('Test catalog'!$L$2:$L$200,MATCH($AB404,'Test catalog'!$A$2:$A$200,0))),"")</f>
        <v/>
      </c>
      <c r="T404" s="10">
        <f>IFERROR(IF(INDEX('Test catalog'!$M$2:$M$200,MATCH($AB404,'Test catalog'!$A$2:$A$200,0))="","",INDEX('Test catalog'!$M$2:$M$200,MATCH($AB404,'Test catalog'!$A$2:$A$200,0))),"")</f>
        <v/>
      </c>
      <c r="U404" s="10">
        <f>IFERROR(IF(INDEX('Test catalog'!$N$2:$N$200,MATCH($AB404,'Test catalog'!$A$2:$A$200,0))="","",INDEX('Test catalog'!$N$2:$N$200,MATCH($AB404,'Test catalog'!$A$2:$A$200,0))),"")</f>
        <v/>
      </c>
      <c r="V404" s="15" t="n"/>
      <c r="W404" s="5" t="inlineStr">
        <is>
          <t>N</t>
        </is>
      </c>
      <c r="X404" s="5" t="n"/>
      <c r="Y404" s="5" t="n"/>
      <c r="Z404" s="5" t="n"/>
      <c r="AA404" s="10">
        <f>IFERROR(IF(INDEX('Test catalog'!$O$2:$O$200,MATCH($AB404,'Test catalog'!$A$2:$A$200,0))="","",INDEX('Test catalog'!$O$2:$O$200,MATCH($AB404,'Test catalog'!$A$2:$A$200,0))),"")</f>
        <v/>
      </c>
      <c r="AB404" s="10" t="inlineStr">
        <is>
          <t>AVG_WT</t>
        </is>
      </c>
    </row>
    <row r="405">
      <c r="A405" s="10" t="inlineStr">
        <is>
          <t>F54</t>
        </is>
      </c>
      <c r="B405" s="10" t="inlineStr">
        <is>
          <t>FP</t>
        </is>
      </c>
      <c r="C405" s="10" t="inlineStr">
        <is>
          <t>Celer-X Forte  |  Apium Graveolens Seed Dry Extract 6:1, Juniper Communis Fruit Dry Extract 2:1 (+1 more)</t>
        </is>
      </c>
      <c r="D405" s="10" t="inlineStr">
        <is>
          <t>Diameter (or length / width)</t>
        </is>
      </c>
      <c r="E405" s="10">
        <f>IF(A405="","",A405&amp;"|"&amp;D405)</f>
        <v/>
      </c>
      <c r="F405" s="5" t="inlineStr">
        <is>
          <t>Y</t>
        </is>
      </c>
      <c r="G405" s="5" t="inlineStr">
        <is>
          <t>Tablet tester</t>
        </is>
      </c>
      <c r="H405" s="5" t="inlineStr">
        <is>
          <t>Low</t>
        </is>
      </c>
      <c r="I405" s="5" t="n">
        <v>1</v>
      </c>
      <c r="J405" s="5" t="n"/>
      <c r="K405" s="10">
        <f>IFERROR(IF(INDEX('Test catalog'!$F$2:$F$200,MATCH($AB405,'Test catalog'!$A$2:$A$200,0))="","",INDEX('Test catalog'!$F$2:$F$200,MATCH($AB405,'Test catalog'!$A$2:$A$200,0))),"")</f>
        <v/>
      </c>
      <c r="L405" s="10">
        <f>IFERROR(IF(INDEX('Test catalog'!$G$2:$G$200,MATCH($AB405,'Test catalog'!$A$2:$A$200,0))="","",INDEX('Test catalog'!$G$2:$G$200,MATCH($AB405,'Test catalog'!$A$2:$A$200,0))),"")</f>
        <v/>
      </c>
      <c r="M405" s="10">
        <f>IFERROR(IF(INDEX('Test catalog'!$H$2:$H$200,MATCH($AB405,'Test catalog'!$A$2:$A$200,0))="","",INDEX('Test catalog'!$H$2:$H$200,MATCH($AB405,'Test catalog'!$A$2:$A$200,0))),"")</f>
        <v/>
      </c>
      <c r="N405" s="10">
        <f>IFERROR(IF(INDEX('Test catalog'!$I$2:$I$200,MATCH($AB405,'Test catalog'!$A$2:$A$200,0))="","",INDEX('Test catalog'!$I$2:$I$200,MATCH($AB405,'Test catalog'!$A$2:$A$200,0))),"")</f>
        <v/>
      </c>
      <c r="O405" s="10">
        <f>IFERROR(IF(INDEX('Test catalog'!$J$2:$J$200,MATCH($AB405,'Test catalog'!$A$2:$A$200,0))="","",INDEX('Test catalog'!$J$2:$J$200,MATCH($AB405,'Test catalog'!$A$2:$A$200,0))),"")</f>
        <v/>
      </c>
      <c r="P405" s="14">
        <f>IF(N405="","",IF(OR(M405="",O405=""),N405,(M405+4*N405+O405)/6))</f>
        <v/>
      </c>
      <c r="Q405" s="10">
        <f>IFERROR(IF(INDEX('Test catalog'!$K$2:$K$200,MATCH($AB405,'Test catalog'!$A$2:$A$200,0))="","",INDEX('Test catalog'!$K$2:$K$200,MATCH($AB405,'Test catalog'!$A$2:$A$200,0))),"")</f>
        <v/>
      </c>
      <c r="R405" s="5" t="n"/>
      <c r="S405" s="10">
        <f>IFERROR(IF(INDEX('Test catalog'!$L$2:$L$200,MATCH($AB405,'Test catalog'!$A$2:$A$200,0))="","",INDEX('Test catalog'!$L$2:$L$200,MATCH($AB405,'Test catalog'!$A$2:$A$200,0))),"")</f>
        <v/>
      </c>
      <c r="T405" s="10">
        <f>IFERROR(IF(INDEX('Test catalog'!$M$2:$M$200,MATCH($AB405,'Test catalog'!$A$2:$A$200,0))="","",INDEX('Test catalog'!$M$2:$M$200,MATCH($AB405,'Test catalog'!$A$2:$A$200,0))),"")</f>
        <v/>
      </c>
      <c r="U405" s="10">
        <f>IFERROR(IF(INDEX('Test catalog'!$N$2:$N$200,MATCH($AB405,'Test catalog'!$A$2:$A$200,0))="","",INDEX('Test catalog'!$N$2:$N$200,MATCH($AB405,'Test catalog'!$A$2:$A$200,0))),"")</f>
        <v/>
      </c>
      <c r="V405" s="15" t="n"/>
      <c r="W405" s="5" t="inlineStr">
        <is>
          <t>N</t>
        </is>
      </c>
      <c r="X405" s="5" t="n"/>
      <c r="Y405" s="5" t="n"/>
      <c r="Z405" s="5" t="n"/>
      <c r="AA405" s="10">
        <f>IFERROR(IF(INDEX('Test catalog'!$O$2:$O$200,MATCH($AB405,'Test catalog'!$A$2:$A$200,0))="","",INDEX('Test catalog'!$O$2:$O$200,MATCH($AB405,'Test catalog'!$A$2:$A$200,0))),"")</f>
        <v/>
      </c>
      <c r="AB405" s="10" t="inlineStr">
        <is>
          <t>DIAM</t>
        </is>
      </c>
    </row>
    <row r="406">
      <c r="A406" s="10" t="inlineStr">
        <is>
          <t>F54</t>
        </is>
      </c>
      <c r="B406" s="10" t="inlineStr">
        <is>
          <t>FP</t>
        </is>
      </c>
      <c r="C406" s="10" t="inlineStr">
        <is>
          <t>Celer-X Forte  |  Apium Graveolens Seed Dry Extract 6:1, Juniper Communis Fruit Dry Extract 2:1 (+1 more)</t>
        </is>
      </c>
      <c r="D406" s="10" t="inlineStr">
        <is>
          <t>Thickness</t>
        </is>
      </c>
      <c r="E406" s="10">
        <f>IF(A406="","",A406&amp;"|"&amp;D406)</f>
        <v/>
      </c>
      <c r="F406" s="5" t="inlineStr">
        <is>
          <t>Y</t>
        </is>
      </c>
      <c r="G406" s="5" t="inlineStr">
        <is>
          <t>Tablet tester</t>
        </is>
      </c>
      <c r="H406" s="5" t="inlineStr">
        <is>
          <t>Low</t>
        </is>
      </c>
      <c r="I406" s="5" t="n">
        <v>1</v>
      </c>
      <c r="J406" s="5" t="n"/>
      <c r="K406" s="10">
        <f>IFERROR(IF(INDEX('Test catalog'!$F$2:$F$200,MATCH($AB406,'Test catalog'!$A$2:$A$200,0))="","",INDEX('Test catalog'!$F$2:$F$200,MATCH($AB406,'Test catalog'!$A$2:$A$200,0))),"")</f>
        <v/>
      </c>
      <c r="L406" s="10">
        <f>IFERROR(IF(INDEX('Test catalog'!$G$2:$G$200,MATCH($AB406,'Test catalog'!$A$2:$A$200,0))="","",INDEX('Test catalog'!$G$2:$G$200,MATCH($AB406,'Test catalog'!$A$2:$A$200,0))),"")</f>
        <v/>
      </c>
      <c r="M406" s="10">
        <f>IFERROR(IF(INDEX('Test catalog'!$H$2:$H$200,MATCH($AB406,'Test catalog'!$A$2:$A$200,0))="","",INDEX('Test catalog'!$H$2:$H$200,MATCH($AB406,'Test catalog'!$A$2:$A$200,0))),"")</f>
        <v/>
      </c>
      <c r="N406" s="10">
        <f>IFERROR(IF(INDEX('Test catalog'!$I$2:$I$200,MATCH($AB406,'Test catalog'!$A$2:$A$200,0))="","",INDEX('Test catalog'!$I$2:$I$200,MATCH($AB406,'Test catalog'!$A$2:$A$200,0))),"")</f>
        <v/>
      </c>
      <c r="O406" s="10">
        <f>IFERROR(IF(INDEX('Test catalog'!$J$2:$J$200,MATCH($AB406,'Test catalog'!$A$2:$A$200,0))="","",INDEX('Test catalog'!$J$2:$J$200,MATCH($AB406,'Test catalog'!$A$2:$A$200,0))),"")</f>
        <v/>
      </c>
      <c r="P406" s="14">
        <f>IF(N406="","",IF(OR(M406="",O406=""),N406,(M406+4*N406+O406)/6))</f>
        <v/>
      </c>
      <c r="Q406" s="10">
        <f>IFERROR(IF(INDEX('Test catalog'!$K$2:$K$200,MATCH($AB406,'Test catalog'!$A$2:$A$200,0))="","",INDEX('Test catalog'!$K$2:$K$200,MATCH($AB406,'Test catalog'!$A$2:$A$200,0))),"")</f>
        <v/>
      </c>
      <c r="R406" s="5" t="n"/>
      <c r="S406" s="10">
        <f>IFERROR(IF(INDEX('Test catalog'!$L$2:$L$200,MATCH($AB406,'Test catalog'!$A$2:$A$200,0))="","",INDEX('Test catalog'!$L$2:$L$200,MATCH($AB406,'Test catalog'!$A$2:$A$200,0))),"")</f>
        <v/>
      </c>
      <c r="T406" s="10">
        <f>IFERROR(IF(INDEX('Test catalog'!$M$2:$M$200,MATCH($AB406,'Test catalog'!$A$2:$A$200,0))="","",INDEX('Test catalog'!$M$2:$M$200,MATCH($AB406,'Test catalog'!$A$2:$A$200,0))),"")</f>
        <v/>
      </c>
      <c r="U406" s="10">
        <f>IFERROR(IF(INDEX('Test catalog'!$N$2:$N$200,MATCH($AB406,'Test catalog'!$A$2:$A$200,0))="","",INDEX('Test catalog'!$N$2:$N$200,MATCH($AB406,'Test catalog'!$A$2:$A$200,0))),"")</f>
        <v/>
      </c>
      <c r="V406" s="15" t="n"/>
      <c r="W406" s="5" t="inlineStr">
        <is>
          <t>N</t>
        </is>
      </c>
      <c r="X406" s="5" t="n"/>
      <c r="Y406" s="5" t="n"/>
      <c r="Z406" s="5" t="n"/>
      <c r="AA406" s="10">
        <f>IFERROR(IF(INDEX('Test catalog'!$O$2:$O$200,MATCH($AB406,'Test catalog'!$A$2:$A$200,0))="","",INDEX('Test catalog'!$O$2:$O$200,MATCH($AB406,'Test catalog'!$A$2:$A$200,0))),"")</f>
        <v/>
      </c>
      <c r="AB406" s="10" t="inlineStr">
        <is>
          <t>THICK</t>
        </is>
      </c>
    </row>
    <row r="407">
      <c r="A407" s="10" t="inlineStr">
        <is>
          <t>F54</t>
        </is>
      </c>
      <c r="B407" s="10" t="inlineStr">
        <is>
          <t>FP</t>
        </is>
      </c>
      <c r="C407" s="10" t="inlineStr">
        <is>
          <t>Celer-X Forte  |  Apium Graveolens Seed Dry Extract 6:1, Juniper Communis Fruit Dry Extract 2:1 (+1 more)</t>
        </is>
      </c>
      <c r="D407" s="10" t="inlineStr">
        <is>
          <t>Hardness / breaking force</t>
        </is>
      </c>
      <c r="E407" s="10">
        <f>IF(A407="","",A407&amp;"|"&amp;D407)</f>
        <v/>
      </c>
      <c r="F407" s="5" t="inlineStr">
        <is>
          <t>Y</t>
        </is>
      </c>
      <c r="G407" s="5" t="inlineStr">
        <is>
          <t>Tablet tester</t>
        </is>
      </c>
      <c r="H407" s="5" t="inlineStr">
        <is>
          <t>Low</t>
        </is>
      </c>
      <c r="I407" s="5" t="n">
        <v>1</v>
      </c>
      <c r="J407" s="5" t="n"/>
      <c r="K407" s="10">
        <f>IFERROR(IF(INDEX('Test catalog'!$F$2:$F$200,MATCH($AB407,'Test catalog'!$A$2:$A$200,0))="","",INDEX('Test catalog'!$F$2:$F$200,MATCH($AB407,'Test catalog'!$A$2:$A$200,0))),"")</f>
        <v/>
      </c>
      <c r="L407" s="10">
        <f>IFERROR(IF(INDEX('Test catalog'!$G$2:$G$200,MATCH($AB407,'Test catalog'!$A$2:$A$200,0))="","",INDEX('Test catalog'!$G$2:$G$200,MATCH($AB407,'Test catalog'!$A$2:$A$200,0))),"")</f>
        <v/>
      </c>
      <c r="M407" s="10">
        <f>IFERROR(IF(INDEX('Test catalog'!$H$2:$H$200,MATCH($AB407,'Test catalog'!$A$2:$A$200,0))="","",INDEX('Test catalog'!$H$2:$H$200,MATCH($AB407,'Test catalog'!$A$2:$A$200,0))),"")</f>
        <v/>
      </c>
      <c r="N407" s="10">
        <f>IFERROR(IF(INDEX('Test catalog'!$I$2:$I$200,MATCH($AB407,'Test catalog'!$A$2:$A$200,0))="","",INDEX('Test catalog'!$I$2:$I$200,MATCH($AB407,'Test catalog'!$A$2:$A$200,0))),"")</f>
        <v/>
      </c>
      <c r="O407" s="10">
        <f>IFERROR(IF(INDEX('Test catalog'!$J$2:$J$200,MATCH($AB407,'Test catalog'!$A$2:$A$200,0))="","",INDEX('Test catalog'!$J$2:$J$200,MATCH($AB407,'Test catalog'!$A$2:$A$200,0))),"")</f>
        <v/>
      </c>
      <c r="P407" s="14">
        <f>IF(N407="","",IF(OR(M407="",O407=""),N407,(M407+4*N407+O407)/6))</f>
        <v/>
      </c>
      <c r="Q407" s="10">
        <f>IFERROR(IF(INDEX('Test catalog'!$K$2:$K$200,MATCH($AB407,'Test catalog'!$A$2:$A$200,0))="","",INDEX('Test catalog'!$K$2:$K$200,MATCH($AB407,'Test catalog'!$A$2:$A$200,0))),"")</f>
        <v/>
      </c>
      <c r="R407" s="5" t="n"/>
      <c r="S407" s="10">
        <f>IFERROR(IF(INDEX('Test catalog'!$L$2:$L$200,MATCH($AB407,'Test catalog'!$A$2:$A$200,0))="","",INDEX('Test catalog'!$L$2:$L$200,MATCH($AB407,'Test catalog'!$A$2:$A$200,0))),"")</f>
        <v/>
      </c>
      <c r="T407" s="10">
        <f>IFERROR(IF(INDEX('Test catalog'!$M$2:$M$200,MATCH($AB407,'Test catalog'!$A$2:$A$200,0))="","",INDEX('Test catalog'!$M$2:$M$200,MATCH($AB407,'Test catalog'!$A$2:$A$200,0))),"")</f>
        <v/>
      </c>
      <c r="U407" s="10">
        <f>IFERROR(IF(INDEX('Test catalog'!$N$2:$N$200,MATCH($AB407,'Test catalog'!$A$2:$A$200,0))="","",INDEX('Test catalog'!$N$2:$N$200,MATCH($AB407,'Test catalog'!$A$2:$A$200,0))),"")</f>
        <v/>
      </c>
      <c r="V407" s="15" t="n"/>
      <c r="W407" s="5" t="inlineStr">
        <is>
          <t>Y</t>
        </is>
      </c>
      <c r="X407" s="5" t="n"/>
      <c r="Y407" s="5" t="n"/>
      <c r="Z407" s="5" t="n"/>
      <c r="AA407" s="10">
        <f>IFERROR(IF(INDEX('Test catalog'!$O$2:$O$200,MATCH($AB407,'Test catalog'!$A$2:$A$200,0))="","",INDEX('Test catalog'!$O$2:$O$200,MATCH($AB407,'Test catalog'!$A$2:$A$200,0))),"")</f>
        <v/>
      </c>
      <c r="AB407" s="10" t="inlineStr">
        <is>
          <t>HARD</t>
        </is>
      </c>
    </row>
    <row r="408">
      <c r="A408" s="10" t="inlineStr">
        <is>
          <t>F54</t>
        </is>
      </c>
      <c r="B408" s="10" t="inlineStr">
        <is>
          <t>FP</t>
        </is>
      </c>
      <c r="C408" s="10" t="inlineStr">
        <is>
          <t>Celer-X Forte  |  Apium Graveolens Seed Dry Extract 6:1, Juniper Communis Fruit Dry Extract 2:1 (+1 more)</t>
        </is>
      </c>
      <c r="D408" s="10" t="inlineStr">
        <is>
          <t>Brittleness</t>
        </is>
      </c>
      <c r="E408" s="10">
        <f>IF(A408="","",A408&amp;"|"&amp;D408)</f>
        <v/>
      </c>
      <c r="F408" s="5" t="inlineStr">
        <is>
          <t>Y</t>
        </is>
      </c>
      <c r="G408" s="5" t="inlineStr">
        <is>
          <t>Other / bench</t>
        </is>
      </c>
      <c r="H408" s="5" t="inlineStr">
        <is>
          <t>Low</t>
        </is>
      </c>
      <c r="I408" s="5" t="n">
        <v>1</v>
      </c>
      <c r="J408" s="5" t="n"/>
      <c r="K408" s="10">
        <f>IFERROR(IF(INDEX('Test catalog'!$F$2:$F$200,MATCH($AB408,'Test catalog'!$A$2:$A$200,0))="","",INDEX('Test catalog'!$F$2:$F$200,MATCH($AB408,'Test catalog'!$A$2:$A$200,0))),"")</f>
        <v/>
      </c>
      <c r="L408" s="10">
        <f>IFERROR(IF(INDEX('Test catalog'!$G$2:$G$200,MATCH($AB408,'Test catalog'!$A$2:$A$200,0))="","",INDEX('Test catalog'!$G$2:$G$200,MATCH($AB408,'Test catalog'!$A$2:$A$200,0))),"")</f>
        <v/>
      </c>
      <c r="M408" s="10">
        <f>IFERROR(IF(INDEX('Test catalog'!$H$2:$H$200,MATCH($AB408,'Test catalog'!$A$2:$A$200,0))="","",INDEX('Test catalog'!$H$2:$H$200,MATCH($AB408,'Test catalog'!$A$2:$A$200,0))),"")</f>
        <v/>
      </c>
      <c r="N408" s="10">
        <f>IFERROR(IF(INDEX('Test catalog'!$I$2:$I$200,MATCH($AB408,'Test catalog'!$A$2:$A$200,0))="","",INDEX('Test catalog'!$I$2:$I$200,MATCH($AB408,'Test catalog'!$A$2:$A$200,0))),"")</f>
        <v/>
      </c>
      <c r="O408" s="10">
        <f>IFERROR(IF(INDEX('Test catalog'!$J$2:$J$200,MATCH($AB408,'Test catalog'!$A$2:$A$200,0))="","",INDEX('Test catalog'!$J$2:$J$200,MATCH($AB408,'Test catalog'!$A$2:$A$200,0))),"")</f>
        <v/>
      </c>
      <c r="P408" s="14">
        <f>IF(N408="","",IF(OR(M408="",O408=""),N408,(M408+4*N408+O408)/6))</f>
        <v/>
      </c>
      <c r="Q408" s="10">
        <f>IFERROR(IF(INDEX('Test catalog'!$K$2:$K$200,MATCH($AB408,'Test catalog'!$A$2:$A$200,0))="","",INDEX('Test catalog'!$K$2:$K$200,MATCH($AB408,'Test catalog'!$A$2:$A$200,0))),"")</f>
        <v/>
      </c>
      <c r="R408" s="5" t="n"/>
      <c r="S408" s="10">
        <f>IFERROR(IF(INDEX('Test catalog'!$L$2:$L$200,MATCH($AB408,'Test catalog'!$A$2:$A$200,0))="","",INDEX('Test catalog'!$L$2:$L$200,MATCH($AB408,'Test catalog'!$A$2:$A$200,0))),"")</f>
        <v/>
      </c>
      <c r="T408" s="10">
        <f>IFERROR(IF(INDEX('Test catalog'!$M$2:$M$200,MATCH($AB408,'Test catalog'!$A$2:$A$200,0))="","",INDEX('Test catalog'!$M$2:$M$200,MATCH($AB408,'Test catalog'!$A$2:$A$200,0))),"")</f>
        <v/>
      </c>
      <c r="U408" s="10">
        <f>IFERROR(IF(INDEX('Test catalog'!$N$2:$N$200,MATCH($AB408,'Test catalog'!$A$2:$A$200,0))="","",INDEX('Test catalog'!$N$2:$N$200,MATCH($AB408,'Test catalog'!$A$2:$A$200,0))),"")</f>
        <v/>
      </c>
      <c r="V408" s="15" t="n"/>
      <c r="W408" s="5" t="inlineStr">
        <is>
          <t>N</t>
        </is>
      </c>
      <c r="X408" s="5" t="n"/>
      <c r="Y408" s="5" t="n"/>
      <c r="Z408" s="5" t="n"/>
      <c r="AA408" s="10">
        <f>IFERROR(IF(INDEX('Test catalog'!$O$2:$O$200,MATCH($AB408,'Test catalog'!$A$2:$A$200,0))="","",INDEX('Test catalog'!$O$2:$O$200,MATCH($AB408,'Test catalog'!$A$2:$A$200,0))),"")</f>
        <v/>
      </c>
      <c r="AB408" s="10" t="inlineStr">
        <is>
          <t>BRITTLE</t>
        </is>
      </c>
    </row>
    <row r="409">
      <c r="A409" s="10" t="inlineStr">
        <is>
          <t>F54</t>
        </is>
      </c>
      <c r="B409" s="10" t="inlineStr">
        <is>
          <t>FP</t>
        </is>
      </c>
      <c r="C409" s="10" t="inlineStr">
        <is>
          <t>Celer-X Forte  |  Apium Graveolens Seed Dry Extract 6:1, Juniper Communis Fruit Dry Extract 2:1 (+1 more)</t>
        </is>
      </c>
      <c r="D409" s="10" t="inlineStr">
        <is>
          <t>Friability</t>
        </is>
      </c>
      <c r="E409" s="10">
        <f>IF(A409="","",A409&amp;"|"&amp;D409)</f>
        <v/>
      </c>
      <c r="F409" s="5" t="inlineStr">
        <is>
          <t>Y</t>
        </is>
      </c>
      <c r="G409" s="5" t="inlineStr">
        <is>
          <t>Friabilator</t>
        </is>
      </c>
      <c r="H409" s="5" t="inlineStr">
        <is>
          <t>Low</t>
        </is>
      </c>
      <c r="I409" s="5" t="n">
        <v>1</v>
      </c>
      <c r="J409" s="5" t="n"/>
      <c r="K409" s="10">
        <f>IFERROR(IF(INDEX('Test catalog'!$F$2:$F$200,MATCH($AB409,'Test catalog'!$A$2:$A$200,0))="","",INDEX('Test catalog'!$F$2:$F$200,MATCH($AB409,'Test catalog'!$A$2:$A$200,0))),"")</f>
        <v/>
      </c>
      <c r="L409" s="10">
        <f>IFERROR(IF(INDEX('Test catalog'!$G$2:$G$200,MATCH($AB409,'Test catalog'!$A$2:$A$200,0))="","",INDEX('Test catalog'!$G$2:$G$200,MATCH($AB409,'Test catalog'!$A$2:$A$200,0))),"")</f>
        <v/>
      </c>
      <c r="M409" s="10">
        <f>IFERROR(IF(INDEX('Test catalog'!$H$2:$H$200,MATCH($AB409,'Test catalog'!$A$2:$A$200,0))="","",INDEX('Test catalog'!$H$2:$H$200,MATCH($AB409,'Test catalog'!$A$2:$A$200,0))),"")</f>
        <v/>
      </c>
      <c r="N409" s="10">
        <f>IFERROR(IF(INDEX('Test catalog'!$I$2:$I$200,MATCH($AB409,'Test catalog'!$A$2:$A$200,0))="","",INDEX('Test catalog'!$I$2:$I$200,MATCH($AB409,'Test catalog'!$A$2:$A$200,0))),"")</f>
        <v/>
      </c>
      <c r="O409" s="10">
        <f>IFERROR(IF(INDEX('Test catalog'!$J$2:$J$200,MATCH($AB409,'Test catalog'!$A$2:$A$200,0))="","",INDEX('Test catalog'!$J$2:$J$200,MATCH($AB409,'Test catalog'!$A$2:$A$200,0))),"")</f>
        <v/>
      </c>
      <c r="P409" s="14">
        <f>IF(N409="","",IF(OR(M409="",O409=""),N409,(M409+4*N409+O409)/6))</f>
        <v/>
      </c>
      <c r="Q409" s="10">
        <f>IFERROR(IF(INDEX('Test catalog'!$K$2:$K$200,MATCH($AB409,'Test catalog'!$A$2:$A$200,0))="","",INDEX('Test catalog'!$K$2:$K$200,MATCH($AB409,'Test catalog'!$A$2:$A$200,0))),"")</f>
        <v/>
      </c>
      <c r="R409" s="5" t="n"/>
      <c r="S409" s="10">
        <f>IFERROR(IF(INDEX('Test catalog'!$L$2:$L$200,MATCH($AB409,'Test catalog'!$A$2:$A$200,0))="","",INDEX('Test catalog'!$L$2:$L$200,MATCH($AB409,'Test catalog'!$A$2:$A$200,0))),"")</f>
        <v/>
      </c>
      <c r="T409" s="10">
        <f>IFERROR(IF(INDEX('Test catalog'!$M$2:$M$200,MATCH($AB409,'Test catalog'!$A$2:$A$200,0))="","",INDEX('Test catalog'!$M$2:$M$200,MATCH($AB409,'Test catalog'!$A$2:$A$200,0))),"")</f>
        <v/>
      </c>
      <c r="U409" s="10">
        <f>IFERROR(IF(INDEX('Test catalog'!$N$2:$N$200,MATCH($AB409,'Test catalog'!$A$2:$A$200,0))="","",INDEX('Test catalog'!$N$2:$N$200,MATCH($AB409,'Test catalog'!$A$2:$A$200,0))),"")</f>
        <v/>
      </c>
      <c r="V409" s="15" t="n"/>
      <c r="W409" s="5" t="inlineStr">
        <is>
          <t>N</t>
        </is>
      </c>
      <c r="X409" s="5" t="n"/>
      <c r="Y409" s="5" t="n"/>
      <c r="Z409" s="5" t="n"/>
      <c r="AA409" s="10">
        <f>IFERROR(IF(INDEX('Test catalog'!$O$2:$O$200,MATCH($AB409,'Test catalog'!$A$2:$A$200,0))="","",INDEX('Test catalog'!$O$2:$O$200,MATCH($AB409,'Test catalog'!$A$2:$A$200,0))),"")</f>
        <v/>
      </c>
      <c r="AB409" s="10" t="inlineStr">
        <is>
          <t>FRIAB</t>
        </is>
      </c>
    </row>
    <row r="410">
      <c r="A410" s="10" t="inlineStr">
        <is>
          <t>F54</t>
        </is>
      </c>
      <c r="B410" s="10" t="inlineStr">
        <is>
          <t>FP</t>
        </is>
      </c>
      <c r="C410" s="10" t="inlineStr">
        <is>
          <t>Celer-X Forte  |  Apium Graveolens Seed Dry Extract 6:1, Juniper Communis Fruit Dry Extract 2:1 (+1 more)</t>
        </is>
      </c>
      <c r="D410" s="10" t="inlineStr">
        <is>
          <t>Disintegration</t>
        </is>
      </c>
      <c r="E410" s="10">
        <f>IF(A410="","",A410&amp;"|"&amp;D410)</f>
        <v/>
      </c>
      <c r="F410" s="5" t="inlineStr">
        <is>
          <t>Y</t>
        </is>
      </c>
      <c r="G410" s="5" t="inlineStr">
        <is>
          <t>Disintegration tester</t>
        </is>
      </c>
      <c r="H410" s="5" t="inlineStr">
        <is>
          <t>Low</t>
        </is>
      </c>
      <c r="I410" s="5" t="n">
        <v>1</v>
      </c>
      <c r="J410" s="5" t="n"/>
      <c r="K410" s="10">
        <f>IFERROR(IF(INDEX('Test catalog'!$F$2:$F$200,MATCH($AB410,'Test catalog'!$A$2:$A$200,0))="","",INDEX('Test catalog'!$F$2:$F$200,MATCH($AB410,'Test catalog'!$A$2:$A$200,0))),"")</f>
        <v/>
      </c>
      <c r="L410" s="10">
        <f>IFERROR(IF(INDEX('Test catalog'!$G$2:$G$200,MATCH($AB410,'Test catalog'!$A$2:$A$200,0))="","",INDEX('Test catalog'!$G$2:$G$200,MATCH($AB410,'Test catalog'!$A$2:$A$200,0))),"")</f>
        <v/>
      </c>
      <c r="M410" s="10">
        <f>IFERROR(IF(INDEX('Test catalog'!$H$2:$H$200,MATCH($AB410,'Test catalog'!$A$2:$A$200,0))="","",INDEX('Test catalog'!$H$2:$H$200,MATCH($AB410,'Test catalog'!$A$2:$A$200,0))),"")</f>
        <v/>
      </c>
      <c r="N410" s="10">
        <f>IFERROR(IF(INDEX('Test catalog'!$I$2:$I$200,MATCH($AB410,'Test catalog'!$A$2:$A$200,0))="","",INDEX('Test catalog'!$I$2:$I$200,MATCH($AB410,'Test catalog'!$A$2:$A$200,0))),"")</f>
        <v/>
      </c>
      <c r="O410" s="10">
        <f>IFERROR(IF(INDEX('Test catalog'!$J$2:$J$200,MATCH($AB410,'Test catalog'!$A$2:$A$200,0))="","",INDEX('Test catalog'!$J$2:$J$200,MATCH($AB410,'Test catalog'!$A$2:$A$200,0))),"")</f>
        <v/>
      </c>
      <c r="P410" s="14">
        <f>IF(N410="","",IF(OR(M410="",O410=""),N410,(M410+4*N410+O410)/6))</f>
        <v/>
      </c>
      <c r="Q410" s="10">
        <f>IFERROR(IF(INDEX('Test catalog'!$K$2:$K$200,MATCH($AB410,'Test catalog'!$A$2:$A$200,0))="","",INDEX('Test catalog'!$K$2:$K$200,MATCH($AB410,'Test catalog'!$A$2:$A$200,0))),"")</f>
        <v/>
      </c>
      <c r="R410" s="5" t="n"/>
      <c r="S410" s="10">
        <f>IFERROR(IF(INDEX('Test catalog'!$L$2:$L$200,MATCH($AB410,'Test catalog'!$A$2:$A$200,0))="","",INDEX('Test catalog'!$L$2:$L$200,MATCH($AB410,'Test catalog'!$A$2:$A$200,0))),"")</f>
        <v/>
      </c>
      <c r="T410" s="10">
        <f>IFERROR(IF(INDEX('Test catalog'!$M$2:$M$200,MATCH($AB410,'Test catalog'!$A$2:$A$200,0))="","",INDEX('Test catalog'!$M$2:$M$200,MATCH($AB410,'Test catalog'!$A$2:$A$200,0))),"")</f>
        <v/>
      </c>
      <c r="U410" s="10">
        <f>IFERROR(IF(INDEX('Test catalog'!$N$2:$N$200,MATCH($AB410,'Test catalog'!$A$2:$A$200,0))="","",INDEX('Test catalog'!$N$2:$N$200,MATCH($AB410,'Test catalog'!$A$2:$A$200,0))),"")</f>
        <v/>
      </c>
      <c r="V410" s="15" t="n"/>
      <c r="W410" s="5" t="inlineStr">
        <is>
          <t>Y</t>
        </is>
      </c>
      <c r="X410" s="5" t="n"/>
      <c r="Y410" s="5" t="n"/>
      <c r="Z410" s="5" t="n"/>
      <c r="AA410" s="10">
        <f>IFERROR(IF(INDEX('Test catalog'!$O$2:$O$200,MATCH($AB410,'Test catalog'!$A$2:$A$200,0))="","",INDEX('Test catalog'!$O$2:$O$200,MATCH($AB410,'Test catalog'!$A$2:$A$200,0))),"")</f>
        <v/>
      </c>
      <c r="AB410" s="10" t="inlineStr">
        <is>
          <t>DISINT</t>
        </is>
      </c>
    </row>
    <row r="411">
      <c r="A411" s="10" t="inlineStr">
        <is>
          <t>F54</t>
        </is>
      </c>
      <c r="B411" s="10" t="inlineStr">
        <is>
          <t>FP</t>
        </is>
      </c>
      <c r="C411" s="10" t="inlineStr">
        <is>
          <t>Celer-X Forte  |  Apium Graveolens Seed Dry Extract 6:1, Juniper Communis Fruit Dry Extract 2:1 (+1 more)</t>
        </is>
      </c>
      <c r="D411" s="10" t="inlineStr">
        <is>
          <t>In-process check at the machine (one check, all its tests)</t>
        </is>
      </c>
      <c r="E411" s="10">
        <f>IF(A411="","",A411&amp;"|"&amp;D411)</f>
        <v/>
      </c>
      <c r="F411" s="5" t="inlineStr">
        <is>
          <t>Y</t>
        </is>
      </c>
      <c r="G411" s="5" t="inlineStr">
        <is>
          <t>Tablet tester</t>
        </is>
      </c>
      <c r="H411" s="5" t="inlineStr">
        <is>
          <t>Low</t>
        </is>
      </c>
      <c r="I411" s="5" t="n">
        <v>1</v>
      </c>
      <c r="J411" s="5" t="n"/>
      <c r="K411" s="10">
        <f>IFERROR(IF(INDEX('Test catalog'!$F$2:$F$200,MATCH($AB411,'Test catalog'!$A$2:$A$200,0))="","",INDEX('Test catalog'!$F$2:$F$200,MATCH($AB411,'Test catalog'!$A$2:$A$200,0))),"")</f>
        <v/>
      </c>
      <c r="L411" s="10">
        <f>IFERROR(IF(INDEX('Test catalog'!$G$2:$G$200,MATCH($AB411,'Test catalog'!$A$2:$A$200,0))="","",INDEX('Test catalog'!$G$2:$G$200,MATCH($AB411,'Test catalog'!$A$2:$A$200,0))),"")</f>
        <v/>
      </c>
      <c r="M411" s="10">
        <f>IFERROR(IF(INDEX('Test catalog'!$H$2:$H$200,MATCH($AB411,'Test catalog'!$A$2:$A$200,0))="","",INDEX('Test catalog'!$H$2:$H$200,MATCH($AB411,'Test catalog'!$A$2:$A$200,0))),"")</f>
        <v/>
      </c>
      <c r="N411" s="10">
        <f>IFERROR(IF(INDEX('Test catalog'!$I$2:$I$200,MATCH($AB411,'Test catalog'!$A$2:$A$200,0))="","",INDEX('Test catalog'!$I$2:$I$200,MATCH($AB411,'Test catalog'!$A$2:$A$200,0))),"")</f>
        <v/>
      </c>
      <c r="O411" s="10">
        <f>IFERROR(IF(INDEX('Test catalog'!$J$2:$J$200,MATCH($AB411,'Test catalog'!$A$2:$A$200,0))="","",INDEX('Test catalog'!$J$2:$J$200,MATCH($AB411,'Test catalog'!$A$2:$A$200,0))),"")</f>
        <v/>
      </c>
      <c r="P411" s="14">
        <f>IF(N411="","",IF(OR(M411="",O411=""),N411,(M411+4*N411+O411)/6))</f>
        <v/>
      </c>
      <c r="Q411" s="10">
        <f>IFERROR(IF(INDEX('Test catalog'!$K$2:$K$200,MATCH($AB411,'Test catalog'!$A$2:$A$200,0))="","",INDEX('Test catalog'!$K$2:$K$200,MATCH($AB411,'Test catalog'!$A$2:$A$200,0))),"")</f>
        <v/>
      </c>
      <c r="R411" s="5" t="n"/>
      <c r="S411" s="10">
        <f>IFERROR(IF(INDEX('Test catalog'!$L$2:$L$200,MATCH($AB411,'Test catalog'!$A$2:$A$200,0))="","",INDEX('Test catalog'!$L$2:$L$200,MATCH($AB411,'Test catalog'!$A$2:$A$200,0))),"")</f>
        <v/>
      </c>
      <c r="T411" s="10">
        <f>IFERROR(IF(INDEX('Test catalog'!$M$2:$M$200,MATCH($AB411,'Test catalog'!$A$2:$A$200,0))="","",INDEX('Test catalog'!$M$2:$M$200,MATCH($AB411,'Test catalog'!$A$2:$A$200,0))),"")</f>
        <v/>
      </c>
      <c r="U411" s="10">
        <f>IFERROR(IF(INDEX('Test catalog'!$N$2:$N$200,MATCH($AB411,'Test catalog'!$A$2:$A$200,0))="","",INDEX('Test catalog'!$N$2:$N$200,MATCH($AB411,'Test catalog'!$A$2:$A$200,0))),"")</f>
        <v/>
      </c>
      <c r="V411" s="15" t="n"/>
      <c r="W411" s="5" t="inlineStr">
        <is>
          <t>N</t>
        </is>
      </c>
      <c r="X411" s="5" t="n"/>
      <c r="Y411" s="5" t="n"/>
      <c r="Z411" s="5" t="n"/>
      <c r="AA411" s="10">
        <f>IFERROR(IF(INDEX('Test catalog'!$O$2:$O$200,MATCH($AB411,'Test catalog'!$A$2:$A$200,0))="","",INDEX('Test catalog'!$O$2:$O$200,MATCH($AB411,'Test catalog'!$A$2:$A$200,0))),"")</f>
        <v/>
      </c>
      <c r="AB411" s="10" t="inlineStr">
        <is>
          <t>IPC</t>
        </is>
      </c>
    </row>
    <row r="412">
      <c r="A412" s="10" t="inlineStr">
        <is>
          <t>F55</t>
        </is>
      </c>
      <c r="B412" s="10" t="inlineStr">
        <is>
          <t>FP</t>
        </is>
      </c>
      <c r="C412" s="10" t="inlineStr">
        <is>
          <t>Opti Woman 30 Cap; Opti Woman 60 Cap  |  Biotin (Vitamin B7), Folic Acid (Vitamin B9) (+22 more)</t>
        </is>
      </c>
      <c r="D412" s="10" t="inlineStr">
        <is>
          <t>Average weight / uniformity of mass</t>
        </is>
      </c>
      <c r="E412" s="10">
        <f>IF(A412="","",A412&amp;"|"&amp;D412)</f>
        <v/>
      </c>
      <c r="F412" s="5" t="inlineStr">
        <is>
          <t>Y</t>
        </is>
      </c>
      <c r="G412" s="5" t="inlineStr">
        <is>
          <t>Balance</t>
        </is>
      </c>
      <c r="H412" s="5" t="inlineStr">
        <is>
          <t>Low</t>
        </is>
      </c>
      <c r="I412" s="5" t="n">
        <v>1</v>
      </c>
      <c r="J412" s="5" t="n"/>
      <c r="K412" s="10">
        <f>IFERROR(IF(INDEX('Test catalog'!$F$2:$F$200,MATCH($AB412,'Test catalog'!$A$2:$A$200,0))="","",INDEX('Test catalog'!$F$2:$F$200,MATCH($AB412,'Test catalog'!$A$2:$A$200,0))),"")</f>
        <v/>
      </c>
      <c r="L412" s="10">
        <f>IFERROR(IF(INDEX('Test catalog'!$G$2:$G$200,MATCH($AB412,'Test catalog'!$A$2:$A$200,0))="","",INDEX('Test catalog'!$G$2:$G$200,MATCH($AB412,'Test catalog'!$A$2:$A$200,0))),"")</f>
        <v/>
      </c>
      <c r="M412" s="10">
        <f>IFERROR(IF(INDEX('Test catalog'!$H$2:$H$200,MATCH($AB412,'Test catalog'!$A$2:$A$200,0))="","",INDEX('Test catalog'!$H$2:$H$200,MATCH($AB412,'Test catalog'!$A$2:$A$200,0))),"")</f>
        <v/>
      </c>
      <c r="N412" s="10">
        <f>IFERROR(IF(INDEX('Test catalog'!$I$2:$I$200,MATCH($AB412,'Test catalog'!$A$2:$A$200,0))="","",INDEX('Test catalog'!$I$2:$I$200,MATCH($AB412,'Test catalog'!$A$2:$A$200,0))),"")</f>
        <v/>
      </c>
      <c r="O412" s="10">
        <f>IFERROR(IF(INDEX('Test catalog'!$J$2:$J$200,MATCH($AB412,'Test catalog'!$A$2:$A$200,0))="","",INDEX('Test catalog'!$J$2:$J$200,MATCH($AB412,'Test catalog'!$A$2:$A$200,0))),"")</f>
        <v/>
      </c>
      <c r="P412" s="14">
        <f>IF(N412="","",IF(OR(M412="",O412=""),N412,(M412+4*N412+O412)/6))</f>
        <v/>
      </c>
      <c r="Q412" s="10">
        <f>IFERROR(IF(INDEX('Test catalog'!$K$2:$K$200,MATCH($AB412,'Test catalog'!$A$2:$A$200,0))="","",INDEX('Test catalog'!$K$2:$K$200,MATCH($AB412,'Test catalog'!$A$2:$A$200,0))),"")</f>
        <v/>
      </c>
      <c r="R412" s="5" t="n"/>
      <c r="S412" s="10">
        <f>IFERROR(IF(INDEX('Test catalog'!$L$2:$L$200,MATCH($AB412,'Test catalog'!$A$2:$A$200,0))="","",INDEX('Test catalog'!$L$2:$L$200,MATCH($AB412,'Test catalog'!$A$2:$A$200,0))),"")</f>
        <v/>
      </c>
      <c r="T412" s="10">
        <f>IFERROR(IF(INDEX('Test catalog'!$M$2:$M$200,MATCH($AB412,'Test catalog'!$A$2:$A$200,0))="","",INDEX('Test catalog'!$M$2:$M$200,MATCH($AB412,'Test catalog'!$A$2:$A$200,0))),"")</f>
        <v/>
      </c>
      <c r="U412" s="10">
        <f>IFERROR(IF(INDEX('Test catalog'!$N$2:$N$200,MATCH($AB412,'Test catalog'!$A$2:$A$200,0))="","",INDEX('Test catalog'!$N$2:$N$200,MATCH($AB412,'Test catalog'!$A$2:$A$200,0))),"")</f>
        <v/>
      </c>
      <c r="V412" s="15" t="n"/>
      <c r="W412" s="5" t="inlineStr">
        <is>
          <t>N</t>
        </is>
      </c>
      <c r="X412" s="5" t="n"/>
      <c r="Y412" s="5" t="n"/>
      <c r="Z412" s="5" t="n"/>
      <c r="AA412" s="10">
        <f>IFERROR(IF(INDEX('Test catalog'!$O$2:$O$200,MATCH($AB412,'Test catalog'!$A$2:$A$200,0))="","",INDEX('Test catalog'!$O$2:$O$200,MATCH($AB412,'Test catalog'!$A$2:$A$200,0))),"")</f>
        <v/>
      </c>
      <c r="AB412" s="10" t="inlineStr">
        <is>
          <t>AVG_WT</t>
        </is>
      </c>
    </row>
    <row r="413">
      <c r="A413" s="10" t="inlineStr">
        <is>
          <t>F55</t>
        </is>
      </c>
      <c r="B413" s="10" t="inlineStr">
        <is>
          <t>FP</t>
        </is>
      </c>
      <c r="C413" s="10" t="inlineStr">
        <is>
          <t>Opti Woman 30 Cap; Opti Woman 60 Cap  |  Biotin (Vitamin B7), Folic Acid (Vitamin B9) (+22 more)</t>
        </is>
      </c>
      <c r="D413" s="10" t="inlineStr">
        <is>
          <t>Disintegration</t>
        </is>
      </c>
      <c r="E413" s="10">
        <f>IF(A413="","",A413&amp;"|"&amp;D413)</f>
        <v/>
      </c>
      <c r="F413" s="5" t="inlineStr">
        <is>
          <t>Y</t>
        </is>
      </c>
      <c r="G413" s="5" t="inlineStr">
        <is>
          <t>Disintegration tester</t>
        </is>
      </c>
      <c r="H413" s="5" t="inlineStr">
        <is>
          <t>Low</t>
        </is>
      </c>
      <c r="I413" s="5" t="n">
        <v>1</v>
      </c>
      <c r="J413" s="5" t="n"/>
      <c r="K413" s="10">
        <f>IFERROR(IF(INDEX('Test catalog'!$F$2:$F$200,MATCH($AB413,'Test catalog'!$A$2:$A$200,0))="","",INDEX('Test catalog'!$F$2:$F$200,MATCH($AB413,'Test catalog'!$A$2:$A$200,0))),"")</f>
        <v/>
      </c>
      <c r="L413" s="10">
        <f>IFERROR(IF(INDEX('Test catalog'!$G$2:$G$200,MATCH($AB413,'Test catalog'!$A$2:$A$200,0))="","",INDEX('Test catalog'!$G$2:$G$200,MATCH($AB413,'Test catalog'!$A$2:$A$200,0))),"")</f>
        <v/>
      </c>
      <c r="M413" s="10">
        <f>IFERROR(IF(INDEX('Test catalog'!$H$2:$H$200,MATCH($AB413,'Test catalog'!$A$2:$A$200,0))="","",INDEX('Test catalog'!$H$2:$H$200,MATCH($AB413,'Test catalog'!$A$2:$A$200,0))),"")</f>
        <v/>
      </c>
      <c r="N413" s="10">
        <f>IFERROR(IF(INDEX('Test catalog'!$I$2:$I$200,MATCH($AB413,'Test catalog'!$A$2:$A$200,0))="","",INDEX('Test catalog'!$I$2:$I$200,MATCH($AB413,'Test catalog'!$A$2:$A$200,0))),"")</f>
        <v/>
      </c>
      <c r="O413" s="10">
        <f>IFERROR(IF(INDEX('Test catalog'!$J$2:$J$200,MATCH($AB413,'Test catalog'!$A$2:$A$200,0))="","",INDEX('Test catalog'!$J$2:$J$200,MATCH($AB413,'Test catalog'!$A$2:$A$200,0))),"")</f>
        <v/>
      </c>
      <c r="P413" s="14">
        <f>IF(N413="","",IF(OR(M413="",O413=""),N413,(M413+4*N413+O413)/6))</f>
        <v/>
      </c>
      <c r="Q413" s="10">
        <f>IFERROR(IF(INDEX('Test catalog'!$K$2:$K$200,MATCH($AB413,'Test catalog'!$A$2:$A$200,0))="","",INDEX('Test catalog'!$K$2:$K$200,MATCH($AB413,'Test catalog'!$A$2:$A$200,0))),"")</f>
        <v/>
      </c>
      <c r="R413" s="5" t="n"/>
      <c r="S413" s="10">
        <f>IFERROR(IF(INDEX('Test catalog'!$L$2:$L$200,MATCH($AB413,'Test catalog'!$A$2:$A$200,0))="","",INDEX('Test catalog'!$L$2:$L$200,MATCH($AB413,'Test catalog'!$A$2:$A$200,0))),"")</f>
        <v/>
      </c>
      <c r="T413" s="10">
        <f>IFERROR(IF(INDEX('Test catalog'!$M$2:$M$200,MATCH($AB413,'Test catalog'!$A$2:$A$200,0))="","",INDEX('Test catalog'!$M$2:$M$200,MATCH($AB413,'Test catalog'!$A$2:$A$200,0))),"")</f>
        <v/>
      </c>
      <c r="U413" s="10">
        <f>IFERROR(IF(INDEX('Test catalog'!$N$2:$N$200,MATCH($AB413,'Test catalog'!$A$2:$A$200,0))="","",INDEX('Test catalog'!$N$2:$N$200,MATCH($AB413,'Test catalog'!$A$2:$A$200,0))),"")</f>
        <v/>
      </c>
      <c r="V413" s="15" t="n"/>
      <c r="W413" s="5" t="inlineStr">
        <is>
          <t>Y</t>
        </is>
      </c>
      <c r="X413" s="5" t="n"/>
      <c r="Y413" s="5" t="n"/>
      <c r="Z413" s="5" t="n"/>
      <c r="AA413" s="10">
        <f>IFERROR(IF(INDEX('Test catalog'!$O$2:$O$200,MATCH($AB413,'Test catalog'!$A$2:$A$200,0))="","",INDEX('Test catalog'!$O$2:$O$200,MATCH($AB413,'Test catalog'!$A$2:$A$200,0))),"")</f>
        <v/>
      </c>
      <c r="AB413" s="10" t="inlineStr">
        <is>
          <t>DISINT</t>
        </is>
      </c>
    </row>
    <row r="414">
      <c r="A414" s="10" t="inlineStr">
        <is>
          <t>F55</t>
        </is>
      </c>
      <c r="B414" s="10" t="inlineStr">
        <is>
          <t>FP</t>
        </is>
      </c>
      <c r="C414" s="10" t="inlineStr">
        <is>
          <t>Opti Woman 30 Cap; Opti Woman 60 Cap  |  Biotin (Vitamin B7), Folic Acid (Vitamin B9) (+22 more)</t>
        </is>
      </c>
      <c r="D414" s="10" t="inlineStr">
        <is>
          <t>In-process check at the machine (one check, all its tests)</t>
        </is>
      </c>
      <c r="E414" s="10">
        <f>IF(A414="","",A414&amp;"|"&amp;D414)</f>
        <v/>
      </c>
      <c r="F414" s="5" t="inlineStr">
        <is>
          <t>Y</t>
        </is>
      </c>
      <c r="G414" s="5" t="inlineStr">
        <is>
          <t>Tablet tester</t>
        </is>
      </c>
      <c r="H414" s="5" t="inlineStr">
        <is>
          <t>Low</t>
        </is>
      </c>
      <c r="I414" s="5" t="n">
        <v>1</v>
      </c>
      <c r="J414" s="5" t="n"/>
      <c r="K414" s="10">
        <f>IFERROR(IF(INDEX('Test catalog'!$F$2:$F$200,MATCH($AB414,'Test catalog'!$A$2:$A$200,0))="","",INDEX('Test catalog'!$F$2:$F$200,MATCH($AB414,'Test catalog'!$A$2:$A$200,0))),"")</f>
        <v/>
      </c>
      <c r="L414" s="10">
        <f>IFERROR(IF(INDEX('Test catalog'!$G$2:$G$200,MATCH($AB414,'Test catalog'!$A$2:$A$200,0))="","",INDEX('Test catalog'!$G$2:$G$200,MATCH($AB414,'Test catalog'!$A$2:$A$200,0))),"")</f>
        <v/>
      </c>
      <c r="M414" s="10">
        <f>IFERROR(IF(INDEX('Test catalog'!$H$2:$H$200,MATCH($AB414,'Test catalog'!$A$2:$A$200,0))="","",INDEX('Test catalog'!$H$2:$H$200,MATCH($AB414,'Test catalog'!$A$2:$A$200,0))),"")</f>
        <v/>
      </c>
      <c r="N414" s="10">
        <f>IFERROR(IF(INDEX('Test catalog'!$I$2:$I$200,MATCH($AB414,'Test catalog'!$A$2:$A$200,0))="","",INDEX('Test catalog'!$I$2:$I$200,MATCH($AB414,'Test catalog'!$A$2:$A$200,0))),"")</f>
        <v/>
      </c>
      <c r="O414" s="10">
        <f>IFERROR(IF(INDEX('Test catalog'!$J$2:$J$200,MATCH($AB414,'Test catalog'!$A$2:$A$200,0))="","",INDEX('Test catalog'!$J$2:$J$200,MATCH($AB414,'Test catalog'!$A$2:$A$200,0))),"")</f>
        <v/>
      </c>
      <c r="P414" s="14">
        <f>IF(N414="","",IF(OR(M414="",O414=""),N414,(M414+4*N414+O414)/6))</f>
        <v/>
      </c>
      <c r="Q414" s="10">
        <f>IFERROR(IF(INDEX('Test catalog'!$K$2:$K$200,MATCH($AB414,'Test catalog'!$A$2:$A$200,0))="","",INDEX('Test catalog'!$K$2:$K$200,MATCH($AB414,'Test catalog'!$A$2:$A$200,0))),"")</f>
        <v/>
      </c>
      <c r="R414" s="5" t="n"/>
      <c r="S414" s="10">
        <f>IFERROR(IF(INDEX('Test catalog'!$L$2:$L$200,MATCH($AB414,'Test catalog'!$A$2:$A$200,0))="","",INDEX('Test catalog'!$L$2:$L$200,MATCH($AB414,'Test catalog'!$A$2:$A$200,0))),"")</f>
        <v/>
      </c>
      <c r="T414" s="10">
        <f>IFERROR(IF(INDEX('Test catalog'!$M$2:$M$200,MATCH($AB414,'Test catalog'!$A$2:$A$200,0))="","",INDEX('Test catalog'!$M$2:$M$200,MATCH($AB414,'Test catalog'!$A$2:$A$200,0))),"")</f>
        <v/>
      </c>
      <c r="U414" s="10">
        <f>IFERROR(IF(INDEX('Test catalog'!$N$2:$N$200,MATCH($AB414,'Test catalog'!$A$2:$A$200,0))="","",INDEX('Test catalog'!$N$2:$N$200,MATCH($AB414,'Test catalog'!$A$2:$A$200,0))),"")</f>
        <v/>
      </c>
      <c r="V414" s="15" t="n"/>
      <c r="W414" s="5" t="inlineStr">
        <is>
          <t>N</t>
        </is>
      </c>
      <c r="X414" s="5" t="n"/>
      <c r="Y414" s="5" t="n"/>
      <c r="Z414" s="5" t="n"/>
      <c r="AA414" s="10">
        <f>IFERROR(IF(INDEX('Test catalog'!$O$2:$O$200,MATCH($AB414,'Test catalog'!$A$2:$A$200,0))="","",INDEX('Test catalog'!$O$2:$O$200,MATCH($AB414,'Test catalog'!$A$2:$A$200,0))),"")</f>
        <v/>
      </c>
      <c r="AB414" s="10" t="inlineStr">
        <is>
          <t>IPC</t>
        </is>
      </c>
    </row>
    <row r="415">
      <c r="A415" s="10" t="inlineStr">
        <is>
          <t>F56</t>
        </is>
      </c>
      <c r="B415" s="10" t="inlineStr">
        <is>
          <t>FP</t>
        </is>
      </c>
      <c r="C415" s="10" t="inlineStr">
        <is>
          <t>Pregnalife  |  D-Alpha Tocopheryl Acetate 50% (Vitamin E), Magnesium Oxide Heavy (+13 more)</t>
        </is>
      </c>
      <c r="D415" s="10" t="inlineStr">
        <is>
          <t>Average weight / uniformity of mass</t>
        </is>
      </c>
      <c r="E415" s="10">
        <f>IF(A415="","",A415&amp;"|"&amp;D415)</f>
        <v/>
      </c>
      <c r="F415" s="5" t="inlineStr">
        <is>
          <t>Y</t>
        </is>
      </c>
      <c r="G415" s="5" t="inlineStr">
        <is>
          <t>Balance</t>
        </is>
      </c>
      <c r="H415" s="5" t="inlineStr">
        <is>
          <t>Low</t>
        </is>
      </c>
      <c r="I415" s="5" t="n">
        <v>1</v>
      </c>
      <c r="J415" s="5" t="n"/>
      <c r="K415" s="10">
        <f>IFERROR(IF(INDEX('Test catalog'!$F$2:$F$200,MATCH($AB415,'Test catalog'!$A$2:$A$200,0))="","",INDEX('Test catalog'!$F$2:$F$200,MATCH($AB415,'Test catalog'!$A$2:$A$200,0))),"")</f>
        <v/>
      </c>
      <c r="L415" s="10">
        <f>IFERROR(IF(INDEX('Test catalog'!$G$2:$G$200,MATCH($AB415,'Test catalog'!$A$2:$A$200,0))="","",INDEX('Test catalog'!$G$2:$G$200,MATCH($AB415,'Test catalog'!$A$2:$A$200,0))),"")</f>
        <v/>
      </c>
      <c r="M415" s="10">
        <f>IFERROR(IF(INDEX('Test catalog'!$H$2:$H$200,MATCH($AB415,'Test catalog'!$A$2:$A$200,0))="","",INDEX('Test catalog'!$H$2:$H$200,MATCH($AB415,'Test catalog'!$A$2:$A$200,0))),"")</f>
        <v/>
      </c>
      <c r="N415" s="10">
        <f>IFERROR(IF(INDEX('Test catalog'!$I$2:$I$200,MATCH($AB415,'Test catalog'!$A$2:$A$200,0))="","",INDEX('Test catalog'!$I$2:$I$200,MATCH($AB415,'Test catalog'!$A$2:$A$200,0))),"")</f>
        <v/>
      </c>
      <c r="O415" s="10">
        <f>IFERROR(IF(INDEX('Test catalog'!$J$2:$J$200,MATCH($AB415,'Test catalog'!$A$2:$A$200,0))="","",INDEX('Test catalog'!$J$2:$J$200,MATCH($AB415,'Test catalog'!$A$2:$A$200,0))),"")</f>
        <v/>
      </c>
      <c r="P415" s="14">
        <f>IF(N415="","",IF(OR(M415="",O415=""),N415,(M415+4*N415+O415)/6))</f>
        <v/>
      </c>
      <c r="Q415" s="10">
        <f>IFERROR(IF(INDEX('Test catalog'!$K$2:$K$200,MATCH($AB415,'Test catalog'!$A$2:$A$200,0))="","",INDEX('Test catalog'!$K$2:$K$200,MATCH($AB415,'Test catalog'!$A$2:$A$200,0))),"")</f>
        <v/>
      </c>
      <c r="R415" s="5" t="n"/>
      <c r="S415" s="10">
        <f>IFERROR(IF(INDEX('Test catalog'!$L$2:$L$200,MATCH($AB415,'Test catalog'!$A$2:$A$200,0))="","",INDEX('Test catalog'!$L$2:$L$200,MATCH($AB415,'Test catalog'!$A$2:$A$200,0))),"")</f>
        <v/>
      </c>
      <c r="T415" s="10">
        <f>IFERROR(IF(INDEX('Test catalog'!$M$2:$M$200,MATCH($AB415,'Test catalog'!$A$2:$A$200,0))="","",INDEX('Test catalog'!$M$2:$M$200,MATCH($AB415,'Test catalog'!$A$2:$A$200,0))),"")</f>
        <v/>
      </c>
      <c r="U415" s="10">
        <f>IFERROR(IF(INDEX('Test catalog'!$N$2:$N$200,MATCH($AB415,'Test catalog'!$A$2:$A$200,0))="","",INDEX('Test catalog'!$N$2:$N$200,MATCH($AB415,'Test catalog'!$A$2:$A$200,0))),"")</f>
        <v/>
      </c>
      <c r="V415" s="15" t="n"/>
      <c r="W415" s="5" t="inlineStr">
        <is>
          <t>N</t>
        </is>
      </c>
      <c r="X415" s="5" t="n"/>
      <c r="Y415" s="5" t="n"/>
      <c r="Z415" s="5" t="n"/>
      <c r="AA415" s="10">
        <f>IFERROR(IF(INDEX('Test catalog'!$O$2:$O$200,MATCH($AB415,'Test catalog'!$A$2:$A$200,0))="","",INDEX('Test catalog'!$O$2:$O$200,MATCH($AB415,'Test catalog'!$A$2:$A$200,0))),"")</f>
        <v/>
      </c>
      <c r="AB415" s="10" t="inlineStr">
        <is>
          <t>AVG_WT</t>
        </is>
      </c>
    </row>
    <row r="416">
      <c r="A416" s="10" t="inlineStr">
        <is>
          <t>F56</t>
        </is>
      </c>
      <c r="B416" s="10" t="inlineStr">
        <is>
          <t>FP</t>
        </is>
      </c>
      <c r="C416" s="10" t="inlineStr">
        <is>
          <t>Pregnalife  |  D-Alpha Tocopheryl Acetate 50% (Vitamin E), Magnesium Oxide Heavy (+13 more)</t>
        </is>
      </c>
      <c r="D416" s="10" t="inlineStr">
        <is>
          <t>Diameter (or length / width)</t>
        </is>
      </c>
      <c r="E416" s="10">
        <f>IF(A416="","",A416&amp;"|"&amp;D416)</f>
        <v/>
      </c>
      <c r="F416" s="5" t="inlineStr">
        <is>
          <t>Y</t>
        </is>
      </c>
      <c r="G416" s="5" t="inlineStr">
        <is>
          <t>Tablet tester</t>
        </is>
      </c>
      <c r="H416" s="5" t="inlineStr">
        <is>
          <t>Low</t>
        </is>
      </c>
      <c r="I416" s="5" t="n">
        <v>1</v>
      </c>
      <c r="J416" s="5" t="n"/>
      <c r="K416" s="10">
        <f>IFERROR(IF(INDEX('Test catalog'!$F$2:$F$200,MATCH($AB416,'Test catalog'!$A$2:$A$200,0))="","",INDEX('Test catalog'!$F$2:$F$200,MATCH($AB416,'Test catalog'!$A$2:$A$200,0))),"")</f>
        <v/>
      </c>
      <c r="L416" s="10">
        <f>IFERROR(IF(INDEX('Test catalog'!$G$2:$G$200,MATCH($AB416,'Test catalog'!$A$2:$A$200,0))="","",INDEX('Test catalog'!$G$2:$G$200,MATCH($AB416,'Test catalog'!$A$2:$A$200,0))),"")</f>
        <v/>
      </c>
      <c r="M416" s="10">
        <f>IFERROR(IF(INDEX('Test catalog'!$H$2:$H$200,MATCH($AB416,'Test catalog'!$A$2:$A$200,0))="","",INDEX('Test catalog'!$H$2:$H$200,MATCH($AB416,'Test catalog'!$A$2:$A$200,0))),"")</f>
        <v/>
      </c>
      <c r="N416" s="10">
        <f>IFERROR(IF(INDEX('Test catalog'!$I$2:$I$200,MATCH($AB416,'Test catalog'!$A$2:$A$200,0))="","",INDEX('Test catalog'!$I$2:$I$200,MATCH($AB416,'Test catalog'!$A$2:$A$200,0))),"")</f>
        <v/>
      </c>
      <c r="O416" s="10">
        <f>IFERROR(IF(INDEX('Test catalog'!$J$2:$J$200,MATCH($AB416,'Test catalog'!$A$2:$A$200,0))="","",INDEX('Test catalog'!$J$2:$J$200,MATCH($AB416,'Test catalog'!$A$2:$A$200,0))),"")</f>
        <v/>
      </c>
      <c r="P416" s="14">
        <f>IF(N416="","",IF(OR(M416="",O416=""),N416,(M416+4*N416+O416)/6))</f>
        <v/>
      </c>
      <c r="Q416" s="10">
        <f>IFERROR(IF(INDEX('Test catalog'!$K$2:$K$200,MATCH($AB416,'Test catalog'!$A$2:$A$200,0))="","",INDEX('Test catalog'!$K$2:$K$200,MATCH($AB416,'Test catalog'!$A$2:$A$200,0))),"")</f>
        <v/>
      </c>
      <c r="R416" s="5" t="n"/>
      <c r="S416" s="10">
        <f>IFERROR(IF(INDEX('Test catalog'!$L$2:$L$200,MATCH($AB416,'Test catalog'!$A$2:$A$200,0))="","",INDEX('Test catalog'!$L$2:$L$200,MATCH($AB416,'Test catalog'!$A$2:$A$200,0))),"")</f>
        <v/>
      </c>
      <c r="T416" s="10">
        <f>IFERROR(IF(INDEX('Test catalog'!$M$2:$M$200,MATCH($AB416,'Test catalog'!$A$2:$A$200,0))="","",INDEX('Test catalog'!$M$2:$M$200,MATCH($AB416,'Test catalog'!$A$2:$A$200,0))),"")</f>
        <v/>
      </c>
      <c r="U416" s="10">
        <f>IFERROR(IF(INDEX('Test catalog'!$N$2:$N$200,MATCH($AB416,'Test catalog'!$A$2:$A$200,0))="","",INDEX('Test catalog'!$N$2:$N$200,MATCH($AB416,'Test catalog'!$A$2:$A$200,0))),"")</f>
        <v/>
      </c>
      <c r="V416" s="15" t="n"/>
      <c r="W416" s="5" t="inlineStr">
        <is>
          <t>N</t>
        </is>
      </c>
      <c r="X416" s="5" t="n"/>
      <c r="Y416" s="5" t="n"/>
      <c r="Z416" s="5" t="n"/>
      <c r="AA416" s="10">
        <f>IFERROR(IF(INDEX('Test catalog'!$O$2:$O$200,MATCH($AB416,'Test catalog'!$A$2:$A$200,0))="","",INDEX('Test catalog'!$O$2:$O$200,MATCH($AB416,'Test catalog'!$A$2:$A$200,0))),"")</f>
        <v/>
      </c>
      <c r="AB416" s="10" t="inlineStr">
        <is>
          <t>DIAM</t>
        </is>
      </c>
    </row>
    <row r="417">
      <c r="A417" s="10" t="inlineStr">
        <is>
          <t>F56</t>
        </is>
      </c>
      <c r="B417" s="10" t="inlineStr">
        <is>
          <t>FP</t>
        </is>
      </c>
      <c r="C417" s="10" t="inlineStr">
        <is>
          <t>Pregnalife  |  D-Alpha Tocopheryl Acetate 50% (Vitamin E), Magnesium Oxide Heavy (+13 more)</t>
        </is>
      </c>
      <c r="D417" s="10" t="inlineStr">
        <is>
          <t>Thickness</t>
        </is>
      </c>
      <c r="E417" s="10">
        <f>IF(A417="","",A417&amp;"|"&amp;D417)</f>
        <v/>
      </c>
      <c r="F417" s="5" t="inlineStr">
        <is>
          <t>Y</t>
        </is>
      </c>
      <c r="G417" s="5" t="inlineStr">
        <is>
          <t>Tablet tester</t>
        </is>
      </c>
      <c r="H417" s="5" t="inlineStr">
        <is>
          <t>Low</t>
        </is>
      </c>
      <c r="I417" s="5" t="n">
        <v>1</v>
      </c>
      <c r="J417" s="5" t="n"/>
      <c r="K417" s="10">
        <f>IFERROR(IF(INDEX('Test catalog'!$F$2:$F$200,MATCH($AB417,'Test catalog'!$A$2:$A$200,0))="","",INDEX('Test catalog'!$F$2:$F$200,MATCH($AB417,'Test catalog'!$A$2:$A$200,0))),"")</f>
        <v/>
      </c>
      <c r="L417" s="10">
        <f>IFERROR(IF(INDEX('Test catalog'!$G$2:$G$200,MATCH($AB417,'Test catalog'!$A$2:$A$200,0))="","",INDEX('Test catalog'!$G$2:$G$200,MATCH($AB417,'Test catalog'!$A$2:$A$200,0))),"")</f>
        <v/>
      </c>
      <c r="M417" s="10">
        <f>IFERROR(IF(INDEX('Test catalog'!$H$2:$H$200,MATCH($AB417,'Test catalog'!$A$2:$A$200,0))="","",INDEX('Test catalog'!$H$2:$H$200,MATCH($AB417,'Test catalog'!$A$2:$A$200,0))),"")</f>
        <v/>
      </c>
      <c r="N417" s="10">
        <f>IFERROR(IF(INDEX('Test catalog'!$I$2:$I$200,MATCH($AB417,'Test catalog'!$A$2:$A$200,0))="","",INDEX('Test catalog'!$I$2:$I$200,MATCH($AB417,'Test catalog'!$A$2:$A$200,0))),"")</f>
        <v/>
      </c>
      <c r="O417" s="10">
        <f>IFERROR(IF(INDEX('Test catalog'!$J$2:$J$200,MATCH($AB417,'Test catalog'!$A$2:$A$200,0))="","",INDEX('Test catalog'!$J$2:$J$200,MATCH($AB417,'Test catalog'!$A$2:$A$200,0))),"")</f>
        <v/>
      </c>
      <c r="P417" s="14">
        <f>IF(N417="","",IF(OR(M417="",O417=""),N417,(M417+4*N417+O417)/6))</f>
        <v/>
      </c>
      <c r="Q417" s="10">
        <f>IFERROR(IF(INDEX('Test catalog'!$K$2:$K$200,MATCH($AB417,'Test catalog'!$A$2:$A$200,0))="","",INDEX('Test catalog'!$K$2:$K$200,MATCH($AB417,'Test catalog'!$A$2:$A$200,0))),"")</f>
        <v/>
      </c>
      <c r="R417" s="5" t="n"/>
      <c r="S417" s="10">
        <f>IFERROR(IF(INDEX('Test catalog'!$L$2:$L$200,MATCH($AB417,'Test catalog'!$A$2:$A$200,0))="","",INDEX('Test catalog'!$L$2:$L$200,MATCH($AB417,'Test catalog'!$A$2:$A$200,0))),"")</f>
        <v/>
      </c>
      <c r="T417" s="10">
        <f>IFERROR(IF(INDEX('Test catalog'!$M$2:$M$200,MATCH($AB417,'Test catalog'!$A$2:$A$200,0))="","",INDEX('Test catalog'!$M$2:$M$200,MATCH($AB417,'Test catalog'!$A$2:$A$200,0))),"")</f>
        <v/>
      </c>
      <c r="U417" s="10">
        <f>IFERROR(IF(INDEX('Test catalog'!$N$2:$N$200,MATCH($AB417,'Test catalog'!$A$2:$A$200,0))="","",INDEX('Test catalog'!$N$2:$N$200,MATCH($AB417,'Test catalog'!$A$2:$A$200,0))),"")</f>
        <v/>
      </c>
      <c r="V417" s="15" t="n"/>
      <c r="W417" s="5" t="inlineStr">
        <is>
          <t>N</t>
        </is>
      </c>
      <c r="X417" s="5" t="n"/>
      <c r="Y417" s="5" t="n"/>
      <c r="Z417" s="5" t="n"/>
      <c r="AA417" s="10">
        <f>IFERROR(IF(INDEX('Test catalog'!$O$2:$O$200,MATCH($AB417,'Test catalog'!$A$2:$A$200,0))="","",INDEX('Test catalog'!$O$2:$O$200,MATCH($AB417,'Test catalog'!$A$2:$A$200,0))),"")</f>
        <v/>
      </c>
      <c r="AB417" s="10" t="inlineStr">
        <is>
          <t>THICK</t>
        </is>
      </c>
    </row>
    <row r="418">
      <c r="A418" s="10" t="inlineStr">
        <is>
          <t>F56</t>
        </is>
      </c>
      <c r="B418" s="10" t="inlineStr">
        <is>
          <t>FP</t>
        </is>
      </c>
      <c r="C418" s="10" t="inlineStr">
        <is>
          <t>Pregnalife  |  D-Alpha Tocopheryl Acetate 50% (Vitamin E), Magnesium Oxide Heavy (+13 more)</t>
        </is>
      </c>
      <c r="D418" s="10" t="inlineStr">
        <is>
          <t>Hardness / breaking force</t>
        </is>
      </c>
      <c r="E418" s="10">
        <f>IF(A418="","",A418&amp;"|"&amp;D418)</f>
        <v/>
      </c>
      <c r="F418" s="5" t="inlineStr">
        <is>
          <t>Y</t>
        </is>
      </c>
      <c r="G418" s="5" t="inlineStr">
        <is>
          <t>Tablet tester</t>
        </is>
      </c>
      <c r="H418" s="5" t="inlineStr">
        <is>
          <t>Low</t>
        </is>
      </c>
      <c r="I418" s="5" t="n">
        <v>1</v>
      </c>
      <c r="J418" s="5" t="n"/>
      <c r="K418" s="10">
        <f>IFERROR(IF(INDEX('Test catalog'!$F$2:$F$200,MATCH($AB418,'Test catalog'!$A$2:$A$200,0))="","",INDEX('Test catalog'!$F$2:$F$200,MATCH($AB418,'Test catalog'!$A$2:$A$200,0))),"")</f>
        <v/>
      </c>
      <c r="L418" s="10">
        <f>IFERROR(IF(INDEX('Test catalog'!$G$2:$G$200,MATCH($AB418,'Test catalog'!$A$2:$A$200,0))="","",INDEX('Test catalog'!$G$2:$G$200,MATCH($AB418,'Test catalog'!$A$2:$A$200,0))),"")</f>
        <v/>
      </c>
      <c r="M418" s="10">
        <f>IFERROR(IF(INDEX('Test catalog'!$H$2:$H$200,MATCH($AB418,'Test catalog'!$A$2:$A$200,0))="","",INDEX('Test catalog'!$H$2:$H$200,MATCH($AB418,'Test catalog'!$A$2:$A$200,0))),"")</f>
        <v/>
      </c>
      <c r="N418" s="10">
        <f>IFERROR(IF(INDEX('Test catalog'!$I$2:$I$200,MATCH($AB418,'Test catalog'!$A$2:$A$200,0))="","",INDEX('Test catalog'!$I$2:$I$200,MATCH($AB418,'Test catalog'!$A$2:$A$200,0))),"")</f>
        <v/>
      </c>
      <c r="O418" s="10">
        <f>IFERROR(IF(INDEX('Test catalog'!$J$2:$J$200,MATCH($AB418,'Test catalog'!$A$2:$A$200,0))="","",INDEX('Test catalog'!$J$2:$J$200,MATCH($AB418,'Test catalog'!$A$2:$A$200,0))),"")</f>
        <v/>
      </c>
      <c r="P418" s="14">
        <f>IF(N418="","",IF(OR(M418="",O418=""),N418,(M418+4*N418+O418)/6))</f>
        <v/>
      </c>
      <c r="Q418" s="10">
        <f>IFERROR(IF(INDEX('Test catalog'!$K$2:$K$200,MATCH($AB418,'Test catalog'!$A$2:$A$200,0))="","",INDEX('Test catalog'!$K$2:$K$200,MATCH($AB418,'Test catalog'!$A$2:$A$200,0))),"")</f>
        <v/>
      </c>
      <c r="R418" s="5" t="n"/>
      <c r="S418" s="10">
        <f>IFERROR(IF(INDEX('Test catalog'!$L$2:$L$200,MATCH($AB418,'Test catalog'!$A$2:$A$200,0))="","",INDEX('Test catalog'!$L$2:$L$200,MATCH($AB418,'Test catalog'!$A$2:$A$200,0))),"")</f>
        <v/>
      </c>
      <c r="T418" s="10">
        <f>IFERROR(IF(INDEX('Test catalog'!$M$2:$M$200,MATCH($AB418,'Test catalog'!$A$2:$A$200,0))="","",INDEX('Test catalog'!$M$2:$M$200,MATCH($AB418,'Test catalog'!$A$2:$A$200,0))),"")</f>
        <v/>
      </c>
      <c r="U418" s="10">
        <f>IFERROR(IF(INDEX('Test catalog'!$N$2:$N$200,MATCH($AB418,'Test catalog'!$A$2:$A$200,0))="","",INDEX('Test catalog'!$N$2:$N$200,MATCH($AB418,'Test catalog'!$A$2:$A$200,0))),"")</f>
        <v/>
      </c>
      <c r="V418" s="15" t="n"/>
      <c r="W418" s="5" t="inlineStr">
        <is>
          <t>Y</t>
        </is>
      </c>
      <c r="X418" s="5" t="n"/>
      <c r="Y418" s="5" t="n"/>
      <c r="Z418" s="5" t="n"/>
      <c r="AA418" s="10">
        <f>IFERROR(IF(INDEX('Test catalog'!$O$2:$O$200,MATCH($AB418,'Test catalog'!$A$2:$A$200,0))="","",INDEX('Test catalog'!$O$2:$O$200,MATCH($AB418,'Test catalog'!$A$2:$A$200,0))),"")</f>
        <v/>
      </c>
      <c r="AB418" s="10" t="inlineStr">
        <is>
          <t>HARD</t>
        </is>
      </c>
    </row>
    <row r="419">
      <c r="A419" s="10" t="inlineStr">
        <is>
          <t>F56</t>
        </is>
      </c>
      <c r="B419" s="10" t="inlineStr">
        <is>
          <t>FP</t>
        </is>
      </c>
      <c r="C419" s="10" t="inlineStr">
        <is>
          <t>Pregnalife  |  D-Alpha Tocopheryl Acetate 50% (Vitamin E), Magnesium Oxide Heavy (+13 more)</t>
        </is>
      </c>
      <c r="D419" s="10" t="inlineStr">
        <is>
          <t>Brittleness</t>
        </is>
      </c>
      <c r="E419" s="10">
        <f>IF(A419="","",A419&amp;"|"&amp;D419)</f>
        <v/>
      </c>
      <c r="F419" s="5" t="inlineStr">
        <is>
          <t>Y</t>
        </is>
      </c>
      <c r="G419" s="5" t="inlineStr">
        <is>
          <t>Other / bench</t>
        </is>
      </c>
      <c r="H419" s="5" t="inlineStr">
        <is>
          <t>Low</t>
        </is>
      </c>
      <c r="I419" s="5" t="n">
        <v>1</v>
      </c>
      <c r="J419" s="5" t="n"/>
      <c r="K419" s="10">
        <f>IFERROR(IF(INDEX('Test catalog'!$F$2:$F$200,MATCH($AB419,'Test catalog'!$A$2:$A$200,0))="","",INDEX('Test catalog'!$F$2:$F$200,MATCH($AB419,'Test catalog'!$A$2:$A$200,0))),"")</f>
        <v/>
      </c>
      <c r="L419" s="10">
        <f>IFERROR(IF(INDEX('Test catalog'!$G$2:$G$200,MATCH($AB419,'Test catalog'!$A$2:$A$200,0))="","",INDEX('Test catalog'!$G$2:$G$200,MATCH($AB419,'Test catalog'!$A$2:$A$200,0))),"")</f>
        <v/>
      </c>
      <c r="M419" s="10">
        <f>IFERROR(IF(INDEX('Test catalog'!$H$2:$H$200,MATCH($AB419,'Test catalog'!$A$2:$A$200,0))="","",INDEX('Test catalog'!$H$2:$H$200,MATCH($AB419,'Test catalog'!$A$2:$A$200,0))),"")</f>
        <v/>
      </c>
      <c r="N419" s="10">
        <f>IFERROR(IF(INDEX('Test catalog'!$I$2:$I$200,MATCH($AB419,'Test catalog'!$A$2:$A$200,0))="","",INDEX('Test catalog'!$I$2:$I$200,MATCH($AB419,'Test catalog'!$A$2:$A$200,0))),"")</f>
        <v/>
      </c>
      <c r="O419" s="10">
        <f>IFERROR(IF(INDEX('Test catalog'!$J$2:$J$200,MATCH($AB419,'Test catalog'!$A$2:$A$200,0))="","",INDEX('Test catalog'!$J$2:$J$200,MATCH($AB419,'Test catalog'!$A$2:$A$200,0))),"")</f>
        <v/>
      </c>
      <c r="P419" s="14">
        <f>IF(N419="","",IF(OR(M419="",O419=""),N419,(M419+4*N419+O419)/6))</f>
        <v/>
      </c>
      <c r="Q419" s="10">
        <f>IFERROR(IF(INDEX('Test catalog'!$K$2:$K$200,MATCH($AB419,'Test catalog'!$A$2:$A$200,0))="","",INDEX('Test catalog'!$K$2:$K$200,MATCH($AB419,'Test catalog'!$A$2:$A$200,0))),"")</f>
        <v/>
      </c>
      <c r="R419" s="5" t="n"/>
      <c r="S419" s="10">
        <f>IFERROR(IF(INDEX('Test catalog'!$L$2:$L$200,MATCH($AB419,'Test catalog'!$A$2:$A$200,0))="","",INDEX('Test catalog'!$L$2:$L$200,MATCH($AB419,'Test catalog'!$A$2:$A$200,0))),"")</f>
        <v/>
      </c>
      <c r="T419" s="10">
        <f>IFERROR(IF(INDEX('Test catalog'!$M$2:$M$200,MATCH($AB419,'Test catalog'!$A$2:$A$200,0))="","",INDEX('Test catalog'!$M$2:$M$200,MATCH($AB419,'Test catalog'!$A$2:$A$200,0))),"")</f>
        <v/>
      </c>
      <c r="U419" s="10">
        <f>IFERROR(IF(INDEX('Test catalog'!$N$2:$N$200,MATCH($AB419,'Test catalog'!$A$2:$A$200,0))="","",INDEX('Test catalog'!$N$2:$N$200,MATCH($AB419,'Test catalog'!$A$2:$A$200,0))),"")</f>
        <v/>
      </c>
      <c r="V419" s="15" t="n"/>
      <c r="W419" s="5" t="inlineStr">
        <is>
          <t>N</t>
        </is>
      </c>
      <c r="X419" s="5" t="n"/>
      <c r="Y419" s="5" t="n"/>
      <c r="Z419" s="5" t="n"/>
      <c r="AA419" s="10">
        <f>IFERROR(IF(INDEX('Test catalog'!$O$2:$O$200,MATCH($AB419,'Test catalog'!$A$2:$A$200,0))="","",INDEX('Test catalog'!$O$2:$O$200,MATCH($AB419,'Test catalog'!$A$2:$A$200,0))),"")</f>
        <v/>
      </c>
      <c r="AB419" s="10" t="inlineStr">
        <is>
          <t>BRITTLE</t>
        </is>
      </c>
    </row>
    <row r="420">
      <c r="A420" s="10" t="inlineStr">
        <is>
          <t>F56</t>
        </is>
      </c>
      <c r="B420" s="10" t="inlineStr">
        <is>
          <t>FP</t>
        </is>
      </c>
      <c r="C420" s="10" t="inlineStr">
        <is>
          <t>Pregnalife  |  D-Alpha Tocopheryl Acetate 50% (Vitamin E), Magnesium Oxide Heavy (+13 more)</t>
        </is>
      </c>
      <c r="D420" s="10" t="inlineStr">
        <is>
          <t>Friability</t>
        </is>
      </c>
      <c r="E420" s="10">
        <f>IF(A420="","",A420&amp;"|"&amp;D420)</f>
        <v/>
      </c>
      <c r="F420" s="5" t="inlineStr">
        <is>
          <t>Y</t>
        </is>
      </c>
      <c r="G420" s="5" t="inlineStr">
        <is>
          <t>Friabilator</t>
        </is>
      </c>
      <c r="H420" s="5" t="inlineStr">
        <is>
          <t>Low</t>
        </is>
      </c>
      <c r="I420" s="5" t="n">
        <v>1</v>
      </c>
      <c r="J420" s="5" t="n"/>
      <c r="K420" s="10">
        <f>IFERROR(IF(INDEX('Test catalog'!$F$2:$F$200,MATCH($AB420,'Test catalog'!$A$2:$A$200,0))="","",INDEX('Test catalog'!$F$2:$F$200,MATCH($AB420,'Test catalog'!$A$2:$A$200,0))),"")</f>
        <v/>
      </c>
      <c r="L420" s="10">
        <f>IFERROR(IF(INDEX('Test catalog'!$G$2:$G$200,MATCH($AB420,'Test catalog'!$A$2:$A$200,0))="","",INDEX('Test catalog'!$G$2:$G$200,MATCH($AB420,'Test catalog'!$A$2:$A$200,0))),"")</f>
        <v/>
      </c>
      <c r="M420" s="10">
        <f>IFERROR(IF(INDEX('Test catalog'!$H$2:$H$200,MATCH($AB420,'Test catalog'!$A$2:$A$200,0))="","",INDEX('Test catalog'!$H$2:$H$200,MATCH($AB420,'Test catalog'!$A$2:$A$200,0))),"")</f>
        <v/>
      </c>
      <c r="N420" s="10">
        <f>IFERROR(IF(INDEX('Test catalog'!$I$2:$I$200,MATCH($AB420,'Test catalog'!$A$2:$A$200,0))="","",INDEX('Test catalog'!$I$2:$I$200,MATCH($AB420,'Test catalog'!$A$2:$A$200,0))),"")</f>
        <v/>
      </c>
      <c r="O420" s="10">
        <f>IFERROR(IF(INDEX('Test catalog'!$J$2:$J$200,MATCH($AB420,'Test catalog'!$A$2:$A$200,0))="","",INDEX('Test catalog'!$J$2:$J$200,MATCH($AB420,'Test catalog'!$A$2:$A$200,0))),"")</f>
        <v/>
      </c>
      <c r="P420" s="14">
        <f>IF(N420="","",IF(OR(M420="",O420=""),N420,(M420+4*N420+O420)/6))</f>
        <v/>
      </c>
      <c r="Q420" s="10">
        <f>IFERROR(IF(INDEX('Test catalog'!$K$2:$K$200,MATCH($AB420,'Test catalog'!$A$2:$A$200,0))="","",INDEX('Test catalog'!$K$2:$K$200,MATCH($AB420,'Test catalog'!$A$2:$A$200,0))),"")</f>
        <v/>
      </c>
      <c r="R420" s="5" t="n"/>
      <c r="S420" s="10">
        <f>IFERROR(IF(INDEX('Test catalog'!$L$2:$L$200,MATCH($AB420,'Test catalog'!$A$2:$A$200,0))="","",INDEX('Test catalog'!$L$2:$L$200,MATCH($AB420,'Test catalog'!$A$2:$A$200,0))),"")</f>
        <v/>
      </c>
      <c r="T420" s="10">
        <f>IFERROR(IF(INDEX('Test catalog'!$M$2:$M$200,MATCH($AB420,'Test catalog'!$A$2:$A$200,0))="","",INDEX('Test catalog'!$M$2:$M$200,MATCH($AB420,'Test catalog'!$A$2:$A$200,0))),"")</f>
        <v/>
      </c>
      <c r="U420" s="10">
        <f>IFERROR(IF(INDEX('Test catalog'!$N$2:$N$200,MATCH($AB420,'Test catalog'!$A$2:$A$200,0))="","",INDEX('Test catalog'!$N$2:$N$200,MATCH($AB420,'Test catalog'!$A$2:$A$200,0))),"")</f>
        <v/>
      </c>
      <c r="V420" s="15" t="n"/>
      <c r="W420" s="5" t="inlineStr">
        <is>
          <t>N</t>
        </is>
      </c>
      <c r="X420" s="5" t="n"/>
      <c r="Y420" s="5" t="n"/>
      <c r="Z420" s="5" t="n"/>
      <c r="AA420" s="10">
        <f>IFERROR(IF(INDEX('Test catalog'!$O$2:$O$200,MATCH($AB420,'Test catalog'!$A$2:$A$200,0))="","",INDEX('Test catalog'!$O$2:$O$200,MATCH($AB420,'Test catalog'!$A$2:$A$200,0))),"")</f>
        <v/>
      </c>
      <c r="AB420" s="10" t="inlineStr">
        <is>
          <t>FRIAB</t>
        </is>
      </c>
    </row>
    <row r="421">
      <c r="A421" s="10" t="inlineStr">
        <is>
          <t>F56</t>
        </is>
      </c>
      <c r="B421" s="10" t="inlineStr">
        <is>
          <t>FP</t>
        </is>
      </c>
      <c r="C421" s="10" t="inlineStr">
        <is>
          <t>Pregnalife  |  D-Alpha Tocopheryl Acetate 50% (Vitamin E), Magnesium Oxide Heavy (+13 more)</t>
        </is>
      </c>
      <c r="D421" s="10" t="inlineStr">
        <is>
          <t>Disintegration</t>
        </is>
      </c>
      <c r="E421" s="10">
        <f>IF(A421="","",A421&amp;"|"&amp;D421)</f>
        <v/>
      </c>
      <c r="F421" s="5" t="inlineStr">
        <is>
          <t>Y</t>
        </is>
      </c>
      <c r="G421" s="5" t="inlineStr">
        <is>
          <t>Disintegration tester</t>
        </is>
      </c>
      <c r="H421" s="5" t="inlineStr">
        <is>
          <t>Low</t>
        </is>
      </c>
      <c r="I421" s="5" t="n">
        <v>1</v>
      </c>
      <c r="J421" s="5" t="n"/>
      <c r="K421" s="10">
        <f>IFERROR(IF(INDEX('Test catalog'!$F$2:$F$200,MATCH($AB421,'Test catalog'!$A$2:$A$200,0))="","",INDEX('Test catalog'!$F$2:$F$200,MATCH($AB421,'Test catalog'!$A$2:$A$200,0))),"")</f>
        <v/>
      </c>
      <c r="L421" s="10">
        <f>IFERROR(IF(INDEX('Test catalog'!$G$2:$G$200,MATCH($AB421,'Test catalog'!$A$2:$A$200,0))="","",INDEX('Test catalog'!$G$2:$G$200,MATCH($AB421,'Test catalog'!$A$2:$A$200,0))),"")</f>
        <v/>
      </c>
      <c r="M421" s="10">
        <f>IFERROR(IF(INDEX('Test catalog'!$H$2:$H$200,MATCH($AB421,'Test catalog'!$A$2:$A$200,0))="","",INDEX('Test catalog'!$H$2:$H$200,MATCH($AB421,'Test catalog'!$A$2:$A$200,0))),"")</f>
        <v/>
      </c>
      <c r="N421" s="10">
        <f>IFERROR(IF(INDEX('Test catalog'!$I$2:$I$200,MATCH($AB421,'Test catalog'!$A$2:$A$200,0))="","",INDEX('Test catalog'!$I$2:$I$200,MATCH($AB421,'Test catalog'!$A$2:$A$200,0))),"")</f>
        <v/>
      </c>
      <c r="O421" s="10">
        <f>IFERROR(IF(INDEX('Test catalog'!$J$2:$J$200,MATCH($AB421,'Test catalog'!$A$2:$A$200,0))="","",INDEX('Test catalog'!$J$2:$J$200,MATCH($AB421,'Test catalog'!$A$2:$A$200,0))),"")</f>
        <v/>
      </c>
      <c r="P421" s="14">
        <f>IF(N421="","",IF(OR(M421="",O421=""),N421,(M421+4*N421+O421)/6))</f>
        <v/>
      </c>
      <c r="Q421" s="10">
        <f>IFERROR(IF(INDEX('Test catalog'!$K$2:$K$200,MATCH($AB421,'Test catalog'!$A$2:$A$200,0))="","",INDEX('Test catalog'!$K$2:$K$200,MATCH($AB421,'Test catalog'!$A$2:$A$200,0))),"")</f>
        <v/>
      </c>
      <c r="R421" s="5" t="n"/>
      <c r="S421" s="10">
        <f>IFERROR(IF(INDEX('Test catalog'!$L$2:$L$200,MATCH($AB421,'Test catalog'!$A$2:$A$200,0))="","",INDEX('Test catalog'!$L$2:$L$200,MATCH($AB421,'Test catalog'!$A$2:$A$200,0))),"")</f>
        <v/>
      </c>
      <c r="T421" s="10">
        <f>IFERROR(IF(INDEX('Test catalog'!$M$2:$M$200,MATCH($AB421,'Test catalog'!$A$2:$A$200,0))="","",INDEX('Test catalog'!$M$2:$M$200,MATCH($AB421,'Test catalog'!$A$2:$A$200,0))),"")</f>
        <v/>
      </c>
      <c r="U421" s="10">
        <f>IFERROR(IF(INDEX('Test catalog'!$N$2:$N$200,MATCH($AB421,'Test catalog'!$A$2:$A$200,0))="","",INDEX('Test catalog'!$N$2:$N$200,MATCH($AB421,'Test catalog'!$A$2:$A$200,0))),"")</f>
        <v/>
      </c>
      <c r="V421" s="15" t="n"/>
      <c r="W421" s="5" t="inlineStr">
        <is>
          <t>Y</t>
        </is>
      </c>
      <c r="X421" s="5" t="n"/>
      <c r="Y421" s="5" t="n"/>
      <c r="Z421" s="5" t="n"/>
      <c r="AA421" s="10">
        <f>IFERROR(IF(INDEX('Test catalog'!$O$2:$O$200,MATCH($AB421,'Test catalog'!$A$2:$A$200,0))="","",INDEX('Test catalog'!$O$2:$O$200,MATCH($AB421,'Test catalog'!$A$2:$A$200,0))),"")</f>
        <v/>
      </c>
      <c r="AB421" s="10" t="inlineStr">
        <is>
          <t>DISINT</t>
        </is>
      </c>
    </row>
    <row r="422">
      <c r="A422" s="10" t="inlineStr">
        <is>
          <t>F56</t>
        </is>
      </c>
      <c r="B422" s="10" t="inlineStr">
        <is>
          <t>FP</t>
        </is>
      </c>
      <c r="C422" s="10" t="inlineStr">
        <is>
          <t>Pregnalife  |  D-Alpha Tocopheryl Acetate 50% (Vitamin E), Magnesium Oxide Heavy (+13 more)</t>
        </is>
      </c>
      <c r="D422" s="10" t="inlineStr">
        <is>
          <t>In-process check at the machine (one check, all its tests)</t>
        </is>
      </c>
      <c r="E422" s="10">
        <f>IF(A422="","",A422&amp;"|"&amp;D422)</f>
        <v/>
      </c>
      <c r="F422" s="5" t="inlineStr">
        <is>
          <t>Y</t>
        </is>
      </c>
      <c r="G422" s="5" t="inlineStr">
        <is>
          <t>Tablet tester</t>
        </is>
      </c>
      <c r="H422" s="5" t="inlineStr">
        <is>
          <t>Low</t>
        </is>
      </c>
      <c r="I422" s="5" t="n">
        <v>1</v>
      </c>
      <c r="J422" s="5" t="n"/>
      <c r="K422" s="10">
        <f>IFERROR(IF(INDEX('Test catalog'!$F$2:$F$200,MATCH($AB422,'Test catalog'!$A$2:$A$200,0))="","",INDEX('Test catalog'!$F$2:$F$200,MATCH($AB422,'Test catalog'!$A$2:$A$200,0))),"")</f>
        <v/>
      </c>
      <c r="L422" s="10">
        <f>IFERROR(IF(INDEX('Test catalog'!$G$2:$G$200,MATCH($AB422,'Test catalog'!$A$2:$A$200,0))="","",INDEX('Test catalog'!$G$2:$G$200,MATCH($AB422,'Test catalog'!$A$2:$A$200,0))),"")</f>
        <v/>
      </c>
      <c r="M422" s="10">
        <f>IFERROR(IF(INDEX('Test catalog'!$H$2:$H$200,MATCH($AB422,'Test catalog'!$A$2:$A$200,0))="","",INDEX('Test catalog'!$H$2:$H$200,MATCH($AB422,'Test catalog'!$A$2:$A$200,0))),"")</f>
        <v/>
      </c>
      <c r="N422" s="10">
        <f>IFERROR(IF(INDEX('Test catalog'!$I$2:$I$200,MATCH($AB422,'Test catalog'!$A$2:$A$200,0))="","",INDEX('Test catalog'!$I$2:$I$200,MATCH($AB422,'Test catalog'!$A$2:$A$200,0))),"")</f>
        <v/>
      </c>
      <c r="O422" s="10">
        <f>IFERROR(IF(INDEX('Test catalog'!$J$2:$J$200,MATCH($AB422,'Test catalog'!$A$2:$A$200,0))="","",INDEX('Test catalog'!$J$2:$J$200,MATCH($AB422,'Test catalog'!$A$2:$A$200,0))),"")</f>
        <v/>
      </c>
      <c r="P422" s="14">
        <f>IF(N422="","",IF(OR(M422="",O422=""),N422,(M422+4*N422+O422)/6))</f>
        <v/>
      </c>
      <c r="Q422" s="10">
        <f>IFERROR(IF(INDEX('Test catalog'!$K$2:$K$200,MATCH($AB422,'Test catalog'!$A$2:$A$200,0))="","",INDEX('Test catalog'!$K$2:$K$200,MATCH($AB422,'Test catalog'!$A$2:$A$200,0))),"")</f>
        <v/>
      </c>
      <c r="R422" s="5" t="n"/>
      <c r="S422" s="10">
        <f>IFERROR(IF(INDEX('Test catalog'!$L$2:$L$200,MATCH($AB422,'Test catalog'!$A$2:$A$200,0))="","",INDEX('Test catalog'!$L$2:$L$200,MATCH($AB422,'Test catalog'!$A$2:$A$200,0))),"")</f>
        <v/>
      </c>
      <c r="T422" s="10">
        <f>IFERROR(IF(INDEX('Test catalog'!$M$2:$M$200,MATCH($AB422,'Test catalog'!$A$2:$A$200,0))="","",INDEX('Test catalog'!$M$2:$M$200,MATCH($AB422,'Test catalog'!$A$2:$A$200,0))),"")</f>
        <v/>
      </c>
      <c r="U422" s="10">
        <f>IFERROR(IF(INDEX('Test catalog'!$N$2:$N$200,MATCH($AB422,'Test catalog'!$A$2:$A$200,0))="","",INDEX('Test catalog'!$N$2:$N$200,MATCH($AB422,'Test catalog'!$A$2:$A$200,0))),"")</f>
        <v/>
      </c>
      <c r="V422" s="15" t="n"/>
      <c r="W422" s="5" t="inlineStr">
        <is>
          <t>N</t>
        </is>
      </c>
      <c r="X422" s="5" t="n"/>
      <c r="Y422" s="5" t="n"/>
      <c r="Z422" s="5" t="n"/>
      <c r="AA422" s="10">
        <f>IFERROR(IF(INDEX('Test catalog'!$O$2:$O$200,MATCH($AB422,'Test catalog'!$A$2:$A$200,0))="","",INDEX('Test catalog'!$O$2:$O$200,MATCH($AB422,'Test catalog'!$A$2:$A$200,0))),"")</f>
        <v/>
      </c>
      <c r="AB422" s="10" t="inlineStr">
        <is>
          <t>IPC</t>
        </is>
      </c>
    </row>
    <row r="423">
      <c r="A423" s="10" t="inlineStr">
        <is>
          <t>F57</t>
        </is>
      </c>
      <c r="B423" s="10" t="inlineStr">
        <is>
          <t>FP</t>
        </is>
      </c>
      <c r="C423" s="10" t="inlineStr">
        <is>
          <t>Immune AID  |  Cyanocobalamin (Vitamin B12), Folic Acid (Vitamin B9) (+13 more)</t>
        </is>
      </c>
      <c r="D423" s="10" t="inlineStr">
        <is>
          <t>Average weight / uniformity of mass</t>
        </is>
      </c>
      <c r="E423" s="10">
        <f>IF(A423="","",A423&amp;"|"&amp;D423)</f>
        <v/>
      </c>
      <c r="F423" s="5" t="inlineStr">
        <is>
          <t>Y</t>
        </is>
      </c>
      <c r="G423" s="5" t="inlineStr">
        <is>
          <t>Balance</t>
        </is>
      </c>
      <c r="H423" s="5" t="inlineStr">
        <is>
          <t>Low</t>
        </is>
      </c>
      <c r="I423" s="5" t="n">
        <v>1</v>
      </c>
      <c r="J423" s="5" t="n"/>
      <c r="K423" s="10">
        <f>IFERROR(IF(INDEX('Test catalog'!$F$2:$F$200,MATCH($AB423,'Test catalog'!$A$2:$A$200,0))="","",INDEX('Test catalog'!$F$2:$F$200,MATCH($AB423,'Test catalog'!$A$2:$A$200,0))),"")</f>
        <v/>
      </c>
      <c r="L423" s="10">
        <f>IFERROR(IF(INDEX('Test catalog'!$G$2:$G$200,MATCH($AB423,'Test catalog'!$A$2:$A$200,0))="","",INDEX('Test catalog'!$G$2:$G$200,MATCH($AB423,'Test catalog'!$A$2:$A$200,0))),"")</f>
        <v/>
      </c>
      <c r="M423" s="10">
        <f>IFERROR(IF(INDEX('Test catalog'!$H$2:$H$200,MATCH($AB423,'Test catalog'!$A$2:$A$200,0))="","",INDEX('Test catalog'!$H$2:$H$200,MATCH($AB423,'Test catalog'!$A$2:$A$200,0))),"")</f>
        <v/>
      </c>
      <c r="N423" s="10">
        <f>IFERROR(IF(INDEX('Test catalog'!$I$2:$I$200,MATCH($AB423,'Test catalog'!$A$2:$A$200,0))="","",INDEX('Test catalog'!$I$2:$I$200,MATCH($AB423,'Test catalog'!$A$2:$A$200,0))),"")</f>
        <v/>
      </c>
      <c r="O423" s="10">
        <f>IFERROR(IF(INDEX('Test catalog'!$J$2:$J$200,MATCH($AB423,'Test catalog'!$A$2:$A$200,0))="","",INDEX('Test catalog'!$J$2:$J$200,MATCH($AB423,'Test catalog'!$A$2:$A$200,0))),"")</f>
        <v/>
      </c>
      <c r="P423" s="14">
        <f>IF(N423="","",IF(OR(M423="",O423=""),N423,(M423+4*N423+O423)/6))</f>
        <v/>
      </c>
      <c r="Q423" s="10">
        <f>IFERROR(IF(INDEX('Test catalog'!$K$2:$K$200,MATCH($AB423,'Test catalog'!$A$2:$A$200,0))="","",INDEX('Test catalog'!$K$2:$K$200,MATCH($AB423,'Test catalog'!$A$2:$A$200,0))),"")</f>
        <v/>
      </c>
      <c r="R423" s="5" t="n"/>
      <c r="S423" s="10">
        <f>IFERROR(IF(INDEX('Test catalog'!$L$2:$L$200,MATCH($AB423,'Test catalog'!$A$2:$A$200,0))="","",INDEX('Test catalog'!$L$2:$L$200,MATCH($AB423,'Test catalog'!$A$2:$A$200,0))),"")</f>
        <v/>
      </c>
      <c r="T423" s="10">
        <f>IFERROR(IF(INDEX('Test catalog'!$M$2:$M$200,MATCH($AB423,'Test catalog'!$A$2:$A$200,0))="","",INDEX('Test catalog'!$M$2:$M$200,MATCH($AB423,'Test catalog'!$A$2:$A$200,0))),"")</f>
        <v/>
      </c>
      <c r="U423" s="10">
        <f>IFERROR(IF(INDEX('Test catalog'!$N$2:$N$200,MATCH($AB423,'Test catalog'!$A$2:$A$200,0))="","",INDEX('Test catalog'!$N$2:$N$200,MATCH($AB423,'Test catalog'!$A$2:$A$200,0))),"")</f>
        <v/>
      </c>
      <c r="V423" s="15" t="n"/>
      <c r="W423" s="5" t="inlineStr">
        <is>
          <t>N</t>
        </is>
      </c>
      <c r="X423" s="5" t="n"/>
      <c r="Y423" s="5" t="n"/>
      <c r="Z423" s="5" t="n"/>
      <c r="AA423" s="10">
        <f>IFERROR(IF(INDEX('Test catalog'!$O$2:$O$200,MATCH($AB423,'Test catalog'!$A$2:$A$200,0))="","",INDEX('Test catalog'!$O$2:$O$200,MATCH($AB423,'Test catalog'!$A$2:$A$200,0))),"")</f>
        <v/>
      </c>
      <c r="AB423" s="10" t="inlineStr">
        <is>
          <t>AVG_WT</t>
        </is>
      </c>
    </row>
    <row r="424">
      <c r="A424" s="10" t="inlineStr">
        <is>
          <t>F57</t>
        </is>
      </c>
      <c r="B424" s="10" t="inlineStr">
        <is>
          <t>FP</t>
        </is>
      </c>
      <c r="C424" s="10" t="inlineStr">
        <is>
          <t>Immune AID  |  Cyanocobalamin (Vitamin B12), Folic Acid (Vitamin B9) (+13 more)</t>
        </is>
      </c>
      <c r="D424" s="10" t="inlineStr">
        <is>
          <t>Diameter (or length / width)</t>
        </is>
      </c>
      <c r="E424" s="10">
        <f>IF(A424="","",A424&amp;"|"&amp;D424)</f>
        <v/>
      </c>
      <c r="F424" s="5" t="inlineStr">
        <is>
          <t>Y</t>
        </is>
      </c>
      <c r="G424" s="5" t="inlineStr">
        <is>
          <t>Tablet tester</t>
        </is>
      </c>
      <c r="H424" s="5" t="inlineStr">
        <is>
          <t>Low</t>
        </is>
      </c>
      <c r="I424" s="5" t="n">
        <v>1</v>
      </c>
      <c r="J424" s="5" t="n"/>
      <c r="K424" s="10">
        <f>IFERROR(IF(INDEX('Test catalog'!$F$2:$F$200,MATCH($AB424,'Test catalog'!$A$2:$A$200,0))="","",INDEX('Test catalog'!$F$2:$F$200,MATCH($AB424,'Test catalog'!$A$2:$A$200,0))),"")</f>
        <v/>
      </c>
      <c r="L424" s="10">
        <f>IFERROR(IF(INDEX('Test catalog'!$G$2:$G$200,MATCH($AB424,'Test catalog'!$A$2:$A$200,0))="","",INDEX('Test catalog'!$G$2:$G$200,MATCH($AB424,'Test catalog'!$A$2:$A$200,0))),"")</f>
        <v/>
      </c>
      <c r="M424" s="10">
        <f>IFERROR(IF(INDEX('Test catalog'!$H$2:$H$200,MATCH($AB424,'Test catalog'!$A$2:$A$200,0))="","",INDEX('Test catalog'!$H$2:$H$200,MATCH($AB424,'Test catalog'!$A$2:$A$200,0))),"")</f>
        <v/>
      </c>
      <c r="N424" s="10">
        <f>IFERROR(IF(INDEX('Test catalog'!$I$2:$I$200,MATCH($AB424,'Test catalog'!$A$2:$A$200,0))="","",INDEX('Test catalog'!$I$2:$I$200,MATCH($AB424,'Test catalog'!$A$2:$A$200,0))),"")</f>
        <v/>
      </c>
      <c r="O424" s="10">
        <f>IFERROR(IF(INDEX('Test catalog'!$J$2:$J$200,MATCH($AB424,'Test catalog'!$A$2:$A$200,0))="","",INDEX('Test catalog'!$J$2:$J$200,MATCH($AB424,'Test catalog'!$A$2:$A$200,0))),"")</f>
        <v/>
      </c>
      <c r="P424" s="14">
        <f>IF(N424="","",IF(OR(M424="",O424=""),N424,(M424+4*N424+O424)/6))</f>
        <v/>
      </c>
      <c r="Q424" s="10">
        <f>IFERROR(IF(INDEX('Test catalog'!$K$2:$K$200,MATCH($AB424,'Test catalog'!$A$2:$A$200,0))="","",INDEX('Test catalog'!$K$2:$K$200,MATCH($AB424,'Test catalog'!$A$2:$A$200,0))),"")</f>
        <v/>
      </c>
      <c r="R424" s="5" t="n"/>
      <c r="S424" s="10">
        <f>IFERROR(IF(INDEX('Test catalog'!$L$2:$L$200,MATCH($AB424,'Test catalog'!$A$2:$A$200,0))="","",INDEX('Test catalog'!$L$2:$L$200,MATCH($AB424,'Test catalog'!$A$2:$A$200,0))),"")</f>
        <v/>
      </c>
      <c r="T424" s="10">
        <f>IFERROR(IF(INDEX('Test catalog'!$M$2:$M$200,MATCH($AB424,'Test catalog'!$A$2:$A$200,0))="","",INDEX('Test catalog'!$M$2:$M$200,MATCH($AB424,'Test catalog'!$A$2:$A$200,0))),"")</f>
        <v/>
      </c>
      <c r="U424" s="10">
        <f>IFERROR(IF(INDEX('Test catalog'!$N$2:$N$200,MATCH($AB424,'Test catalog'!$A$2:$A$200,0))="","",INDEX('Test catalog'!$N$2:$N$200,MATCH($AB424,'Test catalog'!$A$2:$A$200,0))),"")</f>
        <v/>
      </c>
      <c r="V424" s="15" t="n"/>
      <c r="W424" s="5" t="inlineStr">
        <is>
          <t>N</t>
        </is>
      </c>
      <c r="X424" s="5" t="n"/>
      <c r="Y424" s="5" t="n"/>
      <c r="Z424" s="5" t="n"/>
      <c r="AA424" s="10">
        <f>IFERROR(IF(INDEX('Test catalog'!$O$2:$O$200,MATCH($AB424,'Test catalog'!$A$2:$A$200,0))="","",INDEX('Test catalog'!$O$2:$O$200,MATCH($AB424,'Test catalog'!$A$2:$A$200,0))),"")</f>
        <v/>
      </c>
      <c r="AB424" s="10" t="inlineStr">
        <is>
          <t>DIAM</t>
        </is>
      </c>
    </row>
    <row r="425">
      <c r="A425" s="10" t="inlineStr">
        <is>
          <t>F57</t>
        </is>
      </c>
      <c r="B425" s="10" t="inlineStr">
        <is>
          <t>FP</t>
        </is>
      </c>
      <c r="C425" s="10" t="inlineStr">
        <is>
          <t>Immune AID  |  Cyanocobalamin (Vitamin B12), Folic Acid (Vitamin B9) (+13 more)</t>
        </is>
      </c>
      <c r="D425" s="10" t="inlineStr">
        <is>
          <t>Thickness</t>
        </is>
      </c>
      <c r="E425" s="10">
        <f>IF(A425="","",A425&amp;"|"&amp;D425)</f>
        <v/>
      </c>
      <c r="F425" s="5" t="inlineStr">
        <is>
          <t>Y</t>
        </is>
      </c>
      <c r="G425" s="5" t="inlineStr">
        <is>
          <t>Tablet tester</t>
        </is>
      </c>
      <c r="H425" s="5" t="inlineStr">
        <is>
          <t>Low</t>
        </is>
      </c>
      <c r="I425" s="5" t="n">
        <v>1</v>
      </c>
      <c r="J425" s="5" t="n"/>
      <c r="K425" s="10">
        <f>IFERROR(IF(INDEX('Test catalog'!$F$2:$F$200,MATCH($AB425,'Test catalog'!$A$2:$A$200,0))="","",INDEX('Test catalog'!$F$2:$F$200,MATCH($AB425,'Test catalog'!$A$2:$A$200,0))),"")</f>
        <v/>
      </c>
      <c r="L425" s="10">
        <f>IFERROR(IF(INDEX('Test catalog'!$G$2:$G$200,MATCH($AB425,'Test catalog'!$A$2:$A$200,0))="","",INDEX('Test catalog'!$G$2:$G$200,MATCH($AB425,'Test catalog'!$A$2:$A$200,0))),"")</f>
        <v/>
      </c>
      <c r="M425" s="10">
        <f>IFERROR(IF(INDEX('Test catalog'!$H$2:$H$200,MATCH($AB425,'Test catalog'!$A$2:$A$200,0))="","",INDEX('Test catalog'!$H$2:$H$200,MATCH($AB425,'Test catalog'!$A$2:$A$200,0))),"")</f>
        <v/>
      </c>
      <c r="N425" s="10">
        <f>IFERROR(IF(INDEX('Test catalog'!$I$2:$I$200,MATCH($AB425,'Test catalog'!$A$2:$A$200,0))="","",INDEX('Test catalog'!$I$2:$I$200,MATCH($AB425,'Test catalog'!$A$2:$A$200,0))),"")</f>
        <v/>
      </c>
      <c r="O425" s="10">
        <f>IFERROR(IF(INDEX('Test catalog'!$J$2:$J$200,MATCH($AB425,'Test catalog'!$A$2:$A$200,0))="","",INDEX('Test catalog'!$J$2:$J$200,MATCH($AB425,'Test catalog'!$A$2:$A$200,0))),"")</f>
        <v/>
      </c>
      <c r="P425" s="14">
        <f>IF(N425="","",IF(OR(M425="",O425=""),N425,(M425+4*N425+O425)/6))</f>
        <v/>
      </c>
      <c r="Q425" s="10">
        <f>IFERROR(IF(INDEX('Test catalog'!$K$2:$K$200,MATCH($AB425,'Test catalog'!$A$2:$A$200,0))="","",INDEX('Test catalog'!$K$2:$K$200,MATCH($AB425,'Test catalog'!$A$2:$A$200,0))),"")</f>
        <v/>
      </c>
      <c r="R425" s="5" t="n"/>
      <c r="S425" s="10">
        <f>IFERROR(IF(INDEX('Test catalog'!$L$2:$L$200,MATCH($AB425,'Test catalog'!$A$2:$A$200,0))="","",INDEX('Test catalog'!$L$2:$L$200,MATCH($AB425,'Test catalog'!$A$2:$A$200,0))),"")</f>
        <v/>
      </c>
      <c r="T425" s="10">
        <f>IFERROR(IF(INDEX('Test catalog'!$M$2:$M$200,MATCH($AB425,'Test catalog'!$A$2:$A$200,0))="","",INDEX('Test catalog'!$M$2:$M$200,MATCH($AB425,'Test catalog'!$A$2:$A$200,0))),"")</f>
        <v/>
      </c>
      <c r="U425" s="10">
        <f>IFERROR(IF(INDEX('Test catalog'!$N$2:$N$200,MATCH($AB425,'Test catalog'!$A$2:$A$200,0))="","",INDEX('Test catalog'!$N$2:$N$200,MATCH($AB425,'Test catalog'!$A$2:$A$200,0))),"")</f>
        <v/>
      </c>
      <c r="V425" s="15" t="n"/>
      <c r="W425" s="5" t="inlineStr">
        <is>
          <t>N</t>
        </is>
      </c>
      <c r="X425" s="5" t="n"/>
      <c r="Y425" s="5" t="n"/>
      <c r="Z425" s="5" t="n"/>
      <c r="AA425" s="10">
        <f>IFERROR(IF(INDEX('Test catalog'!$O$2:$O$200,MATCH($AB425,'Test catalog'!$A$2:$A$200,0))="","",INDEX('Test catalog'!$O$2:$O$200,MATCH($AB425,'Test catalog'!$A$2:$A$200,0))),"")</f>
        <v/>
      </c>
      <c r="AB425" s="10" t="inlineStr">
        <is>
          <t>THICK</t>
        </is>
      </c>
    </row>
    <row r="426">
      <c r="A426" s="10" t="inlineStr">
        <is>
          <t>F57</t>
        </is>
      </c>
      <c r="B426" s="10" t="inlineStr">
        <is>
          <t>FP</t>
        </is>
      </c>
      <c r="C426" s="10" t="inlineStr">
        <is>
          <t>Immune AID  |  Cyanocobalamin (Vitamin B12), Folic Acid (Vitamin B9) (+13 more)</t>
        </is>
      </c>
      <c r="D426" s="10" t="inlineStr">
        <is>
          <t>Hardness / breaking force</t>
        </is>
      </c>
      <c r="E426" s="10">
        <f>IF(A426="","",A426&amp;"|"&amp;D426)</f>
        <v/>
      </c>
      <c r="F426" s="5" t="inlineStr">
        <is>
          <t>Y</t>
        </is>
      </c>
      <c r="G426" s="5" t="inlineStr">
        <is>
          <t>Tablet tester</t>
        </is>
      </c>
      <c r="H426" s="5" t="inlineStr">
        <is>
          <t>Low</t>
        </is>
      </c>
      <c r="I426" s="5" t="n">
        <v>1</v>
      </c>
      <c r="J426" s="5" t="n"/>
      <c r="K426" s="10">
        <f>IFERROR(IF(INDEX('Test catalog'!$F$2:$F$200,MATCH($AB426,'Test catalog'!$A$2:$A$200,0))="","",INDEX('Test catalog'!$F$2:$F$200,MATCH($AB426,'Test catalog'!$A$2:$A$200,0))),"")</f>
        <v/>
      </c>
      <c r="L426" s="10">
        <f>IFERROR(IF(INDEX('Test catalog'!$G$2:$G$200,MATCH($AB426,'Test catalog'!$A$2:$A$200,0))="","",INDEX('Test catalog'!$G$2:$G$200,MATCH($AB426,'Test catalog'!$A$2:$A$200,0))),"")</f>
        <v/>
      </c>
      <c r="M426" s="10">
        <f>IFERROR(IF(INDEX('Test catalog'!$H$2:$H$200,MATCH($AB426,'Test catalog'!$A$2:$A$200,0))="","",INDEX('Test catalog'!$H$2:$H$200,MATCH($AB426,'Test catalog'!$A$2:$A$200,0))),"")</f>
        <v/>
      </c>
      <c r="N426" s="10">
        <f>IFERROR(IF(INDEX('Test catalog'!$I$2:$I$200,MATCH($AB426,'Test catalog'!$A$2:$A$200,0))="","",INDEX('Test catalog'!$I$2:$I$200,MATCH($AB426,'Test catalog'!$A$2:$A$200,0))),"")</f>
        <v/>
      </c>
      <c r="O426" s="10">
        <f>IFERROR(IF(INDEX('Test catalog'!$J$2:$J$200,MATCH($AB426,'Test catalog'!$A$2:$A$200,0))="","",INDEX('Test catalog'!$J$2:$J$200,MATCH($AB426,'Test catalog'!$A$2:$A$200,0))),"")</f>
        <v/>
      </c>
      <c r="P426" s="14">
        <f>IF(N426="","",IF(OR(M426="",O426=""),N426,(M426+4*N426+O426)/6))</f>
        <v/>
      </c>
      <c r="Q426" s="10">
        <f>IFERROR(IF(INDEX('Test catalog'!$K$2:$K$200,MATCH($AB426,'Test catalog'!$A$2:$A$200,0))="","",INDEX('Test catalog'!$K$2:$K$200,MATCH($AB426,'Test catalog'!$A$2:$A$200,0))),"")</f>
        <v/>
      </c>
      <c r="R426" s="5" t="n"/>
      <c r="S426" s="10">
        <f>IFERROR(IF(INDEX('Test catalog'!$L$2:$L$200,MATCH($AB426,'Test catalog'!$A$2:$A$200,0))="","",INDEX('Test catalog'!$L$2:$L$200,MATCH($AB426,'Test catalog'!$A$2:$A$200,0))),"")</f>
        <v/>
      </c>
      <c r="T426" s="10">
        <f>IFERROR(IF(INDEX('Test catalog'!$M$2:$M$200,MATCH($AB426,'Test catalog'!$A$2:$A$200,0))="","",INDEX('Test catalog'!$M$2:$M$200,MATCH($AB426,'Test catalog'!$A$2:$A$200,0))),"")</f>
        <v/>
      </c>
      <c r="U426" s="10">
        <f>IFERROR(IF(INDEX('Test catalog'!$N$2:$N$200,MATCH($AB426,'Test catalog'!$A$2:$A$200,0))="","",INDEX('Test catalog'!$N$2:$N$200,MATCH($AB426,'Test catalog'!$A$2:$A$200,0))),"")</f>
        <v/>
      </c>
      <c r="V426" s="15" t="n"/>
      <c r="W426" s="5" t="inlineStr">
        <is>
          <t>Y</t>
        </is>
      </c>
      <c r="X426" s="5" t="n"/>
      <c r="Y426" s="5" t="n"/>
      <c r="Z426" s="5" t="n"/>
      <c r="AA426" s="10">
        <f>IFERROR(IF(INDEX('Test catalog'!$O$2:$O$200,MATCH($AB426,'Test catalog'!$A$2:$A$200,0))="","",INDEX('Test catalog'!$O$2:$O$200,MATCH($AB426,'Test catalog'!$A$2:$A$200,0))),"")</f>
        <v/>
      </c>
      <c r="AB426" s="10" t="inlineStr">
        <is>
          <t>HARD</t>
        </is>
      </c>
    </row>
    <row r="427">
      <c r="A427" s="10" t="inlineStr">
        <is>
          <t>F57</t>
        </is>
      </c>
      <c r="B427" s="10" t="inlineStr">
        <is>
          <t>FP</t>
        </is>
      </c>
      <c r="C427" s="10" t="inlineStr">
        <is>
          <t>Immune AID  |  Cyanocobalamin (Vitamin B12), Folic Acid (Vitamin B9) (+13 more)</t>
        </is>
      </c>
      <c r="D427" s="10" t="inlineStr">
        <is>
          <t>Brittleness</t>
        </is>
      </c>
      <c r="E427" s="10">
        <f>IF(A427="","",A427&amp;"|"&amp;D427)</f>
        <v/>
      </c>
      <c r="F427" s="5" t="inlineStr">
        <is>
          <t>Y</t>
        </is>
      </c>
      <c r="G427" s="5" t="inlineStr">
        <is>
          <t>Other / bench</t>
        </is>
      </c>
      <c r="H427" s="5" t="inlineStr">
        <is>
          <t>Low</t>
        </is>
      </c>
      <c r="I427" s="5" t="n">
        <v>1</v>
      </c>
      <c r="J427" s="5" t="n"/>
      <c r="K427" s="10">
        <f>IFERROR(IF(INDEX('Test catalog'!$F$2:$F$200,MATCH($AB427,'Test catalog'!$A$2:$A$200,0))="","",INDEX('Test catalog'!$F$2:$F$200,MATCH($AB427,'Test catalog'!$A$2:$A$200,0))),"")</f>
        <v/>
      </c>
      <c r="L427" s="10">
        <f>IFERROR(IF(INDEX('Test catalog'!$G$2:$G$200,MATCH($AB427,'Test catalog'!$A$2:$A$200,0))="","",INDEX('Test catalog'!$G$2:$G$200,MATCH($AB427,'Test catalog'!$A$2:$A$200,0))),"")</f>
        <v/>
      </c>
      <c r="M427" s="10">
        <f>IFERROR(IF(INDEX('Test catalog'!$H$2:$H$200,MATCH($AB427,'Test catalog'!$A$2:$A$200,0))="","",INDEX('Test catalog'!$H$2:$H$200,MATCH($AB427,'Test catalog'!$A$2:$A$200,0))),"")</f>
        <v/>
      </c>
      <c r="N427" s="10">
        <f>IFERROR(IF(INDEX('Test catalog'!$I$2:$I$200,MATCH($AB427,'Test catalog'!$A$2:$A$200,0))="","",INDEX('Test catalog'!$I$2:$I$200,MATCH($AB427,'Test catalog'!$A$2:$A$200,0))),"")</f>
        <v/>
      </c>
      <c r="O427" s="10">
        <f>IFERROR(IF(INDEX('Test catalog'!$J$2:$J$200,MATCH($AB427,'Test catalog'!$A$2:$A$200,0))="","",INDEX('Test catalog'!$J$2:$J$200,MATCH($AB427,'Test catalog'!$A$2:$A$200,0))),"")</f>
        <v/>
      </c>
      <c r="P427" s="14">
        <f>IF(N427="","",IF(OR(M427="",O427=""),N427,(M427+4*N427+O427)/6))</f>
        <v/>
      </c>
      <c r="Q427" s="10">
        <f>IFERROR(IF(INDEX('Test catalog'!$K$2:$K$200,MATCH($AB427,'Test catalog'!$A$2:$A$200,0))="","",INDEX('Test catalog'!$K$2:$K$200,MATCH($AB427,'Test catalog'!$A$2:$A$200,0))),"")</f>
        <v/>
      </c>
      <c r="R427" s="5" t="n"/>
      <c r="S427" s="10">
        <f>IFERROR(IF(INDEX('Test catalog'!$L$2:$L$200,MATCH($AB427,'Test catalog'!$A$2:$A$200,0))="","",INDEX('Test catalog'!$L$2:$L$200,MATCH($AB427,'Test catalog'!$A$2:$A$200,0))),"")</f>
        <v/>
      </c>
      <c r="T427" s="10">
        <f>IFERROR(IF(INDEX('Test catalog'!$M$2:$M$200,MATCH($AB427,'Test catalog'!$A$2:$A$200,0))="","",INDEX('Test catalog'!$M$2:$M$200,MATCH($AB427,'Test catalog'!$A$2:$A$200,0))),"")</f>
        <v/>
      </c>
      <c r="U427" s="10">
        <f>IFERROR(IF(INDEX('Test catalog'!$N$2:$N$200,MATCH($AB427,'Test catalog'!$A$2:$A$200,0))="","",INDEX('Test catalog'!$N$2:$N$200,MATCH($AB427,'Test catalog'!$A$2:$A$200,0))),"")</f>
        <v/>
      </c>
      <c r="V427" s="15" t="n"/>
      <c r="W427" s="5" t="inlineStr">
        <is>
          <t>N</t>
        </is>
      </c>
      <c r="X427" s="5" t="n"/>
      <c r="Y427" s="5" t="n"/>
      <c r="Z427" s="5" t="n"/>
      <c r="AA427" s="10">
        <f>IFERROR(IF(INDEX('Test catalog'!$O$2:$O$200,MATCH($AB427,'Test catalog'!$A$2:$A$200,0))="","",INDEX('Test catalog'!$O$2:$O$200,MATCH($AB427,'Test catalog'!$A$2:$A$200,0))),"")</f>
        <v/>
      </c>
      <c r="AB427" s="10" t="inlineStr">
        <is>
          <t>BRITTLE</t>
        </is>
      </c>
    </row>
    <row r="428">
      <c r="A428" s="10" t="inlineStr">
        <is>
          <t>F57</t>
        </is>
      </c>
      <c r="B428" s="10" t="inlineStr">
        <is>
          <t>FP</t>
        </is>
      </c>
      <c r="C428" s="10" t="inlineStr">
        <is>
          <t>Immune AID  |  Cyanocobalamin (Vitamin B12), Folic Acid (Vitamin B9) (+13 more)</t>
        </is>
      </c>
      <c r="D428" s="10" t="inlineStr">
        <is>
          <t>Friability</t>
        </is>
      </c>
      <c r="E428" s="10">
        <f>IF(A428="","",A428&amp;"|"&amp;D428)</f>
        <v/>
      </c>
      <c r="F428" s="5" t="inlineStr">
        <is>
          <t>Y</t>
        </is>
      </c>
      <c r="G428" s="5" t="inlineStr">
        <is>
          <t>Friabilator</t>
        </is>
      </c>
      <c r="H428" s="5" t="inlineStr">
        <is>
          <t>Low</t>
        </is>
      </c>
      <c r="I428" s="5" t="n">
        <v>1</v>
      </c>
      <c r="J428" s="5" t="n"/>
      <c r="K428" s="10">
        <f>IFERROR(IF(INDEX('Test catalog'!$F$2:$F$200,MATCH($AB428,'Test catalog'!$A$2:$A$200,0))="","",INDEX('Test catalog'!$F$2:$F$200,MATCH($AB428,'Test catalog'!$A$2:$A$200,0))),"")</f>
        <v/>
      </c>
      <c r="L428" s="10">
        <f>IFERROR(IF(INDEX('Test catalog'!$G$2:$G$200,MATCH($AB428,'Test catalog'!$A$2:$A$200,0))="","",INDEX('Test catalog'!$G$2:$G$200,MATCH($AB428,'Test catalog'!$A$2:$A$200,0))),"")</f>
        <v/>
      </c>
      <c r="M428" s="10">
        <f>IFERROR(IF(INDEX('Test catalog'!$H$2:$H$200,MATCH($AB428,'Test catalog'!$A$2:$A$200,0))="","",INDEX('Test catalog'!$H$2:$H$200,MATCH($AB428,'Test catalog'!$A$2:$A$200,0))),"")</f>
        <v/>
      </c>
      <c r="N428" s="10">
        <f>IFERROR(IF(INDEX('Test catalog'!$I$2:$I$200,MATCH($AB428,'Test catalog'!$A$2:$A$200,0))="","",INDEX('Test catalog'!$I$2:$I$200,MATCH($AB428,'Test catalog'!$A$2:$A$200,0))),"")</f>
        <v/>
      </c>
      <c r="O428" s="10">
        <f>IFERROR(IF(INDEX('Test catalog'!$J$2:$J$200,MATCH($AB428,'Test catalog'!$A$2:$A$200,0))="","",INDEX('Test catalog'!$J$2:$J$200,MATCH($AB428,'Test catalog'!$A$2:$A$200,0))),"")</f>
        <v/>
      </c>
      <c r="P428" s="14">
        <f>IF(N428="","",IF(OR(M428="",O428=""),N428,(M428+4*N428+O428)/6))</f>
        <v/>
      </c>
      <c r="Q428" s="10">
        <f>IFERROR(IF(INDEX('Test catalog'!$K$2:$K$200,MATCH($AB428,'Test catalog'!$A$2:$A$200,0))="","",INDEX('Test catalog'!$K$2:$K$200,MATCH($AB428,'Test catalog'!$A$2:$A$200,0))),"")</f>
        <v/>
      </c>
      <c r="R428" s="5" t="n"/>
      <c r="S428" s="10">
        <f>IFERROR(IF(INDEX('Test catalog'!$L$2:$L$200,MATCH($AB428,'Test catalog'!$A$2:$A$200,0))="","",INDEX('Test catalog'!$L$2:$L$200,MATCH($AB428,'Test catalog'!$A$2:$A$200,0))),"")</f>
        <v/>
      </c>
      <c r="T428" s="10">
        <f>IFERROR(IF(INDEX('Test catalog'!$M$2:$M$200,MATCH($AB428,'Test catalog'!$A$2:$A$200,0))="","",INDEX('Test catalog'!$M$2:$M$200,MATCH($AB428,'Test catalog'!$A$2:$A$200,0))),"")</f>
        <v/>
      </c>
      <c r="U428" s="10">
        <f>IFERROR(IF(INDEX('Test catalog'!$N$2:$N$200,MATCH($AB428,'Test catalog'!$A$2:$A$200,0))="","",INDEX('Test catalog'!$N$2:$N$200,MATCH($AB428,'Test catalog'!$A$2:$A$200,0))),"")</f>
        <v/>
      </c>
      <c r="V428" s="15" t="n"/>
      <c r="W428" s="5" t="inlineStr">
        <is>
          <t>N</t>
        </is>
      </c>
      <c r="X428" s="5" t="n"/>
      <c r="Y428" s="5" t="n"/>
      <c r="Z428" s="5" t="n"/>
      <c r="AA428" s="10">
        <f>IFERROR(IF(INDEX('Test catalog'!$O$2:$O$200,MATCH($AB428,'Test catalog'!$A$2:$A$200,0))="","",INDEX('Test catalog'!$O$2:$O$200,MATCH($AB428,'Test catalog'!$A$2:$A$200,0))),"")</f>
        <v/>
      </c>
      <c r="AB428" s="10" t="inlineStr">
        <is>
          <t>FRIAB</t>
        </is>
      </c>
    </row>
    <row r="429">
      <c r="A429" s="10" t="inlineStr">
        <is>
          <t>F57</t>
        </is>
      </c>
      <c r="B429" s="10" t="inlineStr">
        <is>
          <t>FP</t>
        </is>
      </c>
      <c r="C429" s="10" t="inlineStr">
        <is>
          <t>Immune AID  |  Cyanocobalamin (Vitamin B12), Folic Acid (Vitamin B9) (+13 more)</t>
        </is>
      </c>
      <c r="D429" s="10" t="inlineStr">
        <is>
          <t>Disintegration</t>
        </is>
      </c>
      <c r="E429" s="10">
        <f>IF(A429="","",A429&amp;"|"&amp;D429)</f>
        <v/>
      </c>
      <c r="F429" s="5" t="inlineStr">
        <is>
          <t>Y</t>
        </is>
      </c>
      <c r="G429" s="5" t="inlineStr">
        <is>
          <t>Disintegration tester</t>
        </is>
      </c>
      <c r="H429" s="5" t="inlineStr">
        <is>
          <t>Low</t>
        </is>
      </c>
      <c r="I429" s="5" t="n">
        <v>1</v>
      </c>
      <c r="J429" s="5" t="n"/>
      <c r="K429" s="10">
        <f>IFERROR(IF(INDEX('Test catalog'!$F$2:$F$200,MATCH($AB429,'Test catalog'!$A$2:$A$200,0))="","",INDEX('Test catalog'!$F$2:$F$200,MATCH($AB429,'Test catalog'!$A$2:$A$200,0))),"")</f>
        <v/>
      </c>
      <c r="L429" s="10">
        <f>IFERROR(IF(INDEX('Test catalog'!$G$2:$G$200,MATCH($AB429,'Test catalog'!$A$2:$A$200,0))="","",INDEX('Test catalog'!$G$2:$G$200,MATCH($AB429,'Test catalog'!$A$2:$A$200,0))),"")</f>
        <v/>
      </c>
      <c r="M429" s="10">
        <f>IFERROR(IF(INDEX('Test catalog'!$H$2:$H$200,MATCH($AB429,'Test catalog'!$A$2:$A$200,0))="","",INDEX('Test catalog'!$H$2:$H$200,MATCH($AB429,'Test catalog'!$A$2:$A$200,0))),"")</f>
        <v/>
      </c>
      <c r="N429" s="10">
        <f>IFERROR(IF(INDEX('Test catalog'!$I$2:$I$200,MATCH($AB429,'Test catalog'!$A$2:$A$200,0))="","",INDEX('Test catalog'!$I$2:$I$200,MATCH($AB429,'Test catalog'!$A$2:$A$200,0))),"")</f>
        <v/>
      </c>
      <c r="O429" s="10">
        <f>IFERROR(IF(INDEX('Test catalog'!$J$2:$J$200,MATCH($AB429,'Test catalog'!$A$2:$A$200,0))="","",INDEX('Test catalog'!$J$2:$J$200,MATCH($AB429,'Test catalog'!$A$2:$A$200,0))),"")</f>
        <v/>
      </c>
      <c r="P429" s="14">
        <f>IF(N429="","",IF(OR(M429="",O429=""),N429,(M429+4*N429+O429)/6))</f>
        <v/>
      </c>
      <c r="Q429" s="10">
        <f>IFERROR(IF(INDEX('Test catalog'!$K$2:$K$200,MATCH($AB429,'Test catalog'!$A$2:$A$200,0))="","",INDEX('Test catalog'!$K$2:$K$200,MATCH($AB429,'Test catalog'!$A$2:$A$200,0))),"")</f>
        <v/>
      </c>
      <c r="R429" s="5" t="n"/>
      <c r="S429" s="10">
        <f>IFERROR(IF(INDEX('Test catalog'!$L$2:$L$200,MATCH($AB429,'Test catalog'!$A$2:$A$200,0))="","",INDEX('Test catalog'!$L$2:$L$200,MATCH($AB429,'Test catalog'!$A$2:$A$200,0))),"")</f>
        <v/>
      </c>
      <c r="T429" s="10">
        <f>IFERROR(IF(INDEX('Test catalog'!$M$2:$M$200,MATCH($AB429,'Test catalog'!$A$2:$A$200,0))="","",INDEX('Test catalog'!$M$2:$M$200,MATCH($AB429,'Test catalog'!$A$2:$A$200,0))),"")</f>
        <v/>
      </c>
      <c r="U429" s="10">
        <f>IFERROR(IF(INDEX('Test catalog'!$N$2:$N$200,MATCH($AB429,'Test catalog'!$A$2:$A$200,0))="","",INDEX('Test catalog'!$N$2:$N$200,MATCH($AB429,'Test catalog'!$A$2:$A$200,0))),"")</f>
        <v/>
      </c>
      <c r="V429" s="15" t="n"/>
      <c r="W429" s="5" t="inlineStr">
        <is>
          <t>Y</t>
        </is>
      </c>
      <c r="X429" s="5" t="n"/>
      <c r="Y429" s="5" t="n"/>
      <c r="Z429" s="5" t="n"/>
      <c r="AA429" s="10">
        <f>IFERROR(IF(INDEX('Test catalog'!$O$2:$O$200,MATCH($AB429,'Test catalog'!$A$2:$A$200,0))="","",INDEX('Test catalog'!$O$2:$O$200,MATCH($AB429,'Test catalog'!$A$2:$A$200,0))),"")</f>
        <v/>
      </c>
      <c r="AB429" s="10" t="inlineStr">
        <is>
          <t>DISINT</t>
        </is>
      </c>
    </row>
    <row r="430">
      <c r="A430" s="10" t="inlineStr">
        <is>
          <t>F57</t>
        </is>
      </c>
      <c r="B430" s="10" t="inlineStr">
        <is>
          <t>FP</t>
        </is>
      </c>
      <c r="C430" s="10" t="inlineStr">
        <is>
          <t>Immune AID  |  Cyanocobalamin (Vitamin B12), Folic Acid (Vitamin B9) (+13 more)</t>
        </is>
      </c>
      <c r="D430" s="10" t="inlineStr">
        <is>
          <t>In-process check at the machine (one check, all its tests)</t>
        </is>
      </c>
      <c r="E430" s="10">
        <f>IF(A430="","",A430&amp;"|"&amp;D430)</f>
        <v/>
      </c>
      <c r="F430" s="5" t="inlineStr">
        <is>
          <t>Y</t>
        </is>
      </c>
      <c r="G430" s="5" t="inlineStr">
        <is>
          <t>Tablet tester</t>
        </is>
      </c>
      <c r="H430" s="5" t="inlineStr">
        <is>
          <t>Low</t>
        </is>
      </c>
      <c r="I430" s="5" t="n">
        <v>1</v>
      </c>
      <c r="J430" s="5" t="n"/>
      <c r="K430" s="10">
        <f>IFERROR(IF(INDEX('Test catalog'!$F$2:$F$200,MATCH($AB430,'Test catalog'!$A$2:$A$200,0))="","",INDEX('Test catalog'!$F$2:$F$200,MATCH($AB430,'Test catalog'!$A$2:$A$200,0))),"")</f>
        <v/>
      </c>
      <c r="L430" s="10">
        <f>IFERROR(IF(INDEX('Test catalog'!$G$2:$G$200,MATCH($AB430,'Test catalog'!$A$2:$A$200,0))="","",INDEX('Test catalog'!$G$2:$G$200,MATCH($AB430,'Test catalog'!$A$2:$A$200,0))),"")</f>
        <v/>
      </c>
      <c r="M430" s="10">
        <f>IFERROR(IF(INDEX('Test catalog'!$H$2:$H$200,MATCH($AB430,'Test catalog'!$A$2:$A$200,0))="","",INDEX('Test catalog'!$H$2:$H$200,MATCH($AB430,'Test catalog'!$A$2:$A$200,0))),"")</f>
        <v/>
      </c>
      <c r="N430" s="10">
        <f>IFERROR(IF(INDEX('Test catalog'!$I$2:$I$200,MATCH($AB430,'Test catalog'!$A$2:$A$200,0))="","",INDEX('Test catalog'!$I$2:$I$200,MATCH($AB430,'Test catalog'!$A$2:$A$200,0))),"")</f>
        <v/>
      </c>
      <c r="O430" s="10">
        <f>IFERROR(IF(INDEX('Test catalog'!$J$2:$J$200,MATCH($AB430,'Test catalog'!$A$2:$A$200,0))="","",INDEX('Test catalog'!$J$2:$J$200,MATCH($AB430,'Test catalog'!$A$2:$A$200,0))),"")</f>
        <v/>
      </c>
      <c r="P430" s="14">
        <f>IF(N430="","",IF(OR(M430="",O430=""),N430,(M430+4*N430+O430)/6))</f>
        <v/>
      </c>
      <c r="Q430" s="10">
        <f>IFERROR(IF(INDEX('Test catalog'!$K$2:$K$200,MATCH($AB430,'Test catalog'!$A$2:$A$200,0))="","",INDEX('Test catalog'!$K$2:$K$200,MATCH($AB430,'Test catalog'!$A$2:$A$200,0))),"")</f>
        <v/>
      </c>
      <c r="R430" s="5" t="n"/>
      <c r="S430" s="10">
        <f>IFERROR(IF(INDEX('Test catalog'!$L$2:$L$200,MATCH($AB430,'Test catalog'!$A$2:$A$200,0))="","",INDEX('Test catalog'!$L$2:$L$200,MATCH($AB430,'Test catalog'!$A$2:$A$200,0))),"")</f>
        <v/>
      </c>
      <c r="T430" s="10">
        <f>IFERROR(IF(INDEX('Test catalog'!$M$2:$M$200,MATCH($AB430,'Test catalog'!$A$2:$A$200,0))="","",INDEX('Test catalog'!$M$2:$M$200,MATCH($AB430,'Test catalog'!$A$2:$A$200,0))),"")</f>
        <v/>
      </c>
      <c r="U430" s="10">
        <f>IFERROR(IF(INDEX('Test catalog'!$N$2:$N$200,MATCH($AB430,'Test catalog'!$A$2:$A$200,0))="","",INDEX('Test catalog'!$N$2:$N$200,MATCH($AB430,'Test catalog'!$A$2:$A$200,0))),"")</f>
        <v/>
      </c>
      <c r="V430" s="15" t="n"/>
      <c r="W430" s="5" t="inlineStr">
        <is>
          <t>N</t>
        </is>
      </c>
      <c r="X430" s="5" t="n"/>
      <c r="Y430" s="5" t="n"/>
      <c r="Z430" s="5" t="n"/>
      <c r="AA430" s="10">
        <f>IFERROR(IF(INDEX('Test catalog'!$O$2:$O$200,MATCH($AB430,'Test catalog'!$A$2:$A$200,0))="","",INDEX('Test catalog'!$O$2:$O$200,MATCH($AB430,'Test catalog'!$A$2:$A$200,0))),"")</f>
        <v/>
      </c>
      <c r="AB430" s="10" t="inlineStr">
        <is>
          <t>IPC</t>
        </is>
      </c>
    </row>
    <row r="431">
      <c r="A431" s="10" t="inlineStr">
        <is>
          <t>F58</t>
        </is>
      </c>
      <c r="B431" s="10" t="inlineStr">
        <is>
          <t>FP</t>
        </is>
      </c>
      <c r="C431" s="10" t="inlineStr">
        <is>
          <t>Immune AID Direct  |  Cyanocobalamin (Vitamin B12), Thiamine Hydrochloride (Vitamin B1) (+14 more)</t>
        </is>
      </c>
      <c r="D431" s="10" t="inlineStr">
        <is>
          <t>Average weight / uniformity of mass</t>
        </is>
      </c>
      <c r="E431" s="10">
        <f>IF(A431="","",A431&amp;"|"&amp;D431)</f>
        <v/>
      </c>
      <c r="F431" s="5" t="inlineStr">
        <is>
          <t>Y</t>
        </is>
      </c>
      <c r="G431" s="5" t="inlineStr">
        <is>
          <t>Balance</t>
        </is>
      </c>
      <c r="H431" s="5" t="inlineStr">
        <is>
          <t>Low</t>
        </is>
      </c>
      <c r="I431" s="5" t="n">
        <v>1</v>
      </c>
      <c r="J431" s="5" t="n"/>
      <c r="K431" s="10">
        <f>IFERROR(IF(INDEX('Test catalog'!$F$2:$F$200,MATCH($AB431,'Test catalog'!$A$2:$A$200,0))="","",INDEX('Test catalog'!$F$2:$F$200,MATCH($AB431,'Test catalog'!$A$2:$A$200,0))),"")</f>
        <v/>
      </c>
      <c r="L431" s="10">
        <f>IFERROR(IF(INDEX('Test catalog'!$G$2:$G$200,MATCH($AB431,'Test catalog'!$A$2:$A$200,0))="","",INDEX('Test catalog'!$G$2:$G$200,MATCH($AB431,'Test catalog'!$A$2:$A$200,0))),"")</f>
        <v/>
      </c>
      <c r="M431" s="10">
        <f>IFERROR(IF(INDEX('Test catalog'!$H$2:$H$200,MATCH($AB431,'Test catalog'!$A$2:$A$200,0))="","",INDEX('Test catalog'!$H$2:$H$200,MATCH($AB431,'Test catalog'!$A$2:$A$200,0))),"")</f>
        <v/>
      </c>
      <c r="N431" s="10">
        <f>IFERROR(IF(INDEX('Test catalog'!$I$2:$I$200,MATCH($AB431,'Test catalog'!$A$2:$A$200,0))="","",INDEX('Test catalog'!$I$2:$I$200,MATCH($AB431,'Test catalog'!$A$2:$A$200,0))),"")</f>
        <v/>
      </c>
      <c r="O431" s="10">
        <f>IFERROR(IF(INDEX('Test catalog'!$J$2:$J$200,MATCH($AB431,'Test catalog'!$A$2:$A$200,0))="","",INDEX('Test catalog'!$J$2:$J$200,MATCH($AB431,'Test catalog'!$A$2:$A$200,0))),"")</f>
        <v/>
      </c>
      <c r="P431" s="14">
        <f>IF(N431="","",IF(OR(M431="",O431=""),N431,(M431+4*N431+O431)/6))</f>
        <v/>
      </c>
      <c r="Q431" s="10">
        <f>IFERROR(IF(INDEX('Test catalog'!$K$2:$K$200,MATCH($AB431,'Test catalog'!$A$2:$A$200,0))="","",INDEX('Test catalog'!$K$2:$K$200,MATCH($AB431,'Test catalog'!$A$2:$A$200,0))),"")</f>
        <v/>
      </c>
      <c r="R431" s="5" t="n"/>
      <c r="S431" s="10">
        <f>IFERROR(IF(INDEX('Test catalog'!$L$2:$L$200,MATCH($AB431,'Test catalog'!$A$2:$A$200,0))="","",INDEX('Test catalog'!$L$2:$L$200,MATCH($AB431,'Test catalog'!$A$2:$A$200,0))),"")</f>
        <v/>
      </c>
      <c r="T431" s="10">
        <f>IFERROR(IF(INDEX('Test catalog'!$M$2:$M$200,MATCH($AB431,'Test catalog'!$A$2:$A$200,0))="","",INDEX('Test catalog'!$M$2:$M$200,MATCH($AB431,'Test catalog'!$A$2:$A$200,0))),"")</f>
        <v/>
      </c>
      <c r="U431" s="10">
        <f>IFERROR(IF(INDEX('Test catalog'!$N$2:$N$200,MATCH($AB431,'Test catalog'!$A$2:$A$200,0))="","",INDEX('Test catalog'!$N$2:$N$200,MATCH($AB431,'Test catalog'!$A$2:$A$200,0))),"")</f>
        <v/>
      </c>
      <c r="V431" s="15" t="n"/>
      <c r="W431" s="5" t="inlineStr">
        <is>
          <t>N</t>
        </is>
      </c>
      <c r="X431" s="5" t="n"/>
      <c r="Y431" s="5" t="n"/>
      <c r="Z431" s="5" t="n"/>
      <c r="AA431" s="10">
        <f>IFERROR(IF(INDEX('Test catalog'!$O$2:$O$200,MATCH($AB431,'Test catalog'!$A$2:$A$200,0))="","",INDEX('Test catalog'!$O$2:$O$200,MATCH($AB431,'Test catalog'!$A$2:$A$200,0))),"")</f>
        <v/>
      </c>
      <c r="AB431" s="10" t="inlineStr">
        <is>
          <t>AVG_WT</t>
        </is>
      </c>
    </row>
    <row r="432">
      <c r="A432" s="10" t="inlineStr">
        <is>
          <t>F58</t>
        </is>
      </c>
      <c r="B432" s="10" t="inlineStr">
        <is>
          <t>FP</t>
        </is>
      </c>
      <c r="C432" s="10" t="inlineStr">
        <is>
          <t>Immune AID Direct  |  Cyanocobalamin (Vitamin B12), Thiamine Hydrochloride (Vitamin B1) (+14 more)</t>
        </is>
      </c>
      <c r="D432" s="10" t="inlineStr">
        <is>
          <t>Diameter (or length / width)</t>
        </is>
      </c>
      <c r="E432" s="10">
        <f>IF(A432="","",A432&amp;"|"&amp;D432)</f>
        <v/>
      </c>
      <c r="F432" s="5" t="inlineStr">
        <is>
          <t>Y</t>
        </is>
      </c>
      <c r="G432" s="5" t="inlineStr">
        <is>
          <t>Tablet tester</t>
        </is>
      </c>
      <c r="H432" s="5" t="inlineStr">
        <is>
          <t>Low</t>
        </is>
      </c>
      <c r="I432" s="5" t="n">
        <v>1</v>
      </c>
      <c r="J432" s="5" t="n"/>
      <c r="K432" s="10">
        <f>IFERROR(IF(INDEX('Test catalog'!$F$2:$F$200,MATCH($AB432,'Test catalog'!$A$2:$A$200,0))="","",INDEX('Test catalog'!$F$2:$F$200,MATCH($AB432,'Test catalog'!$A$2:$A$200,0))),"")</f>
        <v/>
      </c>
      <c r="L432" s="10">
        <f>IFERROR(IF(INDEX('Test catalog'!$G$2:$G$200,MATCH($AB432,'Test catalog'!$A$2:$A$200,0))="","",INDEX('Test catalog'!$G$2:$G$200,MATCH($AB432,'Test catalog'!$A$2:$A$200,0))),"")</f>
        <v/>
      </c>
      <c r="M432" s="10">
        <f>IFERROR(IF(INDEX('Test catalog'!$H$2:$H$200,MATCH($AB432,'Test catalog'!$A$2:$A$200,0))="","",INDEX('Test catalog'!$H$2:$H$200,MATCH($AB432,'Test catalog'!$A$2:$A$200,0))),"")</f>
        <v/>
      </c>
      <c r="N432" s="10">
        <f>IFERROR(IF(INDEX('Test catalog'!$I$2:$I$200,MATCH($AB432,'Test catalog'!$A$2:$A$200,0))="","",INDEX('Test catalog'!$I$2:$I$200,MATCH($AB432,'Test catalog'!$A$2:$A$200,0))),"")</f>
        <v/>
      </c>
      <c r="O432" s="10">
        <f>IFERROR(IF(INDEX('Test catalog'!$J$2:$J$200,MATCH($AB432,'Test catalog'!$A$2:$A$200,0))="","",INDEX('Test catalog'!$J$2:$J$200,MATCH($AB432,'Test catalog'!$A$2:$A$200,0))),"")</f>
        <v/>
      </c>
      <c r="P432" s="14">
        <f>IF(N432="","",IF(OR(M432="",O432=""),N432,(M432+4*N432+O432)/6))</f>
        <v/>
      </c>
      <c r="Q432" s="10">
        <f>IFERROR(IF(INDEX('Test catalog'!$K$2:$K$200,MATCH($AB432,'Test catalog'!$A$2:$A$200,0))="","",INDEX('Test catalog'!$K$2:$K$200,MATCH($AB432,'Test catalog'!$A$2:$A$200,0))),"")</f>
        <v/>
      </c>
      <c r="R432" s="5" t="n"/>
      <c r="S432" s="10">
        <f>IFERROR(IF(INDEX('Test catalog'!$L$2:$L$200,MATCH($AB432,'Test catalog'!$A$2:$A$200,0))="","",INDEX('Test catalog'!$L$2:$L$200,MATCH($AB432,'Test catalog'!$A$2:$A$200,0))),"")</f>
        <v/>
      </c>
      <c r="T432" s="10">
        <f>IFERROR(IF(INDEX('Test catalog'!$M$2:$M$200,MATCH($AB432,'Test catalog'!$A$2:$A$200,0))="","",INDEX('Test catalog'!$M$2:$M$200,MATCH($AB432,'Test catalog'!$A$2:$A$200,0))),"")</f>
        <v/>
      </c>
      <c r="U432" s="10">
        <f>IFERROR(IF(INDEX('Test catalog'!$N$2:$N$200,MATCH($AB432,'Test catalog'!$A$2:$A$200,0))="","",INDEX('Test catalog'!$N$2:$N$200,MATCH($AB432,'Test catalog'!$A$2:$A$200,0))),"")</f>
        <v/>
      </c>
      <c r="V432" s="15" t="n"/>
      <c r="W432" s="5" t="inlineStr">
        <is>
          <t>N</t>
        </is>
      </c>
      <c r="X432" s="5" t="n"/>
      <c r="Y432" s="5" t="n"/>
      <c r="Z432" s="5" t="n"/>
      <c r="AA432" s="10">
        <f>IFERROR(IF(INDEX('Test catalog'!$O$2:$O$200,MATCH($AB432,'Test catalog'!$A$2:$A$200,0))="","",INDEX('Test catalog'!$O$2:$O$200,MATCH($AB432,'Test catalog'!$A$2:$A$200,0))),"")</f>
        <v/>
      </c>
      <c r="AB432" s="10" t="inlineStr">
        <is>
          <t>DIAM</t>
        </is>
      </c>
    </row>
    <row r="433">
      <c r="A433" s="10" t="inlineStr">
        <is>
          <t>F58</t>
        </is>
      </c>
      <c r="B433" s="10" t="inlineStr">
        <is>
          <t>FP</t>
        </is>
      </c>
      <c r="C433" s="10" t="inlineStr">
        <is>
          <t>Immune AID Direct  |  Cyanocobalamin (Vitamin B12), Thiamine Hydrochloride (Vitamin B1) (+14 more)</t>
        </is>
      </c>
      <c r="D433" s="10" t="inlineStr">
        <is>
          <t>Thickness</t>
        </is>
      </c>
      <c r="E433" s="10">
        <f>IF(A433="","",A433&amp;"|"&amp;D433)</f>
        <v/>
      </c>
      <c r="F433" s="5" t="inlineStr">
        <is>
          <t>Y</t>
        </is>
      </c>
      <c r="G433" s="5" t="inlineStr">
        <is>
          <t>Tablet tester</t>
        </is>
      </c>
      <c r="H433" s="5" t="inlineStr">
        <is>
          <t>Low</t>
        </is>
      </c>
      <c r="I433" s="5" t="n">
        <v>1</v>
      </c>
      <c r="J433" s="5" t="n"/>
      <c r="K433" s="10">
        <f>IFERROR(IF(INDEX('Test catalog'!$F$2:$F$200,MATCH($AB433,'Test catalog'!$A$2:$A$200,0))="","",INDEX('Test catalog'!$F$2:$F$200,MATCH($AB433,'Test catalog'!$A$2:$A$200,0))),"")</f>
        <v/>
      </c>
      <c r="L433" s="10">
        <f>IFERROR(IF(INDEX('Test catalog'!$G$2:$G$200,MATCH($AB433,'Test catalog'!$A$2:$A$200,0))="","",INDEX('Test catalog'!$G$2:$G$200,MATCH($AB433,'Test catalog'!$A$2:$A$200,0))),"")</f>
        <v/>
      </c>
      <c r="M433" s="10">
        <f>IFERROR(IF(INDEX('Test catalog'!$H$2:$H$200,MATCH($AB433,'Test catalog'!$A$2:$A$200,0))="","",INDEX('Test catalog'!$H$2:$H$200,MATCH($AB433,'Test catalog'!$A$2:$A$200,0))),"")</f>
        <v/>
      </c>
      <c r="N433" s="10">
        <f>IFERROR(IF(INDEX('Test catalog'!$I$2:$I$200,MATCH($AB433,'Test catalog'!$A$2:$A$200,0))="","",INDEX('Test catalog'!$I$2:$I$200,MATCH($AB433,'Test catalog'!$A$2:$A$200,0))),"")</f>
        <v/>
      </c>
      <c r="O433" s="10">
        <f>IFERROR(IF(INDEX('Test catalog'!$J$2:$J$200,MATCH($AB433,'Test catalog'!$A$2:$A$200,0))="","",INDEX('Test catalog'!$J$2:$J$200,MATCH($AB433,'Test catalog'!$A$2:$A$200,0))),"")</f>
        <v/>
      </c>
      <c r="P433" s="14">
        <f>IF(N433="","",IF(OR(M433="",O433=""),N433,(M433+4*N433+O433)/6))</f>
        <v/>
      </c>
      <c r="Q433" s="10">
        <f>IFERROR(IF(INDEX('Test catalog'!$K$2:$K$200,MATCH($AB433,'Test catalog'!$A$2:$A$200,0))="","",INDEX('Test catalog'!$K$2:$K$200,MATCH($AB433,'Test catalog'!$A$2:$A$200,0))),"")</f>
        <v/>
      </c>
      <c r="R433" s="5" t="n"/>
      <c r="S433" s="10">
        <f>IFERROR(IF(INDEX('Test catalog'!$L$2:$L$200,MATCH($AB433,'Test catalog'!$A$2:$A$200,0))="","",INDEX('Test catalog'!$L$2:$L$200,MATCH($AB433,'Test catalog'!$A$2:$A$200,0))),"")</f>
        <v/>
      </c>
      <c r="T433" s="10">
        <f>IFERROR(IF(INDEX('Test catalog'!$M$2:$M$200,MATCH($AB433,'Test catalog'!$A$2:$A$200,0))="","",INDEX('Test catalog'!$M$2:$M$200,MATCH($AB433,'Test catalog'!$A$2:$A$200,0))),"")</f>
        <v/>
      </c>
      <c r="U433" s="10">
        <f>IFERROR(IF(INDEX('Test catalog'!$N$2:$N$200,MATCH($AB433,'Test catalog'!$A$2:$A$200,0))="","",INDEX('Test catalog'!$N$2:$N$200,MATCH($AB433,'Test catalog'!$A$2:$A$200,0))),"")</f>
        <v/>
      </c>
      <c r="V433" s="15" t="n"/>
      <c r="W433" s="5" t="inlineStr">
        <is>
          <t>N</t>
        </is>
      </c>
      <c r="X433" s="5" t="n"/>
      <c r="Y433" s="5" t="n"/>
      <c r="Z433" s="5" t="n"/>
      <c r="AA433" s="10">
        <f>IFERROR(IF(INDEX('Test catalog'!$O$2:$O$200,MATCH($AB433,'Test catalog'!$A$2:$A$200,0))="","",INDEX('Test catalog'!$O$2:$O$200,MATCH($AB433,'Test catalog'!$A$2:$A$200,0))),"")</f>
        <v/>
      </c>
      <c r="AB433" s="10" t="inlineStr">
        <is>
          <t>THICK</t>
        </is>
      </c>
    </row>
    <row r="434">
      <c r="A434" s="10" t="inlineStr">
        <is>
          <t>F58</t>
        </is>
      </c>
      <c r="B434" s="10" t="inlineStr">
        <is>
          <t>FP</t>
        </is>
      </c>
      <c r="C434" s="10" t="inlineStr">
        <is>
          <t>Immune AID Direct  |  Cyanocobalamin (Vitamin B12), Thiamine Hydrochloride (Vitamin B1) (+14 more)</t>
        </is>
      </c>
      <c r="D434" s="10" t="inlineStr">
        <is>
          <t>Hardness / breaking force</t>
        </is>
      </c>
      <c r="E434" s="10">
        <f>IF(A434="","",A434&amp;"|"&amp;D434)</f>
        <v/>
      </c>
      <c r="F434" s="5" t="inlineStr">
        <is>
          <t>Y</t>
        </is>
      </c>
      <c r="G434" s="5" t="inlineStr">
        <is>
          <t>Tablet tester</t>
        </is>
      </c>
      <c r="H434" s="5" t="inlineStr">
        <is>
          <t>Low</t>
        </is>
      </c>
      <c r="I434" s="5" t="n">
        <v>1</v>
      </c>
      <c r="J434" s="5" t="n"/>
      <c r="K434" s="10">
        <f>IFERROR(IF(INDEX('Test catalog'!$F$2:$F$200,MATCH($AB434,'Test catalog'!$A$2:$A$200,0))="","",INDEX('Test catalog'!$F$2:$F$200,MATCH($AB434,'Test catalog'!$A$2:$A$200,0))),"")</f>
        <v/>
      </c>
      <c r="L434" s="10">
        <f>IFERROR(IF(INDEX('Test catalog'!$G$2:$G$200,MATCH($AB434,'Test catalog'!$A$2:$A$200,0))="","",INDEX('Test catalog'!$G$2:$G$200,MATCH($AB434,'Test catalog'!$A$2:$A$200,0))),"")</f>
        <v/>
      </c>
      <c r="M434" s="10">
        <f>IFERROR(IF(INDEX('Test catalog'!$H$2:$H$200,MATCH($AB434,'Test catalog'!$A$2:$A$200,0))="","",INDEX('Test catalog'!$H$2:$H$200,MATCH($AB434,'Test catalog'!$A$2:$A$200,0))),"")</f>
        <v/>
      </c>
      <c r="N434" s="10">
        <f>IFERROR(IF(INDEX('Test catalog'!$I$2:$I$200,MATCH($AB434,'Test catalog'!$A$2:$A$200,0))="","",INDEX('Test catalog'!$I$2:$I$200,MATCH($AB434,'Test catalog'!$A$2:$A$200,0))),"")</f>
        <v/>
      </c>
      <c r="O434" s="10">
        <f>IFERROR(IF(INDEX('Test catalog'!$J$2:$J$200,MATCH($AB434,'Test catalog'!$A$2:$A$200,0))="","",INDEX('Test catalog'!$J$2:$J$200,MATCH($AB434,'Test catalog'!$A$2:$A$200,0))),"")</f>
        <v/>
      </c>
      <c r="P434" s="14">
        <f>IF(N434="","",IF(OR(M434="",O434=""),N434,(M434+4*N434+O434)/6))</f>
        <v/>
      </c>
      <c r="Q434" s="10">
        <f>IFERROR(IF(INDEX('Test catalog'!$K$2:$K$200,MATCH($AB434,'Test catalog'!$A$2:$A$200,0))="","",INDEX('Test catalog'!$K$2:$K$200,MATCH($AB434,'Test catalog'!$A$2:$A$200,0))),"")</f>
        <v/>
      </c>
      <c r="R434" s="5" t="n"/>
      <c r="S434" s="10">
        <f>IFERROR(IF(INDEX('Test catalog'!$L$2:$L$200,MATCH($AB434,'Test catalog'!$A$2:$A$200,0))="","",INDEX('Test catalog'!$L$2:$L$200,MATCH($AB434,'Test catalog'!$A$2:$A$200,0))),"")</f>
        <v/>
      </c>
      <c r="T434" s="10">
        <f>IFERROR(IF(INDEX('Test catalog'!$M$2:$M$200,MATCH($AB434,'Test catalog'!$A$2:$A$200,0))="","",INDEX('Test catalog'!$M$2:$M$200,MATCH($AB434,'Test catalog'!$A$2:$A$200,0))),"")</f>
        <v/>
      </c>
      <c r="U434" s="10">
        <f>IFERROR(IF(INDEX('Test catalog'!$N$2:$N$200,MATCH($AB434,'Test catalog'!$A$2:$A$200,0))="","",INDEX('Test catalog'!$N$2:$N$200,MATCH($AB434,'Test catalog'!$A$2:$A$200,0))),"")</f>
        <v/>
      </c>
      <c r="V434" s="15" t="n"/>
      <c r="W434" s="5" t="inlineStr">
        <is>
          <t>Y</t>
        </is>
      </c>
      <c r="X434" s="5" t="n"/>
      <c r="Y434" s="5" t="n"/>
      <c r="Z434" s="5" t="n"/>
      <c r="AA434" s="10">
        <f>IFERROR(IF(INDEX('Test catalog'!$O$2:$O$200,MATCH($AB434,'Test catalog'!$A$2:$A$200,0))="","",INDEX('Test catalog'!$O$2:$O$200,MATCH($AB434,'Test catalog'!$A$2:$A$200,0))),"")</f>
        <v/>
      </c>
      <c r="AB434" s="10" t="inlineStr">
        <is>
          <t>HARD</t>
        </is>
      </c>
    </row>
    <row r="435">
      <c r="A435" s="10" t="inlineStr">
        <is>
          <t>F58</t>
        </is>
      </c>
      <c r="B435" s="10" t="inlineStr">
        <is>
          <t>FP</t>
        </is>
      </c>
      <c r="C435" s="10" t="inlineStr">
        <is>
          <t>Immune AID Direct  |  Cyanocobalamin (Vitamin B12), Thiamine Hydrochloride (Vitamin B1) (+14 more)</t>
        </is>
      </c>
      <c r="D435" s="10" t="inlineStr">
        <is>
          <t>Brittleness</t>
        </is>
      </c>
      <c r="E435" s="10">
        <f>IF(A435="","",A435&amp;"|"&amp;D435)</f>
        <v/>
      </c>
      <c r="F435" s="5" t="inlineStr">
        <is>
          <t>Y</t>
        </is>
      </c>
      <c r="G435" s="5" t="inlineStr">
        <is>
          <t>Other / bench</t>
        </is>
      </c>
      <c r="H435" s="5" t="inlineStr">
        <is>
          <t>Low</t>
        </is>
      </c>
      <c r="I435" s="5" t="n">
        <v>1</v>
      </c>
      <c r="J435" s="5" t="n"/>
      <c r="K435" s="10">
        <f>IFERROR(IF(INDEX('Test catalog'!$F$2:$F$200,MATCH($AB435,'Test catalog'!$A$2:$A$200,0))="","",INDEX('Test catalog'!$F$2:$F$200,MATCH($AB435,'Test catalog'!$A$2:$A$200,0))),"")</f>
        <v/>
      </c>
      <c r="L435" s="10">
        <f>IFERROR(IF(INDEX('Test catalog'!$G$2:$G$200,MATCH($AB435,'Test catalog'!$A$2:$A$200,0))="","",INDEX('Test catalog'!$G$2:$G$200,MATCH($AB435,'Test catalog'!$A$2:$A$200,0))),"")</f>
        <v/>
      </c>
      <c r="M435" s="10">
        <f>IFERROR(IF(INDEX('Test catalog'!$H$2:$H$200,MATCH($AB435,'Test catalog'!$A$2:$A$200,0))="","",INDEX('Test catalog'!$H$2:$H$200,MATCH($AB435,'Test catalog'!$A$2:$A$200,0))),"")</f>
        <v/>
      </c>
      <c r="N435" s="10">
        <f>IFERROR(IF(INDEX('Test catalog'!$I$2:$I$200,MATCH($AB435,'Test catalog'!$A$2:$A$200,0))="","",INDEX('Test catalog'!$I$2:$I$200,MATCH($AB435,'Test catalog'!$A$2:$A$200,0))),"")</f>
        <v/>
      </c>
      <c r="O435" s="10">
        <f>IFERROR(IF(INDEX('Test catalog'!$J$2:$J$200,MATCH($AB435,'Test catalog'!$A$2:$A$200,0))="","",INDEX('Test catalog'!$J$2:$J$200,MATCH($AB435,'Test catalog'!$A$2:$A$200,0))),"")</f>
        <v/>
      </c>
      <c r="P435" s="14">
        <f>IF(N435="","",IF(OR(M435="",O435=""),N435,(M435+4*N435+O435)/6))</f>
        <v/>
      </c>
      <c r="Q435" s="10">
        <f>IFERROR(IF(INDEX('Test catalog'!$K$2:$K$200,MATCH($AB435,'Test catalog'!$A$2:$A$200,0))="","",INDEX('Test catalog'!$K$2:$K$200,MATCH($AB435,'Test catalog'!$A$2:$A$200,0))),"")</f>
        <v/>
      </c>
      <c r="R435" s="5" t="n"/>
      <c r="S435" s="10">
        <f>IFERROR(IF(INDEX('Test catalog'!$L$2:$L$200,MATCH($AB435,'Test catalog'!$A$2:$A$200,0))="","",INDEX('Test catalog'!$L$2:$L$200,MATCH($AB435,'Test catalog'!$A$2:$A$200,0))),"")</f>
        <v/>
      </c>
      <c r="T435" s="10">
        <f>IFERROR(IF(INDEX('Test catalog'!$M$2:$M$200,MATCH($AB435,'Test catalog'!$A$2:$A$200,0))="","",INDEX('Test catalog'!$M$2:$M$200,MATCH($AB435,'Test catalog'!$A$2:$A$200,0))),"")</f>
        <v/>
      </c>
      <c r="U435" s="10">
        <f>IFERROR(IF(INDEX('Test catalog'!$N$2:$N$200,MATCH($AB435,'Test catalog'!$A$2:$A$200,0))="","",INDEX('Test catalog'!$N$2:$N$200,MATCH($AB435,'Test catalog'!$A$2:$A$200,0))),"")</f>
        <v/>
      </c>
      <c r="V435" s="15" t="n"/>
      <c r="W435" s="5" t="inlineStr">
        <is>
          <t>N</t>
        </is>
      </c>
      <c r="X435" s="5" t="n"/>
      <c r="Y435" s="5" t="n"/>
      <c r="Z435" s="5" t="n"/>
      <c r="AA435" s="10">
        <f>IFERROR(IF(INDEX('Test catalog'!$O$2:$O$200,MATCH($AB435,'Test catalog'!$A$2:$A$200,0))="","",INDEX('Test catalog'!$O$2:$O$200,MATCH($AB435,'Test catalog'!$A$2:$A$200,0))),"")</f>
        <v/>
      </c>
      <c r="AB435" s="10" t="inlineStr">
        <is>
          <t>BRITTLE</t>
        </is>
      </c>
    </row>
    <row r="436">
      <c r="A436" s="10" t="inlineStr">
        <is>
          <t>F58</t>
        </is>
      </c>
      <c r="B436" s="10" t="inlineStr">
        <is>
          <t>FP</t>
        </is>
      </c>
      <c r="C436" s="10" t="inlineStr">
        <is>
          <t>Immune AID Direct  |  Cyanocobalamin (Vitamin B12), Thiamine Hydrochloride (Vitamin B1) (+14 more)</t>
        </is>
      </c>
      <c r="D436" s="10" t="inlineStr">
        <is>
          <t>Friability</t>
        </is>
      </c>
      <c r="E436" s="10">
        <f>IF(A436="","",A436&amp;"|"&amp;D436)</f>
        <v/>
      </c>
      <c r="F436" s="5" t="inlineStr">
        <is>
          <t>Y</t>
        </is>
      </c>
      <c r="G436" s="5" t="inlineStr">
        <is>
          <t>Friabilator</t>
        </is>
      </c>
      <c r="H436" s="5" t="inlineStr">
        <is>
          <t>Low</t>
        </is>
      </c>
      <c r="I436" s="5" t="n">
        <v>1</v>
      </c>
      <c r="J436" s="5" t="n"/>
      <c r="K436" s="10">
        <f>IFERROR(IF(INDEX('Test catalog'!$F$2:$F$200,MATCH($AB436,'Test catalog'!$A$2:$A$200,0))="","",INDEX('Test catalog'!$F$2:$F$200,MATCH($AB436,'Test catalog'!$A$2:$A$200,0))),"")</f>
        <v/>
      </c>
      <c r="L436" s="10">
        <f>IFERROR(IF(INDEX('Test catalog'!$G$2:$G$200,MATCH($AB436,'Test catalog'!$A$2:$A$200,0))="","",INDEX('Test catalog'!$G$2:$G$200,MATCH($AB436,'Test catalog'!$A$2:$A$200,0))),"")</f>
        <v/>
      </c>
      <c r="M436" s="10">
        <f>IFERROR(IF(INDEX('Test catalog'!$H$2:$H$200,MATCH($AB436,'Test catalog'!$A$2:$A$200,0))="","",INDEX('Test catalog'!$H$2:$H$200,MATCH($AB436,'Test catalog'!$A$2:$A$200,0))),"")</f>
        <v/>
      </c>
      <c r="N436" s="10">
        <f>IFERROR(IF(INDEX('Test catalog'!$I$2:$I$200,MATCH($AB436,'Test catalog'!$A$2:$A$200,0))="","",INDEX('Test catalog'!$I$2:$I$200,MATCH($AB436,'Test catalog'!$A$2:$A$200,0))),"")</f>
        <v/>
      </c>
      <c r="O436" s="10">
        <f>IFERROR(IF(INDEX('Test catalog'!$J$2:$J$200,MATCH($AB436,'Test catalog'!$A$2:$A$200,0))="","",INDEX('Test catalog'!$J$2:$J$200,MATCH($AB436,'Test catalog'!$A$2:$A$200,0))),"")</f>
        <v/>
      </c>
      <c r="P436" s="14">
        <f>IF(N436="","",IF(OR(M436="",O436=""),N436,(M436+4*N436+O436)/6))</f>
        <v/>
      </c>
      <c r="Q436" s="10">
        <f>IFERROR(IF(INDEX('Test catalog'!$K$2:$K$200,MATCH($AB436,'Test catalog'!$A$2:$A$200,0))="","",INDEX('Test catalog'!$K$2:$K$200,MATCH($AB436,'Test catalog'!$A$2:$A$200,0))),"")</f>
        <v/>
      </c>
      <c r="R436" s="5" t="n"/>
      <c r="S436" s="10">
        <f>IFERROR(IF(INDEX('Test catalog'!$L$2:$L$200,MATCH($AB436,'Test catalog'!$A$2:$A$200,0))="","",INDEX('Test catalog'!$L$2:$L$200,MATCH($AB436,'Test catalog'!$A$2:$A$200,0))),"")</f>
        <v/>
      </c>
      <c r="T436" s="10">
        <f>IFERROR(IF(INDEX('Test catalog'!$M$2:$M$200,MATCH($AB436,'Test catalog'!$A$2:$A$200,0))="","",INDEX('Test catalog'!$M$2:$M$200,MATCH($AB436,'Test catalog'!$A$2:$A$200,0))),"")</f>
        <v/>
      </c>
      <c r="U436" s="10">
        <f>IFERROR(IF(INDEX('Test catalog'!$N$2:$N$200,MATCH($AB436,'Test catalog'!$A$2:$A$200,0))="","",INDEX('Test catalog'!$N$2:$N$200,MATCH($AB436,'Test catalog'!$A$2:$A$200,0))),"")</f>
        <v/>
      </c>
      <c r="V436" s="15" t="n"/>
      <c r="W436" s="5" t="inlineStr">
        <is>
          <t>N</t>
        </is>
      </c>
      <c r="X436" s="5" t="n"/>
      <c r="Y436" s="5" t="n"/>
      <c r="Z436" s="5" t="n"/>
      <c r="AA436" s="10">
        <f>IFERROR(IF(INDEX('Test catalog'!$O$2:$O$200,MATCH($AB436,'Test catalog'!$A$2:$A$200,0))="","",INDEX('Test catalog'!$O$2:$O$200,MATCH($AB436,'Test catalog'!$A$2:$A$200,0))),"")</f>
        <v/>
      </c>
      <c r="AB436" s="10" t="inlineStr">
        <is>
          <t>FRIAB</t>
        </is>
      </c>
    </row>
    <row r="437">
      <c r="A437" s="10" t="inlineStr">
        <is>
          <t>F58</t>
        </is>
      </c>
      <c r="B437" s="10" t="inlineStr">
        <is>
          <t>FP</t>
        </is>
      </c>
      <c r="C437" s="10" t="inlineStr">
        <is>
          <t>Immune AID Direct  |  Cyanocobalamin (Vitamin B12), Thiamine Hydrochloride (Vitamin B1) (+14 more)</t>
        </is>
      </c>
      <c r="D437" s="10" t="inlineStr">
        <is>
          <t>Disintegration</t>
        </is>
      </c>
      <c r="E437" s="10">
        <f>IF(A437="","",A437&amp;"|"&amp;D437)</f>
        <v/>
      </c>
      <c r="F437" s="5" t="inlineStr">
        <is>
          <t>Y</t>
        </is>
      </c>
      <c r="G437" s="5" t="inlineStr">
        <is>
          <t>Disintegration tester</t>
        </is>
      </c>
      <c r="H437" s="5" t="inlineStr">
        <is>
          <t>Low</t>
        </is>
      </c>
      <c r="I437" s="5" t="n">
        <v>1</v>
      </c>
      <c r="J437" s="5" t="n"/>
      <c r="K437" s="10">
        <f>IFERROR(IF(INDEX('Test catalog'!$F$2:$F$200,MATCH($AB437,'Test catalog'!$A$2:$A$200,0))="","",INDEX('Test catalog'!$F$2:$F$200,MATCH($AB437,'Test catalog'!$A$2:$A$200,0))),"")</f>
        <v/>
      </c>
      <c r="L437" s="10">
        <f>IFERROR(IF(INDEX('Test catalog'!$G$2:$G$200,MATCH($AB437,'Test catalog'!$A$2:$A$200,0))="","",INDEX('Test catalog'!$G$2:$G$200,MATCH($AB437,'Test catalog'!$A$2:$A$200,0))),"")</f>
        <v/>
      </c>
      <c r="M437" s="10">
        <f>IFERROR(IF(INDEX('Test catalog'!$H$2:$H$200,MATCH($AB437,'Test catalog'!$A$2:$A$200,0))="","",INDEX('Test catalog'!$H$2:$H$200,MATCH($AB437,'Test catalog'!$A$2:$A$200,0))),"")</f>
        <v/>
      </c>
      <c r="N437" s="10">
        <f>IFERROR(IF(INDEX('Test catalog'!$I$2:$I$200,MATCH($AB437,'Test catalog'!$A$2:$A$200,0))="","",INDEX('Test catalog'!$I$2:$I$200,MATCH($AB437,'Test catalog'!$A$2:$A$200,0))),"")</f>
        <v/>
      </c>
      <c r="O437" s="10">
        <f>IFERROR(IF(INDEX('Test catalog'!$J$2:$J$200,MATCH($AB437,'Test catalog'!$A$2:$A$200,0))="","",INDEX('Test catalog'!$J$2:$J$200,MATCH($AB437,'Test catalog'!$A$2:$A$200,0))),"")</f>
        <v/>
      </c>
      <c r="P437" s="14">
        <f>IF(N437="","",IF(OR(M437="",O437=""),N437,(M437+4*N437+O437)/6))</f>
        <v/>
      </c>
      <c r="Q437" s="10">
        <f>IFERROR(IF(INDEX('Test catalog'!$K$2:$K$200,MATCH($AB437,'Test catalog'!$A$2:$A$200,0))="","",INDEX('Test catalog'!$K$2:$K$200,MATCH($AB437,'Test catalog'!$A$2:$A$200,0))),"")</f>
        <v/>
      </c>
      <c r="R437" s="5" t="n"/>
      <c r="S437" s="10">
        <f>IFERROR(IF(INDEX('Test catalog'!$L$2:$L$200,MATCH($AB437,'Test catalog'!$A$2:$A$200,0))="","",INDEX('Test catalog'!$L$2:$L$200,MATCH($AB437,'Test catalog'!$A$2:$A$200,0))),"")</f>
        <v/>
      </c>
      <c r="T437" s="10">
        <f>IFERROR(IF(INDEX('Test catalog'!$M$2:$M$200,MATCH($AB437,'Test catalog'!$A$2:$A$200,0))="","",INDEX('Test catalog'!$M$2:$M$200,MATCH($AB437,'Test catalog'!$A$2:$A$200,0))),"")</f>
        <v/>
      </c>
      <c r="U437" s="10">
        <f>IFERROR(IF(INDEX('Test catalog'!$N$2:$N$200,MATCH($AB437,'Test catalog'!$A$2:$A$200,0))="","",INDEX('Test catalog'!$N$2:$N$200,MATCH($AB437,'Test catalog'!$A$2:$A$200,0))),"")</f>
        <v/>
      </c>
      <c r="V437" s="15" t="n"/>
      <c r="W437" s="5" t="inlineStr">
        <is>
          <t>Y</t>
        </is>
      </c>
      <c r="X437" s="5" t="n"/>
      <c r="Y437" s="5" t="n"/>
      <c r="Z437" s="5" t="n"/>
      <c r="AA437" s="10">
        <f>IFERROR(IF(INDEX('Test catalog'!$O$2:$O$200,MATCH($AB437,'Test catalog'!$A$2:$A$200,0))="","",INDEX('Test catalog'!$O$2:$O$200,MATCH($AB437,'Test catalog'!$A$2:$A$200,0))),"")</f>
        <v/>
      </c>
      <c r="AB437" s="10" t="inlineStr">
        <is>
          <t>DISINT</t>
        </is>
      </c>
    </row>
    <row r="438">
      <c r="A438" s="10" t="inlineStr">
        <is>
          <t>F58</t>
        </is>
      </c>
      <c r="B438" s="10" t="inlineStr">
        <is>
          <t>FP</t>
        </is>
      </c>
      <c r="C438" s="10" t="inlineStr">
        <is>
          <t>Immune AID Direct  |  Cyanocobalamin (Vitamin B12), Thiamine Hydrochloride (Vitamin B1) (+14 more)</t>
        </is>
      </c>
      <c r="D438" s="10" t="inlineStr">
        <is>
          <t>In-process check at the machine (one check, all its tests)</t>
        </is>
      </c>
      <c r="E438" s="10">
        <f>IF(A438="","",A438&amp;"|"&amp;D438)</f>
        <v/>
      </c>
      <c r="F438" s="5" t="inlineStr">
        <is>
          <t>Y</t>
        </is>
      </c>
      <c r="G438" s="5" t="inlineStr">
        <is>
          <t>Tablet tester</t>
        </is>
      </c>
      <c r="H438" s="5" t="inlineStr">
        <is>
          <t>Low</t>
        </is>
      </c>
      <c r="I438" s="5" t="n">
        <v>1</v>
      </c>
      <c r="J438" s="5" t="n"/>
      <c r="K438" s="10">
        <f>IFERROR(IF(INDEX('Test catalog'!$F$2:$F$200,MATCH($AB438,'Test catalog'!$A$2:$A$200,0))="","",INDEX('Test catalog'!$F$2:$F$200,MATCH($AB438,'Test catalog'!$A$2:$A$200,0))),"")</f>
        <v/>
      </c>
      <c r="L438" s="10">
        <f>IFERROR(IF(INDEX('Test catalog'!$G$2:$G$200,MATCH($AB438,'Test catalog'!$A$2:$A$200,0))="","",INDEX('Test catalog'!$G$2:$G$200,MATCH($AB438,'Test catalog'!$A$2:$A$200,0))),"")</f>
        <v/>
      </c>
      <c r="M438" s="10">
        <f>IFERROR(IF(INDEX('Test catalog'!$H$2:$H$200,MATCH($AB438,'Test catalog'!$A$2:$A$200,0))="","",INDEX('Test catalog'!$H$2:$H$200,MATCH($AB438,'Test catalog'!$A$2:$A$200,0))),"")</f>
        <v/>
      </c>
      <c r="N438" s="10">
        <f>IFERROR(IF(INDEX('Test catalog'!$I$2:$I$200,MATCH($AB438,'Test catalog'!$A$2:$A$200,0))="","",INDEX('Test catalog'!$I$2:$I$200,MATCH($AB438,'Test catalog'!$A$2:$A$200,0))),"")</f>
        <v/>
      </c>
      <c r="O438" s="10">
        <f>IFERROR(IF(INDEX('Test catalog'!$J$2:$J$200,MATCH($AB438,'Test catalog'!$A$2:$A$200,0))="","",INDEX('Test catalog'!$J$2:$J$200,MATCH($AB438,'Test catalog'!$A$2:$A$200,0))),"")</f>
        <v/>
      </c>
      <c r="P438" s="14">
        <f>IF(N438="","",IF(OR(M438="",O438=""),N438,(M438+4*N438+O438)/6))</f>
        <v/>
      </c>
      <c r="Q438" s="10">
        <f>IFERROR(IF(INDEX('Test catalog'!$K$2:$K$200,MATCH($AB438,'Test catalog'!$A$2:$A$200,0))="","",INDEX('Test catalog'!$K$2:$K$200,MATCH($AB438,'Test catalog'!$A$2:$A$200,0))),"")</f>
        <v/>
      </c>
      <c r="R438" s="5" t="n"/>
      <c r="S438" s="10">
        <f>IFERROR(IF(INDEX('Test catalog'!$L$2:$L$200,MATCH($AB438,'Test catalog'!$A$2:$A$200,0))="","",INDEX('Test catalog'!$L$2:$L$200,MATCH($AB438,'Test catalog'!$A$2:$A$200,0))),"")</f>
        <v/>
      </c>
      <c r="T438" s="10">
        <f>IFERROR(IF(INDEX('Test catalog'!$M$2:$M$200,MATCH($AB438,'Test catalog'!$A$2:$A$200,0))="","",INDEX('Test catalog'!$M$2:$M$200,MATCH($AB438,'Test catalog'!$A$2:$A$200,0))),"")</f>
        <v/>
      </c>
      <c r="U438" s="10">
        <f>IFERROR(IF(INDEX('Test catalog'!$N$2:$N$200,MATCH($AB438,'Test catalog'!$A$2:$A$200,0))="","",INDEX('Test catalog'!$N$2:$N$200,MATCH($AB438,'Test catalog'!$A$2:$A$200,0))),"")</f>
        <v/>
      </c>
      <c r="V438" s="15" t="n"/>
      <c r="W438" s="5" t="inlineStr">
        <is>
          <t>N</t>
        </is>
      </c>
      <c r="X438" s="5" t="n"/>
      <c r="Y438" s="5" t="n"/>
      <c r="Z438" s="5" t="n"/>
      <c r="AA438" s="10">
        <f>IFERROR(IF(INDEX('Test catalog'!$O$2:$O$200,MATCH($AB438,'Test catalog'!$A$2:$A$200,0))="","",INDEX('Test catalog'!$O$2:$O$200,MATCH($AB438,'Test catalog'!$A$2:$A$200,0))),"")</f>
        <v/>
      </c>
      <c r="AB438" s="10" t="inlineStr">
        <is>
          <t>IPC</t>
        </is>
      </c>
    </row>
    <row r="439">
      <c r="A439" s="10" t="inlineStr">
        <is>
          <t>F59</t>
        </is>
      </c>
      <c r="B439" s="10" t="inlineStr">
        <is>
          <t>FP</t>
        </is>
      </c>
      <c r="C439" s="10" t="inlineStr">
        <is>
          <t>X-Ade (Blister 15 pcs); X-Ade (Bottle 30 pcs)  |  Zinc Gluconate, Magnesium Oxide Heavy (+8 more)</t>
        </is>
      </c>
      <c r="D439" s="10" t="inlineStr">
        <is>
          <t>Average weight / uniformity of mass</t>
        </is>
      </c>
      <c r="E439" s="10">
        <f>IF(A439="","",A439&amp;"|"&amp;D439)</f>
        <v/>
      </c>
      <c r="F439" s="5" t="inlineStr">
        <is>
          <t>Y</t>
        </is>
      </c>
      <c r="G439" s="5" t="inlineStr">
        <is>
          <t>Balance</t>
        </is>
      </c>
      <c r="H439" s="5" t="inlineStr">
        <is>
          <t>Low</t>
        </is>
      </c>
      <c r="I439" s="5" t="n">
        <v>1</v>
      </c>
      <c r="J439" s="5" t="n"/>
      <c r="K439" s="10">
        <f>IFERROR(IF(INDEX('Test catalog'!$F$2:$F$200,MATCH($AB439,'Test catalog'!$A$2:$A$200,0))="","",INDEX('Test catalog'!$F$2:$F$200,MATCH($AB439,'Test catalog'!$A$2:$A$200,0))),"")</f>
        <v/>
      </c>
      <c r="L439" s="10">
        <f>IFERROR(IF(INDEX('Test catalog'!$G$2:$G$200,MATCH($AB439,'Test catalog'!$A$2:$A$200,0))="","",INDEX('Test catalog'!$G$2:$G$200,MATCH($AB439,'Test catalog'!$A$2:$A$200,0))),"")</f>
        <v/>
      </c>
      <c r="M439" s="10">
        <f>IFERROR(IF(INDEX('Test catalog'!$H$2:$H$200,MATCH($AB439,'Test catalog'!$A$2:$A$200,0))="","",INDEX('Test catalog'!$H$2:$H$200,MATCH($AB439,'Test catalog'!$A$2:$A$200,0))),"")</f>
        <v/>
      </c>
      <c r="N439" s="10">
        <f>IFERROR(IF(INDEX('Test catalog'!$I$2:$I$200,MATCH($AB439,'Test catalog'!$A$2:$A$200,0))="","",INDEX('Test catalog'!$I$2:$I$200,MATCH($AB439,'Test catalog'!$A$2:$A$200,0))),"")</f>
        <v/>
      </c>
      <c r="O439" s="10">
        <f>IFERROR(IF(INDEX('Test catalog'!$J$2:$J$200,MATCH($AB439,'Test catalog'!$A$2:$A$200,0))="","",INDEX('Test catalog'!$J$2:$J$200,MATCH($AB439,'Test catalog'!$A$2:$A$200,0))),"")</f>
        <v/>
      </c>
      <c r="P439" s="14">
        <f>IF(N439="","",IF(OR(M439="",O439=""),N439,(M439+4*N439+O439)/6))</f>
        <v/>
      </c>
      <c r="Q439" s="10">
        <f>IFERROR(IF(INDEX('Test catalog'!$K$2:$K$200,MATCH($AB439,'Test catalog'!$A$2:$A$200,0))="","",INDEX('Test catalog'!$K$2:$K$200,MATCH($AB439,'Test catalog'!$A$2:$A$200,0))),"")</f>
        <v/>
      </c>
      <c r="R439" s="5" t="n"/>
      <c r="S439" s="10">
        <f>IFERROR(IF(INDEX('Test catalog'!$L$2:$L$200,MATCH($AB439,'Test catalog'!$A$2:$A$200,0))="","",INDEX('Test catalog'!$L$2:$L$200,MATCH($AB439,'Test catalog'!$A$2:$A$200,0))),"")</f>
        <v/>
      </c>
      <c r="T439" s="10">
        <f>IFERROR(IF(INDEX('Test catalog'!$M$2:$M$200,MATCH($AB439,'Test catalog'!$A$2:$A$200,0))="","",INDEX('Test catalog'!$M$2:$M$200,MATCH($AB439,'Test catalog'!$A$2:$A$200,0))),"")</f>
        <v/>
      </c>
      <c r="U439" s="10">
        <f>IFERROR(IF(INDEX('Test catalog'!$N$2:$N$200,MATCH($AB439,'Test catalog'!$A$2:$A$200,0))="","",INDEX('Test catalog'!$N$2:$N$200,MATCH($AB439,'Test catalog'!$A$2:$A$200,0))),"")</f>
        <v/>
      </c>
      <c r="V439" s="15" t="n"/>
      <c r="W439" s="5" t="inlineStr">
        <is>
          <t>N</t>
        </is>
      </c>
      <c r="X439" s="5" t="n"/>
      <c r="Y439" s="5" t="n"/>
      <c r="Z439" s="5" t="n"/>
      <c r="AA439" s="10">
        <f>IFERROR(IF(INDEX('Test catalog'!$O$2:$O$200,MATCH($AB439,'Test catalog'!$A$2:$A$200,0))="","",INDEX('Test catalog'!$O$2:$O$200,MATCH($AB439,'Test catalog'!$A$2:$A$200,0))),"")</f>
        <v/>
      </c>
      <c r="AB439" s="10" t="inlineStr">
        <is>
          <t>AVG_WT</t>
        </is>
      </c>
    </row>
    <row r="440">
      <c r="A440" s="10" t="inlineStr">
        <is>
          <t>F59</t>
        </is>
      </c>
      <c r="B440" s="10" t="inlineStr">
        <is>
          <t>FP</t>
        </is>
      </c>
      <c r="C440" s="10" t="inlineStr">
        <is>
          <t>X-Ade (Blister 15 pcs); X-Ade (Bottle 30 pcs)  |  Zinc Gluconate, Magnesium Oxide Heavy (+8 more)</t>
        </is>
      </c>
      <c r="D440" s="10" t="inlineStr">
        <is>
          <t>Diameter (or length / width)</t>
        </is>
      </c>
      <c r="E440" s="10">
        <f>IF(A440="","",A440&amp;"|"&amp;D440)</f>
        <v/>
      </c>
      <c r="F440" s="5" t="inlineStr">
        <is>
          <t>Y</t>
        </is>
      </c>
      <c r="G440" s="5" t="inlineStr">
        <is>
          <t>Tablet tester</t>
        </is>
      </c>
      <c r="H440" s="5" t="inlineStr">
        <is>
          <t>Low</t>
        </is>
      </c>
      <c r="I440" s="5" t="n">
        <v>1</v>
      </c>
      <c r="J440" s="5" t="n"/>
      <c r="K440" s="10">
        <f>IFERROR(IF(INDEX('Test catalog'!$F$2:$F$200,MATCH($AB440,'Test catalog'!$A$2:$A$200,0))="","",INDEX('Test catalog'!$F$2:$F$200,MATCH($AB440,'Test catalog'!$A$2:$A$200,0))),"")</f>
        <v/>
      </c>
      <c r="L440" s="10">
        <f>IFERROR(IF(INDEX('Test catalog'!$G$2:$G$200,MATCH($AB440,'Test catalog'!$A$2:$A$200,0))="","",INDEX('Test catalog'!$G$2:$G$200,MATCH($AB440,'Test catalog'!$A$2:$A$200,0))),"")</f>
        <v/>
      </c>
      <c r="M440" s="10">
        <f>IFERROR(IF(INDEX('Test catalog'!$H$2:$H$200,MATCH($AB440,'Test catalog'!$A$2:$A$200,0))="","",INDEX('Test catalog'!$H$2:$H$200,MATCH($AB440,'Test catalog'!$A$2:$A$200,0))),"")</f>
        <v/>
      </c>
      <c r="N440" s="10">
        <f>IFERROR(IF(INDEX('Test catalog'!$I$2:$I$200,MATCH($AB440,'Test catalog'!$A$2:$A$200,0))="","",INDEX('Test catalog'!$I$2:$I$200,MATCH($AB440,'Test catalog'!$A$2:$A$200,0))),"")</f>
        <v/>
      </c>
      <c r="O440" s="10">
        <f>IFERROR(IF(INDEX('Test catalog'!$J$2:$J$200,MATCH($AB440,'Test catalog'!$A$2:$A$200,0))="","",INDEX('Test catalog'!$J$2:$J$200,MATCH($AB440,'Test catalog'!$A$2:$A$200,0))),"")</f>
        <v/>
      </c>
      <c r="P440" s="14">
        <f>IF(N440="","",IF(OR(M440="",O440=""),N440,(M440+4*N440+O440)/6))</f>
        <v/>
      </c>
      <c r="Q440" s="10">
        <f>IFERROR(IF(INDEX('Test catalog'!$K$2:$K$200,MATCH($AB440,'Test catalog'!$A$2:$A$200,0))="","",INDEX('Test catalog'!$K$2:$K$200,MATCH($AB440,'Test catalog'!$A$2:$A$200,0))),"")</f>
        <v/>
      </c>
      <c r="R440" s="5" t="n"/>
      <c r="S440" s="10">
        <f>IFERROR(IF(INDEX('Test catalog'!$L$2:$L$200,MATCH($AB440,'Test catalog'!$A$2:$A$200,0))="","",INDEX('Test catalog'!$L$2:$L$200,MATCH($AB440,'Test catalog'!$A$2:$A$200,0))),"")</f>
        <v/>
      </c>
      <c r="T440" s="10">
        <f>IFERROR(IF(INDEX('Test catalog'!$M$2:$M$200,MATCH($AB440,'Test catalog'!$A$2:$A$200,0))="","",INDEX('Test catalog'!$M$2:$M$200,MATCH($AB440,'Test catalog'!$A$2:$A$200,0))),"")</f>
        <v/>
      </c>
      <c r="U440" s="10">
        <f>IFERROR(IF(INDEX('Test catalog'!$N$2:$N$200,MATCH($AB440,'Test catalog'!$A$2:$A$200,0))="","",INDEX('Test catalog'!$N$2:$N$200,MATCH($AB440,'Test catalog'!$A$2:$A$200,0))),"")</f>
        <v/>
      </c>
      <c r="V440" s="15" t="n"/>
      <c r="W440" s="5" t="inlineStr">
        <is>
          <t>N</t>
        </is>
      </c>
      <c r="X440" s="5" t="n"/>
      <c r="Y440" s="5" t="n"/>
      <c r="Z440" s="5" t="n"/>
      <c r="AA440" s="10">
        <f>IFERROR(IF(INDEX('Test catalog'!$O$2:$O$200,MATCH($AB440,'Test catalog'!$A$2:$A$200,0))="","",INDEX('Test catalog'!$O$2:$O$200,MATCH($AB440,'Test catalog'!$A$2:$A$200,0))),"")</f>
        <v/>
      </c>
      <c r="AB440" s="10" t="inlineStr">
        <is>
          <t>DIAM</t>
        </is>
      </c>
    </row>
    <row r="441">
      <c r="A441" s="10" t="inlineStr">
        <is>
          <t>F59</t>
        </is>
      </c>
      <c r="B441" s="10" t="inlineStr">
        <is>
          <t>FP</t>
        </is>
      </c>
      <c r="C441" s="10" t="inlineStr">
        <is>
          <t>X-Ade (Blister 15 pcs); X-Ade (Bottle 30 pcs)  |  Zinc Gluconate, Magnesium Oxide Heavy (+8 more)</t>
        </is>
      </c>
      <c r="D441" s="10" t="inlineStr">
        <is>
          <t>Thickness</t>
        </is>
      </c>
      <c r="E441" s="10">
        <f>IF(A441="","",A441&amp;"|"&amp;D441)</f>
        <v/>
      </c>
      <c r="F441" s="5" t="inlineStr">
        <is>
          <t>Y</t>
        </is>
      </c>
      <c r="G441" s="5" t="inlineStr">
        <is>
          <t>Tablet tester</t>
        </is>
      </c>
      <c r="H441" s="5" t="inlineStr">
        <is>
          <t>Low</t>
        </is>
      </c>
      <c r="I441" s="5" t="n">
        <v>1</v>
      </c>
      <c r="J441" s="5" t="n"/>
      <c r="K441" s="10">
        <f>IFERROR(IF(INDEX('Test catalog'!$F$2:$F$200,MATCH($AB441,'Test catalog'!$A$2:$A$200,0))="","",INDEX('Test catalog'!$F$2:$F$200,MATCH($AB441,'Test catalog'!$A$2:$A$200,0))),"")</f>
        <v/>
      </c>
      <c r="L441" s="10">
        <f>IFERROR(IF(INDEX('Test catalog'!$G$2:$G$200,MATCH($AB441,'Test catalog'!$A$2:$A$200,0))="","",INDEX('Test catalog'!$G$2:$G$200,MATCH($AB441,'Test catalog'!$A$2:$A$200,0))),"")</f>
        <v/>
      </c>
      <c r="M441" s="10">
        <f>IFERROR(IF(INDEX('Test catalog'!$H$2:$H$200,MATCH($AB441,'Test catalog'!$A$2:$A$200,0))="","",INDEX('Test catalog'!$H$2:$H$200,MATCH($AB441,'Test catalog'!$A$2:$A$200,0))),"")</f>
        <v/>
      </c>
      <c r="N441" s="10">
        <f>IFERROR(IF(INDEX('Test catalog'!$I$2:$I$200,MATCH($AB441,'Test catalog'!$A$2:$A$200,0))="","",INDEX('Test catalog'!$I$2:$I$200,MATCH($AB441,'Test catalog'!$A$2:$A$200,0))),"")</f>
        <v/>
      </c>
      <c r="O441" s="10">
        <f>IFERROR(IF(INDEX('Test catalog'!$J$2:$J$200,MATCH($AB441,'Test catalog'!$A$2:$A$200,0))="","",INDEX('Test catalog'!$J$2:$J$200,MATCH($AB441,'Test catalog'!$A$2:$A$200,0))),"")</f>
        <v/>
      </c>
      <c r="P441" s="14">
        <f>IF(N441="","",IF(OR(M441="",O441=""),N441,(M441+4*N441+O441)/6))</f>
        <v/>
      </c>
      <c r="Q441" s="10">
        <f>IFERROR(IF(INDEX('Test catalog'!$K$2:$K$200,MATCH($AB441,'Test catalog'!$A$2:$A$200,0))="","",INDEX('Test catalog'!$K$2:$K$200,MATCH($AB441,'Test catalog'!$A$2:$A$200,0))),"")</f>
        <v/>
      </c>
      <c r="R441" s="5" t="n"/>
      <c r="S441" s="10">
        <f>IFERROR(IF(INDEX('Test catalog'!$L$2:$L$200,MATCH($AB441,'Test catalog'!$A$2:$A$200,0))="","",INDEX('Test catalog'!$L$2:$L$200,MATCH($AB441,'Test catalog'!$A$2:$A$200,0))),"")</f>
        <v/>
      </c>
      <c r="T441" s="10">
        <f>IFERROR(IF(INDEX('Test catalog'!$M$2:$M$200,MATCH($AB441,'Test catalog'!$A$2:$A$200,0))="","",INDEX('Test catalog'!$M$2:$M$200,MATCH($AB441,'Test catalog'!$A$2:$A$200,0))),"")</f>
        <v/>
      </c>
      <c r="U441" s="10">
        <f>IFERROR(IF(INDEX('Test catalog'!$N$2:$N$200,MATCH($AB441,'Test catalog'!$A$2:$A$200,0))="","",INDEX('Test catalog'!$N$2:$N$200,MATCH($AB441,'Test catalog'!$A$2:$A$200,0))),"")</f>
        <v/>
      </c>
      <c r="V441" s="15" t="n"/>
      <c r="W441" s="5" t="inlineStr">
        <is>
          <t>N</t>
        </is>
      </c>
      <c r="X441" s="5" t="n"/>
      <c r="Y441" s="5" t="n"/>
      <c r="Z441" s="5" t="n"/>
      <c r="AA441" s="10">
        <f>IFERROR(IF(INDEX('Test catalog'!$O$2:$O$200,MATCH($AB441,'Test catalog'!$A$2:$A$200,0))="","",INDEX('Test catalog'!$O$2:$O$200,MATCH($AB441,'Test catalog'!$A$2:$A$200,0))),"")</f>
        <v/>
      </c>
      <c r="AB441" s="10" t="inlineStr">
        <is>
          <t>THICK</t>
        </is>
      </c>
    </row>
    <row r="442">
      <c r="A442" s="10" t="inlineStr">
        <is>
          <t>F59</t>
        </is>
      </c>
      <c r="B442" s="10" t="inlineStr">
        <is>
          <t>FP</t>
        </is>
      </c>
      <c r="C442" s="10" t="inlineStr">
        <is>
          <t>X-Ade (Blister 15 pcs); X-Ade (Bottle 30 pcs)  |  Zinc Gluconate, Magnesium Oxide Heavy (+8 more)</t>
        </is>
      </c>
      <c r="D442" s="10" t="inlineStr">
        <is>
          <t>Hardness / breaking force</t>
        </is>
      </c>
      <c r="E442" s="10">
        <f>IF(A442="","",A442&amp;"|"&amp;D442)</f>
        <v/>
      </c>
      <c r="F442" s="5" t="inlineStr">
        <is>
          <t>Y</t>
        </is>
      </c>
      <c r="G442" s="5" t="inlineStr">
        <is>
          <t>Tablet tester</t>
        </is>
      </c>
      <c r="H442" s="5" t="inlineStr">
        <is>
          <t>Low</t>
        </is>
      </c>
      <c r="I442" s="5" t="n">
        <v>1</v>
      </c>
      <c r="J442" s="5" t="n"/>
      <c r="K442" s="10">
        <f>IFERROR(IF(INDEX('Test catalog'!$F$2:$F$200,MATCH($AB442,'Test catalog'!$A$2:$A$200,0))="","",INDEX('Test catalog'!$F$2:$F$200,MATCH($AB442,'Test catalog'!$A$2:$A$200,0))),"")</f>
        <v/>
      </c>
      <c r="L442" s="10">
        <f>IFERROR(IF(INDEX('Test catalog'!$G$2:$G$200,MATCH($AB442,'Test catalog'!$A$2:$A$200,0))="","",INDEX('Test catalog'!$G$2:$G$200,MATCH($AB442,'Test catalog'!$A$2:$A$200,0))),"")</f>
        <v/>
      </c>
      <c r="M442" s="10">
        <f>IFERROR(IF(INDEX('Test catalog'!$H$2:$H$200,MATCH($AB442,'Test catalog'!$A$2:$A$200,0))="","",INDEX('Test catalog'!$H$2:$H$200,MATCH($AB442,'Test catalog'!$A$2:$A$200,0))),"")</f>
        <v/>
      </c>
      <c r="N442" s="10">
        <f>IFERROR(IF(INDEX('Test catalog'!$I$2:$I$200,MATCH($AB442,'Test catalog'!$A$2:$A$200,0))="","",INDEX('Test catalog'!$I$2:$I$200,MATCH($AB442,'Test catalog'!$A$2:$A$200,0))),"")</f>
        <v/>
      </c>
      <c r="O442" s="10">
        <f>IFERROR(IF(INDEX('Test catalog'!$J$2:$J$200,MATCH($AB442,'Test catalog'!$A$2:$A$200,0))="","",INDEX('Test catalog'!$J$2:$J$200,MATCH($AB442,'Test catalog'!$A$2:$A$200,0))),"")</f>
        <v/>
      </c>
      <c r="P442" s="14">
        <f>IF(N442="","",IF(OR(M442="",O442=""),N442,(M442+4*N442+O442)/6))</f>
        <v/>
      </c>
      <c r="Q442" s="10">
        <f>IFERROR(IF(INDEX('Test catalog'!$K$2:$K$200,MATCH($AB442,'Test catalog'!$A$2:$A$200,0))="","",INDEX('Test catalog'!$K$2:$K$200,MATCH($AB442,'Test catalog'!$A$2:$A$200,0))),"")</f>
        <v/>
      </c>
      <c r="R442" s="5" t="n"/>
      <c r="S442" s="10">
        <f>IFERROR(IF(INDEX('Test catalog'!$L$2:$L$200,MATCH($AB442,'Test catalog'!$A$2:$A$200,0))="","",INDEX('Test catalog'!$L$2:$L$200,MATCH($AB442,'Test catalog'!$A$2:$A$200,0))),"")</f>
        <v/>
      </c>
      <c r="T442" s="10">
        <f>IFERROR(IF(INDEX('Test catalog'!$M$2:$M$200,MATCH($AB442,'Test catalog'!$A$2:$A$200,0))="","",INDEX('Test catalog'!$M$2:$M$200,MATCH($AB442,'Test catalog'!$A$2:$A$200,0))),"")</f>
        <v/>
      </c>
      <c r="U442" s="10">
        <f>IFERROR(IF(INDEX('Test catalog'!$N$2:$N$200,MATCH($AB442,'Test catalog'!$A$2:$A$200,0))="","",INDEX('Test catalog'!$N$2:$N$200,MATCH($AB442,'Test catalog'!$A$2:$A$200,0))),"")</f>
        <v/>
      </c>
      <c r="V442" s="15" t="n"/>
      <c r="W442" s="5" t="inlineStr">
        <is>
          <t>Y</t>
        </is>
      </c>
      <c r="X442" s="5" t="n"/>
      <c r="Y442" s="5" t="n"/>
      <c r="Z442" s="5" t="n"/>
      <c r="AA442" s="10">
        <f>IFERROR(IF(INDEX('Test catalog'!$O$2:$O$200,MATCH($AB442,'Test catalog'!$A$2:$A$200,0))="","",INDEX('Test catalog'!$O$2:$O$200,MATCH($AB442,'Test catalog'!$A$2:$A$200,0))),"")</f>
        <v/>
      </c>
      <c r="AB442" s="10" t="inlineStr">
        <is>
          <t>HARD</t>
        </is>
      </c>
    </row>
    <row r="443">
      <c r="A443" s="10" t="inlineStr">
        <is>
          <t>F59</t>
        </is>
      </c>
      <c r="B443" s="10" t="inlineStr">
        <is>
          <t>FP</t>
        </is>
      </c>
      <c r="C443" s="10" t="inlineStr">
        <is>
          <t>X-Ade (Blister 15 pcs); X-Ade (Bottle 30 pcs)  |  Zinc Gluconate, Magnesium Oxide Heavy (+8 more)</t>
        </is>
      </c>
      <c r="D443" s="10" t="inlineStr">
        <is>
          <t>Brittleness</t>
        </is>
      </c>
      <c r="E443" s="10">
        <f>IF(A443="","",A443&amp;"|"&amp;D443)</f>
        <v/>
      </c>
      <c r="F443" s="5" t="inlineStr">
        <is>
          <t>Y</t>
        </is>
      </c>
      <c r="G443" s="5" t="inlineStr">
        <is>
          <t>Other / bench</t>
        </is>
      </c>
      <c r="H443" s="5" t="inlineStr">
        <is>
          <t>Low</t>
        </is>
      </c>
      <c r="I443" s="5" t="n">
        <v>1</v>
      </c>
      <c r="J443" s="5" t="n"/>
      <c r="K443" s="10">
        <f>IFERROR(IF(INDEX('Test catalog'!$F$2:$F$200,MATCH($AB443,'Test catalog'!$A$2:$A$200,0))="","",INDEX('Test catalog'!$F$2:$F$200,MATCH($AB443,'Test catalog'!$A$2:$A$200,0))),"")</f>
        <v/>
      </c>
      <c r="L443" s="10">
        <f>IFERROR(IF(INDEX('Test catalog'!$G$2:$G$200,MATCH($AB443,'Test catalog'!$A$2:$A$200,0))="","",INDEX('Test catalog'!$G$2:$G$200,MATCH($AB443,'Test catalog'!$A$2:$A$200,0))),"")</f>
        <v/>
      </c>
      <c r="M443" s="10">
        <f>IFERROR(IF(INDEX('Test catalog'!$H$2:$H$200,MATCH($AB443,'Test catalog'!$A$2:$A$200,0))="","",INDEX('Test catalog'!$H$2:$H$200,MATCH($AB443,'Test catalog'!$A$2:$A$200,0))),"")</f>
        <v/>
      </c>
      <c r="N443" s="10">
        <f>IFERROR(IF(INDEX('Test catalog'!$I$2:$I$200,MATCH($AB443,'Test catalog'!$A$2:$A$200,0))="","",INDEX('Test catalog'!$I$2:$I$200,MATCH($AB443,'Test catalog'!$A$2:$A$200,0))),"")</f>
        <v/>
      </c>
      <c r="O443" s="10">
        <f>IFERROR(IF(INDEX('Test catalog'!$J$2:$J$200,MATCH($AB443,'Test catalog'!$A$2:$A$200,0))="","",INDEX('Test catalog'!$J$2:$J$200,MATCH($AB443,'Test catalog'!$A$2:$A$200,0))),"")</f>
        <v/>
      </c>
      <c r="P443" s="14">
        <f>IF(N443="","",IF(OR(M443="",O443=""),N443,(M443+4*N443+O443)/6))</f>
        <v/>
      </c>
      <c r="Q443" s="10">
        <f>IFERROR(IF(INDEX('Test catalog'!$K$2:$K$200,MATCH($AB443,'Test catalog'!$A$2:$A$200,0))="","",INDEX('Test catalog'!$K$2:$K$200,MATCH($AB443,'Test catalog'!$A$2:$A$200,0))),"")</f>
        <v/>
      </c>
      <c r="R443" s="5" t="n"/>
      <c r="S443" s="10">
        <f>IFERROR(IF(INDEX('Test catalog'!$L$2:$L$200,MATCH($AB443,'Test catalog'!$A$2:$A$200,0))="","",INDEX('Test catalog'!$L$2:$L$200,MATCH($AB443,'Test catalog'!$A$2:$A$200,0))),"")</f>
        <v/>
      </c>
      <c r="T443" s="10">
        <f>IFERROR(IF(INDEX('Test catalog'!$M$2:$M$200,MATCH($AB443,'Test catalog'!$A$2:$A$200,0))="","",INDEX('Test catalog'!$M$2:$M$200,MATCH($AB443,'Test catalog'!$A$2:$A$200,0))),"")</f>
        <v/>
      </c>
      <c r="U443" s="10">
        <f>IFERROR(IF(INDEX('Test catalog'!$N$2:$N$200,MATCH($AB443,'Test catalog'!$A$2:$A$200,0))="","",INDEX('Test catalog'!$N$2:$N$200,MATCH($AB443,'Test catalog'!$A$2:$A$200,0))),"")</f>
        <v/>
      </c>
      <c r="V443" s="15" t="n"/>
      <c r="W443" s="5" t="inlineStr">
        <is>
          <t>N</t>
        </is>
      </c>
      <c r="X443" s="5" t="n"/>
      <c r="Y443" s="5" t="n"/>
      <c r="Z443" s="5" t="n"/>
      <c r="AA443" s="10">
        <f>IFERROR(IF(INDEX('Test catalog'!$O$2:$O$200,MATCH($AB443,'Test catalog'!$A$2:$A$200,0))="","",INDEX('Test catalog'!$O$2:$O$200,MATCH($AB443,'Test catalog'!$A$2:$A$200,0))),"")</f>
        <v/>
      </c>
      <c r="AB443" s="10" t="inlineStr">
        <is>
          <t>BRITTLE</t>
        </is>
      </c>
    </row>
    <row r="444">
      <c r="A444" s="10" t="inlineStr">
        <is>
          <t>F59</t>
        </is>
      </c>
      <c r="B444" s="10" t="inlineStr">
        <is>
          <t>FP</t>
        </is>
      </c>
      <c r="C444" s="10" t="inlineStr">
        <is>
          <t>X-Ade (Blister 15 pcs); X-Ade (Bottle 30 pcs)  |  Zinc Gluconate, Magnesium Oxide Heavy (+8 more)</t>
        </is>
      </c>
      <c r="D444" s="10" t="inlineStr">
        <is>
          <t>Friability</t>
        </is>
      </c>
      <c r="E444" s="10">
        <f>IF(A444="","",A444&amp;"|"&amp;D444)</f>
        <v/>
      </c>
      <c r="F444" s="5" t="inlineStr">
        <is>
          <t>Y</t>
        </is>
      </c>
      <c r="G444" s="5" t="inlineStr">
        <is>
          <t>Friabilator</t>
        </is>
      </c>
      <c r="H444" s="5" t="inlineStr">
        <is>
          <t>Low</t>
        </is>
      </c>
      <c r="I444" s="5" t="n">
        <v>1</v>
      </c>
      <c r="J444" s="5" t="n"/>
      <c r="K444" s="10">
        <f>IFERROR(IF(INDEX('Test catalog'!$F$2:$F$200,MATCH($AB444,'Test catalog'!$A$2:$A$200,0))="","",INDEX('Test catalog'!$F$2:$F$200,MATCH($AB444,'Test catalog'!$A$2:$A$200,0))),"")</f>
        <v/>
      </c>
      <c r="L444" s="10">
        <f>IFERROR(IF(INDEX('Test catalog'!$G$2:$G$200,MATCH($AB444,'Test catalog'!$A$2:$A$200,0))="","",INDEX('Test catalog'!$G$2:$G$200,MATCH($AB444,'Test catalog'!$A$2:$A$200,0))),"")</f>
        <v/>
      </c>
      <c r="M444" s="10">
        <f>IFERROR(IF(INDEX('Test catalog'!$H$2:$H$200,MATCH($AB444,'Test catalog'!$A$2:$A$200,0))="","",INDEX('Test catalog'!$H$2:$H$200,MATCH($AB444,'Test catalog'!$A$2:$A$200,0))),"")</f>
        <v/>
      </c>
      <c r="N444" s="10">
        <f>IFERROR(IF(INDEX('Test catalog'!$I$2:$I$200,MATCH($AB444,'Test catalog'!$A$2:$A$200,0))="","",INDEX('Test catalog'!$I$2:$I$200,MATCH($AB444,'Test catalog'!$A$2:$A$200,0))),"")</f>
        <v/>
      </c>
      <c r="O444" s="10">
        <f>IFERROR(IF(INDEX('Test catalog'!$J$2:$J$200,MATCH($AB444,'Test catalog'!$A$2:$A$200,0))="","",INDEX('Test catalog'!$J$2:$J$200,MATCH($AB444,'Test catalog'!$A$2:$A$200,0))),"")</f>
        <v/>
      </c>
      <c r="P444" s="14">
        <f>IF(N444="","",IF(OR(M444="",O444=""),N444,(M444+4*N444+O444)/6))</f>
        <v/>
      </c>
      <c r="Q444" s="10">
        <f>IFERROR(IF(INDEX('Test catalog'!$K$2:$K$200,MATCH($AB444,'Test catalog'!$A$2:$A$200,0))="","",INDEX('Test catalog'!$K$2:$K$200,MATCH($AB444,'Test catalog'!$A$2:$A$200,0))),"")</f>
        <v/>
      </c>
      <c r="R444" s="5" t="n"/>
      <c r="S444" s="10">
        <f>IFERROR(IF(INDEX('Test catalog'!$L$2:$L$200,MATCH($AB444,'Test catalog'!$A$2:$A$200,0))="","",INDEX('Test catalog'!$L$2:$L$200,MATCH($AB444,'Test catalog'!$A$2:$A$200,0))),"")</f>
        <v/>
      </c>
      <c r="T444" s="10">
        <f>IFERROR(IF(INDEX('Test catalog'!$M$2:$M$200,MATCH($AB444,'Test catalog'!$A$2:$A$200,0))="","",INDEX('Test catalog'!$M$2:$M$200,MATCH($AB444,'Test catalog'!$A$2:$A$200,0))),"")</f>
        <v/>
      </c>
      <c r="U444" s="10">
        <f>IFERROR(IF(INDEX('Test catalog'!$N$2:$N$200,MATCH($AB444,'Test catalog'!$A$2:$A$200,0))="","",INDEX('Test catalog'!$N$2:$N$200,MATCH($AB444,'Test catalog'!$A$2:$A$200,0))),"")</f>
        <v/>
      </c>
      <c r="V444" s="15" t="n"/>
      <c r="W444" s="5" t="inlineStr">
        <is>
          <t>N</t>
        </is>
      </c>
      <c r="X444" s="5" t="n"/>
      <c r="Y444" s="5" t="n"/>
      <c r="Z444" s="5" t="n"/>
      <c r="AA444" s="10">
        <f>IFERROR(IF(INDEX('Test catalog'!$O$2:$O$200,MATCH($AB444,'Test catalog'!$A$2:$A$200,0))="","",INDEX('Test catalog'!$O$2:$O$200,MATCH($AB444,'Test catalog'!$A$2:$A$200,0))),"")</f>
        <v/>
      </c>
      <c r="AB444" s="10" t="inlineStr">
        <is>
          <t>FRIAB</t>
        </is>
      </c>
    </row>
    <row r="445">
      <c r="A445" s="10" t="inlineStr">
        <is>
          <t>F59</t>
        </is>
      </c>
      <c r="B445" s="10" t="inlineStr">
        <is>
          <t>FP</t>
        </is>
      </c>
      <c r="C445" s="10" t="inlineStr">
        <is>
          <t>X-Ade (Blister 15 pcs); X-Ade (Bottle 30 pcs)  |  Zinc Gluconate, Magnesium Oxide Heavy (+8 more)</t>
        </is>
      </c>
      <c r="D445" s="10" t="inlineStr">
        <is>
          <t>Disintegration</t>
        </is>
      </c>
      <c r="E445" s="10">
        <f>IF(A445="","",A445&amp;"|"&amp;D445)</f>
        <v/>
      </c>
      <c r="F445" s="5" t="inlineStr">
        <is>
          <t>Y</t>
        </is>
      </c>
      <c r="G445" s="5" t="inlineStr">
        <is>
          <t>Disintegration tester</t>
        </is>
      </c>
      <c r="H445" s="5" t="inlineStr">
        <is>
          <t>Low</t>
        </is>
      </c>
      <c r="I445" s="5" t="n">
        <v>1</v>
      </c>
      <c r="J445" s="5" t="n"/>
      <c r="K445" s="10">
        <f>IFERROR(IF(INDEX('Test catalog'!$F$2:$F$200,MATCH($AB445,'Test catalog'!$A$2:$A$200,0))="","",INDEX('Test catalog'!$F$2:$F$200,MATCH($AB445,'Test catalog'!$A$2:$A$200,0))),"")</f>
        <v/>
      </c>
      <c r="L445" s="10">
        <f>IFERROR(IF(INDEX('Test catalog'!$G$2:$G$200,MATCH($AB445,'Test catalog'!$A$2:$A$200,0))="","",INDEX('Test catalog'!$G$2:$G$200,MATCH($AB445,'Test catalog'!$A$2:$A$200,0))),"")</f>
        <v/>
      </c>
      <c r="M445" s="10">
        <f>IFERROR(IF(INDEX('Test catalog'!$H$2:$H$200,MATCH($AB445,'Test catalog'!$A$2:$A$200,0))="","",INDEX('Test catalog'!$H$2:$H$200,MATCH($AB445,'Test catalog'!$A$2:$A$200,0))),"")</f>
        <v/>
      </c>
      <c r="N445" s="10">
        <f>IFERROR(IF(INDEX('Test catalog'!$I$2:$I$200,MATCH($AB445,'Test catalog'!$A$2:$A$200,0))="","",INDEX('Test catalog'!$I$2:$I$200,MATCH($AB445,'Test catalog'!$A$2:$A$200,0))),"")</f>
        <v/>
      </c>
      <c r="O445" s="10">
        <f>IFERROR(IF(INDEX('Test catalog'!$J$2:$J$200,MATCH($AB445,'Test catalog'!$A$2:$A$200,0))="","",INDEX('Test catalog'!$J$2:$J$200,MATCH($AB445,'Test catalog'!$A$2:$A$200,0))),"")</f>
        <v/>
      </c>
      <c r="P445" s="14">
        <f>IF(N445="","",IF(OR(M445="",O445=""),N445,(M445+4*N445+O445)/6))</f>
        <v/>
      </c>
      <c r="Q445" s="10">
        <f>IFERROR(IF(INDEX('Test catalog'!$K$2:$K$200,MATCH($AB445,'Test catalog'!$A$2:$A$200,0))="","",INDEX('Test catalog'!$K$2:$K$200,MATCH($AB445,'Test catalog'!$A$2:$A$200,0))),"")</f>
        <v/>
      </c>
      <c r="R445" s="5" t="n"/>
      <c r="S445" s="10">
        <f>IFERROR(IF(INDEX('Test catalog'!$L$2:$L$200,MATCH($AB445,'Test catalog'!$A$2:$A$200,0))="","",INDEX('Test catalog'!$L$2:$L$200,MATCH($AB445,'Test catalog'!$A$2:$A$200,0))),"")</f>
        <v/>
      </c>
      <c r="T445" s="10">
        <f>IFERROR(IF(INDEX('Test catalog'!$M$2:$M$200,MATCH($AB445,'Test catalog'!$A$2:$A$200,0))="","",INDEX('Test catalog'!$M$2:$M$200,MATCH($AB445,'Test catalog'!$A$2:$A$200,0))),"")</f>
        <v/>
      </c>
      <c r="U445" s="10">
        <f>IFERROR(IF(INDEX('Test catalog'!$N$2:$N$200,MATCH($AB445,'Test catalog'!$A$2:$A$200,0))="","",INDEX('Test catalog'!$N$2:$N$200,MATCH($AB445,'Test catalog'!$A$2:$A$200,0))),"")</f>
        <v/>
      </c>
      <c r="V445" s="15" t="n"/>
      <c r="W445" s="5" t="inlineStr">
        <is>
          <t>Y</t>
        </is>
      </c>
      <c r="X445" s="5" t="n"/>
      <c r="Y445" s="5" t="n"/>
      <c r="Z445" s="5" t="n"/>
      <c r="AA445" s="10">
        <f>IFERROR(IF(INDEX('Test catalog'!$O$2:$O$200,MATCH($AB445,'Test catalog'!$A$2:$A$200,0))="","",INDEX('Test catalog'!$O$2:$O$200,MATCH($AB445,'Test catalog'!$A$2:$A$200,0))),"")</f>
        <v/>
      </c>
      <c r="AB445" s="10" t="inlineStr">
        <is>
          <t>DISINT</t>
        </is>
      </c>
    </row>
    <row r="446">
      <c r="A446" s="10" t="inlineStr">
        <is>
          <t>F59</t>
        </is>
      </c>
      <c r="B446" s="10" t="inlineStr">
        <is>
          <t>FP</t>
        </is>
      </c>
      <c r="C446" s="10" t="inlineStr">
        <is>
          <t>X-Ade (Blister 15 pcs); X-Ade (Bottle 30 pcs)  |  Zinc Gluconate, Magnesium Oxide Heavy (+8 more)</t>
        </is>
      </c>
      <c r="D446" s="10" t="inlineStr">
        <is>
          <t>In-process check at the machine (one check, all its tests)</t>
        </is>
      </c>
      <c r="E446" s="10">
        <f>IF(A446="","",A446&amp;"|"&amp;D446)</f>
        <v/>
      </c>
      <c r="F446" s="5" t="inlineStr">
        <is>
          <t>Y</t>
        </is>
      </c>
      <c r="G446" s="5" t="inlineStr">
        <is>
          <t>Tablet tester</t>
        </is>
      </c>
      <c r="H446" s="5" t="inlineStr">
        <is>
          <t>Low</t>
        </is>
      </c>
      <c r="I446" s="5" t="n">
        <v>1</v>
      </c>
      <c r="J446" s="5" t="n"/>
      <c r="K446" s="10">
        <f>IFERROR(IF(INDEX('Test catalog'!$F$2:$F$200,MATCH($AB446,'Test catalog'!$A$2:$A$200,0))="","",INDEX('Test catalog'!$F$2:$F$200,MATCH($AB446,'Test catalog'!$A$2:$A$200,0))),"")</f>
        <v/>
      </c>
      <c r="L446" s="10">
        <f>IFERROR(IF(INDEX('Test catalog'!$G$2:$G$200,MATCH($AB446,'Test catalog'!$A$2:$A$200,0))="","",INDEX('Test catalog'!$G$2:$G$200,MATCH($AB446,'Test catalog'!$A$2:$A$200,0))),"")</f>
        <v/>
      </c>
      <c r="M446" s="10">
        <f>IFERROR(IF(INDEX('Test catalog'!$H$2:$H$200,MATCH($AB446,'Test catalog'!$A$2:$A$200,0))="","",INDEX('Test catalog'!$H$2:$H$200,MATCH($AB446,'Test catalog'!$A$2:$A$200,0))),"")</f>
        <v/>
      </c>
      <c r="N446" s="10">
        <f>IFERROR(IF(INDEX('Test catalog'!$I$2:$I$200,MATCH($AB446,'Test catalog'!$A$2:$A$200,0))="","",INDEX('Test catalog'!$I$2:$I$200,MATCH($AB446,'Test catalog'!$A$2:$A$200,0))),"")</f>
        <v/>
      </c>
      <c r="O446" s="10">
        <f>IFERROR(IF(INDEX('Test catalog'!$J$2:$J$200,MATCH($AB446,'Test catalog'!$A$2:$A$200,0))="","",INDEX('Test catalog'!$J$2:$J$200,MATCH($AB446,'Test catalog'!$A$2:$A$200,0))),"")</f>
        <v/>
      </c>
      <c r="P446" s="14">
        <f>IF(N446="","",IF(OR(M446="",O446=""),N446,(M446+4*N446+O446)/6))</f>
        <v/>
      </c>
      <c r="Q446" s="10">
        <f>IFERROR(IF(INDEX('Test catalog'!$K$2:$K$200,MATCH($AB446,'Test catalog'!$A$2:$A$200,0))="","",INDEX('Test catalog'!$K$2:$K$200,MATCH($AB446,'Test catalog'!$A$2:$A$200,0))),"")</f>
        <v/>
      </c>
      <c r="R446" s="5" t="n"/>
      <c r="S446" s="10">
        <f>IFERROR(IF(INDEX('Test catalog'!$L$2:$L$200,MATCH($AB446,'Test catalog'!$A$2:$A$200,0))="","",INDEX('Test catalog'!$L$2:$L$200,MATCH($AB446,'Test catalog'!$A$2:$A$200,0))),"")</f>
        <v/>
      </c>
      <c r="T446" s="10">
        <f>IFERROR(IF(INDEX('Test catalog'!$M$2:$M$200,MATCH($AB446,'Test catalog'!$A$2:$A$200,0))="","",INDEX('Test catalog'!$M$2:$M$200,MATCH($AB446,'Test catalog'!$A$2:$A$200,0))),"")</f>
        <v/>
      </c>
      <c r="U446" s="10">
        <f>IFERROR(IF(INDEX('Test catalog'!$N$2:$N$200,MATCH($AB446,'Test catalog'!$A$2:$A$200,0))="","",INDEX('Test catalog'!$N$2:$N$200,MATCH($AB446,'Test catalog'!$A$2:$A$200,0))),"")</f>
        <v/>
      </c>
      <c r="V446" s="15" t="n"/>
      <c r="W446" s="5" t="inlineStr">
        <is>
          <t>N</t>
        </is>
      </c>
      <c r="X446" s="5" t="n"/>
      <c r="Y446" s="5" t="n"/>
      <c r="Z446" s="5" t="n"/>
      <c r="AA446" s="10">
        <f>IFERROR(IF(INDEX('Test catalog'!$O$2:$O$200,MATCH($AB446,'Test catalog'!$A$2:$A$200,0))="","",INDEX('Test catalog'!$O$2:$O$200,MATCH($AB446,'Test catalog'!$A$2:$A$200,0))),"")</f>
        <v/>
      </c>
      <c r="AB446" s="10" t="inlineStr">
        <is>
          <t>IPC</t>
        </is>
      </c>
    </row>
    <row r="447">
      <c r="A447" s="10" t="inlineStr">
        <is>
          <t>F60</t>
        </is>
      </c>
      <c r="B447" s="10" t="inlineStr">
        <is>
          <t>FP</t>
        </is>
      </c>
      <c r="C447" s="10" t="inlineStr">
        <is>
          <t>Energe-X  |  actives TBD: Energe-X</t>
        </is>
      </c>
      <c r="D447" s="10" t="inlineStr">
        <is>
          <t>Average weight / uniformity of mass</t>
        </is>
      </c>
      <c r="E447" s="10">
        <f>IF(A447="","",A447&amp;"|"&amp;D447)</f>
        <v/>
      </c>
      <c r="F447" s="5" t="inlineStr">
        <is>
          <t>Y</t>
        </is>
      </c>
      <c r="G447" s="5" t="inlineStr">
        <is>
          <t>Balance</t>
        </is>
      </c>
      <c r="H447" s="5" t="inlineStr">
        <is>
          <t>Low</t>
        </is>
      </c>
      <c r="I447" s="5" t="n">
        <v>1</v>
      </c>
      <c r="J447" s="5" t="n"/>
      <c r="K447" s="10">
        <f>IFERROR(IF(INDEX('Test catalog'!$F$2:$F$200,MATCH($AB447,'Test catalog'!$A$2:$A$200,0))="","",INDEX('Test catalog'!$F$2:$F$200,MATCH($AB447,'Test catalog'!$A$2:$A$200,0))),"")</f>
        <v/>
      </c>
      <c r="L447" s="10">
        <f>IFERROR(IF(INDEX('Test catalog'!$G$2:$G$200,MATCH($AB447,'Test catalog'!$A$2:$A$200,0))="","",INDEX('Test catalog'!$G$2:$G$200,MATCH($AB447,'Test catalog'!$A$2:$A$200,0))),"")</f>
        <v/>
      </c>
      <c r="M447" s="10">
        <f>IFERROR(IF(INDEX('Test catalog'!$H$2:$H$200,MATCH($AB447,'Test catalog'!$A$2:$A$200,0))="","",INDEX('Test catalog'!$H$2:$H$200,MATCH($AB447,'Test catalog'!$A$2:$A$200,0))),"")</f>
        <v/>
      </c>
      <c r="N447" s="10">
        <f>IFERROR(IF(INDEX('Test catalog'!$I$2:$I$200,MATCH($AB447,'Test catalog'!$A$2:$A$200,0))="","",INDEX('Test catalog'!$I$2:$I$200,MATCH($AB447,'Test catalog'!$A$2:$A$200,0))),"")</f>
        <v/>
      </c>
      <c r="O447" s="10">
        <f>IFERROR(IF(INDEX('Test catalog'!$J$2:$J$200,MATCH($AB447,'Test catalog'!$A$2:$A$200,0))="","",INDEX('Test catalog'!$J$2:$J$200,MATCH($AB447,'Test catalog'!$A$2:$A$200,0))),"")</f>
        <v/>
      </c>
      <c r="P447" s="14">
        <f>IF(N447="","",IF(OR(M447="",O447=""),N447,(M447+4*N447+O447)/6))</f>
        <v/>
      </c>
      <c r="Q447" s="10">
        <f>IFERROR(IF(INDEX('Test catalog'!$K$2:$K$200,MATCH($AB447,'Test catalog'!$A$2:$A$200,0))="","",INDEX('Test catalog'!$K$2:$K$200,MATCH($AB447,'Test catalog'!$A$2:$A$200,0))),"")</f>
        <v/>
      </c>
      <c r="R447" s="5" t="n"/>
      <c r="S447" s="10">
        <f>IFERROR(IF(INDEX('Test catalog'!$L$2:$L$200,MATCH($AB447,'Test catalog'!$A$2:$A$200,0))="","",INDEX('Test catalog'!$L$2:$L$200,MATCH($AB447,'Test catalog'!$A$2:$A$200,0))),"")</f>
        <v/>
      </c>
      <c r="T447" s="10">
        <f>IFERROR(IF(INDEX('Test catalog'!$M$2:$M$200,MATCH($AB447,'Test catalog'!$A$2:$A$200,0))="","",INDEX('Test catalog'!$M$2:$M$200,MATCH($AB447,'Test catalog'!$A$2:$A$200,0))),"")</f>
        <v/>
      </c>
      <c r="U447" s="10">
        <f>IFERROR(IF(INDEX('Test catalog'!$N$2:$N$200,MATCH($AB447,'Test catalog'!$A$2:$A$200,0))="","",INDEX('Test catalog'!$N$2:$N$200,MATCH($AB447,'Test catalog'!$A$2:$A$200,0))),"")</f>
        <v/>
      </c>
      <c r="V447" s="15" t="n"/>
      <c r="W447" s="5" t="inlineStr">
        <is>
          <t>N</t>
        </is>
      </c>
      <c r="X447" s="5" t="n"/>
      <c r="Y447" s="5" t="n"/>
      <c r="Z447" s="5" t="inlineStr">
        <is>
          <t>Actives not on record – confirm tests</t>
        </is>
      </c>
      <c r="AA447" s="10">
        <f>IFERROR(IF(INDEX('Test catalog'!$O$2:$O$200,MATCH($AB447,'Test catalog'!$A$2:$A$200,0))="","",INDEX('Test catalog'!$O$2:$O$200,MATCH($AB447,'Test catalog'!$A$2:$A$200,0))),"")</f>
        <v/>
      </c>
      <c r="AB447" s="10" t="inlineStr">
        <is>
          <t>AVG_WT</t>
        </is>
      </c>
    </row>
    <row r="448">
      <c r="A448" s="10" t="inlineStr">
        <is>
          <t>F60</t>
        </is>
      </c>
      <c r="B448" s="10" t="inlineStr">
        <is>
          <t>FP</t>
        </is>
      </c>
      <c r="C448" s="10" t="inlineStr">
        <is>
          <t>Energe-X  |  actives TBD: Energe-X</t>
        </is>
      </c>
      <c r="D448" s="10" t="inlineStr">
        <is>
          <t>Diameter (or length / width)</t>
        </is>
      </c>
      <c r="E448" s="10">
        <f>IF(A448="","",A448&amp;"|"&amp;D448)</f>
        <v/>
      </c>
      <c r="F448" s="5" t="inlineStr">
        <is>
          <t>Y</t>
        </is>
      </c>
      <c r="G448" s="5" t="inlineStr">
        <is>
          <t>Tablet tester</t>
        </is>
      </c>
      <c r="H448" s="5" t="inlineStr">
        <is>
          <t>Low</t>
        </is>
      </c>
      <c r="I448" s="5" t="n">
        <v>1</v>
      </c>
      <c r="J448" s="5" t="n"/>
      <c r="K448" s="10">
        <f>IFERROR(IF(INDEX('Test catalog'!$F$2:$F$200,MATCH($AB448,'Test catalog'!$A$2:$A$200,0))="","",INDEX('Test catalog'!$F$2:$F$200,MATCH($AB448,'Test catalog'!$A$2:$A$200,0))),"")</f>
        <v/>
      </c>
      <c r="L448" s="10">
        <f>IFERROR(IF(INDEX('Test catalog'!$G$2:$G$200,MATCH($AB448,'Test catalog'!$A$2:$A$200,0))="","",INDEX('Test catalog'!$G$2:$G$200,MATCH($AB448,'Test catalog'!$A$2:$A$200,0))),"")</f>
        <v/>
      </c>
      <c r="M448" s="10">
        <f>IFERROR(IF(INDEX('Test catalog'!$H$2:$H$200,MATCH($AB448,'Test catalog'!$A$2:$A$200,0))="","",INDEX('Test catalog'!$H$2:$H$200,MATCH($AB448,'Test catalog'!$A$2:$A$200,0))),"")</f>
        <v/>
      </c>
      <c r="N448" s="10">
        <f>IFERROR(IF(INDEX('Test catalog'!$I$2:$I$200,MATCH($AB448,'Test catalog'!$A$2:$A$200,0))="","",INDEX('Test catalog'!$I$2:$I$200,MATCH($AB448,'Test catalog'!$A$2:$A$200,0))),"")</f>
        <v/>
      </c>
      <c r="O448" s="10">
        <f>IFERROR(IF(INDEX('Test catalog'!$J$2:$J$200,MATCH($AB448,'Test catalog'!$A$2:$A$200,0))="","",INDEX('Test catalog'!$J$2:$J$200,MATCH($AB448,'Test catalog'!$A$2:$A$200,0))),"")</f>
        <v/>
      </c>
      <c r="P448" s="14">
        <f>IF(N448="","",IF(OR(M448="",O448=""),N448,(M448+4*N448+O448)/6))</f>
        <v/>
      </c>
      <c r="Q448" s="10">
        <f>IFERROR(IF(INDEX('Test catalog'!$K$2:$K$200,MATCH($AB448,'Test catalog'!$A$2:$A$200,0))="","",INDEX('Test catalog'!$K$2:$K$200,MATCH($AB448,'Test catalog'!$A$2:$A$200,0))),"")</f>
        <v/>
      </c>
      <c r="R448" s="5" t="n"/>
      <c r="S448" s="10">
        <f>IFERROR(IF(INDEX('Test catalog'!$L$2:$L$200,MATCH($AB448,'Test catalog'!$A$2:$A$200,0))="","",INDEX('Test catalog'!$L$2:$L$200,MATCH($AB448,'Test catalog'!$A$2:$A$200,0))),"")</f>
        <v/>
      </c>
      <c r="T448" s="10">
        <f>IFERROR(IF(INDEX('Test catalog'!$M$2:$M$200,MATCH($AB448,'Test catalog'!$A$2:$A$200,0))="","",INDEX('Test catalog'!$M$2:$M$200,MATCH($AB448,'Test catalog'!$A$2:$A$200,0))),"")</f>
        <v/>
      </c>
      <c r="U448" s="10">
        <f>IFERROR(IF(INDEX('Test catalog'!$N$2:$N$200,MATCH($AB448,'Test catalog'!$A$2:$A$200,0))="","",INDEX('Test catalog'!$N$2:$N$200,MATCH($AB448,'Test catalog'!$A$2:$A$200,0))),"")</f>
        <v/>
      </c>
      <c r="V448" s="15" t="n"/>
      <c r="W448" s="5" t="inlineStr">
        <is>
          <t>N</t>
        </is>
      </c>
      <c r="X448" s="5" t="n"/>
      <c r="Y448" s="5" t="n"/>
      <c r="Z448" s="5" t="inlineStr">
        <is>
          <t>Actives not on record – confirm tests</t>
        </is>
      </c>
      <c r="AA448" s="10">
        <f>IFERROR(IF(INDEX('Test catalog'!$O$2:$O$200,MATCH($AB448,'Test catalog'!$A$2:$A$200,0))="","",INDEX('Test catalog'!$O$2:$O$200,MATCH($AB448,'Test catalog'!$A$2:$A$200,0))),"")</f>
        <v/>
      </c>
      <c r="AB448" s="10" t="inlineStr">
        <is>
          <t>DIAM</t>
        </is>
      </c>
    </row>
    <row r="449">
      <c r="A449" s="10" t="inlineStr">
        <is>
          <t>F60</t>
        </is>
      </c>
      <c r="B449" s="10" t="inlineStr">
        <is>
          <t>FP</t>
        </is>
      </c>
      <c r="C449" s="10" t="inlineStr">
        <is>
          <t>Energe-X  |  actives TBD: Energe-X</t>
        </is>
      </c>
      <c r="D449" s="10" t="inlineStr">
        <is>
          <t>Thickness</t>
        </is>
      </c>
      <c r="E449" s="10">
        <f>IF(A449="","",A449&amp;"|"&amp;D449)</f>
        <v/>
      </c>
      <c r="F449" s="5" t="inlineStr">
        <is>
          <t>Y</t>
        </is>
      </c>
      <c r="G449" s="5" t="inlineStr">
        <is>
          <t>Tablet tester</t>
        </is>
      </c>
      <c r="H449" s="5" t="inlineStr">
        <is>
          <t>Low</t>
        </is>
      </c>
      <c r="I449" s="5" t="n">
        <v>1</v>
      </c>
      <c r="J449" s="5" t="n"/>
      <c r="K449" s="10">
        <f>IFERROR(IF(INDEX('Test catalog'!$F$2:$F$200,MATCH($AB449,'Test catalog'!$A$2:$A$200,0))="","",INDEX('Test catalog'!$F$2:$F$200,MATCH($AB449,'Test catalog'!$A$2:$A$200,0))),"")</f>
        <v/>
      </c>
      <c r="L449" s="10">
        <f>IFERROR(IF(INDEX('Test catalog'!$G$2:$G$200,MATCH($AB449,'Test catalog'!$A$2:$A$200,0))="","",INDEX('Test catalog'!$G$2:$G$200,MATCH($AB449,'Test catalog'!$A$2:$A$200,0))),"")</f>
        <v/>
      </c>
      <c r="M449" s="10">
        <f>IFERROR(IF(INDEX('Test catalog'!$H$2:$H$200,MATCH($AB449,'Test catalog'!$A$2:$A$200,0))="","",INDEX('Test catalog'!$H$2:$H$200,MATCH($AB449,'Test catalog'!$A$2:$A$200,0))),"")</f>
        <v/>
      </c>
      <c r="N449" s="10">
        <f>IFERROR(IF(INDEX('Test catalog'!$I$2:$I$200,MATCH($AB449,'Test catalog'!$A$2:$A$200,0))="","",INDEX('Test catalog'!$I$2:$I$200,MATCH($AB449,'Test catalog'!$A$2:$A$200,0))),"")</f>
        <v/>
      </c>
      <c r="O449" s="10">
        <f>IFERROR(IF(INDEX('Test catalog'!$J$2:$J$200,MATCH($AB449,'Test catalog'!$A$2:$A$200,0))="","",INDEX('Test catalog'!$J$2:$J$200,MATCH($AB449,'Test catalog'!$A$2:$A$200,0))),"")</f>
        <v/>
      </c>
      <c r="P449" s="14">
        <f>IF(N449="","",IF(OR(M449="",O449=""),N449,(M449+4*N449+O449)/6))</f>
        <v/>
      </c>
      <c r="Q449" s="10">
        <f>IFERROR(IF(INDEX('Test catalog'!$K$2:$K$200,MATCH($AB449,'Test catalog'!$A$2:$A$200,0))="","",INDEX('Test catalog'!$K$2:$K$200,MATCH($AB449,'Test catalog'!$A$2:$A$200,0))),"")</f>
        <v/>
      </c>
      <c r="R449" s="5" t="n"/>
      <c r="S449" s="10">
        <f>IFERROR(IF(INDEX('Test catalog'!$L$2:$L$200,MATCH($AB449,'Test catalog'!$A$2:$A$200,0))="","",INDEX('Test catalog'!$L$2:$L$200,MATCH($AB449,'Test catalog'!$A$2:$A$200,0))),"")</f>
        <v/>
      </c>
      <c r="T449" s="10">
        <f>IFERROR(IF(INDEX('Test catalog'!$M$2:$M$200,MATCH($AB449,'Test catalog'!$A$2:$A$200,0))="","",INDEX('Test catalog'!$M$2:$M$200,MATCH($AB449,'Test catalog'!$A$2:$A$200,0))),"")</f>
        <v/>
      </c>
      <c r="U449" s="10">
        <f>IFERROR(IF(INDEX('Test catalog'!$N$2:$N$200,MATCH($AB449,'Test catalog'!$A$2:$A$200,0))="","",INDEX('Test catalog'!$N$2:$N$200,MATCH($AB449,'Test catalog'!$A$2:$A$200,0))),"")</f>
        <v/>
      </c>
      <c r="V449" s="15" t="n"/>
      <c r="W449" s="5" t="inlineStr">
        <is>
          <t>N</t>
        </is>
      </c>
      <c r="X449" s="5" t="n"/>
      <c r="Y449" s="5" t="n"/>
      <c r="Z449" s="5" t="inlineStr">
        <is>
          <t>Actives not on record – confirm tests</t>
        </is>
      </c>
      <c r="AA449" s="10">
        <f>IFERROR(IF(INDEX('Test catalog'!$O$2:$O$200,MATCH($AB449,'Test catalog'!$A$2:$A$200,0))="","",INDEX('Test catalog'!$O$2:$O$200,MATCH($AB449,'Test catalog'!$A$2:$A$200,0))),"")</f>
        <v/>
      </c>
      <c r="AB449" s="10" t="inlineStr">
        <is>
          <t>THICK</t>
        </is>
      </c>
    </row>
    <row r="450">
      <c r="A450" s="10" t="inlineStr">
        <is>
          <t>F60</t>
        </is>
      </c>
      <c r="B450" s="10" t="inlineStr">
        <is>
          <t>FP</t>
        </is>
      </c>
      <c r="C450" s="10" t="inlineStr">
        <is>
          <t>Energe-X  |  actives TBD: Energe-X</t>
        </is>
      </c>
      <c r="D450" s="10" t="inlineStr">
        <is>
          <t>Hardness / breaking force</t>
        </is>
      </c>
      <c r="E450" s="10">
        <f>IF(A450="","",A450&amp;"|"&amp;D450)</f>
        <v/>
      </c>
      <c r="F450" s="5" t="inlineStr">
        <is>
          <t>Y</t>
        </is>
      </c>
      <c r="G450" s="5" t="inlineStr">
        <is>
          <t>Tablet tester</t>
        </is>
      </c>
      <c r="H450" s="5" t="inlineStr">
        <is>
          <t>Low</t>
        </is>
      </c>
      <c r="I450" s="5" t="n">
        <v>1</v>
      </c>
      <c r="J450" s="5" t="n"/>
      <c r="K450" s="10">
        <f>IFERROR(IF(INDEX('Test catalog'!$F$2:$F$200,MATCH($AB450,'Test catalog'!$A$2:$A$200,0))="","",INDEX('Test catalog'!$F$2:$F$200,MATCH($AB450,'Test catalog'!$A$2:$A$200,0))),"")</f>
        <v/>
      </c>
      <c r="L450" s="10">
        <f>IFERROR(IF(INDEX('Test catalog'!$G$2:$G$200,MATCH($AB450,'Test catalog'!$A$2:$A$200,0))="","",INDEX('Test catalog'!$G$2:$G$200,MATCH($AB450,'Test catalog'!$A$2:$A$200,0))),"")</f>
        <v/>
      </c>
      <c r="M450" s="10">
        <f>IFERROR(IF(INDEX('Test catalog'!$H$2:$H$200,MATCH($AB450,'Test catalog'!$A$2:$A$200,0))="","",INDEX('Test catalog'!$H$2:$H$200,MATCH($AB450,'Test catalog'!$A$2:$A$200,0))),"")</f>
        <v/>
      </c>
      <c r="N450" s="10">
        <f>IFERROR(IF(INDEX('Test catalog'!$I$2:$I$200,MATCH($AB450,'Test catalog'!$A$2:$A$200,0))="","",INDEX('Test catalog'!$I$2:$I$200,MATCH($AB450,'Test catalog'!$A$2:$A$200,0))),"")</f>
        <v/>
      </c>
      <c r="O450" s="10">
        <f>IFERROR(IF(INDEX('Test catalog'!$J$2:$J$200,MATCH($AB450,'Test catalog'!$A$2:$A$200,0))="","",INDEX('Test catalog'!$J$2:$J$200,MATCH($AB450,'Test catalog'!$A$2:$A$200,0))),"")</f>
        <v/>
      </c>
      <c r="P450" s="14">
        <f>IF(N450="","",IF(OR(M450="",O450=""),N450,(M450+4*N450+O450)/6))</f>
        <v/>
      </c>
      <c r="Q450" s="10">
        <f>IFERROR(IF(INDEX('Test catalog'!$K$2:$K$200,MATCH($AB450,'Test catalog'!$A$2:$A$200,0))="","",INDEX('Test catalog'!$K$2:$K$200,MATCH($AB450,'Test catalog'!$A$2:$A$200,0))),"")</f>
        <v/>
      </c>
      <c r="R450" s="5" t="n"/>
      <c r="S450" s="10">
        <f>IFERROR(IF(INDEX('Test catalog'!$L$2:$L$200,MATCH($AB450,'Test catalog'!$A$2:$A$200,0))="","",INDEX('Test catalog'!$L$2:$L$200,MATCH($AB450,'Test catalog'!$A$2:$A$200,0))),"")</f>
        <v/>
      </c>
      <c r="T450" s="10">
        <f>IFERROR(IF(INDEX('Test catalog'!$M$2:$M$200,MATCH($AB450,'Test catalog'!$A$2:$A$200,0))="","",INDEX('Test catalog'!$M$2:$M$200,MATCH($AB450,'Test catalog'!$A$2:$A$200,0))),"")</f>
        <v/>
      </c>
      <c r="U450" s="10">
        <f>IFERROR(IF(INDEX('Test catalog'!$N$2:$N$200,MATCH($AB450,'Test catalog'!$A$2:$A$200,0))="","",INDEX('Test catalog'!$N$2:$N$200,MATCH($AB450,'Test catalog'!$A$2:$A$200,0))),"")</f>
        <v/>
      </c>
      <c r="V450" s="15" t="n"/>
      <c r="W450" s="5" t="inlineStr">
        <is>
          <t>Y</t>
        </is>
      </c>
      <c r="X450" s="5" t="n"/>
      <c r="Y450" s="5" t="n"/>
      <c r="Z450" s="5" t="inlineStr">
        <is>
          <t>Actives not on record – confirm tests</t>
        </is>
      </c>
      <c r="AA450" s="10">
        <f>IFERROR(IF(INDEX('Test catalog'!$O$2:$O$200,MATCH($AB450,'Test catalog'!$A$2:$A$200,0))="","",INDEX('Test catalog'!$O$2:$O$200,MATCH($AB450,'Test catalog'!$A$2:$A$200,0))),"")</f>
        <v/>
      </c>
      <c r="AB450" s="10" t="inlineStr">
        <is>
          <t>HARD</t>
        </is>
      </c>
    </row>
    <row r="451">
      <c r="A451" s="10" t="inlineStr">
        <is>
          <t>F60</t>
        </is>
      </c>
      <c r="B451" s="10" t="inlineStr">
        <is>
          <t>FP</t>
        </is>
      </c>
      <c r="C451" s="10" t="inlineStr">
        <is>
          <t>Energe-X  |  actives TBD: Energe-X</t>
        </is>
      </c>
      <c r="D451" s="10" t="inlineStr">
        <is>
          <t>Brittleness</t>
        </is>
      </c>
      <c r="E451" s="10">
        <f>IF(A451="","",A451&amp;"|"&amp;D451)</f>
        <v/>
      </c>
      <c r="F451" s="5" t="inlineStr">
        <is>
          <t>Y</t>
        </is>
      </c>
      <c r="G451" s="5" t="inlineStr">
        <is>
          <t>Other / bench</t>
        </is>
      </c>
      <c r="H451" s="5" t="inlineStr">
        <is>
          <t>Low</t>
        </is>
      </c>
      <c r="I451" s="5" t="n">
        <v>1</v>
      </c>
      <c r="J451" s="5" t="n"/>
      <c r="K451" s="10">
        <f>IFERROR(IF(INDEX('Test catalog'!$F$2:$F$200,MATCH($AB451,'Test catalog'!$A$2:$A$200,0))="","",INDEX('Test catalog'!$F$2:$F$200,MATCH($AB451,'Test catalog'!$A$2:$A$200,0))),"")</f>
        <v/>
      </c>
      <c r="L451" s="10">
        <f>IFERROR(IF(INDEX('Test catalog'!$G$2:$G$200,MATCH($AB451,'Test catalog'!$A$2:$A$200,0))="","",INDEX('Test catalog'!$G$2:$G$200,MATCH($AB451,'Test catalog'!$A$2:$A$200,0))),"")</f>
        <v/>
      </c>
      <c r="M451" s="10">
        <f>IFERROR(IF(INDEX('Test catalog'!$H$2:$H$200,MATCH($AB451,'Test catalog'!$A$2:$A$200,0))="","",INDEX('Test catalog'!$H$2:$H$200,MATCH($AB451,'Test catalog'!$A$2:$A$200,0))),"")</f>
        <v/>
      </c>
      <c r="N451" s="10">
        <f>IFERROR(IF(INDEX('Test catalog'!$I$2:$I$200,MATCH($AB451,'Test catalog'!$A$2:$A$200,0))="","",INDEX('Test catalog'!$I$2:$I$200,MATCH($AB451,'Test catalog'!$A$2:$A$200,0))),"")</f>
        <v/>
      </c>
      <c r="O451" s="10">
        <f>IFERROR(IF(INDEX('Test catalog'!$J$2:$J$200,MATCH($AB451,'Test catalog'!$A$2:$A$200,0))="","",INDEX('Test catalog'!$J$2:$J$200,MATCH($AB451,'Test catalog'!$A$2:$A$200,0))),"")</f>
        <v/>
      </c>
      <c r="P451" s="14">
        <f>IF(N451="","",IF(OR(M451="",O451=""),N451,(M451+4*N451+O451)/6))</f>
        <v/>
      </c>
      <c r="Q451" s="10">
        <f>IFERROR(IF(INDEX('Test catalog'!$K$2:$K$200,MATCH($AB451,'Test catalog'!$A$2:$A$200,0))="","",INDEX('Test catalog'!$K$2:$K$200,MATCH($AB451,'Test catalog'!$A$2:$A$200,0))),"")</f>
        <v/>
      </c>
      <c r="R451" s="5" t="n"/>
      <c r="S451" s="10">
        <f>IFERROR(IF(INDEX('Test catalog'!$L$2:$L$200,MATCH($AB451,'Test catalog'!$A$2:$A$200,0))="","",INDEX('Test catalog'!$L$2:$L$200,MATCH($AB451,'Test catalog'!$A$2:$A$200,0))),"")</f>
        <v/>
      </c>
      <c r="T451" s="10">
        <f>IFERROR(IF(INDEX('Test catalog'!$M$2:$M$200,MATCH($AB451,'Test catalog'!$A$2:$A$200,0))="","",INDEX('Test catalog'!$M$2:$M$200,MATCH($AB451,'Test catalog'!$A$2:$A$200,0))),"")</f>
        <v/>
      </c>
      <c r="U451" s="10">
        <f>IFERROR(IF(INDEX('Test catalog'!$N$2:$N$200,MATCH($AB451,'Test catalog'!$A$2:$A$200,0))="","",INDEX('Test catalog'!$N$2:$N$200,MATCH($AB451,'Test catalog'!$A$2:$A$200,0))),"")</f>
        <v/>
      </c>
      <c r="V451" s="15" t="n"/>
      <c r="W451" s="5" t="inlineStr">
        <is>
          <t>N</t>
        </is>
      </c>
      <c r="X451" s="5" t="n"/>
      <c r="Y451" s="5" t="n"/>
      <c r="Z451" s="5" t="inlineStr">
        <is>
          <t>Actives not on record – confirm tests</t>
        </is>
      </c>
      <c r="AA451" s="10">
        <f>IFERROR(IF(INDEX('Test catalog'!$O$2:$O$200,MATCH($AB451,'Test catalog'!$A$2:$A$200,0))="","",INDEX('Test catalog'!$O$2:$O$200,MATCH($AB451,'Test catalog'!$A$2:$A$200,0))),"")</f>
        <v/>
      </c>
      <c r="AB451" s="10" t="inlineStr">
        <is>
          <t>BRITTLE</t>
        </is>
      </c>
    </row>
    <row r="452">
      <c r="A452" s="10" t="inlineStr">
        <is>
          <t>F60</t>
        </is>
      </c>
      <c r="B452" s="10" t="inlineStr">
        <is>
          <t>FP</t>
        </is>
      </c>
      <c r="C452" s="10" t="inlineStr">
        <is>
          <t>Energe-X  |  actives TBD: Energe-X</t>
        </is>
      </c>
      <c r="D452" s="10" t="inlineStr">
        <is>
          <t>Friability</t>
        </is>
      </c>
      <c r="E452" s="10">
        <f>IF(A452="","",A452&amp;"|"&amp;D452)</f>
        <v/>
      </c>
      <c r="F452" s="5" t="inlineStr">
        <is>
          <t>Y</t>
        </is>
      </c>
      <c r="G452" s="5" t="inlineStr">
        <is>
          <t>Friabilator</t>
        </is>
      </c>
      <c r="H452" s="5" t="inlineStr">
        <is>
          <t>Low</t>
        </is>
      </c>
      <c r="I452" s="5" t="n">
        <v>1</v>
      </c>
      <c r="J452" s="5" t="n"/>
      <c r="K452" s="10">
        <f>IFERROR(IF(INDEX('Test catalog'!$F$2:$F$200,MATCH($AB452,'Test catalog'!$A$2:$A$200,0))="","",INDEX('Test catalog'!$F$2:$F$200,MATCH($AB452,'Test catalog'!$A$2:$A$200,0))),"")</f>
        <v/>
      </c>
      <c r="L452" s="10">
        <f>IFERROR(IF(INDEX('Test catalog'!$G$2:$G$200,MATCH($AB452,'Test catalog'!$A$2:$A$200,0))="","",INDEX('Test catalog'!$G$2:$G$200,MATCH($AB452,'Test catalog'!$A$2:$A$200,0))),"")</f>
        <v/>
      </c>
      <c r="M452" s="10">
        <f>IFERROR(IF(INDEX('Test catalog'!$H$2:$H$200,MATCH($AB452,'Test catalog'!$A$2:$A$200,0))="","",INDEX('Test catalog'!$H$2:$H$200,MATCH($AB452,'Test catalog'!$A$2:$A$200,0))),"")</f>
        <v/>
      </c>
      <c r="N452" s="10">
        <f>IFERROR(IF(INDEX('Test catalog'!$I$2:$I$200,MATCH($AB452,'Test catalog'!$A$2:$A$200,0))="","",INDEX('Test catalog'!$I$2:$I$200,MATCH($AB452,'Test catalog'!$A$2:$A$200,0))),"")</f>
        <v/>
      </c>
      <c r="O452" s="10">
        <f>IFERROR(IF(INDEX('Test catalog'!$J$2:$J$200,MATCH($AB452,'Test catalog'!$A$2:$A$200,0))="","",INDEX('Test catalog'!$J$2:$J$200,MATCH($AB452,'Test catalog'!$A$2:$A$200,0))),"")</f>
        <v/>
      </c>
      <c r="P452" s="14">
        <f>IF(N452="","",IF(OR(M452="",O452=""),N452,(M452+4*N452+O452)/6))</f>
        <v/>
      </c>
      <c r="Q452" s="10">
        <f>IFERROR(IF(INDEX('Test catalog'!$K$2:$K$200,MATCH($AB452,'Test catalog'!$A$2:$A$200,0))="","",INDEX('Test catalog'!$K$2:$K$200,MATCH($AB452,'Test catalog'!$A$2:$A$200,0))),"")</f>
        <v/>
      </c>
      <c r="R452" s="5" t="n"/>
      <c r="S452" s="10">
        <f>IFERROR(IF(INDEX('Test catalog'!$L$2:$L$200,MATCH($AB452,'Test catalog'!$A$2:$A$200,0))="","",INDEX('Test catalog'!$L$2:$L$200,MATCH($AB452,'Test catalog'!$A$2:$A$200,0))),"")</f>
        <v/>
      </c>
      <c r="T452" s="10">
        <f>IFERROR(IF(INDEX('Test catalog'!$M$2:$M$200,MATCH($AB452,'Test catalog'!$A$2:$A$200,0))="","",INDEX('Test catalog'!$M$2:$M$200,MATCH($AB452,'Test catalog'!$A$2:$A$200,0))),"")</f>
        <v/>
      </c>
      <c r="U452" s="10">
        <f>IFERROR(IF(INDEX('Test catalog'!$N$2:$N$200,MATCH($AB452,'Test catalog'!$A$2:$A$200,0))="","",INDEX('Test catalog'!$N$2:$N$200,MATCH($AB452,'Test catalog'!$A$2:$A$200,0))),"")</f>
        <v/>
      </c>
      <c r="V452" s="15" t="n"/>
      <c r="W452" s="5" t="inlineStr">
        <is>
          <t>N</t>
        </is>
      </c>
      <c r="X452" s="5" t="n"/>
      <c r="Y452" s="5" t="n"/>
      <c r="Z452" s="5" t="inlineStr">
        <is>
          <t>Actives not on record – confirm tests</t>
        </is>
      </c>
      <c r="AA452" s="10">
        <f>IFERROR(IF(INDEX('Test catalog'!$O$2:$O$200,MATCH($AB452,'Test catalog'!$A$2:$A$200,0))="","",INDEX('Test catalog'!$O$2:$O$200,MATCH($AB452,'Test catalog'!$A$2:$A$200,0))),"")</f>
        <v/>
      </c>
      <c r="AB452" s="10" t="inlineStr">
        <is>
          <t>FRIAB</t>
        </is>
      </c>
    </row>
    <row r="453">
      <c r="A453" s="10" t="inlineStr">
        <is>
          <t>F60</t>
        </is>
      </c>
      <c r="B453" s="10" t="inlineStr">
        <is>
          <t>FP</t>
        </is>
      </c>
      <c r="C453" s="10" t="inlineStr">
        <is>
          <t>Energe-X  |  actives TBD: Energe-X</t>
        </is>
      </c>
      <c r="D453" s="10" t="inlineStr">
        <is>
          <t>Disintegration</t>
        </is>
      </c>
      <c r="E453" s="10">
        <f>IF(A453="","",A453&amp;"|"&amp;D453)</f>
        <v/>
      </c>
      <c r="F453" s="5" t="inlineStr">
        <is>
          <t>Y</t>
        </is>
      </c>
      <c r="G453" s="5" t="inlineStr">
        <is>
          <t>Disintegration tester</t>
        </is>
      </c>
      <c r="H453" s="5" t="inlineStr">
        <is>
          <t>Low</t>
        </is>
      </c>
      <c r="I453" s="5" t="n">
        <v>1</v>
      </c>
      <c r="J453" s="5" t="n"/>
      <c r="K453" s="10">
        <f>IFERROR(IF(INDEX('Test catalog'!$F$2:$F$200,MATCH($AB453,'Test catalog'!$A$2:$A$200,0))="","",INDEX('Test catalog'!$F$2:$F$200,MATCH($AB453,'Test catalog'!$A$2:$A$200,0))),"")</f>
        <v/>
      </c>
      <c r="L453" s="10">
        <f>IFERROR(IF(INDEX('Test catalog'!$G$2:$G$200,MATCH($AB453,'Test catalog'!$A$2:$A$200,0))="","",INDEX('Test catalog'!$G$2:$G$200,MATCH($AB453,'Test catalog'!$A$2:$A$200,0))),"")</f>
        <v/>
      </c>
      <c r="M453" s="10">
        <f>IFERROR(IF(INDEX('Test catalog'!$H$2:$H$200,MATCH($AB453,'Test catalog'!$A$2:$A$200,0))="","",INDEX('Test catalog'!$H$2:$H$200,MATCH($AB453,'Test catalog'!$A$2:$A$200,0))),"")</f>
        <v/>
      </c>
      <c r="N453" s="10">
        <f>IFERROR(IF(INDEX('Test catalog'!$I$2:$I$200,MATCH($AB453,'Test catalog'!$A$2:$A$200,0))="","",INDEX('Test catalog'!$I$2:$I$200,MATCH($AB453,'Test catalog'!$A$2:$A$200,0))),"")</f>
        <v/>
      </c>
      <c r="O453" s="10">
        <f>IFERROR(IF(INDEX('Test catalog'!$J$2:$J$200,MATCH($AB453,'Test catalog'!$A$2:$A$200,0))="","",INDEX('Test catalog'!$J$2:$J$200,MATCH($AB453,'Test catalog'!$A$2:$A$200,0))),"")</f>
        <v/>
      </c>
      <c r="P453" s="14">
        <f>IF(N453="","",IF(OR(M453="",O453=""),N453,(M453+4*N453+O453)/6))</f>
        <v/>
      </c>
      <c r="Q453" s="10">
        <f>IFERROR(IF(INDEX('Test catalog'!$K$2:$K$200,MATCH($AB453,'Test catalog'!$A$2:$A$200,0))="","",INDEX('Test catalog'!$K$2:$K$200,MATCH($AB453,'Test catalog'!$A$2:$A$200,0))),"")</f>
        <v/>
      </c>
      <c r="R453" s="5" t="n"/>
      <c r="S453" s="10">
        <f>IFERROR(IF(INDEX('Test catalog'!$L$2:$L$200,MATCH($AB453,'Test catalog'!$A$2:$A$200,0))="","",INDEX('Test catalog'!$L$2:$L$200,MATCH($AB453,'Test catalog'!$A$2:$A$200,0))),"")</f>
        <v/>
      </c>
      <c r="T453" s="10">
        <f>IFERROR(IF(INDEX('Test catalog'!$M$2:$M$200,MATCH($AB453,'Test catalog'!$A$2:$A$200,0))="","",INDEX('Test catalog'!$M$2:$M$200,MATCH($AB453,'Test catalog'!$A$2:$A$200,0))),"")</f>
        <v/>
      </c>
      <c r="U453" s="10">
        <f>IFERROR(IF(INDEX('Test catalog'!$N$2:$N$200,MATCH($AB453,'Test catalog'!$A$2:$A$200,0))="","",INDEX('Test catalog'!$N$2:$N$200,MATCH($AB453,'Test catalog'!$A$2:$A$200,0))),"")</f>
        <v/>
      </c>
      <c r="V453" s="15" t="n"/>
      <c r="W453" s="5" t="inlineStr">
        <is>
          <t>Y</t>
        </is>
      </c>
      <c r="X453" s="5" t="n"/>
      <c r="Y453" s="5" t="n"/>
      <c r="Z453" s="5" t="inlineStr">
        <is>
          <t>Actives not on record – confirm tests</t>
        </is>
      </c>
      <c r="AA453" s="10">
        <f>IFERROR(IF(INDEX('Test catalog'!$O$2:$O$200,MATCH($AB453,'Test catalog'!$A$2:$A$200,0))="","",INDEX('Test catalog'!$O$2:$O$200,MATCH($AB453,'Test catalog'!$A$2:$A$200,0))),"")</f>
        <v/>
      </c>
      <c r="AB453" s="10" t="inlineStr">
        <is>
          <t>DISINT</t>
        </is>
      </c>
    </row>
    <row r="454">
      <c r="A454" s="10" t="inlineStr">
        <is>
          <t>F60</t>
        </is>
      </c>
      <c r="B454" s="10" t="inlineStr">
        <is>
          <t>FP</t>
        </is>
      </c>
      <c r="C454" s="10" t="inlineStr">
        <is>
          <t>Energe-X  |  actives TBD: Energe-X</t>
        </is>
      </c>
      <c r="D454" s="10" t="inlineStr">
        <is>
          <t>In-process check at the machine (one check, all its tests)</t>
        </is>
      </c>
      <c r="E454" s="10">
        <f>IF(A454="","",A454&amp;"|"&amp;D454)</f>
        <v/>
      </c>
      <c r="F454" s="5" t="inlineStr">
        <is>
          <t>Y</t>
        </is>
      </c>
      <c r="G454" s="5" t="inlineStr">
        <is>
          <t>Tablet tester</t>
        </is>
      </c>
      <c r="H454" s="5" t="inlineStr">
        <is>
          <t>Low</t>
        </is>
      </c>
      <c r="I454" s="5" t="n">
        <v>1</v>
      </c>
      <c r="J454" s="5" t="n"/>
      <c r="K454" s="10">
        <f>IFERROR(IF(INDEX('Test catalog'!$F$2:$F$200,MATCH($AB454,'Test catalog'!$A$2:$A$200,0))="","",INDEX('Test catalog'!$F$2:$F$200,MATCH($AB454,'Test catalog'!$A$2:$A$200,0))),"")</f>
        <v/>
      </c>
      <c r="L454" s="10">
        <f>IFERROR(IF(INDEX('Test catalog'!$G$2:$G$200,MATCH($AB454,'Test catalog'!$A$2:$A$200,0))="","",INDEX('Test catalog'!$G$2:$G$200,MATCH($AB454,'Test catalog'!$A$2:$A$200,0))),"")</f>
        <v/>
      </c>
      <c r="M454" s="10">
        <f>IFERROR(IF(INDEX('Test catalog'!$H$2:$H$200,MATCH($AB454,'Test catalog'!$A$2:$A$200,0))="","",INDEX('Test catalog'!$H$2:$H$200,MATCH($AB454,'Test catalog'!$A$2:$A$200,0))),"")</f>
        <v/>
      </c>
      <c r="N454" s="10">
        <f>IFERROR(IF(INDEX('Test catalog'!$I$2:$I$200,MATCH($AB454,'Test catalog'!$A$2:$A$200,0))="","",INDEX('Test catalog'!$I$2:$I$200,MATCH($AB454,'Test catalog'!$A$2:$A$200,0))),"")</f>
        <v/>
      </c>
      <c r="O454" s="10">
        <f>IFERROR(IF(INDEX('Test catalog'!$J$2:$J$200,MATCH($AB454,'Test catalog'!$A$2:$A$200,0))="","",INDEX('Test catalog'!$J$2:$J$200,MATCH($AB454,'Test catalog'!$A$2:$A$200,0))),"")</f>
        <v/>
      </c>
      <c r="P454" s="14">
        <f>IF(N454="","",IF(OR(M454="",O454=""),N454,(M454+4*N454+O454)/6))</f>
        <v/>
      </c>
      <c r="Q454" s="10">
        <f>IFERROR(IF(INDEX('Test catalog'!$K$2:$K$200,MATCH($AB454,'Test catalog'!$A$2:$A$200,0))="","",INDEX('Test catalog'!$K$2:$K$200,MATCH($AB454,'Test catalog'!$A$2:$A$200,0))),"")</f>
        <v/>
      </c>
      <c r="R454" s="5" t="n"/>
      <c r="S454" s="10">
        <f>IFERROR(IF(INDEX('Test catalog'!$L$2:$L$200,MATCH($AB454,'Test catalog'!$A$2:$A$200,0))="","",INDEX('Test catalog'!$L$2:$L$200,MATCH($AB454,'Test catalog'!$A$2:$A$200,0))),"")</f>
        <v/>
      </c>
      <c r="T454" s="10">
        <f>IFERROR(IF(INDEX('Test catalog'!$M$2:$M$200,MATCH($AB454,'Test catalog'!$A$2:$A$200,0))="","",INDEX('Test catalog'!$M$2:$M$200,MATCH($AB454,'Test catalog'!$A$2:$A$200,0))),"")</f>
        <v/>
      </c>
      <c r="U454" s="10">
        <f>IFERROR(IF(INDEX('Test catalog'!$N$2:$N$200,MATCH($AB454,'Test catalog'!$A$2:$A$200,0))="","",INDEX('Test catalog'!$N$2:$N$200,MATCH($AB454,'Test catalog'!$A$2:$A$200,0))),"")</f>
        <v/>
      </c>
      <c r="V454" s="15" t="n"/>
      <c r="W454" s="5" t="inlineStr">
        <is>
          <t>N</t>
        </is>
      </c>
      <c r="X454" s="5" t="n"/>
      <c r="Y454" s="5" t="n"/>
      <c r="Z454" s="5" t="inlineStr">
        <is>
          <t>Actives not on record – confirm tests</t>
        </is>
      </c>
      <c r="AA454" s="10">
        <f>IFERROR(IF(INDEX('Test catalog'!$O$2:$O$200,MATCH($AB454,'Test catalog'!$A$2:$A$200,0))="","",INDEX('Test catalog'!$O$2:$O$200,MATCH($AB454,'Test catalog'!$A$2:$A$200,0))),"")</f>
        <v/>
      </c>
      <c r="AB454" s="10" t="inlineStr">
        <is>
          <t>IPC</t>
        </is>
      </c>
    </row>
    <row r="455">
      <c r="A455" s="10" t="inlineStr">
        <is>
          <t>F61</t>
        </is>
      </c>
      <c r="B455" s="10" t="inlineStr">
        <is>
          <t>FP</t>
        </is>
      </c>
      <c r="C455" s="10" t="inlineStr">
        <is>
          <t>Dermo bella Permium 30 Cap  |  Premix Dermo Bella, L-Cystine (+1 more)</t>
        </is>
      </c>
      <c r="D455" s="10" t="inlineStr">
        <is>
          <t>Average weight / uniformity of mass</t>
        </is>
      </c>
      <c r="E455" s="10">
        <f>IF(A455="","",A455&amp;"|"&amp;D455)</f>
        <v/>
      </c>
      <c r="F455" s="5" t="inlineStr">
        <is>
          <t>Y</t>
        </is>
      </c>
      <c r="G455" s="5" t="inlineStr">
        <is>
          <t>Balance</t>
        </is>
      </c>
      <c r="H455" s="5" t="inlineStr">
        <is>
          <t>Low</t>
        </is>
      </c>
      <c r="I455" s="5" t="n">
        <v>1</v>
      </c>
      <c r="J455" s="5" t="n"/>
      <c r="K455" s="10">
        <f>IFERROR(IF(INDEX('Test catalog'!$F$2:$F$200,MATCH($AB455,'Test catalog'!$A$2:$A$200,0))="","",INDEX('Test catalog'!$F$2:$F$200,MATCH($AB455,'Test catalog'!$A$2:$A$200,0))),"")</f>
        <v/>
      </c>
      <c r="L455" s="10">
        <f>IFERROR(IF(INDEX('Test catalog'!$G$2:$G$200,MATCH($AB455,'Test catalog'!$A$2:$A$200,0))="","",INDEX('Test catalog'!$G$2:$G$200,MATCH($AB455,'Test catalog'!$A$2:$A$200,0))),"")</f>
        <v/>
      </c>
      <c r="M455" s="10">
        <f>IFERROR(IF(INDEX('Test catalog'!$H$2:$H$200,MATCH($AB455,'Test catalog'!$A$2:$A$200,0))="","",INDEX('Test catalog'!$H$2:$H$200,MATCH($AB455,'Test catalog'!$A$2:$A$200,0))),"")</f>
        <v/>
      </c>
      <c r="N455" s="10">
        <f>IFERROR(IF(INDEX('Test catalog'!$I$2:$I$200,MATCH($AB455,'Test catalog'!$A$2:$A$200,0))="","",INDEX('Test catalog'!$I$2:$I$200,MATCH($AB455,'Test catalog'!$A$2:$A$200,0))),"")</f>
        <v/>
      </c>
      <c r="O455" s="10">
        <f>IFERROR(IF(INDEX('Test catalog'!$J$2:$J$200,MATCH($AB455,'Test catalog'!$A$2:$A$200,0))="","",INDEX('Test catalog'!$J$2:$J$200,MATCH($AB455,'Test catalog'!$A$2:$A$200,0))),"")</f>
        <v/>
      </c>
      <c r="P455" s="14">
        <f>IF(N455="","",IF(OR(M455="",O455=""),N455,(M455+4*N455+O455)/6))</f>
        <v/>
      </c>
      <c r="Q455" s="10">
        <f>IFERROR(IF(INDEX('Test catalog'!$K$2:$K$200,MATCH($AB455,'Test catalog'!$A$2:$A$200,0))="","",INDEX('Test catalog'!$K$2:$K$200,MATCH($AB455,'Test catalog'!$A$2:$A$200,0))),"")</f>
        <v/>
      </c>
      <c r="R455" s="5" t="n"/>
      <c r="S455" s="10">
        <f>IFERROR(IF(INDEX('Test catalog'!$L$2:$L$200,MATCH($AB455,'Test catalog'!$A$2:$A$200,0))="","",INDEX('Test catalog'!$L$2:$L$200,MATCH($AB455,'Test catalog'!$A$2:$A$200,0))),"")</f>
        <v/>
      </c>
      <c r="T455" s="10">
        <f>IFERROR(IF(INDEX('Test catalog'!$M$2:$M$200,MATCH($AB455,'Test catalog'!$A$2:$A$200,0))="","",INDEX('Test catalog'!$M$2:$M$200,MATCH($AB455,'Test catalog'!$A$2:$A$200,0))),"")</f>
        <v/>
      </c>
      <c r="U455" s="10">
        <f>IFERROR(IF(INDEX('Test catalog'!$N$2:$N$200,MATCH($AB455,'Test catalog'!$A$2:$A$200,0))="","",INDEX('Test catalog'!$N$2:$N$200,MATCH($AB455,'Test catalog'!$A$2:$A$200,0))),"")</f>
        <v/>
      </c>
      <c r="V455" s="15" t="n"/>
      <c r="W455" s="5" t="inlineStr">
        <is>
          <t>N</t>
        </is>
      </c>
      <c r="X455" s="5" t="n"/>
      <c r="Y455" s="5" t="n"/>
      <c r="Z455" s="5" t="n"/>
      <c r="AA455" s="10">
        <f>IFERROR(IF(INDEX('Test catalog'!$O$2:$O$200,MATCH($AB455,'Test catalog'!$A$2:$A$200,0))="","",INDEX('Test catalog'!$O$2:$O$200,MATCH($AB455,'Test catalog'!$A$2:$A$200,0))),"")</f>
        <v/>
      </c>
      <c r="AB455" s="10" t="inlineStr">
        <is>
          <t>AVG_WT</t>
        </is>
      </c>
    </row>
    <row r="456">
      <c r="A456" s="10" t="inlineStr">
        <is>
          <t>F61</t>
        </is>
      </c>
      <c r="B456" s="10" t="inlineStr">
        <is>
          <t>FP</t>
        </is>
      </c>
      <c r="C456" s="10" t="inlineStr">
        <is>
          <t>Dermo bella Permium 30 Cap  |  Premix Dermo Bella, L-Cystine (+1 more)</t>
        </is>
      </c>
      <c r="D456" s="10" t="inlineStr">
        <is>
          <t>Disintegration</t>
        </is>
      </c>
      <c r="E456" s="10">
        <f>IF(A456="","",A456&amp;"|"&amp;D456)</f>
        <v/>
      </c>
      <c r="F456" s="5" t="inlineStr">
        <is>
          <t>Y</t>
        </is>
      </c>
      <c r="G456" s="5" t="inlineStr">
        <is>
          <t>Disintegration tester</t>
        </is>
      </c>
      <c r="H456" s="5" t="inlineStr">
        <is>
          <t>Low</t>
        </is>
      </c>
      <c r="I456" s="5" t="n">
        <v>1</v>
      </c>
      <c r="J456" s="5" t="n"/>
      <c r="K456" s="10">
        <f>IFERROR(IF(INDEX('Test catalog'!$F$2:$F$200,MATCH($AB456,'Test catalog'!$A$2:$A$200,0))="","",INDEX('Test catalog'!$F$2:$F$200,MATCH($AB456,'Test catalog'!$A$2:$A$200,0))),"")</f>
        <v/>
      </c>
      <c r="L456" s="10">
        <f>IFERROR(IF(INDEX('Test catalog'!$G$2:$G$200,MATCH($AB456,'Test catalog'!$A$2:$A$200,0))="","",INDEX('Test catalog'!$G$2:$G$200,MATCH($AB456,'Test catalog'!$A$2:$A$200,0))),"")</f>
        <v/>
      </c>
      <c r="M456" s="10">
        <f>IFERROR(IF(INDEX('Test catalog'!$H$2:$H$200,MATCH($AB456,'Test catalog'!$A$2:$A$200,0))="","",INDEX('Test catalog'!$H$2:$H$200,MATCH($AB456,'Test catalog'!$A$2:$A$200,0))),"")</f>
        <v/>
      </c>
      <c r="N456" s="10">
        <f>IFERROR(IF(INDEX('Test catalog'!$I$2:$I$200,MATCH($AB456,'Test catalog'!$A$2:$A$200,0))="","",INDEX('Test catalog'!$I$2:$I$200,MATCH($AB456,'Test catalog'!$A$2:$A$200,0))),"")</f>
        <v/>
      </c>
      <c r="O456" s="10">
        <f>IFERROR(IF(INDEX('Test catalog'!$J$2:$J$200,MATCH($AB456,'Test catalog'!$A$2:$A$200,0))="","",INDEX('Test catalog'!$J$2:$J$200,MATCH($AB456,'Test catalog'!$A$2:$A$200,0))),"")</f>
        <v/>
      </c>
      <c r="P456" s="14">
        <f>IF(N456="","",IF(OR(M456="",O456=""),N456,(M456+4*N456+O456)/6))</f>
        <v/>
      </c>
      <c r="Q456" s="10">
        <f>IFERROR(IF(INDEX('Test catalog'!$K$2:$K$200,MATCH($AB456,'Test catalog'!$A$2:$A$200,0))="","",INDEX('Test catalog'!$K$2:$K$200,MATCH($AB456,'Test catalog'!$A$2:$A$200,0))),"")</f>
        <v/>
      </c>
      <c r="R456" s="5" t="n"/>
      <c r="S456" s="10">
        <f>IFERROR(IF(INDEX('Test catalog'!$L$2:$L$200,MATCH($AB456,'Test catalog'!$A$2:$A$200,0))="","",INDEX('Test catalog'!$L$2:$L$200,MATCH($AB456,'Test catalog'!$A$2:$A$200,0))),"")</f>
        <v/>
      </c>
      <c r="T456" s="10">
        <f>IFERROR(IF(INDEX('Test catalog'!$M$2:$M$200,MATCH($AB456,'Test catalog'!$A$2:$A$200,0))="","",INDEX('Test catalog'!$M$2:$M$200,MATCH($AB456,'Test catalog'!$A$2:$A$200,0))),"")</f>
        <v/>
      </c>
      <c r="U456" s="10">
        <f>IFERROR(IF(INDEX('Test catalog'!$N$2:$N$200,MATCH($AB456,'Test catalog'!$A$2:$A$200,0))="","",INDEX('Test catalog'!$N$2:$N$200,MATCH($AB456,'Test catalog'!$A$2:$A$200,0))),"")</f>
        <v/>
      </c>
      <c r="V456" s="15" t="n"/>
      <c r="W456" s="5" t="inlineStr">
        <is>
          <t>Y</t>
        </is>
      </c>
      <c r="X456" s="5" t="n"/>
      <c r="Y456" s="5" t="n"/>
      <c r="Z456" s="5" t="n"/>
      <c r="AA456" s="10">
        <f>IFERROR(IF(INDEX('Test catalog'!$O$2:$O$200,MATCH($AB456,'Test catalog'!$A$2:$A$200,0))="","",INDEX('Test catalog'!$O$2:$O$200,MATCH($AB456,'Test catalog'!$A$2:$A$200,0))),"")</f>
        <v/>
      </c>
      <c r="AB456" s="10" t="inlineStr">
        <is>
          <t>DISINT</t>
        </is>
      </c>
    </row>
    <row r="457">
      <c r="A457" s="10" t="inlineStr">
        <is>
          <t>F61</t>
        </is>
      </c>
      <c r="B457" s="10" t="inlineStr">
        <is>
          <t>FP</t>
        </is>
      </c>
      <c r="C457" s="10" t="inlineStr">
        <is>
          <t>Dermo bella Permium 30 Cap  |  Premix Dermo Bella, L-Cystine (+1 more)</t>
        </is>
      </c>
      <c r="D457" s="10" t="inlineStr">
        <is>
          <t>In-process check at the machine (one check, all its tests)</t>
        </is>
      </c>
      <c r="E457" s="10">
        <f>IF(A457="","",A457&amp;"|"&amp;D457)</f>
        <v/>
      </c>
      <c r="F457" s="5" t="inlineStr">
        <is>
          <t>Y</t>
        </is>
      </c>
      <c r="G457" s="5" t="inlineStr">
        <is>
          <t>Tablet tester</t>
        </is>
      </c>
      <c r="H457" s="5" t="inlineStr">
        <is>
          <t>Low</t>
        </is>
      </c>
      <c r="I457" s="5" t="n">
        <v>1</v>
      </c>
      <c r="J457" s="5" t="n"/>
      <c r="K457" s="10">
        <f>IFERROR(IF(INDEX('Test catalog'!$F$2:$F$200,MATCH($AB457,'Test catalog'!$A$2:$A$200,0))="","",INDEX('Test catalog'!$F$2:$F$200,MATCH($AB457,'Test catalog'!$A$2:$A$200,0))),"")</f>
        <v/>
      </c>
      <c r="L457" s="10">
        <f>IFERROR(IF(INDEX('Test catalog'!$G$2:$G$200,MATCH($AB457,'Test catalog'!$A$2:$A$200,0))="","",INDEX('Test catalog'!$G$2:$G$200,MATCH($AB457,'Test catalog'!$A$2:$A$200,0))),"")</f>
        <v/>
      </c>
      <c r="M457" s="10">
        <f>IFERROR(IF(INDEX('Test catalog'!$H$2:$H$200,MATCH($AB457,'Test catalog'!$A$2:$A$200,0))="","",INDEX('Test catalog'!$H$2:$H$200,MATCH($AB457,'Test catalog'!$A$2:$A$200,0))),"")</f>
        <v/>
      </c>
      <c r="N457" s="10">
        <f>IFERROR(IF(INDEX('Test catalog'!$I$2:$I$200,MATCH($AB457,'Test catalog'!$A$2:$A$200,0))="","",INDEX('Test catalog'!$I$2:$I$200,MATCH($AB457,'Test catalog'!$A$2:$A$200,0))),"")</f>
        <v/>
      </c>
      <c r="O457" s="10">
        <f>IFERROR(IF(INDEX('Test catalog'!$J$2:$J$200,MATCH($AB457,'Test catalog'!$A$2:$A$200,0))="","",INDEX('Test catalog'!$J$2:$J$200,MATCH($AB457,'Test catalog'!$A$2:$A$200,0))),"")</f>
        <v/>
      </c>
      <c r="P457" s="14">
        <f>IF(N457="","",IF(OR(M457="",O457=""),N457,(M457+4*N457+O457)/6))</f>
        <v/>
      </c>
      <c r="Q457" s="10">
        <f>IFERROR(IF(INDEX('Test catalog'!$K$2:$K$200,MATCH($AB457,'Test catalog'!$A$2:$A$200,0))="","",INDEX('Test catalog'!$K$2:$K$200,MATCH($AB457,'Test catalog'!$A$2:$A$200,0))),"")</f>
        <v/>
      </c>
      <c r="R457" s="5" t="n"/>
      <c r="S457" s="10">
        <f>IFERROR(IF(INDEX('Test catalog'!$L$2:$L$200,MATCH($AB457,'Test catalog'!$A$2:$A$200,0))="","",INDEX('Test catalog'!$L$2:$L$200,MATCH($AB457,'Test catalog'!$A$2:$A$200,0))),"")</f>
        <v/>
      </c>
      <c r="T457" s="10">
        <f>IFERROR(IF(INDEX('Test catalog'!$M$2:$M$200,MATCH($AB457,'Test catalog'!$A$2:$A$200,0))="","",INDEX('Test catalog'!$M$2:$M$200,MATCH($AB457,'Test catalog'!$A$2:$A$200,0))),"")</f>
        <v/>
      </c>
      <c r="U457" s="10">
        <f>IFERROR(IF(INDEX('Test catalog'!$N$2:$N$200,MATCH($AB457,'Test catalog'!$A$2:$A$200,0))="","",INDEX('Test catalog'!$N$2:$N$200,MATCH($AB457,'Test catalog'!$A$2:$A$200,0))),"")</f>
        <v/>
      </c>
      <c r="V457" s="15" t="n"/>
      <c r="W457" s="5" t="inlineStr">
        <is>
          <t>N</t>
        </is>
      </c>
      <c r="X457" s="5" t="n"/>
      <c r="Y457" s="5" t="n"/>
      <c r="Z457" s="5" t="n"/>
      <c r="AA457" s="10">
        <f>IFERROR(IF(INDEX('Test catalog'!$O$2:$O$200,MATCH($AB457,'Test catalog'!$A$2:$A$200,0))="","",INDEX('Test catalog'!$O$2:$O$200,MATCH($AB457,'Test catalog'!$A$2:$A$200,0))),"")</f>
        <v/>
      </c>
      <c r="AB457" s="10" t="inlineStr">
        <is>
          <t>IPC</t>
        </is>
      </c>
    </row>
    <row r="458">
      <c r="A458" s="10" t="inlineStr">
        <is>
          <t>F62</t>
        </is>
      </c>
      <c r="B458" s="10" t="inlineStr">
        <is>
          <t>FP</t>
        </is>
      </c>
      <c r="C458" s="10" t="inlineStr">
        <is>
          <t>Zylicut 180  |  actives TBD: Zylicut 180</t>
        </is>
      </c>
      <c r="D458" s="10" t="inlineStr">
        <is>
          <t>Average weight / uniformity of mass</t>
        </is>
      </c>
      <c r="E458" s="10">
        <f>IF(A458="","",A458&amp;"|"&amp;D458)</f>
        <v/>
      </c>
      <c r="F458" s="5" t="inlineStr">
        <is>
          <t>Y</t>
        </is>
      </c>
      <c r="G458" s="5" t="inlineStr">
        <is>
          <t>Balance</t>
        </is>
      </c>
      <c r="H458" s="5" t="inlineStr">
        <is>
          <t>Low</t>
        </is>
      </c>
      <c r="I458" s="5" t="n">
        <v>1</v>
      </c>
      <c r="J458" s="5" t="n"/>
      <c r="K458" s="10">
        <f>IFERROR(IF(INDEX('Test catalog'!$F$2:$F$200,MATCH($AB458,'Test catalog'!$A$2:$A$200,0))="","",INDEX('Test catalog'!$F$2:$F$200,MATCH($AB458,'Test catalog'!$A$2:$A$200,0))),"")</f>
        <v/>
      </c>
      <c r="L458" s="10">
        <f>IFERROR(IF(INDEX('Test catalog'!$G$2:$G$200,MATCH($AB458,'Test catalog'!$A$2:$A$200,0))="","",INDEX('Test catalog'!$G$2:$G$200,MATCH($AB458,'Test catalog'!$A$2:$A$200,0))),"")</f>
        <v/>
      </c>
      <c r="M458" s="10">
        <f>IFERROR(IF(INDEX('Test catalog'!$H$2:$H$200,MATCH($AB458,'Test catalog'!$A$2:$A$200,0))="","",INDEX('Test catalog'!$H$2:$H$200,MATCH($AB458,'Test catalog'!$A$2:$A$200,0))),"")</f>
        <v/>
      </c>
      <c r="N458" s="10">
        <f>IFERROR(IF(INDEX('Test catalog'!$I$2:$I$200,MATCH($AB458,'Test catalog'!$A$2:$A$200,0))="","",INDEX('Test catalog'!$I$2:$I$200,MATCH($AB458,'Test catalog'!$A$2:$A$200,0))),"")</f>
        <v/>
      </c>
      <c r="O458" s="10">
        <f>IFERROR(IF(INDEX('Test catalog'!$J$2:$J$200,MATCH($AB458,'Test catalog'!$A$2:$A$200,0))="","",INDEX('Test catalog'!$J$2:$J$200,MATCH($AB458,'Test catalog'!$A$2:$A$200,0))),"")</f>
        <v/>
      </c>
      <c r="P458" s="14">
        <f>IF(N458="","",IF(OR(M458="",O458=""),N458,(M458+4*N458+O458)/6))</f>
        <v/>
      </c>
      <c r="Q458" s="10">
        <f>IFERROR(IF(INDEX('Test catalog'!$K$2:$K$200,MATCH($AB458,'Test catalog'!$A$2:$A$200,0))="","",INDEX('Test catalog'!$K$2:$K$200,MATCH($AB458,'Test catalog'!$A$2:$A$200,0))),"")</f>
        <v/>
      </c>
      <c r="R458" s="5" t="n"/>
      <c r="S458" s="10">
        <f>IFERROR(IF(INDEX('Test catalog'!$L$2:$L$200,MATCH($AB458,'Test catalog'!$A$2:$A$200,0))="","",INDEX('Test catalog'!$L$2:$L$200,MATCH($AB458,'Test catalog'!$A$2:$A$200,0))),"")</f>
        <v/>
      </c>
      <c r="T458" s="10">
        <f>IFERROR(IF(INDEX('Test catalog'!$M$2:$M$200,MATCH($AB458,'Test catalog'!$A$2:$A$200,0))="","",INDEX('Test catalog'!$M$2:$M$200,MATCH($AB458,'Test catalog'!$A$2:$A$200,0))),"")</f>
        <v/>
      </c>
      <c r="U458" s="10">
        <f>IFERROR(IF(INDEX('Test catalog'!$N$2:$N$200,MATCH($AB458,'Test catalog'!$A$2:$A$200,0))="","",INDEX('Test catalog'!$N$2:$N$200,MATCH($AB458,'Test catalog'!$A$2:$A$200,0))),"")</f>
        <v/>
      </c>
      <c r="V458" s="15" t="n"/>
      <c r="W458" s="5" t="inlineStr">
        <is>
          <t>N</t>
        </is>
      </c>
      <c r="X458" s="5" t="n"/>
      <c r="Y458" s="5" t="n"/>
      <c r="Z458" s="5" t="inlineStr">
        <is>
          <t>Actives not on record – confirm tests</t>
        </is>
      </c>
      <c r="AA458" s="10">
        <f>IFERROR(IF(INDEX('Test catalog'!$O$2:$O$200,MATCH($AB458,'Test catalog'!$A$2:$A$200,0))="","",INDEX('Test catalog'!$O$2:$O$200,MATCH($AB458,'Test catalog'!$A$2:$A$200,0))),"")</f>
        <v/>
      </c>
      <c r="AB458" s="10" t="inlineStr">
        <is>
          <t>AVG_WT</t>
        </is>
      </c>
    </row>
    <row r="459">
      <c r="A459" s="10" t="inlineStr">
        <is>
          <t>F62</t>
        </is>
      </c>
      <c r="B459" s="10" t="inlineStr">
        <is>
          <t>FP</t>
        </is>
      </c>
      <c r="C459" s="10" t="inlineStr">
        <is>
          <t>Zylicut 180  |  actives TBD: Zylicut 180</t>
        </is>
      </c>
      <c r="D459" s="10" t="inlineStr">
        <is>
          <t>Diameter (or length / width)</t>
        </is>
      </c>
      <c r="E459" s="10">
        <f>IF(A459="","",A459&amp;"|"&amp;D459)</f>
        <v/>
      </c>
      <c r="F459" s="5" t="inlineStr">
        <is>
          <t>Y</t>
        </is>
      </c>
      <c r="G459" s="5" t="inlineStr">
        <is>
          <t>Tablet tester</t>
        </is>
      </c>
      <c r="H459" s="5" t="inlineStr">
        <is>
          <t>Low</t>
        </is>
      </c>
      <c r="I459" s="5" t="n">
        <v>1</v>
      </c>
      <c r="J459" s="5" t="n"/>
      <c r="K459" s="10">
        <f>IFERROR(IF(INDEX('Test catalog'!$F$2:$F$200,MATCH($AB459,'Test catalog'!$A$2:$A$200,0))="","",INDEX('Test catalog'!$F$2:$F$200,MATCH($AB459,'Test catalog'!$A$2:$A$200,0))),"")</f>
        <v/>
      </c>
      <c r="L459" s="10">
        <f>IFERROR(IF(INDEX('Test catalog'!$G$2:$G$200,MATCH($AB459,'Test catalog'!$A$2:$A$200,0))="","",INDEX('Test catalog'!$G$2:$G$200,MATCH($AB459,'Test catalog'!$A$2:$A$200,0))),"")</f>
        <v/>
      </c>
      <c r="M459" s="10">
        <f>IFERROR(IF(INDEX('Test catalog'!$H$2:$H$200,MATCH($AB459,'Test catalog'!$A$2:$A$200,0))="","",INDEX('Test catalog'!$H$2:$H$200,MATCH($AB459,'Test catalog'!$A$2:$A$200,0))),"")</f>
        <v/>
      </c>
      <c r="N459" s="10">
        <f>IFERROR(IF(INDEX('Test catalog'!$I$2:$I$200,MATCH($AB459,'Test catalog'!$A$2:$A$200,0))="","",INDEX('Test catalog'!$I$2:$I$200,MATCH($AB459,'Test catalog'!$A$2:$A$200,0))),"")</f>
        <v/>
      </c>
      <c r="O459" s="10">
        <f>IFERROR(IF(INDEX('Test catalog'!$J$2:$J$200,MATCH($AB459,'Test catalog'!$A$2:$A$200,0))="","",INDEX('Test catalog'!$J$2:$J$200,MATCH($AB459,'Test catalog'!$A$2:$A$200,0))),"")</f>
        <v/>
      </c>
      <c r="P459" s="14">
        <f>IF(N459="","",IF(OR(M459="",O459=""),N459,(M459+4*N459+O459)/6))</f>
        <v/>
      </c>
      <c r="Q459" s="10">
        <f>IFERROR(IF(INDEX('Test catalog'!$K$2:$K$200,MATCH($AB459,'Test catalog'!$A$2:$A$200,0))="","",INDEX('Test catalog'!$K$2:$K$200,MATCH($AB459,'Test catalog'!$A$2:$A$200,0))),"")</f>
        <v/>
      </c>
      <c r="R459" s="5" t="n"/>
      <c r="S459" s="10">
        <f>IFERROR(IF(INDEX('Test catalog'!$L$2:$L$200,MATCH($AB459,'Test catalog'!$A$2:$A$200,0))="","",INDEX('Test catalog'!$L$2:$L$200,MATCH($AB459,'Test catalog'!$A$2:$A$200,0))),"")</f>
        <v/>
      </c>
      <c r="T459" s="10">
        <f>IFERROR(IF(INDEX('Test catalog'!$M$2:$M$200,MATCH($AB459,'Test catalog'!$A$2:$A$200,0))="","",INDEX('Test catalog'!$M$2:$M$200,MATCH($AB459,'Test catalog'!$A$2:$A$200,0))),"")</f>
        <v/>
      </c>
      <c r="U459" s="10">
        <f>IFERROR(IF(INDEX('Test catalog'!$N$2:$N$200,MATCH($AB459,'Test catalog'!$A$2:$A$200,0))="","",INDEX('Test catalog'!$N$2:$N$200,MATCH($AB459,'Test catalog'!$A$2:$A$200,0))),"")</f>
        <v/>
      </c>
      <c r="V459" s="15" t="n"/>
      <c r="W459" s="5" t="inlineStr">
        <is>
          <t>N</t>
        </is>
      </c>
      <c r="X459" s="5" t="n"/>
      <c r="Y459" s="5" t="n"/>
      <c r="Z459" s="5" t="inlineStr">
        <is>
          <t>Actives not on record – confirm tests</t>
        </is>
      </c>
      <c r="AA459" s="10">
        <f>IFERROR(IF(INDEX('Test catalog'!$O$2:$O$200,MATCH($AB459,'Test catalog'!$A$2:$A$200,0))="","",INDEX('Test catalog'!$O$2:$O$200,MATCH($AB459,'Test catalog'!$A$2:$A$200,0))),"")</f>
        <v/>
      </c>
      <c r="AB459" s="10" t="inlineStr">
        <is>
          <t>DIAM</t>
        </is>
      </c>
    </row>
    <row r="460">
      <c r="A460" s="10" t="inlineStr">
        <is>
          <t>F62</t>
        </is>
      </c>
      <c r="B460" s="10" t="inlineStr">
        <is>
          <t>FP</t>
        </is>
      </c>
      <c r="C460" s="10" t="inlineStr">
        <is>
          <t>Zylicut 180  |  actives TBD: Zylicut 180</t>
        </is>
      </c>
      <c r="D460" s="10" t="inlineStr">
        <is>
          <t>Thickness</t>
        </is>
      </c>
      <c r="E460" s="10">
        <f>IF(A460="","",A460&amp;"|"&amp;D460)</f>
        <v/>
      </c>
      <c r="F460" s="5" t="inlineStr">
        <is>
          <t>Y</t>
        </is>
      </c>
      <c r="G460" s="5" t="inlineStr">
        <is>
          <t>Tablet tester</t>
        </is>
      </c>
      <c r="H460" s="5" t="inlineStr">
        <is>
          <t>Low</t>
        </is>
      </c>
      <c r="I460" s="5" t="n">
        <v>1</v>
      </c>
      <c r="J460" s="5" t="n"/>
      <c r="K460" s="10">
        <f>IFERROR(IF(INDEX('Test catalog'!$F$2:$F$200,MATCH($AB460,'Test catalog'!$A$2:$A$200,0))="","",INDEX('Test catalog'!$F$2:$F$200,MATCH($AB460,'Test catalog'!$A$2:$A$200,0))),"")</f>
        <v/>
      </c>
      <c r="L460" s="10">
        <f>IFERROR(IF(INDEX('Test catalog'!$G$2:$G$200,MATCH($AB460,'Test catalog'!$A$2:$A$200,0))="","",INDEX('Test catalog'!$G$2:$G$200,MATCH($AB460,'Test catalog'!$A$2:$A$200,0))),"")</f>
        <v/>
      </c>
      <c r="M460" s="10">
        <f>IFERROR(IF(INDEX('Test catalog'!$H$2:$H$200,MATCH($AB460,'Test catalog'!$A$2:$A$200,0))="","",INDEX('Test catalog'!$H$2:$H$200,MATCH($AB460,'Test catalog'!$A$2:$A$200,0))),"")</f>
        <v/>
      </c>
      <c r="N460" s="10">
        <f>IFERROR(IF(INDEX('Test catalog'!$I$2:$I$200,MATCH($AB460,'Test catalog'!$A$2:$A$200,0))="","",INDEX('Test catalog'!$I$2:$I$200,MATCH($AB460,'Test catalog'!$A$2:$A$200,0))),"")</f>
        <v/>
      </c>
      <c r="O460" s="10">
        <f>IFERROR(IF(INDEX('Test catalog'!$J$2:$J$200,MATCH($AB460,'Test catalog'!$A$2:$A$200,0))="","",INDEX('Test catalog'!$J$2:$J$200,MATCH($AB460,'Test catalog'!$A$2:$A$200,0))),"")</f>
        <v/>
      </c>
      <c r="P460" s="14">
        <f>IF(N460="","",IF(OR(M460="",O460=""),N460,(M460+4*N460+O460)/6))</f>
        <v/>
      </c>
      <c r="Q460" s="10">
        <f>IFERROR(IF(INDEX('Test catalog'!$K$2:$K$200,MATCH($AB460,'Test catalog'!$A$2:$A$200,0))="","",INDEX('Test catalog'!$K$2:$K$200,MATCH($AB460,'Test catalog'!$A$2:$A$200,0))),"")</f>
        <v/>
      </c>
      <c r="R460" s="5" t="n"/>
      <c r="S460" s="10">
        <f>IFERROR(IF(INDEX('Test catalog'!$L$2:$L$200,MATCH($AB460,'Test catalog'!$A$2:$A$200,0))="","",INDEX('Test catalog'!$L$2:$L$200,MATCH($AB460,'Test catalog'!$A$2:$A$200,0))),"")</f>
        <v/>
      </c>
      <c r="T460" s="10">
        <f>IFERROR(IF(INDEX('Test catalog'!$M$2:$M$200,MATCH($AB460,'Test catalog'!$A$2:$A$200,0))="","",INDEX('Test catalog'!$M$2:$M$200,MATCH($AB460,'Test catalog'!$A$2:$A$200,0))),"")</f>
        <v/>
      </c>
      <c r="U460" s="10">
        <f>IFERROR(IF(INDEX('Test catalog'!$N$2:$N$200,MATCH($AB460,'Test catalog'!$A$2:$A$200,0))="","",INDEX('Test catalog'!$N$2:$N$200,MATCH($AB460,'Test catalog'!$A$2:$A$200,0))),"")</f>
        <v/>
      </c>
      <c r="V460" s="15" t="n"/>
      <c r="W460" s="5" t="inlineStr">
        <is>
          <t>N</t>
        </is>
      </c>
      <c r="X460" s="5" t="n"/>
      <c r="Y460" s="5" t="n"/>
      <c r="Z460" s="5" t="inlineStr">
        <is>
          <t>Actives not on record – confirm tests</t>
        </is>
      </c>
      <c r="AA460" s="10">
        <f>IFERROR(IF(INDEX('Test catalog'!$O$2:$O$200,MATCH($AB460,'Test catalog'!$A$2:$A$200,0))="","",INDEX('Test catalog'!$O$2:$O$200,MATCH($AB460,'Test catalog'!$A$2:$A$200,0))),"")</f>
        <v/>
      </c>
      <c r="AB460" s="10" t="inlineStr">
        <is>
          <t>THICK</t>
        </is>
      </c>
    </row>
    <row r="461">
      <c r="A461" s="10" t="inlineStr">
        <is>
          <t>F62</t>
        </is>
      </c>
      <c r="B461" s="10" t="inlineStr">
        <is>
          <t>FP</t>
        </is>
      </c>
      <c r="C461" s="10" t="inlineStr">
        <is>
          <t>Zylicut 180  |  actives TBD: Zylicut 180</t>
        </is>
      </c>
      <c r="D461" s="10" t="inlineStr">
        <is>
          <t>Hardness / breaking force</t>
        </is>
      </c>
      <c r="E461" s="10">
        <f>IF(A461="","",A461&amp;"|"&amp;D461)</f>
        <v/>
      </c>
      <c r="F461" s="5" t="inlineStr">
        <is>
          <t>Y</t>
        </is>
      </c>
      <c r="G461" s="5" t="inlineStr">
        <is>
          <t>Tablet tester</t>
        </is>
      </c>
      <c r="H461" s="5" t="inlineStr">
        <is>
          <t>Low</t>
        </is>
      </c>
      <c r="I461" s="5" t="n">
        <v>1</v>
      </c>
      <c r="J461" s="5" t="n"/>
      <c r="K461" s="10">
        <f>IFERROR(IF(INDEX('Test catalog'!$F$2:$F$200,MATCH($AB461,'Test catalog'!$A$2:$A$200,0))="","",INDEX('Test catalog'!$F$2:$F$200,MATCH($AB461,'Test catalog'!$A$2:$A$200,0))),"")</f>
        <v/>
      </c>
      <c r="L461" s="10">
        <f>IFERROR(IF(INDEX('Test catalog'!$G$2:$G$200,MATCH($AB461,'Test catalog'!$A$2:$A$200,0))="","",INDEX('Test catalog'!$G$2:$G$200,MATCH($AB461,'Test catalog'!$A$2:$A$200,0))),"")</f>
        <v/>
      </c>
      <c r="M461" s="10">
        <f>IFERROR(IF(INDEX('Test catalog'!$H$2:$H$200,MATCH($AB461,'Test catalog'!$A$2:$A$200,0))="","",INDEX('Test catalog'!$H$2:$H$200,MATCH($AB461,'Test catalog'!$A$2:$A$200,0))),"")</f>
        <v/>
      </c>
      <c r="N461" s="10">
        <f>IFERROR(IF(INDEX('Test catalog'!$I$2:$I$200,MATCH($AB461,'Test catalog'!$A$2:$A$200,0))="","",INDEX('Test catalog'!$I$2:$I$200,MATCH($AB461,'Test catalog'!$A$2:$A$200,0))),"")</f>
        <v/>
      </c>
      <c r="O461" s="10">
        <f>IFERROR(IF(INDEX('Test catalog'!$J$2:$J$200,MATCH($AB461,'Test catalog'!$A$2:$A$200,0))="","",INDEX('Test catalog'!$J$2:$J$200,MATCH($AB461,'Test catalog'!$A$2:$A$200,0))),"")</f>
        <v/>
      </c>
      <c r="P461" s="14">
        <f>IF(N461="","",IF(OR(M461="",O461=""),N461,(M461+4*N461+O461)/6))</f>
        <v/>
      </c>
      <c r="Q461" s="10">
        <f>IFERROR(IF(INDEX('Test catalog'!$K$2:$K$200,MATCH($AB461,'Test catalog'!$A$2:$A$200,0))="","",INDEX('Test catalog'!$K$2:$K$200,MATCH($AB461,'Test catalog'!$A$2:$A$200,0))),"")</f>
        <v/>
      </c>
      <c r="R461" s="5" t="n"/>
      <c r="S461" s="10">
        <f>IFERROR(IF(INDEX('Test catalog'!$L$2:$L$200,MATCH($AB461,'Test catalog'!$A$2:$A$200,0))="","",INDEX('Test catalog'!$L$2:$L$200,MATCH($AB461,'Test catalog'!$A$2:$A$200,0))),"")</f>
        <v/>
      </c>
      <c r="T461" s="10">
        <f>IFERROR(IF(INDEX('Test catalog'!$M$2:$M$200,MATCH($AB461,'Test catalog'!$A$2:$A$200,0))="","",INDEX('Test catalog'!$M$2:$M$200,MATCH($AB461,'Test catalog'!$A$2:$A$200,0))),"")</f>
        <v/>
      </c>
      <c r="U461" s="10">
        <f>IFERROR(IF(INDEX('Test catalog'!$N$2:$N$200,MATCH($AB461,'Test catalog'!$A$2:$A$200,0))="","",INDEX('Test catalog'!$N$2:$N$200,MATCH($AB461,'Test catalog'!$A$2:$A$200,0))),"")</f>
        <v/>
      </c>
      <c r="V461" s="15" t="n"/>
      <c r="W461" s="5" t="inlineStr">
        <is>
          <t>Y</t>
        </is>
      </c>
      <c r="X461" s="5" t="n"/>
      <c r="Y461" s="5" t="n"/>
      <c r="Z461" s="5" t="inlineStr">
        <is>
          <t>Actives not on record – confirm tests</t>
        </is>
      </c>
      <c r="AA461" s="10">
        <f>IFERROR(IF(INDEX('Test catalog'!$O$2:$O$200,MATCH($AB461,'Test catalog'!$A$2:$A$200,0))="","",INDEX('Test catalog'!$O$2:$O$200,MATCH($AB461,'Test catalog'!$A$2:$A$200,0))),"")</f>
        <v/>
      </c>
      <c r="AB461" s="10" t="inlineStr">
        <is>
          <t>HARD</t>
        </is>
      </c>
    </row>
    <row r="462">
      <c r="A462" s="10" t="inlineStr">
        <is>
          <t>F62</t>
        </is>
      </c>
      <c r="B462" s="10" t="inlineStr">
        <is>
          <t>FP</t>
        </is>
      </c>
      <c r="C462" s="10" t="inlineStr">
        <is>
          <t>Zylicut 180  |  actives TBD: Zylicut 180</t>
        </is>
      </c>
      <c r="D462" s="10" t="inlineStr">
        <is>
          <t>Brittleness</t>
        </is>
      </c>
      <c r="E462" s="10">
        <f>IF(A462="","",A462&amp;"|"&amp;D462)</f>
        <v/>
      </c>
      <c r="F462" s="5" t="inlineStr">
        <is>
          <t>Y</t>
        </is>
      </c>
      <c r="G462" s="5" t="inlineStr">
        <is>
          <t>Other / bench</t>
        </is>
      </c>
      <c r="H462" s="5" t="inlineStr">
        <is>
          <t>Low</t>
        </is>
      </c>
      <c r="I462" s="5" t="n">
        <v>1</v>
      </c>
      <c r="J462" s="5" t="n"/>
      <c r="K462" s="10">
        <f>IFERROR(IF(INDEX('Test catalog'!$F$2:$F$200,MATCH($AB462,'Test catalog'!$A$2:$A$200,0))="","",INDEX('Test catalog'!$F$2:$F$200,MATCH($AB462,'Test catalog'!$A$2:$A$200,0))),"")</f>
        <v/>
      </c>
      <c r="L462" s="10">
        <f>IFERROR(IF(INDEX('Test catalog'!$G$2:$G$200,MATCH($AB462,'Test catalog'!$A$2:$A$200,0))="","",INDEX('Test catalog'!$G$2:$G$200,MATCH($AB462,'Test catalog'!$A$2:$A$200,0))),"")</f>
        <v/>
      </c>
      <c r="M462" s="10">
        <f>IFERROR(IF(INDEX('Test catalog'!$H$2:$H$200,MATCH($AB462,'Test catalog'!$A$2:$A$200,0))="","",INDEX('Test catalog'!$H$2:$H$200,MATCH($AB462,'Test catalog'!$A$2:$A$200,0))),"")</f>
        <v/>
      </c>
      <c r="N462" s="10">
        <f>IFERROR(IF(INDEX('Test catalog'!$I$2:$I$200,MATCH($AB462,'Test catalog'!$A$2:$A$200,0))="","",INDEX('Test catalog'!$I$2:$I$200,MATCH($AB462,'Test catalog'!$A$2:$A$200,0))),"")</f>
        <v/>
      </c>
      <c r="O462" s="10">
        <f>IFERROR(IF(INDEX('Test catalog'!$J$2:$J$200,MATCH($AB462,'Test catalog'!$A$2:$A$200,0))="","",INDEX('Test catalog'!$J$2:$J$200,MATCH($AB462,'Test catalog'!$A$2:$A$200,0))),"")</f>
        <v/>
      </c>
      <c r="P462" s="14">
        <f>IF(N462="","",IF(OR(M462="",O462=""),N462,(M462+4*N462+O462)/6))</f>
        <v/>
      </c>
      <c r="Q462" s="10">
        <f>IFERROR(IF(INDEX('Test catalog'!$K$2:$K$200,MATCH($AB462,'Test catalog'!$A$2:$A$200,0))="","",INDEX('Test catalog'!$K$2:$K$200,MATCH($AB462,'Test catalog'!$A$2:$A$200,0))),"")</f>
        <v/>
      </c>
      <c r="R462" s="5" t="n"/>
      <c r="S462" s="10">
        <f>IFERROR(IF(INDEX('Test catalog'!$L$2:$L$200,MATCH($AB462,'Test catalog'!$A$2:$A$200,0))="","",INDEX('Test catalog'!$L$2:$L$200,MATCH($AB462,'Test catalog'!$A$2:$A$200,0))),"")</f>
        <v/>
      </c>
      <c r="T462" s="10">
        <f>IFERROR(IF(INDEX('Test catalog'!$M$2:$M$200,MATCH($AB462,'Test catalog'!$A$2:$A$200,0))="","",INDEX('Test catalog'!$M$2:$M$200,MATCH($AB462,'Test catalog'!$A$2:$A$200,0))),"")</f>
        <v/>
      </c>
      <c r="U462" s="10">
        <f>IFERROR(IF(INDEX('Test catalog'!$N$2:$N$200,MATCH($AB462,'Test catalog'!$A$2:$A$200,0))="","",INDEX('Test catalog'!$N$2:$N$200,MATCH($AB462,'Test catalog'!$A$2:$A$200,0))),"")</f>
        <v/>
      </c>
      <c r="V462" s="15" t="n"/>
      <c r="W462" s="5" t="inlineStr">
        <is>
          <t>N</t>
        </is>
      </c>
      <c r="X462" s="5" t="n"/>
      <c r="Y462" s="5" t="n"/>
      <c r="Z462" s="5" t="inlineStr">
        <is>
          <t>Actives not on record – confirm tests</t>
        </is>
      </c>
      <c r="AA462" s="10">
        <f>IFERROR(IF(INDEX('Test catalog'!$O$2:$O$200,MATCH($AB462,'Test catalog'!$A$2:$A$200,0))="","",INDEX('Test catalog'!$O$2:$O$200,MATCH($AB462,'Test catalog'!$A$2:$A$200,0))),"")</f>
        <v/>
      </c>
      <c r="AB462" s="10" t="inlineStr">
        <is>
          <t>BRITTLE</t>
        </is>
      </c>
    </row>
    <row r="463">
      <c r="A463" s="10" t="inlineStr">
        <is>
          <t>F62</t>
        </is>
      </c>
      <c r="B463" s="10" t="inlineStr">
        <is>
          <t>FP</t>
        </is>
      </c>
      <c r="C463" s="10" t="inlineStr">
        <is>
          <t>Zylicut 180  |  actives TBD: Zylicut 180</t>
        </is>
      </c>
      <c r="D463" s="10" t="inlineStr">
        <is>
          <t>Friability</t>
        </is>
      </c>
      <c r="E463" s="10">
        <f>IF(A463="","",A463&amp;"|"&amp;D463)</f>
        <v/>
      </c>
      <c r="F463" s="5" t="inlineStr">
        <is>
          <t>Y</t>
        </is>
      </c>
      <c r="G463" s="5" t="inlineStr">
        <is>
          <t>Friabilator</t>
        </is>
      </c>
      <c r="H463" s="5" t="inlineStr">
        <is>
          <t>Low</t>
        </is>
      </c>
      <c r="I463" s="5" t="n">
        <v>1</v>
      </c>
      <c r="J463" s="5" t="n"/>
      <c r="K463" s="10">
        <f>IFERROR(IF(INDEX('Test catalog'!$F$2:$F$200,MATCH($AB463,'Test catalog'!$A$2:$A$200,0))="","",INDEX('Test catalog'!$F$2:$F$200,MATCH($AB463,'Test catalog'!$A$2:$A$200,0))),"")</f>
        <v/>
      </c>
      <c r="L463" s="10">
        <f>IFERROR(IF(INDEX('Test catalog'!$G$2:$G$200,MATCH($AB463,'Test catalog'!$A$2:$A$200,0))="","",INDEX('Test catalog'!$G$2:$G$200,MATCH($AB463,'Test catalog'!$A$2:$A$200,0))),"")</f>
        <v/>
      </c>
      <c r="M463" s="10">
        <f>IFERROR(IF(INDEX('Test catalog'!$H$2:$H$200,MATCH($AB463,'Test catalog'!$A$2:$A$200,0))="","",INDEX('Test catalog'!$H$2:$H$200,MATCH($AB463,'Test catalog'!$A$2:$A$200,0))),"")</f>
        <v/>
      </c>
      <c r="N463" s="10">
        <f>IFERROR(IF(INDEX('Test catalog'!$I$2:$I$200,MATCH($AB463,'Test catalog'!$A$2:$A$200,0))="","",INDEX('Test catalog'!$I$2:$I$200,MATCH($AB463,'Test catalog'!$A$2:$A$200,0))),"")</f>
        <v/>
      </c>
      <c r="O463" s="10">
        <f>IFERROR(IF(INDEX('Test catalog'!$J$2:$J$200,MATCH($AB463,'Test catalog'!$A$2:$A$200,0))="","",INDEX('Test catalog'!$J$2:$J$200,MATCH($AB463,'Test catalog'!$A$2:$A$200,0))),"")</f>
        <v/>
      </c>
      <c r="P463" s="14">
        <f>IF(N463="","",IF(OR(M463="",O463=""),N463,(M463+4*N463+O463)/6))</f>
        <v/>
      </c>
      <c r="Q463" s="10">
        <f>IFERROR(IF(INDEX('Test catalog'!$K$2:$K$200,MATCH($AB463,'Test catalog'!$A$2:$A$200,0))="","",INDEX('Test catalog'!$K$2:$K$200,MATCH($AB463,'Test catalog'!$A$2:$A$200,0))),"")</f>
        <v/>
      </c>
      <c r="R463" s="5" t="n"/>
      <c r="S463" s="10">
        <f>IFERROR(IF(INDEX('Test catalog'!$L$2:$L$200,MATCH($AB463,'Test catalog'!$A$2:$A$200,0))="","",INDEX('Test catalog'!$L$2:$L$200,MATCH($AB463,'Test catalog'!$A$2:$A$200,0))),"")</f>
        <v/>
      </c>
      <c r="T463" s="10">
        <f>IFERROR(IF(INDEX('Test catalog'!$M$2:$M$200,MATCH($AB463,'Test catalog'!$A$2:$A$200,0))="","",INDEX('Test catalog'!$M$2:$M$200,MATCH($AB463,'Test catalog'!$A$2:$A$200,0))),"")</f>
        <v/>
      </c>
      <c r="U463" s="10">
        <f>IFERROR(IF(INDEX('Test catalog'!$N$2:$N$200,MATCH($AB463,'Test catalog'!$A$2:$A$200,0))="","",INDEX('Test catalog'!$N$2:$N$200,MATCH($AB463,'Test catalog'!$A$2:$A$200,0))),"")</f>
        <v/>
      </c>
      <c r="V463" s="15" t="n"/>
      <c r="W463" s="5" t="inlineStr">
        <is>
          <t>N</t>
        </is>
      </c>
      <c r="X463" s="5" t="n"/>
      <c r="Y463" s="5" t="n"/>
      <c r="Z463" s="5" t="inlineStr">
        <is>
          <t>Actives not on record – confirm tests</t>
        </is>
      </c>
      <c r="AA463" s="10">
        <f>IFERROR(IF(INDEX('Test catalog'!$O$2:$O$200,MATCH($AB463,'Test catalog'!$A$2:$A$200,0))="","",INDEX('Test catalog'!$O$2:$O$200,MATCH($AB463,'Test catalog'!$A$2:$A$200,0))),"")</f>
        <v/>
      </c>
      <c r="AB463" s="10" t="inlineStr">
        <is>
          <t>FRIAB</t>
        </is>
      </c>
    </row>
    <row r="464">
      <c r="A464" s="10" t="inlineStr">
        <is>
          <t>F62</t>
        </is>
      </c>
      <c r="B464" s="10" t="inlineStr">
        <is>
          <t>FP</t>
        </is>
      </c>
      <c r="C464" s="10" t="inlineStr">
        <is>
          <t>Zylicut 180  |  actives TBD: Zylicut 180</t>
        </is>
      </c>
      <c r="D464" s="10" t="inlineStr">
        <is>
          <t>Disintegration</t>
        </is>
      </c>
      <c r="E464" s="10">
        <f>IF(A464="","",A464&amp;"|"&amp;D464)</f>
        <v/>
      </c>
      <c r="F464" s="5" t="inlineStr">
        <is>
          <t>Y</t>
        </is>
      </c>
      <c r="G464" s="5" t="inlineStr">
        <is>
          <t>Disintegration tester</t>
        </is>
      </c>
      <c r="H464" s="5" t="inlineStr">
        <is>
          <t>Low</t>
        </is>
      </c>
      <c r="I464" s="5" t="n">
        <v>1</v>
      </c>
      <c r="J464" s="5" t="n"/>
      <c r="K464" s="10">
        <f>IFERROR(IF(INDEX('Test catalog'!$F$2:$F$200,MATCH($AB464,'Test catalog'!$A$2:$A$200,0))="","",INDEX('Test catalog'!$F$2:$F$200,MATCH($AB464,'Test catalog'!$A$2:$A$200,0))),"")</f>
        <v/>
      </c>
      <c r="L464" s="10">
        <f>IFERROR(IF(INDEX('Test catalog'!$G$2:$G$200,MATCH($AB464,'Test catalog'!$A$2:$A$200,0))="","",INDEX('Test catalog'!$G$2:$G$200,MATCH($AB464,'Test catalog'!$A$2:$A$200,0))),"")</f>
        <v/>
      </c>
      <c r="M464" s="10">
        <f>IFERROR(IF(INDEX('Test catalog'!$H$2:$H$200,MATCH($AB464,'Test catalog'!$A$2:$A$200,0))="","",INDEX('Test catalog'!$H$2:$H$200,MATCH($AB464,'Test catalog'!$A$2:$A$200,0))),"")</f>
        <v/>
      </c>
      <c r="N464" s="10">
        <f>IFERROR(IF(INDEX('Test catalog'!$I$2:$I$200,MATCH($AB464,'Test catalog'!$A$2:$A$200,0))="","",INDEX('Test catalog'!$I$2:$I$200,MATCH($AB464,'Test catalog'!$A$2:$A$200,0))),"")</f>
        <v/>
      </c>
      <c r="O464" s="10">
        <f>IFERROR(IF(INDEX('Test catalog'!$J$2:$J$200,MATCH($AB464,'Test catalog'!$A$2:$A$200,0))="","",INDEX('Test catalog'!$J$2:$J$200,MATCH($AB464,'Test catalog'!$A$2:$A$200,0))),"")</f>
        <v/>
      </c>
      <c r="P464" s="14">
        <f>IF(N464="","",IF(OR(M464="",O464=""),N464,(M464+4*N464+O464)/6))</f>
        <v/>
      </c>
      <c r="Q464" s="10">
        <f>IFERROR(IF(INDEX('Test catalog'!$K$2:$K$200,MATCH($AB464,'Test catalog'!$A$2:$A$200,0))="","",INDEX('Test catalog'!$K$2:$K$200,MATCH($AB464,'Test catalog'!$A$2:$A$200,0))),"")</f>
        <v/>
      </c>
      <c r="R464" s="5" t="n"/>
      <c r="S464" s="10">
        <f>IFERROR(IF(INDEX('Test catalog'!$L$2:$L$200,MATCH($AB464,'Test catalog'!$A$2:$A$200,0))="","",INDEX('Test catalog'!$L$2:$L$200,MATCH($AB464,'Test catalog'!$A$2:$A$200,0))),"")</f>
        <v/>
      </c>
      <c r="T464" s="10">
        <f>IFERROR(IF(INDEX('Test catalog'!$M$2:$M$200,MATCH($AB464,'Test catalog'!$A$2:$A$200,0))="","",INDEX('Test catalog'!$M$2:$M$200,MATCH($AB464,'Test catalog'!$A$2:$A$200,0))),"")</f>
        <v/>
      </c>
      <c r="U464" s="10">
        <f>IFERROR(IF(INDEX('Test catalog'!$N$2:$N$200,MATCH($AB464,'Test catalog'!$A$2:$A$200,0))="","",INDEX('Test catalog'!$N$2:$N$200,MATCH($AB464,'Test catalog'!$A$2:$A$200,0))),"")</f>
        <v/>
      </c>
      <c r="V464" s="15" t="n"/>
      <c r="W464" s="5" t="inlineStr">
        <is>
          <t>Y</t>
        </is>
      </c>
      <c r="X464" s="5" t="n"/>
      <c r="Y464" s="5" t="n"/>
      <c r="Z464" s="5" t="inlineStr">
        <is>
          <t>Actives not on record – confirm tests</t>
        </is>
      </c>
      <c r="AA464" s="10">
        <f>IFERROR(IF(INDEX('Test catalog'!$O$2:$O$200,MATCH($AB464,'Test catalog'!$A$2:$A$200,0))="","",INDEX('Test catalog'!$O$2:$O$200,MATCH($AB464,'Test catalog'!$A$2:$A$200,0))),"")</f>
        <v/>
      </c>
      <c r="AB464" s="10" t="inlineStr">
        <is>
          <t>DISINT</t>
        </is>
      </c>
    </row>
    <row r="465">
      <c r="A465" s="10" t="inlineStr">
        <is>
          <t>F62</t>
        </is>
      </c>
      <c r="B465" s="10" t="inlineStr">
        <is>
          <t>FP</t>
        </is>
      </c>
      <c r="C465" s="10" t="inlineStr">
        <is>
          <t>Zylicut 180  |  actives TBD: Zylicut 180</t>
        </is>
      </c>
      <c r="D465" s="10" t="inlineStr">
        <is>
          <t>In-process check at the machine (one check, all its tests)</t>
        </is>
      </c>
      <c r="E465" s="10">
        <f>IF(A465="","",A465&amp;"|"&amp;D465)</f>
        <v/>
      </c>
      <c r="F465" s="5" t="inlineStr">
        <is>
          <t>Y</t>
        </is>
      </c>
      <c r="G465" s="5" t="inlineStr">
        <is>
          <t>Tablet tester</t>
        </is>
      </c>
      <c r="H465" s="5" t="inlineStr">
        <is>
          <t>Low</t>
        </is>
      </c>
      <c r="I465" s="5" t="n">
        <v>1</v>
      </c>
      <c r="J465" s="5" t="n"/>
      <c r="K465" s="10">
        <f>IFERROR(IF(INDEX('Test catalog'!$F$2:$F$200,MATCH($AB465,'Test catalog'!$A$2:$A$200,0))="","",INDEX('Test catalog'!$F$2:$F$200,MATCH($AB465,'Test catalog'!$A$2:$A$200,0))),"")</f>
        <v/>
      </c>
      <c r="L465" s="10">
        <f>IFERROR(IF(INDEX('Test catalog'!$G$2:$G$200,MATCH($AB465,'Test catalog'!$A$2:$A$200,0))="","",INDEX('Test catalog'!$G$2:$G$200,MATCH($AB465,'Test catalog'!$A$2:$A$200,0))),"")</f>
        <v/>
      </c>
      <c r="M465" s="10">
        <f>IFERROR(IF(INDEX('Test catalog'!$H$2:$H$200,MATCH($AB465,'Test catalog'!$A$2:$A$200,0))="","",INDEX('Test catalog'!$H$2:$H$200,MATCH($AB465,'Test catalog'!$A$2:$A$200,0))),"")</f>
        <v/>
      </c>
      <c r="N465" s="10">
        <f>IFERROR(IF(INDEX('Test catalog'!$I$2:$I$200,MATCH($AB465,'Test catalog'!$A$2:$A$200,0))="","",INDEX('Test catalog'!$I$2:$I$200,MATCH($AB465,'Test catalog'!$A$2:$A$200,0))),"")</f>
        <v/>
      </c>
      <c r="O465" s="10">
        <f>IFERROR(IF(INDEX('Test catalog'!$J$2:$J$200,MATCH($AB465,'Test catalog'!$A$2:$A$200,0))="","",INDEX('Test catalog'!$J$2:$J$200,MATCH($AB465,'Test catalog'!$A$2:$A$200,0))),"")</f>
        <v/>
      </c>
      <c r="P465" s="14">
        <f>IF(N465="","",IF(OR(M465="",O465=""),N465,(M465+4*N465+O465)/6))</f>
        <v/>
      </c>
      <c r="Q465" s="10">
        <f>IFERROR(IF(INDEX('Test catalog'!$K$2:$K$200,MATCH($AB465,'Test catalog'!$A$2:$A$200,0))="","",INDEX('Test catalog'!$K$2:$K$200,MATCH($AB465,'Test catalog'!$A$2:$A$200,0))),"")</f>
        <v/>
      </c>
      <c r="R465" s="5" t="n"/>
      <c r="S465" s="10">
        <f>IFERROR(IF(INDEX('Test catalog'!$L$2:$L$200,MATCH($AB465,'Test catalog'!$A$2:$A$200,0))="","",INDEX('Test catalog'!$L$2:$L$200,MATCH($AB465,'Test catalog'!$A$2:$A$200,0))),"")</f>
        <v/>
      </c>
      <c r="T465" s="10">
        <f>IFERROR(IF(INDEX('Test catalog'!$M$2:$M$200,MATCH($AB465,'Test catalog'!$A$2:$A$200,0))="","",INDEX('Test catalog'!$M$2:$M$200,MATCH($AB465,'Test catalog'!$A$2:$A$200,0))),"")</f>
        <v/>
      </c>
      <c r="U465" s="10">
        <f>IFERROR(IF(INDEX('Test catalog'!$N$2:$N$200,MATCH($AB465,'Test catalog'!$A$2:$A$200,0))="","",INDEX('Test catalog'!$N$2:$N$200,MATCH($AB465,'Test catalog'!$A$2:$A$200,0))),"")</f>
        <v/>
      </c>
      <c r="V465" s="15" t="n"/>
      <c r="W465" s="5" t="inlineStr">
        <is>
          <t>N</t>
        </is>
      </c>
      <c r="X465" s="5" t="n"/>
      <c r="Y465" s="5" t="n"/>
      <c r="Z465" s="5" t="inlineStr">
        <is>
          <t>Actives not on record – confirm tests</t>
        </is>
      </c>
      <c r="AA465" s="10">
        <f>IFERROR(IF(INDEX('Test catalog'!$O$2:$O$200,MATCH($AB465,'Test catalog'!$A$2:$A$200,0))="","",INDEX('Test catalog'!$O$2:$O$200,MATCH($AB465,'Test catalog'!$A$2:$A$200,0))),"")</f>
        <v/>
      </c>
      <c r="AB465" s="10" t="inlineStr">
        <is>
          <t>IPC</t>
        </is>
      </c>
    </row>
    <row r="466">
      <c r="A466" s="10" t="inlineStr">
        <is>
          <t>F63</t>
        </is>
      </c>
      <c r="B466" s="10" t="inlineStr">
        <is>
          <t>FP</t>
        </is>
      </c>
      <c r="C466" s="10" t="inlineStr">
        <is>
          <t>Zylicut-Duo 180/10  |  actives TBD: Zylicut-Duo 180/10</t>
        </is>
      </c>
      <c r="D466" s="10" t="inlineStr">
        <is>
          <t>Average weight / uniformity of mass</t>
        </is>
      </c>
      <c r="E466" s="10">
        <f>IF(A466="","",A466&amp;"|"&amp;D466)</f>
        <v/>
      </c>
      <c r="F466" s="5" t="inlineStr">
        <is>
          <t>Y</t>
        </is>
      </c>
      <c r="G466" s="5" t="inlineStr">
        <is>
          <t>Balance</t>
        </is>
      </c>
      <c r="H466" s="5" t="inlineStr">
        <is>
          <t>Low</t>
        </is>
      </c>
      <c r="I466" s="5" t="n">
        <v>1</v>
      </c>
      <c r="J466" s="5" t="n"/>
      <c r="K466" s="10">
        <f>IFERROR(IF(INDEX('Test catalog'!$F$2:$F$200,MATCH($AB466,'Test catalog'!$A$2:$A$200,0))="","",INDEX('Test catalog'!$F$2:$F$200,MATCH($AB466,'Test catalog'!$A$2:$A$200,0))),"")</f>
        <v/>
      </c>
      <c r="L466" s="10">
        <f>IFERROR(IF(INDEX('Test catalog'!$G$2:$G$200,MATCH($AB466,'Test catalog'!$A$2:$A$200,0))="","",INDEX('Test catalog'!$G$2:$G$200,MATCH($AB466,'Test catalog'!$A$2:$A$200,0))),"")</f>
        <v/>
      </c>
      <c r="M466" s="10">
        <f>IFERROR(IF(INDEX('Test catalog'!$H$2:$H$200,MATCH($AB466,'Test catalog'!$A$2:$A$200,0))="","",INDEX('Test catalog'!$H$2:$H$200,MATCH($AB466,'Test catalog'!$A$2:$A$200,0))),"")</f>
        <v/>
      </c>
      <c r="N466" s="10">
        <f>IFERROR(IF(INDEX('Test catalog'!$I$2:$I$200,MATCH($AB466,'Test catalog'!$A$2:$A$200,0))="","",INDEX('Test catalog'!$I$2:$I$200,MATCH($AB466,'Test catalog'!$A$2:$A$200,0))),"")</f>
        <v/>
      </c>
      <c r="O466" s="10">
        <f>IFERROR(IF(INDEX('Test catalog'!$J$2:$J$200,MATCH($AB466,'Test catalog'!$A$2:$A$200,0))="","",INDEX('Test catalog'!$J$2:$J$200,MATCH($AB466,'Test catalog'!$A$2:$A$200,0))),"")</f>
        <v/>
      </c>
      <c r="P466" s="14">
        <f>IF(N466="","",IF(OR(M466="",O466=""),N466,(M466+4*N466+O466)/6))</f>
        <v/>
      </c>
      <c r="Q466" s="10">
        <f>IFERROR(IF(INDEX('Test catalog'!$K$2:$K$200,MATCH($AB466,'Test catalog'!$A$2:$A$200,0))="","",INDEX('Test catalog'!$K$2:$K$200,MATCH($AB466,'Test catalog'!$A$2:$A$200,0))),"")</f>
        <v/>
      </c>
      <c r="R466" s="5" t="n"/>
      <c r="S466" s="10">
        <f>IFERROR(IF(INDEX('Test catalog'!$L$2:$L$200,MATCH($AB466,'Test catalog'!$A$2:$A$200,0))="","",INDEX('Test catalog'!$L$2:$L$200,MATCH($AB466,'Test catalog'!$A$2:$A$200,0))),"")</f>
        <v/>
      </c>
      <c r="T466" s="10">
        <f>IFERROR(IF(INDEX('Test catalog'!$M$2:$M$200,MATCH($AB466,'Test catalog'!$A$2:$A$200,0))="","",INDEX('Test catalog'!$M$2:$M$200,MATCH($AB466,'Test catalog'!$A$2:$A$200,0))),"")</f>
        <v/>
      </c>
      <c r="U466" s="10">
        <f>IFERROR(IF(INDEX('Test catalog'!$N$2:$N$200,MATCH($AB466,'Test catalog'!$A$2:$A$200,0))="","",INDEX('Test catalog'!$N$2:$N$200,MATCH($AB466,'Test catalog'!$A$2:$A$200,0))),"")</f>
        <v/>
      </c>
      <c r="V466" s="15" t="n"/>
      <c r="W466" s="5" t="inlineStr">
        <is>
          <t>N</t>
        </is>
      </c>
      <c r="X466" s="5" t="n"/>
      <c r="Y466" s="5" t="n"/>
      <c r="Z466" s="5" t="inlineStr">
        <is>
          <t>Actives not on record – confirm tests</t>
        </is>
      </c>
      <c r="AA466" s="10">
        <f>IFERROR(IF(INDEX('Test catalog'!$O$2:$O$200,MATCH($AB466,'Test catalog'!$A$2:$A$200,0))="","",INDEX('Test catalog'!$O$2:$O$200,MATCH($AB466,'Test catalog'!$A$2:$A$200,0))),"")</f>
        <v/>
      </c>
      <c r="AB466" s="10" t="inlineStr">
        <is>
          <t>AVG_WT</t>
        </is>
      </c>
    </row>
    <row r="467">
      <c r="A467" s="10" t="inlineStr">
        <is>
          <t>F63</t>
        </is>
      </c>
      <c r="B467" s="10" t="inlineStr">
        <is>
          <t>FP</t>
        </is>
      </c>
      <c r="C467" s="10" t="inlineStr">
        <is>
          <t>Zylicut-Duo 180/10  |  actives TBD: Zylicut-Duo 180/10</t>
        </is>
      </c>
      <c r="D467" s="10" t="inlineStr">
        <is>
          <t>Diameter (or length / width)</t>
        </is>
      </c>
      <c r="E467" s="10">
        <f>IF(A467="","",A467&amp;"|"&amp;D467)</f>
        <v/>
      </c>
      <c r="F467" s="5" t="inlineStr">
        <is>
          <t>Y</t>
        </is>
      </c>
      <c r="G467" s="5" t="inlineStr">
        <is>
          <t>Tablet tester</t>
        </is>
      </c>
      <c r="H467" s="5" t="inlineStr">
        <is>
          <t>Low</t>
        </is>
      </c>
      <c r="I467" s="5" t="n">
        <v>1</v>
      </c>
      <c r="J467" s="5" t="n"/>
      <c r="K467" s="10">
        <f>IFERROR(IF(INDEX('Test catalog'!$F$2:$F$200,MATCH($AB467,'Test catalog'!$A$2:$A$200,0))="","",INDEX('Test catalog'!$F$2:$F$200,MATCH($AB467,'Test catalog'!$A$2:$A$200,0))),"")</f>
        <v/>
      </c>
      <c r="L467" s="10">
        <f>IFERROR(IF(INDEX('Test catalog'!$G$2:$G$200,MATCH($AB467,'Test catalog'!$A$2:$A$200,0))="","",INDEX('Test catalog'!$G$2:$G$200,MATCH($AB467,'Test catalog'!$A$2:$A$200,0))),"")</f>
        <v/>
      </c>
      <c r="M467" s="10">
        <f>IFERROR(IF(INDEX('Test catalog'!$H$2:$H$200,MATCH($AB467,'Test catalog'!$A$2:$A$200,0))="","",INDEX('Test catalog'!$H$2:$H$200,MATCH($AB467,'Test catalog'!$A$2:$A$200,0))),"")</f>
        <v/>
      </c>
      <c r="N467" s="10">
        <f>IFERROR(IF(INDEX('Test catalog'!$I$2:$I$200,MATCH($AB467,'Test catalog'!$A$2:$A$200,0))="","",INDEX('Test catalog'!$I$2:$I$200,MATCH($AB467,'Test catalog'!$A$2:$A$200,0))),"")</f>
        <v/>
      </c>
      <c r="O467" s="10">
        <f>IFERROR(IF(INDEX('Test catalog'!$J$2:$J$200,MATCH($AB467,'Test catalog'!$A$2:$A$200,0))="","",INDEX('Test catalog'!$J$2:$J$200,MATCH($AB467,'Test catalog'!$A$2:$A$200,0))),"")</f>
        <v/>
      </c>
      <c r="P467" s="14">
        <f>IF(N467="","",IF(OR(M467="",O467=""),N467,(M467+4*N467+O467)/6))</f>
        <v/>
      </c>
      <c r="Q467" s="10">
        <f>IFERROR(IF(INDEX('Test catalog'!$K$2:$K$200,MATCH($AB467,'Test catalog'!$A$2:$A$200,0))="","",INDEX('Test catalog'!$K$2:$K$200,MATCH($AB467,'Test catalog'!$A$2:$A$200,0))),"")</f>
        <v/>
      </c>
      <c r="R467" s="5" t="n"/>
      <c r="S467" s="10">
        <f>IFERROR(IF(INDEX('Test catalog'!$L$2:$L$200,MATCH($AB467,'Test catalog'!$A$2:$A$200,0))="","",INDEX('Test catalog'!$L$2:$L$200,MATCH($AB467,'Test catalog'!$A$2:$A$200,0))),"")</f>
        <v/>
      </c>
      <c r="T467" s="10">
        <f>IFERROR(IF(INDEX('Test catalog'!$M$2:$M$200,MATCH($AB467,'Test catalog'!$A$2:$A$200,0))="","",INDEX('Test catalog'!$M$2:$M$200,MATCH($AB467,'Test catalog'!$A$2:$A$200,0))),"")</f>
        <v/>
      </c>
      <c r="U467" s="10">
        <f>IFERROR(IF(INDEX('Test catalog'!$N$2:$N$200,MATCH($AB467,'Test catalog'!$A$2:$A$200,0))="","",INDEX('Test catalog'!$N$2:$N$200,MATCH($AB467,'Test catalog'!$A$2:$A$200,0))),"")</f>
        <v/>
      </c>
      <c r="V467" s="15" t="n"/>
      <c r="W467" s="5" t="inlineStr">
        <is>
          <t>N</t>
        </is>
      </c>
      <c r="X467" s="5" t="n"/>
      <c r="Y467" s="5" t="n"/>
      <c r="Z467" s="5" t="inlineStr">
        <is>
          <t>Actives not on record – confirm tests</t>
        </is>
      </c>
      <c r="AA467" s="10">
        <f>IFERROR(IF(INDEX('Test catalog'!$O$2:$O$200,MATCH($AB467,'Test catalog'!$A$2:$A$200,0))="","",INDEX('Test catalog'!$O$2:$O$200,MATCH($AB467,'Test catalog'!$A$2:$A$200,0))),"")</f>
        <v/>
      </c>
      <c r="AB467" s="10" t="inlineStr">
        <is>
          <t>DIAM</t>
        </is>
      </c>
    </row>
    <row r="468">
      <c r="A468" s="10" t="inlineStr">
        <is>
          <t>F63</t>
        </is>
      </c>
      <c r="B468" s="10" t="inlineStr">
        <is>
          <t>FP</t>
        </is>
      </c>
      <c r="C468" s="10" t="inlineStr">
        <is>
          <t>Zylicut-Duo 180/10  |  actives TBD: Zylicut-Duo 180/10</t>
        </is>
      </c>
      <c r="D468" s="10" t="inlineStr">
        <is>
          <t>Thickness</t>
        </is>
      </c>
      <c r="E468" s="10">
        <f>IF(A468="","",A468&amp;"|"&amp;D468)</f>
        <v/>
      </c>
      <c r="F468" s="5" t="inlineStr">
        <is>
          <t>Y</t>
        </is>
      </c>
      <c r="G468" s="5" t="inlineStr">
        <is>
          <t>Tablet tester</t>
        </is>
      </c>
      <c r="H468" s="5" t="inlineStr">
        <is>
          <t>Low</t>
        </is>
      </c>
      <c r="I468" s="5" t="n">
        <v>1</v>
      </c>
      <c r="J468" s="5" t="n"/>
      <c r="K468" s="10">
        <f>IFERROR(IF(INDEX('Test catalog'!$F$2:$F$200,MATCH($AB468,'Test catalog'!$A$2:$A$200,0))="","",INDEX('Test catalog'!$F$2:$F$200,MATCH($AB468,'Test catalog'!$A$2:$A$200,0))),"")</f>
        <v/>
      </c>
      <c r="L468" s="10">
        <f>IFERROR(IF(INDEX('Test catalog'!$G$2:$G$200,MATCH($AB468,'Test catalog'!$A$2:$A$200,0))="","",INDEX('Test catalog'!$G$2:$G$200,MATCH($AB468,'Test catalog'!$A$2:$A$200,0))),"")</f>
        <v/>
      </c>
      <c r="M468" s="10">
        <f>IFERROR(IF(INDEX('Test catalog'!$H$2:$H$200,MATCH($AB468,'Test catalog'!$A$2:$A$200,0))="","",INDEX('Test catalog'!$H$2:$H$200,MATCH($AB468,'Test catalog'!$A$2:$A$200,0))),"")</f>
        <v/>
      </c>
      <c r="N468" s="10">
        <f>IFERROR(IF(INDEX('Test catalog'!$I$2:$I$200,MATCH($AB468,'Test catalog'!$A$2:$A$200,0))="","",INDEX('Test catalog'!$I$2:$I$200,MATCH($AB468,'Test catalog'!$A$2:$A$200,0))),"")</f>
        <v/>
      </c>
      <c r="O468" s="10">
        <f>IFERROR(IF(INDEX('Test catalog'!$J$2:$J$200,MATCH($AB468,'Test catalog'!$A$2:$A$200,0))="","",INDEX('Test catalog'!$J$2:$J$200,MATCH($AB468,'Test catalog'!$A$2:$A$200,0))),"")</f>
        <v/>
      </c>
      <c r="P468" s="14">
        <f>IF(N468="","",IF(OR(M468="",O468=""),N468,(M468+4*N468+O468)/6))</f>
        <v/>
      </c>
      <c r="Q468" s="10">
        <f>IFERROR(IF(INDEX('Test catalog'!$K$2:$K$200,MATCH($AB468,'Test catalog'!$A$2:$A$200,0))="","",INDEX('Test catalog'!$K$2:$K$200,MATCH($AB468,'Test catalog'!$A$2:$A$200,0))),"")</f>
        <v/>
      </c>
      <c r="R468" s="5" t="n"/>
      <c r="S468" s="10">
        <f>IFERROR(IF(INDEX('Test catalog'!$L$2:$L$200,MATCH($AB468,'Test catalog'!$A$2:$A$200,0))="","",INDEX('Test catalog'!$L$2:$L$200,MATCH($AB468,'Test catalog'!$A$2:$A$200,0))),"")</f>
        <v/>
      </c>
      <c r="T468" s="10">
        <f>IFERROR(IF(INDEX('Test catalog'!$M$2:$M$200,MATCH($AB468,'Test catalog'!$A$2:$A$200,0))="","",INDEX('Test catalog'!$M$2:$M$200,MATCH($AB468,'Test catalog'!$A$2:$A$200,0))),"")</f>
        <v/>
      </c>
      <c r="U468" s="10">
        <f>IFERROR(IF(INDEX('Test catalog'!$N$2:$N$200,MATCH($AB468,'Test catalog'!$A$2:$A$200,0))="","",INDEX('Test catalog'!$N$2:$N$200,MATCH($AB468,'Test catalog'!$A$2:$A$200,0))),"")</f>
        <v/>
      </c>
      <c r="V468" s="15" t="n"/>
      <c r="W468" s="5" t="inlineStr">
        <is>
          <t>N</t>
        </is>
      </c>
      <c r="X468" s="5" t="n"/>
      <c r="Y468" s="5" t="n"/>
      <c r="Z468" s="5" t="inlineStr">
        <is>
          <t>Actives not on record – confirm tests</t>
        </is>
      </c>
      <c r="AA468" s="10">
        <f>IFERROR(IF(INDEX('Test catalog'!$O$2:$O$200,MATCH($AB468,'Test catalog'!$A$2:$A$200,0))="","",INDEX('Test catalog'!$O$2:$O$200,MATCH($AB468,'Test catalog'!$A$2:$A$200,0))),"")</f>
        <v/>
      </c>
      <c r="AB468" s="10" t="inlineStr">
        <is>
          <t>THICK</t>
        </is>
      </c>
    </row>
    <row r="469">
      <c r="A469" s="10" t="inlineStr">
        <is>
          <t>F63</t>
        </is>
      </c>
      <c r="B469" s="10" t="inlineStr">
        <is>
          <t>FP</t>
        </is>
      </c>
      <c r="C469" s="10" t="inlineStr">
        <is>
          <t>Zylicut-Duo 180/10  |  actives TBD: Zylicut-Duo 180/10</t>
        </is>
      </c>
      <c r="D469" s="10" t="inlineStr">
        <is>
          <t>Hardness / breaking force</t>
        </is>
      </c>
      <c r="E469" s="10">
        <f>IF(A469="","",A469&amp;"|"&amp;D469)</f>
        <v/>
      </c>
      <c r="F469" s="5" t="inlineStr">
        <is>
          <t>Y</t>
        </is>
      </c>
      <c r="G469" s="5" t="inlineStr">
        <is>
          <t>Tablet tester</t>
        </is>
      </c>
      <c r="H469" s="5" t="inlineStr">
        <is>
          <t>Low</t>
        </is>
      </c>
      <c r="I469" s="5" t="n">
        <v>1</v>
      </c>
      <c r="J469" s="5" t="n"/>
      <c r="K469" s="10">
        <f>IFERROR(IF(INDEX('Test catalog'!$F$2:$F$200,MATCH($AB469,'Test catalog'!$A$2:$A$200,0))="","",INDEX('Test catalog'!$F$2:$F$200,MATCH($AB469,'Test catalog'!$A$2:$A$200,0))),"")</f>
        <v/>
      </c>
      <c r="L469" s="10">
        <f>IFERROR(IF(INDEX('Test catalog'!$G$2:$G$200,MATCH($AB469,'Test catalog'!$A$2:$A$200,0))="","",INDEX('Test catalog'!$G$2:$G$200,MATCH($AB469,'Test catalog'!$A$2:$A$200,0))),"")</f>
        <v/>
      </c>
      <c r="M469" s="10">
        <f>IFERROR(IF(INDEX('Test catalog'!$H$2:$H$200,MATCH($AB469,'Test catalog'!$A$2:$A$200,0))="","",INDEX('Test catalog'!$H$2:$H$200,MATCH($AB469,'Test catalog'!$A$2:$A$200,0))),"")</f>
        <v/>
      </c>
      <c r="N469" s="10">
        <f>IFERROR(IF(INDEX('Test catalog'!$I$2:$I$200,MATCH($AB469,'Test catalog'!$A$2:$A$200,0))="","",INDEX('Test catalog'!$I$2:$I$200,MATCH($AB469,'Test catalog'!$A$2:$A$200,0))),"")</f>
        <v/>
      </c>
      <c r="O469" s="10">
        <f>IFERROR(IF(INDEX('Test catalog'!$J$2:$J$200,MATCH($AB469,'Test catalog'!$A$2:$A$200,0))="","",INDEX('Test catalog'!$J$2:$J$200,MATCH($AB469,'Test catalog'!$A$2:$A$200,0))),"")</f>
        <v/>
      </c>
      <c r="P469" s="14">
        <f>IF(N469="","",IF(OR(M469="",O469=""),N469,(M469+4*N469+O469)/6))</f>
        <v/>
      </c>
      <c r="Q469" s="10">
        <f>IFERROR(IF(INDEX('Test catalog'!$K$2:$K$200,MATCH($AB469,'Test catalog'!$A$2:$A$200,0))="","",INDEX('Test catalog'!$K$2:$K$200,MATCH($AB469,'Test catalog'!$A$2:$A$200,0))),"")</f>
        <v/>
      </c>
      <c r="R469" s="5" t="n"/>
      <c r="S469" s="10">
        <f>IFERROR(IF(INDEX('Test catalog'!$L$2:$L$200,MATCH($AB469,'Test catalog'!$A$2:$A$200,0))="","",INDEX('Test catalog'!$L$2:$L$200,MATCH($AB469,'Test catalog'!$A$2:$A$200,0))),"")</f>
        <v/>
      </c>
      <c r="T469" s="10">
        <f>IFERROR(IF(INDEX('Test catalog'!$M$2:$M$200,MATCH($AB469,'Test catalog'!$A$2:$A$200,0))="","",INDEX('Test catalog'!$M$2:$M$200,MATCH($AB469,'Test catalog'!$A$2:$A$200,0))),"")</f>
        <v/>
      </c>
      <c r="U469" s="10">
        <f>IFERROR(IF(INDEX('Test catalog'!$N$2:$N$200,MATCH($AB469,'Test catalog'!$A$2:$A$200,0))="","",INDEX('Test catalog'!$N$2:$N$200,MATCH($AB469,'Test catalog'!$A$2:$A$200,0))),"")</f>
        <v/>
      </c>
      <c r="V469" s="15" t="n"/>
      <c r="W469" s="5" t="inlineStr">
        <is>
          <t>Y</t>
        </is>
      </c>
      <c r="X469" s="5" t="n"/>
      <c r="Y469" s="5" t="n"/>
      <c r="Z469" s="5" t="inlineStr">
        <is>
          <t>Actives not on record – confirm tests</t>
        </is>
      </c>
      <c r="AA469" s="10">
        <f>IFERROR(IF(INDEX('Test catalog'!$O$2:$O$200,MATCH($AB469,'Test catalog'!$A$2:$A$200,0))="","",INDEX('Test catalog'!$O$2:$O$200,MATCH($AB469,'Test catalog'!$A$2:$A$200,0))),"")</f>
        <v/>
      </c>
      <c r="AB469" s="10" t="inlineStr">
        <is>
          <t>HARD</t>
        </is>
      </c>
    </row>
    <row r="470">
      <c r="A470" s="10" t="inlineStr">
        <is>
          <t>F63</t>
        </is>
      </c>
      <c r="B470" s="10" t="inlineStr">
        <is>
          <t>FP</t>
        </is>
      </c>
      <c r="C470" s="10" t="inlineStr">
        <is>
          <t>Zylicut-Duo 180/10  |  actives TBD: Zylicut-Duo 180/10</t>
        </is>
      </c>
      <c r="D470" s="10" t="inlineStr">
        <is>
          <t>Brittleness</t>
        </is>
      </c>
      <c r="E470" s="10">
        <f>IF(A470="","",A470&amp;"|"&amp;D470)</f>
        <v/>
      </c>
      <c r="F470" s="5" t="inlineStr">
        <is>
          <t>Y</t>
        </is>
      </c>
      <c r="G470" s="5" t="inlineStr">
        <is>
          <t>Other / bench</t>
        </is>
      </c>
      <c r="H470" s="5" t="inlineStr">
        <is>
          <t>Low</t>
        </is>
      </c>
      <c r="I470" s="5" t="n">
        <v>1</v>
      </c>
      <c r="J470" s="5" t="n"/>
      <c r="K470" s="10">
        <f>IFERROR(IF(INDEX('Test catalog'!$F$2:$F$200,MATCH($AB470,'Test catalog'!$A$2:$A$200,0))="","",INDEX('Test catalog'!$F$2:$F$200,MATCH($AB470,'Test catalog'!$A$2:$A$200,0))),"")</f>
        <v/>
      </c>
      <c r="L470" s="10">
        <f>IFERROR(IF(INDEX('Test catalog'!$G$2:$G$200,MATCH($AB470,'Test catalog'!$A$2:$A$200,0))="","",INDEX('Test catalog'!$G$2:$G$200,MATCH($AB470,'Test catalog'!$A$2:$A$200,0))),"")</f>
        <v/>
      </c>
      <c r="M470" s="10">
        <f>IFERROR(IF(INDEX('Test catalog'!$H$2:$H$200,MATCH($AB470,'Test catalog'!$A$2:$A$200,0))="","",INDEX('Test catalog'!$H$2:$H$200,MATCH($AB470,'Test catalog'!$A$2:$A$200,0))),"")</f>
        <v/>
      </c>
      <c r="N470" s="10">
        <f>IFERROR(IF(INDEX('Test catalog'!$I$2:$I$200,MATCH($AB470,'Test catalog'!$A$2:$A$200,0))="","",INDEX('Test catalog'!$I$2:$I$200,MATCH($AB470,'Test catalog'!$A$2:$A$200,0))),"")</f>
        <v/>
      </c>
      <c r="O470" s="10">
        <f>IFERROR(IF(INDEX('Test catalog'!$J$2:$J$200,MATCH($AB470,'Test catalog'!$A$2:$A$200,0))="","",INDEX('Test catalog'!$J$2:$J$200,MATCH($AB470,'Test catalog'!$A$2:$A$200,0))),"")</f>
        <v/>
      </c>
      <c r="P470" s="14">
        <f>IF(N470="","",IF(OR(M470="",O470=""),N470,(M470+4*N470+O470)/6))</f>
        <v/>
      </c>
      <c r="Q470" s="10">
        <f>IFERROR(IF(INDEX('Test catalog'!$K$2:$K$200,MATCH($AB470,'Test catalog'!$A$2:$A$200,0))="","",INDEX('Test catalog'!$K$2:$K$200,MATCH($AB470,'Test catalog'!$A$2:$A$200,0))),"")</f>
        <v/>
      </c>
      <c r="R470" s="5" t="n"/>
      <c r="S470" s="10">
        <f>IFERROR(IF(INDEX('Test catalog'!$L$2:$L$200,MATCH($AB470,'Test catalog'!$A$2:$A$200,0))="","",INDEX('Test catalog'!$L$2:$L$200,MATCH($AB470,'Test catalog'!$A$2:$A$200,0))),"")</f>
        <v/>
      </c>
      <c r="T470" s="10">
        <f>IFERROR(IF(INDEX('Test catalog'!$M$2:$M$200,MATCH($AB470,'Test catalog'!$A$2:$A$200,0))="","",INDEX('Test catalog'!$M$2:$M$200,MATCH($AB470,'Test catalog'!$A$2:$A$200,0))),"")</f>
        <v/>
      </c>
      <c r="U470" s="10">
        <f>IFERROR(IF(INDEX('Test catalog'!$N$2:$N$200,MATCH($AB470,'Test catalog'!$A$2:$A$200,0))="","",INDEX('Test catalog'!$N$2:$N$200,MATCH($AB470,'Test catalog'!$A$2:$A$200,0))),"")</f>
        <v/>
      </c>
      <c r="V470" s="15" t="n"/>
      <c r="W470" s="5" t="inlineStr">
        <is>
          <t>N</t>
        </is>
      </c>
      <c r="X470" s="5" t="n"/>
      <c r="Y470" s="5" t="n"/>
      <c r="Z470" s="5" t="inlineStr">
        <is>
          <t>Actives not on record – confirm tests</t>
        </is>
      </c>
      <c r="AA470" s="10">
        <f>IFERROR(IF(INDEX('Test catalog'!$O$2:$O$200,MATCH($AB470,'Test catalog'!$A$2:$A$200,0))="","",INDEX('Test catalog'!$O$2:$O$200,MATCH($AB470,'Test catalog'!$A$2:$A$200,0))),"")</f>
        <v/>
      </c>
      <c r="AB470" s="10" t="inlineStr">
        <is>
          <t>BRITTLE</t>
        </is>
      </c>
    </row>
    <row r="471">
      <c r="A471" s="10" t="inlineStr">
        <is>
          <t>F63</t>
        </is>
      </c>
      <c r="B471" s="10" t="inlineStr">
        <is>
          <t>FP</t>
        </is>
      </c>
      <c r="C471" s="10" t="inlineStr">
        <is>
          <t>Zylicut-Duo 180/10  |  actives TBD: Zylicut-Duo 180/10</t>
        </is>
      </c>
      <c r="D471" s="10" t="inlineStr">
        <is>
          <t>Friability</t>
        </is>
      </c>
      <c r="E471" s="10">
        <f>IF(A471="","",A471&amp;"|"&amp;D471)</f>
        <v/>
      </c>
      <c r="F471" s="5" t="inlineStr">
        <is>
          <t>Y</t>
        </is>
      </c>
      <c r="G471" s="5" t="inlineStr">
        <is>
          <t>Friabilator</t>
        </is>
      </c>
      <c r="H471" s="5" t="inlineStr">
        <is>
          <t>Low</t>
        </is>
      </c>
      <c r="I471" s="5" t="n">
        <v>1</v>
      </c>
      <c r="J471" s="5" t="n"/>
      <c r="K471" s="10">
        <f>IFERROR(IF(INDEX('Test catalog'!$F$2:$F$200,MATCH($AB471,'Test catalog'!$A$2:$A$200,0))="","",INDEX('Test catalog'!$F$2:$F$200,MATCH($AB471,'Test catalog'!$A$2:$A$200,0))),"")</f>
        <v/>
      </c>
      <c r="L471" s="10">
        <f>IFERROR(IF(INDEX('Test catalog'!$G$2:$G$200,MATCH($AB471,'Test catalog'!$A$2:$A$200,0))="","",INDEX('Test catalog'!$G$2:$G$200,MATCH($AB471,'Test catalog'!$A$2:$A$200,0))),"")</f>
        <v/>
      </c>
      <c r="M471" s="10">
        <f>IFERROR(IF(INDEX('Test catalog'!$H$2:$H$200,MATCH($AB471,'Test catalog'!$A$2:$A$200,0))="","",INDEX('Test catalog'!$H$2:$H$200,MATCH($AB471,'Test catalog'!$A$2:$A$200,0))),"")</f>
        <v/>
      </c>
      <c r="N471" s="10">
        <f>IFERROR(IF(INDEX('Test catalog'!$I$2:$I$200,MATCH($AB471,'Test catalog'!$A$2:$A$200,0))="","",INDEX('Test catalog'!$I$2:$I$200,MATCH($AB471,'Test catalog'!$A$2:$A$200,0))),"")</f>
        <v/>
      </c>
      <c r="O471" s="10">
        <f>IFERROR(IF(INDEX('Test catalog'!$J$2:$J$200,MATCH($AB471,'Test catalog'!$A$2:$A$200,0))="","",INDEX('Test catalog'!$J$2:$J$200,MATCH($AB471,'Test catalog'!$A$2:$A$200,0))),"")</f>
        <v/>
      </c>
      <c r="P471" s="14">
        <f>IF(N471="","",IF(OR(M471="",O471=""),N471,(M471+4*N471+O471)/6))</f>
        <v/>
      </c>
      <c r="Q471" s="10">
        <f>IFERROR(IF(INDEX('Test catalog'!$K$2:$K$200,MATCH($AB471,'Test catalog'!$A$2:$A$200,0))="","",INDEX('Test catalog'!$K$2:$K$200,MATCH($AB471,'Test catalog'!$A$2:$A$200,0))),"")</f>
        <v/>
      </c>
      <c r="R471" s="5" t="n"/>
      <c r="S471" s="10">
        <f>IFERROR(IF(INDEX('Test catalog'!$L$2:$L$200,MATCH($AB471,'Test catalog'!$A$2:$A$200,0))="","",INDEX('Test catalog'!$L$2:$L$200,MATCH($AB471,'Test catalog'!$A$2:$A$200,0))),"")</f>
        <v/>
      </c>
      <c r="T471" s="10">
        <f>IFERROR(IF(INDEX('Test catalog'!$M$2:$M$200,MATCH($AB471,'Test catalog'!$A$2:$A$200,0))="","",INDEX('Test catalog'!$M$2:$M$200,MATCH($AB471,'Test catalog'!$A$2:$A$200,0))),"")</f>
        <v/>
      </c>
      <c r="U471" s="10">
        <f>IFERROR(IF(INDEX('Test catalog'!$N$2:$N$200,MATCH($AB471,'Test catalog'!$A$2:$A$200,0))="","",INDEX('Test catalog'!$N$2:$N$200,MATCH($AB471,'Test catalog'!$A$2:$A$200,0))),"")</f>
        <v/>
      </c>
      <c r="V471" s="15" t="n"/>
      <c r="W471" s="5" t="inlineStr">
        <is>
          <t>N</t>
        </is>
      </c>
      <c r="X471" s="5" t="n"/>
      <c r="Y471" s="5" t="n"/>
      <c r="Z471" s="5" t="inlineStr">
        <is>
          <t>Actives not on record – confirm tests</t>
        </is>
      </c>
      <c r="AA471" s="10">
        <f>IFERROR(IF(INDEX('Test catalog'!$O$2:$O$200,MATCH($AB471,'Test catalog'!$A$2:$A$200,0))="","",INDEX('Test catalog'!$O$2:$O$200,MATCH($AB471,'Test catalog'!$A$2:$A$200,0))),"")</f>
        <v/>
      </c>
      <c r="AB471" s="10" t="inlineStr">
        <is>
          <t>FRIAB</t>
        </is>
      </c>
    </row>
    <row r="472">
      <c r="A472" s="10" t="inlineStr">
        <is>
          <t>F63</t>
        </is>
      </c>
      <c r="B472" s="10" t="inlineStr">
        <is>
          <t>FP</t>
        </is>
      </c>
      <c r="C472" s="10" t="inlineStr">
        <is>
          <t>Zylicut-Duo 180/10  |  actives TBD: Zylicut-Duo 180/10</t>
        </is>
      </c>
      <c r="D472" s="10" t="inlineStr">
        <is>
          <t>Disintegration</t>
        </is>
      </c>
      <c r="E472" s="10">
        <f>IF(A472="","",A472&amp;"|"&amp;D472)</f>
        <v/>
      </c>
      <c r="F472" s="5" t="inlineStr">
        <is>
          <t>Y</t>
        </is>
      </c>
      <c r="G472" s="5" t="inlineStr">
        <is>
          <t>Disintegration tester</t>
        </is>
      </c>
      <c r="H472" s="5" t="inlineStr">
        <is>
          <t>Low</t>
        </is>
      </c>
      <c r="I472" s="5" t="n">
        <v>1</v>
      </c>
      <c r="J472" s="5" t="n"/>
      <c r="K472" s="10">
        <f>IFERROR(IF(INDEX('Test catalog'!$F$2:$F$200,MATCH($AB472,'Test catalog'!$A$2:$A$200,0))="","",INDEX('Test catalog'!$F$2:$F$200,MATCH($AB472,'Test catalog'!$A$2:$A$200,0))),"")</f>
        <v/>
      </c>
      <c r="L472" s="10">
        <f>IFERROR(IF(INDEX('Test catalog'!$G$2:$G$200,MATCH($AB472,'Test catalog'!$A$2:$A$200,0))="","",INDEX('Test catalog'!$G$2:$G$200,MATCH($AB472,'Test catalog'!$A$2:$A$200,0))),"")</f>
        <v/>
      </c>
      <c r="M472" s="10">
        <f>IFERROR(IF(INDEX('Test catalog'!$H$2:$H$200,MATCH($AB472,'Test catalog'!$A$2:$A$200,0))="","",INDEX('Test catalog'!$H$2:$H$200,MATCH($AB472,'Test catalog'!$A$2:$A$200,0))),"")</f>
        <v/>
      </c>
      <c r="N472" s="10">
        <f>IFERROR(IF(INDEX('Test catalog'!$I$2:$I$200,MATCH($AB472,'Test catalog'!$A$2:$A$200,0))="","",INDEX('Test catalog'!$I$2:$I$200,MATCH($AB472,'Test catalog'!$A$2:$A$200,0))),"")</f>
        <v/>
      </c>
      <c r="O472" s="10">
        <f>IFERROR(IF(INDEX('Test catalog'!$J$2:$J$200,MATCH($AB472,'Test catalog'!$A$2:$A$200,0))="","",INDEX('Test catalog'!$J$2:$J$200,MATCH($AB472,'Test catalog'!$A$2:$A$200,0))),"")</f>
        <v/>
      </c>
      <c r="P472" s="14">
        <f>IF(N472="","",IF(OR(M472="",O472=""),N472,(M472+4*N472+O472)/6))</f>
        <v/>
      </c>
      <c r="Q472" s="10">
        <f>IFERROR(IF(INDEX('Test catalog'!$K$2:$K$200,MATCH($AB472,'Test catalog'!$A$2:$A$200,0))="","",INDEX('Test catalog'!$K$2:$K$200,MATCH($AB472,'Test catalog'!$A$2:$A$200,0))),"")</f>
        <v/>
      </c>
      <c r="R472" s="5" t="n"/>
      <c r="S472" s="10">
        <f>IFERROR(IF(INDEX('Test catalog'!$L$2:$L$200,MATCH($AB472,'Test catalog'!$A$2:$A$200,0))="","",INDEX('Test catalog'!$L$2:$L$200,MATCH($AB472,'Test catalog'!$A$2:$A$200,0))),"")</f>
        <v/>
      </c>
      <c r="T472" s="10">
        <f>IFERROR(IF(INDEX('Test catalog'!$M$2:$M$200,MATCH($AB472,'Test catalog'!$A$2:$A$200,0))="","",INDEX('Test catalog'!$M$2:$M$200,MATCH($AB472,'Test catalog'!$A$2:$A$200,0))),"")</f>
        <v/>
      </c>
      <c r="U472" s="10">
        <f>IFERROR(IF(INDEX('Test catalog'!$N$2:$N$200,MATCH($AB472,'Test catalog'!$A$2:$A$200,0))="","",INDEX('Test catalog'!$N$2:$N$200,MATCH($AB472,'Test catalog'!$A$2:$A$200,0))),"")</f>
        <v/>
      </c>
      <c r="V472" s="15" t="n"/>
      <c r="W472" s="5" t="inlineStr">
        <is>
          <t>Y</t>
        </is>
      </c>
      <c r="X472" s="5" t="n"/>
      <c r="Y472" s="5" t="n"/>
      <c r="Z472" s="5" t="inlineStr">
        <is>
          <t>Actives not on record – confirm tests</t>
        </is>
      </c>
      <c r="AA472" s="10">
        <f>IFERROR(IF(INDEX('Test catalog'!$O$2:$O$200,MATCH($AB472,'Test catalog'!$A$2:$A$200,0))="","",INDEX('Test catalog'!$O$2:$O$200,MATCH($AB472,'Test catalog'!$A$2:$A$200,0))),"")</f>
        <v/>
      </c>
      <c r="AB472" s="10" t="inlineStr">
        <is>
          <t>DISINT</t>
        </is>
      </c>
    </row>
    <row r="473">
      <c r="A473" s="10" t="inlineStr">
        <is>
          <t>F63</t>
        </is>
      </c>
      <c r="B473" s="10" t="inlineStr">
        <is>
          <t>FP</t>
        </is>
      </c>
      <c r="C473" s="10" t="inlineStr">
        <is>
          <t>Zylicut-Duo 180/10  |  actives TBD: Zylicut-Duo 180/10</t>
        </is>
      </c>
      <c r="D473" s="10" t="inlineStr">
        <is>
          <t>In-process check at the machine (one check, all its tests)</t>
        </is>
      </c>
      <c r="E473" s="10">
        <f>IF(A473="","",A473&amp;"|"&amp;D473)</f>
        <v/>
      </c>
      <c r="F473" s="5" t="inlineStr">
        <is>
          <t>Y</t>
        </is>
      </c>
      <c r="G473" s="5" t="inlineStr">
        <is>
          <t>Tablet tester</t>
        </is>
      </c>
      <c r="H473" s="5" t="inlineStr">
        <is>
          <t>Low</t>
        </is>
      </c>
      <c r="I473" s="5" t="n">
        <v>1</v>
      </c>
      <c r="J473" s="5" t="n"/>
      <c r="K473" s="10">
        <f>IFERROR(IF(INDEX('Test catalog'!$F$2:$F$200,MATCH($AB473,'Test catalog'!$A$2:$A$200,0))="","",INDEX('Test catalog'!$F$2:$F$200,MATCH($AB473,'Test catalog'!$A$2:$A$200,0))),"")</f>
        <v/>
      </c>
      <c r="L473" s="10">
        <f>IFERROR(IF(INDEX('Test catalog'!$G$2:$G$200,MATCH($AB473,'Test catalog'!$A$2:$A$200,0))="","",INDEX('Test catalog'!$G$2:$G$200,MATCH($AB473,'Test catalog'!$A$2:$A$200,0))),"")</f>
        <v/>
      </c>
      <c r="M473" s="10">
        <f>IFERROR(IF(INDEX('Test catalog'!$H$2:$H$200,MATCH($AB473,'Test catalog'!$A$2:$A$200,0))="","",INDEX('Test catalog'!$H$2:$H$200,MATCH($AB473,'Test catalog'!$A$2:$A$200,0))),"")</f>
        <v/>
      </c>
      <c r="N473" s="10">
        <f>IFERROR(IF(INDEX('Test catalog'!$I$2:$I$200,MATCH($AB473,'Test catalog'!$A$2:$A$200,0))="","",INDEX('Test catalog'!$I$2:$I$200,MATCH($AB473,'Test catalog'!$A$2:$A$200,0))),"")</f>
        <v/>
      </c>
      <c r="O473" s="10">
        <f>IFERROR(IF(INDEX('Test catalog'!$J$2:$J$200,MATCH($AB473,'Test catalog'!$A$2:$A$200,0))="","",INDEX('Test catalog'!$J$2:$J$200,MATCH($AB473,'Test catalog'!$A$2:$A$200,0))),"")</f>
        <v/>
      </c>
      <c r="P473" s="14">
        <f>IF(N473="","",IF(OR(M473="",O473=""),N473,(M473+4*N473+O473)/6))</f>
        <v/>
      </c>
      <c r="Q473" s="10">
        <f>IFERROR(IF(INDEX('Test catalog'!$K$2:$K$200,MATCH($AB473,'Test catalog'!$A$2:$A$200,0))="","",INDEX('Test catalog'!$K$2:$K$200,MATCH($AB473,'Test catalog'!$A$2:$A$200,0))),"")</f>
        <v/>
      </c>
      <c r="R473" s="5" t="n"/>
      <c r="S473" s="10">
        <f>IFERROR(IF(INDEX('Test catalog'!$L$2:$L$200,MATCH($AB473,'Test catalog'!$A$2:$A$200,0))="","",INDEX('Test catalog'!$L$2:$L$200,MATCH($AB473,'Test catalog'!$A$2:$A$200,0))),"")</f>
        <v/>
      </c>
      <c r="T473" s="10">
        <f>IFERROR(IF(INDEX('Test catalog'!$M$2:$M$200,MATCH($AB473,'Test catalog'!$A$2:$A$200,0))="","",INDEX('Test catalog'!$M$2:$M$200,MATCH($AB473,'Test catalog'!$A$2:$A$200,0))),"")</f>
        <v/>
      </c>
      <c r="U473" s="10">
        <f>IFERROR(IF(INDEX('Test catalog'!$N$2:$N$200,MATCH($AB473,'Test catalog'!$A$2:$A$200,0))="","",INDEX('Test catalog'!$N$2:$N$200,MATCH($AB473,'Test catalog'!$A$2:$A$200,0))),"")</f>
        <v/>
      </c>
      <c r="V473" s="15" t="n"/>
      <c r="W473" s="5" t="inlineStr">
        <is>
          <t>N</t>
        </is>
      </c>
      <c r="X473" s="5" t="n"/>
      <c r="Y473" s="5" t="n"/>
      <c r="Z473" s="5" t="inlineStr">
        <is>
          <t>Actives not on record – confirm tests</t>
        </is>
      </c>
      <c r="AA473" s="10">
        <f>IFERROR(IF(INDEX('Test catalog'!$O$2:$O$200,MATCH($AB473,'Test catalog'!$A$2:$A$200,0))="","",INDEX('Test catalog'!$O$2:$O$200,MATCH($AB473,'Test catalog'!$A$2:$A$200,0))),"")</f>
        <v/>
      </c>
      <c r="AB473" s="10" t="inlineStr">
        <is>
          <t>IPC</t>
        </is>
      </c>
    </row>
    <row r="474">
      <c r="A474" s="10" t="inlineStr">
        <is>
          <t>F64</t>
        </is>
      </c>
      <c r="B474" s="10" t="inlineStr">
        <is>
          <t>FP</t>
        </is>
      </c>
      <c r="C474" s="10" t="inlineStr">
        <is>
          <t>Hair and Skin  |  Biotin (Vitamin B7), Folic Acid (Vitamin B9) (+7 more)</t>
        </is>
      </c>
      <c r="D474" s="10" t="inlineStr">
        <is>
          <t>Average weight / uniformity of mass</t>
        </is>
      </c>
      <c r="E474" s="10">
        <f>IF(A474="","",A474&amp;"|"&amp;D474)</f>
        <v/>
      </c>
      <c r="F474" s="5" t="inlineStr">
        <is>
          <t>Y</t>
        </is>
      </c>
      <c r="G474" s="5" t="inlineStr">
        <is>
          <t>Balance</t>
        </is>
      </c>
      <c r="H474" s="5" t="inlineStr">
        <is>
          <t>Low</t>
        </is>
      </c>
      <c r="I474" s="5" t="n">
        <v>1</v>
      </c>
      <c r="J474" s="5" t="n"/>
      <c r="K474" s="10">
        <f>IFERROR(IF(INDEX('Test catalog'!$F$2:$F$200,MATCH($AB474,'Test catalog'!$A$2:$A$200,0))="","",INDEX('Test catalog'!$F$2:$F$200,MATCH($AB474,'Test catalog'!$A$2:$A$200,0))),"")</f>
        <v/>
      </c>
      <c r="L474" s="10">
        <f>IFERROR(IF(INDEX('Test catalog'!$G$2:$G$200,MATCH($AB474,'Test catalog'!$A$2:$A$200,0))="","",INDEX('Test catalog'!$G$2:$G$200,MATCH($AB474,'Test catalog'!$A$2:$A$200,0))),"")</f>
        <v/>
      </c>
      <c r="M474" s="10">
        <f>IFERROR(IF(INDEX('Test catalog'!$H$2:$H$200,MATCH($AB474,'Test catalog'!$A$2:$A$200,0))="","",INDEX('Test catalog'!$H$2:$H$200,MATCH($AB474,'Test catalog'!$A$2:$A$200,0))),"")</f>
        <v/>
      </c>
      <c r="N474" s="10">
        <f>IFERROR(IF(INDEX('Test catalog'!$I$2:$I$200,MATCH($AB474,'Test catalog'!$A$2:$A$200,0))="","",INDEX('Test catalog'!$I$2:$I$200,MATCH($AB474,'Test catalog'!$A$2:$A$200,0))),"")</f>
        <v/>
      </c>
      <c r="O474" s="10">
        <f>IFERROR(IF(INDEX('Test catalog'!$J$2:$J$200,MATCH($AB474,'Test catalog'!$A$2:$A$200,0))="","",INDEX('Test catalog'!$J$2:$J$200,MATCH($AB474,'Test catalog'!$A$2:$A$200,0))),"")</f>
        <v/>
      </c>
      <c r="P474" s="14">
        <f>IF(N474="","",IF(OR(M474="",O474=""),N474,(M474+4*N474+O474)/6))</f>
        <v/>
      </c>
      <c r="Q474" s="10">
        <f>IFERROR(IF(INDEX('Test catalog'!$K$2:$K$200,MATCH($AB474,'Test catalog'!$A$2:$A$200,0))="","",INDEX('Test catalog'!$K$2:$K$200,MATCH($AB474,'Test catalog'!$A$2:$A$200,0))),"")</f>
        <v/>
      </c>
      <c r="R474" s="5" t="n"/>
      <c r="S474" s="10">
        <f>IFERROR(IF(INDEX('Test catalog'!$L$2:$L$200,MATCH($AB474,'Test catalog'!$A$2:$A$200,0))="","",INDEX('Test catalog'!$L$2:$L$200,MATCH($AB474,'Test catalog'!$A$2:$A$200,0))),"")</f>
        <v/>
      </c>
      <c r="T474" s="10">
        <f>IFERROR(IF(INDEX('Test catalog'!$M$2:$M$200,MATCH($AB474,'Test catalog'!$A$2:$A$200,0))="","",INDEX('Test catalog'!$M$2:$M$200,MATCH($AB474,'Test catalog'!$A$2:$A$200,0))),"")</f>
        <v/>
      </c>
      <c r="U474" s="10">
        <f>IFERROR(IF(INDEX('Test catalog'!$N$2:$N$200,MATCH($AB474,'Test catalog'!$A$2:$A$200,0))="","",INDEX('Test catalog'!$N$2:$N$200,MATCH($AB474,'Test catalog'!$A$2:$A$200,0))),"")</f>
        <v/>
      </c>
      <c r="V474" s="15" t="n"/>
      <c r="W474" s="5" t="inlineStr">
        <is>
          <t>N</t>
        </is>
      </c>
      <c r="X474" s="5" t="n"/>
      <c r="Y474" s="5" t="n"/>
      <c r="Z474" s="5" t="n"/>
      <c r="AA474" s="10">
        <f>IFERROR(IF(INDEX('Test catalog'!$O$2:$O$200,MATCH($AB474,'Test catalog'!$A$2:$A$200,0))="","",INDEX('Test catalog'!$O$2:$O$200,MATCH($AB474,'Test catalog'!$A$2:$A$200,0))),"")</f>
        <v/>
      </c>
      <c r="AB474" s="10" t="inlineStr">
        <is>
          <t>AVG_WT</t>
        </is>
      </c>
    </row>
    <row r="475">
      <c r="A475" s="10" t="inlineStr">
        <is>
          <t>F64</t>
        </is>
      </c>
      <c r="B475" s="10" t="inlineStr">
        <is>
          <t>FP</t>
        </is>
      </c>
      <c r="C475" s="10" t="inlineStr">
        <is>
          <t>Hair and Skin  |  Biotin (Vitamin B7), Folic Acid (Vitamin B9) (+7 more)</t>
        </is>
      </c>
      <c r="D475" s="10" t="inlineStr">
        <is>
          <t>Diameter (or length / width)</t>
        </is>
      </c>
      <c r="E475" s="10">
        <f>IF(A475="","",A475&amp;"|"&amp;D475)</f>
        <v/>
      </c>
      <c r="F475" s="5" t="inlineStr">
        <is>
          <t>Y</t>
        </is>
      </c>
      <c r="G475" s="5" t="inlineStr">
        <is>
          <t>Tablet tester</t>
        </is>
      </c>
      <c r="H475" s="5" t="inlineStr">
        <is>
          <t>Low</t>
        </is>
      </c>
      <c r="I475" s="5" t="n">
        <v>1</v>
      </c>
      <c r="J475" s="5" t="n"/>
      <c r="K475" s="10">
        <f>IFERROR(IF(INDEX('Test catalog'!$F$2:$F$200,MATCH($AB475,'Test catalog'!$A$2:$A$200,0))="","",INDEX('Test catalog'!$F$2:$F$200,MATCH($AB475,'Test catalog'!$A$2:$A$200,0))),"")</f>
        <v/>
      </c>
      <c r="L475" s="10">
        <f>IFERROR(IF(INDEX('Test catalog'!$G$2:$G$200,MATCH($AB475,'Test catalog'!$A$2:$A$200,0))="","",INDEX('Test catalog'!$G$2:$G$200,MATCH($AB475,'Test catalog'!$A$2:$A$200,0))),"")</f>
        <v/>
      </c>
      <c r="M475" s="10">
        <f>IFERROR(IF(INDEX('Test catalog'!$H$2:$H$200,MATCH($AB475,'Test catalog'!$A$2:$A$200,0))="","",INDEX('Test catalog'!$H$2:$H$200,MATCH($AB475,'Test catalog'!$A$2:$A$200,0))),"")</f>
        <v/>
      </c>
      <c r="N475" s="10">
        <f>IFERROR(IF(INDEX('Test catalog'!$I$2:$I$200,MATCH($AB475,'Test catalog'!$A$2:$A$200,0))="","",INDEX('Test catalog'!$I$2:$I$200,MATCH($AB475,'Test catalog'!$A$2:$A$200,0))),"")</f>
        <v/>
      </c>
      <c r="O475" s="10">
        <f>IFERROR(IF(INDEX('Test catalog'!$J$2:$J$200,MATCH($AB475,'Test catalog'!$A$2:$A$200,0))="","",INDEX('Test catalog'!$J$2:$J$200,MATCH($AB475,'Test catalog'!$A$2:$A$200,0))),"")</f>
        <v/>
      </c>
      <c r="P475" s="14">
        <f>IF(N475="","",IF(OR(M475="",O475=""),N475,(M475+4*N475+O475)/6))</f>
        <v/>
      </c>
      <c r="Q475" s="10">
        <f>IFERROR(IF(INDEX('Test catalog'!$K$2:$K$200,MATCH($AB475,'Test catalog'!$A$2:$A$200,0))="","",INDEX('Test catalog'!$K$2:$K$200,MATCH($AB475,'Test catalog'!$A$2:$A$200,0))),"")</f>
        <v/>
      </c>
      <c r="R475" s="5" t="n"/>
      <c r="S475" s="10">
        <f>IFERROR(IF(INDEX('Test catalog'!$L$2:$L$200,MATCH($AB475,'Test catalog'!$A$2:$A$200,0))="","",INDEX('Test catalog'!$L$2:$L$200,MATCH($AB475,'Test catalog'!$A$2:$A$200,0))),"")</f>
        <v/>
      </c>
      <c r="T475" s="10">
        <f>IFERROR(IF(INDEX('Test catalog'!$M$2:$M$200,MATCH($AB475,'Test catalog'!$A$2:$A$200,0))="","",INDEX('Test catalog'!$M$2:$M$200,MATCH($AB475,'Test catalog'!$A$2:$A$200,0))),"")</f>
        <v/>
      </c>
      <c r="U475" s="10">
        <f>IFERROR(IF(INDEX('Test catalog'!$N$2:$N$200,MATCH($AB475,'Test catalog'!$A$2:$A$200,0))="","",INDEX('Test catalog'!$N$2:$N$200,MATCH($AB475,'Test catalog'!$A$2:$A$200,0))),"")</f>
        <v/>
      </c>
      <c r="V475" s="15" t="n"/>
      <c r="W475" s="5" t="inlineStr">
        <is>
          <t>N</t>
        </is>
      </c>
      <c r="X475" s="5" t="n"/>
      <c r="Y475" s="5" t="n"/>
      <c r="Z475" s="5" t="n"/>
      <c r="AA475" s="10">
        <f>IFERROR(IF(INDEX('Test catalog'!$O$2:$O$200,MATCH($AB475,'Test catalog'!$A$2:$A$200,0))="","",INDEX('Test catalog'!$O$2:$O$200,MATCH($AB475,'Test catalog'!$A$2:$A$200,0))),"")</f>
        <v/>
      </c>
      <c r="AB475" s="10" t="inlineStr">
        <is>
          <t>DIAM</t>
        </is>
      </c>
    </row>
    <row r="476">
      <c r="A476" s="10" t="inlineStr">
        <is>
          <t>F64</t>
        </is>
      </c>
      <c r="B476" s="10" t="inlineStr">
        <is>
          <t>FP</t>
        </is>
      </c>
      <c r="C476" s="10" t="inlineStr">
        <is>
          <t>Hair and Skin  |  Biotin (Vitamin B7), Folic Acid (Vitamin B9) (+7 more)</t>
        </is>
      </c>
      <c r="D476" s="10" t="inlineStr">
        <is>
          <t>Thickness</t>
        </is>
      </c>
      <c r="E476" s="10">
        <f>IF(A476="","",A476&amp;"|"&amp;D476)</f>
        <v/>
      </c>
      <c r="F476" s="5" t="inlineStr">
        <is>
          <t>Y</t>
        </is>
      </c>
      <c r="G476" s="5" t="inlineStr">
        <is>
          <t>Tablet tester</t>
        </is>
      </c>
      <c r="H476" s="5" t="inlineStr">
        <is>
          <t>Low</t>
        </is>
      </c>
      <c r="I476" s="5" t="n">
        <v>1</v>
      </c>
      <c r="J476" s="5" t="n"/>
      <c r="K476" s="10">
        <f>IFERROR(IF(INDEX('Test catalog'!$F$2:$F$200,MATCH($AB476,'Test catalog'!$A$2:$A$200,0))="","",INDEX('Test catalog'!$F$2:$F$200,MATCH($AB476,'Test catalog'!$A$2:$A$200,0))),"")</f>
        <v/>
      </c>
      <c r="L476" s="10">
        <f>IFERROR(IF(INDEX('Test catalog'!$G$2:$G$200,MATCH($AB476,'Test catalog'!$A$2:$A$200,0))="","",INDEX('Test catalog'!$G$2:$G$200,MATCH($AB476,'Test catalog'!$A$2:$A$200,0))),"")</f>
        <v/>
      </c>
      <c r="M476" s="10">
        <f>IFERROR(IF(INDEX('Test catalog'!$H$2:$H$200,MATCH($AB476,'Test catalog'!$A$2:$A$200,0))="","",INDEX('Test catalog'!$H$2:$H$200,MATCH($AB476,'Test catalog'!$A$2:$A$200,0))),"")</f>
        <v/>
      </c>
      <c r="N476" s="10">
        <f>IFERROR(IF(INDEX('Test catalog'!$I$2:$I$200,MATCH($AB476,'Test catalog'!$A$2:$A$200,0))="","",INDEX('Test catalog'!$I$2:$I$200,MATCH($AB476,'Test catalog'!$A$2:$A$200,0))),"")</f>
        <v/>
      </c>
      <c r="O476" s="10">
        <f>IFERROR(IF(INDEX('Test catalog'!$J$2:$J$200,MATCH($AB476,'Test catalog'!$A$2:$A$200,0))="","",INDEX('Test catalog'!$J$2:$J$200,MATCH($AB476,'Test catalog'!$A$2:$A$200,0))),"")</f>
        <v/>
      </c>
      <c r="P476" s="14">
        <f>IF(N476="","",IF(OR(M476="",O476=""),N476,(M476+4*N476+O476)/6))</f>
        <v/>
      </c>
      <c r="Q476" s="10">
        <f>IFERROR(IF(INDEX('Test catalog'!$K$2:$K$200,MATCH($AB476,'Test catalog'!$A$2:$A$200,0))="","",INDEX('Test catalog'!$K$2:$K$200,MATCH($AB476,'Test catalog'!$A$2:$A$200,0))),"")</f>
        <v/>
      </c>
      <c r="R476" s="5" t="n"/>
      <c r="S476" s="10">
        <f>IFERROR(IF(INDEX('Test catalog'!$L$2:$L$200,MATCH($AB476,'Test catalog'!$A$2:$A$200,0))="","",INDEX('Test catalog'!$L$2:$L$200,MATCH($AB476,'Test catalog'!$A$2:$A$200,0))),"")</f>
        <v/>
      </c>
      <c r="T476" s="10">
        <f>IFERROR(IF(INDEX('Test catalog'!$M$2:$M$200,MATCH($AB476,'Test catalog'!$A$2:$A$200,0))="","",INDEX('Test catalog'!$M$2:$M$200,MATCH($AB476,'Test catalog'!$A$2:$A$200,0))),"")</f>
        <v/>
      </c>
      <c r="U476" s="10">
        <f>IFERROR(IF(INDEX('Test catalog'!$N$2:$N$200,MATCH($AB476,'Test catalog'!$A$2:$A$200,0))="","",INDEX('Test catalog'!$N$2:$N$200,MATCH($AB476,'Test catalog'!$A$2:$A$200,0))),"")</f>
        <v/>
      </c>
      <c r="V476" s="15" t="n"/>
      <c r="W476" s="5" t="inlineStr">
        <is>
          <t>N</t>
        </is>
      </c>
      <c r="X476" s="5" t="n"/>
      <c r="Y476" s="5" t="n"/>
      <c r="Z476" s="5" t="n"/>
      <c r="AA476" s="10">
        <f>IFERROR(IF(INDEX('Test catalog'!$O$2:$O$200,MATCH($AB476,'Test catalog'!$A$2:$A$200,0))="","",INDEX('Test catalog'!$O$2:$O$200,MATCH($AB476,'Test catalog'!$A$2:$A$200,0))),"")</f>
        <v/>
      </c>
      <c r="AB476" s="10" t="inlineStr">
        <is>
          <t>THICK</t>
        </is>
      </c>
    </row>
    <row r="477">
      <c r="A477" s="10" t="inlineStr">
        <is>
          <t>F64</t>
        </is>
      </c>
      <c r="B477" s="10" t="inlineStr">
        <is>
          <t>FP</t>
        </is>
      </c>
      <c r="C477" s="10" t="inlineStr">
        <is>
          <t>Hair and Skin  |  Biotin (Vitamin B7), Folic Acid (Vitamin B9) (+7 more)</t>
        </is>
      </c>
      <c r="D477" s="10" t="inlineStr">
        <is>
          <t>Hardness / breaking force</t>
        </is>
      </c>
      <c r="E477" s="10">
        <f>IF(A477="","",A477&amp;"|"&amp;D477)</f>
        <v/>
      </c>
      <c r="F477" s="5" t="inlineStr">
        <is>
          <t>Y</t>
        </is>
      </c>
      <c r="G477" s="5" t="inlineStr">
        <is>
          <t>Tablet tester</t>
        </is>
      </c>
      <c r="H477" s="5" t="inlineStr">
        <is>
          <t>Low</t>
        </is>
      </c>
      <c r="I477" s="5" t="n">
        <v>1</v>
      </c>
      <c r="J477" s="5" t="n"/>
      <c r="K477" s="10">
        <f>IFERROR(IF(INDEX('Test catalog'!$F$2:$F$200,MATCH($AB477,'Test catalog'!$A$2:$A$200,0))="","",INDEX('Test catalog'!$F$2:$F$200,MATCH($AB477,'Test catalog'!$A$2:$A$200,0))),"")</f>
        <v/>
      </c>
      <c r="L477" s="10">
        <f>IFERROR(IF(INDEX('Test catalog'!$G$2:$G$200,MATCH($AB477,'Test catalog'!$A$2:$A$200,0))="","",INDEX('Test catalog'!$G$2:$G$200,MATCH($AB477,'Test catalog'!$A$2:$A$200,0))),"")</f>
        <v/>
      </c>
      <c r="M477" s="10">
        <f>IFERROR(IF(INDEX('Test catalog'!$H$2:$H$200,MATCH($AB477,'Test catalog'!$A$2:$A$200,0))="","",INDEX('Test catalog'!$H$2:$H$200,MATCH($AB477,'Test catalog'!$A$2:$A$200,0))),"")</f>
        <v/>
      </c>
      <c r="N477" s="10">
        <f>IFERROR(IF(INDEX('Test catalog'!$I$2:$I$200,MATCH($AB477,'Test catalog'!$A$2:$A$200,0))="","",INDEX('Test catalog'!$I$2:$I$200,MATCH($AB477,'Test catalog'!$A$2:$A$200,0))),"")</f>
        <v/>
      </c>
      <c r="O477" s="10">
        <f>IFERROR(IF(INDEX('Test catalog'!$J$2:$J$200,MATCH($AB477,'Test catalog'!$A$2:$A$200,0))="","",INDEX('Test catalog'!$J$2:$J$200,MATCH($AB477,'Test catalog'!$A$2:$A$200,0))),"")</f>
        <v/>
      </c>
      <c r="P477" s="14">
        <f>IF(N477="","",IF(OR(M477="",O477=""),N477,(M477+4*N477+O477)/6))</f>
        <v/>
      </c>
      <c r="Q477" s="10">
        <f>IFERROR(IF(INDEX('Test catalog'!$K$2:$K$200,MATCH($AB477,'Test catalog'!$A$2:$A$200,0))="","",INDEX('Test catalog'!$K$2:$K$200,MATCH($AB477,'Test catalog'!$A$2:$A$200,0))),"")</f>
        <v/>
      </c>
      <c r="R477" s="5" t="n"/>
      <c r="S477" s="10">
        <f>IFERROR(IF(INDEX('Test catalog'!$L$2:$L$200,MATCH($AB477,'Test catalog'!$A$2:$A$200,0))="","",INDEX('Test catalog'!$L$2:$L$200,MATCH($AB477,'Test catalog'!$A$2:$A$200,0))),"")</f>
        <v/>
      </c>
      <c r="T477" s="10">
        <f>IFERROR(IF(INDEX('Test catalog'!$M$2:$M$200,MATCH($AB477,'Test catalog'!$A$2:$A$200,0))="","",INDEX('Test catalog'!$M$2:$M$200,MATCH($AB477,'Test catalog'!$A$2:$A$200,0))),"")</f>
        <v/>
      </c>
      <c r="U477" s="10">
        <f>IFERROR(IF(INDEX('Test catalog'!$N$2:$N$200,MATCH($AB477,'Test catalog'!$A$2:$A$200,0))="","",INDEX('Test catalog'!$N$2:$N$200,MATCH($AB477,'Test catalog'!$A$2:$A$200,0))),"")</f>
        <v/>
      </c>
      <c r="V477" s="15" t="n"/>
      <c r="W477" s="5" t="inlineStr">
        <is>
          <t>Y</t>
        </is>
      </c>
      <c r="X477" s="5" t="n"/>
      <c r="Y477" s="5" t="n"/>
      <c r="Z477" s="5" t="n"/>
      <c r="AA477" s="10">
        <f>IFERROR(IF(INDEX('Test catalog'!$O$2:$O$200,MATCH($AB477,'Test catalog'!$A$2:$A$200,0))="","",INDEX('Test catalog'!$O$2:$O$200,MATCH($AB477,'Test catalog'!$A$2:$A$200,0))),"")</f>
        <v/>
      </c>
      <c r="AB477" s="10" t="inlineStr">
        <is>
          <t>HARD</t>
        </is>
      </c>
    </row>
    <row r="478">
      <c r="A478" s="10" t="inlineStr">
        <is>
          <t>F64</t>
        </is>
      </c>
      <c r="B478" s="10" t="inlineStr">
        <is>
          <t>FP</t>
        </is>
      </c>
      <c r="C478" s="10" t="inlineStr">
        <is>
          <t>Hair and Skin  |  Biotin (Vitamin B7), Folic Acid (Vitamin B9) (+7 more)</t>
        </is>
      </c>
      <c r="D478" s="10" t="inlineStr">
        <is>
          <t>Brittleness</t>
        </is>
      </c>
      <c r="E478" s="10">
        <f>IF(A478="","",A478&amp;"|"&amp;D478)</f>
        <v/>
      </c>
      <c r="F478" s="5" t="inlineStr">
        <is>
          <t>Y</t>
        </is>
      </c>
      <c r="G478" s="5" t="inlineStr">
        <is>
          <t>Other / bench</t>
        </is>
      </c>
      <c r="H478" s="5" t="inlineStr">
        <is>
          <t>Low</t>
        </is>
      </c>
      <c r="I478" s="5" t="n">
        <v>1</v>
      </c>
      <c r="J478" s="5" t="n"/>
      <c r="K478" s="10">
        <f>IFERROR(IF(INDEX('Test catalog'!$F$2:$F$200,MATCH($AB478,'Test catalog'!$A$2:$A$200,0))="","",INDEX('Test catalog'!$F$2:$F$200,MATCH($AB478,'Test catalog'!$A$2:$A$200,0))),"")</f>
        <v/>
      </c>
      <c r="L478" s="10">
        <f>IFERROR(IF(INDEX('Test catalog'!$G$2:$G$200,MATCH($AB478,'Test catalog'!$A$2:$A$200,0))="","",INDEX('Test catalog'!$G$2:$G$200,MATCH($AB478,'Test catalog'!$A$2:$A$200,0))),"")</f>
        <v/>
      </c>
      <c r="M478" s="10">
        <f>IFERROR(IF(INDEX('Test catalog'!$H$2:$H$200,MATCH($AB478,'Test catalog'!$A$2:$A$200,0))="","",INDEX('Test catalog'!$H$2:$H$200,MATCH($AB478,'Test catalog'!$A$2:$A$200,0))),"")</f>
        <v/>
      </c>
      <c r="N478" s="10">
        <f>IFERROR(IF(INDEX('Test catalog'!$I$2:$I$200,MATCH($AB478,'Test catalog'!$A$2:$A$200,0))="","",INDEX('Test catalog'!$I$2:$I$200,MATCH($AB478,'Test catalog'!$A$2:$A$200,0))),"")</f>
        <v/>
      </c>
      <c r="O478" s="10">
        <f>IFERROR(IF(INDEX('Test catalog'!$J$2:$J$200,MATCH($AB478,'Test catalog'!$A$2:$A$200,0))="","",INDEX('Test catalog'!$J$2:$J$200,MATCH($AB478,'Test catalog'!$A$2:$A$200,0))),"")</f>
        <v/>
      </c>
      <c r="P478" s="14">
        <f>IF(N478="","",IF(OR(M478="",O478=""),N478,(M478+4*N478+O478)/6))</f>
        <v/>
      </c>
      <c r="Q478" s="10">
        <f>IFERROR(IF(INDEX('Test catalog'!$K$2:$K$200,MATCH($AB478,'Test catalog'!$A$2:$A$200,0))="","",INDEX('Test catalog'!$K$2:$K$200,MATCH($AB478,'Test catalog'!$A$2:$A$200,0))),"")</f>
        <v/>
      </c>
      <c r="R478" s="5" t="n"/>
      <c r="S478" s="10">
        <f>IFERROR(IF(INDEX('Test catalog'!$L$2:$L$200,MATCH($AB478,'Test catalog'!$A$2:$A$200,0))="","",INDEX('Test catalog'!$L$2:$L$200,MATCH($AB478,'Test catalog'!$A$2:$A$200,0))),"")</f>
        <v/>
      </c>
      <c r="T478" s="10">
        <f>IFERROR(IF(INDEX('Test catalog'!$M$2:$M$200,MATCH($AB478,'Test catalog'!$A$2:$A$200,0))="","",INDEX('Test catalog'!$M$2:$M$200,MATCH($AB478,'Test catalog'!$A$2:$A$200,0))),"")</f>
        <v/>
      </c>
      <c r="U478" s="10">
        <f>IFERROR(IF(INDEX('Test catalog'!$N$2:$N$200,MATCH($AB478,'Test catalog'!$A$2:$A$200,0))="","",INDEX('Test catalog'!$N$2:$N$200,MATCH($AB478,'Test catalog'!$A$2:$A$200,0))),"")</f>
        <v/>
      </c>
      <c r="V478" s="15" t="n"/>
      <c r="W478" s="5" t="inlineStr">
        <is>
          <t>N</t>
        </is>
      </c>
      <c r="X478" s="5" t="n"/>
      <c r="Y478" s="5" t="n"/>
      <c r="Z478" s="5" t="n"/>
      <c r="AA478" s="10">
        <f>IFERROR(IF(INDEX('Test catalog'!$O$2:$O$200,MATCH($AB478,'Test catalog'!$A$2:$A$200,0))="","",INDEX('Test catalog'!$O$2:$O$200,MATCH($AB478,'Test catalog'!$A$2:$A$200,0))),"")</f>
        <v/>
      </c>
      <c r="AB478" s="10" t="inlineStr">
        <is>
          <t>BRITTLE</t>
        </is>
      </c>
    </row>
    <row r="479">
      <c r="A479" s="10" t="inlineStr">
        <is>
          <t>F64</t>
        </is>
      </c>
      <c r="B479" s="10" t="inlineStr">
        <is>
          <t>FP</t>
        </is>
      </c>
      <c r="C479" s="10" t="inlineStr">
        <is>
          <t>Hair and Skin  |  Biotin (Vitamin B7), Folic Acid (Vitamin B9) (+7 more)</t>
        </is>
      </c>
      <c r="D479" s="10" t="inlineStr">
        <is>
          <t>Friability</t>
        </is>
      </c>
      <c r="E479" s="10">
        <f>IF(A479="","",A479&amp;"|"&amp;D479)</f>
        <v/>
      </c>
      <c r="F479" s="5" t="inlineStr">
        <is>
          <t>Y</t>
        </is>
      </c>
      <c r="G479" s="5" t="inlineStr">
        <is>
          <t>Friabilator</t>
        </is>
      </c>
      <c r="H479" s="5" t="inlineStr">
        <is>
          <t>Low</t>
        </is>
      </c>
      <c r="I479" s="5" t="n">
        <v>1</v>
      </c>
      <c r="J479" s="5" t="n"/>
      <c r="K479" s="10">
        <f>IFERROR(IF(INDEX('Test catalog'!$F$2:$F$200,MATCH($AB479,'Test catalog'!$A$2:$A$200,0))="","",INDEX('Test catalog'!$F$2:$F$200,MATCH($AB479,'Test catalog'!$A$2:$A$200,0))),"")</f>
        <v/>
      </c>
      <c r="L479" s="10">
        <f>IFERROR(IF(INDEX('Test catalog'!$G$2:$G$200,MATCH($AB479,'Test catalog'!$A$2:$A$200,0))="","",INDEX('Test catalog'!$G$2:$G$200,MATCH($AB479,'Test catalog'!$A$2:$A$200,0))),"")</f>
        <v/>
      </c>
      <c r="M479" s="10">
        <f>IFERROR(IF(INDEX('Test catalog'!$H$2:$H$200,MATCH($AB479,'Test catalog'!$A$2:$A$200,0))="","",INDEX('Test catalog'!$H$2:$H$200,MATCH($AB479,'Test catalog'!$A$2:$A$200,0))),"")</f>
        <v/>
      </c>
      <c r="N479" s="10">
        <f>IFERROR(IF(INDEX('Test catalog'!$I$2:$I$200,MATCH($AB479,'Test catalog'!$A$2:$A$200,0))="","",INDEX('Test catalog'!$I$2:$I$200,MATCH($AB479,'Test catalog'!$A$2:$A$200,0))),"")</f>
        <v/>
      </c>
      <c r="O479" s="10">
        <f>IFERROR(IF(INDEX('Test catalog'!$J$2:$J$200,MATCH($AB479,'Test catalog'!$A$2:$A$200,0))="","",INDEX('Test catalog'!$J$2:$J$200,MATCH($AB479,'Test catalog'!$A$2:$A$200,0))),"")</f>
        <v/>
      </c>
      <c r="P479" s="14">
        <f>IF(N479="","",IF(OR(M479="",O479=""),N479,(M479+4*N479+O479)/6))</f>
        <v/>
      </c>
      <c r="Q479" s="10">
        <f>IFERROR(IF(INDEX('Test catalog'!$K$2:$K$200,MATCH($AB479,'Test catalog'!$A$2:$A$200,0))="","",INDEX('Test catalog'!$K$2:$K$200,MATCH($AB479,'Test catalog'!$A$2:$A$200,0))),"")</f>
        <v/>
      </c>
      <c r="R479" s="5" t="n"/>
      <c r="S479" s="10">
        <f>IFERROR(IF(INDEX('Test catalog'!$L$2:$L$200,MATCH($AB479,'Test catalog'!$A$2:$A$200,0))="","",INDEX('Test catalog'!$L$2:$L$200,MATCH($AB479,'Test catalog'!$A$2:$A$200,0))),"")</f>
        <v/>
      </c>
      <c r="T479" s="10">
        <f>IFERROR(IF(INDEX('Test catalog'!$M$2:$M$200,MATCH($AB479,'Test catalog'!$A$2:$A$200,0))="","",INDEX('Test catalog'!$M$2:$M$200,MATCH($AB479,'Test catalog'!$A$2:$A$200,0))),"")</f>
        <v/>
      </c>
      <c r="U479" s="10">
        <f>IFERROR(IF(INDEX('Test catalog'!$N$2:$N$200,MATCH($AB479,'Test catalog'!$A$2:$A$200,0))="","",INDEX('Test catalog'!$N$2:$N$200,MATCH($AB479,'Test catalog'!$A$2:$A$200,0))),"")</f>
        <v/>
      </c>
      <c r="V479" s="15" t="n"/>
      <c r="W479" s="5" t="inlineStr">
        <is>
          <t>N</t>
        </is>
      </c>
      <c r="X479" s="5" t="n"/>
      <c r="Y479" s="5" t="n"/>
      <c r="Z479" s="5" t="n"/>
      <c r="AA479" s="10">
        <f>IFERROR(IF(INDEX('Test catalog'!$O$2:$O$200,MATCH($AB479,'Test catalog'!$A$2:$A$200,0))="","",INDEX('Test catalog'!$O$2:$O$200,MATCH($AB479,'Test catalog'!$A$2:$A$200,0))),"")</f>
        <v/>
      </c>
      <c r="AB479" s="10" t="inlineStr">
        <is>
          <t>FRIAB</t>
        </is>
      </c>
    </row>
    <row r="480">
      <c r="A480" s="10" t="inlineStr">
        <is>
          <t>F64</t>
        </is>
      </c>
      <c r="B480" s="10" t="inlineStr">
        <is>
          <t>FP</t>
        </is>
      </c>
      <c r="C480" s="10" t="inlineStr">
        <is>
          <t>Hair and Skin  |  Biotin (Vitamin B7), Folic Acid (Vitamin B9) (+7 more)</t>
        </is>
      </c>
      <c r="D480" s="10" t="inlineStr">
        <is>
          <t>Disintegration</t>
        </is>
      </c>
      <c r="E480" s="10">
        <f>IF(A480="","",A480&amp;"|"&amp;D480)</f>
        <v/>
      </c>
      <c r="F480" s="5" t="inlineStr">
        <is>
          <t>Y</t>
        </is>
      </c>
      <c r="G480" s="5" t="inlineStr">
        <is>
          <t>Disintegration tester</t>
        </is>
      </c>
      <c r="H480" s="5" t="inlineStr">
        <is>
          <t>Low</t>
        </is>
      </c>
      <c r="I480" s="5" t="n">
        <v>1</v>
      </c>
      <c r="J480" s="5" t="n"/>
      <c r="K480" s="10">
        <f>IFERROR(IF(INDEX('Test catalog'!$F$2:$F$200,MATCH($AB480,'Test catalog'!$A$2:$A$200,0))="","",INDEX('Test catalog'!$F$2:$F$200,MATCH($AB480,'Test catalog'!$A$2:$A$200,0))),"")</f>
        <v/>
      </c>
      <c r="L480" s="10">
        <f>IFERROR(IF(INDEX('Test catalog'!$G$2:$G$200,MATCH($AB480,'Test catalog'!$A$2:$A$200,0))="","",INDEX('Test catalog'!$G$2:$G$200,MATCH($AB480,'Test catalog'!$A$2:$A$200,0))),"")</f>
        <v/>
      </c>
      <c r="M480" s="10">
        <f>IFERROR(IF(INDEX('Test catalog'!$H$2:$H$200,MATCH($AB480,'Test catalog'!$A$2:$A$200,0))="","",INDEX('Test catalog'!$H$2:$H$200,MATCH($AB480,'Test catalog'!$A$2:$A$200,0))),"")</f>
        <v/>
      </c>
      <c r="N480" s="10">
        <f>IFERROR(IF(INDEX('Test catalog'!$I$2:$I$200,MATCH($AB480,'Test catalog'!$A$2:$A$200,0))="","",INDEX('Test catalog'!$I$2:$I$200,MATCH($AB480,'Test catalog'!$A$2:$A$200,0))),"")</f>
        <v/>
      </c>
      <c r="O480" s="10">
        <f>IFERROR(IF(INDEX('Test catalog'!$J$2:$J$200,MATCH($AB480,'Test catalog'!$A$2:$A$200,0))="","",INDEX('Test catalog'!$J$2:$J$200,MATCH($AB480,'Test catalog'!$A$2:$A$200,0))),"")</f>
        <v/>
      </c>
      <c r="P480" s="14">
        <f>IF(N480="","",IF(OR(M480="",O480=""),N480,(M480+4*N480+O480)/6))</f>
        <v/>
      </c>
      <c r="Q480" s="10">
        <f>IFERROR(IF(INDEX('Test catalog'!$K$2:$K$200,MATCH($AB480,'Test catalog'!$A$2:$A$200,0))="","",INDEX('Test catalog'!$K$2:$K$200,MATCH($AB480,'Test catalog'!$A$2:$A$200,0))),"")</f>
        <v/>
      </c>
      <c r="R480" s="5" t="n"/>
      <c r="S480" s="10">
        <f>IFERROR(IF(INDEX('Test catalog'!$L$2:$L$200,MATCH($AB480,'Test catalog'!$A$2:$A$200,0))="","",INDEX('Test catalog'!$L$2:$L$200,MATCH($AB480,'Test catalog'!$A$2:$A$200,0))),"")</f>
        <v/>
      </c>
      <c r="T480" s="10">
        <f>IFERROR(IF(INDEX('Test catalog'!$M$2:$M$200,MATCH($AB480,'Test catalog'!$A$2:$A$200,0))="","",INDEX('Test catalog'!$M$2:$M$200,MATCH($AB480,'Test catalog'!$A$2:$A$200,0))),"")</f>
        <v/>
      </c>
      <c r="U480" s="10">
        <f>IFERROR(IF(INDEX('Test catalog'!$N$2:$N$200,MATCH($AB480,'Test catalog'!$A$2:$A$200,0))="","",INDEX('Test catalog'!$N$2:$N$200,MATCH($AB480,'Test catalog'!$A$2:$A$200,0))),"")</f>
        <v/>
      </c>
      <c r="V480" s="15" t="n"/>
      <c r="W480" s="5" t="inlineStr">
        <is>
          <t>Y</t>
        </is>
      </c>
      <c r="X480" s="5" t="n"/>
      <c r="Y480" s="5" t="n"/>
      <c r="Z480" s="5" t="n"/>
      <c r="AA480" s="10">
        <f>IFERROR(IF(INDEX('Test catalog'!$O$2:$O$200,MATCH($AB480,'Test catalog'!$A$2:$A$200,0))="","",INDEX('Test catalog'!$O$2:$O$200,MATCH($AB480,'Test catalog'!$A$2:$A$200,0))),"")</f>
        <v/>
      </c>
      <c r="AB480" s="10" t="inlineStr">
        <is>
          <t>DISINT</t>
        </is>
      </c>
    </row>
    <row r="481">
      <c r="A481" s="10" t="inlineStr">
        <is>
          <t>F64</t>
        </is>
      </c>
      <c r="B481" s="10" t="inlineStr">
        <is>
          <t>FP</t>
        </is>
      </c>
      <c r="C481" s="10" t="inlineStr">
        <is>
          <t>Hair and Skin  |  Biotin (Vitamin B7), Folic Acid (Vitamin B9) (+7 more)</t>
        </is>
      </c>
      <c r="D481" s="10" t="inlineStr">
        <is>
          <t>In-process check at the machine (one check, all its tests)</t>
        </is>
      </c>
      <c r="E481" s="10">
        <f>IF(A481="","",A481&amp;"|"&amp;D481)</f>
        <v/>
      </c>
      <c r="F481" s="5" t="inlineStr">
        <is>
          <t>Y</t>
        </is>
      </c>
      <c r="G481" s="5" t="inlineStr">
        <is>
          <t>Tablet tester</t>
        </is>
      </c>
      <c r="H481" s="5" t="inlineStr">
        <is>
          <t>Low</t>
        </is>
      </c>
      <c r="I481" s="5" t="n">
        <v>1</v>
      </c>
      <c r="J481" s="5" t="n"/>
      <c r="K481" s="10">
        <f>IFERROR(IF(INDEX('Test catalog'!$F$2:$F$200,MATCH($AB481,'Test catalog'!$A$2:$A$200,0))="","",INDEX('Test catalog'!$F$2:$F$200,MATCH($AB481,'Test catalog'!$A$2:$A$200,0))),"")</f>
        <v/>
      </c>
      <c r="L481" s="10">
        <f>IFERROR(IF(INDEX('Test catalog'!$G$2:$G$200,MATCH($AB481,'Test catalog'!$A$2:$A$200,0))="","",INDEX('Test catalog'!$G$2:$G$200,MATCH($AB481,'Test catalog'!$A$2:$A$200,0))),"")</f>
        <v/>
      </c>
      <c r="M481" s="10">
        <f>IFERROR(IF(INDEX('Test catalog'!$H$2:$H$200,MATCH($AB481,'Test catalog'!$A$2:$A$200,0))="","",INDEX('Test catalog'!$H$2:$H$200,MATCH($AB481,'Test catalog'!$A$2:$A$200,0))),"")</f>
        <v/>
      </c>
      <c r="N481" s="10">
        <f>IFERROR(IF(INDEX('Test catalog'!$I$2:$I$200,MATCH($AB481,'Test catalog'!$A$2:$A$200,0))="","",INDEX('Test catalog'!$I$2:$I$200,MATCH($AB481,'Test catalog'!$A$2:$A$200,0))),"")</f>
        <v/>
      </c>
      <c r="O481" s="10">
        <f>IFERROR(IF(INDEX('Test catalog'!$J$2:$J$200,MATCH($AB481,'Test catalog'!$A$2:$A$200,0))="","",INDEX('Test catalog'!$J$2:$J$200,MATCH($AB481,'Test catalog'!$A$2:$A$200,0))),"")</f>
        <v/>
      </c>
      <c r="P481" s="14">
        <f>IF(N481="","",IF(OR(M481="",O481=""),N481,(M481+4*N481+O481)/6))</f>
        <v/>
      </c>
      <c r="Q481" s="10">
        <f>IFERROR(IF(INDEX('Test catalog'!$K$2:$K$200,MATCH($AB481,'Test catalog'!$A$2:$A$200,0))="","",INDEX('Test catalog'!$K$2:$K$200,MATCH($AB481,'Test catalog'!$A$2:$A$200,0))),"")</f>
        <v/>
      </c>
      <c r="R481" s="5" t="n"/>
      <c r="S481" s="10">
        <f>IFERROR(IF(INDEX('Test catalog'!$L$2:$L$200,MATCH($AB481,'Test catalog'!$A$2:$A$200,0))="","",INDEX('Test catalog'!$L$2:$L$200,MATCH($AB481,'Test catalog'!$A$2:$A$200,0))),"")</f>
        <v/>
      </c>
      <c r="T481" s="10">
        <f>IFERROR(IF(INDEX('Test catalog'!$M$2:$M$200,MATCH($AB481,'Test catalog'!$A$2:$A$200,0))="","",INDEX('Test catalog'!$M$2:$M$200,MATCH($AB481,'Test catalog'!$A$2:$A$200,0))),"")</f>
        <v/>
      </c>
      <c r="U481" s="10">
        <f>IFERROR(IF(INDEX('Test catalog'!$N$2:$N$200,MATCH($AB481,'Test catalog'!$A$2:$A$200,0))="","",INDEX('Test catalog'!$N$2:$N$200,MATCH($AB481,'Test catalog'!$A$2:$A$200,0))),"")</f>
        <v/>
      </c>
      <c r="V481" s="15" t="n"/>
      <c r="W481" s="5" t="inlineStr">
        <is>
          <t>N</t>
        </is>
      </c>
      <c r="X481" s="5" t="n"/>
      <c r="Y481" s="5" t="n"/>
      <c r="Z481" s="5" t="n"/>
      <c r="AA481" s="10">
        <f>IFERROR(IF(INDEX('Test catalog'!$O$2:$O$200,MATCH($AB481,'Test catalog'!$A$2:$A$200,0))="","",INDEX('Test catalog'!$O$2:$O$200,MATCH($AB481,'Test catalog'!$A$2:$A$200,0))),"")</f>
        <v/>
      </c>
      <c r="AB481" s="10" t="inlineStr">
        <is>
          <t>IPC</t>
        </is>
      </c>
    </row>
  </sheetData>
  <autoFilter ref="A1:AB481"/>
  <conditionalFormatting sqref="A2:AB681">
    <cfRule type="expression" priority="1" dxfId="0" stopIfTrue="0">
      <formula>OR($F2="N",$AA2="Y")</formula>
    </cfRule>
  </conditionalFormatting>
  <dataValidations count="6">
    <dataValidation sqref="F2:F681" showDropDown="0" showInputMessage="0" showErrorMessage="0" allowBlank="1" type="list">
      <formula1>"Y,N"</formula1>
    </dataValidation>
    <dataValidation sqref="G2:G681" showDropDown="0" showInputMessage="0" showErrorMessage="0" allowBlank="1" type="list">
      <formula1>"Balance,Tablet tester,Caliper / micrometer,Friabilator,Disintegration tester,Dissolution bath,Moisture analyser,Sieve shaker,Density tester,Leak tester,Other / bench,None"</formula1>
    </dataValidation>
    <dataValidation sqref="H2:H681" showDropDown="0" showInputMessage="0" showErrorMessage="0" allowBlank="1" type="list">
      <formula1>"Low,Medium,High"</formula1>
    </dataValidation>
    <dataValidation sqref="W2:W681" showDropDown="0" showInputMessage="0" showErrorMessage="0" allowBlank="1" type="list">
      <formula1>"Y,N"</formula1>
    </dataValidation>
    <dataValidation sqref="Y2:Y681" showDropDown="0" showInputMessage="0" showErrorMessage="0" allowBlank="1" type="list">
      <formula1>"High,Medium,Low"</formula1>
    </dataValidation>
    <dataValidation sqref="AA2:AA68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34" customWidth="1" min="3" max="3"/>
    <col width="26" customWidth="1" min="4" max="4"/>
    <col hidden="1" width="1" customWidth="1" min="5" max="5"/>
    <col width="9" customWidth="1" min="6" max="6"/>
    <col width="13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9" customWidth="1" min="22" max="22"/>
    <col width="10" customWidth="1" min="23" max="23"/>
    <col width="16" customWidth="1" min="24" max="24"/>
    <col width="11" customWidth="1" min="25" max="25"/>
    <col width="30" customWidth="1" min="26" max="26"/>
    <col width="10" customWidth="1" min="27" max="27"/>
  </cols>
  <sheetData>
    <row r="1" ht="45" customHeight="1">
      <c r="A1" s="13" t="inlineStr">
        <is>
          <t>Key (Family ID / Material)</t>
        </is>
      </c>
      <c r="B1" s="13" t="inlineStr">
        <is>
          <t>Type</t>
        </is>
      </c>
      <c r="C1" s="13" t="inlineStr">
        <is>
          <t>Description</t>
        </is>
      </c>
      <c r="D1" s="13" t="inlineStr">
        <is>
          <t>Test</t>
        </is>
      </c>
      <c r="E1" s="13" t="inlineStr">
        <is>
          <t>Lookup key (auto)</t>
        </is>
      </c>
      <c r="F1" s="13" t="inlineStr">
        <is>
          <t>Applicable (Y/N)</t>
        </is>
      </c>
      <c r="G1" s="13" t="inlineStr">
        <is>
          <t>Instrument</t>
        </is>
      </c>
      <c r="H1" s="13" t="inlineStr">
        <is>
          <t>Complexity</t>
        </is>
      </c>
      <c r="I1" s="13" t="inlineStr">
        <is>
          <t>No. of separate methods</t>
        </is>
      </c>
      <c r="J1" s="13" t="inlineStr">
        <is>
          <t>Campaign group code</t>
        </is>
      </c>
      <c r="K1" s="13" t="inlineStr">
        <is>
          <t>Setup analyst h / sequence</t>
        </is>
      </c>
      <c r="L1" s="13" t="inlineStr">
        <is>
          <t>Setup instrument h / sequence</t>
        </is>
      </c>
      <c r="M1" s="13" t="inlineStr">
        <is>
          <t>Prep analyst h/sample – MIN</t>
        </is>
      </c>
      <c r="N1" s="13" t="inlineStr">
        <is>
          <t>Prep – MOST LIKELY</t>
        </is>
      </c>
      <c r="O1" s="13" t="inlineStr">
        <is>
          <t>Prep – MAX</t>
        </is>
      </c>
      <c r="P1" s="13" t="inlineStr">
        <is>
          <t>Prep PERT (auto)</t>
        </is>
      </c>
      <c r="Q1" s="13" t="inlineStr">
        <is>
          <t>Instrument run h / sample</t>
        </is>
      </c>
      <c r="R1" s="13" t="inlineStr">
        <is>
          <t>Dissolution bath h / sample</t>
        </is>
      </c>
      <c r="S1" s="13" t="inlineStr">
        <is>
          <t>Data processing + doc h / sample</t>
        </is>
      </c>
      <c r="T1" s="13" t="inlineStr">
        <is>
          <t>Review h / sample</t>
        </is>
      </c>
      <c r="U1" s="13" t="inlineStr">
        <is>
          <t>Samples per sequence</t>
        </is>
      </c>
      <c r="V1" s="13" t="inlineStr">
        <is>
          <t>Retest / OOS %</t>
        </is>
      </c>
      <c r="W1" s="13" t="inlineStr">
        <is>
          <t>Applies to stability (Y/N)</t>
        </is>
      </c>
      <c r="X1" s="13" t="inlineStr">
        <is>
          <t>Respondent(s) / source</t>
        </is>
      </c>
      <c r="Y1" s="13" t="inlineStr">
        <is>
          <t>Confidence</t>
        </is>
      </c>
      <c r="Z1" s="13" t="inlineStr">
        <is>
          <t>Notes / difficulty</t>
        </is>
      </c>
      <c r="AA1" s="13" t="inlineStr">
        <is>
          <t>Outsourced (Y/N)</t>
        </is>
      </c>
    </row>
    <row r="2">
      <c r="A2" s="5" t="n"/>
      <c r="B2" s="5" t="inlineStr">
        <is>
          <t>FP</t>
        </is>
      </c>
      <c r="C2" s="5" t="n"/>
      <c r="D2" s="5" t="n"/>
      <c r="E2" s="10">
        <f>IF(A2="","",A2&amp;"|"&amp;D2)</f>
        <v/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14">
        <f>IF(N2="","",IF(OR(M2="",O2=""),N2,(M2+4*N2+O2)/6))</f>
        <v/>
      </c>
      <c r="Q2" s="5" t="n"/>
      <c r="R2" s="5" t="n"/>
      <c r="S2" s="5" t="n"/>
      <c r="T2" s="5" t="n"/>
      <c r="U2" s="5" t="n"/>
      <c r="V2" s="15" t="n"/>
      <c r="W2" s="5" t="n"/>
      <c r="X2" s="5" t="n"/>
      <c r="Y2" s="5" t="n"/>
      <c r="Z2" s="5" t="n"/>
      <c r="AA2" s="5" t="n"/>
    </row>
    <row r="3">
      <c r="A3" s="5" t="n"/>
      <c r="B3" s="5" t="inlineStr">
        <is>
          <t>FP</t>
        </is>
      </c>
      <c r="C3" s="5" t="n"/>
      <c r="D3" s="5" t="n"/>
      <c r="E3" s="10">
        <f>IF(A3="","",A3&amp;"|"&amp;D3)</f>
        <v/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14">
        <f>IF(N3="","",IF(OR(M3="",O3=""),N3,(M3+4*N3+O3)/6))</f>
        <v/>
      </c>
      <c r="Q3" s="5" t="n"/>
      <c r="R3" s="5" t="n"/>
      <c r="S3" s="5" t="n"/>
      <c r="T3" s="5" t="n"/>
      <c r="U3" s="5" t="n"/>
      <c r="V3" s="15" t="n"/>
      <c r="W3" s="5" t="n"/>
      <c r="X3" s="5" t="n"/>
      <c r="Y3" s="5" t="n"/>
      <c r="Z3" s="5" t="n"/>
      <c r="AA3" s="5" t="n"/>
    </row>
    <row r="4">
      <c r="A4" s="5" t="n"/>
      <c r="B4" s="5" t="inlineStr">
        <is>
          <t>FP</t>
        </is>
      </c>
      <c r="C4" s="5" t="n"/>
      <c r="D4" s="5" t="n"/>
      <c r="E4" s="10">
        <f>IF(A4="","",A4&amp;"|"&amp;D4)</f>
        <v/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14">
        <f>IF(N4="","",IF(OR(M4="",O4=""),N4,(M4+4*N4+O4)/6))</f>
        <v/>
      </c>
      <c r="Q4" s="5" t="n"/>
      <c r="R4" s="5" t="n"/>
      <c r="S4" s="5" t="n"/>
      <c r="T4" s="5" t="n"/>
      <c r="U4" s="5" t="n"/>
      <c r="V4" s="15" t="n"/>
      <c r="W4" s="5" t="n"/>
      <c r="X4" s="5" t="n"/>
      <c r="Y4" s="5" t="n"/>
      <c r="Z4" s="5" t="n"/>
      <c r="AA4" s="5" t="n"/>
    </row>
    <row r="5">
      <c r="A5" s="5" t="n"/>
      <c r="B5" s="5" t="inlineStr">
        <is>
          <t>FP</t>
        </is>
      </c>
      <c r="C5" s="5" t="n"/>
      <c r="D5" s="5" t="n"/>
      <c r="E5" s="10">
        <f>IF(A5="","",A5&amp;"|"&amp;D5)</f>
        <v/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14">
        <f>IF(N5="","",IF(OR(M5="",O5=""),N5,(M5+4*N5+O5)/6))</f>
        <v/>
      </c>
      <c r="Q5" s="5" t="n"/>
      <c r="R5" s="5" t="n"/>
      <c r="S5" s="5" t="n"/>
      <c r="T5" s="5" t="n"/>
      <c r="U5" s="5" t="n"/>
      <c r="V5" s="15" t="n"/>
      <c r="W5" s="5" t="n"/>
      <c r="X5" s="5" t="n"/>
      <c r="Y5" s="5" t="n"/>
      <c r="Z5" s="5" t="n"/>
      <c r="AA5" s="5" t="n"/>
    </row>
    <row r="6">
      <c r="A6" s="5" t="n"/>
      <c r="B6" s="5" t="inlineStr">
        <is>
          <t>FP</t>
        </is>
      </c>
      <c r="C6" s="5" t="n"/>
      <c r="D6" s="5" t="n"/>
      <c r="E6" s="10">
        <f>IF(A6="","",A6&amp;"|"&amp;D6)</f>
        <v/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14">
        <f>IF(N6="","",IF(OR(M6="",O6=""),N6,(M6+4*N6+O6)/6))</f>
        <v/>
      </c>
      <c r="Q6" s="5" t="n"/>
      <c r="R6" s="5" t="n"/>
      <c r="S6" s="5" t="n"/>
      <c r="T6" s="5" t="n"/>
      <c r="U6" s="5" t="n"/>
      <c r="V6" s="15" t="n"/>
      <c r="W6" s="5" t="n"/>
      <c r="X6" s="5" t="n"/>
      <c r="Y6" s="5" t="n"/>
      <c r="Z6" s="5" t="n"/>
      <c r="AA6" s="5" t="n"/>
    </row>
    <row r="7">
      <c r="A7" s="5" t="n"/>
      <c r="B7" s="5" t="inlineStr">
        <is>
          <t>FP</t>
        </is>
      </c>
      <c r="C7" s="5" t="n"/>
      <c r="D7" s="5" t="n"/>
      <c r="E7" s="10">
        <f>IF(A7="","",A7&amp;"|"&amp;D7)</f>
        <v/>
      </c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14">
        <f>IF(N7="","",IF(OR(M7="",O7=""),N7,(M7+4*N7+O7)/6))</f>
        <v/>
      </c>
      <c r="Q7" s="5" t="n"/>
      <c r="R7" s="5" t="n"/>
      <c r="S7" s="5" t="n"/>
      <c r="T7" s="5" t="n"/>
      <c r="U7" s="5" t="n"/>
      <c r="V7" s="15" t="n"/>
      <c r="W7" s="5" t="n"/>
      <c r="X7" s="5" t="n"/>
      <c r="Y7" s="5" t="n"/>
      <c r="Z7" s="5" t="n"/>
      <c r="AA7" s="5" t="n"/>
    </row>
    <row r="8">
      <c r="A8" s="5" t="n"/>
      <c r="B8" s="5" t="inlineStr">
        <is>
          <t>FP</t>
        </is>
      </c>
      <c r="C8" s="5" t="n"/>
      <c r="D8" s="5" t="n"/>
      <c r="E8" s="10">
        <f>IF(A8="","",A8&amp;"|"&amp;D8)</f>
        <v/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14">
        <f>IF(N8="","",IF(OR(M8="",O8=""),N8,(M8+4*N8+O8)/6))</f>
        <v/>
      </c>
      <c r="Q8" s="5" t="n"/>
      <c r="R8" s="5" t="n"/>
      <c r="S8" s="5" t="n"/>
      <c r="T8" s="5" t="n"/>
      <c r="U8" s="5" t="n"/>
      <c r="V8" s="15" t="n"/>
      <c r="W8" s="5" t="n"/>
      <c r="X8" s="5" t="n"/>
      <c r="Y8" s="5" t="n"/>
      <c r="Z8" s="5" t="n"/>
      <c r="AA8" s="5" t="n"/>
    </row>
    <row r="9">
      <c r="A9" s="5" t="n"/>
      <c r="B9" s="5" t="inlineStr">
        <is>
          <t>FP</t>
        </is>
      </c>
      <c r="C9" s="5" t="n"/>
      <c r="D9" s="5" t="n"/>
      <c r="E9" s="10">
        <f>IF(A9="","",A9&amp;"|"&amp;D9)</f>
        <v/>
      </c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14">
        <f>IF(N9="","",IF(OR(M9="",O9=""),N9,(M9+4*N9+O9)/6))</f>
        <v/>
      </c>
      <c r="Q9" s="5" t="n"/>
      <c r="R9" s="5" t="n"/>
      <c r="S9" s="5" t="n"/>
      <c r="T9" s="5" t="n"/>
      <c r="U9" s="5" t="n"/>
      <c r="V9" s="15" t="n"/>
      <c r="W9" s="5" t="n"/>
      <c r="X9" s="5" t="n"/>
      <c r="Y9" s="5" t="n"/>
      <c r="Z9" s="5" t="n"/>
      <c r="AA9" s="5" t="n"/>
    </row>
    <row r="10">
      <c r="A10" s="5" t="n"/>
      <c r="B10" s="5" t="inlineStr">
        <is>
          <t>FP</t>
        </is>
      </c>
      <c r="C10" s="5" t="n"/>
      <c r="D10" s="5" t="n"/>
      <c r="E10" s="10">
        <f>IF(A10="","",A10&amp;"|"&amp;D10)</f>
        <v/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14">
        <f>IF(N10="","",IF(OR(M10="",O10=""),N10,(M10+4*N10+O10)/6))</f>
        <v/>
      </c>
      <c r="Q10" s="5" t="n"/>
      <c r="R10" s="5" t="n"/>
      <c r="S10" s="5" t="n"/>
      <c r="T10" s="5" t="n"/>
      <c r="U10" s="5" t="n"/>
      <c r="V10" s="15" t="n"/>
      <c r="W10" s="5" t="n"/>
      <c r="X10" s="5" t="n"/>
      <c r="Y10" s="5" t="n"/>
      <c r="Z10" s="5" t="n"/>
      <c r="AA10" s="5" t="n"/>
    </row>
    <row r="11">
      <c r="A11" s="5" t="n"/>
      <c r="B11" s="5" t="inlineStr">
        <is>
          <t>FP</t>
        </is>
      </c>
      <c r="C11" s="5" t="n"/>
      <c r="D11" s="5" t="n"/>
      <c r="E11" s="10">
        <f>IF(A11="","",A11&amp;"|"&amp;D11)</f>
        <v/>
      </c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14">
        <f>IF(N11="","",IF(OR(M11="",O11=""),N11,(M11+4*N11+O11)/6))</f>
        <v/>
      </c>
      <c r="Q11" s="5" t="n"/>
      <c r="R11" s="5" t="n"/>
      <c r="S11" s="5" t="n"/>
      <c r="T11" s="5" t="n"/>
      <c r="U11" s="5" t="n"/>
      <c r="V11" s="15" t="n"/>
      <c r="W11" s="5" t="n"/>
      <c r="X11" s="5" t="n"/>
      <c r="Y11" s="5" t="n"/>
      <c r="Z11" s="5" t="n"/>
      <c r="AA11" s="5" t="n"/>
    </row>
    <row r="12">
      <c r="A12" s="5" t="n"/>
      <c r="B12" s="5" t="inlineStr">
        <is>
          <t>FP</t>
        </is>
      </c>
      <c r="C12" s="5" t="n"/>
      <c r="D12" s="5" t="n"/>
      <c r="E12" s="10">
        <f>IF(A12="","",A12&amp;"|"&amp;D12)</f>
        <v/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14">
        <f>IF(N12="","",IF(OR(M12="",O12=""),N12,(M12+4*N12+O12)/6))</f>
        <v/>
      </c>
      <c r="Q12" s="5" t="n"/>
      <c r="R12" s="5" t="n"/>
      <c r="S12" s="5" t="n"/>
      <c r="T12" s="5" t="n"/>
      <c r="U12" s="5" t="n"/>
      <c r="V12" s="15" t="n"/>
      <c r="W12" s="5" t="n"/>
      <c r="X12" s="5" t="n"/>
      <c r="Y12" s="5" t="n"/>
      <c r="Z12" s="5" t="n"/>
      <c r="AA12" s="5" t="n"/>
    </row>
    <row r="13">
      <c r="A13" s="5" t="n"/>
      <c r="B13" s="5" t="inlineStr">
        <is>
          <t>FP</t>
        </is>
      </c>
      <c r="C13" s="5" t="n"/>
      <c r="D13" s="5" t="n"/>
      <c r="E13" s="10">
        <f>IF(A13="","",A13&amp;"|"&amp;D13)</f>
        <v/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14">
        <f>IF(N13="","",IF(OR(M13="",O13=""),N13,(M13+4*N13+O13)/6))</f>
        <v/>
      </c>
      <c r="Q13" s="5" t="n"/>
      <c r="R13" s="5" t="n"/>
      <c r="S13" s="5" t="n"/>
      <c r="T13" s="5" t="n"/>
      <c r="U13" s="5" t="n"/>
      <c r="V13" s="15" t="n"/>
      <c r="W13" s="5" t="n"/>
      <c r="X13" s="5" t="n"/>
      <c r="Y13" s="5" t="n"/>
      <c r="Z13" s="5" t="n"/>
      <c r="AA13" s="5" t="n"/>
    </row>
    <row r="14">
      <c r="A14" s="5" t="n"/>
      <c r="B14" s="5" t="inlineStr">
        <is>
          <t>FP</t>
        </is>
      </c>
      <c r="C14" s="5" t="n"/>
      <c r="D14" s="5" t="n"/>
      <c r="E14" s="10">
        <f>IF(A14="","",A14&amp;"|"&amp;D14)</f>
        <v/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14">
        <f>IF(N14="","",IF(OR(M14="",O14=""),N14,(M14+4*N14+O14)/6))</f>
        <v/>
      </c>
      <c r="Q14" s="5" t="n"/>
      <c r="R14" s="5" t="n"/>
      <c r="S14" s="5" t="n"/>
      <c r="T14" s="5" t="n"/>
      <c r="U14" s="5" t="n"/>
      <c r="V14" s="15" t="n"/>
      <c r="W14" s="5" t="n"/>
      <c r="X14" s="5" t="n"/>
      <c r="Y14" s="5" t="n"/>
      <c r="Z14" s="5" t="n"/>
      <c r="AA14" s="5" t="n"/>
    </row>
    <row r="15">
      <c r="A15" s="5" t="n"/>
      <c r="B15" s="5" t="inlineStr">
        <is>
          <t>FP</t>
        </is>
      </c>
      <c r="C15" s="5" t="n"/>
      <c r="D15" s="5" t="n"/>
      <c r="E15" s="10">
        <f>IF(A15="","",A15&amp;"|"&amp;D15)</f>
        <v/>
      </c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14">
        <f>IF(N15="","",IF(OR(M15="",O15=""),N15,(M15+4*N15+O15)/6))</f>
        <v/>
      </c>
      <c r="Q15" s="5" t="n"/>
      <c r="R15" s="5" t="n"/>
      <c r="S15" s="5" t="n"/>
      <c r="T15" s="5" t="n"/>
      <c r="U15" s="5" t="n"/>
      <c r="V15" s="15" t="n"/>
      <c r="W15" s="5" t="n"/>
      <c r="X15" s="5" t="n"/>
      <c r="Y15" s="5" t="n"/>
      <c r="Z15" s="5" t="n"/>
      <c r="AA15" s="5" t="n"/>
    </row>
    <row r="16">
      <c r="A16" s="5" t="n"/>
      <c r="B16" s="5" t="inlineStr">
        <is>
          <t>FP</t>
        </is>
      </c>
      <c r="C16" s="5" t="n"/>
      <c r="D16" s="5" t="n"/>
      <c r="E16" s="10">
        <f>IF(A16="","",A16&amp;"|"&amp;D16)</f>
        <v/>
      </c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14">
        <f>IF(N16="","",IF(OR(M16="",O16=""),N16,(M16+4*N16+O16)/6))</f>
        <v/>
      </c>
      <c r="Q16" s="5" t="n"/>
      <c r="R16" s="5" t="n"/>
      <c r="S16" s="5" t="n"/>
      <c r="T16" s="5" t="n"/>
      <c r="U16" s="5" t="n"/>
      <c r="V16" s="15" t="n"/>
      <c r="W16" s="5" t="n"/>
      <c r="X16" s="5" t="n"/>
      <c r="Y16" s="5" t="n"/>
      <c r="Z16" s="5" t="n"/>
      <c r="AA16" s="5" t="n"/>
    </row>
    <row r="17">
      <c r="A17" s="5" t="n"/>
      <c r="B17" s="5" t="inlineStr">
        <is>
          <t>FP</t>
        </is>
      </c>
      <c r="C17" s="5" t="n"/>
      <c r="D17" s="5" t="n"/>
      <c r="E17" s="10">
        <f>IF(A17="","",A17&amp;"|"&amp;D17)</f>
        <v/>
      </c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14">
        <f>IF(N17="","",IF(OR(M17="",O17=""),N17,(M17+4*N17+O17)/6))</f>
        <v/>
      </c>
      <c r="Q17" s="5" t="n"/>
      <c r="R17" s="5" t="n"/>
      <c r="S17" s="5" t="n"/>
      <c r="T17" s="5" t="n"/>
      <c r="U17" s="5" t="n"/>
      <c r="V17" s="15" t="n"/>
      <c r="W17" s="5" t="n"/>
      <c r="X17" s="5" t="n"/>
      <c r="Y17" s="5" t="n"/>
      <c r="Z17" s="5" t="n"/>
      <c r="AA17" s="5" t="n"/>
    </row>
    <row r="18">
      <c r="A18" s="5" t="n"/>
      <c r="B18" s="5" t="inlineStr">
        <is>
          <t>FP</t>
        </is>
      </c>
      <c r="C18" s="5" t="n"/>
      <c r="D18" s="5" t="n"/>
      <c r="E18" s="10">
        <f>IF(A18="","",A18&amp;"|"&amp;D18)</f>
        <v/>
      </c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14">
        <f>IF(N18="","",IF(OR(M18="",O18=""),N18,(M18+4*N18+O18)/6))</f>
        <v/>
      </c>
      <c r="Q18" s="5" t="n"/>
      <c r="R18" s="5" t="n"/>
      <c r="S18" s="5" t="n"/>
      <c r="T18" s="5" t="n"/>
      <c r="U18" s="5" t="n"/>
      <c r="V18" s="15" t="n"/>
      <c r="W18" s="5" t="n"/>
      <c r="X18" s="5" t="n"/>
      <c r="Y18" s="5" t="n"/>
      <c r="Z18" s="5" t="n"/>
      <c r="AA18" s="5" t="n"/>
    </row>
    <row r="19">
      <c r="A19" s="5" t="n"/>
      <c r="B19" s="5" t="inlineStr">
        <is>
          <t>FP</t>
        </is>
      </c>
      <c r="C19" s="5" t="n"/>
      <c r="D19" s="5" t="n"/>
      <c r="E19" s="10">
        <f>IF(A19="","",A19&amp;"|"&amp;D19)</f>
        <v/>
      </c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14">
        <f>IF(N19="","",IF(OR(M19="",O19=""),N19,(M19+4*N19+O19)/6))</f>
        <v/>
      </c>
      <c r="Q19" s="5" t="n"/>
      <c r="R19" s="5" t="n"/>
      <c r="S19" s="5" t="n"/>
      <c r="T19" s="5" t="n"/>
      <c r="U19" s="5" t="n"/>
      <c r="V19" s="15" t="n"/>
      <c r="W19" s="5" t="n"/>
      <c r="X19" s="5" t="n"/>
      <c r="Y19" s="5" t="n"/>
      <c r="Z19" s="5" t="n"/>
      <c r="AA19" s="5" t="n"/>
    </row>
    <row r="20">
      <c r="A20" s="5" t="n"/>
      <c r="B20" s="5" t="inlineStr">
        <is>
          <t>FP</t>
        </is>
      </c>
      <c r="C20" s="5" t="n"/>
      <c r="D20" s="5" t="n"/>
      <c r="E20" s="10">
        <f>IF(A20="","",A20&amp;"|"&amp;D20)</f>
        <v/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14">
        <f>IF(N20="","",IF(OR(M20="",O20=""),N20,(M20+4*N20+O20)/6))</f>
        <v/>
      </c>
      <c r="Q20" s="5" t="n"/>
      <c r="R20" s="5" t="n"/>
      <c r="S20" s="5" t="n"/>
      <c r="T20" s="5" t="n"/>
      <c r="U20" s="5" t="n"/>
      <c r="V20" s="15" t="n"/>
      <c r="W20" s="5" t="n"/>
      <c r="X20" s="5" t="n"/>
      <c r="Y20" s="5" t="n"/>
      <c r="Z20" s="5" t="n"/>
      <c r="AA20" s="5" t="n"/>
    </row>
    <row r="21">
      <c r="A21" s="5" t="n"/>
      <c r="B21" s="5" t="inlineStr">
        <is>
          <t>FP</t>
        </is>
      </c>
      <c r="C21" s="5" t="n"/>
      <c r="D21" s="5" t="n"/>
      <c r="E21" s="10">
        <f>IF(A21="","",A21&amp;"|"&amp;D21)</f>
        <v/>
      </c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14">
        <f>IF(N21="","",IF(OR(M21="",O21=""),N21,(M21+4*N21+O21)/6))</f>
        <v/>
      </c>
      <c r="Q21" s="5" t="n"/>
      <c r="R21" s="5" t="n"/>
      <c r="S21" s="5" t="n"/>
      <c r="T21" s="5" t="n"/>
      <c r="U21" s="5" t="n"/>
      <c r="V21" s="15" t="n"/>
      <c r="W21" s="5" t="n"/>
      <c r="X21" s="5" t="n"/>
      <c r="Y21" s="5" t="n"/>
      <c r="Z21" s="5" t="n"/>
      <c r="AA21" s="5" t="n"/>
    </row>
    <row r="22">
      <c r="A22" s="5" t="n"/>
      <c r="B22" s="5" t="inlineStr">
        <is>
          <t>FP</t>
        </is>
      </c>
      <c r="C22" s="5" t="n"/>
      <c r="D22" s="5" t="n"/>
      <c r="E22" s="10">
        <f>IF(A22="","",A22&amp;"|"&amp;D22)</f>
        <v/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14">
        <f>IF(N22="","",IF(OR(M22="",O22=""),N22,(M22+4*N22+O22)/6))</f>
        <v/>
      </c>
      <c r="Q22" s="5" t="n"/>
      <c r="R22" s="5" t="n"/>
      <c r="S22" s="5" t="n"/>
      <c r="T22" s="5" t="n"/>
      <c r="U22" s="5" t="n"/>
      <c r="V22" s="15" t="n"/>
      <c r="W22" s="5" t="n"/>
      <c r="X22" s="5" t="n"/>
      <c r="Y22" s="5" t="n"/>
      <c r="Z22" s="5" t="n"/>
      <c r="AA22" s="5" t="n"/>
    </row>
    <row r="23">
      <c r="A23" s="5" t="n"/>
      <c r="B23" s="5" t="inlineStr">
        <is>
          <t>FP</t>
        </is>
      </c>
      <c r="C23" s="5" t="n"/>
      <c r="D23" s="5" t="n"/>
      <c r="E23" s="10">
        <f>IF(A23="","",A23&amp;"|"&amp;D23)</f>
        <v/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14">
        <f>IF(N23="","",IF(OR(M23="",O23=""),N23,(M23+4*N23+O23)/6))</f>
        <v/>
      </c>
      <c r="Q23" s="5" t="n"/>
      <c r="R23" s="5" t="n"/>
      <c r="S23" s="5" t="n"/>
      <c r="T23" s="5" t="n"/>
      <c r="U23" s="5" t="n"/>
      <c r="V23" s="15" t="n"/>
      <c r="W23" s="5" t="n"/>
      <c r="X23" s="5" t="n"/>
      <c r="Y23" s="5" t="n"/>
      <c r="Z23" s="5" t="n"/>
      <c r="AA23" s="5" t="n"/>
    </row>
    <row r="24">
      <c r="A24" s="5" t="n"/>
      <c r="B24" s="5" t="inlineStr">
        <is>
          <t>FP</t>
        </is>
      </c>
      <c r="C24" s="5" t="n"/>
      <c r="D24" s="5" t="n"/>
      <c r="E24" s="10">
        <f>IF(A24="","",A24&amp;"|"&amp;D24)</f>
        <v/>
      </c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14">
        <f>IF(N24="","",IF(OR(M24="",O24=""),N24,(M24+4*N24+O24)/6))</f>
        <v/>
      </c>
      <c r="Q24" s="5" t="n"/>
      <c r="R24" s="5" t="n"/>
      <c r="S24" s="5" t="n"/>
      <c r="T24" s="5" t="n"/>
      <c r="U24" s="5" t="n"/>
      <c r="V24" s="15" t="n"/>
      <c r="W24" s="5" t="n"/>
      <c r="X24" s="5" t="n"/>
      <c r="Y24" s="5" t="n"/>
      <c r="Z24" s="5" t="n"/>
      <c r="AA24" s="5" t="n"/>
    </row>
    <row r="25">
      <c r="A25" s="5" t="n"/>
      <c r="B25" s="5" t="inlineStr">
        <is>
          <t>FP</t>
        </is>
      </c>
      <c r="C25" s="5" t="n"/>
      <c r="D25" s="5" t="n"/>
      <c r="E25" s="10">
        <f>IF(A25="","",A25&amp;"|"&amp;D25)</f>
        <v/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14">
        <f>IF(N25="","",IF(OR(M25="",O25=""),N25,(M25+4*N25+O25)/6))</f>
        <v/>
      </c>
      <c r="Q25" s="5" t="n"/>
      <c r="R25" s="5" t="n"/>
      <c r="S25" s="5" t="n"/>
      <c r="T25" s="5" t="n"/>
      <c r="U25" s="5" t="n"/>
      <c r="V25" s="15" t="n"/>
      <c r="W25" s="5" t="n"/>
      <c r="X25" s="5" t="n"/>
      <c r="Y25" s="5" t="n"/>
      <c r="Z25" s="5" t="n"/>
      <c r="AA25" s="5" t="n"/>
    </row>
    <row r="26">
      <c r="A26" s="5" t="n"/>
      <c r="B26" s="5" t="inlineStr">
        <is>
          <t>FP</t>
        </is>
      </c>
      <c r="C26" s="5" t="n"/>
      <c r="D26" s="5" t="n"/>
      <c r="E26" s="10">
        <f>IF(A26="","",A26&amp;"|"&amp;D26)</f>
        <v/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14">
        <f>IF(N26="","",IF(OR(M26="",O26=""),N26,(M26+4*N26+O26)/6))</f>
        <v/>
      </c>
      <c r="Q26" s="5" t="n"/>
      <c r="R26" s="5" t="n"/>
      <c r="S26" s="5" t="n"/>
      <c r="T26" s="5" t="n"/>
      <c r="U26" s="5" t="n"/>
      <c r="V26" s="15" t="n"/>
      <c r="W26" s="5" t="n"/>
      <c r="X26" s="5" t="n"/>
      <c r="Y26" s="5" t="n"/>
      <c r="Z26" s="5" t="n"/>
      <c r="AA26" s="5" t="n"/>
    </row>
    <row r="27">
      <c r="A27" s="5" t="n"/>
      <c r="B27" s="5" t="inlineStr">
        <is>
          <t>FP</t>
        </is>
      </c>
      <c r="C27" s="5" t="n"/>
      <c r="D27" s="5" t="n"/>
      <c r="E27" s="10">
        <f>IF(A27="","",A27&amp;"|"&amp;D27)</f>
        <v/>
      </c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14">
        <f>IF(N27="","",IF(OR(M27="",O27=""),N27,(M27+4*N27+O27)/6))</f>
        <v/>
      </c>
      <c r="Q27" s="5" t="n"/>
      <c r="R27" s="5" t="n"/>
      <c r="S27" s="5" t="n"/>
      <c r="T27" s="5" t="n"/>
      <c r="U27" s="5" t="n"/>
      <c r="V27" s="15" t="n"/>
      <c r="W27" s="5" t="n"/>
      <c r="X27" s="5" t="n"/>
      <c r="Y27" s="5" t="n"/>
      <c r="Z27" s="5" t="n"/>
      <c r="AA27" s="5" t="n"/>
    </row>
    <row r="28">
      <c r="A28" s="5" t="n"/>
      <c r="B28" s="5" t="inlineStr">
        <is>
          <t>FP</t>
        </is>
      </c>
      <c r="C28" s="5" t="n"/>
      <c r="D28" s="5" t="n"/>
      <c r="E28" s="10">
        <f>IF(A28="","",A28&amp;"|"&amp;D28)</f>
        <v/>
      </c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14">
        <f>IF(N28="","",IF(OR(M28="",O28=""),N28,(M28+4*N28+O28)/6))</f>
        <v/>
      </c>
      <c r="Q28" s="5" t="n"/>
      <c r="R28" s="5" t="n"/>
      <c r="S28" s="5" t="n"/>
      <c r="T28" s="5" t="n"/>
      <c r="U28" s="5" t="n"/>
      <c r="V28" s="15" t="n"/>
      <c r="W28" s="5" t="n"/>
      <c r="X28" s="5" t="n"/>
      <c r="Y28" s="5" t="n"/>
      <c r="Z28" s="5" t="n"/>
      <c r="AA28" s="5" t="n"/>
    </row>
    <row r="29">
      <c r="A29" s="5" t="n"/>
      <c r="B29" s="5" t="inlineStr">
        <is>
          <t>FP</t>
        </is>
      </c>
      <c r="C29" s="5" t="n"/>
      <c r="D29" s="5" t="n"/>
      <c r="E29" s="10">
        <f>IF(A29="","",A29&amp;"|"&amp;D29)</f>
        <v/>
      </c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14">
        <f>IF(N29="","",IF(OR(M29="",O29=""),N29,(M29+4*N29+O29)/6))</f>
        <v/>
      </c>
      <c r="Q29" s="5" t="n"/>
      <c r="R29" s="5" t="n"/>
      <c r="S29" s="5" t="n"/>
      <c r="T29" s="5" t="n"/>
      <c r="U29" s="5" t="n"/>
      <c r="V29" s="15" t="n"/>
      <c r="W29" s="5" t="n"/>
      <c r="X29" s="5" t="n"/>
      <c r="Y29" s="5" t="n"/>
      <c r="Z29" s="5" t="n"/>
      <c r="AA29" s="5" t="n"/>
    </row>
    <row r="30">
      <c r="A30" s="5" t="n"/>
      <c r="B30" s="5" t="inlineStr">
        <is>
          <t>FP</t>
        </is>
      </c>
      <c r="C30" s="5" t="n"/>
      <c r="D30" s="5" t="n"/>
      <c r="E30" s="10">
        <f>IF(A30="","",A30&amp;"|"&amp;D30)</f>
        <v/>
      </c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14">
        <f>IF(N30="","",IF(OR(M30="",O30=""),N30,(M30+4*N30+O30)/6))</f>
        <v/>
      </c>
      <c r="Q30" s="5" t="n"/>
      <c r="R30" s="5" t="n"/>
      <c r="S30" s="5" t="n"/>
      <c r="T30" s="5" t="n"/>
      <c r="U30" s="5" t="n"/>
      <c r="V30" s="15" t="n"/>
      <c r="W30" s="5" t="n"/>
      <c r="X30" s="5" t="n"/>
      <c r="Y30" s="5" t="n"/>
      <c r="Z30" s="5" t="n"/>
      <c r="AA30" s="5" t="n"/>
    </row>
    <row r="31">
      <c r="A31" s="5" t="n"/>
      <c r="B31" s="5" t="inlineStr">
        <is>
          <t>FP</t>
        </is>
      </c>
      <c r="C31" s="5" t="n"/>
      <c r="D31" s="5" t="n"/>
      <c r="E31" s="10">
        <f>IF(A31="","",A31&amp;"|"&amp;D31)</f>
        <v/>
      </c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14">
        <f>IF(N31="","",IF(OR(M31="",O31=""),N31,(M31+4*N31+O31)/6))</f>
        <v/>
      </c>
      <c r="Q31" s="5" t="n"/>
      <c r="R31" s="5" t="n"/>
      <c r="S31" s="5" t="n"/>
      <c r="T31" s="5" t="n"/>
      <c r="U31" s="5" t="n"/>
      <c r="V31" s="15" t="n"/>
      <c r="W31" s="5" t="n"/>
      <c r="X31" s="5" t="n"/>
      <c r="Y31" s="5" t="n"/>
      <c r="Z31" s="5" t="n"/>
      <c r="AA31" s="5" t="n"/>
    </row>
    <row r="32">
      <c r="A32" s="5" t="n"/>
      <c r="B32" s="5" t="inlineStr">
        <is>
          <t>FP</t>
        </is>
      </c>
      <c r="C32" s="5" t="n"/>
      <c r="D32" s="5" t="n"/>
      <c r="E32" s="10">
        <f>IF(A32="","",A32&amp;"|"&amp;D32)</f>
        <v/>
      </c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14">
        <f>IF(N32="","",IF(OR(M32="",O32=""),N32,(M32+4*N32+O32)/6))</f>
        <v/>
      </c>
      <c r="Q32" s="5" t="n"/>
      <c r="R32" s="5" t="n"/>
      <c r="S32" s="5" t="n"/>
      <c r="T32" s="5" t="n"/>
      <c r="U32" s="5" t="n"/>
      <c r="V32" s="15" t="n"/>
      <c r="W32" s="5" t="n"/>
      <c r="X32" s="5" t="n"/>
      <c r="Y32" s="5" t="n"/>
      <c r="Z32" s="5" t="n"/>
      <c r="AA32" s="5" t="n"/>
    </row>
    <row r="33">
      <c r="A33" s="5" t="n"/>
      <c r="B33" s="5" t="inlineStr">
        <is>
          <t>FP</t>
        </is>
      </c>
      <c r="C33" s="5" t="n"/>
      <c r="D33" s="5" t="n"/>
      <c r="E33" s="10">
        <f>IF(A33="","",A33&amp;"|"&amp;D33)</f>
        <v/>
      </c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14">
        <f>IF(N33="","",IF(OR(M33="",O33=""),N33,(M33+4*N33+O33)/6))</f>
        <v/>
      </c>
      <c r="Q33" s="5" t="n"/>
      <c r="R33" s="5" t="n"/>
      <c r="S33" s="5" t="n"/>
      <c r="T33" s="5" t="n"/>
      <c r="U33" s="5" t="n"/>
      <c r="V33" s="15" t="n"/>
      <c r="W33" s="5" t="n"/>
      <c r="X33" s="5" t="n"/>
      <c r="Y33" s="5" t="n"/>
      <c r="Z33" s="5" t="n"/>
      <c r="AA33" s="5" t="n"/>
    </row>
    <row r="34">
      <c r="A34" s="5" t="n"/>
      <c r="B34" s="5" t="inlineStr">
        <is>
          <t>FP</t>
        </is>
      </c>
      <c r="C34" s="5" t="n"/>
      <c r="D34" s="5" t="n"/>
      <c r="E34" s="10">
        <f>IF(A34="","",A34&amp;"|"&amp;D34)</f>
        <v/>
      </c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14">
        <f>IF(N34="","",IF(OR(M34="",O34=""),N34,(M34+4*N34+O34)/6))</f>
        <v/>
      </c>
      <c r="Q34" s="5" t="n"/>
      <c r="R34" s="5" t="n"/>
      <c r="S34" s="5" t="n"/>
      <c r="T34" s="5" t="n"/>
      <c r="U34" s="5" t="n"/>
      <c r="V34" s="15" t="n"/>
      <c r="W34" s="5" t="n"/>
      <c r="X34" s="5" t="n"/>
      <c r="Y34" s="5" t="n"/>
      <c r="Z34" s="5" t="n"/>
      <c r="AA34" s="5" t="n"/>
    </row>
    <row r="35">
      <c r="A35" s="5" t="n"/>
      <c r="B35" s="5" t="inlineStr">
        <is>
          <t>FP</t>
        </is>
      </c>
      <c r="C35" s="5" t="n"/>
      <c r="D35" s="5" t="n"/>
      <c r="E35" s="10">
        <f>IF(A35="","",A35&amp;"|"&amp;D35)</f>
        <v/>
      </c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14">
        <f>IF(N35="","",IF(OR(M35="",O35=""),N35,(M35+4*N35+O35)/6))</f>
        <v/>
      </c>
      <c r="Q35" s="5" t="n"/>
      <c r="R35" s="5" t="n"/>
      <c r="S35" s="5" t="n"/>
      <c r="T35" s="5" t="n"/>
      <c r="U35" s="5" t="n"/>
      <c r="V35" s="15" t="n"/>
      <c r="W35" s="5" t="n"/>
      <c r="X35" s="5" t="n"/>
      <c r="Y35" s="5" t="n"/>
      <c r="Z35" s="5" t="n"/>
      <c r="AA35" s="5" t="n"/>
    </row>
    <row r="36">
      <c r="A36" s="5" t="n"/>
      <c r="B36" s="5" t="inlineStr">
        <is>
          <t>FP</t>
        </is>
      </c>
      <c r="C36" s="5" t="n"/>
      <c r="D36" s="5" t="n"/>
      <c r="E36" s="10">
        <f>IF(A36="","",A36&amp;"|"&amp;D36)</f>
        <v/>
      </c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14">
        <f>IF(N36="","",IF(OR(M36="",O36=""),N36,(M36+4*N36+O36)/6))</f>
        <v/>
      </c>
      <c r="Q36" s="5" t="n"/>
      <c r="R36" s="5" t="n"/>
      <c r="S36" s="5" t="n"/>
      <c r="T36" s="5" t="n"/>
      <c r="U36" s="5" t="n"/>
      <c r="V36" s="15" t="n"/>
      <c r="W36" s="5" t="n"/>
      <c r="X36" s="5" t="n"/>
      <c r="Y36" s="5" t="n"/>
      <c r="Z36" s="5" t="n"/>
      <c r="AA36" s="5" t="n"/>
    </row>
    <row r="37">
      <c r="A37" s="5" t="n"/>
      <c r="B37" s="5" t="inlineStr">
        <is>
          <t>FP</t>
        </is>
      </c>
      <c r="C37" s="5" t="n"/>
      <c r="D37" s="5" t="n"/>
      <c r="E37" s="10">
        <f>IF(A37="","",A37&amp;"|"&amp;D37)</f>
        <v/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14">
        <f>IF(N37="","",IF(OR(M37="",O37=""),N37,(M37+4*N37+O37)/6))</f>
        <v/>
      </c>
      <c r="Q37" s="5" t="n"/>
      <c r="R37" s="5" t="n"/>
      <c r="S37" s="5" t="n"/>
      <c r="T37" s="5" t="n"/>
      <c r="U37" s="5" t="n"/>
      <c r="V37" s="15" t="n"/>
      <c r="W37" s="5" t="n"/>
      <c r="X37" s="5" t="n"/>
      <c r="Y37" s="5" t="n"/>
      <c r="Z37" s="5" t="n"/>
      <c r="AA37" s="5" t="n"/>
    </row>
    <row r="38">
      <c r="A38" s="5" t="n"/>
      <c r="B38" s="5" t="inlineStr">
        <is>
          <t>FP</t>
        </is>
      </c>
      <c r="C38" s="5" t="n"/>
      <c r="D38" s="5" t="n"/>
      <c r="E38" s="10">
        <f>IF(A38="","",A38&amp;"|"&amp;D38)</f>
        <v/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14">
        <f>IF(N38="","",IF(OR(M38="",O38=""),N38,(M38+4*N38+O38)/6))</f>
        <v/>
      </c>
      <c r="Q38" s="5" t="n"/>
      <c r="R38" s="5" t="n"/>
      <c r="S38" s="5" t="n"/>
      <c r="T38" s="5" t="n"/>
      <c r="U38" s="5" t="n"/>
      <c r="V38" s="15" t="n"/>
      <c r="W38" s="5" t="n"/>
      <c r="X38" s="5" t="n"/>
      <c r="Y38" s="5" t="n"/>
      <c r="Z38" s="5" t="n"/>
      <c r="AA38" s="5" t="n"/>
    </row>
    <row r="39">
      <c r="A39" s="5" t="n"/>
      <c r="B39" s="5" t="inlineStr">
        <is>
          <t>FP</t>
        </is>
      </c>
      <c r="C39" s="5" t="n"/>
      <c r="D39" s="5" t="n"/>
      <c r="E39" s="10">
        <f>IF(A39="","",A39&amp;"|"&amp;D39)</f>
        <v/>
      </c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14">
        <f>IF(N39="","",IF(OR(M39="",O39=""),N39,(M39+4*N39+O39)/6))</f>
        <v/>
      </c>
      <c r="Q39" s="5" t="n"/>
      <c r="R39" s="5" t="n"/>
      <c r="S39" s="5" t="n"/>
      <c r="T39" s="5" t="n"/>
      <c r="U39" s="5" t="n"/>
      <c r="V39" s="15" t="n"/>
      <c r="W39" s="5" t="n"/>
      <c r="X39" s="5" t="n"/>
      <c r="Y39" s="5" t="n"/>
      <c r="Z39" s="5" t="n"/>
      <c r="AA39" s="5" t="n"/>
    </row>
    <row r="40">
      <c r="A40" s="5" t="n"/>
      <c r="B40" s="5" t="inlineStr">
        <is>
          <t>FP</t>
        </is>
      </c>
      <c r="C40" s="5" t="n"/>
      <c r="D40" s="5" t="n"/>
      <c r="E40" s="10">
        <f>IF(A40="","",A40&amp;"|"&amp;D40)</f>
        <v/>
      </c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14">
        <f>IF(N40="","",IF(OR(M40="",O40=""),N40,(M40+4*N40+O40)/6))</f>
        <v/>
      </c>
      <c r="Q40" s="5" t="n"/>
      <c r="R40" s="5" t="n"/>
      <c r="S40" s="5" t="n"/>
      <c r="T40" s="5" t="n"/>
      <c r="U40" s="5" t="n"/>
      <c r="V40" s="15" t="n"/>
      <c r="W40" s="5" t="n"/>
      <c r="X40" s="5" t="n"/>
      <c r="Y40" s="5" t="n"/>
      <c r="Z40" s="5" t="n"/>
      <c r="AA40" s="5" t="n"/>
    </row>
    <row r="41">
      <c r="A41" s="5" t="n"/>
      <c r="B41" s="5" t="inlineStr">
        <is>
          <t>FP</t>
        </is>
      </c>
      <c r="C41" s="5" t="n"/>
      <c r="D41" s="5" t="n"/>
      <c r="E41" s="10">
        <f>IF(A41="","",A41&amp;"|"&amp;D41)</f>
        <v/>
      </c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14">
        <f>IF(N41="","",IF(OR(M41="",O41=""),N41,(M41+4*N41+O41)/6))</f>
        <v/>
      </c>
      <c r="Q41" s="5" t="n"/>
      <c r="R41" s="5" t="n"/>
      <c r="S41" s="5" t="n"/>
      <c r="T41" s="5" t="n"/>
      <c r="U41" s="5" t="n"/>
      <c r="V41" s="15" t="n"/>
      <c r="W41" s="5" t="n"/>
      <c r="X41" s="5" t="n"/>
      <c r="Y41" s="5" t="n"/>
      <c r="Z41" s="5" t="n"/>
      <c r="AA41" s="5" t="n"/>
    </row>
  </sheetData>
  <autoFilter ref="A1:AA41"/>
  <conditionalFormatting sqref="A2:AA241">
    <cfRule type="expression" priority="1" dxfId="0" stopIfTrue="0">
      <formula>OR($F2="N",$AA2="Y")</formula>
    </cfRule>
  </conditionalFormatting>
  <dataValidations count="7">
    <dataValidation sqref="F2:F241" showDropDown="0" showInputMessage="0" showErrorMessage="0" allowBlank="1" type="list">
      <formula1>"Y,N"</formula1>
    </dataValidation>
    <dataValidation sqref="G2:G241" showDropDown="0" showInputMessage="0" showErrorMessage="0" allowBlank="1" type="list">
      <formula1>"Balance,Tablet tester,Caliper / micrometer,Friabilator,Disintegration tester,Dissolution bath,Moisture analyser,Sieve shaker,Density tester,Leak tester,Other / bench,None"</formula1>
    </dataValidation>
    <dataValidation sqref="H2:H241" showDropDown="0" showInputMessage="0" showErrorMessage="0" allowBlank="1" type="list">
      <formula1>"Low,Medium,High"</formula1>
    </dataValidation>
    <dataValidation sqref="W2:W241" showDropDown="0" showInputMessage="0" showErrorMessage="0" allowBlank="1" type="list">
      <formula1>"Y,N"</formula1>
    </dataValidation>
    <dataValidation sqref="Y2:Y241" showDropDown="0" showInputMessage="0" showErrorMessage="0" allowBlank="1" type="list">
      <formula1>"High,Medium,Low"</formula1>
    </dataValidation>
    <dataValidation sqref="AA2:AA241" showDropDown="0" showInputMessage="0" showErrorMessage="0" allowBlank="1" type="list">
      <formula1>"Y,N"</formula1>
    </dataValidation>
    <dataValidation sqref="B2:B241" showDropDown="0" showInputMessage="0" showErrorMessage="0" allowBlank="1" type="list">
      <formula1>"FP,RM,PM,IPC"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2026-10-20T00:28:42Z</dcterms:created>
  <dcterms:modified xmlns:dcterms="http://purl.org/dc/terms/" xmlns:xsi="http://www.w3.org/2001/XMLSchema-instance" xsi:type="dcterms:W3CDTF">2026-10-20T00:28:43Z</dcterms:modified>
</cp:coreProperties>
</file>
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Test times" sheetId="5" state="visible" r:id="rId5"/>
    <sheet xmlns:r="http://schemas.openxmlformats.org/officeDocument/2006/relationships" name="Campaign group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'Volumes'!$A$1:$O$118</definedName>
    <definedName name="_xlnm._FilterDatabase" localSheetId="4" hidden="1">'Test times'!$A$1:$AA$386</definedName>
    <definedName name="_xlnm._FilterDatabase" localSheetId="5" hidden="1">'Campaign groups'!$A$1:$F$14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7F7F7F"/>
      </font>
      <fill>
        <patternFill patternType="solid">
          <fgColor rgb="00BFBFBF"/>
          <b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Respondent profile, batches &amp; stability, methods, workload.</t>
        </is>
      </c>
    </row>
    <row r="10">
      <c r="A10" s="3" t="inlineStr">
        <is>
          <t>Sheet: Volumes</t>
        </is>
      </c>
      <c r="B10" s="4" t="inlineStr">
        <is>
          <t>Release batches and stability samples per year for each product.</t>
        </is>
      </c>
    </row>
    <row r="11">
      <c r="A11" s="3" t="inlineStr">
        <is>
          <t>Sheet: Test times</t>
        </is>
      </c>
      <c r="B11" s="4" t="inlineStr">
        <is>
          <t>Time per test for each method family - the core input.</t>
        </is>
      </c>
    </row>
    <row r="12">
      <c r="A12" s="3" t="inlineStr">
        <is>
          <t>Sheet: Campaign groups</t>
        </is>
      </c>
      <c r="B12" s="4" t="inlineStr">
        <is>
          <t>Families sharing an active ingredient - can they share an HPLC sequence?</t>
        </is>
      </c>
    </row>
    <row r="13">
      <c r="A13" s="3" t="inlineStr">
        <is>
          <t>Sheet: Extra tests</t>
        </is>
      </c>
      <c r="B13" s="4" t="inlineStr">
        <is>
          <t>Tests missing from the list (IPC, blend uniformity, water content, preservative assay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107 products in 64 method families and 385 family x test rows.</t>
        </is>
      </c>
    </row>
    <row r="17">
      <c r="A17" s="3" t="inlineStr">
        <is>
          <t>Data basis</t>
        </is>
      </c>
      <c r="B17" s="4" t="inlineStr">
        <is>
          <t>13 active ingredients appear in more than one family - candidates for shared HPLC sequences ('Campaign groups').</t>
        </is>
      </c>
    </row>
    <row r="18">
      <c r="A18" s="3" t="inlineStr">
        <is>
          <t>Data basis</t>
        </is>
      </c>
      <c r="B18" s="4" t="inlineStr">
        <is>
          <t>7 families have no active ingredient in the product formulas (F22, F37, F41, F42, F60, F62, F63) - name the actives in Test times Notes.</t>
        </is>
      </c>
    </row>
    <row r="19">
      <c r="A19" s="3" t="inlineStr">
        <is>
          <t>Data basis</t>
        </is>
      </c>
      <c r="B19" s="4" t="inlineStr">
        <is>
          <t>No recorded finished-product test times exist yet (lab records cover raw materials only), so all times are new estimates.</t>
        </is>
      </c>
    </row>
    <row r="20">
      <c r="A20" s="3" t="inlineStr"/>
      <c r="B20" s="4" t="inlineStr"/>
    </row>
    <row r="21">
      <c r="A21" s="3" t="inlineStr">
        <is>
          <t>Respondent</t>
        </is>
      </c>
      <c r="B21" s="5" t="n"/>
    </row>
    <row r="22">
      <c r="A22" s="3" t="inlineStr">
        <is>
          <t>Date</t>
        </is>
      </c>
      <c r="B22" s="5" t="n"/>
    </row>
    <row r="23">
      <c r="A23" s="3" t="inlineStr">
        <is>
          <t>Reviewed by (unit head)</t>
        </is>
      </c>
      <c r="B2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 Dark-grey row = Applicable = N or Outsourced = Y (outsourced rows still take the in-house Prep time).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Families</t>
        </is>
      </c>
      <c r="B11" s="8" t="inlineStr">
        <is>
          <t>A family = all strengths tested with the same methods. If one strength needs a different method, say so in Notes.</t>
        </is>
      </c>
    </row>
    <row r="12">
      <c r="A12" s="7" t="inlineStr">
        <is>
          <t>Campaign groups</t>
        </is>
      </c>
      <c r="B12" s="8" t="inlineStr">
        <is>
          <t>Families sharing an active: if they use the same column and mobile phase, give them one group code (e.g. G1) and put it in Test times column J.</t>
        </is>
      </c>
    </row>
    <row r="14">
      <c r="A14" s="6" t="inlineStr">
        <is>
          <t>Sheet</t>
        </is>
      </c>
      <c r="B14" s="6" t="inlineStr">
        <is>
          <t>Use  ·  Can I add rows?</t>
        </is>
      </c>
    </row>
    <row r="15">
      <c r="A15" s="7" t="inlineStr">
        <is>
          <t>Overview</t>
        </is>
      </c>
      <c r="B15" s="8" t="inlineStr">
        <is>
          <t>Scope; your name and date.  ·  No.</t>
        </is>
      </c>
    </row>
    <row r="16">
      <c r="A16" s="7" t="inlineStr">
        <is>
          <t>Guide</t>
        </is>
      </c>
      <c r="B16" s="8" t="inlineStr">
        <is>
          <t>Rules, and what each column means.  ·  No.</t>
        </is>
      </c>
    </row>
    <row r="17">
      <c r="A17" s="7" t="inlineStr">
        <is>
          <t>Questions</t>
        </is>
      </c>
      <c r="B17" s="8" t="inlineStr">
        <is>
          <t>Respondent profile, batches &amp; stability, methods, workload.  ·  No.</t>
        </is>
      </c>
    </row>
    <row r="18">
      <c r="A18" s="7" t="inlineStr">
        <is>
          <t>Volumes</t>
        </is>
      </c>
      <c r="B18" s="8" t="inlineStr">
        <is>
          <t>Release batches and stability samples per year for each product.  ·  Yes - 10 empty rows at the bottom for new products.</t>
        </is>
      </c>
    </row>
    <row r="19">
      <c r="A19" s="7" t="inlineStr">
        <is>
          <t>Test times</t>
        </is>
      </c>
      <c r="B19" s="8" t="inlineStr">
        <is>
          <t>Time per test for each method family - the core input.  ·  No - set Applicable = N instead of deleting; missing tests go on 'Extra tests'. Sorting and filtering are fine.</t>
        </is>
      </c>
    </row>
    <row r="20">
      <c r="A20" s="7" t="inlineStr">
        <is>
          <t>Campaign groups</t>
        </is>
      </c>
      <c r="B20" s="8" t="inlineStr">
        <is>
          <t>Families sharing an active ingredient - can they share an HPLC sequence?  ·  Yes, at the bottom.</t>
        </is>
      </c>
    </row>
    <row r="21">
      <c r="A21" s="7" t="inlineStr">
        <is>
          <t>Extra tests</t>
        </is>
      </c>
      <c r="B21" s="8" t="inlineStr">
        <is>
          <t>Tests missing from the list (IPC, blend uniformity, water content, preservative assay ...).  ·  Yes - 40 empty rows.</t>
        </is>
      </c>
    </row>
    <row r="23">
      <c r="A23" s="6" t="inlineStr">
        <is>
          <t>Questions - columns</t>
        </is>
      </c>
      <c r="B23" s="6" t="inlineStr">
        <is>
          <t>Meaning</t>
        </is>
      </c>
    </row>
    <row r="24">
      <c r="A24" s="7" t="inlineStr">
        <is>
          <t>A · #</t>
        </is>
      </c>
      <c r="B24" s="8" t="inlineStr">
        <is>
          <t>Question number.</t>
        </is>
      </c>
    </row>
    <row r="25">
      <c r="A25" s="7" t="inlineStr">
        <is>
          <t>B · Question</t>
        </is>
      </c>
      <c r="B25" s="8" t="inlineStr">
        <is>
          <t>The question.</t>
        </is>
      </c>
    </row>
    <row r="26">
      <c r="A26" s="7" t="inlineStr">
        <is>
          <t>C · Answer</t>
        </is>
      </c>
      <c r="B26" s="8" t="inlineStr">
        <is>
          <t>Your answer - short is fine.</t>
        </is>
      </c>
    </row>
    <row r="28">
      <c r="A28" s="6" t="inlineStr">
        <is>
          <t>Volumes - columns</t>
        </is>
      </c>
      <c r="B28" s="6" t="inlineStr">
        <is>
          <t>Meaning</t>
        </is>
      </c>
    </row>
    <row r="29">
      <c r="A29" s="7" t="inlineStr">
        <is>
          <t>A · Product</t>
        </is>
      </c>
      <c r="B29" s="8" t="inlineStr">
        <is>
          <t>Product name and strength.</t>
        </is>
      </c>
    </row>
    <row r="30">
      <c r="A30" s="7" t="inlineStr">
        <is>
          <t>B · Active(s) (from product formulas)</t>
        </is>
      </c>
      <c r="B30" s="8" t="inlineStr">
        <is>
          <t>Active ingredients.</t>
        </is>
      </c>
    </row>
    <row r="31">
      <c r="A31" s="7" t="inlineStr">
        <is>
          <t>C · # Actives</t>
        </is>
      </c>
      <c r="B31" s="8" t="inlineStr">
        <is>
          <t>Number of actives.</t>
        </is>
      </c>
    </row>
    <row r="32">
      <c r="A32" s="7" t="inlineStr">
        <is>
          <t>D · Dosage form (verify)</t>
        </is>
      </c>
      <c r="B32" s="8" t="inlineStr">
        <is>
          <t>Tablet, capsule, syrup ... - correct if wrong.</t>
        </is>
      </c>
    </row>
    <row r="33">
      <c r="A33" s="7" t="inlineStr">
        <is>
          <t>E · Family ID</t>
        </is>
      </c>
      <c r="B33" s="8" t="inlineStr">
        <is>
          <t>Method family: strengths tested with the same methods.</t>
        </is>
      </c>
    </row>
    <row r="34">
      <c r="A34" s="7" t="inlineStr">
        <is>
          <t>F · Release batches / yr (now)</t>
        </is>
      </c>
      <c r="B34" s="8" t="inlineStr">
        <is>
          <t>Release batches tested per year today.</t>
        </is>
      </c>
    </row>
    <row r="35">
      <c r="A35" s="7" t="inlineStr">
        <is>
          <t>G · Stability samples / yr (now)</t>
        </is>
      </c>
      <c r="B35" s="8" t="inlineStr">
        <is>
          <t>Stability samples tested per year today.</t>
        </is>
      </c>
    </row>
    <row r="36">
      <c r="A36" s="7" t="inlineStr">
        <is>
          <t>H · Status</t>
        </is>
      </c>
      <c r="B36" s="8" t="inlineStr">
        <is>
          <t>Where the name came from; 'Suggested - confirm' and 'Not on master list' rows need a check.</t>
        </is>
      </c>
    </row>
    <row r="37">
      <c r="A37" s="7" t="inlineStr">
        <is>
          <t>I · Release batches / yr (future, blank = growth %)</t>
        </is>
      </c>
      <c r="B37" s="8" t="inlineStr">
        <is>
          <t>Expected release batches per year in 2-3 years.</t>
        </is>
      </c>
    </row>
    <row r="38">
      <c r="A38" s="7" t="inlineStr">
        <is>
          <t>J · Stability samples / yr (future)</t>
        </is>
      </c>
      <c r="B38" s="8" t="inlineStr">
        <is>
          <t>Expected stability samples per year in 2-3 years.</t>
        </is>
      </c>
    </row>
    <row r="39">
      <c r="A39" s="9" t="inlineStr">
        <is>
          <t>K · Release used future (auto)</t>
        </is>
      </c>
      <c r="B39" s="10" t="inlineStr">
        <is>
          <t>Hidden, calculated in the study. Leave empty.</t>
        </is>
      </c>
    </row>
    <row r="40">
      <c r="A40" s="9" t="inlineStr">
        <is>
          <t>L · Stability used future (auto)</t>
        </is>
      </c>
      <c r="B40" s="10" t="inlineStr">
        <is>
          <t>Hidden, calculated in the study. Leave empty.</t>
        </is>
      </c>
    </row>
    <row r="41">
      <c r="A41" s="7" t="inlineStr">
        <is>
          <t>M · Notes</t>
        </is>
      </c>
      <c r="B41" s="8" t="inlineStr">
        <is>
          <t>Anything unusual.</t>
        </is>
      </c>
    </row>
    <row r="42">
      <c r="A42" s="7" t="inlineStr">
        <is>
          <t>N · Stability time points / yr per batch on stability</t>
        </is>
      </c>
      <c r="B42" s="8" t="inlineStr">
        <is>
          <t>Pulls per year for one batch on stability.</t>
        </is>
      </c>
    </row>
    <row r="43">
      <c r="A43" s="7" t="inlineStr">
        <is>
          <t>O · IPC samples tested by QC per batch</t>
        </is>
      </c>
      <c r="B43" s="8" t="inlineStr">
        <is>
          <t>In-process samples QC tests per batch.</t>
        </is>
      </c>
    </row>
    <row r="45">
      <c r="A45" s="6" t="inlineStr">
        <is>
          <t>Test times - columns</t>
        </is>
      </c>
      <c r="B45" s="6" t="inlineStr">
        <is>
          <t>Meaning</t>
        </is>
      </c>
    </row>
    <row r="46">
      <c r="A46" s="7" t="inlineStr">
        <is>
          <t>A · Key (Family ID / Material)</t>
        </is>
      </c>
      <c r="B46" s="8" t="inlineStr">
        <is>
          <t>The item tested: material name (raw materials) or method family ID (finished products).</t>
        </is>
      </c>
    </row>
    <row r="47">
      <c r="A47" s="7" t="inlineStr">
        <is>
          <t>B · Type</t>
        </is>
      </c>
      <c r="B47" s="8" t="inlineStr">
        <is>
          <t>RM = raw material, FP = finished product.</t>
        </is>
      </c>
    </row>
    <row r="48">
      <c r="A48" s="7" t="inlineStr">
        <is>
          <t>C · Description</t>
        </is>
      </c>
      <c r="B48" s="8" t="inlineStr">
        <is>
          <t>Material category, or the products in the family.</t>
        </is>
      </c>
    </row>
    <row r="49">
      <c r="A49" s="7" t="inlineStr">
        <is>
          <t>D · Test</t>
        </is>
      </c>
      <c r="B49" s="8" t="inlineStr">
        <is>
          <t>Test name.</t>
        </is>
      </c>
    </row>
    <row r="50">
      <c r="A50" s="9" t="inlineStr">
        <is>
          <t>E · Lookup key (auto)</t>
        </is>
      </c>
      <c r="B50" s="10" t="inlineStr">
        <is>
          <t>Hidden, automatic: Key | Test joined, used to match your answers back to the study. Do not type.</t>
        </is>
      </c>
    </row>
    <row r="51">
      <c r="A51" s="7" t="inlineStr">
        <is>
          <t>F · Applicable (Y/N)</t>
        </is>
      </c>
      <c r="B51" s="8" t="inlineStr">
        <is>
          <t>Y = you run this test on this item; N = you do not (do not delete the row).</t>
        </is>
      </c>
    </row>
    <row r="52">
      <c r="A52" s="7" t="inlineStr">
        <is>
          <t>G · Instrument</t>
        </is>
      </c>
      <c r="B52" s="8" t="inlineStr">
        <is>
          <t>Main instrument the test occupies.</t>
        </is>
      </c>
    </row>
    <row r="53">
      <c r="A53" s="7" t="inlineStr">
        <is>
          <t>H · Complexity</t>
        </is>
      </c>
      <c r="B53" s="8" t="inlineStr">
        <is>
          <t>Low / Medium / High - how demanding the test is.</t>
        </is>
      </c>
    </row>
    <row r="54">
      <c r="A54" s="7" t="inlineStr">
        <is>
          <t>I · No. of separate methods</t>
        </is>
      </c>
      <c r="B54" s="8" t="inlineStr">
        <is>
          <t>Separate runs this test needs (e.g. 2 actives with separate HPLC methods = 2). Usually 1.</t>
        </is>
      </c>
    </row>
    <row r="55">
      <c r="A55" s="7" t="inlineStr">
        <is>
          <t>J · Campaign group code</t>
        </is>
      </c>
      <c r="B55" s="8" t="inlineStr">
        <is>
          <t>Same code (e.g. G1) on tests run in one instrument sequence; their setup time is then counted once.</t>
        </is>
      </c>
    </row>
    <row r="56">
      <c r="A56" s="7" t="inlineStr">
        <is>
          <t>K · Setup analyst h / sequence</t>
        </is>
      </c>
      <c r="B56" s="8" t="inlineStr">
        <is>
          <t>Hands-on hours to set up one sequence/run (mobile phase, standards, system suitability).</t>
        </is>
      </c>
    </row>
    <row r="57">
      <c r="A57" s="7" t="inlineStr">
        <is>
          <t>L · Setup instrument h / sequence</t>
        </is>
      </c>
      <c r="B57" s="8" t="inlineStr">
        <is>
          <t>Instrument hours per sequence that are not per sample (equilibration, blanks, standards).</t>
        </is>
      </c>
    </row>
    <row r="58">
      <c r="A58" s="7" t="inlineStr">
        <is>
          <t>M · Prep analyst h/sample – MIN</t>
        </is>
      </c>
      <c r="B58" s="8" t="inlineStr">
        <is>
          <t>Optional. Fastest realistic hands-on preparation per sample.</t>
        </is>
      </c>
    </row>
    <row r="59">
      <c r="A59" s="7" t="inlineStr">
        <is>
          <t>N · Prep – MOST LIKELY</t>
        </is>
      </c>
      <c r="B59" s="8" t="inlineStr">
        <is>
          <t>Required. Usual hands-on preparation per sample (weighing, dissolving, diluting, filtering).</t>
        </is>
      </c>
    </row>
    <row r="60">
      <c r="A60" s="7" t="inlineStr">
        <is>
          <t>O · Prep – MAX</t>
        </is>
      </c>
      <c r="B60" s="8" t="inlineStr">
        <is>
          <t>Optional. Slowest realistic preparation per sample.</t>
        </is>
      </c>
    </row>
    <row r="61">
      <c r="A61" s="7" t="inlineStr">
        <is>
          <t>P · Prep PERT (auto)</t>
        </is>
      </c>
      <c r="B61" s="8" t="inlineStr">
        <is>
          <t>Automatic: (MIN + 4 x MOST LIKELY + MAX) / 6; equals MOST LIKELY if MIN or MAX is blank.</t>
        </is>
      </c>
    </row>
    <row r="62">
      <c r="A62" s="7" t="inlineStr">
        <is>
          <t>Q · Instrument run h / sample</t>
        </is>
      </c>
      <c r="B62" s="8" t="inlineStr">
        <is>
          <t>Unattended instrument time per sample (run time, oven/LOD time, titrator time).</t>
        </is>
      </c>
    </row>
    <row r="63">
      <c r="A63" s="7" t="inlineStr">
        <is>
          <t>R · Dissolution bath h / sample</t>
        </is>
      </c>
      <c r="B63" s="8" t="inlineStr">
        <is>
          <t>Finished products only: bath time per sample.</t>
        </is>
      </c>
    </row>
    <row r="64">
      <c r="A64" s="7" t="inlineStr">
        <is>
          <t>S · Data processing + doc h / sample</t>
        </is>
      </c>
      <c r="B64" s="8" t="inlineStr">
        <is>
          <t>Integration, calculation, LIMS/logbook entries per sample.</t>
        </is>
      </c>
    </row>
    <row r="65">
      <c r="A65" s="7" t="inlineStr">
        <is>
          <t>T · Review h / sample</t>
        </is>
      </c>
      <c r="B65" s="8" t="inlineStr">
        <is>
          <t>Time a second person spends checking the data per sample.</t>
        </is>
      </c>
    </row>
    <row r="66">
      <c r="A66" s="7" t="inlineStr">
        <is>
          <t>U · Samples per sequence</t>
        </is>
      </c>
      <c r="B66" s="8" t="inlineStr">
        <is>
          <t>Typical number of samples run together in one sequence/run.</t>
        </is>
      </c>
    </row>
    <row r="67">
      <c r="A67" s="7" t="inlineStr">
        <is>
          <t>V · Retest / OOS %</t>
        </is>
      </c>
      <c r="B67" s="8" t="inlineStr">
        <is>
          <t>Share of samples tested again (type 5 for 5%).</t>
        </is>
      </c>
    </row>
    <row r="68">
      <c r="A68" s="7" t="inlineStr">
        <is>
          <t>W · Applies to stability (Y/N)</t>
        </is>
      </c>
      <c r="B68" s="8" t="inlineStr">
        <is>
          <t>Finished products only: Y if the test is also run on stability samples.</t>
        </is>
      </c>
    </row>
    <row r="69">
      <c r="A69" s="7" t="inlineStr">
        <is>
          <t>X · Respondent(s) / source</t>
        </is>
      </c>
      <c r="B69" s="8" t="inlineStr">
        <is>
          <t>Who gave the time, or where it comes from.</t>
        </is>
      </c>
    </row>
    <row r="70">
      <c r="A70" s="7" t="inlineStr">
        <is>
          <t>Y · Confidence</t>
        </is>
      </c>
      <c r="B70" s="8" t="inlineStr">
        <is>
          <t>How sure you are of the times: High / Medium / Low.</t>
        </is>
      </c>
    </row>
    <row r="71">
      <c r="A71" s="7" t="inlineStr">
        <is>
          <t>Z · Notes / difficulty</t>
        </is>
      </c>
      <c r="B71" s="8" t="inlineStr">
        <is>
          <t>Anything unusual, e.g. 'solution shared with Assay'.</t>
        </is>
      </c>
    </row>
    <row r="72">
      <c r="A72" s="7" t="inlineStr">
        <is>
          <t>AA · Outsourced (Y/N)</t>
        </is>
      </c>
      <c r="B72" s="8" t="inlineStr">
        <is>
          <t>Y = sent to an external lab. Then enter only in-house time (sampling, sending, checking the report) as Prep; leave instrument times blank.</t>
        </is>
      </c>
    </row>
    <row r="74">
      <c r="A74" s="6" t="inlineStr">
        <is>
          <t>Campaign groups - columns</t>
        </is>
      </c>
      <c r="B74" s="6" t="inlineStr">
        <is>
          <t>Meaning</t>
        </is>
      </c>
    </row>
    <row r="75">
      <c r="A75" s="7" t="inlineStr">
        <is>
          <t>A · Active ingredient</t>
        </is>
      </c>
      <c r="B75" s="8" t="inlineStr">
        <is>
          <t>Active shared by several families.</t>
        </is>
      </c>
    </row>
    <row r="76">
      <c r="A76" s="7" t="inlineStr">
        <is>
          <t>B · # families</t>
        </is>
      </c>
      <c r="B76" s="8" t="inlineStr">
        <is>
          <t>Number of families using it.</t>
        </is>
      </c>
    </row>
    <row r="77">
      <c r="A77" s="7" t="inlineStr">
        <is>
          <t>C · Families</t>
        </is>
      </c>
      <c r="B77" s="8" t="inlineStr">
        <is>
          <t>Family IDs.</t>
        </is>
      </c>
    </row>
    <row r="78">
      <c r="A78" s="7" t="inlineStr">
        <is>
          <t>D · Same column + mobile phase? (Y/N/partly)</t>
        </is>
      </c>
      <c r="B78" s="8" t="inlineStr">
        <is>
          <t>Can they run in one HPLC sequence?</t>
        </is>
      </c>
    </row>
    <row r="79">
      <c r="A79" s="7" t="inlineStr">
        <is>
          <t>E · Group code</t>
        </is>
      </c>
      <c r="B79" s="8" t="inlineStr">
        <is>
          <t>Code to put in Test times column J (Campaign group code).</t>
        </is>
      </c>
    </row>
    <row r="80">
      <c r="A80" s="7" t="inlineStr">
        <is>
          <t>F · Notes</t>
        </is>
      </c>
      <c r="B80" s="8" t="inlineStr">
        <is>
          <t>Anything unusual.</t>
        </is>
      </c>
    </row>
    <row r="82">
      <c r="A82" s="6" t="inlineStr">
        <is>
          <t>Extra tests - columns</t>
        </is>
      </c>
      <c r="B82" s="6" t="inlineStr">
        <is>
          <t>Meaning</t>
        </is>
      </c>
    </row>
    <row r="83">
      <c r="A83" s="7" t="inlineStr">
        <is>
          <t>A · Key (Family ID / Material)</t>
        </is>
      </c>
      <c r="B83" s="8" t="inlineStr">
        <is>
          <t>The item tested: material name (raw materials) or method family ID (finished products).</t>
        </is>
      </c>
    </row>
    <row r="84">
      <c r="A84" s="7" t="inlineStr">
        <is>
          <t>B · Type</t>
        </is>
      </c>
      <c r="B84" s="8" t="inlineStr">
        <is>
          <t>RM = raw material, FP = finished product.</t>
        </is>
      </c>
    </row>
    <row r="85">
      <c r="A85" s="7" t="inlineStr">
        <is>
          <t>C · Description</t>
        </is>
      </c>
      <c r="B85" s="8" t="inlineStr">
        <is>
          <t>Material category, or the products in the family.</t>
        </is>
      </c>
    </row>
    <row r="86">
      <c r="A86" s="7" t="inlineStr">
        <is>
          <t>D · Test</t>
        </is>
      </c>
      <c r="B86" s="8" t="inlineStr">
        <is>
          <t>Test name.</t>
        </is>
      </c>
    </row>
    <row r="87">
      <c r="A87" s="9" t="inlineStr">
        <is>
          <t>E · Lookup key (auto)</t>
        </is>
      </c>
      <c r="B87" s="10" t="inlineStr">
        <is>
          <t>Hidden, automatic: Key | Test joined, used to match your answers back to the study. Do not type.</t>
        </is>
      </c>
    </row>
    <row r="88">
      <c r="A88" s="7" t="inlineStr">
        <is>
          <t>F · Applicable (Y/N)</t>
        </is>
      </c>
      <c r="B88" s="8" t="inlineStr">
        <is>
          <t>Y = you run this test on this item; N = you do not (do not delete the row).</t>
        </is>
      </c>
    </row>
    <row r="89">
      <c r="A89" s="7" t="inlineStr">
        <is>
          <t>G · Instrument</t>
        </is>
      </c>
      <c r="B89" s="8" t="inlineStr">
        <is>
          <t>Main instrument the test occupies.</t>
        </is>
      </c>
    </row>
    <row r="90">
      <c r="A90" s="7" t="inlineStr">
        <is>
          <t>H · Complexity</t>
        </is>
      </c>
      <c r="B90" s="8" t="inlineStr">
        <is>
          <t>Low / Medium / High - how demanding the test is.</t>
        </is>
      </c>
    </row>
    <row r="91">
      <c r="A91" s="7" t="inlineStr">
        <is>
          <t>I · No. of separate methods</t>
        </is>
      </c>
      <c r="B91" s="8" t="inlineStr">
        <is>
          <t>Separate runs this test needs (e.g. 2 actives with separate HPLC methods = 2). Usually 1.</t>
        </is>
      </c>
    </row>
    <row r="92">
      <c r="A92" s="7" t="inlineStr">
        <is>
          <t>J · Campaign group code</t>
        </is>
      </c>
      <c r="B92" s="8" t="inlineStr">
        <is>
          <t>Same code (e.g. G1) on tests run in one instrument sequence; their setup time is then counted once.</t>
        </is>
      </c>
    </row>
    <row r="93">
      <c r="A93" s="7" t="inlineStr">
        <is>
          <t>K · Setup analyst h / sequence</t>
        </is>
      </c>
      <c r="B93" s="8" t="inlineStr">
        <is>
          <t>Hands-on hours to set up one sequence/run (mobile phase, standards, system suitability).</t>
        </is>
      </c>
    </row>
    <row r="94">
      <c r="A94" s="7" t="inlineStr">
        <is>
          <t>L · Setup instrument h / sequence</t>
        </is>
      </c>
      <c r="B94" s="8" t="inlineStr">
        <is>
          <t>Instrument hours per sequence that are not per sample (equilibration, blanks, standards).</t>
        </is>
      </c>
    </row>
    <row r="95">
      <c r="A95" s="7" t="inlineStr">
        <is>
          <t>M · Prep analyst h/sample – MIN</t>
        </is>
      </c>
      <c r="B95" s="8" t="inlineStr">
        <is>
          <t>Optional. Fastest realistic hands-on preparation per sample.</t>
        </is>
      </c>
    </row>
    <row r="96">
      <c r="A96" s="7" t="inlineStr">
        <is>
          <t>N · Prep – MOST LIKELY</t>
        </is>
      </c>
      <c r="B96" s="8" t="inlineStr">
        <is>
          <t>Required. Usual hands-on preparation per sample (weighing, dissolving, diluting, filtering).</t>
        </is>
      </c>
    </row>
    <row r="97">
      <c r="A97" s="7" t="inlineStr">
        <is>
          <t>O · Prep – MAX</t>
        </is>
      </c>
      <c r="B97" s="8" t="inlineStr">
        <is>
          <t>Optional. Slowest realistic preparation per sample.</t>
        </is>
      </c>
    </row>
    <row r="98">
      <c r="A98" s="7" t="inlineStr">
        <is>
          <t>P · Prep PERT (auto)</t>
        </is>
      </c>
      <c r="B98" s="8" t="inlineStr">
        <is>
          <t>Automatic: (MIN + 4 x MOST LIKELY + MAX) / 6; equals MOST LIKELY if MIN or MAX is blank.</t>
        </is>
      </c>
    </row>
    <row r="99">
      <c r="A99" s="7" t="inlineStr">
        <is>
          <t>Q · Instrument run h / sample</t>
        </is>
      </c>
      <c r="B99" s="8" t="inlineStr">
        <is>
          <t>Unattended instrument time per sample (run time, oven/LOD time, titrator time).</t>
        </is>
      </c>
    </row>
    <row r="100">
      <c r="A100" s="7" t="inlineStr">
        <is>
          <t>R · Dissolution bath h / sample</t>
        </is>
      </c>
      <c r="B100" s="8" t="inlineStr">
        <is>
          <t>Finished products only: bath time per sample.</t>
        </is>
      </c>
    </row>
    <row r="101">
      <c r="A101" s="7" t="inlineStr">
        <is>
          <t>S · Data processing + doc h / sample</t>
        </is>
      </c>
      <c r="B101" s="8" t="inlineStr">
        <is>
          <t>Integration, calculation, LIMS/logbook entries per sample.</t>
        </is>
      </c>
    </row>
    <row r="102">
      <c r="A102" s="7" t="inlineStr">
        <is>
          <t>T · Review h / sample</t>
        </is>
      </c>
      <c r="B102" s="8" t="inlineStr">
        <is>
          <t>Time a second person spends checking the data per sample.</t>
        </is>
      </c>
    </row>
    <row r="103">
      <c r="A103" s="7" t="inlineStr">
        <is>
          <t>U · Samples per sequence</t>
        </is>
      </c>
      <c r="B103" s="8" t="inlineStr">
        <is>
          <t>Typical number of samples run together in one sequence/run.</t>
        </is>
      </c>
    </row>
    <row r="104">
      <c r="A104" s="7" t="inlineStr">
        <is>
          <t>V · Retest / OOS %</t>
        </is>
      </c>
      <c r="B104" s="8" t="inlineStr">
        <is>
          <t>Share of samples tested again (type 5 for 5%).</t>
        </is>
      </c>
    </row>
    <row r="105">
      <c r="A105" s="7" t="inlineStr">
        <is>
          <t>W · Applies to stability (Y/N)</t>
        </is>
      </c>
      <c r="B105" s="8" t="inlineStr">
        <is>
          <t>Finished products only: Y if the test is also run on stability samples.</t>
        </is>
      </c>
    </row>
    <row r="106">
      <c r="A106" s="7" t="inlineStr">
        <is>
          <t>X · Respondent(s) / source</t>
        </is>
      </c>
      <c r="B106" s="8" t="inlineStr">
        <is>
          <t>Who gave the time, or where it comes from.</t>
        </is>
      </c>
    </row>
    <row r="107">
      <c r="A107" s="7" t="inlineStr">
        <is>
          <t>Y · Confidence</t>
        </is>
      </c>
      <c r="B107" s="8" t="inlineStr">
        <is>
          <t>How sure you are of the times: High / Medium / Low.</t>
        </is>
      </c>
    </row>
    <row r="108">
      <c r="A108" s="7" t="inlineStr">
        <is>
          <t>Z · Notes / difficulty</t>
        </is>
      </c>
      <c r="B108" s="8" t="inlineStr">
        <is>
          <t>Anything unusual, e.g. 'solution shared with Assay'.</t>
        </is>
      </c>
    </row>
    <row r="109">
      <c r="A109" s="7" t="inlineStr">
        <is>
          <t>AA · Outsourced (Y/N)</t>
        </is>
      </c>
      <c r="B109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dissolution, titration)?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 ht="30" customHeight="1">
      <c r="A8" s="10" t="inlineStr">
        <is>
          <t>A6</t>
        </is>
      </c>
      <c r="B8" s="10" t="inlineStr">
        <is>
          <t>Is any method or instrument in your area done by only one qualified person? Which?</t>
        </is>
      </c>
      <c r="C8" s="5" t="n"/>
    </row>
    <row r="9">
      <c r="A9" s="11" t="inlineStr">
        <is>
          <t>B. Batches and stability</t>
        </is>
      </c>
      <c r="B9" s="12" t="n"/>
      <c r="C9" s="12" t="n"/>
    </row>
    <row r="10" ht="30" customHeight="1">
      <c r="A10" s="10" t="inlineStr">
        <is>
          <t>B1</t>
        </is>
      </c>
      <c r="B10" s="10" t="inlineStr">
        <is>
          <t>How many release batches does each family produce per year now, and per the production plan in 2-3 years? (enter on 'Volumes')</t>
        </is>
      </c>
      <c r="C10" s="5" t="n"/>
    </row>
    <row r="11" ht="30" customHeight="1">
      <c r="A11" s="10" t="inlineStr">
        <is>
          <t>B2</t>
        </is>
      </c>
      <c r="B11" s="10" t="inlineStr">
        <is>
          <t>Stability: which conditions and time points are on the protocol (e.g. 0/3/6/9/12/18/24/36 months, 25/60 and 40/75)? How many stability samples tested per year?</t>
        </is>
      </c>
      <c r="C11" s="5" t="n"/>
    </row>
    <row r="12" ht="30" customHeight="1">
      <c r="A12" s="10" t="inlineStr">
        <is>
          <t>B3</t>
        </is>
      </c>
      <c r="B12" s="10" t="inlineStr">
        <is>
          <t>Are in-process controls (blend uniformity, core weight, hardness, LOD) done by QC or by production? Samples per batch and hours?</t>
        </is>
      </c>
      <c r="C12" s="5" t="n"/>
    </row>
    <row r="13" ht="30" customHeight="1">
      <c r="A13" s="10" t="inlineStr">
        <is>
          <t>B4</t>
        </is>
      </c>
      <c r="B13" s="10" t="inlineStr">
        <is>
          <t>How many process/cleaning validation and swab samples per year? Analyst and HPLC hours each?</t>
        </is>
      </c>
      <c r="C13" s="5" t="n"/>
    </row>
    <row r="14">
      <c r="A14" s="11" t="inlineStr">
        <is>
          <t>C. Methods and instruments</t>
        </is>
      </c>
      <c r="B14" s="12" t="n"/>
      <c r="C14" s="12" t="n"/>
    </row>
    <row r="15" ht="30" customHeight="1">
      <c r="A15" s="10" t="inlineStr">
        <is>
          <t>C1</t>
        </is>
      </c>
      <c r="B15" s="10" t="inlineStr">
        <is>
          <t>Which families can be run in the same HPLC sequence (same column and mobile phase)? Use the 'Campaign groups' sheet.</t>
        </is>
      </c>
      <c r="C15" s="5" t="n"/>
    </row>
    <row r="16" ht="30" customHeight="1">
      <c r="A16" s="10" t="inlineStr">
        <is>
          <t>C2</t>
        </is>
      </c>
      <c r="B16" s="10" t="inlineStr">
        <is>
          <t>Dissolution: 6 or 12 vessels? Single point or profile? HPLC or UV finish? How long is the bath occupied per sample?</t>
        </is>
      </c>
      <c r="C16" s="5" t="n"/>
    </row>
    <row r="17" ht="30" customHeight="1">
      <c r="A17" s="10" t="inlineStr">
        <is>
          <t>C3</t>
        </is>
      </c>
      <c r="B17" s="10" t="inlineStr">
        <is>
          <t>Content uniformity: 10 or 30 units? Is it run on the same sequence as assay?</t>
        </is>
      </c>
      <c r="C17" s="5" t="n"/>
    </row>
    <row r="18" ht="30" customHeight="1">
      <c r="A18" s="10" t="inlineStr">
        <is>
          <t>C4</t>
        </is>
      </c>
      <c r="B18" s="10" t="inlineStr">
        <is>
          <t>Fixed-dose combinations: does each active need its own method (e.g. ezetimibe + rosuvastatin)? Which families?</t>
        </is>
      </c>
      <c r="C18" s="5" t="n"/>
    </row>
    <row r="19" ht="30" customHeight="1">
      <c r="A19" s="10" t="inlineStr">
        <is>
          <t>C5</t>
        </is>
      </c>
      <c r="B19" s="10" t="inlineStr">
        <is>
          <t>How many days per month is each HPLC/dissolution bath down (breakdown, calibration, waiting for parts/columns)?</t>
        </is>
      </c>
      <c r="C19" s="5" t="n"/>
    </row>
    <row r="20" ht="30" customHeight="1">
      <c r="A20" s="10" t="inlineStr">
        <is>
          <t>C6</t>
        </is>
      </c>
      <c r="B20" s="10" t="inlineStr">
        <is>
          <t>Do you run HPLC overnight or at weekends unattended? What prevents it?</t>
        </is>
      </c>
      <c r="C20" s="5" t="n"/>
    </row>
    <row r="21" ht="30" customHeight="1">
      <c r="A21" s="10" t="inlineStr">
        <is>
          <t>C7</t>
        </is>
      </c>
      <c r="B21" s="10" t="inlineStr">
        <is>
          <t>Do you wait for a free HPLC or dissolution bath? How often per week and for how long?</t>
        </is>
      </c>
      <c r="C21" s="5" t="n"/>
    </row>
    <row r="22">
      <c r="A22" s="11" t="inlineStr">
        <is>
          <t>D. Workload and service level</t>
        </is>
      </c>
      <c r="B22" s="12" t="n"/>
      <c r="C22" s="12" t="n"/>
    </row>
    <row r="23" ht="30" customHeight="1">
      <c r="A23" s="10" t="inlineStr">
        <is>
          <t>D1</t>
        </is>
      </c>
      <c r="B23" s="10" t="inlineStr">
        <is>
          <t>Target turnaround from sample receipt to batch release (days) and actual typical turnaround. Batches released late last year?</t>
        </is>
      </c>
      <c r="C23" s="5" t="n"/>
    </row>
    <row r="24" ht="30" customHeight="1">
      <c r="A24" s="10" t="inlineStr">
        <is>
          <t>D2</t>
        </is>
      </c>
      <c r="B24" s="10" t="inlineStr">
        <is>
          <t>How many samples (release + stability) are typically waiting at month end? Stability pulls tested late?</t>
        </is>
      </c>
      <c r="C24" s="5" t="n"/>
    </row>
    <row r="25" ht="30" customHeight="1">
      <c r="A25" s="10" t="inlineStr">
        <is>
          <t>D3</t>
        </is>
      </c>
      <c r="B25" s="10" t="inlineStr">
        <is>
          <t>Non-routine work: method validation/transfer for new products, OOS/OOT investigations, complaint samples, R&amp;D support. Hours per year?</t>
        </is>
      </c>
      <c r="C25" s="5" t="n"/>
    </row>
    <row r="26" ht="30" customHeight="1">
      <c r="A26" s="10" t="inlineStr">
        <is>
          <t>D4</t>
        </is>
      </c>
      <c r="B26" s="10" t="inlineStr">
        <is>
          <t>Which new products or line extensions arrive in the next 2-3 years?</t>
        </is>
      </c>
      <c r="C26" s="5" t="n"/>
    </row>
    <row r="27">
      <c r="A27" s="11" t="inlineStr">
        <is>
          <t>E. Closing</t>
        </is>
      </c>
      <c r="B27" s="12" t="n"/>
      <c r="C27" s="12" t="n"/>
    </row>
    <row r="28" ht="30" customHeight="1">
      <c r="A28" s="10" t="inlineStr">
        <is>
          <t>E1</t>
        </is>
      </c>
      <c r="B28" s="10" t="inlineStr">
        <is>
          <t>If you had one more analyst or one more HPLC, what would change first?</t>
        </is>
      </c>
      <c r="C28" s="5" t="n"/>
    </row>
    <row r="29" ht="30" customHeight="1">
      <c r="A29" s="10" t="inlineStr">
        <is>
          <t>E2</t>
        </is>
      </c>
      <c r="B29" s="10" t="inlineStr">
        <is>
          <t>What is the biggest risk to on-time batch release today?</t>
        </is>
      </c>
      <c r="C2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hidden="1" width="1" customWidth="1" min="11" max="11"/>
    <col hidden="1" width="1" customWidth="1" min="12" max="12"/>
    <col width="30" customWidth="1" min="13" max="13"/>
    <col width="14" customWidth="1" min="14" max="14"/>
    <col width="14" customWidth="1" min="15" max="15"/>
  </cols>
  <sheetData>
    <row r="1" ht="45" customHeight="1">
      <c r="A1" s="13" t="inlineStr">
        <is>
          <t>Product</t>
        </is>
      </c>
      <c r="B1" s="13" t="inlineStr">
        <is>
          <t>Active(s) (from product formulas)</t>
        </is>
      </c>
      <c r="C1" s="13" t="inlineStr">
        <is>
          <t># Actives</t>
        </is>
      </c>
      <c r="D1" s="13" t="inlineStr">
        <is>
          <t>Dosage form (verify)</t>
        </is>
      </c>
      <c r="E1" s="13" t="inlineStr">
        <is>
          <t>Family ID</t>
        </is>
      </c>
      <c r="F1" s="13" t="inlineStr">
        <is>
          <t>Release batches / yr (now)</t>
        </is>
      </c>
      <c r="G1" s="13" t="inlineStr">
        <is>
          <t>Stability samples / yr (now)</t>
        </is>
      </c>
      <c r="H1" s="13" t="inlineStr">
        <is>
          <t>Status</t>
        </is>
      </c>
      <c r="I1" s="13" t="inlineStr">
        <is>
          <t>Release batches / yr (future, blank = growth %)</t>
        </is>
      </c>
      <c r="J1" s="13" t="inlineStr">
        <is>
          <t>Stability samples / yr (future)</t>
        </is>
      </c>
      <c r="K1" s="13" t="inlineStr">
        <is>
          <t>Release used future (auto)</t>
        </is>
      </c>
      <c r="L1" s="13" t="inlineStr">
        <is>
          <t>Stability used future (auto)</t>
        </is>
      </c>
      <c r="M1" s="13" t="inlineStr">
        <is>
          <t>Notes</t>
        </is>
      </c>
      <c r="N1" s="13" t="inlineStr">
        <is>
          <t>Stability time points / yr per batch on stability</t>
        </is>
      </c>
      <c r="O1" s="13" t="inlineStr">
        <is>
          <t>IPC samples tested by QC per batch</t>
        </is>
      </c>
    </row>
    <row r="2">
      <c r="A2" s="10" t="inlineStr">
        <is>
          <t>Ezetimibe-Rosuvastatin 10-10</t>
        </is>
      </c>
      <c r="B2" s="10" t="inlineStr">
        <is>
          <t>Ezetimibe, Rosuvastatin Calcium</t>
        </is>
      </c>
      <c r="C2" s="10" t="n">
        <v>2</v>
      </c>
      <c r="D2" s="5" t="inlineStr">
        <is>
          <t>Tablet</t>
        </is>
      </c>
      <c r="E2" s="5" t="inlineStr">
        <is>
          <t>F01</t>
        </is>
      </c>
      <c r="F2" s="5" t="n"/>
      <c r="G2" s="5" t="n"/>
      <c r="H2" s="5" t="inlineStr">
        <is>
          <t>Marketed</t>
        </is>
      </c>
      <c r="I2" s="5" t="n"/>
      <c r="J2" s="5" t="n"/>
      <c r="K2" s="10" t="n"/>
      <c r="L2" s="10" t="n"/>
      <c r="M2" s="5" t="n"/>
      <c r="N2" s="5" t="n"/>
      <c r="O2" s="5" t="n"/>
    </row>
    <row r="3">
      <c r="A3" s="10" t="inlineStr">
        <is>
          <t>Ezetimibe-Rosuvastatin 10-20</t>
        </is>
      </c>
      <c r="B3" s="10" t="inlineStr">
        <is>
          <t>Ezetimibe, Rosuvastatin Calcium</t>
        </is>
      </c>
      <c r="C3" s="10" t="n">
        <v>2</v>
      </c>
      <c r="D3" s="5" t="inlineStr">
        <is>
          <t>Tablet</t>
        </is>
      </c>
      <c r="E3" s="5" t="inlineStr">
        <is>
          <t>F01</t>
        </is>
      </c>
      <c r="F3" s="5" t="n"/>
      <c r="G3" s="5" t="n"/>
      <c r="H3" s="5" t="inlineStr">
        <is>
          <t>Marketed</t>
        </is>
      </c>
      <c r="I3" s="5" t="n"/>
      <c r="J3" s="5" t="n"/>
      <c r="K3" s="10" t="n"/>
      <c r="L3" s="10" t="n"/>
      <c r="M3" s="5" t="n"/>
      <c r="N3" s="5" t="n"/>
      <c r="O3" s="5" t="n"/>
    </row>
    <row r="4">
      <c r="A4" s="10" t="inlineStr">
        <is>
          <t>Ezetimibe-Rosuvastatin 10-40</t>
        </is>
      </c>
      <c r="B4" s="10" t="inlineStr">
        <is>
          <t>Ezetimibe, Rosuvastatin Calcium</t>
        </is>
      </c>
      <c r="C4" s="10" t="n">
        <v>2</v>
      </c>
      <c r="D4" s="5" t="inlineStr">
        <is>
          <t>Tablet</t>
        </is>
      </c>
      <c r="E4" s="5" t="inlineStr">
        <is>
          <t>F01</t>
        </is>
      </c>
      <c r="F4" s="5" t="n"/>
      <c r="G4" s="5" t="n"/>
      <c r="H4" s="5" t="inlineStr">
        <is>
          <t>Marketed</t>
        </is>
      </c>
      <c r="I4" s="5" t="n"/>
      <c r="J4" s="5" t="n"/>
      <c r="K4" s="10" t="n"/>
      <c r="L4" s="10" t="n"/>
      <c r="M4" s="5" t="n"/>
      <c r="N4" s="5" t="n"/>
      <c r="O4" s="5" t="n"/>
    </row>
    <row r="5">
      <c r="A5" s="10" t="inlineStr">
        <is>
          <t>Resmitrom (Resffera) 60</t>
        </is>
      </c>
      <c r="B5" s="10" t="inlineStr">
        <is>
          <t>Resmetirom</t>
        </is>
      </c>
      <c r="C5" s="10" t="n">
        <v>1</v>
      </c>
      <c r="D5" s="5" t="inlineStr">
        <is>
          <t>Tablet</t>
        </is>
      </c>
      <c r="E5" s="5" t="inlineStr">
        <is>
          <t>F02</t>
        </is>
      </c>
      <c r="F5" s="5" t="n"/>
      <c r="G5" s="5" t="n"/>
      <c r="H5" s="5" t="inlineStr">
        <is>
          <t>Marketed</t>
        </is>
      </c>
      <c r="I5" s="5" t="n"/>
      <c r="J5" s="5" t="n"/>
      <c r="K5" s="10" t="n"/>
      <c r="L5" s="10" t="n"/>
      <c r="M5" s="5" t="n"/>
      <c r="N5" s="5" t="n"/>
      <c r="O5" s="5" t="n"/>
    </row>
    <row r="6">
      <c r="A6" s="10" t="inlineStr">
        <is>
          <t>Resmitrom (Resffera) 80</t>
        </is>
      </c>
      <c r="B6" s="10" t="inlineStr">
        <is>
          <t>Resmetirom</t>
        </is>
      </c>
      <c r="C6" s="10" t="n">
        <v>1</v>
      </c>
      <c r="D6" s="5" t="inlineStr">
        <is>
          <t>Tablet</t>
        </is>
      </c>
      <c r="E6" s="5" t="inlineStr">
        <is>
          <t>F02</t>
        </is>
      </c>
      <c r="F6" s="5" t="n"/>
      <c r="G6" s="5" t="n"/>
      <c r="H6" s="5" t="inlineStr">
        <is>
          <t>Marketed</t>
        </is>
      </c>
      <c r="I6" s="5" t="n"/>
      <c r="J6" s="5" t="n"/>
      <c r="K6" s="10" t="n"/>
      <c r="L6" s="10" t="n"/>
      <c r="M6" s="5" t="n"/>
      <c r="N6" s="5" t="n"/>
      <c r="O6" s="5" t="n"/>
    </row>
    <row r="7">
      <c r="A7" s="10" t="inlineStr">
        <is>
          <t>Resmitrom (Resffera) 100</t>
        </is>
      </c>
      <c r="B7" s="10" t="inlineStr">
        <is>
          <t>Resmetirom</t>
        </is>
      </c>
      <c r="C7" s="10" t="n">
        <v>1</v>
      </c>
      <c r="D7" s="5" t="inlineStr">
        <is>
          <t>Tablet</t>
        </is>
      </c>
      <c r="E7" s="5" t="inlineStr">
        <is>
          <t>F02</t>
        </is>
      </c>
      <c r="F7" s="5" t="n"/>
      <c r="G7" s="5" t="n"/>
      <c r="H7" s="5" t="inlineStr">
        <is>
          <t>Marketed</t>
        </is>
      </c>
      <c r="I7" s="5" t="n"/>
      <c r="J7" s="5" t="n"/>
      <c r="K7" s="10" t="n"/>
      <c r="L7" s="10" t="n"/>
      <c r="M7" s="5" t="n"/>
      <c r="N7" s="5" t="n"/>
      <c r="O7" s="5" t="n"/>
    </row>
    <row r="8">
      <c r="A8" s="10" t="inlineStr">
        <is>
          <t>Finerodyd 10</t>
        </is>
      </c>
      <c r="B8" s="10" t="inlineStr">
        <is>
          <t>Finerenone</t>
        </is>
      </c>
      <c r="C8" s="10" t="n">
        <v>1</v>
      </c>
      <c r="D8" s="5" t="inlineStr">
        <is>
          <t>Tablet</t>
        </is>
      </c>
      <c r="E8" s="5" t="inlineStr">
        <is>
          <t>F03</t>
        </is>
      </c>
      <c r="F8" s="5" t="n"/>
      <c r="G8" s="5" t="n"/>
      <c r="H8" s="5" t="inlineStr">
        <is>
          <t>Marketed</t>
        </is>
      </c>
      <c r="I8" s="5" t="n"/>
      <c r="J8" s="5" t="n"/>
      <c r="K8" s="10" t="n"/>
      <c r="L8" s="10" t="n"/>
      <c r="M8" s="5" t="n"/>
      <c r="N8" s="5" t="n"/>
      <c r="O8" s="5" t="n"/>
    </row>
    <row r="9">
      <c r="A9" s="10" t="inlineStr">
        <is>
          <t>Finerodyd 20</t>
        </is>
      </c>
      <c r="B9" s="10" t="inlineStr">
        <is>
          <t>Finerenone</t>
        </is>
      </c>
      <c r="C9" s="10" t="n">
        <v>1</v>
      </c>
      <c r="D9" s="5" t="inlineStr">
        <is>
          <t>Tablet</t>
        </is>
      </c>
      <c r="E9" s="5" t="inlineStr">
        <is>
          <t>F03</t>
        </is>
      </c>
      <c r="F9" s="5" t="n"/>
      <c r="G9" s="5" t="n"/>
      <c r="H9" s="5" t="inlineStr">
        <is>
          <t>Marketed</t>
        </is>
      </c>
      <c r="I9" s="5" t="n"/>
      <c r="J9" s="5" t="n"/>
      <c r="K9" s="10" t="n"/>
      <c r="L9" s="10" t="n"/>
      <c r="M9" s="5" t="n"/>
      <c r="N9" s="5" t="n"/>
      <c r="O9" s="5" t="n"/>
    </row>
    <row r="10">
      <c r="A10" s="10" t="inlineStr">
        <is>
          <t>Cardyd 20</t>
        </is>
      </c>
      <c r="B10" s="10" t="inlineStr">
        <is>
          <t>Telmisartan</t>
        </is>
      </c>
      <c r="C10" s="10" t="n">
        <v>1</v>
      </c>
      <c r="D10" s="5" t="inlineStr">
        <is>
          <t>Tablet</t>
        </is>
      </c>
      <c r="E10" s="5" t="inlineStr">
        <is>
          <t>F04</t>
        </is>
      </c>
      <c r="F10" s="5" t="n"/>
      <c r="G10" s="5" t="n"/>
      <c r="H10" s="5" t="inlineStr">
        <is>
          <t>Marketed</t>
        </is>
      </c>
      <c r="I10" s="5" t="n"/>
      <c r="J10" s="5" t="n"/>
      <c r="K10" s="10" t="n"/>
      <c r="L10" s="10" t="n"/>
      <c r="M10" s="5" t="n"/>
      <c r="N10" s="5" t="n"/>
      <c r="O10" s="5" t="n"/>
    </row>
    <row r="11">
      <c r="A11" s="10" t="inlineStr">
        <is>
          <t>Cardyd 40</t>
        </is>
      </c>
      <c r="B11" s="10" t="inlineStr">
        <is>
          <t>Telmisartan</t>
        </is>
      </c>
      <c r="C11" s="10" t="n">
        <v>1</v>
      </c>
      <c r="D11" s="5" t="inlineStr">
        <is>
          <t>Tablet</t>
        </is>
      </c>
      <c r="E11" s="5" t="inlineStr">
        <is>
          <t>F04</t>
        </is>
      </c>
      <c r="F11" s="5" t="n"/>
      <c r="G11" s="5" t="n"/>
      <c r="H11" s="5" t="inlineStr">
        <is>
          <t>Marketed</t>
        </is>
      </c>
      <c r="I11" s="5" t="n"/>
      <c r="J11" s="5" t="n"/>
      <c r="K11" s="10" t="n"/>
      <c r="L11" s="10" t="n"/>
      <c r="M11" s="5" t="n"/>
      <c r="N11" s="5" t="n"/>
      <c r="O11" s="5" t="n"/>
    </row>
    <row r="12">
      <c r="A12" s="10" t="inlineStr">
        <is>
          <t>Cardyd 80</t>
        </is>
      </c>
      <c r="B12" s="10" t="inlineStr">
        <is>
          <t>Telmisartan</t>
        </is>
      </c>
      <c r="C12" s="10" t="n">
        <v>1</v>
      </c>
      <c r="D12" s="5" t="inlineStr">
        <is>
          <t>Tablet</t>
        </is>
      </c>
      <c r="E12" s="5" t="inlineStr">
        <is>
          <t>F04</t>
        </is>
      </c>
      <c r="F12" s="5" t="n"/>
      <c r="G12" s="5" t="n"/>
      <c r="H12" s="5" t="inlineStr">
        <is>
          <t>Marketed</t>
        </is>
      </c>
      <c r="I12" s="5" t="n"/>
      <c r="J12" s="5" t="n"/>
      <c r="K12" s="10" t="n"/>
      <c r="L12" s="10" t="n"/>
      <c r="M12" s="5" t="n"/>
      <c r="N12" s="5" t="n"/>
      <c r="O12" s="5" t="n"/>
    </row>
    <row r="13">
      <c r="A13" s="10" t="inlineStr">
        <is>
          <t>Cardyd-AM 80/5</t>
        </is>
      </c>
      <c r="B13" s="10" t="inlineStr">
        <is>
          <t>Telmisartan, Amlodipine Besylate</t>
        </is>
      </c>
      <c r="C13" s="10" t="n">
        <v>2</v>
      </c>
      <c r="D13" s="5" t="inlineStr">
        <is>
          <t>Tablet</t>
        </is>
      </c>
      <c r="E13" s="5" t="inlineStr">
        <is>
          <t>F05</t>
        </is>
      </c>
      <c r="F13" s="5" t="n"/>
      <c r="G13" s="5" t="n"/>
      <c r="H13" s="5" t="inlineStr">
        <is>
          <t>Marketed</t>
        </is>
      </c>
      <c r="I13" s="5" t="n"/>
      <c r="J13" s="5" t="n"/>
      <c r="K13" s="10" t="n"/>
      <c r="L13" s="10" t="n"/>
      <c r="M13" s="5" t="n"/>
      <c r="N13" s="5" t="n"/>
      <c r="O13" s="5" t="n"/>
    </row>
    <row r="14">
      <c r="A14" s="10" t="inlineStr">
        <is>
          <t>Cardyd-AM 80/10</t>
        </is>
      </c>
      <c r="B14" s="10" t="inlineStr">
        <is>
          <t>Telmisartan, Amlodipine Besylate</t>
        </is>
      </c>
      <c r="C14" s="10" t="n">
        <v>2</v>
      </c>
      <c r="D14" s="5" t="inlineStr">
        <is>
          <t>Tablet</t>
        </is>
      </c>
      <c r="E14" s="5" t="inlineStr">
        <is>
          <t>F05</t>
        </is>
      </c>
      <c r="F14" s="5" t="n"/>
      <c r="G14" s="5" t="n"/>
      <c r="H14" s="5" t="inlineStr">
        <is>
          <t>Marketed</t>
        </is>
      </c>
      <c r="I14" s="5" t="n"/>
      <c r="J14" s="5" t="n"/>
      <c r="K14" s="10" t="n"/>
      <c r="L14" s="10" t="n"/>
      <c r="M14" s="5" t="n"/>
      <c r="N14" s="5" t="n"/>
      <c r="O14" s="5" t="n"/>
    </row>
    <row r="15">
      <c r="A15" s="10" t="inlineStr">
        <is>
          <t>Cardyd-AM 40/5</t>
        </is>
      </c>
      <c r="B15" s="10" t="inlineStr">
        <is>
          <t>Telmisartan, Amlodipine Besylate</t>
        </is>
      </c>
      <c r="C15" s="10" t="n">
        <v>2</v>
      </c>
      <c r="D15" s="5" t="inlineStr">
        <is>
          <t>Tablet</t>
        </is>
      </c>
      <c r="E15" s="5" t="inlineStr">
        <is>
          <t>F05</t>
        </is>
      </c>
      <c r="F15" s="5" t="n"/>
      <c r="G15" s="5" t="n"/>
      <c r="H15" s="5" t="inlineStr">
        <is>
          <t>Marketed</t>
        </is>
      </c>
      <c r="I15" s="5" t="n"/>
      <c r="J15" s="5" t="n"/>
      <c r="K15" s="10" t="n"/>
      <c r="L15" s="10" t="n"/>
      <c r="M15" s="5" t="n"/>
      <c r="N15" s="5" t="n"/>
      <c r="O15" s="5" t="n"/>
    </row>
    <row r="16">
      <c r="A16" s="10" t="inlineStr">
        <is>
          <t>Cardyd-AM 40/10</t>
        </is>
      </c>
      <c r="B16" s="10" t="inlineStr">
        <is>
          <t>Telmisartan, Amlodipine Besylate</t>
        </is>
      </c>
      <c r="C16" s="10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10" t="n"/>
      <c r="L16" s="10" t="n"/>
      <c r="M16" s="5" t="n"/>
      <c r="N16" s="5" t="n"/>
      <c r="O16" s="5" t="n"/>
    </row>
    <row r="17">
      <c r="A17" s="10" t="inlineStr">
        <is>
          <t>Cardyd-H 40/12.5</t>
        </is>
      </c>
      <c r="B17" s="10" t="inlineStr">
        <is>
          <t>Telmisartan, Hydrochlorothiazide</t>
        </is>
      </c>
      <c r="C17" s="10" t="n">
        <v>2</v>
      </c>
      <c r="D17" s="5" t="inlineStr">
        <is>
          <t>Tablet</t>
        </is>
      </c>
      <c r="E17" s="5" t="inlineStr">
        <is>
          <t>F06</t>
        </is>
      </c>
      <c r="F17" s="5" t="n"/>
      <c r="G17" s="5" t="n"/>
      <c r="H17" s="5" t="inlineStr">
        <is>
          <t>Marketed</t>
        </is>
      </c>
      <c r="I17" s="5" t="n"/>
      <c r="J17" s="5" t="n"/>
      <c r="K17" s="10" t="n"/>
      <c r="L17" s="10" t="n"/>
      <c r="M17" s="5" t="n"/>
      <c r="N17" s="5" t="n"/>
      <c r="O17" s="5" t="n"/>
    </row>
    <row r="18">
      <c r="A18" s="10" t="inlineStr">
        <is>
          <t>Cardyd-H 80/12.5</t>
        </is>
      </c>
      <c r="B18" s="10" t="inlineStr">
        <is>
          <t>Telmisartan, Hydrochlorothiazide</t>
        </is>
      </c>
      <c r="C18" s="10" t="n">
        <v>2</v>
      </c>
      <c r="D18" s="5" t="inlineStr">
        <is>
          <t>Tablet</t>
        </is>
      </c>
      <c r="E18" s="5" t="inlineStr">
        <is>
          <t>F06</t>
        </is>
      </c>
      <c r="F18" s="5" t="n"/>
      <c r="G18" s="5" t="n"/>
      <c r="H18" s="5" t="inlineStr">
        <is>
          <t>Marketed</t>
        </is>
      </c>
      <c r="I18" s="5" t="n"/>
      <c r="J18" s="5" t="n"/>
      <c r="K18" s="10" t="n"/>
      <c r="L18" s="10" t="n"/>
      <c r="M18" s="5" t="n"/>
      <c r="N18" s="5" t="n"/>
      <c r="O18" s="5" t="n"/>
    </row>
    <row r="19">
      <c r="A19" s="10" t="inlineStr">
        <is>
          <t>Cardyd-H 80/25</t>
        </is>
      </c>
      <c r="B19" s="10" t="inlineStr">
        <is>
          <t>Telmisartan, Hydrochlorothiazide</t>
        </is>
      </c>
      <c r="C19" s="10" t="n">
        <v>2</v>
      </c>
      <c r="D19" s="5" t="inlineStr">
        <is>
          <t>Tablet</t>
        </is>
      </c>
      <c r="E19" s="5" t="inlineStr">
        <is>
          <t>F06</t>
        </is>
      </c>
      <c r="F19" s="5" t="n"/>
      <c r="G19" s="5" t="n"/>
      <c r="H19" s="5" t="inlineStr">
        <is>
          <t>Marketed</t>
        </is>
      </c>
      <c r="I19" s="5" t="n"/>
      <c r="J19" s="5" t="n"/>
      <c r="K19" s="10" t="n"/>
      <c r="L19" s="10" t="n"/>
      <c r="M19" s="5" t="n"/>
      <c r="N19" s="5" t="n"/>
      <c r="O19" s="5" t="n"/>
    </row>
    <row r="20">
      <c r="A20" s="10" t="inlineStr">
        <is>
          <t>Dexlansoprazole 60</t>
        </is>
      </c>
      <c r="B20" s="10" t="inlineStr">
        <is>
          <t>Dexlansoprazole Pellets 20%</t>
        </is>
      </c>
      <c r="C20" s="10" t="n">
        <v>1</v>
      </c>
      <c r="D20" s="5" t="inlineStr">
        <is>
          <t>Capsule</t>
        </is>
      </c>
      <c r="E20" s="5" t="inlineStr">
        <is>
          <t>F07</t>
        </is>
      </c>
      <c r="F20" s="5" t="n"/>
      <c r="G20" s="5" t="n"/>
      <c r="H20" s="5" t="inlineStr">
        <is>
          <t>Marketed</t>
        </is>
      </c>
      <c r="I20" s="5" t="n"/>
      <c r="J20" s="5" t="n"/>
      <c r="K20" s="10" t="n"/>
      <c r="L20" s="10" t="n"/>
      <c r="M20" s="5" t="n"/>
      <c r="N20" s="5" t="n"/>
      <c r="O20" s="5" t="n"/>
    </row>
    <row r="21">
      <c r="A21" s="10" t="inlineStr">
        <is>
          <t>Dexlansoprazole 30</t>
        </is>
      </c>
      <c r="B21" s="10" t="inlineStr">
        <is>
          <t>Dexlansoprazole Pellets 20%</t>
        </is>
      </c>
      <c r="C21" s="10" t="n">
        <v>1</v>
      </c>
      <c r="D21" s="5" t="inlineStr">
        <is>
          <t>Capsule</t>
        </is>
      </c>
      <c r="E21" s="5" t="inlineStr">
        <is>
          <t>F07</t>
        </is>
      </c>
      <c r="F21" s="5" t="n"/>
      <c r="G21" s="5" t="n"/>
      <c r="H21" s="5" t="inlineStr">
        <is>
          <t>Marketed</t>
        </is>
      </c>
      <c r="I21" s="5" t="n"/>
      <c r="J21" s="5" t="n"/>
      <c r="K21" s="10" t="n"/>
      <c r="L21" s="10" t="n"/>
      <c r="M21" s="5" t="n"/>
      <c r="N21" s="5" t="n"/>
      <c r="O21" s="5" t="n"/>
    </row>
    <row r="22">
      <c r="A22" s="10" t="inlineStr">
        <is>
          <t>Prucalopride 1</t>
        </is>
      </c>
      <c r="B22" s="10" t="inlineStr">
        <is>
          <t>Prucalopride Succinate</t>
        </is>
      </c>
      <c r="C22" s="10" t="n">
        <v>1</v>
      </c>
      <c r="D22" s="5" t="inlineStr">
        <is>
          <t>Tablet</t>
        </is>
      </c>
      <c r="E22" s="5" t="inlineStr">
        <is>
          <t>F08</t>
        </is>
      </c>
      <c r="F22" s="5" t="n"/>
      <c r="G22" s="5" t="n"/>
      <c r="H22" s="5" t="inlineStr">
        <is>
          <t>Marketed</t>
        </is>
      </c>
      <c r="I22" s="5" t="n"/>
      <c r="J22" s="5" t="n"/>
      <c r="K22" s="10" t="n"/>
      <c r="L22" s="10" t="n"/>
      <c r="M22" s="5" t="n"/>
      <c r="N22" s="5" t="n"/>
      <c r="O22" s="5" t="n"/>
    </row>
    <row r="23">
      <c r="A23" s="10" t="inlineStr">
        <is>
          <t>Prucalopride 2</t>
        </is>
      </c>
      <c r="B23" s="10" t="inlineStr">
        <is>
          <t>Prucalopride Succinate</t>
        </is>
      </c>
      <c r="C23" s="10" t="n">
        <v>1</v>
      </c>
      <c r="D23" s="5" t="inlineStr">
        <is>
          <t>Tablet</t>
        </is>
      </c>
      <c r="E23" s="5" t="inlineStr">
        <is>
          <t>F08</t>
        </is>
      </c>
      <c r="F23" s="5" t="n"/>
      <c r="G23" s="5" t="n"/>
      <c r="H23" s="5" t="inlineStr">
        <is>
          <t>Marketed</t>
        </is>
      </c>
      <c r="I23" s="5" t="n"/>
      <c r="J23" s="5" t="n"/>
      <c r="K23" s="10" t="n"/>
      <c r="L23" s="10" t="n"/>
      <c r="M23" s="5" t="n"/>
      <c r="N23" s="5" t="n"/>
      <c r="O23" s="5" t="n"/>
    </row>
    <row r="24">
      <c r="A24" s="10" t="inlineStr">
        <is>
          <t>Ranulo 500</t>
        </is>
      </c>
      <c r="B24" s="10" t="inlineStr">
        <is>
          <t>Ranolazine</t>
        </is>
      </c>
      <c r="C24" s="10" t="n">
        <v>1</v>
      </c>
      <c r="D24" s="5" t="inlineStr">
        <is>
          <t>Tablet</t>
        </is>
      </c>
      <c r="E24" s="5" t="inlineStr">
        <is>
          <t>F09</t>
        </is>
      </c>
      <c r="F24" s="5" t="n"/>
      <c r="G24" s="5" t="n"/>
      <c r="H24" s="5" t="inlineStr">
        <is>
          <t>Marketed</t>
        </is>
      </c>
      <c r="I24" s="5" t="n"/>
      <c r="J24" s="5" t="n"/>
      <c r="K24" s="10" t="n"/>
      <c r="L24" s="10" t="n"/>
      <c r="M24" s="5" t="n"/>
      <c r="N24" s="5" t="n"/>
      <c r="O24" s="5" t="n"/>
    </row>
    <row r="25">
      <c r="A25" s="10" t="inlineStr">
        <is>
          <t>Bempedoic Acid 180</t>
        </is>
      </c>
      <c r="B25" s="10" t="inlineStr">
        <is>
          <t>Bempedoic Acid</t>
        </is>
      </c>
      <c r="C25" s="10" t="n">
        <v>1</v>
      </c>
      <c r="D25" s="5" t="inlineStr">
        <is>
          <t>Tablet</t>
        </is>
      </c>
      <c r="E25" s="5" t="inlineStr">
        <is>
          <t>F10</t>
        </is>
      </c>
      <c r="F25" s="5" t="n"/>
      <c r="G25" s="5" t="n"/>
      <c r="H25" s="5" t="inlineStr">
        <is>
          <t>Marketed</t>
        </is>
      </c>
      <c r="I25" s="5" t="n"/>
      <c r="J25" s="5" t="n"/>
      <c r="K25" s="10" t="n"/>
      <c r="L25" s="10" t="n"/>
      <c r="M25" s="5" t="n"/>
      <c r="N25" s="5" t="n"/>
      <c r="O25" s="5" t="n"/>
    </row>
    <row r="26">
      <c r="A26" s="10" t="inlineStr">
        <is>
          <t>Bempedoic Ezetimibe 180/10</t>
        </is>
      </c>
      <c r="B26" s="10" t="inlineStr">
        <is>
          <t>Bempedoic Acid, Ezetimibe</t>
        </is>
      </c>
      <c r="C26" s="10" t="n">
        <v>2</v>
      </c>
      <c r="D26" s="5" t="inlineStr">
        <is>
          <t>Tablet</t>
        </is>
      </c>
      <c r="E26" s="5" t="inlineStr">
        <is>
          <t>F11</t>
        </is>
      </c>
      <c r="F26" s="5" t="n"/>
      <c r="G26" s="5" t="n"/>
      <c r="H26" s="5" t="inlineStr">
        <is>
          <t>Marketed</t>
        </is>
      </c>
      <c r="I26" s="5" t="n"/>
      <c r="J26" s="5" t="n"/>
      <c r="K26" s="10" t="n"/>
      <c r="L26" s="10" t="n"/>
      <c r="M26" s="5" t="n"/>
      <c r="N26" s="5" t="n"/>
      <c r="O26" s="5" t="n"/>
    </row>
    <row r="27">
      <c r="A27" s="10" t="inlineStr">
        <is>
          <t>loperamide 2</t>
        </is>
      </c>
      <c r="B27" s="10" t="inlineStr">
        <is>
          <t>Loperamide HCl</t>
        </is>
      </c>
      <c r="C27" s="10" t="n">
        <v>1</v>
      </c>
      <c r="D27" s="5" t="inlineStr">
        <is>
          <t>Tablet</t>
        </is>
      </c>
      <c r="E27" s="5" t="inlineStr">
        <is>
          <t>F12</t>
        </is>
      </c>
      <c r="F27" s="5" t="n"/>
      <c r="G27" s="5" t="n"/>
      <c r="H27" s="5" t="inlineStr">
        <is>
          <t>Marketed</t>
        </is>
      </c>
      <c r="I27" s="5" t="n"/>
      <c r="J27" s="5" t="n"/>
      <c r="K27" s="10" t="n"/>
      <c r="L27" s="10" t="n"/>
      <c r="M27" s="5" t="n"/>
      <c r="N27" s="5" t="n"/>
      <c r="O27" s="5" t="n"/>
    </row>
    <row r="28">
      <c r="A28" s="10" t="inlineStr">
        <is>
          <t>Naproxen 750</t>
        </is>
      </c>
      <c r="B28" s="10" t="inlineStr">
        <is>
          <t>Naproxen</t>
        </is>
      </c>
      <c r="C28" s="10" t="n">
        <v>1</v>
      </c>
      <c r="D28" s="5" t="inlineStr">
        <is>
          <t>Tablet</t>
        </is>
      </c>
      <c r="E28" s="5" t="inlineStr">
        <is>
          <t>F13</t>
        </is>
      </c>
      <c r="F28" s="5" t="n"/>
      <c r="G28" s="5" t="n"/>
      <c r="H28" s="5" t="inlineStr">
        <is>
          <t>Marketed</t>
        </is>
      </c>
      <c r="I28" s="5" t="n"/>
      <c r="J28" s="5" t="n"/>
      <c r="K28" s="10" t="n"/>
      <c r="L28" s="10" t="n"/>
      <c r="M28" s="5" t="n"/>
      <c r="N28" s="5" t="n"/>
      <c r="O28" s="5" t="n"/>
    </row>
    <row r="29">
      <c r="A29" s="10" t="inlineStr">
        <is>
          <t>Azelastin+Fluticasone (Nasal Spray)</t>
        </is>
      </c>
      <c r="B29" s="10" t="inlineStr">
        <is>
          <t>Azelastine Hydrochloride, Fluticasone Propionate</t>
        </is>
      </c>
      <c r="C29" s="10" t="n">
        <v>2</v>
      </c>
      <c r="D29" s="5" t="inlineStr">
        <is>
          <t>Nasal spray</t>
        </is>
      </c>
      <c r="E29" s="5" t="inlineStr">
        <is>
          <t>F14</t>
        </is>
      </c>
      <c r="F29" s="5" t="n"/>
      <c r="G29" s="5" t="n"/>
      <c r="H29" s="5" t="inlineStr">
        <is>
          <t>Marketed</t>
        </is>
      </c>
      <c r="I29" s="5" t="n"/>
      <c r="J29" s="5" t="n"/>
      <c r="K29" s="10" t="n"/>
      <c r="L29" s="10" t="n"/>
      <c r="M29" s="5" t="n"/>
      <c r="N29" s="5" t="n"/>
      <c r="O29" s="5" t="n"/>
    </row>
    <row r="30">
      <c r="A30" s="10" t="inlineStr">
        <is>
          <t>Scadia 50</t>
        </is>
      </c>
      <c r="B30" s="10" t="inlineStr">
        <is>
          <t>Sacubitril/Valsartan 3Sodium 2.5H2O Co-crystal</t>
        </is>
      </c>
      <c r="C30" s="10" t="n">
        <v>1</v>
      </c>
      <c r="D30" s="5" t="inlineStr">
        <is>
          <t>Tablet</t>
        </is>
      </c>
      <c r="E30" s="5" t="inlineStr">
        <is>
          <t>F15</t>
        </is>
      </c>
      <c r="F30" s="5" t="n"/>
      <c r="G30" s="5" t="n"/>
      <c r="H30" s="5" t="inlineStr">
        <is>
          <t>Marketed</t>
        </is>
      </c>
      <c r="I30" s="5" t="n"/>
      <c r="J30" s="5" t="n"/>
      <c r="K30" s="10" t="n"/>
      <c r="L30" s="10" t="n"/>
      <c r="M30" s="5" t="n"/>
      <c r="N30" s="5" t="n"/>
      <c r="O30" s="5" t="n"/>
    </row>
    <row r="31">
      <c r="A31" s="10" t="inlineStr">
        <is>
          <t>Scadia 100</t>
        </is>
      </c>
      <c r="B31" s="10" t="inlineStr">
        <is>
          <t>Sacubitril/Valsartan 3Sodium 2.5H2O Co-crystal</t>
        </is>
      </c>
      <c r="C31" s="10" t="n">
        <v>1</v>
      </c>
      <c r="D31" s="5" t="inlineStr">
        <is>
          <t>Tablet</t>
        </is>
      </c>
      <c r="E31" s="5" t="inlineStr">
        <is>
          <t>F15</t>
        </is>
      </c>
      <c r="F31" s="5" t="n"/>
      <c r="G31" s="5" t="n"/>
      <c r="H31" s="5" t="inlineStr">
        <is>
          <t>Marketed</t>
        </is>
      </c>
      <c r="I31" s="5" t="n"/>
      <c r="J31" s="5" t="n"/>
      <c r="K31" s="10" t="n"/>
      <c r="L31" s="10" t="n"/>
      <c r="M31" s="5" t="n"/>
      <c r="N31" s="5" t="n"/>
      <c r="O31" s="5" t="n"/>
    </row>
    <row r="32">
      <c r="A32" s="10" t="inlineStr">
        <is>
          <t>Scadia 200</t>
        </is>
      </c>
      <c r="B32" s="10" t="inlineStr">
        <is>
          <t>Sacubitril/Valsartan 3Sodium 2.5H2O Co-crystal</t>
        </is>
      </c>
      <c r="C32" s="10" t="n">
        <v>1</v>
      </c>
      <c r="D32" s="5" t="inlineStr">
        <is>
          <t>Tablet</t>
        </is>
      </c>
      <c r="E32" s="5" t="inlineStr">
        <is>
          <t>F15</t>
        </is>
      </c>
      <c r="F32" s="5" t="n"/>
      <c r="G32" s="5" t="n"/>
      <c r="H32" s="5" t="inlineStr">
        <is>
          <t>Marketed</t>
        </is>
      </c>
      <c r="I32" s="5" t="n"/>
      <c r="J32" s="5" t="n"/>
      <c r="K32" s="10" t="n"/>
      <c r="L32" s="10" t="n"/>
      <c r="M32" s="5" t="n"/>
      <c r="N32" s="5" t="n"/>
      <c r="O32" s="5" t="n"/>
    </row>
    <row r="33">
      <c r="A33" s="10" t="inlineStr">
        <is>
          <t>Taglida 5</t>
        </is>
      </c>
      <c r="B33" s="10" t="inlineStr">
        <is>
          <t>Linagliptin</t>
        </is>
      </c>
      <c r="C33" s="10" t="n">
        <v>1</v>
      </c>
      <c r="D33" s="5" t="inlineStr">
        <is>
          <t>Tablet</t>
        </is>
      </c>
      <c r="E33" s="5" t="inlineStr">
        <is>
          <t>F16</t>
        </is>
      </c>
      <c r="F33" s="5" t="n"/>
      <c r="G33" s="5" t="n"/>
      <c r="H33" s="5" t="inlineStr">
        <is>
          <t>Marketed</t>
        </is>
      </c>
      <c r="I33" s="5" t="n"/>
      <c r="J33" s="5" t="n"/>
      <c r="K33" s="10" t="n"/>
      <c r="L33" s="10" t="n"/>
      <c r="M33" s="5" t="n"/>
      <c r="N33" s="5" t="n"/>
      <c r="O33" s="5" t="n"/>
    </row>
    <row r="34">
      <c r="A34" s="10" t="inlineStr">
        <is>
          <t>Dapaglose 10</t>
        </is>
      </c>
      <c r="B34" s="10" t="inlineStr">
        <is>
          <t>Dapagliflozin Propanediol Monohydrate</t>
        </is>
      </c>
      <c r="C34" s="10" t="n">
        <v>1</v>
      </c>
      <c r="D34" s="5" t="inlineStr">
        <is>
          <t>Tablet</t>
        </is>
      </c>
      <c r="E34" s="5" t="inlineStr">
        <is>
          <t>F17</t>
        </is>
      </c>
      <c r="F34" s="5" t="n"/>
      <c r="G34" s="5" t="n"/>
      <c r="H34" s="5" t="inlineStr">
        <is>
          <t>Marketed</t>
        </is>
      </c>
      <c r="I34" s="5" t="n"/>
      <c r="J34" s="5" t="n"/>
      <c r="K34" s="10" t="n"/>
      <c r="L34" s="10" t="n"/>
      <c r="M34" s="5" t="n"/>
      <c r="N34" s="5" t="n"/>
      <c r="O34" s="5" t="n"/>
    </row>
    <row r="35">
      <c r="A35" s="10" t="inlineStr">
        <is>
          <t>Dapaglose 5</t>
        </is>
      </c>
      <c r="B35" s="10" t="inlineStr">
        <is>
          <t>Dapagliflozin Propanediol Monohydrate</t>
        </is>
      </c>
      <c r="C35" s="10" t="n">
        <v>1</v>
      </c>
      <c r="D35" s="5" t="inlineStr">
        <is>
          <t>Tablet</t>
        </is>
      </c>
      <c r="E35" s="5" t="inlineStr">
        <is>
          <t>F17</t>
        </is>
      </c>
      <c r="F35" s="5" t="n"/>
      <c r="G35" s="5" t="n"/>
      <c r="H35" s="5" t="inlineStr">
        <is>
          <t>Marketed</t>
        </is>
      </c>
      <c r="I35" s="5" t="n"/>
      <c r="J35" s="5" t="n"/>
      <c r="K35" s="10" t="n"/>
      <c r="L35" s="10" t="n"/>
      <c r="M35" s="5" t="n"/>
      <c r="N35" s="5" t="n"/>
      <c r="O35" s="5" t="n"/>
    </row>
    <row r="36">
      <c r="A36" s="10" t="inlineStr">
        <is>
          <t>Taglida Duo 2.5/1000</t>
        </is>
      </c>
      <c r="B36" s="10" t="inlineStr">
        <is>
          <t>Metformin Hydrochloride, Linagliptin (+1 more)</t>
        </is>
      </c>
      <c r="C36" s="10" t="n">
        <v>3</v>
      </c>
      <c r="D36" s="5" t="inlineStr">
        <is>
          <t>Tablet</t>
        </is>
      </c>
      <c r="E36" s="5" t="inlineStr">
        <is>
          <t>F18</t>
        </is>
      </c>
      <c r="F36" s="5" t="n"/>
      <c r="G36" s="5" t="n"/>
      <c r="H36" s="5" t="inlineStr">
        <is>
          <t>Marketed</t>
        </is>
      </c>
      <c r="I36" s="5" t="n"/>
      <c r="J36" s="5" t="n"/>
      <c r="K36" s="10" t="n"/>
      <c r="L36" s="10" t="n"/>
      <c r="M36" s="5" t="n"/>
      <c r="N36" s="5" t="n"/>
      <c r="O36" s="5" t="n"/>
    </row>
    <row r="37">
      <c r="A37" s="10" t="inlineStr">
        <is>
          <t>Taglida Duo 2.5/500</t>
        </is>
      </c>
      <c r="B37" s="10" t="inlineStr">
        <is>
          <t>Metformin Hydrochloride, Linagliptin (+1 more)</t>
        </is>
      </c>
      <c r="C37" s="10" t="n">
        <v>3</v>
      </c>
      <c r="D37" s="5" t="inlineStr">
        <is>
          <t>Tablet</t>
        </is>
      </c>
      <c r="E37" s="5" t="inlineStr">
        <is>
          <t>F18</t>
        </is>
      </c>
      <c r="F37" s="5" t="n"/>
      <c r="G37" s="5" t="n"/>
      <c r="H37" s="5" t="inlineStr">
        <is>
          <t>Marketed</t>
        </is>
      </c>
      <c r="I37" s="5" t="n"/>
      <c r="J37" s="5" t="n"/>
      <c r="K37" s="10" t="n"/>
      <c r="L37" s="10" t="n"/>
      <c r="M37" s="5" t="n"/>
      <c r="N37" s="5" t="n"/>
      <c r="O37" s="5" t="n"/>
    </row>
    <row r="38">
      <c r="A38" s="10" t="inlineStr">
        <is>
          <t>Ozanimod 0.23/0.46</t>
        </is>
      </c>
      <c r="B38" s="10" t="inlineStr">
        <is>
          <t>Ozanimod Hydrochloride</t>
        </is>
      </c>
      <c r="C38" s="10" t="n">
        <v>1</v>
      </c>
      <c r="D38" s="5" t="inlineStr">
        <is>
          <t>Capsule</t>
        </is>
      </c>
      <c r="E38" s="5" t="inlineStr">
        <is>
          <t>F19</t>
        </is>
      </c>
      <c r="F38" s="5" t="n"/>
      <c r="G38" s="5" t="n"/>
      <c r="H38" s="5" t="inlineStr">
        <is>
          <t>Marketed</t>
        </is>
      </c>
      <c r="I38" s="5" t="n"/>
      <c r="J38" s="5" t="n"/>
      <c r="K38" s="10" t="n"/>
      <c r="L38" s="10" t="n"/>
      <c r="M38" s="5" t="n"/>
      <c r="N38" s="5" t="n"/>
      <c r="O38" s="5" t="n"/>
    </row>
    <row r="39">
      <c r="A39" s="10" t="inlineStr">
        <is>
          <t>Ozanimod 0.92 mg</t>
        </is>
      </c>
      <c r="B39" s="10" t="inlineStr">
        <is>
          <t>Ozanimod Hydrochloride</t>
        </is>
      </c>
      <c r="C39" s="10" t="n">
        <v>1</v>
      </c>
      <c r="D39" s="5" t="inlineStr">
        <is>
          <t>Capsule</t>
        </is>
      </c>
      <c r="E39" s="5" t="inlineStr">
        <is>
          <t>F19</t>
        </is>
      </c>
      <c r="F39" s="5" t="n"/>
      <c r="G39" s="5" t="n"/>
      <c r="H39" s="5" t="inlineStr">
        <is>
          <t>Marketed</t>
        </is>
      </c>
      <c r="I39" s="5" t="n"/>
      <c r="J39" s="5" t="n"/>
      <c r="K39" s="10" t="n"/>
      <c r="L39" s="10" t="n"/>
      <c r="M39" s="5" t="n"/>
      <c r="N39" s="5" t="n"/>
      <c r="O39" s="5" t="n"/>
    </row>
    <row r="40">
      <c r="A40" s="10" t="inlineStr">
        <is>
          <t>Flusip Cold and cough-Day</t>
        </is>
      </c>
      <c r="B40" s="10" t="inlineStr">
        <is>
          <t>Acetaminophen, Phenylephrine HCl (+2 more)</t>
        </is>
      </c>
      <c r="C40" s="10" t="n">
        <v>4</v>
      </c>
      <c r="D40" s="5" t="inlineStr">
        <is>
          <t>Tablet</t>
        </is>
      </c>
      <c r="E40" s="5" t="inlineStr">
        <is>
          <t>F20</t>
        </is>
      </c>
      <c r="F40" s="5" t="n"/>
      <c r="G40" s="5" t="n"/>
      <c r="H40" s="5" t="inlineStr">
        <is>
          <t>Marketed</t>
        </is>
      </c>
      <c r="I40" s="5" t="n"/>
      <c r="J40" s="5" t="n"/>
      <c r="K40" s="10" t="n"/>
      <c r="L40" s="10" t="n"/>
      <c r="M40" s="5" t="n"/>
      <c r="N40" s="5" t="n"/>
      <c r="O40" s="5" t="n"/>
    </row>
    <row r="41">
      <c r="A41" s="10" t="inlineStr">
        <is>
          <t>Flusip Cold and Cough-Day (Sugar Free)</t>
        </is>
      </c>
      <c r="B41" s="10" t="inlineStr">
        <is>
          <t>Acetaminophen, Phenylephrine HCl (+2 more)</t>
        </is>
      </c>
      <c r="C41" s="10" t="n">
        <v>4</v>
      </c>
      <c r="D41" s="5" t="inlineStr">
        <is>
          <t>Tablet</t>
        </is>
      </c>
      <c r="E41" s="5" t="inlineStr">
        <is>
          <t>F20</t>
        </is>
      </c>
      <c r="F41" s="5" t="n"/>
      <c r="G41" s="5" t="n"/>
      <c r="H41" s="5" t="inlineStr">
        <is>
          <t>Marketed</t>
        </is>
      </c>
      <c r="I41" s="5" t="n"/>
      <c r="J41" s="5" t="n"/>
      <c r="K41" s="10" t="n"/>
      <c r="L41" s="10" t="n"/>
      <c r="M41" s="5" t="n"/>
      <c r="N41" s="5" t="n"/>
      <c r="O41" s="5" t="n"/>
    </row>
    <row r="42">
      <c r="A42" s="10" t="inlineStr">
        <is>
          <t>Flusip Cold and Cough-Night</t>
        </is>
      </c>
      <c r="B42" s="10" t="inlineStr">
        <is>
          <t>Acetaminophen, Phenylephrine HCl (+2 more)</t>
        </is>
      </c>
      <c r="C42" s="10" t="n">
        <v>4</v>
      </c>
      <c r="D42" s="5" t="inlineStr">
        <is>
          <t>Tablet</t>
        </is>
      </c>
      <c r="E42" s="5" t="inlineStr">
        <is>
          <t>F20</t>
        </is>
      </c>
      <c r="F42" s="5" t="n"/>
      <c r="G42" s="5" t="n"/>
      <c r="H42" s="5" t="inlineStr">
        <is>
          <t>Marketed</t>
        </is>
      </c>
      <c r="I42" s="5" t="n"/>
      <c r="J42" s="5" t="n"/>
      <c r="K42" s="10" t="n"/>
      <c r="L42" s="10" t="n"/>
      <c r="M42" s="5" t="n"/>
      <c r="N42" s="5" t="n"/>
      <c r="O42" s="5" t="n"/>
    </row>
    <row r="43">
      <c r="A43" s="10" t="inlineStr">
        <is>
          <t>Flusip Cold &amp; Cough Night (Sugar Free)</t>
        </is>
      </c>
      <c r="B43" s="10" t="inlineStr">
        <is>
          <t>Acetaminophen, Phenylephrine HCl (+2 more)</t>
        </is>
      </c>
      <c r="C43" s="10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10" t="n"/>
      <c r="L43" s="10" t="n"/>
      <c r="M43" s="5" t="n"/>
      <c r="N43" s="5" t="n"/>
      <c r="O43" s="5" t="n"/>
    </row>
    <row r="44">
      <c r="A44" s="10" t="inlineStr">
        <is>
          <t>Flusip Cold and Flu</t>
        </is>
      </c>
      <c r="B44" s="10" t="inlineStr">
        <is>
          <t>Acetaminophen, Phenylephrine HCl (+1 more)</t>
        </is>
      </c>
      <c r="C44" s="10" t="n">
        <v>3</v>
      </c>
      <c r="D44" s="5" t="inlineStr">
        <is>
          <t>Tablet</t>
        </is>
      </c>
      <c r="E44" s="5" t="inlineStr">
        <is>
          <t>F21</t>
        </is>
      </c>
      <c r="F44" s="5" t="n"/>
      <c r="G44" s="5" t="n"/>
      <c r="H44" s="5" t="inlineStr">
        <is>
          <t>Marketed</t>
        </is>
      </c>
      <c r="I44" s="5" t="n"/>
      <c r="J44" s="5" t="n"/>
      <c r="K44" s="10" t="n"/>
      <c r="L44" s="10" t="n"/>
      <c r="M44" s="5" t="n"/>
      <c r="N44" s="5" t="n"/>
      <c r="O44" s="5" t="n"/>
    </row>
    <row r="45">
      <c r="A45" s="10" t="inlineStr">
        <is>
          <t>Flusip Cold and Flu (Sugar Free)</t>
        </is>
      </c>
      <c r="B45" s="10" t="inlineStr">
        <is>
          <t>Acetaminophen, Phenylephrine HCl (+1 more)</t>
        </is>
      </c>
      <c r="C45" s="10" t="n">
        <v>3</v>
      </c>
      <c r="D45" s="5" t="inlineStr">
        <is>
          <t>Tablet</t>
        </is>
      </c>
      <c r="E45" s="5" t="inlineStr">
        <is>
          <t>F21</t>
        </is>
      </c>
      <c r="F45" s="5" t="n"/>
      <c r="G45" s="5" t="n"/>
      <c r="H45" s="5" t="inlineStr">
        <is>
          <t>Marketed</t>
        </is>
      </c>
      <c r="I45" s="5" t="n"/>
      <c r="J45" s="5" t="n"/>
      <c r="K45" s="10" t="n"/>
      <c r="L45" s="10" t="n"/>
      <c r="M45" s="5" t="n"/>
      <c r="N45" s="5" t="n"/>
      <c r="O45" s="5" t="n"/>
    </row>
    <row r="46">
      <c r="A46" s="10" t="inlineStr">
        <is>
          <t>Flusip-C</t>
        </is>
      </c>
      <c r="B46" s="10" t="inlineStr">
        <is>
          <t>Not on record – define</t>
        </is>
      </c>
      <c r="C46" s="10" t="n">
        <v>0</v>
      </c>
      <c r="D46" s="5" t="inlineStr">
        <is>
          <t>Tablet</t>
        </is>
      </c>
      <c r="E46" s="5" t="inlineStr">
        <is>
          <t>F22</t>
        </is>
      </c>
      <c r="F46" s="5" t="n"/>
      <c r="G46" s="5" t="n"/>
      <c r="H46" s="5" t="inlineStr">
        <is>
          <t>Pipeline / no formula</t>
        </is>
      </c>
      <c r="I46" s="5" t="n"/>
      <c r="J46" s="5" t="n"/>
      <c r="K46" s="10" t="n"/>
      <c r="L46" s="10" t="n"/>
      <c r="M46" s="5" t="n"/>
      <c r="N46" s="5" t="n"/>
      <c r="O46" s="5" t="n"/>
    </row>
    <row r="47">
      <c r="A47" s="10" t="inlineStr">
        <is>
          <t>Empagliflozin 10 mg</t>
        </is>
      </c>
      <c r="B47" s="10" t="inlineStr">
        <is>
          <t>Empagliflozin</t>
        </is>
      </c>
      <c r="C47" s="10" t="n">
        <v>1</v>
      </c>
      <c r="D47" s="5" t="inlineStr">
        <is>
          <t>Tablet</t>
        </is>
      </c>
      <c r="E47" s="5" t="inlineStr">
        <is>
          <t>F23</t>
        </is>
      </c>
      <c r="F47" s="5" t="n"/>
      <c r="G47" s="5" t="n"/>
      <c r="H47" s="5" t="inlineStr">
        <is>
          <t>Marketed</t>
        </is>
      </c>
      <c r="I47" s="5" t="n"/>
      <c r="J47" s="5" t="n"/>
      <c r="K47" s="10" t="n"/>
      <c r="L47" s="10" t="n"/>
      <c r="M47" s="5" t="n"/>
      <c r="N47" s="5" t="n"/>
      <c r="O47" s="5" t="n"/>
    </row>
    <row r="48">
      <c r="A48" s="10" t="inlineStr">
        <is>
          <t>Empaglose 25</t>
        </is>
      </c>
      <c r="B48" s="10" t="inlineStr">
        <is>
          <t>Empagliflozin</t>
        </is>
      </c>
      <c r="C48" s="10" t="n">
        <v>1</v>
      </c>
      <c r="D48" s="5" t="inlineStr">
        <is>
          <t>Tablet</t>
        </is>
      </c>
      <c r="E48" s="5" t="inlineStr">
        <is>
          <t>F23</t>
        </is>
      </c>
      <c r="F48" s="5" t="n"/>
      <c r="G48" s="5" t="n"/>
      <c r="H48" s="5" t="inlineStr">
        <is>
          <t>Marketed</t>
        </is>
      </c>
      <c r="I48" s="5" t="n"/>
      <c r="J48" s="5" t="n"/>
      <c r="K48" s="10" t="n"/>
      <c r="L48" s="10" t="n"/>
      <c r="M48" s="5" t="n"/>
      <c r="N48" s="5" t="n"/>
      <c r="O48" s="5" t="n"/>
    </row>
    <row r="49">
      <c r="A49" s="10" t="inlineStr">
        <is>
          <t>Lixiban 2.5</t>
        </is>
      </c>
      <c r="B49" s="10" t="inlineStr">
        <is>
          <t>Apixaban</t>
        </is>
      </c>
      <c r="C49" s="10" t="n">
        <v>1</v>
      </c>
      <c r="D49" s="5" t="inlineStr">
        <is>
          <t>Tablet</t>
        </is>
      </c>
      <c r="E49" s="5" t="inlineStr">
        <is>
          <t>F24</t>
        </is>
      </c>
      <c r="F49" s="5" t="n"/>
      <c r="G49" s="5" t="n"/>
      <c r="H49" s="5" t="inlineStr">
        <is>
          <t>Marketed</t>
        </is>
      </c>
      <c r="I49" s="5" t="n"/>
      <c r="J49" s="5" t="n"/>
      <c r="K49" s="10" t="n"/>
      <c r="L49" s="10" t="n"/>
      <c r="M49" s="5" t="n"/>
      <c r="N49" s="5" t="n"/>
      <c r="O49" s="5" t="n"/>
    </row>
    <row r="50">
      <c r="A50" s="10" t="inlineStr">
        <is>
          <t>Lixiban 5</t>
        </is>
      </c>
      <c r="B50" s="10" t="inlineStr">
        <is>
          <t>Apixaban</t>
        </is>
      </c>
      <c r="C50" s="10" t="n">
        <v>1</v>
      </c>
      <c r="D50" s="5" t="inlineStr">
        <is>
          <t>Tablet</t>
        </is>
      </c>
      <c r="E50" s="5" t="inlineStr">
        <is>
          <t>F24</t>
        </is>
      </c>
      <c r="F50" s="5" t="n"/>
      <c r="G50" s="5" t="n"/>
      <c r="H50" s="5" t="inlineStr">
        <is>
          <t>Marketed</t>
        </is>
      </c>
      <c r="I50" s="5" t="n"/>
      <c r="J50" s="5" t="n"/>
      <c r="K50" s="10" t="n"/>
      <c r="L50" s="10" t="n"/>
      <c r="M50" s="5" t="n"/>
      <c r="N50" s="5" t="n"/>
      <c r="O50" s="5" t="n"/>
    </row>
    <row r="51">
      <c r="A51" s="10" t="inlineStr">
        <is>
          <t>Glose-lin 10/5</t>
        </is>
      </c>
      <c r="B51" s="10" t="inlineStr">
        <is>
          <t>Empagliflozin, Linagliptin</t>
        </is>
      </c>
      <c r="C51" s="10" t="n">
        <v>2</v>
      </c>
      <c r="D51" s="5" t="inlineStr">
        <is>
          <t>Tablet</t>
        </is>
      </c>
      <c r="E51" s="5" t="inlineStr">
        <is>
          <t>F25</t>
        </is>
      </c>
      <c r="F51" s="5" t="n"/>
      <c r="G51" s="5" t="n"/>
      <c r="H51" s="5" t="inlineStr">
        <is>
          <t>Marketed</t>
        </is>
      </c>
      <c r="I51" s="5" t="n"/>
      <c r="J51" s="5" t="n"/>
      <c r="K51" s="10" t="n"/>
      <c r="L51" s="10" t="n"/>
      <c r="M51" s="5" t="n"/>
      <c r="N51" s="5" t="n"/>
      <c r="O51" s="5" t="n"/>
    </row>
    <row r="52">
      <c r="A52" s="10" t="inlineStr">
        <is>
          <t>Glose-lin 25/5</t>
        </is>
      </c>
      <c r="B52" s="10" t="inlineStr">
        <is>
          <t>Empagliflozin, Linagliptin</t>
        </is>
      </c>
      <c r="C52" s="10" t="n">
        <v>2</v>
      </c>
      <c r="D52" s="5" t="inlineStr">
        <is>
          <t>Tablet</t>
        </is>
      </c>
      <c r="E52" s="5" t="inlineStr">
        <is>
          <t>F25</t>
        </is>
      </c>
      <c r="F52" s="5" t="n"/>
      <c r="G52" s="5" t="n"/>
      <c r="H52" s="5" t="inlineStr">
        <is>
          <t>Marketed</t>
        </is>
      </c>
      <c r="I52" s="5" t="n"/>
      <c r="J52" s="5" t="n"/>
      <c r="K52" s="10" t="n"/>
      <c r="L52" s="10" t="n"/>
      <c r="M52" s="5" t="n"/>
      <c r="N52" s="5" t="n"/>
      <c r="O52" s="5" t="n"/>
    </row>
    <row r="53">
      <c r="A53" s="10" t="inlineStr">
        <is>
          <t>TRILEMO ER 5-2.5-1000</t>
        </is>
      </c>
      <c r="B53" s="10" t="inlineStr">
        <is>
          <t>Metformin Hydrochloride, Empagliflozin (+1 more)</t>
        </is>
      </c>
      <c r="C53" s="10" t="n">
        <v>3</v>
      </c>
      <c r="D53" s="5" t="inlineStr">
        <is>
          <t>Tablet</t>
        </is>
      </c>
      <c r="E53" s="5" t="inlineStr">
        <is>
          <t>F26</t>
        </is>
      </c>
      <c r="F53" s="5" t="n"/>
      <c r="G53" s="5" t="n"/>
      <c r="H53" s="5" t="inlineStr">
        <is>
          <t>Marketed</t>
        </is>
      </c>
      <c r="I53" s="5" t="n"/>
      <c r="J53" s="5" t="n"/>
      <c r="K53" s="10" t="n"/>
      <c r="L53" s="10" t="n"/>
      <c r="M53" s="5" t="n"/>
      <c r="N53" s="5" t="n"/>
      <c r="O53" s="5" t="n"/>
    </row>
    <row r="54">
      <c r="A54" s="10" t="inlineStr">
        <is>
          <t>TRILEMO ER 10-5-1000</t>
        </is>
      </c>
      <c r="B54" s="10" t="inlineStr">
        <is>
          <t>Metformin Hydrochloride, Empagliflozin (+1 more)</t>
        </is>
      </c>
      <c r="C54" s="10" t="n">
        <v>3</v>
      </c>
      <c r="D54" s="5" t="inlineStr">
        <is>
          <t>Tablet</t>
        </is>
      </c>
      <c r="E54" s="5" t="inlineStr">
        <is>
          <t>F26</t>
        </is>
      </c>
      <c r="F54" s="5" t="n"/>
      <c r="G54" s="5" t="n"/>
      <c r="H54" s="5" t="inlineStr">
        <is>
          <t>Marketed</t>
        </is>
      </c>
      <c r="I54" s="5" t="n"/>
      <c r="J54" s="5" t="n"/>
      <c r="K54" s="10" t="n"/>
      <c r="L54" s="10" t="n"/>
      <c r="M54" s="5" t="n"/>
      <c r="N54" s="5" t="n"/>
      <c r="O54" s="5" t="n"/>
    </row>
    <row r="55">
      <c r="A55" s="10" t="inlineStr">
        <is>
          <t>TRILEMO ER 12.5-2.5-1000</t>
        </is>
      </c>
      <c r="B55" s="10" t="inlineStr">
        <is>
          <t>Metformin Hydrochloride, Empagliflozin (+1 more)</t>
        </is>
      </c>
      <c r="C55" s="10" t="n">
        <v>3</v>
      </c>
      <c r="D55" s="5" t="inlineStr">
        <is>
          <t>Tablet</t>
        </is>
      </c>
      <c r="E55" s="5" t="inlineStr">
        <is>
          <t>F26</t>
        </is>
      </c>
      <c r="F55" s="5" t="n"/>
      <c r="G55" s="5" t="n"/>
      <c r="H55" s="5" t="inlineStr">
        <is>
          <t>Marketed</t>
        </is>
      </c>
      <c r="I55" s="5" t="n"/>
      <c r="J55" s="5" t="n"/>
      <c r="K55" s="10" t="n"/>
      <c r="L55" s="10" t="n"/>
      <c r="M55" s="5" t="n"/>
      <c r="N55" s="5" t="n"/>
      <c r="O55" s="5" t="n"/>
    </row>
    <row r="56">
      <c r="A56" s="10" t="inlineStr">
        <is>
          <t>TRILEMO ER 25-5-1000</t>
        </is>
      </c>
      <c r="B56" s="10" t="inlineStr">
        <is>
          <t>Metformin Hydrochloride, Empagliflozin (+1 more)</t>
        </is>
      </c>
      <c r="C56" s="10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10" t="n"/>
      <c r="L56" s="10" t="n"/>
      <c r="M56" s="5" t="n"/>
      <c r="N56" s="5" t="n"/>
      <c r="O56" s="5" t="n"/>
    </row>
    <row r="57">
      <c r="A57" s="10" t="inlineStr">
        <is>
          <t>Emet-Duo 5/1000 ER</t>
        </is>
      </c>
      <c r="B57" s="10" t="inlineStr">
        <is>
          <t>Metformin Hydrochloride, Empagliflozin</t>
        </is>
      </c>
      <c r="C57" s="10" t="n">
        <v>2</v>
      </c>
      <c r="D57" s="5" t="inlineStr">
        <is>
          <t>Tablet</t>
        </is>
      </c>
      <c r="E57" s="5" t="inlineStr">
        <is>
          <t>F27</t>
        </is>
      </c>
      <c r="F57" s="5" t="n"/>
      <c r="G57" s="5" t="n"/>
      <c r="H57" s="5" t="inlineStr">
        <is>
          <t>Marketed</t>
        </is>
      </c>
      <c r="I57" s="5" t="n"/>
      <c r="J57" s="5" t="n"/>
      <c r="K57" s="10" t="n"/>
      <c r="L57" s="10" t="n"/>
      <c r="M57" s="5" t="n"/>
      <c r="N57" s="5" t="n"/>
      <c r="O57" s="5" t="n"/>
    </row>
    <row r="58">
      <c r="A58" s="10" t="inlineStr">
        <is>
          <t>Emet-Duo 10/1000 ER</t>
        </is>
      </c>
      <c r="B58" s="10" t="inlineStr">
        <is>
          <t>Metformin Hydrochloride, Empagliflozin</t>
        </is>
      </c>
      <c r="C58" s="10" t="n">
        <v>2</v>
      </c>
      <c r="D58" s="5" t="inlineStr">
        <is>
          <t>Tablet</t>
        </is>
      </c>
      <c r="E58" s="5" t="inlineStr">
        <is>
          <t>F27</t>
        </is>
      </c>
      <c r="F58" s="5" t="n"/>
      <c r="G58" s="5" t="n"/>
      <c r="H58" s="5" t="inlineStr">
        <is>
          <t>Marketed</t>
        </is>
      </c>
      <c r="I58" s="5" t="n"/>
      <c r="J58" s="5" t="n"/>
      <c r="K58" s="10" t="n"/>
      <c r="L58" s="10" t="n"/>
      <c r="M58" s="5" t="n"/>
      <c r="N58" s="5" t="n"/>
      <c r="O58" s="5" t="n"/>
    </row>
    <row r="59">
      <c r="A59" s="10" t="inlineStr">
        <is>
          <t>Emet-Duo 12.5/1000 ER</t>
        </is>
      </c>
      <c r="B59" s="10" t="inlineStr">
        <is>
          <t>Metformin Hydrochloride, Empagliflozin</t>
        </is>
      </c>
      <c r="C59" s="10" t="n">
        <v>2</v>
      </c>
      <c r="D59" s="5" t="inlineStr">
        <is>
          <t>Tablet</t>
        </is>
      </c>
      <c r="E59" s="5" t="inlineStr">
        <is>
          <t>F27</t>
        </is>
      </c>
      <c r="F59" s="5" t="n"/>
      <c r="G59" s="5" t="n"/>
      <c r="H59" s="5" t="inlineStr">
        <is>
          <t>Marketed</t>
        </is>
      </c>
      <c r="I59" s="5" t="n"/>
      <c r="J59" s="5" t="n"/>
      <c r="K59" s="10" t="n"/>
      <c r="L59" s="10" t="n"/>
      <c r="M59" s="5" t="n"/>
      <c r="N59" s="5" t="n"/>
      <c r="O59" s="5" t="n"/>
    </row>
    <row r="60">
      <c r="A60" s="10" t="inlineStr">
        <is>
          <t>Emet-Duo 25/1000 ER</t>
        </is>
      </c>
      <c r="B60" s="10" t="inlineStr">
        <is>
          <t>Metformin Hydrochloride, Empagliflozin</t>
        </is>
      </c>
      <c r="C60" s="10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10" t="n"/>
      <c r="L60" s="10" t="n"/>
      <c r="M60" s="5" t="n"/>
      <c r="N60" s="5" t="n"/>
      <c r="O60" s="5" t="n"/>
    </row>
    <row r="61">
      <c r="A61" s="10" t="inlineStr">
        <is>
          <t>Emet-Duo 12.5/1000</t>
        </is>
      </c>
      <c r="B61" s="10" t="inlineStr">
        <is>
          <t>Not on record – define</t>
        </is>
      </c>
      <c r="C61" s="10" t="n">
        <v>0</v>
      </c>
      <c r="D61" s="5" t="inlineStr">
        <is>
          <t>Tablet</t>
        </is>
      </c>
      <c r="E61" s="5" t="inlineStr">
        <is>
          <t>F28</t>
        </is>
      </c>
      <c r="F61" s="5" t="n"/>
      <c r="G61" s="5" t="n"/>
      <c r="H61" s="5" t="inlineStr">
        <is>
          <t>Pipeline / no formula</t>
        </is>
      </c>
      <c r="I61" s="5" t="n"/>
      <c r="J61" s="5" t="n"/>
      <c r="K61" s="10" t="n"/>
      <c r="L61" s="10" t="n"/>
      <c r="M61" s="5" t="n"/>
      <c r="N61" s="5" t="n"/>
      <c r="O61" s="5" t="n"/>
    </row>
    <row r="62">
      <c r="A62" s="10" t="inlineStr">
        <is>
          <t>Emet-Duo 5/1000</t>
        </is>
      </c>
      <c r="B62" s="10" t="inlineStr">
        <is>
          <t>Empagliflozin, Metformin Hydrochloride</t>
        </is>
      </c>
      <c r="C62" s="10" t="n">
        <v>2</v>
      </c>
      <c r="D62" s="5" t="inlineStr">
        <is>
          <t>Tablet</t>
        </is>
      </c>
      <c r="E62" s="5" t="inlineStr">
        <is>
          <t>F28</t>
        </is>
      </c>
      <c r="F62" s="5" t="n"/>
      <c r="G62" s="5" t="n"/>
      <c r="H62" s="5" t="inlineStr">
        <is>
          <t>Marketed</t>
        </is>
      </c>
      <c r="I62" s="5" t="n"/>
      <c r="J62" s="5" t="n"/>
      <c r="K62" s="10" t="n"/>
      <c r="L62" s="10" t="n"/>
      <c r="M62" s="5" t="n"/>
      <c r="N62" s="5" t="n"/>
      <c r="O62" s="5" t="n"/>
    </row>
    <row r="63">
      <c r="A63" s="10" t="inlineStr">
        <is>
          <t>Emet-Duo 12.5/500</t>
        </is>
      </c>
      <c r="B63" s="10" t="inlineStr">
        <is>
          <t>Empagliflozin, Metformin Hydrochloride</t>
        </is>
      </c>
      <c r="C63" s="10" t="n">
        <v>2</v>
      </c>
      <c r="D63" s="5" t="inlineStr">
        <is>
          <t>Tablet</t>
        </is>
      </c>
      <c r="E63" s="5" t="inlineStr">
        <is>
          <t>F28</t>
        </is>
      </c>
      <c r="F63" s="5" t="n"/>
      <c r="G63" s="5" t="n"/>
      <c r="H63" s="5" t="inlineStr">
        <is>
          <t>Marketed</t>
        </is>
      </c>
      <c r="I63" s="5" t="n"/>
      <c r="J63" s="5" t="n"/>
      <c r="K63" s="10" t="n"/>
      <c r="L63" s="10" t="n"/>
      <c r="M63" s="5" t="n"/>
      <c r="N63" s="5" t="n"/>
      <c r="O63" s="5" t="n"/>
    </row>
    <row r="64">
      <c r="A64" s="10" t="inlineStr">
        <is>
          <t>Emet-Duo 5/500</t>
        </is>
      </c>
      <c r="B64" s="10" t="inlineStr">
        <is>
          <t>Empagliflozin, Metformin Hydrochloride</t>
        </is>
      </c>
      <c r="C64" s="10" t="n">
        <v>2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Marketed</t>
        </is>
      </c>
      <c r="I64" s="5" t="n"/>
      <c r="J64" s="5" t="n"/>
      <c r="K64" s="10" t="n"/>
      <c r="L64" s="10" t="n"/>
      <c r="M64" s="5" t="n"/>
      <c r="N64" s="5" t="n"/>
      <c r="O64" s="5" t="n"/>
    </row>
    <row r="65">
      <c r="A65" s="10" t="inlineStr">
        <is>
          <t>Citicoline 500</t>
        </is>
      </c>
      <c r="B65" s="10" t="inlineStr">
        <is>
          <t>Citicoline Sodium</t>
        </is>
      </c>
      <c r="C65" s="10" t="n">
        <v>1</v>
      </c>
      <c r="D65" s="5" t="inlineStr">
        <is>
          <t>Tablet</t>
        </is>
      </c>
      <c r="E65" s="5" t="inlineStr">
        <is>
          <t>F29</t>
        </is>
      </c>
      <c r="F65" s="5" t="n"/>
      <c r="G65" s="5" t="n"/>
      <c r="H65" s="5" t="inlineStr">
        <is>
          <t>Marketed</t>
        </is>
      </c>
      <c r="I65" s="5" t="n"/>
      <c r="J65" s="5" t="n"/>
      <c r="K65" s="10" t="n"/>
      <c r="L65" s="10" t="n"/>
      <c r="M65" s="5" t="n"/>
      <c r="N65" s="5" t="n"/>
      <c r="O65" s="5" t="n"/>
    </row>
    <row r="66">
      <c r="A66" s="10" t="inlineStr">
        <is>
          <t>NMN</t>
        </is>
      </c>
      <c r="B66" s="10" t="inlineStr">
        <is>
          <t>Nicotinamide Mononucleotide (NMN) Granule</t>
        </is>
      </c>
      <c r="C66" s="10" t="n">
        <v>1</v>
      </c>
      <c r="D66" s="5" t="inlineStr">
        <is>
          <t>Tablet</t>
        </is>
      </c>
      <c r="E66" s="5" t="inlineStr">
        <is>
          <t>F30</t>
        </is>
      </c>
      <c r="F66" s="5" t="n"/>
      <c r="G66" s="5" t="n"/>
      <c r="H66" s="5" t="inlineStr">
        <is>
          <t>Marketed</t>
        </is>
      </c>
      <c r="I66" s="5" t="n"/>
      <c r="J66" s="5" t="n"/>
      <c r="K66" s="10" t="n"/>
      <c r="L66" s="10" t="n"/>
      <c r="M66" s="5" t="n"/>
      <c r="N66" s="5" t="n"/>
      <c r="O66" s="5" t="n"/>
    </row>
    <row r="67">
      <c r="A67" s="10" t="inlineStr">
        <is>
          <t>L-Arginine 1000</t>
        </is>
      </c>
      <c r="B67" s="10" t="inlineStr">
        <is>
          <t>L-Arginine</t>
        </is>
      </c>
      <c r="C67" s="10" t="n">
        <v>1</v>
      </c>
      <c r="D67" s="5" t="inlineStr">
        <is>
          <t>Tablet</t>
        </is>
      </c>
      <c r="E67" s="5" t="inlineStr">
        <is>
          <t>F31</t>
        </is>
      </c>
      <c r="F67" s="5" t="n"/>
      <c r="G67" s="5" t="n"/>
      <c r="H67" s="5" t="inlineStr">
        <is>
          <t>Marketed</t>
        </is>
      </c>
      <c r="I67" s="5" t="n"/>
      <c r="J67" s="5" t="n"/>
      <c r="K67" s="10" t="n"/>
      <c r="L67" s="10" t="n"/>
      <c r="M67" s="5" t="n"/>
      <c r="N67" s="5" t="n"/>
      <c r="O67" s="5" t="n"/>
    </row>
    <row r="68">
      <c r="A68" s="10" t="inlineStr">
        <is>
          <t>L-Arginine 2000</t>
        </is>
      </c>
      <c r="B68" s="10" t="inlineStr">
        <is>
          <t>L-Arginine</t>
        </is>
      </c>
      <c r="C68" s="10" t="n">
        <v>1</v>
      </c>
      <c r="D68" s="5" t="inlineStr">
        <is>
          <t>Tablet</t>
        </is>
      </c>
      <c r="E68" s="5" t="inlineStr">
        <is>
          <t>F31</t>
        </is>
      </c>
      <c r="F68" s="5" t="n"/>
      <c r="G68" s="5" t="n"/>
      <c r="H68" s="5" t="inlineStr">
        <is>
          <t>Marketed</t>
        </is>
      </c>
      <c r="I68" s="5" t="n"/>
      <c r="J68" s="5" t="n"/>
      <c r="K68" s="10" t="n"/>
      <c r="L68" s="10" t="n"/>
      <c r="M68" s="5" t="n"/>
      <c r="N68" s="5" t="n"/>
      <c r="O68" s="5" t="n"/>
    </row>
    <row r="69">
      <c r="A69" s="10" t="inlineStr">
        <is>
          <t>L-Carnitine 1000/10</t>
        </is>
      </c>
      <c r="B69" s="10" t="inlineStr">
        <is>
          <t>L-Carnitine (Base)</t>
        </is>
      </c>
      <c r="C69" s="10" t="n">
        <v>1</v>
      </c>
      <c r="D69" s="5" t="inlineStr">
        <is>
          <t>Tablet</t>
        </is>
      </c>
      <c r="E69" s="5" t="inlineStr">
        <is>
          <t>F32</t>
        </is>
      </c>
      <c r="F69" s="5" t="n"/>
      <c r="G69" s="5" t="n"/>
      <c r="H69" s="5" t="inlineStr">
        <is>
          <t>Marketed</t>
        </is>
      </c>
      <c r="I69" s="5" t="n"/>
      <c r="J69" s="5" t="n"/>
      <c r="K69" s="10" t="n"/>
      <c r="L69" s="10" t="n"/>
      <c r="M69" s="5" t="n"/>
      <c r="N69" s="5" t="n"/>
      <c r="O69" s="5" t="n"/>
    </row>
    <row r="70">
      <c r="A70" s="10" t="inlineStr">
        <is>
          <t>L-Carnitine 2000/10</t>
        </is>
      </c>
      <c r="B70" s="10" t="inlineStr">
        <is>
          <t>L-Carnitine (Base)</t>
        </is>
      </c>
      <c r="C70" s="10" t="n">
        <v>1</v>
      </c>
      <c r="D70" s="5" t="inlineStr">
        <is>
          <t>Tablet</t>
        </is>
      </c>
      <c r="E70" s="5" t="inlineStr">
        <is>
          <t>F32</t>
        </is>
      </c>
      <c r="F70" s="5" t="n"/>
      <c r="G70" s="5" t="n"/>
      <c r="H70" s="5" t="inlineStr">
        <is>
          <t>Marketed</t>
        </is>
      </c>
      <c r="I70" s="5" t="n"/>
      <c r="J70" s="5" t="n"/>
      <c r="K70" s="10" t="n"/>
      <c r="L70" s="10" t="n"/>
      <c r="M70" s="5" t="n"/>
      <c r="N70" s="5" t="n"/>
      <c r="O70" s="5" t="n"/>
    </row>
    <row r="71">
      <c r="A71" s="10" t="inlineStr">
        <is>
          <t>L-Carnitine Caffeine</t>
        </is>
      </c>
      <c r="B71" s="10" t="inlineStr">
        <is>
          <t>L-Carnitine (Base), Caffeine (Base) (+3 more)</t>
        </is>
      </c>
      <c r="C71" s="10" t="n">
        <v>5</v>
      </c>
      <c r="D71" s="5" t="inlineStr">
        <is>
          <t>Tablet</t>
        </is>
      </c>
      <c r="E71" s="5" t="inlineStr">
        <is>
          <t>F33</t>
        </is>
      </c>
      <c r="F71" s="5" t="n"/>
      <c r="G71" s="5" t="n"/>
      <c r="H71" s="5" t="inlineStr">
        <is>
          <t>Marketed</t>
        </is>
      </c>
      <c r="I71" s="5" t="n"/>
      <c r="J71" s="5" t="n"/>
      <c r="K71" s="10" t="n"/>
      <c r="L71" s="10" t="n"/>
      <c r="M71" s="5" t="n"/>
      <c r="N71" s="5" t="n"/>
      <c r="O71" s="5" t="n"/>
    </row>
    <row r="72">
      <c r="A72" s="10" t="inlineStr">
        <is>
          <t>B-Complex</t>
        </is>
      </c>
      <c r="B72" s="10" t="inlineStr">
        <is>
          <t>Cyanocobalamin (Vitamin B12), Thiamine Hydrochloride (Vitamin B1) (+6 more)</t>
        </is>
      </c>
      <c r="C72" s="10" t="n">
        <v>8</v>
      </c>
      <c r="D72" s="5" t="inlineStr">
        <is>
          <t>Tablet</t>
        </is>
      </c>
      <c r="E72" s="5" t="inlineStr">
        <is>
          <t>F34</t>
        </is>
      </c>
      <c r="F72" s="5" t="n"/>
      <c r="G72" s="5" t="n"/>
      <c r="H72" s="5" t="inlineStr">
        <is>
          <t>Marketed</t>
        </is>
      </c>
      <c r="I72" s="5" t="n"/>
      <c r="J72" s="5" t="n"/>
      <c r="K72" s="10" t="n"/>
      <c r="L72" s="10" t="n"/>
      <c r="M72" s="5" t="n"/>
      <c r="N72" s="5" t="n"/>
      <c r="O72" s="5" t="n"/>
    </row>
    <row r="73">
      <c r="A73" s="10" t="inlineStr">
        <is>
          <t>Sachet Vitamin B12</t>
        </is>
      </c>
      <c r="B73" s="10" t="inlineStr">
        <is>
          <t>Cyanocobalamin (Vitamin B12)</t>
        </is>
      </c>
      <c r="C73" s="10" t="n">
        <v>1</v>
      </c>
      <c r="D73" s="5" t="inlineStr">
        <is>
          <t>Sachet</t>
        </is>
      </c>
      <c r="E73" s="5" t="inlineStr">
        <is>
          <t>F35</t>
        </is>
      </c>
      <c r="F73" s="5" t="n"/>
      <c r="G73" s="5" t="n"/>
      <c r="H73" s="5" t="inlineStr">
        <is>
          <t>Marketed</t>
        </is>
      </c>
      <c r="I73" s="5" t="n"/>
      <c r="J73" s="5" t="n"/>
      <c r="K73" s="10" t="n"/>
      <c r="L73" s="10" t="n"/>
      <c r="M73" s="5" t="n"/>
      <c r="N73" s="5" t="n"/>
      <c r="O73" s="5" t="n"/>
    </row>
    <row r="74">
      <c r="A74" s="10" t="inlineStr">
        <is>
          <t>Ca+k+D3</t>
        </is>
      </c>
      <c r="B74" s="10" t="inlineStr">
        <is>
          <t>Calcium Carbonate, Vitamin D3 (+1 more)</t>
        </is>
      </c>
      <c r="C74" s="10" t="n">
        <v>3</v>
      </c>
      <c r="D74" s="5" t="inlineStr">
        <is>
          <t>Tablet</t>
        </is>
      </c>
      <c r="E74" s="5" t="inlineStr">
        <is>
          <t>F36</t>
        </is>
      </c>
      <c r="F74" s="5" t="n"/>
      <c r="G74" s="5" t="n"/>
      <c r="H74" s="5" t="inlineStr">
        <is>
          <t>Marketed</t>
        </is>
      </c>
      <c r="I74" s="5" t="n"/>
      <c r="J74" s="5" t="n"/>
      <c r="K74" s="10" t="n"/>
      <c r="L74" s="10" t="n"/>
      <c r="M74" s="5" t="n"/>
      <c r="N74" s="5" t="n"/>
      <c r="O74" s="5" t="n"/>
    </row>
    <row r="75">
      <c r="A75" s="10" t="inlineStr">
        <is>
          <t>Zinc+Vitamin C</t>
        </is>
      </c>
      <c r="B75" s="10" t="inlineStr">
        <is>
          <t>Not on record – define</t>
        </is>
      </c>
      <c r="C75" s="10" t="n">
        <v>0</v>
      </c>
      <c r="D75" s="5" t="inlineStr">
        <is>
          <t>Tablet</t>
        </is>
      </c>
      <c r="E75" s="5" t="inlineStr">
        <is>
          <t>F37</t>
        </is>
      </c>
      <c r="F75" s="5" t="n"/>
      <c r="G75" s="5" t="n"/>
      <c r="H75" s="5" t="inlineStr">
        <is>
          <t>Pipeline / no formula</t>
        </is>
      </c>
      <c r="I75" s="5" t="n"/>
      <c r="J75" s="5" t="n"/>
      <c r="K75" s="10" t="n"/>
      <c r="L75" s="10" t="n"/>
      <c r="M75" s="5" t="n"/>
      <c r="N75" s="5" t="n"/>
      <c r="O75" s="5" t="n"/>
    </row>
    <row r="76">
      <c r="A76" s="10" t="inlineStr">
        <is>
          <t>Vitamin C 1000 mg</t>
        </is>
      </c>
      <c r="B76" s="10" t="inlineStr">
        <is>
          <t>Ascorbic Acid Coated 97%</t>
        </is>
      </c>
      <c r="C76" s="10" t="n">
        <v>1</v>
      </c>
      <c r="D76" s="5" t="inlineStr">
        <is>
          <t>Tablet</t>
        </is>
      </c>
      <c r="E76" s="5" t="inlineStr">
        <is>
          <t>F38</t>
        </is>
      </c>
      <c r="F76" s="5" t="n"/>
      <c r="G76" s="5" t="n"/>
      <c r="H76" s="5" t="inlineStr">
        <is>
          <t>Marketed</t>
        </is>
      </c>
      <c r="I76" s="5" t="n"/>
      <c r="J76" s="5" t="n"/>
      <c r="K76" s="10" t="n"/>
      <c r="L76" s="10" t="n"/>
      <c r="M76" s="5" t="n"/>
      <c r="N76" s="5" t="n"/>
      <c r="O76" s="5" t="n"/>
    </row>
    <row r="77">
      <c r="A77" s="10" t="inlineStr">
        <is>
          <t>Magnesium Oxide</t>
        </is>
      </c>
      <c r="B77" s="10" t="inlineStr">
        <is>
          <t>Magnesium Oxide Heavy</t>
        </is>
      </c>
      <c r="C77" s="10" t="n">
        <v>1</v>
      </c>
      <c r="D77" s="5" t="inlineStr">
        <is>
          <t>Tablet</t>
        </is>
      </c>
      <c r="E77" s="5" t="inlineStr">
        <is>
          <t>F39</t>
        </is>
      </c>
      <c r="F77" s="5" t="n"/>
      <c r="G77" s="5" t="n"/>
      <c r="H77" s="5" t="inlineStr">
        <is>
          <t>Marketed</t>
        </is>
      </c>
      <c r="I77" s="5" t="n"/>
      <c r="J77" s="5" t="n"/>
      <c r="K77" s="10" t="n"/>
      <c r="L77" s="10" t="n"/>
      <c r="M77" s="5" t="n"/>
      <c r="N77" s="5" t="n"/>
      <c r="O77" s="5" t="n"/>
    </row>
    <row r="78">
      <c r="A78" s="10" t="inlineStr">
        <is>
          <t>Magni D</t>
        </is>
      </c>
      <c r="B78" s="10" t="inlineStr">
        <is>
          <t>Magnesium Oxide Heavy, Thiamine Hydrochloride (Vitamin B1) (+2 more)</t>
        </is>
      </c>
      <c r="C78" s="10" t="n">
        <v>4</v>
      </c>
      <c r="D78" s="5" t="inlineStr">
        <is>
          <t>Tablet</t>
        </is>
      </c>
      <c r="E78" s="5" t="inlineStr">
        <is>
          <t>F40</t>
        </is>
      </c>
      <c r="F78" s="5" t="n"/>
      <c r="G78" s="5" t="n"/>
      <c r="H78" s="5" t="inlineStr">
        <is>
          <t>Marketed</t>
        </is>
      </c>
      <c r="I78" s="5" t="n"/>
      <c r="J78" s="5" t="n"/>
      <c r="K78" s="10" t="n"/>
      <c r="L78" s="10" t="n"/>
      <c r="M78" s="5" t="n"/>
      <c r="N78" s="5" t="n"/>
      <c r="O78" s="5" t="n"/>
    </row>
    <row r="79">
      <c r="A79" s="10" t="inlineStr">
        <is>
          <t>Sweet Sleep</t>
        </is>
      </c>
      <c r="B79" s="10" t="inlineStr">
        <is>
          <t>Not on record – define</t>
        </is>
      </c>
      <c r="C79" s="10" t="n">
        <v>0</v>
      </c>
      <c r="D79" s="5" t="inlineStr">
        <is>
          <t>Tablet</t>
        </is>
      </c>
      <c r="E79" s="5" t="inlineStr">
        <is>
          <t>F41</t>
        </is>
      </c>
      <c r="F79" s="5" t="n"/>
      <c r="G79" s="5" t="n"/>
      <c r="H79" s="5" t="inlineStr">
        <is>
          <t>Pipeline / no formula</t>
        </is>
      </c>
      <c r="I79" s="5" t="n"/>
      <c r="J79" s="5" t="n"/>
      <c r="K79" s="10" t="n"/>
      <c r="L79" s="10" t="n"/>
      <c r="M79" s="5" t="n"/>
      <c r="N79" s="5" t="n"/>
      <c r="O79" s="5" t="n"/>
    </row>
    <row r="80">
      <c r="A80" s="10" t="inlineStr">
        <is>
          <t>Ferrikid</t>
        </is>
      </c>
      <c r="B80" s="10" t="inlineStr">
        <is>
          <t>Not on record – define</t>
        </is>
      </c>
      <c r="C80" s="10" t="n">
        <v>0</v>
      </c>
      <c r="D80" s="5" t="inlineStr">
        <is>
          <t>Tablet</t>
        </is>
      </c>
      <c r="E80" s="5" t="inlineStr">
        <is>
          <t>F42</t>
        </is>
      </c>
      <c r="F80" s="5" t="n"/>
      <c r="G80" s="5" t="n"/>
      <c r="H80" s="5" t="inlineStr">
        <is>
          <t>Pipeline / no formula</t>
        </is>
      </c>
      <c r="I80" s="5" t="n"/>
      <c r="J80" s="5" t="n"/>
      <c r="K80" s="10" t="n"/>
      <c r="L80" s="10" t="n"/>
      <c r="M80" s="5" t="n"/>
      <c r="N80" s="5" t="n"/>
      <c r="O80" s="5" t="n"/>
    </row>
    <row r="81">
      <c r="A81" s="10" t="inlineStr">
        <is>
          <t>Painlys</t>
        </is>
      </c>
      <c r="B81" s="10" t="inlineStr">
        <is>
          <t>Ginger Dry Extract 5:1, Devil's Claw Dry Extract 6:1 (+1 more)</t>
        </is>
      </c>
      <c r="C81" s="10" t="n">
        <v>3</v>
      </c>
      <c r="D81" s="5" t="inlineStr">
        <is>
          <t>Tablet</t>
        </is>
      </c>
      <c r="E81" s="5" t="inlineStr">
        <is>
          <t>F43</t>
        </is>
      </c>
      <c r="F81" s="5" t="n"/>
      <c r="G81" s="5" t="n"/>
      <c r="H81" s="5" t="inlineStr">
        <is>
          <t>Marketed</t>
        </is>
      </c>
      <c r="I81" s="5" t="n"/>
      <c r="J81" s="5" t="n"/>
      <c r="K81" s="10" t="n"/>
      <c r="L81" s="10" t="n"/>
      <c r="M81" s="5" t="n"/>
      <c r="N81" s="5" t="n"/>
      <c r="O81" s="5" t="n"/>
    </row>
    <row r="82">
      <c r="A82" s="10" t="inlineStr">
        <is>
          <t>Feroral Premium</t>
        </is>
      </c>
      <c r="B82" s="10" t="inlineStr">
        <is>
          <t>Ferrous Bisglycinate, Folic Acid (Vitamin B9) (+2 more)</t>
        </is>
      </c>
      <c r="C82" s="10" t="n">
        <v>4</v>
      </c>
      <c r="D82" s="5" t="inlineStr">
        <is>
          <t>Tablet</t>
        </is>
      </c>
      <c r="E82" s="5" t="inlineStr">
        <is>
          <t>F44</t>
        </is>
      </c>
      <c r="F82" s="5" t="n"/>
      <c r="G82" s="5" t="n"/>
      <c r="H82" s="5" t="inlineStr">
        <is>
          <t>Marketed</t>
        </is>
      </c>
      <c r="I82" s="5" t="n"/>
      <c r="J82" s="5" t="n"/>
      <c r="K82" s="10" t="n"/>
      <c r="L82" s="10" t="n"/>
      <c r="M82" s="5" t="n"/>
      <c r="N82" s="5" t="n"/>
      <c r="O82" s="5" t="n"/>
    </row>
    <row r="83">
      <c r="A83" s="10" t="inlineStr">
        <is>
          <t>Ginc Active</t>
        </is>
      </c>
      <c r="B83" s="10" t="inlineStr">
        <is>
          <t>Ginkgo Biloba Leaf Dry Extract 50:1, Calcium Carbonate Heavy</t>
        </is>
      </c>
      <c r="C83" s="10" t="n">
        <v>2</v>
      </c>
      <c r="D83" s="5" t="inlineStr">
        <is>
          <t>Tablet</t>
        </is>
      </c>
      <c r="E83" s="5" t="inlineStr">
        <is>
          <t>F45</t>
        </is>
      </c>
      <c r="F83" s="5" t="n"/>
      <c r="G83" s="5" t="n"/>
      <c r="H83" s="5" t="inlineStr">
        <is>
          <t>Marketed</t>
        </is>
      </c>
      <c r="I83" s="5" t="n"/>
      <c r="J83" s="5" t="n"/>
      <c r="K83" s="10" t="n"/>
      <c r="L83" s="10" t="n"/>
      <c r="M83" s="5" t="n"/>
      <c r="N83" s="5" t="n"/>
      <c r="O83" s="5" t="n"/>
    </row>
    <row r="84">
      <c r="A84" s="10" t="inlineStr">
        <is>
          <t>URomax</t>
        </is>
      </c>
      <c r="B84" s="10" t="inlineStr">
        <is>
          <t>Cranberry Dry Extract 25:1, Ascorbic Acid Coated 97%</t>
        </is>
      </c>
      <c r="C84" s="10" t="n">
        <v>2</v>
      </c>
      <c r="D84" s="5" t="inlineStr">
        <is>
          <t>Tablet</t>
        </is>
      </c>
      <c r="E84" s="5" t="inlineStr">
        <is>
          <t>F46</t>
        </is>
      </c>
      <c r="F84" s="5" t="n"/>
      <c r="G84" s="5" t="n"/>
      <c r="H84" s="5" t="inlineStr">
        <is>
          <t>Marketed</t>
        </is>
      </c>
      <c r="I84" s="5" t="n"/>
      <c r="J84" s="5" t="n"/>
      <c r="K84" s="10" t="n"/>
      <c r="L84" s="10" t="n"/>
      <c r="M84" s="5" t="n"/>
      <c r="N84" s="5" t="n"/>
      <c r="O84" s="5" t="n"/>
    </row>
    <row r="85">
      <c r="A85" s="10" t="inlineStr">
        <is>
          <t>Uromax Sachet</t>
        </is>
      </c>
      <c r="B85" s="10" t="inlineStr">
        <is>
          <t>Cranberry Dry Extract 25:1, Ascorbic Acid Coated 97%</t>
        </is>
      </c>
      <c r="C85" s="10" t="n">
        <v>2</v>
      </c>
      <c r="D85" s="5" t="inlineStr">
        <is>
          <t>Sachet</t>
        </is>
      </c>
      <c r="E85" s="5" t="inlineStr">
        <is>
          <t>F46</t>
        </is>
      </c>
      <c r="F85" s="5" t="n"/>
      <c r="G85" s="5" t="n"/>
      <c r="H85" s="5" t="inlineStr">
        <is>
          <t>Marketed</t>
        </is>
      </c>
      <c r="I85" s="5" t="n"/>
      <c r="J85" s="5" t="n"/>
      <c r="K85" s="10" t="n"/>
      <c r="L85" s="10" t="n"/>
      <c r="M85" s="5" t="n"/>
      <c r="N85" s="5" t="n"/>
      <c r="O85" s="5" t="n"/>
    </row>
    <row r="86">
      <c r="A86" s="10" t="inlineStr">
        <is>
          <t>Healthy Liver</t>
        </is>
      </c>
      <c r="B86" s="10" t="inlineStr">
        <is>
          <t>Milk Thistle Dry Extract 70:1, Artichoke Dry Extract 25:1 (+4 more)</t>
        </is>
      </c>
      <c r="C86" s="10" t="n">
        <v>6</v>
      </c>
      <c r="D86" s="5" t="inlineStr">
        <is>
          <t>Tablet</t>
        </is>
      </c>
      <c r="E86" s="5" t="inlineStr">
        <is>
          <t>F47</t>
        </is>
      </c>
      <c r="F86" s="5" t="n"/>
      <c r="G86" s="5" t="n"/>
      <c r="H86" s="5" t="inlineStr">
        <is>
          <t>Marketed</t>
        </is>
      </c>
      <c r="I86" s="5" t="n"/>
      <c r="J86" s="5" t="n"/>
      <c r="K86" s="10" t="n"/>
      <c r="L86" s="10" t="n"/>
      <c r="M86" s="5" t="n"/>
      <c r="N86" s="5" t="n"/>
      <c r="O86" s="5" t="n"/>
    </row>
    <row r="87">
      <c r="A87" s="10" t="inlineStr">
        <is>
          <t>Kamasotra premium</t>
        </is>
      </c>
      <c r="B87" s="10" t="inlineStr">
        <is>
          <t>Cyanocobalamin (Vitamin B12), Ginseng Panax (+3 more)</t>
        </is>
      </c>
      <c r="C87" s="10" t="n">
        <v>5</v>
      </c>
      <c r="D87" s="5" t="inlineStr">
        <is>
          <t>Tablet</t>
        </is>
      </c>
      <c r="E87" s="5" t="inlineStr">
        <is>
          <t>F48</t>
        </is>
      </c>
      <c r="F87" s="5" t="n"/>
      <c r="G87" s="5" t="n"/>
      <c r="H87" s="5" t="inlineStr">
        <is>
          <t>Marketed</t>
        </is>
      </c>
      <c r="I87" s="5" t="n"/>
      <c r="J87" s="5" t="n"/>
      <c r="K87" s="10" t="n"/>
      <c r="L87" s="10" t="n"/>
      <c r="M87" s="5" t="n"/>
      <c r="N87" s="5" t="n"/>
      <c r="O87" s="5" t="n"/>
    </row>
    <row r="88">
      <c r="A88" s="10" t="inlineStr">
        <is>
          <t>Prostica</t>
        </is>
      </c>
      <c r="B88" s="10" t="inlineStr">
        <is>
          <t>Saw Palmetto Dry Extract 4:1, Sodium Selenite (+1 more)</t>
        </is>
      </c>
      <c r="C88" s="10" t="n">
        <v>3</v>
      </c>
      <c r="D88" s="5" t="inlineStr">
        <is>
          <t>Tablet</t>
        </is>
      </c>
      <c r="E88" s="5" t="inlineStr">
        <is>
          <t>F49</t>
        </is>
      </c>
      <c r="F88" s="5" t="n"/>
      <c r="G88" s="5" t="n"/>
      <c r="H88" s="5" t="inlineStr">
        <is>
          <t>Marketed</t>
        </is>
      </c>
      <c r="I88" s="5" t="n"/>
      <c r="J88" s="5" t="n"/>
      <c r="K88" s="10" t="n"/>
      <c r="L88" s="10" t="n"/>
      <c r="M88" s="5" t="n"/>
      <c r="N88" s="5" t="n"/>
      <c r="O88" s="5" t="n"/>
    </row>
    <row r="89">
      <c r="A89" s="10" t="inlineStr">
        <is>
          <t>Vitacal Forte</t>
        </is>
      </c>
      <c r="B89" s="10" t="inlineStr">
        <is>
          <t>Calcium Carbonate Heavy, Vitamin D3 (+7 more)</t>
        </is>
      </c>
      <c r="C89" s="10" t="n">
        <v>9</v>
      </c>
      <c r="D89" s="5" t="inlineStr">
        <is>
          <t>Tablet</t>
        </is>
      </c>
      <c r="E89" s="5" t="inlineStr">
        <is>
          <t>F50</t>
        </is>
      </c>
      <c r="F89" s="5" t="n"/>
      <c r="G89" s="5" t="n"/>
      <c r="H89" s="5" t="inlineStr">
        <is>
          <t>Marketed</t>
        </is>
      </c>
      <c r="I89" s="5" t="n"/>
      <c r="J89" s="5" t="n"/>
      <c r="K89" s="10" t="n"/>
      <c r="L89" s="10" t="n"/>
      <c r="M89" s="5" t="n"/>
      <c r="N89" s="5" t="n"/>
      <c r="O89" s="5" t="n"/>
    </row>
    <row r="90">
      <c r="A90" s="10" t="inlineStr">
        <is>
          <t>Burning Fat</t>
        </is>
      </c>
      <c r="B90" s="10" t="inlineStr">
        <is>
          <t>Coleus Forskohlii Root Dry Extract 10:1, Chromium Picolinate (+5 more)</t>
        </is>
      </c>
      <c r="C90" s="10" t="n">
        <v>7</v>
      </c>
      <c r="D90" s="5" t="inlineStr">
        <is>
          <t>Tablet</t>
        </is>
      </c>
      <c r="E90" s="5" t="inlineStr">
        <is>
          <t>F51</t>
        </is>
      </c>
      <c r="F90" s="5" t="n"/>
      <c r="G90" s="5" t="n"/>
      <c r="H90" s="5" t="inlineStr">
        <is>
          <t>Marketed</t>
        </is>
      </c>
      <c r="I90" s="5" t="n"/>
      <c r="J90" s="5" t="n"/>
      <c r="K90" s="10" t="n"/>
      <c r="L90" s="10" t="n"/>
      <c r="M90" s="5" t="n"/>
      <c r="N90" s="5" t="n"/>
      <c r="O90" s="5" t="n"/>
    </row>
    <row r="91">
      <c r="A91" s="10" t="inlineStr">
        <is>
          <t>Co-Enzyme Q10 (30mg)</t>
        </is>
      </c>
      <c r="B91" s="10" t="inlineStr">
        <is>
          <t>Ubidecarenone (Co-Q10)</t>
        </is>
      </c>
      <c r="C91" s="10" t="n">
        <v>1</v>
      </c>
      <c r="D91" s="5" t="inlineStr">
        <is>
          <t>Tablet</t>
        </is>
      </c>
      <c r="E91" s="5" t="inlineStr">
        <is>
          <t>F52</t>
        </is>
      </c>
      <c r="F91" s="5" t="n"/>
      <c r="G91" s="5" t="n"/>
      <c r="H91" s="5" t="inlineStr">
        <is>
          <t>Marketed</t>
        </is>
      </c>
      <c r="I91" s="5" t="n"/>
      <c r="J91" s="5" t="n"/>
      <c r="K91" s="10" t="n"/>
      <c r="L91" s="10" t="n"/>
      <c r="M91" s="5" t="n"/>
      <c r="N91" s="5" t="n"/>
      <c r="O91" s="5" t="n"/>
    </row>
    <row r="92">
      <c r="A92" s="10" t="inlineStr">
        <is>
          <t>Co-Enzyme Q10 (100mg)</t>
        </is>
      </c>
      <c r="B92" s="10" t="inlineStr">
        <is>
          <t>Ubidecarenone (Co-Q10)</t>
        </is>
      </c>
      <c r="C92" s="10" t="n">
        <v>1</v>
      </c>
      <c r="D92" s="5" t="inlineStr">
        <is>
          <t>Tablet</t>
        </is>
      </c>
      <c r="E92" s="5" t="inlineStr">
        <is>
          <t>F52</t>
        </is>
      </c>
      <c r="F92" s="5" t="n"/>
      <c r="G92" s="5" t="n"/>
      <c r="H92" s="5" t="inlineStr">
        <is>
          <t>Marketed</t>
        </is>
      </c>
      <c r="I92" s="5" t="n"/>
      <c r="J92" s="5" t="n"/>
      <c r="K92" s="10" t="n"/>
      <c r="L92" s="10" t="n"/>
      <c r="M92" s="5" t="n"/>
      <c r="N92" s="5" t="n"/>
      <c r="O92" s="5" t="n"/>
    </row>
    <row r="93">
      <c r="A93" s="10" t="inlineStr">
        <is>
          <t>Digestive Aid (30)</t>
        </is>
      </c>
      <c r="B93" s="10" t="inlineStr">
        <is>
          <t>Marshmallow Dry Extract 3:1, Liquorice Dry Extract 8:1 (+4 more)</t>
        </is>
      </c>
      <c r="C93" s="10" t="n">
        <v>6</v>
      </c>
      <c r="D93" s="5" t="inlineStr">
        <is>
          <t>Tablet</t>
        </is>
      </c>
      <c r="E93" s="5" t="inlineStr">
        <is>
          <t>F53</t>
        </is>
      </c>
      <c r="F93" s="5" t="n"/>
      <c r="G93" s="5" t="n"/>
      <c r="H93" s="5" t="inlineStr">
        <is>
          <t>Marketed</t>
        </is>
      </c>
      <c r="I93" s="5" t="n"/>
      <c r="J93" s="5" t="n"/>
      <c r="K93" s="10" t="n"/>
      <c r="L93" s="10" t="n"/>
      <c r="M93" s="5" t="n"/>
      <c r="N93" s="5" t="n"/>
      <c r="O93" s="5" t="n"/>
    </row>
    <row r="94">
      <c r="A94" s="10" t="inlineStr">
        <is>
          <t>Digestive Aid (60)</t>
        </is>
      </c>
      <c r="B94" s="10" t="inlineStr">
        <is>
          <t>Marshmallow Dry Extract 3:1, Liquorice Dry Extract 8:1 (+4 more)</t>
        </is>
      </c>
      <c r="C94" s="10" t="n">
        <v>6</v>
      </c>
      <c r="D94" s="5" t="inlineStr">
        <is>
          <t>Tablet</t>
        </is>
      </c>
      <c r="E94" s="5" t="inlineStr">
        <is>
          <t>F53</t>
        </is>
      </c>
      <c r="F94" s="5" t="n"/>
      <c r="G94" s="5" t="n"/>
      <c r="H94" s="5" t="inlineStr">
        <is>
          <t>Marketed</t>
        </is>
      </c>
      <c r="I94" s="5" t="n"/>
      <c r="J94" s="5" t="n"/>
      <c r="K94" s="10" t="n"/>
      <c r="L94" s="10" t="n"/>
      <c r="M94" s="5" t="n"/>
      <c r="N94" s="5" t="n"/>
      <c r="O94" s="5" t="n"/>
    </row>
    <row r="95">
      <c r="A95" s="10" t="inlineStr">
        <is>
          <t>Celer-X Forte</t>
        </is>
      </c>
      <c r="B95" s="10" t="inlineStr">
        <is>
          <t>Apium Graveolens Seed Dry Extract 6:1, Juniper Communis Fruit Dry Extract 2:1 (+1 more)</t>
        </is>
      </c>
      <c r="C95" s="10" t="n">
        <v>3</v>
      </c>
      <c r="D95" s="5" t="inlineStr">
        <is>
          <t>Tablet</t>
        </is>
      </c>
      <c r="E95" s="5" t="inlineStr">
        <is>
          <t>F54</t>
        </is>
      </c>
      <c r="F95" s="5" t="n"/>
      <c r="G95" s="5" t="n"/>
      <c r="H95" s="5" t="inlineStr">
        <is>
          <t>Marketed</t>
        </is>
      </c>
      <c r="I95" s="5" t="n"/>
      <c r="J95" s="5" t="n"/>
      <c r="K95" s="10" t="n"/>
      <c r="L95" s="10" t="n"/>
      <c r="M95" s="5" t="n"/>
      <c r="N95" s="5" t="n"/>
      <c r="O95" s="5" t="n"/>
    </row>
    <row r="96">
      <c r="A96" s="10" t="inlineStr">
        <is>
          <t>Opti Woman 30 Cap</t>
        </is>
      </c>
      <c r="B96" s="10" t="inlineStr">
        <is>
          <t>Biotin (Vitamin B7), Folic Acid (Vitamin B9) (+22 more)</t>
        </is>
      </c>
      <c r="C96" s="10" t="n">
        <v>24</v>
      </c>
      <c r="D96" s="5" t="inlineStr">
        <is>
          <t>Capsule</t>
        </is>
      </c>
      <c r="E96" s="5" t="inlineStr">
        <is>
          <t>F55</t>
        </is>
      </c>
      <c r="F96" s="5" t="n"/>
      <c r="G96" s="5" t="n"/>
      <c r="H96" s="5" t="inlineStr">
        <is>
          <t>Marketed</t>
        </is>
      </c>
      <c r="I96" s="5" t="n"/>
      <c r="J96" s="5" t="n"/>
      <c r="K96" s="10" t="n"/>
      <c r="L96" s="10" t="n"/>
      <c r="M96" s="5" t="n"/>
      <c r="N96" s="5" t="n"/>
      <c r="O96" s="5" t="n"/>
    </row>
    <row r="97">
      <c r="A97" s="10" t="inlineStr">
        <is>
          <t>Opti Woman 60 Cap</t>
        </is>
      </c>
      <c r="B97" s="10" t="inlineStr">
        <is>
          <t>Biotin (Vitamin B7), Folic Acid (Vitamin B9) (+22 more)</t>
        </is>
      </c>
      <c r="C97" s="10" t="n">
        <v>24</v>
      </c>
      <c r="D97" s="5" t="inlineStr">
        <is>
          <t>Capsule</t>
        </is>
      </c>
      <c r="E97" s="5" t="inlineStr">
        <is>
          <t>F55</t>
        </is>
      </c>
      <c r="F97" s="5" t="n"/>
      <c r="G97" s="5" t="n"/>
      <c r="H97" s="5" t="inlineStr">
        <is>
          <t>Marketed</t>
        </is>
      </c>
      <c r="I97" s="5" t="n"/>
      <c r="J97" s="5" t="n"/>
      <c r="K97" s="10" t="n"/>
      <c r="L97" s="10" t="n"/>
      <c r="M97" s="5" t="n"/>
      <c r="N97" s="5" t="n"/>
      <c r="O97" s="5" t="n"/>
    </row>
    <row r="98">
      <c r="A98" s="10" t="inlineStr">
        <is>
          <t>Pregnalife</t>
        </is>
      </c>
      <c r="B98" s="10" t="inlineStr">
        <is>
          <t>D-Alpha Tocopheryl Acetate 50% (Vitamin E), Magnesium Oxide Heavy (+13 more)</t>
        </is>
      </c>
      <c r="C98" s="10" t="n">
        <v>15</v>
      </c>
      <c r="D98" s="5" t="inlineStr">
        <is>
          <t>Tablet</t>
        </is>
      </c>
      <c r="E98" s="5" t="inlineStr">
        <is>
          <t>F56</t>
        </is>
      </c>
      <c r="F98" s="5" t="n"/>
      <c r="G98" s="5" t="n"/>
      <c r="H98" s="5" t="inlineStr">
        <is>
          <t>Marketed</t>
        </is>
      </c>
      <c r="I98" s="5" t="n"/>
      <c r="J98" s="5" t="n"/>
      <c r="K98" s="10" t="n"/>
      <c r="L98" s="10" t="n"/>
      <c r="M98" s="5" t="n"/>
      <c r="N98" s="5" t="n"/>
      <c r="O98" s="5" t="n"/>
    </row>
    <row r="99">
      <c r="A99" s="10" t="inlineStr">
        <is>
          <t>Immune AID</t>
        </is>
      </c>
      <c r="B99" s="10" t="inlineStr">
        <is>
          <t>Cyanocobalamin (Vitamin B12), Folic Acid (Vitamin B9) (+13 more)</t>
        </is>
      </c>
      <c r="C99" s="10" t="n">
        <v>15</v>
      </c>
      <c r="D99" s="5" t="inlineStr">
        <is>
          <t>Tablet</t>
        </is>
      </c>
      <c r="E99" s="5" t="inlineStr">
        <is>
          <t>F57</t>
        </is>
      </c>
      <c r="F99" s="5" t="n"/>
      <c r="G99" s="5" t="n"/>
      <c r="H99" s="5" t="inlineStr">
        <is>
          <t>Marketed</t>
        </is>
      </c>
      <c r="I99" s="5" t="n"/>
      <c r="J99" s="5" t="n"/>
      <c r="K99" s="10" t="n"/>
      <c r="L99" s="10" t="n"/>
      <c r="M99" s="5" t="n"/>
      <c r="N99" s="5" t="n"/>
      <c r="O99" s="5" t="n"/>
    </row>
    <row r="100">
      <c r="A100" s="10" t="inlineStr">
        <is>
          <t>Immune AID Direct</t>
        </is>
      </c>
      <c r="B100" s="10" t="inlineStr">
        <is>
          <t>Cyanocobalamin (Vitamin B12), Thiamine Hydrochloride (Vitamin B1) (+14 more)</t>
        </is>
      </c>
      <c r="C100" s="10" t="n">
        <v>16</v>
      </c>
      <c r="D100" s="5" t="inlineStr">
        <is>
          <t>Tablet</t>
        </is>
      </c>
      <c r="E100" s="5" t="inlineStr">
        <is>
          <t>F58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10" t="n"/>
      <c r="L100" s="10" t="n"/>
      <c r="M100" s="5" t="n"/>
      <c r="N100" s="5" t="n"/>
      <c r="O100" s="5" t="n"/>
    </row>
    <row r="101">
      <c r="A101" s="10" t="inlineStr">
        <is>
          <t>X-Ade (Blister 15 pcs)</t>
        </is>
      </c>
      <c r="B101" s="10" t="inlineStr">
        <is>
          <t>Zinc Gluconate, Magnesium Oxide Heavy (+8 more)</t>
        </is>
      </c>
      <c r="C101" s="10" t="n">
        <v>10</v>
      </c>
      <c r="D101" s="5" t="inlineStr">
        <is>
          <t>Tablet</t>
        </is>
      </c>
      <c r="E101" s="5" t="inlineStr">
        <is>
          <t>F59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10" t="n"/>
      <c r="L101" s="10" t="n"/>
      <c r="M101" s="5" t="n"/>
      <c r="N101" s="5" t="n"/>
      <c r="O101" s="5" t="n"/>
    </row>
    <row r="102">
      <c r="A102" s="10" t="inlineStr">
        <is>
          <t>X-Ade (Bottle 30 pcs)</t>
        </is>
      </c>
      <c r="B102" s="10" t="inlineStr">
        <is>
          <t>Zinc Gluconate, Magnesium Oxide Heavy (+8 more)</t>
        </is>
      </c>
      <c r="C102" s="10" t="n">
        <v>10</v>
      </c>
      <c r="D102" s="5" t="inlineStr">
        <is>
          <t>Tablet</t>
        </is>
      </c>
      <c r="E102" s="5" t="inlineStr">
        <is>
          <t>F59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10" t="n"/>
      <c r="L102" s="10" t="n"/>
      <c r="M102" s="5" t="n"/>
      <c r="N102" s="5" t="n"/>
      <c r="O102" s="5" t="n"/>
    </row>
    <row r="103">
      <c r="A103" s="10" t="inlineStr">
        <is>
          <t>Energe-X</t>
        </is>
      </c>
      <c r="B103" s="10" t="inlineStr">
        <is>
          <t>Not on record – define</t>
        </is>
      </c>
      <c r="C103" s="10" t="n">
        <v>0</v>
      </c>
      <c r="D103" s="5" t="inlineStr">
        <is>
          <t>Tablet</t>
        </is>
      </c>
      <c r="E103" s="5" t="inlineStr">
        <is>
          <t>F60</t>
        </is>
      </c>
      <c r="F103" s="5" t="n"/>
      <c r="G103" s="5" t="n"/>
      <c r="H103" s="5" t="inlineStr">
        <is>
          <t>Pipeline / no formula</t>
        </is>
      </c>
      <c r="I103" s="5" t="n"/>
      <c r="J103" s="5" t="n"/>
      <c r="K103" s="10" t="n"/>
      <c r="L103" s="10" t="n"/>
      <c r="M103" s="5" t="n"/>
      <c r="N103" s="5" t="n"/>
      <c r="O103" s="5" t="n"/>
    </row>
    <row r="104">
      <c r="A104" s="10" t="inlineStr">
        <is>
          <t>Dermo bella Permium 30 Cap</t>
        </is>
      </c>
      <c r="B104" s="10" t="inlineStr">
        <is>
          <t>Premix Dermo Bella, L-Cystine (+1 more)</t>
        </is>
      </c>
      <c r="C104" s="10" t="n">
        <v>3</v>
      </c>
      <c r="D104" s="5" t="inlineStr">
        <is>
          <t>Capsule</t>
        </is>
      </c>
      <c r="E104" s="5" t="inlineStr">
        <is>
          <t>F61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10" t="n"/>
      <c r="L104" s="10" t="n"/>
      <c r="M104" s="5" t="n"/>
      <c r="N104" s="5" t="n"/>
      <c r="O104" s="5" t="n"/>
    </row>
    <row r="105">
      <c r="A105" s="10" t="inlineStr">
        <is>
          <t>Zylicut 180</t>
        </is>
      </c>
      <c r="B105" s="10" t="inlineStr">
        <is>
          <t>Not on record – define</t>
        </is>
      </c>
      <c r="C105" s="10" t="n">
        <v>0</v>
      </c>
      <c r="D105" s="5" t="inlineStr">
        <is>
          <t>Tablet</t>
        </is>
      </c>
      <c r="E105" s="5" t="inlineStr">
        <is>
          <t>F62</t>
        </is>
      </c>
      <c r="F105" s="5" t="n"/>
      <c r="G105" s="5" t="n"/>
      <c r="H105" s="5" t="inlineStr">
        <is>
          <t>Pipeline / no formula</t>
        </is>
      </c>
      <c r="I105" s="5" t="n"/>
      <c r="J105" s="5" t="n"/>
      <c r="K105" s="10" t="n"/>
      <c r="L105" s="10" t="n"/>
      <c r="M105" s="5" t="n"/>
      <c r="N105" s="5" t="n"/>
      <c r="O105" s="5" t="n"/>
    </row>
    <row r="106">
      <c r="A106" s="10" t="inlineStr">
        <is>
          <t>Zylicut-Duo 180/10</t>
        </is>
      </c>
      <c r="B106" s="10" t="inlineStr">
        <is>
          <t>Not on record – define</t>
        </is>
      </c>
      <c r="C106" s="10" t="n">
        <v>0</v>
      </c>
      <c r="D106" s="5" t="inlineStr">
        <is>
          <t>Tablet</t>
        </is>
      </c>
      <c r="E106" s="5" t="inlineStr">
        <is>
          <t>F63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10" t="n"/>
      <c r="L106" s="10" t="n"/>
      <c r="M106" s="5" t="n"/>
      <c r="N106" s="5" t="n"/>
      <c r="O106" s="5" t="n"/>
    </row>
    <row r="107">
      <c r="A107" s="10" t="inlineStr">
        <is>
          <t>Hair and Skin</t>
        </is>
      </c>
      <c r="B107" s="10" t="inlineStr">
        <is>
          <t>Biotin (Vitamin B7), Folic Acid (Vitamin B9) (+7 more)</t>
        </is>
      </c>
      <c r="C107" s="10" t="n">
        <v>9</v>
      </c>
      <c r="D107" s="5" t="inlineStr">
        <is>
          <t>Tablet</t>
        </is>
      </c>
      <c r="E107" s="5" t="inlineStr">
        <is>
          <t>F64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10" t="n"/>
      <c r="L107" s="10" t="n"/>
      <c r="M107" s="5" t="n"/>
      <c r="N107" s="5" t="n"/>
      <c r="O107" s="5" t="n"/>
    </row>
    <row r="108">
      <c r="A108" s="10" t="inlineStr">
        <is>
          <t>Stability samples/yr = number of stability studies running x time points pulled per year (each pull = 1 sample).</t>
        </is>
      </c>
      <c r="B108" s="10" t="n"/>
      <c r="C108" s="10" t="n"/>
      <c r="D108" s="5" t="n"/>
      <c r="E108" s="5" t="n"/>
      <c r="F108" s="5" t="n"/>
      <c r="G108" s="5" t="n"/>
      <c r="H108" s="5" t="n"/>
      <c r="I108" s="5" t="n"/>
      <c r="J108" s="5" t="n"/>
      <c r="K108" s="10" t="n"/>
      <c r="L108" s="10" t="n"/>
      <c r="M108" s="5" t="n"/>
      <c r="N108" s="5" t="n"/>
      <c r="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0" t="n"/>
      <c r="L109" s="10" t="n"/>
      <c r="M109" s="5" t="n"/>
      <c r="N109" s="5" t="n"/>
      <c r="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0" t="n"/>
      <c r="L110" s="10" t="n"/>
      <c r="M110" s="5" t="n"/>
      <c r="N110" s="5" t="n"/>
      <c r="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0" t="n"/>
      <c r="L111" s="10" t="n"/>
      <c r="M111" s="5" t="n"/>
      <c r="N111" s="5" t="n"/>
      <c r="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0" t="n"/>
      <c r="L112" s="10" t="n"/>
      <c r="M112" s="5" t="n"/>
      <c r="N112" s="5" t="n"/>
      <c r="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0" t="n"/>
      <c r="L113" s="10" t="n"/>
      <c r="M113" s="5" t="n"/>
      <c r="N113" s="5" t="n"/>
      <c r="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0" t="n"/>
      <c r="L114" s="10" t="n"/>
      <c r="M114" s="5" t="n"/>
      <c r="N114" s="5" t="n"/>
      <c r="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0" t="n"/>
      <c r="L115" s="10" t="n"/>
      <c r="M115" s="5" t="n"/>
      <c r="N115" s="5" t="n"/>
      <c r="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0" t="n"/>
      <c r="L116" s="10" t="n"/>
      <c r="M116" s="5" t="n"/>
      <c r="N116" s="5" t="n"/>
      <c r="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0" t="n"/>
      <c r="L117" s="10" t="n"/>
      <c r="M117" s="5" t="n"/>
      <c r="N117" s="5" t="n"/>
      <c r="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0" t="n"/>
      <c r="L118" s="10" t="n"/>
      <c r="M118" s="5" t="n"/>
      <c r="N118" s="5" t="n"/>
      <c r="O118" s="5" t="n"/>
    </row>
  </sheetData>
  <autoFilter ref="A1:O118"/>
  <dataValidations count="1">
    <dataValidation sqref="H2:H318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3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10" t="inlineStr">
        <is>
          <t>F01</t>
        </is>
      </c>
      <c r="B2" s="10" t="inlineStr">
        <is>
          <t>FP</t>
        </is>
      </c>
      <c r="C2" s="10" t="inlineStr">
        <is>
          <t>Ezetimibe-Rosuvastatin 10-10; Ezetimibe-Rosuvastatin 10-20; Ezetimibe-Rosuvastatin 10-40  |  Ezetimibe, Rosuvastatin Calcium</t>
        </is>
      </c>
      <c r="D2" s="10" t="inlineStr">
        <is>
          <t>Assay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HPLC</t>
        </is>
      </c>
      <c r="H2" s="5" t="inlineStr">
        <is>
          <t>Medium</t>
        </is>
      </c>
      <c r="I2" s="5" t="n">
        <v>1</v>
      </c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inlineStr">
        <is>
          <t>Y</t>
        </is>
      </c>
      <c r="X2" s="5" t="n"/>
      <c r="Y2" s="5" t="n"/>
      <c r="Z2" s="5" t="n"/>
      <c r="AA2" s="5" t="n"/>
    </row>
    <row r="3">
      <c r="A3" s="10" t="inlineStr">
        <is>
          <t>F01</t>
        </is>
      </c>
      <c r="B3" s="10" t="inlineStr">
        <is>
          <t>FP</t>
        </is>
      </c>
      <c r="C3" s="10" t="inlineStr">
        <is>
          <t>Ezetimibe-Rosuvastatin 10-10; Ezetimibe-Rosuvastatin 10-20; Ezetimibe-Rosuvastatin 10-40  |  Ezetimibe, Rosuvastatin Calcium</t>
        </is>
      </c>
      <c r="D3" s="10" t="inlineStr">
        <is>
          <t>Related substances / impurities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HPLC</t>
        </is>
      </c>
      <c r="H3" s="5" t="inlineStr">
        <is>
          <t>Medium</t>
        </is>
      </c>
      <c r="I3" s="5" t="n">
        <v>1</v>
      </c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inlineStr">
        <is>
          <t>Y</t>
        </is>
      </c>
      <c r="X3" s="5" t="n"/>
      <c r="Y3" s="5" t="n"/>
      <c r="Z3" s="5" t="n"/>
      <c r="AA3" s="5" t="n"/>
    </row>
    <row r="4">
      <c r="A4" s="10" t="inlineStr">
        <is>
          <t>F01</t>
        </is>
      </c>
      <c r="B4" s="10" t="inlineStr">
        <is>
          <t>FP</t>
        </is>
      </c>
      <c r="C4" s="10" t="inlineStr">
        <is>
          <t>Ezetimibe-Rosuvastatin 10-10; Ezetimibe-Rosuvastatin 10-20; Ezetimibe-Rosuvastatin 10-40  |  Ezetimibe, Rosuvastatin Calcium</t>
        </is>
      </c>
      <c r="D4" s="10" t="inlineStr">
        <is>
          <t>Dissolution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Y</t>
        </is>
      </c>
      <c r="X4" s="5" t="n"/>
      <c r="Y4" s="5" t="n"/>
      <c r="Z4" s="5" t="n"/>
      <c r="AA4" s="5" t="n"/>
    </row>
    <row r="5">
      <c r="A5" s="10" t="inlineStr">
        <is>
          <t>F01</t>
        </is>
      </c>
      <c r="B5" s="10" t="inlineStr">
        <is>
          <t>FP</t>
        </is>
      </c>
      <c r="C5" s="10" t="inlineStr">
        <is>
          <t>Ezetimibe-Rosuvastatin 10-10; Ezetimibe-Rosuvastatin 10-20; Ezetimibe-Rosuvastatin 10-40  |  Ezetimibe, Rosuvastatin Calcium</t>
        </is>
      </c>
      <c r="D5" s="10" t="inlineStr">
        <is>
          <t>Content uniformity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HPLC</t>
        </is>
      </c>
      <c r="H5" s="5" t="inlineStr">
        <is>
          <t>Medium</t>
        </is>
      </c>
      <c r="I5" s="5" t="n">
        <v>1</v>
      </c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inlineStr">
        <is>
          <t>N</t>
        </is>
      </c>
      <c r="X5" s="5" t="n"/>
      <c r="Y5" s="5" t="n"/>
      <c r="Z5" s="5" t="n"/>
      <c r="AA5" s="5" t="n"/>
    </row>
    <row r="6">
      <c r="A6" s="10" t="inlineStr">
        <is>
          <t>F01</t>
        </is>
      </c>
      <c r="B6" s="10" t="inlineStr">
        <is>
          <t>FP</t>
        </is>
      </c>
      <c r="C6" s="10" t="inlineStr">
        <is>
          <t>Ezetimibe-Rosuvastatin 10-10; Ezetimibe-Rosuvastatin 10-20; Ezetimibe-Rosuvastatin 10-40  |  Ezetimibe, Rosuvastatin Calcium</t>
        </is>
      </c>
      <c r="D6" s="10" t="inlineStr">
        <is>
          <t>Identification (if separate from assay)</t>
        </is>
      </c>
      <c r="E6" s="10">
        <f>IF(A6="","",A6&amp;"|"&amp;D6)</f>
        <v/>
      </c>
      <c r="F6" s="5" t="inlineStr">
        <is>
          <t>N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</row>
    <row r="7">
      <c r="A7" s="10" t="inlineStr">
        <is>
          <t>F01</t>
        </is>
      </c>
      <c r="B7" s="10" t="inlineStr">
        <is>
          <t>FP</t>
        </is>
      </c>
      <c r="C7" s="10" t="inlineStr">
        <is>
          <t>Ezetimibe-Rosuvastatin 10-10; Ezetimibe-Rosuvastatin 10-20; Ezetimibe-Rosuvastatin 10-40  |  Ezetimibe, Rosuvastatin Calcium</t>
        </is>
      </c>
      <c r="D7" s="10" t="inlineStr">
        <is>
          <t>Other tests (non-HPLC: physical, LOD/KF, disintegration, pH, micro...)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Other / bench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Y</t>
        </is>
      </c>
      <c r="X7" s="5" t="n"/>
      <c r="Y7" s="5" t="n"/>
      <c r="Z7" s="5" t="n"/>
      <c r="AA7" s="5" t="n"/>
    </row>
    <row r="8">
      <c r="A8" s="10" t="inlineStr">
        <is>
          <t>F02</t>
        </is>
      </c>
      <c r="B8" s="10" t="inlineStr">
        <is>
          <t>FP</t>
        </is>
      </c>
      <c r="C8" s="10" t="inlineStr">
        <is>
          <t>Resmitrom (Resffera) 60; Resmitrom (Resffera) 80; Resmitrom (Resffera) 100  |  Resmetirom</t>
        </is>
      </c>
      <c r="D8" s="10" t="inlineStr">
        <is>
          <t>Assay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HPLC</t>
        </is>
      </c>
      <c r="H8" s="5" t="inlineStr">
        <is>
          <t>Low</t>
        </is>
      </c>
      <c r="I8" s="5" t="n">
        <v>1</v>
      </c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inlineStr">
        <is>
          <t>Y</t>
        </is>
      </c>
      <c r="X8" s="5" t="n"/>
      <c r="Y8" s="5" t="n"/>
      <c r="Z8" s="5" t="n"/>
      <c r="AA8" s="5" t="n"/>
    </row>
    <row r="9">
      <c r="A9" s="10" t="inlineStr">
        <is>
          <t>F02</t>
        </is>
      </c>
      <c r="B9" s="10" t="inlineStr">
        <is>
          <t>FP</t>
        </is>
      </c>
      <c r="C9" s="10" t="inlineStr">
        <is>
          <t>Resmitrom (Resffera) 60; Resmitrom (Resffera) 80; Resmitrom (Resffera) 100  |  Resmetirom</t>
        </is>
      </c>
      <c r="D9" s="10" t="inlineStr">
        <is>
          <t>Related substances / impurities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HPLC</t>
        </is>
      </c>
      <c r="H9" s="5" t="inlineStr">
        <is>
          <t>Low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inlineStr">
        <is>
          <t>Y</t>
        </is>
      </c>
      <c r="X9" s="5" t="n"/>
      <c r="Y9" s="5" t="n"/>
      <c r="Z9" s="5" t="n"/>
      <c r="AA9" s="5" t="n"/>
    </row>
    <row r="10">
      <c r="A10" s="10" t="inlineStr">
        <is>
          <t>F02</t>
        </is>
      </c>
      <c r="B10" s="10" t="inlineStr">
        <is>
          <t>FP</t>
        </is>
      </c>
      <c r="C10" s="10" t="inlineStr">
        <is>
          <t>Resmitrom (Resffera) 60; Resmitrom (Resffera) 80; Resmitrom (Resffera) 100  |  Resmetirom</t>
        </is>
      </c>
      <c r="D10" s="10" t="inlineStr">
        <is>
          <t>Dissolution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Y</t>
        </is>
      </c>
      <c r="X10" s="5" t="n"/>
      <c r="Y10" s="5" t="n"/>
      <c r="Z10" s="5" t="n"/>
      <c r="AA10" s="5" t="n"/>
    </row>
    <row r="11">
      <c r="A11" s="10" t="inlineStr">
        <is>
          <t>F02</t>
        </is>
      </c>
      <c r="B11" s="10" t="inlineStr">
        <is>
          <t>FP</t>
        </is>
      </c>
      <c r="C11" s="10" t="inlineStr">
        <is>
          <t>Resmitrom (Resffera) 60; Resmitrom (Resffera) 80; Resmitrom (Resffera) 100  |  Resmetirom</t>
        </is>
      </c>
      <c r="D11" s="10" t="inlineStr">
        <is>
          <t>Content uniformity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HPLC</t>
        </is>
      </c>
      <c r="H11" s="5" t="inlineStr">
        <is>
          <t>Low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inlineStr">
        <is>
          <t>N</t>
        </is>
      </c>
      <c r="X11" s="5" t="n"/>
      <c r="Y11" s="5" t="n"/>
      <c r="Z11" s="5" t="n"/>
      <c r="AA11" s="5" t="n"/>
    </row>
    <row r="12">
      <c r="A12" s="10" t="inlineStr">
        <is>
          <t>F02</t>
        </is>
      </c>
      <c r="B12" s="10" t="inlineStr">
        <is>
          <t>FP</t>
        </is>
      </c>
      <c r="C12" s="10" t="inlineStr">
        <is>
          <t>Resmitrom (Resffera) 60; Resmitrom (Resffera) 80; Resmitrom (Resffera) 100  |  Resmetirom</t>
        </is>
      </c>
      <c r="D12" s="10" t="inlineStr">
        <is>
          <t>Identification (if separate from assay)</t>
        </is>
      </c>
      <c r="E12" s="10">
        <f>IF(A12="","",A12&amp;"|"&amp;D12)</f>
        <v/>
      </c>
      <c r="F12" s="5" t="inlineStr">
        <is>
          <t>N</t>
        </is>
      </c>
      <c r="G12" s="5" t="inlineStr">
        <is>
          <t>HPLC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</row>
    <row r="13">
      <c r="A13" s="10" t="inlineStr">
        <is>
          <t>F02</t>
        </is>
      </c>
      <c r="B13" s="10" t="inlineStr">
        <is>
          <t>FP</t>
        </is>
      </c>
      <c r="C13" s="10" t="inlineStr">
        <is>
          <t>Resmitrom (Resffera) 60; Resmitrom (Resffera) 80; Resmitrom (Resffera) 100  |  Resmetirom</t>
        </is>
      </c>
      <c r="D13" s="10" t="inlineStr">
        <is>
          <t>Other tests (non-HPLC: physical, LOD/KF, disintegration, pH, micro...)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inlineStr">
        <is>
          <t>Y</t>
        </is>
      </c>
      <c r="X13" s="5" t="n"/>
      <c r="Y13" s="5" t="n"/>
      <c r="Z13" s="5" t="n"/>
      <c r="AA13" s="5" t="n"/>
    </row>
    <row r="14">
      <c r="A14" s="10" t="inlineStr">
        <is>
          <t>F03</t>
        </is>
      </c>
      <c r="B14" s="10" t="inlineStr">
        <is>
          <t>FP</t>
        </is>
      </c>
      <c r="C14" s="10" t="inlineStr">
        <is>
          <t>Finerodyd 10; Finerodyd 20  |  Finerenone</t>
        </is>
      </c>
      <c r="D14" s="10" t="inlineStr">
        <is>
          <t>Assay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HPLC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inlineStr">
        <is>
          <t>Y</t>
        </is>
      </c>
      <c r="X14" s="5" t="n"/>
      <c r="Y14" s="5" t="n"/>
      <c r="Z14" s="5" t="n"/>
      <c r="AA14" s="5" t="n"/>
    </row>
    <row r="15">
      <c r="A15" s="10" t="inlineStr">
        <is>
          <t>F03</t>
        </is>
      </c>
      <c r="B15" s="10" t="inlineStr">
        <is>
          <t>FP</t>
        </is>
      </c>
      <c r="C15" s="10" t="inlineStr">
        <is>
          <t>Finerodyd 10; Finerodyd 20  |  Finerenone</t>
        </is>
      </c>
      <c r="D15" s="10" t="inlineStr">
        <is>
          <t>Related substances / impurities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Y</t>
        </is>
      </c>
      <c r="X15" s="5" t="n"/>
      <c r="Y15" s="5" t="n"/>
      <c r="Z15" s="5" t="n"/>
      <c r="AA15" s="5" t="n"/>
    </row>
    <row r="16">
      <c r="A16" s="10" t="inlineStr">
        <is>
          <t>F03</t>
        </is>
      </c>
      <c r="B16" s="10" t="inlineStr">
        <is>
          <t>FP</t>
        </is>
      </c>
      <c r="C16" s="10" t="inlineStr">
        <is>
          <t>Finerodyd 10; Finerodyd 20  |  Finerenone</t>
        </is>
      </c>
      <c r="D16" s="10" t="inlineStr">
        <is>
          <t>Dissolution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Y</t>
        </is>
      </c>
      <c r="X16" s="5" t="n"/>
      <c r="Y16" s="5" t="n"/>
      <c r="Z16" s="5" t="n"/>
      <c r="AA16" s="5" t="n"/>
    </row>
    <row r="17">
      <c r="A17" s="10" t="inlineStr">
        <is>
          <t>F03</t>
        </is>
      </c>
      <c r="B17" s="10" t="inlineStr">
        <is>
          <t>FP</t>
        </is>
      </c>
      <c r="C17" s="10" t="inlineStr">
        <is>
          <t>Finerodyd 10; Finerodyd 20  |  Finerenone</t>
        </is>
      </c>
      <c r="D17" s="10" t="inlineStr">
        <is>
          <t>Content uniformity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</row>
    <row r="18">
      <c r="A18" s="10" t="inlineStr">
        <is>
          <t>F03</t>
        </is>
      </c>
      <c r="B18" s="10" t="inlineStr">
        <is>
          <t>FP</t>
        </is>
      </c>
      <c r="C18" s="10" t="inlineStr">
        <is>
          <t>Finerodyd 10; Finerodyd 20  |  Finerenone</t>
        </is>
      </c>
      <c r="D18" s="10" t="inlineStr">
        <is>
          <t>Identification (if separate from assay)</t>
        </is>
      </c>
      <c r="E18" s="10">
        <f>IF(A18="","",A18&amp;"|"&amp;D18)</f>
        <v/>
      </c>
      <c r="F18" s="5" t="inlineStr">
        <is>
          <t>N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</row>
    <row r="19">
      <c r="A19" s="10" t="inlineStr">
        <is>
          <t>F03</t>
        </is>
      </c>
      <c r="B19" s="10" t="inlineStr">
        <is>
          <t>FP</t>
        </is>
      </c>
      <c r="C19" s="10" t="inlineStr">
        <is>
          <t>Finerodyd 10; Finerodyd 20  |  Finerenone</t>
        </is>
      </c>
      <c r="D19" s="10" t="inlineStr">
        <is>
          <t>Other tests (non-HPLC: physical, LOD/KF, disintegration, pH, micro...)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Other / bench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Y</t>
        </is>
      </c>
      <c r="X19" s="5" t="n"/>
      <c r="Y19" s="5" t="n"/>
      <c r="Z19" s="5" t="n"/>
      <c r="AA19" s="5" t="n"/>
    </row>
    <row r="20">
      <c r="A20" s="10" t="inlineStr">
        <is>
          <t>F04</t>
        </is>
      </c>
      <c r="B20" s="10" t="inlineStr">
        <is>
          <t>FP</t>
        </is>
      </c>
      <c r="C20" s="10" t="inlineStr">
        <is>
          <t>Cardyd 20; Cardyd 40; Cardyd 80  |  Telmisartan</t>
        </is>
      </c>
      <c r="D20" s="10" t="inlineStr">
        <is>
          <t>Assay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HPLC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Y</t>
        </is>
      </c>
      <c r="X20" s="5" t="n"/>
      <c r="Y20" s="5" t="n"/>
      <c r="Z20" s="5" t="n"/>
      <c r="AA20" s="5" t="n"/>
    </row>
    <row r="21">
      <c r="A21" s="10" t="inlineStr">
        <is>
          <t>F04</t>
        </is>
      </c>
      <c r="B21" s="10" t="inlineStr">
        <is>
          <t>FP</t>
        </is>
      </c>
      <c r="C21" s="10" t="inlineStr">
        <is>
          <t>Cardyd 20; Cardyd 40; Cardyd 80  |  Telmisartan</t>
        </is>
      </c>
      <c r="D21" s="10" t="inlineStr">
        <is>
          <t>Related substances / impurities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inlineStr">
        <is>
          <t>Y</t>
        </is>
      </c>
      <c r="X21" s="5" t="n"/>
      <c r="Y21" s="5" t="n"/>
      <c r="Z21" s="5" t="n"/>
      <c r="AA21" s="5" t="n"/>
    </row>
    <row r="22">
      <c r="A22" s="10" t="inlineStr">
        <is>
          <t>F04</t>
        </is>
      </c>
      <c r="B22" s="10" t="inlineStr">
        <is>
          <t>FP</t>
        </is>
      </c>
      <c r="C22" s="10" t="inlineStr">
        <is>
          <t>Cardyd 20; Cardyd 40; Cardyd 80  |  Telmisartan</t>
        </is>
      </c>
      <c r="D22" s="10" t="inlineStr">
        <is>
          <t>Dissolution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inlineStr">
        <is>
          <t>Y</t>
        </is>
      </c>
      <c r="X22" s="5" t="n"/>
      <c r="Y22" s="5" t="n"/>
      <c r="Z22" s="5" t="n"/>
      <c r="AA22" s="5" t="n"/>
    </row>
    <row r="23">
      <c r="A23" s="10" t="inlineStr">
        <is>
          <t>F04</t>
        </is>
      </c>
      <c r="B23" s="10" t="inlineStr">
        <is>
          <t>FP</t>
        </is>
      </c>
      <c r="C23" s="10" t="inlineStr">
        <is>
          <t>Cardyd 20; Cardyd 40; Cardyd 80  |  Telmisartan</t>
        </is>
      </c>
      <c r="D23" s="10" t="inlineStr">
        <is>
          <t>Content uniformity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inlineStr">
        <is>
          <t>N</t>
        </is>
      </c>
      <c r="X23" s="5" t="n"/>
      <c r="Y23" s="5" t="n"/>
      <c r="Z23" s="5" t="n"/>
      <c r="AA23" s="5" t="n"/>
    </row>
    <row r="24">
      <c r="A24" s="10" t="inlineStr">
        <is>
          <t>F04</t>
        </is>
      </c>
      <c r="B24" s="10" t="inlineStr">
        <is>
          <t>FP</t>
        </is>
      </c>
      <c r="C24" s="10" t="inlineStr">
        <is>
          <t>Cardyd 20; Cardyd 40; Cardyd 80  |  Telmisartan</t>
        </is>
      </c>
      <c r="D24" s="10" t="inlineStr">
        <is>
          <t>Identification (if separate from assay)</t>
        </is>
      </c>
      <c r="E24" s="10">
        <f>IF(A24="","",A24&amp;"|"&amp;D24)</f>
        <v/>
      </c>
      <c r="F24" s="5" t="inlineStr">
        <is>
          <t>N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inlineStr">
        <is>
          <t>N</t>
        </is>
      </c>
      <c r="X24" s="5" t="n"/>
      <c r="Y24" s="5" t="n"/>
      <c r="Z24" s="5" t="n"/>
      <c r="AA24" s="5" t="n"/>
    </row>
    <row r="25">
      <c r="A25" s="10" t="inlineStr">
        <is>
          <t>F04</t>
        </is>
      </c>
      <c r="B25" s="10" t="inlineStr">
        <is>
          <t>FP</t>
        </is>
      </c>
      <c r="C25" s="10" t="inlineStr">
        <is>
          <t>Cardyd 20; Cardyd 40; Cardyd 80  |  Telmisartan</t>
        </is>
      </c>
      <c r="D25" s="10" t="inlineStr">
        <is>
          <t>Other tests (non-HPLC: physical, LOD/KF, disintegration, pH, micro...)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inlineStr">
        <is>
          <t>Y</t>
        </is>
      </c>
      <c r="X25" s="5" t="n"/>
      <c r="Y25" s="5" t="n"/>
      <c r="Z25" s="5" t="n"/>
      <c r="AA25" s="5" t="n"/>
    </row>
    <row r="26">
      <c r="A26" s="10" t="inlineStr">
        <is>
          <t>F05</t>
        </is>
      </c>
      <c r="B26" s="10" t="inlineStr">
        <is>
          <t>FP</t>
        </is>
      </c>
      <c r="C26" s="10" t="inlineStr">
        <is>
          <t>Cardyd-AM 80/5; Cardyd-AM 80/10; Cardyd-AM 40/5; Cardyd-AM 40/10  |  Telmisartan, Amlodipine Besylate</t>
        </is>
      </c>
      <c r="D26" s="10" t="inlineStr">
        <is>
          <t>Assay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HPLC</t>
        </is>
      </c>
      <c r="H26" s="5" t="inlineStr">
        <is>
          <t>Medium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inlineStr">
        <is>
          <t>Y</t>
        </is>
      </c>
      <c r="X26" s="5" t="n"/>
      <c r="Y26" s="5" t="n"/>
      <c r="Z26" s="5" t="n"/>
      <c r="AA26" s="5" t="n"/>
    </row>
    <row r="27">
      <c r="A27" s="10" t="inlineStr">
        <is>
          <t>F05</t>
        </is>
      </c>
      <c r="B27" s="10" t="inlineStr">
        <is>
          <t>FP</t>
        </is>
      </c>
      <c r="C27" s="10" t="inlineStr">
        <is>
          <t>Cardyd-AM 80/5; Cardyd-AM 80/10; Cardyd-AM 40/5; Cardyd-AM 40/10  |  Telmisartan, Amlodipine Besylate</t>
        </is>
      </c>
      <c r="D27" s="10" t="inlineStr">
        <is>
          <t>Related substances / impurities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inlineStr">
        <is>
          <t>Y</t>
        </is>
      </c>
      <c r="X27" s="5" t="n"/>
      <c r="Y27" s="5" t="n"/>
      <c r="Z27" s="5" t="n"/>
      <c r="AA27" s="5" t="n"/>
    </row>
    <row r="28">
      <c r="A28" s="10" t="inlineStr">
        <is>
          <t>F05</t>
        </is>
      </c>
      <c r="B28" s="10" t="inlineStr">
        <is>
          <t>FP</t>
        </is>
      </c>
      <c r="C28" s="10" t="inlineStr">
        <is>
          <t>Cardyd-AM 80/5; Cardyd-AM 80/10; Cardyd-AM 40/5; Cardyd-AM 40/10  |  Telmisartan, Amlodipine Besylate</t>
        </is>
      </c>
      <c r="D28" s="10" t="inlineStr">
        <is>
          <t>Dissolution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HPLC</t>
        </is>
      </c>
      <c r="H28" s="5" t="inlineStr">
        <is>
          <t>Medium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inlineStr">
        <is>
          <t>Y</t>
        </is>
      </c>
      <c r="X28" s="5" t="n"/>
      <c r="Y28" s="5" t="n"/>
      <c r="Z28" s="5" t="n"/>
      <c r="AA28" s="5" t="n"/>
    </row>
    <row r="29">
      <c r="A29" s="10" t="inlineStr">
        <is>
          <t>F05</t>
        </is>
      </c>
      <c r="B29" s="10" t="inlineStr">
        <is>
          <t>FP</t>
        </is>
      </c>
      <c r="C29" s="10" t="inlineStr">
        <is>
          <t>Cardyd-AM 80/5; Cardyd-AM 80/10; Cardyd-AM 40/5; Cardyd-AM 40/10  |  Telmisartan, Amlodipine Besylate</t>
        </is>
      </c>
      <c r="D29" s="10" t="inlineStr">
        <is>
          <t>Content uniformity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inlineStr">
        <is>
          <t>N</t>
        </is>
      </c>
      <c r="X29" s="5" t="n"/>
      <c r="Y29" s="5" t="n"/>
      <c r="Z29" s="5" t="n"/>
      <c r="AA29" s="5" t="n"/>
    </row>
    <row r="30">
      <c r="A30" s="10" t="inlineStr">
        <is>
          <t>F05</t>
        </is>
      </c>
      <c r="B30" s="10" t="inlineStr">
        <is>
          <t>FP</t>
        </is>
      </c>
      <c r="C30" s="10" t="inlineStr">
        <is>
          <t>Cardyd-AM 80/5; Cardyd-AM 80/10; Cardyd-AM 40/5; Cardyd-AM 40/10  |  Telmisartan, Amlodipine Besylate</t>
        </is>
      </c>
      <c r="D30" s="10" t="inlineStr">
        <is>
          <t>Identification (if separate from assay)</t>
        </is>
      </c>
      <c r="E30" s="10">
        <f>IF(A30="","",A30&amp;"|"&amp;D30)</f>
        <v/>
      </c>
      <c r="F30" s="5" t="inlineStr">
        <is>
          <t>N</t>
        </is>
      </c>
      <c r="G30" s="5" t="inlineStr">
        <is>
          <t>HPLC</t>
        </is>
      </c>
      <c r="H30" s="5" t="inlineStr">
        <is>
          <t>Medium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inlineStr">
        <is>
          <t>N</t>
        </is>
      </c>
      <c r="X30" s="5" t="n"/>
      <c r="Y30" s="5" t="n"/>
      <c r="Z30" s="5" t="n"/>
      <c r="AA30" s="5" t="n"/>
    </row>
    <row r="31">
      <c r="A31" s="10" t="inlineStr">
        <is>
          <t>F05</t>
        </is>
      </c>
      <c r="B31" s="10" t="inlineStr">
        <is>
          <t>FP</t>
        </is>
      </c>
      <c r="C31" s="10" t="inlineStr">
        <is>
          <t>Cardyd-AM 80/5; Cardyd-AM 80/10; Cardyd-AM 40/5; Cardyd-AM 40/10  |  Telmisartan, Amlodipine Besylate</t>
        </is>
      </c>
      <c r="D31" s="10" t="inlineStr">
        <is>
          <t>Other tests (non-HPLC: physical, LOD/KF, disintegration, pH, micro...)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inlineStr">
        <is>
          <t>Y</t>
        </is>
      </c>
      <c r="X31" s="5" t="n"/>
      <c r="Y31" s="5" t="n"/>
      <c r="Z31" s="5" t="n"/>
      <c r="AA31" s="5" t="n"/>
    </row>
    <row r="32">
      <c r="A32" s="10" t="inlineStr">
        <is>
          <t>F06</t>
        </is>
      </c>
      <c r="B32" s="10" t="inlineStr">
        <is>
          <t>FP</t>
        </is>
      </c>
      <c r="C32" s="10" t="inlineStr">
        <is>
          <t>Cardyd-H 40/12.5; Cardyd-H 80/12.5; Cardyd-H 80/25  |  Telmisartan, Hydrochlorothiazide</t>
        </is>
      </c>
      <c r="D32" s="10" t="inlineStr">
        <is>
          <t>Assay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HPLC</t>
        </is>
      </c>
      <c r="H32" s="5" t="inlineStr">
        <is>
          <t>Medium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inlineStr">
        <is>
          <t>Y</t>
        </is>
      </c>
      <c r="X32" s="5" t="n"/>
      <c r="Y32" s="5" t="n"/>
      <c r="Z32" s="5" t="n"/>
      <c r="AA32" s="5" t="n"/>
    </row>
    <row r="33">
      <c r="A33" s="10" t="inlineStr">
        <is>
          <t>F06</t>
        </is>
      </c>
      <c r="B33" s="10" t="inlineStr">
        <is>
          <t>FP</t>
        </is>
      </c>
      <c r="C33" s="10" t="inlineStr">
        <is>
          <t>Cardyd-H 40/12.5; Cardyd-H 80/12.5; Cardyd-H 80/25  |  Telmisartan, Hydrochlorothiazide</t>
        </is>
      </c>
      <c r="D33" s="10" t="inlineStr">
        <is>
          <t>Related substances / impurities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inlineStr">
        <is>
          <t>Y</t>
        </is>
      </c>
      <c r="X33" s="5" t="n"/>
      <c r="Y33" s="5" t="n"/>
      <c r="Z33" s="5" t="n"/>
      <c r="AA33" s="5" t="n"/>
    </row>
    <row r="34">
      <c r="A34" s="10" t="inlineStr">
        <is>
          <t>F06</t>
        </is>
      </c>
      <c r="B34" s="10" t="inlineStr">
        <is>
          <t>FP</t>
        </is>
      </c>
      <c r="C34" s="10" t="inlineStr">
        <is>
          <t>Cardyd-H 40/12.5; Cardyd-H 80/12.5; Cardyd-H 80/25  |  Telmisartan, Hydrochlorothiazide</t>
        </is>
      </c>
      <c r="D34" s="10" t="inlineStr">
        <is>
          <t>Dissolution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inlineStr">
        <is>
          <t>Y</t>
        </is>
      </c>
      <c r="X34" s="5" t="n"/>
      <c r="Y34" s="5" t="n"/>
      <c r="Z34" s="5" t="n"/>
      <c r="AA34" s="5" t="n"/>
    </row>
    <row r="35">
      <c r="A35" s="10" t="inlineStr">
        <is>
          <t>F06</t>
        </is>
      </c>
      <c r="B35" s="10" t="inlineStr">
        <is>
          <t>FP</t>
        </is>
      </c>
      <c r="C35" s="10" t="inlineStr">
        <is>
          <t>Cardyd-H 40/12.5; Cardyd-H 80/12.5; Cardyd-H 80/25  |  Telmisartan, Hydrochlorothiazide</t>
        </is>
      </c>
      <c r="D35" s="10" t="inlineStr">
        <is>
          <t>Content uniformity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inlineStr">
        <is>
          <t>N</t>
        </is>
      </c>
      <c r="X35" s="5" t="n"/>
      <c r="Y35" s="5" t="n"/>
      <c r="Z35" s="5" t="n"/>
      <c r="AA35" s="5" t="n"/>
    </row>
    <row r="36">
      <c r="A36" s="10" t="inlineStr">
        <is>
          <t>F06</t>
        </is>
      </c>
      <c r="B36" s="10" t="inlineStr">
        <is>
          <t>FP</t>
        </is>
      </c>
      <c r="C36" s="10" t="inlineStr">
        <is>
          <t>Cardyd-H 40/12.5; Cardyd-H 80/12.5; Cardyd-H 80/25  |  Telmisartan, Hydrochlorothiazide</t>
        </is>
      </c>
      <c r="D36" s="10" t="inlineStr">
        <is>
          <t>Identification (if separate from assay)</t>
        </is>
      </c>
      <c r="E36" s="10">
        <f>IF(A36="","",A36&amp;"|"&amp;D36)</f>
        <v/>
      </c>
      <c r="F36" s="5" t="inlineStr">
        <is>
          <t>N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inlineStr">
        <is>
          <t>N</t>
        </is>
      </c>
      <c r="X36" s="5" t="n"/>
      <c r="Y36" s="5" t="n"/>
      <c r="Z36" s="5" t="n"/>
      <c r="AA36" s="5" t="n"/>
    </row>
    <row r="37">
      <c r="A37" s="10" t="inlineStr">
        <is>
          <t>F06</t>
        </is>
      </c>
      <c r="B37" s="10" t="inlineStr">
        <is>
          <t>FP</t>
        </is>
      </c>
      <c r="C37" s="10" t="inlineStr">
        <is>
          <t>Cardyd-H 40/12.5; Cardyd-H 80/12.5; Cardyd-H 80/25  |  Telmisartan, Hydrochlorothiazide</t>
        </is>
      </c>
      <c r="D37" s="10" t="inlineStr">
        <is>
          <t>Other tests (non-HPLC: physical, LOD/KF, disintegration, pH, micro...)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Other / bench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Y</t>
        </is>
      </c>
      <c r="X37" s="5" t="n"/>
      <c r="Y37" s="5" t="n"/>
      <c r="Z37" s="5" t="n"/>
      <c r="AA37" s="5" t="n"/>
    </row>
    <row r="38">
      <c r="A38" s="10" t="inlineStr">
        <is>
          <t>F07</t>
        </is>
      </c>
      <c r="B38" s="10" t="inlineStr">
        <is>
          <t>FP</t>
        </is>
      </c>
      <c r="C38" s="10" t="inlineStr">
        <is>
          <t>Dexlansoprazole 60; Dexlansoprazole 30  |  Dexlansoprazole Pellets 20%</t>
        </is>
      </c>
      <c r="D38" s="10" t="inlineStr">
        <is>
          <t>Assay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HPLC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inlineStr">
        <is>
          <t>Y</t>
        </is>
      </c>
      <c r="X38" s="5" t="n"/>
      <c r="Y38" s="5" t="n"/>
      <c r="Z38" s="5" t="n"/>
      <c r="AA38" s="5" t="n"/>
    </row>
    <row r="39">
      <c r="A39" s="10" t="inlineStr">
        <is>
          <t>F07</t>
        </is>
      </c>
      <c r="B39" s="10" t="inlineStr">
        <is>
          <t>FP</t>
        </is>
      </c>
      <c r="C39" s="10" t="inlineStr">
        <is>
          <t>Dexlansoprazole 60; Dexlansoprazole 30  |  Dexlansoprazole Pellets 20%</t>
        </is>
      </c>
      <c r="D39" s="10" t="inlineStr">
        <is>
          <t>Related substances / impurities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Low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Y</t>
        </is>
      </c>
      <c r="X39" s="5" t="n"/>
      <c r="Y39" s="5" t="n"/>
      <c r="Z39" s="5" t="n"/>
      <c r="AA39" s="5" t="n"/>
    </row>
    <row r="40">
      <c r="A40" s="10" t="inlineStr">
        <is>
          <t>F07</t>
        </is>
      </c>
      <c r="B40" s="10" t="inlineStr">
        <is>
          <t>FP</t>
        </is>
      </c>
      <c r="C40" s="10" t="inlineStr">
        <is>
          <t>Dexlansoprazole 60; Dexlansoprazole 30  |  Dexlansoprazole Pellets 20%</t>
        </is>
      </c>
      <c r="D40" s="10" t="inlineStr">
        <is>
          <t>Dissolution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HPLC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Y</t>
        </is>
      </c>
      <c r="X40" s="5" t="n"/>
      <c r="Y40" s="5" t="n"/>
      <c r="Z40" s="5" t="n"/>
      <c r="AA40" s="5" t="n"/>
    </row>
    <row r="41">
      <c r="A41" s="10" t="inlineStr">
        <is>
          <t>F07</t>
        </is>
      </c>
      <c r="B41" s="10" t="inlineStr">
        <is>
          <t>FP</t>
        </is>
      </c>
      <c r="C41" s="10" t="inlineStr">
        <is>
          <t>Dexlansoprazole 60; Dexlansoprazole 30  |  Dexlansoprazole Pellets 20%</t>
        </is>
      </c>
      <c r="D41" s="10" t="inlineStr">
        <is>
          <t>Content uniformity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Low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</row>
    <row r="42">
      <c r="A42" s="10" t="inlineStr">
        <is>
          <t>F07</t>
        </is>
      </c>
      <c r="B42" s="10" t="inlineStr">
        <is>
          <t>FP</t>
        </is>
      </c>
      <c r="C42" s="10" t="inlineStr">
        <is>
          <t>Dexlansoprazole 60; Dexlansoprazole 30  |  Dexlansoprazole Pellets 20%</t>
        </is>
      </c>
      <c r="D42" s="10" t="inlineStr">
        <is>
          <t>Identification (if separate from assay)</t>
        </is>
      </c>
      <c r="E42" s="10">
        <f>IF(A42="","",A42&amp;"|"&amp;D42)</f>
        <v/>
      </c>
      <c r="F42" s="5" t="inlineStr">
        <is>
          <t>N</t>
        </is>
      </c>
      <c r="G42" s="5" t="inlineStr">
        <is>
          <t>HPLC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</row>
    <row r="43">
      <c r="A43" s="10" t="inlineStr">
        <is>
          <t>F07</t>
        </is>
      </c>
      <c r="B43" s="10" t="inlineStr">
        <is>
          <t>FP</t>
        </is>
      </c>
      <c r="C43" s="10" t="inlineStr">
        <is>
          <t>Dexlansoprazole 60; Dexlansoprazole 30  |  Dexlansoprazole Pellets 20%</t>
        </is>
      </c>
      <c r="D43" s="10" t="inlineStr">
        <is>
          <t>Other tests (non-HPLC: physical, LOD/KF, disintegration, pH, micro...)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14">
        <f>IF(N43="","",IF(OR(M43="",O43=""),N43,(M43+4*N43+O43)/6))</f>
        <v/>
      </c>
      <c r="Q43" s="5" t="n"/>
      <c r="R43" s="5" t="n"/>
      <c r="S43" s="5" t="n"/>
      <c r="T43" s="5" t="n"/>
      <c r="U43" s="5" t="n"/>
      <c r="V43" s="15" t="n"/>
      <c r="W43" s="5" t="inlineStr">
        <is>
          <t>Y</t>
        </is>
      </c>
      <c r="X43" s="5" t="n"/>
      <c r="Y43" s="5" t="n"/>
      <c r="Z43" s="5" t="n"/>
      <c r="AA43" s="5" t="n"/>
    </row>
    <row r="44">
      <c r="A44" s="10" t="inlineStr">
        <is>
          <t>F08</t>
        </is>
      </c>
      <c r="B44" s="10" t="inlineStr">
        <is>
          <t>FP</t>
        </is>
      </c>
      <c r="C44" s="10" t="inlineStr">
        <is>
          <t>Prucalopride 1; Prucalopride 2  |  Prucalopride Succinate</t>
        </is>
      </c>
      <c r="D44" s="10" t="inlineStr">
        <is>
          <t>Assay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HPLC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14">
        <f>IF(N44="","",IF(OR(M44="",O44=""),N44,(M44+4*N44+O44)/6))</f>
        <v/>
      </c>
      <c r="Q44" s="5" t="n"/>
      <c r="R44" s="5" t="n"/>
      <c r="S44" s="5" t="n"/>
      <c r="T44" s="5" t="n"/>
      <c r="U44" s="5" t="n"/>
      <c r="V44" s="15" t="n"/>
      <c r="W44" s="5" t="inlineStr">
        <is>
          <t>Y</t>
        </is>
      </c>
      <c r="X44" s="5" t="n"/>
      <c r="Y44" s="5" t="n"/>
      <c r="Z44" s="5" t="n"/>
      <c r="AA44" s="5" t="n"/>
    </row>
    <row r="45">
      <c r="A45" s="10" t="inlineStr">
        <is>
          <t>F08</t>
        </is>
      </c>
      <c r="B45" s="10" t="inlineStr">
        <is>
          <t>FP</t>
        </is>
      </c>
      <c r="C45" s="10" t="inlineStr">
        <is>
          <t>Prucalopride 1; Prucalopride 2  |  Prucalopride Succinate</t>
        </is>
      </c>
      <c r="D45" s="10" t="inlineStr">
        <is>
          <t>Related substances / impurities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14">
        <f>IF(N45="","",IF(OR(M45="",O45=""),N45,(M45+4*N45+O45)/6))</f>
        <v/>
      </c>
      <c r="Q45" s="5" t="n"/>
      <c r="R45" s="5" t="n"/>
      <c r="S45" s="5" t="n"/>
      <c r="T45" s="5" t="n"/>
      <c r="U45" s="5" t="n"/>
      <c r="V45" s="15" t="n"/>
      <c r="W45" s="5" t="inlineStr">
        <is>
          <t>Y</t>
        </is>
      </c>
      <c r="X45" s="5" t="n"/>
      <c r="Y45" s="5" t="n"/>
      <c r="Z45" s="5" t="n"/>
      <c r="AA45" s="5" t="n"/>
    </row>
    <row r="46">
      <c r="A46" s="10" t="inlineStr">
        <is>
          <t>F08</t>
        </is>
      </c>
      <c r="B46" s="10" t="inlineStr">
        <is>
          <t>FP</t>
        </is>
      </c>
      <c r="C46" s="10" t="inlineStr">
        <is>
          <t>Prucalopride 1; Prucalopride 2  |  Prucalopride Succinate</t>
        </is>
      </c>
      <c r="D46" s="10" t="inlineStr">
        <is>
          <t>Dissolution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Y</t>
        </is>
      </c>
      <c r="X46" s="5" t="n"/>
      <c r="Y46" s="5" t="n"/>
      <c r="Z46" s="5" t="n"/>
      <c r="AA46" s="5" t="n"/>
    </row>
    <row r="47">
      <c r="A47" s="10" t="inlineStr">
        <is>
          <t>F08</t>
        </is>
      </c>
      <c r="B47" s="10" t="inlineStr">
        <is>
          <t>FP</t>
        </is>
      </c>
      <c r="C47" s="10" t="inlineStr">
        <is>
          <t>Prucalopride 1; Prucalopride 2  |  Prucalopride Succinate</t>
        </is>
      </c>
      <c r="D47" s="10" t="inlineStr">
        <is>
          <t>Content uniformity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</row>
    <row r="48">
      <c r="A48" s="10" t="inlineStr">
        <is>
          <t>F08</t>
        </is>
      </c>
      <c r="B48" s="10" t="inlineStr">
        <is>
          <t>FP</t>
        </is>
      </c>
      <c r="C48" s="10" t="inlineStr">
        <is>
          <t>Prucalopride 1; Prucalopride 2  |  Prucalopride Succinate</t>
        </is>
      </c>
      <c r="D48" s="10" t="inlineStr">
        <is>
          <t>Identification (if separate from assay)</t>
        </is>
      </c>
      <c r="E48" s="10">
        <f>IF(A48="","",A48&amp;"|"&amp;D48)</f>
        <v/>
      </c>
      <c r="F48" s="5" t="inlineStr">
        <is>
          <t>N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14">
        <f>IF(N48="","",IF(OR(M48="",O48=""),N48,(M48+4*N48+O48)/6))</f>
        <v/>
      </c>
      <c r="Q48" s="5" t="n"/>
      <c r="R48" s="5" t="n"/>
      <c r="S48" s="5" t="n"/>
      <c r="T48" s="5" t="n"/>
      <c r="U48" s="5" t="n"/>
      <c r="V48" s="15" t="n"/>
      <c r="W48" s="5" t="inlineStr">
        <is>
          <t>N</t>
        </is>
      </c>
      <c r="X48" s="5" t="n"/>
      <c r="Y48" s="5" t="n"/>
      <c r="Z48" s="5" t="n"/>
      <c r="AA48" s="5" t="n"/>
    </row>
    <row r="49">
      <c r="A49" s="10" t="inlineStr">
        <is>
          <t>F08</t>
        </is>
      </c>
      <c r="B49" s="10" t="inlineStr">
        <is>
          <t>FP</t>
        </is>
      </c>
      <c r="C49" s="10" t="inlineStr">
        <is>
          <t>Prucalopride 1; Prucalopride 2  |  Prucalopride Succinate</t>
        </is>
      </c>
      <c r="D49" s="10" t="inlineStr">
        <is>
          <t>Other tests (non-HPLC: physical, LOD/KF, disintegration, pH, micro...)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14">
        <f>IF(N49="","",IF(OR(M49="",O49=""),N49,(M49+4*N49+O49)/6))</f>
        <v/>
      </c>
      <c r="Q49" s="5" t="n"/>
      <c r="R49" s="5" t="n"/>
      <c r="S49" s="5" t="n"/>
      <c r="T49" s="5" t="n"/>
      <c r="U49" s="5" t="n"/>
      <c r="V49" s="15" t="n"/>
      <c r="W49" s="5" t="inlineStr">
        <is>
          <t>Y</t>
        </is>
      </c>
      <c r="X49" s="5" t="n"/>
      <c r="Y49" s="5" t="n"/>
      <c r="Z49" s="5" t="n"/>
      <c r="AA49" s="5" t="n"/>
    </row>
    <row r="50">
      <c r="A50" s="10" t="inlineStr">
        <is>
          <t>F09</t>
        </is>
      </c>
      <c r="B50" s="10" t="inlineStr">
        <is>
          <t>FP</t>
        </is>
      </c>
      <c r="C50" s="10" t="inlineStr">
        <is>
          <t>Ranulo 500  |  Ranolazine</t>
        </is>
      </c>
      <c r="D50" s="10" t="inlineStr">
        <is>
          <t>Assay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HPLC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14">
        <f>IF(N50="","",IF(OR(M50="",O50=""),N50,(M50+4*N50+O50)/6))</f>
        <v/>
      </c>
      <c r="Q50" s="5" t="n"/>
      <c r="R50" s="5" t="n"/>
      <c r="S50" s="5" t="n"/>
      <c r="T50" s="5" t="n"/>
      <c r="U50" s="5" t="n"/>
      <c r="V50" s="15" t="n"/>
      <c r="W50" s="5" t="inlineStr">
        <is>
          <t>Y</t>
        </is>
      </c>
      <c r="X50" s="5" t="n"/>
      <c r="Y50" s="5" t="n"/>
      <c r="Z50" s="5" t="n"/>
      <c r="AA50" s="5" t="n"/>
    </row>
    <row r="51">
      <c r="A51" s="10" t="inlineStr">
        <is>
          <t>F09</t>
        </is>
      </c>
      <c r="B51" s="10" t="inlineStr">
        <is>
          <t>FP</t>
        </is>
      </c>
      <c r="C51" s="10" t="inlineStr">
        <is>
          <t>Ranulo 500  |  Ranolazine</t>
        </is>
      </c>
      <c r="D51" s="10" t="inlineStr">
        <is>
          <t>Related substances / impurities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14">
        <f>IF(N51="","",IF(OR(M51="",O51=""),N51,(M51+4*N51+O51)/6))</f>
        <v/>
      </c>
      <c r="Q51" s="5" t="n"/>
      <c r="R51" s="5" t="n"/>
      <c r="S51" s="5" t="n"/>
      <c r="T51" s="5" t="n"/>
      <c r="U51" s="5" t="n"/>
      <c r="V51" s="15" t="n"/>
      <c r="W51" s="5" t="inlineStr">
        <is>
          <t>Y</t>
        </is>
      </c>
      <c r="X51" s="5" t="n"/>
      <c r="Y51" s="5" t="n"/>
      <c r="Z51" s="5" t="n"/>
      <c r="AA51" s="5" t="n"/>
    </row>
    <row r="52">
      <c r="A52" s="10" t="inlineStr">
        <is>
          <t>F09</t>
        </is>
      </c>
      <c r="B52" s="10" t="inlineStr">
        <is>
          <t>FP</t>
        </is>
      </c>
      <c r="C52" s="10" t="inlineStr">
        <is>
          <t>Ranulo 500  |  Ranolazine</t>
        </is>
      </c>
      <c r="D52" s="10" t="inlineStr">
        <is>
          <t>Dissolution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14">
        <f>IF(N52="","",IF(OR(M52="",O52=""),N52,(M52+4*N52+O52)/6))</f>
        <v/>
      </c>
      <c r="Q52" s="5" t="n"/>
      <c r="R52" s="5" t="n"/>
      <c r="S52" s="5" t="n"/>
      <c r="T52" s="5" t="n"/>
      <c r="U52" s="5" t="n"/>
      <c r="V52" s="15" t="n"/>
      <c r="W52" s="5" t="inlineStr">
        <is>
          <t>Y</t>
        </is>
      </c>
      <c r="X52" s="5" t="n"/>
      <c r="Y52" s="5" t="n"/>
      <c r="Z52" s="5" t="n"/>
      <c r="AA52" s="5" t="n"/>
    </row>
    <row r="53">
      <c r="A53" s="10" t="inlineStr">
        <is>
          <t>F09</t>
        </is>
      </c>
      <c r="B53" s="10" t="inlineStr">
        <is>
          <t>FP</t>
        </is>
      </c>
      <c r="C53" s="10" t="inlineStr">
        <is>
          <t>Ranulo 500  |  Ranolazine</t>
        </is>
      </c>
      <c r="D53" s="10" t="inlineStr">
        <is>
          <t>Content uniformity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</row>
    <row r="54">
      <c r="A54" s="10" t="inlineStr">
        <is>
          <t>F09</t>
        </is>
      </c>
      <c r="B54" s="10" t="inlineStr">
        <is>
          <t>FP</t>
        </is>
      </c>
      <c r="C54" s="10" t="inlineStr">
        <is>
          <t>Ranulo 500  |  Ranolazine</t>
        </is>
      </c>
      <c r="D54" s="10" t="inlineStr">
        <is>
          <t>Identification (if separate from assay)</t>
        </is>
      </c>
      <c r="E54" s="10">
        <f>IF(A54="","",A54&amp;"|"&amp;D54)</f>
        <v/>
      </c>
      <c r="F54" s="5" t="inlineStr">
        <is>
          <t>N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</row>
    <row r="55">
      <c r="A55" s="10" t="inlineStr">
        <is>
          <t>F09</t>
        </is>
      </c>
      <c r="B55" s="10" t="inlineStr">
        <is>
          <t>FP</t>
        </is>
      </c>
      <c r="C55" s="10" t="inlineStr">
        <is>
          <t>Ranulo 500  |  Ranolazine</t>
        </is>
      </c>
      <c r="D55" s="10" t="inlineStr">
        <is>
          <t>Other tests (non-HPLC: physical, LOD/KF, disintegration, pH, micro...)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14">
        <f>IF(N55="","",IF(OR(M55="",O55=""),N55,(M55+4*N55+O55)/6))</f>
        <v/>
      </c>
      <c r="Q55" s="5" t="n"/>
      <c r="R55" s="5" t="n"/>
      <c r="S55" s="5" t="n"/>
      <c r="T55" s="5" t="n"/>
      <c r="U55" s="5" t="n"/>
      <c r="V55" s="15" t="n"/>
      <c r="W55" s="5" t="inlineStr">
        <is>
          <t>Y</t>
        </is>
      </c>
      <c r="X55" s="5" t="n"/>
      <c r="Y55" s="5" t="n"/>
      <c r="Z55" s="5" t="n"/>
      <c r="AA55" s="5" t="n"/>
    </row>
    <row r="56">
      <c r="A56" s="10" t="inlineStr">
        <is>
          <t>F10</t>
        </is>
      </c>
      <c r="B56" s="10" t="inlineStr">
        <is>
          <t>FP</t>
        </is>
      </c>
      <c r="C56" s="10" t="inlineStr">
        <is>
          <t>Bempedoic Acid 180  |  Bempedoic Acid</t>
        </is>
      </c>
      <c r="D56" s="10" t="inlineStr">
        <is>
          <t>Assay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HPLC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14">
        <f>IF(N56="","",IF(OR(M56="",O56=""),N56,(M56+4*N56+O56)/6))</f>
        <v/>
      </c>
      <c r="Q56" s="5" t="n"/>
      <c r="R56" s="5" t="n"/>
      <c r="S56" s="5" t="n"/>
      <c r="T56" s="5" t="n"/>
      <c r="U56" s="5" t="n"/>
      <c r="V56" s="15" t="n"/>
      <c r="W56" s="5" t="inlineStr">
        <is>
          <t>Y</t>
        </is>
      </c>
      <c r="X56" s="5" t="n"/>
      <c r="Y56" s="5" t="n"/>
      <c r="Z56" s="5" t="n"/>
      <c r="AA56" s="5" t="n"/>
    </row>
    <row r="57">
      <c r="A57" s="10" t="inlineStr">
        <is>
          <t>F10</t>
        </is>
      </c>
      <c r="B57" s="10" t="inlineStr">
        <is>
          <t>FP</t>
        </is>
      </c>
      <c r="C57" s="10" t="inlineStr">
        <is>
          <t>Bempedoic Acid 180  |  Bempedoic Acid</t>
        </is>
      </c>
      <c r="D57" s="10" t="inlineStr">
        <is>
          <t>Related substances / impurities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14">
        <f>IF(N57="","",IF(OR(M57="",O57=""),N57,(M57+4*N57+O57)/6))</f>
        <v/>
      </c>
      <c r="Q57" s="5" t="n"/>
      <c r="R57" s="5" t="n"/>
      <c r="S57" s="5" t="n"/>
      <c r="T57" s="5" t="n"/>
      <c r="U57" s="5" t="n"/>
      <c r="V57" s="15" t="n"/>
      <c r="W57" s="5" t="inlineStr">
        <is>
          <t>Y</t>
        </is>
      </c>
      <c r="X57" s="5" t="n"/>
      <c r="Y57" s="5" t="n"/>
      <c r="Z57" s="5" t="n"/>
      <c r="AA57" s="5" t="n"/>
    </row>
    <row r="58">
      <c r="A58" s="10" t="inlineStr">
        <is>
          <t>F10</t>
        </is>
      </c>
      <c r="B58" s="10" t="inlineStr">
        <is>
          <t>FP</t>
        </is>
      </c>
      <c r="C58" s="10" t="inlineStr">
        <is>
          <t>Bempedoic Acid 180  |  Bempedoic Acid</t>
        </is>
      </c>
      <c r="D58" s="10" t="inlineStr">
        <is>
          <t>Dissolution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14">
        <f>IF(N58="","",IF(OR(M58="",O58=""),N58,(M58+4*N58+O58)/6))</f>
        <v/>
      </c>
      <c r="Q58" s="5" t="n"/>
      <c r="R58" s="5" t="n"/>
      <c r="S58" s="5" t="n"/>
      <c r="T58" s="5" t="n"/>
      <c r="U58" s="5" t="n"/>
      <c r="V58" s="15" t="n"/>
      <c r="W58" s="5" t="inlineStr">
        <is>
          <t>Y</t>
        </is>
      </c>
      <c r="X58" s="5" t="n"/>
      <c r="Y58" s="5" t="n"/>
      <c r="Z58" s="5" t="n"/>
      <c r="AA58" s="5" t="n"/>
    </row>
    <row r="59">
      <c r="A59" s="10" t="inlineStr">
        <is>
          <t>F10</t>
        </is>
      </c>
      <c r="B59" s="10" t="inlineStr">
        <is>
          <t>FP</t>
        </is>
      </c>
      <c r="C59" s="10" t="inlineStr">
        <is>
          <t>Bempedoic Acid 180  |  Bempedoic Acid</t>
        </is>
      </c>
      <c r="D59" s="10" t="inlineStr">
        <is>
          <t>Content uniformity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14">
        <f>IF(N59="","",IF(OR(M59="",O59=""),N59,(M59+4*N59+O59)/6))</f>
        <v/>
      </c>
      <c r="Q59" s="5" t="n"/>
      <c r="R59" s="5" t="n"/>
      <c r="S59" s="5" t="n"/>
      <c r="T59" s="5" t="n"/>
      <c r="U59" s="5" t="n"/>
      <c r="V59" s="15" t="n"/>
      <c r="W59" s="5" t="inlineStr">
        <is>
          <t>N</t>
        </is>
      </c>
      <c r="X59" s="5" t="n"/>
      <c r="Y59" s="5" t="n"/>
      <c r="Z59" s="5" t="n"/>
      <c r="AA59" s="5" t="n"/>
    </row>
    <row r="60">
      <c r="A60" s="10" t="inlineStr">
        <is>
          <t>F10</t>
        </is>
      </c>
      <c r="B60" s="10" t="inlineStr">
        <is>
          <t>FP</t>
        </is>
      </c>
      <c r="C60" s="10" t="inlineStr">
        <is>
          <t>Bempedoic Acid 180  |  Bempedoic Acid</t>
        </is>
      </c>
      <c r="D60" s="10" t="inlineStr">
        <is>
          <t>Identification (if separate from assay)</t>
        </is>
      </c>
      <c r="E60" s="10">
        <f>IF(A60="","",A60&amp;"|"&amp;D60)</f>
        <v/>
      </c>
      <c r="F60" s="5" t="inlineStr">
        <is>
          <t>N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14">
        <f>IF(N60="","",IF(OR(M60="",O60=""),N60,(M60+4*N60+O60)/6))</f>
        <v/>
      </c>
      <c r="Q60" s="5" t="n"/>
      <c r="R60" s="5" t="n"/>
      <c r="S60" s="5" t="n"/>
      <c r="T60" s="5" t="n"/>
      <c r="U60" s="5" t="n"/>
      <c r="V60" s="15" t="n"/>
      <c r="W60" s="5" t="inlineStr">
        <is>
          <t>N</t>
        </is>
      </c>
      <c r="X60" s="5" t="n"/>
      <c r="Y60" s="5" t="n"/>
      <c r="Z60" s="5" t="n"/>
      <c r="AA60" s="5" t="n"/>
    </row>
    <row r="61">
      <c r="A61" s="10" t="inlineStr">
        <is>
          <t>F10</t>
        </is>
      </c>
      <c r="B61" s="10" t="inlineStr">
        <is>
          <t>FP</t>
        </is>
      </c>
      <c r="C61" s="10" t="inlineStr">
        <is>
          <t>Bempedoic Acid 180  |  Bempedoic Acid</t>
        </is>
      </c>
      <c r="D61" s="10" t="inlineStr">
        <is>
          <t>Other tests (non-HPLC: physical, LOD/KF, disintegration, pH, micro...)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14">
        <f>IF(N61="","",IF(OR(M61="",O61=""),N61,(M61+4*N61+O61)/6))</f>
        <v/>
      </c>
      <c r="Q61" s="5" t="n"/>
      <c r="R61" s="5" t="n"/>
      <c r="S61" s="5" t="n"/>
      <c r="T61" s="5" t="n"/>
      <c r="U61" s="5" t="n"/>
      <c r="V61" s="15" t="n"/>
      <c r="W61" s="5" t="inlineStr">
        <is>
          <t>Y</t>
        </is>
      </c>
      <c r="X61" s="5" t="n"/>
      <c r="Y61" s="5" t="n"/>
      <c r="Z61" s="5" t="n"/>
      <c r="AA61" s="5" t="n"/>
    </row>
    <row r="62">
      <c r="A62" s="10" t="inlineStr">
        <is>
          <t>F11</t>
        </is>
      </c>
      <c r="B62" s="10" t="inlineStr">
        <is>
          <t>FP</t>
        </is>
      </c>
      <c r="C62" s="10" t="inlineStr">
        <is>
          <t>Bempedoic Ezetimibe 180/10  |  Bempedoic Acid, Ezetimibe</t>
        </is>
      </c>
      <c r="D62" s="10" t="inlineStr">
        <is>
          <t>Assay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HPLC</t>
        </is>
      </c>
      <c r="H62" s="5" t="inlineStr">
        <is>
          <t>Medium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14">
        <f>IF(N62="","",IF(OR(M62="",O62=""),N62,(M62+4*N62+O62)/6))</f>
        <v/>
      </c>
      <c r="Q62" s="5" t="n"/>
      <c r="R62" s="5" t="n"/>
      <c r="S62" s="5" t="n"/>
      <c r="T62" s="5" t="n"/>
      <c r="U62" s="5" t="n"/>
      <c r="V62" s="15" t="n"/>
      <c r="W62" s="5" t="inlineStr">
        <is>
          <t>Y</t>
        </is>
      </c>
      <c r="X62" s="5" t="n"/>
      <c r="Y62" s="5" t="n"/>
      <c r="Z62" s="5" t="n"/>
      <c r="AA62" s="5" t="n"/>
    </row>
    <row r="63">
      <c r="A63" s="10" t="inlineStr">
        <is>
          <t>F11</t>
        </is>
      </c>
      <c r="B63" s="10" t="inlineStr">
        <is>
          <t>FP</t>
        </is>
      </c>
      <c r="C63" s="10" t="inlineStr">
        <is>
          <t>Bempedoic Ezetimibe 180/10  |  Bempedoic Acid, Ezetimibe</t>
        </is>
      </c>
      <c r="D63" s="10" t="inlineStr">
        <is>
          <t>Related substances / impurities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Y</t>
        </is>
      </c>
      <c r="X63" s="5" t="n"/>
      <c r="Y63" s="5" t="n"/>
      <c r="Z63" s="5" t="n"/>
      <c r="AA63" s="5" t="n"/>
    </row>
    <row r="64">
      <c r="A64" s="10" t="inlineStr">
        <is>
          <t>F11</t>
        </is>
      </c>
      <c r="B64" s="10" t="inlineStr">
        <is>
          <t>FP</t>
        </is>
      </c>
      <c r="C64" s="10" t="inlineStr">
        <is>
          <t>Bempedoic Ezetimibe 180/10  |  Bempedoic Acid, Ezetimibe</t>
        </is>
      </c>
      <c r="D64" s="10" t="inlineStr">
        <is>
          <t>Dissolution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HPLC</t>
        </is>
      </c>
      <c r="H64" s="5" t="inlineStr">
        <is>
          <t>Medium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14">
        <f>IF(N64="","",IF(OR(M64="",O64=""),N64,(M64+4*N64+O64)/6))</f>
        <v/>
      </c>
      <c r="Q64" s="5" t="n"/>
      <c r="R64" s="5" t="n"/>
      <c r="S64" s="5" t="n"/>
      <c r="T64" s="5" t="n"/>
      <c r="U64" s="5" t="n"/>
      <c r="V64" s="15" t="n"/>
      <c r="W64" s="5" t="inlineStr">
        <is>
          <t>Y</t>
        </is>
      </c>
      <c r="X64" s="5" t="n"/>
      <c r="Y64" s="5" t="n"/>
      <c r="Z64" s="5" t="n"/>
      <c r="AA64" s="5" t="n"/>
    </row>
    <row r="65">
      <c r="A65" s="10" t="inlineStr">
        <is>
          <t>F11</t>
        </is>
      </c>
      <c r="B65" s="10" t="inlineStr">
        <is>
          <t>FP</t>
        </is>
      </c>
      <c r="C65" s="10" t="inlineStr">
        <is>
          <t>Bempedoic Ezetimibe 180/10  |  Bempedoic Acid, Ezetimibe</t>
        </is>
      </c>
      <c r="D65" s="10" t="inlineStr">
        <is>
          <t>Content uniformity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</row>
    <row r="66">
      <c r="A66" s="10" t="inlineStr">
        <is>
          <t>F11</t>
        </is>
      </c>
      <c r="B66" s="10" t="inlineStr">
        <is>
          <t>FP</t>
        </is>
      </c>
      <c r="C66" s="10" t="inlineStr">
        <is>
          <t>Bempedoic Ezetimibe 180/10  |  Bempedoic Acid, Ezetimibe</t>
        </is>
      </c>
      <c r="D66" s="10" t="inlineStr">
        <is>
          <t>Identification (if separate from assay)</t>
        </is>
      </c>
      <c r="E66" s="10">
        <f>IF(A66="","",A66&amp;"|"&amp;D66)</f>
        <v/>
      </c>
      <c r="F66" s="5" t="inlineStr">
        <is>
          <t>N</t>
        </is>
      </c>
      <c r="G66" s="5" t="inlineStr">
        <is>
          <t>HPLC</t>
        </is>
      </c>
      <c r="H66" s="5" t="inlineStr">
        <is>
          <t>Medium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14">
        <f>IF(N66="","",IF(OR(M66="",O66=""),N66,(M66+4*N66+O66)/6))</f>
        <v/>
      </c>
      <c r="Q66" s="5" t="n"/>
      <c r="R66" s="5" t="n"/>
      <c r="S66" s="5" t="n"/>
      <c r="T66" s="5" t="n"/>
      <c r="U66" s="5" t="n"/>
      <c r="V66" s="15" t="n"/>
      <c r="W66" s="5" t="inlineStr">
        <is>
          <t>N</t>
        </is>
      </c>
      <c r="X66" s="5" t="n"/>
      <c r="Y66" s="5" t="n"/>
      <c r="Z66" s="5" t="n"/>
      <c r="AA66" s="5" t="n"/>
    </row>
    <row r="67">
      <c r="A67" s="10" t="inlineStr">
        <is>
          <t>F11</t>
        </is>
      </c>
      <c r="B67" s="10" t="inlineStr">
        <is>
          <t>FP</t>
        </is>
      </c>
      <c r="C67" s="10" t="inlineStr">
        <is>
          <t>Bempedoic Ezetimibe 180/10  |  Bempedoic Acid, Ezetimibe</t>
        </is>
      </c>
      <c r="D67" s="10" t="inlineStr">
        <is>
          <t>Other tests (non-HPLC: physical, LOD/KF, disintegration, pH, micro...)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14">
        <f>IF(N67="","",IF(OR(M67="",O67=""),N67,(M67+4*N67+O67)/6))</f>
        <v/>
      </c>
      <c r="Q67" s="5" t="n"/>
      <c r="R67" s="5" t="n"/>
      <c r="S67" s="5" t="n"/>
      <c r="T67" s="5" t="n"/>
      <c r="U67" s="5" t="n"/>
      <c r="V67" s="15" t="n"/>
      <c r="W67" s="5" t="inlineStr">
        <is>
          <t>Y</t>
        </is>
      </c>
      <c r="X67" s="5" t="n"/>
      <c r="Y67" s="5" t="n"/>
      <c r="Z67" s="5" t="n"/>
      <c r="AA67" s="5" t="n"/>
    </row>
    <row r="68">
      <c r="A68" s="10" t="inlineStr">
        <is>
          <t>F12</t>
        </is>
      </c>
      <c r="B68" s="10" t="inlineStr">
        <is>
          <t>FP</t>
        </is>
      </c>
      <c r="C68" s="10" t="inlineStr">
        <is>
          <t>loperamide 2  |  Loperamide HCl</t>
        </is>
      </c>
      <c r="D68" s="10" t="inlineStr">
        <is>
          <t>Assay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HPLC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14">
        <f>IF(N68="","",IF(OR(M68="",O68=""),N68,(M68+4*N68+O68)/6))</f>
        <v/>
      </c>
      <c r="Q68" s="5" t="n"/>
      <c r="R68" s="5" t="n"/>
      <c r="S68" s="5" t="n"/>
      <c r="T68" s="5" t="n"/>
      <c r="U68" s="5" t="n"/>
      <c r="V68" s="15" t="n"/>
      <c r="W68" s="5" t="inlineStr">
        <is>
          <t>Y</t>
        </is>
      </c>
      <c r="X68" s="5" t="n"/>
      <c r="Y68" s="5" t="n"/>
      <c r="Z68" s="5" t="n"/>
      <c r="AA68" s="5" t="n"/>
    </row>
    <row r="69">
      <c r="A69" s="10" t="inlineStr">
        <is>
          <t>F12</t>
        </is>
      </c>
      <c r="B69" s="10" t="inlineStr">
        <is>
          <t>FP</t>
        </is>
      </c>
      <c r="C69" s="10" t="inlineStr">
        <is>
          <t>loperamide 2  |  Loperamide HCl</t>
        </is>
      </c>
      <c r="D69" s="10" t="inlineStr">
        <is>
          <t>Related substances / impurities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HPLC</t>
        </is>
      </c>
      <c r="H69" s="5" t="inlineStr">
        <is>
          <t>Low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14">
        <f>IF(N69="","",IF(OR(M69="",O69=""),N69,(M69+4*N69+O69)/6))</f>
        <v/>
      </c>
      <c r="Q69" s="5" t="n"/>
      <c r="R69" s="5" t="n"/>
      <c r="S69" s="5" t="n"/>
      <c r="T69" s="5" t="n"/>
      <c r="U69" s="5" t="n"/>
      <c r="V69" s="15" t="n"/>
      <c r="W69" s="5" t="inlineStr">
        <is>
          <t>Y</t>
        </is>
      </c>
      <c r="X69" s="5" t="n"/>
      <c r="Y69" s="5" t="n"/>
      <c r="Z69" s="5" t="n"/>
      <c r="AA69" s="5" t="n"/>
    </row>
    <row r="70">
      <c r="A70" s="10" t="inlineStr">
        <is>
          <t>F12</t>
        </is>
      </c>
      <c r="B70" s="10" t="inlineStr">
        <is>
          <t>FP</t>
        </is>
      </c>
      <c r="C70" s="10" t="inlineStr">
        <is>
          <t>loperamide 2  |  Loperamide HCl</t>
        </is>
      </c>
      <c r="D70" s="10" t="inlineStr">
        <is>
          <t>Dissolution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HPLC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14">
        <f>IF(N70="","",IF(OR(M70="",O70=""),N70,(M70+4*N70+O70)/6))</f>
        <v/>
      </c>
      <c r="Q70" s="5" t="n"/>
      <c r="R70" s="5" t="n"/>
      <c r="S70" s="5" t="n"/>
      <c r="T70" s="5" t="n"/>
      <c r="U70" s="5" t="n"/>
      <c r="V70" s="15" t="n"/>
      <c r="W70" s="5" t="inlineStr">
        <is>
          <t>Y</t>
        </is>
      </c>
      <c r="X70" s="5" t="n"/>
      <c r="Y70" s="5" t="n"/>
      <c r="Z70" s="5" t="n"/>
      <c r="AA70" s="5" t="n"/>
    </row>
    <row r="71">
      <c r="A71" s="10" t="inlineStr">
        <is>
          <t>F12</t>
        </is>
      </c>
      <c r="B71" s="10" t="inlineStr">
        <is>
          <t>FP</t>
        </is>
      </c>
      <c r="C71" s="10" t="inlineStr">
        <is>
          <t>loperamide 2  |  Loperamide HCl</t>
        </is>
      </c>
      <c r="D71" s="10" t="inlineStr">
        <is>
          <t>Content uniformity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HPLC</t>
        </is>
      </c>
      <c r="H71" s="5" t="inlineStr">
        <is>
          <t>Low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14">
        <f>IF(N71="","",IF(OR(M71="",O71=""),N71,(M71+4*N71+O71)/6))</f>
        <v/>
      </c>
      <c r="Q71" s="5" t="n"/>
      <c r="R71" s="5" t="n"/>
      <c r="S71" s="5" t="n"/>
      <c r="T71" s="5" t="n"/>
      <c r="U71" s="5" t="n"/>
      <c r="V71" s="15" t="n"/>
      <c r="W71" s="5" t="inlineStr">
        <is>
          <t>N</t>
        </is>
      </c>
      <c r="X71" s="5" t="n"/>
      <c r="Y71" s="5" t="n"/>
      <c r="Z71" s="5" t="n"/>
      <c r="AA71" s="5" t="n"/>
    </row>
    <row r="72">
      <c r="A72" s="10" t="inlineStr">
        <is>
          <t>F12</t>
        </is>
      </c>
      <c r="B72" s="10" t="inlineStr">
        <is>
          <t>FP</t>
        </is>
      </c>
      <c r="C72" s="10" t="inlineStr">
        <is>
          <t>loperamide 2  |  Loperamide HCl</t>
        </is>
      </c>
      <c r="D72" s="10" t="inlineStr">
        <is>
          <t>Identification (if separate from assay)</t>
        </is>
      </c>
      <c r="E72" s="10">
        <f>IF(A72="","",A72&amp;"|"&amp;D72)</f>
        <v/>
      </c>
      <c r="F72" s="5" t="inlineStr">
        <is>
          <t>N</t>
        </is>
      </c>
      <c r="G72" s="5" t="inlineStr">
        <is>
          <t>HPLC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14">
        <f>IF(N72="","",IF(OR(M72="",O72=""),N72,(M72+4*N72+O72)/6))</f>
        <v/>
      </c>
      <c r="Q72" s="5" t="n"/>
      <c r="R72" s="5" t="n"/>
      <c r="S72" s="5" t="n"/>
      <c r="T72" s="5" t="n"/>
      <c r="U72" s="5" t="n"/>
      <c r="V72" s="15" t="n"/>
      <c r="W72" s="5" t="inlineStr">
        <is>
          <t>N</t>
        </is>
      </c>
      <c r="X72" s="5" t="n"/>
      <c r="Y72" s="5" t="n"/>
      <c r="Z72" s="5" t="n"/>
      <c r="AA72" s="5" t="n"/>
    </row>
    <row r="73">
      <c r="A73" s="10" t="inlineStr">
        <is>
          <t>F12</t>
        </is>
      </c>
      <c r="B73" s="10" t="inlineStr">
        <is>
          <t>FP</t>
        </is>
      </c>
      <c r="C73" s="10" t="inlineStr">
        <is>
          <t>loperamide 2  |  Loperamide HCl</t>
        </is>
      </c>
      <c r="D73" s="10" t="inlineStr">
        <is>
          <t>Other tests (non-HPLC: physical, LOD/KF, disintegration, pH, micro...)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14">
        <f>IF(N73="","",IF(OR(M73="",O73=""),N73,(M73+4*N73+O73)/6))</f>
        <v/>
      </c>
      <c r="Q73" s="5" t="n"/>
      <c r="R73" s="5" t="n"/>
      <c r="S73" s="5" t="n"/>
      <c r="T73" s="5" t="n"/>
      <c r="U73" s="5" t="n"/>
      <c r="V73" s="15" t="n"/>
      <c r="W73" s="5" t="inlineStr">
        <is>
          <t>Y</t>
        </is>
      </c>
      <c r="X73" s="5" t="n"/>
      <c r="Y73" s="5" t="n"/>
      <c r="Z73" s="5" t="n"/>
      <c r="AA73" s="5" t="n"/>
    </row>
    <row r="74">
      <c r="A74" s="10" t="inlineStr">
        <is>
          <t>F13</t>
        </is>
      </c>
      <c r="B74" s="10" t="inlineStr">
        <is>
          <t>FP</t>
        </is>
      </c>
      <c r="C74" s="10" t="inlineStr">
        <is>
          <t>Naproxen 750  |  Naproxen</t>
        </is>
      </c>
      <c r="D74" s="10" t="inlineStr">
        <is>
          <t>Assay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HPLC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14">
        <f>IF(N74="","",IF(OR(M74="",O74=""),N74,(M74+4*N74+O74)/6))</f>
        <v/>
      </c>
      <c r="Q74" s="5" t="n"/>
      <c r="R74" s="5" t="n"/>
      <c r="S74" s="5" t="n"/>
      <c r="T74" s="5" t="n"/>
      <c r="U74" s="5" t="n"/>
      <c r="V74" s="15" t="n"/>
      <c r="W74" s="5" t="inlineStr">
        <is>
          <t>Y</t>
        </is>
      </c>
      <c r="X74" s="5" t="n"/>
      <c r="Y74" s="5" t="n"/>
      <c r="Z74" s="5" t="n"/>
      <c r="AA74" s="5" t="n"/>
    </row>
    <row r="75">
      <c r="A75" s="10" t="inlineStr">
        <is>
          <t>F13</t>
        </is>
      </c>
      <c r="B75" s="10" t="inlineStr">
        <is>
          <t>FP</t>
        </is>
      </c>
      <c r="C75" s="10" t="inlineStr">
        <is>
          <t>Naproxen 750  |  Naproxen</t>
        </is>
      </c>
      <c r="D75" s="10" t="inlineStr">
        <is>
          <t>Related substances / impurities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14">
        <f>IF(N75="","",IF(OR(M75="",O75=""),N75,(M75+4*N75+O75)/6))</f>
        <v/>
      </c>
      <c r="Q75" s="5" t="n"/>
      <c r="R75" s="5" t="n"/>
      <c r="S75" s="5" t="n"/>
      <c r="T75" s="5" t="n"/>
      <c r="U75" s="5" t="n"/>
      <c r="V75" s="15" t="n"/>
      <c r="W75" s="5" t="inlineStr">
        <is>
          <t>Y</t>
        </is>
      </c>
      <c r="X75" s="5" t="n"/>
      <c r="Y75" s="5" t="n"/>
      <c r="Z75" s="5" t="n"/>
      <c r="AA75" s="5" t="n"/>
    </row>
    <row r="76">
      <c r="A76" s="10" t="inlineStr">
        <is>
          <t>F13</t>
        </is>
      </c>
      <c r="B76" s="10" t="inlineStr">
        <is>
          <t>FP</t>
        </is>
      </c>
      <c r="C76" s="10" t="inlineStr">
        <is>
          <t>Naproxen 750  |  Naproxen</t>
        </is>
      </c>
      <c r="D76" s="10" t="inlineStr">
        <is>
          <t>Dissolution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14">
        <f>IF(N76="","",IF(OR(M76="",O76=""),N76,(M76+4*N76+O76)/6))</f>
        <v/>
      </c>
      <c r="Q76" s="5" t="n"/>
      <c r="R76" s="5" t="n"/>
      <c r="S76" s="5" t="n"/>
      <c r="T76" s="5" t="n"/>
      <c r="U76" s="5" t="n"/>
      <c r="V76" s="15" t="n"/>
      <c r="W76" s="5" t="inlineStr">
        <is>
          <t>Y</t>
        </is>
      </c>
      <c r="X76" s="5" t="n"/>
      <c r="Y76" s="5" t="n"/>
      <c r="Z76" s="5" t="n"/>
      <c r="AA76" s="5" t="n"/>
    </row>
    <row r="77">
      <c r="A77" s="10" t="inlineStr">
        <is>
          <t>F13</t>
        </is>
      </c>
      <c r="B77" s="10" t="inlineStr">
        <is>
          <t>FP</t>
        </is>
      </c>
      <c r="C77" s="10" t="inlineStr">
        <is>
          <t>Naproxen 750  |  Naproxen</t>
        </is>
      </c>
      <c r="D77" s="10" t="inlineStr">
        <is>
          <t>Content uniformity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14">
        <f>IF(N77="","",IF(OR(M77="",O77=""),N77,(M77+4*N77+O77)/6))</f>
        <v/>
      </c>
      <c r="Q77" s="5" t="n"/>
      <c r="R77" s="5" t="n"/>
      <c r="S77" s="5" t="n"/>
      <c r="T77" s="5" t="n"/>
      <c r="U77" s="5" t="n"/>
      <c r="V77" s="15" t="n"/>
      <c r="W77" s="5" t="inlineStr">
        <is>
          <t>N</t>
        </is>
      </c>
      <c r="X77" s="5" t="n"/>
      <c r="Y77" s="5" t="n"/>
      <c r="Z77" s="5" t="n"/>
      <c r="AA77" s="5" t="n"/>
    </row>
    <row r="78">
      <c r="A78" s="10" t="inlineStr">
        <is>
          <t>F13</t>
        </is>
      </c>
      <c r="B78" s="10" t="inlineStr">
        <is>
          <t>FP</t>
        </is>
      </c>
      <c r="C78" s="10" t="inlineStr">
        <is>
          <t>Naproxen 750  |  Naproxen</t>
        </is>
      </c>
      <c r="D78" s="10" t="inlineStr">
        <is>
          <t>Identification (if separate from assay)</t>
        </is>
      </c>
      <c r="E78" s="10">
        <f>IF(A78="","",A78&amp;"|"&amp;D78)</f>
        <v/>
      </c>
      <c r="F78" s="5" t="inlineStr">
        <is>
          <t>N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14">
        <f>IF(N78="","",IF(OR(M78="",O78=""),N78,(M78+4*N78+O78)/6))</f>
        <v/>
      </c>
      <c r="Q78" s="5" t="n"/>
      <c r="R78" s="5" t="n"/>
      <c r="S78" s="5" t="n"/>
      <c r="T78" s="5" t="n"/>
      <c r="U78" s="5" t="n"/>
      <c r="V78" s="15" t="n"/>
      <c r="W78" s="5" t="inlineStr">
        <is>
          <t>N</t>
        </is>
      </c>
      <c r="X78" s="5" t="n"/>
      <c r="Y78" s="5" t="n"/>
      <c r="Z78" s="5" t="n"/>
      <c r="AA78" s="5" t="n"/>
    </row>
    <row r="79">
      <c r="A79" s="10" t="inlineStr">
        <is>
          <t>F13</t>
        </is>
      </c>
      <c r="B79" s="10" t="inlineStr">
        <is>
          <t>FP</t>
        </is>
      </c>
      <c r="C79" s="10" t="inlineStr">
        <is>
          <t>Naproxen 750  |  Naproxen</t>
        </is>
      </c>
      <c r="D79" s="10" t="inlineStr">
        <is>
          <t>Other tests (non-HPLC: physical, LOD/KF, disintegration, pH, micro...)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14">
        <f>IF(N79="","",IF(OR(M79="",O79=""),N79,(M79+4*N79+O79)/6))</f>
        <v/>
      </c>
      <c r="Q79" s="5" t="n"/>
      <c r="R79" s="5" t="n"/>
      <c r="S79" s="5" t="n"/>
      <c r="T79" s="5" t="n"/>
      <c r="U79" s="5" t="n"/>
      <c r="V79" s="15" t="n"/>
      <c r="W79" s="5" t="inlineStr">
        <is>
          <t>Y</t>
        </is>
      </c>
      <c r="X79" s="5" t="n"/>
      <c r="Y79" s="5" t="n"/>
      <c r="Z79" s="5" t="n"/>
      <c r="AA79" s="5" t="n"/>
    </row>
    <row r="80">
      <c r="A80" s="10" t="inlineStr">
        <is>
          <t>F14</t>
        </is>
      </c>
      <c r="B80" s="10" t="inlineStr">
        <is>
          <t>FP</t>
        </is>
      </c>
      <c r="C80" s="10" t="inlineStr">
        <is>
          <t>Azelastin+Fluticasone (Nasal Spray)  |  Azelastine Hydrochloride, Fluticasone Propionate</t>
        </is>
      </c>
      <c r="D80" s="10" t="inlineStr">
        <is>
          <t>Assay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HPLC</t>
        </is>
      </c>
      <c r="H80" s="5" t="inlineStr">
        <is>
          <t>High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14">
        <f>IF(N80="","",IF(OR(M80="",O80=""),N80,(M80+4*N80+O80)/6))</f>
        <v/>
      </c>
      <c r="Q80" s="5" t="n"/>
      <c r="R80" s="5" t="n"/>
      <c r="S80" s="5" t="n"/>
      <c r="T80" s="5" t="n"/>
      <c r="U80" s="5" t="n"/>
      <c r="V80" s="15" t="n"/>
      <c r="W80" s="5" t="inlineStr">
        <is>
          <t>Y</t>
        </is>
      </c>
      <c r="X80" s="5" t="n"/>
      <c r="Y80" s="5" t="n"/>
      <c r="Z80" s="5" t="n"/>
      <c r="AA80" s="5" t="n"/>
    </row>
    <row r="81">
      <c r="A81" s="10" t="inlineStr">
        <is>
          <t>F14</t>
        </is>
      </c>
      <c r="B81" s="10" t="inlineStr">
        <is>
          <t>FP</t>
        </is>
      </c>
      <c r="C81" s="10" t="inlineStr">
        <is>
          <t>Azelastin+Fluticasone (Nasal Spray)  |  Azelastine Hydrochloride, Fluticasone Propionate</t>
        </is>
      </c>
      <c r="D81" s="10" t="inlineStr">
        <is>
          <t>Related substances / impurities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HPLC</t>
        </is>
      </c>
      <c r="H81" s="5" t="inlineStr">
        <is>
          <t>High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14">
        <f>IF(N81="","",IF(OR(M81="",O81=""),N81,(M81+4*N81+O81)/6))</f>
        <v/>
      </c>
      <c r="Q81" s="5" t="n"/>
      <c r="R81" s="5" t="n"/>
      <c r="S81" s="5" t="n"/>
      <c r="T81" s="5" t="n"/>
      <c r="U81" s="5" t="n"/>
      <c r="V81" s="15" t="n"/>
      <c r="W81" s="5" t="inlineStr">
        <is>
          <t>Y</t>
        </is>
      </c>
      <c r="X81" s="5" t="n"/>
      <c r="Y81" s="5" t="n"/>
      <c r="Z81" s="5" t="n"/>
      <c r="AA81" s="5" t="n"/>
    </row>
    <row r="82">
      <c r="A82" s="10" t="inlineStr">
        <is>
          <t>F14</t>
        </is>
      </c>
      <c r="B82" s="10" t="inlineStr">
        <is>
          <t>FP</t>
        </is>
      </c>
      <c r="C82" s="10" t="inlineStr">
        <is>
          <t>Azelastin+Fluticasone (Nasal Spray)  |  Azelastine Hydrochloride, Fluticasone Propionate</t>
        </is>
      </c>
      <c r="D82" s="10" t="inlineStr">
        <is>
          <t>Dissolution</t>
        </is>
      </c>
      <c r="E82" s="10">
        <f>IF(A82="","",A82&amp;"|"&amp;D82)</f>
        <v/>
      </c>
      <c r="F82" s="5" t="inlineStr">
        <is>
          <t>N</t>
        </is>
      </c>
      <c r="G82" s="5" t="inlineStr">
        <is>
          <t>HPLC</t>
        </is>
      </c>
      <c r="H82" s="5" t="inlineStr">
        <is>
          <t>High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14">
        <f>IF(N82="","",IF(OR(M82="",O82=""),N82,(M82+4*N82+O82)/6))</f>
        <v/>
      </c>
      <c r="Q82" s="5" t="n"/>
      <c r="R82" s="5" t="n"/>
      <c r="S82" s="5" t="n"/>
      <c r="T82" s="5" t="n"/>
      <c r="U82" s="5" t="n"/>
      <c r="V82" s="15" t="n"/>
      <c r="W82" s="5" t="inlineStr">
        <is>
          <t>Y</t>
        </is>
      </c>
      <c r="X82" s="5" t="n"/>
      <c r="Y82" s="5" t="n"/>
      <c r="Z82" s="5" t="n"/>
      <c r="AA82" s="5" t="n"/>
    </row>
    <row r="83">
      <c r="A83" s="10" t="inlineStr">
        <is>
          <t>F14</t>
        </is>
      </c>
      <c r="B83" s="10" t="inlineStr">
        <is>
          <t>FP</t>
        </is>
      </c>
      <c r="C83" s="10" t="inlineStr">
        <is>
          <t>Azelastin+Fluticasone (Nasal Spray)  |  Azelastine Hydrochloride, Fluticasone Propionate</t>
        </is>
      </c>
      <c r="D83" s="10" t="inlineStr">
        <is>
          <t>Spray pattern / droplet / delivered dose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High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14">
        <f>IF(N83="","",IF(OR(M83="",O83=""),N83,(M83+4*N83+O83)/6))</f>
        <v/>
      </c>
      <c r="Q83" s="5" t="n"/>
      <c r="R83" s="5" t="n"/>
      <c r="S83" s="5" t="n"/>
      <c r="T83" s="5" t="n"/>
      <c r="U83" s="5" t="n"/>
      <c r="V83" s="15" t="n"/>
      <c r="W83" s="5" t="inlineStr">
        <is>
          <t>Y</t>
        </is>
      </c>
      <c r="X83" s="5" t="n"/>
      <c r="Y83" s="5" t="n"/>
      <c r="Z83" s="5" t="n"/>
      <c r="AA83" s="5" t="n"/>
    </row>
    <row r="84">
      <c r="A84" s="10" t="inlineStr">
        <is>
          <t>F14</t>
        </is>
      </c>
      <c r="B84" s="10" t="inlineStr">
        <is>
          <t>FP</t>
        </is>
      </c>
      <c r="C84" s="10" t="inlineStr">
        <is>
          <t>Azelastin+Fluticasone (Nasal Spray)  |  Azelastine Hydrochloride, Fluticasone Propionate</t>
        </is>
      </c>
      <c r="D84" s="10" t="inlineStr">
        <is>
          <t>Content uniformity</t>
        </is>
      </c>
      <c r="E84" s="10">
        <f>IF(A84="","",A84&amp;"|"&amp;D84)</f>
        <v/>
      </c>
      <c r="F84" s="5" t="inlineStr">
        <is>
          <t>N</t>
        </is>
      </c>
      <c r="G84" s="5" t="inlineStr">
        <is>
          <t>HPLC</t>
        </is>
      </c>
      <c r="H84" s="5" t="inlineStr">
        <is>
          <t>High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14">
        <f>IF(N84="","",IF(OR(M84="",O84=""),N84,(M84+4*N84+O84)/6))</f>
        <v/>
      </c>
      <c r="Q84" s="5" t="n"/>
      <c r="R84" s="5" t="n"/>
      <c r="S84" s="5" t="n"/>
      <c r="T84" s="5" t="n"/>
      <c r="U84" s="5" t="n"/>
      <c r="V84" s="15" t="n"/>
      <c r="W84" s="5" t="inlineStr">
        <is>
          <t>N</t>
        </is>
      </c>
      <c r="X84" s="5" t="n"/>
      <c r="Y84" s="5" t="n"/>
      <c r="Z84" s="5" t="n"/>
      <c r="AA84" s="5" t="n"/>
    </row>
    <row r="85">
      <c r="A85" s="10" t="inlineStr">
        <is>
          <t>F14</t>
        </is>
      </c>
      <c r="B85" s="10" t="inlineStr">
        <is>
          <t>FP</t>
        </is>
      </c>
      <c r="C85" s="10" t="inlineStr">
        <is>
          <t>Azelastin+Fluticasone (Nasal Spray)  |  Azelastine Hydrochloride, Fluticasone Propionate</t>
        </is>
      </c>
      <c r="D85" s="10" t="inlineStr">
        <is>
          <t>Identification (if separate from assay)</t>
        </is>
      </c>
      <c r="E85" s="10">
        <f>IF(A85="","",A85&amp;"|"&amp;D85)</f>
        <v/>
      </c>
      <c r="F85" s="5" t="inlineStr">
        <is>
          <t>N</t>
        </is>
      </c>
      <c r="G85" s="5" t="inlineStr">
        <is>
          <t>HPLC</t>
        </is>
      </c>
      <c r="H85" s="5" t="inlineStr">
        <is>
          <t>High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14">
        <f>IF(N85="","",IF(OR(M85="",O85=""),N85,(M85+4*N85+O85)/6))</f>
        <v/>
      </c>
      <c r="Q85" s="5" t="n"/>
      <c r="R85" s="5" t="n"/>
      <c r="S85" s="5" t="n"/>
      <c r="T85" s="5" t="n"/>
      <c r="U85" s="5" t="n"/>
      <c r="V85" s="15" t="n"/>
      <c r="W85" s="5" t="inlineStr">
        <is>
          <t>N</t>
        </is>
      </c>
      <c r="X85" s="5" t="n"/>
      <c r="Y85" s="5" t="n"/>
      <c r="Z85" s="5" t="n"/>
      <c r="AA85" s="5" t="n"/>
    </row>
    <row r="86">
      <c r="A86" s="10" t="inlineStr">
        <is>
          <t>F14</t>
        </is>
      </c>
      <c r="B86" s="10" t="inlineStr">
        <is>
          <t>FP</t>
        </is>
      </c>
      <c r="C86" s="10" t="inlineStr">
        <is>
          <t>Azelastin+Fluticasone (Nasal Spray)  |  Azelastine Hydrochloride, Fluticasone Propionate</t>
        </is>
      </c>
      <c r="D86" s="10" t="inlineStr">
        <is>
          <t>Other tests (non-HPLC: physical, LOD/KF, disintegration, pH, micro...)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High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14">
        <f>IF(N86="","",IF(OR(M86="",O86=""),N86,(M86+4*N86+O86)/6))</f>
        <v/>
      </c>
      <c r="Q86" s="5" t="n"/>
      <c r="R86" s="5" t="n"/>
      <c r="S86" s="5" t="n"/>
      <c r="T86" s="5" t="n"/>
      <c r="U86" s="5" t="n"/>
      <c r="V86" s="15" t="n"/>
      <c r="W86" s="5" t="inlineStr">
        <is>
          <t>Y</t>
        </is>
      </c>
      <c r="X86" s="5" t="n"/>
      <c r="Y86" s="5" t="n"/>
      <c r="Z86" s="5" t="n"/>
      <c r="AA86" s="5" t="n"/>
    </row>
    <row r="87">
      <c r="A87" s="10" t="inlineStr">
        <is>
          <t>F15</t>
        </is>
      </c>
      <c r="B87" s="10" t="inlineStr">
        <is>
          <t>FP</t>
        </is>
      </c>
      <c r="C87" s="10" t="inlineStr">
        <is>
          <t>Scadia 50; Scadia 100; Scadia 200  |  Sacubitril/Valsartan 3Sodium 2.5H2O Co-crystal</t>
        </is>
      </c>
      <c r="D87" s="10" t="inlineStr">
        <is>
          <t>Assay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HPLC</t>
        </is>
      </c>
      <c r="H87" s="5" t="inlineStr">
        <is>
          <t>Low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14">
        <f>IF(N87="","",IF(OR(M87="",O87=""),N87,(M87+4*N87+O87)/6))</f>
        <v/>
      </c>
      <c r="Q87" s="5" t="n"/>
      <c r="R87" s="5" t="n"/>
      <c r="S87" s="5" t="n"/>
      <c r="T87" s="5" t="n"/>
      <c r="U87" s="5" t="n"/>
      <c r="V87" s="15" t="n"/>
      <c r="W87" s="5" t="inlineStr">
        <is>
          <t>Y</t>
        </is>
      </c>
      <c r="X87" s="5" t="n"/>
      <c r="Y87" s="5" t="n"/>
      <c r="Z87" s="5" t="n"/>
      <c r="AA87" s="5" t="n"/>
    </row>
    <row r="88">
      <c r="A88" s="10" t="inlineStr">
        <is>
          <t>F15</t>
        </is>
      </c>
      <c r="B88" s="10" t="inlineStr">
        <is>
          <t>FP</t>
        </is>
      </c>
      <c r="C88" s="10" t="inlineStr">
        <is>
          <t>Scadia 50; Scadia 100; Scadia 200  |  Sacubitril/Valsartan 3Sodium 2.5H2O Co-crystal</t>
        </is>
      </c>
      <c r="D88" s="10" t="inlineStr">
        <is>
          <t>Related substances / impurities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HPLC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14">
        <f>IF(N88="","",IF(OR(M88="",O88=""),N88,(M88+4*N88+O88)/6))</f>
        <v/>
      </c>
      <c r="Q88" s="5" t="n"/>
      <c r="R88" s="5" t="n"/>
      <c r="S88" s="5" t="n"/>
      <c r="T88" s="5" t="n"/>
      <c r="U88" s="5" t="n"/>
      <c r="V88" s="15" t="n"/>
      <c r="W88" s="5" t="inlineStr">
        <is>
          <t>Y</t>
        </is>
      </c>
      <c r="X88" s="5" t="n"/>
      <c r="Y88" s="5" t="n"/>
      <c r="Z88" s="5" t="n"/>
      <c r="AA88" s="5" t="n"/>
    </row>
    <row r="89">
      <c r="A89" s="10" t="inlineStr">
        <is>
          <t>F15</t>
        </is>
      </c>
      <c r="B89" s="10" t="inlineStr">
        <is>
          <t>FP</t>
        </is>
      </c>
      <c r="C89" s="10" t="inlineStr">
        <is>
          <t>Scadia 50; Scadia 100; Scadia 200  |  Sacubitril/Valsartan 3Sodium 2.5H2O Co-crystal</t>
        </is>
      </c>
      <c r="D89" s="10" t="inlineStr">
        <is>
          <t>Dissolution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HPLC</t>
        </is>
      </c>
      <c r="H89" s="5" t="inlineStr">
        <is>
          <t>Low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14">
        <f>IF(N89="","",IF(OR(M89="",O89=""),N89,(M89+4*N89+O89)/6))</f>
        <v/>
      </c>
      <c r="Q89" s="5" t="n"/>
      <c r="R89" s="5" t="n"/>
      <c r="S89" s="5" t="n"/>
      <c r="T89" s="5" t="n"/>
      <c r="U89" s="5" t="n"/>
      <c r="V89" s="15" t="n"/>
      <c r="W89" s="5" t="inlineStr">
        <is>
          <t>Y</t>
        </is>
      </c>
      <c r="X89" s="5" t="n"/>
      <c r="Y89" s="5" t="n"/>
      <c r="Z89" s="5" t="n"/>
      <c r="AA89" s="5" t="n"/>
    </row>
    <row r="90">
      <c r="A90" s="10" t="inlineStr">
        <is>
          <t>F15</t>
        </is>
      </c>
      <c r="B90" s="10" t="inlineStr">
        <is>
          <t>FP</t>
        </is>
      </c>
      <c r="C90" s="10" t="inlineStr">
        <is>
          <t>Scadia 50; Scadia 100; Scadia 200  |  Sacubitril/Valsartan 3Sodium 2.5H2O Co-crystal</t>
        </is>
      </c>
      <c r="D90" s="10" t="inlineStr">
        <is>
          <t>Content uniformity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HPLC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14">
        <f>IF(N90="","",IF(OR(M90="",O90=""),N90,(M90+4*N90+O90)/6))</f>
        <v/>
      </c>
      <c r="Q90" s="5" t="n"/>
      <c r="R90" s="5" t="n"/>
      <c r="S90" s="5" t="n"/>
      <c r="T90" s="5" t="n"/>
      <c r="U90" s="5" t="n"/>
      <c r="V90" s="15" t="n"/>
      <c r="W90" s="5" t="inlineStr">
        <is>
          <t>N</t>
        </is>
      </c>
      <c r="X90" s="5" t="n"/>
      <c r="Y90" s="5" t="n"/>
      <c r="Z90" s="5" t="n"/>
      <c r="AA90" s="5" t="n"/>
    </row>
    <row r="91">
      <c r="A91" s="10" t="inlineStr">
        <is>
          <t>F15</t>
        </is>
      </c>
      <c r="B91" s="10" t="inlineStr">
        <is>
          <t>FP</t>
        </is>
      </c>
      <c r="C91" s="10" t="inlineStr">
        <is>
          <t>Scadia 50; Scadia 100; Scadia 200  |  Sacubitril/Valsartan 3Sodium 2.5H2O Co-crystal</t>
        </is>
      </c>
      <c r="D91" s="10" t="inlineStr">
        <is>
          <t>Identification (if separate from assay)</t>
        </is>
      </c>
      <c r="E91" s="10">
        <f>IF(A91="","",A91&amp;"|"&amp;D91)</f>
        <v/>
      </c>
      <c r="F91" s="5" t="inlineStr">
        <is>
          <t>N</t>
        </is>
      </c>
      <c r="G91" s="5" t="inlineStr">
        <is>
          <t>HPLC</t>
        </is>
      </c>
      <c r="H91" s="5" t="inlineStr">
        <is>
          <t>Low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14">
        <f>IF(N91="","",IF(OR(M91="",O91=""),N91,(M91+4*N91+O91)/6))</f>
        <v/>
      </c>
      <c r="Q91" s="5" t="n"/>
      <c r="R91" s="5" t="n"/>
      <c r="S91" s="5" t="n"/>
      <c r="T91" s="5" t="n"/>
      <c r="U91" s="5" t="n"/>
      <c r="V91" s="15" t="n"/>
      <c r="W91" s="5" t="inlineStr">
        <is>
          <t>N</t>
        </is>
      </c>
      <c r="X91" s="5" t="n"/>
      <c r="Y91" s="5" t="n"/>
      <c r="Z91" s="5" t="n"/>
      <c r="AA91" s="5" t="n"/>
    </row>
    <row r="92">
      <c r="A92" s="10" t="inlineStr">
        <is>
          <t>F15</t>
        </is>
      </c>
      <c r="B92" s="10" t="inlineStr">
        <is>
          <t>FP</t>
        </is>
      </c>
      <c r="C92" s="10" t="inlineStr">
        <is>
          <t>Scadia 50; Scadia 100; Scadia 200  |  Sacubitril/Valsartan 3Sodium 2.5H2O Co-crystal</t>
        </is>
      </c>
      <c r="D92" s="10" t="inlineStr">
        <is>
          <t>Other tests (non-HPLC: physical, LOD/KF, disintegration, pH, micro...)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14">
        <f>IF(N92="","",IF(OR(M92="",O92=""),N92,(M92+4*N92+O92)/6))</f>
        <v/>
      </c>
      <c r="Q92" s="5" t="n"/>
      <c r="R92" s="5" t="n"/>
      <c r="S92" s="5" t="n"/>
      <c r="T92" s="5" t="n"/>
      <c r="U92" s="5" t="n"/>
      <c r="V92" s="15" t="n"/>
      <c r="W92" s="5" t="inlineStr">
        <is>
          <t>Y</t>
        </is>
      </c>
      <c r="X92" s="5" t="n"/>
      <c r="Y92" s="5" t="n"/>
      <c r="Z92" s="5" t="n"/>
      <c r="AA92" s="5" t="n"/>
    </row>
    <row r="93">
      <c r="A93" s="10" t="inlineStr">
        <is>
          <t>F16</t>
        </is>
      </c>
      <c r="B93" s="10" t="inlineStr">
        <is>
          <t>FP</t>
        </is>
      </c>
      <c r="C93" s="10" t="inlineStr">
        <is>
          <t>Taglida 5  |  Linagliptin</t>
        </is>
      </c>
      <c r="D93" s="10" t="inlineStr">
        <is>
          <t>Assay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HPLC</t>
        </is>
      </c>
      <c r="H93" s="5" t="inlineStr">
        <is>
          <t>Low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14">
        <f>IF(N93="","",IF(OR(M93="",O93=""),N93,(M93+4*N93+O93)/6))</f>
        <v/>
      </c>
      <c r="Q93" s="5" t="n"/>
      <c r="R93" s="5" t="n"/>
      <c r="S93" s="5" t="n"/>
      <c r="T93" s="5" t="n"/>
      <c r="U93" s="5" t="n"/>
      <c r="V93" s="15" t="n"/>
      <c r="W93" s="5" t="inlineStr">
        <is>
          <t>Y</t>
        </is>
      </c>
      <c r="X93" s="5" t="n"/>
      <c r="Y93" s="5" t="n"/>
      <c r="Z93" s="5" t="n"/>
      <c r="AA93" s="5" t="n"/>
    </row>
    <row r="94">
      <c r="A94" s="10" t="inlineStr">
        <is>
          <t>F16</t>
        </is>
      </c>
      <c r="B94" s="10" t="inlineStr">
        <is>
          <t>FP</t>
        </is>
      </c>
      <c r="C94" s="10" t="inlineStr">
        <is>
          <t>Taglida 5  |  Linagliptin</t>
        </is>
      </c>
      <c r="D94" s="10" t="inlineStr">
        <is>
          <t>Related substances / impurities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Y</t>
        </is>
      </c>
      <c r="X94" s="5" t="n"/>
      <c r="Y94" s="5" t="n"/>
      <c r="Z94" s="5" t="n"/>
      <c r="AA94" s="5" t="n"/>
    </row>
    <row r="95">
      <c r="A95" s="10" t="inlineStr">
        <is>
          <t>F16</t>
        </is>
      </c>
      <c r="B95" s="10" t="inlineStr">
        <is>
          <t>FP</t>
        </is>
      </c>
      <c r="C95" s="10" t="inlineStr">
        <is>
          <t>Taglida 5  |  Linagliptin</t>
        </is>
      </c>
      <c r="D95" s="10" t="inlineStr">
        <is>
          <t>Dissolution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Y</t>
        </is>
      </c>
      <c r="X95" s="5" t="n"/>
      <c r="Y95" s="5" t="n"/>
      <c r="Z95" s="5" t="n"/>
      <c r="AA95" s="5" t="n"/>
    </row>
    <row r="96">
      <c r="A96" s="10" t="inlineStr">
        <is>
          <t>F16</t>
        </is>
      </c>
      <c r="B96" s="10" t="inlineStr">
        <is>
          <t>FP</t>
        </is>
      </c>
      <c r="C96" s="10" t="inlineStr">
        <is>
          <t>Taglida 5  |  Linagliptin</t>
        </is>
      </c>
      <c r="D96" s="10" t="inlineStr">
        <is>
          <t>Content uniformity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14">
        <f>IF(N96="","",IF(OR(M96="",O96=""),N96,(M96+4*N96+O96)/6))</f>
        <v/>
      </c>
      <c r="Q96" s="5" t="n"/>
      <c r="R96" s="5" t="n"/>
      <c r="S96" s="5" t="n"/>
      <c r="T96" s="5" t="n"/>
      <c r="U96" s="5" t="n"/>
      <c r="V96" s="15" t="n"/>
      <c r="W96" s="5" t="inlineStr">
        <is>
          <t>N</t>
        </is>
      </c>
      <c r="X96" s="5" t="n"/>
      <c r="Y96" s="5" t="n"/>
      <c r="Z96" s="5" t="n"/>
      <c r="AA96" s="5" t="n"/>
    </row>
    <row r="97">
      <c r="A97" s="10" t="inlineStr">
        <is>
          <t>F16</t>
        </is>
      </c>
      <c r="B97" s="10" t="inlineStr">
        <is>
          <t>FP</t>
        </is>
      </c>
      <c r="C97" s="10" t="inlineStr">
        <is>
          <t>Taglida 5  |  Linagliptin</t>
        </is>
      </c>
      <c r="D97" s="10" t="inlineStr">
        <is>
          <t>Identification (if separate from assay)</t>
        </is>
      </c>
      <c r="E97" s="10">
        <f>IF(A97="","",A97&amp;"|"&amp;D97)</f>
        <v/>
      </c>
      <c r="F97" s="5" t="inlineStr">
        <is>
          <t>N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14">
        <f>IF(N97="","",IF(OR(M97="",O97=""),N97,(M97+4*N97+O97)/6))</f>
        <v/>
      </c>
      <c r="Q97" s="5" t="n"/>
      <c r="R97" s="5" t="n"/>
      <c r="S97" s="5" t="n"/>
      <c r="T97" s="5" t="n"/>
      <c r="U97" s="5" t="n"/>
      <c r="V97" s="15" t="n"/>
      <c r="W97" s="5" t="inlineStr">
        <is>
          <t>N</t>
        </is>
      </c>
      <c r="X97" s="5" t="n"/>
      <c r="Y97" s="5" t="n"/>
      <c r="Z97" s="5" t="n"/>
      <c r="AA97" s="5" t="n"/>
    </row>
    <row r="98">
      <c r="A98" s="10" t="inlineStr">
        <is>
          <t>F16</t>
        </is>
      </c>
      <c r="B98" s="10" t="inlineStr">
        <is>
          <t>FP</t>
        </is>
      </c>
      <c r="C98" s="10" t="inlineStr">
        <is>
          <t>Taglida 5  |  Linagliptin</t>
        </is>
      </c>
      <c r="D98" s="10" t="inlineStr">
        <is>
          <t>Other tests (non-HPLC: physical, LOD/KF, disintegration, pH, micro...)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Y</t>
        </is>
      </c>
      <c r="X98" s="5" t="n"/>
      <c r="Y98" s="5" t="n"/>
      <c r="Z98" s="5" t="n"/>
      <c r="AA98" s="5" t="n"/>
    </row>
    <row r="99">
      <c r="A99" s="10" t="inlineStr">
        <is>
          <t>F17</t>
        </is>
      </c>
      <c r="B99" s="10" t="inlineStr">
        <is>
          <t>FP</t>
        </is>
      </c>
      <c r="C99" s="10" t="inlineStr">
        <is>
          <t>Dapaglose 10; Dapaglose 5  |  Dapagliflozin Propanediol Monohydrate</t>
        </is>
      </c>
      <c r="D99" s="10" t="inlineStr">
        <is>
          <t>Assay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HPLC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14">
        <f>IF(N99="","",IF(OR(M99="",O99=""),N99,(M99+4*N99+O99)/6))</f>
        <v/>
      </c>
      <c r="Q99" s="5" t="n"/>
      <c r="R99" s="5" t="n"/>
      <c r="S99" s="5" t="n"/>
      <c r="T99" s="5" t="n"/>
      <c r="U99" s="5" t="n"/>
      <c r="V99" s="15" t="n"/>
      <c r="W99" s="5" t="inlineStr">
        <is>
          <t>Y</t>
        </is>
      </c>
      <c r="X99" s="5" t="n"/>
      <c r="Y99" s="5" t="n"/>
      <c r="Z99" s="5" t="n"/>
      <c r="AA99" s="5" t="n"/>
    </row>
    <row r="100">
      <c r="A100" s="10" t="inlineStr">
        <is>
          <t>F17</t>
        </is>
      </c>
      <c r="B100" s="10" t="inlineStr">
        <is>
          <t>FP</t>
        </is>
      </c>
      <c r="C100" s="10" t="inlineStr">
        <is>
          <t>Dapaglose 10; Dapaglose 5  |  Dapagliflozin Propanediol Monohydrate</t>
        </is>
      </c>
      <c r="D100" s="10" t="inlineStr">
        <is>
          <t>Related substances / impurities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14">
        <f>IF(N100="","",IF(OR(M100="",O100=""),N100,(M100+4*N100+O100)/6))</f>
        <v/>
      </c>
      <c r="Q100" s="5" t="n"/>
      <c r="R100" s="5" t="n"/>
      <c r="S100" s="5" t="n"/>
      <c r="T100" s="5" t="n"/>
      <c r="U100" s="5" t="n"/>
      <c r="V100" s="15" t="n"/>
      <c r="W100" s="5" t="inlineStr">
        <is>
          <t>Y</t>
        </is>
      </c>
      <c r="X100" s="5" t="n"/>
      <c r="Y100" s="5" t="n"/>
      <c r="Z100" s="5" t="n"/>
      <c r="AA100" s="5" t="n"/>
    </row>
    <row r="101">
      <c r="A101" s="10" t="inlineStr">
        <is>
          <t>F17</t>
        </is>
      </c>
      <c r="B101" s="10" t="inlineStr">
        <is>
          <t>FP</t>
        </is>
      </c>
      <c r="C101" s="10" t="inlineStr">
        <is>
          <t>Dapaglose 10; Dapaglose 5  |  Dapagliflozin Propanediol Monohydrate</t>
        </is>
      </c>
      <c r="D101" s="10" t="inlineStr">
        <is>
          <t>Dissolution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14">
        <f>IF(N101="","",IF(OR(M101="",O101=""),N101,(M101+4*N101+O101)/6))</f>
        <v/>
      </c>
      <c r="Q101" s="5" t="n"/>
      <c r="R101" s="5" t="n"/>
      <c r="S101" s="5" t="n"/>
      <c r="T101" s="5" t="n"/>
      <c r="U101" s="5" t="n"/>
      <c r="V101" s="15" t="n"/>
      <c r="W101" s="5" t="inlineStr">
        <is>
          <t>Y</t>
        </is>
      </c>
      <c r="X101" s="5" t="n"/>
      <c r="Y101" s="5" t="n"/>
      <c r="Z101" s="5" t="n"/>
      <c r="AA101" s="5" t="n"/>
    </row>
    <row r="102">
      <c r="A102" s="10" t="inlineStr">
        <is>
          <t>F17</t>
        </is>
      </c>
      <c r="B102" s="10" t="inlineStr">
        <is>
          <t>FP</t>
        </is>
      </c>
      <c r="C102" s="10" t="inlineStr">
        <is>
          <t>Dapaglose 10; Dapaglose 5  |  Dapagliflozin Propanediol Monohydrate</t>
        </is>
      </c>
      <c r="D102" s="10" t="inlineStr">
        <is>
          <t>Content uniformity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14">
        <f>IF(N102="","",IF(OR(M102="",O102=""),N102,(M102+4*N102+O102)/6))</f>
        <v/>
      </c>
      <c r="Q102" s="5" t="n"/>
      <c r="R102" s="5" t="n"/>
      <c r="S102" s="5" t="n"/>
      <c r="T102" s="5" t="n"/>
      <c r="U102" s="5" t="n"/>
      <c r="V102" s="15" t="n"/>
      <c r="W102" s="5" t="inlineStr">
        <is>
          <t>N</t>
        </is>
      </c>
      <c r="X102" s="5" t="n"/>
      <c r="Y102" s="5" t="n"/>
      <c r="Z102" s="5" t="n"/>
      <c r="AA102" s="5" t="n"/>
    </row>
    <row r="103">
      <c r="A103" s="10" t="inlineStr">
        <is>
          <t>F17</t>
        </is>
      </c>
      <c r="B103" s="10" t="inlineStr">
        <is>
          <t>FP</t>
        </is>
      </c>
      <c r="C103" s="10" t="inlineStr">
        <is>
          <t>Dapaglose 10; Dapaglose 5  |  Dapagliflozin Propanediol Monohydrate</t>
        </is>
      </c>
      <c r="D103" s="10" t="inlineStr">
        <is>
          <t>Identification (if separate from assay)</t>
        </is>
      </c>
      <c r="E103" s="10">
        <f>IF(A103="","",A103&amp;"|"&amp;D103)</f>
        <v/>
      </c>
      <c r="F103" s="5" t="inlineStr">
        <is>
          <t>N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14">
        <f>IF(N103="","",IF(OR(M103="",O103=""),N103,(M103+4*N103+O103)/6))</f>
        <v/>
      </c>
      <c r="Q103" s="5" t="n"/>
      <c r="R103" s="5" t="n"/>
      <c r="S103" s="5" t="n"/>
      <c r="T103" s="5" t="n"/>
      <c r="U103" s="5" t="n"/>
      <c r="V103" s="15" t="n"/>
      <c r="W103" s="5" t="inlineStr">
        <is>
          <t>N</t>
        </is>
      </c>
      <c r="X103" s="5" t="n"/>
      <c r="Y103" s="5" t="n"/>
      <c r="Z103" s="5" t="n"/>
      <c r="AA103" s="5" t="n"/>
    </row>
    <row r="104">
      <c r="A104" s="10" t="inlineStr">
        <is>
          <t>F17</t>
        </is>
      </c>
      <c r="B104" s="10" t="inlineStr">
        <is>
          <t>FP</t>
        </is>
      </c>
      <c r="C104" s="10" t="inlineStr">
        <is>
          <t>Dapaglose 10; Dapaglose 5  |  Dapagliflozin Propanediol Monohydrate</t>
        </is>
      </c>
      <c r="D104" s="10" t="inlineStr">
        <is>
          <t>Other tests (non-HPLC: physical, LOD/KF, disintegration, pH, micro...)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Y</t>
        </is>
      </c>
      <c r="X104" s="5" t="n"/>
      <c r="Y104" s="5" t="n"/>
      <c r="Z104" s="5" t="n"/>
      <c r="AA104" s="5" t="n"/>
    </row>
    <row r="105">
      <c r="A105" s="10" t="inlineStr">
        <is>
          <t>F18</t>
        </is>
      </c>
      <c r="B105" s="10" t="inlineStr">
        <is>
          <t>FP</t>
        </is>
      </c>
      <c r="C105" s="10" t="inlineStr">
        <is>
          <t>Taglida Duo 2.5/1000; Taglida Duo 2.5/500  |  Metformin Hydrochloride, Linagliptin (+1 more)</t>
        </is>
      </c>
      <c r="D105" s="10" t="inlineStr">
        <is>
          <t>Assay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Y</t>
        </is>
      </c>
      <c r="X105" s="5" t="n"/>
      <c r="Y105" s="5" t="n"/>
      <c r="Z105" s="5" t="n"/>
      <c r="AA105" s="5" t="n"/>
    </row>
    <row r="106">
      <c r="A106" s="10" t="inlineStr">
        <is>
          <t>F18</t>
        </is>
      </c>
      <c r="B106" s="10" t="inlineStr">
        <is>
          <t>FP</t>
        </is>
      </c>
      <c r="C106" s="10" t="inlineStr">
        <is>
          <t>Taglida Duo 2.5/1000; Taglida Duo 2.5/500  |  Metformin Hydrochloride, Linagliptin (+1 more)</t>
        </is>
      </c>
      <c r="D106" s="10" t="inlineStr">
        <is>
          <t>Related substances / impurities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HPLC</t>
        </is>
      </c>
      <c r="H106" s="5" t="inlineStr">
        <is>
          <t>Medium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14">
        <f>IF(N106="","",IF(OR(M106="",O106=""),N106,(M106+4*N106+O106)/6))</f>
        <v/>
      </c>
      <c r="Q106" s="5" t="n"/>
      <c r="R106" s="5" t="n"/>
      <c r="S106" s="5" t="n"/>
      <c r="T106" s="5" t="n"/>
      <c r="U106" s="5" t="n"/>
      <c r="V106" s="15" t="n"/>
      <c r="W106" s="5" t="inlineStr">
        <is>
          <t>Y</t>
        </is>
      </c>
      <c r="X106" s="5" t="n"/>
      <c r="Y106" s="5" t="n"/>
      <c r="Z106" s="5" t="n"/>
      <c r="AA106" s="5" t="n"/>
    </row>
    <row r="107">
      <c r="A107" s="10" t="inlineStr">
        <is>
          <t>F18</t>
        </is>
      </c>
      <c r="B107" s="10" t="inlineStr">
        <is>
          <t>FP</t>
        </is>
      </c>
      <c r="C107" s="10" t="inlineStr">
        <is>
          <t>Taglida Duo 2.5/1000; Taglida Duo 2.5/500  |  Metformin Hydrochloride, Linagliptin (+1 more)</t>
        </is>
      </c>
      <c r="D107" s="10" t="inlineStr">
        <is>
          <t>Dissolution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14">
        <f>IF(N107="","",IF(OR(M107="",O107=""),N107,(M107+4*N107+O107)/6))</f>
        <v/>
      </c>
      <c r="Q107" s="5" t="n"/>
      <c r="R107" s="5" t="n"/>
      <c r="S107" s="5" t="n"/>
      <c r="T107" s="5" t="n"/>
      <c r="U107" s="5" t="n"/>
      <c r="V107" s="15" t="n"/>
      <c r="W107" s="5" t="inlineStr">
        <is>
          <t>Y</t>
        </is>
      </c>
      <c r="X107" s="5" t="n"/>
      <c r="Y107" s="5" t="n"/>
      <c r="Z107" s="5" t="n"/>
      <c r="AA107" s="5" t="n"/>
    </row>
    <row r="108">
      <c r="A108" s="10" t="inlineStr">
        <is>
          <t>F18</t>
        </is>
      </c>
      <c r="B108" s="10" t="inlineStr">
        <is>
          <t>FP</t>
        </is>
      </c>
      <c r="C108" s="10" t="inlineStr">
        <is>
          <t>Taglida Duo 2.5/1000; Taglida Duo 2.5/500  |  Metformin Hydrochloride, Linagliptin (+1 more)</t>
        </is>
      </c>
      <c r="D108" s="10" t="inlineStr">
        <is>
          <t>Content uniformity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HPLC</t>
        </is>
      </c>
      <c r="H108" s="5" t="inlineStr">
        <is>
          <t>Medium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14">
        <f>IF(N108="","",IF(OR(M108="",O108=""),N108,(M108+4*N108+O108)/6))</f>
        <v/>
      </c>
      <c r="Q108" s="5" t="n"/>
      <c r="R108" s="5" t="n"/>
      <c r="S108" s="5" t="n"/>
      <c r="T108" s="5" t="n"/>
      <c r="U108" s="5" t="n"/>
      <c r="V108" s="15" t="n"/>
      <c r="W108" s="5" t="inlineStr">
        <is>
          <t>N</t>
        </is>
      </c>
      <c r="X108" s="5" t="n"/>
      <c r="Y108" s="5" t="n"/>
      <c r="Z108" s="5" t="n"/>
      <c r="AA108" s="5" t="n"/>
    </row>
    <row r="109">
      <c r="A109" s="10" t="inlineStr">
        <is>
          <t>F18</t>
        </is>
      </c>
      <c r="B109" s="10" t="inlineStr">
        <is>
          <t>FP</t>
        </is>
      </c>
      <c r="C109" s="10" t="inlineStr">
        <is>
          <t>Taglida Duo 2.5/1000; Taglida Duo 2.5/500  |  Metformin Hydrochloride, Linagliptin (+1 more)</t>
        </is>
      </c>
      <c r="D109" s="10" t="inlineStr">
        <is>
          <t>Identification (if separate from assay)</t>
        </is>
      </c>
      <c r="E109" s="10">
        <f>IF(A109="","",A109&amp;"|"&amp;D109)</f>
        <v/>
      </c>
      <c r="F109" s="5" t="inlineStr">
        <is>
          <t>N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14">
        <f>IF(N109="","",IF(OR(M109="",O109=""),N109,(M109+4*N109+O109)/6))</f>
        <v/>
      </c>
      <c r="Q109" s="5" t="n"/>
      <c r="R109" s="5" t="n"/>
      <c r="S109" s="5" t="n"/>
      <c r="T109" s="5" t="n"/>
      <c r="U109" s="5" t="n"/>
      <c r="V109" s="15" t="n"/>
      <c r="W109" s="5" t="inlineStr">
        <is>
          <t>N</t>
        </is>
      </c>
      <c r="X109" s="5" t="n"/>
      <c r="Y109" s="5" t="n"/>
      <c r="Z109" s="5" t="n"/>
      <c r="AA109" s="5" t="n"/>
    </row>
    <row r="110">
      <c r="A110" s="10" t="inlineStr">
        <is>
          <t>F18</t>
        </is>
      </c>
      <c r="B110" s="10" t="inlineStr">
        <is>
          <t>FP</t>
        </is>
      </c>
      <c r="C110" s="10" t="inlineStr">
        <is>
          <t>Taglida Duo 2.5/1000; Taglida Duo 2.5/500  |  Metformin Hydrochloride, Linagliptin (+1 more)</t>
        </is>
      </c>
      <c r="D110" s="10" t="inlineStr">
        <is>
          <t>Other tests (non-HPLC: physical, LOD/KF, disintegration, pH, micro...)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Other / bench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Y</t>
        </is>
      </c>
      <c r="X110" s="5" t="n"/>
      <c r="Y110" s="5" t="n"/>
      <c r="Z110" s="5" t="n"/>
      <c r="AA110" s="5" t="n"/>
    </row>
    <row r="111">
      <c r="A111" s="10" t="inlineStr">
        <is>
          <t>F19</t>
        </is>
      </c>
      <c r="B111" s="10" t="inlineStr">
        <is>
          <t>FP</t>
        </is>
      </c>
      <c r="C111" s="10" t="inlineStr">
        <is>
          <t>Ozanimod 0.23/0.46; Ozanimod 0.92 mg  |  Ozanimod Hydrochloride</t>
        </is>
      </c>
      <c r="D111" s="10" t="inlineStr">
        <is>
          <t>Assay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Y</t>
        </is>
      </c>
      <c r="X111" s="5" t="n"/>
      <c r="Y111" s="5" t="n"/>
      <c r="Z111" s="5" t="n"/>
      <c r="AA111" s="5" t="n"/>
    </row>
    <row r="112">
      <c r="A112" s="10" t="inlineStr">
        <is>
          <t>F19</t>
        </is>
      </c>
      <c r="B112" s="10" t="inlineStr">
        <is>
          <t>FP</t>
        </is>
      </c>
      <c r="C112" s="10" t="inlineStr">
        <is>
          <t>Ozanimod 0.23/0.46; Ozanimod 0.92 mg  |  Ozanimod Hydrochloride</t>
        </is>
      </c>
      <c r="D112" s="10" t="inlineStr">
        <is>
          <t>Related substances / impurities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HPLC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14">
        <f>IF(N112="","",IF(OR(M112="",O112=""),N112,(M112+4*N112+O112)/6))</f>
        <v/>
      </c>
      <c r="Q112" s="5" t="n"/>
      <c r="R112" s="5" t="n"/>
      <c r="S112" s="5" t="n"/>
      <c r="T112" s="5" t="n"/>
      <c r="U112" s="5" t="n"/>
      <c r="V112" s="15" t="n"/>
      <c r="W112" s="5" t="inlineStr">
        <is>
          <t>Y</t>
        </is>
      </c>
      <c r="X112" s="5" t="n"/>
      <c r="Y112" s="5" t="n"/>
      <c r="Z112" s="5" t="n"/>
      <c r="AA112" s="5" t="n"/>
    </row>
    <row r="113">
      <c r="A113" s="10" t="inlineStr">
        <is>
          <t>F19</t>
        </is>
      </c>
      <c r="B113" s="10" t="inlineStr">
        <is>
          <t>FP</t>
        </is>
      </c>
      <c r="C113" s="10" t="inlineStr">
        <is>
          <t>Ozanimod 0.23/0.46; Ozanimod 0.92 mg  |  Ozanimod Hydrochloride</t>
        </is>
      </c>
      <c r="D113" s="10" t="inlineStr">
        <is>
          <t>Dissolution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HPLC</t>
        </is>
      </c>
      <c r="H113" s="5" t="inlineStr">
        <is>
          <t>Low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14">
        <f>IF(N113="","",IF(OR(M113="",O113=""),N113,(M113+4*N113+O113)/6))</f>
        <v/>
      </c>
      <c r="Q113" s="5" t="n"/>
      <c r="R113" s="5" t="n"/>
      <c r="S113" s="5" t="n"/>
      <c r="T113" s="5" t="n"/>
      <c r="U113" s="5" t="n"/>
      <c r="V113" s="15" t="n"/>
      <c r="W113" s="5" t="inlineStr">
        <is>
          <t>Y</t>
        </is>
      </c>
      <c r="X113" s="5" t="n"/>
      <c r="Y113" s="5" t="n"/>
      <c r="Z113" s="5" t="n"/>
      <c r="AA113" s="5" t="n"/>
    </row>
    <row r="114">
      <c r="A114" s="10" t="inlineStr">
        <is>
          <t>F19</t>
        </is>
      </c>
      <c r="B114" s="10" t="inlineStr">
        <is>
          <t>FP</t>
        </is>
      </c>
      <c r="C114" s="10" t="inlineStr">
        <is>
          <t>Ozanimod 0.23/0.46; Ozanimod 0.92 mg  |  Ozanimod Hydrochloride</t>
        </is>
      </c>
      <c r="D114" s="10" t="inlineStr">
        <is>
          <t>Content uniformity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HPLC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14">
        <f>IF(N114="","",IF(OR(M114="",O114=""),N114,(M114+4*N114+O114)/6))</f>
        <v/>
      </c>
      <c r="Q114" s="5" t="n"/>
      <c r="R114" s="5" t="n"/>
      <c r="S114" s="5" t="n"/>
      <c r="T114" s="5" t="n"/>
      <c r="U114" s="5" t="n"/>
      <c r="V114" s="15" t="n"/>
      <c r="W114" s="5" t="inlineStr">
        <is>
          <t>N</t>
        </is>
      </c>
      <c r="X114" s="5" t="n"/>
      <c r="Y114" s="5" t="n"/>
      <c r="Z114" s="5" t="n"/>
      <c r="AA114" s="5" t="n"/>
    </row>
    <row r="115">
      <c r="A115" s="10" t="inlineStr">
        <is>
          <t>F19</t>
        </is>
      </c>
      <c r="B115" s="10" t="inlineStr">
        <is>
          <t>FP</t>
        </is>
      </c>
      <c r="C115" s="10" t="inlineStr">
        <is>
          <t>Ozanimod 0.23/0.46; Ozanimod 0.92 mg  |  Ozanimod Hydrochloride</t>
        </is>
      </c>
      <c r="D115" s="10" t="inlineStr">
        <is>
          <t>Identification (if separate from assay)</t>
        </is>
      </c>
      <c r="E115" s="10">
        <f>IF(A115="","",A115&amp;"|"&amp;D115)</f>
        <v/>
      </c>
      <c r="F115" s="5" t="inlineStr">
        <is>
          <t>N</t>
        </is>
      </c>
      <c r="G115" s="5" t="inlineStr">
        <is>
          <t>HPLC</t>
        </is>
      </c>
      <c r="H115" s="5" t="inlineStr">
        <is>
          <t>Low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14">
        <f>IF(N115="","",IF(OR(M115="",O115=""),N115,(M115+4*N115+O115)/6))</f>
        <v/>
      </c>
      <c r="Q115" s="5" t="n"/>
      <c r="R115" s="5" t="n"/>
      <c r="S115" s="5" t="n"/>
      <c r="T115" s="5" t="n"/>
      <c r="U115" s="5" t="n"/>
      <c r="V115" s="15" t="n"/>
      <c r="W115" s="5" t="inlineStr">
        <is>
          <t>N</t>
        </is>
      </c>
      <c r="X115" s="5" t="n"/>
      <c r="Y115" s="5" t="n"/>
      <c r="Z115" s="5" t="n"/>
      <c r="AA115" s="5" t="n"/>
    </row>
    <row r="116">
      <c r="A116" s="10" t="inlineStr">
        <is>
          <t>F19</t>
        </is>
      </c>
      <c r="B116" s="10" t="inlineStr">
        <is>
          <t>FP</t>
        </is>
      </c>
      <c r="C116" s="10" t="inlineStr">
        <is>
          <t>Ozanimod 0.23/0.46; Ozanimod 0.92 mg  |  Ozanimod Hydrochloride</t>
        </is>
      </c>
      <c r="D116" s="10" t="inlineStr">
        <is>
          <t>Other tests (non-HPLC: physical, LOD/KF, disintegration, pH, micro...)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14">
        <f>IF(N116="","",IF(OR(M116="",O116=""),N116,(M116+4*N116+O116)/6))</f>
        <v/>
      </c>
      <c r="Q116" s="5" t="n"/>
      <c r="R116" s="5" t="n"/>
      <c r="S116" s="5" t="n"/>
      <c r="T116" s="5" t="n"/>
      <c r="U116" s="5" t="n"/>
      <c r="V116" s="15" t="n"/>
      <c r="W116" s="5" t="inlineStr">
        <is>
          <t>Y</t>
        </is>
      </c>
      <c r="X116" s="5" t="n"/>
      <c r="Y116" s="5" t="n"/>
      <c r="Z116" s="5" t="n"/>
      <c r="AA116" s="5" t="n"/>
    </row>
    <row r="117">
      <c r="A117" s="10" t="inlineStr">
        <is>
          <t>F20</t>
        </is>
      </c>
      <c r="B117" s="10" t="inlineStr">
        <is>
          <t>FP</t>
        </is>
      </c>
      <c r="C117" s="10" t="inlineStr">
        <is>
          <t>Flusip Cold and cough-Day; Flusip Cold and Cough-Day (Sugar Free); Flusip Cold and Cough-N  |  Acetaminophen, Phenylephrine HCl (+2 more)</t>
        </is>
      </c>
      <c r="D117" s="10" t="inlineStr">
        <is>
          <t>Assay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HPLC</t>
        </is>
      </c>
      <c r="H117" s="5" t="inlineStr">
        <is>
          <t>High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14">
        <f>IF(N117="","",IF(OR(M117="",O117=""),N117,(M117+4*N117+O117)/6))</f>
        <v/>
      </c>
      <c r="Q117" s="5" t="n"/>
      <c r="R117" s="5" t="n"/>
      <c r="S117" s="5" t="n"/>
      <c r="T117" s="5" t="n"/>
      <c r="U117" s="5" t="n"/>
      <c r="V117" s="15" t="n"/>
      <c r="W117" s="5" t="inlineStr">
        <is>
          <t>Y</t>
        </is>
      </c>
      <c r="X117" s="5" t="n"/>
      <c r="Y117" s="5" t="n"/>
      <c r="Z117" s="5" t="inlineStr">
        <is>
          <t>Multi-active product: enter number of separate HPLC/AAS methods in col I</t>
        </is>
      </c>
      <c r="AA117" s="5" t="n"/>
    </row>
    <row r="118">
      <c r="A118" s="10" t="inlineStr">
        <is>
          <t>F20</t>
        </is>
      </c>
      <c r="B118" s="10" t="inlineStr">
        <is>
          <t>FP</t>
        </is>
      </c>
      <c r="C118" s="10" t="inlineStr">
        <is>
          <t>Flusip Cold and cough-Day; Flusip Cold and Cough-Day (Sugar Free); Flusip Cold and Cough-N  |  Acetaminophen, Phenylephrine HCl (+2 more)</t>
        </is>
      </c>
      <c r="D118" s="10" t="inlineStr">
        <is>
          <t>Related substances / impurities</t>
        </is>
      </c>
      <c r="E118" s="10">
        <f>IF(A118="","",A118&amp;"|"&amp;D118)</f>
        <v/>
      </c>
      <c r="F118" s="5" t="inlineStr">
        <is>
          <t>N</t>
        </is>
      </c>
      <c r="G118" s="5" t="inlineStr">
        <is>
          <t>HPLC</t>
        </is>
      </c>
      <c r="H118" s="5" t="inlineStr">
        <is>
          <t>High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14">
        <f>IF(N118="","",IF(OR(M118="",O118=""),N118,(M118+4*N118+O118)/6))</f>
        <v/>
      </c>
      <c r="Q118" s="5" t="n"/>
      <c r="R118" s="5" t="n"/>
      <c r="S118" s="5" t="n"/>
      <c r="T118" s="5" t="n"/>
      <c r="U118" s="5" t="n"/>
      <c r="V118" s="15" t="n"/>
      <c r="W118" s="5" t="inlineStr">
        <is>
          <t>Y</t>
        </is>
      </c>
      <c r="X118" s="5" t="n"/>
      <c r="Y118" s="5" t="n"/>
      <c r="Z118" s="5" t="n"/>
      <c r="AA118" s="5" t="n"/>
    </row>
    <row r="119">
      <c r="A119" s="10" t="inlineStr">
        <is>
          <t>F20</t>
        </is>
      </c>
      <c r="B119" s="10" t="inlineStr">
        <is>
          <t>FP</t>
        </is>
      </c>
      <c r="C119" s="10" t="inlineStr">
        <is>
          <t>Flusip Cold and cough-Day; Flusip Cold and Cough-Day (Sugar Free); Flusip Cold and Cough-N  |  Acetaminophen, Phenylephrine HCl (+2 more)</t>
        </is>
      </c>
      <c r="D119" s="10" t="inlineStr">
        <is>
          <t>Dissolution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HPLC</t>
        </is>
      </c>
      <c r="H119" s="5" t="inlineStr">
        <is>
          <t>High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14">
        <f>IF(N119="","",IF(OR(M119="",O119=""),N119,(M119+4*N119+O119)/6))</f>
        <v/>
      </c>
      <c r="Q119" s="5" t="n"/>
      <c r="R119" s="5" t="n"/>
      <c r="S119" s="5" t="n"/>
      <c r="T119" s="5" t="n"/>
      <c r="U119" s="5" t="n"/>
      <c r="V119" s="15" t="n"/>
      <c r="W119" s="5" t="inlineStr">
        <is>
          <t>Y</t>
        </is>
      </c>
      <c r="X119" s="5" t="n"/>
      <c r="Y119" s="5" t="n"/>
      <c r="Z119" s="5" t="n"/>
      <c r="AA119" s="5" t="n"/>
    </row>
    <row r="120">
      <c r="A120" s="10" t="inlineStr">
        <is>
          <t>F20</t>
        </is>
      </c>
      <c r="B120" s="10" t="inlineStr">
        <is>
          <t>FP</t>
        </is>
      </c>
      <c r="C120" s="10" t="inlineStr">
        <is>
          <t>Flusip Cold and cough-Day; Flusip Cold and Cough-Day (Sugar Free); Flusip Cold and Cough-N  |  Acetaminophen, Phenylephrine HCl (+2 more)</t>
        </is>
      </c>
      <c r="D120" s="10" t="inlineStr">
        <is>
          <t>Content uniformity</t>
        </is>
      </c>
      <c r="E120" s="10">
        <f>IF(A120="","",A120&amp;"|"&amp;D120)</f>
        <v/>
      </c>
      <c r="F120" s="5" t="inlineStr">
        <is>
          <t>N</t>
        </is>
      </c>
      <c r="G120" s="5" t="inlineStr">
        <is>
          <t>HPLC</t>
        </is>
      </c>
      <c r="H120" s="5" t="inlineStr">
        <is>
          <t>High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14">
        <f>IF(N120="","",IF(OR(M120="",O120=""),N120,(M120+4*N120+O120)/6))</f>
        <v/>
      </c>
      <c r="Q120" s="5" t="n"/>
      <c r="R120" s="5" t="n"/>
      <c r="S120" s="5" t="n"/>
      <c r="T120" s="5" t="n"/>
      <c r="U120" s="5" t="n"/>
      <c r="V120" s="15" t="n"/>
      <c r="W120" s="5" t="inlineStr">
        <is>
          <t>N</t>
        </is>
      </c>
      <c r="X120" s="5" t="n"/>
      <c r="Y120" s="5" t="n"/>
      <c r="Z120" s="5" t="n"/>
      <c r="AA120" s="5" t="n"/>
    </row>
    <row r="121">
      <c r="A121" s="10" t="inlineStr">
        <is>
          <t>F20</t>
        </is>
      </c>
      <c r="B121" s="10" t="inlineStr">
        <is>
          <t>FP</t>
        </is>
      </c>
      <c r="C121" s="10" t="inlineStr">
        <is>
          <t>Flusip Cold and cough-Day; Flusip Cold and Cough-Day (Sugar Free); Flusip Cold and Cough-N  |  Acetaminophen, Phenylephrine HCl (+2 more)</t>
        </is>
      </c>
      <c r="D121" s="10" t="inlineStr">
        <is>
          <t>Identification (if separate from assay)</t>
        </is>
      </c>
      <c r="E121" s="10">
        <f>IF(A121="","",A121&amp;"|"&amp;D121)</f>
        <v/>
      </c>
      <c r="F121" s="5" t="inlineStr">
        <is>
          <t>N</t>
        </is>
      </c>
      <c r="G121" s="5" t="inlineStr">
        <is>
          <t>HPLC</t>
        </is>
      </c>
      <c r="H121" s="5" t="inlineStr">
        <is>
          <t>High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14">
        <f>IF(N121="","",IF(OR(M121="",O121=""),N121,(M121+4*N121+O121)/6))</f>
        <v/>
      </c>
      <c r="Q121" s="5" t="n"/>
      <c r="R121" s="5" t="n"/>
      <c r="S121" s="5" t="n"/>
      <c r="T121" s="5" t="n"/>
      <c r="U121" s="5" t="n"/>
      <c r="V121" s="15" t="n"/>
      <c r="W121" s="5" t="inlineStr">
        <is>
          <t>N</t>
        </is>
      </c>
      <c r="X121" s="5" t="n"/>
      <c r="Y121" s="5" t="n"/>
      <c r="Z121" s="5" t="n"/>
      <c r="AA121" s="5" t="n"/>
    </row>
    <row r="122">
      <c r="A122" s="10" t="inlineStr">
        <is>
          <t>F20</t>
        </is>
      </c>
      <c r="B122" s="10" t="inlineStr">
        <is>
          <t>FP</t>
        </is>
      </c>
      <c r="C122" s="10" t="inlineStr">
        <is>
          <t>Flusip Cold and cough-Day; Flusip Cold and Cough-Day (Sugar Free); Flusip Cold and Cough-N  |  Acetaminophen, Phenylephrine HCl (+2 more)</t>
        </is>
      </c>
      <c r="D122" s="10" t="inlineStr">
        <is>
          <t>Other tests (non-HPLC: physical, LOD/KF, disintegration, pH, micro...)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High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14">
        <f>IF(N122="","",IF(OR(M122="",O122=""),N122,(M122+4*N122+O122)/6))</f>
        <v/>
      </c>
      <c r="Q122" s="5" t="n"/>
      <c r="R122" s="5" t="n"/>
      <c r="S122" s="5" t="n"/>
      <c r="T122" s="5" t="n"/>
      <c r="U122" s="5" t="n"/>
      <c r="V122" s="15" t="n"/>
      <c r="W122" s="5" t="inlineStr">
        <is>
          <t>Y</t>
        </is>
      </c>
      <c r="X122" s="5" t="n"/>
      <c r="Y122" s="5" t="n"/>
      <c r="Z122" s="5" t="n"/>
      <c r="AA122" s="5" t="n"/>
    </row>
    <row r="123">
      <c r="A123" s="10" t="inlineStr">
        <is>
          <t>F21</t>
        </is>
      </c>
      <c r="B123" s="10" t="inlineStr">
        <is>
          <t>FP</t>
        </is>
      </c>
      <c r="C123" s="10" t="inlineStr">
        <is>
          <t>Flusip Cold and Flu; Flusip Cold and Flu (Sugar Free)  |  Acetaminophen, Phenylephrine HCl (+1 more)</t>
        </is>
      </c>
      <c r="D123" s="10" t="inlineStr">
        <is>
          <t>Assay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Y</t>
        </is>
      </c>
      <c r="X123" s="5" t="n"/>
      <c r="Y123" s="5" t="n"/>
      <c r="Z123" s="5" t="n"/>
      <c r="AA123" s="5" t="n"/>
    </row>
    <row r="124">
      <c r="A124" s="10" t="inlineStr">
        <is>
          <t>F21</t>
        </is>
      </c>
      <c r="B124" s="10" t="inlineStr">
        <is>
          <t>FP</t>
        </is>
      </c>
      <c r="C124" s="10" t="inlineStr">
        <is>
          <t>Flusip Cold and Flu; Flusip Cold and Flu (Sugar Free)  |  Acetaminophen, Phenylephrine HCl (+1 more)</t>
        </is>
      </c>
      <c r="D124" s="10" t="inlineStr">
        <is>
          <t>Related substances / impurities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HPLC</t>
        </is>
      </c>
      <c r="H124" s="5" t="inlineStr">
        <is>
          <t>Medium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14">
        <f>IF(N124="","",IF(OR(M124="",O124=""),N124,(M124+4*N124+O124)/6))</f>
        <v/>
      </c>
      <c r="Q124" s="5" t="n"/>
      <c r="R124" s="5" t="n"/>
      <c r="S124" s="5" t="n"/>
      <c r="T124" s="5" t="n"/>
      <c r="U124" s="5" t="n"/>
      <c r="V124" s="15" t="n"/>
      <c r="W124" s="5" t="inlineStr">
        <is>
          <t>Y</t>
        </is>
      </c>
      <c r="X124" s="5" t="n"/>
      <c r="Y124" s="5" t="n"/>
      <c r="Z124" s="5" t="n"/>
      <c r="AA124" s="5" t="n"/>
    </row>
    <row r="125">
      <c r="A125" s="10" t="inlineStr">
        <is>
          <t>F21</t>
        </is>
      </c>
      <c r="B125" s="10" t="inlineStr">
        <is>
          <t>FP</t>
        </is>
      </c>
      <c r="C125" s="10" t="inlineStr">
        <is>
          <t>Flusip Cold and Flu; Flusip Cold and Flu (Sugar Free)  |  Acetaminophen, Phenylephrine HCl (+1 more)</t>
        </is>
      </c>
      <c r="D125" s="10" t="inlineStr">
        <is>
          <t>Dissolution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Y</t>
        </is>
      </c>
      <c r="X125" s="5" t="n"/>
      <c r="Y125" s="5" t="n"/>
      <c r="Z125" s="5" t="n"/>
      <c r="AA125" s="5" t="n"/>
    </row>
    <row r="126">
      <c r="A126" s="10" t="inlineStr">
        <is>
          <t>F21</t>
        </is>
      </c>
      <c r="B126" s="10" t="inlineStr">
        <is>
          <t>FP</t>
        </is>
      </c>
      <c r="C126" s="10" t="inlineStr">
        <is>
          <t>Flusip Cold and Flu; Flusip Cold and Flu (Sugar Free)  |  Acetaminophen, Phenylephrine HCl (+1 more)</t>
        </is>
      </c>
      <c r="D126" s="10" t="inlineStr">
        <is>
          <t>Content uniformity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HPLC</t>
        </is>
      </c>
      <c r="H126" s="5" t="inlineStr">
        <is>
          <t>Medium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14">
        <f>IF(N126="","",IF(OR(M126="",O126=""),N126,(M126+4*N126+O126)/6))</f>
        <v/>
      </c>
      <c r="Q126" s="5" t="n"/>
      <c r="R126" s="5" t="n"/>
      <c r="S126" s="5" t="n"/>
      <c r="T126" s="5" t="n"/>
      <c r="U126" s="5" t="n"/>
      <c r="V126" s="15" t="n"/>
      <c r="W126" s="5" t="inlineStr">
        <is>
          <t>N</t>
        </is>
      </c>
      <c r="X126" s="5" t="n"/>
      <c r="Y126" s="5" t="n"/>
      <c r="Z126" s="5" t="n"/>
      <c r="AA126" s="5" t="n"/>
    </row>
    <row r="127">
      <c r="A127" s="10" t="inlineStr">
        <is>
          <t>F21</t>
        </is>
      </c>
      <c r="B127" s="10" t="inlineStr">
        <is>
          <t>FP</t>
        </is>
      </c>
      <c r="C127" s="10" t="inlineStr">
        <is>
          <t>Flusip Cold and Flu; Flusip Cold and Flu (Sugar Free)  |  Acetaminophen, Phenylephrine HCl (+1 more)</t>
        </is>
      </c>
      <c r="D127" s="10" t="inlineStr">
        <is>
          <t>Identification (if separate from assay)</t>
        </is>
      </c>
      <c r="E127" s="10">
        <f>IF(A127="","",A127&amp;"|"&amp;D127)</f>
        <v/>
      </c>
      <c r="F127" s="5" t="inlineStr">
        <is>
          <t>N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14">
        <f>IF(N127="","",IF(OR(M127="",O127=""),N127,(M127+4*N127+O127)/6))</f>
        <v/>
      </c>
      <c r="Q127" s="5" t="n"/>
      <c r="R127" s="5" t="n"/>
      <c r="S127" s="5" t="n"/>
      <c r="T127" s="5" t="n"/>
      <c r="U127" s="5" t="n"/>
      <c r="V127" s="15" t="n"/>
      <c r="W127" s="5" t="inlineStr">
        <is>
          <t>N</t>
        </is>
      </c>
      <c r="X127" s="5" t="n"/>
      <c r="Y127" s="5" t="n"/>
      <c r="Z127" s="5" t="n"/>
      <c r="AA127" s="5" t="n"/>
    </row>
    <row r="128">
      <c r="A128" s="10" t="inlineStr">
        <is>
          <t>F21</t>
        </is>
      </c>
      <c r="B128" s="10" t="inlineStr">
        <is>
          <t>FP</t>
        </is>
      </c>
      <c r="C128" s="10" t="inlineStr">
        <is>
          <t>Flusip Cold and Flu; Flusip Cold and Flu (Sugar Free)  |  Acetaminophen, Phenylephrine HCl (+1 more)</t>
        </is>
      </c>
      <c r="D128" s="10" t="inlineStr">
        <is>
          <t>Other tests (non-HPLC: physical, LOD/KF, disintegration, pH, micro...)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Medium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14">
        <f>IF(N128="","",IF(OR(M128="",O128=""),N128,(M128+4*N128+O128)/6))</f>
        <v/>
      </c>
      <c r="Q128" s="5" t="n"/>
      <c r="R128" s="5" t="n"/>
      <c r="S128" s="5" t="n"/>
      <c r="T128" s="5" t="n"/>
      <c r="U128" s="5" t="n"/>
      <c r="V128" s="15" t="n"/>
      <c r="W128" s="5" t="inlineStr">
        <is>
          <t>Y</t>
        </is>
      </c>
      <c r="X128" s="5" t="n"/>
      <c r="Y128" s="5" t="n"/>
      <c r="Z128" s="5" t="n"/>
      <c r="AA128" s="5" t="n"/>
    </row>
    <row r="129">
      <c r="A129" s="10" t="inlineStr">
        <is>
          <t>F22</t>
        </is>
      </c>
      <c r="B129" s="10" t="inlineStr">
        <is>
          <t>FP</t>
        </is>
      </c>
      <c r="C129" s="10" t="inlineStr">
        <is>
          <t>Flusip-C  |  actives TBD: Flusip-C</t>
        </is>
      </c>
      <c r="D129" s="10" t="inlineStr">
        <is>
          <t>Assay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Y</t>
        </is>
      </c>
      <c r="X129" s="5" t="n"/>
      <c r="Y129" s="5" t="n"/>
      <c r="Z129" s="5" t="inlineStr">
        <is>
          <t>Actives not on record – confirm tests</t>
        </is>
      </c>
      <c r="AA129" s="5" t="n"/>
    </row>
    <row r="130">
      <c r="A130" s="10" t="inlineStr">
        <is>
          <t>F22</t>
        </is>
      </c>
      <c r="B130" s="10" t="inlineStr">
        <is>
          <t>FP</t>
        </is>
      </c>
      <c r="C130" s="10" t="inlineStr">
        <is>
          <t>Flusip-C  |  actives TBD: Flusip-C</t>
        </is>
      </c>
      <c r="D130" s="10" t="inlineStr">
        <is>
          <t>Related substances / impurities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14">
        <f>IF(N130="","",IF(OR(M130="",O130=""),N130,(M130+4*N130+O130)/6))</f>
        <v/>
      </c>
      <c r="Q130" s="5" t="n"/>
      <c r="R130" s="5" t="n"/>
      <c r="S130" s="5" t="n"/>
      <c r="T130" s="5" t="n"/>
      <c r="U130" s="5" t="n"/>
      <c r="V130" s="15" t="n"/>
      <c r="W130" s="5" t="inlineStr">
        <is>
          <t>Y</t>
        </is>
      </c>
      <c r="X130" s="5" t="n"/>
      <c r="Y130" s="5" t="n"/>
      <c r="Z130" s="5" t="inlineStr">
        <is>
          <t>Actives not on record – confirm tests</t>
        </is>
      </c>
      <c r="AA130" s="5" t="n"/>
    </row>
    <row r="131">
      <c r="A131" s="10" t="inlineStr">
        <is>
          <t>F22</t>
        </is>
      </c>
      <c r="B131" s="10" t="inlineStr">
        <is>
          <t>FP</t>
        </is>
      </c>
      <c r="C131" s="10" t="inlineStr">
        <is>
          <t>Flusip-C  |  actives TBD: Flusip-C</t>
        </is>
      </c>
      <c r="D131" s="10" t="inlineStr">
        <is>
          <t>Dissolution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14">
        <f>IF(N131="","",IF(OR(M131="",O131=""),N131,(M131+4*N131+O131)/6))</f>
        <v/>
      </c>
      <c r="Q131" s="5" t="n"/>
      <c r="R131" s="5" t="n"/>
      <c r="S131" s="5" t="n"/>
      <c r="T131" s="5" t="n"/>
      <c r="U131" s="5" t="n"/>
      <c r="V131" s="15" t="n"/>
      <c r="W131" s="5" t="inlineStr">
        <is>
          <t>Y</t>
        </is>
      </c>
      <c r="X131" s="5" t="n"/>
      <c r="Y131" s="5" t="n"/>
      <c r="Z131" s="5" t="inlineStr">
        <is>
          <t>Actives not on record – confirm tests</t>
        </is>
      </c>
      <c r="AA131" s="5" t="n"/>
    </row>
    <row r="132">
      <c r="A132" s="10" t="inlineStr">
        <is>
          <t>F22</t>
        </is>
      </c>
      <c r="B132" s="10" t="inlineStr">
        <is>
          <t>FP</t>
        </is>
      </c>
      <c r="C132" s="10" t="inlineStr">
        <is>
          <t>Flusip-C  |  actives TBD: Flusip-C</t>
        </is>
      </c>
      <c r="D132" s="10" t="inlineStr">
        <is>
          <t>Content uniformity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14">
        <f>IF(N132="","",IF(OR(M132="",O132=""),N132,(M132+4*N132+O132)/6))</f>
        <v/>
      </c>
      <c r="Q132" s="5" t="n"/>
      <c r="R132" s="5" t="n"/>
      <c r="S132" s="5" t="n"/>
      <c r="T132" s="5" t="n"/>
      <c r="U132" s="5" t="n"/>
      <c r="V132" s="15" t="n"/>
      <c r="W132" s="5" t="inlineStr">
        <is>
          <t>N</t>
        </is>
      </c>
      <c r="X132" s="5" t="n"/>
      <c r="Y132" s="5" t="n"/>
      <c r="Z132" s="5" t="inlineStr">
        <is>
          <t>Actives not on record – confirm tests</t>
        </is>
      </c>
      <c r="AA132" s="5" t="n"/>
    </row>
    <row r="133">
      <c r="A133" s="10" t="inlineStr">
        <is>
          <t>F22</t>
        </is>
      </c>
      <c r="B133" s="10" t="inlineStr">
        <is>
          <t>FP</t>
        </is>
      </c>
      <c r="C133" s="10" t="inlineStr">
        <is>
          <t>Flusip-C  |  actives TBD: Flusip-C</t>
        </is>
      </c>
      <c r="D133" s="10" t="inlineStr">
        <is>
          <t>Identification (if separate from assay)</t>
        </is>
      </c>
      <c r="E133" s="10">
        <f>IF(A133="","",A133&amp;"|"&amp;D133)</f>
        <v/>
      </c>
      <c r="F133" s="5" t="inlineStr">
        <is>
          <t>N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14">
        <f>IF(N133="","",IF(OR(M133="",O133=""),N133,(M133+4*N133+O133)/6))</f>
        <v/>
      </c>
      <c r="Q133" s="5" t="n"/>
      <c r="R133" s="5" t="n"/>
      <c r="S133" s="5" t="n"/>
      <c r="T133" s="5" t="n"/>
      <c r="U133" s="5" t="n"/>
      <c r="V133" s="15" t="n"/>
      <c r="W133" s="5" t="inlineStr">
        <is>
          <t>N</t>
        </is>
      </c>
      <c r="X133" s="5" t="n"/>
      <c r="Y133" s="5" t="n"/>
      <c r="Z133" s="5" t="inlineStr">
        <is>
          <t>Actives not on record – confirm tests</t>
        </is>
      </c>
      <c r="AA133" s="5" t="n"/>
    </row>
    <row r="134">
      <c r="A134" s="10" t="inlineStr">
        <is>
          <t>F22</t>
        </is>
      </c>
      <c r="B134" s="10" t="inlineStr">
        <is>
          <t>FP</t>
        </is>
      </c>
      <c r="C134" s="10" t="inlineStr">
        <is>
          <t>Flusip-C  |  actives TBD: Flusip-C</t>
        </is>
      </c>
      <c r="D134" s="10" t="inlineStr">
        <is>
          <t>Other tests (non-HPLC: physical, LOD/KF, disintegration, pH, micro...)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14">
        <f>IF(N134="","",IF(OR(M134="",O134=""),N134,(M134+4*N134+O134)/6))</f>
        <v/>
      </c>
      <c r="Q134" s="5" t="n"/>
      <c r="R134" s="5" t="n"/>
      <c r="S134" s="5" t="n"/>
      <c r="T134" s="5" t="n"/>
      <c r="U134" s="5" t="n"/>
      <c r="V134" s="15" t="n"/>
      <c r="W134" s="5" t="inlineStr">
        <is>
          <t>Y</t>
        </is>
      </c>
      <c r="X134" s="5" t="n"/>
      <c r="Y134" s="5" t="n"/>
      <c r="Z134" s="5" t="inlineStr">
        <is>
          <t>Actives not on record – confirm tests</t>
        </is>
      </c>
      <c r="AA134" s="5" t="n"/>
    </row>
    <row r="135">
      <c r="A135" s="10" t="inlineStr">
        <is>
          <t>F23</t>
        </is>
      </c>
      <c r="B135" s="10" t="inlineStr">
        <is>
          <t>FP</t>
        </is>
      </c>
      <c r="C135" s="10" t="inlineStr">
        <is>
          <t>Empagliflozin 10 mg; Empaglose 25  |  Empagliflozin</t>
        </is>
      </c>
      <c r="D135" s="10" t="inlineStr">
        <is>
          <t>Assay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HPLC</t>
        </is>
      </c>
      <c r="H135" s="5" t="inlineStr">
        <is>
          <t>Low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14">
        <f>IF(N135="","",IF(OR(M135="",O135=""),N135,(M135+4*N135+O135)/6))</f>
        <v/>
      </c>
      <c r="Q135" s="5" t="n"/>
      <c r="R135" s="5" t="n"/>
      <c r="S135" s="5" t="n"/>
      <c r="T135" s="5" t="n"/>
      <c r="U135" s="5" t="n"/>
      <c r="V135" s="15" t="n"/>
      <c r="W135" s="5" t="inlineStr">
        <is>
          <t>Y</t>
        </is>
      </c>
      <c r="X135" s="5" t="n"/>
      <c r="Y135" s="5" t="n"/>
      <c r="Z135" s="5" t="n"/>
      <c r="AA135" s="5" t="n"/>
    </row>
    <row r="136">
      <c r="A136" s="10" t="inlineStr">
        <is>
          <t>F23</t>
        </is>
      </c>
      <c r="B136" s="10" t="inlineStr">
        <is>
          <t>FP</t>
        </is>
      </c>
      <c r="C136" s="10" t="inlineStr">
        <is>
          <t>Empagliflozin 10 mg; Empaglose 25  |  Empagliflozin</t>
        </is>
      </c>
      <c r="D136" s="10" t="inlineStr">
        <is>
          <t>Related substances / impurities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HPLC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14">
        <f>IF(N136="","",IF(OR(M136="",O136=""),N136,(M136+4*N136+O136)/6))</f>
        <v/>
      </c>
      <c r="Q136" s="5" t="n"/>
      <c r="R136" s="5" t="n"/>
      <c r="S136" s="5" t="n"/>
      <c r="T136" s="5" t="n"/>
      <c r="U136" s="5" t="n"/>
      <c r="V136" s="15" t="n"/>
      <c r="W136" s="5" t="inlineStr">
        <is>
          <t>Y</t>
        </is>
      </c>
      <c r="X136" s="5" t="n"/>
      <c r="Y136" s="5" t="n"/>
      <c r="Z136" s="5" t="n"/>
      <c r="AA136" s="5" t="n"/>
    </row>
    <row r="137">
      <c r="A137" s="10" t="inlineStr">
        <is>
          <t>F23</t>
        </is>
      </c>
      <c r="B137" s="10" t="inlineStr">
        <is>
          <t>FP</t>
        </is>
      </c>
      <c r="C137" s="10" t="inlineStr">
        <is>
          <t>Empagliflozin 10 mg; Empaglose 25  |  Empagliflozin</t>
        </is>
      </c>
      <c r="D137" s="10" t="inlineStr">
        <is>
          <t>Dissolution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HPLC</t>
        </is>
      </c>
      <c r="H137" s="5" t="inlineStr">
        <is>
          <t>Low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14">
        <f>IF(N137="","",IF(OR(M137="",O137=""),N137,(M137+4*N137+O137)/6))</f>
        <v/>
      </c>
      <c r="Q137" s="5" t="n"/>
      <c r="R137" s="5" t="n"/>
      <c r="S137" s="5" t="n"/>
      <c r="T137" s="5" t="n"/>
      <c r="U137" s="5" t="n"/>
      <c r="V137" s="15" t="n"/>
      <c r="W137" s="5" t="inlineStr">
        <is>
          <t>Y</t>
        </is>
      </c>
      <c r="X137" s="5" t="n"/>
      <c r="Y137" s="5" t="n"/>
      <c r="Z137" s="5" t="n"/>
      <c r="AA137" s="5" t="n"/>
    </row>
    <row r="138">
      <c r="A138" s="10" t="inlineStr">
        <is>
          <t>F23</t>
        </is>
      </c>
      <c r="B138" s="10" t="inlineStr">
        <is>
          <t>FP</t>
        </is>
      </c>
      <c r="C138" s="10" t="inlineStr">
        <is>
          <t>Empagliflozin 10 mg; Empaglose 25  |  Empagliflozin</t>
        </is>
      </c>
      <c r="D138" s="10" t="inlineStr">
        <is>
          <t>Content uniformity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HPLC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14">
        <f>IF(N138="","",IF(OR(M138="",O138=""),N138,(M138+4*N138+O138)/6))</f>
        <v/>
      </c>
      <c r="Q138" s="5" t="n"/>
      <c r="R138" s="5" t="n"/>
      <c r="S138" s="5" t="n"/>
      <c r="T138" s="5" t="n"/>
      <c r="U138" s="5" t="n"/>
      <c r="V138" s="15" t="n"/>
      <c r="W138" s="5" t="inlineStr">
        <is>
          <t>N</t>
        </is>
      </c>
      <c r="X138" s="5" t="n"/>
      <c r="Y138" s="5" t="n"/>
      <c r="Z138" s="5" t="n"/>
      <c r="AA138" s="5" t="n"/>
    </row>
    <row r="139">
      <c r="A139" s="10" t="inlineStr">
        <is>
          <t>F23</t>
        </is>
      </c>
      <c r="B139" s="10" t="inlineStr">
        <is>
          <t>FP</t>
        </is>
      </c>
      <c r="C139" s="10" t="inlineStr">
        <is>
          <t>Empagliflozin 10 mg; Empaglose 25  |  Empagliflozin</t>
        </is>
      </c>
      <c r="D139" s="10" t="inlineStr">
        <is>
          <t>Identification (if separate from assay)</t>
        </is>
      </c>
      <c r="E139" s="10">
        <f>IF(A139="","",A139&amp;"|"&amp;D139)</f>
        <v/>
      </c>
      <c r="F139" s="5" t="inlineStr">
        <is>
          <t>N</t>
        </is>
      </c>
      <c r="G139" s="5" t="inlineStr">
        <is>
          <t>HPLC</t>
        </is>
      </c>
      <c r="H139" s="5" t="inlineStr">
        <is>
          <t>Low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14">
        <f>IF(N139="","",IF(OR(M139="",O139=""),N139,(M139+4*N139+O139)/6))</f>
        <v/>
      </c>
      <c r="Q139" s="5" t="n"/>
      <c r="R139" s="5" t="n"/>
      <c r="S139" s="5" t="n"/>
      <c r="T139" s="5" t="n"/>
      <c r="U139" s="5" t="n"/>
      <c r="V139" s="15" t="n"/>
      <c r="W139" s="5" t="inlineStr">
        <is>
          <t>N</t>
        </is>
      </c>
      <c r="X139" s="5" t="n"/>
      <c r="Y139" s="5" t="n"/>
      <c r="Z139" s="5" t="n"/>
      <c r="AA139" s="5" t="n"/>
    </row>
    <row r="140">
      <c r="A140" s="10" t="inlineStr">
        <is>
          <t>F23</t>
        </is>
      </c>
      <c r="B140" s="10" t="inlineStr">
        <is>
          <t>FP</t>
        </is>
      </c>
      <c r="C140" s="10" t="inlineStr">
        <is>
          <t>Empagliflozin 10 mg; Empaglose 25  |  Empagliflozin</t>
        </is>
      </c>
      <c r="D140" s="10" t="inlineStr">
        <is>
          <t>Other tests (non-HPLC: physical, LOD/KF, disintegration, pH, micro...)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14">
        <f>IF(N140="","",IF(OR(M140="",O140=""),N140,(M140+4*N140+O140)/6))</f>
        <v/>
      </c>
      <c r="Q140" s="5" t="n"/>
      <c r="R140" s="5" t="n"/>
      <c r="S140" s="5" t="n"/>
      <c r="T140" s="5" t="n"/>
      <c r="U140" s="5" t="n"/>
      <c r="V140" s="15" t="n"/>
      <c r="W140" s="5" t="inlineStr">
        <is>
          <t>Y</t>
        </is>
      </c>
      <c r="X140" s="5" t="n"/>
      <c r="Y140" s="5" t="n"/>
      <c r="Z140" s="5" t="n"/>
      <c r="AA140" s="5" t="n"/>
    </row>
    <row r="141">
      <c r="A141" s="10" t="inlineStr">
        <is>
          <t>F24</t>
        </is>
      </c>
      <c r="B141" s="10" t="inlineStr">
        <is>
          <t>FP</t>
        </is>
      </c>
      <c r="C141" s="10" t="inlineStr">
        <is>
          <t>Lixiban 2.5; Lixiban 5  |  Apixaban</t>
        </is>
      </c>
      <c r="D141" s="10" t="inlineStr">
        <is>
          <t>Assay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HPLC</t>
        </is>
      </c>
      <c r="H141" s="5" t="inlineStr">
        <is>
          <t>Low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14">
        <f>IF(N141="","",IF(OR(M141="",O141=""),N141,(M141+4*N141+O141)/6))</f>
        <v/>
      </c>
      <c r="Q141" s="5" t="n"/>
      <c r="R141" s="5" t="n"/>
      <c r="S141" s="5" t="n"/>
      <c r="T141" s="5" t="n"/>
      <c r="U141" s="5" t="n"/>
      <c r="V141" s="15" t="n"/>
      <c r="W141" s="5" t="inlineStr">
        <is>
          <t>Y</t>
        </is>
      </c>
      <c r="X141" s="5" t="n"/>
      <c r="Y141" s="5" t="n"/>
      <c r="Z141" s="5" t="n"/>
      <c r="AA141" s="5" t="n"/>
    </row>
    <row r="142">
      <c r="A142" s="10" t="inlineStr">
        <is>
          <t>F24</t>
        </is>
      </c>
      <c r="B142" s="10" t="inlineStr">
        <is>
          <t>FP</t>
        </is>
      </c>
      <c r="C142" s="10" t="inlineStr">
        <is>
          <t>Lixiban 2.5; Lixiban 5  |  Apixaban</t>
        </is>
      </c>
      <c r="D142" s="10" t="inlineStr">
        <is>
          <t>Related substances / impurities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Y</t>
        </is>
      </c>
      <c r="X142" s="5" t="n"/>
      <c r="Y142" s="5" t="n"/>
      <c r="Z142" s="5" t="n"/>
      <c r="AA142" s="5" t="n"/>
    </row>
    <row r="143">
      <c r="A143" s="10" t="inlineStr">
        <is>
          <t>F24</t>
        </is>
      </c>
      <c r="B143" s="10" t="inlineStr">
        <is>
          <t>FP</t>
        </is>
      </c>
      <c r="C143" s="10" t="inlineStr">
        <is>
          <t>Lixiban 2.5; Lixiban 5  |  Apixaban</t>
        </is>
      </c>
      <c r="D143" s="10" t="inlineStr">
        <is>
          <t>Dissolution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14">
        <f>IF(N143="","",IF(OR(M143="",O143=""),N143,(M143+4*N143+O143)/6))</f>
        <v/>
      </c>
      <c r="Q143" s="5" t="n"/>
      <c r="R143" s="5" t="n"/>
      <c r="S143" s="5" t="n"/>
      <c r="T143" s="5" t="n"/>
      <c r="U143" s="5" t="n"/>
      <c r="V143" s="15" t="n"/>
      <c r="W143" s="5" t="inlineStr">
        <is>
          <t>Y</t>
        </is>
      </c>
      <c r="X143" s="5" t="n"/>
      <c r="Y143" s="5" t="n"/>
      <c r="Z143" s="5" t="n"/>
      <c r="AA143" s="5" t="n"/>
    </row>
    <row r="144">
      <c r="A144" s="10" t="inlineStr">
        <is>
          <t>F24</t>
        </is>
      </c>
      <c r="B144" s="10" t="inlineStr">
        <is>
          <t>FP</t>
        </is>
      </c>
      <c r="C144" s="10" t="inlineStr">
        <is>
          <t>Lixiban 2.5; Lixiban 5  |  Apixaban</t>
        </is>
      </c>
      <c r="D144" s="10" t="inlineStr">
        <is>
          <t>Content uniformity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14">
        <f>IF(N144="","",IF(OR(M144="",O144=""),N144,(M144+4*N144+O144)/6))</f>
        <v/>
      </c>
      <c r="Q144" s="5" t="n"/>
      <c r="R144" s="5" t="n"/>
      <c r="S144" s="5" t="n"/>
      <c r="T144" s="5" t="n"/>
      <c r="U144" s="5" t="n"/>
      <c r="V144" s="15" t="n"/>
      <c r="W144" s="5" t="inlineStr">
        <is>
          <t>N</t>
        </is>
      </c>
      <c r="X144" s="5" t="n"/>
      <c r="Y144" s="5" t="n"/>
      <c r="Z144" s="5" t="n"/>
      <c r="AA144" s="5" t="n"/>
    </row>
    <row r="145">
      <c r="A145" s="10" t="inlineStr">
        <is>
          <t>F24</t>
        </is>
      </c>
      <c r="B145" s="10" t="inlineStr">
        <is>
          <t>FP</t>
        </is>
      </c>
      <c r="C145" s="10" t="inlineStr">
        <is>
          <t>Lixiban 2.5; Lixiban 5  |  Apixaban</t>
        </is>
      </c>
      <c r="D145" s="10" t="inlineStr">
        <is>
          <t>Identification (if separate from assay)</t>
        </is>
      </c>
      <c r="E145" s="10">
        <f>IF(A145="","",A145&amp;"|"&amp;D145)</f>
        <v/>
      </c>
      <c r="F145" s="5" t="inlineStr">
        <is>
          <t>N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N</t>
        </is>
      </c>
      <c r="X145" s="5" t="n"/>
      <c r="Y145" s="5" t="n"/>
      <c r="Z145" s="5" t="n"/>
      <c r="AA145" s="5" t="n"/>
    </row>
    <row r="146">
      <c r="A146" s="10" t="inlineStr">
        <is>
          <t>F24</t>
        </is>
      </c>
      <c r="B146" s="10" t="inlineStr">
        <is>
          <t>FP</t>
        </is>
      </c>
      <c r="C146" s="10" t="inlineStr">
        <is>
          <t>Lixiban 2.5; Lixiban 5  |  Apixaban</t>
        </is>
      </c>
      <c r="D146" s="10" t="inlineStr">
        <is>
          <t>Other tests (non-HPLC: physical, LOD/KF, disintegration, pH, micro...)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14">
        <f>IF(N146="","",IF(OR(M146="",O146=""),N146,(M146+4*N146+O146)/6))</f>
        <v/>
      </c>
      <c r="Q146" s="5" t="n"/>
      <c r="R146" s="5" t="n"/>
      <c r="S146" s="5" t="n"/>
      <c r="T146" s="5" t="n"/>
      <c r="U146" s="5" t="n"/>
      <c r="V146" s="15" t="n"/>
      <c r="W146" s="5" t="inlineStr">
        <is>
          <t>Y</t>
        </is>
      </c>
      <c r="X146" s="5" t="n"/>
      <c r="Y146" s="5" t="n"/>
      <c r="Z146" s="5" t="n"/>
      <c r="AA146" s="5" t="n"/>
    </row>
    <row r="147">
      <c r="A147" s="10" t="inlineStr">
        <is>
          <t>F25</t>
        </is>
      </c>
      <c r="B147" s="10" t="inlineStr">
        <is>
          <t>FP</t>
        </is>
      </c>
      <c r="C147" s="10" t="inlineStr">
        <is>
          <t>Glose-lin 10/5; Glose-lin 25/5  |  Empagliflozin, Linagliptin</t>
        </is>
      </c>
      <c r="D147" s="10" t="inlineStr">
        <is>
          <t>Assay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14">
        <f>IF(N147="","",IF(OR(M147="",O147=""),N147,(M147+4*N147+O147)/6))</f>
        <v/>
      </c>
      <c r="Q147" s="5" t="n"/>
      <c r="R147" s="5" t="n"/>
      <c r="S147" s="5" t="n"/>
      <c r="T147" s="5" t="n"/>
      <c r="U147" s="5" t="n"/>
      <c r="V147" s="15" t="n"/>
      <c r="W147" s="5" t="inlineStr">
        <is>
          <t>Y</t>
        </is>
      </c>
      <c r="X147" s="5" t="n"/>
      <c r="Y147" s="5" t="n"/>
      <c r="Z147" s="5" t="n"/>
      <c r="AA147" s="5" t="n"/>
    </row>
    <row r="148">
      <c r="A148" s="10" t="inlineStr">
        <is>
          <t>F25</t>
        </is>
      </c>
      <c r="B148" s="10" t="inlineStr">
        <is>
          <t>FP</t>
        </is>
      </c>
      <c r="C148" s="10" t="inlineStr">
        <is>
          <t>Glose-lin 10/5; Glose-lin 25/5  |  Empagliflozin, Linagliptin</t>
        </is>
      </c>
      <c r="D148" s="10" t="inlineStr">
        <is>
          <t>Related substances / impurities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HPLC</t>
        </is>
      </c>
      <c r="H148" s="5" t="inlineStr">
        <is>
          <t>Medium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14">
        <f>IF(N148="","",IF(OR(M148="",O148=""),N148,(M148+4*N148+O148)/6))</f>
        <v/>
      </c>
      <c r="Q148" s="5" t="n"/>
      <c r="R148" s="5" t="n"/>
      <c r="S148" s="5" t="n"/>
      <c r="T148" s="5" t="n"/>
      <c r="U148" s="5" t="n"/>
      <c r="V148" s="15" t="n"/>
      <c r="W148" s="5" t="inlineStr">
        <is>
          <t>Y</t>
        </is>
      </c>
      <c r="X148" s="5" t="n"/>
      <c r="Y148" s="5" t="n"/>
      <c r="Z148" s="5" t="n"/>
      <c r="AA148" s="5" t="n"/>
    </row>
    <row r="149">
      <c r="A149" s="10" t="inlineStr">
        <is>
          <t>F25</t>
        </is>
      </c>
      <c r="B149" s="10" t="inlineStr">
        <is>
          <t>FP</t>
        </is>
      </c>
      <c r="C149" s="10" t="inlineStr">
        <is>
          <t>Glose-lin 10/5; Glose-lin 25/5  |  Empagliflozin, Linagliptin</t>
        </is>
      </c>
      <c r="D149" s="10" t="inlineStr">
        <is>
          <t>Dissolution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14">
        <f>IF(N149="","",IF(OR(M149="",O149=""),N149,(M149+4*N149+O149)/6))</f>
        <v/>
      </c>
      <c r="Q149" s="5" t="n"/>
      <c r="R149" s="5" t="n"/>
      <c r="S149" s="5" t="n"/>
      <c r="T149" s="5" t="n"/>
      <c r="U149" s="5" t="n"/>
      <c r="V149" s="15" t="n"/>
      <c r="W149" s="5" t="inlineStr">
        <is>
          <t>Y</t>
        </is>
      </c>
      <c r="X149" s="5" t="n"/>
      <c r="Y149" s="5" t="n"/>
      <c r="Z149" s="5" t="n"/>
      <c r="AA149" s="5" t="n"/>
    </row>
    <row r="150">
      <c r="A150" s="10" t="inlineStr">
        <is>
          <t>F25</t>
        </is>
      </c>
      <c r="B150" s="10" t="inlineStr">
        <is>
          <t>FP</t>
        </is>
      </c>
      <c r="C150" s="10" t="inlineStr">
        <is>
          <t>Glose-lin 10/5; Glose-lin 25/5  |  Empagliflozin, Linagliptin</t>
        </is>
      </c>
      <c r="D150" s="10" t="inlineStr">
        <is>
          <t>Content uniformity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HPLC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N</t>
        </is>
      </c>
      <c r="X150" s="5" t="n"/>
      <c r="Y150" s="5" t="n"/>
      <c r="Z150" s="5" t="n"/>
      <c r="AA150" s="5" t="n"/>
    </row>
    <row r="151">
      <c r="A151" s="10" t="inlineStr">
        <is>
          <t>F25</t>
        </is>
      </c>
      <c r="B151" s="10" t="inlineStr">
        <is>
          <t>FP</t>
        </is>
      </c>
      <c r="C151" s="10" t="inlineStr">
        <is>
          <t>Glose-lin 10/5; Glose-lin 25/5  |  Empagliflozin, Linagliptin</t>
        </is>
      </c>
      <c r="D151" s="10" t="inlineStr">
        <is>
          <t>Identification (if separate from assay)</t>
        </is>
      </c>
      <c r="E151" s="10">
        <f>IF(A151="","",A151&amp;"|"&amp;D151)</f>
        <v/>
      </c>
      <c r="F151" s="5" t="inlineStr">
        <is>
          <t>N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n"/>
      <c r="AA151" s="5" t="n"/>
    </row>
    <row r="152">
      <c r="A152" s="10" t="inlineStr">
        <is>
          <t>F25</t>
        </is>
      </c>
      <c r="B152" s="10" t="inlineStr">
        <is>
          <t>FP</t>
        </is>
      </c>
      <c r="C152" s="10" t="inlineStr">
        <is>
          <t>Glose-lin 10/5; Glose-lin 25/5  |  Empagliflozin, Linagliptin</t>
        </is>
      </c>
      <c r="D152" s="10" t="inlineStr">
        <is>
          <t>Other tests (non-HPLC: physical, LOD/KF, disintegration, pH, micro...)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Other / bench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Y</t>
        </is>
      </c>
      <c r="X152" s="5" t="n"/>
      <c r="Y152" s="5" t="n"/>
      <c r="Z152" s="5" t="n"/>
      <c r="AA152" s="5" t="n"/>
    </row>
    <row r="153">
      <c r="A153" s="10" t="inlineStr">
        <is>
          <t>F26</t>
        </is>
      </c>
      <c r="B153" s="10" t="inlineStr">
        <is>
          <t>FP</t>
        </is>
      </c>
      <c r="C153" s="10" t="inlineStr">
        <is>
          <t>TRILEMO ER 5-2.5-1000; TRILEMO ER 10-5-1000; TRILEMO ER 12.5-2.5-1000; TRILEMO ER 25-5-100  |  Metformin Hydrochloride, Empagliflozin (+1 more) [ER]</t>
        </is>
      </c>
      <c r="D153" s="10" t="inlineStr">
        <is>
          <t>Assay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HPLC</t>
        </is>
      </c>
      <c r="H153" s="5" t="inlineStr">
        <is>
          <t>High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14">
        <f>IF(N153="","",IF(OR(M153="",O153=""),N153,(M153+4*N153+O153)/6))</f>
        <v/>
      </c>
      <c r="Q153" s="5" t="n"/>
      <c r="R153" s="5" t="n"/>
      <c r="S153" s="5" t="n"/>
      <c r="T153" s="5" t="n"/>
      <c r="U153" s="5" t="n"/>
      <c r="V153" s="15" t="n"/>
      <c r="W153" s="5" t="inlineStr">
        <is>
          <t>Y</t>
        </is>
      </c>
      <c r="X153" s="5" t="n"/>
      <c r="Y153" s="5" t="n"/>
      <c r="Z153" s="5" t="n"/>
      <c r="AA153" s="5" t="n"/>
    </row>
    <row r="154">
      <c r="A154" s="10" t="inlineStr">
        <is>
          <t>F26</t>
        </is>
      </c>
      <c r="B154" s="10" t="inlineStr">
        <is>
          <t>FP</t>
        </is>
      </c>
      <c r="C154" s="10" t="inlineStr">
        <is>
          <t>TRILEMO ER 5-2.5-1000; TRILEMO ER 10-5-1000; TRILEMO ER 12.5-2.5-1000; TRILEMO ER 25-5-100  |  Metformin Hydrochloride, Empagliflozin (+1 more) [ER]</t>
        </is>
      </c>
      <c r="D154" s="10" t="inlineStr">
        <is>
          <t>Related substances / impurities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HPLC</t>
        </is>
      </c>
      <c r="H154" s="5" t="inlineStr">
        <is>
          <t>High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14">
        <f>IF(N154="","",IF(OR(M154="",O154=""),N154,(M154+4*N154+O154)/6))</f>
        <v/>
      </c>
      <c r="Q154" s="5" t="n"/>
      <c r="R154" s="5" t="n"/>
      <c r="S154" s="5" t="n"/>
      <c r="T154" s="5" t="n"/>
      <c r="U154" s="5" t="n"/>
      <c r="V154" s="15" t="n"/>
      <c r="W154" s="5" t="inlineStr">
        <is>
          <t>Y</t>
        </is>
      </c>
      <c r="X154" s="5" t="n"/>
      <c r="Y154" s="5" t="n"/>
      <c r="Z154" s="5" t="n"/>
      <c r="AA154" s="5" t="n"/>
    </row>
    <row r="155">
      <c r="A155" s="10" t="inlineStr">
        <is>
          <t>F26</t>
        </is>
      </c>
      <c r="B155" s="10" t="inlineStr">
        <is>
          <t>FP</t>
        </is>
      </c>
      <c r="C155" s="10" t="inlineStr">
        <is>
          <t>TRILEMO ER 5-2.5-1000; TRILEMO ER 10-5-1000; TRILEMO ER 12.5-2.5-1000; TRILEMO ER 25-5-100  |  Metformin Hydrochloride, Empagliflozin (+1 more) [ER]</t>
        </is>
      </c>
      <c r="D155" s="10" t="inlineStr">
        <is>
          <t>Dissolution (multi-point, ER)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HPLC</t>
        </is>
      </c>
      <c r="H155" s="5" t="inlineStr">
        <is>
          <t>High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14">
        <f>IF(N155="","",IF(OR(M155="",O155=""),N155,(M155+4*N155+O155)/6))</f>
        <v/>
      </c>
      <c r="Q155" s="5" t="n"/>
      <c r="R155" s="5" t="n"/>
      <c r="S155" s="5" t="n"/>
      <c r="T155" s="5" t="n"/>
      <c r="U155" s="5" t="n"/>
      <c r="V155" s="15" t="n"/>
      <c r="W155" s="5" t="inlineStr">
        <is>
          <t>Y</t>
        </is>
      </c>
      <c r="X155" s="5" t="n"/>
      <c r="Y155" s="5" t="n"/>
      <c r="Z155" s="5" t="n"/>
      <c r="AA155" s="5" t="n"/>
    </row>
    <row r="156">
      <c r="A156" s="10" t="inlineStr">
        <is>
          <t>F26</t>
        </is>
      </c>
      <c r="B156" s="10" t="inlineStr">
        <is>
          <t>FP</t>
        </is>
      </c>
      <c r="C156" s="10" t="inlineStr">
        <is>
          <t>TRILEMO ER 5-2.5-1000; TRILEMO ER 10-5-1000; TRILEMO ER 12.5-2.5-1000; TRILEMO ER 25-5-100  |  Metformin Hydrochloride, Empagliflozin (+1 more) [ER]</t>
        </is>
      </c>
      <c r="D156" s="10" t="inlineStr">
        <is>
          <t>Content uniformity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HPLC</t>
        </is>
      </c>
      <c r="H156" s="5" t="inlineStr">
        <is>
          <t>High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14">
        <f>IF(N156="","",IF(OR(M156="",O156=""),N156,(M156+4*N156+O156)/6))</f>
        <v/>
      </c>
      <c r="Q156" s="5" t="n"/>
      <c r="R156" s="5" t="n"/>
      <c r="S156" s="5" t="n"/>
      <c r="T156" s="5" t="n"/>
      <c r="U156" s="5" t="n"/>
      <c r="V156" s="15" t="n"/>
      <c r="W156" s="5" t="inlineStr">
        <is>
          <t>N</t>
        </is>
      </c>
      <c r="X156" s="5" t="n"/>
      <c r="Y156" s="5" t="n"/>
      <c r="Z156" s="5" t="n"/>
      <c r="AA156" s="5" t="n"/>
    </row>
    <row r="157">
      <c r="A157" s="10" t="inlineStr">
        <is>
          <t>F26</t>
        </is>
      </c>
      <c r="B157" s="10" t="inlineStr">
        <is>
          <t>FP</t>
        </is>
      </c>
      <c r="C157" s="10" t="inlineStr">
        <is>
          <t>TRILEMO ER 5-2.5-1000; TRILEMO ER 10-5-1000; TRILEMO ER 12.5-2.5-1000; TRILEMO ER 25-5-100  |  Metformin Hydrochloride, Empagliflozin (+1 more) [ER]</t>
        </is>
      </c>
      <c r="D157" s="10" t="inlineStr">
        <is>
          <t>Identification (if separate from assay)</t>
        </is>
      </c>
      <c r="E157" s="10">
        <f>IF(A157="","",A157&amp;"|"&amp;D157)</f>
        <v/>
      </c>
      <c r="F157" s="5" t="inlineStr">
        <is>
          <t>N</t>
        </is>
      </c>
      <c r="G157" s="5" t="inlineStr">
        <is>
          <t>HPLC</t>
        </is>
      </c>
      <c r="H157" s="5" t="inlineStr">
        <is>
          <t>High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</row>
    <row r="158">
      <c r="A158" s="10" t="inlineStr">
        <is>
          <t>F26</t>
        </is>
      </c>
      <c r="B158" s="10" t="inlineStr">
        <is>
          <t>FP</t>
        </is>
      </c>
      <c r="C158" s="10" t="inlineStr">
        <is>
          <t>TRILEMO ER 5-2.5-1000; TRILEMO ER 10-5-1000; TRILEMO ER 12.5-2.5-1000; TRILEMO ER 25-5-100  |  Metformin Hydrochloride, Empagliflozin (+1 more) [ER]</t>
        </is>
      </c>
      <c r="D158" s="10" t="inlineStr">
        <is>
          <t>Other tests (non-HPLC: physical, LOD/KF, disintegration, pH, micro...)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Other / bench</t>
        </is>
      </c>
      <c r="H158" s="5" t="inlineStr">
        <is>
          <t>High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Y</t>
        </is>
      </c>
      <c r="X158" s="5" t="n"/>
      <c r="Y158" s="5" t="n"/>
      <c r="Z158" s="5" t="n"/>
      <c r="AA158" s="5" t="n"/>
    </row>
    <row r="159">
      <c r="A159" s="10" t="inlineStr">
        <is>
          <t>F27</t>
        </is>
      </c>
      <c r="B159" s="10" t="inlineStr">
        <is>
          <t>FP</t>
        </is>
      </c>
      <c r="C159" s="10" t="inlineStr">
        <is>
          <t>Emet-Duo 5/1000 ER; Emet-Duo 10/1000 ER; Emet-Duo 12.5/1000 ER; Emet-Duo 25/1000 ER  |  Metformin Hydrochloride, Empagliflozin [ER]</t>
        </is>
      </c>
      <c r="D159" s="10" t="inlineStr">
        <is>
          <t>Assay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HPLC</t>
        </is>
      </c>
      <c r="H159" s="5" t="inlineStr">
        <is>
          <t>High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14">
        <f>IF(N159="","",IF(OR(M159="",O159=""),N159,(M159+4*N159+O159)/6))</f>
        <v/>
      </c>
      <c r="Q159" s="5" t="n"/>
      <c r="R159" s="5" t="n"/>
      <c r="S159" s="5" t="n"/>
      <c r="T159" s="5" t="n"/>
      <c r="U159" s="5" t="n"/>
      <c r="V159" s="15" t="n"/>
      <c r="W159" s="5" t="inlineStr">
        <is>
          <t>Y</t>
        </is>
      </c>
      <c r="X159" s="5" t="n"/>
      <c r="Y159" s="5" t="n"/>
      <c r="Z159" s="5" t="n"/>
      <c r="AA159" s="5" t="n"/>
    </row>
    <row r="160">
      <c r="A160" s="10" t="inlineStr">
        <is>
          <t>F27</t>
        </is>
      </c>
      <c r="B160" s="10" t="inlineStr">
        <is>
          <t>FP</t>
        </is>
      </c>
      <c r="C160" s="10" t="inlineStr">
        <is>
          <t>Emet-Duo 5/1000 ER; Emet-Duo 10/1000 ER; Emet-Duo 12.5/1000 ER; Emet-Duo 25/1000 ER  |  Metformin Hydrochloride, Empagliflozin [ER]</t>
        </is>
      </c>
      <c r="D160" s="10" t="inlineStr">
        <is>
          <t>Related substances / impurities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Y</t>
        </is>
      </c>
      <c r="X160" s="5" t="n"/>
      <c r="Y160" s="5" t="n"/>
      <c r="Z160" s="5" t="n"/>
      <c r="AA160" s="5" t="n"/>
    </row>
    <row r="161">
      <c r="A161" s="10" t="inlineStr">
        <is>
          <t>F27</t>
        </is>
      </c>
      <c r="B161" s="10" t="inlineStr">
        <is>
          <t>FP</t>
        </is>
      </c>
      <c r="C161" s="10" t="inlineStr">
        <is>
          <t>Emet-Duo 5/1000 ER; Emet-Duo 10/1000 ER; Emet-Duo 12.5/1000 ER; Emet-Duo 25/1000 ER  |  Metformin Hydrochloride, Empagliflozin [ER]</t>
        </is>
      </c>
      <c r="D161" s="10" t="inlineStr">
        <is>
          <t>Dissolution (multi-point, ER)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Y</t>
        </is>
      </c>
      <c r="X161" s="5" t="n"/>
      <c r="Y161" s="5" t="n"/>
      <c r="Z161" s="5" t="n"/>
      <c r="AA161" s="5" t="n"/>
    </row>
    <row r="162">
      <c r="A162" s="10" t="inlineStr">
        <is>
          <t>F27</t>
        </is>
      </c>
      <c r="B162" s="10" t="inlineStr">
        <is>
          <t>FP</t>
        </is>
      </c>
      <c r="C162" s="10" t="inlineStr">
        <is>
          <t>Emet-Duo 5/1000 ER; Emet-Duo 10/1000 ER; Emet-Duo 12.5/1000 ER; Emet-Duo 25/1000 ER  |  Metformin Hydrochloride, Empagliflozin [ER]</t>
        </is>
      </c>
      <c r="D162" s="10" t="inlineStr">
        <is>
          <t>Content uniformity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</row>
    <row r="163">
      <c r="A163" s="10" t="inlineStr">
        <is>
          <t>F27</t>
        </is>
      </c>
      <c r="B163" s="10" t="inlineStr">
        <is>
          <t>FP</t>
        </is>
      </c>
      <c r="C163" s="10" t="inlineStr">
        <is>
          <t>Emet-Duo 5/1000 ER; Emet-Duo 10/1000 ER; Emet-Duo 12.5/1000 ER; Emet-Duo 25/1000 ER  |  Metformin Hydrochloride, Empagliflozin [ER]</t>
        </is>
      </c>
      <c r="D163" s="10" t="inlineStr">
        <is>
          <t>Identification (if separate from assay)</t>
        </is>
      </c>
      <c r="E163" s="10">
        <f>IF(A163="","",A163&amp;"|"&amp;D163)</f>
        <v/>
      </c>
      <c r="F163" s="5" t="inlineStr">
        <is>
          <t>N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</row>
    <row r="164">
      <c r="A164" s="10" t="inlineStr">
        <is>
          <t>F27</t>
        </is>
      </c>
      <c r="B164" s="10" t="inlineStr">
        <is>
          <t>FP</t>
        </is>
      </c>
      <c r="C164" s="10" t="inlineStr">
        <is>
          <t>Emet-Duo 5/1000 ER; Emet-Duo 10/1000 ER; Emet-Duo 12.5/1000 ER; Emet-Duo 25/1000 ER  |  Metformin Hydrochloride, Empagliflozin [ER]</t>
        </is>
      </c>
      <c r="D164" s="10" t="inlineStr">
        <is>
          <t>Other tests (non-HPLC: physical, LOD/KF, disintegration, pH, micro...)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14">
        <f>IF(N164="","",IF(OR(M164="",O164=""),N164,(M164+4*N164+O164)/6))</f>
        <v/>
      </c>
      <c r="Q164" s="5" t="n"/>
      <c r="R164" s="5" t="n"/>
      <c r="S164" s="5" t="n"/>
      <c r="T164" s="5" t="n"/>
      <c r="U164" s="5" t="n"/>
      <c r="V164" s="15" t="n"/>
      <c r="W164" s="5" t="inlineStr">
        <is>
          <t>Y</t>
        </is>
      </c>
      <c r="X164" s="5" t="n"/>
      <c r="Y164" s="5" t="n"/>
      <c r="Z164" s="5" t="n"/>
      <c r="AA164" s="5" t="n"/>
    </row>
    <row r="165">
      <c r="A165" s="10" t="inlineStr">
        <is>
          <t>F28</t>
        </is>
      </c>
      <c r="B165" s="10" t="inlineStr">
        <is>
          <t>FP</t>
        </is>
      </c>
      <c r="C165" s="10" t="inlineStr">
        <is>
          <t>Emet-Duo 12.5/1000; Emet-Duo 5/1000; Emet-Duo 12.5/500; Emet-Duo 5/500  |  Empagliflozin, Metformin Hydrochloride</t>
        </is>
      </c>
      <c r="D165" s="10" t="inlineStr">
        <is>
          <t>Assay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14">
        <f>IF(N165="","",IF(OR(M165="",O165=""),N165,(M165+4*N165+O165)/6))</f>
        <v/>
      </c>
      <c r="Q165" s="5" t="n"/>
      <c r="R165" s="5" t="n"/>
      <c r="S165" s="5" t="n"/>
      <c r="T165" s="5" t="n"/>
      <c r="U165" s="5" t="n"/>
      <c r="V165" s="15" t="n"/>
      <c r="W165" s="5" t="inlineStr">
        <is>
          <t>Y</t>
        </is>
      </c>
      <c r="X165" s="5" t="n"/>
      <c r="Y165" s="5" t="n"/>
      <c r="Z165" s="5" t="n"/>
      <c r="AA165" s="5" t="n"/>
    </row>
    <row r="166">
      <c r="A166" s="10" t="inlineStr">
        <is>
          <t>F28</t>
        </is>
      </c>
      <c r="B166" s="10" t="inlineStr">
        <is>
          <t>FP</t>
        </is>
      </c>
      <c r="C166" s="10" t="inlineStr">
        <is>
          <t>Emet-Duo 12.5/1000; Emet-Duo 5/1000; Emet-Duo 12.5/500; Emet-Duo 5/500  |  Empagliflozin, Metformin Hydrochloride</t>
        </is>
      </c>
      <c r="D166" s="10" t="inlineStr">
        <is>
          <t>Related substances / impurities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Y</t>
        </is>
      </c>
      <c r="X166" s="5" t="n"/>
      <c r="Y166" s="5" t="n"/>
      <c r="Z166" s="5" t="n"/>
      <c r="AA166" s="5" t="n"/>
    </row>
    <row r="167">
      <c r="A167" s="10" t="inlineStr">
        <is>
          <t>F28</t>
        </is>
      </c>
      <c r="B167" s="10" t="inlineStr">
        <is>
          <t>FP</t>
        </is>
      </c>
      <c r="C167" s="10" t="inlineStr">
        <is>
          <t>Emet-Duo 12.5/1000; Emet-Duo 5/1000; Emet-Duo 12.5/500; Emet-Duo 5/500  |  Empagliflozin, Metformin Hydrochloride</t>
        </is>
      </c>
      <c r="D167" s="10" t="inlineStr">
        <is>
          <t>Dissolution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Y</t>
        </is>
      </c>
      <c r="X167" s="5" t="n"/>
      <c r="Y167" s="5" t="n"/>
      <c r="Z167" s="5" t="n"/>
      <c r="AA167" s="5" t="n"/>
    </row>
    <row r="168">
      <c r="A168" s="10" t="inlineStr">
        <is>
          <t>F28</t>
        </is>
      </c>
      <c r="B168" s="10" t="inlineStr">
        <is>
          <t>FP</t>
        </is>
      </c>
      <c r="C168" s="10" t="inlineStr">
        <is>
          <t>Emet-Duo 12.5/1000; Emet-Duo 5/1000; Emet-Duo 12.5/500; Emet-Duo 5/500  |  Empagliflozin, Metformin Hydrochloride</t>
        </is>
      </c>
      <c r="D168" s="10" t="inlineStr">
        <is>
          <t>Content uniformity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HPLC</t>
        </is>
      </c>
      <c r="H168" s="5" t="inlineStr">
        <is>
          <t>Medium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14">
        <f>IF(N168="","",IF(OR(M168="",O168=""),N168,(M168+4*N168+O168)/6))</f>
        <v/>
      </c>
      <c r="Q168" s="5" t="n"/>
      <c r="R168" s="5" t="n"/>
      <c r="S168" s="5" t="n"/>
      <c r="T168" s="5" t="n"/>
      <c r="U168" s="5" t="n"/>
      <c r="V168" s="15" t="n"/>
      <c r="W168" s="5" t="inlineStr">
        <is>
          <t>N</t>
        </is>
      </c>
      <c r="X168" s="5" t="n"/>
      <c r="Y168" s="5" t="n"/>
      <c r="Z168" s="5" t="n"/>
      <c r="AA168" s="5" t="n"/>
    </row>
    <row r="169">
      <c r="A169" s="10" t="inlineStr">
        <is>
          <t>F28</t>
        </is>
      </c>
      <c r="B169" s="10" t="inlineStr">
        <is>
          <t>FP</t>
        </is>
      </c>
      <c r="C169" s="10" t="inlineStr">
        <is>
          <t>Emet-Duo 12.5/1000; Emet-Duo 5/1000; Emet-Duo 12.5/500; Emet-Duo 5/500  |  Empagliflozin, Metformin Hydrochloride</t>
        </is>
      </c>
      <c r="D169" s="10" t="inlineStr">
        <is>
          <t>Identification (if separate from assay)</t>
        </is>
      </c>
      <c r="E169" s="10">
        <f>IF(A169="","",A169&amp;"|"&amp;D169)</f>
        <v/>
      </c>
      <c r="F169" s="5" t="inlineStr">
        <is>
          <t>N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14">
        <f>IF(N169="","",IF(OR(M169="",O169=""),N169,(M169+4*N169+O169)/6))</f>
        <v/>
      </c>
      <c r="Q169" s="5" t="n"/>
      <c r="R169" s="5" t="n"/>
      <c r="S169" s="5" t="n"/>
      <c r="T169" s="5" t="n"/>
      <c r="U169" s="5" t="n"/>
      <c r="V169" s="15" t="n"/>
      <c r="W169" s="5" t="inlineStr">
        <is>
          <t>N</t>
        </is>
      </c>
      <c r="X169" s="5" t="n"/>
      <c r="Y169" s="5" t="n"/>
      <c r="Z169" s="5" t="n"/>
      <c r="AA169" s="5" t="n"/>
    </row>
    <row r="170">
      <c r="A170" s="10" t="inlineStr">
        <is>
          <t>F28</t>
        </is>
      </c>
      <c r="B170" s="10" t="inlineStr">
        <is>
          <t>FP</t>
        </is>
      </c>
      <c r="C170" s="10" t="inlineStr">
        <is>
          <t>Emet-Duo 12.5/1000; Emet-Duo 5/1000; Emet-Duo 12.5/500; Emet-Duo 5/500  |  Empagliflozin, Metformin Hydrochloride</t>
        </is>
      </c>
      <c r="D170" s="10" t="inlineStr">
        <is>
          <t>Other tests (non-HPLC: physical, LOD/KF, disintegration, pH, micro...)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Medium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14">
        <f>IF(N170="","",IF(OR(M170="",O170=""),N170,(M170+4*N170+O170)/6))</f>
        <v/>
      </c>
      <c r="Q170" s="5" t="n"/>
      <c r="R170" s="5" t="n"/>
      <c r="S170" s="5" t="n"/>
      <c r="T170" s="5" t="n"/>
      <c r="U170" s="5" t="n"/>
      <c r="V170" s="15" t="n"/>
      <c r="W170" s="5" t="inlineStr">
        <is>
          <t>Y</t>
        </is>
      </c>
      <c r="X170" s="5" t="n"/>
      <c r="Y170" s="5" t="n"/>
      <c r="Z170" s="5" t="n"/>
      <c r="AA170" s="5" t="n"/>
    </row>
    <row r="171">
      <c r="A171" s="10" t="inlineStr">
        <is>
          <t>F29</t>
        </is>
      </c>
      <c r="B171" s="10" t="inlineStr">
        <is>
          <t>FP</t>
        </is>
      </c>
      <c r="C171" s="10" t="inlineStr">
        <is>
          <t>Citicoline 500  |  Citicoline Sodium</t>
        </is>
      </c>
      <c r="D171" s="10" t="inlineStr">
        <is>
          <t>Assay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HPLC</t>
        </is>
      </c>
      <c r="H171" s="5" t="inlineStr">
        <is>
          <t>Low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14">
        <f>IF(N171="","",IF(OR(M171="",O171=""),N171,(M171+4*N171+O171)/6))</f>
        <v/>
      </c>
      <c r="Q171" s="5" t="n"/>
      <c r="R171" s="5" t="n"/>
      <c r="S171" s="5" t="n"/>
      <c r="T171" s="5" t="n"/>
      <c r="U171" s="5" t="n"/>
      <c r="V171" s="15" t="n"/>
      <c r="W171" s="5" t="inlineStr">
        <is>
          <t>Y</t>
        </is>
      </c>
      <c r="X171" s="5" t="n"/>
      <c r="Y171" s="5" t="n"/>
      <c r="Z171" s="5" t="n"/>
      <c r="AA171" s="5" t="n"/>
    </row>
    <row r="172">
      <c r="A172" s="10" t="inlineStr">
        <is>
          <t>F29</t>
        </is>
      </c>
      <c r="B172" s="10" t="inlineStr">
        <is>
          <t>FP</t>
        </is>
      </c>
      <c r="C172" s="10" t="inlineStr">
        <is>
          <t>Citicoline 500  |  Citicoline Sodium</t>
        </is>
      </c>
      <c r="D172" s="10" t="inlineStr">
        <is>
          <t>Related substances / impurities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HPLC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14">
        <f>IF(N172="","",IF(OR(M172="",O172=""),N172,(M172+4*N172+O172)/6))</f>
        <v/>
      </c>
      <c r="Q172" s="5" t="n"/>
      <c r="R172" s="5" t="n"/>
      <c r="S172" s="5" t="n"/>
      <c r="T172" s="5" t="n"/>
      <c r="U172" s="5" t="n"/>
      <c r="V172" s="15" t="n"/>
      <c r="W172" s="5" t="inlineStr">
        <is>
          <t>Y</t>
        </is>
      </c>
      <c r="X172" s="5" t="n"/>
      <c r="Y172" s="5" t="n"/>
      <c r="Z172" s="5" t="n"/>
      <c r="AA172" s="5" t="n"/>
    </row>
    <row r="173">
      <c r="A173" s="10" t="inlineStr">
        <is>
          <t>F29</t>
        </is>
      </c>
      <c r="B173" s="10" t="inlineStr">
        <is>
          <t>FP</t>
        </is>
      </c>
      <c r="C173" s="10" t="inlineStr">
        <is>
          <t>Citicoline 500  |  Citicoline Sodium</t>
        </is>
      </c>
      <c r="D173" s="10" t="inlineStr">
        <is>
          <t>Dissolution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HPLC</t>
        </is>
      </c>
      <c r="H173" s="5" t="inlineStr">
        <is>
          <t>Low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14">
        <f>IF(N173="","",IF(OR(M173="",O173=""),N173,(M173+4*N173+O173)/6))</f>
        <v/>
      </c>
      <c r="Q173" s="5" t="n"/>
      <c r="R173" s="5" t="n"/>
      <c r="S173" s="5" t="n"/>
      <c r="T173" s="5" t="n"/>
      <c r="U173" s="5" t="n"/>
      <c r="V173" s="15" t="n"/>
      <c r="W173" s="5" t="inlineStr">
        <is>
          <t>Y</t>
        </is>
      </c>
      <c r="X173" s="5" t="n"/>
      <c r="Y173" s="5" t="n"/>
      <c r="Z173" s="5" t="n"/>
      <c r="AA173" s="5" t="n"/>
    </row>
    <row r="174">
      <c r="A174" s="10" t="inlineStr">
        <is>
          <t>F29</t>
        </is>
      </c>
      <c r="B174" s="10" t="inlineStr">
        <is>
          <t>FP</t>
        </is>
      </c>
      <c r="C174" s="10" t="inlineStr">
        <is>
          <t>Citicoline 500  |  Citicoline Sodium</t>
        </is>
      </c>
      <c r="D174" s="10" t="inlineStr">
        <is>
          <t>Content uniformity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HPLC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14">
        <f>IF(N174="","",IF(OR(M174="",O174=""),N174,(M174+4*N174+O174)/6))</f>
        <v/>
      </c>
      <c r="Q174" s="5" t="n"/>
      <c r="R174" s="5" t="n"/>
      <c r="S174" s="5" t="n"/>
      <c r="T174" s="5" t="n"/>
      <c r="U174" s="5" t="n"/>
      <c r="V174" s="15" t="n"/>
      <c r="W174" s="5" t="inlineStr">
        <is>
          <t>N</t>
        </is>
      </c>
      <c r="X174" s="5" t="n"/>
      <c r="Y174" s="5" t="n"/>
      <c r="Z174" s="5" t="n"/>
      <c r="AA174" s="5" t="n"/>
    </row>
    <row r="175">
      <c r="A175" s="10" t="inlineStr">
        <is>
          <t>F29</t>
        </is>
      </c>
      <c r="B175" s="10" t="inlineStr">
        <is>
          <t>FP</t>
        </is>
      </c>
      <c r="C175" s="10" t="inlineStr">
        <is>
          <t>Citicoline 500  |  Citicoline Sodium</t>
        </is>
      </c>
      <c r="D175" s="10" t="inlineStr">
        <is>
          <t>Identification (if separate from assay)</t>
        </is>
      </c>
      <c r="E175" s="10">
        <f>IF(A175="","",A175&amp;"|"&amp;D175)</f>
        <v/>
      </c>
      <c r="F175" s="5" t="inlineStr">
        <is>
          <t>N</t>
        </is>
      </c>
      <c r="G175" s="5" t="inlineStr">
        <is>
          <t>HPLC</t>
        </is>
      </c>
      <c r="H175" s="5" t="inlineStr">
        <is>
          <t>Low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14">
        <f>IF(N175="","",IF(OR(M175="",O175=""),N175,(M175+4*N175+O175)/6))</f>
        <v/>
      </c>
      <c r="Q175" s="5" t="n"/>
      <c r="R175" s="5" t="n"/>
      <c r="S175" s="5" t="n"/>
      <c r="T175" s="5" t="n"/>
      <c r="U175" s="5" t="n"/>
      <c r="V175" s="15" t="n"/>
      <c r="W175" s="5" t="inlineStr">
        <is>
          <t>N</t>
        </is>
      </c>
      <c r="X175" s="5" t="n"/>
      <c r="Y175" s="5" t="n"/>
      <c r="Z175" s="5" t="n"/>
      <c r="AA175" s="5" t="n"/>
    </row>
    <row r="176">
      <c r="A176" s="10" t="inlineStr">
        <is>
          <t>F29</t>
        </is>
      </c>
      <c r="B176" s="10" t="inlineStr">
        <is>
          <t>FP</t>
        </is>
      </c>
      <c r="C176" s="10" t="inlineStr">
        <is>
          <t>Citicoline 500  |  Citicoline Sodium</t>
        </is>
      </c>
      <c r="D176" s="10" t="inlineStr">
        <is>
          <t>Other tests (non-HPLC: physical, LOD/KF, disintegration, pH, micro...)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14">
        <f>IF(N176="","",IF(OR(M176="",O176=""),N176,(M176+4*N176+O176)/6))</f>
        <v/>
      </c>
      <c r="Q176" s="5" t="n"/>
      <c r="R176" s="5" t="n"/>
      <c r="S176" s="5" t="n"/>
      <c r="T176" s="5" t="n"/>
      <c r="U176" s="5" t="n"/>
      <c r="V176" s="15" t="n"/>
      <c r="W176" s="5" t="inlineStr">
        <is>
          <t>Y</t>
        </is>
      </c>
      <c r="X176" s="5" t="n"/>
      <c r="Y176" s="5" t="n"/>
      <c r="Z176" s="5" t="n"/>
      <c r="AA176" s="5" t="n"/>
    </row>
    <row r="177">
      <c r="A177" s="10" t="inlineStr">
        <is>
          <t>F30</t>
        </is>
      </c>
      <c r="B177" s="10" t="inlineStr">
        <is>
          <t>FP</t>
        </is>
      </c>
      <c r="C177" s="10" t="inlineStr">
        <is>
          <t>NMN  |  Nicotinamide Mononucleotide (NMN) Granule</t>
        </is>
      </c>
      <c r="D177" s="10" t="inlineStr">
        <is>
          <t>Assay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HPLC</t>
        </is>
      </c>
      <c r="H177" s="5" t="inlineStr">
        <is>
          <t>Low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14">
        <f>IF(N177="","",IF(OR(M177="",O177=""),N177,(M177+4*N177+O177)/6))</f>
        <v/>
      </c>
      <c r="Q177" s="5" t="n"/>
      <c r="R177" s="5" t="n"/>
      <c r="S177" s="5" t="n"/>
      <c r="T177" s="5" t="n"/>
      <c r="U177" s="5" t="n"/>
      <c r="V177" s="15" t="n"/>
      <c r="W177" s="5" t="inlineStr">
        <is>
          <t>Y</t>
        </is>
      </c>
      <c r="X177" s="5" t="n"/>
      <c r="Y177" s="5" t="n"/>
      <c r="Z177" s="5" t="n"/>
      <c r="AA177" s="5" t="n"/>
    </row>
    <row r="178">
      <c r="A178" s="10" t="inlineStr">
        <is>
          <t>F30</t>
        </is>
      </c>
      <c r="B178" s="10" t="inlineStr">
        <is>
          <t>FP</t>
        </is>
      </c>
      <c r="C178" s="10" t="inlineStr">
        <is>
          <t>NMN  |  Nicotinamide Mononucleotide (NMN) Granule</t>
        </is>
      </c>
      <c r="D178" s="10" t="inlineStr">
        <is>
          <t>Related substances / impurities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Y</t>
        </is>
      </c>
      <c r="X178" s="5" t="n"/>
      <c r="Y178" s="5" t="n"/>
      <c r="Z178" s="5" t="n"/>
      <c r="AA178" s="5" t="n"/>
    </row>
    <row r="179">
      <c r="A179" s="10" t="inlineStr">
        <is>
          <t>F30</t>
        </is>
      </c>
      <c r="B179" s="10" t="inlineStr">
        <is>
          <t>FP</t>
        </is>
      </c>
      <c r="C179" s="10" t="inlineStr">
        <is>
          <t>NMN  |  Nicotinamide Mononucleotide (NMN) Granule</t>
        </is>
      </c>
      <c r="D179" s="10" t="inlineStr">
        <is>
          <t>Dissolution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Y</t>
        </is>
      </c>
      <c r="X179" s="5" t="n"/>
      <c r="Y179" s="5" t="n"/>
      <c r="Z179" s="5" t="n"/>
      <c r="AA179" s="5" t="n"/>
    </row>
    <row r="180">
      <c r="A180" s="10" t="inlineStr">
        <is>
          <t>F30</t>
        </is>
      </c>
      <c r="B180" s="10" t="inlineStr">
        <is>
          <t>FP</t>
        </is>
      </c>
      <c r="C180" s="10" t="inlineStr">
        <is>
          <t>NMN  |  Nicotinamide Mononucleotide (NMN) Granule</t>
        </is>
      </c>
      <c r="D180" s="10" t="inlineStr">
        <is>
          <t>Content uniformity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14">
        <f>IF(N180="","",IF(OR(M180="",O180=""),N180,(M180+4*N180+O180)/6))</f>
        <v/>
      </c>
      <c r="Q180" s="5" t="n"/>
      <c r="R180" s="5" t="n"/>
      <c r="S180" s="5" t="n"/>
      <c r="T180" s="5" t="n"/>
      <c r="U180" s="5" t="n"/>
      <c r="V180" s="15" t="n"/>
      <c r="W180" s="5" t="inlineStr">
        <is>
          <t>N</t>
        </is>
      </c>
      <c r="X180" s="5" t="n"/>
      <c r="Y180" s="5" t="n"/>
      <c r="Z180" s="5" t="n"/>
      <c r="AA180" s="5" t="n"/>
    </row>
    <row r="181">
      <c r="A181" s="10" t="inlineStr">
        <is>
          <t>F30</t>
        </is>
      </c>
      <c r="B181" s="10" t="inlineStr">
        <is>
          <t>FP</t>
        </is>
      </c>
      <c r="C181" s="10" t="inlineStr">
        <is>
          <t>NMN  |  Nicotinamide Mononucleotide (NMN) Granule</t>
        </is>
      </c>
      <c r="D181" s="10" t="inlineStr">
        <is>
          <t>Identification (if separate from assay)</t>
        </is>
      </c>
      <c r="E181" s="10">
        <f>IF(A181="","",A181&amp;"|"&amp;D181)</f>
        <v/>
      </c>
      <c r="F181" s="5" t="inlineStr">
        <is>
          <t>N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14">
        <f>IF(N181="","",IF(OR(M181="",O181=""),N181,(M181+4*N181+O181)/6))</f>
        <v/>
      </c>
      <c r="Q181" s="5" t="n"/>
      <c r="R181" s="5" t="n"/>
      <c r="S181" s="5" t="n"/>
      <c r="T181" s="5" t="n"/>
      <c r="U181" s="5" t="n"/>
      <c r="V181" s="15" t="n"/>
      <c r="W181" s="5" t="inlineStr">
        <is>
          <t>N</t>
        </is>
      </c>
      <c r="X181" s="5" t="n"/>
      <c r="Y181" s="5" t="n"/>
      <c r="Z181" s="5" t="n"/>
      <c r="AA181" s="5" t="n"/>
    </row>
    <row r="182">
      <c r="A182" s="10" t="inlineStr">
        <is>
          <t>F30</t>
        </is>
      </c>
      <c r="B182" s="10" t="inlineStr">
        <is>
          <t>FP</t>
        </is>
      </c>
      <c r="C182" s="10" t="inlineStr">
        <is>
          <t>NMN  |  Nicotinamide Mononucleotide (NMN) Granule</t>
        </is>
      </c>
      <c r="D182" s="10" t="inlineStr">
        <is>
          <t>Other tests (non-HPLC: physical, LOD/KF, disintegration, pH, micro...)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14">
        <f>IF(N182="","",IF(OR(M182="",O182=""),N182,(M182+4*N182+O182)/6))</f>
        <v/>
      </c>
      <c r="Q182" s="5" t="n"/>
      <c r="R182" s="5" t="n"/>
      <c r="S182" s="5" t="n"/>
      <c r="T182" s="5" t="n"/>
      <c r="U182" s="5" t="n"/>
      <c r="V182" s="15" t="n"/>
      <c r="W182" s="5" t="inlineStr">
        <is>
          <t>Y</t>
        </is>
      </c>
      <c r="X182" s="5" t="n"/>
      <c r="Y182" s="5" t="n"/>
      <c r="Z182" s="5" t="n"/>
      <c r="AA182" s="5" t="n"/>
    </row>
    <row r="183">
      <c r="A183" s="10" t="inlineStr">
        <is>
          <t>F31</t>
        </is>
      </c>
      <c r="B183" s="10" t="inlineStr">
        <is>
          <t>FP</t>
        </is>
      </c>
      <c r="C183" s="10" t="inlineStr">
        <is>
          <t>L-Arginine 1000; L-Arginine 2000  |  L-Arginine</t>
        </is>
      </c>
      <c r="D183" s="10" t="inlineStr">
        <is>
          <t>Assay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HPLC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14">
        <f>IF(N183="","",IF(OR(M183="",O183=""),N183,(M183+4*N183+O183)/6))</f>
        <v/>
      </c>
      <c r="Q183" s="5" t="n"/>
      <c r="R183" s="5" t="n"/>
      <c r="S183" s="5" t="n"/>
      <c r="T183" s="5" t="n"/>
      <c r="U183" s="5" t="n"/>
      <c r="V183" s="15" t="n"/>
      <c r="W183" s="5" t="inlineStr">
        <is>
          <t>Y</t>
        </is>
      </c>
      <c r="X183" s="5" t="n"/>
      <c r="Y183" s="5" t="n"/>
      <c r="Z183" s="5" t="n"/>
      <c r="AA183" s="5" t="n"/>
    </row>
    <row r="184">
      <c r="A184" s="10" t="inlineStr">
        <is>
          <t>F31</t>
        </is>
      </c>
      <c r="B184" s="10" t="inlineStr">
        <is>
          <t>FP</t>
        </is>
      </c>
      <c r="C184" s="10" t="inlineStr">
        <is>
          <t>L-Arginine 1000; L-Arginine 2000  |  L-Arginine</t>
        </is>
      </c>
      <c r="D184" s="10" t="inlineStr">
        <is>
          <t>Related substances / impurities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14">
        <f>IF(N184="","",IF(OR(M184="",O184=""),N184,(M184+4*N184+O184)/6))</f>
        <v/>
      </c>
      <c r="Q184" s="5" t="n"/>
      <c r="R184" s="5" t="n"/>
      <c r="S184" s="5" t="n"/>
      <c r="T184" s="5" t="n"/>
      <c r="U184" s="5" t="n"/>
      <c r="V184" s="15" t="n"/>
      <c r="W184" s="5" t="inlineStr">
        <is>
          <t>Y</t>
        </is>
      </c>
      <c r="X184" s="5" t="n"/>
      <c r="Y184" s="5" t="n"/>
      <c r="Z184" s="5" t="n"/>
      <c r="AA184" s="5" t="n"/>
    </row>
    <row r="185">
      <c r="A185" s="10" t="inlineStr">
        <is>
          <t>F31</t>
        </is>
      </c>
      <c r="B185" s="10" t="inlineStr">
        <is>
          <t>FP</t>
        </is>
      </c>
      <c r="C185" s="10" t="inlineStr">
        <is>
          <t>L-Arginine 1000; L-Arginine 2000  |  L-Arginine</t>
        </is>
      </c>
      <c r="D185" s="10" t="inlineStr">
        <is>
          <t>Dissolution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Y</t>
        </is>
      </c>
      <c r="X185" s="5" t="n"/>
      <c r="Y185" s="5" t="n"/>
      <c r="Z185" s="5" t="n"/>
      <c r="AA185" s="5" t="n"/>
    </row>
    <row r="186">
      <c r="A186" s="10" t="inlineStr">
        <is>
          <t>F31</t>
        </is>
      </c>
      <c r="B186" s="10" t="inlineStr">
        <is>
          <t>FP</t>
        </is>
      </c>
      <c r="C186" s="10" t="inlineStr">
        <is>
          <t>L-Arginine 1000; L-Arginine 2000  |  L-Arginine</t>
        </is>
      </c>
      <c r="D186" s="10" t="inlineStr">
        <is>
          <t>Content uniformity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n"/>
      <c r="AA186" s="5" t="n"/>
    </row>
    <row r="187">
      <c r="A187" s="10" t="inlineStr">
        <is>
          <t>F31</t>
        </is>
      </c>
      <c r="B187" s="10" t="inlineStr">
        <is>
          <t>FP</t>
        </is>
      </c>
      <c r="C187" s="10" t="inlineStr">
        <is>
          <t>L-Arginine 1000; L-Arginine 2000  |  L-Arginine</t>
        </is>
      </c>
      <c r="D187" s="10" t="inlineStr">
        <is>
          <t>Identification (if separate from assay)</t>
        </is>
      </c>
      <c r="E187" s="10">
        <f>IF(A187="","",A187&amp;"|"&amp;D187)</f>
        <v/>
      </c>
      <c r="F187" s="5" t="inlineStr">
        <is>
          <t>N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14">
        <f>IF(N187="","",IF(OR(M187="",O187=""),N187,(M187+4*N187+O187)/6))</f>
        <v/>
      </c>
      <c r="Q187" s="5" t="n"/>
      <c r="R187" s="5" t="n"/>
      <c r="S187" s="5" t="n"/>
      <c r="T187" s="5" t="n"/>
      <c r="U187" s="5" t="n"/>
      <c r="V187" s="15" t="n"/>
      <c r="W187" s="5" t="inlineStr">
        <is>
          <t>N</t>
        </is>
      </c>
      <c r="X187" s="5" t="n"/>
      <c r="Y187" s="5" t="n"/>
      <c r="Z187" s="5" t="n"/>
      <c r="AA187" s="5" t="n"/>
    </row>
    <row r="188">
      <c r="A188" s="10" t="inlineStr">
        <is>
          <t>F31</t>
        </is>
      </c>
      <c r="B188" s="10" t="inlineStr">
        <is>
          <t>FP</t>
        </is>
      </c>
      <c r="C188" s="10" t="inlineStr">
        <is>
          <t>L-Arginine 1000; L-Arginine 2000  |  L-Arginine</t>
        </is>
      </c>
      <c r="D188" s="10" t="inlineStr">
        <is>
          <t>Other tests (non-HPLC: physical, LOD/KF, disintegration, pH, micro...)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14">
        <f>IF(N188="","",IF(OR(M188="",O188=""),N188,(M188+4*N188+O188)/6))</f>
        <v/>
      </c>
      <c r="Q188" s="5" t="n"/>
      <c r="R188" s="5" t="n"/>
      <c r="S188" s="5" t="n"/>
      <c r="T188" s="5" t="n"/>
      <c r="U188" s="5" t="n"/>
      <c r="V188" s="15" t="n"/>
      <c r="W188" s="5" t="inlineStr">
        <is>
          <t>Y</t>
        </is>
      </c>
      <c r="X188" s="5" t="n"/>
      <c r="Y188" s="5" t="n"/>
      <c r="Z188" s="5" t="n"/>
      <c r="AA188" s="5" t="n"/>
    </row>
    <row r="189">
      <c r="A189" s="10" t="inlineStr">
        <is>
          <t>F32</t>
        </is>
      </c>
      <c r="B189" s="10" t="inlineStr">
        <is>
          <t>FP</t>
        </is>
      </c>
      <c r="C189" s="10" t="inlineStr">
        <is>
          <t>L-Carnitine 1000/10; L-Carnitine 2000/10  |  L-Carnitine (Base)</t>
        </is>
      </c>
      <c r="D189" s="10" t="inlineStr">
        <is>
          <t>Assay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HPLC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14">
        <f>IF(N189="","",IF(OR(M189="",O189=""),N189,(M189+4*N189+O189)/6))</f>
        <v/>
      </c>
      <c r="Q189" s="5" t="n"/>
      <c r="R189" s="5" t="n"/>
      <c r="S189" s="5" t="n"/>
      <c r="T189" s="5" t="n"/>
      <c r="U189" s="5" t="n"/>
      <c r="V189" s="15" t="n"/>
      <c r="W189" s="5" t="inlineStr">
        <is>
          <t>Y</t>
        </is>
      </c>
      <c r="X189" s="5" t="n"/>
      <c r="Y189" s="5" t="n"/>
      <c r="Z189" s="5" t="n"/>
      <c r="AA189" s="5" t="n"/>
    </row>
    <row r="190">
      <c r="A190" s="10" t="inlineStr">
        <is>
          <t>F32</t>
        </is>
      </c>
      <c r="B190" s="10" t="inlineStr">
        <is>
          <t>FP</t>
        </is>
      </c>
      <c r="C190" s="10" t="inlineStr">
        <is>
          <t>L-Carnitine 1000/10; L-Carnitine 2000/10  |  L-Carnitine (Base)</t>
        </is>
      </c>
      <c r="D190" s="10" t="inlineStr">
        <is>
          <t>Related substances / impurities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14">
        <f>IF(N190="","",IF(OR(M190="",O190=""),N190,(M190+4*N190+O190)/6))</f>
        <v/>
      </c>
      <c r="Q190" s="5" t="n"/>
      <c r="R190" s="5" t="n"/>
      <c r="S190" s="5" t="n"/>
      <c r="T190" s="5" t="n"/>
      <c r="U190" s="5" t="n"/>
      <c r="V190" s="15" t="n"/>
      <c r="W190" s="5" t="inlineStr">
        <is>
          <t>Y</t>
        </is>
      </c>
      <c r="X190" s="5" t="n"/>
      <c r="Y190" s="5" t="n"/>
      <c r="Z190" s="5" t="n"/>
      <c r="AA190" s="5" t="n"/>
    </row>
    <row r="191">
      <c r="A191" s="10" t="inlineStr">
        <is>
          <t>F32</t>
        </is>
      </c>
      <c r="B191" s="10" t="inlineStr">
        <is>
          <t>FP</t>
        </is>
      </c>
      <c r="C191" s="10" t="inlineStr">
        <is>
          <t>L-Carnitine 1000/10; L-Carnitine 2000/10  |  L-Carnitine (Base)</t>
        </is>
      </c>
      <c r="D191" s="10" t="inlineStr">
        <is>
          <t>Dissolution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14">
        <f>IF(N191="","",IF(OR(M191="",O191=""),N191,(M191+4*N191+O191)/6))</f>
        <v/>
      </c>
      <c r="Q191" s="5" t="n"/>
      <c r="R191" s="5" t="n"/>
      <c r="S191" s="5" t="n"/>
      <c r="T191" s="5" t="n"/>
      <c r="U191" s="5" t="n"/>
      <c r="V191" s="15" t="n"/>
      <c r="W191" s="5" t="inlineStr">
        <is>
          <t>Y</t>
        </is>
      </c>
      <c r="X191" s="5" t="n"/>
      <c r="Y191" s="5" t="n"/>
      <c r="Z191" s="5" t="n"/>
      <c r="AA191" s="5" t="n"/>
    </row>
    <row r="192">
      <c r="A192" s="10" t="inlineStr">
        <is>
          <t>F32</t>
        </is>
      </c>
      <c r="B192" s="10" t="inlineStr">
        <is>
          <t>FP</t>
        </is>
      </c>
      <c r="C192" s="10" t="inlineStr">
        <is>
          <t>L-Carnitine 1000/10; L-Carnitine 2000/10  |  L-Carnitine (Base)</t>
        </is>
      </c>
      <c r="D192" s="10" t="inlineStr">
        <is>
          <t>Content uniformity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</row>
    <row r="193">
      <c r="A193" s="10" t="inlineStr">
        <is>
          <t>F32</t>
        </is>
      </c>
      <c r="B193" s="10" t="inlineStr">
        <is>
          <t>FP</t>
        </is>
      </c>
      <c r="C193" s="10" t="inlineStr">
        <is>
          <t>L-Carnitine 1000/10; L-Carnitine 2000/10  |  L-Carnitine (Base)</t>
        </is>
      </c>
      <c r="D193" s="10" t="inlineStr">
        <is>
          <t>Identification (if separate from assay)</t>
        </is>
      </c>
      <c r="E193" s="10">
        <f>IF(A193="","",A193&amp;"|"&amp;D193)</f>
        <v/>
      </c>
      <c r="F193" s="5" t="inlineStr">
        <is>
          <t>N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14">
        <f>IF(N193="","",IF(OR(M193="",O193=""),N193,(M193+4*N193+O193)/6))</f>
        <v/>
      </c>
      <c r="Q193" s="5" t="n"/>
      <c r="R193" s="5" t="n"/>
      <c r="S193" s="5" t="n"/>
      <c r="T193" s="5" t="n"/>
      <c r="U193" s="5" t="n"/>
      <c r="V193" s="15" t="n"/>
      <c r="W193" s="5" t="inlineStr">
        <is>
          <t>N</t>
        </is>
      </c>
      <c r="X193" s="5" t="n"/>
      <c r="Y193" s="5" t="n"/>
      <c r="Z193" s="5" t="n"/>
      <c r="AA193" s="5" t="n"/>
    </row>
    <row r="194">
      <c r="A194" s="10" t="inlineStr">
        <is>
          <t>F32</t>
        </is>
      </c>
      <c r="B194" s="10" t="inlineStr">
        <is>
          <t>FP</t>
        </is>
      </c>
      <c r="C194" s="10" t="inlineStr">
        <is>
          <t>L-Carnitine 1000/10; L-Carnitine 2000/10  |  L-Carnitine (Base)</t>
        </is>
      </c>
      <c r="D194" s="10" t="inlineStr">
        <is>
          <t>Other tests (non-HPLC: physical, LOD/KF, disintegration, pH, micro...)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14">
        <f>IF(N194="","",IF(OR(M194="",O194=""),N194,(M194+4*N194+O194)/6))</f>
        <v/>
      </c>
      <c r="Q194" s="5" t="n"/>
      <c r="R194" s="5" t="n"/>
      <c r="S194" s="5" t="n"/>
      <c r="T194" s="5" t="n"/>
      <c r="U194" s="5" t="n"/>
      <c r="V194" s="15" t="n"/>
      <c r="W194" s="5" t="inlineStr">
        <is>
          <t>Y</t>
        </is>
      </c>
      <c r="X194" s="5" t="n"/>
      <c r="Y194" s="5" t="n"/>
      <c r="Z194" s="5" t="n"/>
      <c r="AA194" s="5" t="n"/>
    </row>
    <row r="195">
      <c r="A195" s="10" t="inlineStr">
        <is>
          <t>F33</t>
        </is>
      </c>
      <c r="B195" s="10" t="inlineStr">
        <is>
          <t>FP</t>
        </is>
      </c>
      <c r="C195" s="10" t="inlineStr">
        <is>
          <t>L-Carnitine Caffeine  |  L-Carnitine (Base), Caffeine (Base) (+3 more)</t>
        </is>
      </c>
      <c r="D195" s="10" t="inlineStr">
        <is>
          <t>Assay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HPLC</t>
        </is>
      </c>
      <c r="H195" s="5" t="inlineStr">
        <is>
          <t>High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14">
        <f>IF(N195="","",IF(OR(M195="",O195=""),N195,(M195+4*N195+O195)/6))</f>
        <v/>
      </c>
      <c r="Q195" s="5" t="n"/>
      <c r="R195" s="5" t="n"/>
      <c r="S195" s="5" t="n"/>
      <c r="T195" s="5" t="n"/>
      <c r="U195" s="5" t="n"/>
      <c r="V195" s="15" t="n"/>
      <c r="W195" s="5" t="inlineStr">
        <is>
          <t>Y</t>
        </is>
      </c>
      <c r="X195" s="5" t="n"/>
      <c r="Y195" s="5" t="n"/>
      <c r="Z195" s="5" t="inlineStr">
        <is>
          <t>Multi-active product: enter number of separate HPLC/AAS methods in col I</t>
        </is>
      </c>
      <c r="AA195" s="5" t="n"/>
    </row>
    <row r="196">
      <c r="A196" s="10" t="inlineStr">
        <is>
          <t>F33</t>
        </is>
      </c>
      <c r="B196" s="10" t="inlineStr">
        <is>
          <t>FP</t>
        </is>
      </c>
      <c r="C196" s="10" t="inlineStr">
        <is>
          <t>L-Carnitine Caffeine  |  L-Carnitine (Base), Caffeine (Base) (+3 more)</t>
        </is>
      </c>
      <c r="D196" s="10" t="inlineStr">
        <is>
          <t>Related substances / impurities</t>
        </is>
      </c>
      <c r="E196" s="10">
        <f>IF(A196="","",A196&amp;"|"&amp;D196)</f>
        <v/>
      </c>
      <c r="F196" s="5" t="inlineStr">
        <is>
          <t>N</t>
        </is>
      </c>
      <c r="G196" s="5" t="inlineStr">
        <is>
          <t>HPLC</t>
        </is>
      </c>
      <c r="H196" s="5" t="inlineStr">
        <is>
          <t>High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14">
        <f>IF(N196="","",IF(OR(M196="",O196=""),N196,(M196+4*N196+O196)/6))</f>
        <v/>
      </c>
      <c r="Q196" s="5" t="n"/>
      <c r="R196" s="5" t="n"/>
      <c r="S196" s="5" t="n"/>
      <c r="T196" s="5" t="n"/>
      <c r="U196" s="5" t="n"/>
      <c r="V196" s="15" t="n"/>
      <c r="W196" s="5" t="inlineStr">
        <is>
          <t>Y</t>
        </is>
      </c>
      <c r="X196" s="5" t="n"/>
      <c r="Y196" s="5" t="n"/>
      <c r="Z196" s="5" t="n"/>
      <c r="AA196" s="5" t="n"/>
    </row>
    <row r="197">
      <c r="A197" s="10" t="inlineStr">
        <is>
          <t>F33</t>
        </is>
      </c>
      <c r="B197" s="10" t="inlineStr">
        <is>
          <t>FP</t>
        </is>
      </c>
      <c r="C197" s="10" t="inlineStr">
        <is>
          <t>L-Carnitine Caffeine  |  L-Carnitine (Base), Caffeine (Base) (+3 more)</t>
        </is>
      </c>
      <c r="D197" s="10" t="inlineStr">
        <is>
          <t>Dissolution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HPLC</t>
        </is>
      </c>
      <c r="H197" s="5" t="inlineStr">
        <is>
          <t>High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14">
        <f>IF(N197="","",IF(OR(M197="",O197=""),N197,(M197+4*N197+O197)/6))</f>
        <v/>
      </c>
      <c r="Q197" s="5" t="n"/>
      <c r="R197" s="5" t="n"/>
      <c r="S197" s="5" t="n"/>
      <c r="T197" s="5" t="n"/>
      <c r="U197" s="5" t="n"/>
      <c r="V197" s="15" t="n"/>
      <c r="W197" s="5" t="inlineStr">
        <is>
          <t>Y</t>
        </is>
      </c>
      <c r="X197" s="5" t="n"/>
      <c r="Y197" s="5" t="n"/>
      <c r="Z197" s="5" t="n"/>
      <c r="AA197" s="5" t="n"/>
    </row>
    <row r="198">
      <c r="A198" s="10" t="inlineStr">
        <is>
          <t>F33</t>
        </is>
      </c>
      <c r="B198" s="10" t="inlineStr">
        <is>
          <t>FP</t>
        </is>
      </c>
      <c r="C198" s="10" t="inlineStr">
        <is>
          <t>L-Carnitine Caffeine  |  L-Carnitine (Base), Caffeine (Base) (+3 more)</t>
        </is>
      </c>
      <c r="D198" s="10" t="inlineStr">
        <is>
          <t>Content uniformity</t>
        </is>
      </c>
      <c r="E198" s="10">
        <f>IF(A198="","",A198&amp;"|"&amp;D198)</f>
        <v/>
      </c>
      <c r="F198" s="5" t="inlineStr">
        <is>
          <t>N</t>
        </is>
      </c>
      <c r="G198" s="5" t="inlineStr">
        <is>
          <t>HPLC</t>
        </is>
      </c>
      <c r="H198" s="5" t="inlineStr">
        <is>
          <t>High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</row>
    <row r="199">
      <c r="A199" s="10" t="inlineStr">
        <is>
          <t>F33</t>
        </is>
      </c>
      <c r="B199" s="10" t="inlineStr">
        <is>
          <t>FP</t>
        </is>
      </c>
      <c r="C199" s="10" t="inlineStr">
        <is>
          <t>L-Carnitine Caffeine  |  L-Carnitine (Base), Caffeine (Base) (+3 more)</t>
        </is>
      </c>
      <c r="D199" s="10" t="inlineStr">
        <is>
          <t>Identification (if separate from assay)</t>
        </is>
      </c>
      <c r="E199" s="10">
        <f>IF(A199="","",A199&amp;"|"&amp;D199)</f>
        <v/>
      </c>
      <c r="F199" s="5" t="inlineStr">
        <is>
          <t>N</t>
        </is>
      </c>
      <c r="G199" s="5" t="inlineStr">
        <is>
          <t>HPLC</t>
        </is>
      </c>
      <c r="H199" s="5" t="inlineStr">
        <is>
          <t>High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</row>
    <row r="200">
      <c r="A200" s="10" t="inlineStr">
        <is>
          <t>F33</t>
        </is>
      </c>
      <c r="B200" s="10" t="inlineStr">
        <is>
          <t>FP</t>
        </is>
      </c>
      <c r="C200" s="10" t="inlineStr">
        <is>
          <t>L-Carnitine Caffeine  |  L-Carnitine (Base), Caffeine (Base) (+3 more)</t>
        </is>
      </c>
      <c r="D200" s="10" t="inlineStr">
        <is>
          <t>Other tests (non-HPLC: physical, LOD/KF, disintegration, pH, micro...)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Other / bench</t>
        </is>
      </c>
      <c r="H200" s="5" t="inlineStr">
        <is>
          <t>High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Y</t>
        </is>
      </c>
      <c r="X200" s="5" t="n"/>
      <c r="Y200" s="5" t="n"/>
      <c r="Z200" s="5" t="n"/>
      <c r="AA200" s="5" t="n"/>
    </row>
    <row r="201">
      <c r="A201" s="10" t="inlineStr">
        <is>
          <t>F34</t>
        </is>
      </c>
      <c r="B201" s="10" t="inlineStr">
        <is>
          <t>FP</t>
        </is>
      </c>
      <c r="C201" s="10" t="inlineStr">
        <is>
          <t>B-Complex  |  Cyanocobalamin (Vitamin B12), Thiamine Hydrochloride (Vitamin B1) (+6 more)</t>
        </is>
      </c>
      <c r="D201" s="10" t="inlineStr">
        <is>
          <t>Assay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HPLC</t>
        </is>
      </c>
      <c r="H201" s="5" t="inlineStr">
        <is>
          <t>High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14">
        <f>IF(N201="","",IF(OR(M201="",O201=""),N201,(M201+4*N201+O201)/6))</f>
        <v/>
      </c>
      <c r="Q201" s="5" t="n"/>
      <c r="R201" s="5" t="n"/>
      <c r="S201" s="5" t="n"/>
      <c r="T201" s="5" t="n"/>
      <c r="U201" s="5" t="n"/>
      <c r="V201" s="15" t="n"/>
      <c r="W201" s="5" t="inlineStr">
        <is>
          <t>Y</t>
        </is>
      </c>
      <c r="X201" s="5" t="n"/>
      <c r="Y201" s="5" t="n"/>
      <c r="Z201" s="5" t="inlineStr">
        <is>
          <t>Multi-active product: enter number of separate HPLC/AAS methods in col I</t>
        </is>
      </c>
      <c r="AA201" s="5" t="n"/>
    </row>
    <row r="202">
      <c r="A202" s="10" t="inlineStr">
        <is>
          <t>F34</t>
        </is>
      </c>
      <c r="B202" s="10" t="inlineStr">
        <is>
          <t>FP</t>
        </is>
      </c>
      <c r="C202" s="10" t="inlineStr">
        <is>
          <t>B-Complex  |  Cyanocobalamin (Vitamin B12), Thiamine Hydrochloride (Vitamin B1) (+6 more)</t>
        </is>
      </c>
      <c r="D202" s="10" t="inlineStr">
        <is>
          <t>Related substances / impurities</t>
        </is>
      </c>
      <c r="E202" s="10">
        <f>IF(A202="","",A202&amp;"|"&amp;D202)</f>
        <v/>
      </c>
      <c r="F202" s="5" t="inlineStr">
        <is>
          <t>N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14">
        <f>IF(N202="","",IF(OR(M202="",O202=""),N202,(M202+4*N202+O202)/6))</f>
        <v/>
      </c>
      <c r="Q202" s="5" t="n"/>
      <c r="R202" s="5" t="n"/>
      <c r="S202" s="5" t="n"/>
      <c r="T202" s="5" t="n"/>
      <c r="U202" s="5" t="n"/>
      <c r="V202" s="15" t="n"/>
      <c r="W202" s="5" t="inlineStr">
        <is>
          <t>Y</t>
        </is>
      </c>
      <c r="X202" s="5" t="n"/>
      <c r="Y202" s="5" t="n"/>
      <c r="Z202" s="5" t="n"/>
      <c r="AA202" s="5" t="n"/>
    </row>
    <row r="203">
      <c r="A203" s="10" t="inlineStr">
        <is>
          <t>F34</t>
        </is>
      </c>
      <c r="B203" s="10" t="inlineStr">
        <is>
          <t>FP</t>
        </is>
      </c>
      <c r="C203" s="10" t="inlineStr">
        <is>
          <t>B-Complex  |  Cyanocobalamin (Vitamin B12), Thiamine Hydrochloride (Vitamin B1) (+6 more)</t>
        </is>
      </c>
      <c r="D203" s="10" t="inlineStr">
        <is>
          <t>Dissolution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Y</t>
        </is>
      </c>
      <c r="X203" s="5" t="n"/>
      <c r="Y203" s="5" t="n"/>
      <c r="Z203" s="5" t="n"/>
      <c r="AA203" s="5" t="n"/>
    </row>
    <row r="204">
      <c r="A204" s="10" t="inlineStr">
        <is>
          <t>F34</t>
        </is>
      </c>
      <c r="B204" s="10" t="inlineStr">
        <is>
          <t>FP</t>
        </is>
      </c>
      <c r="C204" s="10" t="inlineStr">
        <is>
          <t>B-Complex  |  Cyanocobalamin (Vitamin B12), Thiamine Hydrochloride (Vitamin B1) (+6 more)</t>
        </is>
      </c>
      <c r="D204" s="10" t="inlineStr">
        <is>
          <t>Content uniformity</t>
        </is>
      </c>
      <c r="E204" s="10">
        <f>IF(A204="","",A204&amp;"|"&amp;D204)</f>
        <v/>
      </c>
      <c r="F204" s="5" t="inlineStr">
        <is>
          <t>N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14">
        <f>IF(N204="","",IF(OR(M204="",O204=""),N204,(M204+4*N204+O204)/6))</f>
        <v/>
      </c>
      <c r="Q204" s="5" t="n"/>
      <c r="R204" s="5" t="n"/>
      <c r="S204" s="5" t="n"/>
      <c r="T204" s="5" t="n"/>
      <c r="U204" s="5" t="n"/>
      <c r="V204" s="15" t="n"/>
      <c r="W204" s="5" t="inlineStr">
        <is>
          <t>N</t>
        </is>
      </c>
      <c r="X204" s="5" t="n"/>
      <c r="Y204" s="5" t="n"/>
      <c r="Z204" s="5" t="n"/>
      <c r="AA204" s="5" t="n"/>
    </row>
    <row r="205">
      <c r="A205" s="10" t="inlineStr">
        <is>
          <t>F34</t>
        </is>
      </c>
      <c r="B205" s="10" t="inlineStr">
        <is>
          <t>FP</t>
        </is>
      </c>
      <c r="C205" s="10" t="inlineStr">
        <is>
          <t>B-Complex  |  Cyanocobalamin (Vitamin B12), Thiamine Hydrochloride (Vitamin B1) (+6 more)</t>
        </is>
      </c>
      <c r="D205" s="10" t="inlineStr">
        <is>
          <t>Identification (if separate from assay)</t>
        </is>
      </c>
      <c r="E205" s="10">
        <f>IF(A205="","",A205&amp;"|"&amp;D205)</f>
        <v/>
      </c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14">
        <f>IF(N205="","",IF(OR(M205="",O205=""),N205,(M205+4*N205+O205)/6))</f>
        <v/>
      </c>
      <c r="Q205" s="5" t="n"/>
      <c r="R205" s="5" t="n"/>
      <c r="S205" s="5" t="n"/>
      <c r="T205" s="5" t="n"/>
      <c r="U205" s="5" t="n"/>
      <c r="V205" s="15" t="n"/>
      <c r="W205" s="5" t="inlineStr">
        <is>
          <t>N</t>
        </is>
      </c>
      <c r="X205" s="5" t="n"/>
      <c r="Y205" s="5" t="n"/>
      <c r="Z205" s="5" t="n"/>
      <c r="AA205" s="5" t="n"/>
    </row>
    <row r="206">
      <c r="A206" s="10" t="inlineStr">
        <is>
          <t>F34</t>
        </is>
      </c>
      <c r="B206" s="10" t="inlineStr">
        <is>
          <t>FP</t>
        </is>
      </c>
      <c r="C206" s="10" t="inlineStr">
        <is>
          <t>B-Complex  |  Cyanocobalamin (Vitamin B12), Thiamine Hydrochloride (Vitamin B1) (+6 more)</t>
        </is>
      </c>
      <c r="D206" s="10" t="inlineStr">
        <is>
          <t>Other tests (non-HPLC: physical, LOD/KF, disintegration, pH, micro...)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Other / bench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Y</t>
        </is>
      </c>
      <c r="X206" s="5" t="n"/>
      <c r="Y206" s="5" t="n"/>
      <c r="Z206" s="5" t="n"/>
      <c r="AA206" s="5" t="n"/>
    </row>
    <row r="207">
      <c r="A207" s="10" t="inlineStr">
        <is>
          <t>F35</t>
        </is>
      </c>
      <c r="B207" s="10" t="inlineStr">
        <is>
          <t>FP</t>
        </is>
      </c>
      <c r="C207" s="10" t="inlineStr">
        <is>
          <t>Sachet Vitamin B12  |  Cyanocobalamin (Vitamin B12)</t>
        </is>
      </c>
      <c r="D207" s="10" t="inlineStr">
        <is>
          <t>Assay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HPLC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14">
        <f>IF(N207="","",IF(OR(M207="",O207=""),N207,(M207+4*N207+O207)/6))</f>
        <v/>
      </c>
      <c r="Q207" s="5" t="n"/>
      <c r="R207" s="5" t="n"/>
      <c r="S207" s="5" t="n"/>
      <c r="T207" s="5" t="n"/>
      <c r="U207" s="5" t="n"/>
      <c r="V207" s="15" t="n"/>
      <c r="W207" s="5" t="inlineStr">
        <is>
          <t>Y</t>
        </is>
      </c>
      <c r="X207" s="5" t="n"/>
      <c r="Y207" s="5" t="n"/>
      <c r="Z207" s="5" t="n"/>
      <c r="AA207" s="5" t="n"/>
    </row>
    <row r="208">
      <c r="A208" s="10" t="inlineStr">
        <is>
          <t>F35</t>
        </is>
      </c>
      <c r="B208" s="10" t="inlineStr">
        <is>
          <t>FP</t>
        </is>
      </c>
      <c r="C208" s="10" t="inlineStr">
        <is>
          <t>Sachet Vitamin B12  |  Cyanocobalamin (Vitamin B12)</t>
        </is>
      </c>
      <c r="D208" s="10" t="inlineStr">
        <is>
          <t>Related substances / impurities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HPLC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14">
        <f>IF(N208="","",IF(OR(M208="",O208=""),N208,(M208+4*N208+O208)/6))</f>
        <v/>
      </c>
      <c r="Q208" s="5" t="n"/>
      <c r="R208" s="5" t="n"/>
      <c r="S208" s="5" t="n"/>
      <c r="T208" s="5" t="n"/>
      <c r="U208" s="5" t="n"/>
      <c r="V208" s="15" t="n"/>
      <c r="W208" s="5" t="inlineStr">
        <is>
          <t>Y</t>
        </is>
      </c>
      <c r="X208" s="5" t="n"/>
      <c r="Y208" s="5" t="n"/>
      <c r="Z208" s="5" t="n"/>
      <c r="AA208" s="5" t="n"/>
    </row>
    <row r="209">
      <c r="A209" s="10" t="inlineStr">
        <is>
          <t>F35</t>
        </is>
      </c>
      <c r="B209" s="10" t="inlineStr">
        <is>
          <t>FP</t>
        </is>
      </c>
      <c r="C209" s="10" t="inlineStr">
        <is>
          <t>Sachet Vitamin B12  |  Cyanocobalamin (Vitamin B12)</t>
        </is>
      </c>
      <c r="D209" s="10" t="inlineStr">
        <is>
          <t>Dissolution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Y</t>
        </is>
      </c>
      <c r="X209" s="5" t="n"/>
      <c r="Y209" s="5" t="n"/>
      <c r="Z209" s="5" t="n"/>
      <c r="AA209" s="5" t="n"/>
    </row>
    <row r="210">
      <c r="A210" s="10" t="inlineStr">
        <is>
          <t>F35</t>
        </is>
      </c>
      <c r="B210" s="10" t="inlineStr">
        <is>
          <t>FP</t>
        </is>
      </c>
      <c r="C210" s="10" t="inlineStr">
        <is>
          <t>Sachet Vitamin B12  |  Cyanocobalamin (Vitamin B12)</t>
        </is>
      </c>
      <c r="D210" s="10" t="inlineStr">
        <is>
          <t>Content uniformity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HPLC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</row>
    <row r="211">
      <c r="A211" s="10" t="inlineStr">
        <is>
          <t>F35</t>
        </is>
      </c>
      <c r="B211" s="10" t="inlineStr">
        <is>
          <t>FP</t>
        </is>
      </c>
      <c r="C211" s="10" t="inlineStr">
        <is>
          <t>Sachet Vitamin B12  |  Cyanocobalamin (Vitamin B12)</t>
        </is>
      </c>
      <c r="D211" s="10" t="inlineStr">
        <is>
          <t>Identification (if separate from assay)</t>
        </is>
      </c>
      <c r="E211" s="10">
        <f>IF(A211="","",A211&amp;"|"&amp;D211)</f>
        <v/>
      </c>
      <c r="F211" s="5" t="inlineStr">
        <is>
          <t>N</t>
        </is>
      </c>
      <c r="G211" s="5" t="inlineStr">
        <is>
          <t>HPLC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</row>
    <row r="212">
      <c r="A212" s="10" t="inlineStr">
        <is>
          <t>F35</t>
        </is>
      </c>
      <c r="B212" s="10" t="inlineStr">
        <is>
          <t>FP</t>
        </is>
      </c>
      <c r="C212" s="10" t="inlineStr">
        <is>
          <t>Sachet Vitamin B12  |  Cyanocobalamin (Vitamin B12)</t>
        </is>
      </c>
      <c r="D212" s="10" t="inlineStr">
        <is>
          <t>Other tests (non-HPLC: physical, LOD/KF, disintegration, pH, micro...)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Y</t>
        </is>
      </c>
      <c r="X212" s="5" t="n"/>
      <c r="Y212" s="5" t="n"/>
      <c r="Z212" s="5" t="n"/>
      <c r="AA212" s="5" t="n"/>
    </row>
    <row r="213">
      <c r="A213" s="10" t="inlineStr">
        <is>
          <t>F36</t>
        </is>
      </c>
      <c r="B213" s="10" t="inlineStr">
        <is>
          <t>FP</t>
        </is>
      </c>
      <c r="C213" s="10" t="inlineStr">
        <is>
          <t>Ca+k+D3  |  Calcium Carbonate, Vitamin D3 (+1 more)</t>
        </is>
      </c>
      <c r="D213" s="10" t="inlineStr">
        <is>
          <t>Assay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HPLC</t>
        </is>
      </c>
      <c r="H213" s="5" t="inlineStr">
        <is>
          <t>Medium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14">
        <f>IF(N213="","",IF(OR(M213="",O213=""),N213,(M213+4*N213+O213)/6))</f>
        <v/>
      </c>
      <c r="Q213" s="5" t="n"/>
      <c r="R213" s="5" t="n"/>
      <c r="S213" s="5" t="n"/>
      <c r="T213" s="5" t="n"/>
      <c r="U213" s="5" t="n"/>
      <c r="V213" s="15" t="n"/>
      <c r="W213" s="5" t="inlineStr">
        <is>
          <t>Y</t>
        </is>
      </c>
      <c r="X213" s="5" t="n"/>
      <c r="Y213" s="5" t="n"/>
      <c r="Z213" s="5" t="n"/>
      <c r="AA213" s="5" t="n"/>
    </row>
    <row r="214">
      <c r="A214" s="10" t="inlineStr">
        <is>
          <t>F36</t>
        </is>
      </c>
      <c r="B214" s="10" t="inlineStr">
        <is>
          <t>FP</t>
        </is>
      </c>
      <c r="C214" s="10" t="inlineStr">
        <is>
          <t>Ca+k+D3  |  Calcium Carbonate, Vitamin D3 (+1 more)</t>
        </is>
      </c>
      <c r="D214" s="10" t="inlineStr">
        <is>
          <t>Related substances / impurities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HPLC</t>
        </is>
      </c>
      <c r="H214" s="5" t="inlineStr">
        <is>
          <t>Medium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14">
        <f>IF(N214="","",IF(OR(M214="",O214=""),N214,(M214+4*N214+O214)/6))</f>
        <v/>
      </c>
      <c r="Q214" s="5" t="n"/>
      <c r="R214" s="5" t="n"/>
      <c r="S214" s="5" t="n"/>
      <c r="T214" s="5" t="n"/>
      <c r="U214" s="5" t="n"/>
      <c r="V214" s="15" t="n"/>
      <c r="W214" s="5" t="inlineStr">
        <is>
          <t>Y</t>
        </is>
      </c>
      <c r="X214" s="5" t="n"/>
      <c r="Y214" s="5" t="n"/>
      <c r="Z214" s="5" t="n"/>
      <c r="AA214" s="5" t="n"/>
    </row>
    <row r="215">
      <c r="A215" s="10" t="inlineStr">
        <is>
          <t>F36</t>
        </is>
      </c>
      <c r="B215" s="10" t="inlineStr">
        <is>
          <t>FP</t>
        </is>
      </c>
      <c r="C215" s="10" t="inlineStr">
        <is>
          <t>Ca+k+D3  |  Calcium Carbonate, Vitamin D3 (+1 more)</t>
        </is>
      </c>
      <c r="D215" s="10" t="inlineStr">
        <is>
          <t>Dissolution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HPLC</t>
        </is>
      </c>
      <c r="H215" s="5" t="inlineStr">
        <is>
          <t>Medium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14">
        <f>IF(N215="","",IF(OR(M215="",O215=""),N215,(M215+4*N215+O215)/6))</f>
        <v/>
      </c>
      <c r="Q215" s="5" t="n"/>
      <c r="R215" s="5" t="n"/>
      <c r="S215" s="5" t="n"/>
      <c r="T215" s="5" t="n"/>
      <c r="U215" s="5" t="n"/>
      <c r="V215" s="15" t="n"/>
      <c r="W215" s="5" t="inlineStr">
        <is>
          <t>Y</t>
        </is>
      </c>
      <c r="X215" s="5" t="n"/>
      <c r="Y215" s="5" t="n"/>
      <c r="Z215" s="5" t="n"/>
      <c r="AA215" s="5" t="n"/>
    </row>
    <row r="216">
      <c r="A216" s="10" t="inlineStr">
        <is>
          <t>F36</t>
        </is>
      </c>
      <c r="B216" s="10" t="inlineStr">
        <is>
          <t>FP</t>
        </is>
      </c>
      <c r="C216" s="10" t="inlineStr">
        <is>
          <t>Ca+k+D3  |  Calcium Carbonate, Vitamin D3 (+1 more)</t>
        </is>
      </c>
      <c r="D216" s="10" t="inlineStr">
        <is>
          <t>Content uniformity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HPLC</t>
        </is>
      </c>
      <c r="H216" s="5" t="inlineStr">
        <is>
          <t>Medium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14">
        <f>IF(N216="","",IF(OR(M216="",O216=""),N216,(M216+4*N216+O216)/6))</f>
        <v/>
      </c>
      <c r="Q216" s="5" t="n"/>
      <c r="R216" s="5" t="n"/>
      <c r="S216" s="5" t="n"/>
      <c r="T216" s="5" t="n"/>
      <c r="U216" s="5" t="n"/>
      <c r="V216" s="15" t="n"/>
      <c r="W216" s="5" t="inlineStr">
        <is>
          <t>N</t>
        </is>
      </c>
      <c r="X216" s="5" t="n"/>
      <c r="Y216" s="5" t="n"/>
      <c r="Z216" s="5" t="n"/>
      <c r="AA216" s="5" t="n"/>
    </row>
    <row r="217">
      <c r="A217" s="10" t="inlineStr">
        <is>
          <t>F36</t>
        </is>
      </c>
      <c r="B217" s="10" t="inlineStr">
        <is>
          <t>FP</t>
        </is>
      </c>
      <c r="C217" s="10" t="inlineStr">
        <is>
          <t>Ca+k+D3  |  Calcium Carbonate, Vitamin D3 (+1 more)</t>
        </is>
      </c>
      <c r="D217" s="10" t="inlineStr">
        <is>
          <t>Identification (if separate from assay)</t>
        </is>
      </c>
      <c r="E217" s="10">
        <f>IF(A217="","",A217&amp;"|"&amp;D217)</f>
        <v/>
      </c>
      <c r="F217" s="5" t="inlineStr">
        <is>
          <t>N</t>
        </is>
      </c>
      <c r="G217" s="5" t="inlineStr">
        <is>
          <t>HPLC</t>
        </is>
      </c>
      <c r="H217" s="5" t="inlineStr">
        <is>
          <t>Medium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14">
        <f>IF(N217="","",IF(OR(M217="",O217=""),N217,(M217+4*N217+O217)/6))</f>
        <v/>
      </c>
      <c r="Q217" s="5" t="n"/>
      <c r="R217" s="5" t="n"/>
      <c r="S217" s="5" t="n"/>
      <c r="T217" s="5" t="n"/>
      <c r="U217" s="5" t="n"/>
      <c r="V217" s="15" t="n"/>
      <c r="W217" s="5" t="inlineStr">
        <is>
          <t>N</t>
        </is>
      </c>
      <c r="X217" s="5" t="n"/>
      <c r="Y217" s="5" t="n"/>
      <c r="Z217" s="5" t="n"/>
      <c r="AA217" s="5" t="n"/>
    </row>
    <row r="218">
      <c r="A218" s="10" t="inlineStr">
        <is>
          <t>F36</t>
        </is>
      </c>
      <c r="B218" s="10" t="inlineStr">
        <is>
          <t>FP</t>
        </is>
      </c>
      <c r="C218" s="10" t="inlineStr">
        <is>
          <t>Ca+k+D3  |  Calcium Carbonate, Vitamin D3 (+1 more)</t>
        </is>
      </c>
      <c r="D218" s="10" t="inlineStr">
        <is>
          <t>Other tests (non-HPLC: physical, LOD/KF, disintegration, pH, micro...)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Medium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14">
        <f>IF(N218="","",IF(OR(M218="",O218=""),N218,(M218+4*N218+O218)/6))</f>
        <v/>
      </c>
      <c r="Q218" s="5" t="n"/>
      <c r="R218" s="5" t="n"/>
      <c r="S218" s="5" t="n"/>
      <c r="T218" s="5" t="n"/>
      <c r="U218" s="5" t="n"/>
      <c r="V218" s="15" t="n"/>
      <c r="W218" s="5" t="inlineStr">
        <is>
          <t>Y</t>
        </is>
      </c>
      <c r="X218" s="5" t="n"/>
      <c r="Y218" s="5" t="n"/>
      <c r="Z218" s="5" t="n"/>
      <c r="AA218" s="5" t="n"/>
    </row>
    <row r="219">
      <c r="A219" s="10" t="inlineStr">
        <is>
          <t>F37</t>
        </is>
      </c>
      <c r="B219" s="10" t="inlineStr">
        <is>
          <t>FP</t>
        </is>
      </c>
      <c r="C219" s="10" t="inlineStr">
        <is>
          <t>Zinc+Vitamin C  |  actives TBD: Zinc+Vitamin C</t>
        </is>
      </c>
      <c r="D219" s="10" t="inlineStr">
        <is>
          <t>Assay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HPLC</t>
        </is>
      </c>
      <c r="H219" s="5" t="inlineStr">
        <is>
          <t>Medium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14">
        <f>IF(N219="","",IF(OR(M219="",O219=""),N219,(M219+4*N219+O219)/6))</f>
        <v/>
      </c>
      <c r="Q219" s="5" t="n"/>
      <c r="R219" s="5" t="n"/>
      <c r="S219" s="5" t="n"/>
      <c r="T219" s="5" t="n"/>
      <c r="U219" s="5" t="n"/>
      <c r="V219" s="15" t="n"/>
      <c r="W219" s="5" t="inlineStr">
        <is>
          <t>Y</t>
        </is>
      </c>
      <c r="X219" s="5" t="n"/>
      <c r="Y219" s="5" t="n"/>
      <c r="Z219" s="5" t="inlineStr">
        <is>
          <t>Actives not on record – confirm tests</t>
        </is>
      </c>
      <c r="AA219" s="5" t="n"/>
    </row>
    <row r="220">
      <c r="A220" s="10" t="inlineStr">
        <is>
          <t>F37</t>
        </is>
      </c>
      <c r="B220" s="10" t="inlineStr">
        <is>
          <t>FP</t>
        </is>
      </c>
      <c r="C220" s="10" t="inlineStr">
        <is>
          <t>Zinc+Vitamin C  |  actives TBD: Zinc+Vitamin C</t>
        </is>
      </c>
      <c r="D220" s="10" t="inlineStr">
        <is>
          <t>Related substances / impurities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14">
        <f>IF(N220="","",IF(OR(M220="",O220=""),N220,(M220+4*N220+O220)/6))</f>
        <v/>
      </c>
      <c r="Q220" s="5" t="n"/>
      <c r="R220" s="5" t="n"/>
      <c r="S220" s="5" t="n"/>
      <c r="T220" s="5" t="n"/>
      <c r="U220" s="5" t="n"/>
      <c r="V220" s="15" t="n"/>
      <c r="W220" s="5" t="inlineStr">
        <is>
          <t>Y</t>
        </is>
      </c>
      <c r="X220" s="5" t="n"/>
      <c r="Y220" s="5" t="n"/>
      <c r="Z220" s="5" t="inlineStr">
        <is>
          <t>Actives not on record – confirm tests</t>
        </is>
      </c>
      <c r="AA220" s="5" t="n"/>
    </row>
    <row r="221">
      <c r="A221" s="10" t="inlineStr">
        <is>
          <t>F37</t>
        </is>
      </c>
      <c r="B221" s="10" t="inlineStr">
        <is>
          <t>FP</t>
        </is>
      </c>
      <c r="C221" s="10" t="inlineStr">
        <is>
          <t>Zinc+Vitamin C  |  actives TBD: Zinc+Vitamin C</t>
        </is>
      </c>
      <c r="D221" s="10" t="inlineStr">
        <is>
          <t>Dissolution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14">
        <f>IF(N221="","",IF(OR(M221="",O221=""),N221,(M221+4*N221+O221)/6))</f>
        <v/>
      </c>
      <c r="Q221" s="5" t="n"/>
      <c r="R221" s="5" t="n"/>
      <c r="S221" s="5" t="n"/>
      <c r="T221" s="5" t="n"/>
      <c r="U221" s="5" t="n"/>
      <c r="V221" s="15" t="n"/>
      <c r="W221" s="5" t="inlineStr">
        <is>
          <t>Y</t>
        </is>
      </c>
      <c r="X221" s="5" t="n"/>
      <c r="Y221" s="5" t="n"/>
      <c r="Z221" s="5" t="inlineStr">
        <is>
          <t>Actives not on record – confirm tests</t>
        </is>
      </c>
      <c r="AA221" s="5" t="n"/>
    </row>
    <row r="222">
      <c r="A222" s="10" t="inlineStr">
        <is>
          <t>F37</t>
        </is>
      </c>
      <c r="B222" s="10" t="inlineStr">
        <is>
          <t>FP</t>
        </is>
      </c>
      <c r="C222" s="10" t="inlineStr">
        <is>
          <t>Zinc+Vitamin C  |  actives TBD: Zinc+Vitamin C</t>
        </is>
      </c>
      <c r="D222" s="10" t="inlineStr">
        <is>
          <t>Content uniformity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14">
        <f>IF(N222="","",IF(OR(M222="",O222=""),N222,(M222+4*N222+O222)/6))</f>
        <v/>
      </c>
      <c r="Q222" s="5" t="n"/>
      <c r="R222" s="5" t="n"/>
      <c r="S222" s="5" t="n"/>
      <c r="T222" s="5" t="n"/>
      <c r="U222" s="5" t="n"/>
      <c r="V222" s="15" t="n"/>
      <c r="W222" s="5" t="inlineStr">
        <is>
          <t>N</t>
        </is>
      </c>
      <c r="X222" s="5" t="n"/>
      <c r="Y222" s="5" t="n"/>
      <c r="Z222" s="5" t="inlineStr">
        <is>
          <t>Actives not on record – confirm tests</t>
        </is>
      </c>
      <c r="AA222" s="5" t="n"/>
    </row>
    <row r="223">
      <c r="A223" s="10" t="inlineStr">
        <is>
          <t>F37</t>
        </is>
      </c>
      <c r="B223" s="10" t="inlineStr">
        <is>
          <t>FP</t>
        </is>
      </c>
      <c r="C223" s="10" t="inlineStr">
        <is>
          <t>Zinc+Vitamin C  |  actives TBD: Zinc+Vitamin C</t>
        </is>
      </c>
      <c r="D223" s="10" t="inlineStr">
        <is>
          <t>Identification (if separate from assay)</t>
        </is>
      </c>
      <c r="E223" s="10">
        <f>IF(A223="","",A223&amp;"|"&amp;D223)</f>
        <v/>
      </c>
      <c r="F223" s="5" t="inlineStr">
        <is>
          <t>N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inlineStr">
        <is>
          <t>Actives not on record – confirm tests</t>
        </is>
      </c>
      <c r="AA223" s="5" t="n"/>
    </row>
    <row r="224">
      <c r="A224" s="10" t="inlineStr">
        <is>
          <t>F37</t>
        </is>
      </c>
      <c r="B224" s="10" t="inlineStr">
        <is>
          <t>FP</t>
        </is>
      </c>
      <c r="C224" s="10" t="inlineStr">
        <is>
          <t>Zinc+Vitamin C  |  actives TBD: Zinc+Vitamin C</t>
        </is>
      </c>
      <c r="D224" s="10" t="inlineStr">
        <is>
          <t>Other tests (non-HPLC: physical, LOD/KF, disintegration, pH, micro...)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Other / bench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Y</t>
        </is>
      </c>
      <c r="X224" s="5" t="n"/>
      <c r="Y224" s="5" t="n"/>
      <c r="Z224" s="5" t="inlineStr">
        <is>
          <t>Actives not on record – confirm tests</t>
        </is>
      </c>
      <c r="AA224" s="5" t="n"/>
    </row>
    <row r="225">
      <c r="A225" s="10" t="inlineStr">
        <is>
          <t>F38</t>
        </is>
      </c>
      <c r="B225" s="10" t="inlineStr">
        <is>
          <t>FP</t>
        </is>
      </c>
      <c r="C225" s="10" t="inlineStr">
        <is>
          <t>Vitamin C 1000 mg  |  Ascorbic Acid Coated 97%</t>
        </is>
      </c>
      <c r="D225" s="10" t="inlineStr">
        <is>
          <t>Assay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HPLC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14">
        <f>IF(N225="","",IF(OR(M225="",O225=""),N225,(M225+4*N225+O225)/6))</f>
        <v/>
      </c>
      <c r="Q225" s="5" t="n"/>
      <c r="R225" s="5" t="n"/>
      <c r="S225" s="5" t="n"/>
      <c r="T225" s="5" t="n"/>
      <c r="U225" s="5" t="n"/>
      <c r="V225" s="15" t="n"/>
      <c r="W225" s="5" t="inlineStr">
        <is>
          <t>Y</t>
        </is>
      </c>
      <c r="X225" s="5" t="n"/>
      <c r="Y225" s="5" t="n"/>
      <c r="Z225" s="5" t="n"/>
      <c r="AA225" s="5" t="n"/>
    </row>
    <row r="226">
      <c r="A226" s="10" t="inlineStr">
        <is>
          <t>F38</t>
        </is>
      </c>
      <c r="B226" s="10" t="inlineStr">
        <is>
          <t>FP</t>
        </is>
      </c>
      <c r="C226" s="10" t="inlineStr">
        <is>
          <t>Vitamin C 1000 mg  |  Ascorbic Acid Coated 97%</t>
        </is>
      </c>
      <c r="D226" s="10" t="inlineStr">
        <is>
          <t>Related substances / impurities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HPLC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14">
        <f>IF(N226="","",IF(OR(M226="",O226=""),N226,(M226+4*N226+O226)/6))</f>
        <v/>
      </c>
      <c r="Q226" s="5" t="n"/>
      <c r="R226" s="5" t="n"/>
      <c r="S226" s="5" t="n"/>
      <c r="T226" s="5" t="n"/>
      <c r="U226" s="5" t="n"/>
      <c r="V226" s="15" t="n"/>
      <c r="W226" s="5" t="inlineStr">
        <is>
          <t>Y</t>
        </is>
      </c>
      <c r="X226" s="5" t="n"/>
      <c r="Y226" s="5" t="n"/>
      <c r="Z226" s="5" t="n"/>
      <c r="AA226" s="5" t="n"/>
    </row>
    <row r="227">
      <c r="A227" s="10" t="inlineStr">
        <is>
          <t>F38</t>
        </is>
      </c>
      <c r="B227" s="10" t="inlineStr">
        <is>
          <t>FP</t>
        </is>
      </c>
      <c r="C227" s="10" t="inlineStr">
        <is>
          <t>Vitamin C 1000 mg  |  Ascorbic Acid Coated 97%</t>
        </is>
      </c>
      <c r="D227" s="10" t="inlineStr">
        <is>
          <t>Dissolution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Y</t>
        </is>
      </c>
      <c r="X227" s="5" t="n"/>
      <c r="Y227" s="5" t="n"/>
      <c r="Z227" s="5" t="n"/>
      <c r="AA227" s="5" t="n"/>
    </row>
    <row r="228">
      <c r="A228" s="10" t="inlineStr">
        <is>
          <t>F38</t>
        </is>
      </c>
      <c r="B228" s="10" t="inlineStr">
        <is>
          <t>FP</t>
        </is>
      </c>
      <c r="C228" s="10" t="inlineStr">
        <is>
          <t>Vitamin C 1000 mg  |  Ascorbic Acid Coated 97%</t>
        </is>
      </c>
      <c r="D228" s="10" t="inlineStr">
        <is>
          <t>Content uniformity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</row>
    <row r="229">
      <c r="A229" s="10" t="inlineStr">
        <is>
          <t>F38</t>
        </is>
      </c>
      <c r="B229" s="10" t="inlineStr">
        <is>
          <t>FP</t>
        </is>
      </c>
      <c r="C229" s="10" t="inlineStr">
        <is>
          <t>Vitamin C 1000 mg  |  Ascorbic Acid Coated 97%</t>
        </is>
      </c>
      <c r="D229" s="10" t="inlineStr">
        <is>
          <t>Identification (if separate from assay)</t>
        </is>
      </c>
      <c r="E229" s="10">
        <f>IF(A229="","",A229&amp;"|"&amp;D229)</f>
        <v/>
      </c>
      <c r="F229" s="5" t="inlineStr">
        <is>
          <t>N</t>
        </is>
      </c>
      <c r="G229" s="5" t="inlineStr">
        <is>
          <t>HPLC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</row>
    <row r="230">
      <c r="A230" s="10" t="inlineStr">
        <is>
          <t>F38</t>
        </is>
      </c>
      <c r="B230" s="10" t="inlineStr">
        <is>
          <t>FP</t>
        </is>
      </c>
      <c r="C230" s="10" t="inlineStr">
        <is>
          <t>Vitamin C 1000 mg  |  Ascorbic Acid Coated 97%</t>
        </is>
      </c>
      <c r="D230" s="10" t="inlineStr">
        <is>
          <t>Other tests (non-HPLC: physical, LOD/KF, disintegration, pH, micro...)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14">
        <f>IF(N230="","",IF(OR(M230="",O230=""),N230,(M230+4*N230+O230)/6))</f>
        <v/>
      </c>
      <c r="Q230" s="5" t="n"/>
      <c r="R230" s="5" t="n"/>
      <c r="S230" s="5" t="n"/>
      <c r="T230" s="5" t="n"/>
      <c r="U230" s="5" t="n"/>
      <c r="V230" s="15" t="n"/>
      <c r="W230" s="5" t="inlineStr">
        <is>
          <t>Y</t>
        </is>
      </c>
      <c r="X230" s="5" t="n"/>
      <c r="Y230" s="5" t="n"/>
      <c r="Z230" s="5" t="n"/>
      <c r="AA230" s="5" t="n"/>
    </row>
    <row r="231">
      <c r="A231" s="10" t="inlineStr">
        <is>
          <t>F39</t>
        </is>
      </c>
      <c r="B231" s="10" t="inlineStr">
        <is>
          <t>FP</t>
        </is>
      </c>
      <c r="C231" s="10" t="inlineStr">
        <is>
          <t>Magnesium Oxide  |  Magnesium Oxide Heavy</t>
        </is>
      </c>
      <c r="D231" s="10" t="inlineStr">
        <is>
          <t>Assay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HPLC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14">
        <f>IF(N231="","",IF(OR(M231="",O231=""),N231,(M231+4*N231+O231)/6))</f>
        <v/>
      </c>
      <c r="Q231" s="5" t="n"/>
      <c r="R231" s="5" t="n"/>
      <c r="S231" s="5" t="n"/>
      <c r="T231" s="5" t="n"/>
      <c r="U231" s="5" t="n"/>
      <c r="V231" s="15" t="n"/>
      <c r="W231" s="5" t="inlineStr">
        <is>
          <t>Y</t>
        </is>
      </c>
      <c r="X231" s="5" t="n"/>
      <c r="Y231" s="5" t="n"/>
      <c r="Z231" s="5" t="n"/>
      <c r="AA231" s="5" t="n"/>
    </row>
    <row r="232">
      <c r="A232" s="10" t="inlineStr">
        <is>
          <t>F39</t>
        </is>
      </c>
      <c r="B232" s="10" t="inlineStr">
        <is>
          <t>FP</t>
        </is>
      </c>
      <c r="C232" s="10" t="inlineStr">
        <is>
          <t>Magnesium Oxide  |  Magnesium Oxide Heavy</t>
        </is>
      </c>
      <c r="D232" s="10" t="inlineStr">
        <is>
          <t>Related substances / impurities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14">
        <f>IF(N232="","",IF(OR(M232="",O232=""),N232,(M232+4*N232+O232)/6))</f>
        <v/>
      </c>
      <c r="Q232" s="5" t="n"/>
      <c r="R232" s="5" t="n"/>
      <c r="S232" s="5" t="n"/>
      <c r="T232" s="5" t="n"/>
      <c r="U232" s="5" t="n"/>
      <c r="V232" s="15" t="n"/>
      <c r="W232" s="5" t="inlineStr">
        <is>
          <t>Y</t>
        </is>
      </c>
      <c r="X232" s="5" t="n"/>
      <c r="Y232" s="5" t="n"/>
      <c r="Z232" s="5" t="n"/>
      <c r="AA232" s="5" t="n"/>
    </row>
    <row r="233">
      <c r="A233" s="10" t="inlineStr">
        <is>
          <t>F39</t>
        </is>
      </c>
      <c r="B233" s="10" t="inlineStr">
        <is>
          <t>FP</t>
        </is>
      </c>
      <c r="C233" s="10" t="inlineStr">
        <is>
          <t>Magnesium Oxide  |  Magnesium Oxide Heavy</t>
        </is>
      </c>
      <c r="D233" s="10" t="inlineStr">
        <is>
          <t>Dissolution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14">
        <f>IF(N233="","",IF(OR(M233="",O233=""),N233,(M233+4*N233+O233)/6))</f>
        <v/>
      </c>
      <c r="Q233" s="5" t="n"/>
      <c r="R233" s="5" t="n"/>
      <c r="S233" s="5" t="n"/>
      <c r="T233" s="5" t="n"/>
      <c r="U233" s="5" t="n"/>
      <c r="V233" s="15" t="n"/>
      <c r="W233" s="5" t="inlineStr">
        <is>
          <t>Y</t>
        </is>
      </c>
      <c r="X233" s="5" t="n"/>
      <c r="Y233" s="5" t="n"/>
      <c r="Z233" s="5" t="n"/>
      <c r="AA233" s="5" t="n"/>
    </row>
    <row r="234">
      <c r="A234" s="10" t="inlineStr">
        <is>
          <t>F39</t>
        </is>
      </c>
      <c r="B234" s="10" t="inlineStr">
        <is>
          <t>FP</t>
        </is>
      </c>
      <c r="C234" s="10" t="inlineStr">
        <is>
          <t>Magnesium Oxide  |  Magnesium Oxide Heavy</t>
        </is>
      </c>
      <c r="D234" s="10" t="inlineStr">
        <is>
          <t>Content uniformity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N</t>
        </is>
      </c>
      <c r="X234" s="5" t="n"/>
      <c r="Y234" s="5" t="n"/>
      <c r="Z234" s="5" t="n"/>
      <c r="AA234" s="5" t="n"/>
    </row>
    <row r="235">
      <c r="A235" s="10" t="inlineStr">
        <is>
          <t>F39</t>
        </is>
      </c>
      <c r="B235" s="10" t="inlineStr">
        <is>
          <t>FP</t>
        </is>
      </c>
      <c r="C235" s="10" t="inlineStr">
        <is>
          <t>Magnesium Oxide  |  Magnesium Oxide Heavy</t>
        </is>
      </c>
      <c r="D235" s="10" t="inlineStr">
        <is>
          <t>Identification (if separate from assay)</t>
        </is>
      </c>
      <c r="E235" s="10">
        <f>IF(A235="","",A235&amp;"|"&amp;D235)</f>
        <v/>
      </c>
      <c r="F235" s="5" t="inlineStr">
        <is>
          <t>N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14">
        <f>IF(N235="","",IF(OR(M235="",O235=""),N235,(M235+4*N235+O235)/6))</f>
        <v/>
      </c>
      <c r="Q235" s="5" t="n"/>
      <c r="R235" s="5" t="n"/>
      <c r="S235" s="5" t="n"/>
      <c r="T235" s="5" t="n"/>
      <c r="U235" s="5" t="n"/>
      <c r="V235" s="15" t="n"/>
      <c r="W235" s="5" t="inlineStr">
        <is>
          <t>N</t>
        </is>
      </c>
      <c r="X235" s="5" t="n"/>
      <c r="Y235" s="5" t="n"/>
      <c r="Z235" s="5" t="n"/>
      <c r="AA235" s="5" t="n"/>
    </row>
    <row r="236">
      <c r="A236" s="10" t="inlineStr">
        <is>
          <t>F39</t>
        </is>
      </c>
      <c r="B236" s="10" t="inlineStr">
        <is>
          <t>FP</t>
        </is>
      </c>
      <c r="C236" s="10" t="inlineStr">
        <is>
          <t>Magnesium Oxide  |  Magnesium Oxide Heavy</t>
        </is>
      </c>
      <c r="D236" s="10" t="inlineStr">
        <is>
          <t>Other tests (non-HPLC: physical, LOD/KF, disintegration, pH, micro...)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Y</t>
        </is>
      </c>
      <c r="X236" s="5" t="n"/>
      <c r="Y236" s="5" t="n"/>
      <c r="Z236" s="5" t="n"/>
      <c r="AA236" s="5" t="n"/>
    </row>
    <row r="237">
      <c r="A237" s="10" t="inlineStr">
        <is>
          <t>F40</t>
        </is>
      </c>
      <c r="B237" s="10" t="inlineStr">
        <is>
          <t>FP</t>
        </is>
      </c>
      <c r="C237" s="10" t="inlineStr">
        <is>
          <t>Magni D  |  Magnesium Oxide Heavy, Thiamine Hydrochloride (Vitamin B1) (+2 more)</t>
        </is>
      </c>
      <c r="D237" s="10" t="inlineStr">
        <is>
          <t>Assay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HPLC</t>
        </is>
      </c>
      <c r="H237" s="5" t="inlineStr">
        <is>
          <t>High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14">
        <f>IF(N237="","",IF(OR(M237="",O237=""),N237,(M237+4*N237+O237)/6))</f>
        <v/>
      </c>
      <c r="Q237" s="5" t="n"/>
      <c r="R237" s="5" t="n"/>
      <c r="S237" s="5" t="n"/>
      <c r="T237" s="5" t="n"/>
      <c r="U237" s="5" t="n"/>
      <c r="V237" s="15" t="n"/>
      <c r="W237" s="5" t="inlineStr">
        <is>
          <t>Y</t>
        </is>
      </c>
      <c r="X237" s="5" t="n"/>
      <c r="Y237" s="5" t="n"/>
      <c r="Z237" s="5" t="inlineStr">
        <is>
          <t>Multi-active product: enter number of separate HPLC/AAS methods in col I</t>
        </is>
      </c>
      <c r="AA237" s="5" t="n"/>
    </row>
    <row r="238">
      <c r="A238" s="10" t="inlineStr">
        <is>
          <t>F40</t>
        </is>
      </c>
      <c r="B238" s="10" t="inlineStr">
        <is>
          <t>FP</t>
        </is>
      </c>
      <c r="C238" s="10" t="inlineStr">
        <is>
          <t>Magni D  |  Magnesium Oxide Heavy, Thiamine Hydrochloride (Vitamin B1) (+2 more)</t>
        </is>
      </c>
      <c r="D238" s="10" t="inlineStr">
        <is>
          <t>Related substances / impurities</t>
        </is>
      </c>
      <c r="E238" s="10">
        <f>IF(A238="","",A238&amp;"|"&amp;D238)</f>
        <v/>
      </c>
      <c r="F238" s="5" t="inlineStr">
        <is>
          <t>N</t>
        </is>
      </c>
      <c r="G238" s="5" t="inlineStr">
        <is>
          <t>HPLC</t>
        </is>
      </c>
      <c r="H238" s="5" t="inlineStr">
        <is>
          <t>High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14">
        <f>IF(N238="","",IF(OR(M238="",O238=""),N238,(M238+4*N238+O238)/6))</f>
        <v/>
      </c>
      <c r="Q238" s="5" t="n"/>
      <c r="R238" s="5" t="n"/>
      <c r="S238" s="5" t="n"/>
      <c r="T238" s="5" t="n"/>
      <c r="U238" s="5" t="n"/>
      <c r="V238" s="15" t="n"/>
      <c r="W238" s="5" t="inlineStr">
        <is>
          <t>Y</t>
        </is>
      </c>
      <c r="X238" s="5" t="n"/>
      <c r="Y238" s="5" t="n"/>
      <c r="Z238" s="5" t="n"/>
      <c r="AA238" s="5" t="n"/>
    </row>
    <row r="239">
      <c r="A239" s="10" t="inlineStr">
        <is>
          <t>F40</t>
        </is>
      </c>
      <c r="B239" s="10" t="inlineStr">
        <is>
          <t>FP</t>
        </is>
      </c>
      <c r="C239" s="10" t="inlineStr">
        <is>
          <t>Magni D  |  Magnesium Oxide Heavy, Thiamine Hydrochloride (Vitamin B1) (+2 more)</t>
        </is>
      </c>
      <c r="D239" s="10" t="inlineStr">
        <is>
          <t>Dissolution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HPLC</t>
        </is>
      </c>
      <c r="H239" s="5" t="inlineStr">
        <is>
          <t>High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14">
        <f>IF(N239="","",IF(OR(M239="",O239=""),N239,(M239+4*N239+O239)/6))</f>
        <v/>
      </c>
      <c r="Q239" s="5" t="n"/>
      <c r="R239" s="5" t="n"/>
      <c r="S239" s="5" t="n"/>
      <c r="T239" s="5" t="n"/>
      <c r="U239" s="5" t="n"/>
      <c r="V239" s="15" t="n"/>
      <c r="W239" s="5" t="inlineStr">
        <is>
          <t>Y</t>
        </is>
      </c>
      <c r="X239" s="5" t="n"/>
      <c r="Y239" s="5" t="n"/>
      <c r="Z239" s="5" t="n"/>
      <c r="AA239" s="5" t="n"/>
    </row>
    <row r="240">
      <c r="A240" s="10" t="inlineStr">
        <is>
          <t>F40</t>
        </is>
      </c>
      <c r="B240" s="10" t="inlineStr">
        <is>
          <t>FP</t>
        </is>
      </c>
      <c r="C240" s="10" t="inlineStr">
        <is>
          <t>Magni D  |  Magnesium Oxide Heavy, Thiamine Hydrochloride (Vitamin B1) (+2 more)</t>
        </is>
      </c>
      <c r="D240" s="10" t="inlineStr">
        <is>
          <t>Content uniformity</t>
        </is>
      </c>
      <c r="E240" s="10">
        <f>IF(A240="","",A240&amp;"|"&amp;D240)</f>
        <v/>
      </c>
      <c r="F240" s="5" t="inlineStr">
        <is>
          <t>N</t>
        </is>
      </c>
      <c r="G240" s="5" t="inlineStr">
        <is>
          <t>HPLC</t>
        </is>
      </c>
      <c r="H240" s="5" t="inlineStr">
        <is>
          <t>High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14">
        <f>IF(N240="","",IF(OR(M240="",O240=""),N240,(M240+4*N240+O240)/6))</f>
        <v/>
      </c>
      <c r="Q240" s="5" t="n"/>
      <c r="R240" s="5" t="n"/>
      <c r="S240" s="5" t="n"/>
      <c r="T240" s="5" t="n"/>
      <c r="U240" s="5" t="n"/>
      <c r="V240" s="15" t="n"/>
      <c r="W240" s="5" t="inlineStr">
        <is>
          <t>N</t>
        </is>
      </c>
      <c r="X240" s="5" t="n"/>
      <c r="Y240" s="5" t="n"/>
      <c r="Z240" s="5" t="n"/>
      <c r="AA240" s="5" t="n"/>
    </row>
    <row r="241">
      <c r="A241" s="10" t="inlineStr">
        <is>
          <t>F40</t>
        </is>
      </c>
      <c r="B241" s="10" t="inlineStr">
        <is>
          <t>FP</t>
        </is>
      </c>
      <c r="C241" s="10" t="inlineStr">
        <is>
          <t>Magni D  |  Magnesium Oxide Heavy, Thiamine Hydrochloride (Vitamin B1) (+2 more)</t>
        </is>
      </c>
      <c r="D241" s="10" t="inlineStr">
        <is>
          <t>Identification (if separate from assay)</t>
        </is>
      </c>
      <c r="E241" s="10">
        <f>IF(A241="","",A241&amp;"|"&amp;D241)</f>
        <v/>
      </c>
      <c r="F241" s="5" t="inlineStr">
        <is>
          <t>N</t>
        </is>
      </c>
      <c r="G241" s="5" t="inlineStr">
        <is>
          <t>HPLC</t>
        </is>
      </c>
      <c r="H241" s="5" t="inlineStr">
        <is>
          <t>High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14">
        <f>IF(N241="","",IF(OR(M241="",O241=""),N241,(M241+4*N241+O241)/6))</f>
        <v/>
      </c>
      <c r="Q241" s="5" t="n"/>
      <c r="R241" s="5" t="n"/>
      <c r="S241" s="5" t="n"/>
      <c r="T241" s="5" t="n"/>
      <c r="U241" s="5" t="n"/>
      <c r="V241" s="15" t="n"/>
      <c r="W241" s="5" t="inlineStr">
        <is>
          <t>N</t>
        </is>
      </c>
      <c r="X241" s="5" t="n"/>
      <c r="Y241" s="5" t="n"/>
      <c r="Z241" s="5" t="n"/>
      <c r="AA241" s="5" t="n"/>
    </row>
    <row r="242">
      <c r="A242" s="10" t="inlineStr">
        <is>
          <t>F40</t>
        </is>
      </c>
      <c r="B242" s="10" t="inlineStr">
        <is>
          <t>FP</t>
        </is>
      </c>
      <c r="C242" s="10" t="inlineStr">
        <is>
          <t>Magni D  |  Magnesium Oxide Heavy, Thiamine Hydrochloride (Vitamin B1) (+2 more)</t>
        </is>
      </c>
      <c r="D242" s="10" t="inlineStr">
        <is>
          <t>Other tests (non-HPLC: physical, LOD/KF, disintegration, pH, micro...)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Other / bench</t>
        </is>
      </c>
      <c r="H242" s="5" t="inlineStr">
        <is>
          <t>High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14">
        <f>IF(N242="","",IF(OR(M242="",O242=""),N242,(M242+4*N242+O242)/6))</f>
        <v/>
      </c>
      <c r="Q242" s="5" t="n"/>
      <c r="R242" s="5" t="n"/>
      <c r="S242" s="5" t="n"/>
      <c r="T242" s="5" t="n"/>
      <c r="U242" s="5" t="n"/>
      <c r="V242" s="15" t="n"/>
      <c r="W242" s="5" t="inlineStr">
        <is>
          <t>Y</t>
        </is>
      </c>
      <c r="X242" s="5" t="n"/>
      <c r="Y242" s="5" t="n"/>
      <c r="Z242" s="5" t="n"/>
      <c r="AA242" s="5" t="n"/>
    </row>
    <row r="243">
      <c r="A243" s="10" t="inlineStr">
        <is>
          <t>F41</t>
        </is>
      </c>
      <c r="B243" s="10" t="inlineStr">
        <is>
          <t>FP</t>
        </is>
      </c>
      <c r="C243" s="10" t="inlineStr">
        <is>
          <t>Sweet Sleep  |  actives TBD: Sweet Sleep</t>
        </is>
      </c>
      <c r="D243" s="10" t="inlineStr">
        <is>
          <t>Assay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HPLC</t>
        </is>
      </c>
      <c r="H243" s="5" t="inlineStr">
        <is>
          <t>Medium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14">
        <f>IF(N243="","",IF(OR(M243="",O243=""),N243,(M243+4*N243+O243)/6))</f>
        <v/>
      </c>
      <c r="Q243" s="5" t="n"/>
      <c r="R243" s="5" t="n"/>
      <c r="S243" s="5" t="n"/>
      <c r="T243" s="5" t="n"/>
      <c r="U243" s="5" t="n"/>
      <c r="V243" s="15" t="n"/>
      <c r="W243" s="5" t="inlineStr">
        <is>
          <t>Y</t>
        </is>
      </c>
      <c r="X243" s="5" t="n"/>
      <c r="Y243" s="5" t="n"/>
      <c r="Z243" s="5" t="inlineStr">
        <is>
          <t>Actives not on record – confirm tests</t>
        </is>
      </c>
      <c r="AA243" s="5" t="n"/>
    </row>
    <row r="244">
      <c r="A244" s="10" t="inlineStr">
        <is>
          <t>F41</t>
        </is>
      </c>
      <c r="B244" s="10" t="inlineStr">
        <is>
          <t>FP</t>
        </is>
      </c>
      <c r="C244" s="10" t="inlineStr">
        <is>
          <t>Sweet Sleep  |  actives TBD: Sweet Sleep</t>
        </is>
      </c>
      <c r="D244" s="10" t="inlineStr">
        <is>
          <t>Related substances / impurities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HPLC</t>
        </is>
      </c>
      <c r="H244" s="5" t="inlineStr">
        <is>
          <t>Medium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14">
        <f>IF(N244="","",IF(OR(M244="",O244=""),N244,(M244+4*N244+O244)/6))</f>
        <v/>
      </c>
      <c r="Q244" s="5" t="n"/>
      <c r="R244" s="5" t="n"/>
      <c r="S244" s="5" t="n"/>
      <c r="T244" s="5" t="n"/>
      <c r="U244" s="5" t="n"/>
      <c r="V244" s="15" t="n"/>
      <c r="W244" s="5" t="inlineStr">
        <is>
          <t>Y</t>
        </is>
      </c>
      <c r="X244" s="5" t="n"/>
      <c r="Y244" s="5" t="n"/>
      <c r="Z244" s="5" t="inlineStr">
        <is>
          <t>Actives not on record – confirm tests</t>
        </is>
      </c>
      <c r="AA244" s="5" t="n"/>
    </row>
    <row r="245">
      <c r="A245" s="10" t="inlineStr">
        <is>
          <t>F41</t>
        </is>
      </c>
      <c r="B245" s="10" t="inlineStr">
        <is>
          <t>FP</t>
        </is>
      </c>
      <c r="C245" s="10" t="inlineStr">
        <is>
          <t>Sweet Sleep  |  actives TBD: Sweet Sleep</t>
        </is>
      </c>
      <c r="D245" s="10" t="inlineStr">
        <is>
          <t>Dissolution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HPLC</t>
        </is>
      </c>
      <c r="H245" s="5" t="inlineStr">
        <is>
          <t>Medium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14">
        <f>IF(N245="","",IF(OR(M245="",O245=""),N245,(M245+4*N245+O245)/6))</f>
        <v/>
      </c>
      <c r="Q245" s="5" t="n"/>
      <c r="R245" s="5" t="n"/>
      <c r="S245" s="5" t="n"/>
      <c r="T245" s="5" t="n"/>
      <c r="U245" s="5" t="n"/>
      <c r="V245" s="15" t="n"/>
      <c r="W245" s="5" t="inlineStr">
        <is>
          <t>Y</t>
        </is>
      </c>
      <c r="X245" s="5" t="n"/>
      <c r="Y245" s="5" t="n"/>
      <c r="Z245" s="5" t="inlineStr">
        <is>
          <t>Actives not on record – confirm tests</t>
        </is>
      </c>
      <c r="AA245" s="5" t="n"/>
    </row>
    <row r="246">
      <c r="A246" s="10" t="inlineStr">
        <is>
          <t>F41</t>
        </is>
      </c>
      <c r="B246" s="10" t="inlineStr">
        <is>
          <t>FP</t>
        </is>
      </c>
      <c r="C246" s="10" t="inlineStr">
        <is>
          <t>Sweet Sleep  |  actives TBD: Sweet Sleep</t>
        </is>
      </c>
      <c r="D246" s="10" t="inlineStr">
        <is>
          <t>Content uniformity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HPLC</t>
        </is>
      </c>
      <c r="H246" s="5" t="inlineStr">
        <is>
          <t>Medium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14">
        <f>IF(N246="","",IF(OR(M246="",O246=""),N246,(M246+4*N246+O246)/6))</f>
        <v/>
      </c>
      <c r="Q246" s="5" t="n"/>
      <c r="R246" s="5" t="n"/>
      <c r="S246" s="5" t="n"/>
      <c r="T246" s="5" t="n"/>
      <c r="U246" s="5" t="n"/>
      <c r="V246" s="15" t="n"/>
      <c r="W246" s="5" t="inlineStr">
        <is>
          <t>N</t>
        </is>
      </c>
      <c r="X246" s="5" t="n"/>
      <c r="Y246" s="5" t="n"/>
      <c r="Z246" s="5" t="inlineStr">
        <is>
          <t>Actives not on record – confirm tests</t>
        </is>
      </c>
      <c r="AA246" s="5" t="n"/>
    </row>
    <row r="247">
      <c r="A247" s="10" t="inlineStr">
        <is>
          <t>F41</t>
        </is>
      </c>
      <c r="B247" s="10" t="inlineStr">
        <is>
          <t>FP</t>
        </is>
      </c>
      <c r="C247" s="10" t="inlineStr">
        <is>
          <t>Sweet Sleep  |  actives TBD: Sweet Sleep</t>
        </is>
      </c>
      <c r="D247" s="10" t="inlineStr">
        <is>
          <t>Identification (if separate from assay)</t>
        </is>
      </c>
      <c r="E247" s="10">
        <f>IF(A247="","",A247&amp;"|"&amp;D247)</f>
        <v/>
      </c>
      <c r="F247" s="5" t="inlineStr">
        <is>
          <t>N</t>
        </is>
      </c>
      <c r="G247" s="5" t="inlineStr">
        <is>
          <t>HPLC</t>
        </is>
      </c>
      <c r="H247" s="5" t="inlineStr">
        <is>
          <t>Medium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inlineStr">
        <is>
          <t>Actives not on record – confirm tests</t>
        </is>
      </c>
      <c r="AA247" s="5" t="n"/>
    </row>
    <row r="248">
      <c r="A248" s="10" t="inlineStr">
        <is>
          <t>F41</t>
        </is>
      </c>
      <c r="B248" s="10" t="inlineStr">
        <is>
          <t>FP</t>
        </is>
      </c>
      <c r="C248" s="10" t="inlineStr">
        <is>
          <t>Sweet Sleep  |  actives TBD: Sweet Sleep</t>
        </is>
      </c>
      <c r="D248" s="10" t="inlineStr">
        <is>
          <t>Other tests (non-HPLC: physical, LOD/KF, disintegration, pH, micro...)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Other / bench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Y</t>
        </is>
      </c>
      <c r="X248" s="5" t="n"/>
      <c r="Y248" s="5" t="n"/>
      <c r="Z248" s="5" t="inlineStr">
        <is>
          <t>Actives not on record – confirm tests</t>
        </is>
      </c>
      <c r="AA248" s="5" t="n"/>
    </row>
    <row r="249">
      <c r="A249" s="10" t="inlineStr">
        <is>
          <t>F42</t>
        </is>
      </c>
      <c r="B249" s="10" t="inlineStr">
        <is>
          <t>FP</t>
        </is>
      </c>
      <c r="C249" s="10" t="inlineStr">
        <is>
          <t>Ferrikid  |  actives TBD: Ferrikid</t>
        </is>
      </c>
      <c r="D249" s="10" t="inlineStr">
        <is>
          <t>Assay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HPLC</t>
        </is>
      </c>
      <c r="H249" s="5" t="inlineStr">
        <is>
          <t>Medium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Y</t>
        </is>
      </c>
      <c r="X249" s="5" t="n"/>
      <c r="Y249" s="5" t="n"/>
      <c r="Z249" s="5" t="inlineStr">
        <is>
          <t>Actives not on record – confirm tests</t>
        </is>
      </c>
      <c r="AA249" s="5" t="n"/>
    </row>
    <row r="250">
      <c r="A250" s="10" t="inlineStr">
        <is>
          <t>F42</t>
        </is>
      </c>
      <c r="B250" s="10" t="inlineStr">
        <is>
          <t>FP</t>
        </is>
      </c>
      <c r="C250" s="10" t="inlineStr">
        <is>
          <t>Ferrikid  |  actives TBD: Ferrikid</t>
        </is>
      </c>
      <c r="D250" s="10" t="inlineStr">
        <is>
          <t>Related substances / impurities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Y</t>
        </is>
      </c>
      <c r="X250" s="5" t="n"/>
      <c r="Y250" s="5" t="n"/>
      <c r="Z250" s="5" t="inlineStr">
        <is>
          <t>Actives not on record – confirm tests</t>
        </is>
      </c>
      <c r="AA250" s="5" t="n"/>
    </row>
    <row r="251">
      <c r="A251" s="10" t="inlineStr">
        <is>
          <t>F42</t>
        </is>
      </c>
      <c r="B251" s="10" t="inlineStr">
        <is>
          <t>FP</t>
        </is>
      </c>
      <c r="C251" s="10" t="inlineStr">
        <is>
          <t>Ferrikid  |  actives TBD: Ferrikid</t>
        </is>
      </c>
      <c r="D251" s="10" t="inlineStr">
        <is>
          <t>Dissolution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Y</t>
        </is>
      </c>
      <c r="X251" s="5" t="n"/>
      <c r="Y251" s="5" t="n"/>
      <c r="Z251" s="5" t="inlineStr">
        <is>
          <t>Actives not on record – confirm tests</t>
        </is>
      </c>
      <c r="AA251" s="5" t="n"/>
    </row>
    <row r="252">
      <c r="A252" s="10" t="inlineStr">
        <is>
          <t>F42</t>
        </is>
      </c>
      <c r="B252" s="10" t="inlineStr">
        <is>
          <t>FP</t>
        </is>
      </c>
      <c r="C252" s="10" t="inlineStr">
        <is>
          <t>Ferrikid  |  actives TBD: Ferrikid</t>
        </is>
      </c>
      <c r="D252" s="10" t="inlineStr">
        <is>
          <t>Content uniformity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14">
        <f>IF(N252="","",IF(OR(M252="",O252=""),N252,(M252+4*N252+O252)/6))</f>
        <v/>
      </c>
      <c r="Q252" s="5" t="n"/>
      <c r="R252" s="5" t="n"/>
      <c r="S252" s="5" t="n"/>
      <c r="T252" s="5" t="n"/>
      <c r="U252" s="5" t="n"/>
      <c r="V252" s="15" t="n"/>
      <c r="W252" s="5" t="inlineStr">
        <is>
          <t>N</t>
        </is>
      </c>
      <c r="X252" s="5" t="n"/>
      <c r="Y252" s="5" t="n"/>
      <c r="Z252" s="5" t="inlineStr">
        <is>
          <t>Actives not on record – confirm tests</t>
        </is>
      </c>
      <c r="AA252" s="5" t="n"/>
    </row>
    <row r="253">
      <c r="A253" s="10" t="inlineStr">
        <is>
          <t>F42</t>
        </is>
      </c>
      <c r="B253" s="10" t="inlineStr">
        <is>
          <t>FP</t>
        </is>
      </c>
      <c r="C253" s="10" t="inlineStr">
        <is>
          <t>Ferrikid  |  actives TBD: Ferrikid</t>
        </is>
      </c>
      <c r="D253" s="10" t="inlineStr">
        <is>
          <t>Identification (if separate from assay)</t>
        </is>
      </c>
      <c r="E253" s="10">
        <f>IF(A253="","",A253&amp;"|"&amp;D253)</f>
        <v/>
      </c>
      <c r="F253" s="5" t="inlineStr">
        <is>
          <t>N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14">
        <f>IF(N253="","",IF(OR(M253="",O253=""),N253,(M253+4*N253+O253)/6))</f>
        <v/>
      </c>
      <c r="Q253" s="5" t="n"/>
      <c r="R253" s="5" t="n"/>
      <c r="S253" s="5" t="n"/>
      <c r="T253" s="5" t="n"/>
      <c r="U253" s="5" t="n"/>
      <c r="V253" s="15" t="n"/>
      <c r="W253" s="5" t="inlineStr">
        <is>
          <t>N</t>
        </is>
      </c>
      <c r="X253" s="5" t="n"/>
      <c r="Y253" s="5" t="n"/>
      <c r="Z253" s="5" t="inlineStr">
        <is>
          <t>Actives not on record – confirm tests</t>
        </is>
      </c>
      <c r="AA253" s="5" t="n"/>
    </row>
    <row r="254">
      <c r="A254" s="10" t="inlineStr">
        <is>
          <t>F42</t>
        </is>
      </c>
      <c r="B254" s="10" t="inlineStr">
        <is>
          <t>FP</t>
        </is>
      </c>
      <c r="C254" s="10" t="inlineStr">
        <is>
          <t>Ferrikid  |  actives TBD: Ferrikid</t>
        </is>
      </c>
      <c r="D254" s="10" t="inlineStr">
        <is>
          <t>Other tests (non-HPLC: physical, LOD/KF, disintegration, pH, micro...)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Other / bench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14">
        <f>IF(N254="","",IF(OR(M254="",O254=""),N254,(M254+4*N254+O254)/6))</f>
        <v/>
      </c>
      <c r="Q254" s="5" t="n"/>
      <c r="R254" s="5" t="n"/>
      <c r="S254" s="5" t="n"/>
      <c r="T254" s="5" t="n"/>
      <c r="U254" s="5" t="n"/>
      <c r="V254" s="15" t="n"/>
      <c r="W254" s="5" t="inlineStr">
        <is>
          <t>Y</t>
        </is>
      </c>
      <c r="X254" s="5" t="n"/>
      <c r="Y254" s="5" t="n"/>
      <c r="Z254" s="5" t="inlineStr">
        <is>
          <t>Actives not on record – confirm tests</t>
        </is>
      </c>
      <c r="AA254" s="5" t="n"/>
    </row>
    <row r="255">
      <c r="A255" s="10" t="inlineStr">
        <is>
          <t>F43</t>
        </is>
      </c>
      <c r="B255" s="10" t="inlineStr">
        <is>
          <t>FP</t>
        </is>
      </c>
      <c r="C255" s="10" t="inlineStr">
        <is>
          <t>Painlys  |  Ginger Dry Extract 5:1, Devil's Claw Dry Extract 6:1 (+1 more)</t>
        </is>
      </c>
      <c r="D255" s="10" t="inlineStr">
        <is>
          <t>Assay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Y</t>
        </is>
      </c>
      <c r="X255" s="5" t="n"/>
      <c r="Y255" s="5" t="n"/>
      <c r="Z255" s="5" t="n"/>
      <c r="AA255" s="5" t="n"/>
    </row>
    <row r="256">
      <c r="A256" s="10" t="inlineStr">
        <is>
          <t>F43</t>
        </is>
      </c>
      <c r="B256" s="10" t="inlineStr">
        <is>
          <t>FP</t>
        </is>
      </c>
      <c r="C256" s="10" t="inlineStr">
        <is>
          <t>Painlys  |  Ginger Dry Extract 5:1, Devil's Claw Dry Extract 6:1 (+1 more)</t>
        </is>
      </c>
      <c r="D256" s="10" t="inlineStr">
        <is>
          <t>Related substances / impurities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14">
        <f>IF(N256="","",IF(OR(M256="",O256=""),N256,(M256+4*N256+O256)/6))</f>
        <v/>
      </c>
      <c r="Q256" s="5" t="n"/>
      <c r="R256" s="5" t="n"/>
      <c r="S256" s="5" t="n"/>
      <c r="T256" s="5" t="n"/>
      <c r="U256" s="5" t="n"/>
      <c r="V256" s="15" t="n"/>
      <c r="W256" s="5" t="inlineStr">
        <is>
          <t>Y</t>
        </is>
      </c>
      <c r="X256" s="5" t="n"/>
      <c r="Y256" s="5" t="n"/>
      <c r="Z256" s="5" t="n"/>
      <c r="AA256" s="5" t="n"/>
    </row>
    <row r="257">
      <c r="A257" s="10" t="inlineStr">
        <is>
          <t>F43</t>
        </is>
      </c>
      <c r="B257" s="10" t="inlineStr">
        <is>
          <t>FP</t>
        </is>
      </c>
      <c r="C257" s="10" t="inlineStr">
        <is>
          <t>Painlys  |  Ginger Dry Extract 5:1, Devil's Claw Dry Extract 6:1 (+1 more)</t>
        </is>
      </c>
      <c r="D257" s="10" t="inlineStr">
        <is>
          <t>Dissolution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Y</t>
        </is>
      </c>
      <c r="X257" s="5" t="n"/>
      <c r="Y257" s="5" t="n"/>
      <c r="Z257" s="5" t="n"/>
      <c r="AA257" s="5" t="n"/>
    </row>
    <row r="258">
      <c r="A258" s="10" t="inlineStr">
        <is>
          <t>F43</t>
        </is>
      </c>
      <c r="B258" s="10" t="inlineStr">
        <is>
          <t>FP</t>
        </is>
      </c>
      <c r="C258" s="10" t="inlineStr">
        <is>
          <t>Painlys  |  Ginger Dry Extract 5:1, Devil's Claw Dry Extract 6:1 (+1 more)</t>
        </is>
      </c>
      <c r="D258" s="10" t="inlineStr">
        <is>
          <t>Content uniformity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</row>
    <row r="259">
      <c r="A259" s="10" t="inlineStr">
        <is>
          <t>F43</t>
        </is>
      </c>
      <c r="B259" s="10" t="inlineStr">
        <is>
          <t>FP</t>
        </is>
      </c>
      <c r="C259" s="10" t="inlineStr">
        <is>
          <t>Painlys  |  Ginger Dry Extract 5:1, Devil's Claw Dry Extract 6:1 (+1 more)</t>
        </is>
      </c>
      <c r="D259" s="10" t="inlineStr">
        <is>
          <t>Identification (if separate from assay)</t>
        </is>
      </c>
      <c r="E259" s="10">
        <f>IF(A259="","",A259&amp;"|"&amp;D259)</f>
        <v/>
      </c>
      <c r="F259" s="5" t="inlineStr">
        <is>
          <t>N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14">
        <f>IF(N259="","",IF(OR(M259="",O259=""),N259,(M259+4*N259+O259)/6))</f>
        <v/>
      </c>
      <c r="Q259" s="5" t="n"/>
      <c r="R259" s="5" t="n"/>
      <c r="S259" s="5" t="n"/>
      <c r="T259" s="5" t="n"/>
      <c r="U259" s="5" t="n"/>
      <c r="V259" s="15" t="n"/>
      <c r="W259" s="5" t="inlineStr">
        <is>
          <t>N</t>
        </is>
      </c>
      <c r="X259" s="5" t="n"/>
      <c r="Y259" s="5" t="n"/>
      <c r="Z259" s="5" t="n"/>
      <c r="AA259" s="5" t="n"/>
    </row>
    <row r="260">
      <c r="A260" s="10" t="inlineStr">
        <is>
          <t>F43</t>
        </is>
      </c>
      <c r="B260" s="10" t="inlineStr">
        <is>
          <t>FP</t>
        </is>
      </c>
      <c r="C260" s="10" t="inlineStr">
        <is>
          <t>Painlys  |  Ginger Dry Extract 5:1, Devil's Claw Dry Extract 6:1 (+1 more)</t>
        </is>
      </c>
      <c r="D260" s="10" t="inlineStr">
        <is>
          <t>Other tests (non-HPLC: physical, LOD/KF, disintegration, pH, micro...)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Other / bench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14">
        <f>IF(N260="","",IF(OR(M260="",O260=""),N260,(M260+4*N260+O260)/6))</f>
        <v/>
      </c>
      <c r="Q260" s="5" t="n"/>
      <c r="R260" s="5" t="n"/>
      <c r="S260" s="5" t="n"/>
      <c r="T260" s="5" t="n"/>
      <c r="U260" s="5" t="n"/>
      <c r="V260" s="15" t="n"/>
      <c r="W260" s="5" t="inlineStr">
        <is>
          <t>Y</t>
        </is>
      </c>
      <c r="X260" s="5" t="n"/>
      <c r="Y260" s="5" t="n"/>
      <c r="Z260" s="5" t="n"/>
      <c r="AA260" s="5" t="n"/>
    </row>
    <row r="261">
      <c r="A261" s="10" t="inlineStr">
        <is>
          <t>F44</t>
        </is>
      </c>
      <c r="B261" s="10" t="inlineStr">
        <is>
          <t>FP</t>
        </is>
      </c>
      <c r="C261" s="10" t="inlineStr">
        <is>
          <t>Feroral Premium  |  Ferrous Bisglycinate, Folic Acid (Vitamin B9) (+2 more)</t>
        </is>
      </c>
      <c r="D261" s="10" t="inlineStr">
        <is>
          <t>Assay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HPLC</t>
        </is>
      </c>
      <c r="H261" s="5" t="inlineStr">
        <is>
          <t>High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14">
        <f>IF(N261="","",IF(OR(M261="",O261=""),N261,(M261+4*N261+O261)/6))</f>
        <v/>
      </c>
      <c r="Q261" s="5" t="n"/>
      <c r="R261" s="5" t="n"/>
      <c r="S261" s="5" t="n"/>
      <c r="T261" s="5" t="n"/>
      <c r="U261" s="5" t="n"/>
      <c r="V261" s="15" t="n"/>
      <c r="W261" s="5" t="inlineStr">
        <is>
          <t>Y</t>
        </is>
      </c>
      <c r="X261" s="5" t="n"/>
      <c r="Y261" s="5" t="n"/>
      <c r="Z261" s="5" t="inlineStr">
        <is>
          <t>Multi-active product: enter number of separate HPLC/AAS methods in col I</t>
        </is>
      </c>
      <c r="AA261" s="5" t="n"/>
    </row>
    <row r="262">
      <c r="A262" s="10" t="inlineStr">
        <is>
          <t>F44</t>
        </is>
      </c>
      <c r="B262" s="10" t="inlineStr">
        <is>
          <t>FP</t>
        </is>
      </c>
      <c r="C262" s="10" t="inlineStr">
        <is>
          <t>Feroral Premium  |  Ferrous Bisglycinate, Folic Acid (Vitamin B9) (+2 more)</t>
        </is>
      </c>
      <c r="D262" s="10" t="inlineStr">
        <is>
          <t>Related substances / impurities</t>
        </is>
      </c>
      <c r="E262" s="10">
        <f>IF(A262="","",A262&amp;"|"&amp;D262)</f>
        <v/>
      </c>
      <c r="F262" s="5" t="inlineStr">
        <is>
          <t>N</t>
        </is>
      </c>
      <c r="G262" s="5" t="inlineStr">
        <is>
          <t>HPLC</t>
        </is>
      </c>
      <c r="H262" s="5" t="inlineStr">
        <is>
          <t>High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Y</t>
        </is>
      </c>
      <c r="X262" s="5" t="n"/>
      <c r="Y262" s="5" t="n"/>
      <c r="Z262" s="5" t="n"/>
      <c r="AA262" s="5" t="n"/>
    </row>
    <row r="263">
      <c r="A263" s="10" t="inlineStr">
        <is>
          <t>F44</t>
        </is>
      </c>
      <c r="B263" s="10" t="inlineStr">
        <is>
          <t>FP</t>
        </is>
      </c>
      <c r="C263" s="10" t="inlineStr">
        <is>
          <t>Feroral Premium  |  Ferrous Bisglycinate, Folic Acid (Vitamin B9) (+2 more)</t>
        </is>
      </c>
      <c r="D263" s="10" t="inlineStr">
        <is>
          <t>Dissolution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HPLC</t>
        </is>
      </c>
      <c r="H263" s="5" t="inlineStr">
        <is>
          <t>High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14">
        <f>IF(N263="","",IF(OR(M263="",O263=""),N263,(M263+4*N263+O263)/6))</f>
        <v/>
      </c>
      <c r="Q263" s="5" t="n"/>
      <c r="R263" s="5" t="n"/>
      <c r="S263" s="5" t="n"/>
      <c r="T263" s="5" t="n"/>
      <c r="U263" s="5" t="n"/>
      <c r="V263" s="15" t="n"/>
      <c r="W263" s="5" t="inlineStr">
        <is>
          <t>Y</t>
        </is>
      </c>
      <c r="X263" s="5" t="n"/>
      <c r="Y263" s="5" t="n"/>
      <c r="Z263" s="5" t="n"/>
      <c r="AA263" s="5" t="n"/>
    </row>
    <row r="264">
      <c r="A264" s="10" t="inlineStr">
        <is>
          <t>F44</t>
        </is>
      </c>
      <c r="B264" s="10" t="inlineStr">
        <is>
          <t>FP</t>
        </is>
      </c>
      <c r="C264" s="10" t="inlineStr">
        <is>
          <t>Feroral Premium  |  Ferrous Bisglycinate, Folic Acid (Vitamin B9) (+2 more)</t>
        </is>
      </c>
      <c r="D264" s="10" t="inlineStr">
        <is>
          <t>Content uniformity</t>
        </is>
      </c>
      <c r="E264" s="10">
        <f>IF(A264="","",A264&amp;"|"&amp;D264)</f>
        <v/>
      </c>
      <c r="F264" s="5" t="inlineStr">
        <is>
          <t>N</t>
        </is>
      </c>
      <c r="G264" s="5" t="inlineStr">
        <is>
          <t>HPLC</t>
        </is>
      </c>
      <c r="H264" s="5" t="inlineStr">
        <is>
          <t>High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14">
        <f>IF(N264="","",IF(OR(M264="",O264=""),N264,(M264+4*N264+O264)/6))</f>
        <v/>
      </c>
      <c r="Q264" s="5" t="n"/>
      <c r="R264" s="5" t="n"/>
      <c r="S264" s="5" t="n"/>
      <c r="T264" s="5" t="n"/>
      <c r="U264" s="5" t="n"/>
      <c r="V264" s="15" t="n"/>
      <c r="W264" s="5" t="inlineStr">
        <is>
          <t>N</t>
        </is>
      </c>
      <c r="X264" s="5" t="n"/>
      <c r="Y264" s="5" t="n"/>
      <c r="Z264" s="5" t="n"/>
      <c r="AA264" s="5" t="n"/>
    </row>
    <row r="265">
      <c r="A265" s="10" t="inlineStr">
        <is>
          <t>F44</t>
        </is>
      </c>
      <c r="B265" s="10" t="inlineStr">
        <is>
          <t>FP</t>
        </is>
      </c>
      <c r="C265" s="10" t="inlineStr">
        <is>
          <t>Feroral Premium  |  Ferrous Bisglycinate, Folic Acid (Vitamin B9) (+2 more)</t>
        </is>
      </c>
      <c r="D265" s="10" t="inlineStr">
        <is>
          <t>Identification (if separate from assay)</t>
        </is>
      </c>
      <c r="E265" s="10">
        <f>IF(A265="","",A265&amp;"|"&amp;D265)</f>
        <v/>
      </c>
      <c r="F265" s="5" t="inlineStr">
        <is>
          <t>N</t>
        </is>
      </c>
      <c r="G265" s="5" t="inlineStr">
        <is>
          <t>HPLC</t>
        </is>
      </c>
      <c r="H265" s="5" t="inlineStr">
        <is>
          <t>High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</row>
    <row r="266">
      <c r="A266" s="10" t="inlineStr">
        <is>
          <t>F44</t>
        </is>
      </c>
      <c r="B266" s="10" t="inlineStr">
        <is>
          <t>FP</t>
        </is>
      </c>
      <c r="C266" s="10" t="inlineStr">
        <is>
          <t>Feroral Premium  |  Ferrous Bisglycinate, Folic Acid (Vitamin B9) (+2 more)</t>
        </is>
      </c>
      <c r="D266" s="10" t="inlineStr">
        <is>
          <t>Other tests (non-HPLC: physical, LOD/KF, disintegration, pH, micro...)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Other / bench</t>
        </is>
      </c>
      <c r="H266" s="5" t="inlineStr">
        <is>
          <t>High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14">
        <f>IF(N266="","",IF(OR(M266="",O266=""),N266,(M266+4*N266+O266)/6))</f>
        <v/>
      </c>
      <c r="Q266" s="5" t="n"/>
      <c r="R266" s="5" t="n"/>
      <c r="S266" s="5" t="n"/>
      <c r="T266" s="5" t="n"/>
      <c r="U266" s="5" t="n"/>
      <c r="V266" s="15" t="n"/>
      <c r="W266" s="5" t="inlineStr">
        <is>
          <t>Y</t>
        </is>
      </c>
      <c r="X266" s="5" t="n"/>
      <c r="Y266" s="5" t="n"/>
      <c r="Z266" s="5" t="n"/>
      <c r="AA266" s="5" t="n"/>
    </row>
    <row r="267">
      <c r="A267" s="10" t="inlineStr">
        <is>
          <t>F45</t>
        </is>
      </c>
      <c r="B267" s="10" t="inlineStr">
        <is>
          <t>FP</t>
        </is>
      </c>
      <c r="C267" s="10" t="inlineStr">
        <is>
          <t>Ginc Active  |  Ginkgo Biloba Leaf Dry Extract 50:1, Calcium Carbonate Heavy</t>
        </is>
      </c>
      <c r="D267" s="10" t="inlineStr">
        <is>
          <t>Assay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HPLC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14">
        <f>IF(N267="","",IF(OR(M267="",O267=""),N267,(M267+4*N267+O267)/6))</f>
        <v/>
      </c>
      <c r="Q267" s="5" t="n"/>
      <c r="R267" s="5" t="n"/>
      <c r="S267" s="5" t="n"/>
      <c r="T267" s="5" t="n"/>
      <c r="U267" s="5" t="n"/>
      <c r="V267" s="15" t="n"/>
      <c r="W267" s="5" t="inlineStr">
        <is>
          <t>Y</t>
        </is>
      </c>
      <c r="X267" s="5" t="n"/>
      <c r="Y267" s="5" t="n"/>
      <c r="Z267" s="5" t="n"/>
      <c r="AA267" s="5" t="n"/>
    </row>
    <row r="268">
      <c r="A268" s="10" t="inlineStr">
        <is>
          <t>F45</t>
        </is>
      </c>
      <c r="B268" s="10" t="inlineStr">
        <is>
          <t>FP</t>
        </is>
      </c>
      <c r="C268" s="10" t="inlineStr">
        <is>
          <t>Ginc Active  |  Ginkgo Biloba Leaf Dry Extract 50:1, Calcium Carbonate Heavy</t>
        </is>
      </c>
      <c r="D268" s="10" t="inlineStr">
        <is>
          <t>Related substances / impurities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HPLC</t>
        </is>
      </c>
      <c r="H268" s="5" t="inlineStr">
        <is>
          <t>Medium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14">
        <f>IF(N268="","",IF(OR(M268="",O268=""),N268,(M268+4*N268+O268)/6))</f>
        <v/>
      </c>
      <c r="Q268" s="5" t="n"/>
      <c r="R268" s="5" t="n"/>
      <c r="S268" s="5" t="n"/>
      <c r="T268" s="5" t="n"/>
      <c r="U268" s="5" t="n"/>
      <c r="V268" s="15" t="n"/>
      <c r="W268" s="5" t="inlineStr">
        <is>
          <t>Y</t>
        </is>
      </c>
      <c r="X268" s="5" t="n"/>
      <c r="Y268" s="5" t="n"/>
      <c r="Z268" s="5" t="n"/>
      <c r="AA268" s="5" t="n"/>
    </row>
    <row r="269">
      <c r="A269" s="10" t="inlineStr">
        <is>
          <t>F45</t>
        </is>
      </c>
      <c r="B269" s="10" t="inlineStr">
        <is>
          <t>FP</t>
        </is>
      </c>
      <c r="C269" s="10" t="inlineStr">
        <is>
          <t>Ginc Active  |  Ginkgo Biloba Leaf Dry Extract 50:1, Calcium Carbonate Heavy</t>
        </is>
      </c>
      <c r="D269" s="10" t="inlineStr">
        <is>
          <t>Dissolution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HPLC</t>
        </is>
      </c>
      <c r="H269" s="5" t="inlineStr">
        <is>
          <t>Medium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14">
        <f>IF(N269="","",IF(OR(M269="",O269=""),N269,(M269+4*N269+O269)/6))</f>
        <v/>
      </c>
      <c r="Q269" s="5" t="n"/>
      <c r="R269" s="5" t="n"/>
      <c r="S269" s="5" t="n"/>
      <c r="T269" s="5" t="n"/>
      <c r="U269" s="5" t="n"/>
      <c r="V269" s="15" t="n"/>
      <c r="W269" s="5" t="inlineStr">
        <is>
          <t>Y</t>
        </is>
      </c>
      <c r="X269" s="5" t="n"/>
      <c r="Y269" s="5" t="n"/>
      <c r="Z269" s="5" t="n"/>
      <c r="AA269" s="5" t="n"/>
    </row>
    <row r="270">
      <c r="A270" s="10" t="inlineStr">
        <is>
          <t>F45</t>
        </is>
      </c>
      <c r="B270" s="10" t="inlineStr">
        <is>
          <t>FP</t>
        </is>
      </c>
      <c r="C270" s="10" t="inlineStr">
        <is>
          <t>Ginc Active  |  Ginkgo Biloba Leaf Dry Extract 50:1, Calcium Carbonate Heavy</t>
        </is>
      </c>
      <c r="D270" s="10" t="inlineStr">
        <is>
          <t>Content uniformity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Medium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N</t>
        </is>
      </c>
      <c r="X270" s="5" t="n"/>
      <c r="Y270" s="5" t="n"/>
      <c r="Z270" s="5" t="n"/>
      <c r="AA270" s="5" t="n"/>
    </row>
    <row r="271">
      <c r="A271" s="10" t="inlineStr">
        <is>
          <t>F45</t>
        </is>
      </c>
      <c r="B271" s="10" t="inlineStr">
        <is>
          <t>FP</t>
        </is>
      </c>
      <c r="C271" s="10" t="inlineStr">
        <is>
          <t>Ginc Active  |  Ginkgo Biloba Leaf Dry Extract 50:1, Calcium Carbonate Heavy</t>
        </is>
      </c>
      <c r="D271" s="10" t="inlineStr">
        <is>
          <t>Identification (if separate from assay)</t>
        </is>
      </c>
      <c r="E271" s="10">
        <f>IF(A271="","",A271&amp;"|"&amp;D271)</f>
        <v/>
      </c>
      <c r="F271" s="5" t="inlineStr">
        <is>
          <t>N</t>
        </is>
      </c>
      <c r="G271" s="5" t="inlineStr">
        <is>
          <t>HPLC</t>
        </is>
      </c>
      <c r="H271" s="5" t="inlineStr">
        <is>
          <t>Medium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14">
        <f>IF(N271="","",IF(OR(M271="",O271=""),N271,(M271+4*N271+O271)/6))</f>
        <v/>
      </c>
      <c r="Q271" s="5" t="n"/>
      <c r="R271" s="5" t="n"/>
      <c r="S271" s="5" t="n"/>
      <c r="T271" s="5" t="n"/>
      <c r="U271" s="5" t="n"/>
      <c r="V271" s="15" t="n"/>
      <c r="W271" s="5" t="inlineStr">
        <is>
          <t>N</t>
        </is>
      </c>
      <c r="X271" s="5" t="n"/>
      <c r="Y271" s="5" t="n"/>
      <c r="Z271" s="5" t="n"/>
      <c r="AA271" s="5" t="n"/>
    </row>
    <row r="272">
      <c r="A272" s="10" t="inlineStr">
        <is>
          <t>F45</t>
        </is>
      </c>
      <c r="B272" s="10" t="inlineStr">
        <is>
          <t>FP</t>
        </is>
      </c>
      <c r="C272" s="10" t="inlineStr">
        <is>
          <t>Ginc Active  |  Ginkgo Biloba Leaf Dry Extract 50:1, Calcium Carbonate Heavy</t>
        </is>
      </c>
      <c r="D272" s="10" t="inlineStr">
        <is>
          <t>Other tests (non-HPLC: physical, LOD/KF, disintegration, pH, micro...)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Medium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14">
        <f>IF(N272="","",IF(OR(M272="",O272=""),N272,(M272+4*N272+O272)/6))</f>
        <v/>
      </c>
      <c r="Q272" s="5" t="n"/>
      <c r="R272" s="5" t="n"/>
      <c r="S272" s="5" t="n"/>
      <c r="T272" s="5" t="n"/>
      <c r="U272" s="5" t="n"/>
      <c r="V272" s="15" t="n"/>
      <c r="W272" s="5" t="inlineStr">
        <is>
          <t>Y</t>
        </is>
      </c>
      <c r="X272" s="5" t="n"/>
      <c r="Y272" s="5" t="n"/>
      <c r="Z272" s="5" t="n"/>
      <c r="AA272" s="5" t="n"/>
    </row>
    <row r="273">
      <c r="A273" s="10" t="inlineStr">
        <is>
          <t>F46</t>
        </is>
      </c>
      <c r="B273" s="10" t="inlineStr">
        <is>
          <t>FP</t>
        </is>
      </c>
      <c r="C273" s="10" t="inlineStr">
        <is>
          <t>URomax; Uromax Sachet  |  Cranberry Dry Extract 25:1, Ascorbic Acid Coated 97%</t>
        </is>
      </c>
      <c r="D273" s="10" t="inlineStr">
        <is>
          <t>Assay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HPLC</t>
        </is>
      </c>
      <c r="H273" s="5" t="inlineStr">
        <is>
          <t>Medium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Y</t>
        </is>
      </c>
      <c r="X273" s="5" t="n"/>
      <c r="Y273" s="5" t="n"/>
      <c r="Z273" s="5" t="n"/>
      <c r="AA273" s="5" t="n"/>
    </row>
    <row r="274">
      <c r="A274" s="10" t="inlineStr">
        <is>
          <t>F46</t>
        </is>
      </c>
      <c r="B274" s="10" t="inlineStr">
        <is>
          <t>FP</t>
        </is>
      </c>
      <c r="C274" s="10" t="inlineStr">
        <is>
          <t>URomax; Uromax Sachet  |  Cranberry Dry Extract 25:1, Ascorbic Acid Coated 97%</t>
        </is>
      </c>
      <c r="D274" s="10" t="inlineStr">
        <is>
          <t>Related substances / impurities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14">
        <f>IF(N274="","",IF(OR(M274="",O274=""),N274,(M274+4*N274+O274)/6))</f>
        <v/>
      </c>
      <c r="Q274" s="5" t="n"/>
      <c r="R274" s="5" t="n"/>
      <c r="S274" s="5" t="n"/>
      <c r="T274" s="5" t="n"/>
      <c r="U274" s="5" t="n"/>
      <c r="V274" s="15" t="n"/>
      <c r="W274" s="5" t="inlineStr">
        <is>
          <t>Y</t>
        </is>
      </c>
      <c r="X274" s="5" t="n"/>
      <c r="Y274" s="5" t="n"/>
      <c r="Z274" s="5" t="n"/>
      <c r="AA274" s="5" t="n"/>
    </row>
    <row r="275">
      <c r="A275" s="10" t="inlineStr">
        <is>
          <t>F46</t>
        </is>
      </c>
      <c r="B275" s="10" t="inlineStr">
        <is>
          <t>FP</t>
        </is>
      </c>
      <c r="C275" s="10" t="inlineStr">
        <is>
          <t>URomax; Uromax Sachet  |  Cranberry Dry Extract 25:1, Ascorbic Acid Coated 97%</t>
        </is>
      </c>
      <c r="D275" s="10" t="inlineStr">
        <is>
          <t>Dissolution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14">
        <f>IF(N275="","",IF(OR(M275="",O275=""),N275,(M275+4*N275+O275)/6))</f>
        <v/>
      </c>
      <c r="Q275" s="5" t="n"/>
      <c r="R275" s="5" t="n"/>
      <c r="S275" s="5" t="n"/>
      <c r="T275" s="5" t="n"/>
      <c r="U275" s="5" t="n"/>
      <c r="V275" s="15" t="n"/>
      <c r="W275" s="5" t="inlineStr">
        <is>
          <t>Y</t>
        </is>
      </c>
      <c r="X275" s="5" t="n"/>
      <c r="Y275" s="5" t="n"/>
      <c r="Z275" s="5" t="n"/>
      <c r="AA275" s="5" t="n"/>
    </row>
    <row r="276">
      <c r="A276" s="10" t="inlineStr">
        <is>
          <t>F46</t>
        </is>
      </c>
      <c r="B276" s="10" t="inlineStr">
        <is>
          <t>FP</t>
        </is>
      </c>
      <c r="C276" s="10" t="inlineStr">
        <is>
          <t>URomax; Uromax Sachet  |  Cranberry Dry Extract 25:1, Ascorbic Acid Coated 97%</t>
        </is>
      </c>
      <c r="D276" s="10" t="inlineStr">
        <is>
          <t>Content uniformity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14">
        <f>IF(N276="","",IF(OR(M276="",O276=""),N276,(M276+4*N276+O276)/6))</f>
        <v/>
      </c>
      <c r="Q276" s="5" t="n"/>
      <c r="R276" s="5" t="n"/>
      <c r="S276" s="5" t="n"/>
      <c r="T276" s="5" t="n"/>
      <c r="U276" s="5" t="n"/>
      <c r="V276" s="15" t="n"/>
      <c r="W276" s="5" t="inlineStr">
        <is>
          <t>N</t>
        </is>
      </c>
      <c r="X276" s="5" t="n"/>
      <c r="Y276" s="5" t="n"/>
      <c r="Z276" s="5" t="n"/>
      <c r="AA276" s="5" t="n"/>
    </row>
    <row r="277">
      <c r="A277" s="10" t="inlineStr">
        <is>
          <t>F46</t>
        </is>
      </c>
      <c r="B277" s="10" t="inlineStr">
        <is>
          <t>FP</t>
        </is>
      </c>
      <c r="C277" s="10" t="inlineStr">
        <is>
          <t>URomax; Uromax Sachet  |  Cranberry Dry Extract 25:1, Ascorbic Acid Coated 97%</t>
        </is>
      </c>
      <c r="D277" s="10" t="inlineStr">
        <is>
          <t>Identification (if separate from assay)</t>
        </is>
      </c>
      <c r="E277" s="10">
        <f>IF(A277="","",A277&amp;"|"&amp;D277)</f>
        <v/>
      </c>
      <c r="F277" s="5" t="inlineStr">
        <is>
          <t>N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N</t>
        </is>
      </c>
      <c r="X277" s="5" t="n"/>
      <c r="Y277" s="5" t="n"/>
      <c r="Z277" s="5" t="n"/>
      <c r="AA277" s="5" t="n"/>
    </row>
    <row r="278">
      <c r="A278" s="10" t="inlineStr">
        <is>
          <t>F46</t>
        </is>
      </c>
      <c r="B278" s="10" t="inlineStr">
        <is>
          <t>FP</t>
        </is>
      </c>
      <c r="C278" s="10" t="inlineStr">
        <is>
          <t>URomax; Uromax Sachet  |  Cranberry Dry Extract 25:1, Ascorbic Acid Coated 97%</t>
        </is>
      </c>
      <c r="D278" s="10" t="inlineStr">
        <is>
          <t>Other tests (non-HPLC: physical, LOD/KF, disintegration, pH, micro...)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14">
        <f>IF(N278="","",IF(OR(M278="",O278=""),N278,(M278+4*N278+O278)/6))</f>
        <v/>
      </c>
      <c r="Q278" s="5" t="n"/>
      <c r="R278" s="5" t="n"/>
      <c r="S278" s="5" t="n"/>
      <c r="T278" s="5" t="n"/>
      <c r="U278" s="5" t="n"/>
      <c r="V278" s="15" t="n"/>
      <c r="W278" s="5" t="inlineStr">
        <is>
          <t>Y</t>
        </is>
      </c>
      <c r="X278" s="5" t="n"/>
      <c r="Y278" s="5" t="n"/>
      <c r="Z278" s="5" t="n"/>
      <c r="AA278" s="5" t="n"/>
    </row>
    <row r="279">
      <c r="A279" s="10" t="inlineStr">
        <is>
          <t>F47</t>
        </is>
      </c>
      <c r="B279" s="10" t="inlineStr">
        <is>
          <t>FP</t>
        </is>
      </c>
      <c r="C279" s="10" t="inlineStr">
        <is>
          <t>Healthy Liver  |  Milk Thistle Dry Extract 70:1, Artichoke Dry Extract 25:1 (+4 more)</t>
        </is>
      </c>
      <c r="D279" s="10" t="inlineStr">
        <is>
          <t>Assay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HPLC</t>
        </is>
      </c>
      <c r="H279" s="5" t="inlineStr">
        <is>
          <t>High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14">
        <f>IF(N279="","",IF(OR(M279="",O279=""),N279,(M279+4*N279+O279)/6))</f>
        <v/>
      </c>
      <c r="Q279" s="5" t="n"/>
      <c r="R279" s="5" t="n"/>
      <c r="S279" s="5" t="n"/>
      <c r="T279" s="5" t="n"/>
      <c r="U279" s="5" t="n"/>
      <c r="V279" s="15" t="n"/>
      <c r="W279" s="5" t="inlineStr">
        <is>
          <t>Y</t>
        </is>
      </c>
      <c r="X279" s="5" t="n"/>
      <c r="Y279" s="5" t="n"/>
      <c r="Z279" s="5" t="inlineStr">
        <is>
          <t>Multi-active product: enter number of separate HPLC/AAS methods in col I</t>
        </is>
      </c>
      <c r="AA279" s="5" t="n"/>
    </row>
    <row r="280">
      <c r="A280" s="10" t="inlineStr">
        <is>
          <t>F47</t>
        </is>
      </c>
      <c r="B280" s="10" t="inlineStr">
        <is>
          <t>FP</t>
        </is>
      </c>
      <c r="C280" s="10" t="inlineStr">
        <is>
          <t>Healthy Liver  |  Milk Thistle Dry Extract 70:1, Artichoke Dry Extract 25:1 (+4 more)</t>
        </is>
      </c>
      <c r="D280" s="10" t="inlineStr">
        <is>
          <t>Related substances / impurities</t>
        </is>
      </c>
      <c r="E280" s="10">
        <f>IF(A280="","",A280&amp;"|"&amp;D280)</f>
        <v/>
      </c>
      <c r="F280" s="5" t="inlineStr">
        <is>
          <t>N</t>
        </is>
      </c>
      <c r="G280" s="5" t="inlineStr">
        <is>
          <t>HPLC</t>
        </is>
      </c>
      <c r="H280" s="5" t="inlineStr">
        <is>
          <t>High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Y</t>
        </is>
      </c>
      <c r="X280" s="5" t="n"/>
      <c r="Y280" s="5" t="n"/>
      <c r="Z280" s="5" t="n"/>
      <c r="AA280" s="5" t="n"/>
    </row>
    <row r="281">
      <c r="A281" s="10" t="inlineStr">
        <is>
          <t>F47</t>
        </is>
      </c>
      <c r="B281" s="10" t="inlineStr">
        <is>
          <t>FP</t>
        </is>
      </c>
      <c r="C281" s="10" t="inlineStr">
        <is>
          <t>Healthy Liver  |  Milk Thistle Dry Extract 70:1, Artichoke Dry Extract 25:1 (+4 more)</t>
        </is>
      </c>
      <c r="D281" s="10" t="inlineStr">
        <is>
          <t>Dissolution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HPLC</t>
        </is>
      </c>
      <c r="H281" s="5" t="inlineStr">
        <is>
          <t>High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14">
        <f>IF(N281="","",IF(OR(M281="",O281=""),N281,(M281+4*N281+O281)/6))</f>
        <v/>
      </c>
      <c r="Q281" s="5" t="n"/>
      <c r="R281" s="5" t="n"/>
      <c r="S281" s="5" t="n"/>
      <c r="T281" s="5" t="n"/>
      <c r="U281" s="5" t="n"/>
      <c r="V281" s="15" t="n"/>
      <c r="W281" s="5" t="inlineStr">
        <is>
          <t>Y</t>
        </is>
      </c>
      <c r="X281" s="5" t="n"/>
      <c r="Y281" s="5" t="n"/>
      <c r="Z281" s="5" t="n"/>
      <c r="AA281" s="5" t="n"/>
    </row>
    <row r="282">
      <c r="A282" s="10" t="inlineStr">
        <is>
          <t>F47</t>
        </is>
      </c>
      <c r="B282" s="10" t="inlineStr">
        <is>
          <t>FP</t>
        </is>
      </c>
      <c r="C282" s="10" t="inlineStr">
        <is>
          <t>Healthy Liver  |  Milk Thistle Dry Extract 70:1, Artichoke Dry Extract 25:1 (+4 more)</t>
        </is>
      </c>
      <c r="D282" s="10" t="inlineStr">
        <is>
          <t>Content uniformity</t>
        </is>
      </c>
      <c r="E282" s="10">
        <f>IF(A282="","",A282&amp;"|"&amp;D282)</f>
        <v/>
      </c>
      <c r="F282" s="5" t="inlineStr">
        <is>
          <t>N</t>
        </is>
      </c>
      <c r="G282" s="5" t="inlineStr">
        <is>
          <t>HPLC</t>
        </is>
      </c>
      <c r="H282" s="5" t="inlineStr">
        <is>
          <t>High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14">
        <f>IF(N282="","",IF(OR(M282="",O282=""),N282,(M282+4*N282+O282)/6))</f>
        <v/>
      </c>
      <c r="Q282" s="5" t="n"/>
      <c r="R282" s="5" t="n"/>
      <c r="S282" s="5" t="n"/>
      <c r="T282" s="5" t="n"/>
      <c r="U282" s="5" t="n"/>
      <c r="V282" s="15" t="n"/>
      <c r="W282" s="5" t="inlineStr">
        <is>
          <t>N</t>
        </is>
      </c>
      <c r="X282" s="5" t="n"/>
      <c r="Y282" s="5" t="n"/>
      <c r="Z282" s="5" t="n"/>
      <c r="AA282" s="5" t="n"/>
    </row>
    <row r="283">
      <c r="A283" s="10" t="inlineStr">
        <is>
          <t>F47</t>
        </is>
      </c>
      <c r="B283" s="10" t="inlineStr">
        <is>
          <t>FP</t>
        </is>
      </c>
      <c r="C283" s="10" t="inlineStr">
        <is>
          <t>Healthy Liver  |  Milk Thistle Dry Extract 70:1, Artichoke Dry Extract 25:1 (+4 more)</t>
        </is>
      </c>
      <c r="D283" s="10" t="inlineStr">
        <is>
          <t>Identification (if separate from assay)</t>
        </is>
      </c>
      <c r="E283" s="10">
        <f>IF(A283="","",A283&amp;"|"&amp;D283)</f>
        <v/>
      </c>
      <c r="F283" s="5" t="inlineStr">
        <is>
          <t>N</t>
        </is>
      </c>
      <c r="G283" s="5" t="inlineStr">
        <is>
          <t>HPLC</t>
        </is>
      </c>
      <c r="H283" s="5" t="inlineStr">
        <is>
          <t>High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14">
        <f>IF(N283="","",IF(OR(M283="",O283=""),N283,(M283+4*N283+O283)/6))</f>
        <v/>
      </c>
      <c r="Q283" s="5" t="n"/>
      <c r="R283" s="5" t="n"/>
      <c r="S283" s="5" t="n"/>
      <c r="T283" s="5" t="n"/>
      <c r="U283" s="5" t="n"/>
      <c r="V283" s="15" t="n"/>
      <c r="W283" s="5" t="inlineStr">
        <is>
          <t>N</t>
        </is>
      </c>
      <c r="X283" s="5" t="n"/>
      <c r="Y283" s="5" t="n"/>
      <c r="Z283" s="5" t="n"/>
      <c r="AA283" s="5" t="n"/>
    </row>
    <row r="284">
      <c r="A284" s="10" t="inlineStr">
        <is>
          <t>F47</t>
        </is>
      </c>
      <c r="B284" s="10" t="inlineStr">
        <is>
          <t>FP</t>
        </is>
      </c>
      <c r="C284" s="10" t="inlineStr">
        <is>
          <t>Healthy Liver  |  Milk Thistle Dry Extract 70:1, Artichoke Dry Extract 25:1 (+4 more)</t>
        </is>
      </c>
      <c r="D284" s="10" t="inlineStr">
        <is>
          <t>Other tests (non-HPLC: physical, LOD/KF, disintegration, pH, micro...)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Other / bench</t>
        </is>
      </c>
      <c r="H284" s="5" t="inlineStr">
        <is>
          <t>High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14">
        <f>IF(N284="","",IF(OR(M284="",O284=""),N284,(M284+4*N284+O284)/6))</f>
        <v/>
      </c>
      <c r="Q284" s="5" t="n"/>
      <c r="R284" s="5" t="n"/>
      <c r="S284" s="5" t="n"/>
      <c r="T284" s="5" t="n"/>
      <c r="U284" s="5" t="n"/>
      <c r="V284" s="15" t="n"/>
      <c r="W284" s="5" t="inlineStr">
        <is>
          <t>Y</t>
        </is>
      </c>
      <c r="X284" s="5" t="n"/>
      <c r="Y284" s="5" t="n"/>
      <c r="Z284" s="5" t="n"/>
      <c r="AA284" s="5" t="n"/>
    </row>
    <row r="285">
      <c r="A285" s="10" t="inlineStr">
        <is>
          <t>F48</t>
        </is>
      </c>
      <c r="B285" s="10" t="inlineStr">
        <is>
          <t>FP</t>
        </is>
      </c>
      <c r="C285" s="10" t="inlineStr">
        <is>
          <t>Kamasotra premium  |  Cyanocobalamin (Vitamin B12), Ginseng Panax (+3 more)</t>
        </is>
      </c>
      <c r="D285" s="10" t="inlineStr">
        <is>
          <t>Assay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High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Y</t>
        </is>
      </c>
      <c r="X285" s="5" t="n"/>
      <c r="Y285" s="5" t="n"/>
      <c r="Z285" s="5" t="inlineStr">
        <is>
          <t>Multi-active product: enter number of separate HPLC/AAS methods in col I</t>
        </is>
      </c>
      <c r="AA285" s="5" t="n"/>
    </row>
    <row r="286">
      <c r="A286" s="10" t="inlineStr">
        <is>
          <t>F48</t>
        </is>
      </c>
      <c r="B286" s="10" t="inlineStr">
        <is>
          <t>FP</t>
        </is>
      </c>
      <c r="C286" s="10" t="inlineStr">
        <is>
          <t>Kamasotra premium  |  Cyanocobalamin (Vitamin B12), Ginseng Panax (+3 more)</t>
        </is>
      </c>
      <c r="D286" s="10" t="inlineStr">
        <is>
          <t>Related substances / impurities</t>
        </is>
      </c>
      <c r="E286" s="10">
        <f>IF(A286="","",A286&amp;"|"&amp;D286)</f>
        <v/>
      </c>
      <c r="F286" s="5" t="inlineStr">
        <is>
          <t>N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Y</t>
        </is>
      </c>
      <c r="X286" s="5" t="n"/>
      <c r="Y286" s="5" t="n"/>
      <c r="Z286" s="5" t="n"/>
      <c r="AA286" s="5" t="n"/>
    </row>
    <row r="287">
      <c r="A287" s="10" t="inlineStr">
        <is>
          <t>F48</t>
        </is>
      </c>
      <c r="B287" s="10" t="inlineStr">
        <is>
          <t>FP</t>
        </is>
      </c>
      <c r="C287" s="10" t="inlineStr">
        <is>
          <t>Kamasotra premium  |  Cyanocobalamin (Vitamin B12), Ginseng Panax (+3 more)</t>
        </is>
      </c>
      <c r="D287" s="10" t="inlineStr">
        <is>
          <t>Dissolution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14">
        <f>IF(N287="","",IF(OR(M287="",O287=""),N287,(M287+4*N287+O287)/6))</f>
        <v/>
      </c>
      <c r="Q287" s="5" t="n"/>
      <c r="R287" s="5" t="n"/>
      <c r="S287" s="5" t="n"/>
      <c r="T287" s="5" t="n"/>
      <c r="U287" s="5" t="n"/>
      <c r="V287" s="15" t="n"/>
      <c r="W287" s="5" t="inlineStr">
        <is>
          <t>Y</t>
        </is>
      </c>
      <c r="X287" s="5" t="n"/>
      <c r="Y287" s="5" t="n"/>
      <c r="Z287" s="5" t="n"/>
      <c r="AA287" s="5" t="n"/>
    </row>
    <row r="288">
      <c r="A288" s="10" t="inlineStr">
        <is>
          <t>F48</t>
        </is>
      </c>
      <c r="B288" s="10" t="inlineStr">
        <is>
          <t>FP</t>
        </is>
      </c>
      <c r="C288" s="10" t="inlineStr">
        <is>
          <t>Kamasotra premium  |  Cyanocobalamin (Vitamin B12), Ginseng Panax (+3 more)</t>
        </is>
      </c>
      <c r="D288" s="10" t="inlineStr">
        <is>
          <t>Content uniformity</t>
        </is>
      </c>
      <c r="E288" s="10">
        <f>IF(A288="","",A288&amp;"|"&amp;D288)</f>
        <v/>
      </c>
      <c r="F288" s="5" t="inlineStr">
        <is>
          <t>N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14">
        <f>IF(N288="","",IF(OR(M288="",O288=""),N288,(M288+4*N288+O288)/6))</f>
        <v/>
      </c>
      <c r="Q288" s="5" t="n"/>
      <c r="R288" s="5" t="n"/>
      <c r="S288" s="5" t="n"/>
      <c r="T288" s="5" t="n"/>
      <c r="U288" s="5" t="n"/>
      <c r="V288" s="15" t="n"/>
      <c r="W288" s="5" t="inlineStr">
        <is>
          <t>N</t>
        </is>
      </c>
      <c r="X288" s="5" t="n"/>
      <c r="Y288" s="5" t="n"/>
      <c r="Z288" s="5" t="n"/>
      <c r="AA288" s="5" t="n"/>
    </row>
    <row r="289">
      <c r="A289" s="10" t="inlineStr">
        <is>
          <t>F48</t>
        </is>
      </c>
      <c r="B289" s="10" t="inlineStr">
        <is>
          <t>FP</t>
        </is>
      </c>
      <c r="C289" s="10" t="inlineStr">
        <is>
          <t>Kamasotra premium  |  Cyanocobalamin (Vitamin B12), Ginseng Panax (+3 more)</t>
        </is>
      </c>
      <c r="D289" s="10" t="inlineStr">
        <is>
          <t>Identification (if separate from assay)</t>
        </is>
      </c>
      <c r="E289" s="10">
        <f>IF(A289="","",A289&amp;"|"&amp;D289)</f>
        <v/>
      </c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14">
        <f>IF(N289="","",IF(OR(M289="",O289=""),N289,(M289+4*N289+O289)/6))</f>
        <v/>
      </c>
      <c r="Q289" s="5" t="n"/>
      <c r="R289" s="5" t="n"/>
      <c r="S289" s="5" t="n"/>
      <c r="T289" s="5" t="n"/>
      <c r="U289" s="5" t="n"/>
      <c r="V289" s="15" t="n"/>
      <c r="W289" s="5" t="inlineStr">
        <is>
          <t>N</t>
        </is>
      </c>
      <c r="X289" s="5" t="n"/>
      <c r="Y289" s="5" t="n"/>
      <c r="Z289" s="5" t="n"/>
      <c r="AA289" s="5" t="n"/>
    </row>
    <row r="290">
      <c r="A290" s="10" t="inlineStr">
        <is>
          <t>F48</t>
        </is>
      </c>
      <c r="B290" s="10" t="inlineStr">
        <is>
          <t>FP</t>
        </is>
      </c>
      <c r="C290" s="10" t="inlineStr">
        <is>
          <t>Kamasotra premium  |  Cyanocobalamin (Vitamin B12), Ginseng Panax (+3 more)</t>
        </is>
      </c>
      <c r="D290" s="10" t="inlineStr">
        <is>
          <t>Other tests (non-HPLC: physical, LOD/KF, disintegration, pH, micro...)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14">
        <f>IF(N290="","",IF(OR(M290="",O290=""),N290,(M290+4*N290+O290)/6))</f>
        <v/>
      </c>
      <c r="Q290" s="5" t="n"/>
      <c r="R290" s="5" t="n"/>
      <c r="S290" s="5" t="n"/>
      <c r="T290" s="5" t="n"/>
      <c r="U290" s="5" t="n"/>
      <c r="V290" s="15" t="n"/>
      <c r="W290" s="5" t="inlineStr">
        <is>
          <t>Y</t>
        </is>
      </c>
      <c r="X290" s="5" t="n"/>
      <c r="Y290" s="5" t="n"/>
      <c r="Z290" s="5" t="n"/>
      <c r="AA290" s="5" t="n"/>
    </row>
    <row r="291">
      <c r="A291" s="10" t="inlineStr">
        <is>
          <t>F49</t>
        </is>
      </c>
      <c r="B291" s="10" t="inlineStr">
        <is>
          <t>FP</t>
        </is>
      </c>
      <c r="C291" s="10" t="inlineStr">
        <is>
          <t>Prostica  |  Saw Palmetto Dry Extract 4:1, Sodium Selenite (+1 more)</t>
        </is>
      </c>
      <c r="D291" s="10" t="inlineStr">
        <is>
          <t>Assay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HPLC</t>
        </is>
      </c>
      <c r="H291" s="5" t="inlineStr">
        <is>
          <t>Medium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14">
        <f>IF(N291="","",IF(OR(M291="",O291=""),N291,(M291+4*N291+O291)/6))</f>
        <v/>
      </c>
      <c r="Q291" s="5" t="n"/>
      <c r="R291" s="5" t="n"/>
      <c r="S291" s="5" t="n"/>
      <c r="T291" s="5" t="n"/>
      <c r="U291" s="5" t="n"/>
      <c r="V291" s="15" t="n"/>
      <c r="W291" s="5" t="inlineStr">
        <is>
          <t>Y</t>
        </is>
      </c>
      <c r="X291" s="5" t="n"/>
      <c r="Y291" s="5" t="n"/>
      <c r="Z291" s="5" t="n"/>
      <c r="AA291" s="5" t="n"/>
    </row>
    <row r="292">
      <c r="A292" s="10" t="inlineStr">
        <is>
          <t>F49</t>
        </is>
      </c>
      <c r="B292" s="10" t="inlineStr">
        <is>
          <t>FP</t>
        </is>
      </c>
      <c r="C292" s="10" t="inlineStr">
        <is>
          <t>Prostica  |  Saw Palmetto Dry Extract 4:1, Sodium Selenite (+1 more)</t>
        </is>
      </c>
      <c r="D292" s="10" t="inlineStr">
        <is>
          <t>Related substances / impurities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HPLC</t>
        </is>
      </c>
      <c r="H292" s="5" t="inlineStr">
        <is>
          <t>Medium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14">
        <f>IF(N292="","",IF(OR(M292="",O292=""),N292,(M292+4*N292+O292)/6))</f>
        <v/>
      </c>
      <c r="Q292" s="5" t="n"/>
      <c r="R292" s="5" t="n"/>
      <c r="S292" s="5" t="n"/>
      <c r="T292" s="5" t="n"/>
      <c r="U292" s="5" t="n"/>
      <c r="V292" s="15" t="n"/>
      <c r="W292" s="5" t="inlineStr">
        <is>
          <t>Y</t>
        </is>
      </c>
      <c r="X292" s="5" t="n"/>
      <c r="Y292" s="5" t="n"/>
      <c r="Z292" s="5" t="n"/>
      <c r="AA292" s="5" t="n"/>
    </row>
    <row r="293">
      <c r="A293" s="10" t="inlineStr">
        <is>
          <t>F49</t>
        </is>
      </c>
      <c r="B293" s="10" t="inlineStr">
        <is>
          <t>FP</t>
        </is>
      </c>
      <c r="C293" s="10" t="inlineStr">
        <is>
          <t>Prostica  |  Saw Palmetto Dry Extract 4:1, Sodium Selenite (+1 more)</t>
        </is>
      </c>
      <c r="D293" s="10" t="inlineStr">
        <is>
          <t>Dissolution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HPLC</t>
        </is>
      </c>
      <c r="H293" s="5" t="inlineStr">
        <is>
          <t>Medium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14">
        <f>IF(N293="","",IF(OR(M293="",O293=""),N293,(M293+4*N293+O293)/6))</f>
        <v/>
      </c>
      <c r="Q293" s="5" t="n"/>
      <c r="R293" s="5" t="n"/>
      <c r="S293" s="5" t="n"/>
      <c r="T293" s="5" t="n"/>
      <c r="U293" s="5" t="n"/>
      <c r="V293" s="15" t="n"/>
      <c r="W293" s="5" t="inlineStr">
        <is>
          <t>Y</t>
        </is>
      </c>
      <c r="X293" s="5" t="n"/>
      <c r="Y293" s="5" t="n"/>
      <c r="Z293" s="5" t="n"/>
      <c r="AA293" s="5" t="n"/>
    </row>
    <row r="294">
      <c r="A294" s="10" t="inlineStr">
        <is>
          <t>F49</t>
        </is>
      </c>
      <c r="B294" s="10" t="inlineStr">
        <is>
          <t>FP</t>
        </is>
      </c>
      <c r="C294" s="10" t="inlineStr">
        <is>
          <t>Prostica  |  Saw Palmetto Dry Extract 4:1, Sodium Selenite (+1 more)</t>
        </is>
      </c>
      <c r="D294" s="10" t="inlineStr">
        <is>
          <t>Content uniformity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HPLC</t>
        </is>
      </c>
      <c r="H294" s="5" t="inlineStr">
        <is>
          <t>Medium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14">
        <f>IF(N294="","",IF(OR(M294="",O294=""),N294,(M294+4*N294+O294)/6))</f>
        <v/>
      </c>
      <c r="Q294" s="5" t="n"/>
      <c r="R294" s="5" t="n"/>
      <c r="S294" s="5" t="n"/>
      <c r="T294" s="5" t="n"/>
      <c r="U294" s="5" t="n"/>
      <c r="V294" s="15" t="n"/>
      <c r="W294" s="5" t="inlineStr">
        <is>
          <t>N</t>
        </is>
      </c>
      <c r="X294" s="5" t="n"/>
      <c r="Y294" s="5" t="n"/>
      <c r="Z294" s="5" t="n"/>
      <c r="AA294" s="5" t="n"/>
    </row>
    <row r="295">
      <c r="A295" s="10" t="inlineStr">
        <is>
          <t>F49</t>
        </is>
      </c>
      <c r="B295" s="10" t="inlineStr">
        <is>
          <t>FP</t>
        </is>
      </c>
      <c r="C295" s="10" t="inlineStr">
        <is>
          <t>Prostica  |  Saw Palmetto Dry Extract 4:1, Sodium Selenite (+1 more)</t>
        </is>
      </c>
      <c r="D295" s="10" t="inlineStr">
        <is>
          <t>Identification (if separate from assay)</t>
        </is>
      </c>
      <c r="E295" s="10">
        <f>IF(A295="","",A295&amp;"|"&amp;D295)</f>
        <v/>
      </c>
      <c r="F295" s="5" t="inlineStr">
        <is>
          <t>N</t>
        </is>
      </c>
      <c r="G295" s="5" t="inlineStr">
        <is>
          <t>HPLC</t>
        </is>
      </c>
      <c r="H295" s="5" t="inlineStr">
        <is>
          <t>Medium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14">
        <f>IF(N295="","",IF(OR(M295="",O295=""),N295,(M295+4*N295+O295)/6))</f>
        <v/>
      </c>
      <c r="Q295" s="5" t="n"/>
      <c r="R295" s="5" t="n"/>
      <c r="S295" s="5" t="n"/>
      <c r="T295" s="5" t="n"/>
      <c r="U295" s="5" t="n"/>
      <c r="V295" s="15" t="n"/>
      <c r="W295" s="5" t="inlineStr">
        <is>
          <t>N</t>
        </is>
      </c>
      <c r="X295" s="5" t="n"/>
      <c r="Y295" s="5" t="n"/>
      <c r="Z295" s="5" t="n"/>
      <c r="AA295" s="5" t="n"/>
    </row>
    <row r="296">
      <c r="A296" s="10" t="inlineStr">
        <is>
          <t>F49</t>
        </is>
      </c>
      <c r="B296" s="10" t="inlineStr">
        <is>
          <t>FP</t>
        </is>
      </c>
      <c r="C296" s="10" t="inlineStr">
        <is>
          <t>Prostica  |  Saw Palmetto Dry Extract 4:1, Sodium Selenite (+1 more)</t>
        </is>
      </c>
      <c r="D296" s="10" t="inlineStr">
        <is>
          <t>Other tests (non-HPLC: physical, LOD/KF, disintegration, pH, micro...)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Medium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14">
        <f>IF(N296="","",IF(OR(M296="",O296=""),N296,(M296+4*N296+O296)/6))</f>
        <v/>
      </c>
      <c r="Q296" s="5" t="n"/>
      <c r="R296" s="5" t="n"/>
      <c r="S296" s="5" t="n"/>
      <c r="T296" s="5" t="n"/>
      <c r="U296" s="5" t="n"/>
      <c r="V296" s="15" t="n"/>
      <c r="W296" s="5" t="inlineStr">
        <is>
          <t>Y</t>
        </is>
      </c>
      <c r="X296" s="5" t="n"/>
      <c r="Y296" s="5" t="n"/>
      <c r="Z296" s="5" t="n"/>
      <c r="AA296" s="5" t="n"/>
    </row>
    <row r="297">
      <c r="A297" s="10" t="inlineStr">
        <is>
          <t>F50</t>
        </is>
      </c>
      <c r="B297" s="10" t="inlineStr">
        <is>
          <t>FP</t>
        </is>
      </c>
      <c r="C297" s="10" t="inlineStr">
        <is>
          <t>Vitacal Forte  |  Calcium Carbonate Heavy, Vitamin D3 (+7 more)</t>
        </is>
      </c>
      <c r="D297" s="10" t="inlineStr">
        <is>
          <t>Assay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HPLC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14">
        <f>IF(N297="","",IF(OR(M297="",O297=""),N297,(M297+4*N297+O297)/6))</f>
        <v/>
      </c>
      <c r="Q297" s="5" t="n"/>
      <c r="R297" s="5" t="n"/>
      <c r="S297" s="5" t="n"/>
      <c r="T297" s="5" t="n"/>
      <c r="U297" s="5" t="n"/>
      <c r="V297" s="15" t="n"/>
      <c r="W297" s="5" t="inlineStr">
        <is>
          <t>Y</t>
        </is>
      </c>
      <c r="X297" s="5" t="n"/>
      <c r="Y297" s="5" t="n"/>
      <c r="Z297" s="5" t="inlineStr">
        <is>
          <t>Multi-active product: enter number of separate HPLC/AAS methods in col I</t>
        </is>
      </c>
      <c r="AA297" s="5" t="n"/>
    </row>
    <row r="298">
      <c r="A298" s="10" t="inlineStr">
        <is>
          <t>F50</t>
        </is>
      </c>
      <c r="B298" s="10" t="inlineStr">
        <is>
          <t>FP</t>
        </is>
      </c>
      <c r="C298" s="10" t="inlineStr">
        <is>
          <t>Vitacal Forte  |  Calcium Carbonate Heavy, Vitamin D3 (+7 more)</t>
        </is>
      </c>
      <c r="D298" s="10" t="inlineStr">
        <is>
          <t>Related substances / impurities</t>
        </is>
      </c>
      <c r="E298" s="10">
        <f>IF(A298="","",A298&amp;"|"&amp;D298)</f>
        <v/>
      </c>
      <c r="F298" s="5" t="inlineStr">
        <is>
          <t>N</t>
        </is>
      </c>
      <c r="G298" s="5" t="inlineStr">
        <is>
          <t>HPLC</t>
        </is>
      </c>
      <c r="H298" s="5" t="inlineStr">
        <is>
          <t>High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14">
        <f>IF(N298="","",IF(OR(M298="",O298=""),N298,(M298+4*N298+O298)/6))</f>
        <v/>
      </c>
      <c r="Q298" s="5" t="n"/>
      <c r="R298" s="5" t="n"/>
      <c r="S298" s="5" t="n"/>
      <c r="T298" s="5" t="n"/>
      <c r="U298" s="5" t="n"/>
      <c r="V298" s="15" t="n"/>
      <c r="W298" s="5" t="inlineStr">
        <is>
          <t>Y</t>
        </is>
      </c>
      <c r="X298" s="5" t="n"/>
      <c r="Y298" s="5" t="n"/>
      <c r="Z298" s="5" t="n"/>
      <c r="AA298" s="5" t="n"/>
    </row>
    <row r="299">
      <c r="A299" s="10" t="inlineStr">
        <is>
          <t>F50</t>
        </is>
      </c>
      <c r="B299" s="10" t="inlineStr">
        <is>
          <t>FP</t>
        </is>
      </c>
      <c r="C299" s="10" t="inlineStr">
        <is>
          <t>Vitacal Forte  |  Calcium Carbonate Heavy, Vitamin D3 (+7 more)</t>
        </is>
      </c>
      <c r="D299" s="10" t="inlineStr">
        <is>
          <t>Dissolution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HPLC</t>
        </is>
      </c>
      <c r="H299" s="5" t="inlineStr">
        <is>
          <t>High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14">
        <f>IF(N299="","",IF(OR(M299="",O299=""),N299,(M299+4*N299+O299)/6))</f>
        <v/>
      </c>
      <c r="Q299" s="5" t="n"/>
      <c r="R299" s="5" t="n"/>
      <c r="S299" s="5" t="n"/>
      <c r="T299" s="5" t="n"/>
      <c r="U299" s="5" t="n"/>
      <c r="V299" s="15" t="n"/>
      <c r="W299" s="5" t="inlineStr">
        <is>
          <t>Y</t>
        </is>
      </c>
      <c r="X299" s="5" t="n"/>
      <c r="Y299" s="5" t="n"/>
      <c r="Z299" s="5" t="n"/>
      <c r="AA299" s="5" t="n"/>
    </row>
    <row r="300">
      <c r="A300" s="10" t="inlineStr">
        <is>
          <t>F50</t>
        </is>
      </c>
      <c r="B300" s="10" t="inlineStr">
        <is>
          <t>FP</t>
        </is>
      </c>
      <c r="C300" s="10" t="inlineStr">
        <is>
          <t>Vitacal Forte  |  Calcium Carbonate Heavy, Vitamin D3 (+7 more)</t>
        </is>
      </c>
      <c r="D300" s="10" t="inlineStr">
        <is>
          <t>Content uniformity</t>
        </is>
      </c>
      <c r="E300" s="10">
        <f>IF(A300="","",A300&amp;"|"&amp;D300)</f>
        <v/>
      </c>
      <c r="F300" s="5" t="inlineStr">
        <is>
          <t>N</t>
        </is>
      </c>
      <c r="G300" s="5" t="inlineStr">
        <is>
          <t>HPLC</t>
        </is>
      </c>
      <c r="H300" s="5" t="inlineStr">
        <is>
          <t>High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</row>
    <row r="301">
      <c r="A301" s="10" t="inlineStr">
        <is>
          <t>F50</t>
        </is>
      </c>
      <c r="B301" s="10" t="inlineStr">
        <is>
          <t>FP</t>
        </is>
      </c>
      <c r="C301" s="10" t="inlineStr">
        <is>
          <t>Vitacal Forte  |  Calcium Carbonate Heavy, Vitamin D3 (+7 more)</t>
        </is>
      </c>
      <c r="D301" s="10" t="inlineStr">
        <is>
          <t>Identification (if separate from assay)</t>
        </is>
      </c>
      <c r="E301" s="10">
        <f>IF(A301="","",A301&amp;"|"&amp;D301)</f>
        <v/>
      </c>
      <c r="F301" s="5" t="inlineStr">
        <is>
          <t>N</t>
        </is>
      </c>
      <c r="G301" s="5" t="inlineStr">
        <is>
          <t>HPLC</t>
        </is>
      </c>
      <c r="H301" s="5" t="inlineStr">
        <is>
          <t>High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14">
        <f>IF(N301="","",IF(OR(M301="",O301=""),N301,(M301+4*N301+O301)/6))</f>
        <v/>
      </c>
      <c r="Q301" s="5" t="n"/>
      <c r="R301" s="5" t="n"/>
      <c r="S301" s="5" t="n"/>
      <c r="T301" s="5" t="n"/>
      <c r="U301" s="5" t="n"/>
      <c r="V301" s="15" t="n"/>
      <c r="W301" s="5" t="inlineStr">
        <is>
          <t>N</t>
        </is>
      </c>
      <c r="X301" s="5" t="n"/>
      <c r="Y301" s="5" t="n"/>
      <c r="Z301" s="5" t="n"/>
      <c r="AA301" s="5" t="n"/>
    </row>
    <row r="302">
      <c r="A302" s="10" t="inlineStr">
        <is>
          <t>F50</t>
        </is>
      </c>
      <c r="B302" s="10" t="inlineStr">
        <is>
          <t>FP</t>
        </is>
      </c>
      <c r="C302" s="10" t="inlineStr">
        <is>
          <t>Vitacal Forte  |  Calcium Carbonate Heavy, Vitamin D3 (+7 more)</t>
        </is>
      </c>
      <c r="D302" s="10" t="inlineStr">
        <is>
          <t>Other tests (non-HPLC: physical, LOD/KF, disintegration, pH, micro...)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Other / bench</t>
        </is>
      </c>
      <c r="H302" s="5" t="inlineStr">
        <is>
          <t>High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14">
        <f>IF(N302="","",IF(OR(M302="",O302=""),N302,(M302+4*N302+O302)/6))</f>
        <v/>
      </c>
      <c r="Q302" s="5" t="n"/>
      <c r="R302" s="5" t="n"/>
      <c r="S302" s="5" t="n"/>
      <c r="T302" s="5" t="n"/>
      <c r="U302" s="5" t="n"/>
      <c r="V302" s="15" t="n"/>
      <c r="W302" s="5" t="inlineStr">
        <is>
          <t>Y</t>
        </is>
      </c>
      <c r="X302" s="5" t="n"/>
      <c r="Y302" s="5" t="n"/>
      <c r="Z302" s="5" t="n"/>
      <c r="AA302" s="5" t="n"/>
    </row>
    <row r="303">
      <c r="A303" s="10" t="inlineStr">
        <is>
          <t>F51</t>
        </is>
      </c>
      <c r="B303" s="10" t="inlineStr">
        <is>
          <t>FP</t>
        </is>
      </c>
      <c r="C303" s="10" t="inlineStr">
        <is>
          <t>Burning Fat  |  Coleus Forskohlii Root Dry Extract 10:1, Chromium Picolinate (+5 more)</t>
        </is>
      </c>
      <c r="D303" s="10" t="inlineStr">
        <is>
          <t>Assay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HPLC</t>
        </is>
      </c>
      <c r="H303" s="5" t="inlineStr">
        <is>
          <t>High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14">
        <f>IF(N303="","",IF(OR(M303="",O303=""),N303,(M303+4*N303+O303)/6))</f>
        <v/>
      </c>
      <c r="Q303" s="5" t="n"/>
      <c r="R303" s="5" t="n"/>
      <c r="S303" s="5" t="n"/>
      <c r="T303" s="5" t="n"/>
      <c r="U303" s="5" t="n"/>
      <c r="V303" s="15" t="n"/>
      <c r="W303" s="5" t="inlineStr">
        <is>
          <t>Y</t>
        </is>
      </c>
      <c r="X303" s="5" t="n"/>
      <c r="Y303" s="5" t="n"/>
      <c r="Z303" s="5" t="inlineStr">
        <is>
          <t>Multi-active product: enter number of separate HPLC/AAS methods in col I</t>
        </is>
      </c>
      <c r="AA303" s="5" t="n"/>
    </row>
    <row r="304">
      <c r="A304" s="10" t="inlineStr">
        <is>
          <t>F51</t>
        </is>
      </c>
      <c r="B304" s="10" t="inlineStr">
        <is>
          <t>FP</t>
        </is>
      </c>
      <c r="C304" s="10" t="inlineStr">
        <is>
          <t>Burning Fat  |  Coleus Forskohlii Root Dry Extract 10:1, Chromium Picolinate (+5 more)</t>
        </is>
      </c>
      <c r="D304" s="10" t="inlineStr">
        <is>
          <t>Related substances / impurities</t>
        </is>
      </c>
      <c r="E304" s="10">
        <f>IF(A304="","",A304&amp;"|"&amp;D304)</f>
        <v/>
      </c>
      <c r="F304" s="5" t="inlineStr">
        <is>
          <t>N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14">
        <f>IF(N304="","",IF(OR(M304="",O304=""),N304,(M304+4*N304+O304)/6))</f>
        <v/>
      </c>
      <c r="Q304" s="5" t="n"/>
      <c r="R304" s="5" t="n"/>
      <c r="S304" s="5" t="n"/>
      <c r="T304" s="5" t="n"/>
      <c r="U304" s="5" t="n"/>
      <c r="V304" s="15" t="n"/>
      <c r="W304" s="5" t="inlineStr">
        <is>
          <t>Y</t>
        </is>
      </c>
      <c r="X304" s="5" t="n"/>
      <c r="Y304" s="5" t="n"/>
      <c r="Z304" s="5" t="n"/>
      <c r="AA304" s="5" t="n"/>
    </row>
    <row r="305">
      <c r="A305" s="10" t="inlineStr">
        <is>
          <t>F51</t>
        </is>
      </c>
      <c r="B305" s="10" t="inlineStr">
        <is>
          <t>FP</t>
        </is>
      </c>
      <c r="C305" s="10" t="inlineStr">
        <is>
          <t>Burning Fat  |  Coleus Forskohlii Root Dry Extract 10:1, Chromium Picolinate (+5 more)</t>
        </is>
      </c>
      <c r="D305" s="10" t="inlineStr">
        <is>
          <t>Dissolution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14">
        <f>IF(N305="","",IF(OR(M305="",O305=""),N305,(M305+4*N305+O305)/6))</f>
        <v/>
      </c>
      <c r="Q305" s="5" t="n"/>
      <c r="R305" s="5" t="n"/>
      <c r="S305" s="5" t="n"/>
      <c r="T305" s="5" t="n"/>
      <c r="U305" s="5" t="n"/>
      <c r="V305" s="15" t="n"/>
      <c r="W305" s="5" t="inlineStr">
        <is>
          <t>Y</t>
        </is>
      </c>
      <c r="X305" s="5" t="n"/>
      <c r="Y305" s="5" t="n"/>
      <c r="Z305" s="5" t="n"/>
      <c r="AA305" s="5" t="n"/>
    </row>
    <row r="306">
      <c r="A306" s="10" t="inlineStr">
        <is>
          <t>F51</t>
        </is>
      </c>
      <c r="B306" s="10" t="inlineStr">
        <is>
          <t>FP</t>
        </is>
      </c>
      <c r="C306" s="10" t="inlineStr">
        <is>
          <t>Burning Fat  |  Coleus Forskohlii Root Dry Extract 10:1, Chromium Picolinate (+5 more)</t>
        </is>
      </c>
      <c r="D306" s="10" t="inlineStr">
        <is>
          <t>Content uniformity</t>
        </is>
      </c>
      <c r="E306" s="10">
        <f>IF(A306="","",A306&amp;"|"&amp;D306)</f>
        <v/>
      </c>
      <c r="F306" s="5" t="inlineStr">
        <is>
          <t>N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14">
        <f>IF(N306="","",IF(OR(M306="",O306=""),N306,(M306+4*N306+O306)/6))</f>
        <v/>
      </c>
      <c r="Q306" s="5" t="n"/>
      <c r="R306" s="5" t="n"/>
      <c r="S306" s="5" t="n"/>
      <c r="T306" s="5" t="n"/>
      <c r="U306" s="5" t="n"/>
      <c r="V306" s="15" t="n"/>
      <c r="W306" s="5" t="inlineStr">
        <is>
          <t>N</t>
        </is>
      </c>
      <c r="X306" s="5" t="n"/>
      <c r="Y306" s="5" t="n"/>
      <c r="Z306" s="5" t="n"/>
      <c r="AA306" s="5" t="n"/>
    </row>
    <row r="307">
      <c r="A307" s="10" t="inlineStr">
        <is>
          <t>F51</t>
        </is>
      </c>
      <c r="B307" s="10" t="inlineStr">
        <is>
          <t>FP</t>
        </is>
      </c>
      <c r="C307" s="10" t="inlineStr">
        <is>
          <t>Burning Fat  |  Coleus Forskohlii Root Dry Extract 10:1, Chromium Picolinate (+5 more)</t>
        </is>
      </c>
      <c r="D307" s="10" t="inlineStr">
        <is>
          <t>Identification (if separate from assay)</t>
        </is>
      </c>
      <c r="E307" s="10">
        <f>IF(A307="","",A307&amp;"|"&amp;D307)</f>
        <v/>
      </c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14">
        <f>IF(N307="","",IF(OR(M307="",O307=""),N307,(M307+4*N307+O307)/6))</f>
        <v/>
      </c>
      <c r="Q307" s="5" t="n"/>
      <c r="R307" s="5" t="n"/>
      <c r="S307" s="5" t="n"/>
      <c r="T307" s="5" t="n"/>
      <c r="U307" s="5" t="n"/>
      <c r="V307" s="15" t="n"/>
      <c r="W307" s="5" t="inlineStr">
        <is>
          <t>N</t>
        </is>
      </c>
      <c r="X307" s="5" t="n"/>
      <c r="Y307" s="5" t="n"/>
      <c r="Z307" s="5" t="n"/>
      <c r="AA307" s="5" t="n"/>
    </row>
    <row r="308">
      <c r="A308" s="10" t="inlineStr">
        <is>
          <t>F51</t>
        </is>
      </c>
      <c r="B308" s="10" t="inlineStr">
        <is>
          <t>FP</t>
        </is>
      </c>
      <c r="C308" s="10" t="inlineStr">
        <is>
          <t>Burning Fat  |  Coleus Forskohlii Root Dry Extract 10:1, Chromium Picolinate (+5 more)</t>
        </is>
      </c>
      <c r="D308" s="10" t="inlineStr">
        <is>
          <t>Other tests (non-HPLC: physical, LOD/KF, disintegration, pH, micro...)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Other / bench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Y</t>
        </is>
      </c>
      <c r="X308" s="5" t="n"/>
      <c r="Y308" s="5" t="n"/>
      <c r="Z308" s="5" t="n"/>
      <c r="AA308" s="5" t="n"/>
    </row>
    <row r="309">
      <c r="A309" s="10" t="inlineStr">
        <is>
          <t>F52</t>
        </is>
      </c>
      <c r="B309" s="10" t="inlineStr">
        <is>
          <t>FP</t>
        </is>
      </c>
      <c r="C309" s="10" t="inlineStr">
        <is>
          <t>Co-Enzyme Q10 (30mg); Co-Enzyme Q10 (100mg)  |  Ubidecarenone (Co-Q10)</t>
        </is>
      </c>
      <c r="D309" s="10" t="inlineStr">
        <is>
          <t>Assay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HPLC</t>
        </is>
      </c>
      <c r="H309" s="5" t="inlineStr">
        <is>
          <t>Low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14">
        <f>IF(N309="","",IF(OR(M309="",O309=""),N309,(M309+4*N309+O309)/6))</f>
        <v/>
      </c>
      <c r="Q309" s="5" t="n"/>
      <c r="R309" s="5" t="n"/>
      <c r="S309" s="5" t="n"/>
      <c r="T309" s="5" t="n"/>
      <c r="U309" s="5" t="n"/>
      <c r="V309" s="15" t="n"/>
      <c r="W309" s="5" t="inlineStr">
        <is>
          <t>Y</t>
        </is>
      </c>
      <c r="X309" s="5" t="n"/>
      <c r="Y309" s="5" t="n"/>
      <c r="Z309" s="5" t="n"/>
      <c r="AA309" s="5" t="n"/>
    </row>
    <row r="310">
      <c r="A310" s="10" t="inlineStr">
        <is>
          <t>F52</t>
        </is>
      </c>
      <c r="B310" s="10" t="inlineStr">
        <is>
          <t>FP</t>
        </is>
      </c>
      <c r="C310" s="10" t="inlineStr">
        <is>
          <t>Co-Enzyme Q10 (30mg); Co-Enzyme Q10 (100mg)  |  Ubidecarenone (Co-Q10)</t>
        </is>
      </c>
      <c r="D310" s="10" t="inlineStr">
        <is>
          <t>Related substances / impurities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HPLC</t>
        </is>
      </c>
      <c r="H310" s="5" t="inlineStr">
        <is>
          <t>Low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14">
        <f>IF(N310="","",IF(OR(M310="",O310=""),N310,(M310+4*N310+O310)/6))</f>
        <v/>
      </c>
      <c r="Q310" s="5" t="n"/>
      <c r="R310" s="5" t="n"/>
      <c r="S310" s="5" t="n"/>
      <c r="T310" s="5" t="n"/>
      <c r="U310" s="5" t="n"/>
      <c r="V310" s="15" t="n"/>
      <c r="W310" s="5" t="inlineStr">
        <is>
          <t>Y</t>
        </is>
      </c>
      <c r="X310" s="5" t="n"/>
      <c r="Y310" s="5" t="n"/>
      <c r="Z310" s="5" t="n"/>
      <c r="AA310" s="5" t="n"/>
    </row>
    <row r="311">
      <c r="A311" s="10" t="inlineStr">
        <is>
          <t>F52</t>
        </is>
      </c>
      <c r="B311" s="10" t="inlineStr">
        <is>
          <t>FP</t>
        </is>
      </c>
      <c r="C311" s="10" t="inlineStr">
        <is>
          <t>Co-Enzyme Q10 (30mg); Co-Enzyme Q10 (100mg)  |  Ubidecarenone (Co-Q10)</t>
        </is>
      </c>
      <c r="D311" s="10" t="inlineStr">
        <is>
          <t>Dissolution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Low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Y</t>
        </is>
      </c>
      <c r="X311" s="5" t="n"/>
      <c r="Y311" s="5" t="n"/>
      <c r="Z311" s="5" t="n"/>
      <c r="AA311" s="5" t="n"/>
    </row>
    <row r="312">
      <c r="A312" s="10" t="inlineStr">
        <is>
          <t>F52</t>
        </is>
      </c>
      <c r="B312" s="10" t="inlineStr">
        <is>
          <t>FP</t>
        </is>
      </c>
      <c r="C312" s="10" t="inlineStr">
        <is>
          <t>Co-Enzyme Q10 (30mg); Co-Enzyme Q10 (100mg)  |  Ubidecarenone (Co-Q10)</t>
        </is>
      </c>
      <c r="D312" s="10" t="inlineStr">
        <is>
          <t>Content uniformity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HPLC</t>
        </is>
      </c>
      <c r="H312" s="5" t="inlineStr">
        <is>
          <t>Low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14">
        <f>IF(N312="","",IF(OR(M312="",O312=""),N312,(M312+4*N312+O312)/6))</f>
        <v/>
      </c>
      <c r="Q312" s="5" t="n"/>
      <c r="R312" s="5" t="n"/>
      <c r="S312" s="5" t="n"/>
      <c r="T312" s="5" t="n"/>
      <c r="U312" s="5" t="n"/>
      <c r="V312" s="15" t="n"/>
      <c r="W312" s="5" t="inlineStr">
        <is>
          <t>N</t>
        </is>
      </c>
      <c r="X312" s="5" t="n"/>
      <c r="Y312" s="5" t="n"/>
      <c r="Z312" s="5" t="n"/>
      <c r="AA312" s="5" t="n"/>
    </row>
    <row r="313">
      <c r="A313" s="10" t="inlineStr">
        <is>
          <t>F52</t>
        </is>
      </c>
      <c r="B313" s="10" t="inlineStr">
        <is>
          <t>FP</t>
        </is>
      </c>
      <c r="C313" s="10" t="inlineStr">
        <is>
          <t>Co-Enzyme Q10 (30mg); Co-Enzyme Q10 (100mg)  |  Ubidecarenone (Co-Q10)</t>
        </is>
      </c>
      <c r="D313" s="10" t="inlineStr">
        <is>
          <t>Identification (if separate from assay)</t>
        </is>
      </c>
      <c r="E313" s="10">
        <f>IF(A313="","",A313&amp;"|"&amp;D313)</f>
        <v/>
      </c>
      <c r="F313" s="5" t="inlineStr">
        <is>
          <t>N</t>
        </is>
      </c>
      <c r="G313" s="5" t="inlineStr">
        <is>
          <t>HPLC</t>
        </is>
      </c>
      <c r="H313" s="5" t="inlineStr">
        <is>
          <t>Low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14">
        <f>IF(N313="","",IF(OR(M313="",O313=""),N313,(M313+4*N313+O313)/6))</f>
        <v/>
      </c>
      <c r="Q313" s="5" t="n"/>
      <c r="R313" s="5" t="n"/>
      <c r="S313" s="5" t="n"/>
      <c r="T313" s="5" t="n"/>
      <c r="U313" s="5" t="n"/>
      <c r="V313" s="15" t="n"/>
      <c r="W313" s="5" t="inlineStr">
        <is>
          <t>N</t>
        </is>
      </c>
      <c r="X313" s="5" t="n"/>
      <c r="Y313" s="5" t="n"/>
      <c r="Z313" s="5" t="n"/>
      <c r="AA313" s="5" t="n"/>
    </row>
    <row r="314">
      <c r="A314" s="10" t="inlineStr">
        <is>
          <t>F52</t>
        </is>
      </c>
      <c r="B314" s="10" t="inlineStr">
        <is>
          <t>FP</t>
        </is>
      </c>
      <c r="C314" s="10" t="inlineStr">
        <is>
          <t>Co-Enzyme Q10 (30mg); Co-Enzyme Q10 (100mg)  |  Ubidecarenone (Co-Q10)</t>
        </is>
      </c>
      <c r="D314" s="10" t="inlineStr">
        <is>
          <t>Other tests (non-HPLC: physical, LOD/KF, disintegration, pH, micro...)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14">
        <f>IF(N314="","",IF(OR(M314="",O314=""),N314,(M314+4*N314+O314)/6))</f>
        <v/>
      </c>
      <c r="Q314" s="5" t="n"/>
      <c r="R314" s="5" t="n"/>
      <c r="S314" s="5" t="n"/>
      <c r="T314" s="5" t="n"/>
      <c r="U314" s="5" t="n"/>
      <c r="V314" s="15" t="n"/>
      <c r="W314" s="5" t="inlineStr">
        <is>
          <t>Y</t>
        </is>
      </c>
      <c r="X314" s="5" t="n"/>
      <c r="Y314" s="5" t="n"/>
      <c r="Z314" s="5" t="n"/>
      <c r="AA314" s="5" t="n"/>
    </row>
    <row r="315">
      <c r="A315" s="10" t="inlineStr">
        <is>
          <t>F53</t>
        </is>
      </c>
      <c r="B315" s="10" t="inlineStr">
        <is>
          <t>FP</t>
        </is>
      </c>
      <c r="C315" s="10" t="inlineStr">
        <is>
          <t>Digestive Aid (30); Digestive Aid (60)  |  Marshmallow Dry Extract 3:1, Liquorice Dry Extract 8:1 (+4 more)</t>
        </is>
      </c>
      <c r="D315" s="10" t="inlineStr">
        <is>
          <t>Assay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HPLC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14">
        <f>IF(N315="","",IF(OR(M315="",O315=""),N315,(M315+4*N315+O315)/6))</f>
        <v/>
      </c>
      <c r="Q315" s="5" t="n"/>
      <c r="R315" s="5" t="n"/>
      <c r="S315" s="5" t="n"/>
      <c r="T315" s="5" t="n"/>
      <c r="U315" s="5" t="n"/>
      <c r="V315" s="15" t="n"/>
      <c r="W315" s="5" t="inlineStr">
        <is>
          <t>Y</t>
        </is>
      </c>
      <c r="X315" s="5" t="n"/>
      <c r="Y315" s="5" t="n"/>
      <c r="Z315" s="5" t="inlineStr">
        <is>
          <t>Multi-active product: enter number of separate HPLC/AAS methods in col I</t>
        </is>
      </c>
      <c r="AA315" s="5" t="n"/>
    </row>
    <row r="316">
      <c r="A316" s="10" t="inlineStr">
        <is>
          <t>F53</t>
        </is>
      </c>
      <c r="B316" s="10" t="inlineStr">
        <is>
          <t>FP</t>
        </is>
      </c>
      <c r="C316" s="10" t="inlineStr">
        <is>
          <t>Digestive Aid (30); Digestive Aid (60)  |  Marshmallow Dry Extract 3:1, Liquorice Dry Extract 8:1 (+4 more)</t>
        </is>
      </c>
      <c r="D316" s="10" t="inlineStr">
        <is>
          <t>Related substances / impurities</t>
        </is>
      </c>
      <c r="E316" s="10">
        <f>IF(A316="","",A316&amp;"|"&amp;D316)</f>
        <v/>
      </c>
      <c r="F316" s="5" t="inlineStr">
        <is>
          <t>N</t>
        </is>
      </c>
      <c r="G316" s="5" t="inlineStr">
        <is>
          <t>HPLC</t>
        </is>
      </c>
      <c r="H316" s="5" t="inlineStr">
        <is>
          <t>High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14">
        <f>IF(N316="","",IF(OR(M316="",O316=""),N316,(M316+4*N316+O316)/6))</f>
        <v/>
      </c>
      <c r="Q316" s="5" t="n"/>
      <c r="R316" s="5" t="n"/>
      <c r="S316" s="5" t="n"/>
      <c r="T316" s="5" t="n"/>
      <c r="U316" s="5" t="n"/>
      <c r="V316" s="15" t="n"/>
      <c r="W316" s="5" t="inlineStr">
        <is>
          <t>Y</t>
        </is>
      </c>
      <c r="X316" s="5" t="n"/>
      <c r="Y316" s="5" t="n"/>
      <c r="Z316" s="5" t="n"/>
      <c r="AA316" s="5" t="n"/>
    </row>
    <row r="317">
      <c r="A317" s="10" t="inlineStr">
        <is>
          <t>F53</t>
        </is>
      </c>
      <c r="B317" s="10" t="inlineStr">
        <is>
          <t>FP</t>
        </is>
      </c>
      <c r="C317" s="10" t="inlineStr">
        <is>
          <t>Digestive Aid (30); Digestive Aid (60)  |  Marshmallow Dry Extract 3:1, Liquorice Dry Extract 8:1 (+4 more)</t>
        </is>
      </c>
      <c r="D317" s="10" t="inlineStr">
        <is>
          <t>Dissolution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HPLC</t>
        </is>
      </c>
      <c r="H317" s="5" t="inlineStr">
        <is>
          <t>High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14">
        <f>IF(N317="","",IF(OR(M317="",O317=""),N317,(M317+4*N317+O317)/6))</f>
        <v/>
      </c>
      <c r="Q317" s="5" t="n"/>
      <c r="R317" s="5" t="n"/>
      <c r="S317" s="5" t="n"/>
      <c r="T317" s="5" t="n"/>
      <c r="U317" s="5" t="n"/>
      <c r="V317" s="15" t="n"/>
      <c r="W317" s="5" t="inlineStr">
        <is>
          <t>Y</t>
        </is>
      </c>
      <c r="X317" s="5" t="n"/>
      <c r="Y317" s="5" t="n"/>
      <c r="Z317" s="5" t="n"/>
      <c r="AA317" s="5" t="n"/>
    </row>
    <row r="318">
      <c r="A318" s="10" t="inlineStr">
        <is>
          <t>F53</t>
        </is>
      </c>
      <c r="B318" s="10" t="inlineStr">
        <is>
          <t>FP</t>
        </is>
      </c>
      <c r="C318" s="10" t="inlineStr">
        <is>
          <t>Digestive Aid (30); Digestive Aid (60)  |  Marshmallow Dry Extract 3:1, Liquorice Dry Extract 8:1 (+4 more)</t>
        </is>
      </c>
      <c r="D318" s="10" t="inlineStr">
        <is>
          <t>Content uniformity</t>
        </is>
      </c>
      <c r="E318" s="10">
        <f>IF(A318="","",A318&amp;"|"&amp;D318)</f>
        <v/>
      </c>
      <c r="F318" s="5" t="inlineStr">
        <is>
          <t>N</t>
        </is>
      </c>
      <c r="G318" s="5" t="inlineStr">
        <is>
          <t>HPLC</t>
        </is>
      </c>
      <c r="H318" s="5" t="inlineStr">
        <is>
          <t>High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14">
        <f>IF(N318="","",IF(OR(M318="",O318=""),N318,(M318+4*N318+O318)/6))</f>
        <v/>
      </c>
      <c r="Q318" s="5" t="n"/>
      <c r="R318" s="5" t="n"/>
      <c r="S318" s="5" t="n"/>
      <c r="T318" s="5" t="n"/>
      <c r="U318" s="5" t="n"/>
      <c r="V318" s="15" t="n"/>
      <c r="W318" s="5" t="inlineStr">
        <is>
          <t>N</t>
        </is>
      </c>
      <c r="X318" s="5" t="n"/>
      <c r="Y318" s="5" t="n"/>
      <c r="Z318" s="5" t="n"/>
      <c r="AA318" s="5" t="n"/>
    </row>
    <row r="319">
      <c r="A319" s="10" t="inlineStr">
        <is>
          <t>F53</t>
        </is>
      </c>
      <c r="B319" s="10" t="inlineStr">
        <is>
          <t>FP</t>
        </is>
      </c>
      <c r="C319" s="10" t="inlineStr">
        <is>
          <t>Digestive Aid (30); Digestive Aid (60)  |  Marshmallow Dry Extract 3:1, Liquorice Dry Extract 8:1 (+4 more)</t>
        </is>
      </c>
      <c r="D319" s="10" t="inlineStr">
        <is>
          <t>Identification (if separate from assay)</t>
        </is>
      </c>
      <c r="E319" s="10">
        <f>IF(A319="","",A319&amp;"|"&amp;D319)</f>
        <v/>
      </c>
      <c r="F319" s="5" t="inlineStr">
        <is>
          <t>N</t>
        </is>
      </c>
      <c r="G319" s="5" t="inlineStr">
        <is>
          <t>HPLC</t>
        </is>
      </c>
      <c r="H319" s="5" t="inlineStr">
        <is>
          <t>High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14">
        <f>IF(N319="","",IF(OR(M319="",O319=""),N319,(M319+4*N319+O319)/6))</f>
        <v/>
      </c>
      <c r="Q319" s="5" t="n"/>
      <c r="R319" s="5" t="n"/>
      <c r="S319" s="5" t="n"/>
      <c r="T319" s="5" t="n"/>
      <c r="U319" s="5" t="n"/>
      <c r="V319" s="15" t="n"/>
      <c r="W319" s="5" t="inlineStr">
        <is>
          <t>N</t>
        </is>
      </c>
      <c r="X319" s="5" t="n"/>
      <c r="Y319" s="5" t="n"/>
      <c r="Z319" s="5" t="n"/>
      <c r="AA319" s="5" t="n"/>
    </row>
    <row r="320">
      <c r="A320" s="10" t="inlineStr">
        <is>
          <t>F53</t>
        </is>
      </c>
      <c r="B320" s="10" t="inlineStr">
        <is>
          <t>FP</t>
        </is>
      </c>
      <c r="C320" s="10" t="inlineStr">
        <is>
          <t>Digestive Aid (30); Digestive Aid (60)  |  Marshmallow Dry Extract 3:1, Liquorice Dry Extract 8:1 (+4 more)</t>
        </is>
      </c>
      <c r="D320" s="10" t="inlineStr">
        <is>
          <t>Other tests (non-HPLC: physical, LOD/KF, disintegration, pH, micro...)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High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14">
        <f>IF(N320="","",IF(OR(M320="",O320=""),N320,(M320+4*N320+O320)/6))</f>
        <v/>
      </c>
      <c r="Q320" s="5" t="n"/>
      <c r="R320" s="5" t="n"/>
      <c r="S320" s="5" t="n"/>
      <c r="T320" s="5" t="n"/>
      <c r="U320" s="5" t="n"/>
      <c r="V320" s="15" t="n"/>
      <c r="W320" s="5" t="inlineStr">
        <is>
          <t>Y</t>
        </is>
      </c>
      <c r="X320" s="5" t="n"/>
      <c r="Y320" s="5" t="n"/>
      <c r="Z320" s="5" t="n"/>
      <c r="AA320" s="5" t="n"/>
    </row>
    <row r="321">
      <c r="A321" s="10" t="inlineStr">
        <is>
          <t>F54</t>
        </is>
      </c>
      <c r="B321" s="10" t="inlineStr">
        <is>
          <t>FP</t>
        </is>
      </c>
      <c r="C321" s="10" t="inlineStr">
        <is>
          <t>Celer-X Forte  |  Apium Graveolens Seed Dry Extract 6:1, Juniper Communis Fruit Dry Extract 2:1 (+1 more)</t>
        </is>
      </c>
      <c r="D321" s="10" t="inlineStr">
        <is>
          <t>Assay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HPLC</t>
        </is>
      </c>
      <c r="H321" s="5" t="inlineStr">
        <is>
          <t>Medium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14">
        <f>IF(N321="","",IF(OR(M321="",O321=""),N321,(M321+4*N321+O321)/6))</f>
        <v/>
      </c>
      <c r="Q321" s="5" t="n"/>
      <c r="R321" s="5" t="n"/>
      <c r="S321" s="5" t="n"/>
      <c r="T321" s="5" t="n"/>
      <c r="U321" s="5" t="n"/>
      <c r="V321" s="15" t="n"/>
      <c r="W321" s="5" t="inlineStr">
        <is>
          <t>Y</t>
        </is>
      </c>
      <c r="X321" s="5" t="n"/>
      <c r="Y321" s="5" t="n"/>
      <c r="Z321" s="5" t="n"/>
      <c r="AA321" s="5" t="n"/>
    </row>
    <row r="322">
      <c r="A322" s="10" t="inlineStr">
        <is>
          <t>F54</t>
        </is>
      </c>
      <c r="B322" s="10" t="inlineStr">
        <is>
          <t>FP</t>
        </is>
      </c>
      <c r="C322" s="10" t="inlineStr">
        <is>
          <t>Celer-X Forte  |  Apium Graveolens Seed Dry Extract 6:1, Juniper Communis Fruit Dry Extract 2:1 (+1 more)</t>
        </is>
      </c>
      <c r="D322" s="10" t="inlineStr">
        <is>
          <t>Related substances / impurities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Y</t>
        </is>
      </c>
      <c r="X322" s="5" t="n"/>
      <c r="Y322" s="5" t="n"/>
      <c r="Z322" s="5" t="n"/>
      <c r="AA322" s="5" t="n"/>
    </row>
    <row r="323">
      <c r="A323" s="10" t="inlineStr">
        <is>
          <t>F54</t>
        </is>
      </c>
      <c r="B323" s="10" t="inlineStr">
        <is>
          <t>FP</t>
        </is>
      </c>
      <c r="C323" s="10" t="inlineStr">
        <is>
          <t>Celer-X Forte  |  Apium Graveolens Seed Dry Extract 6:1, Juniper Communis Fruit Dry Extract 2:1 (+1 more)</t>
        </is>
      </c>
      <c r="D323" s="10" t="inlineStr">
        <is>
          <t>Dissolution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HPLC</t>
        </is>
      </c>
      <c r="H323" s="5" t="inlineStr">
        <is>
          <t>Medium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14">
        <f>IF(N323="","",IF(OR(M323="",O323=""),N323,(M323+4*N323+O323)/6))</f>
        <v/>
      </c>
      <c r="Q323" s="5" t="n"/>
      <c r="R323" s="5" t="n"/>
      <c r="S323" s="5" t="n"/>
      <c r="T323" s="5" t="n"/>
      <c r="U323" s="5" t="n"/>
      <c r="V323" s="15" t="n"/>
      <c r="W323" s="5" t="inlineStr">
        <is>
          <t>Y</t>
        </is>
      </c>
      <c r="X323" s="5" t="n"/>
      <c r="Y323" s="5" t="n"/>
      <c r="Z323" s="5" t="n"/>
      <c r="AA323" s="5" t="n"/>
    </row>
    <row r="324">
      <c r="A324" s="10" t="inlineStr">
        <is>
          <t>F54</t>
        </is>
      </c>
      <c r="B324" s="10" t="inlineStr">
        <is>
          <t>FP</t>
        </is>
      </c>
      <c r="C324" s="10" t="inlineStr">
        <is>
          <t>Celer-X Forte  |  Apium Graveolens Seed Dry Extract 6:1, Juniper Communis Fruit Dry Extract 2:1 (+1 more)</t>
        </is>
      </c>
      <c r="D324" s="10" t="inlineStr">
        <is>
          <t>Content uniformity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HPLC</t>
        </is>
      </c>
      <c r="H324" s="5" t="inlineStr">
        <is>
          <t>Medium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14">
        <f>IF(N324="","",IF(OR(M324="",O324=""),N324,(M324+4*N324+O324)/6))</f>
        <v/>
      </c>
      <c r="Q324" s="5" t="n"/>
      <c r="R324" s="5" t="n"/>
      <c r="S324" s="5" t="n"/>
      <c r="T324" s="5" t="n"/>
      <c r="U324" s="5" t="n"/>
      <c r="V324" s="15" t="n"/>
      <c r="W324" s="5" t="inlineStr">
        <is>
          <t>N</t>
        </is>
      </c>
      <c r="X324" s="5" t="n"/>
      <c r="Y324" s="5" t="n"/>
      <c r="Z324" s="5" t="n"/>
      <c r="AA324" s="5" t="n"/>
    </row>
    <row r="325">
      <c r="A325" s="10" t="inlineStr">
        <is>
          <t>F54</t>
        </is>
      </c>
      <c r="B325" s="10" t="inlineStr">
        <is>
          <t>FP</t>
        </is>
      </c>
      <c r="C325" s="10" t="inlineStr">
        <is>
          <t>Celer-X Forte  |  Apium Graveolens Seed Dry Extract 6:1, Juniper Communis Fruit Dry Extract 2:1 (+1 more)</t>
        </is>
      </c>
      <c r="D325" s="10" t="inlineStr">
        <is>
          <t>Identification (if separate from assay)</t>
        </is>
      </c>
      <c r="E325" s="10">
        <f>IF(A325="","",A325&amp;"|"&amp;D325)</f>
        <v/>
      </c>
      <c r="F325" s="5" t="inlineStr">
        <is>
          <t>N</t>
        </is>
      </c>
      <c r="G325" s="5" t="inlineStr">
        <is>
          <t>HPLC</t>
        </is>
      </c>
      <c r="H325" s="5" t="inlineStr">
        <is>
          <t>Medium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14">
        <f>IF(N325="","",IF(OR(M325="",O325=""),N325,(M325+4*N325+O325)/6))</f>
        <v/>
      </c>
      <c r="Q325" s="5" t="n"/>
      <c r="R325" s="5" t="n"/>
      <c r="S325" s="5" t="n"/>
      <c r="T325" s="5" t="n"/>
      <c r="U325" s="5" t="n"/>
      <c r="V325" s="15" t="n"/>
      <c r="W325" s="5" t="inlineStr">
        <is>
          <t>N</t>
        </is>
      </c>
      <c r="X325" s="5" t="n"/>
      <c r="Y325" s="5" t="n"/>
      <c r="Z325" s="5" t="n"/>
      <c r="AA325" s="5" t="n"/>
    </row>
    <row r="326">
      <c r="A326" s="10" t="inlineStr">
        <is>
          <t>F54</t>
        </is>
      </c>
      <c r="B326" s="10" t="inlineStr">
        <is>
          <t>FP</t>
        </is>
      </c>
      <c r="C326" s="10" t="inlineStr">
        <is>
          <t>Celer-X Forte  |  Apium Graveolens Seed Dry Extract 6:1, Juniper Communis Fruit Dry Extract 2:1 (+1 more)</t>
        </is>
      </c>
      <c r="D326" s="10" t="inlineStr">
        <is>
          <t>Other tests (non-HPLC: physical, LOD/KF, disintegration, pH, micro...)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Other / bench</t>
        </is>
      </c>
      <c r="H326" s="5" t="inlineStr">
        <is>
          <t>Medium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Y</t>
        </is>
      </c>
      <c r="X326" s="5" t="n"/>
      <c r="Y326" s="5" t="n"/>
      <c r="Z326" s="5" t="n"/>
      <c r="AA326" s="5" t="n"/>
    </row>
    <row r="327">
      <c r="A327" s="10" t="inlineStr">
        <is>
          <t>F55</t>
        </is>
      </c>
      <c r="B327" s="10" t="inlineStr">
        <is>
          <t>FP</t>
        </is>
      </c>
      <c r="C327" s="10" t="inlineStr">
        <is>
          <t>Opti Woman 30 Cap; Opti Woman 60 Cap  |  Biotin (Vitamin B7), Folic Acid (Vitamin B9) (+22 more)</t>
        </is>
      </c>
      <c r="D327" s="10" t="inlineStr">
        <is>
          <t>Assay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HPLC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14">
        <f>IF(N327="","",IF(OR(M327="",O327=""),N327,(M327+4*N327+O327)/6))</f>
        <v/>
      </c>
      <c r="Q327" s="5" t="n"/>
      <c r="R327" s="5" t="n"/>
      <c r="S327" s="5" t="n"/>
      <c r="T327" s="5" t="n"/>
      <c r="U327" s="5" t="n"/>
      <c r="V327" s="15" t="n"/>
      <c r="W327" s="5" t="inlineStr">
        <is>
          <t>Y</t>
        </is>
      </c>
      <c r="X327" s="5" t="n"/>
      <c r="Y327" s="5" t="n"/>
      <c r="Z327" s="5" t="inlineStr">
        <is>
          <t>Multi-active product: enter number of separate HPLC/AAS methods in col I</t>
        </is>
      </c>
      <c r="AA327" s="5" t="n"/>
    </row>
    <row r="328">
      <c r="A328" s="10" t="inlineStr">
        <is>
          <t>F55</t>
        </is>
      </c>
      <c r="B328" s="10" t="inlineStr">
        <is>
          <t>FP</t>
        </is>
      </c>
      <c r="C328" s="10" t="inlineStr">
        <is>
          <t>Opti Woman 30 Cap; Opti Woman 60 Cap  |  Biotin (Vitamin B7), Folic Acid (Vitamin B9) (+22 more)</t>
        </is>
      </c>
      <c r="D328" s="10" t="inlineStr">
        <is>
          <t>Related substances / impurities</t>
        </is>
      </c>
      <c r="E328" s="10">
        <f>IF(A328="","",A328&amp;"|"&amp;D328)</f>
        <v/>
      </c>
      <c r="F328" s="5" t="inlineStr">
        <is>
          <t>N</t>
        </is>
      </c>
      <c r="G328" s="5" t="inlineStr">
        <is>
          <t>HPLC</t>
        </is>
      </c>
      <c r="H328" s="5" t="inlineStr">
        <is>
          <t>High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14">
        <f>IF(N328="","",IF(OR(M328="",O328=""),N328,(M328+4*N328+O328)/6))</f>
        <v/>
      </c>
      <c r="Q328" s="5" t="n"/>
      <c r="R328" s="5" t="n"/>
      <c r="S328" s="5" t="n"/>
      <c r="T328" s="5" t="n"/>
      <c r="U328" s="5" t="n"/>
      <c r="V328" s="15" t="n"/>
      <c r="W328" s="5" t="inlineStr">
        <is>
          <t>Y</t>
        </is>
      </c>
      <c r="X328" s="5" t="n"/>
      <c r="Y328" s="5" t="n"/>
      <c r="Z328" s="5" t="n"/>
      <c r="AA328" s="5" t="n"/>
    </row>
    <row r="329">
      <c r="A329" s="10" t="inlineStr">
        <is>
          <t>F55</t>
        </is>
      </c>
      <c r="B329" s="10" t="inlineStr">
        <is>
          <t>FP</t>
        </is>
      </c>
      <c r="C329" s="10" t="inlineStr">
        <is>
          <t>Opti Woman 30 Cap; Opti Woman 60 Cap  |  Biotin (Vitamin B7), Folic Acid (Vitamin B9) (+22 more)</t>
        </is>
      </c>
      <c r="D329" s="10" t="inlineStr">
        <is>
          <t>Dissolution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HPLC</t>
        </is>
      </c>
      <c r="H329" s="5" t="inlineStr">
        <is>
          <t>High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14">
        <f>IF(N329="","",IF(OR(M329="",O329=""),N329,(M329+4*N329+O329)/6))</f>
        <v/>
      </c>
      <c r="Q329" s="5" t="n"/>
      <c r="R329" s="5" t="n"/>
      <c r="S329" s="5" t="n"/>
      <c r="T329" s="5" t="n"/>
      <c r="U329" s="5" t="n"/>
      <c r="V329" s="15" t="n"/>
      <c r="W329" s="5" t="inlineStr">
        <is>
          <t>Y</t>
        </is>
      </c>
      <c r="X329" s="5" t="n"/>
      <c r="Y329" s="5" t="n"/>
      <c r="Z329" s="5" t="n"/>
      <c r="AA329" s="5" t="n"/>
    </row>
    <row r="330">
      <c r="A330" s="10" t="inlineStr">
        <is>
          <t>F55</t>
        </is>
      </c>
      <c r="B330" s="10" t="inlineStr">
        <is>
          <t>FP</t>
        </is>
      </c>
      <c r="C330" s="10" t="inlineStr">
        <is>
          <t>Opti Woman 30 Cap; Opti Woman 60 Cap  |  Biotin (Vitamin B7), Folic Acid (Vitamin B9) (+22 more)</t>
        </is>
      </c>
      <c r="D330" s="10" t="inlineStr">
        <is>
          <t>Content uniformity</t>
        </is>
      </c>
      <c r="E330" s="10">
        <f>IF(A330="","",A330&amp;"|"&amp;D330)</f>
        <v/>
      </c>
      <c r="F330" s="5" t="inlineStr">
        <is>
          <t>N</t>
        </is>
      </c>
      <c r="G330" s="5" t="inlineStr">
        <is>
          <t>HPLC</t>
        </is>
      </c>
      <c r="H330" s="5" t="inlineStr">
        <is>
          <t>High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14">
        <f>IF(N330="","",IF(OR(M330="",O330=""),N330,(M330+4*N330+O330)/6))</f>
        <v/>
      </c>
      <c r="Q330" s="5" t="n"/>
      <c r="R330" s="5" t="n"/>
      <c r="S330" s="5" t="n"/>
      <c r="T330" s="5" t="n"/>
      <c r="U330" s="5" t="n"/>
      <c r="V330" s="15" t="n"/>
      <c r="W330" s="5" t="inlineStr">
        <is>
          <t>N</t>
        </is>
      </c>
      <c r="X330" s="5" t="n"/>
      <c r="Y330" s="5" t="n"/>
      <c r="Z330" s="5" t="n"/>
      <c r="AA330" s="5" t="n"/>
    </row>
    <row r="331">
      <c r="A331" s="10" t="inlineStr">
        <is>
          <t>F55</t>
        </is>
      </c>
      <c r="B331" s="10" t="inlineStr">
        <is>
          <t>FP</t>
        </is>
      </c>
      <c r="C331" s="10" t="inlineStr">
        <is>
          <t>Opti Woman 30 Cap; Opti Woman 60 Cap  |  Biotin (Vitamin B7), Folic Acid (Vitamin B9) (+22 more)</t>
        </is>
      </c>
      <c r="D331" s="10" t="inlineStr">
        <is>
          <t>Identification (if separate from assay)</t>
        </is>
      </c>
      <c r="E331" s="10">
        <f>IF(A331="","",A331&amp;"|"&amp;D331)</f>
        <v/>
      </c>
      <c r="F331" s="5" t="inlineStr">
        <is>
          <t>N</t>
        </is>
      </c>
      <c r="G331" s="5" t="inlineStr">
        <is>
          <t>HPLC</t>
        </is>
      </c>
      <c r="H331" s="5" t="inlineStr">
        <is>
          <t>High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14">
        <f>IF(N331="","",IF(OR(M331="",O331=""),N331,(M331+4*N331+O331)/6))</f>
        <v/>
      </c>
      <c r="Q331" s="5" t="n"/>
      <c r="R331" s="5" t="n"/>
      <c r="S331" s="5" t="n"/>
      <c r="T331" s="5" t="n"/>
      <c r="U331" s="5" t="n"/>
      <c r="V331" s="15" t="n"/>
      <c r="W331" s="5" t="inlineStr">
        <is>
          <t>N</t>
        </is>
      </c>
      <c r="X331" s="5" t="n"/>
      <c r="Y331" s="5" t="n"/>
      <c r="Z331" s="5" t="n"/>
      <c r="AA331" s="5" t="n"/>
    </row>
    <row r="332">
      <c r="A332" s="10" t="inlineStr">
        <is>
          <t>F55</t>
        </is>
      </c>
      <c r="B332" s="10" t="inlineStr">
        <is>
          <t>FP</t>
        </is>
      </c>
      <c r="C332" s="10" t="inlineStr">
        <is>
          <t>Opti Woman 30 Cap; Opti Woman 60 Cap  |  Biotin (Vitamin B7), Folic Acid (Vitamin B9) (+22 more)</t>
        </is>
      </c>
      <c r="D332" s="10" t="inlineStr">
        <is>
          <t>Other tests (non-HPLC: physical, LOD/KF, disintegration, pH, micro...)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Other / bench</t>
        </is>
      </c>
      <c r="H332" s="5" t="inlineStr">
        <is>
          <t>High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14">
        <f>IF(N332="","",IF(OR(M332="",O332=""),N332,(M332+4*N332+O332)/6))</f>
        <v/>
      </c>
      <c r="Q332" s="5" t="n"/>
      <c r="R332" s="5" t="n"/>
      <c r="S332" s="5" t="n"/>
      <c r="T332" s="5" t="n"/>
      <c r="U332" s="5" t="n"/>
      <c r="V332" s="15" t="n"/>
      <c r="W332" s="5" t="inlineStr">
        <is>
          <t>Y</t>
        </is>
      </c>
      <c r="X332" s="5" t="n"/>
      <c r="Y332" s="5" t="n"/>
      <c r="Z332" s="5" t="n"/>
      <c r="AA332" s="5" t="n"/>
    </row>
    <row r="333">
      <c r="A333" s="10" t="inlineStr">
        <is>
          <t>F56</t>
        </is>
      </c>
      <c r="B333" s="10" t="inlineStr">
        <is>
          <t>FP</t>
        </is>
      </c>
      <c r="C333" s="10" t="inlineStr">
        <is>
          <t>Pregnalife  |  D-Alpha Tocopheryl Acetate 50% (Vitamin E), Magnesium Oxide Heavy (+13 more)</t>
        </is>
      </c>
      <c r="D333" s="10" t="inlineStr">
        <is>
          <t>Assay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HPLC</t>
        </is>
      </c>
      <c r="H333" s="5" t="inlineStr">
        <is>
          <t>High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14">
        <f>IF(N333="","",IF(OR(M333="",O333=""),N333,(M333+4*N333+O333)/6))</f>
        <v/>
      </c>
      <c r="Q333" s="5" t="n"/>
      <c r="R333" s="5" t="n"/>
      <c r="S333" s="5" t="n"/>
      <c r="T333" s="5" t="n"/>
      <c r="U333" s="5" t="n"/>
      <c r="V333" s="15" t="n"/>
      <c r="W333" s="5" t="inlineStr">
        <is>
          <t>Y</t>
        </is>
      </c>
      <c r="X333" s="5" t="n"/>
      <c r="Y333" s="5" t="n"/>
      <c r="Z333" s="5" t="inlineStr">
        <is>
          <t>Multi-active product: enter number of separate HPLC/AAS methods in col I</t>
        </is>
      </c>
      <c r="AA333" s="5" t="n"/>
    </row>
    <row r="334">
      <c r="A334" s="10" t="inlineStr">
        <is>
          <t>F56</t>
        </is>
      </c>
      <c r="B334" s="10" t="inlineStr">
        <is>
          <t>FP</t>
        </is>
      </c>
      <c r="C334" s="10" t="inlineStr">
        <is>
          <t>Pregnalife  |  D-Alpha Tocopheryl Acetate 50% (Vitamin E), Magnesium Oxide Heavy (+13 more)</t>
        </is>
      </c>
      <c r="D334" s="10" t="inlineStr">
        <is>
          <t>Related substances / impurities</t>
        </is>
      </c>
      <c r="E334" s="10">
        <f>IF(A334="","",A334&amp;"|"&amp;D334)</f>
        <v/>
      </c>
      <c r="F334" s="5" t="inlineStr">
        <is>
          <t>N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14">
        <f>IF(N334="","",IF(OR(M334="",O334=""),N334,(M334+4*N334+O334)/6))</f>
        <v/>
      </c>
      <c r="Q334" s="5" t="n"/>
      <c r="R334" s="5" t="n"/>
      <c r="S334" s="5" t="n"/>
      <c r="T334" s="5" t="n"/>
      <c r="U334" s="5" t="n"/>
      <c r="V334" s="15" t="n"/>
      <c r="W334" s="5" t="inlineStr">
        <is>
          <t>Y</t>
        </is>
      </c>
      <c r="X334" s="5" t="n"/>
      <c r="Y334" s="5" t="n"/>
      <c r="Z334" s="5" t="n"/>
      <c r="AA334" s="5" t="n"/>
    </row>
    <row r="335">
      <c r="A335" s="10" t="inlineStr">
        <is>
          <t>F56</t>
        </is>
      </c>
      <c r="B335" s="10" t="inlineStr">
        <is>
          <t>FP</t>
        </is>
      </c>
      <c r="C335" s="10" t="inlineStr">
        <is>
          <t>Pregnalife  |  D-Alpha Tocopheryl Acetate 50% (Vitamin E), Magnesium Oxide Heavy (+13 more)</t>
        </is>
      </c>
      <c r="D335" s="10" t="inlineStr">
        <is>
          <t>Dissolution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Y</t>
        </is>
      </c>
      <c r="X335" s="5" t="n"/>
      <c r="Y335" s="5" t="n"/>
      <c r="Z335" s="5" t="n"/>
      <c r="AA335" s="5" t="n"/>
    </row>
    <row r="336">
      <c r="A336" s="10" t="inlineStr">
        <is>
          <t>F56</t>
        </is>
      </c>
      <c r="B336" s="10" t="inlineStr">
        <is>
          <t>FP</t>
        </is>
      </c>
      <c r="C336" s="10" t="inlineStr">
        <is>
          <t>Pregnalife  |  D-Alpha Tocopheryl Acetate 50% (Vitamin E), Magnesium Oxide Heavy (+13 more)</t>
        </is>
      </c>
      <c r="D336" s="10" t="inlineStr">
        <is>
          <t>Content uniformity</t>
        </is>
      </c>
      <c r="E336" s="10">
        <f>IF(A336="","",A336&amp;"|"&amp;D336)</f>
        <v/>
      </c>
      <c r="F336" s="5" t="inlineStr">
        <is>
          <t>N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14">
        <f>IF(N336="","",IF(OR(M336="",O336=""),N336,(M336+4*N336+O336)/6))</f>
        <v/>
      </c>
      <c r="Q336" s="5" t="n"/>
      <c r="R336" s="5" t="n"/>
      <c r="S336" s="5" t="n"/>
      <c r="T336" s="5" t="n"/>
      <c r="U336" s="5" t="n"/>
      <c r="V336" s="15" t="n"/>
      <c r="W336" s="5" t="inlineStr">
        <is>
          <t>N</t>
        </is>
      </c>
      <c r="X336" s="5" t="n"/>
      <c r="Y336" s="5" t="n"/>
      <c r="Z336" s="5" t="n"/>
      <c r="AA336" s="5" t="n"/>
    </row>
    <row r="337">
      <c r="A337" s="10" t="inlineStr">
        <is>
          <t>F56</t>
        </is>
      </c>
      <c r="B337" s="10" t="inlineStr">
        <is>
          <t>FP</t>
        </is>
      </c>
      <c r="C337" s="10" t="inlineStr">
        <is>
          <t>Pregnalife  |  D-Alpha Tocopheryl Acetate 50% (Vitamin E), Magnesium Oxide Heavy (+13 more)</t>
        </is>
      </c>
      <c r="D337" s="10" t="inlineStr">
        <is>
          <t>Identification (if separate from assay)</t>
        </is>
      </c>
      <c r="E337" s="10">
        <f>IF(A337="","",A337&amp;"|"&amp;D337)</f>
        <v/>
      </c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14">
        <f>IF(N337="","",IF(OR(M337="",O337=""),N337,(M337+4*N337+O337)/6))</f>
        <v/>
      </c>
      <c r="Q337" s="5" t="n"/>
      <c r="R337" s="5" t="n"/>
      <c r="S337" s="5" t="n"/>
      <c r="T337" s="5" t="n"/>
      <c r="U337" s="5" t="n"/>
      <c r="V337" s="15" t="n"/>
      <c r="W337" s="5" t="inlineStr">
        <is>
          <t>N</t>
        </is>
      </c>
      <c r="X337" s="5" t="n"/>
      <c r="Y337" s="5" t="n"/>
      <c r="Z337" s="5" t="n"/>
      <c r="AA337" s="5" t="n"/>
    </row>
    <row r="338">
      <c r="A338" s="10" t="inlineStr">
        <is>
          <t>F56</t>
        </is>
      </c>
      <c r="B338" s="10" t="inlineStr">
        <is>
          <t>FP</t>
        </is>
      </c>
      <c r="C338" s="10" t="inlineStr">
        <is>
          <t>Pregnalife  |  D-Alpha Tocopheryl Acetate 50% (Vitamin E), Magnesium Oxide Heavy (+13 more)</t>
        </is>
      </c>
      <c r="D338" s="10" t="inlineStr">
        <is>
          <t>Other tests (non-HPLC: physical, LOD/KF, disintegration, pH, micro...)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14">
        <f>IF(N338="","",IF(OR(M338="",O338=""),N338,(M338+4*N338+O338)/6))</f>
        <v/>
      </c>
      <c r="Q338" s="5" t="n"/>
      <c r="R338" s="5" t="n"/>
      <c r="S338" s="5" t="n"/>
      <c r="T338" s="5" t="n"/>
      <c r="U338" s="5" t="n"/>
      <c r="V338" s="15" t="n"/>
      <c r="W338" s="5" t="inlineStr">
        <is>
          <t>Y</t>
        </is>
      </c>
      <c r="X338" s="5" t="n"/>
      <c r="Y338" s="5" t="n"/>
      <c r="Z338" s="5" t="n"/>
      <c r="AA338" s="5" t="n"/>
    </row>
    <row r="339">
      <c r="A339" s="10" t="inlineStr">
        <is>
          <t>F57</t>
        </is>
      </c>
      <c r="B339" s="10" t="inlineStr">
        <is>
          <t>FP</t>
        </is>
      </c>
      <c r="C339" s="10" t="inlineStr">
        <is>
          <t>Immune AID  |  Cyanocobalamin (Vitamin B12), Folic Acid (Vitamin B9) (+13 more)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HPLC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14">
        <f>IF(N339="","",IF(OR(M339="",O339=""),N339,(M339+4*N339+O339)/6))</f>
        <v/>
      </c>
      <c r="Q339" s="5" t="n"/>
      <c r="R339" s="5" t="n"/>
      <c r="S339" s="5" t="n"/>
      <c r="T339" s="5" t="n"/>
      <c r="U339" s="5" t="n"/>
      <c r="V339" s="15" t="n"/>
      <c r="W339" s="5" t="inlineStr">
        <is>
          <t>Y</t>
        </is>
      </c>
      <c r="X339" s="5" t="n"/>
      <c r="Y339" s="5" t="n"/>
      <c r="Z339" s="5" t="inlineStr">
        <is>
          <t>Multi-active product: enter number of separate HPLC/AAS methods in col I</t>
        </is>
      </c>
      <c r="AA339" s="5" t="n"/>
    </row>
    <row r="340">
      <c r="A340" s="10" t="inlineStr">
        <is>
          <t>F57</t>
        </is>
      </c>
      <c r="B340" s="10" t="inlineStr">
        <is>
          <t>FP</t>
        </is>
      </c>
      <c r="C340" s="10" t="inlineStr">
        <is>
          <t>Immune AID  |  Cyanocobalamin (Vitamin B12), Folic Acid (Vitamin B9) (+13 more)</t>
        </is>
      </c>
      <c r="D340" s="10" t="inlineStr">
        <is>
          <t>Related substances / impurities</t>
        </is>
      </c>
      <c r="E340" s="10">
        <f>IF(A340="","",A340&amp;"|"&amp;D340)</f>
        <v/>
      </c>
      <c r="F340" s="5" t="inlineStr">
        <is>
          <t>N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14">
        <f>IF(N340="","",IF(OR(M340="",O340=""),N340,(M340+4*N340+O340)/6))</f>
        <v/>
      </c>
      <c r="Q340" s="5" t="n"/>
      <c r="R340" s="5" t="n"/>
      <c r="S340" s="5" t="n"/>
      <c r="T340" s="5" t="n"/>
      <c r="U340" s="5" t="n"/>
      <c r="V340" s="15" t="n"/>
      <c r="W340" s="5" t="inlineStr">
        <is>
          <t>Y</t>
        </is>
      </c>
      <c r="X340" s="5" t="n"/>
      <c r="Y340" s="5" t="n"/>
      <c r="Z340" s="5" t="n"/>
      <c r="AA340" s="5" t="n"/>
    </row>
    <row r="341">
      <c r="A341" s="10" t="inlineStr">
        <is>
          <t>F57</t>
        </is>
      </c>
      <c r="B341" s="10" t="inlineStr">
        <is>
          <t>FP</t>
        </is>
      </c>
      <c r="C341" s="10" t="inlineStr">
        <is>
          <t>Immune AID  |  Cyanocobalamin (Vitamin B12), Folic Acid (Vitamin B9) (+13 more)</t>
        </is>
      </c>
      <c r="D341" s="10" t="inlineStr">
        <is>
          <t>Dissolution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14">
        <f>IF(N341="","",IF(OR(M341="",O341=""),N341,(M341+4*N341+O341)/6))</f>
        <v/>
      </c>
      <c r="Q341" s="5" t="n"/>
      <c r="R341" s="5" t="n"/>
      <c r="S341" s="5" t="n"/>
      <c r="T341" s="5" t="n"/>
      <c r="U341" s="5" t="n"/>
      <c r="V341" s="15" t="n"/>
      <c r="W341" s="5" t="inlineStr">
        <is>
          <t>Y</t>
        </is>
      </c>
      <c r="X341" s="5" t="n"/>
      <c r="Y341" s="5" t="n"/>
      <c r="Z341" s="5" t="n"/>
      <c r="AA341" s="5" t="n"/>
    </row>
    <row r="342">
      <c r="A342" s="10" t="inlineStr">
        <is>
          <t>F57</t>
        </is>
      </c>
      <c r="B342" s="10" t="inlineStr">
        <is>
          <t>FP</t>
        </is>
      </c>
      <c r="C342" s="10" t="inlineStr">
        <is>
          <t>Immune AID  |  Cyanocobalamin (Vitamin B12), Folic Acid (Vitamin B9) (+13 more)</t>
        </is>
      </c>
      <c r="D342" s="10" t="inlineStr">
        <is>
          <t>Content uniformity</t>
        </is>
      </c>
      <c r="E342" s="10">
        <f>IF(A342="","",A342&amp;"|"&amp;D342)</f>
        <v/>
      </c>
      <c r="F342" s="5" t="inlineStr">
        <is>
          <t>N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14">
        <f>IF(N342="","",IF(OR(M342="",O342=""),N342,(M342+4*N342+O342)/6))</f>
        <v/>
      </c>
      <c r="Q342" s="5" t="n"/>
      <c r="R342" s="5" t="n"/>
      <c r="S342" s="5" t="n"/>
      <c r="T342" s="5" t="n"/>
      <c r="U342" s="5" t="n"/>
      <c r="V342" s="15" t="n"/>
      <c r="W342" s="5" t="inlineStr">
        <is>
          <t>N</t>
        </is>
      </c>
      <c r="X342" s="5" t="n"/>
      <c r="Y342" s="5" t="n"/>
      <c r="Z342" s="5" t="n"/>
      <c r="AA342" s="5" t="n"/>
    </row>
    <row r="343">
      <c r="A343" s="10" t="inlineStr">
        <is>
          <t>F57</t>
        </is>
      </c>
      <c r="B343" s="10" t="inlineStr">
        <is>
          <t>FP</t>
        </is>
      </c>
      <c r="C343" s="10" t="inlineStr">
        <is>
          <t>Immune AID  |  Cyanocobalamin (Vitamin B12), Folic Acid (Vitamin B9) (+13 more)</t>
        </is>
      </c>
      <c r="D343" s="10" t="inlineStr">
        <is>
          <t>Identification (if separate from assay)</t>
        </is>
      </c>
      <c r="E343" s="10">
        <f>IF(A343="","",A343&amp;"|"&amp;D343)</f>
        <v/>
      </c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14">
        <f>IF(N343="","",IF(OR(M343="",O343=""),N343,(M343+4*N343+O343)/6))</f>
        <v/>
      </c>
      <c r="Q343" s="5" t="n"/>
      <c r="R343" s="5" t="n"/>
      <c r="S343" s="5" t="n"/>
      <c r="T343" s="5" t="n"/>
      <c r="U343" s="5" t="n"/>
      <c r="V343" s="15" t="n"/>
      <c r="W343" s="5" t="inlineStr">
        <is>
          <t>N</t>
        </is>
      </c>
      <c r="X343" s="5" t="n"/>
      <c r="Y343" s="5" t="n"/>
      <c r="Z343" s="5" t="n"/>
      <c r="AA343" s="5" t="n"/>
    </row>
    <row r="344">
      <c r="A344" s="10" t="inlineStr">
        <is>
          <t>F57</t>
        </is>
      </c>
      <c r="B344" s="10" t="inlineStr">
        <is>
          <t>FP</t>
        </is>
      </c>
      <c r="C344" s="10" t="inlineStr">
        <is>
          <t>Immune AID  |  Cyanocobalamin (Vitamin B12), Folic Acid (Vitamin B9) (+13 more)</t>
        </is>
      </c>
      <c r="D344" s="10" t="inlineStr">
        <is>
          <t>Other tests (non-HPLC: physical, LOD/KF, disintegration, pH, micro...)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14">
        <f>IF(N344="","",IF(OR(M344="",O344=""),N344,(M344+4*N344+O344)/6))</f>
        <v/>
      </c>
      <c r="Q344" s="5" t="n"/>
      <c r="R344" s="5" t="n"/>
      <c r="S344" s="5" t="n"/>
      <c r="T344" s="5" t="n"/>
      <c r="U344" s="5" t="n"/>
      <c r="V344" s="15" t="n"/>
      <c r="W344" s="5" t="inlineStr">
        <is>
          <t>Y</t>
        </is>
      </c>
      <c r="X344" s="5" t="n"/>
      <c r="Y344" s="5" t="n"/>
      <c r="Z344" s="5" t="n"/>
      <c r="AA344" s="5" t="n"/>
    </row>
    <row r="345">
      <c r="A345" s="10" t="inlineStr">
        <is>
          <t>F58</t>
        </is>
      </c>
      <c r="B345" s="10" t="inlineStr">
        <is>
          <t>FP</t>
        </is>
      </c>
      <c r="C345" s="10" t="inlineStr">
        <is>
          <t>Immune AID Direct  |  Cyanocobalamin (Vitamin B12), Thiamine Hydrochloride (Vitamin B1) (+14 more)</t>
        </is>
      </c>
      <c r="D345" s="10" t="inlineStr">
        <is>
          <t>Assay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HPLC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14">
        <f>IF(N345="","",IF(OR(M345="",O345=""),N345,(M345+4*N345+O345)/6))</f>
        <v/>
      </c>
      <c r="Q345" s="5" t="n"/>
      <c r="R345" s="5" t="n"/>
      <c r="S345" s="5" t="n"/>
      <c r="T345" s="5" t="n"/>
      <c r="U345" s="5" t="n"/>
      <c r="V345" s="15" t="n"/>
      <c r="W345" s="5" t="inlineStr">
        <is>
          <t>Y</t>
        </is>
      </c>
      <c r="X345" s="5" t="n"/>
      <c r="Y345" s="5" t="n"/>
      <c r="Z345" s="5" t="inlineStr">
        <is>
          <t>Multi-active product: enter number of separate HPLC/AAS methods in col I</t>
        </is>
      </c>
      <c r="AA345" s="5" t="n"/>
    </row>
    <row r="346">
      <c r="A346" s="10" t="inlineStr">
        <is>
          <t>F58</t>
        </is>
      </c>
      <c r="B346" s="10" t="inlineStr">
        <is>
          <t>FP</t>
        </is>
      </c>
      <c r="C346" s="10" t="inlineStr">
        <is>
          <t>Immune AID Direct  |  Cyanocobalamin (Vitamin B12), Thiamine Hydrochloride (Vitamin B1) (+14 more)</t>
        </is>
      </c>
      <c r="D346" s="10" t="inlineStr">
        <is>
          <t>Related substances / impurities</t>
        </is>
      </c>
      <c r="E346" s="10">
        <f>IF(A346="","",A346&amp;"|"&amp;D346)</f>
        <v/>
      </c>
      <c r="F346" s="5" t="inlineStr">
        <is>
          <t>N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14">
        <f>IF(N346="","",IF(OR(M346="",O346=""),N346,(M346+4*N346+O346)/6))</f>
        <v/>
      </c>
      <c r="Q346" s="5" t="n"/>
      <c r="R346" s="5" t="n"/>
      <c r="S346" s="5" t="n"/>
      <c r="T346" s="5" t="n"/>
      <c r="U346" s="5" t="n"/>
      <c r="V346" s="15" t="n"/>
      <c r="W346" s="5" t="inlineStr">
        <is>
          <t>Y</t>
        </is>
      </c>
      <c r="X346" s="5" t="n"/>
      <c r="Y346" s="5" t="n"/>
      <c r="Z346" s="5" t="n"/>
      <c r="AA346" s="5" t="n"/>
    </row>
    <row r="347">
      <c r="A347" s="10" t="inlineStr">
        <is>
          <t>F58</t>
        </is>
      </c>
      <c r="B347" s="10" t="inlineStr">
        <is>
          <t>FP</t>
        </is>
      </c>
      <c r="C347" s="10" t="inlineStr">
        <is>
          <t>Immune AID Direct  |  Cyanocobalamin (Vitamin B12), Thiamine Hydrochloride (Vitamin B1) (+14 more)</t>
        </is>
      </c>
      <c r="D347" s="10" t="inlineStr">
        <is>
          <t>Dissolution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14">
        <f>IF(N347="","",IF(OR(M347="",O347=""),N347,(M347+4*N347+O347)/6))</f>
        <v/>
      </c>
      <c r="Q347" s="5" t="n"/>
      <c r="R347" s="5" t="n"/>
      <c r="S347" s="5" t="n"/>
      <c r="T347" s="5" t="n"/>
      <c r="U347" s="5" t="n"/>
      <c r="V347" s="15" t="n"/>
      <c r="W347" s="5" t="inlineStr">
        <is>
          <t>Y</t>
        </is>
      </c>
      <c r="X347" s="5" t="n"/>
      <c r="Y347" s="5" t="n"/>
      <c r="Z347" s="5" t="n"/>
      <c r="AA347" s="5" t="n"/>
    </row>
    <row r="348">
      <c r="A348" s="10" t="inlineStr">
        <is>
          <t>F58</t>
        </is>
      </c>
      <c r="B348" s="10" t="inlineStr">
        <is>
          <t>FP</t>
        </is>
      </c>
      <c r="C348" s="10" t="inlineStr">
        <is>
          <t>Immune AID Direct  |  Cyanocobalamin (Vitamin B12), Thiamine Hydrochloride (Vitamin B1) (+14 more)</t>
        </is>
      </c>
      <c r="D348" s="10" t="inlineStr">
        <is>
          <t>Content uniformity</t>
        </is>
      </c>
      <c r="E348" s="10">
        <f>IF(A348="","",A348&amp;"|"&amp;D348)</f>
        <v/>
      </c>
      <c r="F348" s="5" t="inlineStr">
        <is>
          <t>N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14">
        <f>IF(N348="","",IF(OR(M348="",O348=""),N348,(M348+4*N348+O348)/6))</f>
        <v/>
      </c>
      <c r="Q348" s="5" t="n"/>
      <c r="R348" s="5" t="n"/>
      <c r="S348" s="5" t="n"/>
      <c r="T348" s="5" t="n"/>
      <c r="U348" s="5" t="n"/>
      <c r="V348" s="15" t="n"/>
      <c r="W348" s="5" t="inlineStr">
        <is>
          <t>N</t>
        </is>
      </c>
      <c r="X348" s="5" t="n"/>
      <c r="Y348" s="5" t="n"/>
      <c r="Z348" s="5" t="n"/>
      <c r="AA348" s="5" t="n"/>
    </row>
    <row r="349">
      <c r="A349" s="10" t="inlineStr">
        <is>
          <t>F58</t>
        </is>
      </c>
      <c r="B349" s="10" t="inlineStr">
        <is>
          <t>FP</t>
        </is>
      </c>
      <c r="C349" s="10" t="inlineStr">
        <is>
          <t>Immune AID Direct  |  Cyanocobalamin (Vitamin B12), Thiamine Hydrochloride (Vitamin B1) (+14 more)</t>
        </is>
      </c>
      <c r="D349" s="10" t="inlineStr">
        <is>
          <t>Identification (if separate from assay)</t>
        </is>
      </c>
      <c r="E349" s="10">
        <f>IF(A349="","",A349&amp;"|"&amp;D349)</f>
        <v/>
      </c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14">
        <f>IF(N349="","",IF(OR(M349="",O349=""),N349,(M349+4*N349+O349)/6))</f>
        <v/>
      </c>
      <c r="Q349" s="5" t="n"/>
      <c r="R349" s="5" t="n"/>
      <c r="S349" s="5" t="n"/>
      <c r="T349" s="5" t="n"/>
      <c r="U349" s="5" t="n"/>
      <c r="V349" s="15" t="n"/>
      <c r="W349" s="5" t="inlineStr">
        <is>
          <t>N</t>
        </is>
      </c>
      <c r="X349" s="5" t="n"/>
      <c r="Y349" s="5" t="n"/>
      <c r="Z349" s="5" t="n"/>
      <c r="AA349" s="5" t="n"/>
    </row>
    <row r="350">
      <c r="A350" s="10" t="inlineStr">
        <is>
          <t>F58</t>
        </is>
      </c>
      <c r="B350" s="10" t="inlineStr">
        <is>
          <t>FP</t>
        </is>
      </c>
      <c r="C350" s="10" t="inlineStr">
        <is>
          <t>Immune AID Direct  |  Cyanocobalamin (Vitamin B12), Thiamine Hydrochloride (Vitamin B1) (+14 more)</t>
        </is>
      </c>
      <c r="D350" s="10" t="inlineStr">
        <is>
          <t>Other tests (non-HPLC: physical, LOD/KF, disintegration, pH, micro...)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14">
        <f>IF(N350="","",IF(OR(M350="",O350=""),N350,(M350+4*N350+O350)/6))</f>
        <v/>
      </c>
      <c r="Q350" s="5" t="n"/>
      <c r="R350" s="5" t="n"/>
      <c r="S350" s="5" t="n"/>
      <c r="T350" s="5" t="n"/>
      <c r="U350" s="5" t="n"/>
      <c r="V350" s="15" t="n"/>
      <c r="W350" s="5" t="inlineStr">
        <is>
          <t>Y</t>
        </is>
      </c>
      <c r="X350" s="5" t="n"/>
      <c r="Y350" s="5" t="n"/>
      <c r="Z350" s="5" t="n"/>
      <c r="AA350" s="5" t="n"/>
    </row>
    <row r="351">
      <c r="A351" s="10" t="inlineStr">
        <is>
          <t>F59</t>
        </is>
      </c>
      <c r="B351" s="10" t="inlineStr">
        <is>
          <t>FP</t>
        </is>
      </c>
      <c r="C351" s="10" t="inlineStr">
        <is>
          <t>X-Ade (Blister 15 pcs); X-Ade (Bottle 30 pcs)  |  Zinc Gluconate, Magnesium Oxide Heavy (+8 more)</t>
        </is>
      </c>
      <c r="D351" s="10" t="inlineStr">
        <is>
          <t>Assay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HPLC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14">
        <f>IF(N351="","",IF(OR(M351="",O351=""),N351,(M351+4*N351+O351)/6))</f>
        <v/>
      </c>
      <c r="Q351" s="5" t="n"/>
      <c r="R351" s="5" t="n"/>
      <c r="S351" s="5" t="n"/>
      <c r="T351" s="5" t="n"/>
      <c r="U351" s="5" t="n"/>
      <c r="V351" s="15" t="n"/>
      <c r="W351" s="5" t="inlineStr">
        <is>
          <t>Y</t>
        </is>
      </c>
      <c r="X351" s="5" t="n"/>
      <c r="Y351" s="5" t="n"/>
      <c r="Z351" s="5" t="inlineStr">
        <is>
          <t>Multi-active product: enter number of separate HPLC/AAS methods in col I</t>
        </is>
      </c>
      <c r="AA351" s="5" t="n"/>
    </row>
    <row r="352">
      <c r="A352" s="10" t="inlineStr">
        <is>
          <t>F59</t>
        </is>
      </c>
      <c r="B352" s="10" t="inlineStr">
        <is>
          <t>FP</t>
        </is>
      </c>
      <c r="C352" s="10" t="inlineStr">
        <is>
          <t>X-Ade (Blister 15 pcs); X-Ade (Bottle 30 pcs)  |  Zinc Gluconate, Magnesium Oxide Heavy (+8 more)</t>
        </is>
      </c>
      <c r="D352" s="10" t="inlineStr">
        <is>
          <t>Related substances / impurities</t>
        </is>
      </c>
      <c r="E352" s="10">
        <f>IF(A352="","",A352&amp;"|"&amp;D352)</f>
        <v/>
      </c>
      <c r="F352" s="5" t="inlineStr">
        <is>
          <t>N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14">
        <f>IF(N352="","",IF(OR(M352="",O352=""),N352,(M352+4*N352+O352)/6))</f>
        <v/>
      </c>
      <c r="Q352" s="5" t="n"/>
      <c r="R352" s="5" t="n"/>
      <c r="S352" s="5" t="n"/>
      <c r="T352" s="5" t="n"/>
      <c r="U352" s="5" t="n"/>
      <c r="V352" s="15" t="n"/>
      <c r="W352" s="5" t="inlineStr">
        <is>
          <t>Y</t>
        </is>
      </c>
      <c r="X352" s="5" t="n"/>
      <c r="Y352" s="5" t="n"/>
      <c r="Z352" s="5" t="n"/>
      <c r="AA352" s="5" t="n"/>
    </row>
    <row r="353">
      <c r="A353" s="10" t="inlineStr">
        <is>
          <t>F59</t>
        </is>
      </c>
      <c r="B353" s="10" t="inlineStr">
        <is>
          <t>FP</t>
        </is>
      </c>
      <c r="C353" s="10" t="inlineStr">
        <is>
          <t>X-Ade (Blister 15 pcs); X-Ade (Bottle 30 pcs)  |  Zinc Gluconate, Magnesium Oxide Heavy (+8 more)</t>
        </is>
      </c>
      <c r="D353" s="10" t="inlineStr">
        <is>
          <t>Dissolution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Y</t>
        </is>
      </c>
      <c r="X353" s="5" t="n"/>
      <c r="Y353" s="5" t="n"/>
      <c r="Z353" s="5" t="n"/>
      <c r="AA353" s="5" t="n"/>
    </row>
    <row r="354">
      <c r="A354" s="10" t="inlineStr">
        <is>
          <t>F59</t>
        </is>
      </c>
      <c r="B354" s="10" t="inlineStr">
        <is>
          <t>FP</t>
        </is>
      </c>
      <c r="C354" s="10" t="inlineStr">
        <is>
          <t>X-Ade (Blister 15 pcs); X-Ade (Bottle 30 pcs)  |  Zinc Gluconate, Magnesium Oxide Heavy (+8 more)</t>
        </is>
      </c>
      <c r="D354" s="10" t="inlineStr">
        <is>
          <t>Content uniformity</t>
        </is>
      </c>
      <c r="E354" s="10">
        <f>IF(A354="","",A354&amp;"|"&amp;D354)</f>
        <v/>
      </c>
      <c r="F354" s="5" t="inlineStr">
        <is>
          <t>N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14">
        <f>IF(N354="","",IF(OR(M354="",O354=""),N354,(M354+4*N354+O354)/6))</f>
        <v/>
      </c>
      <c r="Q354" s="5" t="n"/>
      <c r="R354" s="5" t="n"/>
      <c r="S354" s="5" t="n"/>
      <c r="T354" s="5" t="n"/>
      <c r="U354" s="5" t="n"/>
      <c r="V354" s="15" t="n"/>
      <c r="W354" s="5" t="inlineStr">
        <is>
          <t>N</t>
        </is>
      </c>
      <c r="X354" s="5" t="n"/>
      <c r="Y354" s="5" t="n"/>
      <c r="Z354" s="5" t="n"/>
      <c r="AA354" s="5" t="n"/>
    </row>
    <row r="355">
      <c r="A355" s="10" t="inlineStr">
        <is>
          <t>F59</t>
        </is>
      </c>
      <c r="B355" s="10" t="inlineStr">
        <is>
          <t>FP</t>
        </is>
      </c>
      <c r="C355" s="10" t="inlineStr">
        <is>
          <t>X-Ade (Blister 15 pcs); X-Ade (Bottle 30 pcs)  |  Zinc Gluconate, Magnesium Oxide Heavy (+8 more)</t>
        </is>
      </c>
      <c r="D355" s="10" t="inlineStr">
        <is>
          <t>Identification (if separate from assay)</t>
        </is>
      </c>
      <c r="E355" s="10">
        <f>IF(A355="","",A355&amp;"|"&amp;D355)</f>
        <v/>
      </c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14">
        <f>IF(N355="","",IF(OR(M355="",O355=""),N355,(M355+4*N355+O355)/6))</f>
        <v/>
      </c>
      <c r="Q355" s="5" t="n"/>
      <c r="R355" s="5" t="n"/>
      <c r="S355" s="5" t="n"/>
      <c r="T355" s="5" t="n"/>
      <c r="U355" s="5" t="n"/>
      <c r="V355" s="15" t="n"/>
      <c r="W355" s="5" t="inlineStr">
        <is>
          <t>N</t>
        </is>
      </c>
      <c r="X355" s="5" t="n"/>
      <c r="Y355" s="5" t="n"/>
      <c r="Z355" s="5" t="n"/>
      <c r="AA355" s="5" t="n"/>
    </row>
    <row r="356">
      <c r="A356" s="10" t="inlineStr">
        <is>
          <t>F59</t>
        </is>
      </c>
      <c r="B356" s="10" t="inlineStr">
        <is>
          <t>FP</t>
        </is>
      </c>
      <c r="C356" s="10" t="inlineStr">
        <is>
          <t>X-Ade (Blister 15 pcs); X-Ade (Bottle 30 pcs)  |  Zinc Gluconate, Magnesium Oxide Heavy (+8 more)</t>
        </is>
      </c>
      <c r="D356" s="10" t="inlineStr">
        <is>
          <t>Other tests (non-HPLC: physical, LOD/KF, disintegration, pH, micro...)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14">
        <f>IF(N356="","",IF(OR(M356="",O356=""),N356,(M356+4*N356+O356)/6))</f>
        <v/>
      </c>
      <c r="Q356" s="5" t="n"/>
      <c r="R356" s="5" t="n"/>
      <c r="S356" s="5" t="n"/>
      <c r="T356" s="5" t="n"/>
      <c r="U356" s="5" t="n"/>
      <c r="V356" s="15" t="n"/>
      <c r="W356" s="5" t="inlineStr">
        <is>
          <t>Y</t>
        </is>
      </c>
      <c r="X356" s="5" t="n"/>
      <c r="Y356" s="5" t="n"/>
      <c r="Z356" s="5" t="n"/>
      <c r="AA356" s="5" t="n"/>
    </row>
    <row r="357">
      <c r="A357" s="10" t="inlineStr">
        <is>
          <t>F60</t>
        </is>
      </c>
      <c r="B357" s="10" t="inlineStr">
        <is>
          <t>FP</t>
        </is>
      </c>
      <c r="C357" s="10" t="inlineStr">
        <is>
          <t>Energe-X  |  actives TBD: Energe-X</t>
        </is>
      </c>
      <c r="D357" s="10" t="inlineStr">
        <is>
          <t>Assay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Y</t>
        </is>
      </c>
      <c r="X357" s="5" t="n"/>
      <c r="Y357" s="5" t="n"/>
      <c r="Z357" s="5" t="inlineStr">
        <is>
          <t>Actives not on record – confirm tests</t>
        </is>
      </c>
      <c r="AA357" s="5" t="n"/>
    </row>
    <row r="358">
      <c r="A358" s="10" t="inlineStr">
        <is>
          <t>F60</t>
        </is>
      </c>
      <c r="B358" s="10" t="inlineStr">
        <is>
          <t>FP</t>
        </is>
      </c>
      <c r="C358" s="10" t="inlineStr">
        <is>
          <t>Energe-X  |  actives TBD: Energe-X</t>
        </is>
      </c>
      <c r="D358" s="10" t="inlineStr">
        <is>
          <t>Related substances / impurities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HPLC</t>
        </is>
      </c>
      <c r="H358" s="5" t="inlineStr">
        <is>
          <t>Medium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14">
        <f>IF(N358="","",IF(OR(M358="",O358=""),N358,(M358+4*N358+O358)/6))</f>
        <v/>
      </c>
      <c r="Q358" s="5" t="n"/>
      <c r="R358" s="5" t="n"/>
      <c r="S358" s="5" t="n"/>
      <c r="T358" s="5" t="n"/>
      <c r="U358" s="5" t="n"/>
      <c r="V358" s="15" t="n"/>
      <c r="W358" s="5" t="inlineStr">
        <is>
          <t>Y</t>
        </is>
      </c>
      <c r="X358" s="5" t="n"/>
      <c r="Y358" s="5" t="n"/>
      <c r="Z358" s="5" t="inlineStr">
        <is>
          <t>Actives not on record – confirm tests</t>
        </is>
      </c>
      <c r="AA358" s="5" t="n"/>
    </row>
    <row r="359">
      <c r="A359" s="10" t="inlineStr">
        <is>
          <t>F60</t>
        </is>
      </c>
      <c r="B359" s="10" t="inlineStr">
        <is>
          <t>FP</t>
        </is>
      </c>
      <c r="C359" s="10" t="inlineStr">
        <is>
          <t>Energe-X  |  actives TBD: Energe-X</t>
        </is>
      </c>
      <c r="D359" s="10" t="inlineStr">
        <is>
          <t>Dissolution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HPLC</t>
        </is>
      </c>
      <c r="H359" s="5" t="inlineStr">
        <is>
          <t>Medium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14">
        <f>IF(N359="","",IF(OR(M359="",O359=""),N359,(M359+4*N359+O359)/6))</f>
        <v/>
      </c>
      <c r="Q359" s="5" t="n"/>
      <c r="R359" s="5" t="n"/>
      <c r="S359" s="5" t="n"/>
      <c r="T359" s="5" t="n"/>
      <c r="U359" s="5" t="n"/>
      <c r="V359" s="15" t="n"/>
      <c r="W359" s="5" t="inlineStr">
        <is>
          <t>Y</t>
        </is>
      </c>
      <c r="X359" s="5" t="n"/>
      <c r="Y359" s="5" t="n"/>
      <c r="Z359" s="5" t="inlineStr">
        <is>
          <t>Actives not on record – confirm tests</t>
        </is>
      </c>
      <c r="AA359" s="5" t="n"/>
    </row>
    <row r="360">
      <c r="A360" s="10" t="inlineStr">
        <is>
          <t>F60</t>
        </is>
      </c>
      <c r="B360" s="10" t="inlineStr">
        <is>
          <t>FP</t>
        </is>
      </c>
      <c r="C360" s="10" t="inlineStr">
        <is>
          <t>Energe-X  |  actives TBD: Energe-X</t>
        </is>
      </c>
      <c r="D360" s="10" t="inlineStr">
        <is>
          <t>Content uniformity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HPLC</t>
        </is>
      </c>
      <c r="H360" s="5" t="inlineStr">
        <is>
          <t>Medium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14">
        <f>IF(N360="","",IF(OR(M360="",O360=""),N360,(M360+4*N360+O360)/6))</f>
        <v/>
      </c>
      <c r="Q360" s="5" t="n"/>
      <c r="R360" s="5" t="n"/>
      <c r="S360" s="5" t="n"/>
      <c r="T360" s="5" t="n"/>
      <c r="U360" s="5" t="n"/>
      <c r="V360" s="15" t="n"/>
      <c r="W360" s="5" t="inlineStr">
        <is>
          <t>N</t>
        </is>
      </c>
      <c r="X360" s="5" t="n"/>
      <c r="Y360" s="5" t="n"/>
      <c r="Z360" s="5" t="inlineStr">
        <is>
          <t>Actives not on record – confirm tests</t>
        </is>
      </c>
      <c r="AA360" s="5" t="n"/>
    </row>
    <row r="361">
      <c r="A361" s="10" t="inlineStr">
        <is>
          <t>F60</t>
        </is>
      </c>
      <c r="B361" s="10" t="inlineStr">
        <is>
          <t>FP</t>
        </is>
      </c>
      <c r="C361" s="10" t="inlineStr">
        <is>
          <t>Energe-X  |  actives TBD: Energe-X</t>
        </is>
      </c>
      <c r="D361" s="10" t="inlineStr">
        <is>
          <t>Identification (if separate from assay)</t>
        </is>
      </c>
      <c r="E361" s="10">
        <f>IF(A361="","",A361&amp;"|"&amp;D361)</f>
        <v/>
      </c>
      <c r="F361" s="5" t="inlineStr">
        <is>
          <t>N</t>
        </is>
      </c>
      <c r="G361" s="5" t="inlineStr">
        <is>
          <t>HPLC</t>
        </is>
      </c>
      <c r="H361" s="5" t="inlineStr">
        <is>
          <t>Medium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14">
        <f>IF(N361="","",IF(OR(M361="",O361=""),N361,(M361+4*N361+O361)/6))</f>
        <v/>
      </c>
      <c r="Q361" s="5" t="n"/>
      <c r="R361" s="5" t="n"/>
      <c r="S361" s="5" t="n"/>
      <c r="T361" s="5" t="n"/>
      <c r="U361" s="5" t="n"/>
      <c r="V361" s="15" t="n"/>
      <c r="W361" s="5" t="inlineStr">
        <is>
          <t>N</t>
        </is>
      </c>
      <c r="X361" s="5" t="n"/>
      <c r="Y361" s="5" t="n"/>
      <c r="Z361" s="5" t="inlineStr">
        <is>
          <t>Actives not on record – confirm tests</t>
        </is>
      </c>
      <c r="AA361" s="5" t="n"/>
    </row>
    <row r="362">
      <c r="A362" s="10" t="inlineStr">
        <is>
          <t>F60</t>
        </is>
      </c>
      <c r="B362" s="10" t="inlineStr">
        <is>
          <t>FP</t>
        </is>
      </c>
      <c r="C362" s="10" t="inlineStr">
        <is>
          <t>Energe-X  |  actives TBD: Energe-X</t>
        </is>
      </c>
      <c r="D362" s="10" t="inlineStr">
        <is>
          <t>Other tests (non-HPLC: physical, LOD/KF, disintegration, pH, micro...)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Other / bench</t>
        </is>
      </c>
      <c r="H362" s="5" t="inlineStr">
        <is>
          <t>Medium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14">
        <f>IF(N362="","",IF(OR(M362="",O362=""),N362,(M362+4*N362+O362)/6))</f>
        <v/>
      </c>
      <c r="Q362" s="5" t="n"/>
      <c r="R362" s="5" t="n"/>
      <c r="S362" s="5" t="n"/>
      <c r="T362" s="5" t="n"/>
      <c r="U362" s="5" t="n"/>
      <c r="V362" s="15" t="n"/>
      <c r="W362" s="5" t="inlineStr">
        <is>
          <t>Y</t>
        </is>
      </c>
      <c r="X362" s="5" t="n"/>
      <c r="Y362" s="5" t="n"/>
      <c r="Z362" s="5" t="inlineStr">
        <is>
          <t>Actives not on record – confirm tests</t>
        </is>
      </c>
      <c r="AA362" s="5" t="n"/>
    </row>
    <row r="363">
      <c r="A363" s="10" t="inlineStr">
        <is>
          <t>F61</t>
        </is>
      </c>
      <c r="B363" s="10" t="inlineStr">
        <is>
          <t>FP</t>
        </is>
      </c>
      <c r="C363" s="10" t="inlineStr">
        <is>
          <t>Dermo bella Permium 30 Cap  |  Premix Dermo Bella, L-Cystine (+1 more)</t>
        </is>
      </c>
      <c r="D363" s="10" t="inlineStr">
        <is>
          <t>Assay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HPLC</t>
        </is>
      </c>
      <c r="H363" s="5" t="inlineStr">
        <is>
          <t>Medium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14">
        <f>IF(N363="","",IF(OR(M363="",O363=""),N363,(M363+4*N363+O363)/6))</f>
        <v/>
      </c>
      <c r="Q363" s="5" t="n"/>
      <c r="R363" s="5" t="n"/>
      <c r="S363" s="5" t="n"/>
      <c r="T363" s="5" t="n"/>
      <c r="U363" s="5" t="n"/>
      <c r="V363" s="15" t="n"/>
      <c r="W363" s="5" t="inlineStr">
        <is>
          <t>Y</t>
        </is>
      </c>
      <c r="X363" s="5" t="n"/>
      <c r="Y363" s="5" t="n"/>
      <c r="Z363" s="5" t="n"/>
      <c r="AA363" s="5" t="n"/>
    </row>
    <row r="364">
      <c r="A364" s="10" t="inlineStr">
        <is>
          <t>F61</t>
        </is>
      </c>
      <c r="B364" s="10" t="inlineStr">
        <is>
          <t>FP</t>
        </is>
      </c>
      <c r="C364" s="10" t="inlineStr">
        <is>
          <t>Dermo bella Permium 30 Cap  |  Premix Dermo Bella, L-Cystine (+1 more)</t>
        </is>
      </c>
      <c r="D364" s="10" t="inlineStr">
        <is>
          <t>Related substances / impurities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14">
        <f>IF(N364="","",IF(OR(M364="",O364=""),N364,(M364+4*N364+O364)/6))</f>
        <v/>
      </c>
      <c r="Q364" s="5" t="n"/>
      <c r="R364" s="5" t="n"/>
      <c r="S364" s="5" t="n"/>
      <c r="T364" s="5" t="n"/>
      <c r="U364" s="5" t="n"/>
      <c r="V364" s="15" t="n"/>
      <c r="W364" s="5" t="inlineStr">
        <is>
          <t>Y</t>
        </is>
      </c>
      <c r="X364" s="5" t="n"/>
      <c r="Y364" s="5" t="n"/>
      <c r="Z364" s="5" t="n"/>
      <c r="AA364" s="5" t="n"/>
    </row>
    <row r="365">
      <c r="A365" s="10" t="inlineStr">
        <is>
          <t>F61</t>
        </is>
      </c>
      <c r="B365" s="10" t="inlineStr">
        <is>
          <t>FP</t>
        </is>
      </c>
      <c r="C365" s="10" t="inlineStr">
        <is>
          <t>Dermo bella Permium 30 Cap  |  Premix Dermo Bella, L-Cystine (+1 more)</t>
        </is>
      </c>
      <c r="D365" s="10" t="inlineStr">
        <is>
          <t>Dissolution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14">
        <f>IF(N365="","",IF(OR(M365="",O365=""),N365,(M365+4*N365+O365)/6))</f>
        <v/>
      </c>
      <c r="Q365" s="5" t="n"/>
      <c r="R365" s="5" t="n"/>
      <c r="S365" s="5" t="n"/>
      <c r="T365" s="5" t="n"/>
      <c r="U365" s="5" t="n"/>
      <c r="V365" s="15" t="n"/>
      <c r="W365" s="5" t="inlineStr">
        <is>
          <t>Y</t>
        </is>
      </c>
      <c r="X365" s="5" t="n"/>
      <c r="Y365" s="5" t="n"/>
      <c r="Z365" s="5" t="n"/>
      <c r="AA365" s="5" t="n"/>
    </row>
    <row r="366">
      <c r="A366" s="10" t="inlineStr">
        <is>
          <t>F61</t>
        </is>
      </c>
      <c r="B366" s="10" t="inlineStr">
        <is>
          <t>FP</t>
        </is>
      </c>
      <c r="C366" s="10" t="inlineStr">
        <is>
          <t>Dermo bella Permium 30 Cap  |  Premix Dermo Bella, L-Cystine (+1 more)</t>
        </is>
      </c>
      <c r="D366" s="10" t="inlineStr">
        <is>
          <t>Content uniformity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14">
        <f>IF(N366="","",IF(OR(M366="",O366=""),N366,(M366+4*N366+O366)/6))</f>
        <v/>
      </c>
      <c r="Q366" s="5" t="n"/>
      <c r="R366" s="5" t="n"/>
      <c r="S366" s="5" t="n"/>
      <c r="T366" s="5" t="n"/>
      <c r="U366" s="5" t="n"/>
      <c r="V366" s="15" t="n"/>
      <c r="W366" s="5" t="inlineStr">
        <is>
          <t>N</t>
        </is>
      </c>
      <c r="X366" s="5" t="n"/>
      <c r="Y366" s="5" t="n"/>
      <c r="Z366" s="5" t="n"/>
      <c r="AA366" s="5" t="n"/>
    </row>
    <row r="367">
      <c r="A367" s="10" t="inlineStr">
        <is>
          <t>F61</t>
        </is>
      </c>
      <c r="B367" s="10" t="inlineStr">
        <is>
          <t>FP</t>
        </is>
      </c>
      <c r="C367" s="10" t="inlineStr">
        <is>
          <t>Dermo bella Permium 30 Cap  |  Premix Dermo Bella, L-Cystine (+1 more)</t>
        </is>
      </c>
      <c r="D367" s="10" t="inlineStr">
        <is>
          <t>Identification (if separate from assay)</t>
        </is>
      </c>
      <c r="E367" s="10">
        <f>IF(A367="","",A367&amp;"|"&amp;D367)</f>
        <v/>
      </c>
      <c r="F367" s="5" t="inlineStr">
        <is>
          <t>N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N</t>
        </is>
      </c>
      <c r="X367" s="5" t="n"/>
      <c r="Y367" s="5" t="n"/>
      <c r="Z367" s="5" t="n"/>
      <c r="AA367" s="5" t="n"/>
    </row>
    <row r="368">
      <c r="A368" s="10" t="inlineStr">
        <is>
          <t>F61</t>
        </is>
      </c>
      <c r="B368" s="10" t="inlineStr">
        <is>
          <t>FP</t>
        </is>
      </c>
      <c r="C368" s="10" t="inlineStr">
        <is>
          <t>Dermo bella Permium 30 Cap  |  Premix Dermo Bella, L-Cystine (+1 more)</t>
        </is>
      </c>
      <c r="D368" s="10" t="inlineStr">
        <is>
          <t>Other tests (non-HPLC: physical, LOD/KF, disintegration, pH, micro...)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14">
        <f>IF(N368="","",IF(OR(M368="",O368=""),N368,(M368+4*N368+O368)/6))</f>
        <v/>
      </c>
      <c r="Q368" s="5" t="n"/>
      <c r="R368" s="5" t="n"/>
      <c r="S368" s="5" t="n"/>
      <c r="T368" s="5" t="n"/>
      <c r="U368" s="5" t="n"/>
      <c r="V368" s="15" t="n"/>
      <c r="W368" s="5" t="inlineStr">
        <is>
          <t>Y</t>
        </is>
      </c>
      <c r="X368" s="5" t="n"/>
      <c r="Y368" s="5" t="n"/>
      <c r="Z368" s="5" t="n"/>
      <c r="AA368" s="5" t="n"/>
    </row>
    <row r="369">
      <c r="A369" s="10" t="inlineStr">
        <is>
          <t>F62</t>
        </is>
      </c>
      <c r="B369" s="10" t="inlineStr">
        <is>
          <t>FP</t>
        </is>
      </c>
      <c r="C369" s="10" t="inlineStr">
        <is>
          <t>Zylicut 180  |  actives TBD: Zylicut 180</t>
        </is>
      </c>
      <c r="D369" s="10" t="inlineStr">
        <is>
          <t>Assay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HPLC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14">
        <f>IF(N369="","",IF(OR(M369="",O369=""),N369,(M369+4*N369+O369)/6))</f>
        <v/>
      </c>
      <c r="Q369" s="5" t="n"/>
      <c r="R369" s="5" t="n"/>
      <c r="S369" s="5" t="n"/>
      <c r="T369" s="5" t="n"/>
      <c r="U369" s="5" t="n"/>
      <c r="V369" s="15" t="n"/>
      <c r="W369" s="5" t="inlineStr">
        <is>
          <t>Y</t>
        </is>
      </c>
      <c r="X369" s="5" t="n"/>
      <c r="Y369" s="5" t="n"/>
      <c r="Z369" s="5" t="inlineStr">
        <is>
          <t>Actives not on record – confirm tests</t>
        </is>
      </c>
      <c r="AA369" s="5" t="n"/>
    </row>
    <row r="370">
      <c r="A370" s="10" t="inlineStr">
        <is>
          <t>F62</t>
        </is>
      </c>
      <c r="B370" s="10" t="inlineStr">
        <is>
          <t>FP</t>
        </is>
      </c>
      <c r="C370" s="10" t="inlineStr">
        <is>
          <t>Zylicut 180  |  actives TBD: Zylicut 180</t>
        </is>
      </c>
      <c r="D370" s="10" t="inlineStr">
        <is>
          <t>Related substances / impurities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14">
        <f>IF(N370="","",IF(OR(M370="",O370=""),N370,(M370+4*N370+O370)/6))</f>
        <v/>
      </c>
      <c r="Q370" s="5" t="n"/>
      <c r="R370" s="5" t="n"/>
      <c r="S370" s="5" t="n"/>
      <c r="T370" s="5" t="n"/>
      <c r="U370" s="5" t="n"/>
      <c r="V370" s="15" t="n"/>
      <c r="W370" s="5" t="inlineStr">
        <is>
          <t>Y</t>
        </is>
      </c>
      <c r="X370" s="5" t="n"/>
      <c r="Y370" s="5" t="n"/>
      <c r="Z370" s="5" t="inlineStr">
        <is>
          <t>Actives not on record – confirm tests</t>
        </is>
      </c>
      <c r="AA370" s="5" t="n"/>
    </row>
    <row r="371">
      <c r="A371" s="10" t="inlineStr">
        <is>
          <t>F62</t>
        </is>
      </c>
      <c r="B371" s="10" t="inlineStr">
        <is>
          <t>FP</t>
        </is>
      </c>
      <c r="C371" s="10" t="inlineStr">
        <is>
          <t>Zylicut 180  |  actives TBD: Zylicut 180</t>
        </is>
      </c>
      <c r="D371" s="10" t="inlineStr">
        <is>
          <t>Dissolution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14">
        <f>IF(N371="","",IF(OR(M371="",O371=""),N371,(M371+4*N371+O371)/6))</f>
        <v/>
      </c>
      <c r="Q371" s="5" t="n"/>
      <c r="R371" s="5" t="n"/>
      <c r="S371" s="5" t="n"/>
      <c r="T371" s="5" t="n"/>
      <c r="U371" s="5" t="n"/>
      <c r="V371" s="15" t="n"/>
      <c r="W371" s="5" t="inlineStr">
        <is>
          <t>Y</t>
        </is>
      </c>
      <c r="X371" s="5" t="n"/>
      <c r="Y371" s="5" t="n"/>
      <c r="Z371" s="5" t="inlineStr">
        <is>
          <t>Actives not on record – confirm tests</t>
        </is>
      </c>
      <c r="AA371" s="5" t="n"/>
    </row>
    <row r="372">
      <c r="A372" s="10" t="inlineStr">
        <is>
          <t>F62</t>
        </is>
      </c>
      <c r="B372" s="10" t="inlineStr">
        <is>
          <t>FP</t>
        </is>
      </c>
      <c r="C372" s="10" t="inlineStr">
        <is>
          <t>Zylicut 180  |  actives TBD: Zylicut 180</t>
        </is>
      </c>
      <c r="D372" s="10" t="inlineStr">
        <is>
          <t>Content uniformity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14">
        <f>IF(N372="","",IF(OR(M372="",O372=""),N372,(M372+4*N372+O372)/6))</f>
        <v/>
      </c>
      <c r="Q372" s="5" t="n"/>
      <c r="R372" s="5" t="n"/>
      <c r="S372" s="5" t="n"/>
      <c r="T372" s="5" t="n"/>
      <c r="U372" s="5" t="n"/>
      <c r="V372" s="15" t="n"/>
      <c r="W372" s="5" t="inlineStr">
        <is>
          <t>N</t>
        </is>
      </c>
      <c r="X372" s="5" t="n"/>
      <c r="Y372" s="5" t="n"/>
      <c r="Z372" s="5" t="inlineStr">
        <is>
          <t>Actives not on record – confirm tests</t>
        </is>
      </c>
      <c r="AA372" s="5" t="n"/>
    </row>
    <row r="373">
      <c r="A373" s="10" t="inlineStr">
        <is>
          <t>F62</t>
        </is>
      </c>
      <c r="B373" s="10" t="inlineStr">
        <is>
          <t>FP</t>
        </is>
      </c>
      <c r="C373" s="10" t="inlineStr">
        <is>
          <t>Zylicut 180  |  actives TBD: Zylicut 180</t>
        </is>
      </c>
      <c r="D373" s="10" t="inlineStr">
        <is>
          <t>Identification (if separate from assay)</t>
        </is>
      </c>
      <c r="E373" s="10">
        <f>IF(A373="","",A373&amp;"|"&amp;D373)</f>
        <v/>
      </c>
      <c r="F373" s="5" t="inlineStr">
        <is>
          <t>N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inlineStr">
        <is>
          <t>Actives not on record – confirm tests</t>
        </is>
      </c>
      <c r="AA373" s="5" t="n"/>
    </row>
    <row r="374">
      <c r="A374" s="10" t="inlineStr">
        <is>
          <t>F62</t>
        </is>
      </c>
      <c r="B374" s="10" t="inlineStr">
        <is>
          <t>FP</t>
        </is>
      </c>
      <c r="C374" s="10" t="inlineStr">
        <is>
          <t>Zylicut 180  |  actives TBD: Zylicut 180</t>
        </is>
      </c>
      <c r="D374" s="10" t="inlineStr">
        <is>
          <t>Other tests (non-HPLC: physical, LOD/KF, disintegration, pH, micro...)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Other / bench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Y</t>
        </is>
      </c>
      <c r="X374" s="5" t="n"/>
      <c r="Y374" s="5" t="n"/>
      <c r="Z374" s="5" t="inlineStr">
        <is>
          <t>Actives not on record – confirm tests</t>
        </is>
      </c>
      <c r="AA374" s="5" t="n"/>
    </row>
    <row r="375">
      <c r="A375" s="10" t="inlineStr">
        <is>
          <t>F63</t>
        </is>
      </c>
      <c r="B375" s="10" t="inlineStr">
        <is>
          <t>FP</t>
        </is>
      </c>
      <c r="C375" s="10" t="inlineStr">
        <is>
          <t>Zylicut-Duo 180/10  |  actives TBD: Zylicut-Duo 180/10</t>
        </is>
      </c>
      <c r="D375" s="10" t="inlineStr">
        <is>
          <t>Assay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HPLC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14">
        <f>IF(N375="","",IF(OR(M375="",O375=""),N375,(M375+4*N375+O375)/6))</f>
        <v/>
      </c>
      <c r="Q375" s="5" t="n"/>
      <c r="R375" s="5" t="n"/>
      <c r="S375" s="5" t="n"/>
      <c r="T375" s="5" t="n"/>
      <c r="U375" s="5" t="n"/>
      <c r="V375" s="15" t="n"/>
      <c r="W375" s="5" t="inlineStr">
        <is>
          <t>Y</t>
        </is>
      </c>
      <c r="X375" s="5" t="n"/>
      <c r="Y375" s="5" t="n"/>
      <c r="Z375" s="5" t="inlineStr">
        <is>
          <t>Actives not on record – confirm tests</t>
        </is>
      </c>
      <c r="AA375" s="5" t="n"/>
    </row>
    <row r="376">
      <c r="A376" s="10" t="inlineStr">
        <is>
          <t>F63</t>
        </is>
      </c>
      <c r="B376" s="10" t="inlineStr">
        <is>
          <t>FP</t>
        </is>
      </c>
      <c r="C376" s="10" t="inlineStr">
        <is>
          <t>Zylicut-Duo 180/10  |  actives TBD: Zylicut-Duo 180/10</t>
        </is>
      </c>
      <c r="D376" s="10" t="inlineStr">
        <is>
          <t>Related substances / impurities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14">
        <f>IF(N376="","",IF(OR(M376="",O376=""),N376,(M376+4*N376+O376)/6))</f>
        <v/>
      </c>
      <c r="Q376" s="5" t="n"/>
      <c r="R376" s="5" t="n"/>
      <c r="S376" s="5" t="n"/>
      <c r="T376" s="5" t="n"/>
      <c r="U376" s="5" t="n"/>
      <c r="V376" s="15" t="n"/>
      <c r="W376" s="5" t="inlineStr">
        <is>
          <t>Y</t>
        </is>
      </c>
      <c r="X376" s="5" t="n"/>
      <c r="Y376" s="5" t="n"/>
      <c r="Z376" s="5" t="inlineStr">
        <is>
          <t>Actives not on record – confirm tests</t>
        </is>
      </c>
      <c r="AA376" s="5" t="n"/>
    </row>
    <row r="377">
      <c r="A377" s="10" t="inlineStr">
        <is>
          <t>F63</t>
        </is>
      </c>
      <c r="B377" s="10" t="inlineStr">
        <is>
          <t>FP</t>
        </is>
      </c>
      <c r="C377" s="10" t="inlineStr">
        <is>
          <t>Zylicut-Duo 180/10  |  actives TBD: Zylicut-Duo 180/10</t>
        </is>
      </c>
      <c r="D377" s="10" t="inlineStr">
        <is>
          <t>Dissolution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14">
        <f>IF(N377="","",IF(OR(M377="",O377=""),N377,(M377+4*N377+O377)/6))</f>
        <v/>
      </c>
      <c r="Q377" s="5" t="n"/>
      <c r="R377" s="5" t="n"/>
      <c r="S377" s="5" t="n"/>
      <c r="T377" s="5" t="n"/>
      <c r="U377" s="5" t="n"/>
      <c r="V377" s="15" t="n"/>
      <c r="W377" s="5" t="inlineStr">
        <is>
          <t>Y</t>
        </is>
      </c>
      <c r="X377" s="5" t="n"/>
      <c r="Y377" s="5" t="n"/>
      <c r="Z377" s="5" t="inlineStr">
        <is>
          <t>Actives not on record – confirm tests</t>
        </is>
      </c>
      <c r="AA377" s="5" t="n"/>
    </row>
    <row r="378">
      <c r="A378" s="10" t="inlineStr">
        <is>
          <t>F63</t>
        </is>
      </c>
      <c r="B378" s="10" t="inlineStr">
        <is>
          <t>FP</t>
        </is>
      </c>
      <c r="C378" s="10" t="inlineStr">
        <is>
          <t>Zylicut-Duo 180/10  |  actives TBD: Zylicut-Duo 180/10</t>
        </is>
      </c>
      <c r="D378" s="10" t="inlineStr">
        <is>
          <t>Content uniformity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inlineStr">
        <is>
          <t>Actives not on record – confirm tests</t>
        </is>
      </c>
      <c r="AA378" s="5" t="n"/>
    </row>
    <row r="379">
      <c r="A379" s="10" t="inlineStr">
        <is>
          <t>F63</t>
        </is>
      </c>
      <c r="B379" s="10" t="inlineStr">
        <is>
          <t>FP</t>
        </is>
      </c>
      <c r="C379" s="10" t="inlineStr">
        <is>
          <t>Zylicut-Duo 180/10  |  actives TBD: Zylicut-Duo 180/10</t>
        </is>
      </c>
      <c r="D379" s="10" t="inlineStr">
        <is>
          <t>Identification (if separate from assay)</t>
        </is>
      </c>
      <c r="E379" s="10">
        <f>IF(A379="","",A379&amp;"|"&amp;D379)</f>
        <v/>
      </c>
      <c r="F379" s="5" t="inlineStr">
        <is>
          <t>N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inlineStr">
        <is>
          <t>Actives not on record – confirm tests</t>
        </is>
      </c>
      <c r="AA379" s="5" t="n"/>
    </row>
    <row r="380">
      <c r="A380" s="10" t="inlineStr">
        <is>
          <t>F63</t>
        </is>
      </c>
      <c r="B380" s="10" t="inlineStr">
        <is>
          <t>FP</t>
        </is>
      </c>
      <c r="C380" s="10" t="inlineStr">
        <is>
          <t>Zylicut-Duo 180/10  |  actives TBD: Zylicut-Duo 180/10</t>
        </is>
      </c>
      <c r="D380" s="10" t="inlineStr">
        <is>
          <t>Other tests (non-HPLC: physical, LOD/KF, disintegration, pH, micro...)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Other / bench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14">
        <f>IF(N380="","",IF(OR(M380="",O380=""),N380,(M380+4*N380+O380)/6))</f>
        <v/>
      </c>
      <c r="Q380" s="5" t="n"/>
      <c r="R380" s="5" t="n"/>
      <c r="S380" s="5" t="n"/>
      <c r="T380" s="5" t="n"/>
      <c r="U380" s="5" t="n"/>
      <c r="V380" s="15" t="n"/>
      <c r="W380" s="5" t="inlineStr">
        <is>
          <t>Y</t>
        </is>
      </c>
      <c r="X380" s="5" t="n"/>
      <c r="Y380" s="5" t="n"/>
      <c r="Z380" s="5" t="inlineStr">
        <is>
          <t>Actives not on record – confirm tests</t>
        </is>
      </c>
      <c r="AA380" s="5" t="n"/>
    </row>
    <row r="381">
      <c r="A381" s="10" t="inlineStr">
        <is>
          <t>F64</t>
        </is>
      </c>
      <c r="B381" s="10" t="inlineStr">
        <is>
          <t>FP</t>
        </is>
      </c>
      <c r="C381" s="10" t="inlineStr">
        <is>
          <t>Hair and Skin  |  Biotin (Vitamin B7), Folic Acid (Vitamin B9) (+7 more)</t>
        </is>
      </c>
      <c r="D381" s="10" t="inlineStr">
        <is>
          <t>Assay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HPLC</t>
        </is>
      </c>
      <c r="H381" s="5" t="inlineStr">
        <is>
          <t>High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14">
        <f>IF(N381="","",IF(OR(M381="",O381=""),N381,(M381+4*N381+O381)/6))</f>
        <v/>
      </c>
      <c r="Q381" s="5" t="n"/>
      <c r="R381" s="5" t="n"/>
      <c r="S381" s="5" t="n"/>
      <c r="T381" s="5" t="n"/>
      <c r="U381" s="5" t="n"/>
      <c r="V381" s="15" t="n"/>
      <c r="W381" s="5" t="inlineStr">
        <is>
          <t>Y</t>
        </is>
      </c>
      <c r="X381" s="5" t="n"/>
      <c r="Y381" s="5" t="n"/>
      <c r="Z381" s="5" t="inlineStr">
        <is>
          <t>Multi-active product: enter number of separate HPLC/AAS methods in col I</t>
        </is>
      </c>
      <c r="AA381" s="5" t="n"/>
    </row>
    <row r="382">
      <c r="A382" s="10" t="inlineStr">
        <is>
          <t>F64</t>
        </is>
      </c>
      <c r="B382" s="10" t="inlineStr">
        <is>
          <t>FP</t>
        </is>
      </c>
      <c r="C382" s="10" t="inlineStr">
        <is>
          <t>Hair and Skin  |  Biotin (Vitamin B7), Folic Acid (Vitamin B9) (+7 more)</t>
        </is>
      </c>
      <c r="D382" s="10" t="inlineStr">
        <is>
          <t>Related substances / impurities</t>
        </is>
      </c>
      <c r="E382" s="10">
        <f>IF(A382="","",A382&amp;"|"&amp;D382)</f>
        <v/>
      </c>
      <c r="F382" s="5" t="inlineStr">
        <is>
          <t>N</t>
        </is>
      </c>
      <c r="G382" s="5" t="inlineStr">
        <is>
          <t>HPLC</t>
        </is>
      </c>
      <c r="H382" s="5" t="inlineStr">
        <is>
          <t>High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14">
        <f>IF(N382="","",IF(OR(M382="",O382=""),N382,(M382+4*N382+O382)/6))</f>
        <v/>
      </c>
      <c r="Q382" s="5" t="n"/>
      <c r="R382" s="5" t="n"/>
      <c r="S382" s="5" t="n"/>
      <c r="T382" s="5" t="n"/>
      <c r="U382" s="5" t="n"/>
      <c r="V382" s="15" t="n"/>
      <c r="W382" s="5" t="inlineStr">
        <is>
          <t>Y</t>
        </is>
      </c>
      <c r="X382" s="5" t="n"/>
      <c r="Y382" s="5" t="n"/>
      <c r="Z382" s="5" t="n"/>
      <c r="AA382" s="5" t="n"/>
    </row>
    <row r="383">
      <c r="A383" s="10" t="inlineStr">
        <is>
          <t>F64</t>
        </is>
      </c>
      <c r="B383" s="10" t="inlineStr">
        <is>
          <t>FP</t>
        </is>
      </c>
      <c r="C383" s="10" t="inlineStr">
        <is>
          <t>Hair and Skin  |  Biotin (Vitamin B7), Folic Acid (Vitamin B9) (+7 more)</t>
        </is>
      </c>
      <c r="D383" s="10" t="inlineStr">
        <is>
          <t>Dissolution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HPLC</t>
        </is>
      </c>
      <c r="H383" s="5" t="inlineStr">
        <is>
          <t>High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14">
        <f>IF(N383="","",IF(OR(M383="",O383=""),N383,(M383+4*N383+O383)/6))</f>
        <v/>
      </c>
      <c r="Q383" s="5" t="n"/>
      <c r="R383" s="5" t="n"/>
      <c r="S383" s="5" t="n"/>
      <c r="T383" s="5" t="n"/>
      <c r="U383" s="5" t="n"/>
      <c r="V383" s="15" t="n"/>
      <c r="W383" s="5" t="inlineStr">
        <is>
          <t>Y</t>
        </is>
      </c>
      <c r="X383" s="5" t="n"/>
      <c r="Y383" s="5" t="n"/>
      <c r="Z383" s="5" t="n"/>
      <c r="AA383" s="5" t="n"/>
    </row>
    <row r="384">
      <c r="A384" s="10" t="inlineStr">
        <is>
          <t>F64</t>
        </is>
      </c>
      <c r="B384" s="10" t="inlineStr">
        <is>
          <t>FP</t>
        </is>
      </c>
      <c r="C384" s="10" t="inlineStr">
        <is>
          <t>Hair and Skin  |  Biotin (Vitamin B7), Folic Acid (Vitamin B9) (+7 more)</t>
        </is>
      </c>
      <c r="D384" s="10" t="inlineStr">
        <is>
          <t>Content uniformity</t>
        </is>
      </c>
      <c r="E384" s="10">
        <f>IF(A384="","",A384&amp;"|"&amp;D384)</f>
        <v/>
      </c>
      <c r="F384" s="5" t="inlineStr">
        <is>
          <t>N</t>
        </is>
      </c>
      <c r="G384" s="5" t="inlineStr">
        <is>
          <t>HPLC</t>
        </is>
      </c>
      <c r="H384" s="5" t="inlineStr">
        <is>
          <t>High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</row>
    <row r="385">
      <c r="A385" s="10" t="inlineStr">
        <is>
          <t>F64</t>
        </is>
      </c>
      <c r="B385" s="10" t="inlineStr">
        <is>
          <t>FP</t>
        </is>
      </c>
      <c r="C385" s="10" t="inlineStr">
        <is>
          <t>Hair and Skin  |  Biotin (Vitamin B7), Folic Acid (Vitamin B9) (+7 more)</t>
        </is>
      </c>
      <c r="D385" s="10" t="inlineStr">
        <is>
          <t>Identification (if separate from assay)</t>
        </is>
      </c>
      <c r="E385" s="10">
        <f>IF(A385="","",A385&amp;"|"&amp;D385)</f>
        <v/>
      </c>
      <c r="F385" s="5" t="inlineStr">
        <is>
          <t>N</t>
        </is>
      </c>
      <c r="G385" s="5" t="inlineStr">
        <is>
          <t>HPLC</t>
        </is>
      </c>
      <c r="H385" s="5" t="inlineStr">
        <is>
          <t>High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</row>
    <row r="386">
      <c r="A386" s="10" t="inlineStr">
        <is>
          <t>F64</t>
        </is>
      </c>
      <c r="B386" s="10" t="inlineStr">
        <is>
          <t>FP</t>
        </is>
      </c>
      <c r="C386" s="10" t="inlineStr">
        <is>
          <t>Hair and Skin  |  Biotin (Vitamin B7), Folic Acid (Vitamin B9) (+7 more)</t>
        </is>
      </c>
      <c r="D386" s="10" t="inlineStr">
        <is>
          <t>Other tests (non-HPLC: physical, LOD/KF, disintegration, pH, micro...)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High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14">
        <f>IF(N386="","",IF(OR(M386="",O386=""),N386,(M386+4*N386+O386)/6))</f>
        <v/>
      </c>
      <c r="Q386" s="5" t="n"/>
      <c r="R386" s="5" t="n"/>
      <c r="S386" s="5" t="n"/>
      <c r="T386" s="5" t="n"/>
      <c r="U386" s="5" t="n"/>
      <c r="V386" s="15" t="n"/>
      <c r="W386" s="5" t="inlineStr">
        <is>
          <t>Y</t>
        </is>
      </c>
      <c r="X386" s="5" t="n"/>
      <c r="Y386" s="5" t="n"/>
      <c r="Z386" s="5" t="n"/>
      <c r="AA386" s="5" t="n"/>
    </row>
  </sheetData>
  <autoFilter ref="A1:AA386"/>
  <conditionalFormatting sqref="A2:AA586">
    <cfRule type="expression" priority="1" dxfId="0" stopIfTrue="0">
      <formula>OR($F2="N",$AA2="Y")</formula>
    </cfRule>
  </conditionalFormatting>
  <dataValidations count="6">
    <dataValidation sqref="F2:F586" showDropDown="0" showInputMessage="0" showErrorMessage="0" allowBlank="1" type="list">
      <formula1>"Y,N"</formula1>
    </dataValidation>
    <dataValidation sqref="G2:G586" showDropDown="0" showInputMessage="0" showErrorMessage="0" allowBlank="1" type="list">
      <formula1>"HPLC,GC,UV-Vis,AAS / ICP,KF titrator,Other / bench,None"</formula1>
    </dataValidation>
    <dataValidation sqref="H2:H586" showDropDown="0" showInputMessage="0" showErrorMessage="0" allowBlank="1" type="list">
      <formula1>"Low,Medium,High"</formula1>
    </dataValidation>
    <dataValidation sqref="W2:W586" showDropDown="0" showInputMessage="0" showErrorMessage="0" allowBlank="1" type="list">
      <formula1>"Y,N"</formula1>
    </dataValidation>
    <dataValidation sqref="Y2:Y586" showDropDown="0" showInputMessage="0" showErrorMessage="0" allowBlank="1" type="list">
      <formula1>"High,Medium,Low"</formula1>
    </dataValidation>
    <dataValidation sqref="AA2:AA58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 ht="45" customHeight="1">
      <c r="A1" s="13" t="inlineStr">
        <is>
          <t>Active ingredient</t>
        </is>
      </c>
      <c r="B1" s="13" t="inlineStr">
        <is>
          <t># families</t>
        </is>
      </c>
      <c r="C1" s="13" t="inlineStr">
        <is>
          <t>Families</t>
        </is>
      </c>
      <c r="D1" s="13" t="inlineStr">
        <is>
          <t>Same column + mobile phase? (Y/N/partly)</t>
        </is>
      </c>
      <c r="E1" s="13" t="inlineStr">
        <is>
          <t>Group code</t>
        </is>
      </c>
      <c r="F1" s="13" t="inlineStr">
        <is>
          <t>Notes</t>
        </is>
      </c>
    </row>
    <row r="2">
      <c r="A2" s="10" t="inlineStr">
        <is>
          <t>Cyanocobalamin (Vitamin B12)</t>
        </is>
      </c>
      <c r="B2" s="10" t="n">
        <v>5</v>
      </c>
      <c r="C2" s="10" t="inlineStr">
        <is>
          <t>F34, F35, F48, F57, F58</t>
        </is>
      </c>
      <c r="D2" s="5" t="n"/>
      <c r="E2" s="5" t="n"/>
      <c r="F2" s="5" t="n"/>
    </row>
    <row r="3">
      <c r="A3" s="10" t="inlineStr">
        <is>
          <t>Empagliflozin</t>
        </is>
      </c>
      <c r="B3" s="10" t="n">
        <v>4</v>
      </c>
      <c r="C3" s="10" t="inlineStr">
        <is>
          <t>F23, F25, F27, F28</t>
        </is>
      </c>
      <c r="D3" s="5" t="n"/>
      <c r="E3" s="5" t="n"/>
      <c r="F3" s="5" t="n"/>
    </row>
    <row r="4">
      <c r="A4" s="10" t="inlineStr">
        <is>
          <t>Metformin Hydrochloride</t>
        </is>
      </c>
      <c r="B4" s="10" t="n">
        <v>4</v>
      </c>
      <c r="C4" s="10" t="inlineStr">
        <is>
          <t>F18, F26, F27, F28</t>
        </is>
      </c>
      <c r="D4" s="5" t="n"/>
      <c r="E4" s="5" t="n"/>
      <c r="F4" s="5" t="n"/>
    </row>
    <row r="5">
      <c r="A5" s="10" t="inlineStr">
        <is>
          <t>Telmisartan</t>
        </is>
      </c>
      <c r="B5" s="10" t="n">
        <v>3</v>
      </c>
      <c r="C5" s="10" t="inlineStr">
        <is>
          <t>F04, F05, F06</t>
        </is>
      </c>
      <c r="D5" s="5" t="n"/>
      <c r="E5" s="5" t="n"/>
      <c r="F5" s="5" t="n"/>
    </row>
    <row r="6">
      <c r="A6" s="10" t="inlineStr">
        <is>
          <t>Acetaminophen</t>
        </is>
      </c>
      <c r="B6" s="10" t="n">
        <v>2</v>
      </c>
      <c r="C6" s="10" t="inlineStr">
        <is>
          <t>F20, F21</t>
        </is>
      </c>
      <c r="D6" s="5" t="n"/>
      <c r="E6" s="5" t="n"/>
      <c r="F6" s="5" t="n"/>
    </row>
    <row r="7">
      <c r="A7" s="10" t="inlineStr">
        <is>
          <t>Ascorbic Acid Coated 97%</t>
        </is>
      </c>
      <c r="B7" s="10" t="n">
        <v>2</v>
      </c>
      <c r="C7" s="10" t="inlineStr">
        <is>
          <t>F38, F46</t>
        </is>
      </c>
      <c r="D7" s="5" t="n"/>
      <c r="E7" s="5" t="n"/>
      <c r="F7" s="5" t="n"/>
    </row>
    <row r="8">
      <c r="A8" s="10" t="inlineStr">
        <is>
          <t>Bempedoic Acid</t>
        </is>
      </c>
      <c r="B8" s="10" t="n">
        <v>2</v>
      </c>
      <c r="C8" s="10" t="inlineStr">
        <is>
          <t>F10, F11</t>
        </is>
      </c>
      <c r="D8" s="5" t="n"/>
      <c r="E8" s="5" t="n"/>
      <c r="F8" s="5" t="n"/>
    </row>
    <row r="9">
      <c r="A9" s="10" t="inlineStr">
        <is>
          <t>Biotin (Vitamin B7)</t>
        </is>
      </c>
      <c r="B9" s="10" t="n">
        <v>2</v>
      </c>
      <c r="C9" s="10" t="inlineStr">
        <is>
          <t>F55, F64</t>
        </is>
      </c>
      <c r="D9" s="5" t="n"/>
      <c r="E9" s="5" t="n"/>
      <c r="F9" s="5" t="n"/>
    </row>
    <row r="10">
      <c r="A10" s="10" t="inlineStr">
        <is>
          <t>Calcium Carbonate Heavy</t>
        </is>
      </c>
      <c r="B10" s="10" t="n">
        <v>2</v>
      </c>
      <c r="C10" s="10" t="inlineStr">
        <is>
          <t>F45, F50</t>
        </is>
      </c>
      <c r="D10" s="5" t="n"/>
      <c r="E10" s="5" t="n"/>
      <c r="F10" s="5" t="n"/>
    </row>
    <row r="11">
      <c r="A11" s="10" t="inlineStr">
        <is>
          <t>Ezetimibe</t>
        </is>
      </c>
      <c r="B11" s="10" t="n">
        <v>2</v>
      </c>
      <c r="C11" s="10" t="inlineStr">
        <is>
          <t>F01, F11</t>
        </is>
      </c>
      <c r="D11" s="5" t="n"/>
      <c r="E11" s="5" t="n"/>
      <c r="F11" s="5" t="n"/>
    </row>
    <row r="12">
      <c r="A12" s="10" t="inlineStr">
        <is>
          <t>L-Carnitine (Base)</t>
        </is>
      </c>
      <c r="B12" s="10" t="n">
        <v>2</v>
      </c>
      <c r="C12" s="10" t="inlineStr">
        <is>
          <t>F32, F33</t>
        </is>
      </c>
      <c r="D12" s="5" t="n"/>
      <c r="E12" s="5" t="n"/>
      <c r="F12" s="5" t="n"/>
    </row>
    <row r="13">
      <c r="A13" s="10" t="inlineStr">
        <is>
          <t>Linagliptin</t>
        </is>
      </c>
      <c r="B13" s="10" t="n">
        <v>2</v>
      </c>
      <c r="C13" s="10" t="inlineStr">
        <is>
          <t>F16, F25</t>
        </is>
      </c>
      <c r="D13" s="5" t="n"/>
      <c r="E13" s="5" t="n"/>
      <c r="F13" s="5" t="n"/>
    </row>
    <row r="14">
      <c r="A14" s="10" t="inlineStr">
        <is>
          <t>Magnesium Oxide Heavy</t>
        </is>
      </c>
      <c r="B14" s="10" t="n">
        <v>2</v>
      </c>
      <c r="C14" s="10" t="inlineStr">
        <is>
          <t>F39, F40</t>
        </is>
      </c>
      <c r="D14" s="5" t="n"/>
      <c r="E14" s="5" t="n"/>
      <c r="F14" s="5" t="n"/>
    </row>
  </sheetData>
  <autoFilter ref="A1:F14"/>
  <dataValidations count="1">
    <dataValidation sqref="D2:D214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FP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FP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FP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FP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FP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FP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FP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FP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FP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FP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FP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FP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FP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FP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FP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FP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FP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FP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FP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FP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FP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FP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FP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FP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FP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FP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FP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FP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FP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FP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FP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FP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FP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FP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FP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FP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FP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FP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FP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FP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conditionalFormatting sqref="A2:AA241">
    <cfRule type="expression" priority="1" dxfId="0" stopIfTrue="0">
      <formula>OR($F2="N",$AA2="Y")</formula>
    </cfRule>
  </conditionalFormatting>
  <dataValidations count="6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2026-10-19T03:19:30Z</dcterms:created>
  <dcterms:modified xmlns:dcterms="http://purl.org/dc/terms/" xmlns:xsi="http://www.w3.org/2001/XMLSchema-instance" xsi:type="dcterms:W3CDTF">2026-10-19T03:19:31Z</dcterms:modified>
</cp:coreProperties>
</file>
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Test catalog" sheetId="4" state="visible" r:id="rId4"/>
    <sheet xmlns:r="http://schemas.openxmlformats.org/officeDocument/2006/relationships" name="Test times" sheetId="5" state="visible" r:id="rId5"/>
    <sheet xmlns:r="http://schemas.openxmlformats.org/officeDocument/2006/relationships" name="Monitoring" sheetId="6" state="visible" r:id="rId6"/>
    <sheet xmlns:r="http://schemas.openxmlformats.org/officeDocument/2006/relationships" name="Support work" sheetId="7" state="visible" r:id="rId7"/>
    <sheet xmlns:r="http://schemas.openxmlformats.org/officeDocument/2006/relationships" name="Extra tests" sheetId="8" state="visible" r:id="rId8"/>
  </sheets>
  <definedNames>
    <definedName name="_xlnm._FilterDatabase" localSheetId="3" hidden="1">'Test catalog'!$A$1:$R$19</definedName>
    <definedName name="_xlnm._FilterDatabase" localSheetId="4" hidden="1">'Test times'!$A$1:$Z$408</definedName>
    <definedName name="_xlnm._FilterDatabase" localSheetId="5" hidden="1">'Monitoring'!$A$1:$M$28</definedName>
    <definedName name="_xlnm._FilterDatabase" localSheetId="6" hidden="1">'Support work'!$A$1:$H$27</definedName>
    <definedName name="_xlnm._FilterDatabase" localSheetId="7" hidden="1">'Extra tests'!$A$1:$X$41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3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0" pivotButton="0" quotePrefix="0" xfId="0"/>
    <xf numFmtId="0" fontId="0" fillId="4" borderId="0" pivotButton="0" quotePrefix="0" xfId="0"/>
    <xf numFmtId="0" fontId="0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9" fontId="0" fillId="2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7F7F7F"/>
      </font>
      <fill>
        <patternFill patternType="solid">
          <fgColor rgb="00BFBFBF"/>
          <bgColor rgb="00BFBF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Micro Lab Analyst Questionnaire</t>
        </is>
      </c>
    </row>
    <row r="2">
      <c r="A2" s="2" t="inlineStr">
        <is>
          <t>Deliverable 2 - analyst edition. Part of the QC Laboratory Capacity, Staffing Gap and CAPEX Assessment.</t>
        </is>
      </c>
    </row>
    <row r="4">
      <c r="A4" s="3" t="inlineStr">
        <is>
          <t>Area</t>
        </is>
      </c>
      <c r="B4" s="4" t="inlineStr">
        <is>
          <t>QC Microbiology Laboratory - raw materials, finished products, water and environmental monitoring</t>
        </is>
      </c>
    </row>
    <row r="5">
      <c r="A5" s="3" t="inlineStr">
        <is>
          <t>Who fills it</t>
        </is>
      </c>
      <c r="B5" s="4" t="inlineStr">
        <is>
          <t>Each microbiologist (2-3 people). Each person fills a separate copy.</t>
        </is>
      </c>
    </row>
    <row r="6">
      <c r="A6" s="3" t="inlineStr">
        <is>
          <t>Time needed</t>
        </is>
      </c>
      <c r="B6" s="4" t="inlineStr">
        <is>
          <t>About 2 hours: questions 20 min, test catalog 30 min, the rest on the tables.</t>
        </is>
      </c>
    </row>
    <row r="7">
      <c r="A7" s="3" t="inlineStr"/>
      <c r="B7" s="4" t="inlineStr"/>
    </row>
    <row r="8">
      <c r="A8" s="3" t="inlineStr">
        <is>
          <t>Sheet: Guide</t>
        </is>
      </c>
      <c r="B8" s="4" t="inlineStr">
        <is>
          <t>Rules, and what each column means.</t>
        </is>
      </c>
    </row>
    <row r="9">
      <c r="A9" s="3" t="inlineStr">
        <is>
          <t>Sheet: Questions</t>
        </is>
      </c>
      <c r="B9" s="4" t="inlineStr">
        <is>
          <t>Respondent profile, samples &amp; programmes, media and equipment, workload.</t>
        </is>
      </c>
    </row>
    <row r="10">
      <c r="A10" s="3" t="inlineStr">
        <is>
          <t>Sheet: Test catalog</t>
        </is>
      </c>
      <c r="B10" s="4" t="inlineStr">
        <is>
          <t>Time each micro test once (TAMC / TYMC, each specified organism, water, EM plates ...).</t>
        </is>
      </c>
    </row>
    <row r="11">
      <c r="A11" s="3" t="inlineStr">
        <is>
          <t>Sheet: Test times</t>
        </is>
      </c>
      <c r="B11" s="4" t="inlineStr">
        <is>
          <t>One row per raw material / product family x micro test: confirm Applicable and the % of lots tested.</t>
        </is>
      </c>
    </row>
    <row r="12">
      <c r="A12" s="3" t="inlineStr">
        <is>
          <t>Sheet: Monitoring</t>
        </is>
      </c>
      <c r="B12" s="4" t="inlineStr">
        <is>
          <t>Water, environmental, personnel, gas and swab programmes: points and samples per week.</t>
        </is>
      </c>
    </row>
    <row r="13">
      <c r="A13" s="3" t="inlineStr">
        <is>
          <t>Sheet: Support work</t>
        </is>
      </c>
      <c r="B13" s="4" t="inlineStr">
        <is>
          <t>Media, growth promotion, cultures, autoclave, identification, investigations ...: units per year and hours.</t>
        </is>
      </c>
    </row>
    <row r="14">
      <c r="A14" s="3" t="inlineStr">
        <is>
          <t>Sheet: Extra tests</t>
        </is>
      </c>
      <c r="B14" s="4" t="inlineStr">
        <is>
          <t>Tests missing from Test times (other organisms, in-house tests, stability-only tests ...).</t>
        </is>
      </c>
    </row>
    <row r="15">
      <c r="A15" s="3" t="inlineStr"/>
      <c r="B15" s="4" t="inlineStr"/>
    </row>
    <row r="16">
      <c r="A16" s="3" t="inlineStr">
        <is>
          <t>How to fill</t>
        </is>
      </c>
      <c r="B16" s="4" t="inlineStr">
        <is>
          <t>Read the 'Guide' sheet first: rules, which sheets take new rows, and what every column means.</t>
        </is>
      </c>
    </row>
    <row r="17">
      <c r="A17" s="3" t="inlineStr">
        <is>
          <t>Data basis</t>
        </is>
      </c>
      <c r="B17" s="4" t="inlineStr">
        <is>
          <t>180 raw materials on the master list: 30 have a micro test in their USP-NF monograph, 19 more are of natural origin (extracts, premixes, gelatin) and pre-set to Y; the rest have one enumeration row set to N.</t>
        </is>
      </c>
    </row>
    <row r="18">
      <c r="A18" s="3" t="inlineStr">
        <is>
          <t>Data basis</t>
        </is>
      </c>
      <c r="B18" s="4" t="inlineStr">
        <is>
          <t>64 finished-product families (107 products) with tests by dosage form.</t>
        </is>
      </c>
    </row>
    <row r="19">
      <c r="A19" s="3" t="inlineStr">
        <is>
          <t>Data basis</t>
        </is>
      </c>
      <c r="B19" s="4" t="inlineStr">
        <is>
          <t>407 item x test rows; 18 micro tests and monitoring samples are timed once on 'Test catalog'.</t>
        </is>
      </c>
    </row>
    <row r="20">
      <c r="A20" s="3" t="inlineStr">
        <is>
          <t>Data basis</t>
        </is>
      </c>
      <c r="B20" s="4" t="inlineStr">
        <is>
          <t>Water, environmental and personnel monitoring go on 'Monitoring'; media, cultures, autoclave and other support work on 'Support work'.</t>
        </is>
      </c>
    </row>
    <row r="21">
      <c r="A21" s="3" t="inlineStr">
        <is>
          <t>Data basis</t>
        </is>
      </c>
      <c r="B21" s="4" t="inlineStr">
        <is>
          <t>No recorded micro test times exist yet, so all times are new estimates.</t>
        </is>
      </c>
    </row>
    <row r="22">
      <c r="A22" s="3" t="inlineStr"/>
      <c r="B22" s="4" t="inlineStr"/>
    </row>
    <row r="23">
      <c r="A23" s="3" t="inlineStr">
        <is>
          <t>Respondent</t>
        </is>
      </c>
      <c r="B23" s="5" t="n"/>
    </row>
    <row r="24">
      <c r="A24" s="3" t="inlineStr">
        <is>
          <t>Date</t>
        </is>
      </c>
      <c r="B24" s="5" t="n"/>
    </row>
    <row r="25">
      <c r="A25" s="3" t="inlineStr">
        <is>
          <t>Reviewed by (unit head)</t>
        </is>
      </c>
      <c r="B2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6" t="inlineStr">
        <is>
          <t>How to fill</t>
        </is>
      </c>
      <c r="B1" s="6" t="inlineStr"/>
    </row>
    <row r="2">
      <c r="A2" s="7" t="inlineStr">
        <is>
          <t>Colours</t>
        </is>
      </c>
      <c r="B2" s="8" t="inlineStr">
        <is>
          <t>Yellow = you type. Grey = pre-filled or automatic; type over a grey value only if it is wrong. Dark-grey row = Applicable = N or Outsourced = Y (outsourced rows still take the in-house Prep time).</t>
        </is>
      </c>
    </row>
    <row r="3">
      <c r="A3" s="7" t="inlineStr">
        <is>
          <t>Outsourced tests</t>
        </is>
      </c>
      <c r="B3" s="8" t="inlineStr">
        <is>
          <t>Outsourced = Y. Enter only in-house time (sampling, sending, checking the report) as Prep; leave instrument times blank.</t>
        </is>
      </c>
    </row>
    <row r="4">
      <c r="A4" s="7" t="inlineStr">
        <is>
          <t>Columns</t>
        </is>
      </c>
      <c r="B4" s="8" t="inlineStr">
        <is>
          <t>Do not insert, delete or reorder columns - answers are collected by column position.</t>
        </is>
      </c>
    </row>
    <row r="5">
      <c r="A5" s="7" t="inlineStr">
        <is>
          <t>Adding rows</t>
        </is>
      </c>
      <c r="B5" s="8" t="inlineStr">
        <is>
          <t>Use the empty rows at the bottom of a sheet. If you need more: select the last empty row, Ctrl+C, right-click the row number below it, 'Insert Copied Cells' - colours, dropdowns and formulas come with it.</t>
        </is>
      </c>
    </row>
    <row r="6">
      <c r="A6" s="7" t="inlineStr">
        <is>
          <t>Units</t>
        </is>
      </c>
      <c r="B6" s="8" t="inlineStr">
        <is>
          <t>Times in HOURS (0.25 = 15 min) per sample unless the header says per session. Incubation in DAYS.</t>
        </is>
      </c>
    </row>
    <row r="7">
      <c r="A7" s="7" t="inlineStr">
        <is>
          <t>Minimum effort</t>
        </is>
      </c>
      <c r="B7" s="8" t="inlineStr">
        <is>
          <t>Only 'Prep + inoculation – MOST LIKELY' and 'Reading + counting' are required; MIN and MAX are optional. Blank = not known.</t>
        </is>
      </c>
    </row>
    <row r="8">
      <c r="A8" s="7" t="inlineStr">
        <is>
          <t>Incubation is not analyst time</t>
        </is>
      </c>
      <c r="B8" s="8" t="inlineStr">
        <is>
          <t>Analyst columns = hands-on time only (preparing, inoculating, reading, counting). Incubation goes in 'Incubation days': it fills incubators, not people. 'Reading + counting' covers all reads of one sample (e.g. day 3 and day 5).</t>
        </is>
      </c>
    </row>
    <row r="9">
      <c r="A9" s="7" t="inlineStr">
        <is>
          <t>Session</t>
        </is>
      </c>
      <c r="B9" s="8" t="inlineStr">
        <is>
          <t>A session = one set-up at the cabinet (media out, controls, cleaning before and after). Its setup time is counted once for all samples of that session.</t>
        </is>
      </c>
    </row>
    <row r="10">
      <c r="A10" s="7" t="inlineStr">
        <is>
          <t>Fill order</t>
        </is>
      </c>
      <c r="B10" s="8" t="inlineStr">
        <is>
          <t>1) Test catalog - each micro test is timed once and copied to every row that uses it. 2) Test times - confirm Applicable and the % of lots / batches tested. 3) Monitoring and Support work. 4) Questions.</t>
        </is>
      </c>
    </row>
    <row r="11">
      <c r="A11" s="7" t="inlineStr">
        <is>
          <t>Catalog time</t>
        </is>
      </c>
      <c r="B11" s="8" t="inlineStr">
        <is>
          <t>One catalog row = the time of ONE test on ONE sample (e.g. one TAMC + TYMC test). Every Test times row with that Catalog code gets it, so each row is counted once.</t>
        </is>
      </c>
    </row>
    <row r="12">
      <c r="A12" s="7" t="inlineStr">
        <is>
          <t>One test needs its own time</t>
        </is>
      </c>
      <c r="B12" s="8" t="inlineStr">
        <is>
          <t>e.g. TAMC + TYMC of botanical extracts 60 min while the rest of ENUM stays 30: on Test catalog copy the ENUM row into a new row (Insert Copied Cells), give it a new Code (e.g. ENUM_BOT) and its own times; on Test times filter Test = Microbial enumeration, pick the extract rows and change Catalog code to ENUM_BOT. Those rows then follow the new row.</t>
        </is>
      </c>
    </row>
    <row r="13">
      <c r="A13" s="7" t="inlineStr">
        <is>
          <t>One material or family differs</t>
        </is>
      </c>
      <c r="B13" s="8" t="inlineStr">
        <is>
          <t>Type over that row's grey cells on Test times (e.g. a product that needs extra dilution or neutralisation). That cell then stops following the catalog.</t>
        </is>
      </c>
    </row>
    <row r="14">
      <c r="A14" s="7" t="inlineStr">
        <is>
          <t>Missing / unused tests</t>
        </is>
      </c>
      <c r="B14" s="8" t="inlineStr">
        <is>
          <t>Unused test: Applicable = N (do not delete the row). Missing test: add it on 'Extra tests'.</t>
        </is>
      </c>
    </row>
    <row r="15">
      <c r="A15" s="7" t="inlineStr">
        <is>
          <t>Volumes</t>
        </is>
      </c>
      <c r="B15" s="8" t="inlineStr">
        <is>
          <t>Lots and batches per year are collected on the RM and FP questionnaires. Here give only the share tested for micro in column F (blank = every lot / batch; 20 = one lot in five).</t>
        </is>
      </c>
    </row>
    <row r="16">
      <c r="A16" s="7" t="inlineStr">
        <is>
          <t>Pre-filled tests</t>
        </is>
      </c>
      <c r="B16" s="8" t="inlineStr">
        <is>
          <t>Raw materials: the micro tests in their USP-NF monograph; natural-origin materials without one (extracts, premixes, gelatin) are pre-set to Y, the rest to N. Products: by dosage form (USP &lt;1111&gt;), plus Salmonella where the product contains a botanical. Correct anything that differs from your specifications.</t>
        </is>
      </c>
    </row>
    <row r="17">
      <c r="A17" s="7" t="inlineStr">
        <is>
          <t>Sterile work</t>
        </is>
      </c>
      <c r="B17" s="8" t="inlineStr">
        <is>
          <t>No sterile product is on the product list, so sterility and endotoxin rows are pre-set to N. If you run them, set Y and answer B5.</t>
        </is>
      </c>
    </row>
    <row r="18">
      <c r="A18" s="7" t="inlineStr">
        <is>
          <t>Families</t>
        </is>
      </c>
      <c r="B18" s="8" t="inlineStr">
        <is>
          <t>A family = all strengths tested with the same methods. If one strength needs a different method, say so in Notes.</t>
        </is>
      </c>
    </row>
    <row r="20">
      <c r="A20" s="6" t="inlineStr">
        <is>
          <t>Sheet</t>
        </is>
      </c>
      <c r="B20" s="6" t="inlineStr">
        <is>
          <t>Use  ·  Can I add rows?</t>
        </is>
      </c>
    </row>
    <row r="21">
      <c r="A21" s="7" t="inlineStr">
        <is>
          <t>Overview</t>
        </is>
      </c>
      <c r="B21" s="8" t="inlineStr">
        <is>
          <t>Scope; your name and date.  ·  No.</t>
        </is>
      </c>
    </row>
    <row r="22">
      <c r="A22" s="7" t="inlineStr">
        <is>
          <t>Guide</t>
        </is>
      </c>
      <c r="B22" s="8" t="inlineStr">
        <is>
          <t>Rules, and what each column means.  ·  No.</t>
        </is>
      </c>
    </row>
    <row r="23">
      <c r="A23" s="7" t="inlineStr">
        <is>
          <t>Questions</t>
        </is>
      </c>
      <c r="B23" s="8" t="inlineStr">
        <is>
          <t>Respondent profile, samples &amp; programmes, media and equipment, workload.  ·  No.</t>
        </is>
      </c>
    </row>
    <row r="24">
      <c r="A24" s="7" t="inlineStr">
        <is>
          <t>Test catalog</t>
        </is>
      </c>
      <c r="B24" s="8" t="inlineStr">
        <is>
          <t>Time each micro test once (TAMC / TYMC, each specified organism, water, EM plates ...).  ·  Only to give one test its own time (see 'One test needs its own time' above); do not sort or delete rows.</t>
        </is>
      </c>
    </row>
    <row r="25">
      <c r="A25" s="7" t="inlineStr">
        <is>
          <t>Test times</t>
        </is>
      </c>
      <c r="B25" s="8" t="inlineStr">
        <is>
          <t>One row per raw material / product family x micro test: confirm Applicable and the % of lots tested.  ·  No - set Applicable = N instead of deleting; missing tests go on 'Extra tests'. Sorting and filtering are fine.</t>
        </is>
      </c>
    </row>
    <row r="26">
      <c r="A26" s="7" t="inlineStr">
        <is>
          <t>Monitoring</t>
        </is>
      </c>
      <c r="B26" s="8" t="inlineStr">
        <is>
          <t>Water, environmental, personnel, gas and swab programmes: points and samples per week.  ·  Yes - 15 empty rows for other areas or systems.</t>
        </is>
      </c>
    </row>
    <row r="27">
      <c r="A27" s="7" t="inlineStr">
        <is>
          <t>Support work</t>
        </is>
      </c>
      <c r="B27" s="8" t="inlineStr">
        <is>
          <t>Media, growth promotion, cultures, autoclave, identification, investigations ...: units per year and hours.  ·  Yes - 10 empty rows.</t>
        </is>
      </c>
    </row>
    <row r="28">
      <c r="A28" s="7" t="inlineStr">
        <is>
          <t>Extra tests</t>
        </is>
      </c>
      <c r="B28" s="8" t="inlineStr">
        <is>
          <t>Tests missing from Test times (other organisms, in-house tests, stability-only tests ...).  ·  Yes - 40 empty rows.</t>
        </is>
      </c>
    </row>
    <row r="30">
      <c r="A30" s="6" t="inlineStr">
        <is>
          <t>Questions - columns</t>
        </is>
      </c>
      <c r="B30" s="6" t="inlineStr">
        <is>
          <t>Meaning</t>
        </is>
      </c>
    </row>
    <row r="31">
      <c r="A31" s="7" t="inlineStr">
        <is>
          <t>A · #</t>
        </is>
      </c>
      <c r="B31" s="8" t="inlineStr">
        <is>
          <t>Question number.</t>
        </is>
      </c>
    </row>
    <row r="32">
      <c r="A32" s="7" t="inlineStr">
        <is>
          <t>B · Question</t>
        </is>
      </c>
      <c r="B32" s="8" t="inlineStr">
        <is>
          <t>The question.</t>
        </is>
      </c>
    </row>
    <row r="33">
      <c r="A33" s="7" t="inlineStr">
        <is>
          <t>C · Answer</t>
        </is>
      </c>
      <c r="B33" s="8" t="inlineStr">
        <is>
          <t>Your answer - short is fine.</t>
        </is>
      </c>
    </row>
    <row r="35">
      <c r="A35" s="6" t="inlineStr">
        <is>
          <t>Test catalog - columns</t>
        </is>
      </c>
      <c r="B35" s="6" t="inlineStr">
        <is>
          <t>Meaning</t>
        </is>
      </c>
    </row>
    <row r="36">
      <c r="A36" s="7" t="inlineStr">
        <is>
          <t>A · Code</t>
        </is>
      </c>
      <c r="B36" s="8" t="inlineStr">
        <is>
          <t>Short code of the general test; Test times rows find their times by this code.</t>
        </is>
      </c>
    </row>
    <row r="37">
      <c r="A37" s="7" t="inlineStr">
        <is>
          <t>B · Test</t>
        </is>
      </c>
      <c r="B37" s="8" t="inlineStr">
        <is>
          <t>Test name.</t>
        </is>
      </c>
    </row>
    <row r="38">
      <c r="A38" s="7" t="inlineStr">
        <is>
          <t>C · Equipment</t>
        </is>
      </c>
      <c r="B38" s="8" t="inlineStr">
        <is>
          <t>Main equipment the test occupies.</t>
        </is>
      </c>
    </row>
    <row r="39">
      <c r="A39" s="7" t="inlineStr">
        <is>
          <t>D · Compendial conditions (reference)</t>
        </is>
      </c>
      <c r="B39" s="8" t="inlineStr">
        <is>
          <t>Reference: typical media and incubation from USP; your procedure may differ.</t>
        </is>
      </c>
    </row>
    <row r="40">
      <c r="A40" s="7" t="inlineStr">
        <is>
          <t>E · Rows using it (auto)</t>
        </is>
      </c>
      <c r="B40" s="8" t="inlineStr">
        <is>
          <t>Automatic: number of Test times rows (and Monitoring rows) that use this test and are Applicable = Y.</t>
        </is>
      </c>
    </row>
    <row r="41">
      <c r="A41" s="7" t="inlineStr">
        <is>
          <t>F · Setup analyst h / session</t>
        </is>
      </c>
      <c r="B41" s="8" t="inlineStr">
        <is>
          <t>Hands-on hours per session not spent on single samples (media out, controls, cabinet cleaning).</t>
        </is>
      </c>
    </row>
    <row r="42">
      <c r="A42" s="7" t="inlineStr">
        <is>
          <t>G · Prep + inoculation h/sample – MIN</t>
        </is>
      </c>
      <c r="B42" s="8" t="inlineStr">
        <is>
          <t>Optional. Fastest realistic hands-on time per sample (weighing, dilution, filtration, plating).</t>
        </is>
      </c>
    </row>
    <row r="43">
      <c r="A43" s="7" t="inlineStr">
        <is>
          <t>H · Prep + inoculation – MOST LIKELY</t>
        </is>
      </c>
      <c r="B43" s="8" t="inlineStr">
        <is>
          <t>Required. Usual hands-on time per sample to prepare and inoculate.</t>
        </is>
      </c>
    </row>
    <row r="44">
      <c r="A44" s="7" t="inlineStr">
        <is>
          <t>I · Prep + inoculation – MAX</t>
        </is>
      </c>
      <c r="B44" s="8" t="inlineStr">
        <is>
          <t>Optional. Slowest realistic preparation per sample.</t>
        </is>
      </c>
    </row>
    <row r="45">
      <c r="A45" s="7" t="inlineStr">
        <is>
          <t>J · Reading + counting h / sample (all reads)</t>
        </is>
      </c>
      <c r="B45" s="8" t="inlineStr">
        <is>
          <t>Required. Hands-on time to read, count and subculture one sample, all reads together.</t>
        </is>
      </c>
    </row>
    <row r="46">
      <c r="A46" s="7" t="inlineStr">
        <is>
          <t>K · Incubation days</t>
        </is>
      </c>
      <c r="B46" s="8" t="inlineStr">
        <is>
          <t>Days the plates / tubes stay in the incubator (not analyst time).</t>
        </is>
      </c>
    </row>
    <row r="47">
      <c r="A47" s="7" t="inlineStr">
        <is>
          <t>L · Plates / tubes per sample</t>
        </is>
      </c>
      <c r="B47" s="8" t="inlineStr">
        <is>
          <t>Plates, tubes or bottles one sample puts in the incubators.</t>
        </is>
      </c>
    </row>
    <row r="48">
      <c r="A48" s="7" t="inlineStr">
        <is>
          <t>M · BSC / LAF h / sample</t>
        </is>
      </c>
      <c r="B48" s="8" t="inlineStr">
        <is>
          <t>Biosafety cabinet / laminar-flow hood time per sample.</t>
        </is>
      </c>
    </row>
    <row r="49">
      <c r="A49" s="7" t="inlineStr">
        <is>
          <t>N · Data + doc h / sample</t>
        </is>
      </c>
      <c r="B49" s="8" t="inlineStr">
        <is>
          <t>Calculations, logbook and LIMS entries per sample.</t>
        </is>
      </c>
    </row>
    <row r="50">
      <c r="A50" s="7" t="inlineStr">
        <is>
          <t>O · Review h / sample</t>
        </is>
      </c>
      <c r="B50" s="8" t="inlineStr">
        <is>
          <t>Time a second person spends checking the data per sample.</t>
        </is>
      </c>
    </row>
    <row r="51">
      <c r="A51" s="7" t="inlineStr">
        <is>
          <t>P · Samples per session</t>
        </is>
      </c>
      <c r="B51" s="8" t="inlineStr">
        <is>
          <t>Typical number of samples handled in one session.</t>
        </is>
      </c>
    </row>
    <row r="52">
      <c r="A52" s="7" t="inlineStr">
        <is>
          <t>Q · Outsourced (Y/N)</t>
        </is>
      </c>
      <c r="B52" s="8" t="inlineStr">
        <is>
          <t>Y = sent to an external lab. Then enter only in-house time (sampling, sending, checking the report) as Prep; leave instrument times blank.</t>
        </is>
      </c>
    </row>
    <row r="53">
      <c r="A53" s="7" t="inlineStr">
        <is>
          <t>R · Notes</t>
        </is>
      </c>
      <c r="B53" s="8" t="inlineStr">
        <is>
          <t>Anything unusual.</t>
        </is>
      </c>
    </row>
    <row r="55">
      <c r="A55" s="6" t="inlineStr">
        <is>
          <t>Test times - columns</t>
        </is>
      </c>
      <c r="B55" s="6" t="inlineStr">
        <is>
          <t>Meaning</t>
        </is>
      </c>
    </row>
    <row r="56">
      <c r="A56" s="7" t="inlineStr">
        <is>
          <t>A · Item (material / family)</t>
        </is>
      </c>
      <c r="B56" s="8" t="inlineStr">
        <is>
          <t>Raw-material name or finished-product family ID.</t>
        </is>
      </c>
    </row>
    <row r="57">
      <c r="A57" s="7" t="inlineStr">
        <is>
          <t>B · Type</t>
        </is>
      </c>
      <c r="B57" s="8" t="inlineStr">
        <is>
          <t>RM = raw material, FP = finished product (Extra tests may also use PM = packaging, IPC, Water, EM, Other).</t>
        </is>
      </c>
    </row>
    <row r="58">
      <c r="A58" s="7" t="inlineStr">
        <is>
          <t>C · Description</t>
        </is>
      </c>
      <c r="B58" s="8" t="inlineStr">
        <is>
          <t>Material category, or the products in the family.</t>
        </is>
      </c>
    </row>
    <row r="59">
      <c r="A59" s="7" t="inlineStr">
        <is>
          <t>D · Test</t>
        </is>
      </c>
      <c r="B59" s="8" t="inlineStr">
        <is>
          <t>Test name.</t>
        </is>
      </c>
    </row>
    <row r="60">
      <c r="A60" s="7" t="inlineStr">
        <is>
          <t>E · Applicable (Y/N)</t>
        </is>
      </c>
      <c r="B60" s="8" t="inlineStr">
        <is>
          <t>Y = you run this test on this item; N = you do not (do not delete the row).</t>
        </is>
      </c>
    </row>
    <row r="61">
      <c r="A61" s="7" t="inlineStr">
        <is>
          <t>F · Lots / batches tested for micro (%)</t>
        </is>
      </c>
      <c r="B61" s="8" t="inlineStr">
        <is>
          <t>Share of lots or batches tested for micro; blank = every one (20 = one in five).</t>
        </is>
      </c>
    </row>
    <row r="62">
      <c r="A62" s="7" t="inlineStr">
        <is>
          <t>G · Setup analyst h / session</t>
        </is>
      </c>
      <c r="B62" s="8" t="inlineStr">
        <is>
          <t>Hands-on hours per session not spent on single samples (media out, controls, cabinet cleaning).</t>
        </is>
      </c>
    </row>
    <row r="63">
      <c r="A63" s="7" t="inlineStr">
        <is>
          <t>H · Prep + inoculation h/sample – MIN</t>
        </is>
      </c>
      <c r="B63" s="8" t="inlineStr">
        <is>
          <t>Optional. Fastest realistic hands-on time per sample (weighing, dilution, filtration, plating).</t>
        </is>
      </c>
    </row>
    <row r="64">
      <c r="A64" s="7" t="inlineStr">
        <is>
          <t>I · Prep + inoculation – MOST LIKELY</t>
        </is>
      </c>
      <c r="B64" s="8" t="inlineStr">
        <is>
          <t>Required. Usual hands-on time per sample to prepare and inoculate.</t>
        </is>
      </c>
    </row>
    <row r="65">
      <c r="A65" s="7" t="inlineStr">
        <is>
          <t>J · Prep + inoculation – MAX</t>
        </is>
      </c>
      <c r="B65" s="8" t="inlineStr">
        <is>
          <t>Optional. Slowest realistic preparation per sample.</t>
        </is>
      </c>
    </row>
    <row r="66">
      <c r="A66" s="7" t="inlineStr">
        <is>
          <t>K · Prep PERT (auto)</t>
        </is>
      </c>
      <c r="B66" s="8" t="inlineStr">
        <is>
          <t>Automatic: (MIN + 4 x MOST LIKELY + MAX) / 6; equals MOST LIKELY if MIN or MAX is blank.</t>
        </is>
      </c>
    </row>
    <row r="67">
      <c r="A67" s="7" t="inlineStr">
        <is>
          <t>L · Reading + counting h / sample (all reads)</t>
        </is>
      </c>
      <c r="B67" s="8" t="inlineStr">
        <is>
          <t>Required. Hands-on time to read, count and subculture one sample, all reads together.</t>
        </is>
      </c>
    </row>
    <row r="68">
      <c r="A68" s="7" t="inlineStr">
        <is>
          <t>M · Incubation days</t>
        </is>
      </c>
      <c r="B68" s="8" t="inlineStr">
        <is>
          <t>Days the plates / tubes stay in the incubator (not analyst time).</t>
        </is>
      </c>
    </row>
    <row r="69">
      <c r="A69" s="7" t="inlineStr">
        <is>
          <t>N · Plates / tubes per sample</t>
        </is>
      </c>
      <c r="B69" s="8" t="inlineStr">
        <is>
          <t>Plates, tubes or bottles one sample puts in the incubators.</t>
        </is>
      </c>
    </row>
    <row r="70">
      <c r="A70" s="7" t="inlineStr">
        <is>
          <t>O · BSC / LAF h / sample</t>
        </is>
      </c>
      <c r="B70" s="8" t="inlineStr">
        <is>
          <t>Biosafety cabinet / laminar-flow hood time per sample.</t>
        </is>
      </c>
    </row>
    <row r="71">
      <c r="A71" s="7" t="inlineStr">
        <is>
          <t>P · Data + doc h / sample</t>
        </is>
      </c>
      <c r="B71" s="8" t="inlineStr">
        <is>
          <t>Calculations, logbook and LIMS entries per sample.</t>
        </is>
      </c>
    </row>
    <row r="72">
      <c r="A72" s="7" t="inlineStr">
        <is>
          <t>Q · Review h / sample</t>
        </is>
      </c>
      <c r="B72" s="8" t="inlineStr">
        <is>
          <t>Time a second person spends checking the data per sample.</t>
        </is>
      </c>
    </row>
    <row r="73">
      <c r="A73" s="7" t="inlineStr">
        <is>
          <t>R · Samples per session</t>
        </is>
      </c>
      <c r="B73" s="8" t="inlineStr">
        <is>
          <t>Typical number of samples handled in one session.</t>
        </is>
      </c>
    </row>
    <row r="74">
      <c r="A74" s="7" t="inlineStr">
        <is>
          <t>S · Retest / OOS %</t>
        </is>
      </c>
      <c r="B74" s="8" t="inlineStr">
        <is>
          <t>Share of samples tested again (type 5 for 5%).</t>
        </is>
      </c>
    </row>
    <row r="75">
      <c r="A75" s="7" t="inlineStr">
        <is>
          <t>T · Applies to stability (Y/N)</t>
        </is>
      </c>
      <c r="B75" s="8" t="inlineStr">
        <is>
          <t>Finished products only: Y if the test is also run on stability samples.</t>
        </is>
      </c>
    </row>
    <row r="76">
      <c r="A76" s="7" t="inlineStr">
        <is>
          <t>U · Outsourced (Y/N)</t>
        </is>
      </c>
      <c r="B76" s="8" t="inlineStr">
        <is>
          <t>Y = sent to an external lab. Then enter only in-house time (sampling, sending, checking the report) as Prep; leave instrument times blank.</t>
        </is>
      </c>
    </row>
    <row r="77">
      <c r="A77" s="7" t="inlineStr">
        <is>
          <t>V · Respondent(s) / source</t>
        </is>
      </c>
      <c r="B77" s="8" t="inlineStr">
        <is>
          <t>Who gave the time, or where it comes from.</t>
        </is>
      </c>
    </row>
    <row r="78">
      <c r="A78" s="7" t="inlineStr">
        <is>
          <t>W · Confidence</t>
        </is>
      </c>
      <c r="B78" s="8" t="inlineStr">
        <is>
          <t>How sure you are of the times: High / Medium / Low.</t>
        </is>
      </c>
    </row>
    <row r="79">
      <c r="A79" s="7" t="inlineStr">
        <is>
          <t>X · Notes / difficulty</t>
        </is>
      </c>
      <c r="B79" s="8" t="inlineStr">
        <is>
          <t>Anything unusual, e.g. 'solution shared with Assay'.</t>
        </is>
      </c>
    </row>
    <row r="80">
      <c r="A80" s="7" t="inlineStr">
        <is>
          <t>Y · Catalog code</t>
        </is>
      </c>
      <c r="B80" s="8" t="inlineStr">
        <is>
          <t>The Test catalog row this test takes its times from. Change it only to point to a different catalog test.</t>
        </is>
      </c>
    </row>
    <row r="81">
      <c r="A81" s="7" t="inlineStr">
        <is>
          <t>Z · Basis (USP-NF)</t>
        </is>
      </c>
      <c r="B81" s="8" t="inlineStr">
        <is>
          <t>Why the test is listed: monograph chapter, natural origin or USP &lt;1111&gt; for the dosage form.</t>
        </is>
      </c>
    </row>
    <row r="83">
      <c r="A83" s="6" t="inlineStr">
        <is>
          <t>Monitoring - columns</t>
        </is>
      </c>
      <c r="B83" s="6" t="inlineStr">
        <is>
          <t>Meaning</t>
        </is>
      </c>
    </row>
    <row r="84">
      <c r="A84" s="7" t="inlineStr">
        <is>
          <t>A · Programme</t>
        </is>
      </c>
      <c r="B84" s="8" t="inlineStr">
        <is>
          <t>Water, Environment, Personnel, Utilities, Cleaning validation ...</t>
        </is>
      </c>
    </row>
    <row r="85">
      <c r="A85" s="7" t="inlineStr">
        <is>
          <t>B · Area / system / point group</t>
        </is>
      </c>
      <c r="B85" s="8" t="inlineStr">
        <is>
          <t>Area, water system or group of points with the same sampling plan.</t>
        </is>
      </c>
    </row>
    <row r="86">
      <c r="A86" s="7" t="inlineStr">
        <is>
          <t>C · Grade / class</t>
        </is>
      </c>
      <c r="B86" s="8" t="inlineStr">
        <is>
          <t>Cleanroom grade or area class, if any.</t>
        </is>
      </c>
    </row>
    <row r="87">
      <c r="A87" s="7" t="inlineStr">
        <is>
          <t>D · Catalog code</t>
        </is>
      </c>
      <c r="B87" s="8" t="inlineStr">
        <is>
          <t>The Test catalog row this test takes its times from. Change it only to point to a different catalog test.</t>
        </is>
      </c>
    </row>
    <row r="88">
      <c r="A88" s="7" t="inlineStr">
        <is>
          <t>E · Points (number)</t>
        </is>
      </c>
      <c r="B88" s="8" t="inlineStr">
        <is>
          <t>Number of sampling points (or plates per round) in this group.</t>
        </is>
      </c>
    </row>
    <row r="89">
      <c r="A89" s="7" t="inlineStr">
        <is>
          <t>F · Samples per point per week</t>
        </is>
      </c>
      <c r="B89" s="8" t="inlineStr">
        <is>
          <t>How often each point is sampled per week (daily on 5 days = 5; monthly = 0.25).</t>
        </is>
      </c>
    </row>
    <row r="90">
      <c r="A90" s="7" t="inlineStr">
        <is>
          <t>G · Weeks per year (blank = 50)</t>
        </is>
      </c>
      <c r="B90" s="8" t="inlineStr">
        <is>
          <t>Weeks per year the plan runs; blank = 50.</t>
        </is>
      </c>
    </row>
    <row r="91">
      <c r="A91" s="7" t="inlineStr">
        <is>
          <t>H · Samples / yr (auto)</t>
        </is>
      </c>
      <c r="B91" s="8" t="inlineStr">
        <is>
          <t>Automatic: Points x Samples per point per week x Weeks per year.</t>
        </is>
      </c>
    </row>
    <row r="92">
      <c r="A92" s="7" t="inlineStr">
        <is>
          <t>I · Sampling round analyst h (walk + sampling)</t>
        </is>
      </c>
      <c r="B92" s="8" t="inlineStr">
        <is>
          <t>Hands-on hours for one sampling round, including walking and gowning.</t>
        </is>
      </c>
    </row>
    <row r="93">
      <c r="A93" s="7" t="inlineStr">
        <is>
          <t>J · Rounds per week</t>
        </is>
      </c>
      <c r="B93" s="8" t="inlineStr">
        <is>
          <t>Sampling rounds per week for this group.</t>
        </is>
      </c>
    </row>
    <row r="94">
      <c r="A94" s="7" t="inlineStr">
        <is>
          <t>K · Weekend / holiday sampling (Y/N)</t>
        </is>
      </c>
      <c r="B94" s="8" t="inlineStr">
        <is>
          <t>Y if samples are also taken at weekends or on holidays.</t>
        </is>
      </c>
    </row>
    <row r="95">
      <c r="A95" s="7" t="inlineStr">
        <is>
          <t>L · Who samples (QC micro / production / engineering)</t>
        </is>
      </c>
      <c r="B95" s="8" t="inlineStr">
        <is>
          <t>Who takes the samples.</t>
        </is>
      </c>
    </row>
    <row r="96">
      <c r="A96" s="7" t="inlineStr">
        <is>
          <t>M · Notes</t>
        </is>
      </c>
      <c r="B96" s="8" t="inlineStr">
        <is>
          <t>Anything unusual.</t>
        </is>
      </c>
    </row>
    <row r="98">
      <c r="A98" s="6" t="inlineStr">
        <is>
          <t>Support work - columns</t>
        </is>
      </c>
      <c r="B98" s="6" t="inlineStr">
        <is>
          <t>Meaning</t>
        </is>
      </c>
    </row>
    <row r="99">
      <c r="A99" s="7" t="inlineStr">
        <is>
          <t>A · Activity</t>
        </is>
      </c>
      <c r="B99" s="8" t="inlineStr">
        <is>
          <t>Support task.</t>
        </is>
      </c>
    </row>
    <row r="100">
      <c r="A100" s="7" t="inlineStr">
        <is>
          <t>B · Unit</t>
        </is>
      </c>
      <c r="B100" s="8" t="inlineStr">
        <is>
          <t>What one unit is (batch, load, week ...).</t>
        </is>
      </c>
    </row>
    <row r="101">
      <c r="A101" s="7" t="inlineStr">
        <is>
          <t>C · Units / yr</t>
        </is>
      </c>
      <c r="B101" s="8" t="inlineStr">
        <is>
          <t>Units per year.</t>
        </is>
      </c>
    </row>
    <row r="102">
      <c r="A102" s="7" t="inlineStr">
        <is>
          <t>D · Analyst h / unit</t>
        </is>
      </c>
      <c r="B102" s="8" t="inlineStr">
        <is>
          <t>Hands-on hours per unit.</t>
        </is>
      </c>
    </row>
    <row r="103">
      <c r="A103" s="7" t="inlineStr">
        <is>
          <t>E · Equipment occupied</t>
        </is>
      </c>
      <c r="B103" s="8" t="inlineStr">
        <is>
          <t>Equipment used (autoclave, incubator ...).</t>
        </is>
      </c>
    </row>
    <row r="104">
      <c r="A104" s="7" t="inlineStr">
        <is>
          <t>F · Equipment h / unit</t>
        </is>
      </c>
      <c r="B104" s="8" t="inlineStr">
        <is>
          <t>Hours the equipment is occupied per unit.</t>
        </is>
      </c>
    </row>
    <row r="105">
      <c r="A105" s="7" t="inlineStr">
        <is>
          <t>G · Done by (QC micro / other)</t>
        </is>
      </c>
      <c r="B105" s="8" t="inlineStr">
        <is>
          <t>Who does it.</t>
        </is>
      </c>
    </row>
    <row r="106">
      <c r="A106" s="7" t="inlineStr">
        <is>
          <t>H · Notes</t>
        </is>
      </c>
      <c r="B106" s="8" t="inlineStr">
        <is>
          <t>Anything unusual.</t>
        </is>
      </c>
    </row>
    <row r="108">
      <c r="A108" s="6" t="inlineStr">
        <is>
          <t>Extra tests - columns</t>
        </is>
      </c>
      <c r="B108" s="6" t="inlineStr">
        <is>
          <t>Meaning</t>
        </is>
      </c>
    </row>
    <row r="109">
      <c r="A109" s="7" t="inlineStr">
        <is>
          <t>A · Item (material / family)</t>
        </is>
      </c>
      <c r="B109" s="8" t="inlineStr">
        <is>
          <t>Raw-material name or finished-product family ID.</t>
        </is>
      </c>
    </row>
    <row r="110">
      <c r="A110" s="7" t="inlineStr">
        <is>
          <t>B · Type</t>
        </is>
      </c>
      <c r="B110" s="8" t="inlineStr">
        <is>
          <t>RM = raw material, FP = finished product (Extra tests may also use PM = packaging, IPC, Water, EM, Other).</t>
        </is>
      </c>
    </row>
    <row r="111">
      <c r="A111" s="7" t="inlineStr">
        <is>
          <t>C · Description</t>
        </is>
      </c>
      <c r="B111" s="8" t="inlineStr">
        <is>
          <t>Material category, or the products in the family.</t>
        </is>
      </c>
    </row>
    <row r="112">
      <c r="A112" s="7" t="inlineStr">
        <is>
          <t>D · Test</t>
        </is>
      </c>
      <c r="B112" s="8" t="inlineStr">
        <is>
          <t>Test name.</t>
        </is>
      </c>
    </row>
    <row r="113">
      <c r="A113" s="7" t="inlineStr">
        <is>
          <t>E · Applicable (Y/N)</t>
        </is>
      </c>
      <c r="B113" s="8" t="inlineStr">
        <is>
          <t>Y = you run this test on this item; N = you do not (do not delete the row).</t>
        </is>
      </c>
    </row>
    <row r="114">
      <c r="A114" s="7" t="inlineStr">
        <is>
          <t>F · Lots / batches tested for micro (%)</t>
        </is>
      </c>
      <c r="B114" s="8" t="inlineStr">
        <is>
          <t>Share of lots or batches tested for micro; blank = every one (20 = one in five).</t>
        </is>
      </c>
    </row>
    <row r="115">
      <c r="A115" s="7" t="inlineStr">
        <is>
          <t>G · Setup analyst h / session</t>
        </is>
      </c>
      <c r="B115" s="8" t="inlineStr">
        <is>
          <t>Hands-on hours per session not spent on single samples (media out, controls, cabinet cleaning).</t>
        </is>
      </c>
    </row>
    <row r="116">
      <c r="A116" s="7" t="inlineStr">
        <is>
          <t>H · Prep + inoculation h/sample – MIN</t>
        </is>
      </c>
      <c r="B116" s="8" t="inlineStr">
        <is>
          <t>Optional. Fastest realistic hands-on time per sample (weighing, dilution, filtration, plating).</t>
        </is>
      </c>
    </row>
    <row r="117">
      <c r="A117" s="7" t="inlineStr">
        <is>
          <t>I · Prep + inoculation – MOST LIKELY</t>
        </is>
      </c>
      <c r="B117" s="8" t="inlineStr">
        <is>
          <t>Required. Usual hands-on time per sample to prepare and inoculate.</t>
        </is>
      </c>
    </row>
    <row r="118">
      <c r="A118" s="7" t="inlineStr">
        <is>
          <t>J · Prep + inoculation – MAX</t>
        </is>
      </c>
      <c r="B118" s="8" t="inlineStr">
        <is>
          <t>Optional. Slowest realistic preparation per sample.</t>
        </is>
      </c>
    </row>
    <row r="119">
      <c r="A119" s="7" t="inlineStr">
        <is>
          <t>K · Prep PERT (auto)</t>
        </is>
      </c>
      <c r="B119" s="8" t="inlineStr">
        <is>
          <t>Automatic: (MIN + 4 x MOST LIKELY + MAX) / 6; equals MOST LIKELY if MIN or MAX is blank.</t>
        </is>
      </c>
    </row>
    <row r="120">
      <c r="A120" s="7" t="inlineStr">
        <is>
          <t>L · Reading + counting h / sample (all reads)</t>
        </is>
      </c>
      <c r="B120" s="8" t="inlineStr">
        <is>
          <t>Required. Hands-on time to read, count and subculture one sample, all reads together.</t>
        </is>
      </c>
    </row>
    <row r="121">
      <c r="A121" s="7" t="inlineStr">
        <is>
          <t>M · Incubation days</t>
        </is>
      </c>
      <c r="B121" s="8" t="inlineStr">
        <is>
          <t>Days the plates / tubes stay in the incubator (not analyst time).</t>
        </is>
      </c>
    </row>
    <row r="122">
      <c r="A122" s="7" t="inlineStr">
        <is>
          <t>N · Plates / tubes per sample</t>
        </is>
      </c>
      <c r="B122" s="8" t="inlineStr">
        <is>
          <t>Plates, tubes or bottles one sample puts in the incubators.</t>
        </is>
      </c>
    </row>
    <row r="123">
      <c r="A123" s="7" t="inlineStr">
        <is>
          <t>O · BSC / LAF h / sample</t>
        </is>
      </c>
      <c r="B123" s="8" t="inlineStr">
        <is>
          <t>Biosafety cabinet / laminar-flow hood time per sample.</t>
        </is>
      </c>
    </row>
    <row r="124">
      <c r="A124" s="7" t="inlineStr">
        <is>
          <t>P · Data + doc h / sample</t>
        </is>
      </c>
      <c r="B124" s="8" t="inlineStr">
        <is>
          <t>Calculations, logbook and LIMS entries per sample.</t>
        </is>
      </c>
    </row>
    <row r="125">
      <c r="A125" s="7" t="inlineStr">
        <is>
          <t>Q · Review h / sample</t>
        </is>
      </c>
      <c r="B125" s="8" t="inlineStr">
        <is>
          <t>Time a second person spends checking the data per sample.</t>
        </is>
      </c>
    </row>
    <row r="126">
      <c r="A126" s="7" t="inlineStr">
        <is>
          <t>R · Samples per session</t>
        </is>
      </c>
      <c r="B126" s="8" t="inlineStr">
        <is>
          <t>Typical number of samples handled in one session.</t>
        </is>
      </c>
    </row>
    <row r="127">
      <c r="A127" s="7" t="inlineStr">
        <is>
          <t>S · Retest / OOS %</t>
        </is>
      </c>
      <c r="B127" s="8" t="inlineStr">
        <is>
          <t>Share of samples tested again (type 5 for 5%).</t>
        </is>
      </c>
    </row>
    <row r="128">
      <c r="A128" s="7" t="inlineStr">
        <is>
          <t>T · Applies to stability (Y/N)</t>
        </is>
      </c>
      <c r="B128" s="8" t="inlineStr">
        <is>
          <t>Finished products only: Y if the test is also run on stability samples.</t>
        </is>
      </c>
    </row>
    <row r="129">
      <c r="A129" s="7" t="inlineStr">
        <is>
          <t>U · Outsourced (Y/N)</t>
        </is>
      </c>
      <c r="B129" s="8" t="inlineStr">
        <is>
          <t>Y = sent to an external lab. Then enter only in-house time (sampling, sending, checking the report) as Prep; leave instrument times blank.</t>
        </is>
      </c>
    </row>
    <row r="130">
      <c r="A130" s="7" t="inlineStr">
        <is>
          <t>V · Respondent(s) / source</t>
        </is>
      </c>
      <c r="B130" s="8" t="inlineStr">
        <is>
          <t>Who gave the time, or where it comes from.</t>
        </is>
      </c>
    </row>
    <row r="131">
      <c r="A131" s="7" t="inlineStr">
        <is>
          <t>W · Confidence</t>
        </is>
      </c>
      <c r="B131" s="8" t="inlineStr">
        <is>
          <t>How sure you are of the times: High / Medium / Low.</t>
        </is>
      </c>
    </row>
    <row r="132">
      <c r="A132" s="7" t="inlineStr">
        <is>
          <t>X · Notes / difficulty</t>
        </is>
      </c>
      <c r="B132" s="8" t="inlineStr">
        <is>
          <t>Anything unusual, e.g. 'solution shared with Assay'.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0" customWidth="1" min="2" max="2"/>
    <col width="60" customWidth="1" min="3" max="3"/>
  </cols>
  <sheetData>
    <row r="1">
      <c r="A1" s="6" t="inlineStr">
        <is>
          <t>#</t>
        </is>
      </c>
      <c r="B1" s="6" t="inlineStr">
        <is>
          <t>Question</t>
        </is>
      </c>
      <c r="C1" s="6" t="inlineStr">
        <is>
          <t>Answer</t>
        </is>
      </c>
    </row>
    <row r="2">
      <c r="A2" s="9" t="inlineStr">
        <is>
          <t>A. Respondent</t>
        </is>
      </c>
      <c r="B2" s="10" t="n"/>
      <c r="C2" s="10" t="n"/>
    </row>
    <row r="3" ht="30" customHeight="1">
      <c r="A3" s="11" t="inlineStr">
        <is>
          <t>A1</t>
        </is>
      </c>
      <c r="B3" s="11" t="inlineStr">
        <is>
          <t>Name / ID, role, years of QC experience.</t>
        </is>
      </c>
      <c r="C3" s="5" t="n"/>
    </row>
    <row r="4" ht="45" customHeight="1">
      <c r="A4" s="11" t="inlineStr">
        <is>
          <t>A2</t>
        </is>
      </c>
      <c r="B4" s="11" t="inlineStr">
        <is>
          <t>Which work are you qualified for (plate count, membrane filtration, specified organisms, preservative efficacy, water and EM sampling, media preparation, autoclave, identification, endotoxins, sterility)?</t>
        </is>
      </c>
      <c r="C4" s="5" t="n"/>
    </row>
    <row r="5" ht="30" customHeight="1">
      <c r="A5" s="11" t="inlineStr">
        <is>
          <t>A3</t>
        </is>
      </c>
      <c r="B5" s="11" t="inlineStr">
        <is>
          <t>Contract hours per week and annual leave weeks.</t>
        </is>
      </c>
      <c r="C5" s="5" t="n"/>
    </row>
    <row r="6" ht="45" customHeight="1">
      <c r="A6" s="11" t="inlineStr">
        <is>
          <t>A4</t>
        </is>
      </c>
      <c r="B6" s="11" t="inlineStr">
        <is>
          <t>In a normal week, what % of your time is: testing / reviewing others' data / documentation &amp; LIMS / meetings &amp; training / cleaning &amp; housekeeping / investigations? (should add to 100%)</t>
        </is>
      </c>
      <c r="C6" s="5" t="n"/>
    </row>
    <row r="7" ht="30" customHeight="1">
      <c r="A7" s="11" t="inlineStr">
        <is>
          <t>A5</t>
        </is>
      </c>
      <c r="B7" s="11" t="inlineStr">
        <is>
          <t>Average overtime hours per month over the last 6 months, and the main reason.</t>
        </is>
      </c>
      <c r="C7" s="5" t="n"/>
    </row>
    <row r="8" ht="30" customHeight="1">
      <c r="A8" s="11" t="inlineStr">
        <is>
          <t>A6</t>
        </is>
      </c>
      <c r="B8" s="11" t="inlineStr">
        <is>
          <t>Is any test or task done by only one qualified person? Is there a weekend / holiday rota for water or EM sampling, and how many people does it need?</t>
        </is>
      </c>
      <c r="C8" s="5" t="n"/>
    </row>
    <row r="9">
      <c r="A9" s="9" t="inlineStr">
        <is>
          <t>B. Samples and programmes</t>
        </is>
      </c>
      <c r="B9" s="10" t="n"/>
      <c r="C9" s="10" t="n"/>
    </row>
    <row r="10" ht="30" customHeight="1">
      <c r="A10" s="11" t="inlineStr">
        <is>
          <t>B1</t>
        </is>
      </c>
      <c r="B10" s="11" t="inlineStr">
        <is>
          <t>Raw materials: is every lot tested for micro, or a reduced frequency (e.g. first 3 lots, then 1 in 5), or CoA only? Which materials? (column F on 'Test times')</t>
        </is>
      </c>
      <c r="C10" s="5" t="n"/>
    </row>
    <row r="11" ht="30" customHeight="1">
      <c r="A11" s="11" t="inlineStr">
        <is>
          <t>B2</t>
        </is>
      </c>
      <c r="B11" s="11" t="inlineStr">
        <is>
          <t>Finished products: every batch or reduced? At which stability time points are micro tests done?</t>
        </is>
      </c>
      <c r="C11" s="5" t="n"/>
    </row>
    <row r="12" ht="30" customHeight="1">
      <c r="A12" s="11" t="inlineStr">
        <is>
          <t>B3</t>
        </is>
      </c>
      <c r="B12" s="11" t="inlineStr">
        <is>
          <t>Water: how many purified-water points, how often is each sampled, and who takes the samples? (enter on 'Monitoring')</t>
        </is>
      </c>
      <c r="C12" s="5" t="n"/>
    </row>
    <row r="13" ht="30" customHeight="1">
      <c r="A13" s="11" t="inlineStr">
        <is>
          <t>B4</t>
        </is>
      </c>
      <c r="B13" s="11" t="inlineStr">
        <is>
          <t>Environmental and personnel monitoring: which rooms, which plate types, how often, and are weekends included? (enter on 'Monitoring')</t>
        </is>
      </c>
      <c r="C13" s="5" t="n"/>
    </row>
    <row r="14" ht="30" customHeight="1">
      <c r="A14" s="11" t="inlineStr">
        <is>
          <t>B5</t>
        </is>
      </c>
      <c r="B14" s="11" t="inlineStr">
        <is>
          <t>Are sterility, endotoxin or other aseptic tests done at all (for products, water or suppliers)? If yes: samples per year and equipment.</t>
        </is>
      </c>
      <c r="C14" s="5" t="n"/>
    </row>
    <row r="15">
      <c r="A15" s="9" t="inlineStr">
        <is>
          <t>C. Media and equipment</t>
        </is>
      </c>
      <c r="B15" s="10" t="n"/>
      <c r="C15" s="10" t="n"/>
    </row>
    <row r="16" ht="30" customHeight="1">
      <c r="A16" s="11" t="inlineStr">
        <is>
          <t>C1</t>
        </is>
      </c>
      <c r="B16" s="11" t="inlineStr">
        <is>
          <t>Media: prepared in-house or bought ready-made? Batches per week; growth promotion on every lot?</t>
        </is>
      </c>
      <c r="C16" s="5" t="n"/>
    </row>
    <row r="17" ht="30" customHeight="1">
      <c r="A17" s="11" t="inlineStr">
        <is>
          <t>C2</t>
        </is>
      </c>
      <c r="B17" s="11" t="inlineStr">
        <is>
          <t>Incubators: how many, at which temperatures, how many plates each? Are they ever full? In which months?</t>
        </is>
      </c>
      <c r="C17" s="5" t="n"/>
    </row>
    <row r="18" ht="30" customHeight="1">
      <c r="A18" s="11" t="inlineStr">
        <is>
          <t>C3</t>
        </is>
      </c>
      <c r="B18" s="11" t="inlineStr">
        <is>
          <t>Autoclave(s): how many, cycles per day, shared with waste decontamination? Breakdowns in the last year?</t>
        </is>
      </c>
      <c r="C18" s="5" t="n"/>
    </row>
    <row r="19" ht="30" customHeight="1">
      <c r="A19" s="11" t="inlineStr">
        <is>
          <t>C4</t>
        </is>
      </c>
      <c r="B19" s="11" t="inlineStr">
        <is>
          <t>Biosafety cabinets / laminar-flow hoods: how many? Do you wait for a free cabinet? How often and how long?</t>
        </is>
      </c>
      <c r="C19" s="5" t="n"/>
    </row>
    <row r="20" ht="30" customHeight="1">
      <c r="A20" s="11" t="inlineStr">
        <is>
          <t>C5</t>
        </is>
      </c>
      <c r="B20" s="11" t="inlineStr">
        <is>
          <t>Identification of isolates: done in-house (Gram stain, biochemical kits, instrument) or sent out? How many per year?</t>
        </is>
      </c>
      <c r="C20" s="5" t="n"/>
    </row>
    <row r="21" ht="30" customHeight="1">
      <c r="A21" s="11" t="inlineStr">
        <is>
          <t>C6</t>
        </is>
      </c>
      <c r="B21" s="11" t="inlineStr">
        <is>
          <t>How many days per month is each key item (incubator, autoclave, BSC, air sampler) down?</t>
        </is>
      </c>
      <c r="C21" s="5" t="n"/>
    </row>
    <row r="22">
      <c r="A22" s="9" t="inlineStr">
        <is>
          <t>D. Workload and service level</t>
        </is>
      </c>
      <c r="B22" s="10" t="n"/>
      <c r="C22" s="10" t="n"/>
    </row>
    <row r="23" ht="45" customHeight="1">
      <c r="A23" s="11" t="inlineStr">
        <is>
          <t>D1</t>
        </is>
      </c>
      <c r="B23" s="11" t="inlineStr">
        <is>
          <t>Turnaround from sample receipt to micro result (days) for raw materials and products. Does the micro result set the release date? Batches released late because of micro last year?</t>
        </is>
      </c>
      <c r="C23" s="5" t="n"/>
    </row>
    <row r="24" ht="30" customHeight="1">
      <c r="A24" s="11" t="inlineStr">
        <is>
          <t>D2</t>
        </is>
      </c>
      <c r="B24" s="11" t="inlineStr">
        <is>
          <t>How many samples are typically waiting or in incubation at month end? Which months are busiest?</t>
        </is>
      </c>
      <c r="C24" s="5" t="n"/>
    </row>
    <row r="25" ht="60" customHeight="1">
      <c r="A25" s="11" t="inlineStr">
        <is>
          <t>D3</t>
        </is>
      </c>
      <c r="B25" s="11" t="inlineStr">
        <is>
          <t>Non-routine work - number per year and hours each: (a) method suitability for new materials / products; (b) OOS and EM excursion investigations; (c) disinfectant efficacy studies; (d) incubator mapping, autoclave and BSC qualification; (e) audits. (enter on 'Support work')</t>
        </is>
      </c>
      <c r="C25" s="5" t="n"/>
    </row>
    <row r="26" ht="30" customHeight="1">
      <c r="A26" s="11" t="inlineStr">
        <is>
          <t>D4</t>
        </is>
      </c>
      <c r="B26" s="11" t="inlineStr">
        <is>
          <t>Which new products or materials in the next 2-3 years need micro testing (liquids, probiotics, botanicals, preserved products)?</t>
        </is>
      </c>
      <c r="C26" s="5" t="n"/>
    </row>
    <row r="27">
      <c r="A27" s="9" t="inlineStr">
        <is>
          <t>E. Closing</t>
        </is>
      </c>
      <c r="B27" s="10" t="n"/>
      <c r="C27" s="10" t="n"/>
    </row>
    <row r="28" ht="30" customHeight="1">
      <c r="A28" s="11" t="inlineStr">
        <is>
          <t>E1</t>
        </is>
      </c>
      <c r="B28" s="11" t="inlineStr">
        <is>
          <t>If you had one more microbiologist, or one more incubator / autoclave / cabinet, what would change first?</t>
        </is>
      </c>
      <c r="C28" s="5" t="n"/>
    </row>
    <row r="29" ht="30" customHeight="1">
      <c r="A29" s="11" t="inlineStr">
        <is>
          <t>E2</t>
        </is>
      </c>
      <c r="B29" s="11" t="inlineStr">
        <is>
          <t>What is the biggest risk to on-time micro results today?</t>
        </is>
      </c>
      <c r="C2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22" customWidth="1" min="3" max="3"/>
    <col width="40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9" customWidth="1" min="15" max="15"/>
    <col width="9" customWidth="1" min="16" max="16"/>
    <col width="10" customWidth="1" min="17" max="17"/>
    <col width="30" customWidth="1" min="18" max="18"/>
  </cols>
  <sheetData>
    <row r="1" ht="45" customHeight="1">
      <c r="A1" s="12" t="inlineStr">
        <is>
          <t>Code</t>
        </is>
      </c>
      <c r="B1" s="12" t="inlineStr">
        <is>
          <t>Test</t>
        </is>
      </c>
      <c r="C1" s="12" t="inlineStr">
        <is>
          <t>Equipment</t>
        </is>
      </c>
      <c r="D1" s="12" t="inlineStr">
        <is>
          <t>Compendial conditions (reference)</t>
        </is>
      </c>
      <c r="E1" s="12" t="inlineStr">
        <is>
          <t>Rows using it (auto)</t>
        </is>
      </c>
      <c r="F1" s="12" t="inlineStr">
        <is>
          <t>Setup analyst h / session</t>
        </is>
      </c>
      <c r="G1" s="12" t="inlineStr">
        <is>
          <t>Prep + inoculation h/sample – MIN</t>
        </is>
      </c>
      <c r="H1" s="12" t="inlineStr">
        <is>
          <t>Prep + inoculation – MOST LIKELY</t>
        </is>
      </c>
      <c r="I1" s="12" t="inlineStr">
        <is>
          <t>Prep + inoculation – MAX</t>
        </is>
      </c>
      <c r="J1" s="12" t="inlineStr">
        <is>
          <t>Reading + counting h / sample (all reads)</t>
        </is>
      </c>
      <c r="K1" s="12" t="inlineStr">
        <is>
          <t>Incubation days</t>
        </is>
      </c>
      <c r="L1" s="12" t="inlineStr">
        <is>
          <t>Plates / tubes per sample</t>
        </is>
      </c>
      <c r="M1" s="12" t="inlineStr">
        <is>
          <t>BSC / LAF h / sample</t>
        </is>
      </c>
      <c r="N1" s="12" t="inlineStr">
        <is>
          <t>Data + doc h / sample</t>
        </is>
      </c>
      <c r="O1" s="12" t="inlineStr">
        <is>
          <t>Review h / sample</t>
        </is>
      </c>
      <c r="P1" s="12" t="inlineStr">
        <is>
          <t>Samples per session</t>
        </is>
      </c>
      <c r="Q1" s="12" t="inlineStr">
        <is>
          <t>Outsourced (Y/N)</t>
        </is>
      </c>
      <c r="R1" s="12" t="inlineStr">
        <is>
          <t>Notes</t>
        </is>
      </c>
    </row>
    <row r="2">
      <c r="A2" s="11" t="inlineStr">
        <is>
          <t>ENUM</t>
        </is>
      </c>
      <c r="B2" s="11" t="inlineStr">
        <is>
          <t>Microbial enumeration - TAMC + TYMC (&lt;61&gt; / &lt;2021&gt;)</t>
        </is>
      </c>
      <c r="C2" s="11" t="inlineStr">
        <is>
          <t>BSC + incubators</t>
        </is>
      </c>
      <c r="D2" s="11" t="inlineStr">
        <is>
          <t>TAMC 30-35 °C, 3-5 d; TYMC 20-25 °C, 5-7 d</t>
        </is>
      </c>
      <c r="E2" s="11">
        <f>COUNTIFS('Test times'!$Y:$Y,$A2,'Test times'!$E:$E,"Y")+COUNTIF(Monitoring!$D:$D,$A2)</f>
        <v/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>
      <c r="A3" s="11" t="inlineStr">
        <is>
          <t>ECOLI</t>
        </is>
      </c>
      <c r="B3" s="11" t="inlineStr">
        <is>
          <t>Absence of Escherichia coli (&lt;62&gt; / &lt;2022&gt;)</t>
        </is>
      </c>
      <c r="C3" s="11" t="inlineStr">
        <is>
          <t>BSC + incubators</t>
        </is>
      </c>
      <c r="D3" s="11" t="inlineStr">
        <is>
          <t>Enrichment 30-35 °C 18-24 h; MacConkey broth 42-44 °C 24-48 h; MacConkey agar 30-35 °C 18-72 h</t>
        </is>
      </c>
      <c r="E3" s="11">
        <f>COUNTIFS('Test times'!$Y:$Y,$A3,'Test times'!$E:$E,"Y")+COUNTIF(Monitoring!$D:$D,$A3)</f>
        <v/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>
      <c r="A4" s="11" t="inlineStr">
        <is>
          <t>SALM</t>
        </is>
      </c>
      <c r="B4" s="11" t="inlineStr">
        <is>
          <t>Absence of Salmonella (&lt;62&gt; / &lt;2022&gt;)</t>
        </is>
      </c>
      <c r="C4" s="11" t="inlineStr">
        <is>
          <t>BSC + incubators</t>
        </is>
      </c>
      <c r="D4" s="11" t="inlineStr">
        <is>
          <t>Enrichment 30-35 °C 18-24 h; RVS broth 30-35 °C 18-24 h; XLD agar 30-35 °C 18-48 h</t>
        </is>
      </c>
      <c r="E4" s="11">
        <f>COUNTIFS('Test times'!$Y:$Y,$A4,'Test times'!$E:$E,"Y")+COUNTIF(Monitoring!$D:$D,$A4)</f>
        <v/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11" t="inlineStr">
        <is>
          <t>PSAE</t>
        </is>
      </c>
      <c r="B5" s="11" t="inlineStr">
        <is>
          <t>Absence of Pseudomonas aeruginosa (&lt;62&gt;)</t>
        </is>
      </c>
      <c r="C5" s="11" t="inlineStr">
        <is>
          <t>BSC + incubators</t>
        </is>
      </c>
      <c r="D5" s="11" t="inlineStr">
        <is>
          <t>Enrichment 30-35 °C 18-24 h; cetrimide agar 30-35 °C 18-72 h</t>
        </is>
      </c>
      <c r="E5" s="11">
        <f>COUNTIFS('Test times'!$Y:$Y,$A5,'Test times'!$E:$E,"Y")+COUNTIF(Monitoring!$D:$D,$A5)</f>
        <v/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s="11" t="inlineStr">
        <is>
          <t>SAUR</t>
        </is>
      </c>
      <c r="B6" s="11" t="inlineStr">
        <is>
          <t>Absence of Staphylococcus aureus (&lt;62&gt;)</t>
        </is>
      </c>
      <c r="C6" s="11" t="inlineStr">
        <is>
          <t>BSC + incubators</t>
        </is>
      </c>
      <c r="D6" s="11" t="inlineStr">
        <is>
          <t>Enrichment 30-35 °C 18-24 h; mannitol salt agar 30-35 °C 18-72 h</t>
        </is>
      </c>
      <c r="E6" s="11">
        <f>COUNTIFS('Test times'!$Y:$Y,$A6,'Test times'!$E:$E,"Y")+COUNTIF(Monitoring!$D:$D,$A6)</f>
        <v/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A7" s="11" t="inlineStr">
        <is>
          <t>BTGN</t>
        </is>
      </c>
      <c r="B7" s="11" t="inlineStr">
        <is>
          <t>Bile-tolerant Gram-negative bacteria (&lt;62&gt; / &lt;2021&gt;)</t>
        </is>
      </c>
      <c r="C7" s="11" t="inlineStr">
        <is>
          <t>BSC + incubators</t>
        </is>
      </c>
      <c r="D7" s="11" t="inlineStr">
        <is>
          <t>Pre-incubation 20-25 °C ~2 h; EE broth 30-35 °C 24-48 h; VRBG agar 30-35 °C 18-24 h</t>
        </is>
      </c>
      <c r="E7" s="11">
        <f>COUNTIFS('Test times'!$Y:$Y,$A7,'Test times'!$E:$E,"Y")+COUNTIF(Monitoring!$D:$D,$A7)</f>
        <v/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>
      <c r="A8" s="11" t="inlineStr">
        <is>
          <t>CALB</t>
        </is>
      </c>
      <c r="B8" s="11" t="inlineStr">
        <is>
          <t>Absence of Candida albicans (&lt;62&gt;)</t>
        </is>
      </c>
      <c r="C8" s="11" t="inlineStr">
        <is>
          <t>BSC + incubators</t>
        </is>
      </c>
      <c r="D8" s="11" t="inlineStr">
        <is>
          <t>Sabouraud broth 30-35 °C 3-5 d; Sabouraud agar 30-35 °C 24-48 h</t>
        </is>
      </c>
      <c r="E8" s="11">
        <f>COUNTIFS('Test times'!$Y:$Y,$A8,'Test times'!$E:$E,"Y")+COUNTIF(Monitoring!$D:$D,$A8)</f>
        <v/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>
      <c r="A9" s="11" t="inlineStr">
        <is>
          <t>PET</t>
        </is>
      </c>
      <c r="B9" s="11" t="inlineStr">
        <is>
          <t>Antimicrobial effectiveness / preservative efficacy (&lt;51&gt;)</t>
        </is>
      </c>
      <c r="C9" s="11" t="inlineStr">
        <is>
          <t>BSC + incubators</t>
        </is>
      </c>
      <c r="D9" s="11" t="inlineStr">
        <is>
          <t>5 test organisms; 20-25 °C; reads at 14 and 28 d</t>
        </is>
      </c>
      <c r="E9" s="11">
        <f>COUNTIFS('Test times'!$Y:$Y,$A9,'Test times'!$E:$E,"Y")+COUNTIF(Monitoring!$D:$D,$A9)</f>
        <v/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>
      <c r="A10" s="11" t="inlineStr">
        <is>
          <t>BET</t>
        </is>
      </c>
      <c r="B10" s="11" t="inlineStr">
        <is>
          <t>Bacterial endotoxins (&lt;85&gt;)</t>
        </is>
      </c>
      <c r="C10" s="11" t="inlineStr">
        <is>
          <t>Endotoxin reader / heating block</t>
        </is>
      </c>
      <c r="D10" s="11" t="inlineStr">
        <is>
          <t>Gel-clot 37 °C 60 min, or kinetic method</t>
        </is>
      </c>
      <c r="E10" s="11">
        <f>COUNTIFS('Test times'!$Y:$Y,$A10,'Test times'!$E:$E,"Y")+COUNTIF(Monitoring!$D:$D,$A10)</f>
        <v/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A11" s="11" t="inlineStr">
        <is>
          <t>STER</t>
        </is>
      </c>
      <c r="B11" s="11" t="inlineStr">
        <is>
          <t>Sterility (&lt;71&gt;)</t>
        </is>
      </c>
      <c r="C11" s="11" t="inlineStr">
        <is>
          <t>Isolator / cleanroom + incubators</t>
        </is>
      </c>
      <c r="D11" s="11" t="inlineStr">
        <is>
          <t>14 d incubation (FTM 30-35 °C, SCDM 20-25 °C)</t>
        </is>
      </c>
      <c r="E11" s="11">
        <f>COUNTIFS('Test times'!$Y:$Y,$A11,'Test times'!$E:$E,"Y")+COUNTIF(Monitoring!$D:$D,$A11)</f>
        <v/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>
      <c r="A12" s="11" t="inlineStr">
        <is>
          <t>WATER</t>
        </is>
      </c>
      <c r="B12" s="11" t="inlineStr">
        <is>
          <t>Water - total count by membrane filtration (&lt;1231&gt;)</t>
        </is>
      </c>
      <c r="C12" s="11" t="inlineStr">
        <is>
          <t>Filtration manifold + incubators</t>
        </is>
      </c>
      <c r="D12" s="11" t="inlineStr">
        <is>
          <t>R2A 20-25 or 30-35 °C 5-7 d, or PCA 30-35 °C 3-5 d</t>
        </is>
      </c>
      <c r="E12" s="11">
        <f>COUNTIFS('Test times'!$Y:$Y,$A12,'Test times'!$E:$E,"Y")+COUNTIF(Monitoring!$D:$D,$A12)</f>
        <v/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A13" s="11" t="inlineStr">
        <is>
          <t>WAT_SPEC</t>
        </is>
      </c>
      <c r="B13" s="11" t="inlineStr">
        <is>
          <t>Water - specified organisms / coliforms (if in your specification)</t>
        </is>
      </c>
      <c r="C13" s="11" t="inlineStr">
        <is>
          <t>Filtration manifold + incubators</t>
        </is>
      </c>
      <c r="D13" s="11" t="inlineStr">
        <is>
          <t>Per your specification</t>
        </is>
      </c>
      <c r="E13" s="11">
        <f>COUNTIFS('Test times'!$Y:$Y,$A13,'Test times'!$E:$E,"Y")+COUNTIF(Monitoring!$D:$D,$A13)</f>
        <v/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>
      <c r="A14" s="11" t="inlineStr">
        <is>
          <t>EM_SET</t>
        </is>
      </c>
      <c r="B14" s="11" t="inlineStr">
        <is>
          <t>Environmental monitoring - settle plate</t>
        </is>
      </c>
      <c r="C14" s="11" t="inlineStr">
        <is>
          <t>Incubators</t>
        </is>
      </c>
      <c r="D14" s="11" t="inlineStr">
        <is>
          <t>Per your EM procedure (e.g. 20-25 °C then 30-35 °C, 5-7 d)</t>
        </is>
      </c>
      <c r="E14" s="11">
        <f>COUNTIFS('Test times'!$Y:$Y,$A14,'Test times'!$E:$E,"Y")+COUNTIF(Monitoring!$D:$D,$A14)</f>
        <v/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s="11" t="inlineStr">
        <is>
          <t>EM_CON</t>
        </is>
      </c>
      <c r="B15" s="11" t="inlineStr">
        <is>
          <t>Environmental monitoring - contact plate / surface swab</t>
        </is>
      </c>
      <c r="C15" s="11" t="inlineStr">
        <is>
          <t>Incubators</t>
        </is>
      </c>
      <c r="D15" s="11" t="inlineStr">
        <is>
          <t>Per your EM procedure</t>
        </is>
      </c>
      <c r="E15" s="11">
        <f>COUNTIFS('Test times'!$Y:$Y,$A15,'Test times'!$E:$E,"Y")+COUNTIF(Monitoring!$D:$D,$A15)</f>
        <v/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A16" s="11" t="inlineStr">
        <is>
          <t>EM_AIR</t>
        </is>
      </c>
      <c r="B16" s="11" t="inlineStr">
        <is>
          <t>Environmental monitoring - active air sample</t>
        </is>
      </c>
      <c r="C16" s="11" t="inlineStr">
        <is>
          <t>Air sampler + incubators</t>
        </is>
      </c>
      <c r="D16" s="11" t="inlineStr">
        <is>
          <t>Per your EM procedure</t>
        </is>
      </c>
      <c r="E16" s="11">
        <f>COUNTIFS('Test times'!$Y:$Y,$A16,'Test times'!$E:$E,"Y")+COUNTIF(Monitoring!$D:$D,$A16)</f>
        <v/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s="11" t="inlineStr">
        <is>
          <t>PERS</t>
        </is>
      </c>
      <c r="B17" s="11" t="inlineStr">
        <is>
          <t>Personnel monitoring - glove / gown plates</t>
        </is>
      </c>
      <c r="C17" s="11" t="inlineStr">
        <is>
          <t>Incubators</t>
        </is>
      </c>
      <c r="D17" s="11" t="inlineStr">
        <is>
          <t>Per your EM procedure</t>
        </is>
      </c>
      <c r="E17" s="11">
        <f>COUNTIFS('Test times'!$Y:$Y,$A17,'Test times'!$E:$E,"Y")+COUNTIF(Monitoring!$D:$D,$A17)</f>
        <v/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A18" s="11" t="inlineStr">
        <is>
          <t>GAS</t>
        </is>
      </c>
      <c r="B18" s="11" t="inlineStr">
        <is>
          <t>Compressed air / gas - microbial sample</t>
        </is>
      </c>
      <c r="C18" s="11" t="inlineStr">
        <is>
          <t>Gas sampler + incubators</t>
        </is>
      </c>
      <c r="D18" s="11" t="inlineStr">
        <is>
          <t>Per your procedure</t>
        </is>
      </c>
      <c r="E18" s="11">
        <f>COUNTIFS('Test times'!$Y:$Y,$A18,'Test times'!$E:$E,"Y")+COUNTIF(Monitoring!$D:$D,$A18)</f>
        <v/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11" t="inlineStr">
        <is>
          <t>SWAB</t>
        </is>
      </c>
      <c r="B19" s="11" t="inlineStr">
        <is>
          <t>Cleaning validation - microbial swab / rinse</t>
        </is>
      </c>
      <c r="C19" s="11" t="inlineStr">
        <is>
          <t>Incubators</t>
        </is>
      </c>
      <c r="D19" s="11" t="inlineStr">
        <is>
          <t>Per your procedure</t>
        </is>
      </c>
      <c r="E19" s="11">
        <f>COUNTIFS('Test times'!$Y:$Y,$A19,'Test times'!$E:$E,"Y")+COUNTIF(Monitoring!$D:$D,$A19)</f>
        <v/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</sheetData>
  <autoFilter ref="A1:R19"/>
  <conditionalFormatting sqref="A2:R219">
    <cfRule type="expression" priority="1" dxfId="0" stopIfTrue="0">
      <formula>OR($Q2="Y")</formula>
    </cfRule>
  </conditionalFormatting>
  <dataValidations count="1">
    <dataValidation sqref="Q2:Q21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26" customWidth="1" min="3" max="3"/>
    <col width="34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0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9" customWidth="1" min="19" max="19"/>
    <col width="10" customWidth="1" min="20" max="20"/>
    <col width="10" customWidth="1" min="21" max="21"/>
    <col width="16" customWidth="1" min="22" max="22"/>
    <col width="11" customWidth="1" min="23" max="23"/>
    <col width="30" customWidth="1" min="24" max="24"/>
    <col width="9" customWidth="1" min="25" max="25"/>
    <col width="40" customWidth="1" min="26" max="26"/>
  </cols>
  <sheetData>
    <row r="1" ht="45" customHeight="1">
      <c r="A1" s="12" t="inlineStr">
        <is>
          <t>Item (material / family)</t>
        </is>
      </c>
      <c r="B1" s="12" t="inlineStr">
        <is>
          <t>Type</t>
        </is>
      </c>
      <c r="C1" s="12" t="inlineStr">
        <is>
          <t>Description</t>
        </is>
      </c>
      <c r="D1" s="12" t="inlineStr">
        <is>
          <t>Test</t>
        </is>
      </c>
      <c r="E1" s="12" t="inlineStr">
        <is>
          <t>Applicable (Y/N)</t>
        </is>
      </c>
      <c r="F1" s="12" t="inlineStr">
        <is>
          <t>Lots / batches tested for micro (%)</t>
        </is>
      </c>
      <c r="G1" s="12" t="inlineStr">
        <is>
          <t>Setup analyst h / session</t>
        </is>
      </c>
      <c r="H1" s="12" t="inlineStr">
        <is>
          <t>Prep + inoculation h/sample – MIN</t>
        </is>
      </c>
      <c r="I1" s="12" t="inlineStr">
        <is>
          <t>Prep + inoculation – MOST LIKELY</t>
        </is>
      </c>
      <c r="J1" s="12" t="inlineStr">
        <is>
          <t>Prep + inoculation – MAX</t>
        </is>
      </c>
      <c r="K1" s="12" t="inlineStr">
        <is>
          <t>Prep PERT (auto)</t>
        </is>
      </c>
      <c r="L1" s="12" t="inlineStr">
        <is>
          <t>Reading + counting h / sample (all reads)</t>
        </is>
      </c>
      <c r="M1" s="12" t="inlineStr">
        <is>
          <t>Incubation days</t>
        </is>
      </c>
      <c r="N1" s="12" t="inlineStr">
        <is>
          <t>Plates / tubes per sample</t>
        </is>
      </c>
      <c r="O1" s="12" t="inlineStr">
        <is>
          <t>BSC / LAF h / sample</t>
        </is>
      </c>
      <c r="P1" s="12" t="inlineStr">
        <is>
          <t>Data + doc h / sample</t>
        </is>
      </c>
      <c r="Q1" s="12" t="inlineStr">
        <is>
          <t>Review h / sample</t>
        </is>
      </c>
      <c r="R1" s="12" t="inlineStr">
        <is>
          <t>Samples per session</t>
        </is>
      </c>
      <c r="S1" s="12" t="inlineStr">
        <is>
          <t>Retest / OOS %</t>
        </is>
      </c>
      <c r="T1" s="12" t="inlineStr">
        <is>
          <t>Applies to stability (Y/N)</t>
        </is>
      </c>
      <c r="U1" s="12" t="inlineStr">
        <is>
          <t>Outsourced (Y/N)</t>
        </is>
      </c>
      <c r="V1" s="12" t="inlineStr">
        <is>
          <t>Respondent(s) / source</t>
        </is>
      </c>
      <c r="W1" s="12" t="inlineStr">
        <is>
          <t>Confidence</t>
        </is>
      </c>
      <c r="X1" s="12" t="inlineStr">
        <is>
          <t>Notes / difficulty</t>
        </is>
      </c>
      <c r="Y1" s="12" t="inlineStr">
        <is>
          <t>Catalog code</t>
        </is>
      </c>
      <c r="Z1" s="12" t="inlineStr">
        <is>
          <t>Basis (USP-NF)</t>
        </is>
      </c>
    </row>
    <row r="2">
      <c r="A2" s="11" t="inlineStr">
        <is>
          <t>Acetaminophen</t>
        </is>
      </c>
      <c r="B2" s="11" t="inlineStr">
        <is>
          <t>RM</t>
        </is>
      </c>
      <c r="C2" s="11" t="inlineStr">
        <is>
          <t>Active</t>
        </is>
      </c>
      <c r="D2" s="11" t="inlineStr">
        <is>
          <t>Microbial enumeration - TAMC + TYMC (&lt;61&gt; / &lt;2021&gt;)</t>
        </is>
      </c>
      <c r="E2" s="5" t="inlineStr">
        <is>
          <t>N</t>
        </is>
      </c>
      <c r="F2" s="5" t="n"/>
      <c r="G2" s="11">
        <f>IFERROR(IF(INDEX('Test catalog'!$F$2:$F$200,MATCH($Y2,'Test catalog'!$A$2:$A$200,0))="","",INDEX('Test catalog'!$F$2:$F$200,MATCH($Y2,'Test catalog'!$A$2:$A$200,0))),"")</f>
        <v/>
      </c>
      <c r="H2" s="11">
        <f>IFERROR(IF(INDEX('Test catalog'!$G$2:$G$200,MATCH($Y2,'Test catalog'!$A$2:$A$200,0))="","",INDEX('Test catalog'!$G$2:$G$200,MATCH($Y2,'Test catalog'!$A$2:$A$200,0))),"")</f>
        <v/>
      </c>
      <c r="I2" s="11">
        <f>IFERROR(IF(INDEX('Test catalog'!$H$2:$H$200,MATCH($Y2,'Test catalog'!$A$2:$A$200,0))="","",INDEX('Test catalog'!$H$2:$H$200,MATCH($Y2,'Test catalog'!$A$2:$A$200,0))),"")</f>
        <v/>
      </c>
      <c r="J2" s="11">
        <f>IFERROR(IF(INDEX('Test catalog'!$I$2:$I$200,MATCH($Y2,'Test catalog'!$A$2:$A$200,0))="","",INDEX('Test catalog'!$I$2:$I$200,MATCH($Y2,'Test catalog'!$A$2:$A$200,0))),"")</f>
        <v/>
      </c>
      <c r="K2" s="13">
        <f>IF(I2="","",IF(OR(H2="",J2=""),I2,(H2+4*I2+J2)/6))</f>
        <v/>
      </c>
      <c r="L2" s="11">
        <f>IFERROR(IF(INDEX('Test catalog'!$J$2:$J$200,MATCH($Y2,'Test catalog'!$A$2:$A$200,0))="","",INDEX('Test catalog'!$J$2:$J$200,MATCH($Y2,'Test catalog'!$A$2:$A$200,0))),"")</f>
        <v/>
      </c>
      <c r="M2" s="11">
        <f>IFERROR(IF(INDEX('Test catalog'!$K$2:$K$200,MATCH($Y2,'Test catalog'!$A$2:$A$200,0))="","",INDEX('Test catalog'!$K$2:$K$200,MATCH($Y2,'Test catalog'!$A$2:$A$200,0))),"")</f>
        <v/>
      </c>
      <c r="N2" s="11">
        <f>IFERROR(IF(INDEX('Test catalog'!$L$2:$L$200,MATCH($Y2,'Test catalog'!$A$2:$A$200,0))="","",INDEX('Test catalog'!$L$2:$L$200,MATCH($Y2,'Test catalog'!$A$2:$A$200,0))),"")</f>
        <v/>
      </c>
      <c r="O2" s="11">
        <f>IFERROR(IF(INDEX('Test catalog'!$M$2:$M$200,MATCH($Y2,'Test catalog'!$A$2:$A$200,0))="","",INDEX('Test catalog'!$M$2:$M$200,MATCH($Y2,'Test catalog'!$A$2:$A$200,0))),"")</f>
        <v/>
      </c>
      <c r="P2" s="11">
        <f>IFERROR(IF(INDEX('Test catalog'!$N$2:$N$200,MATCH($Y2,'Test catalog'!$A$2:$A$200,0))="","",INDEX('Test catalog'!$N$2:$N$200,MATCH($Y2,'Test catalog'!$A$2:$A$200,0))),"")</f>
        <v/>
      </c>
      <c r="Q2" s="11">
        <f>IFERROR(IF(INDEX('Test catalog'!$O$2:$O$200,MATCH($Y2,'Test catalog'!$A$2:$A$200,0))="","",INDEX('Test catalog'!$O$2:$O$200,MATCH($Y2,'Test catalog'!$A$2:$A$200,0))),"")</f>
        <v/>
      </c>
      <c r="R2" s="11">
        <f>IFERROR(IF(INDEX('Test catalog'!$P$2:$P$200,MATCH($Y2,'Test catalog'!$A$2:$A$200,0))="","",INDEX('Test catalog'!$P$2:$P$200,MATCH($Y2,'Test catalog'!$A$2:$A$200,0))),"")</f>
        <v/>
      </c>
      <c r="S2" s="14" t="n"/>
      <c r="T2" s="5" t="n"/>
      <c r="U2" s="11">
        <f>IFERROR(IF(INDEX('Test catalog'!$Q$2:$Q$200,MATCH($Y2,'Test catalog'!$A$2:$A$200,0))="","",INDEX('Test catalog'!$Q$2:$Q$200,MATCH($Y2,'Test catalog'!$A$2:$A$200,0))),"")</f>
        <v/>
      </c>
      <c r="V2" s="5" t="n"/>
      <c r="W2" s="5" t="n"/>
      <c r="X2" s="5" t="n"/>
      <c r="Y2" s="5" t="inlineStr">
        <is>
          <t>ENUM</t>
        </is>
      </c>
      <c r="Z2" s="11" t="inlineStr">
        <is>
          <t>No micro test in USP-NF - set Y if your specification has one</t>
        </is>
      </c>
    </row>
    <row r="3">
      <c r="A3" s="11" t="inlineStr">
        <is>
          <t>Amlodipine Besylate</t>
        </is>
      </c>
      <c r="B3" s="11" t="inlineStr">
        <is>
          <t>RM</t>
        </is>
      </c>
      <c r="C3" s="11" t="inlineStr">
        <is>
          <t>Active</t>
        </is>
      </c>
      <c r="D3" s="11" t="inlineStr">
        <is>
          <t>Microbial enumeration - TAMC + TYMC (&lt;61&gt; / &lt;2021&gt;)</t>
        </is>
      </c>
      <c r="E3" s="5" t="inlineStr">
        <is>
          <t>N</t>
        </is>
      </c>
      <c r="F3" s="5" t="n"/>
      <c r="G3" s="11">
        <f>IFERROR(IF(INDEX('Test catalog'!$F$2:$F$200,MATCH($Y3,'Test catalog'!$A$2:$A$200,0))="","",INDEX('Test catalog'!$F$2:$F$200,MATCH($Y3,'Test catalog'!$A$2:$A$200,0))),"")</f>
        <v/>
      </c>
      <c r="H3" s="11">
        <f>IFERROR(IF(INDEX('Test catalog'!$G$2:$G$200,MATCH($Y3,'Test catalog'!$A$2:$A$200,0))="","",INDEX('Test catalog'!$G$2:$G$200,MATCH($Y3,'Test catalog'!$A$2:$A$200,0))),"")</f>
        <v/>
      </c>
      <c r="I3" s="11">
        <f>IFERROR(IF(INDEX('Test catalog'!$H$2:$H$200,MATCH($Y3,'Test catalog'!$A$2:$A$200,0))="","",INDEX('Test catalog'!$H$2:$H$200,MATCH($Y3,'Test catalog'!$A$2:$A$200,0))),"")</f>
        <v/>
      </c>
      <c r="J3" s="11">
        <f>IFERROR(IF(INDEX('Test catalog'!$I$2:$I$200,MATCH($Y3,'Test catalog'!$A$2:$A$200,0))="","",INDEX('Test catalog'!$I$2:$I$200,MATCH($Y3,'Test catalog'!$A$2:$A$200,0))),"")</f>
        <v/>
      </c>
      <c r="K3" s="13">
        <f>IF(I3="","",IF(OR(H3="",J3=""),I3,(H3+4*I3+J3)/6))</f>
        <v/>
      </c>
      <c r="L3" s="11">
        <f>IFERROR(IF(INDEX('Test catalog'!$J$2:$J$200,MATCH($Y3,'Test catalog'!$A$2:$A$200,0))="","",INDEX('Test catalog'!$J$2:$J$200,MATCH($Y3,'Test catalog'!$A$2:$A$200,0))),"")</f>
        <v/>
      </c>
      <c r="M3" s="11">
        <f>IFERROR(IF(INDEX('Test catalog'!$K$2:$K$200,MATCH($Y3,'Test catalog'!$A$2:$A$200,0))="","",INDEX('Test catalog'!$K$2:$K$200,MATCH($Y3,'Test catalog'!$A$2:$A$200,0))),"")</f>
        <v/>
      </c>
      <c r="N3" s="11">
        <f>IFERROR(IF(INDEX('Test catalog'!$L$2:$L$200,MATCH($Y3,'Test catalog'!$A$2:$A$200,0))="","",INDEX('Test catalog'!$L$2:$L$200,MATCH($Y3,'Test catalog'!$A$2:$A$200,0))),"")</f>
        <v/>
      </c>
      <c r="O3" s="11">
        <f>IFERROR(IF(INDEX('Test catalog'!$M$2:$M$200,MATCH($Y3,'Test catalog'!$A$2:$A$200,0))="","",INDEX('Test catalog'!$M$2:$M$200,MATCH($Y3,'Test catalog'!$A$2:$A$200,0))),"")</f>
        <v/>
      </c>
      <c r="P3" s="11">
        <f>IFERROR(IF(INDEX('Test catalog'!$N$2:$N$200,MATCH($Y3,'Test catalog'!$A$2:$A$200,0))="","",INDEX('Test catalog'!$N$2:$N$200,MATCH($Y3,'Test catalog'!$A$2:$A$200,0))),"")</f>
        <v/>
      </c>
      <c r="Q3" s="11">
        <f>IFERROR(IF(INDEX('Test catalog'!$O$2:$O$200,MATCH($Y3,'Test catalog'!$A$2:$A$200,0))="","",INDEX('Test catalog'!$O$2:$O$200,MATCH($Y3,'Test catalog'!$A$2:$A$200,0))),"")</f>
        <v/>
      </c>
      <c r="R3" s="11">
        <f>IFERROR(IF(INDEX('Test catalog'!$P$2:$P$200,MATCH($Y3,'Test catalog'!$A$2:$A$200,0))="","",INDEX('Test catalog'!$P$2:$P$200,MATCH($Y3,'Test catalog'!$A$2:$A$200,0))),"")</f>
        <v/>
      </c>
      <c r="S3" s="14" t="n"/>
      <c r="T3" s="5" t="n"/>
      <c r="U3" s="11">
        <f>IFERROR(IF(INDEX('Test catalog'!$Q$2:$Q$200,MATCH($Y3,'Test catalog'!$A$2:$A$200,0))="","",INDEX('Test catalog'!$Q$2:$Q$200,MATCH($Y3,'Test catalog'!$A$2:$A$200,0))),"")</f>
        <v/>
      </c>
      <c r="V3" s="5" t="n"/>
      <c r="W3" s="5" t="n"/>
      <c r="X3" s="5" t="n"/>
      <c r="Y3" s="5" t="inlineStr">
        <is>
          <t>ENUM</t>
        </is>
      </c>
      <c r="Z3" s="11" t="inlineStr">
        <is>
          <t>No micro test in USP-NF - set Y if your specification has one</t>
        </is>
      </c>
    </row>
    <row r="4">
      <c r="A4" s="11" t="inlineStr">
        <is>
          <t>Apium Graveolens Seed Dry Extract 6:1</t>
        </is>
      </c>
      <c r="B4" s="11" t="inlineStr">
        <is>
          <t>RM</t>
        </is>
      </c>
      <c r="C4" s="11" t="inlineStr">
        <is>
          <t>Active</t>
        </is>
      </c>
      <c r="D4" s="11" t="inlineStr">
        <is>
          <t>Microbial enumeration - TAMC + TYMC (&lt;61&gt; / &lt;2021&gt;)</t>
        </is>
      </c>
      <c r="E4" s="5" t="inlineStr">
        <is>
          <t>Y</t>
        </is>
      </c>
      <c r="F4" s="5" t="n"/>
      <c r="G4" s="11">
        <f>IFERROR(IF(INDEX('Test catalog'!$F$2:$F$200,MATCH($Y4,'Test catalog'!$A$2:$A$200,0))="","",INDEX('Test catalog'!$F$2:$F$200,MATCH($Y4,'Test catalog'!$A$2:$A$200,0))),"")</f>
        <v/>
      </c>
      <c r="H4" s="11">
        <f>IFERROR(IF(INDEX('Test catalog'!$G$2:$G$200,MATCH($Y4,'Test catalog'!$A$2:$A$200,0))="","",INDEX('Test catalog'!$G$2:$G$200,MATCH($Y4,'Test catalog'!$A$2:$A$200,0))),"")</f>
        <v/>
      </c>
      <c r="I4" s="11">
        <f>IFERROR(IF(INDEX('Test catalog'!$H$2:$H$200,MATCH($Y4,'Test catalog'!$A$2:$A$200,0))="","",INDEX('Test catalog'!$H$2:$H$200,MATCH($Y4,'Test catalog'!$A$2:$A$200,0))),"")</f>
        <v/>
      </c>
      <c r="J4" s="11">
        <f>IFERROR(IF(INDEX('Test catalog'!$I$2:$I$200,MATCH($Y4,'Test catalog'!$A$2:$A$200,0))="","",INDEX('Test catalog'!$I$2:$I$200,MATCH($Y4,'Test catalog'!$A$2:$A$200,0))),"")</f>
        <v/>
      </c>
      <c r="K4" s="13">
        <f>IF(I4="","",IF(OR(H4="",J4=""),I4,(H4+4*I4+J4)/6))</f>
        <v/>
      </c>
      <c r="L4" s="11">
        <f>IFERROR(IF(INDEX('Test catalog'!$J$2:$J$200,MATCH($Y4,'Test catalog'!$A$2:$A$200,0))="","",INDEX('Test catalog'!$J$2:$J$200,MATCH($Y4,'Test catalog'!$A$2:$A$200,0))),"")</f>
        <v/>
      </c>
      <c r="M4" s="11">
        <f>IFERROR(IF(INDEX('Test catalog'!$K$2:$K$200,MATCH($Y4,'Test catalog'!$A$2:$A$200,0))="","",INDEX('Test catalog'!$K$2:$K$200,MATCH($Y4,'Test catalog'!$A$2:$A$200,0))),"")</f>
        <v/>
      </c>
      <c r="N4" s="11">
        <f>IFERROR(IF(INDEX('Test catalog'!$L$2:$L$200,MATCH($Y4,'Test catalog'!$A$2:$A$200,0))="","",INDEX('Test catalog'!$L$2:$L$200,MATCH($Y4,'Test catalog'!$A$2:$A$200,0))),"")</f>
        <v/>
      </c>
      <c r="O4" s="11">
        <f>IFERROR(IF(INDEX('Test catalog'!$M$2:$M$200,MATCH($Y4,'Test catalog'!$A$2:$A$200,0))="","",INDEX('Test catalog'!$M$2:$M$200,MATCH($Y4,'Test catalog'!$A$2:$A$200,0))),"")</f>
        <v/>
      </c>
      <c r="P4" s="11">
        <f>IFERROR(IF(INDEX('Test catalog'!$N$2:$N$200,MATCH($Y4,'Test catalog'!$A$2:$A$200,0))="","",INDEX('Test catalog'!$N$2:$N$200,MATCH($Y4,'Test catalog'!$A$2:$A$200,0))),"")</f>
        <v/>
      </c>
      <c r="Q4" s="11">
        <f>IFERROR(IF(INDEX('Test catalog'!$O$2:$O$200,MATCH($Y4,'Test catalog'!$A$2:$A$200,0))="","",INDEX('Test catalog'!$O$2:$O$200,MATCH($Y4,'Test catalog'!$A$2:$A$200,0))),"")</f>
        <v/>
      </c>
      <c r="R4" s="11">
        <f>IFERROR(IF(INDEX('Test catalog'!$P$2:$P$200,MATCH($Y4,'Test catalog'!$A$2:$A$200,0))="","",INDEX('Test catalog'!$P$2:$P$200,MATCH($Y4,'Test catalog'!$A$2:$A$200,0))),"")</f>
        <v/>
      </c>
      <c r="S4" s="14" t="n"/>
      <c r="T4" s="5" t="n"/>
      <c r="U4" s="11">
        <f>IFERROR(IF(INDEX('Test catalog'!$Q$2:$Q$200,MATCH($Y4,'Test catalog'!$A$2:$A$200,0))="","",INDEX('Test catalog'!$Q$2:$Q$200,MATCH($Y4,'Test catalog'!$A$2:$A$200,0))),"")</f>
        <v/>
      </c>
      <c r="V4" s="5" t="n"/>
      <c r="W4" s="5" t="n"/>
      <c r="X4" s="5" t="n"/>
      <c r="Y4" s="5" t="inlineStr">
        <is>
          <t>ENUM</t>
        </is>
      </c>
      <c r="Z4" s="11" t="inlineStr">
        <is>
          <t>Natural origin, no USP-NF micro test - confirm (USP &lt;2023&gt;)</t>
        </is>
      </c>
    </row>
    <row r="5">
      <c r="A5" s="11" t="inlineStr">
        <is>
          <t>Apium Graveolens Seed Dry Extract 6:1</t>
        </is>
      </c>
      <c r="B5" s="11" t="inlineStr">
        <is>
          <t>RM</t>
        </is>
      </c>
      <c r="C5" s="11" t="inlineStr">
        <is>
          <t>Active</t>
        </is>
      </c>
      <c r="D5" s="11" t="inlineStr">
        <is>
          <t>Absence of Escherichia coli (&lt;62&gt; / &lt;2022&gt;)</t>
        </is>
      </c>
      <c r="E5" s="5" t="inlineStr">
        <is>
          <t>Y</t>
        </is>
      </c>
      <c r="F5" s="5" t="n"/>
      <c r="G5" s="11">
        <f>IFERROR(IF(INDEX('Test catalog'!$F$2:$F$200,MATCH($Y5,'Test catalog'!$A$2:$A$200,0))="","",INDEX('Test catalog'!$F$2:$F$200,MATCH($Y5,'Test catalog'!$A$2:$A$200,0))),"")</f>
        <v/>
      </c>
      <c r="H5" s="11">
        <f>IFERROR(IF(INDEX('Test catalog'!$G$2:$G$200,MATCH($Y5,'Test catalog'!$A$2:$A$200,0))="","",INDEX('Test catalog'!$G$2:$G$200,MATCH($Y5,'Test catalog'!$A$2:$A$200,0))),"")</f>
        <v/>
      </c>
      <c r="I5" s="11">
        <f>IFERROR(IF(INDEX('Test catalog'!$H$2:$H$200,MATCH($Y5,'Test catalog'!$A$2:$A$200,0))="","",INDEX('Test catalog'!$H$2:$H$200,MATCH($Y5,'Test catalog'!$A$2:$A$200,0))),"")</f>
        <v/>
      </c>
      <c r="J5" s="11">
        <f>IFERROR(IF(INDEX('Test catalog'!$I$2:$I$200,MATCH($Y5,'Test catalog'!$A$2:$A$200,0))="","",INDEX('Test catalog'!$I$2:$I$200,MATCH($Y5,'Test catalog'!$A$2:$A$200,0))),"")</f>
        <v/>
      </c>
      <c r="K5" s="13">
        <f>IF(I5="","",IF(OR(H5="",J5=""),I5,(H5+4*I5+J5)/6))</f>
        <v/>
      </c>
      <c r="L5" s="11">
        <f>IFERROR(IF(INDEX('Test catalog'!$J$2:$J$200,MATCH($Y5,'Test catalog'!$A$2:$A$200,0))="","",INDEX('Test catalog'!$J$2:$J$200,MATCH($Y5,'Test catalog'!$A$2:$A$200,0))),"")</f>
        <v/>
      </c>
      <c r="M5" s="11">
        <f>IFERROR(IF(INDEX('Test catalog'!$K$2:$K$200,MATCH($Y5,'Test catalog'!$A$2:$A$200,0))="","",INDEX('Test catalog'!$K$2:$K$200,MATCH($Y5,'Test catalog'!$A$2:$A$200,0))),"")</f>
        <v/>
      </c>
      <c r="N5" s="11">
        <f>IFERROR(IF(INDEX('Test catalog'!$L$2:$L$200,MATCH($Y5,'Test catalog'!$A$2:$A$200,0))="","",INDEX('Test catalog'!$L$2:$L$200,MATCH($Y5,'Test catalog'!$A$2:$A$200,0))),"")</f>
        <v/>
      </c>
      <c r="O5" s="11">
        <f>IFERROR(IF(INDEX('Test catalog'!$M$2:$M$200,MATCH($Y5,'Test catalog'!$A$2:$A$200,0))="","",INDEX('Test catalog'!$M$2:$M$200,MATCH($Y5,'Test catalog'!$A$2:$A$200,0))),"")</f>
        <v/>
      </c>
      <c r="P5" s="11">
        <f>IFERROR(IF(INDEX('Test catalog'!$N$2:$N$200,MATCH($Y5,'Test catalog'!$A$2:$A$200,0))="","",INDEX('Test catalog'!$N$2:$N$200,MATCH($Y5,'Test catalog'!$A$2:$A$200,0))),"")</f>
        <v/>
      </c>
      <c r="Q5" s="11">
        <f>IFERROR(IF(INDEX('Test catalog'!$O$2:$O$200,MATCH($Y5,'Test catalog'!$A$2:$A$200,0))="","",INDEX('Test catalog'!$O$2:$O$200,MATCH($Y5,'Test catalog'!$A$2:$A$200,0))),"")</f>
        <v/>
      </c>
      <c r="R5" s="11">
        <f>IFERROR(IF(INDEX('Test catalog'!$P$2:$P$200,MATCH($Y5,'Test catalog'!$A$2:$A$200,0))="","",INDEX('Test catalog'!$P$2:$P$200,MATCH($Y5,'Test catalog'!$A$2:$A$200,0))),"")</f>
        <v/>
      </c>
      <c r="S5" s="14" t="n"/>
      <c r="T5" s="5" t="n"/>
      <c r="U5" s="11">
        <f>IFERROR(IF(INDEX('Test catalog'!$Q$2:$Q$200,MATCH($Y5,'Test catalog'!$A$2:$A$200,0))="","",INDEX('Test catalog'!$Q$2:$Q$200,MATCH($Y5,'Test catalog'!$A$2:$A$200,0))),"")</f>
        <v/>
      </c>
      <c r="V5" s="5" t="n"/>
      <c r="W5" s="5" t="n"/>
      <c r="X5" s="5" t="n"/>
      <c r="Y5" s="5" t="inlineStr">
        <is>
          <t>ECOLI</t>
        </is>
      </c>
      <c r="Z5" s="11" t="inlineStr">
        <is>
          <t>Natural origin, no USP-NF micro test - confirm (USP &lt;2023&gt;)</t>
        </is>
      </c>
    </row>
    <row r="6">
      <c r="A6" s="11" t="inlineStr">
        <is>
          <t>Apium Graveolens Seed Dry Extract 6:1</t>
        </is>
      </c>
      <c r="B6" s="11" t="inlineStr">
        <is>
          <t>RM</t>
        </is>
      </c>
      <c r="C6" s="11" t="inlineStr">
        <is>
          <t>Active</t>
        </is>
      </c>
      <c r="D6" s="11" t="inlineStr">
        <is>
          <t>Absence of Salmonella (&lt;62&gt; / &lt;2022&gt;)</t>
        </is>
      </c>
      <c r="E6" s="5" t="inlineStr">
        <is>
          <t>Y</t>
        </is>
      </c>
      <c r="F6" s="5" t="n"/>
      <c r="G6" s="11">
        <f>IFERROR(IF(INDEX('Test catalog'!$F$2:$F$200,MATCH($Y6,'Test catalog'!$A$2:$A$200,0))="","",INDEX('Test catalog'!$F$2:$F$200,MATCH($Y6,'Test catalog'!$A$2:$A$200,0))),"")</f>
        <v/>
      </c>
      <c r="H6" s="11">
        <f>IFERROR(IF(INDEX('Test catalog'!$G$2:$G$200,MATCH($Y6,'Test catalog'!$A$2:$A$200,0))="","",INDEX('Test catalog'!$G$2:$G$200,MATCH($Y6,'Test catalog'!$A$2:$A$200,0))),"")</f>
        <v/>
      </c>
      <c r="I6" s="11">
        <f>IFERROR(IF(INDEX('Test catalog'!$H$2:$H$200,MATCH($Y6,'Test catalog'!$A$2:$A$200,0))="","",INDEX('Test catalog'!$H$2:$H$200,MATCH($Y6,'Test catalog'!$A$2:$A$200,0))),"")</f>
        <v/>
      </c>
      <c r="J6" s="11">
        <f>IFERROR(IF(INDEX('Test catalog'!$I$2:$I$200,MATCH($Y6,'Test catalog'!$A$2:$A$200,0))="","",INDEX('Test catalog'!$I$2:$I$200,MATCH($Y6,'Test catalog'!$A$2:$A$200,0))),"")</f>
        <v/>
      </c>
      <c r="K6" s="13">
        <f>IF(I6="","",IF(OR(H6="",J6=""),I6,(H6+4*I6+J6)/6))</f>
        <v/>
      </c>
      <c r="L6" s="11">
        <f>IFERROR(IF(INDEX('Test catalog'!$J$2:$J$200,MATCH($Y6,'Test catalog'!$A$2:$A$200,0))="","",INDEX('Test catalog'!$J$2:$J$200,MATCH($Y6,'Test catalog'!$A$2:$A$200,0))),"")</f>
        <v/>
      </c>
      <c r="M6" s="11">
        <f>IFERROR(IF(INDEX('Test catalog'!$K$2:$K$200,MATCH($Y6,'Test catalog'!$A$2:$A$200,0))="","",INDEX('Test catalog'!$K$2:$K$200,MATCH($Y6,'Test catalog'!$A$2:$A$200,0))),"")</f>
        <v/>
      </c>
      <c r="N6" s="11">
        <f>IFERROR(IF(INDEX('Test catalog'!$L$2:$L$200,MATCH($Y6,'Test catalog'!$A$2:$A$200,0))="","",INDEX('Test catalog'!$L$2:$L$200,MATCH($Y6,'Test catalog'!$A$2:$A$200,0))),"")</f>
        <v/>
      </c>
      <c r="O6" s="11">
        <f>IFERROR(IF(INDEX('Test catalog'!$M$2:$M$200,MATCH($Y6,'Test catalog'!$A$2:$A$200,0))="","",INDEX('Test catalog'!$M$2:$M$200,MATCH($Y6,'Test catalog'!$A$2:$A$200,0))),"")</f>
        <v/>
      </c>
      <c r="P6" s="11">
        <f>IFERROR(IF(INDEX('Test catalog'!$N$2:$N$200,MATCH($Y6,'Test catalog'!$A$2:$A$200,0))="","",INDEX('Test catalog'!$N$2:$N$200,MATCH($Y6,'Test catalog'!$A$2:$A$200,0))),"")</f>
        <v/>
      </c>
      <c r="Q6" s="11">
        <f>IFERROR(IF(INDEX('Test catalog'!$O$2:$O$200,MATCH($Y6,'Test catalog'!$A$2:$A$200,0))="","",INDEX('Test catalog'!$O$2:$O$200,MATCH($Y6,'Test catalog'!$A$2:$A$200,0))),"")</f>
        <v/>
      </c>
      <c r="R6" s="11">
        <f>IFERROR(IF(INDEX('Test catalog'!$P$2:$P$200,MATCH($Y6,'Test catalog'!$A$2:$A$200,0))="","",INDEX('Test catalog'!$P$2:$P$200,MATCH($Y6,'Test catalog'!$A$2:$A$200,0))),"")</f>
        <v/>
      </c>
      <c r="S6" s="14" t="n"/>
      <c r="T6" s="5" t="n"/>
      <c r="U6" s="11">
        <f>IFERROR(IF(INDEX('Test catalog'!$Q$2:$Q$200,MATCH($Y6,'Test catalog'!$A$2:$A$200,0))="","",INDEX('Test catalog'!$Q$2:$Q$200,MATCH($Y6,'Test catalog'!$A$2:$A$200,0))),"")</f>
        <v/>
      </c>
      <c r="V6" s="5" t="n"/>
      <c r="W6" s="5" t="n"/>
      <c r="X6" s="5" t="n"/>
      <c r="Y6" s="5" t="inlineStr">
        <is>
          <t>SALM</t>
        </is>
      </c>
      <c r="Z6" s="11" t="inlineStr">
        <is>
          <t>Natural origin, no USP-NF micro test - confirm (USP &lt;2023&gt;)</t>
        </is>
      </c>
    </row>
    <row r="7">
      <c r="A7" s="11" t="inlineStr">
        <is>
          <t>Apixaban</t>
        </is>
      </c>
      <c r="B7" s="11" t="inlineStr">
        <is>
          <t>RM</t>
        </is>
      </c>
      <c r="C7" s="11" t="inlineStr">
        <is>
          <t>Active</t>
        </is>
      </c>
      <c r="D7" s="11" t="inlineStr">
        <is>
          <t>Microbial enumeration - TAMC + TYMC (&lt;61&gt; / &lt;2021&gt;)</t>
        </is>
      </c>
      <c r="E7" s="5" t="inlineStr">
        <is>
          <t>N</t>
        </is>
      </c>
      <c r="F7" s="5" t="n"/>
      <c r="G7" s="11">
        <f>IFERROR(IF(INDEX('Test catalog'!$F$2:$F$200,MATCH($Y7,'Test catalog'!$A$2:$A$200,0))="","",INDEX('Test catalog'!$F$2:$F$200,MATCH($Y7,'Test catalog'!$A$2:$A$200,0))),"")</f>
        <v/>
      </c>
      <c r="H7" s="11">
        <f>IFERROR(IF(INDEX('Test catalog'!$G$2:$G$200,MATCH($Y7,'Test catalog'!$A$2:$A$200,0))="","",INDEX('Test catalog'!$G$2:$G$200,MATCH($Y7,'Test catalog'!$A$2:$A$200,0))),"")</f>
        <v/>
      </c>
      <c r="I7" s="11">
        <f>IFERROR(IF(INDEX('Test catalog'!$H$2:$H$200,MATCH($Y7,'Test catalog'!$A$2:$A$200,0))="","",INDEX('Test catalog'!$H$2:$H$200,MATCH($Y7,'Test catalog'!$A$2:$A$200,0))),"")</f>
        <v/>
      </c>
      <c r="J7" s="11">
        <f>IFERROR(IF(INDEX('Test catalog'!$I$2:$I$200,MATCH($Y7,'Test catalog'!$A$2:$A$200,0))="","",INDEX('Test catalog'!$I$2:$I$200,MATCH($Y7,'Test catalog'!$A$2:$A$200,0))),"")</f>
        <v/>
      </c>
      <c r="K7" s="13">
        <f>IF(I7="","",IF(OR(H7="",J7=""),I7,(H7+4*I7+J7)/6))</f>
        <v/>
      </c>
      <c r="L7" s="11">
        <f>IFERROR(IF(INDEX('Test catalog'!$J$2:$J$200,MATCH($Y7,'Test catalog'!$A$2:$A$200,0))="","",INDEX('Test catalog'!$J$2:$J$200,MATCH($Y7,'Test catalog'!$A$2:$A$200,0))),"")</f>
        <v/>
      </c>
      <c r="M7" s="11">
        <f>IFERROR(IF(INDEX('Test catalog'!$K$2:$K$200,MATCH($Y7,'Test catalog'!$A$2:$A$200,0))="","",INDEX('Test catalog'!$K$2:$K$200,MATCH($Y7,'Test catalog'!$A$2:$A$200,0))),"")</f>
        <v/>
      </c>
      <c r="N7" s="11">
        <f>IFERROR(IF(INDEX('Test catalog'!$L$2:$L$200,MATCH($Y7,'Test catalog'!$A$2:$A$200,0))="","",INDEX('Test catalog'!$L$2:$L$200,MATCH($Y7,'Test catalog'!$A$2:$A$200,0))),"")</f>
        <v/>
      </c>
      <c r="O7" s="11">
        <f>IFERROR(IF(INDEX('Test catalog'!$M$2:$M$200,MATCH($Y7,'Test catalog'!$A$2:$A$200,0))="","",INDEX('Test catalog'!$M$2:$M$200,MATCH($Y7,'Test catalog'!$A$2:$A$200,0))),"")</f>
        <v/>
      </c>
      <c r="P7" s="11">
        <f>IFERROR(IF(INDEX('Test catalog'!$N$2:$N$200,MATCH($Y7,'Test catalog'!$A$2:$A$200,0))="","",INDEX('Test catalog'!$N$2:$N$200,MATCH($Y7,'Test catalog'!$A$2:$A$200,0))),"")</f>
        <v/>
      </c>
      <c r="Q7" s="11">
        <f>IFERROR(IF(INDEX('Test catalog'!$O$2:$O$200,MATCH($Y7,'Test catalog'!$A$2:$A$200,0))="","",INDEX('Test catalog'!$O$2:$O$200,MATCH($Y7,'Test catalog'!$A$2:$A$200,0))),"")</f>
        <v/>
      </c>
      <c r="R7" s="11">
        <f>IFERROR(IF(INDEX('Test catalog'!$P$2:$P$200,MATCH($Y7,'Test catalog'!$A$2:$A$200,0))="","",INDEX('Test catalog'!$P$2:$P$200,MATCH($Y7,'Test catalog'!$A$2:$A$200,0))),"")</f>
        <v/>
      </c>
      <c r="S7" s="14" t="n"/>
      <c r="T7" s="5" t="n"/>
      <c r="U7" s="11">
        <f>IFERROR(IF(INDEX('Test catalog'!$Q$2:$Q$200,MATCH($Y7,'Test catalog'!$A$2:$A$200,0))="","",INDEX('Test catalog'!$Q$2:$Q$200,MATCH($Y7,'Test catalog'!$A$2:$A$200,0))),"")</f>
        <v/>
      </c>
      <c r="V7" s="5" t="n"/>
      <c r="W7" s="5" t="n"/>
      <c r="X7" s="5" t="n"/>
      <c r="Y7" s="5" t="inlineStr">
        <is>
          <t>ENUM</t>
        </is>
      </c>
      <c r="Z7" s="11" t="inlineStr">
        <is>
          <t>No micro test in USP-NF - set Y if your specification has one</t>
        </is>
      </c>
    </row>
    <row r="8">
      <c r="A8" s="11" t="inlineStr">
        <is>
          <t>Artichoke Dry Extract 25:1</t>
        </is>
      </c>
      <c r="B8" s="11" t="inlineStr">
        <is>
          <t>RM</t>
        </is>
      </c>
      <c r="C8" s="11" t="inlineStr">
        <is>
          <t>Active</t>
        </is>
      </c>
      <c r="D8" s="11" t="inlineStr">
        <is>
          <t>Microbial enumeration - TAMC + TYMC (&lt;61&gt; / &lt;2021&gt;)</t>
        </is>
      </c>
      <c r="E8" s="5" t="inlineStr">
        <is>
          <t>Y</t>
        </is>
      </c>
      <c r="F8" s="5" t="n"/>
      <c r="G8" s="11">
        <f>IFERROR(IF(INDEX('Test catalog'!$F$2:$F$200,MATCH($Y8,'Test catalog'!$A$2:$A$200,0))="","",INDEX('Test catalog'!$F$2:$F$200,MATCH($Y8,'Test catalog'!$A$2:$A$200,0))),"")</f>
        <v/>
      </c>
      <c r="H8" s="11">
        <f>IFERROR(IF(INDEX('Test catalog'!$G$2:$G$200,MATCH($Y8,'Test catalog'!$A$2:$A$200,0))="","",INDEX('Test catalog'!$G$2:$G$200,MATCH($Y8,'Test catalog'!$A$2:$A$200,0))),"")</f>
        <v/>
      </c>
      <c r="I8" s="11">
        <f>IFERROR(IF(INDEX('Test catalog'!$H$2:$H$200,MATCH($Y8,'Test catalog'!$A$2:$A$200,0))="","",INDEX('Test catalog'!$H$2:$H$200,MATCH($Y8,'Test catalog'!$A$2:$A$200,0))),"")</f>
        <v/>
      </c>
      <c r="J8" s="11">
        <f>IFERROR(IF(INDEX('Test catalog'!$I$2:$I$200,MATCH($Y8,'Test catalog'!$A$2:$A$200,0))="","",INDEX('Test catalog'!$I$2:$I$200,MATCH($Y8,'Test catalog'!$A$2:$A$200,0))),"")</f>
        <v/>
      </c>
      <c r="K8" s="13">
        <f>IF(I8="","",IF(OR(H8="",J8=""),I8,(H8+4*I8+J8)/6))</f>
        <v/>
      </c>
      <c r="L8" s="11">
        <f>IFERROR(IF(INDEX('Test catalog'!$J$2:$J$200,MATCH($Y8,'Test catalog'!$A$2:$A$200,0))="","",INDEX('Test catalog'!$J$2:$J$200,MATCH($Y8,'Test catalog'!$A$2:$A$200,0))),"")</f>
        <v/>
      </c>
      <c r="M8" s="11">
        <f>IFERROR(IF(INDEX('Test catalog'!$K$2:$K$200,MATCH($Y8,'Test catalog'!$A$2:$A$200,0))="","",INDEX('Test catalog'!$K$2:$K$200,MATCH($Y8,'Test catalog'!$A$2:$A$200,0))),"")</f>
        <v/>
      </c>
      <c r="N8" s="11">
        <f>IFERROR(IF(INDEX('Test catalog'!$L$2:$L$200,MATCH($Y8,'Test catalog'!$A$2:$A$200,0))="","",INDEX('Test catalog'!$L$2:$L$200,MATCH($Y8,'Test catalog'!$A$2:$A$200,0))),"")</f>
        <v/>
      </c>
      <c r="O8" s="11">
        <f>IFERROR(IF(INDEX('Test catalog'!$M$2:$M$200,MATCH($Y8,'Test catalog'!$A$2:$A$200,0))="","",INDEX('Test catalog'!$M$2:$M$200,MATCH($Y8,'Test catalog'!$A$2:$A$200,0))),"")</f>
        <v/>
      </c>
      <c r="P8" s="11">
        <f>IFERROR(IF(INDEX('Test catalog'!$N$2:$N$200,MATCH($Y8,'Test catalog'!$A$2:$A$200,0))="","",INDEX('Test catalog'!$N$2:$N$200,MATCH($Y8,'Test catalog'!$A$2:$A$200,0))),"")</f>
        <v/>
      </c>
      <c r="Q8" s="11">
        <f>IFERROR(IF(INDEX('Test catalog'!$O$2:$O$200,MATCH($Y8,'Test catalog'!$A$2:$A$200,0))="","",INDEX('Test catalog'!$O$2:$O$200,MATCH($Y8,'Test catalog'!$A$2:$A$200,0))),"")</f>
        <v/>
      </c>
      <c r="R8" s="11">
        <f>IFERROR(IF(INDEX('Test catalog'!$P$2:$P$200,MATCH($Y8,'Test catalog'!$A$2:$A$200,0))="","",INDEX('Test catalog'!$P$2:$P$200,MATCH($Y8,'Test catalog'!$A$2:$A$200,0))),"")</f>
        <v/>
      </c>
      <c r="S8" s="14" t="n"/>
      <c r="T8" s="5" t="n"/>
      <c r="U8" s="11">
        <f>IFERROR(IF(INDEX('Test catalog'!$Q$2:$Q$200,MATCH($Y8,'Test catalog'!$A$2:$A$200,0))="","",INDEX('Test catalog'!$Q$2:$Q$200,MATCH($Y8,'Test catalog'!$A$2:$A$200,0))),"")</f>
        <v/>
      </c>
      <c r="V8" s="5" t="n"/>
      <c r="W8" s="5" t="n"/>
      <c r="X8" s="5" t="n"/>
      <c r="Y8" s="5" t="inlineStr">
        <is>
          <t>ENUM</t>
        </is>
      </c>
      <c r="Z8" s="11" t="inlineStr">
        <is>
          <t>Natural origin, no USP-NF micro test - confirm (USP &lt;2023&gt;)</t>
        </is>
      </c>
    </row>
    <row r="9">
      <c r="A9" s="11" t="inlineStr">
        <is>
          <t>Artichoke Dry Extract 25:1</t>
        </is>
      </c>
      <c r="B9" s="11" t="inlineStr">
        <is>
          <t>RM</t>
        </is>
      </c>
      <c r="C9" s="11" t="inlineStr">
        <is>
          <t>Active</t>
        </is>
      </c>
      <c r="D9" s="11" t="inlineStr">
        <is>
          <t>Absence of Escherichia coli (&lt;62&gt; / &lt;2022&gt;)</t>
        </is>
      </c>
      <c r="E9" s="5" t="inlineStr">
        <is>
          <t>Y</t>
        </is>
      </c>
      <c r="F9" s="5" t="n"/>
      <c r="G9" s="11">
        <f>IFERROR(IF(INDEX('Test catalog'!$F$2:$F$200,MATCH($Y9,'Test catalog'!$A$2:$A$200,0))="","",INDEX('Test catalog'!$F$2:$F$200,MATCH($Y9,'Test catalog'!$A$2:$A$200,0))),"")</f>
        <v/>
      </c>
      <c r="H9" s="11">
        <f>IFERROR(IF(INDEX('Test catalog'!$G$2:$G$200,MATCH($Y9,'Test catalog'!$A$2:$A$200,0))="","",INDEX('Test catalog'!$G$2:$G$200,MATCH($Y9,'Test catalog'!$A$2:$A$200,0))),"")</f>
        <v/>
      </c>
      <c r="I9" s="11">
        <f>IFERROR(IF(INDEX('Test catalog'!$H$2:$H$200,MATCH($Y9,'Test catalog'!$A$2:$A$200,0))="","",INDEX('Test catalog'!$H$2:$H$200,MATCH($Y9,'Test catalog'!$A$2:$A$200,0))),"")</f>
        <v/>
      </c>
      <c r="J9" s="11">
        <f>IFERROR(IF(INDEX('Test catalog'!$I$2:$I$200,MATCH($Y9,'Test catalog'!$A$2:$A$200,0))="","",INDEX('Test catalog'!$I$2:$I$200,MATCH($Y9,'Test catalog'!$A$2:$A$200,0))),"")</f>
        <v/>
      </c>
      <c r="K9" s="13">
        <f>IF(I9="","",IF(OR(H9="",J9=""),I9,(H9+4*I9+J9)/6))</f>
        <v/>
      </c>
      <c r="L9" s="11">
        <f>IFERROR(IF(INDEX('Test catalog'!$J$2:$J$200,MATCH($Y9,'Test catalog'!$A$2:$A$200,0))="","",INDEX('Test catalog'!$J$2:$J$200,MATCH($Y9,'Test catalog'!$A$2:$A$200,0))),"")</f>
        <v/>
      </c>
      <c r="M9" s="11">
        <f>IFERROR(IF(INDEX('Test catalog'!$K$2:$K$200,MATCH($Y9,'Test catalog'!$A$2:$A$200,0))="","",INDEX('Test catalog'!$K$2:$K$200,MATCH($Y9,'Test catalog'!$A$2:$A$200,0))),"")</f>
        <v/>
      </c>
      <c r="N9" s="11">
        <f>IFERROR(IF(INDEX('Test catalog'!$L$2:$L$200,MATCH($Y9,'Test catalog'!$A$2:$A$200,0))="","",INDEX('Test catalog'!$L$2:$L$200,MATCH($Y9,'Test catalog'!$A$2:$A$200,0))),"")</f>
        <v/>
      </c>
      <c r="O9" s="11">
        <f>IFERROR(IF(INDEX('Test catalog'!$M$2:$M$200,MATCH($Y9,'Test catalog'!$A$2:$A$200,0))="","",INDEX('Test catalog'!$M$2:$M$200,MATCH($Y9,'Test catalog'!$A$2:$A$200,0))),"")</f>
        <v/>
      </c>
      <c r="P9" s="11">
        <f>IFERROR(IF(INDEX('Test catalog'!$N$2:$N$200,MATCH($Y9,'Test catalog'!$A$2:$A$200,0))="","",INDEX('Test catalog'!$N$2:$N$200,MATCH($Y9,'Test catalog'!$A$2:$A$200,0))),"")</f>
        <v/>
      </c>
      <c r="Q9" s="11">
        <f>IFERROR(IF(INDEX('Test catalog'!$O$2:$O$200,MATCH($Y9,'Test catalog'!$A$2:$A$200,0))="","",INDEX('Test catalog'!$O$2:$O$200,MATCH($Y9,'Test catalog'!$A$2:$A$200,0))),"")</f>
        <v/>
      </c>
      <c r="R9" s="11">
        <f>IFERROR(IF(INDEX('Test catalog'!$P$2:$P$200,MATCH($Y9,'Test catalog'!$A$2:$A$200,0))="","",INDEX('Test catalog'!$P$2:$P$200,MATCH($Y9,'Test catalog'!$A$2:$A$200,0))),"")</f>
        <v/>
      </c>
      <c r="S9" s="14" t="n"/>
      <c r="T9" s="5" t="n"/>
      <c r="U9" s="11">
        <f>IFERROR(IF(INDEX('Test catalog'!$Q$2:$Q$200,MATCH($Y9,'Test catalog'!$A$2:$A$200,0))="","",INDEX('Test catalog'!$Q$2:$Q$200,MATCH($Y9,'Test catalog'!$A$2:$A$200,0))),"")</f>
        <v/>
      </c>
      <c r="V9" s="5" t="n"/>
      <c r="W9" s="5" t="n"/>
      <c r="X9" s="5" t="n"/>
      <c r="Y9" s="5" t="inlineStr">
        <is>
          <t>ECOLI</t>
        </is>
      </c>
      <c r="Z9" s="11" t="inlineStr">
        <is>
          <t>Natural origin, no USP-NF micro test - confirm (USP &lt;2023&gt;)</t>
        </is>
      </c>
    </row>
    <row r="10">
      <c r="A10" s="11" t="inlineStr">
        <is>
          <t>Artichoke Dry Extract 25:1</t>
        </is>
      </c>
      <c r="B10" s="11" t="inlineStr">
        <is>
          <t>RM</t>
        </is>
      </c>
      <c r="C10" s="11" t="inlineStr">
        <is>
          <t>Active</t>
        </is>
      </c>
      <c r="D10" s="11" t="inlineStr">
        <is>
          <t>Absence of Salmonella (&lt;62&gt; / &lt;2022&gt;)</t>
        </is>
      </c>
      <c r="E10" s="5" t="inlineStr">
        <is>
          <t>Y</t>
        </is>
      </c>
      <c r="F10" s="5" t="n"/>
      <c r="G10" s="11">
        <f>IFERROR(IF(INDEX('Test catalog'!$F$2:$F$200,MATCH($Y10,'Test catalog'!$A$2:$A$200,0))="","",INDEX('Test catalog'!$F$2:$F$200,MATCH($Y10,'Test catalog'!$A$2:$A$200,0))),"")</f>
        <v/>
      </c>
      <c r="H10" s="11">
        <f>IFERROR(IF(INDEX('Test catalog'!$G$2:$G$200,MATCH($Y10,'Test catalog'!$A$2:$A$200,0))="","",INDEX('Test catalog'!$G$2:$G$200,MATCH($Y10,'Test catalog'!$A$2:$A$200,0))),"")</f>
        <v/>
      </c>
      <c r="I10" s="11">
        <f>IFERROR(IF(INDEX('Test catalog'!$H$2:$H$200,MATCH($Y10,'Test catalog'!$A$2:$A$200,0))="","",INDEX('Test catalog'!$H$2:$H$200,MATCH($Y10,'Test catalog'!$A$2:$A$200,0))),"")</f>
        <v/>
      </c>
      <c r="J10" s="11">
        <f>IFERROR(IF(INDEX('Test catalog'!$I$2:$I$200,MATCH($Y10,'Test catalog'!$A$2:$A$200,0))="","",INDEX('Test catalog'!$I$2:$I$200,MATCH($Y10,'Test catalog'!$A$2:$A$200,0))),"")</f>
        <v/>
      </c>
      <c r="K10" s="13">
        <f>IF(I10="","",IF(OR(H10="",J10=""),I10,(H10+4*I10+J10)/6))</f>
        <v/>
      </c>
      <c r="L10" s="11">
        <f>IFERROR(IF(INDEX('Test catalog'!$J$2:$J$200,MATCH($Y10,'Test catalog'!$A$2:$A$200,0))="","",INDEX('Test catalog'!$J$2:$J$200,MATCH($Y10,'Test catalog'!$A$2:$A$200,0))),"")</f>
        <v/>
      </c>
      <c r="M10" s="11">
        <f>IFERROR(IF(INDEX('Test catalog'!$K$2:$K$200,MATCH($Y10,'Test catalog'!$A$2:$A$200,0))="","",INDEX('Test catalog'!$K$2:$K$200,MATCH($Y10,'Test catalog'!$A$2:$A$200,0))),"")</f>
        <v/>
      </c>
      <c r="N10" s="11">
        <f>IFERROR(IF(INDEX('Test catalog'!$L$2:$L$200,MATCH($Y10,'Test catalog'!$A$2:$A$200,0))="","",INDEX('Test catalog'!$L$2:$L$200,MATCH($Y10,'Test catalog'!$A$2:$A$200,0))),"")</f>
        <v/>
      </c>
      <c r="O10" s="11">
        <f>IFERROR(IF(INDEX('Test catalog'!$M$2:$M$200,MATCH($Y10,'Test catalog'!$A$2:$A$200,0))="","",INDEX('Test catalog'!$M$2:$M$200,MATCH($Y10,'Test catalog'!$A$2:$A$200,0))),"")</f>
        <v/>
      </c>
      <c r="P10" s="11">
        <f>IFERROR(IF(INDEX('Test catalog'!$N$2:$N$200,MATCH($Y10,'Test catalog'!$A$2:$A$200,0))="","",INDEX('Test catalog'!$N$2:$N$200,MATCH($Y10,'Test catalog'!$A$2:$A$200,0))),"")</f>
        <v/>
      </c>
      <c r="Q10" s="11">
        <f>IFERROR(IF(INDEX('Test catalog'!$O$2:$O$200,MATCH($Y10,'Test catalog'!$A$2:$A$200,0))="","",INDEX('Test catalog'!$O$2:$O$200,MATCH($Y10,'Test catalog'!$A$2:$A$200,0))),"")</f>
        <v/>
      </c>
      <c r="R10" s="11">
        <f>IFERROR(IF(INDEX('Test catalog'!$P$2:$P$200,MATCH($Y10,'Test catalog'!$A$2:$A$200,0))="","",INDEX('Test catalog'!$P$2:$P$200,MATCH($Y10,'Test catalog'!$A$2:$A$200,0))),"")</f>
        <v/>
      </c>
      <c r="S10" s="14" t="n"/>
      <c r="T10" s="5" t="n"/>
      <c r="U10" s="11">
        <f>IFERROR(IF(INDEX('Test catalog'!$Q$2:$Q$200,MATCH($Y10,'Test catalog'!$A$2:$A$200,0))="","",INDEX('Test catalog'!$Q$2:$Q$200,MATCH($Y10,'Test catalog'!$A$2:$A$200,0))),"")</f>
        <v/>
      </c>
      <c r="V10" s="5" t="n"/>
      <c r="W10" s="5" t="n"/>
      <c r="X10" s="5" t="n"/>
      <c r="Y10" s="5" t="inlineStr">
        <is>
          <t>SALM</t>
        </is>
      </c>
      <c r="Z10" s="11" t="inlineStr">
        <is>
          <t>Natural origin, no USP-NF micro test - confirm (USP &lt;2023&gt;)</t>
        </is>
      </c>
    </row>
    <row r="11">
      <c r="A11" s="11" t="inlineStr">
        <is>
          <t>Ascorbic Acid (Vitamin C)</t>
        </is>
      </c>
      <c r="B11" s="11" t="inlineStr">
        <is>
          <t>RM</t>
        </is>
      </c>
      <c r="C11" s="11" t="inlineStr">
        <is>
          <t>Active</t>
        </is>
      </c>
      <c r="D11" s="11" t="inlineStr">
        <is>
          <t>Microbial enumeration - TAMC + TYMC (&lt;61&gt; / &lt;2021&gt;)</t>
        </is>
      </c>
      <c r="E11" s="5" t="inlineStr">
        <is>
          <t>N</t>
        </is>
      </c>
      <c r="F11" s="5" t="n"/>
      <c r="G11" s="11">
        <f>IFERROR(IF(INDEX('Test catalog'!$F$2:$F$200,MATCH($Y11,'Test catalog'!$A$2:$A$200,0))="","",INDEX('Test catalog'!$F$2:$F$200,MATCH($Y11,'Test catalog'!$A$2:$A$200,0))),"")</f>
        <v/>
      </c>
      <c r="H11" s="11">
        <f>IFERROR(IF(INDEX('Test catalog'!$G$2:$G$200,MATCH($Y11,'Test catalog'!$A$2:$A$200,0))="","",INDEX('Test catalog'!$G$2:$G$200,MATCH($Y11,'Test catalog'!$A$2:$A$200,0))),"")</f>
        <v/>
      </c>
      <c r="I11" s="11">
        <f>IFERROR(IF(INDEX('Test catalog'!$H$2:$H$200,MATCH($Y11,'Test catalog'!$A$2:$A$200,0))="","",INDEX('Test catalog'!$H$2:$H$200,MATCH($Y11,'Test catalog'!$A$2:$A$200,0))),"")</f>
        <v/>
      </c>
      <c r="J11" s="11">
        <f>IFERROR(IF(INDEX('Test catalog'!$I$2:$I$200,MATCH($Y11,'Test catalog'!$A$2:$A$200,0))="","",INDEX('Test catalog'!$I$2:$I$200,MATCH($Y11,'Test catalog'!$A$2:$A$200,0))),"")</f>
        <v/>
      </c>
      <c r="K11" s="13">
        <f>IF(I11="","",IF(OR(H11="",J11=""),I11,(H11+4*I11+J11)/6))</f>
        <v/>
      </c>
      <c r="L11" s="11">
        <f>IFERROR(IF(INDEX('Test catalog'!$J$2:$J$200,MATCH($Y11,'Test catalog'!$A$2:$A$200,0))="","",INDEX('Test catalog'!$J$2:$J$200,MATCH($Y11,'Test catalog'!$A$2:$A$200,0))),"")</f>
        <v/>
      </c>
      <c r="M11" s="11">
        <f>IFERROR(IF(INDEX('Test catalog'!$K$2:$K$200,MATCH($Y11,'Test catalog'!$A$2:$A$200,0))="","",INDEX('Test catalog'!$K$2:$K$200,MATCH($Y11,'Test catalog'!$A$2:$A$200,0))),"")</f>
        <v/>
      </c>
      <c r="N11" s="11">
        <f>IFERROR(IF(INDEX('Test catalog'!$L$2:$L$200,MATCH($Y11,'Test catalog'!$A$2:$A$200,0))="","",INDEX('Test catalog'!$L$2:$L$200,MATCH($Y11,'Test catalog'!$A$2:$A$200,0))),"")</f>
        <v/>
      </c>
      <c r="O11" s="11">
        <f>IFERROR(IF(INDEX('Test catalog'!$M$2:$M$200,MATCH($Y11,'Test catalog'!$A$2:$A$200,0))="","",INDEX('Test catalog'!$M$2:$M$200,MATCH($Y11,'Test catalog'!$A$2:$A$200,0))),"")</f>
        <v/>
      </c>
      <c r="P11" s="11">
        <f>IFERROR(IF(INDEX('Test catalog'!$N$2:$N$200,MATCH($Y11,'Test catalog'!$A$2:$A$200,0))="","",INDEX('Test catalog'!$N$2:$N$200,MATCH($Y11,'Test catalog'!$A$2:$A$200,0))),"")</f>
        <v/>
      </c>
      <c r="Q11" s="11">
        <f>IFERROR(IF(INDEX('Test catalog'!$O$2:$O$200,MATCH($Y11,'Test catalog'!$A$2:$A$200,0))="","",INDEX('Test catalog'!$O$2:$O$200,MATCH($Y11,'Test catalog'!$A$2:$A$200,0))),"")</f>
        <v/>
      </c>
      <c r="R11" s="11">
        <f>IFERROR(IF(INDEX('Test catalog'!$P$2:$P$200,MATCH($Y11,'Test catalog'!$A$2:$A$200,0))="","",INDEX('Test catalog'!$P$2:$P$200,MATCH($Y11,'Test catalog'!$A$2:$A$200,0))),"")</f>
        <v/>
      </c>
      <c r="S11" s="14" t="n"/>
      <c r="T11" s="5" t="n"/>
      <c r="U11" s="11">
        <f>IFERROR(IF(INDEX('Test catalog'!$Q$2:$Q$200,MATCH($Y11,'Test catalog'!$A$2:$A$200,0))="","",INDEX('Test catalog'!$Q$2:$Q$200,MATCH($Y11,'Test catalog'!$A$2:$A$200,0))),"")</f>
        <v/>
      </c>
      <c r="V11" s="5" t="n"/>
      <c r="W11" s="5" t="n"/>
      <c r="X11" s="5" t="n"/>
      <c r="Y11" s="5" t="inlineStr">
        <is>
          <t>ENUM</t>
        </is>
      </c>
      <c r="Z11" s="11" t="inlineStr">
        <is>
          <t>No micro test in USP-NF - set Y if your specification has one</t>
        </is>
      </c>
    </row>
    <row r="12">
      <c r="A12" s="11" t="inlineStr">
        <is>
          <t>Ascorbic Acid Coated 97%</t>
        </is>
      </c>
      <c r="B12" s="11" t="inlineStr">
        <is>
          <t>RM</t>
        </is>
      </c>
      <c r="C12" s="11" t="inlineStr">
        <is>
          <t>Active</t>
        </is>
      </c>
      <c r="D12" s="11" t="inlineStr">
        <is>
          <t>Microbial enumeration - TAMC + TYMC (&lt;61&gt; / &lt;2021&gt;)</t>
        </is>
      </c>
      <c r="E12" s="5" t="inlineStr">
        <is>
          <t>N</t>
        </is>
      </c>
      <c r="F12" s="5" t="n"/>
      <c r="G12" s="11">
        <f>IFERROR(IF(INDEX('Test catalog'!$F$2:$F$200,MATCH($Y12,'Test catalog'!$A$2:$A$200,0))="","",INDEX('Test catalog'!$F$2:$F$200,MATCH($Y12,'Test catalog'!$A$2:$A$200,0))),"")</f>
        <v/>
      </c>
      <c r="H12" s="11">
        <f>IFERROR(IF(INDEX('Test catalog'!$G$2:$G$200,MATCH($Y12,'Test catalog'!$A$2:$A$200,0))="","",INDEX('Test catalog'!$G$2:$G$200,MATCH($Y12,'Test catalog'!$A$2:$A$200,0))),"")</f>
        <v/>
      </c>
      <c r="I12" s="11">
        <f>IFERROR(IF(INDEX('Test catalog'!$H$2:$H$200,MATCH($Y12,'Test catalog'!$A$2:$A$200,0))="","",INDEX('Test catalog'!$H$2:$H$200,MATCH($Y12,'Test catalog'!$A$2:$A$200,0))),"")</f>
        <v/>
      </c>
      <c r="J12" s="11">
        <f>IFERROR(IF(INDEX('Test catalog'!$I$2:$I$200,MATCH($Y12,'Test catalog'!$A$2:$A$200,0))="","",INDEX('Test catalog'!$I$2:$I$200,MATCH($Y12,'Test catalog'!$A$2:$A$200,0))),"")</f>
        <v/>
      </c>
      <c r="K12" s="13">
        <f>IF(I12="","",IF(OR(H12="",J12=""),I12,(H12+4*I12+J12)/6))</f>
        <v/>
      </c>
      <c r="L12" s="11">
        <f>IFERROR(IF(INDEX('Test catalog'!$J$2:$J$200,MATCH($Y12,'Test catalog'!$A$2:$A$200,0))="","",INDEX('Test catalog'!$J$2:$J$200,MATCH($Y12,'Test catalog'!$A$2:$A$200,0))),"")</f>
        <v/>
      </c>
      <c r="M12" s="11">
        <f>IFERROR(IF(INDEX('Test catalog'!$K$2:$K$200,MATCH($Y12,'Test catalog'!$A$2:$A$200,0))="","",INDEX('Test catalog'!$K$2:$K$200,MATCH($Y12,'Test catalog'!$A$2:$A$200,0))),"")</f>
        <v/>
      </c>
      <c r="N12" s="11">
        <f>IFERROR(IF(INDEX('Test catalog'!$L$2:$L$200,MATCH($Y12,'Test catalog'!$A$2:$A$200,0))="","",INDEX('Test catalog'!$L$2:$L$200,MATCH($Y12,'Test catalog'!$A$2:$A$200,0))),"")</f>
        <v/>
      </c>
      <c r="O12" s="11">
        <f>IFERROR(IF(INDEX('Test catalog'!$M$2:$M$200,MATCH($Y12,'Test catalog'!$A$2:$A$200,0))="","",INDEX('Test catalog'!$M$2:$M$200,MATCH($Y12,'Test catalog'!$A$2:$A$200,0))),"")</f>
        <v/>
      </c>
      <c r="P12" s="11">
        <f>IFERROR(IF(INDEX('Test catalog'!$N$2:$N$200,MATCH($Y12,'Test catalog'!$A$2:$A$200,0))="","",INDEX('Test catalog'!$N$2:$N$200,MATCH($Y12,'Test catalog'!$A$2:$A$200,0))),"")</f>
        <v/>
      </c>
      <c r="Q12" s="11">
        <f>IFERROR(IF(INDEX('Test catalog'!$O$2:$O$200,MATCH($Y12,'Test catalog'!$A$2:$A$200,0))="","",INDEX('Test catalog'!$O$2:$O$200,MATCH($Y12,'Test catalog'!$A$2:$A$200,0))),"")</f>
        <v/>
      </c>
      <c r="R12" s="11">
        <f>IFERROR(IF(INDEX('Test catalog'!$P$2:$P$200,MATCH($Y12,'Test catalog'!$A$2:$A$200,0))="","",INDEX('Test catalog'!$P$2:$P$200,MATCH($Y12,'Test catalog'!$A$2:$A$200,0))),"")</f>
        <v/>
      </c>
      <c r="S12" s="14" t="n"/>
      <c r="T12" s="5" t="n"/>
      <c r="U12" s="11">
        <f>IFERROR(IF(INDEX('Test catalog'!$Q$2:$Q$200,MATCH($Y12,'Test catalog'!$A$2:$A$200,0))="","",INDEX('Test catalog'!$Q$2:$Q$200,MATCH($Y12,'Test catalog'!$A$2:$A$200,0))),"")</f>
        <v/>
      </c>
      <c r="V12" s="5" t="n"/>
      <c r="W12" s="5" t="n"/>
      <c r="X12" s="5" t="n"/>
      <c r="Y12" s="5" t="inlineStr">
        <is>
          <t>ENUM</t>
        </is>
      </c>
      <c r="Z12" s="11" t="inlineStr">
        <is>
          <t>No micro test in USP-NF - set Y if your specification has one</t>
        </is>
      </c>
    </row>
    <row r="13">
      <c r="A13" s="11" t="inlineStr">
        <is>
          <t>Azelastine Hydrochloride</t>
        </is>
      </c>
      <c r="B13" s="11" t="inlineStr">
        <is>
          <t>RM</t>
        </is>
      </c>
      <c r="C13" s="11" t="inlineStr">
        <is>
          <t>Active</t>
        </is>
      </c>
      <c r="D13" s="11" t="inlineStr">
        <is>
          <t>Microbial enumeration - TAMC + TYMC (&lt;61&gt; / &lt;2021&gt;)</t>
        </is>
      </c>
      <c r="E13" s="5" t="inlineStr">
        <is>
          <t>N</t>
        </is>
      </c>
      <c r="F13" s="5" t="n"/>
      <c r="G13" s="11">
        <f>IFERROR(IF(INDEX('Test catalog'!$F$2:$F$200,MATCH($Y13,'Test catalog'!$A$2:$A$200,0))="","",INDEX('Test catalog'!$F$2:$F$200,MATCH($Y13,'Test catalog'!$A$2:$A$200,0))),"")</f>
        <v/>
      </c>
      <c r="H13" s="11">
        <f>IFERROR(IF(INDEX('Test catalog'!$G$2:$G$200,MATCH($Y13,'Test catalog'!$A$2:$A$200,0))="","",INDEX('Test catalog'!$G$2:$G$200,MATCH($Y13,'Test catalog'!$A$2:$A$200,0))),"")</f>
        <v/>
      </c>
      <c r="I13" s="11">
        <f>IFERROR(IF(INDEX('Test catalog'!$H$2:$H$200,MATCH($Y13,'Test catalog'!$A$2:$A$200,0))="","",INDEX('Test catalog'!$H$2:$H$200,MATCH($Y13,'Test catalog'!$A$2:$A$200,0))),"")</f>
        <v/>
      </c>
      <c r="J13" s="11">
        <f>IFERROR(IF(INDEX('Test catalog'!$I$2:$I$200,MATCH($Y13,'Test catalog'!$A$2:$A$200,0))="","",INDEX('Test catalog'!$I$2:$I$200,MATCH($Y13,'Test catalog'!$A$2:$A$200,0))),"")</f>
        <v/>
      </c>
      <c r="K13" s="13">
        <f>IF(I13="","",IF(OR(H13="",J13=""),I13,(H13+4*I13+J13)/6))</f>
        <v/>
      </c>
      <c r="L13" s="11">
        <f>IFERROR(IF(INDEX('Test catalog'!$J$2:$J$200,MATCH($Y13,'Test catalog'!$A$2:$A$200,0))="","",INDEX('Test catalog'!$J$2:$J$200,MATCH($Y13,'Test catalog'!$A$2:$A$200,0))),"")</f>
        <v/>
      </c>
      <c r="M13" s="11">
        <f>IFERROR(IF(INDEX('Test catalog'!$K$2:$K$200,MATCH($Y13,'Test catalog'!$A$2:$A$200,0))="","",INDEX('Test catalog'!$K$2:$K$200,MATCH($Y13,'Test catalog'!$A$2:$A$200,0))),"")</f>
        <v/>
      </c>
      <c r="N13" s="11">
        <f>IFERROR(IF(INDEX('Test catalog'!$L$2:$L$200,MATCH($Y13,'Test catalog'!$A$2:$A$200,0))="","",INDEX('Test catalog'!$L$2:$L$200,MATCH($Y13,'Test catalog'!$A$2:$A$200,0))),"")</f>
        <v/>
      </c>
      <c r="O13" s="11">
        <f>IFERROR(IF(INDEX('Test catalog'!$M$2:$M$200,MATCH($Y13,'Test catalog'!$A$2:$A$200,0))="","",INDEX('Test catalog'!$M$2:$M$200,MATCH($Y13,'Test catalog'!$A$2:$A$200,0))),"")</f>
        <v/>
      </c>
      <c r="P13" s="11">
        <f>IFERROR(IF(INDEX('Test catalog'!$N$2:$N$200,MATCH($Y13,'Test catalog'!$A$2:$A$200,0))="","",INDEX('Test catalog'!$N$2:$N$200,MATCH($Y13,'Test catalog'!$A$2:$A$200,0))),"")</f>
        <v/>
      </c>
      <c r="Q13" s="11">
        <f>IFERROR(IF(INDEX('Test catalog'!$O$2:$O$200,MATCH($Y13,'Test catalog'!$A$2:$A$200,0))="","",INDEX('Test catalog'!$O$2:$O$200,MATCH($Y13,'Test catalog'!$A$2:$A$200,0))),"")</f>
        <v/>
      </c>
      <c r="R13" s="11">
        <f>IFERROR(IF(INDEX('Test catalog'!$P$2:$P$200,MATCH($Y13,'Test catalog'!$A$2:$A$200,0))="","",INDEX('Test catalog'!$P$2:$P$200,MATCH($Y13,'Test catalog'!$A$2:$A$200,0))),"")</f>
        <v/>
      </c>
      <c r="S13" s="14" t="n"/>
      <c r="T13" s="5" t="n"/>
      <c r="U13" s="11">
        <f>IFERROR(IF(INDEX('Test catalog'!$Q$2:$Q$200,MATCH($Y13,'Test catalog'!$A$2:$A$200,0))="","",INDEX('Test catalog'!$Q$2:$Q$200,MATCH($Y13,'Test catalog'!$A$2:$A$200,0))),"")</f>
        <v/>
      </c>
      <c r="V13" s="5" t="n"/>
      <c r="W13" s="5" t="n"/>
      <c r="X13" s="5" t="n"/>
      <c r="Y13" s="5" t="inlineStr">
        <is>
          <t>ENUM</t>
        </is>
      </c>
      <c r="Z13" s="11" t="inlineStr">
        <is>
          <t>No micro test in USP-NF - set Y if your specification has one</t>
        </is>
      </c>
    </row>
    <row r="14">
      <c r="A14" s="11" t="inlineStr">
        <is>
          <t>Beet Root</t>
        </is>
      </c>
      <c r="B14" s="11" t="inlineStr">
        <is>
          <t>RM</t>
        </is>
      </c>
      <c r="C14" s="11" t="inlineStr">
        <is>
          <t>Active</t>
        </is>
      </c>
      <c r="D14" s="11" t="inlineStr">
        <is>
          <t>Microbial enumeration - TAMC + TYMC (&lt;61&gt; / &lt;2021&gt;)</t>
        </is>
      </c>
      <c r="E14" s="5" t="inlineStr">
        <is>
          <t>Y</t>
        </is>
      </c>
      <c r="F14" s="5" t="n"/>
      <c r="G14" s="11">
        <f>IFERROR(IF(INDEX('Test catalog'!$F$2:$F$200,MATCH($Y14,'Test catalog'!$A$2:$A$200,0))="","",INDEX('Test catalog'!$F$2:$F$200,MATCH($Y14,'Test catalog'!$A$2:$A$200,0))),"")</f>
        <v/>
      </c>
      <c r="H14" s="11">
        <f>IFERROR(IF(INDEX('Test catalog'!$G$2:$G$200,MATCH($Y14,'Test catalog'!$A$2:$A$200,0))="","",INDEX('Test catalog'!$G$2:$G$200,MATCH($Y14,'Test catalog'!$A$2:$A$200,0))),"")</f>
        <v/>
      </c>
      <c r="I14" s="11">
        <f>IFERROR(IF(INDEX('Test catalog'!$H$2:$H$200,MATCH($Y14,'Test catalog'!$A$2:$A$200,0))="","",INDEX('Test catalog'!$H$2:$H$200,MATCH($Y14,'Test catalog'!$A$2:$A$200,0))),"")</f>
        <v/>
      </c>
      <c r="J14" s="11">
        <f>IFERROR(IF(INDEX('Test catalog'!$I$2:$I$200,MATCH($Y14,'Test catalog'!$A$2:$A$200,0))="","",INDEX('Test catalog'!$I$2:$I$200,MATCH($Y14,'Test catalog'!$A$2:$A$200,0))),"")</f>
        <v/>
      </c>
      <c r="K14" s="13">
        <f>IF(I14="","",IF(OR(H14="",J14=""),I14,(H14+4*I14+J14)/6))</f>
        <v/>
      </c>
      <c r="L14" s="11">
        <f>IFERROR(IF(INDEX('Test catalog'!$J$2:$J$200,MATCH($Y14,'Test catalog'!$A$2:$A$200,0))="","",INDEX('Test catalog'!$J$2:$J$200,MATCH($Y14,'Test catalog'!$A$2:$A$200,0))),"")</f>
        <v/>
      </c>
      <c r="M14" s="11">
        <f>IFERROR(IF(INDEX('Test catalog'!$K$2:$K$200,MATCH($Y14,'Test catalog'!$A$2:$A$200,0))="","",INDEX('Test catalog'!$K$2:$K$200,MATCH($Y14,'Test catalog'!$A$2:$A$200,0))),"")</f>
        <v/>
      </c>
      <c r="N14" s="11">
        <f>IFERROR(IF(INDEX('Test catalog'!$L$2:$L$200,MATCH($Y14,'Test catalog'!$A$2:$A$200,0))="","",INDEX('Test catalog'!$L$2:$L$200,MATCH($Y14,'Test catalog'!$A$2:$A$200,0))),"")</f>
        <v/>
      </c>
      <c r="O14" s="11">
        <f>IFERROR(IF(INDEX('Test catalog'!$M$2:$M$200,MATCH($Y14,'Test catalog'!$A$2:$A$200,0))="","",INDEX('Test catalog'!$M$2:$M$200,MATCH($Y14,'Test catalog'!$A$2:$A$200,0))),"")</f>
        <v/>
      </c>
      <c r="P14" s="11">
        <f>IFERROR(IF(INDEX('Test catalog'!$N$2:$N$200,MATCH($Y14,'Test catalog'!$A$2:$A$200,0))="","",INDEX('Test catalog'!$N$2:$N$200,MATCH($Y14,'Test catalog'!$A$2:$A$200,0))),"")</f>
        <v/>
      </c>
      <c r="Q14" s="11">
        <f>IFERROR(IF(INDEX('Test catalog'!$O$2:$O$200,MATCH($Y14,'Test catalog'!$A$2:$A$200,0))="","",INDEX('Test catalog'!$O$2:$O$200,MATCH($Y14,'Test catalog'!$A$2:$A$200,0))),"")</f>
        <v/>
      </c>
      <c r="R14" s="11">
        <f>IFERROR(IF(INDEX('Test catalog'!$P$2:$P$200,MATCH($Y14,'Test catalog'!$A$2:$A$200,0))="","",INDEX('Test catalog'!$P$2:$P$200,MATCH($Y14,'Test catalog'!$A$2:$A$200,0))),"")</f>
        <v/>
      </c>
      <c r="S14" s="14" t="n"/>
      <c r="T14" s="5" t="n"/>
      <c r="U14" s="11">
        <f>IFERROR(IF(INDEX('Test catalog'!$Q$2:$Q$200,MATCH($Y14,'Test catalog'!$A$2:$A$200,0))="","",INDEX('Test catalog'!$Q$2:$Q$200,MATCH($Y14,'Test catalog'!$A$2:$A$200,0))),"")</f>
        <v/>
      </c>
      <c r="V14" s="5" t="n"/>
      <c r="W14" s="5" t="n"/>
      <c r="X14" s="5" t="n"/>
      <c r="Y14" s="5" t="inlineStr">
        <is>
          <t>ENUM</t>
        </is>
      </c>
      <c r="Z14" s="11" t="inlineStr">
        <is>
          <t>Natural origin, no USP-NF micro test - confirm (USP &lt;2023&gt;)</t>
        </is>
      </c>
    </row>
    <row r="15">
      <c r="A15" s="11" t="inlineStr">
        <is>
          <t>Beet Root</t>
        </is>
      </c>
      <c r="B15" s="11" t="inlineStr">
        <is>
          <t>RM</t>
        </is>
      </c>
      <c r="C15" s="11" t="inlineStr">
        <is>
          <t>Active</t>
        </is>
      </c>
      <c r="D15" s="11" t="inlineStr">
        <is>
          <t>Absence of Escherichia coli (&lt;62&gt; / &lt;2022&gt;)</t>
        </is>
      </c>
      <c r="E15" s="5" t="inlineStr">
        <is>
          <t>Y</t>
        </is>
      </c>
      <c r="F15" s="5" t="n"/>
      <c r="G15" s="11">
        <f>IFERROR(IF(INDEX('Test catalog'!$F$2:$F$200,MATCH($Y15,'Test catalog'!$A$2:$A$200,0))="","",INDEX('Test catalog'!$F$2:$F$200,MATCH($Y15,'Test catalog'!$A$2:$A$200,0))),"")</f>
        <v/>
      </c>
      <c r="H15" s="11">
        <f>IFERROR(IF(INDEX('Test catalog'!$G$2:$G$200,MATCH($Y15,'Test catalog'!$A$2:$A$200,0))="","",INDEX('Test catalog'!$G$2:$G$200,MATCH($Y15,'Test catalog'!$A$2:$A$200,0))),"")</f>
        <v/>
      </c>
      <c r="I15" s="11">
        <f>IFERROR(IF(INDEX('Test catalog'!$H$2:$H$200,MATCH($Y15,'Test catalog'!$A$2:$A$200,0))="","",INDEX('Test catalog'!$H$2:$H$200,MATCH($Y15,'Test catalog'!$A$2:$A$200,0))),"")</f>
        <v/>
      </c>
      <c r="J15" s="11">
        <f>IFERROR(IF(INDEX('Test catalog'!$I$2:$I$200,MATCH($Y15,'Test catalog'!$A$2:$A$200,0))="","",INDEX('Test catalog'!$I$2:$I$200,MATCH($Y15,'Test catalog'!$A$2:$A$200,0))),"")</f>
        <v/>
      </c>
      <c r="K15" s="13">
        <f>IF(I15="","",IF(OR(H15="",J15=""),I15,(H15+4*I15+J15)/6))</f>
        <v/>
      </c>
      <c r="L15" s="11">
        <f>IFERROR(IF(INDEX('Test catalog'!$J$2:$J$200,MATCH($Y15,'Test catalog'!$A$2:$A$200,0))="","",INDEX('Test catalog'!$J$2:$J$200,MATCH($Y15,'Test catalog'!$A$2:$A$200,0))),"")</f>
        <v/>
      </c>
      <c r="M15" s="11">
        <f>IFERROR(IF(INDEX('Test catalog'!$K$2:$K$200,MATCH($Y15,'Test catalog'!$A$2:$A$200,0))="","",INDEX('Test catalog'!$K$2:$K$200,MATCH($Y15,'Test catalog'!$A$2:$A$200,0))),"")</f>
        <v/>
      </c>
      <c r="N15" s="11">
        <f>IFERROR(IF(INDEX('Test catalog'!$L$2:$L$200,MATCH($Y15,'Test catalog'!$A$2:$A$200,0))="","",INDEX('Test catalog'!$L$2:$L$200,MATCH($Y15,'Test catalog'!$A$2:$A$200,0))),"")</f>
        <v/>
      </c>
      <c r="O15" s="11">
        <f>IFERROR(IF(INDEX('Test catalog'!$M$2:$M$200,MATCH($Y15,'Test catalog'!$A$2:$A$200,0))="","",INDEX('Test catalog'!$M$2:$M$200,MATCH($Y15,'Test catalog'!$A$2:$A$200,0))),"")</f>
        <v/>
      </c>
      <c r="P15" s="11">
        <f>IFERROR(IF(INDEX('Test catalog'!$N$2:$N$200,MATCH($Y15,'Test catalog'!$A$2:$A$200,0))="","",INDEX('Test catalog'!$N$2:$N$200,MATCH($Y15,'Test catalog'!$A$2:$A$200,0))),"")</f>
        <v/>
      </c>
      <c r="Q15" s="11">
        <f>IFERROR(IF(INDEX('Test catalog'!$O$2:$O$200,MATCH($Y15,'Test catalog'!$A$2:$A$200,0))="","",INDEX('Test catalog'!$O$2:$O$200,MATCH($Y15,'Test catalog'!$A$2:$A$200,0))),"")</f>
        <v/>
      </c>
      <c r="R15" s="11">
        <f>IFERROR(IF(INDEX('Test catalog'!$P$2:$P$200,MATCH($Y15,'Test catalog'!$A$2:$A$200,0))="","",INDEX('Test catalog'!$P$2:$P$200,MATCH($Y15,'Test catalog'!$A$2:$A$200,0))),"")</f>
        <v/>
      </c>
      <c r="S15" s="14" t="n"/>
      <c r="T15" s="5" t="n"/>
      <c r="U15" s="11">
        <f>IFERROR(IF(INDEX('Test catalog'!$Q$2:$Q$200,MATCH($Y15,'Test catalog'!$A$2:$A$200,0))="","",INDEX('Test catalog'!$Q$2:$Q$200,MATCH($Y15,'Test catalog'!$A$2:$A$200,0))),"")</f>
        <v/>
      </c>
      <c r="V15" s="5" t="n"/>
      <c r="W15" s="5" t="n"/>
      <c r="X15" s="5" t="n"/>
      <c r="Y15" s="5" t="inlineStr">
        <is>
          <t>ECOLI</t>
        </is>
      </c>
      <c r="Z15" s="11" t="inlineStr">
        <is>
          <t>Natural origin, no USP-NF micro test - confirm (USP &lt;2023&gt;)</t>
        </is>
      </c>
    </row>
    <row r="16">
      <c r="A16" s="11" t="inlineStr">
        <is>
          <t>Beet Root</t>
        </is>
      </c>
      <c r="B16" s="11" t="inlineStr">
        <is>
          <t>RM</t>
        </is>
      </c>
      <c r="C16" s="11" t="inlineStr">
        <is>
          <t>Active</t>
        </is>
      </c>
      <c r="D16" s="11" t="inlineStr">
        <is>
          <t>Absence of Salmonella (&lt;62&gt; / &lt;2022&gt;)</t>
        </is>
      </c>
      <c r="E16" s="5" t="inlineStr">
        <is>
          <t>Y</t>
        </is>
      </c>
      <c r="F16" s="5" t="n"/>
      <c r="G16" s="11">
        <f>IFERROR(IF(INDEX('Test catalog'!$F$2:$F$200,MATCH($Y16,'Test catalog'!$A$2:$A$200,0))="","",INDEX('Test catalog'!$F$2:$F$200,MATCH($Y16,'Test catalog'!$A$2:$A$200,0))),"")</f>
        <v/>
      </c>
      <c r="H16" s="11">
        <f>IFERROR(IF(INDEX('Test catalog'!$G$2:$G$200,MATCH($Y16,'Test catalog'!$A$2:$A$200,0))="","",INDEX('Test catalog'!$G$2:$G$200,MATCH($Y16,'Test catalog'!$A$2:$A$200,0))),"")</f>
        <v/>
      </c>
      <c r="I16" s="11">
        <f>IFERROR(IF(INDEX('Test catalog'!$H$2:$H$200,MATCH($Y16,'Test catalog'!$A$2:$A$200,0))="","",INDEX('Test catalog'!$H$2:$H$200,MATCH($Y16,'Test catalog'!$A$2:$A$200,0))),"")</f>
        <v/>
      </c>
      <c r="J16" s="11">
        <f>IFERROR(IF(INDEX('Test catalog'!$I$2:$I$200,MATCH($Y16,'Test catalog'!$A$2:$A$200,0))="","",INDEX('Test catalog'!$I$2:$I$200,MATCH($Y16,'Test catalog'!$A$2:$A$200,0))),"")</f>
        <v/>
      </c>
      <c r="K16" s="13">
        <f>IF(I16="","",IF(OR(H16="",J16=""),I16,(H16+4*I16+J16)/6))</f>
        <v/>
      </c>
      <c r="L16" s="11">
        <f>IFERROR(IF(INDEX('Test catalog'!$J$2:$J$200,MATCH($Y16,'Test catalog'!$A$2:$A$200,0))="","",INDEX('Test catalog'!$J$2:$J$200,MATCH($Y16,'Test catalog'!$A$2:$A$200,0))),"")</f>
        <v/>
      </c>
      <c r="M16" s="11">
        <f>IFERROR(IF(INDEX('Test catalog'!$K$2:$K$200,MATCH($Y16,'Test catalog'!$A$2:$A$200,0))="","",INDEX('Test catalog'!$K$2:$K$200,MATCH($Y16,'Test catalog'!$A$2:$A$200,0))),"")</f>
        <v/>
      </c>
      <c r="N16" s="11">
        <f>IFERROR(IF(INDEX('Test catalog'!$L$2:$L$200,MATCH($Y16,'Test catalog'!$A$2:$A$200,0))="","",INDEX('Test catalog'!$L$2:$L$200,MATCH($Y16,'Test catalog'!$A$2:$A$200,0))),"")</f>
        <v/>
      </c>
      <c r="O16" s="11">
        <f>IFERROR(IF(INDEX('Test catalog'!$M$2:$M$200,MATCH($Y16,'Test catalog'!$A$2:$A$200,0))="","",INDEX('Test catalog'!$M$2:$M$200,MATCH($Y16,'Test catalog'!$A$2:$A$200,0))),"")</f>
        <v/>
      </c>
      <c r="P16" s="11">
        <f>IFERROR(IF(INDEX('Test catalog'!$N$2:$N$200,MATCH($Y16,'Test catalog'!$A$2:$A$200,0))="","",INDEX('Test catalog'!$N$2:$N$200,MATCH($Y16,'Test catalog'!$A$2:$A$200,0))),"")</f>
        <v/>
      </c>
      <c r="Q16" s="11">
        <f>IFERROR(IF(INDEX('Test catalog'!$O$2:$O$200,MATCH($Y16,'Test catalog'!$A$2:$A$200,0))="","",INDEX('Test catalog'!$O$2:$O$200,MATCH($Y16,'Test catalog'!$A$2:$A$200,0))),"")</f>
        <v/>
      </c>
      <c r="R16" s="11">
        <f>IFERROR(IF(INDEX('Test catalog'!$P$2:$P$200,MATCH($Y16,'Test catalog'!$A$2:$A$200,0))="","",INDEX('Test catalog'!$P$2:$P$200,MATCH($Y16,'Test catalog'!$A$2:$A$200,0))),"")</f>
        <v/>
      </c>
      <c r="S16" s="14" t="n"/>
      <c r="T16" s="5" t="n"/>
      <c r="U16" s="11">
        <f>IFERROR(IF(INDEX('Test catalog'!$Q$2:$Q$200,MATCH($Y16,'Test catalog'!$A$2:$A$200,0))="","",INDEX('Test catalog'!$Q$2:$Q$200,MATCH($Y16,'Test catalog'!$A$2:$A$200,0))),"")</f>
        <v/>
      </c>
      <c r="V16" s="5" t="n"/>
      <c r="W16" s="5" t="n"/>
      <c r="X16" s="5" t="n"/>
      <c r="Y16" s="5" t="inlineStr">
        <is>
          <t>SALM</t>
        </is>
      </c>
      <c r="Z16" s="11" t="inlineStr">
        <is>
          <t>Natural origin, no USP-NF micro test - confirm (USP &lt;2023&gt;)</t>
        </is>
      </c>
    </row>
    <row r="17">
      <c r="A17" s="11" t="inlineStr">
        <is>
          <t>Bempedoic Acid</t>
        </is>
      </c>
      <c r="B17" s="11" t="inlineStr">
        <is>
          <t>RM</t>
        </is>
      </c>
      <c r="C17" s="11" t="inlineStr">
        <is>
          <t>Active</t>
        </is>
      </c>
      <c r="D17" s="11" t="inlineStr">
        <is>
          <t>Microbial enumeration - TAMC + TYMC (&lt;61&gt; / &lt;2021&gt;)</t>
        </is>
      </c>
      <c r="E17" s="5" t="inlineStr">
        <is>
          <t>N</t>
        </is>
      </c>
      <c r="F17" s="5" t="n"/>
      <c r="G17" s="11">
        <f>IFERROR(IF(INDEX('Test catalog'!$F$2:$F$200,MATCH($Y17,'Test catalog'!$A$2:$A$200,0))="","",INDEX('Test catalog'!$F$2:$F$200,MATCH($Y17,'Test catalog'!$A$2:$A$200,0))),"")</f>
        <v/>
      </c>
      <c r="H17" s="11">
        <f>IFERROR(IF(INDEX('Test catalog'!$G$2:$G$200,MATCH($Y17,'Test catalog'!$A$2:$A$200,0))="","",INDEX('Test catalog'!$G$2:$G$200,MATCH($Y17,'Test catalog'!$A$2:$A$200,0))),"")</f>
        <v/>
      </c>
      <c r="I17" s="11">
        <f>IFERROR(IF(INDEX('Test catalog'!$H$2:$H$200,MATCH($Y17,'Test catalog'!$A$2:$A$200,0))="","",INDEX('Test catalog'!$H$2:$H$200,MATCH($Y17,'Test catalog'!$A$2:$A$200,0))),"")</f>
        <v/>
      </c>
      <c r="J17" s="11">
        <f>IFERROR(IF(INDEX('Test catalog'!$I$2:$I$200,MATCH($Y17,'Test catalog'!$A$2:$A$200,0))="","",INDEX('Test catalog'!$I$2:$I$200,MATCH($Y17,'Test catalog'!$A$2:$A$200,0))),"")</f>
        <v/>
      </c>
      <c r="K17" s="13">
        <f>IF(I17="","",IF(OR(H17="",J17=""),I17,(H17+4*I17+J17)/6))</f>
        <v/>
      </c>
      <c r="L17" s="11">
        <f>IFERROR(IF(INDEX('Test catalog'!$J$2:$J$200,MATCH($Y17,'Test catalog'!$A$2:$A$200,0))="","",INDEX('Test catalog'!$J$2:$J$200,MATCH($Y17,'Test catalog'!$A$2:$A$200,0))),"")</f>
        <v/>
      </c>
      <c r="M17" s="11">
        <f>IFERROR(IF(INDEX('Test catalog'!$K$2:$K$200,MATCH($Y17,'Test catalog'!$A$2:$A$200,0))="","",INDEX('Test catalog'!$K$2:$K$200,MATCH($Y17,'Test catalog'!$A$2:$A$200,0))),"")</f>
        <v/>
      </c>
      <c r="N17" s="11">
        <f>IFERROR(IF(INDEX('Test catalog'!$L$2:$L$200,MATCH($Y17,'Test catalog'!$A$2:$A$200,0))="","",INDEX('Test catalog'!$L$2:$L$200,MATCH($Y17,'Test catalog'!$A$2:$A$200,0))),"")</f>
        <v/>
      </c>
      <c r="O17" s="11">
        <f>IFERROR(IF(INDEX('Test catalog'!$M$2:$M$200,MATCH($Y17,'Test catalog'!$A$2:$A$200,0))="","",INDEX('Test catalog'!$M$2:$M$200,MATCH($Y17,'Test catalog'!$A$2:$A$200,0))),"")</f>
        <v/>
      </c>
      <c r="P17" s="11">
        <f>IFERROR(IF(INDEX('Test catalog'!$N$2:$N$200,MATCH($Y17,'Test catalog'!$A$2:$A$200,0))="","",INDEX('Test catalog'!$N$2:$N$200,MATCH($Y17,'Test catalog'!$A$2:$A$200,0))),"")</f>
        <v/>
      </c>
      <c r="Q17" s="11">
        <f>IFERROR(IF(INDEX('Test catalog'!$O$2:$O$200,MATCH($Y17,'Test catalog'!$A$2:$A$200,0))="","",INDEX('Test catalog'!$O$2:$O$200,MATCH($Y17,'Test catalog'!$A$2:$A$200,0))),"")</f>
        <v/>
      </c>
      <c r="R17" s="11">
        <f>IFERROR(IF(INDEX('Test catalog'!$P$2:$P$200,MATCH($Y17,'Test catalog'!$A$2:$A$200,0))="","",INDEX('Test catalog'!$P$2:$P$200,MATCH($Y17,'Test catalog'!$A$2:$A$200,0))),"")</f>
        <v/>
      </c>
      <c r="S17" s="14" t="n"/>
      <c r="T17" s="5" t="n"/>
      <c r="U17" s="11">
        <f>IFERROR(IF(INDEX('Test catalog'!$Q$2:$Q$200,MATCH($Y17,'Test catalog'!$A$2:$A$200,0))="","",INDEX('Test catalog'!$Q$2:$Q$200,MATCH($Y17,'Test catalog'!$A$2:$A$200,0))),"")</f>
        <v/>
      </c>
      <c r="V17" s="5" t="n"/>
      <c r="W17" s="5" t="n"/>
      <c r="X17" s="5" t="n"/>
      <c r="Y17" s="5" t="inlineStr">
        <is>
          <t>ENUM</t>
        </is>
      </c>
      <c r="Z17" s="11" t="inlineStr">
        <is>
          <t>No micro test in USP-NF - set Y if your specification has one</t>
        </is>
      </c>
    </row>
    <row r="18">
      <c r="A18" s="11" t="inlineStr">
        <is>
          <t>Beta-Carotene</t>
        </is>
      </c>
      <c r="B18" s="11" t="inlineStr">
        <is>
          <t>RM</t>
        </is>
      </c>
      <c r="C18" s="11" t="inlineStr">
        <is>
          <t>Active</t>
        </is>
      </c>
      <c r="D18" s="11" t="inlineStr">
        <is>
          <t>Microbial enumeration - TAMC + TYMC (&lt;61&gt; / &lt;2021&gt;)</t>
        </is>
      </c>
      <c r="E18" s="5" t="inlineStr">
        <is>
          <t>N</t>
        </is>
      </c>
      <c r="F18" s="5" t="n"/>
      <c r="G18" s="11">
        <f>IFERROR(IF(INDEX('Test catalog'!$F$2:$F$200,MATCH($Y18,'Test catalog'!$A$2:$A$200,0))="","",INDEX('Test catalog'!$F$2:$F$200,MATCH($Y18,'Test catalog'!$A$2:$A$200,0))),"")</f>
        <v/>
      </c>
      <c r="H18" s="11">
        <f>IFERROR(IF(INDEX('Test catalog'!$G$2:$G$200,MATCH($Y18,'Test catalog'!$A$2:$A$200,0))="","",INDEX('Test catalog'!$G$2:$G$200,MATCH($Y18,'Test catalog'!$A$2:$A$200,0))),"")</f>
        <v/>
      </c>
      <c r="I18" s="11">
        <f>IFERROR(IF(INDEX('Test catalog'!$H$2:$H$200,MATCH($Y18,'Test catalog'!$A$2:$A$200,0))="","",INDEX('Test catalog'!$H$2:$H$200,MATCH($Y18,'Test catalog'!$A$2:$A$200,0))),"")</f>
        <v/>
      </c>
      <c r="J18" s="11">
        <f>IFERROR(IF(INDEX('Test catalog'!$I$2:$I$200,MATCH($Y18,'Test catalog'!$A$2:$A$200,0))="","",INDEX('Test catalog'!$I$2:$I$200,MATCH($Y18,'Test catalog'!$A$2:$A$200,0))),"")</f>
        <v/>
      </c>
      <c r="K18" s="13">
        <f>IF(I18="","",IF(OR(H18="",J18=""),I18,(H18+4*I18+J18)/6))</f>
        <v/>
      </c>
      <c r="L18" s="11">
        <f>IFERROR(IF(INDEX('Test catalog'!$J$2:$J$200,MATCH($Y18,'Test catalog'!$A$2:$A$200,0))="","",INDEX('Test catalog'!$J$2:$J$200,MATCH($Y18,'Test catalog'!$A$2:$A$200,0))),"")</f>
        <v/>
      </c>
      <c r="M18" s="11">
        <f>IFERROR(IF(INDEX('Test catalog'!$K$2:$K$200,MATCH($Y18,'Test catalog'!$A$2:$A$200,0))="","",INDEX('Test catalog'!$K$2:$K$200,MATCH($Y18,'Test catalog'!$A$2:$A$200,0))),"")</f>
        <v/>
      </c>
      <c r="N18" s="11">
        <f>IFERROR(IF(INDEX('Test catalog'!$L$2:$L$200,MATCH($Y18,'Test catalog'!$A$2:$A$200,0))="","",INDEX('Test catalog'!$L$2:$L$200,MATCH($Y18,'Test catalog'!$A$2:$A$200,0))),"")</f>
        <v/>
      </c>
      <c r="O18" s="11">
        <f>IFERROR(IF(INDEX('Test catalog'!$M$2:$M$200,MATCH($Y18,'Test catalog'!$A$2:$A$200,0))="","",INDEX('Test catalog'!$M$2:$M$200,MATCH($Y18,'Test catalog'!$A$2:$A$200,0))),"")</f>
        <v/>
      </c>
      <c r="P18" s="11">
        <f>IFERROR(IF(INDEX('Test catalog'!$N$2:$N$200,MATCH($Y18,'Test catalog'!$A$2:$A$200,0))="","",INDEX('Test catalog'!$N$2:$N$200,MATCH($Y18,'Test catalog'!$A$2:$A$200,0))),"")</f>
        <v/>
      </c>
      <c r="Q18" s="11">
        <f>IFERROR(IF(INDEX('Test catalog'!$O$2:$O$200,MATCH($Y18,'Test catalog'!$A$2:$A$200,0))="","",INDEX('Test catalog'!$O$2:$O$200,MATCH($Y18,'Test catalog'!$A$2:$A$200,0))),"")</f>
        <v/>
      </c>
      <c r="R18" s="11">
        <f>IFERROR(IF(INDEX('Test catalog'!$P$2:$P$200,MATCH($Y18,'Test catalog'!$A$2:$A$200,0))="","",INDEX('Test catalog'!$P$2:$P$200,MATCH($Y18,'Test catalog'!$A$2:$A$200,0))),"")</f>
        <v/>
      </c>
      <c r="S18" s="14" t="n"/>
      <c r="T18" s="5" t="n"/>
      <c r="U18" s="11">
        <f>IFERROR(IF(INDEX('Test catalog'!$Q$2:$Q$200,MATCH($Y18,'Test catalog'!$A$2:$A$200,0))="","",INDEX('Test catalog'!$Q$2:$Q$200,MATCH($Y18,'Test catalog'!$A$2:$A$200,0))),"")</f>
        <v/>
      </c>
      <c r="V18" s="5" t="n"/>
      <c r="W18" s="5" t="n"/>
      <c r="X18" s="5" t="n"/>
      <c r="Y18" s="5" t="inlineStr">
        <is>
          <t>ENUM</t>
        </is>
      </c>
      <c r="Z18" s="11" t="inlineStr">
        <is>
          <t>No micro test in USP-NF - set Y if your specification has one</t>
        </is>
      </c>
    </row>
    <row r="19">
      <c r="A19" s="11" t="inlineStr">
        <is>
          <t>Biotin (Vitamin B7)</t>
        </is>
      </c>
      <c r="B19" s="11" t="inlineStr">
        <is>
          <t>RM</t>
        </is>
      </c>
      <c r="C19" s="11" t="inlineStr">
        <is>
          <t>Active</t>
        </is>
      </c>
      <c r="D19" s="11" t="inlineStr">
        <is>
          <t>Microbial enumeration - TAMC + TYMC (&lt;61&gt; / &lt;2021&gt;)</t>
        </is>
      </c>
      <c r="E19" s="5" t="inlineStr">
        <is>
          <t>N</t>
        </is>
      </c>
      <c r="F19" s="5" t="n"/>
      <c r="G19" s="11">
        <f>IFERROR(IF(INDEX('Test catalog'!$F$2:$F$200,MATCH($Y19,'Test catalog'!$A$2:$A$200,0))="","",INDEX('Test catalog'!$F$2:$F$200,MATCH($Y19,'Test catalog'!$A$2:$A$200,0))),"")</f>
        <v/>
      </c>
      <c r="H19" s="11">
        <f>IFERROR(IF(INDEX('Test catalog'!$G$2:$G$200,MATCH($Y19,'Test catalog'!$A$2:$A$200,0))="","",INDEX('Test catalog'!$G$2:$G$200,MATCH($Y19,'Test catalog'!$A$2:$A$200,0))),"")</f>
        <v/>
      </c>
      <c r="I19" s="11">
        <f>IFERROR(IF(INDEX('Test catalog'!$H$2:$H$200,MATCH($Y19,'Test catalog'!$A$2:$A$200,0))="","",INDEX('Test catalog'!$H$2:$H$200,MATCH($Y19,'Test catalog'!$A$2:$A$200,0))),"")</f>
        <v/>
      </c>
      <c r="J19" s="11">
        <f>IFERROR(IF(INDEX('Test catalog'!$I$2:$I$200,MATCH($Y19,'Test catalog'!$A$2:$A$200,0))="","",INDEX('Test catalog'!$I$2:$I$200,MATCH($Y19,'Test catalog'!$A$2:$A$200,0))),"")</f>
        <v/>
      </c>
      <c r="K19" s="13">
        <f>IF(I19="","",IF(OR(H19="",J19=""),I19,(H19+4*I19+J19)/6))</f>
        <v/>
      </c>
      <c r="L19" s="11">
        <f>IFERROR(IF(INDEX('Test catalog'!$J$2:$J$200,MATCH($Y19,'Test catalog'!$A$2:$A$200,0))="","",INDEX('Test catalog'!$J$2:$J$200,MATCH($Y19,'Test catalog'!$A$2:$A$200,0))),"")</f>
        <v/>
      </c>
      <c r="M19" s="11">
        <f>IFERROR(IF(INDEX('Test catalog'!$K$2:$K$200,MATCH($Y19,'Test catalog'!$A$2:$A$200,0))="","",INDEX('Test catalog'!$K$2:$K$200,MATCH($Y19,'Test catalog'!$A$2:$A$200,0))),"")</f>
        <v/>
      </c>
      <c r="N19" s="11">
        <f>IFERROR(IF(INDEX('Test catalog'!$L$2:$L$200,MATCH($Y19,'Test catalog'!$A$2:$A$200,0))="","",INDEX('Test catalog'!$L$2:$L$200,MATCH($Y19,'Test catalog'!$A$2:$A$200,0))),"")</f>
        <v/>
      </c>
      <c r="O19" s="11">
        <f>IFERROR(IF(INDEX('Test catalog'!$M$2:$M$200,MATCH($Y19,'Test catalog'!$A$2:$A$200,0))="","",INDEX('Test catalog'!$M$2:$M$200,MATCH($Y19,'Test catalog'!$A$2:$A$200,0))),"")</f>
        <v/>
      </c>
      <c r="P19" s="11">
        <f>IFERROR(IF(INDEX('Test catalog'!$N$2:$N$200,MATCH($Y19,'Test catalog'!$A$2:$A$200,0))="","",INDEX('Test catalog'!$N$2:$N$200,MATCH($Y19,'Test catalog'!$A$2:$A$200,0))),"")</f>
        <v/>
      </c>
      <c r="Q19" s="11">
        <f>IFERROR(IF(INDEX('Test catalog'!$O$2:$O$200,MATCH($Y19,'Test catalog'!$A$2:$A$200,0))="","",INDEX('Test catalog'!$O$2:$O$200,MATCH($Y19,'Test catalog'!$A$2:$A$200,0))),"")</f>
        <v/>
      </c>
      <c r="R19" s="11">
        <f>IFERROR(IF(INDEX('Test catalog'!$P$2:$P$200,MATCH($Y19,'Test catalog'!$A$2:$A$200,0))="","",INDEX('Test catalog'!$P$2:$P$200,MATCH($Y19,'Test catalog'!$A$2:$A$200,0))),"")</f>
        <v/>
      </c>
      <c r="S19" s="14" t="n"/>
      <c r="T19" s="5" t="n"/>
      <c r="U19" s="11">
        <f>IFERROR(IF(INDEX('Test catalog'!$Q$2:$Q$200,MATCH($Y19,'Test catalog'!$A$2:$A$200,0))="","",INDEX('Test catalog'!$Q$2:$Q$200,MATCH($Y19,'Test catalog'!$A$2:$A$200,0))),"")</f>
        <v/>
      </c>
      <c r="V19" s="5" t="n"/>
      <c r="W19" s="5" t="n"/>
      <c r="X19" s="5" t="n"/>
      <c r="Y19" s="5" t="inlineStr">
        <is>
          <t>ENUM</t>
        </is>
      </c>
      <c r="Z19" s="11" t="inlineStr">
        <is>
          <t>No micro test in USP-NF - set Y if your specification has one</t>
        </is>
      </c>
    </row>
    <row r="20">
      <c r="A20" s="11" t="inlineStr">
        <is>
          <t>Borax</t>
        </is>
      </c>
      <c r="B20" s="11" t="inlineStr">
        <is>
          <t>RM</t>
        </is>
      </c>
      <c r="C20" s="11" t="inlineStr">
        <is>
          <t>Active</t>
        </is>
      </c>
      <c r="D20" s="11" t="inlineStr">
        <is>
          <t>Microbial enumeration - TAMC + TYMC (&lt;61&gt; / &lt;2021&gt;)</t>
        </is>
      </c>
      <c r="E20" s="5" t="inlineStr">
        <is>
          <t>N</t>
        </is>
      </c>
      <c r="F20" s="5" t="n"/>
      <c r="G20" s="11">
        <f>IFERROR(IF(INDEX('Test catalog'!$F$2:$F$200,MATCH($Y20,'Test catalog'!$A$2:$A$200,0))="","",INDEX('Test catalog'!$F$2:$F$200,MATCH($Y20,'Test catalog'!$A$2:$A$200,0))),"")</f>
        <v/>
      </c>
      <c r="H20" s="11">
        <f>IFERROR(IF(INDEX('Test catalog'!$G$2:$G$200,MATCH($Y20,'Test catalog'!$A$2:$A$200,0))="","",INDEX('Test catalog'!$G$2:$G$200,MATCH($Y20,'Test catalog'!$A$2:$A$200,0))),"")</f>
        <v/>
      </c>
      <c r="I20" s="11">
        <f>IFERROR(IF(INDEX('Test catalog'!$H$2:$H$200,MATCH($Y20,'Test catalog'!$A$2:$A$200,0))="","",INDEX('Test catalog'!$H$2:$H$200,MATCH($Y20,'Test catalog'!$A$2:$A$200,0))),"")</f>
        <v/>
      </c>
      <c r="J20" s="11">
        <f>IFERROR(IF(INDEX('Test catalog'!$I$2:$I$200,MATCH($Y20,'Test catalog'!$A$2:$A$200,0))="","",INDEX('Test catalog'!$I$2:$I$200,MATCH($Y20,'Test catalog'!$A$2:$A$200,0))),"")</f>
        <v/>
      </c>
      <c r="K20" s="13">
        <f>IF(I20="","",IF(OR(H20="",J20=""),I20,(H20+4*I20+J20)/6))</f>
        <v/>
      </c>
      <c r="L20" s="11">
        <f>IFERROR(IF(INDEX('Test catalog'!$J$2:$J$200,MATCH($Y20,'Test catalog'!$A$2:$A$200,0))="","",INDEX('Test catalog'!$J$2:$J$200,MATCH($Y20,'Test catalog'!$A$2:$A$200,0))),"")</f>
        <v/>
      </c>
      <c r="M20" s="11">
        <f>IFERROR(IF(INDEX('Test catalog'!$K$2:$K$200,MATCH($Y20,'Test catalog'!$A$2:$A$200,0))="","",INDEX('Test catalog'!$K$2:$K$200,MATCH($Y20,'Test catalog'!$A$2:$A$200,0))),"")</f>
        <v/>
      </c>
      <c r="N20" s="11">
        <f>IFERROR(IF(INDEX('Test catalog'!$L$2:$L$200,MATCH($Y20,'Test catalog'!$A$2:$A$200,0))="","",INDEX('Test catalog'!$L$2:$L$200,MATCH($Y20,'Test catalog'!$A$2:$A$200,0))),"")</f>
        <v/>
      </c>
      <c r="O20" s="11">
        <f>IFERROR(IF(INDEX('Test catalog'!$M$2:$M$200,MATCH($Y20,'Test catalog'!$A$2:$A$200,0))="","",INDEX('Test catalog'!$M$2:$M$200,MATCH($Y20,'Test catalog'!$A$2:$A$200,0))),"")</f>
        <v/>
      </c>
      <c r="P20" s="11">
        <f>IFERROR(IF(INDEX('Test catalog'!$N$2:$N$200,MATCH($Y20,'Test catalog'!$A$2:$A$200,0))="","",INDEX('Test catalog'!$N$2:$N$200,MATCH($Y20,'Test catalog'!$A$2:$A$200,0))),"")</f>
        <v/>
      </c>
      <c r="Q20" s="11">
        <f>IFERROR(IF(INDEX('Test catalog'!$O$2:$O$200,MATCH($Y20,'Test catalog'!$A$2:$A$200,0))="","",INDEX('Test catalog'!$O$2:$O$200,MATCH($Y20,'Test catalog'!$A$2:$A$200,0))),"")</f>
        <v/>
      </c>
      <c r="R20" s="11">
        <f>IFERROR(IF(INDEX('Test catalog'!$P$2:$P$200,MATCH($Y20,'Test catalog'!$A$2:$A$200,0))="","",INDEX('Test catalog'!$P$2:$P$200,MATCH($Y20,'Test catalog'!$A$2:$A$200,0))),"")</f>
        <v/>
      </c>
      <c r="S20" s="14" t="n"/>
      <c r="T20" s="5" t="n"/>
      <c r="U20" s="11">
        <f>IFERROR(IF(INDEX('Test catalog'!$Q$2:$Q$200,MATCH($Y20,'Test catalog'!$A$2:$A$200,0))="","",INDEX('Test catalog'!$Q$2:$Q$200,MATCH($Y20,'Test catalog'!$A$2:$A$200,0))),"")</f>
        <v/>
      </c>
      <c r="V20" s="5" t="n"/>
      <c r="W20" s="5" t="n"/>
      <c r="X20" s="5" t="n"/>
      <c r="Y20" s="5" t="inlineStr">
        <is>
          <t>ENUM</t>
        </is>
      </c>
      <c r="Z20" s="11" t="inlineStr">
        <is>
          <t>No micro test in USP-NF - set Y if your specification has one</t>
        </is>
      </c>
    </row>
    <row r="21">
      <c r="A21" s="11" t="inlineStr">
        <is>
          <t>Caffeine (Base)</t>
        </is>
      </c>
      <c r="B21" s="11" t="inlineStr">
        <is>
          <t>RM</t>
        </is>
      </c>
      <c r="C21" s="11" t="inlineStr">
        <is>
          <t>Active</t>
        </is>
      </c>
      <c r="D21" s="11" t="inlineStr">
        <is>
          <t>Microbial enumeration - TAMC + TYMC (&lt;61&gt; / &lt;2021&gt;)</t>
        </is>
      </c>
      <c r="E21" s="5" t="inlineStr">
        <is>
          <t>N</t>
        </is>
      </c>
      <c r="F21" s="5" t="n"/>
      <c r="G21" s="11">
        <f>IFERROR(IF(INDEX('Test catalog'!$F$2:$F$200,MATCH($Y21,'Test catalog'!$A$2:$A$200,0))="","",INDEX('Test catalog'!$F$2:$F$200,MATCH($Y21,'Test catalog'!$A$2:$A$200,0))),"")</f>
        <v/>
      </c>
      <c r="H21" s="11">
        <f>IFERROR(IF(INDEX('Test catalog'!$G$2:$G$200,MATCH($Y21,'Test catalog'!$A$2:$A$200,0))="","",INDEX('Test catalog'!$G$2:$G$200,MATCH($Y21,'Test catalog'!$A$2:$A$200,0))),"")</f>
        <v/>
      </c>
      <c r="I21" s="11">
        <f>IFERROR(IF(INDEX('Test catalog'!$H$2:$H$200,MATCH($Y21,'Test catalog'!$A$2:$A$200,0))="","",INDEX('Test catalog'!$H$2:$H$200,MATCH($Y21,'Test catalog'!$A$2:$A$200,0))),"")</f>
        <v/>
      </c>
      <c r="J21" s="11">
        <f>IFERROR(IF(INDEX('Test catalog'!$I$2:$I$200,MATCH($Y21,'Test catalog'!$A$2:$A$200,0))="","",INDEX('Test catalog'!$I$2:$I$200,MATCH($Y21,'Test catalog'!$A$2:$A$200,0))),"")</f>
        <v/>
      </c>
      <c r="K21" s="13">
        <f>IF(I21="","",IF(OR(H21="",J21=""),I21,(H21+4*I21+J21)/6))</f>
        <v/>
      </c>
      <c r="L21" s="11">
        <f>IFERROR(IF(INDEX('Test catalog'!$J$2:$J$200,MATCH($Y21,'Test catalog'!$A$2:$A$200,0))="","",INDEX('Test catalog'!$J$2:$J$200,MATCH($Y21,'Test catalog'!$A$2:$A$200,0))),"")</f>
        <v/>
      </c>
      <c r="M21" s="11">
        <f>IFERROR(IF(INDEX('Test catalog'!$K$2:$K$200,MATCH($Y21,'Test catalog'!$A$2:$A$200,0))="","",INDEX('Test catalog'!$K$2:$K$200,MATCH($Y21,'Test catalog'!$A$2:$A$200,0))),"")</f>
        <v/>
      </c>
      <c r="N21" s="11">
        <f>IFERROR(IF(INDEX('Test catalog'!$L$2:$L$200,MATCH($Y21,'Test catalog'!$A$2:$A$200,0))="","",INDEX('Test catalog'!$L$2:$L$200,MATCH($Y21,'Test catalog'!$A$2:$A$200,0))),"")</f>
        <v/>
      </c>
      <c r="O21" s="11">
        <f>IFERROR(IF(INDEX('Test catalog'!$M$2:$M$200,MATCH($Y21,'Test catalog'!$A$2:$A$200,0))="","",INDEX('Test catalog'!$M$2:$M$200,MATCH($Y21,'Test catalog'!$A$2:$A$200,0))),"")</f>
        <v/>
      </c>
      <c r="P21" s="11">
        <f>IFERROR(IF(INDEX('Test catalog'!$N$2:$N$200,MATCH($Y21,'Test catalog'!$A$2:$A$200,0))="","",INDEX('Test catalog'!$N$2:$N$200,MATCH($Y21,'Test catalog'!$A$2:$A$200,0))),"")</f>
        <v/>
      </c>
      <c r="Q21" s="11">
        <f>IFERROR(IF(INDEX('Test catalog'!$O$2:$O$200,MATCH($Y21,'Test catalog'!$A$2:$A$200,0))="","",INDEX('Test catalog'!$O$2:$O$200,MATCH($Y21,'Test catalog'!$A$2:$A$200,0))),"")</f>
        <v/>
      </c>
      <c r="R21" s="11">
        <f>IFERROR(IF(INDEX('Test catalog'!$P$2:$P$200,MATCH($Y21,'Test catalog'!$A$2:$A$200,0))="","",INDEX('Test catalog'!$P$2:$P$200,MATCH($Y21,'Test catalog'!$A$2:$A$200,0))),"")</f>
        <v/>
      </c>
      <c r="S21" s="14" t="n"/>
      <c r="T21" s="5" t="n"/>
      <c r="U21" s="11">
        <f>IFERROR(IF(INDEX('Test catalog'!$Q$2:$Q$200,MATCH($Y21,'Test catalog'!$A$2:$A$200,0))="","",INDEX('Test catalog'!$Q$2:$Q$200,MATCH($Y21,'Test catalog'!$A$2:$A$200,0))),"")</f>
        <v/>
      </c>
      <c r="V21" s="5" t="n"/>
      <c r="W21" s="5" t="n"/>
      <c r="X21" s="5" t="n"/>
      <c r="Y21" s="5" t="inlineStr">
        <is>
          <t>ENUM</t>
        </is>
      </c>
      <c r="Z21" s="11" t="inlineStr">
        <is>
          <t>No micro test in USP-NF - set Y if your specification has one</t>
        </is>
      </c>
    </row>
    <row r="22">
      <c r="A22" s="11" t="inlineStr">
        <is>
          <t>Calcium Carbonate</t>
        </is>
      </c>
      <c r="B22" s="11" t="inlineStr">
        <is>
          <t>RM</t>
        </is>
      </c>
      <c r="C22" s="11" t="inlineStr">
        <is>
          <t>Active</t>
        </is>
      </c>
      <c r="D22" s="11" t="inlineStr">
        <is>
          <t>Microbial enumeration - TAMC + TYMC (&lt;61&gt; / &lt;2021&gt;)</t>
        </is>
      </c>
      <c r="E22" s="5" t="inlineStr">
        <is>
          <t>N</t>
        </is>
      </c>
      <c r="F22" s="5" t="n"/>
      <c r="G22" s="11">
        <f>IFERROR(IF(INDEX('Test catalog'!$F$2:$F$200,MATCH($Y22,'Test catalog'!$A$2:$A$200,0))="","",INDEX('Test catalog'!$F$2:$F$200,MATCH($Y22,'Test catalog'!$A$2:$A$200,0))),"")</f>
        <v/>
      </c>
      <c r="H22" s="11">
        <f>IFERROR(IF(INDEX('Test catalog'!$G$2:$G$200,MATCH($Y22,'Test catalog'!$A$2:$A$200,0))="","",INDEX('Test catalog'!$G$2:$G$200,MATCH($Y22,'Test catalog'!$A$2:$A$200,0))),"")</f>
        <v/>
      </c>
      <c r="I22" s="11">
        <f>IFERROR(IF(INDEX('Test catalog'!$H$2:$H$200,MATCH($Y22,'Test catalog'!$A$2:$A$200,0))="","",INDEX('Test catalog'!$H$2:$H$200,MATCH($Y22,'Test catalog'!$A$2:$A$200,0))),"")</f>
        <v/>
      </c>
      <c r="J22" s="11">
        <f>IFERROR(IF(INDEX('Test catalog'!$I$2:$I$200,MATCH($Y22,'Test catalog'!$A$2:$A$200,0))="","",INDEX('Test catalog'!$I$2:$I$200,MATCH($Y22,'Test catalog'!$A$2:$A$200,0))),"")</f>
        <v/>
      </c>
      <c r="K22" s="13">
        <f>IF(I22="","",IF(OR(H22="",J22=""),I22,(H22+4*I22+J22)/6))</f>
        <v/>
      </c>
      <c r="L22" s="11">
        <f>IFERROR(IF(INDEX('Test catalog'!$J$2:$J$200,MATCH($Y22,'Test catalog'!$A$2:$A$200,0))="","",INDEX('Test catalog'!$J$2:$J$200,MATCH($Y22,'Test catalog'!$A$2:$A$200,0))),"")</f>
        <v/>
      </c>
      <c r="M22" s="11">
        <f>IFERROR(IF(INDEX('Test catalog'!$K$2:$K$200,MATCH($Y22,'Test catalog'!$A$2:$A$200,0))="","",INDEX('Test catalog'!$K$2:$K$200,MATCH($Y22,'Test catalog'!$A$2:$A$200,0))),"")</f>
        <v/>
      </c>
      <c r="N22" s="11">
        <f>IFERROR(IF(INDEX('Test catalog'!$L$2:$L$200,MATCH($Y22,'Test catalog'!$A$2:$A$200,0))="","",INDEX('Test catalog'!$L$2:$L$200,MATCH($Y22,'Test catalog'!$A$2:$A$200,0))),"")</f>
        <v/>
      </c>
      <c r="O22" s="11">
        <f>IFERROR(IF(INDEX('Test catalog'!$M$2:$M$200,MATCH($Y22,'Test catalog'!$A$2:$A$200,0))="","",INDEX('Test catalog'!$M$2:$M$200,MATCH($Y22,'Test catalog'!$A$2:$A$200,0))),"")</f>
        <v/>
      </c>
      <c r="P22" s="11">
        <f>IFERROR(IF(INDEX('Test catalog'!$N$2:$N$200,MATCH($Y22,'Test catalog'!$A$2:$A$200,0))="","",INDEX('Test catalog'!$N$2:$N$200,MATCH($Y22,'Test catalog'!$A$2:$A$200,0))),"")</f>
        <v/>
      </c>
      <c r="Q22" s="11">
        <f>IFERROR(IF(INDEX('Test catalog'!$O$2:$O$200,MATCH($Y22,'Test catalog'!$A$2:$A$200,0))="","",INDEX('Test catalog'!$O$2:$O$200,MATCH($Y22,'Test catalog'!$A$2:$A$200,0))),"")</f>
        <v/>
      </c>
      <c r="R22" s="11">
        <f>IFERROR(IF(INDEX('Test catalog'!$P$2:$P$200,MATCH($Y22,'Test catalog'!$A$2:$A$200,0))="","",INDEX('Test catalog'!$P$2:$P$200,MATCH($Y22,'Test catalog'!$A$2:$A$200,0))),"")</f>
        <v/>
      </c>
      <c r="S22" s="14" t="n"/>
      <c r="T22" s="5" t="n"/>
      <c r="U22" s="11">
        <f>IFERROR(IF(INDEX('Test catalog'!$Q$2:$Q$200,MATCH($Y22,'Test catalog'!$A$2:$A$200,0))="","",INDEX('Test catalog'!$Q$2:$Q$200,MATCH($Y22,'Test catalog'!$A$2:$A$200,0))),"")</f>
        <v/>
      </c>
      <c r="V22" s="5" t="n"/>
      <c r="W22" s="5" t="n"/>
      <c r="X22" s="5" t="n"/>
      <c r="Y22" s="5" t="inlineStr">
        <is>
          <t>ENUM</t>
        </is>
      </c>
      <c r="Z22" s="11" t="inlineStr">
        <is>
          <t>No micro test in USP-NF - set Y if your specification has one</t>
        </is>
      </c>
    </row>
    <row r="23">
      <c r="A23" s="11" t="inlineStr">
        <is>
          <t>Calcium Carbonate Heavy</t>
        </is>
      </c>
      <c r="B23" s="11" t="inlineStr">
        <is>
          <t>RM</t>
        </is>
      </c>
      <c r="C23" s="11" t="inlineStr">
        <is>
          <t>Active</t>
        </is>
      </c>
      <c r="D23" s="11" t="inlineStr">
        <is>
          <t>Microbial enumeration - TAMC + TYMC (&lt;61&gt; / &lt;2021&gt;)</t>
        </is>
      </c>
      <c r="E23" s="5" t="inlineStr">
        <is>
          <t>N</t>
        </is>
      </c>
      <c r="F23" s="5" t="n"/>
      <c r="G23" s="11">
        <f>IFERROR(IF(INDEX('Test catalog'!$F$2:$F$200,MATCH($Y23,'Test catalog'!$A$2:$A$200,0))="","",INDEX('Test catalog'!$F$2:$F$200,MATCH($Y23,'Test catalog'!$A$2:$A$200,0))),"")</f>
        <v/>
      </c>
      <c r="H23" s="11">
        <f>IFERROR(IF(INDEX('Test catalog'!$G$2:$G$200,MATCH($Y23,'Test catalog'!$A$2:$A$200,0))="","",INDEX('Test catalog'!$G$2:$G$200,MATCH($Y23,'Test catalog'!$A$2:$A$200,0))),"")</f>
        <v/>
      </c>
      <c r="I23" s="11">
        <f>IFERROR(IF(INDEX('Test catalog'!$H$2:$H$200,MATCH($Y23,'Test catalog'!$A$2:$A$200,0))="","",INDEX('Test catalog'!$H$2:$H$200,MATCH($Y23,'Test catalog'!$A$2:$A$200,0))),"")</f>
        <v/>
      </c>
      <c r="J23" s="11">
        <f>IFERROR(IF(INDEX('Test catalog'!$I$2:$I$200,MATCH($Y23,'Test catalog'!$A$2:$A$200,0))="","",INDEX('Test catalog'!$I$2:$I$200,MATCH($Y23,'Test catalog'!$A$2:$A$200,0))),"")</f>
        <v/>
      </c>
      <c r="K23" s="13">
        <f>IF(I23="","",IF(OR(H23="",J23=""),I23,(H23+4*I23+J23)/6))</f>
        <v/>
      </c>
      <c r="L23" s="11">
        <f>IFERROR(IF(INDEX('Test catalog'!$J$2:$J$200,MATCH($Y23,'Test catalog'!$A$2:$A$200,0))="","",INDEX('Test catalog'!$J$2:$J$200,MATCH($Y23,'Test catalog'!$A$2:$A$200,0))),"")</f>
        <v/>
      </c>
      <c r="M23" s="11">
        <f>IFERROR(IF(INDEX('Test catalog'!$K$2:$K$200,MATCH($Y23,'Test catalog'!$A$2:$A$200,0))="","",INDEX('Test catalog'!$K$2:$K$200,MATCH($Y23,'Test catalog'!$A$2:$A$200,0))),"")</f>
        <v/>
      </c>
      <c r="N23" s="11">
        <f>IFERROR(IF(INDEX('Test catalog'!$L$2:$L$200,MATCH($Y23,'Test catalog'!$A$2:$A$200,0))="","",INDEX('Test catalog'!$L$2:$L$200,MATCH($Y23,'Test catalog'!$A$2:$A$200,0))),"")</f>
        <v/>
      </c>
      <c r="O23" s="11">
        <f>IFERROR(IF(INDEX('Test catalog'!$M$2:$M$200,MATCH($Y23,'Test catalog'!$A$2:$A$200,0))="","",INDEX('Test catalog'!$M$2:$M$200,MATCH($Y23,'Test catalog'!$A$2:$A$200,0))),"")</f>
        <v/>
      </c>
      <c r="P23" s="11">
        <f>IFERROR(IF(INDEX('Test catalog'!$N$2:$N$200,MATCH($Y23,'Test catalog'!$A$2:$A$200,0))="","",INDEX('Test catalog'!$N$2:$N$200,MATCH($Y23,'Test catalog'!$A$2:$A$200,0))),"")</f>
        <v/>
      </c>
      <c r="Q23" s="11">
        <f>IFERROR(IF(INDEX('Test catalog'!$O$2:$O$200,MATCH($Y23,'Test catalog'!$A$2:$A$200,0))="","",INDEX('Test catalog'!$O$2:$O$200,MATCH($Y23,'Test catalog'!$A$2:$A$200,0))),"")</f>
        <v/>
      </c>
      <c r="R23" s="11">
        <f>IFERROR(IF(INDEX('Test catalog'!$P$2:$P$200,MATCH($Y23,'Test catalog'!$A$2:$A$200,0))="","",INDEX('Test catalog'!$P$2:$P$200,MATCH($Y23,'Test catalog'!$A$2:$A$200,0))),"")</f>
        <v/>
      </c>
      <c r="S23" s="14" t="n"/>
      <c r="T23" s="5" t="n"/>
      <c r="U23" s="11">
        <f>IFERROR(IF(INDEX('Test catalog'!$Q$2:$Q$200,MATCH($Y23,'Test catalog'!$A$2:$A$200,0))="","",INDEX('Test catalog'!$Q$2:$Q$200,MATCH($Y23,'Test catalog'!$A$2:$A$200,0))),"")</f>
        <v/>
      </c>
      <c r="V23" s="5" t="n"/>
      <c r="W23" s="5" t="n"/>
      <c r="X23" s="5" t="n"/>
      <c r="Y23" s="5" t="inlineStr">
        <is>
          <t>ENUM</t>
        </is>
      </c>
      <c r="Z23" s="11" t="inlineStr">
        <is>
          <t>No micro test in USP-NF - set Y if your specification has one</t>
        </is>
      </c>
    </row>
    <row r="24">
      <c r="A24" s="11" t="inlineStr">
        <is>
          <t>Calcium Pantothenate (Vitamin B5)</t>
        </is>
      </c>
      <c r="B24" s="11" t="inlineStr">
        <is>
          <t>RM</t>
        </is>
      </c>
      <c r="C24" s="11" t="inlineStr">
        <is>
          <t>Active</t>
        </is>
      </c>
      <c r="D24" s="11" t="inlineStr">
        <is>
          <t>Microbial enumeration - TAMC + TYMC (&lt;61&gt; / &lt;2021&gt;)</t>
        </is>
      </c>
      <c r="E24" s="5" t="inlineStr">
        <is>
          <t>N</t>
        </is>
      </c>
      <c r="F24" s="5" t="n"/>
      <c r="G24" s="11">
        <f>IFERROR(IF(INDEX('Test catalog'!$F$2:$F$200,MATCH($Y24,'Test catalog'!$A$2:$A$200,0))="","",INDEX('Test catalog'!$F$2:$F$200,MATCH($Y24,'Test catalog'!$A$2:$A$200,0))),"")</f>
        <v/>
      </c>
      <c r="H24" s="11">
        <f>IFERROR(IF(INDEX('Test catalog'!$G$2:$G$200,MATCH($Y24,'Test catalog'!$A$2:$A$200,0))="","",INDEX('Test catalog'!$G$2:$G$200,MATCH($Y24,'Test catalog'!$A$2:$A$200,0))),"")</f>
        <v/>
      </c>
      <c r="I24" s="11">
        <f>IFERROR(IF(INDEX('Test catalog'!$H$2:$H$200,MATCH($Y24,'Test catalog'!$A$2:$A$200,0))="","",INDEX('Test catalog'!$H$2:$H$200,MATCH($Y24,'Test catalog'!$A$2:$A$200,0))),"")</f>
        <v/>
      </c>
      <c r="J24" s="11">
        <f>IFERROR(IF(INDEX('Test catalog'!$I$2:$I$200,MATCH($Y24,'Test catalog'!$A$2:$A$200,0))="","",INDEX('Test catalog'!$I$2:$I$200,MATCH($Y24,'Test catalog'!$A$2:$A$200,0))),"")</f>
        <v/>
      </c>
      <c r="K24" s="13">
        <f>IF(I24="","",IF(OR(H24="",J24=""),I24,(H24+4*I24+J24)/6))</f>
        <v/>
      </c>
      <c r="L24" s="11">
        <f>IFERROR(IF(INDEX('Test catalog'!$J$2:$J$200,MATCH($Y24,'Test catalog'!$A$2:$A$200,0))="","",INDEX('Test catalog'!$J$2:$J$200,MATCH($Y24,'Test catalog'!$A$2:$A$200,0))),"")</f>
        <v/>
      </c>
      <c r="M24" s="11">
        <f>IFERROR(IF(INDEX('Test catalog'!$K$2:$K$200,MATCH($Y24,'Test catalog'!$A$2:$A$200,0))="","",INDEX('Test catalog'!$K$2:$K$200,MATCH($Y24,'Test catalog'!$A$2:$A$200,0))),"")</f>
        <v/>
      </c>
      <c r="N24" s="11">
        <f>IFERROR(IF(INDEX('Test catalog'!$L$2:$L$200,MATCH($Y24,'Test catalog'!$A$2:$A$200,0))="","",INDEX('Test catalog'!$L$2:$L$200,MATCH($Y24,'Test catalog'!$A$2:$A$200,0))),"")</f>
        <v/>
      </c>
      <c r="O24" s="11">
        <f>IFERROR(IF(INDEX('Test catalog'!$M$2:$M$200,MATCH($Y24,'Test catalog'!$A$2:$A$200,0))="","",INDEX('Test catalog'!$M$2:$M$200,MATCH($Y24,'Test catalog'!$A$2:$A$200,0))),"")</f>
        <v/>
      </c>
      <c r="P24" s="11">
        <f>IFERROR(IF(INDEX('Test catalog'!$N$2:$N$200,MATCH($Y24,'Test catalog'!$A$2:$A$200,0))="","",INDEX('Test catalog'!$N$2:$N$200,MATCH($Y24,'Test catalog'!$A$2:$A$200,0))),"")</f>
        <v/>
      </c>
      <c r="Q24" s="11">
        <f>IFERROR(IF(INDEX('Test catalog'!$O$2:$O$200,MATCH($Y24,'Test catalog'!$A$2:$A$200,0))="","",INDEX('Test catalog'!$O$2:$O$200,MATCH($Y24,'Test catalog'!$A$2:$A$200,0))),"")</f>
        <v/>
      </c>
      <c r="R24" s="11">
        <f>IFERROR(IF(INDEX('Test catalog'!$P$2:$P$200,MATCH($Y24,'Test catalog'!$A$2:$A$200,0))="","",INDEX('Test catalog'!$P$2:$P$200,MATCH($Y24,'Test catalog'!$A$2:$A$200,0))),"")</f>
        <v/>
      </c>
      <c r="S24" s="14" t="n"/>
      <c r="T24" s="5" t="n"/>
      <c r="U24" s="11">
        <f>IFERROR(IF(INDEX('Test catalog'!$Q$2:$Q$200,MATCH($Y24,'Test catalog'!$A$2:$A$200,0))="","",INDEX('Test catalog'!$Q$2:$Q$200,MATCH($Y24,'Test catalog'!$A$2:$A$200,0))),"")</f>
        <v/>
      </c>
      <c r="V24" s="5" t="n"/>
      <c r="W24" s="5" t="n"/>
      <c r="X24" s="5" t="n"/>
      <c r="Y24" s="5" t="inlineStr">
        <is>
          <t>ENUM</t>
        </is>
      </c>
      <c r="Z24" s="11" t="inlineStr">
        <is>
          <t>No micro test in USP-NF - set Y if your specification has one</t>
        </is>
      </c>
    </row>
    <row r="25">
      <c r="A25" s="11" t="inlineStr">
        <is>
          <t>Choline Bitartrate</t>
        </is>
      </c>
      <c r="B25" s="11" t="inlineStr">
        <is>
          <t>RM</t>
        </is>
      </c>
      <c r="C25" s="11" t="inlineStr">
        <is>
          <t>Active</t>
        </is>
      </c>
      <c r="D25" s="11" t="inlineStr">
        <is>
          <t>Microbial enumeration - TAMC + TYMC (&lt;61&gt; / &lt;2021&gt;)</t>
        </is>
      </c>
      <c r="E25" s="5" t="inlineStr">
        <is>
          <t>N</t>
        </is>
      </c>
      <c r="F25" s="5" t="n"/>
      <c r="G25" s="11">
        <f>IFERROR(IF(INDEX('Test catalog'!$F$2:$F$200,MATCH($Y25,'Test catalog'!$A$2:$A$200,0))="","",INDEX('Test catalog'!$F$2:$F$200,MATCH($Y25,'Test catalog'!$A$2:$A$200,0))),"")</f>
        <v/>
      </c>
      <c r="H25" s="11">
        <f>IFERROR(IF(INDEX('Test catalog'!$G$2:$G$200,MATCH($Y25,'Test catalog'!$A$2:$A$200,0))="","",INDEX('Test catalog'!$G$2:$G$200,MATCH($Y25,'Test catalog'!$A$2:$A$200,0))),"")</f>
        <v/>
      </c>
      <c r="I25" s="11">
        <f>IFERROR(IF(INDEX('Test catalog'!$H$2:$H$200,MATCH($Y25,'Test catalog'!$A$2:$A$200,0))="","",INDEX('Test catalog'!$H$2:$H$200,MATCH($Y25,'Test catalog'!$A$2:$A$200,0))),"")</f>
        <v/>
      </c>
      <c r="J25" s="11">
        <f>IFERROR(IF(INDEX('Test catalog'!$I$2:$I$200,MATCH($Y25,'Test catalog'!$A$2:$A$200,0))="","",INDEX('Test catalog'!$I$2:$I$200,MATCH($Y25,'Test catalog'!$A$2:$A$200,0))),"")</f>
        <v/>
      </c>
      <c r="K25" s="13">
        <f>IF(I25="","",IF(OR(H25="",J25=""),I25,(H25+4*I25+J25)/6))</f>
        <v/>
      </c>
      <c r="L25" s="11">
        <f>IFERROR(IF(INDEX('Test catalog'!$J$2:$J$200,MATCH($Y25,'Test catalog'!$A$2:$A$200,0))="","",INDEX('Test catalog'!$J$2:$J$200,MATCH($Y25,'Test catalog'!$A$2:$A$200,0))),"")</f>
        <v/>
      </c>
      <c r="M25" s="11">
        <f>IFERROR(IF(INDEX('Test catalog'!$K$2:$K$200,MATCH($Y25,'Test catalog'!$A$2:$A$200,0))="","",INDEX('Test catalog'!$K$2:$K$200,MATCH($Y25,'Test catalog'!$A$2:$A$200,0))),"")</f>
        <v/>
      </c>
      <c r="N25" s="11">
        <f>IFERROR(IF(INDEX('Test catalog'!$L$2:$L$200,MATCH($Y25,'Test catalog'!$A$2:$A$200,0))="","",INDEX('Test catalog'!$L$2:$L$200,MATCH($Y25,'Test catalog'!$A$2:$A$200,0))),"")</f>
        <v/>
      </c>
      <c r="O25" s="11">
        <f>IFERROR(IF(INDEX('Test catalog'!$M$2:$M$200,MATCH($Y25,'Test catalog'!$A$2:$A$200,0))="","",INDEX('Test catalog'!$M$2:$M$200,MATCH($Y25,'Test catalog'!$A$2:$A$200,0))),"")</f>
        <v/>
      </c>
      <c r="P25" s="11">
        <f>IFERROR(IF(INDEX('Test catalog'!$N$2:$N$200,MATCH($Y25,'Test catalog'!$A$2:$A$200,0))="","",INDEX('Test catalog'!$N$2:$N$200,MATCH($Y25,'Test catalog'!$A$2:$A$200,0))),"")</f>
        <v/>
      </c>
      <c r="Q25" s="11">
        <f>IFERROR(IF(INDEX('Test catalog'!$O$2:$O$200,MATCH($Y25,'Test catalog'!$A$2:$A$200,0))="","",INDEX('Test catalog'!$O$2:$O$200,MATCH($Y25,'Test catalog'!$A$2:$A$200,0))),"")</f>
        <v/>
      </c>
      <c r="R25" s="11">
        <f>IFERROR(IF(INDEX('Test catalog'!$P$2:$P$200,MATCH($Y25,'Test catalog'!$A$2:$A$200,0))="","",INDEX('Test catalog'!$P$2:$P$200,MATCH($Y25,'Test catalog'!$A$2:$A$200,0))),"")</f>
        <v/>
      </c>
      <c r="S25" s="14" t="n"/>
      <c r="T25" s="5" t="n"/>
      <c r="U25" s="11">
        <f>IFERROR(IF(INDEX('Test catalog'!$Q$2:$Q$200,MATCH($Y25,'Test catalog'!$A$2:$A$200,0))="","",INDEX('Test catalog'!$Q$2:$Q$200,MATCH($Y25,'Test catalog'!$A$2:$A$200,0))),"")</f>
        <v/>
      </c>
      <c r="V25" s="5" t="n"/>
      <c r="W25" s="5" t="n"/>
      <c r="X25" s="5" t="n"/>
      <c r="Y25" s="5" t="inlineStr">
        <is>
          <t>ENUM</t>
        </is>
      </c>
      <c r="Z25" s="11" t="inlineStr">
        <is>
          <t>No micro test in USP-NF - set Y if your specification has one</t>
        </is>
      </c>
    </row>
    <row r="26">
      <c r="A26" s="11" t="inlineStr">
        <is>
          <t>Chromium Picolinate</t>
        </is>
      </c>
      <c r="B26" s="11" t="inlineStr">
        <is>
          <t>RM</t>
        </is>
      </c>
      <c r="C26" s="11" t="inlineStr">
        <is>
          <t>Active</t>
        </is>
      </c>
      <c r="D26" s="11" t="inlineStr">
        <is>
          <t>Microbial enumeration - TAMC + TYMC (&lt;61&gt; / &lt;2021&gt;)</t>
        </is>
      </c>
      <c r="E26" s="5" t="inlineStr">
        <is>
          <t>N</t>
        </is>
      </c>
      <c r="F26" s="5" t="n"/>
      <c r="G26" s="11">
        <f>IFERROR(IF(INDEX('Test catalog'!$F$2:$F$200,MATCH($Y26,'Test catalog'!$A$2:$A$200,0))="","",INDEX('Test catalog'!$F$2:$F$200,MATCH($Y26,'Test catalog'!$A$2:$A$200,0))),"")</f>
        <v/>
      </c>
      <c r="H26" s="11">
        <f>IFERROR(IF(INDEX('Test catalog'!$G$2:$G$200,MATCH($Y26,'Test catalog'!$A$2:$A$200,0))="","",INDEX('Test catalog'!$G$2:$G$200,MATCH($Y26,'Test catalog'!$A$2:$A$200,0))),"")</f>
        <v/>
      </c>
      <c r="I26" s="11">
        <f>IFERROR(IF(INDEX('Test catalog'!$H$2:$H$200,MATCH($Y26,'Test catalog'!$A$2:$A$200,0))="","",INDEX('Test catalog'!$H$2:$H$200,MATCH($Y26,'Test catalog'!$A$2:$A$200,0))),"")</f>
        <v/>
      </c>
      <c r="J26" s="11">
        <f>IFERROR(IF(INDEX('Test catalog'!$I$2:$I$200,MATCH($Y26,'Test catalog'!$A$2:$A$200,0))="","",INDEX('Test catalog'!$I$2:$I$200,MATCH($Y26,'Test catalog'!$A$2:$A$200,0))),"")</f>
        <v/>
      </c>
      <c r="K26" s="13">
        <f>IF(I26="","",IF(OR(H26="",J26=""),I26,(H26+4*I26+J26)/6))</f>
        <v/>
      </c>
      <c r="L26" s="11">
        <f>IFERROR(IF(INDEX('Test catalog'!$J$2:$J$200,MATCH($Y26,'Test catalog'!$A$2:$A$200,0))="","",INDEX('Test catalog'!$J$2:$J$200,MATCH($Y26,'Test catalog'!$A$2:$A$200,0))),"")</f>
        <v/>
      </c>
      <c r="M26" s="11">
        <f>IFERROR(IF(INDEX('Test catalog'!$K$2:$K$200,MATCH($Y26,'Test catalog'!$A$2:$A$200,0))="","",INDEX('Test catalog'!$K$2:$K$200,MATCH($Y26,'Test catalog'!$A$2:$A$200,0))),"")</f>
        <v/>
      </c>
      <c r="N26" s="11">
        <f>IFERROR(IF(INDEX('Test catalog'!$L$2:$L$200,MATCH($Y26,'Test catalog'!$A$2:$A$200,0))="","",INDEX('Test catalog'!$L$2:$L$200,MATCH($Y26,'Test catalog'!$A$2:$A$200,0))),"")</f>
        <v/>
      </c>
      <c r="O26" s="11">
        <f>IFERROR(IF(INDEX('Test catalog'!$M$2:$M$200,MATCH($Y26,'Test catalog'!$A$2:$A$200,0))="","",INDEX('Test catalog'!$M$2:$M$200,MATCH($Y26,'Test catalog'!$A$2:$A$200,0))),"")</f>
        <v/>
      </c>
      <c r="P26" s="11">
        <f>IFERROR(IF(INDEX('Test catalog'!$N$2:$N$200,MATCH($Y26,'Test catalog'!$A$2:$A$200,0))="","",INDEX('Test catalog'!$N$2:$N$200,MATCH($Y26,'Test catalog'!$A$2:$A$200,0))),"")</f>
        <v/>
      </c>
      <c r="Q26" s="11">
        <f>IFERROR(IF(INDEX('Test catalog'!$O$2:$O$200,MATCH($Y26,'Test catalog'!$A$2:$A$200,0))="","",INDEX('Test catalog'!$O$2:$O$200,MATCH($Y26,'Test catalog'!$A$2:$A$200,0))),"")</f>
        <v/>
      </c>
      <c r="R26" s="11">
        <f>IFERROR(IF(INDEX('Test catalog'!$P$2:$P$200,MATCH($Y26,'Test catalog'!$A$2:$A$200,0))="","",INDEX('Test catalog'!$P$2:$P$200,MATCH($Y26,'Test catalog'!$A$2:$A$200,0))),"")</f>
        <v/>
      </c>
      <c r="S26" s="14" t="n"/>
      <c r="T26" s="5" t="n"/>
      <c r="U26" s="11">
        <f>IFERROR(IF(INDEX('Test catalog'!$Q$2:$Q$200,MATCH($Y26,'Test catalog'!$A$2:$A$200,0))="","",INDEX('Test catalog'!$Q$2:$Q$200,MATCH($Y26,'Test catalog'!$A$2:$A$200,0))),"")</f>
        <v/>
      </c>
      <c r="V26" s="5" t="n"/>
      <c r="W26" s="5" t="n"/>
      <c r="X26" s="5" t="n"/>
      <c r="Y26" s="5" t="inlineStr">
        <is>
          <t>ENUM</t>
        </is>
      </c>
      <c r="Z26" s="11" t="inlineStr">
        <is>
          <t>No micro test in USP-NF - set Y if your specification has one</t>
        </is>
      </c>
    </row>
    <row r="27">
      <c r="A27" s="11" t="inlineStr">
        <is>
          <t>Citicoline Sodium</t>
        </is>
      </c>
      <c r="B27" s="11" t="inlineStr">
        <is>
          <t>RM</t>
        </is>
      </c>
      <c r="C27" s="11" t="inlineStr">
        <is>
          <t>Active</t>
        </is>
      </c>
      <c r="D27" s="11" t="inlineStr">
        <is>
          <t>Microbial enumeration - TAMC + TYMC (&lt;61&gt; / &lt;2021&gt;)</t>
        </is>
      </c>
      <c r="E27" s="5" t="inlineStr">
        <is>
          <t>N</t>
        </is>
      </c>
      <c r="F27" s="5" t="n"/>
      <c r="G27" s="11">
        <f>IFERROR(IF(INDEX('Test catalog'!$F$2:$F$200,MATCH($Y27,'Test catalog'!$A$2:$A$200,0))="","",INDEX('Test catalog'!$F$2:$F$200,MATCH($Y27,'Test catalog'!$A$2:$A$200,0))),"")</f>
        <v/>
      </c>
      <c r="H27" s="11">
        <f>IFERROR(IF(INDEX('Test catalog'!$G$2:$G$200,MATCH($Y27,'Test catalog'!$A$2:$A$200,0))="","",INDEX('Test catalog'!$G$2:$G$200,MATCH($Y27,'Test catalog'!$A$2:$A$200,0))),"")</f>
        <v/>
      </c>
      <c r="I27" s="11">
        <f>IFERROR(IF(INDEX('Test catalog'!$H$2:$H$200,MATCH($Y27,'Test catalog'!$A$2:$A$200,0))="","",INDEX('Test catalog'!$H$2:$H$200,MATCH($Y27,'Test catalog'!$A$2:$A$200,0))),"")</f>
        <v/>
      </c>
      <c r="J27" s="11">
        <f>IFERROR(IF(INDEX('Test catalog'!$I$2:$I$200,MATCH($Y27,'Test catalog'!$A$2:$A$200,0))="","",INDEX('Test catalog'!$I$2:$I$200,MATCH($Y27,'Test catalog'!$A$2:$A$200,0))),"")</f>
        <v/>
      </c>
      <c r="K27" s="13">
        <f>IF(I27="","",IF(OR(H27="",J27=""),I27,(H27+4*I27+J27)/6))</f>
        <v/>
      </c>
      <c r="L27" s="11">
        <f>IFERROR(IF(INDEX('Test catalog'!$J$2:$J$200,MATCH($Y27,'Test catalog'!$A$2:$A$200,0))="","",INDEX('Test catalog'!$J$2:$J$200,MATCH($Y27,'Test catalog'!$A$2:$A$200,0))),"")</f>
        <v/>
      </c>
      <c r="M27" s="11">
        <f>IFERROR(IF(INDEX('Test catalog'!$K$2:$K$200,MATCH($Y27,'Test catalog'!$A$2:$A$200,0))="","",INDEX('Test catalog'!$K$2:$K$200,MATCH($Y27,'Test catalog'!$A$2:$A$200,0))),"")</f>
        <v/>
      </c>
      <c r="N27" s="11">
        <f>IFERROR(IF(INDEX('Test catalog'!$L$2:$L$200,MATCH($Y27,'Test catalog'!$A$2:$A$200,0))="","",INDEX('Test catalog'!$L$2:$L$200,MATCH($Y27,'Test catalog'!$A$2:$A$200,0))),"")</f>
        <v/>
      </c>
      <c r="O27" s="11">
        <f>IFERROR(IF(INDEX('Test catalog'!$M$2:$M$200,MATCH($Y27,'Test catalog'!$A$2:$A$200,0))="","",INDEX('Test catalog'!$M$2:$M$200,MATCH($Y27,'Test catalog'!$A$2:$A$200,0))),"")</f>
        <v/>
      </c>
      <c r="P27" s="11">
        <f>IFERROR(IF(INDEX('Test catalog'!$N$2:$N$200,MATCH($Y27,'Test catalog'!$A$2:$A$200,0))="","",INDEX('Test catalog'!$N$2:$N$200,MATCH($Y27,'Test catalog'!$A$2:$A$200,0))),"")</f>
        <v/>
      </c>
      <c r="Q27" s="11">
        <f>IFERROR(IF(INDEX('Test catalog'!$O$2:$O$200,MATCH($Y27,'Test catalog'!$A$2:$A$200,0))="","",INDEX('Test catalog'!$O$2:$O$200,MATCH($Y27,'Test catalog'!$A$2:$A$200,0))),"")</f>
        <v/>
      </c>
      <c r="R27" s="11">
        <f>IFERROR(IF(INDEX('Test catalog'!$P$2:$P$200,MATCH($Y27,'Test catalog'!$A$2:$A$200,0))="","",INDEX('Test catalog'!$P$2:$P$200,MATCH($Y27,'Test catalog'!$A$2:$A$200,0))),"")</f>
        <v/>
      </c>
      <c r="S27" s="14" t="n"/>
      <c r="T27" s="5" t="n"/>
      <c r="U27" s="11">
        <f>IFERROR(IF(INDEX('Test catalog'!$Q$2:$Q$200,MATCH($Y27,'Test catalog'!$A$2:$A$200,0))="","",INDEX('Test catalog'!$Q$2:$Q$200,MATCH($Y27,'Test catalog'!$A$2:$A$200,0))),"")</f>
        <v/>
      </c>
      <c r="V27" s="5" t="n"/>
      <c r="W27" s="5" t="n"/>
      <c r="X27" s="5" t="n"/>
      <c r="Y27" s="5" t="inlineStr">
        <is>
          <t>ENUM</t>
        </is>
      </c>
      <c r="Z27" s="11" t="inlineStr">
        <is>
          <t>No micro test in USP-NF - set Y if your specification has one</t>
        </is>
      </c>
    </row>
    <row r="28">
      <c r="A28" s="11" t="inlineStr">
        <is>
          <t>Coleus Forskohlii Root Dry Extract 10:1</t>
        </is>
      </c>
      <c r="B28" s="11" t="inlineStr">
        <is>
          <t>RM</t>
        </is>
      </c>
      <c r="C28" s="11" t="inlineStr">
        <is>
          <t>Active</t>
        </is>
      </c>
      <c r="D28" s="11" t="inlineStr">
        <is>
          <t>Microbial enumeration - TAMC + TYMC (&lt;61&gt; / &lt;2021&gt;)</t>
        </is>
      </c>
      <c r="E28" s="5" t="inlineStr">
        <is>
          <t>Y</t>
        </is>
      </c>
      <c r="F28" s="5" t="n"/>
      <c r="G28" s="11">
        <f>IFERROR(IF(INDEX('Test catalog'!$F$2:$F$200,MATCH($Y28,'Test catalog'!$A$2:$A$200,0))="","",INDEX('Test catalog'!$F$2:$F$200,MATCH($Y28,'Test catalog'!$A$2:$A$200,0))),"")</f>
        <v/>
      </c>
      <c r="H28" s="11">
        <f>IFERROR(IF(INDEX('Test catalog'!$G$2:$G$200,MATCH($Y28,'Test catalog'!$A$2:$A$200,0))="","",INDEX('Test catalog'!$G$2:$G$200,MATCH($Y28,'Test catalog'!$A$2:$A$200,0))),"")</f>
        <v/>
      </c>
      <c r="I28" s="11">
        <f>IFERROR(IF(INDEX('Test catalog'!$H$2:$H$200,MATCH($Y28,'Test catalog'!$A$2:$A$200,0))="","",INDEX('Test catalog'!$H$2:$H$200,MATCH($Y28,'Test catalog'!$A$2:$A$200,0))),"")</f>
        <v/>
      </c>
      <c r="J28" s="11">
        <f>IFERROR(IF(INDEX('Test catalog'!$I$2:$I$200,MATCH($Y28,'Test catalog'!$A$2:$A$200,0))="","",INDEX('Test catalog'!$I$2:$I$200,MATCH($Y28,'Test catalog'!$A$2:$A$200,0))),"")</f>
        <v/>
      </c>
      <c r="K28" s="13">
        <f>IF(I28="","",IF(OR(H28="",J28=""),I28,(H28+4*I28+J28)/6))</f>
        <v/>
      </c>
      <c r="L28" s="11">
        <f>IFERROR(IF(INDEX('Test catalog'!$J$2:$J$200,MATCH($Y28,'Test catalog'!$A$2:$A$200,0))="","",INDEX('Test catalog'!$J$2:$J$200,MATCH($Y28,'Test catalog'!$A$2:$A$200,0))),"")</f>
        <v/>
      </c>
      <c r="M28" s="11">
        <f>IFERROR(IF(INDEX('Test catalog'!$K$2:$K$200,MATCH($Y28,'Test catalog'!$A$2:$A$200,0))="","",INDEX('Test catalog'!$K$2:$K$200,MATCH($Y28,'Test catalog'!$A$2:$A$200,0))),"")</f>
        <v/>
      </c>
      <c r="N28" s="11">
        <f>IFERROR(IF(INDEX('Test catalog'!$L$2:$L$200,MATCH($Y28,'Test catalog'!$A$2:$A$200,0))="","",INDEX('Test catalog'!$L$2:$L$200,MATCH($Y28,'Test catalog'!$A$2:$A$200,0))),"")</f>
        <v/>
      </c>
      <c r="O28" s="11">
        <f>IFERROR(IF(INDEX('Test catalog'!$M$2:$M$200,MATCH($Y28,'Test catalog'!$A$2:$A$200,0))="","",INDEX('Test catalog'!$M$2:$M$200,MATCH($Y28,'Test catalog'!$A$2:$A$200,0))),"")</f>
        <v/>
      </c>
      <c r="P28" s="11">
        <f>IFERROR(IF(INDEX('Test catalog'!$N$2:$N$200,MATCH($Y28,'Test catalog'!$A$2:$A$200,0))="","",INDEX('Test catalog'!$N$2:$N$200,MATCH($Y28,'Test catalog'!$A$2:$A$200,0))),"")</f>
        <v/>
      </c>
      <c r="Q28" s="11">
        <f>IFERROR(IF(INDEX('Test catalog'!$O$2:$O$200,MATCH($Y28,'Test catalog'!$A$2:$A$200,0))="","",INDEX('Test catalog'!$O$2:$O$200,MATCH($Y28,'Test catalog'!$A$2:$A$200,0))),"")</f>
        <v/>
      </c>
      <c r="R28" s="11">
        <f>IFERROR(IF(INDEX('Test catalog'!$P$2:$P$200,MATCH($Y28,'Test catalog'!$A$2:$A$200,0))="","",INDEX('Test catalog'!$P$2:$P$200,MATCH($Y28,'Test catalog'!$A$2:$A$200,0))),"")</f>
        <v/>
      </c>
      <c r="S28" s="14" t="n"/>
      <c r="T28" s="5" t="n"/>
      <c r="U28" s="11">
        <f>IFERROR(IF(INDEX('Test catalog'!$Q$2:$Q$200,MATCH($Y28,'Test catalog'!$A$2:$A$200,0))="","",INDEX('Test catalog'!$Q$2:$Q$200,MATCH($Y28,'Test catalog'!$A$2:$A$200,0))),"")</f>
        <v/>
      </c>
      <c r="V28" s="5" t="n"/>
      <c r="W28" s="5" t="n"/>
      <c r="X28" s="5" t="n"/>
      <c r="Y28" s="5" t="inlineStr">
        <is>
          <t>ENUM</t>
        </is>
      </c>
      <c r="Z28" s="11" t="inlineStr">
        <is>
          <t>USP-NF monograph &lt;2021&gt;</t>
        </is>
      </c>
    </row>
    <row r="29">
      <c r="A29" s="11" t="inlineStr">
        <is>
          <t>Coleus Forskohlii Root Dry Extract 10:1</t>
        </is>
      </c>
      <c r="B29" s="11" t="inlineStr">
        <is>
          <t>RM</t>
        </is>
      </c>
      <c r="C29" s="11" t="inlineStr">
        <is>
          <t>Active</t>
        </is>
      </c>
      <c r="D29" s="11" t="inlineStr">
        <is>
          <t>Absence of Escherichia coli (&lt;62&gt; / &lt;2022&gt;)</t>
        </is>
      </c>
      <c r="E29" s="5" t="inlineStr">
        <is>
          <t>Y</t>
        </is>
      </c>
      <c r="F29" s="5" t="n"/>
      <c r="G29" s="11">
        <f>IFERROR(IF(INDEX('Test catalog'!$F$2:$F$200,MATCH($Y29,'Test catalog'!$A$2:$A$200,0))="","",INDEX('Test catalog'!$F$2:$F$200,MATCH($Y29,'Test catalog'!$A$2:$A$200,0))),"")</f>
        <v/>
      </c>
      <c r="H29" s="11">
        <f>IFERROR(IF(INDEX('Test catalog'!$G$2:$G$200,MATCH($Y29,'Test catalog'!$A$2:$A$200,0))="","",INDEX('Test catalog'!$G$2:$G$200,MATCH($Y29,'Test catalog'!$A$2:$A$200,0))),"")</f>
        <v/>
      </c>
      <c r="I29" s="11">
        <f>IFERROR(IF(INDEX('Test catalog'!$H$2:$H$200,MATCH($Y29,'Test catalog'!$A$2:$A$200,0))="","",INDEX('Test catalog'!$H$2:$H$200,MATCH($Y29,'Test catalog'!$A$2:$A$200,0))),"")</f>
        <v/>
      </c>
      <c r="J29" s="11">
        <f>IFERROR(IF(INDEX('Test catalog'!$I$2:$I$200,MATCH($Y29,'Test catalog'!$A$2:$A$200,0))="","",INDEX('Test catalog'!$I$2:$I$200,MATCH($Y29,'Test catalog'!$A$2:$A$200,0))),"")</f>
        <v/>
      </c>
      <c r="K29" s="13">
        <f>IF(I29="","",IF(OR(H29="",J29=""),I29,(H29+4*I29+J29)/6))</f>
        <v/>
      </c>
      <c r="L29" s="11">
        <f>IFERROR(IF(INDEX('Test catalog'!$J$2:$J$200,MATCH($Y29,'Test catalog'!$A$2:$A$200,0))="","",INDEX('Test catalog'!$J$2:$J$200,MATCH($Y29,'Test catalog'!$A$2:$A$200,0))),"")</f>
        <v/>
      </c>
      <c r="M29" s="11">
        <f>IFERROR(IF(INDEX('Test catalog'!$K$2:$K$200,MATCH($Y29,'Test catalog'!$A$2:$A$200,0))="","",INDEX('Test catalog'!$K$2:$K$200,MATCH($Y29,'Test catalog'!$A$2:$A$200,0))),"")</f>
        <v/>
      </c>
      <c r="N29" s="11">
        <f>IFERROR(IF(INDEX('Test catalog'!$L$2:$L$200,MATCH($Y29,'Test catalog'!$A$2:$A$200,0))="","",INDEX('Test catalog'!$L$2:$L$200,MATCH($Y29,'Test catalog'!$A$2:$A$200,0))),"")</f>
        <v/>
      </c>
      <c r="O29" s="11">
        <f>IFERROR(IF(INDEX('Test catalog'!$M$2:$M$200,MATCH($Y29,'Test catalog'!$A$2:$A$200,0))="","",INDEX('Test catalog'!$M$2:$M$200,MATCH($Y29,'Test catalog'!$A$2:$A$200,0))),"")</f>
        <v/>
      </c>
      <c r="P29" s="11">
        <f>IFERROR(IF(INDEX('Test catalog'!$N$2:$N$200,MATCH($Y29,'Test catalog'!$A$2:$A$200,0))="","",INDEX('Test catalog'!$N$2:$N$200,MATCH($Y29,'Test catalog'!$A$2:$A$200,0))),"")</f>
        <v/>
      </c>
      <c r="Q29" s="11">
        <f>IFERROR(IF(INDEX('Test catalog'!$O$2:$O$200,MATCH($Y29,'Test catalog'!$A$2:$A$200,0))="","",INDEX('Test catalog'!$O$2:$O$200,MATCH($Y29,'Test catalog'!$A$2:$A$200,0))),"")</f>
        <v/>
      </c>
      <c r="R29" s="11">
        <f>IFERROR(IF(INDEX('Test catalog'!$P$2:$P$200,MATCH($Y29,'Test catalog'!$A$2:$A$200,0))="","",INDEX('Test catalog'!$P$2:$P$200,MATCH($Y29,'Test catalog'!$A$2:$A$200,0))),"")</f>
        <v/>
      </c>
      <c r="S29" s="14" t="n"/>
      <c r="T29" s="5" t="n"/>
      <c r="U29" s="11">
        <f>IFERROR(IF(INDEX('Test catalog'!$Q$2:$Q$200,MATCH($Y29,'Test catalog'!$A$2:$A$200,0))="","",INDEX('Test catalog'!$Q$2:$Q$200,MATCH($Y29,'Test catalog'!$A$2:$A$200,0))),"")</f>
        <v/>
      </c>
      <c r="V29" s="5" t="n"/>
      <c r="W29" s="5" t="n"/>
      <c r="X29" s="5" t="n"/>
      <c r="Y29" s="5" t="inlineStr">
        <is>
          <t>ECOLI</t>
        </is>
      </c>
      <c r="Z29" s="11" t="inlineStr">
        <is>
          <t>USP-NF monograph &lt;2022&gt;</t>
        </is>
      </c>
    </row>
    <row r="30">
      <c r="A30" s="11" t="inlineStr">
        <is>
          <t>Coleus Forskohlii Root Dry Extract 10:1</t>
        </is>
      </c>
      <c r="B30" s="11" t="inlineStr">
        <is>
          <t>RM</t>
        </is>
      </c>
      <c r="C30" s="11" t="inlineStr">
        <is>
          <t>Active</t>
        </is>
      </c>
      <c r="D30" s="11" t="inlineStr">
        <is>
          <t>Absence of Salmonella (&lt;62&gt; / &lt;2022&gt;)</t>
        </is>
      </c>
      <c r="E30" s="5" t="inlineStr">
        <is>
          <t>Y</t>
        </is>
      </c>
      <c r="F30" s="5" t="n"/>
      <c r="G30" s="11">
        <f>IFERROR(IF(INDEX('Test catalog'!$F$2:$F$200,MATCH($Y30,'Test catalog'!$A$2:$A$200,0))="","",INDEX('Test catalog'!$F$2:$F$200,MATCH($Y30,'Test catalog'!$A$2:$A$200,0))),"")</f>
        <v/>
      </c>
      <c r="H30" s="11">
        <f>IFERROR(IF(INDEX('Test catalog'!$G$2:$G$200,MATCH($Y30,'Test catalog'!$A$2:$A$200,0))="","",INDEX('Test catalog'!$G$2:$G$200,MATCH($Y30,'Test catalog'!$A$2:$A$200,0))),"")</f>
        <v/>
      </c>
      <c r="I30" s="11">
        <f>IFERROR(IF(INDEX('Test catalog'!$H$2:$H$200,MATCH($Y30,'Test catalog'!$A$2:$A$200,0))="","",INDEX('Test catalog'!$H$2:$H$200,MATCH($Y30,'Test catalog'!$A$2:$A$200,0))),"")</f>
        <v/>
      </c>
      <c r="J30" s="11">
        <f>IFERROR(IF(INDEX('Test catalog'!$I$2:$I$200,MATCH($Y30,'Test catalog'!$A$2:$A$200,0))="","",INDEX('Test catalog'!$I$2:$I$200,MATCH($Y30,'Test catalog'!$A$2:$A$200,0))),"")</f>
        <v/>
      </c>
      <c r="K30" s="13">
        <f>IF(I30="","",IF(OR(H30="",J30=""),I30,(H30+4*I30+J30)/6))</f>
        <v/>
      </c>
      <c r="L30" s="11">
        <f>IFERROR(IF(INDEX('Test catalog'!$J$2:$J$200,MATCH($Y30,'Test catalog'!$A$2:$A$200,0))="","",INDEX('Test catalog'!$J$2:$J$200,MATCH($Y30,'Test catalog'!$A$2:$A$200,0))),"")</f>
        <v/>
      </c>
      <c r="M30" s="11">
        <f>IFERROR(IF(INDEX('Test catalog'!$K$2:$K$200,MATCH($Y30,'Test catalog'!$A$2:$A$200,0))="","",INDEX('Test catalog'!$K$2:$K$200,MATCH($Y30,'Test catalog'!$A$2:$A$200,0))),"")</f>
        <v/>
      </c>
      <c r="N30" s="11">
        <f>IFERROR(IF(INDEX('Test catalog'!$L$2:$L$200,MATCH($Y30,'Test catalog'!$A$2:$A$200,0))="","",INDEX('Test catalog'!$L$2:$L$200,MATCH($Y30,'Test catalog'!$A$2:$A$200,0))),"")</f>
        <v/>
      </c>
      <c r="O30" s="11">
        <f>IFERROR(IF(INDEX('Test catalog'!$M$2:$M$200,MATCH($Y30,'Test catalog'!$A$2:$A$200,0))="","",INDEX('Test catalog'!$M$2:$M$200,MATCH($Y30,'Test catalog'!$A$2:$A$200,0))),"")</f>
        <v/>
      </c>
      <c r="P30" s="11">
        <f>IFERROR(IF(INDEX('Test catalog'!$N$2:$N$200,MATCH($Y30,'Test catalog'!$A$2:$A$200,0))="","",INDEX('Test catalog'!$N$2:$N$200,MATCH($Y30,'Test catalog'!$A$2:$A$200,0))),"")</f>
        <v/>
      </c>
      <c r="Q30" s="11">
        <f>IFERROR(IF(INDEX('Test catalog'!$O$2:$O$200,MATCH($Y30,'Test catalog'!$A$2:$A$200,0))="","",INDEX('Test catalog'!$O$2:$O$200,MATCH($Y30,'Test catalog'!$A$2:$A$200,0))),"")</f>
        <v/>
      </c>
      <c r="R30" s="11">
        <f>IFERROR(IF(INDEX('Test catalog'!$P$2:$P$200,MATCH($Y30,'Test catalog'!$A$2:$A$200,0))="","",INDEX('Test catalog'!$P$2:$P$200,MATCH($Y30,'Test catalog'!$A$2:$A$200,0))),"")</f>
        <v/>
      </c>
      <c r="S30" s="14" t="n"/>
      <c r="T30" s="5" t="n"/>
      <c r="U30" s="11">
        <f>IFERROR(IF(INDEX('Test catalog'!$Q$2:$Q$200,MATCH($Y30,'Test catalog'!$A$2:$A$200,0))="","",INDEX('Test catalog'!$Q$2:$Q$200,MATCH($Y30,'Test catalog'!$A$2:$A$200,0))),"")</f>
        <v/>
      </c>
      <c r="V30" s="5" t="n"/>
      <c r="W30" s="5" t="n"/>
      <c r="X30" s="5" t="n"/>
      <c r="Y30" s="5" t="inlineStr">
        <is>
          <t>SALM</t>
        </is>
      </c>
      <c r="Z30" s="11" t="inlineStr">
        <is>
          <t>USP-NF monograph &lt;2022&gt;</t>
        </is>
      </c>
    </row>
    <row r="31">
      <c r="A31" s="11" t="inlineStr">
        <is>
          <t>Copper Gluconate</t>
        </is>
      </c>
      <c r="B31" s="11" t="inlineStr">
        <is>
          <t>RM</t>
        </is>
      </c>
      <c r="C31" s="11" t="inlineStr">
        <is>
          <t>Active</t>
        </is>
      </c>
      <c r="D31" s="11" t="inlineStr">
        <is>
          <t>Microbial enumeration - TAMC + TYMC (&lt;61&gt; / &lt;2021&gt;)</t>
        </is>
      </c>
      <c r="E31" s="5" t="inlineStr">
        <is>
          <t>N</t>
        </is>
      </c>
      <c r="F31" s="5" t="n"/>
      <c r="G31" s="11">
        <f>IFERROR(IF(INDEX('Test catalog'!$F$2:$F$200,MATCH($Y31,'Test catalog'!$A$2:$A$200,0))="","",INDEX('Test catalog'!$F$2:$F$200,MATCH($Y31,'Test catalog'!$A$2:$A$200,0))),"")</f>
        <v/>
      </c>
      <c r="H31" s="11">
        <f>IFERROR(IF(INDEX('Test catalog'!$G$2:$G$200,MATCH($Y31,'Test catalog'!$A$2:$A$200,0))="","",INDEX('Test catalog'!$G$2:$G$200,MATCH($Y31,'Test catalog'!$A$2:$A$200,0))),"")</f>
        <v/>
      </c>
      <c r="I31" s="11">
        <f>IFERROR(IF(INDEX('Test catalog'!$H$2:$H$200,MATCH($Y31,'Test catalog'!$A$2:$A$200,0))="","",INDEX('Test catalog'!$H$2:$H$200,MATCH($Y31,'Test catalog'!$A$2:$A$200,0))),"")</f>
        <v/>
      </c>
      <c r="J31" s="11">
        <f>IFERROR(IF(INDEX('Test catalog'!$I$2:$I$200,MATCH($Y31,'Test catalog'!$A$2:$A$200,0))="","",INDEX('Test catalog'!$I$2:$I$200,MATCH($Y31,'Test catalog'!$A$2:$A$200,0))),"")</f>
        <v/>
      </c>
      <c r="K31" s="13">
        <f>IF(I31="","",IF(OR(H31="",J31=""),I31,(H31+4*I31+J31)/6))</f>
        <v/>
      </c>
      <c r="L31" s="11">
        <f>IFERROR(IF(INDEX('Test catalog'!$J$2:$J$200,MATCH($Y31,'Test catalog'!$A$2:$A$200,0))="","",INDEX('Test catalog'!$J$2:$J$200,MATCH($Y31,'Test catalog'!$A$2:$A$200,0))),"")</f>
        <v/>
      </c>
      <c r="M31" s="11">
        <f>IFERROR(IF(INDEX('Test catalog'!$K$2:$K$200,MATCH($Y31,'Test catalog'!$A$2:$A$200,0))="","",INDEX('Test catalog'!$K$2:$K$200,MATCH($Y31,'Test catalog'!$A$2:$A$200,0))),"")</f>
        <v/>
      </c>
      <c r="N31" s="11">
        <f>IFERROR(IF(INDEX('Test catalog'!$L$2:$L$200,MATCH($Y31,'Test catalog'!$A$2:$A$200,0))="","",INDEX('Test catalog'!$L$2:$L$200,MATCH($Y31,'Test catalog'!$A$2:$A$200,0))),"")</f>
        <v/>
      </c>
      <c r="O31" s="11">
        <f>IFERROR(IF(INDEX('Test catalog'!$M$2:$M$200,MATCH($Y31,'Test catalog'!$A$2:$A$200,0))="","",INDEX('Test catalog'!$M$2:$M$200,MATCH($Y31,'Test catalog'!$A$2:$A$200,0))),"")</f>
        <v/>
      </c>
      <c r="P31" s="11">
        <f>IFERROR(IF(INDEX('Test catalog'!$N$2:$N$200,MATCH($Y31,'Test catalog'!$A$2:$A$200,0))="","",INDEX('Test catalog'!$N$2:$N$200,MATCH($Y31,'Test catalog'!$A$2:$A$200,0))),"")</f>
        <v/>
      </c>
      <c r="Q31" s="11">
        <f>IFERROR(IF(INDEX('Test catalog'!$O$2:$O$200,MATCH($Y31,'Test catalog'!$A$2:$A$200,0))="","",INDEX('Test catalog'!$O$2:$O$200,MATCH($Y31,'Test catalog'!$A$2:$A$200,0))),"")</f>
        <v/>
      </c>
      <c r="R31" s="11">
        <f>IFERROR(IF(INDEX('Test catalog'!$P$2:$P$200,MATCH($Y31,'Test catalog'!$A$2:$A$200,0))="","",INDEX('Test catalog'!$P$2:$P$200,MATCH($Y31,'Test catalog'!$A$2:$A$200,0))),"")</f>
        <v/>
      </c>
      <c r="S31" s="14" t="n"/>
      <c r="T31" s="5" t="n"/>
      <c r="U31" s="11">
        <f>IFERROR(IF(INDEX('Test catalog'!$Q$2:$Q$200,MATCH($Y31,'Test catalog'!$A$2:$A$200,0))="","",INDEX('Test catalog'!$Q$2:$Q$200,MATCH($Y31,'Test catalog'!$A$2:$A$200,0))),"")</f>
        <v/>
      </c>
      <c r="V31" s="5" t="n"/>
      <c r="W31" s="5" t="n"/>
      <c r="X31" s="5" t="n"/>
      <c r="Y31" s="5" t="inlineStr">
        <is>
          <t>ENUM</t>
        </is>
      </c>
      <c r="Z31" s="11" t="inlineStr">
        <is>
          <t>No micro test in USP-NF - set Y if your specification has one</t>
        </is>
      </c>
    </row>
    <row r="32">
      <c r="A32" s="11" t="inlineStr">
        <is>
          <t>Cranberry Dry Extract 25:1</t>
        </is>
      </c>
      <c r="B32" s="11" t="inlineStr">
        <is>
          <t>RM</t>
        </is>
      </c>
      <c r="C32" s="11" t="inlineStr">
        <is>
          <t>Active</t>
        </is>
      </c>
      <c r="D32" s="11" t="inlineStr">
        <is>
          <t>Microbial enumeration - TAMC + TYMC (&lt;61&gt; / &lt;2021&gt;)</t>
        </is>
      </c>
      <c r="E32" s="5" t="inlineStr">
        <is>
          <t>Y</t>
        </is>
      </c>
      <c r="F32" s="5" t="n"/>
      <c r="G32" s="11">
        <f>IFERROR(IF(INDEX('Test catalog'!$F$2:$F$200,MATCH($Y32,'Test catalog'!$A$2:$A$200,0))="","",INDEX('Test catalog'!$F$2:$F$200,MATCH($Y32,'Test catalog'!$A$2:$A$200,0))),"")</f>
        <v/>
      </c>
      <c r="H32" s="11">
        <f>IFERROR(IF(INDEX('Test catalog'!$G$2:$G$200,MATCH($Y32,'Test catalog'!$A$2:$A$200,0))="","",INDEX('Test catalog'!$G$2:$G$200,MATCH($Y32,'Test catalog'!$A$2:$A$200,0))),"")</f>
        <v/>
      </c>
      <c r="I32" s="11">
        <f>IFERROR(IF(INDEX('Test catalog'!$H$2:$H$200,MATCH($Y32,'Test catalog'!$A$2:$A$200,0))="","",INDEX('Test catalog'!$H$2:$H$200,MATCH($Y32,'Test catalog'!$A$2:$A$200,0))),"")</f>
        <v/>
      </c>
      <c r="J32" s="11">
        <f>IFERROR(IF(INDEX('Test catalog'!$I$2:$I$200,MATCH($Y32,'Test catalog'!$A$2:$A$200,0))="","",INDEX('Test catalog'!$I$2:$I$200,MATCH($Y32,'Test catalog'!$A$2:$A$200,0))),"")</f>
        <v/>
      </c>
      <c r="K32" s="13">
        <f>IF(I32="","",IF(OR(H32="",J32=""),I32,(H32+4*I32+J32)/6))</f>
        <v/>
      </c>
      <c r="L32" s="11">
        <f>IFERROR(IF(INDEX('Test catalog'!$J$2:$J$200,MATCH($Y32,'Test catalog'!$A$2:$A$200,0))="","",INDEX('Test catalog'!$J$2:$J$200,MATCH($Y32,'Test catalog'!$A$2:$A$200,0))),"")</f>
        <v/>
      </c>
      <c r="M32" s="11">
        <f>IFERROR(IF(INDEX('Test catalog'!$K$2:$K$200,MATCH($Y32,'Test catalog'!$A$2:$A$200,0))="","",INDEX('Test catalog'!$K$2:$K$200,MATCH($Y32,'Test catalog'!$A$2:$A$200,0))),"")</f>
        <v/>
      </c>
      <c r="N32" s="11">
        <f>IFERROR(IF(INDEX('Test catalog'!$L$2:$L$200,MATCH($Y32,'Test catalog'!$A$2:$A$200,0))="","",INDEX('Test catalog'!$L$2:$L$200,MATCH($Y32,'Test catalog'!$A$2:$A$200,0))),"")</f>
        <v/>
      </c>
      <c r="O32" s="11">
        <f>IFERROR(IF(INDEX('Test catalog'!$M$2:$M$200,MATCH($Y32,'Test catalog'!$A$2:$A$200,0))="","",INDEX('Test catalog'!$M$2:$M$200,MATCH($Y32,'Test catalog'!$A$2:$A$200,0))),"")</f>
        <v/>
      </c>
      <c r="P32" s="11">
        <f>IFERROR(IF(INDEX('Test catalog'!$N$2:$N$200,MATCH($Y32,'Test catalog'!$A$2:$A$200,0))="","",INDEX('Test catalog'!$N$2:$N$200,MATCH($Y32,'Test catalog'!$A$2:$A$200,0))),"")</f>
        <v/>
      </c>
      <c r="Q32" s="11">
        <f>IFERROR(IF(INDEX('Test catalog'!$O$2:$O$200,MATCH($Y32,'Test catalog'!$A$2:$A$200,0))="","",INDEX('Test catalog'!$O$2:$O$200,MATCH($Y32,'Test catalog'!$A$2:$A$200,0))),"")</f>
        <v/>
      </c>
      <c r="R32" s="11">
        <f>IFERROR(IF(INDEX('Test catalog'!$P$2:$P$200,MATCH($Y32,'Test catalog'!$A$2:$A$200,0))="","",INDEX('Test catalog'!$P$2:$P$200,MATCH($Y32,'Test catalog'!$A$2:$A$200,0))),"")</f>
        <v/>
      </c>
      <c r="S32" s="14" t="n"/>
      <c r="T32" s="5" t="n"/>
      <c r="U32" s="11">
        <f>IFERROR(IF(INDEX('Test catalog'!$Q$2:$Q$200,MATCH($Y32,'Test catalog'!$A$2:$A$200,0))="","",INDEX('Test catalog'!$Q$2:$Q$200,MATCH($Y32,'Test catalog'!$A$2:$A$200,0))),"")</f>
        <v/>
      </c>
      <c r="V32" s="5" t="n"/>
      <c r="W32" s="5" t="n"/>
      <c r="X32" s="5" t="n"/>
      <c r="Y32" s="5" t="inlineStr">
        <is>
          <t>ENUM</t>
        </is>
      </c>
      <c r="Z32" s="11" t="inlineStr">
        <is>
          <t>Natural origin, no USP-NF micro test - confirm (USP &lt;2023&gt;)</t>
        </is>
      </c>
    </row>
    <row r="33">
      <c r="A33" s="11" t="inlineStr">
        <is>
          <t>Cranberry Dry Extract 25:1</t>
        </is>
      </c>
      <c r="B33" s="11" t="inlineStr">
        <is>
          <t>RM</t>
        </is>
      </c>
      <c r="C33" s="11" t="inlineStr">
        <is>
          <t>Active</t>
        </is>
      </c>
      <c r="D33" s="11" t="inlineStr">
        <is>
          <t>Absence of Escherichia coli (&lt;62&gt; / &lt;2022&gt;)</t>
        </is>
      </c>
      <c r="E33" s="5" t="inlineStr">
        <is>
          <t>Y</t>
        </is>
      </c>
      <c r="F33" s="5" t="n"/>
      <c r="G33" s="11">
        <f>IFERROR(IF(INDEX('Test catalog'!$F$2:$F$200,MATCH($Y33,'Test catalog'!$A$2:$A$200,0))="","",INDEX('Test catalog'!$F$2:$F$200,MATCH($Y33,'Test catalog'!$A$2:$A$200,0))),"")</f>
        <v/>
      </c>
      <c r="H33" s="11">
        <f>IFERROR(IF(INDEX('Test catalog'!$G$2:$G$200,MATCH($Y33,'Test catalog'!$A$2:$A$200,0))="","",INDEX('Test catalog'!$G$2:$G$200,MATCH($Y33,'Test catalog'!$A$2:$A$200,0))),"")</f>
        <v/>
      </c>
      <c r="I33" s="11">
        <f>IFERROR(IF(INDEX('Test catalog'!$H$2:$H$200,MATCH($Y33,'Test catalog'!$A$2:$A$200,0))="","",INDEX('Test catalog'!$H$2:$H$200,MATCH($Y33,'Test catalog'!$A$2:$A$200,0))),"")</f>
        <v/>
      </c>
      <c r="J33" s="11">
        <f>IFERROR(IF(INDEX('Test catalog'!$I$2:$I$200,MATCH($Y33,'Test catalog'!$A$2:$A$200,0))="","",INDEX('Test catalog'!$I$2:$I$200,MATCH($Y33,'Test catalog'!$A$2:$A$200,0))),"")</f>
        <v/>
      </c>
      <c r="K33" s="13">
        <f>IF(I33="","",IF(OR(H33="",J33=""),I33,(H33+4*I33+J33)/6))</f>
        <v/>
      </c>
      <c r="L33" s="11">
        <f>IFERROR(IF(INDEX('Test catalog'!$J$2:$J$200,MATCH($Y33,'Test catalog'!$A$2:$A$200,0))="","",INDEX('Test catalog'!$J$2:$J$200,MATCH($Y33,'Test catalog'!$A$2:$A$200,0))),"")</f>
        <v/>
      </c>
      <c r="M33" s="11">
        <f>IFERROR(IF(INDEX('Test catalog'!$K$2:$K$200,MATCH($Y33,'Test catalog'!$A$2:$A$200,0))="","",INDEX('Test catalog'!$K$2:$K$200,MATCH($Y33,'Test catalog'!$A$2:$A$200,0))),"")</f>
        <v/>
      </c>
      <c r="N33" s="11">
        <f>IFERROR(IF(INDEX('Test catalog'!$L$2:$L$200,MATCH($Y33,'Test catalog'!$A$2:$A$200,0))="","",INDEX('Test catalog'!$L$2:$L$200,MATCH($Y33,'Test catalog'!$A$2:$A$200,0))),"")</f>
        <v/>
      </c>
      <c r="O33" s="11">
        <f>IFERROR(IF(INDEX('Test catalog'!$M$2:$M$200,MATCH($Y33,'Test catalog'!$A$2:$A$200,0))="","",INDEX('Test catalog'!$M$2:$M$200,MATCH($Y33,'Test catalog'!$A$2:$A$200,0))),"")</f>
        <v/>
      </c>
      <c r="P33" s="11">
        <f>IFERROR(IF(INDEX('Test catalog'!$N$2:$N$200,MATCH($Y33,'Test catalog'!$A$2:$A$200,0))="","",INDEX('Test catalog'!$N$2:$N$200,MATCH($Y33,'Test catalog'!$A$2:$A$200,0))),"")</f>
        <v/>
      </c>
      <c r="Q33" s="11">
        <f>IFERROR(IF(INDEX('Test catalog'!$O$2:$O$200,MATCH($Y33,'Test catalog'!$A$2:$A$200,0))="","",INDEX('Test catalog'!$O$2:$O$200,MATCH($Y33,'Test catalog'!$A$2:$A$200,0))),"")</f>
        <v/>
      </c>
      <c r="R33" s="11">
        <f>IFERROR(IF(INDEX('Test catalog'!$P$2:$P$200,MATCH($Y33,'Test catalog'!$A$2:$A$200,0))="","",INDEX('Test catalog'!$P$2:$P$200,MATCH($Y33,'Test catalog'!$A$2:$A$200,0))),"")</f>
        <v/>
      </c>
      <c r="S33" s="14" t="n"/>
      <c r="T33" s="5" t="n"/>
      <c r="U33" s="11">
        <f>IFERROR(IF(INDEX('Test catalog'!$Q$2:$Q$200,MATCH($Y33,'Test catalog'!$A$2:$A$200,0))="","",INDEX('Test catalog'!$Q$2:$Q$200,MATCH($Y33,'Test catalog'!$A$2:$A$200,0))),"")</f>
        <v/>
      </c>
      <c r="V33" s="5" t="n"/>
      <c r="W33" s="5" t="n"/>
      <c r="X33" s="5" t="n"/>
      <c r="Y33" s="5" t="inlineStr">
        <is>
          <t>ECOLI</t>
        </is>
      </c>
      <c r="Z33" s="11" t="inlineStr">
        <is>
          <t>Natural origin, no USP-NF micro test - confirm (USP &lt;2023&gt;)</t>
        </is>
      </c>
    </row>
    <row r="34">
      <c r="A34" s="11" t="inlineStr">
        <is>
          <t>Cranberry Dry Extract 25:1</t>
        </is>
      </c>
      <c r="B34" s="11" t="inlineStr">
        <is>
          <t>RM</t>
        </is>
      </c>
      <c r="C34" s="11" t="inlineStr">
        <is>
          <t>Active</t>
        </is>
      </c>
      <c r="D34" s="11" t="inlineStr">
        <is>
          <t>Absence of Salmonella (&lt;62&gt; / &lt;2022&gt;)</t>
        </is>
      </c>
      <c r="E34" s="5" t="inlineStr">
        <is>
          <t>Y</t>
        </is>
      </c>
      <c r="F34" s="5" t="n"/>
      <c r="G34" s="11">
        <f>IFERROR(IF(INDEX('Test catalog'!$F$2:$F$200,MATCH($Y34,'Test catalog'!$A$2:$A$200,0))="","",INDEX('Test catalog'!$F$2:$F$200,MATCH($Y34,'Test catalog'!$A$2:$A$200,0))),"")</f>
        <v/>
      </c>
      <c r="H34" s="11">
        <f>IFERROR(IF(INDEX('Test catalog'!$G$2:$G$200,MATCH($Y34,'Test catalog'!$A$2:$A$200,0))="","",INDEX('Test catalog'!$G$2:$G$200,MATCH($Y34,'Test catalog'!$A$2:$A$200,0))),"")</f>
        <v/>
      </c>
      <c r="I34" s="11">
        <f>IFERROR(IF(INDEX('Test catalog'!$H$2:$H$200,MATCH($Y34,'Test catalog'!$A$2:$A$200,0))="","",INDEX('Test catalog'!$H$2:$H$200,MATCH($Y34,'Test catalog'!$A$2:$A$200,0))),"")</f>
        <v/>
      </c>
      <c r="J34" s="11">
        <f>IFERROR(IF(INDEX('Test catalog'!$I$2:$I$200,MATCH($Y34,'Test catalog'!$A$2:$A$200,0))="","",INDEX('Test catalog'!$I$2:$I$200,MATCH($Y34,'Test catalog'!$A$2:$A$200,0))),"")</f>
        <v/>
      </c>
      <c r="K34" s="13">
        <f>IF(I34="","",IF(OR(H34="",J34=""),I34,(H34+4*I34+J34)/6))</f>
        <v/>
      </c>
      <c r="L34" s="11">
        <f>IFERROR(IF(INDEX('Test catalog'!$J$2:$J$200,MATCH($Y34,'Test catalog'!$A$2:$A$200,0))="","",INDEX('Test catalog'!$J$2:$J$200,MATCH($Y34,'Test catalog'!$A$2:$A$200,0))),"")</f>
        <v/>
      </c>
      <c r="M34" s="11">
        <f>IFERROR(IF(INDEX('Test catalog'!$K$2:$K$200,MATCH($Y34,'Test catalog'!$A$2:$A$200,0))="","",INDEX('Test catalog'!$K$2:$K$200,MATCH($Y34,'Test catalog'!$A$2:$A$200,0))),"")</f>
        <v/>
      </c>
      <c r="N34" s="11">
        <f>IFERROR(IF(INDEX('Test catalog'!$L$2:$L$200,MATCH($Y34,'Test catalog'!$A$2:$A$200,0))="","",INDEX('Test catalog'!$L$2:$L$200,MATCH($Y34,'Test catalog'!$A$2:$A$200,0))),"")</f>
        <v/>
      </c>
      <c r="O34" s="11">
        <f>IFERROR(IF(INDEX('Test catalog'!$M$2:$M$200,MATCH($Y34,'Test catalog'!$A$2:$A$200,0))="","",INDEX('Test catalog'!$M$2:$M$200,MATCH($Y34,'Test catalog'!$A$2:$A$200,0))),"")</f>
        <v/>
      </c>
      <c r="P34" s="11">
        <f>IFERROR(IF(INDEX('Test catalog'!$N$2:$N$200,MATCH($Y34,'Test catalog'!$A$2:$A$200,0))="","",INDEX('Test catalog'!$N$2:$N$200,MATCH($Y34,'Test catalog'!$A$2:$A$200,0))),"")</f>
        <v/>
      </c>
      <c r="Q34" s="11">
        <f>IFERROR(IF(INDEX('Test catalog'!$O$2:$O$200,MATCH($Y34,'Test catalog'!$A$2:$A$200,0))="","",INDEX('Test catalog'!$O$2:$O$200,MATCH($Y34,'Test catalog'!$A$2:$A$200,0))),"")</f>
        <v/>
      </c>
      <c r="R34" s="11">
        <f>IFERROR(IF(INDEX('Test catalog'!$P$2:$P$200,MATCH($Y34,'Test catalog'!$A$2:$A$200,0))="","",INDEX('Test catalog'!$P$2:$P$200,MATCH($Y34,'Test catalog'!$A$2:$A$200,0))),"")</f>
        <v/>
      </c>
      <c r="S34" s="14" t="n"/>
      <c r="T34" s="5" t="n"/>
      <c r="U34" s="11">
        <f>IFERROR(IF(INDEX('Test catalog'!$Q$2:$Q$200,MATCH($Y34,'Test catalog'!$A$2:$A$200,0))="","",INDEX('Test catalog'!$Q$2:$Q$200,MATCH($Y34,'Test catalog'!$A$2:$A$200,0))),"")</f>
        <v/>
      </c>
      <c r="V34" s="5" t="n"/>
      <c r="W34" s="5" t="n"/>
      <c r="X34" s="5" t="n"/>
      <c r="Y34" s="5" t="inlineStr">
        <is>
          <t>SALM</t>
        </is>
      </c>
      <c r="Z34" s="11" t="inlineStr">
        <is>
          <t>Natural origin, no USP-NF micro test - confirm (USP &lt;2023&gt;)</t>
        </is>
      </c>
    </row>
    <row r="35">
      <c r="A35" s="11" t="inlineStr">
        <is>
          <t>Cyanocobalamin (Vitamin B12)</t>
        </is>
      </c>
      <c r="B35" s="11" t="inlineStr">
        <is>
          <t>RM</t>
        </is>
      </c>
      <c r="C35" s="11" t="inlineStr">
        <is>
          <t>Active</t>
        </is>
      </c>
      <c r="D35" s="11" t="inlineStr">
        <is>
          <t>Microbial enumeration - TAMC + TYMC (&lt;61&gt; / &lt;2021&gt;)</t>
        </is>
      </c>
      <c r="E35" s="5" t="inlineStr">
        <is>
          <t>N</t>
        </is>
      </c>
      <c r="F35" s="5" t="n"/>
      <c r="G35" s="11">
        <f>IFERROR(IF(INDEX('Test catalog'!$F$2:$F$200,MATCH($Y35,'Test catalog'!$A$2:$A$200,0))="","",INDEX('Test catalog'!$F$2:$F$200,MATCH($Y35,'Test catalog'!$A$2:$A$200,0))),"")</f>
        <v/>
      </c>
      <c r="H35" s="11">
        <f>IFERROR(IF(INDEX('Test catalog'!$G$2:$G$200,MATCH($Y35,'Test catalog'!$A$2:$A$200,0))="","",INDEX('Test catalog'!$G$2:$G$200,MATCH($Y35,'Test catalog'!$A$2:$A$200,0))),"")</f>
        <v/>
      </c>
      <c r="I35" s="11">
        <f>IFERROR(IF(INDEX('Test catalog'!$H$2:$H$200,MATCH($Y35,'Test catalog'!$A$2:$A$200,0))="","",INDEX('Test catalog'!$H$2:$H$200,MATCH($Y35,'Test catalog'!$A$2:$A$200,0))),"")</f>
        <v/>
      </c>
      <c r="J35" s="11">
        <f>IFERROR(IF(INDEX('Test catalog'!$I$2:$I$200,MATCH($Y35,'Test catalog'!$A$2:$A$200,0))="","",INDEX('Test catalog'!$I$2:$I$200,MATCH($Y35,'Test catalog'!$A$2:$A$200,0))),"")</f>
        <v/>
      </c>
      <c r="K35" s="13">
        <f>IF(I35="","",IF(OR(H35="",J35=""),I35,(H35+4*I35+J35)/6))</f>
        <v/>
      </c>
      <c r="L35" s="11">
        <f>IFERROR(IF(INDEX('Test catalog'!$J$2:$J$200,MATCH($Y35,'Test catalog'!$A$2:$A$200,0))="","",INDEX('Test catalog'!$J$2:$J$200,MATCH($Y35,'Test catalog'!$A$2:$A$200,0))),"")</f>
        <v/>
      </c>
      <c r="M35" s="11">
        <f>IFERROR(IF(INDEX('Test catalog'!$K$2:$K$200,MATCH($Y35,'Test catalog'!$A$2:$A$200,0))="","",INDEX('Test catalog'!$K$2:$K$200,MATCH($Y35,'Test catalog'!$A$2:$A$200,0))),"")</f>
        <v/>
      </c>
      <c r="N35" s="11">
        <f>IFERROR(IF(INDEX('Test catalog'!$L$2:$L$200,MATCH($Y35,'Test catalog'!$A$2:$A$200,0))="","",INDEX('Test catalog'!$L$2:$L$200,MATCH($Y35,'Test catalog'!$A$2:$A$200,0))),"")</f>
        <v/>
      </c>
      <c r="O35" s="11">
        <f>IFERROR(IF(INDEX('Test catalog'!$M$2:$M$200,MATCH($Y35,'Test catalog'!$A$2:$A$200,0))="","",INDEX('Test catalog'!$M$2:$M$200,MATCH($Y35,'Test catalog'!$A$2:$A$200,0))),"")</f>
        <v/>
      </c>
      <c r="P35" s="11">
        <f>IFERROR(IF(INDEX('Test catalog'!$N$2:$N$200,MATCH($Y35,'Test catalog'!$A$2:$A$200,0))="","",INDEX('Test catalog'!$N$2:$N$200,MATCH($Y35,'Test catalog'!$A$2:$A$200,0))),"")</f>
        <v/>
      </c>
      <c r="Q35" s="11">
        <f>IFERROR(IF(INDEX('Test catalog'!$O$2:$O$200,MATCH($Y35,'Test catalog'!$A$2:$A$200,0))="","",INDEX('Test catalog'!$O$2:$O$200,MATCH($Y35,'Test catalog'!$A$2:$A$200,0))),"")</f>
        <v/>
      </c>
      <c r="R35" s="11">
        <f>IFERROR(IF(INDEX('Test catalog'!$P$2:$P$200,MATCH($Y35,'Test catalog'!$A$2:$A$200,0))="","",INDEX('Test catalog'!$P$2:$P$200,MATCH($Y35,'Test catalog'!$A$2:$A$200,0))),"")</f>
        <v/>
      </c>
      <c r="S35" s="14" t="n"/>
      <c r="T35" s="5" t="n"/>
      <c r="U35" s="11">
        <f>IFERROR(IF(INDEX('Test catalog'!$Q$2:$Q$200,MATCH($Y35,'Test catalog'!$A$2:$A$200,0))="","",INDEX('Test catalog'!$Q$2:$Q$200,MATCH($Y35,'Test catalog'!$A$2:$A$200,0))),"")</f>
        <v/>
      </c>
      <c r="V35" s="5" t="n"/>
      <c r="W35" s="5" t="n"/>
      <c r="X35" s="5" t="n"/>
      <c r="Y35" s="5" t="inlineStr">
        <is>
          <t>ENUM</t>
        </is>
      </c>
      <c r="Z35" s="11" t="inlineStr">
        <is>
          <t>No micro test in USP-NF - set Y if your specification has one</t>
        </is>
      </c>
    </row>
    <row r="36">
      <c r="A36" s="11" t="inlineStr">
        <is>
          <t>D-Alpha Tocopheryl Acetate 50% (Vitamin E)</t>
        </is>
      </c>
      <c r="B36" s="11" t="inlineStr">
        <is>
          <t>RM</t>
        </is>
      </c>
      <c r="C36" s="11" t="inlineStr">
        <is>
          <t>Active</t>
        </is>
      </c>
      <c r="D36" s="11" t="inlineStr">
        <is>
          <t>Microbial enumeration - TAMC + TYMC (&lt;61&gt; / &lt;2021&gt;)</t>
        </is>
      </c>
      <c r="E36" s="5" t="inlineStr">
        <is>
          <t>N</t>
        </is>
      </c>
      <c r="F36" s="5" t="n"/>
      <c r="G36" s="11">
        <f>IFERROR(IF(INDEX('Test catalog'!$F$2:$F$200,MATCH($Y36,'Test catalog'!$A$2:$A$200,0))="","",INDEX('Test catalog'!$F$2:$F$200,MATCH($Y36,'Test catalog'!$A$2:$A$200,0))),"")</f>
        <v/>
      </c>
      <c r="H36" s="11">
        <f>IFERROR(IF(INDEX('Test catalog'!$G$2:$G$200,MATCH($Y36,'Test catalog'!$A$2:$A$200,0))="","",INDEX('Test catalog'!$G$2:$G$200,MATCH($Y36,'Test catalog'!$A$2:$A$200,0))),"")</f>
        <v/>
      </c>
      <c r="I36" s="11">
        <f>IFERROR(IF(INDEX('Test catalog'!$H$2:$H$200,MATCH($Y36,'Test catalog'!$A$2:$A$200,0))="","",INDEX('Test catalog'!$H$2:$H$200,MATCH($Y36,'Test catalog'!$A$2:$A$200,0))),"")</f>
        <v/>
      </c>
      <c r="J36" s="11">
        <f>IFERROR(IF(INDEX('Test catalog'!$I$2:$I$200,MATCH($Y36,'Test catalog'!$A$2:$A$200,0))="","",INDEX('Test catalog'!$I$2:$I$200,MATCH($Y36,'Test catalog'!$A$2:$A$200,0))),"")</f>
        <v/>
      </c>
      <c r="K36" s="13">
        <f>IF(I36="","",IF(OR(H36="",J36=""),I36,(H36+4*I36+J36)/6))</f>
        <v/>
      </c>
      <c r="L36" s="11">
        <f>IFERROR(IF(INDEX('Test catalog'!$J$2:$J$200,MATCH($Y36,'Test catalog'!$A$2:$A$200,0))="","",INDEX('Test catalog'!$J$2:$J$200,MATCH($Y36,'Test catalog'!$A$2:$A$200,0))),"")</f>
        <v/>
      </c>
      <c r="M36" s="11">
        <f>IFERROR(IF(INDEX('Test catalog'!$K$2:$K$200,MATCH($Y36,'Test catalog'!$A$2:$A$200,0))="","",INDEX('Test catalog'!$K$2:$K$200,MATCH($Y36,'Test catalog'!$A$2:$A$200,0))),"")</f>
        <v/>
      </c>
      <c r="N36" s="11">
        <f>IFERROR(IF(INDEX('Test catalog'!$L$2:$L$200,MATCH($Y36,'Test catalog'!$A$2:$A$200,0))="","",INDEX('Test catalog'!$L$2:$L$200,MATCH($Y36,'Test catalog'!$A$2:$A$200,0))),"")</f>
        <v/>
      </c>
      <c r="O36" s="11">
        <f>IFERROR(IF(INDEX('Test catalog'!$M$2:$M$200,MATCH($Y36,'Test catalog'!$A$2:$A$200,0))="","",INDEX('Test catalog'!$M$2:$M$200,MATCH($Y36,'Test catalog'!$A$2:$A$200,0))),"")</f>
        <v/>
      </c>
      <c r="P36" s="11">
        <f>IFERROR(IF(INDEX('Test catalog'!$N$2:$N$200,MATCH($Y36,'Test catalog'!$A$2:$A$200,0))="","",INDEX('Test catalog'!$N$2:$N$200,MATCH($Y36,'Test catalog'!$A$2:$A$200,0))),"")</f>
        <v/>
      </c>
      <c r="Q36" s="11">
        <f>IFERROR(IF(INDEX('Test catalog'!$O$2:$O$200,MATCH($Y36,'Test catalog'!$A$2:$A$200,0))="","",INDEX('Test catalog'!$O$2:$O$200,MATCH($Y36,'Test catalog'!$A$2:$A$200,0))),"")</f>
        <v/>
      </c>
      <c r="R36" s="11">
        <f>IFERROR(IF(INDEX('Test catalog'!$P$2:$P$200,MATCH($Y36,'Test catalog'!$A$2:$A$200,0))="","",INDEX('Test catalog'!$P$2:$P$200,MATCH($Y36,'Test catalog'!$A$2:$A$200,0))),"")</f>
        <v/>
      </c>
      <c r="S36" s="14" t="n"/>
      <c r="T36" s="5" t="n"/>
      <c r="U36" s="11">
        <f>IFERROR(IF(INDEX('Test catalog'!$Q$2:$Q$200,MATCH($Y36,'Test catalog'!$A$2:$A$200,0))="","",INDEX('Test catalog'!$Q$2:$Q$200,MATCH($Y36,'Test catalog'!$A$2:$A$200,0))),"")</f>
        <v/>
      </c>
      <c r="V36" s="5" t="n"/>
      <c r="W36" s="5" t="n"/>
      <c r="X36" s="5" t="n"/>
      <c r="Y36" s="5" t="inlineStr">
        <is>
          <t>ENUM</t>
        </is>
      </c>
      <c r="Z36" s="11" t="inlineStr">
        <is>
          <t>No micro test in USP-NF - set Y if your specification has one</t>
        </is>
      </c>
    </row>
    <row r="37">
      <c r="A37" s="11" t="inlineStr">
        <is>
          <t>Dapagliflozin Propanediol Monohydrate</t>
        </is>
      </c>
      <c r="B37" s="11" t="inlineStr">
        <is>
          <t>RM</t>
        </is>
      </c>
      <c r="C37" s="11" t="inlineStr">
        <is>
          <t>Active</t>
        </is>
      </c>
      <c r="D37" s="11" t="inlineStr">
        <is>
          <t>Microbial enumeration - TAMC + TYMC (&lt;61&gt; / &lt;2021&gt;)</t>
        </is>
      </c>
      <c r="E37" s="5" t="inlineStr">
        <is>
          <t>N</t>
        </is>
      </c>
      <c r="F37" s="5" t="n"/>
      <c r="G37" s="11">
        <f>IFERROR(IF(INDEX('Test catalog'!$F$2:$F$200,MATCH($Y37,'Test catalog'!$A$2:$A$200,0))="","",INDEX('Test catalog'!$F$2:$F$200,MATCH($Y37,'Test catalog'!$A$2:$A$200,0))),"")</f>
        <v/>
      </c>
      <c r="H37" s="11">
        <f>IFERROR(IF(INDEX('Test catalog'!$G$2:$G$200,MATCH($Y37,'Test catalog'!$A$2:$A$200,0))="","",INDEX('Test catalog'!$G$2:$G$200,MATCH($Y37,'Test catalog'!$A$2:$A$200,0))),"")</f>
        <v/>
      </c>
      <c r="I37" s="11">
        <f>IFERROR(IF(INDEX('Test catalog'!$H$2:$H$200,MATCH($Y37,'Test catalog'!$A$2:$A$200,0))="","",INDEX('Test catalog'!$H$2:$H$200,MATCH($Y37,'Test catalog'!$A$2:$A$200,0))),"")</f>
        <v/>
      </c>
      <c r="J37" s="11">
        <f>IFERROR(IF(INDEX('Test catalog'!$I$2:$I$200,MATCH($Y37,'Test catalog'!$A$2:$A$200,0))="","",INDEX('Test catalog'!$I$2:$I$200,MATCH($Y37,'Test catalog'!$A$2:$A$200,0))),"")</f>
        <v/>
      </c>
      <c r="K37" s="13">
        <f>IF(I37="","",IF(OR(H37="",J37=""),I37,(H37+4*I37+J37)/6))</f>
        <v/>
      </c>
      <c r="L37" s="11">
        <f>IFERROR(IF(INDEX('Test catalog'!$J$2:$J$200,MATCH($Y37,'Test catalog'!$A$2:$A$200,0))="","",INDEX('Test catalog'!$J$2:$J$200,MATCH($Y37,'Test catalog'!$A$2:$A$200,0))),"")</f>
        <v/>
      </c>
      <c r="M37" s="11">
        <f>IFERROR(IF(INDEX('Test catalog'!$K$2:$K$200,MATCH($Y37,'Test catalog'!$A$2:$A$200,0))="","",INDEX('Test catalog'!$K$2:$K$200,MATCH($Y37,'Test catalog'!$A$2:$A$200,0))),"")</f>
        <v/>
      </c>
      <c r="N37" s="11">
        <f>IFERROR(IF(INDEX('Test catalog'!$L$2:$L$200,MATCH($Y37,'Test catalog'!$A$2:$A$200,0))="","",INDEX('Test catalog'!$L$2:$L$200,MATCH($Y37,'Test catalog'!$A$2:$A$200,0))),"")</f>
        <v/>
      </c>
      <c r="O37" s="11">
        <f>IFERROR(IF(INDEX('Test catalog'!$M$2:$M$200,MATCH($Y37,'Test catalog'!$A$2:$A$200,0))="","",INDEX('Test catalog'!$M$2:$M$200,MATCH($Y37,'Test catalog'!$A$2:$A$200,0))),"")</f>
        <v/>
      </c>
      <c r="P37" s="11">
        <f>IFERROR(IF(INDEX('Test catalog'!$N$2:$N$200,MATCH($Y37,'Test catalog'!$A$2:$A$200,0))="","",INDEX('Test catalog'!$N$2:$N$200,MATCH($Y37,'Test catalog'!$A$2:$A$200,0))),"")</f>
        <v/>
      </c>
      <c r="Q37" s="11">
        <f>IFERROR(IF(INDEX('Test catalog'!$O$2:$O$200,MATCH($Y37,'Test catalog'!$A$2:$A$200,0))="","",INDEX('Test catalog'!$O$2:$O$200,MATCH($Y37,'Test catalog'!$A$2:$A$200,0))),"")</f>
        <v/>
      </c>
      <c r="R37" s="11">
        <f>IFERROR(IF(INDEX('Test catalog'!$P$2:$P$200,MATCH($Y37,'Test catalog'!$A$2:$A$200,0))="","",INDEX('Test catalog'!$P$2:$P$200,MATCH($Y37,'Test catalog'!$A$2:$A$200,0))),"")</f>
        <v/>
      </c>
      <c r="S37" s="14" t="n"/>
      <c r="T37" s="5" t="n"/>
      <c r="U37" s="11">
        <f>IFERROR(IF(INDEX('Test catalog'!$Q$2:$Q$200,MATCH($Y37,'Test catalog'!$A$2:$A$200,0))="","",INDEX('Test catalog'!$Q$2:$Q$200,MATCH($Y37,'Test catalog'!$A$2:$A$200,0))),"")</f>
        <v/>
      </c>
      <c r="V37" s="5" t="n"/>
      <c r="W37" s="5" t="n"/>
      <c r="X37" s="5" t="n"/>
      <c r="Y37" s="5" t="inlineStr">
        <is>
          <t>ENUM</t>
        </is>
      </c>
      <c r="Z37" s="11" t="inlineStr">
        <is>
          <t>No micro test in USP-NF - set Y if your specification has one</t>
        </is>
      </c>
    </row>
    <row r="38">
      <c r="A38" s="11" t="inlineStr">
        <is>
          <t>Devil's Claw Dry Extract 6:1</t>
        </is>
      </c>
      <c r="B38" s="11" t="inlineStr">
        <is>
          <t>RM</t>
        </is>
      </c>
      <c r="C38" s="11" t="inlineStr">
        <is>
          <t>Active</t>
        </is>
      </c>
      <c r="D38" s="11" t="inlineStr">
        <is>
          <t>Microbial enumeration - TAMC + TYMC (&lt;61&gt; / &lt;2021&gt;)</t>
        </is>
      </c>
      <c r="E38" s="5" t="inlineStr">
        <is>
          <t>Y</t>
        </is>
      </c>
      <c r="F38" s="5" t="n"/>
      <c r="G38" s="11">
        <f>IFERROR(IF(INDEX('Test catalog'!$F$2:$F$200,MATCH($Y38,'Test catalog'!$A$2:$A$200,0))="","",INDEX('Test catalog'!$F$2:$F$200,MATCH($Y38,'Test catalog'!$A$2:$A$200,0))),"")</f>
        <v/>
      </c>
      <c r="H38" s="11">
        <f>IFERROR(IF(INDEX('Test catalog'!$G$2:$G$200,MATCH($Y38,'Test catalog'!$A$2:$A$200,0))="","",INDEX('Test catalog'!$G$2:$G$200,MATCH($Y38,'Test catalog'!$A$2:$A$200,0))),"")</f>
        <v/>
      </c>
      <c r="I38" s="11">
        <f>IFERROR(IF(INDEX('Test catalog'!$H$2:$H$200,MATCH($Y38,'Test catalog'!$A$2:$A$200,0))="","",INDEX('Test catalog'!$H$2:$H$200,MATCH($Y38,'Test catalog'!$A$2:$A$200,0))),"")</f>
        <v/>
      </c>
      <c r="J38" s="11">
        <f>IFERROR(IF(INDEX('Test catalog'!$I$2:$I$200,MATCH($Y38,'Test catalog'!$A$2:$A$200,0))="","",INDEX('Test catalog'!$I$2:$I$200,MATCH($Y38,'Test catalog'!$A$2:$A$200,0))),"")</f>
        <v/>
      </c>
      <c r="K38" s="13">
        <f>IF(I38="","",IF(OR(H38="",J38=""),I38,(H38+4*I38+J38)/6))</f>
        <v/>
      </c>
      <c r="L38" s="11">
        <f>IFERROR(IF(INDEX('Test catalog'!$J$2:$J$200,MATCH($Y38,'Test catalog'!$A$2:$A$200,0))="","",INDEX('Test catalog'!$J$2:$J$200,MATCH($Y38,'Test catalog'!$A$2:$A$200,0))),"")</f>
        <v/>
      </c>
      <c r="M38" s="11">
        <f>IFERROR(IF(INDEX('Test catalog'!$K$2:$K$200,MATCH($Y38,'Test catalog'!$A$2:$A$200,0))="","",INDEX('Test catalog'!$K$2:$K$200,MATCH($Y38,'Test catalog'!$A$2:$A$200,0))),"")</f>
        <v/>
      </c>
      <c r="N38" s="11">
        <f>IFERROR(IF(INDEX('Test catalog'!$L$2:$L$200,MATCH($Y38,'Test catalog'!$A$2:$A$200,0))="","",INDEX('Test catalog'!$L$2:$L$200,MATCH($Y38,'Test catalog'!$A$2:$A$200,0))),"")</f>
        <v/>
      </c>
      <c r="O38" s="11">
        <f>IFERROR(IF(INDEX('Test catalog'!$M$2:$M$200,MATCH($Y38,'Test catalog'!$A$2:$A$200,0))="","",INDEX('Test catalog'!$M$2:$M$200,MATCH($Y38,'Test catalog'!$A$2:$A$200,0))),"")</f>
        <v/>
      </c>
      <c r="P38" s="11">
        <f>IFERROR(IF(INDEX('Test catalog'!$N$2:$N$200,MATCH($Y38,'Test catalog'!$A$2:$A$200,0))="","",INDEX('Test catalog'!$N$2:$N$200,MATCH($Y38,'Test catalog'!$A$2:$A$200,0))),"")</f>
        <v/>
      </c>
      <c r="Q38" s="11">
        <f>IFERROR(IF(INDEX('Test catalog'!$O$2:$O$200,MATCH($Y38,'Test catalog'!$A$2:$A$200,0))="","",INDEX('Test catalog'!$O$2:$O$200,MATCH($Y38,'Test catalog'!$A$2:$A$200,0))),"")</f>
        <v/>
      </c>
      <c r="R38" s="11">
        <f>IFERROR(IF(INDEX('Test catalog'!$P$2:$P$200,MATCH($Y38,'Test catalog'!$A$2:$A$200,0))="","",INDEX('Test catalog'!$P$2:$P$200,MATCH($Y38,'Test catalog'!$A$2:$A$200,0))),"")</f>
        <v/>
      </c>
      <c r="S38" s="14" t="n"/>
      <c r="T38" s="5" t="n"/>
      <c r="U38" s="11">
        <f>IFERROR(IF(INDEX('Test catalog'!$Q$2:$Q$200,MATCH($Y38,'Test catalog'!$A$2:$A$200,0))="","",INDEX('Test catalog'!$Q$2:$Q$200,MATCH($Y38,'Test catalog'!$A$2:$A$200,0))),"")</f>
        <v/>
      </c>
      <c r="V38" s="5" t="n"/>
      <c r="W38" s="5" t="n"/>
      <c r="X38" s="5" t="n"/>
      <c r="Y38" s="5" t="inlineStr">
        <is>
          <t>ENUM</t>
        </is>
      </c>
      <c r="Z38" s="11" t="inlineStr">
        <is>
          <t>Natural origin, no USP-NF micro test - confirm (USP &lt;2023&gt;)</t>
        </is>
      </c>
    </row>
    <row r="39">
      <c r="A39" s="11" t="inlineStr">
        <is>
          <t>Devil's Claw Dry Extract 6:1</t>
        </is>
      </c>
      <c r="B39" s="11" t="inlineStr">
        <is>
          <t>RM</t>
        </is>
      </c>
      <c r="C39" s="11" t="inlineStr">
        <is>
          <t>Active</t>
        </is>
      </c>
      <c r="D39" s="11" t="inlineStr">
        <is>
          <t>Absence of Escherichia coli (&lt;62&gt; / &lt;2022&gt;)</t>
        </is>
      </c>
      <c r="E39" s="5" t="inlineStr">
        <is>
          <t>Y</t>
        </is>
      </c>
      <c r="F39" s="5" t="n"/>
      <c r="G39" s="11">
        <f>IFERROR(IF(INDEX('Test catalog'!$F$2:$F$200,MATCH($Y39,'Test catalog'!$A$2:$A$200,0))="","",INDEX('Test catalog'!$F$2:$F$200,MATCH($Y39,'Test catalog'!$A$2:$A$200,0))),"")</f>
        <v/>
      </c>
      <c r="H39" s="11">
        <f>IFERROR(IF(INDEX('Test catalog'!$G$2:$G$200,MATCH($Y39,'Test catalog'!$A$2:$A$200,0))="","",INDEX('Test catalog'!$G$2:$G$200,MATCH($Y39,'Test catalog'!$A$2:$A$200,0))),"")</f>
        <v/>
      </c>
      <c r="I39" s="11">
        <f>IFERROR(IF(INDEX('Test catalog'!$H$2:$H$200,MATCH($Y39,'Test catalog'!$A$2:$A$200,0))="","",INDEX('Test catalog'!$H$2:$H$200,MATCH($Y39,'Test catalog'!$A$2:$A$200,0))),"")</f>
        <v/>
      </c>
      <c r="J39" s="11">
        <f>IFERROR(IF(INDEX('Test catalog'!$I$2:$I$200,MATCH($Y39,'Test catalog'!$A$2:$A$200,0))="","",INDEX('Test catalog'!$I$2:$I$200,MATCH($Y39,'Test catalog'!$A$2:$A$200,0))),"")</f>
        <v/>
      </c>
      <c r="K39" s="13">
        <f>IF(I39="","",IF(OR(H39="",J39=""),I39,(H39+4*I39+J39)/6))</f>
        <v/>
      </c>
      <c r="L39" s="11">
        <f>IFERROR(IF(INDEX('Test catalog'!$J$2:$J$200,MATCH($Y39,'Test catalog'!$A$2:$A$200,0))="","",INDEX('Test catalog'!$J$2:$J$200,MATCH($Y39,'Test catalog'!$A$2:$A$200,0))),"")</f>
        <v/>
      </c>
      <c r="M39" s="11">
        <f>IFERROR(IF(INDEX('Test catalog'!$K$2:$K$200,MATCH($Y39,'Test catalog'!$A$2:$A$200,0))="","",INDEX('Test catalog'!$K$2:$K$200,MATCH($Y39,'Test catalog'!$A$2:$A$200,0))),"")</f>
        <v/>
      </c>
      <c r="N39" s="11">
        <f>IFERROR(IF(INDEX('Test catalog'!$L$2:$L$200,MATCH($Y39,'Test catalog'!$A$2:$A$200,0))="","",INDEX('Test catalog'!$L$2:$L$200,MATCH($Y39,'Test catalog'!$A$2:$A$200,0))),"")</f>
        <v/>
      </c>
      <c r="O39" s="11">
        <f>IFERROR(IF(INDEX('Test catalog'!$M$2:$M$200,MATCH($Y39,'Test catalog'!$A$2:$A$200,0))="","",INDEX('Test catalog'!$M$2:$M$200,MATCH($Y39,'Test catalog'!$A$2:$A$200,0))),"")</f>
        <v/>
      </c>
      <c r="P39" s="11">
        <f>IFERROR(IF(INDEX('Test catalog'!$N$2:$N$200,MATCH($Y39,'Test catalog'!$A$2:$A$200,0))="","",INDEX('Test catalog'!$N$2:$N$200,MATCH($Y39,'Test catalog'!$A$2:$A$200,0))),"")</f>
        <v/>
      </c>
      <c r="Q39" s="11">
        <f>IFERROR(IF(INDEX('Test catalog'!$O$2:$O$200,MATCH($Y39,'Test catalog'!$A$2:$A$200,0))="","",INDEX('Test catalog'!$O$2:$O$200,MATCH($Y39,'Test catalog'!$A$2:$A$200,0))),"")</f>
        <v/>
      </c>
      <c r="R39" s="11">
        <f>IFERROR(IF(INDEX('Test catalog'!$P$2:$P$200,MATCH($Y39,'Test catalog'!$A$2:$A$200,0))="","",INDEX('Test catalog'!$P$2:$P$200,MATCH($Y39,'Test catalog'!$A$2:$A$200,0))),"")</f>
        <v/>
      </c>
      <c r="S39" s="14" t="n"/>
      <c r="T39" s="5" t="n"/>
      <c r="U39" s="11">
        <f>IFERROR(IF(INDEX('Test catalog'!$Q$2:$Q$200,MATCH($Y39,'Test catalog'!$A$2:$A$200,0))="","",INDEX('Test catalog'!$Q$2:$Q$200,MATCH($Y39,'Test catalog'!$A$2:$A$200,0))),"")</f>
        <v/>
      </c>
      <c r="V39" s="5" t="n"/>
      <c r="W39" s="5" t="n"/>
      <c r="X39" s="5" t="n"/>
      <c r="Y39" s="5" t="inlineStr">
        <is>
          <t>ECOLI</t>
        </is>
      </c>
      <c r="Z39" s="11" t="inlineStr">
        <is>
          <t>Natural origin, no USP-NF micro test - confirm (USP &lt;2023&gt;)</t>
        </is>
      </c>
    </row>
    <row r="40">
      <c r="A40" s="11" t="inlineStr">
        <is>
          <t>Devil's Claw Dry Extract 6:1</t>
        </is>
      </c>
      <c r="B40" s="11" t="inlineStr">
        <is>
          <t>RM</t>
        </is>
      </c>
      <c r="C40" s="11" t="inlineStr">
        <is>
          <t>Active</t>
        </is>
      </c>
      <c r="D40" s="11" t="inlineStr">
        <is>
          <t>Absence of Salmonella (&lt;62&gt; / &lt;2022&gt;)</t>
        </is>
      </c>
      <c r="E40" s="5" t="inlineStr">
        <is>
          <t>Y</t>
        </is>
      </c>
      <c r="F40" s="5" t="n"/>
      <c r="G40" s="11">
        <f>IFERROR(IF(INDEX('Test catalog'!$F$2:$F$200,MATCH($Y40,'Test catalog'!$A$2:$A$200,0))="","",INDEX('Test catalog'!$F$2:$F$200,MATCH($Y40,'Test catalog'!$A$2:$A$200,0))),"")</f>
        <v/>
      </c>
      <c r="H40" s="11">
        <f>IFERROR(IF(INDEX('Test catalog'!$G$2:$G$200,MATCH($Y40,'Test catalog'!$A$2:$A$200,0))="","",INDEX('Test catalog'!$G$2:$G$200,MATCH($Y40,'Test catalog'!$A$2:$A$200,0))),"")</f>
        <v/>
      </c>
      <c r="I40" s="11">
        <f>IFERROR(IF(INDEX('Test catalog'!$H$2:$H$200,MATCH($Y40,'Test catalog'!$A$2:$A$200,0))="","",INDEX('Test catalog'!$H$2:$H$200,MATCH($Y40,'Test catalog'!$A$2:$A$200,0))),"")</f>
        <v/>
      </c>
      <c r="J40" s="11">
        <f>IFERROR(IF(INDEX('Test catalog'!$I$2:$I$200,MATCH($Y40,'Test catalog'!$A$2:$A$200,0))="","",INDEX('Test catalog'!$I$2:$I$200,MATCH($Y40,'Test catalog'!$A$2:$A$200,0))),"")</f>
        <v/>
      </c>
      <c r="K40" s="13">
        <f>IF(I40="","",IF(OR(H40="",J40=""),I40,(H40+4*I40+J40)/6))</f>
        <v/>
      </c>
      <c r="L40" s="11">
        <f>IFERROR(IF(INDEX('Test catalog'!$J$2:$J$200,MATCH($Y40,'Test catalog'!$A$2:$A$200,0))="","",INDEX('Test catalog'!$J$2:$J$200,MATCH($Y40,'Test catalog'!$A$2:$A$200,0))),"")</f>
        <v/>
      </c>
      <c r="M40" s="11">
        <f>IFERROR(IF(INDEX('Test catalog'!$K$2:$K$200,MATCH($Y40,'Test catalog'!$A$2:$A$200,0))="","",INDEX('Test catalog'!$K$2:$K$200,MATCH($Y40,'Test catalog'!$A$2:$A$200,0))),"")</f>
        <v/>
      </c>
      <c r="N40" s="11">
        <f>IFERROR(IF(INDEX('Test catalog'!$L$2:$L$200,MATCH($Y40,'Test catalog'!$A$2:$A$200,0))="","",INDEX('Test catalog'!$L$2:$L$200,MATCH($Y40,'Test catalog'!$A$2:$A$200,0))),"")</f>
        <v/>
      </c>
      <c r="O40" s="11">
        <f>IFERROR(IF(INDEX('Test catalog'!$M$2:$M$200,MATCH($Y40,'Test catalog'!$A$2:$A$200,0))="","",INDEX('Test catalog'!$M$2:$M$200,MATCH($Y40,'Test catalog'!$A$2:$A$200,0))),"")</f>
        <v/>
      </c>
      <c r="P40" s="11">
        <f>IFERROR(IF(INDEX('Test catalog'!$N$2:$N$200,MATCH($Y40,'Test catalog'!$A$2:$A$200,0))="","",INDEX('Test catalog'!$N$2:$N$200,MATCH($Y40,'Test catalog'!$A$2:$A$200,0))),"")</f>
        <v/>
      </c>
      <c r="Q40" s="11">
        <f>IFERROR(IF(INDEX('Test catalog'!$O$2:$O$200,MATCH($Y40,'Test catalog'!$A$2:$A$200,0))="","",INDEX('Test catalog'!$O$2:$O$200,MATCH($Y40,'Test catalog'!$A$2:$A$200,0))),"")</f>
        <v/>
      </c>
      <c r="R40" s="11">
        <f>IFERROR(IF(INDEX('Test catalog'!$P$2:$P$200,MATCH($Y40,'Test catalog'!$A$2:$A$200,0))="","",INDEX('Test catalog'!$P$2:$P$200,MATCH($Y40,'Test catalog'!$A$2:$A$200,0))),"")</f>
        <v/>
      </c>
      <c r="S40" s="14" t="n"/>
      <c r="T40" s="5" t="n"/>
      <c r="U40" s="11">
        <f>IFERROR(IF(INDEX('Test catalog'!$Q$2:$Q$200,MATCH($Y40,'Test catalog'!$A$2:$A$200,0))="","",INDEX('Test catalog'!$Q$2:$Q$200,MATCH($Y40,'Test catalog'!$A$2:$A$200,0))),"")</f>
        <v/>
      </c>
      <c r="V40" s="5" t="n"/>
      <c r="W40" s="5" t="n"/>
      <c r="X40" s="5" t="n"/>
      <c r="Y40" s="5" t="inlineStr">
        <is>
          <t>SALM</t>
        </is>
      </c>
      <c r="Z40" s="11" t="inlineStr">
        <is>
          <t>Natural origin, no USP-NF micro test - confirm (USP &lt;2023&gt;)</t>
        </is>
      </c>
    </row>
    <row r="41">
      <c r="A41" s="11" t="inlineStr">
        <is>
          <t>Dexlansoprazole Pellets 20%</t>
        </is>
      </c>
      <c r="B41" s="11" t="inlineStr">
        <is>
          <t>RM</t>
        </is>
      </c>
      <c r="C41" s="11" t="inlineStr">
        <is>
          <t>Active</t>
        </is>
      </c>
      <c r="D41" s="11" t="inlineStr">
        <is>
          <t>Microbial enumeration - TAMC + TYMC (&lt;61&gt; / &lt;2021&gt;)</t>
        </is>
      </c>
      <c r="E41" s="5" t="inlineStr">
        <is>
          <t>N</t>
        </is>
      </c>
      <c r="F41" s="5" t="n"/>
      <c r="G41" s="11">
        <f>IFERROR(IF(INDEX('Test catalog'!$F$2:$F$200,MATCH($Y41,'Test catalog'!$A$2:$A$200,0))="","",INDEX('Test catalog'!$F$2:$F$200,MATCH($Y41,'Test catalog'!$A$2:$A$200,0))),"")</f>
        <v/>
      </c>
      <c r="H41" s="11">
        <f>IFERROR(IF(INDEX('Test catalog'!$G$2:$G$200,MATCH($Y41,'Test catalog'!$A$2:$A$200,0))="","",INDEX('Test catalog'!$G$2:$G$200,MATCH($Y41,'Test catalog'!$A$2:$A$200,0))),"")</f>
        <v/>
      </c>
      <c r="I41" s="11">
        <f>IFERROR(IF(INDEX('Test catalog'!$H$2:$H$200,MATCH($Y41,'Test catalog'!$A$2:$A$200,0))="","",INDEX('Test catalog'!$H$2:$H$200,MATCH($Y41,'Test catalog'!$A$2:$A$200,0))),"")</f>
        <v/>
      </c>
      <c r="J41" s="11">
        <f>IFERROR(IF(INDEX('Test catalog'!$I$2:$I$200,MATCH($Y41,'Test catalog'!$A$2:$A$200,0))="","",INDEX('Test catalog'!$I$2:$I$200,MATCH($Y41,'Test catalog'!$A$2:$A$200,0))),"")</f>
        <v/>
      </c>
      <c r="K41" s="13">
        <f>IF(I41="","",IF(OR(H41="",J41=""),I41,(H41+4*I41+J41)/6))</f>
        <v/>
      </c>
      <c r="L41" s="11">
        <f>IFERROR(IF(INDEX('Test catalog'!$J$2:$J$200,MATCH($Y41,'Test catalog'!$A$2:$A$200,0))="","",INDEX('Test catalog'!$J$2:$J$200,MATCH($Y41,'Test catalog'!$A$2:$A$200,0))),"")</f>
        <v/>
      </c>
      <c r="M41" s="11">
        <f>IFERROR(IF(INDEX('Test catalog'!$K$2:$K$200,MATCH($Y41,'Test catalog'!$A$2:$A$200,0))="","",INDEX('Test catalog'!$K$2:$K$200,MATCH($Y41,'Test catalog'!$A$2:$A$200,0))),"")</f>
        <v/>
      </c>
      <c r="N41" s="11">
        <f>IFERROR(IF(INDEX('Test catalog'!$L$2:$L$200,MATCH($Y41,'Test catalog'!$A$2:$A$200,0))="","",INDEX('Test catalog'!$L$2:$L$200,MATCH($Y41,'Test catalog'!$A$2:$A$200,0))),"")</f>
        <v/>
      </c>
      <c r="O41" s="11">
        <f>IFERROR(IF(INDEX('Test catalog'!$M$2:$M$200,MATCH($Y41,'Test catalog'!$A$2:$A$200,0))="","",INDEX('Test catalog'!$M$2:$M$200,MATCH($Y41,'Test catalog'!$A$2:$A$200,0))),"")</f>
        <v/>
      </c>
      <c r="P41" s="11">
        <f>IFERROR(IF(INDEX('Test catalog'!$N$2:$N$200,MATCH($Y41,'Test catalog'!$A$2:$A$200,0))="","",INDEX('Test catalog'!$N$2:$N$200,MATCH($Y41,'Test catalog'!$A$2:$A$200,0))),"")</f>
        <v/>
      </c>
      <c r="Q41" s="11">
        <f>IFERROR(IF(INDEX('Test catalog'!$O$2:$O$200,MATCH($Y41,'Test catalog'!$A$2:$A$200,0))="","",INDEX('Test catalog'!$O$2:$O$200,MATCH($Y41,'Test catalog'!$A$2:$A$200,0))),"")</f>
        <v/>
      </c>
      <c r="R41" s="11">
        <f>IFERROR(IF(INDEX('Test catalog'!$P$2:$P$200,MATCH($Y41,'Test catalog'!$A$2:$A$200,0))="","",INDEX('Test catalog'!$P$2:$P$200,MATCH($Y41,'Test catalog'!$A$2:$A$200,0))),"")</f>
        <v/>
      </c>
      <c r="S41" s="14" t="n"/>
      <c r="T41" s="5" t="n"/>
      <c r="U41" s="11">
        <f>IFERROR(IF(INDEX('Test catalog'!$Q$2:$Q$200,MATCH($Y41,'Test catalog'!$A$2:$A$200,0))="","",INDEX('Test catalog'!$Q$2:$Q$200,MATCH($Y41,'Test catalog'!$A$2:$A$200,0))),"")</f>
        <v/>
      </c>
      <c r="V41" s="5" t="n"/>
      <c r="W41" s="5" t="n"/>
      <c r="X41" s="5" t="n"/>
      <c r="Y41" s="5" t="inlineStr">
        <is>
          <t>ENUM</t>
        </is>
      </c>
      <c r="Z41" s="11" t="inlineStr">
        <is>
          <t>No micro test in USP-NF - set Y if your specification has one</t>
        </is>
      </c>
    </row>
    <row r="42">
      <c r="A42" s="11" t="inlineStr">
        <is>
          <t>Dextromethorphan HBr</t>
        </is>
      </c>
      <c r="B42" s="11" t="inlineStr">
        <is>
          <t>RM</t>
        </is>
      </c>
      <c r="C42" s="11" t="inlineStr">
        <is>
          <t>Active</t>
        </is>
      </c>
      <c r="D42" s="11" t="inlineStr">
        <is>
          <t>Microbial enumeration - TAMC + TYMC (&lt;61&gt; / &lt;2021&gt;)</t>
        </is>
      </c>
      <c r="E42" s="5" t="inlineStr">
        <is>
          <t>N</t>
        </is>
      </c>
      <c r="F42" s="5" t="n"/>
      <c r="G42" s="11">
        <f>IFERROR(IF(INDEX('Test catalog'!$F$2:$F$200,MATCH($Y42,'Test catalog'!$A$2:$A$200,0))="","",INDEX('Test catalog'!$F$2:$F$200,MATCH($Y42,'Test catalog'!$A$2:$A$200,0))),"")</f>
        <v/>
      </c>
      <c r="H42" s="11">
        <f>IFERROR(IF(INDEX('Test catalog'!$G$2:$G$200,MATCH($Y42,'Test catalog'!$A$2:$A$200,0))="","",INDEX('Test catalog'!$G$2:$G$200,MATCH($Y42,'Test catalog'!$A$2:$A$200,0))),"")</f>
        <v/>
      </c>
      <c r="I42" s="11">
        <f>IFERROR(IF(INDEX('Test catalog'!$H$2:$H$200,MATCH($Y42,'Test catalog'!$A$2:$A$200,0))="","",INDEX('Test catalog'!$H$2:$H$200,MATCH($Y42,'Test catalog'!$A$2:$A$200,0))),"")</f>
        <v/>
      </c>
      <c r="J42" s="11">
        <f>IFERROR(IF(INDEX('Test catalog'!$I$2:$I$200,MATCH($Y42,'Test catalog'!$A$2:$A$200,0))="","",INDEX('Test catalog'!$I$2:$I$200,MATCH($Y42,'Test catalog'!$A$2:$A$200,0))),"")</f>
        <v/>
      </c>
      <c r="K42" s="13">
        <f>IF(I42="","",IF(OR(H42="",J42=""),I42,(H42+4*I42+J42)/6))</f>
        <v/>
      </c>
      <c r="L42" s="11">
        <f>IFERROR(IF(INDEX('Test catalog'!$J$2:$J$200,MATCH($Y42,'Test catalog'!$A$2:$A$200,0))="","",INDEX('Test catalog'!$J$2:$J$200,MATCH($Y42,'Test catalog'!$A$2:$A$200,0))),"")</f>
        <v/>
      </c>
      <c r="M42" s="11">
        <f>IFERROR(IF(INDEX('Test catalog'!$K$2:$K$200,MATCH($Y42,'Test catalog'!$A$2:$A$200,0))="","",INDEX('Test catalog'!$K$2:$K$200,MATCH($Y42,'Test catalog'!$A$2:$A$200,0))),"")</f>
        <v/>
      </c>
      <c r="N42" s="11">
        <f>IFERROR(IF(INDEX('Test catalog'!$L$2:$L$200,MATCH($Y42,'Test catalog'!$A$2:$A$200,0))="","",INDEX('Test catalog'!$L$2:$L$200,MATCH($Y42,'Test catalog'!$A$2:$A$200,0))),"")</f>
        <v/>
      </c>
      <c r="O42" s="11">
        <f>IFERROR(IF(INDEX('Test catalog'!$M$2:$M$200,MATCH($Y42,'Test catalog'!$A$2:$A$200,0))="","",INDEX('Test catalog'!$M$2:$M$200,MATCH($Y42,'Test catalog'!$A$2:$A$200,0))),"")</f>
        <v/>
      </c>
      <c r="P42" s="11">
        <f>IFERROR(IF(INDEX('Test catalog'!$N$2:$N$200,MATCH($Y42,'Test catalog'!$A$2:$A$200,0))="","",INDEX('Test catalog'!$N$2:$N$200,MATCH($Y42,'Test catalog'!$A$2:$A$200,0))),"")</f>
        <v/>
      </c>
      <c r="Q42" s="11">
        <f>IFERROR(IF(INDEX('Test catalog'!$O$2:$O$200,MATCH($Y42,'Test catalog'!$A$2:$A$200,0))="","",INDEX('Test catalog'!$O$2:$O$200,MATCH($Y42,'Test catalog'!$A$2:$A$200,0))),"")</f>
        <v/>
      </c>
      <c r="R42" s="11">
        <f>IFERROR(IF(INDEX('Test catalog'!$P$2:$P$200,MATCH($Y42,'Test catalog'!$A$2:$A$200,0))="","",INDEX('Test catalog'!$P$2:$P$200,MATCH($Y42,'Test catalog'!$A$2:$A$200,0))),"")</f>
        <v/>
      </c>
      <c r="S42" s="14" t="n"/>
      <c r="T42" s="5" t="n"/>
      <c r="U42" s="11">
        <f>IFERROR(IF(INDEX('Test catalog'!$Q$2:$Q$200,MATCH($Y42,'Test catalog'!$A$2:$A$200,0))="","",INDEX('Test catalog'!$Q$2:$Q$200,MATCH($Y42,'Test catalog'!$A$2:$A$200,0))),"")</f>
        <v/>
      </c>
      <c r="V42" s="5" t="n"/>
      <c r="W42" s="5" t="n"/>
      <c r="X42" s="5" t="n"/>
      <c r="Y42" s="5" t="inlineStr">
        <is>
          <t>ENUM</t>
        </is>
      </c>
      <c r="Z42" s="11" t="inlineStr">
        <is>
          <t>No micro test in USP-NF - set Y if your specification has one</t>
        </is>
      </c>
    </row>
    <row r="43">
      <c r="A43" s="11" t="inlineStr">
        <is>
          <t>Diphenhydramine HCl</t>
        </is>
      </c>
      <c r="B43" s="11" t="inlineStr">
        <is>
          <t>RM</t>
        </is>
      </c>
      <c r="C43" s="11" t="inlineStr">
        <is>
          <t>Active</t>
        </is>
      </c>
      <c r="D43" s="11" t="inlineStr">
        <is>
          <t>Microbial enumeration - TAMC + TYMC (&lt;61&gt; / &lt;2021&gt;)</t>
        </is>
      </c>
      <c r="E43" s="5" t="inlineStr">
        <is>
          <t>N</t>
        </is>
      </c>
      <c r="F43" s="5" t="n"/>
      <c r="G43" s="11">
        <f>IFERROR(IF(INDEX('Test catalog'!$F$2:$F$200,MATCH($Y43,'Test catalog'!$A$2:$A$200,0))="","",INDEX('Test catalog'!$F$2:$F$200,MATCH($Y43,'Test catalog'!$A$2:$A$200,0))),"")</f>
        <v/>
      </c>
      <c r="H43" s="11">
        <f>IFERROR(IF(INDEX('Test catalog'!$G$2:$G$200,MATCH($Y43,'Test catalog'!$A$2:$A$200,0))="","",INDEX('Test catalog'!$G$2:$G$200,MATCH($Y43,'Test catalog'!$A$2:$A$200,0))),"")</f>
        <v/>
      </c>
      <c r="I43" s="11">
        <f>IFERROR(IF(INDEX('Test catalog'!$H$2:$H$200,MATCH($Y43,'Test catalog'!$A$2:$A$200,0))="","",INDEX('Test catalog'!$H$2:$H$200,MATCH($Y43,'Test catalog'!$A$2:$A$200,0))),"")</f>
        <v/>
      </c>
      <c r="J43" s="11">
        <f>IFERROR(IF(INDEX('Test catalog'!$I$2:$I$200,MATCH($Y43,'Test catalog'!$A$2:$A$200,0))="","",INDEX('Test catalog'!$I$2:$I$200,MATCH($Y43,'Test catalog'!$A$2:$A$200,0))),"")</f>
        <v/>
      </c>
      <c r="K43" s="13">
        <f>IF(I43="","",IF(OR(H43="",J43=""),I43,(H43+4*I43+J43)/6))</f>
        <v/>
      </c>
      <c r="L43" s="11">
        <f>IFERROR(IF(INDEX('Test catalog'!$J$2:$J$200,MATCH($Y43,'Test catalog'!$A$2:$A$200,0))="","",INDEX('Test catalog'!$J$2:$J$200,MATCH($Y43,'Test catalog'!$A$2:$A$200,0))),"")</f>
        <v/>
      </c>
      <c r="M43" s="11">
        <f>IFERROR(IF(INDEX('Test catalog'!$K$2:$K$200,MATCH($Y43,'Test catalog'!$A$2:$A$200,0))="","",INDEX('Test catalog'!$K$2:$K$200,MATCH($Y43,'Test catalog'!$A$2:$A$200,0))),"")</f>
        <v/>
      </c>
      <c r="N43" s="11">
        <f>IFERROR(IF(INDEX('Test catalog'!$L$2:$L$200,MATCH($Y43,'Test catalog'!$A$2:$A$200,0))="","",INDEX('Test catalog'!$L$2:$L$200,MATCH($Y43,'Test catalog'!$A$2:$A$200,0))),"")</f>
        <v/>
      </c>
      <c r="O43" s="11">
        <f>IFERROR(IF(INDEX('Test catalog'!$M$2:$M$200,MATCH($Y43,'Test catalog'!$A$2:$A$200,0))="","",INDEX('Test catalog'!$M$2:$M$200,MATCH($Y43,'Test catalog'!$A$2:$A$200,0))),"")</f>
        <v/>
      </c>
      <c r="P43" s="11">
        <f>IFERROR(IF(INDEX('Test catalog'!$N$2:$N$200,MATCH($Y43,'Test catalog'!$A$2:$A$200,0))="","",INDEX('Test catalog'!$N$2:$N$200,MATCH($Y43,'Test catalog'!$A$2:$A$200,0))),"")</f>
        <v/>
      </c>
      <c r="Q43" s="11">
        <f>IFERROR(IF(INDEX('Test catalog'!$O$2:$O$200,MATCH($Y43,'Test catalog'!$A$2:$A$200,0))="","",INDEX('Test catalog'!$O$2:$O$200,MATCH($Y43,'Test catalog'!$A$2:$A$200,0))),"")</f>
        <v/>
      </c>
      <c r="R43" s="11">
        <f>IFERROR(IF(INDEX('Test catalog'!$P$2:$P$200,MATCH($Y43,'Test catalog'!$A$2:$A$200,0))="","",INDEX('Test catalog'!$P$2:$P$200,MATCH($Y43,'Test catalog'!$A$2:$A$200,0))),"")</f>
        <v/>
      </c>
      <c r="S43" s="14" t="n"/>
      <c r="T43" s="5" t="n"/>
      <c r="U43" s="11">
        <f>IFERROR(IF(INDEX('Test catalog'!$Q$2:$Q$200,MATCH($Y43,'Test catalog'!$A$2:$A$200,0))="","",INDEX('Test catalog'!$Q$2:$Q$200,MATCH($Y43,'Test catalog'!$A$2:$A$200,0))),"")</f>
        <v/>
      </c>
      <c r="V43" s="5" t="n"/>
      <c r="W43" s="5" t="n"/>
      <c r="X43" s="5" t="n"/>
      <c r="Y43" s="5" t="inlineStr">
        <is>
          <t>ENUM</t>
        </is>
      </c>
      <c r="Z43" s="11" t="inlineStr">
        <is>
          <t>No micro test in USP-NF - set Y if your specification has one</t>
        </is>
      </c>
    </row>
    <row r="44">
      <c r="A44" s="11" t="inlineStr">
        <is>
          <t>dl-Alpha Tocopheryl Acetate 50% (Vitamin E)</t>
        </is>
      </c>
      <c r="B44" s="11" t="inlineStr">
        <is>
          <t>RM</t>
        </is>
      </c>
      <c r="C44" s="11" t="inlineStr">
        <is>
          <t>Active</t>
        </is>
      </c>
      <c r="D44" s="11" t="inlineStr">
        <is>
          <t>Microbial enumeration - TAMC + TYMC (&lt;61&gt; / &lt;2021&gt;)</t>
        </is>
      </c>
      <c r="E44" s="5" t="inlineStr">
        <is>
          <t>N</t>
        </is>
      </c>
      <c r="F44" s="5" t="n"/>
      <c r="G44" s="11">
        <f>IFERROR(IF(INDEX('Test catalog'!$F$2:$F$200,MATCH($Y44,'Test catalog'!$A$2:$A$200,0))="","",INDEX('Test catalog'!$F$2:$F$200,MATCH($Y44,'Test catalog'!$A$2:$A$200,0))),"")</f>
        <v/>
      </c>
      <c r="H44" s="11">
        <f>IFERROR(IF(INDEX('Test catalog'!$G$2:$G$200,MATCH($Y44,'Test catalog'!$A$2:$A$200,0))="","",INDEX('Test catalog'!$G$2:$G$200,MATCH($Y44,'Test catalog'!$A$2:$A$200,0))),"")</f>
        <v/>
      </c>
      <c r="I44" s="11">
        <f>IFERROR(IF(INDEX('Test catalog'!$H$2:$H$200,MATCH($Y44,'Test catalog'!$A$2:$A$200,0))="","",INDEX('Test catalog'!$H$2:$H$200,MATCH($Y44,'Test catalog'!$A$2:$A$200,0))),"")</f>
        <v/>
      </c>
      <c r="J44" s="11">
        <f>IFERROR(IF(INDEX('Test catalog'!$I$2:$I$200,MATCH($Y44,'Test catalog'!$A$2:$A$200,0))="","",INDEX('Test catalog'!$I$2:$I$200,MATCH($Y44,'Test catalog'!$A$2:$A$200,0))),"")</f>
        <v/>
      </c>
      <c r="K44" s="13">
        <f>IF(I44="","",IF(OR(H44="",J44=""),I44,(H44+4*I44+J44)/6))</f>
        <v/>
      </c>
      <c r="L44" s="11">
        <f>IFERROR(IF(INDEX('Test catalog'!$J$2:$J$200,MATCH($Y44,'Test catalog'!$A$2:$A$200,0))="","",INDEX('Test catalog'!$J$2:$J$200,MATCH($Y44,'Test catalog'!$A$2:$A$200,0))),"")</f>
        <v/>
      </c>
      <c r="M44" s="11">
        <f>IFERROR(IF(INDEX('Test catalog'!$K$2:$K$200,MATCH($Y44,'Test catalog'!$A$2:$A$200,0))="","",INDEX('Test catalog'!$K$2:$K$200,MATCH($Y44,'Test catalog'!$A$2:$A$200,0))),"")</f>
        <v/>
      </c>
      <c r="N44" s="11">
        <f>IFERROR(IF(INDEX('Test catalog'!$L$2:$L$200,MATCH($Y44,'Test catalog'!$A$2:$A$200,0))="","",INDEX('Test catalog'!$L$2:$L$200,MATCH($Y44,'Test catalog'!$A$2:$A$200,0))),"")</f>
        <v/>
      </c>
      <c r="O44" s="11">
        <f>IFERROR(IF(INDEX('Test catalog'!$M$2:$M$200,MATCH($Y44,'Test catalog'!$A$2:$A$200,0))="","",INDEX('Test catalog'!$M$2:$M$200,MATCH($Y44,'Test catalog'!$A$2:$A$200,0))),"")</f>
        <v/>
      </c>
      <c r="P44" s="11">
        <f>IFERROR(IF(INDEX('Test catalog'!$N$2:$N$200,MATCH($Y44,'Test catalog'!$A$2:$A$200,0))="","",INDEX('Test catalog'!$N$2:$N$200,MATCH($Y44,'Test catalog'!$A$2:$A$200,0))),"")</f>
        <v/>
      </c>
      <c r="Q44" s="11">
        <f>IFERROR(IF(INDEX('Test catalog'!$O$2:$O$200,MATCH($Y44,'Test catalog'!$A$2:$A$200,0))="","",INDEX('Test catalog'!$O$2:$O$200,MATCH($Y44,'Test catalog'!$A$2:$A$200,0))),"")</f>
        <v/>
      </c>
      <c r="R44" s="11">
        <f>IFERROR(IF(INDEX('Test catalog'!$P$2:$P$200,MATCH($Y44,'Test catalog'!$A$2:$A$200,0))="","",INDEX('Test catalog'!$P$2:$P$200,MATCH($Y44,'Test catalog'!$A$2:$A$200,0))),"")</f>
        <v/>
      </c>
      <c r="S44" s="14" t="n"/>
      <c r="T44" s="5" t="n"/>
      <c r="U44" s="11">
        <f>IFERROR(IF(INDEX('Test catalog'!$Q$2:$Q$200,MATCH($Y44,'Test catalog'!$A$2:$A$200,0))="","",INDEX('Test catalog'!$Q$2:$Q$200,MATCH($Y44,'Test catalog'!$A$2:$A$200,0))),"")</f>
        <v/>
      </c>
      <c r="V44" s="5" t="n"/>
      <c r="W44" s="5" t="n"/>
      <c r="X44" s="5" t="n"/>
      <c r="Y44" s="5" t="inlineStr">
        <is>
          <t>ENUM</t>
        </is>
      </c>
      <c r="Z44" s="11" t="inlineStr">
        <is>
          <t>No micro test in USP-NF - set Y if your specification has one</t>
        </is>
      </c>
    </row>
    <row r="45">
      <c r="A45" s="11" t="inlineStr">
        <is>
          <t>Echinacea Purpurea Dry Extract</t>
        </is>
      </c>
      <c r="B45" s="11" t="inlineStr">
        <is>
          <t>RM</t>
        </is>
      </c>
      <c r="C45" s="11" t="inlineStr">
        <is>
          <t>Active</t>
        </is>
      </c>
      <c r="D45" s="11" t="inlineStr">
        <is>
          <t>Microbial enumeration - TAMC + TYMC (&lt;61&gt; / &lt;2021&gt;)</t>
        </is>
      </c>
      <c r="E45" s="5" t="inlineStr">
        <is>
          <t>Y</t>
        </is>
      </c>
      <c r="F45" s="5" t="n"/>
      <c r="G45" s="11">
        <f>IFERROR(IF(INDEX('Test catalog'!$F$2:$F$200,MATCH($Y45,'Test catalog'!$A$2:$A$200,0))="","",INDEX('Test catalog'!$F$2:$F$200,MATCH($Y45,'Test catalog'!$A$2:$A$200,0))),"")</f>
        <v/>
      </c>
      <c r="H45" s="11">
        <f>IFERROR(IF(INDEX('Test catalog'!$G$2:$G$200,MATCH($Y45,'Test catalog'!$A$2:$A$200,0))="","",INDEX('Test catalog'!$G$2:$G$200,MATCH($Y45,'Test catalog'!$A$2:$A$200,0))),"")</f>
        <v/>
      </c>
      <c r="I45" s="11">
        <f>IFERROR(IF(INDEX('Test catalog'!$H$2:$H$200,MATCH($Y45,'Test catalog'!$A$2:$A$200,0))="","",INDEX('Test catalog'!$H$2:$H$200,MATCH($Y45,'Test catalog'!$A$2:$A$200,0))),"")</f>
        <v/>
      </c>
      <c r="J45" s="11">
        <f>IFERROR(IF(INDEX('Test catalog'!$I$2:$I$200,MATCH($Y45,'Test catalog'!$A$2:$A$200,0))="","",INDEX('Test catalog'!$I$2:$I$200,MATCH($Y45,'Test catalog'!$A$2:$A$200,0))),"")</f>
        <v/>
      </c>
      <c r="K45" s="13">
        <f>IF(I45="","",IF(OR(H45="",J45=""),I45,(H45+4*I45+J45)/6))</f>
        <v/>
      </c>
      <c r="L45" s="11">
        <f>IFERROR(IF(INDEX('Test catalog'!$J$2:$J$200,MATCH($Y45,'Test catalog'!$A$2:$A$200,0))="","",INDEX('Test catalog'!$J$2:$J$200,MATCH($Y45,'Test catalog'!$A$2:$A$200,0))),"")</f>
        <v/>
      </c>
      <c r="M45" s="11">
        <f>IFERROR(IF(INDEX('Test catalog'!$K$2:$K$200,MATCH($Y45,'Test catalog'!$A$2:$A$200,0))="","",INDEX('Test catalog'!$K$2:$K$200,MATCH($Y45,'Test catalog'!$A$2:$A$200,0))),"")</f>
        <v/>
      </c>
      <c r="N45" s="11">
        <f>IFERROR(IF(INDEX('Test catalog'!$L$2:$L$200,MATCH($Y45,'Test catalog'!$A$2:$A$200,0))="","",INDEX('Test catalog'!$L$2:$L$200,MATCH($Y45,'Test catalog'!$A$2:$A$200,0))),"")</f>
        <v/>
      </c>
      <c r="O45" s="11">
        <f>IFERROR(IF(INDEX('Test catalog'!$M$2:$M$200,MATCH($Y45,'Test catalog'!$A$2:$A$200,0))="","",INDEX('Test catalog'!$M$2:$M$200,MATCH($Y45,'Test catalog'!$A$2:$A$200,0))),"")</f>
        <v/>
      </c>
      <c r="P45" s="11">
        <f>IFERROR(IF(INDEX('Test catalog'!$N$2:$N$200,MATCH($Y45,'Test catalog'!$A$2:$A$200,0))="","",INDEX('Test catalog'!$N$2:$N$200,MATCH($Y45,'Test catalog'!$A$2:$A$200,0))),"")</f>
        <v/>
      </c>
      <c r="Q45" s="11">
        <f>IFERROR(IF(INDEX('Test catalog'!$O$2:$O$200,MATCH($Y45,'Test catalog'!$A$2:$A$200,0))="","",INDEX('Test catalog'!$O$2:$O$200,MATCH($Y45,'Test catalog'!$A$2:$A$200,0))),"")</f>
        <v/>
      </c>
      <c r="R45" s="11">
        <f>IFERROR(IF(INDEX('Test catalog'!$P$2:$P$200,MATCH($Y45,'Test catalog'!$A$2:$A$200,0))="","",INDEX('Test catalog'!$P$2:$P$200,MATCH($Y45,'Test catalog'!$A$2:$A$200,0))),"")</f>
        <v/>
      </c>
      <c r="S45" s="14" t="n"/>
      <c r="T45" s="5" t="n"/>
      <c r="U45" s="11">
        <f>IFERROR(IF(INDEX('Test catalog'!$Q$2:$Q$200,MATCH($Y45,'Test catalog'!$A$2:$A$200,0))="","",INDEX('Test catalog'!$Q$2:$Q$200,MATCH($Y45,'Test catalog'!$A$2:$A$200,0))),"")</f>
        <v/>
      </c>
      <c r="V45" s="5" t="n"/>
      <c r="W45" s="5" t="n"/>
      <c r="X45" s="5" t="n"/>
      <c r="Y45" s="5" t="inlineStr">
        <is>
          <t>ENUM</t>
        </is>
      </c>
      <c r="Z45" s="11" t="inlineStr">
        <is>
          <t>USP-NF monograph &lt;2021&gt;</t>
        </is>
      </c>
    </row>
    <row r="46">
      <c r="A46" s="11" t="inlineStr">
        <is>
          <t>Echinacea Purpurea Dry Extract</t>
        </is>
      </c>
      <c r="B46" s="11" t="inlineStr">
        <is>
          <t>RM</t>
        </is>
      </c>
      <c r="C46" s="11" t="inlineStr">
        <is>
          <t>Active</t>
        </is>
      </c>
      <c r="D46" s="11" t="inlineStr">
        <is>
          <t>Absence of Escherichia coli (&lt;62&gt; / &lt;2022&gt;)</t>
        </is>
      </c>
      <c r="E46" s="5" t="inlineStr">
        <is>
          <t>Y</t>
        </is>
      </c>
      <c r="F46" s="5" t="n"/>
      <c r="G46" s="11">
        <f>IFERROR(IF(INDEX('Test catalog'!$F$2:$F$200,MATCH($Y46,'Test catalog'!$A$2:$A$200,0))="","",INDEX('Test catalog'!$F$2:$F$200,MATCH($Y46,'Test catalog'!$A$2:$A$200,0))),"")</f>
        <v/>
      </c>
      <c r="H46" s="11">
        <f>IFERROR(IF(INDEX('Test catalog'!$G$2:$G$200,MATCH($Y46,'Test catalog'!$A$2:$A$200,0))="","",INDEX('Test catalog'!$G$2:$G$200,MATCH($Y46,'Test catalog'!$A$2:$A$200,0))),"")</f>
        <v/>
      </c>
      <c r="I46" s="11">
        <f>IFERROR(IF(INDEX('Test catalog'!$H$2:$H$200,MATCH($Y46,'Test catalog'!$A$2:$A$200,0))="","",INDEX('Test catalog'!$H$2:$H$200,MATCH($Y46,'Test catalog'!$A$2:$A$200,0))),"")</f>
        <v/>
      </c>
      <c r="J46" s="11">
        <f>IFERROR(IF(INDEX('Test catalog'!$I$2:$I$200,MATCH($Y46,'Test catalog'!$A$2:$A$200,0))="","",INDEX('Test catalog'!$I$2:$I$200,MATCH($Y46,'Test catalog'!$A$2:$A$200,0))),"")</f>
        <v/>
      </c>
      <c r="K46" s="13">
        <f>IF(I46="","",IF(OR(H46="",J46=""),I46,(H46+4*I46+J46)/6))</f>
        <v/>
      </c>
      <c r="L46" s="11">
        <f>IFERROR(IF(INDEX('Test catalog'!$J$2:$J$200,MATCH($Y46,'Test catalog'!$A$2:$A$200,0))="","",INDEX('Test catalog'!$J$2:$J$200,MATCH($Y46,'Test catalog'!$A$2:$A$200,0))),"")</f>
        <v/>
      </c>
      <c r="M46" s="11">
        <f>IFERROR(IF(INDEX('Test catalog'!$K$2:$K$200,MATCH($Y46,'Test catalog'!$A$2:$A$200,0))="","",INDEX('Test catalog'!$K$2:$K$200,MATCH($Y46,'Test catalog'!$A$2:$A$200,0))),"")</f>
        <v/>
      </c>
      <c r="N46" s="11">
        <f>IFERROR(IF(INDEX('Test catalog'!$L$2:$L$200,MATCH($Y46,'Test catalog'!$A$2:$A$200,0))="","",INDEX('Test catalog'!$L$2:$L$200,MATCH($Y46,'Test catalog'!$A$2:$A$200,0))),"")</f>
        <v/>
      </c>
      <c r="O46" s="11">
        <f>IFERROR(IF(INDEX('Test catalog'!$M$2:$M$200,MATCH($Y46,'Test catalog'!$A$2:$A$200,0))="","",INDEX('Test catalog'!$M$2:$M$200,MATCH($Y46,'Test catalog'!$A$2:$A$200,0))),"")</f>
        <v/>
      </c>
      <c r="P46" s="11">
        <f>IFERROR(IF(INDEX('Test catalog'!$N$2:$N$200,MATCH($Y46,'Test catalog'!$A$2:$A$200,0))="","",INDEX('Test catalog'!$N$2:$N$200,MATCH($Y46,'Test catalog'!$A$2:$A$200,0))),"")</f>
        <v/>
      </c>
      <c r="Q46" s="11">
        <f>IFERROR(IF(INDEX('Test catalog'!$O$2:$O$200,MATCH($Y46,'Test catalog'!$A$2:$A$200,0))="","",INDEX('Test catalog'!$O$2:$O$200,MATCH($Y46,'Test catalog'!$A$2:$A$200,0))),"")</f>
        <v/>
      </c>
      <c r="R46" s="11">
        <f>IFERROR(IF(INDEX('Test catalog'!$P$2:$P$200,MATCH($Y46,'Test catalog'!$A$2:$A$200,0))="","",INDEX('Test catalog'!$P$2:$P$200,MATCH($Y46,'Test catalog'!$A$2:$A$200,0))),"")</f>
        <v/>
      </c>
      <c r="S46" s="14" t="n"/>
      <c r="T46" s="5" t="n"/>
      <c r="U46" s="11">
        <f>IFERROR(IF(INDEX('Test catalog'!$Q$2:$Q$200,MATCH($Y46,'Test catalog'!$A$2:$A$200,0))="","",INDEX('Test catalog'!$Q$2:$Q$200,MATCH($Y46,'Test catalog'!$A$2:$A$200,0))),"")</f>
        <v/>
      </c>
      <c r="V46" s="5" t="n"/>
      <c r="W46" s="5" t="n"/>
      <c r="X46" s="5" t="n"/>
      <c r="Y46" s="5" t="inlineStr">
        <is>
          <t>ECOLI</t>
        </is>
      </c>
      <c r="Z46" s="11" t="inlineStr">
        <is>
          <t>USP-NF monograph &lt;2022&gt;</t>
        </is>
      </c>
    </row>
    <row r="47">
      <c r="A47" s="11" t="inlineStr">
        <is>
          <t>Echinacea Purpurea Dry Extract</t>
        </is>
      </c>
      <c r="B47" s="11" t="inlineStr">
        <is>
          <t>RM</t>
        </is>
      </c>
      <c r="C47" s="11" t="inlineStr">
        <is>
          <t>Active</t>
        </is>
      </c>
      <c r="D47" s="11" t="inlineStr">
        <is>
          <t>Absence of Salmonella (&lt;62&gt; / &lt;2022&gt;)</t>
        </is>
      </c>
      <c r="E47" s="5" t="inlineStr">
        <is>
          <t>Y</t>
        </is>
      </c>
      <c r="F47" s="5" t="n"/>
      <c r="G47" s="11">
        <f>IFERROR(IF(INDEX('Test catalog'!$F$2:$F$200,MATCH($Y47,'Test catalog'!$A$2:$A$200,0))="","",INDEX('Test catalog'!$F$2:$F$200,MATCH($Y47,'Test catalog'!$A$2:$A$200,0))),"")</f>
        <v/>
      </c>
      <c r="H47" s="11">
        <f>IFERROR(IF(INDEX('Test catalog'!$G$2:$G$200,MATCH($Y47,'Test catalog'!$A$2:$A$200,0))="","",INDEX('Test catalog'!$G$2:$G$200,MATCH($Y47,'Test catalog'!$A$2:$A$200,0))),"")</f>
        <v/>
      </c>
      <c r="I47" s="11">
        <f>IFERROR(IF(INDEX('Test catalog'!$H$2:$H$200,MATCH($Y47,'Test catalog'!$A$2:$A$200,0))="","",INDEX('Test catalog'!$H$2:$H$200,MATCH($Y47,'Test catalog'!$A$2:$A$200,0))),"")</f>
        <v/>
      </c>
      <c r="J47" s="11">
        <f>IFERROR(IF(INDEX('Test catalog'!$I$2:$I$200,MATCH($Y47,'Test catalog'!$A$2:$A$200,0))="","",INDEX('Test catalog'!$I$2:$I$200,MATCH($Y47,'Test catalog'!$A$2:$A$200,0))),"")</f>
        <v/>
      </c>
      <c r="K47" s="13">
        <f>IF(I47="","",IF(OR(H47="",J47=""),I47,(H47+4*I47+J47)/6))</f>
        <v/>
      </c>
      <c r="L47" s="11">
        <f>IFERROR(IF(INDEX('Test catalog'!$J$2:$J$200,MATCH($Y47,'Test catalog'!$A$2:$A$200,0))="","",INDEX('Test catalog'!$J$2:$J$200,MATCH($Y47,'Test catalog'!$A$2:$A$200,0))),"")</f>
        <v/>
      </c>
      <c r="M47" s="11">
        <f>IFERROR(IF(INDEX('Test catalog'!$K$2:$K$200,MATCH($Y47,'Test catalog'!$A$2:$A$200,0))="","",INDEX('Test catalog'!$K$2:$K$200,MATCH($Y47,'Test catalog'!$A$2:$A$200,0))),"")</f>
        <v/>
      </c>
      <c r="N47" s="11">
        <f>IFERROR(IF(INDEX('Test catalog'!$L$2:$L$200,MATCH($Y47,'Test catalog'!$A$2:$A$200,0))="","",INDEX('Test catalog'!$L$2:$L$200,MATCH($Y47,'Test catalog'!$A$2:$A$200,0))),"")</f>
        <v/>
      </c>
      <c r="O47" s="11">
        <f>IFERROR(IF(INDEX('Test catalog'!$M$2:$M$200,MATCH($Y47,'Test catalog'!$A$2:$A$200,0))="","",INDEX('Test catalog'!$M$2:$M$200,MATCH($Y47,'Test catalog'!$A$2:$A$200,0))),"")</f>
        <v/>
      </c>
      <c r="P47" s="11">
        <f>IFERROR(IF(INDEX('Test catalog'!$N$2:$N$200,MATCH($Y47,'Test catalog'!$A$2:$A$200,0))="","",INDEX('Test catalog'!$N$2:$N$200,MATCH($Y47,'Test catalog'!$A$2:$A$200,0))),"")</f>
        <v/>
      </c>
      <c r="Q47" s="11">
        <f>IFERROR(IF(INDEX('Test catalog'!$O$2:$O$200,MATCH($Y47,'Test catalog'!$A$2:$A$200,0))="","",INDEX('Test catalog'!$O$2:$O$200,MATCH($Y47,'Test catalog'!$A$2:$A$200,0))),"")</f>
        <v/>
      </c>
      <c r="R47" s="11">
        <f>IFERROR(IF(INDEX('Test catalog'!$P$2:$P$200,MATCH($Y47,'Test catalog'!$A$2:$A$200,0))="","",INDEX('Test catalog'!$P$2:$P$200,MATCH($Y47,'Test catalog'!$A$2:$A$200,0))),"")</f>
        <v/>
      </c>
      <c r="S47" s="14" t="n"/>
      <c r="T47" s="5" t="n"/>
      <c r="U47" s="11">
        <f>IFERROR(IF(INDEX('Test catalog'!$Q$2:$Q$200,MATCH($Y47,'Test catalog'!$A$2:$A$200,0))="","",INDEX('Test catalog'!$Q$2:$Q$200,MATCH($Y47,'Test catalog'!$A$2:$A$200,0))),"")</f>
        <v/>
      </c>
      <c r="V47" s="5" t="n"/>
      <c r="W47" s="5" t="n"/>
      <c r="X47" s="5" t="n"/>
      <c r="Y47" s="5" t="inlineStr">
        <is>
          <t>SALM</t>
        </is>
      </c>
      <c r="Z47" s="11" t="inlineStr">
        <is>
          <t>USP-NF monograph &lt;2022&gt;</t>
        </is>
      </c>
    </row>
    <row r="48">
      <c r="A48" s="11" t="inlineStr">
        <is>
          <t>Empagliflozin</t>
        </is>
      </c>
      <c r="B48" s="11" t="inlineStr">
        <is>
          <t>RM</t>
        </is>
      </c>
      <c r="C48" s="11" t="inlineStr">
        <is>
          <t>Active</t>
        </is>
      </c>
      <c r="D48" s="11" t="inlineStr">
        <is>
          <t>Microbial enumeration - TAMC + TYMC (&lt;61&gt; / &lt;2021&gt;)</t>
        </is>
      </c>
      <c r="E48" s="5" t="inlineStr">
        <is>
          <t>N</t>
        </is>
      </c>
      <c r="F48" s="5" t="n"/>
      <c r="G48" s="11">
        <f>IFERROR(IF(INDEX('Test catalog'!$F$2:$F$200,MATCH($Y48,'Test catalog'!$A$2:$A$200,0))="","",INDEX('Test catalog'!$F$2:$F$200,MATCH($Y48,'Test catalog'!$A$2:$A$200,0))),"")</f>
        <v/>
      </c>
      <c r="H48" s="11">
        <f>IFERROR(IF(INDEX('Test catalog'!$G$2:$G$200,MATCH($Y48,'Test catalog'!$A$2:$A$200,0))="","",INDEX('Test catalog'!$G$2:$G$200,MATCH($Y48,'Test catalog'!$A$2:$A$200,0))),"")</f>
        <v/>
      </c>
      <c r="I48" s="11">
        <f>IFERROR(IF(INDEX('Test catalog'!$H$2:$H$200,MATCH($Y48,'Test catalog'!$A$2:$A$200,0))="","",INDEX('Test catalog'!$H$2:$H$200,MATCH($Y48,'Test catalog'!$A$2:$A$200,0))),"")</f>
        <v/>
      </c>
      <c r="J48" s="11">
        <f>IFERROR(IF(INDEX('Test catalog'!$I$2:$I$200,MATCH($Y48,'Test catalog'!$A$2:$A$200,0))="","",INDEX('Test catalog'!$I$2:$I$200,MATCH($Y48,'Test catalog'!$A$2:$A$200,0))),"")</f>
        <v/>
      </c>
      <c r="K48" s="13">
        <f>IF(I48="","",IF(OR(H48="",J48=""),I48,(H48+4*I48+J48)/6))</f>
        <v/>
      </c>
      <c r="L48" s="11">
        <f>IFERROR(IF(INDEX('Test catalog'!$J$2:$J$200,MATCH($Y48,'Test catalog'!$A$2:$A$200,0))="","",INDEX('Test catalog'!$J$2:$J$200,MATCH($Y48,'Test catalog'!$A$2:$A$200,0))),"")</f>
        <v/>
      </c>
      <c r="M48" s="11">
        <f>IFERROR(IF(INDEX('Test catalog'!$K$2:$K$200,MATCH($Y48,'Test catalog'!$A$2:$A$200,0))="","",INDEX('Test catalog'!$K$2:$K$200,MATCH($Y48,'Test catalog'!$A$2:$A$200,0))),"")</f>
        <v/>
      </c>
      <c r="N48" s="11">
        <f>IFERROR(IF(INDEX('Test catalog'!$L$2:$L$200,MATCH($Y48,'Test catalog'!$A$2:$A$200,0))="","",INDEX('Test catalog'!$L$2:$L$200,MATCH($Y48,'Test catalog'!$A$2:$A$200,0))),"")</f>
        <v/>
      </c>
      <c r="O48" s="11">
        <f>IFERROR(IF(INDEX('Test catalog'!$M$2:$M$200,MATCH($Y48,'Test catalog'!$A$2:$A$200,0))="","",INDEX('Test catalog'!$M$2:$M$200,MATCH($Y48,'Test catalog'!$A$2:$A$200,0))),"")</f>
        <v/>
      </c>
      <c r="P48" s="11">
        <f>IFERROR(IF(INDEX('Test catalog'!$N$2:$N$200,MATCH($Y48,'Test catalog'!$A$2:$A$200,0))="","",INDEX('Test catalog'!$N$2:$N$200,MATCH($Y48,'Test catalog'!$A$2:$A$200,0))),"")</f>
        <v/>
      </c>
      <c r="Q48" s="11">
        <f>IFERROR(IF(INDEX('Test catalog'!$O$2:$O$200,MATCH($Y48,'Test catalog'!$A$2:$A$200,0))="","",INDEX('Test catalog'!$O$2:$O$200,MATCH($Y48,'Test catalog'!$A$2:$A$200,0))),"")</f>
        <v/>
      </c>
      <c r="R48" s="11">
        <f>IFERROR(IF(INDEX('Test catalog'!$P$2:$P$200,MATCH($Y48,'Test catalog'!$A$2:$A$200,0))="","",INDEX('Test catalog'!$P$2:$P$200,MATCH($Y48,'Test catalog'!$A$2:$A$200,0))),"")</f>
        <v/>
      </c>
      <c r="S48" s="14" t="n"/>
      <c r="T48" s="5" t="n"/>
      <c r="U48" s="11">
        <f>IFERROR(IF(INDEX('Test catalog'!$Q$2:$Q$200,MATCH($Y48,'Test catalog'!$A$2:$A$200,0))="","",INDEX('Test catalog'!$Q$2:$Q$200,MATCH($Y48,'Test catalog'!$A$2:$A$200,0))),"")</f>
        <v/>
      </c>
      <c r="V48" s="5" t="n"/>
      <c r="W48" s="5" t="n"/>
      <c r="X48" s="5" t="n"/>
      <c r="Y48" s="5" t="inlineStr">
        <is>
          <t>ENUM</t>
        </is>
      </c>
      <c r="Z48" s="11" t="inlineStr">
        <is>
          <t>No micro test in USP-NF - set Y if your specification has one</t>
        </is>
      </c>
    </row>
    <row r="49">
      <c r="A49" s="11" t="inlineStr">
        <is>
          <t>Epimedium Grandiflorum (Horny Goat Weed) Dry Extract 20:1</t>
        </is>
      </c>
      <c r="B49" s="11" t="inlineStr">
        <is>
          <t>RM</t>
        </is>
      </c>
      <c r="C49" s="11" t="inlineStr">
        <is>
          <t>Active</t>
        </is>
      </c>
      <c r="D49" s="11" t="inlineStr">
        <is>
          <t>Microbial enumeration - TAMC + TYMC (&lt;61&gt; / &lt;2021&gt;)</t>
        </is>
      </c>
      <c r="E49" s="5" t="inlineStr">
        <is>
          <t>Y</t>
        </is>
      </c>
      <c r="F49" s="5" t="n"/>
      <c r="G49" s="11">
        <f>IFERROR(IF(INDEX('Test catalog'!$F$2:$F$200,MATCH($Y49,'Test catalog'!$A$2:$A$200,0))="","",INDEX('Test catalog'!$F$2:$F$200,MATCH($Y49,'Test catalog'!$A$2:$A$200,0))),"")</f>
        <v/>
      </c>
      <c r="H49" s="11">
        <f>IFERROR(IF(INDEX('Test catalog'!$G$2:$G$200,MATCH($Y49,'Test catalog'!$A$2:$A$200,0))="","",INDEX('Test catalog'!$G$2:$G$200,MATCH($Y49,'Test catalog'!$A$2:$A$200,0))),"")</f>
        <v/>
      </c>
      <c r="I49" s="11">
        <f>IFERROR(IF(INDEX('Test catalog'!$H$2:$H$200,MATCH($Y49,'Test catalog'!$A$2:$A$200,0))="","",INDEX('Test catalog'!$H$2:$H$200,MATCH($Y49,'Test catalog'!$A$2:$A$200,0))),"")</f>
        <v/>
      </c>
      <c r="J49" s="11">
        <f>IFERROR(IF(INDEX('Test catalog'!$I$2:$I$200,MATCH($Y49,'Test catalog'!$A$2:$A$200,0))="","",INDEX('Test catalog'!$I$2:$I$200,MATCH($Y49,'Test catalog'!$A$2:$A$200,0))),"")</f>
        <v/>
      </c>
      <c r="K49" s="13">
        <f>IF(I49="","",IF(OR(H49="",J49=""),I49,(H49+4*I49+J49)/6))</f>
        <v/>
      </c>
      <c r="L49" s="11">
        <f>IFERROR(IF(INDEX('Test catalog'!$J$2:$J$200,MATCH($Y49,'Test catalog'!$A$2:$A$200,0))="","",INDEX('Test catalog'!$J$2:$J$200,MATCH($Y49,'Test catalog'!$A$2:$A$200,0))),"")</f>
        <v/>
      </c>
      <c r="M49" s="11">
        <f>IFERROR(IF(INDEX('Test catalog'!$K$2:$K$200,MATCH($Y49,'Test catalog'!$A$2:$A$200,0))="","",INDEX('Test catalog'!$K$2:$K$200,MATCH($Y49,'Test catalog'!$A$2:$A$200,0))),"")</f>
        <v/>
      </c>
      <c r="N49" s="11">
        <f>IFERROR(IF(INDEX('Test catalog'!$L$2:$L$200,MATCH($Y49,'Test catalog'!$A$2:$A$200,0))="","",INDEX('Test catalog'!$L$2:$L$200,MATCH($Y49,'Test catalog'!$A$2:$A$200,0))),"")</f>
        <v/>
      </c>
      <c r="O49" s="11">
        <f>IFERROR(IF(INDEX('Test catalog'!$M$2:$M$200,MATCH($Y49,'Test catalog'!$A$2:$A$200,0))="","",INDEX('Test catalog'!$M$2:$M$200,MATCH($Y49,'Test catalog'!$A$2:$A$200,0))),"")</f>
        <v/>
      </c>
      <c r="P49" s="11">
        <f>IFERROR(IF(INDEX('Test catalog'!$N$2:$N$200,MATCH($Y49,'Test catalog'!$A$2:$A$200,0))="","",INDEX('Test catalog'!$N$2:$N$200,MATCH($Y49,'Test catalog'!$A$2:$A$200,0))),"")</f>
        <v/>
      </c>
      <c r="Q49" s="11">
        <f>IFERROR(IF(INDEX('Test catalog'!$O$2:$O$200,MATCH($Y49,'Test catalog'!$A$2:$A$200,0))="","",INDEX('Test catalog'!$O$2:$O$200,MATCH($Y49,'Test catalog'!$A$2:$A$200,0))),"")</f>
        <v/>
      </c>
      <c r="R49" s="11">
        <f>IFERROR(IF(INDEX('Test catalog'!$P$2:$P$200,MATCH($Y49,'Test catalog'!$A$2:$A$200,0))="","",INDEX('Test catalog'!$P$2:$P$200,MATCH($Y49,'Test catalog'!$A$2:$A$200,0))),"")</f>
        <v/>
      </c>
      <c r="S49" s="14" t="n"/>
      <c r="T49" s="5" t="n"/>
      <c r="U49" s="11">
        <f>IFERROR(IF(INDEX('Test catalog'!$Q$2:$Q$200,MATCH($Y49,'Test catalog'!$A$2:$A$200,0))="","",INDEX('Test catalog'!$Q$2:$Q$200,MATCH($Y49,'Test catalog'!$A$2:$A$200,0))),"")</f>
        <v/>
      </c>
      <c r="V49" s="5" t="n"/>
      <c r="W49" s="5" t="n"/>
      <c r="X49" s="5" t="n"/>
      <c r="Y49" s="5" t="inlineStr">
        <is>
          <t>ENUM</t>
        </is>
      </c>
      <c r="Z49" s="11" t="inlineStr">
        <is>
          <t>Natural origin, no USP-NF micro test - confirm (USP &lt;2023&gt;)</t>
        </is>
      </c>
    </row>
    <row r="50">
      <c r="A50" s="11" t="inlineStr">
        <is>
          <t>Epimedium Grandiflorum (Horny Goat Weed) Dry Extract 20:1</t>
        </is>
      </c>
      <c r="B50" s="11" t="inlineStr">
        <is>
          <t>RM</t>
        </is>
      </c>
      <c r="C50" s="11" t="inlineStr">
        <is>
          <t>Active</t>
        </is>
      </c>
      <c r="D50" s="11" t="inlineStr">
        <is>
          <t>Absence of Escherichia coli (&lt;62&gt; / &lt;2022&gt;)</t>
        </is>
      </c>
      <c r="E50" s="5" t="inlineStr">
        <is>
          <t>Y</t>
        </is>
      </c>
      <c r="F50" s="5" t="n"/>
      <c r="G50" s="11">
        <f>IFERROR(IF(INDEX('Test catalog'!$F$2:$F$200,MATCH($Y50,'Test catalog'!$A$2:$A$200,0))="","",INDEX('Test catalog'!$F$2:$F$200,MATCH($Y50,'Test catalog'!$A$2:$A$200,0))),"")</f>
        <v/>
      </c>
      <c r="H50" s="11">
        <f>IFERROR(IF(INDEX('Test catalog'!$G$2:$G$200,MATCH($Y50,'Test catalog'!$A$2:$A$200,0))="","",INDEX('Test catalog'!$G$2:$G$200,MATCH($Y50,'Test catalog'!$A$2:$A$200,0))),"")</f>
        <v/>
      </c>
      <c r="I50" s="11">
        <f>IFERROR(IF(INDEX('Test catalog'!$H$2:$H$200,MATCH($Y50,'Test catalog'!$A$2:$A$200,0))="","",INDEX('Test catalog'!$H$2:$H$200,MATCH($Y50,'Test catalog'!$A$2:$A$200,0))),"")</f>
        <v/>
      </c>
      <c r="J50" s="11">
        <f>IFERROR(IF(INDEX('Test catalog'!$I$2:$I$200,MATCH($Y50,'Test catalog'!$A$2:$A$200,0))="","",INDEX('Test catalog'!$I$2:$I$200,MATCH($Y50,'Test catalog'!$A$2:$A$200,0))),"")</f>
        <v/>
      </c>
      <c r="K50" s="13">
        <f>IF(I50="","",IF(OR(H50="",J50=""),I50,(H50+4*I50+J50)/6))</f>
        <v/>
      </c>
      <c r="L50" s="11">
        <f>IFERROR(IF(INDEX('Test catalog'!$J$2:$J$200,MATCH($Y50,'Test catalog'!$A$2:$A$200,0))="","",INDEX('Test catalog'!$J$2:$J$200,MATCH($Y50,'Test catalog'!$A$2:$A$200,0))),"")</f>
        <v/>
      </c>
      <c r="M50" s="11">
        <f>IFERROR(IF(INDEX('Test catalog'!$K$2:$K$200,MATCH($Y50,'Test catalog'!$A$2:$A$200,0))="","",INDEX('Test catalog'!$K$2:$K$200,MATCH($Y50,'Test catalog'!$A$2:$A$200,0))),"")</f>
        <v/>
      </c>
      <c r="N50" s="11">
        <f>IFERROR(IF(INDEX('Test catalog'!$L$2:$L$200,MATCH($Y50,'Test catalog'!$A$2:$A$200,0))="","",INDEX('Test catalog'!$L$2:$L$200,MATCH($Y50,'Test catalog'!$A$2:$A$200,0))),"")</f>
        <v/>
      </c>
      <c r="O50" s="11">
        <f>IFERROR(IF(INDEX('Test catalog'!$M$2:$M$200,MATCH($Y50,'Test catalog'!$A$2:$A$200,0))="","",INDEX('Test catalog'!$M$2:$M$200,MATCH($Y50,'Test catalog'!$A$2:$A$200,0))),"")</f>
        <v/>
      </c>
      <c r="P50" s="11">
        <f>IFERROR(IF(INDEX('Test catalog'!$N$2:$N$200,MATCH($Y50,'Test catalog'!$A$2:$A$200,0))="","",INDEX('Test catalog'!$N$2:$N$200,MATCH($Y50,'Test catalog'!$A$2:$A$200,0))),"")</f>
        <v/>
      </c>
      <c r="Q50" s="11">
        <f>IFERROR(IF(INDEX('Test catalog'!$O$2:$O$200,MATCH($Y50,'Test catalog'!$A$2:$A$200,0))="","",INDEX('Test catalog'!$O$2:$O$200,MATCH($Y50,'Test catalog'!$A$2:$A$200,0))),"")</f>
        <v/>
      </c>
      <c r="R50" s="11">
        <f>IFERROR(IF(INDEX('Test catalog'!$P$2:$P$200,MATCH($Y50,'Test catalog'!$A$2:$A$200,0))="","",INDEX('Test catalog'!$P$2:$P$200,MATCH($Y50,'Test catalog'!$A$2:$A$200,0))),"")</f>
        <v/>
      </c>
      <c r="S50" s="14" t="n"/>
      <c r="T50" s="5" t="n"/>
      <c r="U50" s="11">
        <f>IFERROR(IF(INDEX('Test catalog'!$Q$2:$Q$200,MATCH($Y50,'Test catalog'!$A$2:$A$200,0))="","",INDEX('Test catalog'!$Q$2:$Q$200,MATCH($Y50,'Test catalog'!$A$2:$A$200,0))),"")</f>
        <v/>
      </c>
      <c r="V50" s="5" t="n"/>
      <c r="W50" s="5" t="n"/>
      <c r="X50" s="5" t="n"/>
      <c r="Y50" s="5" t="inlineStr">
        <is>
          <t>ECOLI</t>
        </is>
      </c>
      <c r="Z50" s="11" t="inlineStr">
        <is>
          <t>Natural origin, no USP-NF micro test - confirm (USP &lt;2023&gt;)</t>
        </is>
      </c>
    </row>
    <row r="51">
      <c r="A51" s="11" t="inlineStr">
        <is>
          <t>Epimedium Grandiflorum (Horny Goat Weed) Dry Extract 20:1</t>
        </is>
      </c>
      <c r="B51" s="11" t="inlineStr">
        <is>
          <t>RM</t>
        </is>
      </c>
      <c r="C51" s="11" t="inlineStr">
        <is>
          <t>Active</t>
        </is>
      </c>
      <c r="D51" s="11" t="inlineStr">
        <is>
          <t>Absence of Salmonella (&lt;62&gt; / &lt;2022&gt;)</t>
        </is>
      </c>
      <c r="E51" s="5" t="inlineStr">
        <is>
          <t>Y</t>
        </is>
      </c>
      <c r="F51" s="5" t="n"/>
      <c r="G51" s="11">
        <f>IFERROR(IF(INDEX('Test catalog'!$F$2:$F$200,MATCH($Y51,'Test catalog'!$A$2:$A$200,0))="","",INDEX('Test catalog'!$F$2:$F$200,MATCH($Y51,'Test catalog'!$A$2:$A$200,0))),"")</f>
        <v/>
      </c>
      <c r="H51" s="11">
        <f>IFERROR(IF(INDEX('Test catalog'!$G$2:$G$200,MATCH($Y51,'Test catalog'!$A$2:$A$200,0))="","",INDEX('Test catalog'!$G$2:$G$200,MATCH($Y51,'Test catalog'!$A$2:$A$200,0))),"")</f>
        <v/>
      </c>
      <c r="I51" s="11">
        <f>IFERROR(IF(INDEX('Test catalog'!$H$2:$H$200,MATCH($Y51,'Test catalog'!$A$2:$A$200,0))="","",INDEX('Test catalog'!$H$2:$H$200,MATCH($Y51,'Test catalog'!$A$2:$A$200,0))),"")</f>
        <v/>
      </c>
      <c r="J51" s="11">
        <f>IFERROR(IF(INDEX('Test catalog'!$I$2:$I$200,MATCH($Y51,'Test catalog'!$A$2:$A$200,0))="","",INDEX('Test catalog'!$I$2:$I$200,MATCH($Y51,'Test catalog'!$A$2:$A$200,0))),"")</f>
        <v/>
      </c>
      <c r="K51" s="13">
        <f>IF(I51="","",IF(OR(H51="",J51=""),I51,(H51+4*I51+J51)/6))</f>
        <v/>
      </c>
      <c r="L51" s="11">
        <f>IFERROR(IF(INDEX('Test catalog'!$J$2:$J$200,MATCH($Y51,'Test catalog'!$A$2:$A$200,0))="","",INDEX('Test catalog'!$J$2:$J$200,MATCH($Y51,'Test catalog'!$A$2:$A$200,0))),"")</f>
        <v/>
      </c>
      <c r="M51" s="11">
        <f>IFERROR(IF(INDEX('Test catalog'!$K$2:$K$200,MATCH($Y51,'Test catalog'!$A$2:$A$200,0))="","",INDEX('Test catalog'!$K$2:$K$200,MATCH($Y51,'Test catalog'!$A$2:$A$200,0))),"")</f>
        <v/>
      </c>
      <c r="N51" s="11">
        <f>IFERROR(IF(INDEX('Test catalog'!$L$2:$L$200,MATCH($Y51,'Test catalog'!$A$2:$A$200,0))="","",INDEX('Test catalog'!$L$2:$L$200,MATCH($Y51,'Test catalog'!$A$2:$A$200,0))),"")</f>
        <v/>
      </c>
      <c r="O51" s="11">
        <f>IFERROR(IF(INDEX('Test catalog'!$M$2:$M$200,MATCH($Y51,'Test catalog'!$A$2:$A$200,0))="","",INDEX('Test catalog'!$M$2:$M$200,MATCH($Y51,'Test catalog'!$A$2:$A$200,0))),"")</f>
        <v/>
      </c>
      <c r="P51" s="11">
        <f>IFERROR(IF(INDEX('Test catalog'!$N$2:$N$200,MATCH($Y51,'Test catalog'!$A$2:$A$200,0))="","",INDEX('Test catalog'!$N$2:$N$200,MATCH($Y51,'Test catalog'!$A$2:$A$200,0))),"")</f>
        <v/>
      </c>
      <c r="Q51" s="11">
        <f>IFERROR(IF(INDEX('Test catalog'!$O$2:$O$200,MATCH($Y51,'Test catalog'!$A$2:$A$200,0))="","",INDEX('Test catalog'!$O$2:$O$200,MATCH($Y51,'Test catalog'!$A$2:$A$200,0))),"")</f>
        <v/>
      </c>
      <c r="R51" s="11">
        <f>IFERROR(IF(INDEX('Test catalog'!$P$2:$P$200,MATCH($Y51,'Test catalog'!$A$2:$A$200,0))="","",INDEX('Test catalog'!$P$2:$P$200,MATCH($Y51,'Test catalog'!$A$2:$A$200,0))),"")</f>
        <v/>
      </c>
      <c r="S51" s="14" t="n"/>
      <c r="T51" s="5" t="n"/>
      <c r="U51" s="11">
        <f>IFERROR(IF(INDEX('Test catalog'!$Q$2:$Q$200,MATCH($Y51,'Test catalog'!$A$2:$A$200,0))="","",INDEX('Test catalog'!$Q$2:$Q$200,MATCH($Y51,'Test catalog'!$A$2:$A$200,0))),"")</f>
        <v/>
      </c>
      <c r="V51" s="5" t="n"/>
      <c r="W51" s="5" t="n"/>
      <c r="X51" s="5" t="n"/>
      <c r="Y51" s="5" t="inlineStr">
        <is>
          <t>SALM</t>
        </is>
      </c>
      <c r="Z51" s="11" t="inlineStr">
        <is>
          <t>Natural origin, no USP-NF micro test - confirm (USP &lt;2023&gt;)</t>
        </is>
      </c>
    </row>
    <row r="52">
      <c r="A52" s="11" t="inlineStr">
        <is>
          <t>Ezetimibe</t>
        </is>
      </c>
      <c r="B52" s="11" t="inlineStr">
        <is>
          <t>RM</t>
        </is>
      </c>
      <c r="C52" s="11" t="inlineStr">
        <is>
          <t>Active</t>
        </is>
      </c>
      <c r="D52" s="11" t="inlineStr">
        <is>
          <t>Microbial enumeration - TAMC + TYMC (&lt;61&gt; / &lt;2021&gt;)</t>
        </is>
      </c>
      <c r="E52" s="5" t="inlineStr">
        <is>
          <t>N</t>
        </is>
      </c>
      <c r="F52" s="5" t="n"/>
      <c r="G52" s="11">
        <f>IFERROR(IF(INDEX('Test catalog'!$F$2:$F$200,MATCH($Y52,'Test catalog'!$A$2:$A$200,0))="","",INDEX('Test catalog'!$F$2:$F$200,MATCH($Y52,'Test catalog'!$A$2:$A$200,0))),"")</f>
        <v/>
      </c>
      <c r="H52" s="11">
        <f>IFERROR(IF(INDEX('Test catalog'!$G$2:$G$200,MATCH($Y52,'Test catalog'!$A$2:$A$200,0))="","",INDEX('Test catalog'!$G$2:$G$200,MATCH($Y52,'Test catalog'!$A$2:$A$200,0))),"")</f>
        <v/>
      </c>
      <c r="I52" s="11">
        <f>IFERROR(IF(INDEX('Test catalog'!$H$2:$H$200,MATCH($Y52,'Test catalog'!$A$2:$A$200,0))="","",INDEX('Test catalog'!$H$2:$H$200,MATCH($Y52,'Test catalog'!$A$2:$A$200,0))),"")</f>
        <v/>
      </c>
      <c r="J52" s="11">
        <f>IFERROR(IF(INDEX('Test catalog'!$I$2:$I$200,MATCH($Y52,'Test catalog'!$A$2:$A$200,0))="","",INDEX('Test catalog'!$I$2:$I$200,MATCH($Y52,'Test catalog'!$A$2:$A$200,0))),"")</f>
        <v/>
      </c>
      <c r="K52" s="13">
        <f>IF(I52="","",IF(OR(H52="",J52=""),I52,(H52+4*I52+J52)/6))</f>
        <v/>
      </c>
      <c r="L52" s="11">
        <f>IFERROR(IF(INDEX('Test catalog'!$J$2:$J$200,MATCH($Y52,'Test catalog'!$A$2:$A$200,0))="","",INDEX('Test catalog'!$J$2:$J$200,MATCH($Y52,'Test catalog'!$A$2:$A$200,0))),"")</f>
        <v/>
      </c>
      <c r="M52" s="11">
        <f>IFERROR(IF(INDEX('Test catalog'!$K$2:$K$200,MATCH($Y52,'Test catalog'!$A$2:$A$200,0))="","",INDEX('Test catalog'!$K$2:$K$200,MATCH($Y52,'Test catalog'!$A$2:$A$200,0))),"")</f>
        <v/>
      </c>
      <c r="N52" s="11">
        <f>IFERROR(IF(INDEX('Test catalog'!$L$2:$L$200,MATCH($Y52,'Test catalog'!$A$2:$A$200,0))="","",INDEX('Test catalog'!$L$2:$L$200,MATCH($Y52,'Test catalog'!$A$2:$A$200,0))),"")</f>
        <v/>
      </c>
      <c r="O52" s="11">
        <f>IFERROR(IF(INDEX('Test catalog'!$M$2:$M$200,MATCH($Y52,'Test catalog'!$A$2:$A$200,0))="","",INDEX('Test catalog'!$M$2:$M$200,MATCH($Y52,'Test catalog'!$A$2:$A$200,0))),"")</f>
        <v/>
      </c>
      <c r="P52" s="11">
        <f>IFERROR(IF(INDEX('Test catalog'!$N$2:$N$200,MATCH($Y52,'Test catalog'!$A$2:$A$200,0))="","",INDEX('Test catalog'!$N$2:$N$200,MATCH($Y52,'Test catalog'!$A$2:$A$200,0))),"")</f>
        <v/>
      </c>
      <c r="Q52" s="11">
        <f>IFERROR(IF(INDEX('Test catalog'!$O$2:$O$200,MATCH($Y52,'Test catalog'!$A$2:$A$200,0))="","",INDEX('Test catalog'!$O$2:$O$200,MATCH($Y52,'Test catalog'!$A$2:$A$200,0))),"")</f>
        <v/>
      </c>
      <c r="R52" s="11">
        <f>IFERROR(IF(INDEX('Test catalog'!$P$2:$P$200,MATCH($Y52,'Test catalog'!$A$2:$A$200,0))="","",INDEX('Test catalog'!$P$2:$P$200,MATCH($Y52,'Test catalog'!$A$2:$A$200,0))),"")</f>
        <v/>
      </c>
      <c r="S52" s="14" t="n"/>
      <c r="T52" s="5" t="n"/>
      <c r="U52" s="11">
        <f>IFERROR(IF(INDEX('Test catalog'!$Q$2:$Q$200,MATCH($Y52,'Test catalog'!$A$2:$A$200,0))="","",INDEX('Test catalog'!$Q$2:$Q$200,MATCH($Y52,'Test catalog'!$A$2:$A$200,0))),"")</f>
        <v/>
      </c>
      <c r="V52" s="5" t="n"/>
      <c r="W52" s="5" t="n"/>
      <c r="X52" s="5" t="n"/>
      <c r="Y52" s="5" t="inlineStr">
        <is>
          <t>ENUM</t>
        </is>
      </c>
      <c r="Z52" s="11" t="inlineStr">
        <is>
          <t>No micro test in USP-NF - set Y if your specification has one</t>
        </is>
      </c>
    </row>
    <row r="53">
      <c r="A53" s="11" t="inlineStr">
        <is>
          <t>Fennel Dry Extract 5:1</t>
        </is>
      </c>
      <c r="B53" s="11" t="inlineStr">
        <is>
          <t>RM</t>
        </is>
      </c>
      <c r="C53" s="11" t="inlineStr">
        <is>
          <t>Active</t>
        </is>
      </c>
      <c r="D53" s="11" t="inlineStr">
        <is>
          <t>Microbial enumeration - TAMC + TYMC (&lt;61&gt; / &lt;2021&gt;)</t>
        </is>
      </c>
      <c r="E53" s="5" t="inlineStr">
        <is>
          <t>Y</t>
        </is>
      </c>
      <c r="F53" s="5" t="n"/>
      <c r="G53" s="11">
        <f>IFERROR(IF(INDEX('Test catalog'!$F$2:$F$200,MATCH($Y53,'Test catalog'!$A$2:$A$200,0))="","",INDEX('Test catalog'!$F$2:$F$200,MATCH($Y53,'Test catalog'!$A$2:$A$200,0))),"")</f>
        <v/>
      </c>
      <c r="H53" s="11">
        <f>IFERROR(IF(INDEX('Test catalog'!$G$2:$G$200,MATCH($Y53,'Test catalog'!$A$2:$A$200,0))="","",INDEX('Test catalog'!$G$2:$G$200,MATCH($Y53,'Test catalog'!$A$2:$A$200,0))),"")</f>
        <v/>
      </c>
      <c r="I53" s="11">
        <f>IFERROR(IF(INDEX('Test catalog'!$H$2:$H$200,MATCH($Y53,'Test catalog'!$A$2:$A$200,0))="","",INDEX('Test catalog'!$H$2:$H$200,MATCH($Y53,'Test catalog'!$A$2:$A$200,0))),"")</f>
        <v/>
      </c>
      <c r="J53" s="11">
        <f>IFERROR(IF(INDEX('Test catalog'!$I$2:$I$200,MATCH($Y53,'Test catalog'!$A$2:$A$200,0))="","",INDEX('Test catalog'!$I$2:$I$200,MATCH($Y53,'Test catalog'!$A$2:$A$200,0))),"")</f>
        <v/>
      </c>
      <c r="K53" s="13">
        <f>IF(I53="","",IF(OR(H53="",J53=""),I53,(H53+4*I53+J53)/6))</f>
        <v/>
      </c>
      <c r="L53" s="11">
        <f>IFERROR(IF(INDEX('Test catalog'!$J$2:$J$200,MATCH($Y53,'Test catalog'!$A$2:$A$200,0))="","",INDEX('Test catalog'!$J$2:$J$200,MATCH($Y53,'Test catalog'!$A$2:$A$200,0))),"")</f>
        <v/>
      </c>
      <c r="M53" s="11">
        <f>IFERROR(IF(INDEX('Test catalog'!$K$2:$K$200,MATCH($Y53,'Test catalog'!$A$2:$A$200,0))="","",INDEX('Test catalog'!$K$2:$K$200,MATCH($Y53,'Test catalog'!$A$2:$A$200,0))),"")</f>
        <v/>
      </c>
      <c r="N53" s="11">
        <f>IFERROR(IF(INDEX('Test catalog'!$L$2:$L$200,MATCH($Y53,'Test catalog'!$A$2:$A$200,0))="","",INDEX('Test catalog'!$L$2:$L$200,MATCH($Y53,'Test catalog'!$A$2:$A$200,0))),"")</f>
        <v/>
      </c>
      <c r="O53" s="11">
        <f>IFERROR(IF(INDEX('Test catalog'!$M$2:$M$200,MATCH($Y53,'Test catalog'!$A$2:$A$200,0))="","",INDEX('Test catalog'!$M$2:$M$200,MATCH($Y53,'Test catalog'!$A$2:$A$200,0))),"")</f>
        <v/>
      </c>
      <c r="P53" s="11">
        <f>IFERROR(IF(INDEX('Test catalog'!$N$2:$N$200,MATCH($Y53,'Test catalog'!$A$2:$A$200,0))="","",INDEX('Test catalog'!$N$2:$N$200,MATCH($Y53,'Test catalog'!$A$2:$A$200,0))),"")</f>
        <v/>
      </c>
      <c r="Q53" s="11">
        <f>IFERROR(IF(INDEX('Test catalog'!$O$2:$O$200,MATCH($Y53,'Test catalog'!$A$2:$A$200,0))="","",INDEX('Test catalog'!$O$2:$O$200,MATCH($Y53,'Test catalog'!$A$2:$A$200,0))),"")</f>
        <v/>
      </c>
      <c r="R53" s="11">
        <f>IFERROR(IF(INDEX('Test catalog'!$P$2:$P$200,MATCH($Y53,'Test catalog'!$A$2:$A$200,0))="","",INDEX('Test catalog'!$P$2:$P$200,MATCH($Y53,'Test catalog'!$A$2:$A$200,0))),"")</f>
        <v/>
      </c>
      <c r="S53" s="14" t="n"/>
      <c r="T53" s="5" t="n"/>
      <c r="U53" s="11">
        <f>IFERROR(IF(INDEX('Test catalog'!$Q$2:$Q$200,MATCH($Y53,'Test catalog'!$A$2:$A$200,0))="","",INDEX('Test catalog'!$Q$2:$Q$200,MATCH($Y53,'Test catalog'!$A$2:$A$200,0))),"")</f>
        <v/>
      </c>
      <c r="V53" s="5" t="n"/>
      <c r="W53" s="5" t="n"/>
      <c r="X53" s="5" t="n"/>
      <c r="Y53" s="5" t="inlineStr">
        <is>
          <t>ENUM</t>
        </is>
      </c>
      <c r="Z53" s="11" t="inlineStr">
        <is>
          <t>Natural origin, no USP-NF micro test - confirm (USP &lt;2023&gt;)</t>
        </is>
      </c>
    </row>
    <row r="54">
      <c r="A54" s="11" t="inlineStr">
        <is>
          <t>Fennel Dry Extract 5:1</t>
        </is>
      </c>
      <c r="B54" s="11" t="inlineStr">
        <is>
          <t>RM</t>
        </is>
      </c>
      <c r="C54" s="11" t="inlineStr">
        <is>
          <t>Active</t>
        </is>
      </c>
      <c r="D54" s="11" t="inlineStr">
        <is>
          <t>Absence of Escherichia coli (&lt;62&gt; / &lt;2022&gt;)</t>
        </is>
      </c>
      <c r="E54" s="5" t="inlineStr">
        <is>
          <t>Y</t>
        </is>
      </c>
      <c r="F54" s="5" t="n"/>
      <c r="G54" s="11">
        <f>IFERROR(IF(INDEX('Test catalog'!$F$2:$F$200,MATCH($Y54,'Test catalog'!$A$2:$A$200,0))="","",INDEX('Test catalog'!$F$2:$F$200,MATCH($Y54,'Test catalog'!$A$2:$A$200,0))),"")</f>
        <v/>
      </c>
      <c r="H54" s="11">
        <f>IFERROR(IF(INDEX('Test catalog'!$G$2:$G$200,MATCH($Y54,'Test catalog'!$A$2:$A$200,0))="","",INDEX('Test catalog'!$G$2:$G$200,MATCH($Y54,'Test catalog'!$A$2:$A$200,0))),"")</f>
        <v/>
      </c>
      <c r="I54" s="11">
        <f>IFERROR(IF(INDEX('Test catalog'!$H$2:$H$200,MATCH($Y54,'Test catalog'!$A$2:$A$200,0))="","",INDEX('Test catalog'!$H$2:$H$200,MATCH($Y54,'Test catalog'!$A$2:$A$200,0))),"")</f>
        <v/>
      </c>
      <c r="J54" s="11">
        <f>IFERROR(IF(INDEX('Test catalog'!$I$2:$I$200,MATCH($Y54,'Test catalog'!$A$2:$A$200,0))="","",INDEX('Test catalog'!$I$2:$I$200,MATCH($Y54,'Test catalog'!$A$2:$A$200,0))),"")</f>
        <v/>
      </c>
      <c r="K54" s="13">
        <f>IF(I54="","",IF(OR(H54="",J54=""),I54,(H54+4*I54+J54)/6))</f>
        <v/>
      </c>
      <c r="L54" s="11">
        <f>IFERROR(IF(INDEX('Test catalog'!$J$2:$J$200,MATCH($Y54,'Test catalog'!$A$2:$A$200,0))="","",INDEX('Test catalog'!$J$2:$J$200,MATCH($Y54,'Test catalog'!$A$2:$A$200,0))),"")</f>
        <v/>
      </c>
      <c r="M54" s="11">
        <f>IFERROR(IF(INDEX('Test catalog'!$K$2:$K$200,MATCH($Y54,'Test catalog'!$A$2:$A$200,0))="","",INDEX('Test catalog'!$K$2:$K$200,MATCH($Y54,'Test catalog'!$A$2:$A$200,0))),"")</f>
        <v/>
      </c>
      <c r="N54" s="11">
        <f>IFERROR(IF(INDEX('Test catalog'!$L$2:$L$200,MATCH($Y54,'Test catalog'!$A$2:$A$200,0))="","",INDEX('Test catalog'!$L$2:$L$200,MATCH($Y54,'Test catalog'!$A$2:$A$200,0))),"")</f>
        <v/>
      </c>
      <c r="O54" s="11">
        <f>IFERROR(IF(INDEX('Test catalog'!$M$2:$M$200,MATCH($Y54,'Test catalog'!$A$2:$A$200,0))="","",INDEX('Test catalog'!$M$2:$M$200,MATCH($Y54,'Test catalog'!$A$2:$A$200,0))),"")</f>
        <v/>
      </c>
      <c r="P54" s="11">
        <f>IFERROR(IF(INDEX('Test catalog'!$N$2:$N$200,MATCH($Y54,'Test catalog'!$A$2:$A$200,0))="","",INDEX('Test catalog'!$N$2:$N$200,MATCH($Y54,'Test catalog'!$A$2:$A$200,0))),"")</f>
        <v/>
      </c>
      <c r="Q54" s="11">
        <f>IFERROR(IF(INDEX('Test catalog'!$O$2:$O$200,MATCH($Y54,'Test catalog'!$A$2:$A$200,0))="","",INDEX('Test catalog'!$O$2:$O$200,MATCH($Y54,'Test catalog'!$A$2:$A$200,0))),"")</f>
        <v/>
      </c>
      <c r="R54" s="11">
        <f>IFERROR(IF(INDEX('Test catalog'!$P$2:$P$200,MATCH($Y54,'Test catalog'!$A$2:$A$200,0))="","",INDEX('Test catalog'!$P$2:$P$200,MATCH($Y54,'Test catalog'!$A$2:$A$200,0))),"")</f>
        <v/>
      </c>
      <c r="S54" s="14" t="n"/>
      <c r="T54" s="5" t="n"/>
      <c r="U54" s="11">
        <f>IFERROR(IF(INDEX('Test catalog'!$Q$2:$Q$200,MATCH($Y54,'Test catalog'!$A$2:$A$200,0))="","",INDEX('Test catalog'!$Q$2:$Q$200,MATCH($Y54,'Test catalog'!$A$2:$A$200,0))),"")</f>
        <v/>
      </c>
      <c r="V54" s="5" t="n"/>
      <c r="W54" s="5" t="n"/>
      <c r="X54" s="5" t="n"/>
      <c r="Y54" s="5" t="inlineStr">
        <is>
          <t>ECOLI</t>
        </is>
      </c>
      <c r="Z54" s="11" t="inlineStr">
        <is>
          <t>Natural origin, no USP-NF micro test - confirm (USP &lt;2023&gt;)</t>
        </is>
      </c>
    </row>
    <row r="55">
      <c r="A55" s="11" t="inlineStr">
        <is>
          <t>Fennel Dry Extract 5:1</t>
        </is>
      </c>
      <c r="B55" s="11" t="inlineStr">
        <is>
          <t>RM</t>
        </is>
      </c>
      <c r="C55" s="11" t="inlineStr">
        <is>
          <t>Active</t>
        </is>
      </c>
      <c r="D55" s="11" t="inlineStr">
        <is>
          <t>Absence of Salmonella (&lt;62&gt; / &lt;2022&gt;)</t>
        </is>
      </c>
      <c r="E55" s="5" t="inlineStr">
        <is>
          <t>Y</t>
        </is>
      </c>
      <c r="F55" s="5" t="n"/>
      <c r="G55" s="11">
        <f>IFERROR(IF(INDEX('Test catalog'!$F$2:$F$200,MATCH($Y55,'Test catalog'!$A$2:$A$200,0))="","",INDEX('Test catalog'!$F$2:$F$200,MATCH($Y55,'Test catalog'!$A$2:$A$200,0))),"")</f>
        <v/>
      </c>
      <c r="H55" s="11">
        <f>IFERROR(IF(INDEX('Test catalog'!$G$2:$G$200,MATCH($Y55,'Test catalog'!$A$2:$A$200,0))="","",INDEX('Test catalog'!$G$2:$G$200,MATCH($Y55,'Test catalog'!$A$2:$A$200,0))),"")</f>
        <v/>
      </c>
      <c r="I55" s="11">
        <f>IFERROR(IF(INDEX('Test catalog'!$H$2:$H$200,MATCH($Y55,'Test catalog'!$A$2:$A$200,0))="","",INDEX('Test catalog'!$H$2:$H$200,MATCH($Y55,'Test catalog'!$A$2:$A$200,0))),"")</f>
        <v/>
      </c>
      <c r="J55" s="11">
        <f>IFERROR(IF(INDEX('Test catalog'!$I$2:$I$200,MATCH($Y55,'Test catalog'!$A$2:$A$200,0))="","",INDEX('Test catalog'!$I$2:$I$200,MATCH($Y55,'Test catalog'!$A$2:$A$200,0))),"")</f>
        <v/>
      </c>
      <c r="K55" s="13">
        <f>IF(I55="","",IF(OR(H55="",J55=""),I55,(H55+4*I55+J55)/6))</f>
        <v/>
      </c>
      <c r="L55" s="11">
        <f>IFERROR(IF(INDEX('Test catalog'!$J$2:$J$200,MATCH($Y55,'Test catalog'!$A$2:$A$200,0))="","",INDEX('Test catalog'!$J$2:$J$200,MATCH($Y55,'Test catalog'!$A$2:$A$200,0))),"")</f>
        <v/>
      </c>
      <c r="M55" s="11">
        <f>IFERROR(IF(INDEX('Test catalog'!$K$2:$K$200,MATCH($Y55,'Test catalog'!$A$2:$A$200,0))="","",INDEX('Test catalog'!$K$2:$K$200,MATCH($Y55,'Test catalog'!$A$2:$A$200,0))),"")</f>
        <v/>
      </c>
      <c r="N55" s="11">
        <f>IFERROR(IF(INDEX('Test catalog'!$L$2:$L$200,MATCH($Y55,'Test catalog'!$A$2:$A$200,0))="","",INDEX('Test catalog'!$L$2:$L$200,MATCH($Y55,'Test catalog'!$A$2:$A$200,0))),"")</f>
        <v/>
      </c>
      <c r="O55" s="11">
        <f>IFERROR(IF(INDEX('Test catalog'!$M$2:$M$200,MATCH($Y55,'Test catalog'!$A$2:$A$200,0))="","",INDEX('Test catalog'!$M$2:$M$200,MATCH($Y55,'Test catalog'!$A$2:$A$200,0))),"")</f>
        <v/>
      </c>
      <c r="P55" s="11">
        <f>IFERROR(IF(INDEX('Test catalog'!$N$2:$N$200,MATCH($Y55,'Test catalog'!$A$2:$A$200,0))="","",INDEX('Test catalog'!$N$2:$N$200,MATCH($Y55,'Test catalog'!$A$2:$A$200,0))),"")</f>
        <v/>
      </c>
      <c r="Q55" s="11">
        <f>IFERROR(IF(INDEX('Test catalog'!$O$2:$O$200,MATCH($Y55,'Test catalog'!$A$2:$A$200,0))="","",INDEX('Test catalog'!$O$2:$O$200,MATCH($Y55,'Test catalog'!$A$2:$A$200,0))),"")</f>
        <v/>
      </c>
      <c r="R55" s="11">
        <f>IFERROR(IF(INDEX('Test catalog'!$P$2:$P$200,MATCH($Y55,'Test catalog'!$A$2:$A$200,0))="","",INDEX('Test catalog'!$P$2:$P$200,MATCH($Y55,'Test catalog'!$A$2:$A$200,0))),"")</f>
        <v/>
      </c>
      <c r="S55" s="14" t="n"/>
      <c r="T55" s="5" t="n"/>
      <c r="U55" s="11">
        <f>IFERROR(IF(INDEX('Test catalog'!$Q$2:$Q$200,MATCH($Y55,'Test catalog'!$A$2:$A$200,0))="","",INDEX('Test catalog'!$Q$2:$Q$200,MATCH($Y55,'Test catalog'!$A$2:$A$200,0))),"")</f>
        <v/>
      </c>
      <c r="V55" s="5" t="n"/>
      <c r="W55" s="5" t="n"/>
      <c r="X55" s="5" t="n"/>
      <c r="Y55" s="5" t="inlineStr">
        <is>
          <t>SALM</t>
        </is>
      </c>
      <c r="Z55" s="11" t="inlineStr">
        <is>
          <t>Natural origin, no USP-NF micro test - confirm (USP &lt;2023&gt;)</t>
        </is>
      </c>
    </row>
    <row r="56">
      <c r="A56" s="11" t="inlineStr">
        <is>
          <t>Ferrous Bisglycinate</t>
        </is>
      </c>
      <c r="B56" s="11" t="inlineStr">
        <is>
          <t>RM</t>
        </is>
      </c>
      <c r="C56" s="11" t="inlineStr">
        <is>
          <t>Active</t>
        </is>
      </c>
      <c r="D56" s="11" t="inlineStr">
        <is>
          <t>Microbial enumeration - TAMC + TYMC (&lt;61&gt; / &lt;2021&gt;)</t>
        </is>
      </c>
      <c r="E56" s="5" t="inlineStr">
        <is>
          <t>N</t>
        </is>
      </c>
      <c r="F56" s="5" t="n"/>
      <c r="G56" s="11">
        <f>IFERROR(IF(INDEX('Test catalog'!$F$2:$F$200,MATCH($Y56,'Test catalog'!$A$2:$A$200,0))="","",INDEX('Test catalog'!$F$2:$F$200,MATCH($Y56,'Test catalog'!$A$2:$A$200,0))),"")</f>
        <v/>
      </c>
      <c r="H56" s="11">
        <f>IFERROR(IF(INDEX('Test catalog'!$G$2:$G$200,MATCH($Y56,'Test catalog'!$A$2:$A$200,0))="","",INDEX('Test catalog'!$G$2:$G$200,MATCH($Y56,'Test catalog'!$A$2:$A$200,0))),"")</f>
        <v/>
      </c>
      <c r="I56" s="11">
        <f>IFERROR(IF(INDEX('Test catalog'!$H$2:$H$200,MATCH($Y56,'Test catalog'!$A$2:$A$200,0))="","",INDEX('Test catalog'!$H$2:$H$200,MATCH($Y56,'Test catalog'!$A$2:$A$200,0))),"")</f>
        <v/>
      </c>
      <c r="J56" s="11">
        <f>IFERROR(IF(INDEX('Test catalog'!$I$2:$I$200,MATCH($Y56,'Test catalog'!$A$2:$A$200,0))="","",INDEX('Test catalog'!$I$2:$I$200,MATCH($Y56,'Test catalog'!$A$2:$A$200,0))),"")</f>
        <v/>
      </c>
      <c r="K56" s="13">
        <f>IF(I56="","",IF(OR(H56="",J56=""),I56,(H56+4*I56+J56)/6))</f>
        <v/>
      </c>
      <c r="L56" s="11">
        <f>IFERROR(IF(INDEX('Test catalog'!$J$2:$J$200,MATCH($Y56,'Test catalog'!$A$2:$A$200,0))="","",INDEX('Test catalog'!$J$2:$J$200,MATCH($Y56,'Test catalog'!$A$2:$A$200,0))),"")</f>
        <v/>
      </c>
      <c r="M56" s="11">
        <f>IFERROR(IF(INDEX('Test catalog'!$K$2:$K$200,MATCH($Y56,'Test catalog'!$A$2:$A$200,0))="","",INDEX('Test catalog'!$K$2:$K$200,MATCH($Y56,'Test catalog'!$A$2:$A$200,0))),"")</f>
        <v/>
      </c>
      <c r="N56" s="11">
        <f>IFERROR(IF(INDEX('Test catalog'!$L$2:$L$200,MATCH($Y56,'Test catalog'!$A$2:$A$200,0))="","",INDEX('Test catalog'!$L$2:$L$200,MATCH($Y56,'Test catalog'!$A$2:$A$200,0))),"")</f>
        <v/>
      </c>
      <c r="O56" s="11">
        <f>IFERROR(IF(INDEX('Test catalog'!$M$2:$M$200,MATCH($Y56,'Test catalog'!$A$2:$A$200,0))="","",INDEX('Test catalog'!$M$2:$M$200,MATCH($Y56,'Test catalog'!$A$2:$A$200,0))),"")</f>
        <v/>
      </c>
      <c r="P56" s="11">
        <f>IFERROR(IF(INDEX('Test catalog'!$N$2:$N$200,MATCH($Y56,'Test catalog'!$A$2:$A$200,0))="","",INDEX('Test catalog'!$N$2:$N$200,MATCH($Y56,'Test catalog'!$A$2:$A$200,0))),"")</f>
        <v/>
      </c>
      <c r="Q56" s="11">
        <f>IFERROR(IF(INDEX('Test catalog'!$O$2:$O$200,MATCH($Y56,'Test catalog'!$A$2:$A$200,0))="","",INDEX('Test catalog'!$O$2:$O$200,MATCH($Y56,'Test catalog'!$A$2:$A$200,0))),"")</f>
        <v/>
      </c>
      <c r="R56" s="11">
        <f>IFERROR(IF(INDEX('Test catalog'!$P$2:$P$200,MATCH($Y56,'Test catalog'!$A$2:$A$200,0))="","",INDEX('Test catalog'!$P$2:$P$200,MATCH($Y56,'Test catalog'!$A$2:$A$200,0))),"")</f>
        <v/>
      </c>
      <c r="S56" s="14" t="n"/>
      <c r="T56" s="5" t="n"/>
      <c r="U56" s="11">
        <f>IFERROR(IF(INDEX('Test catalog'!$Q$2:$Q$200,MATCH($Y56,'Test catalog'!$A$2:$A$200,0))="","",INDEX('Test catalog'!$Q$2:$Q$200,MATCH($Y56,'Test catalog'!$A$2:$A$200,0))),"")</f>
        <v/>
      </c>
      <c r="V56" s="5" t="n"/>
      <c r="W56" s="5" t="n"/>
      <c r="X56" s="5" t="n"/>
      <c r="Y56" s="5" t="inlineStr">
        <is>
          <t>ENUM</t>
        </is>
      </c>
      <c r="Z56" s="11" t="inlineStr">
        <is>
          <t>No micro test in USP-NF - set Y if your specification has one</t>
        </is>
      </c>
    </row>
    <row r="57">
      <c r="A57" s="11" t="inlineStr">
        <is>
          <t>Ferrous Fumarate</t>
        </is>
      </c>
      <c r="B57" s="11" t="inlineStr">
        <is>
          <t>RM</t>
        </is>
      </c>
      <c r="C57" s="11" t="inlineStr">
        <is>
          <t>Active</t>
        </is>
      </c>
      <c r="D57" s="11" t="inlineStr">
        <is>
          <t>Microbial enumeration - TAMC + TYMC (&lt;61&gt; / &lt;2021&gt;)</t>
        </is>
      </c>
      <c r="E57" s="5" t="inlineStr">
        <is>
          <t>N</t>
        </is>
      </c>
      <c r="F57" s="5" t="n"/>
      <c r="G57" s="11">
        <f>IFERROR(IF(INDEX('Test catalog'!$F$2:$F$200,MATCH($Y57,'Test catalog'!$A$2:$A$200,0))="","",INDEX('Test catalog'!$F$2:$F$200,MATCH($Y57,'Test catalog'!$A$2:$A$200,0))),"")</f>
        <v/>
      </c>
      <c r="H57" s="11">
        <f>IFERROR(IF(INDEX('Test catalog'!$G$2:$G$200,MATCH($Y57,'Test catalog'!$A$2:$A$200,0))="","",INDEX('Test catalog'!$G$2:$G$200,MATCH($Y57,'Test catalog'!$A$2:$A$200,0))),"")</f>
        <v/>
      </c>
      <c r="I57" s="11">
        <f>IFERROR(IF(INDEX('Test catalog'!$H$2:$H$200,MATCH($Y57,'Test catalog'!$A$2:$A$200,0))="","",INDEX('Test catalog'!$H$2:$H$200,MATCH($Y57,'Test catalog'!$A$2:$A$200,0))),"")</f>
        <v/>
      </c>
      <c r="J57" s="11">
        <f>IFERROR(IF(INDEX('Test catalog'!$I$2:$I$200,MATCH($Y57,'Test catalog'!$A$2:$A$200,0))="","",INDEX('Test catalog'!$I$2:$I$200,MATCH($Y57,'Test catalog'!$A$2:$A$200,0))),"")</f>
        <v/>
      </c>
      <c r="K57" s="13">
        <f>IF(I57="","",IF(OR(H57="",J57=""),I57,(H57+4*I57+J57)/6))</f>
        <v/>
      </c>
      <c r="L57" s="11">
        <f>IFERROR(IF(INDEX('Test catalog'!$J$2:$J$200,MATCH($Y57,'Test catalog'!$A$2:$A$200,0))="","",INDEX('Test catalog'!$J$2:$J$200,MATCH($Y57,'Test catalog'!$A$2:$A$200,0))),"")</f>
        <v/>
      </c>
      <c r="M57" s="11">
        <f>IFERROR(IF(INDEX('Test catalog'!$K$2:$K$200,MATCH($Y57,'Test catalog'!$A$2:$A$200,0))="","",INDEX('Test catalog'!$K$2:$K$200,MATCH($Y57,'Test catalog'!$A$2:$A$200,0))),"")</f>
        <v/>
      </c>
      <c r="N57" s="11">
        <f>IFERROR(IF(INDEX('Test catalog'!$L$2:$L$200,MATCH($Y57,'Test catalog'!$A$2:$A$200,0))="","",INDEX('Test catalog'!$L$2:$L$200,MATCH($Y57,'Test catalog'!$A$2:$A$200,0))),"")</f>
        <v/>
      </c>
      <c r="O57" s="11">
        <f>IFERROR(IF(INDEX('Test catalog'!$M$2:$M$200,MATCH($Y57,'Test catalog'!$A$2:$A$200,0))="","",INDEX('Test catalog'!$M$2:$M$200,MATCH($Y57,'Test catalog'!$A$2:$A$200,0))),"")</f>
        <v/>
      </c>
      <c r="P57" s="11">
        <f>IFERROR(IF(INDEX('Test catalog'!$N$2:$N$200,MATCH($Y57,'Test catalog'!$A$2:$A$200,0))="","",INDEX('Test catalog'!$N$2:$N$200,MATCH($Y57,'Test catalog'!$A$2:$A$200,0))),"")</f>
        <v/>
      </c>
      <c r="Q57" s="11">
        <f>IFERROR(IF(INDEX('Test catalog'!$O$2:$O$200,MATCH($Y57,'Test catalog'!$A$2:$A$200,0))="","",INDEX('Test catalog'!$O$2:$O$200,MATCH($Y57,'Test catalog'!$A$2:$A$200,0))),"")</f>
        <v/>
      </c>
      <c r="R57" s="11">
        <f>IFERROR(IF(INDEX('Test catalog'!$P$2:$P$200,MATCH($Y57,'Test catalog'!$A$2:$A$200,0))="","",INDEX('Test catalog'!$P$2:$P$200,MATCH($Y57,'Test catalog'!$A$2:$A$200,0))),"")</f>
        <v/>
      </c>
      <c r="S57" s="14" t="n"/>
      <c r="T57" s="5" t="n"/>
      <c r="U57" s="11">
        <f>IFERROR(IF(INDEX('Test catalog'!$Q$2:$Q$200,MATCH($Y57,'Test catalog'!$A$2:$A$200,0))="","",INDEX('Test catalog'!$Q$2:$Q$200,MATCH($Y57,'Test catalog'!$A$2:$A$200,0))),"")</f>
        <v/>
      </c>
      <c r="V57" s="5" t="n"/>
      <c r="W57" s="5" t="n"/>
      <c r="X57" s="5" t="n"/>
      <c r="Y57" s="5" t="inlineStr">
        <is>
          <t>ENUM</t>
        </is>
      </c>
      <c r="Z57" s="11" t="inlineStr">
        <is>
          <t>No micro test in USP-NF - set Y if your specification has one</t>
        </is>
      </c>
    </row>
    <row r="58">
      <c r="A58" s="11" t="inlineStr">
        <is>
          <t>Finerenone</t>
        </is>
      </c>
      <c r="B58" s="11" t="inlineStr">
        <is>
          <t>RM</t>
        </is>
      </c>
      <c r="C58" s="11" t="inlineStr">
        <is>
          <t>Active</t>
        </is>
      </c>
      <c r="D58" s="11" t="inlineStr">
        <is>
          <t>Microbial enumeration - TAMC + TYMC (&lt;61&gt; / &lt;2021&gt;)</t>
        </is>
      </c>
      <c r="E58" s="5" t="inlineStr">
        <is>
          <t>N</t>
        </is>
      </c>
      <c r="F58" s="5" t="n"/>
      <c r="G58" s="11">
        <f>IFERROR(IF(INDEX('Test catalog'!$F$2:$F$200,MATCH($Y58,'Test catalog'!$A$2:$A$200,0))="","",INDEX('Test catalog'!$F$2:$F$200,MATCH($Y58,'Test catalog'!$A$2:$A$200,0))),"")</f>
        <v/>
      </c>
      <c r="H58" s="11">
        <f>IFERROR(IF(INDEX('Test catalog'!$G$2:$G$200,MATCH($Y58,'Test catalog'!$A$2:$A$200,0))="","",INDEX('Test catalog'!$G$2:$G$200,MATCH($Y58,'Test catalog'!$A$2:$A$200,0))),"")</f>
        <v/>
      </c>
      <c r="I58" s="11">
        <f>IFERROR(IF(INDEX('Test catalog'!$H$2:$H$200,MATCH($Y58,'Test catalog'!$A$2:$A$200,0))="","",INDEX('Test catalog'!$H$2:$H$200,MATCH($Y58,'Test catalog'!$A$2:$A$200,0))),"")</f>
        <v/>
      </c>
      <c r="J58" s="11">
        <f>IFERROR(IF(INDEX('Test catalog'!$I$2:$I$200,MATCH($Y58,'Test catalog'!$A$2:$A$200,0))="","",INDEX('Test catalog'!$I$2:$I$200,MATCH($Y58,'Test catalog'!$A$2:$A$200,0))),"")</f>
        <v/>
      </c>
      <c r="K58" s="13">
        <f>IF(I58="","",IF(OR(H58="",J58=""),I58,(H58+4*I58+J58)/6))</f>
        <v/>
      </c>
      <c r="L58" s="11">
        <f>IFERROR(IF(INDEX('Test catalog'!$J$2:$J$200,MATCH($Y58,'Test catalog'!$A$2:$A$200,0))="","",INDEX('Test catalog'!$J$2:$J$200,MATCH($Y58,'Test catalog'!$A$2:$A$200,0))),"")</f>
        <v/>
      </c>
      <c r="M58" s="11">
        <f>IFERROR(IF(INDEX('Test catalog'!$K$2:$K$200,MATCH($Y58,'Test catalog'!$A$2:$A$200,0))="","",INDEX('Test catalog'!$K$2:$K$200,MATCH($Y58,'Test catalog'!$A$2:$A$200,0))),"")</f>
        <v/>
      </c>
      <c r="N58" s="11">
        <f>IFERROR(IF(INDEX('Test catalog'!$L$2:$L$200,MATCH($Y58,'Test catalog'!$A$2:$A$200,0))="","",INDEX('Test catalog'!$L$2:$L$200,MATCH($Y58,'Test catalog'!$A$2:$A$200,0))),"")</f>
        <v/>
      </c>
      <c r="O58" s="11">
        <f>IFERROR(IF(INDEX('Test catalog'!$M$2:$M$200,MATCH($Y58,'Test catalog'!$A$2:$A$200,0))="","",INDEX('Test catalog'!$M$2:$M$200,MATCH($Y58,'Test catalog'!$A$2:$A$200,0))),"")</f>
        <v/>
      </c>
      <c r="P58" s="11">
        <f>IFERROR(IF(INDEX('Test catalog'!$N$2:$N$200,MATCH($Y58,'Test catalog'!$A$2:$A$200,0))="","",INDEX('Test catalog'!$N$2:$N$200,MATCH($Y58,'Test catalog'!$A$2:$A$200,0))),"")</f>
        <v/>
      </c>
      <c r="Q58" s="11">
        <f>IFERROR(IF(INDEX('Test catalog'!$O$2:$O$200,MATCH($Y58,'Test catalog'!$A$2:$A$200,0))="","",INDEX('Test catalog'!$O$2:$O$200,MATCH($Y58,'Test catalog'!$A$2:$A$200,0))),"")</f>
        <v/>
      </c>
      <c r="R58" s="11">
        <f>IFERROR(IF(INDEX('Test catalog'!$P$2:$P$200,MATCH($Y58,'Test catalog'!$A$2:$A$200,0))="","",INDEX('Test catalog'!$P$2:$P$200,MATCH($Y58,'Test catalog'!$A$2:$A$200,0))),"")</f>
        <v/>
      </c>
      <c r="S58" s="14" t="n"/>
      <c r="T58" s="5" t="n"/>
      <c r="U58" s="11">
        <f>IFERROR(IF(INDEX('Test catalog'!$Q$2:$Q$200,MATCH($Y58,'Test catalog'!$A$2:$A$200,0))="","",INDEX('Test catalog'!$Q$2:$Q$200,MATCH($Y58,'Test catalog'!$A$2:$A$200,0))),"")</f>
        <v/>
      </c>
      <c r="V58" s="5" t="n"/>
      <c r="W58" s="5" t="n"/>
      <c r="X58" s="5" t="n"/>
      <c r="Y58" s="5" t="inlineStr">
        <is>
          <t>ENUM</t>
        </is>
      </c>
      <c r="Z58" s="11" t="inlineStr">
        <is>
          <t>No micro test in USP-NF - set Y if your specification has one</t>
        </is>
      </c>
    </row>
    <row r="59">
      <c r="A59" s="11" t="inlineStr">
        <is>
          <t>Fluticasone Propionate</t>
        </is>
      </c>
      <c r="B59" s="11" t="inlineStr">
        <is>
          <t>RM</t>
        </is>
      </c>
      <c r="C59" s="11" t="inlineStr">
        <is>
          <t>Active</t>
        </is>
      </c>
      <c r="D59" s="11" t="inlineStr">
        <is>
          <t>Microbial enumeration - TAMC + TYMC (&lt;61&gt; / &lt;2021&gt;)</t>
        </is>
      </c>
      <c r="E59" s="5" t="inlineStr">
        <is>
          <t>N</t>
        </is>
      </c>
      <c r="F59" s="5" t="n"/>
      <c r="G59" s="11">
        <f>IFERROR(IF(INDEX('Test catalog'!$F$2:$F$200,MATCH($Y59,'Test catalog'!$A$2:$A$200,0))="","",INDEX('Test catalog'!$F$2:$F$200,MATCH($Y59,'Test catalog'!$A$2:$A$200,0))),"")</f>
        <v/>
      </c>
      <c r="H59" s="11">
        <f>IFERROR(IF(INDEX('Test catalog'!$G$2:$G$200,MATCH($Y59,'Test catalog'!$A$2:$A$200,0))="","",INDEX('Test catalog'!$G$2:$G$200,MATCH($Y59,'Test catalog'!$A$2:$A$200,0))),"")</f>
        <v/>
      </c>
      <c r="I59" s="11">
        <f>IFERROR(IF(INDEX('Test catalog'!$H$2:$H$200,MATCH($Y59,'Test catalog'!$A$2:$A$200,0))="","",INDEX('Test catalog'!$H$2:$H$200,MATCH($Y59,'Test catalog'!$A$2:$A$200,0))),"")</f>
        <v/>
      </c>
      <c r="J59" s="11">
        <f>IFERROR(IF(INDEX('Test catalog'!$I$2:$I$200,MATCH($Y59,'Test catalog'!$A$2:$A$200,0))="","",INDEX('Test catalog'!$I$2:$I$200,MATCH($Y59,'Test catalog'!$A$2:$A$200,0))),"")</f>
        <v/>
      </c>
      <c r="K59" s="13">
        <f>IF(I59="","",IF(OR(H59="",J59=""),I59,(H59+4*I59+J59)/6))</f>
        <v/>
      </c>
      <c r="L59" s="11">
        <f>IFERROR(IF(INDEX('Test catalog'!$J$2:$J$200,MATCH($Y59,'Test catalog'!$A$2:$A$200,0))="","",INDEX('Test catalog'!$J$2:$J$200,MATCH($Y59,'Test catalog'!$A$2:$A$200,0))),"")</f>
        <v/>
      </c>
      <c r="M59" s="11">
        <f>IFERROR(IF(INDEX('Test catalog'!$K$2:$K$200,MATCH($Y59,'Test catalog'!$A$2:$A$200,0))="","",INDEX('Test catalog'!$K$2:$K$200,MATCH($Y59,'Test catalog'!$A$2:$A$200,0))),"")</f>
        <v/>
      </c>
      <c r="N59" s="11">
        <f>IFERROR(IF(INDEX('Test catalog'!$L$2:$L$200,MATCH($Y59,'Test catalog'!$A$2:$A$200,0))="","",INDEX('Test catalog'!$L$2:$L$200,MATCH($Y59,'Test catalog'!$A$2:$A$200,0))),"")</f>
        <v/>
      </c>
      <c r="O59" s="11">
        <f>IFERROR(IF(INDEX('Test catalog'!$M$2:$M$200,MATCH($Y59,'Test catalog'!$A$2:$A$200,0))="","",INDEX('Test catalog'!$M$2:$M$200,MATCH($Y59,'Test catalog'!$A$2:$A$200,0))),"")</f>
        <v/>
      </c>
      <c r="P59" s="11">
        <f>IFERROR(IF(INDEX('Test catalog'!$N$2:$N$200,MATCH($Y59,'Test catalog'!$A$2:$A$200,0))="","",INDEX('Test catalog'!$N$2:$N$200,MATCH($Y59,'Test catalog'!$A$2:$A$200,0))),"")</f>
        <v/>
      </c>
      <c r="Q59" s="11">
        <f>IFERROR(IF(INDEX('Test catalog'!$O$2:$O$200,MATCH($Y59,'Test catalog'!$A$2:$A$200,0))="","",INDEX('Test catalog'!$O$2:$O$200,MATCH($Y59,'Test catalog'!$A$2:$A$200,0))),"")</f>
        <v/>
      </c>
      <c r="R59" s="11">
        <f>IFERROR(IF(INDEX('Test catalog'!$P$2:$P$200,MATCH($Y59,'Test catalog'!$A$2:$A$200,0))="","",INDEX('Test catalog'!$P$2:$P$200,MATCH($Y59,'Test catalog'!$A$2:$A$200,0))),"")</f>
        <v/>
      </c>
      <c r="S59" s="14" t="n"/>
      <c r="T59" s="5" t="n"/>
      <c r="U59" s="11">
        <f>IFERROR(IF(INDEX('Test catalog'!$Q$2:$Q$200,MATCH($Y59,'Test catalog'!$A$2:$A$200,0))="","",INDEX('Test catalog'!$Q$2:$Q$200,MATCH($Y59,'Test catalog'!$A$2:$A$200,0))),"")</f>
        <v/>
      </c>
      <c r="V59" s="5" t="n"/>
      <c r="W59" s="5" t="n"/>
      <c r="X59" s="5" t="n"/>
      <c r="Y59" s="5" t="inlineStr">
        <is>
          <t>ENUM</t>
        </is>
      </c>
      <c r="Z59" s="11" t="inlineStr">
        <is>
          <t>No micro test in USP-NF - set Y if your specification has one</t>
        </is>
      </c>
    </row>
    <row r="60">
      <c r="A60" s="11" t="inlineStr">
        <is>
          <t>Folic Acid (Vitamin B9)</t>
        </is>
      </c>
      <c r="B60" s="11" t="inlineStr">
        <is>
          <t>RM</t>
        </is>
      </c>
      <c r="C60" s="11" t="inlineStr">
        <is>
          <t>Active</t>
        </is>
      </c>
      <c r="D60" s="11" t="inlineStr">
        <is>
          <t>Microbial enumeration - TAMC + TYMC (&lt;61&gt; / &lt;2021&gt;)</t>
        </is>
      </c>
      <c r="E60" s="5" t="inlineStr">
        <is>
          <t>N</t>
        </is>
      </c>
      <c r="F60" s="5" t="n"/>
      <c r="G60" s="11">
        <f>IFERROR(IF(INDEX('Test catalog'!$F$2:$F$200,MATCH($Y60,'Test catalog'!$A$2:$A$200,0))="","",INDEX('Test catalog'!$F$2:$F$200,MATCH($Y60,'Test catalog'!$A$2:$A$200,0))),"")</f>
        <v/>
      </c>
      <c r="H60" s="11">
        <f>IFERROR(IF(INDEX('Test catalog'!$G$2:$G$200,MATCH($Y60,'Test catalog'!$A$2:$A$200,0))="","",INDEX('Test catalog'!$G$2:$G$200,MATCH($Y60,'Test catalog'!$A$2:$A$200,0))),"")</f>
        <v/>
      </c>
      <c r="I60" s="11">
        <f>IFERROR(IF(INDEX('Test catalog'!$H$2:$H$200,MATCH($Y60,'Test catalog'!$A$2:$A$200,0))="","",INDEX('Test catalog'!$H$2:$H$200,MATCH($Y60,'Test catalog'!$A$2:$A$200,0))),"")</f>
        <v/>
      </c>
      <c r="J60" s="11">
        <f>IFERROR(IF(INDEX('Test catalog'!$I$2:$I$200,MATCH($Y60,'Test catalog'!$A$2:$A$200,0))="","",INDEX('Test catalog'!$I$2:$I$200,MATCH($Y60,'Test catalog'!$A$2:$A$200,0))),"")</f>
        <v/>
      </c>
      <c r="K60" s="13">
        <f>IF(I60="","",IF(OR(H60="",J60=""),I60,(H60+4*I60+J60)/6))</f>
        <v/>
      </c>
      <c r="L60" s="11">
        <f>IFERROR(IF(INDEX('Test catalog'!$J$2:$J$200,MATCH($Y60,'Test catalog'!$A$2:$A$200,0))="","",INDEX('Test catalog'!$J$2:$J$200,MATCH($Y60,'Test catalog'!$A$2:$A$200,0))),"")</f>
        <v/>
      </c>
      <c r="M60" s="11">
        <f>IFERROR(IF(INDEX('Test catalog'!$K$2:$K$200,MATCH($Y60,'Test catalog'!$A$2:$A$200,0))="","",INDEX('Test catalog'!$K$2:$K$200,MATCH($Y60,'Test catalog'!$A$2:$A$200,0))),"")</f>
        <v/>
      </c>
      <c r="N60" s="11">
        <f>IFERROR(IF(INDEX('Test catalog'!$L$2:$L$200,MATCH($Y60,'Test catalog'!$A$2:$A$200,0))="","",INDEX('Test catalog'!$L$2:$L$200,MATCH($Y60,'Test catalog'!$A$2:$A$200,0))),"")</f>
        <v/>
      </c>
      <c r="O60" s="11">
        <f>IFERROR(IF(INDEX('Test catalog'!$M$2:$M$200,MATCH($Y60,'Test catalog'!$A$2:$A$200,0))="","",INDEX('Test catalog'!$M$2:$M$200,MATCH($Y60,'Test catalog'!$A$2:$A$200,0))),"")</f>
        <v/>
      </c>
      <c r="P60" s="11">
        <f>IFERROR(IF(INDEX('Test catalog'!$N$2:$N$200,MATCH($Y60,'Test catalog'!$A$2:$A$200,0))="","",INDEX('Test catalog'!$N$2:$N$200,MATCH($Y60,'Test catalog'!$A$2:$A$200,0))),"")</f>
        <v/>
      </c>
      <c r="Q60" s="11">
        <f>IFERROR(IF(INDEX('Test catalog'!$O$2:$O$200,MATCH($Y60,'Test catalog'!$A$2:$A$200,0))="","",INDEX('Test catalog'!$O$2:$O$200,MATCH($Y60,'Test catalog'!$A$2:$A$200,0))),"")</f>
        <v/>
      </c>
      <c r="R60" s="11">
        <f>IFERROR(IF(INDEX('Test catalog'!$P$2:$P$200,MATCH($Y60,'Test catalog'!$A$2:$A$200,0))="","",INDEX('Test catalog'!$P$2:$P$200,MATCH($Y60,'Test catalog'!$A$2:$A$200,0))),"")</f>
        <v/>
      </c>
      <c r="S60" s="14" t="n"/>
      <c r="T60" s="5" t="n"/>
      <c r="U60" s="11">
        <f>IFERROR(IF(INDEX('Test catalog'!$Q$2:$Q$200,MATCH($Y60,'Test catalog'!$A$2:$A$200,0))="","",INDEX('Test catalog'!$Q$2:$Q$200,MATCH($Y60,'Test catalog'!$A$2:$A$200,0))),"")</f>
        <v/>
      </c>
      <c r="V60" s="5" t="n"/>
      <c r="W60" s="5" t="n"/>
      <c r="X60" s="5" t="n"/>
      <c r="Y60" s="5" t="inlineStr">
        <is>
          <t>ENUM</t>
        </is>
      </c>
      <c r="Z60" s="11" t="inlineStr">
        <is>
          <t>No micro test in USP-NF - set Y if your specification has one</t>
        </is>
      </c>
    </row>
    <row r="61">
      <c r="A61" s="11" t="inlineStr">
        <is>
          <t>Garcinia Cambogia Fruit Dry Extract 6:1</t>
        </is>
      </c>
      <c r="B61" s="11" t="inlineStr">
        <is>
          <t>RM</t>
        </is>
      </c>
      <c r="C61" s="11" t="inlineStr">
        <is>
          <t>Active</t>
        </is>
      </c>
      <c r="D61" s="11" t="inlineStr">
        <is>
          <t>Microbial enumeration - TAMC + TYMC (&lt;61&gt; / &lt;2021&gt;)</t>
        </is>
      </c>
      <c r="E61" s="5" t="inlineStr">
        <is>
          <t>Y</t>
        </is>
      </c>
      <c r="F61" s="5" t="n"/>
      <c r="G61" s="11">
        <f>IFERROR(IF(INDEX('Test catalog'!$F$2:$F$200,MATCH($Y61,'Test catalog'!$A$2:$A$200,0))="","",INDEX('Test catalog'!$F$2:$F$200,MATCH($Y61,'Test catalog'!$A$2:$A$200,0))),"")</f>
        <v/>
      </c>
      <c r="H61" s="11">
        <f>IFERROR(IF(INDEX('Test catalog'!$G$2:$G$200,MATCH($Y61,'Test catalog'!$A$2:$A$200,0))="","",INDEX('Test catalog'!$G$2:$G$200,MATCH($Y61,'Test catalog'!$A$2:$A$200,0))),"")</f>
        <v/>
      </c>
      <c r="I61" s="11">
        <f>IFERROR(IF(INDEX('Test catalog'!$H$2:$H$200,MATCH($Y61,'Test catalog'!$A$2:$A$200,0))="","",INDEX('Test catalog'!$H$2:$H$200,MATCH($Y61,'Test catalog'!$A$2:$A$200,0))),"")</f>
        <v/>
      </c>
      <c r="J61" s="11">
        <f>IFERROR(IF(INDEX('Test catalog'!$I$2:$I$200,MATCH($Y61,'Test catalog'!$A$2:$A$200,0))="","",INDEX('Test catalog'!$I$2:$I$200,MATCH($Y61,'Test catalog'!$A$2:$A$200,0))),"")</f>
        <v/>
      </c>
      <c r="K61" s="13">
        <f>IF(I61="","",IF(OR(H61="",J61=""),I61,(H61+4*I61+J61)/6))</f>
        <v/>
      </c>
      <c r="L61" s="11">
        <f>IFERROR(IF(INDEX('Test catalog'!$J$2:$J$200,MATCH($Y61,'Test catalog'!$A$2:$A$200,0))="","",INDEX('Test catalog'!$J$2:$J$200,MATCH($Y61,'Test catalog'!$A$2:$A$200,0))),"")</f>
        <v/>
      </c>
      <c r="M61" s="11">
        <f>IFERROR(IF(INDEX('Test catalog'!$K$2:$K$200,MATCH($Y61,'Test catalog'!$A$2:$A$200,0))="","",INDEX('Test catalog'!$K$2:$K$200,MATCH($Y61,'Test catalog'!$A$2:$A$200,0))),"")</f>
        <v/>
      </c>
      <c r="N61" s="11">
        <f>IFERROR(IF(INDEX('Test catalog'!$L$2:$L$200,MATCH($Y61,'Test catalog'!$A$2:$A$200,0))="","",INDEX('Test catalog'!$L$2:$L$200,MATCH($Y61,'Test catalog'!$A$2:$A$200,0))),"")</f>
        <v/>
      </c>
      <c r="O61" s="11">
        <f>IFERROR(IF(INDEX('Test catalog'!$M$2:$M$200,MATCH($Y61,'Test catalog'!$A$2:$A$200,0))="","",INDEX('Test catalog'!$M$2:$M$200,MATCH($Y61,'Test catalog'!$A$2:$A$200,0))),"")</f>
        <v/>
      </c>
      <c r="P61" s="11">
        <f>IFERROR(IF(INDEX('Test catalog'!$N$2:$N$200,MATCH($Y61,'Test catalog'!$A$2:$A$200,0))="","",INDEX('Test catalog'!$N$2:$N$200,MATCH($Y61,'Test catalog'!$A$2:$A$200,0))),"")</f>
        <v/>
      </c>
      <c r="Q61" s="11">
        <f>IFERROR(IF(INDEX('Test catalog'!$O$2:$O$200,MATCH($Y61,'Test catalog'!$A$2:$A$200,0))="","",INDEX('Test catalog'!$O$2:$O$200,MATCH($Y61,'Test catalog'!$A$2:$A$200,0))),"")</f>
        <v/>
      </c>
      <c r="R61" s="11">
        <f>IFERROR(IF(INDEX('Test catalog'!$P$2:$P$200,MATCH($Y61,'Test catalog'!$A$2:$A$200,0))="","",INDEX('Test catalog'!$P$2:$P$200,MATCH($Y61,'Test catalog'!$A$2:$A$200,0))),"")</f>
        <v/>
      </c>
      <c r="S61" s="14" t="n"/>
      <c r="T61" s="5" t="n"/>
      <c r="U61" s="11">
        <f>IFERROR(IF(INDEX('Test catalog'!$Q$2:$Q$200,MATCH($Y61,'Test catalog'!$A$2:$A$200,0))="","",INDEX('Test catalog'!$Q$2:$Q$200,MATCH($Y61,'Test catalog'!$A$2:$A$200,0))),"")</f>
        <v/>
      </c>
      <c r="V61" s="5" t="n"/>
      <c r="W61" s="5" t="n"/>
      <c r="X61" s="5" t="n"/>
      <c r="Y61" s="5" t="inlineStr">
        <is>
          <t>ENUM</t>
        </is>
      </c>
      <c r="Z61" s="11" t="inlineStr">
        <is>
          <t>USP-NF monograph &lt;2021&gt;</t>
        </is>
      </c>
    </row>
    <row r="62">
      <c r="A62" s="11" t="inlineStr">
        <is>
          <t>Garcinia Cambogia Fruit Dry Extract 6:1</t>
        </is>
      </c>
      <c r="B62" s="11" t="inlineStr">
        <is>
          <t>RM</t>
        </is>
      </c>
      <c r="C62" s="11" t="inlineStr">
        <is>
          <t>Active</t>
        </is>
      </c>
      <c r="D62" s="11" t="inlineStr">
        <is>
          <t>Absence of Escherichia coli (&lt;62&gt; / &lt;2022&gt;)</t>
        </is>
      </c>
      <c r="E62" s="5" t="inlineStr">
        <is>
          <t>Y</t>
        </is>
      </c>
      <c r="F62" s="5" t="n"/>
      <c r="G62" s="11">
        <f>IFERROR(IF(INDEX('Test catalog'!$F$2:$F$200,MATCH($Y62,'Test catalog'!$A$2:$A$200,0))="","",INDEX('Test catalog'!$F$2:$F$200,MATCH($Y62,'Test catalog'!$A$2:$A$200,0))),"")</f>
        <v/>
      </c>
      <c r="H62" s="11">
        <f>IFERROR(IF(INDEX('Test catalog'!$G$2:$G$200,MATCH($Y62,'Test catalog'!$A$2:$A$200,0))="","",INDEX('Test catalog'!$G$2:$G$200,MATCH($Y62,'Test catalog'!$A$2:$A$200,0))),"")</f>
        <v/>
      </c>
      <c r="I62" s="11">
        <f>IFERROR(IF(INDEX('Test catalog'!$H$2:$H$200,MATCH($Y62,'Test catalog'!$A$2:$A$200,0))="","",INDEX('Test catalog'!$H$2:$H$200,MATCH($Y62,'Test catalog'!$A$2:$A$200,0))),"")</f>
        <v/>
      </c>
      <c r="J62" s="11">
        <f>IFERROR(IF(INDEX('Test catalog'!$I$2:$I$200,MATCH($Y62,'Test catalog'!$A$2:$A$200,0))="","",INDEX('Test catalog'!$I$2:$I$200,MATCH($Y62,'Test catalog'!$A$2:$A$200,0))),"")</f>
        <v/>
      </c>
      <c r="K62" s="13">
        <f>IF(I62="","",IF(OR(H62="",J62=""),I62,(H62+4*I62+J62)/6))</f>
        <v/>
      </c>
      <c r="L62" s="11">
        <f>IFERROR(IF(INDEX('Test catalog'!$J$2:$J$200,MATCH($Y62,'Test catalog'!$A$2:$A$200,0))="","",INDEX('Test catalog'!$J$2:$J$200,MATCH($Y62,'Test catalog'!$A$2:$A$200,0))),"")</f>
        <v/>
      </c>
      <c r="M62" s="11">
        <f>IFERROR(IF(INDEX('Test catalog'!$K$2:$K$200,MATCH($Y62,'Test catalog'!$A$2:$A$200,0))="","",INDEX('Test catalog'!$K$2:$K$200,MATCH($Y62,'Test catalog'!$A$2:$A$200,0))),"")</f>
        <v/>
      </c>
      <c r="N62" s="11">
        <f>IFERROR(IF(INDEX('Test catalog'!$L$2:$L$200,MATCH($Y62,'Test catalog'!$A$2:$A$200,0))="","",INDEX('Test catalog'!$L$2:$L$200,MATCH($Y62,'Test catalog'!$A$2:$A$200,0))),"")</f>
        <v/>
      </c>
      <c r="O62" s="11">
        <f>IFERROR(IF(INDEX('Test catalog'!$M$2:$M$200,MATCH($Y62,'Test catalog'!$A$2:$A$200,0))="","",INDEX('Test catalog'!$M$2:$M$200,MATCH($Y62,'Test catalog'!$A$2:$A$200,0))),"")</f>
        <v/>
      </c>
      <c r="P62" s="11">
        <f>IFERROR(IF(INDEX('Test catalog'!$N$2:$N$200,MATCH($Y62,'Test catalog'!$A$2:$A$200,0))="","",INDEX('Test catalog'!$N$2:$N$200,MATCH($Y62,'Test catalog'!$A$2:$A$200,0))),"")</f>
        <v/>
      </c>
      <c r="Q62" s="11">
        <f>IFERROR(IF(INDEX('Test catalog'!$O$2:$O$200,MATCH($Y62,'Test catalog'!$A$2:$A$200,0))="","",INDEX('Test catalog'!$O$2:$O$200,MATCH($Y62,'Test catalog'!$A$2:$A$200,0))),"")</f>
        <v/>
      </c>
      <c r="R62" s="11">
        <f>IFERROR(IF(INDEX('Test catalog'!$P$2:$P$200,MATCH($Y62,'Test catalog'!$A$2:$A$200,0))="","",INDEX('Test catalog'!$P$2:$P$200,MATCH($Y62,'Test catalog'!$A$2:$A$200,0))),"")</f>
        <v/>
      </c>
      <c r="S62" s="14" t="n"/>
      <c r="T62" s="5" t="n"/>
      <c r="U62" s="11">
        <f>IFERROR(IF(INDEX('Test catalog'!$Q$2:$Q$200,MATCH($Y62,'Test catalog'!$A$2:$A$200,0))="","",INDEX('Test catalog'!$Q$2:$Q$200,MATCH($Y62,'Test catalog'!$A$2:$A$200,0))),"")</f>
        <v/>
      </c>
      <c r="V62" s="5" t="n"/>
      <c r="W62" s="5" t="n"/>
      <c r="X62" s="5" t="n"/>
      <c r="Y62" s="5" t="inlineStr">
        <is>
          <t>ECOLI</t>
        </is>
      </c>
      <c r="Z62" s="11" t="inlineStr">
        <is>
          <t>USP-NF monograph &lt;2021&gt;</t>
        </is>
      </c>
    </row>
    <row r="63">
      <c r="A63" s="11" t="inlineStr">
        <is>
          <t>Garcinia Cambogia Fruit Dry Extract 6:1</t>
        </is>
      </c>
      <c r="B63" s="11" t="inlineStr">
        <is>
          <t>RM</t>
        </is>
      </c>
      <c r="C63" s="11" t="inlineStr">
        <is>
          <t>Active</t>
        </is>
      </c>
      <c r="D63" s="11" t="inlineStr">
        <is>
          <t>Absence of Salmonella (&lt;62&gt; / &lt;2022&gt;)</t>
        </is>
      </c>
      <c r="E63" s="5" t="inlineStr">
        <is>
          <t>Y</t>
        </is>
      </c>
      <c r="F63" s="5" t="n"/>
      <c r="G63" s="11">
        <f>IFERROR(IF(INDEX('Test catalog'!$F$2:$F$200,MATCH($Y63,'Test catalog'!$A$2:$A$200,0))="","",INDEX('Test catalog'!$F$2:$F$200,MATCH($Y63,'Test catalog'!$A$2:$A$200,0))),"")</f>
        <v/>
      </c>
      <c r="H63" s="11">
        <f>IFERROR(IF(INDEX('Test catalog'!$G$2:$G$200,MATCH($Y63,'Test catalog'!$A$2:$A$200,0))="","",INDEX('Test catalog'!$G$2:$G$200,MATCH($Y63,'Test catalog'!$A$2:$A$200,0))),"")</f>
        <v/>
      </c>
      <c r="I63" s="11">
        <f>IFERROR(IF(INDEX('Test catalog'!$H$2:$H$200,MATCH($Y63,'Test catalog'!$A$2:$A$200,0))="","",INDEX('Test catalog'!$H$2:$H$200,MATCH($Y63,'Test catalog'!$A$2:$A$200,0))),"")</f>
        <v/>
      </c>
      <c r="J63" s="11">
        <f>IFERROR(IF(INDEX('Test catalog'!$I$2:$I$200,MATCH($Y63,'Test catalog'!$A$2:$A$200,0))="","",INDEX('Test catalog'!$I$2:$I$200,MATCH($Y63,'Test catalog'!$A$2:$A$200,0))),"")</f>
        <v/>
      </c>
      <c r="K63" s="13">
        <f>IF(I63="","",IF(OR(H63="",J63=""),I63,(H63+4*I63+J63)/6))</f>
        <v/>
      </c>
      <c r="L63" s="11">
        <f>IFERROR(IF(INDEX('Test catalog'!$J$2:$J$200,MATCH($Y63,'Test catalog'!$A$2:$A$200,0))="","",INDEX('Test catalog'!$J$2:$J$200,MATCH($Y63,'Test catalog'!$A$2:$A$200,0))),"")</f>
        <v/>
      </c>
      <c r="M63" s="11">
        <f>IFERROR(IF(INDEX('Test catalog'!$K$2:$K$200,MATCH($Y63,'Test catalog'!$A$2:$A$200,0))="","",INDEX('Test catalog'!$K$2:$K$200,MATCH($Y63,'Test catalog'!$A$2:$A$200,0))),"")</f>
        <v/>
      </c>
      <c r="N63" s="11">
        <f>IFERROR(IF(INDEX('Test catalog'!$L$2:$L$200,MATCH($Y63,'Test catalog'!$A$2:$A$200,0))="","",INDEX('Test catalog'!$L$2:$L$200,MATCH($Y63,'Test catalog'!$A$2:$A$200,0))),"")</f>
        <v/>
      </c>
      <c r="O63" s="11">
        <f>IFERROR(IF(INDEX('Test catalog'!$M$2:$M$200,MATCH($Y63,'Test catalog'!$A$2:$A$200,0))="","",INDEX('Test catalog'!$M$2:$M$200,MATCH($Y63,'Test catalog'!$A$2:$A$200,0))),"")</f>
        <v/>
      </c>
      <c r="P63" s="11">
        <f>IFERROR(IF(INDEX('Test catalog'!$N$2:$N$200,MATCH($Y63,'Test catalog'!$A$2:$A$200,0))="","",INDEX('Test catalog'!$N$2:$N$200,MATCH($Y63,'Test catalog'!$A$2:$A$200,0))),"")</f>
        <v/>
      </c>
      <c r="Q63" s="11">
        <f>IFERROR(IF(INDEX('Test catalog'!$O$2:$O$200,MATCH($Y63,'Test catalog'!$A$2:$A$200,0))="","",INDEX('Test catalog'!$O$2:$O$200,MATCH($Y63,'Test catalog'!$A$2:$A$200,0))),"")</f>
        <v/>
      </c>
      <c r="R63" s="11">
        <f>IFERROR(IF(INDEX('Test catalog'!$P$2:$P$200,MATCH($Y63,'Test catalog'!$A$2:$A$200,0))="","",INDEX('Test catalog'!$P$2:$P$200,MATCH($Y63,'Test catalog'!$A$2:$A$200,0))),"")</f>
        <v/>
      </c>
      <c r="S63" s="14" t="n"/>
      <c r="T63" s="5" t="n"/>
      <c r="U63" s="11">
        <f>IFERROR(IF(INDEX('Test catalog'!$Q$2:$Q$200,MATCH($Y63,'Test catalog'!$A$2:$A$200,0))="","",INDEX('Test catalog'!$Q$2:$Q$200,MATCH($Y63,'Test catalog'!$A$2:$A$200,0))),"")</f>
        <v/>
      </c>
      <c r="V63" s="5" t="n"/>
      <c r="W63" s="5" t="n"/>
      <c r="X63" s="5" t="n"/>
      <c r="Y63" s="5" t="inlineStr">
        <is>
          <t>SALM</t>
        </is>
      </c>
      <c r="Z63" s="11" t="inlineStr">
        <is>
          <t>USP-NF monograph &lt;2022&gt;</t>
        </is>
      </c>
    </row>
    <row r="64">
      <c r="A64" s="11" t="inlineStr">
        <is>
          <t>Gentian Dry Extract 4:1</t>
        </is>
      </c>
      <c r="B64" s="11" t="inlineStr">
        <is>
          <t>RM</t>
        </is>
      </c>
      <c r="C64" s="11" t="inlineStr">
        <is>
          <t>Active</t>
        </is>
      </c>
      <c r="D64" s="11" t="inlineStr">
        <is>
          <t>Microbial enumeration - TAMC + TYMC (&lt;61&gt; / &lt;2021&gt;)</t>
        </is>
      </c>
      <c r="E64" s="5" t="inlineStr">
        <is>
          <t>Y</t>
        </is>
      </c>
      <c r="F64" s="5" t="n"/>
      <c r="G64" s="11">
        <f>IFERROR(IF(INDEX('Test catalog'!$F$2:$F$200,MATCH($Y64,'Test catalog'!$A$2:$A$200,0))="","",INDEX('Test catalog'!$F$2:$F$200,MATCH($Y64,'Test catalog'!$A$2:$A$200,0))),"")</f>
        <v/>
      </c>
      <c r="H64" s="11">
        <f>IFERROR(IF(INDEX('Test catalog'!$G$2:$G$200,MATCH($Y64,'Test catalog'!$A$2:$A$200,0))="","",INDEX('Test catalog'!$G$2:$G$200,MATCH($Y64,'Test catalog'!$A$2:$A$200,0))),"")</f>
        <v/>
      </c>
      <c r="I64" s="11">
        <f>IFERROR(IF(INDEX('Test catalog'!$H$2:$H$200,MATCH($Y64,'Test catalog'!$A$2:$A$200,0))="","",INDEX('Test catalog'!$H$2:$H$200,MATCH($Y64,'Test catalog'!$A$2:$A$200,0))),"")</f>
        <v/>
      </c>
      <c r="J64" s="11">
        <f>IFERROR(IF(INDEX('Test catalog'!$I$2:$I$200,MATCH($Y64,'Test catalog'!$A$2:$A$200,0))="","",INDEX('Test catalog'!$I$2:$I$200,MATCH($Y64,'Test catalog'!$A$2:$A$200,0))),"")</f>
        <v/>
      </c>
      <c r="K64" s="13">
        <f>IF(I64="","",IF(OR(H64="",J64=""),I64,(H64+4*I64+J64)/6))</f>
        <v/>
      </c>
      <c r="L64" s="11">
        <f>IFERROR(IF(INDEX('Test catalog'!$J$2:$J$200,MATCH($Y64,'Test catalog'!$A$2:$A$200,0))="","",INDEX('Test catalog'!$J$2:$J$200,MATCH($Y64,'Test catalog'!$A$2:$A$200,0))),"")</f>
        <v/>
      </c>
      <c r="M64" s="11">
        <f>IFERROR(IF(INDEX('Test catalog'!$K$2:$K$200,MATCH($Y64,'Test catalog'!$A$2:$A$200,0))="","",INDEX('Test catalog'!$K$2:$K$200,MATCH($Y64,'Test catalog'!$A$2:$A$200,0))),"")</f>
        <v/>
      </c>
      <c r="N64" s="11">
        <f>IFERROR(IF(INDEX('Test catalog'!$L$2:$L$200,MATCH($Y64,'Test catalog'!$A$2:$A$200,0))="","",INDEX('Test catalog'!$L$2:$L$200,MATCH($Y64,'Test catalog'!$A$2:$A$200,0))),"")</f>
        <v/>
      </c>
      <c r="O64" s="11">
        <f>IFERROR(IF(INDEX('Test catalog'!$M$2:$M$200,MATCH($Y64,'Test catalog'!$A$2:$A$200,0))="","",INDEX('Test catalog'!$M$2:$M$200,MATCH($Y64,'Test catalog'!$A$2:$A$200,0))),"")</f>
        <v/>
      </c>
      <c r="P64" s="11">
        <f>IFERROR(IF(INDEX('Test catalog'!$N$2:$N$200,MATCH($Y64,'Test catalog'!$A$2:$A$200,0))="","",INDEX('Test catalog'!$N$2:$N$200,MATCH($Y64,'Test catalog'!$A$2:$A$200,0))),"")</f>
        <v/>
      </c>
      <c r="Q64" s="11">
        <f>IFERROR(IF(INDEX('Test catalog'!$O$2:$O$200,MATCH($Y64,'Test catalog'!$A$2:$A$200,0))="","",INDEX('Test catalog'!$O$2:$O$200,MATCH($Y64,'Test catalog'!$A$2:$A$200,0))),"")</f>
        <v/>
      </c>
      <c r="R64" s="11">
        <f>IFERROR(IF(INDEX('Test catalog'!$P$2:$P$200,MATCH($Y64,'Test catalog'!$A$2:$A$200,0))="","",INDEX('Test catalog'!$P$2:$P$200,MATCH($Y64,'Test catalog'!$A$2:$A$200,0))),"")</f>
        <v/>
      </c>
      <c r="S64" s="14" t="n"/>
      <c r="T64" s="5" t="n"/>
      <c r="U64" s="11">
        <f>IFERROR(IF(INDEX('Test catalog'!$Q$2:$Q$200,MATCH($Y64,'Test catalog'!$A$2:$A$200,0))="","",INDEX('Test catalog'!$Q$2:$Q$200,MATCH($Y64,'Test catalog'!$A$2:$A$200,0))),"")</f>
        <v/>
      </c>
      <c r="V64" s="5" t="n"/>
      <c r="W64" s="5" t="n"/>
      <c r="X64" s="5" t="n"/>
      <c r="Y64" s="5" t="inlineStr">
        <is>
          <t>ENUM</t>
        </is>
      </c>
      <c r="Z64" s="11" t="inlineStr">
        <is>
          <t>Natural origin, no USP-NF micro test - confirm (USP &lt;2023&gt;)</t>
        </is>
      </c>
    </row>
    <row r="65">
      <c r="A65" s="11" t="inlineStr">
        <is>
          <t>Gentian Dry Extract 4:1</t>
        </is>
      </c>
      <c r="B65" s="11" t="inlineStr">
        <is>
          <t>RM</t>
        </is>
      </c>
      <c r="C65" s="11" t="inlineStr">
        <is>
          <t>Active</t>
        </is>
      </c>
      <c r="D65" s="11" t="inlineStr">
        <is>
          <t>Absence of Escherichia coli (&lt;62&gt; / &lt;2022&gt;)</t>
        </is>
      </c>
      <c r="E65" s="5" t="inlineStr">
        <is>
          <t>Y</t>
        </is>
      </c>
      <c r="F65" s="5" t="n"/>
      <c r="G65" s="11">
        <f>IFERROR(IF(INDEX('Test catalog'!$F$2:$F$200,MATCH($Y65,'Test catalog'!$A$2:$A$200,0))="","",INDEX('Test catalog'!$F$2:$F$200,MATCH($Y65,'Test catalog'!$A$2:$A$200,0))),"")</f>
        <v/>
      </c>
      <c r="H65" s="11">
        <f>IFERROR(IF(INDEX('Test catalog'!$G$2:$G$200,MATCH($Y65,'Test catalog'!$A$2:$A$200,0))="","",INDEX('Test catalog'!$G$2:$G$200,MATCH($Y65,'Test catalog'!$A$2:$A$200,0))),"")</f>
        <v/>
      </c>
      <c r="I65" s="11">
        <f>IFERROR(IF(INDEX('Test catalog'!$H$2:$H$200,MATCH($Y65,'Test catalog'!$A$2:$A$200,0))="","",INDEX('Test catalog'!$H$2:$H$200,MATCH($Y65,'Test catalog'!$A$2:$A$200,0))),"")</f>
        <v/>
      </c>
      <c r="J65" s="11">
        <f>IFERROR(IF(INDEX('Test catalog'!$I$2:$I$200,MATCH($Y65,'Test catalog'!$A$2:$A$200,0))="","",INDEX('Test catalog'!$I$2:$I$200,MATCH($Y65,'Test catalog'!$A$2:$A$200,0))),"")</f>
        <v/>
      </c>
      <c r="K65" s="13">
        <f>IF(I65="","",IF(OR(H65="",J65=""),I65,(H65+4*I65+J65)/6))</f>
        <v/>
      </c>
      <c r="L65" s="11">
        <f>IFERROR(IF(INDEX('Test catalog'!$J$2:$J$200,MATCH($Y65,'Test catalog'!$A$2:$A$200,0))="","",INDEX('Test catalog'!$J$2:$J$200,MATCH($Y65,'Test catalog'!$A$2:$A$200,0))),"")</f>
        <v/>
      </c>
      <c r="M65" s="11">
        <f>IFERROR(IF(INDEX('Test catalog'!$K$2:$K$200,MATCH($Y65,'Test catalog'!$A$2:$A$200,0))="","",INDEX('Test catalog'!$K$2:$K$200,MATCH($Y65,'Test catalog'!$A$2:$A$200,0))),"")</f>
        <v/>
      </c>
      <c r="N65" s="11">
        <f>IFERROR(IF(INDEX('Test catalog'!$L$2:$L$200,MATCH($Y65,'Test catalog'!$A$2:$A$200,0))="","",INDEX('Test catalog'!$L$2:$L$200,MATCH($Y65,'Test catalog'!$A$2:$A$200,0))),"")</f>
        <v/>
      </c>
      <c r="O65" s="11">
        <f>IFERROR(IF(INDEX('Test catalog'!$M$2:$M$200,MATCH($Y65,'Test catalog'!$A$2:$A$200,0))="","",INDEX('Test catalog'!$M$2:$M$200,MATCH($Y65,'Test catalog'!$A$2:$A$200,0))),"")</f>
        <v/>
      </c>
      <c r="P65" s="11">
        <f>IFERROR(IF(INDEX('Test catalog'!$N$2:$N$200,MATCH($Y65,'Test catalog'!$A$2:$A$200,0))="","",INDEX('Test catalog'!$N$2:$N$200,MATCH($Y65,'Test catalog'!$A$2:$A$200,0))),"")</f>
        <v/>
      </c>
      <c r="Q65" s="11">
        <f>IFERROR(IF(INDEX('Test catalog'!$O$2:$O$200,MATCH($Y65,'Test catalog'!$A$2:$A$200,0))="","",INDEX('Test catalog'!$O$2:$O$200,MATCH($Y65,'Test catalog'!$A$2:$A$200,0))),"")</f>
        <v/>
      </c>
      <c r="R65" s="11">
        <f>IFERROR(IF(INDEX('Test catalog'!$P$2:$P$200,MATCH($Y65,'Test catalog'!$A$2:$A$200,0))="","",INDEX('Test catalog'!$P$2:$P$200,MATCH($Y65,'Test catalog'!$A$2:$A$200,0))),"")</f>
        <v/>
      </c>
      <c r="S65" s="14" t="n"/>
      <c r="T65" s="5" t="n"/>
      <c r="U65" s="11">
        <f>IFERROR(IF(INDEX('Test catalog'!$Q$2:$Q$200,MATCH($Y65,'Test catalog'!$A$2:$A$200,0))="","",INDEX('Test catalog'!$Q$2:$Q$200,MATCH($Y65,'Test catalog'!$A$2:$A$200,0))),"")</f>
        <v/>
      </c>
      <c r="V65" s="5" t="n"/>
      <c r="W65" s="5" t="n"/>
      <c r="X65" s="5" t="n"/>
      <c r="Y65" s="5" t="inlineStr">
        <is>
          <t>ECOLI</t>
        </is>
      </c>
      <c r="Z65" s="11" t="inlineStr">
        <is>
          <t>Natural origin, no USP-NF micro test - confirm (USP &lt;2023&gt;)</t>
        </is>
      </c>
    </row>
    <row r="66">
      <c r="A66" s="11" t="inlineStr">
        <is>
          <t>Gentian Dry Extract 4:1</t>
        </is>
      </c>
      <c r="B66" s="11" t="inlineStr">
        <is>
          <t>RM</t>
        </is>
      </c>
      <c r="C66" s="11" t="inlineStr">
        <is>
          <t>Active</t>
        </is>
      </c>
      <c r="D66" s="11" t="inlineStr">
        <is>
          <t>Absence of Salmonella (&lt;62&gt; / &lt;2022&gt;)</t>
        </is>
      </c>
      <c r="E66" s="5" t="inlineStr">
        <is>
          <t>Y</t>
        </is>
      </c>
      <c r="F66" s="5" t="n"/>
      <c r="G66" s="11">
        <f>IFERROR(IF(INDEX('Test catalog'!$F$2:$F$200,MATCH($Y66,'Test catalog'!$A$2:$A$200,0))="","",INDEX('Test catalog'!$F$2:$F$200,MATCH($Y66,'Test catalog'!$A$2:$A$200,0))),"")</f>
        <v/>
      </c>
      <c r="H66" s="11">
        <f>IFERROR(IF(INDEX('Test catalog'!$G$2:$G$200,MATCH($Y66,'Test catalog'!$A$2:$A$200,0))="","",INDEX('Test catalog'!$G$2:$G$200,MATCH($Y66,'Test catalog'!$A$2:$A$200,0))),"")</f>
        <v/>
      </c>
      <c r="I66" s="11">
        <f>IFERROR(IF(INDEX('Test catalog'!$H$2:$H$200,MATCH($Y66,'Test catalog'!$A$2:$A$200,0))="","",INDEX('Test catalog'!$H$2:$H$200,MATCH($Y66,'Test catalog'!$A$2:$A$200,0))),"")</f>
        <v/>
      </c>
      <c r="J66" s="11">
        <f>IFERROR(IF(INDEX('Test catalog'!$I$2:$I$200,MATCH($Y66,'Test catalog'!$A$2:$A$200,0))="","",INDEX('Test catalog'!$I$2:$I$200,MATCH($Y66,'Test catalog'!$A$2:$A$200,0))),"")</f>
        <v/>
      </c>
      <c r="K66" s="13">
        <f>IF(I66="","",IF(OR(H66="",J66=""),I66,(H66+4*I66+J66)/6))</f>
        <v/>
      </c>
      <c r="L66" s="11">
        <f>IFERROR(IF(INDEX('Test catalog'!$J$2:$J$200,MATCH($Y66,'Test catalog'!$A$2:$A$200,0))="","",INDEX('Test catalog'!$J$2:$J$200,MATCH($Y66,'Test catalog'!$A$2:$A$200,0))),"")</f>
        <v/>
      </c>
      <c r="M66" s="11">
        <f>IFERROR(IF(INDEX('Test catalog'!$K$2:$K$200,MATCH($Y66,'Test catalog'!$A$2:$A$200,0))="","",INDEX('Test catalog'!$K$2:$K$200,MATCH($Y66,'Test catalog'!$A$2:$A$200,0))),"")</f>
        <v/>
      </c>
      <c r="N66" s="11">
        <f>IFERROR(IF(INDEX('Test catalog'!$L$2:$L$200,MATCH($Y66,'Test catalog'!$A$2:$A$200,0))="","",INDEX('Test catalog'!$L$2:$L$200,MATCH($Y66,'Test catalog'!$A$2:$A$200,0))),"")</f>
        <v/>
      </c>
      <c r="O66" s="11">
        <f>IFERROR(IF(INDEX('Test catalog'!$M$2:$M$200,MATCH($Y66,'Test catalog'!$A$2:$A$200,0))="","",INDEX('Test catalog'!$M$2:$M$200,MATCH($Y66,'Test catalog'!$A$2:$A$200,0))),"")</f>
        <v/>
      </c>
      <c r="P66" s="11">
        <f>IFERROR(IF(INDEX('Test catalog'!$N$2:$N$200,MATCH($Y66,'Test catalog'!$A$2:$A$200,0))="","",INDEX('Test catalog'!$N$2:$N$200,MATCH($Y66,'Test catalog'!$A$2:$A$200,0))),"")</f>
        <v/>
      </c>
      <c r="Q66" s="11">
        <f>IFERROR(IF(INDEX('Test catalog'!$O$2:$O$200,MATCH($Y66,'Test catalog'!$A$2:$A$200,0))="","",INDEX('Test catalog'!$O$2:$O$200,MATCH($Y66,'Test catalog'!$A$2:$A$200,0))),"")</f>
        <v/>
      </c>
      <c r="R66" s="11">
        <f>IFERROR(IF(INDEX('Test catalog'!$P$2:$P$200,MATCH($Y66,'Test catalog'!$A$2:$A$200,0))="","",INDEX('Test catalog'!$P$2:$P$200,MATCH($Y66,'Test catalog'!$A$2:$A$200,0))),"")</f>
        <v/>
      </c>
      <c r="S66" s="14" t="n"/>
      <c r="T66" s="5" t="n"/>
      <c r="U66" s="11">
        <f>IFERROR(IF(INDEX('Test catalog'!$Q$2:$Q$200,MATCH($Y66,'Test catalog'!$A$2:$A$200,0))="","",INDEX('Test catalog'!$Q$2:$Q$200,MATCH($Y66,'Test catalog'!$A$2:$A$200,0))),"")</f>
        <v/>
      </c>
      <c r="V66" s="5" t="n"/>
      <c r="W66" s="5" t="n"/>
      <c r="X66" s="5" t="n"/>
      <c r="Y66" s="5" t="inlineStr">
        <is>
          <t>SALM</t>
        </is>
      </c>
      <c r="Z66" s="11" t="inlineStr">
        <is>
          <t>Natural origin, no USP-NF micro test - confirm (USP &lt;2023&gt;)</t>
        </is>
      </c>
    </row>
    <row r="67">
      <c r="A67" s="11" t="inlineStr">
        <is>
          <t>Ginger Dry Extract 10:1</t>
        </is>
      </c>
      <c r="B67" s="11" t="inlineStr">
        <is>
          <t>RM</t>
        </is>
      </c>
      <c r="C67" s="11" t="inlineStr">
        <is>
          <t>Active</t>
        </is>
      </c>
      <c r="D67" s="11" t="inlineStr">
        <is>
          <t>Microbial enumeration - TAMC + TYMC (&lt;61&gt; / &lt;2021&gt;)</t>
        </is>
      </c>
      <c r="E67" s="5" t="inlineStr">
        <is>
          <t>Y</t>
        </is>
      </c>
      <c r="F67" s="5" t="n"/>
      <c r="G67" s="11">
        <f>IFERROR(IF(INDEX('Test catalog'!$F$2:$F$200,MATCH($Y67,'Test catalog'!$A$2:$A$200,0))="","",INDEX('Test catalog'!$F$2:$F$200,MATCH($Y67,'Test catalog'!$A$2:$A$200,0))),"")</f>
        <v/>
      </c>
      <c r="H67" s="11">
        <f>IFERROR(IF(INDEX('Test catalog'!$G$2:$G$200,MATCH($Y67,'Test catalog'!$A$2:$A$200,0))="","",INDEX('Test catalog'!$G$2:$G$200,MATCH($Y67,'Test catalog'!$A$2:$A$200,0))),"")</f>
        <v/>
      </c>
      <c r="I67" s="11">
        <f>IFERROR(IF(INDEX('Test catalog'!$H$2:$H$200,MATCH($Y67,'Test catalog'!$A$2:$A$200,0))="","",INDEX('Test catalog'!$H$2:$H$200,MATCH($Y67,'Test catalog'!$A$2:$A$200,0))),"")</f>
        <v/>
      </c>
      <c r="J67" s="11">
        <f>IFERROR(IF(INDEX('Test catalog'!$I$2:$I$200,MATCH($Y67,'Test catalog'!$A$2:$A$200,0))="","",INDEX('Test catalog'!$I$2:$I$200,MATCH($Y67,'Test catalog'!$A$2:$A$200,0))),"")</f>
        <v/>
      </c>
      <c r="K67" s="13">
        <f>IF(I67="","",IF(OR(H67="",J67=""),I67,(H67+4*I67+J67)/6))</f>
        <v/>
      </c>
      <c r="L67" s="11">
        <f>IFERROR(IF(INDEX('Test catalog'!$J$2:$J$200,MATCH($Y67,'Test catalog'!$A$2:$A$200,0))="","",INDEX('Test catalog'!$J$2:$J$200,MATCH($Y67,'Test catalog'!$A$2:$A$200,0))),"")</f>
        <v/>
      </c>
      <c r="M67" s="11">
        <f>IFERROR(IF(INDEX('Test catalog'!$K$2:$K$200,MATCH($Y67,'Test catalog'!$A$2:$A$200,0))="","",INDEX('Test catalog'!$K$2:$K$200,MATCH($Y67,'Test catalog'!$A$2:$A$200,0))),"")</f>
        <v/>
      </c>
      <c r="N67" s="11">
        <f>IFERROR(IF(INDEX('Test catalog'!$L$2:$L$200,MATCH($Y67,'Test catalog'!$A$2:$A$200,0))="","",INDEX('Test catalog'!$L$2:$L$200,MATCH($Y67,'Test catalog'!$A$2:$A$200,0))),"")</f>
        <v/>
      </c>
      <c r="O67" s="11">
        <f>IFERROR(IF(INDEX('Test catalog'!$M$2:$M$200,MATCH($Y67,'Test catalog'!$A$2:$A$200,0))="","",INDEX('Test catalog'!$M$2:$M$200,MATCH($Y67,'Test catalog'!$A$2:$A$200,0))),"")</f>
        <v/>
      </c>
      <c r="P67" s="11">
        <f>IFERROR(IF(INDEX('Test catalog'!$N$2:$N$200,MATCH($Y67,'Test catalog'!$A$2:$A$200,0))="","",INDEX('Test catalog'!$N$2:$N$200,MATCH($Y67,'Test catalog'!$A$2:$A$200,0))),"")</f>
        <v/>
      </c>
      <c r="Q67" s="11">
        <f>IFERROR(IF(INDEX('Test catalog'!$O$2:$O$200,MATCH($Y67,'Test catalog'!$A$2:$A$200,0))="","",INDEX('Test catalog'!$O$2:$O$200,MATCH($Y67,'Test catalog'!$A$2:$A$200,0))),"")</f>
        <v/>
      </c>
      <c r="R67" s="11">
        <f>IFERROR(IF(INDEX('Test catalog'!$P$2:$P$200,MATCH($Y67,'Test catalog'!$A$2:$A$200,0))="","",INDEX('Test catalog'!$P$2:$P$200,MATCH($Y67,'Test catalog'!$A$2:$A$200,0))),"")</f>
        <v/>
      </c>
      <c r="S67" s="14" t="n"/>
      <c r="T67" s="5" t="n"/>
      <c r="U67" s="11">
        <f>IFERROR(IF(INDEX('Test catalog'!$Q$2:$Q$200,MATCH($Y67,'Test catalog'!$A$2:$A$200,0))="","",INDEX('Test catalog'!$Q$2:$Q$200,MATCH($Y67,'Test catalog'!$A$2:$A$200,0))),"")</f>
        <v/>
      </c>
      <c r="V67" s="5" t="n"/>
      <c r="W67" s="5" t="n"/>
      <c r="X67" s="5" t="n"/>
      <c r="Y67" s="5" t="inlineStr">
        <is>
          <t>ENUM</t>
        </is>
      </c>
      <c r="Z67" s="11" t="inlineStr">
        <is>
          <t>Natural origin, no USP-NF micro test - confirm (USP &lt;2023&gt;)</t>
        </is>
      </c>
    </row>
    <row r="68">
      <c r="A68" s="11" t="inlineStr">
        <is>
          <t>Ginger Dry Extract 10:1</t>
        </is>
      </c>
      <c r="B68" s="11" t="inlineStr">
        <is>
          <t>RM</t>
        </is>
      </c>
      <c r="C68" s="11" t="inlineStr">
        <is>
          <t>Active</t>
        </is>
      </c>
      <c r="D68" s="11" t="inlineStr">
        <is>
          <t>Absence of Escherichia coli (&lt;62&gt; / &lt;2022&gt;)</t>
        </is>
      </c>
      <c r="E68" s="5" t="inlineStr">
        <is>
          <t>Y</t>
        </is>
      </c>
      <c r="F68" s="5" t="n"/>
      <c r="G68" s="11">
        <f>IFERROR(IF(INDEX('Test catalog'!$F$2:$F$200,MATCH($Y68,'Test catalog'!$A$2:$A$200,0))="","",INDEX('Test catalog'!$F$2:$F$200,MATCH($Y68,'Test catalog'!$A$2:$A$200,0))),"")</f>
        <v/>
      </c>
      <c r="H68" s="11">
        <f>IFERROR(IF(INDEX('Test catalog'!$G$2:$G$200,MATCH($Y68,'Test catalog'!$A$2:$A$200,0))="","",INDEX('Test catalog'!$G$2:$G$200,MATCH($Y68,'Test catalog'!$A$2:$A$200,0))),"")</f>
        <v/>
      </c>
      <c r="I68" s="11">
        <f>IFERROR(IF(INDEX('Test catalog'!$H$2:$H$200,MATCH($Y68,'Test catalog'!$A$2:$A$200,0))="","",INDEX('Test catalog'!$H$2:$H$200,MATCH($Y68,'Test catalog'!$A$2:$A$200,0))),"")</f>
        <v/>
      </c>
      <c r="J68" s="11">
        <f>IFERROR(IF(INDEX('Test catalog'!$I$2:$I$200,MATCH($Y68,'Test catalog'!$A$2:$A$200,0))="","",INDEX('Test catalog'!$I$2:$I$200,MATCH($Y68,'Test catalog'!$A$2:$A$200,0))),"")</f>
        <v/>
      </c>
      <c r="K68" s="13">
        <f>IF(I68="","",IF(OR(H68="",J68=""),I68,(H68+4*I68+J68)/6))</f>
        <v/>
      </c>
      <c r="L68" s="11">
        <f>IFERROR(IF(INDEX('Test catalog'!$J$2:$J$200,MATCH($Y68,'Test catalog'!$A$2:$A$200,0))="","",INDEX('Test catalog'!$J$2:$J$200,MATCH($Y68,'Test catalog'!$A$2:$A$200,0))),"")</f>
        <v/>
      </c>
      <c r="M68" s="11">
        <f>IFERROR(IF(INDEX('Test catalog'!$K$2:$K$200,MATCH($Y68,'Test catalog'!$A$2:$A$200,0))="","",INDEX('Test catalog'!$K$2:$K$200,MATCH($Y68,'Test catalog'!$A$2:$A$200,0))),"")</f>
        <v/>
      </c>
      <c r="N68" s="11">
        <f>IFERROR(IF(INDEX('Test catalog'!$L$2:$L$200,MATCH($Y68,'Test catalog'!$A$2:$A$200,0))="","",INDEX('Test catalog'!$L$2:$L$200,MATCH($Y68,'Test catalog'!$A$2:$A$200,0))),"")</f>
        <v/>
      </c>
      <c r="O68" s="11">
        <f>IFERROR(IF(INDEX('Test catalog'!$M$2:$M$200,MATCH($Y68,'Test catalog'!$A$2:$A$200,0))="","",INDEX('Test catalog'!$M$2:$M$200,MATCH($Y68,'Test catalog'!$A$2:$A$200,0))),"")</f>
        <v/>
      </c>
      <c r="P68" s="11">
        <f>IFERROR(IF(INDEX('Test catalog'!$N$2:$N$200,MATCH($Y68,'Test catalog'!$A$2:$A$200,0))="","",INDEX('Test catalog'!$N$2:$N$200,MATCH($Y68,'Test catalog'!$A$2:$A$200,0))),"")</f>
        <v/>
      </c>
      <c r="Q68" s="11">
        <f>IFERROR(IF(INDEX('Test catalog'!$O$2:$O$200,MATCH($Y68,'Test catalog'!$A$2:$A$200,0))="","",INDEX('Test catalog'!$O$2:$O$200,MATCH($Y68,'Test catalog'!$A$2:$A$200,0))),"")</f>
        <v/>
      </c>
      <c r="R68" s="11">
        <f>IFERROR(IF(INDEX('Test catalog'!$P$2:$P$200,MATCH($Y68,'Test catalog'!$A$2:$A$200,0))="","",INDEX('Test catalog'!$P$2:$P$200,MATCH($Y68,'Test catalog'!$A$2:$A$200,0))),"")</f>
        <v/>
      </c>
      <c r="S68" s="14" t="n"/>
      <c r="T68" s="5" t="n"/>
      <c r="U68" s="11">
        <f>IFERROR(IF(INDEX('Test catalog'!$Q$2:$Q$200,MATCH($Y68,'Test catalog'!$A$2:$A$200,0))="","",INDEX('Test catalog'!$Q$2:$Q$200,MATCH($Y68,'Test catalog'!$A$2:$A$200,0))),"")</f>
        <v/>
      </c>
      <c r="V68" s="5" t="n"/>
      <c r="W68" s="5" t="n"/>
      <c r="X68" s="5" t="n"/>
      <c r="Y68" s="5" t="inlineStr">
        <is>
          <t>ECOLI</t>
        </is>
      </c>
      <c r="Z68" s="11" t="inlineStr">
        <is>
          <t>Natural origin, no USP-NF micro test - confirm (USP &lt;2023&gt;)</t>
        </is>
      </c>
    </row>
    <row r="69">
      <c r="A69" s="11" t="inlineStr">
        <is>
          <t>Ginger Dry Extract 10:1</t>
        </is>
      </c>
      <c r="B69" s="11" t="inlineStr">
        <is>
          <t>RM</t>
        </is>
      </c>
      <c r="C69" s="11" t="inlineStr">
        <is>
          <t>Active</t>
        </is>
      </c>
      <c r="D69" s="11" t="inlineStr">
        <is>
          <t>Absence of Salmonella (&lt;62&gt; / &lt;2022&gt;)</t>
        </is>
      </c>
      <c r="E69" s="5" t="inlineStr">
        <is>
          <t>Y</t>
        </is>
      </c>
      <c r="F69" s="5" t="n"/>
      <c r="G69" s="11">
        <f>IFERROR(IF(INDEX('Test catalog'!$F$2:$F$200,MATCH($Y69,'Test catalog'!$A$2:$A$200,0))="","",INDEX('Test catalog'!$F$2:$F$200,MATCH($Y69,'Test catalog'!$A$2:$A$200,0))),"")</f>
        <v/>
      </c>
      <c r="H69" s="11">
        <f>IFERROR(IF(INDEX('Test catalog'!$G$2:$G$200,MATCH($Y69,'Test catalog'!$A$2:$A$200,0))="","",INDEX('Test catalog'!$G$2:$G$200,MATCH($Y69,'Test catalog'!$A$2:$A$200,0))),"")</f>
        <v/>
      </c>
      <c r="I69" s="11">
        <f>IFERROR(IF(INDEX('Test catalog'!$H$2:$H$200,MATCH($Y69,'Test catalog'!$A$2:$A$200,0))="","",INDEX('Test catalog'!$H$2:$H$200,MATCH($Y69,'Test catalog'!$A$2:$A$200,0))),"")</f>
        <v/>
      </c>
      <c r="J69" s="11">
        <f>IFERROR(IF(INDEX('Test catalog'!$I$2:$I$200,MATCH($Y69,'Test catalog'!$A$2:$A$200,0))="","",INDEX('Test catalog'!$I$2:$I$200,MATCH($Y69,'Test catalog'!$A$2:$A$200,0))),"")</f>
        <v/>
      </c>
      <c r="K69" s="13">
        <f>IF(I69="","",IF(OR(H69="",J69=""),I69,(H69+4*I69+J69)/6))</f>
        <v/>
      </c>
      <c r="L69" s="11">
        <f>IFERROR(IF(INDEX('Test catalog'!$J$2:$J$200,MATCH($Y69,'Test catalog'!$A$2:$A$200,0))="","",INDEX('Test catalog'!$J$2:$J$200,MATCH($Y69,'Test catalog'!$A$2:$A$200,0))),"")</f>
        <v/>
      </c>
      <c r="M69" s="11">
        <f>IFERROR(IF(INDEX('Test catalog'!$K$2:$K$200,MATCH($Y69,'Test catalog'!$A$2:$A$200,0))="","",INDEX('Test catalog'!$K$2:$K$200,MATCH($Y69,'Test catalog'!$A$2:$A$200,0))),"")</f>
        <v/>
      </c>
      <c r="N69" s="11">
        <f>IFERROR(IF(INDEX('Test catalog'!$L$2:$L$200,MATCH($Y69,'Test catalog'!$A$2:$A$200,0))="","",INDEX('Test catalog'!$L$2:$L$200,MATCH($Y69,'Test catalog'!$A$2:$A$200,0))),"")</f>
        <v/>
      </c>
      <c r="O69" s="11">
        <f>IFERROR(IF(INDEX('Test catalog'!$M$2:$M$200,MATCH($Y69,'Test catalog'!$A$2:$A$200,0))="","",INDEX('Test catalog'!$M$2:$M$200,MATCH($Y69,'Test catalog'!$A$2:$A$200,0))),"")</f>
        <v/>
      </c>
      <c r="P69" s="11">
        <f>IFERROR(IF(INDEX('Test catalog'!$N$2:$N$200,MATCH($Y69,'Test catalog'!$A$2:$A$200,0))="","",INDEX('Test catalog'!$N$2:$N$200,MATCH($Y69,'Test catalog'!$A$2:$A$200,0))),"")</f>
        <v/>
      </c>
      <c r="Q69" s="11">
        <f>IFERROR(IF(INDEX('Test catalog'!$O$2:$O$200,MATCH($Y69,'Test catalog'!$A$2:$A$200,0))="","",INDEX('Test catalog'!$O$2:$O$200,MATCH($Y69,'Test catalog'!$A$2:$A$200,0))),"")</f>
        <v/>
      </c>
      <c r="R69" s="11">
        <f>IFERROR(IF(INDEX('Test catalog'!$P$2:$P$200,MATCH($Y69,'Test catalog'!$A$2:$A$200,0))="","",INDEX('Test catalog'!$P$2:$P$200,MATCH($Y69,'Test catalog'!$A$2:$A$200,0))),"")</f>
        <v/>
      </c>
      <c r="S69" s="14" t="n"/>
      <c r="T69" s="5" t="n"/>
      <c r="U69" s="11">
        <f>IFERROR(IF(INDEX('Test catalog'!$Q$2:$Q$200,MATCH($Y69,'Test catalog'!$A$2:$A$200,0))="","",INDEX('Test catalog'!$Q$2:$Q$200,MATCH($Y69,'Test catalog'!$A$2:$A$200,0))),"")</f>
        <v/>
      </c>
      <c r="V69" s="5" t="n"/>
      <c r="W69" s="5" t="n"/>
      <c r="X69" s="5" t="n"/>
      <c r="Y69" s="5" t="inlineStr">
        <is>
          <t>SALM</t>
        </is>
      </c>
      <c r="Z69" s="11" t="inlineStr">
        <is>
          <t>Natural origin, no USP-NF micro test - confirm (USP &lt;2023&gt;)</t>
        </is>
      </c>
    </row>
    <row r="70">
      <c r="A70" s="11" t="inlineStr">
        <is>
          <t>Ginger Dry Extract 5:1</t>
        </is>
      </c>
      <c r="B70" s="11" t="inlineStr">
        <is>
          <t>RM</t>
        </is>
      </c>
      <c r="C70" s="11" t="inlineStr">
        <is>
          <t>Active</t>
        </is>
      </c>
      <c r="D70" s="11" t="inlineStr">
        <is>
          <t>Microbial enumeration - TAMC + TYMC (&lt;61&gt; / &lt;2021&gt;)</t>
        </is>
      </c>
      <c r="E70" s="5" t="inlineStr">
        <is>
          <t>Y</t>
        </is>
      </c>
      <c r="F70" s="5" t="n"/>
      <c r="G70" s="11">
        <f>IFERROR(IF(INDEX('Test catalog'!$F$2:$F$200,MATCH($Y70,'Test catalog'!$A$2:$A$200,0))="","",INDEX('Test catalog'!$F$2:$F$200,MATCH($Y70,'Test catalog'!$A$2:$A$200,0))),"")</f>
        <v/>
      </c>
      <c r="H70" s="11">
        <f>IFERROR(IF(INDEX('Test catalog'!$G$2:$G$200,MATCH($Y70,'Test catalog'!$A$2:$A$200,0))="","",INDEX('Test catalog'!$G$2:$G$200,MATCH($Y70,'Test catalog'!$A$2:$A$200,0))),"")</f>
        <v/>
      </c>
      <c r="I70" s="11">
        <f>IFERROR(IF(INDEX('Test catalog'!$H$2:$H$200,MATCH($Y70,'Test catalog'!$A$2:$A$200,0))="","",INDEX('Test catalog'!$H$2:$H$200,MATCH($Y70,'Test catalog'!$A$2:$A$200,0))),"")</f>
        <v/>
      </c>
      <c r="J70" s="11">
        <f>IFERROR(IF(INDEX('Test catalog'!$I$2:$I$200,MATCH($Y70,'Test catalog'!$A$2:$A$200,0))="","",INDEX('Test catalog'!$I$2:$I$200,MATCH($Y70,'Test catalog'!$A$2:$A$200,0))),"")</f>
        <v/>
      </c>
      <c r="K70" s="13">
        <f>IF(I70="","",IF(OR(H70="",J70=""),I70,(H70+4*I70+J70)/6))</f>
        <v/>
      </c>
      <c r="L70" s="11">
        <f>IFERROR(IF(INDEX('Test catalog'!$J$2:$J$200,MATCH($Y70,'Test catalog'!$A$2:$A$200,0))="","",INDEX('Test catalog'!$J$2:$J$200,MATCH($Y70,'Test catalog'!$A$2:$A$200,0))),"")</f>
        <v/>
      </c>
      <c r="M70" s="11">
        <f>IFERROR(IF(INDEX('Test catalog'!$K$2:$K$200,MATCH($Y70,'Test catalog'!$A$2:$A$200,0))="","",INDEX('Test catalog'!$K$2:$K$200,MATCH($Y70,'Test catalog'!$A$2:$A$200,0))),"")</f>
        <v/>
      </c>
      <c r="N70" s="11">
        <f>IFERROR(IF(INDEX('Test catalog'!$L$2:$L$200,MATCH($Y70,'Test catalog'!$A$2:$A$200,0))="","",INDEX('Test catalog'!$L$2:$L$200,MATCH($Y70,'Test catalog'!$A$2:$A$200,0))),"")</f>
        <v/>
      </c>
      <c r="O70" s="11">
        <f>IFERROR(IF(INDEX('Test catalog'!$M$2:$M$200,MATCH($Y70,'Test catalog'!$A$2:$A$200,0))="","",INDEX('Test catalog'!$M$2:$M$200,MATCH($Y70,'Test catalog'!$A$2:$A$200,0))),"")</f>
        <v/>
      </c>
      <c r="P70" s="11">
        <f>IFERROR(IF(INDEX('Test catalog'!$N$2:$N$200,MATCH($Y70,'Test catalog'!$A$2:$A$200,0))="","",INDEX('Test catalog'!$N$2:$N$200,MATCH($Y70,'Test catalog'!$A$2:$A$200,0))),"")</f>
        <v/>
      </c>
      <c r="Q70" s="11">
        <f>IFERROR(IF(INDEX('Test catalog'!$O$2:$O$200,MATCH($Y70,'Test catalog'!$A$2:$A$200,0))="","",INDEX('Test catalog'!$O$2:$O$200,MATCH($Y70,'Test catalog'!$A$2:$A$200,0))),"")</f>
        <v/>
      </c>
      <c r="R70" s="11">
        <f>IFERROR(IF(INDEX('Test catalog'!$P$2:$P$200,MATCH($Y70,'Test catalog'!$A$2:$A$200,0))="","",INDEX('Test catalog'!$P$2:$P$200,MATCH($Y70,'Test catalog'!$A$2:$A$200,0))),"")</f>
        <v/>
      </c>
      <c r="S70" s="14" t="n"/>
      <c r="T70" s="5" t="n"/>
      <c r="U70" s="11">
        <f>IFERROR(IF(INDEX('Test catalog'!$Q$2:$Q$200,MATCH($Y70,'Test catalog'!$A$2:$A$200,0))="","",INDEX('Test catalog'!$Q$2:$Q$200,MATCH($Y70,'Test catalog'!$A$2:$A$200,0))),"")</f>
        <v/>
      </c>
      <c r="V70" s="5" t="n"/>
      <c r="W70" s="5" t="n"/>
      <c r="X70" s="5" t="n"/>
      <c r="Y70" s="5" t="inlineStr">
        <is>
          <t>ENUM</t>
        </is>
      </c>
      <c r="Z70" s="11" t="inlineStr">
        <is>
          <t>Natural origin, no USP-NF micro test - confirm (USP &lt;2023&gt;)</t>
        </is>
      </c>
    </row>
    <row r="71">
      <c r="A71" s="11" t="inlineStr">
        <is>
          <t>Ginger Dry Extract 5:1</t>
        </is>
      </c>
      <c r="B71" s="11" t="inlineStr">
        <is>
          <t>RM</t>
        </is>
      </c>
      <c r="C71" s="11" t="inlineStr">
        <is>
          <t>Active</t>
        </is>
      </c>
      <c r="D71" s="11" t="inlineStr">
        <is>
          <t>Absence of Escherichia coli (&lt;62&gt; / &lt;2022&gt;)</t>
        </is>
      </c>
      <c r="E71" s="5" t="inlineStr">
        <is>
          <t>Y</t>
        </is>
      </c>
      <c r="F71" s="5" t="n"/>
      <c r="G71" s="11">
        <f>IFERROR(IF(INDEX('Test catalog'!$F$2:$F$200,MATCH($Y71,'Test catalog'!$A$2:$A$200,0))="","",INDEX('Test catalog'!$F$2:$F$200,MATCH($Y71,'Test catalog'!$A$2:$A$200,0))),"")</f>
        <v/>
      </c>
      <c r="H71" s="11">
        <f>IFERROR(IF(INDEX('Test catalog'!$G$2:$G$200,MATCH($Y71,'Test catalog'!$A$2:$A$200,0))="","",INDEX('Test catalog'!$G$2:$G$200,MATCH($Y71,'Test catalog'!$A$2:$A$200,0))),"")</f>
        <v/>
      </c>
      <c r="I71" s="11">
        <f>IFERROR(IF(INDEX('Test catalog'!$H$2:$H$200,MATCH($Y71,'Test catalog'!$A$2:$A$200,0))="","",INDEX('Test catalog'!$H$2:$H$200,MATCH($Y71,'Test catalog'!$A$2:$A$200,0))),"")</f>
        <v/>
      </c>
      <c r="J71" s="11">
        <f>IFERROR(IF(INDEX('Test catalog'!$I$2:$I$200,MATCH($Y71,'Test catalog'!$A$2:$A$200,0))="","",INDEX('Test catalog'!$I$2:$I$200,MATCH($Y71,'Test catalog'!$A$2:$A$200,0))),"")</f>
        <v/>
      </c>
      <c r="K71" s="13">
        <f>IF(I71="","",IF(OR(H71="",J71=""),I71,(H71+4*I71+J71)/6))</f>
        <v/>
      </c>
      <c r="L71" s="11">
        <f>IFERROR(IF(INDEX('Test catalog'!$J$2:$J$200,MATCH($Y71,'Test catalog'!$A$2:$A$200,0))="","",INDEX('Test catalog'!$J$2:$J$200,MATCH($Y71,'Test catalog'!$A$2:$A$200,0))),"")</f>
        <v/>
      </c>
      <c r="M71" s="11">
        <f>IFERROR(IF(INDEX('Test catalog'!$K$2:$K$200,MATCH($Y71,'Test catalog'!$A$2:$A$200,0))="","",INDEX('Test catalog'!$K$2:$K$200,MATCH($Y71,'Test catalog'!$A$2:$A$200,0))),"")</f>
        <v/>
      </c>
      <c r="N71" s="11">
        <f>IFERROR(IF(INDEX('Test catalog'!$L$2:$L$200,MATCH($Y71,'Test catalog'!$A$2:$A$200,0))="","",INDEX('Test catalog'!$L$2:$L$200,MATCH($Y71,'Test catalog'!$A$2:$A$200,0))),"")</f>
        <v/>
      </c>
      <c r="O71" s="11">
        <f>IFERROR(IF(INDEX('Test catalog'!$M$2:$M$200,MATCH($Y71,'Test catalog'!$A$2:$A$200,0))="","",INDEX('Test catalog'!$M$2:$M$200,MATCH($Y71,'Test catalog'!$A$2:$A$200,0))),"")</f>
        <v/>
      </c>
      <c r="P71" s="11">
        <f>IFERROR(IF(INDEX('Test catalog'!$N$2:$N$200,MATCH($Y71,'Test catalog'!$A$2:$A$200,0))="","",INDEX('Test catalog'!$N$2:$N$200,MATCH($Y71,'Test catalog'!$A$2:$A$200,0))),"")</f>
        <v/>
      </c>
      <c r="Q71" s="11">
        <f>IFERROR(IF(INDEX('Test catalog'!$O$2:$O$200,MATCH($Y71,'Test catalog'!$A$2:$A$200,0))="","",INDEX('Test catalog'!$O$2:$O$200,MATCH($Y71,'Test catalog'!$A$2:$A$200,0))),"")</f>
        <v/>
      </c>
      <c r="R71" s="11">
        <f>IFERROR(IF(INDEX('Test catalog'!$P$2:$P$200,MATCH($Y71,'Test catalog'!$A$2:$A$200,0))="","",INDEX('Test catalog'!$P$2:$P$200,MATCH($Y71,'Test catalog'!$A$2:$A$200,0))),"")</f>
        <v/>
      </c>
      <c r="S71" s="14" t="n"/>
      <c r="T71" s="5" t="n"/>
      <c r="U71" s="11">
        <f>IFERROR(IF(INDEX('Test catalog'!$Q$2:$Q$200,MATCH($Y71,'Test catalog'!$A$2:$A$200,0))="","",INDEX('Test catalog'!$Q$2:$Q$200,MATCH($Y71,'Test catalog'!$A$2:$A$200,0))),"")</f>
        <v/>
      </c>
      <c r="V71" s="5" t="n"/>
      <c r="W71" s="5" t="n"/>
      <c r="X71" s="5" t="n"/>
      <c r="Y71" s="5" t="inlineStr">
        <is>
          <t>ECOLI</t>
        </is>
      </c>
      <c r="Z71" s="11" t="inlineStr">
        <is>
          <t>Natural origin, no USP-NF micro test - confirm (USP &lt;2023&gt;)</t>
        </is>
      </c>
    </row>
    <row r="72">
      <c r="A72" s="11" t="inlineStr">
        <is>
          <t>Ginger Dry Extract 5:1</t>
        </is>
      </c>
      <c r="B72" s="11" t="inlineStr">
        <is>
          <t>RM</t>
        </is>
      </c>
      <c r="C72" s="11" t="inlineStr">
        <is>
          <t>Active</t>
        </is>
      </c>
      <c r="D72" s="11" t="inlineStr">
        <is>
          <t>Absence of Salmonella (&lt;62&gt; / &lt;2022&gt;)</t>
        </is>
      </c>
      <c r="E72" s="5" t="inlineStr">
        <is>
          <t>Y</t>
        </is>
      </c>
      <c r="F72" s="5" t="n"/>
      <c r="G72" s="11">
        <f>IFERROR(IF(INDEX('Test catalog'!$F$2:$F$200,MATCH($Y72,'Test catalog'!$A$2:$A$200,0))="","",INDEX('Test catalog'!$F$2:$F$200,MATCH($Y72,'Test catalog'!$A$2:$A$200,0))),"")</f>
        <v/>
      </c>
      <c r="H72" s="11">
        <f>IFERROR(IF(INDEX('Test catalog'!$G$2:$G$200,MATCH($Y72,'Test catalog'!$A$2:$A$200,0))="","",INDEX('Test catalog'!$G$2:$G$200,MATCH($Y72,'Test catalog'!$A$2:$A$200,0))),"")</f>
        <v/>
      </c>
      <c r="I72" s="11">
        <f>IFERROR(IF(INDEX('Test catalog'!$H$2:$H$200,MATCH($Y72,'Test catalog'!$A$2:$A$200,0))="","",INDEX('Test catalog'!$H$2:$H$200,MATCH($Y72,'Test catalog'!$A$2:$A$200,0))),"")</f>
        <v/>
      </c>
      <c r="J72" s="11">
        <f>IFERROR(IF(INDEX('Test catalog'!$I$2:$I$200,MATCH($Y72,'Test catalog'!$A$2:$A$200,0))="","",INDEX('Test catalog'!$I$2:$I$200,MATCH($Y72,'Test catalog'!$A$2:$A$200,0))),"")</f>
        <v/>
      </c>
      <c r="K72" s="13">
        <f>IF(I72="","",IF(OR(H72="",J72=""),I72,(H72+4*I72+J72)/6))</f>
        <v/>
      </c>
      <c r="L72" s="11">
        <f>IFERROR(IF(INDEX('Test catalog'!$J$2:$J$200,MATCH($Y72,'Test catalog'!$A$2:$A$200,0))="","",INDEX('Test catalog'!$J$2:$J$200,MATCH($Y72,'Test catalog'!$A$2:$A$200,0))),"")</f>
        <v/>
      </c>
      <c r="M72" s="11">
        <f>IFERROR(IF(INDEX('Test catalog'!$K$2:$K$200,MATCH($Y72,'Test catalog'!$A$2:$A$200,0))="","",INDEX('Test catalog'!$K$2:$K$200,MATCH($Y72,'Test catalog'!$A$2:$A$200,0))),"")</f>
        <v/>
      </c>
      <c r="N72" s="11">
        <f>IFERROR(IF(INDEX('Test catalog'!$L$2:$L$200,MATCH($Y72,'Test catalog'!$A$2:$A$200,0))="","",INDEX('Test catalog'!$L$2:$L$200,MATCH($Y72,'Test catalog'!$A$2:$A$200,0))),"")</f>
        <v/>
      </c>
      <c r="O72" s="11">
        <f>IFERROR(IF(INDEX('Test catalog'!$M$2:$M$200,MATCH($Y72,'Test catalog'!$A$2:$A$200,0))="","",INDEX('Test catalog'!$M$2:$M$200,MATCH($Y72,'Test catalog'!$A$2:$A$200,0))),"")</f>
        <v/>
      </c>
      <c r="P72" s="11">
        <f>IFERROR(IF(INDEX('Test catalog'!$N$2:$N$200,MATCH($Y72,'Test catalog'!$A$2:$A$200,0))="","",INDEX('Test catalog'!$N$2:$N$200,MATCH($Y72,'Test catalog'!$A$2:$A$200,0))),"")</f>
        <v/>
      </c>
      <c r="Q72" s="11">
        <f>IFERROR(IF(INDEX('Test catalog'!$O$2:$O$200,MATCH($Y72,'Test catalog'!$A$2:$A$200,0))="","",INDEX('Test catalog'!$O$2:$O$200,MATCH($Y72,'Test catalog'!$A$2:$A$200,0))),"")</f>
        <v/>
      </c>
      <c r="R72" s="11">
        <f>IFERROR(IF(INDEX('Test catalog'!$P$2:$P$200,MATCH($Y72,'Test catalog'!$A$2:$A$200,0))="","",INDEX('Test catalog'!$P$2:$P$200,MATCH($Y72,'Test catalog'!$A$2:$A$200,0))),"")</f>
        <v/>
      </c>
      <c r="S72" s="14" t="n"/>
      <c r="T72" s="5" t="n"/>
      <c r="U72" s="11">
        <f>IFERROR(IF(INDEX('Test catalog'!$Q$2:$Q$200,MATCH($Y72,'Test catalog'!$A$2:$A$200,0))="","",INDEX('Test catalog'!$Q$2:$Q$200,MATCH($Y72,'Test catalog'!$A$2:$A$200,0))),"")</f>
        <v/>
      </c>
      <c r="V72" s="5" t="n"/>
      <c r="W72" s="5" t="n"/>
      <c r="X72" s="5" t="n"/>
      <c r="Y72" s="5" t="inlineStr">
        <is>
          <t>SALM</t>
        </is>
      </c>
      <c r="Z72" s="11" t="inlineStr">
        <is>
          <t>Natural origin, no USP-NF micro test - confirm (USP &lt;2023&gt;)</t>
        </is>
      </c>
    </row>
    <row r="73">
      <c r="A73" s="11" t="inlineStr">
        <is>
          <t>Ginkgo Biloba Leaf Dry Extract 50:1</t>
        </is>
      </c>
      <c r="B73" s="11" t="inlineStr">
        <is>
          <t>RM</t>
        </is>
      </c>
      <c r="C73" s="11" t="inlineStr">
        <is>
          <t>Active</t>
        </is>
      </c>
      <c r="D73" s="11" t="inlineStr">
        <is>
          <t>Microbial enumeration - TAMC + TYMC (&lt;61&gt; / &lt;2021&gt;)</t>
        </is>
      </c>
      <c r="E73" s="5" t="inlineStr">
        <is>
          <t>Y</t>
        </is>
      </c>
      <c r="F73" s="5" t="n"/>
      <c r="G73" s="11">
        <f>IFERROR(IF(INDEX('Test catalog'!$F$2:$F$200,MATCH($Y73,'Test catalog'!$A$2:$A$200,0))="","",INDEX('Test catalog'!$F$2:$F$200,MATCH($Y73,'Test catalog'!$A$2:$A$200,0))),"")</f>
        <v/>
      </c>
      <c r="H73" s="11">
        <f>IFERROR(IF(INDEX('Test catalog'!$G$2:$G$200,MATCH($Y73,'Test catalog'!$A$2:$A$200,0))="","",INDEX('Test catalog'!$G$2:$G$200,MATCH($Y73,'Test catalog'!$A$2:$A$200,0))),"")</f>
        <v/>
      </c>
      <c r="I73" s="11">
        <f>IFERROR(IF(INDEX('Test catalog'!$H$2:$H$200,MATCH($Y73,'Test catalog'!$A$2:$A$200,0))="","",INDEX('Test catalog'!$H$2:$H$200,MATCH($Y73,'Test catalog'!$A$2:$A$200,0))),"")</f>
        <v/>
      </c>
      <c r="J73" s="11">
        <f>IFERROR(IF(INDEX('Test catalog'!$I$2:$I$200,MATCH($Y73,'Test catalog'!$A$2:$A$200,0))="","",INDEX('Test catalog'!$I$2:$I$200,MATCH($Y73,'Test catalog'!$A$2:$A$200,0))),"")</f>
        <v/>
      </c>
      <c r="K73" s="13">
        <f>IF(I73="","",IF(OR(H73="",J73=""),I73,(H73+4*I73+J73)/6))</f>
        <v/>
      </c>
      <c r="L73" s="11">
        <f>IFERROR(IF(INDEX('Test catalog'!$J$2:$J$200,MATCH($Y73,'Test catalog'!$A$2:$A$200,0))="","",INDEX('Test catalog'!$J$2:$J$200,MATCH($Y73,'Test catalog'!$A$2:$A$200,0))),"")</f>
        <v/>
      </c>
      <c r="M73" s="11">
        <f>IFERROR(IF(INDEX('Test catalog'!$K$2:$K$200,MATCH($Y73,'Test catalog'!$A$2:$A$200,0))="","",INDEX('Test catalog'!$K$2:$K$200,MATCH($Y73,'Test catalog'!$A$2:$A$200,0))),"")</f>
        <v/>
      </c>
      <c r="N73" s="11">
        <f>IFERROR(IF(INDEX('Test catalog'!$L$2:$L$200,MATCH($Y73,'Test catalog'!$A$2:$A$200,0))="","",INDEX('Test catalog'!$L$2:$L$200,MATCH($Y73,'Test catalog'!$A$2:$A$200,0))),"")</f>
        <v/>
      </c>
      <c r="O73" s="11">
        <f>IFERROR(IF(INDEX('Test catalog'!$M$2:$M$200,MATCH($Y73,'Test catalog'!$A$2:$A$200,0))="","",INDEX('Test catalog'!$M$2:$M$200,MATCH($Y73,'Test catalog'!$A$2:$A$200,0))),"")</f>
        <v/>
      </c>
      <c r="P73" s="11">
        <f>IFERROR(IF(INDEX('Test catalog'!$N$2:$N$200,MATCH($Y73,'Test catalog'!$A$2:$A$200,0))="","",INDEX('Test catalog'!$N$2:$N$200,MATCH($Y73,'Test catalog'!$A$2:$A$200,0))),"")</f>
        <v/>
      </c>
      <c r="Q73" s="11">
        <f>IFERROR(IF(INDEX('Test catalog'!$O$2:$O$200,MATCH($Y73,'Test catalog'!$A$2:$A$200,0))="","",INDEX('Test catalog'!$O$2:$O$200,MATCH($Y73,'Test catalog'!$A$2:$A$200,0))),"")</f>
        <v/>
      </c>
      <c r="R73" s="11">
        <f>IFERROR(IF(INDEX('Test catalog'!$P$2:$P$200,MATCH($Y73,'Test catalog'!$A$2:$A$200,0))="","",INDEX('Test catalog'!$P$2:$P$200,MATCH($Y73,'Test catalog'!$A$2:$A$200,0))),"")</f>
        <v/>
      </c>
      <c r="S73" s="14" t="n"/>
      <c r="T73" s="5" t="n"/>
      <c r="U73" s="11">
        <f>IFERROR(IF(INDEX('Test catalog'!$Q$2:$Q$200,MATCH($Y73,'Test catalog'!$A$2:$A$200,0))="","",INDEX('Test catalog'!$Q$2:$Q$200,MATCH($Y73,'Test catalog'!$A$2:$A$200,0))),"")</f>
        <v/>
      </c>
      <c r="V73" s="5" t="n"/>
      <c r="W73" s="5" t="n"/>
      <c r="X73" s="5" t="n"/>
      <c r="Y73" s="5" t="inlineStr">
        <is>
          <t>ENUM</t>
        </is>
      </c>
      <c r="Z73" s="11" t="inlineStr">
        <is>
          <t>USP-NF monograph &lt;2021&gt;</t>
        </is>
      </c>
    </row>
    <row r="74">
      <c r="A74" s="11" t="inlineStr">
        <is>
          <t>Ginkgo Biloba Leaf Dry Extract 50:1</t>
        </is>
      </c>
      <c r="B74" s="11" t="inlineStr">
        <is>
          <t>RM</t>
        </is>
      </c>
      <c r="C74" s="11" t="inlineStr">
        <is>
          <t>Active</t>
        </is>
      </c>
      <c r="D74" s="11" t="inlineStr">
        <is>
          <t>Absence of Escherichia coli (&lt;62&gt; / &lt;2022&gt;)</t>
        </is>
      </c>
      <c r="E74" s="5" t="inlineStr">
        <is>
          <t>Y</t>
        </is>
      </c>
      <c r="F74" s="5" t="n"/>
      <c r="G74" s="11">
        <f>IFERROR(IF(INDEX('Test catalog'!$F$2:$F$200,MATCH($Y74,'Test catalog'!$A$2:$A$200,0))="","",INDEX('Test catalog'!$F$2:$F$200,MATCH($Y74,'Test catalog'!$A$2:$A$200,0))),"")</f>
        <v/>
      </c>
      <c r="H74" s="11">
        <f>IFERROR(IF(INDEX('Test catalog'!$G$2:$G$200,MATCH($Y74,'Test catalog'!$A$2:$A$200,0))="","",INDEX('Test catalog'!$G$2:$G$200,MATCH($Y74,'Test catalog'!$A$2:$A$200,0))),"")</f>
        <v/>
      </c>
      <c r="I74" s="11">
        <f>IFERROR(IF(INDEX('Test catalog'!$H$2:$H$200,MATCH($Y74,'Test catalog'!$A$2:$A$200,0))="","",INDEX('Test catalog'!$H$2:$H$200,MATCH($Y74,'Test catalog'!$A$2:$A$200,0))),"")</f>
        <v/>
      </c>
      <c r="J74" s="11">
        <f>IFERROR(IF(INDEX('Test catalog'!$I$2:$I$200,MATCH($Y74,'Test catalog'!$A$2:$A$200,0))="","",INDEX('Test catalog'!$I$2:$I$200,MATCH($Y74,'Test catalog'!$A$2:$A$200,0))),"")</f>
        <v/>
      </c>
      <c r="K74" s="13">
        <f>IF(I74="","",IF(OR(H74="",J74=""),I74,(H74+4*I74+J74)/6))</f>
        <v/>
      </c>
      <c r="L74" s="11">
        <f>IFERROR(IF(INDEX('Test catalog'!$J$2:$J$200,MATCH($Y74,'Test catalog'!$A$2:$A$200,0))="","",INDEX('Test catalog'!$J$2:$J$200,MATCH($Y74,'Test catalog'!$A$2:$A$200,0))),"")</f>
        <v/>
      </c>
      <c r="M74" s="11">
        <f>IFERROR(IF(INDEX('Test catalog'!$K$2:$K$200,MATCH($Y74,'Test catalog'!$A$2:$A$200,0))="","",INDEX('Test catalog'!$K$2:$K$200,MATCH($Y74,'Test catalog'!$A$2:$A$200,0))),"")</f>
        <v/>
      </c>
      <c r="N74" s="11">
        <f>IFERROR(IF(INDEX('Test catalog'!$L$2:$L$200,MATCH($Y74,'Test catalog'!$A$2:$A$200,0))="","",INDEX('Test catalog'!$L$2:$L$200,MATCH($Y74,'Test catalog'!$A$2:$A$200,0))),"")</f>
        <v/>
      </c>
      <c r="O74" s="11">
        <f>IFERROR(IF(INDEX('Test catalog'!$M$2:$M$200,MATCH($Y74,'Test catalog'!$A$2:$A$200,0))="","",INDEX('Test catalog'!$M$2:$M$200,MATCH($Y74,'Test catalog'!$A$2:$A$200,0))),"")</f>
        <v/>
      </c>
      <c r="P74" s="11">
        <f>IFERROR(IF(INDEX('Test catalog'!$N$2:$N$200,MATCH($Y74,'Test catalog'!$A$2:$A$200,0))="","",INDEX('Test catalog'!$N$2:$N$200,MATCH($Y74,'Test catalog'!$A$2:$A$200,0))),"")</f>
        <v/>
      </c>
      <c r="Q74" s="11">
        <f>IFERROR(IF(INDEX('Test catalog'!$O$2:$O$200,MATCH($Y74,'Test catalog'!$A$2:$A$200,0))="","",INDEX('Test catalog'!$O$2:$O$200,MATCH($Y74,'Test catalog'!$A$2:$A$200,0))),"")</f>
        <v/>
      </c>
      <c r="R74" s="11">
        <f>IFERROR(IF(INDEX('Test catalog'!$P$2:$P$200,MATCH($Y74,'Test catalog'!$A$2:$A$200,0))="","",INDEX('Test catalog'!$P$2:$P$200,MATCH($Y74,'Test catalog'!$A$2:$A$200,0))),"")</f>
        <v/>
      </c>
      <c r="S74" s="14" t="n"/>
      <c r="T74" s="5" t="n"/>
      <c r="U74" s="11">
        <f>IFERROR(IF(INDEX('Test catalog'!$Q$2:$Q$200,MATCH($Y74,'Test catalog'!$A$2:$A$200,0))="","",INDEX('Test catalog'!$Q$2:$Q$200,MATCH($Y74,'Test catalog'!$A$2:$A$200,0))),"")</f>
        <v/>
      </c>
      <c r="V74" s="5" t="n"/>
      <c r="W74" s="5" t="n"/>
      <c r="X74" s="5" t="n"/>
      <c r="Y74" s="5" t="inlineStr">
        <is>
          <t>ECOLI</t>
        </is>
      </c>
      <c r="Z74" s="11" t="inlineStr">
        <is>
          <t>USP-NF monograph &lt;2022&gt;</t>
        </is>
      </c>
    </row>
    <row r="75">
      <c r="A75" s="11" t="inlineStr">
        <is>
          <t>Ginkgo Biloba Leaf Dry Extract 50:1</t>
        </is>
      </c>
      <c r="B75" s="11" t="inlineStr">
        <is>
          <t>RM</t>
        </is>
      </c>
      <c r="C75" s="11" t="inlineStr">
        <is>
          <t>Active</t>
        </is>
      </c>
      <c r="D75" s="11" t="inlineStr">
        <is>
          <t>Absence of Salmonella (&lt;62&gt; / &lt;2022&gt;)</t>
        </is>
      </c>
      <c r="E75" s="5" t="inlineStr">
        <is>
          <t>Y</t>
        </is>
      </c>
      <c r="F75" s="5" t="n"/>
      <c r="G75" s="11">
        <f>IFERROR(IF(INDEX('Test catalog'!$F$2:$F$200,MATCH($Y75,'Test catalog'!$A$2:$A$200,0))="","",INDEX('Test catalog'!$F$2:$F$200,MATCH($Y75,'Test catalog'!$A$2:$A$200,0))),"")</f>
        <v/>
      </c>
      <c r="H75" s="11">
        <f>IFERROR(IF(INDEX('Test catalog'!$G$2:$G$200,MATCH($Y75,'Test catalog'!$A$2:$A$200,0))="","",INDEX('Test catalog'!$G$2:$G$200,MATCH($Y75,'Test catalog'!$A$2:$A$200,0))),"")</f>
        <v/>
      </c>
      <c r="I75" s="11">
        <f>IFERROR(IF(INDEX('Test catalog'!$H$2:$H$200,MATCH($Y75,'Test catalog'!$A$2:$A$200,0))="","",INDEX('Test catalog'!$H$2:$H$200,MATCH($Y75,'Test catalog'!$A$2:$A$200,0))),"")</f>
        <v/>
      </c>
      <c r="J75" s="11">
        <f>IFERROR(IF(INDEX('Test catalog'!$I$2:$I$200,MATCH($Y75,'Test catalog'!$A$2:$A$200,0))="","",INDEX('Test catalog'!$I$2:$I$200,MATCH($Y75,'Test catalog'!$A$2:$A$200,0))),"")</f>
        <v/>
      </c>
      <c r="K75" s="13">
        <f>IF(I75="","",IF(OR(H75="",J75=""),I75,(H75+4*I75+J75)/6))</f>
        <v/>
      </c>
      <c r="L75" s="11">
        <f>IFERROR(IF(INDEX('Test catalog'!$J$2:$J$200,MATCH($Y75,'Test catalog'!$A$2:$A$200,0))="","",INDEX('Test catalog'!$J$2:$J$200,MATCH($Y75,'Test catalog'!$A$2:$A$200,0))),"")</f>
        <v/>
      </c>
      <c r="M75" s="11">
        <f>IFERROR(IF(INDEX('Test catalog'!$K$2:$K$200,MATCH($Y75,'Test catalog'!$A$2:$A$200,0))="","",INDEX('Test catalog'!$K$2:$K$200,MATCH($Y75,'Test catalog'!$A$2:$A$200,0))),"")</f>
        <v/>
      </c>
      <c r="N75" s="11">
        <f>IFERROR(IF(INDEX('Test catalog'!$L$2:$L$200,MATCH($Y75,'Test catalog'!$A$2:$A$200,0))="","",INDEX('Test catalog'!$L$2:$L$200,MATCH($Y75,'Test catalog'!$A$2:$A$200,0))),"")</f>
        <v/>
      </c>
      <c r="O75" s="11">
        <f>IFERROR(IF(INDEX('Test catalog'!$M$2:$M$200,MATCH($Y75,'Test catalog'!$A$2:$A$200,0))="","",INDEX('Test catalog'!$M$2:$M$200,MATCH($Y75,'Test catalog'!$A$2:$A$200,0))),"")</f>
        <v/>
      </c>
      <c r="P75" s="11">
        <f>IFERROR(IF(INDEX('Test catalog'!$N$2:$N$200,MATCH($Y75,'Test catalog'!$A$2:$A$200,0))="","",INDEX('Test catalog'!$N$2:$N$200,MATCH($Y75,'Test catalog'!$A$2:$A$200,0))),"")</f>
        <v/>
      </c>
      <c r="Q75" s="11">
        <f>IFERROR(IF(INDEX('Test catalog'!$O$2:$O$200,MATCH($Y75,'Test catalog'!$A$2:$A$200,0))="","",INDEX('Test catalog'!$O$2:$O$200,MATCH($Y75,'Test catalog'!$A$2:$A$200,0))),"")</f>
        <v/>
      </c>
      <c r="R75" s="11">
        <f>IFERROR(IF(INDEX('Test catalog'!$P$2:$P$200,MATCH($Y75,'Test catalog'!$A$2:$A$200,0))="","",INDEX('Test catalog'!$P$2:$P$200,MATCH($Y75,'Test catalog'!$A$2:$A$200,0))),"")</f>
        <v/>
      </c>
      <c r="S75" s="14" t="n"/>
      <c r="T75" s="5" t="n"/>
      <c r="U75" s="11">
        <f>IFERROR(IF(INDEX('Test catalog'!$Q$2:$Q$200,MATCH($Y75,'Test catalog'!$A$2:$A$200,0))="","",INDEX('Test catalog'!$Q$2:$Q$200,MATCH($Y75,'Test catalog'!$A$2:$A$200,0))),"")</f>
        <v/>
      </c>
      <c r="V75" s="5" t="n"/>
      <c r="W75" s="5" t="n"/>
      <c r="X75" s="5" t="n"/>
      <c r="Y75" s="5" t="inlineStr">
        <is>
          <t>SALM</t>
        </is>
      </c>
      <c r="Z75" s="11" t="inlineStr">
        <is>
          <t>USP-NF monograph &lt;2022&gt;</t>
        </is>
      </c>
    </row>
    <row r="76">
      <c r="A76" s="11" t="inlineStr">
        <is>
          <t>Ginseng Panax</t>
        </is>
      </c>
      <c r="B76" s="11" t="inlineStr">
        <is>
          <t>RM</t>
        </is>
      </c>
      <c r="C76" s="11" t="inlineStr">
        <is>
          <t>Active</t>
        </is>
      </c>
      <c r="D76" s="11" t="inlineStr">
        <is>
          <t>Microbial enumeration - TAMC + TYMC (&lt;61&gt; / &lt;2021&gt;)</t>
        </is>
      </c>
      <c r="E76" s="5" t="inlineStr">
        <is>
          <t>Y</t>
        </is>
      </c>
      <c r="F76" s="5" t="n"/>
      <c r="G76" s="11">
        <f>IFERROR(IF(INDEX('Test catalog'!$F$2:$F$200,MATCH($Y76,'Test catalog'!$A$2:$A$200,0))="","",INDEX('Test catalog'!$F$2:$F$200,MATCH($Y76,'Test catalog'!$A$2:$A$200,0))),"")</f>
        <v/>
      </c>
      <c r="H76" s="11">
        <f>IFERROR(IF(INDEX('Test catalog'!$G$2:$G$200,MATCH($Y76,'Test catalog'!$A$2:$A$200,0))="","",INDEX('Test catalog'!$G$2:$G$200,MATCH($Y76,'Test catalog'!$A$2:$A$200,0))),"")</f>
        <v/>
      </c>
      <c r="I76" s="11">
        <f>IFERROR(IF(INDEX('Test catalog'!$H$2:$H$200,MATCH($Y76,'Test catalog'!$A$2:$A$200,0))="","",INDEX('Test catalog'!$H$2:$H$200,MATCH($Y76,'Test catalog'!$A$2:$A$200,0))),"")</f>
        <v/>
      </c>
      <c r="J76" s="11">
        <f>IFERROR(IF(INDEX('Test catalog'!$I$2:$I$200,MATCH($Y76,'Test catalog'!$A$2:$A$200,0))="","",INDEX('Test catalog'!$I$2:$I$200,MATCH($Y76,'Test catalog'!$A$2:$A$200,0))),"")</f>
        <v/>
      </c>
      <c r="K76" s="13">
        <f>IF(I76="","",IF(OR(H76="",J76=""),I76,(H76+4*I76+J76)/6))</f>
        <v/>
      </c>
      <c r="L76" s="11">
        <f>IFERROR(IF(INDEX('Test catalog'!$J$2:$J$200,MATCH($Y76,'Test catalog'!$A$2:$A$200,0))="","",INDEX('Test catalog'!$J$2:$J$200,MATCH($Y76,'Test catalog'!$A$2:$A$200,0))),"")</f>
        <v/>
      </c>
      <c r="M76" s="11">
        <f>IFERROR(IF(INDEX('Test catalog'!$K$2:$K$200,MATCH($Y76,'Test catalog'!$A$2:$A$200,0))="","",INDEX('Test catalog'!$K$2:$K$200,MATCH($Y76,'Test catalog'!$A$2:$A$200,0))),"")</f>
        <v/>
      </c>
      <c r="N76" s="11">
        <f>IFERROR(IF(INDEX('Test catalog'!$L$2:$L$200,MATCH($Y76,'Test catalog'!$A$2:$A$200,0))="","",INDEX('Test catalog'!$L$2:$L$200,MATCH($Y76,'Test catalog'!$A$2:$A$200,0))),"")</f>
        <v/>
      </c>
      <c r="O76" s="11">
        <f>IFERROR(IF(INDEX('Test catalog'!$M$2:$M$200,MATCH($Y76,'Test catalog'!$A$2:$A$200,0))="","",INDEX('Test catalog'!$M$2:$M$200,MATCH($Y76,'Test catalog'!$A$2:$A$200,0))),"")</f>
        <v/>
      </c>
      <c r="P76" s="11">
        <f>IFERROR(IF(INDEX('Test catalog'!$N$2:$N$200,MATCH($Y76,'Test catalog'!$A$2:$A$200,0))="","",INDEX('Test catalog'!$N$2:$N$200,MATCH($Y76,'Test catalog'!$A$2:$A$200,0))),"")</f>
        <v/>
      </c>
      <c r="Q76" s="11">
        <f>IFERROR(IF(INDEX('Test catalog'!$O$2:$O$200,MATCH($Y76,'Test catalog'!$A$2:$A$200,0))="","",INDEX('Test catalog'!$O$2:$O$200,MATCH($Y76,'Test catalog'!$A$2:$A$200,0))),"")</f>
        <v/>
      </c>
      <c r="R76" s="11">
        <f>IFERROR(IF(INDEX('Test catalog'!$P$2:$P$200,MATCH($Y76,'Test catalog'!$A$2:$A$200,0))="","",INDEX('Test catalog'!$P$2:$P$200,MATCH($Y76,'Test catalog'!$A$2:$A$200,0))),"")</f>
        <v/>
      </c>
      <c r="S76" s="14" t="n"/>
      <c r="T76" s="5" t="n"/>
      <c r="U76" s="11">
        <f>IFERROR(IF(INDEX('Test catalog'!$Q$2:$Q$200,MATCH($Y76,'Test catalog'!$A$2:$A$200,0))="","",INDEX('Test catalog'!$Q$2:$Q$200,MATCH($Y76,'Test catalog'!$A$2:$A$200,0))),"")</f>
        <v/>
      </c>
      <c r="V76" s="5" t="n"/>
      <c r="W76" s="5" t="n"/>
      <c r="X76" s="5" t="n"/>
      <c r="Y76" s="5" t="inlineStr">
        <is>
          <t>ENUM</t>
        </is>
      </c>
      <c r="Z76" s="11" t="inlineStr">
        <is>
          <t>Natural origin, no USP-NF micro test - confirm (USP &lt;2023&gt;)</t>
        </is>
      </c>
    </row>
    <row r="77">
      <c r="A77" s="11" t="inlineStr">
        <is>
          <t>Ginseng Panax</t>
        </is>
      </c>
      <c r="B77" s="11" t="inlineStr">
        <is>
          <t>RM</t>
        </is>
      </c>
      <c r="C77" s="11" t="inlineStr">
        <is>
          <t>Active</t>
        </is>
      </c>
      <c r="D77" s="11" t="inlineStr">
        <is>
          <t>Absence of Escherichia coli (&lt;62&gt; / &lt;2022&gt;)</t>
        </is>
      </c>
      <c r="E77" s="5" t="inlineStr">
        <is>
          <t>Y</t>
        </is>
      </c>
      <c r="F77" s="5" t="n"/>
      <c r="G77" s="11">
        <f>IFERROR(IF(INDEX('Test catalog'!$F$2:$F$200,MATCH($Y77,'Test catalog'!$A$2:$A$200,0))="","",INDEX('Test catalog'!$F$2:$F$200,MATCH($Y77,'Test catalog'!$A$2:$A$200,0))),"")</f>
        <v/>
      </c>
      <c r="H77" s="11">
        <f>IFERROR(IF(INDEX('Test catalog'!$G$2:$G$200,MATCH($Y77,'Test catalog'!$A$2:$A$200,0))="","",INDEX('Test catalog'!$G$2:$G$200,MATCH($Y77,'Test catalog'!$A$2:$A$200,0))),"")</f>
        <v/>
      </c>
      <c r="I77" s="11">
        <f>IFERROR(IF(INDEX('Test catalog'!$H$2:$H$200,MATCH($Y77,'Test catalog'!$A$2:$A$200,0))="","",INDEX('Test catalog'!$H$2:$H$200,MATCH($Y77,'Test catalog'!$A$2:$A$200,0))),"")</f>
        <v/>
      </c>
      <c r="J77" s="11">
        <f>IFERROR(IF(INDEX('Test catalog'!$I$2:$I$200,MATCH($Y77,'Test catalog'!$A$2:$A$200,0))="","",INDEX('Test catalog'!$I$2:$I$200,MATCH($Y77,'Test catalog'!$A$2:$A$200,0))),"")</f>
        <v/>
      </c>
      <c r="K77" s="13">
        <f>IF(I77="","",IF(OR(H77="",J77=""),I77,(H77+4*I77+J77)/6))</f>
        <v/>
      </c>
      <c r="L77" s="11">
        <f>IFERROR(IF(INDEX('Test catalog'!$J$2:$J$200,MATCH($Y77,'Test catalog'!$A$2:$A$200,0))="","",INDEX('Test catalog'!$J$2:$J$200,MATCH($Y77,'Test catalog'!$A$2:$A$200,0))),"")</f>
        <v/>
      </c>
      <c r="M77" s="11">
        <f>IFERROR(IF(INDEX('Test catalog'!$K$2:$K$200,MATCH($Y77,'Test catalog'!$A$2:$A$200,0))="","",INDEX('Test catalog'!$K$2:$K$200,MATCH($Y77,'Test catalog'!$A$2:$A$200,0))),"")</f>
        <v/>
      </c>
      <c r="N77" s="11">
        <f>IFERROR(IF(INDEX('Test catalog'!$L$2:$L$200,MATCH($Y77,'Test catalog'!$A$2:$A$200,0))="","",INDEX('Test catalog'!$L$2:$L$200,MATCH($Y77,'Test catalog'!$A$2:$A$200,0))),"")</f>
        <v/>
      </c>
      <c r="O77" s="11">
        <f>IFERROR(IF(INDEX('Test catalog'!$M$2:$M$200,MATCH($Y77,'Test catalog'!$A$2:$A$200,0))="","",INDEX('Test catalog'!$M$2:$M$200,MATCH($Y77,'Test catalog'!$A$2:$A$200,0))),"")</f>
        <v/>
      </c>
      <c r="P77" s="11">
        <f>IFERROR(IF(INDEX('Test catalog'!$N$2:$N$200,MATCH($Y77,'Test catalog'!$A$2:$A$200,0))="","",INDEX('Test catalog'!$N$2:$N$200,MATCH($Y77,'Test catalog'!$A$2:$A$200,0))),"")</f>
        <v/>
      </c>
      <c r="Q77" s="11">
        <f>IFERROR(IF(INDEX('Test catalog'!$O$2:$O$200,MATCH($Y77,'Test catalog'!$A$2:$A$200,0))="","",INDEX('Test catalog'!$O$2:$O$200,MATCH($Y77,'Test catalog'!$A$2:$A$200,0))),"")</f>
        <v/>
      </c>
      <c r="R77" s="11">
        <f>IFERROR(IF(INDEX('Test catalog'!$P$2:$P$200,MATCH($Y77,'Test catalog'!$A$2:$A$200,0))="","",INDEX('Test catalog'!$P$2:$P$200,MATCH($Y77,'Test catalog'!$A$2:$A$200,0))),"")</f>
        <v/>
      </c>
      <c r="S77" s="14" t="n"/>
      <c r="T77" s="5" t="n"/>
      <c r="U77" s="11">
        <f>IFERROR(IF(INDEX('Test catalog'!$Q$2:$Q$200,MATCH($Y77,'Test catalog'!$A$2:$A$200,0))="","",INDEX('Test catalog'!$Q$2:$Q$200,MATCH($Y77,'Test catalog'!$A$2:$A$200,0))),"")</f>
        <v/>
      </c>
      <c r="V77" s="5" t="n"/>
      <c r="W77" s="5" t="n"/>
      <c r="X77" s="5" t="n"/>
      <c r="Y77" s="5" t="inlineStr">
        <is>
          <t>ECOLI</t>
        </is>
      </c>
      <c r="Z77" s="11" t="inlineStr">
        <is>
          <t>Natural origin, no USP-NF micro test - confirm (USP &lt;2023&gt;)</t>
        </is>
      </c>
    </row>
    <row r="78">
      <c r="A78" s="11" t="inlineStr">
        <is>
          <t>Ginseng Panax</t>
        </is>
      </c>
      <c r="B78" s="11" t="inlineStr">
        <is>
          <t>RM</t>
        </is>
      </c>
      <c r="C78" s="11" t="inlineStr">
        <is>
          <t>Active</t>
        </is>
      </c>
      <c r="D78" s="11" t="inlineStr">
        <is>
          <t>Absence of Salmonella (&lt;62&gt; / &lt;2022&gt;)</t>
        </is>
      </c>
      <c r="E78" s="5" t="inlineStr">
        <is>
          <t>Y</t>
        </is>
      </c>
      <c r="F78" s="5" t="n"/>
      <c r="G78" s="11">
        <f>IFERROR(IF(INDEX('Test catalog'!$F$2:$F$200,MATCH($Y78,'Test catalog'!$A$2:$A$200,0))="","",INDEX('Test catalog'!$F$2:$F$200,MATCH($Y78,'Test catalog'!$A$2:$A$200,0))),"")</f>
        <v/>
      </c>
      <c r="H78" s="11">
        <f>IFERROR(IF(INDEX('Test catalog'!$G$2:$G$200,MATCH($Y78,'Test catalog'!$A$2:$A$200,0))="","",INDEX('Test catalog'!$G$2:$G$200,MATCH($Y78,'Test catalog'!$A$2:$A$200,0))),"")</f>
        <v/>
      </c>
      <c r="I78" s="11">
        <f>IFERROR(IF(INDEX('Test catalog'!$H$2:$H$200,MATCH($Y78,'Test catalog'!$A$2:$A$200,0))="","",INDEX('Test catalog'!$H$2:$H$200,MATCH($Y78,'Test catalog'!$A$2:$A$200,0))),"")</f>
        <v/>
      </c>
      <c r="J78" s="11">
        <f>IFERROR(IF(INDEX('Test catalog'!$I$2:$I$200,MATCH($Y78,'Test catalog'!$A$2:$A$200,0))="","",INDEX('Test catalog'!$I$2:$I$200,MATCH($Y78,'Test catalog'!$A$2:$A$200,0))),"")</f>
        <v/>
      </c>
      <c r="K78" s="13">
        <f>IF(I78="","",IF(OR(H78="",J78=""),I78,(H78+4*I78+J78)/6))</f>
        <v/>
      </c>
      <c r="L78" s="11">
        <f>IFERROR(IF(INDEX('Test catalog'!$J$2:$J$200,MATCH($Y78,'Test catalog'!$A$2:$A$200,0))="","",INDEX('Test catalog'!$J$2:$J$200,MATCH($Y78,'Test catalog'!$A$2:$A$200,0))),"")</f>
        <v/>
      </c>
      <c r="M78" s="11">
        <f>IFERROR(IF(INDEX('Test catalog'!$K$2:$K$200,MATCH($Y78,'Test catalog'!$A$2:$A$200,0))="","",INDEX('Test catalog'!$K$2:$K$200,MATCH($Y78,'Test catalog'!$A$2:$A$200,0))),"")</f>
        <v/>
      </c>
      <c r="N78" s="11">
        <f>IFERROR(IF(INDEX('Test catalog'!$L$2:$L$200,MATCH($Y78,'Test catalog'!$A$2:$A$200,0))="","",INDEX('Test catalog'!$L$2:$L$200,MATCH($Y78,'Test catalog'!$A$2:$A$200,0))),"")</f>
        <v/>
      </c>
      <c r="O78" s="11">
        <f>IFERROR(IF(INDEX('Test catalog'!$M$2:$M$200,MATCH($Y78,'Test catalog'!$A$2:$A$200,0))="","",INDEX('Test catalog'!$M$2:$M$200,MATCH($Y78,'Test catalog'!$A$2:$A$200,0))),"")</f>
        <v/>
      </c>
      <c r="P78" s="11">
        <f>IFERROR(IF(INDEX('Test catalog'!$N$2:$N$200,MATCH($Y78,'Test catalog'!$A$2:$A$200,0))="","",INDEX('Test catalog'!$N$2:$N$200,MATCH($Y78,'Test catalog'!$A$2:$A$200,0))),"")</f>
        <v/>
      </c>
      <c r="Q78" s="11">
        <f>IFERROR(IF(INDEX('Test catalog'!$O$2:$O$200,MATCH($Y78,'Test catalog'!$A$2:$A$200,0))="","",INDEX('Test catalog'!$O$2:$O$200,MATCH($Y78,'Test catalog'!$A$2:$A$200,0))),"")</f>
        <v/>
      </c>
      <c r="R78" s="11">
        <f>IFERROR(IF(INDEX('Test catalog'!$P$2:$P$200,MATCH($Y78,'Test catalog'!$A$2:$A$200,0))="","",INDEX('Test catalog'!$P$2:$P$200,MATCH($Y78,'Test catalog'!$A$2:$A$200,0))),"")</f>
        <v/>
      </c>
      <c r="S78" s="14" t="n"/>
      <c r="T78" s="5" t="n"/>
      <c r="U78" s="11">
        <f>IFERROR(IF(INDEX('Test catalog'!$Q$2:$Q$200,MATCH($Y78,'Test catalog'!$A$2:$A$200,0))="","",INDEX('Test catalog'!$Q$2:$Q$200,MATCH($Y78,'Test catalog'!$A$2:$A$200,0))),"")</f>
        <v/>
      </c>
      <c r="V78" s="5" t="n"/>
      <c r="W78" s="5" t="n"/>
      <c r="X78" s="5" t="n"/>
      <c r="Y78" s="5" t="inlineStr">
        <is>
          <t>SALM</t>
        </is>
      </c>
      <c r="Z78" s="11" t="inlineStr">
        <is>
          <t>Natural origin, no USP-NF micro test - confirm (USP &lt;2023&gt;)</t>
        </is>
      </c>
    </row>
    <row r="79">
      <c r="A79" s="11" t="inlineStr">
        <is>
          <t>Gymnema Sylvestre Leaf Dry Extract 10:1</t>
        </is>
      </c>
      <c r="B79" s="11" t="inlineStr">
        <is>
          <t>RM</t>
        </is>
      </c>
      <c r="C79" s="11" t="inlineStr">
        <is>
          <t>Active</t>
        </is>
      </c>
      <c r="D79" s="11" t="inlineStr">
        <is>
          <t>Microbial enumeration - TAMC + TYMC (&lt;61&gt; / &lt;2021&gt;)</t>
        </is>
      </c>
      <c r="E79" s="5" t="inlineStr">
        <is>
          <t>Y</t>
        </is>
      </c>
      <c r="F79" s="5" t="n"/>
      <c r="G79" s="11">
        <f>IFERROR(IF(INDEX('Test catalog'!$F$2:$F$200,MATCH($Y79,'Test catalog'!$A$2:$A$200,0))="","",INDEX('Test catalog'!$F$2:$F$200,MATCH($Y79,'Test catalog'!$A$2:$A$200,0))),"")</f>
        <v/>
      </c>
      <c r="H79" s="11">
        <f>IFERROR(IF(INDEX('Test catalog'!$G$2:$G$200,MATCH($Y79,'Test catalog'!$A$2:$A$200,0))="","",INDEX('Test catalog'!$G$2:$G$200,MATCH($Y79,'Test catalog'!$A$2:$A$200,0))),"")</f>
        <v/>
      </c>
      <c r="I79" s="11">
        <f>IFERROR(IF(INDEX('Test catalog'!$H$2:$H$200,MATCH($Y79,'Test catalog'!$A$2:$A$200,0))="","",INDEX('Test catalog'!$H$2:$H$200,MATCH($Y79,'Test catalog'!$A$2:$A$200,0))),"")</f>
        <v/>
      </c>
      <c r="J79" s="11">
        <f>IFERROR(IF(INDEX('Test catalog'!$I$2:$I$200,MATCH($Y79,'Test catalog'!$A$2:$A$200,0))="","",INDEX('Test catalog'!$I$2:$I$200,MATCH($Y79,'Test catalog'!$A$2:$A$200,0))),"")</f>
        <v/>
      </c>
      <c r="K79" s="13">
        <f>IF(I79="","",IF(OR(H79="",J79=""),I79,(H79+4*I79+J79)/6))</f>
        <v/>
      </c>
      <c r="L79" s="11">
        <f>IFERROR(IF(INDEX('Test catalog'!$J$2:$J$200,MATCH($Y79,'Test catalog'!$A$2:$A$200,0))="","",INDEX('Test catalog'!$J$2:$J$200,MATCH($Y79,'Test catalog'!$A$2:$A$200,0))),"")</f>
        <v/>
      </c>
      <c r="M79" s="11">
        <f>IFERROR(IF(INDEX('Test catalog'!$K$2:$K$200,MATCH($Y79,'Test catalog'!$A$2:$A$200,0))="","",INDEX('Test catalog'!$K$2:$K$200,MATCH($Y79,'Test catalog'!$A$2:$A$200,0))),"")</f>
        <v/>
      </c>
      <c r="N79" s="11">
        <f>IFERROR(IF(INDEX('Test catalog'!$L$2:$L$200,MATCH($Y79,'Test catalog'!$A$2:$A$200,0))="","",INDEX('Test catalog'!$L$2:$L$200,MATCH($Y79,'Test catalog'!$A$2:$A$200,0))),"")</f>
        <v/>
      </c>
      <c r="O79" s="11">
        <f>IFERROR(IF(INDEX('Test catalog'!$M$2:$M$200,MATCH($Y79,'Test catalog'!$A$2:$A$200,0))="","",INDEX('Test catalog'!$M$2:$M$200,MATCH($Y79,'Test catalog'!$A$2:$A$200,0))),"")</f>
        <v/>
      </c>
      <c r="P79" s="11">
        <f>IFERROR(IF(INDEX('Test catalog'!$N$2:$N$200,MATCH($Y79,'Test catalog'!$A$2:$A$200,0))="","",INDEX('Test catalog'!$N$2:$N$200,MATCH($Y79,'Test catalog'!$A$2:$A$200,0))),"")</f>
        <v/>
      </c>
      <c r="Q79" s="11">
        <f>IFERROR(IF(INDEX('Test catalog'!$O$2:$O$200,MATCH($Y79,'Test catalog'!$A$2:$A$200,0))="","",INDEX('Test catalog'!$O$2:$O$200,MATCH($Y79,'Test catalog'!$A$2:$A$200,0))),"")</f>
        <v/>
      </c>
      <c r="R79" s="11">
        <f>IFERROR(IF(INDEX('Test catalog'!$P$2:$P$200,MATCH($Y79,'Test catalog'!$A$2:$A$200,0))="","",INDEX('Test catalog'!$P$2:$P$200,MATCH($Y79,'Test catalog'!$A$2:$A$200,0))),"")</f>
        <v/>
      </c>
      <c r="S79" s="14" t="n"/>
      <c r="T79" s="5" t="n"/>
      <c r="U79" s="11">
        <f>IFERROR(IF(INDEX('Test catalog'!$Q$2:$Q$200,MATCH($Y79,'Test catalog'!$A$2:$A$200,0))="","",INDEX('Test catalog'!$Q$2:$Q$200,MATCH($Y79,'Test catalog'!$A$2:$A$200,0))),"")</f>
        <v/>
      </c>
      <c r="V79" s="5" t="n"/>
      <c r="W79" s="5" t="n"/>
      <c r="X79" s="5" t="n"/>
      <c r="Y79" s="5" t="inlineStr">
        <is>
          <t>ENUM</t>
        </is>
      </c>
      <c r="Z79" s="11" t="inlineStr">
        <is>
          <t>USP-NF monograph &lt;2021&gt;</t>
        </is>
      </c>
    </row>
    <row r="80">
      <c r="A80" s="11" t="inlineStr">
        <is>
          <t>Gymnema Sylvestre Leaf Dry Extract 10:1</t>
        </is>
      </c>
      <c r="B80" s="11" t="inlineStr">
        <is>
          <t>RM</t>
        </is>
      </c>
      <c r="C80" s="11" t="inlineStr">
        <is>
          <t>Active</t>
        </is>
      </c>
      <c r="D80" s="11" t="inlineStr">
        <is>
          <t>Absence of Escherichia coli (&lt;62&gt; / &lt;2022&gt;)</t>
        </is>
      </c>
      <c r="E80" s="5" t="inlineStr">
        <is>
          <t>Y</t>
        </is>
      </c>
      <c r="F80" s="5" t="n"/>
      <c r="G80" s="11">
        <f>IFERROR(IF(INDEX('Test catalog'!$F$2:$F$200,MATCH($Y80,'Test catalog'!$A$2:$A$200,0))="","",INDEX('Test catalog'!$F$2:$F$200,MATCH($Y80,'Test catalog'!$A$2:$A$200,0))),"")</f>
        <v/>
      </c>
      <c r="H80" s="11">
        <f>IFERROR(IF(INDEX('Test catalog'!$G$2:$G$200,MATCH($Y80,'Test catalog'!$A$2:$A$200,0))="","",INDEX('Test catalog'!$G$2:$G$200,MATCH($Y80,'Test catalog'!$A$2:$A$200,0))),"")</f>
        <v/>
      </c>
      <c r="I80" s="11">
        <f>IFERROR(IF(INDEX('Test catalog'!$H$2:$H$200,MATCH($Y80,'Test catalog'!$A$2:$A$200,0))="","",INDEX('Test catalog'!$H$2:$H$200,MATCH($Y80,'Test catalog'!$A$2:$A$200,0))),"")</f>
        <v/>
      </c>
      <c r="J80" s="11">
        <f>IFERROR(IF(INDEX('Test catalog'!$I$2:$I$200,MATCH($Y80,'Test catalog'!$A$2:$A$200,0))="","",INDEX('Test catalog'!$I$2:$I$200,MATCH($Y80,'Test catalog'!$A$2:$A$200,0))),"")</f>
        <v/>
      </c>
      <c r="K80" s="13">
        <f>IF(I80="","",IF(OR(H80="",J80=""),I80,(H80+4*I80+J80)/6))</f>
        <v/>
      </c>
      <c r="L80" s="11">
        <f>IFERROR(IF(INDEX('Test catalog'!$J$2:$J$200,MATCH($Y80,'Test catalog'!$A$2:$A$200,0))="","",INDEX('Test catalog'!$J$2:$J$200,MATCH($Y80,'Test catalog'!$A$2:$A$200,0))),"")</f>
        <v/>
      </c>
      <c r="M80" s="11">
        <f>IFERROR(IF(INDEX('Test catalog'!$K$2:$K$200,MATCH($Y80,'Test catalog'!$A$2:$A$200,0))="","",INDEX('Test catalog'!$K$2:$K$200,MATCH($Y80,'Test catalog'!$A$2:$A$200,0))),"")</f>
        <v/>
      </c>
      <c r="N80" s="11">
        <f>IFERROR(IF(INDEX('Test catalog'!$L$2:$L$200,MATCH($Y80,'Test catalog'!$A$2:$A$200,0))="","",INDEX('Test catalog'!$L$2:$L$200,MATCH($Y80,'Test catalog'!$A$2:$A$200,0))),"")</f>
        <v/>
      </c>
      <c r="O80" s="11">
        <f>IFERROR(IF(INDEX('Test catalog'!$M$2:$M$200,MATCH($Y80,'Test catalog'!$A$2:$A$200,0))="","",INDEX('Test catalog'!$M$2:$M$200,MATCH($Y80,'Test catalog'!$A$2:$A$200,0))),"")</f>
        <v/>
      </c>
      <c r="P80" s="11">
        <f>IFERROR(IF(INDEX('Test catalog'!$N$2:$N$200,MATCH($Y80,'Test catalog'!$A$2:$A$200,0))="","",INDEX('Test catalog'!$N$2:$N$200,MATCH($Y80,'Test catalog'!$A$2:$A$200,0))),"")</f>
        <v/>
      </c>
      <c r="Q80" s="11">
        <f>IFERROR(IF(INDEX('Test catalog'!$O$2:$O$200,MATCH($Y80,'Test catalog'!$A$2:$A$200,0))="","",INDEX('Test catalog'!$O$2:$O$200,MATCH($Y80,'Test catalog'!$A$2:$A$200,0))),"")</f>
        <v/>
      </c>
      <c r="R80" s="11">
        <f>IFERROR(IF(INDEX('Test catalog'!$P$2:$P$200,MATCH($Y80,'Test catalog'!$A$2:$A$200,0))="","",INDEX('Test catalog'!$P$2:$P$200,MATCH($Y80,'Test catalog'!$A$2:$A$200,0))),"")</f>
        <v/>
      </c>
      <c r="S80" s="14" t="n"/>
      <c r="T80" s="5" t="n"/>
      <c r="U80" s="11">
        <f>IFERROR(IF(INDEX('Test catalog'!$Q$2:$Q$200,MATCH($Y80,'Test catalog'!$A$2:$A$200,0))="","",INDEX('Test catalog'!$Q$2:$Q$200,MATCH($Y80,'Test catalog'!$A$2:$A$200,0))),"")</f>
        <v/>
      </c>
      <c r="V80" s="5" t="n"/>
      <c r="W80" s="5" t="n"/>
      <c r="X80" s="5" t="n"/>
      <c r="Y80" s="5" t="inlineStr">
        <is>
          <t>ECOLI</t>
        </is>
      </c>
      <c r="Z80" s="11" t="inlineStr">
        <is>
          <t>USP-NF monograph &lt;2022&gt;</t>
        </is>
      </c>
    </row>
    <row r="81">
      <c r="A81" s="11" t="inlineStr">
        <is>
          <t>Gymnema Sylvestre Leaf Dry Extract 10:1</t>
        </is>
      </c>
      <c r="B81" s="11" t="inlineStr">
        <is>
          <t>RM</t>
        </is>
      </c>
      <c r="C81" s="11" t="inlineStr">
        <is>
          <t>Active</t>
        </is>
      </c>
      <c r="D81" s="11" t="inlineStr">
        <is>
          <t>Absence of Salmonella (&lt;62&gt; / &lt;2022&gt;)</t>
        </is>
      </c>
      <c r="E81" s="5" t="inlineStr">
        <is>
          <t>Y</t>
        </is>
      </c>
      <c r="F81" s="5" t="n"/>
      <c r="G81" s="11">
        <f>IFERROR(IF(INDEX('Test catalog'!$F$2:$F$200,MATCH($Y81,'Test catalog'!$A$2:$A$200,0))="","",INDEX('Test catalog'!$F$2:$F$200,MATCH($Y81,'Test catalog'!$A$2:$A$200,0))),"")</f>
        <v/>
      </c>
      <c r="H81" s="11">
        <f>IFERROR(IF(INDEX('Test catalog'!$G$2:$G$200,MATCH($Y81,'Test catalog'!$A$2:$A$200,0))="","",INDEX('Test catalog'!$G$2:$G$200,MATCH($Y81,'Test catalog'!$A$2:$A$200,0))),"")</f>
        <v/>
      </c>
      <c r="I81" s="11">
        <f>IFERROR(IF(INDEX('Test catalog'!$H$2:$H$200,MATCH($Y81,'Test catalog'!$A$2:$A$200,0))="","",INDEX('Test catalog'!$H$2:$H$200,MATCH($Y81,'Test catalog'!$A$2:$A$200,0))),"")</f>
        <v/>
      </c>
      <c r="J81" s="11">
        <f>IFERROR(IF(INDEX('Test catalog'!$I$2:$I$200,MATCH($Y81,'Test catalog'!$A$2:$A$200,0))="","",INDEX('Test catalog'!$I$2:$I$200,MATCH($Y81,'Test catalog'!$A$2:$A$200,0))),"")</f>
        <v/>
      </c>
      <c r="K81" s="13">
        <f>IF(I81="","",IF(OR(H81="",J81=""),I81,(H81+4*I81+J81)/6))</f>
        <v/>
      </c>
      <c r="L81" s="11">
        <f>IFERROR(IF(INDEX('Test catalog'!$J$2:$J$200,MATCH($Y81,'Test catalog'!$A$2:$A$200,0))="","",INDEX('Test catalog'!$J$2:$J$200,MATCH($Y81,'Test catalog'!$A$2:$A$200,0))),"")</f>
        <v/>
      </c>
      <c r="M81" s="11">
        <f>IFERROR(IF(INDEX('Test catalog'!$K$2:$K$200,MATCH($Y81,'Test catalog'!$A$2:$A$200,0))="","",INDEX('Test catalog'!$K$2:$K$200,MATCH($Y81,'Test catalog'!$A$2:$A$200,0))),"")</f>
        <v/>
      </c>
      <c r="N81" s="11">
        <f>IFERROR(IF(INDEX('Test catalog'!$L$2:$L$200,MATCH($Y81,'Test catalog'!$A$2:$A$200,0))="","",INDEX('Test catalog'!$L$2:$L$200,MATCH($Y81,'Test catalog'!$A$2:$A$200,0))),"")</f>
        <v/>
      </c>
      <c r="O81" s="11">
        <f>IFERROR(IF(INDEX('Test catalog'!$M$2:$M$200,MATCH($Y81,'Test catalog'!$A$2:$A$200,0))="","",INDEX('Test catalog'!$M$2:$M$200,MATCH($Y81,'Test catalog'!$A$2:$A$200,0))),"")</f>
        <v/>
      </c>
      <c r="P81" s="11">
        <f>IFERROR(IF(INDEX('Test catalog'!$N$2:$N$200,MATCH($Y81,'Test catalog'!$A$2:$A$200,0))="","",INDEX('Test catalog'!$N$2:$N$200,MATCH($Y81,'Test catalog'!$A$2:$A$200,0))),"")</f>
        <v/>
      </c>
      <c r="Q81" s="11">
        <f>IFERROR(IF(INDEX('Test catalog'!$O$2:$O$200,MATCH($Y81,'Test catalog'!$A$2:$A$200,0))="","",INDEX('Test catalog'!$O$2:$O$200,MATCH($Y81,'Test catalog'!$A$2:$A$200,0))),"")</f>
        <v/>
      </c>
      <c r="R81" s="11">
        <f>IFERROR(IF(INDEX('Test catalog'!$P$2:$P$200,MATCH($Y81,'Test catalog'!$A$2:$A$200,0))="","",INDEX('Test catalog'!$P$2:$P$200,MATCH($Y81,'Test catalog'!$A$2:$A$200,0))),"")</f>
        <v/>
      </c>
      <c r="S81" s="14" t="n"/>
      <c r="T81" s="5" t="n"/>
      <c r="U81" s="11">
        <f>IFERROR(IF(INDEX('Test catalog'!$Q$2:$Q$200,MATCH($Y81,'Test catalog'!$A$2:$A$200,0))="","",INDEX('Test catalog'!$Q$2:$Q$200,MATCH($Y81,'Test catalog'!$A$2:$A$200,0))),"")</f>
        <v/>
      </c>
      <c r="V81" s="5" t="n"/>
      <c r="W81" s="5" t="n"/>
      <c r="X81" s="5" t="n"/>
      <c r="Y81" s="5" t="inlineStr">
        <is>
          <t>SALM</t>
        </is>
      </c>
      <c r="Z81" s="11" t="inlineStr">
        <is>
          <t>USP-NF monograph &lt;2022&gt;</t>
        </is>
      </c>
    </row>
    <row r="82">
      <c r="A82" s="11" t="inlineStr">
        <is>
          <t>Hydrochlorothiazide</t>
        </is>
      </c>
      <c r="B82" s="11" t="inlineStr">
        <is>
          <t>RM</t>
        </is>
      </c>
      <c r="C82" s="11" t="inlineStr">
        <is>
          <t>Active</t>
        </is>
      </c>
      <c r="D82" s="11" t="inlineStr">
        <is>
          <t>Microbial enumeration - TAMC + TYMC (&lt;61&gt; / &lt;2021&gt;)</t>
        </is>
      </c>
      <c r="E82" s="5" t="inlineStr">
        <is>
          <t>N</t>
        </is>
      </c>
      <c r="F82" s="5" t="n"/>
      <c r="G82" s="11">
        <f>IFERROR(IF(INDEX('Test catalog'!$F$2:$F$200,MATCH($Y82,'Test catalog'!$A$2:$A$200,0))="","",INDEX('Test catalog'!$F$2:$F$200,MATCH($Y82,'Test catalog'!$A$2:$A$200,0))),"")</f>
        <v/>
      </c>
      <c r="H82" s="11">
        <f>IFERROR(IF(INDEX('Test catalog'!$G$2:$G$200,MATCH($Y82,'Test catalog'!$A$2:$A$200,0))="","",INDEX('Test catalog'!$G$2:$G$200,MATCH($Y82,'Test catalog'!$A$2:$A$200,0))),"")</f>
        <v/>
      </c>
      <c r="I82" s="11">
        <f>IFERROR(IF(INDEX('Test catalog'!$H$2:$H$200,MATCH($Y82,'Test catalog'!$A$2:$A$200,0))="","",INDEX('Test catalog'!$H$2:$H$200,MATCH($Y82,'Test catalog'!$A$2:$A$200,0))),"")</f>
        <v/>
      </c>
      <c r="J82" s="11">
        <f>IFERROR(IF(INDEX('Test catalog'!$I$2:$I$200,MATCH($Y82,'Test catalog'!$A$2:$A$200,0))="","",INDEX('Test catalog'!$I$2:$I$200,MATCH($Y82,'Test catalog'!$A$2:$A$200,0))),"")</f>
        <v/>
      </c>
      <c r="K82" s="13">
        <f>IF(I82="","",IF(OR(H82="",J82=""),I82,(H82+4*I82+J82)/6))</f>
        <v/>
      </c>
      <c r="L82" s="11">
        <f>IFERROR(IF(INDEX('Test catalog'!$J$2:$J$200,MATCH($Y82,'Test catalog'!$A$2:$A$200,0))="","",INDEX('Test catalog'!$J$2:$J$200,MATCH($Y82,'Test catalog'!$A$2:$A$200,0))),"")</f>
        <v/>
      </c>
      <c r="M82" s="11">
        <f>IFERROR(IF(INDEX('Test catalog'!$K$2:$K$200,MATCH($Y82,'Test catalog'!$A$2:$A$200,0))="","",INDEX('Test catalog'!$K$2:$K$200,MATCH($Y82,'Test catalog'!$A$2:$A$200,0))),"")</f>
        <v/>
      </c>
      <c r="N82" s="11">
        <f>IFERROR(IF(INDEX('Test catalog'!$L$2:$L$200,MATCH($Y82,'Test catalog'!$A$2:$A$200,0))="","",INDEX('Test catalog'!$L$2:$L$200,MATCH($Y82,'Test catalog'!$A$2:$A$200,0))),"")</f>
        <v/>
      </c>
      <c r="O82" s="11">
        <f>IFERROR(IF(INDEX('Test catalog'!$M$2:$M$200,MATCH($Y82,'Test catalog'!$A$2:$A$200,0))="","",INDEX('Test catalog'!$M$2:$M$200,MATCH($Y82,'Test catalog'!$A$2:$A$200,0))),"")</f>
        <v/>
      </c>
      <c r="P82" s="11">
        <f>IFERROR(IF(INDEX('Test catalog'!$N$2:$N$200,MATCH($Y82,'Test catalog'!$A$2:$A$200,0))="","",INDEX('Test catalog'!$N$2:$N$200,MATCH($Y82,'Test catalog'!$A$2:$A$200,0))),"")</f>
        <v/>
      </c>
      <c r="Q82" s="11">
        <f>IFERROR(IF(INDEX('Test catalog'!$O$2:$O$200,MATCH($Y82,'Test catalog'!$A$2:$A$200,0))="","",INDEX('Test catalog'!$O$2:$O$200,MATCH($Y82,'Test catalog'!$A$2:$A$200,0))),"")</f>
        <v/>
      </c>
      <c r="R82" s="11">
        <f>IFERROR(IF(INDEX('Test catalog'!$P$2:$P$200,MATCH($Y82,'Test catalog'!$A$2:$A$200,0))="","",INDEX('Test catalog'!$P$2:$P$200,MATCH($Y82,'Test catalog'!$A$2:$A$200,0))),"")</f>
        <v/>
      </c>
      <c r="S82" s="14" t="n"/>
      <c r="T82" s="5" t="n"/>
      <c r="U82" s="11">
        <f>IFERROR(IF(INDEX('Test catalog'!$Q$2:$Q$200,MATCH($Y82,'Test catalog'!$A$2:$A$200,0))="","",INDEX('Test catalog'!$Q$2:$Q$200,MATCH($Y82,'Test catalog'!$A$2:$A$200,0))),"")</f>
        <v/>
      </c>
      <c r="V82" s="5" t="n"/>
      <c r="W82" s="5" t="n"/>
      <c r="X82" s="5" t="n"/>
      <c r="Y82" s="5" t="inlineStr">
        <is>
          <t>ENUM</t>
        </is>
      </c>
      <c r="Z82" s="11" t="inlineStr">
        <is>
          <t>No micro test in USP-NF - set Y if your specification has one</t>
        </is>
      </c>
    </row>
    <row r="83">
      <c r="A83" s="11" t="inlineStr">
        <is>
          <t>Inositol (Vitamin B8)</t>
        </is>
      </c>
      <c r="B83" s="11" t="inlineStr">
        <is>
          <t>RM</t>
        </is>
      </c>
      <c r="C83" s="11" t="inlineStr">
        <is>
          <t>Active</t>
        </is>
      </c>
      <c r="D83" s="11" t="inlineStr">
        <is>
          <t>Microbial enumeration - TAMC + TYMC (&lt;61&gt; / &lt;2021&gt;)</t>
        </is>
      </c>
      <c r="E83" s="5" t="inlineStr">
        <is>
          <t>N</t>
        </is>
      </c>
      <c r="F83" s="5" t="n"/>
      <c r="G83" s="11">
        <f>IFERROR(IF(INDEX('Test catalog'!$F$2:$F$200,MATCH($Y83,'Test catalog'!$A$2:$A$200,0))="","",INDEX('Test catalog'!$F$2:$F$200,MATCH($Y83,'Test catalog'!$A$2:$A$200,0))),"")</f>
        <v/>
      </c>
      <c r="H83" s="11">
        <f>IFERROR(IF(INDEX('Test catalog'!$G$2:$G$200,MATCH($Y83,'Test catalog'!$A$2:$A$200,0))="","",INDEX('Test catalog'!$G$2:$G$200,MATCH($Y83,'Test catalog'!$A$2:$A$200,0))),"")</f>
        <v/>
      </c>
      <c r="I83" s="11">
        <f>IFERROR(IF(INDEX('Test catalog'!$H$2:$H$200,MATCH($Y83,'Test catalog'!$A$2:$A$200,0))="","",INDEX('Test catalog'!$H$2:$H$200,MATCH($Y83,'Test catalog'!$A$2:$A$200,0))),"")</f>
        <v/>
      </c>
      <c r="J83" s="11">
        <f>IFERROR(IF(INDEX('Test catalog'!$I$2:$I$200,MATCH($Y83,'Test catalog'!$A$2:$A$200,0))="","",INDEX('Test catalog'!$I$2:$I$200,MATCH($Y83,'Test catalog'!$A$2:$A$200,0))),"")</f>
        <v/>
      </c>
      <c r="K83" s="13">
        <f>IF(I83="","",IF(OR(H83="",J83=""),I83,(H83+4*I83+J83)/6))</f>
        <v/>
      </c>
      <c r="L83" s="11">
        <f>IFERROR(IF(INDEX('Test catalog'!$J$2:$J$200,MATCH($Y83,'Test catalog'!$A$2:$A$200,0))="","",INDEX('Test catalog'!$J$2:$J$200,MATCH($Y83,'Test catalog'!$A$2:$A$200,0))),"")</f>
        <v/>
      </c>
      <c r="M83" s="11">
        <f>IFERROR(IF(INDEX('Test catalog'!$K$2:$K$200,MATCH($Y83,'Test catalog'!$A$2:$A$200,0))="","",INDEX('Test catalog'!$K$2:$K$200,MATCH($Y83,'Test catalog'!$A$2:$A$200,0))),"")</f>
        <v/>
      </c>
      <c r="N83" s="11">
        <f>IFERROR(IF(INDEX('Test catalog'!$L$2:$L$200,MATCH($Y83,'Test catalog'!$A$2:$A$200,0))="","",INDEX('Test catalog'!$L$2:$L$200,MATCH($Y83,'Test catalog'!$A$2:$A$200,0))),"")</f>
        <v/>
      </c>
      <c r="O83" s="11">
        <f>IFERROR(IF(INDEX('Test catalog'!$M$2:$M$200,MATCH($Y83,'Test catalog'!$A$2:$A$200,0))="","",INDEX('Test catalog'!$M$2:$M$200,MATCH($Y83,'Test catalog'!$A$2:$A$200,0))),"")</f>
        <v/>
      </c>
      <c r="P83" s="11">
        <f>IFERROR(IF(INDEX('Test catalog'!$N$2:$N$200,MATCH($Y83,'Test catalog'!$A$2:$A$200,0))="","",INDEX('Test catalog'!$N$2:$N$200,MATCH($Y83,'Test catalog'!$A$2:$A$200,0))),"")</f>
        <v/>
      </c>
      <c r="Q83" s="11">
        <f>IFERROR(IF(INDEX('Test catalog'!$O$2:$O$200,MATCH($Y83,'Test catalog'!$A$2:$A$200,0))="","",INDEX('Test catalog'!$O$2:$O$200,MATCH($Y83,'Test catalog'!$A$2:$A$200,0))),"")</f>
        <v/>
      </c>
      <c r="R83" s="11">
        <f>IFERROR(IF(INDEX('Test catalog'!$P$2:$P$200,MATCH($Y83,'Test catalog'!$A$2:$A$200,0))="","",INDEX('Test catalog'!$P$2:$P$200,MATCH($Y83,'Test catalog'!$A$2:$A$200,0))),"")</f>
        <v/>
      </c>
      <c r="S83" s="14" t="n"/>
      <c r="T83" s="5" t="n"/>
      <c r="U83" s="11">
        <f>IFERROR(IF(INDEX('Test catalog'!$Q$2:$Q$200,MATCH($Y83,'Test catalog'!$A$2:$A$200,0))="","",INDEX('Test catalog'!$Q$2:$Q$200,MATCH($Y83,'Test catalog'!$A$2:$A$200,0))),"")</f>
        <v/>
      </c>
      <c r="V83" s="5" t="n"/>
      <c r="W83" s="5" t="n"/>
      <c r="X83" s="5" t="n"/>
      <c r="Y83" s="5" t="inlineStr">
        <is>
          <t>ENUM</t>
        </is>
      </c>
      <c r="Z83" s="11" t="inlineStr">
        <is>
          <t>No micro test in USP-NF - set Y if your specification has one</t>
        </is>
      </c>
    </row>
    <row r="84">
      <c r="A84" s="11" t="inlineStr">
        <is>
          <t>Juniper Communis Fruit Dry Extract 2:1</t>
        </is>
      </c>
      <c r="B84" s="11" t="inlineStr">
        <is>
          <t>RM</t>
        </is>
      </c>
      <c r="C84" s="11" t="inlineStr">
        <is>
          <t>Active</t>
        </is>
      </c>
      <c r="D84" s="11" t="inlineStr">
        <is>
          <t>Microbial enumeration - TAMC + TYMC (&lt;61&gt; / &lt;2021&gt;)</t>
        </is>
      </c>
      <c r="E84" s="5" t="inlineStr">
        <is>
          <t>Y</t>
        </is>
      </c>
      <c r="F84" s="5" t="n"/>
      <c r="G84" s="11">
        <f>IFERROR(IF(INDEX('Test catalog'!$F$2:$F$200,MATCH($Y84,'Test catalog'!$A$2:$A$200,0))="","",INDEX('Test catalog'!$F$2:$F$200,MATCH($Y84,'Test catalog'!$A$2:$A$200,0))),"")</f>
        <v/>
      </c>
      <c r="H84" s="11">
        <f>IFERROR(IF(INDEX('Test catalog'!$G$2:$G$200,MATCH($Y84,'Test catalog'!$A$2:$A$200,0))="","",INDEX('Test catalog'!$G$2:$G$200,MATCH($Y84,'Test catalog'!$A$2:$A$200,0))),"")</f>
        <v/>
      </c>
      <c r="I84" s="11">
        <f>IFERROR(IF(INDEX('Test catalog'!$H$2:$H$200,MATCH($Y84,'Test catalog'!$A$2:$A$200,0))="","",INDEX('Test catalog'!$H$2:$H$200,MATCH($Y84,'Test catalog'!$A$2:$A$200,0))),"")</f>
        <v/>
      </c>
      <c r="J84" s="11">
        <f>IFERROR(IF(INDEX('Test catalog'!$I$2:$I$200,MATCH($Y84,'Test catalog'!$A$2:$A$200,0))="","",INDEX('Test catalog'!$I$2:$I$200,MATCH($Y84,'Test catalog'!$A$2:$A$200,0))),"")</f>
        <v/>
      </c>
      <c r="K84" s="13">
        <f>IF(I84="","",IF(OR(H84="",J84=""),I84,(H84+4*I84+J84)/6))</f>
        <v/>
      </c>
      <c r="L84" s="11">
        <f>IFERROR(IF(INDEX('Test catalog'!$J$2:$J$200,MATCH($Y84,'Test catalog'!$A$2:$A$200,0))="","",INDEX('Test catalog'!$J$2:$J$200,MATCH($Y84,'Test catalog'!$A$2:$A$200,0))),"")</f>
        <v/>
      </c>
      <c r="M84" s="11">
        <f>IFERROR(IF(INDEX('Test catalog'!$K$2:$K$200,MATCH($Y84,'Test catalog'!$A$2:$A$200,0))="","",INDEX('Test catalog'!$K$2:$K$200,MATCH($Y84,'Test catalog'!$A$2:$A$200,0))),"")</f>
        <v/>
      </c>
      <c r="N84" s="11">
        <f>IFERROR(IF(INDEX('Test catalog'!$L$2:$L$200,MATCH($Y84,'Test catalog'!$A$2:$A$200,0))="","",INDEX('Test catalog'!$L$2:$L$200,MATCH($Y84,'Test catalog'!$A$2:$A$200,0))),"")</f>
        <v/>
      </c>
      <c r="O84" s="11">
        <f>IFERROR(IF(INDEX('Test catalog'!$M$2:$M$200,MATCH($Y84,'Test catalog'!$A$2:$A$200,0))="","",INDEX('Test catalog'!$M$2:$M$200,MATCH($Y84,'Test catalog'!$A$2:$A$200,0))),"")</f>
        <v/>
      </c>
      <c r="P84" s="11">
        <f>IFERROR(IF(INDEX('Test catalog'!$N$2:$N$200,MATCH($Y84,'Test catalog'!$A$2:$A$200,0))="","",INDEX('Test catalog'!$N$2:$N$200,MATCH($Y84,'Test catalog'!$A$2:$A$200,0))),"")</f>
        <v/>
      </c>
      <c r="Q84" s="11">
        <f>IFERROR(IF(INDEX('Test catalog'!$O$2:$O$200,MATCH($Y84,'Test catalog'!$A$2:$A$200,0))="","",INDEX('Test catalog'!$O$2:$O$200,MATCH($Y84,'Test catalog'!$A$2:$A$200,0))),"")</f>
        <v/>
      </c>
      <c r="R84" s="11">
        <f>IFERROR(IF(INDEX('Test catalog'!$P$2:$P$200,MATCH($Y84,'Test catalog'!$A$2:$A$200,0))="","",INDEX('Test catalog'!$P$2:$P$200,MATCH($Y84,'Test catalog'!$A$2:$A$200,0))),"")</f>
        <v/>
      </c>
      <c r="S84" s="14" t="n"/>
      <c r="T84" s="5" t="n"/>
      <c r="U84" s="11">
        <f>IFERROR(IF(INDEX('Test catalog'!$Q$2:$Q$200,MATCH($Y84,'Test catalog'!$A$2:$A$200,0))="","",INDEX('Test catalog'!$Q$2:$Q$200,MATCH($Y84,'Test catalog'!$A$2:$A$200,0))),"")</f>
        <v/>
      </c>
      <c r="V84" s="5" t="n"/>
      <c r="W84" s="5" t="n"/>
      <c r="X84" s="5" t="n"/>
      <c r="Y84" s="5" t="inlineStr">
        <is>
          <t>ENUM</t>
        </is>
      </c>
      <c r="Z84" s="11" t="inlineStr">
        <is>
          <t>Natural origin, no USP-NF micro test - confirm (USP &lt;2023&gt;)</t>
        </is>
      </c>
    </row>
    <row r="85">
      <c r="A85" s="11" t="inlineStr">
        <is>
          <t>Juniper Communis Fruit Dry Extract 2:1</t>
        </is>
      </c>
      <c r="B85" s="11" t="inlineStr">
        <is>
          <t>RM</t>
        </is>
      </c>
      <c r="C85" s="11" t="inlineStr">
        <is>
          <t>Active</t>
        </is>
      </c>
      <c r="D85" s="11" t="inlineStr">
        <is>
          <t>Absence of Escherichia coli (&lt;62&gt; / &lt;2022&gt;)</t>
        </is>
      </c>
      <c r="E85" s="5" t="inlineStr">
        <is>
          <t>Y</t>
        </is>
      </c>
      <c r="F85" s="5" t="n"/>
      <c r="G85" s="11">
        <f>IFERROR(IF(INDEX('Test catalog'!$F$2:$F$200,MATCH($Y85,'Test catalog'!$A$2:$A$200,0))="","",INDEX('Test catalog'!$F$2:$F$200,MATCH($Y85,'Test catalog'!$A$2:$A$200,0))),"")</f>
        <v/>
      </c>
      <c r="H85" s="11">
        <f>IFERROR(IF(INDEX('Test catalog'!$G$2:$G$200,MATCH($Y85,'Test catalog'!$A$2:$A$200,0))="","",INDEX('Test catalog'!$G$2:$G$200,MATCH($Y85,'Test catalog'!$A$2:$A$200,0))),"")</f>
        <v/>
      </c>
      <c r="I85" s="11">
        <f>IFERROR(IF(INDEX('Test catalog'!$H$2:$H$200,MATCH($Y85,'Test catalog'!$A$2:$A$200,0))="","",INDEX('Test catalog'!$H$2:$H$200,MATCH($Y85,'Test catalog'!$A$2:$A$200,0))),"")</f>
        <v/>
      </c>
      <c r="J85" s="11">
        <f>IFERROR(IF(INDEX('Test catalog'!$I$2:$I$200,MATCH($Y85,'Test catalog'!$A$2:$A$200,0))="","",INDEX('Test catalog'!$I$2:$I$200,MATCH($Y85,'Test catalog'!$A$2:$A$200,0))),"")</f>
        <v/>
      </c>
      <c r="K85" s="13">
        <f>IF(I85="","",IF(OR(H85="",J85=""),I85,(H85+4*I85+J85)/6))</f>
        <v/>
      </c>
      <c r="L85" s="11">
        <f>IFERROR(IF(INDEX('Test catalog'!$J$2:$J$200,MATCH($Y85,'Test catalog'!$A$2:$A$200,0))="","",INDEX('Test catalog'!$J$2:$J$200,MATCH($Y85,'Test catalog'!$A$2:$A$200,0))),"")</f>
        <v/>
      </c>
      <c r="M85" s="11">
        <f>IFERROR(IF(INDEX('Test catalog'!$K$2:$K$200,MATCH($Y85,'Test catalog'!$A$2:$A$200,0))="","",INDEX('Test catalog'!$K$2:$K$200,MATCH($Y85,'Test catalog'!$A$2:$A$200,0))),"")</f>
        <v/>
      </c>
      <c r="N85" s="11">
        <f>IFERROR(IF(INDEX('Test catalog'!$L$2:$L$200,MATCH($Y85,'Test catalog'!$A$2:$A$200,0))="","",INDEX('Test catalog'!$L$2:$L$200,MATCH($Y85,'Test catalog'!$A$2:$A$200,0))),"")</f>
        <v/>
      </c>
      <c r="O85" s="11">
        <f>IFERROR(IF(INDEX('Test catalog'!$M$2:$M$200,MATCH($Y85,'Test catalog'!$A$2:$A$200,0))="","",INDEX('Test catalog'!$M$2:$M$200,MATCH($Y85,'Test catalog'!$A$2:$A$200,0))),"")</f>
        <v/>
      </c>
      <c r="P85" s="11">
        <f>IFERROR(IF(INDEX('Test catalog'!$N$2:$N$200,MATCH($Y85,'Test catalog'!$A$2:$A$200,0))="","",INDEX('Test catalog'!$N$2:$N$200,MATCH($Y85,'Test catalog'!$A$2:$A$200,0))),"")</f>
        <v/>
      </c>
      <c r="Q85" s="11">
        <f>IFERROR(IF(INDEX('Test catalog'!$O$2:$O$200,MATCH($Y85,'Test catalog'!$A$2:$A$200,0))="","",INDEX('Test catalog'!$O$2:$O$200,MATCH($Y85,'Test catalog'!$A$2:$A$200,0))),"")</f>
        <v/>
      </c>
      <c r="R85" s="11">
        <f>IFERROR(IF(INDEX('Test catalog'!$P$2:$P$200,MATCH($Y85,'Test catalog'!$A$2:$A$200,0))="","",INDEX('Test catalog'!$P$2:$P$200,MATCH($Y85,'Test catalog'!$A$2:$A$200,0))),"")</f>
        <v/>
      </c>
      <c r="S85" s="14" t="n"/>
      <c r="T85" s="5" t="n"/>
      <c r="U85" s="11">
        <f>IFERROR(IF(INDEX('Test catalog'!$Q$2:$Q$200,MATCH($Y85,'Test catalog'!$A$2:$A$200,0))="","",INDEX('Test catalog'!$Q$2:$Q$200,MATCH($Y85,'Test catalog'!$A$2:$A$200,0))),"")</f>
        <v/>
      </c>
      <c r="V85" s="5" t="n"/>
      <c r="W85" s="5" t="n"/>
      <c r="X85" s="5" t="n"/>
      <c r="Y85" s="5" t="inlineStr">
        <is>
          <t>ECOLI</t>
        </is>
      </c>
      <c r="Z85" s="11" t="inlineStr">
        <is>
          <t>Natural origin, no USP-NF micro test - confirm (USP &lt;2023&gt;)</t>
        </is>
      </c>
    </row>
    <row r="86">
      <c r="A86" s="11" t="inlineStr">
        <is>
          <t>Juniper Communis Fruit Dry Extract 2:1</t>
        </is>
      </c>
      <c r="B86" s="11" t="inlineStr">
        <is>
          <t>RM</t>
        </is>
      </c>
      <c r="C86" s="11" t="inlineStr">
        <is>
          <t>Active</t>
        </is>
      </c>
      <c r="D86" s="11" t="inlineStr">
        <is>
          <t>Absence of Salmonella (&lt;62&gt; / &lt;2022&gt;)</t>
        </is>
      </c>
      <c r="E86" s="5" t="inlineStr">
        <is>
          <t>Y</t>
        </is>
      </c>
      <c r="F86" s="5" t="n"/>
      <c r="G86" s="11">
        <f>IFERROR(IF(INDEX('Test catalog'!$F$2:$F$200,MATCH($Y86,'Test catalog'!$A$2:$A$200,0))="","",INDEX('Test catalog'!$F$2:$F$200,MATCH($Y86,'Test catalog'!$A$2:$A$200,0))),"")</f>
        <v/>
      </c>
      <c r="H86" s="11">
        <f>IFERROR(IF(INDEX('Test catalog'!$G$2:$G$200,MATCH($Y86,'Test catalog'!$A$2:$A$200,0))="","",INDEX('Test catalog'!$G$2:$G$200,MATCH($Y86,'Test catalog'!$A$2:$A$200,0))),"")</f>
        <v/>
      </c>
      <c r="I86" s="11">
        <f>IFERROR(IF(INDEX('Test catalog'!$H$2:$H$200,MATCH($Y86,'Test catalog'!$A$2:$A$200,0))="","",INDEX('Test catalog'!$H$2:$H$200,MATCH($Y86,'Test catalog'!$A$2:$A$200,0))),"")</f>
        <v/>
      </c>
      <c r="J86" s="11">
        <f>IFERROR(IF(INDEX('Test catalog'!$I$2:$I$200,MATCH($Y86,'Test catalog'!$A$2:$A$200,0))="","",INDEX('Test catalog'!$I$2:$I$200,MATCH($Y86,'Test catalog'!$A$2:$A$200,0))),"")</f>
        <v/>
      </c>
      <c r="K86" s="13">
        <f>IF(I86="","",IF(OR(H86="",J86=""),I86,(H86+4*I86+J86)/6))</f>
        <v/>
      </c>
      <c r="L86" s="11">
        <f>IFERROR(IF(INDEX('Test catalog'!$J$2:$J$200,MATCH($Y86,'Test catalog'!$A$2:$A$200,0))="","",INDEX('Test catalog'!$J$2:$J$200,MATCH($Y86,'Test catalog'!$A$2:$A$200,0))),"")</f>
        <v/>
      </c>
      <c r="M86" s="11">
        <f>IFERROR(IF(INDEX('Test catalog'!$K$2:$K$200,MATCH($Y86,'Test catalog'!$A$2:$A$200,0))="","",INDEX('Test catalog'!$K$2:$K$200,MATCH($Y86,'Test catalog'!$A$2:$A$200,0))),"")</f>
        <v/>
      </c>
      <c r="N86" s="11">
        <f>IFERROR(IF(INDEX('Test catalog'!$L$2:$L$200,MATCH($Y86,'Test catalog'!$A$2:$A$200,0))="","",INDEX('Test catalog'!$L$2:$L$200,MATCH($Y86,'Test catalog'!$A$2:$A$200,0))),"")</f>
        <v/>
      </c>
      <c r="O86" s="11">
        <f>IFERROR(IF(INDEX('Test catalog'!$M$2:$M$200,MATCH($Y86,'Test catalog'!$A$2:$A$200,0))="","",INDEX('Test catalog'!$M$2:$M$200,MATCH($Y86,'Test catalog'!$A$2:$A$200,0))),"")</f>
        <v/>
      </c>
      <c r="P86" s="11">
        <f>IFERROR(IF(INDEX('Test catalog'!$N$2:$N$200,MATCH($Y86,'Test catalog'!$A$2:$A$200,0))="","",INDEX('Test catalog'!$N$2:$N$200,MATCH($Y86,'Test catalog'!$A$2:$A$200,0))),"")</f>
        <v/>
      </c>
      <c r="Q86" s="11">
        <f>IFERROR(IF(INDEX('Test catalog'!$O$2:$O$200,MATCH($Y86,'Test catalog'!$A$2:$A$200,0))="","",INDEX('Test catalog'!$O$2:$O$200,MATCH($Y86,'Test catalog'!$A$2:$A$200,0))),"")</f>
        <v/>
      </c>
      <c r="R86" s="11">
        <f>IFERROR(IF(INDEX('Test catalog'!$P$2:$P$200,MATCH($Y86,'Test catalog'!$A$2:$A$200,0))="","",INDEX('Test catalog'!$P$2:$P$200,MATCH($Y86,'Test catalog'!$A$2:$A$200,0))),"")</f>
        <v/>
      </c>
      <c r="S86" s="14" t="n"/>
      <c r="T86" s="5" t="n"/>
      <c r="U86" s="11">
        <f>IFERROR(IF(INDEX('Test catalog'!$Q$2:$Q$200,MATCH($Y86,'Test catalog'!$A$2:$A$200,0))="","",INDEX('Test catalog'!$Q$2:$Q$200,MATCH($Y86,'Test catalog'!$A$2:$A$200,0))),"")</f>
        <v/>
      </c>
      <c r="V86" s="5" t="n"/>
      <c r="W86" s="5" t="n"/>
      <c r="X86" s="5" t="n"/>
      <c r="Y86" s="5" t="inlineStr">
        <is>
          <t>SALM</t>
        </is>
      </c>
      <c r="Z86" s="11" t="inlineStr">
        <is>
          <t>Natural origin, no USP-NF micro test - confirm (USP &lt;2023&gt;)</t>
        </is>
      </c>
    </row>
    <row r="87">
      <c r="A87" s="11" t="inlineStr">
        <is>
          <t>L-Arginine</t>
        </is>
      </c>
      <c r="B87" s="11" t="inlineStr">
        <is>
          <t>RM</t>
        </is>
      </c>
      <c r="C87" s="11" t="inlineStr">
        <is>
          <t>Active</t>
        </is>
      </c>
      <c r="D87" s="11" t="inlineStr">
        <is>
          <t>Microbial enumeration - TAMC + TYMC (&lt;61&gt; / &lt;2021&gt;)</t>
        </is>
      </c>
      <c r="E87" s="5" t="inlineStr">
        <is>
          <t>N</t>
        </is>
      </c>
      <c r="F87" s="5" t="n"/>
      <c r="G87" s="11">
        <f>IFERROR(IF(INDEX('Test catalog'!$F$2:$F$200,MATCH($Y87,'Test catalog'!$A$2:$A$200,0))="","",INDEX('Test catalog'!$F$2:$F$200,MATCH($Y87,'Test catalog'!$A$2:$A$200,0))),"")</f>
        <v/>
      </c>
      <c r="H87" s="11">
        <f>IFERROR(IF(INDEX('Test catalog'!$G$2:$G$200,MATCH($Y87,'Test catalog'!$A$2:$A$200,0))="","",INDEX('Test catalog'!$G$2:$G$200,MATCH($Y87,'Test catalog'!$A$2:$A$200,0))),"")</f>
        <v/>
      </c>
      <c r="I87" s="11">
        <f>IFERROR(IF(INDEX('Test catalog'!$H$2:$H$200,MATCH($Y87,'Test catalog'!$A$2:$A$200,0))="","",INDEX('Test catalog'!$H$2:$H$200,MATCH($Y87,'Test catalog'!$A$2:$A$200,0))),"")</f>
        <v/>
      </c>
      <c r="J87" s="11">
        <f>IFERROR(IF(INDEX('Test catalog'!$I$2:$I$200,MATCH($Y87,'Test catalog'!$A$2:$A$200,0))="","",INDEX('Test catalog'!$I$2:$I$200,MATCH($Y87,'Test catalog'!$A$2:$A$200,0))),"")</f>
        <v/>
      </c>
      <c r="K87" s="13">
        <f>IF(I87="","",IF(OR(H87="",J87=""),I87,(H87+4*I87+J87)/6))</f>
        <v/>
      </c>
      <c r="L87" s="11">
        <f>IFERROR(IF(INDEX('Test catalog'!$J$2:$J$200,MATCH($Y87,'Test catalog'!$A$2:$A$200,0))="","",INDEX('Test catalog'!$J$2:$J$200,MATCH($Y87,'Test catalog'!$A$2:$A$200,0))),"")</f>
        <v/>
      </c>
      <c r="M87" s="11">
        <f>IFERROR(IF(INDEX('Test catalog'!$K$2:$K$200,MATCH($Y87,'Test catalog'!$A$2:$A$200,0))="","",INDEX('Test catalog'!$K$2:$K$200,MATCH($Y87,'Test catalog'!$A$2:$A$200,0))),"")</f>
        <v/>
      </c>
      <c r="N87" s="11">
        <f>IFERROR(IF(INDEX('Test catalog'!$L$2:$L$200,MATCH($Y87,'Test catalog'!$A$2:$A$200,0))="","",INDEX('Test catalog'!$L$2:$L$200,MATCH($Y87,'Test catalog'!$A$2:$A$200,0))),"")</f>
        <v/>
      </c>
      <c r="O87" s="11">
        <f>IFERROR(IF(INDEX('Test catalog'!$M$2:$M$200,MATCH($Y87,'Test catalog'!$A$2:$A$200,0))="","",INDEX('Test catalog'!$M$2:$M$200,MATCH($Y87,'Test catalog'!$A$2:$A$200,0))),"")</f>
        <v/>
      </c>
      <c r="P87" s="11">
        <f>IFERROR(IF(INDEX('Test catalog'!$N$2:$N$200,MATCH($Y87,'Test catalog'!$A$2:$A$200,0))="","",INDEX('Test catalog'!$N$2:$N$200,MATCH($Y87,'Test catalog'!$A$2:$A$200,0))),"")</f>
        <v/>
      </c>
      <c r="Q87" s="11">
        <f>IFERROR(IF(INDEX('Test catalog'!$O$2:$O$200,MATCH($Y87,'Test catalog'!$A$2:$A$200,0))="","",INDEX('Test catalog'!$O$2:$O$200,MATCH($Y87,'Test catalog'!$A$2:$A$200,0))),"")</f>
        <v/>
      </c>
      <c r="R87" s="11">
        <f>IFERROR(IF(INDEX('Test catalog'!$P$2:$P$200,MATCH($Y87,'Test catalog'!$A$2:$A$200,0))="","",INDEX('Test catalog'!$P$2:$P$200,MATCH($Y87,'Test catalog'!$A$2:$A$200,0))),"")</f>
        <v/>
      </c>
      <c r="S87" s="14" t="n"/>
      <c r="T87" s="5" t="n"/>
      <c r="U87" s="11">
        <f>IFERROR(IF(INDEX('Test catalog'!$Q$2:$Q$200,MATCH($Y87,'Test catalog'!$A$2:$A$200,0))="","",INDEX('Test catalog'!$Q$2:$Q$200,MATCH($Y87,'Test catalog'!$A$2:$A$200,0))),"")</f>
        <v/>
      </c>
      <c r="V87" s="5" t="n"/>
      <c r="W87" s="5" t="n"/>
      <c r="X87" s="5" t="n"/>
      <c r="Y87" s="5" t="inlineStr">
        <is>
          <t>ENUM</t>
        </is>
      </c>
      <c r="Z87" s="11" t="inlineStr">
        <is>
          <t>No micro test in USP-NF - set Y if your specification has one</t>
        </is>
      </c>
    </row>
    <row r="88">
      <c r="A88" s="11" t="inlineStr">
        <is>
          <t>L-Carnitine (Base)</t>
        </is>
      </c>
      <c r="B88" s="11" t="inlineStr">
        <is>
          <t>RM</t>
        </is>
      </c>
      <c r="C88" s="11" t="inlineStr">
        <is>
          <t>Active</t>
        </is>
      </c>
      <c r="D88" s="11" t="inlineStr">
        <is>
          <t>Microbial enumeration - TAMC + TYMC (&lt;61&gt; / &lt;2021&gt;)</t>
        </is>
      </c>
      <c r="E88" s="5" t="inlineStr">
        <is>
          <t>N</t>
        </is>
      </c>
      <c r="F88" s="5" t="n"/>
      <c r="G88" s="11">
        <f>IFERROR(IF(INDEX('Test catalog'!$F$2:$F$200,MATCH($Y88,'Test catalog'!$A$2:$A$200,0))="","",INDEX('Test catalog'!$F$2:$F$200,MATCH($Y88,'Test catalog'!$A$2:$A$200,0))),"")</f>
        <v/>
      </c>
      <c r="H88" s="11">
        <f>IFERROR(IF(INDEX('Test catalog'!$G$2:$G$200,MATCH($Y88,'Test catalog'!$A$2:$A$200,0))="","",INDEX('Test catalog'!$G$2:$G$200,MATCH($Y88,'Test catalog'!$A$2:$A$200,0))),"")</f>
        <v/>
      </c>
      <c r="I88" s="11">
        <f>IFERROR(IF(INDEX('Test catalog'!$H$2:$H$200,MATCH($Y88,'Test catalog'!$A$2:$A$200,0))="","",INDEX('Test catalog'!$H$2:$H$200,MATCH($Y88,'Test catalog'!$A$2:$A$200,0))),"")</f>
        <v/>
      </c>
      <c r="J88" s="11">
        <f>IFERROR(IF(INDEX('Test catalog'!$I$2:$I$200,MATCH($Y88,'Test catalog'!$A$2:$A$200,0))="","",INDEX('Test catalog'!$I$2:$I$200,MATCH($Y88,'Test catalog'!$A$2:$A$200,0))),"")</f>
        <v/>
      </c>
      <c r="K88" s="13">
        <f>IF(I88="","",IF(OR(H88="",J88=""),I88,(H88+4*I88+J88)/6))</f>
        <v/>
      </c>
      <c r="L88" s="11">
        <f>IFERROR(IF(INDEX('Test catalog'!$J$2:$J$200,MATCH($Y88,'Test catalog'!$A$2:$A$200,0))="","",INDEX('Test catalog'!$J$2:$J$200,MATCH($Y88,'Test catalog'!$A$2:$A$200,0))),"")</f>
        <v/>
      </c>
      <c r="M88" s="11">
        <f>IFERROR(IF(INDEX('Test catalog'!$K$2:$K$200,MATCH($Y88,'Test catalog'!$A$2:$A$200,0))="","",INDEX('Test catalog'!$K$2:$K$200,MATCH($Y88,'Test catalog'!$A$2:$A$200,0))),"")</f>
        <v/>
      </c>
      <c r="N88" s="11">
        <f>IFERROR(IF(INDEX('Test catalog'!$L$2:$L$200,MATCH($Y88,'Test catalog'!$A$2:$A$200,0))="","",INDEX('Test catalog'!$L$2:$L$200,MATCH($Y88,'Test catalog'!$A$2:$A$200,0))),"")</f>
        <v/>
      </c>
      <c r="O88" s="11">
        <f>IFERROR(IF(INDEX('Test catalog'!$M$2:$M$200,MATCH($Y88,'Test catalog'!$A$2:$A$200,0))="","",INDEX('Test catalog'!$M$2:$M$200,MATCH($Y88,'Test catalog'!$A$2:$A$200,0))),"")</f>
        <v/>
      </c>
      <c r="P88" s="11">
        <f>IFERROR(IF(INDEX('Test catalog'!$N$2:$N$200,MATCH($Y88,'Test catalog'!$A$2:$A$200,0))="","",INDEX('Test catalog'!$N$2:$N$200,MATCH($Y88,'Test catalog'!$A$2:$A$200,0))),"")</f>
        <v/>
      </c>
      <c r="Q88" s="11">
        <f>IFERROR(IF(INDEX('Test catalog'!$O$2:$O$200,MATCH($Y88,'Test catalog'!$A$2:$A$200,0))="","",INDEX('Test catalog'!$O$2:$O$200,MATCH($Y88,'Test catalog'!$A$2:$A$200,0))),"")</f>
        <v/>
      </c>
      <c r="R88" s="11">
        <f>IFERROR(IF(INDEX('Test catalog'!$P$2:$P$200,MATCH($Y88,'Test catalog'!$A$2:$A$200,0))="","",INDEX('Test catalog'!$P$2:$P$200,MATCH($Y88,'Test catalog'!$A$2:$A$200,0))),"")</f>
        <v/>
      </c>
      <c r="S88" s="14" t="n"/>
      <c r="T88" s="5" t="n"/>
      <c r="U88" s="11">
        <f>IFERROR(IF(INDEX('Test catalog'!$Q$2:$Q$200,MATCH($Y88,'Test catalog'!$A$2:$A$200,0))="","",INDEX('Test catalog'!$Q$2:$Q$200,MATCH($Y88,'Test catalog'!$A$2:$A$200,0))),"")</f>
        <v/>
      </c>
      <c r="V88" s="5" t="n"/>
      <c r="W88" s="5" t="n"/>
      <c r="X88" s="5" t="n"/>
      <c r="Y88" s="5" t="inlineStr">
        <is>
          <t>ENUM</t>
        </is>
      </c>
      <c r="Z88" s="11" t="inlineStr">
        <is>
          <t>No micro test in USP-NF - set Y if your specification has one</t>
        </is>
      </c>
    </row>
    <row r="89">
      <c r="A89" s="11" t="inlineStr">
        <is>
          <t>L-Citrulline</t>
        </is>
      </c>
      <c r="B89" s="11" t="inlineStr">
        <is>
          <t>RM</t>
        </is>
      </c>
      <c r="C89" s="11" t="inlineStr">
        <is>
          <t>Active</t>
        </is>
      </c>
      <c r="D89" s="11" t="inlineStr">
        <is>
          <t>Microbial enumeration - TAMC + TYMC (&lt;61&gt; / &lt;2021&gt;)</t>
        </is>
      </c>
      <c r="E89" s="5" t="inlineStr">
        <is>
          <t>N</t>
        </is>
      </c>
      <c r="F89" s="5" t="n"/>
      <c r="G89" s="11">
        <f>IFERROR(IF(INDEX('Test catalog'!$F$2:$F$200,MATCH($Y89,'Test catalog'!$A$2:$A$200,0))="","",INDEX('Test catalog'!$F$2:$F$200,MATCH($Y89,'Test catalog'!$A$2:$A$200,0))),"")</f>
        <v/>
      </c>
      <c r="H89" s="11">
        <f>IFERROR(IF(INDEX('Test catalog'!$G$2:$G$200,MATCH($Y89,'Test catalog'!$A$2:$A$200,0))="","",INDEX('Test catalog'!$G$2:$G$200,MATCH($Y89,'Test catalog'!$A$2:$A$200,0))),"")</f>
        <v/>
      </c>
      <c r="I89" s="11">
        <f>IFERROR(IF(INDEX('Test catalog'!$H$2:$H$200,MATCH($Y89,'Test catalog'!$A$2:$A$200,0))="","",INDEX('Test catalog'!$H$2:$H$200,MATCH($Y89,'Test catalog'!$A$2:$A$200,0))),"")</f>
        <v/>
      </c>
      <c r="J89" s="11">
        <f>IFERROR(IF(INDEX('Test catalog'!$I$2:$I$200,MATCH($Y89,'Test catalog'!$A$2:$A$200,0))="","",INDEX('Test catalog'!$I$2:$I$200,MATCH($Y89,'Test catalog'!$A$2:$A$200,0))),"")</f>
        <v/>
      </c>
      <c r="K89" s="13">
        <f>IF(I89="","",IF(OR(H89="",J89=""),I89,(H89+4*I89+J89)/6))</f>
        <v/>
      </c>
      <c r="L89" s="11">
        <f>IFERROR(IF(INDEX('Test catalog'!$J$2:$J$200,MATCH($Y89,'Test catalog'!$A$2:$A$200,0))="","",INDEX('Test catalog'!$J$2:$J$200,MATCH($Y89,'Test catalog'!$A$2:$A$200,0))),"")</f>
        <v/>
      </c>
      <c r="M89" s="11">
        <f>IFERROR(IF(INDEX('Test catalog'!$K$2:$K$200,MATCH($Y89,'Test catalog'!$A$2:$A$200,0))="","",INDEX('Test catalog'!$K$2:$K$200,MATCH($Y89,'Test catalog'!$A$2:$A$200,0))),"")</f>
        <v/>
      </c>
      <c r="N89" s="11">
        <f>IFERROR(IF(INDEX('Test catalog'!$L$2:$L$200,MATCH($Y89,'Test catalog'!$A$2:$A$200,0))="","",INDEX('Test catalog'!$L$2:$L$200,MATCH($Y89,'Test catalog'!$A$2:$A$200,0))),"")</f>
        <v/>
      </c>
      <c r="O89" s="11">
        <f>IFERROR(IF(INDEX('Test catalog'!$M$2:$M$200,MATCH($Y89,'Test catalog'!$A$2:$A$200,0))="","",INDEX('Test catalog'!$M$2:$M$200,MATCH($Y89,'Test catalog'!$A$2:$A$200,0))),"")</f>
        <v/>
      </c>
      <c r="P89" s="11">
        <f>IFERROR(IF(INDEX('Test catalog'!$N$2:$N$200,MATCH($Y89,'Test catalog'!$A$2:$A$200,0))="","",INDEX('Test catalog'!$N$2:$N$200,MATCH($Y89,'Test catalog'!$A$2:$A$200,0))),"")</f>
        <v/>
      </c>
      <c r="Q89" s="11">
        <f>IFERROR(IF(INDEX('Test catalog'!$O$2:$O$200,MATCH($Y89,'Test catalog'!$A$2:$A$200,0))="","",INDEX('Test catalog'!$O$2:$O$200,MATCH($Y89,'Test catalog'!$A$2:$A$200,0))),"")</f>
        <v/>
      </c>
      <c r="R89" s="11">
        <f>IFERROR(IF(INDEX('Test catalog'!$P$2:$P$200,MATCH($Y89,'Test catalog'!$A$2:$A$200,0))="","",INDEX('Test catalog'!$P$2:$P$200,MATCH($Y89,'Test catalog'!$A$2:$A$200,0))),"")</f>
        <v/>
      </c>
      <c r="S89" s="14" t="n"/>
      <c r="T89" s="5" t="n"/>
      <c r="U89" s="11">
        <f>IFERROR(IF(INDEX('Test catalog'!$Q$2:$Q$200,MATCH($Y89,'Test catalog'!$A$2:$A$200,0))="","",INDEX('Test catalog'!$Q$2:$Q$200,MATCH($Y89,'Test catalog'!$A$2:$A$200,0))),"")</f>
        <v/>
      </c>
      <c r="V89" s="5" t="n"/>
      <c r="W89" s="5" t="n"/>
      <c r="X89" s="5" t="n"/>
      <c r="Y89" s="5" t="inlineStr">
        <is>
          <t>ENUM</t>
        </is>
      </c>
      <c r="Z89" s="11" t="inlineStr">
        <is>
          <t>No micro test in USP-NF - set Y if your specification has one</t>
        </is>
      </c>
    </row>
    <row r="90">
      <c r="A90" s="11" t="inlineStr">
        <is>
          <t>L-Cystine</t>
        </is>
      </c>
      <c r="B90" s="11" t="inlineStr">
        <is>
          <t>RM</t>
        </is>
      </c>
      <c r="C90" s="11" t="inlineStr">
        <is>
          <t>Active</t>
        </is>
      </c>
      <c r="D90" s="11" t="inlineStr">
        <is>
          <t>Microbial enumeration - TAMC + TYMC (&lt;61&gt; / &lt;2021&gt;)</t>
        </is>
      </c>
      <c r="E90" s="5" t="inlineStr">
        <is>
          <t>N</t>
        </is>
      </c>
      <c r="F90" s="5" t="n"/>
      <c r="G90" s="11">
        <f>IFERROR(IF(INDEX('Test catalog'!$F$2:$F$200,MATCH($Y90,'Test catalog'!$A$2:$A$200,0))="","",INDEX('Test catalog'!$F$2:$F$200,MATCH($Y90,'Test catalog'!$A$2:$A$200,0))),"")</f>
        <v/>
      </c>
      <c r="H90" s="11">
        <f>IFERROR(IF(INDEX('Test catalog'!$G$2:$G$200,MATCH($Y90,'Test catalog'!$A$2:$A$200,0))="","",INDEX('Test catalog'!$G$2:$G$200,MATCH($Y90,'Test catalog'!$A$2:$A$200,0))),"")</f>
        <v/>
      </c>
      <c r="I90" s="11">
        <f>IFERROR(IF(INDEX('Test catalog'!$H$2:$H$200,MATCH($Y90,'Test catalog'!$A$2:$A$200,0))="","",INDEX('Test catalog'!$H$2:$H$200,MATCH($Y90,'Test catalog'!$A$2:$A$200,0))),"")</f>
        <v/>
      </c>
      <c r="J90" s="11">
        <f>IFERROR(IF(INDEX('Test catalog'!$I$2:$I$200,MATCH($Y90,'Test catalog'!$A$2:$A$200,0))="","",INDEX('Test catalog'!$I$2:$I$200,MATCH($Y90,'Test catalog'!$A$2:$A$200,0))),"")</f>
        <v/>
      </c>
      <c r="K90" s="13">
        <f>IF(I90="","",IF(OR(H90="",J90=""),I90,(H90+4*I90+J90)/6))</f>
        <v/>
      </c>
      <c r="L90" s="11">
        <f>IFERROR(IF(INDEX('Test catalog'!$J$2:$J$200,MATCH($Y90,'Test catalog'!$A$2:$A$200,0))="","",INDEX('Test catalog'!$J$2:$J$200,MATCH($Y90,'Test catalog'!$A$2:$A$200,0))),"")</f>
        <v/>
      </c>
      <c r="M90" s="11">
        <f>IFERROR(IF(INDEX('Test catalog'!$K$2:$K$200,MATCH($Y90,'Test catalog'!$A$2:$A$200,0))="","",INDEX('Test catalog'!$K$2:$K$200,MATCH($Y90,'Test catalog'!$A$2:$A$200,0))),"")</f>
        <v/>
      </c>
      <c r="N90" s="11">
        <f>IFERROR(IF(INDEX('Test catalog'!$L$2:$L$200,MATCH($Y90,'Test catalog'!$A$2:$A$200,0))="","",INDEX('Test catalog'!$L$2:$L$200,MATCH($Y90,'Test catalog'!$A$2:$A$200,0))),"")</f>
        <v/>
      </c>
      <c r="O90" s="11">
        <f>IFERROR(IF(INDEX('Test catalog'!$M$2:$M$200,MATCH($Y90,'Test catalog'!$A$2:$A$200,0))="","",INDEX('Test catalog'!$M$2:$M$200,MATCH($Y90,'Test catalog'!$A$2:$A$200,0))),"")</f>
        <v/>
      </c>
      <c r="P90" s="11">
        <f>IFERROR(IF(INDEX('Test catalog'!$N$2:$N$200,MATCH($Y90,'Test catalog'!$A$2:$A$200,0))="","",INDEX('Test catalog'!$N$2:$N$200,MATCH($Y90,'Test catalog'!$A$2:$A$200,0))),"")</f>
        <v/>
      </c>
      <c r="Q90" s="11">
        <f>IFERROR(IF(INDEX('Test catalog'!$O$2:$O$200,MATCH($Y90,'Test catalog'!$A$2:$A$200,0))="","",INDEX('Test catalog'!$O$2:$O$200,MATCH($Y90,'Test catalog'!$A$2:$A$200,0))),"")</f>
        <v/>
      </c>
      <c r="R90" s="11">
        <f>IFERROR(IF(INDEX('Test catalog'!$P$2:$P$200,MATCH($Y90,'Test catalog'!$A$2:$A$200,0))="","",INDEX('Test catalog'!$P$2:$P$200,MATCH($Y90,'Test catalog'!$A$2:$A$200,0))),"")</f>
        <v/>
      </c>
      <c r="S90" s="14" t="n"/>
      <c r="T90" s="5" t="n"/>
      <c r="U90" s="11">
        <f>IFERROR(IF(INDEX('Test catalog'!$Q$2:$Q$200,MATCH($Y90,'Test catalog'!$A$2:$A$200,0))="","",INDEX('Test catalog'!$Q$2:$Q$200,MATCH($Y90,'Test catalog'!$A$2:$A$200,0))),"")</f>
        <v/>
      </c>
      <c r="V90" s="5" t="n"/>
      <c r="W90" s="5" t="n"/>
      <c r="X90" s="5" t="n"/>
      <c r="Y90" s="5" t="inlineStr">
        <is>
          <t>ENUM</t>
        </is>
      </c>
      <c r="Z90" s="11" t="inlineStr">
        <is>
          <t>No micro test in USP-NF - set Y if your specification has one</t>
        </is>
      </c>
    </row>
    <row r="91">
      <c r="A91" s="11" t="inlineStr">
        <is>
          <t>Linagliptin</t>
        </is>
      </c>
      <c r="B91" s="11" t="inlineStr">
        <is>
          <t>RM</t>
        </is>
      </c>
      <c r="C91" s="11" t="inlineStr">
        <is>
          <t>Active</t>
        </is>
      </c>
      <c r="D91" s="11" t="inlineStr">
        <is>
          <t>Microbial enumeration - TAMC + TYMC (&lt;61&gt; / &lt;2021&gt;)</t>
        </is>
      </c>
      <c r="E91" s="5" t="inlineStr">
        <is>
          <t>N</t>
        </is>
      </c>
      <c r="F91" s="5" t="n"/>
      <c r="G91" s="11">
        <f>IFERROR(IF(INDEX('Test catalog'!$F$2:$F$200,MATCH($Y91,'Test catalog'!$A$2:$A$200,0))="","",INDEX('Test catalog'!$F$2:$F$200,MATCH($Y91,'Test catalog'!$A$2:$A$200,0))),"")</f>
        <v/>
      </c>
      <c r="H91" s="11">
        <f>IFERROR(IF(INDEX('Test catalog'!$G$2:$G$200,MATCH($Y91,'Test catalog'!$A$2:$A$200,0))="","",INDEX('Test catalog'!$G$2:$G$200,MATCH($Y91,'Test catalog'!$A$2:$A$200,0))),"")</f>
        <v/>
      </c>
      <c r="I91" s="11">
        <f>IFERROR(IF(INDEX('Test catalog'!$H$2:$H$200,MATCH($Y91,'Test catalog'!$A$2:$A$200,0))="","",INDEX('Test catalog'!$H$2:$H$200,MATCH($Y91,'Test catalog'!$A$2:$A$200,0))),"")</f>
        <v/>
      </c>
      <c r="J91" s="11">
        <f>IFERROR(IF(INDEX('Test catalog'!$I$2:$I$200,MATCH($Y91,'Test catalog'!$A$2:$A$200,0))="","",INDEX('Test catalog'!$I$2:$I$200,MATCH($Y91,'Test catalog'!$A$2:$A$200,0))),"")</f>
        <v/>
      </c>
      <c r="K91" s="13">
        <f>IF(I91="","",IF(OR(H91="",J91=""),I91,(H91+4*I91+J91)/6))</f>
        <v/>
      </c>
      <c r="L91" s="11">
        <f>IFERROR(IF(INDEX('Test catalog'!$J$2:$J$200,MATCH($Y91,'Test catalog'!$A$2:$A$200,0))="","",INDEX('Test catalog'!$J$2:$J$200,MATCH($Y91,'Test catalog'!$A$2:$A$200,0))),"")</f>
        <v/>
      </c>
      <c r="M91" s="11">
        <f>IFERROR(IF(INDEX('Test catalog'!$K$2:$K$200,MATCH($Y91,'Test catalog'!$A$2:$A$200,0))="","",INDEX('Test catalog'!$K$2:$K$200,MATCH($Y91,'Test catalog'!$A$2:$A$200,0))),"")</f>
        <v/>
      </c>
      <c r="N91" s="11">
        <f>IFERROR(IF(INDEX('Test catalog'!$L$2:$L$200,MATCH($Y91,'Test catalog'!$A$2:$A$200,0))="","",INDEX('Test catalog'!$L$2:$L$200,MATCH($Y91,'Test catalog'!$A$2:$A$200,0))),"")</f>
        <v/>
      </c>
      <c r="O91" s="11">
        <f>IFERROR(IF(INDEX('Test catalog'!$M$2:$M$200,MATCH($Y91,'Test catalog'!$A$2:$A$200,0))="","",INDEX('Test catalog'!$M$2:$M$200,MATCH($Y91,'Test catalog'!$A$2:$A$200,0))),"")</f>
        <v/>
      </c>
      <c r="P91" s="11">
        <f>IFERROR(IF(INDEX('Test catalog'!$N$2:$N$200,MATCH($Y91,'Test catalog'!$A$2:$A$200,0))="","",INDEX('Test catalog'!$N$2:$N$200,MATCH($Y91,'Test catalog'!$A$2:$A$200,0))),"")</f>
        <v/>
      </c>
      <c r="Q91" s="11">
        <f>IFERROR(IF(INDEX('Test catalog'!$O$2:$O$200,MATCH($Y91,'Test catalog'!$A$2:$A$200,0))="","",INDEX('Test catalog'!$O$2:$O$200,MATCH($Y91,'Test catalog'!$A$2:$A$200,0))),"")</f>
        <v/>
      </c>
      <c r="R91" s="11">
        <f>IFERROR(IF(INDEX('Test catalog'!$P$2:$P$200,MATCH($Y91,'Test catalog'!$A$2:$A$200,0))="","",INDEX('Test catalog'!$P$2:$P$200,MATCH($Y91,'Test catalog'!$A$2:$A$200,0))),"")</f>
        <v/>
      </c>
      <c r="S91" s="14" t="n"/>
      <c r="T91" s="5" t="n"/>
      <c r="U91" s="11">
        <f>IFERROR(IF(INDEX('Test catalog'!$Q$2:$Q$200,MATCH($Y91,'Test catalog'!$A$2:$A$200,0))="","",INDEX('Test catalog'!$Q$2:$Q$200,MATCH($Y91,'Test catalog'!$A$2:$A$200,0))),"")</f>
        <v/>
      </c>
      <c r="V91" s="5" t="n"/>
      <c r="W91" s="5" t="n"/>
      <c r="X91" s="5" t="n"/>
      <c r="Y91" s="5" t="inlineStr">
        <is>
          <t>ENUM</t>
        </is>
      </c>
      <c r="Z91" s="11" t="inlineStr">
        <is>
          <t>No micro test in USP-NF - set Y if your specification has one</t>
        </is>
      </c>
    </row>
    <row r="92">
      <c r="A92" s="11" t="inlineStr">
        <is>
          <t>Liquorice Dry Extract 8:1</t>
        </is>
      </c>
      <c r="B92" s="11" t="inlineStr">
        <is>
          <t>RM</t>
        </is>
      </c>
      <c r="C92" s="11" t="inlineStr">
        <is>
          <t>Active</t>
        </is>
      </c>
      <c r="D92" s="11" t="inlineStr">
        <is>
          <t>Microbial enumeration - TAMC + TYMC (&lt;61&gt; / &lt;2021&gt;)</t>
        </is>
      </c>
      <c r="E92" s="5" t="inlineStr">
        <is>
          <t>Y</t>
        </is>
      </c>
      <c r="F92" s="5" t="n"/>
      <c r="G92" s="11">
        <f>IFERROR(IF(INDEX('Test catalog'!$F$2:$F$200,MATCH($Y92,'Test catalog'!$A$2:$A$200,0))="","",INDEX('Test catalog'!$F$2:$F$200,MATCH($Y92,'Test catalog'!$A$2:$A$200,0))),"")</f>
        <v/>
      </c>
      <c r="H92" s="11">
        <f>IFERROR(IF(INDEX('Test catalog'!$G$2:$G$200,MATCH($Y92,'Test catalog'!$A$2:$A$200,0))="","",INDEX('Test catalog'!$G$2:$G$200,MATCH($Y92,'Test catalog'!$A$2:$A$200,0))),"")</f>
        <v/>
      </c>
      <c r="I92" s="11">
        <f>IFERROR(IF(INDEX('Test catalog'!$H$2:$H$200,MATCH($Y92,'Test catalog'!$A$2:$A$200,0))="","",INDEX('Test catalog'!$H$2:$H$200,MATCH($Y92,'Test catalog'!$A$2:$A$200,0))),"")</f>
        <v/>
      </c>
      <c r="J92" s="11">
        <f>IFERROR(IF(INDEX('Test catalog'!$I$2:$I$200,MATCH($Y92,'Test catalog'!$A$2:$A$200,0))="","",INDEX('Test catalog'!$I$2:$I$200,MATCH($Y92,'Test catalog'!$A$2:$A$200,0))),"")</f>
        <v/>
      </c>
      <c r="K92" s="13">
        <f>IF(I92="","",IF(OR(H92="",J92=""),I92,(H92+4*I92+J92)/6))</f>
        <v/>
      </c>
      <c r="L92" s="11">
        <f>IFERROR(IF(INDEX('Test catalog'!$J$2:$J$200,MATCH($Y92,'Test catalog'!$A$2:$A$200,0))="","",INDEX('Test catalog'!$J$2:$J$200,MATCH($Y92,'Test catalog'!$A$2:$A$200,0))),"")</f>
        <v/>
      </c>
      <c r="M92" s="11">
        <f>IFERROR(IF(INDEX('Test catalog'!$K$2:$K$200,MATCH($Y92,'Test catalog'!$A$2:$A$200,0))="","",INDEX('Test catalog'!$K$2:$K$200,MATCH($Y92,'Test catalog'!$A$2:$A$200,0))),"")</f>
        <v/>
      </c>
      <c r="N92" s="11">
        <f>IFERROR(IF(INDEX('Test catalog'!$L$2:$L$200,MATCH($Y92,'Test catalog'!$A$2:$A$200,0))="","",INDEX('Test catalog'!$L$2:$L$200,MATCH($Y92,'Test catalog'!$A$2:$A$200,0))),"")</f>
        <v/>
      </c>
      <c r="O92" s="11">
        <f>IFERROR(IF(INDEX('Test catalog'!$M$2:$M$200,MATCH($Y92,'Test catalog'!$A$2:$A$200,0))="","",INDEX('Test catalog'!$M$2:$M$200,MATCH($Y92,'Test catalog'!$A$2:$A$200,0))),"")</f>
        <v/>
      </c>
      <c r="P92" s="11">
        <f>IFERROR(IF(INDEX('Test catalog'!$N$2:$N$200,MATCH($Y92,'Test catalog'!$A$2:$A$200,0))="","",INDEX('Test catalog'!$N$2:$N$200,MATCH($Y92,'Test catalog'!$A$2:$A$200,0))),"")</f>
        <v/>
      </c>
      <c r="Q92" s="11">
        <f>IFERROR(IF(INDEX('Test catalog'!$O$2:$O$200,MATCH($Y92,'Test catalog'!$A$2:$A$200,0))="","",INDEX('Test catalog'!$O$2:$O$200,MATCH($Y92,'Test catalog'!$A$2:$A$200,0))),"")</f>
        <v/>
      </c>
      <c r="R92" s="11">
        <f>IFERROR(IF(INDEX('Test catalog'!$P$2:$P$200,MATCH($Y92,'Test catalog'!$A$2:$A$200,0))="","",INDEX('Test catalog'!$P$2:$P$200,MATCH($Y92,'Test catalog'!$A$2:$A$200,0))),"")</f>
        <v/>
      </c>
      <c r="S92" s="14" t="n"/>
      <c r="T92" s="5" t="n"/>
      <c r="U92" s="11">
        <f>IFERROR(IF(INDEX('Test catalog'!$Q$2:$Q$200,MATCH($Y92,'Test catalog'!$A$2:$A$200,0))="","",INDEX('Test catalog'!$Q$2:$Q$200,MATCH($Y92,'Test catalog'!$A$2:$A$200,0))),"")</f>
        <v/>
      </c>
      <c r="V92" s="5" t="n"/>
      <c r="W92" s="5" t="n"/>
      <c r="X92" s="5" t="n"/>
      <c r="Y92" s="5" t="inlineStr">
        <is>
          <t>ENUM</t>
        </is>
      </c>
      <c r="Z92" s="11" t="inlineStr">
        <is>
          <t>Natural origin, no USP-NF micro test - confirm (USP &lt;2023&gt;)</t>
        </is>
      </c>
    </row>
    <row r="93">
      <c r="A93" s="11" t="inlineStr">
        <is>
          <t>Liquorice Dry Extract 8:1</t>
        </is>
      </c>
      <c r="B93" s="11" t="inlineStr">
        <is>
          <t>RM</t>
        </is>
      </c>
      <c r="C93" s="11" t="inlineStr">
        <is>
          <t>Active</t>
        </is>
      </c>
      <c r="D93" s="11" t="inlineStr">
        <is>
          <t>Absence of Escherichia coli (&lt;62&gt; / &lt;2022&gt;)</t>
        </is>
      </c>
      <c r="E93" s="5" t="inlineStr">
        <is>
          <t>Y</t>
        </is>
      </c>
      <c r="F93" s="5" t="n"/>
      <c r="G93" s="11">
        <f>IFERROR(IF(INDEX('Test catalog'!$F$2:$F$200,MATCH($Y93,'Test catalog'!$A$2:$A$200,0))="","",INDEX('Test catalog'!$F$2:$F$200,MATCH($Y93,'Test catalog'!$A$2:$A$200,0))),"")</f>
        <v/>
      </c>
      <c r="H93" s="11">
        <f>IFERROR(IF(INDEX('Test catalog'!$G$2:$G$200,MATCH($Y93,'Test catalog'!$A$2:$A$200,0))="","",INDEX('Test catalog'!$G$2:$G$200,MATCH($Y93,'Test catalog'!$A$2:$A$200,0))),"")</f>
        <v/>
      </c>
      <c r="I93" s="11">
        <f>IFERROR(IF(INDEX('Test catalog'!$H$2:$H$200,MATCH($Y93,'Test catalog'!$A$2:$A$200,0))="","",INDEX('Test catalog'!$H$2:$H$200,MATCH($Y93,'Test catalog'!$A$2:$A$200,0))),"")</f>
        <v/>
      </c>
      <c r="J93" s="11">
        <f>IFERROR(IF(INDEX('Test catalog'!$I$2:$I$200,MATCH($Y93,'Test catalog'!$A$2:$A$200,0))="","",INDEX('Test catalog'!$I$2:$I$200,MATCH($Y93,'Test catalog'!$A$2:$A$200,0))),"")</f>
        <v/>
      </c>
      <c r="K93" s="13">
        <f>IF(I93="","",IF(OR(H93="",J93=""),I93,(H93+4*I93+J93)/6))</f>
        <v/>
      </c>
      <c r="L93" s="11">
        <f>IFERROR(IF(INDEX('Test catalog'!$J$2:$J$200,MATCH($Y93,'Test catalog'!$A$2:$A$200,0))="","",INDEX('Test catalog'!$J$2:$J$200,MATCH($Y93,'Test catalog'!$A$2:$A$200,0))),"")</f>
        <v/>
      </c>
      <c r="M93" s="11">
        <f>IFERROR(IF(INDEX('Test catalog'!$K$2:$K$200,MATCH($Y93,'Test catalog'!$A$2:$A$200,0))="","",INDEX('Test catalog'!$K$2:$K$200,MATCH($Y93,'Test catalog'!$A$2:$A$200,0))),"")</f>
        <v/>
      </c>
      <c r="N93" s="11">
        <f>IFERROR(IF(INDEX('Test catalog'!$L$2:$L$200,MATCH($Y93,'Test catalog'!$A$2:$A$200,0))="","",INDEX('Test catalog'!$L$2:$L$200,MATCH($Y93,'Test catalog'!$A$2:$A$200,0))),"")</f>
        <v/>
      </c>
      <c r="O93" s="11">
        <f>IFERROR(IF(INDEX('Test catalog'!$M$2:$M$200,MATCH($Y93,'Test catalog'!$A$2:$A$200,0))="","",INDEX('Test catalog'!$M$2:$M$200,MATCH($Y93,'Test catalog'!$A$2:$A$200,0))),"")</f>
        <v/>
      </c>
      <c r="P93" s="11">
        <f>IFERROR(IF(INDEX('Test catalog'!$N$2:$N$200,MATCH($Y93,'Test catalog'!$A$2:$A$200,0))="","",INDEX('Test catalog'!$N$2:$N$200,MATCH($Y93,'Test catalog'!$A$2:$A$200,0))),"")</f>
        <v/>
      </c>
      <c r="Q93" s="11">
        <f>IFERROR(IF(INDEX('Test catalog'!$O$2:$O$200,MATCH($Y93,'Test catalog'!$A$2:$A$200,0))="","",INDEX('Test catalog'!$O$2:$O$200,MATCH($Y93,'Test catalog'!$A$2:$A$200,0))),"")</f>
        <v/>
      </c>
      <c r="R93" s="11">
        <f>IFERROR(IF(INDEX('Test catalog'!$P$2:$P$200,MATCH($Y93,'Test catalog'!$A$2:$A$200,0))="","",INDEX('Test catalog'!$P$2:$P$200,MATCH($Y93,'Test catalog'!$A$2:$A$200,0))),"")</f>
        <v/>
      </c>
      <c r="S93" s="14" t="n"/>
      <c r="T93" s="5" t="n"/>
      <c r="U93" s="11">
        <f>IFERROR(IF(INDEX('Test catalog'!$Q$2:$Q$200,MATCH($Y93,'Test catalog'!$A$2:$A$200,0))="","",INDEX('Test catalog'!$Q$2:$Q$200,MATCH($Y93,'Test catalog'!$A$2:$A$200,0))),"")</f>
        <v/>
      </c>
      <c r="V93" s="5" t="n"/>
      <c r="W93" s="5" t="n"/>
      <c r="X93" s="5" t="n"/>
      <c r="Y93" s="5" t="inlineStr">
        <is>
          <t>ECOLI</t>
        </is>
      </c>
      <c r="Z93" s="11" t="inlineStr">
        <is>
          <t>Natural origin, no USP-NF micro test - confirm (USP &lt;2023&gt;)</t>
        </is>
      </c>
    </row>
    <row r="94">
      <c r="A94" s="11" t="inlineStr">
        <is>
          <t>Liquorice Dry Extract 8:1</t>
        </is>
      </c>
      <c r="B94" s="11" t="inlineStr">
        <is>
          <t>RM</t>
        </is>
      </c>
      <c r="C94" s="11" t="inlineStr">
        <is>
          <t>Active</t>
        </is>
      </c>
      <c r="D94" s="11" t="inlineStr">
        <is>
          <t>Absence of Salmonella (&lt;62&gt; / &lt;2022&gt;)</t>
        </is>
      </c>
      <c r="E94" s="5" t="inlineStr">
        <is>
          <t>Y</t>
        </is>
      </c>
      <c r="F94" s="5" t="n"/>
      <c r="G94" s="11">
        <f>IFERROR(IF(INDEX('Test catalog'!$F$2:$F$200,MATCH($Y94,'Test catalog'!$A$2:$A$200,0))="","",INDEX('Test catalog'!$F$2:$F$200,MATCH($Y94,'Test catalog'!$A$2:$A$200,0))),"")</f>
        <v/>
      </c>
      <c r="H94" s="11">
        <f>IFERROR(IF(INDEX('Test catalog'!$G$2:$G$200,MATCH($Y94,'Test catalog'!$A$2:$A$200,0))="","",INDEX('Test catalog'!$G$2:$G$200,MATCH($Y94,'Test catalog'!$A$2:$A$200,0))),"")</f>
        <v/>
      </c>
      <c r="I94" s="11">
        <f>IFERROR(IF(INDEX('Test catalog'!$H$2:$H$200,MATCH($Y94,'Test catalog'!$A$2:$A$200,0))="","",INDEX('Test catalog'!$H$2:$H$200,MATCH($Y94,'Test catalog'!$A$2:$A$200,0))),"")</f>
        <v/>
      </c>
      <c r="J94" s="11">
        <f>IFERROR(IF(INDEX('Test catalog'!$I$2:$I$200,MATCH($Y94,'Test catalog'!$A$2:$A$200,0))="","",INDEX('Test catalog'!$I$2:$I$200,MATCH($Y94,'Test catalog'!$A$2:$A$200,0))),"")</f>
        <v/>
      </c>
      <c r="K94" s="13">
        <f>IF(I94="","",IF(OR(H94="",J94=""),I94,(H94+4*I94+J94)/6))</f>
        <v/>
      </c>
      <c r="L94" s="11">
        <f>IFERROR(IF(INDEX('Test catalog'!$J$2:$J$200,MATCH($Y94,'Test catalog'!$A$2:$A$200,0))="","",INDEX('Test catalog'!$J$2:$J$200,MATCH($Y94,'Test catalog'!$A$2:$A$200,0))),"")</f>
        <v/>
      </c>
      <c r="M94" s="11">
        <f>IFERROR(IF(INDEX('Test catalog'!$K$2:$K$200,MATCH($Y94,'Test catalog'!$A$2:$A$200,0))="","",INDEX('Test catalog'!$K$2:$K$200,MATCH($Y94,'Test catalog'!$A$2:$A$200,0))),"")</f>
        <v/>
      </c>
      <c r="N94" s="11">
        <f>IFERROR(IF(INDEX('Test catalog'!$L$2:$L$200,MATCH($Y94,'Test catalog'!$A$2:$A$200,0))="","",INDEX('Test catalog'!$L$2:$L$200,MATCH($Y94,'Test catalog'!$A$2:$A$200,0))),"")</f>
        <v/>
      </c>
      <c r="O94" s="11">
        <f>IFERROR(IF(INDEX('Test catalog'!$M$2:$M$200,MATCH($Y94,'Test catalog'!$A$2:$A$200,0))="","",INDEX('Test catalog'!$M$2:$M$200,MATCH($Y94,'Test catalog'!$A$2:$A$200,0))),"")</f>
        <v/>
      </c>
      <c r="P94" s="11">
        <f>IFERROR(IF(INDEX('Test catalog'!$N$2:$N$200,MATCH($Y94,'Test catalog'!$A$2:$A$200,0))="","",INDEX('Test catalog'!$N$2:$N$200,MATCH($Y94,'Test catalog'!$A$2:$A$200,0))),"")</f>
        <v/>
      </c>
      <c r="Q94" s="11">
        <f>IFERROR(IF(INDEX('Test catalog'!$O$2:$O$200,MATCH($Y94,'Test catalog'!$A$2:$A$200,0))="","",INDEX('Test catalog'!$O$2:$O$200,MATCH($Y94,'Test catalog'!$A$2:$A$200,0))),"")</f>
        <v/>
      </c>
      <c r="R94" s="11">
        <f>IFERROR(IF(INDEX('Test catalog'!$P$2:$P$200,MATCH($Y94,'Test catalog'!$A$2:$A$200,0))="","",INDEX('Test catalog'!$P$2:$P$200,MATCH($Y94,'Test catalog'!$A$2:$A$200,0))),"")</f>
        <v/>
      </c>
      <c r="S94" s="14" t="n"/>
      <c r="T94" s="5" t="n"/>
      <c r="U94" s="11">
        <f>IFERROR(IF(INDEX('Test catalog'!$Q$2:$Q$200,MATCH($Y94,'Test catalog'!$A$2:$A$200,0))="","",INDEX('Test catalog'!$Q$2:$Q$200,MATCH($Y94,'Test catalog'!$A$2:$A$200,0))),"")</f>
        <v/>
      </c>
      <c r="V94" s="5" t="n"/>
      <c r="W94" s="5" t="n"/>
      <c r="X94" s="5" t="n"/>
      <c r="Y94" s="5" t="inlineStr">
        <is>
          <t>SALM</t>
        </is>
      </c>
      <c r="Z94" s="11" t="inlineStr">
        <is>
          <t>Natural origin, no USP-NF micro test - confirm (USP &lt;2023&gt;)</t>
        </is>
      </c>
    </row>
    <row r="95">
      <c r="A95" s="11" t="inlineStr">
        <is>
          <t>Loperamide HCl</t>
        </is>
      </c>
      <c r="B95" s="11" t="inlineStr">
        <is>
          <t>RM</t>
        </is>
      </c>
      <c r="C95" s="11" t="inlineStr">
        <is>
          <t>Active</t>
        </is>
      </c>
      <c r="D95" s="11" t="inlineStr">
        <is>
          <t>Microbial enumeration - TAMC + TYMC (&lt;61&gt; / &lt;2021&gt;)</t>
        </is>
      </c>
      <c r="E95" s="5" t="inlineStr">
        <is>
          <t>N</t>
        </is>
      </c>
      <c r="F95" s="5" t="n"/>
      <c r="G95" s="11">
        <f>IFERROR(IF(INDEX('Test catalog'!$F$2:$F$200,MATCH($Y95,'Test catalog'!$A$2:$A$200,0))="","",INDEX('Test catalog'!$F$2:$F$200,MATCH($Y95,'Test catalog'!$A$2:$A$200,0))),"")</f>
        <v/>
      </c>
      <c r="H95" s="11">
        <f>IFERROR(IF(INDEX('Test catalog'!$G$2:$G$200,MATCH($Y95,'Test catalog'!$A$2:$A$200,0))="","",INDEX('Test catalog'!$G$2:$G$200,MATCH($Y95,'Test catalog'!$A$2:$A$200,0))),"")</f>
        <v/>
      </c>
      <c r="I95" s="11">
        <f>IFERROR(IF(INDEX('Test catalog'!$H$2:$H$200,MATCH($Y95,'Test catalog'!$A$2:$A$200,0))="","",INDEX('Test catalog'!$H$2:$H$200,MATCH($Y95,'Test catalog'!$A$2:$A$200,0))),"")</f>
        <v/>
      </c>
      <c r="J95" s="11">
        <f>IFERROR(IF(INDEX('Test catalog'!$I$2:$I$200,MATCH($Y95,'Test catalog'!$A$2:$A$200,0))="","",INDEX('Test catalog'!$I$2:$I$200,MATCH($Y95,'Test catalog'!$A$2:$A$200,0))),"")</f>
        <v/>
      </c>
      <c r="K95" s="13">
        <f>IF(I95="","",IF(OR(H95="",J95=""),I95,(H95+4*I95+J95)/6))</f>
        <v/>
      </c>
      <c r="L95" s="11">
        <f>IFERROR(IF(INDEX('Test catalog'!$J$2:$J$200,MATCH($Y95,'Test catalog'!$A$2:$A$200,0))="","",INDEX('Test catalog'!$J$2:$J$200,MATCH($Y95,'Test catalog'!$A$2:$A$200,0))),"")</f>
        <v/>
      </c>
      <c r="M95" s="11">
        <f>IFERROR(IF(INDEX('Test catalog'!$K$2:$K$200,MATCH($Y95,'Test catalog'!$A$2:$A$200,0))="","",INDEX('Test catalog'!$K$2:$K$200,MATCH($Y95,'Test catalog'!$A$2:$A$200,0))),"")</f>
        <v/>
      </c>
      <c r="N95" s="11">
        <f>IFERROR(IF(INDEX('Test catalog'!$L$2:$L$200,MATCH($Y95,'Test catalog'!$A$2:$A$200,0))="","",INDEX('Test catalog'!$L$2:$L$200,MATCH($Y95,'Test catalog'!$A$2:$A$200,0))),"")</f>
        <v/>
      </c>
      <c r="O95" s="11">
        <f>IFERROR(IF(INDEX('Test catalog'!$M$2:$M$200,MATCH($Y95,'Test catalog'!$A$2:$A$200,0))="","",INDEX('Test catalog'!$M$2:$M$200,MATCH($Y95,'Test catalog'!$A$2:$A$200,0))),"")</f>
        <v/>
      </c>
      <c r="P95" s="11">
        <f>IFERROR(IF(INDEX('Test catalog'!$N$2:$N$200,MATCH($Y95,'Test catalog'!$A$2:$A$200,0))="","",INDEX('Test catalog'!$N$2:$N$200,MATCH($Y95,'Test catalog'!$A$2:$A$200,0))),"")</f>
        <v/>
      </c>
      <c r="Q95" s="11">
        <f>IFERROR(IF(INDEX('Test catalog'!$O$2:$O$200,MATCH($Y95,'Test catalog'!$A$2:$A$200,0))="","",INDEX('Test catalog'!$O$2:$O$200,MATCH($Y95,'Test catalog'!$A$2:$A$200,0))),"")</f>
        <v/>
      </c>
      <c r="R95" s="11">
        <f>IFERROR(IF(INDEX('Test catalog'!$P$2:$P$200,MATCH($Y95,'Test catalog'!$A$2:$A$200,0))="","",INDEX('Test catalog'!$P$2:$P$200,MATCH($Y95,'Test catalog'!$A$2:$A$200,0))),"")</f>
        <v/>
      </c>
      <c r="S95" s="14" t="n"/>
      <c r="T95" s="5" t="n"/>
      <c r="U95" s="11">
        <f>IFERROR(IF(INDEX('Test catalog'!$Q$2:$Q$200,MATCH($Y95,'Test catalog'!$A$2:$A$200,0))="","",INDEX('Test catalog'!$Q$2:$Q$200,MATCH($Y95,'Test catalog'!$A$2:$A$200,0))),"")</f>
        <v/>
      </c>
      <c r="V95" s="5" t="n"/>
      <c r="W95" s="5" t="n"/>
      <c r="X95" s="5" t="n"/>
      <c r="Y95" s="5" t="inlineStr">
        <is>
          <t>ENUM</t>
        </is>
      </c>
      <c r="Z95" s="11" t="inlineStr">
        <is>
          <t>No micro test in USP-NF - set Y if your specification has one</t>
        </is>
      </c>
    </row>
    <row r="96">
      <c r="A96" s="11" t="inlineStr">
        <is>
          <t>Magnesium Oxide Heavy</t>
        </is>
      </c>
      <c r="B96" s="11" t="inlineStr">
        <is>
          <t>RM</t>
        </is>
      </c>
      <c r="C96" s="11" t="inlineStr">
        <is>
          <t>Active</t>
        </is>
      </c>
      <c r="D96" s="11" t="inlineStr">
        <is>
          <t>Microbial enumeration - TAMC + TYMC (&lt;61&gt; / &lt;2021&gt;)</t>
        </is>
      </c>
      <c r="E96" s="5" t="inlineStr">
        <is>
          <t>N</t>
        </is>
      </c>
      <c r="F96" s="5" t="n"/>
      <c r="G96" s="11">
        <f>IFERROR(IF(INDEX('Test catalog'!$F$2:$F$200,MATCH($Y96,'Test catalog'!$A$2:$A$200,0))="","",INDEX('Test catalog'!$F$2:$F$200,MATCH($Y96,'Test catalog'!$A$2:$A$200,0))),"")</f>
        <v/>
      </c>
      <c r="H96" s="11">
        <f>IFERROR(IF(INDEX('Test catalog'!$G$2:$G$200,MATCH($Y96,'Test catalog'!$A$2:$A$200,0))="","",INDEX('Test catalog'!$G$2:$G$200,MATCH($Y96,'Test catalog'!$A$2:$A$200,0))),"")</f>
        <v/>
      </c>
      <c r="I96" s="11">
        <f>IFERROR(IF(INDEX('Test catalog'!$H$2:$H$200,MATCH($Y96,'Test catalog'!$A$2:$A$200,0))="","",INDEX('Test catalog'!$H$2:$H$200,MATCH($Y96,'Test catalog'!$A$2:$A$200,0))),"")</f>
        <v/>
      </c>
      <c r="J96" s="11">
        <f>IFERROR(IF(INDEX('Test catalog'!$I$2:$I$200,MATCH($Y96,'Test catalog'!$A$2:$A$200,0))="","",INDEX('Test catalog'!$I$2:$I$200,MATCH($Y96,'Test catalog'!$A$2:$A$200,0))),"")</f>
        <v/>
      </c>
      <c r="K96" s="13">
        <f>IF(I96="","",IF(OR(H96="",J96=""),I96,(H96+4*I96+J96)/6))</f>
        <v/>
      </c>
      <c r="L96" s="11">
        <f>IFERROR(IF(INDEX('Test catalog'!$J$2:$J$200,MATCH($Y96,'Test catalog'!$A$2:$A$200,0))="","",INDEX('Test catalog'!$J$2:$J$200,MATCH($Y96,'Test catalog'!$A$2:$A$200,0))),"")</f>
        <v/>
      </c>
      <c r="M96" s="11">
        <f>IFERROR(IF(INDEX('Test catalog'!$K$2:$K$200,MATCH($Y96,'Test catalog'!$A$2:$A$200,0))="","",INDEX('Test catalog'!$K$2:$K$200,MATCH($Y96,'Test catalog'!$A$2:$A$200,0))),"")</f>
        <v/>
      </c>
      <c r="N96" s="11">
        <f>IFERROR(IF(INDEX('Test catalog'!$L$2:$L$200,MATCH($Y96,'Test catalog'!$A$2:$A$200,0))="","",INDEX('Test catalog'!$L$2:$L$200,MATCH($Y96,'Test catalog'!$A$2:$A$200,0))),"")</f>
        <v/>
      </c>
      <c r="O96" s="11">
        <f>IFERROR(IF(INDEX('Test catalog'!$M$2:$M$200,MATCH($Y96,'Test catalog'!$A$2:$A$200,0))="","",INDEX('Test catalog'!$M$2:$M$200,MATCH($Y96,'Test catalog'!$A$2:$A$200,0))),"")</f>
        <v/>
      </c>
      <c r="P96" s="11">
        <f>IFERROR(IF(INDEX('Test catalog'!$N$2:$N$200,MATCH($Y96,'Test catalog'!$A$2:$A$200,0))="","",INDEX('Test catalog'!$N$2:$N$200,MATCH($Y96,'Test catalog'!$A$2:$A$200,0))),"")</f>
        <v/>
      </c>
      <c r="Q96" s="11">
        <f>IFERROR(IF(INDEX('Test catalog'!$O$2:$O$200,MATCH($Y96,'Test catalog'!$A$2:$A$200,0))="","",INDEX('Test catalog'!$O$2:$O$200,MATCH($Y96,'Test catalog'!$A$2:$A$200,0))),"")</f>
        <v/>
      </c>
      <c r="R96" s="11">
        <f>IFERROR(IF(INDEX('Test catalog'!$P$2:$P$200,MATCH($Y96,'Test catalog'!$A$2:$A$200,0))="","",INDEX('Test catalog'!$P$2:$P$200,MATCH($Y96,'Test catalog'!$A$2:$A$200,0))),"")</f>
        <v/>
      </c>
      <c r="S96" s="14" t="n"/>
      <c r="T96" s="5" t="n"/>
      <c r="U96" s="11">
        <f>IFERROR(IF(INDEX('Test catalog'!$Q$2:$Q$200,MATCH($Y96,'Test catalog'!$A$2:$A$200,0))="","",INDEX('Test catalog'!$Q$2:$Q$200,MATCH($Y96,'Test catalog'!$A$2:$A$200,0))),"")</f>
        <v/>
      </c>
      <c r="V96" s="5" t="n"/>
      <c r="W96" s="5" t="n"/>
      <c r="X96" s="5" t="n"/>
      <c r="Y96" s="5" t="inlineStr">
        <is>
          <t>ENUM</t>
        </is>
      </c>
      <c r="Z96" s="11" t="inlineStr">
        <is>
          <t>No micro test in USP-NF - set Y if your specification has one</t>
        </is>
      </c>
    </row>
    <row r="97">
      <c r="A97" s="11" t="inlineStr">
        <is>
          <t>Manganese Sulfate Monohydrate</t>
        </is>
      </c>
      <c r="B97" s="11" t="inlineStr">
        <is>
          <t>RM</t>
        </is>
      </c>
      <c r="C97" s="11" t="inlineStr">
        <is>
          <t>Active</t>
        </is>
      </c>
      <c r="D97" s="11" t="inlineStr">
        <is>
          <t>Microbial enumeration - TAMC + TYMC (&lt;61&gt; / &lt;2021&gt;)</t>
        </is>
      </c>
      <c r="E97" s="5" t="inlineStr">
        <is>
          <t>N</t>
        </is>
      </c>
      <c r="F97" s="5" t="n"/>
      <c r="G97" s="11">
        <f>IFERROR(IF(INDEX('Test catalog'!$F$2:$F$200,MATCH($Y97,'Test catalog'!$A$2:$A$200,0))="","",INDEX('Test catalog'!$F$2:$F$200,MATCH($Y97,'Test catalog'!$A$2:$A$200,0))),"")</f>
        <v/>
      </c>
      <c r="H97" s="11">
        <f>IFERROR(IF(INDEX('Test catalog'!$G$2:$G$200,MATCH($Y97,'Test catalog'!$A$2:$A$200,0))="","",INDEX('Test catalog'!$G$2:$G$200,MATCH($Y97,'Test catalog'!$A$2:$A$200,0))),"")</f>
        <v/>
      </c>
      <c r="I97" s="11">
        <f>IFERROR(IF(INDEX('Test catalog'!$H$2:$H$200,MATCH($Y97,'Test catalog'!$A$2:$A$200,0))="","",INDEX('Test catalog'!$H$2:$H$200,MATCH($Y97,'Test catalog'!$A$2:$A$200,0))),"")</f>
        <v/>
      </c>
      <c r="J97" s="11">
        <f>IFERROR(IF(INDEX('Test catalog'!$I$2:$I$200,MATCH($Y97,'Test catalog'!$A$2:$A$200,0))="","",INDEX('Test catalog'!$I$2:$I$200,MATCH($Y97,'Test catalog'!$A$2:$A$200,0))),"")</f>
        <v/>
      </c>
      <c r="K97" s="13">
        <f>IF(I97="","",IF(OR(H97="",J97=""),I97,(H97+4*I97+J97)/6))</f>
        <v/>
      </c>
      <c r="L97" s="11">
        <f>IFERROR(IF(INDEX('Test catalog'!$J$2:$J$200,MATCH($Y97,'Test catalog'!$A$2:$A$200,0))="","",INDEX('Test catalog'!$J$2:$J$200,MATCH($Y97,'Test catalog'!$A$2:$A$200,0))),"")</f>
        <v/>
      </c>
      <c r="M97" s="11">
        <f>IFERROR(IF(INDEX('Test catalog'!$K$2:$K$200,MATCH($Y97,'Test catalog'!$A$2:$A$200,0))="","",INDEX('Test catalog'!$K$2:$K$200,MATCH($Y97,'Test catalog'!$A$2:$A$200,0))),"")</f>
        <v/>
      </c>
      <c r="N97" s="11">
        <f>IFERROR(IF(INDEX('Test catalog'!$L$2:$L$200,MATCH($Y97,'Test catalog'!$A$2:$A$200,0))="","",INDEX('Test catalog'!$L$2:$L$200,MATCH($Y97,'Test catalog'!$A$2:$A$200,0))),"")</f>
        <v/>
      </c>
      <c r="O97" s="11">
        <f>IFERROR(IF(INDEX('Test catalog'!$M$2:$M$200,MATCH($Y97,'Test catalog'!$A$2:$A$200,0))="","",INDEX('Test catalog'!$M$2:$M$200,MATCH($Y97,'Test catalog'!$A$2:$A$200,0))),"")</f>
        <v/>
      </c>
      <c r="P97" s="11">
        <f>IFERROR(IF(INDEX('Test catalog'!$N$2:$N$200,MATCH($Y97,'Test catalog'!$A$2:$A$200,0))="","",INDEX('Test catalog'!$N$2:$N$200,MATCH($Y97,'Test catalog'!$A$2:$A$200,0))),"")</f>
        <v/>
      </c>
      <c r="Q97" s="11">
        <f>IFERROR(IF(INDEX('Test catalog'!$O$2:$O$200,MATCH($Y97,'Test catalog'!$A$2:$A$200,0))="","",INDEX('Test catalog'!$O$2:$O$200,MATCH($Y97,'Test catalog'!$A$2:$A$200,0))),"")</f>
        <v/>
      </c>
      <c r="R97" s="11">
        <f>IFERROR(IF(INDEX('Test catalog'!$P$2:$P$200,MATCH($Y97,'Test catalog'!$A$2:$A$200,0))="","",INDEX('Test catalog'!$P$2:$P$200,MATCH($Y97,'Test catalog'!$A$2:$A$200,0))),"")</f>
        <v/>
      </c>
      <c r="S97" s="14" t="n"/>
      <c r="T97" s="5" t="n"/>
      <c r="U97" s="11">
        <f>IFERROR(IF(INDEX('Test catalog'!$Q$2:$Q$200,MATCH($Y97,'Test catalog'!$A$2:$A$200,0))="","",INDEX('Test catalog'!$Q$2:$Q$200,MATCH($Y97,'Test catalog'!$A$2:$A$200,0))),"")</f>
        <v/>
      </c>
      <c r="V97" s="5" t="n"/>
      <c r="W97" s="5" t="n"/>
      <c r="X97" s="5" t="n"/>
      <c r="Y97" s="5" t="inlineStr">
        <is>
          <t>ENUM</t>
        </is>
      </c>
      <c r="Z97" s="11" t="inlineStr">
        <is>
          <t>No micro test in USP-NF - set Y if your specification has one</t>
        </is>
      </c>
    </row>
    <row r="98">
      <c r="A98" s="11" t="inlineStr">
        <is>
          <t>Marshmallow Dry Extract 3:1</t>
        </is>
      </c>
      <c r="B98" s="11" t="inlineStr">
        <is>
          <t>RM</t>
        </is>
      </c>
      <c r="C98" s="11" t="inlineStr">
        <is>
          <t>Active</t>
        </is>
      </c>
      <c r="D98" s="11" t="inlineStr">
        <is>
          <t>Microbial enumeration - TAMC + TYMC (&lt;61&gt; / &lt;2021&gt;)</t>
        </is>
      </c>
      <c r="E98" s="5" t="inlineStr">
        <is>
          <t>Y</t>
        </is>
      </c>
      <c r="F98" s="5" t="n"/>
      <c r="G98" s="11">
        <f>IFERROR(IF(INDEX('Test catalog'!$F$2:$F$200,MATCH($Y98,'Test catalog'!$A$2:$A$200,0))="","",INDEX('Test catalog'!$F$2:$F$200,MATCH($Y98,'Test catalog'!$A$2:$A$200,0))),"")</f>
        <v/>
      </c>
      <c r="H98" s="11">
        <f>IFERROR(IF(INDEX('Test catalog'!$G$2:$G$200,MATCH($Y98,'Test catalog'!$A$2:$A$200,0))="","",INDEX('Test catalog'!$G$2:$G$200,MATCH($Y98,'Test catalog'!$A$2:$A$200,0))),"")</f>
        <v/>
      </c>
      <c r="I98" s="11">
        <f>IFERROR(IF(INDEX('Test catalog'!$H$2:$H$200,MATCH($Y98,'Test catalog'!$A$2:$A$200,0))="","",INDEX('Test catalog'!$H$2:$H$200,MATCH($Y98,'Test catalog'!$A$2:$A$200,0))),"")</f>
        <v/>
      </c>
      <c r="J98" s="11">
        <f>IFERROR(IF(INDEX('Test catalog'!$I$2:$I$200,MATCH($Y98,'Test catalog'!$A$2:$A$200,0))="","",INDEX('Test catalog'!$I$2:$I$200,MATCH($Y98,'Test catalog'!$A$2:$A$200,0))),"")</f>
        <v/>
      </c>
      <c r="K98" s="13">
        <f>IF(I98="","",IF(OR(H98="",J98=""),I98,(H98+4*I98+J98)/6))</f>
        <v/>
      </c>
      <c r="L98" s="11">
        <f>IFERROR(IF(INDEX('Test catalog'!$J$2:$J$200,MATCH($Y98,'Test catalog'!$A$2:$A$200,0))="","",INDEX('Test catalog'!$J$2:$J$200,MATCH($Y98,'Test catalog'!$A$2:$A$200,0))),"")</f>
        <v/>
      </c>
      <c r="M98" s="11">
        <f>IFERROR(IF(INDEX('Test catalog'!$K$2:$K$200,MATCH($Y98,'Test catalog'!$A$2:$A$200,0))="","",INDEX('Test catalog'!$K$2:$K$200,MATCH($Y98,'Test catalog'!$A$2:$A$200,0))),"")</f>
        <v/>
      </c>
      <c r="N98" s="11">
        <f>IFERROR(IF(INDEX('Test catalog'!$L$2:$L$200,MATCH($Y98,'Test catalog'!$A$2:$A$200,0))="","",INDEX('Test catalog'!$L$2:$L$200,MATCH($Y98,'Test catalog'!$A$2:$A$200,0))),"")</f>
        <v/>
      </c>
      <c r="O98" s="11">
        <f>IFERROR(IF(INDEX('Test catalog'!$M$2:$M$200,MATCH($Y98,'Test catalog'!$A$2:$A$200,0))="","",INDEX('Test catalog'!$M$2:$M$200,MATCH($Y98,'Test catalog'!$A$2:$A$200,0))),"")</f>
        <v/>
      </c>
      <c r="P98" s="11">
        <f>IFERROR(IF(INDEX('Test catalog'!$N$2:$N$200,MATCH($Y98,'Test catalog'!$A$2:$A$200,0))="","",INDEX('Test catalog'!$N$2:$N$200,MATCH($Y98,'Test catalog'!$A$2:$A$200,0))),"")</f>
        <v/>
      </c>
      <c r="Q98" s="11">
        <f>IFERROR(IF(INDEX('Test catalog'!$O$2:$O$200,MATCH($Y98,'Test catalog'!$A$2:$A$200,0))="","",INDEX('Test catalog'!$O$2:$O$200,MATCH($Y98,'Test catalog'!$A$2:$A$200,0))),"")</f>
        <v/>
      </c>
      <c r="R98" s="11">
        <f>IFERROR(IF(INDEX('Test catalog'!$P$2:$P$200,MATCH($Y98,'Test catalog'!$A$2:$A$200,0))="","",INDEX('Test catalog'!$P$2:$P$200,MATCH($Y98,'Test catalog'!$A$2:$A$200,0))),"")</f>
        <v/>
      </c>
      <c r="S98" s="14" t="n"/>
      <c r="T98" s="5" t="n"/>
      <c r="U98" s="11">
        <f>IFERROR(IF(INDEX('Test catalog'!$Q$2:$Q$200,MATCH($Y98,'Test catalog'!$A$2:$A$200,0))="","",INDEX('Test catalog'!$Q$2:$Q$200,MATCH($Y98,'Test catalog'!$A$2:$A$200,0))),"")</f>
        <v/>
      </c>
      <c r="V98" s="5" t="n"/>
      <c r="W98" s="5" t="n"/>
      <c r="X98" s="5" t="n"/>
      <c r="Y98" s="5" t="inlineStr">
        <is>
          <t>ENUM</t>
        </is>
      </c>
      <c r="Z98" s="11" t="inlineStr">
        <is>
          <t>Natural origin, no USP-NF micro test - confirm (USP &lt;2023&gt;)</t>
        </is>
      </c>
    </row>
    <row r="99">
      <c r="A99" s="11" t="inlineStr">
        <is>
          <t>Marshmallow Dry Extract 3:1</t>
        </is>
      </c>
      <c r="B99" s="11" t="inlineStr">
        <is>
          <t>RM</t>
        </is>
      </c>
      <c r="C99" s="11" t="inlineStr">
        <is>
          <t>Active</t>
        </is>
      </c>
      <c r="D99" s="11" t="inlineStr">
        <is>
          <t>Absence of Escherichia coli (&lt;62&gt; / &lt;2022&gt;)</t>
        </is>
      </c>
      <c r="E99" s="5" t="inlineStr">
        <is>
          <t>Y</t>
        </is>
      </c>
      <c r="F99" s="5" t="n"/>
      <c r="G99" s="11">
        <f>IFERROR(IF(INDEX('Test catalog'!$F$2:$F$200,MATCH($Y99,'Test catalog'!$A$2:$A$200,0))="","",INDEX('Test catalog'!$F$2:$F$200,MATCH($Y99,'Test catalog'!$A$2:$A$200,0))),"")</f>
        <v/>
      </c>
      <c r="H99" s="11">
        <f>IFERROR(IF(INDEX('Test catalog'!$G$2:$G$200,MATCH($Y99,'Test catalog'!$A$2:$A$200,0))="","",INDEX('Test catalog'!$G$2:$G$200,MATCH($Y99,'Test catalog'!$A$2:$A$200,0))),"")</f>
        <v/>
      </c>
      <c r="I99" s="11">
        <f>IFERROR(IF(INDEX('Test catalog'!$H$2:$H$200,MATCH($Y99,'Test catalog'!$A$2:$A$200,0))="","",INDEX('Test catalog'!$H$2:$H$200,MATCH($Y99,'Test catalog'!$A$2:$A$200,0))),"")</f>
        <v/>
      </c>
      <c r="J99" s="11">
        <f>IFERROR(IF(INDEX('Test catalog'!$I$2:$I$200,MATCH($Y99,'Test catalog'!$A$2:$A$200,0))="","",INDEX('Test catalog'!$I$2:$I$200,MATCH($Y99,'Test catalog'!$A$2:$A$200,0))),"")</f>
        <v/>
      </c>
      <c r="K99" s="13">
        <f>IF(I99="","",IF(OR(H99="",J99=""),I99,(H99+4*I99+J99)/6))</f>
        <v/>
      </c>
      <c r="L99" s="11">
        <f>IFERROR(IF(INDEX('Test catalog'!$J$2:$J$200,MATCH($Y99,'Test catalog'!$A$2:$A$200,0))="","",INDEX('Test catalog'!$J$2:$J$200,MATCH($Y99,'Test catalog'!$A$2:$A$200,0))),"")</f>
        <v/>
      </c>
      <c r="M99" s="11">
        <f>IFERROR(IF(INDEX('Test catalog'!$K$2:$K$200,MATCH($Y99,'Test catalog'!$A$2:$A$200,0))="","",INDEX('Test catalog'!$K$2:$K$200,MATCH($Y99,'Test catalog'!$A$2:$A$200,0))),"")</f>
        <v/>
      </c>
      <c r="N99" s="11">
        <f>IFERROR(IF(INDEX('Test catalog'!$L$2:$L$200,MATCH($Y99,'Test catalog'!$A$2:$A$200,0))="","",INDEX('Test catalog'!$L$2:$L$200,MATCH($Y99,'Test catalog'!$A$2:$A$200,0))),"")</f>
        <v/>
      </c>
      <c r="O99" s="11">
        <f>IFERROR(IF(INDEX('Test catalog'!$M$2:$M$200,MATCH($Y99,'Test catalog'!$A$2:$A$200,0))="","",INDEX('Test catalog'!$M$2:$M$200,MATCH($Y99,'Test catalog'!$A$2:$A$200,0))),"")</f>
        <v/>
      </c>
      <c r="P99" s="11">
        <f>IFERROR(IF(INDEX('Test catalog'!$N$2:$N$200,MATCH($Y99,'Test catalog'!$A$2:$A$200,0))="","",INDEX('Test catalog'!$N$2:$N$200,MATCH($Y99,'Test catalog'!$A$2:$A$200,0))),"")</f>
        <v/>
      </c>
      <c r="Q99" s="11">
        <f>IFERROR(IF(INDEX('Test catalog'!$O$2:$O$200,MATCH($Y99,'Test catalog'!$A$2:$A$200,0))="","",INDEX('Test catalog'!$O$2:$O$200,MATCH($Y99,'Test catalog'!$A$2:$A$200,0))),"")</f>
        <v/>
      </c>
      <c r="R99" s="11">
        <f>IFERROR(IF(INDEX('Test catalog'!$P$2:$P$200,MATCH($Y99,'Test catalog'!$A$2:$A$200,0))="","",INDEX('Test catalog'!$P$2:$P$200,MATCH($Y99,'Test catalog'!$A$2:$A$200,0))),"")</f>
        <v/>
      </c>
      <c r="S99" s="14" t="n"/>
      <c r="T99" s="5" t="n"/>
      <c r="U99" s="11">
        <f>IFERROR(IF(INDEX('Test catalog'!$Q$2:$Q$200,MATCH($Y99,'Test catalog'!$A$2:$A$200,0))="","",INDEX('Test catalog'!$Q$2:$Q$200,MATCH($Y99,'Test catalog'!$A$2:$A$200,0))),"")</f>
        <v/>
      </c>
      <c r="V99" s="5" t="n"/>
      <c r="W99" s="5" t="n"/>
      <c r="X99" s="5" t="n"/>
      <c r="Y99" s="5" t="inlineStr">
        <is>
          <t>ECOLI</t>
        </is>
      </c>
      <c r="Z99" s="11" t="inlineStr">
        <is>
          <t>Natural origin, no USP-NF micro test - confirm (USP &lt;2023&gt;)</t>
        </is>
      </c>
    </row>
    <row r="100">
      <c r="A100" s="11" t="inlineStr">
        <is>
          <t>Marshmallow Dry Extract 3:1</t>
        </is>
      </c>
      <c r="B100" s="11" t="inlineStr">
        <is>
          <t>RM</t>
        </is>
      </c>
      <c r="C100" s="11" t="inlineStr">
        <is>
          <t>Active</t>
        </is>
      </c>
      <c r="D100" s="11" t="inlineStr">
        <is>
          <t>Absence of Salmonella (&lt;62&gt; / &lt;2022&gt;)</t>
        </is>
      </c>
      <c r="E100" s="5" t="inlineStr">
        <is>
          <t>Y</t>
        </is>
      </c>
      <c r="F100" s="5" t="n"/>
      <c r="G100" s="11">
        <f>IFERROR(IF(INDEX('Test catalog'!$F$2:$F$200,MATCH($Y100,'Test catalog'!$A$2:$A$200,0))="","",INDEX('Test catalog'!$F$2:$F$200,MATCH($Y100,'Test catalog'!$A$2:$A$200,0))),"")</f>
        <v/>
      </c>
      <c r="H100" s="11">
        <f>IFERROR(IF(INDEX('Test catalog'!$G$2:$G$200,MATCH($Y100,'Test catalog'!$A$2:$A$200,0))="","",INDEX('Test catalog'!$G$2:$G$200,MATCH($Y100,'Test catalog'!$A$2:$A$200,0))),"")</f>
        <v/>
      </c>
      <c r="I100" s="11">
        <f>IFERROR(IF(INDEX('Test catalog'!$H$2:$H$200,MATCH($Y100,'Test catalog'!$A$2:$A$200,0))="","",INDEX('Test catalog'!$H$2:$H$200,MATCH($Y100,'Test catalog'!$A$2:$A$200,0))),"")</f>
        <v/>
      </c>
      <c r="J100" s="11">
        <f>IFERROR(IF(INDEX('Test catalog'!$I$2:$I$200,MATCH($Y100,'Test catalog'!$A$2:$A$200,0))="","",INDEX('Test catalog'!$I$2:$I$200,MATCH($Y100,'Test catalog'!$A$2:$A$200,0))),"")</f>
        <v/>
      </c>
      <c r="K100" s="13">
        <f>IF(I100="","",IF(OR(H100="",J100=""),I100,(H100+4*I100+J100)/6))</f>
        <v/>
      </c>
      <c r="L100" s="11">
        <f>IFERROR(IF(INDEX('Test catalog'!$J$2:$J$200,MATCH($Y100,'Test catalog'!$A$2:$A$200,0))="","",INDEX('Test catalog'!$J$2:$J$200,MATCH($Y100,'Test catalog'!$A$2:$A$200,0))),"")</f>
        <v/>
      </c>
      <c r="M100" s="11">
        <f>IFERROR(IF(INDEX('Test catalog'!$K$2:$K$200,MATCH($Y100,'Test catalog'!$A$2:$A$200,0))="","",INDEX('Test catalog'!$K$2:$K$200,MATCH($Y100,'Test catalog'!$A$2:$A$200,0))),"")</f>
        <v/>
      </c>
      <c r="N100" s="11">
        <f>IFERROR(IF(INDEX('Test catalog'!$L$2:$L$200,MATCH($Y100,'Test catalog'!$A$2:$A$200,0))="","",INDEX('Test catalog'!$L$2:$L$200,MATCH($Y100,'Test catalog'!$A$2:$A$200,0))),"")</f>
        <v/>
      </c>
      <c r="O100" s="11">
        <f>IFERROR(IF(INDEX('Test catalog'!$M$2:$M$200,MATCH($Y100,'Test catalog'!$A$2:$A$200,0))="","",INDEX('Test catalog'!$M$2:$M$200,MATCH($Y100,'Test catalog'!$A$2:$A$200,0))),"")</f>
        <v/>
      </c>
      <c r="P100" s="11">
        <f>IFERROR(IF(INDEX('Test catalog'!$N$2:$N$200,MATCH($Y100,'Test catalog'!$A$2:$A$200,0))="","",INDEX('Test catalog'!$N$2:$N$200,MATCH($Y100,'Test catalog'!$A$2:$A$200,0))),"")</f>
        <v/>
      </c>
      <c r="Q100" s="11">
        <f>IFERROR(IF(INDEX('Test catalog'!$O$2:$O$200,MATCH($Y100,'Test catalog'!$A$2:$A$200,0))="","",INDEX('Test catalog'!$O$2:$O$200,MATCH($Y100,'Test catalog'!$A$2:$A$200,0))),"")</f>
        <v/>
      </c>
      <c r="R100" s="11">
        <f>IFERROR(IF(INDEX('Test catalog'!$P$2:$P$200,MATCH($Y100,'Test catalog'!$A$2:$A$200,0))="","",INDEX('Test catalog'!$P$2:$P$200,MATCH($Y100,'Test catalog'!$A$2:$A$200,0))),"")</f>
        <v/>
      </c>
      <c r="S100" s="14" t="n"/>
      <c r="T100" s="5" t="n"/>
      <c r="U100" s="11">
        <f>IFERROR(IF(INDEX('Test catalog'!$Q$2:$Q$200,MATCH($Y100,'Test catalog'!$A$2:$A$200,0))="","",INDEX('Test catalog'!$Q$2:$Q$200,MATCH($Y100,'Test catalog'!$A$2:$A$200,0))),"")</f>
        <v/>
      </c>
      <c r="V100" s="5" t="n"/>
      <c r="W100" s="5" t="n"/>
      <c r="X100" s="5" t="n"/>
      <c r="Y100" s="5" t="inlineStr">
        <is>
          <t>SALM</t>
        </is>
      </c>
      <c r="Z100" s="11" t="inlineStr">
        <is>
          <t>Natural origin, no USP-NF micro test - confirm (USP &lt;2023&gt;)</t>
        </is>
      </c>
    </row>
    <row r="101">
      <c r="A101" s="11" t="inlineStr">
        <is>
          <t>Metformin Hydrochloride</t>
        </is>
      </c>
      <c r="B101" s="11" t="inlineStr">
        <is>
          <t>RM</t>
        </is>
      </c>
      <c r="C101" s="11" t="inlineStr">
        <is>
          <t>Active</t>
        </is>
      </c>
      <c r="D101" s="11" t="inlineStr">
        <is>
          <t>Microbial enumeration - TAMC + TYMC (&lt;61&gt; / &lt;2021&gt;)</t>
        </is>
      </c>
      <c r="E101" s="5" t="inlineStr">
        <is>
          <t>N</t>
        </is>
      </c>
      <c r="F101" s="5" t="n"/>
      <c r="G101" s="11">
        <f>IFERROR(IF(INDEX('Test catalog'!$F$2:$F$200,MATCH($Y101,'Test catalog'!$A$2:$A$200,0))="","",INDEX('Test catalog'!$F$2:$F$200,MATCH($Y101,'Test catalog'!$A$2:$A$200,0))),"")</f>
        <v/>
      </c>
      <c r="H101" s="11">
        <f>IFERROR(IF(INDEX('Test catalog'!$G$2:$G$200,MATCH($Y101,'Test catalog'!$A$2:$A$200,0))="","",INDEX('Test catalog'!$G$2:$G$200,MATCH($Y101,'Test catalog'!$A$2:$A$200,0))),"")</f>
        <v/>
      </c>
      <c r="I101" s="11">
        <f>IFERROR(IF(INDEX('Test catalog'!$H$2:$H$200,MATCH($Y101,'Test catalog'!$A$2:$A$200,0))="","",INDEX('Test catalog'!$H$2:$H$200,MATCH($Y101,'Test catalog'!$A$2:$A$200,0))),"")</f>
        <v/>
      </c>
      <c r="J101" s="11">
        <f>IFERROR(IF(INDEX('Test catalog'!$I$2:$I$200,MATCH($Y101,'Test catalog'!$A$2:$A$200,0))="","",INDEX('Test catalog'!$I$2:$I$200,MATCH($Y101,'Test catalog'!$A$2:$A$200,0))),"")</f>
        <v/>
      </c>
      <c r="K101" s="13">
        <f>IF(I101="","",IF(OR(H101="",J101=""),I101,(H101+4*I101+J101)/6))</f>
        <v/>
      </c>
      <c r="L101" s="11">
        <f>IFERROR(IF(INDEX('Test catalog'!$J$2:$J$200,MATCH($Y101,'Test catalog'!$A$2:$A$200,0))="","",INDEX('Test catalog'!$J$2:$J$200,MATCH($Y101,'Test catalog'!$A$2:$A$200,0))),"")</f>
        <v/>
      </c>
      <c r="M101" s="11">
        <f>IFERROR(IF(INDEX('Test catalog'!$K$2:$K$200,MATCH($Y101,'Test catalog'!$A$2:$A$200,0))="","",INDEX('Test catalog'!$K$2:$K$200,MATCH($Y101,'Test catalog'!$A$2:$A$200,0))),"")</f>
        <v/>
      </c>
      <c r="N101" s="11">
        <f>IFERROR(IF(INDEX('Test catalog'!$L$2:$L$200,MATCH($Y101,'Test catalog'!$A$2:$A$200,0))="","",INDEX('Test catalog'!$L$2:$L$200,MATCH($Y101,'Test catalog'!$A$2:$A$200,0))),"")</f>
        <v/>
      </c>
      <c r="O101" s="11">
        <f>IFERROR(IF(INDEX('Test catalog'!$M$2:$M$200,MATCH($Y101,'Test catalog'!$A$2:$A$200,0))="","",INDEX('Test catalog'!$M$2:$M$200,MATCH($Y101,'Test catalog'!$A$2:$A$200,0))),"")</f>
        <v/>
      </c>
      <c r="P101" s="11">
        <f>IFERROR(IF(INDEX('Test catalog'!$N$2:$N$200,MATCH($Y101,'Test catalog'!$A$2:$A$200,0))="","",INDEX('Test catalog'!$N$2:$N$200,MATCH($Y101,'Test catalog'!$A$2:$A$200,0))),"")</f>
        <v/>
      </c>
      <c r="Q101" s="11">
        <f>IFERROR(IF(INDEX('Test catalog'!$O$2:$O$200,MATCH($Y101,'Test catalog'!$A$2:$A$200,0))="","",INDEX('Test catalog'!$O$2:$O$200,MATCH($Y101,'Test catalog'!$A$2:$A$200,0))),"")</f>
        <v/>
      </c>
      <c r="R101" s="11">
        <f>IFERROR(IF(INDEX('Test catalog'!$P$2:$P$200,MATCH($Y101,'Test catalog'!$A$2:$A$200,0))="","",INDEX('Test catalog'!$P$2:$P$200,MATCH($Y101,'Test catalog'!$A$2:$A$200,0))),"")</f>
        <v/>
      </c>
      <c r="S101" s="14" t="n"/>
      <c r="T101" s="5" t="n"/>
      <c r="U101" s="11">
        <f>IFERROR(IF(INDEX('Test catalog'!$Q$2:$Q$200,MATCH($Y101,'Test catalog'!$A$2:$A$200,0))="","",INDEX('Test catalog'!$Q$2:$Q$200,MATCH($Y101,'Test catalog'!$A$2:$A$200,0))),"")</f>
        <v/>
      </c>
      <c r="V101" s="5" t="n"/>
      <c r="W101" s="5" t="n"/>
      <c r="X101" s="5" t="n"/>
      <c r="Y101" s="5" t="inlineStr">
        <is>
          <t>ENUM</t>
        </is>
      </c>
      <c r="Z101" s="11" t="inlineStr">
        <is>
          <t>No micro test in USP-NF - set Y if your specification has one</t>
        </is>
      </c>
    </row>
    <row r="102">
      <c r="A102" s="11" t="inlineStr">
        <is>
          <t>Methionine</t>
        </is>
      </c>
      <c r="B102" s="11" t="inlineStr">
        <is>
          <t>RM</t>
        </is>
      </c>
      <c r="C102" s="11" t="inlineStr">
        <is>
          <t>Active</t>
        </is>
      </c>
      <c r="D102" s="11" t="inlineStr">
        <is>
          <t>Microbial enumeration - TAMC + TYMC (&lt;61&gt; / &lt;2021&gt;)</t>
        </is>
      </c>
      <c r="E102" s="5" t="inlineStr">
        <is>
          <t>N</t>
        </is>
      </c>
      <c r="F102" s="5" t="n"/>
      <c r="G102" s="11">
        <f>IFERROR(IF(INDEX('Test catalog'!$F$2:$F$200,MATCH($Y102,'Test catalog'!$A$2:$A$200,0))="","",INDEX('Test catalog'!$F$2:$F$200,MATCH($Y102,'Test catalog'!$A$2:$A$200,0))),"")</f>
        <v/>
      </c>
      <c r="H102" s="11">
        <f>IFERROR(IF(INDEX('Test catalog'!$G$2:$G$200,MATCH($Y102,'Test catalog'!$A$2:$A$200,0))="","",INDEX('Test catalog'!$G$2:$G$200,MATCH($Y102,'Test catalog'!$A$2:$A$200,0))),"")</f>
        <v/>
      </c>
      <c r="I102" s="11">
        <f>IFERROR(IF(INDEX('Test catalog'!$H$2:$H$200,MATCH($Y102,'Test catalog'!$A$2:$A$200,0))="","",INDEX('Test catalog'!$H$2:$H$200,MATCH($Y102,'Test catalog'!$A$2:$A$200,0))),"")</f>
        <v/>
      </c>
      <c r="J102" s="11">
        <f>IFERROR(IF(INDEX('Test catalog'!$I$2:$I$200,MATCH($Y102,'Test catalog'!$A$2:$A$200,0))="","",INDEX('Test catalog'!$I$2:$I$200,MATCH($Y102,'Test catalog'!$A$2:$A$200,0))),"")</f>
        <v/>
      </c>
      <c r="K102" s="13">
        <f>IF(I102="","",IF(OR(H102="",J102=""),I102,(H102+4*I102+J102)/6))</f>
        <v/>
      </c>
      <c r="L102" s="11">
        <f>IFERROR(IF(INDEX('Test catalog'!$J$2:$J$200,MATCH($Y102,'Test catalog'!$A$2:$A$200,0))="","",INDEX('Test catalog'!$J$2:$J$200,MATCH($Y102,'Test catalog'!$A$2:$A$200,0))),"")</f>
        <v/>
      </c>
      <c r="M102" s="11">
        <f>IFERROR(IF(INDEX('Test catalog'!$K$2:$K$200,MATCH($Y102,'Test catalog'!$A$2:$A$200,0))="","",INDEX('Test catalog'!$K$2:$K$200,MATCH($Y102,'Test catalog'!$A$2:$A$200,0))),"")</f>
        <v/>
      </c>
      <c r="N102" s="11">
        <f>IFERROR(IF(INDEX('Test catalog'!$L$2:$L$200,MATCH($Y102,'Test catalog'!$A$2:$A$200,0))="","",INDEX('Test catalog'!$L$2:$L$200,MATCH($Y102,'Test catalog'!$A$2:$A$200,0))),"")</f>
        <v/>
      </c>
      <c r="O102" s="11">
        <f>IFERROR(IF(INDEX('Test catalog'!$M$2:$M$200,MATCH($Y102,'Test catalog'!$A$2:$A$200,0))="","",INDEX('Test catalog'!$M$2:$M$200,MATCH($Y102,'Test catalog'!$A$2:$A$200,0))),"")</f>
        <v/>
      </c>
      <c r="P102" s="11">
        <f>IFERROR(IF(INDEX('Test catalog'!$N$2:$N$200,MATCH($Y102,'Test catalog'!$A$2:$A$200,0))="","",INDEX('Test catalog'!$N$2:$N$200,MATCH($Y102,'Test catalog'!$A$2:$A$200,0))),"")</f>
        <v/>
      </c>
      <c r="Q102" s="11">
        <f>IFERROR(IF(INDEX('Test catalog'!$O$2:$O$200,MATCH($Y102,'Test catalog'!$A$2:$A$200,0))="","",INDEX('Test catalog'!$O$2:$O$200,MATCH($Y102,'Test catalog'!$A$2:$A$200,0))),"")</f>
        <v/>
      </c>
      <c r="R102" s="11">
        <f>IFERROR(IF(INDEX('Test catalog'!$P$2:$P$200,MATCH($Y102,'Test catalog'!$A$2:$A$200,0))="","",INDEX('Test catalog'!$P$2:$P$200,MATCH($Y102,'Test catalog'!$A$2:$A$200,0))),"")</f>
        <v/>
      </c>
      <c r="S102" s="14" t="n"/>
      <c r="T102" s="5" t="n"/>
      <c r="U102" s="11">
        <f>IFERROR(IF(INDEX('Test catalog'!$Q$2:$Q$200,MATCH($Y102,'Test catalog'!$A$2:$A$200,0))="","",INDEX('Test catalog'!$Q$2:$Q$200,MATCH($Y102,'Test catalog'!$A$2:$A$200,0))),"")</f>
        <v/>
      </c>
      <c r="V102" s="5" t="n"/>
      <c r="W102" s="5" t="n"/>
      <c r="X102" s="5" t="n"/>
      <c r="Y102" s="5" t="inlineStr">
        <is>
          <t>ENUM</t>
        </is>
      </c>
      <c r="Z102" s="11" t="inlineStr">
        <is>
          <t>No micro test in USP-NF - set Y if your specification has one</t>
        </is>
      </c>
    </row>
    <row r="103">
      <c r="A103" s="11" t="inlineStr">
        <is>
          <t>Methyl Sulphonyl Methane (MSM)</t>
        </is>
      </c>
      <c r="B103" s="11" t="inlineStr">
        <is>
          <t>RM</t>
        </is>
      </c>
      <c r="C103" s="11" t="inlineStr">
        <is>
          <t>Active</t>
        </is>
      </c>
      <c r="D103" s="11" t="inlineStr">
        <is>
          <t>Microbial enumeration - TAMC + TYMC (&lt;61&gt; / &lt;2021&gt;)</t>
        </is>
      </c>
      <c r="E103" s="5" t="inlineStr">
        <is>
          <t>Y</t>
        </is>
      </c>
      <c r="F103" s="5" t="n"/>
      <c r="G103" s="11">
        <f>IFERROR(IF(INDEX('Test catalog'!$F$2:$F$200,MATCH($Y103,'Test catalog'!$A$2:$A$200,0))="","",INDEX('Test catalog'!$F$2:$F$200,MATCH($Y103,'Test catalog'!$A$2:$A$200,0))),"")</f>
        <v/>
      </c>
      <c r="H103" s="11">
        <f>IFERROR(IF(INDEX('Test catalog'!$G$2:$G$200,MATCH($Y103,'Test catalog'!$A$2:$A$200,0))="","",INDEX('Test catalog'!$G$2:$G$200,MATCH($Y103,'Test catalog'!$A$2:$A$200,0))),"")</f>
        <v/>
      </c>
      <c r="I103" s="11">
        <f>IFERROR(IF(INDEX('Test catalog'!$H$2:$H$200,MATCH($Y103,'Test catalog'!$A$2:$A$200,0))="","",INDEX('Test catalog'!$H$2:$H$200,MATCH($Y103,'Test catalog'!$A$2:$A$200,0))),"")</f>
        <v/>
      </c>
      <c r="J103" s="11">
        <f>IFERROR(IF(INDEX('Test catalog'!$I$2:$I$200,MATCH($Y103,'Test catalog'!$A$2:$A$200,0))="","",INDEX('Test catalog'!$I$2:$I$200,MATCH($Y103,'Test catalog'!$A$2:$A$200,0))),"")</f>
        <v/>
      </c>
      <c r="K103" s="13">
        <f>IF(I103="","",IF(OR(H103="",J103=""),I103,(H103+4*I103+J103)/6))</f>
        <v/>
      </c>
      <c r="L103" s="11">
        <f>IFERROR(IF(INDEX('Test catalog'!$J$2:$J$200,MATCH($Y103,'Test catalog'!$A$2:$A$200,0))="","",INDEX('Test catalog'!$J$2:$J$200,MATCH($Y103,'Test catalog'!$A$2:$A$200,0))),"")</f>
        <v/>
      </c>
      <c r="M103" s="11">
        <f>IFERROR(IF(INDEX('Test catalog'!$K$2:$K$200,MATCH($Y103,'Test catalog'!$A$2:$A$200,0))="","",INDEX('Test catalog'!$K$2:$K$200,MATCH($Y103,'Test catalog'!$A$2:$A$200,0))),"")</f>
        <v/>
      </c>
      <c r="N103" s="11">
        <f>IFERROR(IF(INDEX('Test catalog'!$L$2:$L$200,MATCH($Y103,'Test catalog'!$A$2:$A$200,0))="","",INDEX('Test catalog'!$L$2:$L$200,MATCH($Y103,'Test catalog'!$A$2:$A$200,0))),"")</f>
        <v/>
      </c>
      <c r="O103" s="11">
        <f>IFERROR(IF(INDEX('Test catalog'!$M$2:$M$200,MATCH($Y103,'Test catalog'!$A$2:$A$200,0))="","",INDEX('Test catalog'!$M$2:$M$200,MATCH($Y103,'Test catalog'!$A$2:$A$200,0))),"")</f>
        <v/>
      </c>
      <c r="P103" s="11">
        <f>IFERROR(IF(INDEX('Test catalog'!$N$2:$N$200,MATCH($Y103,'Test catalog'!$A$2:$A$200,0))="","",INDEX('Test catalog'!$N$2:$N$200,MATCH($Y103,'Test catalog'!$A$2:$A$200,0))),"")</f>
        <v/>
      </c>
      <c r="Q103" s="11">
        <f>IFERROR(IF(INDEX('Test catalog'!$O$2:$O$200,MATCH($Y103,'Test catalog'!$A$2:$A$200,0))="","",INDEX('Test catalog'!$O$2:$O$200,MATCH($Y103,'Test catalog'!$A$2:$A$200,0))),"")</f>
        <v/>
      </c>
      <c r="R103" s="11">
        <f>IFERROR(IF(INDEX('Test catalog'!$P$2:$P$200,MATCH($Y103,'Test catalog'!$A$2:$A$200,0))="","",INDEX('Test catalog'!$P$2:$P$200,MATCH($Y103,'Test catalog'!$A$2:$A$200,0))),"")</f>
        <v/>
      </c>
      <c r="S103" s="14" t="n"/>
      <c r="T103" s="5" t="n"/>
      <c r="U103" s="11">
        <f>IFERROR(IF(INDEX('Test catalog'!$Q$2:$Q$200,MATCH($Y103,'Test catalog'!$A$2:$A$200,0))="","",INDEX('Test catalog'!$Q$2:$Q$200,MATCH($Y103,'Test catalog'!$A$2:$A$200,0))),"")</f>
        <v/>
      </c>
      <c r="V103" s="5" t="n"/>
      <c r="W103" s="5" t="n"/>
      <c r="X103" s="5" t="n"/>
      <c r="Y103" s="5" t="inlineStr">
        <is>
          <t>ENUM</t>
        </is>
      </c>
      <c r="Z103" s="11" t="inlineStr">
        <is>
          <t>USP-NF monograph &lt;2021&gt;</t>
        </is>
      </c>
    </row>
    <row r="104">
      <c r="A104" s="11" t="inlineStr">
        <is>
          <t>Methyl Sulphonyl Methane (MSM)</t>
        </is>
      </c>
      <c r="B104" s="11" t="inlineStr">
        <is>
          <t>RM</t>
        </is>
      </c>
      <c r="C104" s="11" t="inlineStr">
        <is>
          <t>Active</t>
        </is>
      </c>
      <c r="D104" s="11" t="inlineStr">
        <is>
          <t>Absence of Escherichia coli (&lt;62&gt; / &lt;2022&gt;)</t>
        </is>
      </c>
      <c r="E104" s="5" t="inlineStr">
        <is>
          <t>Y</t>
        </is>
      </c>
      <c r="F104" s="5" t="n"/>
      <c r="G104" s="11">
        <f>IFERROR(IF(INDEX('Test catalog'!$F$2:$F$200,MATCH($Y104,'Test catalog'!$A$2:$A$200,0))="","",INDEX('Test catalog'!$F$2:$F$200,MATCH($Y104,'Test catalog'!$A$2:$A$200,0))),"")</f>
        <v/>
      </c>
      <c r="H104" s="11">
        <f>IFERROR(IF(INDEX('Test catalog'!$G$2:$G$200,MATCH($Y104,'Test catalog'!$A$2:$A$200,0))="","",INDEX('Test catalog'!$G$2:$G$200,MATCH($Y104,'Test catalog'!$A$2:$A$200,0))),"")</f>
        <v/>
      </c>
      <c r="I104" s="11">
        <f>IFERROR(IF(INDEX('Test catalog'!$H$2:$H$200,MATCH($Y104,'Test catalog'!$A$2:$A$200,0))="","",INDEX('Test catalog'!$H$2:$H$200,MATCH($Y104,'Test catalog'!$A$2:$A$200,0))),"")</f>
        <v/>
      </c>
      <c r="J104" s="11">
        <f>IFERROR(IF(INDEX('Test catalog'!$I$2:$I$200,MATCH($Y104,'Test catalog'!$A$2:$A$200,0))="","",INDEX('Test catalog'!$I$2:$I$200,MATCH($Y104,'Test catalog'!$A$2:$A$200,0))),"")</f>
        <v/>
      </c>
      <c r="K104" s="13">
        <f>IF(I104="","",IF(OR(H104="",J104=""),I104,(H104+4*I104+J104)/6))</f>
        <v/>
      </c>
      <c r="L104" s="11">
        <f>IFERROR(IF(INDEX('Test catalog'!$J$2:$J$200,MATCH($Y104,'Test catalog'!$A$2:$A$200,0))="","",INDEX('Test catalog'!$J$2:$J$200,MATCH($Y104,'Test catalog'!$A$2:$A$200,0))),"")</f>
        <v/>
      </c>
      <c r="M104" s="11">
        <f>IFERROR(IF(INDEX('Test catalog'!$K$2:$K$200,MATCH($Y104,'Test catalog'!$A$2:$A$200,0))="","",INDEX('Test catalog'!$K$2:$K$200,MATCH($Y104,'Test catalog'!$A$2:$A$200,0))),"")</f>
        <v/>
      </c>
      <c r="N104" s="11">
        <f>IFERROR(IF(INDEX('Test catalog'!$L$2:$L$200,MATCH($Y104,'Test catalog'!$A$2:$A$200,0))="","",INDEX('Test catalog'!$L$2:$L$200,MATCH($Y104,'Test catalog'!$A$2:$A$200,0))),"")</f>
        <v/>
      </c>
      <c r="O104" s="11">
        <f>IFERROR(IF(INDEX('Test catalog'!$M$2:$M$200,MATCH($Y104,'Test catalog'!$A$2:$A$200,0))="","",INDEX('Test catalog'!$M$2:$M$200,MATCH($Y104,'Test catalog'!$A$2:$A$200,0))),"")</f>
        <v/>
      </c>
      <c r="P104" s="11">
        <f>IFERROR(IF(INDEX('Test catalog'!$N$2:$N$200,MATCH($Y104,'Test catalog'!$A$2:$A$200,0))="","",INDEX('Test catalog'!$N$2:$N$200,MATCH($Y104,'Test catalog'!$A$2:$A$200,0))),"")</f>
        <v/>
      </c>
      <c r="Q104" s="11">
        <f>IFERROR(IF(INDEX('Test catalog'!$O$2:$O$200,MATCH($Y104,'Test catalog'!$A$2:$A$200,0))="","",INDEX('Test catalog'!$O$2:$O$200,MATCH($Y104,'Test catalog'!$A$2:$A$200,0))),"")</f>
        <v/>
      </c>
      <c r="R104" s="11">
        <f>IFERROR(IF(INDEX('Test catalog'!$P$2:$P$200,MATCH($Y104,'Test catalog'!$A$2:$A$200,0))="","",INDEX('Test catalog'!$P$2:$P$200,MATCH($Y104,'Test catalog'!$A$2:$A$200,0))),"")</f>
        <v/>
      </c>
      <c r="S104" s="14" t="n"/>
      <c r="T104" s="5" t="n"/>
      <c r="U104" s="11">
        <f>IFERROR(IF(INDEX('Test catalog'!$Q$2:$Q$200,MATCH($Y104,'Test catalog'!$A$2:$A$200,0))="","",INDEX('Test catalog'!$Q$2:$Q$200,MATCH($Y104,'Test catalog'!$A$2:$A$200,0))),"")</f>
        <v/>
      </c>
      <c r="V104" s="5" t="n"/>
      <c r="W104" s="5" t="n"/>
      <c r="X104" s="5" t="n"/>
      <c r="Y104" s="5" t="inlineStr">
        <is>
          <t>ECOLI</t>
        </is>
      </c>
      <c r="Z104" s="11" t="inlineStr">
        <is>
          <t>USP-NF monograph &lt;2022&gt;</t>
        </is>
      </c>
    </row>
    <row r="105">
      <c r="A105" s="11" t="inlineStr">
        <is>
          <t>Milk Thistle Dry Extract 70:1</t>
        </is>
      </c>
      <c r="B105" s="11" t="inlineStr">
        <is>
          <t>RM</t>
        </is>
      </c>
      <c r="C105" s="11" t="inlineStr">
        <is>
          <t>Active</t>
        </is>
      </c>
      <c r="D105" s="11" t="inlineStr">
        <is>
          <t>Microbial enumeration - TAMC + TYMC (&lt;61&gt; / &lt;2021&gt;)</t>
        </is>
      </c>
      <c r="E105" s="5" t="inlineStr">
        <is>
          <t>Y</t>
        </is>
      </c>
      <c r="F105" s="5" t="n"/>
      <c r="G105" s="11">
        <f>IFERROR(IF(INDEX('Test catalog'!$F$2:$F$200,MATCH($Y105,'Test catalog'!$A$2:$A$200,0))="","",INDEX('Test catalog'!$F$2:$F$200,MATCH($Y105,'Test catalog'!$A$2:$A$200,0))),"")</f>
        <v/>
      </c>
      <c r="H105" s="11">
        <f>IFERROR(IF(INDEX('Test catalog'!$G$2:$G$200,MATCH($Y105,'Test catalog'!$A$2:$A$200,0))="","",INDEX('Test catalog'!$G$2:$G$200,MATCH($Y105,'Test catalog'!$A$2:$A$200,0))),"")</f>
        <v/>
      </c>
      <c r="I105" s="11">
        <f>IFERROR(IF(INDEX('Test catalog'!$H$2:$H$200,MATCH($Y105,'Test catalog'!$A$2:$A$200,0))="","",INDEX('Test catalog'!$H$2:$H$200,MATCH($Y105,'Test catalog'!$A$2:$A$200,0))),"")</f>
        <v/>
      </c>
      <c r="J105" s="11">
        <f>IFERROR(IF(INDEX('Test catalog'!$I$2:$I$200,MATCH($Y105,'Test catalog'!$A$2:$A$200,0))="","",INDEX('Test catalog'!$I$2:$I$200,MATCH($Y105,'Test catalog'!$A$2:$A$200,0))),"")</f>
        <v/>
      </c>
      <c r="K105" s="13">
        <f>IF(I105="","",IF(OR(H105="",J105=""),I105,(H105+4*I105+J105)/6))</f>
        <v/>
      </c>
      <c r="L105" s="11">
        <f>IFERROR(IF(INDEX('Test catalog'!$J$2:$J$200,MATCH($Y105,'Test catalog'!$A$2:$A$200,0))="","",INDEX('Test catalog'!$J$2:$J$200,MATCH($Y105,'Test catalog'!$A$2:$A$200,0))),"")</f>
        <v/>
      </c>
      <c r="M105" s="11">
        <f>IFERROR(IF(INDEX('Test catalog'!$K$2:$K$200,MATCH($Y105,'Test catalog'!$A$2:$A$200,0))="","",INDEX('Test catalog'!$K$2:$K$200,MATCH($Y105,'Test catalog'!$A$2:$A$200,0))),"")</f>
        <v/>
      </c>
      <c r="N105" s="11">
        <f>IFERROR(IF(INDEX('Test catalog'!$L$2:$L$200,MATCH($Y105,'Test catalog'!$A$2:$A$200,0))="","",INDEX('Test catalog'!$L$2:$L$200,MATCH($Y105,'Test catalog'!$A$2:$A$200,0))),"")</f>
        <v/>
      </c>
      <c r="O105" s="11">
        <f>IFERROR(IF(INDEX('Test catalog'!$M$2:$M$200,MATCH($Y105,'Test catalog'!$A$2:$A$200,0))="","",INDEX('Test catalog'!$M$2:$M$200,MATCH($Y105,'Test catalog'!$A$2:$A$200,0))),"")</f>
        <v/>
      </c>
      <c r="P105" s="11">
        <f>IFERROR(IF(INDEX('Test catalog'!$N$2:$N$200,MATCH($Y105,'Test catalog'!$A$2:$A$200,0))="","",INDEX('Test catalog'!$N$2:$N$200,MATCH($Y105,'Test catalog'!$A$2:$A$200,0))),"")</f>
        <v/>
      </c>
      <c r="Q105" s="11">
        <f>IFERROR(IF(INDEX('Test catalog'!$O$2:$O$200,MATCH($Y105,'Test catalog'!$A$2:$A$200,0))="","",INDEX('Test catalog'!$O$2:$O$200,MATCH($Y105,'Test catalog'!$A$2:$A$200,0))),"")</f>
        <v/>
      </c>
      <c r="R105" s="11">
        <f>IFERROR(IF(INDEX('Test catalog'!$P$2:$P$200,MATCH($Y105,'Test catalog'!$A$2:$A$200,0))="","",INDEX('Test catalog'!$P$2:$P$200,MATCH($Y105,'Test catalog'!$A$2:$A$200,0))),"")</f>
        <v/>
      </c>
      <c r="S105" s="14" t="n"/>
      <c r="T105" s="5" t="n"/>
      <c r="U105" s="11">
        <f>IFERROR(IF(INDEX('Test catalog'!$Q$2:$Q$200,MATCH($Y105,'Test catalog'!$A$2:$A$200,0))="","",INDEX('Test catalog'!$Q$2:$Q$200,MATCH($Y105,'Test catalog'!$A$2:$A$200,0))),"")</f>
        <v/>
      </c>
      <c r="V105" s="5" t="n"/>
      <c r="W105" s="5" t="n"/>
      <c r="X105" s="5" t="n"/>
      <c r="Y105" s="5" t="inlineStr">
        <is>
          <t>ENUM</t>
        </is>
      </c>
      <c r="Z105" s="11" t="inlineStr">
        <is>
          <t>USP-NF monograph &lt;2021&gt;</t>
        </is>
      </c>
    </row>
    <row r="106">
      <c r="A106" s="11" t="inlineStr">
        <is>
          <t>Milk Thistle Dry Extract 70:1</t>
        </is>
      </c>
      <c r="B106" s="11" t="inlineStr">
        <is>
          <t>RM</t>
        </is>
      </c>
      <c r="C106" s="11" t="inlineStr">
        <is>
          <t>Active</t>
        </is>
      </c>
      <c r="D106" s="11" t="inlineStr">
        <is>
          <t>Bile-tolerant Gram-negative bacteria (&lt;62&gt; / &lt;2021&gt;)</t>
        </is>
      </c>
      <c r="E106" s="5" t="inlineStr">
        <is>
          <t>Y</t>
        </is>
      </c>
      <c r="F106" s="5" t="n"/>
      <c r="G106" s="11">
        <f>IFERROR(IF(INDEX('Test catalog'!$F$2:$F$200,MATCH($Y106,'Test catalog'!$A$2:$A$200,0))="","",INDEX('Test catalog'!$F$2:$F$200,MATCH($Y106,'Test catalog'!$A$2:$A$200,0))),"")</f>
        <v/>
      </c>
      <c r="H106" s="11">
        <f>IFERROR(IF(INDEX('Test catalog'!$G$2:$G$200,MATCH($Y106,'Test catalog'!$A$2:$A$200,0))="","",INDEX('Test catalog'!$G$2:$G$200,MATCH($Y106,'Test catalog'!$A$2:$A$200,0))),"")</f>
        <v/>
      </c>
      <c r="I106" s="11">
        <f>IFERROR(IF(INDEX('Test catalog'!$H$2:$H$200,MATCH($Y106,'Test catalog'!$A$2:$A$200,0))="","",INDEX('Test catalog'!$H$2:$H$200,MATCH($Y106,'Test catalog'!$A$2:$A$200,0))),"")</f>
        <v/>
      </c>
      <c r="J106" s="11">
        <f>IFERROR(IF(INDEX('Test catalog'!$I$2:$I$200,MATCH($Y106,'Test catalog'!$A$2:$A$200,0))="","",INDEX('Test catalog'!$I$2:$I$200,MATCH($Y106,'Test catalog'!$A$2:$A$200,0))),"")</f>
        <v/>
      </c>
      <c r="K106" s="13">
        <f>IF(I106="","",IF(OR(H106="",J106=""),I106,(H106+4*I106+J106)/6))</f>
        <v/>
      </c>
      <c r="L106" s="11">
        <f>IFERROR(IF(INDEX('Test catalog'!$J$2:$J$200,MATCH($Y106,'Test catalog'!$A$2:$A$200,0))="","",INDEX('Test catalog'!$J$2:$J$200,MATCH($Y106,'Test catalog'!$A$2:$A$200,0))),"")</f>
        <v/>
      </c>
      <c r="M106" s="11">
        <f>IFERROR(IF(INDEX('Test catalog'!$K$2:$K$200,MATCH($Y106,'Test catalog'!$A$2:$A$200,0))="","",INDEX('Test catalog'!$K$2:$K$200,MATCH($Y106,'Test catalog'!$A$2:$A$200,0))),"")</f>
        <v/>
      </c>
      <c r="N106" s="11">
        <f>IFERROR(IF(INDEX('Test catalog'!$L$2:$L$200,MATCH($Y106,'Test catalog'!$A$2:$A$200,0))="","",INDEX('Test catalog'!$L$2:$L$200,MATCH($Y106,'Test catalog'!$A$2:$A$200,0))),"")</f>
        <v/>
      </c>
      <c r="O106" s="11">
        <f>IFERROR(IF(INDEX('Test catalog'!$M$2:$M$200,MATCH($Y106,'Test catalog'!$A$2:$A$200,0))="","",INDEX('Test catalog'!$M$2:$M$200,MATCH($Y106,'Test catalog'!$A$2:$A$200,0))),"")</f>
        <v/>
      </c>
      <c r="P106" s="11">
        <f>IFERROR(IF(INDEX('Test catalog'!$N$2:$N$200,MATCH($Y106,'Test catalog'!$A$2:$A$200,0))="","",INDEX('Test catalog'!$N$2:$N$200,MATCH($Y106,'Test catalog'!$A$2:$A$200,0))),"")</f>
        <v/>
      </c>
      <c r="Q106" s="11">
        <f>IFERROR(IF(INDEX('Test catalog'!$O$2:$O$200,MATCH($Y106,'Test catalog'!$A$2:$A$200,0))="","",INDEX('Test catalog'!$O$2:$O$200,MATCH($Y106,'Test catalog'!$A$2:$A$200,0))),"")</f>
        <v/>
      </c>
      <c r="R106" s="11">
        <f>IFERROR(IF(INDEX('Test catalog'!$P$2:$P$200,MATCH($Y106,'Test catalog'!$A$2:$A$200,0))="","",INDEX('Test catalog'!$P$2:$P$200,MATCH($Y106,'Test catalog'!$A$2:$A$200,0))),"")</f>
        <v/>
      </c>
      <c r="S106" s="14" t="n"/>
      <c r="T106" s="5" t="n"/>
      <c r="U106" s="11">
        <f>IFERROR(IF(INDEX('Test catalog'!$Q$2:$Q$200,MATCH($Y106,'Test catalog'!$A$2:$A$200,0))="","",INDEX('Test catalog'!$Q$2:$Q$200,MATCH($Y106,'Test catalog'!$A$2:$A$200,0))),"")</f>
        <v/>
      </c>
      <c r="V106" s="5" t="n"/>
      <c r="W106" s="5" t="n"/>
      <c r="X106" s="5" t="n"/>
      <c r="Y106" s="5" t="inlineStr">
        <is>
          <t>BTGN</t>
        </is>
      </c>
      <c r="Z106" s="11" t="inlineStr">
        <is>
          <t>USP-NF monograph &lt;2021&gt;</t>
        </is>
      </c>
    </row>
    <row r="107">
      <c r="A107" s="11" t="inlineStr">
        <is>
          <t>Milk Thistle Dry Extract 70:1</t>
        </is>
      </c>
      <c r="B107" s="11" t="inlineStr">
        <is>
          <t>RM</t>
        </is>
      </c>
      <c r="C107" s="11" t="inlineStr">
        <is>
          <t>Active</t>
        </is>
      </c>
      <c r="D107" s="11" t="inlineStr">
        <is>
          <t>Absence of Escherichia coli (&lt;62&gt; / &lt;2022&gt;)</t>
        </is>
      </c>
      <c r="E107" s="5" t="inlineStr">
        <is>
          <t>Y</t>
        </is>
      </c>
      <c r="F107" s="5" t="n"/>
      <c r="G107" s="11">
        <f>IFERROR(IF(INDEX('Test catalog'!$F$2:$F$200,MATCH($Y107,'Test catalog'!$A$2:$A$200,0))="","",INDEX('Test catalog'!$F$2:$F$200,MATCH($Y107,'Test catalog'!$A$2:$A$200,0))),"")</f>
        <v/>
      </c>
      <c r="H107" s="11">
        <f>IFERROR(IF(INDEX('Test catalog'!$G$2:$G$200,MATCH($Y107,'Test catalog'!$A$2:$A$200,0))="","",INDEX('Test catalog'!$G$2:$G$200,MATCH($Y107,'Test catalog'!$A$2:$A$200,0))),"")</f>
        <v/>
      </c>
      <c r="I107" s="11">
        <f>IFERROR(IF(INDEX('Test catalog'!$H$2:$H$200,MATCH($Y107,'Test catalog'!$A$2:$A$200,0))="","",INDEX('Test catalog'!$H$2:$H$200,MATCH($Y107,'Test catalog'!$A$2:$A$200,0))),"")</f>
        <v/>
      </c>
      <c r="J107" s="11">
        <f>IFERROR(IF(INDEX('Test catalog'!$I$2:$I$200,MATCH($Y107,'Test catalog'!$A$2:$A$200,0))="","",INDEX('Test catalog'!$I$2:$I$200,MATCH($Y107,'Test catalog'!$A$2:$A$200,0))),"")</f>
        <v/>
      </c>
      <c r="K107" s="13">
        <f>IF(I107="","",IF(OR(H107="",J107=""),I107,(H107+4*I107+J107)/6))</f>
        <v/>
      </c>
      <c r="L107" s="11">
        <f>IFERROR(IF(INDEX('Test catalog'!$J$2:$J$200,MATCH($Y107,'Test catalog'!$A$2:$A$200,0))="","",INDEX('Test catalog'!$J$2:$J$200,MATCH($Y107,'Test catalog'!$A$2:$A$200,0))),"")</f>
        <v/>
      </c>
      <c r="M107" s="11">
        <f>IFERROR(IF(INDEX('Test catalog'!$K$2:$K$200,MATCH($Y107,'Test catalog'!$A$2:$A$200,0))="","",INDEX('Test catalog'!$K$2:$K$200,MATCH($Y107,'Test catalog'!$A$2:$A$200,0))),"")</f>
        <v/>
      </c>
      <c r="N107" s="11">
        <f>IFERROR(IF(INDEX('Test catalog'!$L$2:$L$200,MATCH($Y107,'Test catalog'!$A$2:$A$200,0))="","",INDEX('Test catalog'!$L$2:$L$200,MATCH($Y107,'Test catalog'!$A$2:$A$200,0))),"")</f>
        <v/>
      </c>
      <c r="O107" s="11">
        <f>IFERROR(IF(INDEX('Test catalog'!$M$2:$M$200,MATCH($Y107,'Test catalog'!$A$2:$A$200,0))="","",INDEX('Test catalog'!$M$2:$M$200,MATCH($Y107,'Test catalog'!$A$2:$A$200,0))),"")</f>
        <v/>
      </c>
      <c r="P107" s="11">
        <f>IFERROR(IF(INDEX('Test catalog'!$N$2:$N$200,MATCH($Y107,'Test catalog'!$A$2:$A$200,0))="","",INDEX('Test catalog'!$N$2:$N$200,MATCH($Y107,'Test catalog'!$A$2:$A$200,0))),"")</f>
        <v/>
      </c>
      <c r="Q107" s="11">
        <f>IFERROR(IF(INDEX('Test catalog'!$O$2:$O$200,MATCH($Y107,'Test catalog'!$A$2:$A$200,0))="","",INDEX('Test catalog'!$O$2:$O$200,MATCH($Y107,'Test catalog'!$A$2:$A$200,0))),"")</f>
        <v/>
      </c>
      <c r="R107" s="11">
        <f>IFERROR(IF(INDEX('Test catalog'!$P$2:$P$200,MATCH($Y107,'Test catalog'!$A$2:$A$200,0))="","",INDEX('Test catalog'!$P$2:$P$200,MATCH($Y107,'Test catalog'!$A$2:$A$200,0))),"")</f>
        <v/>
      </c>
      <c r="S107" s="14" t="n"/>
      <c r="T107" s="5" t="n"/>
      <c r="U107" s="11">
        <f>IFERROR(IF(INDEX('Test catalog'!$Q$2:$Q$200,MATCH($Y107,'Test catalog'!$A$2:$A$200,0))="","",INDEX('Test catalog'!$Q$2:$Q$200,MATCH($Y107,'Test catalog'!$A$2:$A$200,0))),"")</f>
        <v/>
      </c>
      <c r="V107" s="5" t="n"/>
      <c r="W107" s="5" t="n"/>
      <c r="X107" s="5" t="n"/>
      <c r="Y107" s="5" t="inlineStr">
        <is>
          <t>ECOLI</t>
        </is>
      </c>
      <c r="Z107" s="11" t="inlineStr">
        <is>
          <t>USP-NF monograph &lt;2022&gt;</t>
        </is>
      </c>
    </row>
    <row r="108">
      <c r="A108" s="11" t="inlineStr">
        <is>
          <t>Milk Thistle Dry Extract 70:1</t>
        </is>
      </c>
      <c r="B108" s="11" t="inlineStr">
        <is>
          <t>RM</t>
        </is>
      </c>
      <c r="C108" s="11" t="inlineStr">
        <is>
          <t>Active</t>
        </is>
      </c>
      <c r="D108" s="11" t="inlineStr">
        <is>
          <t>Absence of Salmonella (&lt;62&gt; / &lt;2022&gt;)</t>
        </is>
      </c>
      <c r="E108" s="5" t="inlineStr">
        <is>
          <t>Y</t>
        </is>
      </c>
      <c r="F108" s="5" t="n"/>
      <c r="G108" s="11">
        <f>IFERROR(IF(INDEX('Test catalog'!$F$2:$F$200,MATCH($Y108,'Test catalog'!$A$2:$A$200,0))="","",INDEX('Test catalog'!$F$2:$F$200,MATCH($Y108,'Test catalog'!$A$2:$A$200,0))),"")</f>
        <v/>
      </c>
      <c r="H108" s="11">
        <f>IFERROR(IF(INDEX('Test catalog'!$G$2:$G$200,MATCH($Y108,'Test catalog'!$A$2:$A$200,0))="","",INDEX('Test catalog'!$G$2:$G$200,MATCH($Y108,'Test catalog'!$A$2:$A$200,0))),"")</f>
        <v/>
      </c>
      <c r="I108" s="11">
        <f>IFERROR(IF(INDEX('Test catalog'!$H$2:$H$200,MATCH($Y108,'Test catalog'!$A$2:$A$200,0))="","",INDEX('Test catalog'!$H$2:$H$200,MATCH($Y108,'Test catalog'!$A$2:$A$200,0))),"")</f>
        <v/>
      </c>
      <c r="J108" s="11">
        <f>IFERROR(IF(INDEX('Test catalog'!$I$2:$I$200,MATCH($Y108,'Test catalog'!$A$2:$A$200,0))="","",INDEX('Test catalog'!$I$2:$I$200,MATCH($Y108,'Test catalog'!$A$2:$A$200,0))),"")</f>
        <v/>
      </c>
      <c r="K108" s="13">
        <f>IF(I108="","",IF(OR(H108="",J108=""),I108,(H108+4*I108+J108)/6))</f>
        <v/>
      </c>
      <c r="L108" s="11">
        <f>IFERROR(IF(INDEX('Test catalog'!$J$2:$J$200,MATCH($Y108,'Test catalog'!$A$2:$A$200,0))="","",INDEX('Test catalog'!$J$2:$J$200,MATCH($Y108,'Test catalog'!$A$2:$A$200,0))),"")</f>
        <v/>
      </c>
      <c r="M108" s="11">
        <f>IFERROR(IF(INDEX('Test catalog'!$K$2:$K$200,MATCH($Y108,'Test catalog'!$A$2:$A$200,0))="","",INDEX('Test catalog'!$K$2:$K$200,MATCH($Y108,'Test catalog'!$A$2:$A$200,0))),"")</f>
        <v/>
      </c>
      <c r="N108" s="11">
        <f>IFERROR(IF(INDEX('Test catalog'!$L$2:$L$200,MATCH($Y108,'Test catalog'!$A$2:$A$200,0))="","",INDEX('Test catalog'!$L$2:$L$200,MATCH($Y108,'Test catalog'!$A$2:$A$200,0))),"")</f>
        <v/>
      </c>
      <c r="O108" s="11">
        <f>IFERROR(IF(INDEX('Test catalog'!$M$2:$M$200,MATCH($Y108,'Test catalog'!$A$2:$A$200,0))="","",INDEX('Test catalog'!$M$2:$M$200,MATCH($Y108,'Test catalog'!$A$2:$A$200,0))),"")</f>
        <v/>
      </c>
      <c r="P108" s="11">
        <f>IFERROR(IF(INDEX('Test catalog'!$N$2:$N$200,MATCH($Y108,'Test catalog'!$A$2:$A$200,0))="","",INDEX('Test catalog'!$N$2:$N$200,MATCH($Y108,'Test catalog'!$A$2:$A$200,0))),"")</f>
        <v/>
      </c>
      <c r="Q108" s="11">
        <f>IFERROR(IF(INDEX('Test catalog'!$O$2:$O$200,MATCH($Y108,'Test catalog'!$A$2:$A$200,0))="","",INDEX('Test catalog'!$O$2:$O$200,MATCH($Y108,'Test catalog'!$A$2:$A$200,0))),"")</f>
        <v/>
      </c>
      <c r="R108" s="11">
        <f>IFERROR(IF(INDEX('Test catalog'!$P$2:$P$200,MATCH($Y108,'Test catalog'!$A$2:$A$200,0))="","",INDEX('Test catalog'!$P$2:$P$200,MATCH($Y108,'Test catalog'!$A$2:$A$200,0))),"")</f>
        <v/>
      </c>
      <c r="S108" s="14" t="n"/>
      <c r="T108" s="5" t="n"/>
      <c r="U108" s="11">
        <f>IFERROR(IF(INDEX('Test catalog'!$Q$2:$Q$200,MATCH($Y108,'Test catalog'!$A$2:$A$200,0))="","",INDEX('Test catalog'!$Q$2:$Q$200,MATCH($Y108,'Test catalog'!$A$2:$A$200,0))),"")</f>
        <v/>
      </c>
      <c r="V108" s="5" t="n"/>
      <c r="W108" s="5" t="n"/>
      <c r="X108" s="5" t="n"/>
      <c r="Y108" s="5" t="inlineStr">
        <is>
          <t>SALM</t>
        </is>
      </c>
      <c r="Z108" s="11" t="inlineStr">
        <is>
          <t>USP-NF monograph &lt;2022&gt;</t>
        </is>
      </c>
    </row>
    <row r="109">
      <c r="A109" s="11" t="inlineStr">
        <is>
          <t>Naproxen</t>
        </is>
      </c>
      <c r="B109" s="11" t="inlineStr">
        <is>
          <t>RM</t>
        </is>
      </c>
      <c r="C109" s="11" t="inlineStr">
        <is>
          <t>Active</t>
        </is>
      </c>
      <c r="D109" s="11" t="inlineStr">
        <is>
          <t>Microbial enumeration - TAMC + TYMC (&lt;61&gt; / &lt;2021&gt;)</t>
        </is>
      </c>
      <c r="E109" s="5" t="inlineStr">
        <is>
          <t>N</t>
        </is>
      </c>
      <c r="F109" s="5" t="n"/>
      <c r="G109" s="11">
        <f>IFERROR(IF(INDEX('Test catalog'!$F$2:$F$200,MATCH($Y109,'Test catalog'!$A$2:$A$200,0))="","",INDEX('Test catalog'!$F$2:$F$200,MATCH($Y109,'Test catalog'!$A$2:$A$200,0))),"")</f>
        <v/>
      </c>
      <c r="H109" s="11">
        <f>IFERROR(IF(INDEX('Test catalog'!$G$2:$G$200,MATCH($Y109,'Test catalog'!$A$2:$A$200,0))="","",INDEX('Test catalog'!$G$2:$G$200,MATCH($Y109,'Test catalog'!$A$2:$A$200,0))),"")</f>
        <v/>
      </c>
      <c r="I109" s="11">
        <f>IFERROR(IF(INDEX('Test catalog'!$H$2:$H$200,MATCH($Y109,'Test catalog'!$A$2:$A$200,0))="","",INDEX('Test catalog'!$H$2:$H$200,MATCH($Y109,'Test catalog'!$A$2:$A$200,0))),"")</f>
        <v/>
      </c>
      <c r="J109" s="11">
        <f>IFERROR(IF(INDEX('Test catalog'!$I$2:$I$200,MATCH($Y109,'Test catalog'!$A$2:$A$200,0))="","",INDEX('Test catalog'!$I$2:$I$200,MATCH($Y109,'Test catalog'!$A$2:$A$200,0))),"")</f>
        <v/>
      </c>
      <c r="K109" s="13">
        <f>IF(I109="","",IF(OR(H109="",J109=""),I109,(H109+4*I109+J109)/6))</f>
        <v/>
      </c>
      <c r="L109" s="11">
        <f>IFERROR(IF(INDEX('Test catalog'!$J$2:$J$200,MATCH($Y109,'Test catalog'!$A$2:$A$200,0))="","",INDEX('Test catalog'!$J$2:$J$200,MATCH($Y109,'Test catalog'!$A$2:$A$200,0))),"")</f>
        <v/>
      </c>
      <c r="M109" s="11">
        <f>IFERROR(IF(INDEX('Test catalog'!$K$2:$K$200,MATCH($Y109,'Test catalog'!$A$2:$A$200,0))="","",INDEX('Test catalog'!$K$2:$K$200,MATCH($Y109,'Test catalog'!$A$2:$A$200,0))),"")</f>
        <v/>
      </c>
      <c r="N109" s="11">
        <f>IFERROR(IF(INDEX('Test catalog'!$L$2:$L$200,MATCH($Y109,'Test catalog'!$A$2:$A$200,0))="","",INDEX('Test catalog'!$L$2:$L$200,MATCH($Y109,'Test catalog'!$A$2:$A$200,0))),"")</f>
        <v/>
      </c>
      <c r="O109" s="11">
        <f>IFERROR(IF(INDEX('Test catalog'!$M$2:$M$200,MATCH($Y109,'Test catalog'!$A$2:$A$200,0))="","",INDEX('Test catalog'!$M$2:$M$200,MATCH($Y109,'Test catalog'!$A$2:$A$200,0))),"")</f>
        <v/>
      </c>
      <c r="P109" s="11">
        <f>IFERROR(IF(INDEX('Test catalog'!$N$2:$N$200,MATCH($Y109,'Test catalog'!$A$2:$A$200,0))="","",INDEX('Test catalog'!$N$2:$N$200,MATCH($Y109,'Test catalog'!$A$2:$A$200,0))),"")</f>
        <v/>
      </c>
      <c r="Q109" s="11">
        <f>IFERROR(IF(INDEX('Test catalog'!$O$2:$O$200,MATCH($Y109,'Test catalog'!$A$2:$A$200,0))="","",INDEX('Test catalog'!$O$2:$O$200,MATCH($Y109,'Test catalog'!$A$2:$A$200,0))),"")</f>
        <v/>
      </c>
      <c r="R109" s="11">
        <f>IFERROR(IF(INDEX('Test catalog'!$P$2:$P$200,MATCH($Y109,'Test catalog'!$A$2:$A$200,0))="","",INDEX('Test catalog'!$P$2:$P$200,MATCH($Y109,'Test catalog'!$A$2:$A$200,0))),"")</f>
        <v/>
      </c>
      <c r="S109" s="14" t="n"/>
      <c r="T109" s="5" t="n"/>
      <c r="U109" s="11">
        <f>IFERROR(IF(INDEX('Test catalog'!$Q$2:$Q$200,MATCH($Y109,'Test catalog'!$A$2:$A$200,0))="","",INDEX('Test catalog'!$Q$2:$Q$200,MATCH($Y109,'Test catalog'!$A$2:$A$200,0))),"")</f>
        <v/>
      </c>
      <c r="V109" s="5" t="n"/>
      <c r="W109" s="5" t="n"/>
      <c r="X109" s="5" t="n"/>
      <c r="Y109" s="5" t="inlineStr">
        <is>
          <t>ENUM</t>
        </is>
      </c>
      <c r="Z109" s="11" t="inlineStr">
        <is>
          <t>No micro test in USP-NF - set Y if your specification has one</t>
        </is>
      </c>
    </row>
    <row r="110">
      <c r="A110" s="11" t="inlineStr">
        <is>
          <t>Nicotinamide (Vitamin B3)</t>
        </is>
      </c>
      <c r="B110" s="11" t="inlineStr">
        <is>
          <t>RM</t>
        </is>
      </c>
      <c r="C110" s="11" t="inlineStr">
        <is>
          <t>Active</t>
        </is>
      </c>
      <c r="D110" s="11" t="inlineStr">
        <is>
          <t>Microbial enumeration - TAMC + TYMC (&lt;61&gt; / &lt;2021&gt;)</t>
        </is>
      </c>
      <c r="E110" s="5" t="inlineStr">
        <is>
          <t>N</t>
        </is>
      </c>
      <c r="F110" s="5" t="n"/>
      <c r="G110" s="11">
        <f>IFERROR(IF(INDEX('Test catalog'!$F$2:$F$200,MATCH($Y110,'Test catalog'!$A$2:$A$200,0))="","",INDEX('Test catalog'!$F$2:$F$200,MATCH($Y110,'Test catalog'!$A$2:$A$200,0))),"")</f>
        <v/>
      </c>
      <c r="H110" s="11">
        <f>IFERROR(IF(INDEX('Test catalog'!$G$2:$G$200,MATCH($Y110,'Test catalog'!$A$2:$A$200,0))="","",INDEX('Test catalog'!$G$2:$G$200,MATCH($Y110,'Test catalog'!$A$2:$A$200,0))),"")</f>
        <v/>
      </c>
      <c r="I110" s="11">
        <f>IFERROR(IF(INDEX('Test catalog'!$H$2:$H$200,MATCH($Y110,'Test catalog'!$A$2:$A$200,0))="","",INDEX('Test catalog'!$H$2:$H$200,MATCH($Y110,'Test catalog'!$A$2:$A$200,0))),"")</f>
        <v/>
      </c>
      <c r="J110" s="11">
        <f>IFERROR(IF(INDEX('Test catalog'!$I$2:$I$200,MATCH($Y110,'Test catalog'!$A$2:$A$200,0))="","",INDEX('Test catalog'!$I$2:$I$200,MATCH($Y110,'Test catalog'!$A$2:$A$200,0))),"")</f>
        <v/>
      </c>
      <c r="K110" s="13">
        <f>IF(I110="","",IF(OR(H110="",J110=""),I110,(H110+4*I110+J110)/6))</f>
        <v/>
      </c>
      <c r="L110" s="11">
        <f>IFERROR(IF(INDEX('Test catalog'!$J$2:$J$200,MATCH($Y110,'Test catalog'!$A$2:$A$200,0))="","",INDEX('Test catalog'!$J$2:$J$200,MATCH($Y110,'Test catalog'!$A$2:$A$200,0))),"")</f>
        <v/>
      </c>
      <c r="M110" s="11">
        <f>IFERROR(IF(INDEX('Test catalog'!$K$2:$K$200,MATCH($Y110,'Test catalog'!$A$2:$A$200,0))="","",INDEX('Test catalog'!$K$2:$K$200,MATCH($Y110,'Test catalog'!$A$2:$A$200,0))),"")</f>
        <v/>
      </c>
      <c r="N110" s="11">
        <f>IFERROR(IF(INDEX('Test catalog'!$L$2:$L$200,MATCH($Y110,'Test catalog'!$A$2:$A$200,0))="","",INDEX('Test catalog'!$L$2:$L$200,MATCH($Y110,'Test catalog'!$A$2:$A$200,0))),"")</f>
        <v/>
      </c>
      <c r="O110" s="11">
        <f>IFERROR(IF(INDEX('Test catalog'!$M$2:$M$200,MATCH($Y110,'Test catalog'!$A$2:$A$200,0))="","",INDEX('Test catalog'!$M$2:$M$200,MATCH($Y110,'Test catalog'!$A$2:$A$200,0))),"")</f>
        <v/>
      </c>
      <c r="P110" s="11">
        <f>IFERROR(IF(INDEX('Test catalog'!$N$2:$N$200,MATCH($Y110,'Test catalog'!$A$2:$A$200,0))="","",INDEX('Test catalog'!$N$2:$N$200,MATCH($Y110,'Test catalog'!$A$2:$A$200,0))),"")</f>
        <v/>
      </c>
      <c r="Q110" s="11">
        <f>IFERROR(IF(INDEX('Test catalog'!$O$2:$O$200,MATCH($Y110,'Test catalog'!$A$2:$A$200,0))="","",INDEX('Test catalog'!$O$2:$O$200,MATCH($Y110,'Test catalog'!$A$2:$A$200,0))),"")</f>
        <v/>
      </c>
      <c r="R110" s="11">
        <f>IFERROR(IF(INDEX('Test catalog'!$P$2:$P$200,MATCH($Y110,'Test catalog'!$A$2:$A$200,0))="","",INDEX('Test catalog'!$P$2:$P$200,MATCH($Y110,'Test catalog'!$A$2:$A$200,0))),"")</f>
        <v/>
      </c>
      <c r="S110" s="14" t="n"/>
      <c r="T110" s="5" t="n"/>
      <c r="U110" s="11">
        <f>IFERROR(IF(INDEX('Test catalog'!$Q$2:$Q$200,MATCH($Y110,'Test catalog'!$A$2:$A$200,0))="","",INDEX('Test catalog'!$Q$2:$Q$200,MATCH($Y110,'Test catalog'!$A$2:$A$200,0))),"")</f>
        <v/>
      </c>
      <c r="V110" s="5" t="n"/>
      <c r="W110" s="5" t="n"/>
      <c r="X110" s="5" t="n"/>
      <c r="Y110" s="5" t="inlineStr">
        <is>
          <t>ENUM</t>
        </is>
      </c>
      <c r="Z110" s="11" t="inlineStr">
        <is>
          <t>No micro test in USP-NF - set Y if your specification has one</t>
        </is>
      </c>
    </row>
    <row r="111">
      <c r="A111" s="11" t="inlineStr">
        <is>
          <t>Nicotinamide Mononucleotide (NMN) Granule</t>
        </is>
      </c>
      <c r="B111" s="11" t="inlineStr">
        <is>
          <t>RM</t>
        </is>
      </c>
      <c r="C111" s="11" t="inlineStr">
        <is>
          <t>Active</t>
        </is>
      </c>
      <c r="D111" s="11" t="inlineStr">
        <is>
          <t>Microbial enumeration - TAMC + TYMC (&lt;61&gt; / &lt;2021&gt;)</t>
        </is>
      </c>
      <c r="E111" s="5" t="inlineStr">
        <is>
          <t>N</t>
        </is>
      </c>
      <c r="F111" s="5" t="n"/>
      <c r="G111" s="11">
        <f>IFERROR(IF(INDEX('Test catalog'!$F$2:$F$200,MATCH($Y111,'Test catalog'!$A$2:$A$200,0))="","",INDEX('Test catalog'!$F$2:$F$200,MATCH($Y111,'Test catalog'!$A$2:$A$200,0))),"")</f>
        <v/>
      </c>
      <c r="H111" s="11">
        <f>IFERROR(IF(INDEX('Test catalog'!$G$2:$G$200,MATCH($Y111,'Test catalog'!$A$2:$A$200,0))="","",INDEX('Test catalog'!$G$2:$G$200,MATCH($Y111,'Test catalog'!$A$2:$A$200,0))),"")</f>
        <v/>
      </c>
      <c r="I111" s="11">
        <f>IFERROR(IF(INDEX('Test catalog'!$H$2:$H$200,MATCH($Y111,'Test catalog'!$A$2:$A$200,0))="","",INDEX('Test catalog'!$H$2:$H$200,MATCH($Y111,'Test catalog'!$A$2:$A$200,0))),"")</f>
        <v/>
      </c>
      <c r="J111" s="11">
        <f>IFERROR(IF(INDEX('Test catalog'!$I$2:$I$200,MATCH($Y111,'Test catalog'!$A$2:$A$200,0))="","",INDEX('Test catalog'!$I$2:$I$200,MATCH($Y111,'Test catalog'!$A$2:$A$200,0))),"")</f>
        <v/>
      </c>
      <c r="K111" s="13">
        <f>IF(I111="","",IF(OR(H111="",J111=""),I111,(H111+4*I111+J111)/6))</f>
        <v/>
      </c>
      <c r="L111" s="11">
        <f>IFERROR(IF(INDEX('Test catalog'!$J$2:$J$200,MATCH($Y111,'Test catalog'!$A$2:$A$200,0))="","",INDEX('Test catalog'!$J$2:$J$200,MATCH($Y111,'Test catalog'!$A$2:$A$200,0))),"")</f>
        <v/>
      </c>
      <c r="M111" s="11">
        <f>IFERROR(IF(INDEX('Test catalog'!$K$2:$K$200,MATCH($Y111,'Test catalog'!$A$2:$A$200,0))="","",INDEX('Test catalog'!$K$2:$K$200,MATCH($Y111,'Test catalog'!$A$2:$A$200,0))),"")</f>
        <v/>
      </c>
      <c r="N111" s="11">
        <f>IFERROR(IF(INDEX('Test catalog'!$L$2:$L$200,MATCH($Y111,'Test catalog'!$A$2:$A$200,0))="","",INDEX('Test catalog'!$L$2:$L$200,MATCH($Y111,'Test catalog'!$A$2:$A$200,0))),"")</f>
        <v/>
      </c>
      <c r="O111" s="11">
        <f>IFERROR(IF(INDEX('Test catalog'!$M$2:$M$200,MATCH($Y111,'Test catalog'!$A$2:$A$200,0))="","",INDEX('Test catalog'!$M$2:$M$200,MATCH($Y111,'Test catalog'!$A$2:$A$200,0))),"")</f>
        <v/>
      </c>
      <c r="P111" s="11">
        <f>IFERROR(IF(INDEX('Test catalog'!$N$2:$N$200,MATCH($Y111,'Test catalog'!$A$2:$A$200,0))="","",INDEX('Test catalog'!$N$2:$N$200,MATCH($Y111,'Test catalog'!$A$2:$A$200,0))),"")</f>
        <v/>
      </c>
      <c r="Q111" s="11">
        <f>IFERROR(IF(INDEX('Test catalog'!$O$2:$O$200,MATCH($Y111,'Test catalog'!$A$2:$A$200,0))="","",INDEX('Test catalog'!$O$2:$O$200,MATCH($Y111,'Test catalog'!$A$2:$A$200,0))),"")</f>
        <v/>
      </c>
      <c r="R111" s="11">
        <f>IFERROR(IF(INDEX('Test catalog'!$P$2:$P$200,MATCH($Y111,'Test catalog'!$A$2:$A$200,0))="","",INDEX('Test catalog'!$P$2:$P$200,MATCH($Y111,'Test catalog'!$A$2:$A$200,0))),"")</f>
        <v/>
      </c>
      <c r="S111" s="14" t="n"/>
      <c r="T111" s="5" t="n"/>
      <c r="U111" s="11">
        <f>IFERROR(IF(INDEX('Test catalog'!$Q$2:$Q$200,MATCH($Y111,'Test catalog'!$A$2:$A$200,0))="","",INDEX('Test catalog'!$Q$2:$Q$200,MATCH($Y111,'Test catalog'!$A$2:$A$200,0))),"")</f>
        <v/>
      </c>
      <c r="V111" s="5" t="n"/>
      <c r="W111" s="5" t="n"/>
      <c r="X111" s="5" t="n"/>
      <c r="Y111" s="5" t="inlineStr">
        <is>
          <t>ENUM</t>
        </is>
      </c>
      <c r="Z111" s="11" t="inlineStr">
        <is>
          <t>No micro test in USP-NF - set Y if your specification has one</t>
        </is>
      </c>
    </row>
    <row r="112">
      <c r="A112" s="11" t="inlineStr">
        <is>
          <t>Omega 3 Powder (from Flax Seed Dry Extract)</t>
        </is>
      </c>
      <c r="B112" s="11" t="inlineStr">
        <is>
          <t>RM</t>
        </is>
      </c>
      <c r="C112" s="11" t="inlineStr">
        <is>
          <t>Active</t>
        </is>
      </c>
      <c r="D112" s="11" t="inlineStr">
        <is>
          <t>Microbial enumeration - TAMC + TYMC (&lt;61&gt; / &lt;2021&gt;)</t>
        </is>
      </c>
      <c r="E112" s="5" t="inlineStr">
        <is>
          <t>Y</t>
        </is>
      </c>
      <c r="F112" s="5" t="n"/>
      <c r="G112" s="11">
        <f>IFERROR(IF(INDEX('Test catalog'!$F$2:$F$200,MATCH($Y112,'Test catalog'!$A$2:$A$200,0))="","",INDEX('Test catalog'!$F$2:$F$200,MATCH($Y112,'Test catalog'!$A$2:$A$200,0))),"")</f>
        <v/>
      </c>
      <c r="H112" s="11">
        <f>IFERROR(IF(INDEX('Test catalog'!$G$2:$G$200,MATCH($Y112,'Test catalog'!$A$2:$A$200,0))="","",INDEX('Test catalog'!$G$2:$G$200,MATCH($Y112,'Test catalog'!$A$2:$A$200,0))),"")</f>
        <v/>
      </c>
      <c r="I112" s="11">
        <f>IFERROR(IF(INDEX('Test catalog'!$H$2:$H$200,MATCH($Y112,'Test catalog'!$A$2:$A$200,0))="","",INDEX('Test catalog'!$H$2:$H$200,MATCH($Y112,'Test catalog'!$A$2:$A$200,0))),"")</f>
        <v/>
      </c>
      <c r="J112" s="11">
        <f>IFERROR(IF(INDEX('Test catalog'!$I$2:$I$200,MATCH($Y112,'Test catalog'!$A$2:$A$200,0))="","",INDEX('Test catalog'!$I$2:$I$200,MATCH($Y112,'Test catalog'!$A$2:$A$200,0))),"")</f>
        <v/>
      </c>
      <c r="K112" s="13">
        <f>IF(I112="","",IF(OR(H112="",J112=""),I112,(H112+4*I112+J112)/6))</f>
        <v/>
      </c>
      <c r="L112" s="11">
        <f>IFERROR(IF(INDEX('Test catalog'!$J$2:$J$200,MATCH($Y112,'Test catalog'!$A$2:$A$200,0))="","",INDEX('Test catalog'!$J$2:$J$200,MATCH($Y112,'Test catalog'!$A$2:$A$200,0))),"")</f>
        <v/>
      </c>
      <c r="M112" s="11">
        <f>IFERROR(IF(INDEX('Test catalog'!$K$2:$K$200,MATCH($Y112,'Test catalog'!$A$2:$A$200,0))="","",INDEX('Test catalog'!$K$2:$K$200,MATCH($Y112,'Test catalog'!$A$2:$A$200,0))),"")</f>
        <v/>
      </c>
      <c r="N112" s="11">
        <f>IFERROR(IF(INDEX('Test catalog'!$L$2:$L$200,MATCH($Y112,'Test catalog'!$A$2:$A$200,0))="","",INDEX('Test catalog'!$L$2:$L$200,MATCH($Y112,'Test catalog'!$A$2:$A$200,0))),"")</f>
        <v/>
      </c>
      <c r="O112" s="11">
        <f>IFERROR(IF(INDEX('Test catalog'!$M$2:$M$200,MATCH($Y112,'Test catalog'!$A$2:$A$200,0))="","",INDEX('Test catalog'!$M$2:$M$200,MATCH($Y112,'Test catalog'!$A$2:$A$200,0))),"")</f>
        <v/>
      </c>
      <c r="P112" s="11">
        <f>IFERROR(IF(INDEX('Test catalog'!$N$2:$N$200,MATCH($Y112,'Test catalog'!$A$2:$A$200,0))="","",INDEX('Test catalog'!$N$2:$N$200,MATCH($Y112,'Test catalog'!$A$2:$A$200,0))),"")</f>
        <v/>
      </c>
      <c r="Q112" s="11">
        <f>IFERROR(IF(INDEX('Test catalog'!$O$2:$O$200,MATCH($Y112,'Test catalog'!$A$2:$A$200,0))="","",INDEX('Test catalog'!$O$2:$O$200,MATCH($Y112,'Test catalog'!$A$2:$A$200,0))),"")</f>
        <v/>
      </c>
      <c r="R112" s="11">
        <f>IFERROR(IF(INDEX('Test catalog'!$P$2:$P$200,MATCH($Y112,'Test catalog'!$A$2:$A$200,0))="","",INDEX('Test catalog'!$P$2:$P$200,MATCH($Y112,'Test catalog'!$A$2:$A$200,0))),"")</f>
        <v/>
      </c>
      <c r="S112" s="14" t="n"/>
      <c r="T112" s="5" t="n"/>
      <c r="U112" s="11">
        <f>IFERROR(IF(INDEX('Test catalog'!$Q$2:$Q$200,MATCH($Y112,'Test catalog'!$A$2:$A$200,0))="","",INDEX('Test catalog'!$Q$2:$Q$200,MATCH($Y112,'Test catalog'!$A$2:$A$200,0))),"")</f>
        <v/>
      </c>
      <c r="V112" s="5" t="n"/>
      <c r="W112" s="5" t="n"/>
      <c r="X112" s="5" t="n"/>
      <c r="Y112" s="5" t="inlineStr">
        <is>
          <t>ENUM</t>
        </is>
      </c>
      <c r="Z112" s="11" t="inlineStr">
        <is>
          <t>Natural origin, no USP-NF micro test - confirm (USP &lt;2023&gt;)</t>
        </is>
      </c>
    </row>
    <row r="113">
      <c r="A113" s="11" t="inlineStr">
        <is>
          <t>Omega 3 Powder (from Flax Seed Dry Extract)</t>
        </is>
      </c>
      <c r="B113" s="11" t="inlineStr">
        <is>
          <t>RM</t>
        </is>
      </c>
      <c r="C113" s="11" t="inlineStr">
        <is>
          <t>Active</t>
        </is>
      </c>
      <c r="D113" s="11" t="inlineStr">
        <is>
          <t>Absence of Escherichia coli (&lt;62&gt; / &lt;2022&gt;)</t>
        </is>
      </c>
      <c r="E113" s="5" t="inlineStr">
        <is>
          <t>Y</t>
        </is>
      </c>
      <c r="F113" s="5" t="n"/>
      <c r="G113" s="11">
        <f>IFERROR(IF(INDEX('Test catalog'!$F$2:$F$200,MATCH($Y113,'Test catalog'!$A$2:$A$200,0))="","",INDEX('Test catalog'!$F$2:$F$200,MATCH($Y113,'Test catalog'!$A$2:$A$200,0))),"")</f>
        <v/>
      </c>
      <c r="H113" s="11">
        <f>IFERROR(IF(INDEX('Test catalog'!$G$2:$G$200,MATCH($Y113,'Test catalog'!$A$2:$A$200,0))="","",INDEX('Test catalog'!$G$2:$G$200,MATCH($Y113,'Test catalog'!$A$2:$A$200,0))),"")</f>
        <v/>
      </c>
      <c r="I113" s="11">
        <f>IFERROR(IF(INDEX('Test catalog'!$H$2:$H$200,MATCH($Y113,'Test catalog'!$A$2:$A$200,0))="","",INDEX('Test catalog'!$H$2:$H$200,MATCH($Y113,'Test catalog'!$A$2:$A$200,0))),"")</f>
        <v/>
      </c>
      <c r="J113" s="11">
        <f>IFERROR(IF(INDEX('Test catalog'!$I$2:$I$200,MATCH($Y113,'Test catalog'!$A$2:$A$200,0))="","",INDEX('Test catalog'!$I$2:$I$200,MATCH($Y113,'Test catalog'!$A$2:$A$200,0))),"")</f>
        <v/>
      </c>
      <c r="K113" s="13">
        <f>IF(I113="","",IF(OR(H113="",J113=""),I113,(H113+4*I113+J113)/6))</f>
        <v/>
      </c>
      <c r="L113" s="11">
        <f>IFERROR(IF(INDEX('Test catalog'!$J$2:$J$200,MATCH($Y113,'Test catalog'!$A$2:$A$200,0))="","",INDEX('Test catalog'!$J$2:$J$200,MATCH($Y113,'Test catalog'!$A$2:$A$200,0))),"")</f>
        <v/>
      </c>
      <c r="M113" s="11">
        <f>IFERROR(IF(INDEX('Test catalog'!$K$2:$K$200,MATCH($Y113,'Test catalog'!$A$2:$A$200,0))="","",INDEX('Test catalog'!$K$2:$K$200,MATCH($Y113,'Test catalog'!$A$2:$A$200,0))),"")</f>
        <v/>
      </c>
      <c r="N113" s="11">
        <f>IFERROR(IF(INDEX('Test catalog'!$L$2:$L$200,MATCH($Y113,'Test catalog'!$A$2:$A$200,0))="","",INDEX('Test catalog'!$L$2:$L$200,MATCH($Y113,'Test catalog'!$A$2:$A$200,0))),"")</f>
        <v/>
      </c>
      <c r="O113" s="11">
        <f>IFERROR(IF(INDEX('Test catalog'!$M$2:$M$200,MATCH($Y113,'Test catalog'!$A$2:$A$200,0))="","",INDEX('Test catalog'!$M$2:$M$200,MATCH($Y113,'Test catalog'!$A$2:$A$200,0))),"")</f>
        <v/>
      </c>
      <c r="P113" s="11">
        <f>IFERROR(IF(INDEX('Test catalog'!$N$2:$N$200,MATCH($Y113,'Test catalog'!$A$2:$A$200,0))="","",INDEX('Test catalog'!$N$2:$N$200,MATCH($Y113,'Test catalog'!$A$2:$A$200,0))),"")</f>
        <v/>
      </c>
      <c r="Q113" s="11">
        <f>IFERROR(IF(INDEX('Test catalog'!$O$2:$O$200,MATCH($Y113,'Test catalog'!$A$2:$A$200,0))="","",INDEX('Test catalog'!$O$2:$O$200,MATCH($Y113,'Test catalog'!$A$2:$A$200,0))),"")</f>
        <v/>
      </c>
      <c r="R113" s="11">
        <f>IFERROR(IF(INDEX('Test catalog'!$P$2:$P$200,MATCH($Y113,'Test catalog'!$A$2:$A$200,0))="","",INDEX('Test catalog'!$P$2:$P$200,MATCH($Y113,'Test catalog'!$A$2:$A$200,0))),"")</f>
        <v/>
      </c>
      <c r="S113" s="14" t="n"/>
      <c r="T113" s="5" t="n"/>
      <c r="U113" s="11">
        <f>IFERROR(IF(INDEX('Test catalog'!$Q$2:$Q$200,MATCH($Y113,'Test catalog'!$A$2:$A$200,0))="","",INDEX('Test catalog'!$Q$2:$Q$200,MATCH($Y113,'Test catalog'!$A$2:$A$200,0))),"")</f>
        <v/>
      </c>
      <c r="V113" s="5" t="n"/>
      <c r="W113" s="5" t="n"/>
      <c r="X113" s="5" t="n"/>
      <c r="Y113" s="5" t="inlineStr">
        <is>
          <t>ECOLI</t>
        </is>
      </c>
      <c r="Z113" s="11" t="inlineStr">
        <is>
          <t>Natural origin, no USP-NF micro test - confirm (USP &lt;2023&gt;)</t>
        </is>
      </c>
    </row>
    <row r="114">
      <c r="A114" s="11" t="inlineStr">
        <is>
          <t>Omega 3 Powder (from Flax Seed Dry Extract)</t>
        </is>
      </c>
      <c r="B114" s="11" t="inlineStr">
        <is>
          <t>RM</t>
        </is>
      </c>
      <c r="C114" s="11" t="inlineStr">
        <is>
          <t>Active</t>
        </is>
      </c>
      <c r="D114" s="11" t="inlineStr">
        <is>
          <t>Absence of Salmonella (&lt;62&gt; / &lt;2022&gt;)</t>
        </is>
      </c>
      <c r="E114" s="5" t="inlineStr">
        <is>
          <t>Y</t>
        </is>
      </c>
      <c r="F114" s="5" t="n"/>
      <c r="G114" s="11">
        <f>IFERROR(IF(INDEX('Test catalog'!$F$2:$F$200,MATCH($Y114,'Test catalog'!$A$2:$A$200,0))="","",INDEX('Test catalog'!$F$2:$F$200,MATCH($Y114,'Test catalog'!$A$2:$A$200,0))),"")</f>
        <v/>
      </c>
      <c r="H114" s="11">
        <f>IFERROR(IF(INDEX('Test catalog'!$G$2:$G$200,MATCH($Y114,'Test catalog'!$A$2:$A$200,0))="","",INDEX('Test catalog'!$G$2:$G$200,MATCH($Y114,'Test catalog'!$A$2:$A$200,0))),"")</f>
        <v/>
      </c>
      <c r="I114" s="11">
        <f>IFERROR(IF(INDEX('Test catalog'!$H$2:$H$200,MATCH($Y114,'Test catalog'!$A$2:$A$200,0))="","",INDEX('Test catalog'!$H$2:$H$200,MATCH($Y114,'Test catalog'!$A$2:$A$200,0))),"")</f>
        <v/>
      </c>
      <c r="J114" s="11">
        <f>IFERROR(IF(INDEX('Test catalog'!$I$2:$I$200,MATCH($Y114,'Test catalog'!$A$2:$A$200,0))="","",INDEX('Test catalog'!$I$2:$I$200,MATCH($Y114,'Test catalog'!$A$2:$A$200,0))),"")</f>
        <v/>
      </c>
      <c r="K114" s="13">
        <f>IF(I114="","",IF(OR(H114="",J114=""),I114,(H114+4*I114+J114)/6))</f>
        <v/>
      </c>
      <c r="L114" s="11">
        <f>IFERROR(IF(INDEX('Test catalog'!$J$2:$J$200,MATCH($Y114,'Test catalog'!$A$2:$A$200,0))="","",INDEX('Test catalog'!$J$2:$J$200,MATCH($Y114,'Test catalog'!$A$2:$A$200,0))),"")</f>
        <v/>
      </c>
      <c r="M114" s="11">
        <f>IFERROR(IF(INDEX('Test catalog'!$K$2:$K$200,MATCH($Y114,'Test catalog'!$A$2:$A$200,0))="","",INDEX('Test catalog'!$K$2:$K$200,MATCH($Y114,'Test catalog'!$A$2:$A$200,0))),"")</f>
        <v/>
      </c>
      <c r="N114" s="11">
        <f>IFERROR(IF(INDEX('Test catalog'!$L$2:$L$200,MATCH($Y114,'Test catalog'!$A$2:$A$200,0))="","",INDEX('Test catalog'!$L$2:$L$200,MATCH($Y114,'Test catalog'!$A$2:$A$200,0))),"")</f>
        <v/>
      </c>
      <c r="O114" s="11">
        <f>IFERROR(IF(INDEX('Test catalog'!$M$2:$M$200,MATCH($Y114,'Test catalog'!$A$2:$A$200,0))="","",INDEX('Test catalog'!$M$2:$M$200,MATCH($Y114,'Test catalog'!$A$2:$A$200,0))),"")</f>
        <v/>
      </c>
      <c r="P114" s="11">
        <f>IFERROR(IF(INDEX('Test catalog'!$N$2:$N$200,MATCH($Y114,'Test catalog'!$A$2:$A$200,0))="","",INDEX('Test catalog'!$N$2:$N$200,MATCH($Y114,'Test catalog'!$A$2:$A$200,0))),"")</f>
        <v/>
      </c>
      <c r="Q114" s="11">
        <f>IFERROR(IF(INDEX('Test catalog'!$O$2:$O$200,MATCH($Y114,'Test catalog'!$A$2:$A$200,0))="","",INDEX('Test catalog'!$O$2:$O$200,MATCH($Y114,'Test catalog'!$A$2:$A$200,0))),"")</f>
        <v/>
      </c>
      <c r="R114" s="11">
        <f>IFERROR(IF(INDEX('Test catalog'!$P$2:$P$200,MATCH($Y114,'Test catalog'!$A$2:$A$200,0))="","",INDEX('Test catalog'!$P$2:$P$200,MATCH($Y114,'Test catalog'!$A$2:$A$200,0))),"")</f>
        <v/>
      </c>
      <c r="S114" s="14" t="n"/>
      <c r="T114" s="5" t="n"/>
      <c r="U114" s="11">
        <f>IFERROR(IF(INDEX('Test catalog'!$Q$2:$Q$200,MATCH($Y114,'Test catalog'!$A$2:$A$200,0))="","",INDEX('Test catalog'!$Q$2:$Q$200,MATCH($Y114,'Test catalog'!$A$2:$A$200,0))),"")</f>
        <v/>
      </c>
      <c r="V114" s="5" t="n"/>
      <c r="W114" s="5" t="n"/>
      <c r="X114" s="5" t="n"/>
      <c r="Y114" s="5" t="inlineStr">
        <is>
          <t>SALM</t>
        </is>
      </c>
      <c r="Z114" s="11" t="inlineStr">
        <is>
          <t>Natural origin, no USP-NF micro test - confirm (USP &lt;2023&gt;)</t>
        </is>
      </c>
    </row>
    <row r="115">
      <c r="A115" s="11" t="inlineStr">
        <is>
          <t>Ozanimod Hydrochloride</t>
        </is>
      </c>
      <c r="B115" s="11" t="inlineStr">
        <is>
          <t>RM</t>
        </is>
      </c>
      <c r="C115" s="11" t="inlineStr">
        <is>
          <t>Active</t>
        </is>
      </c>
      <c r="D115" s="11" t="inlineStr">
        <is>
          <t>Microbial enumeration - TAMC + TYMC (&lt;61&gt; / &lt;2021&gt;)</t>
        </is>
      </c>
      <c r="E115" s="5" t="inlineStr">
        <is>
          <t>N</t>
        </is>
      </c>
      <c r="F115" s="5" t="n"/>
      <c r="G115" s="11">
        <f>IFERROR(IF(INDEX('Test catalog'!$F$2:$F$200,MATCH($Y115,'Test catalog'!$A$2:$A$200,0))="","",INDEX('Test catalog'!$F$2:$F$200,MATCH($Y115,'Test catalog'!$A$2:$A$200,0))),"")</f>
        <v/>
      </c>
      <c r="H115" s="11">
        <f>IFERROR(IF(INDEX('Test catalog'!$G$2:$G$200,MATCH($Y115,'Test catalog'!$A$2:$A$200,0))="","",INDEX('Test catalog'!$G$2:$G$200,MATCH($Y115,'Test catalog'!$A$2:$A$200,0))),"")</f>
        <v/>
      </c>
      <c r="I115" s="11">
        <f>IFERROR(IF(INDEX('Test catalog'!$H$2:$H$200,MATCH($Y115,'Test catalog'!$A$2:$A$200,0))="","",INDEX('Test catalog'!$H$2:$H$200,MATCH($Y115,'Test catalog'!$A$2:$A$200,0))),"")</f>
        <v/>
      </c>
      <c r="J115" s="11">
        <f>IFERROR(IF(INDEX('Test catalog'!$I$2:$I$200,MATCH($Y115,'Test catalog'!$A$2:$A$200,0))="","",INDEX('Test catalog'!$I$2:$I$200,MATCH($Y115,'Test catalog'!$A$2:$A$200,0))),"")</f>
        <v/>
      </c>
      <c r="K115" s="13">
        <f>IF(I115="","",IF(OR(H115="",J115=""),I115,(H115+4*I115+J115)/6))</f>
        <v/>
      </c>
      <c r="L115" s="11">
        <f>IFERROR(IF(INDEX('Test catalog'!$J$2:$J$200,MATCH($Y115,'Test catalog'!$A$2:$A$200,0))="","",INDEX('Test catalog'!$J$2:$J$200,MATCH($Y115,'Test catalog'!$A$2:$A$200,0))),"")</f>
        <v/>
      </c>
      <c r="M115" s="11">
        <f>IFERROR(IF(INDEX('Test catalog'!$K$2:$K$200,MATCH($Y115,'Test catalog'!$A$2:$A$200,0))="","",INDEX('Test catalog'!$K$2:$K$200,MATCH($Y115,'Test catalog'!$A$2:$A$200,0))),"")</f>
        <v/>
      </c>
      <c r="N115" s="11">
        <f>IFERROR(IF(INDEX('Test catalog'!$L$2:$L$200,MATCH($Y115,'Test catalog'!$A$2:$A$200,0))="","",INDEX('Test catalog'!$L$2:$L$200,MATCH($Y115,'Test catalog'!$A$2:$A$200,0))),"")</f>
        <v/>
      </c>
      <c r="O115" s="11">
        <f>IFERROR(IF(INDEX('Test catalog'!$M$2:$M$200,MATCH($Y115,'Test catalog'!$A$2:$A$200,0))="","",INDEX('Test catalog'!$M$2:$M$200,MATCH($Y115,'Test catalog'!$A$2:$A$200,0))),"")</f>
        <v/>
      </c>
      <c r="P115" s="11">
        <f>IFERROR(IF(INDEX('Test catalog'!$N$2:$N$200,MATCH($Y115,'Test catalog'!$A$2:$A$200,0))="","",INDEX('Test catalog'!$N$2:$N$200,MATCH($Y115,'Test catalog'!$A$2:$A$200,0))),"")</f>
        <v/>
      </c>
      <c r="Q115" s="11">
        <f>IFERROR(IF(INDEX('Test catalog'!$O$2:$O$200,MATCH($Y115,'Test catalog'!$A$2:$A$200,0))="","",INDEX('Test catalog'!$O$2:$O$200,MATCH($Y115,'Test catalog'!$A$2:$A$200,0))),"")</f>
        <v/>
      </c>
      <c r="R115" s="11">
        <f>IFERROR(IF(INDEX('Test catalog'!$P$2:$P$200,MATCH($Y115,'Test catalog'!$A$2:$A$200,0))="","",INDEX('Test catalog'!$P$2:$P$200,MATCH($Y115,'Test catalog'!$A$2:$A$200,0))),"")</f>
        <v/>
      </c>
      <c r="S115" s="14" t="n"/>
      <c r="T115" s="5" t="n"/>
      <c r="U115" s="11">
        <f>IFERROR(IF(INDEX('Test catalog'!$Q$2:$Q$200,MATCH($Y115,'Test catalog'!$A$2:$A$200,0))="","",INDEX('Test catalog'!$Q$2:$Q$200,MATCH($Y115,'Test catalog'!$A$2:$A$200,0))),"")</f>
        <v/>
      </c>
      <c r="V115" s="5" t="n"/>
      <c r="W115" s="5" t="n"/>
      <c r="X115" s="5" t="n"/>
      <c r="Y115" s="5" t="inlineStr">
        <is>
          <t>ENUM</t>
        </is>
      </c>
      <c r="Z115" s="11" t="inlineStr">
        <is>
          <t>No micro test in USP-NF - set Y if your specification has one</t>
        </is>
      </c>
    </row>
    <row r="116">
      <c r="A116" s="11" t="inlineStr">
        <is>
          <t>Panax Ginseng (Asian Ginseng) Dry Extract 3:1</t>
        </is>
      </c>
      <c r="B116" s="11" t="inlineStr">
        <is>
          <t>RM</t>
        </is>
      </c>
      <c r="C116" s="11" t="inlineStr">
        <is>
          <t>Active</t>
        </is>
      </c>
      <c r="D116" s="11" t="inlineStr">
        <is>
          <t>Microbial enumeration - TAMC + TYMC (&lt;61&gt; / &lt;2021&gt;)</t>
        </is>
      </c>
      <c r="E116" s="5" t="inlineStr">
        <is>
          <t>Y</t>
        </is>
      </c>
      <c r="F116" s="5" t="n"/>
      <c r="G116" s="11">
        <f>IFERROR(IF(INDEX('Test catalog'!$F$2:$F$200,MATCH($Y116,'Test catalog'!$A$2:$A$200,0))="","",INDEX('Test catalog'!$F$2:$F$200,MATCH($Y116,'Test catalog'!$A$2:$A$200,0))),"")</f>
        <v/>
      </c>
      <c r="H116" s="11">
        <f>IFERROR(IF(INDEX('Test catalog'!$G$2:$G$200,MATCH($Y116,'Test catalog'!$A$2:$A$200,0))="","",INDEX('Test catalog'!$G$2:$G$200,MATCH($Y116,'Test catalog'!$A$2:$A$200,0))),"")</f>
        <v/>
      </c>
      <c r="I116" s="11">
        <f>IFERROR(IF(INDEX('Test catalog'!$H$2:$H$200,MATCH($Y116,'Test catalog'!$A$2:$A$200,0))="","",INDEX('Test catalog'!$H$2:$H$200,MATCH($Y116,'Test catalog'!$A$2:$A$200,0))),"")</f>
        <v/>
      </c>
      <c r="J116" s="11">
        <f>IFERROR(IF(INDEX('Test catalog'!$I$2:$I$200,MATCH($Y116,'Test catalog'!$A$2:$A$200,0))="","",INDEX('Test catalog'!$I$2:$I$200,MATCH($Y116,'Test catalog'!$A$2:$A$200,0))),"")</f>
        <v/>
      </c>
      <c r="K116" s="13">
        <f>IF(I116="","",IF(OR(H116="",J116=""),I116,(H116+4*I116+J116)/6))</f>
        <v/>
      </c>
      <c r="L116" s="11">
        <f>IFERROR(IF(INDEX('Test catalog'!$J$2:$J$200,MATCH($Y116,'Test catalog'!$A$2:$A$200,0))="","",INDEX('Test catalog'!$J$2:$J$200,MATCH($Y116,'Test catalog'!$A$2:$A$200,0))),"")</f>
        <v/>
      </c>
      <c r="M116" s="11">
        <f>IFERROR(IF(INDEX('Test catalog'!$K$2:$K$200,MATCH($Y116,'Test catalog'!$A$2:$A$200,0))="","",INDEX('Test catalog'!$K$2:$K$200,MATCH($Y116,'Test catalog'!$A$2:$A$200,0))),"")</f>
        <v/>
      </c>
      <c r="N116" s="11">
        <f>IFERROR(IF(INDEX('Test catalog'!$L$2:$L$200,MATCH($Y116,'Test catalog'!$A$2:$A$200,0))="","",INDEX('Test catalog'!$L$2:$L$200,MATCH($Y116,'Test catalog'!$A$2:$A$200,0))),"")</f>
        <v/>
      </c>
      <c r="O116" s="11">
        <f>IFERROR(IF(INDEX('Test catalog'!$M$2:$M$200,MATCH($Y116,'Test catalog'!$A$2:$A$200,0))="","",INDEX('Test catalog'!$M$2:$M$200,MATCH($Y116,'Test catalog'!$A$2:$A$200,0))),"")</f>
        <v/>
      </c>
      <c r="P116" s="11">
        <f>IFERROR(IF(INDEX('Test catalog'!$N$2:$N$200,MATCH($Y116,'Test catalog'!$A$2:$A$200,0))="","",INDEX('Test catalog'!$N$2:$N$200,MATCH($Y116,'Test catalog'!$A$2:$A$200,0))),"")</f>
        <v/>
      </c>
      <c r="Q116" s="11">
        <f>IFERROR(IF(INDEX('Test catalog'!$O$2:$O$200,MATCH($Y116,'Test catalog'!$A$2:$A$200,0))="","",INDEX('Test catalog'!$O$2:$O$200,MATCH($Y116,'Test catalog'!$A$2:$A$200,0))),"")</f>
        <v/>
      </c>
      <c r="R116" s="11">
        <f>IFERROR(IF(INDEX('Test catalog'!$P$2:$P$200,MATCH($Y116,'Test catalog'!$A$2:$A$200,0))="","",INDEX('Test catalog'!$P$2:$P$200,MATCH($Y116,'Test catalog'!$A$2:$A$200,0))),"")</f>
        <v/>
      </c>
      <c r="S116" s="14" t="n"/>
      <c r="T116" s="5" t="n"/>
      <c r="U116" s="11">
        <f>IFERROR(IF(INDEX('Test catalog'!$Q$2:$Q$200,MATCH($Y116,'Test catalog'!$A$2:$A$200,0))="","",INDEX('Test catalog'!$Q$2:$Q$200,MATCH($Y116,'Test catalog'!$A$2:$A$200,0))),"")</f>
        <v/>
      </c>
      <c r="V116" s="5" t="n"/>
      <c r="W116" s="5" t="n"/>
      <c r="X116" s="5" t="n"/>
      <c r="Y116" s="5" t="inlineStr">
        <is>
          <t>ENUM</t>
        </is>
      </c>
      <c r="Z116" s="11" t="inlineStr">
        <is>
          <t>USP-NF monograph &lt;2021&gt;</t>
        </is>
      </c>
    </row>
    <row r="117">
      <c r="A117" s="11" t="inlineStr">
        <is>
          <t>Panax Ginseng (Asian Ginseng) Dry Extract 3:1</t>
        </is>
      </c>
      <c r="B117" s="11" t="inlineStr">
        <is>
          <t>RM</t>
        </is>
      </c>
      <c r="C117" s="11" t="inlineStr">
        <is>
          <t>Active</t>
        </is>
      </c>
      <c r="D117" s="11" t="inlineStr">
        <is>
          <t>Absence of Escherichia coli (&lt;62&gt; / &lt;2022&gt;)</t>
        </is>
      </c>
      <c r="E117" s="5" t="inlineStr">
        <is>
          <t>Y</t>
        </is>
      </c>
      <c r="F117" s="5" t="n"/>
      <c r="G117" s="11">
        <f>IFERROR(IF(INDEX('Test catalog'!$F$2:$F$200,MATCH($Y117,'Test catalog'!$A$2:$A$200,0))="","",INDEX('Test catalog'!$F$2:$F$200,MATCH($Y117,'Test catalog'!$A$2:$A$200,0))),"")</f>
        <v/>
      </c>
      <c r="H117" s="11">
        <f>IFERROR(IF(INDEX('Test catalog'!$G$2:$G$200,MATCH($Y117,'Test catalog'!$A$2:$A$200,0))="","",INDEX('Test catalog'!$G$2:$G$200,MATCH($Y117,'Test catalog'!$A$2:$A$200,0))),"")</f>
        <v/>
      </c>
      <c r="I117" s="11">
        <f>IFERROR(IF(INDEX('Test catalog'!$H$2:$H$200,MATCH($Y117,'Test catalog'!$A$2:$A$200,0))="","",INDEX('Test catalog'!$H$2:$H$200,MATCH($Y117,'Test catalog'!$A$2:$A$200,0))),"")</f>
        <v/>
      </c>
      <c r="J117" s="11">
        <f>IFERROR(IF(INDEX('Test catalog'!$I$2:$I$200,MATCH($Y117,'Test catalog'!$A$2:$A$200,0))="","",INDEX('Test catalog'!$I$2:$I$200,MATCH($Y117,'Test catalog'!$A$2:$A$200,0))),"")</f>
        <v/>
      </c>
      <c r="K117" s="13">
        <f>IF(I117="","",IF(OR(H117="",J117=""),I117,(H117+4*I117+J117)/6))</f>
        <v/>
      </c>
      <c r="L117" s="11">
        <f>IFERROR(IF(INDEX('Test catalog'!$J$2:$J$200,MATCH($Y117,'Test catalog'!$A$2:$A$200,0))="","",INDEX('Test catalog'!$J$2:$J$200,MATCH($Y117,'Test catalog'!$A$2:$A$200,0))),"")</f>
        <v/>
      </c>
      <c r="M117" s="11">
        <f>IFERROR(IF(INDEX('Test catalog'!$K$2:$K$200,MATCH($Y117,'Test catalog'!$A$2:$A$200,0))="","",INDEX('Test catalog'!$K$2:$K$200,MATCH($Y117,'Test catalog'!$A$2:$A$200,0))),"")</f>
        <v/>
      </c>
      <c r="N117" s="11">
        <f>IFERROR(IF(INDEX('Test catalog'!$L$2:$L$200,MATCH($Y117,'Test catalog'!$A$2:$A$200,0))="","",INDEX('Test catalog'!$L$2:$L$200,MATCH($Y117,'Test catalog'!$A$2:$A$200,0))),"")</f>
        <v/>
      </c>
      <c r="O117" s="11">
        <f>IFERROR(IF(INDEX('Test catalog'!$M$2:$M$200,MATCH($Y117,'Test catalog'!$A$2:$A$200,0))="","",INDEX('Test catalog'!$M$2:$M$200,MATCH($Y117,'Test catalog'!$A$2:$A$200,0))),"")</f>
        <v/>
      </c>
      <c r="P117" s="11">
        <f>IFERROR(IF(INDEX('Test catalog'!$N$2:$N$200,MATCH($Y117,'Test catalog'!$A$2:$A$200,0))="","",INDEX('Test catalog'!$N$2:$N$200,MATCH($Y117,'Test catalog'!$A$2:$A$200,0))),"")</f>
        <v/>
      </c>
      <c r="Q117" s="11">
        <f>IFERROR(IF(INDEX('Test catalog'!$O$2:$O$200,MATCH($Y117,'Test catalog'!$A$2:$A$200,0))="","",INDEX('Test catalog'!$O$2:$O$200,MATCH($Y117,'Test catalog'!$A$2:$A$200,0))),"")</f>
        <v/>
      </c>
      <c r="R117" s="11">
        <f>IFERROR(IF(INDEX('Test catalog'!$P$2:$P$200,MATCH($Y117,'Test catalog'!$A$2:$A$200,0))="","",INDEX('Test catalog'!$P$2:$P$200,MATCH($Y117,'Test catalog'!$A$2:$A$200,0))),"")</f>
        <v/>
      </c>
      <c r="S117" s="14" t="n"/>
      <c r="T117" s="5" t="n"/>
      <c r="U117" s="11">
        <f>IFERROR(IF(INDEX('Test catalog'!$Q$2:$Q$200,MATCH($Y117,'Test catalog'!$A$2:$A$200,0))="","",INDEX('Test catalog'!$Q$2:$Q$200,MATCH($Y117,'Test catalog'!$A$2:$A$200,0))),"")</f>
        <v/>
      </c>
      <c r="V117" s="5" t="n"/>
      <c r="W117" s="5" t="n"/>
      <c r="X117" s="5" t="n"/>
      <c r="Y117" s="5" t="inlineStr">
        <is>
          <t>ECOLI</t>
        </is>
      </c>
      <c r="Z117" s="11" t="inlineStr">
        <is>
          <t>USP-NF monograph &lt;2022&gt;</t>
        </is>
      </c>
    </row>
    <row r="118">
      <c r="A118" s="11" t="inlineStr">
        <is>
          <t>Panax Ginseng (Asian Ginseng) Dry Extract 3:1</t>
        </is>
      </c>
      <c r="B118" s="11" t="inlineStr">
        <is>
          <t>RM</t>
        </is>
      </c>
      <c r="C118" s="11" t="inlineStr">
        <is>
          <t>Active</t>
        </is>
      </c>
      <c r="D118" s="11" t="inlineStr">
        <is>
          <t>Absence of Salmonella (&lt;62&gt; / &lt;2022&gt;)</t>
        </is>
      </c>
      <c r="E118" s="5" t="inlineStr">
        <is>
          <t>Y</t>
        </is>
      </c>
      <c r="F118" s="5" t="n"/>
      <c r="G118" s="11">
        <f>IFERROR(IF(INDEX('Test catalog'!$F$2:$F$200,MATCH($Y118,'Test catalog'!$A$2:$A$200,0))="","",INDEX('Test catalog'!$F$2:$F$200,MATCH($Y118,'Test catalog'!$A$2:$A$200,0))),"")</f>
        <v/>
      </c>
      <c r="H118" s="11">
        <f>IFERROR(IF(INDEX('Test catalog'!$G$2:$G$200,MATCH($Y118,'Test catalog'!$A$2:$A$200,0))="","",INDEX('Test catalog'!$G$2:$G$200,MATCH($Y118,'Test catalog'!$A$2:$A$200,0))),"")</f>
        <v/>
      </c>
      <c r="I118" s="11">
        <f>IFERROR(IF(INDEX('Test catalog'!$H$2:$H$200,MATCH($Y118,'Test catalog'!$A$2:$A$200,0))="","",INDEX('Test catalog'!$H$2:$H$200,MATCH($Y118,'Test catalog'!$A$2:$A$200,0))),"")</f>
        <v/>
      </c>
      <c r="J118" s="11">
        <f>IFERROR(IF(INDEX('Test catalog'!$I$2:$I$200,MATCH($Y118,'Test catalog'!$A$2:$A$200,0))="","",INDEX('Test catalog'!$I$2:$I$200,MATCH($Y118,'Test catalog'!$A$2:$A$200,0))),"")</f>
        <v/>
      </c>
      <c r="K118" s="13">
        <f>IF(I118="","",IF(OR(H118="",J118=""),I118,(H118+4*I118+J118)/6))</f>
        <v/>
      </c>
      <c r="L118" s="11">
        <f>IFERROR(IF(INDEX('Test catalog'!$J$2:$J$200,MATCH($Y118,'Test catalog'!$A$2:$A$200,0))="","",INDEX('Test catalog'!$J$2:$J$200,MATCH($Y118,'Test catalog'!$A$2:$A$200,0))),"")</f>
        <v/>
      </c>
      <c r="M118" s="11">
        <f>IFERROR(IF(INDEX('Test catalog'!$K$2:$K$200,MATCH($Y118,'Test catalog'!$A$2:$A$200,0))="","",INDEX('Test catalog'!$K$2:$K$200,MATCH($Y118,'Test catalog'!$A$2:$A$200,0))),"")</f>
        <v/>
      </c>
      <c r="N118" s="11">
        <f>IFERROR(IF(INDEX('Test catalog'!$L$2:$L$200,MATCH($Y118,'Test catalog'!$A$2:$A$200,0))="","",INDEX('Test catalog'!$L$2:$L$200,MATCH($Y118,'Test catalog'!$A$2:$A$200,0))),"")</f>
        <v/>
      </c>
      <c r="O118" s="11">
        <f>IFERROR(IF(INDEX('Test catalog'!$M$2:$M$200,MATCH($Y118,'Test catalog'!$A$2:$A$200,0))="","",INDEX('Test catalog'!$M$2:$M$200,MATCH($Y118,'Test catalog'!$A$2:$A$200,0))),"")</f>
        <v/>
      </c>
      <c r="P118" s="11">
        <f>IFERROR(IF(INDEX('Test catalog'!$N$2:$N$200,MATCH($Y118,'Test catalog'!$A$2:$A$200,0))="","",INDEX('Test catalog'!$N$2:$N$200,MATCH($Y118,'Test catalog'!$A$2:$A$200,0))),"")</f>
        <v/>
      </c>
      <c r="Q118" s="11">
        <f>IFERROR(IF(INDEX('Test catalog'!$O$2:$O$200,MATCH($Y118,'Test catalog'!$A$2:$A$200,0))="","",INDEX('Test catalog'!$O$2:$O$200,MATCH($Y118,'Test catalog'!$A$2:$A$200,0))),"")</f>
        <v/>
      </c>
      <c r="R118" s="11">
        <f>IFERROR(IF(INDEX('Test catalog'!$P$2:$P$200,MATCH($Y118,'Test catalog'!$A$2:$A$200,0))="","",INDEX('Test catalog'!$P$2:$P$200,MATCH($Y118,'Test catalog'!$A$2:$A$200,0))),"")</f>
        <v/>
      </c>
      <c r="S118" s="14" t="n"/>
      <c r="T118" s="5" t="n"/>
      <c r="U118" s="11">
        <f>IFERROR(IF(INDEX('Test catalog'!$Q$2:$Q$200,MATCH($Y118,'Test catalog'!$A$2:$A$200,0))="","",INDEX('Test catalog'!$Q$2:$Q$200,MATCH($Y118,'Test catalog'!$A$2:$A$200,0))),"")</f>
        <v/>
      </c>
      <c r="V118" s="5" t="n"/>
      <c r="W118" s="5" t="n"/>
      <c r="X118" s="5" t="n"/>
      <c r="Y118" s="5" t="inlineStr">
        <is>
          <t>SALM</t>
        </is>
      </c>
      <c r="Z118" s="11" t="inlineStr">
        <is>
          <t>USP-NF monograph &lt;2022&gt;</t>
        </is>
      </c>
    </row>
    <row r="119">
      <c r="A119" s="11" t="inlineStr">
        <is>
          <t>Peppermint Dry Extract</t>
        </is>
      </c>
      <c r="B119" s="11" t="inlineStr">
        <is>
          <t>RM</t>
        </is>
      </c>
      <c r="C119" s="11" t="inlineStr">
        <is>
          <t>Active</t>
        </is>
      </c>
      <c r="D119" s="11" t="inlineStr">
        <is>
          <t>Microbial enumeration - TAMC + TYMC (&lt;61&gt; / &lt;2021&gt;)</t>
        </is>
      </c>
      <c r="E119" s="5" t="inlineStr">
        <is>
          <t>Y</t>
        </is>
      </c>
      <c r="F119" s="5" t="n"/>
      <c r="G119" s="11">
        <f>IFERROR(IF(INDEX('Test catalog'!$F$2:$F$200,MATCH($Y119,'Test catalog'!$A$2:$A$200,0))="","",INDEX('Test catalog'!$F$2:$F$200,MATCH($Y119,'Test catalog'!$A$2:$A$200,0))),"")</f>
        <v/>
      </c>
      <c r="H119" s="11">
        <f>IFERROR(IF(INDEX('Test catalog'!$G$2:$G$200,MATCH($Y119,'Test catalog'!$A$2:$A$200,0))="","",INDEX('Test catalog'!$G$2:$G$200,MATCH($Y119,'Test catalog'!$A$2:$A$200,0))),"")</f>
        <v/>
      </c>
      <c r="I119" s="11">
        <f>IFERROR(IF(INDEX('Test catalog'!$H$2:$H$200,MATCH($Y119,'Test catalog'!$A$2:$A$200,0))="","",INDEX('Test catalog'!$H$2:$H$200,MATCH($Y119,'Test catalog'!$A$2:$A$200,0))),"")</f>
        <v/>
      </c>
      <c r="J119" s="11">
        <f>IFERROR(IF(INDEX('Test catalog'!$I$2:$I$200,MATCH($Y119,'Test catalog'!$A$2:$A$200,0))="","",INDEX('Test catalog'!$I$2:$I$200,MATCH($Y119,'Test catalog'!$A$2:$A$200,0))),"")</f>
        <v/>
      </c>
      <c r="K119" s="13">
        <f>IF(I119="","",IF(OR(H119="",J119=""),I119,(H119+4*I119+J119)/6))</f>
        <v/>
      </c>
      <c r="L119" s="11">
        <f>IFERROR(IF(INDEX('Test catalog'!$J$2:$J$200,MATCH($Y119,'Test catalog'!$A$2:$A$200,0))="","",INDEX('Test catalog'!$J$2:$J$200,MATCH($Y119,'Test catalog'!$A$2:$A$200,0))),"")</f>
        <v/>
      </c>
      <c r="M119" s="11">
        <f>IFERROR(IF(INDEX('Test catalog'!$K$2:$K$200,MATCH($Y119,'Test catalog'!$A$2:$A$200,0))="","",INDEX('Test catalog'!$K$2:$K$200,MATCH($Y119,'Test catalog'!$A$2:$A$200,0))),"")</f>
        <v/>
      </c>
      <c r="N119" s="11">
        <f>IFERROR(IF(INDEX('Test catalog'!$L$2:$L$200,MATCH($Y119,'Test catalog'!$A$2:$A$200,0))="","",INDEX('Test catalog'!$L$2:$L$200,MATCH($Y119,'Test catalog'!$A$2:$A$200,0))),"")</f>
        <v/>
      </c>
      <c r="O119" s="11">
        <f>IFERROR(IF(INDEX('Test catalog'!$M$2:$M$200,MATCH($Y119,'Test catalog'!$A$2:$A$200,0))="","",INDEX('Test catalog'!$M$2:$M$200,MATCH($Y119,'Test catalog'!$A$2:$A$200,0))),"")</f>
        <v/>
      </c>
      <c r="P119" s="11">
        <f>IFERROR(IF(INDEX('Test catalog'!$N$2:$N$200,MATCH($Y119,'Test catalog'!$A$2:$A$200,0))="","",INDEX('Test catalog'!$N$2:$N$200,MATCH($Y119,'Test catalog'!$A$2:$A$200,0))),"")</f>
        <v/>
      </c>
      <c r="Q119" s="11">
        <f>IFERROR(IF(INDEX('Test catalog'!$O$2:$O$200,MATCH($Y119,'Test catalog'!$A$2:$A$200,0))="","",INDEX('Test catalog'!$O$2:$O$200,MATCH($Y119,'Test catalog'!$A$2:$A$200,0))),"")</f>
        <v/>
      </c>
      <c r="R119" s="11">
        <f>IFERROR(IF(INDEX('Test catalog'!$P$2:$P$200,MATCH($Y119,'Test catalog'!$A$2:$A$200,0))="","",INDEX('Test catalog'!$P$2:$P$200,MATCH($Y119,'Test catalog'!$A$2:$A$200,0))),"")</f>
        <v/>
      </c>
      <c r="S119" s="14" t="n"/>
      <c r="T119" s="5" t="n"/>
      <c r="U119" s="11">
        <f>IFERROR(IF(INDEX('Test catalog'!$Q$2:$Q$200,MATCH($Y119,'Test catalog'!$A$2:$A$200,0))="","",INDEX('Test catalog'!$Q$2:$Q$200,MATCH($Y119,'Test catalog'!$A$2:$A$200,0))),"")</f>
        <v/>
      </c>
      <c r="V119" s="5" t="n"/>
      <c r="W119" s="5" t="n"/>
      <c r="X119" s="5" t="n"/>
      <c r="Y119" s="5" t="inlineStr">
        <is>
          <t>ENUM</t>
        </is>
      </c>
      <c r="Z119" s="11" t="inlineStr">
        <is>
          <t>Natural origin, no USP-NF micro test - confirm (USP &lt;2023&gt;)</t>
        </is>
      </c>
    </row>
    <row r="120">
      <c r="A120" s="11" t="inlineStr">
        <is>
          <t>Peppermint Dry Extract</t>
        </is>
      </c>
      <c r="B120" s="11" t="inlineStr">
        <is>
          <t>RM</t>
        </is>
      </c>
      <c r="C120" s="11" t="inlineStr">
        <is>
          <t>Active</t>
        </is>
      </c>
      <c r="D120" s="11" t="inlineStr">
        <is>
          <t>Absence of Escherichia coli (&lt;62&gt; / &lt;2022&gt;)</t>
        </is>
      </c>
      <c r="E120" s="5" t="inlineStr">
        <is>
          <t>Y</t>
        </is>
      </c>
      <c r="F120" s="5" t="n"/>
      <c r="G120" s="11">
        <f>IFERROR(IF(INDEX('Test catalog'!$F$2:$F$200,MATCH($Y120,'Test catalog'!$A$2:$A$200,0))="","",INDEX('Test catalog'!$F$2:$F$200,MATCH($Y120,'Test catalog'!$A$2:$A$200,0))),"")</f>
        <v/>
      </c>
      <c r="H120" s="11">
        <f>IFERROR(IF(INDEX('Test catalog'!$G$2:$G$200,MATCH($Y120,'Test catalog'!$A$2:$A$200,0))="","",INDEX('Test catalog'!$G$2:$G$200,MATCH($Y120,'Test catalog'!$A$2:$A$200,0))),"")</f>
        <v/>
      </c>
      <c r="I120" s="11">
        <f>IFERROR(IF(INDEX('Test catalog'!$H$2:$H$200,MATCH($Y120,'Test catalog'!$A$2:$A$200,0))="","",INDEX('Test catalog'!$H$2:$H$200,MATCH($Y120,'Test catalog'!$A$2:$A$200,0))),"")</f>
        <v/>
      </c>
      <c r="J120" s="11">
        <f>IFERROR(IF(INDEX('Test catalog'!$I$2:$I$200,MATCH($Y120,'Test catalog'!$A$2:$A$200,0))="","",INDEX('Test catalog'!$I$2:$I$200,MATCH($Y120,'Test catalog'!$A$2:$A$200,0))),"")</f>
        <v/>
      </c>
      <c r="K120" s="13">
        <f>IF(I120="","",IF(OR(H120="",J120=""),I120,(H120+4*I120+J120)/6))</f>
        <v/>
      </c>
      <c r="L120" s="11">
        <f>IFERROR(IF(INDEX('Test catalog'!$J$2:$J$200,MATCH($Y120,'Test catalog'!$A$2:$A$200,0))="","",INDEX('Test catalog'!$J$2:$J$200,MATCH($Y120,'Test catalog'!$A$2:$A$200,0))),"")</f>
        <v/>
      </c>
      <c r="M120" s="11">
        <f>IFERROR(IF(INDEX('Test catalog'!$K$2:$K$200,MATCH($Y120,'Test catalog'!$A$2:$A$200,0))="","",INDEX('Test catalog'!$K$2:$K$200,MATCH($Y120,'Test catalog'!$A$2:$A$200,0))),"")</f>
        <v/>
      </c>
      <c r="N120" s="11">
        <f>IFERROR(IF(INDEX('Test catalog'!$L$2:$L$200,MATCH($Y120,'Test catalog'!$A$2:$A$200,0))="","",INDEX('Test catalog'!$L$2:$L$200,MATCH($Y120,'Test catalog'!$A$2:$A$200,0))),"")</f>
        <v/>
      </c>
      <c r="O120" s="11">
        <f>IFERROR(IF(INDEX('Test catalog'!$M$2:$M$200,MATCH($Y120,'Test catalog'!$A$2:$A$200,0))="","",INDEX('Test catalog'!$M$2:$M$200,MATCH($Y120,'Test catalog'!$A$2:$A$200,0))),"")</f>
        <v/>
      </c>
      <c r="P120" s="11">
        <f>IFERROR(IF(INDEX('Test catalog'!$N$2:$N$200,MATCH($Y120,'Test catalog'!$A$2:$A$200,0))="","",INDEX('Test catalog'!$N$2:$N$200,MATCH($Y120,'Test catalog'!$A$2:$A$200,0))),"")</f>
        <v/>
      </c>
      <c r="Q120" s="11">
        <f>IFERROR(IF(INDEX('Test catalog'!$O$2:$O$200,MATCH($Y120,'Test catalog'!$A$2:$A$200,0))="","",INDEX('Test catalog'!$O$2:$O$200,MATCH($Y120,'Test catalog'!$A$2:$A$200,0))),"")</f>
        <v/>
      </c>
      <c r="R120" s="11">
        <f>IFERROR(IF(INDEX('Test catalog'!$P$2:$P$200,MATCH($Y120,'Test catalog'!$A$2:$A$200,0))="","",INDEX('Test catalog'!$P$2:$P$200,MATCH($Y120,'Test catalog'!$A$2:$A$200,0))),"")</f>
        <v/>
      </c>
      <c r="S120" s="14" t="n"/>
      <c r="T120" s="5" t="n"/>
      <c r="U120" s="11">
        <f>IFERROR(IF(INDEX('Test catalog'!$Q$2:$Q$200,MATCH($Y120,'Test catalog'!$A$2:$A$200,0))="","",INDEX('Test catalog'!$Q$2:$Q$200,MATCH($Y120,'Test catalog'!$A$2:$A$200,0))),"")</f>
        <v/>
      </c>
      <c r="V120" s="5" t="n"/>
      <c r="W120" s="5" t="n"/>
      <c r="X120" s="5" t="n"/>
      <c r="Y120" s="5" t="inlineStr">
        <is>
          <t>ECOLI</t>
        </is>
      </c>
      <c r="Z120" s="11" t="inlineStr">
        <is>
          <t>Natural origin, no USP-NF micro test - confirm (USP &lt;2023&gt;)</t>
        </is>
      </c>
    </row>
    <row r="121">
      <c r="A121" s="11" t="inlineStr">
        <is>
          <t>Peppermint Dry Extract</t>
        </is>
      </c>
      <c r="B121" s="11" t="inlineStr">
        <is>
          <t>RM</t>
        </is>
      </c>
      <c r="C121" s="11" t="inlineStr">
        <is>
          <t>Active</t>
        </is>
      </c>
      <c r="D121" s="11" t="inlineStr">
        <is>
          <t>Absence of Salmonella (&lt;62&gt; / &lt;2022&gt;)</t>
        </is>
      </c>
      <c r="E121" s="5" t="inlineStr">
        <is>
          <t>Y</t>
        </is>
      </c>
      <c r="F121" s="5" t="n"/>
      <c r="G121" s="11">
        <f>IFERROR(IF(INDEX('Test catalog'!$F$2:$F$200,MATCH($Y121,'Test catalog'!$A$2:$A$200,0))="","",INDEX('Test catalog'!$F$2:$F$200,MATCH($Y121,'Test catalog'!$A$2:$A$200,0))),"")</f>
        <v/>
      </c>
      <c r="H121" s="11">
        <f>IFERROR(IF(INDEX('Test catalog'!$G$2:$G$200,MATCH($Y121,'Test catalog'!$A$2:$A$200,0))="","",INDEX('Test catalog'!$G$2:$G$200,MATCH($Y121,'Test catalog'!$A$2:$A$200,0))),"")</f>
        <v/>
      </c>
      <c r="I121" s="11">
        <f>IFERROR(IF(INDEX('Test catalog'!$H$2:$H$200,MATCH($Y121,'Test catalog'!$A$2:$A$200,0))="","",INDEX('Test catalog'!$H$2:$H$200,MATCH($Y121,'Test catalog'!$A$2:$A$200,0))),"")</f>
        <v/>
      </c>
      <c r="J121" s="11">
        <f>IFERROR(IF(INDEX('Test catalog'!$I$2:$I$200,MATCH($Y121,'Test catalog'!$A$2:$A$200,0))="","",INDEX('Test catalog'!$I$2:$I$200,MATCH($Y121,'Test catalog'!$A$2:$A$200,0))),"")</f>
        <v/>
      </c>
      <c r="K121" s="13">
        <f>IF(I121="","",IF(OR(H121="",J121=""),I121,(H121+4*I121+J121)/6))</f>
        <v/>
      </c>
      <c r="L121" s="11">
        <f>IFERROR(IF(INDEX('Test catalog'!$J$2:$J$200,MATCH($Y121,'Test catalog'!$A$2:$A$200,0))="","",INDEX('Test catalog'!$J$2:$J$200,MATCH($Y121,'Test catalog'!$A$2:$A$200,0))),"")</f>
        <v/>
      </c>
      <c r="M121" s="11">
        <f>IFERROR(IF(INDEX('Test catalog'!$K$2:$K$200,MATCH($Y121,'Test catalog'!$A$2:$A$200,0))="","",INDEX('Test catalog'!$K$2:$K$200,MATCH($Y121,'Test catalog'!$A$2:$A$200,0))),"")</f>
        <v/>
      </c>
      <c r="N121" s="11">
        <f>IFERROR(IF(INDEX('Test catalog'!$L$2:$L$200,MATCH($Y121,'Test catalog'!$A$2:$A$200,0))="","",INDEX('Test catalog'!$L$2:$L$200,MATCH($Y121,'Test catalog'!$A$2:$A$200,0))),"")</f>
        <v/>
      </c>
      <c r="O121" s="11">
        <f>IFERROR(IF(INDEX('Test catalog'!$M$2:$M$200,MATCH($Y121,'Test catalog'!$A$2:$A$200,0))="","",INDEX('Test catalog'!$M$2:$M$200,MATCH($Y121,'Test catalog'!$A$2:$A$200,0))),"")</f>
        <v/>
      </c>
      <c r="P121" s="11">
        <f>IFERROR(IF(INDEX('Test catalog'!$N$2:$N$200,MATCH($Y121,'Test catalog'!$A$2:$A$200,0))="","",INDEX('Test catalog'!$N$2:$N$200,MATCH($Y121,'Test catalog'!$A$2:$A$200,0))),"")</f>
        <v/>
      </c>
      <c r="Q121" s="11">
        <f>IFERROR(IF(INDEX('Test catalog'!$O$2:$O$200,MATCH($Y121,'Test catalog'!$A$2:$A$200,0))="","",INDEX('Test catalog'!$O$2:$O$200,MATCH($Y121,'Test catalog'!$A$2:$A$200,0))),"")</f>
        <v/>
      </c>
      <c r="R121" s="11">
        <f>IFERROR(IF(INDEX('Test catalog'!$P$2:$P$200,MATCH($Y121,'Test catalog'!$A$2:$A$200,0))="","",INDEX('Test catalog'!$P$2:$P$200,MATCH($Y121,'Test catalog'!$A$2:$A$200,0))),"")</f>
        <v/>
      </c>
      <c r="S121" s="14" t="n"/>
      <c r="T121" s="5" t="n"/>
      <c r="U121" s="11">
        <f>IFERROR(IF(INDEX('Test catalog'!$Q$2:$Q$200,MATCH($Y121,'Test catalog'!$A$2:$A$200,0))="","",INDEX('Test catalog'!$Q$2:$Q$200,MATCH($Y121,'Test catalog'!$A$2:$A$200,0))),"")</f>
        <v/>
      </c>
      <c r="V121" s="5" t="n"/>
      <c r="W121" s="5" t="n"/>
      <c r="X121" s="5" t="n"/>
      <c r="Y121" s="5" t="inlineStr">
        <is>
          <t>SALM</t>
        </is>
      </c>
      <c r="Z121" s="11" t="inlineStr">
        <is>
          <t>Natural origin, no USP-NF micro test - confirm (USP &lt;2023&gt;)</t>
        </is>
      </c>
    </row>
    <row r="122">
      <c r="A122" s="11" t="inlineStr">
        <is>
          <t>Phenylephrine HCl</t>
        </is>
      </c>
      <c r="B122" s="11" t="inlineStr">
        <is>
          <t>RM</t>
        </is>
      </c>
      <c r="C122" s="11" t="inlineStr">
        <is>
          <t>Active</t>
        </is>
      </c>
      <c r="D122" s="11" t="inlineStr">
        <is>
          <t>Microbial enumeration - TAMC + TYMC (&lt;61&gt; / &lt;2021&gt;)</t>
        </is>
      </c>
      <c r="E122" s="5" t="inlineStr">
        <is>
          <t>N</t>
        </is>
      </c>
      <c r="F122" s="5" t="n"/>
      <c r="G122" s="11">
        <f>IFERROR(IF(INDEX('Test catalog'!$F$2:$F$200,MATCH($Y122,'Test catalog'!$A$2:$A$200,0))="","",INDEX('Test catalog'!$F$2:$F$200,MATCH($Y122,'Test catalog'!$A$2:$A$200,0))),"")</f>
        <v/>
      </c>
      <c r="H122" s="11">
        <f>IFERROR(IF(INDEX('Test catalog'!$G$2:$G$200,MATCH($Y122,'Test catalog'!$A$2:$A$200,0))="","",INDEX('Test catalog'!$G$2:$G$200,MATCH($Y122,'Test catalog'!$A$2:$A$200,0))),"")</f>
        <v/>
      </c>
      <c r="I122" s="11">
        <f>IFERROR(IF(INDEX('Test catalog'!$H$2:$H$200,MATCH($Y122,'Test catalog'!$A$2:$A$200,0))="","",INDEX('Test catalog'!$H$2:$H$200,MATCH($Y122,'Test catalog'!$A$2:$A$200,0))),"")</f>
        <v/>
      </c>
      <c r="J122" s="11">
        <f>IFERROR(IF(INDEX('Test catalog'!$I$2:$I$200,MATCH($Y122,'Test catalog'!$A$2:$A$200,0))="","",INDEX('Test catalog'!$I$2:$I$200,MATCH($Y122,'Test catalog'!$A$2:$A$200,0))),"")</f>
        <v/>
      </c>
      <c r="K122" s="13">
        <f>IF(I122="","",IF(OR(H122="",J122=""),I122,(H122+4*I122+J122)/6))</f>
        <v/>
      </c>
      <c r="L122" s="11">
        <f>IFERROR(IF(INDEX('Test catalog'!$J$2:$J$200,MATCH($Y122,'Test catalog'!$A$2:$A$200,0))="","",INDEX('Test catalog'!$J$2:$J$200,MATCH($Y122,'Test catalog'!$A$2:$A$200,0))),"")</f>
        <v/>
      </c>
      <c r="M122" s="11">
        <f>IFERROR(IF(INDEX('Test catalog'!$K$2:$K$200,MATCH($Y122,'Test catalog'!$A$2:$A$200,0))="","",INDEX('Test catalog'!$K$2:$K$200,MATCH($Y122,'Test catalog'!$A$2:$A$200,0))),"")</f>
        <v/>
      </c>
      <c r="N122" s="11">
        <f>IFERROR(IF(INDEX('Test catalog'!$L$2:$L$200,MATCH($Y122,'Test catalog'!$A$2:$A$200,0))="","",INDEX('Test catalog'!$L$2:$L$200,MATCH($Y122,'Test catalog'!$A$2:$A$200,0))),"")</f>
        <v/>
      </c>
      <c r="O122" s="11">
        <f>IFERROR(IF(INDEX('Test catalog'!$M$2:$M$200,MATCH($Y122,'Test catalog'!$A$2:$A$200,0))="","",INDEX('Test catalog'!$M$2:$M$200,MATCH($Y122,'Test catalog'!$A$2:$A$200,0))),"")</f>
        <v/>
      </c>
      <c r="P122" s="11">
        <f>IFERROR(IF(INDEX('Test catalog'!$N$2:$N$200,MATCH($Y122,'Test catalog'!$A$2:$A$200,0))="","",INDEX('Test catalog'!$N$2:$N$200,MATCH($Y122,'Test catalog'!$A$2:$A$200,0))),"")</f>
        <v/>
      </c>
      <c r="Q122" s="11">
        <f>IFERROR(IF(INDEX('Test catalog'!$O$2:$O$200,MATCH($Y122,'Test catalog'!$A$2:$A$200,0))="","",INDEX('Test catalog'!$O$2:$O$200,MATCH($Y122,'Test catalog'!$A$2:$A$200,0))),"")</f>
        <v/>
      </c>
      <c r="R122" s="11">
        <f>IFERROR(IF(INDEX('Test catalog'!$P$2:$P$200,MATCH($Y122,'Test catalog'!$A$2:$A$200,0))="","",INDEX('Test catalog'!$P$2:$P$200,MATCH($Y122,'Test catalog'!$A$2:$A$200,0))),"")</f>
        <v/>
      </c>
      <c r="S122" s="14" t="n"/>
      <c r="T122" s="5" t="n"/>
      <c r="U122" s="11">
        <f>IFERROR(IF(INDEX('Test catalog'!$Q$2:$Q$200,MATCH($Y122,'Test catalog'!$A$2:$A$200,0))="","",INDEX('Test catalog'!$Q$2:$Q$200,MATCH($Y122,'Test catalog'!$A$2:$A$200,0))),"")</f>
        <v/>
      </c>
      <c r="V122" s="5" t="n"/>
      <c r="W122" s="5" t="n"/>
      <c r="X122" s="5" t="n"/>
      <c r="Y122" s="5" t="inlineStr">
        <is>
          <t>ENUM</t>
        </is>
      </c>
      <c r="Z122" s="11" t="inlineStr">
        <is>
          <t>No micro test in USP-NF - set Y if your specification has one</t>
        </is>
      </c>
    </row>
    <row r="123">
      <c r="A123" s="11" t="inlineStr">
        <is>
          <t>Potassium Iodide</t>
        </is>
      </c>
      <c r="B123" s="11" t="inlineStr">
        <is>
          <t>RM</t>
        </is>
      </c>
      <c r="C123" s="11" t="inlineStr">
        <is>
          <t>Active</t>
        </is>
      </c>
      <c r="D123" s="11" t="inlineStr">
        <is>
          <t>Microbial enumeration - TAMC + TYMC (&lt;61&gt; / &lt;2021&gt;)</t>
        </is>
      </c>
      <c r="E123" s="5" t="inlineStr">
        <is>
          <t>N</t>
        </is>
      </c>
      <c r="F123" s="5" t="n"/>
      <c r="G123" s="11">
        <f>IFERROR(IF(INDEX('Test catalog'!$F$2:$F$200,MATCH($Y123,'Test catalog'!$A$2:$A$200,0))="","",INDEX('Test catalog'!$F$2:$F$200,MATCH($Y123,'Test catalog'!$A$2:$A$200,0))),"")</f>
        <v/>
      </c>
      <c r="H123" s="11">
        <f>IFERROR(IF(INDEX('Test catalog'!$G$2:$G$200,MATCH($Y123,'Test catalog'!$A$2:$A$200,0))="","",INDEX('Test catalog'!$G$2:$G$200,MATCH($Y123,'Test catalog'!$A$2:$A$200,0))),"")</f>
        <v/>
      </c>
      <c r="I123" s="11">
        <f>IFERROR(IF(INDEX('Test catalog'!$H$2:$H$200,MATCH($Y123,'Test catalog'!$A$2:$A$200,0))="","",INDEX('Test catalog'!$H$2:$H$200,MATCH($Y123,'Test catalog'!$A$2:$A$200,0))),"")</f>
        <v/>
      </c>
      <c r="J123" s="11">
        <f>IFERROR(IF(INDEX('Test catalog'!$I$2:$I$200,MATCH($Y123,'Test catalog'!$A$2:$A$200,0))="","",INDEX('Test catalog'!$I$2:$I$200,MATCH($Y123,'Test catalog'!$A$2:$A$200,0))),"")</f>
        <v/>
      </c>
      <c r="K123" s="13">
        <f>IF(I123="","",IF(OR(H123="",J123=""),I123,(H123+4*I123+J123)/6))</f>
        <v/>
      </c>
      <c r="L123" s="11">
        <f>IFERROR(IF(INDEX('Test catalog'!$J$2:$J$200,MATCH($Y123,'Test catalog'!$A$2:$A$200,0))="","",INDEX('Test catalog'!$J$2:$J$200,MATCH($Y123,'Test catalog'!$A$2:$A$200,0))),"")</f>
        <v/>
      </c>
      <c r="M123" s="11">
        <f>IFERROR(IF(INDEX('Test catalog'!$K$2:$K$200,MATCH($Y123,'Test catalog'!$A$2:$A$200,0))="","",INDEX('Test catalog'!$K$2:$K$200,MATCH($Y123,'Test catalog'!$A$2:$A$200,0))),"")</f>
        <v/>
      </c>
      <c r="N123" s="11">
        <f>IFERROR(IF(INDEX('Test catalog'!$L$2:$L$200,MATCH($Y123,'Test catalog'!$A$2:$A$200,0))="","",INDEX('Test catalog'!$L$2:$L$200,MATCH($Y123,'Test catalog'!$A$2:$A$200,0))),"")</f>
        <v/>
      </c>
      <c r="O123" s="11">
        <f>IFERROR(IF(INDEX('Test catalog'!$M$2:$M$200,MATCH($Y123,'Test catalog'!$A$2:$A$200,0))="","",INDEX('Test catalog'!$M$2:$M$200,MATCH($Y123,'Test catalog'!$A$2:$A$200,0))),"")</f>
        <v/>
      </c>
      <c r="P123" s="11">
        <f>IFERROR(IF(INDEX('Test catalog'!$N$2:$N$200,MATCH($Y123,'Test catalog'!$A$2:$A$200,0))="","",INDEX('Test catalog'!$N$2:$N$200,MATCH($Y123,'Test catalog'!$A$2:$A$200,0))),"")</f>
        <v/>
      </c>
      <c r="Q123" s="11">
        <f>IFERROR(IF(INDEX('Test catalog'!$O$2:$O$200,MATCH($Y123,'Test catalog'!$A$2:$A$200,0))="","",INDEX('Test catalog'!$O$2:$O$200,MATCH($Y123,'Test catalog'!$A$2:$A$200,0))),"")</f>
        <v/>
      </c>
      <c r="R123" s="11">
        <f>IFERROR(IF(INDEX('Test catalog'!$P$2:$P$200,MATCH($Y123,'Test catalog'!$A$2:$A$200,0))="","",INDEX('Test catalog'!$P$2:$P$200,MATCH($Y123,'Test catalog'!$A$2:$A$200,0))),"")</f>
        <v/>
      </c>
      <c r="S123" s="14" t="n"/>
      <c r="T123" s="5" t="n"/>
      <c r="U123" s="11">
        <f>IFERROR(IF(INDEX('Test catalog'!$Q$2:$Q$200,MATCH($Y123,'Test catalog'!$A$2:$A$200,0))="","",INDEX('Test catalog'!$Q$2:$Q$200,MATCH($Y123,'Test catalog'!$A$2:$A$200,0))),"")</f>
        <v/>
      </c>
      <c r="V123" s="5" t="n"/>
      <c r="W123" s="5" t="n"/>
      <c r="X123" s="5" t="n"/>
      <c r="Y123" s="5" t="inlineStr">
        <is>
          <t>ENUM</t>
        </is>
      </c>
      <c r="Z123" s="11" t="inlineStr">
        <is>
          <t>No micro test in USP-NF - set Y if your specification has one</t>
        </is>
      </c>
    </row>
    <row r="124">
      <c r="A124" s="11" t="inlineStr">
        <is>
          <t>Premix Dermo Bella</t>
        </is>
      </c>
      <c r="B124" s="11" t="inlineStr">
        <is>
          <t>RM</t>
        </is>
      </c>
      <c r="C124" s="11" t="inlineStr">
        <is>
          <t>Active</t>
        </is>
      </c>
      <c r="D124" s="11" t="inlineStr">
        <is>
          <t>Microbial enumeration - TAMC + TYMC (&lt;61&gt; / &lt;2021&gt;)</t>
        </is>
      </c>
      <c r="E124" s="5" t="inlineStr">
        <is>
          <t>Y</t>
        </is>
      </c>
      <c r="F124" s="5" t="n"/>
      <c r="G124" s="11">
        <f>IFERROR(IF(INDEX('Test catalog'!$F$2:$F$200,MATCH($Y124,'Test catalog'!$A$2:$A$200,0))="","",INDEX('Test catalog'!$F$2:$F$200,MATCH($Y124,'Test catalog'!$A$2:$A$200,0))),"")</f>
        <v/>
      </c>
      <c r="H124" s="11">
        <f>IFERROR(IF(INDEX('Test catalog'!$G$2:$G$200,MATCH($Y124,'Test catalog'!$A$2:$A$200,0))="","",INDEX('Test catalog'!$G$2:$G$200,MATCH($Y124,'Test catalog'!$A$2:$A$200,0))),"")</f>
        <v/>
      </c>
      <c r="I124" s="11">
        <f>IFERROR(IF(INDEX('Test catalog'!$H$2:$H$200,MATCH($Y124,'Test catalog'!$A$2:$A$200,0))="","",INDEX('Test catalog'!$H$2:$H$200,MATCH($Y124,'Test catalog'!$A$2:$A$200,0))),"")</f>
        <v/>
      </c>
      <c r="J124" s="11">
        <f>IFERROR(IF(INDEX('Test catalog'!$I$2:$I$200,MATCH($Y124,'Test catalog'!$A$2:$A$200,0))="","",INDEX('Test catalog'!$I$2:$I$200,MATCH($Y124,'Test catalog'!$A$2:$A$200,0))),"")</f>
        <v/>
      </c>
      <c r="K124" s="13">
        <f>IF(I124="","",IF(OR(H124="",J124=""),I124,(H124+4*I124+J124)/6))</f>
        <v/>
      </c>
      <c r="L124" s="11">
        <f>IFERROR(IF(INDEX('Test catalog'!$J$2:$J$200,MATCH($Y124,'Test catalog'!$A$2:$A$200,0))="","",INDEX('Test catalog'!$J$2:$J$200,MATCH($Y124,'Test catalog'!$A$2:$A$200,0))),"")</f>
        <v/>
      </c>
      <c r="M124" s="11">
        <f>IFERROR(IF(INDEX('Test catalog'!$K$2:$K$200,MATCH($Y124,'Test catalog'!$A$2:$A$200,0))="","",INDEX('Test catalog'!$K$2:$K$200,MATCH($Y124,'Test catalog'!$A$2:$A$200,0))),"")</f>
        <v/>
      </c>
      <c r="N124" s="11">
        <f>IFERROR(IF(INDEX('Test catalog'!$L$2:$L$200,MATCH($Y124,'Test catalog'!$A$2:$A$200,0))="","",INDEX('Test catalog'!$L$2:$L$200,MATCH($Y124,'Test catalog'!$A$2:$A$200,0))),"")</f>
        <v/>
      </c>
      <c r="O124" s="11">
        <f>IFERROR(IF(INDEX('Test catalog'!$M$2:$M$200,MATCH($Y124,'Test catalog'!$A$2:$A$200,0))="","",INDEX('Test catalog'!$M$2:$M$200,MATCH($Y124,'Test catalog'!$A$2:$A$200,0))),"")</f>
        <v/>
      </c>
      <c r="P124" s="11">
        <f>IFERROR(IF(INDEX('Test catalog'!$N$2:$N$200,MATCH($Y124,'Test catalog'!$A$2:$A$200,0))="","",INDEX('Test catalog'!$N$2:$N$200,MATCH($Y124,'Test catalog'!$A$2:$A$200,0))),"")</f>
        <v/>
      </c>
      <c r="Q124" s="11">
        <f>IFERROR(IF(INDEX('Test catalog'!$O$2:$O$200,MATCH($Y124,'Test catalog'!$A$2:$A$200,0))="","",INDEX('Test catalog'!$O$2:$O$200,MATCH($Y124,'Test catalog'!$A$2:$A$200,0))),"")</f>
        <v/>
      </c>
      <c r="R124" s="11">
        <f>IFERROR(IF(INDEX('Test catalog'!$P$2:$P$200,MATCH($Y124,'Test catalog'!$A$2:$A$200,0))="","",INDEX('Test catalog'!$P$2:$P$200,MATCH($Y124,'Test catalog'!$A$2:$A$200,0))),"")</f>
        <v/>
      </c>
      <c r="S124" s="14" t="n"/>
      <c r="T124" s="5" t="n"/>
      <c r="U124" s="11">
        <f>IFERROR(IF(INDEX('Test catalog'!$Q$2:$Q$200,MATCH($Y124,'Test catalog'!$A$2:$A$200,0))="","",INDEX('Test catalog'!$Q$2:$Q$200,MATCH($Y124,'Test catalog'!$A$2:$A$200,0))),"")</f>
        <v/>
      </c>
      <c r="V124" s="5" t="n"/>
      <c r="W124" s="5" t="n"/>
      <c r="X124" s="5" t="n"/>
      <c r="Y124" s="5" t="inlineStr">
        <is>
          <t>ENUM</t>
        </is>
      </c>
      <c r="Z124" s="11" t="inlineStr">
        <is>
          <t>Natural origin, no USP-NF micro test - confirm (USP &lt;2023&gt;)</t>
        </is>
      </c>
    </row>
    <row r="125">
      <c r="A125" s="11" t="inlineStr">
        <is>
          <t>Premix Dermo Bella</t>
        </is>
      </c>
      <c r="B125" s="11" t="inlineStr">
        <is>
          <t>RM</t>
        </is>
      </c>
      <c r="C125" s="11" t="inlineStr">
        <is>
          <t>Active</t>
        </is>
      </c>
      <c r="D125" s="11" t="inlineStr">
        <is>
          <t>Absence of Escherichia coli (&lt;62&gt; / &lt;2022&gt;)</t>
        </is>
      </c>
      <c r="E125" s="5" t="inlineStr">
        <is>
          <t>Y</t>
        </is>
      </c>
      <c r="F125" s="5" t="n"/>
      <c r="G125" s="11">
        <f>IFERROR(IF(INDEX('Test catalog'!$F$2:$F$200,MATCH($Y125,'Test catalog'!$A$2:$A$200,0))="","",INDEX('Test catalog'!$F$2:$F$200,MATCH($Y125,'Test catalog'!$A$2:$A$200,0))),"")</f>
        <v/>
      </c>
      <c r="H125" s="11">
        <f>IFERROR(IF(INDEX('Test catalog'!$G$2:$G$200,MATCH($Y125,'Test catalog'!$A$2:$A$200,0))="","",INDEX('Test catalog'!$G$2:$G$200,MATCH($Y125,'Test catalog'!$A$2:$A$200,0))),"")</f>
        <v/>
      </c>
      <c r="I125" s="11">
        <f>IFERROR(IF(INDEX('Test catalog'!$H$2:$H$200,MATCH($Y125,'Test catalog'!$A$2:$A$200,0))="","",INDEX('Test catalog'!$H$2:$H$200,MATCH($Y125,'Test catalog'!$A$2:$A$200,0))),"")</f>
        <v/>
      </c>
      <c r="J125" s="11">
        <f>IFERROR(IF(INDEX('Test catalog'!$I$2:$I$200,MATCH($Y125,'Test catalog'!$A$2:$A$200,0))="","",INDEX('Test catalog'!$I$2:$I$200,MATCH($Y125,'Test catalog'!$A$2:$A$200,0))),"")</f>
        <v/>
      </c>
      <c r="K125" s="13">
        <f>IF(I125="","",IF(OR(H125="",J125=""),I125,(H125+4*I125+J125)/6))</f>
        <v/>
      </c>
      <c r="L125" s="11">
        <f>IFERROR(IF(INDEX('Test catalog'!$J$2:$J$200,MATCH($Y125,'Test catalog'!$A$2:$A$200,0))="","",INDEX('Test catalog'!$J$2:$J$200,MATCH($Y125,'Test catalog'!$A$2:$A$200,0))),"")</f>
        <v/>
      </c>
      <c r="M125" s="11">
        <f>IFERROR(IF(INDEX('Test catalog'!$K$2:$K$200,MATCH($Y125,'Test catalog'!$A$2:$A$200,0))="","",INDEX('Test catalog'!$K$2:$K$200,MATCH($Y125,'Test catalog'!$A$2:$A$200,0))),"")</f>
        <v/>
      </c>
      <c r="N125" s="11">
        <f>IFERROR(IF(INDEX('Test catalog'!$L$2:$L$200,MATCH($Y125,'Test catalog'!$A$2:$A$200,0))="","",INDEX('Test catalog'!$L$2:$L$200,MATCH($Y125,'Test catalog'!$A$2:$A$200,0))),"")</f>
        <v/>
      </c>
      <c r="O125" s="11">
        <f>IFERROR(IF(INDEX('Test catalog'!$M$2:$M$200,MATCH($Y125,'Test catalog'!$A$2:$A$200,0))="","",INDEX('Test catalog'!$M$2:$M$200,MATCH($Y125,'Test catalog'!$A$2:$A$200,0))),"")</f>
        <v/>
      </c>
      <c r="P125" s="11">
        <f>IFERROR(IF(INDEX('Test catalog'!$N$2:$N$200,MATCH($Y125,'Test catalog'!$A$2:$A$200,0))="","",INDEX('Test catalog'!$N$2:$N$200,MATCH($Y125,'Test catalog'!$A$2:$A$200,0))),"")</f>
        <v/>
      </c>
      <c r="Q125" s="11">
        <f>IFERROR(IF(INDEX('Test catalog'!$O$2:$O$200,MATCH($Y125,'Test catalog'!$A$2:$A$200,0))="","",INDEX('Test catalog'!$O$2:$O$200,MATCH($Y125,'Test catalog'!$A$2:$A$200,0))),"")</f>
        <v/>
      </c>
      <c r="R125" s="11">
        <f>IFERROR(IF(INDEX('Test catalog'!$P$2:$P$200,MATCH($Y125,'Test catalog'!$A$2:$A$200,0))="","",INDEX('Test catalog'!$P$2:$P$200,MATCH($Y125,'Test catalog'!$A$2:$A$200,0))),"")</f>
        <v/>
      </c>
      <c r="S125" s="14" t="n"/>
      <c r="T125" s="5" t="n"/>
      <c r="U125" s="11">
        <f>IFERROR(IF(INDEX('Test catalog'!$Q$2:$Q$200,MATCH($Y125,'Test catalog'!$A$2:$A$200,0))="","",INDEX('Test catalog'!$Q$2:$Q$200,MATCH($Y125,'Test catalog'!$A$2:$A$200,0))),"")</f>
        <v/>
      </c>
      <c r="V125" s="5" t="n"/>
      <c r="W125" s="5" t="n"/>
      <c r="X125" s="5" t="n"/>
      <c r="Y125" s="5" t="inlineStr">
        <is>
          <t>ECOLI</t>
        </is>
      </c>
      <c r="Z125" s="11" t="inlineStr">
        <is>
          <t>Natural origin, no USP-NF micro test - confirm (USP &lt;2023&gt;)</t>
        </is>
      </c>
    </row>
    <row r="126">
      <c r="A126" s="11" t="inlineStr">
        <is>
          <t>Premix Dermo Bella</t>
        </is>
      </c>
      <c r="B126" s="11" t="inlineStr">
        <is>
          <t>RM</t>
        </is>
      </c>
      <c r="C126" s="11" t="inlineStr">
        <is>
          <t>Active</t>
        </is>
      </c>
      <c r="D126" s="11" t="inlineStr">
        <is>
          <t>Absence of Salmonella (&lt;62&gt; / &lt;2022&gt;)</t>
        </is>
      </c>
      <c r="E126" s="5" t="inlineStr">
        <is>
          <t>Y</t>
        </is>
      </c>
      <c r="F126" s="5" t="n"/>
      <c r="G126" s="11">
        <f>IFERROR(IF(INDEX('Test catalog'!$F$2:$F$200,MATCH($Y126,'Test catalog'!$A$2:$A$200,0))="","",INDEX('Test catalog'!$F$2:$F$200,MATCH($Y126,'Test catalog'!$A$2:$A$200,0))),"")</f>
        <v/>
      </c>
      <c r="H126" s="11">
        <f>IFERROR(IF(INDEX('Test catalog'!$G$2:$G$200,MATCH($Y126,'Test catalog'!$A$2:$A$200,0))="","",INDEX('Test catalog'!$G$2:$G$200,MATCH($Y126,'Test catalog'!$A$2:$A$200,0))),"")</f>
        <v/>
      </c>
      <c r="I126" s="11">
        <f>IFERROR(IF(INDEX('Test catalog'!$H$2:$H$200,MATCH($Y126,'Test catalog'!$A$2:$A$200,0))="","",INDEX('Test catalog'!$H$2:$H$200,MATCH($Y126,'Test catalog'!$A$2:$A$200,0))),"")</f>
        <v/>
      </c>
      <c r="J126" s="11">
        <f>IFERROR(IF(INDEX('Test catalog'!$I$2:$I$200,MATCH($Y126,'Test catalog'!$A$2:$A$200,0))="","",INDEX('Test catalog'!$I$2:$I$200,MATCH($Y126,'Test catalog'!$A$2:$A$200,0))),"")</f>
        <v/>
      </c>
      <c r="K126" s="13">
        <f>IF(I126="","",IF(OR(H126="",J126=""),I126,(H126+4*I126+J126)/6))</f>
        <v/>
      </c>
      <c r="L126" s="11">
        <f>IFERROR(IF(INDEX('Test catalog'!$J$2:$J$200,MATCH($Y126,'Test catalog'!$A$2:$A$200,0))="","",INDEX('Test catalog'!$J$2:$J$200,MATCH($Y126,'Test catalog'!$A$2:$A$200,0))),"")</f>
        <v/>
      </c>
      <c r="M126" s="11">
        <f>IFERROR(IF(INDEX('Test catalog'!$K$2:$K$200,MATCH($Y126,'Test catalog'!$A$2:$A$200,0))="","",INDEX('Test catalog'!$K$2:$K$200,MATCH($Y126,'Test catalog'!$A$2:$A$200,0))),"")</f>
        <v/>
      </c>
      <c r="N126" s="11">
        <f>IFERROR(IF(INDEX('Test catalog'!$L$2:$L$200,MATCH($Y126,'Test catalog'!$A$2:$A$200,0))="","",INDEX('Test catalog'!$L$2:$L$200,MATCH($Y126,'Test catalog'!$A$2:$A$200,0))),"")</f>
        <v/>
      </c>
      <c r="O126" s="11">
        <f>IFERROR(IF(INDEX('Test catalog'!$M$2:$M$200,MATCH($Y126,'Test catalog'!$A$2:$A$200,0))="","",INDEX('Test catalog'!$M$2:$M$200,MATCH($Y126,'Test catalog'!$A$2:$A$200,0))),"")</f>
        <v/>
      </c>
      <c r="P126" s="11">
        <f>IFERROR(IF(INDEX('Test catalog'!$N$2:$N$200,MATCH($Y126,'Test catalog'!$A$2:$A$200,0))="","",INDEX('Test catalog'!$N$2:$N$200,MATCH($Y126,'Test catalog'!$A$2:$A$200,0))),"")</f>
        <v/>
      </c>
      <c r="Q126" s="11">
        <f>IFERROR(IF(INDEX('Test catalog'!$O$2:$O$200,MATCH($Y126,'Test catalog'!$A$2:$A$200,0))="","",INDEX('Test catalog'!$O$2:$O$200,MATCH($Y126,'Test catalog'!$A$2:$A$200,0))),"")</f>
        <v/>
      </c>
      <c r="R126" s="11">
        <f>IFERROR(IF(INDEX('Test catalog'!$P$2:$P$200,MATCH($Y126,'Test catalog'!$A$2:$A$200,0))="","",INDEX('Test catalog'!$P$2:$P$200,MATCH($Y126,'Test catalog'!$A$2:$A$200,0))),"")</f>
        <v/>
      </c>
      <c r="S126" s="14" t="n"/>
      <c r="T126" s="5" t="n"/>
      <c r="U126" s="11">
        <f>IFERROR(IF(INDEX('Test catalog'!$Q$2:$Q$200,MATCH($Y126,'Test catalog'!$A$2:$A$200,0))="","",INDEX('Test catalog'!$Q$2:$Q$200,MATCH($Y126,'Test catalog'!$A$2:$A$200,0))),"")</f>
        <v/>
      </c>
      <c r="V126" s="5" t="n"/>
      <c r="W126" s="5" t="n"/>
      <c r="X126" s="5" t="n"/>
      <c r="Y126" s="5" t="inlineStr">
        <is>
          <t>SALM</t>
        </is>
      </c>
      <c r="Z126" s="11" t="inlineStr">
        <is>
          <t>Natural origin, no USP-NF micro test - confirm (USP &lt;2023&gt;)</t>
        </is>
      </c>
    </row>
    <row r="127">
      <c r="A127" s="11" t="inlineStr">
        <is>
          <t>Prucalopride Succinate</t>
        </is>
      </c>
      <c r="B127" s="11" t="inlineStr">
        <is>
          <t>RM</t>
        </is>
      </c>
      <c r="C127" s="11" t="inlineStr">
        <is>
          <t>Active</t>
        </is>
      </c>
      <c r="D127" s="11" t="inlineStr">
        <is>
          <t>Microbial enumeration - TAMC + TYMC (&lt;61&gt; / &lt;2021&gt;)</t>
        </is>
      </c>
      <c r="E127" s="5" t="inlineStr">
        <is>
          <t>N</t>
        </is>
      </c>
      <c r="F127" s="5" t="n"/>
      <c r="G127" s="11">
        <f>IFERROR(IF(INDEX('Test catalog'!$F$2:$F$200,MATCH($Y127,'Test catalog'!$A$2:$A$200,0))="","",INDEX('Test catalog'!$F$2:$F$200,MATCH($Y127,'Test catalog'!$A$2:$A$200,0))),"")</f>
        <v/>
      </c>
      <c r="H127" s="11">
        <f>IFERROR(IF(INDEX('Test catalog'!$G$2:$G$200,MATCH($Y127,'Test catalog'!$A$2:$A$200,0))="","",INDEX('Test catalog'!$G$2:$G$200,MATCH($Y127,'Test catalog'!$A$2:$A$200,0))),"")</f>
        <v/>
      </c>
      <c r="I127" s="11">
        <f>IFERROR(IF(INDEX('Test catalog'!$H$2:$H$200,MATCH($Y127,'Test catalog'!$A$2:$A$200,0))="","",INDEX('Test catalog'!$H$2:$H$200,MATCH($Y127,'Test catalog'!$A$2:$A$200,0))),"")</f>
        <v/>
      </c>
      <c r="J127" s="11">
        <f>IFERROR(IF(INDEX('Test catalog'!$I$2:$I$200,MATCH($Y127,'Test catalog'!$A$2:$A$200,0))="","",INDEX('Test catalog'!$I$2:$I$200,MATCH($Y127,'Test catalog'!$A$2:$A$200,0))),"")</f>
        <v/>
      </c>
      <c r="K127" s="13">
        <f>IF(I127="","",IF(OR(H127="",J127=""),I127,(H127+4*I127+J127)/6))</f>
        <v/>
      </c>
      <c r="L127" s="11">
        <f>IFERROR(IF(INDEX('Test catalog'!$J$2:$J$200,MATCH($Y127,'Test catalog'!$A$2:$A$200,0))="","",INDEX('Test catalog'!$J$2:$J$200,MATCH($Y127,'Test catalog'!$A$2:$A$200,0))),"")</f>
        <v/>
      </c>
      <c r="M127" s="11">
        <f>IFERROR(IF(INDEX('Test catalog'!$K$2:$K$200,MATCH($Y127,'Test catalog'!$A$2:$A$200,0))="","",INDEX('Test catalog'!$K$2:$K$200,MATCH($Y127,'Test catalog'!$A$2:$A$200,0))),"")</f>
        <v/>
      </c>
      <c r="N127" s="11">
        <f>IFERROR(IF(INDEX('Test catalog'!$L$2:$L$200,MATCH($Y127,'Test catalog'!$A$2:$A$200,0))="","",INDEX('Test catalog'!$L$2:$L$200,MATCH($Y127,'Test catalog'!$A$2:$A$200,0))),"")</f>
        <v/>
      </c>
      <c r="O127" s="11">
        <f>IFERROR(IF(INDEX('Test catalog'!$M$2:$M$200,MATCH($Y127,'Test catalog'!$A$2:$A$200,0))="","",INDEX('Test catalog'!$M$2:$M$200,MATCH($Y127,'Test catalog'!$A$2:$A$200,0))),"")</f>
        <v/>
      </c>
      <c r="P127" s="11">
        <f>IFERROR(IF(INDEX('Test catalog'!$N$2:$N$200,MATCH($Y127,'Test catalog'!$A$2:$A$200,0))="","",INDEX('Test catalog'!$N$2:$N$200,MATCH($Y127,'Test catalog'!$A$2:$A$200,0))),"")</f>
        <v/>
      </c>
      <c r="Q127" s="11">
        <f>IFERROR(IF(INDEX('Test catalog'!$O$2:$O$200,MATCH($Y127,'Test catalog'!$A$2:$A$200,0))="","",INDEX('Test catalog'!$O$2:$O$200,MATCH($Y127,'Test catalog'!$A$2:$A$200,0))),"")</f>
        <v/>
      </c>
      <c r="R127" s="11">
        <f>IFERROR(IF(INDEX('Test catalog'!$P$2:$P$200,MATCH($Y127,'Test catalog'!$A$2:$A$200,0))="","",INDEX('Test catalog'!$P$2:$P$200,MATCH($Y127,'Test catalog'!$A$2:$A$200,0))),"")</f>
        <v/>
      </c>
      <c r="S127" s="14" t="n"/>
      <c r="T127" s="5" t="n"/>
      <c r="U127" s="11">
        <f>IFERROR(IF(INDEX('Test catalog'!$Q$2:$Q$200,MATCH($Y127,'Test catalog'!$A$2:$A$200,0))="","",INDEX('Test catalog'!$Q$2:$Q$200,MATCH($Y127,'Test catalog'!$A$2:$A$200,0))),"")</f>
        <v/>
      </c>
      <c r="V127" s="5" t="n"/>
      <c r="W127" s="5" t="n"/>
      <c r="X127" s="5" t="n"/>
      <c r="Y127" s="5" t="inlineStr">
        <is>
          <t>ENUM</t>
        </is>
      </c>
      <c r="Z127" s="11" t="inlineStr">
        <is>
          <t>No micro test in USP-NF - set Y if your specification has one</t>
        </is>
      </c>
    </row>
    <row r="128">
      <c r="A128" s="11" t="inlineStr">
        <is>
          <t>Pyridoxine Hydrochloride (Vitamin B6)</t>
        </is>
      </c>
      <c r="B128" s="11" t="inlineStr">
        <is>
          <t>RM</t>
        </is>
      </c>
      <c r="C128" s="11" t="inlineStr">
        <is>
          <t>Active</t>
        </is>
      </c>
      <c r="D128" s="11" t="inlineStr">
        <is>
          <t>Microbial enumeration - TAMC + TYMC (&lt;61&gt; / &lt;2021&gt;)</t>
        </is>
      </c>
      <c r="E128" s="5" t="inlineStr">
        <is>
          <t>N</t>
        </is>
      </c>
      <c r="F128" s="5" t="n"/>
      <c r="G128" s="11">
        <f>IFERROR(IF(INDEX('Test catalog'!$F$2:$F$200,MATCH($Y128,'Test catalog'!$A$2:$A$200,0))="","",INDEX('Test catalog'!$F$2:$F$200,MATCH($Y128,'Test catalog'!$A$2:$A$200,0))),"")</f>
        <v/>
      </c>
      <c r="H128" s="11">
        <f>IFERROR(IF(INDEX('Test catalog'!$G$2:$G$200,MATCH($Y128,'Test catalog'!$A$2:$A$200,0))="","",INDEX('Test catalog'!$G$2:$G$200,MATCH($Y128,'Test catalog'!$A$2:$A$200,0))),"")</f>
        <v/>
      </c>
      <c r="I128" s="11">
        <f>IFERROR(IF(INDEX('Test catalog'!$H$2:$H$200,MATCH($Y128,'Test catalog'!$A$2:$A$200,0))="","",INDEX('Test catalog'!$H$2:$H$200,MATCH($Y128,'Test catalog'!$A$2:$A$200,0))),"")</f>
        <v/>
      </c>
      <c r="J128" s="11">
        <f>IFERROR(IF(INDEX('Test catalog'!$I$2:$I$200,MATCH($Y128,'Test catalog'!$A$2:$A$200,0))="","",INDEX('Test catalog'!$I$2:$I$200,MATCH($Y128,'Test catalog'!$A$2:$A$200,0))),"")</f>
        <v/>
      </c>
      <c r="K128" s="13">
        <f>IF(I128="","",IF(OR(H128="",J128=""),I128,(H128+4*I128+J128)/6))</f>
        <v/>
      </c>
      <c r="L128" s="11">
        <f>IFERROR(IF(INDEX('Test catalog'!$J$2:$J$200,MATCH($Y128,'Test catalog'!$A$2:$A$200,0))="","",INDEX('Test catalog'!$J$2:$J$200,MATCH($Y128,'Test catalog'!$A$2:$A$200,0))),"")</f>
        <v/>
      </c>
      <c r="M128" s="11">
        <f>IFERROR(IF(INDEX('Test catalog'!$K$2:$K$200,MATCH($Y128,'Test catalog'!$A$2:$A$200,0))="","",INDEX('Test catalog'!$K$2:$K$200,MATCH($Y128,'Test catalog'!$A$2:$A$200,0))),"")</f>
        <v/>
      </c>
      <c r="N128" s="11">
        <f>IFERROR(IF(INDEX('Test catalog'!$L$2:$L$200,MATCH($Y128,'Test catalog'!$A$2:$A$200,0))="","",INDEX('Test catalog'!$L$2:$L$200,MATCH($Y128,'Test catalog'!$A$2:$A$200,0))),"")</f>
        <v/>
      </c>
      <c r="O128" s="11">
        <f>IFERROR(IF(INDEX('Test catalog'!$M$2:$M$200,MATCH($Y128,'Test catalog'!$A$2:$A$200,0))="","",INDEX('Test catalog'!$M$2:$M$200,MATCH($Y128,'Test catalog'!$A$2:$A$200,0))),"")</f>
        <v/>
      </c>
      <c r="P128" s="11">
        <f>IFERROR(IF(INDEX('Test catalog'!$N$2:$N$200,MATCH($Y128,'Test catalog'!$A$2:$A$200,0))="","",INDEX('Test catalog'!$N$2:$N$200,MATCH($Y128,'Test catalog'!$A$2:$A$200,0))),"")</f>
        <v/>
      </c>
      <c r="Q128" s="11">
        <f>IFERROR(IF(INDEX('Test catalog'!$O$2:$O$200,MATCH($Y128,'Test catalog'!$A$2:$A$200,0))="","",INDEX('Test catalog'!$O$2:$O$200,MATCH($Y128,'Test catalog'!$A$2:$A$200,0))),"")</f>
        <v/>
      </c>
      <c r="R128" s="11">
        <f>IFERROR(IF(INDEX('Test catalog'!$P$2:$P$200,MATCH($Y128,'Test catalog'!$A$2:$A$200,0))="","",INDEX('Test catalog'!$P$2:$P$200,MATCH($Y128,'Test catalog'!$A$2:$A$200,0))),"")</f>
        <v/>
      </c>
      <c r="S128" s="14" t="n"/>
      <c r="T128" s="5" t="n"/>
      <c r="U128" s="11">
        <f>IFERROR(IF(INDEX('Test catalog'!$Q$2:$Q$200,MATCH($Y128,'Test catalog'!$A$2:$A$200,0))="","",INDEX('Test catalog'!$Q$2:$Q$200,MATCH($Y128,'Test catalog'!$A$2:$A$200,0))),"")</f>
        <v/>
      </c>
      <c r="V128" s="5" t="n"/>
      <c r="W128" s="5" t="n"/>
      <c r="X128" s="5" t="n"/>
      <c r="Y128" s="5" t="inlineStr">
        <is>
          <t>ENUM</t>
        </is>
      </c>
      <c r="Z128" s="11" t="inlineStr">
        <is>
          <t>No micro test in USP-NF - set Y if your specification has one</t>
        </is>
      </c>
    </row>
    <row r="129">
      <c r="A129" s="11" t="inlineStr">
        <is>
          <t>Ranolazine</t>
        </is>
      </c>
      <c r="B129" s="11" t="inlineStr">
        <is>
          <t>RM</t>
        </is>
      </c>
      <c r="C129" s="11" t="inlineStr">
        <is>
          <t>Active</t>
        </is>
      </c>
      <c r="D129" s="11" t="inlineStr">
        <is>
          <t>Microbial enumeration - TAMC + TYMC (&lt;61&gt; / &lt;2021&gt;)</t>
        </is>
      </c>
      <c r="E129" s="5" t="inlineStr">
        <is>
          <t>N</t>
        </is>
      </c>
      <c r="F129" s="5" t="n"/>
      <c r="G129" s="11">
        <f>IFERROR(IF(INDEX('Test catalog'!$F$2:$F$200,MATCH($Y129,'Test catalog'!$A$2:$A$200,0))="","",INDEX('Test catalog'!$F$2:$F$200,MATCH($Y129,'Test catalog'!$A$2:$A$200,0))),"")</f>
        <v/>
      </c>
      <c r="H129" s="11">
        <f>IFERROR(IF(INDEX('Test catalog'!$G$2:$G$200,MATCH($Y129,'Test catalog'!$A$2:$A$200,0))="","",INDEX('Test catalog'!$G$2:$G$200,MATCH($Y129,'Test catalog'!$A$2:$A$200,0))),"")</f>
        <v/>
      </c>
      <c r="I129" s="11">
        <f>IFERROR(IF(INDEX('Test catalog'!$H$2:$H$200,MATCH($Y129,'Test catalog'!$A$2:$A$200,0))="","",INDEX('Test catalog'!$H$2:$H$200,MATCH($Y129,'Test catalog'!$A$2:$A$200,0))),"")</f>
        <v/>
      </c>
      <c r="J129" s="11">
        <f>IFERROR(IF(INDEX('Test catalog'!$I$2:$I$200,MATCH($Y129,'Test catalog'!$A$2:$A$200,0))="","",INDEX('Test catalog'!$I$2:$I$200,MATCH($Y129,'Test catalog'!$A$2:$A$200,0))),"")</f>
        <v/>
      </c>
      <c r="K129" s="13">
        <f>IF(I129="","",IF(OR(H129="",J129=""),I129,(H129+4*I129+J129)/6))</f>
        <v/>
      </c>
      <c r="L129" s="11">
        <f>IFERROR(IF(INDEX('Test catalog'!$J$2:$J$200,MATCH($Y129,'Test catalog'!$A$2:$A$200,0))="","",INDEX('Test catalog'!$J$2:$J$200,MATCH($Y129,'Test catalog'!$A$2:$A$200,0))),"")</f>
        <v/>
      </c>
      <c r="M129" s="11">
        <f>IFERROR(IF(INDEX('Test catalog'!$K$2:$K$200,MATCH($Y129,'Test catalog'!$A$2:$A$200,0))="","",INDEX('Test catalog'!$K$2:$K$200,MATCH($Y129,'Test catalog'!$A$2:$A$200,0))),"")</f>
        <v/>
      </c>
      <c r="N129" s="11">
        <f>IFERROR(IF(INDEX('Test catalog'!$L$2:$L$200,MATCH($Y129,'Test catalog'!$A$2:$A$200,0))="","",INDEX('Test catalog'!$L$2:$L$200,MATCH($Y129,'Test catalog'!$A$2:$A$200,0))),"")</f>
        <v/>
      </c>
      <c r="O129" s="11">
        <f>IFERROR(IF(INDEX('Test catalog'!$M$2:$M$200,MATCH($Y129,'Test catalog'!$A$2:$A$200,0))="","",INDEX('Test catalog'!$M$2:$M$200,MATCH($Y129,'Test catalog'!$A$2:$A$200,0))),"")</f>
        <v/>
      </c>
      <c r="P129" s="11">
        <f>IFERROR(IF(INDEX('Test catalog'!$N$2:$N$200,MATCH($Y129,'Test catalog'!$A$2:$A$200,0))="","",INDEX('Test catalog'!$N$2:$N$200,MATCH($Y129,'Test catalog'!$A$2:$A$200,0))),"")</f>
        <v/>
      </c>
      <c r="Q129" s="11">
        <f>IFERROR(IF(INDEX('Test catalog'!$O$2:$O$200,MATCH($Y129,'Test catalog'!$A$2:$A$200,0))="","",INDEX('Test catalog'!$O$2:$O$200,MATCH($Y129,'Test catalog'!$A$2:$A$200,0))),"")</f>
        <v/>
      </c>
      <c r="R129" s="11">
        <f>IFERROR(IF(INDEX('Test catalog'!$P$2:$P$200,MATCH($Y129,'Test catalog'!$A$2:$A$200,0))="","",INDEX('Test catalog'!$P$2:$P$200,MATCH($Y129,'Test catalog'!$A$2:$A$200,0))),"")</f>
        <v/>
      </c>
      <c r="S129" s="14" t="n"/>
      <c r="T129" s="5" t="n"/>
      <c r="U129" s="11">
        <f>IFERROR(IF(INDEX('Test catalog'!$Q$2:$Q$200,MATCH($Y129,'Test catalog'!$A$2:$A$200,0))="","",INDEX('Test catalog'!$Q$2:$Q$200,MATCH($Y129,'Test catalog'!$A$2:$A$200,0))),"")</f>
        <v/>
      </c>
      <c r="V129" s="5" t="n"/>
      <c r="W129" s="5" t="n"/>
      <c r="X129" s="5" t="n"/>
      <c r="Y129" s="5" t="inlineStr">
        <is>
          <t>ENUM</t>
        </is>
      </c>
      <c r="Z129" s="11" t="inlineStr">
        <is>
          <t>No micro test in USP-NF - set Y if your specification has one</t>
        </is>
      </c>
    </row>
    <row r="130">
      <c r="A130" s="11" t="inlineStr">
        <is>
          <t>Resmetirom</t>
        </is>
      </c>
      <c r="B130" s="11" t="inlineStr">
        <is>
          <t>RM</t>
        </is>
      </c>
      <c r="C130" s="11" t="inlineStr">
        <is>
          <t>Active</t>
        </is>
      </c>
      <c r="D130" s="11" t="inlineStr">
        <is>
          <t>Microbial enumeration - TAMC + TYMC (&lt;61&gt; / &lt;2021&gt;)</t>
        </is>
      </c>
      <c r="E130" s="5" t="inlineStr">
        <is>
          <t>N</t>
        </is>
      </c>
      <c r="F130" s="5" t="n"/>
      <c r="G130" s="11">
        <f>IFERROR(IF(INDEX('Test catalog'!$F$2:$F$200,MATCH($Y130,'Test catalog'!$A$2:$A$200,0))="","",INDEX('Test catalog'!$F$2:$F$200,MATCH($Y130,'Test catalog'!$A$2:$A$200,0))),"")</f>
        <v/>
      </c>
      <c r="H130" s="11">
        <f>IFERROR(IF(INDEX('Test catalog'!$G$2:$G$200,MATCH($Y130,'Test catalog'!$A$2:$A$200,0))="","",INDEX('Test catalog'!$G$2:$G$200,MATCH($Y130,'Test catalog'!$A$2:$A$200,0))),"")</f>
        <v/>
      </c>
      <c r="I130" s="11">
        <f>IFERROR(IF(INDEX('Test catalog'!$H$2:$H$200,MATCH($Y130,'Test catalog'!$A$2:$A$200,0))="","",INDEX('Test catalog'!$H$2:$H$200,MATCH($Y130,'Test catalog'!$A$2:$A$200,0))),"")</f>
        <v/>
      </c>
      <c r="J130" s="11">
        <f>IFERROR(IF(INDEX('Test catalog'!$I$2:$I$200,MATCH($Y130,'Test catalog'!$A$2:$A$200,0))="","",INDEX('Test catalog'!$I$2:$I$200,MATCH($Y130,'Test catalog'!$A$2:$A$200,0))),"")</f>
        <v/>
      </c>
      <c r="K130" s="13">
        <f>IF(I130="","",IF(OR(H130="",J130=""),I130,(H130+4*I130+J130)/6))</f>
        <v/>
      </c>
      <c r="L130" s="11">
        <f>IFERROR(IF(INDEX('Test catalog'!$J$2:$J$200,MATCH($Y130,'Test catalog'!$A$2:$A$200,0))="","",INDEX('Test catalog'!$J$2:$J$200,MATCH($Y130,'Test catalog'!$A$2:$A$200,0))),"")</f>
        <v/>
      </c>
      <c r="M130" s="11">
        <f>IFERROR(IF(INDEX('Test catalog'!$K$2:$K$200,MATCH($Y130,'Test catalog'!$A$2:$A$200,0))="","",INDEX('Test catalog'!$K$2:$K$200,MATCH($Y130,'Test catalog'!$A$2:$A$200,0))),"")</f>
        <v/>
      </c>
      <c r="N130" s="11">
        <f>IFERROR(IF(INDEX('Test catalog'!$L$2:$L$200,MATCH($Y130,'Test catalog'!$A$2:$A$200,0))="","",INDEX('Test catalog'!$L$2:$L$200,MATCH($Y130,'Test catalog'!$A$2:$A$200,0))),"")</f>
        <v/>
      </c>
      <c r="O130" s="11">
        <f>IFERROR(IF(INDEX('Test catalog'!$M$2:$M$200,MATCH($Y130,'Test catalog'!$A$2:$A$200,0))="","",INDEX('Test catalog'!$M$2:$M$200,MATCH($Y130,'Test catalog'!$A$2:$A$200,0))),"")</f>
        <v/>
      </c>
      <c r="P130" s="11">
        <f>IFERROR(IF(INDEX('Test catalog'!$N$2:$N$200,MATCH($Y130,'Test catalog'!$A$2:$A$200,0))="","",INDEX('Test catalog'!$N$2:$N$200,MATCH($Y130,'Test catalog'!$A$2:$A$200,0))),"")</f>
        <v/>
      </c>
      <c r="Q130" s="11">
        <f>IFERROR(IF(INDEX('Test catalog'!$O$2:$O$200,MATCH($Y130,'Test catalog'!$A$2:$A$200,0))="","",INDEX('Test catalog'!$O$2:$O$200,MATCH($Y130,'Test catalog'!$A$2:$A$200,0))),"")</f>
        <v/>
      </c>
      <c r="R130" s="11">
        <f>IFERROR(IF(INDEX('Test catalog'!$P$2:$P$200,MATCH($Y130,'Test catalog'!$A$2:$A$200,0))="","",INDEX('Test catalog'!$P$2:$P$200,MATCH($Y130,'Test catalog'!$A$2:$A$200,0))),"")</f>
        <v/>
      </c>
      <c r="S130" s="14" t="n"/>
      <c r="T130" s="5" t="n"/>
      <c r="U130" s="11">
        <f>IFERROR(IF(INDEX('Test catalog'!$Q$2:$Q$200,MATCH($Y130,'Test catalog'!$A$2:$A$200,0))="","",INDEX('Test catalog'!$Q$2:$Q$200,MATCH($Y130,'Test catalog'!$A$2:$A$200,0))),"")</f>
        <v/>
      </c>
      <c r="V130" s="5" t="n"/>
      <c r="W130" s="5" t="n"/>
      <c r="X130" s="5" t="n"/>
      <c r="Y130" s="5" t="inlineStr">
        <is>
          <t>ENUM</t>
        </is>
      </c>
      <c r="Z130" s="11" t="inlineStr">
        <is>
          <t>No micro test in USP-NF - set Y if your specification has one</t>
        </is>
      </c>
    </row>
    <row r="131">
      <c r="A131" s="11" t="inlineStr">
        <is>
          <t>Riboflavin (Vitamin B2)</t>
        </is>
      </c>
      <c r="B131" s="11" t="inlineStr">
        <is>
          <t>RM</t>
        </is>
      </c>
      <c r="C131" s="11" t="inlineStr">
        <is>
          <t>Active</t>
        </is>
      </c>
      <c r="D131" s="11" t="inlineStr">
        <is>
          <t>Microbial enumeration - TAMC + TYMC (&lt;61&gt; / &lt;2021&gt;)</t>
        </is>
      </c>
      <c r="E131" s="5" t="inlineStr">
        <is>
          <t>N</t>
        </is>
      </c>
      <c r="F131" s="5" t="n"/>
      <c r="G131" s="11">
        <f>IFERROR(IF(INDEX('Test catalog'!$F$2:$F$200,MATCH($Y131,'Test catalog'!$A$2:$A$200,0))="","",INDEX('Test catalog'!$F$2:$F$200,MATCH($Y131,'Test catalog'!$A$2:$A$200,0))),"")</f>
        <v/>
      </c>
      <c r="H131" s="11">
        <f>IFERROR(IF(INDEX('Test catalog'!$G$2:$G$200,MATCH($Y131,'Test catalog'!$A$2:$A$200,0))="","",INDEX('Test catalog'!$G$2:$G$200,MATCH($Y131,'Test catalog'!$A$2:$A$200,0))),"")</f>
        <v/>
      </c>
      <c r="I131" s="11">
        <f>IFERROR(IF(INDEX('Test catalog'!$H$2:$H$200,MATCH($Y131,'Test catalog'!$A$2:$A$200,0))="","",INDEX('Test catalog'!$H$2:$H$200,MATCH($Y131,'Test catalog'!$A$2:$A$200,0))),"")</f>
        <v/>
      </c>
      <c r="J131" s="11">
        <f>IFERROR(IF(INDEX('Test catalog'!$I$2:$I$200,MATCH($Y131,'Test catalog'!$A$2:$A$200,0))="","",INDEX('Test catalog'!$I$2:$I$200,MATCH($Y131,'Test catalog'!$A$2:$A$200,0))),"")</f>
        <v/>
      </c>
      <c r="K131" s="13">
        <f>IF(I131="","",IF(OR(H131="",J131=""),I131,(H131+4*I131+J131)/6))</f>
        <v/>
      </c>
      <c r="L131" s="11">
        <f>IFERROR(IF(INDEX('Test catalog'!$J$2:$J$200,MATCH($Y131,'Test catalog'!$A$2:$A$200,0))="","",INDEX('Test catalog'!$J$2:$J$200,MATCH($Y131,'Test catalog'!$A$2:$A$200,0))),"")</f>
        <v/>
      </c>
      <c r="M131" s="11">
        <f>IFERROR(IF(INDEX('Test catalog'!$K$2:$K$200,MATCH($Y131,'Test catalog'!$A$2:$A$200,0))="","",INDEX('Test catalog'!$K$2:$K$200,MATCH($Y131,'Test catalog'!$A$2:$A$200,0))),"")</f>
        <v/>
      </c>
      <c r="N131" s="11">
        <f>IFERROR(IF(INDEX('Test catalog'!$L$2:$L$200,MATCH($Y131,'Test catalog'!$A$2:$A$200,0))="","",INDEX('Test catalog'!$L$2:$L$200,MATCH($Y131,'Test catalog'!$A$2:$A$200,0))),"")</f>
        <v/>
      </c>
      <c r="O131" s="11">
        <f>IFERROR(IF(INDEX('Test catalog'!$M$2:$M$200,MATCH($Y131,'Test catalog'!$A$2:$A$200,0))="","",INDEX('Test catalog'!$M$2:$M$200,MATCH($Y131,'Test catalog'!$A$2:$A$200,0))),"")</f>
        <v/>
      </c>
      <c r="P131" s="11">
        <f>IFERROR(IF(INDEX('Test catalog'!$N$2:$N$200,MATCH($Y131,'Test catalog'!$A$2:$A$200,0))="","",INDEX('Test catalog'!$N$2:$N$200,MATCH($Y131,'Test catalog'!$A$2:$A$200,0))),"")</f>
        <v/>
      </c>
      <c r="Q131" s="11">
        <f>IFERROR(IF(INDEX('Test catalog'!$O$2:$O$200,MATCH($Y131,'Test catalog'!$A$2:$A$200,0))="","",INDEX('Test catalog'!$O$2:$O$200,MATCH($Y131,'Test catalog'!$A$2:$A$200,0))),"")</f>
        <v/>
      </c>
      <c r="R131" s="11">
        <f>IFERROR(IF(INDEX('Test catalog'!$P$2:$P$200,MATCH($Y131,'Test catalog'!$A$2:$A$200,0))="","",INDEX('Test catalog'!$P$2:$P$200,MATCH($Y131,'Test catalog'!$A$2:$A$200,0))),"")</f>
        <v/>
      </c>
      <c r="S131" s="14" t="n"/>
      <c r="T131" s="5" t="n"/>
      <c r="U131" s="11">
        <f>IFERROR(IF(INDEX('Test catalog'!$Q$2:$Q$200,MATCH($Y131,'Test catalog'!$A$2:$A$200,0))="","",INDEX('Test catalog'!$Q$2:$Q$200,MATCH($Y131,'Test catalog'!$A$2:$A$200,0))),"")</f>
        <v/>
      </c>
      <c r="V131" s="5" t="n"/>
      <c r="W131" s="5" t="n"/>
      <c r="X131" s="5" t="n"/>
      <c r="Y131" s="5" t="inlineStr">
        <is>
          <t>ENUM</t>
        </is>
      </c>
      <c r="Z131" s="11" t="inlineStr">
        <is>
          <t>No micro test in USP-NF - set Y if your specification has one</t>
        </is>
      </c>
    </row>
    <row r="132">
      <c r="A132" s="11" t="inlineStr">
        <is>
          <t>Rosuvastatin Calcium</t>
        </is>
      </c>
      <c r="B132" s="11" t="inlineStr">
        <is>
          <t>RM</t>
        </is>
      </c>
      <c r="C132" s="11" t="inlineStr">
        <is>
          <t>Active</t>
        </is>
      </c>
      <c r="D132" s="11" t="inlineStr">
        <is>
          <t>Microbial enumeration - TAMC + TYMC (&lt;61&gt; / &lt;2021&gt;)</t>
        </is>
      </c>
      <c r="E132" s="5" t="inlineStr">
        <is>
          <t>N</t>
        </is>
      </c>
      <c r="F132" s="5" t="n"/>
      <c r="G132" s="11">
        <f>IFERROR(IF(INDEX('Test catalog'!$F$2:$F$200,MATCH($Y132,'Test catalog'!$A$2:$A$200,0))="","",INDEX('Test catalog'!$F$2:$F$200,MATCH($Y132,'Test catalog'!$A$2:$A$200,0))),"")</f>
        <v/>
      </c>
      <c r="H132" s="11">
        <f>IFERROR(IF(INDEX('Test catalog'!$G$2:$G$200,MATCH($Y132,'Test catalog'!$A$2:$A$200,0))="","",INDEX('Test catalog'!$G$2:$G$200,MATCH($Y132,'Test catalog'!$A$2:$A$200,0))),"")</f>
        <v/>
      </c>
      <c r="I132" s="11">
        <f>IFERROR(IF(INDEX('Test catalog'!$H$2:$H$200,MATCH($Y132,'Test catalog'!$A$2:$A$200,0))="","",INDEX('Test catalog'!$H$2:$H$200,MATCH($Y132,'Test catalog'!$A$2:$A$200,0))),"")</f>
        <v/>
      </c>
      <c r="J132" s="11">
        <f>IFERROR(IF(INDEX('Test catalog'!$I$2:$I$200,MATCH($Y132,'Test catalog'!$A$2:$A$200,0))="","",INDEX('Test catalog'!$I$2:$I$200,MATCH($Y132,'Test catalog'!$A$2:$A$200,0))),"")</f>
        <v/>
      </c>
      <c r="K132" s="13">
        <f>IF(I132="","",IF(OR(H132="",J132=""),I132,(H132+4*I132+J132)/6))</f>
        <v/>
      </c>
      <c r="L132" s="11">
        <f>IFERROR(IF(INDEX('Test catalog'!$J$2:$J$200,MATCH($Y132,'Test catalog'!$A$2:$A$200,0))="","",INDEX('Test catalog'!$J$2:$J$200,MATCH($Y132,'Test catalog'!$A$2:$A$200,0))),"")</f>
        <v/>
      </c>
      <c r="M132" s="11">
        <f>IFERROR(IF(INDEX('Test catalog'!$K$2:$K$200,MATCH($Y132,'Test catalog'!$A$2:$A$200,0))="","",INDEX('Test catalog'!$K$2:$K$200,MATCH($Y132,'Test catalog'!$A$2:$A$200,0))),"")</f>
        <v/>
      </c>
      <c r="N132" s="11">
        <f>IFERROR(IF(INDEX('Test catalog'!$L$2:$L$200,MATCH($Y132,'Test catalog'!$A$2:$A$200,0))="","",INDEX('Test catalog'!$L$2:$L$200,MATCH($Y132,'Test catalog'!$A$2:$A$200,0))),"")</f>
        <v/>
      </c>
      <c r="O132" s="11">
        <f>IFERROR(IF(INDEX('Test catalog'!$M$2:$M$200,MATCH($Y132,'Test catalog'!$A$2:$A$200,0))="","",INDEX('Test catalog'!$M$2:$M$200,MATCH($Y132,'Test catalog'!$A$2:$A$200,0))),"")</f>
        <v/>
      </c>
      <c r="P132" s="11">
        <f>IFERROR(IF(INDEX('Test catalog'!$N$2:$N$200,MATCH($Y132,'Test catalog'!$A$2:$A$200,0))="","",INDEX('Test catalog'!$N$2:$N$200,MATCH($Y132,'Test catalog'!$A$2:$A$200,0))),"")</f>
        <v/>
      </c>
      <c r="Q132" s="11">
        <f>IFERROR(IF(INDEX('Test catalog'!$O$2:$O$200,MATCH($Y132,'Test catalog'!$A$2:$A$200,0))="","",INDEX('Test catalog'!$O$2:$O$200,MATCH($Y132,'Test catalog'!$A$2:$A$200,0))),"")</f>
        <v/>
      </c>
      <c r="R132" s="11">
        <f>IFERROR(IF(INDEX('Test catalog'!$P$2:$P$200,MATCH($Y132,'Test catalog'!$A$2:$A$200,0))="","",INDEX('Test catalog'!$P$2:$P$200,MATCH($Y132,'Test catalog'!$A$2:$A$200,0))),"")</f>
        <v/>
      </c>
      <c r="S132" s="14" t="n"/>
      <c r="T132" s="5" t="n"/>
      <c r="U132" s="11">
        <f>IFERROR(IF(INDEX('Test catalog'!$Q$2:$Q$200,MATCH($Y132,'Test catalog'!$A$2:$A$200,0))="","",INDEX('Test catalog'!$Q$2:$Q$200,MATCH($Y132,'Test catalog'!$A$2:$A$200,0))),"")</f>
        <v/>
      </c>
      <c r="V132" s="5" t="n"/>
      <c r="W132" s="5" t="n"/>
      <c r="X132" s="5" t="n"/>
      <c r="Y132" s="5" t="inlineStr">
        <is>
          <t>ENUM</t>
        </is>
      </c>
      <c r="Z132" s="11" t="inlineStr">
        <is>
          <t>No micro test in USP-NF - set Y if your specification has one</t>
        </is>
      </c>
    </row>
    <row r="133">
      <c r="A133" s="11" t="inlineStr">
        <is>
          <t>Sacubitril/Valsartan 3Sodium 2.5H2O Co-crystal</t>
        </is>
      </c>
      <c r="B133" s="11" t="inlineStr">
        <is>
          <t>RM</t>
        </is>
      </c>
      <c r="C133" s="11" t="inlineStr">
        <is>
          <t>Active</t>
        </is>
      </c>
      <c r="D133" s="11" t="inlineStr">
        <is>
          <t>Microbial enumeration - TAMC + TYMC (&lt;61&gt; / &lt;2021&gt;)</t>
        </is>
      </c>
      <c r="E133" s="5" t="inlineStr">
        <is>
          <t>N</t>
        </is>
      </c>
      <c r="F133" s="5" t="n"/>
      <c r="G133" s="11">
        <f>IFERROR(IF(INDEX('Test catalog'!$F$2:$F$200,MATCH($Y133,'Test catalog'!$A$2:$A$200,0))="","",INDEX('Test catalog'!$F$2:$F$200,MATCH($Y133,'Test catalog'!$A$2:$A$200,0))),"")</f>
        <v/>
      </c>
      <c r="H133" s="11">
        <f>IFERROR(IF(INDEX('Test catalog'!$G$2:$G$200,MATCH($Y133,'Test catalog'!$A$2:$A$200,0))="","",INDEX('Test catalog'!$G$2:$G$200,MATCH($Y133,'Test catalog'!$A$2:$A$200,0))),"")</f>
        <v/>
      </c>
      <c r="I133" s="11">
        <f>IFERROR(IF(INDEX('Test catalog'!$H$2:$H$200,MATCH($Y133,'Test catalog'!$A$2:$A$200,0))="","",INDEX('Test catalog'!$H$2:$H$200,MATCH($Y133,'Test catalog'!$A$2:$A$200,0))),"")</f>
        <v/>
      </c>
      <c r="J133" s="11">
        <f>IFERROR(IF(INDEX('Test catalog'!$I$2:$I$200,MATCH($Y133,'Test catalog'!$A$2:$A$200,0))="","",INDEX('Test catalog'!$I$2:$I$200,MATCH($Y133,'Test catalog'!$A$2:$A$200,0))),"")</f>
        <v/>
      </c>
      <c r="K133" s="13">
        <f>IF(I133="","",IF(OR(H133="",J133=""),I133,(H133+4*I133+J133)/6))</f>
        <v/>
      </c>
      <c r="L133" s="11">
        <f>IFERROR(IF(INDEX('Test catalog'!$J$2:$J$200,MATCH($Y133,'Test catalog'!$A$2:$A$200,0))="","",INDEX('Test catalog'!$J$2:$J$200,MATCH($Y133,'Test catalog'!$A$2:$A$200,0))),"")</f>
        <v/>
      </c>
      <c r="M133" s="11">
        <f>IFERROR(IF(INDEX('Test catalog'!$K$2:$K$200,MATCH($Y133,'Test catalog'!$A$2:$A$200,0))="","",INDEX('Test catalog'!$K$2:$K$200,MATCH($Y133,'Test catalog'!$A$2:$A$200,0))),"")</f>
        <v/>
      </c>
      <c r="N133" s="11">
        <f>IFERROR(IF(INDEX('Test catalog'!$L$2:$L$200,MATCH($Y133,'Test catalog'!$A$2:$A$200,0))="","",INDEX('Test catalog'!$L$2:$L$200,MATCH($Y133,'Test catalog'!$A$2:$A$200,0))),"")</f>
        <v/>
      </c>
      <c r="O133" s="11">
        <f>IFERROR(IF(INDEX('Test catalog'!$M$2:$M$200,MATCH($Y133,'Test catalog'!$A$2:$A$200,0))="","",INDEX('Test catalog'!$M$2:$M$200,MATCH($Y133,'Test catalog'!$A$2:$A$200,0))),"")</f>
        <v/>
      </c>
      <c r="P133" s="11">
        <f>IFERROR(IF(INDEX('Test catalog'!$N$2:$N$200,MATCH($Y133,'Test catalog'!$A$2:$A$200,0))="","",INDEX('Test catalog'!$N$2:$N$200,MATCH($Y133,'Test catalog'!$A$2:$A$200,0))),"")</f>
        <v/>
      </c>
      <c r="Q133" s="11">
        <f>IFERROR(IF(INDEX('Test catalog'!$O$2:$O$200,MATCH($Y133,'Test catalog'!$A$2:$A$200,0))="","",INDEX('Test catalog'!$O$2:$O$200,MATCH($Y133,'Test catalog'!$A$2:$A$200,0))),"")</f>
        <v/>
      </c>
      <c r="R133" s="11">
        <f>IFERROR(IF(INDEX('Test catalog'!$P$2:$P$200,MATCH($Y133,'Test catalog'!$A$2:$A$200,0))="","",INDEX('Test catalog'!$P$2:$P$200,MATCH($Y133,'Test catalog'!$A$2:$A$200,0))),"")</f>
        <v/>
      </c>
      <c r="S133" s="14" t="n"/>
      <c r="T133" s="5" t="n"/>
      <c r="U133" s="11">
        <f>IFERROR(IF(INDEX('Test catalog'!$Q$2:$Q$200,MATCH($Y133,'Test catalog'!$A$2:$A$200,0))="","",INDEX('Test catalog'!$Q$2:$Q$200,MATCH($Y133,'Test catalog'!$A$2:$A$200,0))),"")</f>
        <v/>
      </c>
      <c r="V133" s="5" t="n"/>
      <c r="W133" s="5" t="n"/>
      <c r="X133" s="5" t="n"/>
      <c r="Y133" s="5" t="inlineStr">
        <is>
          <t>ENUM</t>
        </is>
      </c>
      <c r="Z133" s="11" t="inlineStr">
        <is>
          <t>No micro test in USP-NF - set Y if your specification has one</t>
        </is>
      </c>
    </row>
    <row r="134">
      <c r="A134" s="11" t="inlineStr">
        <is>
          <t>Saw Palmetto Dry Extract 4:1</t>
        </is>
      </c>
      <c r="B134" s="11" t="inlineStr">
        <is>
          <t>RM</t>
        </is>
      </c>
      <c r="C134" s="11" t="inlineStr">
        <is>
          <t>Active</t>
        </is>
      </c>
      <c r="D134" s="11" t="inlineStr">
        <is>
          <t>Microbial enumeration - TAMC + TYMC (&lt;61&gt; / &lt;2021&gt;)</t>
        </is>
      </c>
      <c r="E134" s="5" t="inlineStr">
        <is>
          <t>Y</t>
        </is>
      </c>
      <c r="F134" s="5" t="n"/>
      <c r="G134" s="11">
        <f>IFERROR(IF(INDEX('Test catalog'!$F$2:$F$200,MATCH($Y134,'Test catalog'!$A$2:$A$200,0))="","",INDEX('Test catalog'!$F$2:$F$200,MATCH($Y134,'Test catalog'!$A$2:$A$200,0))),"")</f>
        <v/>
      </c>
      <c r="H134" s="11">
        <f>IFERROR(IF(INDEX('Test catalog'!$G$2:$G$200,MATCH($Y134,'Test catalog'!$A$2:$A$200,0))="","",INDEX('Test catalog'!$G$2:$G$200,MATCH($Y134,'Test catalog'!$A$2:$A$200,0))),"")</f>
        <v/>
      </c>
      <c r="I134" s="11">
        <f>IFERROR(IF(INDEX('Test catalog'!$H$2:$H$200,MATCH($Y134,'Test catalog'!$A$2:$A$200,0))="","",INDEX('Test catalog'!$H$2:$H$200,MATCH($Y134,'Test catalog'!$A$2:$A$200,0))),"")</f>
        <v/>
      </c>
      <c r="J134" s="11">
        <f>IFERROR(IF(INDEX('Test catalog'!$I$2:$I$200,MATCH($Y134,'Test catalog'!$A$2:$A$200,0))="","",INDEX('Test catalog'!$I$2:$I$200,MATCH($Y134,'Test catalog'!$A$2:$A$200,0))),"")</f>
        <v/>
      </c>
      <c r="K134" s="13">
        <f>IF(I134="","",IF(OR(H134="",J134=""),I134,(H134+4*I134+J134)/6))</f>
        <v/>
      </c>
      <c r="L134" s="11">
        <f>IFERROR(IF(INDEX('Test catalog'!$J$2:$J$200,MATCH($Y134,'Test catalog'!$A$2:$A$200,0))="","",INDEX('Test catalog'!$J$2:$J$200,MATCH($Y134,'Test catalog'!$A$2:$A$200,0))),"")</f>
        <v/>
      </c>
      <c r="M134" s="11">
        <f>IFERROR(IF(INDEX('Test catalog'!$K$2:$K$200,MATCH($Y134,'Test catalog'!$A$2:$A$200,0))="","",INDEX('Test catalog'!$K$2:$K$200,MATCH($Y134,'Test catalog'!$A$2:$A$200,0))),"")</f>
        <v/>
      </c>
      <c r="N134" s="11">
        <f>IFERROR(IF(INDEX('Test catalog'!$L$2:$L$200,MATCH($Y134,'Test catalog'!$A$2:$A$200,0))="","",INDEX('Test catalog'!$L$2:$L$200,MATCH($Y134,'Test catalog'!$A$2:$A$200,0))),"")</f>
        <v/>
      </c>
      <c r="O134" s="11">
        <f>IFERROR(IF(INDEX('Test catalog'!$M$2:$M$200,MATCH($Y134,'Test catalog'!$A$2:$A$200,0))="","",INDEX('Test catalog'!$M$2:$M$200,MATCH($Y134,'Test catalog'!$A$2:$A$200,0))),"")</f>
        <v/>
      </c>
      <c r="P134" s="11">
        <f>IFERROR(IF(INDEX('Test catalog'!$N$2:$N$200,MATCH($Y134,'Test catalog'!$A$2:$A$200,0))="","",INDEX('Test catalog'!$N$2:$N$200,MATCH($Y134,'Test catalog'!$A$2:$A$200,0))),"")</f>
        <v/>
      </c>
      <c r="Q134" s="11">
        <f>IFERROR(IF(INDEX('Test catalog'!$O$2:$O$200,MATCH($Y134,'Test catalog'!$A$2:$A$200,0))="","",INDEX('Test catalog'!$O$2:$O$200,MATCH($Y134,'Test catalog'!$A$2:$A$200,0))),"")</f>
        <v/>
      </c>
      <c r="R134" s="11">
        <f>IFERROR(IF(INDEX('Test catalog'!$P$2:$P$200,MATCH($Y134,'Test catalog'!$A$2:$A$200,0))="","",INDEX('Test catalog'!$P$2:$P$200,MATCH($Y134,'Test catalog'!$A$2:$A$200,0))),"")</f>
        <v/>
      </c>
      <c r="S134" s="14" t="n"/>
      <c r="T134" s="5" t="n"/>
      <c r="U134" s="11">
        <f>IFERROR(IF(INDEX('Test catalog'!$Q$2:$Q$200,MATCH($Y134,'Test catalog'!$A$2:$A$200,0))="","",INDEX('Test catalog'!$Q$2:$Q$200,MATCH($Y134,'Test catalog'!$A$2:$A$200,0))),"")</f>
        <v/>
      </c>
      <c r="V134" s="5" t="n"/>
      <c r="W134" s="5" t="n"/>
      <c r="X134" s="5" t="n"/>
      <c r="Y134" s="5" t="inlineStr">
        <is>
          <t>ENUM</t>
        </is>
      </c>
      <c r="Z134" s="11" t="inlineStr">
        <is>
          <t>USP-NF monograph &lt;2021&gt;</t>
        </is>
      </c>
    </row>
    <row r="135">
      <c r="A135" s="11" t="inlineStr">
        <is>
          <t>Saw Palmetto Dry Extract 4:1</t>
        </is>
      </c>
      <c r="B135" s="11" t="inlineStr">
        <is>
          <t>RM</t>
        </is>
      </c>
      <c r="C135" s="11" t="inlineStr">
        <is>
          <t>Active</t>
        </is>
      </c>
      <c r="D135" s="11" t="inlineStr">
        <is>
          <t>Absence of Escherichia coli (&lt;62&gt; / &lt;2022&gt;)</t>
        </is>
      </c>
      <c r="E135" s="5" t="inlineStr">
        <is>
          <t>Y</t>
        </is>
      </c>
      <c r="F135" s="5" t="n"/>
      <c r="G135" s="11">
        <f>IFERROR(IF(INDEX('Test catalog'!$F$2:$F$200,MATCH($Y135,'Test catalog'!$A$2:$A$200,0))="","",INDEX('Test catalog'!$F$2:$F$200,MATCH($Y135,'Test catalog'!$A$2:$A$200,0))),"")</f>
        <v/>
      </c>
      <c r="H135" s="11">
        <f>IFERROR(IF(INDEX('Test catalog'!$G$2:$G$200,MATCH($Y135,'Test catalog'!$A$2:$A$200,0))="","",INDEX('Test catalog'!$G$2:$G$200,MATCH($Y135,'Test catalog'!$A$2:$A$200,0))),"")</f>
        <v/>
      </c>
      <c r="I135" s="11">
        <f>IFERROR(IF(INDEX('Test catalog'!$H$2:$H$200,MATCH($Y135,'Test catalog'!$A$2:$A$200,0))="","",INDEX('Test catalog'!$H$2:$H$200,MATCH($Y135,'Test catalog'!$A$2:$A$200,0))),"")</f>
        <v/>
      </c>
      <c r="J135" s="11">
        <f>IFERROR(IF(INDEX('Test catalog'!$I$2:$I$200,MATCH($Y135,'Test catalog'!$A$2:$A$200,0))="","",INDEX('Test catalog'!$I$2:$I$200,MATCH($Y135,'Test catalog'!$A$2:$A$200,0))),"")</f>
        <v/>
      </c>
      <c r="K135" s="13">
        <f>IF(I135="","",IF(OR(H135="",J135=""),I135,(H135+4*I135+J135)/6))</f>
        <v/>
      </c>
      <c r="L135" s="11">
        <f>IFERROR(IF(INDEX('Test catalog'!$J$2:$J$200,MATCH($Y135,'Test catalog'!$A$2:$A$200,0))="","",INDEX('Test catalog'!$J$2:$J$200,MATCH($Y135,'Test catalog'!$A$2:$A$200,0))),"")</f>
        <v/>
      </c>
      <c r="M135" s="11">
        <f>IFERROR(IF(INDEX('Test catalog'!$K$2:$K$200,MATCH($Y135,'Test catalog'!$A$2:$A$200,0))="","",INDEX('Test catalog'!$K$2:$K$200,MATCH($Y135,'Test catalog'!$A$2:$A$200,0))),"")</f>
        <v/>
      </c>
      <c r="N135" s="11">
        <f>IFERROR(IF(INDEX('Test catalog'!$L$2:$L$200,MATCH($Y135,'Test catalog'!$A$2:$A$200,0))="","",INDEX('Test catalog'!$L$2:$L$200,MATCH($Y135,'Test catalog'!$A$2:$A$200,0))),"")</f>
        <v/>
      </c>
      <c r="O135" s="11">
        <f>IFERROR(IF(INDEX('Test catalog'!$M$2:$M$200,MATCH($Y135,'Test catalog'!$A$2:$A$200,0))="","",INDEX('Test catalog'!$M$2:$M$200,MATCH($Y135,'Test catalog'!$A$2:$A$200,0))),"")</f>
        <v/>
      </c>
      <c r="P135" s="11">
        <f>IFERROR(IF(INDEX('Test catalog'!$N$2:$N$200,MATCH($Y135,'Test catalog'!$A$2:$A$200,0))="","",INDEX('Test catalog'!$N$2:$N$200,MATCH($Y135,'Test catalog'!$A$2:$A$200,0))),"")</f>
        <v/>
      </c>
      <c r="Q135" s="11">
        <f>IFERROR(IF(INDEX('Test catalog'!$O$2:$O$200,MATCH($Y135,'Test catalog'!$A$2:$A$200,0))="","",INDEX('Test catalog'!$O$2:$O$200,MATCH($Y135,'Test catalog'!$A$2:$A$200,0))),"")</f>
        <v/>
      </c>
      <c r="R135" s="11">
        <f>IFERROR(IF(INDEX('Test catalog'!$P$2:$P$200,MATCH($Y135,'Test catalog'!$A$2:$A$200,0))="","",INDEX('Test catalog'!$P$2:$P$200,MATCH($Y135,'Test catalog'!$A$2:$A$200,0))),"")</f>
        <v/>
      </c>
      <c r="S135" s="14" t="n"/>
      <c r="T135" s="5" t="n"/>
      <c r="U135" s="11">
        <f>IFERROR(IF(INDEX('Test catalog'!$Q$2:$Q$200,MATCH($Y135,'Test catalog'!$A$2:$A$200,0))="","",INDEX('Test catalog'!$Q$2:$Q$200,MATCH($Y135,'Test catalog'!$A$2:$A$200,0))),"")</f>
        <v/>
      </c>
      <c r="V135" s="5" t="n"/>
      <c r="W135" s="5" t="n"/>
      <c r="X135" s="5" t="n"/>
      <c r="Y135" s="5" t="inlineStr">
        <is>
          <t>ECOLI</t>
        </is>
      </c>
      <c r="Z135" s="11" t="inlineStr">
        <is>
          <t>USP-NF monograph &lt;2022&gt;</t>
        </is>
      </c>
    </row>
    <row r="136">
      <c r="A136" s="11" t="inlineStr">
        <is>
          <t>Saw Palmetto Dry Extract 4:1</t>
        </is>
      </c>
      <c r="B136" s="11" t="inlineStr">
        <is>
          <t>RM</t>
        </is>
      </c>
      <c r="C136" s="11" t="inlineStr">
        <is>
          <t>Active</t>
        </is>
      </c>
      <c r="D136" s="11" t="inlineStr">
        <is>
          <t>Absence of Salmonella (&lt;62&gt; / &lt;2022&gt;)</t>
        </is>
      </c>
      <c r="E136" s="5" t="inlineStr">
        <is>
          <t>Y</t>
        </is>
      </c>
      <c r="F136" s="5" t="n"/>
      <c r="G136" s="11">
        <f>IFERROR(IF(INDEX('Test catalog'!$F$2:$F$200,MATCH($Y136,'Test catalog'!$A$2:$A$200,0))="","",INDEX('Test catalog'!$F$2:$F$200,MATCH($Y136,'Test catalog'!$A$2:$A$200,0))),"")</f>
        <v/>
      </c>
      <c r="H136" s="11">
        <f>IFERROR(IF(INDEX('Test catalog'!$G$2:$G$200,MATCH($Y136,'Test catalog'!$A$2:$A$200,0))="","",INDEX('Test catalog'!$G$2:$G$200,MATCH($Y136,'Test catalog'!$A$2:$A$200,0))),"")</f>
        <v/>
      </c>
      <c r="I136" s="11">
        <f>IFERROR(IF(INDEX('Test catalog'!$H$2:$H$200,MATCH($Y136,'Test catalog'!$A$2:$A$200,0))="","",INDEX('Test catalog'!$H$2:$H$200,MATCH($Y136,'Test catalog'!$A$2:$A$200,0))),"")</f>
        <v/>
      </c>
      <c r="J136" s="11">
        <f>IFERROR(IF(INDEX('Test catalog'!$I$2:$I$200,MATCH($Y136,'Test catalog'!$A$2:$A$200,0))="","",INDEX('Test catalog'!$I$2:$I$200,MATCH($Y136,'Test catalog'!$A$2:$A$200,0))),"")</f>
        <v/>
      </c>
      <c r="K136" s="13">
        <f>IF(I136="","",IF(OR(H136="",J136=""),I136,(H136+4*I136+J136)/6))</f>
        <v/>
      </c>
      <c r="L136" s="11">
        <f>IFERROR(IF(INDEX('Test catalog'!$J$2:$J$200,MATCH($Y136,'Test catalog'!$A$2:$A$200,0))="","",INDEX('Test catalog'!$J$2:$J$200,MATCH($Y136,'Test catalog'!$A$2:$A$200,0))),"")</f>
        <v/>
      </c>
      <c r="M136" s="11">
        <f>IFERROR(IF(INDEX('Test catalog'!$K$2:$K$200,MATCH($Y136,'Test catalog'!$A$2:$A$200,0))="","",INDEX('Test catalog'!$K$2:$K$200,MATCH($Y136,'Test catalog'!$A$2:$A$200,0))),"")</f>
        <v/>
      </c>
      <c r="N136" s="11">
        <f>IFERROR(IF(INDEX('Test catalog'!$L$2:$L$200,MATCH($Y136,'Test catalog'!$A$2:$A$200,0))="","",INDEX('Test catalog'!$L$2:$L$200,MATCH($Y136,'Test catalog'!$A$2:$A$200,0))),"")</f>
        <v/>
      </c>
      <c r="O136" s="11">
        <f>IFERROR(IF(INDEX('Test catalog'!$M$2:$M$200,MATCH($Y136,'Test catalog'!$A$2:$A$200,0))="","",INDEX('Test catalog'!$M$2:$M$200,MATCH($Y136,'Test catalog'!$A$2:$A$200,0))),"")</f>
        <v/>
      </c>
      <c r="P136" s="11">
        <f>IFERROR(IF(INDEX('Test catalog'!$N$2:$N$200,MATCH($Y136,'Test catalog'!$A$2:$A$200,0))="","",INDEX('Test catalog'!$N$2:$N$200,MATCH($Y136,'Test catalog'!$A$2:$A$200,0))),"")</f>
        <v/>
      </c>
      <c r="Q136" s="11">
        <f>IFERROR(IF(INDEX('Test catalog'!$O$2:$O$200,MATCH($Y136,'Test catalog'!$A$2:$A$200,0))="","",INDEX('Test catalog'!$O$2:$O$200,MATCH($Y136,'Test catalog'!$A$2:$A$200,0))),"")</f>
        <v/>
      </c>
      <c r="R136" s="11">
        <f>IFERROR(IF(INDEX('Test catalog'!$P$2:$P$200,MATCH($Y136,'Test catalog'!$A$2:$A$200,0))="","",INDEX('Test catalog'!$P$2:$P$200,MATCH($Y136,'Test catalog'!$A$2:$A$200,0))),"")</f>
        <v/>
      </c>
      <c r="S136" s="14" t="n"/>
      <c r="T136" s="5" t="n"/>
      <c r="U136" s="11">
        <f>IFERROR(IF(INDEX('Test catalog'!$Q$2:$Q$200,MATCH($Y136,'Test catalog'!$A$2:$A$200,0))="","",INDEX('Test catalog'!$Q$2:$Q$200,MATCH($Y136,'Test catalog'!$A$2:$A$200,0))),"")</f>
        <v/>
      </c>
      <c r="V136" s="5" t="n"/>
      <c r="W136" s="5" t="n"/>
      <c r="X136" s="5" t="n"/>
      <c r="Y136" s="5" t="inlineStr">
        <is>
          <t>SALM</t>
        </is>
      </c>
      <c r="Z136" s="11" t="inlineStr">
        <is>
          <t>USP-NF monograph &lt;2022&gt;</t>
        </is>
      </c>
    </row>
    <row r="137">
      <c r="A137" s="11" t="inlineStr">
        <is>
          <t>Siberian Ginseng Dry Extract 5:1</t>
        </is>
      </c>
      <c r="B137" s="11" t="inlineStr">
        <is>
          <t>RM</t>
        </is>
      </c>
      <c r="C137" s="11" t="inlineStr">
        <is>
          <t>Active</t>
        </is>
      </c>
      <c r="D137" s="11" t="inlineStr">
        <is>
          <t>Microbial enumeration - TAMC + TYMC (&lt;61&gt; / &lt;2021&gt;)</t>
        </is>
      </c>
      <c r="E137" s="5" t="inlineStr">
        <is>
          <t>Y</t>
        </is>
      </c>
      <c r="F137" s="5" t="n"/>
      <c r="G137" s="11">
        <f>IFERROR(IF(INDEX('Test catalog'!$F$2:$F$200,MATCH($Y137,'Test catalog'!$A$2:$A$200,0))="","",INDEX('Test catalog'!$F$2:$F$200,MATCH($Y137,'Test catalog'!$A$2:$A$200,0))),"")</f>
        <v/>
      </c>
      <c r="H137" s="11">
        <f>IFERROR(IF(INDEX('Test catalog'!$G$2:$G$200,MATCH($Y137,'Test catalog'!$A$2:$A$200,0))="","",INDEX('Test catalog'!$G$2:$G$200,MATCH($Y137,'Test catalog'!$A$2:$A$200,0))),"")</f>
        <v/>
      </c>
      <c r="I137" s="11">
        <f>IFERROR(IF(INDEX('Test catalog'!$H$2:$H$200,MATCH($Y137,'Test catalog'!$A$2:$A$200,0))="","",INDEX('Test catalog'!$H$2:$H$200,MATCH($Y137,'Test catalog'!$A$2:$A$200,0))),"")</f>
        <v/>
      </c>
      <c r="J137" s="11">
        <f>IFERROR(IF(INDEX('Test catalog'!$I$2:$I$200,MATCH($Y137,'Test catalog'!$A$2:$A$200,0))="","",INDEX('Test catalog'!$I$2:$I$200,MATCH($Y137,'Test catalog'!$A$2:$A$200,0))),"")</f>
        <v/>
      </c>
      <c r="K137" s="13">
        <f>IF(I137="","",IF(OR(H137="",J137=""),I137,(H137+4*I137+J137)/6))</f>
        <v/>
      </c>
      <c r="L137" s="11">
        <f>IFERROR(IF(INDEX('Test catalog'!$J$2:$J$200,MATCH($Y137,'Test catalog'!$A$2:$A$200,0))="","",INDEX('Test catalog'!$J$2:$J$200,MATCH($Y137,'Test catalog'!$A$2:$A$200,0))),"")</f>
        <v/>
      </c>
      <c r="M137" s="11">
        <f>IFERROR(IF(INDEX('Test catalog'!$K$2:$K$200,MATCH($Y137,'Test catalog'!$A$2:$A$200,0))="","",INDEX('Test catalog'!$K$2:$K$200,MATCH($Y137,'Test catalog'!$A$2:$A$200,0))),"")</f>
        <v/>
      </c>
      <c r="N137" s="11">
        <f>IFERROR(IF(INDEX('Test catalog'!$L$2:$L$200,MATCH($Y137,'Test catalog'!$A$2:$A$200,0))="","",INDEX('Test catalog'!$L$2:$L$200,MATCH($Y137,'Test catalog'!$A$2:$A$200,0))),"")</f>
        <v/>
      </c>
      <c r="O137" s="11">
        <f>IFERROR(IF(INDEX('Test catalog'!$M$2:$M$200,MATCH($Y137,'Test catalog'!$A$2:$A$200,0))="","",INDEX('Test catalog'!$M$2:$M$200,MATCH($Y137,'Test catalog'!$A$2:$A$200,0))),"")</f>
        <v/>
      </c>
      <c r="P137" s="11">
        <f>IFERROR(IF(INDEX('Test catalog'!$N$2:$N$200,MATCH($Y137,'Test catalog'!$A$2:$A$200,0))="","",INDEX('Test catalog'!$N$2:$N$200,MATCH($Y137,'Test catalog'!$A$2:$A$200,0))),"")</f>
        <v/>
      </c>
      <c r="Q137" s="11">
        <f>IFERROR(IF(INDEX('Test catalog'!$O$2:$O$200,MATCH($Y137,'Test catalog'!$A$2:$A$200,0))="","",INDEX('Test catalog'!$O$2:$O$200,MATCH($Y137,'Test catalog'!$A$2:$A$200,0))),"")</f>
        <v/>
      </c>
      <c r="R137" s="11">
        <f>IFERROR(IF(INDEX('Test catalog'!$P$2:$P$200,MATCH($Y137,'Test catalog'!$A$2:$A$200,0))="","",INDEX('Test catalog'!$P$2:$P$200,MATCH($Y137,'Test catalog'!$A$2:$A$200,0))),"")</f>
        <v/>
      </c>
      <c r="S137" s="14" t="n"/>
      <c r="T137" s="5" t="n"/>
      <c r="U137" s="11">
        <f>IFERROR(IF(INDEX('Test catalog'!$Q$2:$Q$200,MATCH($Y137,'Test catalog'!$A$2:$A$200,0))="","",INDEX('Test catalog'!$Q$2:$Q$200,MATCH($Y137,'Test catalog'!$A$2:$A$200,0))),"")</f>
        <v/>
      </c>
      <c r="V137" s="5" t="n"/>
      <c r="W137" s="5" t="n"/>
      <c r="X137" s="5" t="n"/>
      <c r="Y137" s="5" t="inlineStr">
        <is>
          <t>ENUM</t>
        </is>
      </c>
      <c r="Z137" s="11" t="inlineStr">
        <is>
          <t>USP-NF monograph &lt;2021&gt;</t>
        </is>
      </c>
    </row>
    <row r="138">
      <c r="A138" s="11" t="inlineStr">
        <is>
          <t>Siberian Ginseng Dry Extract 5:1</t>
        </is>
      </c>
      <c r="B138" s="11" t="inlineStr">
        <is>
          <t>RM</t>
        </is>
      </c>
      <c r="C138" s="11" t="inlineStr">
        <is>
          <t>Active</t>
        </is>
      </c>
      <c r="D138" s="11" t="inlineStr">
        <is>
          <t>Absence of Escherichia coli (&lt;62&gt; / &lt;2022&gt;)</t>
        </is>
      </c>
      <c r="E138" s="5" t="inlineStr">
        <is>
          <t>Y</t>
        </is>
      </c>
      <c r="F138" s="5" t="n"/>
      <c r="G138" s="11">
        <f>IFERROR(IF(INDEX('Test catalog'!$F$2:$F$200,MATCH($Y138,'Test catalog'!$A$2:$A$200,0))="","",INDEX('Test catalog'!$F$2:$F$200,MATCH($Y138,'Test catalog'!$A$2:$A$200,0))),"")</f>
        <v/>
      </c>
      <c r="H138" s="11">
        <f>IFERROR(IF(INDEX('Test catalog'!$G$2:$G$200,MATCH($Y138,'Test catalog'!$A$2:$A$200,0))="","",INDEX('Test catalog'!$G$2:$G$200,MATCH($Y138,'Test catalog'!$A$2:$A$200,0))),"")</f>
        <v/>
      </c>
      <c r="I138" s="11">
        <f>IFERROR(IF(INDEX('Test catalog'!$H$2:$H$200,MATCH($Y138,'Test catalog'!$A$2:$A$200,0))="","",INDEX('Test catalog'!$H$2:$H$200,MATCH($Y138,'Test catalog'!$A$2:$A$200,0))),"")</f>
        <v/>
      </c>
      <c r="J138" s="11">
        <f>IFERROR(IF(INDEX('Test catalog'!$I$2:$I$200,MATCH($Y138,'Test catalog'!$A$2:$A$200,0))="","",INDEX('Test catalog'!$I$2:$I$200,MATCH($Y138,'Test catalog'!$A$2:$A$200,0))),"")</f>
        <v/>
      </c>
      <c r="K138" s="13">
        <f>IF(I138="","",IF(OR(H138="",J138=""),I138,(H138+4*I138+J138)/6))</f>
        <v/>
      </c>
      <c r="L138" s="11">
        <f>IFERROR(IF(INDEX('Test catalog'!$J$2:$J$200,MATCH($Y138,'Test catalog'!$A$2:$A$200,0))="","",INDEX('Test catalog'!$J$2:$J$200,MATCH($Y138,'Test catalog'!$A$2:$A$200,0))),"")</f>
        <v/>
      </c>
      <c r="M138" s="11">
        <f>IFERROR(IF(INDEX('Test catalog'!$K$2:$K$200,MATCH($Y138,'Test catalog'!$A$2:$A$200,0))="","",INDEX('Test catalog'!$K$2:$K$200,MATCH($Y138,'Test catalog'!$A$2:$A$200,0))),"")</f>
        <v/>
      </c>
      <c r="N138" s="11">
        <f>IFERROR(IF(INDEX('Test catalog'!$L$2:$L$200,MATCH($Y138,'Test catalog'!$A$2:$A$200,0))="","",INDEX('Test catalog'!$L$2:$L$200,MATCH($Y138,'Test catalog'!$A$2:$A$200,0))),"")</f>
        <v/>
      </c>
      <c r="O138" s="11">
        <f>IFERROR(IF(INDEX('Test catalog'!$M$2:$M$200,MATCH($Y138,'Test catalog'!$A$2:$A$200,0))="","",INDEX('Test catalog'!$M$2:$M$200,MATCH($Y138,'Test catalog'!$A$2:$A$200,0))),"")</f>
        <v/>
      </c>
      <c r="P138" s="11">
        <f>IFERROR(IF(INDEX('Test catalog'!$N$2:$N$200,MATCH($Y138,'Test catalog'!$A$2:$A$200,0))="","",INDEX('Test catalog'!$N$2:$N$200,MATCH($Y138,'Test catalog'!$A$2:$A$200,0))),"")</f>
        <v/>
      </c>
      <c r="Q138" s="11">
        <f>IFERROR(IF(INDEX('Test catalog'!$O$2:$O$200,MATCH($Y138,'Test catalog'!$A$2:$A$200,0))="","",INDEX('Test catalog'!$O$2:$O$200,MATCH($Y138,'Test catalog'!$A$2:$A$200,0))),"")</f>
        <v/>
      </c>
      <c r="R138" s="11">
        <f>IFERROR(IF(INDEX('Test catalog'!$P$2:$P$200,MATCH($Y138,'Test catalog'!$A$2:$A$200,0))="","",INDEX('Test catalog'!$P$2:$P$200,MATCH($Y138,'Test catalog'!$A$2:$A$200,0))),"")</f>
        <v/>
      </c>
      <c r="S138" s="14" t="n"/>
      <c r="T138" s="5" t="n"/>
      <c r="U138" s="11">
        <f>IFERROR(IF(INDEX('Test catalog'!$Q$2:$Q$200,MATCH($Y138,'Test catalog'!$A$2:$A$200,0))="","",INDEX('Test catalog'!$Q$2:$Q$200,MATCH($Y138,'Test catalog'!$A$2:$A$200,0))),"")</f>
        <v/>
      </c>
      <c r="V138" s="5" t="n"/>
      <c r="W138" s="5" t="n"/>
      <c r="X138" s="5" t="n"/>
      <c r="Y138" s="5" t="inlineStr">
        <is>
          <t>ECOLI</t>
        </is>
      </c>
      <c r="Z138" s="11" t="inlineStr">
        <is>
          <t>USP-NF monograph &lt;2022&gt;</t>
        </is>
      </c>
    </row>
    <row r="139">
      <c r="A139" s="11" t="inlineStr">
        <is>
          <t>Siberian Ginseng Dry Extract 5:1</t>
        </is>
      </c>
      <c r="B139" s="11" t="inlineStr">
        <is>
          <t>RM</t>
        </is>
      </c>
      <c r="C139" s="11" t="inlineStr">
        <is>
          <t>Active</t>
        </is>
      </c>
      <c r="D139" s="11" t="inlineStr">
        <is>
          <t>Absence of Salmonella (&lt;62&gt; / &lt;2022&gt;)</t>
        </is>
      </c>
      <c r="E139" s="5" t="inlineStr">
        <is>
          <t>Y</t>
        </is>
      </c>
      <c r="F139" s="5" t="n"/>
      <c r="G139" s="11">
        <f>IFERROR(IF(INDEX('Test catalog'!$F$2:$F$200,MATCH($Y139,'Test catalog'!$A$2:$A$200,0))="","",INDEX('Test catalog'!$F$2:$F$200,MATCH($Y139,'Test catalog'!$A$2:$A$200,0))),"")</f>
        <v/>
      </c>
      <c r="H139" s="11">
        <f>IFERROR(IF(INDEX('Test catalog'!$G$2:$G$200,MATCH($Y139,'Test catalog'!$A$2:$A$200,0))="","",INDEX('Test catalog'!$G$2:$G$200,MATCH($Y139,'Test catalog'!$A$2:$A$200,0))),"")</f>
        <v/>
      </c>
      <c r="I139" s="11">
        <f>IFERROR(IF(INDEX('Test catalog'!$H$2:$H$200,MATCH($Y139,'Test catalog'!$A$2:$A$200,0))="","",INDEX('Test catalog'!$H$2:$H$200,MATCH($Y139,'Test catalog'!$A$2:$A$200,0))),"")</f>
        <v/>
      </c>
      <c r="J139" s="11">
        <f>IFERROR(IF(INDEX('Test catalog'!$I$2:$I$200,MATCH($Y139,'Test catalog'!$A$2:$A$200,0))="","",INDEX('Test catalog'!$I$2:$I$200,MATCH($Y139,'Test catalog'!$A$2:$A$200,0))),"")</f>
        <v/>
      </c>
      <c r="K139" s="13">
        <f>IF(I139="","",IF(OR(H139="",J139=""),I139,(H139+4*I139+J139)/6))</f>
        <v/>
      </c>
      <c r="L139" s="11">
        <f>IFERROR(IF(INDEX('Test catalog'!$J$2:$J$200,MATCH($Y139,'Test catalog'!$A$2:$A$200,0))="","",INDEX('Test catalog'!$J$2:$J$200,MATCH($Y139,'Test catalog'!$A$2:$A$200,0))),"")</f>
        <v/>
      </c>
      <c r="M139" s="11">
        <f>IFERROR(IF(INDEX('Test catalog'!$K$2:$K$200,MATCH($Y139,'Test catalog'!$A$2:$A$200,0))="","",INDEX('Test catalog'!$K$2:$K$200,MATCH($Y139,'Test catalog'!$A$2:$A$200,0))),"")</f>
        <v/>
      </c>
      <c r="N139" s="11">
        <f>IFERROR(IF(INDEX('Test catalog'!$L$2:$L$200,MATCH($Y139,'Test catalog'!$A$2:$A$200,0))="","",INDEX('Test catalog'!$L$2:$L$200,MATCH($Y139,'Test catalog'!$A$2:$A$200,0))),"")</f>
        <v/>
      </c>
      <c r="O139" s="11">
        <f>IFERROR(IF(INDEX('Test catalog'!$M$2:$M$200,MATCH($Y139,'Test catalog'!$A$2:$A$200,0))="","",INDEX('Test catalog'!$M$2:$M$200,MATCH($Y139,'Test catalog'!$A$2:$A$200,0))),"")</f>
        <v/>
      </c>
      <c r="P139" s="11">
        <f>IFERROR(IF(INDEX('Test catalog'!$N$2:$N$200,MATCH($Y139,'Test catalog'!$A$2:$A$200,0))="","",INDEX('Test catalog'!$N$2:$N$200,MATCH($Y139,'Test catalog'!$A$2:$A$200,0))),"")</f>
        <v/>
      </c>
      <c r="Q139" s="11">
        <f>IFERROR(IF(INDEX('Test catalog'!$O$2:$O$200,MATCH($Y139,'Test catalog'!$A$2:$A$200,0))="","",INDEX('Test catalog'!$O$2:$O$200,MATCH($Y139,'Test catalog'!$A$2:$A$200,0))),"")</f>
        <v/>
      </c>
      <c r="R139" s="11">
        <f>IFERROR(IF(INDEX('Test catalog'!$P$2:$P$200,MATCH($Y139,'Test catalog'!$A$2:$A$200,0))="","",INDEX('Test catalog'!$P$2:$P$200,MATCH($Y139,'Test catalog'!$A$2:$A$200,0))),"")</f>
        <v/>
      </c>
      <c r="S139" s="14" t="n"/>
      <c r="T139" s="5" t="n"/>
      <c r="U139" s="11">
        <f>IFERROR(IF(INDEX('Test catalog'!$Q$2:$Q$200,MATCH($Y139,'Test catalog'!$A$2:$A$200,0))="","",INDEX('Test catalog'!$Q$2:$Q$200,MATCH($Y139,'Test catalog'!$A$2:$A$200,0))),"")</f>
        <v/>
      </c>
      <c r="V139" s="5" t="n"/>
      <c r="W139" s="5" t="n"/>
      <c r="X139" s="5" t="n"/>
      <c r="Y139" s="5" t="inlineStr">
        <is>
          <t>SALM</t>
        </is>
      </c>
      <c r="Z139" s="11" t="inlineStr">
        <is>
          <t>USP-NF monograph &lt;2022&gt;</t>
        </is>
      </c>
    </row>
    <row r="140">
      <c r="A140" s="11" t="inlineStr">
        <is>
          <t>Sodium Selenate Anhydrous</t>
        </is>
      </c>
      <c r="B140" s="11" t="inlineStr">
        <is>
          <t>RM</t>
        </is>
      </c>
      <c r="C140" s="11" t="inlineStr">
        <is>
          <t>Active</t>
        </is>
      </c>
      <c r="D140" s="11" t="inlineStr">
        <is>
          <t>Microbial enumeration - TAMC + TYMC (&lt;61&gt; / &lt;2021&gt;)</t>
        </is>
      </c>
      <c r="E140" s="5" t="inlineStr">
        <is>
          <t>N</t>
        </is>
      </c>
      <c r="F140" s="5" t="n"/>
      <c r="G140" s="11">
        <f>IFERROR(IF(INDEX('Test catalog'!$F$2:$F$200,MATCH($Y140,'Test catalog'!$A$2:$A$200,0))="","",INDEX('Test catalog'!$F$2:$F$200,MATCH($Y140,'Test catalog'!$A$2:$A$200,0))),"")</f>
        <v/>
      </c>
      <c r="H140" s="11">
        <f>IFERROR(IF(INDEX('Test catalog'!$G$2:$G$200,MATCH($Y140,'Test catalog'!$A$2:$A$200,0))="","",INDEX('Test catalog'!$G$2:$G$200,MATCH($Y140,'Test catalog'!$A$2:$A$200,0))),"")</f>
        <v/>
      </c>
      <c r="I140" s="11">
        <f>IFERROR(IF(INDEX('Test catalog'!$H$2:$H$200,MATCH($Y140,'Test catalog'!$A$2:$A$200,0))="","",INDEX('Test catalog'!$H$2:$H$200,MATCH($Y140,'Test catalog'!$A$2:$A$200,0))),"")</f>
        <v/>
      </c>
      <c r="J140" s="11">
        <f>IFERROR(IF(INDEX('Test catalog'!$I$2:$I$200,MATCH($Y140,'Test catalog'!$A$2:$A$200,0))="","",INDEX('Test catalog'!$I$2:$I$200,MATCH($Y140,'Test catalog'!$A$2:$A$200,0))),"")</f>
        <v/>
      </c>
      <c r="K140" s="13">
        <f>IF(I140="","",IF(OR(H140="",J140=""),I140,(H140+4*I140+J140)/6))</f>
        <v/>
      </c>
      <c r="L140" s="11">
        <f>IFERROR(IF(INDEX('Test catalog'!$J$2:$J$200,MATCH($Y140,'Test catalog'!$A$2:$A$200,0))="","",INDEX('Test catalog'!$J$2:$J$200,MATCH($Y140,'Test catalog'!$A$2:$A$200,0))),"")</f>
        <v/>
      </c>
      <c r="M140" s="11">
        <f>IFERROR(IF(INDEX('Test catalog'!$K$2:$K$200,MATCH($Y140,'Test catalog'!$A$2:$A$200,0))="","",INDEX('Test catalog'!$K$2:$K$200,MATCH($Y140,'Test catalog'!$A$2:$A$200,0))),"")</f>
        <v/>
      </c>
      <c r="N140" s="11">
        <f>IFERROR(IF(INDEX('Test catalog'!$L$2:$L$200,MATCH($Y140,'Test catalog'!$A$2:$A$200,0))="","",INDEX('Test catalog'!$L$2:$L$200,MATCH($Y140,'Test catalog'!$A$2:$A$200,0))),"")</f>
        <v/>
      </c>
      <c r="O140" s="11">
        <f>IFERROR(IF(INDEX('Test catalog'!$M$2:$M$200,MATCH($Y140,'Test catalog'!$A$2:$A$200,0))="","",INDEX('Test catalog'!$M$2:$M$200,MATCH($Y140,'Test catalog'!$A$2:$A$200,0))),"")</f>
        <v/>
      </c>
      <c r="P140" s="11">
        <f>IFERROR(IF(INDEX('Test catalog'!$N$2:$N$200,MATCH($Y140,'Test catalog'!$A$2:$A$200,0))="","",INDEX('Test catalog'!$N$2:$N$200,MATCH($Y140,'Test catalog'!$A$2:$A$200,0))),"")</f>
        <v/>
      </c>
      <c r="Q140" s="11">
        <f>IFERROR(IF(INDEX('Test catalog'!$O$2:$O$200,MATCH($Y140,'Test catalog'!$A$2:$A$200,0))="","",INDEX('Test catalog'!$O$2:$O$200,MATCH($Y140,'Test catalog'!$A$2:$A$200,0))),"")</f>
        <v/>
      </c>
      <c r="R140" s="11">
        <f>IFERROR(IF(INDEX('Test catalog'!$P$2:$P$200,MATCH($Y140,'Test catalog'!$A$2:$A$200,0))="","",INDEX('Test catalog'!$P$2:$P$200,MATCH($Y140,'Test catalog'!$A$2:$A$200,0))),"")</f>
        <v/>
      </c>
      <c r="S140" s="14" t="n"/>
      <c r="T140" s="5" t="n"/>
      <c r="U140" s="11">
        <f>IFERROR(IF(INDEX('Test catalog'!$Q$2:$Q$200,MATCH($Y140,'Test catalog'!$A$2:$A$200,0))="","",INDEX('Test catalog'!$Q$2:$Q$200,MATCH($Y140,'Test catalog'!$A$2:$A$200,0))),"")</f>
        <v/>
      </c>
      <c r="V140" s="5" t="n"/>
      <c r="W140" s="5" t="n"/>
      <c r="X140" s="5" t="n"/>
      <c r="Y140" s="5" t="inlineStr">
        <is>
          <t>ENUM</t>
        </is>
      </c>
      <c r="Z140" s="11" t="inlineStr">
        <is>
          <t>No micro test in USP-NF - set Y if your specification has one</t>
        </is>
      </c>
    </row>
    <row r="141">
      <c r="A141" s="11" t="inlineStr">
        <is>
          <t>Sodium Selenite</t>
        </is>
      </c>
      <c r="B141" s="11" t="inlineStr">
        <is>
          <t>RM</t>
        </is>
      </c>
      <c r="C141" s="11" t="inlineStr">
        <is>
          <t>Active</t>
        </is>
      </c>
      <c r="D141" s="11" t="inlineStr">
        <is>
          <t>Microbial enumeration - TAMC + TYMC (&lt;61&gt; / &lt;2021&gt;)</t>
        </is>
      </c>
      <c r="E141" s="5" t="inlineStr">
        <is>
          <t>N</t>
        </is>
      </c>
      <c r="F141" s="5" t="n"/>
      <c r="G141" s="11">
        <f>IFERROR(IF(INDEX('Test catalog'!$F$2:$F$200,MATCH($Y141,'Test catalog'!$A$2:$A$200,0))="","",INDEX('Test catalog'!$F$2:$F$200,MATCH($Y141,'Test catalog'!$A$2:$A$200,0))),"")</f>
        <v/>
      </c>
      <c r="H141" s="11">
        <f>IFERROR(IF(INDEX('Test catalog'!$G$2:$G$200,MATCH($Y141,'Test catalog'!$A$2:$A$200,0))="","",INDEX('Test catalog'!$G$2:$G$200,MATCH($Y141,'Test catalog'!$A$2:$A$200,0))),"")</f>
        <v/>
      </c>
      <c r="I141" s="11">
        <f>IFERROR(IF(INDEX('Test catalog'!$H$2:$H$200,MATCH($Y141,'Test catalog'!$A$2:$A$200,0))="","",INDEX('Test catalog'!$H$2:$H$200,MATCH($Y141,'Test catalog'!$A$2:$A$200,0))),"")</f>
        <v/>
      </c>
      <c r="J141" s="11">
        <f>IFERROR(IF(INDEX('Test catalog'!$I$2:$I$200,MATCH($Y141,'Test catalog'!$A$2:$A$200,0))="","",INDEX('Test catalog'!$I$2:$I$200,MATCH($Y141,'Test catalog'!$A$2:$A$200,0))),"")</f>
        <v/>
      </c>
      <c r="K141" s="13">
        <f>IF(I141="","",IF(OR(H141="",J141=""),I141,(H141+4*I141+J141)/6))</f>
        <v/>
      </c>
      <c r="L141" s="11">
        <f>IFERROR(IF(INDEX('Test catalog'!$J$2:$J$200,MATCH($Y141,'Test catalog'!$A$2:$A$200,0))="","",INDEX('Test catalog'!$J$2:$J$200,MATCH($Y141,'Test catalog'!$A$2:$A$200,0))),"")</f>
        <v/>
      </c>
      <c r="M141" s="11">
        <f>IFERROR(IF(INDEX('Test catalog'!$K$2:$K$200,MATCH($Y141,'Test catalog'!$A$2:$A$200,0))="","",INDEX('Test catalog'!$K$2:$K$200,MATCH($Y141,'Test catalog'!$A$2:$A$200,0))),"")</f>
        <v/>
      </c>
      <c r="N141" s="11">
        <f>IFERROR(IF(INDEX('Test catalog'!$L$2:$L$200,MATCH($Y141,'Test catalog'!$A$2:$A$200,0))="","",INDEX('Test catalog'!$L$2:$L$200,MATCH($Y141,'Test catalog'!$A$2:$A$200,0))),"")</f>
        <v/>
      </c>
      <c r="O141" s="11">
        <f>IFERROR(IF(INDEX('Test catalog'!$M$2:$M$200,MATCH($Y141,'Test catalog'!$A$2:$A$200,0))="","",INDEX('Test catalog'!$M$2:$M$200,MATCH($Y141,'Test catalog'!$A$2:$A$200,0))),"")</f>
        <v/>
      </c>
      <c r="P141" s="11">
        <f>IFERROR(IF(INDEX('Test catalog'!$N$2:$N$200,MATCH($Y141,'Test catalog'!$A$2:$A$200,0))="","",INDEX('Test catalog'!$N$2:$N$200,MATCH($Y141,'Test catalog'!$A$2:$A$200,0))),"")</f>
        <v/>
      </c>
      <c r="Q141" s="11">
        <f>IFERROR(IF(INDEX('Test catalog'!$O$2:$O$200,MATCH($Y141,'Test catalog'!$A$2:$A$200,0))="","",INDEX('Test catalog'!$O$2:$O$200,MATCH($Y141,'Test catalog'!$A$2:$A$200,0))),"")</f>
        <v/>
      </c>
      <c r="R141" s="11">
        <f>IFERROR(IF(INDEX('Test catalog'!$P$2:$P$200,MATCH($Y141,'Test catalog'!$A$2:$A$200,0))="","",INDEX('Test catalog'!$P$2:$P$200,MATCH($Y141,'Test catalog'!$A$2:$A$200,0))),"")</f>
        <v/>
      </c>
      <c r="S141" s="14" t="n"/>
      <c r="T141" s="5" t="n"/>
      <c r="U141" s="11">
        <f>IFERROR(IF(INDEX('Test catalog'!$Q$2:$Q$200,MATCH($Y141,'Test catalog'!$A$2:$A$200,0))="","",INDEX('Test catalog'!$Q$2:$Q$200,MATCH($Y141,'Test catalog'!$A$2:$A$200,0))),"")</f>
        <v/>
      </c>
      <c r="V141" s="5" t="n"/>
      <c r="W141" s="5" t="n"/>
      <c r="X141" s="5" t="n"/>
      <c r="Y141" s="5" t="inlineStr">
        <is>
          <t>ENUM</t>
        </is>
      </c>
      <c r="Z141" s="11" t="inlineStr">
        <is>
          <t>No micro test in USP-NF - set Y if your specification has one</t>
        </is>
      </c>
    </row>
    <row r="142">
      <c r="A142" s="11" t="inlineStr">
        <is>
          <t>Taurine</t>
        </is>
      </c>
      <c r="B142" s="11" t="inlineStr">
        <is>
          <t>RM</t>
        </is>
      </c>
      <c r="C142" s="11" t="inlineStr">
        <is>
          <t>Active</t>
        </is>
      </c>
      <c r="D142" s="11" t="inlineStr">
        <is>
          <t>Microbial enumeration - TAMC + TYMC (&lt;61&gt; / &lt;2021&gt;)</t>
        </is>
      </c>
      <c r="E142" s="5" t="inlineStr">
        <is>
          <t>N</t>
        </is>
      </c>
      <c r="F142" s="5" t="n"/>
      <c r="G142" s="11">
        <f>IFERROR(IF(INDEX('Test catalog'!$F$2:$F$200,MATCH($Y142,'Test catalog'!$A$2:$A$200,0))="","",INDEX('Test catalog'!$F$2:$F$200,MATCH($Y142,'Test catalog'!$A$2:$A$200,0))),"")</f>
        <v/>
      </c>
      <c r="H142" s="11">
        <f>IFERROR(IF(INDEX('Test catalog'!$G$2:$G$200,MATCH($Y142,'Test catalog'!$A$2:$A$200,0))="","",INDEX('Test catalog'!$G$2:$G$200,MATCH($Y142,'Test catalog'!$A$2:$A$200,0))),"")</f>
        <v/>
      </c>
      <c r="I142" s="11">
        <f>IFERROR(IF(INDEX('Test catalog'!$H$2:$H$200,MATCH($Y142,'Test catalog'!$A$2:$A$200,0))="","",INDEX('Test catalog'!$H$2:$H$200,MATCH($Y142,'Test catalog'!$A$2:$A$200,0))),"")</f>
        <v/>
      </c>
      <c r="J142" s="11">
        <f>IFERROR(IF(INDEX('Test catalog'!$I$2:$I$200,MATCH($Y142,'Test catalog'!$A$2:$A$200,0))="","",INDEX('Test catalog'!$I$2:$I$200,MATCH($Y142,'Test catalog'!$A$2:$A$200,0))),"")</f>
        <v/>
      </c>
      <c r="K142" s="13">
        <f>IF(I142="","",IF(OR(H142="",J142=""),I142,(H142+4*I142+J142)/6))</f>
        <v/>
      </c>
      <c r="L142" s="11">
        <f>IFERROR(IF(INDEX('Test catalog'!$J$2:$J$200,MATCH($Y142,'Test catalog'!$A$2:$A$200,0))="","",INDEX('Test catalog'!$J$2:$J$200,MATCH($Y142,'Test catalog'!$A$2:$A$200,0))),"")</f>
        <v/>
      </c>
      <c r="M142" s="11">
        <f>IFERROR(IF(INDEX('Test catalog'!$K$2:$K$200,MATCH($Y142,'Test catalog'!$A$2:$A$200,0))="","",INDEX('Test catalog'!$K$2:$K$200,MATCH($Y142,'Test catalog'!$A$2:$A$200,0))),"")</f>
        <v/>
      </c>
      <c r="N142" s="11">
        <f>IFERROR(IF(INDEX('Test catalog'!$L$2:$L$200,MATCH($Y142,'Test catalog'!$A$2:$A$200,0))="","",INDEX('Test catalog'!$L$2:$L$200,MATCH($Y142,'Test catalog'!$A$2:$A$200,0))),"")</f>
        <v/>
      </c>
      <c r="O142" s="11">
        <f>IFERROR(IF(INDEX('Test catalog'!$M$2:$M$200,MATCH($Y142,'Test catalog'!$A$2:$A$200,0))="","",INDEX('Test catalog'!$M$2:$M$200,MATCH($Y142,'Test catalog'!$A$2:$A$200,0))),"")</f>
        <v/>
      </c>
      <c r="P142" s="11">
        <f>IFERROR(IF(INDEX('Test catalog'!$N$2:$N$200,MATCH($Y142,'Test catalog'!$A$2:$A$200,0))="","",INDEX('Test catalog'!$N$2:$N$200,MATCH($Y142,'Test catalog'!$A$2:$A$200,0))),"")</f>
        <v/>
      </c>
      <c r="Q142" s="11">
        <f>IFERROR(IF(INDEX('Test catalog'!$O$2:$O$200,MATCH($Y142,'Test catalog'!$A$2:$A$200,0))="","",INDEX('Test catalog'!$O$2:$O$200,MATCH($Y142,'Test catalog'!$A$2:$A$200,0))),"")</f>
        <v/>
      </c>
      <c r="R142" s="11">
        <f>IFERROR(IF(INDEX('Test catalog'!$P$2:$P$200,MATCH($Y142,'Test catalog'!$A$2:$A$200,0))="","",INDEX('Test catalog'!$P$2:$P$200,MATCH($Y142,'Test catalog'!$A$2:$A$200,0))),"")</f>
        <v/>
      </c>
      <c r="S142" s="14" t="n"/>
      <c r="T142" s="5" t="n"/>
      <c r="U142" s="11">
        <f>IFERROR(IF(INDEX('Test catalog'!$Q$2:$Q$200,MATCH($Y142,'Test catalog'!$A$2:$A$200,0))="","",INDEX('Test catalog'!$Q$2:$Q$200,MATCH($Y142,'Test catalog'!$A$2:$A$200,0))),"")</f>
        <v/>
      </c>
      <c r="V142" s="5" t="n"/>
      <c r="W142" s="5" t="n"/>
      <c r="X142" s="5" t="n"/>
      <c r="Y142" s="5" t="inlineStr">
        <is>
          <t>ENUM</t>
        </is>
      </c>
      <c r="Z142" s="11" t="inlineStr">
        <is>
          <t>No micro test in USP-NF - set Y if your specification has one</t>
        </is>
      </c>
    </row>
    <row r="143">
      <c r="A143" s="11" t="inlineStr">
        <is>
          <t>Telmisartan</t>
        </is>
      </c>
      <c r="B143" s="11" t="inlineStr">
        <is>
          <t>RM</t>
        </is>
      </c>
      <c r="C143" s="11" t="inlineStr">
        <is>
          <t>Active</t>
        </is>
      </c>
      <c r="D143" s="11" t="inlineStr">
        <is>
          <t>Microbial enumeration - TAMC + TYMC (&lt;61&gt; / &lt;2021&gt;)</t>
        </is>
      </c>
      <c r="E143" s="5" t="inlineStr">
        <is>
          <t>N</t>
        </is>
      </c>
      <c r="F143" s="5" t="n"/>
      <c r="G143" s="11">
        <f>IFERROR(IF(INDEX('Test catalog'!$F$2:$F$200,MATCH($Y143,'Test catalog'!$A$2:$A$200,0))="","",INDEX('Test catalog'!$F$2:$F$200,MATCH($Y143,'Test catalog'!$A$2:$A$200,0))),"")</f>
        <v/>
      </c>
      <c r="H143" s="11">
        <f>IFERROR(IF(INDEX('Test catalog'!$G$2:$G$200,MATCH($Y143,'Test catalog'!$A$2:$A$200,0))="","",INDEX('Test catalog'!$G$2:$G$200,MATCH($Y143,'Test catalog'!$A$2:$A$200,0))),"")</f>
        <v/>
      </c>
      <c r="I143" s="11">
        <f>IFERROR(IF(INDEX('Test catalog'!$H$2:$H$200,MATCH($Y143,'Test catalog'!$A$2:$A$200,0))="","",INDEX('Test catalog'!$H$2:$H$200,MATCH($Y143,'Test catalog'!$A$2:$A$200,0))),"")</f>
        <v/>
      </c>
      <c r="J143" s="11">
        <f>IFERROR(IF(INDEX('Test catalog'!$I$2:$I$200,MATCH($Y143,'Test catalog'!$A$2:$A$200,0))="","",INDEX('Test catalog'!$I$2:$I$200,MATCH($Y143,'Test catalog'!$A$2:$A$200,0))),"")</f>
        <v/>
      </c>
      <c r="K143" s="13">
        <f>IF(I143="","",IF(OR(H143="",J143=""),I143,(H143+4*I143+J143)/6))</f>
        <v/>
      </c>
      <c r="L143" s="11">
        <f>IFERROR(IF(INDEX('Test catalog'!$J$2:$J$200,MATCH($Y143,'Test catalog'!$A$2:$A$200,0))="","",INDEX('Test catalog'!$J$2:$J$200,MATCH($Y143,'Test catalog'!$A$2:$A$200,0))),"")</f>
        <v/>
      </c>
      <c r="M143" s="11">
        <f>IFERROR(IF(INDEX('Test catalog'!$K$2:$K$200,MATCH($Y143,'Test catalog'!$A$2:$A$200,0))="","",INDEX('Test catalog'!$K$2:$K$200,MATCH($Y143,'Test catalog'!$A$2:$A$200,0))),"")</f>
        <v/>
      </c>
      <c r="N143" s="11">
        <f>IFERROR(IF(INDEX('Test catalog'!$L$2:$L$200,MATCH($Y143,'Test catalog'!$A$2:$A$200,0))="","",INDEX('Test catalog'!$L$2:$L$200,MATCH($Y143,'Test catalog'!$A$2:$A$200,0))),"")</f>
        <v/>
      </c>
      <c r="O143" s="11">
        <f>IFERROR(IF(INDEX('Test catalog'!$M$2:$M$200,MATCH($Y143,'Test catalog'!$A$2:$A$200,0))="","",INDEX('Test catalog'!$M$2:$M$200,MATCH($Y143,'Test catalog'!$A$2:$A$200,0))),"")</f>
        <v/>
      </c>
      <c r="P143" s="11">
        <f>IFERROR(IF(INDEX('Test catalog'!$N$2:$N$200,MATCH($Y143,'Test catalog'!$A$2:$A$200,0))="","",INDEX('Test catalog'!$N$2:$N$200,MATCH($Y143,'Test catalog'!$A$2:$A$200,0))),"")</f>
        <v/>
      </c>
      <c r="Q143" s="11">
        <f>IFERROR(IF(INDEX('Test catalog'!$O$2:$O$200,MATCH($Y143,'Test catalog'!$A$2:$A$200,0))="","",INDEX('Test catalog'!$O$2:$O$200,MATCH($Y143,'Test catalog'!$A$2:$A$200,0))),"")</f>
        <v/>
      </c>
      <c r="R143" s="11">
        <f>IFERROR(IF(INDEX('Test catalog'!$P$2:$P$200,MATCH($Y143,'Test catalog'!$A$2:$A$200,0))="","",INDEX('Test catalog'!$P$2:$P$200,MATCH($Y143,'Test catalog'!$A$2:$A$200,0))),"")</f>
        <v/>
      </c>
      <c r="S143" s="14" t="n"/>
      <c r="T143" s="5" t="n"/>
      <c r="U143" s="11">
        <f>IFERROR(IF(INDEX('Test catalog'!$Q$2:$Q$200,MATCH($Y143,'Test catalog'!$A$2:$A$200,0))="","",INDEX('Test catalog'!$Q$2:$Q$200,MATCH($Y143,'Test catalog'!$A$2:$A$200,0))),"")</f>
        <v/>
      </c>
      <c r="V143" s="5" t="n"/>
      <c r="W143" s="5" t="n"/>
      <c r="X143" s="5" t="n"/>
      <c r="Y143" s="5" t="inlineStr">
        <is>
          <t>ENUM</t>
        </is>
      </c>
      <c r="Z143" s="11" t="inlineStr">
        <is>
          <t>No micro test in USP-NF - set Y if your specification has one</t>
        </is>
      </c>
    </row>
    <row r="144">
      <c r="A144" s="11" t="inlineStr">
        <is>
          <t>Thiamine Hydrochloride (Vitamin B1)</t>
        </is>
      </c>
      <c r="B144" s="11" t="inlineStr">
        <is>
          <t>RM</t>
        </is>
      </c>
      <c r="C144" s="11" t="inlineStr">
        <is>
          <t>Active</t>
        </is>
      </c>
      <c r="D144" s="11" t="inlineStr">
        <is>
          <t>Microbial enumeration - TAMC + TYMC (&lt;61&gt; / &lt;2021&gt;)</t>
        </is>
      </c>
      <c r="E144" s="5" t="inlineStr">
        <is>
          <t>N</t>
        </is>
      </c>
      <c r="F144" s="5" t="n"/>
      <c r="G144" s="11">
        <f>IFERROR(IF(INDEX('Test catalog'!$F$2:$F$200,MATCH($Y144,'Test catalog'!$A$2:$A$200,0))="","",INDEX('Test catalog'!$F$2:$F$200,MATCH($Y144,'Test catalog'!$A$2:$A$200,0))),"")</f>
        <v/>
      </c>
      <c r="H144" s="11">
        <f>IFERROR(IF(INDEX('Test catalog'!$G$2:$G$200,MATCH($Y144,'Test catalog'!$A$2:$A$200,0))="","",INDEX('Test catalog'!$G$2:$G$200,MATCH($Y144,'Test catalog'!$A$2:$A$200,0))),"")</f>
        <v/>
      </c>
      <c r="I144" s="11">
        <f>IFERROR(IF(INDEX('Test catalog'!$H$2:$H$200,MATCH($Y144,'Test catalog'!$A$2:$A$200,0))="","",INDEX('Test catalog'!$H$2:$H$200,MATCH($Y144,'Test catalog'!$A$2:$A$200,0))),"")</f>
        <v/>
      </c>
      <c r="J144" s="11">
        <f>IFERROR(IF(INDEX('Test catalog'!$I$2:$I$200,MATCH($Y144,'Test catalog'!$A$2:$A$200,0))="","",INDEX('Test catalog'!$I$2:$I$200,MATCH($Y144,'Test catalog'!$A$2:$A$200,0))),"")</f>
        <v/>
      </c>
      <c r="K144" s="13">
        <f>IF(I144="","",IF(OR(H144="",J144=""),I144,(H144+4*I144+J144)/6))</f>
        <v/>
      </c>
      <c r="L144" s="11">
        <f>IFERROR(IF(INDEX('Test catalog'!$J$2:$J$200,MATCH($Y144,'Test catalog'!$A$2:$A$200,0))="","",INDEX('Test catalog'!$J$2:$J$200,MATCH($Y144,'Test catalog'!$A$2:$A$200,0))),"")</f>
        <v/>
      </c>
      <c r="M144" s="11">
        <f>IFERROR(IF(INDEX('Test catalog'!$K$2:$K$200,MATCH($Y144,'Test catalog'!$A$2:$A$200,0))="","",INDEX('Test catalog'!$K$2:$K$200,MATCH($Y144,'Test catalog'!$A$2:$A$200,0))),"")</f>
        <v/>
      </c>
      <c r="N144" s="11">
        <f>IFERROR(IF(INDEX('Test catalog'!$L$2:$L$200,MATCH($Y144,'Test catalog'!$A$2:$A$200,0))="","",INDEX('Test catalog'!$L$2:$L$200,MATCH($Y144,'Test catalog'!$A$2:$A$200,0))),"")</f>
        <v/>
      </c>
      <c r="O144" s="11">
        <f>IFERROR(IF(INDEX('Test catalog'!$M$2:$M$200,MATCH($Y144,'Test catalog'!$A$2:$A$200,0))="","",INDEX('Test catalog'!$M$2:$M$200,MATCH($Y144,'Test catalog'!$A$2:$A$200,0))),"")</f>
        <v/>
      </c>
      <c r="P144" s="11">
        <f>IFERROR(IF(INDEX('Test catalog'!$N$2:$N$200,MATCH($Y144,'Test catalog'!$A$2:$A$200,0))="","",INDEX('Test catalog'!$N$2:$N$200,MATCH($Y144,'Test catalog'!$A$2:$A$200,0))),"")</f>
        <v/>
      </c>
      <c r="Q144" s="11">
        <f>IFERROR(IF(INDEX('Test catalog'!$O$2:$O$200,MATCH($Y144,'Test catalog'!$A$2:$A$200,0))="","",INDEX('Test catalog'!$O$2:$O$200,MATCH($Y144,'Test catalog'!$A$2:$A$200,0))),"")</f>
        <v/>
      </c>
      <c r="R144" s="11">
        <f>IFERROR(IF(INDEX('Test catalog'!$P$2:$P$200,MATCH($Y144,'Test catalog'!$A$2:$A$200,0))="","",INDEX('Test catalog'!$P$2:$P$200,MATCH($Y144,'Test catalog'!$A$2:$A$200,0))),"")</f>
        <v/>
      </c>
      <c r="S144" s="14" t="n"/>
      <c r="T144" s="5" t="n"/>
      <c r="U144" s="11">
        <f>IFERROR(IF(INDEX('Test catalog'!$Q$2:$Q$200,MATCH($Y144,'Test catalog'!$A$2:$A$200,0))="","",INDEX('Test catalog'!$Q$2:$Q$200,MATCH($Y144,'Test catalog'!$A$2:$A$200,0))),"")</f>
        <v/>
      </c>
      <c r="V144" s="5" t="n"/>
      <c r="W144" s="5" t="n"/>
      <c r="X144" s="5" t="n"/>
      <c r="Y144" s="5" t="inlineStr">
        <is>
          <t>ENUM</t>
        </is>
      </c>
      <c r="Z144" s="11" t="inlineStr">
        <is>
          <t>No micro test in USP-NF - set Y if your specification has one</t>
        </is>
      </c>
    </row>
    <row r="145">
      <c r="A145" s="11" t="inlineStr">
        <is>
          <t>Tribulus Terrestris Dry Extract 50:1</t>
        </is>
      </c>
      <c r="B145" s="11" t="inlineStr">
        <is>
          <t>RM</t>
        </is>
      </c>
      <c r="C145" s="11" t="inlineStr">
        <is>
          <t>Active</t>
        </is>
      </c>
      <c r="D145" s="11" t="inlineStr">
        <is>
          <t>Microbial enumeration - TAMC + TYMC (&lt;61&gt; / &lt;2021&gt;)</t>
        </is>
      </c>
      <c r="E145" s="5" t="inlineStr">
        <is>
          <t>Y</t>
        </is>
      </c>
      <c r="F145" s="5" t="n"/>
      <c r="G145" s="11">
        <f>IFERROR(IF(INDEX('Test catalog'!$F$2:$F$200,MATCH($Y145,'Test catalog'!$A$2:$A$200,0))="","",INDEX('Test catalog'!$F$2:$F$200,MATCH($Y145,'Test catalog'!$A$2:$A$200,0))),"")</f>
        <v/>
      </c>
      <c r="H145" s="11">
        <f>IFERROR(IF(INDEX('Test catalog'!$G$2:$G$200,MATCH($Y145,'Test catalog'!$A$2:$A$200,0))="","",INDEX('Test catalog'!$G$2:$G$200,MATCH($Y145,'Test catalog'!$A$2:$A$200,0))),"")</f>
        <v/>
      </c>
      <c r="I145" s="11">
        <f>IFERROR(IF(INDEX('Test catalog'!$H$2:$H$200,MATCH($Y145,'Test catalog'!$A$2:$A$200,0))="","",INDEX('Test catalog'!$H$2:$H$200,MATCH($Y145,'Test catalog'!$A$2:$A$200,0))),"")</f>
        <v/>
      </c>
      <c r="J145" s="11">
        <f>IFERROR(IF(INDEX('Test catalog'!$I$2:$I$200,MATCH($Y145,'Test catalog'!$A$2:$A$200,0))="","",INDEX('Test catalog'!$I$2:$I$200,MATCH($Y145,'Test catalog'!$A$2:$A$200,0))),"")</f>
        <v/>
      </c>
      <c r="K145" s="13">
        <f>IF(I145="","",IF(OR(H145="",J145=""),I145,(H145+4*I145+J145)/6))</f>
        <v/>
      </c>
      <c r="L145" s="11">
        <f>IFERROR(IF(INDEX('Test catalog'!$J$2:$J$200,MATCH($Y145,'Test catalog'!$A$2:$A$200,0))="","",INDEX('Test catalog'!$J$2:$J$200,MATCH($Y145,'Test catalog'!$A$2:$A$200,0))),"")</f>
        <v/>
      </c>
      <c r="M145" s="11">
        <f>IFERROR(IF(INDEX('Test catalog'!$K$2:$K$200,MATCH($Y145,'Test catalog'!$A$2:$A$200,0))="","",INDEX('Test catalog'!$K$2:$K$200,MATCH($Y145,'Test catalog'!$A$2:$A$200,0))),"")</f>
        <v/>
      </c>
      <c r="N145" s="11">
        <f>IFERROR(IF(INDEX('Test catalog'!$L$2:$L$200,MATCH($Y145,'Test catalog'!$A$2:$A$200,0))="","",INDEX('Test catalog'!$L$2:$L$200,MATCH($Y145,'Test catalog'!$A$2:$A$200,0))),"")</f>
        <v/>
      </c>
      <c r="O145" s="11">
        <f>IFERROR(IF(INDEX('Test catalog'!$M$2:$M$200,MATCH($Y145,'Test catalog'!$A$2:$A$200,0))="","",INDEX('Test catalog'!$M$2:$M$200,MATCH($Y145,'Test catalog'!$A$2:$A$200,0))),"")</f>
        <v/>
      </c>
      <c r="P145" s="11">
        <f>IFERROR(IF(INDEX('Test catalog'!$N$2:$N$200,MATCH($Y145,'Test catalog'!$A$2:$A$200,0))="","",INDEX('Test catalog'!$N$2:$N$200,MATCH($Y145,'Test catalog'!$A$2:$A$200,0))),"")</f>
        <v/>
      </c>
      <c r="Q145" s="11">
        <f>IFERROR(IF(INDEX('Test catalog'!$O$2:$O$200,MATCH($Y145,'Test catalog'!$A$2:$A$200,0))="","",INDEX('Test catalog'!$O$2:$O$200,MATCH($Y145,'Test catalog'!$A$2:$A$200,0))),"")</f>
        <v/>
      </c>
      <c r="R145" s="11">
        <f>IFERROR(IF(INDEX('Test catalog'!$P$2:$P$200,MATCH($Y145,'Test catalog'!$A$2:$A$200,0))="","",INDEX('Test catalog'!$P$2:$P$200,MATCH($Y145,'Test catalog'!$A$2:$A$200,0))),"")</f>
        <v/>
      </c>
      <c r="S145" s="14" t="n"/>
      <c r="T145" s="5" t="n"/>
      <c r="U145" s="11">
        <f>IFERROR(IF(INDEX('Test catalog'!$Q$2:$Q$200,MATCH($Y145,'Test catalog'!$A$2:$A$200,0))="","",INDEX('Test catalog'!$Q$2:$Q$200,MATCH($Y145,'Test catalog'!$A$2:$A$200,0))),"")</f>
        <v/>
      </c>
      <c r="V145" s="5" t="n"/>
      <c r="W145" s="5" t="n"/>
      <c r="X145" s="5" t="n"/>
      <c r="Y145" s="5" t="inlineStr">
        <is>
          <t>ENUM</t>
        </is>
      </c>
      <c r="Z145" s="11" t="inlineStr">
        <is>
          <t>Natural origin, no USP-NF micro test - confirm (USP &lt;2023&gt;)</t>
        </is>
      </c>
    </row>
    <row r="146">
      <c r="A146" s="11" t="inlineStr">
        <is>
          <t>Tribulus Terrestris Dry Extract 50:1</t>
        </is>
      </c>
      <c r="B146" s="11" t="inlineStr">
        <is>
          <t>RM</t>
        </is>
      </c>
      <c r="C146" s="11" t="inlineStr">
        <is>
          <t>Active</t>
        </is>
      </c>
      <c r="D146" s="11" t="inlineStr">
        <is>
          <t>Absence of Escherichia coli (&lt;62&gt; / &lt;2022&gt;)</t>
        </is>
      </c>
      <c r="E146" s="5" t="inlineStr">
        <is>
          <t>Y</t>
        </is>
      </c>
      <c r="F146" s="5" t="n"/>
      <c r="G146" s="11">
        <f>IFERROR(IF(INDEX('Test catalog'!$F$2:$F$200,MATCH($Y146,'Test catalog'!$A$2:$A$200,0))="","",INDEX('Test catalog'!$F$2:$F$200,MATCH($Y146,'Test catalog'!$A$2:$A$200,0))),"")</f>
        <v/>
      </c>
      <c r="H146" s="11">
        <f>IFERROR(IF(INDEX('Test catalog'!$G$2:$G$200,MATCH($Y146,'Test catalog'!$A$2:$A$200,0))="","",INDEX('Test catalog'!$G$2:$G$200,MATCH($Y146,'Test catalog'!$A$2:$A$200,0))),"")</f>
        <v/>
      </c>
      <c r="I146" s="11">
        <f>IFERROR(IF(INDEX('Test catalog'!$H$2:$H$200,MATCH($Y146,'Test catalog'!$A$2:$A$200,0))="","",INDEX('Test catalog'!$H$2:$H$200,MATCH($Y146,'Test catalog'!$A$2:$A$200,0))),"")</f>
        <v/>
      </c>
      <c r="J146" s="11">
        <f>IFERROR(IF(INDEX('Test catalog'!$I$2:$I$200,MATCH($Y146,'Test catalog'!$A$2:$A$200,0))="","",INDEX('Test catalog'!$I$2:$I$200,MATCH($Y146,'Test catalog'!$A$2:$A$200,0))),"")</f>
        <v/>
      </c>
      <c r="K146" s="13">
        <f>IF(I146="","",IF(OR(H146="",J146=""),I146,(H146+4*I146+J146)/6))</f>
        <v/>
      </c>
      <c r="L146" s="11">
        <f>IFERROR(IF(INDEX('Test catalog'!$J$2:$J$200,MATCH($Y146,'Test catalog'!$A$2:$A$200,0))="","",INDEX('Test catalog'!$J$2:$J$200,MATCH($Y146,'Test catalog'!$A$2:$A$200,0))),"")</f>
        <v/>
      </c>
      <c r="M146" s="11">
        <f>IFERROR(IF(INDEX('Test catalog'!$K$2:$K$200,MATCH($Y146,'Test catalog'!$A$2:$A$200,0))="","",INDEX('Test catalog'!$K$2:$K$200,MATCH($Y146,'Test catalog'!$A$2:$A$200,0))),"")</f>
        <v/>
      </c>
      <c r="N146" s="11">
        <f>IFERROR(IF(INDEX('Test catalog'!$L$2:$L$200,MATCH($Y146,'Test catalog'!$A$2:$A$200,0))="","",INDEX('Test catalog'!$L$2:$L$200,MATCH($Y146,'Test catalog'!$A$2:$A$200,0))),"")</f>
        <v/>
      </c>
      <c r="O146" s="11">
        <f>IFERROR(IF(INDEX('Test catalog'!$M$2:$M$200,MATCH($Y146,'Test catalog'!$A$2:$A$200,0))="","",INDEX('Test catalog'!$M$2:$M$200,MATCH($Y146,'Test catalog'!$A$2:$A$200,0))),"")</f>
        <v/>
      </c>
      <c r="P146" s="11">
        <f>IFERROR(IF(INDEX('Test catalog'!$N$2:$N$200,MATCH($Y146,'Test catalog'!$A$2:$A$200,0))="","",INDEX('Test catalog'!$N$2:$N$200,MATCH($Y146,'Test catalog'!$A$2:$A$200,0))),"")</f>
        <v/>
      </c>
      <c r="Q146" s="11">
        <f>IFERROR(IF(INDEX('Test catalog'!$O$2:$O$200,MATCH($Y146,'Test catalog'!$A$2:$A$200,0))="","",INDEX('Test catalog'!$O$2:$O$200,MATCH($Y146,'Test catalog'!$A$2:$A$200,0))),"")</f>
        <v/>
      </c>
      <c r="R146" s="11">
        <f>IFERROR(IF(INDEX('Test catalog'!$P$2:$P$200,MATCH($Y146,'Test catalog'!$A$2:$A$200,0))="","",INDEX('Test catalog'!$P$2:$P$200,MATCH($Y146,'Test catalog'!$A$2:$A$200,0))),"")</f>
        <v/>
      </c>
      <c r="S146" s="14" t="n"/>
      <c r="T146" s="5" t="n"/>
      <c r="U146" s="11">
        <f>IFERROR(IF(INDEX('Test catalog'!$Q$2:$Q$200,MATCH($Y146,'Test catalog'!$A$2:$A$200,0))="","",INDEX('Test catalog'!$Q$2:$Q$200,MATCH($Y146,'Test catalog'!$A$2:$A$200,0))),"")</f>
        <v/>
      </c>
      <c r="V146" s="5" t="n"/>
      <c r="W146" s="5" t="n"/>
      <c r="X146" s="5" t="n"/>
      <c r="Y146" s="5" t="inlineStr">
        <is>
          <t>ECOLI</t>
        </is>
      </c>
      <c r="Z146" s="11" t="inlineStr">
        <is>
          <t>Natural origin, no USP-NF micro test - confirm (USP &lt;2023&gt;)</t>
        </is>
      </c>
    </row>
    <row r="147">
      <c r="A147" s="11" t="inlineStr">
        <is>
          <t>Tribulus Terrestris Dry Extract 50:1</t>
        </is>
      </c>
      <c r="B147" s="11" t="inlineStr">
        <is>
          <t>RM</t>
        </is>
      </c>
      <c r="C147" s="11" t="inlineStr">
        <is>
          <t>Active</t>
        </is>
      </c>
      <c r="D147" s="11" t="inlineStr">
        <is>
          <t>Absence of Salmonella (&lt;62&gt; / &lt;2022&gt;)</t>
        </is>
      </c>
      <c r="E147" s="5" t="inlineStr">
        <is>
          <t>Y</t>
        </is>
      </c>
      <c r="F147" s="5" t="n"/>
      <c r="G147" s="11">
        <f>IFERROR(IF(INDEX('Test catalog'!$F$2:$F$200,MATCH($Y147,'Test catalog'!$A$2:$A$200,0))="","",INDEX('Test catalog'!$F$2:$F$200,MATCH($Y147,'Test catalog'!$A$2:$A$200,0))),"")</f>
        <v/>
      </c>
      <c r="H147" s="11">
        <f>IFERROR(IF(INDEX('Test catalog'!$G$2:$G$200,MATCH($Y147,'Test catalog'!$A$2:$A$200,0))="","",INDEX('Test catalog'!$G$2:$G$200,MATCH($Y147,'Test catalog'!$A$2:$A$200,0))),"")</f>
        <v/>
      </c>
      <c r="I147" s="11">
        <f>IFERROR(IF(INDEX('Test catalog'!$H$2:$H$200,MATCH($Y147,'Test catalog'!$A$2:$A$200,0))="","",INDEX('Test catalog'!$H$2:$H$200,MATCH($Y147,'Test catalog'!$A$2:$A$200,0))),"")</f>
        <v/>
      </c>
      <c r="J147" s="11">
        <f>IFERROR(IF(INDEX('Test catalog'!$I$2:$I$200,MATCH($Y147,'Test catalog'!$A$2:$A$200,0))="","",INDEX('Test catalog'!$I$2:$I$200,MATCH($Y147,'Test catalog'!$A$2:$A$200,0))),"")</f>
        <v/>
      </c>
      <c r="K147" s="13">
        <f>IF(I147="","",IF(OR(H147="",J147=""),I147,(H147+4*I147+J147)/6))</f>
        <v/>
      </c>
      <c r="L147" s="11">
        <f>IFERROR(IF(INDEX('Test catalog'!$J$2:$J$200,MATCH($Y147,'Test catalog'!$A$2:$A$200,0))="","",INDEX('Test catalog'!$J$2:$J$200,MATCH($Y147,'Test catalog'!$A$2:$A$200,0))),"")</f>
        <v/>
      </c>
      <c r="M147" s="11">
        <f>IFERROR(IF(INDEX('Test catalog'!$K$2:$K$200,MATCH($Y147,'Test catalog'!$A$2:$A$200,0))="","",INDEX('Test catalog'!$K$2:$K$200,MATCH($Y147,'Test catalog'!$A$2:$A$200,0))),"")</f>
        <v/>
      </c>
      <c r="N147" s="11">
        <f>IFERROR(IF(INDEX('Test catalog'!$L$2:$L$200,MATCH($Y147,'Test catalog'!$A$2:$A$200,0))="","",INDEX('Test catalog'!$L$2:$L$200,MATCH($Y147,'Test catalog'!$A$2:$A$200,0))),"")</f>
        <v/>
      </c>
      <c r="O147" s="11">
        <f>IFERROR(IF(INDEX('Test catalog'!$M$2:$M$200,MATCH($Y147,'Test catalog'!$A$2:$A$200,0))="","",INDEX('Test catalog'!$M$2:$M$200,MATCH($Y147,'Test catalog'!$A$2:$A$200,0))),"")</f>
        <v/>
      </c>
      <c r="P147" s="11">
        <f>IFERROR(IF(INDEX('Test catalog'!$N$2:$N$200,MATCH($Y147,'Test catalog'!$A$2:$A$200,0))="","",INDEX('Test catalog'!$N$2:$N$200,MATCH($Y147,'Test catalog'!$A$2:$A$200,0))),"")</f>
        <v/>
      </c>
      <c r="Q147" s="11">
        <f>IFERROR(IF(INDEX('Test catalog'!$O$2:$O$200,MATCH($Y147,'Test catalog'!$A$2:$A$200,0))="","",INDEX('Test catalog'!$O$2:$O$200,MATCH($Y147,'Test catalog'!$A$2:$A$200,0))),"")</f>
        <v/>
      </c>
      <c r="R147" s="11">
        <f>IFERROR(IF(INDEX('Test catalog'!$P$2:$P$200,MATCH($Y147,'Test catalog'!$A$2:$A$200,0))="","",INDEX('Test catalog'!$P$2:$P$200,MATCH($Y147,'Test catalog'!$A$2:$A$200,0))),"")</f>
        <v/>
      </c>
      <c r="S147" s="14" t="n"/>
      <c r="T147" s="5" t="n"/>
      <c r="U147" s="11">
        <f>IFERROR(IF(INDEX('Test catalog'!$Q$2:$Q$200,MATCH($Y147,'Test catalog'!$A$2:$A$200,0))="","",INDEX('Test catalog'!$Q$2:$Q$200,MATCH($Y147,'Test catalog'!$A$2:$A$200,0))),"")</f>
        <v/>
      </c>
      <c r="V147" s="5" t="n"/>
      <c r="W147" s="5" t="n"/>
      <c r="X147" s="5" t="n"/>
      <c r="Y147" s="5" t="inlineStr">
        <is>
          <t>SALM</t>
        </is>
      </c>
      <c r="Z147" s="11" t="inlineStr">
        <is>
          <t>Natural origin, no USP-NF micro test - confirm (USP &lt;2023&gt;)</t>
        </is>
      </c>
    </row>
    <row r="148">
      <c r="A148" s="11" t="inlineStr">
        <is>
          <t>Ubidecarenone (Co-Q10)</t>
        </is>
      </c>
      <c r="B148" s="11" t="inlineStr">
        <is>
          <t>RM</t>
        </is>
      </c>
      <c r="C148" s="11" t="inlineStr">
        <is>
          <t>Active</t>
        </is>
      </c>
      <c r="D148" s="11" t="inlineStr">
        <is>
          <t>Microbial enumeration - TAMC + TYMC (&lt;61&gt; / &lt;2021&gt;)</t>
        </is>
      </c>
      <c r="E148" s="5" t="inlineStr">
        <is>
          <t>N</t>
        </is>
      </c>
      <c r="F148" s="5" t="n"/>
      <c r="G148" s="11">
        <f>IFERROR(IF(INDEX('Test catalog'!$F$2:$F$200,MATCH($Y148,'Test catalog'!$A$2:$A$200,0))="","",INDEX('Test catalog'!$F$2:$F$200,MATCH($Y148,'Test catalog'!$A$2:$A$200,0))),"")</f>
        <v/>
      </c>
      <c r="H148" s="11">
        <f>IFERROR(IF(INDEX('Test catalog'!$G$2:$G$200,MATCH($Y148,'Test catalog'!$A$2:$A$200,0))="","",INDEX('Test catalog'!$G$2:$G$200,MATCH($Y148,'Test catalog'!$A$2:$A$200,0))),"")</f>
        <v/>
      </c>
      <c r="I148" s="11">
        <f>IFERROR(IF(INDEX('Test catalog'!$H$2:$H$200,MATCH($Y148,'Test catalog'!$A$2:$A$200,0))="","",INDEX('Test catalog'!$H$2:$H$200,MATCH($Y148,'Test catalog'!$A$2:$A$200,0))),"")</f>
        <v/>
      </c>
      <c r="J148" s="11">
        <f>IFERROR(IF(INDEX('Test catalog'!$I$2:$I$200,MATCH($Y148,'Test catalog'!$A$2:$A$200,0))="","",INDEX('Test catalog'!$I$2:$I$200,MATCH($Y148,'Test catalog'!$A$2:$A$200,0))),"")</f>
        <v/>
      </c>
      <c r="K148" s="13">
        <f>IF(I148="","",IF(OR(H148="",J148=""),I148,(H148+4*I148+J148)/6))</f>
        <v/>
      </c>
      <c r="L148" s="11">
        <f>IFERROR(IF(INDEX('Test catalog'!$J$2:$J$200,MATCH($Y148,'Test catalog'!$A$2:$A$200,0))="","",INDEX('Test catalog'!$J$2:$J$200,MATCH($Y148,'Test catalog'!$A$2:$A$200,0))),"")</f>
        <v/>
      </c>
      <c r="M148" s="11">
        <f>IFERROR(IF(INDEX('Test catalog'!$K$2:$K$200,MATCH($Y148,'Test catalog'!$A$2:$A$200,0))="","",INDEX('Test catalog'!$K$2:$K$200,MATCH($Y148,'Test catalog'!$A$2:$A$200,0))),"")</f>
        <v/>
      </c>
      <c r="N148" s="11">
        <f>IFERROR(IF(INDEX('Test catalog'!$L$2:$L$200,MATCH($Y148,'Test catalog'!$A$2:$A$200,0))="","",INDEX('Test catalog'!$L$2:$L$200,MATCH($Y148,'Test catalog'!$A$2:$A$200,0))),"")</f>
        <v/>
      </c>
      <c r="O148" s="11">
        <f>IFERROR(IF(INDEX('Test catalog'!$M$2:$M$200,MATCH($Y148,'Test catalog'!$A$2:$A$200,0))="","",INDEX('Test catalog'!$M$2:$M$200,MATCH($Y148,'Test catalog'!$A$2:$A$200,0))),"")</f>
        <v/>
      </c>
      <c r="P148" s="11">
        <f>IFERROR(IF(INDEX('Test catalog'!$N$2:$N$200,MATCH($Y148,'Test catalog'!$A$2:$A$200,0))="","",INDEX('Test catalog'!$N$2:$N$200,MATCH($Y148,'Test catalog'!$A$2:$A$200,0))),"")</f>
        <v/>
      </c>
      <c r="Q148" s="11">
        <f>IFERROR(IF(INDEX('Test catalog'!$O$2:$O$200,MATCH($Y148,'Test catalog'!$A$2:$A$200,0))="","",INDEX('Test catalog'!$O$2:$O$200,MATCH($Y148,'Test catalog'!$A$2:$A$200,0))),"")</f>
        <v/>
      </c>
      <c r="R148" s="11">
        <f>IFERROR(IF(INDEX('Test catalog'!$P$2:$P$200,MATCH($Y148,'Test catalog'!$A$2:$A$200,0))="","",INDEX('Test catalog'!$P$2:$P$200,MATCH($Y148,'Test catalog'!$A$2:$A$200,0))),"")</f>
        <v/>
      </c>
      <c r="S148" s="14" t="n"/>
      <c r="T148" s="5" t="n"/>
      <c r="U148" s="11">
        <f>IFERROR(IF(INDEX('Test catalog'!$Q$2:$Q$200,MATCH($Y148,'Test catalog'!$A$2:$A$200,0))="","",INDEX('Test catalog'!$Q$2:$Q$200,MATCH($Y148,'Test catalog'!$A$2:$A$200,0))),"")</f>
        <v/>
      </c>
      <c r="V148" s="5" t="n"/>
      <c r="W148" s="5" t="n"/>
      <c r="X148" s="5" t="n"/>
      <c r="Y148" s="5" t="inlineStr">
        <is>
          <t>ENUM</t>
        </is>
      </c>
      <c r="Z148" s="11" t="inlineStr">
        <is>
          <t>No micro test in USP-NF - set Y if your specification has one</t>
        </is>
      </c>
    </row>
    <row r="149">
      <c r="A149" s="11" t="inlineStr">
        <is>
          <t>Vitamin D3</t>
        </is>
      </c>
      <c r="B149" s="11" t="inlineStr">
        <is>
          <t>RM</t>
        </is>
      </c>
      <c r="C149" s="11" t="inlineStr">
        <is>
          <t>Active</t>
        </is>
      </c>
      <c r="D149" s="11" t="inlineStr">
        <is>
          <t>Microbial enumeration - TAMC + TYMC (&lt;61&gt; / &lt;2021&gt;)</t>
        </is>
      </c>
      <c r="E149" s="5" t="inlineStr">
        <is>
          <t>N</t>
        </is>
      </c>
      <c r="F149" s="5" t="n"/>
      <c r="G149" s="11">
        <f>IFERROR(IF(INDEX('Test catalog'!$F$2:$F$200,MATCH($Y149,'Test catalog'!$A$2:$A$200,0))="","",INDEX('Test catalog'!$F$2:$F$200,MATCH($Y149,'Test catalog'!$A$2:$A$200,0))),"")</f>
        <v/>
      </c>
      <c r="H149" s="11">
        <f>IFERROR(IF(INDEX('Test catalog'!$G$2:$G$200,MATCH($Y149,'Test catalog'!$A$2:$A$200,0))="","",INDEX('Test catalog'!$G$2:$G$200,MATCH($Y149,'Test catalog'!$A$2:$A$200,0))),"")</f>
        <v/>
      </c>
      <c r="I149" s="11">
        <f>IFERROR(IF(INDEX('Test catalog'!$H$2:$H$200,MATCH($Y149,'Test catalog'!$A$2:$A$200,0))="","",INDEX('Test catalog'!$H$2:$H$200,MATCH($Y149,'Test catalog'!$A$2:$A$200,0))),"")</f>
        <v/>
      </c>
      <c r="J149" s="11">
        <f>IFERROR(IF(INDEX('Test catalog'!$I$2:$I$200,MATCH($Y149,'Test catalog'!$A$2:$A$200,0))="","",INDEX('Test catalog'!$I$2:$I$200,MATCH($Y149,'Test catalog'!$A$2:$A$200,0))),"")</f>
        <v/>
      </c>
      <c r="K149" s="13">
        <f>IF(I149="","",IF(OR(H149="",J149=""),I149,(H149+4*I149+J149)/6))</f>
        <v/>
      </c>
      <c r="L149" s="11">
        <f>IFERROR(IF(INDEX('Test catalog'!$J$2:$J$200,MATCH($Y149,'Test catalog'!$A$2:$A$200,0))="","",INDEX('Test catalog'!$J$2:$J$200,MATCH($Y149,'Test catalog'!$A$2:$A$200,0))),"")</f>
        <v/>
      </c>
      <c r="M149" s="11">
        <f>IFERROR(IF(INDEX('Test catalog'!$K$2:$K$200,MATCH($Y149,'Test catalog'!$A$2:$A$200,0))="","",INDEX('Test catalog'!$K$2:$K$200,MATCH($Y149,'Test catalog'!$A$2:$A$200,0))),"")</f>
        <v/>
      </c>
      <c r="N149" s="11">
        <f>IFERROR(IF(INDEX('Test catalog'!$L$2:$L$200,MATCH($Y149,'Test catalog'!$A$2:$A$200,0))="","",INDEX('Test catalog'!$L$2:$L$200,MATCH($Y149,'Test catalog'!$A$2:$A$200,0))),"")</f>
        <v/>
      </c>
      <c r="O149" s="11">
        <f>IFERROR(IF(INDEX('Test catalog'!$M$2:$M$200,MATCH($Y149,'Test catalog'!$A$2:$A$200,0))="","",INDEX('Test catalog'!$M$2:$M$200,MATCH($Y149,'Test catalog'!$A$2:$A$200,0))),"")</f>
        <v/>
      </c>
      <c r="P149" s="11">
        <f>IFERROR(IF(INDEX('Test catalog'!$N$2:$N$200,MATCH($Y149,'Test catalog'!$A$2:$A$200,0))="","",INDEX('Test catalog'!$N$2:$N$200,MATCH($Y149,'Test catalog'!$A$2:$A$200,0))),"")</f>
        <v/>
      </c>
      <c r="Q149" s="11">
        <f>IFERROR(IF(INDEX('Test catalog'!$O$2:$O$200,MATCH($Y149,'Test catalog'!$A$2:$A$200,0))="","",INDEX('Test catalog'!$O$2:$O$200,MATCH($Y149,'Test catalog'!$A$2:$A$200,0))),"")</f>
        <v/>
      </c>
      <c r="R149" s="11">
        <f>IFERROR(IF(INDEX('Test catalog'!$P$2:$P$200,MATCH($Y149,'Test catalog'!$A$2:$A$200,0))="","",INDEX('Test catalog'!$P$2:$P$200,MATCH($Y149,'Test catalog'!$A$2:$A$200,0))),"")</f>
        <v/>
      </c>
      <c r="S149" s="14" t="n"/>
      <c r="T149" s="5" t="n"/>
      <c r="U149" s="11">
        <f>IFERROR(IF(INDEX('Test catalog'!$Q$2:$Q$200,MATCH($Y149,'Test catalog'!$A$2:$A$200,0))="","",INDEX('Test catalog'!$Q$2:$Q$200,MATCH($Y149,'Test catalog'!$A$2:$A$200,0))),"")</f>
        <v/>
      </c>
      <c r="V149" s="5" t="n"/>
      <c r="W149" s="5" t="n"/>
      <c r="X149" s="5" t="n"/>
      <c r="Y149" s="5" t="inlineStr">
        <is>
          <t>ENUM</t>
        </is>
      </c>
      <c r="Z149" s="11" t="inlineStr">
        <is>
          <t>No micro test in USP-NF - set Y if your specification has one</t>
        </is>
      </c>
    </row>
    <row r="150">
      <c r="A150" s="11" t="inlineStr">
        <is>
          <t>Vitamin K1</t>
        </is>
      </c>
      <c r="B150" s="11" t="inlineStr">
        <is>
          <t>RM</t>
        </is>
      </c>
      <c r="C150" s="11" t="inlineStr">
        <is>
          <t>Active</t>
        </is>
      </c>
      <c r="D150" s="11" t="inlineStr">
        <is>
          <t>Microbial enumeration - TAMC + TYMC (&lt;61&gt; / &lt;2021&gt;)</t>
        </is>
      </c>
      <c r="E150" s="5" t="inlineStr">
        <is>
          <t>N</t>
        </is>
      </c>
      <c r="F150" s="5" t="n"/>
      <c r="G150" s="11">
        <f>IFERROR(IF(INDEX('Test catalog'!$F$2:$F$200,MATCH($Y150,'Test catalog'!$A$2:$A$200,0))="","",INDEX('Test catalog'!$F$2:$F$200,MATCH($Y150,'Test catalog'!$A$2:$A$200,0))),"")</f>
        <v/>
      </c>
      <c r="H150" s="11">
        <f>IFERROR(IF(INDEX('Test catalog'!$G$2:$G$200,MATCH($Y150,'Test catalog'!$A$2:$A$200,0))="","",INDEX('Test catalog'!$G$2:$G$200,MATCH($Y150,'Test catalog'!$A$2:$A$200,0))),"")</f>
        <v/>
      </c>
      <c r="I150" s="11">
        <f>IFERROR(IF(INDEX('Test catalog'!$H$2:$H$200,MATCH($Y150,'Test catalog'!$A$2:$A$200,0))="","",INDEX('Test catalog'!$H$2:$H$200,MATCH($Y150,'Test catalog'!$A$2:$A$200,0))),"")</f>
        <v/>
      </c>
      <c r="J150" s="11">
        <f>IFERROR(IF(INDEX('Test catalog'!$I$2:$I$200,MATCH($Y150,'Test catalog'!$A$2:$A$200,0))="","",INDEX('Test catalog'!$I$2:$I$200,MATCH($Y150,'Test catalog'!$A$2:$A$200,0))),"")</f>
        <v/>
      </c>
      <c r="K150" s="13">
        <f>IF(I150="","",IF(OR(H150="",J150=""),I150,(H150+4*I150+J150)/6))</f>
        <v/>
      </c>
      <c r="L150" s="11">
        <f>IFERROR(IF(INDEX('Test catalog'!$J$2:$J$200,MATCH($Y150,'Test catalog'!$A$2:$A$200,0))="","",INDEX('Test catalog'!$J$2:$J$200,MATCH($Y150,'Test catalog'!$A$2:$A$200,0))),"")</f>
        <v/>
      </c>
      <c r="M150" s="11">
        <f>IFERROR(IF(INDEX('Test catalog'!$K$2:$K$200,MATCH($Y150,'Test catalog'!$A$2:$A$200,0))="","",INDEX('Test catalog'!$K$2:$K$200,MATCH($Y150,'Test catalog'!$A$2:$A$200,0))),"")</f>
        <v/>
      </c>
      <c r="N150" s="11">
        <f>IFERROR(IF(INDEX('Test catalog'!$L$2:$L$200,MATCH($Y150,'Test catalog'!$A$2:$A$200,0))="","",INDEX('Test catalog'!$L$2:$L$200,MATCH($Y150,'Test catalog'!$A$2:$A$200,0))),"")</f>
        <v/>
      </c>
      <c r="O150" s="11">
        <f>IFERROR(IF(INDEX('Test catalog'!$M$2:$M$200,MATCH($Y150,'Test catalog'!$A$2:$A$200,0))="","",INDEX('Test catalog'!$M$2:$M$200,MATCH($Y150,'Test catalog'!$A$2:$A$200,0))),"")</f>
        <v/>
      </c>
      <c r="P150" s="11">
        <f>IFERROR(IF(INDEX('Test catalog'!$N$2:$N$200,MATCH($Y150,'Test catalog'!$A$2:$A$200,0))="","",INDEX('Test catalog'!$N$2:$N$200,MATCH($Y150,'Test catalog'!$A$2:$A$200,0))),"")</f>
        <v/>
      </c>
      <c r="Q150" s="11">
        <f>IFERROR(IF(INDEX('Test catalog'!$O$2:$O$200,MATCH($Y150,'Test catalog'!$A$2:$A$200,0))="","",INDEX('Test catalog'!$O$2:$O$200,MATCH($Y150,'Test catalog'!$A$2:$A$200,0))),"")</f>
        <v/>
      </c>
      <c r="R150" s="11">
        <f>IFERROR(IF(INDEX('Test catalog'!$P$2:$P$200,MATCH($Y150,'Test catalog'!$A$2:$A$200,0))="","",INDEX('Test catalog'!$P$2:$P$200,MATCH($Y150,'Test catalog'!$A$2:$A$200,0))),"")</f>
        <v/>
      </c>
      <c r="S150" s="14" t="n"/>
      <c r="T150" s="5" t="n"/>
      <c r="U150" s="11">
        <f>IFERROR(IF(INDEX('Test catalog'!$Q$2:$Q$200,MATCH($Y150,'Test catalog'!$A$2:$A$200,0))="","",INDEX('Test catalog'!$Q$2:$Q$200,MATCH($Y150,'Test catalog'!$A$2:$A$200,0))),"")</f>
        <v/>
      </c>
      <c r="V150" s="5" t="n"/>
      <c r="W150" s="5" t="n"/>
      <c r="X150" s="5" t="n"/>
      <c r="Y150" s="5" t="inlineStr">
        <is>
          <t>ENUM</t>
        </is>
      </c>
      <c r="Z150" s="11" t="inlineStr">
        <is>
          <t>No micro test in USP-NF - set Y if your specification has one</t>
        </is>
      </c>
    </row>
    <row r="151">
      <c r="A151" s="11" t="inlineStr">
        <is>
          <t>Zinc Gluconate</t>
        </is>
      </c>
      <c r="B151" s="11" t="inlineStr">
        <is>
          <t>RM</t>
        </is>
      </c>
      <c r="C151" s="11" t="inlineStr">
        <is>
          <t>Active</t>
        </is>
      </c>
      <c r="D151" s="11" t="inlineStr">
        <is>
          <t>Microbial enumeration - TAMC + TYMC (&lt;61&gt; / &lt;2021&gt;)</t>
        </is>
      </c>
      <c r="E151" s="5" t="inlineStr">
        <is>
          <t>N</t>
        </is>
      </c>
      <c r="F151" s="5" t="n"/>
      <c r="G151" s="11">
        <f>IFERROR(IF(INDEX('Test catalog'!$F$2:$F$200,MATCH($Y151,'Test catalog'!$A$2:$A$200,0))="","",INDEX('Test catalog'!$F$2:$F$200,MATCH($Y151,'Test catalog'!$A$2:$A$200,0))),"")</f>
        <v/>
      </c>
      <c r="H151" s="11">
        <f>IFERROR(IF(INDEX('Test catalog'!$G$2:$G$200,MATCH($Y151,'Test catalog'!$A$2:$A$200,0))="","",INDEX('Test catalog'!$G$2:$G$200,MATCH($Y151,'Test catalog'!$A$2:$A$200,0))),"")</f>
        <v/>
      </c>
      <c r="I151" s="11">
        <f>IFERROR(IF(INDEX('Test catalog'!$H$2:$H$200,MATCH($Y151,'Test catalog'!$A$2:$A$200,0))="","",INDEX('Test catalog'!$H$2:$H$200,MATCH($Y151,'Test catalog'!$A$2:$A$200,0))),"")</f>
        <v/>
      </c>
      <c r="J151" s="11">
        <f>IFERROR(IF(INDEX('Test catalog'!$I$2:$I$200,MATCH($Y151,'Test catalog'!$A$2:$A$200,0))="","",INDEX('Test catalog'!$I$2:$I$200,MATCH($Y151,'Test catalog'!$A$2:$A$200,0))),"")</f>
        <v/>
      </c>
      <c r="K151" s="13">
        <f>IF(I151="","",IF(OR(H151="",J151=""),I151,(H151+4*I151+J151)/6))</f>
        <v/>
      </c>
      <c r="L151" s="11">
        <f>IFERROR(IF(INDEX('Test catalog'!$J$2:$J$200,MATCH($Y151,'Test catalog'!$A$2:$A$200,0))="","",INDEX('Test catalog'!$J$2:$J$200,MATCH($Y151,'Test catalog'!$A$2:$A$200,0))),"")</f>
        <v/>
      </c>
      <c r="M151" s="11">
        <f>IFERROR(IF(INDEX('Test catalog'!$K$2:$K$200,MATCH($Y151,'Test catalog'!$A$2:$A$200,0))="","",INDEX('Test catalog'!$K$2:$K$200,MATCH($Y151,'Test catalog'!$A$2:$A$200,0))),"")</f>
        <v/>
      </c>
      <c r="N151" s="11">
        <f>IFERROR(IF(INDEX('Test catalog'!$L$2:$L$200,MATCH($Y151,'Test catalog'!$A$2:$A$200,0))="","",INDEX('Test catalog'!$L$2:$L$200,MATCH($Y151,'Test catalog'!$A$2:$A$200,0))),"")</f>
        <v/>
      </c>
      <c r="O151" s="11">
        <f>IFERROR(IF(INDEX('Test catalog'!$M$2:$M$200,MATCH($Y151,'Test catalog'!$A$2:$A$200,0))="","",INDEX('Test catalog'!$M$2:$M$200,MATCH($Y151,'Test catalog'!$A$2:$A$200,0))),"")</f>
        <v/>
      </c>
      <c r="P151" s="11">
        <f>IFERROR(IF(INDEX('Test catalog'!$N$2:$N$200,MATCH($Y151,'Test catalog'!$A$2:$A$200,0))="","",INDEX('Test catalog'!$N$2:$N$200,MATCH($Y151,'Test catalog'!$A$2:$A$200,0))),"")</f>
        <v/>
      </c>
      <c r="Q151" s="11">
        <f>IFERROR(IF(INDEX('Test catalog'!$O$2:$O$200,MATCH($Y151,'Test catalog'!$A$2:$A$200,0))="","",INDEX('Test catalog'!$O$2:$O$200,MATCH($Y151,'Test catalog'!$A$2:$A$200,0))),"")</f>
        <v/>
      </c>
      <c r="R151" s="11">
        <f>IFERROR(IF(INDEX('Test catalog'!$P$2:$P$200,MATCH($Y151,'Test catalog'!$A$2:$A$200,0))="","",INDEX('Test catalog'!$P$2:$P$200,MATCH($Y151,'Test catalog'!$A$2:$A$200,0))),"")</f>
        <v/>
      </c>
      <c r="S151" s="14" t="n"/>
      <c r="T151" s="5" t="n"/>
      <c r="U151" s="11">
        <f>IFERROR(IF(INDEX('Test catalog'!$Q$2:$Q$200,MATCH($Y151,'Test catalog'!$A$2:$A$200,0))="","",INDEX('Test catalog'!$Q$2:$Q$200,MATCH($Y151,'Test catalog'!$A$2:$A$200,0))),"")</f>
        <v/>
      </c>
      <c r="V151" s="5" t="n"/>
      <c r="W151" s="5" t="n"/>
      <c r="X151" s="5" t="n"/>
      <c r="Y151" s="5" t="inlineStr">
        <is>
          <t>ENUM</t>
        </is>
      </c>
      <c r="Z151" s="11" t="inlineStr">
        <is>
          <t>No micro test in USP-NF - set Y if your specification has one</t>
        </is>
      </c>
    </row>
    <row r="152">
      <c r="A152" s="11" t="inlineStr">
        <is>
          <t>Meglumine</t>
        </is>
      </c>
      <c r="B152" s="11" t="inlineStr">
        <is>
          <t>RM</t>
        </is>
      </c>
      <c r="C152" s="11" t="inlineStr">
        <is>
          <t>Alkalizer / Solubilizer</t>
        </is>
      </c>
      <c r="D152" s="11" t="inlineStr">
        <is>
          <t>Microbial enumeration - TAMC + TYMC (&lt;61&gt; / &lt;2021&gt;)</t>
        </is>
      </c>
      <c r="E152" s="5" t="inlineStr">
        <is>
          <t>N</t>
        </is>
      </c>
      <c r="F152" s="5" t="n"/>
      <c r="G152" s="11">
        <f>IFERROR(IF(INDEX('Test catalog'!$F$2:$F$200,MATCH($Y152,'Test catalog'!$A$2:$A$200,0))="","",INDEX('Test catalog'!$F$2:$F$200,MATCH($Y152,'Test catalog'!$A$2:$A$200,0))),"")</f>
        <v/>
      </c>
      <c r="H152" s="11">
        <f>IFERROR(IF(INDEX('Test catalog'!$G$2:$G$200,MATCH($Y152,'Test catalog'!$A$2:$A$200,0))="","",INDEX('Test catalog'!$G$2:$G$200,MATCH($Y152,'Test catalog'!$A$2:$A$200,0))),"")</f>
        <v/>
      </c>
      <c r="I152" s="11">
        <f>IFERROR(IF(INDEX('Test catalog'!$H$2:$H$200,MATCH($Y152,'Test catalog'!$A$2:$A$200,0))="","",INDEX('Test catalog'!$H$2:$H$200,MATCH($Y152,'Test catalog'!$A$2:$A$200,0))),"")</f>
        <v/>
      </c>
      <c r="J152" s="11">
        <f>IFERROR(IF(INDEX('Test catalog'!$I$2:$I$200,MATCH($Y152,'Test catalog'!$A$2:$A$200,0))="","",INDEX('Test catalog'!$I$2:$I$200,MATCH($Y152,'Test catalog'!$A$2:$A$200,0))),"")</f>
        <v/>
      </c>
      <c r="K152" s="13">
        <f>IF(I152="","",IF(OR(H152="",J152=""),I152,(H152+4*I152+J152)/6))</f>
        <v/>
      </c>
      <c r="L152" s="11">
        <f>IFERROR(IF(INDEX('Test catalog'!$J$2:$J$200,MATCH($Y152,'Test catalog'!$A$2:$A$200,0))="","",INDEX('Test catalog'!$J$2:$J$200,MATCH($Y152,'Test catalog'!$A$2:$A$200,0))),"")</f>
        <v/>
      </c>
      <c r="M152" s="11">
        <f>IFERROR(IF(INDEX('Test catalog'!$K$2:$K$200,MATCH($Y152,'Test catalog'!$A$2:$A$200,0))="","",INDEX('Test catalog'!$K$2:$K$200,MATCH($Y152,'Test catalog'!$A$2:$A$200,0))),"")</f>
        <v/>
      </c>
      <c r="N152" s="11">
        <f>IFERROR(IF(INDEX('Test catalog'!$L$2:$L$200,MATCH($Y152,'Test catalog'!$A$2:$A$200,0))="","",INDEX('Test catalog'!$L$2:$L$200,MATCH($Y152,'Test catalog'!$A$2:$A$200,0))),"")</f>
        <v/>
      </c>
      <c r="O152" s="11">
        <f>IFERROR(IF(INDEX('Test catalog'!$M$2:$M$200,MATCH($Y152,'Test catalog'!$A$2:$A$200,0))="","",INDEX('Test catalog'!$M$2:$M$200,MATCH($Y152,'Test catalog'!$A$2:$A$200,0))),"")</f>
        <v/>
      </c>
      <c r="P152" s="11">
        <f>IFERROR(IF(INDEX('Test catalog'!$N$2:$N$200,MATCH($Y152,'Test catalog'!$A$2:$A$200,0))="","",INDEX('Test catalog'!$N$2:$N$200,MATCH($Y152,'Test catalog'!$A$2:$A$200,0))),"")</f>
        <v/>
      </c>
      <c r="Q152" s="11">
        <f>IFERROR(IF(INDEX('Test catalog'!$O$2:$O$200,MATCH($Y152,'Test catalog'!$A$2:$A$200,0))="","",INDEX('Test catalog'!$O$2:$O$200,MATCH($Y152,'Test catalog'!$A$2:$A$200,0))),"")</f>
        <v/>
      </c>
      <c r="R152" s="11">
        <f>IFERROR(IF(INDEX('Test catalog'!$P$2:$P$200,MATCH($Y152,'Test catalog'!$A$2:$A$200,0))="","",INDEX('Test catalog'!$P$2:$P$200,MATCH($Y152,'Test catalog'!$A$2:$A$200,0))),"")</f>
        <v/>
      </c>
      <c r="S152" s="14" t="n"/>
      <c r="T152" s="5" t="n"/>
      <c r="U152" s="11">
        <f>IFERROR(IF(INDEX('Test catalog'!$Q$2:$Q$200,MATCH($Y152,'Test catalog'!$A$2:$A$200,0))="","",INDEX('Test catalog'!$Q$2:$Q$200,MATCH($Y152,'Test catalog'!$A$2:$A$200,0))),"")</f>
        <v/>
      </c>
      <c r="V152" s="5" t="n"/>
      <c r="W152" s="5" t="n"/>
      <c r="X152" s="5" t="n"/>
      <c r="Y152" s="5" t="inlineStr">
        <is>
          <t>ENUM</t>
        </is>
      </c>
      <c r="Z152" s="11" t="inlineStr">
        <is>
          <t>No micro test in USP-NF - set Y if your specification has one</t>
        </is>
      </c>
    </row>
    <row r="153">
      <c r="A153" s="11" t="inlineStr">
        <is>
          <t>Sodium Hydroxide</t>
        </is>
      </c>
      <c r="B153" s="11" t="inlineStr">
        <is>
          <t>RM</t>
        </is>
      </c>
      <c r="C153" s="11" t="inlineStr">
        <is>
          <t>Alkalizer / Solubilizer</t>
        </is>
      </c>
      <c r="D153" s="11" t="inlineStr">
        <is>
          <t>Microbial enumeration - TAMC + TYMC (&lt;61&gt; / &lt;2021&gt;)</t>
        </is>
      </c>
      <c r="E153" s="5" t="inlineStr">
        <is>
          <t>N</t>
        </is>
      </c>
      <c r="F153" s="5" t="n"/>
      <c r="G153" s="11">
        <f>IFERROR(IF(INDEX('Test catalog'!$F$2:$F$200,MATCH($Y153,'Test catalog'!$A$2:$A$200,0))="","",INDEX('Test catalog'!$F$2:$F$200,MATCH($Y153,'Test catalog'!$A$2:$A$200,0))),"")</f>
        <v/>
      </c>
      <c r="H153" s="11">
        <f>IFERROR(IF(INDEX('Test catalog'!$G$2:$G$200,MATCH($Y153,'Test catalog'!$A$2:$A$200,0))="","",INDEX('Test catalog'!$G$2:$G$200,MATCH($Y153,'Test catalog'!$A$2:$A$200,0))),"")</f>
        <v/>
      </c>
      <c r="I153" s="11">
        <f>IFERROR(IF(INDEX('Test catalog'!$H$2:$H$200,MATCH($Y153,'Test catalog'!$A$2:$A$200,0))="","",INDEX('Test catalog'!$H$2:$H$200,MATCH($Y153,'Test catalog'!$A$2:$A$200,0))),"")</f>
        <v/>
      </c>
      <c r="J153" s="11">
        <f>IFERROR(IF(INDEX('Test catalog'!$I$2:$I$200,MATCH($Y153,'Test catalog'!$A$2:$A$200,0))="","",INDEX('Test catalog'!$I$2:$I$200,MATCH($Y153,'Test catalog'!$A$2:$A$200,0))),"")</f>
        <v/>
      </c>
      <c r="K153" s="13">
        <f>IF(I153="","",IF(OR(H153="",J153=""),I153,(H153+4*I153+J153)/6))</f>
        <v/>
      </c>
      <c r="L153" s="11">
        <f>IFERROR(IF(INDEX('Test catalog'!$J$2:$J$200,MATCH($Y153,'Test catalog'!$A$2:$A$200,0))="","",INDEX('Test catalog'!$J$2:$J$200,MATCH($Y153,'Test catalog'!$A$2:$A$200,0))),"")</f>
        <v/>
      </c>
      <c r="M153" s="11">
        <f>IFERROR(IF(INDEX('Test catalog'!$K$2:$K$200,MATCH($Y153,'Test catalog'!$A$2:$A$200,0))="","",INDEX('Test catalog'!$K$2:$K$200,MATCH($Y153,'Test catalog'!$A$2:$A$200,0))),"")</f>
        <v/>
      </c>
      <c r="N153" s="11">
        <f>IFERROR(IF(INDEX('Test catalog'!$L$2:$L$200,MATCH($Y153,'Test catalog'!$A$2:$A$200,0))="","",INDEX('Test catalog'!$L$2:$L$200,MATCH($Y153,'Test catalog'!$A$2:$A$200,0))),"")</f>
        <v/>
      </c>
      <c r="O153" s="11">
        <f>IFERROR(IF(INDEX('Test catalog'!$M$2:$M$200,MATCH($Y153,'Test catalog'!$A$2:$A$200,0))="","",INDEX('Test catalog'!$M$2:$M$200,MATCH($Y153,'Test catalog'!$A$2:$A$200,0))),"")</f>
        <v/>
      </c>
      <c r="P153" s="11">
        <f>IFERROR(IF(INDEX('Test catalog'!$N$2:$N$200,MATCH($Y153,'Test catalog'!$A$2:$A$200,0))="","",INDEX('Test catalog'!$N$2:$N$200,MATCH($Y153,'Test catalog'!$A$2:$A$200,0))),"")</f>
        <v/>
      </c>
      <c r="Q153" s="11">
        <f>IFERROR(IF(INDEX('Test catalog'!$O$2:$O$200,MATCH($Y153,'Test catalog'!$A$2:$A$200,0))="","",INDEX('Test catalog'!$O$2:$O$200,MATCH($Y153,'Test catalog'!$A$2:$A$200,0))),"")</f>
        <v/>
      </c>
      <c r="R153" s="11">
        <f>IFERROR(IF(INDEX('Test catalog'!$P$2:$P$200,MATCH($Y153,'Test catalog'!$A$2:$A$200,0))="","",INDEX('Test catalog'!$P$2:$P$200,MATCH($Y153,'Test catalog'!$A$2:$A$200,0))),"")</f>
        <v/>
      </c>
      <c r="S153" s="14" t="n"/>
      <c r="T153" s="5" t="n"/>
      <c r="U153" s="11">
        <f>IFERROR(IF(INDEX('Test catalog'!$Q$2:$Q$200,MATCH($Y153,'Test catalog'!$A$2:$A$200,0))="","",INDEX('Test catalog'!$Q$2:$Q$200,MATCH($Y153,'Test catalog'!$A$2:$A$200,0))),"")</f>
        <v/>
      </c>
      <c r="V153" s="5" t="n"/>
      <c r="W153" s="5" t="n"/>
      <c r="X153" s="5" t="n"/>
      <c r="Y153" s="5" t="inlineStr">
        <is>
          <t>ENUM</t>
        </is>
      </c>
      <c r="Z153" s="11" t="inlineStr">
        <is>
          <t>No micro test in USP-NF - set Y if your specification has one</t>
        </is>
      </c>
    </row>
    <row r="154">
      <c r="A154" s="11" t="inlineStr">
        <is>
          <t>PVP K30</t>
        </is>
      </c>
      <c r="B154" s="11" t="inlineStr">
        <is>
          <t>RM</t>
        </is>
      </c>
      <c r="C154" s="11" t="inlineStr">
        <is>
          <t>Binder</t>
        </is>
      </c>
      <c r="D154" s="11" t="inlineStr">
        <is>
          <t>Microbial enumeration - TAMC + TYMC (&lt;61&gt; / &lt;2021&gt;)</t>
        </is>
      </c>
      <c r="E154" s="5" t="inlineStr">
        <is>
          <t>N</t>
        </is>
      </c>
      <c r="F154" s="5" t="n"/>
      <c r="G154" s="11">
        <f>IFERROR(IF(INDEX('Test catalog'!$F$2:$F$200,MATCH($Y154,'Test catalog'!$A$2:$A$200,0))="","",INDEX('Test catalog'!$F$2:$F$200,MATCH($Y154,'Test catalog'!$A$2:$A$200,0))),"")</f>
        <v/>
      </c>
      <c r="H154" s="11">
        <f>IFERROR(IF(INDEX('Test catalog'!$G$2:$G$200,MATCH($Y154,'Test catalog'!$A$2:$A$200,0))="","",INDEX('Test catalog'!$G$2:$G$200,MATCH($Y154,'Test catalog'!$A$2:$A$200,0))),"")</f>
        <v/>
      </c>
      <c r="I154" s="11">
        <f>IFERROR(IF(INDEX('Test catalog'!$H$2:$H$200,MATCH($Y154,'Test catalog'!$A$2:$A$200,0))="","",INDEX('Test catalog'!$H$2:$H$200,MATCH($Y154,'Test catalog'!$A$2:$A$200,0))),"")</f>
        <v/>
      </c>
      <c r="J154" s="11">
        <f>IFERROR(IF(INDEX('Test catalog'!$I$2:$I$200,MATCH($Y154,'Test catalog'!$A$2:$A$200,0))="","",INDEX('Test catalog'!$I$2:$I$200,MATCH($Y154,'Test catalog'!$A$2:$A$200,0))),"")</f>
        <v/>
      </c>
      <c r="K154" s="13">
        <f>IF(I154="","",IF(OR(H154="",J154=""),I154,(H154+4*I154+J154)/6))</f>
        <v/>
      </c>
      <c r="L154" s="11">
        <f>IFERROR(IF(INDEX('Test catalog'!$J$2:$J$200,MATCH($Y154,'Test catalog'!$A$2:$A$200,0))="","",INDEX('Test catalog'!$J$2:$J$200,MATCH($Y154,'Test catalog'!$A$2:$A$200,0))),"")</f>
        <v/>
      </c>
      <c r="M154" s="11">
        <f>IFERROR(IF(INDEX('Test catalog'!$K$2:$K$200,MATCH($Y154,'Test catalog'!$A$2:$A$200,0))="","",INDEX('Test catalog'!$K$2:$K$200,MATCH($Y154,'Test catalog'!$A$2:$A$200,0))),"")</f>
        <v/>
      </c>
      <c r="N154" s="11">
        <f>IFERROR(IF(INDEX('Test catalog'!$L$2:$L$200,MATCH($Y154,'Test catalog'!$A$2:$A$200,0))="","",INDEX('Test catalog'!$L$2:$L$200,MATCH($Y154,'Test catalog'!$A$2:$A$200,0))),"")</f>
        <v/>
      </c>
      <c r="O154" s="11">
        <f>IFERROR(IF(INDEX('Test catalog'!$M$2:$M$200,MATCH($Y154,'Test catalog'!$A$2:$A$200,0))="","",INDEX('Test catalog'!$M$2:$M$200,MATCH($Y154,'Test catalog'!$A$2:$A$200,0))),"")</f>
        <v/>
      </c>
      <c r="P154" s="11">
        <f>IFERROR(IF(INDEX('Test catalog'!$N$2:$N$200,MATCH($Y154,'Test catalog'!$A$2:$A$200,0))="","",INDEX('Test catalog'!$N$2:$N$200,MATCH($Y154,'Test catalog'!$A$2:$A$200,0))),"")</f>
        <v/>
      </c>
      <c r="Q154" s="11">
        <f>IFERROR(IF(INDEX('Test catalog'!$O$2:$O$200,MATCH($Y154,'Test catalog'!$A$2:$A$200,0))="","",INDEX('Test catalog'!$O$2:$O$200,MATCH($Y154,'Test catalog'!$A$2:$A$200,0))),"")</f>
        <v/>
      </c>
      <c r="R154" s="11">
        <f>IFERROR(IF(INDEX('Test catalog'!$P$2:$P$200,MATCH($Y154,'Test catalog'!$A$2:$A$200,0))="","",INDEX('Test catalog'!$P$2:$P$200,MATCH($Y154,'Test catalog'!$A$2:$A$200,0))),"")</f>
        <v/>
      </c>
      <c r="S154" s="14" t="n"/>
      <c r="T154" s="5" t="n"/>
      <c r="U154" s="11">
        <f>IFERROR(IF(INDEX('Test catalog'!$Q$2:$Q$200,MATCH($Y154,'Test catalog'!$A$2:$A$200,0))="","",INDEX('Test catalog'!$Q$2:$Q$200,MATCH($Y154,'Test catalog'!$A$2:$A$200,0))),"")</f>
        <v/>
      </c>
      <c r="V154" s="5" t="n"/>
      <c r="W154" s="5" t="n"/>
      <c r="X154" s="5" t="n"/>
      <c r="Y154" s="5" t="inlineStr">
        <is>
          <t>ENUM</t>
        </is>
      </c>
      <c r="Z154" s="11" t="inlineStr">
        <is>
          <t>No micro test in USP-NF - set Y if your specification has one</t>
        </is>
      </c>
    </row>
    <row r="155">
      <c r="A155" s="11" t="inlineStr">
        <is>
          <t>PVP K90</t>
        </is>
      </c>
      <c r="B155" s="11" t="inlineStr">
        <is>
          <t>RM</t>
        </is>
      </c>
      <c r="C155" s="11" t="inlineStr">
        <is>
          <t>Binder</t>
        </is>
      </c>
      <c r="D155" s="11" t="inlineStr">
        <is>
          <t>Microbial enumeration - TAMC + TYMC (&lt;61&gt; / &lt;2021&gt;)</t>
        </is>
      </c>
      <c r="E155" s="5" t="inlineStr">
        <is>
          <t>N</t>
        </is>
      </c>
      <c r="F155" s="5" t="n"/>
      <c r="G155" s="11">
        <f>IFERROR(IF(INDEX('Test catalog'!$F$2:$F$200,MATCH($Y155,'Test catalog'!$A$2:$A$200,0))="","",INDEX('Test catalog'!$F$2:$F$200,MATCH($Y155,'Test catalog'!$A$2:$A$200,0))),"")</f>
        <v/>
      </c>
      <c r="H155" s="11">
        <f>IFERROR(IF(INDEX('Test catalog'!$G$2:$G$200,MATCH($Y155,'Test catalog'!$A$2:$A$200,0))="","",INDEX('Test catalog'!$G$2:$G$200,MATCH($Y155,'Test catalog'!$A$2:$A$200,0))),"")</f>
        <v/>
      </c>
      <c r="I155" s="11">
        <f>IFERROR(IF(INDEX('Test catalog'!$H$2:$H$200,MATCH($Y155,'Test catalog'!$A$2:$A$200,0))="","",INDEX('Test catalog'!$H$2:$H$200,MATCH($Y155,'Test catalog'!$A$2:$A$200,0))),"")</f>
        <v/>
      </c>
      <c r="J155" s="11">
        <f>IFERROR(IF(INDEX('Test catalog'!$I$2:$I$200,MATCH($Y155,'Test catalog'!$A$2:$A$200,0))="","",INDEX('Test catalog'!$I$2:$I$200,MATCH($Y155,'Test catalog'!$A$2:$A$200,0))),"")</f>
        <v/>
      </c>
      <c r="K155" s="13">
        <f>IF(I155="","",IF(OR(H155="",J155=""),I155,(H155+4*I155+J155)/6))</f>
        <v/>
      </c>
      <c r="L155" s="11">
        <f>IFERROR(IF(INDEX('Test catalog'!$J$2:$J$200,MATCH($Y155,'Test catalog'!$A$2:$A$200,0))="","",INDEX('Test catalog'!$J$2:$J$200,MATCH($Y155,'Test catalog'!$A$2:$A$200,0))),"")</f>
        <v/>
      </c>
      <c r="M155" s="11">
        <f>IFERROR(IF(INDEX('Test catalog'!$K$2:$K$200,MATCH($Y155,'Test catalog'!$A$2:$A$200,0))="","",INDEX('Test catalog'!$K$2:$K$200,MATCH($Y155,'Test catalog'!$A$2:$A$200,0))),"")</f>
        <v/>
      </c>
      <c r="N155" s="11">
        <f>IFERROR(IF(INDEX('Test catalog'!$L$2:$L$200,MATCH($Y155,'Test catalog'!$A$2:$A$200,0))="","",INDEX('Test catalog'!$L$2:$L$200,MATCH($Y155,'Test catalog'!$A$2:$A$200,0))),"")</f>
        <v/>
      </c>
      <c r="O155" s="11">
        <f>IFERROR(IF(INDEX('Test catalog'!$M$2:$M$200,MATCH($Y155,'Test catalog'!$A$2:$A$200,0))="","",INDEX('Test catalog'!$M$2:$M$200,MATCH($Y155,'Test catalog'!$A$2:$A$200,0))),"")</f>
        <v/>
      </c>
      <c r="P155" s="11">
        <f>IFERROR(IF(INDEX('Test catalog'!$N$2:$N$200,MATCH($Y155,'Test catalog'!$A$2:$A$200,0))="","",INDEX('Test catalog'!$N$2:$N$200,MATCH($Y155,'Test catalog'!$A$2:$A$200,0))),"")</f>
        <v/>
      </c>
      <c r="Q155" s="11">
        <f>IFERROR(IF(INDEX('Test catalog'!$O$2:$O$200,MATCH($Y155,'Test catalog'!$A$2:$A$200,0))="","",INDEX('Test catalog'!$O$2:$O$200,MATCH($Y155,'Test catalog'!$A$2:$A$200,0))),"")</f>
        <v/>
      </c>
      <c r="R155" s="11">
        <f>IFERROR(IF(INDEX('Test catalog'!$P$2:$P$200,MATCH($Y155,'Test catalog'!$A$2:$A$200,0))="","",INDEX('Test catalog'!$P$2:$P$200,MATCH($Y155,'Test catalog'!$A$2:$A$200,0))),"")</f>
        <v/>
      </c>
      <c r="S155" s="14" t="n"/>
      <c r="T155" s="5" t="n"/>
      <c r="U155" s="11">
        <f>IFERROR(IF(INDEX('Test catalog'!$Q$2:$Q$200,MATCH($Y155,'Test catalog'!$A$2:$A$200,0))="","",INDEX('Test catalog'!$Q$2:$Q$200,MATCH($Y155,'Test catalog'!$A$2:$A$200,0))),"")</f>
        <v/>
      </c>
      <c r="V155" s="5" t="n"/>
      <c r="W155" s="5" t="n"/>
      <c r="X155" s="5" t="n"/>
      <c r="Y155" s="5" t="inlineStr">
        <is>
          <t>ENUM</t>
        </is>
      </c>
      <c r="Z155" s="11" t="inlineStr">
        <is>
          <t>No micro test in USP-NF - set Y if your specification has one</t>
        </is>
      </c>
    </row>
    <row r="156">
      <c r="A156" s="11" t="inlineStr">
        <is>
          <t>HPMC 15cps (Hypromellose)</t>
        </is>
      </c>
      <c r="B156" s="11" t="inlineStr">
        <is>
          <t>RM</t>
        </is>
      </c>
      <c r="C156" s="11" t="inlineStr">
        <is>
          <t>Binder / Coating Polymer</t>
        </is>
      </c>
      <c r="D156" s="11" t="inlineStr">
        <is>
          <t>Microbial enumeration - TAMC + TYMC (&lt;61&gt; / &lt;2021&gt;)</t>
        </is>
      </c>
      <c r="E156" s="5" t="inlineStr">
        <is>
          <t>N</t>
        </is>
      </c>
      <c r="F156" s="5" t="n"/>
      <c r="G156" s="11">
        <f>IFERROR(IF(INDEX('Test catalog'!$F$2:$F$200,MATCH($Y156,'Test catalog'!$A$2:$A$200,0))="","",INDEX('Test catalog'!$F$2:$F$200,MATCH($Y156,'Test catalog'!$A$2:$A$200,0))),"")</f>
        <v/>
      </c>
      <c r="H156" s="11">
        <f>IFERROR(IF(INDEX('Test catalog'!$G$2:$G$200,MATCH($Y156,'Test catalog'!$A$2:$A$200,0))="","",INDEX('Test catalog'!$G$2:$G$200,MATCH($Y156,'Test catalog'!$A$2:$A$200,0))),"")</f>
        <v/>
      </c>
      <c r="I156" s="11">
        <f>IFERROR(IF(INDEX('Test catalog'!$H$2:$H$200,MATCH($Y156,'Test catalog'!$A$2:$A$200,0))="","",INDEX('Test catalog'!$H$2:$H$200,MATCH($Y156,'Test catalog'!$A$2:$A$200,0))),"")</f>
        <v/>
      </c>
      <c r="J156" s="11">
        <f>IFERROR(IF(INDEX('Test catalog'!$I$2:$I$200,MATCH($Y156,'Test catalog'!$A$2:$A$200,0))="","",INDEX('Test catalog'!$I$2:$I$200,MATCH($Y156,'Test catalog'!$A$2:$A$200,0))),"")</f>
        <v/>
      </c>
      <c r="K156" s="13">
        <f>IF(I156="","",IF(OR(H156="",J156=""),I156,(H156+4*I156+J156)/6))</f>
        <v/>
      </c>
      <c r="L156" s="11">
        <f>IFERROR(IF(INDEX('Test catalog'!$J$2:$J$200,MATCH($Y156,'Test catalog'!$A$2:$A$200,0))="","",INDEX('Test catalog'!$J$2:$J$200,MATCH($Y156,'Test catalog'!$A$2:$A$200,0))),"")</f>
        <v/>
      </c>
      <c r="M156" s="11">
        <f>IFERROR(IF(INDEX('Test catalog'!$K$2:$K$200,MATCH($Y156,'Test catalog'!$A$2:$A$200,0))="","",INDEX('Test catalog'!$K$2:$K$200,MATCH($Y156,'Test catalog'!$A$2:$A$200,0))),"")</f>
        <v/>
      </c>
      <c r="N156" s="11">
        <f>IFERROR(IF(INDEX('Test catalog'!$L$2:$L$200,MATCH($Y156,'Test catalog'!$A$2:$A$200,0))="","",INDEX('Test catalog'!$L$2:$L$200,MATCH($Y156,'Test catalog'!$A$2:$A$200,0))),"")</f>
        <v/>
      </c>
      <c r="O156" s="11">
        <f>IFERROR(IF(INDEX('Test catalog'!$M$2:$M$200,MATCH($Y156,'Test catalog'!$A$2:$A$200,0))="","",INDEX('Test catalog'!$M$2:$M$200,MATCH($Y156,'Test catalog'!$A$2:$A$200,0))),"")</f>
        <v/>
      </c>
      <c r="P156" s="11">
        <f>IFERROR(IF(INDEX('Test catalog'!$N$2:$N$200,MATCH($Y156,'Test catalog'!$A$2:$A$200,0))="","",INDEX('Test catalog'!$N$2:$N$200,MATCH($Y156,'Test catalog'!$A$2:$A$200,0))),"")</f>
        <v/>
      </c>
      <c r="Q156" s="11">
        <f>IFERROR(IF(INDEX('Test catalog'!$O$2:$O$200,MATCH($Y156,'Test catalog'!$A$2:$A$200,0))="","",INDEX('Test catalog'!$O$2:$O$200,MATCH($Y156,'Test catalog'!$A$2:$A$200,0))),"")</f>
        <v/>
      </c>
      <c r="R156" s="11">
        <f>IFERROR(IF(INDEX('Test catalog'!$P$2:$P$200,MATCH($Y156,'Test catalog'!$A$2:$A$200,0))="","",INDEX('Test catalog'!$P$2:$P$200,MATCH($Y156,'Test catalog'!$A$2:$A$200,0))),"")</f>
        <v/>
      </c>
      <c r="S156" s="14" t="n"/>
      <c r="T156" s="5" t="n"/>
      <c r="U156" s="11">
        <f>IFERROR(IF(INDEX('Test catalog'!$Q$2:$Q$200,MATCH($Y156,'Test catalog'!$A$2:$A$200,0))="","",INDEX('Test catalog'!$Q$2:$Q$200,MATCH($Y156,'Test catalog'!$A$2:$A$200,0))),"")</f>
        <v/>
      </c>
      <c r="V156" s="5" t="n"/>
      <c r="W156" s="5" t="n"/>
      <c r="X156" s="5" t="n"/>
      <c r="Y156" s="5" t="inlineStr">
        <is>
          <t>ENUM</t>
        </is>
      </c>
      <c r="Z156" s="11" t="inlineStr">
        <is>
          <t>No micro test in USP-NF - set Y if your specification has one</t>
        </is>
      </c>
    </row>
    <row r="157">
      <c r="A157" s="11" t="inlineStr">
        <is>
          <t>HPMC 6cps (Hypromellose)</t>
        </is>
      </c>
      <c r="B157" s="11" t="inlineStr">
        <is>
          <t>RM</t>
        </is>
      </c>
      <c r="C157" s="11" t="inlineStr">
        <is>
          <t>Binder / Coating Polymer</t>
        </is>
      </c>
      <c r="D157" s="11" t="inlineStr">
        <is>
          <t>Microbial enumeration - TAMC + TYMC (&lt;61&gt; / &lt;2021&gt;)</t>
        </is>
      </c>
      <c r="E157" s="5" t="inlineStr">
        <is>
          <t>N</t>
        </is>
      </c>
      <c r="F157" s="5" t="n"/>
      <c r="G157" s="11">
        <f>IFERROR(IF(INDEX('Test catalog'!$F$2:$F$200,MATCH($Y157,'Test catalog'!$A$2:$A$200,0))="","",INDEX('Test catalog'!$F$2:$F$200,MATCH($Y157,'Test catalog'!$A$2:$A$200,0))),"")</f>
        <v/>
      </c>
      <c r="H157" s="11">
        <f>IFERROR(IF(INDEX('Test catalog'!$G$2:$G$200,MATCH($Y157,'Test catalog'!$A$2:$A$200,0))="","",INDEX('Test catalog'!$G$2:$G$200,MATCH($Y157,'Test catalog'!$A$2:$A$200,0))),"")</f>
        <v/>
      </c>
      <c r="I157" s="11">
        <f>IFERROR(IF(INDEX('Test catalog'!$H$2:$H$200,MATCH($Y157,'Test catalog'!$A$2:$A$200,0))="","",INDEX('Test catalog'!$H$2:$H$200,MATCH($Y157,'Test catalog'!$A$2:$A$200,0))),"")</f>
        <v/>
      </c>
      <c r="J157" s="11">
        <f>IFERROR(IF(INDEX('Test catalog'!$I$2:$I$200,MATCH($Y157,'Test catalog'!$A$2:$A$200,0))="","",INDEX('Test catalog'!$I$2:$I$200,MATCH($Y157,'Test catalog'!$A$2:$A$200,0))),"")</f>
        <v/>
      </c>
      <c r="K157" s="13">
        <f>IF(I157="","",IF(OR(H157="",J157=""),I157,(H157+4*I157+J157)/6))</f>
        <v/>
      </c>
      <c r="L157" s="11">
        <f>IFERROR(IF(INDEX('Test catalog'!$J$2:$J$200,MATCH($Y157,'Test catalog'!$A$2:$A$200,0))="","",INDEX('Test catalog'!$J$2:$J$200,MATCH($Y157,'Test catalog'!$A$2:$A$200,0))),"")</f>
        <v/>
      </c>
      <c r="M157" s="11">
        <f>IFERROR(IF(INDEX('Test catalog'!$K$2:$K$200,MATCH($Y157,'Test catalog'!$A$2:$A$200,0))="","",INDEX('Test catalog'!$K$2:$K$200,MATCH($Y157,'Test catalog'!$A$2:$A$200,0))),"")</f>
        <v/>
      </c>
      <c r="N157" s="11">
        <f>IFERROR(IF(INDEX('Test catalog'!$L$2:$L$200,MATCH($Y157,'Test catalog'!$A$2:$A$200,0))="","",INDEX('Test catalog'!$L$2:$L$200,MATCH($Y157,'Test catalog'!$A$2:$A$200,0))),"")</f>
        <v/>
      </c>
      <c r="O157" s="11">
        <f>IFERROR(IF(INDEX('Test catalog'!$M$2:$M$200,MATCH($Y157,'Test catalog'!$A$2:$A$200,0))="","",INDEX('Test catalog'!$M$2:$M$200,MATCH($Y157,'Test catalog'!$A$2:$A$200,0))),"")</f>
        <v/>
      </c>
      <c r="P157" s="11">
        <f>IFERROR(IF(INDEX('Test catalog'!$N$2:$N$200,MATCH($Y157,'Test catalog'!$A$2:$A$200,0))="","",INDEX('Test catalog'!$N$2:$N$200,MATCH($Y157,'Test catalog'!$A$2:$A$200,0))),"")</f>
        <v/>
      </c>
      <c r="Q157" s="11">
        <f>IFERROR(IF(INDEX('Test catalog'!$O$2:$O$200,MATCH($Y157,'Test catalog'!$A$2:$A$200,0))="","",INDEX('Test catalog'!$O$2:$O$200,MATCH($Y157,'Test catalog'!$A$2:$A$200,0))),"")</f>
        <v/>
      </c>
      <c r="R157" s="11">
        <f>IFERROR(IF(INDEX('Test catalog'!$P$2:$P$200,MATCH($Y157,'Test catalog'!$A$2:$A$200,0))="","",INDEX('Test catalog'!$P$2:$P$200,MATCH($Y157,'Test catalog'!$A$2:$A$200,0))),"")</f>
        <v/>
      </c>
      <c r="S157" s="14" t="n"/>
      <c r="T157" s="5" t="n"/>
      <c r="U157" s="11">
        <f>IFERROR(IF(INDEX('Test catalog'!$Q$2:$Q$200,MATCH($Y157,'Test catalog'!$A$2:$A$200,0))="","",INDEX('Test catalog'!$Q$2:$Q$200,MATCH($Y157,'Test catalog'!$A$2:$A$200,0))),"")</f>
        <v/>
      </c>
      <c r="V157" s="5" t="n"/>
      <c r="W157" s="5" t="n"/>
      <c r="X157" s="5" t="n"/>
      <c r="Y157" s="5" t="inlineStr">
        <is>
          <t>ENUM</t>
        </is>
      </c>
      <c r="Z157" s="11" t="inlineStr">
        <is>
          <t>No micro test in USP-NF - set Y if your specification has one</t>
        </is>
      </c>
    </row>
    <row r="158">
      <c r="A158" s="11" t="inlineStr">
        <is>
          <t>Hard Gelatin Capsule</t>
        </is>
      </c>
      <c r="B158" s="11" t="inlineStr">
        <is>
          <t>RM</t>
        </is>
      </c>
      <c r="C158" s="11" t="inlineStr">
        <is>
          <t>Capsule Shell</t>
        </is>
      </c>
      <c r="D158" s="11" t="inlineStr">
        <is>
          <t>Microbial enumeration - TAMC + TYMC (&lt;61&gt; / &lt;2021&gt;)</t>
        </is>
      </c>
      <c r="E158" s="5" t="inlineStr">
        <is>
          <t>Y</t>
        </is>
      </c>
      <c r="F158" s="5" t="n"/>
      <c r="G158" s="11">
        <f>IFERROR(IF(INDEX('Test catalog'!$F$2:$F$200,MATCH($Y158,'Test catalog'!$A$2:$A$200,0))="","",INDEX('Test catalog'!$F$2:$F$200,MATCH($Y158,'Test catalog'!$A$2:$A$200,0))),"")</f>
        <v/>
      </c>
      <c r="H158" s="11">
        <f>IFERROR(IF(INDEX('Test catalog'!$G$2:$G$200,MATCH($Y158,'Test catalog'!$A$2:$A$200,0))="","",INDEX('Test catalog'!$G$2:$G$200,MATCH($Y158,'Test catalog'!$A$2:$A$200,0))),"")</f>
        <v/>
      </c>
      <c r="I158" s="11">
        <f>IFERROR(IF(INDEX('Test catalog'!$H$2:$H$200,MATCH($Y158,'Test catalog'!$A$2:$A$200,0))="","",INDEX('Test catalog'!$H$2:$H$200,MATCH($Y158,'Test catalog'!$A$2:$A$200,0))),"")</f>
        <v/>
      </c>
      <c r="J158" s="11">
        <f>IFERROR(IF(INDEX('Test catalog'!$I$2:$I$200,MATCH($Y158,'Test catalog'!$A$2:$A$200,0))="","",INDEX('Test catalog'!$I$2:$I$200,MATCH($Y158,'Test catalog'!$A$2:$A$200,0))),"")</f>
        <v/>
      </c>
      <c r="K158" s="13">
        <f>IF(I158="","",IF(OR(H158="",J158=""),I158,(H158+4*I158+J158)/6))</f>
        <v/>
      </c>
      <c r="L158" s="11">
        <f>IFERROR(IF(INDEX('Test catalog'!$J$2:$J$200,MATCH($Y158,'Test catalog'!$A$2:$A$200,0))="","",INDEX('Test catalog'!$J$2:$J$200,MATCH($Y158,'Test catalog'!$A$2:$A$200,0))),"")</f>
        <v/>
      </c>
      <c r="M158" s="11">
        <f>IFERROR(IF(INDEX('Test catalog'!$K$2:$K$200,MATCH($Y158,'Test catalog'!$A$2:$A$200,0))="","",INDEX('Test catalog'!$K$2:$K$200,MATCH($Y158,'Test catalog'!$A$2:$A$200,0))),"")</f>
        <v/>
      </c>
      <c r="N158" s="11">
        <f>IFERROR(IF(INDEX('Test catalog'!$L$2:$L$200,MATCH($Y158,'Test catalog'!$A$2:$A$200,0))="","",INDEX('Test catalog'!$L$2:$L$200,MATCH($Y158,'Test catalog'!$A$2:$A$200,0))),"")</f>
        <v/>
      </c>
      <c r="O158" s="11">
        <f>IFERROR(IF(INDEX('Test catalog'!$M$2:$M$200,MATCH($Y158,'Test catalog'!$A$2:$A$200,0))="","",INDEX('Test catalog'!$M$2:$M$200,MATCH($Y158,'Test catalog'!$A$2:$A$200,0))),"")</f>
        <v/>
      </c>
      <c r="P158" s="11">
        <f>IFERROR(IF(INDEX('Test catalog'!$N$2:$N$200,MATCH($Y158,'Test catalog'!$A$2:$A$200,0))="","",INDEX('Test catalog'!$N$2:$N$200,MATCH($Y158,'Test catalog'!$A$2:$A$200,0))),"")</f>
        <v/>
      </c>
      <c r="Q158" s="11">
        <f>IFERROR(IF(INDEX('Test catalog'!$O$2:$O$200,MATCH($Y158,'Test catalog'!$A$2:$A$200,0))="","",INDEX('Test catalog'!$O$2:$O$200,MATCH($Y158,'Test catalog'!$A$2:$A$200,0))),"")</f>
        <v/>
      </c>
      <c r="R158" s="11">
        <f>IFERROR(IF(INDEX('Test catalog'!$P$2:$P$200,MATCH($Y158,'Test catalog'!$A$2:$A$200,0))="","",INDEX('Test catalog'!$P$2:$P$200,MATCH($Y158,'Test catalog'!$A$2:$A$200,0))),"")</f>
        <v/>
      </c>
      <c r="S158" s="14" t="n"/>
      <c r="T158" s="5" t="n"/>
      <c r="U158" s="11">
        <f>IFERROR(IF(INDEX('Test catalog'!$Q$2:$Q$200,MATCH($Y158,'Test catalog'!$A$2:$A$200,0))="","",INDEX('Test catalog'!$Q$2:$Q$200,MATCH($Y158,'Test catalog'!$A$2:$A$200,0))),"")</f>
        <v/>
      </c>
      <c r="V158" s="5" t="n"/>
      <c r="W158" s="5" t="n"/>
      <c r="X158" s="5" t="n"/>
      <c r="Y158" s="5" t="inlineStr">
        <is>
          <t>ENUM</t>
        </is>
      </c>
      <c r="Z158" s="11" t="inlineStr">
        <is>
          <t>Natural origin, no USP-NF micro test - confirm (USP &lt;2023&gt;)</t>
        </is>
      </c>
    </row>
    <row r="159">
      <c r="A159" s="11" t="inlineStr">
        <is>
          <t>Hard Gelatin Capsule</t>
        </is>
      </c>
      <c r="B159" s="11" t="inlineStr">
        <is>
          <t>RM</t>
        </is>
      </c>
      <c r="C159" s="11" t="inlineStr">
        <is>
          <t>Capsule Shell</t>
        </is>
      </c>
      <c r="D159" s="11" t="inlineStr">
        <is>
          <t>Absence of Escherichia coli (&lt;62&gt; / &lt;2022&gt;)</t>
        </is>
      </c>
      <c r="E159" s="5" t="inlineStr">
        <is>
          <t>Y</t>
        </is>
      </c>
      <c r="F159" s="5" t="n"/>
      <c r="G159" s="11">
        <f>IFERROR(IF(INDEX('Test catalog'!$F$2:$F$200,MATCH($Y159,'Test catalog'!$A$2:$A$200,0))="","",INDEX('Test catalog'!$F$2:$F$200,MATCH($Y159,'Test catalog'!$A$2:$A$200,0))),"")</f>
        <v/>
      </c>
      <c r="H159" s="11">
        <f>IFERROR(IF(INDEX('Test catalog'!$G$2:$G$200,MATCH($Y159,'Test catalog'!$A$2:$A$200,0))="","",INDEX('Test catalog'!$G$2:$G$200,MATCH($Y159,'Test catalog'!$A$2:$A$200,0))),"")</f>
        <v/>
      </c>
      <c r="I159" s="11">
        <f>IFERROR(IF(INDEX('Test catalog'!$H$2:$H$200,MATCH($Y159,'Test catalog'!$A$2:$A$200,0))="","",INDEX('Test catalog'!$H$2:$H$200,MATCH($Y159,'Test catalog'!$A$2:$A$200,0))),"")</f>
        <v/>
      </c>
      <c r="J159" s="11">
        <f>IFERROR(IF(INDEX('Test catalog'!$I$2:$I$200,MATCH($Y159,'Test catalog'!$A$2:$A$200,0))="","",INDEX('Test catalog'!$I$2:$I$200,MATCH($Y159,'Test catalog'!$A$2:$A$200,0))),"")</f>
        <v/>
      </c>
      <c r="K159" s="13">
        <f>IF(I159="","",IF(OR(H159="",J159=""),I159,(H159+4*I159+J159)/6))</f>
        <v/>
      </c>
      <c r="L159" s="11">
        <f>IFERROR(IF(INDEX('Test catalog'!$J$2:$J$200,MATCH($Y159,'Test catalog'!$A$2:$A$200,0))="","",INDEX('Test catalog'!$J$2:$J$200,MATCH($Y159,'Test catalog'!$A$2:$A$200,0))),"")</f>
        <v/>
      </c>
      <c r="M159" s="11">
        <f>IFERROR(IF(INDEX('Test catalog'!$K$2:$K$200,MATCH($Y159,'Test catalog'!$A$2:$A$200,0))="","",INDEX('Test catalog'!$K$2:$K$200,MATCH($Y159,'Test catalog'!$A$2:$A$200,0))),"")</f>
        <v/>
      </c>
      <c r="N159" s="11">
        <f>IFERROR(IF(INDEX('Test catalog'!$L$2:$L$200,MATCH($Y159,'Test catalog'!$A$2:$A$200,0))="","",INDEX('Test catalog'!$L$2:$L$200,MATCH($Y159,'Test catalog'!$A$2:$A$200,0))),"")</f>
        <v/>
      </c>
      <c r="O159" s="11">
        <f>IFERROR(IF(INDEX('Test catalog'!$M$2:$M$200,MATCH($Y159,'Test catalog'!$A$2:$A$200,0))="","",INDEX('Test catalog'!$M$2:$M$200,MATCH($Y159,'Test catalog'!$A$2:$A$200,0))),"")</f>
        <v/>
      </c>
      <c r="P159" s="11">
        <f>IFERROR(IF(INDEX('Test catalog'!$N$2:$N$200,MATCH($Y159,'Test catalog'!$A$2:$A$200,0))="","",INDEX('Test catalog'!$N$2:$N$200,MATCH($Y159,'Test catalog'!$A$2:$A$200,0))),"")</f>
        <v/>
      </c>
      <c r="Q159" s="11">
        <f>IFERROR(IF(INDEX('Test catalog'!$O$2:$O$200,MATCH($Y159,'Test catalog'!$A$2:$A$200,0))="","",INDEX('Test catalog'!$O$2:$O$200,MATCH($Y159,'Test catalog'!$A$2:$A$200,0))),"")</f>
        <v/>
      </c>
      <c r="R159" s="11">
        <f>IFERROR(IF(INDEX('Test catalog'!$P$2:$P$200,MATCH($Y159,'Test catalog'!$A$2:$A$200,0))="","",INDEX('Test catalog'!$P$2:$P$200,MATCH($Y159,'Test catalog'!$A$2:$A$200,0))),"")</f>
        <v/>
      </c>
      <c r="S159" s="14" t="n"/>
      <c r="T159" s="5" t="n"/>
      <c r="U159" s="11">
        <f>IFERROR(IF(INDEX('Test catalog'!$Q$2:$Q$200,MATCH($Y159,'Test catalog'!$A$2:$A$200,0))="","",INDEX('Test catalog'!$Q$2:$Q$200,MATCH($Y159,'Test catalog'!$A$2:$A$200,0))),"")</f>
        <v/>
      </c>
      <c r="V159" s="5" t="n"/>
      <c r="W159" s="5" t="n"/>
      <c r="X159" s="5" t="n"/>
      <c r="Y159" s="5" t="inlineStr">
        <is>
          <t>ECOLI</t>
        </is>
      </c>
      <c r="Z159" s="11" t="inlineStr">
        <is>
          <t>Natural origin, no USP-NF micro test - confirm (USP &lt;2023&gt;)</t>
        </is>
      </c>
    </row>
    <row r="160">
      <c r="A160" s="11" t="inlineStr">
        <is>
          <t>Hard Gelatin Capsule</t>
        </is>
      </c>
      <c r="B160" s="11" t="inlineStr">
        <is>
          <t>RM</t>
        </is>
      </c>
      <c r="C160" s="11" t="inlineStr">
        <is>
          <t>Capsule Shell</t>
        </is>
      </c>
      <c r="D160" s="11" t="inlineStr">
        <is>
          <t>Absence of Salmonella (&lt;62&gt; / &lt;2022&gt;)</t>
        </is>
      </c>
      <c r="E160" s="5" t="inlineStr">
        <is>
          <t>Y</t>
        </is>
      </c>
      <c r="F160" s="5" t="n"/>
      <c r="G160" s="11">
        <f>IFERROR(IF(INDEX('Test catalog'!$F$2:$F$200,MATCH($Y160,'Test catalog'!$A$2:$A$200,0))="","",INDEX('Test catalog'!$F$2:$F$200,MATCH($Y160,'Test catalog'!$A$2:$A$200,0))),"")</f>
        <v/>
      </c>
      <c r="H160" s="11">
        <f>IFERROR(IF(INDEX('Test catalog'!$G$2:$G$200,MATCH($Y160,'Test catalog'!$A$2:$A$200,0))="","",INDEX('Test catalog'!$G$2:$G$200,MATCH($Y160,'Test catalog'!$A$2:$A$200,0))),"")</f>
        <v/>
      </c>
      <c r="I160" s="11">
        <f>IFERROR(IF(INDEX('Test catalog'!$H$2:$H$200,MATCH($Y160,'Test catalog'!$A$2:$A$200,0))="","",INDEX('Test catalog'!$H$2:$H$200,MATCH($Y160,'Test catalog'!$A$2:$A$200,0))),"")</f>
        <v/>
      </c>
      <c r="J160" s="11">
        <f>IFERROR(IF(INDEX('Test catalog'!$I$2:$I$200,MATCH($Y160,'Test catalog'!$A$2:$A$200,0))="","",INDEX('Test catalog'!$I$2:$I$200,MATCH($Y160,'Test catalog'!$A$2:$A$200,0))),"")</f>
        <v/>
      </c>
      <c r="K160" s="13">
        <f>IF(I160="","",IF(OR(H160="",J160=""),I160,(H160+4*I160+J160)/6))</f>
        <v/>
      </c>
      <c r="L160" s="11">
        <f>IFERROR(IF(INDEX('Test catalog'!$J$2:$J$200,MATCH($Y160,'Test catalog'!$A$2:$A$200,0))="","",INDEX('Test catalog'!$J$2:$J$200,MATCH($Y160,'Test catalog'!$A$2:$A$200,0))),"")</f>
        <v/>
      </c>
      <c r="M160" s="11">
        <f>IFERROR(IF(INDEX('Test catalog'!$K$2:$K$200,MATCH($Y160,'Test catalog'!$A$2:$A$200,0))="","",INDEX('Test catalog'!$K$2:$K$200,MATCH($Y160,'Test catalog'!$A$2:$A$200,0))),"")</f>
        <v/>
      </c>
      <c r="N160" s="11">
        <f>IFERROR(IF(INDEX('Test catalog'!$L$2:$L$200,MATCH($Y160,'Test catalog'!$A$2:$A$200,0))="","",INDEX('Test catalog'!$L$2:$L$200,MATCH($Y160,'Test catalog'!$A$2:$A$200,0))),"")</f>
        <v/>
      </c>
      <c r="O160" s="11">
        <f>IFERROR(IF(INDEX('Test catalog'!$M$2:$M$200,MATCH($Y160,'Test catalog'!$A$2:$A$200,0))="","",INDEX('Test catalog'!$M$2:$M$200,MATCH($Y160,'Test catalog'!$A$2:$A$200,0))),"")</f>
        <v/>
      </c>
      <c r="P160" s="11">
        <f>IFERROR(IF(INDEX('Test catalog'!$N$2:$N$200,MATCH($Y160,'Test catalog'!$A$2:$A$200,0))="","",INDEX('Test catalog'!$N$2:$N$200,MATCH($Y160,'Test catalog'!$A$2:$A$200,0))),"")</f>
        <v/>
      </c>
      <c r="Q160" s="11">
        <f>IFERROR(IF(INDEX('Test catalog'!$O$2:$O$200,MATCH($Y160,'Test catalog'!$A$2:$A$200,0))="","",INDEX('Test catalog'!$O$2:$O$200,MATCH($Y160,'Test catalog'!$A$2:$A$200,0))),"")</f>
        <v/>
      </c>
      <c r="R160" s="11">
        <f>IFERROR(IF(INDEX('Test catalog'!$P$2:$P$200,MATCH($Y160,'Test catalog'!$A$2:$A$200,0))="","",INDEX('Test catalog'!$P$2:$P$200,MATCH($Y160,'Test catalog'!$A$2:$A$200,0))),"")</f>
        <v/>
      </c>
      <c r="S160" s="14" t="n"/>
      <c r="T160" s="5" t="n"/>
      <c r="U160" s="11">
        <f>IFERROR(IF(INDEX('Test catalog'!$Q$2:$Q$200,MATCH($Y160,'Test catalog'!$A$2:$A$200,0))="","",INDEX('Test catalog'!$Q$2:$Q$200,MATCH($Y160,'Test catalog'!$A$2:$A$200,0))),"")</f>
        <v/>
      </c>
      <c r="V160" s="5" t="n"/>
      <c r="W160" s="5" t="n"/>
      <c r="X160" s="5" t="n"/>
      <c r="Y160" s="5" t="inlineStr">
        <is>
          <t>SALM</t>
        </is>
      </c>
      <c r="Z160" s="11" t="inlineStr">
        <is>
          <t>Natural origin, no USP-NF micro test - confirm (USP &lt;2023&gt;)</t>
        </is>
      </c>
    </row>
    <row r="161">
      <c r="A161" s="11" t="inlineStr">
        <is>
          <t>Edetate Disodium</t>
        </is>
      </c>
      <c r="B161" s="11" t="inlineStr">
        <is>
          <t>RM</t>
        </is>
      </c>
      <c r="C161" s="11" t="inlineStr">
        <is>
          <t>Chelating Agent</t>
        </is>
      </c>
      <c r="D161" s="11" t="inlineStr">
        <is>
          <t>Microbial enumeration - TAMC + TYMC (&lt;61&gt; / &lt;2021&gt;)</t>
        </is>
      </c>
      <c r="E161" s="5" t="inlineStr">
        <is>
          <t>N</t>
        </is>
      </c>
      <c r="F161" s="5" t="n"/>
      <c r="G161" s="11">
        <f>IFERROR(IF(INDEX('Test catalog'!$F$2:$F$200,MATCH($Y161,'Test catalog'!$A$2:$A$200,0))="","",INDEX('Test catalog'!$F$2:$F$200,MATCH($Y161,'Test catalog'!$A$2:$A$200,0))),"")</f>
        <v/>
      </c>
      <c r="H161" s="11">
        <f>IFERROR(IF(INDEX('Test catalog'!$G$2:$G$200,MATCH($Y161,'Test catalog'!$A$2:$A$200,0))="","",INDEX('Test catalog'!$G$2:$G$200,MATCH($Y161,'Test catalog'!$A$2:$A$200,0))),"")</f>
        <v/>
      </c>
      <c r="I161" s="11">
        <f>IFERROR(IF(INDEX('Test catalog'!$H$2:$H$200,MATCH($Y161,'Test catalog'!$A$2:$A$200,0))="","",INDEX('Test catalog'!$H$2:$H$200,MATCH($Y161,'Test catalog'!$A$2:$A$200,0))),"")</f>
        <v/>
      </c>
      <c r="J161" s="11">
        <f>IFERROR(IF(INDEX('Test catalog'!$I$2:$I$200,MATCH($Y161,'Test catalog'!$A$2:$A$200,0))="","",INDEX('Test catalog'!$I$2:$I$200,MATCH($Y161,'Test catalog'!$A$2:$A$200,0))),"")</f>
        <v/>
      </c>
      <c r="K161" s="13">
        <f>IF(I161="","",IF(OR(H161="",J161=""),I161,(H161+4*I161+J161)/6))</f>
        <v/>
      </c>
      <c r="L161" s="11">
        <f>IFERROR(IF(INDEX('Test catalog'!$J$2:$J$200,MATCH($Y161,'Test catalog'!$A$2:$A$200,0))="","",INDEX('Test catalog'!$J$2:$J$200,MATCH($Y161,'Test catalog'!$A$2:$A$200,0))),"")</f>
        <v/>
      </c>
      <c r="M161" s="11">
        <f>IFERROR(IF(INDEX('Test catalog'!$K$2:$K$200,MATCH($Y161,'Test catalog'!$A$2:$A$200,0))="","",INDEX('Test catalog'!$K$2:$K$200,MATCH($Y161,'Test catalog'!$A$2:$A$200,0))),"")</f>
        <v/>
      </c>
      <c r="N161" s="11">
        <f>IFERROR(IF(INDEX('Test catalog'!$L$2:$L$200,MATCH($Y161,'Test catalog'!$A$2:$A$200,0))="","",INDEX('Test catalog'!$L$2:$L$200,MATCH($Y161,'Test catalog'!$A$2:$A$200,0))),"")</f>
        <v/>
      </c>
      <c r="O161" s="11">
        <f>IFERROR(IF(INDEX('Test catalog'!$M$2:$M$200,MATCH($Y161,'Test catalog'!$A$2:$A$200,0))="","",INDEX('Test catalog'!$M$2:$M$200,MATCH($Y161,'Test catalog'!$A$2:$A$200,0))),"")</f>
        <v/>
      </c>
      <c r="P161" s="11">
        <f>IFERROR(IF(INDEX('Test catalog'!$N$2:$N$200,MATCH($Y161,'Test catalog'!$A$2:$A$200,0))="","",INDEX('Test catalog'!$N$2:$N$200,MATCH($Y161,'Test catalog'!$A$2:$A$200,0))),"")</f>
        <v/>
      </c>
      <c r="Q161" s="11">
        <f>IFERROR(IF(INDEX('Test catalog'!$O$2:$O$200,MATCH($Y161,'Test catalog'!$A$2:$A$200,0))="","",INDEX('Test catalog'!$O$2:$O$200,MATCH($Y161,'Test catalog'!$A$2:$A$200,0))),"")</f>
        <v/>
      </c>
      <c r="R161" s="11">
        <f>IFERROR(IF(INDEX('Test catalog'!$P$2:$P$200,MATCH($Y161,'Test catalog'!$A$2:$A$200,0))="","",INDEX('Test catalog'!$P$2:$P$200,MATCH($Y161,'Test catalog'!$A$2:$A$200,0))),"")</f>
        <v/>
      </c>
      <c r="S161" s="14" t="n"/>
      <c r="T161" s="5" t="n"/>
      <c r="U161" s="11">
        <f>IFERROR(IF(INDEX('Test catalog'!$Q$2:$Q$200,MATCH($Y161,'Test catalog'!$A$2:$A$200,0))="","",INDEX('Test catalog'!$Q$2:$Q$200,MATCH($Y161,'Test catalog'!$A$2:$A$200,0))),"")</f>
        <v/>
      </c>
      <c r="V161" s="5" t="n"/>
      <c r="W161" s="5" t="n"/>
      <c r="X161" s="5" t="n"/>
      <c r="Y161" s="5" t="inlineStr">
        <is>
          <t>ENUM</t>
        </is>
      </c>
      <c r="Z161" s="11" t="inlineStr">
        <is>
          <t>No micro test in USP-NF - set Y if your specification has one</t>
        </is>
      </c>
    </row>
    <row r="162">
      <c r="A162" s="11" t="inlineStr">
        <is>
          <t>Allura Red</t>
        </is>
      </c>
      <c r="B162" s="11" t="inlineStr">
        <is>
          <t>RM</t>
        </is>
      </c>
      <c r="C162" s="11" t="inlineStr">
        <is>
          <t>Colorant</t>
        </is>
      </c>
      <c r="D162" s="11" t="inlineStr">
        <is>
          <t>Microbial enumeration - TAMC + TYMC (&lt;61&gt; / &lt;2021&gt;)</t>
        </is>
      </c>
      <c r="E162" s="5" t="inlineStr">
        <is>
          <t>N</t>
        </is>
      </c>
      <c r="F162" s="5" t="n"/>
      <c r="G162" s="11">
        <f>IFERROR(IF(INDEX('Test catalog'!$F$2:$F$200,MATCH($Y162,'Test catalog'!$A$2:$A$200,0))="","",INDEX('Test catalog'!$F$2:$F$200,MATCH($Y162,'Test catalog'!$A$2:$A$200,0))),"")</f>
        <v/>
      </c>
      <c r="H162" s="11">
        <f>IFERROR(IF(INDEX('Test catalog'!$G$2:$G$200,MATCH($Y162,'Test catalog'!$A$2:$A$200,0))="","",INDEX('Test catalog'!$G$2:$G$200,MATCH($Y162,'Test catalog'!$A$2:$A$200,0))),"")</f>
        <v/>
      </c>
      <c r="I162" s="11">
        <f>IFERROR(IF(INDEX('Test catalog'!$H$2:$H$200,MATCH($Y162,'Test catalog'!$A$2:$A$200,0))="","",INDEX('Test catalog'!$H$2:$H$200,MATCH($Y162,'Test catalog'!$A$2:$A$200,0))),"")</f>
        <v/>
      </c>
      <c r="J162" s="11">
        <f>IFERROR(IF(INDEX('Test catalog'!$I$2:$I$200,MATCH($Y162,'Test catalog'!$A$2:$A$200,0))="","",INDEX('Test catalog'!$I$2:$I$200,MATCH($Y162,'Test catalog'!$A$2:$A$200,0))),"")</f>
        <v/>
      </c>
      <c r="K162" s="13">
        <f>IF(I162="","",IF(OR(H162="",J162=""),I162,(H162+4*I162+J162)/6))</f>
        <v/>
      </c>
      <c r="L162" s="11">
        <f>IFERROR(IF(INDEX('Test catalog'!$J$2:$J$200,MATCH($Y162,'Test catalog'!$A$2:$A$200,0))="","",INDEX('Test catalog'!$J$2:$J$200,MATCH($Y162,'Test catalog'!$A$2:$A$200,0))),"")</f>
        <v/>
      </c>
      <c r="M162" s="11">
        <f>IFERROR(IF(INDEX('Test catalog'!$K$2:$K$200,MATCH($Y162,'Test catalog'!$A$2:$A$200,0))="","",INDEX('Test catalog'!$K$2:$K$200,MATCH($Y162,'Test catalog'!$A$2:$A$200,0))),"")</f>
        <v/>
      </c>
      <c r="N162" s="11">
        <f>IFERROR(IF(INDEX('Test catalog'!$L$2:$L$200,MATCH($Y162,'Test catalog'!$A$2:$A$200,0))="","",INDEX('Test catalog'!$L$2:$L$200,MATCH($Y162,'Test catalog'!$A$2:$A$200,0))),"")</f>
        <v/>
      </c>
      <c r="O162" s="11">
        <f>IFERROR(IF(INDEX('Test catalog'!$M$2:$M$200,MATCH($Y162,'Test catalog'!$A$2:$A$200,0))="","",INDEX('Test catalog'!$M$2:$M$200,MATCH($Y162,'Test catalog'!$A$2:$A$200,0))),"")</f>
        <v/>
      </c>
      <c r="P162" s="11">
        <f>IFERROR(IF(INDEX('Test catalog'!$N$2:$N$200,MATCH($Y162,'Test catalog'!$A$2:$A$200,0))="","",INDEX('Test catalog'!$N$2:$N$200,MATCH($Y162,'Test catalog'!$A$2:$A$200,0))),"")</f>
        <v/>
      </c>
      <c r="Q162" s="11">
        <f>IFERROR(IF(INDEX('Test catalog'!$O$2:$O$200,MATCH($Y162,'Test catalog'!$A$2:$A$200,0))="","",INDEX('Test catalog'!$O$2:$O$200,MATCH($Y162,'Test catalog'!$A$2:$A$200,0))),"")</f>
        <v/>
      </c>
      <c r="R162" s="11">
        <f>IFERROR(IF(INDEX('Test catalog'!$P$2:$P$200,MATCH($Y162,'Test catalog'!$A$2:$A$200,0))="","",INDEX('Test catalog'!$P$2:$P$200,MATCH($Y162,'Test catalog'!$A$2:$A$200,0))),"")</f>
        <v/>
      </c>
      <c r="S162" s="14" t="n"/>
      <c r="T162" s="5" t="n"/>
      <c r="U162" s="11">
        <f>IFERROR(IF(INDEX('Test catalog'!$Q$2:$Q$200,MATCH($Y162,'Test catalog'!$A$2:$A$200,0))="","",INDEX('Test catalog'!$Q$2:$Q$200,MATCH($Y162,'Test catalog'!$A$2:$A$200,0))),"")</f>
        <v/>
      </c>
      <c r="V162" s="5" t="n"/>
      <c r="W162" s="5" t="n"/>
      <c r="X162" s="5" t="n"/>
      <c r="Y162" s="5" t="inlineStr">
        <is>
          <t>ENUM</t>
        </is>
      </c>
      <c r="Z162" s="11" t="inlineStr">
        <is>
          <t>No micro test in USP-NF - set Y if your specification has one</t>
        </is>
      </c>
    </row>
    <row r="163">
      <c r="A163" s="11" t="inlineStr">
        <is>
          <t>Apple Green Color</t>
        </is>
      </c>
      <c r="B163" s="11" t="inlineStr">
        <is>
          <t>RM</t>
        </is>
      </c>
      <c r="C163" s="11" t="inlineStr">
        <is>
          <t>Colorant</t>
        </is>
      </c>
      <c r="D163" s="11" t="inlineStr">
        <is>
          <t>Microbial enumeration - TAMC + TYMC (&lt;61&gt; / &lt;2021&gt;)</t>
        </is>
      </c>
      <c r="E163" s="5" t="inlineStr">
        <is>
          <t>N</t>
        </is>
      </c>
      <c r="F163" s="5" t="n"/>
      <c r="G163" s="11">
        <f>IFERROR(IF(INDEX('Test catalog'!$F$2:$F$200,MATCH($Y163,'Test catalog'!$A$2:$A$200,0))="","",INDEX('Test catalog'!$F$2:$F$200,MATCH($Y163,'Test catalog'!$A$2:$A$200,0))),"")</f>
        <v/>
      </c>
      <c r="H163" s="11">
        <f>IFERROR(IF(INDEX('Test catalog'!$G$2:$G$200,MATCH($Y163,'Test catalog'!$A$2:$A$200,0))="","",INDEX('Test catalog'!$G$2:$G$200,MATCH($Y163,'Test catalog'!$A$2:$A$200,0))),"")</f>
        <v/>
      </c>
      <c r="I163" s="11">
        <f>IFERROR(IF(INDEX('Test catalog'!$H$2:$H$200,MATCH($Y163,'Test catalog'!$A$2:$A$200,0))="","",INDEX('Test catalog'!$H$2:$H$200,MATCH($Y163,'Test catalog'!$A$2:$A$200,0))),"")</f>
        <v/>
      </c>
      <c r="J163" s="11">
        <f>IFERROR(IF(INDEX('Test catalog'!$I$2:$I$200,MATCH($Y163,'Test catalog'!$A$2:$A$200,0))="","",INDEX('Test catalog'!$I$2:$I$200,MATCH($Y163,'Test catalog'!$A$2:$A$200,0))),"")</f>
        <v/>
      </c>
      <c r="K163" s="13">
        <f>IF(I163="","",IF(OR(H163="",J163=""),I163,(H163+4*I163+J163)/6))</f>
        <v/>
      </c>
      <c r="L163" s="11">
        <f>IFERROR(IF(INDEX('Test catalog'!$J$2:$J$200,MATCH($Y163,'Test catalog'!$A$2:$A$200,0))="","",INDEX('Test catalog'!$J$2:$J$200,MATCH($Y163,'Test catalog'!$A$2:$A$200,0))),"")</f>
        <v/>
      </c>
      <c r="M163" s="11">
        <f>IFERROR(IF(INDEX('Test catalog'!$K$2:$K$200,MATCH($Y163,'Test catalog'!$A$2:$A$200,0))="","",INDEX('Test catalog'!$K$2:$K$200,MATCH($Y163,'Test catalog'!$A$2:$A$200,0))),"")</f>
        <v/>
      </c>
      <c r="N163" s="11">
        <f>IFERROR(IF(INDEX('Test catalog'!$L$2:$L$200,MATCH($Y163,'Test catalog'!$A$2:$A$200,0))="","",INDEX('Test catalog'!$L$2:$L$200,MATCH($Y163,'Test catalog'!$A$2:$A$200,0))),"")</f>
        <v/>
      </c>
      <c r="O163" s="11">
        <f>IFERROR(IF(INDEX('Test catalog'!$M$2:$M$200,MATCH($Y163,'Test catalog'!$A$2:$A$200,0))="","",INDEX('Test catalog'!$M$2:$M$200,MATCH($Y163,'Test catalog'!$A$2:$A$200,0))),"")</f>
        <v/>
      </c>
      <c r="P163" s="11">
        <f>IFERROR(IF(INDEX('Test catalog'!$N$2:$N$200,MATCH($Y163,'Test catalog'!$A$2:$A$200,0))="","",INDEX('Test catalog'!$N$2:$N$200,MATCH($Y163,'Test catalog'!$A$2:$A$200,0))),"")</f>
        <v/>
      </c>
      <c r="Q163" s="11">
        <f>IFERROR(IF(INDEX('Test catalog'!$O$2:$O$200,MATCH($Y163,'Test catalog'!$A$2:$A$200,0))="","",INDEX('Test catalog'!$O$2:$O$200,MATCH($Y163,'Test catalog'!$A$2:$A$200,0))),"")</f>
        <v/>
      </c>
      <c r="R163" s="11">
        <f>IFERROR(IF(INDEX('Test catalog'!$P$2:$P$200,MATCH($Y163,'Test catalog'!$A$2:$A$200,0))="","",INDEX('Test catalog'!$P$2:$P$200,MATCH($Y163,'Test catalog'!$A$2:$A$200,0))),"")</f>
        <v/>
      </c>
      <c r="S163" s="14" t="n"/>
      <c r="T163" s="5" t="n"/>
      <c r="U163" s="11">
        <f>IFERROR(IF(INDEX('Test catalog'!$Q$2:$Q$200,MATCH($Y163,'Test catalog'!$A$2:$A$200,0))="","",INDEX('Test catalog'!$Q$2:$Q$200,MATCH($Y163,'Test catalog'!$A$2:$A$200,0))),"")</f>
        <v/>
      </c>
      <c r="V163" s="5" t="n"/>
      <c r="W163" s="5" t="n"/>
      <c r="X163" s="5" t="n"/>
      <c r="Y163" s="5" t="inlineStr">
        <is>
          <t>ENUM</t>
        </is>
      </c>
      <c r="Z163" s="11" t="inlineStr">
        <is>
          <t>No micro test in USP-NF - set Y if your specification has one</t>
        </is>
      </c>
    </row>
    <row r="164">
      <c r="A164" s="11" t="inlineStr">
        <is>
          <t>Apple Green Lake</t>
        </is>
      </c>
      <c r="B164" s="11" t="inlineStr">
        <is>
          <t>RM</t>
        </is>
      </c>
      <c r="C164" s="11" t="inlineStr">
        <is>
          <t>Colorant</t>
        </is>
      </c>
      <c r="D164" s="11" t="inlineStr">
        <is>
          <t>Microbial enumeration - TAMC + TYMC (&lt;61&gt; / &lt;2021&gt;)</t>
        </is>
      </c>
      <c r="E164" s="5" t="inlineStr">
        <is>
          <t>N</t>
        </is>
      </c>
      <c r="F164" s="5" t="n"/>
      <c r="G164" s="11">
        <f>IFERROR(IF(INDEX('Test catalog'!$F$2:$F$200,MATCH($Y164,'Test catalog'!$A$2:$A$200,0))="","",INDEX('Test catalog'!$F$2:$F$200,MATCH($Y164,'Test catalog'!$A$2:$A$200,0))),"")</f>
        <v/>
      </c>
      <c r="H164" s="11">
        <f>IFERROR(IF(INDEX('Test catalog'!$G$2:$G$200,MATCH($Y164,'Test catalog'!$A$2:$A$200,0))="","",INDEX('Test catalog'!$G$2:$G$200,MATCH($Y164,'Test catalog'!$A$2:$A$200,0))),"")</f>
        <v/>
      </c>
      <c r="I164" s="11">
        <f>IFERROR(IF(INDEX('Test catalog'!$H$2:$H$200,MATCH($Y164,'Test catalog'!$A$2:$A$200,0))="","",INDEX('Test catalog'!$H$2:$H$200,MATCH($Y164,'Test catalog'!$A$2:$A$200,0))),"")</f>
        <v/>
      </c>
      <c r="J164" s="11">
        <f>IFERROR(IF(INDEX('Test catalog'!$I$2:$I$200,MATCH($Y164,'Test catalog'!$A$2:$A$200,0))="","",INDEX('Test catalog'!$I$2:$I$200,MATCH($Y164,'Test catalog'!$A$2:$A$200,0))),"")</f>
        <v/>
      </c>
      <c r="K164" s="13">
        <f>IF(I164="","",IF(OR(H164="",J164=""),I164,(H164+4*I164+J164)/6))</f>
        <v/>
      </c>
      <c r="L164" s="11">
        <f>IFERROR(IF(INDEX('Test catalog'!$J$2:$J$200,MATCH($Y164,'Test catalog'!$A$2:$A$200,0))="","",INDEX('Test catalog'!$J$2:$J$200,MATCH($Y164,'Test catalog'!$A$2:$A$200,0))),"")</f>
        <v/>
      </c>
      <c r="M164" s="11">
        <f>IFERROR(IF(INDEX('Test catalog'!$K$2:$K$200,MATCH($Y164,'Test catalog'!$A$2:$A$200,0))="","",INDEX('Test catalog'!$K$2:$K$200,MATCH($Y164,'Test catalog'!$A$2:$A$200,0))),"")</f>
        <v/>
      </c>
      <c r="N164" s="11">
        <f>IFERROR(IF(INDEX('Test catalog'!$L$2:$L$200,MATCH($Y164,'Test catalog'!$A$2:$A$200,0))="","",INDEX('Test catalog'!$L$2:$L$200,MATCH($Y164,'Test catalog'!$A$2:$A$200,0))),"")</f>
        <v/>
      </c>
      <c r="O164" s="11">
        <f>IFERROR(IF(INDEX('Test catalog'!$M$2:$M$200,MATCH($Y164,'Test catalog'!$A$2:$A$200,0))="","",INDEX('Test catalog'!$M$2:$M$200,MATCH($Y164,'Test catalog'!$A$2:$A$200,0))),"")</f>
        <v/>
      </c>
      <c r="P164" s="11">
        <f>IFERROR(IF(INDEX('Test catalog'!$N$2:$N$200,MATCH($Y164,'Test catalog'!$A$2:$A$200,0))="","",INDEX('Test catalog'!$N$2:$N$200,MATCH($Y164,'Test catalog'!$A$2:$A$200,0))),"")</f>
        <v/>
      </c>
      <c r="Q164" s="11">
        <f>IFERROR(IF(INDEX('Test catalog'!$O$2:$O$200,MATCH($Y164,'Test catalog'!$A$2:$A$200,0))="","",INDEX('Test catalog'!$O$2:$O$200,MATCH($Y164,'Test catalog'!$A$2:$A$200,0))),"")</f>
        <v/>
      </c>
      <c r="R164" s="11">
        <f>IFERROR(IF(INDEX('Test catalog'!$P$2:$P$200,MATCH($Y164,'Test catalog'!$A$2:$A$200,0))="","",INDEX('Test catalog'!$P$2:$P$200,MATCH($Y164,'Test catalog'!$A$2:$A$200,0))),"")</f>
        <v/>
      </c>
      <c r="S164" s="14" t="n"/>
      <c r="T164" s="5" t="n"/>
      <c r="U164" s="11">
        <f>IFERROR(IF(INDEX('Test catalog'!$Q$2:$Q$200,MATCH($Y164,'Test catalog'!$A$2:$A$200,0))="","",INDEX('Test catalog'!$Q$2:$Q$200,MATCH($Y164,'Test catalog'!$A$2:$A$200,0))),"")</f>
        <v/>
      </c>
      <c r="V164" s="5" t="n"/>
      <c r="W164" s="5" t="n"/>
      <c r="X164" s="5" t="n"/>
      <c r="Y164" s="5" t="inlineStr">
        <is>
          <t>ENUM</t>
        </is>
      </c>
      <c r="Z164" s="11" t="inlineStr">
        <is>
          <t>No micro test in USP-NF - set Y if your specification has one</t>
        </is>
      </c>
    </row>
    <row r="165">
      <c r="A165" s="11" t="inlineStr">
        <is>
          <t>Blue Color No.2</t>
        </is>
      </c>
      <c r="B165" s="11" t="inlineStr">
        <is>
          <t>RM</t>
        </is>
      </c>
      <c r="C165" s="11" t="inlineStr">
        <is>
          <t>Colorant</t>
        </is>
      </c>
      <c r="D165" s="11" t="inlineStr">
        <is>
          <t>Microbial enumeration - TAMC + TYMC (&lt;61&gt; / &lt;2021&gt;)</t>
        </is>
      </c>
      <c r="E165" s="5" t="inlineStr">
        <is>
          <t>N</t>
        </is>
      </c>
      <c r="F165" s="5" t="n"/>
      <c r="G165" s="11">
        <f>IFERROR(IF(INDEX('Test catalog'!$F$2:$F$200,MATCH($Y165,'Test catalog'!$A$2:$A$200,0))="","",INDEX('Test catalog'!$F$2:$F$200,MATCH($Y165,'Test catalog'!$A$2:$A$200,0))),"")</f>
        <v/>
      </c>
      <c r="H165" s="11">
        <f>IFERROR(IF(INDEX('Test catalog'!$G$2:$G$200,MATCH($Y165,'Test catalog'!$A$2:$A$200,0))="","",INDEX('Test catalog'!$G$2:$G$200,MATCH($Y165,'Test catalog'!$A$2:$A$200,0))),"")</f>
        <v/>
      </c>
      <c r="I165" s="11">
        <f>IFERROR(IF(INDEX('Test catalog'!$H$2:$H$200,MATCH($Y165,'Test catalog'!$A$2:$A$200,0))="","",INDEX('Test catalog'!$H$2:$H$200,MATCH($Y165,'Test catalog'!$A$2:$A$200,0))),"")</f>
        <v/>
      </c>
      <c r="J165" s="11">
        <f>IFERROR(IF(INDEX('Test catalog'!$I$2:$I$200,MATCH($Y165,'Test catalog'!$A$2:$A$200,0))="","",INDEX('Test catalog'!$I$2:$I$200,MATCH($Y165,'Test catalog'!$A$2:$A$200,0))),"")</f>
        <v/>
      </c>
      <c r="K165" s="13">
        <f>IF(I165="","",IF(OR(H165="",J165=""),I165,(H165+4*I165+J165)/6))</f>
        <v/>
      </c>
      <c r="L165" s="11">
        <f>IFERROR(IF(INDEX('Test catalog'!$J$2:$J$200,MATCH($Y165,'Test catalog'!$A$2:$A$200,0))="","",INDEX('Test catalog'!$J$2:$J$200,MATCH($Y165,'Test catalog'!$A$2:$A$200,0))),"")</f>
        <v/>
      </c>
      <c r="M165" s="11">
        <f>IFERROR(IF(INDEX('Test catalog'!$K$2:$K$200,MATCH($Y165,'Test catalog'!$A$2:$A$200,0))="","",INDEX('Test catalog'!$K$2:$K$200,MATCH($Y165,'Test catalog'!$A$2:$A$200,0))),"")</f>
        <v/>
      </c>
      <c r="N165" s="11">
        <f>IFERROR(IF(INDEX('Test catalog'!$L$2:$L$200,MATCH($Y165,'Test catalog'!$A$2:$A$200,0))="","",INDEX('Test catalog'!$L$2:$L$200,MATCH($Y165,'Test catalog'!$A$2:$A$200,0))),"")</f>
        <v/>
      </c>
      <c r="O165" s="11">
        <f>IFERROR(IF(INDEX('Test catalog'!$M$2:$M$200,MATCH($Y165,'Test catalog'!$A$2:$A$200,0))="","",INDEX('Test catalog'!$M$2:$M$200,MATCH($Y165,'Test catalog'!$A$2:$A$200,0))),"")</f>
        <v/>
      </c>
      <c r="P165" s="11">
        <f>IFERROR(IF(INDEX('Test catalog'!$N$2:$N$200,MATCH($Y165,'Test catalog'!$A$2:$A$200,0))="","",INDEX('Test catalog'!$N$2:$N$200,MATCH($Y165,'Test catalog'!$A$2:$A$200,0))),"")</f>
        <v/>
      </c>
      <c r="Q165" s="11">
        <f>IFERROR(IF(INDEX('Test catalog'!$O$2:$O$200,MATCH($Y165,'Test catalog'!$A$2:$A$200,0))="","",INDEX('Test catalog'!$O$2:$O$200,MATCH($Y165,'Test catalog'!$A$2:$A$200,0))),"")</f>
        <v/>
      </c>
      <c r="R165" s="11">
        <f>IFERROR(IF(INDEX('Test catalog'!$P$2:$P$200,MATCH($Y165,'Test catalog'!$A$2:$A$200,0))="","",INDEX('Test catalog'!$P$2:$P$200,MATCH($Y165,'Test catalog'!$A$2:$A$200,0))),"")</f>
        <v/>
      </c>
      <c r="S165" s="14" t="n"/>
      <c r="T165" s="5" t="n"/>
      <c r="U165" s="11">
        <f>IFERROR(IF(INDEX('Test catalog'!$Q$2:$Q$200,MATCH($Y165,'Test catalog'!$A$2:$A$200,0))="","",INDEX('Test catalog'!$Q$2:$Q$200,MATCH($Y165,'Test catalog'!$A$2:$A$200,0))),"")</f>
        <v/>
      </c>
      <c r="V165" s="5" t="n"/>
      <c r="W165" s="5" t="n"/>
      <c r="X165" s="5" t="n"/>
      <c r="Y165" s="5" t="inlineStr">
        <is>
          <t>ENUM</t>
        </is>
      </c>
      <c r="Z165" s="11" t="inlineStr">
        <is>
          <t>No micro test in USP-NF - set Y if your specification has one</t>
        </is>
      </c>
    </row>
    <row r="166">
      <c r="A166" s="11" t="inlineStr">
        <is>
          <t>Brilliant Blue</t>
        </is>
      </c>
      <c r="B166" s="11" t="inlineStr">
        <is>
          <t>RM</t>
        </is>
      </c>
      <c r="C166" s="11" t="inlineStr">
        <is>
          <t>Colorant</t>
        </is>
      </c>
      <c r="D166" s="11" t="inlineStr">
        <is>
          <t>Microbial enumeration - TAMC + TYMC (&lt;61&gt; / &lt;2021&gt;)</t>
        </is>
      </c>
      <c r="E166" s="5" t="inlineStr">
        <is>
          <t>N</t>
        </is>
      </c>
      <c r="F166" s="5" t="n"/>
      <c r="G166" s="11">
        <f>IFERROR(IF(INDEX('Test catalog'!$F$2:$F$200,MATCH($Y166,'Test catalog'!$A$2:$A$200,0))="","",INDEX('Test catalog'!$F$2:$F$200,MATCH($Y166,'Test catalog'!$A$2:$A$200,0))),"")</f>
        <v/>
      </c>
      <c r="H166" s="11">
        <f>IFERROR(IF(INDEX('Test catalog'!$G$2:$G$200,MATCH($Y166,'Test catalog'!$A$2:$A$200,0))="","",INDEX('Test catalog'!$G$2:$G$200,MATCH($Y166,'Test catalog'!$A$2:$A$200,0))),"")</f>
        <v/>
      </c>
      <c r="I166" s="11">
        <f>IFERROR(IF(INDEX('Test catalog'!$H$2:$H$200,MATCH($Y166,'Test catalog'!$A$2:$A$200,0))="","",INDEX('Test catalog'!$H$2:$H$200,MATCH($Y166,'Test catalog'!$A$2:$A$200,0))),"")</f>
        <v/>
      </c>
      <c r="J166" s="11">
        <f>IFERROR(IF(INDEX('Test catalog'!$I$2:$I$200,MATCH($Y166,'Test catalog'!$A$2:$A$200,0))="","",INDEX('Test catalog'!$I$2:$I$200,MATCH($Y166,'Test catalog'!$A$2:$A$200,0))),"")</f>
        <v/>
      </c>
      <c r="K166" s="13">
        <f>IF(I166="","",IF(OR(H166="",J166=""),I166,(H166+4*I166+J166)/6))</f>
        <v/>
      </c>
      <c r="L166" s="11">
        <f>IFERROR(IF(INDEX('Test catalog'!$J$2:$J$200,MATCH($Y166,'Test catalog'!$A$2:$A$200,0))="","",INDEX('Test catalog'!$J$2:$J$200,MATCH($Y166,'Test catalog'!$A$2:$A$200,0))),"")</f>
        <v/>
      </c>
      <c r="M166" s="11">
        <f>IFERROR(IF(INDEX('Test catalog'!$K$2:$K$200,MATCH($Y166,'Test catalog'!$A$2:$A$200,0))="","",INDEX('Test catalog'!$K$2:$K$200,MATCH($Y166,'Test catalog'!$A$2:$A$200,0))),"")</f>
        <v/>
      </c>
      <c r="N166" s="11">
        <f>IFERROR(IF(INDEX('Test catalog'!$L$2:$L$200,MATCH($Y166,'Test catalog'!$A$2:$A$200,0))="","",INDEX('Test catalog'!$L$2:$L$200,MATCH($Y166,'Test catalog'!$A$2:$A$200,0))),"")</f>
        <v/>
      </c>
      <c r="O166" s="11">
        <f>IFERROR(IF(INDEX('Test catalog'!$M$2:$M$200,MATCH($Y166,'Test catalog'!$A$2:$A$200,0))="","",INDEX('Test catalog'!$M$2:$M$200,MATCH($Y166,'Test catalog'!$A$2:$A$200,0))),"")</f>
        <v/>
      </c>
      <c r="P166" s="11">
        <f>IFERROR(IF(INDEX('Test catalog'!$N$2:$N$200,MATCH($Y166,'Test catalog'!$A$2:$A$200,0))="","",INDEX('Test catalog'!$N$2:$N$200,MATCH($Y166,'Test catalog'!$A$2:$A$200,0))),"")</f>
        <v/>
      </c>
      <c r="Q166" s="11">
        <f>IFERROR(IF(INDEX('Test catalog'!$O$2:$O$200,MATCH($Y166,'Test catalog'!$A$2:$A$200,0))="","",INDEX('Test catalog'!$O$2:$O$200,MATCH($Y166,'Test catalog'!$A$2:$A$200,0))),"")</f>
        <v/>
      </c>
      <c r="R166" s="11">
        <f>IFERROR(IF(INDEX('Test catalog'!$P$2:$P$200,MATCH($Y166,'Test catalog'!$A$2:$A$200,0))="","",INDEX('Test catalog'!$P$2:$P$200,MATCH($Y166,'Test catalog'!$A$2:$A$200,0))),"")</f>
        <v/>
      </c>
      <c r="S166" s="14" t="n"/>
      <c r="T166" s="5" t="n"/>
      <c r="U166" s="11">
        <f>IFERROR(IF(INDEX('Test catalog'!$Q$2:$Q$200,MATCH($Y166,'Test catalog'!$A$2:$A$200,0))="","",INDEX('Test catalog'!$Q$2:$Q$200,MATCH($Y166,'Test catalog'!$A$2:$A$200,0))),"")</f>
        <v/>
      </c>
      <c r="V166" s="5" t="n"/>
      <c r="W166" s="5" t="n"/>
      <c r="X166" s="5" t="n"/>
      <c r="Y166" s="5" t="inlineStr">
        <is>
          <t>ENUM</t>
        </is>
      </c>
      <c r="Z166" s="11" t="inlineStr">
        <is>
          <t>No micro test in USP-NF - set Y if your specification has one</t>
        </is>
      </c>
    </row>
    <row r="167">
      <c r="A167" s="11" t="inlineStr">
        <is>
          <t>Brown Color</t>
        </is>
      </c>
      <c r="B167" s="11" t="inlineStr">
        <is>
          <t>RM</t>
        </is>
      </c>
      <c r="C167" s="11" t="inlineStr">
        <is>
          <t>Colorant</t>
        </is>
      </c>
      <c r="D167" s="11" t="inlineStr">
        <is>
          <t>Microbial enumeration - TAMC + TYMC (&lt;61&gt; / &lt;2021&gt;)</t>
        </is>
      </c>
      <c r="E167" s="5" t="inlineStr">
        <is>
          <t>N</t>
        </is>
      </c>
      <c r="F167" s="5" t="n"/>
      <c r="G167" s="11">
        <f>IFERROR(IF(INDEX('Test catalog'!$F$2:$F$200,MATCH($Y167,'Test catalog'!$A$2:$A$200,0))="","",INDEX('Test catalog'!$F$2:$F$200,MATCH($Y167,'Test catalog'!$A$2:$A$200,0))),"")</f>
        <v/>
      </c>
      <c r="H167" s="11">
        <f>IFERROR(IF(INDEX('Test catalog'!$G$2:$G$200,MATCH($Y167,'Test catalog'!$A$2:$A$200,0))="","",INDEX('Test catalog'!$G$2:$G$200,MATCH($Y167,'Test catalog'!$A$2:$A$200,0))),"")</f>
        <v/>
      </c>
      <c r="I167" s="11">
        <f>IFERROR(IF(INDEX('Test catalog'!$H$2:$H$200,MATCH($Y167,'Test catalog'!$A$2:$A$200,0))="","",INDEX('Test catalog'!$H$2:$H$200,MATCH($Y167,'Test catalog'!$A$2:$A$200,0))),"")</f>
        <v/>
      </c>
      <c r="J167" s="11">
        <f>IFERROR(IF(INDEX('Test catalog'!$I$2:$I$200,MATCH($Y167,'Test catalog'!$A$2:$A$200,0))="","",INDEX('Test catalog'!$I$2:$I$200,MATCH($Y167,'Test catalog'!$A$2:$A$200,0))),"")</f>
        <v/>
      </c>
      <c r="K167" s="13">
        <f>IF(I167="","",IF(OR(H167="",J167=""),I167,(H167+4*I167+J167)/6))</f>
        <v/>
      </c>
      <c r="L167" s="11">
        <f>IFERROR(IF(INDEX('Test catalog'!$J$2:$J$200,MATCH($Y167,'Test catalog'!$A$2:$A$200,0))="","",INDEX('Test catalog'!$J$2:$J$200,MATCH($Y167,'Test catalog'!$A$2:$A$200,0))),"")</f>
        <v/>
      </c>
      <c r="M167" s="11">
        <f>IFERROR(IF(INDEX('Test catalog'!$K$2:$K$200,MATCH($Y167,'Test catalog'!$A$2:$A$200,0))="","",INDEX('Test catalog'!$K$2:$K$200,MATCH($Y167,'Test catalog'!$A$2:$A$200,0))),"")</f>
        <v/>
      </c>
      <c r="N167" s="11">
        <f>IFERROR(IF(INDEX('Test catalog'!$L$2:$L$200,MATCH($Y167,'Test catalog'!$A$2:$A$200,0))="","",INDEX('Test catalog'!$L$2:$L$200,MATCH($Y167,'Test catalog'!$A$2:$A$200,0))),"")</f>
        <v/>
      </c>
      <c r="O167" s="11">
        <f>IFERROR(IF(INDEX('Test catalog'!$M$2:$M$200,MATCH($Y167,'Test catalog'!$A$2:$A$200,0))="","",INDEX('Test catalog'!$M$2:$M$200,MATCH($Y167,'Test catalog'!$A$2:$A$200,0))),"")</f>
        <v/>
      </c>
      <c r="P167" s="11">
        <f>IFERROR(IF(INDEX('Test catalog'!$N$2:$N$200,MATCH($Y167,'Test catalog'!$A$2:$A$200,0))="","",INDEX('Test catalog'!$N$2:$N$200,MATCH($Y167,'Test catalog'!$A$2:$A$200,0))),"")</f>
        <v/>
      </c>
      <c r="Q167" s="11">
        <f>IFERROR(IF(INDEX('Test catalog'!$O$2:$O$200,MATCH($Y167,'Test catalog'!$A$2:$A$200,0))="","",INDEX('Test catalog'!$O$2:$O$200,MATCH($Y167,'Test catalog'!$A$2:$A$200,0))),"")</f>
        <v/>
      </c>
      <c r="R167" s="11">
        <f>IFERROR(IF(INDEX('Test catalog'!$P$2:$P$200,MATCH($Y167,'Test catalog'!$A$2:$A$200,0))="","",INDEX('Test catalog'!$P$2:$P$200,MATCH($Y167,'Test catalog'!$A$2:$A$200,0))),"")</f>
        <v/>
      </c>
      <c r="S167" s="14" t="n"/>
      <c r="T167" s="5" t="n"/>
      <c r="U167" s="11">
        <f>IFERROR(IF(INDEX('Test catalog'!$Q$2:$Q$200,MATCH($Y167,'Test catalog'!$A$2:$A$200,0))="","",INDEX('Test catalog'!$Q$2:$Q$200,MATCH($Y167,'Test catalog'!$A$2:$A$200,0))),"")</f>
        <v/>
      </c>
      <c r="V167" s="5" t="n"/>
      <c r="W167" s="5" t="n"/>
      <c r="X167" s="5" t="n"/>
      <c r="Y167" s="5" t="inlineStr">
        <is>
          <t>ENUM</t>
        </is>
      </c>
      <c r="Z167" s="11" t="inlineStr">
        <is>
          <t>No micro test in USP-NF - set Y if your specification has one</t>
        </is>
      </c>
    </row>
    <row r="168">
      <c r="A168" s="11" t="inlineStr">
        <is>
          <t>Caramel Colour</t>
        </is>
      </c>
      <c r="B168" s="11" t="inlineStr">
        <is>
          <t>RM</t>
        </is>
      </c>
      <c r="C168" s="11" t="inlineStr">
        <is>
          <t>Colorant</t>
        </is>
      </c>
      <c r="D168" s="11" t="inlineStr">
        <is>
          <t>Microbial enumeration - TAMC + TYMC (&lt;61&gt; / &lt;2021&gt;)</t>
        </is>
      </c>
      <c r="E168" s="5" t="inlineStr">
        <is>
          <t>Y</t>
        </is>
      </c>
      <c r="F168" s="5" t="n"/>
      <c r="G168" s="11">
        <f>IFERROR(IF(INDEX('Test catalog'!$F$2:$F$200,MATCH($Y168,'Test catalog'!$A$2:$A$200,0))="","",INDEX('Test catalog'!$F$2:$F$200,MATCH($Y168,'Test catalog'!$A$2:$A$200,0))),"")</f>
        <v/>
      </c>
      <c r="H168" s="11">
        <f>IFERROR(IF(INDEX('Test catalog'!$G$2:$G$200,MATCH($Y168,'Test catalog'!$A$2:$A$200,0))="","",INDEX('Test catalog'!$G$2:$G$200,MATCH($Y168,'Test catalog'!$A$2:$A$200,0))),"")</f>
        <v/>
      </c>
      <c r="I168" s="11">
        <f>IFERROR(IF(INDEX('Test catalog'!$H$2:$H$200,MATCH($Y168,'Test catalog'!$A$2:$A$200,0))="","",INDEX('Test catalog'!$H$2:$H$200,MATCH($Y168,'Test catalog'!$A$2:$A$200,0))),"")</f>
        <v/>
      </c>
      <c r="J168" s="11">
        <f>IFERROR(IF(INDEX('Test catalog'!$I$2:$I$200,MATCH($Y168,'Test catalog'!$A$2:$A$200,0))="","",INDEX('Test catalog'!$I$2:$I$200,MATCH($Y168,'Test catalog'!$A$2:$A$200,0))),"")</f>
        <v/>
      </c>
      <c r="K168" s="13">
        <f>IF(I168="","",IF(OR(H168="",J168=""),I168,(H168+4*I168+J168)/6))</f>
        <v/>
      </c>
      <c r="L168" s="11">
        <f>IFERROR(IF(INDEX('Test catalog'!$J$2:$J$200,MATCH($Y168,'Test catalog'!$A$2:$A$200,0))="","",INDEX('Test catalog'!$J$2:$J$200,MATCH($Y168,'Test catalog'!$A$2:$A$200,0))),"")</f>
        <v/>
      </c>
      <c r="M168" s="11">
        <f>IFERROR(IF(INDEX('Test catalog'!$K$2:$K$200,MATCH($Y168,'Test catalog'!$A$2:$A$200,0))="","",INDEX('Test catalog'!$K$2:$K$200,MATCH($Y168,'Test catalog'!$A$2:$A$200,0))),"")</f>
        <v/>
      </c>
      <c r="N168" s="11">
        <f>IFERROR(IF(INDEX('Test catalog'!$L$2:$L$200,MATCH($Y168,'Test catalog'!$A$2:$A$200,0))="","",INDEX('Test catalog'!$L$2:$L$200,MATCH($Y168,'Test catalog'!$A$2:$A$200,0))),"")</f>
        <v/>
      </c>
      <c r="O168" s="11">
        <f>IFERROR(IF(INDEX('Test catalog'!$M$2:$M$200,MATCH($Y168,'Test catalog'!$A$2:$A$200,0))="","",INDEX('Test catalog'!$M$2:$M$200,MATCH($Y168,'Test catalog'!$A$2:$A$200,0))),"")</f>
        <v/>
      </c>
      <c r="P168" s="11">
        <f>IFERROR(IF(INDEX('Test catalog'!$N$2:$N$200,MATCH($Y168,'Test catalog'!$A$2:$A$200,0))="","",INDEX('Test catalog'!$N$2:$N$200,MATCH($Y168,'Test catalog'!$A$2:$A$200,0))),"")</f>
        <v/>
      </c>
      <c r="Q168" s="11">
        <f>IFERROR(IF(INDEX('Test catalog'!$O$2:$O$200,MATCH($Y168,'Test catalog'!$A$2:$A$200,0))="","",INDEX('Test catalog'!$O$2:$O$200,MATCH($Y168,'Test catalog'!$A$2:$A$200,0))),"")</f>
        <v/>
      </c>
      <c r="R168" s="11">
        <f>IFERROR(IF(INDEX('Test catalog'!$P$2:$P$200,MATCH($Y168,'Test catalog'!$A$2:$A$200,0))="","",INDEX('Test catalog'!$P$2:$P$200,MATCH($Y168,'Test catalog'!$A$2:$A$200,0))),"")</f>
        <v/>
      </c>
      <c r="S168" s="14" t="n"/>
      <c r="T168" s="5" t="n"/>
      <c r="U168" s="11">
        <f>IFERROR(IF(INDEX('Test catalog'!$Q$2:$Q$200,MATCH($Y168,'Test catalog'!$A$2:$A$200,0))="","",INDEX('Test catalog'!$Q$2:$Q$200,MATCH($Y168,'Test catalog'!$A$2:$A$200,0))),"")</f>
        <v/>
      </c>
      <c r="V168" s="5" t="n"/>
      <c r="W168" s="5" t="n"/>
      <c r="X168" s="5" t="n"/>
      <c r="Y168" s="5" t="inlineStr">
        <is>
          <t>ENUM</t>
        </is>
      </c>
      <c r="Z168" s="11" t="inlineStr">
        <is>
          <t>USP-NF monograph &lt;61&gt;, &lt;62&gt;</t>
        </is>
      </c>
    </row>
    <row r="169">
      <c r="A169" s="11" t="inlineStr">
        <is>
          <t>Caramel Colour</t>
        </is>
      </c>
      <c r="B169" s="11" t="inlineStr">
        <is>
          <t>RM</t>
        </is>
      </c>
      <c r="C169" s="11" t="inlineStr">
        <is>
          <t>Colorant</t>
        </is>
      </c>
      <c r="D169" s="11" t="inlineStr">
        <is>
          <t>Absence of Escherichia coli (&lt;62&gt; / &lt;2022&gt;)</t>
        </is>
      </c>
      <c r="E169" s="5" t="inlineStr">
        <is>
          <t>Y</t>
        </is>
      </c>
      <c r="F169" s="5" t="n"/>
      <c r="G169" s="11">
        <f>IFERROR(IF(INDEX('Test catalog'!$F$2:$F$200,MATCH($Y169,'Test catalog'!$A$2:$A$200,0))="","",INDEX('Test catalog'!$F$2:$F$200,MATCH($Y169,'Test catalog'!$A$2:$A$200,0))),"")</f>
        <v/>
      </c>
      <c r="H169" s="11">
        <f>IFERROR(IF(INDEX('Test catalog'!$G$2:$G$200,MATCH($Y169,'Test catalog'!$A$2:$A$200,0))="","",INDEX('Test catalog'!$G$2:$G$200,MATCH($Y169,'Test catalog'!$A$2:$A$200,0))),"")</f>
        <v/>
      </c>
      <c r="I169" s="11">
        <f>IFERROR(IF(INDEX('Test catalog'!$H$2:$H$200,MATCH($Y169,'Test catalog'!$A$2:$A$200,0))="","",INDEX('Test catalog'!$H$2:$H$200,MATCH($Y169,'Test catalog'!$A$2:$A$200,0))),"")</f>
        <v/>
      </c>
      <c r="J169" s="11">
        <f>IFERROR(IF(INDEX('Test catalog'!$I$2:$I$200,MATCH($Y169,'Test catalog'!$A$2:$A$200,0))="","",INDEX('Test catalog'!$I$2:$I$200,MATCH($Y169,'Test catalog'!$A$2:$A$200,0))),"")</f>
        <v/>
      </c>
      <c r="K169" s="13">
        <f>IF(I169="","",IF(OR(H169="",J169=""),I169,(H169+4*I169+J169)/6))</f>
        <v/>
      </c>
      <c r="L169" s="11">
        <f>IFERROR(IF(INDEX('Test catalog'!$J$2:$J$200,MATCH($Y169,'Test catalog'!$A$2:$A$200,0))="","",INDEX('Test catalog'!$J$2:$J$200,MATCH($Y169,'Test catalog'!$A$2:$A$200,0))),"")</f>
        <v/>
      </c>
      <c r="M169" s="11">
        <f>IFERROR(IF(INDEX('Test catalog'!$K$2:$K$200,MATCH($Y169,'Test catalog'!$A$2:$A$200,0))="","",INDEX('Test catalog'!$K$2:$K$200,MATCH($Y169,'Test catalog'!$A$2:$A$200,0))),"")</f>
        <v/>
      </c>
      <c r="N169" s="11">
        <f>IFERROR(IF(INDEX('Test catalog'!$L$2:$L$200,MATCH($Y169,'Test catalog'!$A$2:$A$200,0))="","",INDEX('Test catalog'!$L$2:$L$200,MATCH($Y169,'Test catalog'!$A$2:$A$200,0))),"")</f>
        <v/>
      </c>
      <c r="O169" s="11">
        <f>IFERROR(IF(INDEX('Test catalog'!$M$2:$M$200,MATCH($Y169,'Test catalog'!$A$2:$A$200,0))="","",INDEX('Test catalog'!$M$2:$M$200,MATCH($Y169,'Test catalog'!$A$2:$A$200,0))),"")</f>
        <v/>
      </c>
      <c r="P169" s="11">
        <f>IFERROR(IF(INDEX('Test catalog'!$N$2:$N$200,MATCH($Y169,'Test catalog'!$A$2:$A$200,0))="","",INDEX('Test catalog'!$N$2:$N$200,MATCH($Y169,'Test catalog'!$A$2:$A$200,0))),"")</f>
        <v/>
      </c>
      <c r="Q169" s="11">
        <f>IFERROR(IF(INDEX('Test catalog'!$O$2:$O$200,MATCH($Y169,'Test catalog'!$A$2:$A$200,0))="","",INDEX('Test catalog'!$O$2:$O$200,MATCH($Y169,'Test catalog'!$A$2:$A$200,0))),"")</f>
        <v/>
      </c>
      <c r="R169" s="11">
        <f>IFERROR(IF(INDEX('Test catalog'!$P$2:$P$200,MATCH($Y169,'Test catalog'!$A$2:$A$200,0))="","",INDEX('Test catalog'!$P$2:$P$200,MATCH($Y169,'Test catalog'!$A$2:$A$200,0))),"")</f>
        <v/>
      </c>
      <c r="S169" s="14" t="n"/>
      <c r="T169" s="5" t="n"/>
      <c r="U169" s="11">
        <f>IFERROR(IF(INDEX('Test catalog'!$Q$2:$Q$200,MATCH($Y169,'Test catalog'!$A$2:$A$200,0))="","",INDEX('Test catalog'!$Q$2:$Q$200,MATCH($Y169,'Test catalog'!$A$2:$A$200,0))),"")</f>
        <v/>
      </c>
      <c r="V169" s="5" t="n"/>
      <c r="W169" s="5" t="n"/>
      <c r="X169" s="5" t="n"/>
      <c r="Y169" s="5" t="inlineStr">
        <is>
          <t>ECOLI</t>
        </is>
      </c>
      <c r="Z169" s="11" t="inlineStr">
        <is>
          <t>USP-NF monograph &lt;61&gt;, &lt;62&gt;</t>
        </is>
      </c>
    </row>
    <row r="170">
      <c r="A170" s="11" t="inlineStr">
        <is>
          <t>Caramel Colour</t>
        </is>
      </c>
      <c r="B170" s="11" t="inlineStr">
        <is>
          <t>RM</t>
        </is>
      </c>
      <c r="C170" s="11" t="inlineStr">
        <is>
          <t>Colorant</t>
        </is>
      </c>
      <c r="D170" s="11" t="inlineStr">
        <is>
          <t>Absence of Salmonella (&lt;62&gt; / &lt;2022&gt;)</t>
        </is>
      </c>
      <c r="E170" s="5" t="inlineStr">
        <is>
          <t>Y</t>
        </is>
      </c>
      <c r="F170" s="5" t="n"/>
      <c r="G170" s="11">
        <f>IFERROR(IF(INDEX('Test catalog'!$F$2:$F$200,MATCH($Y170,'Test catalog'!$A$2:$A$200,0))="","",INDEX('Test catalog'!$F$2:$F$200,MATCH($Y170,'Test catalog'!$A$2:$A$200,0))),"")</f>
        <v/>
      </c>
      <c r="H170" s="11">
        <f>IFERROR(IF(INDEX('Test catalog'!$G$2:$G$200,MATCH($Y170,'Test catalog'!$A$2:$A$200,0))="","",INDEX('Test catalog'!$G$2:$G$200,MATCH($Y170,'Test catalog'!$A$2:$A$200,0))),"")</f>
        <v/>
      </c>
      <c r="I170" s="11">
        <f>IFERROR(IF(INDEX('Test catalog'!$H$2:$H$200,MATCH($Y170,'Test catalog'!$A$2:$A$200,0))="","",INDEX('Test catalog'!$H$2:$H$200,MATCH($Y170,'Test catalog'!$A$2:$A$200,0))),"")</f>
        <v/>
      </c>
      <c r="J170" s="11">
        <f>IFERROR(IF(INDEX('Test catalog'!$I$2:$I$200,MATCH($Y170,'Test catalog'!$A$2:$A$200,0))="","",INDEX('Test catalog'!$I$2:$I$200,MATCH($Y170,'Test catalog'!$A$2:$A$200,0))),"")</f>
        <v/>
      </c>
      <c r="K170" s="13">
        <f>IF(I170="","",IF(OR(H170="",J170=""),I170,(H170+4*I170+J170)/6))</f>
        <v/>
      </c>
      <c r="L170" s="11">
        <f>IFERROR(IF(INDEX('Test catalog'!$J$2:$J$200,MATCH($Y170,'Test catalog'!$A$2:$A$200,0))="","",INDEX('Test catalog'!$J$2:$J$200,MATCH($Y170,'Test catalog'!$A$2:$A$200,0))),"")</f>
        <v/>
      </c>
      <c r="M170" s="11">
        <f>IFERROR(IF(INDEX('Test catalog'!$K$2:$K$200,MATCH($Y170,'Test catalog'!$A$2:$A$200,0))="","",INDEX('Test catalog'!$K$2:$K$200,MATCH($Y170,'Test catalog'!$A$2:$A$200,0))),"")</f>
        <v/>
      </c>
      <c r="N170" s="11">
        <f>IFERROR(IF(INDEX('Test catalog'!$L$2:$L$200,MATCH($Y170,'Test catalog'!$A$2:$A$200,0))="","",INDEX('Test catalog'!$L$2:$L$200,MATCH($Y170,'Test catalog'!$A$2:$A$200,0))),"")</f>
        <v/>
      </c>
      <c r="O170" s="11">
        <f>IFERROR(IF(INDEX('Test catalog'!$M$2:$M$200,MATCH($Y170,'Test catalog'!$A$2:$A$200,0))="","",INDEX('Test catalog'!$M$2:$M$200,MATCH($Y170,'Test catalog'!$A$2:$A$200,0))),"")</f>
        <v/>
      </c>
      <c r="P170" s="11">
        <f>IFERROR(IF(INDEX('Test catalog'!$N$2:$N$200,MATCH($Y170,'Test catalog'!$A$2:$A$200,0))="","",INDEX('Test catalog'!$N$2:$N$200,MATCH($Y170,'Test catalog'!$A$2:$A$200,0))),"")</f>
        <v/>
      </c>
      <c r="Q170" s="11">
        <f>IFERROR(IF(INDEX('Test catalog'!$O$2:$O$200,MATCH($Y170,'Test catalog'!$A$2:$A$200,0))="","",INDEX('Test catalog'!$O$2:$O$200,MATCH($Y170,'Test catalog'!$A$2:$A$200,0))),"")</f>
        <v/>
      </c>
      <c r="R170" s="11">
        <f>IFERROR(IF(INDEX('Test catalog'!$P$2:$P$200,MATCH($Y170,'Test catalog'!$A$2:$A$200,0))="","",INDEX('Test catalog'!$P$2:$P$200,MATCH($Y170,'Test catalog'!$A$2:$A$200,0))),"")</f>
        <v/>
      </c>
      <c r="S170" s="14" t="n"/>
      <c r="T170" s="5" t="n"/>
      <c r="U170" s="11">
        <f>IFERROR(IF(INDEX('Test catalog'!$Q$2:$Q$200,MATCH($Y170,'Test catalog'!$A$2:$A$200,0))="","",INDEX('Test catalog'!$Q$2:$Q$200,MATCH($Y170,'Test catalog'!$A$2:$A$200,0))),"")</f>
        <v/>
      </c>
      <c r="V170" s="5" t="n"/>
      <c r="W170" s="5" t="n"/>
      <c r="X170" s="5" t="n"/>
      <c r="Y170" s="5" t="inlineStr">
        <is>
          <t>SALM</t>
        </is>
      </c>
      <c r="Z170" s="11" t="inlineStr">
        <is>
          <t>USP-NF monograph &lt;61&gt;, &lt;62&gt;</t>
        </is>
      </c>
    </row>
    <row r="171">
      <c r="A171" s="11" t="inlineStr">
        <is>
          <t>Erythrosine Pink</t>
        </is>
      </c>
      <c r="B171" s="11" t="inlineStr">
        <is>
          <t>RM</t>
        </is>
      </c>
      <c r="C171" s="11" t="inlineStr">
        <is>
          <t>Colorant</t>
        </is>
      </c>
      <c r="D171" s="11" t="inlineStr">
        <is>
          <t>Microbial enumeration - TAMC + TYMC (&lt;61&gt; / &lt;2021&gt;)</t>
        </is>
      </c>
      <c r="E171" s="5" t="inlineStr">
        <is>
          <t>N</t>
        </is>
      </c>
      <c r="F171" s="5" t="n"/>
      <c r="G171" s="11">
        <f>IFERROR(IF(INDEX('Test catalog'!$F$2:$F$200,MATCH($Y171,'Test catalog'!$A$2:$A$200,0))="","",INDEX('Test catalog'!$F$2:$F$200,MATCH($Y171,'Test catalog'!$A$2:$A$200,0))),"")</f>
        <v/>
      </c>
      <c r="H171" s="11">
        <f>IFERROR(IF(INDEX('Test catalog'!$G$2:$G$200,MATCH($Y171,'Test catalog'!$A$2:$A$200,0))="","",INDEX('Test catalog'!$G$2:$G$200,MATCH($Y171,'Test catalog'!$A$2:$A$200,0))),"")</f>
        <v/>
      </c>
      <c r="I171" s="11">
        <f>IFERROR(IF(INDEX('Test catalog'!$H$2:$H$200,MATCH($Y171,'Test catalog'!$A$2:$A$200,0))="","",INDEX('Test catalog'!$H$2:$H$200,MATCH($Y171,'Test catalog'!$A$2:$A$200,0))),"")</f>
        <v/>
      </c>
      <c r="J171" s="11">
        <f>IFERROR(IF(INDEX('Test catalog'!$I$2:$I$200,MATCH($Y171,'Test catalog'!$A$2:$A$200,0))="","",INDEX('Test catalog'!$I$2:$I$200,MATCH($Y171,'Test catalog'!$A$2:$A$200,0))),"")</f>
        <v/>
      </c>
      <c r="K171" s="13">
        <f>IF(I171="","",IF(OR(H171="",J171=""),I171,(H171+4*I171+J171)/6))</f>
        <v/>
      </c>
      <c r="L171" s="11">
        <f>IFERROR(IF(INDEX('Test catalog'!$J$2:$J$200,MATCH($Y171,'Test catalog'!$A$2:$A$200,0))="","",INDEX('Test catalog'!$J$2:$J$200,MATCH($Y171,'Test catalog'!$A$2:$A$200,0))),"")</f>
        <v/>
      </c>
      <c r="M171" s="11">
        <f>IFERROR(IF(INDEX('Test catalog'!$K$2:$K$200,MATCH($Y171,'Test catalog'!$A$2:$A$200,0))="","",INDEX('Test catalog'!$K$2:$K$200,MATCH($Y171,'Test catalog'!$A$2:$A$200,0))),"")</f>
        <v/>
      </c>
      <c r="N171" s="11">
        <f>IFERROR(IF(INDEX('Test catalog'!$L$2:$L$200,MATCH($Y171,'Test catalog'!$A$2:$A$200,0))="","",INDEX('Test catalog'!$L$2:$L$200,MATCH($Y171,'Test catalog'!$A$2:$A$200,0))),"")</f>
        <v/>
      </c>
      <c r="O171" s="11">
        <f>IFERROR(IF(INDEX('Test catalog'!$M$2:$M$200,MATCH($Y171,'Test catalog'!$A$2:$A$200,0))="","",INDEX('Test catalog'!$M$2:$M$200,MATCH($Y171,'Test catalog'!$A$2:$A$200,0))),"")</f>
        <v/>
      </c>
      <c r="P171" s="11">
        <f>IFERROR(IF(INDEX('Test catalog'!$N$2:$N$200,MATCH($Y171,'Test catalog'!$A$2:$A$200,0))="","",INDEX('Test catalog'!$N$2:$N$200,MATCH($Y171,'Test catalog'!$A$2:$A$200,0))),"")</f>
        <v/>
      </c>
      <c r="Q171" s="11">
        <f>IFERROR(IF(INDEX('Test catalog'!$O$2:$O$200,MATCH($Y171,'Test catalog'!$A$2:$A$200,0))="","",INDEX('Test catalog'!$O$2:$O$200,MATCH($Y171,'Test catalog'!$A$2:$A$200,0))),"")</f>
        <v/>
      </c>
      <c r="R171" s="11">
        <f>IFERROR(IF(INDEX('Test catalog'!$P$2:$P$200,MATCH($Y171,'Test catalog'!$A$2:$A$200,0))="","",INDEX('Test catalog'!$P$2:$P$200,MATCH($Y171,'Test catalog'!$A$2:$A$200,0))),"")</f>
        <v/>
      </c>
      <c r="S171" s="14" t="n"/>
      <c r="T171" s="5" t="n"/>
      <c r="U171" s="11">
        <f>IFERROR(IF(INDEX('Test catalog'!$Q$2:$Q$200,MATCH($Y171,'Test catalog'!$A$2:$A$200,0))="","",INDEX('Test catalog'!$Q$2:$Q$200,MATCH($Y171,'Test catalog'!$A$2:$A$200,0))),"")</f>
        <v/>
      </c>
      <c r="V171" s="5" t="n"/>
      <c r="W171" s="5" t="n"/>
      <c r="X171" s="5" t="n"/>
      <c r="Y171" s="5" t="inlineStr">
        <is>
          <t>ENUM</t>
        </is>
      </c>
      <c r="Z171" s="11" t="inlineStr">
        <is>
          <t>No micro test in USP-NF - set Y if your specification has one</t>
        </is>
      </c>
    </row>
    <row r="172">
      <c r="A172" s="11" t="inlineStr">
        <is>
          <t>Exacol Brown HT</t>
        </is>
      </c>
      <c r="B172" s="11" t="inlineStr">
        <is>
          <t>RM</t>
        </is>
      </c>
      <c r="C172" s="11" t="inlineStr">
        <is>
          <t>Colorant</t>
        </is>
      </c>
      <c r="D172" s="11" t="inlineStr">
        <is>
          <t>Microbial enumeration - TAMC + TYMC (&lt;61&gt; / &lt;2021&gt;)</t>
        </is>
      </c>
      <c r="E172" s="5" t="inlineStr">
        <is>
          <t>N</t>
        </is>
      </c>
      <c r="F172" s="5" t="n"/>
      <c r="G172" s="11">
        <f>IFERROR(IF(INDEX('Test catalog'!$F$2:$F$200,MATCH($Y172,'Test catalog'!$A$2:$A$200,0))="","",INDEX('Test catalog'!$F$2:$F$200,MATCH($Y172,'Test catalog'!$A$2:$A$200,0))),"")</f>
        <v/>
      </c>
      <c r="H172" s="11">
        <f>IFERROR(IF(INDEX('Test catalog'!$G$2:$G$200,MATCH($Y172,'Test catalog'!$A$2:$A$200,0))="","",INDEX('Test catalog'!$G$2:$G$200,MATCH($Y172,'Test catalog'!$A$2:$A$200,0))),"")</f>
        <v/>
      </c>
      <c r="I172" s="11">
        <f>IFERROR(IF(INDEX('Test catalog'!$H$2:$H$200,MATCH($Y172,'Test catalog'!$A$2:$A$200,0))="","",INDEX('Test catalog'!$H$2:$H$200,MATCH($Y172,'Test catalog'!$A$2:$A$200,0))),"")</f>
        <v/>
      </c>
      <c r="J172" s="11">
        <f>IFERROR(IF(INDEX('Test catalog'!$I$2:$I$200,MATCH($Y172,'Test catalog'!$A$2:$A$200,0))="","",INDEX('Test catalog'!$I$2:$I$200,MATCH($Y172,'Test catalog'!$A$2:$A$200,0))),"")</f>
        <v/>
      </c>
      <c r="K172" s="13">
        <f>IF(I172="","",IF(OR(H172="",J172=""),I172,(H172+4*I172+J172)/6))</f>
        <v/>
      </c>
      <c r="L172" s="11">
        <f>IFERROR(IF(INDEX('Test catalog'!$J$2:$J$200,MATCH($Y172,'Test catalog'!$A$2:$A$200,0))="","",INDEX('Test catalog'!$J$2:$J$200,MATCH($Y172,'Test catalog'!$A$2:$A$200,0))),"")</f>
        <v/>
      </c>
      <c r="M172" s="11">
        <f>IFERROR(IF(INDEX('Test catalog'!$K$2:$K$200,MATCH($Y172,'Test catalog'!$A$2:$A$200,0))="","",INDEX('Test catalog'!$K$2:$K$200,MATCH($Y172,'Test catalog'!$A$2:$A$200,0))),"")</f>
        <v/>
      </c>
      <c r="N172" s="11">
        <f>IFERROR(IF(INDEX('Test catalog'!$L$2:$L$200,MATCH($Y172,'Test catalog'!$A$2:$A$200,0))="","",INDEX('Test catalog'!$L$2:$L$200,MATCH($Y172,'Test catalog'!$A$2:$A$200,0))),"")</f>
        <v/>
      </c>
      <c r="O172" s="11">
        <f>IFERROR(IF(INDEX('Test catalog'!$M$2:$M$200,MATCH($Y172,'Test catalog'!$A$2:$A$200,0))="","",INDEX('Test catalog'!$M$2:$M$200,MATCH($Y172,'Test catalog'!$A$2:$A$200,0))),"")</f>
        <v/>
      </c>
      <c r="P172" s="11">
        <f>IFERROR(IF(INDEX('Test catalog'!$N$2:$N$200,MATCH($Y172,'Test catalog'!$A$2:$A$200,0))="","",INDEX('Test catalog'!$N$2:$N$200,MATCH($Y172,'Test catalog'!$A$2:$A$200,0))),"")</f>
        <v/>
      </c>
      <c r="Q172" s="11">
        <f>IFERROR(IF(INDEX('Test catalog'!$O$2:$O$200,MATCH($Y172,'Test catalog'!$A$2:$A$200,0))="","",INDEX('Test catalog'!$O$2:$O$200,MATCH($Y172,'Test catalog'!$A$2:$A$200,0))),"")</f>
        <v/>
      </c>
      <c r="R172" s="11">
        <f>IFERROR(IF(INDEX('Test catalog'!$P$2:$P$200,MATCH($Y172,'Test catalog'!$A$2:$A$200,0))="","",INDEX('Test catalog'!$P$2:$P$200,MATCH($Y172,'Test catalog'!$A$2:$A$200,0))),"")</f>
        <v/>
      </c>
      <c r="S172" s="14" t="n"/>
      <c r="T172" s="5" t="n"/>
      <c r="U172" s="11">
        <f>IFERROR(IF(INDEX('Test catalog'!$Q$2:$Q$200,MATCH($Y172,'Test catalog'!$A$2:$A$200,0))="","",INDEX('Test catalog'!$Q$2:$Q$200,MATCH($Y172,'Test catalog'!$A$2:$A$200,0))),"")</f>
        <v/>
      </c>
      <c r="V172" s="5" t="n"/>
      <c r="W172" s="5" t="n"/>
      <c r="X172" s="5" t="n"/>
      <c r="Y172" s="5" t="inlineStr">
        <is>
          <t>ENUM</t>
        </is>
      </c>
      <c r="Z172" s="11" t="inlineStr">
        <is>
          <t>No micro test in USP-NF - set Y if your specification has one</t>
        </is>
      </c>
    </row>
    <row r="173">
      <c r="A173" s="11" t="inlineStr">
        <is>
          <t>Ferric Oxide Black</t>
        </is>
      </c>
      <c r="B173" s="11" t="inlineStr">
        <is>
          <t>RM</t>
        </is>
      </c>
      <c r="C173" s="11" t="inlineStr">
        <is>
          <t>Colorant</t>
        </is>
      </c>
      <c r="D173" s="11" t="inlineStr">
        <is>
          <t>Microbial enumeration - TAMC + TYMC (&lt;61&gt; / &lt;2021&gt;)</t>
        </is>
      </c>
      <c r="E173" s="5" t="inlineStr">
        <is>
          <t>Y</t>
        </is>
      </c>
      <c r="F173" s="5" t="n"/>
      <c r="G173" s="11">
        <f>IFERROR(IF(INDEX('Test catalog'!$F$2:$F$200,MATCH($Y173,'Test catalog'!$A$2:$A$200,0))="","",INDEX('Test catalog'!$F$2:$F$200,MATCH($Y173,'Test catalog'!$A$2:$A$200,0))),"")</f>
        <v/>
      </c>
      <c r="H173" s="11">
        <f>IFERROR(IF(INDEX('Test catalog'!$G$2:$G$200,MATCH($Y173,'Test catalog'!$A$2:$A$200,0))="","",INDEX('Test catalog'!$G$2:$G$200,MATCH($Y173,'Test catalog'!$A$2:$A$200,0))),"")</f>
        <v/>
      </c>
      <c r="I173" s="11">
        <f>IFERROR(IF(INDEX('Test catalog'!$H$2:$H$200,MATCH($Y173,'Test catalog'!$A$2:$A$200,0))="","",INDEX('Test catalog'!$H$2:$H$200,MATCH($Y173,'Test catalog'!$A$2:$A$200,0))),"")</f>
        <v/>
      </c>
      <c r="J173" s="11">
        <f>IFERROR(IF(INDEX('Test catalog'!$I$2:$I$200,MATCH($Y173,'Test catalog'!$A$2:$A$200,0))="","",INDEX('Test catalog'!$I$2:$I$200,MATCH($Y173,'Test catalog'!$A$2:$A$200,0))),"")</f>
        <v/>
      </c>
      <c r="K173" s="13">
        <f>IF(I173="","",IF(OR(H173="",J173=""),I173,(H173+4*I173+J173)/6))</f>
        <v/>
      </c>
      <c r="L173" s="11">
        <f>IFERROR(IF(INDEX('Test catalog'!$J$2:$J$200,MATCH($Y173,'Test catalog'!$A$2:$A$200,0))="","",INDEX('Test catalog'!$J$2:$J$200,MATCH($Y173,'Test catalog'!$A$2:$A$200,0))),"")</f>
        <v/>
      </c>
      <c r="M173" s="11">
        <f>IFERROR(IF(INDEX('Test catalog'!$K$2:$K$200,MATCH($Y173,'Test catalog'!$A$2:$A$200,0))="","",INDEX('Test catalog'!$K$2:$K$200,MATCH($Y173,'Test catalog'!$A$2:$A$200,0))),"")</f>
        <v/>
      </c>
      <c r="N173" s="11">
        <f>IFERROR(IF(INDEX('Test catalog'!$L$2:$L$200,MATCH($Y173,'Test catalog'!$A$2:$A$200,0))="","",INDEX('Test catalog'!$L$2:$L$200,MATCH($Y173,'Test catalog'!$A$2:$A$200,0))),"")</f>
        <v/>
      </c>
      <c r="O173" s="11">
        <f>IFERROR(IF(INDEX('Test catalog'!$M$2:$M$200,MATCH($Y173,'Test catalog'!$A$2:$A$200,0))="","",INDEX('Test catalog'!$M$2:$M$200,MATCH($Y173,'Test catalog'!$A$2:$A$200,0))),"")</f>
        <v/>
      </c>
      <c r="P173" s="11">
        <f>IFERROR(IF(INDEX('Test catalog'!$N$2:$N$200,MATCH($Y173,'Test catalog'!$A$2:$A$200,0))="","",INDEX('Test catalog'!$N$2:$N$200,MATCH($Y173,'Test catalog'!$A$2:$A$200,0))),"")</f>
        <v/>
      </c>
      <c r="Q173" s="11">
        <f>IFERROR(IF(INDEX('Test catalog'!$O$2:$O$200,MATCH($Y173,'Test catalog'!$A$2:$A$200,0))="","",INDEX('Test catalog'!$O$2:$O$200,MATCH($Y173,'Test catalog'!$A$2:$A$200,0))),"")</f>
        <v/>
      </c>
      <c r="R173" s="11">
        <f>IFERROR(IF(INDEX('Test catalog'!$P$2:$P$200,MATCH($Y173,'Test catalog'!$A$2:$A$200,0))="","",INDEX('Test catalog'!$P$2:$P$200,MATCH($Y173,'Test catalog'!$A$2:$A$200,0))),"")</f>
        <v/>
      </c>
      <c r="S173" s="14" t="n"/>
      <c r="T173" s="5" t="n"/>
      <c r="U173" s="11">
        <f>IFERROR(IF(INDEX('Test catalog'!$Q$2:$Q$200,MATCH($Y173,'Test catalog'!$A$2:$A$200,0))="","",INDEX('Test catalog'!$Q$2:$Q$200,MATCH($Y173,'Test catalog'!$A$2:$A$200,0))),"")</f>
        <v/>
      </c>
      <c r="V173" s="5" t="n"/>
      <c r="W173" s="5" t="n"/>
      <c r="X173" s="5" t="n"/>
      <c r="Y173" s="5" t="inlineStr">
        <is>
          <t>ENUM</t>
        </is>
      </c>
      <c r="Z173" s="11" t="inlineStr">
        <is>
          <t>USP-NF monograph &lt;61&gt;, &lt;62&gt;</t>
        </is>
      </c>
    </row>
    <row r="174">
      <c r="A174" s="11" t="inlineStr">
        <is>
          <t>Ferric Oxide Red</t>
        </is>
      </c>
      <c r="B174" s="11" t="inlineStr">
        <is>
          <t>RM</t>
        </is>
      </c>
      <c r="C174" s="11" t="inlineStr">
        <is>
          <t>Colorant</t>
        </is>
      </c>
      <c r="D174" s="11" t="inlineStr">
        <is>
          <t>Microbial enumeration - TAMC + TYMC (&lt;61&gt; / &lt;2021&gt;)</t>
        </is>
      </c>
      <c r="E174" s="5" t="inlineStr">
        <is>
          <t>N</t>
        </is>
      </c>
      <c r="F174" s="5" t="n"/>
      <c r="G174" s="11">
        <f>IFERROR(IF(INDEX('Test catalog'!$F$2:$F$200,MATCH($Y174,'Test catalog'!$A$2:$A$200,0))="","",INDEX('Test catalog'!$F$2:$F$200,MATCH($Y174,'Test catalog'!$A$2:$A$200,0))),"")</f>
        <v/>
      </c>
      <c r="H174" s="11">
        <f>IFERROR(IF(INDEX('Test catalog'!$G$2:$G$200,MATCH($Y174,'Test catalog'!$A$2:$A$200,0))="","",INDEX('Test catalog'!$G$2:$G$200,MATCH($Y174,'Test catalog'!$A$2:$A$200,0))),"")</f>
        <v/>
      </c>
      <c r="I174" s="11">
        <f>IFERROR(IF(INDEX('Test catalog'!$H$2:$H$200,MATCH($Y174,'Test catalog'!$A$2:$A$200,0))="","",INDEX('Test catalog'!$H$2:$H$200,MATCH($Y174,'Test catalog'!$A$2:$A$200,0))),"")</f>
        <v/>
      </c>
      <c r="J174" s="11">
        <f>IFERROR(IF(INDEX('Test catalog'!$I$2:$I$200,MATCH($Y174,'Test catalog'!$A$2:$A$200,0))="","",INDEX('Test catalog'!$I$2:$I$200,MATCH($Y174,'Test catalog'!$A$2:$A$200,0))),"")</f>
        <v/>
      </c>
      <c r="K174" s="13">
        <f>IF(I174="","",IF(OR(H174="",J174=""),I174,(H174+4*I174+J174)/6))</f>
        <v/>
      </c>
      <c r="L174" s="11">
        <f>IFERROR(IF(INDEX('Test catalog'!$J$2:$J$200,MATCH($Y174,'Test catalog'!$A$2:$A$200,0))="","",INDEX('Test catalog'!$J$2:$J$200,MATCH($Y174,'Test catalog'!$A$2:$A$200,0))),"")</f>
        <v/>
      </c>
      <c r="M174" s="11">
        <f>IFERROR(IF(INDEX('Test catalog'!$K$2:$K$200,MATCH($Y174,'Test catalog'!$A$2:$A$200,0))="","",INDEX('Test catalog'!$K$2:$K$200,MATCH($Y174,'Test catalog'!$A$2:$A$200,0))),"")</f>
        <v/>
      </c>
      <c r="N174" s="11">
        <f>IFERROR(IF(INDEX('Test catalog'!$L$2:$L$200,MATCH($Y174,'Test catalog'!$A$2:$A$200,0))="","",INDEX('Test catalog'!$L$2:$L$200,MATCH($Y174,'Test catalog'!$A$2:$A$200,0))),"")</f>
        <v/>
      </c>
      <c r="O174" s="11">
        <f>IFERROR(IF(INDEX('Test catalog'!$M$2:$M$200,MATCH($Y174,'Test catalog'!$A$2:$A$200,0))="","",INDEX('Test catalog'!$M$2:$M$200,MATCH($Y174,'Test catalog'!$A$2:$A$200,0))),"")</f>
        <v/>
      </c>
      <c r="P174" s="11">
        <f>IFERROR(IF(INDEX('Test catalog'!$N$2:$N$200,MATCH($Y174,'Test catalog'!$A$2:$A$200,0))="","",INDEX('Test catalog'!$N$2:$N$200,MATCH($Y174,'Test catalog'!$A$2:$A$200,0))),"")</f>
        <v/>
      </c>
      <c r="Q174" s="11">
        <f>IFERROR(IF(INDEX('Test catalog'!$O$2:$O$200,MATCH($Y174,'Test catalog'!$A$2:$A$200,0))="","",INDEX('Test catalog'!$O$2:$O$200,MATCH($Y174,'Test catalog'!$A$2:$A$200,0))),"")</f>
        <v/>
      </c>
      <c r="R174" s="11">
        <f>IFERROR(IF(INDEX('Test catalog'!$P$2:$P$200,MATCH($Y174,'Test catalog'!$A$2:$A$200,0))="","",INDEX('Test catalog'!$P$2:$P$200,MATCH($Y174,'Test catalog'!$A$2:$A$200,0))),"")</f>
        <v/>
      </c>
      <c r="S174" s="14" t="n"/>
      <c r="T174" s="5" t="n"/>
      <c r="U174" s="11">
        <f>IFERROR(IF(INDEX('Test catalog'!$Q$2:$Q$200,MATCH($Y174,'Test catalog'!$A$2:$A$200,0))="","",INDEX('Test catalog'!$Q$2:$Q$200,MATCH($Y174,'Test catalog'!$A$2:$A$200,0))),"")</f>
        <v/>
      </c>
      <c r="V174" s="5" t="n"/>
      <c r="W174" s="5" t="n"/>
      <c r="X174" s="5" t="n"/>
      <c r="Y174" s="5" t="inlineStr">
        <is>
          <t>ENUM</t>
        </is>
      </c>
      <c r="Z174" s="11" t="inlineStr">
        <is>
          <t>No micro test in USP-NF - set Y if your specification has one</t>
        </is>
      </c>
    </row>
    <row r="175">
      <c r="A175" s="11" t="inlineStr">
        <is>
          <t>Ferric Oxide Yellow</t>
        </is>
      </c>
      <c r="B175" s="11" t="inlineStr">
        <is>
          <t>RM</t>
        </is>
      </c>
      <c r="C175" s="11" t="inlineStr">
        <is>
          <t>Colorant</t>
        </is>
      </c>
      <c r="D175" s="11" t="inlineStr">
        <is>
          <t>Microbial enumeration - TAMC + TYMC (&lt;61&gt; / &lt;2021&gt;)</t>
        </is>
      </c>
      <c r="E175" s="5" t="inlineStr">
        <is>
          <t>N</t>
        </is>
      </c>
      <c r="F175" s="5" t="n"/>
      <c r="G175" s="11">
        <f>IFERROR(IF(INDEX('Test catalog'!$F$2:$F$200,MATCH($Y175,'Test catalog'!$A$2:$A$200,0))="","",INDEX('Test catalog'!$F$2:$F$200,MATCH($Y175,'Test catalog'!$A$2:$A$200,0))),"")</f>
        <v/>
      </c>
      <c r="H175" s="11">
        <f>IFERROR(IF(INDEX('Test catalog'!$G$2:$G$200,MATCH($Y175,'Test catalog'!$A$2:$A$200,0))="","",INDEX('Test catalog'!$G$2:$G$200,MATCH($Y175,'Test catalog'!$A$2:$A$200,0))),"")</f>
        <v/>
      </c>
      <c r="I175" s="11">
        <f>IFERROR(IF(INDEX('Test catalog'!$H$2:$H$200,MATCH($Y175,'Test catalog'!$A$2:$A$200,0))="","",INDEX('Test catalog'!$H$2:$H$200,MATCH($Y175,'Test catalog'!$A$2:$A$200,0))),"")</f>
        <v/>
      </c>
      <c r="J175" s="11">
        <f>IFERROR(IF(INDEX('Test catalog'!$I$2:$I$200,MATCH($Y175,'Test catalog'!$A$2:$A$200,0))="","",INDEX('Test catalog'!$I$2:$I$200,MATCH($Y175,'Test catalog'!$A$2:$A$200,0))),"")</f>
        <v/>
      </c>
      <c r="K175" s="13">
        <f>IF(I175="","",IF(OR(H175="",J175=""),I175,(H175+4*I175+J175)/6))</f>
        <v/>
      </c>
      <c r="L175" s="11">
        <f>IFERROR(IF(INDEX('Test catalog'!$J$2:$J$200,MATCH($Y175,'Test catalog'!$A$2:$A$200,0))="","",INDEX('Test catalog'!$J$2:$J$200,MATCH($Y175,'Test catalog'!$A$2:$A$200,0))),"")</f>
        <v/>
      </c>
      <c r="M175" s="11">
        <f>IFERROR(IF(INDEX('Test catalog'!$K$2:$K$200,MATCH($Y175,'Test catalog'!$A$2:$A$200,0))="","",INDEX('Test catalog'!$K$2:$K$200,MATCH($Y175,'Test catalog'!$A$2:$A$200,0))),"")</f>
        <v/>
      </c>
      <c r="N175" s="11">
        <f>IFERROR(IF(INDEX('Test catalog'!$L$2:$L$200,MATCH($Y175,'Test catalog'!$A$2:$A$200,0))="","",INDEX('Test catalog'!$L$2:$L$200,MATCH($Y175,'Test catalog'!$A$2:$A$200,0))),"")</f>
        <v/>
      </c>
      <c r="O175" s="11">
        <f>IFERROR(IF(INDEX('Test catalog'!$M$2:$M$200,MATCH($Y175,'Test catalog'!$A$2:$A$200,0))="","",INDEX('Test catalog'!$M$2:$M$200,MATCH($Y175,'Test catalog'!$A$2:$A$200,0))),"")</f>
        <v/>
      </c>
      <c r="P175" s="11">
        <f>IFERROR(IF(INDEX('Test catalog'!$N$2:$N$200,MATCH($Y175,'Test catalog'!$A$2:$A$200,0))="","",INDEX('Test catalog'!$N$2:$N$200,MATCH($Y175,'Test catalog'!$A$2:$A$200,0))),"")</f>
        <v/>
      </c>
      <c r="Q175" s="11">
        <f>IFERROR(IF(INDEX('Test catalog'!$O$2:$O$200,MATCH($Y175,'Test catalog'!$A$2:$A$200,0))="","",INDEX('Test catalog'!$O$2:$O$200,MATCH($Y175,'Test catalog'!$A$2:$A$200,0))),"")</f>
        <v/>
      </c>
      <c r="R175" s="11">
        <f>IFERROR(IF(INDEX('Test catalog'!$P$2:$P$200,MATCH($Y175,'Test catalog'!$A$2:$A$200,0))="","",INDEX('Test catalog'!$P$2:$P$200,MATCH($Y175,'Test catalog'!$A$2:$A$200,0))),"")</f>
        <v/>
      </c>
      <c r="S175" s="14" t="n"/>
      <c r="T175" s="5" t="n"/>
      <c r="U175" s="11">
        <f>IFERROR(IF(INDEX('Test catalog'!$Q$2:$Q$200,MATCH($Y175,'Test catalog'!$A$2:$A$200,0))="","",INDEX('Test catalog'!$Q$2:$Q$200,MATCH($Y175,'Test catalog'!$A$2:$A$200,0))),"")</f>
        <v/>
      </c>
      <c r="V175" s="5" t="n"/>
      <c r="W175" s="5" t="n"/>
      <c r="X175" s="5" t="n"/>
      <c r="Y175" s="5" t="inlineStr">
        <is>
          <t>ENUM</t>
        </is>
      </c>
      <c r="Z175" s="11" t="inlineStr">
        <is>
          <t>No micro test in USP-NF - set Y if your specification has one</t>
        </is>
      </c>
    </row>
    <row r="176">
      <c r="A176" s="11" t="inlineStr">
        <is>
          <t>Sunset Yellow</t>
        </is>
      </c>
      <c r="B176" s="11" t="inlineStr">
        <is>
          <t>RM</t>
        </is>
      </c>
      <c r="C176" s="11" t="inlineStr">
        <is>
          <t>Colorant</t>
        </is>
      </c>
      <c r="D176" s="11" t="inlineStr">
        <is>
          <t>Microbial enumeration - TAMC + TYMC (&lt;61&gt; / &lt;2021&gt;)</t>
        </is>
      </c>
      <c r="E176" s="5" t="inlineStr">
        <is>
          <t>N</t>
        </is>
      </c>
      <c r="F176" s="5" t="n"/>
      <c r="G176" s="11">
        <f>IFERROR(IF(INDEX('Test catalog'!$F$2:$F$200,MATCH($Y176,'Test catalog'!$A$2:$A$200,0))="","",INDEX('Test catalog'!$F$2:$F$200,MATCH($Y176,'Test catalog'!$A$2:$A$200,0))),"")</f>
        <v/>
      </c>
      <c r="H176" s="11">
        <f>IFERROR(IF(INDEX('Test catalog'!$G$2:$G$200,MATCH($Y176,'Test catalog'!$A$2:$A$200,0))="","",INDEX('Test catalog'!$G$2:$G$200,MATCH($Y176,'Test catalog'!$A$2:$A$200,0))),"")</f>
        <v/>
      </c>
      <c r="I176" s="11">
        <f>IFERROR(IF(INDEX('Test catalog'!$H$2:$H$200,MATCH($Y176,'Test catalog'!$A$2:$A$200,0))="","",INDEX('Test catalog'!$H$2:$H$200,MATCH($Y176,'Test catalog'!$A$2:$A$200,0))),"")</f>
        <v/>
      </c>
      <c r="J176" s="11">
        <f>IFERROR(IF(INDEX('Test catalog'!$I$2:$I$200,MATCH($Y176,'Test catalog'!$A$2:$A$200,0))="","",INDEX('Test catalog'!$I$2:$I$200,MATCH($Y176,'Test catalog'!$A$2:$A$200,0))),"")</f>
        <v/>
      </c>
      <c r="K176" s="13">
        <f>IF(I176="","",IF(OR(H176="",J176=""),I176,(H176+4*I176+J176)/6))</f>
        <v/>
      </c>
      <c r="L176" s="11">
        <f>IFERROR(IF(INDEX('Test catalog'!$J$2:$J$200,MATCH($Y176,'Test catalog'!$A$2:$A$200,0))="","",INDEX('Test catalog'!$J$2:$J$200,MATCH($Y176,'Test catalog'!$A$2:$A$200,0))),"")</f>
        <v/>
      </c>
      <c r="M176" s="11">
        <f>IFERROR(IF(INDEX('Test catalog'!$K$2:$K$200,MATCH($Y176,'Test catalog'!$A$2:$A$200,0))="","",INDEX('Test catalog'!$K$2:$K$200,MATCH($Y176,'Test catalog'!$A$2:$A$200,0))),"")</f>
        <v/>
      </c>
      <c r="N176" s="11">
        <f>IFERROR(IF(INDEX('Test catalog'!$L$2:$L$200,MATCH($Y176,'Test catalog'!$A$2:$A$200,0))="","",INDEX('Test catalog'!$L$2:$L$200,MATCH($Y176,'Test catalog'!$A$2:$A$200,0))),"")</f>
        <v/>
      </c>
      <c r="O176" s="11">
        <f>IFERROR(IF(INDEX('Test catalog'!$M$2:$M$200,MATCH($Y176,'Test catalog'!$A$2:$A$200,0))="","",INDEX('Test catalog'!$M$2:$M$200,MATCH($Y176,'Test catalog'!$A$2:$A$200,0))),"")</f>
        <v/>
      </c>
      <c r="P176" s="11">
        <f>IFERROR(IF(INDEX('Test catalog'!$N$2:$N$200,MATCH($Y176,'Test catalog'!$A$2:$A$200,0))="","",INDEX('Test catalog'!$N$2:$N$200,MATCH($Y176,'Test catalog'!$A$2:$A$200,0))),"")</f>
        <v/>
      </c>
      <c r="Q176" s="11">
        <f>IFERROR(IF(INDEX('Test catalog'!$O$2:$O$200,MATCH($Y176,'Test catalog'!$A$2:$A$200,0))="","",INDEX('Test catalog'!$O$2:$O$200,MATCH($Y176,'Test catalog'!$A$2:$A$200,0))),"")</f>
        <v/>
      </c>
      <c r="R176" s="11">
        <f>IFERROR(IF(INDEX('Test catalog'!$P$2:$P$200,MATCH($Y176,'Test catalog'!$A$2:$A$200,0))="","",INDEX('Test catalog'!$P$2:$P$200,MATCH($Y176,'Test catalog'!$A$2:$A$200,0))),"")</f>
        <v/>
      </c>
      <c r="S176" s="14" t="n"/>
      <c r="T176" s="5" t="n"/>
      <c r="U176" s="11">
        <f>IFERROR(IF(INDEX('Test catalog'!$Q$2:$Q$200,MATCH($Y176,'Test catalog'!$A$2:$A$200,0))="","",INDEX('Test catalog'!$Q$2:$Q$200,MATCH($Y176,'Test catalog'!$A$2:$A$200,0))),"")</f>
        <v/>
      </c>
      <c r="V176" s="5" t="n"/>
      <c r="W176" s="5" t="n"/>
      <c r="X176" s="5" t="n"/>
      <c r="Y176" s="5" t="inlineStr">
        <is>
          <t>ENUM</t>
        </is>
      </c>
      <c r="Z176" s="11" t="inlineStr">
        <is>
          <t>No micro test in USP-NF - set Y if your specification has one</t>
        </is>
      </c>
    </row>
    <row r="177">
      <c r="A177" s="11" t="inlineStr">
        <is>
          <t>Croscarmellose Sodium</t>
        </is>
      </c>
      <c r="B177" s="11" t="inlineStr">
        <is>
          <t>RM</t>
        </is>
      </c>
      <c r="C177" s="11" t="inlineStr">
        <is>
          <t>Disintegrant</t>
        </is>
      </c>
      <c r="D177" s="11" t="inlineStr">
        <is>
          <t>Microbial enumeration - TAMC + TYMC (&lt;61&gt; / &lt;2021&gt;)</t>
        </is>
      </c>
      <c r="E177" s="5" t="inlineStr">
        <is>
          <t>Y</t>
        </is>
      </c>
      <c r="F177" s="5" t="n"/>
      <c r="G177" s="11">
        <f>IFERROR(IF(INDEX('Test catalog'!$F$2:$F$200,MATCH($Y177,'Test catalog'!$A$2:$A$200,0))="","",INDEX('Test catalog'!$F$2:$F$200,MATCH($Y177,'Test catalog'!$A$2:$A$200,0))),"")</f>
        <v/>
      </c>
      <c r="H177" s="11">
        <f>IFERROR(IF(INDEX('Test catalog'!$G$2:$G$200,MATCH($Y177,'Test catalog'!$A$2:$A$200,0))="","",INDEX('Test catalog'!$G$2:$G$200,MATCH($Y177,'Test catalog'!$A$2:$A$200,0))),"")</f>
        <v/>
      </c>
      <c r="I177" s="11">
        <f>IFERROR(IF(INDEX('Test catalog'!$H$2:$H$200,MATCH($Y177,'Test catalog'!$A$2:$A$200,0))="","",INDEX('Test catalog'!$H$2:$H$200,MATCH($Y177,'Test catalog'!$A$2:$A$200,0))),"")</f>
        <v/>
      </c>
      <c r="J177" s="11">
        <f>IFERROR(IF(INDEX('Test catalog'!$I$2:$I$200,MATCH($Y177,'Test catalog'!$A$2:$A$200,0))="","",INDEX('Test catalog'!$I$2:$I$200,MATCH($Y177,'Test catalog'!$A$2:$A$200,0))),"")</f>
        <v/>
      </c>
      <c r="K177" s="13">
        <f>IF(I177="","",IF(OR(H177="",J177=""),I177,(H177+4*I177+J177)/6))</f>
        <v/>
      </c>
      <c r="L177" s="11">
        <f>IFERROR(IF(INDEX('Test catalog'!$J$2:$J$200,MATCH($Y177,'Test catalog'!$A$2:$A$200,0))="","",INDEX('Test catalog'!$J$2:$J$200,MATCH($Y177,'Test catalog'!$A$2:$A$200,0))),"")</f>
        <v/>
      </c>
      <c r="M177" s="11">
        <f>IFERROR(IF(INDEX('Test catalog'!$K$2:$K$200,MATCH($Y177,'Test catalog'!$A$2:$A$200,0))="","",INDEX('Test catalog'!$K$2:$K$200,MATCH($Y177,'Test catalog'!$A$2:$A$200,0))),"")</f>
        <v/>
      </c>
      <c r="N177" s="11">
        <f>IFERROR(IF(INDEX('Test catalog'!$L$2:$L$200,MATCH($Y177,'Test catalog'!$A$2:$A$200,0))="","",INDEX('Test catalog'!$L$2:$L$200,MATCH($Y177,'Test catalog'!$A$2:$A$200,0))),"")</f>
        <v/>
      </c>
      <c r="O177" s="11">
        <f>IFERROR(IF(INDEX('Test catalog'!$M$2:$M$200,MATCH($Y177,'Test catalog'!$A$2:$A$200,0))="","",INDEX('Test catalog'!$M$2:$M$200,MATCH($Y177,'Test catalog'!$A$2:$A$200,0))),"")</f>
        <v/>
      </c>
      <c r="P177" s="11">
        <f>IFERROR(IF(INDEX('Test catalog'!$N$2:$N$200,MATCH($Y177,'Test catalog'!$A$2:$A$200,0))="","",INDEX('Test catalog'!$N$2:$N$200,MATCH($Y177,'Test catalog'!$A$2:$A$200,0))),"")</f>
        <v/>
      </c>
      <c r="Q177" s="11">
        <f>IFERROR(IF(INDEX('Test catalog'!$O$2:$O$200,MATCH($Y177,'Test catalog'!$A$2:$A$200,0))="","",INDEX('Test catalog'!$O$2:$O$200,MATCH($Y177,'Test catalog'!$A$2:$A$200,0))),"")</f>
        <v/>
      </c>
      <c r="R177" s="11">
        <f>IFERROR(IF(INDEX('Test catalog'!$P$2:$P$200,MATCH($Y177,'Test catalog'!$A$2:$A$200,0))="","",INDEX('Test catalog'!$P$2:$P$200,MATCH($Y177,'Test catalog'!$A$2:$A$200,0))),"")</f>
        <v/>
      </c>
      <c r="S177" s="14" t="n"/>
      <c r="T177" s="5" t="n"/>
      <c r="U177" s="11">
        <f>IFERROR(IF(INDEX('Test catalog'!$Q$2:$Q$200,MATCH($Y177,'Test catalog'!$A$2:$A$200,0))="","",INDEX('Test catalog'!$Q$2:$Q$200,MATCH($Y177,'Test catalog'!$A$2:$A$200,0))),"")</f>
        <v/>
      </c>
      <c r="V177" s="5" t="n"/>
      <c r="W177" s="5" t="n"/>
      <c r="X177" s="5" t="n"/>
      <c r="Y177" s="5" t="inlineStr">
        <is>
          <t>ENUM</t>
        </is>
      </c>
      <c r="Z177" s="11" t="inlineStr">
        <is>
          <t>USP-NF monograph &lt;61&gt;, &lt;62&gt;</t>
        </is>
      </c>
    </row>
    <row r="178">
      <c r="A178" s="11" t="inlineStr">
        <is>
          <t>Croscarmellose Sodium</t>
        </is>
      </c>
      <c r="B178" s="11" t="inlineStr">
        <is>
          <t>RM</t>
        </is>
      </c>
      <c r="C178" s="11" t="inlineStr">
        <is>
          <t>Disintegrant</t>
        </is>
      </c>
      <c r="D178" s="11" t="inlineStr">
        <is>
          <t>Absence of Escherichia coli (&lt;62&gt; / &lt;2022&gt;)</t>
        </is>
      </c>
      <c r="E178" s="5" t="inlineStr">
        <is>
          <t>Y</t>
        </is>
      </c>
      <c r="F178" s="5" t="n"/>
      <c r="G178" s="11">
        <f>IFERROR(IF(INDEX('Test catalog'!$F$2:$F$200,MATCH($Y178,'Test catalog'!$A$2:$A$200,0))="","",INDEX('Test catalog'!$F$2:$F$200,MATCH($Y178,'Test catalog'!$A$2:$A$200,0))),"")</f>
        <v/>
      </c>
      <c r="H178" s="11">
        <f>IFERROR(IF(INDEX('Test catalog'!$G$2:$G$200,MATCH($Y178,'Test catalog'!$A$2:$A$200,0))="","",INDEX('Test catalog'!$G$2:$G$200,MATCH($Y178,'Test catalog'!$A$2:$A$200,0))),"")</f>
        <v/>
      </c>
      <c r="I178" s="11">
        <f>IFERROR(IF(INDEX('Test catalog'!$H$2:$H$200,MATCH($Y178,'Test catalog'!$A$2:$A$200,0))="","",INDEX('Test catalog'!$H$2:$H$200,MATCH($Y178,'Test catalog'!$A$2:$A$200,0))),"")</f>
        <v/>
      </c>
      <c r="J178" s="11">
        <f>IFERROR(IF(INDEX('Test catalog'!$I$2:$I$200,MATCH($Y178,'Test catalog'!$A$2:$A$200,0))="","",INDEX('Test catalog'!$I$2:$I$200,MATCH($Y178,'Test catalog'!$A$2:$A$200,0))),"")</f>
        <v/>
      </c>
      <c r="K178" s="13">
        <f>IF(I178="","",IF(OR(H178="",J178=""),I178,(H178+4*I178+J178)/6))</f>
        <v/>
      </c>
      <c r="L178" s="11">
        <f>IFERROR(IF(INDEX('Test catalog'!$J$2:$J$200,MATCH($Y178,'Test catalog'!$A$2:$A$200,0))="","",INDEX('Test catalog'!$J$2:$J$200,MATCH($Y178,'Test catalog'!$A$2:$A$200,0))),"")</f>
        <v/>
      </c>
      <c r="M178" s="11">
        <f>IFERROR(IF(INDEX('Test catalog'!$K$2:$K$200,MATCH($Y178,'Test catalog'!$A$2:$A$200,0))="","",INDEX('Test catalog'!$K$2:$K$200,MATCH($Y178,'Test catalog'!$A$2:$A$200,0))),"")</f>
        <v/>
      </c>
      <c r="N178" s="11">
        <f>IFERROR(IF(INDEX('Test catalog'!$L$2:$L$200,MATCH($Y178,'Test catalog'!$A$2:$A$200,0))="","",INDEX('Test catalog'!$L$2:$L$200,MATCH($Y178,'Test catalog'!$A$2:$A$200,0))),"")</f>
        <v/>
      </c>
      <c r="O178" s="11">
        <f>IFERROR(IF(INDEX('Test catalog'!$M$2:$M$200,MATCH($Y178,'Test catalog'!$A$2:$A$200,0))="","",INDEX('Test catalog'!$M$2:$M$200,MATCH($Y178,'Test catalog'!$A$2:$A$200,0))),"")</f>
        <v/>
      </c>
      <c r="P178" s="11">
        <f>IFERROR(IF(INDEX('Test catalog'!$N$2:$N$200,MATCH($Y178,'Test catalog'!$A$2:$A$200,0))="","",INDEX('Test catalog'!$N$2:$N$200,MATCH($Y178,'Test catalog'!$A$2:$A$200,0))),"")</f>
        <v/>
      </c>
      <c r="Q178" s="11">
        <f>IFERROR(IF(INDEX('Test catalog'!$O$2:$O$200,MATCH($Y178,'Test catalog'!$A$2:$A$200,0))="","",INDEX('Test catalog'!$O$2:$O$200,MATCH($Y178,'Test catalog'!$A$2:$A$200,0))),"")</f>
        <v/>
      </c>
      <c r="R178" s="11">
        <f>IFERROR(IF(INDEX('Test catalog'!$P$2:$P$200,MATCH($Y178,'Test catalog'!$A$2:$A$200,0))="","",INDEX('Test catalog'!$P$2:$P$200,MATCH($Y178,'Test catalog'!$A$2:$A$200,0))),"")</f>
        <v/>
      </c>
      <c r="S178" s="14" t="n"/>
      <c r="T178" s="5" t="n"/>
      <c r="U178" s="11">
        <f>IFERROR(IF(INDEX('Test catalog'!$Q$2:$Q$200,MATCH($Y178,'Test catalog'!$A$2:$A$200,0))="","",INDEX('Test catalog'!$Q$2:$Q$200,MATCH($Y178,'Test catalog'!$A$2:$A$200,0))),"")</f>
        <v/>
      </c>
      <c r="V178" s="5" t="n"/>
      <c r="W178" s="5" t="n"/>
      <c r="X178" s="5" t="n"/>
      <c r="Y178" s="5" t="inlineStr">
        <is>
          <t>ECOLI</t>
        </is>
      </c>
      <c r="Z178" s="11" t="inlineStr">
        <is>
          <t>USP-NF monograph &lt;61&gt;, &lt;62&gt;</t>
        </is>
      </c>
    </row>
    <row r="179">
      <c r="A179" s="11" t="inlineStr">
        <is>
          <t>Crospovidone</t>
        </is>
      </c>
      <c r="B179" s="11" t="inlineStr">
        <is>
          <t>RM</t>
        </is>
      </c>
      <c r="C179" s="11" t="inlineStr">
        <is>
          <t>Disintegrant</t>
        </is>
      </c>
      <c r="D179" s="11" t="inlineStr">
        <is>
          <t>Microbial enumeration - TAMC + TYMC (&lt;61&gt; / &lt;2021&gt;)</t>
        </is>
      </c>
      <c r="E179" s="5" t="inlineStr">
        <is>
          <t>N</t>
        </is>
      </c>
      <c r="F179" s="5" t="n"/>
      <c r="G179" s="11">
        <f>IFERROR(IF(INDEX('Test catalog'!$F$2:$F$200,MATCH($Y179,'Test catalog'!$A$2:$A$200,0))="","",INDEX('Test catalog'!$F$2:$F$200,MATCH($Y179,'Test catalog'!$A$2:$A$200,0))),"")</f>
        <v/>
      </c>
      <c r="H179" s="11">
        <f>IFERROR(IF(INDEX('Test catalog'!$G$2:$G$200,MATCH($Y179,'Test catalog'!$A$2:$A$200,0))="","",INDEX('Test catalog'!$G$2:$G$200,MATCH($Y179,'Test catalog'!$A$2:$A$200,0))),"")</f>
        <v/>
      </c>
      <c r="I179" s="11">
        <f>IFERROR(IF(INDEX('Test catalog'!$H$2:$H$200,MATCH($Y179,'Test catalog'!$A$2:$A$200,0))="","",INDEX('Test catalog'!$H$2:$H$200,MATCH($Y179,'Test catalog'!$A$2:$A$200,0))),"")</f>
        <v/>
      </c>
      <c r="J179" s="11">
        <f>IFERROR(IF(INDEX('Test catalog'!$I$2:$I$200,MATCH($Y179,'Test catalog'!$A$2:$A$200,0))="","",INDEX('Test catalog'!$I$2:$I$200,MATCH($Y179,'Test catalog'!$A$2:$A$200,0))),"")</f>
        <v/>
      </c>
      <c r="K179" s="13">
        <f>IF(I179="","",IF(OR(H179="",J179=""),I179,(H179+4*I179+J179)/6))</f>
        <v/>
      </c>
      <c r="L179" s="11">
        <f>IFERROR(IF(INDEX('Test catalog'!$J$2:$J$200,MATCH($Y179,'Test catalog'!$A$2:$A$200,0))="","",INDEX('Test catalog'!$J$2:$J$200,MATCH($Y179,'Test catalog'!$A$2:$A$200,0))),"")</f>
        <v/>
      </c>
      <c r="M179" s="11">
        <f>IFERROR(IF(INDEX('Test catalog'!$K$2:$K$200,MATCH($Y179,'Test catalog'!$A$2:$A$200,0))="","",INDEX('Test catalog'!$K$2:$K$200,MATCH($Y179,'Test catalog'!$A$2:$A$200,0))),"")</f>
        <v/>
      </c>
      <c r="N179" s="11">
        <f>IFERROR(IF(INDEX('Test catalog'!$L$2:$L$200,MATCH($Y179,'Test catalog'!$A$2:$A$200,0))="","",INDEX('Test catalog'!$L$2:$L$200,MATCH($Y179,'Test catalog'!$A$2:$A$200,0))),"")</f>
        <v/>
      </c>
      <c r="O179" s="11">
        <f>IFERROR(IF(INDEX('Test catalog'!$M$2:$M$200,MATCH($Y179,'Test catalog'!$A$2:$A$200,0))="","",INDEX('Test catalog'!$M$2:$M$200,MATCH($Y179,'Test catalog'!$A$2:$A$200,0))),"")</f>
        <v/>
      </c>
      <c r="P179" s="11">
        <f>IFERROR(IF(INDEX('Test catalog'!$N$2:$N$200,MATCH($Y179,'Test catalog'!$A$2:$A$200,0))="","",INDEX('Test catalog'!$N$2:$N$200,MATCH($Y179,'Test catalog'!$A$2:$A$200,0))),"")</f>
        <v/>
      </c>
      <c r="Q179" s="11">
        <f>IFERROR(IF(INDEX('Test catalog'!$O$2:$O$200,MATCH($Y179,'Test catalog'!$A$2:$A$200,0))="","",INDEX('Test catalog'!$O$2:$O$200,MATCH($Y179,'Test catalog'!$A$2:$A$200,0))),"")</f>
        <v/>
      </c>
      <c r="R179" s="11">
        <f>IFERROR(IF(INDEX('Test catalog'!$P$2:$P$200,MATCH($Y179,'Test catalog'!$A$2:$A$200,0))="","",INDEX('Test catalog'!$P$2:$P$200,MATCH($Y179,'Test catalog'!$A$2:$A$200,0))),"")</f>
        <v/>
      </c>
      <c r="S179" s="14" t="n"/>
      <c r="T179" s="5" t="n"/>
      <c r="U179" s="11">
        <f>IFERROR(IF(INDEX('Test catalog'!$Q$2:$Q$200,MATCH($Y179,'Test catalog'!$A$2:$A$200,0))="","",INDEX('Test catalog'!$Q$2:$Q$200,MATCH($Y179,'Test catalog'!$A$2:$A$200,0))),"")</f>
        <v/>
      </c>
      <c r="V179" s="5" t="n"/>
      <c r="W179" s="5" t="n"/>
      <c r="X179" s="5" t="n"/>
      <c r="Y179" s="5" t="inlineStr">
        <is>
          <t>ENUM</t>
        </is>
      </c>
      <c r="Z179" s="11" t="inlineStr">
        <is>
          <t>No micro test in USP-NF - set Y if your specification has one</t>
        </is>
      </c>
    </row>
    <row r="180">
      <c r="A180" s="11" t="inlineStr">
        <is>
          <t>Sodium Starch Glycolate</t>
        </is>
      </c>
      <c r="B180" s="11" t="inlineStr">
        <is>
          <t>RM</t>
        </is>
      </c>
      <c r="C180" s="11" t="inlineStr">
        <is>
          <t>Disintegrant</t>
        </is>
      </c>
      <c r="D180" s="11" t="inlineStr">
        <is>
          <t>Microbial enumeration - TAMC + TYMC (&lt;61&gt; / &lt;2021&gt;)</t>
        </is>
      </c>
      <c r="E180" s="5" t="inlineStr">
        <is>
          <t>Y</t>
        </is>
      </c>
      <c r="F180" s="5" t="n"/>
      <c r="G180" s="11">
        <f>IFERROR(IF(INDEX('Test catalog'!$F$2:$F$200,MATCH($Y180,'Test catalog'!$A$2:$A$200,0))="","",INDEX('Test catalog'!$F$2:$F$200,MATCH($Y180,'Test catalog'!$A$2:$A$200,0))),"")</f>
        <v/>
      </c>
      <c r="H180" s="11">
        <f>IFERROR(IF(INDEX('Test catalog'!$G$2:$G$200,MATCH($Y180,'Test catalog'!$A$2:$A$200,0))="","",INDEX('Test catalog'!$G$2:$G$200,MATCH($Y180,'Test catalog'!$A$2:$A$200,0))),"")</f>
        <v/>
      </c>
      <c r="I180" s="11">
        <f>IFERROR(IF(INDEX('Test catalog'!$H$2:$H$200,MATCH($Y180,'Test catalog'!$A$2:$A$200,0))="","",INDEX('Test catalog'!$H$2:$H$200,MATCH($Y180,'Test catalog'!$A$2:$A$200,0))),"")</f>
        <v/>
      </c>
      <c r="J180" s="11">
        <f>IFERROR(IF(INDEX('Test catalog'!$I$2:$I$200,MATCH($Y180,'Test catalog'!$A$2:$A$200,0))="","",INDEX('Test catalog'!$I$2:$I$200,MATCH($Y180,'Test catalog'!$A$2:$A$200,0))),"")</f>
        <v/>
      </c>
      <c r="K180" s="13">
        <f>IF(I180="","",IF(OR(H180="",J180=""),I180,(H180+4*I180+J180)/6))</f>
        <v/>
      </c>
      <c r="L180" s="11">
        <f>IFERROR(IF(INDEX('Test catalog'!$J$2:$J$200,MATCH($Y180,'Test catalog'!$A$2:$A$200,0))="","",INDEX('Test catalog'!$J$2:$J$200,MATCH($Y180,'Test catalog'!$A$2:$A$200,0))),"")</f>
        <v/>
      </c>
      <c r="M180" s="11">
        <f>IFERROR(IF(INDEX('Test catalog'!$K$2:$K$200,MATCH($Y180,'Test catalog'!$A$2:$A$200,0))="","",INDEX('Test catalog'!$K$2:$K$200,MATCH($Y180,'Test catalog'!$A$2:$A$200,0))),"")</f>
        <v/>
      </c>
      <c r="N180" s="11">
        <f>IFERROR(IF(INDEX('Test catalog'!$L$2:$L$200,MATCH($Y180,'Test catalog'!$A$2:$A$200,0))="","",INDEX('Test catalog'!$L$2:$L$200,MATCH($Y180,'Test catalog'!$A$2:$A$200,0))),"")</f>
        <v/>
      </c>
      <c r="O180" s="11">
        <f>IFERROR(IF(INDEX('Test catalog'!$M$2:$M$200,MATCH($Y180,'Test catalog'!$A$2:$A$200,0))="","",INDEX('Test catalog'!$M$2:$M$200,MATCH($Y180,'Test catalog'!$A$2:$A$200,0))),"")</f>
        <v/>
      </c>
      <c r="P180" s="11">
        <f>IFERROR(IF(INDEX('Test catalog'!$N$2:$N$200,MATCH($Y180,'Test catalog'!$A$2:$A$200,0))="","",INDEX('Test catalog'!$N$2:$N$200,MATCH($Y180,'Test catalog'!$A$2:$A$200,0))),"")</f>
        <v/>
      </c>
      <c r="Q180" s="11">
        <f>IFERROR(IF(INDEX('Test catalog'!$O$2:$O$200,MATCH($Y180,'Test catalog'!$A$2:$A$200,0))="","",INDEX('Test catalog'!$O$2:$O$200,MATCH($Y180,'Test catalog'!$A$2:$A$200,0))),"")</f>
        <v/>
      </c>
      <c r="R180" s="11">
        <f>IFERROR(IF(INDEX('Test catalog'!$P$2:$P$200,MATCH($Y180,'Test catalog'!$A$2:$A$200,0))="","",INDEX('Test catalog'!$P$2:$P$200,MATCH($Y180,'Test catalog'!$A$2:$A$200,0))),"")</f>
        <v/>
      </c>
      <c r="S180" s="14" t="n"/>
      <c r="T180" s="5" t="n"/>
      <c r="U180" s="11">
        <f>IFERROR(IF(INDEX('Test catalog'!$Q$2:$Q$200,MATCH($Y180,'Test catalog'!$A$2:$A$200,0))="","",INDEX('Test catalog'!$Q$2:$Q$200,MATCH($Y180,'Test catalog'!$A$2:$A$200,0))),"")</f>
        <v/>
      </c>
      <c r="V180" s="5" t="n"/>
      <c r="W180" s="5" t="n"/>
      <c r="X180" s="5" t="n"/>
      <c r="Y180" s="5" t="inlineStr">
        <is>
          <t>ENUM</t>
        </is>
      </c>
      <c r="Z180" s="11" t="inlineStr">
        <is>
          <t>USP-NF monograph &lt;61&gt;, &lt;62&gt;</t>
        </is>
      </c>
    </row>
    <row r="181">
      <c r="A181" s="11" t="inlineStr">
        <is>
          <t>Sodium Starch Glycolate</t>
        </is>
      </c>
      <c r="B181" s="11" t="inlineStr">
        <is>
          <t>RM</t>
        </is>
      </c>
      <c r="C181" s="11" t="inlineStr">
        <is>
          <t>Disintegrant</t>
        </is>
      </c>
      <c r="D181" s="11" t="inlineStr">
        <is>
          <t>Absence of Escherichia coli (&lt;62&gt; / &lt;2022&gt;)</t>
        </is>
      </c>
      <c r="E181" s="5" t="inlineStr">
        <is>
          <t>Y</t>
        </is>
      </c>
      <c r="F181" s="5" t="n"/>
      <c r="G181" s="11">
        <f>IFERROR(IF(INDEX('Test catalog'!$F$2:$F$200,MATCH($Y181,'Test catalog'!$A$2:$A$200,0))="","",INDEX('Test catalog'!$F$2:$F$200,MATCH($Y181,'Test catalog'!$A$2:$A$200,0))),"")</f>
        <v/>
      </c>
      <c r="H181" s="11">
        <f>IFERROR(IF(INDEX('Test catalog'!$G$2:$G$200,MATCH($Y181,'Test catalog'!$A$2:$A$200,0))="","",INDEX('Test catalog'!$G$2:$G$200,MATCH($Y181,'Test catalog'!$A$2:$A$200,0))),"")</f>
        <v/>
      </c>
      <c r="I181" s="11">
        <f>IFERROR(IF(INDEX('Test catalog'!$H$2:$H$200,MATCH($Y181,'Test catalog'!$A$2:$A$200,0))="","",INDEX('Test catalog'!$H$2:$H$200,MATCH($Y181,'Test catalog'!$A$2:$A$200,0))),"")</f>
        <v/>
      </c>
      <c r="J181" s="11">
        <f>IFERROR(IF(INDEX('Test catalog'!$I$2:$I$200,MATCH($Y181,'Test catalog'!$A$2:$A$200,0))="","",INDEX('Test catalog'!$I$2:$I$200,MATCH($Y181,'Test catalog'!$A$2:$A$200,0))),"")</f>
        <v/>
      </c>
      <c r="K181" s="13">
        <f>IF(I181="","",IF(OR(H181="",J181=""),I181,(H181+4*I181+J181)/6))</f>
        <v/>
      </c>
      <c r="L181" s="11">
        <f>IFERROR(IF(INDEX('Test catalog'!$J$2:$J$200,MATCH($Y181,'Test catalog'!$A$2:$A$200,0))="","",INDEX('Test catalog'!$J$2:$J$200,MATCH($Y181,'Test catalog'!$A$2:$A$200,0))),"")</f>
        <v/>
      </c>
      <c r="M181" s="11">
        <f>IFERROR(IF(INDEX('Test catalog'!$K$2:$K$200,MATCH($Y181,'Test catalog'!$A$2:$A$200,0))="","",INDEX('Test catalog'!$K$2:$K$200,MATCH($Y181,'Test catalog'!$A$2:$A$200,0))),"")</f>
        <v/>
      </c>
      <c r="N181" s="11">
        <f>IFERROR(IF(INDEX('Test catalog'!$L$2:$L$200,MATCH($Y181,'Test catalog'!$A$2:$A$200,0))="","",INDEX('Test catalog'!$L$2:$L$200,MATCH($Y181,'Test catalog'!$A$2:$A$200,0))),"")</f>
        <v/>
      </c>
      <c r="O181" s="11">
        <f>IFERROR(IF(INDEX('Test catalog'!$M$2:$M$200,MATCH($Y181,'Test catalog'!$A$2:$A$200,0))="","",INDEX('Test catalog'!$M$2:$M$200,MATCH($Y181,'Test catalog'!$A$2:$A$200,0))),"")</f>
        <v/>
      </c>
      <c r="P181" s="11">
        <f>IFERROR(IF(INDEX('Test catalog'!$N$2:$N$200,MATCH($Y181,'Test catalog'!$A$2:$A$200,0))="","",INDEX('Test catalog'!$N$2:$N$200,MATCH($Y181,'Test catalog'!$A$2:$A$200,0))),"")</f>
        <v/>
      </c>
      <c r="Q181" s="11">
        <f>IFERROR(IF(INDEX('Test catalog'!$O$2:$O$200,MATCH($Y181,'Test catalog'!$A$2:$A$200,0))="","",INDEX('Test catalog'!$O$2:$O$200,MATCH($Y181,'Test catalog'!$A$2:$A$200,0))),"")</f>
        <v/>
      </c>
      <c r="R181" s="11">
        <f>IFERROR(IF(INDEX('Test catalog'!$P$2:$P$200,MATCH($Y181,'Test catalog'!$A$2:$A$200,0))="","",INDEX('Test catalog'!$P$2:$P$200,MATCH($Y181,'Test catalog'!$A$2:$A$200,0))),"")</f>
        <v/>
      </c>
      <c r="S181" s="14" t="n"/>
      <c r="T181" s="5" t="n"/>
      <c r="U181" s="11">
        <f>IFERROR(IF(INDEX('Test catalog'!$Q$2:$Q$200,MATCH($Y181,'Test catalog'!$A$2:$A$200,0))="","",INDEX('Test catalog'!$Q$2:$Q$200,MATCH($Y181,'Test catalog'!$A$2:$A$200,0))),"")</f>
        <v/>
      </c>
      <c r="V181" s="5" t="n"/>
      <c r="W181" s="5" t="n"/>
      <c r="X181" s="5" t="n"/>
      <c r="Y181" s="5" t="inlineStr">
        <is>
          <t>ECOLI</t>
        </is>
      </c>
      <c r="Z181" s="11" t="inlineStr">
        <is>
          <t>USP-NF monograph &lt;61&gt;, &lt;62&gt;</t>
        </is>
      </c>
    </row>
    <row r="182">
      <c r="A182" s="11" t="inlineStr">
        <is>
          <t>Sodium Starch Glycolate</t>
        </is>
      </c>
      <c r="B182" s="11" t="inlineStr">
        <is>
          <t>RM</t>
        </is>
      </c>
      <c r="C182" s="11" t="inlineStr">
        <is>
          <t>Disintegrant</t>
        </is>
      </c>
      <c r="D182" s="11" t="inlineStr">
        <is>
          <t>Absence of Salmonella (&lt;62&gt; / &lt;2022&gt;)</t>
        </is>
      </c>
      <c r="E182" s="5" t="inlineStr">
        <is>
          <t>Y</t>
        </is>
      </c>
      <c r="F182" s="5" t="n"/>
      <c r="G182" s="11">
        <f>IFERROR(IF(INDEX('Test catalog'!$F$2:$F$200,MATCH($Y182,'Test catalog'!$A$2:$A$200,0))="","",INDEX('Test catalog'!$F$2:$F$200,MATCH($Y182,'Test catalog'!$A$2:$A$200,0))),"")</f>
        <v/>
      </c>
      <c r="H182" s="11">
        <f>IFERROR(IF(INDEX('Test catalog'!$G$2:$G$200,MATCH($Y182,'Test catalog'!$A$2:$A$200,0))="","",INDEX('Test catalog'!$G$2:$G$200,MATCH($Y182,'Test catalog'!$A$2:$A$200,0))),"")</f>
        <v/>
      </c>
      <c r="I182" s="11">
        <f>IFERROR(IF(INDEX('Test catalog'!$H$2:$H$200,MATCH($Y182,'Test catalog'!$A$2:$A$200,0))="","",INDEX('Test catalog'!$H$2:$H$200,MATCH($Y182,'Test catalog'!$A$2:$A$200,0))),"")</f>
        <v/>
      </c>
      <c r="J182" s="11">
        <f>IFERROR(IF(INDEX('Test catalog'!$I$2:$I$200,MATCH($Y182,'Test catalog'!$A$2:$A$200,0))="","",INDEX('Test catalog'!$I$2:$I$200,MATCH($Y182,'Test catalog'!$A$2:$A$200,0))),"")</f>
        <v/>
      </c>
      <c r="K182" s="13">
        <f>IF(I182="","",IF(OR(H182="",J182=""),I182,(H182+4*I182+J182)/6))</f>
        <v/>
      </c>
      <c r="L182" s="11">
        <f>IFERROR(IF(INDEX('Test catalog'!$J$2:$J$200,MATCH($Y182,'Test catalog'!$A$2:$A$200,0))="","",INDEX('Test catalog'!$J$2:$J$200,MATCH($Y182,'Test catalog'!$A$2:$A$200,0))),"")</f>
        <v/>
      </c>
      <c r="M182" s="11">
        <f>IFERROR(IF(INDEX('Test catalog'!$K$2:$K$200,MATCH($Y182,'Test catalog'!$A$2:$A$200,0))="","",INDEX('Test catalog'!$K$2:$K$200,MATCH($Y182,'Test catalog'!$A$2:$A$200,0))),"")</f>
        <v/>
      </c>
      <c r="N182" s="11">
        <f>IFERROR(IF(INDEX('Test catalog'!$L$2:$L$200,MATCH($Y182,'Test catalog'!$A$2:$A$200,0))="","",INDEX('Test catalog'!$L$2:$L$200,MATCH($Y182,'Test catalog'!$A$2:$A$200,0))),"")</f>
        <v/>
      </c>
      <c r="O182" s="11">
        <f>IFERROR(IF(INDEX('Test catalog'!$M$2:$M$200,MATCH($Y182,'Test catalog'!$A$2:$A$200,0))="","",INDEX('Test catalog'!$M$2:$M$200,MATCH($Y182,'Test catalog'!$A$2:$A$200,0))),"")</f>
        <v/>
      </c>
      <c r="P182" s="11">
        <f>IFERROR(IF(INDEX('Test catalog'!$N$2:$N$200,MATCH($Y182,'Test catalog'!$A$2:$A$200,0))="","",INDEX('Test catalog'!$N$2:$N$200,MATCH($Y182,'Test catalog'!$A$2:$A$200,0))),"")</f>
        <v/>
      </c>
      <c r="Q182" s="11">
        <f>IFERROR(IF(INDEX('Test catalog'!$O$2:$O$200,MATCH($Y182,'Test catalog'!$A$2:$A$200,0))="","",INDEX('Test catalog'!$O$2:$O$200,MATCH($Y182,'Test catalog'!$A$2:$A$200,0))),"")</f>
        <v/>
      </c>
      <c r="R182" s="11">
        <f>IFERROR(IF(INDEX('Test catalog'!$P$2:$P$200,MATCH($Y182,'Test catalog'!$A$2:$A$200,0))="","",INDEX('Test catalog'!$P$2:$P$200,MATCH($Y182,'Test catalog'!$A$2:$A$200,0))),"")</f>
        <v/>
      </c>
      <c r="S182" s="14" t="n"/>
      <c r="T182" s="5" t="n"/>
      <c r="U182" s="11">
        <f>IFERROR(IF(INDEX('Test catalog'!$Q$2:$Q$200,MATCH($Y182,'Test catalog'!$A$2:$A$200,0))="","",INDEX('Test catalog'!$Q$2:$Q$200,MATCH($Y182,'Test catalog'!$A$2:$A$200,0))),"")</f>
        <v/>
      </c>
      <c r="V182" s="5" t="n"/>
      <c r="W182" s="5" t="n"/>
      <c r="X182" s="5" t="n"/>
      <c r="Y182" s="5" t="inlineStr">
        <is>
          <t>SALM</t>
        </is>
      </c>
      <c r="Z182" s="11" t="inlineStr">
        <is>
          <t>USP-NF monograph &lt;61&gt;, &lt;62&gt;</t>
        </is>
      </c>
    </row>
    <row r="183">
      <c r="A183" s="11" t="inlineStr">
        <is>
          <t>Calcium Hydrogen Phosphate (Dicalcium Phosphate)</t>
        </is>
      </c>
      <c r="B183" s="11" t="inlineStr">
        <is>
          <t>RM</t>
        </is>
      </c>
      <c r="C183" s="11" t="inlineStr">
        <is>
          <t>Filler / Diluent</t>
        </is>
      </c>
      <c r="D183" s="11" t="inlineStr">
        <is>
          <t>Microbial enumeration - TAMC + TYMC (&lt;61&gt; / &lt;2021&gt;)</t>
        </is>
      </c>
      <c r="E183" s="5" t="inlineStr">
        <is>
          <t>N</t>
        </is>
      </c>
      <c r="F183" s="5" t="n"/>
      <c r="G183" s="11">
        <f>IFERROR(IF(INDEX('Test catalog'!$F$2:$F$200,MATCH($Y183,'Test catalog'!$A$2:$A$200,0))="","",INDEX('Test catalog'!$F$2:$F$200,MATCH($Y183,'Test catalog'!$A$2:$A$200,0))),"")</f>
        <v/>
      </c>
      <c r="H183" s="11">
        <f>IFERROR(IF(INDEX('Test catalog'!$G$2:$G$200,MATCH($Y183,'Test catalog'!$A$2:$A$200,0))="","",INDEX('Test catalog'!$G$2:$G$200,MATCH($Y183,'Test catalog'!$A$2:$A$200,0))),"")</f>
        <v/>
      </c>
      <c r="I183" s="11">
        <f>IFERROR(IF(INDEX('Test catalog'!$H$2:$H$200,MATCH($Y183,'Test catalog'!$A$2:$A$200,0))="","",INDEX('Test catalog'!$H$2:$H$200,MATCH($Y183,'Test catalog'!$A$2:$A$200,0))),"")</f>
        <v/>
      </c>
      <c r="J183" s="11">
        <f>IFERROR(IF(INDEX('Test catalog'!$I$2:$I$200,MATCH($Y183,'Test catalog'!$A$2:$A$200,0))="","",INDEX('Test catalog'!$I$2:$I$200,MATCH($Y183,'Test catalog'!$A$2:$A$200,0))),"")</f>
        <v/>
      </c>
      <c r="K183" s="13">
        <f>IF(I183="","",IF(OR(H183="",J183=""),I183,(H183+4*I183+J183)/6))</f>
        <v/>
      </c>
      <c r="L183" s="11">
        <f>IFERROR(IF(INDEX('Test catalog'!$J$2:$J$200,MATCH($Y183,'Test catalog'!$A$2:$A$200,0))="","",INDEX('Test catalog'!$J$2:$J$200,MATCH($Y183,'Test catalog'!$A$2:$A$200,0))),"")</f>
        <v/>
      </c>
      <c r="M183" s="11">
        <f>IFERROR(IF(INDEX('Test catalog'!$K$2:$K$200,MATCH($Y183,'Test catalog'!$A$2:$A$200,0))="","",INDEX('Test catalog'!$K$2:$K$200,MATCH($Y183,'Test catalog'!$A$2:$A$200,0))),"")</f>
        <v/>
      </c>
      <c r="N183" s="11">
        <f>IFERROR(IF(INDEX('Test catalog'!$L$2:$L$200,MATCH($Y183,'Test catalog'!$A$2:$A$200,0))="","",INDEX('Test catalog'!$L$2:$L$200,MATCH($Y183,'Test catalog'!$A$2:$A$200,0))),"")</f>
        <v/>
      </c>
      <c r="O183" s="11">
        <f>IFERROR(IF(INDEX('Test catalog'!$M$2:$M$200,MATCH($Y183,'Test catalog'!$A$2:$A$200,0))="","",INDEX('Test catalog'!$M$2:$M$200,MATCH($Y183,'Test catalog'!$A$2:$A$200,0))),"")</f>
        <v/>
      </c>
      <c r="P183" s="11">
        <f>IFERROR(IF(INDEX('Test catalog'!$N$2:$N$200,MATCH($Y183,'Test catalog'!$A$2:$A$200,0))="","",INDEX('Test catalog'!$N$2:$N$200,MATCH($Y183,'Test catalog'!$A$2:$A$200,0))),"")</f>
        <v/>
      </c>
      <c r="Q183" s="11">
        <f>IFERROR(IF(INDEX('Test catalog'!$O$2:$O$200,MATCH($Y183,'Test catalog'!$A$2:$A$200,0))="","",INDEX('Test catalog'!$O$2:$O$200,MATCH($Y183,'Test catalog'!$A$2:$A$200,0))),"")</f>
        <v/>
      </c>
      <c r="R183" s="11">
        <f>IFERROR(IF(INDEX('Test catalog'!$P$2:$P$200,MATCH($Y183,'Test catalog'!$A$2:$A$200,0))="","",INDEX('Test catalog'!$P$2:$P$200,MATCH($Y183,'Test catalog'!$A$2:$A$200,0))),"")</f>
        <v/>
      </c>
      <c r="S183" s="14" t="n"/>
      <c r="T183" s="5" t="n"/>
      <c r="U183" s="11">
        <f>IFERROR(IF(INDEX('Test catalog'!$Q$2:$Q$200,MATCH($Y183,'Test catalog'!$A$2:$A$200,0))="","",INDEX('Test catalog'!$Q$2:$Q$200,MATCH($Y183,'Test catalog'!$A$2:$A$200,0))),"")</f>
        <v/>
      </c>
      <c r="V183" s="5" t="n"/>
      <c r="W183" s="5" t="n"/>
      <c r="X183" s="5" t="n"/>
      <c r="Y183" s="5" t="inlineStr">
        <is>
          <t>ENUM</t>
        </is>
      </c>
      <c r="Z183" s="11" t="inlineStr">
        <is>
          <t>No micro test in USP-NF - set Y if your specification has one</t>
        </is>
      </c>
    </row>
    <row r="184">
      <c r="A184" s="11" t="inlineStr">
        <is>
          <t>Corn Starch</t>
        </is>
      </c>
      <c r="B184" s="11" t="inlineStr">
        <is>
          <t>RM</t>
        </is>
      </c>
      <c r="C184" s="11" t="inlineStr">
        <is>
          <t>Filler / Diluent</t>
        </is>
      </c>
      <c r="D184" s="11" t="inlineStr">
        <is>
          <t>Microbial enumeration - TAMC + TYMC (&lt;61&gt; / &lt;2021&gt;)</t>
        </is>
      </c>
      <c r="E184" s="5" t="inlineStr">
        <is>
          <t>Y</t>
        </is>
      </c>
      <c r="F184" s="5" t="n"/>
      <c r="G184" s="11">
        <f>IFERROR(IF(INDEX('Test catalog'!$F$2:$F$200,MATCH($Y184,'Test catalog'!$A$2:$A$200,0))="","",INDEX('Test catalog'!$F$2:$F$200,MATCH($Y184,'Test catalog'!$A$2:$A$200,0))),"")</f>
        <v/>
      </c>
      <c r="H184" s="11">
        <f>IFERROR(IF(INDEX('Test catalog'!$G$2:$G$200,MATCH($Y184,'Test catalog'!$A$2:$A$200,0))="","",INDEX('Test catalog'!$G$2:$G$200,MATCH($Y184,'Test catalog'!$A$2:$A$200,0))),"")</f>
        <v/>
      </c>
      <c r="I184" s="11">
        <f>IFERROR(IF(INDEX('Test catalog'!$H$2:$H$200,MATCH($Y184,'Test catalog'!$A$2:$A$200,0))="","",INDEX('Test catalog'!$H$2:$H$200,MATCH($Y184,'Test catalog'!$A$2:$A$200,0))),"")</f>
        <v/>
      </c>
      <c r="J184" s="11">
        <f>IFERROR(IF(INDEX('Test catalog'!$I$2:$I$200,MATCH($Y184,'Test catalog'!$A$2:$A$200,0))="","",INDEX('Test catalog'!$I$2:$I$200,MATCH($Y184,'Test catalog'!$A$2:$A$200,0))),"")</f>
        <v/>
      </c>
      <c r="K184" s="13">
        <f>IF(I184="","",IF(OR(H184="",J184=""),I184,(H184+4*I184+J184)/6))</f>
        <v/>
      </c>
      <c r="L184" s="11">
        <f>IFERROR(IF(INDEX('Test catalog'!$J$2:$J$200,MATCH($Y184,'Test catalog'!$A$2:$A$200,0))="","",INDEX('Test catalog'!$J$2:$J$200,MATCH($Y184,'Test catalog'!$A$2:$A$200,0))),"")</f>
        <v/>
      </c>
      <c r="M184" s="11">
        <f>IFERROR(IF(INDEX('Test catalog'!$K$2:$K$200,MATCH($Y184,'Test catalog'!$A$2:$A$200,0))="","",INDEX('Test catalog'!$K$2:$K$200,MATCH($Y184,'Test catalog'!$A$2:$A$200,0))),"")</f>
        <v/>
      </c>
      <c r="N184" s="11">
        <f>IFERROR(IF(INDEX('Test catalog'!$L$2:$L$200,MATCH($Y184,'Test catalog'!$A$2:$A$200,0))="","",INDEX('Test catalog'!$L$2:$L$200,MATCH($Y184,'Test catalog'!$A$2:$A$200,0))),"")</f>
        <v/>
      </c>
      <c r="O184" s="11">
        <f>IFERROR(IF(INDEX('Test catalog'!$M$2:$M$200,MATCH($Y184,'Test catalog'!$A$2:$A$200,0))="","",INDEX('Test catalog'!$M$2:$M$200,MATCH($Y184,'Test catalog'!$A$2:$A$200,0))),"")</f>
        <v/>
      </c>
      <c r="P184" s="11">
        <f>IFERROR(IF(INDEX('Test catalog'!$N$2:$N$200,MATCH($Y184,'Test catalog'!$A$2:$A$200,0))="","",INDEX('Test catalog'!$N$2:$N$200,MATCH($Y184,'Test catalog'!$A$2:$A$200,0))),"")</f>
        <v/>
      </c>
      <c r="Q184" s="11">
        <f>IFERROR(IF(INDEX('Test catalog'!$O$2:$O$200,MATCH($Y184,'Test catalog'!$A$2:$A$200,0))="","",INDEX('Test catalog'!$O$2:$O$200,MATCH($Y184,'Test catalog'!$A$2:$A$200,0))),"")</f>
        <v/>
      </c>
      <c r="R184" s="11">
        <f>IFERROR(IF(INDEX('Test catalog'!$P$2:$P$200,MATCH($Y184,'Test catalog'!$A$2:$A$200,0))="","",INDEX('Test catalog'!$P$2:$P$200,MATCH($Y184,'Test catalog'!$A$2:$A$200,0))),"")</f>
        <v/>
      </c>
      <c r="S184" s="14" t="n"/>
      <c r="T184" s="5" t="n"/>
      <c r="U184" s="11">
        <f>IFERROR(IF(INDEX('Test catalog'!$Q$2:$Q$200,MATCH($Y184,'Test catalog'!$A$2:$A$200,0))="","",INDEX('Test catalog'!$Q$2:$Q$200,MATCH($Y184,'Test catalog'!$A$2:$A$200,0))),"")</f>
        <v/>
      </c>
      <c r="V184" s="5" t="n"/>
      <c r="W184" s="5" t="n"/>
      <c r="X184" s="5" t="n"/>
      <c r="Y184" s="5" t="inlineStr">
        <is>
          <t>ENUM</t>
        </is>
      </c>
      <c r="Z184" s="11" t="inlineStr">
        <is>
          <t>USP-NF monograph &lt;61&gt;, &lt;62&gt;</t>
        </is>
      </c>
    </row>
    <row r="185">
      <c r="A185" s="11" t="inlineStr">
        <is>
          <t>Corn Starch</t>
        </is>
      </c>
      <c r="B185" s="11" t="inlineStr">
        <is>
          <t>RM</t>
        </is>
      </c>
      <c r="C185" s="11" t="inlineStr">
        <is>
          <t>Filler / Diluent</t>
        </is>
      </c>
      <c r="D185" s="11" t="inlineStr">
        <is>
          <t>Absence of Escherichia coli (&lt;62&gt; / &lt;2022&gt;)</t>
        </is>
      </c>
      <c r="E185" s="5" t="inlineStr">
        <is>
          <t>Y</t>
        </is>
      </c>
      <c r="F185" s="5" t="n"/>
      <c r="G185" s="11">
        <f>IFERROR(IF(INDEX('Test catalog'!$F$2:$F$200,MATCH($Y185,'Test catalog'!$A$2:$A$200,0))="","",INDEX('Test catalog'!$F$2:$F$200,MATCH($Y185,'Test catalog'!$A$2:$A$200,0))),"")</f>
        <v/>
      </c>
      <c r="H185" s="11">
        <f>IFERROR(IF(INDEX('Test catalog'!$G$2:$G$200,MATCH($Y185,'Test catalog'!$A$2:$A$200,0))="","",INDEX('Test catalog'!$G$2:$G$200,MATCH($Y185,'Test catalog'!$A$2:$A$200,0))),"")</f>
        <v/>
      </c>
      <c r="I185" s="11">
        <f>IFERROR(IF(INDEX('Test catalog'!$H$2:$H$200,MATCH($Y185,'Test catalog'!$A$2:$A$200,0))="","",INDEX('Test catalog'!$H$2:$H$200,MATCH($Y185,'Test catalog'!$A$2:$A$200,0))),"")</f>
        <v/>
      </c>
      <c r="J185" s="11">
        <f>IFERROR(IF(INDEX('Test catalog'!$I$2:$I$200,MATCH($Y185,'Test catalog'!$A$2:$A$200,0))="","",INDEX('Test catalog'!$I$2:$I$200,MATCH($Y185,'Test catalog'!$A$2:$A$200,0))),"")</f>
        <v/>
      </c>
      <c r="K185" s="13">
        <f>IF(I185="","",IF(OR(H185="",J185=""),I185,(H185+4*I185+J185)/6))</f>
        <v/>
      </c>
      <c r="L185" s="11">
        <f>IFERROR(IF(INDEX('Test catalog'!$J$2:$J$200,MATCH($Y185,'Test catalog'!$A$2:$A$200,0))="","",INDEX('Test catalog'!$J$2:$J$200,MATCH($Y185,'Test catalog'!$A$2:$A$200,0))),"")</f>
        <v/>
      </c>
      <c r="M185" s="11">
        <f>IFERROR(IF(INDEX('Test catalog'!$K$2:$K$200,MATCH($Y185,'Test catalog'!$A$2:$A$200,0))="","",INDEX('Test catalog'!$K$2:$K$200,MATCH($Y185,'Test catalog'!$A$2:$A$200,0))),"")</f>
        <v/>
      </c>
      <c r="N185" s="11">
        <f>IFERROR(IF(INDEX('Test catalog'!$L$2:$L$200,MATCH($Y185,'Test catalog'!$A$2:$A$200,0))="","",INDEX('Test catalog'!$L$2:$L$200,MATCH($Y185,'Test catalog'!$A$2:$A$200,0))),"")</f>
        <v/>
      </c>
      <c r="O185" s="11">
        <f>IFERROR(IF(INDEX('Test catalog'!$M$2:$M$200,MATCH($Y185,'Test catalog'!$A$2:$A$200,0))="","",INDEX('Test catalog'!$M$2:$M$200,MATCH($Y185,'Test catalog'!$A$2:$A$200,0))),"")</f>
        <v/>
      </c>
      <c r="P185" s="11">
        <f>IFERROR(IF(INDEX('Test catalog'!$N$2:$N$200,MATCH($Y185,'Test catalog'!$A$2:$A$200,0))="","",INDEX('Test catalog'!$N$2:$N$200,MATCH($Y185,'Test catalog'!$A$2:$A$200,0))),"")</f>
        <v/>
      </c>
      <c r="Q185" s="11">
        <f>IFERROR(IF(INDEX('Test catalog'!$O$2:$O$200,MATCH($Y185,'Test catalog'!$A$2:$A$200,0))="","",INDEX('Test catalog'!$O$2:$O$200,MATCH($Y185,'Test catalog'!$A$2:$A$200,0))),"")</f>
        <v/>
      </c>
      <c r="R185" s="11">
        <f>IFERROR(IF(INDEX('Test catalog'!$P$2:$P$200,MATCH($Y185,'Test catalog'!$A$2:$A$200,0))="","",INDEX('Test catalog'!$P$2:$P$200,MATCH($Y185,'Test catalog'!$A$2:$A$200,0))),"")</f>
        <v/>
      </c>
      <c r="S185" s="14" t="n"/>
      <c r="T185" s="5" t="n"/>
      <c r="U185" s="11">
        <f>IFERROR(IF(INDEX('Test catalog'!$Q$2:$Q$200,MATCH($Y185,'Test catalog'!$A$2:$A$200,0))="","",INDEX('Test catalog'!$Q$2:$Q$200,MATCH($Y185,'Test catalog'!$A$2:$A$200,0))),"")</f>
        <v/>
      </c>
      <c r="V185" s="5" t="n"/>
      <c r="W185" s="5" t="n"/>
      <c r="X185" s="5" t="n"/>
      <c r="Y185" s="5" t="inlineStr">
        <is>
          <t>ECOLI</t>
        </is>
      </c>
      <c r="Z185" s="11" t="inlineStr">
        <is>
          <t>USP-NF monograph &lt;61&gt;, &lt;62&gt;</t>
        </is>
      </c>
    </row>
    <row r="186">
      <c r="A186" s="11" t="inlineStr">
        <is>
          <t>Corn Starch</t>
        </is>
      </c>
      <c r="B186" s="11" t="inlineStr">
        <is>
          <t>RM</t>
        </is>
      </c>
      <c r="C186" s="11" t="inlineStr">
        <is>
          <t>Filler / Diluent</t>
        </is>
      </c>
      <c r="D186" s="11" t="inlineStr">
        <is>
          <t>Absence of Pseudomonas aeruginosa (&lt;62&gt;)</t>
        </is>
      </c>
      <c r="E186" s="5" t="inlineStr">
        <is>
          <t>Y</t>
        </is>
      </c>
      <c r="F186" s="5" t="n"/>
      <c r="G186" s="11">
        <f>IFERROR(IF(INDEX('Test catalog'!$F$2:$F$200,MATCH($Y186,'Test catalog'!$A$2:$A$200,0))="","",INDEX('Test catalog'!$F$2:$F$200,MATCH($Y186,'Test catalog'!$A$2:$A$200,0))),"")</f>
        <v/>
      </c>
      <c r="H186" s="11">
        <f>IFERROR(IF(INDEX('Test catalog'!$G$2:$G$200,MATCH($Y186,'Test catalog'!$A$2:$A$200,0))="","",INDEX('Test catalog'!$G$2:$G$200,MATCH($Y186,'Test catalog'!$A$2:$A$200,0))),"")</f>
        <v/>
      </c>
      <c r="I186" s="11">
        <f>IFERROR(IF(INDEX('Test catalog'!$H$2:$H$200,MATCH($Y186,'Test catalog'!$A$2:$A$200,0))="","",INDEX('Test catalog'!$H$2:$H$200,MATCH($Y186,'Test catalog'!$A$2:$A$200,0))),"")</f>
        <v/>
      </c>
      <c r="J186" s="11">
        <f>IFERROR(IF(INDEX('Test catalog'!$I$2:$I$200,MATCH($Y186,'Test catalog'!$A$2:$A$200,0))="","",INDEX('Test catalog'!$I$2:$I$200,MATCH($Y186,'Test catalog'!$A$2:$A$200,0))),"")</f>
        <v/>
      </c>
      <c r="K186" s="13">
        <f>IF(I186="","",IF(OR(H186="",J186=""),I186,(H186+4*I186+J186)/6))</f>
        <v/>
      </c>
      <c r="L186" s="11">
        <f>IFERROR(IF(INDEX('Test catalog'!$J$2:$J$200,MATCH($Y186,'Test catalog'!$A$2:$A$200,0))="","",INDEX('Test catalog'!$J$2:$J$200,MATCH($Y186,'Test catalog'!$A$2:$A$200,0))),"")</f>
        <v/>
      </c>
      <c r="M186" s="11">
        <f>IFERROR(IF(INDEX('Test catalog'!$K$2:$K$200,MATCH($Y186,'Test catalog'!$A$2:$A$200,0))="","",INDEX('Test catalog'!$K$2:$K$200,MATCH($Y186,'Test catalog'!$A$2:$A$200,0))),"")</f>
        <v/>
      </c>
      <c r="N186" s="11">
        <f>IFERROR(IF(INDEX('Test catalog'!$L$2:$L$200,MATCH($Y186,'Test catalog'!$A$2:$A$200,0))="","",INDEX('Test catalog'!$L$2:$L$200,MATCH($Y186,'Test catalog'!$A$2:$A$200,0))),"")</f>
        <v/>
      </c>
      <c r="O186" s="11">
        <f>IFERROR(IF(INDEX('Test catalog'!$M$2:$M$200,MATCH($Y186,'Test catalog'!$A$2:$A$200,0))="","",INDEX('Test catalog'!$M$2:$M$200,MATCH($Y186,'Test catalog'!$A$2:$A$200,0))),"")</f>
        <v/>
      </c>
      <c r="P186" s="11">
        <f>IFERROR(IF(INDEX('Test catalog'!$N$2:$N$200,MATCH($Y186,'Test catalog'!$A$2:$A$200,0))="","",INDEX('Test catalog'!$N$2:$N$200,MATCH($Y186,'Test catalog'!$A$2:$A$200,0))),"")</f>
        <v/>
      </c>
      <c r="Q186" s="11">
        <f>IFERROR(IF(INDEX('Test catalog'!$O$2:$O$200,MATCH($Y186,'Test catalog'!$A$2:$A$200,0))="","",INDEX('Test catalog'!$O$2:$O$200,MATCH($Y186,'Test catalog'!$A$2:$A$200,0))),"")</f>
        <v/>
      </c>
      <c r="R186" s="11">
        <f>IFERROR(IF(INDEX('Test catalog'!$P$2:$P$200,MATCH($Y186,'Test catalog'!$A$2:$A$200,0))="","",INDEX('Test catalog'!$P$2:$P$200,MATCH($Y186,'Test catalog'!$A$2:$A$200,0))),"")</f>
        <v/>
      </c>
      <c r="S186" s="14" t="n"/>
      <c r="T186" s="5" t="n"/>
      <c r="U186" s="11">
        <f>IFERROR(IF(INDEX('Test catalog'!$Q$2:$Q$200,MATCH($Y186,'Test catalog'!$A$2:$A$200,0))="","",INDEX('Test catalog'!$Q$2:$Q$200,MATCH($Y186,'Test catalog'!$A$2:$A$200,0))),"")</f>
        <v/>
      </c>
      <c r="V186" s="5" t="n"/>
      <c r="W186" s="5" t="n"/>
      <c r="X186" s="5" t="n"/>
      <c r="Y186" s="5" t="inlineStr">
        <is>
          <t>PSAE</t>
        </is>
      </c>
      <c r="Z186" s="11" t="inlineStr">
        <is>
          <t>USP-NF monograph &lt;61&gt;, &lt;62&gt;</t>
        </is>
      </c>
    </row>
    <row r="187">
      <c r="A187" s="11" t="inlineStr">
        <is>
          <t>Corn Starch</t>
        </is>
      </c>
      <c r="B187" s="11" t="inlineStr">
        <is>
          <t>RM</t>
        </is>
      </c>
      <c r="C187" s="11" t="inlineStr">
        <is>
          <t>Filler / Diluent</t>
        </is>
      </c>
      <c r="D187" s="11" t="inlineStr">
        <is>
          <t>Absence of Staphylococcus aureus (&lt;62&gt;)</t>
        </is>
      </c>
      <c r="E187" s="5" t="inlineStr">
        <is>
          <t>Y</t>
        </is>
      </c>
      <c r="F187" s="5" t="n"/>
      <c r="G187" s="11">
        <f>IFERROR(IF(INDEX('Test catalog'!$F$2:$F$200,MATCH($Y187,'Test catalog'!$A$2:$A$200,0))="","",INDEX('Test catalog'!$F$2:$F$200,MATCH($Y187,'Test catalog'!$A$2:$A$200,0))),"")</f>
        <v/>
      </c>
      <c r="H187" s="11">
        <f>IFERROR(IF(INDEX('Test catalog'!$G$2:$G$200,MATCH($Y187,'Test catalog'!$A$2:$A$200,0))="","",INDEX('Test catalog'!$G$2:$G$200,MATCH($Y187,'Test catalog'!$A$2:$A$200,0))),"")</f>
        <v/>
      </c>
      <c r="I187" s="11">
        <f>IFERROR(IF(INDEX('Test catalog'!$H$2:$H$200,MATCH($Y187,'Test catalog'!$A$2:$A$200,0))="","",INDEX('Test catalog'!$H$2:$H$200,MATCH($Y187,'Test catalog'!$A$2:$A$200,0))),"")</f>
        <v/>
      </c>
      <c r="J187" s="11">
        <f>IFERROR(IF(INDEX('Test catalog'!$I$2:$I$200,MATCH($Y187,'Test catalog'!$A$2:$A$200,0))="","",INDEX('Test catalog'!$I$2:$I$200,MATCH($Y187,'Test catalog'!$A$2:$A$200,0))),"")</f>
        <v/>
      </c>
      <c r="K187" s="13">
        <f>IF(I187="","",IF(OR(H187="",J187=""),I187,(H187+4*I187+J187)/6))</f>
        <v/>
      </c>
      <c r="L187" s="11">
        <f>IFERROR(IF(INDEX('Test catalog'!$J$2:$J$200,MATCH($Y187,'Test catalog'!$A$2:$A$200,0))="","",INDEX('Test catalog'!$J$2:$J$200,MATCH($Y187,'Test catalog'!$A$2:$A$200,0))),"")</f>
        <v/>
      </c>
      <c r="M187" s="11">
        <f>IFERROR(IF(INDEX('Test catalog'!$K$2:$K$200,MATCH($Y187,'Test catalog'!$A$2:$A$200,0))="","",INDEX('Test catalog'!$K$2:$K$200,MATCH($Y187,'Test catalog'!$A$2:$A$200,0))),"")</f>
        <v/>
      </c>
      <c r="N187" s="11">
        <f>IFERROR(IF(INDEX('Test catalog'!$L$2:$L$200,MATCH($Y187,'Test catalog'!$A$2:$A$200,0))="","",INDEX('Test catalog'!$L$2:$L$200,MATCH($Y187,'Test catalog'!$A$2:$A$200,0))),"")</f>
        <v/>
      </c>
      <c r="O187" s="11">
        <f>IFERROR(IF(INDEX('Test catalog'!$M$2:$M$200,MATCH($Y187,'Test catalog'!$A$2:$A$200,0))="","",INDEX('Test catalog'!$M$2:$M$200,MATCH($Y187,'Test catalog'!$A$2:$A$200,0))),"")</f>
        <v/>
      </c>
      <c r="P187" s="11">
        <f>IFERROR(IF(INDEX('Test catalog'!$N$2:$N$200,MATCH($Y187,'Test catalog'!$A$2:$A$200,0))="","",INDEX('Test catalog'!$N$2:$N$200,MATCH($Y187,'Test catalog'!$A$2:$A$200,0))),"")</f>
        <v/>
      </c>
      <c r="Q187" s="11">
        <f>IFERROR(IF(INDEX('Test catalog'!$O$2:$O$200,MATCH($Y187,'Test catalog'!$A$2:$A$200,0))="","",INDEX('Test catalog'!$O$2:$O$200,MATCH($Y187,'Test catalog'!$A$2:$A$200,0))),"")</f>
        <v/>
      </c>
      <c r="R187" s="11">
        <f>IFERROR(IF(INDEX('Test catalog'!$P$2:$P$200,MATCH($Y187,'Test catalog'!$A$2:$A$200,0))="","",INDEX('Test catalog'!$P$2:$P$200,MATCH($Y187,'Test catalog'!$A$2:$A$200,0))),"")</f>
        <v/>
      </c>
      <c r="S187" s="14" t="n"/>
      <c r="T187" s="5" t="n"/>
      <c r="U187" s="11">
        <f>IFERROR(IF(INDEX('Test catalog'!$Q$2:$Q$200,MATCH($Y187,'Test catalog'!$A$2:$A$200,0))="","",INDEX('Test catalog'!$Q$2:$Q$200,MATCH($Y187,'Test catalog'!$A$2:$A$200,0))),"")</f>
        <v/>
      </c>
      <c r="V187" s="5" t="n"/>
      <c r="W187" s="5" t="n"/>
      <c r="X187" s="5" t="n"/>
      <c r="Y187" s="5" t="inlineStr">
        <is>
          <t>SAUR</t>
        </is>
      </c>
      <c r="Z187" s="11" t="inlineStr">
        <is>
          <t>USP-NF monograph &lt;61&gt;, &lt;62&gt;</t>
        </is>
      </c>
    </row>
    <row r="188">
      <c r="A188" s="11" t="inlineStr">
        <is>
          <t>Dibasic Calcium Phosphate Dihydrate</t>
        </is>
      </c>
      <c r="B188" s="11" t="inlineStr">
        <is>
          <t>RM</t>
        </is>
      </c>
      <c r="C188" s="11" t="inlineStr">
        <is>
          <t>Filler / Diluent</t>
        </is>
      </c>
      <c r="D188" s="11" t="inlineStr">
        <is>
          <t>Microbial enumeration - TAMC + TYMC (&lt;61&gt; / &lt;2021&gt;)</t>
        </is>
      </c>
      <c r="E188" s="5" t="inlineStr">
        <is>
          <t>N</t>
        </is>
      </c>
      <c r="F188" s="5" t="n"/>
      <c r="G188" s="11">
        <f>IFERROR(IF(INDEX('Test catalog'!$F$2:$F$200,MATCH($Y188,'Test catalog'!$A$2:$A$200,0))="","",INDEX('Test catalog'!$F$2:$F$200,MATCH($Y188,'Test catalog'!$A$2:$A$200,0))),"")</f>
        <v/>
      </c>
      <c r="H188" s="11">
        <f>IFERROR(IF(INDEX('Test catalog'!$G$2:$G$200,MATCH($Y188,'Test catalog'!$A$2:$A$200,0))="","",INDEX('Test catalog'!$G$2:$G$200,MATCH($Y188,'Test catalog'!$A$2:$A$200,0))),"")</f>
        <v/>
      </c>
      <c r="I188" s="11">
        <f>IFERROR(IF(INDEX('Test catalog'!$H$2:$H$200,MATCH($Y188,'Test catalog'!$A$2:$A$200,0))="","",INDEX('Test catalog'!$H$2:$H$200,MATCH($Y188,'Test catalog'!$A$2:$A$200,0))),"")</f>
        <v/>
      </c>
      <c r="J188" s="11">
        <f>IFERROR(IF(INDEX('Test catalog'!$I$2:$I$200,MATCH($Y188,'Test catalog'!$A$2:$A$200,0))="","",INDEX('Test catalog'!$I$2:$I$200,MATCH($Y188,'Test catalog'!$A$2:$A$200,0))),"")</f>
        <v/>
      </c>
      <c r="K188" s="13">
        <f>IF(I188="","",IF(OR(H188="",J188=""),I188,(H188+4*I188+J188)/6))</f>
        <v/>
      </c>
      <c r="L188" s="11">
        <f>IFERROR(IF(INDEX('Test catalog'!$J$2:$J$200,MATCH($Y188,'Test catalog'!$A$2:$A$200,0))="","",INDEX('Test catalog'!$J$2:$J$200,MATCH($Y188,'Test catalog'!$A$2:$A$200,0))),"")</f>
        <v/>
      </c>
      <c r="M188" s="11">
        <f>IFERROR(IF(INDEX('Test catalog'!$K$2:$K$200,MATCH($Y188,'Test catalog'!$A$2:$A$200,0))="","",INDEX('Test catalog'!$K$2:$K$200,MATCH($Y188,'Test catalog'!$A$2:$A$200,0))),"")</f>
        <v/>
      </c>
      <c r="N188" s="11">
        <f>IFERROR(IF(INDEX('Test catalog'!$L$2:$L$200,MATCH($Y188,'Test catalog'!$A$2:$A$200,0))="","",INDEX('Test catalog'!$L$2:$L$200,MATCH($Y188,'Test catalog'!$A$2:$A$200,0))),"")</f>
        <v/>
      </c>
      <c r="O188" s="11">
        <f>IFERROR(IF(INDEX('Test catalog'!$M$2:$M$200,MATCH($Y188,'Test catalog'!$A$2:$A$200,0))="","",INDEX('Test catalog'!$M$2:$M$200,MATCH($Y188,'Test catalog'!$A$2:$A$200,0))),"")</f>
        <v/>
      </c>
      <c r="P188" s="11">
        <f>IFERROR(IF(INDEX('Test catalog'!$N$2:$N$200,MATCH($Y188,'Test catalog'!$A$2:$A$200,0))="","",INDEX('Test catalog'!$N$2:$N$200,MATCH($Y188,'Test catalog'!$A$2:$A$200,0))),"")</f>
        <v/>
      </c>
      <c r="Q188" s="11">
        <f>IFERROR(IF(INDEX('Test catalog'!$O$2:$O$200,MATCH($Y188,'Test catalog'!$A$2:$A$200,0))="","",INDEX('Test catalog'!$O$2:$O$200,MATCH($Y188,'Test catalog'!$A$2:$A$200,0))),"")</f>
        <v/>
      </c>
      <c r="R188" s="11">
        <f>IFERROR(IF(INDEX('Test catalog'!$P$2:$P$200,MATCH($Y188,'Test catalog'!$A$2:$A$200,0))="","",INDEX('Test catalog'!$P$2:$P$200,MATCH($Y188,'Test catalog'!$A$2:$A$200,0))),"")</f>
        <v/>
      </c>
      <c r="S188" s="14" t="n"/>
      <c r="T188" s="5" t="n"/>
      <c r="U188" s="11">
        <f>IFERROR(IF(INDEX('Test catalog'!$Q$2:$Q$200,MATCH($Y188,'Test catalog'!$A$2:$A$200,0))="","",INDEX('Test catalog'!$Q$2:$Q$200,MATCH($Y188,'Test catalog'!$A$2:$A$200,0))),"")</f>
        <v/>
      </c>
      <c r="V188" s="5" t="n"/>
      <c r="W188" s="5" t="n"/>
      <c r="X188" s="5" t="n"/>
      <c r="Y188" s="5" t="inlineStr">
        <is>
          <t>ENUM</t>
        </is>
      </c>
      <c r="Z188" s="11" t="inlineStr">
        <is>
          <t>No micro test in USP-NF - set Y if your specification has one</t>
        </is>
      </c>
    </row>
    <row r="189">
      <c r="A189" s="11" t="inlineStr">
        <is>
          <t>Lactose Monohydrate</t>
        </is>
      </c>
      <c r="B189" s="11" t="inlineStr">
        <is>
          <t>RM</t>
        </is>
      </c>
      <c r="C189" s="11" t="inlineStr">
        <is>
          <t>Filler / Diluent</t>
        </is>
      </c>
      <c r="D189" s="11" t="inlineStr">
        <is>
          <t>Microbial enumeration - TAMC + TYMC (&lt;61&gt; / &lt;2021&gt;)</t>
        </is>
      </c>
      <c r="E189" s="5" t="inlineStr">
        <is>
          <t>Y</t>
        </is>
      </c>
      <c r="F189" s="5" t="n"/>
      <c r="G189" s="11">
        <f>IFERROR(IF(INDEX('Test catalog'!$F$2:$F$200,MATCH($Y189,'Test catalog'!$A$2:$A$200,0))="","",INDEX('Test catalog'!$F$2:$F$200,MATCH($Y189,'Test catalog'!$A$2:$A$200,0))),"")</f>
        <v/>
      </c>
      <c r="H189" s="11">
        <f>IFERROR(IF(INDEX('Test catalog'!$G$2:$G$200,MATCH($Y189,'Test catalog'!$A$2:$A$200,0))="","",INDEX('Test catalog'!$G$2:$G$200,MATCH($Y189,'Test catalog'!$A$2:$A$200,0))),"")</f>
        <v/>
      </c>
      <c r="I189" s="11">
        <f>IFERROR(IF(INDEX('Test catalog'!$H$2:$H$200,MATCH($Y189,'Test catalog'!$A$2:$A$200,0))="","",INDEX('Test catalog'!$H$2:$H$200,MATCH($Y189,'Test catalog'!$A$2:$A$200,0))),"")</f>
        <v/>
      </c>
      <c r="J189" s="11">
        <f>IFERROR(IF(INDEX('Test catalog'!$I$2:$I$200,MATCH($Y189,'Test catalog'!$A$2:$A$200,0))="","",INDEX('Test catalog'!$I$2:$I$200,MATCH($Y189,'Test catalog'!$A$2:$A$200,0))),"")</f>
        <v/>
      </c>
      <c r="K189" s="13">
        <f>IF(I189="","",IF(OR(H189="",J189=""),I189,(H189+4*I189+J189)/6))</f>
        <v/>
      </c>
      <c r="L189" s="11">
        <f>IFERROR(IF(INDEX('Test catalog'!$J$2:$J$200,MATCH($Y189,'Test catalog'!$A$2:$A$200,0))="","",INDEX('Test catalog'!$J$2:$J$200,MATCH($Y189,'Test catalog'!$A$2:$A$200,0))),"")</f>
        <v/>
      </c>
      <c r="M189" s="11">
        <f>IFERROR(IF(INDEX('Test catalog'!$K$2:$K$200,MATCH($Y189,'Test catalog'!$A$2:$A$200,0))="","",INDEX('Test catalog'!$K$2:$K$200,MATCH($Y189,'Test catalog'!$A$2:$A$200,0))),"")</f>
        <v/>
      </c>
      <c r="N189" s="11">
        <f>IFERROR(IF(INDEX('Test catalog'!$L$2:$L$200,MATCH($Y189,'Test catalog'!$A$2:$A$200,0))="","",INDEX('Test catalog'!$L$2:$L$200,MATCH($Y189,'Test catalog'!$A$2:$A$200,0))),"")</f>
        <v/>
      </c>
      <c r="O189" s="11">
        <f>IFERROR(IF(INDEX('Test catalog'!$M$2:$M$200,MATCH($Y189,'Test catalog'!$A$2:$A$200,0))="","",INDEX('Test catalog'!$M$2:$M$200,MATCH($Y189,'Test catalog'!$A$2:$A$200,0))),"")</f>
        <v/>
      </c>
      <c r="P189" s="11">
        <f>IFERROR(IF(INDEX('Test catalog'!$N$2:$N$200,MATCH($Y189,'Test catalog'!$A$2:$A$200,0))="","",INDEX('Test catalog'!$N$2:$N$200,MATCH($Y189,'Test catalog'!$A$2:$A$200,0))),"")</f>
        <v/>
      </c>
      <c r="Q189" s="11">
        <f>IFERROR(IF(INDEX('Test catalog'!$O$2:$O$200,MATCH($Y189,'Test catalog'!$A$2:$A$200,0))="","",INDEX('Test catalog'!$O$2:$O$200,MATCH($Y189,'Test catalog'!$A$2:$A$200,0))),"")</f>
        <v/>
      </c>
      <c r="R189" s="11">
        <f>IFERROR(IF(INDEX('Test catalog'!$P$2:$P$200,MATCH($Y189,'Test catalog'!$A$2:$A$200,0))="","",INDEX('Test catalog'!$P$2:$P$200,MATCH($Y189,'Test catalog'!$A$2:$A$200,0))),"")</f>
        <v/>
      </c>
      <c r="S189" s="14" t="n"/>
      <c r="T189" s="5" t="n"/>
      <c r="U189" s="11">
        <f>IFERROR(IF(INDEX('Test catalog'!$Q$2:$Q$200,MATCH($Y189,'Test catalog'!$A$2:$A$200,0))="","",INDEX('Test catalog'!$Q$2:$Q$200,MATCH($Y189,'Test catalog'!$A$2:$A$200,0))),"")</f>
        <v/>
      </c>
      <c r="V189" s="5" t="n"/>
      <c r="W189" s="5" t="n"/>
      <c r="X189" s="5" t="n"/>
      <c r="Y189" s="5" t="inlineStr">
        <is>
          <t>ENUM</t>
        </is>
      </c>
      <c r="Z189" s="11" t="inlineStr">
        <is>
          <t>USP-NF monograph &lt;61&gt;, &lt;62&gt;</t>
        </is>
      </c>
    </row>
    <row r="190">
      <c r="A190" s="11" t="inlineStr">
        <is>
          <t>Lactose Monohydrate</t>
        </is>
      </c>
      <c r="B190" s="11" t="inlineStr">
        <is>
          <t>RM</t>
        </is>
      </c>
      <c r="C190" s="11" t="inlineStr">
        <is>
          <t>Filler / Diluent</t>
        </is>
      </c>
      <c r="D190" s="11" t="inlineStr">
        <is>
          <t>Absence of Escherichia coli (&lt;62&gt; / &lt;2022&gt;)</t>
        </is>
      </c>
      <c r="E190" s="5" t="inlineStr">
        <is>
          <t>Y</t>
        </is>
      </c>
      <c r="F190" s="5" t="n"/>
      <c r="G190" s="11">
        <f>IFERROR(IF(INDEX('Test catalog'!$F$2:$F$200,MATCH($Y190,'Test catalog'!$A$2:$A$200,0))="","",INDEX('Test catalog'!$F$2:$F$200,MATCH($Y190,'Test catalog'!$A$2:$A$200,0))),"")</f>
        <v/>
      </c>
      <c r="H190" s="11">
        <f>IFERROR(IF(INDEX('Test catalog'!$G$2:$G$200,MATCH($Y190,'Test catalog'!$A$2:$A$200,0))="","",INDEX('Test catalog'!$G$2:$G$200,MATCH($Y190,'Test catalog'!$A$2:$A$200,0))),"")</f>
        <v/>
      </c>
      <c r="I190" s="11">
        <f>IFERROR(IF(INDEX('Test catalog'!$H$2:$H$200,MATCH($Y190,'Test catalog'!$A$2:$A$200,0))="","",INDEX('Test catalog'!$H$2:$H$200,MATCH($Y190,'Test catalog'!$A$2:$A$200,0))),"")</f>
        <v/>
      </c>
      <c r="J190" s="11">
        <f>IFERROR(IF(INDEX('Test catalog'!$I$2:$I$200,MATCH($Y190,'Test catalog'!$A$2:$A$200,0))="","",INDEX('Test catalog'!$I$2:$I$200,MATCH($Y190,'Test catalog'!$A$2:$A$200,0))),"")</f>
        <v/>
      </c>
      <c r="K190" s="13">
        <f>IF(I190="","",IF(OR(H190="",J190=""),I190,(H190+4*I190+J190)/6))</f>
        <v/>
      </c>
      <c r="L190" s="11">
        <f>IFERROR(IF(INDEX('Test catalog'!$J$2:$J$200,MATCH($Y190,'Test catalog'!$A$2:$A$200,0))="","",INDEX('Test catalog'!$J$2:$J$200,MATCH($Y190,'Test catalog'!$A$2:$A$200,0))),"")</f>
        <v/>
      </c>
      <c r="M190" s="11">
        <f>IFERROR(IF(INDEX('Test catalog'!$K$2:$K$200,MATCH($Y190,'Test catalog'!$A$2:$A$200,0))="","",INDEX('Test catalog'!$K$2:$K$200,MATCH($Y190,'Test catalog'!$A$2:$A$200,0))),"")</f>
        <v/>
      </c>
      <c r="N190" s="11">
        <f>IFERROR(IF(INDEX('Test catalog'!$L$2:$L$200,MATCH($Y190,'Test catalog'!$A$2:$A$200,0))="","",INDEX('Test catalog'!$L$2:$L$200,MATCH($Y190,'Test catalog'!$A$2:$A$200,0))),"")</f>
        <v/>
      </c>
      <c r="O190" s="11">
        <f>IFERROR(IF(INDEX('Test catalog'!$M$2:$M$200,MATCH($Y190,'Test catalog'!$A$2:$A$200,0))="","",INDEX('Test catalog'!$M$2:$M$200,MATCH($Y190,'Test catalog'!$A$2:$A$200,0))),"")</f>
        <v/>
      </c>
      <c r="P190" s="11">
        <f>IFERROR(IF(INDEX('Test catalog'!$N$2:$N$200,MATCH($Y190,'Test catalog'!$A$2:$A$200,0))="","",INDEX('Test catalog'!$N$2:$N$200,MATCH($Y190,'Test catalog'!$A$2:$A$200,0))),"")</f>
        <v/>
      </c>
      <c r="Q190" s="11">
        <f>IFERROR(IF(INDEX('Test catalog'!$O$2:$O$200,MATCH($Y190,'Test catalog'!$A$2:$A$200,0))="","",INDEX('Test catalog'!$O$2:$O$200,MATCH($Y190,'Test catalog'!$A$2:$A$200,0))),"")</f>
        <v/>
      </c>
      <c r="R190" s="11">
        <f>IFERROR(IF(INDEX('Test catalog'!$P$2:$P$200,MATCH($Y190,'Test catalog'!$A$2:$A$200,0))="","",INDEX('Test catalog'!$P$2:$P$200,MATCH($Y190,'Test catalog'!$A$2:$A$200,0))),"")</f>
        <v/>
      </c>
      <c r="S190" s="14" t="n"/>
      <c r="T190" s="5" t="n"/>
      <c r="U190" s="11">
        <f>IFERROR(IF(INDEX('Test catalog'!$Q$2:$Q$200,MATCH($Y190,'Test catalog'!$A$2:$A$200,0))="","",INDEX('Test catalog'!$Q$2:$Q$200,MATCH($Y190,'Test catalog'!$A$2:$A$200,0))),"")</f>
        <v/>
      </c>
      <c r="V190" s="5" t="n"/>
      <c r="W190" s="5" t="n"/>
      <c r="X190" s="5" t="n"/>
      <c r="Y190" s="5" t="inlineStr">
        <is>
          <t>ECOLI</t>
        </is>
      </c>
      <c r="Z190" s="11" t="inlineStr">
        <is>
          <t>USP-NF monograph &lt;61&gt;, &lt;62&gt;</t>
        </is>
      </c>
    </row>
    <row r="191">
      <c r="A191" s="11" t="inlineStr">
        <is>
          <t>Maltodextrin</t>
        </is>
      </c>
      <c r="B191" s="11" t="inlineStr">
        <is>
          <t>RM</t>
        </is>
      </c>
      <c r="C191" s="11" t="inlineStr">
        <is>
          <t>Filler / Diluent</t>
        </is>
      </c>
      <c r="D191" s="11" t="inlineStr">
        <is>
          <t>Microbial enumeration - TAMC + TYMC (&lt;61&gt; / &lt;2021&gt;)</t>
        </is>
      </c>
      <c r="E191" s="5" t="inlineStr">
        <is>
          <t>Y</t>
        </is>
      </c>
      <c r="F191" s="5" t="n"/>
      <c r="G191" s="11">
        <f>IFERROR(IF(INDEX('Test catalog'!$F$2:$F$200,MATCH($Y191,'Test catalog'!$A$2:$A$200,0))="","",INDEX('Test catalog'!$F$2:$F$200,MATCH($Y191,'Test catalog'!$A$2:$A$200,0))),"")</f>
        <v/>
      </c>
      <c r="H191" s="11">
        <f>IFERROR(IF(INDEX('Test catalog'!$G$2:$G$200,MATCH($Y191,'Test catalog'!$A$2:$A$200,0))="","",INDEX('Test catalog'!$G$2:$G$200,MATCH($Y191,'Test catalog'!$A$2:$A$200,0))),"")</f>
        <v/>
      </c>
      <c r="I191" s="11">
        <f>IFERROR(IF(INDEX('Test catalog'!$H$2:$H$200,MATCH($Y191,'Test catalog'!$A$2:$A$200,0))="","",INDEX('Test catalog'!$H$2:$H$200,MATCH($Y191,'Test catalog'!$A$2:$A$200,0))),"")</f>
        <v/>
      </c>
      <c r="J191" s="11">
        <f>IFERROR(IF(INDEX('Test catalog'!$I$2:$I$200,MATCH($Y191,'Test catalog'!$A$2:$A$200,0))="","",INDEX('Test catalog'!$I$2:$I$200,MATCH($Y191,'Test catalog'!$A$2:$A$200,0))),"")</f>
        <v/>
      </c>
      <c r="K191" s="13">
        <f>IF(I191="","",IF(OR(H191="",J191=""),I191,(H191+4*I191+J191)/6))</f>
        <v/>
      </c>
      <c r="L191" s="11">
        <f>IFERROR(IF(INDEX('Test catalog'!$J$2:$J$200,MATCH($Y191,'Test catalog'!$A$2:$A$200,0))="","",INDEX('Test catalog'!$J$2:$J$200,MATCH($Y191,'Test catalog'!$A$2:$A$200,0))),"")</f>
        <v/>
      </c>
      <c r="M191" s="11">
        <f>IFERROR(IF(INDEX('Test catalog'!$K$2:$K$200,MATCH($Y191,'Test catalog'!$A$2:$A$200,0))="","",INDEX('Test catalog'!$K$2:$K$200,MATCH($Y191,'Test catalog'!$A$2:$A$200,0))),"")</f>
        <v/>
      </c>
      <c r="N191" s="11">
        <f>IFERROR(IF(INDEX('Test catalog'!$L$2:$L$200,MATCH($Y191,'Test catalog'!$A$2:$A$200,0))="","",INDEX('Test catalog'!$L$2:$L$200,MATCH($Y191,'Test catalog'!$A$2:$A$200,0))),"")</f>
        <v/>
      </c>
      <c r="O191" s="11">
        <f>IFERROR(IF(INDEX('Test catalog'!$M$2:$M$200,MATCH($Y191,'Test catalog'!$A$2:$A$200,0))="","",INDEX('Test catalog'!$M$2:$M$200,MATCH($Y191,'Test catalog'!$A$2:$A$200,0))),"")</f>
        <v/>
      </c>
      <c r="P191" s="11">
        <f>IFERROR(IF(INDEX('Test catalog'!$N$2:$N$200,MATCH($Y191,'Test catalog'!$A$2:$A$200,0))="","",INDEX('Test catalog'!$N$2:$N$200,MATCH($Y191,'Test catalog'!$A$2:$A$200,0))),"")</f>
        <v/>
      </c>
      <c r="Q191" s="11">
        <f>IFERROR(IF(INDEX('Test catalog'!$O$2:$O$200,MATCH($Y191,'Test catalog'!$A$2:$A$200,0))="","",INDEX('Test catalog'!$O$2:$O$200,MATCH($Y191,'Test catalog'!$A$2:$A$200,0))),"")</f>
        <v/>
      </c>
      <c r="R191" s="11">
        <f>IFERROR(IF(INDEX('Test catalog'!$P$2:$P$200,MATCH($Y191,'Test catalog'!$A$2:$A$200,0))="","",INDEX('Test catalog'!$P$2:$P$200,MATCH($Y191,'Test catalog'!$A$2:$A$200,0))),"")</f>
        <v/>
      </c>
      <c r="S191" s="14" t="n"/>
      <c r="T191" s="5" t="n"/>
      <c r="U191" s="11">
        <f>IFERROR(IF(INDEX('Test catalog'!$Q$2:$Q$200,MATCH($Y191,'Test catalog'!$A$2:$A$200,0))="","",INDEX('Test catalog'!$Q$2:$Q$200,MATCH($Y191,'Test catalog'!$A$2:$A$200,0))),"")</f>
        <v/>
      </c>
      <c r="V191" s="5" t="n"/>
      <c r="W191" s="5" t="n"/>
      <c r="X191" s="5" t="n"/>
      <c r="Y191" s="5" t="inlineStr">
        <is>
          <t>ENUM</t>
        </is>
      </c>
      <c r="Z191" s="11" t="inlineStr">
        <is>
          <t>USP-NF monograph &lt;61&gt;, &lt;62&gt;</t>
        </is>
      </c>
    </row>
    <row r="192">
      <c r="A192" s="11" t="inlineStr">
        <is>
          <t>Maltodextrin</t>
        </is>
      </c>
      <c r="B192" s="11" t="inlineStr">
        <is>
          <t>RM</t>
        </is>
      </c>
      <c r="C192" s="11" t="inlineStr">
        <is>
          <t>Filler / Diluent</t>
        </is>
      </c>
      <c r="D192" s="11" t="inlineStr">
        <is>
          <t>Absence of Escherichia coli (&lt;62&gt; / &lt;2022&gt;)</t>
        </is>
      </c>
      <c r="E192" s="5" t="inlineStr">
        <is>
          <t>Y</t>
        </is>
      </c>
      <c r="F192" s="5" t="n"/>
      <c r="G192" s="11">
        <f>IFERROR(IF(INDEX('Test catalog'!$F$2:$F$200,MATCH($Y192,'Test catalog'!$A$2:$A$200,0))="","",INDEX('Test catalog'!$F$2:$F$200,MATCH($Y192,'Test catalog'!$A$2:$A$200,0))),"")</f>
        <v/>
      </c>
      <c r="H192" s="11">
        <f>IFERROR(IF(INDEX('Test catalog'!$G$2:$G$200,MATCH($Y192,'Test catalog'!$A$2:$A$200,0))="","",INDEX('Test catalog'!$G$2:$G$200,MATCH($Y192,'Test catalog'!$A$2:$A$200,0))),"")</f>
        <v/>
      </c>
      <c r="I192" s="11">
        <f>IFERROR(IF(INDEX('Test catalog'!$H$2:$H$200,MATCH($Y192,'Test catalog'!$A$2:$A$200,0))="","",INDEX('Test catalog'!$H$2:$H$200,MATCH($Y192,'Test catalog'!$A$2:$A$200,0))),"")</f>
        <v/>
      </c>
      <c r="J192" s="11">
        <f>IFERROR(IF(INDEX('Test catalog'!$I$2:$I$200,MATCH($Y192,'Test catalog'!$A$2:$A$200,0))="","",INDEX('Test catalog'!$I$2:$I$200,MATCH($Y192,'Test catalog'!$A$2:$A$200,0))),"")</f>
        <v/>
      </c>
      <c r="K192" s="13">
        <f>IF(I192="","",IF(OR(H192="",J192=""),I192,(H192+4*I192+J192)/6))</f>
        <v/>
      </c>
      <c r="L192" s="11">
        <f>IFERROR(IF(INDEX('Test catalog'!$J$2:$J$200,MATCH($Y192,'Test catalog'!$A$2:$A$200,0))="","",INDEX('Test catalog'!$J$2:$J$200,MATCH($Y192,'Test catalog'!$A$2:$A$200,0))),"")</f>
        <v/>
      </c>
      <c r="M192" s="11">
        <f>IFERROR(IF(INDEX('Test catalog'!$K$2:$K$200,MATCH($Y192,'Test catalog'!$A$2:$A$200,0))="","",INDEX('Test catalog'!$K$2:$K$200,MATCH($Y192,'Test catalog'!$A$2:$A$200,0))),"")</f>
        <v/>
      </c>
      <c r="N192" s="11">
        <f>IFERROR(IF(INDEX('Test catalog'!$L$2:$L$200,MATCH($Y192,'Test catalog'!$A$2:$A$200,0))="","",INDEX('Test catalog'!$L$2:$L$200,MATCH($Y192,'Test catalog'!$A$2:$A$200,0))),"")</f>
        <v/>
      </c>
      <c r="O192" s="11">
        <f>IFERROR(IF(INDEX('Test catalog'!$M$2:$M$200,MATCH($Y192,'Test catalog'!$A$2:$A$200,0))="","",INDEX('Test catalog'!$M$2:$M$200,MATCH($Y192,'Test catalog'!$A$2:$A$200,0))),"")</f>
        <v/>
      </c>
      <c r="P192" s="11">
        <f>IFERROR(IF(INDEX('Test catalog'!$N$2:$N$200,MATCH($Y192,'Test catalog'!$A$2:$A$200,0))="","",INDEX('Test catalog'!$N$2:$N$200,MATCH($Y192,'Test catalog'!$A$2:$A$200,0))),"")</f>
        <v/>
      </c>
      <c r="Q192" s="11">
        <f>IFERROR(IF(INDEX('Test catalog'!$O$2:$O$200,MATCH($Y192,'Test catalog'!$A$2:$A$200,0))="","",INDEX('Test catalog'!$O$2:$O$200,MATCH($Y192,'Test catalog'!$A$2:$A$200,0))),"")</f>
        <v/>
      </c>
      <c r="R192" s="11">
        <f>IFERROR(IF(INDEX('Test catalog'!$P$2:$P$200,MATCH($Y192,'Test catalog'!$A$2:$A$200,0))="","",INDEX('Test catalog'!$P$2:$P$200,MATCH($Y192,'Test catalog'!$A$2:$A$200,0))),"")</f>
        <v/>
      </c>
      <c r="S192" s="14" t="n"/>
      <c r="T192" s="5" t="n"/>
      <c r="U192" s="11">
        <f>IFERROR(IF(INDEX('Test catalog'!$Q$2:$Q$200,MATCH($Y192,'Test catalog'!$A$2:$A$200,0))="","",INDEX('Test catalog'!$Q$2:$Q$200,MATCH($Y192,'Test catalog'!$A$2:$A$200,0))),"")</f>
        <v/>
      </c>
      <c r="V192" s="5" t="n"/>
      <c r="W192" s="5" t="n"/>
      <c r="X192" s="5" t="n"/>
      <c r="Y192" s="5" t="inlineStr">
        <is>
          <t>ECOLI</t>
        </is>
      </c>
      <c r="Z192" s="11" t="inlineStr">
        <is>
          <t>USP-NF monograph &lt;61&gt;, &lt;62&gt;</t>
        </is>
      </c>
    </row>
    <row r="193">
      <c r="A193" s="11" t="inlineStr">
        <is>
          <t>Maltodextrin</t>
        </is>
      </c>
      <c r="B193" s="11" t="inlineStr">
        <is>
          <t>RM</t>
        </is>
      </c>
      <c r="C193" s="11" t="inlineStr">
        <is>
          <t>Filler / Diluent</t>
        </is>
      </c>
      <c r="D193" s="11" t="inlineStr">
        <is>
          <t>Absence of Salmonella (&lt;62&gt; / &lt;2022&gt;)</t>
        </is>
      </c>
      <c r="E193" s="5" t="inlineStr">
        <is>
          <t>Y</t>
        </is>
      </c>
      <c r="F193" s="5" t="n"/>
      <c r="G193" s="11">
        <f>IFERROR(IF(INDEX('Test catalog'!$F$2:$F$200,MATCH($Y193,'Test catalog'!$A$2:$A$200,0))="","",INDEX('Test catalog'!$F$2:$F$200,MATCH($Y193,'Test catalog'!$A$2:$A$200,0))),"")</f>
        <v/>
      </c>
      <c r="H193" s="11">
        <f>IFERROR(IF(INDEX('Test catalog'!$G$2:$G$200,MATCH($Y193,'Test catalog'!$A$2:$A$200,0))="","",INDEX('Test catalog'!$G$2:$G$200,MATCH($Y193,'Test catalog'!$A$2:$A$200,0))),"")</f>
        <v/>
      </c>
      <c r="I193" s="11">
        <f>IFERROR(IF(INDEX('Test catalog'!$H$2:$H$200,MATCH($Y193,'Test catalog'!$A$2:$A$200,0))="","",INDEX('Test catalog'!$H$2:$H$200,MATCH($Y193,'Test catalog'!$A$2:$A$200,0))),"")</f>
        <v/>
      </c>
      <c r="J193" s="11">
        <f>IFERROR(IF(INDEX('Test catalog'!$I$2:$I$200,MATCH($Y193,'Test catalog'!$A$2:$A$200,0))="","",INDEX('Test catalog'!$I$2:$I$200,MATCH($Y193,'Test catalog'!$A$2:$A$200,0))),"")</f>
        <v/>
      </c>
      <c r="K193" s="13">
        <f>IF(I193="","",IF(OR(H193="",J193=""),I193,(H193+4*I193+J193)/6))</f>
        <v/>
      </c>
      <c r="L193" s="11">
        <f>IFERROR(IF(INDEX('Test catalog'!$J$2:$J$200,MATCH($Y193,'Test catalog'!$A$2:$A$200,0))="","",INDEX('Test catalog'!$J$2:$J$200,MATCH($Y193,'Test catalog'!$A$2:$A$200,0))),"")</f>
        <v/>
      </c>
      <c r="M193" s="11">
        <f>IFERROR(IF(INDEX('Test catalog'!$K$2:$K$200,MATCH($Y193,'Test catalog'!$A$2:$A$200,0))="","",INDEX('Test catalog'!$K$2:$K$200,MATCH($Y193,'Test catalog'!$A$2:$A$200,0))),"")</f>
        <v/>
      </c>
      <c r="N193" s="11">
        <f>IFERROR(IF(INDEX('Test catalog'!$L$2:$L$200,MATCH($Y193,'Test catalog'!$A$2:$A$200,0))="","",INDEX('Test catalog'!$L$2:$L$200,MATCH($Y193,'Test catalog'!$A$2:$A$200,0))),"")</f>
        <v/>
      </c>
      <c r="O193" s="11">
        <f>IFERROR(IF(INDEX('Test catalog'!$M$2:$M$200,MATCH($Y193,'Test catalog'!$A$2:$A$200,0))="","",INDEX('Test catalog'!$M$2:$M$200,MATCH($Y193,'Test catalog'!$A$2:$A$200,0))),"")</f>
        <v/>
      </c>
      <c r="P193" s="11">
        <f>IFERROR(IF(INDEX('Test catalog'!$N$2:$N$200,MATCH($Y193,'Test catalog'!$A$2:$A$200,0))="","",INDEX('Test catalog'!$N$2:$N$200,MATCH($Y193,'Test catalog'!$A$2:$A$200,0))),"")</f>
        <v/>
      </c>
      <c r="Q193" s="11">
        <f>IFERROR(IF(INDEX('Test catalog'!$O$2:$O$200,MATCH($Y193,'Test catalog'!$A$2:$A$200,0))="","",INDEX('Test catalog'!$O$2:$O$200,MATCH($Y193,'Test catalog'!$A$2:$A$200,0))),"")</f>
        <v/>
      </c>
      <c r="R193" s="11">
        <f>IFERROR(IF(INDEX('Test catalog'!$P$2:$P$200,MATCH($Y193,'Test catalog'!$A$2:$A$200,0))="","",INDEX('Test catalog'!$P$2:$P$200,MATCH($Y193,'Test catalog'!$A$2:$A$200,0))),"")</f>
        <v/>
      </c>
      <c r="S193" s="14" t="n"/>
      <c r="T193" s="5" t="n"/>
      <c r="U193" s="11">
        <f>IFERROR(IF(INDEX('Test catalog'!$Q$2:$Q$200,MATCH($Y193,'Test catalog'!$A$2:$A$200,0))="","",INDEX('Test catalog'!$Q$2:$Q$200,MATCH($Y193,'Test catalog'!$A$2:$A$200,0))),"")</f>
        <v/>
      </c>
      <c r="V193" s="5" t="n"/>
      <c r="W193" s="5" t="n"/>
      <c r="X193" s="5" t="n"/>
      <c r="Y193" s="5" t="inlineStr">
        <is>
          <t>SALM</t>
        </is>
      </c>
      <c r="Z193" s="11" t="inlineStr">
        <is>
          <t>USP-NF monograph &lt;61&gt;, &lt;62&gt;</t>
        </is>
      </c>
    </row>
    <row r="194">
      <c r="A194" s="11" t="inlineStr">
        <is>
          <t>Mannitol</t>
        </is>
      </c>
      <c r="B194" s="11" t="inlineStr">
        <is>
          <t>RM</t>
        </is>
      </c>
      <c r="C194" s="11" t="inlineStr">
        <is>
          <t>Filler / Diluent</t>
        </is>
      </c>
      <c r="D194" s="11" t="inlineStr">
        <is>
          <t>Microbial enumeration - TAMC + TYMC (&lt;61&gt; / &lt;2021&gt;)</t>
        </is>
      </c>
      <c r="E194" s="5" t="inlineStr">
        <is>
          <t>Y</t>
        </is>
      </c>
      <c r="F194" s="5" t="n"/>
      <c r="G194" s="11">
        <f>IFERROR(IF(INDEX('Test catalog'!$F$2:$F$200,MATCH($Y194,'Test catalog'!$A$2:$A$200,0))="","",INDEX('Test catalog'!$F$2:$F$200,MATCH($Y194,'Test catalog'!$A$2:$A$200,0))),"")</f>
        <v/>
      </c>
      <c r="H194" s="11">
        <f>IFERROR(IF(INDEX('Test catalog'!$G$2:$G$200,MATCH($Y194,'Test catalog'!$A$2:$A$200,0))="","",INDEX('Test catalog'!$G$2:$G$200,MATCH($Y194,'Test catalog'!$A$2:$A$200,0))),"")</f>
        <v/>
      </c>
      <c r="I194" s="11">
        <f>IFERROR(IF(INDEX('Test catalog'!$H$2:$H$200,MATCH($Y194,'Test catalog'!$A$2:$A$200,0))="","",INDEX('Test catalog'!$H$2:$H$200,MATCH($Y194,'Test catalog'!$A$2:$A$200,0))),"")</f>
        <v/>
      </c>
      <c r="J194" s="11">
        <f>IFERROR(IF(INDEX('Test catalog'!$I$2:$I$200,MATCH($Y194,'Test catalog'!$A$2:$A$200,0))="","",INDEX('Test catalog'!$I$2:$I$200,MATCH($Y194,'Test catalog'!$A$2:$A$200,0))),"")</f>
        <v/>
      </c>
      <c r="K194" s="13">
        <f>IF(I194="","",IF(OR(H194="",J194=""),I194,(H194+4*I194+J194)/6))</f>
        <v/>
      </c>
      <c r="L194" s="11">
        <f>IFERROR(IF(INDEX('Test catalog'!$J$2:$J$200,MATCH($Y194,'Test catalog'!$A$2:$A$200,0))="","",INDEX('Test catalog'!$J$2:$J$200,MATCH($Y194,'Test catalog'!$A$2:$A$200,0))),"")</f>
        <v/>
      </c>
      <c r="M194" s="11">
        <f>IFERROR(IF(INDEX('Test catalog'!$K$2:$K$200,MATCH($Y194,'Test catalog'!$A$2:$A$200,0))="","",INDEX('Test catalog'!$K$2:$K$200,MATCH($Y194,'Test catalog'!$A$2:$A$200,0))),"")</f>
        <v/>
      </c>
      <c r="N194" s="11">
        <f>IFERROR(IF(INDEX('Test catalog'!$L$2:$L$200,MATCH($Y194,'Test catalog'!$A$2:$A$200,0))="","",INDEX('Test catalog'!$L$2:$L$200,MATCH($Y194,'Test catalog'!$A$2:$A$200,0))),"")</f>
        <v/>
      </c>
      <c r="O194" s="11">
        <f>IFERROR(IF(INDEX('Test catalog'!$M$2:$M$200,MATCH($Y194,'Test catalog'!$A$2:$A$200,0))="","",INDEX('Test catalog'!$M$2:$M$200,MATCH($Y194,'Test catalog'!$A$2:$A$200,0))),"")</f>
        <v/>
      </c>
      <c r="P194" s="11">
        <f>IFERROR(IF(INDEX('Test catalog'!$N$2:$N$200,MATCH($Y194,'Test catalog'!$A$2:$A$200,0))="","",INDEX('Test catalog'!$N$2:$N$200,MATCH($Y194,'Test catalog'!$A$2:$A$200,0))),"")</f>
        <v/>
      </c>
      <c r="Q194" s="11">
        <f>IFERROR(IF(INDEX('Test catalog'!$O$2:$O$200,MATCH($Y194,'Test catalog'!$A$2:$A$200,0))="","",INDEX('Test catalog'!$O$2:$O$200,MATCH($Y194,'Test catalog'!$A$2:$A$200,0))),"")</f>
        <v/>
      </c>
      <c r="R194" s="11">
        <f>IFERROR(IF(INDEX('Test catalog'!$P$2:$P$200,MATCH($Y194,'Test catalog'!$A$2:$A$200,0))="","",INDEX('Test catalog'!$P$2:$P$200,MATCH($Y194,'Test catalog'!$A$2:$A$200,0))),"")</f>
        <v/>
      </c>
      <c r="S194" s="14" t="n"/>
      <c r="T194" s="5" t="n"/>
      <c r="U194" s="11">
        <f>IFERROR(IF(INDEX('Test catalog'!$Q$2:$Q$200,MATCH($Y194,'Test catalog'!$A$2:$A$200,0))="","",INDEX('Test catalog'!$Q$2:$Q$200,MATCH($Y194,'Test catalog'!$A$2:$A$200,0))),"")</f>
        <v/>
      </c>
      <c r="V194" s="5" t="n"/>
      <c r="W194" s="5" t="n"/>
      <c r="X194" s="5" t="n"/>
      <c r="Y194" s="5" t="inlineStr">
        <is>
          <t>ENUM</t>
        </is>
      </c>
      <c r="Z194" s="11" t="inlineStr">
        <is>
          <t>USP-NF monograph &lt;61&gt;, &lt;62&gt;</t>
        </is>
      </c>
    </row>
    <row r="195">
      <c r="A195" s="11" t="inlineStr">
        <is>
          <t>Mannitol</t>
        </is>
      </c>
      <c r="B195" s="11" t="inlineStr">
        <is>
          <t>RM</t>
        </is>
      </c>
      <c r="C195" s="11" t="inlineStr">
        <is>
          <t>Filler / Diluent</t>
        </is>
      </c>
      <c r="D195" s="11" t="inlineStr">
        <is>
          <t>Absence of Escherichia coli (&lt;62&gt; / &lt;2022&gt;)</t>
        </is>
      </c>
      <c r="E195" s="5" t="inlineStr">
        <is>
          <t>Y</t>
        </is>
      </c>
      <c r="F195" s="5" t="n"/>
      <c r="G195" s="11">
        <f>IFERROR(IF(INDEX('Test catalog'!$F$2:$F$200,MATCH($Y195,'Test catalog'!$A$2:$A$200,0))="","",INDEX('Test catalog'!$F$2:$F$200,MATCH($Y195,'Test catalog'!$A$2:$A$200,0))),"")</f>
        <v/>
      </c>
      <c r="H195" s="11">
        <f>IFERROR(IF(INDEX('Test catalog'!$G$2:$G$200,MATCH($Y195,'Test catalog'!$A$2:$A$200,0))="","",INDEX('Test catalog'!$G$2:$G$200,MATCH($Y195,'Test catalog'!$A$2:$A$200,0))),"")</f>
        <v/>
      </c>
      <c r="I195" s="11">
        <f>IFERROR(IF(INDEX('Test catalog'!$H$2:$H$200,MATCH($Y195,'Test catalog'!$A$2:$A$200,0))="","",INDEX('Test catalog'!$H$2:$H$200,MATCH($Y195,'Test catalog'!$A$2:$A$200,0))),"")</f>
        <v/>
      </c>
      <c r="J195" s="11">
        <f>IFERROR(IF(INDEX('Test catalog'!$I$2:$I$200,MATCH($Y195,'Test catalog'!$A$2:$A$200,0))="","",INDEX('Test catalog'!$I$2:$I$200,MATCH($Y195,'Test catalog'!$A$2:$A$200,0))),"")</f>
        <v/>
      </c>
      <c r="K195" s="13">
        <f>IF(I195="","",IF(OR(H195="",J195=""),I195,(H195+4*I195+J195)/6))</f>
        <v/>
      </c>
      <c r="L195" s="11">
        <f>IFERROR(IF(INDEX('Test catalog'!$J$2:$J$200,MATCH($Y195,'Test catalog'!$A$2:$A$200,0))="","",INDEX('Test catalog'!$J$2:$J$200,MATCH($Y195,'Test catalog'!$A$2:$A$200,0))),"")</f>
        <v/>
      </c>
      <c r="M195" s="11">
        <f>IFERROR(IF(INDEX('Test catalog'!$K$2:$K$200,MATCH($Y195,'Test catalog'!$A$2:$A$200,0))="","",INDEX('Test catalog'!$K$2:$K$200,MATCH($Y195,'Test catalog'!$A$2:$A$200,0))),"")</f>
        <v/>
      </c>
      <c r="N195" s="11">
        <f>IFERROR(IF(INDEX('Test catalog'!$L$2:$L$200,MATCH($Y195,'Test catalog'!$A$2:$A$200,0))="","",INDEX('Test catalog'!$L$2:$L$200,MATCH($Y195,'Test catalog'!$A$2:$A$200,0))),"")</f>
        <v/>
      </c>
      <c r="O195" s="11">
        <f>IFERROR(IF(INDEX('Test catalog'!$M$2:$M$200,MATCH($Y195,'Test catalog'!$A$2:$A$200,0))="","",INDEX('Test catalog'!$M$2:$M$200,MATCH($Y195,'Test catalog'!$A$2:$A$200,0))),"")</f>
        <v/>
      </c>
      <c r="P195" s="11">
        <f>IFERROR(IF(INDEX('Test catalog'!$N$2:$N$200,MATCH($Y195,'Test catalog'!$A$2:$A$200,0))="","",INDEX('Test catalog'!$N$2:$N$200,MATCH($Y195,'Test catalog'!$A$2:$A$200,0))),"")</f>
        <v/>
      </c>
      <c r="Q195" s="11">
        <f>IFERROR(IF(INDEX('Test catalog'!$O$2:$O$200,MATCH($Y195,'Test catalog'!$A$2:$A$200,0))="","",INDEX('Test catalog'!$O$2:$O$200,MATCH($Y195,'Test catalog'!$A$2:$A$200,0))),"")</f>
        <v/>
      </c>
      <c r="R195" s="11">
        <f>IFERROR(IF(INDEX('Test catalog'!$P$2:$P$200,MATCH($Y195,'Test catalog'!$A$2:$A$200,0))="","",INDEX('Test catalog'!$P$2:$P$200,MATCH($Y195,'Test catalog'!$A$2:$A$200,0))),"")</f>
        <v/>
      </c>
      <c r="S195" s="14" t="n"/>
      <c r="T195" s="5" t="n"/>
      <c r="U195" s="11">
        <f>IFERROR(IF(INDEX('Test catalog'!$Q$2:$Q$200,MATCH($Y195,'Test catalog'!$A$2:$A$200,0))="","",INDEX('Test catalog'!$Q$2:$Q$200,MATCH($Y195,'Test catalog'!$A$2:$A$200,0))),"")</f>
        <v/>
      </c>
      <c r="V195" s="5" t="n"/>
      <c r="W195" s="5" t="n"/>
      <c r="X195" s="5" t="n"/>
      <c r="Y195" s="5" t="inlineStr">
        <is>
          <t>ECOLI</t>
        </is>
      </c>
      <c r="Z195" s="11" t="inlineStr">
        <is>
          <t>USP-NF monograph &lt;61&gt;, &lt;62&gt;</t>
        </is>
      </c>
    </row>
    <row r="196">
      <c r="A196" s="11" t="inlineStr">
        <is>
          <t>Mannitol</t>
        </is>
      </c>
      <c r="B196" s="11" t="inlineStr">
        <is>
          <t>RM</t>
        </is>
      </c>
      <c r="C196" s="11" t="inlineStr">
        <is>
          <t>Filler / Diluent</t>
        </is>
      </c>
      <c r="D196" s="11" t="inlineStr">
        <is>
          <t>Bacterial endotoxins (&lt;85&gt;)</t>
        </is>
      </c>
      <c r="E196" s="5" t="inlineStr">
        <is>
          <t>N</t>
        </is>
      </c>
      <c r="F196" s="5" t="n"/>
      <c r="G196" s="11">
        <f>IFERROR(IF(INDEX('Test catalog'!$F$2:$F$200,MATCH($Y196,'Test catalog'!$A$2:$A$200,0))="","",INDEX('Test catalog'!$F$2:$F$200,MATCH($Y196,'Test catalog'!$A$2:$A$200,0))),"")</f>
        <v/>
      </c>
      <c r="H196" s="11">
        <f>IFERROR(IF(INDEX('Test catalog'!$G$2:$G$200,MATCH($Y196,'Test catalog'!$A$2:$A$200,0))="","",INDEX('Test catalog'!$G$2:$G$200,MATCH($Y196,'Test catalog'!$A$2:$A$200,0))),"")</f>
        <v/>
      </c>
      <c r="I196" s="11">
        <f>IFERROR(IF(INDEX('Test catalog'!$H$2:$H$200,MATCH($Y196,'Test catalog'!$A$2:$A$200,0))="","",INDEX('Test catalog'!$H$2:$H$200,MATCH($Y196,'Test catalog'!$A$2:$A$200,0))),"")</f>
        <v/>
      </c>
      <c r="J196" s="11">
        <f>IFERROR(IF(INDEX('Test catalog'!$I$2:$I$200,MATCH($Y196,'Test catalog'!$A$2:$A$200,0))="","",INDEX('Test catalog'!$I$2:$I$200,MATCH($Y196,'Test catalog'!$A$2:$A$200,0))),"")</f>
        <v/>
      </c>
      <c r="K196" s="13">
        <f>IF(I196="","",IF(OR(H196="",J196=""),I196,(H196+4*I196+J196)/6))</f>
        <v/>
      </c>
      <c r="L196" s="11">
        <f>IFERROR(IF(INDEX('Test catalog'!$J$2:$J$200,MATCH($Y196,'Test catalog'!$A$2:$A$200,0))="","",INDEX('Test catalog'!$J$2:$J$200,MATCH($Y196,'Test catalog'!$A$2:$A$200,0))),"")</f>
        <v/>
      </c>
      <c r="M196" s="11">
        <f>IFERROR(IF(INDEX('Test catalog'!$K$2:$K$200,MATCH($Y196,'Test catalog'!$A$2:$A$200,0))="","",INDEX('Test catalog'!$K$2:$K$200,MATCH($Y196,'Test catalog'!$A$2:$A$200,0))),"")</f>
        <v/>
      </c>
      <c r="N196" s="11">
        <f>IFERROR(IF(INDEX('Test catalog'!$L$2:$L$200,MATCH($Y196,'Test catalog'!$A$2:$A$200,0))="","",INDEX('Test catalog'!$L$2:$L$200,MATCH($Y196,'Test catalog'!$A$2:$A$200,0))),"")</f>
        <v/>
      </c>
      <c r="O196" s="11">
        <f>IFERROR(IF(INDEX('Test catalog'!$M$2:$M$200,MATCH($Y196,'Test catalog'!$A$2:$A$200,0))="","",INDEX('Test catalog'!$M$2:$M$200,MATCH($Y196,'Test catalog'!$A$2:$A$200,0))),"")</f>
        <v/>
      </c>
      <c r="P196" s="11">
        <f>IFERROR(IF(INDEX('Test catalog'!$N$2:$N$200,MATCH($Y196,'Test catalog'!$A$2:$A$200,0))="","",INDEX('Test catalog'!$N$2:$N$200,MATCH($Y196,'Test catalog'!$A$2:$A$200,0))),"")</f>
        <v/>
      </c>
      <c r="Q196" s="11">
        <f>IFERROR(IF(INDEX('Test catalog'!$O$2:$O$200,MATCH($Y196,'Test catalog'!$A$2:$A$200,0))="","",INDEX('Test catalog'!$O$2:$O$200,MATCH($Y196,'Test catalog'!$A$2:$A$200,0))),"")</f>
        <v/>
      </c>
      <c r="R196" s="11">
        <f>IFERROR(IF(INDEX('Test catalog'!$P$2:$P$200,MATCH($Y196,'Test catalog'!$A$2:$A$200,0))="","",INDEX('Test catalog'!$P$2:$P$200,MATCH($Y196,'Test catalog'!$A$2:$A$200,0))),"")</f>
        <v/>
      </c>
      <c r="S196" s="14" t="n"/>
      <c r="T196" s="5" t="n"/>
      <c r="U196" s="11">
        <f>IFERROR(IF(INDEX('Test catalog'!$Q$2:$Q$200,MATCH($Y196,'Test catalog'!$A$2:$A$200,0))="","",INDEX('Test catalog'!$Q$2:$Q$200,MATCH($Y196,'Test catalog'!$A$2:$A$200,0))),"")</f>
        <v/>
      </c>
      <c r="V196" s="5" t="n"/>
      <c r="W196" s="5" t="n"/>
      <c r="X196" s="5" t="inlineStr">
        <is>
          <t>Only for some grades/labels (sterile / parenteral)</t>
        </is>
      </c>
      <c r="Y196" s="5" t="inlineStr">
        <is>
          <t>BET</t>
        </is>
      </c>
      <c r="Z196" s="11" t="inlineStr">
        <is>
          <t>USP-NF monograph &lt;85&gt;</t>
        </is>
      </c>
    </row>
    <row r="197">
      <c r="A197" s="11" t="inlineStr">
        <is>
          <t>Microcrystalline Cellulose PH 101</t>
        </is>
      </c>
      <c r="B197" s="11" t="inlineStr">
        <is>
          <t>RM</t>
        </is>
      </c>
      <c r="C197" s="11" t="inlineStr">
        <is>
          <t>Filler / Diluent</t>
        </is>
      </c>
      <c r="D197" s="11" t="inlineStr">
        <is>
          <t>Microbial enumeration - TAMC + TYMC (&lt;61&gt; / &lt;2021&gt;)</t>
        </is>
      </c>
      <c r="E197" s="5" t="inlineStr">
        <is>
          <t>Y</t>
        </is>
      </c>
      <c r="F197" s="5" t="n"/>
      <c r="G197" s="11">
        <f>IFERROR(IF(INDEX('Test catalog'!$F$2:$F$200,MATCH($Y197,'Test catalog'!$A$2:$A$200,0))="","",INDEX('Test catalog'!$F$2:$F$200,MATCH($Y197,'Test catalog'!$A$2:$A$200,0))),"")</f>
        <v/>
      </c>
      <c r="H197" s="11">
        <f>IFERROR(IF(INDEX('Test catalog'!$G$2:$G$200,MATCH($Y197,'Test catalog'!$A$2:$A$200,0))="","",INDEX('Test catalog'!$G$2:$G$200,MATCH($Y197,'Test catalog'!$A$2:$A$200,0))),"")</f>
        <v/>
      </c>
      <c r="I197" s="11">
        <f>IFERROR(IF(INDEX('Test catalog'!$H$2:$H$200,MATCH($Y197,'Test catalog'!$A$2:$A$200,0))="","",INDEX('Test catalog'!$H$2:$H$200,MATCH($Y197,'Test catalog'!$A$2:$A$200,0))),"")</f>
        <v/>
      </c>
      <c r="J197" s="11">
        <f>IFERROR(IF(INDEX('Test catalog'!$I$2:$I$200,MATCH($Y197,'Test catalog'!$A$2:$A$200,0))="","",INDEX('Test catalog'!$I$2:$I$200,MATCH($Y197,'Test catalog'!$A$2:$A$200,0))),"")</f>
        <v/>
      </c>
      <c r="K197" s="13">
        <f>IF(I197="","",IF(OR(H197="",J197=""),I197,(H197+4*I197+J197)/6))</f>
        <v/>
      </c>
      <c r="L197" s="11">
        <f>IFERROR(IF(INDEX('Test catalog'!$J$2:$J$200,MATCH($Y197,'Test catalog'!$A$2:$A$200,0))="","",INDEX('Test catalog'!$J$2:$J$200,MATCH($Y197,'Test catalog'!$A$2:$A$200,0))),"")</f>
        <v/>
      </c>
      <c r="M197" s="11">
        <f>IFERROR(IF(INDEX('Test catalog'!$K$2:$K$200,MATCH($Y197,'Test catalog'!$A$2:$A$200,0))="","",INDEX('Test catalog'!$K$2:$K$200,MATCH($Y197,'Test catalog'!$A$2:$A$200,0))),"")</f>
        <v/>
      </c>
      <c r="N197" s="11">
        <f>IFERROR(IF(INDEX('Test catalog'!$L$2:$L$200,MATCH($Y197,'Test catalog'!$A$2:$A$200,0))="","",INDEX('Test catalog'!$L$2:$L$200,MATCH($Y197,'Test catalog'!$A$2:$A$200,0))),"")</f>
        <v/>
      </c>
      <c r="O197" s="11">
        <f>IFERROR(IF(INDEX('Test catalog'!$M$2:$M$200,MATCH($Y197,'Test catalog'!$A$2:$A$200,0))="","",INDEX('Test catalog'!$M$2:$M$200,MATCH($Y197,'Test catalog'!$A$2:$A$200,0))),"")</f>
        <v/>
      </c>
      <c r="P197" s="11">
        <f>IFERROR(IF(INDEX('Test catalog'!$N$2:$N$200,MATCH($Y197,'Test catalog'!$A$2:$A$200,0))="","",INDEX('Test catalog'!$N$2:$N$200,MATCH($Y197,'Test catalog'!$A$2:$A$200,0))),"")</f>
        <v/>
      </c>
      <c r="Q197" s="11">
        <f>IFERROR(IF(INDEX('Test catalog'!$O$2:$O$200,MATCH($Y197,'Test catalog'!$A$2:$A$200,0))="","",INDEX('Test catalog'!$O$2:$O$200,MATCH($Y197,'Test catalog'!$A$2:$A$200,0))),"")</f>
        <v/>
      </c>
      <c r="R197" s="11">
        <f>IFERROR(IF(INDEX('Test catalog'!$P$2:$P$200,MATCH($Y197,'Test catalog'!$A$2:$A$200,0))="","",INDEX('Test catalog'!$P$2:$P$200,MATCH($Y197,'Test catalog'!$A$2:$A$200,0))),"")</f>
        <v/>
      </c>
      <c r="S197" s="14" t="n"/>
      <c r="T197" s="5" t="n"/>
      <c r="U197" s="11">
        <f>IFERROR(IF(INDEX('Test catalog'!$Q$2:$Q$200,MATCH($Y197,'Test catalog'!$A$2:$A$200,0))="","",INDEX('Test catalog'!$Q$2:$Q$200,MATCH($Y197,'Test catalog'!$A$2:$A$200,0))),"")</f>
        <v/>
      </c>
      <c r="V197" s="5" t="n"/>
      <c r="W197" s="5" t="n"/>
      <c r="X197" s="5" t="n"/>
      <c r="Y197" s="5" t="inlineStr">
        <is>
          <t>ENUM</t>
        </is>
      </c>
      <c r="Z197" s="11" t="inlineStr">
        <is>
          <t>USP-NF monograph &lt;61&gt;, &lt;62&gt;</t>
        </is>
      </c>
    </row>
    <row r="198">
      <c r="A198" s="11" t="inlineStr">
        <is>
          <t>Microcrystalline Cellulose PH 101</t>
        </is>
      </c>
      <c r="B198" s="11" t="inlineStr">
        <is>
          <t>RM</t>
        </is>
      </c>
      <c r="C198" s="11" t="inlineStr">
        <is>
          <t>Filler / Diluent</t>
        </is>
      </c>
      <c r="D198" s="11" t="inlineStr">
        <is>
          <t>Absence of Escherichia coli (&lt;62&gt; / &lt;2022&gt;)</t>
        </is>
      </c>
      <c r="E198" s="5" t="inlineStr">
        <is>
          <t>Y</t>
        </is>
      </c>
      <c r="F198" s="5" t="n"/>
      <c r="G198" s="11">
        <f>IFERROR(IF(INDEX('Test catalog'!$F$2:$F$200,MATCH($Y198,'Test catalog'!$A$2:$A$200,0))="","",INDEX('Test catalog'!$F$2:$F$200,MATCH($Y198,'Test catalog'!$A$2:$A$200,0))),"")</f>
        <v/>
      </c>
      <c r="H198" s="11">
        <f>IFERROR(IF(INDEX('Test catalog'!$G$2:$G$200,MATCH($Y198,'Test catalog'!$A$2:$A$200,0))="","",INDEX('Test catalog'!$G$2:$G$200,MATCH($Y198,'Test catalog'!$A$2:$A$200,0))),"")</f>
        <v/>
      </c>
      <c r="I198" s="11">
        <f>IFERROR(IF(INDEX('Test catalog'!$H$2:$H$200,MATCH($Y198,'Test catalog'!$A$2:$A$200,0))="","",INDEX('Test catalog'!$H$2:$H$200,MATCH($Y198,'Test catalog'!$A$2:$A$200,0))),"")</f>
        <v/>
      </c>
      <c r="J198" s="11">
        <f>IFERROR(IF(INDEX('Test catalog'!$I$2:$I$200,MATCH($Y198,'Test catalog'!$A$2:$A$200,0))="","",INDEX('Test catalog'!$I$2:$I$200,MATCH($Y198,'Test catalog'!$A$2:$A$200,0))),"")</f>
        <v/>
      </c>
      <c r="K198" s="13">
        <f>IF(I198="","",IF(OR(H198="",J198=""),I198,(H198+4*I198+J198)/6))</f>
        <v/>
      </c>
      <c r="L198" s="11">
        <f>IFERROR(IF(INDEX('Test catalog'!$J$2:$J$200,MATCH($Y198,'Test catalog'!$A$2:$A$200,0))="","",INDEX('Test catalog'!$J$2:$J$200,MATCH($Y198,'Test catalog'!$A$2:$A$200,0))),"")</f>
        <v/>
      </c>
      <c r="M198" s="11">
        <f>IFERROR(IF(INDEX('Test catalog'!$K$2:$K$200,MATCH($Y198,'Test catalog'!$A$2:$A$200,0))="","",INDEX('Test catalog'!$K$2:$K$200,MATCH($Y198,'Test catalog'!$A$2:$A$200,0))),"")</f>
        <v/>
      </c>
      <c r="N198" s="11">
        <f>IFERROR(IF(INDEX('Test catalog'!$L$2:$L$200,MATCH($Y198,'Test catalog'!$A$2:$A$200,0))="","",INDEX('Test catalog'!$L$2:$L$200,MATCH($Y198,'Test catalog'!$A$2:$A$200,0))),"")</f>
        <v/>
      </c>
      <c r="O198" s="11">
        <f>IFERROR(IF(INDEX('Test catalog'!$M$2:$M$200,MATCH($Y198,'Test catalog'!$A$2:$A$200,0))="","",INDEX('Test catalog'!$M$2:$M$200,MATCH($Y198,'Test catalog'!$A$2:$A$200,0))),"")</f>
        <v/>
      </c>
      <c r="P198" s="11">
        <f>IFERROR(IF(INDEX('Test catalog'!$N$2:$N$200,MATCH($Y198,'Test catalog'!$A$2:$A$200,0))="","",INDEX('Test catalog'!$N$2:$N$200,MATCH($Y198,'Test catalog'!$A$2:$A$200,0))),"")</f>
        <v/>
      </c>
      <c r="Q198" s="11">
        <f>IFERROR(IF(INDEX('Test catalog'!$O$2:$O$200,MATCH($Y198,'Test catalog'!$A$2:$A$200,0))="","",INDEX('Test catalog'!$O$2:$O$200,MATCH($Y198,'Test catalog'!$A$2:$A$200,0))),"")</f>
        <v/>
      </c>
      <c r="R198" s="11">
        <f>IFERROR(IF(INDEX('Test catalog'!$P$2:$P$200,MATCH($Y198,'Test catalog'!$A$2:$A$200,0))="","",INDEX('Test catalog'!$P$2:$P$200,MATCH($Y198,'Test catalog'!$A$2:$A$200,0))),"")</f>
        <v/>
      </c>
      <c r="S198" s="14" t="n"/>
      <c r="T198" s="5" t="n"/>
      <c r="U198" s="11">
        <f>IFERROR(IF(INDEX('Test catalog'!$Q$2:$Q$200,MATCH($Y198,'Test catalog'!$A$2:$A$200,0))="","",INDEX('Test catalog'!$Q$2:$Q$200,MATCH($Y198,'Test catalog'!$A$2:$A$200,0))),"")</f>
        <v/>
      </c>
      <c r="V198" s="5" t="n"/>
      <c r="W198" s="5" t="n"/>
      <c r="X198" s="5" t="n"/>
      <c r="Y198" s="5" t="inlineStr">
        <is>
          <t>ECOLI</t>
        </is>
      </c>
      <c r="Z198" s="11" t="inlineStr">
        <is>
          <t>USP-NF monograph &lt;61&gt;, &lt;62&gt;</t>
        </is>
      </c>
    </row>
    <row r="199">
      <c r="A199" s="11" t="inlineStr">
        <is>
          <t>Microcrystalline Cellulose PH 101</t>
        </is>
      </c>
      <c r="B199" s="11" t="inlineStr">
        <is>
          <t>RM</t>
        </is>
      </c>
      <c r="C199" s="11" t="inlineStr">
        <is>
          <t>Filler / Diluent</t>
        </is>
      </c>
      <c r="D199" s="11" t="inlineStr">
        <is>
          <t>Absence of Salmonella (&lt;62&gt; / &lt;2022&gt;)</t>
        </is>
      </c>
      <c r="E199" s="5" t="inlineStr">
        <is>
          <t>Y</t>
        </is>
      </c>
      <c r="F199" s="5" t="n"/>
      <c r="G199" s="11">
        <f>IFERROR(IF(INDEX('Test catalog'!$F$2:$F$200,MATCH($Y199,'Test catalog'!$A$2:$A$200,0))="","",INDEX('Test catalog'!$F$2:$F$200,MATCH($Y199,'Test catalog'!$A$2:$A$200,0))),"")</f>
        <v/>
      </c>
      <c r="H199" s="11">
        <f>IFERROR(IF(INDEX('Test catalog'!$G$2:$G$200,MATCH($Y199,'Test catalog'!$A$2:$A$200,0))="","",INDEX('Test catalog'!$G$2:$G$200,MATCH($Y199,'Test catalog'!$A$2:$A$200,0))),"")</f>
        <v/>
      </c>
      <c r="I199" s="11">
        <f>IFERROR(IF(INDEX('Test catalog'!$H$2:$H$200,MATCH($Y199,'Test catalog'!$A$2:$A$200,0))="","",INDEX('Test catalog'!$H$2:$H$200,MATCH($Y199,'Test catalog'!$A$2:$A$200,0))),"")</f>
        <v/>
      </c>
      <c r="J199" s="11">
        <f>IFERROR(IF(INDEX('Test catalog'!$I$2:$I$200,MATCH($Y199,'Test catalog'!$A$2:$A$200,0))="","",INDEX('Test catalog'!$I$2:$I$200,MATCH($Y199,'Test catalog'!$A$2:$A$200,0))),"")</f>
        <v/>
      </c>
      <c r="K199" s="13">
        <f>IF(I199="","",IF(OR(H199="",J199=""),I199,(H199+4*I199+J199)/6))</f>
        <v/>
      </c>
      <c r="L199" s="11">
        <f>IFERROR(IF(INDEX('Test catalog'!$J$2:$J$200,MATCH($Y199,'Test catalog'!$A$2:$A$200,0))="","",INDEX('Test catalog'!$J$2:$J$200,MATCH($Y199,'Test catalog'!$A$2:$A$200,0))),"")</f>
        <v/>
      </c>
      <c r="M199" s="11">
        <f>IFERROR(IF(INDEX('Test catalog'!$K$2:$K$200,MATCH($Y199,'Test catalog'!$A$2:$A$200,0))="","",INDEX('Test catalog'!$K$2:$K$200,MATCH($Y199,'Test catalog'!$A$2:$A$200,0))),"")</f>
        <v/>
      </c>
      <c r="N199" s="11">
        <f>IFERROR(IF(INDEX('Test catalog'!$L$2:$L$200,MATCH($Y199,'Test catalog'!$A$2:$A$200,0))="","",INDEX('Test catalog'!$L$2:$L$200,MATCH($Y199,'Test catalog'!$A$2:$A$200,0))),"")</f>
        <v/>
      </c>
      <c r="O199" s="11">
        <f>IFERROR(IF(INDEX('Test catalog'!$M$2:$M$200,MATCH($Y199,'Test catalog'!$A$2:$A$200,0))="","",INDEX('Test catalog'!$M$2:$M$200,MATCH($Y199,'Test catalog'!$A$2:$A$200,0))),"")</f>
        <v/>
      </c>
      <c r="P199" s="11">
        <f>IFERROR(IF(INDEX('Test catalog'!$N$2:$N$200,MATCH($Y199,'Test catalog'!$A$2:$A$200,0))="","",INDEX('Test catalog'!$N$2:$N$200,MATCH($Y199,'Test catalog'!$A$2:$A$200,0))),"")</f>
        <v/>
      </c>
      <c r="Q199" s="11">
        <f>IFERROR(IF(INDEX('Test catalog'!$O$2:$O$200,MATCH($Y199,'Test catalog'!$A$2:$A$200,0))="","",INDEX('Test catalog'!$O$2:$O$200,MATCH($Y199,'Test catalog'!$A$2:$A$200,0))),"")</f>
        <v/>
      </c>
      <c r="R199" s="11">
        <f>IFERROR(IF(INDEX('Test catalog'!$P$2:$P$200,MATCH($Y199,'Test catalog'!$A$2:$A$200,0))="","",INDEX('Test catalog'!$P$2:$P$200,MATCH($Y199,'Test catalog'!$A$2:$A$200,0))),"")</f>
        <v/>
      </c>
      <c r="S199" s="14" t="n"/>
      <c r="T199" s="5" t="n"/>
      <c r="U199" s="11">
        <f>IFERROR(IF(INDEX('Test catalog'!$Q$2:$Q$200,MATCH($Y199,'Test catalog'!$A$2:$A$200,0))="","",INDEX('Test catalog'!$Q$2:$Q$200,MATCH($Y199,'Test catalog'!$A$2:$A$200,0))),"")</f>
        <v/>
      </c>
      <c r="V199" s="5" t="n"/>
      <c r="W199" s="5" t="n"/>
      <c r="X199" s="5" t="n"/>
      <c r="Y199" s="5" t="inlineStr">
        <is>
          <t>SALM</t>
        </is>
      </c>
      <c r="Z199" s="11" t="inlineStr">
        <is>
          <t>USP-NF monograph &lt;61&gt;, &lt;62&gt;</t>
        </is>
      </c>
    </row>
    <row r="200">
      <c r="A200" s="11" t="inlineStr">
        <is>
          <t>Microcrystalline Cellulose PH 101</t>
        </is>
      </c>
      <c r="B200" s="11" t="inlineStr">
        <is>
          <t>RM</t>
        </is>
      </c>
      <c r="C200" s="11" t="inlineStr">
        <is>
          <t>Filler / Diluent</t>
        </is>
      </c>
      <c r="D200" s="11" t="inlineStr">
        <is>
          <t>Absence of Pseudomonas aeruginosa (&lt;62&gt;)</t>
        </is>
      </c>
      <c r="E200" s="5" t="inlineStr">
        <is>
          <t>Y</t>
        </is>
      </c>
      <c r="F200" s="5" t="n"/>
      <c r="G200" s="11">
        <f>IFERROR(IF(INDEX('Test catalog'!$F$2:$F$200,MATCH($Y200,'Test catalog'!$A$2:$A$200,0))="","",INDEX('Test catalog'!$F$2:$F$200,MATCH($Y200,'Test catalog'!$A$2:$A$200,0))),"")</f>
        <v/>
      </c>
      <c r="H200" s="11">
        <f>IFERROR(IF(INDEX('Test catalog'!$G$2:$G$200,MATCH($Y200,'Test catalog'!$A$2:$A$200,0))="","",INDEX('Test catalog'!$G$2:$G$200,MATCH($Y200,'Test catalog'!$A$2:$A$200,0))),"")</f>
        <v/>
      </c>
      <c r="I200" s="11">
        <f>IFERROR(IF(INDEX('Test catalog'!$H$2:$H$200,MATCH($Y200,'Test catalog'!$A$2:$A$200,0))="","",INDEX('Test catalog'!$H$2:$H$200,MATCH($Y200,'Test catalog'!$A$2:$A$200,0))),"")</f>
        <v/>
      </c>
      <c r="J200" s="11">
        <f>IFERROR(IF(INDEX('Test catalog'!$I$2:$I$200,MATCH($Y200,'Test catalog'!$A$2:$A$200,0))="","",INDEX('Test catalog'!$I$2:$I$200,MATCH($Y200,'Test catalog'!$A$2:$A$200,0))),"")</f>
        <v/>
      </c>
      <c r="K200" s="13">
        <f>IF(I200="","",IF(OR(H200="",J200=""),I200,(H200+4*I200+J200)/6))</f>
        <v/>
      </c>
      <c r="L200" s="11">
        <f>IFERROR(IF(INDEX('Test catalog'!$J$2:$J$200,MATCH($Y200,'Test catalog'!$A$2:$A$200,0))="","",INDEX('Test catalog'!$J$2:$J$200,MATCH($Y200,'Test catalog'!$A$2:$A$200,0))),"")</f>
        <v/>
      </c>
      <c r="M200" s="11">
        <f>IFERROR(IF(INDEX('Test catalog'!$K$2:$K$200,MATCH($Y200,'Test catalog'!$A$2:$A$200,0))="","",INDEX('Test catalog'!$K$2:$K$200,MATCH($Y200,'Test catalog'!$A$2:$A$200,0))),"")</f>
        <v/>
      </c>
      <c r="N200" s="11">
        <f>IFERROR(IF(INDEX('Test catalog'!$L$2:$L$200,MATCH($Y200,'Test catalog'!$A$2:$A$200,0))="","",INDEX('Test catalog'!$L$2:$L$200,MATCH($Y200,'Test catalog'!$A$2:$A$200,0))),"")</f>
        <v/>
      </c>
      <c r="O200" s="11">
        <f>IFERROR(IF(INDEX('Test catalog'!$M$2:$M$200,MATCH($Y200,'Test catalog'!$A$2:$A$200,0))="","",INDEX('Test catalog'!$M$2:$M$200,MATCH($Y200,'Test catalog'!$A$2:$A$200,0))),"")</f>
        <v/>
      </c>
      <c r="P200" s="11">
        <f>IFERROR(IF(INDEX('Test catalog'!$N$2:$N$200,MATCH($Y200,'Test catalog'!$A$2:$A$200,0))="","",INDEX('Test catalog'!$N$2:$N$200,MATCH($Y200,'Test catalog'!$A$2:$A$200,0))),"")</f>
        <v/>
      </c>
      <c r="Q200" s="11">
        <f>IFERROR(IF(INDEX('Test catalog'!$O$2:$O$200,MATCH($Y200,'Test catalog'!$A$2:$A$200,0))="","",INDEX('Test catalog'!$O$2:$O$200,MATCH($Y200,'Test catalog'!$A$2:$A$200,0))),"")</f>
        <v/>
      </c>
      <c r="R200" s="11">
        <f>IFERROR(IF(INDEX('Test catalog'!$P$2:$P$200,MATCH($Y200,'Test catalog'!$A$2:$A$200,0))="","",INDEX('Test catalog'!$P$2:$P$200,MATCH($Y200,'Test catalog'!$A$2:$A$200,0))),"")</f>
        <v/>
      </c>
      <c r="S200" s="14" t="n"/>
      <c r="T200" s="5" t="n"/>
      <c r="U200" s="11">
        <f>IFERROR(IF(INDEX('Test catalog'!$Q$2:$Q$200,MATCH($Y200,'Test catalog'!$A$2:$A$200,0))="","",INDEX('Test catalog'!$Q$2:$Q$200,MATCH($Y200,'Test catalog'!$A$2:$A$200,0))),"")</f>
        <v/>
      </c>
      <c r="V200" s="5" t="n"/>
      <c r="W200" s="5" t="n"/>
      <c r="X200" s="5" t="n"/>
      <c r="Y200" s="5" t="inlineStr">
        <is>
          <t>PSAE</t>
        </is>
      </c>
      <c r="Z200" s="11" t="inlineStr">
        <is>
          <t>USP-NF monograph &lt;61&gt;, &lt;62&gt;</t>
        </is>
      </c>
    </row>
    <row r="201">
      <c r="A201" s="11" t="inlineStr">
        <is>
          <t>Microcrystalline Cellulose PH 101</t>
        </is>
      </c>
      <c r="B201" s="11" t="inlineStr">
        <is>
          <t>RM</t>
        </is>
      </c>
      <c r="C201" s="11" t="inlineStr">
        <is>
          <t>Filler / Diluent</t>
        </is>
      </c>
      <c r="D201" s="11" t="inlineStr">
        <is>
          <t>Absence of Staphylococcus aureus (&lt;62&gt;)</t>
        </is>
      </c>
      <c r="E201" s="5" t="inlineStr">
        <is>
          <t>Y</t>
        </is>
      </c>
      <c r="F201" s="5" t="n"/>
      <c r="G201" s="11">
        <f>IFERROR(IF(INDEX('Test catalog'!$F$2:$F$200,MATCH($Y201,'Test catalog'!$A$2:$A$200,0))="","",INDEX('Test catalog'!$F$2:$F$200,MATCH($Y201,'Test catalog'!$A$2:$A$200,0))),"")</f>
        <v/>
      </c>
      <c r="H201" s="11">
        <f>IFERROR(IF(INDEX('Test catalog'!$G$2:$G$200,MATCH($Y201,'Test catalog'!$A$2:$A$200,0))="","",INDEX('Test catalog'!$G$2:$G$200,MATCH($Y201,'Test catalog'!$A$2:$A$200,0))),"")</f>
        <v/>
      </c>
      <c r="I201" s="11">
        <f>IFERROR(IF(INDEX('Test catalog'!$H$2:$H$200,MATCH($Y201,'Test catalog'!$A$2:$A$200,0))="","",INDEX('Test catalog'!$H$2:$H$200,MATCH($Y201,'Test catalog'!$A$2:$A$200,0))),"")</f>
        <v/>
      </c>
      <c r="J201" s="11">
        <f>IFERROR(IF(INDEX('Test catalog'!$I$2:$I$200,MATCH($Y201,'Test catalog'!$A$2:$A$200,0))="","",INDEX('Test catalog'!$I$2:$I$200,MATCH($Y201,'Test catalog'!$A$2:$A$200,0))),"")</f>
        <v/>
      </c>
      <c r="K201" s="13">
        <f>IF(I201="","",IF(OR(H201="",J201=""),I201,(H201+4*I201+J201)/6))</f>
        <v/>
      </c>
      <c r="L201" s="11">
        <f>IFERROR(IF(INDEX('Test catalog'!$J$2:$J$200,MATCH($Y201,'Test catalog'!$A$2:$A$200,0))="","",INDEX('Test catalog'!$J$2:$J$200,MATCH($Y201,'Test catalog'!$A$2:$A$200,0))),"")</f>
        <v/>
      </c>
      <c r="M201" s="11">
        <f>IFERROR(IF(INDEX('Test catalog'!$K$2:$K$200,MATCH($Y201,'Test catalog'!$A$2:$A$200,0))="","",INDEX('Test catalog'!$K$2:$K$200,MATCH($Y201,'Test catalog'!$A$2:$A$200,0))),"")</f>
        <v/>
      </c>
      <c r="N201" s="11">
        <f>IFERROR(IF(INDEX('Test catalog'!$L$2:$L$200,MATCH($Y201,'Test catalog'!$A$2:$A$200,0))="","",INDEX('Test catalog'!$L$2:$L$200,MATCH($Y201,'Test catalog'!$A$2:$A$200,0))),"")</f>
        <v/>
      </c>
      <c r="O201" s="11">
        <f>IFERROR(IF(INDEX('Test catalog'!$M$2:$M$200,MATCH($Y201,'Test catalog'!$A$2:$A$200,0))="","",INDEX('Test catalog'!$M$2:$M$200,MATCH($Y201,'Test catalog'!$A$2:$A$200,0))),"")</f>
        <v/>
      </c>
      <c r="P201" s="11">
        <f>IFERROR(IF(INDEX('Test catalog'!$N$2:$N$200,MATCH($Y201,'Test catalog'!$A$2:$A$200,0))="","",INDEX('Test catalog'!$N$2:$N$200,MATCH($Y201,'Test catalog'!$A$2:$A$200,0))),"")</f>
        <v/>
      </c>
      <c r="Q201" s="11">
        <f>IFERROR(IF(INDEX('Test catalog'!$O$2:$O$200,MATCH($Y201,'Test catalog'!$A$2:$A$200,0))="","",INDEX('Test catalog'!$O$2:$O$200,MATCH($Y201,'Test catalog'!$A$2:$A$200,0))),"")</f>
        <v/>
      </c>
      <c r="R201" s="11">
        <f>IFERROR(IF(INDEX('Test catalog'!$P$2:$P$200,MATCH($Y201,'Test catalog'!$A$2:$A$200,0))="","",INDEX('Test catalog'!$P$2:$P$200,MATCH($Y201,'Test catalog'!$A$2:$A$200,0))),"")</f>
        <v/>
      </c>
      <c r="S201" s="14" t="n"/>
      <c r="T201" s="5" t="n"/>
      <c r="U201" s="11">
        <f>IFERROR(IF(INDEX('Test catalog'!$Q$2:$Q$200,MATCH($Y201,'Test catalog'!$A$2:$A$200,0))="","",INDEX('Test catalog'!$Q$2:$Q$200,MATCH($Y201,'Test catalog'!$A$2:$A$200,0))),"")</f>
        <v/>
      </c>
      <c r="V201" s="5" t="n"/>
      <c r="W201" s="5" t="n"/>
      <c r="X201" s="5" t="n"/>
      <c r="Y201" s="5" t="inlineStr">
        <is>
          <t>SAUR</t>
        </is>
      </c>
      <c r="Z201" s="11" t="inlineStr">
        <is>
          <t>USP-NF monograph &lt;61&gt;, &lt;62&gt;</t>
        </is>
      </c>
    </row>
    <row r="202">
      <c r="A202" s="11" t="inlineStr">
        <is>
          <t>Microcrystalline Cellulose PH 102</t>
        </is>
      </c>
      <c r="B202" s="11" t="inlineStr">
        <is>
          <t>RM</t>
        </is>
      </c>
      <c r="C202" s="11" t="inlineStr">
        <is>
          <t>Filler / Diluent</t>
        </is>
      </c>
      <c r="D202" s="11" t="inlineStr">
        <is>
          <t>Microbial enumeration - TAMC + TYMC (&lt;61&gt; / &lt;2021&gt;)</t>
        </is>
      </c>
      <c r="E202" s="5" t="inlineStr">
        <is>
          <t>Y</t>
        </is>
      </c>
      <c r="F202" s="5" t="n"/>
      <c r="G202" s="11">
        <f>IFERROR(IF(INDEX('Test catalog'!$F$2:$F$200,MATCH($Y202,'Test catalog'!$A$2:$A$200,0))="","",INDEX('Test catalog'!$F$2:$F$200,MATCH($Y202,'Test catalog'!$A$2:$A$200,0))),"")</f>
        <v/>
      </c>
      <c r="H202" s="11">
        <f>IFERROR(IF(INDEX('Test catalog'!$G$2:$G$200,MATCH($Y202,'Test catalog'!$A$2:$A$200,0))="","",INDEX('Test catalog'!$G$2:$G$200,MATCH($Y202,'Test catalog'!$A$2:$A$200,0))),"")</f>
        <v/>
      </c>
      <c r="I202" s="11">
        <f>IFERROR(IF(INDEX('Test catalog'!$H$2:$H$200,MATCH($Y202,'Test catalog'!$A$2:$A$200,0))="","",INDEX('Test catalog'!$H$2:$H$200,MATCH($Y202,'Test catalog'!$A$2:$A$200,0))),"")</f>
        <v/>
      </c>
      <c r="J202" s="11">
        <f>IFERROR(IF(INDEX('Test catalog'!$I$2:$I$200,MATCH($Y202,'Test catalog'!$A$2:$A$200,0))="","",INDEX('Test catalog'!$I$2:$I$200,MATCH($Y202,'Test catalog'!$A$2:$A$200,0))),"")</f>
        <v/>
      </c>
      <c r="K202" s="13">
        <f>IF(I202="","",IF(OR(H202="",J202=""),I202,(H202+4*I202+J202)/6))</f>
        <v/>
      </c>
      <c r="L202" s="11">
        <f>IFERROR(IF(INDEX('Test catalog'!$J$2:$J$200,MATCH($Y202,'Test catalog'!$A$2:$A$200,0))="","",INDEX('Test catalog'!$J$2:$J$200,MATCH($Y202,'Test catalog'!$A$2:$A$200,0))),"")</f>
        <v/>
      </c>
      <c r="M202" s="11">
        <f>IFERROR(IF(INDEX('Test catalog'!$K$2:$K$200,MATCH($Y202,'Test catalog'!$A$2:$A$200,0))="","",INDEX('Test catalog'!$K$2:$K$200,MATCH($Y202,'Test catalog'!$A$2:$A$200,0))),"")</f>
        <v/>
      </c>
      <c r="N202" s="11">
        <f>IFERROR(IF(INDEX('Test catalog'!$L$2:$L$200,MATCH($Y202,'Test catalog'!$A$2:$A$200,0))="","",INDEX('Test catalog'!$L$2:$L$200,MATCH($Y202,'Test catalog'!$A$2:$A$200,0))),"")</f>
        <v/>
      </c>
      <c r="O202" s="11">
        <f>IFERROR(IF(INDEX('Test catalog'!$M$2:$M$200,MATCH($Y202,'Test catalog'!$A$2:$A$200,0))="","",INDEX('Test catalog'!$M$2:$M$200,MATCH($Y202,'Test catalog'!$A$2:$A$200,0))),"")</f>
        <v/>
      </c>
      <c r="P202" s="11">
        <f>IFERROR(IF(INDEX('Test catalog'!$N$2:$N$200,MATCH($Y202,'Test catalog'!$A$2:$A$200,0))="","",INDEX('Test catalog'!$N$2:$N$200,MATCH($Y202,'Test catalog'!$A$2:$A$200,0))),"")</f>
        <v/>
      </c>
      <c r="Q202" s="11">
        <f>IFERROR(IF(INDEX('Test catalog'!$O$2:$O$200,MATCH($Y202,'Test catalog'!$A$2:$A$200,0))="","",INDEX('Test catalog'!$O$2:$O$200,MATCH($Y202,'Test catalog'!$A$2:$A$200,0))),"")</f>
        <v/>
      </c>
      <c r="R202" s="11">
        <f>IFERROR(IF(INDEX('Test catalog'!$P$2:$P$200,MATCH($Y202,'Test catalog'!$A$2:$A$200,0))="","",INDEX('Test catalog'!$P$2:$P$200,MATCH($Y202,'Test catalog'!$A$2:$A$200,0))),"")</f>
        <v/>
      </c>
      <c r="S202" s="14" t="n"/>
      <c r="T202" s="5" t="n"/>
      <c r="U202" s="11">
        <f>IFERROR(IF(INDEX('Test catalog'!$Q$2:$Q$200,MATCH($Y202,'Test catalog'!$A$2:$A$200,0))="","",INDEX('Test catalog'!$Q$2:$Q$200,MATCH($Y202,'Test catalog'!$A$2:$A$200,0))),"")</f>
        <v/>
      </c>
      <c r="V202" s="5" t="n"/>
      <c r="W202" s="5" t="n"/>
      <c r="X202" s="5" t="n"/>
      <c r="Y202" s="5" t="inlineStr">
        <is>
          <t>ENUM</t>
        </is>
      </c>
      <c r="Z202" s="11" t="inlineStr">
        <is>
          <t>USP-NF monograph &lt;61&gt;, &lt;62&gt;</t>
        </is>
      </c>
    </row>
    <row r="203">
      <c r="A203" s="11" t="inlineStr">
        <is>
          <t>Microcrystalline Cellulose PH 102</t>
        </is>
      </c>
      <c r="B203" s="11" t="inlineStr">
        <is>
          <t>RM</t>
        </is>
      </c>
      <c r="C203" s="11" t="inlineStr">
        <is>
          <t>Filler / Diluent</t>
        </is>
      </c>
      <c r="D203" s="11" t="inlineStr">
        <is>
          <t>Absence of Escherichia coli (&lt;62&gt; / &lt;2022&gt;)</t>
        </is>
      </c>
      <c r="E203" s="5" t="inlineStr">
        <is>
          <t>Y</t>
        </is>
      </c>
      <c r="F203" s="5" t="n"/>
      <c r="G203" s="11">
        <f>IFERROR(IF(INDEX('Test catalog'!$F$2:$F$200,MATCH($Y203,'Test catalog'!$A$2:$A$200,0))="","",INDEX('Test catalog'!$F$2:$F$200,MATCH($Y203,'Test catalog'!$A$2:$A$200,0))),"")</f>
        <v/>
      </c>
      <c r="H203" s="11">
        <f>IFERROR(IF(INDEX('Test catalog'!$G$2:$G$200,MATCH($Y203,'Test catalog'!$A$2:$A$200,0))="","",INDEX('Test catalog'!$G$2:$G$200,MATCH($Y203,'Test catalog'!$A$2:$A$200,0))),"")</f>
        <v/>
      </c>
      <c r="I203" s="11">
        <f>IFERROR(IF(INDEX('Test catalog'!$H$2:$H$200,MATCH($Y203,'Test catalog'!$A$2:$A$200,0))="","",INDEX('Test catalog'!$H$2:$H$200,MATCH($Y203,'Test catalog'!$A$2:$A$200,0))),"")</f>
        <v/>
      </c>
      <c r="J203" s="11">
        <f>IFERROR(IF(INDEX('Test catalog'!$I$2:$I$200,MATCH($Y203,'Test catalog'!$A$2:$A$200,0))="","",INDEX('Test catalog'!$I$2:$I$200,MATCH($Y203,'Test catalog'!$A$2:$A$200,0))),"")</f>
        <v/>
      </c>
      <c r="K203" s="13">
        <f>IF(I203="","",IF(OR(H203="",J203=""),I203,(H203+4*I203+J203)/6))</f>
        <v/>
      </c>
      <c r="L203" s="11">
        <f>IFERROR(IF(INDEX('Test catalog'!$J$2:$J$200,MATCH($Y203,'Test catalog'!$A$2:$A$200,0))="","",INDEX('Test catalog'!$J$2:$J$200,MATCH($Y203,'Test catalog'!$A$2:$A$200,0))),"")</f>
        <v/>
      </c>
      <c r="M203" s="11">
        <f>IFERROR(IF(INDEX('Test catalog'!$K$2:$K$200,MATCH($Y203,'Test catalog'!$A$2:$A$200,0))="","",INDEX('Test catalog'!$K$2:$K$200,MATCH($Y203,'Test catalog'!$A$2:$A$200,0))),"")</f>
        <v/>
      </c>
      <c r="N203" s="11">
        <f>IFERROR(IF(INDEX('Test catalog'!$L$2:$L$200,MATCH($Y203,'Test catalog'!$A$2:$A$200,0))="","",INDEX('Test catalog'!$L$2:$L$200,MATCH($Y203,'Test catalog'!$A$2:$A$200,0))),"")</f>
        <v/>
      </c>
      <c r="O203" s="11">
        <f>IFERROR(IF(INDEX('Test catalog'!$M$2:$M$200,MATCH($Y203,'Test catalog'!$A$2:$A$200,0))="","",INDEX('Test catalog'!$M$2:$M$200,MATCH($Y203,'Test catalog'!$A$2:$A$200,0))),"")</f>
        <v/>
      </c>
      <c r="P203" s="11">
        <f>IFERROR(IF(INDEX('Test catalog'!$N$2:$N$200,MATCH($Y203,'Test catalog'!$A$2:$A$200,0))="","",INDEX('Test catalog'!$N$2:$N$200,MATCH($Y203,'Test catalog'!$A$2:$A$200,0))),"")</f>
        <v/>
      </c>
      <c r="Q203" s="11">
        <f>IFERROR(IF(INDEX('Test catalog'!$O$2:$O$200,MATCH($Y203,'Test catalog'!$A$2:$A$200,0))="","",INDEX('Test catalog'!$O$2:$O$200,MATCH($Y203,'Test catalog'!$A$2:$A$200,0))),"")</f>
        <v/>
      </c>
      <c r="R203" s="11">
        <f>IFERROR(IF(INDEX('Test catalog'!$P$2:$P$200,MATCH($Y203,'Test catalog'!$A$2:$A$200,0))="","",INDEX('Test catalog'!$P$2:$P$200,MATCH($Y203,'Test catalog'!$A$2:$A$200,0))),"")</f>
        <v/>
      </c>
      <c r="S203" s="14" t="n"/>
      <c r="T203" s="5" t="n"/>
      <c r="U203" s="11">
        <f>IFERROR(IF(INDEX('Test catalog'!$Q$2:$Q$200,MATCH($Y203,'Test catalog'!$A$2:$A$200,0))="","",INDEX('Test catalog'!$Q$2:$Q$200,MATCH($Y203,'Test catalog'!$A$2:$A$200,0))),"")</f>
        <v/>
      </c>
      <c r="V203" s="5" t="n"/>
      <c r="W203" s="5" t="n"/>
      <c r="X203" s="5" t="n"/>
      <c r="Y203" s="5" t="inlineStr">
        <is>
          <t>ECOLI</t>
        </is>
      </c>
      <c r="Z203" s="11" t="inlineStr">
        <is>
          <t>USP-NF monograph &lt;61&gt;, &lt;62&gt;</t>
        </is>
      </c>
    </row>
    <row r="204">
      <c r="A204" s="11" t="inlineStr">
        <is>
          <t>Microcrystalline Cellulose PH 102</t>
        </is>
      </c>
      <c r="B204" s="11" t="inlineStr">
        <is>
          <t>RM</t>
        </is>
      </c>
      <c r="C204" s="11" t="inlineStr">
        <is>
          <t>Filler / Diluent</t>
        </is>
      </c>
      <c r="D204" s="11" t="inlineStr">
        <is>
          <t>Absence of Salmonella (&lt;62&gt; / &lt;2022&gt;)</t>
        </is>
      </c>
      <c r="E204" s="5" t="inlineStr">
        <is>
          <t>Y</t>
        </is>
      </c>
      <c r="F204" s="5" t="n"/>
      <c r="G204" s="11">
        <f>IFERROR(IF(INDEX('Test catalog'!$F$2:$F$200,MATCH($Y204,'Test catalog'!$A$2:$A$200,0))="","",INDEX('Test catalog'!$F$2:$F$200,MATCH($Y204,'Test catalog'!$A$2:$A$200,0))),"")</f>
        <v/>
      </c>
      <c r="H204" s="11">
        <f>IFERROR(IF(INDEX('Test catalog'!$G$2:$G$200,MATCH($Y204,'Test catalog'!$A$2:$A$200,0))="","",INDEX('Test catalog'!$G$2:$G$200,MATCH($Y204,'Test catalog'!$A$2:$A$200,0))),"")</f>
        <v/>
      </c>
      <c r="I204" s="11">
        <f>IFERROR(IF(INDEX('Test catalog'!$H$2:$H$200,MATCH($Y204,'Test catalog'!$A$2:$A$200,0))="","",INDEX('Test catalog'!$H$2:$H$200,MATCH($Y204,'Test catalog'!$A$2:$A$200,0))),"")</f>
        <v/>
      </c>
      <c r="J204" s="11">
        <f>IFERROR(IF(INDEX('Test catalog'!$I$2:$I$200,MATCH($Y204,'Test catalog'!$A$2:$A$200,0))="","",INDEX('Test catalog'!$I$2:$I$200,MATCH($Y204,'Test catalog'!$A$2:$A$200,0))),"")</f>
        <v/>
      </c>
      <c r="K204" s="13">
        <f>IF(I204="","",IF(OR(H204="",J204=""),I204,(H204+4*I204+J204)/6))</f>
        <v/>
      </c>
      <c r="L204" s="11">
        <f>IFERROR(IF(INDEX('Test catalog'!$J$2:$J$200,MATCH($Y204,'Test catalog'!$A$2:$A$200,0))="","",INDEX('Test catalog'!$J$2:$J$200,MATCH($Y204,'Test catalog'!$A$2:$A$200,0))),"")</f>
        <v/>
      </c>
      <c r="M204" s="11">
        <f>IFERROR(IF(INDEX('Test catalog'!$K$2:$K$200,MATCH($Y204,'Test catalog'!$A$2:$A$200,0))="","",INDEX('Test catalog'!$K$2:$K$200,MATCH($Y204,'Test catalog'!$A$2:$A$200,0))),"")</f>
        <v/>
      </c>
      <c r="N204" s="11">
        <f>IFERROR(IF(INDEX('Test catalog'!$L$2:$L$200,MATCH($Y204,'Test catalog'!$A$2:$A$200,0))="","",INDEX('Test catalog'!$L$2:$L$200,MATCH($Y204,'Test catalog'!$A$2:$A$200,0))),"")</f>
        <v/>
      </c>
      <c r="O204" s="11">
        <f>IFERROR(IF(INDEX('Test catalog'!$M$2:$M$200,MATCH($Y204,'Test catalog'!$A$2:$A$200,0))="","",INDEX('Test catalog'!$M$2:$M$200,MATCH($Y204,'Test catalog'!$A$2:$A$200,0))),"")</f>
        <v/>
      </c>
      <c r="P204" s="11">
        <f>IFERROR(IF(INDEX('Test catalog'!$N$2:$N$200,MATCH($Y204,'Test catalog'!$A$2:$A$200,0))="","",INDEX('Test catalog'!$N$2:$N$200,MATCH($Y204,'Test catalog'!$A$2:$A$200,0))),"")</f>
        <v/>
      </c>
      <c r="Q204" s="11">
        <f>IFERROR(IF(INDEX('Test catalog'!$O$2:$O$200,MATCH($Y204,'Test catalog'!$A$2:$A$200,0))="","",INDEX('Test catalog'!$O$2:$O$200,MATCH($Y204,'Test catalog'!$A$2:$A$200,0))),"")</f>
        <v/>
      </c>
      <c r="R204" s="11">
        <f>IFERROR(IF(INDEX('Test catalog'!$P$2:$P$200,MATCH($Y204,'Test catalog'!$A$2:$A$200,0))="","",INDEX('Test catalog'!$P$2:$P$200,MATCH($Y204,'Test catalog'!$A$2:$A$200,0))),"")</f>
        <v/>
      </c>
      <c r="S204" s="14" t="n"/>
      <c r="T204" s="5" t="n"/>
      <c r="U204" s="11">
        <f>IFERROR(IF(INDEX('Test catalog'!$Q$2:$Q$200,MATCH($Y204,'Test catalog'!$A$2:$A$200,0))="","",INDEX('Test catalog'!$Q$2:$Q$200,MATCH($Y204,'Test catalog'!$A$2:$A$200,0))),"")</f>
        <v/>
      </c>
      <c r="V204" s="5" t="n"/>
      <c r="W204" s="5" t="n"/>
      <c r="X204" s="5" t="n"/>
      <c r="Y204" s="5" t="inlineStr">
        <is>
          <t>SALM</t>
        </is>
      </c>
      <c r="Z204" s="11" t="inlineStr">
        <is>
          <t>USP-NF monograph &lt;61&gt;, &lt;62&gt;</t>
        </is>
      </c>
    </row>
    <row r="205">
      <c r="A205" s="11" t="inlineStr">
        <is>
          <t>Microcrystalline Cellulose PH 102</t>
        </is>
      </c>
      <c r="B205" s="11" t="inlineStr">
        <is>
          <t>RM</t>
        </is>
      </c>
      <c r="C205" s="11" t="inlineStr">
        <is>
          <t>Filler / Diluent</t>
        </is>
      </c>
      <c r="D205" s="11" t="inlineStr">
        <is>
          <t>Absence of Pseudomonas aeruginosa (&lt;62&gt;)</t>
        </is>
      </c>
      <c r="E205" s="5" t="inlineStr">
        <is>
          <t>Y</t>
        </is>
      </c>
      <c r="F205" s="5" t="n"/>
      <c r="G205" s="11">
        <f>IFERROR(IF(INDEX('Test catalog'!$F$2:$F$200,MATCH($Y205,'Test catalog'!$A$2:$A$200,0))="","",INDEX('Test catalog'!$F$2:$F$200,MATCH($Y205,'Test catalog'!$A$2:$A$200,0))),"")</f>
        <v/>
      </c>
      <c r="H205" s="11">
        <f>IFERROR(IF(INDEX('Test catalog'!$G$2:$G$200,MATCH($Y205,'Test catalog'!$A$2:$A$200,0))="","",INDEX('Test catalog'!$G$2:$G$200,MATCH($Y205,'Test catalog'!$A$2:$A$200,0))),"")</f>
        <v/>
      </c>
      <c r="I205" s="11">
        <f>IFERROR(IF(INDEX('Test catalog'!$H$2:$H$200,MATCH($Y205,'Test catalog'!$A$2:$A$200,0))="","",INDEX('Test catalog'!$H$2:$H$200,MATCH($Y205,'Test catalog'!$A$2:$A$200,0))),"")</f>
        <v/>
      </c>
      <c r="J205" s="11">
        <f>IFERROR(IF(INDEX('Test catalog'!$I$2:$I$200,MATCH($Y205,'Test catalog'!$A$2:$A$200,0))="","",INDEX('Test catalog'!$I$2:$I$200,MATCH($Y205,'Test catalog'!$A$2:$A$200,0))),"")</f>
        <v/>
      </c>
      <c r="K205" s="13">
        <f>IF(I205="","",IF(OR(H205="",J205=""),I205,(H205+4*I205+J205)/6))</f>
        <v/>
      </c>
      <c r="L205" s="11">
        <f>IFERROR(IF(INDEX('Test catalog'!$J$2:$J$200,MATCH($Y205,'Test catalog'!$A$2:$A$200,0))="","",INDEX('Test catalog'!$J$2:$J$200,MATCH($Y205,'Test catalog'!$A$2:$A$200,0))),"")</f>
        <v/>
      </c>
      <c r="M205" s="11">
        <f>IFERROR(IF(INDEX('Test catalog'!$K$2:$K$200,MATCH($Y205,'Test catalog'!$A$2:$A$200,0))="","",INDEX('Test catalog'!$K$2:$K$200,MATCH($Y205,'Test catalog'!$A$2:$A$200,0))),"")</f>
        <v/>
      </c>
      <c r="N205" s="11">
        <f>IFERROR(IF(INDEX('Test catalog'!$L$2:$L$200,MATCH($Y205,'Test catalog'!$A$2:$A$200,0))="","",INDEX('Test catalog'!$L$2:$L$200,MATCH($Y205,'Test catalog'!$A$2:$A$200,0))),"")</f>
        <v/>
      </c>
      <c r="O205" s="11">
        <f>IFERROR(IF(INDEX('Test catalog'!$M$2:$M$200,MATCH($Y205,'Test catalog'!$A$2:$A$200,0))="","",INDEX('Test catalog'!$M$2:$M$200,MATCH($Y205,'Test catalog'!$A$2:$A$200,0))),"")</f>
        <v/>
      </c>
      <c r="P205" s="11">
        <f>IFERROR(IF(INDEX('Test catalog'!$N$2:$N$200,MATCH($Y205,'Test catalog'!$A$2:$A$200,0))="","",INDEX('Test catalog'!$N$2:$N$200,MATCH($Y205,'Test catalog'!$A$2:$A$200,0))),"")</f>
        <v/>
      </c>
      <c r="Q205" s="11">
        <f>IFERROR(IF(INDEX('Test catalog'!$O$2:$O$200,MATCH($Y205,'Test catalog'!$A$2:$A$200,0))="","",INDEX('Test catalog'!$O$2:$O$200,MATCH($Y205,'Test catalog'!$A$2:$A$200,0))),"")</f>
        <v/>
      </c>
      <c r="R205" s="11">
        <f>IFERROR(IF(INDEX('Test catalog'!$P$2:$P$200,MATCH($Y205,'Test catalog'!$A$2:$A$200,0))="","",INDEX('Test catalog'!$P$2:$P$200,MATCH($Y205,'Test catalog'!$A$2:$A$200,0))),"")</f>
        <v/>
      </c>
      <c r="S205" s="14" t="n"/>
      <c r="T205" s="5" t="n"/>
      <c r="U205" s="11">
        <f>IFERROR(IF(INDEX('Test catalog'!$Q$2:$Q$200,MATCH($Y205,'Test catalog'!$A$2:$A$200,0))="","",INDEX('Test catalog'!$Q$2:$Q$200,MATCH($Y205,'Test catalog'!$A$2:$A$200,0))),"")</f>
        <v/>
      </c>
      <c r="V205" s="5" t="n"/>
      <c r="W205" s="5" t="n"/>
      <c r="X205" s="5" t="n"/>
      <c r="Y205" s="5" t="inlineStr">
        <is>
          <t>PSAE</t>
        </is>
      </c>
      <c r="Z205" s="11" t="inlineStr">
        <is>
          <t>USP-NF monograph &lt;61&gt;, &lt;62&gt;</t>
        </is>
      </c>
    </row>
    <row r="206">
      <c r="A206" s="11" t="inlineStr">
        <is>
          <t>Microcrystalline Cellulose PH 102</t>
        </is>
      </c>
      <c r="B206" s="11" t="inlineStr">
        <is>
          <t>RM</t>
        </is>
      </c>
      <c r="C206" s="11" t="inlineStr">
        <is>
          <t>Filler / Diluent</t>
        </is>
      </c>
      <c r="D206" s="11" t="inlineStr">
        <is>
          <t>Absence of Staphylococcus aureus (&lt;62&gt;)</t>
        </is>
      </c>
      <c r="E206" s="5" t="inlineStr">
        <is>
          <t>Y</t>
        </is>
      </c>
      <c r="F206" s="5" t="n"/>
      <c r="G206" s="11">
        <f>IFERROR(IF(INDEX('Test catalog'!$F$2:$F$200,MATCH($Y206,'Test catalog'!$A$2:$A$200,0))="","",INDEX('Test catalog'!$F$2:$F$200,MATCH($Y206,'Test catalog'!$A$2:$A$200,0))),"")</f>
        <v/>
      </c>
      <c r="H206" s="11">
        <f>IFERROR(IF(INDEX('Test catalog'!$G$2:$G$200,MATCH($Y206,'Test catalog'!$A$2:$A$200,0))="","",INDEX('Test catalog'!$G$2:$G$200,MATCH($Y206,'Test catalog'!$A$2:$A$200,0))),"")</f>
        <v/>
      </c>
      <c r="I206" s="11">
        <f>IFERROR(IF(INDEX('Test catalog'!$H$2:$H$200,MATCH($Y206,'Test catalog'!$A$2:$A$200,0))="","",INDEX('Test catalog'!$H$2:$H$200,MATCH($Y206,'Test catalog'!$A$2:$A$200,0))),"")</f>
        <v/>
      </c>
      <c r="J206" s="11">
        <f>IFERROR(IF(INDEX('Test catalog'!$I$2:$I$200,MATCH($Y206,'Test catalog'!$A$2:$A$200,0))="","",INDEX('Test catalog'!$I$2:$I$200,MATCH($Y206,'Test catalog'!$A$2:$A$200,0))),"")</f>
        <v/>
      </c>
      <c r="K206" s="13">
        <f>IF(I206="","",IF(OR(H206="",J206=""),I206,(H206+4*I206+J206)/6))</f>
        <v/>
      </c>
      <c r="L206" s="11">
        <f>IFERROR(IF(INDEX('Test catalog'!$J$2:$J$200,MATCH($Y206,'Test catalog'!$A$2:$A$200,0))="","",INDEX('Test catalog'!$J$2:$J$200,MATCH($Y206,'Test catalog'!$A$2:$A$200,0))),"")</f>
        <v/>
      </c>
      <c r="M206" s="11">
        <f>IFERROR(IF(INDEX('Test catalog'!$K$2:$K$200,MATCH($Y206,'Test catalog'!$A$2:$A$200,0))="","",INDEX('Test catalog'!$K$2:$K$200,MATCH($Y206,'Test catalog'!$A$2:$A$200,0))),"")</f>
        <v/>
      </c>
      <c r="N206" s="11">
        <f>IFERROR(IF(INDEX('Test catalog'!$L$2:$L$200,MATCH($Y206,'Test catalog'!$A$2:$A$200,0))="","",INDEX('Test catalog'!$L$2:$L$200,MATCH($Y206,'Test catalog'!$A$2:$A$200,0))),"")</f>
        <v/>
      </c>
      <c r="O206" s="11">
        <f>IFERROR(IF(INDEX('Test catalog'!$M$2:$M$200,MATCH($Y206,'Test catalog'!$A$2:$A$200,0))="","",INDEX('Test catalog'!$M$2:$M$200,MATCH($Y206,'Test catalog'!$A$2:$A$200,0))),"")</f>
        <v/>
      </c>
      <c r="P206" s="11">
        <f>IFERROR(IF(INDEX('Test catalog'!$N$2:$N$200,MATCH($Y206,'Test catalog'!$A$2:$A$200,0))="","",INDEX('Test catalog'!$N$2:$N$200,MATCH($Y206,'Test catalog'!$A$2:$A$200,0))),"")</f>
        <v/>
      </c>
      <c r="Q206" s="11">
        <f>IFERROR(IF(INDEX('Test catalog'!$O$2:$O$200,MATCH($Y206,'Test catalog'!$A$2:$A$200,0))="","",INDEX('Test catalog'!$O$2:$O$200,MATCH($Y206,'Test catalog'!$A$2:$A$200,0))),"")</f>
        <v/>
      </c>
      <c r="R206" s="11">
        <f>IFERROR(IF(INDEX('Test catalog'!$P$2:$P$200,MATCH($Y206,'Test catalog'!$A$2:$A$200,0))="","",INDEX('Test catalog'!$P$2:$P$200,MATCH($Y206,'Test catalog'!$A$2:$A$200,0))),"")</f>
        <v/>
      </c>
      <c r="S206" s="14" t="n"/>
      <c r="T206" s="5" t="n"/>
      <c r="U206" s="11">
        <f>IFERROR(IF(INDEX('Test catalog'!$Q$2:$Q$200,MATCH($Y206,'Test catalog'!$A$2:$A$200,0))="","",INDEX('Test catalog'!$Q$2:$Q$200,MATCH($Y206,'Test catalog'!$A$2:$A$200,0))),"")</f>
        <v/>
      </c>
      <c r="V206" s="5" t="n"/>
      <c r="W206" s="5" t="n"/>
      <c r="X206" s="5" t="n"/>
      <c r="Y206" s="5" t="inlineStr">
        <is>
          <t>SAUR</t>
        </is>
      </c>
      <c r="Z206" s="11" t="inlineStr">
        <is>
          <t>USP-NF monograph &lt;61&gt;, &lt;62&gt;</t>
        </is>
      </c>
    </row>
    <row r="207">
      <c r="A207" s="11" t="inlineStr">
        <is>
          <t>Pregelatinized Starch</t>
        </is>
      </c>
      <c r="B207" s="11" t="inlineStr">
        <is>
          <t>RM</t>
        </is>
      </c>
      <c r="C207" s="11" t="inlineStr">
        <is>
          <t>Filler / Diluent</t>
        </is>
      </c>
      <c r="D207" s="11" t="inlineStr">
        <is>
          <t>Microbial enumeration - TAMC + TYMC (&lt;61&gt; / &lt;2021&gt;)</t>
        </is>
      </c>
      <c r="E207" s="5" t="inlineStr">
        <is>
          <t>Y</t>
        </is>
      </c>
      <c r="F207" s="5" t="n"/>
      <c r="G207" s="11">
        <f>IFERROR(IF(INDEX('Test catalog'!$F$2:$F$200,MATCH($Y207,'Test catalog'!$A$2:$A$200,0))="","",INDEX('Test catalog'!$F$2:$F$200,MATCH($Y207,'Test catalog'!$A$2:$A$200,0))),"")</f>
        <v/>
      </c>
      <c r="H207" s="11">
        <f>IFERROR(IF(INDEX('Test catalog'!$G$2:$G$200,MATCH($Y207,'Test catalog'!$A$2:$A$200,0))="","",INDEX('Test catalog'!$G$2:$G$200,MATCH($Y207,'Test catalog'!$A$2:$A$200,0))),"")</f>
        <v/>
      </c>
      <c r="I207" s="11">
        <f>IFERROR(IF(INDEX('Test catalog'!$H$2:$H$200,MATCH($Y207,'Test catalog'!$A$2:$A$200,0))="","",INDEX('Test catalog'!$H$2:$H$200,MATCH($Y207,'Test catalog'!$A$2:$A$200,0))),"")</f>
        <v/>
      </c>
      <c r="J207" s="11">
        <f>IFERROR(IF(INDEX('Test catalog'!$I$2:$I$200,MATCH($Y207,'Test catalog'!$A$2:$A$200,0))="","",INDEX('Test catalog'!$I$2:$I$200,MATCH($Y207,'Test catalog'!$A$2:$A$200,0))),"")</f>
        <v/>
      </c>
      <c r="K207" s="13">
        <f>IF(I207="","",IF(OR(H207="",J207=""),I207,(H207+4*I207+J207)/6))</f>
        <v/>
      </c>
      <c r="L207" s="11">
        <f>IFERROR(IF(INDEX('Test catalog'!$J$2:$J$200,MATCH($Y207,'Test catalog'!$A$2:$A$200,0))="","",INDEX('Test catalog'!$J$2:$J$200,MATCH($Y207,'Test catalog'!$A$2:$A$200,0))),"")</f>
        <v/>
      </c>
      <c r="M207" s="11">
        <f>IFERROR(IF(INDEX('Test catalog'!$K$2:$K$200,MATCH($Y207,'Test catalog'!$A$2:$A$200,0))="","",INDEX('Test catalog'!$K$2:$K$200,MATCH($Y207,'Test catalog'!$A$2:$A$200,0))),"")</f>
        <v/>
      </c>
      <c r="N207" s="11">
        <f>IFERROR(IF(INDEX('Test catalog'!$L$2:$L$200,MATCH($Y207,'Test catalog'!$A$2:$A$200,0))="","",INDEX('Test catalog'!$L$2:$L$200,MATCH($Y207,'Test catalog'!$A$2:$A$200,0))),"")</f>
        <v/>
      </c>
      <c r="O207" s="11">
        <f>IFERROR(IF(INDEX('Test catalog'!$M$2:$M$200,MATCH($Y207,'Test catalog'!$A$2:$A$200,0))="","",INDEX('Test catalog'!$M$2:$M$200,MATCH($Y207,'Test catalog'!$A$2:$A$200,0))),"")</f>
        <v/>
      </c>
      <c r="P207" s="11">
        <f>IFERROR(IF(INDEX('Test catalog'!$N$2:$N$200,MATCH($Y207,'Test catalog'!$A$2:$A$200,0))="","",INDEX('Test catalog'!$N$2:$N$200,MATCH($Y207,'Test catalog'!$A$2:$A$200,0))),"")</f>
        <v/>
      </c>
      <c r="Q207" s="11">
        <f>IFERROR(IF(INDEX('Test catalog'!$O$2:$O$200,MATCH($Y207,'Test catalog'!$A$2:$A$200,0))="","",INDEX('Test catalog'!$O$2:$O$200,MATCH($Y207,'Test catalog'!$A$2:$A$200,0))),"")</f>
        <v/>
      </c>
      <c r="R207" s="11">
        <f>IFERROR(IF(INDEX('Test catalog'!$P$2:$P$200,MATCH($Y207,'Test catalog'!$A$2:$A$200,0))="","",INDEX('Test catalog'!$P$2:$P$200,MATCH($Y207,'Test catalog'!$A$2:$A$200,0))),"")</f>
        <v/>
      </c>
      <c r="S207" s="14" t="n"/>
      <c r="T207" s="5" t="n"/>
      <c r="U207" s="11">
        <f>IFERROR(IF(INDEX('Test catalog'!$Q$2:$Q$200,MATCH($Y207,'Test catalog'!$A$2:$A$200,0))="","",INDEX('Test catalog'!$Q$2:$Q$200,MATCH($Y207,'Test catalog'!$A$2:$A$200,0))),"")</f>
        <v/>
      </c>
      <c r="V207" s="5" t="n"/>
      <c r="W207" s="5" t="n"/>
      <c r="X207" s="5" t="n"/>
      <c r="Y207" s="5" t="inlineStr">
        <is>
          <t>ENUM</t>
        </is>
      </c>
      <c r="Z207" s="11" t="inlineStr">
        <is>
          <t>USP-NF monograph &lt;61&gt;, &lt;62&gt;</t>
        </is>
      </c>
    </row>
    <row r="208">
      <c r="A208" s="11" t="inlineStr">
        <is>
          <t>Pregelatinized Starch</t>
        </is>
      </c>
      <c r="B208" s="11" t="inlineStr">
        <is>
          <t>RM</t>
        </is>
      </c>
      <c r="C208" s="11" t="inlineStr">
        <is>
          <t>Filler / Diluent</t>
        </is>
      </c>
      <c r="D208" s="11" t="inlineStr">
        <is>
          <t>Absence of Salmonella (&lt;62&gt; / &lt;2022&gt;)</t>
        </is>
      </c>
      <c r="E208" s="5" t="inlineStr">
        <is>
          <t>Y</t>
        </is>
      </c>
      <c r="F208" s="5" t="n"/>
      <c r="G208" s="11">
        <f>IFERROR(IF(INDEX('Test catalog'!$F$2:$F$200,MATCH($Y208,'Test catalog'!$A$2:$A$200,0))="","",INDEX('Test catalog'!$F$2:$F$200,MATCH($Y208,'Test catalog'!$A$2:$A$200,0))),"")</f>
        <v/>
      </c>
      <c r="H208" s="11">
        <f>IFERROR(IF(INDEX('Test catalog'!$G$2:$G$200,MATCH($Y208,'Test catalog'!$A$2:$A$200,0))="","",INDEX('Test catalog'!$G$2:$G$200,MATCH($Y208,'Test catalog'!$A$2:$A$200,0))),"")</f>
        <v/>
      </c>
      <c r="I208" s="11">
        <f>IFERROR(IF(INDEX('Test catalog'!$H$2:$H$200,MATCH($Y208,'Test catalog'!$A$2:$A$200,0))="","",INDEX('Test catalog'!$H$2:$H$200,MATCH($Y208,'Test catalog'!$A$2:$A$200,0))),"")</f>
        <v/>
      </c>
      <c r="J208" s="11">
        <f>IFERROR(IF(INDEX('Test catalog'!$I$2:$I$200,MATCH($Y208,'Test catalog'!$A$2:$A$200,0))="","",INDEX('Test catalog'!$I$2:$I$200,MATCH($Y208,'Test catalog'!$A$2:$A$200,0))),"")</f>
        <v/>
      </c>
      <c r="K208" s="13">
        <f>IF(I208="","",IF(OR(H208="",J208=""),I208,(H208+4*I208+J208)/6))</f>
        <v/>
      </c>
      <c r="L208" s="11">
        <f>IFERROR(IF(INDEX('Test catalog'!$J$2:$J$200,MATCH($Y208,'Test catalog'!$A$2:$A$200,0))="","",INDEX('Test catalog'!$J$2:$J$200,MATCH($Y208,'Test catalog'!$A$2:$A$200,0))),"")</f>
        <v/>
      </c>
      <c r="M208" s="11">
        <f>IFERROR(IF(INDEX('Test catalog'!$K$2:$K$200,MATCH($Y208,'Test catalog'!$A$2:$A$200,0))="","",INDEX('Test catalog'!$K$2:$K$200,MATCH($Y208,'Test catalog'!$A$2:$A$200,0))),"")</f>
        <v/>
      </c>
      <c r="N208" s="11">
        <f>IFERROR(IF(INDEX('Test catalog'!$L$2:$L$200,MATCH($Y208,'Test catalog'!$A$2:$A$200,0))="","",INDEX('Test catalog'!$L$2:$L$200,MATCH($Y208,'Test catalog'!$A$2:$A$200,0))),"")</f>
        <v/>
      </c>
      <c r="O208" s="11">
        <f>IFERROR(IF(INDEX('Test catalog'!$M$2:$M$200,MATCH($Y208,'Test catalog'!$A$2:$A$200,0))="","",INDEX('Test catalog'!$M$2:$M$200,MATCH($Y208,'Test catalog'!$A$2:$A$200,0))),"")</f>
        <v/>
      </c>
      <c r="P208" s="11">
        <f>IFERROR(IF(INDEX('Test catalog'!$N$2:$N$200,MATCH($Y208,'Test catalog'!$A$2:$A$200,0))="","",INDEX('Test catalog'!$N$2:$N$200,MATCH($Y208,'Test catalog'!$A$2:$A$200,0))),"")</f>
        <v/>
      </c>
      <c r="Q208" s="11">
        <f>IFERROR(IF(INDEX('Test catalog'!$O$2:$O$200,MATCH($Y208,'Test catalog'!$A$2:$A$200,0))="","",INDEX('Test catalog'!$O$2:$O$200,MATCH($Y208,'Test catalog'!$A$2:$A$200,0))),"")</f>
        <v/>
      </c>
      <c r="R208" s="11">
        <f>IFERROR(IF(INDEX('Test catalog'!$P$2:$P$200,MATCH($Y208,'Test catalog'!$A$2:$A$200,0))="","",INDEX('Test catalog'!$P$2:$P$200,MATCH($Y208,'Test catalog'!$A$2:$A$200,0))),"")</f>
        <v/>
      </c>
      <c r="S208" s="14" t="n"/>
      <c r="T208" s="5" t="n"/>
      <c r="U208" s="11">
        <f>IFERROR(IF(INDEX('Test catalog'!$Q$2:$Q$200,MATCH($Y208,'Test catalog'!$A$2:$A$200,0))="","",INDEX('Test catalog'!$Q$2:$Q$200,MATCH($Y208,'Test catalog'!$A$2:$A$200,0))),"")</f>
        <v/>
      </c>
      <c r="V208" s="5" t="n"/>
      <c r="W208" s="5" t="n"/>
      <c r="X208" s="5" t="n"/>
      <c r="Y208" s="5" t="inlineStr">
        <is>
          <t>SALM</t>
        </is>
      </c>
      <c r="Z208" s="11" t="inlineStr">
        <is>
          <t>USP-NF monograph &lt;61&gt;, &lt;62&gt;</t>
        </is>
      </c>
    </row>
    <row r="209">
      <c r="A209" s="11" t="inlineStr">
        <is>
          <t>Cola Flavour</t>
        </is>
      </c>
      <c r="B209" s="11" t="inlineStr">
        <is>
          <t>RM</t>
        </is>
      </c>
      <c r="C209" s="11" t="inlineStr">
        <is>
          <t>Flavour</t>
        </is>
      </c>
      <c r="D209" s="11" t="inlineStr">
        <is>
          <t>Microbial enumeration - TAMC + TYMC (&lt;61&gt; / &lt;2021&gt;)</t>
        </is>
      </c>
      <c r="E209" s="5" t="inlineStr">
        <is>
          <t>N</t>
        </is>
      </c>
      <c r="F209" s="5" t="n"/>
      <c r="G209" s="11">
        <f>IFERROR(IF(INDEX('Test catalog'!$F$2:$F$200,MATCH($Y209,'Test catalog'!$A$2:$A$200,0))="","",INDEX('Test catalog'!$F$2:$F$200,MATCH($Y209,'Test catalog'!$A$2:$A$200,0))),"")</f>
        <v/>
      </c>
      <c r="H209" s="11">
        <f>IFERROR(IF(INDEX('Test catalog'!$G$2:$G$200,MATCH($Y209,'Test catalog'!$A$2:$A$200,0))="","",INDEX('Test catalog'!$G$2:$G$200,MATCH($Y209,'Test catalog'!$A$2:$A$200,0))),"")</f>
        <v/>
      </c>
      <c r="I209" s="11">
        <f>IFERROR(IF(INDEX('Test catalog'!$H$2:$H$200,MATCH($Y209,'Test catalog'!$A$2:$A$200,0))="","",INDEX('Test catalog'!$H$2:$H$200,MATCH($Y209,'Test catalog'!$A$2:$A$200,0))),"")</f>
        <v/>
      </c>
      <c r="J209" s="11">
        <f>IFERROR(IF(INDEX('Test catalog'!$I$2:$I$200,MATCH($Y209,'Test catalog'!$A$2:$A$200,0))="","",INDEX('Test catalog'!$I$2:$I$200,MATCH($Y209,'Test catalog'!$A$2:$A$200,0))),"")</f>
        <v/>
      </c>
      <c r="K209" s="13">
        <f>IF(I209="","",IF(OR(H209="",J209=""),I209,(H209+4*I209+J209)/6))</f>
        <v/>
      </c>
      <c r="L209" s="11">
        <f>IFERROR(IF(INDEX('Test catalog'!$J$2:$J$200,MATCH($Y209,'Test catalog'!$A$2:$A$200,0))="","",INDEX('Test catalog'!$J$2:$J$200,MATCH($Y209,'Test catalog'!$A$2:$A$200,0))),"")</f>
        <v/>
      </c>
      <c r="M209" s="11">
        <f>IFERROR(IF(INDEX('Test catalog'!$K$2:$K$200,MATCH($Y209,'Test catalog'!$A$2:$A$200,0))="","",INDEX('Test catalog'!$K$2:$K$200,MATCH($Y209,'Test catalog'!$A$2:$A$200,0))),"")</f>
        <v/>
      </c>
      <c r="N209" s="11">
        <f>IFERROR(IF(INDEX('Test catalog'!$L$2:$L$200,MATCH($Y209,'Test catalog'!$A$2:$A$200,0))="","",INDEX('Test catalog'!$L$2:$L$200,MATCH($Y209,'Test catalog'!$A$2:$A$200,0))),"")</f>
        <v/>
      </c>
      <c r="O209" s="11">
        <f>IFERROR(IF(INDEX('Test catalog'!$M$2:$M$200,MATCH($Y209,'Test catalog'!$A$2:$A$200,0))="","",INDEX('Test catalog'!$M$2:$M$200,MATCH($Y209,'Test catalog'!$A$2:$A$200,0))),"")</f>
        <v/>
      </c>
      <c r="P209" s="11">
        <f>IFERROR(IF(INDEX('Test catalog'!$N$2:$N$200,MATCH($Y209,'Test catalog'!$A$2:$A$200,0))="","",INDEX('Test catalog'!$N$2:$N$200,MATCH($Y209,'Test catalog'!$A$2:$A$200,0))),"")</f>
        <v/>
      </c>
      <c r="Q209" s="11">
        <f>IFERROR(IF(INDEX('Test catalog'!$O$2:$O$200,MATCH($Y209,'Test catalog'!$A$2:$A$200,0))="","",INDEX('Test catalog'!$O$2:$O$200,MATCH($Y209,'Test catalog'!$A$2:$A$200,0))),"")</f>
        <v/>
      </c>
      <c r="R209" s="11">
        <f>IFERROR(IF(INDEX('Test catalog'!$P$2:$P$200,MATCH($Y209,'Test catalog'!$A$2:$A$200,0))="","",INDEX('Test catalog'!$P$2:$P$200,MATCH($Y209,'Test catalog'!$A$2:$A$200,0))),"")</f>
        <v/>
      </c>
      <c r="S209" s="14" t="n"/>
      <c r="T209" s="5" t="n"/>
      <c r="U209" s="11">
        <f>IFERROR(IF(INDEX('Test catalog'!$Q$2:$Q$200,MATCH($Y209,'Test catalog'!$A$2:$A$200,0))="","",INDEX('Test catalog'!$Q$2:$Q$200,MATCH($Y209,'Test catalog'!$A$2:$A$200,0))),"")</f>
        <v/>
      </c>
      <c r="V209" s="5" t="n"/>
      <c r="W209" s="5" t="n"/>
      <c r="X209" s="5" t="n"/>
      <c r="Y209" s="5" t="inlineStr">
        <is>
          <t>ENUM</t>
        </is>
      </c>
      <c r="Z209" s="11" t="inlineStr">
        <is>
          <t>No micro test in USP-NF - set Y if your specification has one</t>
        </is>
      </c>
    </row>
    <row r="210">
      <c r="A210" s="11" t="inlineStr">
        <is>
          <t>Honey Flavour</t>
        </is>
      </c>
      <c r="B210" s="11" t="inlineStr">
        <is>
          <t>RM</t>
        </is>
      </c>
      <c r="C210" s="11" t="inlineStr">
        <is>
          <t>Flavour</t>
        </is>
      </c>
      <c r="D210" s="11" t="inlineStr">
        <is>
          <t>Microbial enumeration - TAMC + TYMC (&lt;61&gt; / &lt;2021&gt;)</t>
        </is>
      </c>
      <c r="E210" s="5" t="inlineStr">
        <is>
          <t>N</t>
        </is>
      </c>
      <c r="F210" s="5" t="n"/>
      <c r="G210" s="11">
        <f>IFERROR(IF(INDEX('Test catalog'!$F$2:$F$200,MATCH($Y210,'Test catalog'!$A$2:$A$200,0))="","",INDEX('Test catalog'!$F$2:$F$200,MATCH($Y210,'Test catalog'!$A$2:$A$200,0))),"")</f>
        <v/>
      </c>
      <c r="H210" s="11">
        <f>IFERROR(IF(INDEX('Test catalog'!$G$2:$G$200,MATCH($Y210,'Test catalog'!$A$2:$A$200,0))="","",INDEX('Test catalog'!$G$2:$G$200,MATCH($Y210,'Test catalog'!$A$2:$A$200,0))),"")</f>
        <v/>
      </c>
      <c r="I210" s="11">
        <f>IFERROR(IF(INDEX('Test catalog'!$H$2:$H$200,MATCH($Y210,'Test catalog'!$A$2:$A$200,0))="","",INDEX('Test catalog'!$H$2:$H$200,MATCH($Y210,'Test catalog'!$A$2:$A$200,0))),"")</f>
        <v/>
      </c>
      <c r="J210" s="11">
        <f>IFERROR(IF(INDEX('Test catalog'!$I$2:$I$200,MATCH($Y210,'Test catalog'!$A$2:$A$200,0))="","",INDEX('Test catalog'!$I$2:$I$200,MATCH($Y210,'Test catalog'!$A$2:$A$200,0))),"")</f>
        <v/>
      </c>
      <c r="K210" s="13">
        <f>IF(I210="","",IF(OR(H210="",J210=""),I210,(H210+4*I210+J210)/6))</f>
        <v/>
      </c>
      <c r="L210" s="11">
        <f>IFERROR(IF(INDEX('Test catalog'!$J$2:$J$200,MATCH($Y210,'Test catalog'!$A$2:$A$200,0))="","",INDEX('Test catalog'!$J$2:$J$200,MATCH($Y210,'Test catalog'!$A$2:$A$200,0))),"")</f>
        <v/>
      </c>
      <c r="M210" s="11">
        <f>IFERROR(IF(INDEX('Test catalog'!$K$2:$K$200,MATCH($Y210,'Test catalog'!$A$2:$A$200,0))="","",INDEX('Test catalog'!$K$2:$K$200,MATCH($Y210,'Test catalog'!$A$2:$A$200,0))),"")</f>
        <v/>
      </c>
      <c r="N210" s="11">
        <f>IFERROR(IF(INDEX('Test catalog'!$L$2:$L$200,MATCH($Y210,'Test catalog'!$A$2:$A$200,0))="","",INDEX('Test catalog'!$L$2:$L$200,MATCH($Y210,'Test catalog'!$A$2:$A$200,0))),"")</f>
        <v/>
      </c>
      <c r="O210" s="11">
        <f>IFERROR(IF(INDEX('Test catalog'!$M$2:$M$200,MATCH($Y210,'Test catalog'!$A$2:$A$200,0))="","",INDEX('Test catalog'!$M$2:$M$200,MATCH($Y210,'Test catalog'!$A$2:$A$200,0))),"")</f>
        <v/>
      </c>
      <c r="P210" s="11">
        <f>IFERROR(IF(INDEX('Test catalog'!$N$2:$N$200,MATCH($Y210,'Test catalog'!$A$2:$A$200,0))="","",INDEX('Test catalog'!$N$2:$N$200,MATCH($Y210,'Test catalog'!$A$2:$A$200,0))),"")</f>
        <v/>
      </c>
      <c r="Q210" s="11">
        <f>IFERROR(IF(INDEX('Test catalog'!$O$2:$O$200,MATCH($Y210,'Test catalog'!$A$2:$A$200,0))="","",INDEX('Test catalog'!$O$2:$O$200,MATCH($Y210,'Test catalog'!$A$2:$A$200,0))),"")</f>
        <v/>
      </c>
      <c r="R210" s="11">
        <f>IFERROR(IF(INDEX('Test catalog'!$P$2:$P$200,MATCH($Y210,'Test catalog'!$A$2:$A$200,0))="","",INDEX('Test catalog'!$P$2:$P$200,MATCH($Y210,'Test catalog'!$A$2:$A$200,0))),"")</f>
        <v/>
      </c>
      <c r="S210" s="14" t="n"/>
      <c r="T210" s="5" t="n"/>
      <c r="U210" s="11">
        <f>IFERROR(IF(INDEX('Test catalog'!$Q$2:$Q$200,MATCH($Y210,'Test catalog'!$A$2:$A$200,0))="","",INDEX('Test catalog'!$Q$2:$Q$200,MATCH($Y210,'Test catalog'!$A$2:$A$200,0))),"")</f>
        <v/>
      </c>
      <c r="V210" s="5" t="n"/>
      <c r="W210" s="5" t="n"/>
      <c r="X210" s="5" t="n"/>
      <c r="Y210" s="5" t="inlineStr">
        <is>
          <t>ENUM</t>
        </is>
      </c>
      <c r="Z210" s="11" t="inlineStr">
        <is>
          <t>No micro test in USP-NF - set Y if your specification has one</t>
        </is>
      </c>
    </row>
    <row r="211">
      <c r="A211" s="11" t="inlineStr">
        <is>
          <t>L-Menthol</t>
        </is>
      </c>
      <c r="B211" s="11" t="inlineStr">
        <is>
          <t>RM</t>
        </is>
      </c>
      <c r="C211" s="11" t="inlineStr">
        <is>
          <t>Flavour</t>
        </is>
      </c>
      <c r="D211" s="11" t="inlineStr">
        <is>
          <t>Microbial enumeration - TAMC + TYMC (&lt;61&gt; / &lt;2021&gt;)</t>
        </is>
      </c>
      <c r="E211" s="5" t="inlineStr">
        <is>
          <t>N</t>
        </is>
      </c>
      <c r="F211" s="5" t="n"/>
      <c r="G211" s="11">
        <f>IFERROR(IF(INDEX('Test catalog'!$F$2:$F$200,MATCH($Y211,'Test catalog'!$A$2:$A$200,0))="","",INDEX('Test catalog'!$F$2:$F$200,MATCH($Y211,'Test catalog'!$A$2:$A$200,0))),"")</f>
        <v/>
      </c>
      <c r="H211" s="11">
        <f>IFERROR(IF(INDEX('Test catalog'!$G$2:$G$200,MATCH($Y211,'Test catalog'!$A$2:$A$200,0))="","",INDEX('Test catalog'!$G$2:$G$200,MATCH($Y211,'Test catalog'!$A$2:$A$200,0))),"")</f>
        <v/>
      </c>
      <c r="I211" s="11">
        <f>IFERROR(IF(INDEX('Test catalog'!$H$2:$H$200,MATCH($Y211,'Test catalog'!$A$2:$A$200,0))="","",INDEX('Test catalog'!$H$2:$H$200,MATCH($Y211,'Test catalog'!$A$2:$A$200,0))),"")</f>
        <v/>
      </c>
      <c r="J211" s="11">
        <f>IFERROR(IF(INDEX('Test catalog'!$I$2:$I$200,MATCH($Y211,'Test catalog'!$A$2:$A$200,0))="","",INDEX('Test catalog'!$I$2:$I$200,MATCH($Y211,'Test catalog'!$A$2:$A$200,0))),"")</f>
        <v/>
      </c>
      <c r="K211" s="13">
        <f>IF(I211="","",IF(OR(H211="",J211=""),I211,(H211+4*I211+J211)/6))</f>
        <v/>
      </c>
      <c r="L211" s="11">
        <f>IFERROR(IF(INDEX('Test catalog'!$J$2:$J$200,MATCH($Y211,'Test catalog'!$A$2:$A$200,0))="","",INDEX('Test catalog'!$J$2:$J$200,MATCH($Y211,'Test catalog'!$A$2:$A$200,0))),"")</f>
        <v/>
      </c>
      <c r="M211" s="11">
        <f>IFERROR(IF(INDEX('Test catalog'!$K$2:$K$200,MATCH($Y211,'Test catalog'!$A$2:$A$200,0))="","",INDEX('Test catalog'!$K$2:$K$200,MATCH($Y211,'Test catalog'!$A$2:$A$200,0))),"")</f>
        <v/>
      </c>
      <c r="N211" s="11">
        <f>IFERROR(IF(INDEX('Test catalog'!$L$2:$L$200,MATCH($Y211,'Test catalog'!$A$2:$A$200,0))="","",INDEX('Test catalog'!$L$2:$L$200,MATCH($Y211,'Test catalog'!$A$2:$A$200,0))),"")</f>
        <v/>
      </c>
      <c r="O211" s="11">
        <f>IFERROR(IF(INDEX('Test catalog'!$M$2:$M$200,MATCH($Y211,'Test catalog'!$A$2:$A$200,0))="","",INDEX('Test catalog'!$M$2:$M$200,MATCH($Y211,'Test catalog'!$A$2:$A$200,0))),"")</f>
        <v/>
      </c>
      <c r="P211" s="11">
        <f>IFERROR(IF(INDEX('Test catalog'!$N$2:$N$200,MATCH($Y211,'Test catalog'!$A$2:$A$200,0))="","",INDEX('Test catalog'!$N$2:$N$200,MATCH($Y211,'Test catalog'!$A$2:$A$200,0))),"")</f>
        <v/>
      </c>
      <c r="Q211" s="11">
        <f>IFERROR(IF(INDEX('Test catalog'!$O$2:$O$200,MATCH($Y211,'Test catalog'!$A$2:$A$200,0))="","",INDEX('Test catalog'!$O$2:$O$200,MATCH($Y211,'Test catalog'!$A$2:$A$200,0))),"")</f>
        <v/>
      </c>
      <c r="R211" s="11">
        <f>IFERROR(IF(INDEX('Test catalog'!$P$2:$P$200,MATCH($Y211,'Test catalog'!$A$2:$A$200,0))="","",INDEX('Test catalog'!$P$2:$P$200,MATCH($Y211,'Test catalog'!$A$2:$A$200,0))),"")</f>
        <v/>
      </c>
      <c r="S211" s="14" t="n"/>
      <c r="T211" s="5" t="n"/>
      <c r="U211" s="11">
        <f>IFERROR(IF(INDEX('Test catalog'!$Q$2:$Q$200,MATCH($Y211,'Test catalog'!$A$2:$A$200,0))="","",INDEX('Test catalog'!$Q$2:$Q$200,MATCH($Y211,'Test catalog'!$A$2:$A$200,0))),"")</f>
        <v/>
      </c>
      <c r="V211" s="5" t="n"/>
      <c r="W211" s="5" t="n"/>
      <c r="X211" s="5" t="n"/>
      <c r="Y211" s="5" t="inlineStr">
        <is>
          <t>ENUM</t>
        </is>
      </c>
      <c r="Z211" s="11" t="inlineStr">
        <is>
          <t>No micro test in USP-NF - set Y if your specification has one</t>
        </is>
      </c>
    </row>
    <row r="212">
      <c r="A212" s="11" t="inlineStr">
        <is>
          <t>Lemon Essence</t>
        </is>
      </c>
      <c r="B212" s="11" t="inlineStr">
        <is>
          <t>RM</t>
        </is>
      </c>
      <c r="C212" s="11" t="inlineStr">
        <is>
          <t>Flavour</t>
        </is>
      </c>
      <c r="D212" s="11" t="inlineStr">
        <is>
          <t>Microbial enumeration - TAMC + TYMC (&lt;61&gt; / &lt;2021&gt;)</t>
        </is>
      </c>
      <c r="E212" s="5" t="inlineStr">
        <is>
          <t>N</t>
        </is>
      </c>
      <c r="F212" s="5" t="n"/>
      <c r="G212" s="11">
        <f>IFERROR(IF(INDEX('Test catalog'!$F$2:$F$200,MATCH($Y212,'Test catalog'!$A$2:$A$200,0))="","",INDEX('Test catalog'!$F$2:$F$200,MATCH($Y212,'Test catalog'!$A$2:$A$200,0))),"")</f>
        <v/>
      </c>
      <c r="H212" s="11">
        <f>IFERROR(IF(INDEX('Test catalog'!$G$2:$G$200,MATCH($Y212,'Test catalog'!$A$2:$A$200,0))="","",INDEX('Test catalog'!$G$2:$G$200,MATCH($Y212,'Test catalog'!$A$2:$A$200,0))),"")</f>
        <v/>
      </c>
      <c r="I212" s="11">
        <f>IFERROR(IF(INDEX('Test catalog'!$H$2:$H$200,MATCH($Y212,'Test catalog'!$A$2:$A$200,0))="","",INDEX('Test catalog'!$H$2:$H$200,MATCH($Y212,'Test catalog'!$A$2:$A$200,0))),"")</f>
        <v/>
      </c>
      <c r="J212" s="11">
        <f>IFERROR(IF(INDEX('Test catalog'!$I$2:$I$200,MATCH($Y212,'Test catalog'!$A$2:$A$200,0))="","",INDEX('Test catalog'!$I$2:$I$200,MATCH($Y212,'Test catalog'!$A$2:$A$200,0))),"")</f>
        <v/>
      </c>
      <c r="K212" s="13">
        <f>IF(I212="","",IF(OR(H212="",J212=""),I212,(H212+4*I212+J212)/6))</f>
        <v/>
      </c>
      <c r="L212" s="11">
        <f>IFERROR(IF(INDEX('Test catalog'!$J$2:$J$200,MATCH($Y212,'Test catalog'!$A$2:$A$200,0))="","",INDEX('Test catalog'!$J$2:$J$200,MATCH($Y212,'Test catalog'!$A$2:$A$200,0))),"")</f>
        <v/>
      </c>
      <c r="M212" s="11">
        <f>IFERROR(IF(INDEX('Test catalog'!$K$2:$K$200,MATCH($Y212,'Test catalog'!$A$2:$A$200,0))="","",INDEX('Test catalog'!$K$2:$K$200,MATCH($Y212,'Test catalog'!$A$2:$A$200,0))),"")</f>
        <v/>
      </c>
      <c r="N212" s="11">
        <f>IFERROR(IF(INDEX('Test catalog'!$L$2:$L$200,MATCH($Y212,'Test catalog'!$A$2:$A$200,0))="","",INDEX('Test catalog'!$L$2:$L$200,MATCH($Y212,'Test catalog'!$A$2:$A$200,0))),"")</f>
        <v/>
      </c>
      <c r="O212" s="11">
        <f>IFERROR(IF(INDEX('Test catalog'!$M$2:$M$200,MATCH($Y212,'Test catalog'!$A$2:$A$200,0))="","",INDEX('Test catalog'!$M$2:$M$200,MATCH($Y212,'Test catalog'!$A$2:$A$200,0))),"")</f>
        <v/>
      </c>
      <c r="P212" s="11">
        <f>IFERROR(IF(INDEX('Test catalog'!$N$2:$N$200,MATCH($Y212,'Test catalog'!$A$2:$A$200,0))="","",INDEX('Test catalog'!$N$2:$N$200,MATCH($Y212,'Test catalog'!$A$2:$A$200,0))),"")</f>
        <v/>
      </c>
      <c r="Q212" s="11">
        <f>IFERROR(IF(INDEX('Test catalog'!$O$2:$O$200,MATCH($Y212,'Test catalog'!$A$2:$A$200,0))="","",INDEX('Test catalog'!$O$2:$O$200,MATCH($Y212,'Test catalog'!$A$2:$A$200,0))),"")</f>
        <v/>
      </c>
      <c r="R212" s="11">
        <f>IFERROR(IF(INDEX('Test catalog'!$P$2:$P$200,MATCH($Y212,'Test catalog'!$A$2:$A$200,0))="","",INDEX('Test catalog'!$P$2:$P$200,MATCH($Y212,'Test catalog'!$A$2:$A$200,0))),"")</f>
        <v/>
      </c>
      <c r="S212" s="14" t="n"/>
      <c r="T212" s="5" t="n"/>
      <c r="U212" s="11">
        <f>IFERROR(IF(INDEX('Test catalog'!$Q$2:$Q$200,MATCH($Y212,'Test catalog'!$A$2:$A$200,0))="","",INDEX('Test catalog'!$Q$2:$Q$200,MATCH($Y212,'Test catalog'!$A$2:$A$200,0))),"")</f>
        <v/>
      </c>
      <c r="V212" s="5" t="n"/>
      <c r="W212" s="5" t="n"/>
      <c r="X212" s="5" t="n"/>
      <c r="Y212" s="5" t="inlineStr">
        <is>
          <t>ENUM</t>
        </is>
      </c>
      <c r="Z212" s="11" t="inlineStr">
        <is>
          <t>No micro test in USP-NF - set Y if your specification has one</t>
        </is>
      </c>
    </row>
    <row r="213">
      <c r="A213" s="11" t="inlineStr">
        <is>
          <t>Lemon Flavour</t>
        </is>
      </c>
      <c r="B213" s="11" t="inlineStr">
        <is>
          <t>RM</t>
        </is>
      </c>
      <c r="C213" s="11" t="inlineStr">
        <is>
          <t>Flavour</t>
        </is>
      </c>
      <c r="D213" s="11" t="inlineStr">
        <is>
          <t>Microbial enumeration - TAMC + TYMC (&lt;61&gt; / &lt;2021&gt;)</t>
        </is>
      </c>
      <c r="E213" s="5" t="inlineStr">
        <is>
          <t>N</t>
        </is>
      </c>
      <c r="F213" s="5" t="n"/>
      <c r="G213" s="11">
        <f>IFERROR(IF(INDEX('Test catalog'!$F$2:$F$200,MATCH($Y213,'Test catalog'!$A$2:$A$200,0))="","",INDEX('Test catalog'!$F$2:$F$200,MATCH($Y213,'Test catalog'!$A$2:$A$200,0))),"")</f>
        <v/>
      </c>
      <c r="H213" s="11">
        <f>IFERROR(IF(INDEX('Test catalog'!$G$2:$G$200,MATCH($Y213,'Test catalog'!$A$2:$A$200,0))="","",INDEX('Test catalog'!$G$2:$G$200,MATCH($Y213,'Test catalog'!$A$2:$A$200,0))),"")</f>
        <v/>
      </c>
      <c r="I213" s="11">
        <f>IFERROR(IF(INDEX('Test catalog'!$H$2:$H$200,MATCH($Y213,'Test catalog'!$A$2:$A$200,0))="","",INDEX('Test catalog'!$H$2:$H$200,MATCH($Y213,'Test catalog'!$A$2:$A$200,0))),"")</f>
        <v/>
      </c>
      <c r="J213" s="11">
        <f>IFERROR(IF(INDEX('Test catalog'!$I$2:$I$200,MATCH($Y213,'Test catalog'!$A$2:$A$200,0))="","",INDEX('Test catalog'!$I$2:$I$200,MATCH($Y213,'Test catalog'!$A$2:$A$200,0))),"")</f>
        <v/>
      </c>
      <c r="K213" s="13">
        <f>IF(I213="","",IF(OR(H213="",J213=""),I213,(H213+4*I213+J213)/6))</f>
        <v/>
      </c>
      <c r="L213" s="11">
        <f>IFERROR(IF(INDEX('Test catalog'!$J$2:$J$200,MATCH($Y213,'Test catalog'!$A$2:$A$200,0))="","",INDEX('Test catalog'!$J$2:$J$200,MATCH($Y213,'Test catalog'!$A$2:$A$200,0))),"")</f>
        <v/>
      </c>
      <c r="M213" s="11">
        <f>IFERROR(IF(INDEX('Test catalog'!$K$2:$K$200,MATCH($Y213,'Test catalog'!$A$2:$A$200,0))="","",INDEX('Test catalog'!$K$2:$K$200,MATCH($Y213,'Test catalog'!$A$2:$A$200,0))),"")</f>
        <v/>
      </c>
      <c r="N213" s="11">
        <f>IFERROR(IF(INDEX('Test catalog'!$L$2:$L$200,MATCH($Y213,'Test catalog'!$A$2:$A$200,0))="","",INDEX('Test catalog'!$L$2:$L$200,MATCH($Y213,'Test catalog'!$A$2:$A$200,0))),"")</f>
        <v/>
      </c>
      <c r="O213" s="11">
        <f>IFERROR(IF(INDEX('Test catalog'!$M$2:$M$200,MATCH($Y213,'Test catalog'!$A$2:$A$200,0))="","",INDEX('Test catalog'!$M$2:$M$200,MATCH($Y213,'Test catalog'!$A$2:$A$200,0))),"")</f>
        <v/>
      </c>
      <c r="P213" s="11">
        <f>IFERROR(IF(INDEX('Test catalog'!$N$2:$N$200,MATCH($Y213,'Test catalog'!$A$2:$A$200,0))="","",INDEX('Test catalog'!$N$2:$N$200,MATCH($Y213,'Test catalog'!$A$2:$A$200,0))),"")</f>
        <v/>
      </c>
      <c r="Q213" s="11">
        <f>IFERROR(IF(INDEX('Test catalog'!$O$2:$O$200,MATCH($Y213,'Test catalog'!$A$2:$A$200,0))="","",INDEX('Test catalog'!$O$2:$O$200,MATCH($Y213,'Test catalog'!$A$2:$A$200,0))),"")</f>
        <v/>
      </c>
      <c r="R213" s="11">
        <f>IFERROR(IF(INDEX('Test catalog'!$P$2:$P$200,MATCH($Y213,'Test catalog'!$A$2:$A$200,0))="","",INDEX('Test catalog'!$P$2:$P$200,MATCH($Y213,'Test catalog'!$A$2:$A$200,0))),"")</f>
        <v/>
      </c>
      <c r="S213" s="14" t="n"/>
      <c r="T213" s="5" t="n"/>
      <c r="U213" s="11">
        <f>IFERROR(IF(INDEX('Test catalog'!$Q$2:$Q$200,MATCH($Y213,'Test catalog'!$A$2:$A$200,0))="","",INDEX('Test catalog'!$Q$2:$Q$200,MATCH($Y213,'Test catalog'!$A$2:$A$200,0))),"")</f>
        <v/>
      </c>
      <c r="V213" s="5" t="n"/>
      <c r="W213" s="5" t="n"/>
      <c r="X213" s="5" t="n"/>
      <c r="Y213" s="5" t="inlineStr">
        <is>
          <t>ENUM</t>
        </is>
      </c>
      <c r="Z213" s="11" t="inlineStr">
        <is>
          <t>No micro test in USP-NF - set Y if your specification has one</t>
        </is>
      </c>
    </row>
    <row r="214">
      <c r="A214" s="11" t="inlineStr">
        <is>
          <t>Mint Essence</t>
        </is>
      </c>
      <c r="B214" s="11" t="inlineStr">
        <is>
          <t>RM</t>
        </is>
      </c>
      <c r="C214" s="11" t="inlineStr">
        <is>
          <t>Flavour</t>
        </is>
      </c>
      <c r="D214" s="11" t="inlineStr">
        <is>
          <t>Microbial enumeration - TAMC + TYMC (&lt;61&gt; / &lt;2021&gt;)</t>
        </is>
      </c>
      <c r="E214" s="5" t="inlineStr">
        <is>
          <t>N</t>
        </is>
      </c>
      <c r="F214" s="5" t="n"/>
      <c r="G214" s="11">
        <f>IFERROR(IF(INDEX('Test catalog'!$F$2:$F$200,MATCH($Y214,'Test catalog'!$A$2:$A$200,0))="","",INDEX('Test catalog'!$F$2:$F$200,MATCH($Y214,'Test catalog'!$A$2:$A$200,0))),"")</f>
        <v/>
      </c>
      <c r="H214" s="11">
        <f>IFERROR(IF(INDEX('Test catalog'!$G$2:$G$200,MATCH($Y214,'Test catalog'!$A$2:$A$200,0))="","",INDEX('Test catalog'!$G$2:$G$200,MATCH($Y214,'Test catalog'!$A$2:$A$200,0))),"")</f>
        <v/>
      </c>
      <c r="I214" s="11">
        <f>IFERROR(IF(INDEX('Test catalog'!$H$2:$H$200,MATCH($Y214,'Test catalog'!$A$2:$A$200,0))="","",INDEX('Test catalog'!$H$2:$H$200,MATCH($Y214,'Test catalog'!$A$2:$A$200,0))),"")</f>
        <v/>
      </c>
      <c r="J214" s="11">
        <f>IFERROR(IF(INDEX('Test catalog'!$I$2:$I$200,MATCH($Y214,'Test catalog'!$A$2:$A$200,0))="","",INDEX('Test catalog'!$I$2:$I$200,MATCH($Y214,'Test catalog'!$A$2:$A$200,0))),"")</f>
        <v/>
      </c>
      <c r="K214" s="13">
        <f>IF(I214="","",IF(OR(H214="",J214=""),I214,(H214+4*I214+J214)/6))</f>
        <v/>
      </c>
      <c r="L214" s="11">
        <f>IFERROR(IF(INDEX('Test catalog'!$J$2:$J$200,MATCH($Y214,'Test catalog'!$A$2:$A$200,0))="","",INDEX('Test catalog'!$J$2:$J$200,MATCH($Y214,'Test catalog'!$A$2:$A$200,0))),"")</f>
        <v/>
      </c>
      <c r="M214" s="11">
        <f>IFERROR(IF(INDEX('Test catalog'!$K$2:$K$200,MATCH($Y214,'Test catalog'!$A$2:$A$200,0))="","",INDEX('Test catalog'!$K$2:$K$200,MATCH($Y214,'Test catalog'!$A$2:$A$200,0))),"")</f>
        <v/>
      </c>
      <c r="N214" s="11">
        <f>IFERROR(IF(INDEX('Test catalog'!$L$2:$L$200,MATCH($Y214,'Test catalog'!$A$2:$A$200,0))="","",INDEX('Test catalog'!$L$2:$L$200,MATCH($Y214,'Test catalog'!$A$2:$A$200,0))),"")</f>
        <v/>
      </c>
      <c r="O214" s="11">
        <f>IFERROR(IF(INDEX('Test catalog'!$M$2:$M$200,MATCH($Y214,'Test catalog'!$A$2:$A$200,0))="","",INDEX('Test catalog'!$M$2:$M$200,MATCH($Y214,'Test catalog'!$A$2:$A$200,0))),"")</f>
        <v/>
      </c>
      <c r="P214" s="11">
        <f>IFERROR(IF(INDEX('Test catalog'!$N$2:$N$200,MATCH($Y214,'Test catalog'!$A$2:$A$200,0))="","",INDEX('Test catalog'!$N$2:$N$200,MATCH($Y214,'Test catalog'!$A$2:$A$200,0))),"")</f>
        <v/>
      </c>
      <c r="Q214" s="11">
        <f>IFERROR(IF(INDEX('Test catalog'!$O$2:$O$200,MATCH($Y214,'Test catalog'!$A$2:$A$200,0))="","",INDEX('Test catalog'!$O$2:$O$200,MATCH($Y214,'Test catalog'!$A$2:$A$200,0))),"")</f>
        <v/>
      </c>
      <c r="R214" s="11">
        <f>IFERROR(IF(INDEX('Test catalog'!$P$2:$P$200,MATCH($Y214,'Test catalog'!$A$2:$A$200,0))="","",INDEX('Test catalog'!$P$2:$P$200,MATCH($Y214,'Test catalog'!$A$2:$A$200,0))),"")</f>
        <v/>
      </c>
      <c r="S214" s="14" t="n"/>
      <c r="T214" s="5" t="n"/>
      <c r="U214" s="11">
        <f>IFERROR(IF(INDEX('Test catalog'!$Q$2:$Q$200,MATCH($Y214,'Test catalog'!$A$2:$A$200,0))="","",INDEX('Test catalog'!$Q$2:$Q$200,MATCH($Y214,'Test catalog'!$A$2:$A$200,0))),"")</f>
        <v/>
      </c>
      <c r="V214" s="5" t="n"/>
      <c r="W214" s="5" t="n"/>
      <c r="X214" s="5" t="n"/>
      <c r="Y214" s="5" t="inlineStr">
        <is>
          <t>ENUM</t>
        </is>
      </c>
      <c r="Z214" s="11" t="inlineStr">
        <is>
          <t>No micro test in USP-NF - set Y if your specification has one</t>
        </is>
      </c>
    </row>
    <row r="215">
      <c r="A215" s="11" t="inlineStr">
        <is>
          <t>Mint Flavour</t>
        </is>
      </c>
      <c r="B215" s="11" t="inlineStr">
        <is>
          <t>RM</t>
        </is>
      </c>
      <c r="C215" s="11" t="inlineStr">
        <is>
          <t>Flavour</t>
        </is>
      </c>
      <c r="D215" s="11" t="inlineStr">
        <is>
          <t>Microbial enumeration - TAMC + TYMC (&lt;61&gt; / &lt;2021&gt;)</t>
        </is>
      </c>
      <c r="E215" s="5" t="inlineStr">
        <is>
          <t>N</t>
        </is>
      </c>
      <c r="F215" s="5" t="n"/>
      <c r="G215" s="11">
        <f>IFERROR(IF(INDEX('Test catalog'!$F$2:$F$200,MATCH($Y215,'Test catalog'!$A$2:$A$200,0))="","",INDEX('Test catalog'!$F$2:$F$200,MATCH($Y215,'Test catalog'!$A$2:$A$200,0))),"")</f>
        <v/>
      </c>
      <c r="H215" s="11">
        <f>IFERROR(IF(INDEX('Test catalog'!$G$2:$G$200,MATCH($Y215,'Test catalog'!$A$2:$A$200,0))="","",INDEX('Test catalog'!$G$2:$G$200,MATCH($Y215,'Test catalog'!$A$2:$A$200,0))),"")</f>
        <v/>
      </c>
      <c r="I215" s="11">
        <f>IFERROR(IF(INDEX('Test catalog'!$H$2:$H$200,MATCH($Y215,'Test catalog'!$A$2:$A$200,0))="","",INDEX('Test catalog'!$H$2:$H$200,MATCH($Y215,'Test catalog'!$A$2:$A$200,0))),"")</f>
        <v/>
      </c>
      <c r="J215" s="11">
        <f>IFERROR(IF(INDEX('Test catalog'!$I$2:$I$200,MATCH($Y215,'Test catalog'!$A$2:$A$200,0))="","",INDEX('Test catalog'!$I$2:$I$200,MATCH($Y215,'Test catalog'!$A$2:$A$200,0))),"")</f>
        <v/>
      </c>
      <c r="K215" s="13">
        <f>IF(I215="","",IF(OR(H215="",J215=""),I215,(H215+4*I215+J215)/6))</f>
        <v/>
      </c>
      <c r="L215" s="11">
        <f>IFERROR(IF(INDEX('Test catalog'!$J$2:$J$200,MATCH($Y215,'Test catalog'!$A$2:$A$200,0))="","",INDEX('Test catalog'!$J$2:$J$200,MATCH($Y215,'Test catalog'!$A$2:$A$200,0))),"")</f>
        <v/>
      </c>
      <c r="M215" s="11">
        <f>IFERROR(IF(INDEX('Test catalog'!$K$2:$K$200,MATCH($Y215,'Test catalog'!$A$2:$A$200,0))="","",INDEX('Test catalog'!$K$2:$K$200,MATCH($Y215,'Test catalog'!$A$2:$A$200,0))),"")</f>
        <v/>
      </c>
      <c r="N215" s="11">
        <f>IFERROR(IF(INDEX('Test catalog'!$L$2:$L$200,MATCH($Y215,'Test catalog'!$A$2:$A$200,0))="","",INDEX('Test catalog'!$L$2:$L$200,MATCH($Y215,'Test catalog'!$A$2:$A$200,0))),"")</f>
        <v/>
      </c>
      <c r="O215" s="11">
        <f>IFERROR(IF(INDEX('Test catalog'!$M$2:$M$200,MATCH($Y215,'Test catalog'!$A$2:$A$200,0))="","",INDEX('Test catalog'!$M$2:$M$200,MATCH($Y215,'Test catalog'!$A$2:$A$200,0))),"")</f>
        <v/>
      </c>
      <c r="P215" s="11">
        <f>IFERROR(IF(INDEX('Test catalog'!$N$2:$N$200,MATCH($Y215,'Test catalog'!$A$2:$A$200,0))="","",INDEX('Test catalog'!$N$2:$N$200,MATCH($Y215,'Test catalog'!$A$2:$A$200,0))),"")</f>
        <v/>
      </c>
      <c r="Q215" s="11">
        <f>IFERROR(IF(INDEX('Test catalog'!$O$2:$O$200,MATCH($Y215,'Test catalog'!$A$2:$A$200,0))="","",INDEX('Test catalog'!$O$2:$O$200,MATCH($Y215,'Test catalog'!$A$2:$A$200,0))),"")</f>
        <v/>
      </c>
      <c r="R215" s="11">
        <f>IFERROR(IF(INDEX('Test catalog'!$P$2:$P$200,MATCH($Y215,'Test catalog'!$A$2:$A$200,0))="","",INDEX('Test catalog'!$P$2:$P$200,MATCH($Y215,'Test catalog'!$A$2:$A$200,0))),"")</f>
        <v/>
      </c>
      <c r="S215" s="14" t="n"/>
      <c r="T215" s="5" t="n"/>
      <c r="U215" s="11">
        <f>IFERROR(IF(INDEX('Test catalog'!$Q$2:$Q$200,MATCH($Y215,'Test catalog'!$A$2:$A$200,0))="","",INDEX('Test catalog'!$Q$2:$Q$200,MATCH($Y215,'Test catalog'!$A$2:$A$200,0))),"")</f>
        <v/>
      </c>
      <c r="V215" s="5" t="n"/>
      <c r="W215" s="5" t="n"/>
      <c r="X215" s="5" t="n"/>
      <c r="Y215" s="5" t="inlineStr">
        <is>
          <t>ENUM</t>
        </is>
      </c>
      <c r="Z215" s="11" t="inlineStr">
        <is>
          <t>No micro test in USP-NF - set Y if your specification has one</t>
        </is>
      </c>
    </row>
    <row r="216">
      <c r="A216" s="11" t="inlineStr">
        <is>
          <t>Orange Flavour</t>
        </is>
      </c>
      <c r="B216" s="11" t="inlineStr">
        <is>
          <t>RM</t>
        </is>
      </c>
      <c r="C216" s="11" t="inlineStr">
        <is>
          <t>Flavour</t>
        </is>
      </c>
      <c r="D216" s="11" t="inlineStr">
        <is>
          <t>Microbial enumeration - TAMC + TYMC (&lt;61&gt; / &lt;2021&gt;)</t>
        </is>
      </c>
      <c r="E216" s="5" t="inlineStr">
        <is>
          <t>N</t>
        </is>
      </c>
      <c r="F216" s="5" t="n"/>
      <c r="G216" s="11">
        <f>IFERROR(IF(INDEX('Test catalog'!$F$2:$F$200,MATCH($Y216,'Test catalog'!$A$2:$A$200,0))="","",INDEX('Test catalog'!$F$2:$F$200,MATCH($Y216,'Test catalog'!$A$2:$A$200,0))),"")</f>
        <v/>
      </c>
      <c r="H216" s="11">
        <f>IFERROR(IF(INDEX('Test catalog'!$G$2:$G$200,MATCH($Y216,'Test catalog'!$A$2:$A$200,0))="","",INDEX('Test catalog'!$G$2:$G$200,MATCH($Y216,'Test catalog'!$A$2:$A$200,0))),"")</f>
        <v/>
      </c>
      <c r="I216" s="11">
        <f>IFERROR(IF(INDEX('Test catalog'!$H$2:$H$200,MATCH($Y216,'Test catalog'!$A$2:$A$200,0))="","",INDEX('Test catalog'!$H$2:$H$200,MATCH($Y216,'Test catalog'!$A$2:$A$200,0))),"")</f>
        <v/>
      </c>
      <c r="J216" s="11">
        <f>IFERROR(IF(INDEX('Test catalog'!$I$2:$I$200,MATCH($Y216,'Test catalog'!$A$2:$A$200,0))="","",INDEX('Test catalog'!$I$2:$I$200,MATCH($Y216,'Test catalog'!$A$2:$A$200,0))),"")</f>
        <v/>
      </c>
      <c r="K216" s="13">
        <f>IF(I216="","",IF(OR(H216="",J216=""),I216,(H216+4*I216+J216)/6))</f>
        <v/>
      </c>
      <c r="L216" s="11">
        <f>IFERROR(IF(INDEX('Test catalog'!$J$2:$J$200,MATCH($Y216,'Test catalog'!$A$2:$A$200,0))="","",INDEX('Test catalog'!$J$2:$J$200,MATCH($Y216,'Test catalog'!$A$2:$A$200,0))),"")</f>
        <v/>
      </c>
      <c r="M216" s="11">
        <f>IFERROR(IF(INDEX('Test catalog'!$K$2:$K$200,MATCH($Y216,'Test catalog'!$A$2:$A$200,0))="","",INDEX('Test catalog'!$K$2:$K$200,MATCH($Y216,'Test catalog'!$A$2:$A$200,0))),"")</f>
        <v/>
      </c>
      <c r="N216" s="11">
        <f>IFERROR(IF(INDEX('Test catalog'!$L$2:$L$200,MATCH($Y216,'Test catalog'!$A$2:$A$200,0))="","",INDEX('Test catalog'!$L$2:$L$200,MATCH($Y216,'Test catalog'!$A$2:$A$200,0))),"")</f>
        <v/>
      </c>
      <c r="O216" s="11">
        <f>IFERROR(IF(INDEX('Test catalog'!$M$2:$M$200,MATCH($Y216,'Test catalog'!$A$2:$A$200,0))="","",INDEX('Test catalog'!$M$2:$M$200,MATCH($Y216,'Test catalog'!$A$2:$A$200,0))),"")</f>
        <v/>
      </c>
      <c r="P216" s="11">
        <f>IFERROR(IF(INDEX('Test catalog'!$N$2:$N$200,MATCH($Y216,'Test catalog'!$A$2:$A$200,0))="","",INDEX('Test catalog'!$N$2:$N$200,MATCH($Y216,'Test catalog'!$A$2:$A$200,0))),"")</f>
        <v/>
      </c>
      <c r="Q216" s="11">
        <f>IFERROR(IF(INDEX('Test catalog'!$O$2:$O$200,MATCH($Y216,'Test catalog'!$A$2:$A$200,0))="","",INDEX('Test catalog'!$O$2:$O$200,MATCH($Y216,'Test catalog'!$A$2:$A$200,0))),"")</f>
        <v/>
      </c>
      <c r="R216" s="11">
        <f>IFERROR(IF(INDEX('Test catalog'!$P$2:$P$200,MATCH($Y216,'Test catalog'!$A$2:$A$200,0))="","",INDEX('Test catalog'!$P$2:$P$200,MATCH($Y216,'Test catalog'!$A$2:$A$200,0))),"")</f>
        <v/>
      </c>
      <c r="S216" s="14" t="n"/>
      <c r="T216" s="5" t="n"/>
      <c r="U216" s="11">
        <f>IFERROR(IF(INDEX('Test catalog'!$Q$2:$Q$200,MATCH($Y216,'Test catalog'!$A$2:$A$200,0))="","",INDEX('Test catalog'!$Q$2:$Q$200,MATCH($Y216,'Test catalog'!$A$2:$A$200,0))),"")</f>
        <v/>
      </c>
      <c r="V216" s="5" t="n"/>
      <c r="W216" s="5" t="n"/>
      <c r="X216" s="5" t="n"/>
      <c r="Y216" s="5" t="inlineStr">
        <is>
          <t>ENUM</t>
        </is>
      </c>
      <c r="Z216" s="11" t="inlineStr">
        <is>
          <t>No micro test in USP-NF - set Y if your specification has one</t>
        </is>
      </c>
    </row>
    <row r="217">
      <c r="A217" s="11" t="inlineStr">
        <is>
          <t>Sour Cherry Flavour</t>
        </is>
      </c>
      <c r="B217" s="11" t="inlineStr">
        <is>
          <t>RM</t>
        </is>
      </c>
      <c r="C217" s="11" t="inlineStr">
        <is>
          <t>Flavour</t>
        </is>
      </c>
      <c r="D217" s="11" t="inlineStr">
        <is>
          <t>Microbial enumeration - TAMC + TYMC (&lt;61&gt; / &lt;2021&gt;)</t>
        </is>
      </c>
      <c r="E217" s="5" t="inlineStr">
        <is>
          <t>N</t>
        </is>
      </c>
      <c r="F217" s="5" t="n"/>
      <c r="G217" s="11">
        <f>IFERROR(IF(INDEX('Test catalog'!$F$2:$F$200,MATCH($Y217,'Test catalog'!$A$2:$A$200,0))="","",INDEX('Test catalog'!$F$2:$F$200,MATCH($Y217,'Test catalog'!$A$2:$A$200,0))),"")</f>
        <v/>
      </c>
      <c r="H217" s="11">
        <f>IFERROR(IF(INDEX('Test catalog'!$G$2:$G$200,MATCH($Y217,'Test catalog'!$A$2:$A$200,0))="","",INDEX('Test catalog'!$G$2:$G$200,MATCH($Y217,'Test catalog'!$A$2:$A$200,0))),"")</f>
        <v/>
      </c>
      <c r="I217" s="11">
        <f>IFERROR(IF(INDEX('Test catalog'!$H$2:$H$200,MATCH($Y217,'Test catalog'!$A$2:$A$200,0))="","",INDEX('Test catalog'!$H$2:$H$200,MATCH($Y217,'Test catalog'!$A$2:$A$200,0))),"")</f>
        <v/>
      </c>
      <c r="J217" s="11">
        <f>IFERROR(IF(INDEX('Test catalog'!$I$2:$I$200,MATCH($Y217,'Test catalog'!$A$2:$A$200,0))="","",INDEX('Test catalog'!$I$2:$I$200,MATCH($Y217,'Test catalog'!$A$2:$A$200,0))),"")</f>
        <v/>
      </c>
      <c r="K217" s="13">
        <f>IF(I217="","",IF(OR(H217="",J217=""),I217,(H217+4*I217+J217)/6))</f>
        <v/>
      </c>
      <c r="L217" s="11">
        <f>IFERROR(IF(INDEX('Test catalog'!$J$2:$J$200,MATCH($Y217,'Test catalog'!$A$2:$A$200,0))="","",INDEX('Test catalog'!$J$2:$J$200,MATCH($Y217,'Test catalog'!$A$2:$A$200,0))),"")</f>
        <v/>
      </c>
      <c r="M217" s="11">
        <f>IFERROR(IF(INDEX('Test catalog'!$K$2:$K$200,MATCH($Y217,'Test catalog'!$A$2:$A$200,0))="","",INDEX('Test catalog'!$K$2:$K$200,MATCH($Y217,'Test catalog'!$A$2:$A$200,0))),"")</f>
        <v/>
      </c>
      <c r="N217" s="11">
        <f>IFERROR(IF(INDEX('Test catalog'!$L$2:$L$200,MATCH($Y217,'Test catalog'!$A$2:$A$200,0))="","",INDEX('Test catalog'!$L$2:$L$200,MATCH($Y217,'Test catalog'!$A$2:$A$200,0))),"")</f>
        <v/>
      </c>
      <c r="O217" s="11">
        <f>IFERROR(IF(INDEX('Test catalog'!$M$2:$M$200,MATCH($Y217,'Test catalog'!$A$2:$A$200,0))="","",INDEX('Test catalog'!$M$2:$M$200,MATCH($Y217,'Test catalog'!$A$2:$A$200,0))),"")</f>
        <v/>
      </c>
      <c r="P217" s="11">
        <f>IFERROR(IF(INDEX('Test catalog'!$N$2:$N$200,MATCH($Y217,'Test catalog'!$A$2:$A$200,0))="","",INDEX('Test catalog'!$N$2:$N$200,MATCH($Y217,'Test catalog'!$A$2:$A$200,0))),"")</f>
        <v/>
      </c>
      <c r="Q217" s="11">
        <f>IFERROR(IF(INDEX('Test catalog'!$O$2:$O$200,MATCH($Y217,'Test catalog'!$A$2:$A$200,0))="","",INDEX('Test catalog'!$O$2:$O$200,MATCH($Y217,'Test catalog'!$A$2:$A$200,0))),"")</f>
        <v/>
      </c>
      <c r="R217" s="11">
        <f>IFERROR(IF(INDEX('Test catalog'!$P$2:$P$200,MATCH($Y217,'Test catalog'!$A$2:$A$200,0))="","",INDEX('Test catalog'!$P$2:$P$200,MATCH($Y217,'Test catalog'!$A$2:$A$200,0))),"")</f>
        <v/>
      </c>
      <c r="S217" s="14" t="n"/>
      <c r="T217" s="5" t="n"/>
      <c r="U217" s="11">
        <f>IFERROR(IF(INDEX('Test catalog'!$Q$2:$Q$200,MATCH($Y217,'Test catalog'!$A$2:$A$200,0))="","",INDEX('Test catalog'!$Q$2:$Q$200,MATCH($Y217,'Test catalog'!$A$2:$A$200,0))),"")</f>
        <v/>
      </c>
      <c r="V217" s="5" t="n"/>
      <c r="W217" s="5" t="n"/>
      <c r="X217" s="5" t="n"/>
      <c r="Y217" s="5" t="inlineStr">
        <is>
          <t>ENUM</t>
        </is>
      </c>
      <c r="Z217" s="11" t="inlineStr">
        <is>
          <t>No micro test in USP-NF - set Y if your specification has one</t>
        </is>
      </c>
    </row>
    <row r="218">
      <c r="A218" s="11" t="inlineStr">
        <is>
          <t>Strawberry Flavour</t>
        </is>
      </c>
      <c r="B218" s="11" t="inlineStr">
        <is>
          <t>RM</t>
        </is>
      </c>
      <c r="C218" s="11" t="inlineStr">
        <is>
          <t>Flavour</t>
        </is>
      </c>
      <c r="D218" s="11" t="inlineStr">
        <is>
          <t>Microbial enumeration - TAMC + TYMC (&lt;61&gt; / &lt;2021&gt;)</t>
        </is>
      </c>
      <c r="E218" s="5" t="inlineStr">
        <is>
          <t>N</t>
        </is>
      </c>
      <c r="F218" s="5" t="n"/>
      <c r="G218" s="11">
        <f>IFERROR(IF(INDEX('Test catalog'!$F$2:$F$200,MATCH($Y218,'Test catalog'!$A$2:$A$200,0))="","",INDEX('Test catalog'!$F$2:$F$200,MATCH($Y218,'Test catalog'!$A$2:$A$200,0))),"")</f>
        <v/>
      </c>
      <c r="H218" s="11">
        <f>IFERROR(IF(INDEX('Test catalog'!$G$2:$G$200,MATCH($Y218,'Test catalog'!$A$2:$A$200,0))="","",INDEX('Test catalog'!$G$2:$G$200,MATCH($Y218,'Test catalog'!$A$2:$A$200,0))),"")</f>
        <v/>
      </c>
      <c r="I218" s="11">
        <f>IFERROR(IF(INDEX('Test catalog'!$H$2:$H$200,MATCH($Y218,'Test catalog'!$A$2:$A$200,0))="","",INDEX('Test catalog'!$H$2:$H$200,MATCH($Y218,'Test catalog'!$A$2:$A$200,0))),"")</f>
        <v/>
      </c>
      <c r="J218" s="11">
        <f>IFERROR(IF(INDEX('Test catalog'!$I$2:$I$200,MATCH($Y218,'Test catalog'!$A$2:$A$200,0))="","",INDEX('Test catalog'!$I$2:$I$200,MATCH($Y218,'Test catalog'!$A$2:$A$200,0))),"")</f>
        <v/>
      </c>
      <c r="K218" s="13">
        <f>IF(I218="","",IF(OR(H218="",J218=""),I218,(H218+4*I218+J218)/6))</f>
        <v/>
      </c>
      <c r="L218" s="11">
        <f>IFERROR(IF(INDEX('Test catalog'!$J$2:$J$200,MATCH($Y218,'Test catalog'!$A$2:$A$200,0))="","",INDEX('Test catalog'!$J$2:$J$200,MATCH($Y218,'Test catalog'!$A$2:$A$200,0))),"")</f>
        <v/>
      </c>
      <c r="M218" s="11">
        <f>IFERROR(IF(INDEX('Test catalog'!$K$2:$K$200,MATCH($Y218,'Test catalog'!$A$2:$A$200,0))="","",INDEX('Test catalog'!$K$2:$K$200,MATCH($Y218,'Test catalog'!$A$2:$A$200,0))),"")</f>
        <v/>
      </c>
      <c r="N218" s="11">
        <f>IFERROR(IF(INDEX('Test catalog'!$L$2:$L$200,MATCH($Y218,'Test catalog'!$A$2:$A$200,0))="","",INDEX('Test catalog'!$L$2:$L$200,MATCH($Y218,'Test catalog'!$A$2:$A$200,0))),"")</f>
        <v/>
      </c>
      <c r="O218" s="11">
        <f>IFERROR(IF(INDEX('Test catalog'!$M$2:$M$200,MATCH($Y218,'Test catalog'!$A$2:$A$200,0))="","",INDEX('Test catalog'!$M$2:$M$200,MATCH($Y218,'Test catalog'!$A$2:$A$200,0))),"")</f>
        <v/>
      </c>
      <c r="P218" s="11">
        <f>IFERROR(IF(INDEX('Test catalog'!$N$2:$N$200,MATCH($Y218,'Test catalog'!$A$2:$A$200,0))="","",INDEX('Test catalog'!$N$2:$N$200,MATCH($Y218,'Test catalog'!$A$2:$A$200,0))),"")</f>
        <v/>
      </c>
      <c r="Q218" s="11">
        <f>IFERROR(IF(INDEX('Test catalog'!$O$2:$O$200,MATCH($Y218,'Test catalog'!$A$2:$A$200,0))="","",INDEX('Test catalog'!$O$2:$O$200,MATCH($Y218,'Test catalog'!$A$2:$A$200,0))),"")</f>
        <v/>
      </c>
      <c r="R218" s="11">
        <f>IFERROR(IF(INDEX('Test catalog'!$P$2:$P$200,MATCH($Y218,'Test catalog'!$A$2:$A$200,0))="","",INDEX('Test catalog'!$P$2:$P$200,MATCH($Y218,'Test catalog'!$A$2:$A$200,0))),"")</f>
        <v/>
      </c>
      <c r="S218" s="14" t="n"/>
      <c r="T218" s="5" t="n"/>
      <c r="U218" s="11">
        <f>IFERROR(IF(INDEX('Test catalog'!$Q$2:$Q$200,MATCH($Y218,'Test catalog'!$A$2:$A$200,0))="","",INDEX('Test catalog'!$Q$2:$Q$200,MATCH($Y218,'Test catalog'!$A$2:$A$200,0))),"")</f>
        <v/>
      </c>
      <c r="V218" s="5" t="n"/>
      <c r="W218" s="5" t="n"/>
      <c r="X218" s="5" t="n"/>
      <c r="Y218" s="5" t="inlineStr">
        <is>
          <t>ENUM</t>
        </is>
      </c>
      <c r="Z218" s="11" t="inlineStr">
        <is>
          <t>No micro test in USP-NF - set Y if your specification has one</t>
        </is>
      </c>
    </row>
    <row r="219">
      <c r="A219" s="11" t="inlineStr">
        <is>
          <t>Colloidal Silicon Dioxide</t>
        </is>
      </c>
      <c r="B219" s="11" t="inlineStr">
        <is>
          <t>RM</t>
        </is>
      </c>
      <c r="C219" s="11" t="inlineStr">
        <is>
          <t>Glidant</t>
        </is>
      </c>
      <c r="D219" s="11" t="inlineStr">
        <is>
          <t>Microbial enumeration - TAMC + TYMC (&lt;61&gt; / &lt;2021&gt;)</t>
        </is>
      </c>
      <c r="E219" s="5" t="inlineStr">
        <is>
          <t>N</t>
        </is>
      </c>
      <c r="F219" s="5" t="n"/>
      <c r="G219" s="11">
        <f>IFERROR(IF(INDEX('Test catalog'!$F$2:$F$200,MATCH($Y219,'Test catalog'!$A$2:$A$200,0))="","",INDEX('Test catalog'!$F$2:$F$200,MATCH($Y219,'Test catalog'!$A$2:$A$200,0))),"")</f>
        <v/>
      </c>
      <c r="H219" s="11">
        <f>IFERROR(IF(INDEX('Test catalog'!$G$2:$G$200,MATCH($Y219,'Test catalog'!$A$2:$A$200,0))="","",INDEX('Test catalog'!$G$2:$G$200,MATCH($Y219,'Test catalog'!$A$2:$A$200,0))),"")</f>
        <v/>
      </c>
      <c r="I219" s="11">
        <f>IFERROR(IF(INDEX('Test catalog'!$H$2:$H$200,MATCH($Y219,'Test catalog'!$A$2:$A$200,0))="","",INDEX('Test catalog'!$H$2:$H$200,MATCH($Y219,'Test catalog'!$A$2:$A$200,0))),"")</f>
        <v/>
      </c>
      <c r="J219" s="11">
        <f>IFERROR(IF(INDEX('Test catalog'!$I$2:$I$200,MATCH($Y219,'Test catalog'!$A$2:$A$200,0))="","",INDEX('Test catalog'!$I$2:$I$200,MATCH($Y219,'Test catalog'!$A$2:$A$200,0))),"")</f>
        <v/>
      </c>
      <c r="K219" s="13">
        <f>IF(I219="","",IF(OR(H219="",J219=""),I219,(H219+4*I219+J219)/6))</f>
        <v/>
      </c>
      <c r="L219" s="11">
        <f>IFERROR(IF(INDEX('Test catalog'!$J$2:$J$200,MATCH($Y219,'Test catalog'!$A$2:$A$200,0))="","",INDEX('Test catalog'!$J$2:$J$200,MATCH($Y219,'Test catalog'!$A$2:$A$200,0))),"")</f>
        <v/>
      </c>
      <c r="M219" s="11">
        <f>IFERROR(IF(INDEX('Test catalog'!$K$2:$K$200,MATCH($Y219,'Test catalog'!$A$2:$A$200,0))="","",INDEX('Test catalog'!$K$2:$K$200,MATCH($Y219,'Test catalog'!$A$2:$A$200,0))),"")</f>
        <v/>
      </c>
      <c r="N219" s="11">
        <f>IFERROR(IF(INDEX('Test catalog'!$L$2:$L$200,MATCH($Y219,'Test catalog'!$A$2:$A$200,0))="","",INDEX('Test catalog'!$L$2:$L$200,MATCH($Y219,'Test catalog'!$A$2:$A$200,0))),"")</f>
        <v/>
      </c>
      <c r="O219" s="11">
        <f>IFERROR(IF(INDEX('Test catalog'!$M$2:$M$200,MATCH($Y219,'Test catalog'!$A$2:$A$200,0))="","",INDEX('Test catalog'!$M$2:$M$200,MATCH($Y219,'Test catalog'!$A$2:$A$200,0))),"")</f>
        <v/>
      </c>
      <c r="P219" s="11">
        <f>IFERROR(IF(INDEX('Test catalog'!$N$2:$N$200,MATCH($Y219,'Test catalog'!$A$2:$A$200,0))="","",INDEX('Test catalog'!$N$2:$N$200,MATCH($Y219,'Test catalog'!$A$2:$A$200,0))),"")</f>
        <v/>
      </c>
      <c r="Q219" s="11">
        <f>IFERROR(IF(INDEX('Test catalog'!$O$2:$O$200,MATCH($Y219,'Test catalog'!$A$2:$A$200,0))="","",INDEX('Test catalog'!$O$2:$O$200,MATCH($Y219,'Test catalog'!$A$2:$A$200,0))),"")</f>
        <v/>
      </c>
      <c r="R219" s="11">
        <f>IFERROR(IF(INDEX('Test catalog'!$P$2:$P$200,MATCH($Y219,'Test catalog'!$A$2:$A$200,0))="","",INDEX('Test catalog'!$P$2:$P$200,MATCH($Y219,'Test catalog'!$A$2:$A$200,0))),"")</f>
        <v/>
      </c>
      <c r="S219" s="14" t="n"/>
      <c r="T219" s="5" t="n"/>
      <c r="U219" s="11">
        <f>IFERROR(IF(INDEX('Test catalog'!$Q$2:$Q$200,MATCH($Y219,'Test catalog'!$A$2:$A$200,0))="","",INDEX('Test catalog'!$Q$2:$Q$200,MATCH($Y219,'Test catalog'!$A$2:$A$200,0))),"")</f>
        <v/>
      </c>
      <c r="V219" s="5" t="n"/>
      <c r="W219" s="5" t="n"/>
      <c r="X219" s="5" t="n"/>
      <c r="Y219" s="5" t="inlineStr">
        <is>
          <t>ENUM</t>
        </is>
      </c>
      <c r="Z219" s="11" t="inlineStr">
        <is>
          <t>No micro test in USP-NF - set Y if your specification has one</t>
        </is>
      </c>
    </row>
    <row r="220">
      <c r="A220" s="11" t="inlineStr">
        <is>
          <t>Talc</t>
        </is>
      </c>
      <c r="B220" s="11" t="inlineStr">
        <is>
          <t>RM</t>
        </is>
      </c>
      <c r="C220" s="11" t="inlineStr">
        <is>
          <t>Glidant / Anti-tacking</t>
        </is>
      </c>
      <c r="D220" s="11" t="inlineStr">
        <is>
          <t>Microbial enumeration - TAMC + TYMC (&lt;61&gt; / &lt;2021&gt;)</t>
        </is>
      </c>
      <c r="E220" s="5" t="inlineStr">
        <is>
          <t>Y</t>
        </is>
      </c>
      <c r="F220" s="5" t="n"/>
      <c r="G220" s="11">
        <f>IFERROR(IF(INDEX('Test catalog'!$F$2:$F$200,MATCH($Y220,'Test catalog'!$A$2:$A$200,0))="","",INDEX('Test catalog'!$F$2:$F$200,MATCH($Y220,'Test catalog'!$A$2:$A$200,0))),"")</f>
        <v/>
      </c>
      <c r="H220" s="11">
        <f>IFERROR(IF(INDEX('Test catalog'!$G$2:$G$200,MATCH($Y220,'Test catalog'!$A$2:$A$200,0))="","",INDEX('Test catalog'!$G$2:$G$200,MATCH($Y220,'Test catalog'!$A$2:$A$200,0))),"")</f>
        <v/>
      </c>
      <c r="I220" s="11">
        <f>IFERROR(IF(INDEX('Test catalog'!$H$2:$H$200,MATCH($Y220,'Test catalog'!$A$2:$A$200,0))="","",INDEX('Test catalog'!$H$2:$H$200,MATCH($Y220,'Test catalog'!$A$2:$A$200,0))),"")</f>
        <v/>
      </c>
      <c r="J220" s="11">
        <f>IFERROR(IF(INDEX('Test catalog'!$I$2:$I$200,MATCH($Y220,'Test catalog'!$A$2:$A$200,0))="","",INDEX('Test catalog'!$I$2:$I$200,MATCH($Y220,'Test catalog'!$A$2:$A$200,0))),"")</f>
        <v/>
      </c>
      <c r="K220" s="13">
        <f>IF(I220="","",IF(OR(H220="",J220=""),I220,(H220+4*I220+J220)/6))</f>
        <v/>
      </c>
      <c r="L220" s="11">
        <f>IFERROR(IF(INDEX('Test catalog'!$J$2:$J$200,MATCH($Y220,'Test catalog'!$A$2:$A$200,0))="","",INDEX('Test catalog'!$J$2:$J$200,MATCH($Y220,'Test catalog'!$A$2:$A$200,0))),"")</f>
        <v/>
      </c>
      <c r="M220" s="11">
        <f>IFERROR(IF(INDEX('Test catalog'!$K$2:$K$200,MATCH($Y220,'Test catalog'!$A$2:$A$200,0))="","",INDEX('Test catalog'!$K$2:$K$200,MATCH($Y220,'Test catalog'!$A$2:$A$200,0))),"")</f>
        <v/>
      </c>
      <c r="N220" s="11">
        <f>IFERROR(IF(INDEX('Test catalog'!$L$2:$L$200,MATCH($Y220,'Test catalog'!$A$2:$A$200,0))="","",INDEX('Test catalog'!$L$2:$L$200,MATCH($Y220,'Test catalog'!$A$2:$A$200,0))),"")</f>
        <v/>
      </c>
      <c r="O220" s="11">
        <f>IFERROR(IF(INDEX('Test catalog'!$M$2:$M$200,MATCH($Y220,'Test catalog'!$A$2:$A$200,0))="","",INDEX('Test catalog'!$M$2:$M$200,MATCH($Y220,'Test catalog'!$A$2:$A$200,0))),"")</f>
        <v/>
      </c>
      <c r="P220" s="11">
        <f>IFERROR(IF(INDEX('Test catalog'!$N$2:$N$200,MATCH($Y220,'Test catalog'!$A$2:$A$200,0))="","",INDEX('Test catalog'!$N$2:$N$200,MATCH($Y220,'Test catalog'!$A$2:$A$200,0))),"")</f>
        <v/>
      </c>
      <c r="Q220" s="11">
        <f>IFERROR(IF(INDEX('Test catalog'!$O$2:$O$200,MATCH($Y220,'Test catalog'!$A$2:$A$200,0))="","",INDEX('Test catalog'!$O$2:$O$200,MATCH($Y220,'Test catalog'!$A$2:$A$200,0))),"")</f>
        <v/>
      </c>
      <c r="R220" s="11">
        <f>IFERROR(IF(INDEX('Test catalog'!$P$2:$P$200,MATCH($Y220,'Test catalog'!$A$2:$A$200,0))="","",INDEX('Test catalog'!$P$2:$P$200,MATCH($Y220,'Test catalog'!$A$2:$A$200,0))),"")</f>
        <v/>
      </c>
      <c r="S220" s="14" t="n"/>
      <c r="T220" s="5" t="n"/>
      <c r="U220" s="11">
        <f>IFERROR(IF(INDEX('Test catalog'!$Q$2:$Q$200,MATCH($Y220,'Test catalog'!$A$2:$A$200,0))="","",INDEX('Test catalog'!$Q$2:$Q$200,MATCH($Y220,'Test catalog'!$A$2:$A$200,0))),"")</f>
        <v/>
      </c>
      <c r="V220" s="5" t="n"/>
      <c r="W220" s="5" t="n"/>
      <c r="X220" s="5" t="n"/>
      <c r="Y220" s="5" t="inlineStr">
        <is>
          <t>ENUM</t>
        </is>
      </c>
      <c r="Z220" s="11" t="inlineStr">
        <is>
          <t>USP-NF monograph &lt;61&gt;, &lt;62&gt;</t>
        </is>
      </c>
    </row>
    <row r="221">
      <c r="A221" s="11" t="inlineStr">
        <is>
          <t>Magnesium Stearate</t>
        </is>
      </c>
      <c r="B221" s="11" t="inlineStr">
        <is>
          <t>RM</t>
        </is>
      </c>
      <c r="C221" s="11" t="inlineStr">
        <is>
          <t>Lubricant</t>
        </is>
      </c>
      <c r="D221" s="11" t="inlineStr">
        <is>
          <t>Microbial enumeration - TAMC + TYMC (&lt;61&gt; / &lt;2021&gt;)</t>
        </is>
      </c>
      <c r="E221" s="5" t="inlineStr">
        <is>
          <t>Y</t>
        </is>
      </c>
      <c r="F221" s="5" t="n"/>
      <c r="G221" s="11">
        <f>IFERROR(IF(INDEX('Test catalog'!$F$2:$F$200,MATCH($Y221,'Test catalog'!$A$2:$A$200,0))="","",INDEX('Test catalog'!$F$2:$F$200,MATCH($Y221,'Test catalog'!$A$2:$A$200,0))),"")</f>
        <v/>
      </c>
      <c r="H221" s="11">
        <f>IFERROR(IF(INDEX('Test catalog'!$G$2:$G$200,MATCH($Y221,'Test catalog'!$A$2:$A$200,0))="","",INDEX('Test catalog'!$G$2:$G$200,MATCH($Y221,'Test catalog'!$A$2:$A$200,0))),"")</f>
        <v/>
      </c>
      <c r="I221" s="11">
        <f>IFERROR(IF(INDEX('Test catalog'!$H$2:$H$200,MATCH($Y221,'Test catalog'!$A$2:$A$200,0))="","",INDEX('Test catalog'!$H$2:$H$200,MATCH($Y221,'Test catalog'!$A$2:$A$200,0))),"")</f>
        <v/>
      </c>
      <c r="J221" s="11">
        <f>IFERROR(IF(INDEX('Test catalog'!$I$2:$I$200,MATCH($Y221,'Test catalog'!$A$2:$A$200,0))="","",INDEX('Test catalog'!$I$2:$I$200,MATCH($Y221,'Test catalog'!$A$2:$A$200,0))),"")</f>
        <v/>
      </c>
      <c r="K221" s="13">
        <f>IF(I221="","",IF(OR(H221="",J221=""),I221,(H221+4*I221+J221)/6))</f>
        <v/>
      </c>
      <c r="L221" s="11">
        <f>IFERROR(IF(INDEX('Test catalog'!$J$2:$J$200,MATCH($Y221,'Test catalog'!$A$2:$A$200,0))="","",INDEX('Test catalog'!$J$2:$J$200,MATCH($Y221,'Test catalog'!$A$2:$A$200,0))),"")</f>
        <v/>
      </c>
      <c r="M221" s="11">
        <f>IFERROR(IF(INDEX('Test catalog'!$K$2:$K$200,MATCH($Y221,'Test catalog'!$A$2:$A$200,0))="","",INDEX('Test catalog'!$K$2:$K$200,MATCH($Y221,'Test catalog'!$A$2:$A$200,0))),"")</f>
        <v/>
      </c>
      <c r="N221" s="11">
        <f>IFERROR(IF(INDEX('Test catalog'!$L$2:$L$200,MATCH($Y221,'Test catalog'!$A$2:$A$200,0))="","",INDEX('Test catalog'!$L$2:$L$200,MATCH($Y221,'Test catalog'!$A$2:$A$200,0))),"")</f>
        <v/>
      </c>
      <c r="O221" s="11">
        <f>IFERROR(IF(INDEX('Test catalog'!$M$2:$M$200,MATCH($Y221,'Test catalog'!$A$2:$A$200,0))="","",INDEX('Test catalog'!$M$2:$M$200,MATCH($Y221,'Test catalog'!$A$2:$A$200,0))),"")</f>
        <v/>
      </c>
      <c r="P221" s="11">
        <f>IFERROR(IF(INDEX('Test catalog'!$N$2:$N$200,MATCH($Y221,'Test catalog'!$A$2:$A$200,0))="","",INDEX('Test catalog'!$N$2:$N$200,MATCH($Y221,'Test catalog'!$A$2:$A$200,0))),"")</f>
        <v/>
      </c>
      <c r="Q221" s="11">
        <f>IFERROR(IF(INDEX('Test catalog'!$O$2:$O$200,MATCH($Y221,'Test catalog'!$A$2:$A$200,0))="","",INDEX('Test catalog'!$O$2:$O$200,MATCH($Y221,'Test catalog'!$A$2:$A$200,0))),"")</f>
        <v/>
      </c>
      <c r="R221" s="11">
        <f>IFERROR(IF(INDEX('Test catalog'!$P$2:$P$200,MATCH($Y221,'Test catalog'!$A$2:$A$200,0))="","",INDEX('Test catalog'!$P$2:$P$200,MATCH($Y221,'Test catalog'!$A$2:$A$200,0))),"")</f>
        <v/>
      </c>
      <c r="S221" s="14" t="n"/>
      <c r="T221" s="5" t="n"/>
      <c r="U221" s="11">
        <f>IFERROR(IF(INDEX('Test catalog'!$Q$2:$Q$200,MATCH($Y221,'Test catalog'!$A$2:$A$200,0))="","",INDEX('Test catalog'!$Q$2:$Q$200,MATCH($Y221,'Test catalog'!$A$2:$A$200,0))),"")</f>
        <v/>
      </c>
      <c r="V221" s="5" t="n"/>
      <c r="W221" s="5" t="n"/>
      <c r="X221" s="5" t="n"/>
      <c r="Y221" s="5" t="inlineStr">
        <is>
          <t>ENUM</t>
        </is>
      </c>
      <c r="Z221" s="11" t="inlineStr">
        <is>
          <t>USP-NF monograph &lt;61&gt;, &lt;62&gt;</t>
        </is>
      </c>
    </row>
    <row r="222">
      <c r="A222" s="11" t="inlineStr">
        <is>
          <t>Magnesium Stearate</t>
        </is>
      </c>
      <c r="B222" s="11" t="inlineStr">
        <is>
          <t>RM</t>
        </is>
      </c>
      <c r="C222" s="11" t="inlineStr">
        <is>
          <t>Lubricant</t>
        </is>
      </c>
      <c r="D222" s="11" t="inlineStr">
        <is>
          <t>Absence of Escherichia coli (&lt;62&gt; / &lt;2022&gt;)</t>
        </is>
      </c>
      <c r="E222" s="5" t="inlineStr">
        <is>
          <t>Y</t>
        </is>
      </c>
      <c r="F222" s="5" t="n"/>
      <c r="G222" s="11">
        <f>IFERROR(IF(INDEX('Test catalog'!$F$2:$F$200,MATCH($Y222,'Test catalog'!$A$2:$A$200,0))="","",INDEX('Test catalog'!$F$2:$F$200,MATCH($Y222,'Test catalog'!$A$2:$A$200,0))),"")</f>
        <v/>
      </c>
      <c r="H222" s="11">
        <f>IFERROR(IF(INDEX('Test catalog'!$G$2:$G$200,MATCH($Y222,'Test catalog'!$A$2:$A$200,0))="","",INDEX('Test catalog'!$G$2:$G$200,MATCH($Y222,'Test catalog'!$A$2:$A$200,0))),"")</f>
        <v/>
      </c>
      <c r="I222" s="11">
        <f>IFERROR(IF(INDEX('Test catalog'!$H$2:$H$200,MATCH($Y222,'Test catalog'!$A$2:$A$200,0))="","",INDEX('Test catalog'!$H$2:$H$200,MATCH($Y222,'Test catalog'!$A$2:$A$200,0))),"")</f>
        <v/>
      </c>
      <c r="J222" s="11">
        <f>IFERROR(IF(INDEX('Test catalog'!$I$2:$I$200,MATCH($Y222,'Test catalog'!$A$2:$A$200,0))="","",INDEX('Test catalog'!$I$2:$I$200,MATCH($Y222,'Test catalog'!$A$2:$A$200,0))),"")</f>
        <v/>
      </c>
      <c r="K222" s="13">
        <f>IF(I222="","",IF(OR(H222="",J222=""),I222,(H222+4*I222+J222)/6))</f>
        <v/>
      </c>
      <c r="L222" s="11">
        <f>IFERROR(IF(INDEX('Test catalog'!$J$2:$J$200,MATCH($Y222,'Test catalog'!$A$2:$A$200,0))="","",INDEX('Test catalog'!$J$2:$J$200,MATCH($Y222,'Test catalog'!$A$2:$A$200,0))),"")</f>
        <v/>
      </c>
      <c r="M222" s="11">
        <f>IFERROR(IF(INDEX('Test catalog'!$K$2:$K$200,MATCH($Y222,'Test catalog'!$A$2:$A$200,0))="","",INDEX('Test catalog'!$K$2:$K$200,MATCH($Y222,'Test catalog'!$A$2:$A$200,0))),"")</f>
        <v/>
      </c>
      <c r="N222" s="11">
        <f>IFERROR(IF(INDEX('Test catalog'!$L$2:$L$200,MATCH($Y222,'Test catalog'!$A$2:$A$200,0))="","",INDEX('Test catalog'!$L$2:$L$200,MATCH($Y222,'Test catalog'!$A$2:$A$200,0))),"")</f>
        <v/>
      </c>
      <c r="O222" s="11">
        <f>IFERROR(IF(INDEX('Test catalog'!$M$2:$M$200,MATCH($Y222,'Test catalog'!$A$2:$A$200,0))="","",INDEX('Test catalog'!$M$2:$M$200,MATCH($Y222,'Test catalog'!$A$2:$A$200,0))),"")</f>
        <v/>
      </c>
      <c r="P222" s="11">
        <f>IFERROR(IF(INDEX('Test catalog'!$N$2:$N$200,MATCH($Y222,'Test catalog'!$A$2:$A$200,0))="","",INDEX('Test catalog'!$N$2:$N$200,MATCH($Y222,'Test catalog'!$A$2:$A$200,0))),"")</f>
        <v/>
      </c>
      <c r="Q222" s="11">
        <f>IFERROR(IF(INDEX('Test catalog'!$O$2:$O$200,MATCH($Y222,'Test catalog'!$A$2:$A$200,0))="","",INDEX('Test catalog'!$O$2:$O$200,MATCH($Y222,'Test catalog'!$A$2:$A$200,0))),"")</f>
        <v/>
      </c>
      <c r="R222" s="11">
        <f>IFERROR(IF(INDEX('Test catalog'!$P$2:$P$200,MATCH($Y222,'Test catalog'!$A$2:$A$200,0))="","",INDEX('Test catalog'!$P$2:$P$200,MATCH($Y222,'Test catalog'!$A$2:$A$200,0))),"")</f>
        <v/>
      </c>
      <c r="S222" s="14" t="n"/>
      <c r="T222" s="5" t="n"/>
      <c r="U222" s="11">
        <f>IFERROR(IF(INDEX('Test catalog'!$Q$2:$Q$200,MATCH($Y222,'Test catalog'!$A$2:$A$200,0))="","",INDEX('Test catalog'!$Q$2:$Q$200,MATCH($Y222,'Test catalog'!$A$2:$A$200,0))),"")</f>
        <v/>
      </c>
      <c r="V222" s="5" t="n"/>
      <c r="W222" s="5" t="n"/>
      <c r="X222" s="5" t="n"/>
      <c r="Y222" s="5" t="inlineStr">
        <is>
          <t>ECOLI</t>
        </is>
      </c>
      <c r="Z222" s="11" t="inlineStr">
        <is>
          <t>USP-NF monograph &lt;61&gt;, &lt;62&gt;</t>
        </is>
      </c>
    </row>
    <row r="223">
      <c r="A223" s="11" t="inlineStr">
        <is>
          <t>Magnesium Stearate</t>
        </is>
      </c>
      <c r="B223" s="11" t="inlineStr">
        <is>
          <t>RM</t>
        </is>
      </c>
      <c r="C223" s="11" t="inlineStr">
        <is>
          <t>Lubricant</t>
        </is>
      </c>
      <c r="D223" s="11" t="inlineStr">
        <is>
          <t>Absence of Salmonella (&lt;62&gt; / &lt;2022&gt;)</t>
        </is>
      </c>
      <c r="E223" s="5" t="inlineStr">
        <is>
          <t>Y</t>
        </is>
      </c>
      <c r="F223" s="5" t="n"/>
      <c r="G223" s="11">
        <f>IFERROR(IF(INDEX('Test catalog'!$F$2:$F$200,MATCH($Y223,'Test catalog'!$A$2:$A$200,0))="","",INDEX('Test catalog'!$F$2:$F$200,MATCH($Y223,'Test catalog'!$A$2:$A$200,0))),"")</f>
        <v/>
      </c>
      <c r="H223" s="11">
        <f>IFERROR(IF(INDEX('Test catalog'!$G$2:$G$200,MATCH($Y223,'Test catalog'!$A$2:$A$200,0))="","",INDEX('Test catalog'!$G$2:$G$200,MATCH($Y223,'Test catalog'!$A$2:$A$200,0))),"")</f>
        <v/>
      </c>
      <c r="I223" s="11">
        <f>IFERROR(IF(INDEX('Test catalog'!$H$2:$H$200,MATCH($Y223,'Test catalog'!$A$2:$A$200,0))="","",INDEX('Test catalog'!$H$2:$H$200,MATCH($Y223,'Test catalog'!$A$2:$A$200,0))),"")</f>
        <v/>
      </c>
      <c r="J223" s="11">
        <f>IFERROR(IF(INDEX('Test catalog'!$I$2:$I$200,MATCH($Y223,'Test catalog'!$A$2:$A$200,0))="","",INDEX('Test catalog'!$I$2:$I$200,MATCH($Y223,'Test catalog'!$A$2:$A$200,0))),"")</f>
        <v/>
      </c>
      <c r="K223" s="13">
        <f>IF(I223="","",IF(OR(H223="",J223=""),I223,(H223+4*I223+J223)/6))</f>
        <v/>
      </c>
      <c r="L223" s="11">
        <f>IFERROR(IF(INDEX('Test catalog'!$J$2:$J$200,MATCH($Y223,'Test catalog'!$A$2:$A$200,0))="","",INDEX('Test catalog'!$J$2:$J$200,MATCH($Y223,'Test catalog'!$A$2:$A$200,0))),"")</f>
        <v/>
      </c>
      <c r="M223" s="11">
        <f>IFERROR(IF(INDEX('Test catalog'!$K$2:$K$200,MATCH($Y223,'Test catalog'!$A$2:$A$200,0))="","",INDEX('Test catalog'!$K$2:$K$200,MATCH($Y223,'Test catalog'!$A$2:$A$200,0))),"")</f>
        <v/>
      </c>
      <c r="N223" s="11">
        <f>IFERROR(IF(INDEX('Test catalog'!$L$2:$L$200,MATCH($Y223,'Test catalog'!$A$2:$A$200,0))="","",INDEX('Test catalog'!$L$2:$L$200,MATCH($Y223,'Test catalog'!$A$2:$A$200,0))),"")</f>
        <v/>
      </c>
      <c r="O223" s="11">
        <f>IFERROR(IF(INDEX('Test catalog'!$M$2:$M$200,MATCH($Y223,'Test catalog'!$A$2:$A$200,0))="","",INDEX('Test catalog'!$M$2:$M$200,MATCH($Y223,'Test catalog'!$A$2:$A$200,0))),"")</f>
        <v/>
      </c>
      <c r="P223" s="11">
        <f>IFERROR(IF(INDEX('Test catalog'!$N$2:$N$200,MATCH($Y223,'Test catalog'!$A$2:$A$200,0))="","",INDEX('Test catalog'!$N$2:$N$200,MATCH($Y223,'Test catalog'!$A$2:$A$200,0))),"")</f>
        <v/>
      </c>
      <c r="Q223" s="11">
        <f>IFERROR(IF(INDEX('Test catalog'!$O$2:$O$200,MATCH($Y223,'Test catalog'!$A$2:$A$200,0))="","",INDEX('Test catalog'!$O$2:$O$200,MATCH($Y223,'Test catalog'!$A$2:$A$200,0))),"")</f>
        <v/>
      </c>
      <c r="R223" s="11">
        <f>IFERROR(IF(INDEX('Test catalog'!$P$2:$P$200,MATCH($Y223,'Test catalog'!$A$2:$A$200,0))="","",INDEX('Test catalog'!$P$2:$P$200,MATCH($Y223,'Test catalog'!$A$2:$A$200,0))),"")</f>
        <v/>
      </c>
      <c r="S223" s="14" t="n"/>
      <c r="T223" s="5" t="n"/>
      <c r="U223" s="11">
        <f>IFERROR(IF(INDEX('Test catalog'!$Q$2:$Q$200,MATCH($Y223,'Test catalog'!$A$2:$A$200,0))="","",INDEX('Test catalog'!$Q$2:$Q$200,MATCH($Y223,'Test catalog'!$A$2:$A$200,0))),"")</f>
        <v/>
      </c>
      <c r="V223" s="5" t="n"/>
      <c r="W223" s="5" t="n"/>
      <c r="X223" s="5" t="n"/>
      <c r="Y223" s="5" t="inlineStr">
        <is>
          <t>SALM</t>
        </is>
      </c>
      <c r="Z223" s="11" t="inlineStr">
        <is>
          <t>USP-NF monograph &lt;61&gt;, &lt;62&gt;</t>
        </is>
      </c>
    </row>
    <row r="224">
      <c r="A224" s="11" t="inlineStr">
        <is>
          <t>Sodium Stearyl Fumarate</t>
        </is>
      </c>
      <c r="B224" s="11" t="inlineStr">
        <is>
          <t>RM</t>
        </is>
      </c>
      <c r="C224" s="11" t="inlineStr">
        <is>
          <t>Lubricant</t>
        </is>
      </c>
      <c r="D224" s="11" t="inlineStr">
        <is>
          <t>Microbial enumeration - TAMC + TYMC (&lt;61&gt; / &lt;2021&gt;)</t>
        </is>
      </c>
      <c r="E224" s="5" t="inlineStr">
        <is>
          <t>N</t>
        </is>
      </c>
      <c r="F224" s="5" t="n"/>
      <c r="G224" s="11">
        <f>IFERROR(IF(INDEX('Test catalog'!$F$2:$F$200,MATCH($Y224,'Test catalog'!$A$2:$A$200,0))="","",INDEX('Test catalog'!$F$2:$F$200,MATCH($Y224,'Test catalog'!$A$2:$A$200,0))),"")</f>
        <v/>
      </c>
      <c r="H224" s="11">
        <f>IFERROR(IF(INDEX('Test catalog'!$G$2:$G$200,MATCH($Y224,'Test catalog'!$A$2:$A$200,0))="","",INDEX('Test catalog'!$G$2:$G$200,MATCH($Y224,'Test catalog'!$A$2:$A$200,0))),"")</f>
        <v/>
      </c>
      <c r="I224" s="11">
        <f>IFERROR(IF(INDEX('Test catalog'!$H$2:$H$200,MATCH($Y224,'Test catalog'!$A$2:$A$200,0))="","",INDEX('Test catalog'!$H$2:$H$200,MATCH($Y224,'Test catalog'!$A$2:$A$200,0))),"")</f>
        <v/>
      </c>
      <c r="J224" s="11">
        <f>IFERROR(IF(INDEX('Test catalog'!$I$2:$I$200,MATCH($Y224,'Test catalog'!$A$2:$A$200,0))="","",INDEX('Test catalog'!$I$2:$I$200,MATCH($Y224,'Test catalog'!$A$2:$A$200,0))),"")</f>
        <v/>
      </c>
      <c r="K224" s="13">
        <f>IF(I224="","",IF(OR(H224="",J224=""),I224,(H224+4*I224+J224)/6))</f>
        <v/>
      </c>
      <c r="L224" s="11">
        <f>IFERROR(IF(INDEX('Test catalog'!$J$2:$J$200,MATCH($Y224,'Test catalog'!$A$2:$A$200,0))="","",INDEX('Test catalog'!$J$2:$J$200,MATCH($Y224,'Test catalog'!$A$2:$A$200,0))),"")</f>
        <v/>
      </c>
      <c r="M224" s="11">
        <f>IFERROR(IF(INDEX('Test catalog'!$K$2:$K$200,MATCH($Y224,'Test catalog'!$A$2:$A$200,0))="","",INDEX('Test catalog'!$K$2:$K$200,MATCH($Y224,'Test catalog'!$A$2:$A$200,0))),"")</f>
        <v/>
      </c>
      <c r="N224" s="11">
        <f>IFERROR(IF(INDEX('Test catalog'!$L$2:$L$200,MATCH($Y224,'Test catalog'!$A$2:$A$200,0))="","",INDEX('Test catalog'!$L$2:$L$200,MATCH($Y224,'Test catalog'!$A$2:$A$200,0))),"")</f>
        <v/>
      </c>
      <c r="O224" s="11">
        <f>IFERROR(IF(INDEX('Test catalog'!$M$2:$M$200,MATCH($Y224,'Test catalog'!$A$2:$A$200,0))="","",INDEX('Test catalog'!$M$2:$M$200,MATCH($Y224,'Test catalog'!$A$2:$A$200,0))),"")</f>
        <v/>
      </c>
      <c r="P224" s="11">
        <f>IFERROR(IF(INDEX('Test catalog'!$N$2:$N$200,MATCH($Y224,'Test catalog'!$A$2:$A$200,0))="","",INDEX('Test catalog'!$N$2:$N$200,MATCH($Y224,'Test catalog'!$A$2:$A$200,0))),"")</f>
        <v/>
      </c>
      <c r="Q224" s="11">
        <f>IFERROR(IF(INDEX('Test catalog'!$O$2:$O$200,MATCH($Y224,'Test catalog'!$A$2:$A$200,0))="","",INDEX('Test catalog'!$O$2:$O$200,MATCH($Y224,'Test catalog'!$A$2:$A$200,0))),"")</f>
        <v/>
      </c>
      <c r="R224" s="11">
        <f>IFERROR(IF(INDEX('Test catalog'!$P$2:$P$200,MATCH($Y224,'Test catalog'!$A$2:$A$200,0))="","",INDEX('Test catalog'!$P$2:$P$200,MATCH($Y224,'Test catalog'!$A$2:$A$200,0))),"")</f>
        <v/>
      </c>
      <c r="S224" s="14" t="n"/>
      <c r="T224" s="5" t="n"/>
      <c r="U224" s="11">
        <f>IFERROR(IF(INDEX('Test catalog'!$Q$2:$Q$200,MATCH($Y224,'Test catalog'!$A$2:$A$200,0))="","",INDEX('Test catalog'!$Q$2:$Q$200,MATCH($Y224,'Test catalog'!$A$2:$A$200,0))),"")</f>
        <v/>
      </c>
      <c r="V224" s="5" t="n"/>
      <c r="W224" s="5" t="n"/>
      <c r="X224" s="5" t="n"/>
      <c r="Y224" s="5" t="inlineStr">
        <is>
          <t>ENUM</t>
        </is>
      </c>
      <c r="Z224" s="11" t="inlineStr">
        <is>
          <t>No micro test in USP-NF - set Y if your specification has one</t>
        </is>
      </c>
    </row>
    <row r="225">
      <c r="A225" s="11" t="inlineStr">
        <is>
          <t>Titanium Dioxide</t>
        </is>
      </c>
      <c r="B225" s="11" t="inlineStr">
        <is>
          <t>RM</t>
        </is>
      </c>
      <c r="C225" s="11" t="inlineStr">
        <is>
          <t>Opacifier</t>
        </is>
      </c>
      <c r="D225" s="11" t="inlineStr">
        <is>
          <t>Microbial enumeration - TAMC + TYMC (&lt;61&gt; / &lt;2021&gt;)</t>
        </is>
      </c>
      <c r="E225" s="5" t="inlineStr">
        <is>
          <t>N</t>
        </is>
      </c>
      <c r="F225" s="5" t="n"/>
      <c r="G225" s="11">
        <f>IFERROR(IF(INDEX('Test catalog'!$F$2:$F$200,MATCH($Y225,'Test catalog'!$A$2:$A$200,0))="","",INDEX('Test catalog'!$F$2:$F$200,MATCH($Y225,'Test catalog'!$A$2:$A$200,0))),"")</f>
        <v/>
      </c>
      <c r="H225" s="11">
        <f>IFERROR(IF(INDEX('Test catalog'!$G$2:$G$200,MATCH($Y225,'Test catalog'!$A$2:$A$200,0))="","",INDEX('Test catalog'!$G$2:$G$200,MATCH($Y225,'Test catalog'!$A$2:$A$200,0))),"")</f>
        <v/>
      </c>
      <c r="I225" s="11">
        <f>IFERROR(IF(INDEX('Test catalog'!$H$2:$H$200,MATCH($Y225,'Test catalog'!$A$2:$A$200,0))="","",INDEX('Test catalog'!$H$2:$H$200,MATCH($Y225,'Test catalog'!$A$2:$A$200,0))),"")</f>
        <v/>
      </c>
      <c r="J225" s="11">
        <f>IFERROR(IF(INDEX('Test catalog'!$I$2:$I$200,MATCH($Y225,'Test catalog'!$A$2:$A$200,0))="","",INDEX('Test catalog'!$I$2:$I$200,MATCH($Y225,'Test catalog'!$A$2:$A$200,0))),"")</f>
        <v/>
      </c>
      <c r="K225" s="13">
        <f>IF(I225="","",IF(OR(H225="",J225=""),I225,(H225+4*I225+J225)/6))</f>
        <v/>
      </c>
      <c r="L225" s="11">
        <f>IFERROR(IF(INDEX('Test catalog'!$J$2:$J$200,MATCH($Y225,'Test catalog'!$A$2:$A$200,0))="","",INDEX('Test catalog'!$J$2:$J$200,MATCH($Y225,'Test catalog'!$A$2:$A$200,0))),"")</f>
        <v/>
      </c>
      <c r="M225" s="11">
        <f>IFERROR(IF(INDEX('Test catalog'!$K$2:$K$200,MATCH($Y225,'Test catalog'!$A$2:$A$200,0))="","",INDEX('Test catalog'!$K$2:$K$200,MATCH($Y225,'Test catalog'!$A$2:$A$200,0))),"")</f>
        <v/>
      </c>
      <c r="N225" s="11">
        <f>IFERROR(IF(INDEX('Test catalog'!$L$2:$L$200,MATCH($Y225,'Test catalog'!$A$2:$A$200,0))="","",INDEX('Test catalog'!$L$2:$L$200,MATCH($Y225,'Test catalog'!$A$2:$A$200,0))),"")</f>
        <v/>
      </c>
      <c r="O225" s="11">
        <f>IFERROR(IF(INDEX('Test catalog'!$M$2:$M$200,MATCH($Y225,'Test catalog'!$A$2:$A$200,0))="","",INDEX('Test catalog'!$M$2:$M$200,MATCH($Y225,'Test catalog'!$A$2:$A$200,0))),"")</f>
        <v/>
      </c>
      <c r="P225" s="11">
        <f>IFERROR(IF(INDEX('Test catalog'!$N$2:$N$200,MATCH($Y225,'Test catalog'!$A$2:$A$200,0))="","",INDEX('Test catalog'!$N$2:$N$200,MATCH($Y225,'Test catalog'!$A$2:$A$200,0))),"")</f>
        <v/>
      </c>
      <c r="Q225" s="11">
        <f>IFERROR(IF(INDEX('Test catalog'!$O$2:$O$200,MATCH($Y225,'Test catalog'!$A$2:$A$200,0))="","",INDEX('Test catalog'!$O$2:$O$200,MATCH($Y225,'Test catalog'!$A$2:$A$200,0))),"")</f>
        <v/>
      </c>
      <c r="R225" s="11">
        <f>IFERROR(IF(INDEX('Test catalog'!$P$2:$P$200,MATCH($Y225,'Test catalog'!$A$2:$A$200,0))="","",INDEX('Test catalog'!$P$2:$P$200,MATCH($Y225,'Test catalog'!$A$2:$A$200,0))),"")</f>
        <v/>
      </c>
      <c r="S225" s="14" t="n"/>
      <c r="T225" s="5" t="n"/>
      <c r="U225" s="11">
        <f>IFERROR(IF(INDEX('Test catalog'!$Q$2:$Q$200,MATCH($Y225,'Test catalog'!$A$2:$A$200,0))="","",INDEX('Test catalog'!$Q$2:$Q$200,MATCH($Y225,'Test catalog'!$A$2:$A$200,0))),"")</f>
        <v/>
      </c>
      <c r="V225" s="5" t="n"/>
      <c r="W225" s="5" t="n"/>
      <c r="X225" s="5" t="n"/>
      <c r="Y225" s="5" t="inlineStr">
        <is>
          <t>ENUM</t>
        </is>
      </c>
      <c r="Z225" s="11" t="inlineStr">
        <is>
          <t>No micro test in USP-NF - set Y if your specification has one</t>
        </is>
      </c>
    </row>
    <row r="226">
      <c r="A226" s="11" t="inlineStr">
        <is>
          <t>Phenylethyl Alcohol</t>
        </is>
      </c>
      <c r="B226" s="11" t="inlineStr">
        <is>
          <t>RM</t>
        </is>
      </c>
      <c r="C226" s="11" t="inlineStr">
        <is>
          <t>Other Excipient</t>
        </is>
      </c>
      <c r="D226" s="11" t="inlineStr">
        <is>
          <t>Microbial enumeration - TAMC + TYMC (&lt;61&gt; / &lt;2021&gt;)</t>
        </is>
      </c>
      <c r="E226" s="5" t="inlineStr">
        <is>
          <t>N</t>
        </is>
      </c>
      <c r="F226" s="5" t="n"/>
      <c r="G226" s="11">
        <f>IFERROR(IF(INDEX('Test catalog'!$F$2:$F$200,MATCH($Y226,'Test catalog'!$A$2:$A$200,0))="","",INDEX('Test catalog'!$F$2:$F$200,MATCH($Y226,'Test catalog'!$A$2:$A$200,0))),"")</f>
        <v/>
      </c>
      <c r="H226" s="11">
        <f>IFERROR(IF(INDEX('Test catalog'!$G$2:$G$200,MATCH($Y226,'Test catalog'!$A$2:$A$200,0))="","",INDEX('Test catalog'!$G$2:$G$200,MATCH($Y226,'Test catalog'!$A$2:$A$200,0))),"")</f>
        <v/>
      </c>
      <c r="I226" s="11">
        <f>IFERROR(IF(INDEX('Test catalog'!$H$2:$H$200,MATCH($Y226,'Test catalog'!$A$2:$A$200,0))="","",INDEX('Test catalog'!$H$2:$H$200,MATCH($Y226,'Test catalog'!$A$2:$A$200,0))),"")</f>
        <v/>
      </c>
      <c r="J226" s="11">
        <f>IFERROR(IF(INDEX('Test catalog'!$I$2:$I$200,MATCH($Y226,'Test catalog'!$A$2:$A$200,0))="","",INDEX('Test catalog'!$I$2:$I$200,MATCH($Y226,'Test catalog'!$A$2:$A$200,0))),"")</f>
        <v/>
      </c>
      <c r="K226" s="13">
        <f>IF(I226="","",IF(OR(H226="",J226=""),I226,(H226+4*I226+J226)/6))</f>
        <v/>
      </c>
      <c r="L226" s="11">
        <f>IFERROR(IF(INDEX('Test catalog'!$J$2:$J$200,MATCH($Y226,'Test catalog'!$A$2:$A$200,0))="","",INDEX('Test catalog'!$J$2:$J$200,MATCH($Y226,'Test catalog'!$A$2:$A$200,0))),"")</f>
        <v/>
      </c>
      <c r="M226" s="11">
        <f>IFERROR(IF(INDEX('Test catalog'!$K$2:$K$200,MATCH($Y226,'Test catalog'!$A$2:$A$200,0))="","",INDEX('Test catalog'!$K$2:$K$200,MATCH($Y226,'Test catalog'!$A$2:$A$200,0))),"")</f>
        <v/>
      </c>
      <c r="N226" s="11">
        <f>IFERROR(IF(INDEX('Test catalog'!$L$2:$L$200,MATCH($Y226,'Test catalog'!$A$2:$A$200,0))="","",INDEX('Test catalog'!$L$2:$L$200,MATCH($Y226,'Test catalog'!$A$2:$A$200,0))),"")</f>
        <v/>
      </c>
      <c r="O226" s="11">
        <f>IFERROR(IF(INDEX('Test catalog'!$M$2:$M$200,MATCH($Y226,'Test catalog'!$A$2:$A$200,0))="","",INDEX('Test catalog'!$M$2:$M$200,MATCH($Y226,'Test catalog'!$A$2:$A$200,0))),"")</f>
        <v/>
      </c>
      <c r="P226" s="11">
        <f>IFERROR(IF(INDEX('Test catalog'!$N$2:$N$200,MATCH($Y226,'Test catalog'!$A$2:$A$200,0))="","",INDEX('Test catalog'!$N$2:$N$200,MATCH($Y226,'Test catalog'!$A$2:$A$200,0))),"")</f>
        <v/>
      </c>
      <c r="Q226" s="11">
        <f>IFERROR(IF(INDEX('Test catalog'!$O$2:$O$200,MATCH($Y226,'Test catalog'!$A$2:$A$200,0))="","",INDEX('Test catalog'!$O$2:$O$200,MATCH($Y226,'Test catalog'!$A$2:$A$200,0))),"")</f>
        <v/>
      </c>
      <c r="R226" s="11">
        <f>IFERROR(IF(INDEX('Test catalog'!$P$2:$P$200,MATCH($Y226,'Test catalog'!$A$2:$A$200,0))="","",INDEX('Test catalog'!$P$2:$P$200,MATCH($Y226,'Test catalog'!$A$2:$A$200,0))),"")</f>
        <v/>
      </c>
      <c r="S226" s="14" t="n"/>
      <c r="T226" s="5" t="n"/>
      <c r="U226" s="11">
        <f>IFERROR(IF(INDEX('Test catalog'!$Q$2:$Q$200,MATCH($Y226,'Test catalog'!$A$2:$A$200,0))="","",INDEX('Test catalog'!$Q$2:$Q$200,MATCH($Y226,'Test catalog'!$A$2:$A$200,0))),"")</f>
        <v/>
      </c>
      <c r="V226" s="5" t="n"/>
      <c r="W226" s="5" t="n"/>
      <c r="X226" s="5" t="n"/>
      <c r="Y226" s="5" t="inlineStr">
        <is>
          <t>ENUM</t>
        </is>
      </c>
      <c r="Z226" s="11" t="inlineStr">
        <is>
          <t>No micro test in USP-NF - set Y if your specification has one</t>
        </is>
      </c>
    </row>
    <row r="227">
      <c r="A227" s="11" t="inlineStr">
        <is>
          <t>Sodium Chloride</t>
        </is>
      </c>
      <c r="B227" s="11" t="inlineStr">
        <is>
          <t>RM</t>
        </is>
      </c>
      <c r="C227" s="11" t="inlineStr">
        <is>
          <t>Other Excipient</t>
        </is>
      </c>
      <c r="D227" s="11" t="inlineStr">
        <is>
          <t>Bacterial endotoxins (&lt;85&gt;)</t>
        </is>
      </c>
      <c r="E227" s="5" t="inlineStr">
        <is>
          <t>N</t>
        </is>
      </c>
      <c r="F227" s="5" t="n"/>
      <c r="G227" s="11">
        <f>IFERROR(IF(INDEX('Test catalog'!$F$2:$F$200,MATCH($Y227,'Test catalog'!$A$2:$A$200,0))="","",INDEX('Test catalog'!$F$2:$F$200,MATCH($Y227,'Test catalog'!$A$2:$A$200,0))),"")</f>
        <v/>
      </c>
      <c r="H227" s="11">
        <f>IFERROR(IF(INDEX('Test catalog'!$G$2:$G$200,MATCH($Y227,'Test catalog'!$A$2:$A$200,0))="","",INDEX('Test catalog'!$G$2:$G$200,MATCH($Y227,'Test catalog'!$A$2:$A$200,0))),"")</f>
        <v/>
      </c>
      <c r="I227" s="11">
        <f>IFERROR(IF(INDEX('Test catalog'!$H$2:$H$200,MATCH($Y227,'Test catalog'!$A$2:$A$200,0))="","",INDEX('Test catalog'!$H$2:$H$200,MATCH($Y227,'Test catalog'!$A$2:$A$200,0))),"")</f>
        <v/>
      </c>
      <c r="J227" s="11">
        <f>IFERROR(IF(INDEX('Test catalog'!$I$2:$I$200,MATCH($Y227,'Test catalog'!$A$2:$A$200,0))="","",INDEX('Test catalog'!$I$2:$I$200,MATCH($Y227,'Test catalog'!$A$2:$A$200,0))),"")</f>
        <v/>
      </c>
      <c r="K227" s="13">
        <f>IF(I227="","",IF(OR(H227="",J227=""),I227,(H227+4*I227+J227)/6))</f>
        <v/>
      </c>
      <c r="L227" s="11">
        <f>IFERROR(IF(INDEX('Test catalog'!$J$2:$J$200,MATCH($Y227,'Test catalog'!$A$2:$A$200,0))="","",INDEX('Test catalog'!$J$2:$J$200,MATCH($Y227,'Test catalog'!$A$2:$A$200,0))),"")</f>
        <v/>
      </c>
      <c r="M227" s="11">
        <f>IFERROR(IF(INDEX('Test catalog'!$K$2:$K$200,MATCH($Y227,'Test catalog'!$A$2:$A$200,0))="","",INDEX('Test catalog'!$K$2:$K$200,MATCH($Y227,'Test catalog'!$A$2:$A$200,0))),"")</f>
        <v/>
      </c>
      <c r="N227" s="11">
        <f>IFERROR(IF(INDEX('Test catalog'!$L$2:$L$200,MATCH($Y227,'Test catalog'!$A$2:$A$200,0))="","",INDEX('Test catalog'!$L$2:$L$200,MATCH($Y227,'Test catalog'!$A$2:$A$200,0))),"")</f>
        <v/>
      </c>
      <c r="O227" s="11">
        <f>IFERROR(IF(INDEX('Test catalog'!$M$2:$M$200,MATCH($Y227,'Test catalog'!$A$2:$A$200,0))="","",INDEX('Test catalog'!$M$2:$M$200,MATCH($Y227,'Test catalog'!$A$2:$A$200,0))),"")</f>
        <v/>
      </c>
      <c r="P227" s="11">
        <f>IFERROR(IF(INDEX('Test catalog'!$N$2:$N$200,MATCH($Y227,'Test catalog'!$A$2:$A$200,0))="","",INDEX('Test catalog'!$N$2:$N$200,MATCH($Y227,'Test catalog'!$A$2:$A$200,0))),"")</f>
        <v/>
      </c>
      <c r="Q227" s="11">
        <f>IFERROR(IF(INDEX('Test catalog'!$O$2:$O$200,MATCH($Y227,'Test catalog'!$A$2:$A$200,0))="","",INDEX('Test catalog'!$O$2:$O$200,MATCH($Y227,'Test catalog'!$A$2:$A$200,0))),"")</f>
        <v/>
      </c>
      <c r="R227" s="11">
        <f>IFERROR(IF(INDEX('Test catalog'!$P$2:$P$200,MATCH($Y227,'Test catalog'!$A$2:$A$200,0))="","",INDEX('Test catalog'!$P$2:$P$200,MATCH($Y227,'Test catalog'!$A$2:$A$200,0))),"")</f>
        <v/>
      </c>
      <c r="S227" s="14" t="n"/>
      <c r="T227" s="5" t="n"/>
      <c r="U227" s="11">
        <f>IFERROR(IF(INDEX('Test catalog'!$Q$2:$Q$200,MATCH($Y227,'Test catalog'!$A$2:$A$200,0))="","",INDEX('Test catalog'!$Q$2:$Q$200,MATCH($Y227,'Test catalog'!$A$2:$A$200,0))),"")</f>
        <v/>
      </c>
      <c r="V227" s="5" t="n"/>
      <c r="W227" s="5" t="n"/>
      <c r="X227" s="5" t="inlineStr">
        <is>
          <t>Only for some grades/labels (sterile / parenteral)</t>
        </is>
      </c>
      <c r="Y227" s="5" t="inlineStr">
        <is>
          <t>BET</t>
        </is>
      </c>
      <c r="Z227" s="11" t="inlineStr">
        <is>
          <t>USP-NF monograph &lt;85&gt;</t>
        </is>
      </c>
    </row>
    <row r="228">
      <c r="A228" s="11" t="inlineStr">
        <is>
          <t>Sodium Chloride</t>
        </is>
      </c>
      <c r="B228" s="11" t="inlineStr">
        <is>
          <t>RM</t>
        </is>
      </c>
      <c r="C228" s="11" t="inlineStr">
        <is>
          <t>Other Excipient</t>
        </is>
      </c>
      <c r="D228" s="11" t="inlineStr">
        <is>
          <t>Sterility (&lt;71&gt;)</t>
        </is>
      </c>
      <c r="E228" s="5" t="inlineStr">
        <is>
          <t>N</t>
        </is>
      </c>
      <c r="F228" s="5" t="n"/>
      <c r="G228" s="11">
        <f>IFERROR(IF(INDEX('Test catalog'!$F$2:$F$200,MATCH($Y228,'Test catalog'!$A$2:$A$200,0))="","",INDEX('Test catalog'!$F$2:$F$200,MATCH($Y228,'Test catalog'!$A$2:$A$200,0))),"")</f>
        <v/>
      </c>
      <c r="H228" s="11">
        <f>IFERROR(IF(INDEX('Test catalog'!$G$2:$G$200,MATCH($Y228,'Test catalog'!$A$2:$A$200,0))="","",INDEX('Test catalog'!$G$2:$G$200,MATCH($Y228,'Test catalog'!$A$2:$A$200,0))),"")</f>
        <v/>
      </c>
      <c r="I228" s="11">
        <f>IFERROR(IF(INDEX('Test catalog'!$H$2:$H$200,MATCH($Y228,'Test catalog'!$A$2:$A$200,0))="","",INDEX('Test catalog'!$H$2:$H$200,MATCH($Y228,'Test catalog'!$A$2:$A$200,0))),"")</f>
        <v/>
      </c>
      <c r="J228" s="11">
        <f>IFERROR(IF(INDEX('Test catalog'!$I$2:$I$200,MATCH($Y228,'Test catalog'!$A$2:$A$200,0))="","",INDEX('Test catalog'!$I$2:$I$200,MATCH($Y228,'Test catalog'!$A$2:$A$200,0))),"")</f>
        <v/>
      </c>
      <c r="K228" s="13">
        <f>IF(I228="","",IF(OR(H228="",J228=""),I228,(H228+4*I228+J228)/6))</f>
        <v/>
      </c>
      <c r="L228" s="11">
        <f>IFERROR(IF(INDEX('Test catalog'!$J$2:$J$200,MATCH($Y228,'Test catalog'!$A$2:$A$200,0))="","",INDEX('Test catalog'!$J$2:$J$200,MATCH($Y228,'Test catalog'!$A$2:$A$200,0))),"")</f>
        <v/>
      </c>
      <c r="M228" s="11">
        <f>IFERROR(IF(INDEX('Test catalog'!$K$2:$K$200,MATCH($Y228,'Test catalog'!$A$2:$A$200,0))="","",INDEX('Test catalog'!$K$2:$K$200,MATCH($Y228,'Test catalog'!$A$2:$A$200,0))),"")</f>
        <v/>
      </c>
      <c r="N228" s="11">
        <f>IFERROR(IF(INDEX('Test catalog'!$L$2:$L$200,MATCH($Y228,'Test catalog'!$A$2:$A$200,0))="","",INDEX('Test catalog'!$L$2:$L$200,MATCH($Y228,'Test catalog'!$A$2:$A$200,0))),"")</f>
        <v/>
      </c>
      <c r="O228" s="11">
        <f>IFERROR(IF(INDEX('Test catalog'!$M$2:$M$200,MATCH($Y228,'Test catalog'!$A$2:$A$200,0))="","",INDEX('Test catalog'!$M$2:$M$200,MATCH($Y228,'Test catalog'!$A$2:$A$200,0))),"")</f>
        <v/>
      </c>
      <c r="P228" s="11">
        <f>IFERROR(IF(INDEX('Test catalog'!$N$2:$N$200,MATCH($Y228,'Test catalog'!$A$2:$A$200,0))="","",INDEX('Test catalog'!$N$2:$N$200,MATCH($Y228,'Test catalog'!$A$2:$A$200,0))),"")</f>
        <v/>
      </c>
      <c r="Q228" s="11">
        <f>IFERROR(IF(INDEX('Test catalog'!$O$2:$O$200,MATCH($Y228,'Test catalog'!$A$2:$A$200,0))="","",INDEX('Test catalog'!$O$2:$O$200,MATCH($Y228,'Test catalog'!$A$2:$A$200,0))),"")</f>
        <v/>
      </c>
      <c r="R228" s="11">
        <f>IFERROR(IF(INDEX('Test catalog'!$P$2:$P$200,MATCH($Y228,'Test catalog'!$A$2:$A$200,0))="","",INDEX('Test catalog'!$P$2:$P$200,MATCH($Y228,'Test catalog'!$A$2:$A$200,0))),"")</f>
        <v/>
      </c>
      <c r="S228" s="14" t="n"/>
      <c r="T228" s="5" t="n"/>
      <c r="U228" s="11">
        <f>IFERROR(IF(INDEX('Test catalog'!$Q$2:$Q$200,MATCH($Y228,'Test catalog'!$A$2:$A$200,0))="","",INDEX('Test catalog'!$Q$2:$Q$200,MATCH($Y228,'Test catalog'!$A$2:$A$200,0))),"")</f>
        <v/>
      </c>
      <c r="V228" s="5" t="n"/>
      <c r="W228" s="5" t="n"/>
      <c r="X228" s="5" t="inlineStr">
        <is>
          <t>Only for some grades/labels (sterile / parenteral)</t>
        </is>
      </c>
      <c r="Y228" s="5" t="inlineStr">
        <is>
          <t>STER</t>
        </is>
      </c>
      <c r="Z228" s="11" t="inlineStr">
        <is>
          <t>USP-NF monograph &lt;71&gt;</t>
        </is>
      </c>
    </row>
    <row r="229">
      <c r="A229" s="11" t="inlineStr">
        <is>
          <t>Polyethylene Glycol (grade not stated)</t>
        </is>
      </c>
      <c r="B229" s="11" t="inlineStr">
        <is>
          <t>RM</t>
        </is>
      </c>
      <c r="C229" s="11" t="inlineStr">
        <is>
          <t>Plasticizer</t>
        </is>
      </c>
      <c r="D229" s="11" t="inlineStr">
        <is>
          <t>Microbial enumeration - TAMC + TYMC (&lt;61&gt; / &lt;2021&gt;)</t>
        </is>
      </c>
      <c r="E229" s="5" t="inlineStr">
        <is>
          <t>N</t>
        </is>
      </c>
      <c r="F229" s="5" t="n"/>
      <c r="G229" s="11">
        <f>IFERROR(IF(INDEX('Test catalog'!$F$2:$F$200,MATCH($Y229,'Test catalog'!$A$2:$A$200,0))="","",INDEX('Test catalog'!$F$2:$F$200,MATCH($Y229,'Test catalog'!$A$2:$A$200,0))),"")</f>
        <v/>
      </c>
      <c r="H229" s="11">
        <f>IFERROR(IF(INDEX('Test catalog'!$G$2:$G$200,MATCH($Y229,'Test catalog'!$A$2:$A$200,0))="","",INDEX('Test catalog'!$G$2:$G$200,MATCH($Y229,'Test catalog'!$A$2:$A$200,0))),"")</f>
        <v/>
      </c>
      <c r="I229" s="11">
        <f>IFERROR(IF(INDEX('Test catalog'!$H$2:$H$200,MATCH($Y229,'Test catalog'!$A$2:$A$200,0))="","",INDEX('Test catalog'!$H$2:$H$200,MATCH($Y229,'Test catalog'!$A$2:$A$200,0))),"")</f>
        <v/>
      </c>
      <c r="J229" s="11">
        <f>IFERROR(IF(INDEX('Test catalog'!$I$2:$I$200,MATCH($Y229,'Test catalog'!$A$2:$A$200,0))="","",INDEX('Test catalog'!$I$2:$I$200,MATCH($Y229,'Test catalog'!$A$2:$A$200,0))),"")</f>
        <v/>
      </c>
      <c r="K229" s="13">
        <f>IF(I229="","",IF(OR(H229="",J229=""),I229,(H229+4*I229+J229)/6))</f>
        <v/>
      </c>
      <c r="L229" s="11">
        <f>IFERROR(IF(INDEX('Test catalog'!$J$2:$J$200,MATCH($Y229,'Test catalog'!$A$2:$A$200,0))="","",INDEX('Test catalog'!$J$2:$J$200,MATCH($Y229,'Test catalog'!$A$2:$A$200,0))),"")</f>
        <v/>
      </c>
      <c r="M229" s="11">
        <f>IFERROR(IF(INDEX('Test catalog'!$K$2:$K$200,MATCH($Y229,'Test catalog'!$A$2:$A$200,0))="","",INDEX('Test catalog'!$K$2:$K$200,MATCH($Y229,'Test catalog'!$A$2:$A$200,0))),"")</f>
        <v/>
      </c>
      <c r="N229" s="11">
        <f>IFERROR(IF(INDEX('Test catalog'!$L$2:$L$200,MATCH($Y229,'Test catalog'!$A$2:$A$200,0))="","",INDEX('Test catalog'!$L$2:$L$200,MATCH($Y229,'Test catalog'!$A$2:$A$200,0))),"")</f>
        <v/>
      </c>
      <c r="O229" s="11">
        <f>IFERROR(IF(INDEX('Test catalog'!$M$2:$M$200,MATCH($Y229,'Test catalog'!$A$2:$A$200,0))="","",INDEX('Test catalog'!$M$2:$M$200,MATCH($Y229,'Test catalog'!$A$2:$A$200,0))),"")</f>
        <v/>
      </c>
      <c r="P229" s="11">
        <f>IFERROR(IF(INDEX('Test catalog'!$N$2:$N$200,MATCH($Y229,'Test catalog'!$A$2:$A$200,0))="","",INDEX('Test catalog'!$N$2:$N$200,MATCH($Y229,'Test catalog'!$A$2:$A$200,0))),"")</f>
        <v/>
      </c>
      <c r="Q229" s="11">
        <f>IFERROR(IF(INDEX('Test catalog'!$O$2:$O$200,MATCH($Y229,'Test catalog'!$A$2:$A$200,0))="","",INDEX('Test catalog'!$O$2:$O$200,MATCH($Y229,'Test catalog'!$A$2:$A$200,0))),"")</f>
        <v/>
      </c>
      <c r="R229" s="11">
        <f>IFERROR(IF(INDEX('Test catalog'!$P$2:$P$200,MATCH($Y229,'Test catalog'!$A$2:$A$200,0))="","",INDEX('Test catalog'!$P$2:$P$200,MATCH($Y229,'Test catalog'!$A$2:$A$200,0))),"")</f>
        <v/>
      </c>
      <c r="S229" s="14" t="n"/>
      <c r="T229" s="5" t="n"/>
      <c r="U229" s="11">
        <f>IFERROR(IF(INDEX('Test catalog'!$Q$2:$Q$200,MATCH($Y229,'Test catalog'!$A$2:$A$200,0))="","",INDEX('Test catalog'!$Q$2:$Q$200,MATCH($Y229,'Test catalog'!$A$2:$A$200,0))),"")</f>
        <v/>
      </c>
      <c r="V229" s="5" t="n"/>
      <c r="W229" s="5" t="n"/>
      <c r="X229" s="5" t="n"/>
      <c r="Y229" s="5" t="inlineStr">
        <is>
          <t>ENUM</t>
        </is>
      </c>
      <c r="Z229" s="11" t="inlineStr">
        <is>
          <t>No micro test in USP-NF - set Y if your specification has one</t>
        </is>
      </c>
    </row>
    <row r="230">
      <c r="A230" s="11" t="inlineStr">
        <is>
          <t>Polyethylene Glycol 4000 (PEG 4000)</t>
        </is>
      </c>
      <c r="B230" s="11" t="inlineStr">
        <is>
          <t>RM</t>
        </is>
      </c>
      <c r="C230" s="11" t="inlineStr">
        <is>
          <t>Plasticizer</t>
        </is>
      </c>
      <c r="D230" s="11" t="inlineStr">
        <is>
          <t>Microbial enumeration - TAMC + TYMC (&lt;61&gt; / &lt;2021&gt;)</t>
        </is>
      </c>
      <c r="E230" s="5" t="inlineStr">
        <is>
          <t>N</t>
        </is>
      </c>
      <c r="F230" s="5" t="n"/>
      <c r="G230" s="11">
        <f>IFERROR(IF(INDEX('Test catalog'!$F$2:$F$200,MATCH($Y230,'Test catalog'!$A$2:$A$200,0))="","",INDEX('Test catalog'!$F$2:$F$200,MATCH($Y230,'Test catalog'!$A$2:$A$200,0))),"")</f>
        <v/>
      </c>
      <c r="H230" s="11">
        <f>IFERROR(IF(INDEX('Test catalog'!$G$2:$G$200,MATCH($Y230,'Test catalog'!$A$2:$A$200,0))="","",INDEX('Test catalog'!$G$2:$G$200,MATCH($Y230,'Test catalog'!$A$2:$A$200,0))),"")</f>
        <v/>
      </c>
      <c r="I230" s="11">
        <f>IFERROR(IF(INDEX('Test catalog'!$H$2:$H$200,MATCH($Y230,'Test catalog'!$A$2:$A$200,0))="","",INDEX('Test catalog'!$H$2:$H$200,MATCH($Y230,'Test catalog'!$A$2:$A$200,0))),"")</f>
        <v/>
      </c>
      <c r="J230" s="11">
        <f>IFERROR(IF(INDEX('Test catalog'!$I$2:$I$200,MATCH($Y230,'Test catalog'!$A$2:$A$200,0))="","",INDEX('Test catalog'!$I$2:$I$200,MATCH($Y230,'Test catalog'!$A$2:$A$200,0))),"")</f>
        <v/>
      </c>
      <c r="K230" s="13">
        <f>IF(I230="","",IF(OR(H230="",J230=""),I230,(H230+4*I230+J230)/6))</f>
        <v/>
      </c>
      <c r="L230" s="11">
        <f>IFERROR(IF(INDEX('Test catalog'!$J$2:$J$200,MATCH($Y230,'Test catalog'!$A$2:$A$200,0))="","",INDEX('Test catalog'!$J$2:$J$200,MATCH($Y230,'Test catalog'!$A$2:$A$200,0))),"")</f>
        <v/>
      </c>
      <c r="M230" s="11">
        <f>IFERROR(IF(INDEX('Test catalog'!$K$2:$K$200,MATCH($Y230,'Test catalog'!$A$2:$A$200,0))="","",INDEX('Test catalog'!$K$2:$K$200,MATCH($Y230,'Test catalog'!$A$2:$A$200,0))),"")</f>
        <v/>
      </c>
      <c r="N230" s="11">
        <f>IFERROR(IF(INDEX('Test catalog'!$L$2:$L$200,MATCH($Y230,'Test catalog'!$A$2:$A$200,0))="","",INDEX('Test catalog'!$L$2:$L$200,MATCH($Y230,'Test catalog'!$A$2:$A$200,0))),"")</f>
        <v/>
      </c>
      <c r="O230" s="11">
        <f>IFERROR(IF(INDEX('Test catalog'!$M$2:$M$200,MATCH($Y230,'Test catalog'!$A$2:$A$200,0))="","",INDEX('Test catalog'!$M$2:$M$200,MATCH($Y230,'Test catalog'!$A$2:$A$200,0))),"")</f>
        <v/>
      </c>
      <c r="P230" s="11">
        <f>IFERROR(IF(INDEX('Test catalog'!$N$2:$N$200,MATCH($Y230,'Test catalog'!$A$2:$A$200,0))="","",INDEX('Test catalog'!$N$2:$N$200,MATCH($Y230,'Test catalog'!$A$2:$A$200,0))),"")</f>
        <v/>
      </c>
      <c r="Q230" s="11">
        <f>IFERROR(IF(INDEX('Test catalog'!$O$2:$O$200,MATCH($Y230,'Test catalog'!$A$2:$A$200,0))="","",INDEX('Test catalog'!$O$2:$O$200,MATCH($Y230,'Test catalog'!$A$2:$A$200,0))),"")</f>
        <v/>
      </c>
      <c r="R230" s="11">
        <f>IFERROR(IF(INDEX('Test catalog'!$P$2:$P$200,MATCH($Y230,'Test catalog'!$A$2:$A$200,0))="","",INDEX('Test catalog'!$P$2:$P$200,MATCH($Y230,'Test catalog'!$A$2:$A$200,0))),"")</f>
        <v/>
      </c>
      <c r="S230" s="14" t="n"/>
      <c r="T230" s="5" t="n"/>
      <c r="U230" s="11">
        <f>IFERROR(IF(INDEX('Test catalog'!$Q$2:$Q$200,MATCH($Y230,'Test catalog'!$A$2:$A$200,0))="","",INDEX('Test catalog'!$Q$2:$Q$200,MATCH($Y230,'Test catalog'!$A$2:$A$200,0))),"")</f>
        <v/>
      </c>
      <c r="V230" s="5" t="n"/>
      <c r="W230" s="5" t="n"/>
      <c r="X230" s="5" t="n"/>
      <c r="Y230" s="5" t="inlineStr">
        <is>
          <t>ENUM</t>
        </is>
      </c>
      <c r="Z230" s="11" t="inlineStr">
        <is>
          <t>No micro test in USP-NF - set Y if your specification has one</t>
        </is>
      </c>
    </row>
    <row r="231">
      <c r="A231" s="11" t="inlineStr">
        <is>
          <t>Triacetin</t>
        </is>
      </c>
      <c r="B231" s="11" t="inlineStr">
        <is>
          <t>RM</t>
        </is>
      </c>
      <c r="C231" s="11" t="inlineStr">
        <is>
          <t>Plasticizer</t>
        </is>
      </c>
      <c r="D231" s="11" t="inlineStr">
        <is>
          <t>Microbial enumeration - TAMC + TYMC (&lt;61&gt; / &lt;2021&gt;)</t>
        </is>
      </c>
      <c r="E231" s="5" t="inlineStr">
        <is>
          <t>N</t>
        </is>
      </c>
      <c r="F231" s="5" t="n"/>
      <c r="G231" s="11">
        <f>IFERROR(IF(INDEX('Test catalog'!$F$2:$F$200,MATCH($Y231,'Test catalog'!$A$2:$A$200,0))="","",INDEX('Test catalog'!$F$2:$F$200,MATCH($Y231,'Test catalog'!$A$2:$A$200,0))),"")</f>
        <v/>
      </c>
      <c r="H231" s="11">
        <f>IFERROR(IF(INDEX('Test catalog'!$G$2:$G$200,MATCH($Y231,'Test catalog'!$A$2:$A$200,0))="","",INDEX('Test catalog'!$G$2:$G$200,MATCH($Y231,'Test catalog'!$A$2:$A$200,0))),"")</f>
        <v/>
      </c>
      <c r="I231" s="11">
        <f>IFERROR(IF(INDEX('Test catalog'!$H$2:$H$200,MATCH($Y231,'Test catalog'!$A$2:$A$200,0))="","",INDEX('Test catalog'!$H$2:$H$200,MATCH($Y231,'Test catalog'!$A$2:$A$200,0))),"")</f>
        <v/>
      </c>
      <c r="J231" s="11">
        <f>IFERROR(IF(INDEX('Test catalog'!$I$2:$I$200,MATCH($Y231,'Test catalog'!$A$2:$A$200,0))="","",INDEX('Test catalog'!$I$2:$I$200,MATCH($Y231,'Test catalog'!$A$2:$A$200,0))),"")</f>
        <v/>
      </c>
      <c r="K231" s="13">
        <f>IF(I231="","",IF(OR(H231="",J231=""),I231,(H231+4*I231+J231)/6))</f>
        <v/>
      </c>
      <c r="L231" s="11">
        <f>IFERROR(IF(INDEX('Test catalog'!$J$2:$J$200,MATCH($Y231,'Test catalog'!$A$2:$A$200,0))="","",INDEX('Test catalog'!$J$2:$J$200,MATCH($Y231,'Test catalog'!$A$2:$A$200,0))),"")</f>
        <v/>
      </c>
      <c r="M231" s="11">
        <f>IFERROR(IF(INDEX('Test catalog'!$K$2:$K$200,MATCH($Y231,'Test catalog'!$A$2:$A$200,0))="","",INDEX('Test catalog'!$K$2:$K$200,MATCH($Y231,'Test catalog'!$A$2:$A$200,0))),"")</f>
        <v/>
      </c>
      <c r="N231" s="11">
        <f>IFERROR(IF(INDEX('Test catalog'!$L$2:$L$200,MATCH($Y231,'Test catalog'!$A$2:$A$200,0))="","",INDEX('Test catalog'!$L$2:$L$200,MATCH($Y231,'Test catalog'!$A$2:$A$200,0))),"")</f>
        <v/>
      </c>
      <c r="O231" s="11">
        <f>IFERROR(IF(INDEX('Test catalog'!$M$2:$M$200,MATCH($Y231,'Test catalog'!$A$2:$A$200,0))="","",INDEX('Test catalog'!$M$2:$M$200,MATCH($Y231,'Test catalog'!$A$2:$A$200,0))),"")</f>
        <v/>
      </c>
      <c r="P231" s="11">
        <f>IFERROR(IF(INDEX('Test catalog'!$N$2:$N$200,MATCH($Y231,'Test catalog'!$A$2:$A$200,0))="","",INDEX('Test catalog'!$N$2:$N$200,MATCH($Y231,'Test catalog'!$A$2:$A$200,0))),"")</f>
        <v/>
      </c>
      <c r="Q231" s="11">
        <f>IFERROR(IF(INDEX('Test catalog'!$O$2:$O$200,MATCH($Y231,'Test catalog'!$A$2:$A$200,0))="","",INDEX('Test catalog'!$O$2:$O$200,MATCH($Y231,'Test catalog'!$A$2:$A$200,0))),"")</f>
        <v/>
      </c>
      <c r="R231" s="11">
        <f>IFERROR(IF(INDEX('Test catalog'!$P$2:$P$200,MATCH($Y231,'Test catalog'!$A$2:$A$200,0))="","",INDEX('Test catalog'!$P$2:$P$200,MATCH($Y231,'Test catalog'!$A$2:$A$200,0))),"")</f>
        <v/>
      </c>
      <c r="S231" s="14" t="n"/>
      <c r="T231" s="5" t="n"/>
      <c r="U231" s="11">
        <f>IFERROR(IF(INDEX('Test catalog'!$Q$2:$Q$200,MATCH($Y231,'Test catalog'!$A$2:$A$200,0))="","",INDEX('Test catalog'!$Q$2:$Q$200,MATCH($Y231,'Test catalog'!$A$2:$A$200,0))),"")</f>
        <v/>
      </c>
      <c r="V231" s="5" t="n"/>
      <c r="W231" s="5" t="n"/>
      <c r="X231" s="5" t="n"/>
      <c r="Y231" s="5" t="inlineStr">
        <is>
          <t>ENUM</t>
        </is>
      </c>
      <c r="Z231" s="11" t="inlineStr">
        <is>
          <t>No micro test in USP-NF - set Y if your specification has one</t>
        </is>
      </c>
    </row>
    <row r="232">
      <c r="A232" s="11" t="inlineStr">
        <is>
          <t>Glycerine</t>
        </is>
      </c>
      <c r="B232" s="11" t="inlineStr">
        <is>
          <t>RM</t>
        </is>
      </c>
      <c r="C232" s="11" t="inlineStr">
        <is>
          <t>Plasticizer / Humectant</t>
        </is>
      </c>
      <c r="D232" s="11" t="inlineStr">
        <is>
          <t>Microbial enumeration - TAMC + TYMC (&lt;61&gt; / &lt;2021&gt;)</t>
        </is>
      </c>
      <c r="E232" s="5" t="inlineStr">
        <is>
          <t>N</t>
        </is>
      </c>
      <c r="F232" s="5" t="n"/>
      <c r="G232" s="11">
        <f>IFERROR(IF(INDEX('Test catalog'!$F$2:$F$200,MATCH($Y232,'Test catalog'!$A$2:$A$200,0))="","",INDEX('Test catalog'!$F$2:$F$200,MATCH($Y232,'Test catalog'!$A$2:$A$200,0))),"")</f>
        <v/>
      </c>
      <c r="H232" s="11">
        <f>IFERROR(IF(INDEX('Test catalog'!$G$2:$G$200,MATCH($Y232,'Test catalog'!$A$2:$A$200,0))="","",INDEX('Test catalog'!$G$2:$G$200,MATCH($Y232,'Test catalog'!$A$2:$A$200,0))),"")</f>
        <v/>
      </c>
      <c r="I232" s="11">
        <f>IFERROR(IF(INDEX('Test catalog'!$H$2:$H$200,MATCH($Y232,'Test catalog'!$A$2:$A$200,0))="","",INDEX('Test catalog'!$H$2:$H$200,MATCH($Y232,'Test catalog'!$A$2:$A$200,0))),"")</f>
        <v/>
      </c>
      <c r="J232" s="11">
        <f>IFERROR(IF(INDEX('Test catalog'!$I$2:$I$200,MATCH($Y232,'Test catalog'!$A$2:$A$200,0))="","",INDEX('Test catalog'!$I$2:$I$200,MATCH($Y232,'Test catalog'!$A$2:$A$200,0))),"")</f>
        <v/>
      </c>
      <c r="K232" s="13">
        <f>IF(I232="","",IF(OR(H232="",J232=""),I232,(H232+4*I232+J232)/6))</f>
        <v/>
      </c>
      <c r="L232" s="11">
        <f>IFERROR(IF(INDEX('Test catalog'!$J$2:$J$200,MATCH($Y232,'Test catalog'!$A$2:$A$200,0))="","",INDEX('Test catalog'!$J$2:$J$200,MATCH($Y232,'Test catalog'!$A$2:$A$200,0))),"")</f>
        <v/>
      </c>
      <c r="M232" s="11">
        <f>IFERROR(IF(INDEX('Test catalog'!$K$2:$K$200,MATCH($Y232,'Test catalog'!$A$2:$A$200,0))="","",INDEX('Test catalog'!$K$2:$K$200,MATCH($Y232,'Test catalog'!$A$2:$A$200,0))),"")</f>
        <v/>
      </c>
      <c r="N232" s="11">
        <f>IFERROR(IF(INDEX('Test catalog'!$L$2:$L$200,MATCH($Y232,'Test catalog'!$A$2:$A$200,0))="","",INDEX('Test catalog'!$L$2:$L$200,MATCH($Y232,'Test catalog'!$A$2:$A$200,0))),"")</f>
        <v/>
      </c>
      <c r="O232" s="11">
        <f>IFERROR(IF(INDEX('Test catalog'!$M$2:$M$200,MATCH($Y232,'Test catalog'!$A$2:$A$200,0))="","",INDEX('Test catalog'!$M$2:$M$200,MATCH($Y232,'Test catalog'!$A$2:$A$200,0))),"")</f>
        <v/>
      </c>
      <c r="P232" s="11">
        <f>IFERROR(IF(INDEX('Test catalog'!$N$2:$N$200,MATCH($Y232,'Test catalog'!$A$2:$A$200,0))="","",INDEX('Test catalog'!$N$2:$N$200,MATCH($Y232,'Test catalog'!$A$2:$A$200,0))),"")</f>
        <v/>
      </c>
      <c r="Q232" s="11">
        <f>IFERROR(IF(INDEX('Test catalog'!$O$2:$O$200,MATCH($Y232,'Test catalog'!$A$2:$A$200,0))="","",INDEX('Test catalog'!$O$2:$O$200,MATCH($Y232,'Test catalog'!$A$2:$A$200,0))),"")</f>
        <v/>
      </c>
      <c r="R232" s="11">
        <f>IFERROR(IF(INDEX('Test catalog'!$P$2:$P$200,MATCH($Y232,'Test catalog'!$A$2:$A$200,0))="","",INDEX('Test catalog'!$P$2:$P$200,MATCH($Y232,'Test catalog'!$A$2:$A$200,0))),"")</f>
        <v/>
      </c>
      <c r="S232" s="14" t="n"/>
      <c r="T232" s="5" t="n"/>
      <c r="U232" s="11">
        <f>IFERROR(IF(INDEX('Test catalog'!$Q$2:$Q$200,MATCH($Y232,'Test catalog'!$A$2:$A$200,0))="","",INDEX('Test catalog'!$Q$2:$Q$200,MATCH($Y232,'Test catalog'!$A$2:$A$200,0))),"")</f>
        <v/>
      </c>
      <c r="V232" s="5" t="n"/>
      <c r="W232" s="5" t="n"/>
      <c r="X232" s="5" t="n"/>
      <c r="Y232" s="5" t="inlineStr">
        <is>
          <t>ENUM</t>
        </is>
      </c>
      <c r="Z232" s="11" t="inlineStr">
        <is>
          <t>No micro test in USP-NF - set Y if your specification has one</t>
        </is>
      </c>
    </row>
    <row r="233">
      <c r="A233" s="11" t="inlineStr">
        <is>
          <t>Propylene Glycol</t>
        </is>
      </c>
      <c r="B233" s="11" t="inlineStr">
        <is>
          <t>RM</t>
        </is>
      </c>
      <c r="C233" s="11" t="inlineStr">
        <is>
          <t>Plasticizer / Humectant</t>
        </is>
      </c>
      <c r="D233" s="11" t="inlineStr">
        <is>
          <t>Microbial enumeration - TAMC + TYMC (&lt;61&gt; / &lt;2021&gt;)</t>
        </is>
      </c>
      <c r="E233" s="5" t="inlineStr">
        <is>
          <t>N</t>
        </is>
      </c>
      <c r="F233" s="5" t="n"/>
      <c r="G233" s="11">
        <f>IFERROR(IF(INDEX('Test catalog'!$F$2:$F$200,MATCH($Y233,'Test catalog'!$A$2:$A$200,0))="","",INDEX('Test catalog'!$F$2:$F$200,MATCH($Y233,'Test catalog'!$A$2:$A$200,0))),"")</f>
        <v/>
      </c>
      <c r="H233" s="11">
        <f>IFERROR(IF(INDEX('Test catalog'!$G$2:$G$200,MATCH($Y233,'Test catalog'!$A$2:$A$200,0))="","",INDEX('Test catalog'!$G$2:$G$200,MATCH($Y233,'Test catalog'!$A$2:$A$200,0))),"")</f>
        <v/>
      </c>
      <c r="I233" s="11">
        <f>IFERROR(IF(INDEX('Test catalog'!$H$2:$H$200,MATCH($Y233,'Test catalog'!$A$2:$A$200,0))="","",INDEX('Test catalog'!$H$2:$H$200,MATCH($Y233,'Test catalog'!$A$2:$A$200,0))),"")</f>
        <v/>
      </c>
      <c r="J233" s="11">
        <f>IFERROR(IF(INDEX('Test catalog'!$I$2:$I$200,MATCH($Y233,'Test catalog'!$A$2:$A$200,0))="","",INDEX('Test catalog'!$I$2:$I$200,MATCH($Y233,'Test catalog'!$A$2:$A$200,0))),"")</f>
        <v/>
      </c>
      <c r="K233" s="13">
        <f>IF(I233="","",IF(OR(H233="",J233=""),I233,(H233+4*I233+J233)/6))</f>
        <v/>
      </c>
      <c r="L233" s="11">
        <f>IFERROR(IF(INDEX('Test catalog'!$J$2:$J$200,MATCH($Y233,'Test catalog'!$A$2:$A$200,0))="","",INDEX('Test catalog'!$J$2:$J$200,MATCH($Y233,'Test catalog'!$A$2:$A$200,0))),"")</f>
        <v/>
      </c>
      <c r="M233" s="11">
        <f>IFERROR(IF(INDEX('Test catalog'!$K$2:$K$200,MATCH($Y233,'Test catalog'!$A$2:$A$200,0))="","",INDEX('Test catalog'!$K$2:$K$200,MATCH($Y233,'Test catalog'!$A$2:$A$200,0))),"")</f>
        <v/>
      </c>
      <c r="N233" s="11">
        <f>IFERROR(IF(INDEX('Test catalog'!$L$2:$L$200,MATCH($Y233,'Test catalog'!$A$2:$A$200,0))="","",INDEX('Test catalog'!$L$2:$L$200,MATCH($Y233,'Test catalog'!$A$2:$A$200,0))),"")</f>
        <v/>
      </c>
      <c r="O233" s="11">
        <f>IFERROR(IF(INDEX('Test catalog'!$M$2:$M$200,MATCH($Y233,'Test catalog'!$A$2:$A$200,0))="","",INDEX('Test catalog'!$M$2:$M$200,MATCH($Y233,'Test catalog'!$A$2:$A$200,0))),"")</f>
        <v/>
      </c>
      <c r="P233" s="11">
        <f>IFERROR(IF(INDEX('Test catalog'!$N$2:$N$200,MATCH($Y233,'Test catalog'!$A$2:$A$200,0))="","",INDEX('Test catalog'!$N$2:$N$200,MATCH($Y233,'Test catalog'!$A$2:$A$200,0))),"")</f>
        <v/>
      </c>
      <c r="Q233" s="11">
        <f>IFERROR(IF(INDEX('Test catalog'!$O$2:$O$200,MATCH($Y233,'Test catalog'!$A$2:$A$200,0))="","",INDEX('Test catalog'!$O$2:$O$200,MATCH($Y233,'Test catalog'!$A$2:$A$200,0))),"")</f>
        <v/>
      </c>
      <c r="R233" s="11">
        <f>IFERROR(IF(INDEX('Test catalog'!$P$2:$P$200,MATCH($Y233,'Test catalog'!$A$2:$A$200,0))="","",INDEX('Test catalog'!$P$2:$P$200,MATCH($Y233,'Test catalog'!$A$2:$A$200,0))),"")</f>
        <v/>
      </c>
      <c r="S233" s="14" t="n"/>
      <c r="T233" s="5" t="n"/>
      <c r="U233" s="11">
        <f>IFERROR(IF(INDEX('Test catalog'!$Q$2:$Q$200,MATCH($Y233,'Test catalog'!$A$2:$A$200,0))="","",INDEX('Test catalog'!$Q$2:$Q$200,MATCH($Y233,'Test catalog'!$A$2:$A$200,0))),"")</f>
        <v/>
      </c>
      <c r="V233" s="5" t="n"/>
      <c r="W233" s="5" t="n"/>
      <c r="X233" s="5" t="n"/>
      <c r="Y233" s="5" t="inlineStr">
        <is>
          <t>ENUM</t>
        </is>
      </c>
      <c r="Z233" s="11" t="inlineStr">
        <is>
          <t>No micro test in USP-NF - set Y if your specification has one</t>
        </is>
      </c>
    </row>
    <row r="234">
      <c r="A234" s="11" t="inlineStr">
        <is>
          <t>Benzalkonium Alcohol 50%</t>
        </is>
      </c>
      <c r="B234" s="11" t="inlineStr">
        <is>
          <t>RM</t>
        </is>
      </c>
      <c r="C234" s="11" t="inlineStr">
        <is>
          <t>Preservative</t>
        </is>
      </c>
      <c r="D234" s="11" t="inlineStr">
        <is>
          <t>Microbial enumeration - TAMC + TYMC (&lt;61&gt; / &lt;2021&gt;)</t>
        </is>
      </c>
      <c r="E234" s="5" t="inlineStr">
        <is>
          <t>Y</t>
        </is>
      </c>
      <c r="F234" s="5" t="n"/>
      <c r="G234" s="11">
        <f>IFERROR(IF(INDEX('Test catalog'!$F$2:$F$200,MATCH($Y234,'Test catalog'!$A$2:$A$200,0))="","",INDEX('Test catalog'!$F$2:$F$200,MATCH($Y234,'Test catalog'!$A$2:$A$200,0))),"")</f>
        <v/>
      </c>
      <c r="H234" s="11">
        <f>IFERROR(IF(INDEX('Test catalog'!$G$2:$G$200,MATCH($Y234,'Test catalog'!$A$2:$A$200,0))="","",INDEX('Test catalog'!$G$2:$G$200,MATCH($Y234,'Test catalog'!$A$2:$A$200,0))),"")</f>
        <v/>
      </c>
      <c r="I234" s="11">
        <f>IFERROR(IF(INDEX('Test catalog'!$H$2:$H$200,MATCH($Y234,'Test catalog'!$A$2:$A$200,0))="","",INDEX('Test catalog'!$H$2:$H$200,MATCH($Y234,'Test catalog'!$A$2:$A$200,0))),"")</f>
        <v/>
      </c>
      <c r="J234" s="11">
        <f>IFERROR(IF(INDEX('Test catalog'!$I$2:$I$200,MATCH($Y234,'Test catalog'!$A$2:$A$200,0))="","",INDEX('Test catalog'!$I$2:$I$200,MATCH($Y234,'Test catalog'!$A$2:$A$200,0))),"")</f>
        <v/>
      </c>
      <c r="K234" s="13">
        <f>IF(I234="","",IF(OR(H234="",J234=""),I234,(H234+4*I234+J234)/6))</f>
        <v/>
      </c>
      <c r="L234" s="11">
        <f>IFERROR(IF(INDEX('Test catalog'!$J$2:$J$200,MATCH($Y234,'Test catalog'!$A$2:$A$200,0))="","",INDEX('Test catalog'!$J$2:$J$200,MATCH($Y234,'Test catalog'!$A$2:$A$200,0))),"")</f>
        <v/>
      </c>
      <c r="M234" s="11">
        <f>IFERROR(IF(INDEX('Test catalog'!$K$2:$K$200,MATCH($Y234,'Test catalog'!$A$2:$A$200,0))="","",INDEX('Test catalog'!$K$2:$K$200,MATCH($Y234,'Test catalog'!$A$2:$A$200,0))),"")</f>
        <v/>
      </c>
      <c r="N234" s="11">
        <f>IFERROR(IF(INDEX('Test catalog'!$L$2:$L$200,MATCH($Y234,'Test catalog'!$A$2:$A$200,0))="","",INDEX('Test catalog'!$L$2:$L$200,MATCH($Y234,'Test catalog'!$A$2:$A$200,0))),"")</f>
        <v/>
      </c>
      <c r="O234" s="11">
        <f>IFERROR(IF(INDEX('Test catalog'!$M$2:$M$200,MATCH($Y234,'Test catalog'!$A$2:$A$200,0))="","",INDEX('Test catalog'!$M$2:$M$200,MATCH($Y234,'Test catalog'!$A$2:$A$200,0))),"")</f>
        <v/>
      </c>
      <c r="P234" s="11">
        <f>IFERROR(IF(INDEX('Test catalog'!$N$2:$N$200,MATCH($Y234,'Test catalog'!$A$2:$A$200,0))="","",INDEX('Test catalog'!$N$2:$N$200,MATCH($Y234,'Test catalog'!$A$2:$A$200,0))),"")</f>
        <v/>
      </c>
      <c r="Q234" s="11">
        <f>IFERROR(IF(INDEX('Test catalog'!$O$2:$O$200,MATCH($Y234,'Test catalog'!$A$2:$A$200,0))="","",INDEX('Test catalog'!$O$2:$O$200,MATCH($Y234,'Test catalog'!$A$2:$A$200,0))),"")</f>
        <v/>
      </c>
      <c r="R234" s="11">
        <f>IFERROR(IF(INDEX('Test catalog'!$P$2:$P$200,MATCH($Y234,'Test catalog'!$A$2:$A$200,0))="","",INDEX('Test catalog'!$P$2:$P$200,MATCH($Y234,'Test catalog'!$A$2:$A$200,0))),"")</f>
        <v/>
      </c>
      <c r="S234" s="14" t="n"/>
      <c r="T234" s="5" t="n"/>
      <c r="U234" s="11">
        <f>IFERROR(IF(INDEX('Test catalog'!$Q$2:$Q$200,MATCH($Y234,'Test catalog'!$A$2:$A$200,0))="","",INDEX('Test catalog'!$Q$2:$Q$200,MATCH($Y234,'Test catalog'!$A$2:$A$200,0))),"")</f>
        <v/>
      </c>
      <c r="V234" s="5" t="n"/>
      <c r="W234" s="5" t="n"/>
      <c r="X234" s="5" t="n"/>
      <c r="Y234" s="5" t="inlineStr">
        <is>
          <t>ENUM</t>
        </is>
      </c>
      <c r="Z234" s="11" t="inlineStr">
        <is>
          <t>USP-NF monograph &lt;61&gt;, &lt;62&gt;</t>
        </is>
      </c>
    </row>
    <row r="235">
      <c r="A235" s="11" t="inlineStr">
        <is>
          <t>Benzalkonium Alcohol 50%</t>
        </is>
      </c>
      <c r="B235" s="11" t="inlineStr">
        <is>
          <t>RM</t>
        </is>
      </c>
      <c r="C235" s="11" t="inlineStr">
        <is>
          <t>Preservative</t>
        </is>
      </c>
      <c r="D235" s="11" t="inlineStr">
        <is>
          <t>Absence of Pseudomonas aeruginosa (&lt;62&gt;)</t>
        </is>
      </c>
      <c r="E235" s="5" t="inlineStr">
        <is>
          <t>Y</t>
        </is>
      </c>
      <c r="F235" s="5" t="n"/>
      <c r="G235" s="11">
        <f>IFERROR(IF(INDEX('Test catalog'!$F$2:$F$200,MATCH($Y235,'Test catalog'!$A$2:$A$200,0))="","",INDEX('Test catalog'!$F$2:$F$200,MATCH($Y235,'Test catalog'!$A$2:$A$200,0))),"")</f>
        <v/>
      </c>
      <c r="H235" s="11">
        <f>IFERROR(IF(INDEX('Test catalog'!$G$2:$G$200,MATCH($Y235,'Test catalog'!$A$2:$A$200,0))="","",INDEX('Test catalog'!$G$2:$G$200,MATCH($Y235,'Test catalog'!$A$2:$A$200,0))),"")</f>
        <v/>
      </c>
      <c r="I235" s="11">
        <f>IFERROR(IF(INDEX('Test catalog'!$H$2:$H$200,MATCH($Y235,'Test catalog'!$A$2:$A$200,0))="","",INDEX('Test catalog'!$H$2:$H$200,MATCH($Y235,'Test catalog'!$A$2:$A$200,0))),"")</f>
        <v/>
      </c>
      <c r="J235" s="11">
        <f>IFERROR(IF(INDEX('Test catalog'!$I$2:$I$200,MATCH($Y235,'Test catalog'!$A$2:$A$200,0))="","",INDEX('Test catalog'!$I$2:$I$200,MATCH($Y235,'Test catalog'!$A$2:$A$200,0))),"")</f>
        <v/>
      </c>
      <c r="K235" s="13">
        <f>IF(I235="","",IF(OR(H235="",J235=""),I235,(H235+4*I235+J235)/6))</f>
        <v/>
      </c>
      <c r="L235" s="11">
        <f>IFERROR(IF(INDEX('Test catalog'!$J$2:$J$200,MATCH($Y235,'Test catalog'!$A$2:$A$200,0))="","",INDEX('Test catalog'!$J$2:$J$200,MATCH($Y235,'Test catalog'!$A$2:$A$200,0))),"")</f>
        <v/>
      </c>
      <c r="M235" s="11">
        <f>IFERROR(IF(INDEX('Test catalog'!$K$2:$K$200,MATCH($Y235,'Test catalog'!$A$2:$A$200,0))="","",INDEX('Test catalog'!$K$2:$K$200,MATCH($Y235,'Test catalog'!$A$2:$A$200,0))),"")</f>
        <v/>
      </c>
      <c r="N235" s="11">
        <f>IFERROR(IF(INDEX('Test catalog'!$L$2:$L$200,MATCH($Y235,'Test catalog'!$A$2:$A$200,0))="","",INDEX('Test catalog'!$L$2:$L$200,MATCH($Y235,'Test catalog'!$A$2:$A$200,0))),"")</f>
        <v/>
      </c>
      <c r="O235" s="11">
        <f>IFERROR(IF(INDEX('Test catalog'!$M$2:$M$200,MATCH($Y235,'Test catalog'!$A$2:$A$200,0))="","",INDEX('Test catalog'!$M$2:$M$200,MATCH($Y235,'Test catalog'!$A$2:$A$200,0))),"")</f>
        <v/>
      </c>
      <c r="P235" s="11">
        <f>IFERROR(IF(INDEX('Test catalog'!$N$2:$N$200,MATCH($Y235,'Test catalog'!$A$2:$A$200,0))="","",INDEX('Test catalog'!$N$2:$N$200,MATCH($Y235,'Test catalog'!$A$2:$A$200,0))),"")</f>
        <v/>
      </c>
      <c r="Q235" s="11">
        <f>IFERROR(IF(INDEX('Test catalog'!$O$2:$O$200,MATCH($Y235,'Test catalog'!$A$2:$A$200,0))="","",INDEX('Test catalog'!$O$2:$O$200,MATCH($Y235,'Test catalog'!$A$2:$A$200,0))),"")</f>
        <v/>
      </c>
      <c r="R235" s="11">
        <f>IFERROR(IF(INDEX('Test catalog'!$P$2:$P$200,MATCH($Y235,'Test catalog'!$A$2:$A$200,0))="","",INDEX('Test catalog'!$P$2:$P$200,MATCH($Y235,'Test catalog'!$A$2:$A$200,0))),"")</f>
        <v/>
      </c>
      <c r="S235" s="14" t="n"/>
      <c r="T235" s="5" t="n"/>
      <c r="U235" s="11">
        <f>IFERROR(IF(INDEX('Test catalog'!$Q$2:$Q$200,MATCH($Y235,'Test catalog'!$A$2:$A$200,0))="","",INDEX('Test catalog'!$Q$2:$Q$200,MATCH($Y235,'Test catalog'!$A$2:$A$200,0))),"")</f>
        <v/>
      </c>
      <c r="V235" s="5" t="n"/>
      <c r="W235" s="5" t="n"/>
      <c r="X235" s="5" t="n"/>
      <c r="Y235" s="5" t="inlineStr">
        <is>
          <t>PSAE</t>
        </is>
      </c>
      <c r="Z235" s="11" t="inlineStr">
        <is>
          <t>USP-NF monograph &lt;61&gt;, &lt;62&gt;</t>
        </is>
      </c>
    </row>
    <row r="236">
      <c r="A236" s="11" t="inlineStr">
        <is>
          <t>Methyl Paraben</t>
        </is>
      </c>
      <c r="B236" s="11" t="inlineStr">
        <is>
          <t>RM</t>
        </is>
      </c>
      <c r="C236" s="11" t="inlineStr">
        <is>
          <t>Preservative</t>
        </is>
      </c>
      <c r="D236" s="11" t="inlineStr">
        <is>
          <t>Microbial enumeration - TAMC + TYMC (&lt;61&gt; / &lt;2021&gt;)</t>
        </is>
      </c>
      <c r="E236" s="5" t="inlineStr">
        <is>
          <t>N</t>
        </is>
      </c>
      <c r="F236" s="5" t="n"/>
      <c r="G236" s="11">
        <f>IFERROR(IF(INDEX('Test catalog'!$F$2:$F$200,MATCH($Y236,'Test catalog'!$A$2:$A$200,0))="","",INDEX('Test catalog'!$F$2:$F$200,MATCH($Y236,'Test catalog'!$A$2:$A$200,0))),"")</f>
        <v/>
      </c>
      <c r="H236" s="11">
        <f>IFERROR(IF(INDEX('Test catalog'!$G$2:$G$200,MATCH($Y236,'Test catalog'!$A$2:$A$200,0))="","",INDEX('Test catalog'!$G$2:$G$200,MATCH($Y236,'Test catalog'!$A$2:$A$200,0))),"")</f>
        <v/>
      </c>
      <c r="I236" s="11">
        <f>IFERROR(IF(INDEX('Test catalog'!$H$2:$H$200,MATCH($Y236,'Test catalog'!$A$2:$A$200,0))="","",INDEX('Test catalog'!$H$2:$H$200,MATCH($Y236,'Test catalog'!$A$2:$A$200,0))),"")</f>
        <v/>
      </c>
      <c r="J236" s="11">
        <f>IFERROR(IF(INDEX('Test catalog'!$I$2:$I$200,MATCH($Y236,'Test catalog'!$A$2:$A$200,0))="","",INDEX('Test catalog'!$I$2:$I$200,MATCH($Y236,'Test catalog'!$A$2:$A$200,0))),"")</f>
        <v/>
      </c>
      <c r="K236" s="13">
        <f>IF(I236="","",IF(OR(H236="",J236=""),I236,(H236+4*I236+J236)/6))</f>
        <v/>
      </c>
      <c r="L236" s="11">
        <f>IFERROR(IF(INDEX('Test catalog'!$J$2:$J$200,MATCH($Y236,'Test catalog'!$A$2:$A$200,0))="","",INDEX('Test catalog'!$J$2:$J$200,MATCH($Y236,'Test catalog'!$A$2:$A$200,0))),"")</f>
        <v/>
      </c>
      <c r="M236" s="11">
        <f>IFERROR(IF(INDEX('Test catalog'!$K$2:$K$200,MATCH($Y236,'Test catalog'!$A$2:$A$200,0))="","",INDEX('Test catalog'!$K$2:$K$200,MATCH($Y236,'Test catalog'!$A$2:$A$200,0))),"")</f>
        <v/>
      </c>
      <c r="N236" s="11">
        <f>IFERROR(IF(INDEX('Test catalog'!$L$2:$L$200,MATCH($Y236,'Test catalog'!$A$2:$A$200,0))="","",INDEX('Test catalog'!$L$2:$L$200,MATCH($Y236,'Test catalog'!$A$2:$A$200,0))),"")</f>
        <v/>
      </c>
      <c r="O236" s="11">
        <f>IFERROR(IF(INDEX('Test catalog'!$M$2:$M$200,MATCH($Y236,'Test catalog'!$A$2:$A$200,0))="","",INDEX('Test catalog'!$M$2:$M$200,MATCH($Y236,'Test catalog'!$A$2:$A$200,0))),"")</f>
        <v/>
      </c>
      <c r="P236" s="11">
        <f>IFERROR(IF(INDEX('Test catalog'!$N$2:$N$200,MATCH($Y236,'Test catalog'!$A$2:$A$200,0))="","",INDEX('Test catalog'!$N$2:$N$200,MATCH($Y236,'Test catalog'!$A$2:$A$200,0))),"")</f>
        <v/>
      </c>
      <c r="Q236" s="11">
        <f>IFERROR(IF(INDEX('Test catalog'!$O$2:$O$200,MATCH($Y236,'Test catalog'!$A$2:$A$200,0))="","",INDEX('Test catalog'!$O$2:$O$200,MATCH($Y236,'Test catalog'!$A$2:$A$200,0))),"")</f>
        <v/>
      </c>
      <c r="R236" s="11">
        <f>IFERROR(IF(INDEX('Test catalog'!$P$2:$P$200,MATCH($Y236,'Test catalog'!$A$2:$A$200,0))="","",INDEX('Test catalog'!$P$2:$P$200,MATCH($Y236,'Test catalog'!$A$2:$A$200,0))),"")</f>
        <v/>
      </c>
      <c r="S236" s="14" t="n"/>
      <c r="T236" s="5" t="n"/>
      <c r="U236" s="11">
        <f>IFERROR(IF(INDEX('Test catalog'!$Q$2:$Q$200,MATCH($Y236,'Test catalog'!$A$2:$A$200,0))="","",INDEX('Test catalog'!$Q$2:$Q$200,MATCH($Y236,'Test catalog'!$A$2:$A$200,0))),"")</f>
        <v/>
      </c>
      <c r="V236" s="5" t="n"/>
      <c r="W236" s="5" t="n"/>
      <c r="X236" s="5" t="n"/>
      <c r="Y236" s="5" t="inlineStr">
        <is>
          <t>ENUM</t>
        </is>
      </c>
      <c r="Z236" s="11" t="inlineStr">
        <is>
          <t>No micro test in USP-NF - set Y if your specification has one</t>
        </is>
      </c>
    </row>
    <row r="237">
      <c r="A237" s="11" t="inlineStr">
        <is>
          <t>Propyl Paraben</t>
        </is>
      </c>
      <c r="B237" s="11" t="inlineStr">
        <is>
          <t>RM</t>
        </is>
      </c>
      <c r="C237" s="11" t="inlineStr">
        <is>
          <t>Preservative</t>
        </is>
      </c>
      <c r="D237" s="11" t="inlineStr">
        <is>
          <t>Microbial enumeration - TAMC + TYMC (&lt;61&gt; / &lt;2021&gt;)</t>
        </is>
      </c>
      <c r="E237" s="5" t="inlineStr">
        <is>
          <t>N</t>
        </is>
      </c>
      <c r="F237" s="5" t="n"/>
      <c r="G237" s="11">
        <f>IFERROR(IF(INDEX('Test catalog'!$F$2:$F$200,MATCH($Y237,'Test catalog'!$A$2:$A$200,0))="","",INDEX('Test catalog'!$F$2:$F$200,MATCH($Y237,'Test catalog'!$A$2:$A$200,0))),"")</f>
        <v/>
      </c>
      <c r="H237" s="11">
        <f>IFERROR(IF(INDEX('Test catalog'!$G$2:$G$200,MATCH($Y237,'Test catalog'!$A$2:$A$200,0))="","",INDEX('Test catalog'!$G$2:$G$200,MATCH($Y237,'Test catalog'!$A$2:$A$200,0))),"")</f>
        <v/>
      </c>
      <c r="I237" s="11">
        <f>IFERROR(IF(INDEX('Test catalog'!$H$2:$H$200,MATCH($Y237,'Test catalog'!$A$2:$A$200,0))="","",INDEX('Test catalog'!$H$2:$H$200,MATCH($Y237,'Test catalog'!$A$2:$A$200,0))),"")</f>
        <v/>
      </c>
      <c r="J237" s="11">
        <f>IFERROR(IF(INDEX('Test catalog'!$I$2:$I$200,MATCH($Y237,'Test catalog'!$A$2:$A$200,0))="","",INDEX('Test catalog'!$I$2:$I$200,MATCH($Y237,'Test catalog'!$A$2:$A$200,0))),"")</f>
        <v/>
      </c>
      <c r="K237" s="13">
        <f>IF(I237="","",IF(OR(H237="",J237=""),I237,(H237+4*I237+J237)/6))</f>
        <v/>
      </c>
      <c r="L237" s="11">
        <f>IFERROR(IF(INDEX('Test catalog'!$J$2:$J$200,MATCH($Y237,'Test catalog'!$A$2:$A$200,0))="","",INDEX('Test catalog'!$J$2:$J$200,MATCH($Y237,'Test catalog'!$A$2:$A$200,0))),"")</f>
        <v/>
      </c>
      <c r="M237" s="11">
        <f>IFERROR(IF(INDEX('Test catalog'!$K$2:$K$200,MATCH($Y237,'Test catalog'!$A$2:$A$200,0))="","",INDEX('Test catalog'!$K$2:$K$200,MATCH($Y237,'Test catalog'!$A$2:$A$200,0))),"")</f>
        <v/>
      </c>
      <c r="N237" s="11">
        <f>IFERROR(IF(INDEX('Test catalog'!$L$2:$L$200,MATCH($Y237,'Test catalog'!$A$2:$A$200,0))="","",INDEX('Test catalog'!$L$2:$L$200,MATCH($Y237,'Test catalog'!$A$2:$A$200,0))),"")</f>
        <v/>
      </c>
      <c r="O237" s="11">
        <f>IFERROR(IF(INDEX('Test catalog'!$M$2:$M$200,MATCH($Y237,'Test catalog'!$A$2:$A$200,0))="","",INDEX('Test catalog'!$M$2:$M$200,MATCH($Y237,'Test catalog'!$A$2:$A$200,0))),"")</f>
        <v/>
      </c>
      <c r="P237" s="11">
        <f>IFERROR(IF(INDEX('Test catalog'!$N$2:$N$200,MATCH($Y237,'Test catalog'!$A$2:$A$200,0))="","",INDEX('Test catalog'!$N$2:$N$200,MATCH($Y237,'Test catalog'!$A$2:$A$200,0))),"")</f>
        <v/>
      </c>
      <c r="Q237" s="11">
        <f>IFERROR(IF(INDEX('Test catalog'!$O$2:$O$200,MATCH($Y237,'Test catalog'!$A$2:$A$200,0))="","",INDEX('Test catalog'!$O$2:$O$200,MATCH($Y237,'Test catalog'!$A$2:$A$200,0))),"")</f>
        <v/>
      </c>
      <c r="R237" s="11">
        <f>IFERROR(IF(INDEX('Test catalog'!$P$2:$P$200,MATCH($Y237,'Test catalog'!$A$2:$A$200,0))="","",INDEX('Test catalog'!$P$2:$P$200,MATCH($Y237,'Test catalog'!$A$2:$A$200,0))),"")</f>
        <v/>
      </c>
      <c r="S237" s="14" t="n"/>
      <c r="T237" s="5" t="n"/>
      <c r="U237" s="11">
        <f>IFERROR(IF(INDEX('Test catalog'!$Q$2:$Q$200,MATCH($Y237,'Test catalog'!$A$2:$A$200,0))="","",INDEX('Test catalog'!$Q$2:$Q$200,MATCH($Y237,'Test catalog'!$A$2:$A$200,0))),"")</f>
        <v/>
      </c>
      <c r="V237" s="5" t="n"/>
      <c r="W237" s="5" t="n"/>
      <c r="X237" s="5" t="n"/>
      <c r="Y237" s="5" t="inlineStr">
        <is>
          <t>ENUM</t>
        </is>
      </c>
      <c r="Z237" s="11" t="inlineStr">
        <is>
          <t>No micro test in USP-NF - set Y if your specification has one</t>
        </is>
      </c>
    </row>
    <row r="238">
      <c r="A238" s="11" t="inlineStr">
        <is>
          <t>Sodium Benzoate</t>
        </is>
      </c>
      <c r="B238" s="11" t="inlineStr">
        <is>
          <t>RM</t>
        </is>
      </c>
      <c r="C238" s="11" t="inlineStr">
        <is>
          <t>Preservative</t>
        </is>
      </c>
      <c r="D238" s="11" t="inlineStr">
        <is>
          <t>Microbial enumeration - TAMC + TYMC (&lt;61&gt; / &lt;2021&gt;)</t>
        </is>
      </c>
      <c r="E238" s="5" t="inlineStr">
        <is>
          <t>N</t>
        </is>
      </c>
      <c r="F238" s="5" t="n"/>
      <c r="G238" s="11">
        <f>IFERROR(IF(INDEX('Test catalog'!$F$2:$F$200,MATCH($Y238,'Test catalog'!$A$2:$A$200,0))="","",INDEX('Test catalog'!$F$2:$F$200,MATCH($Y238,'Test catalog'!$A$2:$A$200,0))),"")</f>
        <v/>
      </c>
      <c r="H238" s="11">
        <f>IFERROR(IF(INDEX('Test catalog'!$G$2:$G$200,MATCH($Y238,'Test catalog'!$A$2:$A$200,0))="","",INDEX('Test catalog'!$G$2:$G$200,MATCH($Y238,'Test catalog'!$A$2:$A$200,0))),"")</f>
        <v/>
      </c>
      <c r="I238" s="11">
        <f>IFERROR(IF(INDEX('Test catalog'!$H$2:$H$200,MATCH($Y238,'Test catalog'!$A$2:$A$200,0))="","",INDEX('Test catalog'!$H$2:$H$200,MATCH($Y238,'Test catalog'!$A$2:$A$200,0))),"")</f>
        <v/>
      </c>
      <c r="J238" s="11">
        <f>IFERROR(IF(INDEX('Test catalog'!$I$2:$I$200,MATCH($Y238,'Test catalog'!$A$2:$A$200,0))="","",INDEX('Test catalog'!$I$2:$I$200,MATCH($Y238,'Test catalog'!$A$2:$A$200,0))),"")</f>
        <v/>
      </c>
      <c r="K238" s="13">
        <f>IF(I238="","",IF(OR(H238="",J238=""),I238,(H238+4*I238+J238)/6))</f>
        <v/>
      </c>
      <c r="L238" s="11">
        <f>IFERROR(IF(INDEX('Test catalog'!$J$2:$J$200,MATCH($Y238,'Test catalog'!$A$2:$A$200,0))="","",INDEX('Test catalog'!$J$2:$J$200,MATCH($Y238,'Test catalog'!$A$2:$A$200,0))),"")</f>
        <v/>
      </c>
      <c r="M238" s="11">
        <f>IFERROR(IF(INDEX('Test catalog'!$K$2:$K$200,MATCH($Y238,'Test catalog'!$A$2:$A$200,0))="","",INDEX('Test catalog'!$K$2:$K$200,MATCH($Y238,'Test catalog'!$A$2:$A$200,0))),"")</f>
        <v/>
      </c>
      <c r="N238" s="11">
        <f>IFERROR(IF(INDEX('Test catalog'!$L$2:$L$200,MATCH($Y238,'Test catalog'!$A$2:$A$200,0))="","",INDEX('Test catalog'!$L$2:$L$200,MATCH($Y238,'Test catalog'!$A$2:$A$200,0))),"")</f>
        <v/>
      </c>
      <c r="O238" s="11">
        <f>IFERROR(IF(INDEX('Test catalog'!$M$2:$M$200,MATCH($Y238,'Test catalog'!$A$2:$A$200,0))="","",INDEX('Test catalog'!$M$2:$M$200,MATCH($Y238,'Test catalog'!$A$2:$A$200,0))),"")</f>
        <v/>
      </c>
      <c r="P238" s="11">
        <f>IFERROR(IF(INDEX('Test catalog'!$N$2:$N$200,MATCH($Y238,'Test catalog'!$A$2:$A$200,0))="","",INDEX('Test catalog'!$N$2:$N$200,MATCH($Y238,'Test catalog'!$A$2:$A$200,0))),"")</f>
        <v/>
      </c>
      <c r="Q238" s="11">
        <f>IFERROR(IF(INDEX('Test catalog'!$O$2:$O$200,MATCH($Y238,'Test catalog'!$A$2:$A$200,0))="","",INDEX('Test catalog'!$O$2:$O$200,MATCH($Y238,'Test catalog'!$A$2:$A$200,0))),"")</f>
        <v/>
      </c>
      <c r="R238" s="11">
        <f>IFERROR(IF(INDEX('Test catalog'!$P$2:$P$200,MATCH($Y238,'Test catalog'!$A$2:$A$200,0))="","",INDEX('Test catalog'!$P$2:$P$200,MATCH($Y238,'Test catalog'!$A$2:$A$200,0))),"")</f>
        <v/>
      </c>
      <c r="S238" s="14" t="n"/>
      <c r="T238" s="5" t="n"/>
      <c r="U238" s="11">
        <f>IFERROR(IF(INDEX('Test catalog'!$Q$2:$Q$200,MATCH($Y238,'Test catalog'!$A$2:$A$200,0))="","",INDEX('Test catalog'!$Q$2:$Q$200,MATCH($Y238,'Test catalog'!$A$2:$A$200,0))),"")</f>
        <v/>
      </c>
      <c r="V238" s="5" t="n"/>
      <c r="W238" s="5" t="n"/>
      <c r="X238" s="5" t="n"/>
      <c r="Y238" s="5" t="inlineStr">
        <is>
          <t>ENUM</t>
        </is>
      </c>
      <c r="Z238" s="11" t="inlineStr">
        <is>
          <t>No micro test in USP-NF - set Y if your specification has one</t>
        </is>
      </c>
    </row>
    <row r="239">
      <c r="A239" s="11" t="inlineStr">
        <is>
          <t>Glyceryl Behenate (Compritol 888 ATO)</t>
        </is>
      </c>
      <c r="B239" s="11" t="inlineStr">
        <is>
          <t>RM</t>
        </is>
      </c>
      <c r="C239" s="11" t="inlineStr">
        <is>
          <t>Release / Matrix Polymer</t>
        </is>
      </c>
      <c r="D239" s="11" t="inlineStr">
        <is>
          <t>Microbial enumeration - TAMC + TYMC (&lt;61&gt; / &lt;2021&gt;)</t>
        </is>
      </c>
      <c r="E239" s="5" t="inlineStr">
        <is>
          <t>N</t>
        </is>
      </c>
      <c r="F239" s="5" t="n"/>
      <c r="G239" s="11">
        <f>IFERROR(IF(INDEX('Test catalog'!$F$2:$F$200,MATCH($Y239,'Test catalog'!$A$2:$A$200,0))="","",INDEX('Test catalog'!$F$2:$F$200,MATCH($Y239,'Test catalog'!$A$2:$A$200,0))),"")</f>
        <v/>
      </c>
      <c r="H239" s="11">
        <f>IFERROR(IF(INDEX('Test catalog'!$G$2:$G$200,MATCH($Y239,'Test catalog'!$A$2:$A$200,0))="","",INDEX('Test catalog'!$G$2:$G$200,MATCH($Y239,'Test catalog'!$A$2:$A$200,0))),"")</f>
        <v/>
      </c>
      <c r="I239" s="11">
        <f>IFERROR(IF(INDEX('Test catalog'!$H$2:$H$200,MATCH($Y239,'Test catalog'!$A$2:$A$200,0))="","",INDEX('Test catalog'!$H$2:$H$200,MATCH($Y239,'Test catalog'!$A$2:$A$200,0))),"")</f>
        <v/>
      </c>
      <c r="J239" s="11">
        <f>IFERROR(IF(INDEX('Test catalog'!$I$2:$I$200,MATCH($Y239,'Test catalog'!$A$2:$A$200,0))="","",INDEX('Test catalog'!$I$2:$I$200,MATCH($Y239,'Test catalog'!$A$2:$A$200,0))),"")</f>
        <v/>
      </c>
      <c r="K239" s="13">
        <f>IF(I239="","",IF(OR(H239="",J239=""),I239,(H239+4*I239+J239)/6))</f>
        <v/>
      </c>
      <c r="L239" s="11">
        <f>IFERROR(IF(INDEX('Test catalog'!$J$2:$J$200,MATCH($Y239,'Test catalog'!$A$2:$A$200,0))="","",INDEX('Test catalog'!$J$2:$J$200,MATCH($Y239,'Test catalog'!$A$2:$A$200,0))),"")</f>
        <v/>
      </c>
      <c r="M239" s="11">
        <f>IFERROR(IF(INDEX('Test catalog'!$K$2:$K$200,MATCH($Y239,'Test catalog'!$A$2:$A$200,0))="","",INDEX('Test catalog'!$K$2:$K$200,MATCH($Y239,'Test catalog'!$A$2:$A$200,0))),"")</f>
        <v/>
      </c>
      <c r="N239" s="11">
        <f>IFERROR(IF(INDEX('Test catalog'!$L$2:$L$200,MATCH($Y239,'Test catalog'!$A$2:$A$200,0))="","",INDEX('Test catalog'!$L$2:$L$200,MATCH($Y239,'Test catalog'!$A$2:$A$200,0))),"")</f>
        <v/>
      </c>
      <c r="O239" s="11">
        <f>IFERROR(IF(INDEX('Test catalog'!$M$2:$M$200,MATCH($Y239,'Test catalog'!$A$2:$A$200,0))="","",INDEX('Test catalog'!$M$2:$M$200,MATCH($Y239,'Test catalog'!$A$2:$A$200,0))),"")</f>
        <v/>
      </c>
      <c r="P239" s="11">
        <f>IFERROR(IF(INDEX('Test catalog'!$N$2:$N$200,MATCH($Y239,'Test catalog'!$A$2:$A$200,0))="","",INDEX('Test catalog'!$N$2:$N$200,MATCH($Y239,'Test catalog'!$A$2:$A$200,0))),"")</f>
        <v/>
      </c>
      <c r="Q239" s="11">
        <f>IFERROR(IF(INDEX('Test catalog'!$O$2:$O$200,MATCH($Y239,'Test catalog'!$A$2:$A$200,0))="","",INDEX('Test catalog'!$O$2:$O$200,MATCH($Y239,'Test catalog'!$A$2:$A$200,0))),"")</f>
        <v/>
      </c>
      <c r="R239" s="11">
        <f>IFERROR(IF(INDEX('Test catalog'!$P$2:$P$200,MATCH($Y239,'Test catalog'!$A$2:$A$200,0))="","",INDEX('Test catalog'!$P$2:$P$200,MATCH($Y239,'Test catalog'!$A$2:$A$200,0))),"")</f>
        <v/>
      </c>
      <c r="S239" s="14" t="n"/>
      <c r="T239" s="5" t="n"/>
      <c r="U239" s="11">
        <f>IFERROR(IF(INDEX('Test catalog'!$Q$2:$Q$200,MATCH($Y239,'Test catalog'!$A$2:$A$200,0))="","",INDEX('Test catalog'!$Q$2:$Q$200,MATCH($Y239,'Test catalog'!$A$2:$A$200,0))),"")</f>
        <v/>
      </c>
      <c r="V239" s="5" t="n"/>
      <c r="W239" s="5" t="n"/>
      <c r="X239" s="5" t="n"/>
      <c r="Y239" s="5" t="inlineStr">
        <is>
          <t>ENUM</t>
        </is>
      </c>
      <c r="Z239" s="11" t="inlineStr">
        <is>
          <t>No micro test in USP-NF - set Y if your specification has one</t>
        </is>
      </c>
    </row>
    <row r="240">
      <c r="A240" s="11" t="inlineStr">
        <is>
          <t>HPMC K100M (100,000 cps CR)</t>
        </is>
      </c>
      <c r="B240" s="11" t="inlineStr">
        <is>
          <t>RM</t>
        </is>
      </c>
      <c r="C240" s="11" t="inlineStr">
        <is>
          <t>Release / Matrix Polymer</t>
        </is>
      </c>
      <c r="D240" s="11" t="inlineStr">
        <is>
          <t>Microbial enumeration - TAMC + TYMC (&lt;61&gt; / &lt;2021&gt;)</t>
        </is>
      </c>
      <c r="E240" s="5" t="inlineStr">
        <is>
          <t>N</t>
        </is>
      </c>
      <c r="F240" s="5" t="n"/>
      <c r="G240" s="11">
        <f>IFERROR(IF(INDEX('Test catalog'!$F$2:$F$200,MATCH($Y240,'Test catalog'!$A$2:$A$200,0))="","",INDEX('Test catalog'!$F$2:$F$200,MATCH($Y240,'Test catalog'!$A$2:$A$200,0))),"")</f>
        <v/>
      </c>
      <c r="H240" s="11">
        <f>IFERROR(IF(INDEX('Test catalog'!$G$2:$G$200,MATCH($Y240,'Test catalog'!$A$2:$A$200,0))="","",INDEX('Test catalog'!$G$2:$G$200,MATCH($Y240,'Test catalog'!$A$2:$A$200,0))),"")</f>
        <v/>
      </c>
      <c r="I240" s="11">
        <f>IFERROR(IF(INDEX('Test catalog'!$H$2:$H$200,MATCH($Y240,'Test catalog'!$A$2:$A$200,0))="","",INDEX('Test catalog'!$H$2:$H$200,MATCH($Y240,'Test catalog'!$A$2:$A$200,0))),"")</f>
        <v/>
      </c>
      <c r="J240" s="11">
        <f>IFERROR(IF(INDEX('Test catalog'!$I$2:$I$200,MATCH($Y240,'Test catalog'!$A$2:$A$200,0))="","",INDEX('Test catalog'!$I$2:$I$200,MATCH($Y240,'Test catalog'!$A$2:$A$200,0))),"")</f>
        <v/>
      </c>
      <c r="K240" s="13">
        <f>IF(I240="","",IF(OR(H240="",J240=""),I240,(H240+4*I240+J240)/6))</f>
        <v/>
      </c>
      <c r="L240" s="11">
        <f>IFERROR(IF(INDEX('Test catalog'!$J$2:$J$200,MATCH($Y240,'Test catalog'!$A$2:$A$200,0))="","",INDEX('Test catalog'!$J$2:$J$200,MATCH($Y240,'Test catalog'!$A$2:$A$200,0))),"")</f>
        <v/>
      </c>
      <c r="M240" s="11">
        <f>IFERROR(IF(INDEX('Test catalog'!$K$2:$K$200,MATCH($Y240,'Test catalog'!$A$2:$A$200,0))="","",INDEX('Test catalog'!$K$2:$K$200,MATCH($Y240,'Test catalog'!$A$2:$A$200,0))),"")</f>
        <v/>
      </c>
      <c r="N240" s="11">
        <f>IFERROR(IF(INDEX('Test catalog'!$L$2:$L$200,MATCH($Y240,'Test catalog'!$A$2:$A$200,0))="","",INDEX('Test catalog'!$L$2:$L$200,MATCH($Y240,'Test catalog'!$A$2:$A$200,0))),"")</f>
        <v/>
      </c>
      <c r="O240" s="11">
        <f>IFERROR(IF(INDEX('Test catalog'!$M$2:$M$200,MATCH($Y240,'Test catalog'!$A$2:$A$200,0))="","",INDEX('Test catalog'!$M$2:$M$200,MATCH($Y240,'Test catalog'!$A$2:$A$200,0))),"")</f>
        <v/>
      </c>
      <c r="P240" s="11">
        <f>IFERROR(IF(INDEX('Test catalog'!$N$2:$N$200,MATCH($Y240,'Test catalog'!$A$2:$A$200,0))="","",INDEX('Test catalog'!$N$2:$N$200,MATCH($Y240,'Test catalog'!$A$2:$A$200,0))),"")</f>
        <v/>
      </c>
      <c r="Q240" s="11">
        <f>IFERROR(IF(INDEX('Test catalog'!$O$2:$O$200,MATCH($Y240,'Test catalog'!$A$2:$A$200,0))="","",INDEX('Test catalog'!$O$2:$O$200,MATCH($Y240,'Test catalog'!$A$2:$A$200,0))),"")</f>
        <v/>
      </c>
      <c r="R240" s="11">
        <f>IFERROR(IF(INDEX('Test catalog'!$P$2:$P$200,MATCH($Y240,'Test catalog'!$A$2:$A$200,0))="","",INDEX('Test catalog'!$P$2:$P$200,MATCH($Y240,'Test catalog'!$A$2:$A$200,0))),"")</f>
        <v/>
      </c>
      <c r="S240" s="14" t="n"/>
      <c r="T240" s="5" t="n"/>
      <c r="U240" s="11">
        <f>IFERROR(IF(INDEX('Test catalog'!$Q$2:$Q$200,MATCH($Y240,'Test catalog'!$A$2:$A$200,0))="","",INDEX('Test catalog'!$Q$2:$Q$200,MATCH($Y240,'Test catalog'!$A$2:$A$200,0))),"")</f>
        <v/>
      </c>
      <c r="V240" s="5" t="n"/>
      <c r="W240" s="5" t="n"/>
      <c r="X240" s="5" t="n"/>
      <c r="Y240" s="5" t="inlineStr">
        <is>
          <t>ENUM</t>
        </is>
      </c>
      <c r="Z240" s="11" t="inlineStr">
        <is>
          <t>No micro test in USP-NF - set Y if your specification has one</t>
        </is>
      </c>
    </row>
    <row r="241">
      <c r="A241" s="11" t="inlineStr">
        <is>
          <t>HPMC K15M (15,000 cps CR)</t>
        </is>
      </c>
      <c r="B241" s="11" t="inlineStr">
        <is>
          <t>RM</t>
        </is>
      </c>
      <c r="C241" s="11" t="inlineStr">
        <is>
          <t>Release / Matrix Polymer</t>
        </is>
      </c>
      <c r="D241" s="11" t="inlineStr">
        <is>
          <t>Microbial enumeration - TAMC + TYMC (&lt;61&gt; / &lt;2021&gt;)</t>
        </is>
      </c>
      <c r="E241" s="5" t="inlineStr">
        <is>
          <t>N</t>
        </is>
      </c>
      <c r="F241" s="5" t="n"/>
      <c r="G241" s="11">
        <f>IFERROR(IF(INDEX('Test catalog'!$F$2:$F$200,MATCH($Y241,'Test catalog'!$A$2:$A$200,0))="","",INDEX('Test catalog'!$F$2:$F$200,MATCH($Y241,'Test catalog'!$A$2:$A$200,0))),"")</f>
        <v/>
      </c>
      <c r="H241" s="11">
        <f>IFERROR(IF(INDEX('Test catalog'!$G$2:$G$200,MATCH($Y241,'Test catalog'!$A$2:$A$200,0))="","",INDEX('Test catalog'!$G$2:$G$200,MATCH($Y241,'Test catalog'!$A$2:$A$200,0))),"")</f>
        <v/>
      </c>
      <c r="I241" s="11">
        <f>IFERROR(IF(INDEX('Test catalog'!$H$2:$H$200,MATCH($Y241,'Test catalog'!$A$2:$A$200,0))="","",INDEX('Test catalog'!$H$2:$H$200,MATCH($Y241,'Test catalog'!$A$2:$A$200,0))),"")</f>
        <v/>
      </c>
      <c r="J241" s="11">
        <f>IFERROR(IF(INDEX('Test catalog'!$I$2:$I$200,MATCH($Y241,'Test catalog'!$A$2:$A$200,0))="","",INDEX('Test catalog'!$I$2:$I$200,MATCH($Y241,'Test catalog'!$A$2:$A$200,0))),"")</f>
        <v/>
      </c>
      <c r="K241" s="13">
        <f>IF(I241="","",IF(OR(H241="",J241=""),I241,(H241+4*I241+J241)/6))</f>
        <v/>
      </c>
      <c r="L241" s="11">
        <f>IFERROR(IF(INDEX('Test catalog'!$J$2:$J$200,MATCH($Y241,'Test catalog'!$A$2:$A$200,0))="","",INDEX('Test catalog'!$J$2:$J$200,MATCH($Y241,'Test catalog'!$A$2:$A$200,0))),"")</f>
        <v/>
      </c>
      <c r="M241" s="11">
        <f>IFERROR(IF(INDEX('Test catalog'!$K$2:$K$200,MATCH($Y241,'Test catalog'!$A$2:$A$200,0))="","",INDEX('Test catalog'!$K$2:$K$200,MATCH($Y241,'Test catalog'!$A$2:$A$200,0))),"")</f>
        <v/>
      </c>
      <c r="N241" s="11">
        <f>IFERROR(IF(INDEX('Test catalog'!$L$2:$L$200,MATCH($Y241,'Test catalog'!$A$2:$A$200,0))="","",INDEX('Test catalog'!$L$2:$L$200,MATCH($Y241,'Test catalog'!$A$2:$A$200,0))),"")</f>
        <v/>
      </c>
      <c r="O241" s="11">
        <f>IFERROR(IF(INDEX('Test catalog'!$M$2:$M$200,MATCH($Y241,'Test catalog'!$A$2:$A$200,0))="","",INDEX('Test catalog'!$M$2:$M$200,MATCH($Y241,'Test catalog'!$A$2:$A$200,0))),"")</f>
        <v/>
      </c>
      <c r="P241" s="11">
        <f>IFERROR(IF(INDEX('Test catalog'!$N$2:$N$200,MATCH($Y241,'Test catalog'!$A$2:$A$200,0))="","",INDEX('Test catalog'!$N$2:$N$200,MATCH($Y241,'Test catalog'!$A$2:$A$200,0))),"")</f>
        <v/>
      </c>
      <c r="Q241" s="11">
        <f>IFERROR(IF(INDEX('Test catalog'!$O$2:$O$200,MATCH($Y241,'Test catalog'!$A$2:$A$200,0))="","",INDEX('Test catalog'!$O$2:$O$200,MATCH($Y241,'Test catalog'!$A$2:$A$200,0))),"")</f>
        <v/>
      </c>
      <c r="R241" s="11">
        <f>IFERROR(IF(INDEX('Test catalog'!$P$2:$P$200,MATCH($Y241,'Test catalog'!$A$2:$A$200,0))="","",INDEX('Test catalog'!$P$2:$P$200,MATCH($Y241,'Test catalog'!$A$2:$A$200,0))),"")</f>
        <v/>
      </c>
      <c r="S241" s="14" t="n"/>
      <c r="T241" s="5" t="n"/>
      <c r="U241" s="11">
        <f>IFERROR(IF(INDEX('Test catalog'!$Q$2:$Q$200,MATCH($Y241,'Test catalog'!$A$2:$A$200,0))="","",INDEX('Test catalog'!$Q$2:$Q$200,MATCH($Y241,'Test catalog'!$A$2:$A$200,0))),"")</f>
        <v/>
      </c>
      <c r="V241" s="5" t="n"/>
      <c r="W241" s="5" t="n"/>
      <c r="X241" s="5" t="n"/>
      <c r="Y241" s="5" t="inlineStr">
        <is>
          <t>ENUM</t>
        </is>
      </c>
      <c r="Z241" s="11" t="inlineStr">
        <is>
          <t>No micro test in USP-NF - set Y if your specification has one</t>
        </is>
      </c>
    </row>
    <row r="242">
      <c r="A242" s="11" t="inlineStr">
        <is>
          <t>HPMC K4M</t>
        </is>
      </c>
      <c r="B242" s="11" t="inlineStr">
        <is>
          <t>RM</t>
        </is>
      </c>
      <c r="C242" s="11" t="inlineStr">
        <is>
          <t>Release / Matrix Polymer</t>
        </is>
      </c>
      <c r="D242" s="11" t="inlineStr">
        <is>
          <t>Microbial enumeration - TAMC + TYMC (&lt;61&gt; / &lt;2021&gt;)</t>
        </is>
      </c>
      <c r="E242" s="5" t="inlineStr">
        <is>
          <t>N</t>
        </is>
      </c>
      <c r="F242" s="5" t="n"/>
      <c r="G242" s="11">
        <f>IFERROR(IF(INDEX('Test catalog'!$F$2:$F$200,MATCH($Y242,'Test catalog'!$A$2:$A$200,0))="","",INDEX('Test catalog'!$F$2:$F$200,MATCH($Y242,'Test catalog'!$A$2:$A$200,0))),"")</f>
        <v/>
      </c>
      <c r="H242" s="11">
        <f>IFERROR(IF(INDEX('Test catalog'!$G$2:$G$200,MATCH($Y242,'Test catalog'!$A$2:$A$200,0))="","",INDEX('Test catalog'!$G$2:$G$200,MATCH($Y242,'Test catalog'!$A$2:$A$200,0))),"")</f>
        <v/>
      </c>
      <c r="I242" s="11">
        <f>IFERROR(IF(INDEX('Test catalog'!$H$2:$H$200,MATCH($Y242,'Test catalog'!$A$2:$A$200,0))="","",INDEX('Test catalog'!$H$2:$H$200,MATCH($Y242,'Test catalog'!$A$2:$A$200,0))),"")</f>
        <v/>
      </c>
      <c r="J242" s="11">
        <f>IFERROR(IF(INDEX('Test catalog'!$I$2:$I$200,MATCH($Y242,'Test catalog'!$A$2:$A$200,0))="","",INDEX('Test catalog'!$I$2:$I$200,MATCH($Y242,'Test catalog'!$A$2:$A$200,0))),"")</f>
        <v/>
      </c>
      <c r="K242" s="13">
        <f>IF(I242="","",IF(OR(H242="",J242=""),I242,(H242+4*I242+J242)/6))</f>
        <v/>
      </c>
      <c r="L242" s="11">
        <f>IFERROR(IF(INDEX('Test catalog'!$J$2:$J$200,MATCH($Y242,'Test catalog'!$A$2:$A$200,0))="","",INDEX('Test catalog'!$J$2:$J$200,MATCH($Y242,'Test catalog'!$A$2:$A$200,0))),"")</f>
        <v/>
      </c>
      <c r="M242" s="11">
        <f>IFERROR(IF(INDEX('Test catalog'!$K$2:$K$200,MATCH($Y242,'Test catalog'!$A$2:$A$200,0))="","",INDEX('Test catalog'!$K$2:$K$200,MATCH($Y242,'Test catalog'!$A$2:$A$200,0))),"")</f>
        <v/>
      </c>
      <c r="N242" s="11">
        <f>IFERROR(IF(INDEX('Test catalog'!$L$2:$L$200,MATCH($Y242,'Test catalog'!$A$2:$A$200,0))="","",INDEX('Test catalog'!$L$2:$L$200,MATCH($Y242,'Test catalog'!$A$2:$A$200,0))),"")</f>
        <v/>
      </c>
      <c r="O242" s="11">
        <f>IFERROR(IF(INDEX('Test catalog'!$M$2:$M$200,MATCH($Y242,'Test catalog'!$A$2:$A$200,0))="","",INDEX('Test catalog'!$M$2:$M$200,MATCH($Y242,'Test catalog'!$A$2:$A$200,0))),"")</f>
        <v/>
      </c>
      <c r="P242" s="11">
        <f>IFERROR(IF(INDEX('Test catalog'!$N$2:$N$200,MATCH($Y242,'Test catalog'!$A$2:$A$200,0))="","",INDEX('Test catalog'!$N$2:$N$200,MATCH($Y242,'Test catalog'!$A$2:$A$200,0))),"")</f>
        <v/>
      </c>
      <c r="Q242" s="11">
        <f>IFERROR(IF(INDEX('Test catalog'!$O$2:$O$200,MATCH($Y242,'Test catalog'!$A$2:$A$200,0))="","",INDEX('Test catalog'!$O$2:$O$200,MATCH($Y242,'Test catalog'!$A$2:$A$200,0))),"")</f>
        <v/>
      </c>
      <c r="R242" s="11">
        <f>IFERROR(IF(INDEX('Test catalog'!$P$2:$P$200,MATCH($Y242,'Test catalog'!$A$2:$A$200,0))="","",INDEX('Test catalog'!$P$2:$P$200,MATCH($Y242,'Test catalog'!$A$2:$A$200,0))),"")</f>
        <v/>
      </c>
      <c r="S242" s="14" t="n"/>
      <c r="T242" s="5" t="n"/>
      <c r="U242" s="11">
        <f>IFERROR(IF(INDEX('Test catalog'!$Q$2:$Q$200,MATCH($Y242,'Test catalog'!$A$2:$A$200,0))="","",INDEX('Test catalog'!$Q$2:$Q$200,MATCH($Y242,'Test catalog'!$A$2:$A$200,0))),"")</f>
        <v/>
      </c>
      <c r="V242" s="5" t="n"/>
      <c r="W242" s="5" t="n"/>
      <c r="X242" s="5" t="n"/>
      <c r="Y242" s="5" t="inlineStr">
        <is>
          <t>ENUM</t>
        </is>
      </c>
      <c r="Z242" s="11" t="inlineStr">
        <is>
          <t>No micro test in USP-NF - set Y if your specification has one</t>
        </is>
      </c>
    </row>
    <row r="243">
      <c r="A243" s="11" t="inlineStr">
        <is>
          <t>Methacrylic Acid Copolymer (Eudragit L100-55)</t>
        </is>
      </c>
      <c r="B243" s="11" t="inlineStr">
        <is>
          <t>RM</t>
        </is>
      </c>
      <c r="C243" s="11" t="inlineStr">
        <is>
          <t>Release / Matrix Polymer</t>
        </is>
      </c>
      <c r="D243" s="11" t="inlineStr">
        <is>
          <t>Microbial enumeration - TAMC + TYMC (&lt;61&gt; / &lt;2021&gt;)</t>
        </is>
      </c>
      <c r="E243" s="5" t="inlineStr">
        <is>
          <t>N</t>
        </is>
      </c>
      <c r="F243" s="5" t="n"/>
      <c r="G243" s="11">
        <f>IFERROR(IF(INDEX('Test catalog'!$F$2:$F$200,MATCH($Y243,'Test catalog'!$A$2:$A$200,0))="","",INDEX('Test catalog'!$F$2:$F$200,MATCH($Y243,'Test catalog'!$A$2:$A$200,0))),"")</f>
        <v/>
      </c>
      <c r="H243" s="11">
        <f>IFERROR(IF(INDEX('Test catalog'!$G$2:$G$200,MATCH($Y243,'Test catalog'!$A$2:$A$200,0))="","",INDEX('Test catalog'!$G$2:$G$200,MATCH($Y243,'Test catalog'!$A$2:$A$200,0))),"")</f>
        <v/>
      </c>
      <c r="I243" s="11">
        <f>IFERROR(IF(INDEX('Test catalog'!$H$2:$H$200,MATCH($Y243,'Test catalog'!$A$2:$A$200,0))="","",INDEX('Test catalog'!$H$2:$H$200,MATCH($Y243,'Test catalog'!$A$2:$A$200,0))),"")</f>
        <v/>
      </c>
      <c r="J243" s="11">
        <f>IFERROR(IF(INDEX('Test catalog'!$I$2:$I$200,MATCH($Y243,'Test catalog'!$A$2:$A$200,0))="","",INDEX('Test catalog'!$I$2:$I$200,MATCH($Y243,'Test catalog'!$A$2:$A$200,0))),"")</f>
        <v/>
      </c>
      <c r="K243" s="13">
        <f>IF(I243="","",IF(OR(H243="",J243=""),I243,(H243+4*I243+J243)/6))</f>
        <v/>
      </c>
      <c r="L243" s="11">
        <f>IFERROR(IF(INDEX('Test catalog'!$J$2:$J$200,MATCH($Y243,'Test catalog'!$A$2:$A$200,0))="","",INDEX('Test catalog'!$J$2:$J$200,MATCH($Y243,'Test catalog'!$A$2:$A$200,0))),"")</f>
        <v/>
      </c>
      <c r="M243" s="11">
        <f>IFERROR(IF(INDEX('Test catalog'!$K$2:$K$200,MATCH($Y243,'Test catalog'!$A$2:$A$200,0))="","",INDEX('Test catalog'!$K$2:$K$200,MATCH($Y243,'Test catalog'!$A$2:$A$200,0))),"")</f>
        <v/>
      </c>
      <c r="N243" s="11">
        <f>IFERROR(IF(INDEX('Test catalog'!$L$2:$L$200,MATCH($Y243,'Test catalog'!$A$2:$A$200,0))="","",INDEX('Test catalog'!$L$2:$L$200,MATCH($Y243,'Test catalog'!$A$2:$A$200,0))),"")</f>
        <v/>
      </c>
      <c r="O243" s="11">
        <f>IFERROR(IF(INDEX('Test catalog'!$M$2:$M$200,MATCH($Y243,'Test catalog'!$A$2:$A$200,0))="","",INDEX('Test catalog'!$M$2:$M$200,MATCH($Y243,'Test catalog'!$A$2:$A$200,0))),"")</f>
        <v/>
      </c>
      <c r="P243" s="11">
        <f>IFERROR(IF(INDEX('Test catalog'!$N$2:$N$200,MATCH($Y243,'Test catalog'!$A$2:$A$200,0))="","",INDEX('Test catalog'!$N$2:$N$200,MATCH($Y243,'Test catalog'!$A$2:$A$200,0))),"")</f>
        <v/>
      </c>
      <c r="Q243" s="11">
        <f>IFERROR(IF(INDEX('Test catalog'!$O$2:$O$200,MATCH($Y243,'Test catalog'!$A$2:$A$200,0))="","",INDEX('Test catalog'!$O$2:$O$200,MATCH($Y243,'Test catalog'!$A$2:$A$200,0))),"")</f>
        <v/>
      </c>
      <c r="R243" s="11">
        <f>IFERROR(IF(INDEX('Test catalog'!$P$2:$P$200,MATCH($Y243,'Test catalog'!$A$2:$A$200,0))="","",INDEX('Test catalog'!$P$2:$P$200,MATCH($Y243,'Test catalog'!$A$2:$A$200,0))),"")</f>
        <v/>
      </c>
      <c r="S243" s="14" t="n"/>
      <c r="T243" s="5" t="n"/>
      <c r="U243" s="11">
        <f>IFERROR(IF(INDEX('Test catalog'!$Q$2:$Q$200,MATCH($Y243,'Test catalog'!$A$2:$A$200,0))="","",INDEX('Test catalog'!$Q$2:$Q$200,MATCH($Y243,'Test catalog'!$A$2:$A$200,0))),"")</f>
        <v/>
      </c>
      <c r="V243" s="5" t="n"/>
      <c r="W243" s="5" t="n"/>
      <c r="X243" s="5" t="n"/>
      <c r="Y243" s="5" t="inlineStr">
        <is>
          <t>ENUM</t>
        </is>
      </c>
      <c r="Z243" s="11" t="inlineStr">
        <is>
          <t>No micro test in USP-NF - set Y if your specification has one</t>
        </is>
      </c>
    </row>
    <row r="244">
      <c r="A244" s="11" t="inlineStr">
        <is>
          <t>Deionized Water</t>
        </is>
      </c>
      <c r="B244" s="11" t="inlineStr">
        <is>
          <t>RM</t>
        </is>
      </c>
      <c r="C244" s="11" t="inlineStr">
        <is>
          <t>Solvent</t>
        </is>
      </c>
      <c r="D244" s="11" t="inlineStr">
        <is>
          <t>Microbial enumeration - TAMC + TYMC (&lt;61&gt; / &lt;2021&gt;)</t>
        </is>
      </c>
      <c r="E244" s="5" t="inlineStr">
        <is>
          <t>N</t>
        </is>
      </c>
      <c r="F244" s="5" t="n"/>
      <c r="G244" s="11">
        <f>IFERROR(IF(INDEX('Test catalog'!$F$2:$F$200,MATCH($Y244,'Test catalog'!$A$2:$A$200,0))="","",INDEX('Test catalog'!$F$2:$F$200,MATCH($Y244,'Test catalog'!$A$2:$A$200,0))),"")</f>
        <v/>
      </c>
      <c r="H244" s="11">
        <f>IFERROR(IF(INDEX('Test catalog'!$G$2:$G$200,MATCH($Y244,'Test catalog'!$A$2:$A$200,0))="","",INDEX('Test catalog'!$G$2:$G$200,MATCH($Y244,'Test catalog'!$A$2:$A$200,0))),"")</f>
        <v/>
      </c>
      <c r="I244" s="11">
        <f>IFERROR(IF(INDEX('Test catalog'!$H$2:$H$200,MATCH($Y244,'Test catalog'!$A$2:$A$200,0))="","",INDEX('Test catalog'!$H$2:$H$200,MATCH($Y244,'Test catalog'!$A$2:$A$200,0))),"")</f>
        <v/>
      </c>
      <c r="J244" s="11">
        <f>IFERROR(IF(INDEX('Test catalog'!$I$2:$I$200,MATCH($Y244,'Test catalog'!$A$2:$A$200,0))="","",INDEX('Test catalog'!$I$2:$I$200,MATCH($Y244,'Test catalog'!$A$2:$A$200,0))),"")</f>
        <v/>
      </c>
      <c r="K244" s="13">
        <f>IF(I244="","",IF(OR(H244="",J244=""),I244,(H244+4*I244+J244)/6))</f>
        <v/>
      </c>
      <c r="L244" s="11">
        <f>IFERROR(IF(INDEX('Test catalog'!$J$2:$J$200,MATCH($Y244,'Test catalog'!$A$2:$A$200,0))="","",INDEX('Test catalog'!$J$2:$J$200,MATCH($Y244,'Test catalog'!$A$2:$A$200,0))),"")</f>
        <v/>
      </c>
      <c r="M244" s="11">
        <f>IFERROR(IF(INDEX('Test catalog'!$K$2:$K$200,MATCH($Y244,'Test catalog'!$A$2:$A$200,0))="","",INDEX('Test catalog'!$K$2:$K$200,MATCH($Y244,'Test catalog'!$A$2:$A$200,0))),"")</f>
        <v/>
      </c>
      <c r="N244" s="11">
        <f>IFERROR(IF(INDEX('Test catalog'!$L$2:$L$200,MATCH($Y244,'Test catalog'!$A$2:$A$200,0))="","",INDEX('Test catalog'!$L$2:$L$200,MATCH($Y244,'Test catalog'!$A$2:$A$200,0))),"")</f>
        <v/>
      </c>
      <c r="O244" s="11">
        <f>IFERROR(IF(INDEX('Test catalog'!$M$2:$M$200,MATCH($Y244,'Test catalog'!$A$2:$A$200,0))="","",INDEX('Test catalog'!$M$2:$M$200,MATCH($Y244,'Test catalog'!$A$2:$A$200,0))),"")</f>
        <v/>
      </c>
      <c r="P244" s="11">
        <f>IFERROR(IF(INDEX('Test catalog'!$N$2:$N$200,MATCH($Y244,'Test catalog'!$A$2:$A$200,0))="","",INDEX('Test catalog'!$N$2:$N$200,MATCH($Y244,'Test catalog'!$A$2:$A$200,0))),"")</f>
        <v/>
      </c>
      <c r="Q244" s="11">
        <f>IFERROR(IF(INDEX('Test catalog'!$O$2:$O$200,MATCH($Y244,'Test catalog'!$A$2:$A$200,0))="","",INDEX('Test catalog'!$O$2:$O$200,MATCH($Y244,'Test catalog'!$A$2:$A$200,0))),"")</f>
        <v/>
      </c>
      <c r="R244" s="11">
        <f>IFERROR(IF(INDEX('Test catalog'!$P$2:$P$200,MATCH($Y244,'Test catalog'!$A$2:$A$200,0))="","",INDEX('Test catalog'!$P$2:$P$200,MATCH($Y244,'Test catalog'!$A$2:$A$200,0))),"")</f>
        <v/>
      </c>
      <c r="S244" s="14" t="n"/>
      <c r="T244" s="5" t="n"/>
      <c r="U244" s="11">
        <f>IFERROR(IF(INDEX('Test catalog'!$Q$2:$Q$200,MATCH($Y244,'Test catalog'!$A$2:$A$200,0))="","",INDEX('Test catalog'!$Q$2:$Q$200,MATCH($Y244,'Test catalog'!$A$2:$A$200,0))),"")</f>
        <v/>
      </c>
      <c r="V244" s="5" t="n"/>
      <c r="W244" s="5" t="n"/>
      <c r="X244" s="5" t="n"/>
      <c r="Y244" s="5" t="inlineStr">
        <is>
          <t>ENUM</t>
        </is>
      </c>
      <c r="Z244" s="11" t="inlineStr">
        <is>
          <t>No micro test in USP-NF - set Y if your specification has one</t>
        </is>
      </c>
    </row>
    <row r="245">
      <c r="A245" s="11" t="inlineStr">
        <is>
          <t>Ethanol (% not stated)</t>
        </is>
      </c>
      <c r="B245" s="11" t="inlineStr">
        <is>
          <t>RM</t>
        </is>
      </c>
      <c r="C245" s="11" t="inlineStr">
        <is>
          <t>Solvent</t>
        </is>
      </c>
      <c r="D245" s="11" t="inlineStr">
        <is>
          <t>Microbial enumeration - TAMC + TYMC (&lt;61&gt; / &lt;2021&gt;)</t>
        </is>
      </c>
      <c r="E245" s="5" t="inlineStr">
        <is>
          <t>N</t>
        </is>
      </c>
      <c r="F245" s="5" t="n"/>
      <c r="G245" s="11">
        <f>IFERROR(IF(INDEX('Test catalog'!$F$2:$F$200,MATCH($Y245,'Test catalog'!$A$2:$A$200,0))="","",INDEX('Test catalog'!$F$2:$F$200,MATCH($Y245,'Test catalog'!$A$2:$A$200,0))),"")</f>
        <v/>
      </c>
      <c r="H245" s="11">
        <f>IFERROR(IF(INDEX('Test catalog'!$G$2:$G$200,MATCH($Y245,'Test catalog'!$A$2:$A$200,0))="","",INDEX('Test catalog'!$G$2:$G$200,MATCH($Y245,'Test catalog'!$A$2:$A$200,0))),"")</f>
        <v/>
      </c>
      <c r="I245" s="11">
        <f>IFERROR(IF(INDEX('Test catalog'!$H$2:$H$200,MATCH($Y245,'Test catalog'!$A$2:$A$200,0))="","",INDEX('Test catalog'!$H$2:$H$200,MATCH($Y245,'Test catalog'!$A$2:$A$200,0))),"")</f>
        <v/>
      </c>
      <c r="J245" s="11">
        <f>IFERROR(IF(INDEX('Test catalog'!$I$2:$I$200,MATCH($Y245,'Test catalog'!$A$2:$A$200,0))="","",INDEX('Test catalog'!$I$2:$I$200,MATCH($Y245,'Test catalog'!$A$2:$A$200,0))),"")</f>
        <v/>
      </c>
      <c r="K245" s="13">
        <f>IF(I245="","",IF(OR(H245="",J245=""),I245,(H245+4*I245+J245)/6))</f>
        <v/>
      </c>
      <c r="L245" s="11">
        <f>IFERROR(IF(INDEX('Test catalog'!$J$2:$J$200,MATCH($Y245,'Test catalog'!$A$2:$A$200,0))="","",INDEX('Test catalog'!$J$2:$J$200,MATCH($Y245,'Test catalog'!$A$2:$A$200,0))),"")</f>
        <v/>
      </c>
      <c r="M245" s="11">
        <f>IFERROR(IF(INDEX('Test catalog'!$K$2:$K$200,MATCH($Y245,'Test catalog'!$A$2:$A$200,0))="","",INDEX('Test catalog'!$K$2:$K$200,MATCH($Y245,'Test catalog'!$A$2:$A$200,0))),"")</f>
        <v/>
      </c>
      <c r="N245" s="11">
        <f>IFERROR(IF(INDEX('Test catalog'!$L$2:$L$200,MATCH($Y245,'Test catalog'!$A$2:$A$200,0))="","",INDEX('Test catalog'!$L$2:$L$200,MATCH($Y245,'Test catalog'!$A$2:$A$200,0))),"")</f>
        <v/>
      </c>
      <c r="O245" s="11">
        <f>IFERROR(IF(INDEX('Test catalog'!$M$2:$M$200,MATCH($Y245,'Test catalog'!$A$2:$A$200,0))="","",INDEX('Test catalog'!$M$2:$M$200,MATCH($Y245,'Test catalog'!$A$2:$A$200,0))),"")</f>
        <v/>
      </c>
      <c r="P245" s="11">
        <f>IFERROR(IF(INDEX('Test catalog'!$N$2:$N$200,MATCH($Y245,'Test catalog'!$A$2:$A$200,0))="","",INDEX('Test catalog'!$N$2:$N$200,MATCH($Y245,'Test catalog'!$A$2:$A$200,0))),"")</f>
        <v/>
      </c>
      <c r="Q245" s="11">
        <f>IFERROR(IF(INDEX('Test catalog'!$O$2:$O$200,MATCH($Y245,'Test catalog'!$A$2:$A$200,0))="","",INDEX('Test catalog'!$O$2:$O$200,MATCH($Y245,'Test catalog'!$A$2:$A$200,0))),"")</f>
        <v/>
      </c>
      <c r="R245" s="11">
        <f>IFERROR(IF(INDEX('Test catalog'!$P$2:$P$200,MATCH($Y245,'Test catalog'!$A$2:$A$200,0))="","",INDEX('Test catalog'!$P$2:$P$200,MATCH($Y245,'Test catalog'!$A$2:$A$200,0))),"")</f>
        <v/>
      </c>
      <c r="S245" s="14" t="n"/>
      <c r="T245" s="5" t="n"/>
      <c r="U245" s="11">
        <f>IFERROR(IF(INDEX('Test catalog'!$Q$2:$Q$200,MATCH($Y245,'Test catalog'!$A$2:$A$200,0))="","",INDEX('Test catalog'!$Q$2:$Q$200,MATCH($Y245,'Test catalog'!$A$2:$A$200,0))),"")</f>
        <v/>
      </c>
      <c r="V245" s="5" t="n"/>
      <c r="W245" s="5" t="n"/>
      <c r="X245" s="5" t="n"/>
      <c r="Y245" s="5" t="inlineStr">
        <is>
          <t>ENUM</t>
        </is>
      </c>
      <c r="Z245" s="11" t="inlineStr">
        <is>
          <t>No micro test in USP-NF - set Y if your specification has one</t>
        </is>
      </c>
    </row>
    <row r="246">
      <c r="A246" s="11" t="inlineStr">
        <is>
          <t>Ethanol 96%</t>
        </is>
      </c>
      <c r="B246" s="11" t="inlineStr">
        <is>
          <t>RM</t>
        </is>
      </c>
      <c r="C246" s="11" t="inlineStr">
        <is>
          <t>Solvent</t>
        </is>
      </c>
      <c r="D246" s="11" t="inlineStr">
        <is>
          <t>Microbial enumeration - TAMC + TYMC (&lt;61&gt; / &lt;2021&gt;)</t>
        </is>
      </c>
      <c r="E246" s="5" t="inlineStr">
        <is>
          <t>N</t>
        </is>
      </c>
      <c r="F246" s="5" t="n"/>
      <c r="G246" s="11">
        <f>IFERROR(IF(INDEX('Test catalog'!$F$2:$F$200,MATCH($Y246,'Test catalog'!$A$2:$A$200,0))="","",INDEX('Test catalog'!$F$2:$F$200,MATCH($Y246,'Test catalog'!$A$2:$A$200,0))),"")</f>
        <v/>
      </c>
      <c r="H246" s="11">
        <f>IFERROR(IF(INDEX('Test catalog'!$G$2:$G$200,MATCH($Y246,'Test catalog'!$A$2:$A$200,0))="","",INDEX('Test catalog'!$G$2:$G$200,MATCH($Y246,'Test catalog'!$A$2:$A$200,0))),"")</f>
        <v/>
      </c>
      <c r="I246" s="11">
        <f>IFERROR(IF(INDEX('Test catalog'!$H$2:$H$200,MATCH($Y246,'Test catalog'!$A$2:$A$200,0))="","",INDEX('Test catalog'!$H$2:$H$200,MATCH($Y246,'Test catalog'!$A$2:$A$200,0))),"")</f>
        <v/>
      </c>
      <c r="J246" s="11">
        <f>IFERROR(IF(INDEX('Test catalog'!$I$2:$I$200,MATCH($Y246,'Test catalog'!$A$2:$A$200,0))="","",INDEX('Test catalog'!$I$2:$I$200,MATCH($Y246,'Test catalog'!$A$2:$A$200,0))),"")</f>
        <v/>
      </c>
      <c r="K246" s="13">
        <f>IF(I246="","",IF(OR(H246="",J246=""),I246,(H246+4*I246+J246)/6))</f>
        <v/>
      </c>
      <c r="L246" s="11">
        <f>IFERROR(IF(INDEX('Test catalog'!$J$2:$J$200,MATCH($Y246,'Test catalog'!$A$2:$A$200,0))="","",INDEX('Test catalog'!$J$2:$J$200,MATCH($Y246,'Test catalog'!$A$2:$A$200,0))),"")</f>
        <v/>
      </c>
      <c r="M246" s="11">
        <f>IFERROR(IF(INDEX('Test catalog'!$K$2:$K$200,MATCH($Y246,'Test catalog'!$A$2:$A$200,0))="","",INDEX('Test catalog'!$K$2:$K$200,MATCH($Y246,'Test catalog'!$A$2:$A$200,0))),"")</f>
        <v/>
      </c>
      <c r="N246" s="11">
        <f>IFERROR(IF(INDEX('Test catalog'!$L$2:$L$200,MATCH($Y246,'Test catalog'!$A$2:$A$200,0))="","",INDEX('Test catalog'!$L$2:$L$200,MATCH($Y246,'Test catalog'!$A$2:$A$200,0))),"")</f>
        <v/>
      </c>
      <c r="O246" s="11">
        <f>IFERROR(IF(INDEX('Test catalog'!$M$2:$M$200,MATCH($Y246,'Test catalog'!$A$2:$A$200,0))="","",INDEX('Test catalog'!$M$2:$M$200,MATCH($Y246,'Test catalog'!$A$2:$A$200,0))),"")</f>
        <v/>
      </c>
      <c r="P246" s="11">
        <f>IFERROR(IF(INDEX('Test catalog'!$N$2:$N$200,MATCH($Y246,'Test catalog'!$A$2:$A$200,0))="","",INDEX('Test catalog'!$N$2:$N$200,MATCH($Y246,'Test catalog'!$A$2:$A$200,0))),"")</f>
        <v/>
      </c>
      <c r="Q246" s="11">
        <f>IFERROR(IF(INDEX('Test catalog'!$O$2:$O$200,MATCH($Y246,'Test catalog'!$A$2:$A$200,0))="","",INDEX('Test catalog'!$O$2:$O$200,MATCH($Y246,'Test catalog'!$A$2:$A$200,0))),"")</f>
        <v/>
      </c>
      <c r="R246" s="11">
        <f>IFERROR(IF(INDEX('Test catalog'!$P$2:$P$200,MATCH($Y246,'Test catalog'!$A$2:$A$200,0))="","",INDEX('Test catalog'!$P$2:$P$200,MATCH($Y246,'Test catalog'!$A$2:$A$200,0))),"")</f>
        <v/>
      </c>
      <c r="S246" s="14" t="n"/>
      <c r="T246" s="5" t="n"/>
      <c r="U246" s="11">
        <f>IFERROR(IF(INDEX('Test catalog'!$Q$2:$Q$200,MATCH($Y246,'Test catalog'!$A$2:$A$200,0))="","",INDEX('Test catalog'!$Q$2:$Q$200,MATCH($Y246,'Test catalog'!$A$2:$A$200,0))),"")</f>
        <v/>
      </c>
      <c r="V246" s="5" t="n"/>
      <c r="W246" s="5" t="n"/>
      <c r="X246" s="5" t="n"/>
      <c r="Y246" s="5" t="inlineStr">
        <is>
          <t>ENUM</t>
        </is>
      </c>
      <c r="Z246" s="11" t="inlineStr">
        <is>
          <t>No micro test in USP-NF - set Y if your specification has one</t>
        </is>
      </c>
    </row>
    <row r="247">
      <c r="A247" s="11" t="inlineStr">
        <is>
          <t>Isopropyl Alcohol</t>
        </is>
      </c>
      <c r="B247" s="11" t="inlineStr">
        <is>
          <t>RM</t>
        </is>
      </c>
      <c r="C247" s="11" t="inlineStr">
        <is>
          <t>Solvent</t>
        </is>
      </c>
      <c r="D247" s="11" t="inlineStr">
        <is>
          <t>Microbial enumeration - TAMC + TYMC (&lt;61&gt; / &lt;2021&gt;)</t>
        </is>
      </c>
      <c r="E247" s="5" t="inlineStr">
        <is>
          <t>N</t>
        </is>
      </c>
      <c r="F247" s="5" t="n"/>
      <c r="G247" s="11">
        <f>IFERROR(IF(INDEX('Test catalog'!$F$2:$F$200,MATCH($Y247,'Test catalog'!$A$2:$A$200,0))="","",INDEX('Test catalog'!$F$2:$F$200,MATCH($Y247,'Test catalog'!$A$2:$A$200,0))),"")</f>
        <v/>
      </c>
      <c r="H247" s="11">
        <f>IFERROR(IF(INDEX('Test catalog'!$G$2:$G$200,MATCH($Y247,'Test catalog'!$A$2:$A$200,0))="","",INDEX('Test catalog'!$G$2:$G$200,MATCH($Y247,'Test catalog'!$A$2:$A$200,0))),"")</f>
        <v/>
      </c>
      <c r="I247" s="11">
        <f>IFERROR(IF(INDEX('Test catalog'!$H$2:$H$200,MATCH($Y247,'Test catalog'!$A$2:$A$200,0))="","",INDEX('Test catalog'!$H$2:$H$200,MATCH($Y247,'Test catalog'!$A$2:$A$200,0))),"")</f>
        <v/>
      </c>
      <c r="J247" s="11">
        <f>IFERROR(IF(INDEX('Test catalog'!$I$2:$I$200,MATCH($Y247,'Test catalog'!$A$2:$A$200,0))="","",INDEX('Test catalog'!$I$2:$I$200,MATCH($Y247,'Test catalog'!$A$2:$A$200,0))),"")</f>
        <v/>
      </c>
      <c r="K247" s="13">
        <f>IF(I247="","",IF(OR(H247="",J247=""),I247,(H247+4*I247+J247)/6))</f>
        <v/>
      </c>
      <c r="L247" s="11">
        <f>IFERROR(IF(INDEX('Test catalog'!$J$2:$J$200,MATCH($Y247,'Test catalog'!$A$2:$A$200,0))="","",INDEX('Test catalog'!$J$2:$J$200,MATCH($Y247,'Test catalog'!$A$2:$A$200,0))),"")</f>
        <v/>
      </c>
      <c r="M247" s="11">
        <f>IFERROR(IF(INDEX('Test catalog'!$K$2:$K$200,MATCH($Y247,'Test catalog'!$A$2:$A$200,0))="","",INDEX('Test catalog'!$K$2:$K$200,MATCH($Y247,'Test catalog'!$A$2:$A$200,0))),"")</f>
        <v/>
      </c>
      <c r="N247" s="11">
        <f>IFERROR(IF(INDEX('Test catalog'!$L$2:$L$200,MATCH($Y247,'Test catalog'!$A$2:$A$200,0))="","",INDEX('Test catalog'!$L$2:$L$200,MATCH($Y247,'Test catalog'!$A$2:$A$200,0))),"")</f>
        <v/>
      </c>
      <c r="O247" s="11">
        <f>IFERROR(IF(INDEX('Test catalog'!$M$2:$M$200,MATCH($Y247,'Test catalog'!$A$2:$A$200,0))="","",INDEX('Test catalog'!$M$2:$M$200,MATCH($Y247,'Test catalog'!$A$2:$A$200,0))),"")</f>
        <v/>
      </c>
      <c r="P247" s="11">
        <f>IFERROR(IF(INDEX('Test catalog'!$N$2:$N$200,MATCH($Y247,'Test catalog'!$A$2:$A$200,0))="","",INDEX('Test catalog'!$N$2:$N$200,MATCH($Y247,'Test catalog'!$A$2:$A$200,0))),"")</f>
        <v/>
      </c>
      <c r="Q247" s="11">
        <f>IFERROR(IF(INDEX('Test catalog'!$O$2:$O$200,MATCH($Y247,'Test catalog'!$A$2:$A$200,0))="","",INDEX('Test catalog'!$O$2:$O$200,MATCH($Y247,'Test catalog'!$A$2:$A$200,0))),"")</f>
        <v/>
      </c>
      <c r="R247" s="11">
        <f>IFERROR(IF(INDEX('Test catalog'!$P$2:$P$200,MATCH($Y247,'Test catalog'!$A$2:$A$200,0))="","",INDEX('Test catalog'!$P$2:$P$200,MATCH($Y247,'Test catalog'!$A$2:$A$200,0))),"")</f>
        <v/>
      </c>
      <c r="S247" s="14" t="n"/>
      <c r="T247" s="5" t="n"/>
      <c r="U247" s="11">
        <f>IFERROR(IF(INDEX('Test catalog'!$Q$2:$Q$200,MATCH($Y247,'Test catalog'!$A$2:$A$200,0))="","",INDEX('Test catalog'!$Q$2:$Q$200,MATCH($Y247,'Test catalog'!$A$2:$A$200,0))),"")</f>
        <v/>
      </c>
      <c r="V247" s="5" t="n"/>
      <c r="W247" s="5" t="n"/>
      <c r="X247" s="5" t="n"/>
      <c r="Y247" s="5" t="inlineStr">
        <is>
          <t>ENUM</t>
        </is>
      </c>
      <c r="Z247" s="11" t="inlineStr">
        <is>
          <t>No micro test in USP-NF - set Y if your specification has one</t>
        </is>
      </c>
    </row>
    <row r="248">
      <c r="A248" s="11" t="inlineStr">
        <is>
          <t>Purified Water</t>
        </is>
      </c>
      <c r="B248" s="11" t="inlineStr">
        <is>
          <t>RM</t>
        </is>
      </c>
      <c r="C248" s="11" t="inlineStr">
        <is>
          <t>Solvent</t>
        </is>
      </c>
      <c r="D248" s="11" t="inlineStr">
        <is>
          <t>Microbial enumeration - TAMC + TYMC (&lt;61&gt; / &lt;2021&gt;)</t>
        </is>
      </c>
      <c r="E248" s="5" t="inlineStr">
        <is>
          <t>N</t>
        </is>
      </c>
      <c r="F248" s="5" t="n"/>
      <c r="G248" s="11">
        <f>IFERROR(IF(INDEX('Test catalog'!$F$2:$F$200,MATCH($Y248,'Test catalog'!$A$2:$A$200,0))="","",INDEX('Test catalog'!$F$2:$F$200,MATCH($Y248,'Test catalog'!$A$2:$A$200,0))),"")</f>
        <v/>
      </c>
      <c r="H248" s="11">
        <f>IFERROR(IF(INDEX('Test catalog'!$G$2:$G$200,MATCH($Y248,'Test catalog'!$A$2:$A$200,0))="","",INDEX('Test catalog'!$G$2:$G$200,MATCH($Y248,'Test catalog'!$A$2:$A$200,0))),"")</f>
        <v/>
      </c>
      <c r="I248" s="11">
        <f>IFERROR(IF(INDEX('Test catalog'!$H$2:$H$200,MATCH($Y248,'Test catalog'!$A$2:$A$200,0))="","",INDEX('Test catalog'!$H$2:$H$200,MATCH($Y248,'Test catalog'!$A$2:$A$200,0))),"")</f>
        <v/>
      </c>
      <c r="J248" s="11">
        <f>IFERROR(IF(INDEX('Test catalog'!$I$2:$I$200,MATCH($Y248,'Test catalog'!$A$2:$A$200,0))="","",INDEX('Test catalog'!$I$2:$I$200,MATCH($Y248,'Test catalog'!$A$2:$A$200,0))),"")</f>
        <v/>
      </c>
      <c r="K248" s="13">
        <f>IF(I248="","",IF(OR(H248="",J248=""),I248,(H248+4*I248+J248)/6))</f>
        <v/>
      </c>
      <c r="L248" s="11">
        <f>IFERROR(IF(INDEX('Test catalog'!$J$2:$J$200,MATCH($Y248,'Test catalog'!$A$2:$A$200,0))="","",INDEX('Test catalog'!$J$2:$J$200,MATCH($Y248,'Test catalog'!$A$2:$A$200,0))),"")</f>
        <v/>
      </c>
      <c r="M248" s="11">
        <f>IFERROR(IF(INDEX('Test catalog'!$K$2:$K$200,MATCH($Y248,'Test catalog'!$A$2:$A$200,0))="","",INDEX('Test catalog'!$K$2:$K$200,MATCH($Y248,'Test catalog'!$A$2:$A$200,0))),"")</f>
        <v/>
      </c>
      <c r="N248" s="11">
        <f>IFERROR(IF(INDEX('Test catalog'!$L$2:$L$200,MATCH($Y248,'Test catalog'!$A$2:$A$200,0))="","",INDEX('Test catalog'!$L$2:$L$200,MATCH($Y248,'Test catalog'!$A$2:$A$200,0))),"")</f>
        <v/>
      </c>
      <c r="O248" s="11">
        <f>IFERROR(IF(INDEX('Test catalog'!$M$2:$M$200,MATCH($Y248,'Test catalog'!$A$2:$A$200,0))="","",INDEX('Test catalog'!$M$2:$M$200,MATCH($Y248,'Test catalog'!$A$2:$A$200,0))),"")</f>
        <v/>
      </c>
      <c r="P248" s="11">
        <f>IFERROR(IF(INDEX('Test catalog'!$N$2:$N$200,MATCH($Y248,'Test catalog'!$A$2:$A$200,0))="","",INDEX('Test catalog'!$N$2:$N$200,MATCH($Y248,'Test catalog'!$A$2:$A$200,0))),"")</f>
        <v/>
      </c>
      <c r="Q248" s="11">
        <f>IFERROR(IF(INDEX('Test catalog'!$O$2:$O$200,MATCH($Y248,'Test catalog'!$A$2:$A$200,0))="","",INDEX('Test catalog'!$O$2:$O$200,MATCH($Y248,'Test catalog'!$A$2:$A$200,0))),"")</f>
        <v/>
      </c>
      <c r="R248" s="11">
        <f>IFERROR(IF(INDEX('Test catalog'!$P$2:$P$200,MATCH($Y248,'Test catalog'!$A$2:$A$200,0))="","",INDEX('Test catalog'!$P$2:$P$200,MATCH($Y248,'Test catalog'!$A$2:$A$200,0))),"")</f>
        <v/>
      </c>
      <c r="S248" s="14" t="n"/>
      <c r="T248" s="5" t="n"/>
      <c r="U248" s="11">
        <f>IFERROR(IF(INDEX('Test catalog'!$Q$2:$Q$200,MATCH($Y248,'Test catalog'!$A$2:$A$200,0))="","",INDEX('Test catalog'!$Q$2:$Q$200,MATCH($Y248,'Test catalog'!$A$2:$A$200,0))),"")</f>
        <v/>
      </c>
      <c r="V248" s="5" t="n"/>
      <c r="W248" s="5" t="n"/>
      <c r="X248" s="5" t="n"/>
      <c r="Y248" s="5" t="inlineStr">
        <is>
          <t>ENUM</t>
        </is>
      </c>
      <c r="Z248" s="11" t="inlineStr">
        <is>
          <t>No micro test in USP-NF - set Y if your specification has one</t>
        </is>
      </c>
    </row>
    <row r="249">
      <c r="A249" s="11" t="inlineStr">
        <is>
          <t>Water</t>
        </is>
      </c>
      <c r="B249" s="11" t="inlineStr">
        <is>
          <t>RM</t>
        </is>
      </c>
      <c r="C249" s="11" t="inlineStr">
        <is>
          <t>Solvent</t>
        </is>
      </c>
      <c r="D249" s="11" t="inlineStr">
        <is>
          <t>Microbial enumeration - TAMC + TYMC (&lt;61&gt; / &lt;2021&gt;)</t>
        </is>
      </c>
      <c r="E249" s="5" t="inlineStr">
        <is>
          <t>N</t>
        </is>
      </c>
      <c r="F249" s="5" t="n"/>
      <c r="G249" s="11">
        <f>IFERROR(IF(INDEX('Test catalog'!$F$2:$F$200,MATCH($Y249,'Test catalog'!$A$2:$A$200,0))="","",INDEX('Test catalog'!$F$2:$F$200,MATCH($Y249,'Test catalog'!$A$2:$A$200,0))),"")</f>
        <v/>
      </c>
      <c r="H249" s="11">
        <f>IFERROR(IF(INDEX('Test catalog'!$G$2:$G$200,MATCH($Y249,'Test catalog'!$A$2:$A$200,0))="","",INDEX('Test catalog'!$G$2:$G$200,MATCH($Y249,'Test catalog'!$A$2:$A$200,0))),"")</f>
        <v/>
      </c>
      <c r="I249" s="11">
        <f>IFERROR(IF(INDEX('Test catalog'!$H$2:$H$200,MATCH($Y249,'Test catalog'!$A$2:$A$200,0))="","",INDEX('Test catalog'!$H$2:$H$200,MATCH($Y249,'Test catalog'!$A$2:$A$200,0))),"")</f>
        <v/>
      </c>
      <c r="J249" s="11">
        <f>IFERROR(IF(INDEX('Test catalog'!$I$2:$I$200,MATCH($Y249,'Test catalog'!$A$2:$A$200,0))="","",INDEX('Test catalog'!$I$2:$I$200,MATCH($Y249,'Test catalog'!$A$2:$A$200,0))),"")</f>
        <v/>
      </c>
      <c r="K249" s="13">
        <f>IF(I249="","",IF(OR(H249="",J249=""),I249,(H249+4*I249+J249)/6))</f>
        <v/>
      </c>
      <c r="L249" s="11">
        <f>IFERROR(IF(INDEX('Test catalog'!$J$2:$J$200,MATCH($Y249,'Test catalog'!$A$2:$A$200,0))="","",INDEX('Test catalog'!$J$2:$J$200,MATCH($Y249,'Test catalog'!$A$2:$A$200,0))),"")</f>
        <v/>
      </c>
      <c r="M249" s="11">
        <f>IFERROR(IF(INDEX('Test catalog'!$K$2:$K$200,MATCH($Y249,'Test catalog'!$A$2:$A$200,0))="","",INDEX('Test catalog'!$K$2:$K$200,MATCH($Y249,'Test catalog'!$A$2:$A$200,0))),"")</f>
        <v/>
      </c>
      <c r="N249" s="11">
        <f>IFERROR(IF(INDEX('Test catalog'!$L$2:$L$200,MATCH($Y249,'Test catalog'!$A$2:$A$200,0))="","",INDEX('Test catalog'!$L$2:$L$200,MATCH($Y249,'Test catalog'!$A$2:$A$200,0))),"")</f>
        <v/>
      </c>
      <c r="O249" s="11">
        <f>IFERROR(IF(INDEX('Test catalog'!$M$2:$M$200,MATCH($Y249,'Test catalog'!$A$2:$A$200,0))="","",INDEX('Test catalog'!$M$2:$M$200,MATCH($Y249,'Test catalog'!$A$2:$A$200,0))),"")</f>
        <v/>
      </c>
      <c r="P249" s="11">
        <f>IFERROR(IF(INDEX('Test catalog'!$N$2:$N$200,MATCH($Y249,'Test catalog'!$A$2:$A$200,0))="","",INDEX('Test catalog'!$N$2:$N$200,MATCH($Y249,'Test catalog'!$A$2:$A$200,0))),"")</f>
        <v/>
      </c>
      <c r="Q249" s="11">
        <f>IFERROR(IF(INDEX('Test catalog'!$O$2:$O$200,MATCH($Y249,'Test catalog'!$A$2:$A$200,0))="","",INDEX('Test catalog'!$O$2:$O$200,MATCH($Y249,'Test catalog'!$A$2:$A$200,0))),"")</f>
        <v/>
      </c>
      <c r="R249" s="11">
        <f>IFERROR(IF(INDEX('Test catalog'!$P$2:$P$200,MATCH($Y249,'Test catalog'!$A$2:$A$200,0))="","",INDEX('Test catalog'!$P$2:$P$200,MATCH($Y249,'Test catalog'!$A$2:$A$200,0))),"")</f>
        <v/>
      </c>
      <c r="S249" s="14" t="n"/>
      <c r="T249" s="5" t="n"/>
      <c r="U249" s="11">
        <f>IFERROR(IF(INDEX('Test catalog'!$Q$2:$Q$200,MATCH($Y249,'Test catalog'!$A$2:$A$200,0))="","",INDEX('Test catalog'!$Q$2:$Q$200,MATCH($Y249,'Test catalog'!$A$2:$A$200,0))),"")</f>
        <v/>
      </c>
      <c r="V249" s="5" t="n"/>
      <c r="W249" s="5" t="n"/>
      <c r="X249" s="5" t="n"/>
      <c r="Y249" s="5" t="inlineStr">
        <is>
          <t>ENUM</t>
        </is>
      </c>
      <c r="Z249" s="11" t="inlineStr">
        <is>
          <t>No micro test in USP-NF - set Y if your specification has one</t>
        </is>
      </c>
    </row>
    <row r="250">
      <c r="A250" s="11" t="inlineStr">
        <is>
          <t>Water for Injection (WFI)</t>
        </is>
      </c>
      <c r="B250" s="11" t="inlineStr">
        <is>
          <t>RM</t>
        </is>
      </c>
      <c r="C250" s="11" t="inlineStr">
        <is>
          <t>Solvent</t>
        </is>
      </c>
      <c r="D250" s="11" t="inlineStr">
        <is>
          <t>Bacterial endotoxins (&lt;85&gt;)</t>
        </is>
      </c>
      <c r="E250" s="5" t="inlineStr">
        <is>
          <t>N</t>
        </is>
      </c>
      <c r="F250" s="5" t="n"/>
      <c r="G250" s="11">
        <f>IFERROR(IF(INDEX('Test catalog'!$F$2:$F$200,MATCH($Y250,'Test catalog'!$A$2:$A$200,0))="","",INDEX('Test catalog'!$F$2:$F$200,MATCH($Y250,'Test catalog'!$A$2:$A$200,0))),"")</f>
        <v/>
      </c>
      <c r="H250" s="11">
        <f>IFERROR(IF(INDEX('Test catalog'!$G$2:$G$200,MATCH($Y250,'Test catalog'!$A$2:$A$200,0))="","",INDEX('Test catalog'!$G$2:$G$200,MATCH($Y250,'Test catalog'!$A$2:$A$200,0))),"")</f>
        <v/>
      </c>
      <c r="I250" s="11">
        <f>IFERROR(IF(INDEX('Test catalog'!$H$2:$H$200,MATCH($Y250,'Test catalog'!$A$2:$A$200,0))="","",INDEX('Test catalog'!$H$2:$H$200,MATCH($Y250,'Test catalog'!$A$2:$A$200,0))),"")</f>
        <v/>
      </c>
      <c r="J250" s="11">
        <f>IFERROR(IF(INDEX('Test catalog'!$I$2:$I$200,MATCH($Y250,'Test catalog'!$A$2:$A$200,0))="","",INDEX('Test catalog'!$I$2:$I$200,MATCH($Y250,'Test catalog'!$A$2:$A$200,0))),"")</f>
        <v/>
      </c>
      <c r="K250" s="13">
        <f>IF(I250="","",IF(OR(H250="",J250=""),I250,(H250+4*I250+J250)/6))</f>
        <v/>
      </c>
      <c r="L250" s="11">
        <f>IFERROR(IF(INDEX('Test catalog'!$J$2:$J$200,MATCH($Y250,'Test catalog'!$A$2:$A$200,0))="","",INDEX('Test catalog'!$J$2:$J$200,MATCH($Y250,'Test catalog'!$A$2:$A$200,0))),"")</f>
        <v/>
      </c>
      <c r="M250" s="11">
        <f>IFERROR(IF(INDEX('Test catalog'!$K$2:$K$200,MATCH($Y250,'Test catalog'!$A$2:$A$200,0))="","",INDEX('Test catalog'!$K$2:$K$200,MATCH($Y250,'Test catalog'!$A$2:$A$200,0))),"")</f>
        <v/>
      </c>
      <c r="N250" s="11">
        <f>IFERROR(IF(INDEX('Test catalog'!$L$2:$L$200,MATCH($Y250,'Test catalog'!$A$2:$A$200,0))="","",INDEX('Test catalog'!$L$2:$L$200,MATCH($Y250,'Test catalog'!$A$2:$A$200,0))),"")</f>
        <v/>
      </c>
      <c r="O250" s="11">
        <f>IFERROR(IF(INDEX('Test catalog'!$M$2:$M$200,MATCH($Y250,'Test catalog'!$A$2:$A$200,0))="","",INDEX('Test catalog'!$M$2:$M$200,MATCH($Y250,'Test catalog'!$A$2:$A$200,0))),"")</f>
        <v/>
      </c>
      <c r="P250" s="11">
        <f>IFERROR(IF(INDEX('Test catalog'!$N$2:$N$200,MATCH($Y250,'Test catalog'!$A$2:$A$200,0))="","",INDEX('Test catalog'!$N$2:$N$200,MATCH($Y250,'Test catalog'!$A$2:$A$200,0))),"")</f>
        <v/>
      </c>
      <c r="Q250" s="11">
        <f>IFERROR(IF(INDEX('Test catalog'!$O$2:$O$200,MATCH($Y250,'Test catalog'!$A$2:$A$200,0))="","",INDEX('Test catalog'!$O$2:$O$200,MATCH($Y250,'Test catalog'!$A$2:$A$200,0))),"")</f>
        <v/>
      </c>
      <c r="R250" s="11">
        <f>IFERROR(IF(INDEX('Test catalog'!$P$2:$P$200,MATCH($Y250,'Test catalog'!$A$2:$A$200,0))="","",INDEX('Test catalog'!$P$2:$P$200,MATCH($Y250,'Test catalog'!$A$2:$A$200,0))),"")</f>
        <v/>
      </c>
      <c r="S250" s="14" t="n"/>
      <c r="T250" s="5" t="n"/>
      <c r="U250" s="11">
        <f>IFERROR(IF(INDEX('Test catalog'!$Q$2:$Q$200,MATCH($Y250,'Test catalog'!$A$2:$A$200,0))="","",INDEX('Test catalog'!$Q$2:$Q$200,MATCH($Y250,'Test catalog'!$A$2:$A$200,0))),"")</f>
        <v/>
      </c>
      <c r="V250" s="5" t="n"/>
      <c r="W250" s="5" t="n"/>
      <c r="X250" s="5" t="inlineStr">
        <is>
          <t>No sterile product on the product list - set Y if you run it</t>
        </is>
      </c>
      <c r="Y250" s="5" t="inlineStr">
        <is>
          <t>BET</t>
        </is>
      </c>
      <c r="Z250" s="11" t="inlineStr">
        <is>
          <t>USP-NF monograph &lt;85&gt;</t>
        </is>
      </c>
    </row>
    <row r="251">
      <c r="A251" s="11" t="inlineStr">
        <is>
          <t>Polysorbate 80</t>
        </is>
      </c>
      <c r="B251" s="11" t="inlineStr">
        <is>
          <t>RM</t>
        </is>
      </c>
      <c r="C251" s="11" t="inlineStr">
        <is>
          <t>Surfactant</t>
        </is>
      </c>
      <c r="D251" s="11" t="inlineStr">
        <is>
          <t>Microbial enumeration - TAMC + TYMC (&lt;61&gt; / &lt;2021&gt;)</t>
        </is>
      </c>
      <c r="E251" s="5" t="inlineStr">
        <is>
          <t>N</t>
        </is>
      </c>
      <c r="F251" s="5" t="n"/>
      <c r="G251" s="11">
        <f>IFERROR(IF(INDEX('Test catalog'!$F$2:$F$200,MATCH($Y251,'Test catalog'!$A$2:$A$200,0))="","",INDEX('Test catalog'!$F$2:$F$200,MATCH($Y251,'Test catalog'!$A$2:$A$200,0))),"")</f>
        <v/>
      </c>
      <c r="H251" s="11">
        <f>IFERROR(IF(INDEX('Test catalog'!$G$2:$G$200,MATCH($Y251,'Test catalog'!$A$2:$A$200,0))="","",INDEX('Test catalog'!$G$2:$G$200,MATCH($Y251,'Test catalog'!$A$2:$A$200,0))),"")</f>
        <v/>
      </c>
      <c r="I251" s="11">
        <f>IFERROR(IF(INDEX('Test catalog'!$H$2:$H$200,MATCH($Y251,'Test catalog'!$A$2:$A$200,0))="","",INDEX('Test catalog'!$H$2:$H$200,MATCH($Y251,'Test catalog'!$A$2:$A$200,0))),"")</f>
        <v/>
      </c>
      <c r="J251" s="11">
        <f>IFERROR(IF(INDEX('Test catalog'!$I$2:$I$200,MATCH($Y251,'Test catalog'!$A$2:$A$200,0))="","",INDEX('Test catalog'!$I$2:$I$200,MATCH($Y251,'Test catalog'!$A$2:$A$200,0))),"")</f>
        <v/>
      </c>
      <c r="K251" s="13">
        <f>IF(I251="","",IF(OR(H251="",J251=""),I251,(H251+4*I251+J251)/6))</f>
        <v/>
      </c>
      <c r="L251" s="11">
        <f>IFERROR(IF(INDEX('Test catalog'!$J$2:$J$200,MATCH($Y251,'Test catalog'!$A$2:$A$200,0))="","",INDEX('Test catalog'!$J$2:$J$200,MATCH($Y251,'Test catalog'!$A$2:$A$200,0))),"")</f>
        <v/>
      </c>
      <c r="M251" s="11">
        <f>IFERROR(IF(INDEX('Test catalog'!$K$2:$K$200,MATCH($Y251,'Test catalog'!$A$2:$A$200,0))="","",INDEX('Test catalog'!$K$2:$K$200,MATCH($Y251,'Test catalog'!$A$2:$A$200,0))),"")</f>
        <v/>
      </c>
      <c r="N251" s="11">
        <f>IFERROR(IF(INDEX('Test catalog'!$L$2:$L$200,MATCH($Y251,'Test catalog'!$A$2:$A$200,0))="","",INDEX('Test catalog'!$L$2:$L$200,MATCH($Y251,'Test catalog'!$A$2:$A$200,0))),"")</f>
        <v/>
      </c>
      <c r="O251" s="11">
        <f>IFERROR(IF(INDEX('Test catalog'!$M$2:$M$200,MATCH($Y251,'Test catalog'!$A$2:$A$200,0))="","",INDEX('Test catalog'!$M$2:$M$200,MATCH($Y251,'Test catalog'!$A$2:$A$200,0))),"")</f>
        <v/>
      </c>
      <c r="P251" s="11">
        <f>IFERROR(IF(INDEX('Test catalog'!$N$2:$N$200,MATCH($Y251,'Test catalog'!$A$2:$A$200,0))="","",INDEX('Test catalog'!$N$2:$N$200,MATCH($Y251,'Test catalog'!$A$2:$A$200,0))),"")</f>
        <v/>
      </c>
      <c r="Q251" s="11">
        <f>IFERROR(IF(INDEX('Test catalog'!$O$2:$O$200,MATCH($Y251,'Test catalog'!$A$2:$A$200,0))="","",INDEX('Test catalog'!$O$2:$O$200,MATCH($Y251,'Test catalog'!$A$2:$A$200,0))),"")</f>
        <v/>
      </c>
      <c r="R251" s="11">
        <f>IFERROR(IF(INDEX('Test catalog'!$P$2:$P$200,MATCH($Y251,'Test catalog'!$A$2:$A$200,0))="","",INDEX('Test catalog'!$P$2:$P$200,MATCH($Y251,'Test catalog'!$A$2:$A$200,0))),"")</f>
        <v/>
      </c>
      <c r="S251" s="14" t="n"/>
      <c r="T251" s="5" t="n"/>
      <c r="U251" s="11">
        <f>IFERROR(IF(INDEX('Test catalog'!$Q$2:$Q$200,MATCH($Y251,'Test catalog'!$A$2:$A$200,0))="","",INDEX('Test catalog'!$Q$2:$Q$200,MATCH($Y251,'Test catalog'!$A$2:$A$200,0))),"")</f>
        <v/>
      </c>
      <c r="V251" s="5" t="n"/>
      <c r="W251" s="5" t="n"/>
      <c r="X251" s="5" t="n"/>
      <c r="Y251" s="5" t="inlineStr">
        <is>
          <t>ENUM</t>
        </is>
      </c>
      <c r="Z251" s="11" t="inlineStr">
        <is>
          <t>No micro test in USP-NF - set Y if your specification has one</t>
        </is>
      </c>
    </row>
    <row r="252">
      <c r="A252" s="11" t="inlineStr">
        <is>
          <t>Sodium Lauryl Sulfate</t>
        </is>
      </c>
      <c r="B252" s="11" t="inlineStr">
        <is>
          <t>RM</t>
        </is>
      </c>
      <c r="C252" s="11" t="inlineStr">
        <is>
          <t>Surfactant</t>
        </is>
      </c>
      <c r="D252" s="11" t="inlineStr">
        <is>
          <t>Microbial enumeration - TAMC + TYMC (&lt;61&gt; / &lt;2021&gt;)</t>
        </is>
      </c>
      <c r="E252" s="5" t="inlineStr">
        <is>
          <t>N</t>
        </is>
      </c>
      <c r="F252" s="5" t="n"/>
      <c r="G252" s="11">
        <f>IFERROR(IF(INDEX('Test catalog'!$F$2:$F$200,MATCH($Y252,'Test catalog'!$A$2:$A$200,0))="","",INDEX('Test catalog'!$F$2:$F$200,MATCH($Y252,'Test catalog'!$A$2:$A$200,0))),"")</f>
        <v/>
      </c>
      <c r="H252" s="11">
        <f>IFERROR(IF(INDEX('Test catalog'!$G$2:$G$200,MATCH($Y252,'Test catalog'!$A$2:$A$200,0))="","",INDEX('Test catalog'!$G$2:$G$200,MATCH($Y252,'Test catalog'!$A$2:$A$200,0))),"")</f>
        <v/>
      </c>
      <c r="I252" s="11">
        <f>IFERROR(IF(INDEX('Test catalog'!$H$2:$H$200,MATCH($Y252,'Test catalog'!$A$2:$A$200,0))="","",INDEX('Test catalog'!$H$2:$H$200,MATCH($Y252,'Test catalog'!$A$2:$A$200,0))),"")</f>
        <v/>
      </c>
      <c r="J252" s="11">
        <f>IFERROR(IF(INDEX('Test catalog'!$I$2:$I$200,MATCH($Y252,'Test catalog'!$A$2:$A$200,0))="","",INDEX('Test catalog'!$I$2:$I$200,MATCH($Y252,'Test catalog'!$A$2:$A$200,0))),"")</f>
        <v/>
      </c>
      <c r="K252" s="13">
        <f>IF(I252="","",IF(OR(H252="",J252=""),I252,(H252+4*I252+J252)/6))</f>
        <v/>
      </c>
      <c r="L252" s="11">
        <f>IFERROR(IF(INDEX('Test catalog'!$J$2:$J$200,MATCH($Y252,'Test catalog'!$A$2:$A$200,0))="","",INDEX('Test catalog'!$J$2:$J$200,MATCH($Y252,'Test catalog'!$A$2:$A$200,0))),"")</f>
        <v/>
      </c>
      <c r="M252" s="11">
        <f>IFERROR(IF(INDEX('Test catalog'!$K$2:$K$200,MATCH($Y252,'Test catalog'!$A$2:$A$200,0))="","",INDEX('Test catalog'!$K$2:$K$200,MATCH($Y252,'Test catalog'!$A$2:$A$200,0))),"")</f>
        <v/>
      </c>
      <c r="N252" s="11">
        <f>IFERROR(IF(INDEX('Test catalog'!$L$2:$L$200,MATCH($Y252,'Test catalog'!$A$2:$A$200,0))="","",INDEX('Test catalog'!$L$2:$L$200,MATCH($Y252,'Test catalog'!$A$2:$A$200,0))),"")</f>
        <v/>
      </c>
      <c r="O252" s="11">
        <f>IFERROR(IF(INDEX('Test catalog'!$M$2:$M$200,MATCH($Y252,'Test catalog'!$A$2:$A$200,0))="","",INDEX('Test catalog'!$M$2:$M$200,MATCH($Y252,'Test catalog'!$A$2:$A$200,0))),"")</f>
        <v/>
      </c>
      <c r="P252" s="11">
        <f>IFERROR(IF(INDEX('Test catalog'!$N$2:$N$200,MATCH($Y252,'Test catalog'!$A$2:$A$200,0))="","",INDEX('Test catalog'!$N$2:$N$200,MATCH($Y252,'Test catalog'!$A$2:$A$200,0))),"")</f>
        <v/>
      </c>
      <c r="Q252" s="11">
        <f>IFERROR(IF(INDEX('Test catalog'!$O$2:$O$200,MATCH($Y252,'Test catalog'!$A$2:$A$200,0))="","",INDEX('Test catalog'!$O$2:$O$200,MATCH($Y252,'Test catalog'!$A$2:$A$200,0))),"")</f>
        <v/>
      </c>
      <c r="R252" s="11">
        <f>IFERROR(IF(INDEX('Test catalog'!$P$2:$P$200,MATCH($Y252,'Test catalog'!$A$2:$A$200,0))="","",INDEX('Test catalog'!$P$2:$P$200,MATCH($Y252,'Test catalog'!$A$2:$A$200,0))),"")</f>
        <v/>
      </c>
      <c r="S252" s="14" t="n"/>
      <c r="T252" s="5" t="n"/>
      <c r="U252" s="11">
        <f>IFERROR(IF(INDEX('Test catalog'!$Q$2:$Q$200,MATCH($Y252,'Test catalog'!$A$2:$A$200,0))="","",INDEX('Test catalog'!$Q$2:$Q$200,MATCH($Y252,'Test catalog'!$A$2:$A$200,0))),"")</f>
        <v/>
      </c>
      <c r="V252" s="5" t="n"/>
      <c r="W252" s="5" t="n"/>
      <c r="X252" s="5" t="n"/>
      <c r="Y252" s="5" t="inlineStr">
        <is>
          <t>ENUM</t>
        </is>
      </c>
      <c r="Z252" s="11" t="inlineStr">
        <is>
          <t>No micro test in USP-NF - set Y if your specification has one</t>
        </is>
      </c>
    </row>
    <row r="253">
      <c r="A253" s="11" t="inlineStr">
        <is>
          <t>Microcrystalline Cellulose RC591</t>
        </is>
      </c>
      <c r="B253" s="11" t="inlineStr">
        <is>
          <t>RM</t>
        </is>
      </c>
      <c r="C253" s="11" t="inlineStr">
        <is>
          <t>Suspending Agent</t>
        </is>
      </c>
      <c r="D253" s="11" t="inlineStr">
        <is>
          <t>Microbial enumeration - TAMC + TYMC (&lt;61&gt; / &lt;2021&gt;)</t>
        </is>
      </c>
      <c r="E253" s="5" t="inlineStr">
        <is>
          <t>N</t>
        </is>
      </c>
      <c r="F253" s="5" t="n"/>
      <c r="G253" s="11">
        <f>IFERROR(IF(INDEX('Test catalog'!$F$2:$F$200,MATCH($Y253,'Test catalog'!$A$2:$A$200,0))="","",INDEX('Test catalog'!$F$2:$F$200,MATCH($Y253,'Test catalog'!$A$2:$A$200,0))),"")</f>
        <v/>
      </c>
      <c r="H253" s="11">
        <f>IFERROR(IF(INDEX('Test catalog'!$G$2:$G$200,MATCH($Y253,'Test catalog'!$A$2:$A$200,0))="","",INDEX('Test catalog'!$G$2:$G$200,MATCH($Y253,'Test catalog'!$A$2:$A$200,0))),"")</f>
        <v/>
      </c>
      <c r="I253" s="11">
        <f>IFERROR(IF(INDEX('Test catalog'!$H$2:$H$200,MATCH($Y253,'Test catalog'!$A$2:$A$200,0))="","",INDEX('Test catalog'!$H$2:$H$200,MATCH($Y253,'Test catalog'!$A$2:$A$200,0))),"")</f>
        <v/>
      </c>
      <c r="J253" s="11">
        <f>IFERROR(IF(INDEX('Test catalog'!$I$2:$I$200,MATCH($Y253,'Test catalog'!$A$2:$A$200,0))="","",INDEX('Test catalog'!$I$2:$I$200,MATCH($Y253,'Test catalog'!$A$2:$A$200,0))),"")</f>
        <v/>
      </c>
      <c r="K253" s="13">
        <f>IF(I253="","",IF(OR(H253="",J253=""),I253,(H253+4*I253+J253)/6))</f>
        <v/>
      </c>
      <c r="L253" s="11">
        <f>IFERROR(IF(INDEX('Test catalog'!$J$2:$J$200,MATCH($Y253,'Test catalog'!$A$2:$A$200,0))="","",INDEX('Test catalog'!$J$2:$J$200,MATCH($Y253,'Test catalog'!$A$2:$A$200,0))),"")</f>
        <v/>
      </c>
      <c r="M253" s="11">
        <f>IFERROR(IF(INDEX('Test catalog'!$K$2:$K$200,MATCH($Y253,'Test catalog'!$A$2:$A$200,0))="","",INDEX('Test catalog'!$K$2:$K$200,MATCH($Y253,'Test catalog'!$A$2:$A$200,0))),"")</f>
        <v/>
      </c>
      <c r="N253" s="11">
        <f>IFERROR(IF(INDEX('Test catalog'!$L$2:$L$200,MATCH($Y253,'Test catalog'!$A$2:$A$200,0))="","",INDEX('Test catalog'!$L$2:$L$200,MATCH($Y253,'Test catalog'!$A$2:$A$200,0))),"")</f>
        <v/>
      </c>
      <c r="O253" s="11">
        <f>IFERROR(IF(INDEX('Test catalog'!$M$2:$M$200,MATCH($Y253,'Test catalog'!$A$2:$A$200,0))="","",INDEX('Test catalog'!$M$2:$M$200,MATCH($Y253,'Test catalog'!$A$2:$A$200,0))),"")</f>
        <v/>
      </c>
      <c r="P253" s="11">
        <f>IFERROR(IF(INDEX('Test catalog'!$N$2:$N$200,MATCH($Y253,'Test catalog'!$A$2:$A$200,0))="","",INDEX('Test catalog'!$N$2:$N$200,MATCH($Y253,'Test catalog'!$A$2:$A$200,0))),"")</f>
        <v/>
      </c>
      <c r="Q253" s="11">
        <f>IFERROR(IF(INDEX('Test catalog'!$O$2:$O$200,MATCH($Y253,'Test catalog'!$A$2:$A$200,0))="","",INDEX('Test catalog'!$O$2:$O$200,MATCH($Y253,'Test catalog'!$A$2:$A$200,0))),"")</f>
        <v/>
      </c>
      <c r="R253" s="11">
        <f>IFERROR(IF(INDEX('Test catalog'!$P$2:$P$200,MATCH($Y253,'Test catalog'!$A$2:$A$200,0))="","",INDEX('Test catalog'!$P$2:$P$200,MATCH($Y253,'Test catalog'!$A$2:$A$200,0))),"")</f>
        <v/>
      </c>
      <c r="S253" s="14" t="n"/>
      <c r="T253" s="5" t="n"/>
      <c r="U253" s="11">
        <f>IFERROR(IF(INDEX('Test catalog'!$Q$2:$Q$200,MATCH($Y253,'Test catalog'!$A$2:$A$200,0))="","",INDEX('Test catalog'!$Q$2:$Q$200,MATCH($Y253,'Test catalog'!$A$2:$A$200,0))),"")</f>
        <v/>
      </c>
      <c r="V253" s="5" t="n"/>
      <c r="W253" s="5" t="n"/>
      <c r="X253" s="5" t="n"/>
      <c r="Y253" s="5" t="inlineStr">
        <is>
          <t>ENUM</t>
        </is>
      </c>
      <c r="Z253" s="11" t="inlineStr">
        <is>
          <t>No micro test in USP-NF - set Y if your specification has one</t>
        </is>
      </c>
    </row>
    <row r="254">
      <c r="A254" s="11" t="inlineStr">
        <is>
          <t>Sodium Carboxymethyl Cellulose (Medium Viscosity)</t>
        </is>
      </c>
      <c r="B254" s="11" t="inlineStr">
        <is>
          <t>RM</t>
        </is>
      </c>
      <c r="C254" s="11" t="inlineStr">
        <is>
          <t>Suspending Agent</t>
        </is>
      </c>
      <c r="D254" s="11" t="inlineStr">
        <is>
          <t>Microbial enumeration - TAMC + TYMC (&lt;61&gt; / &lt;2021&gt;)</t>
        </is>
      </c>
      <c r="E254" s="5" t="inlineStr">
        <is>
          <t>N</t>
        </is>
      </c>
      <c r="F254" s="5" t="n"/>
      <c r="G254" s="11">
        <f>IFERROR(IF(INDEX('Test catalog'!$F$2:$F$200,MATCH($Y254,'Test catalog'!$A$2:$A$200,0))="","",INDEX('Test catalog'!$F$2:$F$200,MATCH($Y254,'Test catalog'!$A$2:$A$200,0))),"")</f>
        <v/>
      </c>
      <c r="H254" s="11">
        <f>IFERROR(IF(INDEX('Test catalog'!$G$2:$G$200,MATCH($Y254,'Test catalog'!$A$2:$A$200,0))="","",INDEX('Test catalog'!$G$2:$G$200,MATCH($Y254,'Test catalog'!$A$2:$A$200,0))),"")</f>
        <v/>
      </c>
      <c r="I254" s="11">
        <f>IFERROR(IF(INDEX('Test catalog'!$H$2:$H$200,MATCH($Y254,'Test catalog'!$A$2:$A$200,0))="","",INDEX('Test catalog'!$H$2:$H$200,MATCH($Y254,'Test catalog'!$A$2:$A$200,0))),"")</f>
        <v/>
      </c>
      <c r="J254" s="11">
        <f>IFERROR(IF(INDEX('Test catalog'!$I$2:$I$200,MATCH($Y254,'Test catalog'!$A$2:$A$200,0))="","",INDEX('Test catalog'!$I$2:$I$200,MATCH($Y254,'Test catalog'!$A$2:$A$200,0))),"")</f>
        <v/>
      </c>
      <c r="K254" s="13">
        <f>IF(I254="","",IF(OR(H254="",J254=""),I254,(H254+4*I254+J254)/6))</f>
        <v/>
      </c>
      <c r="L254" s="11">
        <f>IFERROR(IF(INDEX('Test catalog'!$J$2:$J$200,MATCH($Y254,'Test catalog'!$A$2:$A$200,0))="","",INDEX('Test catalog'!$J$2:$J$200,MATCH($Y254,'Test catalog'!$A$2:$A$200,0))),"")</f>
        <v/>
      </c>
      <c r="M254" s="11">
        <f>IFERROR(IF(INDEX('Test catalog'!$K$2:$K$200,MATCH($Y254,'Test catalog'!$A$2:$A$200,0))="","",INDEX('Test catalog'!$K$2:$K$200,MATCH($Y254,'Test catalog'!$A$2:$A$200,0))),"")</f>
        <v/>
      </c>
      <c r="N254" s="11">
        <f>IFERROR(IF(INDEX('Test catalog'!$L$2:$L$200,MATCH($Y254,'Test catalog'!$A$2:$A$200,0))="","",INDEX('Test catalog'!$L$2:$L$200,MATCH($Y254,'Test catalog'!$A$2:$A$200,0))),"")</f>
        <v/>
      </c>
      <c r="O254" s="11">
        <f>IFERROR(IF(INDEX('Test catalog'!$M$2:$M$200,MATCH($Y254,'Test catalog'!$A$2:$A$200,0))="","",INDEX('Test catalog'!$M$2:$M$200,MATCH($Y254,'Test catalog'!$A$2:$A$200,0))),"")</f>
        <v/>
      </c>
      <c r="P254" s="11">
        <f>IFERROR(IF(INDEX('Test catalog'!$N$2:$N$200,MATCH($Y254,'Test catalog'!$A$2:$A$200,0))="","",INDEX('Test catalog'!$N$2:$N$200,MATCH($Y254,'Test catalog'!$A$2:$A$200,0))),"")</f>
        <v/>
      </c>
      <c r="Q254" s="11">
        <f>IFERROR(IF(INDEX('Test catalog'!$O$2:$O$200,MATCH($Y254,'Test catalog'!$A$2:$A$200,0))="","",INDEX('Test catalog'!$O$2:$O$200,MATCH($Y254,'Test catalog'!$A$2:$A$200,0))),"")</f>
        <v/>
      </c>
      <c r="R254" s="11">
        <f>IFERROR(IF(INDEX('Test catalog'!$P$2:$P$200,MATCH($Y254,'Test catalog'!$A$2:$A$200,0))="","",INDEX('Test catalog'!$P$2:$P$200,MATCH($Y254,'Test catalog'!$A$2:$A$200,0))),"")</f>
        <v/>
      </c>
      <c r="S254" s="14" t="n"/>
      <c r="T254" s="5" t="n"/>
      <c r="U254" s="11">
        <f>IFERROR(IF(INDEX('Test catalog'!$Q$2:$Q$200,MATCH($Y254,'Test catalog'!$A$2:$A$200,0))="","",INDEX('Test catalog'!$Q$2:$Q$200,MATCH($Y254,'Test catalog'!$A$2:$A$200,0))),"")</f>
        <v/>
      </c>
      <c r="V254" s="5" t="n"/>
      <c r="W254" s="5" t="n"/>
      <c r="X254" s="5" t="n"/>
      <c r="Y254" s="5" t="inlineStr">
        <is>
          <t>ENUM</t>
        </is>
      </c>
      <c r="Z254" s="11" t="inlineStr">
        <is>
          <t>No micro test in USP-NF - set Y if your specification has one</t>
        </is>
      </c>
    </row>
    <row r="255">
      <c r="A255" s="11" t="inlineStr">
        <is>
          <t>Neotame</t>
        </is>
      </c>
      <c r="B255" s="11" t="inlineStr">
        <is>
          <t>RM</t>
        </is>
      </c>
      <c r="C255" s="11" t="inlineStr">
        <is>
          <t>Sweetener</t>
        </is>
      </c>
      <c r="D255" s="11" t="inlineStr">
        <is>
          <t>Microbial enumeration - TAMC + TYMC (&lt;61&gt; / &lt;2021&gt;)</t>
        </is>
      </c>
      <c r="E255" s="5" t="inlineStr">
        <is>
          <t>N</t>
        </is>
      </c>
      <c r="F255" s="5" t="n"/>
      <c r="G255" s="11">
        <f>IFERROR(IF(INDEX('Test catalog'!$F$2:$F$200,MATCH($Y255,'Test catalog'!$A$2:$A$200,0))="","",INDEX('Test catalog'!$F$2:$F$200,MATCH($Y255,'Test catalog'!$A$2:$A$200,0))),"")</f>
        <v/>
      </c>
      <c r="H255" s="11">
        <f>IFERROR(IF(INDEX('Test catalog'!$G$2:$G$200,MATCH($Y255,'Test catalog'!$A$2:$A$200,0))="","",INDEX('Test catalog'!$G$2:$G$200,MATCH($Y255,'Test catalog'!$A$2:$A$200,0))),"")</f>
        <v/>
      </c>
      <c r="I255" s="11">
        <f>IFERROR(IF(INDEX('Test catalog'!$H$2:$H$200,MATCH($Y255,'Test catalog'!$A$2:$A$200,0))="","",INDEX('Test catalog'!$H$2:$H$200,MATCH($Y255,'Test catalog'!$A$2:$A$200,0))),"")</f>
        <v/>
      </c>
      <c r="J255" s="11">
        <f>IFERROR(IF(INDEX('Test catalog'!$I$2:$I$200,MATCH($Y255,'Test catalog'!$A$2:$A$200,0))="","",INDEX('Test catalog'!$I$2:$I$200,MATCH($Y255,'Test catalog'!$A$2:$A$200,0))),"")</f>
        <v/>
      </c>
      <c r="K255" s="13">
        <f>IF(I255="","",IF(OR(H255="",J255=""),I255,(H255+4*I255+J255)/6))</f>
        <v/>
      </c>
      <c r="L255" s="11">
        <f>IFERROR(IF(INDEX('Test catalog'!$J$2:$J$200,MATCH($Y255,'Test catalog'!$A$2:$A$200,0))="","",INDEX('Test catalog'!$J$2:$J$200,MATCH($Y255,'Test catalog'!$A$2:$A$200,0))),"")</f>
        <v/>
      </c>
      <c r="M255" s="11">
        <f>IFERROR(IF(INDEX('Test catalog'!$K$2:$K$200,MATCH($Y255,'Test catalog'!$A$2:$A$200,0))="","",INDEX('Test catalog'!$K$2:$K$200,MATCH($Y255,'Test catalog'!$A$2:$A$200,0))),"")</f>
        <v/>
      </c>
      <c r="N255" s="11">
        <f>IFERROR(IF(INDEX('Test catalog'!$L$2:$L$200,MATCH($Y255,'Test catalog'!$A$2:$A$200,0))="","",INDEX('Test catalog'!$L$2:$L$200,MATCH($Y255,'Test catalog'!$A$2:$A$200,0))),"")</f>
        <v/>
      </c>
      <c r="O255" s="11">
        <f>IFERROR(IF(INDEX('Test catalog'!$M$2:$M$200,MATCH($Y255,'Test catalog'!$A$2:$A$200,0))="","",INDEX('Test catalog'!$M$2:$M$200,MATCH($Y255,'Test catalog'!$A$2:$A$200,0))),"")</f>
        <v/>
      </c>
      <c r="P255" s="11">
        <f>IFERROR(IF(INDEX('Test catalog'!$N$2:$N$200,MATCH($Y255,'Test catalog'!$A$2:$A$200,0))="","",INDEX('Test catalog'!$N$2:$N$200,MATCH($Y255,'Test catalog'!$A$2:$A$200,0))),"")</f>
        <v/>
      </c>
      <c r="Q255" s="11">
        <f>IFERROR(IF(INDEX('Test catalog'!$O$2:$O$200,MATCH($Y255,'Test catalog'!$A$2:$A$200,0))="","",INDEX('Test catalog'!$O$2:$O$200,MATCH($Y255,'Test catalog'!$A$2:$A$200,0))),"")</f>
        <v/>
      </c>
      <c r="R255" s="11">
        <f>IFERROR(IF(INDEX('Test catalog'!$P$2:$P$200,MATCH($Y255,'Test catalog'!$A$2:$A$200,0))="","",INDEX('Test catalog'!$P$2:$P$200,MATCH($Y255,'Test catalog'!$A$2:$A$200,0))),"")</f>
        <v/>
      </c>
      <c r="S255" s="14" t="n"/>
      <c r="T255" s="5" t="n"/>
      <c r="U255" s="11">
        <f>IFERROR(IF(INDEX('Test catalog'!$Q$2:$Q$200,MATCH($Y255,'Test catalog'!$A$2:$A$200,0))="","",INDEX('Test catalog'!$Q$2:$Q$200,MATCH($Y255,'Test catalog'!$A$2:$A$200,0))),"")</f>
        <v/>
      </c>
      <c r="V255" s="5" t="n"/>
      <c r="W255" s="5" t="n"/>
      <c r="X255" s="5" t="n"/>
      <c r="Y255" s="5" t="inlineStr">
        <is>
          <t>ENUM</t>
        </is>
      </c>
      <c r="Z255" s="11" t="inlineStr">
        <is>
          <t>No micro test in USP-NF - set Y if your specification has one</t>
        </is>
      </c>
    </row>
    <row r="256">
      <c r="A256" s="11" t="inlineStr">
        <is>
          <t>Sorbitol Solution 70%</t>
        </is>
      </c>
      <c r="B256" s="11" t="inlineStr">
        <is>
          <t>RM</t>
        </is>
      </c>
      <c r="C256" s="11" t="inlineStr">
        <is>
          <t>Sweetener</t>
        </is>
      </c>
      <c r="D256" s="11" t="inlineStr">
        <is>
          <t>Microbial enumeration - TAMC + TYMC (&lt;61&gt; / &lt;2021&gt;)</t>
        </is>
      </c>
      <c r="E256" s="5" t="inlineStr">
        <is>
          <t>N</t>
        </is>
      </c>
      <c r="F256" s="5" t="n"/>
      <c r="G256" s="11">
        <f>IFERROR(IF(INDEX('Test catalog'!$F$2:$F$200,MATCH($Y256,'Test catalog'!$A$2:$A$200,0))="","",INDEX('Test catalog'!$F$2:$F$200,MATCH($Y256,'Test catalog'!$A$2:$A$200,0))),"")</f>
        <v/>
      </c>
      <c r="H256" s="11">
        <f>IFERROR(IF(INDEX('Test catalog'!$G$2:$G$200,MATCH($Y256,'Test catalog'!$A$2:$A$200,0))="","",INDEX('Test catalog'!$G$2:$G$200,MATCH($Y256,'Test catalog'!$A$2:$A$200,0))),"")</f>
        <v/>
      </c>
      <c r="I256" s="11">
        <f>IFERROR(IF(INDEX('Test catalog'!$H$2:$H$200,MATCH($Y256,'Test catalog'!$A$2:$A$200,0))="","",INDEX('Test catalog'!$H$2:$H$200,MATCH($Y256,'Test catalog'!$A$2:$A$200,0))),"")</f>
        <v/>
      </c>
      <c r="J256" s="11">
        <f>IFERROR(IF(INDEX('Test catalog'!$I$2:$I$200,MATCH($Y256,'Test catalog'!$A$2:$A$200,0))="","",INDEX('Test catalog'!$I$2:$I$200,MATCH($Y256,'Test catalog'!$A$2:$A$200,0))),"")</f>
        <v/>
      </c>
      <c r="K256" s="13">
        <f>IF(I256="","",IF(OR(H256="",J256=""),I256,(H256+4*I256+J256)/6))</f>
        <v/>
      </c>
      <c r="L256" s="11">
        <f>IFERROR(IF(INDEX('Test catalog'!$J$2:$J$200,MATCH($Y256,'Test catalog'!$A$2:$A$200,0))="","",INDEX('Test catalog'!$J$2:$J$200,MATCH($Y256,'Test catalog'!$A$2:$A$200,0))),"")</f>
        <v/>
      </c>
      <c r="M256" s="11">
        <f>IFERROR(IF(INDEX('Test catalog'!$K$2:$K$200,MATCH($Y256,'Test catalog'!$A$2:$A$200,0))="","",INDEX('Test catalog'!$K$2:$K$200,MATCH($Y256,'Test catalog'!$A$2:$A$200,0))),"")</f>
        <v/>
      </c>
      <c r="N256" s="11">
        <f>IFERROR(IF(INDEX('Test catalog'!$L$2:$L$200,MATCH($Y256,'Test catalog'!$A$2:$A$200,0))="","",INDEX('Test catalog'!$L$2:$L$200,MATCH($Y256,'Test catalog'!$A$2:$A$200,0))),"")</f>
        <v/>
      </c>
      <c r="O256" s="11">
        <f>IFERROR(IF(INDEX('Test catalog'!$M$2:$M$200,MATCH($Y256,'Test catalog'!$A$2:$A$200,0))="","",INDEX('Test catalog'!$M$2:$M$200,MATCH($Y256,'Test catalog'!$A$2:$A$200,0))),"")</f>
        <v/>
      </c>
      <c r="P256" s="11">
        <f>IFERROR(IF(INDEX('Test catalog'!$N$2:$N$200,MATCH($Y256,'Test catalog'!$A$2:$A$200,0))="","",INDEX('Test catalog'!$N$2:$N$200,MATCH($Y256,'Test catalog'!$A$2:$A$200,0))),"")</f>
        <v/>
      </c>
      <c r="Q256" s="11">
        <f>IFERROR(IF(INDEX('Test catalog'!$O$2:$O$200,MATCH($Y256,'Test catalog'!$A$2:$A$200,0))="","",INDEX('Test catalog'!$O$2:$O$200,MATCH($Y256,'Test catalog'!$A$2:$A$200,0))),"")</f>
        <v/>
      </c>
      <c r="R256" s="11">
        <f>IFERROR(IF(INDEX('Test catalog'!$P$2:$P$200,MATCH($Y256,'Test catalog'!$A$2:$A$200,0))="","",INDEX('Test catalog'!$P$2:$P$200,MATCH($Y256,'Test catalog'!$A$2:$A$200,0))),"")</f>
        <v/>
      </c>
      <c r="S256" s="14" t="n"/>
      <c r="T256" s="5" t="n"/>
      <c r="U256" s="11">
        <f>IFERROR(IF(INDEX('Test catalog'!$Q$2:$Q$200,MATCH($Y256,'Test catalog'!$A$2:$A$200,0))="","",INDEX('Test catalog'!$Q$2:$Q$200,MATCH($Y256,'Test catalog'!$A$2:$A$200,0))),"")</f>
        <v/>
      </c>
      <c r="V256" s="5" t="n"/>
      <c r="W256" s="5" t="n"/>
      <c r="X256" s="5" t="n"/>
      <c r="Y256" s="5" t="inlineStr">
        <is>
          <t>ENUM</t>
        </is>
      </c>
      <c r="Z256" s="11" t="inlineStr">
        <is>
          <t>No micro test in USP-NF - set Y if your specification has one</t>
        </is>
      </c>
    </row>
    <row r="257">
      <c r="A257" s="11" t="inlineStr">
        <is>
          <t>Sucralose</t>
        </is>
      </c>
      <c r="B257" s="11" t="inlineStr">
        <is>
          <t>RM</t>
        </is>
      </c>
      <c r="C257" s="11" t="inlineStr">
        <is>
          <t>Sweetener</t>
        </is>
      </c>
      <c r="D257" s="11" t="inlineStr">
        <is>
          <t>Microbial enumeration - TAMC + TYMC (&lt;61&gt; / &lt;2021&gt;)</t>
        </is>
      </c>
      <c r="E257" s="5" t="inlineStr">
        <is>
          <t>N</t>
        </is>
      </c>
      <c r="F257" s="5" t="n"/>
      <c r="G257" s="11">
        <f>IFERROR(IF(INDEX('Test catalog'!$F$2:$F$200,MATCH($Y257,'Test catalog'!$A$2:$A$200,0))="","",INDEX('Test catalog'!$F$2:$F$200,MATCH($Y257,'Test catalog'!$A$2:$A$200,0))),"")</f>
        <v/>
      </c>
      <c r="H257" s="11">
        <f>IFERROR(IF(INDEX('Test catalog'!$G$2:$G$200,MATCH($Y257,'Test catalog'!$A$2:$A$200,0))="","",INDEX('Test catalog'!$G$2:$G$200,MATCH($Y257,'Test catalog'!$A$2:$A$200,0))),"")</f>
        <v/>
      </c>
      <c r="I257" s="11">
        <f>IFERROR(IF(INDEX('Test catalog'!$H$2:$H$200,MATCH($Y257,'Test catalog'!$A$2:$A$200,0))="","",INDEX('Test catalog'!$H$2:$H$200,MATCH($Y257,'Test catalog'!$A$2:$A$200,0))),"")</f>
        <v/>
      </c>
      <c r="J257" s="11">
        <f>IFERROR(IF(INDEX('Test catalog'!$I$2:$I$200,MATCH($Y257,'Test catalog'!$A$2:$A$200,0))="","",INDEX('Test catalog'!$I$2:$I$200,MATCH($Y257,'Test catalog'!$A$2:$A$200,0))),"")</f>
        <v/>
      </c>
      <c r="K257" s="13">
        <f>IF(I257="","",IF(OR(H257="",J257=""),I257,(H257+4*I257+J257)/6))</f>
        <v/>
      </c>
      <c r="L257" s="11">
        <f>IFERROR(IF(INDEX('Test catalog'!$J$2:$J$200,MATCH($Y257,'Test catalog'!$A$2:$A$200,0))="","",INDEX('Test catalog'!$J$2:$J$200,MATCH($Y257,'Test catalog'!$A$2:$A$200,0))),"")</f>
        <v/>
      </c>
      <c r="M257" s="11">
        <f>IFERROR(IF(INDEX('Test catalog'!$K$2:$K$200,MATCH($Y257,'Test catalog'!$A$2:$A$200,0))="","",INDEX('Test catalog'!$K$2:$K$200,MATCH($Y257,'Test catalog'!$A$2:$A$200,0))),"")</f>
        <v/>
      </c>
      <c r="N257" s="11">
        <f>IFERROR(IF(INDEX('Test catalog'!$L$2:$L$200,MATCH($Y257,'Test catalog'!$A$2:$A$200,0))="","",INDEX('Test catalog'!$L$2:$L$200,MATCH($Y257,'Test catalog'!$A$2:$A$200,0))),"")</f>
        <v/>
      </c>
      <c r="O257" s="11">
        <f>IFERROR(IF(INDEX('Test catalog'!$M$2:$M$200,MATCH($Y257,'Test catalog'!$A$2:$A$200,0))="","",INDEX('Test catalog'!$M$2:$M$200,MATCH($Y257,'Test catalog'!$A$2:$A$200,0))),"")</f>
        <v/>
      </c>
      <c r="P257" s="11">
        <f>IFERROR(IF(INDEX('Test catalog'!$N$2:$N$200,MATCH($Y257,'Test catalog'!$A$2:$A$200,0))="","",INDEX('Test catalog'!$N$2:$N$200,MATCH($Y257,'Test catalog'!$A$2:$A$200,0))),"")</f>
        <v/>
      </c>
      <c r="Q257" s="11">
        <f>IFERROR(IF(INDEX('Test catalog'!$O$2:$O$200,MATCH($Y257,'Test catalog'!$A$2:$A$200,0))="","",INDEX('Test catalog'!$O$2:$O$200,MATCH($Y257,'Test catalog'!$A$2:$A$200,0))),"")</f>
        <v/>
      </c>
      <c r="R257" s="11">
        <f>IFERROR(IF(INDEX('Test catalog'!$P$2:$P$200,MATCH($Y257,'Test catalog'!$A$2:$A$200,0))="","",INDEX('Test catalog'!$P$2:$P$200,MATCH($Y257,'Test catalog'!$A$2:$A$200,0))),"")</f>
        <v/>
      </c>
      <c r="S257" s="14" t="n"/>
      <c r="T257" s="5" t="n"/>
      <c r="U257" s="11">
        <f>IFERROR(IF(INDEX('Test catalog'!$Q$2:$Q$200,MATCH($Y257,'Test catalog'!$A$2:$A$200,0))="","",INDEX('Test catalog'!$Q$2:$Q$200,MATCH($Y257,'Test catalog'!$A$2:$A$200,0))),"")</f>
        <v/>
      </c>
      <c r="V257" s="5" t="n"/>
      <c r="W257" s="5" t="n"/>
      <c r="X257" s="5" t="n"/>
      <c r="Y257" s="5" t="inlineStr">
        <is>
          <t>ENUM</t>
        </is>
      </c>
      <c r="Z257" s="11" t="inlineStr">
        <is>
          <t>No micro test in USP-NF - set Y if your specification has one</t>
        </is>
      </c>
    </row>
    <row r="258">
      <c r="A258" s="11" t="inlineStr">
        <is>
          <t>Sorbitol</t>
        </is>
      </c>
      <c r="B258" s="11" t="inlineStr">
        <is>
          <t>RM</t>
        </is>
      </c>
      <c r="C258" s="11" t="inlineStr">
        <is>
          <t>Sweetener / Filler</t>
        </is>
      </c>
      <c r="D258" s="11" t="inlineStr">
        <is>
          <t>Microbial enumeration - TAMC + TYMC (&lt;61&gt; / &lt;2021&gt;)</t>
        </is>
      </c>
      <c r="E258" s="5" t="inlineStr">
        <is>
          <t>Y</t>
        </is>
      </c>
      <c r="F258" s="5" t="n"/>
      <c r="G258" s="11">
        <f>IFERROR(IF(INDEX('Test catalog'!$F$2:$F$200,MATCH($Y258,'Test catalog'!$A$2:$A$200,0))="","",INDEX('Test catalog'!$F$2:$F$200,MATCH($Y258,'Test catalog'!$A$2:$A$200,0))),"")</f>
        <v/>
      </c>
      <c r="H258" s="11">
        <f>IFERROR(IF(INDEX('Test catalog'!$G$2:$G$200,MATCH($Y258,'Test catalog'!$A$2:$A$200,0))="","",INDEX('Test catalog'!$G$2:$G$200,MATCH($Y258,'Test catalog'!$A$2:$A$200,0))),"")</f>
        <v/>
      </c>
      <c r="I258" s="11">
        <f>IFERROR(IF(INDEX('Test catalog'!$H$2:$H$200,MATCH($Y258,'Test catalog'!$A$2:$A$200,0))="","",INDEX('Test catalog'!$H$2:$H$200,MATCH($Y258,'Test catalog'!$A$2:$A$200,0))),"")</f>
        <v/>
      </c>
      <c r="J258" s="11">
        <f>IFERROR(IF(INDEX('Test catalog'!$I$2:$I$200,MATCH($Y258,'Test catalog'!$A$2:$A$200,0))="","",INDEX('Test catalog'!$I$2:$I$200,MATCH($Y258,'Test catalog'!$A$2:$A$200,0))),"")</f>
        <v/>
      </c>
      <c r="K258" s="13">
        <f>IF(I258="","",IF(OR(H258="",J258=""),I258,(H258+4*I258+J258)/6))</f>
        <v/>
      </c>
      <c r="L258" s="11">
        <f>IFERROR(IF(INDEX('Test catalog'!$J$2:$J$200,MATCH($Y258,'Test catalog'!$A$2:$A$200,0))="","",INDEX('Test catalog'!$J$2:$J$200,MATCH($Y258,'Test catalog'!$A$2:$A$200,0))),"")</f>
        <v/>
      </c>
      <c r="M258" s="11">
        <f>IFERROR(IF(INDEX('Test catalog'!$K$2:$K$200,MATCH($Y258,'Test catalog'!$A$2:$A$200,0))="","",INDEX('Test catalog'!$K$2:$K$200,MATCH($Y258,'Test catalog'!$A$2:$A$200,0))),"")</f>
        <v/>
      </c>
      <c r="N258" s="11">
        <f>IFERROR(IF(INDEX('Test catalog'!$L$2:$L$200,MATCH($Y258,'Test catalog'!$A$2:$A$200,0))="","",INDEX('Test catalog'!$L$2:$L$200,MATCH($Y258,'Test catalog'!$A$2:$A$200,0))),"")</f>
        <v/>
      </c>
      <c r="O258" s="11">
        <f>IFERROR(IF(INDEX('Test catalog'!$M$2:$M$200,MATCH($Y258,'Test catalog'!$A$2:$A$200,0))="","",INDEX('Test catalog'!$M$2:$M$200,MATCH($Y258,'Test catalog'!$A$2:$A$200,0))),"")</f>
        <v/>
      </c>
      <c r="P258" s="11">
        <f>IFERROR(IF(INDEX('Test catalog'!$N$2:$N$200,MATCH($Y258,'Test catalog'!$A$2:$A$200,0))="","",INDEX('Test catalog'!$N$2:$N$200,MATCH($Y258,'Test catalog'!$A$2:$A$200,0))),"")</f>
        <v/>
      </c>
      <c r="Q258" s="11">
        <f>IFERROR(IF(INDEX('Test catalog'!$O$2:$O$200,MATCH($Y258,'Test catalog'!$A$2:$A$200,0))="","",INDEX('Test catalog'!$O$2:$O$200,MATCH($Y258,'Test catalog'!$A$2:$A$200,0))),"")</f>
        <v/>
      </c>
      <c r="R258" s="11">
        <f>IFERROR(IF(INDEX('Test catalog'!$P$2:$P$200,MATCH($Y258,'Test catalog'!$A$2:$A$200,0))="","",INDEX('Test catalog'!$P$2:$P$200,MATCH($Y258,'Test catalog'!$A$2:$A$200,0))),"")</f>
        <v/>
      </c>
      <c r="S258" s="14" t="n"/>
      <c r="T258" s="5" t="n"/>
      <c r="U258" s="11">
        <f>IFERROR(IF(INDEX('Test catalog'!$Q$2:$Q$200,MATCH($Y258,'Test catalog'!$A$2:$A$200,0))="","",INDEX('Test catalog'!$Q$2:$Q$200,MATCH($Y258,'Test catalog'!$A$2:$A$200,0))),"")</f>
        <v/>
      </c>
      <c r="V258" s="5" t="n"/>
      <c r="W258" s="5" t="n"/>
      <c r="X258" s="5" t="n"/>
      <c r="Y258" s="5" t="inlineStr">
        <is>
          <t>ENUM</t>
        </is>
      </c>
      <c r="Z258" s="11" t="inlineStr">
        <is>
          <t>USP-NF monograph &lt;61&gt;, &lt;62&gt;</t>
        </is>
      </c>
    </row>
    <row r="259">
      <c r="A259" s="11" t="inlineStr">
        <is>
          <t>Sorbitol</t>
        </is>
      </c>
      <c r="B259" s="11" t="inlineStr">
        <is>
          <t>RM</t>
        </is>
      </c>
      <c r="C259" s="11" t="inlineStr">
        <is>
          <t>Sweetener / Filler</t>
        </is>
      </c>
      <c r="D259" s="11" t="inlineStr">
        <is>
          <t>Bacterial endotoxins (&lt;85&gt;)</t>
        </is>
      </c>
      <c r="E259" s="5" t="inlineStr">
        <is>
          <t>N</t>
        </is>
      </c>
      <c r="F259" s="5" t="n"/>
      <c r="G259" s="11">
        <f>IFERROR(IF(INDEX('Test catalog'!$F$2:$F$200,MATCH($Y259,'Test catalog'!$A$2:$A$200,0))="","",INDEX('Test catalog'!$F$2:$F$200,MATCH($Y259,'Test catalog'!$A$2:$A$200,0))),"")</f>
        <v/>
      </c>
      <c r="H259" s="11">
        <f>IFERROR(IF(INDEX('Test catalog'!$G$2:$G$200,MATCH($Y259,'Test catalog'!$A$2:$A$200,0))="","",INDEX('Test catalog'!$G$2:$G$200,MATCH($Y259,'Test catalog'!$A$2:$A$200,0))),"")</f>
        <v/>
      </c>
      <c r="I259" s="11">
        <f>IFERROR(IF(INDEX('Test catalog'!$H$2:$H$200,MATCH($Y259,'Test catalog'!$A$2:$A$200,0))="","",INDEX('Test catalog'!$H$2:$H$200,MATCH($Y259,'Test catalog'!$A$2:$A$200,0))),"")</f>
        <v/>
      </c>
      <c r="J259" s="11">
        <f>IFERROR(IF(INDEX('Test catalog'!$I$2:$I$200,MATCH($Y259,'Test catalog'!$A$2:$A$200,0))="","",INDEX('Test catalog'!$I$2:$I$200,MATCH($Y259,'Test catalog'!$A$2:$A$200,0))),"")</f>
        <v/>
      </c>
      <c r="K259" s="13">
        <f>IF(I259="","",IF(OR(H259="",J259=""),I259,(H259+4*I259+J259)/6))</f>
        <v/>
      </c>
      <c r="L259" s="11">
        <f>IFERROR(IF(INDEX('Test catalog'!$J$2:$J$200,MATCH($Y259,'Test catalog'!$A$2:$A$200,0))="","",INDEX('Test catalog'!$J$2:$J$200,MATCH($Y259,'Test catalog'!$A$2:$A$200,0))),"")</f>
        <v/>
      </c>
      <c r="M259" s="11">
        <f>IFERROR(IF(INDEX('Test catalog'!$K$2:$K$200,MATCH($Y259,'Test catalog'!$A$2:$A$200,0))="","",INDEX('Test catalog'!$K$2:$K$200,MATCH($Y259,'Test catalog'!$A$2:$A$200,0))),"")</f>
        <v/>
      </c>
      <c r="N259" s="11">
        <f>IFERROR(IF(INDEX('Test catalog'!$L$2:$L$200,MATCH($Y259,'Test catalog'!$A$2:$A$200,0))="","",INDEX('Test catalog'!$L$2:$L$200,MATCH($Y259,'Test catalog'!$A$2:$A$200,0))),"")</f>
        <v/>
      </c>
      <c r="O259" s="11">
        <f>IFERROR(IF(INDEX('Test catalog'!$M$2:$M$200,MATCH($Y259,'Test catalog'!$A$2:$A$200,0))="","",INDEX('Test catalog'!$M$2:$M$200,MATCH($Y259,'Test catalog'!$A$2:$A$200,0))),"")</f>
        <v/>
      </c>
      <c r="P259" s="11">
        <f>IFERROR(IF(INDEX('Test catalog'!$N$2:$N$200,MATCH($Y259,'Test catalog'!$A$2:$A$200,0))="","",INDEX('Test catalog'!$N$2:$N$200,MATCH($Y259,'Test catalog'!$A$2:$A$200,0))),"")</f>
        <v/>
      </c>
      <c r="Q259" s="11">
        <f>IFERROR(IF(INDEX('Test catalog'!$O$2:$O$200,MATCH($Y259,'Test catalog'!$A$2:$A$200,0))="","",INDEX('Test catalog'!$O$2:$O$200,MATCH($Y259,'Test catalog'!$A$2:$A$200,0))),"")</f>
        <v/>
      </c>
      <c r="R259" s="11">
        <f>IFERROR(IF(INDEX('Test catalog'!$P$2:$P$200,MATCH($Y259,'Test catalog'!$A$2:$A$200,0))="","",INDEX('Test catalog'!$P$2:$P$200,MATCH($Y259,'Test catalog'!$A$2:$A$200,0))),"")</f>
        <v/>
      </c>
      <c r="S259" s="14" t="n"/>
      <c r="T259" s="5" t="n"/>
      <c r="U259" s="11">
        <f>IFERROR(IF(INDEX('Test catalog'!$Q$2:$Q$200,MATCH($Y259,'Test catalog'!$A$2:$A$200,0))="","",INDEX('Test catalog'!$Q$2:$Q$200,MATCH($Y259,'Test catalog'!$A$2:$A$200,0))),"")</f>
        <v/>
      </c>
      <c r="V259" s="5" t="n"/>
      <c r="W259" s="5" t="n"/>
      <c r="X259" s="5" t="inlineStr">
        <is>
          <t>Only for some grades/labels (sterile / parenteral)</t>
        </is>
      </c>
      <c r="Y259" s="5" t="inlineStr">
        <is>
          <t>BET</t>
        </is>
      </c>
      <c r="Z259" s="11" t="inlineStr">
        <is>
          <t>USP-NF monograph &lt;85&gt;</t>
        </is>
      </c>
    </row>
    <row r="260">
      <c r="A260" s="11" t="inlineStr">
        <is>
          <t>Sucrose</t>
        </is>
      </c>
      <c r="B260" s="11" t="inlineStr">
        <is>
          <t>RM</t>
        </is>
      </c>
      <c r="C260" s="11" t="inlineStr">
        <is>
          <t>Sweetener / Filler</t>
        </is>
      </c>
      <c r="D260" s="11" t="inlineStr">
        <is>
          <t>Bacterial endotoxins (&lt;85&gt;)</t>
        </is>
      </c>
      <c r="E260" s="5" t="inlineStr">
        <is>
          <t>N</t>
        </is>
      </c>
      <c r="F260" s="5" t="n"/>
      <c r="G260" s="11">
        <f>IFERROR(IF(INDEX('Test catalog'!$F$2:$F$200,MATCH($Y260,'Test catalog'!$A$2:$A$200,0))="","",INDEX('Test catalog'!$F$2:$F$200,MATCH($Y260,'Test catalog'!$A$2:$A$200,0))),"")</f>
        <v/>
      </c>
      <c r="H260" s="11">
        <f>IFERROR(IF(INDEX('Test catalog'!$G$2:$G$200,MATCH($Y260,'Test catalog'!$A$2:$A$200,0))="","",INDEX('Test catalog'!$G$2:$G$200,MATCH($Y260,'Test catalog'!$A$2:$A$200,0))),"")</f>
        <v/>
      </c>
      <c r="I260" s="11">
        <f>IFERROR(IF(INDEX('Test catalog'!$H$2:$H$200,MATCH($Y260,'Test catalog'!$A$2:$A$200,0))="","",INDEX('Test catalog'!$H$2:$H$200,MATCH($Y260,'Test catalog'!$A$2:$A$200,0))),"")</f>
        <v/>
      </c>
      <c r="J260" s="11">
        <f>IFERROR(IF(INDEX('Test catalog'!$I$2:$I$200,MATCH($Y260,'Test catalog'!$A$2:$A$200,0))="","",INDEX('Test catalog'!$I$2:$I$200,MATCH($Y260,'Test catalog'!$A$2:$A$200,0))),"")</f>
        <v/>
      </c>
      <c r="K260" s="13">
        <f>IF(I260="","",IF(OR(H260="",J260=""),I260,(H260+4*I260+J260)/6))</f>
        <v/>
      </c>
      <c r="L260" s="11">
        <f>IFERROR(IF(INDEX('Test catalog'!$J$2:$J$200,MATCH($Y260,'Test catalog'!$A$2:$A$200,0))="","",INDEX('Test catalog'!$J$2:$J$200,MATCH($Y260,'Test catalog'!$A$2:$A$200,0))),"")</f>
        <v/>
      </c>
      <c r="M260" s="11">
        <f>IFERROR(IF(INDEX('Test catalog'!$K$2:$K$200,MATCH($Y260,'Test catalog'!$A$2:$A$200,0))="","",INDEX('Test catalog'!$K$2:$K$200,MATCH($Y260,'Test catalog'!$A$2:$A$200,0))),"")</f>
        <v/>
      </c>
      <c r="N260" s="11">
        <f>IFERROR(IF(INDEX('Test catalog'!$L$2:$L$200,MATCH($Y260,'Test catalog'!$A$2:$A$200,0))="","",INDEX('Test catalog'!$L$2:$L$200,MATCH($Y260,'Test catalog'!$A$2:$A$200,0))),"")</f>
        <v/>
      </c>
      <c r="O260" s="11">
        <f>IFERROR(IF(INDEX('Test catalog'!$M$2:$M$200,MATCH($Y260,'Test catalog'!$A$2:$A$200,0))="","",INDEX('Test catalog'!$M$2:$M$200,MATCH($Y260,'Test catalog'!$A$2:$A$200,0))),"")</f>
        <v/>
      </c>
      <c r="P260" s="11">
        <f>IFERROR(IF(INDEX('Test catalog'!$N$2:$N$200,MATCH($Y260,'Test catalog'!$A$2:$A$200,0))="","",INDEX('Test catalog'!$N$2:$N$200,MATCH($Y260,'Test catalog'!$A$2:$A$200,0))),"")</f>
        <v/>
      </c>
      <c r="Q260" s="11">
        <f>IFERROR(IF(INDEX('Test catalog'!$O$2:$O$200,MATCH($Y260,'Test catalog'!$A$2:$A$200,0))="","",INDEX('Test catalog'!$O$2:$O$200,MATCH($Y260,'Test catalog'!$A$2:$A$200,0))),"")</f>
        <v/>
      </c>
      <c r="R260" s="11">
        <f>IFERROR(IF(INDEX('Test catalog'!$P$2:$P$200,MATCH($Y260,'Test catalog'!$A$2:$A$200,0))="","",INDEX('Test catalog'!$P$2:$P$200,MATCH($Y260,'Test catalog'!$A$2:$A$200,0))),"")</f>
        <v/>
      </c>
      <c r="S260" s="14" t="n"/>
      <c r="T260" s="5" t="n"/>
      <c r="U260" s="11">
        <f>IFERROR(IF(INDEX('Test catalog'!$Q$2:$Q$200,MATCH($Y260,'Test catalog'!$A$2:$A$200,0))="","",INDEX('Test catalog'!$Q$2:$Q$200,MATCH($Y260,'Test catalog'!$A$2:$A$200,0))),"")</f>
        <v/>
      </c>
      <c r="V260" s="5" t="n"/>
      <c r="W260" s="5" t="n"/>
      <c r="X260" s="5" t="inlineStr">
        <is>
          <t>Only for some grades/labels (sterile / parenteral)</t>
        </is>
      </c>
      <c r="Y260" s="5" t="inlineStr">
        <is>
          <t>BET</t>
        </is>
      </c>
      <c r="Z260" s="11" t="inlineStr">
        <is>
          <t>USP-NF monograph &lt;85&gt;</t>
        </is>
      </c>
    </row>
    <row r="261">
      <c r="A261" s="11" t="inlineStr">
        <is>
          <t>Citric Acid</t>
        </is>
      </c>
      <c r="B261" s="11" t="inlineStr">
        <is>
          <t>RM</t>
        </is>
      </c>
      <c r="C261" s="11" t="inlineStr">
        <is>
          <t>pH Modifier / Buffer</t>
        </is>
      </c>
      <c r="D261" s="11" t="inlineStr">
        <is>
          <t>Bacterial endotoxins (&lt;85&gt;)</t>
        </is>
      </c>
      <c r="E261" s="5" t="inlineStr">
        <is>
          <t>N</t>
        </is>
      </c>
      <c r="F261" s="5" t="n"/>
      <c r="G261" s="11">
        <f>IFERROR(IF(INDEX('Test catalog'!$F$2:$F$200,MATCH($Y261,'Test catalog'!$A$2:$A$200,0))="","",INDEX('Test catalog'!$F$2:$F$200,MATCH($Y261,'Test catalog'!$A$2:$A$200,0))),"")</f>
        <v/>
      </c>
      <c r="H261" s="11">
        <f>IFERROR(IF(INDEX('Test catalog'!$G$2:$G$200,MATCH($Y261,'Test catalog'!$A$2:$A$200,0))="","",INDEX('Test catalog'!$G$2:$G$200,MATCH($Y261,'Test catalog'!$A$2:$A$200,0))),"")</f>
        <v/>
      </c>
      <c r="I261" s="11">
        <f>IFERROR(IF(INDEX('Test catalog'!$H$2:$H$200,MATCH($Y261,'Test catalog'!$A$2:$A$200,0))="","",INDEX('Test catalog'!$H$2:$H$200,MATCH($Y261,'Test catalog'!$A$2:$A$200,0))),"")</f>
        <v/>
      </c>
      <c r="J261" s="11">
        <f>IFERROR(IF(INDEX('Test catalog'!$I$2:$I$200,MATCH($Y261,'Test catalog'!$A$2:$A$200,0))="","",INDEX('Test catalog'!$I$2:$I$200,MATCH($Y261,'Test catalog'!$A$2:$A$200,0))),"")</f>
        <v/>
      </c>
      <c r="K261" s="13">
        <f>IF(I261="","",IF(OR(H261="",J261=""),I261,(H261+4*I261+J261)/6))</f>
        <v/>
      </c>
      <c r="L261" s="11">
        <f>IFERROR(IF(INDEX('Test catalog'!$J$2:$J$200,MATCH($Y261,'Test catalog'!$A$2:$A$200,0))="","",INDEX('Test catalog'!$J$2:$J$200,MATCH($Y261,'Test catalog'!$A$2:$A$200,0))),"")</f>
        <v/>
      </c>
      <c r="M261" s="11">
        <f>IFERROR(IF(INDEX('Test catalog'!$K$2:$K$200,MATCH($Y261,'Test catalog'!$A$2:$A$200,0))="","",INDEX('Test catalog'!$K$2:$K$200,MATCH($Y261,'Test catalog'!$A$2:$A$200,0))),"")</f>
        <v/>
      </c>
      <c r="N261" s="11">
        <f>IFERROR(IF(INDEX('Test catalog'!$L$2:$L$200,MATCH($Y261,'Test catalog'!$A$2:$A$200,0))="","",INDEX('Test catalog'!$L$2:$L$200,MATCH($Y261,'Test catalog'!$A$2:$A$200,0))),"")</f>
        <v/>
      </c>
      <c r="O261" s="11">
        <f>IFERROR(IF(INDEX('Test catalog'!$M$2:$M$200,MATCH($Y261,'Test catalog'!$A$2:$A$200,0))="","",INDEX('Test catalog'!$M$2:$M$200,MATCH($Y261,'Test catalog'!$A$2:$A$200,0))),"")</f>
        <v/>
      </c>
      <c r="P261" s="11">
        <f>IFERROR(IF(INDEX('Test catalog'!$N$2:$N$200,MATCH($Y261,'Test catalog'!$A$2:$A$200,0))="","",INDEX('Test catalog'!$N$2:$N$200,MATCH($Y261,'Test catalog'!$A$2:$A$200,0))),"")</f>
        <v/>
      </c>
      <c r="Q261" s="11">
        <f>IFERROR(IF(INDEX('Test catalog'!$O$2:$O$200,MATCH($Y261,'Test catalog'!$A$2:$A$200,0))="","",INDEX('Test catalog'!$O$2:$O$200,MATCH($Y261,'Test catalog'!$A$2:$A$200,0))),"")</f>
        <v/>
      </c>
      <c r="R261" s="11">
        <f>IFERROR(IF(INDEX('Test catalog'!$P$2:$P$200,MATCH($Y261,'Test catalog'!$A$2:$A$200,0))="","",INDEX('Test catalog'!$P$2:$P$200,MATCH($Y261,'Test catalog'!$A$2:$A$200,0))),"")</f>
        <v/>
      </c>
      <c r="S261" s="14" t="n"/>
      <c r="T261" s="5" t="n"/>
      <c r="U261" s="11">
        <f>IFERROR(IF(INDEX('Test catalog'!$Q$2:$Q$200,MATCH($Y261,'Test catalog'!$A$2:$A$200,0))="","",INDEX('Test catalog'!$Q$2:$Q$200,MATCH($Y261,'Test catalog'!$A$2:$A$200,0))),"")</f>
        <v/>
      </c>
      <c r="V261" s="5" t="n"/>
      <c r="W261" s="5" t="n"/>
      <c r="X261" s="5" t="inlineStr">
        <is>
          <t>Only for some grades/labels (sterile / parenteral)</t>
        </is>
      </c>
      <c r="Y261" s="5" t="inlineStr">
        <is>
          <t>BET</t>
        </is>
      </c>
      <c r="Z261" s="11" t="inlineStr">
        <is>
          <t>USP-NF monograph &lt;85&gt;</t>
        </is>
      </c>
    </row>
    <row r="262">
      <c r="A262" s="11" t="inlineStr">
        <is>
          <t>Citric Acid</t>
        </is>
      </c>
      <c r="B262" s="11" t="inlineStr">
        <is>
          <t>RM</t>
        </is>
      </c>
      <c r="C262" s="11" t="inlineStr">
        <is>
          <t>pH Modifier / Buffer</t>
        </is>
      </c>
      <c r="D262" s="11" t="inlineStr">
        <is>
          <t>Sterility (&lt;71&gt;)</t>
        </is>
      </c>
      <c r="E262" s="5" t="inlineStr">
        <is>
          <t>N</t>
        </is>
      </c>
      <c r="F262" s="5" t="n"/>
      <c r="G262" s="11">
        <f>IFERROR(IF(INDEX('Test catalog'!$F$2:$F$200,MATCH($Y262,'Test catalog'!$A$2:$A$200,0))="","",INDEX('Test catalog'!$F$2:$F$200,MATCH($Y262,'Test catalog'!$A$2:$A$200,0))),"")</f>
        <v/>
      </c>
      <c r="H262" s="11">
        <f>IFERROR(IF(INDEX('Test catalog'!$G$2:$G$200,MATCH($Y262,'Test catalog'!$A$2:$A$200,0))="","",INDEX('Test catalog'!$G$2:$G$200,MATCH($Y262,'Test catalog'!$A$2:$A$200,0))),"")</f>
        <v/>
      </c>
      <c r="I262" s="11">
        <f>IFERROR(IF(INDEX('Test catalog'!$H$2:$H$200,MATCH($Y262,'Test catalog'!$A$2:$A$200,0))="","",INDEX('Test catalog'!$H$2:$H$200,MATCH($Y262,'Test catalog'!$A$2:$A$200,0))),"")</f>
        <v/>
      </c>
      <c r="J262" s="11">
        <f>IFERROR(IF(INDEX('Test catalog'!$I$2:$I$200,MATCH($Y262,'Test catalog'!$A$2:$A$200,0))="","",INDEX('Test catalog'!$I$2:$I$200,MATCH($Y262,'Test catalog'!$A$2:$A$200,0))),"")</f>
        <v/>
      </c>
      <c r="K262" s="13">
        <f>IF(I262="","",IF(OR(H262="",J262=""),I262,(H262+4*I262+J262)/6))</f>
        <v/>
      </c>
      <c r="L262" s="11">
        <f>IFERROR(IF(INDEX('Test catalog'!$J$2:$J$200,MATCH($Y262,'Test catalog'!$A$2:$A$200,0))="","",INDEX('Test catalog'!$J$2:$J$200,MATCH($Y262,'Test catalog'!$A$2:$A$200,0))),"")</f>
        <v/>
      </c>
      <c r="M262" s="11">
        <f>IFERROR(IF(INDEX('Test catalog'!$K$2:$K$200,MATCH($Y262,'Test catalog'!$A$2:$A$200,0))="","",INDEX('Test catalog'!$K$2:$K$200,MATCH($Y262,'Test catalog'!$A$2:$A$200,0))),"")</f>
        <v/>
      </c>
      <c r="N262" s="11">
        <f>IFERROR(IF(INDEX('Test catalog'!$L$2:$L$200,MATCH($Y262,'Test catalog'!$A$2:$A$200,0))="","",INDEX('Test catalog'!$L$2:$L$200,MATCH($Y262,'Test catalog'!$A$2:$A$200,0))),"")</f>
        <v/>
      </c>
      <c r="O262" s="11">
        <f>IFERROR(IF(INDEX('Test catalog'!$M$2:$M$200,MATCH($Y262,'Test catalog'!$A$2:$A$200,0))="","",INDEX('Test catalog'!$M$2:$M$200,MATCH($Y262,'Test catalog'!$A$2:$A$200,0))),"")</f>
        <v/>
      </c>
      <c r="P262" s="11">
        <f>IFERROR(IF(INDEX('Test catalog'!$N$2:$N$200,MATCH($Y262,'Test catalog'!$A$2:$A$200,0))="","",INDEX('Test catalog'!$N$2:$N$200,MATCH($Y262,'Test catalog'!$A$2:$A$200,0))),"")</f>
        <v/>
      </c>
      <c r="Q262" s="11">
        <f>IFERROR(IF(INDEX('Test catalog'!$O$2:$O$200,MATCH($Y262,'Test catalog'!$A$2:$A$200,0))="","",INDEX('Test catalog'!$O$2:$O$200,MATCH($Y262,'Test catalog'!$A$2:$A$200,0))),"")</f>
        <v/>
      </c>
      <c r="R262" s="11">
        <f>IFERROR(IF(INDEX('Test catalog'!$P$2:$P$200,MATCH($Y262,'Test catalog'!$A$2:$A$200,0))="","",INDEX('Test catalog'!$P$2:$P$200,MATCH($Y262,'Test catalog'!$A$2:$A$200,0))),"")</f>
        <v/>
      </c>
      <c r="S262" s="14" t="n"/>
      <c r="T262" s="5" t="n"/>
      <c r="U262" s="11">
        <f>IFERROR(IF(INDEX('Test catalog'!$Q$2:$Q$200,MATCH($Y262,'Test catalog'!$A$2:$A$200,0))="","",INDEX('Test catalog'!$Q$2:$Q$200,MATCH($Y262,'Test catalog'!$A$2:$A$200,0))),"")</f>
        <v/>
      </c>
      <c r="V262" s="5" t="n"/>
      <c r="W262" s="5" t="n"/>
      <c r="X262" s="5" t="inlineStr">
        <is>
          <t>Only for some grades/labels (sterile / parenteral)</t>
        </is>
      </c>
      <c r="Y262" s="5" t="inlineStr">
        <is>
          <t>STER</t>
        </is>
      </c>
      <c r="Z262" s="11" t="inlineStr">
        <is>
          <t>USP-NF monograph &lt;71&gt;</t>
        </is>
      </c>
    </row>
    <row r="263">
      <c r="A263" s="11" t="inlineStr">
        <is>
          <t>Citric Acid Anhydrous</t>
        </is>
      </c>
      <c r="B263" s="11" t="inlineStr">
        <is>
          <t>RM</t>
        </is>
      </c>
      <c r="C263" s="11" t="inlineStr">
        <is>
          <t>pH Modifier / Buffer</t>
        </is>
      </c>
      <c r="D263" s="11" t="inlineStr">
        <is>
          <t>Bacterial endotoxins (&lt;85&gt;)</t>
        </is>
      </c>
      <c r="E263" s="5" t="inlineStr">
        <is>
          <t>N</t>
        </is>
      </c>
      <c r="F263" s="5" t="n"/>
      <c r="G263" s="11">
        <f>IFERROR(IF(INDEX('Test catalog'!$F$2:$F$200,MATCH($Y263,'Test catalog'!$A$2:$A$200,0))="","",INDEX('Test catalog'!$F$2:$F$200,MATCH($Y263,'Test catalog'!$A$2:$A$200,0))),"")</f>
        <v/>
      </c>
      <c r="H263" s="11">
        <f>IFERROR(IF(INDEX('Test catalog'!$G$2:$G$200,MATCH($Y263,'Test catalog'!$A$2:$A$200,0))="","",INDEX('Test catalog'!$G$2:$G$200,MATCH($Y263,'Test catalog'!$A$2:$A$200,0))),"")</f>
        <v/>
      </c>
      <c r="I263" s="11">
        <f>IFERROR(IF(INDEX('Test catalog'!$H$2:$H$200,MATCH($Y263,'Test catalog'!$A$2:$A$200,0))="","",INDEX('Test catalog'!$H$2:$H$200,MATCH($Y263,'Test catalog'!$A$2:$A$200,0))),"")</f>
        <v/>
      </c>
      <c r="J263" s="11">
        <f>IFERROR(IF(INDEX('Test catalog'!$I$2:$I$200,MATCH($Y263,'Test catalog'!$A$2:$A$200,0))="","",INDEX('Test catalog'!$I$2:$I$200,MATCH($Y263,'Test catalog'!$A$2:$A$200,0))),"")</f>
        <v/>
      </c>
      <c r="K263" s="13">
        <f>IF(I263="","",IF(OR(H263="",J263=""),I263,(H263+4*I263+J263)/6))</f>
        <v/>
      </c>
      <c r="L263" s="11">
        <f>IFERROR(IF(INDEX('Test catalog'!$J$2:$J$200,MATCH($Y263,'Test catalog'!$A$2:$A$200,0))="","",INDEX('Test catalog'!$J$2:$J$200,MATCH($Y263,'Test catalog'!$A$2:$A$200,0))),"")</f>
        <v/>
      </c>
      <c r="M263" s="11">
        <f>IFERROR(IF(INDEX('Test catalog'!$K$2:$K$200,MATCH($Y263,'Test catalog'!$A$2:$A$200,0))="","",INDEX('Test catalog'!$K$2:$K$200,MATCH($Y263,'Test catalog'!$A$2:$A$200,0))),"")</f>
        <v/>
      </c>
      <c r="N263" s="11">
        <f>IFERROR(IF(INDEX('Test catalog'!$L$2:$L$200,MATCH($Y263,'Test catalog'!$A$2:$A$200,0))="","",INDEX('Test catalog'!$L$2:$L$200,MATCH($Y263,'Test catalog'!$A$2:$A$200,0))),"")</f>
        <v/>
      </c>
      <c r="O263" s="11">
        <f>IFERROR(IF(INDEX('Test catalog'!$M$2:$M$200,MATCH($Y263,'Test catalog'!$A$2:$A$200,0))="","",INDEX('Test catalog'!$M$2:$M$200,MATCH($Y263,'Test catalog'!$A$2:$A$200,0))),"")</f>
        <v/>
      </c>
      <c r="P263" s="11">
        <f>IFERROR(IF(INDEX('Test catalog'!$N$2:$N$200,MATCH($Y263,'Test catalog'!$A$2:$A$200,0))="","",INDEX('Test catalog'!$N$2:$N$200,MATCH($Y263,'Test catalog'!$A$2:$A$200,0))),"")</f>
        <v/>
      </c>
      <c r="Q263" s="11">
        <f>IFERROR(IF(INDEX('Test catalog'!$O$2:$O$200,MATCH($Y263,'Test catalog'!$A$2:$A$200,0))="","",INDEX('Test catalog'!$O$2:$O$200,MATCH($Y263,'Test catalog'!$A$2:$A$200,0))),"")</f>
        <v/>
      </c>
      <c r="R263" s="11">
        <f>IFERROR(IF(INDEX('Test catalog'!$P$2:$P$200,MATCH($Y263,'Test catalog'!$A$2:$A$200,0))="","",INDEX('Test catalog'!$P$2:$P$200,MATCH($Y263,'Test catalog'!$A$2:$A$200,0))),"")</f>
        <v/>
      </c>
      <c r="S263" s="14" t="n"/>
      <c r="T263" s="5" t="n"/>
      <c r="U263" s="11">
        <f>IFERROR(IF(INDEX('Test catalog'!$Q$2:$Q$200,MATCH($Y263,'Test catalog'!$A$2:$A$200,0))="","",INDEX('Test catalog'!$Q$2:$Q$200,MATCH($Y263,'Test catalog'!$A$2:$A$200,0))),"")</f>
        <v/>
      </c>
      <c r="V263" s="5" t="n"/>
      <c r="W263" s="5" t="n"/>
      <c r="X263" s="5" t="inlineStr">
        <is>
          <t>Only for some grades/labels (sterile / parenteral)</t>
        </is>
      </c>
      <c r="Y263" s="5" t="inlineStr">
        <is>
          <t>BET</t>
        </is>
      </c>
      <c r="Z263" s="11" t="inlineStr">
        <is>
          <t>USP-NF monograph &lt;85&gt;</t>
        </is>
      </c>
    </row>
    <row r="264">
      <c r="A264" s="11" t="inlineStr">
        <is>
          <t>Citric Acid Anhydrous</t>
        </is>
      </c>
      <c r="B264" s="11" t="inlineStr">
        <is>
          <t>RM</t>
        </is>
      </c>
      <c r="C264" s="11" t="inlineStr">
        <is>
          <t>pH Modifier / Buffer</t>
        </is>
      </c>
      <c r="D264" s="11" t="inlineStr">
        <is>
          <t>Sterility (&lt;71&gt;)</t>
        </is>
      </c>
      <c r="E264" s="5" t="inlineStr">
        <is>
          <t>N</t>
        </is>
      </c>
      <c r="F264" s="5" t="n"/>
      <c r="G264" s="11">
        <f>IFERROR(IF(INDEX('Test catalog'!$F$2:$F$200,MATCH($Y264,'Test catalog'!$A$2:$A$200,0))="","",INDEX('Test catalog'!$F$2:$F$200,MATCH($Y264,'Test catalog'!$A$2:$A$200,0))),"")</f>
        <v/>
      </c>
      <c r="H264" s="11">
        <f>IFERROR(IF(INDEX('Test catalog'!$G$2:$G$200,MATCH($Y264,'Test catalog'!$A$2:$A$200,0))="","",INDEX('Test catalog'!$G$2:$G$200,MATCH($Y264,'Test catalog'!$A$2:$A$200,0))),"")</f>
        <v/>
      </c>
      <c r="I264" s="11">
        <f>IFERROR(IF(INDEX('Test catalog'!$H$2:$H$200,MATCH($Y264,'Test catalog'!$A$2:$A$200,0))="","",INDEX('Test catalog'!$H$2:$H$200,MATCH($Y264,'Test catalog'!$A$2:$A$200,0))),"")</f>
        <v/>
      </c>
      <c r="J264" s="11">
        <f>IFERROR(IF(INDEX('Test catalog'!$I$2:$I$200,MATCH($Y264,'Test catalog'!$A$2:$A$200,0))="","",INDEX('Test catalog'!$I$2:$I$200,MATCH($Y264,'Test catalog'!$A$2:$A$200,0))),"")</f>
        <v/>
      </c>
      <c r="K264" s="13">
        <f>IF(I264="","",IF(OR(H264="",J264=""),I264,(H264+4*I264+J264)/6))</f>
        <v/>
      </c>
      <c r="L264" s="11">
        <f>IFERROR(IF(INDEX('Test catalog'!$J$2:$J$200,MATCH($Y264,'Test catalog'!$A$2:$A$200,0))="","",INDEX('Test catalog'!$J$2:$J$200,MATCH($Y264,'Test catalog'!$A$2:$A$200,0))),"")</f>
        <v/>
      </c>
      <c r="M264" s="11">
        <f>IFERROR(IF(INDEX('Test catalog'!$K$2:$K$200,MATCH($Y264,'Test catalog'!$A$2:$A$200,0))="","",INDEX('Test catalog'!$K$2:$K$200,MATCH($Y264,'Test catalog'!$A$2:$A$200,0))),"")</f>
        <v/>
      </c>
      <c r="N264" s="11">
        <f>IFERROR(IF(INDEX('Test catalog'!$L$2:$L$200,MATCH($Y264,'Test catalog'!$A$2:$A$200,0))="","",INDEX('Test catalog'!$L$2:$L$200,MATCH($Y264,'Test catalog'!$A$2:$A$200,0))),"")</f>
        <v/>
      </c>
      <c r="O264" s="11">
        <f>IFERROR(IF(INDEX('Test catalog'!$M$2:$M$200,MATCH($Y264,'Test catalog'!$A$2:$A$200,0))="","",INDEX('Test catalog'!$M$2:$M$200,MATCH($Y264,'Test catalog'!$A$2:$A$200,0))),"")</f>
        <v/>
      </c>
      <c r="P264" s="11">
        <f>IFERROR(IF(INDEX('Test catalog'!$N$2:$N$200,MATCH($Y264,'Test catalog'!$A$2:$A$200,0))="","",INDEX('Test catalog'!$N$2:$N$200,MATCH($Y264,'Test catalog'!$A$2:$A$200,0))),"")</f>
        <v/>
      </c>
      <c r="Q264" s="11">
        <f>IFERROR(IF(INDEX('Test catalog'!$O$2:$O$200,MATCH($Y264,'Test catalog'!$A$2:$A$200,0))="","",INDEX('Test catalog'!$O$2:$O$200,MATCH($Y264,'Test catalog'!$A$2:$A$200,0))),"")</f>
        <v/>
      </c>
      <c r="R264" s="11">
        <f>IFERROR(IF(INDEX('Test catalog'!$P$2:$P$200,MATCH($Y264,'Test catalog'!$A$2:$A$200,0))="","",INDEX('Test catalog'!$P$2:$P$200,MATCH($Y264,'Test catalog'!$A$2:$A$200,0))),"")</f>
        <v/>
      </c>
      <c r="S264" s="14" t="n"/>
      <c r="T264" s="5" t="n"/>
      <c r="U264" s="11">
        <f>IFERROR(IF(INDEX('Test catalog'!$Q$2:$Q$200,MATCH($Y264,'Test catalog'!$A$2:$A$200,0))="","",INDEX('Test catalog'!$Q$2:$Q$200,MATCH($Y264,'Test catalog'!$A$2:$A$200,0))),"")</f>
        <v/>
      </c>
      <c r="V264" s="5" t="n"/>
      <c r="W264" s="5" t="n"/>
      <c r="X264" s="5" t="inlineStr">
        <is>
          <t>Only for some grades/labels (sterile / parenteral)</t>
        </is>
      </c>
      <c r="Y264" s="5" t="inlineStr">
        <is>
          <t>STER</t>
        </is>
      </c>
      <c r="Z264" s="11" t="inlineStr">
        <is>
          <t>USP-NF monograph &lt;71&gt;</t>
        </is>
      </c>
    </row>
    <row r="265">
      <c r="A265" s="11" t="inlineStr">
        <is>
          <t>Hydrochloric Acid Solution 37%</t>
        </is>
      </c>
      <c r="B265" s="11" t="inlineStr">
        <is>
          <t>RM</t>
        </is>
      </c>
      <c r="C265" s="11" t="inlineStr">
        <is>
          <t>pH Modifier / Buffer</t>
        </is>
      </c>
      <c r="D265" s="11" t="inlineStr">
        <is>
          <t>Microbial enumeration - TAMC + TYMC (&lt;61&gt; / &lt;2021&gt;)</t>
        </is>
      </c>
      <c r="E265" s="5" t="inlineStr">
        <is>
          <t>N</t>
        </is>
      </c>
      <c r="F265" s="5" t="n"/>
      <c r="G265" s="11">
        <f>IFERROR(IF(INDEX('Test catalog'!$F$2:$F$200,MATCH($Y265,'Test catalog'!$A$2:$A$200,0))="","",INDEX('Test catalog'!$F$2:$F$200,MATCH($Y265,'Test catalog'!$A$2:$A$200,0))),"")</f>
        <v/>
      </c>
      <c r="H265" s="11">
        <f>IFERROR(IF(INDEX('Test catalog'!$G$2:$G$200,MATCH($Y265,'Test catalog'!$A$2:$A$200,0))="","",INDEX('Test catalog'!$G$2:$G$200,MATCH($Y265,'Test catalog'!$A$2:$A$200,0))),"")</f>
        <v/>
      </c>
      <c r="I265" s="11">
        <f>IFERROR(IF(INDEX('Test catalog'!$H$2:$H$200,MATCH($Y265,'Test catalog'!$A$2:$A$200,0))="","",INDEX('Test catalog'!$H$2:$H$200,MATCH($Y265,'Test catalog'!$A$2:$A$200,0))),"")</f>
        <v/>
      </c>
      <c r="J265" s="11">
        <f>IFERROR(IF(INDEX('Test catalog'!$I$2:$I$200,MATCH($Y265,'Test catalog'!$A$2:$A$200,0))="","",INDEX('Test catalog'!$I$2:$I$200,MATCH($Y265,'Test catalog'!$A$2:$A$200,0))),"")</f>
        <v/>
      </c>
      <c r="K265" s="13">
        <f>IF(I265="","",IF(OR(H265="",J265=""),I265,(H265+4*I265+J265)/6))</f>
        <v/>
      </c>
      <c r="L265" s="11">
        <f>IFERROR(IF(INDEX('Test catalog'!$J$2:$J$200,MATCH($Y265,'Test catalog'!$A$2:$A$200,0))="","",INDEX('Test catalog'!$J$2:$J$200,MATCH($Y265,'Test catalog'!$A$2:$A$200,0))),"")</f>
        <v/>
      </c>
      <c r="M265" s="11">
        <f>IFERROR(IF(INDEX('Test catalog'!$K$2:$K$200,MATCH($Y265,'Test catalog'!$A$2:$A$200,0))="","",INDEX('Test catalog'!$K$2:$K$200,MATCH($Y265,'Test catalog'!$A$2:$A$200,0))),"")</f>
        <v/>
      </c>
      <c r="N265" s="11">
        <f>IFERROR(IF(INDEX('Test catalog'!$L$2:$L$200,MATCH($Y265,'Test catalog'!$A$2:$A$200,0))="","",INDEX('Test catalog'!$L$2:$L$200,MATCH($Y265,'Test catalog'!$A$2:$A$200,0))),"")</f>
        <v/>
      </c>
      <c r="O265" s="11">
        <f>IFERROR(IF(INDEX('Test catalog'!$M$2:$M$200,MATCH($Y265,'Test catalog'!$A$2:$A$200,0))="","",INDEX('Test catalog'!$M$2:$M$200,MATCH($Y265,'Test catalog'!$A$2:$A$200,0))),"")</f>
        <v/>
      </c>
      <c r="P265" s="11">
        <f>IFERROR(IF(INDEX('Test catalog'!$N$2:$N$200,MATCH($Y265,'Test catalog'!$A$2:$A$200,0))="","",INDEX('Test catalog'!$N$2:$N$200,MATCH($Y265,'Test catalog'!$A$2:$A$200,0))),"")</f>
        <v/>
      </c>
      <c r="Q265" s="11">
        <f>IFERROR(IF(INDEX('Test catalog'!$O$2:$O$200,MATCH($Y265,'Test catalog'!$A$2:$A$200,0))="","",INDEX('Test catalog'!$O$2:$O$200,MATCH($Y265,'Test catalog'!$A$2:$A$200,0))),"")</f>
        <v/>
      </c>
      <c r="R265" s="11">
        <f>IFERROR(IF(INDEX('Test catalog'!$P$2:$P$200,MATCH($Y265,'Test catalog'!$A$2:$A$200,0))="","",INDEX('Test catalog'!$P$2:$P$200,MATCH($Y265,'Test catalog'!$A$2:$A$200,0))),"")</f>
        <v/>
      </c>
      <c r="S265" s="14" t="n"/>
      <c r="T265" s="5" t="n"/>
      <c r="U265" s="11">
        <f>IFERROR(IF(INDEX('Test catalog'!$Q$2:$Q$200,MATCH($Y265,'Test catalog'!$A$2:$A$200,0))="","",INDEX('Test catalog'!$Q$2:$Q$200,MATCH($Y265,'Test catalog'!$A$2:$A$200,0))),"")</f>
        <v/>
      </c>
      <c r="V265" s="5" t="n"/>
      <c r="W265" s="5" t="n"/>
      <c r="X265" s="5" t="n"/>
      <c r="Y265" s="5" t="inlineStr">
        <is>
          <t>ENUM</t>
        </is>
      </c>
      <c r="Z265" s="11" t="inlineStr">
        <is>
          <t>No micro test in USP-NF - set Y if your specification has one</t>
        </is>
      </c>
    </row>
    <row r="266">
      <c r="A266" s="11" t="inlineStr">
        <is>
          <t>Sodium Bicarbonate</t>
        </is>
      </c>
      <c r="B266" s="11" t="inlineStr">
        <is>
          <t>RM</t>
        </is>
      </c>
      <c r="C266" s="11" t="inlineStr">
        <is>
          <t>pH Modifier / Buffer</t>
        </is>
      </c>
      <c r="D266" s="11" t="inlineStr">
        <is>
          <t>Microbial enumeration - TAMC + TYMC (&lt;61&gt; / &lt;2021&gt;)</t>
        </is>
      </c>
      <c r="E266" s="5" t="inlineStr">
        <is>
          <t>N</t>
        </is>
      </c>
      <c r="F266" s="5" t="n"/>
      <c r="G266" s="11">
        <f>IFERROR(IF(INDEX('Test catalog'!$F$2:$F$200,MATCH($Y266,'Test catalog'!$A$2:$A$200,0))="","",INDEX('Test catalog'!$F$2:$F$200,MATCH($Y266,'Test catalog'!$A$2:$A$200,0))),"")</f>
        <v/>
      </c>
      <c r="H266" s="11">
        <f>IFERROR(IF(INDEX('Test catalog'!$G$2:$G$200,MATCH($Y266,'Test catalog'!$A$2:$A$200,0))="","",INDEX('Test catalog'!$G$2:$G$200,MATCH($Y266,'Test catalog'!$A$2:$A$200,0))),"")</f>
        <v/>
      </c>
      <c r="I266" s="11">
        <f>IFERROR(IF(INDEX('Test catalog'!$H$2:$H$200,MATCH($Y266,'Test catalog'!$A$2:$A$200,0))="","",INDEX('Test catalog'!$H$2:$H$200,MATCH($Y266,'Test catalog'!$A$2:$A$200,0))),"")</f>
        <v/>
      </c>
      <c r="J266" s="11">
        <f>IFERROR(IF(INDEX('Test catalog'!$I$2:$I$200,MATCH($Y266,'Test catalog'!$A$2:$A$200,0))="","",INDEX('Test catalog'!$I$2:$I$200,MATCH($Y266,'Test catalog'!$A$2:$A$200,0))),"")</f>
        <v/>
      </c>
      <c r="K266" s="13">
        <f>IF(I266="","",IF(OR(H266="",J266=""),I266,(H266+4*I266+J266)/6))</f>
        <v/>
      </c>
      <c r="L266" s="11">
        <f>IFERROR(IF(INDEX('Test catalog'!$J$2:$J$200,MATCH($Y266,'Test catalog'!$A$2:$A$200,0))="","",INDEX('Test catalog'!$J$2:$J$200,MATCH($Y266,'Test catalog'!$A$2:$A$200,0))),"")</f>
        <v/>
      </c>
      <c r="M266" s="11">
        <f>IFERROR(IF(INDEX('Test catalog'!$K$2:$K$200,MATCH($Y266,'Test catalog'!$A$2:$A$200,0))="","",INDEX('Test catalog'!$K$2:$K$200,MATCH($Y266,'Test catalog'!$A$2:$A$200,0))),"")</f>
        <v/>
      </c>
      <c r="N266" s="11">
        <f>IFERROR(IF(INDEX('Test catalog'!$L$2:$L$200,MATCH($Y266,'Test catalog'!$A$2:$A$200,0))="","",INDEX('Test catalog'!$L$2:$L$200,MATCH($Y266,'Test catalog'!$A$2:$A$200,0))),"")</f>
        <v/>
      </c>
      <c r="O266" s="11">
        <f>IFERROR(IF(INDEX('Test catalog'!$M$2:$M$200,MATCH($Y266,'Test catalog'!$A$2:$A$200,0))="","",INDEX('Test catalog'!$M$2:$M$200,MATCH($Y266,'Test catalog'!$A$2:$A$200,0))),"")</f>
        <v/>
      </c>
      <c r="P266" s="11">
        <f>IFERROR(IF(INDEX('Test catalog'!$N$2:$N$200,MATCH($Y266,'Test catalog'!$A$2:$A$200,0))="","",INDEX('Test catalog'!$N$2:$N$200,MATCH($Y266,'Test catalog'!$A$2:$A$200,0))),"")</f>
        <v/>
      </c>
      <c r="Q266" s="11">
        <f>IFERROR(IF(INDEX('Test catalog'!$O$2:$O$200,MATCH($Y266,'Test catalog'!$A$2:$A$200,0))="","",INDEX('Test catalog'!$O$2:$O$200,MATCH($Y266,'Test catalog'!$A$2:$A$200,0))),"")</f>
        <v/>
      </c>
      <c r="R266" s="11">
        <f>IFERROR(IF(INDEX('Test catalog'!$P$2:$P$200,MATCH($Y266,'Test catalog'!$A$2:$A$200,0))="","",INDEX('Test catalog'!$P$2:$P$200,MATCH($Y266,'Test catalog'!$A$2:$A$200,0))),"")</f>
        <v/>
      </c>
      <c r="S266" s="14" t="n"/>
      <c r="T266" s="5" t="n"/>
      <c r="U266" s="11">
        <f>IFERROR(IF(INDEX('Test catalog'!$Q$2:$Q$200,MATCH($Y266,'Test catalog'!$A$2:$A$200,0))="","",INDEX('Test catalog'!$Q$2:$Q$200,MATCH($Y266,'Test catalog'!$A$2:$A$200,0))),"")</f>
        <v/>
      </c>
      <c r="V266" s="5" t="n"/>
      <c r="W266" s="5" t="n"/>
      <c r="X266" s="5" t="n"/>
      <c r="Y266" s="5" t="inlineStr">
        <is>
          <t>ENUM</t>
        </is>
      </c>
      <c r="Z266" s="11" t="inlineStr">
        <is>
          <t>No micro test in USP-NF - set Y if your specification has one</t>
        </is>
      </c>
    </row>
    <row r="267">
      <c r="A267" s="11" t="inlineStr">
        <is>
          <t>Sodium Citrate</t>
        </is>
      </c>
      <c r="B267" s="11" t="inlineStr">
        <is>
          <t>RM</t>
        </is>
      </c>
      <c r="C267" s="11" t="inlineStr">
        <is>
          <t>pH Modifier / Buffer</t>
        </is>
      </c>
      <c r="D267" s="11" t="inlineStr">
        <is>
          <t>Microbial enumeration - TAMC + TYMC (&lt;61&gt; / &lt;2021&gt;)</t>
        </is>
      </c>
      <c r="E267" s="5" t="inlineStr">
        <is>
          <t>N</t>
        </is>
      </c>
      <c r="F267" s="5" t="n"/>
      <c r="G267" s="11">
        <f>IFERROR(IF(INDEX('Test catalog'!$F$2:$F$200,MATCH($Y267,'Test catalog'!$A$2:$A$200,0))="","",INDEX('Test catalog'!$F$2:$F$200,MATCH($Y267,'Test catalog'!$A$2:$A$200,0))),"")</f>
        <v/>
      </c>
      <c r="H267" s="11">
        <f>IFERROR(IF(INDEX('Test catalog'!$G$2:$G$200,MATCH($Y267,'Test catalog'!$A$2:$A$200,0))="","",INDEX('Test catalog'!$G$2:$G$200,MATCH($Y267,'Test catalog'!$A$2:$A$200,0))),"")</f>
        <v/>
      </c>
      <c r="I267" s="11">
        <f>IFERROR(IF(INDEX('Test catalog'!$H$2:$H$200,MATCH($Y267,'Test catalog'!$A$2:$A$200,0))="","",INDEX('Test catalog'!$H$2:$H$200,MATCH($Y267,'Test catalog'!$A$2:$A$200,0))),"")</f>
        <v/>
      </c>
      <c r="J267" s="11">
        <f>IFERROR(IF(INDEX('Test catalog'!$I$2:$I$200,MATCH($Y267,'Test catalog'!$A$2:$A$200,0))="","",INDEX('Test catalog'!$I$2:$I$200,MATCH($Y267,'Test catalog'!$A$2:$A$200,0))),"")</f>
        <v/>
      </c>
      <c r="K267" s="13">
        <f>IF(I267="","",IF(OR(H267="",J267=""),I267,(H267+4*I267+J267)/6))</f>
        <v/>
      </c>
      <c r="L267" s="11">
        <f>IFERROR(IF(INDEX('Test catalog'!$J$2:$J$200,MATCH($Y267,'Test catalog'!$A$2:$A$200,0))="","",INDEX('Test catalog'!$J$2:$J$200,MATCH($Y267,'Test catalog'!$A$2:$A$200,0))),"")</f>
        <v/>
      </c>
      <c r="M267" s="11">
        <f>IFERROR(IF(INDEX('Test catalog'!$K$2:$K$200,MATCH($Y267,'Test catalog'!$A$2:$A$200,0))="","",INDEX('Test catalog'!$K$2:$K$200,MATCH($Y267,'Test catalog'!$A$2:$A$200,0))),"")</f>
        <v/>
      </c>
      <c r="N267" s="11">
        <f>IFERROR(IF(INDEX('Test catalog'!$L$2:$L$200,MATCH($Y267,'Test catalog'!$A$2:$A$200,0))="","",INDEX('Test catalog'!$L$2:$L$200,MATCH($Y267,'Test catalog'!$A$2:$A$200,0))),"")</f>
        <v/>
      </c>
      <c r="O267" s="11">
        <f>IFERROR(IF(INDEX('Test catalog'!$M$2:$M$200,MATCH($Y267,'Test catalog'!$A$2:$A$200,0))="","",INDEX('Test catalog'!$M$2:$M$200,MATCH($Y267,'Test catalog'!$A$2:$A$200,0))),"")</f>
        <v/>
      </c>
      <c r="P267" s="11">
        <f>IFERROR(IF(INDEX('Test catalog'!$N$2:$N$200,MATCH($Y267,'Test catalog'!$A$2:$A$200,0))="","",INDEX('Test catalog'!$N$2:$N$200,MATCH($Y267,'Test catalog'!$A$2:$A$200,0))),"")</f>
        <v/>
      </c>
      <c r="Q267" s="11">
        <f>IFERROR(IF(INDEX('Test catalog'!$O$2:$O$200,MATCH($Y267,'Test catalog'!$A$2:$A$200,0))="","",INDEX('Test catalog'!$O$2:$O$200,MATCH($Y267,'Test catalog'!$A$2:$A$200,0))),"")</f>
        <v/>
      </c>
      <c r="R267" s="11">
        <f>IFERROR(IF(INDEX('Test catalog'!$P$2:$P$200,MATCH($Y267,'Test catalog'!$A$2:$A$200,0))="","",INDEX('Test catalog'!$P$2:$P$200,MATCH($Y267,'Test catalog'!$A$2:$A$200,0))),"")</f>
        <v/>
      </c>
      <c r="S267" s="14" t="n"/>
      <c r="T267" s="5" t="n"/>
      <c r="U267" s="11">
        <f>IFERROR(IF(INDEX('Test catalog'!$Q$2:$Q$200,MATCH($Y267,'Test catalog'!$A$2:$A$200,0))="","",INDEX('Test catalog'!$Q$2:$Q$200,MATCH($Y267,'Test catalog'!$A$2:$A$200,0))),"")</f>
        <v/>
      </c>
      <c r="V267" s="5" t="n"/>
      <c r="W267" s="5" t="n"/>
      <c r="X267" s="5" t="n"/>
      <c r="Y267" s="5" t="inlineStr">
        <is>
          <t>ENUM</t>
        </is>
      </c>
      <c r="Z267" s="11" t="inlineStr">
        <is>
          <t>No micro test in USP-NF - set Y if your specification has one</t>
        </is>
      </c>
    </row>
    <row r="268">
      <c r="A268" s="11" t="inlineStr">
        <is>
          <t>Sodium Citrate Dihydrate</t>
        </is>
      </c>
      <c r="B268" s="11" t="inlineStr">
        <is>
          <t>RM</t>
        </is>
      </c>
      <c r="C268" s="11" t="inlineStr">
        <is>
          <t>pH Modifier / Buffer</t>
        </is>
      </c>
      <c r="D268" s="11" t="inlineStr">
        <is>
          <t>Microbial enumeration - TAMC + TYMC (&lt;61&gt; / &lt;2021&gt;)</t>
        </is>
      </c>
      <c r="E268" s="5" t="inlineStr">
        <is>
          <t>N</t>
        </is>
      </c>
      <c r="F268" s="5" t="n"/>
      <c r="G268" s="11">
        <f>IFERROR(IF(INDEX('Test catalog'!$F$2:$F$200,MATCH($Y268,'Test catalog'!$A$2:$A$200,0))="","",INDEX('Test catalog'!$F$2:$F$200,MATCH($Y268,'Test catalog'!$A$2:$A$200,0))),"")</f>
        <v/>
      </c>
      <c r="H268" s="11">
        <f>IFERROR(IF(INDEX('Test catalog'!$G$2:$G$200,MATCH($Y268,'Test catalog'!$A$2:$A$200,0))="","",INDEX('Test catalog'!$G$2:$G$200,MATCH($Y268,'Test catalog'!$A$2:$A$200,0))),"")</f>
        <v/>
      </c>
      <c r="I268" s="11">
        <f>IFERROR(IF(INDEX('Test catalog'!$H$2:$H$200,MATCH($Y268,'Test catalog'!$A$2:$A$200,0))="","",INDEX('Test catalog'!$H$2:$H$200,MATCH($Y268,'Test catalog'!$A$2:$A$200,0))),"")</f>
        <v/>
      </c>
      <c r="J268" s="11">
        <f>IFERROR(IF(INDEX('Test catalog'!$I$2:$I$200,MATCH($Y268,'Test catalog'!$A$2:$A$200,0))="","",INDEX('Test catalog'!$I$2:$I$200,MATCH($Y268,'Test catalog'!$A$2:$A$200,0))),"")</f>
        <v/>
      </c>
      <c r="K268" s="13">
        <f>IF(I268="","",IF(OR(H268="",J268=""),I268,(H268+4*I268+J268)/6))</f>
        <v/>
      </c>
      <c r="L268" s="11">
        <f>IFERROR(IF(INDEX('Test catalog'!$J$2:$J$200,MATCH($Y268,'Test catalog'!$A$2:$A$200,0))="","",INDEX('Test catalog'!$J$2:$J$200,MATCH($Y268,'Test catalog'!$A$2:$A$200,0))),"")</f>
        <v/>
      </c>
      <c r="M268" s="11">
        <f>IFERROR(IF(INDEX('Test catalog'!$K$2:$K$200,MATCH($Y268,'Test catalog'!$A$2:$A$200,0))="","",INDEX('Test catalog'!$K$2:$K$200,MATCH($Y268,'Test catalog'!$A$2:$A$200,0))),"")</f>
        <v/>
      </c>
      <c r="N268" s="11">
        <f>IFERROR(IF(INDEX('Test catalog'!$L$2:$L$200,MATCH($Y268,'Test catalog'!$A$2:$A$200,0))="","",INDEX('Test catalog'!$L$2:$L$200,MATCH($Y268,'Test catalog'!$A$2:$A$200,0))),"")</f>
        <v/>
      </c>
      <c r="O268" s="11">
        <f>IFERROR(IF(INDEX('Test catalog'!$M$2:$M$200,MATCH($Y268,'Test catalog'!$A$2:$A$200,0))="","",INDEX('Test catalog'!$M$2:$M$200,MATCH($Y268,'Test catalog'!$A$2:$A$200,0))),"")</f>
        <v/>
      </c>
      <c r="P268" s="11">
        <f>IFERROR(IF(INDEX('Test catalog'!$N$2:$N$200,MATCH($Y268,'Test catalog'!$A$2:$A$200,0))="","",INDEX('Test catalog'!$N$2:$N$200,MATCH($Y268,'Test catalog'!$A$2:$A$200,0))),"")</f>
        <v/>
      </c>
      <c r="Q268" s="11">
        <f>IFERROR(IF(INDEX('Test catalog'!$O$2:$O$200,MATCH($Y268,'Test catalog'!$A$2:$A$200,0))="","",INDEX('Test catalog'!$O$2:$O$200,MATCH($Y268,'Test catalog'!$A$2:$A$200,0))),"")</f>
        <v/>
      </c>
      <c r="R268" s="11">
        <f>IFERROR(IF(INDEX('Test catalog'!$P$2:$P$200,MATCH($Y268,'Test catalog'!$A$2:$A$200,0))="","",INDEX('Test catalog'!$P$2:$P$200,MATCH($Y268,'Test catalog'!$A$2:$A$200,0))),"")</f>
        <v/>
      </c>
      <c r="S268" s="14" t="n"/>
      <c r="T268" s="5" t="n"/>
      <c r="U268" s="11">
        <f>IFERROR(IF(INDEX('Test catalog'!$Q$2:$Q$200,MATCH($Y268,'Test catalog'!$A$2:$A$200,0))="","",INDEX('Test catalog'!$Q$2:$Q$200,MATCH($Y268,'Test catalog'!$A$2:$A$200,0))),"")</f>
        <v/>
      </c>
      <c r="V268" s="5" t="n"/>
      <c r="W268" s="5" t="n"/>
      <c r="X268" s="5" t="n"/>
      <c r="Y268" s="5" t="inlineStr">
        <is>
          <t>ENUM</t>
        </is>
      </c>
      <c r="Z268" s="11" t="inlineStr">
        <is>
          <t>No micro test in USP-NF - set Y if your specification has one</t>
        </is>
      </c>
    </row>
    <row r="269">
      <c r="A269" s="11" t="inlineStr">
        <is>
          <t>F01</t>
        </is>
      </c>
      <c r="B269" s="11" t="inlineStr">
        <is>
          <t>FP</t>
        </is>
      </c>
      <c r="C269" s="11" t="inlineStr">
        <is>
          <t>Ezetimibe-Rosuvastatin 10-10; Ezetimibe-Rosuvastatin 10-20; Ezetimibe-Rosuvastatin 10-40  |  Ezetimibe, Rosuvastatin Calcium</t>
        </is>
      </c>
      <c r="D269" s="11" t="inlineStr">
        <is>
          <t>Microbial enumeration - TAMC + TYMC (&lt;61&gt; / &lt;2021&gt;)</t>
        </is>
      </c>
      <c r="E269" s="5" t="inlineStr">
        <is>
          <t>Y</t>
        </is>
      </c>
      <c r="F269" s="5" t="n"/>
      <c r="G269" s="11">
        <f>IFERROR(IF(INDEX('Test catalog'!$F$2:$F$200,MATCH($Y269,'Test catalog'!$A$2:$A$200,0))="","",INDEX('Test catalog'!$F$2:$F$200,MATCH($Y269,'Test catalog'!$A$2:$A$200,0))),"")</f>
        <v/>
      </c>
      <c r="H269" s="11">
        <f>IFERROR(IF(INDEX('Test catalog'!$G$2:$G$200,MATCH($Y269,'Test catalog'!$A$2:$A$200,0))="","",INDEX('Test catalog'!$G$2:$G$200,MATCH($Y269,'Test catalog'!$A$2:$A$200,0))),"")</f>
        <v/>
      </c>
      <c r="I269" s="11">
        <f>IFERROR(IF(INDEX('Test catalog'!$H$2:$H$200,MATCH($Y269,'Test catalog'!$A$2:$A$200,0))="","",INDEX('Test catalog'!$H$2:$H$200,MATCH($Y269,'Test catalog'!$A$2:$A$200,0))),"")</f>
        <v/>
      </c>
      <c r="J269" s="11">
        <f>IFERROR(IF(INDEX('Test catalog'!$I$2:$I$200,MATCH($Y269,'Test catalog'!$A$2:$A$200,0))="","",INDEX('Test catalog'!$I$2:$I$200,MATCH($Y269,'Test catalog'!$A$2:$A$200,0))),"")</f>
        <v/>
      </c>
      <c r="K269" s="13">
        <f>IF(I269="","",IF(OR(H269="",J269=""),I269,(H269+4*I269+J269)/6))</f>
        <v/>
      </c>
      <c r="L269" s="11">
        <f>IFERROR(IF(INDEX('Test catalog'!$J$2:$J$200,MATCH($Y269,'Test catalog'!$A$2:$A$200,0))="","",INDEX('Test catalog'!$J$2:$J$200,MATCH($Y269,'Test catalog'!$A$2:$A$200,0))),"")</f>
        <v/>
      </c>
      <c r="M269" s="11">
        <f>IFERROR(IF(INDEX('Test catalog'!$K$2:$K$200,MATCH($Y269,'Test catalog'!$A$2:$A$200,0))="","",INDEX('Test catalog'!$K$2:$K$200,MATCH($Y269,'Test catalog'!$A$2:$A$200,0))),"")</f>
        <v/>
      </c>
      <c r="N269" s="11">
        <f>IFERROR(IF(INDEX('Test catalog'!$L$2:$L$200,MATCH($Y269,'Test catalog'!$A$2:$A$200,0))="","",INDEX('Test catalog'!$L$2:$L$200,MATCH($Y269,'Test catalog'!$A$2:$A$200,0))),"")</f>
        <v/>
      </c>
      <c r="O269" s="11">
        <f>IFERROR(IF(INDEX('Test catalog'!$M$2:$M$200,MATCH($Y269,'Test catalog'!$A$2:$A$200,0))="","",INDEX('Test catalog'!$M$2:$M$200,MATCH($Y269,'Test catalog'!$A$2:$A$200,0))),"")</f>
        <v/>
      </c>
      <c r="P269" s="11">
        <f>IFERROR(IF(INDEX('Test catalog'!$N$2:$N$200,MATCH($Y269,'Test catalog'!$A$2:$A$200,0))="","",INDEX('Test catalog'!$N$2:$N$200,MATCH($Y269,'Test catalog'!$A$2:$A$200,0))),"")</f>
        <v/>
      </c>
      <c r="Q269" s="11">
        <f>IFERROR(IF(INDEX('Test catalog'!$O$2:$O$200,MATCH($Y269,'Test catalog'!$A$2:$A$200,0))="","",INDEX('Test catalog'!$O$2:$O$200,MATCH($Y269,'Test catalog'!$A$2:$A$200,0))),"")</f>
        <v/>
      </c>
      <c r="R269" s="11">
        <f>IFERROR(IF(INDEX('Test catalog'!$P$2:$P$200,MATCH($Y269,'Test catalog'!$A$2:$A$200,0))="","",INDEX('Test catalog'!$P$2:$P$200,MATCH($Y269,'Test catalog'!$A$2:$A$200,0))),"")</f>
        <v/>
      </c>
      <c r="S269" s="14" t="n"/>
      <c r="T269" s="5" t="inlineStr">
        <is>
          <t>Y</t>
        </is>
      </c>
      <c r="U269" s="11">
        <f>IFERROR(IF(INDEX('Test catalog'!$Q$2:$Q$200,MATCH($Y269,'Test catalog'!$A$2:$A$200,0))="","",INDEX('Test catalog'!$Q$2:$Q$200,MATCH($Y269,'Test catalog'!$A$2:$A$200,0))),"")</f>
        <v/>
      </c>
      <c r="V269" s="5" t="n"/>
      <c r="W269" s="5" t="n"/>
      <c r="X269" s="5" t="n"/>
      <c r="Y269" s="5" t="inlineStr">
        <is>
          <t>ENUM</t>
        </is>
      </c>
      <c r="Z269" s="11" t="inlineStr">
        <is>
          <t>USP &lt;1111&gt; oral solid: TAMC, TYMC, absence of E. coli</t>
        </is>
      </c>
    </row>
    <row r="270">
      <c r="A270" s="11" t="inlineStr">
        <is>
          <t>F01</t>
        </is>
      </c>
      <c r="B270" s="11" t="inlineStr">
        <is>
          <t>FP</t>
        </is>
      </c>
      <c r="C270" s="11" t="inlineStr">
        <is>
          <t>Ezetimibe-Rosuvastatin 10-10; Ezetimibe-Rosuvastatin 10-20; Ezetimibe-Rosuvastatin 10-40  |  Ezetimibe, Rosuvastatin Calcium</t>
        </is>
      </c>
      <c r="D270" s="11" t="inlineStr">
        <is>
          <t>Absence of Escherichia coli (&lt;62&gt; / &lt;2022&gt;)</t>
        </is>
      </c>
      <c r="E270" s="5" t="inlineStr">
        <is>
          <t>Y</t>
        </is>
      </c>
      <c r="F270" s="5" t="n"/>
      <c r="G270" s="11">
        <f>IFERROR(IF(INDEX('Test catalog'!$F$2:$F$200,MATCH($Y270,'Test catalog'!$A$2:$A$200,0))="","",INDEX('Test catalog'!$F$2:$F$200,MATCH($Y270,'Test catalog'!$A$2:$A$200,0))),"")</f>
        <v/>
      </c>
      <c r="H270" s="11">
        <f>IFERROR(IF(INDEX('Test catalog'!$G$2:$G$200,MATCH($Y270,'Test catalog'!$A$2:$A$200,0))="","",INDEX('Test catalog'!$G$2:$G$200,MATCH($Y270,'Test catalog'!$A$2:$A$200,0))),"")</f>
        <v/>
      </c>
      <c r="I270" s="11">
        <f>IFERROR(IF(INDEX('Test catalog'!$H$2:$H$200,MATCH($Y270,'Test catalog'!$A$2:$A$200,0))="","",INDEX('Test catalog'!$H$2:$H$200,MATCH($Y270,'Test catalog'!$A$2:$A$200,0))),"")</f>
        <v/>
      </c>
      <c r="J270" s="11">
        <f>IFERROR(IF(INDEX('Test catalog'!$I$2:$I$200,MATCH($Y270,'Test catalog'!$A$2:$A$200,0))="","",INDEX('Test catalog'!$I$2:$I$200,MATCH($Y270,'Test catalog'!$A$2:$A$200,0))),"")</f>
        <v/>
      </c>
      <c r="K270" s="13">
        <f>IF(I270="","",IF(OR(H270="",J270=""),I270,(H270+4*I270+J270)/6))</f>
        <v/>
      </c>
      <c r="L270" s="11">
        <f>IFERROR(IF(INDEX('Test catalog'!$J$2:$J$200,MATCH($Y270,'Test catalog'!$A$2:$A$200,0))="","",INDEX('Test catalog'!$J$2:$J$200,MATCH($Y270,'Test catalog'!$A$2:$A$200,0))),"")</f>
        <v/>
      </c>
      <c r="M270" s="11">
        <f>IFERROR(IF(INDEX('Test catalog'!$K$2:$K$200,MATCH($Y270,'Test catalog'!$A$2:$A$200,0))="","",INDEX('Test catalog'!$K$2:$K$200,MATCH($Y270,'Test catalog'!$A$2:$A$200,0))),"")</f>
        <v/>
      </c>
      <c r="N270" s="11">
        <f>IFERROR(IF(INDEX('Test catalog'!$L$2:$L$200,MATCH($Y270,'Test catalog'!$A$2:$A$200,0))="","",INDEX('Test catalog'!$L$2:$L$200,MATCH($Y270,'Test catalog'!$A$2:$A$200,0))),"")</f>
        <v/>
      </c>
      <c r="O270" s="11">
        <f>IFERROR(IF(INDEX('Test catalog'!$M$2:$M$200,MATCH($Y270,'Test catalog'!$A$2:$A$200,0))="","",INDEX('Test catalog'!$M$2:$M$200,MATCH($Y270,'Test catalog'!$A$2:$A$200,0))),"")</f>
        <v/>
      </c>
      <c r="P270" s="11">
        <f>IFERROR(IF(INDEX('Test catalog'!$N$2:$N$200,MATCH($Y270,'Test catalog'!$A$2:$A$200,0))="","",INDEX('Test catalog'!$N$2:$N$200,MATCH($Y270,'Test catalog'!$A$2:$A$200,0))),"")</f>
        <v/>
      </c>
      <c r="Q270" s="11">
        <f>IFERROR(IF(INDEX('Test catalog'!$O$2:$O$200,MATCH($Y270,'Test catalog'!$A$2:$A$200,0))="","",INDEX('Test catalog'!$O$2:$O$200,MATCH($Y270,'Test catalog'!$A$2:$A$200,0))),"")</f>
        <v/>
      </c>
      <c r="R270" s="11">
        <f>IFERROR(IF(INDEX('Test catalog'!$P$2:$P$200,MATCH($Y270,'Test catalog'!$A$2:$A$200,0))="","",INDEX('Test catalog'!$P$2:$P$200,MATCH($Y270,'Test catalog'!$A$2:$A$200,0))),"")</f>
        <v/>
      </c>
      <c r="S270" s="14" t="n"/>
      <c r="T270" s="5" t="inlineStr">
        <is>
          <t>N</t>
        </is>
      </c>
      <c r="U270" s="11">
        <f>IFERROR(IF(INDEX('Test catalog'!$Q$2:$Q$200,MATCH($Y270,'Test catalog'!$A$2:$A$200,0))="","",INDEX('Test catalog'!$Q$2:$Q$200,MATCH($Y270,'Test catalog'!$A$2:$A$200,0))),"")</f>
        <v/>
      </c>
      <c r="V270" s="5" t="n"/>
      <c r="W270" s="5" t="n"/>
      <c r="X270" s="5" t="n"/>
      <c r="Y270" s="5" t="inlineStr">
        <is>
          <t>ECOLI</t>
        </is>
      </c>
      <c r="Z270" s="11" t="inlineStr">
        <is>
          <t>USP &lt;1111&gt; oral solid: TAMC, TYMC, absence of E. coli</t>
        </is>
      </c>
    </row>
    <row r="271">
      <c r="A271" s="11" t="inlineStr">
        <is>
          <t>F02</t>
        </is>
      </c>
      <c r="B271" s="11" t="inlineStr">
        <is>
          <t>FP</t>
        </is>
      </c>
      <c r="C271" s="11" t="inlineStr">
        <is>
          <t>Resmitrom (Resffera) 60; Resmitrom (Resffera) 80; Resmitrom (Resffera) 100  |  Resmetirom</t>
        </is>
      </c>
      <c r="D271" s="11" t="inlineStr">
        <is>
          <t>Microbial enumeration - TAMC + TYMC (&lt;61&gt; / &lt;2021&gt;)</t>
        </is>
      </c>
      <c r="E271" s="5" t="inlineStr">
        <is>
          <t>Y</t>
        </is>
      </c>
      <c r="F271" s="5" t="n"/>
      <c r="G271" s="11">
        <f>IFERROR(IF(INDEX('Test catalog'!$F$2:$F$200,MATCH($Y271,'Test catalog'!$A$2:$A$200,0))="","",INDEX('Test catalog'!$F$2:$F$200,MATCH($Y271,'Test catalog'!$A$2:$A$200,0))),"")</f>
        <v/>
      </c>
      <c r="H271" s="11">
        <f>IFERROR(IF(INDEX('Test catalog'!$G$2:$G$200,MATCH($Y271,'Test catalog'!$A$2:$A$200,0))="","",INDEX('Test catalog'!$G$2:$G$200,MATCH($Y271,'Test catalog'!$A$2:$A$200,0))),"")</f>
        <v/>
      </c>
      <c r="I271" s="11">
        <f>IFERROR(IF(INDEX('Test catalog'!$H$2:$H$200,MATCH($Y271,'Test catalog'!$A$2:$A$200,0))="","",INDEX('Test catalog'!$H$2:$H$200,MATCH($Y271,'Test catalog'!$A$2:$A$200,0))),"")</f>
        <v/>
      </c>
      <c r="J271" s="11">
        <f>IFERROR(IF(INDEX('Test catalog'!$I$2:$I$200,MATCH($Y271,'Test catalog'!$A$2:$A$200,0))="","",INDEX('Test catalog'!$I$2:$I$200,MATCH($Y271,'Test catalog'!$A$2:$A$200,0))),"")</f>
        <v/>
      </c>
      <c r="K271" s="13">
        <f>IF(I271="","",IF(OR(H271="",J271=""),I271,(H271+4*I271+J271)/6))</f>
        <v/>
      </c>
      <c r="L271" s="11">
        <f>IFERROR(IF(INDEX('Test catalog'!$J$2:$J$200,MATCH($Y271,'Test catalog'!$A$2:$A$200,0))="","",INDEX('Test catalog'!$J$2:$J$200,MATCH($Y271,'Test catalog'!$A$2:$A$200,0))),"")</f>
        <v/>
      </c>
      <c r="M271" s="11">
        <f>IFERROR(IF(INDEX('Test catalog'!$K$2:$K$200,MATCH($Y271,'Test catalog'!$A$2:$A$200,0))="","",INDEX('Test catalog'!$K$2:$K$200,MATCH($Y271,'Test catalog'!$A$2:$A$200,0))),"")</f>
        <v/>
      </c>
      <c r="N271" s="11">
        <f>IFERROR(IF(INDEX('Test catalog'!$L$2:$L$200,MATCH($Y271,'Test catalog'!$A$2:$A$200,0))="","",INDEX('Test catalog'!$L$2:$L$200,MATCH($Y271,'Test catalog'!$A$2:$A$200,0))),"")</f>
        <v/>
      </c>
      <c r="O271" s="11">
        <f>IFERROR(IF(INDEX('Test catalog'!$M$2:$M$200,MATCH($Y271,'Test catalog'!$A$2:$A$200,0))="","",INDEX('Test catalog'!$M$2:$M$200,MATCH($Y271,'Test catalog'!$A$2:$A$200,0))),"")</f>
        <v/>
      </c>
      <c r="P271" s="11">
        <f>IFERROR(IF(INDEX('Test catalog'!$N$2:$N$200,MATCH($Y271,'Test catalog'!$A$2:$A$200,0))="","",INDEX('Test catalog'!$N$2:$N$200,MATCH($Y271,'Test catalog'!$A$2:$A$200,0))),"")</f>
        <v/>
      </c>
      <c r="Q271" s="11">
        <f>IFERROR(IF(INDEX('Test catalog'!$O$2:$O$200,MATCH($Y271,'Test catalog'!$A$2:$A$200,0))="","",INDEX('Test catalog'!$O$2:$O$200,MATCH($Y271,'Test catalog'!$A$2:$A$200,0))),"")</f>
        <v/>
      </c>
      <c r="R271" s="11">
        <f>IFERROR(IF(INDEX('Test catalog'!$P$2:$P$200,MATCH($Y271,'Test catalog'!$A$2:$A$200,0))="","",INDEX('Test catalog'!$P$2:$P$200,MATCH($Y271,'Test catalog'!$A$2:$A$200,0))),"")</f>
        <v/>
      </c>
      <c r="S271" s="14" t="n"/>
      <c r="T271" s="5" t="inlineStr">
        <is>
          <t>Y</t>
        </is>
      </c>
      <c r="U271" s="11">
        <f>IFERROR(IF(INDEX('Test catalog'!$Q$2:$Q$200,MATCH($Y271,'Test catalog'!$A$2:$A$200,0))="","",INDEX('Test catalog'!$Q$2:$Q$200,MATCH($Y271,'Test catalog'!$A$2:$A$200,0))),"")</f>
        <v/>
      </c>
      <c r="V271" s="5" t="n"/>
      <c r="W271" s="5" t="n"/>
      <c r="X271" s="5" t="n"/>
      <c r="Y271" s="5" t="inlineStr">
        <is>
          <t>ENUM</t>
        </is>
      </c>
      <c r="Z271" s="11" t="inlineStr">
        <is>
          <t>USP &lt;1111&gt; oral solid: TAMC, TYMC, absence of E. coli</t>
        </is>
      </c>
    </row>
    <row r="272">
      <c r="A272" s="11" t="inlineStr">
        <is>
          <t>F02</t>
        </is>
      </c>
      <c r="B272" s="11" t="inlineStr">
        <is>
          <t>FP</t>
        </is>
      </c>
      <c r="C272" s="11" t="inlineStr">
        <is>
          <t>Resmitrom (Resffera) 60; Resmitrom (Resffera) 80; Resmitrom (Resffera) 100  |  Resmetirom</t>
        </is>
      </c>
      <c r="D272" s="11" t="inlineStr">
        <is>
          <t>Absence of Escherichia coli (&lt;62&gt; / &lt;2022&gt;)</t>
        </is>
      </c>
      <c r="E272" s="5" t="inlineStr">
        <is>
          <t>Y</t>
        </is>
      </c>
      <c r="F272" s="5" t="n"/>
      <c r="G272" s="11">
        <f>IFERROR(IF(INDEX('Test catalog'!$F$2:$F$200,MATCH($Y272,'Test catalog'!$A$2:$A$200,0))="","",INDEX('Test catalog'!$F$2:$F$200,MATCH($Y272,'Test catalog'!$A$2:$A$200,0))),"")</f>
        <v/>
      </c>
      <c r="H272" s="11">
        <f>IFERROR(IF(INDEX('Test catalog'!$G$2:$G$200,MATCH($Y272,'Test catalog'!$A$2:$A$200,0))="","",INDEX('Test catalog'!$G$2:$G$200,MATCH($Y272,'Test catalog'!$A$2:$A$200,0))),"")</f>
        <v/>
      </c>
      <c r="I272" s="11">
        <f>IFERROR(IF(INDEX('Test catalog'!$H$2:$H$200,MATCH($Y272,'Test catalog'!$A$2:$A$200,0))="","",INDEX('Test catalog'!$H$2:$H$200,MATCH($Y272,'Test catalog'!$A$2:$A$200,0))),"")</f>
        <v/>
      </c>
      <c r="J272" s="11">
        <f>IFERROR(IF(INDEX('Test catalog'!$I$2:$I$200,MATCH($Y272,'Test catalog'!$A$2:$A$200,0))="","",INDEX('Test catalog'!$I$2:$I$200,MATCH($Y272,'Test catalog'!$A$2:$A$200,0))),"")</f>
        <v/>
      </c>
      <c r="K272" s="13">
        <f>IF(I272="","",IF(OR(H272="",J272=""),I272,(H272+4*I272+J272)/6))</f>
        <v/>
      </c>
      <c r="L272" s="11">
        <f>IFERROR(IF(INDEX('Test catalog'!$J$2:$J$200,MATCH($Y272,'Test catalog'!$A$2:$A$200,0))="","",INDEX('Test catalog'!$J$2:$J$200,MATCH($Y272,'Test catalog'!$A$2:$A$200,0))),"")</f>
        <v/>
      </c>
      <c r="M272" s="11">
        <f>IFERROR(IF(INDEX('Test catalog'!$K$2:$K$200,MATCH($Y272,'Test catalog'!$A$2:$A$200,0))="","",INDEX('Test catalog'!$K$2:$K$200,MATCH($Y272,'Test catalog'!$A$2:$A$200,0))),"")</f>
        <v/>
      </c>
      <c r="N272" s="11">
        <f>IFERROR(IF(INDEX('Test catalog'!$L$2:$L$200,MATCH($Y272,'Test catalog'!$A$2:$A$200,0))="","",INDEX('Test catalog'!$L$2:$L$200,MATCH($Y272,'Test catalog'!$A$2:$A$200,0))),"")</f>
        <v/>
      </c>
      <c r="O272" s="11">
        <f>IFERROR(IF(INDEX('Test catalog'!$M$2:$M$200,MATCH($Y272,'Test catalog'!$A$2:$A$200,0))="","",INDEX('Test catalog'!$M$2:$M$200,MATCH($Y272,'Test catalog'!$A$2:$A$200,0))),"")</f>
        <v/>
      </c>
      <c r="P272" s="11">
        <f>IFERROR(IF(INDEX('Test catalog'!$N$2:$N$200,MATCH($Y272,'Test catalog'!$A$2:$A$200,0))="","",INDEX('Test catalog'!$N$2:$N$200,MATCH($Y272,'Test catalog'!$A$2:$A$200,0))),"")</f>
        <v/>
      </c>
      <c r="Q272" s="11">
        <f>IFERROR(IF(INDEX('Test catalog'!$O$2:$O$200,MATCH($Y272,'Test catalog'!$A$2:$A$200,0))="","",INDEX('Test catalog'!$O$2:$O$200,MATCH($Y272,'Test catalog'!$A$2:$A$200,0))),"")</f>
        <v/>
      </c>
      <c r="R272" s="11">
        <f>IFERROR(IF(INDEX('Test catalog'!$P$2:$P$200,MATCH($Y272,'Test catalog'!$A$2:$A$200,0))="","",INDEX('Test catalog'!$P$2:$P$200,MATCH($Y272,'Test catalog'!$A$2:$A$200,0))),"")</f>
        <v/>
      </c>
      <c r="S272" s="14" t="n"/>
      <c r="T272" s="5" t="inlineStr">
        <is>
          <t>N</t>
        </is>
      </c>
      <c r="U272" s="11">
        <f>IFERROR(IF(INDEX('Test catalog'!$Q$2:$Q$200,MATCH($Y272,'Test catalog'!$A$2:$A$200,0))="","",INDEX('Test catalog'!$Q$2:$Q$200,MATCH($Y272,'Test catalog'!$A$2:$A$200,0))),"")</f>
        <v/>
      </c>
      <c r="V272" s="5" t="n"/>
      <c r="W272" s="5" t="n"/>
      <c r="X272" s="5" t="n"/>
      <c r="Y272" s="5" t="inlineStr">
        <is>
          <t>ECOLI</t>
        </is>
      </c>
      <c r="Z272" s="11" t="inlineStr">
        <is>
          <t>USP &lt;1111&gt; oral solid: TAMC, TYMC, absence of E. coli</t>
        </is>
      </c>
    </row>
    <row r="273">
      <c r="A273" s="11" t="inlineStr">
        <is>
          <t>F03</t>
        </is>
      </c>
      <c r="B273" s="11" t="inlineStr">
        <is>
          <t>FP</t>
        </is>
      </c>
      <c r="C273" s="11" t="inlineStr">
        <is>
          <t>Finerodyd 10; Finerodyd 20  |  Finerenone</t>
        </is>
      </c>
      <c r="D273" s="11" t="inlineStr">
        <is>
          <t>Microbial enumeration - TAMC + TYMC (&lt;61&gt; / &lt;2021&gt;)</t>
        </is>
      </c>
      <c r="E273" s="5" t="inlineStr">
        <is>
          <t>Y</t>
        </is>
      </c>
      <c r="F273" s="5" t="n"/>
      <c r="G273" s="11">
        <f>IFERROR(IF(INDEX('Test catalog'!$F$2:$F$200,MATCH($Y273,'Test catalog'!$A$2:$A$200,0))="","",INDEX('Test catalog'!$F$2:$F$200,MATCH($Y273,'Test catalog'!$A$2:$A$200,0))),"")</f>
        <v/>
      </c>
      <c r="H273" s="11">
        <f>IFERROR(IF(INDEX('Test catalog'!$G$2:$G$200,MATCH($Y273,'Test catalog'!$A$2:$A$200,0))="","",INDEX('Test catalog'!$G$2:$G$200,MATCH($Y273,'Test catalog'!$A$2:$A$200,0))),"")</f>
        <v/>
      </c>
      <c r="I273" s="11">
        <f>IFERROR(IF(INDEX('Test catalog'!$H$2:$H$200,MATCH($Y273,'Test catalog'!$A$2:$A$200,0))="","",INDEX('Test catalog'!$H$2:$H$200,MATCH($Y273,'Test catalog'!$A$2:$A$200,0))),"")</f>
        <v/>
      </c>
      <c r="J273" s="11">
        <f>IFERROR(IF(INDEX('Test catalog'!$I$2:$I$200,MATCH($Y273,'Test catalog'!$A$2:$A$200,0))="","",INDEX('Test catalog'!$I$2:$I$200,MATCH($Y273,'Test catalog'!$A$2:$A$200,0))),"")</f>
        <v/>
      </c>
      <c r="K273" s="13">
        <f>IF(I273="","",IF(OR(H273="",J273=""),I273,(H273+4*I273+J273)/6))</f>
        <v/>
      </c>
      <c r="L273" s="11">
        <f>IFERROR(IF(INDEX('Test catalog'!$J$2:$J$200,MATCH($Y273,'Test catalog'!$A$2:$A$200,0))="","",INDEX('Test catalog'!$J$2:$J$200,MATCH($Y273,'Test catalog'!$A$2:$A$200,0))),"")</f>
        <v/>
      </c>
      <c r="M273" s="11">
        <f>IFERROR(IF(INDEX('Test catalog'!$K$2:$K$200,MATCH($Y273,'Test catalog'!$A$2:$A$200,0))="","",INDEX('Test catalog'!$K$2:$K$200,MATCH($Y273,'Test catalog'!$A$2:$A$200,0))),"")</f>
        <v/>
      </c>
      <c r="N273" s="11">
        <f>IFERROR(IF(INDEX('Test catalog'!$L$2:$L$200,MATCH($Y273,'Test catalog'!$A$2:$A$200,0))="","",INDEX('Test catalog'!$L$2:$L$200,MATCH($Y273,'Test catalog'!$A$2:$A$200,0))),"")</f>
        <v/>
      </c>
      <c r="O273" s="11">
        <f>IFERROR(IF(INDEX('Test catalog'!$M$2:$M$200,MATCH($Y273,'Test catalog'!$A$2:$A$200,0))="","",INDEX('Test catalog'!$M$2:$M$200,MATCH($Y273,'Test catalog'!$A$2:$A$200,0))),"")</f>
        <v/>
      </c>
      <c r="P273" s="11">
        <f>IFERROR(IF(INDEX('Test catalog'!$N$2:$N$200,MATCH($Y273,'Test catalog'!$A$2:$A$200,0))="","",INDEX('Test catalog'!$N$2:$N$200,MATCH($Y273,'Test catalog'!$A$2:$A$200,0))),"")</f>
        <v/>
      </c>
      <c r="Q273" s="11">
        <f>IFERROR(IF(INDEX('Test catalog'!$O$2:$O$200,MATCH($Y273,'Test catalog'!$A$2:$A$200,0))="","",INDEX('Test catalog'!$O$2:$O$200,MATCH($Y273,'Test catalog'!$A$2:$A$200,0))),"")</f>
        <v/>
      </c>
      <c r="R273" s="11">
        <f>IFERROR(IF(INDEX('Test catalog'!$P$2:$P$200,MATCH($Y273,'Test catalog'!$A$2:$A$200,0))="","",INDEX('Test catalog'!$P$2:$P$200,MATCH($Y273,'Test catalog'!$A$2:$A$200,0))),"")</f>
        <v/>
      </c>
      <c r="S273" s="14" t="n"/>
      <c r="T273" s="5" t="inlineStr">
        <is>
          <t>Y</t>
        </is>
      </c>
      <c r="U273" s="11">
        <f>IFERROR(IF(INDEX('Test catalog'!$Q$2:$Q$200,MATCH($Y273,'Test catalog'!$A$2:$A$200,0))="","",INDEX('Test catalog'!$Q$2:$Q$200,MATCH($Y273,'Test catalog'!$A$2:$A$200,0))),"")</f>
        <v/>
      </c>
      <c r="V273" s="5" t="n"/>
      <c r="W273" s="5" t="n"/>
      <c r="X273" s="5" t="n"/>
      <c r="Y273" s="5" t="inlineStr">
        <is>
          <t>ENUM</t>
        </is>
      </c>
      <c r="Z273" s="11" t="inlineStr">
        <is>
          <t>USP &lt;1111&gt; oral solid: TAMC, TYMC, absence of E. coli</t>
        </is>
      </c>
    </row>
    <row r="274">
      <c r="A274" s="11" t="inlineStr">
        <is>
          <t>F03</t>
        </is>
      </c>
      <c r="B274" s="11" t="inlineStr">
        <is>
          <t>FP</t>
        </is>
      </c>
      <c r="C274" s="11" t="inlineStr">
        <is>
          <t>Finerodyd 10; Finerodyd 20  |  Finerenone</t>
        </is>
      </c>
      <c r="D274" s="11" t="inlineStr">
        <is>
          <t>Absence of Escherichia coli (&lt;62&gt; / &lt;2022&gt;)</t>
        </is>
      </c>
      <c r="E274" s="5" t="inlineStr">
        <is>
          <t>Y</t>
        </is>
      </c>
      <c r="F274" s="5" t="n"/>
      <c r="G274" s="11">
        <f>IFERROR(IF(INDEX('Test catalog'!$F$2:$F$200,MATCH($Y274,'Test catalog'!$A$2:$A$200,0))="","",INDEX('Test catalog'!$F$2:$F$200,MATCH($Y274,'Test catalog'!$A$2:$A$200,0))),"")</f>
        <v/>
      </c>
      <c r="H274" s="11">
        <f>IFERROR(IF(INDEX('Test catalog'!$G$2:$G$200,MATCH($Y274,'Test catalog'!$A$2:$A$200,0))="","",INDEX('Test catalog'!$G$2:$G$200,MATCH($Y274,'Test catalog'!$A$2:$A$200,0))),"")</f>
        <v/>
      </c>
      <c r="I274" s="11">
        <f>IFERROR(IF(INDEX('Test catalog'!$H$2:$H$200,MATCH($Y274,'Test catalog'!$A$2:$A$200,0))="","",INDEX('Test catalog'!$H$2:$H$200,MATCH($Y274,'Test catalog'!$A$2:$A$200,0))),"")</f>
        <v/>
      </c>
      <c r="J274" s="11">
        <f>IFERROR(IF(INDEX('Test catalog'!$I$2:$I$200,MATCH($Y274,'Test catalog'!$A$2:$A$200,0))="","",INDEX('Test catalog'!$I$2:$I$200,MATCH($Y274,'Test catalog'!$A$2:$A$200,0))),"")</f>
        <v/>
      </c>
      <c r="K274" s="13">
        <f>IF(I274="","",IF(OR(H274="",J274=""),I274,(H274+4*I274+J274)/6))</f>
        <v/>
      </c>
      <c r="L274" s="11">
        <f>IFERROR(IF(INDEX('Test catalog'!$J$2:$J$200,MATCH($Y274,'Test catalog'!$A$2:$A$200,0))="","",INDEX('Test catalog'!$J$2:$J$200,MATCH($Y274,'Test catalog'!$A$2:$A$200,0))),"")</f>
        <v/>
      </c>
      <c r="M274" s="11">
        <f>IFERROR(IF(INDEX('Test catalog'!$K$2:$K$200,MATCH($Y274,'Test catalog'!$A$2:$A$200,0))="","",INDEX('Test catalog'!$K$2:$K$200,MATCH($Y274,'Test catalog'!$A$2:$A$200,0))),"")</f>
        <v/>
      </c>
      <c r="N274" s="11">
        <f>IFERROR(IF(INDEX('Test catalog'!$L$2:$L$200,MATCH($Y274,'Test catalog'!$A$2:$A$200,0))="","",INDEX('Test catalog'!$L$2:$L$200,MATCH($Y274,'Test catalog'!$A$2:$A$200,0))),"")</f>
        <v/>
      </c>
      <c r="O274" s="11">
        <f>IFERROR(IF(INDEX('Test catalog'!$M$2:$M$200,MATCH($Y274,'Test catalog'!$A$2:$A$200,0))="","",INDEX('Test catalog'!$M$2:$M$200,MATCH($Y274,'Test catalog'!$A$2:$A$200,0))),"")</f>
        <v/>
      </c>
      <c r="P274" s="11">
        <f>IFERROR(IF(INDEX('Test catalog'!$N$2:$N$200,MATCH($Y274,'Test catalog'!$A$2:$A$200,0))="","",INDEX('Test catalog'!$N$2:$N$200,MATCH($Y274,'Test catalog'!$A$2:$A$200,0))),"")</f>
        <v/>
      </c>
      <c r="Q274" s="11">
        <f>IFERROR(IF(INDEX('Test catalog'!$O$2:$O$200,MATCH($Y274,'Test catalog'!$A$2:$A$200,0))="","",INDEX('Test catalog'!$O$2:$O$200,MATCH($Y274,'Test catalog'!$A$2:$A$200,0))),"")</f>
        <v/>
      </c>
      <c r="R274" s="11">
        <f>IFERROR(IF(INDEX('Test catalog'!$P$2:$P$200,MATCH($Y274,'Test catalog'!$A$2:$A$200,0))="","",INDEX('Test catalog'!$P$2:$P$200,MATCH($Y274,'Test catalog'!$A$2:$A$200,0))),"")</f>
        <v/>
      </c>
      <c r="S274" s="14" t="n"/>
      <c r="T274" s="5" t="inlineStr">
        <is>
          <t>N</t>
        </is>
      </c>
      <c r="U274" s="11">
        <f>IFERROR(IF(INDEX('Test catalog'!$Q$2:$Q$200,MATCH($Y274,'Test catalog'!$A$2:$A$200,0))="","",INDEX('Test catalog'!$Q$2:$Q$200,MATCH($Y274,'Test catalog'!$A$2:$A$200,0))),"")</f>
        <v/>
      </c>
      <c r="V274" s="5" t="n"/>
      <c r="W274" s="5" t="n"/>
      <c r="X274" s="5" t="n"/>
      <c r="Y274" s="5" t="inlineStr">
        <is>
          <t>ECOLI</t>
        </is>
      </c>
      <c r="Z274" s="11" t="inlineStr">
        <is>
          <t>USP &lt;1111&gt; oral solid: TAMC, TYMC, absence of E. coli</t>
        </is>
      </c>
    </row>
    <row r="275">
      <c r="A275" s="11" t="inlineStr">
        <is>
          <t>F04</t>
        </is>
      </c>
      <c r="B275" s="11" t="inlineStr">
        <is>
          <t>FP</t>
        </is>
      </c>
      <c r="C275" s="11" t="inlineStr">
        <is>
          <t>Cardyd 20; Cardyd 40; Cardyd 80  |  Telmisartan</t>
        </is>
      </c>
      <c r="D275" s="11" t="inlineStr">
        <is>
          <t>Microbial enumeration - TAMC + TYMC (&lt;61&gt; / &lt;2021&gt;)</t>
        </is>
      </c>
      <c r="E275" s="5" t="inlineStr">
        <is>
          <t>Y</t>
        </is>
      </c>
      <c r="F275" s="5" t="n"/>
      <c r="G275" s="11">
        <f>IFERROR(IF(INDEX('Test catalog'!$F$2:$F$200,MATCH($Y275,'Test catalog'!$A$2:$A$200,0))="","",INDEX('Test catalog'!$F$2:$F$200,MATCH($Y275,'Test catalog'!$A$2:$A$200,0))),"")</f>
        <v/>
      </c>
      <c r="H275" s="11">
        <f>IFERROR(IF(INDEX('Test catalog'!$G$2:$G$200,MATCH($Y275,'Test catalog'!$A$2:$A$200,0))="","",INDEX('Test catalog'!$G$2:$G$200,MATCH($Y275,'Test catalog'!$A$2:$A$200,0))),"")</f>
        <v/>
      </c>
      <c r="I275" s="11">
        <f>IFERROR(IF(INDEX('Test catalog'!$H$2:$H$200,MATCH($Y275,'Test catalog'!$A$2:$A$200,0))="","",INDEX('Test catalog'!$H$2:$H$200,MATCH($Y275,'Test catalog'!$A$2:$A$200,0))),"")</f>
        <v/>
      </c>
      <c r="J275" s="11">
        <f>IFERROR(IF(INDEX('Test catalog'!$I$2:$I$200,MATCH($Y275,'Test catalog'!$A$2:$A$200,0))="","",INDEX('Test catalog'!$I$2:$I$200,MATCH($Y275,'Test catalog'!$A$2:$A$200,0))),"")</f>
        <v/>
      </c>
      <c r="K275" s="13">
        <f>IF(I275="","",IF(OR(H275="",J275=""),I275,(H275+4*I275+J275)/6))</f>
        <v/>
      </c>
      <c r="L275" s="11">
        <f>IFERROR(IF(INDEX('Test catalog'!$J$2:$J$200,MATCH($Y275,'Test catalog'!$A$2:$A$200,0))="","",INDEX('Test catalog'!$J$2:$J$200,MATCH($Y275,'Test catalog'!$A$2:$A$200,0))),"")</f>
        <v/>
      </c>
      <c r="M275" s="11">
        <f>IFERROR(IF(INDEX('Test catalog'!$K$2:$K$200,MATCH($Y275,'Test catalog'!$A$2:$A$200,0))="","",INDEX('Test catalog'!$K$2:$K$200,MATCH($Y275,'Test catalog'!$A$2:$A$200,0))),"")</f>
        <v/>
      </c>
      <c r="N275" s="11">
        <f>IFERROR(IF(INDEX('Test catalog'!$L$2:$L$200,MATCH($Y275,'Test catalog'!$A$2:$A$200,0))="","",INDEX('Test catalog'!$L$2:$L$200,MATCH($Y275,'Test catalog'!$A$2:$A$200,0))),"")</f>
        <v/>
      </c>
      <c r="O275" s="11">
        <f>IFERROR(IF(INDEX('Test catalog'!$M$2:$M$200,MATCH($Y275,'Test catalog'!$A$2:$A$200,0))="","",INDEX('Test catalog'!$M$2:$M$200,MATCH($Y275,'Test catalog'!$A$2:$A$200,0))),"")</f>
        <v/>
      </c>
      <c r="P275" s="11">
        <f>IFERROR(IF(INDEX('Test catalog'!$N$2:$N$200,MATCH($Y275,'Test catalog'!$A$2:$A$200,0))="","",INDEX('Test catalog'!$N$2:$N$200,MATCH($Y275,'Test catalog'!$A$2:$A$200,0))),"")</f>
        <v/>
      </c>
      <c r="Q275" s="11">
        <f>IFERROR(IF(INDEX('Test catalog'!$O$2:$O$200,MATCH($Y275,'Test catalog'!$A$2:$A$200,0))="","",INDEX('Test catalog'!$O$2:$O$200,MATCH($Y275,'Test catalog'!$A$2:$A$200,0))),"")</f>
        <v/>
      </c>
      <c r="R275" s="11">
        <f>IFERROR(IF(INDEX('Test catalog'!$P$2:$P$200,MATCH($Y275,'Test catalog'!$A$2:$A$200,0))="","",INDEX('Test catalog'!$P$2:$P$200,MATCH($Y275,'Test catalog'!$A$2:$A$200,0))),"")</f>
        <v/>
      </c>
      <c r="S275" s="14" t="n"/>
      <c r="T275" s="5" t="inlineStr">
        <is>
          <t>Y</t>
        </is>
      </c>
      <c r="U275" s="11">
        <f>IFERROR(IF(INDEX('Test catalog'!$Q$2:$Q$200,MATCH($Y275,'Test catalog'!$A$2:$A$200,0))="","",INDEX('Test catalog'!$Q$2:$Q$200,MATCH($Y275,'Test catalog'!$A$2:$A$200,0))),"")</f>
        <v/>
      </c>
      <c r="V275" s="5" t="n"/>
      <c r="W275" s="5" t="n"/>
      <c r="X275" s="5" t="n"/>
      <c r="Y275" s="5" t="inlineStr">
        <is>
          <t>ENUM</t>
        </is>
      </c>
      <c r="Z275" s="11" t="inlineStr">
        <is>
          <t>USP &lt;1111&gt; oral solid: TAMC, TYMC, absence of E. coli</t>
        </is>
      </c>
    </row>
    <row r="276">
      <c r="A276" s="11" t="inlineStr">
        <is>
          <t>F04</t>
        </is>
      </c>
      <c r="B276" s="11" t="inlineStr">
        <is>
          <t>FP</t>
        </is>
      </c>
      <c r="C276" s="11" t="inlineStr">
        <is>
          <t>Cardyd 20; Cardyd 40; Cardyd 80  |  Telmisartan</t>
        </is>
      </c>
      <c r="D276" s="11" t="inlineStr">
        <is>
          <t>Absence of Escherichia coli (&lt;62&gt; / &lt;2022&gt;)</t>
        </is>
      </c>
      <c r="E276" s="5" t="inlineStr">
        <is>
          <t>Y</t>
        </is>
      </c>
      <c r="F276" s="5" t="n"/>
      <c r="G276" s="11">
        <f>IFERROR(IF(INDEX('Test catalog'!$F$2:$F$200,MATCH($Y276,'Test catalog'!$A$2:$A$200,0))="","",INDEX('Test catalog'!$F$2:$F$200,MATCH($Y276,'Test catalog'!$A$2:$A$200,0))),"")</f>
        <v/>
      </c>
      <c r="H276" s="11">
        <f>IFERROR(IF(INDEX('Test catalog'!$G$2:$G$200,MATCH($Y276,'Test catalog'!$A$2:$A$200,0))="","",INDEX('Test catalog'!$G$2:$G$200,MATCH($Y276,'Test catalog'!$A$2:$A$200,0))),"")</f>
        <v/>
      </c>
      <c r="I276" s="11">
        <f>IFERROR(IF(INDEX('Test catalog'!$H$2:$H$200,MATCH($Y276,'Test catalog'!$A$2:$A$200,0))="","",INDEX('Test catalog'!$H$2:$H$200,MATCH($Y276,'Test catalog'!$A$2:$A$200,0))),"")</f>
        <v/>
      </c>
      <c r="J276" s="11">
        <f>IFERROR(IF(INDEX('Test catalog'!$I$2:$I$200,MATCH($Y276,'Test catalog'!$A$2:$A$200,0))="","",INDEX('Test catalog'!$I$2:$I$200,MATCH($Y276,'Test catalog'!$A$2:$A$200,0))),"")</f>
        <v/>
      </c>
      <c r="K276" s="13">
        <f>IF(I276="","",IF(OR(H276="",J276=""),I276,(H276+4*I276+J276)/6))</f>
        <v/>
      </c>
      <c r="L276" s="11">
        <f>IFERROR(IF(INDEX('Test catalog'!$J$2:$J$200,MATCH($Y276,'Test catalog'!$A$2:$A$200,0))="","",INDEX('Test catalog'!$J$2:$J$200,MATCH($Y276,'Test catalog'!$A$2:$A$200,0))),"")</f>
        <v/>
      </c>
      <c r="M276" s="11">
        <f>IFERROR(IF(INDEX('Test catalog'!$K$2:$K$200,MATCH($Y276,'Test catalog'!$A$2:$A$200,0))="","",INDEX('Test catalog'!$K$2:$K$200,MATCH($Y276,'Test catalog'!$A$2:$A$200,0))),"")</f>
        <v/>
      </c>
      <c r="N276" s="11">
        <f>IFERROR(IF(INDEX('Test catalog'!$L$2:$L$200,MATCH($Y276,'Test catalog'!$A$2:$A$200,0))="","",INDEX('Test catalog'!$L$2:$L$200,MATCH($Y276,'Test catalog'!$A$2:$A$200,0))),"")</f>
        <v/>
      </c>
      <c r="O276" s="11">
        <f>IFERROR(IF(INDEX('Test catalog'!$M$2:$M$200,MATCH($Y276,'Test catalog'!$A$2:$A$200,0))="","",INDEX('Test catalog'!$M$2:$M$200,MATCH($Y276,'Test catalog'!$A$2:$A$200,0))),"")</f>
        <v/>
      </c>
      <c r="P276" s="11">
        <f>IFERROR(IF(INDEX('Test catalog'!$N$2:$N$200,MATCH($Y276,'Test catalog'!$A$2:$A$200,0))="","",INDEX('Test catalog'!$N$2:$N$200,MATCH($Y276,'Test catalog'!$A$2:$A$200,0))),"")</f>
        <v/>
      </c>
      <c r="Q276" s="11">
        <f>IFERROR(IF(INDEX('Test catalog'!$O$2:$O$200,MATCH($Y276,'Test catalog'!$A$2:$A$200,0))="","",INDEX('Test catalog'!$O$2:$O$200,MATCH($Y276,'Test catalog'!$A$2:$A$200,0))),"")</f>
        <v/>
      </c>
      <c r="R276" s="11">
        <f>IFERROR(IF(INDEX('Test catalog'!$P$2:$P$200,MATCH($Y276,'Test catalog'!$A$2:$A$200,0))="","",INDEX('Test catalog'!$P$2:$P$200,MATCH($Y276,'Test catalog'!$A$2:$A$200,0))),"")</f>
        <v/>
      </c>
      <c r="S276" s="14" t="n"/>
      <c r="T276" s="5" t="inlineStr">
        <is>
          <t>N</t>
        </is>
      </c>
      <c r="U276" s="11">
        <f>IFERROR(IF(INDEX('Test catalog'!$Q$2:$Q$200,MATCH($Y276,'Test catalog'!$A$2:$A$200,0))="","",INDEX('Test catalog'!$Q$2:$Q$200,MATCH($Y276,'Test catalog'!$A$2:$A$200,0))),"")</f>
        <v/>
      </c>
      <c r="V276" s="5" t="n"/>
      <c r="W276" s="5" t="n"/>
      <c r="X276" s="5" t="n"/>
      <c r="Y276" s="5" t="inlineStr">
        <is>
          <t>ECOLI</t>
        </is>
      </c>
      <c r="Z276" s="11" t="inlineStr">
        <is>
          <t>USP &lt;1111&gt; oral solid: TAMC, TYMC, absence of E. coli</t>
        </is>
      </c>
    </row>
    <row r="277">
      <c r="A277" s="11" t="inlineStr">
        <is>
          <t>F05</t>
        </is>
      </c>
      <c r="B277" s="11" t="inlineStr">
        <is>
          <t>FP</t>
        </is>
      </c>
      <c r="C277" s="11" t="inlineStr">
        <is>
          <t>Cardyd-AM 80/5; Cardyd-AM 80/10; Cardyd-AM 40/5; Cardyd-AM 40/10  |  Telmisartan, Amlodipine Besylate</t>
        </is>
      </c>
      <c r="D277" s="11" t="inlineStr">
        <is>
          <t>Microbial enumeration - TAMC + TYMC (&lt;61&gt; / &lt;2021&gt;)</t>
        </is>
      </c>
      <c r="E277" s="5" t="inlineStr">
        <is>
          <t>Y</t>
        </is>
      </c>
      <c r="F277" s="5" t="n"/>
      <c r="G277" s="11">
        <f>IFERROR(IF(INDEX('Test catalog'!$F$2:$F$200,MATCH($Y277,'Test catalog'!$A$2:$A$200,0))="","",INDEX('Test catalog'!$F$2:$F$200,MATCH($Y277,'Test catalog'!$A$2:$A$200,0))),"")</f>
        <v/>
      </c>
      <c r="H277" s="11">
        <f>IFERROR(IF(INDEX('Test catalog'!$G$2:$G$200,MATCH($Y277,'Test catalog'!$A$2:$A$200,0))="","",INDEX('Test catalog'!$G$2:$G$200,MATCH($Y277,'Test catalog'!$A$2:$A$200,0))),"")</f>
        <v/>
      </c>
      <c r="I277" s="11">
        <f>IFERROR(IF(INDEX('Test catalog'!$H$2:$H$200,MATCH($Y277,'Test catalog'!$A$2:$A$200,0))="","",INDEX('Test catalog'!$H$2:$H$200,MATCH($Y277,'Test catalog'!$A$2:$A$200,0))),"")</f>
        <v/>
      </c>
      <c r="J277" s="11">
        <f>IFERROR(IF(INDEX('Test catalog'!$I$2:$I$200,MATCH($Y277,'Test catalog'!$A$2:$A$200,0))="","",INDEX('Test catalog'!$I$2:$I$200,MATCH($Y277,'Test catalog'!$A$2:$A$200,0))),"")</f>
        <v/>
      </c>
      <c r="K277" s="13">
        <f>IF(I277="","",IF(OR(H277="",J277=""),I277,(H277+4*I277+J277)/6))</f>
        <v/>
      </c>
      <c r="L277" s="11">
        <f>IFERROR(IF(INDEX('Test catalog'!$J$2:$J$200,MATCH($Y277,'Test catalog'!$A$2:$A$200,0))="","",INDEX('Test catalog'!$J$2:$J$200,MATCH($Y277,'Test catalog'!$A$2:$A$200,0))),"")</f>
        <v/>
      </c>
      <c r="M277" s="11">
        <f>IFERROR(IF(INDEX('Test catalog'!$K$2:$K$200,MATCH($Y277,'Test catalog'!$A$2:$A$200,0))="","",INDEX('Test catalog'!$K$2:$K$200,MATCH($Y277,'Test catalog'!$A$2:$A$200,0))),"")</f>
        <v/>
      </c>
      <c r="N277" s="11">
        <f>IFERROR(IF(INDEX('Test catalog'!$L$2:$L$200,MATCH($Y277,'Test catalog'!$A$2:$A$200,0))="","",INDEX('Test catalog'!$L$2:$L$200,MATCH($Y277,'Test catalog'!$A$2:$A$200,0))),"")</f>
        <v/>
      </c>
      <c r="O277" s="11">
        <f>IFERROR(IF(INDEX('Test catalog'!$M$2:$M$200,MATCH($Y277,'Test catalog'!$A$2:$A$200,0))="","",INDEX('Test catalog'!$M$2:$M$200,MATCH($Y277,'Test catalog'!$A$2:$A$200,0))),"")</f>
        <v/>
      </c>
      <c r="P277" s="11">
        <f>IFERROR(IF(INDEX('Test catalog'!$N$2:$N$200,MATCH($Y277,'Test catalog'!$A$2:$A$200,0))="","",INDEX('Test catalog'!$N$2:$N$200,MATCH($Y277,'Test catalog'!$A$2:$A$200,0))),"")</f>
        <v/>
      </c>
      <c r="Q277" s="11">
        <f>IFERROR(IF(INDEX('Test catalog'!$O$2:$O$200,MATCH($Y277,'Test catalog'!$A$2:$A$200,0))="","",INDEX('Test catalog'!$O$2:$O$200,MATCH($Y277,'Test catalog'!$A$2:$A$200,0))),"")</f>
        <v/>
      </c>
      <c r="R277" s="11">
        <f>IFERROR(IF(INDEX('Test catalog'!$P$2:$P$200,MATCH($Y277,'Test catalog'!$A$2:$A$200,0))="","",INDEX('Test catalog'!$P$2:$P$200,MATCH($Y277,'Test catalog'!$A$2:$A$200,0))),"")</f>
        <v/>
      </c>
      <c r="S277" s="14" t="n"/>
      <c r="T277" s="5" t="inlineStr">
        <is>
          <t>Y</t>
        </is>
      </c>
      <c r="U277" s="11">
        <f>IFERROR(IF(INDEX('Test catalog'!$Q$2:$Q$200,MATCH($Y277,'Test catalog'!$A$2:$A$200,0))="","",INDEX('Test catalog'!$Q$2:$Q$200,MATCH($Y277,'Test catalog'!$A$2:$A$200,0))),"")</f>
        <v/>
      </c>
      <c r="V277" s="5" t="n"/>
      <c r="W277" s="5" t="n"/>
      <c r="X277" s="5" t="n"/>
      <c r="Y277" s="5" t="inlineStr">
        <is>
          <t>ENUM</t>
        </is>
      </c>
      <c r="Z277" s="11" t="inlineStr">
        <is>
          <t>USP &lt;1111&gt; oral solid: TAMC, TYMC, absence of E. coli</t>
        </is>
      </c>
    </row>
    <row r="278">
      <c r="A278" s="11" t="inlineStr">
        <is>
          <t>F05</t>
        </is>
      </c>
      <c r="B278" s="11" t="inlineStr">
        <is>
          <t>FP</t>
        </is>
      </c>
      <c r="C278" s="11" t="inlineStr">
        <is>
          <t>Cardyd-AM 80/5; Cardyd-AM 80/10; Cardyd-AM 40/5; Cardyd-AM 40/10  |  Telmisartan, Amlodipine Besylate</t>
        </is>
      </c>
      <c r="D278" s="11" t="inlineStr">
        <is>
          <t>Absence of Escherichia coli (&lt;62&gt; / &lt;2022&gt;)</t>
        </is>
      </c>
      <c r="E278" s="5" t="inlineStr">
        <is>
          <t>Y</t>
        </is>
      </c>
      <c r="F278" s="5" t="n"/>
      <c r="G278" s="11">
        <f>IFERROR(IF(INDEX('Test catalog'!$F$2:$F$200,MATCH($Y278,'Test catalog'!$A$2:$A$200,0))="","",INDEX('Test catalog'!$F$2:$F$200,MATCH($Y278,'Test catalog'!$A$2:$A$200,0))),"")</f>
        <v/>
      </c>
      <c r="H278" s="11">
        <f>IFERROR(IF(INDEX('Test catalog'!$G$2:$G$200,MATCH($Y278,'Test catalog'!$A$2:$A$200,0))="","",INDEX('Test catalog'!$G$2:$G$200,MATCH($Y278,'Test catalog'!$A$2:$A$200,0))),"")</f>
        <v/>
      </c>
      <c r="I278" s="11">
        <f>IFERROR(IF(INDEX('Test catalog'!$H$2:$H$200,MATCH($Y278,'Test catalog'!$A$2:$A$200,0))="","",INDEX('Test catalog'!$H$2:$H$200,MATCH($Y278,'Test catalog'!$A$2:$A$200,0))),"")</f>
        <v/>
      </c>
      <c r="J278" s="11">
        <f>IFERROR(IF(INDEX('Test catalog'!$I$2:$I$200,MATCH($Y278,'Test catalog'!$A$2:$A$200,0))="","",INDEX('Test catalog'!$I$2:$I$200,MATCH($Y278,'Test catalog'!$A$2:$A$200,0))),"")</f>
        <v/>
      </c>
      <c r="K278" s="13">
        <f>IF(I278="","",IF(OR(H278="",J278=""),I278,(H278+4*I278+J278)/6))</f>
        <v/>
      </c>
      <c r="L278" s="11">
        <f>IFERROR(IF(INDEX('Test catalog'!$J$2:$J$200,MATCH($Y278,'Test catalog'!$A$2:$A$200,0))="","",INDEX('Test catalog'!$J$2:$J$200,MATCH($Y278,'Test catalog'!$A$2:$A$200,0))),"")</f>
        <v/>
      </c>
      <c r="M278" s="11">
        <f>IFERROR(IF(INDEX('Test catalog'!$K$2:$K$200,MATCH($Y278,'Test catalog'!$A$2:$A$200,0))="","",INDEX('Test catalog'!$K$2:$K$200,MATCH($Y278,'Test catalog'!$A$2:$A$200,0))),"")</f>
        <v/>
      </c>
      <c r="N278" s="11">
        <f>IFERROR(IF(INDEX('Test catalog'!$L$2:$L$200,MATCH($Y278,'Test catalog'!$A$2:$A$200,0))="","",INDEX('Test catalog'!$L$2:$L$200,MATCH($Y278,'Test catalog'!$A$2:$A$200,0))),"")</f>
        <v/>
      </c>
      <c r="O278" s="11">
        <f>IFERROR(IF(INDEX('Test catalog'!$M$2:$M$200,MATCH($Y278,'Test catalog'!$A$2:$A$200,0))="","",INDEX('Test catalog'!$M$2:$M$200,MATCH($Y278,'Test catalog'!$A$2:$A$200,0))),"")</f>
        <v/>
      </c>
      <c r="P278" s="11">
        <f>IFERROR(IF(INDEX('Test catalog'!$N$2:$N$200,MATCH($Y278,'Test catalog'!$A$2:$A$200,0))="","",INDEX('Test catalog'!$N$2:$N$200,MATCH($Y278,'Test catalog'!$A$2:$A$200,0))),"")</f>
        <v/>
      </c>
      <c r="Q278" s="11">
        <f>IFERROR(IF(INDEX('Test catalog'!$O$2:$O$200,MATCH($Y278,'Test catalog'!$A$2:$A$200,0))="","",INDEX('Test catalog'!$O$2:$O$200,MATCH($Y278,'Test catalog'!$A$2:$A$200,0))),"")</f>
        <v/>
      </c>
      <c r="R278" s="11">
        <f>IFERROR(IF(INDEX('Test catalog'!$P$2:$P$200,MATCH($Y278,'Test catalog'!$A$2:$A$200,0))="","",INDEX('Test catalog'!$P$2:$P$200,MATCH($Y278,'Test catalog'!$A$2:$A$200,0))),"")</f>
        <v/>
      </c>
      <c r="S278" s="14" t="n"/>
      <c r="T278" s="5" t="inlineStr">
        <is>
          <t>N</t>
        </is>
      </c>
      <c r="U278" s="11">
        <f>IFERROR(IF(INDEX('Test catalog'!$Q$2:$Q$200,MATCH($Y278,'Test catalog'!$A$2:$A$200,0))="","",INDEX('Test catalog'!$Q$2:$Q$200,MATCH($Y278,'Test catalog'!$A$2:$A$200,0))),"")</f>
        <v/>
      </c>
      <c r="V278" s="5" t="n"/>
      <c r="W278" s="5" t="n"/>
      <c r="X278" s="5" t="n"/>
      <c r="Y278" s="5" t="inlineStr">
        <is>
          <t>ECOLI</t>
        </is>
      </c>
      <c r="Z278" s="11" t="inlineStr">
        <is>
          <t>USP &lt;1111&gt; oral solid: TAMC, TYMC, absence of E. coli</t>
        </is>
      </c>
    </row>
    <row r="279">
      <c r="A279" s="11" t="inlineStr">
        <is>
          <t>F06</t>
        </is>
      </c>
      <c r="B279" s="11" t="inlineStr">
        <is>
          <t>FP</t>
        </is>
      </c>
      <c r="C279" s="11" t="inlineStr">
        <is>
          <t>Cardyd-H 40/12.5; Cardyd-H 80/12.5; Cardyd-H 80/25  |  Telmisartan, Hydrochlorothiazide</t>
        </is>
      </c>
      <c r="D279" s="11" t="inlineStr">
        <is>
          <t>Microbial enumeration - TAMC + TYMC (&lt;61&gt; / &lt;2021&gt;)</t>
        </is>
      </c>
      <c r="E279" s="5" t="inlineStr">
        <is>
          <t>Y</t>
        </is>
      </c>
      <c r="F279" s="5" t="n"/>
      <c r="G279" s="11">
        <f>IFERROR(IF(INDEX('Test catalog'!$F$2:$F$200,MATCH($Y279,'Test catalog'!$A$2:$A$200,0))="","",INDEX('Test catalog'!$F$2:$F$200,MATCH($Y279,'Test catalog'!$A$2:$A$200,0))),"")</f>
        <v/>
      </c>
      <c r="H279" s="11">
        <f>IFERROR(IF(INDEX('Test catalog'!$G$2:$G$200,MATCH($Y279,'Test catalog'!$A$2:$A$200,0))="","",INDEX('Test catalog'!$G$2:$G$200,MATCH($Y279,'Test catalog'!$A$2:$A$200,0))),"")</f>
        <v/>
      </c>
      <c r="I279" s="11">
        <f>IFERROR(IF(INDEX('Test catalog'!$H$2:$H$200,MATCH($Y279,'Test catalog'!$A$2:$A$200,0))="","",INDEX('Test catalog'!$H$2:$H$200,MATCH($Y279,'Test catalog'!$A$2:$A$200,0))),"")</f>
        <v/>
      </c>
      <c r="J279" s="11">
        <f>IFERROR(IF(INDEX('Test catalog'!$I$2:$I$200,MATCH($Y279,'Test catalog'!$A$2:$A$200,0))="","",INDEX('Test catalog'!$I$2:$I$200,MATCH($Y279,'Test catalog'!$A$2:$A$200,0))),"")</f>
        <v/>
      </c>
      <c r="K279" s="13">
        <f>IF(I279="","",IF(OR(H279="",J279=""),I279,(H279+4*I279+J279)/6))</f>
        <v/>
      </c>
      <c r="L279" s="11">
        <f>IFERROR(IF(INDEX('Test catalog'!$J$2:$J$200,MATCH($Y279,'Test catalog'!$A$2:$A$200,0))="","",INDEX('Test catalog'!$J$2:$J$200,MATCH($Y279,'Test catalog'!$A$2:$A$200,0))),"")</f>
        <v/>
      </c>
      <c r="M279" s="11">
        <f>IFERROR(IF(INDEX('Test catalog'!$K$2:$K$200,MATCH($Y279,'Test catalog'!$A$2:$A$200,0))="","",INDEX('Test catalog'!$K$2:$K$200,MATCH($Y279,'Test catalog'!$A$2:$A$200,0))),"")</f>
        <v/>
      </c>
      <c r="N279" s="11">
        <f>IFERROR(IF(INDEX('Test catalog'!$L$2:$L$200,MATCH($Y279,'Test catalog'!$A$2:$A$200,0))="","",INDEX('Test catalog'!$L$2:$L$200,MATCH($Y279,'Test catalog'!$A$2:$A$200,0))),"")</f>
        <v/>
      </c>
      <c r="O279" s="11">
        <f>IFERROR(IF(INDEX('Test catalog'!$M$2:$M$200,MATCH($Y279,'Test catalog'!$A$2:$A$200,0))="","",INDEX('Test catalog'!$M$2:$M$200,MATCH($Y279,'Test catalog'!$A$2:$A$200,0))),"")</f>
        <v/>
      </c>
      <c r="P279" s="11">
        <f>IFERROR(IF(INDEX('Test catalog'!$N$2:$N$200,MATCH($Y279,'Test catalog'!$A$2:$A$200,0))="","",INDEX('Test catalog'!$N$2:$N$200,MATCH($Y279,'Test catalog'!$A$2:$A$200,0))),"")</f>
        <v/>
      </c>
      <c r="Q279" s="11">
        <f>IFERROR(IF(INDEX('Test catalog'!$O$2:$O$200,MATCH($Y279,'Test catalog'!$A$2:$A$200,0))="","",INDEX('Test catalog'!$O$2:$O$200,MATCH($Y279,'Test catalog'!$A$2:$A$200,0))),"")</f>
        <v/>
      </c>
      <c r="R279" s="11">
        <f>IFERROR(IF(INDEX('Test catalog'!$P$2:$P$200,MATCH($Y279,'Test catalog'!$A$2:$A$200,0))="","",INDEX('Test catalog'!$P$2:$P$200,MATCH($Y279,'Test catalog'!$A$2:$A$200,0))),"")</f>
        <v/>
      </c>
      <c r="S279" s="14" t="n"/>
      <c r="T279" s="5" t="inlineStr">
        <is>
          <t>Y</t>
        </is>
      </c>
      <c r="U279" s="11">
        <f>IFERROR(IF(INDEX('Test catalog'!$Q$2:$Q$200,MATCH($Y279,'Test catalog'!$A$2:$A$200,0))="","",INDEX('Test catalog'!$Q$2:$Q$200,MATCH($Y279,'Test catalog'!$A$2:$A$200,0))),"")</f>
        <v/>
      </c>
      <c r="V279" s="5" t="n"/>
      <c r="W279" s="5" t="n"/>
      <c r="X279" s="5" t="n"/>
      <c r="Y279" s="5" t="inlineStr">
        <is>
          <t>ENUM</t>
        </is>
      </c>
      <c r="Z279" s="11" t="inlineStr">
        <is>
          <t>USP &lt;1111&gt; oral solid: TAMC, TYMC, absence of E. coli</t>
        </is>
      </c>
    </row>
    <row r="280">
      <c r="A280" s="11" t="inlineStr">
        <is>
          <t>F06</t>
        </is>
      </c>
      <c r="B280" s="11" t="inlineStr">
        <is>
          <t>FP</t>
        </is>
      </c>
      <c r="C280" s="11" t="inlineStr">
        <is>
          <t>Cardyd-H 40/12.5; Cardyd-H 80/12.5; Cardyd-H 80/25  |  Telmisartan, Hydrochlorothiazide</t>
        </is>
      </c>
      <c r="D280" s="11" t="inlineStr">
        <is>
          <t>Absence of Escherichia coli (&lt;62&gt; / &lt;2022&gt;)</t>
        </is>
      </c>
      <c r="E280" s="5" t="inlineStr">
        <is>
          <t>Y</t>
        </is>
      </c>
      <c r="F280" s="5" t="n"/>
      <c r="G280" s="11">
        <f>IFERROR(IF(INDEX('Test catalog'!$F$2:$F$200,MATCH($Y280,'Test catalog'!$A$2:$A$200,0))="","",INDEX('Test catalog'!$F$2:$F$200,MATCH($Y280,'Test catalog'!$A$2:$A$200,0))),"")</f>
        <v/>
      </c>
      <c r="H280" s="11">
        <f>IFERROR(IF(INDEX('Test catalog'!$G$2:$G$200,MATCH($Y280,'Test catalog'!$A$2:$A$200,0))="","",INDEX('Test catalog'!$G$2:$G$200,MATCH($Y280,'Test catalog'!$A$2:$A$200,0))),"")</f>
        <v/>
      </c>
      <c r="I280" s="11">
        <f>IFERROR(IF(INDEX('Test catalog'!$H$2:$H$200,MATCH($Y280,'Test catalog'!$A$2:$A$200,0))="","",INDEX('Test catalog'!$H$2:$H$200,MATCH($Y280,'Test catalog'!$A$2:$A$200,0))),"")</f>
        <v/>
      </c>
      <c r="J280" s="11">
        <f>IFERROR(IF(INDEX('Test catalog'!$I$2:$I$200,MATCH($Y280,'Test catalog'!$A$2:$A$200,0))="","",INDEX('Test catalog'!$I$2:$I$200,MATCH($Y280,'Test catalog'!$A$2:$A$200,0))),"")</f>
        <v/>
      </c>
      <c r="K280" s="13">
        <f>IF(I280="","",IF(OR(H280="",J280=""),I280,(H280+4*I280+J280)/6))</f>
        <v/>
      </c>
      <c r="L280" s="11">
        <f>IFERROR(IF(INDEX('Test catalog'!$J$2:$J$200,MATCH($Y280,'Test catalog'!$A$2:$A$200,0))="","",INDEX('Test catalog'!$J$2:$J$200,MATCH($Y280,'Test catalog'!$A$2:$A$200,0))),"")</f>
        <v/>
      </c>
      <c r="M280" s="11">
        <f>IFERROR(IF(INDEX('Test catalog'!$K$2:$K$200,MATCH($Y280,'Test catalog'!$A$2:$A$200,0))="","",INDEX('Test catalog'!$K$2:$K$200,MATCH($Y280,'Test catalog'!$A$2:$A$200,0))),"")</f>
        <v/>
      </c>
      <c r="N280" s="11">
        <f>IFERROR(IF(INDEX('Test catalog'!$L$2:$L$200,MATCH($Y280,'Test catalog'!$A$2:$A$200,0))="","",INDEX('Test catalog'!$L$2:$L$200,MATCH($Y280,'Test catalog'!$A$2:$A$200,0))),"")</f>
        <v/>
      </c>
      <c r="O280" s="11">
        <f>IFERROR(IF(INDEX('Test catalog'!$M$2:$M$200,MATCH($Y280,'Test catalog'!$A$2:$A$200,0))="","",INDEX('Test catalog'!$M$2:$M$200,MATCH($Y280,'Test catalog'!$A$2:$A$200,0))),"")</f>
        <v/>
      </c>
      <c r="P280" s="11">
        <f>IFERROR(IF(INDEX('Test catalog'!$N$2:$N$200,MATCH($Y280,'Test catalog'!$A$2:$A$200,0))="","",INDEX('Test catalog'!$N$2:$N$200,MATCH($Y280,'Test catalog'!$A$2:$A$200,0))),"")</f>
        <v/>
      </c>
      <c r="Q280" s="11">
        <f>IFERROR(IF(INDEX('Test catalog'!$O$2:$O$200,MATCH($Y280,'Test catalog'!$A$2:$A$200,0))="","",INDEX('Test catalog'!$O$2:$O$200,MATCH($Y280,'Test catalog'!$A$2:$A$200,0))),"")</f>
        <v/>
      </c>
      <c r="R280" s="11">
        <f>IFERROR(IF(INDEX('Test catalog'!$P$2:$P$200,MATCH($Y280,'Test catalog'!$A$2:$A$200,0))="","",INDEX('Test catalog'!$P$2:$P$200,MATCH($Y280,'Test catalog'!$A$2:$A$200,0))),"")</f>
        <v/>
      </c>
      <c r="S280" s="14" t="n"/>
      <c r="T280" s="5" t="inlineStr">
        <is>
          <t>N</t>
        </is>
      </c>
      <c r="U280" s="11">
        <f>IFERROR(IF(INDEX('Test catalog'!$Q$2:$Q$200,MATCH($Y280,'Test catalog'!$A$2:$A$200,0))="","",INDEX('Test catalog'!$Q$2:$Q$200,MATCH($Y280,'Test catalog'!$A$2:$A$200,0))),"")</f>
        <v/>
      </c>
      <c r="V280" s="5" t="n"/>
      <c r="W280" s="5" t="n"/>
      <c r="X280" s="5" t="n"/>
      <c r="Y280" s="5" t="inlineStr">
        <is>
          <t>ECOLI</t>
        </is>
      </c>
      <c r="Z280" s="11" t="inlineStr">
        <is>
          <t>USP &lt;1111&gt; oral solid: TAMC, TYMC, absence of E. coli</t>
        </is>
      </c>
    </row>
    <row r="281">
      <c r="A281" s="11" t="inlineStr">
        <is>
          <t>F07</t>
        </is>
      </c>
      <c r="B281" s="11" t="inlineStr">
        <is>
          <t>FP</t>
        </is>
      </c>
      <c r="C281" s="11" t="inlineStr">
        <is>
          <t>Dexlansoprazole 60; Dexlansoprazole 30  |  Dexlansoprazole Pellets 20%</t>
        </is>
      </c>
      <c r="D281" s="11" t="inlineStr">
        <is>
          <t>Microbial enumeration - TAMC + TYMC (&lt;61&gt; / &lt;2021&gt;)</t>
        </is>
      </c>
      <c r="E281" s="5" t="inlineStr">
        <is>
          <t>Y</t>
        </is>
      </c>
      <c r="F281" s="5" t="n"/>
      <c r="G281" s="11">
        <f>IFERROR(IF(INDEX('Test catalog'!$F$2:$F$200,MATCH($Y281,'Test catalog'!$A$2:$A$200,0))="","",INDEX('Test catalog'!$F$2:$F$200,MATCH($Y281,'Test catalog'!$A$2:$A$200,0))),"")</f>
        <v/>
      </c>
      <c r="H281" s="11">
        <f>IFERROR(IF(INDEX('Test catalog'!$G$2:$G$200,MATCH($Y281,'Test catalog'!$A$2:$A$200,0))="","",INDEX('Test catalog'!$G$2:$G$200,MATCH($Y281,'Test catalog'!$A$2:$A$200,0))),"")</f>
        <v/>
      </c>
      <c r="I281" s="11">
        <f>IFERROR(IF(INDEX('Test catalog'!$H$2:$H$200,MATCH($Y281,'Test catalog'!$A$2:$A$200,0))="","",INDEX('Test catalog'!$H$2:$H$200,MATCH($Y281,'Test catalog'!$A$2:$A$200,0))),"")</f>
        <v/>
      </c>
      <c r="J281" s="11">
        <f>IFERROR(IF(INDEX('Test catalog'!$I$2:$I$200,MATCH($Y281,'Test catalog'!$A$2:$A$200,0))="","",INDEX('Test catalog'!$I$2:$I$200,MATCH($Y281,'Test catalog'!$A$2:$A$200,0))),"")</f>
        <v/>
      </c>
      <c r="K281" s="13">
        <f>IF(I281="","",IF(OR(H281="",J281=""),I281,(H281+4*I281+J281)/6))</f>
        <v/>
      </c>
      <c r="L281" s="11">
        <f>IFERROR(IF(INDEX('Test catalog'!$J$2:$J$200,MATCH($Y281,'Test catalog'!$A$2:$A$200,0))="","",INDEX('Test catalog'!$J$2:$J$200,MATCH($Y281,'Test catalog'!$A$2:$A$200,0))),"")</f>
        <v/>
      </c>
      <c r="M281" s="11">
        <f>IFERROR(IF(INDEX('Test catalog'!$K$2:$K$200,MATCH($Y281,'Test catalog'!$A$2:$A$200,0))="","",INDEX('Test catalog'!$K$2:$K$200,MATCH($Y281,'Test catalog'!$A$2:$A$200,0))),"")</f>
        <v/>
      </c>
      <c r="N281" s="11">
        <f>IFERROR(IF(INDEX('Test catalog'!$L$2:$L$200,MATCH($Y281,'Test catalog'!$A$2:$A$200,0))="","",INDEX('Test catalog'!$L$2:$L$200,MATCH($Y281,'Test catalog'!$A$2:$A$200,0))),"")</f>
        <v/>
      </c>
      <c r="O281" s="11">
        <f>IFERROR(IF(INDEX('Test catalog'!$M$2:$M$200,MATCH($Y281,'Test catalog'!$A$2:$A$200,0))="","",INDEX('Test catalog'!$M$2:$M$200,MATCH($Y281,'Test catalog'!$A$2:$A$200,0))),"")</f>
        <v/>
      </c>
      <c r="P281" s="11">
        <f>IFERROR(IF(INDEX('Test catalog'!$N$2:$N$200,MATCH($Y281,'Test catalog'!$A$2:$A$200,0))="","",INDEX('Test catalog'!$N$2:$N$200,MATCH($Y281,'Test catalog'!$A$2:$A$200,0))),"")</f>
        <v/>
      </c>
      <c r="Q281" s="11">
        <f>IFERROR(IF(INDEX('Test catalog'!$O$2:$O$200,MATCH($Y281,'Test catalog'!$A$2:$A$200,0))="","",INDEX('Test catalog'!$O$2:$O$200,MATCH($Y281,'Test catalog'!$A$2:$A$200,0))),"")</f>
        <v/>
      </c>
      <c r="R281" s="11">
        <f>IFERROR(IF(INDEX('Test catalog'!$P$2:$P$200,MATCH($Y281,'Test catalog'!$A$2:$A$200,0))="","",INDEX('Test catalog'!$P$2:$P$200,MATCH($Y281,'Test catalog'!$A$2:$A$200,0))),"")</f>
        <v/>
      </c>
      <c r="S281" s="14" t="n"/>
      <c r="T281" s="5" t="inlineStr">
        <is>
          <t>Y</t>
        </is>
      </c>
      <c r="U281" s="11">
        <f>IFERROR(IF(INDEX('Test catalog'!$Q$2:$Q$200,MATCH($Y281,'Test catalog'!$A$2:$A$200,0))="","",INDEX('Test catalog'!$Q$2:$Q$200,MATCH($Y281,'Test catalog'!$A$2:$A$200,0))),"")</f>
        <v/>
      </c>
      <c r="V281" s="5" t="n"/>
      <c r="W281" s="5" t="n"/>
      <c r="X281" s="5" t="n"/>
      <c r="Y281" s="5" t="inlineStr">
        <is>
          <t>ENUM</t>
        </is>
      </c>
      <c r="Z281" s="11" t="inlineStr">
        <is>
          <t>USP &lt;1111&gt; oral solid: TAMC, TYMC, absence of E. coli</t>
        </is>
      </c>
    </row>
    <row r="282">
      <c r="A282" s="11" t="inlineStr">
        <is>
          <t>F07</t>
        </is>
      </c>
      <c r="B282" s="11" t="inlineStr">
        <is>
          <t>FP</t>
        </is>
      </c>
      <c r="C282" s="11" t="inlineStr">
        <is>
          <t>Dexlansoprazole 60; Dexlansoprazole 30  |  Dexlansoprazole Pellets 20%</t>
        </is>
      </c>
      <c r="D282" s="11" t="inlineStr">
        <is>
          <t>Absence of Escherichia coli (&lt;62&gt; / &lt;2022&gt;)</t>
        </is>
      </c>
      <c r="E282" s="5" t="inlineStr">
        <is>
          <t>Y</t>
        </is>
      </c>
      <c r="F282" s="5" t="n"/>
      <c r="G282" s="11">
        <f>IFERROR(IF(INDEX('Test catalog'!$F$2:$F$200,MATCH($Y282,'Test catalog'!$A$2:$A$200,0))="","",INDEX('Test catalog'!$F$2:$F$200,MATCH($Y282,'Test catalog'!$A$2:$A$200,0))),"")</f>
        <v/>
      </c>
      <c r="H282" s="11">
        <f>IFERROR(IF(INDEX('Test catalog'!$G$2:$G$200,MATCH($Y282,'Test catalog'!$A$2:$A$200,0))="","",INDEX('Test catalog'!$G$2:$G$200,MATCH($Y282,'Test catalog'!$A$2:$A$200,0))),"")</f>
        <v/>
      </c>
      <c r="I282" s="11">
        <f>IFERROR(IF(INDEX('Test catalog'!$H$2:$H$200,MATCH($Y282,'Test catalog'!$A$2:$A$200,0))="","",INDEX('Test catalog'!$H$2:$H$200,MATCH($Y282,'Test catalog'!$A$2:$A$200,0))),"")</f>
        <v/>
      </c>
      <c r="J282" s="11">
        <f>IFERROR(IF(INDEX('Test catalog'!$I$2:$I$200,MATCH($Y282,'Test catalog'!$A$2:$A$200,0))="","",INDEX('Test catalog'!$I$2:$I$200,MATCH($Y282,'Test catalog'!$A$2:$A$200,0))),"")</f>
        <v/>
      </c>
      <c r="K282" s="13">
        <f>IF(I282="","",IF(OR(H282="",J282=""),I282,(H282+4*I282+J282)/6))</f>
        <v/>
      </c>
      <c r="L282" s="11">
        <f>IFERROR(IF(INDEX('Test catalog'!$J$2:$J$200,MATCH($Y282,'Test catalog'!$A$2:$A$200,0))="","",INDEX('Test catalog'!$J$2:$J$200,MATCH($Y282,'Test catalog'!$A$2:$A$200,0))),"")</f>
        <v/>
      </c>
      <c r="M282" s="11">
        <f>IFERROR(IF(INDEX('Test catalog'!$K$2:$K$200,MATCH($Y282,'Test catalog'!$A$2:$A$200,0))="","",INDEX('Test catalog'!$K$2:$K$200,MATCH($Y282,'Test catalog'!$A$2:$A$200,0))),"")</f>
        <v/>
      </c>
      <c r="N282" s="11">
        <f>IFERROR(IF(INDEX('Test catalog'!$L$2:$L$200,MATCH($Y282,'Test catalog'!$A$2:$A$200,0))="","",INDEX('Test catalog'!$L$2:$L$200,MATCH($Y282,'Test catalog'!$A$2:$A$200,0))),"")</f>
        <v/>
      </c>
      <c r="O282" s="11">
        <f>IFERROR(IF(INDEX('Test catalog'!$M$2:$M$200,MATCH($Y282,'Test catalog'!$A$2:$A$200,0))="","",INDEX('Test catalog'!$M$2:$M$200,MATCH($Y282,'Test catalog'!$A$2:$A$200,0))),"")</f>
        <v/>
      </c>
      <c r="P282" s="11">
        <f>IFERROR(IF(INDEX('Test catalog'!$N$2:$N$200,MATCH($Y282,'Test catalog'!$A$2:$A$200,0))="","",INDEX('Test catalog'!$N$2:$N$200,MATCH($Y282,'Test catalog'!$A$2:$A$200,0))),"")</f>
        <v/>
      </c>
      <c r="Q282" s="11">
        <f>IFERROR(IF(INDEX('Test catalog'!$O$2:$O$200,MATCH($Y282,'Test catalog'!$A$2:$A$200,0))="","",INDEX('Test catalog'!$O$2:$O$200,MATCH($Y282,'Test catalog'!$A$2:$A$200,0))),"")</f>
        <v/>
      </c>
      <c r="R282" s="11">
        <f>IFERROR(IF(INDEX('Test catalog'!$P$2:$P$200,MATCH($Y282,'Test catalog'!$A$2:$A$200,0))="","",INDEX('Test catalog'!$P$2:$P$200,MATCH($Y282,'Test catalog'!$A$2:$A$200,0))),"")</f>
        <v/>
      </c>
      <c r="S282" s="14" t="n"/>
      <c r="T282" s="5" t="inlineStr">
        <is>
          <t>N</t>
        </is>
      </c>
      <c r="U282" s="11">
        <f>IFERROR(IF(INDEX('Test catalog'!$Q$2:$Q$200,MATCH($Y282,'Test catalog'!$A$2:$A$200,0))="","",INDEX('Test catalog'!$Q$2:$Q$200,MATCH($Y282,'Test catalog'!$A$2:$A$200,0))),"")</f>
        <v/>
      </c>
      <c r="V282" s="5" t="n"/>
      <c r="W282" s="5" t="n"/>
      <c r="X282" s="5" t="n"/>
      <c r="Y282" s="5" t="inlineStr">
        <is>
          <t>ECOLI</t>
        </is>
      </c>
      <c r="Z282" s="11" t="inlineStr">
        <is>
          <t>USP &lt;1111&gt; oral solid: TAMC, TYMC, absence of E. coli</t>
        </is>
      </c>
    </row>
    <row r="283">
      <c r="A283" s="11" t="inlineStr">
        <is>
          <t>F08</t>
        </is>
      </c>
      <c r="B283" s="11" t="inlineStr">
        <is>
          <t>FP</t>
        </is>
      </c>
      <c r="C283" s="11" t="inlineStr">
        <is>
          <t>Prucalopride 1; Prucalopride 2  |  Prucalopride Succinate</t>
        </is>
      </c>
      <c r="D283" s="11" t="inlineStr">
        <is>
          <t>Microbial enumeration - TAMC + TYMC (&lt;61&gt; / &lt;2021&gt;)</t>
        </is>
      </c>
      <c r="E283" s="5" t="inlineStr">
        <is>
          <t>Y</t>
        </is>
      </c>
      <c r="F283" s="5" t="n"/>
      <c r="G283" s="11">
        <f>IFERROR(IF(INDEX('Test catalog'!$F$2:$F$200,MATCH($Y283,'Test catalog'!$A$2:$A$200,0))="","",INDEX('Test catalog'!$F$2:$F$200,MATCH($Y283,'Test catalog'!$A$2:$A$200,0))),"")</f>
        <v/>
      </c>
      <c r="H283" s="11">
        <f>IFERROR(IF(INDEX('Test catalog'!$G$2:$G$200,MATCH($Y283,'Test catalog'!$A$2:$A$200,0))="","",INDEX('Test catalog'!$G$2:$G$200,MATCH($Y283,'Test catalog'!$A$2:$A$200,0))),"")</f>
        <v/>
      </c>
      <c r="I283" s="11">
        <f>IFERROR(IF(INDEX('Test catalog'!$H$2:$H$200,MATCH($Y283,'Test catalog'!$A$2:$A$200,0))="","",INDEX('Test catalog'!$H$2:$H$200,MATCH($Y283,'Test catalog'!$A$2:$A$200,0))),"")</f>
        <v/>
      </c>
      <c r="J283" s="11">
        <f>IFERROR(IF(INDEX('Test catalog'!$I$2:$I$200,MATCH($Y283,'Test catalog'!$A$2:$A$200,0))="","",INDEX('Test catalog'!$I$2:$I$200,MATCH($Y283,'Test catalog'!$A$2:$A$200,0))),"")</f>
        <v/>
      </c>
      <c r="K283" s="13">
        <f>IF(I283="","",IF(OR(H283="",J283=""),I283,(H283+4*I283+J283)/6))</f>
        <v/>
      </c>
      <c r="L283" s="11">
        <f>IFERROR(IF(INDEX('Test catalog'!$J$2:$J$200,MATCH($Y283,'Test catalog'!$A$2:$A$200,0))="","",INDEX('Test catalog'!$J$2:$J$200,MATCH($Y283,'Test catalog'!$A$2:$A$200,0))),"")</f>
        <v/>
      </c>
      <c r="M283" s="11">
        <f>IFERROR(IF(INDEX('Test catalog'!$K$2:$K$200,MATCH($Y283,'Test catalog'!$A$2:$A$200,0))="","",INDEX('Test catalog'!$K$2:$K$200,MATCH($Y283,'Test catalog'!$A$2:$A$200,0))),"")</f>
        <v/>
      </c>
      <c r="N283" s="11">
        <f>IFERROR(IF(INDEX('Test catalog'!$L$2:$L$200,MATCH($Y283,'Test catalog'!$A$2:$A$200,0))="","",INDEX('Test catalog'!$L$2:$L$200,MATCH($Y283,'Test catalog'!$A$2:$A$200,0))),"")</f>
        <v/>
      </c>
      <c r="O283" s="11">
        <f>IFERROR(IF(INDEX('Test catalog'!$M$2:$M$200,MATCH($Y283,'Test catalog'!$A$2:$A$200,0))="","",INDEX('Test catalog'!$M$2:$M$200,MATCH($Y283,'Test catalog'!$A$2:$A$200,0))),"")</f>
        <v/>
      </c>
      <c r="P283" s="11">
        <f>IFERROR(IF(INDEX('Test catalog'!$N$2:$N$200,MATCH($Y283,'Test catalog'!$A$2:$A$200,0))="","",INDEX('Test catalog'!$N$2:$N$200,MATCH($Y283,'Test catalog'!$A$2:$A$200,0))),"")</f>
        <v/>
      </c>
      <c r="Q283" s="11">
        <f>IFERROR(IF(INDEX('Test catalog'!$O$2:$O$200,MATCH($Y283,'Test catalog'!$A$2:$A$200,0))="","",INDEX('Test catalog'!$O$2:$O$200,MATCH($Y283,'Test catalog'!$A$2:$A$200,0))),"")</f>
        <v/>
      </c>
      <c r="R283" s="11">
        <f>IFERROR(IF(INDEX('Test catalog'!$P$2:$P$200,MATCH($Y283,'Test catalog'!$A$2:$A$200,0))="","",INDEX('Test catalog'!$P$2:$P$200,MATCH($Y283,'Test catalog'!$A$2:$A$200,0))),"")</f>
        <v/>
      </c>
      <c r="S283" s="14" t="n"/>
      <c r="T283" s="5" t="inlineStr">
        <is>
          <t>Y</t>
        </is>
      </c>
      <c r="U283" s="11">
        <f>IFERROR(IF(INDEX('Test catalog'!$Q$2:$Q$200,MATCH($Y283,'Test catalog'!$A$2:$A$200,0))="","",INDEX('Test catalog'!$Q$2:$Q$200,MATCH($Y283,'Test catalog'!$A$2:$A$200,0))),"")</f>
        <v/>
      </c>
      <c r="V283" s="5" t="n"/>
      <c r="W283" s="5" t="n"/>
      <c r="X283" s="5" t="n"/>
      <c r="Y283" s="5" t="inlineStr">
        <is>
          <t>ENUM</t>
        </is>
      </c>
      <c r="Z283" s="11" t="inlineStr">
        <is>
          <t>USP &lt;1111&gt; oral solid: TAMC, TYMC, absence of E. coli</t>
        </is>
      </c>
    </row>
    <row r="284">
      <c r="A284" s="11" t="inlineStr">
        <is>
          <t>F08</t>
        </is>
      </c>
      <c r="B284" s="11" t="inlineStr">
        <is>
          <t>FP</t>
        </is>
      </c>
      <c r="C284" s="11" t="inlineStr">
        <is>
          <t>Prucalopride 1; Prucalopride 2  |  Prucalopride Succinate</t>
        </is>
      </c>
      <c r="D284" s="11" t="inlineStr">
        <is>
          <t>Absence of Escherichia coli (&lt;62&gt; / &lt;2022&gt;)</t>
        </is>
      </c>
      <c r="E284" s="5" t="inlineStr">
        <is>
          <t>Y</t>
        </is>
      </c>
      <c r="F284" s="5" t="n"/>
      <c r="G284" s="11">
        <f>IFERROR(IF(INDEX('Test catalog'!$F$2:$F$200,MATCH($Y284,'Test catalog'!$A$2:$A$200,0))="","",INDEX('Test catalog'!$F$2:$F$200,MATCH($Y284,'Test catalog'!$A$2:$A$200,0))),"")</f>
        <v/>
      </c>
      <c r="H284" s="11">
        <f>IFERROR(IF(INDEX('Test catalog'!$G$2:$G$200,MATCH($Y284,'Test catalog'!$A$2:$A$200,0))="","",INDEX('Test catalog'!$G$2:$G$200,MATCH($Y284,'Test catalog'!$A$2:$A$200,0))),"")</f>
        <v/>
      </c>
      <c r="I284" s="11">
        <f>IFERROR(IF(INDEX('Test catalog'!$H$2:$H$200,MATCH($Y284,'Test catalog'!$A$2:$A$200,0))="","",INDEX('Test catalog'!$H$2:$H$200,MATCH($Y284,'Test catalog'!$A$2:$A$200,0))),"")</f>
        <v/>
      </c>
      <c r="J284" s="11">
        <f>IFERROR(IF(INDEX('Test catalog'!$I$2:$I$200,MATCH($Y284,'Test catalog'!$A$2:$A$200,0))="","",INDEX('Test catalog'!$I$2:$I$200,MATCH($Y284,'Test catalog'!$A$2:$A$200,0))),"")</f>
        <v/>
      </c>
      <c r="K284" s="13">
        <f>IF(I284="","",IF(OR(H284="",J284=""),I284,(H284+4*I284+J284)/6))</f>
        <v/>
      </c>
      <c r="L284" s="11">
        <f>IFERROR(IF(INDEX('Test catalog'!$J$2:$J$200,MATCH($Y284,'Test catalog'!$A$2:$A$200,0))="","",INDEX('Test catalog'!$J$2:$J$200,MATCH($Y284,'Test catalog'!$A$2:$A$200,0))),"")</f>
        <v/>
      </c>
      <c r="M284" s="11">
        <f>IFERROR(IF(INDEX('Test catalog'!$K$2:$K$200,MATCH($Y284,'Test catalog'!$A$2:$A$200,0))="","",INDEX('Test catalog'!$K$2:$K$200,MATCH($Y284,'Test catalog'!$A$2:$A$200,0))),"")</f>
        <v/>
      </c>
      <c r="N284" s="11">
        <f>IFERROR(IF(INDEX('Test catalog'!$L$2:$L$200,MATCH($Y284,'Test catalog'!$A$2:$A$200,0))="","",INDEX('Test catalog'!$L$2:$L$200,MATCH($Y284,'Test catalog'!$A$2:$A$200,0))),"")</f>
        <v/>
      </c>
      <c r="O284" s="11">
        <f>IFERROR(IF(INDEX('Test catalog'!$M$2:$M$200,MATCH($Y284,'Test catalog'!$A$2:$A$200,0))="","",INDEX('Test catalog'!$M$2:$M$200,MATCH($Y284,'Test catalog'!$A$2:$A$200,0))),"")</f>
        <v/>
      </c>
      <c r="P284" s="11">
        <f>IFERROR(IF(INDEX('Test catalog'!$N$2:$N$200,MATCH($Y284,'Test catalog'!$A$2:$A$200,0))="","",INDEX('Test catalog'!$N$2:$N$200,MATCH($Y284,'Test catalog'!$A$2:$A$200,0))),"")</f>
        <v/>
      </c>
      <c r="Q284" s="11">
        <f>IFERROR(IF(INDEX('Test catalog'!$O$2:$O$200,MATCH($Y284,'Test catalog'!$A$2:$A$200,0))="","",INDEX('Test catalog'!$O$2:$O$200,MATCH($Y284,'Test catalog'!$A$2:$A$200,0))),"")</f>
        <v/>
      </c>
      <c r="R284" s="11">
        <f>IFERROR(IF(INDEX('Test catalog'!$P$2:$P$200,MATCH($Y284,'Test catalog'!$A$2:$A$200,0))="","",INDEX('Test catalog'!$P$2:$P$200,MATCH($Y284,'Test catalog'!$A$2:$A$200,0))),"")</f>
        <v/>
      </c>
      <c r="S284" s="14" t="n"/>
      <c r="T284" s="5" t="inlineStr">
        <is>
          <t>N</t>
        </is>
      </c>
      <c r="U284" s="11">
        <f>IFERROR(IF(INDEX('Test catalog'!$Q$2:$Q$200,MATCH($Y284,'Test catalog'!$A$2:$A$200,0))="","",INDEX('Test catalog'!$Q$2:$Q$200,MATCH($Y284,'Test catalog'!$A$2:$A$200,0))),"")</f>
        <v/>
      </c>
      <c r="V284" s="5" t="n"/>
      <c r="W284" s="5" t="n"/>
      <c r="X284" s="5" t="n"/>
      <c r="Y284" s="5" t="inlineStr">
        <is>
          <t>ECOLI</t>
        </is>
      </c>
      <c r="Z284" s="11" t="inlineStr">
        <is>
          <t>USP &lt;1111&gt; oral solid: TAMC, TYMC, absence of E. coli</t>
        </is>
      </c>
    </row>
    <row r="285">
      <c r="A285" s="11" t="inlineStr">
        <is>
          <t>F09</t>
        </is>
      </c>
      <c r="B285" s="11" t="inlineStr">
        <is>
          <t>FP</t>
        </is>
      </c>
      <c r="C285" s="11" t="inlineStr">
        <is>
          <t>Ranulo 500  |  Ranolazine</t>
        </is>
      </c>
      <c r="D285" s="11" t="inlineStr">
        <is>
          <t>Microbial enumeration - TAMC + TYMC (&lt;61&gt; / &lt;2021&gt;)</t>
        </is>
      </c>
      <c r="E285" s="5" t="inlineStr">
        <is>
          <t>Y</t>
        </is>
      </c>
      <c r="F285" s="5" t="n"/>
      <c r="G285" s="11">
        <f>IFERROR(IF(INDEX('Test catalog'!$F$2:$F$200,MATCH($Y285,'Test catalog'!$A$2:$A$200,0))="","",INDEX('Test catalog'!$F$2:$F$200,MATCH($Y285,'Test catalog'!$A$2:$A$200,0))),"")</f>
        <v/>
      </c>
      <c r="H285" s="11">
        <f>IFERROR(IF(INDEX('Test catalog'!$G$2:$G$200,MATCH($Y285,'Test catalog'!$A$2:$A$200,0))="","",INDEX('Test catalog'!$G$2:$G$200,MATCH($Y285,'Test catalog'!$A$2:$A$200,0))),"")</f>
        <v/>
      </c>
      <c r="I285" s="11">
        <f>IFERROR(IF(INDEX('Test catalog'!$H$2:$H$200,MATCH($Y285,'Test catalog'!$A$2:$A$200,0))="","",INDEX('Test catalog'!$H$2:$H$200,MATCH($Y285,'Test catalog'!$A$2:$A$200,0))),"")</f>
        <v/>
      </c>
      <c r="J285" s="11">
        <f>IFERROR(IF(INDEX('Test catalog'!$I$2:$I$200,MATCH($Y285,'Test catalog'!$A$2:$A$200,0))="","",INDEX('Test catalog'!$I$2:$I$200,MATCH($Y285,'Test catalog'!$A$2:$A$200,0))),"")</f>
        <v/>
      </c>
      <c r="K285" s="13">
        <f>IF(I285="","",IF(OR(H285="",J285=""),I285,(H285+4*I285+J285)/6))</f>
        <v/>
      </c>
      <c r="L285" s="11">
        <f>IFERROR(IF(INDEX('Test catalog'!$J$2:$J$200,MATCH($Y285,'Test catalog'!$A$2:$A$200,0))="","",INDEX('Test catalog'!$J$2:$J$200,MATCH($Y285,'Test catalog'!$A$2:$A$200,0))),"")</f>
        <v/>
      </c>
      <c r="M285" s="11">
        <f>IFERROR(IF(INDEX('Test catalog'!$K$2:$K$200,MATCH($Y285,'Test catalog'!$A$2:$A$200,0))="","",INDEX('Test catalog'!$K$2:$K$200,MATCH($Y285,'Test catalog'!$A$2:$A$200,0))),"")</f>
        <v/>
      </c>
      <c r="N285" s="11">
        <f>IFERROR(IF(INDEX('Test catalog'!$L$2:$L$200,MATCH($Y285,'Test catalog'!$A$2:$A$200,0))="","",INDEX('Test catalog'!$L$2:$L$200,MATCH($Y285,'Test catalog'!$A$2:$A$200,0))),"")</f>
        <v/>
      </c>
      <c r="O285" s="11">
        <f>IFERROR(IF(INDEX('Test catalog'!$M$2:$M$200,MATCH($Y285,'Test catalog'!$A$2:$A$200,0))="","",INDEX('Test catalog'!$M$2:$M$200,MATCH($Y285,'Test catalog'!$A$2:$A$200,0))),"")</f>
        <v/>
      </c>
      <c r="P285" s="11">
        <f>IFERROR(IF(INDEX('Test catalog'!$N$2:$N$200,MATCH($Y285,'Test catalog'!$A$2:$A$200,0))="","",INDEX('Test catalog'!$N$2:$N$200,MATCH($Y285,'Test catalog'!$A$2:$A$200,0))),"")</f>
        <v/>
      </c>
      <c r="Q285" s="11">
        <f>IFERROR(IF(INDEX('Test catalog'!$O$2:$O$200,MATCH($Y285,'Test catalog'!$A$2:$A$200,0))="","",INDEX('Test catalog'!$O$2:$O$200,MATCH($Y285,'Test catalog'!$A$2:$A$200,0))),"")</f>
        <v/>
      </c>
      <c r="R285" s="11">
        <f>IFERROR(IF(INDEX('Test catalog'!$P$2:$P$200,MATCH($Y285,'Test catalog'!$A$2:$A$200,0))="","",INDEX('Test catalog'!$P$2:$P$200,MATCH($Y285,'Test catalog'!$A$2:$A$200,0))),"")</f>
        <v/>
      </c>
      <c r="S285" s="14" t="n"/>
      <c r="T285" s="5" t="inlineStr">
        <is>
          <t>Y</t>
        </is>
      </c>
      <c r="U285" s="11">
        <f>IFERROR(IF(INDEX('Test catalog'!$Q$2:$Q$200,MATCH($Y285,'Test catalog'!$A$2:$A$200,0))="","",INDEX('Test catalog'!$Q$2:$Q$200,MATCH($Y285,'Test catalog'!$A$2:$A$200,0))),"")</f>
        <v/>
      </c>
      <c r="V285" s="5" t="n"/>
      <c r="W285" s="5" t="n"/>
      <c r="X285" s="5" t="n"/>
      <c r="Y285" s="5" t="inlineStr">
        <is>
          <t>ENUM</t>
        </is>
      </c>
      <c r="Z285" s="11" t="inlineStr">
        <is>
          <t>USP &lt;1111&gt; oral solid: TAMC, TYMC, absence of E. coli</t>
        </is>
      </c>
    </row>
    <row r="286">
      <c r="A286" s="11" t="inlineStr">
        <is>
          <t>F09</t>
        </is>
      </c>
      <c r="B286" s="11" t="inlineStr">
        <is>
          <t>FP</t>
        </is>
      </c>
      <c r="C286" s="11" t="inlineStr">
        <is>
          <t>Ranulo 500  |  Ranolazine</t>
        </is>
      </c>
      <c r="D286" s="11" t="inlineStr">
        <is>
          <t>Absence of Escherichia coli (&lt;62&gt; / &lt;2022&gt;)</t>
        </is>
      </c>
      <c r="E286" s="5" t="inlineStr">
        <is>
          <t>Y</t>
        </is>
      </c>
      <c r="F286" s="5" t="n"/>
      <c r="G286" s="11">
        <f>IFERROR(IF(INDEX('Test catalog'!$F$2:$F$200,MATCH($Y286,'Test catalog'!$A$2:$A$200,0))="","",INDEX('Test catalog'!$F$2:$F$200,MATCH($Y286,'Test catalog'!$A$2:$A$200,0))),"")</f>
        <v/>
      </c>
      <c r="H286" s="11">
        <f>IFERROR(IF(INDEX('Test catalog'!$G$2:$G$200,MATCH($Y286,'Test catalog'!$A$2:$A$200,0))="","",INDEX('Test catalog'!$G$2:$G$200,MATCH($Y286,'Test catalog'!$A$2:$A$200,0))),"")</f>
        <v/>
      </c>
      <c r="I286" s="11">
        <f>IFERROR(IF(INDEX('Test catalog'!$H$2:$H$200,MATCH($Y286,'Test catalog'!$A$2:$A$200,0))="","",INDEX('Test catalog'!$H$2:$H$200,MATCH($Y286,'Test catalog'!$A$2:$A$200,0))),"")</f>
        <v/>
      </c>
      <c r="J286" s="11">
        <f>IFERROR(IF(INDEX('Test catalog'!$I$2:$I$200,MATCH($Y286,'Test catalog'!$A$2:$A$200,0))="","",INDEX('Test catalog'!$I$2:$I$200,MATCH($Y286,'Test catalog'!$A$2:$A$200,0))),"")</f>
        <v/>
      </c>
      <c r="K286" s="13">
        <f>IF(I286="","",IF(OR(H286="",J286=""),I286,(H286+4*I286+J286)/6))</f>
        <v/>
      </c>
      <c r="L286" s="11">
        <f>IFERROR(IF(INDEX('Test catalog'!$J$2:$J$200,MATCH($Y286,'Test catalog'!$A$2:$A$200,0))="","",INDEX('Test catalog'!$J$2:$J$200,MATCH($Y286,'Test catalog'!$A$2:$A$200,0))),"")</f>
        <v/>
      </c>
      <c r="M286" s="11">
        <f>IFERROR(IF(INDEX('Test catalog'!$K$2:$K$200,MATCH($Y286,'Test catalog'!$A$2:$A$200,0))="","",INDEX('Test catalog'!$K$2:$K$200,MATCH($Y286,'Test catalog'!$A$2:$A$200,0))),"")</f>
        <v/>
      </c>
      <c r="N286" s="11">
        <f>IFERROR(IF(INDEX('Test catalog'!$L$2:$L$200,MATCH($Y286,'Test catalog'!$A$2:$A$200,0))="","",INDEX('Test catalog'!$L$2:$L$200,MATCH($Y286,'Test catalog'!$A$2:$A$200,0))),"")</f>
        <v/>
      </c>
      <c r="O286" s="11">
        <f>IFERROR(IF(INDEX('Test catalog'!$M$2:$M$200,MATCH($Y286,'Test catalog'!$A$2:$A$200,0))="","",INDEX('Test catalog'!$M$2:$M$200,MATCH($Y286,'Test catalog'!$A$2:$A$200,0))),"")</f>
        <v/>
      </c>
      <c r="P286" s="11">
        <f>IFERROR(IF(INDEX('Test catalog'!$N$2:$N$200,MATCH($Y286,'Test catalog'!$A$2:$A$200,0))="","",INDEX('Test catalog'!$N$2:$N$200,MATCH($Y286,'Test catalog'!$A$2:$A$200,0))),"")</f>
        <v/>
      </c>
      <c r="Q286" s="11">
        <f>IFERROR(IF(INDEX('Test catalog'!$O$2:$O$200,MATCH($Y286,'Test catalog'!$A$2:$A$200,0))="","",INDEX('Test catalog'!$O$2:$O$200,MATCH($Y286,'Test catalog'!$A$2:$A$200,0))),"")</f>
        <v/>
      </c>
      <c r="R286" s="11">
        <f>IFERROR(IF(INDEX('Test catalog'!$P$2:$P$200,MATCH($Y286,'Test catalog'!$A$2:$A$200,0))="","",INDEX('Test catalog'!$P$2:$P$200,MATCH($Y286,'Test catalog'!$A$2:$A$200,0))),"")</f>
        <v/>
      </c>
      <c r="S286" s="14" t="n"/>
      <c r="T286" s="5" t="inlineStr">
        <is>
          <t>N</t>
        </is>
      </c>
      <c r="U286" s="11">
        <f>IFERROR(IF(INDEX('Test catalog'!$Q$2:$Q$200,MATCH($Y286,'Test catalog'!$A$2:$A$200,0))="","",INDEX('Test catalog'!$Q$2:$Q$200,MATCH($Y286,'Test catalog'!$A$2:$A$200,0))),"")</f>
        <v/>
      </c>
      <c r="V286" s="5" t="n"/>
      <c r="W286" s="5" t="n"/>
      <c r="X286" s="5" t="n"/>
      <c r="Y286" s="5" t="inlineStr">
        <is>
          <t>ECOLI</t>
        </is>
      </c>
      <c r="Z286" s="11" t="inlineStr">
        <is>
          <t>USP &lt;1111&gt; oral solid: TAMC, TYMC, absence of E. coli</t>
        </is>
      </c>
    </row>
    <row r="287">
      <c r="A287" s="11" t="inlineStr">
        <is>
          <t>F10</t>
        </is>
      </c>
      <c r="B287" s="11" t="inlineStr">
        <is>
          <t>FP</t>
        </is>
      </c>
      <c r="C287" s="11" t="inlineStr">
        <is>
          <t>Bempedoic Acid 180  |  Bempedoic Acid</t>
        </is>
      </c>
      <c r="D287" s="11" t="inlineStr">
        <is>
          <t>Microbial enumeration - TAMC + TYMC (&lt;61&gt; / &lt;2021&gt;)</t>
        </is>
      </c>
      <c r="E287" s="5" t="inlineStr">
        <is>
          <t>Y</t>
        </is>
      </c>
      <c r="F287" s="5" t="n"/>
      <c r="G287" s="11">
        <f>IFERROR(IF(INDEX('Test catalog'!$F$2:$F$200,MATCH($Y287,'Test catalog'!$A$2:$A$200,0))="","",INDEX('Test catalog'!$F$2:$F$200,MATCH($Y287,'Test catalog'!$A$2:$A$200,0))),"")</f>
        <v/>
      </c>
      <c r="H287" s="11">
        <f>IFERROR(IF(INDEX('Test catalog'!$G$2:$G$200,MATCH($Y287,'Test catalog'!$A$2:$A$200,0))="","",INDEX('Test catalog'!$G$2:$G$200,MATCH($Y287,'Test catalog'!$A$2:$A$200,0))),"")</f>
        <v/>
      </c>
      <c r="I287" s="11">
        <f>IFERROR(IF(INDEX('Test catalog'!$H$2:$H$200,MATCH($Y287,'Test catalog'!$A$2:$A$200,0))="","",INDEX('Test catalog'!$H$2:$H$200,MATCH($Y287,'Test catalog'!$A$2:$A$200,0))),"")</f>
        <v/>
      </c>
      <c r="J287" s="11">
        <f>IFERROR(IF(INDEX('Test catalog'!$I$2:$I$200,MATCH($Y287,'Test catalog'!$A$2:$A$200,0))="","",INDEX('Test catalog'!$I$2:$I$200,MATCH($Y287,'Test catalog'!$A$2:$A$200,0))),"")</f>
        <v/>
      </c>
      <c r="K287" s="13">
        <f>IF(I287="","",IF(OR(H287="",J287=""),I287,(H287+4*I287+J287)/6))</f>
        <v/>
      </c>
      <c r="L287" s="11">
        <f>IFERROR(IF(INDEX('Test catalog'!$J$2:$J$200,MATCH($Y287,'Test catalog'!$A$2:$A$200,0))="","",INDEX('Test catalog'!$J$2:$J$200,MATCH($Y287,'Test catalog'!$A$2:$A$200,0))),"")</f>
        <v/>
      </c>
      <c r="M287" s="11">
        <f>IFERROR(IF(INDEX('Test catalog'!$K$2:$K$200,MATCH($Y287,'Test catalog'!$A$2:$A$200,0))="","",INDEX('Test catalog'!$K$2:$K$200,MATCH($Y287,'Test catalog'!$A$2:$A$200,0))),"")</f>
        <v/>
      </c>
      <c r="N287" s="11">
        <f>IFERROR(IF(INDEX('Test catalog'!$L$2:$L$200,MATCH($Y287,'Test catalog'!$A$2:$A$200,0))="","",INDEX('Test catalog'!$L$2:$L$200,MATCH($Y287,'Test catalog'!$A$2:$A$200,0))),"")</f>
        <v/>
      </c>
      <c r="O287" s="11">
        <f>IFERROR(IF(INDEX('Test catalog'!$M$2:$M$200,MATCH($Y287,'Test catalog'!$A$2:$A$200,0))="","",INDEX('Test catalog'!$M$2:$M$200,MATCH($Y287,'Test catalog'!$A$2:$A$200,0))),"")</f>
        <v/>
      </c>
      <c r="P287" s="11">
        <f>IFERROR(IF(INDEX('Test catalog'!$N$2:$N$200,MATCH($Y287,'Test catalog'!$A$2:$A$200,0))="","",INDEX('Test catalog'!$N$2:$N$200,MATCH($Y287,'Test catalog'!$A$2:$A$200,0))),"")</f>
        <v/>
      </c>
      <c r="Q287" s="11">
        <f>IFERROR(IF(INDEX('Test catalog'!$O$2:$O$200,MATCH($Y287,'Test catalog'!$A$2:$A$200,0))="","",INDEX('Test catalog'!$O$2:$O$200,MATCH($Y287,'Test catalog'!$A$2:$A$200,0))),"")</f>
        <v/>
      </c>
      <c r="R287" s="11">
        <f>IFERROR(IF(INDEX('Test catalog'!$P$2:$P$200,MATCH($Y287,'Test catalog'!$A$2:$A$200,0))="","",INDEX('Test catalog'!$P$2:$P$200,MATCH($Y287,'Test catalog'!$A$2:$A$200,0))),"")</f>
        <v/>
      </c>
      <c r="S287" s="14" t="n"/>
      <c r="T287" s="5" t="inlineStr">
        <is>
          <t>Y</t>
        </is>
      </c>
      <c r="U287" s="11">
        <f>IFERROR(IF(INDEX('Test catalog'!$Q$2:$Q$200,MATCH($Y287,'Test catalog'!$A$2:$A$200,0))="","",INDEX('Test catalog'!$Q$2:$Q$200,MATCH($Y287,'Test catalog'!$A$2:$A$200,0))),"")</f>
        <v/>
      </c>
      <c r="V287" s="5" t="n"/>
      <c r="W287" s="5" t="n"/>
      <c r="X287" s="5" t="n"/>
      <c r="Y287" s="5" t="inlineStr">
        <is>
          <t>ENUM</t>
        </is>
      </c>
      <c r="Z287" s="11" t="inlineStr">
        <is>
          <t>USP &lt;1111&gt; oral solid: TAMC, TYMC, absence of E. coli</t>
        </is>
      </c>
    </row>
    <row r="288">
      <c r="A288" s="11" t="inlineStr">
        <is>
          <t>F10</t>
        </is>
      </c>
      <c r="B288" s="11" t="inlineStr">
        <is>
          <t>FP</t>
        </is>
      </c>
      <c r="C288" s="11" t="inlineStr">
        <is>
          <t>Bempedoic Acid 180  |  Bempedoic Acid</t>
        </is>
      </c>
      <c r="D288" s="11" t="inlineStr">
        <is>
          <t>Absence of Escherichia coli (&lt;62&gt; / &lt;2022&gt;)</t>
        </is>
      </c>
      <c r="E288" s="5" t="inlineStr">
        <is>
          <t>Y</t>
        </is>
      </c>
      <c r="F288" s="5" t="n"/>
      <c r="G288" s="11">
        <f>IFERROR(IF(INDEX('Test catalog'!$F$2:$F$200,MATCH($Y288,'Test catalog'!$A$2:$A$200,0))="","",INDEX('Test catalog'!$F$2:$F$200,MATCH($Y288,'Test catalog'!$A$2:$A$200,0))),"")</f>
        <v/>
      </c>
      <c r="H288" s="11">
        <f>IFERROR(IF(INDEX('Test catalog'!$G$2:$G$200,MATCH($Y288,'Test catalog'!$A$2:$A$200,0))="","",INDEX('Test catalog'!$G$2:$G$200,MATCH($Y288,'Test catalog'!$A$2:$A$200,0))),"")</f>
        <v/>
      </c>
      <c r="I288" s="11">
        <f>IFERROR(IF(INDEX('Test catalog'!$H$2:$H$200,MATCH($Y288,'Test catalog'!$A$2:$A$200,0))="","",INDEX('Test catalog'!$H$2:$H$200,MATCH($Y288,'Test catalog'!$A$2:$A$200,0))),"")</f>
        <v/>
      </c>
      <c r="J288" s="11">
        <f>IFERROR(IF(INDEX('Test catalog'!$I$2:$I$200,MATCH($Y288,'Test catalog'!$A$2:$A$200,0))="","",INDEX('Test catalog'!$I$2:$I$200,MATCH($Y288,'Test catalog'!$A$2:$A$200,0))),"")</f>
        <v/>
      </c>
      <c r="K288" s="13">
        <f>IF(I288="","",IF(OR(H288="",J288=""),I288,(H288+4*I288+J288)/6))</f>
        <v/>
      </c>
      <c r="L288" s="11">
        <f>IFERROR(IF(INDEX('Test catalog'!$J$2:$J$200,MATCH($Y288,'Test catalog'!$A$2:$A$200,0))="","",INDEX('Test catalog'!$J$2:$J$200,MATCH($Y288,'Test catalog'!$A$2:$A$200,0))),"")</f>
        <v/>
      </c>
      <c r="M288" s="11">
        <f>IFERROR(IF(INDEX('Test catalog'!$K$2:$K$200,MATCH($Y288,'Test catalog'!$A$2:$A$200,0))="","",INDEX('Test catalog'!$K$2:$K$200,MATCH($Y288,'Test catalog'!$A$2:$A$200,0))),"")</f>
        <v/>
      </c>
      <c r="N288" s="11">
        <f>IFERROR(IF(INDEX('Test catalog'!$L$2:$L$200,MATCH($Y288,'Test catalog'!$A$2:$A$200,0))="","",INDEX('Test catalog'!$L$2:$L$200,MATCH($Y288,'Test catalog'!$A$2:$A$200,0))),"")</f>
        <v/>
      </c>
      <c r="O288" s="11">
        <f>IFERROR(IF(INDEX('Test catalog'!$M$2:$M$200,MATCH($Y288,'Test catalog'!$A$2:$A$200,0))="","",INDEX('Test catalog'!$M$2:$M$200,MATCH($Y288,'Test catalog'!$A$2:$A$200,0))),"")</f>
        <v/>
      </c>
      <c r="P288" s="11">
        <f>IFERROR(IF(INDEX('Test catalog'!$N$2:$N$200,MATCH($Y288,'Test catalog'!$A$2:$A$200,0))="","",INDEX('Test catalog'!$N$2:$N$200,MATCH($Y288,'Test catalog'!$A$2:$A$200,0))),"")</f>
        <v/>
      </c>
      <c r="Q288" s="11">
        <f>IFERROR(IF(INDEX('Test catalog'!$O$2:$O$200,MATCH($Y288,'Test catalog'!$A$2:$A$200,0))="","",INDEX('Test catalog'!$O$2:$O$200,MATCH($Y288,'Test catalog'!$A$2:$A$200,0))),"")</f>
        <v/>
      </c>
      <c r="R288" s="11">
        <f>IFERROR(IF(INDEX('Test catalog'!$P$2:$P$200,MATCH($Y288,'Test catalog'!$A$2:$A$200,0))="","",INDEX('Test catalog'!$P$2:$P$200,MATCH($Y288,'Test catalog'!$A$2:$A$200,0))),"")</f>
        <v/>
      </c>
      <c r="S288" s="14" t="n"/>
      <c r="T288" s="5" t="inlineStr">
        <is>
          <t>N</t>
        </is>
      </c>
      <c r="U288" s="11">
        <f>IFERROR(IF(INDEX('Test catalog'!$Q$2:$Q$200,MATCH($Y288,'Test catalog'!$A$2:$A$200,0))="","",INDEX('Test catalog'!$Q$2:$Q$200,MATCH($Y288,'Test catalog'!$A$2:$A$200,0))),"")</f>
        <v/>
      </c>
      <c r="V288" s="5" t="n"/>
      <c r="W288" s="5" t="n"/>
      <c r="X288" s="5" t="n"/>
      <c r="Y288" s="5" t="inlineStr">
        <is>
          <t>ECOLI</t>
        </is>
      </c>
      <c r="Z288" s="11" t="inlineStr">
        <is>
          <t>USP &lt;1111&gt; oral solid: TAMC, TYMC, absence of E. coli</t>
        </is>
      </c>
    </row>
    <row r="289">
      <c r="A289" s="11" t="inlineStr">
        <is>
          <t>F11</t>
        </is>
      </c>
      <c r="B289" s="11" t="inlineStr">
        <is>
          <t>FP</t>
        </is>
      </c>
      <c r="C289" s="11" t="inlineStr">
        <is>
          <t>Bempedoic Ezetimibe 180/10  |  Bempedoic Acid, Ezetimibe</t>
        </is>
      </c>
      <c r="D289" s="11" t="inlineStr">
        <is>
          <t>Microbial enumeration - TAMC + TYMC (&lt;61&gt; / &lt;2021&gt;)</t>
        </is>
      </c>
      <c r="E289" s="5" t="inlineStr">
        <is>
          <t>Y</t>
        </is>
      </c>
      <c r="F289" s="5" t="n"/>
      <c r="G289" s="11">
        <f>IFERROR(IF(INDEX('Test catalog'!$F$2:$F$200,MATCH($Y289,'Test catalog'!$A$2:$A$200,0))="","",INDEX('Test catalog'!$F$2:$F$200,MATCH($Y289,'Test catalog'!$A$2:$A$200,0))),"")</f>
        <v/>
      </c>
      <c r="H289" s="11">
        <f>IFERROR(IF(INDEX('Test catalog'!$G$2:$G$200,MATCH($Y289,'Test catalog'!$A$2:$A$200,0))="","",INDEX('Test catalog'!$G$2:$G$200,MATCH($Y289,'Test catalog'!$A$2:$A$200,0))),"")</f>
        <v/>
      </c>
      <c r="I289" s="11">
        <f>IFERROR(IF(INDEX('Test catalog'!$H$2:$H$200,MATCH($Y289,'Test catalog'!$A$2:$A$200,0))="","",INDEX('Test catalog'!$H$2:$H$200,MATCH($Y289,'Test catalog'!$A$2:$A$200,0))),"")</f>
        <v/>
      </c>
      <c r="J289" s="11">
        <f>IFERROR(IF(INDEX('Test catalog'!$I$2:$I$200,MATCH($Y289,'Test catalog'!$A$2:$A$200,0))="","",INDEX('Test catalog'!$I$2:$I$200,MATCH($Y289,'Test catalog'!$A$2:$A$200,0))),"")</f>
        <v/>
      </c>
      <c r="K289" s="13">
        <f>IF(I289="","",IF(OR(H289="",J289=""),I289,(H289+4*I289+J289)/6))</f>
        <v/>
      </c>
      <c r="L289" s="11">
        <f>IFERROR(IF(INDEX('Test catalog'!$J$2:$J$200,MATCH($Y289,'Test catalog'!$A$2:$A$200,0))="","",INDEX('Test catalog'!$J$2:$J$200,MATCH($Y289,'Test catalog'!$A$2:$A$200,0))),"")</f>
        <v/>
      </c>
      <c r="M289" s="11">
        <f>IFERROR(IF(INDEX('Test catalog'!$K$2:$K$200,MATCH($Y289,'Test catalog'!$A$2:$A$200,0))="","",INDEX('Test catalog'!$K$2:$K$200,MATCH($Y289,'Test catalog'!$A$2:$A$200,0))),"")</f>
        <v/>
      </c>
      <c r="N289" s="11">
        <f>IFERROR(IF(INDEX('Test catalog'!$L$2:$L$200,MATCH($Y289,'Test catalog'!$A$2:$A$200,0))="","",INDEX('Test catalog'!$L$2:$L$200,MATCH($Y289,'Test catalog'!$A$2:$A$200,0))),"")</f>
        <v/>
      </c>
      <c r="O289" s="11">
        <f>IFERROR(IF(INDEX('Test catalog'!$M$2:$M$200,MATCH($Y289,'Test catalog'!$A$2:$A$200,0))="","",INDEX('Test catalog'!$M$2:$M$200,MATCH($Y289,'Test catalog'!$A$2:$A$200,0))),"")</f>
        <v/>
      </c>
      <c r="P289" s="11">
        <f>IFERROR(IF(INDEX('Test catalog'!$N$2:$N$200,MATCH($Y289,'Test catalog'!$A$2:$A$200,0))="","",INDEX('Test catalog'!$N$2:$N$200,MATCH($Y289,'Test catalog'!$A$2:$A$200,0))),"")</f>
        <v/>
      </c>
      <c r="Q289" s="11">
        <f>IFERROR(IF(INDEX('Test catalog'!$O$2:$O$200,MATCH($Y289,'Test catalog'!$A$2:$A$200,0))="","",INDEX('Test catalog'!$O$2:$O$200,MATCH($Y289,'Test catalog'!$A$2:$A$200,0))),"")</f>
        <v/>
      </c>
      <c r="R289" s="11">
        <f>IFERROR(IF(INDEX('Test catalog'!$P$2:$P$200,MATCH($Y289,'Test catalog'!$A$2:$A$200,0))="","",INDEX('Test catalog'!$P$2:$P$200,MATCH($Y289,'Test catalog'!$A$2:$A$200,0))),"")</f>
        <v/>
      </c>
      <c r="S289" s="14" t="n"/>
      <c r="T289" s="5" t="inlineStr">
        <is>
          <t>Y</t>
        </is>
      </c>
      <c r="U289" s="11">
        <f>IFERROR(IF(INDEX('Test catalog'!$Q$2:$Q$200,MATCH($Y289,'Test catalog'!$A$2:$A$200,0))="","",INDEX('Test catalog'!$Q$2:$Q$200,MATCH($Y289,'Test catalog'!$A$2:$A$200,0))),"")</f>
        <v/>
      </c>
      <c r="V289" s="5" t="n"/>
      <c r="W289" s="5" t="n"/>
      <c r="X289" s="5" t="n"/>
      <c r="Y289" s="5" t="inlineStr">
        <is>
          <t>ENUM</t>
        </is>
      </c>
      <c r="Z289" s="11" t="inlineStr">
        <is>
          <t>USP &lt;1111&gt; oral solid: TAMC, TYMC, absence of E. coli</t>
        </is>
      </c>
    </row>
    <row r="290">
      <c r="A290" s="11" t="inlineStr">
        <is>
          <t>F11</t>
        </is>
      </c>
      <c r="B290" s="11" t="inlineStr">
        <is>
          <t>FP</t>
        </is>
      </c>
      <c r="C290" s="11" t="inlineStr">
        <is>
          <t>Bempedoic Ezetimibe 180/10  |  Bempedoic Acid, Ezetimibe</t>
        </is>
      </c>
      <c r="D290" s="11" t="inlineStr">
        <is>
          <t>Absence of Escherichia coli (&lt;62&gt; / &lt;2022&gt;)</t>
        </is>
      </c>
      <c r="E290" s="5" t="inlineStr">
        <is>
          <t>Y</t>
        </is>
      </c>
      <c r="F290" s="5" t="n"/>
      <c r="G290" s="11">
        <f>IFERROR(IF(INDEX('Test catalog'!$F$2:$F$200,MATCH($Y290,'Test catalog'!$A$2:$A$200,0))="","",INDEX('Test catalog'!$F$2:$F$200,MATCH($Y290,'Test catalog'!$A$2:$A$200,0))),"")</f>
        <v/>
      </c>
      <c r="H290" s="11">
        <f>IFERROR(IF(INDEX('Test catalog'!$G$2:$G$200,MATCH($Y290,'Test catalog'!$A$2:$A$200,0))="","",INDEX('Test catalog'!$G$2:$G$200,MATCH($Y290,'Test catalog'!$A$2:$A$200,0))),"")</f>
        <v/>
      </c>
      <c r="I290" s="11">
        <f>IFERROR(IF(INDEX('Test catalog'!$H$2:$H$200,MATCH($Y290,'Test catalog'!$A$2:$A$200,0))="","",INDEX('Test catalog'!$H$2:$H$200,MATCH($Y290,'Test catalog'!$A$2:$A$200,0))),"")</f>
        <v/>
      </c>
      <c r="J290" s="11">
        <f>IFERROR(IF(INDEX('Test catalog'!$I$2:$I$200,MATCH($Y290,'Test catalog'!$A$2:$A$200,0))="","",INDEX('Test catalog'!$I$2:$I$200,MATCH($Y290,'Test catalog'!$A$2:$A$200,0))),"")</f>
        <v/>
      </c>
      <c r="K290" s="13">
        <f>IF(I290="","",IF(OR(H290="",J290=""),I290,(H290+4*I290+J290)/6))</f>
        <v/>
      </c>
      <c r="L290" s="11">
        <f>IFERROR(IF(INDEX('Test catalog'!$J$2:$J$200,MATCH($Y290,'Test catalog'!$A$2:$A$200,0))="","",INDEX('Test catalog'!$J$2:$J$200,MATCH($Y290,'Test catalog'!$A$2:$A$200,0))),"")</f>
        <v/>
      </c>
      <c r="M290" s="11">
        <f>IFERROR(IF(INDEX('Test catalog'!$K$2:$K$200,MATCH($Y290,'Test catalog'!$A$2:$A$200,0))="","",INDEX('Test catalog'!$K$2:$K$200,MATCH($Y290,'Test catalog'!$A$2:$A$200,0))),"")</f>
        <v/>
      </c>
      <c r="N290" s="11">
        <f>IFERROR(IF(INDEX('Test catalog'!$L$2:$L$200,MATCH($Y290,'Test catalog'!$A$2:$A$200,0))="","",INDEX('Test catalog'!$L$2:$L$200,MATCH($Y290,'Test catalog'!$A$2:$A$200,0))),"")</f>
        <v/>
      </c>
      <c r="O290" s="11">
        <f>IFERROR(IF(INDEX('Test catalog'!$M$2:$M$200,MATCH($Y290,'Test catalog'!$A$2:$A$200,0))="","",INDEX('Test catalog'!$M$2:$M$200,MATCH($Y290,'Test catalog'!$A$2:$A$200,0))),"")</f>
        <v/>
      </c>
      <c r="P290" s="11">
        <f>IFERROR(IF(INDEX('Test catalog'!$N$2:$N$200,MATCH($Y290,'Test catalog'!$A$2:$A$200,0))="","",INDEX('Test catalog'!$N$2:$N$200,MATCH($Y290,'Test catalog'!$A$2:$A$200,0))),"")</f>
        <v/>
      </c>
      <c r="Q290" s="11">
        <f>IFERROR(IF(INDEX('Test catalog'!$O$2:$O$200,MATCH($Y290,'Test catalog'!$A$2:$A$200,0))="","",INDEX('Test catalog'!$O$2:$O$200,MATCH($Y290,'Test catalog'!$A$2:$A$200,0))),"")</f>
        <v/>
      </c>
      <c r="R290" s="11">
        <f>IFERROR(IF(INDEX('Test catalog'!$P$2:$P$200,MATCH($Y290,'Test catalog'!$A$2:$A$200,0))="","",INDEX('Test catalog'!$P$2:$P$200,MATCH($Y290,'Test catalog'!$A$2:$A$200,0))),"")</f>
        <v/>
      </c>
      <c r="S290" s="14" t="n"/>
      <c r="T290" s="5" t="inlineStr">
        <is>
          <t>N</t>
        </is>
      </c>
      <c r="U290" s="11">
        <f>IFERROR(IF(INDEX('Test catalog'!$Q$2:$Q$200,MATCH($Y290,'Test catalog'!$A$2:$A$200,0))="","",INDEX('Test catalog'!$Q$2:$Q$200,MATCH($Y290,'Test catalog'!$A$2:$A$200,0))),"")</f>
        <v/>
      </c>
      <c r="V290" s="5" t="n"/>
      <c r="W290" s="5" t="n"/>
      <c r="X290" s="5" t="n"/>
      <c r="Y290" s="5" t="inlineStr">
        <is>
          <t>ECOLI</t>
        </is>
      </c>
      <c r="Z290" s="11" t="inlineStr">
        <is>
          <t>USP &lt;1111&gt; oral solid: TAMC, TYMC, absence of E. coli</t>
        </is>
      </c>
    </row>
    <row r="291">
      <c r="A291" s="11" t="inlineStr">
        <is>
          <t>F12</t>
        </is>
      </c>
      <c r="B291" s="11" t="inlineStr">
        <is>
          <t>FP</t>
        </is>
      </c>
      <c r="C291" s="11" t="inlineStr">
        <is>
          <t>loperamide 2  |  Loperamide HCl</t>
        </is>
      </c>
      <c r="D291" s="11" t="inlineStr">
        <is>
          <t>Microbial enumeration - TAMC + TYMC (&lt;61&gt; / &lt;2021&gt;)</t>
        </is>
      </c>
      <c r="E291" s="5" t="inlineStr">
        <is>
          <t>Y</t>
        </is>
      </c>
      <c r="F291" s="5" t="n"/>
      <c r="G291" s="11">
        <f>IFERROR(IF(INDEX('Test catalog'!$F$2:$F$200,MATCH($Y291,'Test catalog'!$A$2:$A$200,0))="","",INDEX('Test catalog'!$F$2:$F$200,MATCH($Y291,'Test catalog'!$A$2:$A$200,0))),"")</f>
        <v/>
      </c>
      <c r="H291" s="11">
        <f>IFERROR(IF(INDEX('Test catalog'!$G$2:$G$200,MATCH($Y291,'Test catalog'!$A$2:$A$200,0))="","",INDEX('Test catalog'!$G$2:$G$200,MATCH($Y291,'Test catalog'!$A$2:$A$200,0))),"")</f>
        <v/>
      </c>
      <c r="I291" s="11">
        <f>IFERROR(IF(INDEX('Test catalog'!$H$2:$H$200,MATCH($Y291,'Test catalog'!$A$2:$A$200,0))="","",INDEX('Test catalog'!$H$2:$H$200,MATCH($Y291,'Test catalog'!$A$2:$A$200,0))),"")</f>
        <v/>
      </c>
      <c r="J291" s="11">
        <f>IFERROR(IF(INDEX('Test catalog'!$I$2:$I$200,MATCH($Y291,'Test catalog'!$A$2:$A$200,0))="","",INDEX('Test catalog'!$I$2:$I$200,MATCH($Y291,'Test catalog'!$A$2:$A$200,0))),"")</f>
        <v/>
      </c>
      <c r="K291" s="13">
        <f>IF(I291="","",IF(OR(H291="",J291=""),I291,(H291+4*I291+J291)/6))</f>
        <v/>
      </c>
      <c r="L291" s="11">
        <f>IFERROR(IF(INDEX('Test catalog'!$J$2:$J$200,MATCH($Y291,'Test catalog'!$A$2:$A$200,0))="","",INDEX('Test catalog'!$J$2:$J$200,MATCH($Y291,'Test catalog'!$A$2:$A$200,0))),"")</f>
        <v/>
      </c>
      <c r="M291" s="11">
        <f>IFERROR(IF(INDEX('Test catalog'!$K$2:$K$200,MATCH($Y291,'Test catalog'!$A$2:$A$200,0))="","",INDEX('Test catalog'!$K$2:$K$200,MATCH($Y291,'Test catalog'!$A$2:$A$200,0))),"")</f>
        <v/>
      </c>
      <c r="N291" s="11">
        <f>IFERROR(IF(INDEX('Test catalog'!$L$2:$L$200,MATCH($Y291,'Test catalog'!$A$2:$A$200,0))="","",INDEX('Test catalog'!$L$2:$L$200,MATCH($Y291,'Test catalog'!$A$2:$A$200,0))),"")</f>
        <v/>
      </c>
      <c r="O291" s="11">
        <f>IFERROR(IF(INDEX('Test catalog'!$M$2:$M$200,MATCH($Y291,'Test catalog'!$A$2:$A$200,0))="","",INDEX('Test catalog'!$M$2:$M$200,MATCH($Y291,'Test catalog'!$A$2:$A$200,0))),"")</f>
        <v/>
      </c>
      <c r="P291" s="11">
        <f>IFERROR(IF(INDEX('Test catalog'!$N$2:$N$200,MATCH($Y291,'Test catalog'!$A$2:$A$200,0))="","",INDEX('Test catalog'!$N$2:$N$200,MATCH($Y291,'Test catalog'!$A$2:$A$200,0))),"")</f>
        <v/>
      </c>
      <c r="Q291" s="11">
        <f>IFERROR(IF(INDEX('Test catalog'!$O$2:$O$200,MATCH($Y291,'Test catalog'!$A$2:$A$200,0))="","",INDEX('Test catalog'!$O$2:$O$200,MATCH($Y291,'Test catalog'!$A$2:$A$200,0))),"")</f>
        <v/>
      </c>
      <c r="R291" s="11">
        <f>IFERROR(IF(INDEX('Test catalog'!$P$2:$P$200,MATCH($Y291,'Test catalog'!$A$2:$A$200,0))="","",INDEX('Test catalog'!$P$2:$P$200,MATCH($Y291,'Test catalog'!$A$2:$A$200,0))),"")</f>
        <v/>
      </c>
      <c r="S291" s="14" t="n"/>
      <c r="T291" s="5" t="inlineStr">
        <is>
          <t>Y</t>
        </is>
      </c>
      <c r="U291" s="11">
        <f>IFERROR(IF(INDEX('Test catalog'!$Q$2:$Q$200,MATCH($Y291,'Test catalog'!$A$2:$A$200,0))="","",INDEX('Test catalog'!$Q$2:$Q$200,MATCH($Y291,'Test catalog'!$A$2:$A$200,0))),"")</f>
        <v/>
      </c>
      <c r="V291" s="5" t="n"/>
      <c r="W291" s="5" t="n"/>
      <c r="X291" s="5" t="n"/>
      <c r="Y291" s="5" t="inlineStr">
        <is>
          <t>ENUM</t>
        </is>
      </c>
      <c r="Z291" s="11" t="inlineStr">
        <is>
          <t>USP &lt;1111&gt; oral solid: TAMC, TYMC, absence of E. coli</t>
        </is>
      </c>
    </row>
    <row r="292">
      <c r="A292" s="11" t="inlineStr">
        <is>
          <t>F12</t>
        </is>
      </c>
      <c r="B292" s="11" t="inlineStr">
        <is>
          <t>FP</t>
        </is>
      </c>
      <c r="C292" s="11" t="inlineStr">
        <is>
          <t>loperamide 2  |  Loperamide HCl</t>
        </is>
      </c>
      <c r="D292" s="11" t="inlineStr">
        <is>
          <t>Absence of Escherichia coli (&lt;62&gt; / &lt;2022&gt;)</t>
        </is>
      </c>
      <c r="E292" s="5" t="inlineStr">
        <is>
          <t>Y</t>
        </is>
      </c>
      <c r="F292" s="5" t="n"/>
      <c r="G292" s="11">
        <f>IFERROR(IF(INDEX('Test catalog'!$F$2:$F$200,MATCH($Y292,'Test catalog'!$A$2:$A$200,0))="","",INDEX('Test catalog'!$F$2:$F$200,MATCH($Y292,'Test catalog'!$A$2:$A$200,0))),"")</f>
        <v/>
      </c>
      <c r="H292" s="11">
        <f>IFERROR(IF(INDEX('Test catalog'!$G$2:$G$200,MATCH($Y292,'Test catalog'!$A$2:$A$200,0))="","",INDEX('Test catalog'!$G$2:$G$200,MATCH($Y292,'Test catalog'!$A$2:$A$200,0))),"")</f>
        <v/>
      </c>
      <c r="I292" s="11">
        <f>IFERROR(IF(INDEX('Test catalog'!$H$2:$H$200,MATCH($Y292,'Test catalog'!$A$2:$A$200,0))="","",INDEX('Test catalog'!$H$2:$H$200,MATCH($Y292,'Test catalog'!$A$2:$A$200,0))),"")</f>
        <v/>
      </c>
      <c r="J292" s="11">
        <f>IFERROR(IF(INDEX('Test catalog'!$I$2:$I$200,MATCH($Y292,'Test catalog'!$A$2:$A$200,0))="","",INDEX('Test catalog'!$I$2:$I$200,MATCH($Y292,'Test catalog'!$A$2:$A$200,0))),"")</f>
        <v/>
      </c>
      <c r="K292" s="13">
        <f>IF(I292="","",IF(OR(H292="",J292=""),I292,(H292+4*I292+J292)/6))</f>
        <v/>
      </c>
      <c r="L292" s="11">
        <f>IFERROR(IF(INDEX('Test catalog'!$J$2:$J$200,MATCH($Y292,'Test catalog'!$A$2:$A$200,0))="","",INDEX('Test catalog'!$J$2:$J$200,MATCH($Y292,'Test catalog'!$A$2:$A$200,0))),"")</f>
        <v/>
      </c>
      <c r="M292" s="11">
        <f>IFERROR(IF(INDEX('Test catalog'!$K$2:$K$200,MATCH($Y292,'Test catalog'!$A$2:$A$200,0))="","",INDEX('Test catalog'!$K$2:$K$200,MATCH($Y292,'Test catalog'!$A$2:$A$200,0))),"")</f>
        <v/>
      </c>
      <c r="N292" s="11">
        <f>IFERROR(IF(INDEX('Test catalog'!$L$2:$L$200,MATCH($Y292,'Test catalog'!$A$2:$A$200,0))="","",INDEX('Test catalog'!$L$2:$L$200,MATCH($Y292,'Test catalog'!$A$2:$A$200,0))),"")</f>
        <v/>
      </c>
      <c r="O292" s="11">
        <f>IFERROR(IF(INDEX('Test catalog'!$M$2:$M$200,MATCH($Y292,'Test catalog'!$A$2:$A$200,0))="","",INDEX('Test catalog'!$M$2:$M$200,MATCH($Y292,'Test catalog'!$A$2:$A$200,0))),"")</f>
        <v/>
      </c>
      <c r="P292" s="11">
        <f>IFERROR(IF(INDEX('Test catalog'!$N$2:$N$200,MATCH($Y292,'Test catalog'!$A$2:$A$200,0))="","",INDEX('Test catalog'!$N$2:$N$200,MATCH($Y292,'Test catalog'!$A$2:$A$200,0))),"")</f>
        <v/>
      </c>
      <c r="Q292" s="11">
        <f>IFERROR(IF(INDEX('Test catalog'!$O$2:$O$200,MATCH($Y292,'Test catalog'!$A$2:$A$200,0))="","",INDEX('Test catalog'!$O$2:$O$200,MATCH($Y292,'Test catalog'!$A$2:$A$200,0))),"")</f>
        <v/>
      </c>
      <c r="R292" s="11">
        <f>IFERROR(IF(INDEX('Test catalog'!$P$2:$P$200,MATCH($Y292,'Test catalog'!$A$2:$A$200,0))="","",INDEX('Test catalog'!$P$2:$P$200,MATCH($Y292,'Test catalog'!$A$2:$A$200,0))),"")</f>
        <v/>
      </c>
      <c r="S292" s="14" t="n"/>
      <c r="T292" s="5" t="inlineStr">
        <is>
          <t>N</t>
        </is>
      </c>
      <c r="U292" s="11">
        <f>IFERROR(IF(INDEX('Test catalog'!$Q$2:$Q$200,MATCH($Y292,'Test catalog'!$A$2:$A$200,0))="","",INDEX('Test catalog'!$Q$2:$Q$200,MATCH($Y292,'Test catalog'!$A$2:$A$200,0))),"")</f>
        <v/>
      </c>
      <c r="V292" s="5" t="n"/>
      <c r="W292" s="5" t="n"/>
      <c r="X292" s="5" t="n"/>
      <c r="Y292" s="5" t="inlineStr">
        <is>
          <t>ECOLI</t>
        </is>
      </c>
      <c r="Z292" s="11" t="inlineStr">
        <is>
          <t>USP &lt;1111&gt; oral solid: TAMC, TYMC, absence of E. coli</t>
        </is>
      </c>
    </row>
    <row r="293">
      <c r="A293" s="11" t="inlineStr">
        <is>
          <t>F13</t>
        </is>
      </c>
      <c r="B293" s="11" t="inlineStr">
        <is>
          <t>FP</t>
        </is>
      </c>
      <c r="C293" s="11" t="inlineStr">
        <is>
          <t>Naproxen 750  |  Naproxen</t>
        </is>
      </c>
      <c r="D293" s="11" t="inlineStr">
        <is>
          <t>Microbial enumeration - TAMC + TYMC (&lt;61&gt; / &lt;2021&gt;)</t>
        </is>
      </c>
      <c r="E293" s="5" t="inlineStr">
        <is>
          <t>Y</t>
        </is>
      </c>
      <c r="F293" s="5" t="n"/>
      <c r="G293" s="11">
        <f>IFERROR(IF(INDEX('Test catalog'!$F$2:$F$200,MATCH($Y293,'Test catalog'!$A$2:$A$200,0))="","",INDEX('Test catalog'!$F$2:$F$200,MATCH($Y293,'Test catalog'!$A$2:$A$200,0))),"")</f>
        <v/>
      </c>
      <c r="H293" s="11">
        <f>IFERROR(IF(INDEX('Test catalog'!$G$2:$G$200,MATCH($Y293,'Test catalog'!$A$2:$A$200,0))="","",INDEX('Test catalog'!$G$2:$G$200,MATCH($Y293,'Test catalog'!$A$2:$A$200,0))),"")</f>
        <v/>
      </c>
      <c r="I293" s="11">
        <f>IFERROR(IF(INDEX('Test catalog'!$H$2:$H$200,MATCH($Y293,'Test catalog'!$A$2:$A$200,0))="","",INDEX('Test catalog'!$H$2:$H$200,MATCH($Y293,'Test catalog'!$A$2:$A$200,0))),"")</f>
        <v/>
      </c>
      <c r="J293" s="11">
        <f>IFERROR(IF(INDEX('Test catalog'!$I$2:$I$200,MATCH($Y293,'Test catalog'!$A$2:$A$200,0))="","",INDEX('Test catalog'!$I$2:$I$200,MATCH($Y293,'Test catalog'!$A$2:$A$200,0))),"")</f>
        <v/>
      </c>
      <c r="K293" s="13">
        <f>IF(I293="","",IF(OR(H293="",J293=""),I293,(H293+4*I293+J293)/6))</f>
        <v/>
      </c>
      <c r="L293" s="11">
        <f>IFERROR(IF(INDEX('Test catalog'!$J$2:$J$200,MATCH($Y293,'Test catalog'!$A$2:$A$200,0))="","",INDEX('Test catalog'!$J$2:$J$200,MATCH($Y293,'Test catalog'!$A$2:$A$200,0))),"")</f>
        <v/>
      </c>
      <c r="M293" s="11">
        <f>IFERROR(IF(INDEX('Test catalog'!$K$2:$K$200,MATCH($Y293,'Test catalog'!$A$2:$A$200,0))="","",INDEX('Test catalog'!$K$2:$K$200,MATCH($Y293,'Test catalog'!$A$2:$A$200,0))),"")</f>
        <v/>
      </c>
      <c r="N293" s="11">
        <f>IFERROR(IF(INDEX('Test catalog'!$L$2:$L$200,MATCH($Y293,'Test catalog'!$A$2:$A$200,0))="","",INDEX('Test catalog'!$L$2:$L$200,MATCH($Y293,'Test catalog'!$A$2:$A$200,0))),"")</f>
        <v/>
      </c>
      <c r="O293" s="11">
        <f>IFERROR(IF(INDEX('Test catalog'!$M$2:$M$200,MATCH($Y293,'Test catalog'!$A$2:$A$200,0))="","",INDEX('Test catalog'!$M$2:$M$200,MATCH($Y293,'Test catalog'!$A$2:$A$200,0))),"")</f>
        <v/>
      </c>
      <c r="P293" s="11">
        <f>IFERROR(IF(INDEX('Test catalog'!$N$2:$N$200,MATCH($Y293,'Test catalog'!$A$2:$A$200,0))="","",INDEX('Test catalog'!$N$2:$N$200,MATCH($Y293,'Test catalog'!$A$2:$A$200,0))),"")</f>
        <v/>
      </c>
      <c r="Q293" s="11">
        <f>IFERROR(IF(INDEX('Test catalog'!$O$2:$O$200,MATCH($Y293,'Test catalog'!$A$2:$A$200,0))="","",INDEX('Test catalog'!$O$2:$O$200,MATCH($Y293,'Test catalog'!$A$2:$A$200,0))),"")</f>
        <v/>
      </c>
      <c r="R293" s="11">
        <f>IFERROR(IF(INDEX('Test catalog'!$P$2:$P$200,MATCH($Y293,'Test catalog'!$A$2:$A$200,0))="","",INDEX('Test catalog'!$P$2:$P$200,MATCH($Y293,'Test catalog'!$A$2:$A$200,0))),"")</f>
        <v/>
      </c>
      <c r="S293" s="14" t="n"/>
      <c r="T293" s="5" t="inlineStr">
        <is>
          <t>Y</t>
        </is>
      </c>
      <c r="U293" s="11">
        <f>IFERROR(IF(INDEX('Test catalog'!$Q$2:$Q$200,MATCH($Y293,'Test catalog'!$A$2:$A$200,0))="","",INDEX('Test catalog'!$Q$2:$Q$200,MATCH($Y293,'Test catalog'!$A$2:$A$200,0))),"")</f>
        <v/>
      </c>
      <c r="V293" s="5" t="n"/>
      <c r="W293" s="5" t="n"/>
      <c r="X293" s="5" t="n"/>
      <c r="Y293" s="5" t="inlineStr">
        <is>
          <t>ENUM</t>
        </is>
      </c>
      <c r="Z293" s="11" t="inlineStr">
        <is>
          <t>USP &lt;1111&gt; oral solid: TAMC, TYMC, absence of E. coli</t>
        </is>
      </c>
    </row>
    <row r="294">
      <c r="A294" s="11" t="inlineStr">
        <is>
          <t>F13</t>
        </is>
      </c>
      <c r="B294" s="11" t="inlineStr">
        <is>
          <t>FP</t>
        </is>
      </c>
      <c r="C294" s="11" t="inlineStr">
        <is>
          <t>Naproxen 750  |  Naproxen</t>
        </is>
      </c>
      <c r="D294" s="11" t="inlineStr">
        <is>
          <t>Absence of Escherichia coli (&lt;62&gt; / &lt;2022&gt;)</t>
        </is>
      </c>
      <c r="E294" s="5" t="inlineStr">
        <is>
          <t>Y</t>
        </is>
      </c>
      <c r="F294" s="5" t="n"/>
      <c r="G294" s="11">
        <f>IFERROR(IF(INDEX('Test catalog'!$F$2:$F$200,MATCH($Y294,'Test catalog'!$A$2:$A$200,0))="","",INDEX('Test catalog'!$F$2:$F$200,MATCH($Y294,'Test catalog'!$A$2:$A$200,0))),"")</f>
        <v/>
      </c>
      <c r="H294" s="11">
        <f>IFERROR(IF(INDEX('Test catalog'!$G$2:$G$200,MATCH($Y294,'Test catalog'!$A$2:$A$200,0))="","",INDEX('Test catalog'!$G$2:$G$200,MATCH($Y294,'Test catalog'!$A$2:$A$200,0))),"")</f>
        <v/>
      </c>
      <c r="I294" s="11">
        <f>IFERROR(IF(INDEX('Test catalog'!$H$2:$H$200,MATCH($Y294,'Test catalog'!$A$2:$A$200,0))="","",INDEX('Test catalog'!$H$2:$H$200,MATCH($Y294,'Test catalog'!$A$2:$A$200,0))),"")</f>
        <v/>
      </c>
      <c r="J294" s="11">
        <f>IFERROR(IF(INDEX('Test catalog'!$I$2:$I$200,MATCH($Y294,'Test catalog'!$A$2:$A$200,0))="","",INDEX('Test catalog'!$I$2:$I$200,MATCH($Y294,'Test catalog'!$A$2:$A$200,0))),"")</f>
        <v/>
      </c>
      <c r="K294" s="13">
        <f>IF(I294="","",IF(OR(H294="",J294=""),I294,(H294+4*I294+J294)/6))</f>
        <v/>
      </c>
      <c r="L294" s="11">
        <f>IFERROR(IF(INDEX('Test catalog'!$J$2:$J$200,MATCH($Y294,'Test catalog'!$A$2:$A$200,0))="","",INDEX('Test catalog'!$J$2:$J$200,MATCH($Y294,'Test catalog'!$A$2:$A$200,0))),"")</f>
        <v/>
      </c>
      <c r="M294" s="11">
        <f>IFERROR(IF(INDEX('Test catalog'!$K$2:$K$200,MATCH($Y294,'Test catalog'!$A$2:$A$200,0))="","",INDEX('Test catalog'!$K$2:$K$200,MATCH($Y294,'Test catalog'!$A$2:$A$200,0))),"")</f>
        <v/>
      </c>
      <c r="N294" s="11">
        <f>IFERROR(IF(INDEX('Test catalog'!$L$2:$L$200,MATCH($Y294,'Test catalog'!$A$2:$A$200,0))="","",INDEX('Test catalog'!$L$2:$L$200,MATCH($Y294,'Test catalog'!$A$2:$A$200,0))),"")</f>
        <v/>
      </c>
      <c r="O294" s="11">
        <f>IFERROR(IF(INDEX('Test catalog'!$M$2:$M$200,MATCH($Y294,'Test catalog'!$A$2:$A$200,0))="","",INDEX('Test catalog'!$M$2:$M$200,MATCH($Y294,'Test catalog'!$A$2:$A$200,0))),"")</f>
        <v/>
      </c>
      <c r="P294" s="11">
        <f>IFERROR(IF(INDEX('Test catalog'!$N$2:$N$200,MATCH($Y294,'Test catalog'!$A$2:$A$200,0))="","",INDEX('Test catalog'!$N$2:$N$200,MATCH($Y294,'Test catalog'!$A$2:$A$200,0))),"")</f>
        <v/>
      </c>
      <c r="Q294" s="11">
        <f>IFERROR(IF(INDEX('Test catalog'!$O$2:$O$200,MATCH($Y294,'Test catalog'!$A$2:$A$200,0))="","",INDEX('Test catalog'!$O$2:$O$200,MATCH($Y294,'Test catalog'!$A$2:$A$200,0))),"")</f>
        <v/>
      </c>
      <c r="R294" s="11">
        <f>IFERROR(IF(INDEX('Test catalog'!$P$2:$P$200,MATCH($Y294,'Test catalog'!$A$2:$A$200,0))="","",INDEX('Test catalog'!$P$2:$P$200,MATCH($Y294,'Test catalog'!$A$2:$A$200,0))),"")</f>
        <v/>
      </c>
      <c r="S294" s="14" t="n"/>
      <c r="T294" s="5" t="inlineStr">
        <is>
          <t>N</t>
        </is>
      </c>
      <c r="U294" s="11">
        <f>IFERROR(IF(INDEX('Test catalog'!$Q$2:$Q$200,MATCH($Y294,'Test catalog'!$A$2:$A$200,0))="","",INDEX('Test catalog'!$Q$2:$Q$200,MATCH($Y294,'Test catalog'!$A$2:$A$200,0))),"")</f>
        <v/>
      </c>
      <c r="V294" s="5" t="n"/>
      <c r="W294" s="5" t="n"/>
      <c r="X294" s="5" t="n"/>
      <c r="Y294" s="5" t="inlineStr">
        <is>
          <t>ECOLI</t>
        </is>
      </c>
      <c r="Z294" s="11" t="inlineStr">
        <is>
          <t>USP &lt;1111&gt; oral solid: TAMC, TYMC, absence of E. coli</t>
        </is>
      </c>
    </row>
    <row r="295">
      <c r="A295" s="11" t="inlineStr">
        <is>
          <t>F14</t>
        </is>
      </c>
      <c r="B295" s="11" t="inlineStr">
        <is>
          <t>FP</t>
        </is>
      </c>
      <c r="C295" s="11" t="inlineStr">
        <is>
          <t>Azelastin+Fluticasone (Nasal Spray)  |  Azelastine Hydrochloride, Fluticasone Propionate</t>
        </is>
      </c>
      <c r="D295" s="11" t="inlineStr">
        <is>
          <t>Microbial enumeration - TAMC + TYMC (&lt;61&gt; / &lt;2021&gt;)</t>
        </is>
      </c>
      <c r="E295" s="5" t="inlineStr">
        <is>
          <t>Y</t>
        </is>
      </c>
      <c r="F295" s="5" t="n"/>
      <c r="G295" s="11">
        <f>IFERROR(IF(INDEX('Test catalog'!$F$2:$F$200,MATCH($Y295,'Test catalog'!$A$2:$A$200,0))="","",INDEX('Test catalog'!$F$2:$F$200,MATCH($Y295,'Test catalog'!$A$2:$A$200,0))),"")</f>
        <v/>
      </c>
      <c r="H295" s="11">
        <f>IFERROR(IF(INDEX('Test catalog'!$G$2:$G$200,MATCH($Y295,'Test catalog'!$A$2:$A$200,0))="","",INDEX('Test catalog'!$G$2:$G$200,MATCH($Y295,'Test catalog'!$A$2:$A$200,0))),"")</f>
        <v/>
      </c>
      <c r="I295" s="11">
        <f>IFERROR(IF(INDEX('Test catalog'!$H$2:$H$200,MATCH($Y295,'Test catalog'!$A$2:$A$200,0))="","",INDEX('Test catalog'!$H$2:$H$200,MATCH($Y295,'Test catalog'!$A$2:$A$200,0))),"")</f>
        <v/>
      </c>
      <c r="J295" s="11">
        <f>IFERROR(IF(INDEX('Test catalog'!$I$2:$I$200,MATCH($Y295,'Test catalog'!$A$2:$A$200,0))="","",INDEX('Test catalog'!$I$2:$I$200,MATCH($Y295,'Test catalog'!$A$2:$A$200,0))),"")</f>
        <v/>
      </c>
      <c r="K295" s="13">
        <f>IF(I295="","",IF(OR(H295="",J295=""),I295,(H295+4*I295+J295)/6))</f>
        <v/>
      </c>
      <c r="L295" s="11">
        <f>IFERROR(IF(INDEX('Test catalog'!$J$2:$J$200,MATCH($Y295,'Test catalog'!$A$2:$A$200,0))="","",INDEX('Test catalog'!$J$2:$J$200,MATCH($Y295,'Test catalog'!$A$2:$A$200,0))),"")</f>
        <v/>
      </c>
      <c r="M295" s="11">
        <f>IFERROR(IF(INDEX('Test catalog'!$K$2:$K$200,MATCH($Y295,'Test catalog'!$A$2:$A$200,0))="","",INDEX('Test catalog'!$K$2:$K$200,MATCH($Y295,'Test catalog'!$A$2:$A$200,0))),"")</f>
        <v/>
      </c>
      <c r="N295" s="11">
        <f>IFERROR(IF(INDEX('Test catalog'!$L$2:$L$200,MATCH($Y295,'Test catalog'!$A$2:$A$200,0))="","",INDEX('Test catalog'!$L$2:$L$200,MATCH($Y295,'Test catalog'!$A$2:$A$200,0))),"")</f>
        <v/>
      </c>
      <c r="O295" s="11">
        <f>IFERROR(IF(INDEX('Test catalog'!$M$2:$M$200,MATCH($Y295,'Test catalog'!$A$2:$A$200,0))="","",INDEX('Test catalog'!$M$2:$M$200,MATCH($Y295,'Test catalog'!$A$2:$A$200,0))),"")</f>
        <v/>
      </c>
      <c r="P295" s="11">
        <f>IFERROR(IF(INDEX('Test catalog'!$N$2:$N$200,MATCH($Y295,'Test catalog'!$A$2:$A$200,0))="","",INDEX('Test catalog'!$N$2:$N$200,MATCH($Y295,'Test catalog'!$A$2:$A$200,0))),"")</f>
        <v/>
      </c>
      <c r="Q295" s="11">
        <f>IFERROR(IF(INDEX('Test catalog'!$O$2:$O$200,MATCH($Y295,'Test catalog'!$A$2:$A$200,0))="","",INDEX('Test catalog'!$O$2:$O$200,MATCH($Y295,'Test catalog'!$A$2:$A$200,0))),"")</f>
        <v/>
      </c>
      <c r="R295" s="11">
        <f>IFERROR(IF(INDEX('Test catalog'!$P$2:$P$200,MATCH($Y295,'Test catalog'!$A$2:$A$200,0))="","",INDEX('Test catalog'!$P$2:$P$200,MATCH($Y295,'Test catalog'!$A$2:$A$200,0))),"")</f>
        <v/>
      </c>
      <c r="S295" s="14" t="n"/>
      <c r="T295" s="5" t="inlineStr">
        <is>
          <t>Y</t>
        </is>
      </c>
      <c r="U295" s="11">
        <f>IFERROR(IF(INDEX('Test catalog'!$Q$2:$Q$200,MATCH($Y295,'Test catalog'!$A$2:$A$200,0))="","",INDEX('Test catalog'!$Q$2:$Q$200,MATCH($Y295,'Test catalog'!$A$2:$A$200,0))),"")</f>
        <v/>
      </c>
      <c r="V295" s="5" t="n"/>
      <c r="W295" s="5" t="n"/>
      <c r="X295" s="5" t="n"/>
      <c r="Y295" s="5" t="inlineStr">
        <is>
          <t>ENUM</t>
        </is>
      </c>
      <c r="Z295" s="11" t="inlineStr">
        <is>
          <t>USP &lt;1111&gt; nasal use: TAMC, TYMC, absence of S. aureus and P. aeruginosa; &lt;51&gt; for a preserved product</t>
        </is>
      </c>
    </row>
    <row r="296">
      <c r="A296" s="11" t="inlineStr">
        <is>
          <t>F14</t>
        </is>
      </c>
      <c r="B296" s="11" t="inlineStr">
        <is>
          <t>FP</t>
        </is>
      </c>
      <c r="C296" s="11" t="inlineStr">
        <is>
          <t>Azelastin+Fluticasone (Nasal Spray)  |  Azelastine Hydrochloride, Fluticasone Propionate</t>
        </is>
      </c>
      <c r="D296" s="11" t="inlineStr">
        <is>
          <t>Absence of Staphylococcus aureus (&lt;62&gt;)</t>
        </is>
      </c>
      <c r="E296" s="5" t="inlineStr">
        <is>
          <t>Y</t>
        </is>
      </c>
      <c r="F296" s="5" t="n"/>
      <c r="G296" s="11">
        <f>IFERROR(IF(INDEX('Test catalog'!$F$2:$F$200,MATCH($Y296,'Test catalog'!$A$2:$A$200,0))="","",INDEX('Test catalog'!$F$2:$F$200,MATCH($Y296,'Test catalog'!$A$2:$A$200,0))),"")</f>
        <v/>
      </c>
      <c r="H296" s="11">
        <f>IFERROR(IF(INDEX('Test catalog'!$G$2:$G$200,MATCH($Y296,'Test catalog'!$A$2:$A$200,0))="","",INDEX('Test catalog'!$G$2:$G$200,MATCH($Y296,'Test catalog'!$A$2:$A$200,0))),"")</f>
        <v/>
      </c>
      <c r="I296" s="11">
        <f>IFERROR(IF(INDEX('Test catalog'!$H$2:$H$200,MATCH($Y296,'Test catalog'!$A$2:$A$200,0))="","",INDEX('Test catalog'!$H$2:$H$200,MATCH($Y296,'Test catalog'!$A$2:$A$200,0))),"")</f>
        <v/>
      </c>
      <c r="J296" s="11">
        <f>IFERROR(IF(INDEX('Test catalog'!$I$2:$I$200,MATCH($Y296,'Test catalog'!$A$2:$A$200,0))="","",INDEX('Test catalog'!$I$2:$I$200,MATCH($Y296,'Test catalog'!$A$2:$A$200,0))),"")</f>
        <v/>
      </c>
      <c r="K296" s="13">
        <f>IF(I296="","",IF(OR(H296="",J296=""),I296,(H296+4*I296+J296)/6))</f>
        <v/>
      </c>
      <c r="L296" s="11">
        <f>IFERROR(IF(INDEX('Test catalog'!$J$2:$J$200,MATCH($Y296,'Test catalog'!$A$2:$A$200,0))="","",INDEX('Test catalog'!$J$2:$J$200,MATCH($Y296,'Test catalog'!$A$2:$A$200,0))),"")</f>
        <v/>
      </c>
      <c r="M296" s="11">
        <f>IFERROR(IF(INDEX('Test catalog'!$K$2:$K$200,MATCH($Y296,'Test catalog'!$A$2:$A$200,0))="","",INDEX('Test catalog'!$K$2:$K$200,MATCH($Y296,'Test catalog'!$A$2:$A$200,0))),"")</f>
        <v/>
      </c>
      <c r="N296" s="11">
        <f>IFERROR(IF(INDEX('Test catalog'!$L$2:$L$200,MATCH($Y296,'Test catalog'!$A$2:$A$200,0))="","",INDEX('Test catalog'!$L$2:$L$200,MATCH($Y296,'Test catalog'!$A$2:$A$200,0))),"")</f>
        <v/>
      </c>
      <c r="O296" s="11">
        <f>IFERROR(IF(INDEX('Test catalog'!$M$2:$M$200,MATCH($Y296,'Test catalog'!$A$2:$A$200,0))="","",INDEX('Test catalog'!$M$2:$M$200,MATCH($Y296,'Test catalog'!$A$2:$A$200,0))),"")</f>
        <v/>
      </c>
      <c r="P296" s="11">
        <f>IFERROR(IF(INDEX('Test catalog'!$N$2:$N$200,MATCH($Y296,'Test catalog'!$A$2:$A$200,0))="","",INDEX('Test catalog'!$N$2:$N$200,MATCH($Y296,'Test catalog'!$A$2:$A$200,0))),"")</f>
        <v/>
      </c>
      <c r="Q296" s="11">
        <f>IFERROR(IF(INDEX('Test catalog'!$O$2:$O$200,MATCH($Y296,'Test catalog'!$A$2:$A$200,0))="","",INDEX('Test catalog'!$O$2:$O$200,MATCH($Y296,'Test catalog'!$A$2:$A$200,0))),"")</f>
        <v/>
      </c>
      <c r="R296" s="11">
        <f>IFERROR(IF(INDEX('Test catalog'!$P$2:$P$200,MATCH($Y296,'Test catalog'!$A$2:$A$200,0))="","",INDEX('Test catalog'!$P$2:$P$200,MATCH($Y296,'Test catalog'!$A$2:$A$200,0))),"")</f>
        <v/>
      </c>
      <c r="S296" s="14" t="n"/>
      <c r="T296" s="5" t="inlineStr">
        <is>
          <t>N</t>
        </is>
      </c>
      <c r="U296" s="11">
        <f>IFERROR(IF(INDEX('Test catalog'!$Q$2:$Q$200,MATCH($Y296,'Test catalog'!$A$2:$A$200,0))="","",INDEX('Test catalog'!$Q$2:$Q$200,MATCH($Y296,'Test catalog'!$A$2:$A$200,0))),"")</f>
        <v/>
      </c>
      <c r="V296" s="5" t="n"/>
      <c r="W296" s="5" t="n"/>
      <c r="X296" s="5" t="n"/>
      <c r="Y296" s="5" t="inlineStr">
        <is>
          <t>SAUR</t>
        </is>
      </c>
      <c r="Z296" s="11" t="inlineStr">
        <is>
          <t>USP &lt;1111&gt; nasal use: TAMC, TYMC, absence of S. aureus and P. aeruginosa; &lt;51&gt; for a preserved product</t>
        </is>
      </c>
    </row>
    <row r="297">
      <c r="A297" s="11" t="inlineStr">
        <is>
          <t>F14</t>
        </is>
      </c>
      <c r="B297" s="11" t="inlineStr">
        <is>
          <t>FP</t>
        </is>
      </c>
      <c r="C297" s="11" t="inlineStr">
        <is>
          <t>Azelastin+Fluticasone (Nasal Spray)  |  Azelastine Hydrochloride, Fluticasone Propionate</t>
        </is>
      </c>
      <c r="D297" s="11" t="inlineStr">
        <is>
          <t>Absence of Pseudomonas aeruginosa (&lt;62&gt;)</t>
        </is>
      </c>
      <c r="E297" s="5" t="inlineStr">
        <is>
          <t>Y</t>
        </is>
      </c>
      <c r="F297" s="5" t="n"/>
      <c r="G297" s="11">
        <f>IFERROR(IF(INDEX('Test catalog'!$F$2:$F$200,MATCH($Y297,'Test catalog'!$A$2:$A$200,0))="","",INDEX('Test catalog'!$F$2:$F$200,MATCH($Y297,'Test catalog'!$A$2:$A$200,0))),"")</f>
        <v/>
      </c>
      <c r="H297" s="11">
        <f>IFERROR(IF(INDEX('Test catalog'!$G$2:$G$200,MATCH($Y297,'Test catalog'!$A$2:$A$200,0))="","",INDEX('Test catalog'!$G$2:$G$200,MATCH($Y297,'Test catalog'!$A$2:$A$200,0))),"")</f>
        <v/>
      </c>
      <c r="I297" s="11">
        <f>IFERROR(IF(INDEX('Test catalog'!$H$2:$H$200,MATCH($Y297,'Test catalog'!$A$2:$A$200,0))="","",INDEX('Test catalog'!$H$2:$H$200,MATCH($Y297,'Test catalog'!$A$2:$A$200,0))),"")</f>
        <v/>
      </c>
      <c r="J297" s="11">
        <f>IFERROR(IF(INDEX('Test catalog'!$I$2:$I$200,MATCH($Y297,'Test catalog'!$A$2:$A$200,0))="","",INDEX('Test catalog'!$I$2:$I$200,MATCH($Y297,'Test catalog'!$A$2:$A$200,0))),"")</f>
        <v/>
      </c>
      <c r="K297" s="13">
        <f>IF(I297="","",IF(OR(H297="",J297=""),I297,(H297+4*I297+J297)/6))</f>
        <v/>
      </c>
      <c r="L297" s="11">
        <f>IFERROR(IF(INDEX('Test catalog'!$J$2:$J$200,MATCH($Y297,'Test catalog'!$A$2:$A$200,0))="","",INDEX('Test catalog'!$J$2:$J$200,MATCH($Y297,'Test catalog'!$A$2:$A$200,0))),"")</f>
        <v/>
      </c>
      <c r="M297" s="11">
        <f>IFERROR(IF(INDEX('Test catalog'!$K$2:$K$200,MATCH($Y297,'Test catalog'!$A$2:$A$200,0))="","",INDEX('Test catalog'!$K$2:$K$200,MATCH($Y297,'Test catalog'!$A$2:$A$200,0))),"")</f>
        <v/>
      </c>
      <c r="N297" s="11">
        <f>IFERROR(IF(INDEX('Test catalog'!$L$2:$L$200,MATCH($Y297,'Test catalog'!$A$2:$A$200,0))="","",INDEX('Test catalog'!$L$2:$L$200,MATCH($Y297,'Test catalog'!$A$2:$A$200,0))),"")</f>
        <v/>
      </c>
      <c r="O297" s="11">
        <f>IFERROR(IF(INDEX('Test catalog'!$M$2:$M$200,MATCH($Y297,'Test catalog'!$A$2:$A$200,0))="","",INDEX('Test catalog'!$M$2:$M$200,MATCH($Y297,'Test catalog'!$A$2:$A$200,0))),"")</f>
        <v/>
      </c>
      <c r="P297" s="11">
        <f>IFERROR(IF(INDEX('Test catalog'!$N$2:$N$200,MATCH($Y297,'Test catalog'!$A$2:$A$200,0))="","",INDEX('Test catalog'!$N$2:$N$200,MATCH($Y297,'Test catalog'!$A$2:$A$200,0))),"")</f>
        <v/>
      </c>
      <c r="Q297" s="11">
        <f>IFERROR(IF(INDEX('Test catalog'!$O$2:$O$200,MATCH($Y297,'Test catalog'!$A$2:$A$200,0))="","",INDEX('Test catalog'!$O$2:$O$200,MATCH($Y297,'Test catalog'!$A$2:$A$200,0))),"")</f>
        <v/>
      </c>
      <c r="R297" s="11">
        <f>IFERROR(IF(INDEX('Test catalog'!$P$2:$P$200,MATCH($Y297,'Test catalog'!$A$2:$A$200,0))="","",INDEX('Test catalog'!$P$2:$P$200,MATCH($Y297,'Test catalog'!$A$2:$A$200,0))),"")</f>
        <v/>
      </c>
      <c r="S297" s="14" t="n"/>
      <c r="T297" s="5" t="inlineStr">
        <is>
          <t>N</t>
        </is>
      </c>
      <c r="U297" s="11">
        <f>IFERROR(IF(INDEX('Test catalog'!$Q$2:$Q$200,MATCH($Y297,'Test catalog'!$A$2:$A$200,0))="","",INDEX('Test catalog'!$Q$2:$Q$200,MATCH($Y297,'Test catalog'!$A$2:$A$200,0))),"")</f>
        <v/>
      </c>
      <c r="V297" s="5" t="n"/>
      <c r="W297" s="5" t="n"/>
      <c r="X297" s="5" t="n"/>
      <c r="Y297" s="5" t="inlineStr">
        <is>
          <t>PSAE</t>
        </is>
      </c>
      <c r="Z297" s="11" t="inlineStr">
        <is>
          <t>USP &lt;1111&gt; nasal use: TAMC, TYMC, absence of S. aureus and P. aeruginosa; &lt;51&gt; for a preserved product</t>
        </is>
      </c>
    </row>
    <row r="298">
      <c r="A298" s="11" t="inlineStr">
        <is>
          <t>F14</t>
        </is>
      </c>
      <c r="B298" s="11" t="inlineStr">
        <is>
          <t>FP</t>
        </is>
      </c>
      <c r="C298" s="11" t="inlineStr">
        <is>
          <t>Azelastin+Fluticasone (Nasal Spray)  |  Azelastine Hydrochloride, Fluticasone Propionate</t>
        </is>
      </c>
      <c r="D298" s="11" t="inlineStr">
        <is>
          <t>Antimicrobial effectiveness / preservative efficacy (&lt;51&gt;)</t>
        </is>
      </c>
      <c r="E298" s="5" t="inlineStr">
        <is>
          <t>Y</t>
        </is>
      </c>
      <c r="F298" s="5" t="n"/>
      <c r="G298" s="11">
        <f>IFERROR(IF(INDEX('Test catalog'!$F$2:$F$200,MATCH($Y298,'Test catalog'!$A$2:$A$200,0))="","",INDEX('Test catalog'!$F$2:$F$200,MATCH($Y298,'Test catalog'!$A$2:$A$200,0))),"")</f>
        <v/>
      </c>
      <c r="H298" s="11">
        <f>IFERROR(IF(INDEX('Test catalog'!$G$2:$G$200,MATCH($Y298,'Test catalog'!$A$2:$A$200,0))="","",INDEX('Test catalog'!$G$2:$G$200,MATCH($Y298,'Test catalog'!$A$2:$A$200,0))),"")</f>
        <v/>
      </c>
      <c r="I298" s="11">
        <f>IFERROR(IF(INDEX('Test catalog'!$H$2:$H$200,MATCH($Y298,'Test catalog'!$A$2:$A$200,0))="","",INDEX('Test catalog'!$H$2:$H$200,MATCH($Y298,'Test catalog'!$A$2:$A$200,0))),"")</f>
        <v/>
      </c>
      <c r="J298" s="11">
        <f>IFERROR(IF(INDEX('Test catalog'!$I$2:$I$200,MATCH($Y298,'Test catalog'!$A$2:$A$200,0))="","",INDEX('Test catalog'!$I$2:$I$200,MATCH($Y298,'Test catalog'!$A$2:$A$200,0))),"")</f>
        <v/>
      </c>
      <c r="K298" s="13">
        <f>IF(I298="","",IF(OR(H298="",J298=""),I298,(H298+4*I298+J298)/6))</f>
        <v/>
      </c>
      <c r="L298" s="11">
        <f>IFERROR(IF(INDEX('Test catalog'!$J$2:$J$200,MATCH($Y298,'Test catalog'!$A$2:$A$200,0))="","",INDEX('Test catalog'!$J$2:$J$200,MATCH($Y298,'Test catalog'!$A$2:$A$200,0))),"")</f>
        <v/>
      </c>
      <c r="M298" s="11">
        <f>IFERROR(IF(INDEX('Test catalog'!$K$2:$K$200,MATCH($Y298,'Test catalog'!$A$2:$A$200,0))="","",INDEX('Test catalog'!$K$2:$K$200,MATCH($Y298,'Test catalog'!$A$2:$A$200,0))),"")</f>
        <v/>
      </c>
      <c r="N298" s="11">
        <f>IFERROR(IF(INDEX('Test catalog'!$L$2:$L$200,MATCH($Y298,'Test catalog'!$A$2:$A$200,0))="","",INDEX('Test catalog'!$L$2:$L$200,MATCH($Y298,'Test catalog'!$A$2:$A$200,0))),"")</f>
        <v/>
      </c>
      <c r="O298" s="11">
        <f>IFERROR(IF(INDEX('Test catalog'!$M$2:$M$200,MATCH($Y298,'Test catalog'!$A$2:$A$200,0))="","",INDEX('Test catalog'!$M$2:$M$200,MATCH($Y298,'Test catalog'!$A$2:$A$200,0))),"")</f>
        <v/>
      </c>
      <c r="P298" s="11">
        <f>IFERROR(IF(INDEX('Test catalog'!$N$2:$N$200,MATCH($Y298,'Test catalog'!$A$2:$A$200,0))="","",INDEX('Test catalog'!$N$2:$N$200,MATCH($Y298,'Test catalog'!$A$2:$A$200,0))),"")</f>
        <v/>
      </c>
      <c r="Q298" s="11">
        <f>IFERROR(IF(INDEX('Test catalog'!$O$2:$O$200,MATCH($Y298,'Test catalog'!$A$2:$A$200,0))="","",INDEX('Test catalog'!$O$2:$O$200,MATCH($Y298,'Test catalog'!$A$2:$A$200,0))),"")</f>
        <v/>
      </c>
      <c r="R298" s="11">
        <f>IFERROR(IF(INDEX('Test catalog'!$P$2:$P$200,MATCH($Y298,'Test catalog'!$A$2:$A$200,0))="","",INDEX('Test catalog'!$P$2:$P$200,MATCH($Y298,'Test catalog'!$A$2:$A$200,0))),"")</f>
        <v/>
      </c>
      <c r="S298" s="14" t="n"/>
      <c r="T298" s="5" t="inlineStr">
        <is>
          <t>Y</t>
        </is>
      </c>
      <c r="U298" s="11">
        <f>IFERROR(IF(INDEX('Test catalog'!$Q$2:$Q$200,MATCH($Y298,'Test catalog'!$A$2:$A$200,0))="","",INDEX('Test catalog'!$Q$2:$Q$200,MATCH($Y298,'Test catalog'!$A$2:$A$200,0))),"")</f>
        <v/>
      </c>
      <c r="V298" s="5" t="n"/>
      <c r="W298" s="5" t="n"/>
      <c r="X298" s="5" t="inlineStr">
        <is>
          <t>Usually stability / validation batches only - give the % in column F</t>
        </is>
      </c>
      <c r="Y298" s="5" t="inlineStr">
        <is>
          <t>PET</t>
        </is>
      </c>
      <c r="Z298" s="11" t="inlineStr">
        <is>
          <t>USP &lt;1111&gt; nasal use: TAMC, TYMC, absence of S. aureus and P. aeruginosa; &lt;51&gt; for a preserved product</t>
        </is>
      </c>
    </row>
    <row r="299">
      <c r="A299" s="11" t="inlineStr">
        <is>
          <t>F15</t>
        </is>
      </c>
      <c r="B299" s="11" t="inlineStr">
        <is>
          <t>FP</t>
        </is>
      </c>
      <c r="C299" s="11" t="inlineStr">
        <is>
          <t>Scadia 50; Scadia 100; Scadia 200  |  Sacubitril/Valsartan 3Sodium 2.5H2O Co-crystal</t>
        </is>
      </c>
      <c r="D299" s="11" t="inlineStr">
        <is>
          <t>Microbial enumeration - TAMC + TYMC (&lt;61&gt; / &lt;2021&gt;)</t>
        </is>
      </c>
      <c r="E299" s="5" t="inlineStr">
        <is>
          <t>Y</t>
        </is>
      </c>
      <c r="F299" s="5" t="n"/>
      <c r="G299" s="11">
        <f>IFERROR(IF(INDEX('Test catalog'!$F$2:$F$200,MATCH($Y299,'Test catalog'!$A$2:$A$200,0))="","",INDEX('Test catalog'!$F$2:$F$200,MATCH($Y299,'Test catalog'!$A$2:$A$200,0))),"")</f>
        <v/>
      </c>
      <c r="H299" s="11">
        <f>IFERROR(IF(INDEX('Test catalog'!$G$2:$G$200,MATCH($Y299,'Test catalog'!$A$2:$A$200,0))="","",INDEX('Test catalog'!$G$2:$G$200,MATCH($Y299,'Test catalog'!$A$2:$A$200,0))),"")</f>
        <v/>
      </c>
      <c r="I299" s="11">
        <f>IFERROR(IF(INDEX('Test catalog'!$H$2:$H$200,MATCH($Y299,'Test catalog'!$A$2:$A$200,0))="","",INDEX('Test catalog'!$H$2:$H$200,MATCH($Y299,'Test catalog'!$A$2:$A$200,0))),"")</f>
        <v/>
      </c>
      <c r="J299" s="11">
        <f>IFERROR(IF(INDEX('Test catalog'!$I$2:$I$200,MATCH($Y299,'Test catalog'!$A$2:$A$200,0))="","",INDEX('Test catalog'!$I$2:$I$200,MATCH($Y299,'Test catalog'!$A$2:$A$200,0))),"")</f>
        <v/>
      </c>
      <c r="K299" s="13">
        <f>IF(I299="","",IF(OR(H299="",J299=""),I299,(H299+4*I299+J299)/6))</f>
        <v/>
      </c>
      <c r="L299" s="11">
        <f>IFERROR(IF(INDEX('Test catalog'!$J$2:$J$200,MATCH($Y299,'Test catalog'!$A$2:$A$200,0))="","",INDEX('Test catalog'!$J$2:$J$200,MATCH($Y299,'Test catalog'!$A$2:$A$200,0))),"")</f>
        <v/>
      </c>
      <c r="M299" s="11">
        <f>IFERROR(IF(INDEX('Test catalog'!$K$2:$K$200,MATCH($Y299,'Test catalog'!$A$2:$A$200,0))="","",INDEX('Test catalog'!$K$2:$K$200,MATCH($Y299,'Test catalog'!$A$2:$A$200,0))),"")</f>
        <v/>
      </c>
      <c r="N299" s="11">
        <f>IFERROR(IF(INDEX('Test catalog'!$L$2:$L$200,MATCH($Y299,'Test catalog'!$A$2:$A$200,0))="","",INDEX('Test catalog'!$L$2:$L$200,MATCH($Y299,'Test catalog'!$A$2:$A$200,0))),"")</f>
        <v/>
      </c>
      <c r="O299" s="11">
        <f>IFERROR(IF(INDEX('Test catalog'!$M$2:$M$200,MATCH($Y299,'Test catalog'!$A$2:$A$200,0))="","",INDEX('Test catalog'!$M$2:$M$200,MATCH($Y299,'Test catalog'!$A$2:$A$200,0))),"")</f>
        <v/>
      </c>
      <c r="P299" s="11">
        <f>IFERROR(IF(INDEX('Test catalog'!$N$2:$N$200,MATCH($Y299,'Test catalog'!$A$2:$A$200,0))="","",INDEX('Test catalog'!$N$2:$N$200,MATCH($Y299,'Test catalog'!$A$2:$A$200,0))),"")</f>
        <v/>
      </c>
      <c r="Q299" s="11">
        <f>IFERROR(IF(INDEX('Test catalog'!$O$2:$O$200,MATCH($Y299,'Test catalog'!$A$2:$A$200,0))="","",INDEX('Test catalog'!$O$2:$O$200,MATCH($Y299,'Test catalog'!$A$2:$A$200,0))),"")</f>
        <v/>
      </c>
      <c r="R299" s="11">
        <f>IFERROR(IF(INDEX('Test catalog'!$P$2:$P$200,MATCH($Y299,'Test catalog'!$A$2:$A$200,0))="","",INDEX('Test catalog'!$P$2:$P$200,MATCH($Y299,'Test catalog'!$A$2:$A$200,0))),"")</f>
        <v/>
      </c>
      <c r="S299" s="14" t="n"/>
      <c r="T299" s="5" t="inlineStr">
        <is>
          <t>Y</t>
        </is>
      </c>
      <c r="U299" s="11">
        <f>IFERROR(IF(INDEX('Test catalog'!$Q$2:$Q$200,MATCH($Y299,'Test catalog'!$A$2:$A$200,0))="","",INDEX('Test catalog'!$Q$2:$Q$200,MATCH($Y299,'Test catalog'!$A$2:$A$200,0))),"")</f>
        <v/>
      </c>
      <c r="V299" s="5" t="n"/>
      <c r="W299" s="5" t="n"/>
      <c r="X299" s="5" t="n"/>
      <c r="Y299" s="5" t="inlineStr">
        <is>
          <t>ENUM</t>
        </is>
      </c>
      <c r="Z299" s="11" t="inlineStr">
        <is>
          <t>USP &lt;1111&gt; oral solid: TAMC, TYMC, absence of E. coli</t>
        </is>
      </c>
    </row>
    <row r="300">
      <c r="A300" s="11" t="inlineStr">
        <is>
          <t>F15</t>
        </is>
      </c>
      <c r="B300" s="11" t="inlineStr">
        <is>
          <t>FP</t>
        </is>
      </c>
      <c r="C300" s="11" t="inlineStr">
        <is>
          <t>Scadia 50; Scadia 100; Scadia 200  |  Sacubitril/Valsartan 3Sodium 2.5H2O Co-crystal</t>
        </is>
      </c>
      <c r="D300" s="11" t="inlineStr">
        <is>
          <t>Absence of Escherichia coli (&lt;62&gt; / &lt;2022&gt;)</t>
        </is>
      </c>
      <c r="E300" s="5" t="inlineStr">
        <is>
          <t>Y</t>
        </is>
      </c>
      <c r="F300" s="5" t="n"/>
      <c r="G300" s="11">
        <f>IFERROR(IF(INDEX('Test catalog'!$F$2:$F$200,MATCH($Y300,'Test catalog'!$A$2:$A$200,0))="","",INDEX('Test catalog'!$F$2:$F$200,MATCH($Y300,'Test catalog'!$A$2:$A$200,0))),"")</f>
        <v/>
      </c>
      <c r="H300" s="11">
        <f>IFERROR(IF(INDEX('Test catalog'!$G$2:$G$200,MATCH($Y300,'Test catalog'!$A$2:$A$200,0))="","",INDEX('Test catalog'!$G$2:$G$200,MATCH($Y300,'Test catalog'!$A$2:$A$200,0))),"")</f>
        <v/>
      </c>
      <c r="I300" s="11">
        <f>IFERROR(IF(INDEX('Test catalog'!$H$2:$H$200,MATCH($Y300,'Test catalog'!$A$2:$A$200,0))="","",INDEX('Test catalog'!$H$2:$H$200,MATCH($Y300,'Test catalog'!$A$2:$A$200,0))),"")</f>
        <v/>
      </c>
      <c r="J300" s="11">
        <f>IFERROR(IF(INDEX('Test catalog'!$I$2:$I$200,MATCH($Y300,'Test catalog'!$A$2:$A$200,0))="","",INDEX('Test catalog'!$I$2:$I$200,MATCH($Y300,'Test catalog'!$A$2:$A$200,0))),"")</f>
        <v/>
      </c>
      <c r="K300" s="13">
        <f>IF(I300="","",IF(OR(H300="",J300=""),I300,(H300+4*I300+J300)/6))</f>
        <v/>
      </c>
      <c r="L300" s="11">
        <f>IFERROR(IF(INDEX('Test catalog'!$J$2:$J$200,MATCH($Y300,'Test catalog'!$A$2:$A$200,0))="","",INDEX('Test catalog'!$J$2:$J$200,MATCH($Y300,'Test catalog'!$A$2:$A$200,0))),"")</f>
        <v/>
      </c>
      <c r="M300" s="11">
        <f>IFERROR(IF(INDEX('Test catalog'!$K$2:$K$200,MATCH($Y300,'Test catalog'!$A$2:$A$200,0))="","",INDEX('Test catalog'!$K$2:$K$200,MATCH($Y300,'Test catalog'!$A$2:$A$200,0))),"")</f>
        <v/>
      </c>
      <c r="N300" s="11">
        <f>IFERROR(IF(INDEX('Test catalog'!$L$2:$L$200,MATCH($Y300,'Test catalog'!$A$2:$A$200,0))="","",INDEX('Test catalog'!$L$2:$L$200,MATCH($Y300,'Test catalog'!$A$2:$A$200,0))),"")</f>
        <v/>
      </c>
      <c r="O300" s="11">
        <f>IFERROR(IF(INDEX('Test catalog'!$M$2:$M$200,MATCH($Y300,'Test catalog'!$A$2:$A$200,0))="","",INDEX('Test catalog'!$M$2:$M$200,MATCH($Y300,'Test catalog'!$A$2:$A$200,0))),"")</f>
        <v/>
      </c>
      <c r="P300" s="11">
        <f>IFERROR(IF(INDEX('Test catalog'!$N$2:$N$200,MATCH($Y300,'Test catalog'!$A$2:$A$200,0))="","",INDEX('Test catalog'!$N$2:$N$200,MATCH($Y300,'Test catalog'!$A$2:$A$200,0))),"")</f>
        <v/>
      </c>
      <c r="Q300" s="11">
        <f>IFERROR(IF(INDEX('Test catalog'!$O$2:$O$200,MATCH($Y300,'Test catalog'!$A$2:$A$200,0))="","",INDEX('Test catalog'!$O$2:$O$200,MATCH($Y300,'Test catalog'!$A$2:$A$200,0))),"")</f>
        <v/>
      </c>
      <c r="R300" s="11">
        <f>IFERROR(IF(INDEX('Test catalog'!$P$2:$P$200,MATCH($Y300,'Test catalog'!$A$2:$A$200,0))="","",INDEX('Test catalog'!$P$2:$P$200,MATCH($Y300,'Test catalog'!$A$2:$A$200,0))),"")</f>
        <v/>
      </c>
      <c r="S300" s="14" t="n"/>
      <c r="T300" s="5" t="inlineStr">
        <is>
          <t>N</t>
        </is>
      </c>
      <c r="U300" s="11">
        <f>IFERROR(IF(INDEX('Test catalog'!$Q$2:$Q$200,MATCH($Y300,'Test catalog'!$A$2:$A$200,0))="","",INDEX('Test catalog'!$Q$2:$Q$200,MATCH($Y300,'Test catalog'!$A$2:$A$200,0))),"")</f>
        <v/>
      </c>
      <c r="V300" s="5" t="n"/>
      <c r="W300" s="5" t="n"/>
      <c r="X300" s="5" t="n"/>
      <c r="Y300" s="5" t="inlineStr">
        <is>
          <t>ECOLI</t>
        </is>
      </c>
      <c r="Z300" s="11" t="inlineStr">
        <is>
          <t>USP &lt;1111&gt; oral solid: TAMC, TYMC, absence of E. coli</t>
        </is>
      </c>
    </row>
    <row r="301">
      <c r="A301" s="11" t="inlineStr">
        <is>
          <t>F16</t>
        </is>
      </c>
      <c r="B301" s="11" t="inlineStr">
        <is>
          <t>FP</t>
        </is>
      </c>
      <c r="C301" s="11" t="inlineStr">
        <is>
          <t>Taglida 5  |  Linagliptin</t>
        </is>
      </c>
      <c r="D301" s="11" t="inlineStr">
        <is>
          <t>Microbial enumeration - TAMC + TYMC (&lt;61&gt; / &lt;2021&gt;)</t>
        </is>
      </c>
      <c r="E301" s="5" t="inlineStr">
        <is>
          <t>Y</t>
        </is>
      </c>
      <c r="F301" s="5" t="n"/>
      <c r="G301" s="11">
        <f>IFERROR(IF(INDEX('Test catalog'!$F$2:$F$200,MATCH($Y301,'Test catalog'!$A$2:$A$200,0))="","",INDEX('Test catalog'!$F$2:$F$200,MATCH($Y301,'Test catalog'!$A$2:$A$200,0))),"")</f>
        <v/>
      </c>
      <c r="H301" s="11">
        <f>IFERROR(IF(INDEX('Test catalog'!$G$2:$G$200,MATCH($Y301,'Test catalog'!$A$2:$A$200,0))="","",INDEX('Test catalog'!$G$2:$G$200,MATCH($Y301,'Test catalog'!$A$2:$A$200,0))),"")</f>
        <v/>
      </c>
      <c r="I301" s="11">
        <f>IFERROR(IF(INDEX('Test catalog'!$H$2:$H$200,MATCH($Y301,'Test catalog'!$A$2:$A$200,0))="","",INDEX('Test catalog'!$H$2:$H$200,MATCH($Y301,'Test catalog'!$A$2:$A$200,0))),"")</f>
        <v/>
      </c>
      <c r="J301" s="11">
        <f>IFERROR(IF(INDEX('Test catalog'!$I$2:$I$200,MATCH($Y301,'Test catalog'!$A$2:$A$200,0))="","",INDEX('Test catalog'!$I$2:$I$200,MATCH($Y301,'Test catalog'!$A$2:$A$200,0))),"")</f>
        <v/>
      </c>
      <c r="K301" s="13">
        <f>IF(I301="","",IF(OR(H301="",J301=""),I301,(H301+4*I301+J301)/6))</f>
        <v/>
      </c>
      <c r="L301" s="11">
        <f>IFERROR(IF(INDEX('Test catalog'!$J$2:$J$200,MATCH($Y301,'Test catalog'!$A$2:$A$200,0))="","",INDEX('Test catalog'!$J$2:$J$200,MATCH($Y301,'Test catalog'!$A$2:$A$200,0))),"")</f>
        <v/>
      </c>
      <c r="M301" s="11">
        <f>IFERROR(IF(INDEX('Test catalog'!$K$2:$K$200,MATCH($Y301,'Test catalog'!$A$2:$A$200,0))="","",INDEX('Test catalog'!$K$2:$K$200,MATCH($Y301,'Test catalog'!$A$2:$A$200,0))),"")</f>
        <v/>
      </c>
      <c r="N301" s="11">
        <f>IFERROR(IF(INDEX('Test catalog'!$L$2:$L$200,MATCH($Y301,'Test catalog'!$A$2:$A$200,0))="","",INDEX('Test catalog'!$L$2:$L$200,MATCH($Y301,'Test catalog'!$A$2:$A$200,0))),"")</f>
        <v/>
      </c>
      <c r="O301" s="11">
        <f>IFERROR(IF(INDEX('Test catalog'!$M$2:$M$200,MATCH($Y301,'Test catalog'!$A$2:$A$200,0))="","",INDEX('Test catalog'!$M$2:$M$200,MATCH($Y301,'Test catalog'!$A$2:$A$200,0))),"")</f>
        <v/>
      </c>
      <c r="P301" s="11">
        <f>IFERROR(IF(INDEX('Test catalog'!$N$2:$N$200,MATCH($Y301,'Test catalog'!$A$2:$A$200,0))="","",INDEX('Test catalog'!$N$2:$N$200,MATCH($Y301,'Test catalog'!$A$2:$A$200,0))),"")</f>
        <v/>
      </c>
      <c r="Q301" s="11">
        <f>IFERROR(IF(INDEX('Test catalog'!$O$2:$O$200,MATCH($Y301,'Test catalog'!$A$2:$A$200,0))="","",INDEX('Test catalog'!$O$2:$O$200,MATCH($Y301,'Test catalog'!$A$2:$A$200,0))),"")</f>
        <v/>
      </c>
      <c r="R301" s="11">
        <f>IFERROR(IF(INDEX('Test catalog'!$P$2:$P$200,MATCH($Y301,'Test catalog'!$A$2:$A$200,0))="","",INDEX('Test catalog'!$P$2:$P$200,MATCH($Y301,'Test catalog'!$A$2:$A$200,0))),"")</f>
        <v/>
      </c>
      <c r="S301" s="14" t="n"/>
      <c r="T301" s="5" t="inlineStr">
        <is>
          <t>Y</t>
        </is>
      </c>
      <c r="U301" s="11">
        <f>IFERROR(IF(INDEX('Test catalog'!$Q$2:$Q$200,MATCH($Y301,'Test catalog'!$A$2:$A$200,0))="","",INDEX('Test catalog'!$Q$2:$Q$200,MATCH($Y301,'Test catalog'!$A$2:$A$200,0))),"")</f>
        <v/>
      </c>
      <c r="V301" s="5" t="n"/>
      <c r="W301" s="5" t="n"/>
      <c r="X301" s="5" t="n"/>
      <c r="Y301" s="5" t="inlineStr">
        <is>
          <t>ENUM</t>
        </is>
      </c>
      <c r="Z301" s="11" t="inlineStr">
        <is>
          <t>USP &lt;1111&gt; oral solid: TAMC, TYMC, absence of E. coli</t>
        </is>
      </c>
    </row>
    <row r="302">
      <c r="A302" s="11" t="inlineStr">
        <is>
          <t>F16</t>
        </is>
      </c>
      <c r="B302" s="11" t="inlineStr">
        <is>
          <t>FP</t>
        </is>
      </c>
      <c r="C302" s="11" t="inlineStr">
        <is>
          <t>Taglida 5  |  Linagliptin</t>
        </is>
      </c>
      <c r="D302" s="11" t="inlineStr">
        <is>
          <t>Absence of Escherichia coli (&lt;62&gt; / &lt;2022&gt;)</t>
        </is>
      </c>
      <c r="E302" s="5" t="inlineStr">
        <is>
          <t>Y</t>
        </is>
      </c>
      <c r="F302" s="5" t="n"/>
      <c r="G302" s="11">
        <f>IFERROR(IF(INDEX('Test catalog'!$F$2:$F$200,MATCH($Y302,'Test catalog'!$A$2:$A$200,0))="","",INDEX('Test catalog'!$F$2:$F$200,MATCH($Y302,'Test catalog'!$A$2:$A$200,0))),"")</f>
        <v/>
      </c>
      <c r="H302" s="11">
        <f>IFERROR(IF(INDEX('Test catalog'!$G$2:$G$200,MATCH($Y302,'Test catalog'!$A$2:$A$200,0))="","",INDEX('Test catalog'!$G$2:$G$200,MATCH($Y302,'Test catalog'!$A$2:$A$200,0))),"")</f>
        <v/>
      </c>
      <c r="I302" s="11">
        <f>IFERROR(IF(INDEX('Test catalog'!$H$2:$H$200,MATCH($Y302,'Test catalog'!$A$2:$A$200,0))="","",INDEX('Test catalog'!$H$2:$H$200,MATCH($Y302,'Test catalog'!$A$2:$A$200,0))),"")</f>
        <v/>
      </c>
      <c r="J302" s="11">
        <f>IFERROR(IF(INDEX('Test catalog'!$I$2:$I$200,MATCH($Y302,'Test catalog'!$A$2:$A$200,0))="","",INDEX('Test catalog'!$I$2:$I$200,MATCH($Y302,'Test catalog'!$A$2:$A$200,0))),"")</f>
        <v/>
      </c>
      <c r="K302" s="13">
        <f>IF(I302="","",IF(OR(H302="",J302=""),I302,(H302+4*I302+J302)/6))</f>
        <v/>
      </c>
      <c r="L302" s="11">
        <f>IFERROR(IF(INDEX('Test catalog'!$J$2:$J$200,MATCH($Y302,'Test catalog'!$A$2:$A$200,0))="","",INDEX('Test catalog'!$J$2:$J$200,MATCH($Y302,'Test catalog'!$A$2:$A$200,0))),"")</f>
        <v/>
      </c>
      <c r="M302" s="11">
        <f>IFERROR(IF(INDEX('Test catalog'!$K$2:$K$200,MATCH($Y302,'Test catalog'!$A$2:$A$200,0))="","",INDEX('Test catalog'!$K$2:$K$200,MATCH($Y302,'Test catalog'!$A$2:$A$200,0))),"")</f>
        <v/>
      </c>
      <c r="N302" s="11">
        <f>IFERROR(IF(INDEX('Test catalog'!$L$2:$L$200,MATCH($Y302,'Test catalog'!$A$2:$A$200,0))="","",INDEX('Test catalog'!$L$2:$L$200,MATCH($Y302,'Test catalog'!$A$2:$A$200,0))),"")</f>
        <v/>
      </c>
      <c r="O302" s="11">
        <f>IFERROR(IF(INDEX('Test catalog'!$M$2:$M$200,MATCH($Y302,'Test catalog'!$A$2:$A$200,0))="","",INDEX('Test catalog'!$M$2:$M$200,MATCH($Y302,'Test catalog'!$A$2:$A$200,0))),"")</f>
        <v/>
      </c>
      <c r="P302" s="11">
        <f>IFERROR(IF(INDEX('Test catalog'!$N$2:$N$200,MATCH($Y302,'Test catalog'!$A$2:$A$200,0))="","",INDEX('Test catalog'!$N$2:$N$200,MATCH($Y302,'Test catalog'!$A$2:$A$200,0))),"")</f>
        <v/>
      </c>
      <c r="Q302" s="11">
        <f>IFERROR(IF(INDEX('Test catalog'!$O$2:$O$200,MATCH($Y302,'Test catalog'!$A$2:$A$200,0))="","",INDEX('Test catalog'!$O$2:$O$200,MATCH($Y302,'Test catalog'!$A$2:$A$200,0))),"")</f>
        <v/>
      </c>
      <c r="R302" s="11">
        <f>IFERROR(IF(INDEX('Test catalog'!$P$2:$P$200,MATCH($Y302,'Test catalog'!$A$2:$A$200,0))="","",INDEX('Test catalog'!$P$2:$P$200,MATCH($Y302,'Test catalog'!$A$2:$A$200,0))),"")</f>
        <v/>
      </c>
      <c r="S302" s="14" t="n"/>
      <c r="T302" s="5" t="inlineStr">
        <is>
          <t>N</t>
        </is>
      </c>
      <c r="U302" s="11">
        <f>IFERROR(IF(INDEX('Test catalog'!$Q$2:$Q$200,MATCH($Y302,'Test catalog'!$A$2:$A$200,0))="","",INDEX('Test catalog'!$Q$2:$Q$200,MATCH($Y302,'Test catalog'!$A$2:$A$200,0))),"")</f>
        <v/>
      </c>
      <c r="V302" s="5" t="n"/>
      <c r="W302" s="5" t="n"/>
      <c r="X302" s="5" t="n"/>
      <c r="Y302" s="5" t="inlineStr">
        <is>
          <t>ECOLI</t>
        </is>
      </c>
      <c r="Z302" s="11" t="inlineStr">
        <is>
          <t>USP &lt;1111&gt; oral solid: TAMC, TYMC, absence of E. coli</t>
        </is>
      </c>
    </row>
    <row r="303">
      <c r="A303" s="11" t="inlineStr">
        <is>
          <t>F17</t>
        </is>
      </c>
      <c r="B303" s="11" t="inlineStr">
        <is>
          <t>FP</t>
        </is>
      </c>
      <c r="C303" s="11" t="inlineStr">
        <is>
          <t>Dapaglose 10; Dapaglose 5  |  Dapagliflozin Propanediol Monohydrate</t>
        </is>
      </c>
      <c r="D303" s="11" t="inlineStr">
        <is>
          <t>Microbial enumeration - TAMC + TYMC (&lt;61&gt; / &lt;2021&gt;)</t>
        </is>
      </c>
      <c r="E303" s="5" t="inlineStr">
        <is>
          <t>Y</t>
        </is>
      </c>
      <c r="F303" s="5" t="n"/>
      <c r="G303" s="11">
        <f>IFERROR(IF(INDEX('Test catalog'!$F$2:$F$200,MATCH($Y303,'Test catalog'!$A$2:$A$200,0))="","",INDEX('Test catalog'!$F$2:$F$200,MATCH($Y303,'Test catalog'!$A$2:$A$200,0))),"")</f>
        <v/>
      </c>
      <c r="H303" s="11">
        <f>IFERROR(IF(INDEX('Test catalog'!$G$2:$G$200,MATCH($Y303,'Test catalog'!$A$2:$A$200,0))="","",INDEX('Test catalog'!$G$2:$G$200,MATCH($Y303,'Test catalog'!$A$2:$A$200,0))),"")</f>
        <v/>
      </c>
      <c r="I303" s="11">
        <f>IFERROR(IF(INDEX('Test catalog'!$H$2:$H$200,MATCH($Y303,'Test catalog'!$A$2:$A$200,0))="","",INDEX('Test catalog'!$H$2:$H$200,MATCH($Y303,'Test catalog'!$A$2:$A$200,0))),"")</f>
        <v/>
      </c>
      <c r="J303" s="11">
        <f>IFERROR(IF(INDEX('Test catalog'!$I$2:$I$200,MATCH($Y303,'Test catalog'!$A$2:$A$200,0))="","",INDEX('Test catalog'!$I$2:$I$200,MATCH($Y303,'Test catalog'!$A$2:$A$200,0))),"")</f>
        <v/>
      </c>
      <c r="K303" s="13">
        <f>IF(I303="","",IF(OR(H303="",J303=""),I303,(H303+4*I303+J303)/6))</f>
        <v/>
      </c>
      <c r="L303" s="11">
        <f>IFERROR(IF(INDEX('Test catalog'!$J$2:$J$200,MATCH($Y303,'Test catalog'!$A$2:$A$200,0))="","",INDEX('Test catalog'!$J$2:$J$200,MATCH($Y303,'Test catalog'!$A$2:$A$200,0))),"")</f>
        <v/>
      </c>
      <c r="M303" s="11">
        <f>IFERROR(IF(INDEX('Test catalog'!$K$2:$K$200,MATCH($Y303,'Test catalog'!$A$2:$A$200,0))="","",INDEX('Test catalog'!$K$2:$K$200,MATCH($Y303,'Test catalog'!$A$2:$A$200,0))),"")</f>
        <v/>
      </c>
      <c r="N303" s="11">
        <f>IFERROR(IF(INDEX('Test catalog'!$L$2:$L$200,MATCH($Y303,'Test catalog'!$A$2:$A$200,0))="","",INDEX('Test catalog'!$L$2:$L$200,MATCH($Y303,'Test catalog'!$A$2:$A$200,0))),"")</f>
        <v/>
      </c>
      <c r="O303" s="11">
        <f>IFERROR(IF(INDEX('Test catalog'!$M$2:$M$200,MATCH($Y303,'Test catalog'!$A$2:$A$200,0))="","",INDEX('Test catalog'!$M$2:$M$200,MATCH($Y303,'Test catalog'!$A$2:$A$200,0))),"")</f>
        <v/>
      </c>
      <c r="P303" s="11">
        <f>IFERROR(IF(INDEX('Test catalog'!$N$2:$N$200,MATCH($Y303,'Test catalog'!$A$2:$A$200,0))="","",INDEX('Test catalog'!$N$2:$N$200,MATCH($Y303,'Test catalog'!$A$2:$A$200,0))),"")</f>
        <v/>
      </c>
      <c r="Q303" s="11">
        <f>IFERROR(IF(INDEX('Test catalog'!$O$2:$O$200,MATCH($Y303,'Test catalog'!$A$2:$A$200,0))="","",INDEX('Test catalog'!$O$2:$O$200,MATCH($Y303,'Test catalog'!$A$2:$A$200,0))),"")</f>
        <v/>
      </c>
      <c r="R303" s="11">
        <f>IFERROR(IF(INDEX('Test catalog'!$P$2:$P$200,MATCH($Y303,'Test catalog'!$A$2:$A$200,0))="","",INDEX('Test catalog'!$P$2:$P$200,MATCH($Y303,'Test catalog'!$A$2:$A$200,0))),"")</f>
        <v/>
      </c>
      <c r="S303" s="14" t="n"/>
      <c r="T303" s="5" t="inlineStr">
        <is>
          <t>Y</t>
        </is>
      </c>
      <c r="U303" s="11">
        <f>IFERROR(IF(INDEX('Test catalog'!$Q$2:$Q$200,MATCH($Y303,'Test catalog'!$A$2:$A$200,0))="","",INDEX('Test catalog'!$Q$2:$Q$200,MATCH($Y303,'Test catalog'!$A$2:$A$200,0))),"")</f>
        <v/>
      </c>
      <c r="V303" s="5" t="n"/>
      <c r="W303" s="5" t="n"/>
      <c r="X303" s="5" t="n"/>
      <c r="Y303" s="5" t="inlineStr">
        <is>
          <t>ENUM</t>
        </is>
      </c>
      <c r="Z303" s="11" t="inlineStr">
        <is>
          <t>USP &lt;1111&gt; oral solid: TAMC, TYMC, absence of E. coli</t>
        </is>
      </c>
    </row>
    <row r="304">
      <c r="A304" s="11" t="inlineStr">
        <is>
          <t>F17</t>
        </is>
      </c>
      <c r="B304" s="11" t="inlineStr">
        <is>
          <t>FP</t>
        </is>
      </c>
      <c r="C304" s="11" t="inlineStr">
        <is>
          <t>Dapaglose 10; Dapaglose 5  |  Dapagliflozin Propanediol Monohydrate</t>
        </is>
      </c>
      <c r="D304" s="11" t="inlineStr">
        <is>
          <t>Absence of Escherichia coli (&lt;62&gt; / &lt;2022&gt;)</t>
        </is>
      </c>
      <c r="E304" s="5" t="inlineStr">
        <is>
          <t>Y</t>
        </is>
      </c>
      <c r="F304" s="5" t="n"/>
      <c r="G304" s="11">
        <f>IFERROR(IF(INDEX('Test catalog'!$F$2:$F$200,MATCH($Y304,'Test catalog'!$A$2:$A$200,0))="","",INDEX('Test catalog'!$F$2:$F$200,MATCH($Y304,'Test catalog'!$A$2:$A$200,0))),"")</f>
        <v/>
      </c>
      <c r="H304" s="11">
        <f>IFERROR(IF(INDEX('Test catalog'!$G$2:$G$200,MATCH($Y304,'Test catalog'!$A$2:$A$200,0))="","",INDEX('Test catalog'!$G$2:$G$200,MATCH($Y304,'Test catalog'!$A$2:$A$200,0))),"")</f>
        <v/>
      </c>
      <c r="I304" s="11">
        <f>IFERROR(IF(INDEX('Test catalog'!$H$2:$H$200,MATCH($Y304,'Test catalog'!$A$2:$A$200,0))="","",INDEX('Test catalog'!$H$2:$H$200,MATCH($Y304,'Test catalog'!$A$2:$A$200,0))),"")</f>
        <v/>
      </c>
      <c r="J304" s="11">
        <f>IFERROR(IF(INDEX('Test catalog'!$I$2:$I$200,MATCH($Y304,'Test catalog'!$A$2:$A$200,0))="","",INDEX('Test catalog'!$I$2:$I$200,MATCH($Y304,'Test catalog'!$A$2:$A$200,0))),"")</f>
        <v/>
      </c>
      <c r="K304" s="13">
        <f>IF(I304="","",IF(OR(H304="",J304=""),I304,(H304+4*I304+J304)/6))</f>
        <v/>
      </c>
      <c r="L304" s="11">
        <f>IFERROR(IF(INDEX('Test catalog'!$J$2:$J$200,MATCH($Y304,'Test catalog'!$A$2:$A$200,0))="","",INDEX('Test catalog'!$J$2:$J$200,MATCH($Y304,'Test catalog'!$A$2:$A$200,0))),"")</f>
        <v/>
      </c>
      <c r="M304" s="11">
        <f>IFERROR(IF(INDEX('Test catalog'!$K$2:$K$200,MATCH($Y304,'Test catalog'!$A$2:$A$200,0))="","",INDEX('Test catalog'!$K$2:$K$200,MATCH($Y304,'Test catalog'!$A$2:$A$200,0))),"")</f>
        <v/>
      </c>
      <c r="N304" s="11">
        <f>IFERROR(IF(INDEX('Test catalog'!$L$2:$L$200,MATCH($Y304,'Test catalog'!$A$2:$A$200,0))="","",INDEX('Test catalog'!$L$2:$L$200,MATCH($Y304,'Test catalog'!$A$2:$A$200,0))),"")</f>
        <v/>
      </c>
      <c r="O304" s="11">
        <f>IFERROR(IF(INDEX('Test catalog'!$M$2:$M$200,MATCH($Y304,'Test catalog'!$A$2:$A$200,0))="","",INDEX('Test catalog'!$M$2:$M$200,MATCH($Y304,'Test catalog'!$A$2:$A$200,0))),"")</f>
        <v/>
      </c>
      <c r="P304" s="11">
        <f>IFERROR(IF(INDEX('Test catalog'!$N$2:$N$200,MATCH($Y304,'Test catalog'!$A$2:$A$200,0))="","",INDEX('Test catalog'!$N$2:$N$200,MATCH($Y304,'Test catalog'!$A$2:$A$200,0))),"")</f>
        <v/>
      </c>
      <c r="Q304" s="11">
        <f>IFERROR(IF(INDEX('Test catalog'!$O$2:$O$200,MATCH($Y304,'Test catalog'!$A$2:$A$200,0))="","",INDEX('Test catalog'!$O$2:$O$200,MATCH($Y304,'Test catalog'!$A$2:$A$200,0))),"")</f>
        <v/>
      </c>
      <c r="R304" s="11">
        <f>IFERROR(IF(INDEX('Test catalog'!$P$2:$P$200,MATCH($Y304,'Test catalog'!$A$2:$A$200,0))="","",INDEX('Test catalog'!$P$2:$P$200,MATCH($Y304,'Test catalog'!$A$2:$A$200,0))),"")</f>
        <v/>
      </c>
      <c r="S304" s="14" t="n"/>
      <c r="T304" s="5" t="inlineStr">
        <is>
          <t>N</t>
        </is>
      </c>
      <c r="U304" s="11">
        <f>IFERROR(IF(INDEX('Test catalog'!$Q$2:$Q$200,MATCH($Y304,'Test catalog'!$A$2:$A$200,0))="","",INDEX('Test catalog'!$Q$2:$Q$200,MATCH($Y304,'Test catalog'!$A$2:$A$200,0))),"")</f>
        <v/>
      </c>
      <c r="V304" s="5" t="n"/>
      <c r="W304" s="5" t="n"/>
      <c r="X304" s="5" t="n"/>
      <c r="Y304" s="5" t="inlineStr">
        <is>
          <t>ECOLI</t>
        </is>
      </c>
      <c r="Z304" s="11" t="inlineStr">
        <is>
          <t>USP &lt;1111&gt; oral solid: TAMC, TYMC, absence of E. coli</t>
        </is>
      </c>
    </row>
    <row r="305">
      <c r="A305" s="11" t="inlineStr">
        <is>
          <t>F18</t>
        </is>
      </c>
      <c r="B305" s="11" t="inlineStr">
        <is>
          <t>FP</t>
        </is>
      </c>
      <c r="C305" s="11" t="inlineStr">
        <is>
          <t>Taglida Duo 2.5/1000; Taglida Duo 2.5/500  |  Metformin Hydrochloride, Linagliptin (+1 more)</t>
        </is>
      </c>
      <c r="D305" s="11" t="inlineStr">
        <is>
          <t>Microbial enumeration - TAMC + TYMC (&lt;61&gt; / &lt;2021&gt;)</t>
        </is>
      </c>
      <c r="E305" s="5" t="inlineStr">
        <is>
          <t>Y</t>
        </is>
      </c>
      <c r="F305" s="5" t="n"/>
      <c r="G305" s="11">
        <f>IFERROR(IF(INDEX('Test catalog'!$F$2:$F$200,MATCH($Y305,'Test catalog'!$A$2:$A$200,0))="","",INDEX('Test catalog'!$F$2:$F$200,MATCH($Y305,'Test catalog'!$A$2:$A$200,0))),"")</f>
        <v/>
      </c>
      <c r="H305" s="11">
        <f>IFERROR(IF(INDEX('Test catalog'!$G$2:$G$200,MATCH($Y305,'Test catalog'!$A$2:$A$200,0))="","",INDEX('Test catalog'!$G$2:$G$200,MATCH($Y305,'Test catalog'!$A$2:$A$200,0))),"")</f>
        <v/>
      </c>
      <c r="I305" s="11">
        <f>IFERROR(IF(INDEX('Test catalog'!$H$2:$H$200,MATCH($Y305,'Test catalog'!$A$2:$A$200,0))="","",INDEX('Test catalog'!$H$2:$H$200,MATCH($Y305,'Test catalog'!$A$2:$A$200,0))),"")</f>
        <v/>
      </c>
      <c r="J305" s="11">
        <f>IFERROR(IF(INDEX('Test catalog'!$I$2:$I$200,MATCH($Y305,'Test catalog'!$A$2:$A$200,0))="","",INDEX('Test catalog'!$I$2:$I$200,MATCH($Y305,'Test catalog'!$A$2:$A$200,0))),"")</f>
        <v/>
      </c>
      <c r="K305" s="13">
        <f>IF(I305="","",IF(OR(H305="",J305=""),I305,(H305+4*I305+J305)/6))</f>
        <v/>
      </c>
      <c r="L305" s="11">
        <f>IFERROR(IF(INDEX('Test catalog'!$J$2:$J$200,MATCH($Y305,'Test catalog'!$A$2:$A$200,0))="","",INDEX('Test catalog'!$J$2:$J$200,MATCH($Y305,'Test catalog'!$A$2:$A$200,0))),"")</f>
        <v/>
      </c>
      <c r="M305" s="11">
        <f>IFERROR(IF(INDEX('Test catalog'!$K$2:$K$200,MATCH($Y305,'Test catalog'!$A$2:$A$200,0))="","",INDEX('Test catalog'!$K$2:$K$200,MATCH($Y305,'Test catalog'!$A$2:$A$200,0))),"")</f>
        <v/>
      </c>
      <c r="N305" s="11">
        <f>IFERROR(IF(INDEX('Test catalog'!$L$2:$L$200,MATCH($Y305,'Test catalog'!$A$2:$A$200,0))="","",INDEX('Test catalog'!$L$2:$L$200,MATCH($Y305,'Test catalog'!$A$2:$A$200,0))),"")</f>
        <v/>
      </c>
      <c r="O305" s="11">
        <f>IFERROR(IF(INDEX('Test catalog'!$M$2:$M$200,MATCH($Y305,'Test catalog'!$A$2:$A$200,0))="","",INDEX('Test catalog'!$M$2:$M$200,MATCH($Y305,'Test catalog'!$A$2:$A$200,0))),"")</f>
        <v/>
      </c>
      <c r="P305" s="11">
        <f>IFERROR(IF(INDEX('Test catalog'!$N$2:$N$200,MATCH($Y305,'Test catalog'!$A$2:$A$200,0))="","",INDEX('Test catalog'!$N$2:$N$200,MATCH($Y305,'Test catalog'!$A$2:$A$200,0))),"")</f>
        <v/>
      </c>
      <c r="Q305" s="11">
        <f>IFERROR(IF(INDEX('Test catalog'!$O$2:$O$200,MATCH($Y305,'Test catalog'!$A$2:$A$200,0))="","",INDEX('Test catalog'!$O$2:$O$200,MATCH($Y305,'Test catalog'!$A$2:$A$200,0))),"")</f>
        <v/>
      </c>
      <c r="R305" s="11">
        <f>IFERROR(IF(INDEX('Test catalog'!$P$2:$P$200,MATCH($Y305,'Test catalog'!$A$2:$A$200,0))="","",INDEX('Test catalog'!$P$2:$P$200,MATCH($Y305,'Test catalog'!$A$2:$A$200,0))),"")</f>
        <v/>
      </c>
      <c r="S305" s="14" t="n"/>
      <c r="T305" s="5" t="inlineStr">
        <is>
          <t>Y</t>
        </is>
      </c>
      <c r="U305" s="11">
        <f>IFERROR(IF(INDEX('Test catalog'!$Q$2:$Q$200,MATCH($Y305,'Test catalog'!$A$2:$A$200,0))="","",INDEX('Test catalog'!$Q$2:$Q$200,MATCH($Y305,'Test catalog'!$A$2:$A$200,0))),"")</f>
        <v/>
      </c>
      <c r="V305" s="5" t="n"/>
      <c r="W305" s="5" t="n"/>
      <c r="X305" s="5" t="n"/>
      <c r="Y305" s="5" t="inlineStr">
        <is>
          <t>ENUM</t>
        </is>
      </c>
      <c r="Z305" s="11" t="inlineStr">
        <is>
          <t>USP &lt;1111&gt; oral solid: TAMC, TYMC, absence of E. coli</t>
        </is>
      </c>
    </row>
    <row r="306">
      <c r="A306" s="11" t="inlineStr">
        <is>
          <t>F18</t>
        </is>
      </c>
      <c r="B306" s="11" t="inlineStr">
        <is>
          <t>FP</t>
        </is>
      </c>
      <c r="C306" s="11" t="inlineStr">
        <is>
          <t>Taglida Duo 2.5/1000; Taglida Duo 2.5/500  |  Metformin Hydrochloride, Linagliptin (+1 more)</t>
        </is>
      </c>
      <c r="D306" s="11" t="inlineStr">
        <is>
          <t>Absence of Escherichia coli (&lt;62&gt; / &lt;2022&gt;)</t>
        </is>
      </c>
      <c r="E306" s="5" t="inlineStr">
        <is>
          <t>Y</t>
        </is>
      </c>
      <c r="F306" s="5" t="n"/>
      <c r="G306" s="11">
        <f>IFERROR(IF(INDEX('Test catalog'!$F$2:$F$200,MATCH($Y306,'Test catalog'!$A$2:$A$200,0))="","",INDEX('Test catalog'!$F$2:$F$200,MATCH($Y306,'Test catalog'!$A$2:$A$200,0))),"")</f>
        <v/>
      </c>
      <c r="H306" s="11">
        <f>IFERROR(IF(INDEX('Test catalog'!$G$2:$G$200,MATCH($Y306,'Test catalog'!$A$2:$A$200,0))="","",INDEX('Test catalog'!$G$2:$G$200,MATCH($Y306,'Test catalog'!$A$2:$A$200,0))),"")</f>
        <v/>
      </c>
      <c r="I306" s="11">
        <f>IFERROR(IF(INDEX('Test catalog'!$H$2:$H$200,MATCH($Y306,'Test catalog'!$A$2:$A$200,0))="","",INDEX('Test catalog'!$H$2:$H$200,MATCH($Y306,'Test catalog'!$A$2:$A$200,0))),"")</f>
        <v/>
      </c>
      <c r="J306" s="11">
        <f>IFERROR(IF(INDEX('Test catalog'!$I$2:$I$200,MATCH($Y306,'Test catalog'!$A$2:$A$200,0))="","",INDEX('Test catalog'!$I$2:$I$200,MATCH($Y306,'Test catalog'!$A$2:$A$200,0))),"")</f>
        <v/>
      </c>
      <c r="K306" s="13">
        <f>IF(I306="","",IF(OR(H306="",J306=""),I306,(H306+4*I306+J306)/6))</f>
        <v/>
      </c>
      <c r="L306" s="11">
        <f>IFERROR(IF(INDEX('Test catalog'!$J$2:$J$200,MATCH($Y306,'Test catalog'!$A$2:$A$200,0))="","",INDEX('Test catalog'!$J$2:$J$200,MATCH($Y306,'Test catalog'!$A$2:$A$200,0))),"")</f>
        <v/>
      </c>
      <c r="M306" s="11">
        <f>IFERROR(IF(INDEX('Test catalog'!$K$2:$K$200,MATCH($Y306,'Test catalog'!$A$2:$A$200,0))="","",INDEX('Test catalog'!$K$2:$K$200,MATCH($Y306,'Test catalog'!$A$2:$A$200,0))),"")</f>
        <v/>
      </c>
      <c r="N306" s="11">
        <f>IFERROR(IF(INDEX('Test catalog'!$L$2:$L$200,MATCH($Y306,'Test catalog'!$A$2:$A$200,0))="","",INDEX('Test catalog'!$L$2:$L$200,MATCH($Y306,'Test catalog'!$A$2:$A$200,0))),"")</f>
        <v/>
      </c>
      <c r="O306" s="11">
        <f>IFERROR(IF(INDEX('Test catalog'!$M$2:$M$200,MATCH($Y306,'Test catalog'!$A$2:$A$200,0))="","",INDEX('Test catalog'!$M$2:$M$200,MATCH($Y306,'Test catalog'!$A$2:$A$200,0))),"")</f>
        <v/>
      </c>
      <c r="P306" s="11">
        <f>IFERROR(IF(INDEX('Test catalog'!$N$2:$N$200,MATCH($Y306,'Test catalog'!$A$2:$A$200,0))="","",INDEX('Test catalog'!$N$2:$N$200,MATCH($Y306,'Test catalog'!$A$2:$A$200,0))),"")</f>
        <v/>
      </c>
      <c r="Q306" s="11">
        <f>IFERROR(IF(INDEX('Test catalog'!$O$2:$O$200,MATCH($Y306,'Test catalog'!$A$2:$A$200,0))="","",INDEX('Test catalog'!$O$2:$O$200,MATCH($Y306,'Test catalog'!$A$2:$A$200,0))),"")</f>
        <v/>
      </c>
      <c r="R306" s="11">
        <f>IFERROR(IF(INDEX('Test catalog'!$P$2:$P$200,MATCH($Y306,'Test catalog'!$A$2:$A$200,0))="","",INDEX('Test catalog'!$P$2:$P$200,MATCH($Y306,'Test catalog'!$A$2:$A$200,0))),"")</f>
        <v/>
      </c>
      <c r="S306" s="14" t="n"/>
      <c r="T306" s="5" t="inlineStr">
        <is>
          <t>N</t>
        </is>
      </c>
      <c r="U306" s="11">
        <f>IFERROR(IF(INDEX('Test catalog'!$Q$2:$Q$200,MATCH($Y306,'Test catalog'!$A$2:$A$200,0))="","",INDEX('Test catalog'!$Q$2:$Q$200,MATCH($Y306,'Test catalog'!$A$2:$A$200,0))),"")</f>
        <v/>
      </c>
      <c r="V306" s="5" t="n"/>
      <c r="W306" s="5" t="n"/>
      <c r="X306" s="5" t="n"/>
      <c r="Y306" s="5" t="inlineStr">
        <is>
          <t>ECOLI</t>
        </is>
      </c>
      <c r="Z306" s="11" t="inlineStr">
        <is>
          <t>USP &lt;1111&gt; oral solid: TAMC, TYMC, absence of E. coli</t>
        </is>
      </c>
    </row>
    <row r="307">
      <c r="A307" s="11" t="inlineStr">
        <is>
          <t>F19</t>
        </is>
      </c>
      <c r="B307" s="11" t="inlineStr">
        <is>
          <t>FP</t>
        </is>
      </c>
      <c r="C307" s="11" t="inlineStr">
        <is>
          <t>Ozanimod 0.23/0.46; Ozanimod 0.92 mg  |  Ozanimod Hydrochloride</t>
        </is>
      </c>
      <c r="D307" s="11" t="inlineStr">
        <is>
          <t>Microbial enumeration - TAMC + TYMC (&lt;61&gt; / &lt;2021&gt;)</t>
        </is>
      </c>
      <c r="E307" s="5" t="inlineStr">
        <is>
          <t>Y</t>
        </is>
      </c>
      <c r="F307" s="5" t="n"/>
      <c r="G307" s="11">
        <f>IFERROR(IF(INDEX('Test catalog'!$F$2:$F$200,MATCH($Y307,'Test catalog'!$A$2:$A$200,0))="","",INDEX('Test catalog'!$F$2:$F$200,MATCH($Y307,'Test catalog'!$A$2:$A$200,0))),"")</f>
        <v/>
      </c>
      <c r="H307" s="11">
        <f>IFERROR(IF(INDEX('Test catalog'!$G$2:$G$200,MATCH($Y307,'Test catalog'!$A$2:$A$200,0))="","",INDEX('Test catalog'!$G$2:$G$200,MATCH($Y307,'Test catalog'!$A$2:$A$200,0))),"")</f>
        <v/>
      </c>
      <c r="I307" s="11">
        <f>IFERROR(IF(INDEX('Test catalog'!$H$2:$H$200,MATCH($Y307,'Test catalog'!$A$2:$A$200,0))="","",INDEX('Test catalog'!$H$2:$H$200,MATCH($Y307,'Test catalog'!$A$2:$A$200,0))),"")</f>
        <v/>
      </c>
      <c r="J307" s="11">
        <f>IFERROR(IF(INDEX('Test catalog'!$I$2:$I$200,MATCH($Y307,'Test catalog'!$A$2:$A$200,0))="","",INDEX('Test catalog'!$I$2:$I$200,MATCH($Y307,'Test catalog'!$A$2:$A$200,0))),"")</f>
        <v/>
      </c>
      <c r="K307" s="13">
        <f>IF(I307="","",IF(OR(H307="",J307=""),I307,(H307+4*I307+J307)/6))</f>
        <v/>
      </c>
      <c r="L307" s="11">
        <f>IFERROR(IF(INDEX('Test catalog'!$J$2:$J$200,MATCH($Y307,'Test catalog'!$A$2:$A$200,0))="","",INDEX('Test catalog'!$J$2:$J$200,MATCH($Y307,'Test catalog'!$A$2:$A$200,0))),"")</f>
        <v/>
      </c>
      <c r="M307" s="11">
        <f>IFERROR(IF(INDEX('Test catalog'!$K$2:$K$200,MATCH($Y307,'Test catalog'!$A$2:$A$200,0))="","",INDEX('Test catalog'!$K$2:$K$200,MATCH($Y307,'Test catalog'!$A$2:$A$200,0))),"")</f>
        <v/>
      </c>
      <c r="N307" s="11">
        <f>IFERROR(IF(INDEX('Test catalog'!$L$2:$L$200,MATCH($Y307,'Test catalog'!$A$2:$A$200,0))="","",INDEX('Test catalog'!$L$2:$L$200,MATCH($Y307,'Test catalog'!$A$2:$A$200,0))),"")</f>
        <v/>
      </c>
      <c r="O307" s="11">
        <f>IFERROR(IF(INDEX('Test catalog'!$M$2:$M$200,MATCH($Y307,'Test catalog'!$A$2:$A$200,0))="","",INDEX('Test catalog'!$M$2:$M$200,MATCH($Y307,'Test catalog'!$A$2:$A$200,0))),"")</f>
        <v/>
      </c>
      <c r="P307" s="11">
        <f>IFERROR(IF(INDEX('Test catalog'!$N$2:$N$200,MATCH($Y307,'Test catalog'!$A$2:$A$200,0))="","",INDEX('Test catalog'!$N$2:$N$200,MATCH($Y307,'Test catalog'!$A$2:$A$200,0))),"")</f>
        <v/>
      </c>
      <c r="Q307" s="11">
        <f>IFERROR(IF(INDEX('Test catalog'!$O$2:$O$200,MATCH($Y307,'Test catalog'!$A$2:$A$200,0))="","",INDEX('Test catalog'!$O$2:$O$200,MATCH($Y307,'Test catalog'!$A$2:$A$200,0))),"")</f>
        <v/>
      </c>
      <c r="R307" s="11">
        <f>IFERROR(IF(INDEX('Test catalog'!$P$2:$P$200,MATCH($Y307,'Test catalog'!$A$2:$A$200,0))="","",INDEX('Test catalog'!$P$2:$P$200,MATCH($Y307,'Test catalog'!$A$2:$A$200,0))),"")</f>
        <v/>
      </c>
      <c r="S307" s="14" t="n"/>
      <c r="T307" s="5" t="inlineStr">
        <is>
          <t>Y</t>
        </is>
      </c>
      <c r="U307" s="11">
        <f>IFERROR(IF(INDEX('Test catalog'!$Q$2:$Q$200,MATCH($Y307,'Test catalog'!$A$2:$A$200,0))="","",INDEX('Test catalog'!$Q$2:$Q$200,MATCH($Y307,'Test catalog'!$A$2:$A$200,0))),"")</f>
        <v/>
      </c>
      <c r="V307" s="5" t="n"/>
      <c r="W307" s="5" t="n"/>
      <c r="X307" s="5" t="n"/>
      <c r="Y307" s="5" t="inlineStr">
        <is>
          <t>ENUM</t>
        </is>
      </c>
      <c r="Z307" s="11" t="inlineStr">
        <is>
          <t>USP &lt;1111&gt; oral solid: TAMC, TYMC, absence of E. coli</t>
        </is>
      </c>
    </row>
    <row r="308">
      <c r="A308" s="11" t="inlineStr">
        <is>
          <t>F19</t>
        </is>
      </c>
      <c r="B308" s="11" t="inlineStr">
        <is>
          <t>FP</t>
        </is>
      </c>
      <c r="C308" s="11" t="inlineStr">
        <is>
          <t>Ozanimod 0.23/0.46; Ozanimod 0.92 mg  |  Ozanimod Hydrochloride</t>
        </is>
      </c>
      <c r="D308" s="11" t="inlineStr">
        <is>
          <t>Absence of Escherichia coli (&lt;62&gt; / &lt;2022&gt;)</t>
        </is>
      </c>
      <c r="E308" s="5" t="inlineStr">
        <is>
          <t>Y</t>
        </is>
      </c>
      <c r="F308" s="5" t="n"/>
      <c r="G308" s="11">
        <f>IFERROR(IF(INDEX('Test catalog'!$F$2:$F$200,MATCH($Y308,'Test catalog'!$A$2:$A$200,0))="","",INDEX('Test catalog'!$F$2:$F$200,MATCH($Y308,'Test catalog'!$A$2:$A$200,0))),"")</f>
        <v/>
      </c>
      <c r="H308" s="11">
        <f>IFERROR(IF(INDEX('Test catalog'!$G$2:$G$200,MATCH($Y308,'Test catalog'!$A$2:$A$200,0))="","",INDEX('Test catalog'!$G$2:$G$200,MATCH($Y308,'Test catalog'!$A$2:$A$200,0))),"")</f>
        <v/>
      </c>
      <c r="I308" s="11">
        <f>IFERROR(IF(INDEX('Test catalog'!$H$2:$H$200,MATCH($Y308,'Test catalog'!$A$2:$A$200,0))="","",INDEX('Test catalog'!$H$2:$H$200,MATCH($Y308,'Test catalog'!$A$2:$A$200,0))),"")</f>
        <v/>
      </c>
      <c r="J308" s="11">
        <f>IFERROR(IF(INDEX('Test catalog'!$I$2:$I$200,MATCH($Y308,'Test catalog'!$A$2:$A$200,0))="","",INDEX('Test catalog'!$I$2:$I$200,MATCH($Y308,'Test catalog'!$A$2:$A$200,0))),"")</f>
        <v/>
      </c>
      <c r="K308" s="13">
        <f>IF(I308="","",IF(OR(H308="",J308=""),I308,(H308+4*I308+J308)/6))</f>
        <v/>
      </c>
      <c r="L308" s="11">
        <f>IFERROR(IF(INDEX('Test catalog'!$J$2:$J$200,MATCH($Y308,'Test catalog'!$A$2:$A$200,0))="","",INDEX('Test catalog'!$J$2:$J$200,MATCH($Y308,'Test catalog'!$A$2:$A$200,0))),"")</f>
        <v/>
      </c>
      <c r="M308" s="11">
        <f>IFERROR(IF(INDEX('Test catalog'!$K$2:$K$200,MATCH($Y308,'Test catalog'!$A$2:$A$200,0))="","",INDEX('Test catalog'!$K$2:$K$200,MATCH($Y308,'Test catalog'!$A$2:$A$200,0))),"")</f>
        <v/>
      </c>
      <c r="N308" s="11">
        <f>IFERROR(IF(INDEX('Test catalog'!$L$2:$L$200,MATCH($Y308,'Test catalog'!$A$2:$A$200,0))="","",INDEX('Test catalog'!$L$2:$L$200,MATCH($Y308,'Test catalog'!$A$2:$A$200,0))),"")</f>
        <v/>
      </c>
      <c r="O308" s="11">
        <f>IFERROR(IF(INDEX('Test catalog'!$M$2:$M$200,MATCH($Y308,'Test catalog'!$A$2:$A$200,0))="","",INDEX('Test catalog'!$M$2:$M$200,MATCH($Y308,'Test catalog'!$A$2:$A$200,0))),"")</f>
        <v/>
      </c>
      <c r="P308" s="11">
        <f>IFERROR(IF(INDEX('Test catalog'!$N$2:$N$200,MATCH($Y308,'Test catalog'!$A$2:$A$200,0))="","",INDEX('Test catalog'!$N$2:$N$200,MATCH($Y308,'Test catalog'!$A$2:$A$200,0))),"")</f>
        <v/>
      </c>
      <c r="Q308" s="11">
        <f>IFERROR(IF(INDEX('Test catalog'!$O$2:$O$200,MATCH($Y308,'Test catalog'!$A$2:$A$200,0))="","",INDEX('Test catalog'!$O$2:$O$200,MATCH($Y308,'Test catalog'!$A$2:$A$200,0))),"")</f>
        <v/>
      </c>
      <c r="R308" s="11">
        <f>IFERROR(IF(INDEX('Test catalog'!$P$2:$P$200,MATCH($Y308,'Test catalog'!$A$2:$A$200,0))="","",INDEX('Test catalog'!$P$2:$P$200,MATCH($Y308,'Test catalog'!$A$2:$A$200,0))),"")</f>
        <v/>
      </c>
      <c r="S308" s="14" t="n"/>
      <c r="T308" s="5" t="inlineStr">
        <is>
          <t>N</t>
        </is>
      </c>
      <c r="U308" s="11">
        <f>IFERROR(IF(INDEX('Test catalog'!$Q$2:$Q$200,MATCH($Y308,'Test catalog'!$A$2:$A$200,0))="","",INDEX('Test catalog'!$Q$2:$Q$200,MATCH($Y308,'Test catalog'!$A$2:$A$200,0))),"")</f>
        <v/>
      </c>
      <c r="V308" s="5" t="n"/>
      <c r="W308" s="5" t="n"/>
      <c r="X308" s="5" t="n"/>
      <c r="Y308" s="5" t="inlineStr">
        <is>
          <t>ECOLI</t>
        </is>
      </c>
      <c r="Z308" s="11" t="inlineStr">
        <is>
          <t>USP &lt;1111&gt; oral solid: TAMC, TYMC, absence of E. coli</t>
        </is>
      </c>
    </row>
    <row r="309">
      <c r="A309" s="11" t="inlineStr">
        <is>
          <t>F20</t>
        </is>
      </c>
      <c r="B309" s="11" t="inlineStr">
        <is>
          <t>FP</t>
        </is>
      </c>
      <c r="C309" s="11" t="inlineStr">
        <is>
          <t>Flusip Cold and cough-Day; Flusip Cold and Cough-Day (Sugar Free); Flusip Cold and Cough-N  |  Acetaminophen, Phenylephrine HCl (+2 more)</t>
        </is>
      </c>
      <c r="D309" s="11" t="inlineStr">
        <is>
          <t>Microbial enumeration - TAMC + TYMC (&lt;61&gt; / &lt;2021&gt;)</t>
        </is>
      </c>
      <c r="E309" s="5" t="inlineStr">
        <is>
          <t>Y</t>
        </is>
      </c>
      <c r="F309" s="5" t="n"/>
      <c r="G309" s="11">
        <f>IFERROR(IF(INDEX('Test catalog'!$F$2:$F$200,MATCH($Y309,'Test catalog'!$A$2:$A$200,0))="","",INDEX('Test catalog'!$F$2:$F$200,MATCH($Y309,'Test catalog'!$A$2:$A$200,0))),"")</f>
        <v/>
      </c>
      <c r="H309" s="11">
        <f>IFERROR(IF(INDEX('Test catalog'!$G$2:$G$200,MATCH($Y309,'Test catalog'!$A$2:$A$200,0))="","",INDEX('Test catalog'!$G$2:$G$200,MATCH($Y309,'Test catalog'!$A$2:$A$200,0))),"")</f>
        <v/>
      </c>
      <c r="I309" s="11">
        <f>IFERROR(IF(INDEX('Test catalog'!$H$2:$H$200,MATCH($Y309,'Test catalog'!$A$2:$A$200,0))="","",INDEX('Test catalog'!$H$2:$H$200,MATCH($Y309,'Test catalog'!$A$2:$A$200,0))),"")</f>
        <v/>
      </c>
      <c r="J309" s="11">
        <f>IFERROR(IF(INDEX('Test catalog'!$I$2:$I$200,MATCH($Y309,'Test catalog'!$A$2:$A$200,0))="","",INDEX('Test catalog'!$I$2:$I$200,MATCH($Y309,'Test catalog'!$A$2:$A$200,0))),"")</f>
        <v/>
      </c>
      <c r="K309" s="13">
        <f>IF(I309="","",IF(OR(H309="",J309=""),I309,(H309+4*I309+J309)/6))</f>
        <v/>
      </c>
      <c r="L309" s="11">
        <f>IFERROR(IF(INDEX('Test catalog'!$J$2:$J$200,MATCH($Y309,'Test catalog'!$A$2:$A$200,0))="","",INDEX('Test catalog'!$J$2:$J$200,MATCH($Y309,'Test catalog'!$A$2:$A$200,0))),"")</f>
        <v/>
      </c>
      <c r="M309" s="11">
        <f>IFERROR(IF(INDEX('Test catalog'!$K$2:$K$200,MATCH($Y309,'Test catalog'!$A$2:$A$200,0))="","",INDEX('Test catalog'!$K$2:$K$200,MATCH($Y309,'Test catalog'!$A$2:$A$200,0))),"")</f>
        <v/>
      </c>
      <c r="N309" s="11">
        <f>IFERROR(IF(INDEX('Test catalog'!$L$2:$L$200,MATCH($Y309,'Test catalog'!$A$2:$A$200,0))="","",INDEX('Test catalog'!$L$2:$L$200,MATCH($Y309,'Test catalog'!$A$2:$A$200,0))),"")</f>
        <v/>
      </c>
      <c r="O309" s="11">
        <f>IFERROR(IF(INDEX('Test catalog'!$M$2:$M$200,MATCH($Y309,'Test catalog'!$A$2:$A$200,0))="","",INDEX('Test catalog'!$M$2:$M$200,MATCH($Y309,'Test catalog'!$A$2:$A$200,0))),"")</f>
        <v/>
      </c>
      <c r="P309" s="11">
        <f>IFERROR(IF(INDEX('Test catalog'!$N$2:$N$200,MATCH($Y309,'Test catalog'!$A$2:$A$200,0))="","",INDEX('Test catalog'!$N$2:$N$200,MATCH($Y309,'Test catalog'!$A$2:$A$200,0))),"")</f>
        <v/>
      </c>
      <c r="Q309" s="11">
        <f>IFERROR(IF(INDEX('Test catalog'!$O$2:$O$200,MATCH($Y309,'Test catalog'!$A$2:$A$200,0))="","",INDEX('Test catalog'!$O$2:$O$200,MATCH($Y309,'Test catalog'!$A$2:$A$200,0))),"")</f>
        <v/>
      </c>
      <c r="R309" s="11">
        <f>IFERROR(IF(INDEX('Test catalog'!$P$2:$P$200,MATCH($Y309,'Test catalog'!$A$2:$A$200,0))="","",INDEX('Test catalog'!$P$2:$P$200,MATCH($Y309,'Test catalog'!$A$2:$A$200,0))),"")</f>
        <v/>
      </c>
      <c r="S309" s="14" t="n"/>
      <c r="T309" s="5" t="inlineStr">
        <is>
          <t>Y</t>
        </is>
      </c>
      <c r="U309" s="11">
        <f>IFERROR(IF(INDEX('Test catalog'!$Q$2:$Q$200,MATCH($Y309,'Test catalog'!$A$2:$A$200,0))="","",INDEX('Test catalog'!$Q$2:$Q$200,MATCH($Y309,'Test catalog'!$A$2:$A$200,0))),"")</f>
        <v/>
      </c>
      <c r="V309" s="5" t="n"/>
      <c r="W309" s="5" t="n"/>
      <c r="X309" s="5" t="n"/>
      <c r="Y309" s="5" t="inlineStr">
        <is>
          <t>ENUM</t>
        </is>
      </c>
      <c r="Z309" s="11" t="inlineStr">
        <is>
          <t>USP &lt;1111&gt; oral solid: TAMC, TYMC, absence of E. coli</t>
        </is>
      </c>
    </row>
    <row r="310">
      <c r="A310" s="11" t="inlineStr">
        <is>
          <t>F20</t>
        </is>
      </c>
      <c r="B310" s="11" t="inlineStr">
        <is>
          <t>FP</t>
        </is>
      </c>
      <c r="C310" s="11" t="inlineStr">
        <is>
          <t>Flusip Cold and cough-Day; Flusip Cold and Cough-Day (Sugar Free); Flusip Cold and Cough-N  |  Acetaminophen, Phenylephrine HCl (+2 more)</t>
        </is>
      </c>
      <c r="D310" s="11" t="inlineStr">
        <is>
          <t>Absence of Escherichia coli (&lt;62&gt; / &lt;2022&gt;)</t>
        </is>
      </c>
      <c r="E310" s="5" t="inlineStr">
        <is>
          <t>Y</t>
        </is>
      </c>
      <c r="F310" s="5" t="n"/>
      <c r="G310" s="11">
        <f>IFERROR(IF(INDEX('Test catalog'!$F$2:$F$200,MATCH($Y310,'Test catalog'!$A$2:$A$200,0))="","",INDEX('Test catalog'!$F$2:$F$200,MATCH($Y310,'Test catalog'!$A$2:$A$200,0))),"")</f>
        <v/>
      </c>
      <c r="H310" s="11">
        <f>IFERROR(IF(INDEX('Test catalog'!$G$2:$G$200,MATCH($Y310,'Test catalog'!$A$2:$A$200,0))="","",INDEX('Test catalog'!$G$2:$G$200,MATCH($Y310,'Test catalog'!$A$2:$A$200,0))),"")</f>
        <v/>
      </c>
      <c r="I310" s="11">
        <f>IFERROR(IF(INDEX('Test catalog'!$H$2:$H$200,MATCH($Y310,'Test catalog'!$A$2:$A$200,0))="","",INDEX('Test catalog'!$H$2:$H$200,MATCH($Y310,'Test catalog'!$A$2:$A$200,0))),"")</f>
        <v/>
      </c>
      <c r="J310" s="11">
        <f>IFERROR(IF(INDEX('Test catalog'!$I$2:$I$200,MATCH($Y310,'Test catalog'!$A$2:$A$200,0))="","",INDEX('Test catalog'!$I$2:$I$200,MATCH($Y310,'Test catalog'!$A$2:$A$200,0))),"")</f>
        <v/>
      </c>
      <c r="K310" s="13">
        <f>IF(I310="","",IF(OR(H310="",J310=""),I310,(H310+4*I310+J310)/6))</f>
        <v/>
      </c>
      <c r="L310" s="11">
        <f>IFERROR(IF(INDEX('Test catalog'!$J$2:$J$200,MATCH($Y310,'Test catalog'!$A$2:$A$200,0))="","",INDEX('Test catalog'!$J$2:$J$200,MATCH($Y310,'Test catalog'!$A$2:$A$200,0))),"")</f>
        <v/>
      </c>
      <c r="M310" s="11">
        <f>IFERROR(IF(INDEX('Test catalog'!$K$2:$K$200,MATCH($Y310,'Test catalog'!$A$2:$A$200,0))="","",INDEX('Test catalog'!$K$2:$K$200,MATCH($Y310,'Test catalog'!$A$2:$A$200,0))),"")</f>
        <v/>
      </c>
      <c r="N310" s="11">
        <f>IFERROR(IF(INDEX('Test catalog'!$L$2:$L$200,MATCH($Y310,'Test catalog'!$A$2:$A$200,0))="","",INDEX('Test catalog'!$L$2:$L$200,MATCH($Y310,'Test catalog'!$A$2:$A$200,0))),"")</f>
        <v/>
      </c>
      <c r="O310" s="11">
        <f>IFERROR(IF(INDEX('Test catalog'!$M$2:$M$200,MATCH($Y310,'Test catalog'!$A$2:$A$200,0))="","",INDEX('Test catalog'!$M$2:$M$200,MATCH($Y310,'Test catalog'!$A$2:$A$200,0))),"")</f>
        <v/>
      </c>
      <c r="P310" s="11">
        <f>IFERROR(IF(INDEX('Test catalog'!$N$2:$N$200,MATCH($Y310,'Test catalog'!$A$2:$A$200,0))="","",INDEX('Test catalog'!$N$2:$N$200,MATCH($Y310,'Test catalog'!$A$2:$A$200,0))),"")</f>
        <v/>
      </c>
      <c r="Q310" s="11">
        <f>IFERROR(IF(INDEX('Test catalog'!$O$2:$O$200,MATCH($Y310,'Test catalog'!$A$2:$A$200,0))="","",INDEX('Test catalog'!$O$2:$O$200,MATCH($Y310,'Test catalog'!$A$2:$A$200,0))),"")</f>
        <v/>
      </c>
      <c r="R310" s="11">
        <f>IFERROR(IF(INDEX('Test catalog'!$P$2:$P$200,MATCH($Y310,'Test catalog'!$A$2:$A$200,0))="","",INDEX('Test catalog'!$P$2:$P$200,MATCH($Y310,'Test catalog'!$A$2:$A$200,0))),"")</f>
        <v/>
      </c>
      <c r="S310" s="14" t="n"/>
      <c r="T310" s="5" t="inlineStr">
        <is>
          <t>N</t>
        </is>
      </c>
      <c r="U310" s="11">
        <f>IFERROR(IF(INDEX('Test catalog'!$Q$2:$Q$200,MATCH($Y310,'Test catalog'!$A$2:$A$200,0))="","",INDEX('Test catalog'!$Q$2:$Q$200,MATCH($Y310,'Test catalog'!$A$2:$A$200,0))),"")</f>
        <v/>
      </c>
      <c r="V310" s="5" t="n"/>
      <c r="W310" s="5" t="n"/>
      <c r="X310" s="5" t="n"/>
      <c r="Y310" s="5" t="inlineStr">
        <is>
          <t>ECOLI</t>
        </is>
      </c>
      <c r="Z310" s="11" t="inlineStr">
        <is>
          <t>USP &lt;1111&gt; oral solid: TAMC, TYMC, absence of E. coli</t>
        </is>
      </c>
    </row>
    <row r="311">
      <c r="A311" s="11" t="inlineStr">
        <is>
          <t>F21</t>
        </is>
      </c>
      <c r="B311" s="11" t="inlineStr">
        <is>
          <t>FP</t>
        </is>
      </c>
      <c r="C311" s="11" t="inlineStr">
        <is>
          <t>Flusip Cold and Flu; Flusip Cold and Flu (Sugar Free)  |  Acetaminophen, Phenylephrine HCl (+1 more)</t>
        </is>
      </c>
      <c r="D311" s="11" t="inlineStr">
        <is>
          <t>Microbial enumeration - TAMC + TYMC (&lt;61&gt; / &lt;2021&gt;)</t>
        </is>
      </c>
      <c r="E311" s="5" t="inlineStr">
        <is>
          <t>Y</t>
        </is>
      </c>
      <c r="F311" s="5" t="n"/>
      <c r="G311" s="11">
        <f>IFERROR(IF(INDEX('Test catalog'!$F$2:$F$200,MATCH($Y311,'Test catalog'!$A$2:$A$200,0))="","",INDEX('Test catalog'!$F$2:$F$200,MATCH($Y311,'Test catalog'!$A$2:$A$200,0))),"")</f>
        <v/>
      </c>
      <c r="H311" s="11">
        <f>IFERROR(IF(INDEX('Test catalog'!$G$2:$G$200,MATCH($Y311,'Test catalog'!$A$2:$A$200,0))="","",INDEX('Test catalog'!$G$2:$G$200,MATCH($Y311,'Test catalog'!$A$2:$A$200,0))),"")</f>
        <v/>
      </c>
      <c r="I311" s="11">
        <f>IFERROR(IF(INDEX('Test catalog'!$H$2:$H$200,MATCH($Y311,'Test catalog'!$A$2:$A$200,0))="","",INDEX('Test catalog'!$H$2:$H$200,MATCH($Y311,'Test catalog'!$A$2:$A$200,0))),"")</f>
        <v/>
      </c>
      <c r="J311" s="11">
        <f>IFERROR(IF(INDEX('Test catalog'!$I$2:$I$200,MATCH($Y311,'Test catalog'!$A$2:$A$200,0))="","",INDEX('Test catalog'!$I$2:$I$200,MATCH($Y311,'Test catalog'!$A$2:$A$200,0))),"")</f>
        <v/>
      </c>
      <c r="K311" s="13">
        <f>IF(I311="","",IF(OR(H311="",J311=""),I311,(H311+4*I311+J311)/6))</f>
        <v/>
      </c>
      <c r="L311" s="11">
        <f>IFERROR(IF(INDEX('Test catalog'!$J$2:$J$200,MATCH($Y311,'Test catalog'!$A$2:$A$200,0))="","",INDEX('Test catalog'!$J$2:$J$200,MATCH($Y311,'Test catalog'!$A$2:$A$200,0))),"")</f>
        <v/>
      </c>
      <c r="M311" s="11">
        <f>IFERROR(IF(INDEX('Test catalog'!$K$2:$K$200,MATCH($Y311,'Test catalog'!$A$2:$A$200,0))="","",INDEX('Test catalog'!$K$2:$K$200,MATCH($Y311,'Test catalog'!$A$2:$A$200,0))),"")</f>
        <v/>
      </c>
      <c r="N311" s="11">
        <f>IFERROR(IF(INDEX('Test catalog'!$L$2:$L$200,MATCH($Y311,'Test catalog'!$A$2:$A$200,0))="","",INDEX('Test catalog'!$L$2:$L$200,MATCH($Y311,'Test catalog'!$A$2:$A$200,0))),"")</f>
        <v/>
      </c>
      <c r="O311" s="11">
        <f>IFERROR(IF(INDEX('Test catalog'!$M$2:$M$200,MATCH($Y311,'Test catalog'!$A$2:$A$200,0))="","",INDEX('Test catalog'!$M$2:$M$200,MATCH($Y311,'Test catalog'!$A$2:$A$200,0))),"")</f>
        <v/>
      </c>
      <c r="P311" s="11">
        <f>IFERROR(IF(INDEX('Test catalog'!$N$2:$N$200,MATCH($Y311,'Test catalog'!$A$2:$A$200,0))="","",INDEX('Test catalog'!$N$2:$N$200,MATCH($Y311,'Test catalog'!$A$2:$A$200,0))),"")</f>
        <v/>
      </c>
      <c r="Q311" s="11">
        <f>IFERROR(IF(INDEX('Test catalog'!$O$2:$O$200,MATCH($Y311,'Test catalog'!$A$2:$A$200,0))="","",INDEX('Test catalog'!$O$2:$O$200,MATCH($Y311,'Test catalog'!$A$2:$A$200,0))),"")</f>
        <v/>
      </c>
      <c r="R311" s="11">
        <f>IFERROR(IF(INDEX('Test catalog'!$P$2:$P$200,MATCH($Y311,'Test catalog'!$A$2:$A$200,0))="","",INDEX('Test catalog'!$P$2:$P$200,MATCH($Y311,'Test catalog'!$A$2:$A$200,0))),"")</f>
        <v/>
      </c>
      <c r="S311" s="14" t="n"/>
      <c r="T311" s="5" t="inlineStr">
        <is>
          <t>Y</t>
        </is>
      </c>
      <c r="U311" s="11">
        <f>IFERROR(IF(INDEX('Test catalog'!$Q$2:$Q$200,MATCH($Y311,'Test catalog'!$A$2:$A$200,0))="","",INDEX('Test catalog'!$Q$2:$Q$200,MATCH($Y311,'Test catalog'!$A$2:$A$200,0))),"")</f>
        <v/>
      </c>
      <c r="V311" s="5" t="n"/>
      <c r="W311" s="5" t="n"/>
      <c r="X311" s="5" t="n"/>
      <c r="Y311" s="5" t="inlineStr">
        <is>
          <t>ENUM</t>
        </is>
      </c>
      <c r="Z311" s="11" t="inlineStr">
        <is>
          <t>USP &lt;1111&gt; oral solid: TAMC, TYMC, absence of E. coli</t>
        </is>
      </c>
    </row>
    <row r="312">
      <c r="A312" s="11" t="inlineStr">
        <is>
          <t>F21</t>
        </is>
      </c>
      <c r="B312" s="11" t="inlineStr">
        <is>
          <t>FP</t>
        </is>
      </c>
      <c r="C312" s="11" t="inlineStr">
        <is>
          <t>Flusip Cold and Flu; Flusip Cold and Flu (Sugar Free)  |  Acetaminophen, Phenylephrine HCl (+1 more)</t>
        </is>
      </c>
      <c r="D312" s="11" t="inlineStr">
        <is>
          <t>Absence of Escherichia coli (&lt;62&gt; / &lt;2022&gt;)</t>
        </is>
      </c>
      <c r="E312" s="5" t="inlineStr">
        <is>
          <t>Y</t>
        </is>
      </c>
      <c r="F312" s="5" t="n"/>
      <c r="G312" s="11">
        <f>IFERROR(IF(INDEX('Test catalog'!$F$2:$F$200,MATCH($Y312,'Test catalog'!$A$2:$A$200,0))="","",INDEX('Test catalog'!$F$2:$F$200,MATCH($Y312,'Test catalog'!$A$2:$A$200,0))),"")</f>
        <v/>
      </c>
      <c r="H312" s="11">
        <f>IFERROR(IF(INDEX('Test catalog'!$G$2:$G$200,MATCH($Y312,'Test catalog'!$A$2:$A$200,0))="","",INDEX('Test catalog'!$G$2:$G$200,MATCH($Y312,'Test catalog'!$A$2:$A$200,0))),"")</f>
        <v/>
      </c>
      <c r="I312" s="11">
        <f>IFERROR(IF(INDEX('Test catalog'!$H$2:$H$200,MATCH($Y312,'Test catalog'!$A$2:$A$200,0))="","",INDEX('Test catalog'!$H$2:$H$200,MATCH($Y312,'Test catalog'!$A$2:$A$200,0))),"")</f>
        <v/>
      </c>
      <c r="J312" s="11">
        <f>IFERROR(IF(INDEX('Test catalog'!$I$2:$I$200,MATCH($Y312,'Test catalog'!$A$2:$A$200,0))="","",INDEX('Test catalog'!$I$2:$I$200,MATCH($Y312,'Test catalog'!$A$2:$A$200,0))),"")</f>
        <v/>
      </c>
      <c r="K312" s="13">
        <f>IF(I312="","",IF(OR(H312="",J312=""),I312,(H312+4*I312+J312)/6))</f>
        <v/>
      </c>
      <c r="L312" s="11">
        <f>IFERROR(IF(INDEX('Test catalog'!$J$2:$J$200,MATCH($Y312,'Test catalog'!$A$2:$A$200,0))="","",INDEX('Test catalog'!$J$2:$J$200,MATCH($Y312,'Test catalog'!$A$2:$A$200,0))),"")</f>
        <v/>
      </c>
      <c r="M312" s="11">
        <f>IFERROR(IF(INDEX('Test catalog'!$K$2:$K$200,MATCH($Y312,'Test catalog'!$A$2:$A$200,0))="","",INDEX('Test catalog'!$K$2:$K$200,MATCH($Y312,'Test catalog'!$A$2:$A$200,0))),"")</f>
        <v/>
      </c>
      <c r="N312" s="11">
        <f>IFERROR(IF(INDEX('Test catalog'!$L$2:$L$200,MATCH($Y312,'Test catalog'!$A$2:$A$200,0))="","",INDEX('Test catalog'!$L$2:$L$200,MATCH($Y312,'Test catalog'!$A$2:$A$200,0))),"")</f>
        <v/>
      </c>
      <c r="O312" s="11">
        <f>IFERROR(IF(INDEX('Test catalog'!$M$2:$M$200,MATCH($Y312,'Test catalog'!$A$2:$A$200,0))="","",INDEX('Test catalog'!$M$2:$M$200,MATCH($Y312,'Test catalog'!$A$2:$A$200,0))),"")</f>
        <v/>
      </c>
      <c r="P312" s="11">
        <f>IFERROR(IF(INDEX('Test catalog'!$N$2:$N$200,MATCH($Y312,'Test catalog'!$A$2:$A$200,0))="","",INDEX('Test catalog'!$N$2:$N$200,MATCH($Y312,'Test catalog'!$A$2:$A$200,0))),"")</f>
        <v/>
      </c>
      <c r="Q312" s="11">
        <f>IFERROR(IF(INDEX('Test catalog'!$O$2:$O$200,MATCH($Y312,'Test catalog'!$A$2:$A$200,0))="","",INDEX('Test catalog'!$O$2:$O$200,MATCH($Y312,'Test catalog'!$A$2:$A$200,0))),"")</f>
        <v/>
      </c>
      <c r="R312" s="11">
        <f>IFERROR(IF(INDEX('Test catalog'!$P$2:$P$200,MATCH($Y312,'Test catalog'!$A$2:$A$200,0))="","",INDEX('Test catalog'!$P$2:$P$200,MATCH($Y312,'Test catalog'!$A$2:$A$200,0))),"")</f>
        <v/>
      </c>
      <c r="S312" s="14" t="n"/>
      <c r="T312" s="5" t="inlineStr">
        <is>
          <t>N</t>
        </is>
      </c>
      <c r="U312" s="11">
        <f>IFERROR(IF(INDEX('Test catalog'!$Q$2:$Q$200,MATCH($Y312,'Test catalog'!$A$2:$A$200,0))="","",INDEX('Test catalog'!$Q$2:$Q$200,MATCH($Y312,'Test catalog'!$A$2:$A$200,0))),"")</f>
        <v/>
      </c>
      <c r="V312" s="5" t="n"/>
      <c r="W312" s="5" t="n"/>
      <c r="X312" s="5" t="n"/>
      <c r="Y312" s="5" t="inlineStr">
        <is>
          <t>ECOLI</t>
        </is>
      </c>
      <c r="Z312" s="11" t="inlineStr">
        <is>
          <t>USP &lt;1111&gt; oral solid: TAMC, TYMC, absence of E. coli</t>
        </is>
      </c>
    </row>
    <row r="313">
      <c r="A313" s="11" t="inlineStr">
        <is>
          <t>F22</t>
        </is>
      </c>
      <c r="B313" s="11" t="inlineStr">
        <is>
          <t>FP</t>
        </is>
      </c>
      <c r="C313" s="11" t="inlineStr">
        <is>
          <t>Flusip-C  |  actives TBD: Flusip-C</t>
        </is>
      </c>
      <c r="D313" s="11" t="inlineStr">
        <is>
          <t>Microbial enumeration - TAMC + TYMC (&lt;61&gt; / &lt;2021&gt;)</t>
        </is>
      </c>
      <c r="E313" s="5" t="inlineStr">
        <is>
          <t>Y</t>
        </is>
      </c>
      <c r="F313" s="5" t="n"/>
      <c r="G313" s="11">
        <f>IFERROR(IF(INDEX('Test catalog'!$F$2:$F$200,MATCH($Y313,'Test catalog'!$A$2:$A$200,0))="","",INDEX('Test catalog'!$F$2:$F$200,MATCH($Y313,'Test catalog'!$A$2:$A$200,0))),"")</f>
        <v/>
      </c>
      <c r="H313" s="11">
        <f>IFERROR(IF(INDEX('Test catalog'!$G$2:$G$200,MATCH($Y313,'Test catalog'!$A$2:$A$200,0))="","",INDEX('Test catalog'!$G$2:$G$200,MATCH($Y313,'Test catalog'!$A$2:$A$200,0))),"")</f>
        <v/>
      </c>
      <c r="I313" s="11">
        <f>IFERROR(IF(INDEX('Test catalog'!$H$2:$H$200,MATCH($Y313,'Test catalog'!$A$2:$A$200,0))="","",INDEX('Test catalog'!$H$2:$H$200,MATCH($Y313,'Test catalog'!$A$2:$A$200,0))),"")</f>
        <v/>
      </c>
      <c r="J313" s="11">
        <f>IFERROR(IF(INDEX('Test catalog'!$I$2:$I$200,MATCH($Y313,'Test catalog'!$A$2:$A$200,0))="","",INDEX('Test catalog'!$I$2:$I$200,MATCH($Y313,'Test catalog'!$A$2:$A$200,0))),"")</f>
        <v/>
      </c>
      <c r="K313" s="13">
        <f>IF(I313="","",IF(OR(H313="",J313=""),I313,(H313+4*I313+J313)/6))</f>
        <v/>
      </c>
      <c r="L313" s="11">
        <f>IFERROR(IF(INDEX('Test catalog'!$J$2:$J$200,MATCH($Y313,'Test catalog'!$A$2:$A$200,0))="","",INDEX('Test catalog'!$J$2:$J$200,MATCH($Y313,'Test catalog'!$A$2:$A$200,0))),"")</f>
        <v/>
      </c>
      <c r="M313" s="11">
        <f>IFERROR(IF(INDEX('Test catalog'!$K$2:$K$200,MATCH($Y313,'Test catalog'!$A$2:$A$200,0))="","",INDEX('Test catalog'!$K$2:$K$200,MATCH($Y313,'Test catalog'!$A$2:$A$200,0))),"")</f>
        <v/>
      </c>
      <c r="N313" s="11">
        <f>IFERROR(IF(INDEX('Test catalog'!$L$2:$L$200,MATCH($Y313,'Test catalog'!$A$2:$A$200,0))="","",INDEX('Test catalog'!$L$2:$L$200,MATCH($Y313,'Test catalog'!$A$2:$A$200,0))),"")</f>
        <v/>
      </c>
      <c r="O313" s="11">
        <f>IFERROR(IF(INDEX('Test catalog'!$M$2:$M$200,MATCH($Y313,'Test catalog'!$A$2:$A$200,0))="","",INDEX('Test catalog'!$M$2:$M$200,MATCH($Y313,'Test catalog'!$A$2:$A$200,0))),"")</f>
        <v/>
      </c>
      <c r="P313" s="11">
        <f>IFERROR(IF(INDEX('Test catalog'!$N$2:$N$200,MATCH($Y313,'Test catalog'!$A$2:$A$200,0))="","",INDEX('Test catalog'!$N$2:$N$200,MATCH($Y313,'Test catalog'!$A$2:$A$200,0))),"")</f>
        <v/>
      </c>
      <c r="Q313" s="11">
        <f>IFERROR(IF(INDEX('Test catalog'!$O$2:$O$200,MATCH($Y313,'Test catalog'!$A$2:$A$200,0))="","",INDEX('Test catalog'!$O$2:$O$200,MATCH($Y313,'Test catalog'!$A$2:$A$200,0))),"")</f>
        <v/>
      </c>
      <c r="R313" s="11">
        <f>IFERROR(IF(INDEX('Test catalog'!$P$2:$P$200,MATCH($Y313,'Test catalog'!$A$2:$A$200,0))="","",INDEX('Test catalog'!$P$2:$P$200,MATCH($Y313,'Test catalog'!$A$2:$A$200,0))),"")</f>
        <v/>
      </c>
      <c r="S313" s="14" t="n"/>
      <c r="T313" s="5" t="inlineStr">
        <is>
          <t>Y</t>
        </is>
      </c>
      <c r="U313" s="11">
        <f>IFERROR(IF(INDEX('Test catalog'!$Q$2:$Q$200,MATCH($Y313,'Test catalog'!$A$2:$A$200,0))="","",INDEX('Test catalog'!$Q$2:$Q$200,MATCH($Y313,'Test catalog'!$A$2:$A$200,0))),"")</f>
        <v/>
      </c>
      <c r="V313" s="5" t="n"/>
      <c r="W313" s="5" t="n"/>
      <c r="X313" s="5" t="n"/>
      <c r="Y313" s="5" t="inlineStr">
        <is>
          <t>ENUM</t>
        </is>
      </c>
      <c r="Z313" s="11" t="inlineStr">
        <is>
          <t>USP &lt;1111&gt; oral solid: TAMC, TYMC, absence of E. coli</t>
        </is>
      </c>
    </row>
    <row r="314">
      <c r="A314" s="11" t="inlineStr">
        <is>
          <t>F22</t>
        </is>
      </c>
      <c r="B314" s="11" t="inlineStr">
        <is>
          <t>FP</t>
        </is>
      </c>
      <c r="C314" s="11" t="inlineStr">
        <is>
          <t>Flusip-C  |  actives TBD: Flusip-C</t>
        </is>
      </c>
      <c r="D314" s="11" t="inlineStr">
        <is>
          <t>Absence of Escherichia coli (&lt;62&gt; / &lt;2022&gt;)</t>
        </is>
      </c>
      <c r="E314" s="5" t="inlineStr">
        <is>
          <t>Y</t>
        </is>
      </c>
      <c r="F314" s="5" t="n"/>
      <c r="G314" s="11">
        <f>IFERROR(IF(INDEX('Test catalog'!$F$2:$F$200,MATCH($Y314,'Test catalog'!$A$2:$A$200,0))="","",INDEX('Test catalog'!$F$2:$F$200,MATCH($Y314,'Test catalog'!$A$2:$A$200,0))),"")</f>
        <v/>
      </c>
      <c r="H314" s="11">
        <f>IFERROR(IF(INDEX('Test catalog'!$G$2:$G$200,MATCH($Y314,'Test catalog'!$A$2:$A$200,0))="","",INDEX('Test catalog'!$G$2:$G$200,MATCH($Y314,'Test catalog'!$A$2:$A$200,0))),"")</f>
        <v/>
      </c>
      <c r="I314" s="11">
        <f>IFERROR(IF(INDEX('Test catalog'!$H$2:$H$200,MATCH($Y314,'Test catalog'!$A$2:$A$200,0))="","",INDEX('Test catalog'!$H$2:$H$200,MATCH($Y314,'Test catalog'!$A$2:$A$200,0))),"")</f>
        <v/>
      </c>
      <c r="J314" s="11">
        <f>IFERROR(IF(INDEX('Test catalog'!$I$2:$I$200,MATCH($Y314,'Test catalog'!$A$2:$A$200,0))="","",INDEX('Test catalog'!$I$2:$I$200,MATCH($Y314,'Test catalog'!$A$2:$A$200,0))),"")</f>
        <v/>
      </c>
      <c r="K314" s="13">
        <f>IF(I314="","",IF(OR(H314="",J314=""),I314,(H314+4*I314+J314)/6))</f>
        <v/>
      </c>
      <c r="L314" s="11">
        <f>IFERROR(IF(INDEX('Test catalog'!$J$2:$J$200,MATCH($Y314,'Test catalog'!$A$2:$A$200,0))="","",INDEX('Test catalog'!$J$2:$J$200,MATCH($Y314,'Test catalog'!$A$2:$A$200,0))),"")</f>
        <v/>
      </c>
      <c r="M314" s="11">
        <f>IFERROR(IF(INDEX('Test catalog'!$K$2:$K$200,MATCH($Y314,'Test catalog'!$A$2:$A$200,0))="","",INDEX('Test catalog'!$K$2:$K$200,MATCH($Y314,'Test catalog'!$A$2:$A$200,0))),"")</f>
        <v/>
      </c>
      <c r="N314" s="11">
        <f>IFERROR(IF(INDEX('Test catalog'!$L$2:$L$200,MATCH($Y314,'Test catalog'!$A$2:$A$200,0))="","",INDEX('Test catalog'!$L$2:$L$200,MATCH($Y314,'Test catalog'!$A$2:$A$200,0))),"")</f>
        <v/>
      </c>
      <c r="O314" s="11">
        <f>IFERROR(IF(INDEX('Test catalog'!$M$2:$M$200,MATCH($Y314,'Test catalog'!$A$2:$A$200,0))="","",INDEX('Test catalog'!$M$2:$M$200,MATCH($Y314,'Test catalog'!$A$2:$A$200,0))),"")</f>
        <v/>
      </c>
      <c r="P314" s="11">
        <f>IFERROR(IF(INDEX('Test catalog'!$N$2:$N$200,MATCH($Y314,'Test catalog'!$A$2:$A$200,0))="","",INDEX('Test catalog'!$N$2:$N$200,MATCH($Y314,'Test catalog'!$A$2:$A$200,0))),"")</f>
        <v/>
      </c>
      <c r="Q314" s="11">
        <f>IFERROR(IF(INDEX('Test catalog'!$O$2:$O$200,MATCH($Y314,'Test catalog'!$A$2:$A$200,0))="","",INDEX('Test catalog'!$O$2:$O$200,MATCH($Y314,'Test catalog'!$A$2:$A$200,0))),"")</f>
        <v/>
      </c>
      <c r="R314" s="11">
        <f>IFERROR(IF(INDEX('Test catalog'!$P$2:$P$200,MATCH($Y314,'Test catalog'!$A$2:$A$200,0))="","",INDEX('Test catalog'!$P$2:$P$200,MATCH($Y314,'Test catalog'!$A$2:$A$200,0))),"")</f>
        <v/>
      </c>
      <c r="S314" s="14" t="n"/>
      <c r="T314" s="5" t="inlineStr">
        <is>
          <t>N</t>
        </is>
      </c>
      <c r="U314" s="11">
        <f>IFERROR(IF(INDEX('Test catalog'!$Q$2:$Q$200,MATCH($Y314,'Test catalog'!$A$2:$A$200,0))="","",INDEX('Test catalog'!$Q$2:$Q$200,MATCH($Y314,'Test catalog'!$A$2:$A$200,0))),"")</f>
        <v/>
      </c>
      <c r="V314" s="5" t="n"/>
      <c r="W314" s="5" t="n"/>
      <c r="X314" s="5" t="n"/>
      <c r="Y314" s="5" t="inlineStr">
        <is>
          <t>ECOLI</t>
        </is>
      </c>
      <c r="Z314" s="11" t="inlineStr">
        <is>
          <t>USP &lt;1111&gt; oral solid: TAMC, TYMC, absence of E. coli</t>
        </is>
      </c>
    </row>
    <row r="315">
      <c r="A315" s="11" t="inlineStr">
        <is>
          <t>F23</t>
        </is>
      </c>
      <c r="B315" s="11" t="inlineStr">
        <is>
          <t>FP</t>
        </is>
      </c>
      <c r="C315" s="11" t="inlineStr">
        <is>
          <t>Empagliflozin 10 mg; Empaglose 25  |  Empagliflozin</t>
        </is>
      </c>
      <c r="D315" s="11" t="inlineStr">
        <is>
          <t>Microbial enumeration - TAMC + TYMC (&lt;61&gt; / &lt;2021&gt;)</t>
        </is>
      </c>
      <c r="E315" s="5" t="inlineStr">
        <is>
          <t>Y</t>
        </is>
      </c>
      <c r="F315" s="5" t="n"/>
      <c r="G315" s="11">
        <f>IFERROR(IF(INDEX('Test catalog'!$F$2:$F$200,MATCH($Y315,'Test catalog'!$A$2:$A$200,0))="","",INDEX('Test catalog'!$F$2:$F$200,MATCH($Y315,'Test catalog'!$A$2:$A$200,0))),"")</f>
        <v/>
      </c>
      <c r="H315" s="11">
        <f>IFERROR(IF(INDEX('Test catalog'!$G$2:$G$200,MATCH($Y315,'Test catalog'!$A$2:$A$200,0))="","",INDEX('Test catalog'!$G$2:$G$200,MATCH($Y315,'Test catalog'!$A$2:$A$200,0))),"")</f>
        <v/>
      </c>
      <c r="I315" s="11">
        <f>IFERROR(IF(INDEX('Test catalog'!$H$2:$H$200,MATCH($Y315,'Test catalog'!$A$2:$A$200,0))="","",INDEX('Test catalog'!$H$2:$H$200,MATCH($Y315,'Test catalog'!$A$2:$A$200,0))),"")</f>
        <v/>
      </c>
      <c r="J315" s="11">
        <f>IFERROR(IF(INDEX('Test catalog'!$I$2:$I$200,MATCH($Y315,'Test catalog'!$A$2:$A$200,0))="","",INDEX('Test catalog'!$I$2:$I$200,MATCH($Y315,'Test catalog'!$A$2:$A$200,0))),"")</f>
        <v/>
      </c>
      <c r="K315" s="13">
        <f>IF(I315="","",IF(OR(H315="",J315=""),I315,(H315+4*I315+J315)/6))</f>
        <v/>
      </c>
      <c r="L315" s="11">
        <f>IFERROR(IF(INDEX('Test catalog'!$J$2:$J$200,MATCH($Y315,'Test catalog'!$A$2:$A$200,0))="","",INDEX('Test catalog'!$J$2:$J$200,MATCH($Y315,'Test catalog'!$A$2:$A$200,0))),"")</f>
        <v/>
      </c>
      <c r="M315" s="11">
        <f>IFERROR(IF(INDEX('Test catalog'!$K$2:$K$200,MATCH($Y315,'Test catalog'!$A$2:$A$200,0))="","",INDEX('Test catalog'!$K$2:$K$200,MATCH($Y315,'Test catalog'!$A$2:$A$200,0))),"")</f>
        <v/>
      </c>
      <c r="N315" s="11">
        <f>IFERROR(IF(INDEX('Test catalog'!$L$2:$L$200,MATCH($Y315,'Test catalog'!$A$2:$A$200,0))="","",INDEX('Test catalog'!$L$2:$L$200,MATCH($Y315,'Test catalog'!$A$2:$A$200,0))),"")</f>
        <v/>
      </c>
      <c r="O315" s="11">
        <f>IFERROR(IF(INDEX('Test catalog'!$M$2:$M$200,MATCH($Y315,'Test catalog'!$A$2:$A$200,0))="","",INDEX('Test catalog'!$M$2:$M$200,MATCH($Y315,'Test catalog'!$A$2:$A$200,0))),"")</f>
        <v/>
      </c>
      <c r="P315" s="11">
        <f>IFERROR(IF(INDEX('Test catalog'!$N$2:$N$200,MATCH($Y315,'Test catalog'!$A$2:$A$200,0))="","",INDEX('Test catalog'!$N$2:$N$200,MATCH($Y315,'Test catalog'!$A$2:$A$200,0))),"")</f>
        <v/>
      </c>
      <c r="Q315" s="11">
        <f>IFERROR(IF(INDEX('Test catalog'!$O$2:$O$200,MATCH($Y315,'Test catalog'!$A$2:$A$200,0))="","",INDEX('Test catalog'!$O$2:$O$200,MATCH($Y315,'Test catalog'!$A$2:$A$200,0))),"")</f>
        <v/>
      </c>
      <c r="R315" s="11">
        <f>IFERROR(IF(INDEX('Test catalog'!$P$2:$P$200,MATCH($Y315,'Test catalog'!$A$2:$A$200,0))="","",INDEX('Test catalog'!$P$2:$P$200,MATCH($Y315,'Test catalog'!$A$2:$A$200,0))),"")</f>
        <v/>
      </c>
      <c r="S315" s="14" t="n"/>
      <c r="T315" s="5" t="inlineStr">
        <is>
          <t>Y</t>
        </is>
      </c>
      <c r="U315" s="11">
        <f>IFERROR(IF(INDEX('Test catalog'!$Q$2:$Q$200,MATCH($Y315,'Test catalog'!$A$2:$A$200,0))="","",INDEX('Test catalog'!$Q$2:$Q$200,MATCH($Y315,'Test catalog'!$A$2:$A$200,0))),"")</f>
        <v/>
      </c>
      <c r="V315" s="5" t="n"/>
      <c r="W315" s="5" t="n"/>
      <c r="X315" s="5" t="n"/>
      <c r="Y315" s="5" t="inlineStr">
        <is>
          <t>ENUM</t>
        </is>
      </c>
      <c r="Z315" s="11" t="inlineStr">
        <is>
          <t>USP &lt;1111&gt; oral solid: TAMC, TYMC, absence of E. coli</t>
        </is>
      </c>
    </row>
    <row r="316">
      <c r="A316" s="11" t="inlineStr">
        <is>
          <t>F23</t>
        </is>
      </c>
      <c r="B316" s="11" t="inlineStr">
        <is>
          <t>FP</t>
        </is>
      </c>
      <c r="C316" s="11" t="inlineStr">
        <is>
          <t>Empagliflozin 10 mg; Empaglose 25  |  Empagliflozin</t>
        </is>
      </c>
      <c r="D316" s="11" t="inlineStr">
        <is>
          <t>Absence of Escherichia coli (&lt;62&gt; / &lt;2022&gt;)</t>
        </is>
      </c>
      <c r="E316" s="5" t="inlineStr">
        <is>
          <t>Y</t>
        </is>
      </c>
      <c r="F316" s="5" t="n"/>
      <c r="G316" s="11">
        <f>IFERROR(IF(INDEX('Test catalog'!$F$2:$F$200,MATCH($Y316,'Test catalog'!$A$2:$A$200,0))="","",INDEX('Test catalog'!$F$2:$F$200,MATCH($Y316,'Test catalog'!$A$2:$A$200,0))),"")</f>
        <v/>
      </c>
      <c r="H316" s="11">
        <f>IFERROR(IF(INDEX('Test catalog'!$G$2:$G$200,MATCH($Y316,'Test catalog'!$A$2:$A$200,0))="","",INDEX('Test catalog'!$G$2:$G$200,MATCH($Y316,'Test catalog'!$A$2:$A$200,0))),"")</f>
        <v/>
      </c>
      <c r="I316" s="11">
        <f>IFERROR(IF(INDEX('Test catalog'!$H$2:$H$200,MATCH($Y316,'Test catalog'!$A$2:$A$200,0))="","",INDEX('Test catalog'!$H$2:$H$200,MATCH($Y316,'Test catalog'!$A$2:$A$200,0))),"")</f>
        <v/>
      </c>
      <c r="J316" s="11">
        <f>IFERROR(IF(INDEX('Test catalog'!$I$2:$I$200,MATCH($Y316,'Test catalog'!$A$2:$A$200,0))="","",INDEX('Test catalog'!$I$2:$I$200,MATCH($Y316,'Test catalog'!$A$2:$A$200,0))),"")</f>
        <v/>
      </c>
      <c r="K316" s="13">
        <f>IF(I316="","",IF(OR(H316="",J316=""),I316,(H316+4*I316+J316)/6))</f>
        <v/>
      </c>
      <c r="L316" s="11">
        <f>IFERROR(IF(INDEX('Test catalog'!$J$2:$J$200,MATCH($Y316,'Test catalog'!$A$2:$A$200,0))="","",INDEX('Test catalog'!$J$2:$J$200,MATCH($Y316,'Test catalog'!$A$2:$A$200,0))),"")</f>
        <v/>
      </c>
      <c r="M316" s="11">
        <f>IFERROR(IF(INDEX('Test catalog'!$K$2:$K$200,MATCH($Y316,'Test catalog'!$A$2:$A$200,0))="","",INDEX('Test catalog'!$K$2:$K$200,MATCH($Y316,'Test catalog'!$A$2:$A$200,0))),"")</f>
        <v/>
      </c>
      <c r="N316" s="11">
        <f>IFERROR(IF(INDEX('Test catalog'!$L$2:$L$200,MATCH($Y316,'Test catalog'!$A$2:$A$200,0))="","",INDEX('Test catalog'!$L$2:$L$200,MATCH($Y316,'Test catalog'!$A$2:$A$200,0))),"")</f>
        <v/>
      </c>
      <c r="O316" s="11">
        <f>IFERROR(IF(INDEX('Test catalog'!$M$2:$M$200,MATCH($Y316,'Test catalog'!$A$2:$A$200,0))="","",INDEX('Test catalog'!$M$2:$M$200,MATCH($Y316,'Test catalog'!$A$2:$A$200,0))),"")</f>
        <v/>
      </c>
      <c r="P316" s="11">
        <f>IFERROR(IF(INDEX('Test catalog'!$N$2:$N$200,MATCH($Y316,'Test catalog'!$A$2:$A$200,0))="","",INDEX('Test catalog'!$N$2:$N$200,MATCH($Y316,'Test catalog'!$A$2:$A$200,0))),"")</f>
        <v/>
      </c>
      <c r="Q316" s="11">
        <f>IFERROR(IF(INDEX('Test catalog'!$O$2:$O$200,MATCH($Y316,'Test catalog'!$A$2:$A$200,0))="","",INDEX('Test catalog'!$O$2:$O$200,MATCH($Y316,'Test catalog'!$A$2:$A$200,0))),"")</f>
        <v/>
      </c>
      <c r="R316" s="11">
        <f>IFERROR(IF(INDEX('Test catalog'!$P$2:$P$200,MATCH($Y316,'Test catalog'!$A$2:$A$200,0))="","",INDEX('Test catalog'!$P$2:$P$200,MATCH($Y316,'Test catalog'!$A$2:$A$200,0))),"")</f>
        <v/>
      </c>
      <c r="S316" s="14" t="n"/>
      <c r="T316" s="5" t="inlineStr">
        <is>
          <t>N</t>
        </is>
      </c>
      <c r="U316" s="11">
        <f>IFERROR(IF(INDEX('Test catalog'!$Q$2:$Q$200,MATCH($Y316,'Test catalog'!$A$2:$A$200,0))="","",INDEX('Test catalog'!$Q$2:$Q$200,MATCH($Y316,'Test catalog'!$A$2:$A$200,0))),"")</f>
        <v/>
      </c>
      <c r="V316" s="5" t="n"/>
      <c r="W316" s="5" t="n"/>
      <c r="X316" s="5" t="n"/>
      <c r="Y316" s="5" t="inlineStr">
        <is>
          <t>ECOLI</t>
        </is>
      </c>
      <c r="Z316" s="11" t="inlineStr">
        <is>
          <t>USP &lt;1111&gt; oral solid: TAMC, TYMC, absence of E. coli</t>
        </is>
      </c>
    </row>
    <row r="317">
      <c r="A317" s="11" t="inlineStr">
        <is>
          <t>F24</t>
        </is>
      </c>
      <c r="B317" s="11" t="inlineStr">
        <is>
          <t>FP</t>
        </is>
      </c>
      <c r="C317" s="11" t="inlineStr">
        <is>
          <t>Lixiban 2.5; Lixiban 5  |  Apixaban</t>
        </is>
      </c>
      <c r="D317" s="11" t="inlineStr">
        <is>
          <t>Microbial enumeration - TAMC + TYMC (&lt;61&gt; / &lt;2021&gt;)</t>
        </is>
      </c>
      <c r="E317" s="5" t="inlineStr">
        <is>
          <t>Y</t>
        </is>
      </c>
      <c r="F317" s="5" t="n"/>
      <c r="G317" s="11">
        <f>IFERROR(IF(INDEX('Test catalog'!$F$2:$F$200,MATCH($Y317,'Test catalog'!$A$2:$A$200,0))="","",INDEX('Test catalog'!$F$2:$F$200,MATCH($Y317,'Test catalog'!$A$2:$A$200,0))),"")</f>
        <v/>
      </c>
      <c r="H317" s="11">
        <f>IFERROR(IF(INDEX('Test catalog'!$G$2:$G$200,MATCH($Y317,'Test catalog'!$A$2:$A$200,0))="","",INDEX('Test catalog'!$G$2:$G$200,MATCH($Y317,'Test catalog'!$A$2:$A$200,0))),"")</f>
        <v/>
      </c>
      <c r="I317" s="11">
        <f>IFERROR(IF(INDEX('Test catalog'!$H$2:$H$200,MATCH($Y317,'Test catalog'!$A$2:$A$200,0))="","",INDEX('Test catalog'!$H$2:$H$200,MATCH($Y317,'Test catalog'!$A$2:$A$200,0))),"")</f>
        <v/>
      </c>
      <c r="J317" s="11">
        <f>IFERROR(IF(INDEX('Test catalog'!$I$2:$I$200,MATCH($Y317,'Test catalog'!$A$2:$A$200,0))="","",INDEX('Test catalog'!$I$2:$I$200,MATCH($Y317,'Test catalog'!$A$2:$A$200,0))),"")</f>
        <v/>
      </c>
      <c r="K317" s="13">
        <f>IF(I317="","",IF(OR(H317="",J317=""),I317,(H317+4*I317+J317)/6))</f>
        <v/>
      </c>
      <c r="L317" s="11">
        <f>IFERROR(IF(INDEX('Test catalog'!$J$2:$J$200,MATCH($Y317,'Test catalog'!$A$2:$A$200,0))="","",INDEX('Test catalog'!$J$2:$J$200,MATCH($Y317,'Test catalog'!$A$2:$A$200,0))),"")</f>
        <v/>
      </c>
      <c r="M317" s="11">
        <f>IFERROR(IF(INDEX('Test catalog'!$K$2:$K$200,MATCH($Y317,'Test catalog'!$A$2:$A$200,0))="","",INDEX('Test catalog'!$K$2:$K$200,MATCH($Y317,'Test catalog'!$A$2:$A$200,0))),"")</f>
        <v/>
      </c>
      <c r="N317" s="11">
        <f>IFERROR(IF(INDEX('Test catalog'!$L$2:$L$200,MATCH($Y317,'Test catalog'!$A$2:$A$200,0))="","",INDEX('Test catalog'!$L$2:$L$200,MATCH($Y317,'Test catalog'!$A$2:$A$200,0))),"")</f>
        <v/>
      </c>
      <c r="O317" s="11">
        <f>IFERROR(IF(INDEX('Test catalog'!$M$2:$M$200,MATCH($Y317,'Test catalog'!$A$2:$A$200,0))="","",INDEX('Test catalog'!$M$2:$M$200,MATCH($Y317,'Test catalog'!$A$2:$A$200,0))),"")</f>
        <v/>
      </c>
      <c r="P317" s="11">
        <f>IFERROR(IF(INDEX('Test catalog'!$N$2:$N$200,MATCH($Y317,'Test catalog'!$A$2:$A$200,0))="","",INDEX('Test catalog'!$N$2:$N$200,MATCH($Y317,'Test catalog'!$A$2:$A$200,0))),"")</f>
        <v/>
      </c>
      <c r="Q317" s="11">
        <f>IFERROR(IF(INDEX('Test catalog'!$O$2:$O$200,MATCH($Y317,'Test catalog'!$A$2:$A$200,0))="","",INDEX('Test catalog'!$O$2:$O$200,MATCH($Y317,'Test catalog'!$A$2:$A$200,0))),"")</f>
        <v/>
      </c>
      <c r="R317" s="11">
        <f>IFERROR(IF(INDEX('Test catalog'!$P$2:$P$200,MATCH($Y317,'Test catalog'!$A$2:$A$200,0))="","",INDEX('Test catalog'!$P$2:$P$200,MATCH($Y317,'Test catalog'!$A$2:$A$200,0))),"")</f>
        <v/>
      </c>
      <c r="S317" s="14" t="n"/>
      <c r="T317" s="5" t="inlineStr">
        <is>
          <t>Y</t>
        </is>
      </c>
      <c r="U317" s="11">
        <f>IFERROR(IF(INDEX('Test catalog'!$Q$2:$Q$200,MATCH($Y317,'Test catalog'!$A$2:$A$200,0))="","",INDEX('Test catalog'!$Q$2:$Q$200,MATCH($Y317,'Test catalog'!$A$2:$A$200,0))),"")</f>
        <v/>
      </c>
      <c r="V317" s="5" t="n"/>
      <c r="W317" s="5" t="n"/>
      <c r="X317" s="5" t="n"/>
      <c r="Y317" s="5" t="inlineStr">
        <is>
          <t>ENUM</t>
        </is>
      </c>
      <c r="Z317" s="11" t="inlineStr">
        <is>
          <t>USP &lt;1111&gt; oral solid: TAMC, TYMC, absence of E. coli</t>
        </is>
      </c>
    </row>
    <row r="318">
      <c r="A318" s="11" t="inlineStr">
        <is>
          <t>F24</t>
        </is>
      </c>
      <c r="B318" s="11" t="inlineStr">
        <is>
          <t>FP</t>
        </is>
      </c>
      <c r="C318" s="11" t="inlineStr">
        <is>
          <t>Lixiban 2.5; Lixiban 5  |  Apixaban</t>
        </is>
      </c>
      <c r="D318" s="11" t="inlineStr">
        <is>
          <t>Absence of Escherichia coli (&lt;62&gt; / &lt;2022&gt;)</t>
        </is>
      </c>
      <c r="E318" s="5" t="inlineStr">
        <is>
          <t>Y</t>
        </is>
      </c>
      <c r="F318" s="5" t="n"/>
      <c r="G318" s="11">
        <f>IFERROR(IF(INDEX('Test catalog'!$F$2:$F$200,MATCH($Y318,'Test catalog'!$A$2:$A$200,0))="","",INDEX('Test catalog'!$F$2:$F$200,MATCH($Y318,'Test catalog'!$A$2:$A$200,0))),"")</f>
        <v/>
      </c>
      <c r="H318" s="11">
        <f>IFERROR(IF(INDEX('Test catalog'!$G$2:$G$200,MATCH($Y318,'Test catalog'!$A$2:$A$200,0))="","",INDEX('Test catalog'!$G$2:$G$200,MATCH($Y318,'Test catalog'!$A$2:$A$200,0))),"")</f>
        <v/>
      </c>
      <c r="I318" s="11">
        <f>IFERROR(IF(INDEX('Test catalog'!$H$2:$H$200,MATCH($Y318,'Test catalog'!$A$2:$A$200,0))="","",INDEX('Test catalog'!$H$2:$H$200,MATCH($Y318,'Test catalog'!$A$2:$A$200,0))),"")</f>
        <v/>
      </c>
      <c r="J318" s="11">
        <f>IFERROR(IF(INDEX('Test catalog'!$I$2:$I$200,MATCH($Y318,'Test catalog'!$A$2:$A$200,0))="","",INDEX('Test catalog'!$I$2:$I$200,MATCH($Y318,'Test catalog'!$A$2:$A$200,0))),"")</f>
        <v/>
      </c>
      <c r="K318" s="13">
        <f>IF(I318="","",IF(OR(H318="",J318=""),I318,(H318+4*I318+J318)/6))</f>
        <v/>
      </c>
      <c r="L318" s="11">
        <f>IFERROR(IF(INDEX('Test catalog'!$J$2:$J$200,MATCH($Y318,'Test catalog'!$A$2:$A$200,0))="","",INDEX('Test catalog'!$J$2:$J$200,MATCH($Y318,'Test catalog'!$A$2:$A$200,0))),"")</f>
        <v/>
      </c>
      <c r="M318" s="11">
        <f>IFERROR(IF(INDEX('Test catalog'!$K$2:$K$200,MATCH($Y318,'Test catalog'!$A$2:$A$200,0))="","",INDEX('Test catalog'!$K$2:$K$200,MATCH($Y318,'Test catalog'!$A$2:$A$200,0))),"")</f>
        <v/>
      </c>
      <c r="N318" s="11">
        <f>IFERROR(IF(INDEX('Test catalog'!$L$2:$L$200,MATCH($Y318,'Test catalog'!$A$2:$A$200,0))="","",INDEX('Test catalog'!$L$2:$L$200,MATCH($Y318,'Test catalog'!$A$2:$A$200,0))),"")</f>
        <v/>
      </c>
      <c r="O318" s="11">
        <f>IFERROR(IF(INDEX('Test catalog'!$M$2:$M$200,MATCH($Y318,'Test catalog'!$A$2:$A$200,0))="","",INDEX('Test catalog'!$M$2:$M$200,MATCH($Y318,'Test catalog'!$A$2:$A$200,0))),"")</f>
        <v/>
      </c>
      <c r="P318" s="11">
        <f>IFERROR(IF(INDEX('Test catalog'!$N$2:$N$200,MATCH($Y318,'Test catalog'!$A$2:$A$200,0))="","",INDEX('Test catalog'!$N$2:$N$200,MATCH($Y318,'Test catalog'!$A$2:$A$200,0))),"")</f>
        <v/>
      </c>
      <c r="Q318" s="11">
        <f>IFERROR(IF(INDEX('Test catalog'!$O$2:$O$200,MATCH($Y318,'Test catalog'!$A$2:$A$200,0))="","",INDEX('Test catalog'!$O$2:$O$200,MATCH($Y318,'Test catalog'!$A$2:$A$200,0))),"")</f>
        <v/>
      </c>
      <c r="R318" s="11">
        <f>IFERROR(IF(INDEX('Test catalog'!$P$2:$P$200,MATCH($Y318,'Test catalog'!$A$2:$A$200,0))="","",INDEX('Test catalog'!$P$2:$P$200,MATCH($Y318,'Test catalog'!$A$2:$A$200,0))),"")</f>
        <v/>
      </c>
      <c r="S318" s="14" t="n"/>
      <c r="T318" s="5" t="inlineStr">
        <is>
          <t>N</t>
        </is>
      </c>
      <c r="U318" s="11">
        <f>IFERROR(IF(INDEX('Test catalog'!$Q$2:$Q$200,MATCH($Y318,'Test catalog'!$A$2:$A$200,0))="","",INDEX('Test catalog'!$Q$2:$Q$200,MATCH($Y318,'Test catalog'!$A$2:$A$200,0))),"")</f>
        <v/>
      </c>
      <c r="V318" s="5" t="n"/>
      <c r="W318" s="5" t="n"/>
      <c r="X318" s="5" t="n"/>
      <c r="Y318" s="5" t="inlineStr">
        <is>
          <t>ECOLI</t>
        </is>
      </c>
      <c r="Z318" s="11" t="inlineStr">
        <is>
          <t>USP &lt;1111&gt; oral solid: TAMC, TYMC, absence of E. coli</t>
        </is>
      </c>
    </row>
    <row r="319">
      <c r="A319" s="11" t="inlineStr">
        <is>
          <t>F25</t>
        </is>
      </c>
      <c r="B319" s="11" t="inlineStr">
        <is>
          <t>FP</t>
        </is>
      </c>
      <c r="C319" s="11" t="inlineStr">
        <is>
          <t>Glose-lin 10/5; Glose-lin 25/5  |  Empagliflozin, Linagliptin</t>
        </is>
      </c>
      <c r="D319" s="11" t="inlineStr">
        <is>
          <t>Microbial enumeration - TAMC + TYMC (&lt;61&gt; / &lt;2021&gt;)</t>
        </is>
      </c>
      <c r="E319" s="5" t="inlineStr">
        <is>
          <t>Y</t>
        </is>
      </c>
      <c r="F319" s="5" t="n"/>
      <c r="G319" s="11">
        <f>IFERROR(IF(INDEX('Test catalog'!$F$2:$F$200,MATCH($Y319,'Test catalog'!$A$2:$A$200,0))="","",INDEX('Test catalog'!$F$2:$F$200,MATCH($Y319,'Test catalog'!$A$2:$A$200,0))),"")</f>
        <v/>
      </c>
      <c r="H319" s="11">
        <f>IFERROR(IF(INDEX('Test catalog'!$G$2:$G$200,MATCH($Y319,'Test catalog'!$A$2:$A$200,0))="","",INDEX('Test catalog'!$G$2:$G$200,MATCH($Y319,'Test catalog'!$A$2:$A$200,0))),"")</f>
        <v/>
      </c>
      <c r="I319" s="11">
        <f>IFERROR(IF(INDEX('Test catalog'!$H$2:$H$200,MATCH($Y319,'Test catalog'!$A$2:$A$200,0))="","",INDEX('Test catalog'!$H$2:$H$200,MATCH($Y319,'Test catalog'!$A$2:$A$200,0))),"")</f>
        <v/>
      </c>
      <c r="J319" s="11">
        <f>IFERROR(IF(INDEX('Test catalog'!$I$2:$I$200,MATCH($Y319,'Test catalog'!$A$2:$A$200,0))="","",INDEX('Test catalog'!$I$2:$I$200,MATCH($Y319,'Test catalog'!$A$2:$A$200,0))),"")</f>
        <v/>
      </c>
      <c r="K319" s="13">
        <f>IF(I319="","",IF(OR(H319="",J319=""),I319,(H319+4*I319+J319)/6))</f>
        <v/>
      </c>
      <c r="L319" s="11">
        <f>IFERROR(IF(INDEX('Test catalog'!$J$2:$J$200,MATCH($Y319,'Test catalog'!$A$2:$A$200,0))="","",INDEX('Test catalog'!$J$2:$J$200,MATCH($Y319,'Test catalog'!$A$2:$A$200,0))),"")</f>
        <v/>
      </c>
      <c r="M319" s="11">
        <f>IFERROR(IF(INDEX('Test catalog'!$K$2:$K$200,MATCH($Y319,'Test catalog'!$A$2:$A$200,0))="","",INDEX('Test catalog'!$K$2:$K$200,MATCH($Y319,'Test catalog'!$A$2:$A$200,0))),"")</f>
        <v/>
      </c>
      <c r="N319" s="11">
        <f>IFERROR(IF(INDEX('Test catalog'!$L$2:$L$200,MATCH($Y319,'Test catalog'!$A$2:$A$200,0))="","",INDEX('Test catalog'!$L$2:$L$200,MATCH($Y319,'Test catalog'!$A$2:$A$200,0))),"")</f>
        <v/>
      </c>
      <c r="O319" s="11">
        <f>IFERROR(IF(INDEX('Test catalog'!$M$2:$M$200,MATCH($Y319,'Test catalog'!$A$2:$A$200,0))="","",INDEX('Test catalog'!$M$2:$M$200,MATCH($Y319,'Test catalog'!$A$2:$A$200,0))),"")</f>
        <v/>
      </c>
      <c r="P319" s="11">
        <f>IFERROR(IF(INDEX('Test catalog'!$N$2:$N$200,MATCH($Y319,'Test catalog'!$A$2:$A$200,0))="","",INDEX('Test catalog'!$N$2:$N$200,MATCH($Y319,'Test catalog'!$A$2:$A$200,0))),"")</f>
        <v/>
      </c>
      <c r="Q319" s="11">
        <f>IFERROR(IF(INDEX('Test catalog'!$O$2:$O$200,MATCH($Y319,'Test catalog'!$A$2:$A$200,0))="","",INDEX('Test catalog'!$O$2:$O$200,MATCH($Y319,'Test catalog'!$A$2:$A$200,0))),"")</f>
        <v/>
      </c>
      <c r="R319" s="11">
        <f>IFERROR(IF(INDEX('Test catalog'!$P$2:$P$200,MATCH($Y319,'Test catalog'!$A$2:$A$200,0))="","",INDEX('Test catalog'!$P$2:$P$200,MATCH($Y319,'Test catalog'!$A$2:$A$200,0))),"")</f>
        <v/>
      </c>
      <c r="S319" s="14" t="n"/>
      <c r="T319" s="5" t="inlineStr">
        <is>
          <t>Y</t>
        </is>
      </c>
      <c r="U319" s="11">
        <f>IFERROR(IF(INDEX('Test catalog'!$Q$2:$Q$200,MATCH($Y319,'Test catalog'!$A$2:$A$200,0))="","",INDEX('Test catalog'!$Q$2:$Q$200,MATCH($Y319,'Test catalog'!$A$2:$A$200,0))),"")</f>
        <v/>
      </c>
      <c r="V319" s="5" t="n"/>
      <c r="W319" s="5" t="n"/>
      <c r="X319" s="5" t="n"/>
      <c r="Y319" s="5" t="inlineStr">
        <is>
          <t>ENUM</t>
        </is>
      </c>
      <c r="Z319" s="11" t="inlineStr">
        <is>
          <t>USP &lt;1111&gt; oral solid: TAMC, TYMC, absence of E. coli</t>
        </is>
      </c>
    </row>
    <row r="320">
      <c r="A320" s="11" t="inlineStr">
        <is>
          <t>F25</t>
        </is>
      </c>
      <c r="B320" s="11" t="inlineStr">
        <is>
          <t>FP</t>
        </is>
      </c>
      <c r="C320" s="11" t="inlineStr">
        <is>
          <t>Glose-lin 10/5; Glose-lin 25/5  |  Empagliflozin, Linagliptin</t>
        </is>
      </c>
      <c r="D320" s="11" t="inlineStr">
        <is>
          <t>Absence of Escherichia coli (&lt;62&gt; / &lt;2022&gt;)</t>
        </is>
      </c>
      <c r="E320" s="5" t="inlineStr">
        <is>
          <t>Y</t>
        </is>
      </c>
      <c r="F320" s="5" t="n"/>
      <c r="G320" s="11">
        <f>IFERROR(IF(INDEX('Test catalog'!$F$2:$F$200,MATCH($Y320,'Test catalog'!$A$2:$A$200,0))="","",INDEX('Test catalog'!$F$2:$F$200,MATCH($Y320,'Test catalog'!$A$2:$A$200,0))),"")</f>
        <v/>
      </c>
      <c r="H320" s="11">
        <f>IFERROR(IF(INDEX('Test catalog'!$G$2:$G$200,MATCH($Y320,'Test catalog'!$A$2:$A$200,0))="","",INDEX('Test catalog'!$G$2:$G$200,MATCH($Y320,'Test catalog'!$A$2:$A$200,0))),"")</f>
        <v/>
      </c>
      <c r="I320" s="11">
        <f>IFERROR(IF(INDEX('Test catalog'!$H$2:$H$200,MATCH($Y320,'Test catalog'!$A$2:$A$200,0))="","",INDEX('Test catalog'!$H$2:$H$200,MATCH($Y320,'Test catalog'!$A$2:$A$200,0))),"")</f>
        <v/>
      </c>
      <c r="J320" s="11">
        <f>IFERROR(IF(INDEX('Test catalog'!$I$2:$I$200,MATCH($Y320,'Test catalog'!$A$2:$A$200,0))="","",INDEX('Test catalog'!$I$2:$I$200,MATCH($Y320,'Test catalog'!$A$2:$A$200,0))),"")</f>
        <v/>
      </c>
      <c r="K320" s="13">
        <f>IF(I320="","",IF(OR(H320="",J320=""),I320,(H320+4*I320+J320)/6))</f>
        <v/>
      </c>
      <c r="L320" s="11">
        <f>IFERROR(IF(INDEX('Test catalog'!$J$2:$J$200,MATCH($Y320,'Test catalog'!$A$2:$A$200,0))="","",INDEX('Test catalog'!$J$2:$J$200,MATCH($Y320,'Test catalog'!$A$2:$A$200,0))),"")</f>
        <v/>
      </c>
      <c r="M320" s="11">
        <f>IFERROR(IF(INDEX('Test catalog'!$K$2:$K$200,MATCH($Y320,'Test catalog'!$A$2:$A$200,0))="","",INDEX('Test catalog'!$K$2:$K$200,MATCH($Y320,'Test catalog'!$A$2:$A$200,0))),"")</f>
        <v/>
      </c>
      <c r="N320" s="11">
        <f>IFERROR(IF(INDEX('Test catalog'!$L$2:$L$200,MATCH($Y320,'Test catalog'!$A$2:$A$200,0))="","",INDEX('Test catalog'!$L$2:$L$200,MATCH($Y320,'Test catalog'!$A$2:$A$200,0))),"")</f>
        <v/>
      </c>
      <c r="O320" s="11">
        <f>IFERROR(IF(INDEX('Test catalog'!$M$2:$M$200,MATCH($Y320,'Test catalog'!$A$2:$A$200,0))="","",INDEX('Test catalog'!$M$2:$M$200,MATCH($Y320,'Test catalog'!$A$2:$A$200,0))),"")</f>
        <v/>
      </c>
      <c r="P320" s="11">
        <f>IFERROR(IF(INDEX('Test catalog'!$N$2:$N$200,MATCH($Y320,'Test catalog'!$A$2:$A$200,0))="","",INDEX('Test catalog'!$N$2:$N$200,MATCH($Y320,'Test catalog'!$A$2:$A$200,0))),"")</f>
        <v/>
      </c>
      <c r="Q320" s="11">
        <f>IFERROR(IF(INDEX('Test catalog'!$O$2:$O$200,MATCH($Y320,'Test catalog'!$A$2:$A$200,0))="","",INDEX('Test catalog'!$O$2:$O$200,MATCH($Y320,'Test catalog'!$A$2:$A$200,0))),"")</f>
        <v/>
      </c>
      <c r="R320" s="11">
        <f>IFERROR(IF(INDEX('Test catalog'!$P$2:$P$200,MATCH($Y320,'Test catalog'!$A$2:$A$200,0))="","",INDEX('Test catalog'!$P$2:$P$200,MATCH($Y320,'Test catalog'!$A$2:$A$200,0))),"")</f>
        <v/>
      </c>
      <c r="S320" s="14" t="n"/>
      <c r="T320" s="5" t="inlineStr">
        <is>
          <t>N</t>
        </is>
      </c>
      <c r="U320" s="11">
        <f>IFERROR(IF(INDEX('Test catalog'!$Q$2:$Q$200,MATCH($Y320,'Test catalog'!$A$2:$A$200,0))="","",INDEX('Test catalog'!$Q$2:$Q$200,MATCH($Y320,'Test catalog'!$A$2:$A$200,0))),"")</f>
        <v/>
      </c>
      <c r="V320" s="5" t="n"/>
      <c r="W320" s="5" t="n"/>
      <c r="X320" s="5" t="n"/>
      <c r="Y320" s="5" t="inlineStr">
        <is>
          <t>ECOLI</t>
        </is>
      </c>
      <c r="Z320" s="11" t="inlineStr">
        <is>
          <t>USP &lt;1111&gt; oral solid: TAMC, TYMC, absence of E. coli</t>
        </is>
      </c>
    </row>
    <row r="321">
      <c r="A321" s="11" t="inlineStr">
        <is>
          <t>F26</t>
        </is>
      </c>
      <c r="B321" s="11" t="inlineStr">
        <is>
          <t>FP</t>
        </is>
      </c>
      <c r="C321" s="11" t="inlineStr">
        <is>
          <t>TRILEMO ER 5-2.5-1000; TRILEMO ER 10-5-1000; TRILEMO ER 12.5-2.5-1000; TRILEMO ER 25-5-100  |  Metformin Hydrochloride, Empagliflozin (+1 more) [ER]</t>
        </is>
      </c>
      <c r="D321" s="11" t="inlineStr">
        <is>
          <t>Microbial enumeration - TAMC + TYMC (&lt;61&gt; / &lt;2021&gt;)</t>
        </is>
      </c>
      <c r="E321" s="5" t="inlineStr">
        <is>
          <t>Y</t>
        </is>
      </c>
      <c r="F321" s="5" t="n"/>
      <c r="G321" s="11">
        <f>IFERROR(IF(INDEX('Test catalog'!$F$2:$F$200,MATCH($Y321,'Test catalog'!$A$2:$A$200,0))="","",INDEX('Test catalog'!$F$2:$F$200,MATCH($Y321,'Test catalog'!$A$2:$A$200,0))),"")</f>
        <v/>
      </c>
      <c r="H321" s="11">
        <f>IFERROR(IF(INDEX('Test catalog'!$G$2:$G$200,MATCH($Y321,'Test catalog'!$A$2:$A$200,0))="","",INDEX('Test catalog'!$G$2:$G$200,MATCH($Y321,'Test catalog'!$A$2:$A$200,0))),"")</f>
        <v/>
      </c>
      <c r="I321" s="11">
        <f>IFERROR(IF(INDEX('Test catalog'!$H$2:$H$200,MATCH($Y321,'Test catalog'!$A$2:$A$200,0))="","",INDEX('Test catalog'!$H$2:$H$200,MATCH($Y321,'Test catalog'!$A$2:$A$200,0))),"")</f>
        <v/>
      </c>
      <c r="J321" s="11">
        <f>IFERROR(IF(INDEX('Test catalog'!$I$2:$I$200,MATCH($Y321,'Test catalog'!$A$2:$A$200,0))="","",INDEX('Test catalog'!$I$2:$I$200,MATCH($Y321,'Test catalog'!$A$2:$A$200,0))),"")</f>
        <v/>
      </c>
      <c r="K321" s="13">
        <f>IF(I321="","",IF(OR(H321="",J321=""),I321,(H321+4*I321+J321)/6))</f>
        <v/>
      </c>
      <c r="L321" s="11">
        <f>IFERROR(IF(INDEX('Test catalog'!$J$2:$J$200,MATCH($Y321,'Test catalog'!$A$2:$A$200,0))="","",INDEX('Test catalog'!$J$2:$J$200,MATCH($Y321,'Test catalog'!$A$2:$A$200,0))),"")</f>
        <v/>
      </c>
      <c r="M321" s="11">
        <f>IFERROR(IF(INDEX('Test catalog'!$K$2:$K$200,MATCH($Y321,'Test catalog'!$A$2:$A$200,0))="","",INDEX('Test catalog'!$K$2:$K$200,MATCH($Y321,'Test catalog'!$A$2:$A$200,0))),"")</f>
        <v/>
      </c>
      <c r="N321" s="11">
        <f>IFERROR(IF(INDEX('Test catalog'!$L$2:$L$200,MATCH($Y321,'Test catalog'!$A$2:$A$200,0))="","",INDEX('Test catalog'!$L$2:$L$200,MATCH($Y321,'Test catalog'!$A$2:$A$200,0))),"")</f>
        <v/>
      </c>
      <c r="O321" s="11">
        <f>IFERROR(IF(INDEX('Test catalog'!$M$2:$M$200,MATCH($Y321,'Test catalog'!$A$2:$A$200,0))="","",INDEX('Test catalog'!$M$2:$M$200,MATCH($Y321,'Test catalog'!$A$2:$A$200,0))),"")</f>
        <v/>
      </c>
      <c r="P321" s="11">
        <f>IFERROR(IF(INDEX('Test catalog'!$N$2:$N$200,MATCH($Y321,'Test catalog'!$A$2:$A$200,0))="","",INDEX('Test catalog'!$N$2:$N$200,MATCH($Y321,'Test catalog'!$A$2:$A$200,0))),"")</f>
        <v/>
      </c>
      <c r="Q321" s="11">
        <f>IFERROR(IF(INDEX('Test catalog'!$O$2:$O$200,MATCH($Y321,'Test catalog'!$A$2:$A$200,0))="","",INDEX('Test catalog'!$O$2:$O$200,MATCH($Y321,'Test catalog'!$A$2:$A$200,0))),"")</f>
        <v/>
      </c>
      <c r="R321" s="11">
        <f>IFERROR(IF(INDEX('Test catalog'!$P$2:$P$200,MATCH($Y321,'Test catalog'!$A$2:$A$200,0))="","",INDEX('Test catalog'!$P$2:$P$200,MATCH($Y321,'Test catalog'!$A$2:$A$200,0))),"")</f>
        <v/>
      </c>
      <c r="S321" s="14" t="n"/>
      <c r="T321" s="5" t="inlineStr">
        <is>
          <t>Y</t>
        </is>
      </c>
      <c r="U321" s="11">
        <f>IFERROR(IF(INDEX('Test catalog'!$Q$2:$Q$200,MATCH($Y321,'Test catalog'!$A$2:$A$200,0))="","",INDEX('Test catalog'!$Q$2:$Q$200,MATCH($Y321,'Test catalog'!$A$2:$A$200,0))),"")</f>
        <v/>
      </c>
      <c r="V321" s="5" t="n"/>
      <c r="W321" s="5" t="n"/>
      <c r="X321" s="5" t="n"/>
      <c r="Y321" s="5" t="inlineStr">
        <is>
          <t>ENUM</t>
        </is>
      </c>
      <c r="Z321" s="11" t="inlineStr">
        <is>
          <t>USP &lt;1111&gt; oral solid: TAMC, TYMC, absence of E. coli</t>
        </is>
      </c>
    </row>
    <row r="322">
      <c r="A322" s="11" t="inlineStr">
        <is>
          <t>F26</t>
        </is>
      </c>
      <c r="B322" s="11" t="inlineStr">
        <is>
          <t>FP</t>
        </is>
      </c>
      <c r="C322" s="11" t="inlineStr">
        <is>
          <t>TRILEMO ER 5-2.5-1000; TRILEMO ER 10-5-1000; TRILEMO ER 12.5-2.5-1000; TRILEMO ER 25-5-100  |  Metformin Hydrochloride, Empagliflozin (+1 more) [ER]</t>
        </is>
      </c>
      <c r="D322" s="11" t="inlineStr">
        <is>
          <t>Absence of Escherichia coli (&lt;62&gt; / &lt;2022&gt;)</t>
        </is>
      </c>
      <c r="E322" s="5" t="inlineStr">
        <is>
          <t>Y</t>
        </is>
      </c>
      <c r="F322" s="5" t="n"/>
      <c r="G322" s="11">
        <f>IFERROR(IF(INDEX('Test catalog'!$F$2:$F$200,MATCH($Y322,'Test catalog'!$A$2:$A$200,0))="","",INDEX('Test catalog'!$F$2:$F$200,MATCH($Y322,'Test catalog'!$A$2:$A$200,0))),"")</f>
        <v/>
      </c>
      <c r="H322" s="11">
        <f>IFERROR(IF(INDEX('Test catalog'!$G$2:$G$200,MATCH($Y322,'Test catalog'!$A$2:$A$200,0))="","",INDEX('Test catalog'!$G$2:$G$200,MATCH($Y322,'Test catalog'!$A$2:$A$200,0))),"")</f>
        <v/>
      </c>
      <c r="I322" s="11">
        <f>IFERROR(IF(INDEX('Test catalog'!$H$2:$H$200,MATCH($Y322,'Test catalog'!$A$2:$A$200,0))="","",INDEX('Test catalog'!$H$2:$H$200,MATCH($Y322,'Test catalog'!$A$2:$A$200,0))),"")</f>
        <v/>
      </c>
      <c r="J322" s="11">
        <f>IFERROR(IF(INDEX('Test catalog'!$I$2:$I$200,MATCH($Y322,'Test catalog'!$A$2:$A$200,0))="","",INDEX('Test catalog'!$I$2:$I$200,MATCH($Y322,'Test catalog'!$A$2:$A$200,0))),"")</f>
        <v/>
      </c>
      <c r="K322" s="13">
        <f>IF(I322="","",IF(OR(H322="",J322=""),I322,(H322+4*I322+J322)/6))</f>
        <v/>
      </c>
      <c r="L322" s="11">
        <f>IFERROR(IF(INDEX('Test catalog'!$J$2:$J$200,MATCH($Y322,'Test catalog'!$A$2:$A$200,0))="","",INDEX('Test catalog'!$J$2:$J$200,MATCH($Y322,'Test catalog'!$A$2:$A$200,0))),"")</f>
        <v/>
      </c>
      <c r="M322" s="11">
        <f>IFERROR(IF(INDEX('Test catalog'!$K$2:$K$200,MATCH($Y322,'Test catalog'!$A$2:$A$200,0))="","",INDEX('Test catalog'!$K$2:$K$200,MATCH($Y322,'Test catalog'!$A$2:$A$200,0))),"")</f>
        <v/>
      </c>
      <c r="N322" s="11">
        <f>IFERROR(IF(INDEX('Test catalog'!$L$2:$L$200,MATCH($Y322,'Test catalog'!$A$2:$A$200,0))="","",INDEX('Test catalog'!$L$2:$L$200,MATCH($Y322,'Test catalog'!$A$2:$A$200,0))),"")</f>
        <v/>
      </c>
      <c r="O322" s="11">
        <f>IFERROR(IF(INDEX('Test catalog'!$M$2:$M$200,MATCH($Y322,'Test catalog'!$A$2:$A$200,0))="","",INDEX('Test catalog'!$M$2:$M$200,MATCH($Y322,'Test catalog'!$A$2:$A$200,0))),"")</f>
        <v/>
      </c>
      <c r="P322" s="11">
        <f>IFERROR(IF(INDEX('Test catalog'!$N$2:$N$200,MATCH($Y322,'Test catalog'!$A$2:$A$200,0))="","",INDEX('Test catalog'!$N$2:$N$200,MATCH($Y322,'Test catalog'!$A$2:$A$200,0))),"")</f>
        <v/>
      </c>
      <c r="Q322" s="11">
        <f>IFERROR(IF(INDEX('Test catalog'!$O$2:$O$200,MATCH($Y322,'Test catalog'!$A$2:$A$200,0))="","",INDEX('Test catalog'!$O$2:$O$200,MATCH($Y322,'Test catalog'!$A$2:$A$200,0))),"")</f>
        <v/>
      </c>
      <c r="R322" s="11">
        <f>IFERROR(IF(INDEX('Test catalog'!$P$2:$P$200,MATCH($Y322,'Test catalog'!$A$2:$A$200,0))="","",INDEX('Test catalog'!$P$2:$P$200,MATCH($Y322,'Test catalog'!$A$2:$A$200,0))),"")</f>
        <v/>
      </c>
      <c r="S322" s="14" t="n"/>
      <c r="T322" s="5" t="inlineStr">
        <is>
          <t>N</t>
        </is>
      </c>
      <c r="U322" s="11">
        <f>IFERROR(IF(INDEX('Test catalog'!$Q$2:$Q$200,MATCH($Y322,'Test catalog'!$A$2:$A$200,0))="","",INDEX('Test catalog'!$Q$2:$Q$200,MATCH($Y322,'Test catalog'!$A$2:$A$200,0))),"")</f>
        <v/>
      </c>
      <c r="V322" s="5" t="n"/>
      <c r="W322" s="5" t="n"/>
      <c r="X322" s="5" t="n"/>
      <c r="Y322" s="5" t="inlineStr">
        <is>
          <t>ECOLI</t>
        </is>
      </c>
      <c r="Z322" s="11" t="inlineStr">
        <is>
          <t>USP &lt;1111&gt; oral solid: TAMC, TYMC, absence of E. coli</t>
        </is>
      </c>
    </row>
    <row r="323">
      <c r="A323" s="11" t="inlineStr">
        <is>
          <t>F27</t>
        </is>
      </c>
      <c r="B323" s="11" t="inlineStr">
        <is>
          <t>FP</t>
        </is>
      </c>
      <c r="C323" s="11" t="inlineStr">
        <is>
          <t>Emet-Duo 5/1000 ER; Emet-Duo 10/1000 ER; Emet-Duo 12.5/1000 ER; Emet-Duo 25/1000 ER  |  Metformin Hydrochloride, Empagliflozin [ER]</t>
        </is>
      </c>
      <c r="D323" s="11" t="inlineStr">
        <is>
          <t>Microbial enumeration - TAMC + TYMC (&lt;61&gt; / &lt;2021&gt;)</t>
        </is>
      </c>
      <c r="E323" s="5" t="inlineStr">
        <is>
          <t>Y</t>
        </is>
      </c>
      <c r="F323" s="5" t="n"/>
      <c r="G323" s="11">
        <f>IFERROR(IF(INDEX('Test catalog'!$F$2:$F$200,MATCH($Y323,'Test catalog'!$A$2:$A$200,0))="","",INDEX('Test catalog'!$F$2:$F$200,MATCH($Y323,'Test catalog'!$A$2:$A$200,0))),"")</f>
        <v/>
      </c>
      <c r="H323" s="11">
        <f>IFERROR(IF(INDEX('Test catalog'!$G$2:$G$200,MATCH($Y323,'Test catalog'!$A$2:$A$200,0))="","",INDEX('Test catalog'!$G$2:$G$200,MATCH($Y323,'Test catalog'!$A$2:$A$200,0))),"")</f>
        <v/>
      </c>
      <c r="I323" s="11">
        <f>IFERROR(IF(INDEX('Test catalog'!$H$2:$H$200,MATCH($Y323,'Test catalog'!$A$2:$A$200,0))="","",INDEX('Test catalog'!$H$2:$H$200,MATCH($Y323,'Test catalog'!$A$2:$A$200,0))),"")</f>
        <v/>
      </c>
      <c r="J323" s="11">
        <f>IFERROR(IF(INDEX('Test catalog'!$I$2:$I$200,MATCH($Y323,'Test catalog'!$A$2:$A$200,0))="","",INDEX('Test catalog'!$I$2:$I$200,MATCH($Y323,'Test catalog'!$A$2:$A$200,0))),"")</f>
        <v/>
      </c>
      <c r="K323" s="13">
        <f>IF(I323="","",IF(OR(H323="",J323=""),I323,(H323+4*I323+J323)/6))</f>
        <v/>
      </c>
      <c r="L323" s="11">
        <f>IFERROR(IF(INDEX('Test catalog'!$J$2:$J$200,MATCH($Y323,'Test catalog'!$A$2:$A$200,0))="","",INDEX('Test catalog'!$J$2:$J$200,MATCH($Y323,'Test catalog'!$A$2:$A$200,0))),"")</f>
        <v/>
      </c>
      <c r="M323" s="11">
        <f>IFERROR(IF(INDEX('Test catalog'!$K$2:$K$200,MATCH($Y323,'Test catalog'!$A$2:$A$200,0))="","",INDEX('Test catalog'!$K$2:$K$200,MATCH($Y323,'Test catalog'!$A$2:$A$200,0))),"")</f>
        <v/>
      </c>
      <c r="N323" s="11">
        <f>IFERROR(IF(INDEX('Test catalog'!$L$2:$L$200,MATCH($Y323,'Test catalog'!$A$2:$A$200,0))="","",INDEX('Test catalog'!$L$2:$L$200,MATCH($Y323,'Test catalog'!$A$2:$A$200,0))),"")</f>
        <v/>
      </c>
      <c r="O323" s="11">
        <f>IFERROR(IF(INDEX('Test catalog'!$M$2:$M$200,MATCH($Y323,'Test catalog'!$A$2:$A$200,0))="","",INDEX('Test catalog'!$M$2:$M$200,MATCH($Y323,'Test catalog'!$A$2:$A$200,0))),"")</f>
        <v/>
      </c>
      <c r="P323" s="11">
        <f>IFERROR(IF(INDEX('Test catalog'!$N$2:$N$200,MATCH($Y323,'Test catalog'!$A$2:$A$200,0))="","",INDEX('Test catalog'!$N$2:$N$200,MATCH($Y323,'Test catalog'!$A$2:$A$200,0))),"")</f>
        <v/>
      </c>
      <c r="Q323" s="11">
        <f>IFERROR(IF(INDEX('Test catalog'!$O$2:$O$200,MATCH($Y323,'Test catalog'!$A$2:$A$200,0))="","",INDEX('Test catalog'!$O$2:$O$200,MATCH($Y323,'Test catalog'!$A$2:$A$200,0))),"")</f>
        <v/>
      </c>
      <c r="R323" s="11">
        <f>IFERROR(IF(INDEX('Test catalog'!$P$2:$P$200,MATCH($Y323,'Test catalog'!$A$2:$A$200,0))="","",INDEX('Test catalog'!$P$2:$P$200,MATCH($Y323,'Test catalog'!$A$2:$A$200,0))),"")</f>
        <v/>
      </c>
      <c r="S323" s="14" t="n"/>
      <c r="T323" s="5" t="inlineStr">
        <is>
          <t>Y</t>
        </is>
      </c>
      <c r="U323" s="11">
        <f>IFERROR(IF(INDEX('Test catalog'!$Q$2:$Q$200,MATCH($Y323,'Test catalog'!$A$2:$A$200,0))="","",INDEX('Test catalog'!$Q$2:$Q$200,MATCH($Y323,'Test catalog'!$A$2:$A$200,0))),"")</f>
        <v/>
      </c>
      <c r="V323" s="5" t="n"/>
      <c r="W323" s="5" t="n"/>
      <c r="X323" s="5" t="n"/>
      <c r="Y323" s="5" t="inlineStr">
        <is>
          <t>ENUM</t>
        </is>
      </c>
      <c r="Z323" s="11" t="inlineStr">
        <is>
          <t>USP &lt;1111&gt; oral solid: TAMC, TYMC, absence of E. coli</t>
        </is>
      </c>
    </row>
    <row r="324">
      <c r="A324" s="11" t="inlineStr">
        <is>
          <t>F27</t>
        </is>
      </c>
      <c r="B324" s="11" t="inlineStr">
        <is>
          <t>FP</t>
        </is>
      </c>
      <c r="C324" s="11" t="inlineStr">
        <is>
          <t>Emet-Duo 5/1000 ER; Emet-Duo 10/1000 ER; Emet-Duo 12.5/1000 ER; Emet-Duo 25/1000 ER  |  Metformin Hydrochloride, Empagliflozin [ER]</t>
        </is>
      </c>
      <c r="D324" s="11" t="inlineStr">
        <is>
          <t>Absence of Escherichia coli (&lt;62&gt; / &lt;2022&gt;)</t>
        </is>
      </c>
      <c r="E324" s="5" t="inlineStr">
        <is>
          <t>Y</t>
        </is>
      </c>
      <c r="F324" s="5" t="n"/>
      <c r="G324" s="11">
        <f>IFERROR(IF(INDEX('Test catalog'!$F$2:$F$200,MATCH($Y324,'Test catalog'!$A$2:$A$200,0))="","",INDEX('Test catalog'!$F$2:$F$200,MATCH($Y324,'Test catalog'!$A$2:$A$200,0))),"")</f>
        <v/>
      </c>
      <c r="H324" s="11">
        <f>IFERROR(IF(INDEX('Test catalog'!$G$2:$G$200,MATCH($Y324,'Test catalog'!$A$2:$A$200,0))="","",INDEX('Test catalog'!$G$2:$G$200,MATCH($Y324,'Test catalog'!$A$2:$A$200,0))),"")</f>
        <v/>
      </c>
      <c r="I324" s="11">
        <f>IFERROR(IF(INDEX('Test catalog'!$H$2:$H$200,MATCH($Y324,'Test catalog'!$A$2:$A$200,0))="","",INDEX('Test catalog'!$H$2:$H$200,MATCH($Y324,'Test catalog'!$A$2:$A$200,0))),"")</f>
        <v/>
      </c>
      <c r="J324" s="11">
        <f>IFERROR(IF(INDEX('Test catalog'!$I$2:$I$200,MATCH($Y324,'Test catalog'!$A$2:$A$200,0))="","",INDEX('Test catalog'!$I$2:$I$200,MATCH($Y324,'Test catalog'!$A$2:$A$200,0))),"")</f>
        <v/>
      </c>
      <c r="K324" s="13">
        <f>IF(I324="","",IF(OR(H324="",J324=""),I324,(H324+4*I324+J324)/6))</f>
        <v/>
      </c>
      <c r="L324" s="11">
        <f>IFERROR(IF(INDEX('Test catalog'!$J$2:$J$200,MATCH($Y324,'Test catalog'!$A$2:$A$200,0))="","",INDEX('Test catalog'!$J$2:$J$200,MATCH($Y324,'Test catalog'!$A$2:$A$200,0))),"")</f>
        <v/>
      </c>
      <c r="M324" s="11">
        <f>IFERROR(IF(INDEX('Test catalog'!$K$2:$K$200,MATCH($Y324,'Test catalog'!$A$2:$A$200,0))="","",INDEX('Test catalog'!$K$2:$K$200,MATCH($Y324,'Test catalog'!$A$2:$A$200,0))),"")</f>
        <v/>
      </c>
      <c r="N324" s="11">
        <f>IFERROR(IF(INDEX('Test catalog'!$L$2:$L$200,MATCH($Y324,'Test catalog'!$A$2:$A$200,0))="","",INDEX('Test catalog'!$L$2:$L$200,MATCH($Y324,'Test catalog'!$A$2:$A$200,0))),"")</f>
        <v/>
      </c>
      <c r="O324" s="11">
        <f>IFERROR(IF(INDEX('Test catalog'!$M$2:$M$200,MATCH($Y324,'Test catalog'!$A$2:$A$200,0))="","",INDEX('Test catalog'!$M$2:$M$200,MATCH($Y324,'Test catalog'!$A$2:$A$200,0))),"")</f>
        <v/>
      </c>
      <c r="P324" s="11">
        <f>IFERROR(IF(INDEX('Test catalog'!$N$2:$N$200,MATCH($Y324,'Test catalog'!$A$2:$A$200,0))="","",INDEX('Test catalog'!$N$2:$N$200,MATCH($Y324,'Test catalog'!$A$2:$A$200,0))),"")</f>
        <v/>
      </c>
      <c r="Q324" s="11">
        <f>IFERROR(IF(INDEX('Test catalog'!$O$2:$O$200,MATCH($Y324,'Test catalog'!$A$2:$A$200,0))="","",INDEX('Test catalog'!$O$2:$O$200,MATCH($Y324,'Test catalog'!$A$2:$A$200,0))),"")</f>
        <v/>
      </c>
      <c r="R324" s="11">
        <f>IFERROR(IF(INDEX('Test catalog'!$P$2:$P$200,MATCH($Y324,'Test catalog'!$A$2:$A$200,0))="","",INDEX('Test catalog'!$P$2:$P$200,MATCH($Y324,'Test catalog'!$A$2:$A$200,0))),"")</f>
        <v/>
      </c>
      <c r="S324" s="14" t="n"/>
      <c r="T324" s="5" t="inlineStr">
        <is>
          <t>N</t>
        </is>
      </c>
      <c r="U324" s="11">
        <f>IFERROR(IF(INDEX('Test catalog'!$Q$2:$Q$200,MATCH($Y324,'Test catalog'!$A$2:$A$200,0))="","",INDEX('Test catalog'!$Q$2:$Q$200,MATCH($Y324,'Test catalog'!$A$2:$A$200,0))),"")</f>
        <v/>
      </c>
      <c r="V324" s="5" t="n"/>
      <c r="W324" s="5" t="n"/>
      <c r="X324" s="5" t="n"/>
      <c r="Y324" s="5" t="inlineStr">
        <is>
          <t>ECOLI</t>
        </is>
      </c>
      <c r="Z324" s="11" t="inlineStr">
        <is>
          <t>USP &lt;1111&gt; oral solid: TAMC, TYMC, absence of E. coli</t>
        </is>
      </c>
    </row>
    <row r="325">
      <c r="A325" s="11" t="inlineStr">
        <is>
          <t>F28</t>
        </is>
      </c>
      <c r="B325" s="11" t="inlineStr">
        <is>
          <t>FP</t>
        </is>
      </c>
      <c r="C325" s="11" t="inlineStr">
        <is>
          <t>Emet-Duo 12.5/1000; Emet-Duo 5/1000; Emet-Duo 12.5/500; Emet-Duo 5/500  |  Empagliflozin, Metformin Hydrochloride</t>
        </is>
      </c>
      <c r="D325" s="11" t="inlineStr">
        <is>
          <t>Microbial enumeration - TAMC + TYMC (&lt;61&gt; / &lt;2021&gt;)</t>
        </is>
      </c>
      <c r="E325" s="5" t="inlineStr">
        <is>
          <t>Y</t>
        </is>
      </c>
      <c r="F325" s="5" t="n"/>
      <c r="G325" s="11">
        <f>IFERROR(IF(INDEX('Test catalog'!$F$2:$F$200,MATCH($Y325,'Test catalog'!$A$2:$A$200,0))="","",INDEX('Test catalog'!$F$2:$F$200,MATCH($Y325,'Test catalog'!$A$2:$A$200,0))),"")</f>
        <v/>
      </c>
      <c r="H325" s="11">
        <f>IFERROR(IF(INDEX('Test catalog'!$G$2:$G$200,MATCH($Y325,'Test catalog'!$A$2:$A$200,0))="","",INDEX('Test catalog'!$G$2:$G$200,MATCH($Y325,'Test catalog'!$A$2:$A$200,0))),"")</f>
        <v/>
      </c>
      <c r="I325" s="11">
        <f>IFERROR(IF(INDEX('Test catalog'!$H$2:$H$200,MATCH($Y325,'Test catalog'!$A$2:$A$200,0))="","",INDEX('Test catalog'!$H$2:$H$200,MATCH($Y325,'Test catalog'!$A$2:$A$200,0))),"")</f>
        <v/>
      </c>
      <c r="J325" s="11">
        <f>IFERROR(IF(INDEX('Test catalog'!$I$2:$I$200,MATCH($Y325,'Test catalog'!$A$2:$A$200,0))="","",INDEX('Test catalog'!$I$2:$I$200,MATCH($Y325,'Test catalog'!$A$2:$A$200,0))),"")</f>
        <v/>
      </c>
      <c r="K325" s="13">
        <f>IF(I325="","",IF(OR(H325="",J325=""),I325,(H325+4*I325+J325)/6))</f>
        <v/>
      </c>
      <c r="L325" s="11">
        <f>IFERROR(IF(INDEX('Test catalog'!$J$2:$J$200,MATCH($Y325,'Test catalog'!$A$2:$A$200,0))="","",INDEX('Test catalog'!$J$2:$J$200,MATCH($Y325,'Test catalog'!$A$2:$A$200,0))),"")</f>
        <v/>
      </c>
      <c r="M325" s="11">
        <f>IFERROR(IF(INDEX('Test catalog'!$K$2:$K$200,MATCH($Y325,'Test catalog'!$A$2:$A$200,0))="","",INDEX('Test catalog'!$K$2:$K$200,MATCH($Y325,'Test catalog'!$A$2:$A$200,0))),"")</f>
        <v/>
      </c>
      <c r="N325" s="11">
        <f>IFERROR(IF(INDEX('Test catalog'!$L$2:$L$200,MATCH($Y325,'Test catalog'!$A$2:$A$200,0))="","",INDEX('Test catalog'!$L$2:$L$200,MATCH($Y325,'Test catalog'!$A$2:$A$200,0))),"")</f>
        <v/>
      </c>
      <c r="O325" s="11">
        <f>IFERROR(IF(INDEX('Test catalog'!$M$2:$M$200,MATCH($Y325,'Test catalog'!$A$2:$A$200,0))="","",INDEX('Test catalog'!$M$2:$M$200,MATCH($Y325,'Test catalog'!$A$2:$A$200,0))),"")</f>
        <v/>
      </c>
      <c r="P325" s="11">
        <f>IFERROR(IF(INDEX('Test catalog'!$N$2:$N$200,MATCH($Y325,'Test catalog'!$A$2:$A$200,0))="","",INDEX('Test catalog'!$N$2:$N$200,MATCH($Y325,'Test catalog'!$A$2:$A$200,0))),"")</f>
        <v/>
      </c>
      <c r="Q325" s="11">
        <f>IFERROR(IF(INDEX('Test catalog'!$O$2:$O$200,MATCH($Y325,'Test catalog'!$A$2:$A$200,0))="","",INDEX('Test catalog'!$O$2:$O$200,MATCH($Y325,'Test catalog'!$A$2:$A$200,0))),"")</f>
        <v/>
      </c>
      <c r="R325" s="11">
        <f>IFERROR(IF(INDEX('Test catalog'!$P$2:$P$200,MATCH($Y325,'Test catalog'!$A$2:$A$200,0))="","",INDEX('Test catalog'!$P$2:$P$200,MATCH($Y325,'Test catalog'!$A$2:$A$200,0))),"")</f>
        <v/>
      </c>
      <c r="S325" s="14" t="n"/>
      <c r="T325" s="5" t="inlineStr">
        <is>
          <t>Y</t>
        </is>
      </c>
      <c r="U325" s="11">
        <f>IFERROR(IF(INDEX('Test catalog'!$Q$2:$Q$200,MATCH($Y325,'Test catalog'!$A$2:$A$200,0))="","",INDEX('Test catalog'!$Q$2:$Q$200,MATCH($Y325,'Test catalog'!$A$2:$A$200,0))),"")</f>
        <v/>
      </c>
      <c r="V325" s="5" t="n"/>
      <c r="W325" s="5" t="n"/>
      <c r="X325" s="5" t="n"/>
      <c r="Y325" s="5" t="inlineStr">
        <is>
          <t>ENUM</t>
        </is>
      </c>
      <c r="Z325" s="11" t="inlineStr">
        <is>
          <t>USP &lt;1111&gt; oral solid: TAMC, TYMC, absence of E. coli</t>
        </is>
      </c>
    </row>
    <row r="326">
      <c r="A326" s="11" t="inlineStr">
        <is>
          <t>F28</t>
        </is>
      </c>
      <c r="B326" s="11" t="inlineStr">
        <is>
          <t>FP</t>
        </is>
      </c>
      <c r="C326" s="11" t="inlineStr">
        <is>
          <t>Emet-Duo 12.5/1000; Emet-Duo 5/1000; Emet-Duo 12.5/500; Emet-Duo 5/500  |  Empagliflozin, Metformin Hydrochloride</t>
        </is>
      </c>
      <c r="D326" s="11" t="inlineStr">
        <is>
          <t>Absence of Escherichia coli (&lt;62&gt; / &lt;2022&gt;)</t>
        </is>
      </c>
      <c r="E326" s="5" t="inlineStr">
        <is>
          <t>Y</t>
        </is>
      </c>
      <c r="F326" s="5" t="n"/>
      <c r="G326" s="11">
        <f>IFERROR(IF(INDEX('Test catalog'!$F$2:$F$200,MATCH($Y326,'Test catalog'!$A$2:$A$200,0))="","",INDEX('Test catalog'!$F$2:$F$200,MATCH($Y326,'Test catalog'!$A$2:$A$200,0))),"")</f>
        <v/>
      </c>
      <c r="H326" s="11">
        <f>IFERROR(IF(INDEX('Test catalog'!$G$2:$G$200,MATCH($Y326,'Test catalog'!$A$2:$A$200,0))="","",INDEX('Test catalog'!$G$2:$G$200,MATCH($Y326,'Test catalog'!$A$2:$A$200,0))),"")</f>
        <v/>
      </c>
      <c r="I326" s="11">
        <f>IFERROR(IF(INDEX('Test catalog'!$H$2:$H$200,MATCH($Y326,'Test catalog'!$A$2:$A$200,0))="","",INDEX('Test catalog'!$H$2:$H$200,MATCH($Y326,'Test catalog'!$A$2:$A$200,0))),"")</f>
        <v/>
      </c>
      <c r="J326" s="11">
        <f>IFERROR(IF(INDEX('Test catalog'!$I$2:$I$200,MATCH($Y326,'Test catalog'!$A$2:$A$200,0))="","",INDEX('Test catalog'!$I$2:$I$200,MATCH($Y326,'Test catalog'!$A$2:$A$200,0))),"")</f>
        <v/>
      </c>
      <c r="K326" s="13">
        <f>IF(I326="","",IF(OR(H326="",J326=""),I326,(H326+4*I326+J326)/6))</f>
        <v/>
      </c>
      <c r="L326" s="11">
        <f>IFERROR(IF(INDEX('Test catalog'!$J$2:$J$200,MATCH($Y326,'Test catalog'!$A$2:$A$200,0))="","",INDEX('Test catalog'!$J$2:$J$200,MATCH($Y326,'Test catalog'!$A$2:$A$200,0))),"")</f>
        <v/>
      </c>
      <c r="M326" s="11">
        <f>IFERROR(IF(INDEX('Test catalog'!$K$2:$K$200,MATCH($Y326,'Test catalog'!$A$2:$A$200,0))="","",INDEX('Test catalog'!$K$2:$K$200,MATCH($Y326,'Test catalog'!$A$2:$A$200,0))),"")</f>
        <v/>
      </c>
      <c r="N326" s="11">
        <f>IFERROR(IF(INDEX('Test catalog'!$L$2:$L$200,MATCH($Y326,'Test catalog'!$A$2:$A$200,0))="","",INDEX('Test catalog'!$L$2:$L$200,MATCH($Y326,'Test catalog'!$A$2:$A$200,0))),"")</f>
        <v/>
      </c>
      <c r="O326" s="11">
        <f>IFERROR(IF(INDEX('Test catalog'!$M$2:$M$200,MATCH($Y326,'Test catalog'!$A$2:$A$200,0))="","",INDEX('Test catalog'!$M$2:$M$200,MATCH($Y326,'Test catalog'!$A$2:$A$200,0))),"")</f>
        <v/>
      </c>
      <c r="P326" s="11">
        <f>IFERROR(IF(INDEX('Test catalog'!$N$2:$N$200,MATCH($Y326,'Test catalog'!$A$2:$A$200,0))="","",INDEX('Test catalog'!$N$2:$N$200,MATCH($Y326,'Test catalog'!$A$2:$A$200,0))),"")</f>
        <v/>
      </c>
      <c r="Q326" s="11">
        <f>IFERROR(IF(INDEX('Test catalog'!$O$2:$O$200,MATCH($Y326,'Test catalog'!$A$2:$A$200,0))="","",INDEX('Test catalog'!$O$2:$O$200,MATCH($Y326,'Test catalog'!$A$2:$A$200,0))),"")</f>
        <v/>
      </c>
      <c r="R326" s="11">
        <f>IFERROR(IF(INDEX('Test catalog'!$P$2:$P$200,MATCH($Y326,'Test catalog'!$A$2:$A$200,0))="","",INDEX('Test catalog'!$P$2:$P$200,MATCH($Y326,'Test catalog'!$A$2:$A$200,0))),"")</f>
        <v/>
      </c>
      <c r="S326" s="14" t="n"/>
      <c r="T326" s="5" t="inlineStr">
        <is>
          <t>N</t>
        </is>
      </c>
      <c r="U326" s="11">
        <f>IFERROR(IF(INDEX('Test catalog'!$Q$2:$Q$200,MATCH($Y326,'Test catalog'!$A$2:$A$200,0))="","",INDEX('Test catalog'!$Q$2:$Q$200,MATCH($Y326,'Test catalog'!$A$2:$A$200,0))),"")</f>
        <v/>
      </c>
      <c r="V326" s="5" t="n"/>
      <c r="W326" s="5" t="n"/>
      <c r="X326" s="5" t="n"/>
      <c r="Y326" s="5" t="inlineStr">
        <is>
          <t>ECOLI</t>
        </is>
      </c>
      <c r="Z326" s="11" t="inlineStr">
        <is>
          <t>USP &lt;1111&gt; oral solid: TAMC, TYMC, absence of E. coli</t>
        </is>
      </c>
    </row>
    <row r="327">
      <c r="A327" s="11" t="inlineStr">
        <is>
          <t>F29</t>
        </is>
      </c>
      <c r="B327" s="11" t="inlineStr">
        <is>
          <t>FP</t>
        </is>
      </c>
      <c r="C327" s="11" t="inlineStr">
        <is>
          <t>Citicoline 500  |  Citicoline Sodium</t>
        </is>
      </c>
      <c r="D327" s="11" t="inlineStr">
        <is>
          <t>Microbial enumeration - TAMC + TYMC (&lt;61&gt; / &lt;2021&gt;)</t>
        </is>
      </c>
      <c r="E327" s="5" t="inlineStr">
        <is>
          <t>Y</t>
        </is>
      </c>
      <c r="F327" s="5" t="n"/>
      <c r="G327" s="11">
        <f>IFERROR(IF(INDEX('Test catalog'!$F$2:$F$200,MATCH($Y327,'Test catalog'!$A$2:$A$200,0))="","",INDEX('Test catalog'!$F$2:$F$200,MATCH($Y327,'Test catalog'!$A$2:$A$200,0))),"")</f>
        <v/>
      </c>
      <c r="H327" s="11">
        <f>IFERROR(IF(INDEX('Test catalog'!$G$2:$G$200,MATCH($Y327,'Test catalog'!$A$2:$A$200,0))="","",INDEX('Test catalog'!$G$2:$G$200,MATCH($Y327,'Test catalog'!$A$2:$A$200,0))),"")</f>
        <v/>
      </c>
      <c r="I327" s="11">
        <f>IFERROR(IF(INDEX('Test catalog'!$H$2:$H$200,MATCH($Y327,'Test catalog'!$A$2:$A$200,0))="","",INDEX('Test catalog'!$H$2:$H$200,MATCH($Y327,'Test catalog'!$A$2:$A$200,0))),"")</f>
        <v/>
      </c>
      <c r="J327" s="11">
        <f>IFERROR(IF(INDEX('Test catalog'!$I$2:$I$200,MATCH($Y327,'Test catalog'!$A$2:$A$200,0))="","",INDEX('Test catalog'!$I$2:$I$200,MATCH($Y327,'Test catalog'!$A$2:$A$200,0))),"")</f>
        <v/>
      </c>
      <c r="K327" s="13">
        <f>IF(I327="","",IF(OR(H327="",J327=""),I327,(H327+4*I327+J327)/6))</f>
        <v/>
      </c>
      <c r="L327" s="11">
        <f>IFERROR(IF(INDEX('Test catalog'!$J$2:$J$200,MATCH($Y327,'Test catalog'!$A$2:$A$200,0))="","",INDEX('Test catalog'!$J$2:$J$200,MATCH($Y327,'Test catalog'!$A$2:$A$200,0))),"")</f>
        <v/>
      </c>
      <c r="M327" s="11">
        <f>IFERROR(IF(INDEX('Test catalog'!$K$2:$K$200,MATCH($Y327,'Test catalog'!$A$2:$A$200,0))="","",INDEX('Test catalog'!$K$2:$K$200,MATCH($Y327,'Test catalog'!$A$2:$A$200,0))),"")</f>
        <v/>
      </c>
      <c r="N327" s="11">
        <f>IFERROR(IF(INDEX('Test catalog'!$L$2:$L$200,MATCH($Y327,'Test catalog'!$A$2:$A$200,0))="","",INDEX('Test catalog'!$L$2:$L$200,MATCH($Y327,'Test catalog'!$A$2:$A$200,0))),"")</f>
        <v/>
      </c>
      <c r="O327" s="11">
        <f>IFERROR(IF(INDEX('Test catalog'!$M$2:$M$200,MATCH($Y327,'Test catalog'!$A$2:$A$200,0))="","",INDEX('Test catalog'!$M$2:$M$200,MATCH($Y327,'Test catalog'!$A$2:$A$200,0))),"")</f>
        <v/>
      </c>
      <c r="P327" s="11">
        <f>IFERROR(IF(INDEX('Test catalog'!$N$2:$N$200,MATCH($Y327,'Test catalog'!$A$2:$A$200,0))="","",INDEX('Test catalog'!$N$2:$N$200,MATCH($Y327,'Test catalog'!$A$2:$A$200,0))),"")</f>
        <v/>
      </c>
      <c r="Q327" s="11">
        <f>IFERROR(IF(INDEX('Test catalog'!$O$2:$O$200,MATCH($Y327,'Test catalog'!$A$2:$A$200,0))="","",INDEX('Test catalog'!$O$2:$O$200,MATCH($Y327,'Test catalog'!$A$2:$A$200,0))),"")</f>
        <v/>
      </c>
      <c r="R327" s="11">
        <f>IFERROR(IF(INDEX('Test catalog'!$P$2:$P$200,MATCH($Y327,'Test catalog'!$A$2:$A$200,0))="","",INDEX('Test catalog'!$P$2:$P$200,MATCH($Y327,'Test catalog'!$A$2:$A$200,0))),"")</f>
        <v/>
      </c>
      <c r="S327" s="14" t="n"/>
      <c r="T327" s="5" t="inlineStr">
        <is>
          <t>Y</t>
        </is>
      </c>
      <c r="U327" s="11">
        <f>IFERROR(IF(INDEX('Test catalog'!$Q$2:$Q$200,MATCH($Y327,'Test catalog'!$A$2:$A$200,0))="","",INDEX('Test catalog'!$Q$2:$Q$200,MATCH($Y327,'Test catalog'!$A$2:$A$200,0))),"")</f>
        <v/>
      </c>
      <c r="V327" s="5" t="n"/>
      <c r="W327" s="5" t="n"/>
      <c r="X327" s="5" t="n"/>
      <c r="Y327" s="5" t="inlineStr">
        <is>
          <t>ENUM</t>
        </is>
      </c>
      <c r="Z327" s="11" t="inlineStr">
        <is>
          <t>USP &lt;1111&gt; oral solid: TAMC, TYMC, absence of E. coli</t>
        </is>
      </c>
    </row>
    <row r="328">
      <c r="A328" s="11" t="inlineStr">
        <is>
          <t>F29</t>
        </is>
      </c>
      <c r="B328" s="11" t="inlineStr">
        <is>
          <t>FP</t>
        </is>
      </c>
      <c r="C328" s="11" t="inlineStr">
        <is>
          <t>Citicoline 500  |  Citicoline Sodium</t>
        </is>
      </c>
      <c r="D328" s="11" t="inlineStr">
        <is>
          <t>Absence of Escherichia coli (&lt;62&gt; / &lt;2022&gt;)</t>
        </is>
      </c>
      <c r="E328" s="5" t="inlineStr">
        <is>
          <t>Y</t>
        </is>
      </c>
      <c r="F328" s="5" t="n"/>
      <c r="G328" s="11">
        <f>IFERROR(IF(INDEX('Test catalog'!$F$2:$F$200,MATCH($Y328,'Test catalog'!$A$2:$A$200,0))="","",INDEX('Test catalog'!$F$2:$F$200,MATCH($Y328,'Test catalog'!$A$2:$A$200,0))),"")</f>
        <v/>
      </c>
      <c r="H328" s="11">
        <f>IFERROR(IF(INDEX('Test catalog'!$G$2:$G$200,MATCH($Y328,'Test catalog'!$A$2:$A$200,0))="","",INDEX('Test catalog'!$G$2:$G$200,MATCH($Y328,'Test catalog'!$A$2:$A$200,0))),"")</f>
        <v/>
      </c>
      <c r="I328" s="11">
        <f>IFERROR(IF(INDEX('Test catalog'!$H$2:$H$200,MATCH($Y328,'Test catalog'!$A$2:$A$200,0))="","",INDEX('Test catalog'!$H$2:$H$200,MATCH($Y328,'Test catalog'!$A$2:$A$200,0))),"")</f>
        <v/>
      </c>
      <c r="J328" s="11">
        <f>IFERROR(IF(INDEX('Test catalog'!$I$2:$I$200,MATCH($Y328,'Test catalog'!$A$2:$A$200,0))="","",INDEX('Test catalog'!$I$2:$I$200,MATCH($Y328,'Test catalog'!$A$2:$A$200,0))),"")</f>
        <v/>
      </c>
      <c r="K328" s="13">
        <f>IF(I328="","",IF(OR(H328="",J328=""),I328,(H328+4*I328+J328)/6))</f>
        <v/>
      </c>
      <c r="L328" s="11">
        <f>IFERROR(IF(INDEX('Test catalog'!$J$2:$J$200,MATCH($Y328,'Test catalog'!$A$2:$A$200,0))="","",INDEX('Test catalog'!$J$2:$J$200,MATCH($Y328,'Test catalog'!$A$2:$A$200,0))),"")</f>
        <v/>
      </c>
      <c r="M328" s="11">
        <f>IFERROR(IF(INDEX('Test catalog'!$K$2:$K$200,MATCH($Y328,'Test catalog'!$A$2:$A$200,0))="","",INDEX('Test catalog'!$K$2:$K$200,MATCH($Y328,'Test catalog'!$A$2:$A$200,0))),"")</f>
        <v/>
      </c>
      <c r="N328" s="11">
        <f>IFERROR(IF(INDEX('Test catalog'!$L$2:$L$200,MATCH($Y328,'Test catalog'!$A$2:$A$200,0))="","",INDEX('Test catalog'!$L$2:$L$200,MATCH($Y328,'Test catalog'!$A$2:$A$200,0))),"")</f>
        <v/>
      </c>
      <c r="O328" s="11">
        <f>IFERROR(IF(INDEX('Test catalog'!$M$2:$M$200,MATCH($Y328,'Test catalog'!$A$2:$A$200,0))="","",INDEX('Test catalog'!$M$2:$M$200,MATCH($Y328,'Test catalog'!$A$2:$A$200,0))),"")</f>
        <v/>
      </c>
      <c r="P328" s="11">
        <f>IFERROR(IF(INDEX('Test catalog'!$N$2:$N$200,MATCH($Y328,'Test catalog'!$A$2:$A$200,0))="","",INDEX('Test catalog'!$N$2:$N$200,MATCH($Y328,'Test catalog'!$A$2:$A$200,0))),"")</f>
        <v/>
      </c>
      <c r="Q328" s="11">
        <f>IFERROR(IF(INDEX('Test catalog'!$O$2:$O$200,MATCH($Y328,'Test catalog'!$A$2:$A$200,0))="","",INDEX('Test catalog'!$O$2:$O$200,MATCH($Y328,'Test catalog'!$A$2:$A$200,0))),"")</f>
        <v/>
      </c>
      <c r="R328" s="11">
        <f>IFERROR(IF(INDEX('Test catalog'!$P$2:$P$200,MATCH($Y328,'Test catalog'!$A$2:$A$200,0))="","",INDEX('Test catalog'!$P$2:$P$200,MATCH($Y328,'Test catalog'!$A$2:$A$200,0))),"")</f>
        <v/>
      </c>
      <c r="S328" s="14" t="n"/>
      <c r="T328" s="5" t="inlineStr">
        <is>
          <t>N</t>
        </is>
      </c>
      <c r="U328" s="11">
        <f>IFERROR(IF(INDEX('Test catalog'!$Q$2:$Q$200,MATCH($Y328,'Test catalog'!$A$2:$A$200,0))="","",INDEX('Test catalog'!$Q$2:$Q$200,MATCH($Y328,'Test catalog'!$A$2:$A$200,0))),"")</f>
        <v/>
      </c>
      <c r="V328" s="5" t="n"/>
      <c r="W328" s="5" t="n"/>
      <c r="X328" s="5" t="n"/>
      <c r="Y328" s="5" t="inlineStr">
        <is>
          <t>ECOLI</t>
        </is>
      </c>
      <c r="Z328" s="11" t="inlineStr">
        <is>
          <t>USP &lt;1111&gt; oral solid: TAMC, TYMC, absence of E. coli</t>
        </is>
      </c>
    </row>
    <row r="329">
      <c r="A329" s="11" t="inlineStr">
        <is>
          <t>F30</t>
        </is>
      </c>
      <c r="B329" s="11" t="inlineStr">
        <is>
          <t>FP</t>
        </is>
      </c>
      <c r="C329" s="11" t="inlineStr">
        <is>
          <t>NMN  |  Nicotinamide Mononucleotide (NMN) Granule</t>
        </is>
      </c>
      <c r="D329" s="11" t="inlineStr">
        <is>
          <t>Microbial enumeration - TAMC + TYMC (&lt;61&gt; / &lt;2021&gt;)</t>
        </is>
      </c>
      <c r="E329" s="5" t="inlineStr">
        <is>
          <t>Y</t>
        </is>
      </c>
      <c r="F329" s="5" t="n"/>
      <c r="G329" s="11">
        <f>IFERROR(IF(INDEX('Test catalog'!$F$2:$F$200,MATCH($Y329,'Test catalog'!$A$2:$A$200,0))="","",INDEX('Test catalog'!$F$2:$F$200,MATCH($Y329,'Test catalog'!$A$2:$A$200,0))),"")</f>
        <v/>
      </c>
      <c r="H329" s="11">
        <f>IFERROR(IF(INDEX('Test catalog'!$G$2:$G$200,MATCH($Y329,'Test catalog'!$A$2:$A$200,0))="","",INDEX('Test catalog'!$G$2:$G$200,MATCH($Y329,'Test catalog'!$A$2:$A$200,0))),"")</f>
        <v/>
      </c>
      <c r="I329" s="11">
        <f>IFERROR(IF(INDEX('Test catalog'!$H$2:$H$200,MATCH($Y329,'Test catalog'!$A$2:$A$200,0))="","",INDEX('Test catalog'!$H$2:$H$200,MATCH($Y329,'Test catalog'!$A$2:$A$200,0))),"")</f>
        <v/>
      </c>
      <c r="J329" s="11">
        <f>IFERROR(IF(INDEX('Test catalog'!$I$2:$I$200,MATCH($Y329,'Test catalog'!$A$2:$A$200,0))="","",INDEX('Test catalog'!$I$2:$I$200,MATCH($Y329,'Test catalog'!$A$2:$A$200,0))),"")</f>
        <v/>
      </c>
      <c r="K329" s="13">
        <f>IF(I329="","",IF(OR(H329="",J329=""),I329,(H329+4*I329+J329)/6))</f>
        <v/>
      </c>
      <c r="L329" s="11">
        <f>IFERROR(IF(INDEX('Test catalog'!$J$2:$J$200,MATCH($Y329,'Test catalog'!$A$2:$A$200,0))="","",INDEX('Test catalog'!$J$2:$J$200,MATCH($Y329,'Test catalog'!$A$2:$A$200,0))),"")</f>
        <v/>
      </c>
      <c r="M329" s="11">
        <f>IFERROR(IF(INDEX('Test catalog'!$K$2:$K$200,MATCH($Y329,'Test catalog'!$A$2:$A$200,0))="","",INDEX('Test catalog'!$K$2:$K$200,MATCH($Y329,'Test catalog'!$A$2:$A$200,0))),"")</f>
        <v/>
      </c>
      <c r="N329" s="11">
        <f>IFERROR(IF(INDEX('Test catalog'!$L$2:$L$200,MATCH($Y329,'Test catalog'!$A$2:$A$200,0))="","",INDEX('Test catalog'!$L$2:$L$200,MATCH($Y329,'Test catalog'!$A$2:$A$200,0))),"")</f>
        <v/>
      </c>
      <c r="O329" s="11">
        <f>IFERROR(IF(INDEX('Test catalog'!$M$2:$M$200,MATCH($Y329,'Test catalog'!$A$2:$A$200,0))="","",INDEX('Test catalog'!$M$2:$M$200,MATCH($Y329,'Test catalog'!$A$2:$A$200,0))),"")</f>
        <v/>
      </c>
      <c r="P329" s="11">
        <f>IFERROR(IF(INDEX('Test catalog'!$N$2:$N$200,MATCH($Y329,'Test catalog'!$A$2:$A$200,0))="","",INDEX('Test catalog'!$N$2:$N$200,MATCH($Y329,'Test catalog'!$A$2:$A$200,0))),"")</f>
        <v/>
      </c>
      <c r="Q329" s="11">
        <f>IFERROR(IF(INDEX('Test catalog'!$O$2:$O$200,MATCH($Y329,'Test catalog'!$A$2:$A$200,0))="","",INDEX('Test catalog'!$O$2:$O$200,MATCH($Y329,'Test catalog'!$A$2:$A$200,0))),"")</f>
        <v/>
      </c>
      <c r="R329" s="11">
        <f>IFERROR(IF(INDEX('Test catalog'!$P$2:$P$200,MATCH($Y329,'Test catalog'!$A$2:$A$200,0))="","",INDEX('Test catalog'!$P$2:$P$200,MATCH($Y329,'Test catalog'!$A$2:$A$200,0))),"")</f>
        <v/>
      </c>
      <c r="S329" s="14" t="n"/>
      <c r="T329" s="5" t="inlineStr">
        <is>
          <t>Y</t>
        </is>
      </c>
      <c r="U329" s="11">
        <f>IFERROR(IF(INDEX('Test catalog'!$Q$2:$Q$200,MATCH($Y329,'Test catalog'!$A$2:$A$200,0))="","",INDEX('Test catalog'!$Q$2:$Q$200,MATCH($Y329,'Test catalog'!$A$2:$A$200,0))),"")</f>
        <v/>
      </c>
      <c r="V329" s="5" t="n"/>
      <c r="W329" s="5" t="n"/>
      <c r="X329" s="5" t="n"/>
      <c r="Y329" s="5" t="inlineStr">
        <is>
          <t>ENUM</t>
        </is>
      </c>
      <c r="Z329" s="11" t="inlineStr">
        <is>
          <t>USP &lt;1111&gt; oral solid: TAMC, TYMC, absence of E. coli</t>
        </is>
      </c>
    </row>
    <row r="330">
      <c r="A330" s="11" t="inlineStr">
        <is>
          <t>F30</t>
        </is>
      </c>
      <c r="B330" s="11" t="inlineStr">
        <is>
          <t>FP</t>
        </is>
      </c>
      <c r="C330" s="11" t="inlineStr">
        <is>
          <t>NMN  |  Nicotinamide Mononucleotide (NMN) Granule</t>
        </is>
      </c>
      <c r="D330" s="11" t="inlineStr">
        <is>
          <t>Absence of Escherichia coli (&lt;62&gt; / &lt;2022&gt;)</t>
        </is>
      </c>
      <c r="E330" s="5" t="inlineStr">
        <is>
          <t>Y</t>
        </is>
      </c>
      <c r="F330" s="5" t="n"/>
      <c r="G330" s="11">
        <f>IFERROR(IF(INDEX('Test catalog'!$F$2:$F$200,MATCH($Y330,'Test catalog'!$A$2:$A$200,0))="","",INDEX('Test catalog'!$F$2:$F$200,MATCH($Y330,'Test catalog'!$A$2:$A$200,0))),"")</f>
        <v/>
      </c>
      <c r="H330" s="11">
        <f>IFERROR(IF(INDEX('Test catalog'!$G$2:$G$200,MATCH($Y330,'Test catalog'!$A$2:$A$200,0))="","",INDEX('Test catalog'!$G$2:$G$200,MATCH($Y330,'Test catalog'!$A$2:$A$200,0))),"")</f>
        <v/>
      </c>
      <c r="I330" s="11">
        <f>IFERROR(IF(INDEX('Test catalog'!$H$2:$H$200,MATCH($Y330,'Test catalog'!$A$2:$A$200,0))="","",INDEX('Test catalog'!$H$2:$H$200,MATCH($Y330,'Test catalog'!$A$2:$A$200,0))),"")</f>
        <v/>
      </c>
      <c r="J330" s="11">
        <f>IFERROR(IF(INDEX('Test catalog'!$I$2:$I$200,MATCH($Y330,'Test catalog'!$A$2:$A$200,0))="","",INDEX('Test catalog'!$I$2:$I$200,MATCH($Y330,'Test catalog'!$A$2:$A$200,0))),"")</f>
        <v/>
      </c>
      <c r="K330" s="13">
        <f>IF(I330="","",IF(OR(H330="",J330=""),I330,(H330+4*I330+J330)/6))</f>
        <v/>
      </c>
      <c r="L330" s="11">
        <f>IFERROR(IF(INDEX('Test catalog'!$J$2:$J$200,MATCH($Y330,'Test catalog'!$A$2:$A$200,0))="","",INDEX('Test catalog'!$J$2:$J$200,MATCH($Y330,'Test catalog'!$A$2:$A$200,0))),"")</f>
        <v/>
      </c>
      <c r="M330" s="11">
        <f>IFERROR(IF(INDEX('Test catalog'!$K$2:$K$200,MATCH($Y330,'Test catalog'!$A$2:$A$200,0))="","",INDEX('Test catalog'!$K$2:$K$200,MATCH($Y330,'Test catalog'!$A$2:$A$200,0))),"")</f>
        <v/>
      </c>
      <c r="N330" s="11">
        <f>IFERROR(IF(INDEX('Test catalog'!$L$2:$L$200,MATCH($Y330,'Test catalog'!$A$2:$A$200,0))="","",INDEX('Test catalog'!$L$2:$L$200,MATCH($Y330,'Test catalog'!$A$2:$A$200,0))),"")</f>
        <v/>
      </c>
      <c r="O330" s="11">
        <f>IFERROR(IF(INDEX('Test catalog'!$M$2:$M$200,MATCH($Y330,'Test catalog'!$A$2:$A$200,0))="","",INDEX('Test catalog'!$M$2:$M$200,MATCH($Y330,'Test catalog'!$A$2:$A$200,0))),"")</f>
        <v/>
      </c>
      <c r="P330" s="11">
        <f>IFERROR(IF(INDEX('Test catalog'!$N$2:$N$200,MATCH($Y330,'Test catalog'!$A$2:$A$200,0))="","",INDEX('Test catalog'!$N$2:$N$200,MATCH($Y330,'Test catalog'!$A$2:$A$200,0))),"")</f>
        <v/>
      </c>
      <c r="Q330" s="11">
        <f>IFERROR(IF(INDEX('Test catalog'!$O$2:$O$200,MATCH($Y330,'Test catalog'!$A$2:$A$200,0))="","",INDEX('Test catalog'!$O$2:$O$200,MATCH($Y330,'Test catalog'!$A$2:$A$200,0))),"")</f>
        <v/>
      </c>
      <c r="R330" s="11">
        <f>IFERROR(IF(INDEX('Test catalog'!$P$2:$P$200,MATCH($Y330,'Test catalog'!$A$2:$A$200,0))="","",INDEX('Test catalog'!$P$2:$P$200,MATCH($Y330,'Test catalog'!$A$2:$A$200,0))),"")</f>
        <v/>
      </c>
      <c r="S330" s="14" t="n"/>
      <c r="T330" s="5" t="inlineStr">
        <is>
          <t>N</t>
        </is>
      </c>
      <c r="U330" s="11">
        <f>IFERROR(IF(INDEX('Test catalog'!$Q$2:$Q$200,MATCH($Y330,'Test catalog'!$A$2:$A$200,0))="","",INDEX('Test catalog'!$Q$2:$Q$200,MATCH($Y330,'Test catalog'!$A$2:$A$200,0))),"")</f>
        <v/>
      </c>
      <c r="V330" s="5" t="n"/>
      <c r="W330" s="5" t="n"/>
      <c r="X330" s="5" t="n"/>
      <c r="Y330" s="5" t="inlineStr">
        <is>
          <t>ECOLI</t>
        </is>
      </c>
      <c r="Z330" s="11" t="inlineStr">
        <is>
          <t>USP &lt;1111&gt; oral solid: TAMC, TYMC, absence of E. coli</t>
        </is>
      </c>
    </row>
    <row r="331">
      <c r="A331" s="11" t="inlineStr">
        <is>
          <t>F31</t>
        </is>
      </c>
      <c r="B331" s="11" t="inlineStr">
        <is>
          <t>FP</t>
        </is>
      </c>
      <c r="C331" s="11" t="inlineStr">
        <is>
          <t>L-Arginine 1000; L-Arginine 2000  |  L-Arginine</t>
        </is>
      </c>
      <c r="D331" s="11" t="inlineStr">
        <is>
          <t>Microbial enumeration - TAMC + TYMC (&lt;61&gt; / &lt;2021&gt;)</t>
        </is>
      </c>
      <c r="E331" s="5" t="inlineStr">
        <is>
          <t>Y</t>
        </is>
      </c>
      <c r="F331" s="5" t="n"/>
      <c r="G331" s="11">
        <f>IFERROR(IF(INDEX('Test catalog'!$F$2:$F$200,MATCH($Y331,'Test catalog'!$A$2:$A$200,0))="","",INDEX('Test catalog'!$F$2:$F$200,MATCH($Y331,'Test catalog'!$A$2:$A$200,0))),"")</f>
        <v/>
      </c>
      <c r="H331" s="11">
        <f>IFERROR(IF(INDEX('Test catalog'!$G$2:$G$200,MATCH($Y331,'Test catalog'!$A$2:$A$200,0))="","",INDEX('Test catalog'!$G$2:$G$200,MATCH($Y331,'Test catalog'!$A$2:$A$200,0))),"")</f>
        <v/>
      </c>
      <c r="I331" s="11">
        <f>IFERROR(IF(INDEX('Test catalog'!$H$2:$H$200,MATCH($Y331,'Test catalog'!$A$2:$A$200,0))="","",INDEX('Test catalog'!$H$2:$H$200,MATCH($Y331,'Test catalog'!$A$2:$A$200,0))),"")</f>
        <v/>
      </c>
      <c r="J331" s="11">
        <f>IFERROR(IF(INDEX('Test catalog'!$I$2:$I$200,MATCH($Y331,'Test catalog'!$A$2:$A$200,0))="","",INDEX('Test catalog'!$I$2:$I$200,MATCH($Y331,'Test catalog'!$A$2:$A$200,0))),"")</f>
        <v/>
      </c>
      <c r="K331" s="13">
        <f>IF(I331="","",IF(OR(H331="",J331=""),I331,(H331+4*I331+J331)/6))</f>
        <v/>
      </c>
      <c r="L331" s="11">
        <f>IFERROR(IF(INDEX('Test catalog'!$J$2:$J$200,MATCH($Y331,'Test catalog'!$A$2:$A$200,0))="","",INDEX('Test catalog'!$J$2:$J$200,MATCH($Y331,'Test catalog'!$A$2:$A$200,0))),"")</f>
        <v/>
      </c>
      <c r="M331" s="11">
        <f>IFERROR(IF(INDEX('Test catalog'!$K$2:$K$200,MATCH($Y331,'Test catalog'!$A$2:$A$200,0))="","",INDEX('Test catalog'!$K$2:$K$200,MATCH($Y331,'Test catalog'!$A$2:$A$200,0))),"")</f>
        <v/>
      </c>
      <c r="N331" s="11">
        <f>IFERROR(IF(INDEX('Test catalog'!$L$2:$L$200,MATCH($Y331,'Test catalog'!$A$2:$A$200,0))="","",INDEX('Test catalog'!$L$2:$L$200,MATCH($Y331,'Test catalog'!$A$2:$A$200,0))),"")</f>
        <v/>
      </c>
      <c r="O331" s="11">
        <f>IFERROR(IF(INDEX('Test catalog'!$M$2:$M$200,MATCH($Y331,'Test catalog'!$A$2:$A$200,0))="","",INDEX('Test catalog'!$M$2:$M$200,MATCH($Y331,'Test catalog'!$A$2:$A$200,0))),"")</f>
        <v/>
      </c>
      <c r="P331" s="11">
        <f>IFERROR(IF(INDEX('Test catalog'!$N$2:$N$200,MATCH($Y331,'Test catalog'!$A$2:$A$200,0))="","",INDEX('Test catalog'!$N$2:$N$200,MATCH($Y331,'Test catalog'!$A$2:$A$200,0))),"")</f>
        <v/>
      </c>
      <c r="Q331" s="11">
        <f>IFERROR(IF(INDEX('Test catalog'!$O$2:$O$200,MATCH($Y331,'Test catalog'!$A$2:$A$200,0))="","",INDEX('Test catalog'!$O$2:$O$200,MATCH($Y331,'Test catalog'!$A$2:$A$200,0))),"")</f>
        <v/>
      </c>
      <c r="R331" s="11">
        <f>IFERROR(IF(INDEX('Test catalog'!$P$2:$P$200,MATCH($Y331,'Test catalog'!$A$2:$A$200,0))="","",INDEX('Test catalog'!$P$2:$P$200,MATCH($Y331,'Test catalog'!$A$2:$A$200,0))),"")</f>
        <v/>
      </c>
      <c r="S331" s="14" t="n"/>
      <c r="T331" s="5" t="inlineStr">
        <is>
          <t>Y</t>
        </is>
      </c>
      <c r="U331" s="11">
        <f>IFERROR(IF(INDEX('Test catalog'!$Q$2:$Q$200,MATCH($Y331,'Test catalog'!$A$2:$A$200,0))="","",INDEX('Test catalog'!$Q$2:$Q$200,MATCH($Y331,'Test catalog'!$A$2:$A$200,0))),"")</f>
        <v/>
      </c>
      <c r="V331" s="5" t="n"/>
      <c r="W331" s="5" t="n"/>
      <c r="X331" s="5" t="n"/>
      <c r="Y331" s="5" t="inlineStr">
        <is>
          <t>ENUM</t>
        </is>
      </c>
      <c r="Z331" s="11" t="inlineStr">
        <is>
          <t>USP &lt;1111&gt; oral solid: TAMC, TYMC, absence of E. coli</t>
        </is>
      </c>
    </row>
    <row r="332">
      <c r="A332" s="11" t="inlineStr">
        <is>
          <t>F31</t>
        </is>
      </c>
      <c r="B332" s="11" t="inlineStr">
        <is>
          <t>FP</t>
        </is>
      </c>
      <c r="C332" s="11" t="inlineStr">
        <is>
          <t>L-Arginine 1000; L-Arginine 2000  |  L-Arginine</t>
        </is>
      </c>
      <c r="D332" s="11" t="inlineStr">
        <is>
          <t>Absence of Escherichia coli (&lt;62&gt; / &lt;2022&gt;)</t>
        </is>
      </c>
      <c r="E332" s="5" t="inlineStr">
        <is>
          <t>Y</t>
        </is>
      </c>
      <c r="F332" s="5" t="n"/>
      <c r="G332" s="11">
        <f>IFERROR(IF(INDEX('Test catalog'!$F$2:$F$200,MATCH($Y332,'Test catalog'!$A$2:$A$200,0))="","",INDEX('Test catalog'!$F$2:$F$200,MATCH($Y332,'Test catalog'!$A$2:$A$200,0))),"")</f>
        <v/>
      </c>
      <c r="H332" s="11">
        <f>IFERROR(IF(INDEX('Test catalog'!$G$2:$G$200,MATCH($Y332,'Test catalog'!$A$2:$A$200,0))="","",INDEX('Test catalog'!$G$2:$G$200,MATCH($Y332,'Test catalog'!$A$2:$A$200,0))),"")</f>
        <v/>
      </c>
      <c r="I332" s="11">
        <f>IFERROR(IF(INDEX('Test catalog'!$H$2:$H$200,MATCH($Y332,'Test catalog'!$A$2:$A$200,0))="","",INDEX('Test catalog'!$H$2:$H$200,MATCH($Y332,'Test catalog'!$A$2:$A$200,0))),"")</f>
        <v/>
      </c>
      <c r="J332" s="11">
        <f>IFERROR(IF(INDEX('Test catalog'!$I$2:$I$200,MATCH($Y332,'Test catalog'!$A$2:$A$200,0))="","",INDEX('Test catalog'!$I$2:$I$200,MATCH($Y332,'Test catalog'!$A$2:$A$200,0))),"")</f>
        <v/>
      </c>
      <c r="K332" s="13">
        <f>IF(I332="","",IF(OR(H332="",J332=""),I332,(H332+4*I332+J332)/6))</f>
        <v/>
      </c>
      <c r="L332" s="11">
        <f>IFERROR(IF(INDEX('Test catalog'!$J$2:$J$200,MATCH($Y332,'Test catalog'!$A$2:$A$200,0))="","",INDEX('Test catalog'!$J$2:$J$200,MATCH($Y332,'Test catalog'!$A$2:$A$200,0))),"")</f>
        <v/>
      </c>
      <c r="M332" s="11">
        <f>IFERROR(IF(INDEX('Test catalog'!$K$2:$K$200,MATCH($Y332,'Test catalog'!$A$2:$A$200,0))="","",INDEX('Test catalog'!$K$2:$K$200,MATCH($Y332,'Test catalog'!$A$2:$A$200,0))),"")</f>
        <v/>
      </c>
      <c r="N332" s="11">
        <f>IFERROR(IF(INDEX('Test catalog'!$L$2:$L$200,MATCH($Y332,'Test catalog'!$A$2:$A$200,0))="","",INDEX('Test catalog'!$L$2:$L$200,MATCH($Y332,'Test catalog'!$A$2:$A$200,0))),"")</f>
        <v/>
      </c>
      <c r="O332" s="11">
        <f>IFERROR(IF(INDEX('Test catalog'!$M$2:$M$200,MATCH($Y332,'Test catalog'!$A$2:$A$200,0))="","",INDEX('Test catalog'!$M$2:$M$200,MATCH($Y332,'Test catalog'!$A$2:$A$200,0))),"")</f>
        <v/>
      </c>
      <c r="P332" s="11">
        <f>IFERROR(IF(INDEX('Test catalog'!$N$2:$N$200,MATCH($Y332,'Test catalog'!$A$2:$A$200,0))="","",INDEX('Test catalog'!$N$2:$N$200,MATCH($Y332,'Test catalog'!$A$2:$A$200,0))),"")</f>
        <v/>
      </c>
      <c r="Q332" s="11">
        <f>IFERROR(IF(INDEX('Test catalog'!$O$2:$O$200,MATCH($Y332,'Test catalog'!$A$2:$A$200,0))="","",INDEX('Test catalog'!$O$2:$O$200,MATCH($Y332,'Test catalog'!$A$2:$A$200,0))),"")</f>
        <v/>
      </c>
      <c r="R332" s="11">
        <f>IFERROR(IF(INDEX('Test catalog'!$P$2:$P$200,MATCH($Y332,'Test catalog'!$A$2:$A$200,0))="","",INDEX('Test catalog'!$P$2:$P$200,MATCH($Y332,'Test catalog'!$A$2:$A$200,0))),"")</f>
        <v/>
      </c>
      <c r="S332" s="14" t="n"/>
      <c r="T332" s="5" t="inlineStr">
        <is>
          <t>N</t>
        </is>
      </c>
      <c r="U332" s="11">
        <f>IFERROR(IF(INDEX('Test catalog'!$Q$2:$Q$200,MATCH($Y332,'Test catalog'!$A$2:$A$200,0))="","",INDEX('Test catalog'!$Q$2:$Q$200,MATCH($Y332,'Test catalog'!$A$2:$A$200,0))),"")</f>
        <v/>
      </c>
      <c r="V332" s="5" t="n"/>
      <c r="W332" s="5" t="n"/>
      <c r="X332" s="5" t="n"/>
      <c r="Y332" s="5" t="inlineStr">
        <is>
          <t>ECOLI</t>
        </is>
      </c>
      <c r="Z332" s="11" t="inlineStr">
        <is>
          <t>USP &lt;1111&gt; oral solid: TAMC, TYMC, absence of E. coli</t>
        </is>
      </c>
    </row>
    <row r="333">
      <c r="A333" s="11" t="inlineStr">
        <is>
          <t>F32</t>
        </is>
      </c>
      <c r="B333" s="11" t="inlineStr">
        <is>
          <t>FP</t>
        </is>
      </c>
      <c r="C333" s="11" t="inlineStr">
        <is>
          <t>L-Carnitine 1000/10; L-Carnitine 2000/10  |  L-Carnitine (Base)</t>
        </is>
      </c>
      <c r="D333" s="11" t="inlineStr">
        <is>
          <t>Microbial enumeration - TAMC + TYMC (&lt;61&gt; / &lt;2021&gt;)</t>
        </is>
      </c>
      <c r="E333" s="5" t="inlineStr">
        <is>
          <t>Y</t>
        </is>
      </c>
      <c r="F333" s="5" t="n"/>
      <c r="G333" s="11">
        <f>IFERROR(IF(INDEX('Test catalog'!$F$2:$F$200,MATCH($Y333,'Test catalog'!$A$2:$A$200,0))="","",INDEX('Test catalog'!$F$2:$F$200,MATCH($Y333,'Test catalog'!$A$2:$A$200,0))),"")</f>
        <v/>
      </c>
      <c r="H333" s="11">
        <f>IFERROR(IF(INDEX('Test catalog'!$G$2:$G$200,MATCH($Y333,'Test catalog'!$A$2:$A$200,0))="","",INDEX('Test catalog'!$G$2:$G$200,MATCH($Y333,'Test catalog'!$A$2:$A$200,0))),"")</f>
        <v/>
      </c>
      <c r="I333" s="11">
        <f>IFERROR(IF(INDEX('Test catalog'!$H$2:$H$200,MATCH($Y333,'Test catalog'!$A$2:$A$200,0))="","",INDEX('Test catalog'!$H$2:$H$200,MATCH($Y333,'Test catalog'!$A$2:$A$200,0))),"")</f>
        <v/>
      </c>
      <c r="J333" s="11">
        <f>IFERROR(IF(INDEX('Test catalog'!$I$2:$I$200,MATCH($Y333,'Test catalog'!$A$2:$A$200,0))="","",INDEX('Test catalog'!$I$2:$I$200,MATCH($Y333,'Test catalog'!$A$2:$A$200,0))),"")</f>
        <v/>
      </c>
      <c r="K333" s="13">
        <f>IF(I333="","",IF(OR(H333="",J333=""),I333,(H333+4*I333+J333)/6))</f>
        <v/>
      </c>
      <c r="L333" s="11">
        <f>IFERROR(IF(INDEX('Test catalog'!$J$2:$J$200,MATCH($Y333,'Test catalog'!$A$2:$A$200,0))="","",INDEX('Test catalog'!$J$2:$J$200,MATCH($Y333,'Test catalog'!$A$2:$A$200,0))),"")</f>
        <v/>
      </c>
      <c r="M333" s="11">
        <f>IFERROR(IF(INDEX('Test catalog'!$K$2:$K$200,MATCH($Y333,'Test catalog'!$A$2:$A$200,0))="","",INDEX('Test catalog'!$K$2:$K$200,MATCH($Y333,'Test catalog'!$A$2:$A$200,0))),"")</f>
        <v/>
      </c>
      <c r="N333" s="11">
        <f>IFERROR(IF(INDEX('Test catalog'!$L$2:$L$200,MATCH($Y333,'Test catalog'!$A$2:$A$200,0))="","",INDEX('Test catalog'!$L$2:$L$200,MATCH($Y333,'Test catalog'!$A$2:$A$200,0))),"")</f>
        <v/>
      </c>
      <c r="O333" s="11">
        <f>IFERROR(IF(INDEX('Test catalog'!$M$2:$M$200,MATCH($Y333,'Test catalog'!$A$2:$A$200,0))="","",INDEX('Test catalog'!$M$2:$M$200,MATCH($Y333,'Test catalog'!$A$2:$A$200,0))),"")</f>
        <v/>
      </c>
      <c r="P333" s="11">
        <f>IFERROR(IF(INDEX('Test catalog'!$N$2:$N$200,MATCH($Y333,'Test catalog'!$A$2:$A$200,0))="","",INDEX('Test catalog'!$N$2:$N$200,MATCH($Y333,'Test catalog'!$A$2:$A$200,0))),"")</f>
        <v/>
      </c>
      <c r="Q333" s="11">
        <f>IFERROR(IF(INDEX('Test catalog'!$O$2:$O$200,MATCH($Y333,'Test catalog'!$A$2:$A$200,0))="","",INDEX('Test catalog'!$O$2:$O$200,MATCH($Y333,'Test catalog'!$A$2:$A$200,0))),"")</f>
        <v/>
      </c>
      <c r="R333" s="11">
        <f>IFERROR(IF(INDEX('Test catalog'!$P$2:$P$200,MATCH($Y333,'Test catalog'!$A$2:$A$200,0))="","",INDEX('Test catalog'!$P$2:$P$200,MATCH($Y333,'Test catalog'!$A$2:$A$200,0))),"")</f>
        <v/>
      </c>
      <c r="S333" s="14" t="n"/>
      <c r="T333" s="5" t="inlineStr">
        <is>
          <t>Y</t>
        </is>
      </c>
      <c r="U333" s="11">
        <f>IFERROR(IF(INDEX('Test catalog'!$Q$2:$Q$200,MATCH($Y333,'Test catalog'!$A$2:$A$200,0))="","",INDEX('Test catalog'!$Q$2:$Q$200,MATCH($Y333,'Test catalog'!$A$2:$A$200,0))),"")</f>
        <v/>
      </c>
      <c r="V333" s="5" t="n"/>
      <c r="W333" s="5" t="n"/>
      <c r="X333" s="5" t="n"/>
      <c r="Y333" s="5" t="inlineStr">
        <is>
          <t>ENUM</t>
        </is>
      </c>
      <c r="Z333" s="11" t="inlineStr">
        <is>
          <t>USP &lt;1111&gt; oral solid: TAMC, TYMC, absence of E. coli</t>
        </is>
      </c>
    </row>
    <row r="334">
      <c r="A334" s="11" t="inlineStr">
        <is>
          <t>F32</t>
        </is>
      </c>
      <c r="B334" s="11" t="inlineStr">
        <is>
          <t>FP</t>
        </is>
      </c>
      <c r="C334" s="11" t="inlineStr">
        <is>
          <t>L-Carnitine 1000/10; L-Carnitine 2000/10  |  L-Carnitine (Base)</t>
        </is>
      </c>
      <c r="D334" s="11" t="inlineStr">
        <is>
          <t>Absence of Escherichia coli (&lt;62&gt; / &lt;2022&gt;)</t>
        </is>
      </c>
      <c r="E334" s="5" t="inlineStr">
        <is>
          <t>Y</t>
        </is>
      </c>
      <c r="F334" s="5" t="n"/>
      <c r="G334" s="11">
        <f>IFERROR(IF(INDEX('Test catalog'!$F$2:$F$200,MATCH($Y334,'Test catalog'!$A$2:$A$200,0))="","",INDEX('Test catalog'!$F$2:$F$200,MATCH($Y334,'Test catalog'!$A$2:$A$200,0))),"")</f>
        <v/>
      </c>
      <c r="H334" s="11">
        <f>IFERROR(IF(INDEX('Test catalog'!$G$2:$G$200,MATCH($Y334,'Test catalog'!$A$2:$A$200,0))="","",INDEX('Test catalog'!$G$2:$G$200,MATCH($Y334,'Test catalog'!$A$2:$A$200,0))),"")</f>
        <v/>
      </c>
      <c r="I334" s="11">
        <f>IFERROR(IF(INDEX('Test catalog'!$H$2:$H$200,MATCH($Y334,'Test catalog'!$A$2:$A$200,0))="","",INDEX('Test catalog'!$H$2:$H$200,MATCH($Y334,'Test catalog'!$A$2:$A$200,0))),"")</f>
        <v/>
      </c>
      <c r="J334" s="11">
        <f>IFERROR(IF(INDEX('Test catalog'!$I$2:$I$200,MATCH($Y334,'Test catalog'!$A$2:$A$200,0))="","",INDEX('Test catalog'!$I$2:$I$200,MATCH($Y334,'Test catalog'!$A$2:$A$200,0))),"")</f>
        <v/>
      </c>
      <c r="K334" s="13">
        <f>IF(I334="","",IF(OR(H334="",J334=""),I334,(H334+4*I334+J334)/6))</f>
        <v/>
      </c>
      <c r="L334" s="11">
        <f>IFERROR(IF(INDEX('Test catalog'!$J$2:$J$200,MATCH($Y334,'Test catalog'!$A$2:$A$200,0))="","",INDEX('Test catalog'!$J$2:$J$200,MATCH($Y334,'Test catalog'!$A$2:$A$200,0))),"")</f>
        <v/>
      </c>
      <c r="M334" s="11">
        <f>IFERROR(IF(INDEX('Test catalog'!$K$2:$K$200,MATCH($Y334,'Test catalog'!$A$2:$A$200,0))="","",INDEX('Test catalog'!$K$2:$K$200,MATCH($Y334,'Test catalog'!$A$2:$A$200,0))),"")</f>
        <v/>
      </c>
      <c r="N334" s="11">
        <f>IFERROR(IF(INDEX('Test catalog'!$L$2:$L$200,MATCH($Y334,'Test catalog'!$A$2:$A$200,0))="","",INDEX('Test catalog'!$L$2:$L$200,MATCH($Y334,'Test catalog'!$A$2:$A$200,0))),"")</f>
        <v/>
      </c>
      <c r="O334" s="11">
        <f>IFERROR(IF(INDEX('Test catalog'!$M$2:$M$200,MATCH($Y334,'Test catalog'!$A$2:$A$200,0))="","",INDEX('Test catalog'!$M$2:$M$200,MATCH($Y334,'Test catalog'!$A$2:$A$200,0))),"")</f>
        <v/>
      </c>
      <c r="P334" s="11">
        <f>IFERROR(IF(INDEX('Test catalog'!$N$2:$N$200,MATCH($Y334,'Test catalog'!$A$2:$A$200,0))="","",INDEX('Test catalog'!$N$2:$N$200,MATCH($Y334,'Test catalog'!$A$2:$A$200,0))),"")</f>
        <v/>
      </c>
      <c r="Q334" s="11">
        <f>IFERROR(IF(INDEX('Test catalog'!$O$2:$O$200,MATCH($Y334,'Test catalog'!$A$2:$A$200,0))="","",INDEX('Test catalog'!$O$2:$O$200,MATCH($Y334,'Test catalog'!$A$2:$A$200,0))),"")</f>
        <v/>
      </c>
      <c r="R334" s="11">
        <f>IFERROR(IF(INDEX('Test catalog'!$P$2:$P$200,MATCH($Y334,'Test catalog'!$A$2:$A$200,0))="","",INDEX('Test catalog'!$P$2:$P$200,MATCH($Y334,'Test catalog'!$A$2:$A$200,0))),"")</f>
        <v/>
      </c>
      <c r="S334" s="14" t="n"/>
      <c r="T334" s="5" t="inlineStr">
        <is>
          <t>N</t>
        </is>
      </c>
      <c r="U334" s="11">
        <f>IFERROR(IF(INDEX('Test catalog'!$Q$2:$Q$200,MATCH($Y334,'Test catalog'!$A$2:$A$200,0))="","",INDEX('Test catalog'!$Q$2:$Q$200,MATCH($Y334,'Test catalog'!$A$2:$A$200,0))),"")</f>
        <v/>
      </c>
      <c r="V334" s="5" t="n"/>
      <c r="W334" s="5" t="n"/>
      <c r="X334" s="5" t="n"/>
      <c r="Y334" s="5" t="inlineStr">
        <is>
          <t>ECOLI</t>
        </is>
      </c>
      <c r="Z334" s="11" t="inlineStr">
        <is>
          <t>USP &lt;1111&gt; oral solid: TAMC, TYMC, absence of E. coli</t>
        </is>
      </c>
    </row>
    <row r="335">
      <c r="A335" s="11" t="inlineStr">
        <is>
          <t>F33</t>
        </is>
      </c>
      <c r="B335" s="11" t="inlineStr">
        <is>
          <t>FP</t>
        </is>
      </c>
      <c r="C335" s="11" t="inlineStr">
        <is>
          <t>L-Carnitine Caffeine  |  L-Carnitine (Base), Caffeine (Base) (+3 more)</t>
        </is>
      </c>
      <c r="D335" s="11" t="inlineStr">
        <is>
          <t>Microbial enumeration - TAMC + TYMC (&lt;61&gt; / &lt;2021&gt;)</t>
        </is>
      </c>
      <c r="E335" s="5" t="inlineStr">
        <is>
          <t>Y</t>
        </is>
      </c>
      <c r="F335" s="5" t="n"/>
      <c r="G335" s="11">
        <f>IFERROR(IF(INDEX('Test catalog'!$F$2:$F$200,MATCH($Y335,'Test catalog'!$A$2:$A$200,0))="","",INDEX('Test catalog'!$F$2:$F$200,MATCH($Y335,'Test catalog'!$A$2:$A$200,0))),"")</f>
        <v/>
      </c>
      <c r="H335" s="11">
        <f>IFERROR(IF(INDEX('Test catalog'!$G$2:$G$200,MATCH($Y335,'Test catalog'!$A$2:$A$200,0))="","",INDEX('Test catalog'!$G$2:$G$200,MATCH($Y335,'Test catalog'!$A$2:$A$200,0))),"")</f>
        <v/>
      </c>
      <c r="I335" s="11">
        <f>IFERROR(IF(INDEX('Test catalog'!$H$2:$H$200,MATCH($Y335,'Test catalog'!$A$2:$A$200,0))="","",INDEX('Test catalog'!$H$2:$H$200,MATCH($Y335,'Test catalog'!$A$2:$A$200,0))),"")</f>
        <v/>
      </c>
      <c r="J335" s="11">
        <f>IFERROR(IF(INDEX('Test catalog'!$I$2:$I$200,MATCH($Y335,'Test catalog'!$A$2:$A$200,0))="","",INDEX('Test catalog'!$I$2:$I$200,MATCH($Y335,'Test catalog'!$A$2:$A$200,0))),"")</f>
        <v/>
      </c>
      <c r="K335" s="13">
        <f>IF(I335="","",IF(OR(H335="",J335=""),I335,(H335+4*I335+J335)/6))</f>
        <v/>
      </c>
      <c r="L335" s="11">
        <f>IFERROR(IF(INDEX('Test catalog'!$J$2:$J$200,MATCH($Y335,'Test catalog'!$A$2:$A$200,0))="","",INDEX('Test catalog'!$J$2:$J$200,MATCH($Y335,'Test catalog'!$A$2:$A$200,0))),"")</f>
        <v/>
      </c>
      <c r="M335" s="11">
        <f>IFERROR(IF(INDEX('Test catalog'!$K$2:$K$200,MATCH($Y335,'Test catalog'!$A$2:$A$200,0))="","",INDEX('Test catalog'!$K$2:$K$200,MATCH($Y335,'Test catalog'!$A$2:$A$200,0))),"")</f>
        <v/>
      </c>
      <c r="N335" s="11">
        <f>IFERROR(IF(INDEX('Test catalog'!$L$2:$L$200,MATCH($Y335,'Test catalog'!$A$2:$A$200,0))="","",INDEX('Test catalog'!$L$2:$L$200,MATCH($Y335,'Test catalog'!$A$2:$A$200,0))),"")</f>
        <v/>
      </c>
      <c r="O335" s="11">
        <f>IFERROR(IF(INDEX('Test catalog'!$M$2:$M$200,MATCH($Y335,'Test catalog'!$A$2:$A$200,0))="","",INDEX('Test catalog'!$M$2:$M$200,MATCH($Y335,'Test catalog'!$A$2:$A$200,0))),"")</f>
        <v/>
      </c>
      <c r="P335" s="11">
        <f>IFERROR(IF(INDEX('Test catalog'!$N$2:$N$200,MATCH($Y335,'Test catalog'!$A$2:$A$200,0))="","",INDEX('Test catalog'!$N$2:$N$200,MATCH($Y335,'Test catalog'!$A$2:$A$200,0))),"")</f>
        <v/>
      </c>
      <c r="Q335" s="11">
        <f>IFERROR(IF(INDEX('Test catalog'!$O$2:$O$200,MATCH($Y335,'Test catalog'!$A$2:$A$200,0))="","",INDEX('Test catalog'!$O$2:$O$200,MATCH($Y335,'Test catalog'!$A$2:$A$200,0))),"")</f>
        <v/>
      </c>
      <c r="R335" s="11">
        <f>IFERROR(IF(INDEX('Test catalog'!$P$2:$P$200,MATCH($Y335,'Test catalog'!$A$2:$A$200,0))="","",INDEX('Test catalog'!$P$2:$P$200,MATCH($Y335,'Test catalog'!$A$2:$A$200,0))),"")</f>
        <v/>
      </c>
      <c r="S335" s="14" t="n"/>
      <c r="T335" s="5" t="inlineStr">
        <is>
          <t>Y</t>
        </is>
      </c>
      <c r="U335" s="11">
        <f>IFERROR(IF(INDEX('Test catalog'!$Q$2:$Q$200,MATCH($Y335,'Test catalog'!$A$2:$A$200,0))="","",INDEX('Test catalog'!$Q$2:$Q$200,MATCH($Y335,'Test catalog'!$A$2:$A$200,0))),"")</f>
        <v/>
      </c>
      <c r="V335" s="5" t="n"/>
      <c r="W335" s="5" t="n"/>
      <c r="X335" s="5" t="n"/>
      <c r="Y335" s="5" t="inlineStr">
        <is>
          <t>ENUM</t>
        </is>
      </c>
      <c r="Z335" s="11" t="inlineStr">
        <is>
          <t>USP &lt;1111&gt; oral solid: TAMC, TYMC, absence of E. coli</t>
        </is>
      </c>
    </row>
    <row r="336">
      <c r="A336" s="11" t="inlineStr">
        <is>
          <t>F33</t>
        </is>
      </c>
      <c r="B336" s="11" t="inlineStr">
        <is>
          <t>FP</t>
        </is>
      </c>
      <c r="C336" s="11" t="inlineStr">
        <is>
          <t>L-Carnitine Caffeine  |  L-Carnitine (Base), Caffeine (Base) (+3 more)</t>
        </is>
      </c>
      <c r="D336" s="11" t="inlineStr">
        <is>
          <t>Absence of Escherichia coli (&lt;62&gt; / &lt;2022&gt;)</t>
        </is>
      </c>
      <c r="E336" s="5" t="inlineStr">
        <is>
          <t>Y</t>
        </is>
      </c>
      <c r="F336" s="5" t="n"/>
      <c r="G336" s="11">
        <f>IFERROR(IF(INDEX('Test catalog'!$F$2:$F$200,MATCH($Y336,'Test catalog'!$A$2:$A$200,0))="","",INDEX('Test catalog'!$F$2:$F$200,MATCH($Y336,'Test catalog'!$A$2:$A$200,0))),"")</f>
        <v/>
      </c>
      <c r="H336" s="11">
        <f>IFERROR(IF(INDEX('Test catalog'!$G$2:$G$200,MATCH($Y336,'Test catalog'!$A$2:$A$200,0))="","",INDEX('Test catalog'!$G$2:$G$200,MATCH($Y336,'Test catalog'!$A$2:$A$200,0))),"")</f>
        <v/>
      </c>
      <c r="I336" s="11">
        <f>IFERROR(IF(INDEX('Test catalog'!$H$2:$H$200,MATCH($Y336,'Test catalog'!$A$2:$A$200,0))="","",INDEX('Test catalog'!$H$2:$H$200,MATCH($Y336,'Test catalog'!$A$2:$A$200,0))),"")</f>
        <v/>
      </c>
      <c r="J336" s="11">
        <f>IFERROR(IF(INDEX('Test catalog'!$I$2:$I$200,MATCH($Y336,'Test catalog'!$A$2:$A$200,0))="","",INDEX('Test catalog'!$I$2:$I$200,MATCH($Y336,'Test catalog'!$A$2:$A$200,0))),"")</f>
        <v/>
      </c>
      <c r="K336" s="13">
        <f>IF(I336="","",IF(OR(H336="",J336=""),I336,(H336+4*I336+J336)/6))</f>
        <v/>
      </c>
      <c r="L336" s="11">
        <f>IFERROR(IF(INDEX('Test catalog'!$J$2:$J$200,MATCH($Y336,'Test catalog'!$A$2:$A$200,0))="","",INDEX('Test catalog'!$J$2:$J$200,MATCH($Y336,'Test catalog'!$A$2:$A$200,0))),"")</f>
        <v/>
      </c>
      <c r="M336" s="11">
        <f>IFERROR(IF(INDEX('Test catalog'!$K$2:$K$200,MATCH($Y336,'Test catalog'!$A$2:$A$200,0))="","",INDEX('Test catalog'!$K$2:$K$200,MATCH($Y336,'Test catalog'!$A$2:$A$200,0))),"")</f>
        <v/>
      </c>
      <c r="N336" s="11">
        <f>IFERROR(IF(INDEX('Test catalog'!$L$2:$L$200,MATCH($Y336,'Test catalog'!$A$2:$A$200,0))="","",INDEX('Test catalog'!$L$2:$L$200,MATCH($Y336,'Test catalog'!$A$2:$A$200,0))),"")</f>
        <v/>
      </c>
      <c r="O336" s="11">
        <f>IFERROR(IF(INDEX('Test catalog'!$M$2:$M$200,MATCH($Y336,'Test catalog'!$A$2:$A$200,0))="","",INDEX('Test catalog'!$M$2:$M$200,MATCH($Y336,'Test catalog'!$A$2:$A$200,0))),"")</f>
        <v/>
      </c>
      <c r="P336" s="11">
        <f>IFERROR(IF(INDEX('Test catalog'!$N$2:$N$200,MATCH($Y336,'Test catalog'!$A$2:$A$200,0))="","",INDEX('Test catalog'!$N$2:$N$200,MATCH($Y336,'Test catalog'!$A$2:$A$200,0))),"")</f>
        <v/>
      </c>
      <c r="Q336" s="11">
        <f>IFERROR(IF(INDEX('Test catalog'!$O$2:$O$200,MATCH($Y336,'Test catalog'!$A$2:$A$200,0))="","",INDEX('Test catalog'!$O$2:$O$200,MATCH($Y336,'Test catalog'!$A$2:$A$200,0))),"")</f>
        <v/>
      </c>
      <c r="R336" s="11">
        <f>IFERROR(IF(INDEX('Test catalog'!$P$2:$P$200,MATCH($Y336,'Test catalog'!$A$2:$A$200,0))="","",INDEX('Test catalog'!$P$2:$P$200,MATCH($Y336,'Test catalog'!$A$2:$A$200,0))),"")</f>
        <v/>
      </c>
      <c r="S336" s="14" t="n"/>
      <c r="T336" s="5" t="inlineStr">
        <is>
          <t>N</t>
        </is>
      </c>
      <c r="U336" s="11">
        <f>IFERROR(IF(INDEX('Test catalog'!$Q$2:$Q$200,MATCH($Y336,'Test catalog'!$A$2:$A$200,0))="","",INDEX('Test catalog'!$Q$2:$Q$200,MATCH($Y336,'Test catalog'!$A$2:$A$200,0))),"")</f>
        <v/>
      </c>
      <c r="V336" s="5" t="n"/>
      <c r="W336" s="5" t="n"/>
      <c r="X336" s="5" t="n"/>
      <c r="Y336" s="5" t="inlineStr">
        <is>
          <t>ECOLI</t>
        </is>
      </c>
      <c r="Z336" s="11" t="inlineStr">
        <is>
          <t>USP &lt;1111&gt; oral solid: TAMC, TYMC, absence of E. coli</t>
        </is>
      </c>
    </row>
    <row r="337">
      <c r="A337" s="11" t="inlineStr">
        <is>
          <t>F34</t>
        </is>
      </c>
      <c r="B337" s="11" t="inlineStr">
        <is>
          <t>FP</t>
        </is>
      </c>
      <c r="C337" s="11" t="inlineStr">
        <is>
          <t>B-Complex  |  Cyanocobalamin (Vitamin B12), Thiamine Hydrochloride (Vitamin B1) (+6 more)</t>
        </is>
      </c>
      <c r="D337" s="11" t="inlineStr">
        <is>
          <t>Microbial enumeration - TAMC + TYMC (&lt;61&gt; / &lt;2021&gt;)</t>
        </is>
      </c>
      <c r="E337" s="5" t="inlineStr">
        <is>
          <t>Y</t>
        </is>
      </c>
      <c r="F337" s="5" t="n"/>
      <c r="G337" s="11">
        <f>IFERROR(IF(INDEX('Test catalog'!$F$2:$F$200,MATCH($Y337,'Test catalog'!$A$2:$A$200,0))="","",INDEX('Test catalog'!$F$2:$F$200,MATCH($Y337,'Test catalog'!$A$2:$A$200,0))),"")</f>
        <v/>
      </c>
      <c r="H337" s="11">
        <f>IFERROR(IF(INDEX('Test catalog'!$G$2:$G$200,MATCH($Y337,'Test catalog'!$A$2:$A$200,0))="","",INDEX('Test catalog'!$G$2:$G$200,MATCH($Y337,'Test catalog'!$A$2:$A$200,0))),"")</f>
        <v/>
      </c>
      <c r="I337" s="11">
        <f>IFERROR(IF(INDEX('Test catalog'!$H$2:$H$200,MATCH($Y337,'Test catalog'!$A$2:$A$200,0))="","",INDEX('Test catalog'!$H$2:$H$200,MATCH($Y337,'Test catalog'!$A$2:$A$200,0))),"")</f>
        <v/>
      </c>
      <c r="J337" s="11">
        <f>IFERROR(IF(INDEX('Test catalog'!$I$2:$I$200,MATCH($Y337,'Test catalog'!$A$2:$A$200,0))="","",INDEX('Test catalog'!$I$2:$I$200,MATCH($Y337,'Test catalog'!$A$2:$A$200,0))),"")</f>
        <v/>
      </c>
      <c r="K337" s="13">
        <f>IF(I337="","",IF(OR(H337="",J337=""),I337,(H337+4*I337+J337)/6))</f>
        <v/>
      </c>
      <c r="L337" s="11">
        <f>IFERROR(IF(INDEX('Test catalog'!$J$2:$J$200,MATCH($Y337,'Test catalog'!$A$2:$A$200,0))="","",INDEX('Test catalog'!$J$2:$J$200,MATCH($Y337,'Test catalog'!$A$2:$A$200,0))),"")</f>
        <v/>
      </c>
      <c r="M337" s="11">
        <f>IFERROR(IF(INDEX('Test catalog'!$K$2:$K$200,MATCH($Y337,'Test catalog'!$A$2:$A$200,0))="","",INDEX('Test catalog'!$K$2:$K$200,MATCH($Y337,'Test catalog'!$A$2:$A$200,0))),"")</f>
        <v/>
      </c>
      <c r="N337" s="11">
        <f>IFERROR(IF(INDEX('Test catalog'!$L$2:$L$200,MATCH($Y337,'Test catalog'!$A$2:$A$200,0))="","",INDEX('Test catalog'!$L$2:$L$200,MATCH($Y337,'Test catalog'!$A$2:$A$200,0))),"")</f>
        <v/>
      </c>
      <c r="O337" s="11">
        <f>IFERROR(IF(INDEX('Test catalog'!$M$2:$M$200,MATCH($Y337,'Test catalog'!$A$2:$A$200,0))="","",INDEX('Test catalog'!$M$2:$M$200,MATCH($Y337,'Test catalog'!$A$2:$A$200,0))),"")</f>
        <v/>
      </c>
      <c r="P337" s="11">
        <f>IFERROR(IF(INDEX('Test catalog'!$N$2:$N$200,MATCH($Y337,'Test catalog'!$A$2:$A$200,0))="","",INDEX('Test catalog'!$N$2:$N$200,MATCH($Y337,'Test catalog'!$A$2:$A$200,0))),"")</f>
        <v/>
      </c>
      <c r="Q337" s="11">
        <f>IFERROR(IF(INDEX('Test catalog'!$O$2:$O$200,MATCH($Y337,'Test catalog'!$A$2:$A$200,0))="","",INDEX('Test catalog'!$O$2:$O$200,MATCH($Y337,'Test catalog'!$A$2:$A$200,0))),"")</f>
        <v/>
      </c>
      <c r="R337" s="11">
        <f>IFERROR(IF(INDEX('Test catalog'!$P$2:$P$200,MATCH($Y337,'Test catalog'!$A$2:$A$200,0))="","",INDEX('Test catalog'!$P$2:$P$200,MATCH($Y337,'Test catalog'!$A$2:$A$200,0))),"")</f>
        <v/>
      </c>
      <c r="S337" s="14" t="n"/>
      <c r="T337" s="5" t="inlineStr">
        <is>
          <t>Y</t>
        </is>
      </c>
      <c r="U337" s="11">
        <f>IFERROR(IF(INDEX('Test catalog'!$Q$2:$Q$200,MATCH($Y337,'Test catalog'!$A$2:$A$200,0))="","",INDEX('Test catalog'!$Q$2:$Q$200,MATCH($Y337,'Test catalog'!$A$2:$A$200,0))),"")</f>
        <v/>
      </c>
      <c r="V337" s="5" t="n"/>
      <c r="W337" s="5" t="n"/>
      <c r="X337" s="5" t="n"/>
      <c r="Y337" s="5" t="inlineStr">
        <is>
          <t>ENUM</t>
        </is>
      </c>
      <c r="Z337" s="11" t="inlineStr">
        <is>
          <t>USP &lt;1111&gt; oral solid: TAMC, TYMC, absence of E. coli</t>
        </is>
      </c>
    </row>
    <row r="338">
      <c r="A338" s="11" t="inlineStr">
        <is>
          <t>F34</t>
        </is>
      </c>
      <c r="B338" s="11" t="inlineStr">
        <is>
          <t>FP</t>
        </is>
      </c>
      <c r="C338" s="11" t="inlineStr">
        <is>
          <t>B-Complex  |  Cyanocobalamin (Vitamin B12), Thiamine Hydrochloride (Vitamin B1) (+6 more)</t>
        </is>
      </c>
      <c r="D338" s="11" t="inlineStr">
        <is>
          <t>Absence of Escherichia coli (&lt;62&gt; / &lt;2022&gt;)</t>
        </is>
      </c>
      <c r="E338" s="5" t="inlineStr">
        <is>
          <t>Y</t>
        </is>
      </c>
      <c r="F338" s="5" t="n"/>
      <c r="G338" s="11">
        <f>IFERROR(IF(INDEX('Test catalog'!$F$2:$F$200,MATCH($Y338,'Test catalog'!$A$2:$A$200,0))="","",INDEX('Test catalog'!$F$2:$F$200,MATCH($Y338,'Test catalog'!$A$2:$A$200,0))),"")</f>
        <v/>
      </c>
      <c r="H338" s="11">
        <f>IFERROR(IF(INDEX('Test catalog'!$G$2:$G$200,MATCH($Y338,'Test catalog'!$A$2:$A$200,0))="","",INDEX('Test catalog'!$G$2:$G$200,MATCH($Y338,'Test catalog'!$A$2:$A$200,0))),"")</f>
        <v/>
      </c>
      <c r="I338" s="11">
        <f>IFERROR(IF(INDEX('Test catalog'!$H$2:$H$200,MATCH($Y338,'Test catalog'!$A$2:$A$200,0))="","",INDEX('Test catalog'!$H$2:$H$200,MATCH($Y338,'Test catalog'!$A$2:$A$200,0))),"")</f>
        <v/>
      </c>
      <c r="J338" s="11">
        <f>IFERROR(IF(INDEX('Test catalog'!$I$2:$I$200,MATCH($Y338,'Test catalog'!$A$2:$A$200,0))="","",INDEX('Test catalog'!$I$2:$I$200,MATCH($Y338,'Test catalog'!$A$2:$A$200,0))),"")</f>
        <v/>
      </c>
      <c r="K338" s="13">
        <f>IF(I338="","",IF(OR(H338="",J338=""),I338,(H338+4*I338+J338)/6))</f>
        <v/>
      </c>
      <c r="L338" s="11">
        <f>IFERROR(IF(INDEX('Test catalog'!$J$2:$J$200,MATCH($Y338,'Test catalog'!$A$2:$A$200,0))="","",INDEX('Test catalog'!$J$2:$J$200,MATCH($Y338,'Test catalog'!$A$2:$A$200,0))),"")</f>
        <v/>
      </c>
      <c r="M338" s="11">
        <f>IFERROR(IF(INDEX('Test catalog'!$K$2:$K$200,MATCH($Y338,'Test catalog'!$A$2:$A$200,0))="","",INDEX('Test catalog'!$K$2:$K$200,MATCH($Y338,'Test catalog'!$A$2:$A$200,0))),"")</f>
        <v/>
      </c>
      <c r="N338" s="11">
        <f>IFERROR(IF(INDEX('Test catalog'!$L$2:$L$200,MATCH($Y338,'Test catalog'!$A$2:$A$200,0))="","",INDEX('Test catalog'!$L$2:$L$200,MATCH($Y338,'Test catalog'!$A$2:$A$200,0))),"")</f>
        <v/>
      </c>
      <c r="O338" s="11">
        <f>IFERROR(IF(INDEX('Test catalog'!$M$2:$M$200,MATCH($Y338,'Test catalog'!$A$2:$A$200,0))="","",INDEX('Test catalog'!$M$2:$M$200,MATCH($Y338,'Test catalog'!$A$2:$A$200,0))),"")</f>
        <v/>
      </c>
      <c r="P338" s="11">
        <f>IFERROR(IF(INDEX('Test catalog'!$N$2:$N$200,MATCH($Y338,'Test catalog'!$A$2:$A$200,0))="","",INDEX('Test catalog'!$N$2:$N$200,MATCH($Y338,'Test catalog'!$A$2:$A$200,0))),"")</f>
        <v/>
      </c>
      <c r="Q338" s="11">
        <f>IFERROR(IF(INDEX('Test catalog'!$O$2:$O$200,MATCH($Y338,'Test catalog'!$A$2:$A$200,0))="","",INDEX('Test catalog'!$O$2:$O$200,MATCH($Y338,'Test catalog'!$A$2:$A$200,0))),"")</f>
        <v/>
      </c>
      <c r="R338" s="11">
        <f>IFERROR(IF(INDEX('Test catalog'!$P$2:$P$200,MATCH($Y338,'Test catalog'!$A$2:$A$200,0))="","",INDEX('Test catalog'!$P$2:$P$200,MATCH($Y338,'Test catalog'!$A$2:$A$200,0))),"")</f>
        <v/>
      </c>
      <c r="S338" s="14" t="n"/>
      <c r="T338" s="5" t="inlineStr">
        <is>
          <t>N</t>
        </is>
      </c>
      <c r="U338" s="11">
        <f>IFERROR(IF(INDEX('Test catalog'!$Q$2:$Q$200,MATCH($Y338,'Test catalog'!$A$2:$A$200,0))="","",INDEX('Test catalog'!$Q$2:$Q$200,MATCH($Y338,'Test catalog'!$A$2:$A$200,0))),"")</f>
        <v/>
      </c>
      <c r="V338" s="5" t="n"/>
      <c r="W338" s="5" t="n"/>
      <c r="X338" s="5" t="n"/>
      <c r="Y338" s="5" t="inlineStr">
        <is>
          <t>ECOLI</t>
        </is>
      </c>
      <c r="Z338" s="11" t="inlineStr">
        <is>
          <t>USP &lt;1111&gt; oral solid: TAMC, TYMC, absence of E. coli</t>
        </is>
      </c>
    </row>
    <row r="339">
      <c r="A339" s="11" t="inlineStr">
        <is>
          <t>F35</t>
        </is>
      </c>
      <c r="B339" s="11" t="inlineStr">
        <is>
          <t>FP</t>
        </is>
      </c>
      <c r="C339" s="11" t="inlineStr">
        <is>
          <t>Sachet Vitamin B12  |  Cyanocobalamin (Vitamin B12)</t>
        </is>
      </c>
      <c r="D339" s="11" t="inlineStr">
        <is>
          <t>Microbial enumeration - TAMC + TYMC (&lt;61&gt; / &lt;2021&gt;)</t>
        </is>
      </c>
      <c r="E339" s="5" t="inlineStr">
        <is>
          <t>Y</t>
        </is>
      </c>
      <c r="F339" s="5" t="n"/>
      <c r="G339" s="11">
        <f>IFERROR(IF(INDEX('Test catalog'!$F$2:$F$200,MATCH($Y339,'Test catalog'!$A$2:$A$200,0))="","",INDEX('Test catalog'!$F$2:$F$200,MATCH($Y339,'Test catalog'!$A$2:$A$200,0))),"")</f>
        <v/>
      </c>
      <c r="H339" s="11">
        <f>IFERROR(IF(INDEX('Test catalog'!$G$2:$G$200,MATCH($Y339,'Test catalog'!$A$2:$A$200,0))="","",INDEX('Test catalog'!$G$2:$G$200,MATCH($Y339,'Test catalog'!$A$2:$A$200,0))),"")</f>
        <v/>
      </c>
      <c r="I339" s="11">
        <f>IFERROR(IF(INDEX('Test catalog'!$H$2:$H$200,MATCH($Y339,'Test catalog'!$A$2:$A$200,0))="","",INDEX('Test catalog'!$H$2:$H$200,MATCH($Y339,'Test catalog'!$A$2:$A$200,0))),"")</f>
        <v/>
      </c>
      <c r="J339" s="11">
        <f>IFERROR(IF(INDEX('Test catalog'!$I$2:$I$200,MATCH($Y339,'Test catalog'!$A$2:$A$200,0))="","",INDEX('Test catalog'!$I$2:$I$200,MATCH($Y339,'Test catalog'!$A$2:$A$200,0))),"")</f>
        <v/>
      </c>
      <c r="K339" s="13">
        <f>IF(I339="","",IF(OR(H339="",J339=""),I339,(H339+4*I339+J339)/6))</f>
        <v/>
      </c>
      <c r="L339" s="11">
        <f>IFERROR(IF(INDEX('Test catalog'!$J$2:$J$200,MATCH($Y339,'Test catalog'!$A$2:$A$200,0))="","",INDEX('Test catalog'!$J$2:$J$200,MATCH($Y339,'Test catalog'!$A$2:$A$200,0))),"")</f>
        <v/>
      </c>
      <c r="M339" s="11">
        <f>IFERROR(IF(INDEX('Test catalog'!$K$2:$K$200,MATCH($Y339,'Test catalog'!$A$2:$A$200,0))="","",INDEX('Test catalog'!$K$2:$K$200,MATCH($Y339,'Test catalog'!$A$2:$A$200,0))),"")</f>
        <v/>
      </c>
      <c r="N339" s="11">
        <f>IFERROR(IF(INDEX('Test catalog'!$L$2:$L$200,MATCH($Y339,'Test catalog'!$A$2:$A$200,0))="","",INDEX('Test catalog'!$L$2:$L$200,MATCH($Y339,'Test catalog'!$A$2:$A$200,0))),"")</f>
        <v/>
      </c>
      <c r="O339" s="11">
        <f>IFERROR(IF(INDEX('Test catalog'!$M$2:$M$200,MATCH($Y339,'Test catalog'!$A$2:$A$200,0))="","",INDEX('Test catalog'!$M$2:$M$200,MATCH($Y339,'Test catalog'!$A$2:$A$200,0))),"")</f>
        <v/>
      </c>
      <c r="P339" s="11">
        <f>IFERROR(IF(INDEX('Test catalog'!$N$2:$N$200,MATCH($Y339,'Test catalog'!$A$2:$A$200,0))="","",INDEX('Test catalog'!$N$2:$N$200,MATCH($Y339,'Test catalog'!$A$2:$A$200,0))),"")</f>
        <v/>
      </c>
      <c r="Q339" s="11">
        <f>IFERROR(IF(INDEX('Test catalog'!$O$2:$O$200,MATCH($Y339,'Test catalog'!$A$2:$A$200,0))="","",INDEX('Test catalog'!$O$2:$O$200,MATCH($Y339,'Test catalog'!$A$2:$A$200,0))),"")</f>
        <v/>
      </c>
      <c r="R339" s="11">
        <f>IFERROR(IF(INDEX('Test catalog'!$P$2:$P$200,MATCH($Y339,'Test catalog'!$A$2:$A$200,0))="","",INDEX('Test catalog'!$P$2:$P$200,MATCH($Y339,'Test catalog'!$A$2:$A$200,0))),"")</f>
        <v/>
      </c>
      <c r="S339" s="14" t="n"/>
      <c r="T339" s="5" t="inlineStr">
        <is>
          <t>Y</t>
        </is>
      </c>
      <c r="U339" s="11">
        <f>IFERROR(IF(INDEX('Test catalog'!$Q$2:$Q$200,MATCH($Y339,'Test catalog'!$A$2:$A$200,0))="","",INDEX('Test catalog'!$Q$2:$Q$200,MATCH($Y339,'Test catalog'!$A$2:$A$200,0))),"")</f>
        <v/>
      </c>
      <c r="V339" s="5" t="n"/>
      <c r="W339" s="5" t="n"/>
      <c r="X339" s="5" t="n"/>
      <c r="Y339" s="5" t="inlineStr">
        <is>
          <t>ENUM</t>
        </is>
      </c>
      <c r="Z339" s="11" t="inlineStr">
        <is>
          <t>USP &lt;1111&gt; oral solid: TAMC, TYMC, absence of E. coli</t>
        </is>
      </c>
    </row>
    <row r="340">
      <c r="A340" s="11" t="inlineStr">
        <is>
          <t>F35</t>
        </is>
      </c>
      <c r="B340" s="11" t="inlineStr">
        <is>
          <t>FP</t>
        </is>
      </c>
      <c r="C340" s="11" t="inlineStr">
        <is>
          <t>Sachet Vitamin B12  |  Cyanocobalamin (Vitamin B12)</t>
        </is>
      </c>
      <c r="D340" s="11" t="inlineStr">
        <is>
          <t>Absence of Escherichia coli (&lt;62&gt; / &lt;2022&gt;)</t>
        </is>
      </c>
      <c r="E340" s="5" t="inlineStr">
        <is>
          <t>Y</t>
        </is>
      </c>
      <c r="F340" s="5" t="n"/>
      <c r="G340" s="11">
        <f>IFERROR(IF(INDEX('Test catalog'!$F$2:$F$200,MATCH($Y340,'Test catalog'!$A$2:$A$200,0))="","",INDEX('Test catalog'!$F$2:$F$200,MATCH($Y340,'Test catalog'!$A$2:$A$200,0))),"")</f>
        <v/>
      </c>
      <c r="H340" s="11">
        <f>IFERROR(IF(INDEX('Test catalog'!$G$2:$G$200,MATCH($Y340,'Test catalog'!$A$2:$A$200,0))="","",INDEX('Test catalog'!$G$2:$G$200,MATCH($Y340,'Test catalog'!$A$2:$A$200,0))),"")</f>
        <v/>
      </c>
      <c r="I340" s="11">
        <f>IFERROR(IF(INDEX('Test catalog'!$H$2:$H$200,MATCH($Y340,'Test catalog'!$A$2:$A$200,0))="","",INDEX('Test catalog'!$H$2:$H$200,MATCH($Y340,'Test catalog'!$A$2:$A$200,0))),"")</f>
        <v/>
      </c>
      <c r="J340" s="11">
        <f>IFERROR(IF(INDEX('Test catalog'!$I$2:$I$200,MATCH($Y340,'Test catalog'!$A$2:$A$200,0))="","",INDEX('Test catalog'!$I$2:$I$200,MATCH($Y340,'Test catalog'!$A$2:$A$200,0))),"")</f>
        <v/>
      </c>
      <c r="K340" s="13">
        <f>IF(I340="","",IF(OR(H340="",J340=""),I340,(H340+4*I340+J340)/6))</f>
        <v/>
      </c>
      <c r="L340" s="11">
        <f>IFERROR(IF(INDEX('Test catalog'!$J$2:$J$200,MATCH($Y340,'Test catalog'!$A$2:$A$200,0))="","",INDEX('Test catalog'!$J$2:$J$200,MATCH($Y340,'Test catalog'!$A$2:$A$200,0))),"")</f>
        <v/>
      </c>
      <c r="M340" s="11">
        <f>IFERROR(IF(INDEX('Test catalog'!$K$2:$K$200,MATCH($Y340,'Test catalog'!$A$2:$A$200,0))="","",INDEX('Test catalog'!$K$2:$K$200,MATCH($Y340,'Test catalog'!$A$2:$A$200,0))),"")</f>
        <v/>
      </c>
      <c r="N340" s="11">
        <f>IFERROR(IF(INDEX('Test catalog'!$L$2:$L$200,MATCH($Y340,'Test catalog'!$A$2:$A$200,0))="","",INDEX('Test catalog'!$L$2:$L$200,MATCH($Y340,'Test catalog'!$A$2:$A$200,0))),"")</f>
        <v/>
      </c>
      <c r="O340" s="11">
        <f>IFERROR(IF(INDEX('Test catalog'!$M$2:$M$200,MATCH($Y340,'Test catalog'!$A$2:$A$200,0))="","",INDEX('Test catalog'!$M$2:$M$200,MATCH($Y340,'Test catalog'!$A$2:$A$200,0))),"")</f>
        <v/>
      </c>
      <c r="P340" s="11">
        <f>IFERROR(IF(INDEX('Test catalog'!$N$2:$N$200,MATCH($Y340,'Test catalog'!$A$2:$A$200,0))="","",INDEX('Test catalog'!$N$2:$N$200,MATCH($Y340,'Test catalog'!$A$2:$A$200,0))),"")</f>
        <v/>
      </c>
      <c r="Q340" s="11">
        <f>IFERROR(IF(INDEX('Test catalog'!$O$2:$O$200,MATCH($Y340,'Test catalog'!$A$2:$A$200,0))="","",INDEX('Test catalog'!$O$2:$O$200,MATCH($Y340,'Test catalog'!$A$2:$A$200,0))),"")</f>
        <v/>
      </c>
      <c r="R340" s="11">
        <f>IFERROR(IF(INDEX('Test catalog'!$P$2:$P$200,MATCH($Y340,'Test catalog'!$A$2:$A$200,0))="","",INDEX('Test catalog'!$P$2:$P$200,MATCH($Y340,'Test catalog'!$A$2:$A$200,0))),"")</f>
        <v/>
      </c>
      <c r="S340" s="14" t="n"/>
      <c r="T340" s="5" t="inlineStr">
        <is>
          <t>N</t>
        </is>
      </c>
      <c r="U340" s="11">
        <f>IFERROR(IF(INDEX('Test catalog'!$Q$2:$Q$200,MATCH($Y340,'Test catalog'!$A$2:$A$200,0))="","",INDEX('Test catalog'!$Q$2:$Q$200,MATCH($Y340,'Test catalog'!$A$2:$A$200,0))),"")</f>
        <v/>
      </c>
      <c r="V340" s="5" t="n"/>
      <c r="W340" s="5" t="n"/>
      <c r="X340" s="5" t="n"/>
      <c r="Y340" s="5" t="inlineStr">
        <is>
          <t>ECOLI</t>
        </is>
      </c>
      <c r="Z340" s="11" t="inlineStr">
        <is>
          <t>USP &lt;1111&gt; oral solid: TAMC, TYMC, absence of E. coli</t>
        </is>
      </c>
    </row>
    <row r="341">
      <c r="A341" s="11" t="inlineStr">
        <is>
          <t>F36</t>
        </is>
      </c>
      <c r="B341" s="11" t="inlineStr">
        <is>
          <t>FP</t>
        </is>
      </c>
      <c r="C341" s="11" t="inlineStr">
        <is>
          <t>Ca+k+D3  |  Calcium Carbonate, Vitamin D3 (+1 more)</t>
        </is>
      </c>
      <c r="D341" s="11" t="inlineStr">
        <is>
          <t>Microbial enumeration - TAMC + TYMC (&lt;61&gt; / &lt;2021&gt;)</t>
        </is>
      </c>
      <c r="E341" s="5" t="inlineStr">
        <is>
          <t>Y</t>
        </is>
      </c>
      <c r="F341" s="5" t="n"/>
      <c r="G341" s="11">
        <f>IFERROR(IF(INDEX('Test catalog'!$F$2:$F$200,MATCH($Y341,'Test catalog'!$A$2:$A$200,0))="","",INDEX('Test catalog'!$F$2:$F$200,MATCH($Y341,'Test catalog'!$A$2:$A$200,0))),"")</f>
        <v/>
      </c>
      <c r="H341" s="11">
        <f>IFERROR(IF(INDEX('Test catalog'!$G$2:$G$200,MATCH($Y341,'Test catalog'!$A$2:$A$200,0))="","",INDEX('Test catalog'!$G$2:$G$200,MATCH($Y341,'Test catalog'!$A$2:$A$200,0))),"")</f>
        <v/>
      </c>
      <c r="I341" s="11">
        <f>IFERROR(IF(INDEX('Test catalog'!$H$2:$H$200,MATCH($Y341,'Test catalog'!$A$2:$A$200,0))="","",INDEX('Test catalog'!$H$2:$H$200,MATCH($Y341,'Test catalog'!$A$2:$A$200,0))),"")</f>
        <v/>
      </c>
      <c r="J341" s="11">
        <f>IFERROR(IF(INDEX('Test catalog'!$I$2:$I$200,MATCH($Y341,'Test catalog'!$A$2:$A$200,0))="","",INDEX('Test catalog'!$I$2:$I$200,MATCH($Y341,'Test catalog'!$A$2:$A$200,0))),"")</f>
        <v/>
      </c>
      <c r="K341" s="13">
        <f>IF(I341="","",IF(OR(H341="",J341=""),I341,(H341+4*I341+J341)/6))</f>
        <v/>
      </c>
      <c r="L341" s="11">
        <f>IFERROR(IF(INDEX('Test catalog'!$J$2:$J$200,MATCH($Y341,'Test catalog'!$A$2:$A$200,0))="","",INDEX('Test catalog'!$J$2:$J$200,MATCH($Y341,'Test catalog'!$A$2:$A$200,0))),"")</f>
        <v/>
      </c>
      <c r="M341" s="11">
        <f>IFERROR(IF(INDEX('Test catalog'!$K$2:$K$200,MATCH($Y341,'Test catalog'!$A$2:$A$200,0))="","",INDEX('Test catalog'!$K$2:$K$200,MATCH($Y341,'Test catalog'!$A$2:$A$200,0))),"")</f>
        <v/>
      </c>
      <c r="N341" s="11">
        <f>IFERROR(IF(INDEX('Test catalog'!$L$2:$L$200,MATCH($Y341,'Test catalog'!$A$2:$A$200,0))="","",INDEX('Test catalog'!$L$2:$L$200,MATCH($Y341,'Test catalog'!$A$2:$A$200,0))),"")</f>
        <v/>
      </c>
      <c r="O341" s="11">
        <f>IFERROR(IF(INDEX('Test catalog'!$M$2:$M$200,MATCH($Y341,'Test catalog'!$A$2:$A$200,0))="","",INDEX('Test catalog'!$M$2:$M$200,MATCH($Y341,'Test catalog'!$A$2:$A$200,0))),"")</f>
        <v/>
      </c>
      <c r="P341" s="11">
        <f>IFERROR(IF(INDEX('Test catalog'!$N$2:$N$200,MATCH($Y341,'Test catalog'!$A$2:$A$200,0))="","",INDEX('Test catalog'!$N$2:$N$200,MATCH($Y341,'Test catalog'!$A$2:$A$200,0))),"")</f>
        <v/>
      </c>
      <c r="Q341" s="11">
        <f>IFERROR(IF(INDEX('Test catalog'!$O$2:$O$200,MATCH($Y341,'Test catalog'!$A$2:$A$200,0))="","",INDEX('Test catalog'!$O$2:$O$200,MATCH($Y341,'Test catalog'!$A$2:$A$200,0))),"")</f>
        <v/>
      </c>
      <c r="R341" s="11">
        <f>IFERROR(IF(INDEX('Test catalog'!$P$2:$P$200,MATCH($Y341,'Test catalog'!$A$2:$A$200,0))="","",INDEX('Test catalog'!$P$2:$P$200,MATCH($Y341,'Test catalog'!$A$2:$A$200,0))),"")</f>
        <v/>
      </c>
      <c r="S341" s="14" t="n"/>
      <c r="T341" s="5" t="inlineStr">
        <is>
          <t>Y</t>
        </is>
      </c>
      <c r="U341" s="11">
        <f>IFERROR(IF(INDEX('Test catalog'!$Q$2:$Q$200,MATCH($Y341,'Test catalog'!$A$2:$A$200,0))="","",INDEX('Test catalog'!$Q$2:$Q$200,MATCH($Y341,'Test catalog'!$A$2:$A$200,0))),"")</f>
        <v/>
      </c>
      <c r="V341" s="5" t="n"/>
      <c r="W341" s="5" t="n"/>
      <c r="X341" s="5" t="n"/>
      <c r="Y341" s="5" t="inlineStr">
        <is>
          <t>ENUM</t>
        </is>
      </c>
      <c r="Z341" s="11" t="inlineStr">
        <is>
          <t>USP &lt;1111&gt; oral solid: TAMC, TYMC, absence of E. coli</t>
        </is>
      </c>
    </row>
    <row r="342">
      <c r="A342" s="11" t="inlineStr">
        <is>
          <t>F36</t>
        </is>
      </c>
      <c r="B342" s="11" t="inlineStr">
        <is>
          <t>FP</t>
        </is>
      </c>
      <c r="C342" s="11" t="inlineStr">
        <is>
          <t>Ca+k+D3  |  Calcium Carbonate, Vitamin D3 (+1 more)</t>
        </is>
      </c>
      <c r="D342" s="11" t="inlineStr">
        <is>
          <t>Absence of Escherichia coli (&lt;62&gt; / &lt;2022&gt;)</t>
        </is>
      </c>
      <c r="E342" s="5" t="inlineStr">
        <is>
          <t>Y</t>
        </is>
      </c>
      <c r="F342" s="5" t="n"/>
      <c r="G342" s="11">
        <f>IFERROR(IF(INDEX('Test catalog'!$F$2:$F$200,MATCH($Y342,'Test catalog'!$A$2:$A$200,0))="","",INDEX('Test catalog'!$F$2:$F$200,MATCH($Y342,'Test catalog'!$A$2:$A$200,0))),"")</f>
        <v/>
      </c>
      <c r="H342" s="11">
        <f>IFERROR(IF(INDEX('Test catalog'!$G$2:$G$200,MATCH($Y342,'Test catalog'!$A$2:$A$200,0))="","",INDEX('Test catalog'!$G$2:$G$200,MATCH($Y342,'Test catalog'!$A$2:$A$200,0))),"")</f>
        <v/>
      </c>
      <c r="I342" s="11">
        <f>IFERROR(IF(INDEX('Test catalog'!$H$2:$H$200,MATCH($Y342,'Test catalog'!$A$2:$A$200,0))="","",INDEX('Test catalog'!$H$2:$H$200,MATCH($Y342,'Test catalog'!$A$2:$A$200,0))),"")</f>
        <v/>
      </c>
      <c r="J342" s="11">
        <f>IFERROR(IF(INDEX('Test catalog'!$I$2:$I$200,MATCH($Y342,'Test catalog'!$A$2:$A$200,0))="","",INDEX('Test catalog'!$I$2:$I$200,MATCH($Y342,'Test catalog'!$A$2:$A$200,0))),"")</f>
        <v/>
      </c>
      <c r="K342" s="13">
        <f>IF(I342="","",IF(OR(H342="",J342=""),I342,(H342+4*I342+J342)/6))</f>
        <v/>
      </c>
      <c r="L342" s="11">
        <f>IFERROR(IF(INDEX('Test catalog'!$J$2:$J$200,MATCH($Y342,'Test catalog'!$A$2:$A$200,0))="","",INDEX('Test catalog'!$J$2:$J$200,MATCH($Y342,'Test catalog'!$A$2:$A$200,0))),"")</f>
        <v/>
      </c>
      <c r="M342" s="11">
        <f>IFERROR(IF(INDEX('Test catalog'!$K$2:$K$200,MATCH($Y342,'Test catalog'!$A$2:$A$200,0))="","",INDEX('Test catalog'!$K$2:$K$200,MATCH($Y342,'Test catalog'!$A$2:$A$200,0))),"")</f>
        <v/>
      </c>
      <c r="N342" s="11">
        <f>IFERROR(IF(INDEX('Test catalog'!$L$2:$L$200,MATCH($Y342,'Test catalog'!$A$2:$A$200,0))="","",INDEX('Test catalog'!$L$2:$L$200,MATCH($Y342,'Test catalog'!$A$2:$A$200,0))),"")</f>
        <v/>
      </c>
      <c r="O342" s="11">
        <f>IFERROR(IF(INDEX('Test catalog'!$M$2:$M$200,MATCH($Y342,'Test catalog'!$A$2:$A$200,0))="","",INDEX('Test catalog'!$M$2:$M$200,MATCH($Y342,'Test catalog'!$A$2:$A$200,0))),"")</f>
        <v/>
      </c>
      <c r="P342" s="11">
        <f>IFERROR(IF(INDEX('Test catalog'!$N$2:$N$200,MATCH($Y342,'Test catalog'!$A$2:$A$200,0))="","",INDEX('Test catalog'!$N$2:$N$200,MATCH($Y342,'Test catalog'!$A$2:$A$200,0))),"")</f>
        <v/>
      </c>
      <c r="Q342" s="11">
        <f>IFERROR(IF(INDEX('Test catalog'!$O$2:$O$200,MATCH($Y342,'Test catalog'!$A$2:$A$200,0))="","",INDEX('Test catalog'!$O$2:$O$200,MATCH($Y342,'Test catalog'!$A$2:$A$200,0))),"")</f>
        <v/>
      </c>
      <c r="R342" s="11">
        <f>IFERROR(IF(INDEX('Test catalog'!$P$2:$P$200,MATCH($Y342,'Test catalog'!$A$2:$A$200,0))="","",INDEX('Test catalog'!$P$2:$P$200,MATCH($Y342,'Test catalog'!$A$2:$A$200,0))),"")</f>
        <v/>
      </c>
      <c r="S342" s="14" t="n"/>
      <c r="T342" s="5" t="inlineStr">
        <is>
          <t>N</t>
        </is>
      </c>
      <c r="U342" s="11">
        <f>IFERROR(IF(INDEX('Test catalog'!$Q$2:$Q$200,MATCH($Y342,'Test catalog'!$A$2:$A$200,0))="","",INDEX('Test catalog'!$Q$2:$Q$200,MATCH($Y342,'Test catalog'!$A$2:$A$200,0))),"")</f>
        <v/>
      </c>
      <c r="V342" s="5" t="n"/>
      <c r="W342" s="5" t="n"/>
      <c r="X342" s="5" t="n"/>
      <c r="Y342" s="5" t="inlineStr">
        <is>
          <t>ECOLI</t>
        </is>
      </c>
      <c r="Z342" s="11" t="inlineStr">
        <is>
          <t>USP &lt;1111&gt; oral solid: TAMC, TYMC, absence of E. coli</t>
        </is>
      </c>
    </row>
    <row r="343">
      <c r="A343" s="11" t="inlineStr">
        <is>
          <t>F37</t>
        </is>
      </c>
      <c r="B343" s="11" t="inlineStr">
        <is>
          <t>FP</t>
        </is>
      </c>
      <c r="C343" s="11" t="inlineStr">
        <is>
          <t>Zinc+Vitamin C  |  actives TBD: Zinc+Vitamin C</t>
        </is>
      </c>
      <c r="D343" s="11" t="inlineStr">
        <is>
          <t>Microbial enumeration - TAMC + TYMC (&lt;61&gt; / &lt;2021&gt;)</t>
        </is>
      </c>
      <c r="E343" s="5" t="inlineStr">
        <is>
          <t>Y</t>
        </is>
      </c>
      <c r="F343" s="5" t="n"/>
      <c r="G343" s="11">
        <f>IFERROR(IF(INDEX('Test catalog'!$F$2:$F$200,MATCH($Y343,'Test catalog'!$A$2:$A$200,0))="","",INDEX('Test catalog'!$F$2:$F$200,MATCH($Y343,'Test catalog'!$A$2:$A$200,0))),"")</f>
        <v/>
      </c>
      <c r="H343" s="11">
        <f>IFERROR(IF(INDEX('Test catalog'!$G$2:$G$200,MATCH($Y343,'Test catalog'!$A$2:$A$200,0))="","",INDEX('Test catalog'!$G$2:$G$200,MATCH($Y343,'Test catalog'!$A$2:$A$200,0))),"")</f>
        <v/>
      </c>
      <c r="I343" s="11">
        <f>IFERROR(IF(INDEX('Test catalog'!$H$2:$H$200,MATCH($Y343,'Test catalog'!$A$2:$A$200,0))="","",INDEX('Test catalog'!$H$2:$H$200,MATCH($Y343,'Test catalog'!$A$2:$A$200,0))),"")</f>
        <v/>
      </c>
      <c r="J343" s="11">
        <f>IFERROR(IF(INDEX('Test catalog'!$I$2:$I$200,MATCH($Y343,'Test catalog'!$A$2:$A$200,0))="","",INDEX('Test catalog'!$I$2:$I$200,MATCH($Y343,'Test catalog'!$A$2:$A$200,0))),"")</f>
        <v/>
      </c>
      <c r="K343" s="13">
        <f>IF(I343="","",IF(OR(H343="",J343=""),I343,(H343+4*I343+J343)/6))</f>
        <v/>
      </c>
      <c r="L343" s="11">
        <f>IFERROR(IF(INDEX('Test catalog'!$J$2:$J$200,MATCH($Y343,'Test catalog'!$A$2:$A$200,0))="","",INDEX('Test catalog'!$J$2:$J$200,MATCH($Y343,'Test catalog'!$A$2:$A$200,0))),"")</f>
        <v/>
      </c>
      <c r="M343" s="11">
        <f>IFERROR(IF(INDEX('Test catalog'!$K$2:$K$200,MATCH($Y343,'Test catalog'!$A$2:$A$200,0))="","",INDEX('Test catalog'!$K$2:$K$200,MATCH($Y343,'Test catalog'!$A$2:$A$200,0))),"")</f>
        <v/>
      </c>
      <c r="N343" s="11">
        <f>IFERROR(IF(INDEX('Test catalog'!$L$2:$L$200,MATCH($Y343,'Test catalog'!$A$2:$A$200,0))="","",INDEX('Test catalog'!$L$2:$L$200,MATCH($Y343,'Test catalog'!$A$2:$A$200,0))),"")</f>
        <v/>
      </c>
      <c r="O343" s="11">
        <f>IFERROR(IF(INDEX('Test catalog'!$M$2:$M$200,MATCH($Y343,'Test catalog'!$A$2:$A$200,0))="","",INDEX('Test catalog'!$M$2:$M$200,MATCH($Y343,'Test catalog'!$A$2:$A$200,0))),"")</f>
        <v/>
      </c>
      <c r="P343" s="11">
        <f>IFERROR(IF(INDEX('Test catalog'!$N$2:$N$200,MATCH($Y343,'Test catalog'!$A$2:$A$200,0))="","",INDEX('Test catalog'!$N$2:$N$200,MATCH($Y343,'Test catalog'!$A$2:$A$200,0))),"")</f>
        <v/>
      </c>
      <c r="Q343" s="11">
        <f>IFERROR(IF(INDEX('Test catalog'!$O$2:$O$200,MATCH($Y343,'Test catalog'!$A$2:$A$200,0))="","",INDEX('Test catalog'!$O$2:$O$200,MATCH($Y343,'Test catalog'!$A$2:$A$200,0))),"")</f>
        <v/>
      </c>
      <c r="R343" s="11">
        <f>IFERROR(IF(INDEX('Test catalog'!$P$2:$P$200,MATCH($Y343,'Test catalog'!$A$2:$A$200,0))="","",INDEX('Test catalog'!$P$2:$P$200,MATCH($Y343,'Test catalog'!$A$2:$A$200,0))),"")</f>
        <v/>
      </c>
      <c r="S343" s="14" t="n"/>
      <c r="T343" s="5" t="inlineStr">
        <is>
          <t>Y</t>
        </is>
      </c>
      <c r="U343" s="11">
        <f>IFERROR(IF(INDEX('Test catalog'!$Q$2:$Q$200,MATCH($Y343,'Test catalog'!$A$2:$A$200,0))="","",INDEX('Test catalog'!$Q$2:$Q$200,MATCH($Y343,'Test catalog'!$A$2:$A$200,0))),"")</f>
        <v/>
      </c>
      <c r="V343" s="5" t="n"/>
      <c r="W343" s="5" t="n"/>
      <c r="X343" s="5" t="n"/>
      <c r="Y343" s="5" t="inlineStr">
        <is>
          <t>ENUM</t>
        </is>
      </c>
      <c r="Z343" s="11" t="inlineStr">
        <is>
          <t>USP &lt;1111&gt; oral solid: TAMC, TYMC, absence of E. coli</t>
        </is>
      </c>
    </row>
    <row r="344">
      <c r="A344" s="11" t="inlineStr">
        <is>
          <t>F37</t>
        </is>
      </c>
      <c r="B344" s="11" t="inlineStr">
        <is>
          <t>FP</t>
        </is>
      </c>
      <c r="C344" s="11" t="inlineStr">
        <is>
          <t>Zinc+Vitamin C  |  actives TBD: Zinc+Vitamin C</t>
        </is>
      </c>
      <c r="D344" s="11" t="inlineStr">
        <is>
          <t>Absence of Escherichia coli (&lt;62&gt; / &lt;2022&gt;)</t>
        </is>
      </c>
      <c r="E344" s="5" t="inlineStr">
        <is>
          <t>Y</t>
        </is>
      </c>
      <c r="F344" s="5" t="n"/>
      <c r="G344" s="11">
        <f>IFERROR(IF(INDEX('Test catalog'!$F$2:$F$200,MATCH($Y344,'Test catalog'!$A$2:$A$200,0))="","",INDEX('Test catalog'!$F$2:$F$200,MATCH($Y344,'Test catalog'!$A$2:$A$200,0))),"")</f>
        <v/>
      </c>
      <c r="H344" s="11">
        <f>IFERROR(IF(INDEX('Test catalog'!$G$2:$G$200,MATCH($Y344,'Test catalog'!$A$2:$A$200,0))="","",INDEX('Test catalog'!$G$2:$G$200,MATCH($Y344,'Test catalog'!$A$2:$A$200,0))),"")</f>
        <v/>
      </c>
      <c r="I344" s="11">
        <f>IFERROR(IF(INDEX('Test catalog'!$H$2:$H$200,MATCH($Y344,'Test catalog'!$A$2:$A$200,0))="","",INDEX('Test catalog'!$H$2:$H$200,MATCH($Y344,'Test catalog'!$A$2:$A$200,0))),"")</f>
        <v/>
      </c>
      <c r="J344" s="11">
        <f>IFERROR(IF(INDEX('Test catalog'!$I$2:$I$200,MATCH($Y344,'Test catalog'!$A$2:$A$200,0))="","",INDEX('Test catalog'!$I$2:$I$200,MATCH($Y344,'Test catalog'!$A$2:$A$200,0))),"")</f>
        <v/>
      </c>
      <c r="K344" s="13">
        <f>IF(I344="","",IF(OR(H344="",J344=""),I344,(H344+4*I344+J344)/6))</f>
        <v/>
      </c>
      <c r="L344" s="11">
        <f>IFERROR(IF(INDEX('Test catalog'!$J$2:$J$200,MATCH($Y344,'Test catalog'!$A$2:$A$200,0))="","",INDEX('Test catalog'!$J$2:$J$200,MATCH($Y344,'Test catalog'!$A$2:$A$200,0))),"")</f>
        <v/>
      </c>
      <c r="M344" s="11">
        <f>IFERROR(IF(INDEX('Test catalog'!$K$2:$K$200,MATCH($Y344,'Test catalog'!$A$2:$A$200,0))="","",INDEX('Test catalog'!$K$2:$K$200,MATCH($Y344,'Test catalog'!$A$2:$A$200,0))),"")</f>
        <v/>
      </c>
      <c r="N344" s="11">
        <f>IFERROR(IF(INDEX('Test catalog'!$L$2:$L$200,MATCH($Y344,'Test catalog'!$A$2:$A$200,0))="","",INDEX('Test catalog'!$L$2:$L$200,MATCH($Y344,'Test catalog'!$A$2:$A$200,0))),"")</f>
        <v/>
      </c>
      <c r="O344" s="11">
        <f>IFERROR(IF(INDEX('Test catalog'!$M$2:$M$200,MATCH($Y344,'Test catalog'!$A$2:$A$200,0))="","",INDEX('Test catalog'!$M$2:$M$200,MATCH($Y344,'Test catalog'!$A$2:$A$200,0))),"")</f>
        <v/>
      </c>
      <c r="P344" s="11">
        <f>IFERROR(IF(INDEX('Test catalog'!$N$2:$N$200,MATCH($Y344,'Test catalog'!$A$2:$A$200,0))="","",INDEX('Test catalog'!$N$2:$N$200,MATCH($Y344,'Test catalog'!$A$2:$A$200,0))),"")</f>
        <v/>
      </c>
      <c r="Q344" s="11">
        <f>IFERROR(IF(INDEX('Test catalog'!$O$2:$O$200,MATCH($Y344,'Test catalog'!$A$2:$A$200,0))="","",INDEX('Test catalog'!$O$2:$O$200,MATCH($Y344,'Test catalog'!$A$2:$A$200,0))),"")</f>
        <v/>
      </c>
      <c r="R344" s="11">
        <f>IFERROR(IF(INDEX('Test catalog'!$P$2:$P$200,MATCH($Y344,'Test catalog'!$A$2:$A$200,0))="","",INDEX('Test catalog'!$P$2:$P$200,MATCH($Y344,'Test catalog'!$A$2:$A$200,0))),"")</f>
        <v/>
      </c>
      <c r="S344" s="14" t="n"/>
      <c r="T344" s="5" t="inlineStr">
        <is>
          <t>N</t>
        </is>
      </c>
      <c r="U344" s="11">
        <f>IFERROR(IF(INDEX('Test catalog'!$Q$2:$Q$200,MATCH($Y344,'Test catalog'!$A$2:$A$200,0))="","",INDEX('Test catalog'!$Q$2:$Q$200,MATCH($Y344,'Test catalog'!$A$2:$A$200,0))),"")</f>
        <v/>
      </c>
      <c r="V344" s="5" t="n"/>
      <c r="W344" s="5" t="n"/>
      <c r="X344" s="5" t="n"/>
      <c r="Y344" s="5" t="inlineStr">
        <is>
          <t>ECOLI</t>
        </is>
      </c>
      <c r="Z344" s="11" t="inlineStr">
        <is>
          <t>USP &lt;1111&gt; oral solid: TAMC, TYMC, absence of E. coli</t>
        </is>
      </c>
    </row>
    <row r="345">
      <c r="A345" s="11" t="inlineStr">
        <is>
          <t>F38</t>
        </is>
      </c>
      <c r="B345" s="11" t="inlineStr">
        <is>
          <t>FP</t>
        </is>
      </c>
      <c r="C345" s="11" t="inlineStr">
        <is>
          <t>Vitamin C 1000 mg  |  Ascorbic Acid Coated 97%</t>
        </is>
      </c>
      <c r="D345" s="11" t="inlineStr">
        <is>
          <t>Microbial enumeration - TAMC + TYMC (&lt;61&gt; / &lt;2021&gt;)</t>
        </is>
      </c>
      <c r="E345" s="5" t="inlineStr">
        <is>
          <t>Y</t>
        </is>
      </c>
      <c r="F345" s="5" t="n"/>
      <c r="G345" s="11">
        <f>IFERROR(IF(INDEX('Test catalog'!$F$2:$F$200,MATCH($Y345,'Test catalog'!$A$2:$A$200,0))="","",INDEX('Test catalog'!$F$2:$F$200,MATCH($Y345,'Test catalog'!$A$2:$A$200,0))),"")</f>
        <v/>
      </c>
      <c r="H345" s="11">
        <f>IFERROR(IF(INDEX('Test catalog'!$G$2:$G$200,MATCH($Y345,'Test catalog'!$A$2:$A$200,0))="","",INDEX('Test catalog'!$G$2:$G$200,MATCH($Y345,'Test catalog'!$A$2:$A$200,0))),"")</f>
        <v/>
      </c>
      <c r="I345" s="11">
        <f>IFERROR(IF(INDEX('Test catalog'!$H$2:$H$200,MATCH($Y345,'Test catalog'!$A$2:$A$200,0))="","",INDEX('Test catalog'!$H$2:$H$200,MATCH($Y345,'Test catalog'!$A$2:$A$200,0))),"")</f>
        <v/>
      </c>
      <c r="J345" s="11">
        <f>IFERROR(IF(INDEX('Test catalog'!$I$2:$I$200,MATCH($Y345,'Test catalog'!$A$2:$A$200,0))="","",INDEX('Test catalog'!$I$2:$I$200,MATCH($Y345,'Test catalog'!$A$2:$A$200,0))),"")</f>
        <v/>
      </c>
      <c r="K345" s="13">
        <f>IF(I345="","",IF(OR(H345="",J345=""),I345,(H345+4*I345+J345)/6))</f>
        <v/>
      </c>
      <c r="L345" s="11">
        <f>IFERROR(IF(INDEX('Test catalog'!$J$2:$J$200,MATCH($Y345,'Test catalog'!$A$2:$A$200,0))="","",INDEX('Test catalog'!$J$2:$J$200,MATCH($Y345,'Test catalog'!$A$2:$A$200,0))),"")</f>
        <v/>
      </c>
      <c r="M345" s="11">
        <f>IFERROR(IF(INDEX('Test catalog'!$K$2:$K$200,MATCH($Y345,'Test catalog'!$A$2:$A$200,0))="","",INDEX('Test catalog'!$K$2:$K$200,MATCH($Y345,'Test catalog'!$A$2:$A$200,0))),"")</f>
        <v/>
      </c>
      <c r="N345" s="11">
        <f>IFERROR(IF(INDEX('Test catalog'!$L$2:$L$200,MATCH($Y345,'Test catalog'!$A$2:$A$200,0))="","",INDEX('Test catalog'!$L$2:$L$200,MATCH($Y345,'Test catalog'!$A$2:$A$200,0))),"")</f>
        <v/>
      </c>
      <c r="O345" s="11">
        <f>IFERROR(IF(INDEX('Test catalog'!$M$2:$M$200,MATCH($Y345,'Test catalog'!$A$2:$A$200,0))="","",INDEX('Test catalog'!$M$2:$M$200,MATCH($Y345,'Test catalog'!$A$2:$A$200,0))),"")</f>
        <v/>
      </c>
      <c r="P345" s="11">
        <f>IFERROR(IF(INDEX('Test catalog'!$N$2:$N$200,MATCH($Y345,'Test catalog'!$A$2:$A$200,0))="","",INDEX('Test catalog'!$N$2:$N$200,MATCH($Y345,'Test catalog'!$A$2:$A$200,0))),"")</f>
        <v/>
      </c>
      <c r="Q345" s="11">
        <f>IFERROR(IF(INDEX('Test catalog'!$O$2:$O$200,MATCH($Y345,'Test catalog'!$A$2:$A$200,0))="","",INDEX('Test catalog'!$O$2:$O$200,MATCH($Y345,'Test catalog'!$A$2:$A$200,0))),"")</f>
        <v/>
      </c>
      <c r="R345" s="11">
        <f>IFERROR(IF(INDEX('Test catalog'!$P$2:$P$200,MATCH($Y345,'Test catalog'!$A$2:$A$200,0))="","",INDEX('Test catalog'!$P$2:$P$200,MATCH($Y345,'Test catalog'!$A$2:$A$200,0))),"")</f>
        <v/>
      </c>
      <c r="S345" s="14" t="n"/>
      <c r="T345" s="5" t="inlineStr">
        <is>
          <t>Y</t>
        </is>
      </c>
      <c r="U345" s="11">
        <f>IFERROR(IF(INDEX('Test catalog'!$Q$2:$Q$200,MATCH($Y345,'Test catalog'!$A$2:$A$200,0))="","",INDEX('Test catalog'!$Q$2:$Q$200,MATCH($Y345,'Test catalog'!$A$2:$A$200,0))),"")</f>
        <v/>
      </c>
      <c r="V345" s="5" t="n"/>
      <c r="W345" s="5" t="n"/>
      <c r="X345" s="5" t="n"/>
      <c r="Y345" s="5" t="inlineStr">
        <is>
          <t>ENUM</t>
        </is>
      </c>
      <c r="Z345" s="11" t="inlineStr">
        <is>
          <t>USP &lt;1111&gt; oral solid: TAMC, TYMC, absence of E. coli</t>
        </is>
      </c>
    </row>
    <row r="346">
      <c r="A346" s="11" t="inlineStr">
        <is>
          <t>F38</t>
        </is>
      </c>
      <c r="B346" s="11" t="inlineStr">
        <is>
          <t>FP</t>
        </is>
      </c>
      <c r="C346" s="11" t="inlineStr">
        <is>
          <t>Vitamin C 1000 mg  |  Ascorbic Acid Coated 97%</t>
        </is>
      </c>
      <c r="D346" s="11" t="inlineStr">
        <is>
          <t>Absence of Escherichia coli (&lt;62&gt; / &lt;2022&gt;)</t>
        </is>
      </c>
      <c r="E346" s="5" t="inlineStr">
        <is>
          <t>Y</t>
        </is>
      </c>
      <c r="F346" s="5" t="n"/>
      <c r="G346" s="11">
        <f>IFERROR(IF(INDEX('Test catalog'!$F$2:$F$200,MATCH($Y346,'Test catalog'!$A$2:$A$200,0))="","",INDEX('Test catalog'!$F$2:$F$200,MATCH($Y346,'Test catalog'!$A$2:$A$200,0))),"")</f>
        <v/>
      </c>
      <c r="H346" s="11">
        <f>IFERROR(IF(INDEX('Test catalog'!$G$2:$G$200,MATCH($Y346,'Test catalog'!$A$2:$A$200,0))="","",INDEX('Test catalog'!$G$2:$G$200,MATCH($Y346,'Test catalog'!$A$2:$A$200,0))),"")</f>
        <v/>
      </c>
      <c r="I346" s="11">
        <f>IFERROR(IF(INDEX('Test catalog'!$H$2:$H$200,MATCH($Y346,'Test catalog'!$A$2:$A$200,0))="","",INDEX('Test catalog'!$H$2:$H$200,MATCH($Y346,'Test catalog'!$A$2:$A$200,0))),"")</f>
        <v/>
      </c>
      <c r="J346" s="11">
        <f>IFERROR(IF(INDEX('Test catalog'!$I$2:$I$200,MATCH($Y346,'Test catalog'!$A$2:$A$200,0))="","",INDEX('Test catalog'!$I$2:$I$200,MATCH($Y346,'Test catalog'!$A$2:$A$200,0))),"")</f>
        <v/>
      </c>
      <c r="K346" s="13">
        <f>IF(I346="","",IF(OR(H346="",J346=""),I346,(H346+4*I346+J346)/6))</f>
        <v/>
      </c>
      <c r="L346" s="11">
        <f>IFERROR(IF(INDEX('Test catalog'!$J$2:$J$200,MATCH($Y346,'Test catalog'!$A$2:$A$200,0))="","",INDEX('Test catalog'!$J$2:$J$200,MATCH($Y346,'Test catalog'!$A$2:$A$200,0))),"")</f>
        <v/>
      </c>
      <c r="M346" s="11">
        <f>IFERROR(IF(INDEX('Test catalog'!$K$2:$K$200,MATCH($Y346,'Test catalog'!$A$2:$A$200,0))="","",INDEX('Test catalog'!$K$2:$K$200,MATCH($Y346,'Test catalog'!$A$2:$A$200,0))),"")</f>
        <v/>
      </c>
      <c r="N346" s="11">
        <f>IFERROR(IF(INDEX('Test catalog'!$L$2:$L$200,MATCH($Y346,'Test catalog'!$A$2:$A$200,0))="","",INDEX('Test catalog'!$L$2:$L$200,MATCH($Y346,'Test catalog'!$A$2:$A$200,0))),"")</f>
        <v/>
      </c>
      <c r="O346" s="11">
        <f>IFERROR(IF(INDEX('Test catalog'!$M$2:$M$200,MATCH($Y346,'Test catalog'!$A$2:$A$200,0))="","",INDEX('Test catalog'!$M$2:$M$200,MATCH($Y346,'Test catalog'!$A$2:$A$200,0))),"")</f>
        <v/>
      </c>
      <c r="P346" s="11">
        <f>IFERROR(IF(INDEX('Test catalog'!$N$2:$N$200,MATCH($Y346,'Test catalog'!$A$2:$A$200,0))="","",INDEX('Test catalog'!$N$2:$N$200,MATCH($Y346,'Test catalog'!$A$2:$A$200,0))),"")</f>
        <v/>
      </c>
      <c r="Q346" s="11">
        <f>IFERROR(IF(INDEX('Test catalog'!$O$2:$O$200,MATCH($Y346,'Test catalog'!$A$2:$A$200,0))="","",INDEX('Test catalog'!$O$2:$O$200,MATCH($Y346,'Test catalog'!$A$2:$A$200,0))),"")</f>
        <v/>
      </c>
      <c r="R346" s="11">
        <f>IFERROR(IF(INDEX('Test catalog'!$P$2:$P$200,MATCH($Y346,'Test catalog'!$A$2:$A$200,0))="","",INDEX('Test catalog'!$P$2:$P$200,MATCH($Y346,'Test catalog'!$A$2:$A$200,0))),"")</f>
        <v/>
      </c>
      <c r="S346" s="14" t="n"/>
      <c r="T346" s="5" t="inlineStr">
        <is>
          <t>N</t>
        </is>
      </c>
      <c r="U346" s="11">
        <f>IFERROR(IF(INDEX('Test catalog'!$Q$2:$Q$200,MATCH($Y346,'Test catalog'!$A$2:$A$200,0))="","",INDEX('Test catalog'!$Q$2:$Q$200,MATCH($Y346,'Test catalog'!$A$2:$A$200,0))),"")</f>
        <v/>
      </c>
      <c r="V346" s="5" t="n"/>
      <c r="W346" s="5" t="n"/>
      <c r="X346" s="5" t="n"/>
      <c r="Y346" s="5" t="inlineStr">
        <is>
          <t>ECOLI</t>
        </is>
      </c>
      <c r="Z346" s="11" t="inlineStr">
        <is>
          <t>USP &lt;1111&gt; oral solid: TAMC, TYMC, absence of E. coli</t>
        </is>
      </c>
    </row>
    <row r="347">
      <c r="A347" s="11" t="inlineStr">
        <is>
          <t>F39</t>
        </is>
      </c>
      <c r="B347" s="11" t="inlineStr">
        <is>
          <t>FP</t>
        </is>
      </c>
      <c r="C347" s="11" t="inlineStr">
        <is>
          <t>Magnesium Oxide  |  Magnesium Oxide Heavy</t>
        </is>
      </c>
      <c r="D347" s="11" t="inlineStr">
        <is>
          <t>Microbial enumeration - TAMC + TYMC (&lt;61&gt; / &lt;2021&gt;)</t>
        </is>
      </c>
      <c r="E347" s="5" t="inlineStr">
        <is>
          <t>Y</t>
        </is>
      </c>
      <c r="F347" s="5" t="n"/>
      <c r="G347" s="11">
        <f>IFERROR(IF(INDEX('Test catalog'!$F$2:$F$200,MATCH($Y347,'Test catalog'!$A$2:$A$200,0))="","",INDEX('Test catalog'!$F$2:$F$200,MATCH($Y347,'Test catalog'!$A$2:$A$200,0))),"")</f>
        <v/>
      </c>
      <c r="H347" s="11">
        <f>IFERROR(IF(INDEX('Test catalog'!$G$2:$G$200,MATCH($Y347,'Test catalog'!$A$2:$A$200,0))="","",INDEX('Test catalog'!$G$2:$G$200,MATCH($Y347,'Test catalog'!$A$2:$A$200,0))),"")</f>
        <v/>
      </c>
      <c r="I347" s="11">
        <f>IFERROR(IF(INDEX('Test catalog'!$H$2:$H$200,MATCH($Y347,'Test catalog'!$A$2:$A$200,0))="","",INDEX('Test catalog'!$H$2:$H$200,MATCH($Y347,'Test catalog'!$A$2:$A$200,0))),"")</f>
        <v/>
      </c>
      <c r="J347" s="11">
        <f>IFERROR(IF(INDEX('Test catalog'!$I$2:$I$200,MATCH($Y347,'Test catalog'!$A$2:$A$200,0))="","",INDEX('Test catalog'!$I$2:$I$200,MATCH($Y347,'Test catalog'!$A$2:$A$200,0))),"")</f>
        <v/>
      </c>
      <c r="K347" s="13">
        <f>IF(I347="","",IF(OR(H347="",J347=""),I347,(H347+4*I347+J347)/6))</f>
        <v/>
      </c>
      <c r="L347" s="11">
        <f>IFERROR(IF(INDEX('Test catalog'!$J$2:$J$200,MATCH($Y347,'Test catalog'!$A$2:$A$200,0))="","",INDEX('Test catalog'!$J$2:$J$200,MATCH($Y347,'Test catalog'!$A$2:$A$200,0))),"")</f>
        <v/>
      </c>
      <c r="M347" s="11">
        <f>IFERROR(IF(INDEX('Test catalog'!$K$2:$K$200,MATCH($Y347,'Test catalog'!$A$2:$A$200,0))="","",INDEX('Test catalog'!$K$2:$K$200,MATCH($Y347,'Test catalog'!$A$2:$A$200,0))),"")</f>
        <v/>
      </c>
      <c r="N347" s="11">
        <f>IFERROR(IF(INDEX('Test catalog'!$L$2:$L$200,MATCH($Y347,'Test catalog'!$A$2:$A$200,0))="","",INDEX('Test catalog'!$L$2:$L$200,MATCH($Y347,'Test catalog'!$A$2:$A$200,0))),"")</f>
        <v/>
      </c>
      <c r="O347" s="11">
        <f>IFERROR(IF(INDEX('Test catalog'!$M$2:$M$200,MATCH($Y347,'Test catalog'!$A$2:$A$200,0))="","",INDEX('Test catalog'!$M$2:$M$200,MATCH($Y347,'Test catalog'!$A$2:$A$200,0))),"")</f>
        <v/>
      </c>
      <c r="P347" s="11">
        <f>IFERROR(IF(INDEX('Test catalog'!$N$2:$N$200,MATCH($Y347,'Test catalog'!$A$2:$A$200,0))="","",INDEX('Test catalog'!$N$2:$N$200,MATCH($Y347,'Test catalog'!$A$2:$A$200,0))),"")</f>
        <v/>
      </c>
      <c r="Q347" s="11">
        <f>IFERROR(IF(INDEX('Test catalog'!$O$2:$O$200,MATCH($Y347,'Test catalog'!$A$2:$A$200,0))="","",INDEX('Test catalog'!$O$2:$O$200,MATCH($Y347,'Test catalog'!$A$2:$A$200,0))),"")</f>
        <v/>
      </c>
      <c r="R347" s="11">
        <f>IFERROR(IF(INDEX('Test catalog'!$P$2:$P$200,MATCH($Y347,'Test catalog'!$A$2:$A$200,0))="","",INDEX('Test catalog'!$P$2:$P$200,MATCH($Y347,'Test catalog'!$A$2:$A$200,0))),"")</f>
        <v/>
      </c>
      <c r="S347" s="14" t="n"/>
      <c r="T347" s="5" t="inlineStr">
        <is>
          <t>Y</t>
        </is>
      </c>
      <c r="U347" s="11">
        <f>IFERROR(IF(INDEX('Test catalog'!$Q$2:$Q$200,MATCH($Y347,'Test catalog'!$A$2:$A$200,0))="","",INDEX('Test catalog'!$Q$2:$Q$200,MATCH($Y347,'Test catalog'!$A$2:$A$200,0))),"")</f>
        <v/>
      </c>
      <c r="V347" s="5" t="n"/>
      <c r="W347" s="5" t="n"/>
      <c r="X347" s="5" t="n"/>
      <c r="Y347" s="5" t="inlineStr">
        <is>
          <t>ENUM</t>
        </is>
      </c>
      <c r="Z347" s="11" t="inlineStr">
        <is>
          <t>USP &lt;1111&gt; oral solid: TAMC, TYMC, absence of E. coli</t>
        </is>
      </c>
    </row>
    <row r="348">
      <c r="A348" s="11" t="inlineStr">
        <is>
          <t>F39</t>
        </is>
      </c>
      <c r="B348" s="11" t="inlineStr">
        <is>
          <t>FP</t>
        </is>
      </c>
      <c r="C348" s="11" t="inlineStr">
        <is>
          <t>Magnesium Oxide  |  Magnesium Oxide Heavy</t>
        </is>
      </c>
      <c r="D348" s="11" t="inlineStr">
        <is>
          <t>Absence of Escherichia coli (&lt;62&gt; / &lt;2022&gt;)</t>
        </is>
      </c>
      <c r="E348" s="5" t="inlineStr">
        <is>
          <t>Y</t>
        </is>
      </c>
      <c r="F348" s="5" t="n"/>
      <c r="G348" s="11">
        <f>IFERROR(IF(INDEX('Test catalog'!$F$2:$F$200,MATCH($Y348,'Test catalog'!$A$2:$A$200,0))="","",INDEX('Test catalog'!$F$2:$F$200,MATCH($Y348,'Test catalog'!$A$2:$A$200,0))),"")</f>
        <v/>
      </c>
      <c r="H348" s="11">
        <f>IFERROR(IF(INDEX('Test catalog'!$G$2:$G$200,MATCH($Y348,'Test catalog'!$A$2:$A$200,0))="","",INDEX('Test catalog'!$G$2:$G$200,MATCH($Y348,'Test catalog'!$A$2:$A$200,0))),"")</f>
        <v/>
      </c>
      <c r="I348" s="11">
        <f>IFERROR(IF(INDEX('Test catalog'!$H$2:$H$200,MATCH($Y348,'Test catalog'!$A$2:$A$200,0))="","",INDEX('Test catalog'!$H$2:$H$200,MATCH($Y348,'Test catalog'!$A$2:$A$200,0))),"")</f>
        <v/>
      </c>
      <c r="J348" s="11">
        <f>IFERROR(IF(INDEX('Test catalog'!$I$2:$I$200,MATCH($Y348,'Test catalog'!$A$2:$A$200,0))="","",INDEX('Test catalog'!$I$2:$I$200,MATCH($Y348,'Test catalog'!$A$2:$A$200,0))),"")</f>
        <v/>
      </c>
      <c r="K348" s="13">
        <f>IF(I348="","",IF(OR(H348="",J348=""),I348,(H348+4*I348+J348)/6))</f>
        <v/>
      </c>
      <c r="L348" s="11">
        <f>IFERROR(IF(INDEX('Test catalog'!$J$2:$J$200,MATCH($Y348,'Test catalog'!$A$2:$A$200,0))="","",INDEX('Test catalog'!$J$2:$J$200,MATCH($Y348,'Test catalog'!$A$2:$A$200,0))),"")</f>
        <v/>
      </c>
      <c r="M348" s="11">
        <f>IFERROR(IF(INDEX('Test catalog'!$K$2:$K$200,MATCH($Y348,'Test catalog'!$A$2:$A$200,0))="","",INDEX('Test catalog'!$K$2:$K$200,MATCH($Y348,'Test catalog'!$A$2:$A$200,0))),"")</f>
        <v/>
      </c>
      <c r="N348" s="11">
        <f>IFERROR(IF(INDEX('Test catalog'!$L$2:$L$200,MATCH($Y348,'Test catalog'!$A$2:$A$200,0))="","",INDEX('Test catalog'!$L$2:$L$200,MATCH($Y348,'Test catalog'!$A$2:$A$200,0))),"")</f>
        <v/>
      </c>
      <c r="O348" s="11">
        <f>IFERROR(IF(INDEX('Test catalog'!$M$2:$M$200,MATCH($Y348,'Test catalog'!$A$2:$A$200,0))="","",INDEX('Test catalog'!$M$2:$M$200,MATCH($Y348,'Test catalog'!$A$2:$A$200,0))),"")</f>
        <v/>
      </c>
      <c r="P348" s="11">
        <f>IFERROR(IF(INDEX('Test catalog'!$N$2:$N$200,MATCH($Y348,'Test catalog'!$A$2:$A$200,0))="","",INDEX('Test catalog'!$N$2:$N$200,MATCH($Y348,'Test catalog'!$A$2:$A$200,0))),"")</f>
        <v/>
      </c>
      <c r="Q348" s="11">
        <f>IFERROR(IF(INDEX('Test catalog'!$O$2:$O$200,MATCH($Y348,'Test catalog'!$A$2:$A$200,0))="","",INDEX('Test catalog'!$O$2:$O$200,MATCH($Y348,'Test catalog'!$A$2:$A$200,0))),"")</f>
        <v/>
      </c>
      <c r="R348" s="11">
        <f>IFERROR(IF(INDEX('Test catalog'!$P$2:$P$200,MATCH($Y348,'Test catalog'!$A$2:$A$200,0))="","",INDEX('Test catalog'!$P$2:$P$200,MATCH($Y348,'Test catalog'!$A$2:$A$200,0))),"")</f>
        <v/>
      </c>
      <c r="S348" s="14" t="n"/>
      <c r="T348" s="5" t="inlineStr">
        <is>
          <t>N</t>
        </is>
      </c>
      <c r="U348" s="11">
        <f>IFERROR(IF(INDEX('Test catalog'!$Q$2:$Q$200,MATCH($Y348,'Test catalog'!$A$2:$A$200,0))="","",INDEX('Test catalog'!$Q$2:$Q$200,MATCH($Y348,'Test catalog'!$A$2:$A$200,0))),"")</f>
        <v/>
      </c>
      <c r="V348" s="5" t="n"/>
      <c r="W348" s="5" t="n"/>
      <c r="X348" s="5" t="n"/>
      <c r="Y348" s="5" t="inlineStr">
        <is>
          <t>ECOLI</t>
        </is>
      </c>
      <c r="Z348" s="11" t="inlineStr">
        <is>
          <t>USP &lt;1111&gt; oral solid: TAMC, TYMC, absence of E. coli</t>
        </is>
      </c>
    </row>
    <row r="349">
      <c r="A349" s="11" t="inlineStr">
        <is>
          <t>F40</t>
        </is>
      </c>
      <c r="B349" s="11" t="inlineStr">
        <is>
          <t>FP</t>
        </is>
      </c>
      <c r="C349" s="11" t="inlineStr">
        <is>
          <t>Magni D  |  Magnesium Oxide Heavy, Thiamine Hydrochloride (Vitamin B1) (+2 more)</t>
        </is>
      </c>
      <c r="D349" s="11" t="inlineStr">
        <is>
          <t>Microbial enumeration - TAMC + TYMC (&lt;61&gt; / &lt;2021&gt;)</t>
        </is>
      </c>
      <c r="E349" s="5" t="inlineStr">
        <is>
          <t>Y</t>
        </is>
      </c>
      <c r="F349" s="5" t="n"/>
      <c r="G349" s="11">
        <f>IFERROR(IF(INDEX('Test catalog'!$F$2:$F$200,MATCH($Y349,'Test catalog'!$A$2:$A$200,0))="","",INDEX('Test catalog'!$F$2:$F$200,MATCH($Y349,'Test catalog'!$A$2:$A$200,0))),"")</f>
        <v/>
      </c>
      <c r="H349" s="11">
        <f>IFERROR(IF(INDEX('Test catalog'!$G$2:$G$200,MATCH($Y349,'Test catalog'!$A$2:$A$200,0))="","",INDEX('Test catalog'!$G$2:$G$200,MATCH($Y349,'Test catalog'!$A$2:$A$200,0))),"")</f>
        <v/>
      </c>
      <c r="I349" s="11">
        <f>IFERROR(IF(INDEX('Test catalog'!$H$2:$H$200,MATCH($Y349,'Test catalog'!$A$2:$A$200,0))="","",INDEX('Test catalog'!$H$2:$H$200,MATCH($Y349,'Test catalog'!$A$2:$A$200,0))),"")</f>
        <v/>
      </c>
      <c r="J349" s="11">
        <f>IFERROR(IF(INDEX('Test catalog'!$I$2:$I$200,MATCH($Y349,'Test catalog'!$A$2:$A$200,0))="","",INDEX('Test catalog'!$I$2:$I$200,MATCH($Y349,'Test catalog'!$A$2:$A$200,0))),"")</f>
        <v/>
      </c>
      <c r="K349" s="13">
        <f>IF(I349="","",IF(OR(H349="",J349=""),I349,(H349+4*I349+J349)/6))</f>
        <v/>
      </c>
      <c r="L349" s="11">
        <f>IFERROR(IF(INDEX('Test catalog'!$J$2:$J$200,MATCH($Y349,'Test catalog'!$A$2:$A$200,0))="","",INDEX('Test catalog'!$J$2:$J$200,MATCH($Y349,'Test catalog'!$A$2:$A$200,0))),"")</f>
        <v/>
      </c>
      <c r="M349" s="11">
        <f>IFERROR(IF(INDEX('Test catalog'!$K$2:$K$200,MATCH($Y349,'Test catalog'!$A$2:$A$200,0))="","",INDEX('Test catalog'!$K$2:$K$200,MATCH($Y349,'Test catalog'!$A$2:$A$200,0))),"")</f>
        <v/>
      </c>
      <c r="N349" s="11">
        <f>IFERROR(IF(INDEX('Test catalog'!$L$2:$L$200,MATCH($Y349,'Test catalog'!$A$2:$A$200,0))="","",INDEX('Test catalog'!$L$2:$L$200,MATCH($Y349,'Test catalog'!$A$2:$A$200,0))),"")</f>
        <v/>
      </c>
      <c r="O349" s="11">
        <f>IFERROR(IF(INDEX('Test catalog'!$M$2:$M$200,MATCH($Y349,'Test catalog'!$A$2:$A$200,0))="","",INDEX('Test catalog'!$M$2:$M$200,MATCH($Y349,'Test catalog'!$A$2:$A$200,0))),"")</f>
        <v/>
      </c>
      <c r="P349" s="11">
        <f>IFERROR(IF(INDEX('Test catalog'!$N$2:$N$200,MATCH($Y349,'Test catalog'!$A$2:$A$200,0))="","",INDEX('Test catalog'!$N$2:$N$200,MATCH($Y349,'Test catalog'!$A$2:$A$200,0))),"")</f>
        <v/>
      </c>
      <c r="Q349" s="11">
        <f>IFERROR(IF(INDEX('Test catalog'!$O$2:$O$200,MATCH($Y349,'Test catalog'!$A$2:$A$200,0))="","",INDEX('Test catalog'!$O$2:$O$200,MATCH($Y349,'Test catalog'!$A$2:$A$200,0))),"")</f>
        <v/>
      </c>
      <c r="R349" s="11">
        <f>IFERROR(IF(INDEX('Test catalog'!$P$2:$P$200,MATCH($Y349,'Test catalog'!$A$2:$A$200,0))="","",INDEX('Test catalog'!$P$2:$P$200,MATCH($Y349,'Test catalog'!$A$2:$A$200,0))),"")</f>
        <v/>
      </c>
      <c r="S349" s="14" t="n"/>
      <c r="T349" s="5" t="inlineStr">
        <is>
          <t>Y</t>
        </is>
      </c>
      <c r="U349" s="11">
        <f>IFERROR(IF(INDEX('Test catalog'!$Q$2:$Q$200,MATCH($Y349,'Test catalog'!$A$2:$A$200,0))="","",INDEX('Test catalog'!$Q$2:$Q$200,MATCH($Y349,'Test catalog'!$A$2:$A$200,0))),"")</f>
        <v/>
      </c>
      <c r="V349" s="5" t="n"/>
      <c r="W349" s="5" t="n"/>
      <c r="X349" s="5" t="n"/>
      <c r="Y349" s="5" t="inlineStr">
        <is>
          <t>ENUM</t>
        </is>
      </c>
      <c r="Z349" s="11" t="inlineStr">
        <is>
          <t>USP &lt;1111&gt; oral solid: TAMC, TYMC, absence of E. coli</t>
        </is>
      </c>
    </row>
    <row r="350">
      <c r="A350" s="11" t="inlineStr">
        <is>
          <t>F40</t>
        </is>
      </c>
      <c r="B350" s="11" t="inlineStr">
        <is>
          <t>FP</t>
        </is>
      </c>
      <c r="C350" s="11" t="inlineStr">
        <is>
          <t>Magni D  |  Magnesium Oxide Heavy, Thiamine Hydrochloride (Vitamin B1) (+2 more)</t>
        </is>
      </c>
      <c r="D350" s="11" t="inlineStr">
        <is>
          <t>Absence of Escherichia coli (&lt;62&gt; / &lt;2022&gt;)</t>
        </is>
      </c>
      <c r="E350" s="5" t="inlineStr">
        <is>
          <t>Y</t>
        </is>
      </c>
      <c r="F350" s="5" t="n"/>
      <c r="G350" s="11">
        <f>IFERROR(IF(INDEX('Test catalog'!$F$2:$F$200,MATCH($Y350,'Test catalog'!$A$2:$A$200,0))="","",INDEX('Test catalog'!$F$2:$F$200,MATCH($Y350,'Test catalog'!$A$2:$A$200,0))),"")</f>
        <v/>
      </c>
      <c r="H350" s="11">
        <f>IFERROR(IF(INDEX('Test catalog'!$G$2:$G$200,MATCH($Y350,'Test catalog'!$A$2:$A$200,0))="","",INDEX('Test catalog'!$G$2:$G$200,MATCH($Y350,'Test catalog'!$A$2:$A$200,0))),"")</f>
        <v/>
      </c>
      <c r="I350" s="11">
        <f>IFERROR(IF(INDEX('Test catalog'!$H$2:$H$200,MATCH($Y350,'Test catalog'!$A$2:$A$200,0))="","",INDEX('Test catalog'!$H$2:$H$200,MATCH($Y350,'Test catalog'!$A$2:$A$200,0))),"")</f>
        <v/>
      </c>
      <c r="J350" s="11">
        <f>IFERROR(IF(INDEX('Test catalog'!$I$2:$I$200,MATCH($Y350,'Test catalog'!$A$2:$A$200,0))="","",INDEX('Test catalog'!$I$2:$I$200,MATCH($Y350,'Test catalog'!$A$2:$A$200,0))),"")</f>
        <v/>
      </c>
      <c r="K350" s="13">
        <f>IF(I350="","",IF(OR(H350="",J350=""),I350,(H350+4*I350+J350)/6))</f>
        <v/>
      </c>
      <c r="L350" s="11">
        <f>IFERROR(IF(INDEX('Test catalog'!$J$2:$J$200,MATCH($Y350,'Test catalog'!$A$2:$A$200,0))="","",INDEX('Test catalog'!$J$2:$J$200,MATCH($Y350,'Test catalog'!$A$2:$A$200,0))),"")</f>
        <v/>
      </c>
      <c r="M350" s="11">
        <f>IFERROR(IF(INDEX('Test catalog'!$K$2:$K$200,MATCH($Y350,'Test catalog'!$A$2:$A$200,0))="","",INDEX('Test catalog'!$K$2:$K$200,MATCH($Y350,'Test catalog'!$A$2:$A$200,0))),"")</f>
        <v/>
      </c>
      <c r="N350" s="11">
        <f>IFERROR(IF(INDEX('Test catalog'!$L$2:$L$200,MATCH($Y350,'Test catalog'!$A$2:$A$200,0))="","",INDEX('Test catalog'!$L$2:$L$200,MATCH($Y350,'Test catalog'!$A$2:$A$200,0))),"")</f>
        <v/>
      </c>
      <c r="O350" s="11">
        <f>IFERROR(IF(INDEX('Test catalog'!$M$2:$M$200,MATCH($Y350,'Test catalog'!$A$2:$A$200,0))="","",INDEX('Test catalog'!$M$2:$M$200,MATCH($Y350,'Test catalog'!$A$2:$A$200,0))),"")</f>
        <v/>
      </c>
      <c r="P350" s="11">
        <f>IFERROR(IF(INDEX('Test catalog'!$N$2:$N$200,MATCH($Y350,'Test catalog'!$A$2:$A$200,0))="","",INDEX('Test catalog'!$N$2:$N$200,MATCH($Y350,'Test catalog'!$A$2:$A$200,0))),"")</f>
        <v/>
      </c>
      <c r="Q350" s="11">
        <f>IFERROR(IF(INDEX('Test catalog'!$O$2:$O$200,MATCH($Y350,'Test catalog'!$A$2:$A$200,0))="","",INDEX('Test catalog'!$O$2:$O$200,MATCH($Y350,'Test catalog'!$A$2:$A$200,0))),"")</f>
        <v/>
      </c>
      <c r="R350" s="11">
        <f>IFERROR(IF(INDEX('Test catalog'!$P$2:$P$200,MATCH($Y350,'Test catalog'!$A$2:$A$200,0))="","",INDEX('Test catalog'!$P$2:$P$200,MATCH($Y350,'Test catalog'!$A$2:$A$200,0))),"")</f>
        <v/>
      </c>
      <c r="S350" s="14" t="n"/>
      <c r="T350" s="5" t="inlineStr">
        <is>
          <t>N</t>
        </is>
      </c>
      <c r="U350" s="11">
        <f>IFERROR(IF(INDEX('Test catalog'!$Q$2:$Q$200,MATCH($Y350,'Test catalog'!$A$2:$A$200,0))="","",INDEX('Test catalog'!$Q$2:$Q$200,MATCH($Y350,'Test catalog'!$A$2:$A$200,0))),"")</f>
        <v/>
      </c>
      <c r="V350" s="5" t="n"/>
      <c r="W350" s="5" t="n"/>
      <c r="X350" s="5" t="n"/>
      <c r="Y350" s="5" t="inlineStr">
        <is>
          <t>ECOLI</t>
        </is>
      </c>
      <c r="Z350" s="11" t="inlineStr">
        <is>
          <t>USP &lt;1111&gt; oral solid: TAMC, TYMC, absence of E. coli</t>
        </is>
      </c>
    </row>
    <row r="351">
      <c r="A351" s="11" t="inlineStr">
        <is>
          <t>F41</t>
        </is>
      </c>
      <c r="B351" s="11" t="inlineStr">
        <is>
          <t>FP</t>
        </is>
      </c>
      <c r="C351" s="11" t="inlineStr">
        <is>
          <t>Sweet Sleep  |  actives TBD: Sweet Sleep</t>
        </is>
      </c>
      <c r="D351" s="11" t="inlineStr">
        <is>
          <t>Microbial enumeration - TAMC + TYMC (&lt;61&gt; / &lt;2021&gt;)</t>
        </is>
      </c>
      <c r="E351" s="5" t="inlineStr">
        <is>
          <t>Y</t>
        </is>
      </c>
      <c r="F351" s="5" t="n"/>
      <c r="G351" s="11">
        <f>IFERROR(IF(INDEX('Test catalog'!$F$2:$F$200,MATCH($Y351,'Test catalog'!$A$2:$A$200,0))="","",INDEX('Test catalog'!$F$2:$F$200,MATCH($Y351,'Test catalog'!$A$2:$A$200,0))),"")</f>
        <v/>
      </c>
      <c r="H351" s="11">
        <f>IFERROR(IF(INDEX('Test catalog'!$G$2:$G$200,MATCH($Y351,'Test catalog'!$A$2:$A$200,0))="","",INDEX('Test catalog'!$G$2:$G$200,MATCH($Y351,'Test catalog'!$A$2:$A$200,0))),"")</f>
        <v/>
      </c>
      <c r="I351" s="11">
        <f>IFERROR(IF(INDEX('Test catalog'!$H$2:$H$200,MATCH($Y351,'Test catalog'!$A$2:$A$200,0))="","",INDEX('Test catalog'!$H$2:$H$200,MATCH($Y351,'Test catalog'!$A$2:$A$200,0))),"")</f>
        <v/>
      </c>
      <c r="J351" s="11">
        <f>IFERROR(IF(INDEX('Test catalog'!$I$2:$I$200,MATCH($Y351,'Test catalog'!$A$2:$A$200,0))="","",INDEX('Test catalog'!$I$2:$I$200,MATCH($Y351,'Test catalog'!$A$2:$A$200,0))),"")</f>
        <v/>
      </c>
      <c r="K351" s="13">
        <f>IF(I351="","",IF(OR(H351="",J351=""),I351,(H351+4*I351+J351)/6))</f>
        <v/>
      </c>
      <c r="L351" s="11">
        <f>IFERROR(IF(INDEX('Test catalog'!$J$2:$J$200,MATCH($Y351,'Test catalog'!$A$2:$A$200,0))="","",INDEX('Test catalog'!$J$2:$J$200,MATCH($Y351,'Test catalog'!$A$2:$A$200,0))),"")</f>
        <v/>
      </c>
      <c r="M351" s="11">
        <f>IFERROR(IF(INDEX('Test catalog'!$K$2:$K$200,MATCH($Y351,'Test catalog'!$A$2:$A$200,0))="","",INDEX('Test catalog'!$K$2:$K$200,MATCH($Y351,'Test catalog'!$A$2:$A$200,0))),"")</f>
        <v/>
      </c>
      <c r="N351" s="11">
        <f>IFERROR(IF(INDEX('Test catalog'!$L$2:$L$200,MATCH($Y351,'Test catalog'!$A$2:$A$200,0))="","",INDEX('Test catalog'!$L$2:$L$200,MATCH($Y351,'Test catalog'!$A$2:$A$200,0))),"")</f>
        <v/>
      </c>
      <c r="O351" s="11">
        <f>IFERROR(IF(INDEX('Test catalog'!$M$2:$M$200,MATCH($Y351,'Test catalog'!$A$2:$A$200,0))="","",INDEX('Test catalog'!$M$2:$M$200,MATCH($Y351,'Test catalog'!$A$2:$A$200,0))),"")</f>
        <v/>
      </c>
      <c r="P351" s="11">
        <f>IFERROR(IF(INDEX('Test catalog'!$N$2:$N$200,MATCH($Y351,'Test catalog'!$A$2:$A$200,0))="","",INDEX('Test catalog'!$N$2:$N$200,MATCH($Y351,'Test catalog'!$A$2:$A$200,0))),"")</f>
        <v/>
      </c>
      <c r="Q351" s="11">
        <f>IFERROR(IF(INDEX('Test catalog'!$O$2:$O$200,MATCH($Y351,'Test catalog'!$A$2:$A$200,0))="","",INDEX('Test catalog'!$O$2:$O$200,MATCH($Y351,'Test catalog'!$A$2:$A$200,0))),"")</f>
        <v/>
      </c>
      <c r="R351" s="11">
        <f>IFERROR(IF(INDEX('Test catalog'!$P$2:$P$200,MATCH($Y351,'Test catalog'!$A$2:$A$200,0))="","",INDEX('Test catalog'!$P$2:$P$200,MATCH($Y351,'Test catalog'!$A$2:$A$200,0))),"")</f>
        <v/>
      </c>
      <c r="S351" s="14" t="n"/>
      <c r="T351" s="5" t="inlineStr">
        <is>
          <t>Y</t>
        </is>
      </c>
      <c r="U351" s="11">
        <f>IFERROR(IF(INDEX('Test catalog'!$Q$2:$Q$200,MATCH($Y351,'Test catalog'!$A$2:$A$200,0))="","",INDEX('Test catalog'!$Q$2:$Q$200,MATCH($Y351,'Test catalog'!$A$2:$A$200,0))),"")</f>
        <v/>
      </c>
      <c r="V351" s="5" t="n"/>
      <c r="W351" s="5" t="n"/>
      <c r="X351" s="5" t="n"/>
      <c r="Y351" s="5" t="inlineStr">
        <is>
          <t>ENUM</t>
        </is>
      </c>
      <c r="Z351" s="11" t="inlineStr">
        <is>
          <t>USP &lt;1111&gt; oral solid: TAMC, TYMC, absence of E. coli</t>
        </is>
      </c>
    </row>
    <row r="352">
      <c r="A352" s="11" t="inlineStr">
        <is>
          <t>F41</t>
        </is>
      </c>
      <c r="B352" s="11" t="inlineStr">
        <is>
          <t>FP</t>
        </is>
      </c>
      <c r="C352" s="11" t="inlineStr">
        <is>
          <t>Sweet Sleep  |  actives TBD: Sweet Sleep</t>
        </is>
      </c>
      <c r="D352" s="11" t="inlineStr">
        <is>
          <t>Absence of Escherichia coli (&lt;62&gt; / &lt;2022&gt;)</t>
        </is>
      </c>
      <c r="E352" s="5" t="inlineStr">
        <is>
          <t>Y</t>
        </is>
      </c>
      <c r="F352" s="5" t="n"/>
      <c r="G352" s="11">
        <f>IFERROR(IF(INDEX('Test catalog'!$F$2:$F$200,MATCH($Y352,'Test catalog'!$A$2:$A$200,0))="","",INDEX('Test catalog'!$F$2:$F$200,MATCH($Y352,'Test catalog'!$A$2:$A$200,0))),"")</f>
        <v/>
      </c>
      <c r="H352" s="11">
        <f>IFERROR(IF(INDEX('Test catalog'!$G$2:$G$200,MATCH($Y352,'Test catalog'!$A$2:$A$200,0))="","",INDEX('Test catalog'!$G$2:$G$200,MATCH($Y352,'Test catalog'!$A$2:$A$200,0))),"")</f>
        <v/>
      </c>
      <c r="I352" s="11">
        <f>IFERROR(IF(INDEX('Test catalog'!$H$2:$H$200,MATCH($Y352,'Test catalog'!$A$2:$A$200,0))="","",INDEX('Test catalog'!$H$2:$H$200,MATCH($Y352,'Test catalog'!$A$2:$A$200,0))),"")</f>
        <v/>
      </c>
      <c r="J352" s="11">
        <f>IFERROR(IF(INDEX('Test catalog'!$I$2:$I$200,MATCH($Y352,'Test catalog'!$A$2:$A$200,0))="","",INDEX('Test catalog'!$I$2:$I$200,MATCH($Y352,'Test catalog'!$A$2:$A$200,0))),"")</f>
        <v/>
      </c>
      <c r="K352" s="13">
        <f>IF(I352="","",IF(OR(H352="",J352=""),I352,(H352+4*I352+J352)/6))</f>
        <v/>
      </c>
      <c r="L352" s="11">
        <f>IFERROR(IF(INDEX('Test catalog'!$J$2:$J$200,MATCH($Y352,'Test catalog'!$A$2:$A$200,0))="","",INDEX('Test catalog'!$J$2:$J$200,MATCH($Y352,'Test catalog'!$A$2:$A$200,0))),"")</f>
        <v/>
      </c>
      <c r="M352" s="11">
        <f>IFERROR(IF(INDEX('Test catalog'!$K$2:$K$200,MATCH($Y352,'Test catalog'!$A$2:$A$200,0))="","",INDEX('Test catalog'!$K$2:$K$200,MATCH($Y352,'Test catalog'!$A$2:$A$200,0))),"")</f>
        <v/>
      </c>
      <c r="N352" s="11">
        <f>IFERROR(IF(INDEX('Test catalog'!$L$2:$L$200,MATCH($Y352,'Test catalog'!$A$2:$A$200,0))="","",INDEX('Test catalog'!$L$2:$L$200,MATCH($Y352,'Test catalog'!$A$2:$A$200,0))),"")</f>
        <v/>
      </c>
      <c r="O352" s="11">
        <f>IFERROR(IF(INDEX('Test catalog'!$M$2:$M$200,MATCH($Y352,'Test catalog'!$A$2:$A$200,0))="","",INDEX('Test catalog'!$M$2:$M$200,MATCH($Y352,'Test catalog'!$A$2:$A$200,0))),"")</f>
        <v/>
      </c>
      <c r="P352" s="11">
        <f>IFERROR(IF(INDEX('Test catalog'!$N$2:$N$200,MATCH($Y352,'Test catalog'!$A$2:$A$200,0))="","",INDEX('Test catalog'!$N$2:$N$200,MATCH($Y352,'Test catalog'!$A$2:$A$200,0))),"")</f>
        <v/>
      </c>
      <c r="Q352" s="11">
        <f>IFERROR(IF(INDEX('Test catalog'!$O$2:$O$200,MATCH($Y352,'Test catalog'!$A$2:$A$200,0))="","",INDEX('Test catalog'!$O$2:$O$200,MATCH($Y352,'Test catalog'!$A$2:$A$200,0))),"")</f>
        <v/>
      </c>
      <c r="R352" s="11">
        <f>IFERROR(IF(INDEX('Test catalog'!$P$2:$P$200,MATCH($Y352,'Test catalog'!$A$2:$A$200,0))="","",INDEX('Test catalog'!$P$2:$P$200,MATCH($Y352,'Test catalog'!$A$2:$A$200,0))),"")</f>
        <v/>
      </c>
      <c r="S352" s="14" t="n"/>
      <c r="T352" s="5" t="inlineStr">
        <is>
          <t>N</t>
        </is>
      </c>
      <c r="U352" s="11">
        <f>IFERROR(IF(INDEX('Test catalog'!$Q$2:$Q$200,MATCH($Y352,'Test catalog'!$A$2:$A$200,0))="","",INDEX('Test catalog'!$Q$2:$Q$200,MATCH($Y352,'Test catalog'!$A$2:$A$200,0))),"")</f>
        <v/>
      </c>
      <c r="V352" s="5" t="n"/>
      <c r="W352" s="5" t="n"/>
      <c r="X352" s="5" t="n"/>
      <c r="Y352" s="5" t="inlineStr">
        <is>
          <t>ECOLI</t>
        </is>
      </c>
      <c r="Z352" s="11" t="inlineStr">
        <is>
          <t>USP &lt;1111&gt; oral solid: TAMC, TYMC, absence of E. coli</t>
        </is>
      </c>
    </row>
    <row r="353">
      <c r="A353" s="11" t="inlineStr">
        <is>
          <t>F42</t>
        </is>
      </c>
      <c r="B353" s="11" t="inlineStr">
        <is>
          <t>FP</t>
        </is>
      </c>
      <c r="C353" s="11" t="inlineStr">
        <is>
          <t>Ferrikid  |  actives TBD: Ferrikid</t>
        </is>
      </c>
      <c r="D353" s="11" t="inlineStr">
        <is>
          <t>Microbial enumeration - TAMC + TYMC (&lt;61&gt; / &lt;2021&gt;)</t>
        </is>
      </c>
      <c r="E353" s="5" t="inlineStr">
        <is>
          <t>Y</t>
        </is>
      </c>
      <c r="F353" s="5" t="n"/>
      <c r="G353" s="11">
        <f>IFERROR(IF(INDEX('Test catalog'!$F$2:$F$200,MATCH($Y353,'Test catalog'!$A$2:$A$200,0))="","",INDEX('Test catalog'!$F$2:$F$200,MATCH($Y353,'Test catalog'!$A$2:$A$200,0))),"")</f>
        <v/>
      </c>
      <c r="H353" s="11">
        <f>IFERROR(IF(INDEX('Test catalog'!$G$2:$G$200,MATCH($Y353,'Test catalog'!$A$2:$A$200,0))="","",INDEX('Test catalog'!$G$2:$G$200,MATCH($Y353,'Test catalog'!$A$2:$A$200,0))),"")</f>
        <v/>
      </c>
      <c r="I353" s="11">
        <f>IFERROR(IF(INDEX('Test catalog'!$H$2:$H$200,MATCH($Y353,'Test catalog'!$A$2:$A$200,0))="","",INDEX('Test catalog'!$H$2:$H$200,MATCH($Y353,'Test catalog'!$A$2:$A$200,0))),"")</f>
        <v/>
      </c>
      <c r="J353" s="11">
        <f>IFERROR(IF(INDEX('Test catalog'!$I$2:$I$200,MATCH($Y353,'Test catalog'!$A$2:$A$200,0))="","",INDEX('Test catalog'!$I$2:$I$200,MATCH($Y353,'Test catalog'!$A$2:$A$200,0))),"")</f>
        <v/>
      </c>
      <c r="K353" s="13">
        <f>IF(I353="","",IF(OR(H353="",J353=""),I353,(H353+4*I353+J353)/6))</f>
        <v/>
      </c>
      <c r="L353" s="11">
        <f>IFERROR(IF(INDEX('Test catalog'!$J$2:$J$200,MATCH($Y353,'Test catalog'!$A$2:$A$200,0))="","",INDEX('Test catalog'!$J$2:$J$200,MATCH($Y353,'Test catalog'!$A$2:$A$200,0))),"")</f>
        <v/>
      </c>
      <c r="M353" s="11">
        <f>IFERROR(IF(INDEX('Test catalog'!$K$2:$K$200,MATCH($Y353,'Test catalog'!$A$2:$A$200,0))="","",INDEX('Test catalog'!$K$2:$K$200,MATCH($Y353,'Test catalog'!$A$2:$A$200,0))),"")</f>
        <v/>
      </c>
      <c r="N353" s="11">
        <f>IFERROR(IF(INDEX('Test catalog'!$L$2:$L$200,MATCH($Y353,'Test catalog'!$A$2:$A$200,0))="","",INDEX('Test catalog'!$L$2:$L$200,MATCH($Y353,'Test catalog'!$A$2:$A$200,0))),"")</f>
        <v/>
      </c>
      <c r="O353" s="11">
        <f>IFERROR(IF(INDEX('Test catalog'!$M$2:$M$200,MATCH($Y353,'Test catalog'!$A$2:$A$200,0))="","",INDEX('Test catalog'!$M$2:$M$200,MATCH($Y353,'Test catalog'!$A$2:$A$200,0))),"")</f>
        <v/>
      </c>
      <c r="P353" s="11">
        <f>IFERROR(IF(INDEX('Test catalog'!$N$2:$N$200,MATCH($Y353,'Test catalog'!$A$2:$A$200,0))="","",INDEX('Test catalog'!$N$2:$N$200,MATCH($Y353,'Test catalog'!$A$2:$A$200,0))),"")</f>
        <v/>
      </c>
      <c r="Q353" s="11">
        <f>IFERROR(IF(INDEX('Test catalog'!$O$2:$O$200,MATCH($Y353,'Test catalog'!$A$2:$A$200,0))="","",INDEX('Test catalog'!$O$2:$O$200,MATCH($Y353,'Test catalog'!$A$2:$A$200,0))),"")</f>
        <v/>
      </c>
      <c r="R353" s="11">
        <f>IFERROR(IF(INDEX('Test catalog'!$P$2:$P$200,MATCH($Y353,'Test catalog'!$A$2:$A$200,0))="","",INDEX('Test catalog'!$P$2:$P$200,MATCH($Y353,'Test catalog'!$A$2:$A$200,0))),"")</f>
        <v/>
      </c>
      <c r="S353" s="14" t="n"/>
      <c r="T353" s="5" t="inlineStr">
        <is>
          <t>Y</t>
        </is>
      </c>
      <c r="U353" s="11">
        <f>IFERROR(IF(INDEX('Test catalog'!$Q$2:$Q$200,MATCH($Y353,'Test catalog'!$A$2:$A$200,0))="","",INDEX('Test catalog'!$Q$2:$Q$200,MATCH($Y353,'Test catalog'!$A$2:$A$200,0))),"")</f>
        <v/>
      </c>
      <c r="V353" s="5" t="n"/>
      <c r="W353" s="5" t="n"/>
      <c r="X353" s="5" t="n"/>
      <c r="Y353" s="5" t="inlineStr">
        <is>
          <t>ENUM</t>
        </is>
      </c>
      <c r="Z353" s="11" t="inlineStr">
        <is>
          <t>USP &lt;1111&gt; oral solid: TAMC, TYMC, absence of E. coli</t>
        </is>
      </c>
    </row>
    <row r="354">
      <c r="A354" s="11" t="inlineStr">
        <is>
          <t>F42</t>
        </is>
      </c>
      <c r="B354" s="11" t="inlineStr">
        <is>
          <t>FP</t>
        </is>
      </c>
      <c r="C354" s="11" t="inlineStr">
        <is>
          <t>Ferrikid  |  actives TBD: Ferrikid</t>
        </is>
      </c>
      <c r="D354" s="11" t="inlineStr">
        <is>
          <t>Absence of Escherichia coli (&lt;62&gt; / &lt;2022&gt;)</t>
        </is>
      </c>
      <c r="E354" s="5" t="inlineStr">
        <is>
          <t>Y</t>
        </is>
      </c>
      <c r="F354" s="5" t="n"/>
      <c r="G354" s="11">
        <f>IFERROR(IF(INDEX('Test catalog'!$F$2:$F$200,MATCH($Y354,'Test catalog'!$A$2:$A$200,0))="","",INDEX('Test catalog'!$F$2:$F$200,MATCH($Y354,'Test catalog'!$A$2:$A$200,0))),"")</f>
        <v/>
      </c>
      <c r="H354" s="11">
        <f>IFERROR(IF(INDEX('Test catalog'!$G$2:$G$200,MATCH($Y354,'Test catalog'!$A$2:$A$200,0))="","",INDEX('Test catalog'!$G$2:$G$200,MATCH($Y354,'Test catalog'!$A$2:$A$200,0))),"")</f>
        <v/>
      </c>
      <c r="I354" s="11">
        <f>IFERROR(IF(INDEX('Test catalog'!$H$2:$H$200,MATCH($Y354,'Test catalog'!$A$2:$A$200,0))="","",INDEX('Test catalog'!$H$2:$H$200,MATCH($Y354,'Test catalog'!$A$2:$A$200,0))),"")</f>
        <v/>
      </c>
      <c r="J354" s="11">
        <f>IFERROR(IF(INDEX('Test catalog'!$I$2:$I$200,MATCH($Y354,'Test catalog'!$A$2:$A$200,0))="","",INDEX('Test catalog'!$I$2:$I$200,MATCH($Y354,'Test catalog'!$A$2:$A$200,0))),"")</f>
        <v/>
      </c>
      <c r="K354" s="13">
        <f>IF(I354="","",IF(OR(H354="",J354=""),I354,(H354+4*I354+J354)/6))</f>
        <v/>
      </c>
      <c r="L354" s="11">
        <f>IFERROR(IF(INDEX('Test catalog'!$J$2:$J$200,MATCH($Y354,'Test catalog'!$A$2:$A$200,0))="","",INDEX('Test catalog'!$J$2:$J$200,MATCH($Y354,'Test catalog'!$A$2:$A$200,0))),"")</f>
        <v/>
      </c>
      <c r="M354" s="11">
        <f>IFERROR(IF(INDEX('Test catalog'!$K$2:$K$200,MATCH($Y354,'Test catalog'!$A$2:$A$200,0))="","",INDEX('Test catalog'!$K$2:$K$200,MATCH($Y354,'Test catalog'!$A$2:$A$200,0))),"")</f>
        <v/>
      </c>
      <c r="N354" s="11">
        <f>IFERROR(IF(INDEX('Test catalog'!$L$2:$L$200,MATCH($Y354,'Test catalog'!$A$2:$A$200,0))="","",INDEX('Test catalog'!$L$2:$L$200,MATCH($Y354,'Test catalog'!$A$2:$A$200,0))),"")</f>
        <v/>
      </c>
      <c r="O354" s="11">
        <f>IFERROR(IF(INDEX('Test catalog'!$M$2:$M$200,MATCH($Y354,'Test catalog'!$A$2:$A$200,0))="","",INDEX('Test catalog'!$M$2:$M$200,MATCH($Y354,'Test catalog'!$A$2:$A$200,0))),"")</f>
        <v/>
      </c>
      <c r="P354" s="11">
        <f>IFERROR(IF(INDEX('Test catalog'!$N$2:$N$200,MATCH($Y354,'Test catalog'!$A$2:$A$200,0))="","",INDEX('Test catalog'!$N$2:$N$200,MATCH($Y354,'Test catalog'!$A$2:$A$200,0))),"")</f>
        <v/>
      </c>
      <c r="Q354" s="11">
        <f>IFERROR(IF(INDEX('Test catalog'!$O$2:$O$200,MATCH($Y354,'Test catalog'!$A$2:$A$200,0))="","",INDEX('Test catalog'!$O$2:$O$200,MATCH($Y354,'Test catalog'!$A$2:$A$200,0))),"")</f>
        <v/>
      </c>
      <c r="R354" s="11">
        <f>IFERROR(IF(INDEX('Test catalog'!$P$2:$P$200,MATCH($Y354,'Test catalog'!$A$2:$A$200,0))="","",INDEX('Test catalog'!$P$2:$P$200,MATCH($Y354,'Test catalog'!$A$2:$A$200,0))),"")</f>
        <v/>
      </c>
      <c r="S354" s="14" t="n"/>
      <c r="T354" s="5" t="inlineStr">
        <is>
          <t>N</t>
        </is>
      </c>
      <c r="U354" s="11">
        <f>IFERROR(IF(INDEX('Test catalog'!$Q$2:$Q$200,MATCH($Y354,'Test catalog'!$A$2:$A$200,0))="","",INDEX('Test catalog'!$Q$2:$Q$200,MATCH($Y354,'Test catalog'!$A$2:$A$200,0))),"")</f>
        <v/>
      </c>
      <c r="V354" s="5" t="n"/>
      <c r="W354" s="5" t="n"/>
      <c r="X354" s="5" t="n"/>
      <c r="Y354" s="5" t="inlineStr">
        <is>
          <t>ECOLI</t>
        </is>
      </c>
      <c r="Z354" s="11" t="inlineStr">
        <is>
          <t>USP &lt;1111&gt; oral solid: TAMC, TYMC, absence of E. coli</t>
        </is>
      </c>
    </row>
    <row r="355">
      <c r="A355" s="11" t="inlineStr">
        <is>
          <t>F43</t>
        </is>
      </c>
      <c r="B355" s="11" t="inlineStr">
        <is>
          <t>FP</t>
        </is>
      </c>
      <c r="C355" s="11" t="inlineStr">
        <is>
          <t>Painlys  |  Ginger Dry Extract 5:1, Devil's Claw Dry Extract 6:1 (+1 more)</t>
        </is>
      </c>
      <c r="D355" s="11" t="inlineStr">
        <is>
          <t>Microbial enumeration - TAMC + TYMC (&lt;61&gt; / &lt;2021&gt;)</t>
        </is>
      </c>
      <c r="E355" s="5" t="inlineStr">
        <is>
          <t>Y</t>
        </is>
      </c>
      <c r="F355" s="5" t="n"/>
      <c r="G355" s="11">
        <f>IFERROR(IF(INDEX('Test catalog'!$F$2:$F$200,MATCH($Y355,'Test catalog'!$A$2:$A$200,0))="","",INDEX('Test catalog'!$F$2:$F$200,MATCH($Y355,'Test catalog'!$A$2:$A$200,0))),"")</f>
        <v/>
      </c>
      <c r="H355" s="11">
        <f>IFERROR(IF(INDEX('Test catalog'!$G$2:$G$200,MATCH($Y355,'Test catalog'!$A$2:$A$200,0))="","",INDEX('Test catalog'!$G$2:$G$200,MATCH($Y355,'Test catalog'!$A$2:$A$200,0))),"")</f>
        <v/>
      </c>
      <c r="I355" s="11">
        <f>IFERROR(IF(INDEX('Test catalog'!$H$2:$H$200,MATCH($Y355,'Test catalog'!$A$2:$A$200,0))="","",INDEX('Test catalog'!$H$2:$H$200,MATCH($Y355,'Test catalog'!$A$2:$A$200,0))),"")</f>
        <v/>
      </c>
      <c r="J355" s="11">
        <f>IFERROR(IF(INDEX('Test catalog'!$I$2:$I$200,MATCH($Y355,'Test catalog'!$A$2:$A$200,0))="","",INDEX('Test catalog'!$I$2:$I$200,MATCH($Y355,'Test catalog'!$A$2:$A$200,0))),"")</f>
        <v/>
      </c>
      <c r="K355" s="13">
        <f>IF(I355="","",IF(OR(H355="",J355=""),I355,(H355+4*I355+J355)/6))</f>
        <v/>
      </c>
      <c r="L355" s="11">
        <f>IFERROR(IF(INDEX('Test catalog'!$J$2:$J$200,MATCH($Y355,'Test catalog'!$A$2:$A$200,0))="","",INDEX('Test catalog'!$J$2:$J$200,MATCH($Y355,'Test catalog'!$A$2:$A$200,0))),"")</f>
        <v/>
      </c>
      <c r="M355" s="11">
        <f>IFERROR(IF(INDEX('Test catalog'!$K$2:$K$200,MATCH($Y355,'Test catalog'!$A$2:$A$200,0))="","",INDEX('Test catalog'!$K$2:$K$200,MATCH($Y355,'Test catalog'!$A$2:$A$200,0))),"")</f>
        <v/>
      </c>
      <c r="N355" s="11">
        <f>IFERROR(IF(INDEX('Test catalog'!$L$2:$L$200,MATCH($Y355,'Test catalog'!$A$2:$A$200,0))="","",INDEX('Test catalog'!$L$2:$L$200,MATCH($Y355,'Test catalog'!$A$2:$A$200,0))),"")</f>
        <v/>
      </c>
      <c r="O355" s="11">
        <f>IFERROR(IF(INDEX('Test catalog'!$M$2:$M$200,MATCH($Y355,'Test catalog'!$A$2:$A$200,0))="","",INDEX('Test catalog'!$M$2:$M$200,MATCH($Y355,'Test catalog'!$A$2:$A$200,0))),"")</f>
        <v/>
      </c>
      <c r="P355" s="11">
        <f>IFERROR(IF(INDEX('Test catalog'!$N$2:$N$200,MATCH($Y355,'Test catalog'!$A$2:$A$200,0))="","",INDEX('Test catalog'!$N$2:$N$200,MATCH($Y355,'Test catalog'!$A$2:$A$200,0))),"")</f>
        <v/>
      </c>
      <c r="Q355" s="11">
        <f>IFERROR(IF(INDEX('Test catalog'!$O$2:$O$200,MATCH($Y355,'Test catalog'!$A$2:$A$200,0))="","",INDEX('Test catalog'!$O$2:$O$200,MATCH($Y355,'Test catalog'!$A$2:$A$200,0))),"")</f>
        <v/>
      </c>
      <c r="R355" s="11">
        <f>IFERROR(IF(INDEX('Test catalog'!$P$2:$P$200,MATCH($Y355,'Test catalog'!$A$2:$A$200,0))="","",INDEX('Test catalog'!$P$2:$P$200,MATCH($Y355,'Test catalog'!$A$2:$A$200,0))),"")</f>
        <v/>
      </c>
      <c r="S355" s="14" t="n"/>
      <c r="T355" s="5" t="inlineStr">
        <is>
          <t>Y</t>
        </is>
      </c>
      <c r="U355" s="11">
        <f>IFERROR(IF(INDEX('Test catalog'!$Q$2:$Q$200,MATCH($Y355,'Test catalog'!$A$2:$A$200,0))="","",INDEX('Test catalog'!$Q$2:$Q$200,MATCH($Y355,'Test catalog'!$A$2:$A$200,0))),"")</f>
        <v/>
      </c>
      <c r="V355" s="5" t="n"/>
      <c r="W355" s="5" t="n"/>
      <c r="X355" s="5" t="n"/>
      <c r="Y355" s="5" t="inlineStr">
        <is>
          <t>ENUM</t>
        </is>
      </c>
      <c r="Z355" s="11" t="inlineStr">
        <is>
          <t>USP &lt;1111&gt; oral solid: TAMC, TYMC, absence of E. coli; &lt;2023&gt; botanical: absence of Salmonella</t>
        </is>
      </c>
    </row>
    <row r="356">
      <c r="A356" s="11" t="inlineStr">
        <is>
          <t>F43</t>
        </is>
      </c>
      <c r="B356" s="11" t="inlineStr">
        <is>
          <t>FP</t>
        </is>
      </c>
      <c r="C356" s="11" t="inlineStr">
        <is>
          <t>Painlys  |  Ginger Dry Extract 5:1, Devil's Claw Dry Extract 6:1 (+1 more)</t>
        </is>
      </c>
      <c r="D356" s="11" t="inlineStr">
        <is>
          <t>Absence of Escherichia coli (&lt;62&gt; / &lt;2022&gt;)</t>
        </is>
      </c>
      <c r="E356" s="5" t="inlineStr">
        <is>
          <t>Y</t>
        </is>
      </c>
      <c r="F356" s="5" t="n"/>
      <c r="G356" s="11">
        <f>IFERROR(IF(INDEX('Test catalog'!$F$2:$F$200,MATCH($Y356,'Test catalog'!$A$2:$A$200,0))="","",INDEX('Test catalog'!$F$2:$F$200,MATCH($Y356,'Test catalog'!$A$2:$A$200,0))),"")</f>
        <v/>
      </c>
      <c r="H356" s="11">
        <f>IFERROR(IF(INDEX('Test catalog'!$G$2:$G$200,MATCH($Y356,'Test catalog'!$A$2:$A$200,0))="","",INDEX('Test catalog'!$G$2:$G$200,MATCH($Y356,'Test catalog'!$A$2:$A$200,0))),"")</f>
        <v/>
      </c>
      <c r="I356" s="11">
        <f>IFERROR(IF(INDEX('Test catalog'!$H$2:$H$200,MATCH($Y356,'Test catalog'!$A$2:$A$200,0))="","",INDEX('Test catalog'!$H$2:$H$200,MATCH($Y356,'Test catalog'!$A$2:$A$200,0))),"")</f>
        <v/>
      </c>
      <c r="J356" s="11">
        <f>IFERROR(IF(INDEX('Test catalog'!$I$2:$I$200,MATCH($Y356,'Test catalog'!$A$2:$A$200,0))="","",INDEX('Test catalog'!$I$2:$I$200,MATCH($Y356,'Test catalog'!$A$2:$A$200,0))),"")</f>
        <v/>
      </c>
      <c r="K356" s="13">
        <f>IF(I356="","",IF(OR(H356="",J356=""),I356,(H356+4*I356+J356)/6))</f>
        <v/>
      </c>
      <c r="L356" s="11">
        <f>IFERROR(IF(INDEX('Test catalog'!$J$2:$J$200,MATCH($Y356,'Test catalog'!$A$2:$A$200,0))="","",INDEX('Test catalog'!$J$2:$J$200,MATCH($Y356,'Test catalog'!$A$2:$A$200,0))),"")</f>
        <v/>
      </c>
      <c r="M356" s="11">
        <f>IFERROR(IF(INDEX('Test catalog'!$K$2:$K$200,MATCH($Y356,'Test catalog'!$A$2:$A$200,0))="","",INDEX('Test catalog'!$K$2:$K$200,MATCH($Y356,'Test catalog'!$A$2:$A$200,0))),"")</f>
        <v/>
      </c>
      <c r="N356" s="11">
        <f>IFERROR(IF(INDEX('Test catalog'!$L$2:$L$200,MATCH($Y356,'Test catalog'!$A$2:$A$200,0))="","",INDEX('Test catalog'!$L$2:$L$200,MATCH($Y356,'Test catalog'!$A$2:$A$200,0))),"")</f>
        <v/>
      </c>
      <c r="O356" s="11">
        <f>IFERROR(IF(INDEX('Test catalog'!$M$2:$M$200,MATCH($Y356,'Test catalog'!$A$2:$A$200,0))="","",INDEX('Test catalog'!$M$2:$M$200,MATCH($Y356,'Test catalog'!$A$2:$A$200,0))),"")</f>
        <v/>
      </c>
      <c r="P356" s="11">
        <f>IFERROR(IF(INDEX('Test catalog'!$N$2:$N$200,MATCH($Y356,'Test catalog'!$A$2:$A$200,0))="","",INDEX('Test catalog'!$N$2:$N$200,MATCH($Y356,'Test catalog'!$A$2:$A$200,0))),"")</f>
        <v/>
      </c>
      <c r="Q356" s="11">
        <f>IFERROR(IF(INDEX('Test catalog'!$O$2:$O$200,MATCH($Y356,'Test catalog'!$A$2:$A$200,0))="","",INDEX('Test catalog'!$O$2:$O$200,MATCH($Y356,'Test catalog'!$A$2:$A$200,0))),"")</f>
        <v/>
      </c>
      <c r="R356" s="11">
        <f>IFERROR(IF(INDEX('Test catalog'!$P$2:$P$200,MATCH($Y356,'Test catalog'!$A$2:$A$200,0))="","",INDEX('Test catalog'!$P$2:$P$200,MATCH($Y356,'Test catalog'!$A$2:$A$200,0))),"")</f>
        <v/>
      </c>
      <c r="S356" s="14" t="n"/>
      <c r="T356" s="5" t="inlineStr">
        <is>
          <t>N</t>
        </is>
      </c>
      <c r="U356" s="11">
        <f>IFERROR(IF(INDEX('Test catalog'!$Q$2:$Q$200,MATCH($Y356,'Test catalog'!$A$2:$A$200,0))="","",INDEX('Test catalog'!$Q$2:$Q$200,MATCH($Y356,'Test catalog'!$A$2:$A$200,0))),"")</f>
        <v/>
      </c>
      <c r="V356" s="5" t="n"/>
      <c r="W356" s="5" t="n"/>
      <c r="X356" s="5" t="n"/>
      <c r="Y356" s="5" t="inlineStr">
        <is>
          <t>ECOLI</t>
        </is>
      </c>
      <c r="Z356" s="11" t="inlineStr">
        <is>
          <t>USP &lt;1111&gt; oral solid: TAMC, TYMC, absence of E. coli; &lt;2023&gt; botanical: absence of Salmonella</t>
        </is>
      </c>
    </row>
    <row r="357">
      <c r="A357" s="11" t="inlineStr">
        <is>
          <t>F43</t>
        </is>
      </c>
      <c r="B357" s="11" t="inlineStr">
        <is>
          <t>FP</t>
        </is>
      </c>
      <c r="C357" s="11" t="inlineStr">
        <is>
          <t>Painlys  |  Ginger Dry Extract 5:1, Devil's Claw Dry Extract 6:1 (+1 more)</t>
        </is>
      </c>
      <c r="D357" s="11" t="inlineStr">
        <is>
          <t>Absence of Salmonella (&lt;62&gt; / &lt;2022&gt;)</t>
        </is>
      </c>
      <c r="E357" s="5" t="inlineStr">
        <is>
          <t>Y</t>
        </is>
      </c>
      <c r="F357" s="5" t="n"/>
      <c r="G357" s="11">
        <f>IFERROR(IF(INDEX('Test catalog'!$F$2:$F$200,MATCH($Y357,'Test catalog'!$A$2:$A$200,0))="","",INDEX('Test catalog'!$F$2:$F$200,MATCH($Y357,'Test catalog'!$A$2:$A$200,0))),"")</f>
        <v/>
      </c>
      <c r="H357" s="11">
        <f>IFERROR(IF(INDEX('Test catalog'!$G$2:$G$200,MATCH($Y357,'Test catalog'!$A$2:$A$200,0))="","",INDEX('Test catalog'!$G$2:$G$200,MATCH($Y357,'Test catalog'!$A$2:$A$200,0))),"")</f>
        <v/>
      </c>
      <c r="I357" s="11">
        <f>IFERROR(IF(INDEX('Test catalog'!$H$2:$H$200,MATCH($Y357,'Test catalog'!$A$2:$A$200,0))="","",INDEX('Test catalog'!$H$2:$H$200,MATCH($Y357,'Test catalog'!$A$2:$A$200,0))),"")</f>
        <v/>
      </c>
      <c r="J357" s="11">
        <f>IFERROR(IF(INDEX('Test catalog'!$I$2:$I$200,MATCH($Y357,'Test catalog'!$A$2:$A$200,0))="","",INDEX('Test catalog'!$I$2:$I$200,MATCH($Y357,'Test catalog'!$A$2:$A$200,0))),"")</f>
        <v/>
      </c>
      <c r="K357" s="13">
        <f>IF(I357="","",IF(OR(H357="",J357=""),I357,(H357+4*I357+J357)/6))</f>
        <v/>
      </c>
      <c r="L357" s="11">
        <f>IFERROR(IF(INDEX('Test catalog'!$J$2:$J$200,MATCH($Y357,'Test catalog'!$A$2:$A$200,0))="","",INDEX('Test catalog'!$J$2:$J$200,MATCH($Y357,'Test catalog'!$A$2:$A$200,0))),"")</f>
        <v/>
      </c>
      <c r="M357" s="11">
        <f>IFERROR(IF(INDEX('Test catalog'!$K$2:$K$200,MATCH($Y357,'Test catalog'!$A$2:$A$200,0))="","",INDEX('Test catalog'!$K$2:$K$200,MATCH($Y357,'Test catalog'!$A$2:$A$200,0))),"")</f>
        <v/>
      </c>
      <c r="N357" s="11">
        <f>IFERROR(IF(INDEX('Test catalog'!$L$2:$L$200,MATCH($Y357,'Test catalog'!$A$2:$A$200,0))="","",INDEX('Test catalog'!$L$2:$L$200,MATCH($Y357,'Test catalog'!$A$2:$A$200,0))),"")</f>
        <v/>
      </c>
      <c r="O357" s="11">
        <f>IFERROR(IF(INDEX('Test catalog'!$M$2:$M$200,MATCH($Y357,'Test catalog'!$A$2:$A$200,0))="","",INDEX('Test catalog'!$M$2:$M$200,MATCH($Y357,'Test catalog'!$A$2:$A$200,0))),"")</f>
        <v/>
      </c>
      <c r="P357" s="11">
        <f>IFERROR(IF(INDEX('Test catalog'!$N$2:$N$200,MATCH($Y357,'Test catalog'!$A$2:$A$200,0))="","",INDEX('Test catalog'!$N$2:$N$200,MATCH($Y357,'Test catalog'!$A$2:$A$200,0))),"")</f>
        <v/>
      </c>
      <c r="Q357" s="11">
        <f>IFERROR(IF(INDEX('Test catalog'!$O$2:$O$200,MATCH($Y357,'Test catalog'!$A$2:$A$200,0))="","",INDEX('Test catalog'!$O$2:$O$200,MATCH($Y357,'Test catalog'!$A$2:$A$200,0))),"")</f>
        <v/>
      </c>
      <c r="R357" s="11">
        <f>IFERROR(IF(INDEX('Test catalog'!$P$2:$P$200,MATCH($Y357,'Test catalog'!$A$2:$A$200,0))="","",INDEX('Test catalog'!$P$2:$P$200,MATCH($Y357,'Test catalog'!$A$2:$A$200,0))),"")</f>
        <v/>
      </c>
      <c r="S357" s="14" t="n"/>
      <c r="T357" s="5" t="inlineStr">
        <is>
          <t>N</t>
        </is>
      </c>
      <c r="U357" s="11">
        <f>IFERROR(IF(INDEX('Test catalog'!$Q$2:$Q$200,MATCH($Y357,'Test catalog'!$A$2:$A$200,0))="","",INDEX('Test catalog'!$Q$2:$Q$200,MATCH($Y357,'Test catalog'!$A$2:$A$200,0))),"")</f>
        <v/>
      </c>
      <c r="V357" s="5" t="n"/>
      <c r="W357" s="5" t="n"/>
      <c r="X357" s="5" t="n"/>
      <c r="Y357" s="5" t="inlineStr">
        <is>
          <t>SALM</t>
        </is>
      </c>
      <c r="Z357" s="11" t="inlineStr">
        <is>
          <t>USP &lt;1111&gt; oral solid: TAMC, TYMC, absence of E. coli; &lt;2023&gt; botanical: absence of Salmonella</t>
        </is>
      </c>
    </row>
    <row r="358">
      <c r="A358" s="11" t="inlineStr">
        <is>
          <t>F44</t>
        </is>
      </c>
      <c r="B358" s="11" t="inlineStr">
        <is>
          <t>FP</t>
        </is>
      </c>
      <c r="C358" s="11" t="inlineStr">
        <is>
          <t>Feroral Premium  |  Ferrous Bisglycinate, Folic Acid (Vitamin B9) (+2 more)</t>
        </is>
      </c>
      <c r="D358" s="11" t="inlineStr">
        <is>
          <t>Microbial enumeration - TAMC + TYMC (&lt;61&gt; / &lt;2021&gt;)</t>
        </is>
      </c>
      <c r="E358" s="5" t="inlineStr">
        <is>
          <t>Y</t>
        </is>
      </c>
      <c r="F358" s="5" t="n"/>
      <c r="G358" s="11">
        <f>IFERROR(IF(INDEX('Test catalog'!$F$2:$F$200,MATCH($Y358,'Test catalog'!$A$2:$A$200,0))="","",INDEX('Test catalog'!$F$2:$F$200,MATCH($Y358,'Test catalog'!$A$2:$A$200,0))),"")</f>
        <v/>
      </c>
      <c r="H358" s="11">
        <f>IFERROR(IF(INDEX('Test catalog'!$G$2:$G$200,MATCH($Y358,'Test catalog'!$A$2:$A$200,0))="","",INDEX('Test catalog'!$G$2:$G$200,MATCH($Y358,'Test catalog'!$A$2:$A$200,0))),"")</f>
        <v/>
      </c>
      <c r="I358" s="11">
        <f>IFERROR(IF(INDEX('Test catalog'!$H$2:$H$200,MATCH($Y358,'Test catalog'!$A$2:$A$200,0))="","",INDEX('Test catalog'!$H$2:$H$200,MATCH($Y358,'Test catalog'!$A$2:$A$200,0))),"")</f>
        <v/>
      </c>
      <c r="J358" s="11">
        <f>IFERROR(IF(INDEX('Test catalog'!$I$2:$I$200,MATCH($Y358,'Test catalog'!$A$2:$A$200,0))="","",INDEX('Test catalog'!$I$2:$I$200,MATCH($Y358,'Test catalog'!$A$2:$A$200,0))),"")</f>
        <v/>
      </c>
      <c r="K358" s="13">
        <f>IF(I358="","",IF(OR(H358="",J358=""),I358,(H358+4*I358+J358)/6))</f>
        <v/>
      </c>
      <c r="L358" s="11">
        <f>IFERROR(IF(INDEX('Test catalog'!$J$2:$J$200,MATCH($Y358,'Test catalog'!$A$2:$A$200,0))="","",INDEX('Test catalog'!$J$2:$J$200,MATCH($Y358,'Test catalog'!$A$2:$A$200,0))),"")</f>
        <v/>
      </c>
      <c r="M358" s="11">
        <f>IFERROR(IF(INDEX('Test catalog'!$K$2:$K$200,MATCH($Y358,'Test catalog'!$A$2:$A$200,0))="","",INDEX('Test catalog'!$K$2:$K$200,MATCH($Y358,'Test catalog'!$A$2:$A$200,0))),"")</f>
        <v/>
      </c>
      <c r="N358" s="11">
        <f>IFERROR(IF(INDEX('Test catalog'!$L$2:$L$200,MATCH($Y358,'Test catalog'!$A$2:$A$200,0))="","",INDEX('Test catalog'!$L$2:$L$200,MATCH($Y358,'Test catalog'!$A$2:$A$200,0))),"")</f>
        <v/>
      </c>
      <c r="O358" s="11">
        <f>IFERROR(IF(INDEX('Test catalog'!$M$2:$M$200,MATCH($Y358,'Test catalog'!$A$2:$A$200,0))="","",INDEX('Test catalog'!$M$2:$M$200,MATCH($Y358,'Test catalog'!$A$2:$A$200,0))),"")</f>
        <v/>
      </c>
      <c r="P358" s="11">
        <f>IFERROR(IF(INDEX('Test catalog'!$N$2:$N$200,MATCH($Y358,'Test catalog'!$A$2:$A$200,0))="","",INDEX('Test catalog'!$N$2:$N$200,MATCH($Y358,'Test catalog'!$A$2:$A$200,0))),"")</f>
        <v/>
      </c>
      <c r="Q358" s="11">
        <f>IFERROR(IF(INDEX('Test catalog'!$O$2:$O$200,MATCH($Y358,'Test catalog'!$A$2:$A$200,0))="","",INDEX('Test catalog'!$O$2:$O$200,MATCH($Y358,'Test catalog'!$A$2:$A$200,0))),"")</f>
        <v/>
      </c>
      <c r="R358" s="11">
        <f>IFERROR(IF(INDEX('Test catalog'!$P$2:$P$200,MATCH($Y358,'Test catalog'!$A$2:$A$200,0))="","",INDEX('Test catalog'!$P$2:$P$200,MATCH($Y358,'Test catalog'!$A$2:$A$200,0))),"")</f>
        <v/>
      </c>
      <c r="S358" s="14" t="n"/>
      <c r="T358" s="5" t="inlineStr">
        <is>
          <t>Y</t>
        </is>
      </c>
      <c r="U358" s="11">
        <f>IFERROR(IF(INDEX('Test catalog'!$Q$2:$Q$200,MATCH($Y358,'Test catalog'!$A$2:$A$200,0))="","",INDEX('Test catalog'!$Q$2:$Q$200,MATCH($Y358,'Test catalog'!$A$2:$A$200,0))),"")</f>
        <v/>
      </c>
      <c r="V358" s="5" t="n"/>
      <c r="W358" s="5" t="n"/>
      <c r="X358" s="5" t="n"/>
      <c r="Y358" s="5" t="inlineStr">
        <is>
          <t>ENUM</t>
        </is>
      </c>
      <c r="Z358" s="11" t="inlineStr">
        <is>
          <t>USP &lt;1111&gt; oral solid: TAMC, TYMC, absence of E. coli</t>
        </is>
      </c>
    </row>
    <row r="359">
      <c r="A359" s="11" t="inlineStr">
        <is>
          <t>F44</t>
        </is>
      </c>
      <c r="B359" s="11" t="inlineStr">
        <is>
          <t>FP</t>
        </is>
      </c>
      <c r="C359" s="11" t="inlineStr">
        <is>
          <t>Feroral Premium  |  Ferrous Bisglycinate, Folic Acid (Vitamin B9) (+2 more)</t>
        </is>
      </c>
      <c r="D359" s="11" t="inlineStr">
        <is>
          <t>Absence of Escherichia coli (&lt;62&gt; / &lt;2022&gt;)</t>
        </is>
      </c>
      <c r="E359" s="5" t="inlineStr">
        <is>
          <t>Y</t>
        </is>
      </c>
      <c r="F359" s="5" t="n"/>
      <c r="G359" s="11">
        <f>IFERROR(IF(INDEX('Test catalog'!$F$2:$F$200,MATCH($Y359,'Test catalog'!$A$2:$A$200,0))="","",INDEX('Test catalog'!$F$2:$F$200,MATCH($Y359,'Test catalog'!$A$2:$A$200,0))),"")</f>
        <v/>
      </c>
      <c r="H359" s="11">
        <f>IFERROR(IF(INDEX('Test catalog'!$G$2:$G$200,MATCH($Y359,'Test catalog'!$A$2:$A$200,0))="","",INDEX('Test catalog'!$G$2:$G$200,MATCH($Y359,'Test catalog'!$A$2:$A$200,0))),"")</f>
        <v/>
      </c>
      <c r="I359" s="11">
        <f>IFERROR(IF(INDEX('Test catalog'!$H$2:$H$200,MATCH($Y359,'Test catalog'!$A$2:$A$200,0))="","",INDEX('Test catalog'!$H$2:$H$200,MATCH($Y359,'Test catalog'!$A$2:$A$200,0))),"")</f>
        <v/>
      </c>
      <c r="J359" s="11">
        <f>IFERROR(IF(INDEX('Test catalog'!$I$2:$I$200,MATCH($Y359,'Test catalog'!$A$2:$A$200,0))="","",INDEX('Test catalog'!$I$2:$I$200,MATCH($Y359,'Test catalog'!$A$2:$A$200,0))),"")</f>
        <v/>
      </c>
      <c r="K359" s="13">
        <f>IF(I359="","",IF(OR(H359="",J359=""),I359,(H359+4*I359+J359)/6))</f>
        <v/>
      </c>
      <c r="L359" s="11">
        <f>IFERROR(IF(INDEX('Test catalog'!$J$2:$J$200,MATCH($Y359,'Test catalog'!$A$2:$A$200,0))="","",INDEX('Test catalog'!$J$2:$J$200,MATCH($Y359,'Test catalog'!$A$2:$A$200,0))),"")</f>
        <v/>
      </c>
      <c r="M359" s="11">
        <f>IFERROR(IF(INDEX('Test catalog'!$K$2:$K$200,MATCH($Y359,'Test catalog'!$A$2:$A$200,0))="","",INDEX('Test catalog'!$K$2:$K$200,MATCH($Y359,'Test catalog'!$A$2:$A$200,0))),"")</f>
        <v/>
      </c>
      <c r="N359" s="11">
        <f>IFERROR(IF(INDEX('Test catalog'!$L$2:$L$200,MATCH($Y359,'Test catalog'!$A$2:$A$200,0))="","",INDEX('Test catalog'!$L$2:$L$200,MATCH($Y359,'Test catalog'!$A$2:$A$200,0))),"")</f>
        <v/>
      </c>
      <c r="O359" s="11">
        <f>IFERROR(IF(INDEX('Test catalog'!$M$2:$M$200,MATCH($Y359,'Test catalog'!$A$2:$A$200,0))="","",INDEX('Test catalog'!$M$2:$M$200,MATCH($Y359,'Test catalog'!$A$2:$A$200,0))),"")</f>
        <v/>
      </c>
      <c r="P359" s="11">
        <f>IFERROR(IF(INDEX('Test catalog'!$N$2:$N$200,MATCH($Y359,'Test catalog'!$A$2:$A$200,0))="","",INDEX('Test catalog'!$N$2:$N$200,MATCH($Y359,'Test catalog'!$A$2:$A$200,0))),"")</f>
        <v/>
      </c>
      <c r="Q359" s="11">
        <f>IFERROR(IF(INDEX('Test catalog'!$O$2:$O$200,MATCH($Y359,'Test catalog'!$A$2:$A$200,0))="","",INDEX('Test catalog'!$O$2:$O$200,MATCH($Y359,'Test catalog'!$A$2:$A$200,0))),"")</f>
        <v/>
      </c>
      <c r="R359" s="11">
        <f>IFERROR(IF(INDEX('Test catalog'!$P$2:$P$200,MATCH($Y359,'Test catalog'!$A$2:$A$200,0))="","",INDEX('Test catalog'!$P$2:$P$200,MATCH($Y359,'Test catalog'!$A$2:$A$200,0))),"")</f>
        <v/>
      </c>
      <c r="S359" s="14" t="n"/>
      <c r="T359" s="5" t="inlineStr">
        <is>
          <t>N</t>
        </is>
      </c>
      <c r="U359" s="11">
        <f>IFERROR(IF(INDEX('Test catalog'!$Q$2:$Q$200,MATCH($Y359,'Test catalog'!$A$2:$A$200,0))="","",INDEX('Test catalog'!$Q$2:$Q$200,MATCH($Y359,'Test catalog'!$A$2:$A$200,0))),"")</f>
        <v/>
      </c>
      <c r="V359" s="5" t="n"/>
      <c r="W359" s="5" t="n"/>
      <c r="X359" s="5" t="n"/>
      <c r="Y359" s="5" t="inlineStr">
        <is>
          <t>ECOLI</t>
        </is>
      </c>
      <c r="Z359" s="11" t="inlineStr">
        <is>
          <t>USP &lt;1111&gt; oral solid: TAMC, TYMC, absence of E. coli</t>
        </is>
      </c>
    </row>
    <row r="360">
      <c r="A360" s="11" t="inlineStr">
        <is>
          <t>F45</t>
        </is>
      </c>
      <c r="B360" s="11" t="inlineStr">
        <is>
          <t>FP</t>
        </is>
      </c>
      <c r="C360" s="11" t="inlineStr">
        <is>
          <t>Ginc Active  |  Ginkgo Biloba Leaf Dry Extract 50:1, Calcium Carbonate Heavy</t>
        </is>
      </c>
      <c r="D360" s="11" t="inlineStr">
        <is>
          <t>Microbial enumeration - TAMC + TYMC (&lt;61&gt; / &lt;2021&gt;)</t>
        </is>
      </c>
      <c r="E360" s="5" t="inlineStr">
        <is>
          <t>Y</t>
        </is>
      </c>
      <c r="F360" s="5" t="n"/>
      <c r="G360" s="11">
        <f>IFERROR(IF(INDEX('Test catalog'!$F$2:$F$200,MATCH($Y360,'Test catalog'!$A$2:$A$200,0))="","",INDEX('Test catalog'!$F$2:$F$200,MATCH($Y360,'Test catalog'!$A$2:$A$200,0))),"")</f>
        <v/>
      </c>
      <c r="H360" s="11">
        <f>IFERROR(IF(INDEX('Test catalog'!$G$2:$G$200,MATCH($Y360,'Test catalog'!$A$2:$A$200,0))="","",INDEX('Test catalog'!$G$2:$G$200,MATCH($Y360,'Test catalog'!$A$2:$A$200,0))),"")</f>
        <v/>
      </c>
      <c r="I360" s="11">
        <f>IFERROR(IF(INDEX('Test catalog'!$H$2:$H$200,MATCH($Y360,'Test catalog'!$A$2:$A$200,0))="","",INDEX('Test catalog'!$H$2:$H$200,MATCH($Y360,'Test catalog'!$A$2:$A$200,0))),"")</f>
        <v/>
      </c>
      <c r="J360" s="11">
        <f>IFERROR(IF(INDEX('Test catalog'!$I$2:$I$200,MATCH($Y360,'Test catalog'!$A$2:$A$200,0))="","",INDEX('Test catalog'!$I$2:$I$200,MATCH($Y360,'Test catalog'!$A$2:$A$200,0))),"")</f>
        <v/>
      </c>
      <c r="K360" s="13">
        <f>IF(I360="","",IF(OR(H360="",J360=""),I360,(H360+4*I360+J360)/6))</f>
        <v/>
      </c>
      <c r="L360" s="11">
        <f>IFERROR(IF(INDEX('Test catalog'!$J$2:$J$200,MATCH($Y360,'Test catalog'!$A$2:$A$200,0))="","",INDEX('Test catalog'!$J$2:$J$200,MATCH($Y360,'Test catalog'!$A$2:$A$200,0))),"")</f>
        <v/>
      </c>
      <c r="M360" s="11">
        <f>IFERROR(IF(INDEX('Test catalog'!$K$2:$K$200,MATCH($Y360,'Test catalog'!$A$2:$A$200,0))="","",INDEX('Test catalog'!$K$2:$K$200,MATCH($Y360,'Test catalog'!$A$2:$A$200,0))),"")</f>
        <v/>
      </c>
      <c r="N360" s="11">
        <f>IFERROR(IF(INDEX('Test catalog'!$L$2:$L$200,MATCH($Y360,'Test catalog'!$A$2:$A$200,0))="","",INDEX('Test catalog'!$L$2:$L$200,MATCH($Y360,'Test catalog'!$A$2:$A$200,0))),"")</f>
        <v/>
      </c>
      <c r="O360" s="11">
        <f>IFERROR(IF(INDEX('Test catalog'!$M$2:$M$200,MATCH($Y360,'Test catalog'!$A$2:$A$200,0))="","",INDEX('Test catalog'!$M$2:$M$200,MATCH($Y360,'Test catalog'!$A$2:$A$200,0))),"")</f>
        <v/>
      </c>
      <c r="P360" s="11">
        <f>IFERROR(IF(INDEX('Test catalog'!$N$2:$N$200,MATCH($Y360,'Test catalog'!$A$2:$A$200,0))="","",INDEX('Test catalog'!$N$2:$N$200,MATCH($Y360,'Test catalog'!$A$2:$A$200,0))),"")</f>
        <v/>
      </c>
      <c r="Q360" s="11">
        <f>IFERROR(IF(INDEX('Test catalog'!$O$2:$O$200,MATCH($Y360,'Test catalog'!$A$2:$A$200,0))="","",INDEX('Test catalog'!$O$2:$O$200,MATCH($Y360,'Test catalog'!$A$2:$A$200,0))),"")</f>
        <v/>
      </c>
      <c r="R360" s="11">
        <f>IFERROR(IF(INDEX('Test catalog'!$P$2:$P$200,MATCH($Y360,'Test catalog'!$A$2:$A$200,0))="","",INDEX('Test catalog'!$P$2:$P$200,MATCH($Y360,'Test catalog'!$A$2:$A$200,0))),"")</f>
        <v/>
      </c>
      <c r="S360" s="14" t="n"/>
      <c r="T360" s="5" t="inlineStr">
        <is>
          <t>Y</t>
        </is>
      </c>
      <c r="U360" s="11">
        <f>IFERROR(IF(INDEX('Test catalog'!$Q$2:$Q$200,MATCH($Y360,'Test catalog'!$A$2:$A$200,0))="","",INDEX('Test catalog'!$Q$2:$Q$200,MATCH($Y360,'Test catalog'!$A$2:$A$200,0))),"")</f>
        <v/>
      </c>
      <c r="V360" s="5" t="n"/>
      <c r="W360" s="5" t="n"/>
      <c r="X360" s="5" t="n"/>
      <c r="Y360" s="5" t="inlineStr">
        <is>
          <t>ENUM</t>
        </is>
      </c>
      <c r="Z360" s="11" t="inlineStr">
        <is>
          <t>USP &lt;1111&gt; oral solid: TAMC, TYMC, absence of E. coli; &lt;2023&gt; botanical: absence of Salmonella</t>
        </is>
      </c>
    </row>
    <row r="361">
      <c r="A361" s="11" t="inlineStr">
        <is>
          <t>F45</t>
        </is>
      </c>
      <c r="B361" s="11" t="inlineStr">
        <is>
          <t>FP</t>
        </is>
      </c>
      <c r="C361" s="11" t="inlineStr">
        <is>
          <t>Ginc Active  |  Ginkgo Biloba Leaf Dry Extract 50:1, Calcium Carbonate Heavy</t>
        </is>
      </c>
      <c r="D361" s="11" t="inlineStr">
        <is>
          <t>Absence of Escherichia coli (&lt;62&gt; / &lt;2022&gt;)</t>
        </is>
      </c>
      <c r="E361" s="5" t="inlineStr">
        <is>
          <t>Y</t>
        </is>
      </c>
      <c r="F361" s="5" t="n"/>
      <c r="G361" s="11">
        <f>IFERROR(IF(INDEX('Test catalog'!$F$2:$F$200,MATCH($Y361,'Test catalog'!$A$2:$A$200,0))="","",INDEX('Test catalog'!$F$2:$F$200,MATCH($Y361,'Test catalog'!$A$2:$A$200,0))),"")</f>
        <v/>
      </c>
      <c r="H361" s="11">
        <f>IFERROR(IF(INDEX('Test catalog'!$G$2:$G$200,MATCH($Y361,'Test catalog'!$A$2:$A$200,0))="","",INDEX('Test catalog'!$G$2:$G$200,MATCH($Y361,'Test catalog'!$A$2:$A$200,0))),"")</f>
        <v/>
      </c>
      <c r="I361" s="11">
        <f>IFERROR(IF(INDEX('Test catalog'!$H$2:$H$200,MATCH($Y361,'Test catalog'!$A$2:$A$200,0))="","",INDEX('Test catalog'!$H$2:$H$200,MATCH($Y361,'Test catalog'!$A$2:$A$200,0))),"")</f>
        <v/>
      </c>
      <c r="J361" s="11">
        <f>IFERROR(IF(INDEX('Test catalog'!$I$2:$I$200,MATCH($Y361,'Test catalog'!$A$2:$A$200,0))="","",INDEX('Test catalog'!$I$2:$I$200,MATCH($Y361,'Test catalog'!$A$2:$A$200,0))),"")</f>
        <v/>
      </c>
      <c r="K361" s="13">
        <f>IF(I361="","",IF(OR(H361="",J361=""),I361,(H361+4*I361+J361)/6))</f>
        <v/>
      </c>
      <c r="L361" s="11">
        <f>IFERROR(IF(INDEX('Test catalog'!$J$2:$J$200,MATCH($Y361,'Test catalog'!$A$2:$A$200,0))="","",INDEX('Test catalog'!$J$2:$J$200,MATCH($Y361,'Test catalog'!$A$2:$A$200,0))),"")</f>
        <v/>
      </c>
      <c r="M361" s="11">
        <f>IFERROR(IF(INDEX('Test catalog'!$K$2:$K$200,MATCH($Y361,'Test catalog'!$A$2:$A$200,0))="","",INDEX('Test catalog'!$K$2:$K$200,MATCH($Y361,'Test catalog'!$A$2:$A$200,0))),"")</f>
        <v/>
      </c>
      <c r="N361" s="11">
        <f>IFERROR(IF(INDEX('Test catalog'!$L$2:$L$200,MATCH($Y361,'Test catalog'!$A$2:$A$200,0))="","",INDEX('Test catalog'!$L$2:$L$200,MATCH($Y361,'Test catalog'!$A$2:$A$200,0))),"")</f>
        <v/>
      </c>
      <c r="O361" s="11">
        <f>IFERROR(IF(INDEX('Test catalog'!$M$2:$M$200,MATCH($Y361,'Test catalog'!$A$2:$A$200,0))="","",INDEX('Test catalog'!$M$2:$M$200,MATCH($Y361,'Test catalog'!$A$2:$A$200,0))),"")</f>
        <v/>
      </c>
      <c r="P361" s="11">
        <f>IFERROR(IF(INDEX('Test catalog'!$N$2:$N$200,MATCH($Y361,'Test catalog'!$A$2:$A$200,0))="","",INDEX('Test catalog'!$N$2:$N$200,MATCH($Y361,'Test catalog'!$A$2:$A$200,0))),"")</f>
        <v/>
      </c>
      <c r="Q361" s="11">
        <f>IFERROR(IF(INDEX('Test catalog'!$O$2:$O$200,MATCH($Y361,'Test catalog'!$A$2:$A$200,0))="","",INDEX('Test catalog'!$O$2:$O$200,MATCH($Y361,'Test catalog'!$A$2:$A$200,0))),"")</f>
        <v/>
      </c>
      <c r="R361" s="11">
        <f>IFERROR(IF(INDEX('Test catalog'!$P$2:$P$200,MATCH($Y361,'Test catalog'!$A$2:$A$200,0))="","",INDEX('Test catalog'!$P$2:$P$200,MATCH($Y361,'Test catalog'!$A$2:$A$200,0))),"")</f>
        <v/>
      </c>
      <c r="S361" s="14" t="n"/>
      <c r="T361" s="5" t="inlineStr">
        <is>
          <t>N</t>
        </is>
      </c>
      <c r="U361" s="11">
        <f>IFERROR(IF(INDEX('Test catalog'!$Q$2:$Q$200,MATCH($Y361,'Test catalog'!$A$2:$A$200,0))="","",INDEX('Test catalog'!$Q$2:$Q$200,MATCH($Y361,'Test catalog'!$A$2:$A$200,0))),"")</f>
        <v/>
      </c>
      <c r="V361" s="5" t="n"/>
      <c r="W361" s="5" t="n"/>
      <c r="X361" s="5" t="n"/>
      <c r="Y361" s="5" t="inlineStr">
        <is>
          <t>ECOLI</t>
        </is>
      </c>
      <c r="Z361" s="11" t="inlineStr">
        <is>
          <t>USP &lt;1111&gt; oral solid: TAMC, TYMC, absence of E. coli; &lt;2023&gt; botanical: absence of Salmonella</t>
        </is>
      </c>
    </row>
    <row r="362">
      <c r="A362" s="11" t="inlineStr">
        <is>
          <t>F45</t>
        </is>
      </c>
      <c r="B362" s="11" t="inlineStr">
        <is>
          <t>FP</t>
        </is>
      </c>
      <c r="C362" s="11" t="inlineStr">
        <is>
          <t>Ginc Active  |  Ginkgo Biloba Leaf Dry Extract 50:1, Calcium Carbonate Heavy</t>
        </is>
      </c>
      <c r="D362" s="11" t="inlineStr">
        <is>
          <t>Absence of Salmonella (&lt;62&gt; / &lt;2022&gt;)</t>
        </is>
      </c>
      <c r="E362" s="5" t="inlineStr">
        <is>
          <t>Y</t>
        </is>
      </c>
      <c r="F362" s="5" t="n"/>
      <c r="G362" s="11">
        <f>IFERROR(IF(INDEX('Test catalog'!$F$2:$F$200,MATCH($Y362,'Test catalog'!$A$2:$A$200,0))="","",INDEX('Test catalog'!$F$2:$F$200,MATCH($Y362,'Test catalog'!$A$2:$A$200,0))),"")</f>
        <v/>
      </c>
      <c r="H362" s="11">
        <f>IFERROR(IF(INDEX('Test catalog'!$G$2:$G$200,MATCH($Y362,'Test catalog'!$A$2:$A$200,0))="","",INDEX('Test catalog'!$G$2:$G$200,MATCH($Y362,'Test catalog'!$A$2:$A$200,0))),"")</f>
        <v/>
      </c>
      <c r="I362" s="11">
        <f>IFERROR(IF(INDEX('Test catalog'!$H$2:$H$200,MATCH($Y362,'Test catalog'!$A$2:$A$200,0))="","",INDEX('Test catalog'!$H$2:$H$200,MATCH($Y362,'Test catalog'!$A$2:$A$200,0))),"")</f>
        <v/>
      </c>
      <c r="J362" s="11">
        <f>IFERROR(IF(INDEX('Test catalog'!$I$2:$I$200,MATCH($Y362,'Test catalog'!$A$2:$A$200,0))="","",INDEX('Test catalog'!$I$2:$I$200,MATCH($Y362,'Test catalog'!$A$2:$A$200,0))),"")</f>
        <v/>
      </c>
      <c r="K362" s="13">
        <f>IF(I362="","",IF(OR(H362="",J362=""),I362,(H362+4*I362+J362)/6))</f>
        <v/>
      </c>
      <c r="L362" s="11">
        <f>IFERROR(IF(INDEX('Test catalog'!$J$2:$J$200,MATCH($Y362,'Test catalog'!$A$2:$A$200,0))="","",INDEX('Test catalog'!$J$2:$J$200,MATCH($Y362,'Test catalog'!$A$2:$A$200,0))),"")</f>
        <v/>
      </c>
      <c r="M362" s="11">
        <f>IFERROR(IF(INDEX('Test catalog'!$K$2:$K$200,MATCH($Y362,'Test catalog'!$A$2:$A$200,0))="","",INDEX('Test catalog'!$K$2:$K$200,MATCH($Y362,'Test catalog'!$A$2:$A$200,0))),"")</f>
        <v/>
      </c>
      <c r="N362" s="11">
        <f>IFERROR(IF(INDEX('Test catalog'!$L$2:$L$200,MATCH($Y362,'Test catalog'!$A$2:$A$200,0))="","",INDEX('Test catalog'!$L$2:$L$200,MATCH($Y362,'Test catalog'!$A$2:$A$200,0))),"")</f>
        <v/>
      </c>
      <c r="O362" s="11">
        <f>IFERROR(IF(INDEX('Test catalog'!$M$2:$M$200,MATCH($Y362,'Test catalog'!$A$2:$A$200,0))="","",INDEX('Test catalog'!$M$2:$M$200,MATCH($Y362,'Test catalog'!$A$2:$A$200,0))),"")</f>
        <v/>
      </c>
      <c r="P362" s="11">
        <f>IFERROR(IF(INDEX('Test catalog'!$N$2:$N$200,MATCH($Y362,'Test catalog'!$A$2:$A$200,0))="","",INDEX('Test catalog'!$N$2:$N$200,MATCH($Y362,'Test catalog'!$A$2:$A$200,0))),"")</f>
        <v/>
      </c>
      <c r="Q362" s="11">
        <f>IFERROR(IF(INDEX('Test catalog'!$O$2:$O$200,MATCH($Y362,'Test catalog'!$A$2:$A$200,0))="","",INDEX('Test catalog'!$O$2:$O$200,MATCH($Y362,'Test catalog'!$A$2:$A$200,0))),"")</f>
        <v/>
      </c>
      <c r="R362" s="11">
        <f>IFERROR(IF(INDEX('Test catalog'!$P$2:$P$200,MATCH($Y362,'Test catalog'!$A$2:$A$200,0))="","",INDEX('Test catalog'!$P$2:$P$200,MATCH($Y362,'Test catalog'!$A$2:$A$200,0))),"")</f>
        <v/>
      </c>
      <c r="S362" s="14" t="n"/>
      <c r="T362" s="5" t="inlineStr">
        <is>
          <t>N</t>
        </is>
      </c>
      <c r="U362" s="11">
        <f>IFERROR(IF(INDEX('Test catalog'!$Q$2:$Q$200,MATCH($Y362,'Test catalog'!$A$2:$A$200,0))="","",INDEX('Test catalog'!$Q$2:$Q$200,MATCH($Y362,'Test catalog'!$A$2:$A$200,0))),"")</f>
        <v/>
      </c>
      <c r="V362" s="5" t="n"/>
      <c r="W362" s="5" t="n"/>
      <c r="X362" s="5" t="n"/>
      <c r="Y362" s="5" t="inlineStr">
        <is>
          <t>SALM</t>
        </is>
      </c>
      <c r="Z362" s="11" t="inlineStr">
        <is>
          <t>USP &lt;1111&gt; oral solid: TAMC, TYMC, absence of E. coli; &lt;2023&gt; botanical: absence of Salmonella</t>
        </is>
      </c>
    </row>
    <row r="363">
      <c r="A363" s="11" t="inlineStr">
        <is>
          <t>F46</t>
        </is>
      </c>
      <c r="B363" s="11" t="inlineStr">
        <is>
          <t>FP</t>
        </is>
      </c>
      <c r="C363" s="11" t="inlineStr">
        <is>
          <t>URomax; Uromax Sachet  |  Cranberry Dry Extract 25:1, Ascorbic Acid Coated 97%</t>
        </is>
      </c>
      <c r="D363" s="11" t="inlineStr">
        <is>
          <t>Microbial enumeration - TAMC + TYMC (&lt;61&gt; / &lt;2021&gt;)</t>
        </is>
      </c>
      <c r="E363" s="5" t="inlineStr">
        <is>
          <t>Y</t>
        </is>
      </c>
      <c r="F363" s="5" t="n"/>
      <c r="G363" s="11">
        <f>IFERROR(IF(INDEX('Test catalog'!$F$2:$F$200,MATCH($Y363,'Test catalog'!$A$2:$A$200,0))="","",INDEX('Test catalog'!$F$2:$F$200,MATCH($Y363,'Test catalog'!$A$2:$A$200,0))),"")</f>
        <v/>
      </c>
      <c r="H363" s="11">
        <f>IFERROR(IF(INDEX('Test catalog'!$G$2:$G$200,MATCH($Y363,'Test catalog'!$A$2:$A$200,0))="","",INDEX('Test catalog'!$G$2:$G$200,MATCH($Y363,'Test catalog'!$A$2:$A$200,0))),"")</f>
        <v/>
      </c>
      <c r="I363" s="11">
        <f>IFERROR(IF(INDEX('Test catalog'!$H$2:$H$200,MATCH($Y363,'Test catalog'!$A$2:$A$200,0))="","",INDEX('Test catalog'!$H$2:$H$200,MATCH($Y363,'Test catalog'!$A$2:$A$200,0))),"")</f>
        <v/>
      </c>
      <c r="J363" s="11">
        <f>IFERROR(IF(INDEX('Test catalog'!$I$2:$I$200,MATCH($Y363,'Test catalog'!$A$2:$A$200,0))="","",INDEX('Test catalog'!$I$2:$I$200,MATCH($Y363,'Test catalog'!$A$2:$A$200,0))),"")</f>
        <v/>
      </c>
      <c r="K363" s="13">
        <f>IF(I363="","",IF(OR(H363="",J363=""),I363,(H363+4*I363+J363)/6))</f>
        <v/>
      </c>
      <c r="L363" s="11">
        <f>IFERROR(IF(INDEX('Test catalog'!$J$2:$J$200,MATCH($Y363,'Test catalog'!$A$2:$A$200,0))="","",INDEX('Test catalog'!$J$2:$J$200,MATCH($Y363,'Test catalog'!$A$2:$A$200,0))),"")</f>
        <v/>
      </c>
      <c r="M363" s="11">
        <f>IFERROR(IF(INDEX('Test catalog'!$K$2:$K$200,MATCH($Y363,'Test catalog'!$A$2:$A$200,0))="","",INDEX('Test catalog'!$K$2:$K$200,MATCH($Y363,'Test catalog'!$A$2:$A$200,0))),"")</f>
        <v/>
      </c>
      <c r="N363" s="11">
        <f>IFERROR(IF(INDEX('Test catalog'!$L$2:$L$200,MATCH($Y363,'Test catalog'!$A$2:$A$200,0))="","",INDEX('Test catalog'!$L$2:$L$200,MATCH($Y363,'Test catalog'!$A$2:$A$200,0))),"")</f>
        <v/>
      </c>
      <c r="O363" s="11">
        <f>IFERROR(IF(INDEX('Test catalog'!$M$2:$M$200,MATCH($Y363,'Test catalog'!$A$2:$A$200,0))="","",INDEX('Test catalog'!$M$2:$M$200,MATCH($Y363,'Test catalog'!$A$2:$A$200,0))),"")</f>
        <v/>
      </c>
      <c r="P363" s="11">
        <f>IFERROR(IF(INDEX('Test catalog'!$N$2:$N$200,MATCH($Y363,'Test catalog'!$A$2:$A$200,0))="","",INDEX('Test catalog'!$N$2:$N$200,MATCH($Y363,'Test catalog'!$A$2:$A$200,0))),"")</f>
        <v/>
      </c>
      <c r="Q363" s="11">
        <f>IFERROR(IF(INDEX('Test catalog'!$O$2:$O$200,MATCH($Y363,'Test catalog'!$A$2:$A$200,0))="","",INDEX('Test catalog'!$O$2:$O$200,MATCH($Y363,'Test catalog'!$A$2:$A$200,0))),"")</f>
        <v/>
      </c>
      <c r="R363" s="11">
        <f>IFERROR(IF(INDEX('Test catalog'!$P$2:$P$200,MATCH($Y363,'Test catalog'!$A$2:$A$200,0))="","",INDEX('Test catalog'!$P$2:$P$200,MATCH($Y363,'Test catalog'!$A$2:$A$200,0))),"")</f>
        <v/>
      </c>
      <c r="S363" s="14" t="n"/>
      <c r="T363" s="5" t="inlineStr">
        <is>
          <t>Y</t>
        </is>
      </c>
      <c r="U363" s="11">
        <f>IFERROR(IF(INDEX('Test catalog'!$Q$2:$Q$200,MATCH($Y363,'Test catalog'!$A$2:$A$200,0))="","",INDEX('Test catalog'!$Q$2:$Q$200,MATCH($Y363,'Test catalog'!$A$2:$A$200,0))),"")</f>
        <v/>
      </c>
      <c r="V363" s="5" t="n"/>
      <c r="W363" s="5" t="n"/>
      <c r="X363" s="5" t="n"/>
      <c r="Y363" s="5" t="inlineStr">
        <is>
          <t>ENUM</t>
        </is>
      </c>
      <c r="Z363" s="11" t="inlineStr">
        <is>
          <t>USP &lt;1111&gt; oral solid: TAMC, TYMC, absence of E. coli; &lt;2023&gt; botanical: absence of Salmonella</t>
        </is>
      </c>
    </row>
    <row r="364">
      <c r="A364" s="11" t="inlineStr">
        <is>
          <t>F46</t>
        </is>
      </c>
      <c r="B364" s="11" t="inlineStr">
        <is>
          <t>FP</t>
        </is>
      </c>
      <c r="C364" s="11" t="inlineStr">
        <is>
          <t>URomax; Uromax Sachet  |  Cranberry Dry Extract 25:1, Ascorbic Acid Coated 97%</t>
        </is>
      </c>
      <c r="D364" s="11" t="inlineStr">
        <is>
          <t>Absence of Escherichia coli (&lt;62&gt; / &lt;2022&gt;)</t>
        </is>
      </c>
      <c r="E364" s="5" t="inlineStr">
        <is>
          <t>Y</t>
        </is>
      </c>
      <c r="F364" s="5" t="n"/>
      <c r="G364" s="11">
        <f>IFERROR(IF(INDEX('Test catalog'!$F$2:$F$200,MATCH($Y364,'Test catalog'!$A$2:$A$200,0))="","",INDEX('Test catalog'!$F$2:$F$200,MATCH($Y364,'Test catalog'!$A$2:$A$200,0))),"")</f>
        <v/>
      </c>
      <c r="H364" s="11">
        <f>IFERROR(IF(INDEX('Test catalog'!$G$2:$G$200,MATCH($Y364,'Test catalog'!$A$2:$A$200,0))="","",INDEX('Test catalog'!$G$2:$G$200,MATCH($Y364,'Test catalog'!$A$2:$A$200,0))),"")</f>
        <v/>
      </c>
      <c r="I364" s="11">
        <f>IFERROR(IF(INDEX('Test catalog'!$H$2:$H$200,MATCH($Y364,'Test catalog'!$A$2:$A$200,0))="","",INDEX('Test catalog'!$H$2:$H$200,MATCH($Y364,'Test catalog'!$A$2:$A$200,0))),"")</f>
        <v/>
      </c>
      <c r="J364" s="11">
        <f>IFERROR(IF(INDEX('Test catalog'!$I$2:$I$200,MATCH($Y364,'Test catalog'!$A$2:$A$200,0))="","",INDEX('Test catalog'!$I$2:$I$200,MATCH($Y364,'Test catalog'!$A$2:$A$200,0))),"")</f>
        <v/>
      </c>
      <c r="K364" s="13">
        <f>IF(I364="","",IF(OR(H364="",J364=""),I364,(H364+4*I364+J364)/6))</f>
        <v/>
      </c>
      <c r="L364" s="11">
        <f>IFERROR(IF(INDEX('Test catalog'!$J$2:$J$200,MATCH($Y364,'Test catalog'!$A$2:$A$200,0))="","",INDEX('Test catalog'!$J$2:$J$200,MATCH($Y364,'Test catalog'!$A$2:$A$200,0))),"")</f>
        <v/>
      </c>
      <c r="M364" s="11">
        <f>IFERROR(IF(INDEX('Test catalog'!$K$2:$K$200,MATCH($Y364,'Test catalog'!$A$2:$A$200,0))="","",INDEX('Test catalog'!$K$2:$K$200,MATCH($Y364,'Test catalog'!$A$2:$A$200,0))),"")</f>
        <v/>
      </c>
      <c r="N364" s="11">
        <f>IFERROR(IF(INDEX('Test catalog'!$L$2:$L$200,MATCH($Y364,'Test catalog'!$A$2:$A$200,0))="","",INDEX('Test catalog'!$L$2:$L$200,MATCH($Y364,'Test catalog'!$A$2:$A$200,0))),"")</f>
        <v/>
      </c>
      <c r="O364" s="11">
        <f>IFERROR(IF(INDEX('Test catalog'!$M$2:$M$200,MATCH($Y364,'Test catalog'!$A$2:$A$200,0))="","",INDEX('Test catalog'!$M$2:$M$200,MATCH($Y364,'Test catalog'!$A$2:$A$200,0))),"")</f>
        <v/>
      </c>
      <c r="P364" s="11">
        <f>IFERROR(IF(INDEX('Test catalog'!$N$2:$N$200,MATCH($Y364,'Test catalog'!$A$2:$A$200,0))="","",INDEX('Test catalog'!$N$2:$N$200,MATCH($Y364,'Test catalog'!$A$2:$A$200,0))),"")</f>
        <v/>
      </c>
      <c r="Q364" s="11">
        <f>IFERROR(IF(INDEX('Test catalog'!$O$2:$O$200,MATCH($Y364,'Test catalog'!$A$2:$A$200,0))="","",INDEX('Test catalog'!$O$2:$O$200,MATCH($Y364,'Test catalog'!$A$2:$A$200,0))),"")</f>
        <v/>
      </c>
      <c r="R364" s="11">
        <f>IFERROR(IF(INDEX('Test catalog'!$P$2:$P$200,MATCH($Y364,'Test catalog'!$A$2:$A$200,0))="","",INDEX('Test catalog'!$P$2:$P$200,MATCH($Y364,'Test catalog'!$A$2:$A$200,0))),"")</f>
        <v/>
      </c>
      <c r="S364" s="14" t="n"/>
      <c r="T364" s="5" t="inlineStr">
        <is>
          <t>N</t>
        </is>
      </c>
      <c r="U364" s="11">
        <f>IFERROR(IF(INDEX('Test catalog'!$Q$2:$Q$200,MATCH($Y364,'Test catalog'!$A$2:$A$200,0))="","",INDEX('Test catalog'!$Q$2:$Q$200,MATCH($Y364,'Test catalog'!$A$2:$A$200,0))),"")</f>
        <v/>
      </c>
      <c r="V364" s="5" t="n"/>
      <c r="W364" s="5" t="n"/>
      <c r="X364" s="5" t="n"/>
      <c r="Y364" s="5" t="inlineStr">
        <is>
          <t>ECOLI</t>
        </is>
      </c>
      <c r="Z364" s="11" t="inlineStr">
        <is>
          <t>USP &lt;1111&gt; oral solid: TAMC, TYMC, absence of E. coli; &lt;2023&gt; botanical: absence of Salmonella</t>
        </is>
      </c>
    </row>
    <row r="365">
      <c r="A365" s="11" t="inlineStr">
        <is>
          <t>F46</t>
        </is>
      </c>
      <c r="B365" s="11" t="inlineStr">
        <is>
          <t>FP</t>
        </is>
      </c>
      <c r="C365" s="11" t="inlineStr">
        <is>
          <t>URomax; Uromax Sachet  |  Cranberry Dry Extract 25:1, Ascorbic Acid Coated 97%</t>
        </is>
      </c>
      <c r="D365" s="11" t="inlineStr">
        <is>
          <t>Absence of Salmonella (&lt;62&gt; / &lt;2022&gt;)</t>
        </is>
      </c>
      <c r="E365" s="5" t="inlineStr">
        <is>
          <t>Y</t>
        </is>
      </c>
      <c r="F365" s="5" t="n"/>
      <c r="G365" s="11">
        <f>IFERROR(IF(INDEX('Test catalog'!$F$2:$F$200,MATCH($Y365,'Test catalog'!$A$2:$A$200,0))="","",INDEX('Test catalog'!$F$2:$F$200,MATCH($Y365,'Test catalog'!$A$2:$A$200,0))),"")</f>
        <v/>
      </c>
      <c r="H365" s="11">
        <f>IFERROR(IF(INDEX('Test catalog'!$G$2:$G$200,MATCH($Y365,'Test catalog'!$A$2:$A$200,0))="","",INDEX('Test catalog'!$G$2:$G$200,MATCH($Y365,'Test catalog'!$A$2:$A$200,0))),"")</f>
        <v/>
      </c>
      <c r="I365" s="11">
        <f>IFERROR(IF(INDEX('Test catalog'!$H$2:$H$200,MATCH($Y365,'Test catalog'!$A$2:$A$200,0))="","",INDEX('Test catalog'!$H$2:$H$200,MATCH($Y365,'Test catalog'!$A$2:$A$200,0))),"")</f>
        <v/>
      </c>
      <c r="J365" s="11">
        <f>IFERROR(IF(INDEX('Test catalog'!$I$2:$I$200,MATCH($Y365,'Test catalog'!$A$2:$A$200,0))="","",INDEX('Test catalog'!$I$2:$I$200,MATCH($Y365,'Test catalog'!$A$2:$A$200,0))),"")</f>
        <v/>
      </c>
      <c r="K365" s="13">
        <f>IF(I365="","",IF(OR(H365="",J365=""),I365,(H365+4*I365+J365)/6))</f>
        <v/>
      </c>
      <c r="L365" s="11">
        <f>IFERROR(IF(INDEX('Test catalog'!$J$2:$J$200,MATCH($Y365,'Test catalog'!$A$2:$A$200,0))="","",INDEX('Test catalog'!$J$2:$J$200,MATCH($Y365,'Test catalog'!$A$2:$A$200,0))),"")</f>
        <v/>
      </c>
      <c r="M365" s="11">
        <f>IFERROR(IF(INDEX('Test catalog'!$K$2:$K$200,MATCH($Y365,'Test catalog'!$A$2:$A$200,0))="","",INDEX('Test catalog'!$K$2:$K$200,MATCH($Y365,'Test catalog'!$A$2:$A$200,0))),"")</f>
        <v/>
      </c>
      <c r="N365" s="11">
        <f>IFERROR(IF(INDEX('Test catalog'!$L$2:$L$200,MATCH($Y365,'Test catalog'!$A$2:$A$200,0))="","",INDEX('Test catalog'!$L$2:$L$200,MATCH($Y365,'Test catalog'!$A$2:$A$200,0))),"")</f>
        <v/>
      </c>
      <c r="O365" s="11">
        <f>IFERROR(IF(INDEX('Test catalog'!$M$2:$M$200,MATCH($Y365,'Test catalog'!$A$2:$A$200,0))="","",INDEX('Test catalog'!$M$2:$M$200,MATCH($Y365,'Test catalog'!$A$2:$A$200,0))),"")</f>
        <v/>
      </c>
      <c r="P365" s="11">
        <f>IFERROR(IF(INDEX('Test catalog'!$N$2:$N$200,MATCH($Y365,'Test catalog'!$A$2:$A$200,0))="","",INDEX('Test catalog'!$N$2:$N$200,MATCH($Y365,'Test catalog'!$A$2:$A$200,0))),"")</f>
        <v/>
      </c>
      <c r="Q365" s="11">
        <f>IFERROR(IF(INDEX('Test catalog'!$O$2:$O$200,MATCH($Y365,'Test catalog'!$A$2:$A$200,0))="","",INDEX('Test catalog'!$O$2:$O$200,MATCH($Y365,'Test catalog'!$A$2:$A$200,0))),"")</f>
        <v/>
      </c>
      <c r="R365" s="11">
        <f>IFERROR(IF(INDEX('Test catalog'!$P$2:$P$200,MATCH($Y365,'Test catalog'!$A$2:$A$200,0))="","",INDEX('Test catalog'!$P$2:$P$200,MATCH($Y365,'Test catalog'!$A$2:$A$200,0))),"")</f>
        <v/>
      </c>
      <c r="S365" s="14" t="n"/>
      <c r="T365" s="5" t="inlineStr">
        <is>
          <t>N</t>
        </is>
      </c>
      <c r="U365" s="11">
        <f>IFERROR(IF(INDEX('Test catalog'!$Q$2:$Q$200,MATCH($Y365,'Test catalog'!$A$2:$A$200,0))="","",INDEX('Test catalog'!$Q$2:$Q$200,MATCH($Y365,'Test catalog'!$A$2:$A$200,0))),"")</f>
        <v/>
      </c>
      <c r="V365" s="5" t="n"/>
      <c r="W365" s="5" t="n"/>
      <c r="X365" s="5" t="n"/>
      <c r="Y365" s="5" t="inlineStr">
        <is>
          <t>SALM</t>
        </is>
      </c>
      <c r="Z365" s="11" t="inlineStr">
        <is>
          <t>USP &lt;1111&gt; oral solid: TAMC, TYMC, absence of E. coli; &lt;2023&gt; botanical: absence of Salmonella</t>
        </is>
      </c>
    </row>
    <row r="366">
      <c r="A366" s="11" t="inlineStr">
        <is>
          <t>F47</t>
        </is>
      </c>
      <c r="B366" s="11" t="inlineStr">
        <is>
          <t>FP</t>
        </is>
      </c>
      <c r="C366" s="11" t="inlineStr">
        <is>
          <t>Healthy Liver  |  Milk Thistle Dry Extract 70:1, Artichoke Dry Extract 25:1 (+4 more)</t>
        </is>
      </c>
      <c r="D366" s="11" t="inlineStr">
        <is>
          <t>Microbial enumeration - TAMC + TYMC (&lt;61&gt; / &lt;2021&gt;)</t>
        </is>
      </c>
      <c r="E366" s="5" t="inlineStr">
        <is>
          <t>Y</t>
        </is>
      </c>
      <c r="F366" s="5" t="n"/>
      <c r="G366" s="11">
        <f>IFERROR(IF(INDEX('Test catalog'!$F$2:$F$200,MATCH($Y366,'Test catalog'!$A$2:$A$200,0))="","",INDEX('Test catalog'!$F$2:$F$200,MATCH($Y366,'Test catalog'!$A$2:$A$200,0))),"")</f>
        <v/>
      </c>
      <c r="H366" s="11">
        <f>IFERROR(IF(INDEX('Test catalog'!$G$2:$G$200,MATCH($Y366,'Test catalog'!$A$2:$A$200,0))="","",INDEX('Test catalog'!$G$2:$G$200,MATCH($Y366,'Test catalog'!$A$2:$A$200,0))),"")</f>
        <v/>
      </c>
      <c r="I366" s="11">
        <f>IFERROR(IF(INDEX('Test catalog'!$H$2:$H$200,MATCH($Y366,'Test catalog'!$A$2:$A$200,0))="","",INDEX('Test catalog'!$H$2:$H$200,MATCH($Y366,'Test catalog'!$A$2:$A$200,0))),"")</f>
        <v/>
      </c>
      <c r="J366" s="11">
        <f>IFERROR(IF(INDEX('Test catalog'!$I$2:$I$200,MATCH($Y366,'Test catalog'!$A$2:$A$200,0))="","",INDEX('Test catalog'!$I$2:$I$200,MATCH($Y366,'Test catalog'!$A$2:$A$200,0))),"")</f>
        <v/>
      </c>
      <c r="K366" s="13">
        <f>IF(I366="","",IF(OR(H366="",J366=""),I366,(H366+4*I366+J366)/6))</f>
        <v/>
      </c>
      <c r="L366" s="11">
        <f>IFERROR(IF(INDEX('Test catalog'!$J$2:$J$200,MATCH($Y366,'Test catalog'!$A$2:$A$200,0))="","",INDEX('Test catalog'!$J$2:$J$200,MATCH($Y366,'Test catalog'!$A$2:$A$200,0))),"")</f>
        <v/>
      </c>
      <c r="M366" s="11">
        <f>IFERROR(IF(INDEX('Test catalog'!$K$2:$K$200,MATCH($Y366,'Test catalog'!$A$2:$A$200,0))="","",INDEX('Test catalog'!$K$2:$K$200,MATCH($Y366,'Test catalog'!$A$2:$A$200,0))),"")</f>
        <v/>
      </c>
      <c r="N366" s="11">
        <f>IFERROR(IF(INDEX('Test catalog'!$L$2:$L$200,MATCH($Y366,'Test catalog'!$A$2:$A$200,0))="","",INDEX('Test catalog'!$L$2:$L$200,MATCH($Y366,'Test catalog'!$A$2:$A$200,0))),"")</f>
        <v/>
      </c>
      <c r="O366" s="11">
        <f>IFERROR(IF(INDEX('Test catalog'!$M$2:$M$200,MATCH($Y366,'Test catalog'!$A$2:$A$200,0))="","",INDEX('Test catalog'!$M$2:$M$200,MATCH($Y366,'Test catalog'!$A$2:$A$200,0))),"")</f>
        <v/>
      </c>
      <c r="P366" s="11">
        <f>IFERROR(IF(INDEX('Test catalog'!$N$2:$N$200,MATCH($Y366,'Test catalog'!$A$2:$A$200,0))="","",INDEX('Test catalog'!$N$2:$N$200,MATCH($Y366,'Test catalog'!$A$2:$A$200,0))),"")</f>
        <v/>
      </c>
      <c r="Q366" s="11">
        <f>IFERROR(IF(INDEX('Test catalog'!$O$2:$O$200,MATCH($Y366,'Test catalog'!$A$2:$A$200,0))="","",INDEX('Test catalog'!$O$2:$O$200,MATCH($Y366,'Test catalog'!$A$2:$A$200,0))),"")</f>
        <v/>
      </c>
      <c r="R366" s="11">
        <f>IFERROR(IF(INDEX('Test catalog'!$P$2:$P$200,MATCH($Y366,'Test catalog'!$A$2:$A$200,0))="","",INDEX('Test catalog'!$P$2:$P$200,MATCH($Y366,'Test catalog'!$A$2:$A$200,0))),"")</f>
        <v/>
      </c>
      <c r="S366" s="14" t="n"/>
      <c r="T366" s="5" t="inlineStr">
        <is>
          <t>Y</t>
        </is>
      </c>
      <c r="U366" s="11">
        <f>IFERROR(IF(INDEX('Test catalog'!$Q$2:$Q$200,MATCH($Y366,'Test catalog'!$A$2:$A$200,0))="","",INDEX('Test catalog'!$Q$2:$Q$200,MATCH($Y366,'Test catalog'!$A$2:$A$200,0))),"")</f>
        <v/>
      </c>
      <c r="V366" s="5" t="n"/>
      <c r="W366" s="5" t="n"/>
      <c r="X366" s="5" t="n"/>
      <c r="Y366" s="5" t="inlineStr">
        <is>
          <t>ENUM</t>
        </is>
      </c>
      <c r="Z366" s="11" t="inlineStr">
        <is>
          <t>USP &lt;1111&gt; oral solid: TAMC, TYMC, absence of E. coli; &lt;2023&gt; botanical: absence of Salmonella</t>
        </is>
      </c>
    </row>
    <row r="367">
      <c r="A367" s="11" t="inlineStr">
        <is>
          <t>F47</t>
        </is>
      </c>
      <c r="B367" s="11" t="inlineStr">
        <is>
          <t>FP</t>
        </is>
      </c>
      <c r="C367" s="11" t="inlineStr">
        <is>
          <t>Healthy Liver  |  Milk Thistle Dry Extract 70:1, Artichoke Dry Extract 25:1 (+4 more)</t>
        </is>
      </c>
      <c r="D367" s="11" t="inlineStr">
        <is>
          <t>Absence of Escherichia coli (&lt;62&gt; / &lt;2022&gt;)</t>
        </is>
      </c>
      <c r="E367" s="5" t="inlineStr">
        <is>
          <t>Y</t>
        </is>
      </c>
      <c r="F367" s="5" t="n"/>
      <c r="G367" s="11">
        <f>IFERROR(IF(INDEX('Test catalog'!$F$2:$F$200,MATCH($Y367,'Test catalog'!$A$2:$A$200,0))="","",INDEX('Test catalog'!$F$2:$F$200,MATCH($Y367,'Test catalog'!$A$2:$A$200,0))),"")</f>
        <v/>
      </c>
      <c r="H367" s="11">
        <f>IFERROR(IF(INDEX('Test catalog'!$G$2:$G$200,MATCH($Y367,'Test catalog'!$A$2:$A$200,0))="","",INDEX('Test catalog'!$G$2:$G$200,MATCH($Y367,'Test catalog'!$A$2:$A$200,0))),"")</f>
        <v/>
      </c>
      <c r="I367" s="11">
        <f>IFERROR(IF(INDEX('Test catalog'!$H$2:$H$200,MATCH($Y367,'Test catalog'!$A$2:$A$200,0))="","",INDEX('Test catalog'!$H$2:$H$200,MATCH($Y367,'Test catalog'!$A$2:$A$200,0))),"")</f>
        <v/>
      </c>
      <c r="J367" s="11">
        <f>IFERROR(IF(INDEX('Test catalog'!$I$2:$I$200,MATCH($Y367,'Test catalog'!$A$2:$A$200,0))="","",INDEX('Test catalog'!$I$2:$I$200,MATCH($Y367,'Test catalog'!$A$2:$A$200,0))),"")</f>
        <v/>
      </c>
      <c r="K367" s="13">
        <f>IF(I367="","",IF(OR(H367="",J367=""),I367,(H367+4*I367+J367)/6))</f>
        <v/>
      </c>
      <c r="L367" s="11">
        <f>IFERROR(IF(INDEX('Test catalog'!$J$2:$J$200,MATCH($Y367,'Test catalog'!$A$2:$A$200,0))="","",INDEX('Test catalog'!$J$2:$J$200,MATCH($Y367,'Test catalog'!$A$2:$A$200,0))),"")</f>
        <v/>
      </c>
      <c r="M367" s="11">
        <f>IFERROR(IF(INDEX('Test catalog'!$K$2:$K$200,MATCH($Y367,'Test catalog'!$A$2:$A$200,0))="","",INDEX('Test catalog'!$K$2:$K$200,MATCH($Y367,'Test catalog'!$A$2:$A$200,0))),"")</f>
        <v/>
      </c>
      <c r="N367" s="11">
        <f>IFERROR(IF(INDEX('Test catalog'!$L$2:$L$200,MATCH($Y367,'Test catalog'!$A$2:$A$200,0))="","",INDEX('Test catalog'!$L$2:$L$200,MATCH($Y367,'Test catalog'!$A$2:$A$200,0))),"")</f>
        <v/>
      </c>
      <c r="O367" s="11">
        <f>IFERROR(IF(INDEX('Test catalog'!$M$2:$M$200,MATCH($Y367,'Test catalog'!$A$2:$A$200,0))="","",INDEX('Test catalog'!$M$2:$M$200,MATCH($Y367,'Test catalog'!$A$2:$A$200,0))),"")</f>
        <v/>
      </c>
      <c r="P367" s="11">
        <f>IFERROR(IF(INDEX('Test catalog'!$N$2:$N$200,MATCH($Y367,'Test catalog'!$A$2:$A$200,0))="","",INDEX('Test catalog'!$N$2:$N$200,MATCH($Y367,'Test catalog'!$A$2:$A$200,0))),"")</f>
        <v/>
      </c>
      <c r="Q367" s="11">
        <f>IFERROR(IF(INDEX('Test catalog'!$O$2:$O$200,MATCH($Y367,'Test catalog'!$A$2:$A$200,0))="","",INDEX('Test catalog'!$O$2:$O$200,MATCH($Y367,'Test catalog'!$A$2:$A$200,0))),"")</f>
        <v/>
      </c>
      <c r="R367" s="11">
        <f>IFERROR(IF(INDEX('Test catalog'!$P$2:$P$200,MATCH($Y367,'Test catalog'!$A$2:$A$200,0))="","",INDEX('Test catalog'!$P$2:$P$200,MATCH($Y367,'Test catalog'!$A$2:$A$200,0))),"")</f>
        <v/>
      </c>
      <c r="S367" s="14" t="n"/>
      <c r="T367" s="5" t="inlineStr">
        <is>
          <t>N</t>
        </is>
      </c>
      <c r="U367" s="11">
        <f>IFERROR(IF(INDEX('Test catalog'!$Q$2:$Q$200,MATCH($Y367,'Test catalog'!$A$2:$A$200,0))="","",INDEX('Test catalog'!$Q$2:$Q$200,MATCH($Y367,'Test catalog'!$A$2:$A$200,0))),"")</f>
        <v/>
      </c>
      <c r="V367" s="5" t="n"/>
      <c r="W367" s="5" t="n"/>
      <c r="X367" s="5" t="n"/>
      <c r="Y367" s="5" t="inlineStr">
        <is>
          <t>ECOLI</t>
        </is>
      </c>
      <c r="Z367" s="11" t="inlineStr">
        <is>
          <t>USP &lt;1111&gt; oral solid: TAMC, TYMC, absence of E. coli; &lt;2023&gt; botanical: absence of Salmonella</t>
        </is>
      </c>
    </row>
    <row r="368">
      <c r="A368" s="11" t="inlineStr">
        <is>
          <t>F47</t>
        </is>
      </c>
      <c r="B368" s="11" t="inlineStr">
        <is>
          <t>FP</t>
        </is>
      </c>
      <c r="C368" s="11" t="inlineStr">
        <is>
          <t>Healthy Liver  |  Milk Thistle Dry Extract 70:1, Artichoke Dry Extract 25:1 (+4 more)</t>
        </is>
      </c>
      <c r="D368" s="11" t="inlineStr">
        <is>
          <t>Absence of Salmonella (&lt;62&gt; / &lt;2022&gt;)</t>
        </is>
      </c>
      <c r="E368" s="5" t="inlineStr">
        <is>
          <t>Y</t>
        </is>
      </c>
      <c r="F368" s="5" t="n"/>
      <c r="G368" s="11">
        <f>IFERROR(IF(INDEX('Test catalog'!$F$2:$F$200,MATCH($Y368,'Test catalog'!$A$2:$A$200,0))="","",INDEX('Test catalog'!$F$2:$F$200,MATCH($Y368,'Test catalog'!$A$2:$A$200,0))),"")</f>
        <v/>
      </c>
      <c r="H368" s="11">
        <f>IFERROR(IF(INDEX('Test catalog'!$G$2:$G$200,MATCH($Y368,'Test catalog'!$A$2:$A$200,0))="","",INDEX('Test catalog'!$G$2:$G$200,MATCH($Y368,'Test catalog'!$A$2:$A$200,0))),"")</f>
        <v/>
      </c>
      <c r="I368" s="11">
        <f>IFERROR(IF(INDEX('Test catalog'!$H$2:$H$200,MATCH($Y368,'Test catalog'!$A$2:$A$200,0))="","",INDEX('Test catalog'!$H$2:$H$200,MATCH($Y368,'Test catalog'!$A$2:$A$200,0))),"")</f>
        <v/>
      </c>
      <c r="J368" s="11">
        <f>IFERROR(IF(INDEX('Test catalog'!$I$2:$I$200,MATCH($Y368,'Test catalog'!$A$2:$A$200,0))="","",INDEX('Test catalog'!$I$2:$I$200,MATCH($Y368,'Test catalog'!$A$2:$A$200,0))),"")</f>
        <v/>
      </c>
      <c r="K368" s="13">
        <f>IF(I368="","",IF(OR(H368="",J368=""),I368,(H368+4*I368+J368)/6))</f>
        <v/>
      </c>
      <c r="L368" s="11">
        <f>IFERROR(IF(INDEX('Test catalog'!$J$2:$J$200,MATCH($Y368,'Test catalog'!$A$2:$A$200,0))="","",INDEX('Test catalog'!$J$2:$J$200,MATCH($Y368,'Test catalog'!$A$2:$A$200,0))),"")</f>
        <v/>
      </c>
      <c r="M368" s="11">
        <f>IFERROR(IF(INDEX('Test catalog'!$K$2:$K$200,MATCH($Y368,'Test catalog'!$A$2:$A$200,0))="","",INDEX('Test catalog'!$K$2:$K$200,MATCH($Y368,'Test catalog'!$A$2:$A$200,0))),"")</f>
        <v/>
      </c>
      <c r="N368" s="11">
        <f>IFERROR(IF(INDEX('Test catalog'!$L$2:$L$200,MATCH($Y368,'Test catalog'!$A$2:$A$200,0))="","",INDEX('Test catalog'!$L$2:$L$200,MATCH($Y368,'Test catalog'!$A$2:$A$200,0))),"")</f>
        <v/>
      </c>
      <c r="O368" s="11">
        <f>IFERROR(IF(INDEX('Test catalog'!$M$2:$M$200,MATCH($Y368,'Test catalog'!$A$2:$A$200,0))="","",INDEX('Test catalog'!$M$2:$M$200,MATCH($Y368,'Test catalog'!$A$2:$A$200,0))),"")</f>
        <v/>
      </c>
      <c r="P368" s="11">
        <f>IFERROR(IF(INDEX('Test catalog'!$N$2:$N$200,MATCH($Y368,'Test catalog'!$A$2:$A$200,0))="","",INDEX('Test catalog'!$N$2:$N$200,MATCH($Y368,'Test catalog'!$A$2:$A$200,0))),"")</f>
        <v/>
      </c>
      <c r="Q368" s="11">
        <f>IFERROR(IF(INDEX('Test catalog'!$O$2:$O$200,MATCH($Y368,'Test catalog'!$A$2:$A$200,0))="","",INDEX('Test catalog'!$O$2:$O$200,MATCH($Y368,'Test catalog'!$A$2:$A$200,0))),"")</f>
        <v/>
      </c>
      <c r="R368" s="11">
        <f>IFERROR(IF(INDEX('Test catalog'!$P$2:$P$200,MATCH($Y368,'Test catalog'!$A$2:$A$200,0))="","",INDEX('Test catalog'!$P$2:$P$200,MATCH($Y368,'Test catalog'!$A$2:$A$200,0))),"")</f>
        <v/>
      </c>
      <c r="S368" s="14" t="n"/>
      <c r="T368" s="5" t="inlineStr">
        <is>
          <t>N</t>
        </is>
      </c>
      <c r="U368" s="11">
        <f>IFERROR(IF(INDEX('Test catalog'!$Q$2:$Q$200,MATCH($Y368,'Test catalog'!$A$2:$A$200,0))="","",INDEX('Test catalog'!$Q$2:$Q$200,MATCH($Y368,'Test catalog'!$A$2:$A$200,0))),"")</f>
        <v/>
      </c>
      <c r="V368" s="5" t="n"/>
      <c r="W368" s="5" t="n"/>
      <c r="X368" s="5" t="n"/>
      <c r="Y368" s="5" t="inlineStr">
        <is>
          <t>SALM</t>
        </is>
      </c>
      <c r="Z368" s="11" t="inlineStr">
        <is>
          <t>USP &lt;1111&gt; oral solid: TAMC, TYMC, absence of E. coli; &lt;2023&gt; botanical: absence of Salmonella</t>
        </is>
      </c>
    </row>
    <row r="369">
      <c r="A369" s="11" t="inlineStr">
        <is>
          <t>F48</t>
        </is>
      </c>
      <c r="B369" s="11" t="inlineStr">
        <is>
          <t>FP</t>
        </is>
      </c>
      <c r="C369" s="11" t="inlineStr">
        <is>
          <t>Kamasotra premium  |  Cyanocobalamin (Vitamin B12), Ginseng Panax (+3 more)</t>
        </is>
      </c>
      <c r="D369" s="11" t="inlineStr">
        <is>
          <t>Microbial enumeration - TAMC + TYMC (&lt;61&gt; / &lt;2021&gt;)</t>
        </is>
      </c>
      <c r="E369" s="5" t="inlineStr">
        <is>
          <t>Y</t>
        </is>
      </c>
      <c r="F369" s="5" t="n"/>
      <c r="G369" s="11">
        <f>IFERROR(IF(INDEX('Test catalog'!$F$2:$F$200,MATCH($Y369,'Test catalog'!$A$2:$A$200,0))="","",INDEX('Test catalog'!$F$2:$F$200,MATCH($Y369,'Test catalog'!$A$2:$A$200,0))),"")</f>
        <v/>
      </c>
      <c r="H369" s="11">
        <f>IFERROR(IF(INDEX('Test catalog'!$G$2:$G$200,MATCH($Y369,'Test catalog'!$A$2:$A$200,0))="","",INDEX('Test catalog'!$G$2:$G$200,MATCH($Y369,'Test catalog'!$A$2:$A$200,0))),"")</f>
        <v/>
      </c>
      <c r="I369" s="11">
        <f>IFERROR(IF(INDEX('Test catalog'!$H$2:$H$200,MATCH($Y369,'Test catalog'!$A$2:$A$200,0))="","",INDEX('Test catalog'!$H$2:$H$200,MATCH($Y369,'Test catalog'!$A$2:$A$200,0))),"")</f>
        <v/>
      </c>
      <c r="J369" s="11">
        <f>IFERROR(IF(INDEX('Test catalog'!$I$2:$I$200,MATCH($Y369,'Test catalog'!$A$2:$A$200,0))="","",INDEX('Test catalog'!$I$2:$I$200,MATCH($Y369,'Test catalog'!$A$2:$A$200,0))),"")</f>
        <v/>
      </c>
      <c r="K369" s="13">
        <f>IF(I369="","",IF(OR(H369="",J369=""),I369,(H369+4*I369+J369)/6))</f>
        <v/>
      </c>
      <c r="L369" s="11">
        <f>IFERROR(IF(INDEX('Test catalog'!$J$2:$J$200,MATCH($Y369,'Test catalog'!$A$2:$A$200,0))="","",INDEX('Test catalog'!$J$2:$J$200,MATCH($Y369,'Test catalog'!$A$2:$A$200,0))),"")</f>
        <v/>
      </c>
      <c r="M369" s="11">
        <f>IFERROR(IF(INDEX('Test catalog'!$K$2:$K$200,MATCH($Y369,'Test catalog'!$A$2:$A$200,0))="","",INDEX('Test catalog'!$K$2:$K$200,MATCH($Y369,'Test catalog'!$A$2:$A$200,0))),"")</f>
        <v/>
      </c>
      <c r="N369" s="11">
        <f>IFERROR(IF(INDEX('Test catalog'!$L$2:$L$200,MATCH($Y369,'Test catalog'!$A$2:$A$200,0))="","",INDEX('Test catalog'!$L$2:$L$200,MATCH($Y369,'Test catalog'!$A$2:$A$200,0))),"")</f>
        <v/>
      </c>
      <c r="O369" s="11">
        <f>IFERROR(IF(INDEX('Test catalog'!$M$2:$M$200,MATCH($Y369,'Test catalog'!$A$2:$A$200,0))="","",INDEX('Test catalog'!$M$2:$M$200,MATCH($Y369,'Test catalog'!$A$2:$A$200,0))),"")</f>
        <v/>
      </c>
      <c r="P369" s="11">
        <f>IFERROR(IF(INDEX('Test catalog'!$N$2:$N$200,MATCH($Y369,'Test catalog'!$A$2:$A$200,0))="","",INDEX('Test catalog'!$N$2:$N$200,MATCH($Y369,'Test catalog'!$A$2:$A$200,0))),"")</f>
        <v/>
      </c>
      <c r="Q369" s="11">
        <f>IFERROR(IF(INDEX('Test catalog'!$O$2:$O$200,MATCH($Y369,'Test catalog'!$A$2:$A$200,0))="","",INDEX('Test catalog'!$O$2:$O$200,MATCH($Y369,'Test catalog'!$A$2:$A$200,0))),"")</f>
        <v/>
      </c>
      <c r="R369" s="11">
        <f>IFERROR(IF(INDEX('Test catalog'!$P$2:$P$200,MATCH($Y369,'Test catalog'!$A$2:$A$200,0))="","",INDEX('Test catalog'!$P$2:$P$200,MATCH($Y369,'Test catalog'!$A$2:$A$200,0))),"")</f>
        <v/>
      </c>
      <c r="S369" s="14" t="n"/>
      <c r="T369" s="5" t="inlineStr">
        <is>
          <t>Y</t>
        </is>
      </c>
      <c r="U369" s="11">
        <f>IFERROR(IF(INDEX('Test catalog'!$Q$2:$Q$200,MATCH($Y369,'Test catalog'!$A$2:$A$200,0))="","",INDEX('Test catalog'!$Q$2:$Q$200,MATCH($Y369,'Test catalog'!$A$2:$A$200,0))),"")</f>
        <v/>
      </c>
      <c r="V369" s="5" t="n"/>
      <c r="W369" s="5" t="n"/>
      <c r="X369" s="5" t="n"/>
      <c r="Y369" s="5" t="inlineStr">
        <is>
          <t>ENUM</t>
        </is>
      </c>
      <c r="Z369" s="11" t="inlineStr">
        <is>
          <t>USP &lt;1111&gt; oral solid: TAMC, TYMC, absence of E. coli; &lt;2023&gt; botanical: absence of Salmonella</t>
        </is>
      </c>
    </row>
    <row r="370">
      <c r="A370" s="11" t="inlineStr">
        <is>
          <t>F48</t>
        </is>
      </c>
      <c r="B370" s="11" t="inlineStr">
        <is>
          <t>FP</t>
        </is>
      </c>
      <c r="C370" s="11" t="inlineStr">
        <is>
          <t>Kamasotra premium  |  Cyanocobalamin (Vitamin B12), Ginseng Panax (+3 more)</t>
        </is>
      </c>
      <c r="D370" s="11" t="inlineStr">
        <is>
          <t>Absence of Escherichia coli (&lt;62&gt; / &lt;2022&gt;)</t>
        </is>
      </c>
      <c r="E370" s="5" t="inlineStr">
        <is>
          <t>Y</t>
        </is>
      </c>
      <c r="F370" s="5" t="n"/>
      <c r="G370" s="11">
        <f>IFERROR(IF(INDEX('Test catalog'!$F$2:$F$200,MATCH($Y370,'Test catalog'!$A$2:$A$200,0))="","",INDEX('Test catalog'!$F$2:$F$200,MATCH($Y370,'Test catalog'!$A$2:$A$200,0))),"")</f>
        <v/>
      </c>
      <c r="H370" s="11">
        <f>IFERROR(IF(INDEX('Test catalog'!$G$2:$G$200,MATCH($Y370,'Test catalog'!$A$2:$A$200,0))="","",INDEX('Test catalog'!$G$2:$G$200,MATCH($Y370,'Test catalog'!$A$2:$A$200,0))),"")</f>
        <v/>
      </c>
      <c r="I370" s="11">
        <f>IFERROR(IF(INDEX('Test catalog'!$H$2:$H$200,MATCH($Y370,'Test catalog'!$A$2:$A$200,0))="","",INDEX('Test catalog'!$H$2:$H$200,MATCH($Y370,'Test catalog'!$A$2:$A$200,0))),"")</f>
        <v/>
      </c>
      <c r="J370" s="11">
        <f>IFERROR(IF(INDEX('Test catalog'!$I$2:$I$200,MATCH($Y370,'Test catalog'!$A$2:$A$200,0))="","",INDEX('Test catalog'!$I$2:$I$200,MATCH($Y370,'Test catalog'!$A$2:$A$200,0))),"")</f>
        <v/>
      </c>
      <c r="K370" s="13">
        <f>IF(I370="","",IF(OR(H370="",J370=""),I370,(H370+4*I370+J370)/6))</f>
        <v/>
      </c>
      <c r="L370" s="11">
        <f>IFERROR(IF(INDEX('Test catalog'!$J$2:$J$200,MATCH($Y370,'Test catalog'!$A$2:$A$200,0))="","",INDEX('Test catalog'!$J$2:$J$200,MATCH($Y370,'Test catalog'!$A$2:$A$200,0))),"")</f>
        <v/>
      </c>
      <c r="M370" s="11">
        <f>IFERROR(IF(INDEX('Test catalog'!$K$2:$K$200,MATCH($Y370,'Test catalog'!$A$2:$A$200,0))="","",INDEX('Test catalog'!$K$2:$K$200,MATCH($Y370,'Test catalog'!$A$2:$A$200,0))),"")</f>
        <v/>
      </c>
      <c r="N370" s="11">
        <f>IFERROR(IF(INDEX('Test catalog'!$L$2:$L$200,MATCH($Y370,'Test catalog'!$A$2:$A$200,0))="","",INDEX('Test catalog'!$L$2:$L$200,MATCH($Y370,'Test catalog'!$A$2:$A$200,0))),"")</f>
        <v/>
      </c>
      <c r="O370" s="11">
        <f>IFERROR(IF(INDEX('Test catalog'!$M$2:$M$200,MATCH($Y370,'Test catalog'!$A$2:$A$200,0))="","",INDEX('Test catalog'!$M$2:$M$200,MATCH($Y370,'Test catalog'!$A$2:$A$200,0))),"")</f>
        <v/>
      </c>
      <c r="P370" s="11">
        <f>IFERROR(IF(INDEX('Test catalog'!$N$2:$N$200,MATCH($Y370,'Test catalog'!$A$2:$A$200,0))="","",INDEX('Test catalog'!$N$2:$N$200,MATCH($Y370,'Test catalog'!$A$2:$A$200,0))),"")</f>
        <v/>
      </c>
      <c r="Q370" s="11">
        <f>IFERROR(IF(INDEX('Test catalog'!$O$2:$O$200,MATCH($Y370,'Test catalog'!$A$2:$A$200,0))="","",INDEX('Test catalog'!$O$2:$O$200,MATCH($Y370,'Test catalog'!$A$2:$A$200,0))),"")</f>
        <v/>
      </c>
      <c r="R370" s="11">
        <f>IFERROR(IF(INDEX('Test catalog'!$P$2:$P$200,MATCH($Y370,'Test catalog'!$A$2:$A$200,0))="","",INDEX('Test catalog'!$P$2:$P$200,MATCH($Y370,'Test catalog'!$A$2:$A$200,0))),"")</f>
        <v/>
      </c>
      <c r="S370" s="14" t="n"/>
      <c r="T370" s="5" t="inlineStr">
        <is>
          <t>N</t>
        </is>
      </c>
      <c r="U370" s="11">
        <f>IFERROR(IF(INDEX('Test catalog'!$Q$2:$Q$200,MATCH($Y370,'Test catalog'!$A$2:$A$200,0))="","",INDEX('Test catalog'!$Q$2:$Q$200,MATCH($Y370,'Test catalog'!$A$2:$A$200,0))),"")</f>
        <v/>
      </c>
      <c r="V370" s="5" t="n"/>
      <c r="W370" s="5" t="n"/>
      <c r="X370" s="5" t="n"/>
      <c r="Y370" s="5" t="inlineStr">
        <is>
          <t>ECOLI</t>
        </is>
      </c>
      <c r="Z370" s="11" t="inlineStr">
        <is>
          <t>USP &lt;1111&gt; oral solid: TAMC, TYMC, absence of E. coli; &lt;2023&gt; botanical: absence of Salmonella</t>
        </is>
      </c>
    </row>
    <row r="371">
      <c r="A371" s="11" t="inlineStr">
        <is>
          <t>F48</t>
        </is>
      </c>
      <c r="B371" s="11" t="inlineStr">
        <is>
          <t>FP</t>
        </is>
      </c>
      <c r="C371" s="11" t="inlineStr">
        <is>
          <t>Kamasotra premium  |  Cyanocobalamin (Vitamin B12), Ginseng Panax (+3 more)</t>
        </is>
      </c>
      <c r="D371" s="11" t="inlineStr">
        <is>
          <t>Absence of Salmonella (&lt;62&gt; / &lt;2022&gt;)</t>
        </is>
      </c>
      <c r="E371" s="5" t="inlineStr">
        <is>
          <t>Y</t>
        </is>
      </c>
      <c r="F371" s="5" t="n"/>
      <c r="G371" s="11">
        <f>IFERROR(IF(INDEX('Test catalog'!$F$2:$F$200,MATCH($Y371,'Test catalog'!$A$2:$A$200,0))="","",INDEX('Test catalog'!$F$2:$F$200,MATCH($Y371,'Test catalog'!$A$2:$A$200,0))),"")</f>
        <v/>
      </c>
      <c r="H371" s="11">
        <f>IFERROR(IF(INDEX('Test catalog'!$G$2:$G$200,MATCH($Y371,'Test catalog'!$A$2:$A$200,0))="","",INDEX('Test catalog'!$G$2:$G$200,MATCH($Y371,'Test catalog'!$A$2:$A$200,0))),"")</f>
        <v/>
      </c>
      <c r="I371" s="11">
        <f>IFERROR(IF(INDEX('Test catalog'!$H$2:$H$200,MATCH($Y371,'Test catalog'!$A$2:$A$200,0))="","",INDEX('Test catalog'!$H$2:$H$200,MATCH($Y371,'Test catalog'!$A$2:$A$200,0))),"")</f>
        <v/>
      </c>
      <c r="J371" s="11">
        <f>IFERROR(IF(INDEX('Test catalog'!$I$2:$I$200,MATCH($Y371,'Test catalog'!$A$2:$A$200,0))="","",INDEX('Test catalog'!$I$2:$I$200,MATCH($Y371,'Test catalog'!$A$2:$A$200,0))),"")</f>
        <v/>
      </c>
      <c r="K371" s="13">
        <f>IF(I371="","",IF(OR(H371="",J371=""),I371,(H371+4*I371+J371)/6))</f>
        <v/>
      </c>
      <c r="L371" s="11">
        <f>IFERROR(IF(INDEX('Test catalog'!$J$2:$J$200,MATCH($Y371,'Test catalog'!$A$2:$A$200,0))="","",INDEX('Test catalog'!$J$2:$J$200,MATCH($Y371,'Test catalog'!$A$2:$A$200,0))),"")</f>
        <v/>
      </c>
      <c r="M371" s="11">
        <f>IFERROR(IF(INDEX('Test catalog'!$K$2:$K$200,MATCH($Y371,'Test catalog'!$A$2:$A$200,0))="","",INDEX('Test catalog'!$K$2:$K$200,MATCH($Y371,'Test catalog'!$A$2:$A$200,0))),"")</f>
        <v/>
      </c>
      <c r="N371" s="11">
        <f>IFERROR(IF(INDEX('Test catalog'!$L$2:$L$200,MATCH($Y371,'Test catalog'!$A$2:$A$200,0))="","",INDEX('Test catalog'!$L$2:$L$200,MATCH($Y371,'Test catalog'!$A$2:$A$200,0))),"")</f>
        <v/>
      </c>
      <c r="O371" s="11">
        <f>IFERROR(IF(INDEX('Test catalog'!$M$2:$M$200,MATCH($Y371,'Test catalog'!$A$2:$A$200,0))="","",INDEX('Test catalog'!$M$2:$M$200,MATCH($Y371,'Test catalog'!$A$2:$A$200,0))),"")</f>
        <v/>
      </c>
      <c r="P371" s="11">
        <f>IFERROR(IF(INDEX('Test catalog'!$N$2:$N$200,MATCH($Y371,'Test catalog'!$A$2:$A$200,0))="","",INDEX('Test catalog'!$N$2:$N$200,MATCH($Y371,'Test catalog'!$A$2:$A$200,0))),"")</f>
        <v/>
      </c>
      <c r="Q371" s="11">
        <f>IFERROR(IF(INDEX('Test catalog'!$O$2:$O$200,MATCH($Y371,'Test catalog'!$A$2:$A$200,0))="","",INDEX('Test catalog'!$O$2:$O$200,MATCH($Y371,'Test catalog'!$A$2:$A$200,0))),"")</f>
        <v/>
      </c>
      <c r="R371" s="11">
        <f>IFERROR(IF(INDEX('Test catalog'!$P$2:$P$200,MATCH($Y371,'Test catalog'!$A$2:$A$200,0))="","",INDEX('Test catalog'!$P$2:$P$200,MATCH($Y371,'Test catalog'!$A$2:$A$200,0))),"")</f>
        <v/>
      </c>
      <c r="S371" s="14" t="n"/>
      <c r="T371" s="5" t="inlineStr">
        <is>
          <t>N</t>
        </is>
      </c>
      <c r="U371" s="11">
        <f>IFERROR(IF(INDEX('Test catalog'!$Q$2:$Q$200,MATCH($Y371,'Test catalog'!$A$2:$A$200,0))="","",INDEX('Test catalog'!$Q$2:$Q$200,MATCH($Y371,'Test catalog'!$A$2:$A$200,0))),"")</f>
        <v/>
      </c>
      <c r="V371" s="5" t="n"/>
      <c r="W371" s="5" t="n"/>
      <c r="X371" s="5" t="n"/>
      <c r="Y371" s="5" t="inlineStr">
        <is>
          <t>SALM</t>
        </is>
      </c>
      <c r="Z371" s="11" t="inlineStr">
        <is>
          <t>USP &lt;1111&gt; oral solid: TAMC, TYMC, absence of E. coli; &lt;2023&gt; botanical: absence of Salmonella</t>
        </is>
      </c>
    </row>
    <row r="372">
      <c r="A372" s="11" t="inlineStr">
        <is>
          <t>F49</t>
        </is>
      </c>
      <c r="B372" s="11" t="inlineStr">
        <is>
          <t>FP</t>
        </is>
      </c>
      <c r="C372" s="11" t="inlineStr">
        <is>
          <t>Prostica  |  Saw Palmetto Dry Extract 4:1, Sodium Selenite (+1 more)</t>
        </is>
      </c>
      <c r="D372" s="11" t="inlineStr">
        <is>
          <t>Microbial enumeration - TAMC + TYMC (&lt;61&gt; / &lt;2021&gt;)</t>
        </is>
      </c>
      <c r="E372" s="5" t="inlineStr">
        <is>
          <t>Y</t>
        </is>
      </c>
      <c r="F372" s="5" t="n"/>
      <c r="G372" s="11">
        <f>IFERROR(IF(INDEX('Test catalog'!$F$2:$F$200,MATCH($Y372,'Test catalog'!$A$2:$A$200,0))="","",INDEX('Test catalog'!$F$2:$F$200,MATCH($Y372,'Test catalog'!$A$2:$A$200,0))),"")</f>
        <v/>
      </c>
      <c r="H372" s="11">
        <f>IFERROR(IF(INDEX('Test catalog'!$G$2:$G$200,MATCH($Y372,'Test catalog'!$A$2:$A$200,0))="","",INDEX('Test catalog'!$G$2:$G$200,MATCH($Y372,'Test catalog'!$A$2:$A$200,0))),"")</f>
        <v/>
      </c>
      <c r="I372" s="11">
        <f>IFERROR(IF(INDEX('Test catalog'!$H$2:$H$200,MATCH($Y372,'Test catalog'!$A$2:$A$200,0))="","",INDEX('Test catalog'!$H$2:$H$200,MATCH($Y372,'Test catalog'!$A$2:$A$200,0))),"")</f>
        <v/>
      </c>
      <c r="J372" s="11">
        <f>IFERROR(IF(INDEX('Test catalog'!$I$2:$I$200,MATCH($Y372,'Test catalog'!$A$2:$A$200,0))="","",INDEX('Test catalog'!$I$2:$I$200,MATCH($Y372,'Test catalog'!$A$2:$A$200,0))),"")</f>
        <v/>
      </c>
      <c r="K372" s="13">
        <f>IF(I372="","",IF(OR(H372="",J372=""),I372,(H372+4*I372+J372)/6))</f>
        <v/>
      </c>
      <c r="L372" s="11">
        <f>IFERROR(IF(INDEX('Test catalog'!$J$2:$J$200,MATCH($Y372,'Test catalog'!$A$2:$A$200,0))="","",INDEX('Test catalog'!$J$2:$J$200,MATCH($Y372,'Test catalog'!$A$2:$A$200,0))),"")</f>
        <v/>
      </c>
      <c r="M372" s="11">
        <f>IFERROR(IF(INDEX('Test catalog'!$K$2:$K$200,MATCH($Y372,'Test catalog'!$A$2:$A$200,0))="","",INDEX('Test catalog'!$K$2:$K$200,MATCH($Y372,'Test catalog'!$A$2:$A$200,0))),"")</f>
        <v/>
      </c>
      <c r="N372" s="11">
        <f>IFERROR(IF(INDEX('Test catalog'!$L$2:$L$200,MATCH($Y372,'Test catalog'!$A$2:$A$200,0))="","",INDEX('Test catalog'!$L$2:$L$200,MATCH($Y372,'Test catalog'!$A$2:$A$200,0))),"")</f>
        <v/>
      </c>
      <c r="O372" s="11">
        <f>IFERROR(IF(INDEX('Test catalog'!$M$2:$M$200,MATCH($Y372,'Test catalog'!$A$2:$A$200,0))="","",INDEX('Test catalog'!$M$2:$M$200,MATCH($Y372,'Test catalog'!$A$2:$A$200,0))),"")</f>
        <v/>
      </c>
      <c r="P372" s="11">
        <f>IFERROR(IF(INDEX('Test catalog'!$N$2:$N$200,MATCH($Y372,'Test catalog'!$A$2:$A$200,0))="","",INDEX('Test catalog'!$N$2:$N$200,MATCH($Y372,'Test catalog'!$A$2:$A$200,0))),"")</f>
        <v/>
      </c>
      <c r="Q372" s="11">
        <f>IFERROR(IF(INDEX('Test catalog'!$O$2:$O$200,MATCH($Y372,'Test catalog'!$A$2:$A$200,0))="","",INDEX('Test catalog'!$O$2:$O$200,MATCH($Y372,'Test catalog'!$A$2:$A$200,0))),"")</f>
        <v/>
      </c>
      <c r="R372" s="11">
        <f>IFERROR(IF(INDEX('Test catalog'!$P$2:$P$200,MATCH($Y372,'Test catalog'!$A$2:$A$200,0))="","",INDEX('Test catalog'!$P$2:$P$200,MATCH($Y372,'Test catalog'!$A$2:$A$200,0))),"")</f>
        <v/>
      </c>
      <c r="S372" s="14" t="n"/>
      <c r="T372" s="5" t="inlineStr">
        <is>
          <t>Y</t>
        </is>
      </c>
      <c r="U372" s="11">
        <f>IFERROR(IF(INDEX('Test catalog'!$Q$2:$Q$200,MATCH($Y372,'Test catalog'!$A$2:$A$200,0))="","",INDEX('Test catalog'!$Q$2:$Q$200,MATCH($Y372,'Test catalog'!$A$2:$A$200,0))),"")</f>
        <v/>
      </c>
      <c r="V372" s="5" t="n"/>
      <c r="W372" s="5" t="n"/>
      <c r="X372" s="5" t="n"/>
      <c r="Y372" s="5" t="inlineStr">
        <is>
          <t>ENUM</t>
        </is>
      </c>
      <c r="Z372" s="11" t="inlineStr">
        <is>
          <t>USP &lt;1111&gt; oral solid: TAMC, TYMC, absence of E. coli; &lt;2023&gt; botanical: absence of Salmonella</t>
        </is>
      </c>
    </row>
    <row r="373">
      <c r="A373" s="11" t="inlineStr">
        <is>
          <t>F49</t>
        </is>
      </c>
      <c r="B373" s="11" t="inlineStr">
        <is>
          <t>FP</t>
        </is>
      </c>
      <c r="C373" s="11" t="inlineStr">
        <is>
          <t>Prostica  |  Saw Palmetto Dry Extract 4:1, Sodium Selenite (+1 more)</t>
        </is>
      </c>
      <c r="D373" s="11" t="inlineStr">
        <is>
          <t>Absence of Escherichia coli (&lt;62&gt; / &lt;2022&gt;)</t>
        </is>
      </c>
      <c r="E373" s="5" t="inlineStr">
        <is>
          <t>Y</t>
        </is>
      </c>
      <c r="F373" s="5" t="n"/>
      <c r="G373" s="11">
        <f>IFERROR(IF(INDEX('Test catalog'!$F$2:$F$200,MATCH($Y373,'Test catalog'!$A$2:$A$200,0))="","",INDEX('Test catalog'!$F$2:$F$200,MATCH($Y373,'Test catalog'!$A$2:$A$200,0))),"")</f>
        <v/>
      </c>
      <c r="H373" s="11">
        <f>IFERROR(IF(INDEX('Test catalog'!$G$2:$G$200,MATCH($Y373,'Test catalog'!$A$2:$A$200,0))="","",INDEX('Test catalog'!$G$2:$G$200,MATCH($Y373,'Test catalog'!$A$2:$A$200,0))),"")</f>
        <v/>
      </c>
      <c r="I373" s="11">
        <f>IFERROR(IF(INDEX('Test catalog'!$H$2:$H$200,MATCH($Y373,'Test catalog'!$A$2:$A$200,0))="","",INDEX('Test catalog'!$H$2:$H$200,MATCH($Y373,'Test catalog'!$A$2:$A$200,0))),"")</f>
        <v/>
      </c>
      <c r="J373" s="11">
        <f>IFERROR(IF(INDEX('Test catalog'!$I$2:$I$200,MATCH($Y373,'Test catalog'!$A$2:$A$200,0))="","",INDEX('Test catalog'!$I$2:$I$200,MATCH($Y373,'Test catalog'!$A$2:$A$200,0))),"")</f>
        <v/>
      </c>
      <c r="K373" s="13">
        <f>IF(I373="","",IF(OR(H373="",J373=""),I373,(H373+4*I373+J373)/6))</f>
        <v/>
      </c>
      <c r="L373" s="11">
        <f>IFERROR(IF(INDEX('Test catalog'!$J$2:$J$200,MATCH($Y373,'Test catalog'!$A$2:$A$200,0))="","",INDEX('Test catalog'!$J$2:$J$200,MATCH($Y373,'Test catalog'!$A$2:$A$200,0))),"")</f>
        <v/>
      </c>
      <c r="M373" s="11">
        <f>IFERROR(IF(INDEX('Test catalog'!$K$2:$K$200,MATCH($Y373,'Test catalog'!$A$2:$A$200,0))="","",INDEX('Test catalog'!$K$2:$K$200,MATCH($Y373,'Test catalog'!$A$2:$A$200,0))),"")</f>
        <v/>
      </c>
      <c r="N373" s="11">
        <f>IFERROR(IF(INDEX('Test catalog'!$L$2:$L$200,MATCH($Y373,'Test catalog'!$A$2:$A$200,0))="","",INDEX('Test catalog'!$L$2:$L$200,MATCH($Y373,'Test catalog'!$A$2:$A$200,0))),"")</f>
        <v/>
      </c>
      <c r="O373" s="11">
        <f>IFERROR(IF(INDEX('Test catalog'!$M$2:$M$200,MATCH($Y373,'Test catalog'!$A$2:$A$200,0))="","",INDEX('Test catalog'!$M$2:$M$200,MATCH($Y373,'Test catalog'!$A$2:$A$200,0))),"")</f>
        <v/>
      </c>
      <c r="P373" s="11">
        <f>IFERROR(IF(INDEX('Test catalog'!$N$2:$N$200,MATCH($Y373,'Test catalog'!$A$2:$A$200,0))="","",INDEX('Test catalog'!$N$2:$N$200,MATCH($Y373,'Test catalog'!$A$2:$A$200,0))),"")</f>
        <v/>
      </c>
      <c r="Q373" s="11">
        <f>IFERROR(IF(INDEX('Test catalog'!$O$2:$O$200,MATCH($Y373,'Test catalog'!$A$2:$A$200,0))="","",INDEX('Test catalog'!$O$2:$O$200,MATCH($Y373,'Test catalog'!$A$2:$A$200,0))),"")</f>
        <v/>
      </c>
      <c r="R373" s="11">
        <f>IFERROR(IF(INDEX('Test catalog'!$P$2:$P$200,MATCH($Y373,'Test catalog'!$A$2:$A$200,0))="","",INDEX('Test catalog'!$P$2:$P$200,MATCH($Y373,'Test catalog'!$A$2:$A$200,0))),"")</f>
        <v/>
      </c>
      <c r="S373" s="14" t="n"/>
      <c r="T373" s="5" t="inlineStr">
        <is>
          <t>N</t>
        </is>
      </c>
      <c r="U373" s="11">
        <f>IFERROR(IF(INDEX('Test catalog'!$Q$2:$Q$200,MATCH($Y373,'Test catalog'!$A$2:$A$200,0))="","",INDEX('Test catalog'!$Q$2:$Q$200,MATCH($Y373,'Test catalog'!$A$2:$A$200,0))),"")</f>
        <v/>
      </c>
      <c r="V373" s="5" t="n"/>
      <c r="W373" s="5" t="n"/>
      <c r="X373" s="5" t="n"/>
      <c r="Y373" s="5" t="inlineStr">
        <is>
          <t>ECOLI</t>
        </is>
      </c>
      <c r="Z373" s="11" t="inlineStr">
        <is>
          <t>USP &lt;1111&gt; oral solid: TAMC, TYMC, absence of E. coli; &lt;2023&gt; botanical: absence of Salmonella</t>
        </is>
      </c>
    </row>
    <row r="374">
      <c r="A374" s="11" t="inlineStr">
        <is>
          <t>F49</t>
        </is>
      </c>
      <c r="B374" s="11" t="inlineStr">
        <is>
          <t>FP</t>
        </is>
      </c>
      <c r="C374" s="11" t="inlineStr">
        <is>
          <t>Prostica  |  Saw Palmetto Dry Extract 4:1, Sodium Selenite (+1 more)</t>
        </is>
      </c>
      <c r="D374" s="11" t="inlineStr">
        <is>
          <t>Absence of Salmonella (&lt;62&gt; / &lt;2022&gt;)</t>
        </is>
      </c>
      <c r="E374" s="5" t="inlineStr">
        <is>
          <t>Y</t>
        </is>
      </c>
      <c r="F374" s="5" t="n"/>
      <c r="G374" s="11">
        <f>IFERROR(IF(INDEX('Test catalog'!$F$2:$F$200,MATCH($Y374,'Test catalog'!$A$2:$A$200,0))="","",INDEX('Test catalog'!$F$2:$F$200,MATCH($Y374,'Test catalog'!$A$2:$A$200,0))),"")</f>
        <v/>
      </c>
      <c r="H374" s="11">
        <f>IFERROR(IF(INDEX('Test catalog'!$G$2:$G$200,MATCH($Y374,'Test catalog'!$A$2:$A$200,0))="","",INDEX('Test catalog'!$G$2:$G$200,MATCH($Y374,'Test catalog'!$A$2:$A$200,0))),"")</f>
        <v/>
      </c>
      <c r="I374" s="11">
        <f>IFERROR(IF(INDEX('Test catalog'!$H$2:$H$200,MATCH($Y374,'Test catalog'!$A$2:$A$200,0))="","",INDEX('Test catalog'!$H$2:$H$200,MATCH($Y374,'Test catalog'!$A$2:$A$200,0))),"")</f>
        <v/>
      </c>
      <c r="J374" s="11">
        <f>IFERROR(IF(INDEX('Test catalog'!$I$2:$I$200,MATCH($Y374,'Test catalog'!$A$2:$A$200,0))="","",INDEX('Test catalog'!$I$2:$I$200,MATCH($Y374,'Test catalog'!$A$2:$A$200,0))),"")</f>
        <v/>
      </c>
      <c r="K374" s="13">
        <f>IF(I374="","",IF(OR(H374="",J374=""),I374,(H374+4*I374+J374)/6))</f>
        <v/>
      </c>
      <c r="L374" s="11">
        <f>IFERROR(IF(INDEX('Test catalog'!$J$2:$J$200,MATCH($Y374,'Test catalog'!$A$2:$A$200,0))="","",INDEX('Test catalog'!$J$2:$J$200,MATCH($Y374,'Test catalog'!$A$2:$A$200,0))),"")</f>
        <v/>
      </c>
      <c r="M374" s="11">
        <f>IFERROR(IF(INDEX('Test catalog'!$K$2:$K$200,MATCH($Y374,'Test catalog'!$A$2:$A$200,0))="","",INDEX('Test catalog'!$K$2:$K$200,MATCH($Y374,'Test catalog'!$A$2:$A$200,0))),"")</f>
        <v/>
      </c>
      <c r="N374" s="11">
        <f>IFERROR(IF(INDEX('Test catalog'!$L$2:$L$200,MATCH($Y374,'Test catalog'!$A$2:$A$200,0))="","",INDEX('Test catalog'!$L$2:$L$200,MATCH($Y374,'Test catalog'!$A$2:$A$200,0))),"")</f>
        <v/>
      </c>
      <c r="O374" s="11">
        <f>IFERROR(IF(INDEX('Test catalog'!$M$2:$M$200,MATCH($Y374,'Test catalog'!$A$2:$A$200,0))="","",INDEX('Test catalog'!$M$2:$M$200,MATCH($Y374,'Test catalog'!$A$2:$A$200,0))),"")</f>
        <v/>
      </c>
      <c r="P374" s="11">
        <f>IFERROR(IF(INDEX('Test catalog'!$N$2:$N$200,MATCH($Y374,'Test catalog'!$A$2:$A$200,0))="","",INDEX('Test catalog'!$N$2:$N$200,MATCH($Y374,'Test catalog'!$A$2:$A$200,0))),"")</f>
        <v/>
      </c>
      <c r="Q374" s="11">
        <f>IFERROR(IF(INDEX('Test catalog'!$O$2:$O$200,MATCH($Y374,'Test catalog'!$A$2:$A$200,0))="","",INDEX('Test catalog'!$O$2:$O$200,MATCH($Y374,'Test catalog'!$A$2:$A$200,0))),"")</f>
        <v/>
      </c>
      <c r="R374" s="11">
        <f>IFERROR(IF(INDEX('Test catalog'!$P$2:$P$200,MATCH($Y374,'Test catalog'!$A$2:$A$200,0))="","",INDEX('Test catalog'!$P$2:$P$200,MATCH($Y374,'Test catalog'!$A$2:$A$200,0))),"")</f>
        <v/>
      </c>
      <c r="S374" s="14" t="n"/>
      <c r="T374" s="5" t="inlineStr">
        <is>
          <t>N</t>
        </is>
      </c>
      <c r="U374" s="11">
        <f>IFERROR(IF(INDEX('Test catalog'!$Q$2:$Q$200,MATCH($Y374,'Test catalog'!$A$2:$A$200,0))="","",INDEX('Test catalog'!$Q$2:$Q$200,MATCH($Y374,'Test catalog'!$A$2:$A$200,0))),"")</f>
        <v/>
      </c>
      <c r="V374" s="5" t="n"/>
      <c r="W374" s="5" t="n"/>
      <c r="X374" s="5" t="n"/>
      <c r="Y374" s="5" t="inlineStr">
        <is>
          <t>SALM</t>
        </is>
      </c>
      <c r="Z374" s="11" t="inlineStr">
        <is>
          <t>USP &lt;1111&gt; oral solid: TAMC, TYMC, absence of E. coli; &lt;2023&gt; botanical: absence of Salmonella</t>
        </is>
      </c>
    </row>
    <row r="375">
      <c r="A375" s="11" t="inlineStr">
        <is>
          <t>F50</t>
        </is>
      </c>
      <c r="B375" s="11" t="inlineStr">
        <is>
          <t>FP</t>
        </is>
      </c>
      <c r="C375" s="11" t="inlineStr">
        <is>
          <t>Vitacal Forte  |  Calcium Carbonate Heavy, Vitamin D3 (+7 more)</t>
        </is>
      </c>
      <c r="D375" s="11" t="inlineStr">
        <is>
          <t>Microbial enumeration - TAMC + TYMC (&lt;61&gt; / &lt;2021&gt;)</t>
        </is>
      </c>
      <c r="E375" s="5" t="inlineStr">
        <is>
          <t>Y</t>
        </is>
      </c>
      <c r="F375" s="5" t="n"/>
      <c r="G375" s="11">
        <f>IFERROR(IF(INDEX('Test catalog'!$F$2:$F$200,MATCH($Y375,'Test catalog'!$A$2:$A$200,0))="","",INDEX('Test catalog'!$F$2:$F$200,MATCH($Y375,'Test catalog'!$A$2:$A$200,0))),"")</f>
        <v/>
      </c>
      <c r="H375" s="11">
        <f>IFERROR(IF(INDEX('Test catalog'!$G$2:$G$200,MATCH($Y375,'Test catalog'!$A$2:$A$200,0))="","",INDEX('Test catalog'!$G$2:$G$200,MATCH($Y375,'Test catalog'!$A$2:$A$200,0))),"")</f>
        <v/>
      </c>
      <c r="I375" s="11">
        <f>IFERROR(IF(INDEX('Test catalog'!$H$2:$H$200,MATCH($Y375,'Test catalog'!$A$2:$A$200,0))="","",INDEX('Test catalog'!$H$2:$H$200,MATCH($Y375,'Test catalog'!$A$2:$A$200,0))),"")</f>
        <v/>
      </c>
      <c r="J375" s="11">
        <f>IFERROR(IF(INDEX('Test catalog'!$I$2:$I$200,MATCH($Y375,'Test catalog'!$A$2:$A$200,0))="","",INDEX('Test catalog'!$I$2:$I$200,MATCH($Y375,'Test catalog'!$A$2:$A$200,0))),"")</f>
        <v/>
      </c>
      <c r="K375" s="13">
        <f>IF(I375="","",IF(OR(H375="",J375=""),I375,(H375+4*I375+J375)/6))</f>
        <v/>
      </c>
      <c r="L375" s="11">
        <f>IFERROR(IF(INDEX('Test catalog'!$J$2:$J$200,MATCH($Y375,'Test catalog'!$A$2:$A$200,0))="","",INDEX('Test catalog'!$J$2:$J$200,MATCH($Y375,'Test catalog'!$A$2:$A$200,0))),"")</f>
        <v/>
      </c>
      <c r="M375" s="11">
        <f>IFERROR(IF(INDEX('Test catalog'!$K$2:$K$200,MATCH($Y375,'Test catalog'!$A$2:$A$200,0))="","",INDEX('Test catalog'!$K$2:$K$200,MATCH($Y375,'Test catalog'!$A$2:$A$200,0))),"")</f>
        <v/>
      </c>
      <c r="N375" s="11">
        <f>IFERROR(IF(INDEX('Test catalog'!$L$2:$L$200,MATCH($Y375,'Test catalog'!$A$2:$A$200,0))="","",INDEX('Test catalog'!$L$2:$L$200,MATCH($Y375,'Test catalog'!$A$2:$A$200,0))),"")</f>
        <v/>
      </c>
      <c r="O375" s="11">
        <f>IFERROR(IF(INDEX('Test catalog'!$M$2:$M$200,MATCH($Y375,'Test catalog'!$A$2:$A$200,0))="","",INDEX('Test catalog'!$M$2:$M$200,MATCH($Y375,'Test catalog'!$A$2:$A$200,0))),"")</f>
        <v/>
      </c>
      <c r="P375" s="11">
        <f>IFERROR(IF(INDEX('Test catalog'!$N$2:$N$200,MATCH($Y375,'Test catalog'!$A$2:$A$200,0))="","",INDEX('Test catalog'!$N$2:$N$200,MATCH($Y375,'Test catalog'!$A$2:$A$200,0))),"")</f>
        <v/>
      </c>
      <c r="Q375" s="11">
        <f>IFERROR(IF(INDEX('Test catalog'!$O$2:$O$200,MATCH($Y375,'Test catalog'!$A$2:$A$200,0))="","",INDEX('Test catalog'!$O$2:$O$200,MATCH($Y375,'Test catalog'!$A$2:$A$200,0))),"")</f>
        <v/>
      </c>
      <c r="R375" s="11">
        <f>IFERROR(IF(INDEX('Test catalog'!$P$2:$P$200,MATCH($Y375,'Test catalog'!$A$2:$A$200,0))="","",INDEX('Test catalog'!$P$2:$P$200,MATCH($Y375,'Test catalog'!$A$2:$A$200,0))),"")</f>
        <v/>
      </c>
      <c r="S375" s="14" t="n"/>
      <c r="T375" s="5" t="inlineStr">
        <is>
          <t>Y</t>
        </is>
      </c>
      <c r="U375" s="11">
        <f>IFERROR(IF(INDEX('Test catalog'!$Q$2:$Q$200,MATCH($Y375,'Test catalog'!$A$2:$A$200,0))="","",INDEX('Test catalog'!$Q$2:$Q$200,MATCH($Y375,'Test catalog'!$A$2:$A$200,0))),"")</f>
        <v/>
      </c>
      <c r="V375" s="5" t="n"/>
      <c r="W375" s="5" t="n"/>
      <c r="X375" s="5" t="n"/>
      <c r="Y375" s="5" t="inlineStr">
        <is>
          <t>ENUM</t>
        </is>
      </c>
      <c r="Z375" s="11" t="inlineStr">
        <is>
          <t>USP &lt;1111&gt; oral solid: TAMC, TYMC, absence of E. coli</t>
        </is>
      </c>
    </row>
    <row r="376">
      <c r="A376" s="11" t="inlineStr">
        <is>
          <t>F50</t>
        </is>
      </c>
      <c r="B376" s="11" t="inlineStr">
        <is>
          <t>FP</t>
        </is>
      </c>
      <c r="C376" s="11" t="inlineStr">
        <is>
          <t>Vitacal Forte  |  Calcium Carbonate Heavy, Vitamin D3 (+7 more)</t>
        </is>
      </c>
      <c r="D376" s="11" t="inlineStr">
        <is>
          <t>Absence of Escherichia coli (&lt;62&gt; / &lt;2022&gt;)</t>
        </is>
      </c>
      <c r="E376" s="5" t="inlineStr">
        <is>
          <t>Y</t>
        </is>
      </c>
      <c r="F376" s="5" t="n"/>
      <c r="G376" s="11">
        <f>IFERROR(IF(INDEX('Test catalog'!$F$2:$F$200,MATCH($Y376,'Test catalog'!$A$2:$A$200,0))="","",INDEX('Test catalog'!$F$2:$F$200,MATCH($Y376,'Test catalog'!$A$2:$A$200,0))),"")</f>
        <v/>
      </c>
      <c r="H376" s="11">
        <f>IFERROR(IF(INDEX('Test catalog'!$G$2:$G$200,MATCH($Y376,'Test catalog'!$A$2:$A$200,0))="","",INDEX('Test catalog'!$G$2:$G$200,MATCH($Y376,'Test catalog'!$A$2:$A$200,0))),"")</f>
        <v/>
      </c>
      <c r="I376" s="11">
        <f>IFERROR(IF(INDEX('Test catalog'!$H$2:$H$200,MATCH($Y376,'Test catalog'!$A$2:$A$200,0))="","",INDEX('Test catalog'!$H$2:$H$200,MATCH($Y376,'Test catalog'!$A$2:$A$200,0))),"")</f>
        <v/>
      </c>
      <c r="J376" s="11">
        <f>IFERROR(IF(INDEX('Test catalog'!$I$2:$I$200,MATCH($Y376,'Test catalog'!$A$2:$A$200,0))="","",INDEX('Test catalog'!$I$2:$I$200,MATCH($Y376,'Test catalog'!$A$2:$A$200,0))),"")</f>
        <v/>
      </c>
      <c r="K376" s="13">
        <f>IF(I376="","",IF(OR(H376="",J376=""),I376,(H376+4*I376+J376)/6))</f>
        <v/>
      </c>
      <c r="L376" s="11">
        <f>IFERROR(IF(INDEX('Test catalog'!$J$2:$J$200,MATCH($Y376,'Test catalog'!$A$2:$A$200,0))="","",INDEX('Test catalog'!$J$2:$J$200,MATCH($Y376,'Test catalog'!$A$2:$A$200,0))),"")</f>
        <v/>
      </c>
      <c r="M376" s="11">
        <f>IFERROR(IF(INDEX('Test catalog'!$K$2:$K$200,MATCH($Y376,'Test catalog'!$A$2:$A$200,0))="","",INDEX('Test catalog'!$K$2:$K$200,MATCH($Y376,'Test catalog'!$A$2:$A$200,0))),"")</f>
        <v/>
      </c>
      <c r="N376" s="11">
        <f>IFERROR(IF(INDEX('Test catalog'!$L$2:$L$200,MATCH($Y376,'Test catalog'!$A$2:$A$200,0))="","",INDEX('Test catalog'!$L$2:$L$200,MATCH($Y376,'Test catalog'!$A$2:$A$200,0))),"")</f>
        <v/>
      </c>
      <c r="O376" s="11">
        <f>IFERROR(IF(INDEX('Test catalog'!$M$2:$M$200,MATCH($Y376,'Test catalog'!$A$2:$A$200,0))="","",INDEX('Test catalog'!$M$2:$M$200,MATCH($Y376,'Test catalog'!$A$2:$A$200,0))),"")</f>
        <v/>
      </c>
      <c r="P376" s="11">
        <f>IFERROR(IF(INDEX('Test catalog'!$N$2:$N$200,MATCH($Y376,'Test catalog'!$A$2:$A$200,0))="","",INDEX('Test catalog'!$N$2:$N$200,MATCH($Y376,'Test catalog'!$A$2:$A$200,0))),"")</f>
        <v/>
      </c>
      <c r="Q376" s="11">
        <f>IFERROR(IF(INDEX('Test catalog'!$O$2:$O$200,MATCH($Y376,'Test catalog'!$A$2:$A$200,0))="","",INDEX('Test catalog'!$O$2:$O$200,MATCH($Y376,'Test catalog'!$A$2:$A$200,0))),"")</f>
        <v/>
      </c>
      <c r="R376" s="11">
        <f>IFERROR(IF(INDEX('Test catalog'!$P$2:$P$200,MATCH($Y376,'Test catalog'!$A$2:$A$200,0))="","",INDEX('Test catalog'!$P$2:$P$200,MATCH($Y376,'Test catalog'!$A$2:$A$200,0))),"")</f>
        <v/>
      </c>
      <c r="S376" s="14" t="n"/>
      <c r="T376" s="5" t="inlineStr">
        <is>
          <t>N</t>
        </is>
      </c>
      <c r="U376" s="11">
        <f>IFERROR(IF(INDEX('Test catalog'!$Q$2:$Q$200,MATCH($Y376,'Test catalog'!$A$2:$A$200,0))="","",INDEX('Test catalog'!$Q$2:$Q$200,MATCH($Y376,'Test catalog'!$A$2:$A$200,0))),"")</f>
        <v/>
      </c>
      <c r="V376" s="5" t="n"/>
      <c r="W376" s="5" t="n"/>
      <c r="X376" s="5" t="n"/>
      <c r="Y376" s="5" t="inlineStr">
        <is>
          <t>ECOLI</t>
        </is>
      </c>
      <c r="Z376" s="11" t="inlineStr">
        <is>
          <t>USP &lt;1111&gt; oral solid: TAMC, TYMC, absence of E. coli</t>
        </is>
      </c>
    </row>
    <row r="377">
      <c r="A377" s="11" t="inlineStr">
        <is>
          <t>F51</t>
        </is>
      </c>
      <c r="B377" s="11" t="inlineStr">
        <is>
          <t>FP</t>
        </is>
      </c>
      <c r="C377" s="11" t="inlineStr">
        <is>
          <t>Burning Fat  |  Coleus Forskohlii Root Dry Extract 10:1, Chromium Picolinate (+5 more)</t>
        </is>
      </c>
      <c r="D377" s="11" t="inlineStr">
        <is>
          <t>Microbial enumeration - TAMC + TYMC (&lt;61&gt; / &lt;2021&gt;)</t>
        </is>
      </c>
      <c r="E377" s="5" t="inlineStr">
        <is>
          <t>Y</t>
        </is>
      </c>
      <c r="F377" s="5" t="n"/>
      <c r="G377" s="11">
        <f>IFERROR(IF(INDEX('Test catalog'!$F$2:$F$200,MATCH($Y377,'Test catalog'!$A$2:$A$200,0))="","",INDEX('Test catalog'!$F$2:$F$200,MATCH($Y377,'Test catalog'!$A$2:$A$200,0))),"")</f>
        <v/>
      </c>
      <c r="H377" s="11">
        <f>IFERROR(IF(INDEX('Test catalog'!$G$2:$G$200,MATCH($Y377,'Test catalog'!$A$2:$A$200,0))="","",INDEX('Test catalog'!$G$2:$G$200,MATCH($Y377,'Test catalog'!$A$2:$A$200,0))),"")</f>
        <v/>
      </c>
      <c r="I377" s="11">
        <f>IFERROR(IF(INDEX('Test catalog'!$H$2:$H$200,MATCH($Y377,'Test catalog'!$A$2:$A$200,0))="","",INDEX('Test catalog'!$H$2:$H$200,MATCH($Y377,'Test catalog'!$A$2:$A$200,0))),"")</f>
        <v/>
      </c>
      <c r="J377" s="11">
        <f>IFERROR(IF(INDEX('Test catalog'!$I$2:$I$200,MATCH($Y377,'Test catalog'!$A$2:$A$200,0))="","",INDEX('Test catalog'!$I$2:$I$200,MATCH($Y377,'Test catalog'!$A$2:$A$200,0))),"")</f>
        <v/>
      </c>
      <c r="K377" s="13">
        <f>IF(I377="","",IF(OR(H377="",J377=""),I377,(H377+4*I377+J377)/6))</f>
        <v/>
      </c>
      <c r="L377" s="11">
        <f>IFERROR(IF(INDEX('Test catalog'!$J$2:$J$200,MATCH($Y377,'Test catalog'!$A$2:$A$200,0))="","",INDEX('Test catalog'!$J$2:$J$200,MATCH($Y377,'Test catalog'!$A$2:$A$200,0))),"")</f>
        <v/>
      </c>
      <c r="M377" s="11">
        <f>IFERROR(IF(INDEX('Test catalog'!$K$2:$K$200,MATCH($Y377,'Test catalog'!$A$2:$A$200,0))="","",INDEX('Test catalog'!$K$2:$K$200,MATCH($Y377,'Test catalog'!$A$2:$A$200,0))),"")</f>
        <v/>
      </c>
      <c r="N377" s="11">
        <f>IFERROR(IF(INDEX('Test catalog'!$L$2:$L$200,MATCH($Y377,'Test catalog'!$A$2:$A$200,0))="","",INDEX('Test catalog'!$L$2:$L$200,MATCH($Y377,'Test catalog'!$A$2:$A$200,0))),"")</f>
        <v/>
      </c>
      <c r="O377" s="11">
        <f>IFERROR(IF(INDEX('Test catalog'!$M$2:$M$200,MATCH($Y377,'Test catalog'!$A$2:$A$200,0))="","",INDEX('Test catalog'!$M$2:$M$200,MATCH($Y377,'Test catalog'!$A$2:$A$200,0))),"")</f>
        <v/>
      </c>
      <c r="P377" s="11">
        <f>IFERROR(IF(INDEX('Test catalog'!$N$2:$N$200,MATCH($Y377,'Test catalog'!$A$2:$A$200,0))="","",INDEX('Test catalog'!$N$2:$N$200,MATCH($Y377,'Test catalog'!$A$2:$A$200,0))),"")</f>
        <v/>
      </c>
      <c r="Q377" s="11">
        <f>IFERROR(IF(INDEX('Test catalog'!$O$2:$O$200,MATCH($Y377,'Test catalog'!$A$2:$A$200,0))="","",INDEX('Test catalog'!$O$2:$O$200,MATCH($Y377,'Test catalog'!$A$2:$A$200,0))),"")</f>
        <v/>
      </c>
      <c r="R377" s="11">
        <f>IFERROR(IF(INDEX('Test catalog'!$P$2:$P$200,MATCH($Y377,'Test catalog'!$A$2:$A$200,0))="","",INDEX('Test catalog'!$P$2:$P$200,MATCH($Y377,'Test catalog'!$A$2:$A$200,0))),"")</f>
        <v/>
      </c>
      <c r="S377" s="14" t="n"/>
      <c r="T377" s="5" t="inlineStr">
        <is>
          <t>Y</t>
        </is>
      </c>
      <c r="U377" s="11">
        <f>IFERROR(IF(INDEX('Test catalog'!$Q$2:$Q$200,MATCH($Y377,'Test catalog'!$A$2:$A$200,0))="","",INDEX('Test catalog'!$Q$2:$Q$200,MATCH($Y377,'Test catalog'!$A$2:$A$200,0))),"")</f>
        <v/>
      </c>
      <c r="V377" s="5" t="n"/>
      <c r="W377" s="5" t="n"/>
      <c r="X377" s="5" t="n"/>
      <c r="Y377" s="5" t="inlineStr">
        <is>
          <t>ENUM</t>
        </is>
      </c>
      <c r="Z377" s="11" t="inlineStr">
        <is>
          <t>USP &lt;1111&gt; oral solid: TAMC, TYMC, absence of E. coli; &lt;2023&gt; botanical: absence of Salmonella</t>
        </is>
      </c>
    </row>
    <row r="378">
      <c r="A378" s="11" t="inlineStr">
        <is>
          <t>F51</t>
        </is>
      </c>
      <c r="B378" s="11" t="inlineStr">
        <is>
          <t>FP</t>
        </is>
      </c>
      <c r="C378" s="11" t="inlineStr">
        <is>
          <t>Burning Fat  |  Coleus Forskohlii Root Dry Extract 10:1, Chromium Picolinate (+5 more)</t>
        </is>
      </c>
      <c r="D378" s="11" t="inlineStr">
        <is>
          <t>Absence of Escherichia coli (&lt;62&gt; / &lt;2022&gt;)</t>
        </is>
      </c>
      <c r="E378" s="5" t="inlineStr">
        <is>
          <t>Y</t>
        </is>
      </c>
      <c r="F378" s="5" t="n"/>
      <c r="G378" s="11">
        <f>IFERROR(IF(INDEX('Test catalog'!$F$2:$F$200,MATCH($Y378,'Test catalog'!$A$2:$A$200,0))="","",INDEX('Test catalog'!$F$2:$F$200,MATCH($Y378,'Test catalog'!$A$2:$A$200,0))),"")</f>
        <v/>
      </c>
      <c r="H378" s="11">
        <f>IFERROR(IF(INDEX('Test catalog'!$G$2:$G$200,MATCH($Y378,'Test catalog'!$A$2:$A$200,0))="","",INDEX('Test catalog'!$G$2:$G$200,MATCH($Y378,'Test catalog'!$A$2:$A$200,0))),"")</f>
        <v/>
      </c>
      <c r="I378" s="11">
        <f>IFERROR(IF(INDEX('Test catalog'!$H$2:$H$200,MATCH($Y378,'Test catalog'!$A$2:$A$200,0))="","",INDEX('Test catalog'!$H$2:$H$200,MATCH($Y378,'Test catalog'!$A$2:$A$200,0))),"")</f>
        <v/>
      </c>
      <c r="J378" s="11">
        <f>IFERROR(IF(INDEX('Test catalog'!$I$2:$I$200,MATCH($Y378,'Test catalog'!$A$2:$A$200,0))="","",INDEX('Test catalog'!$I$2:$I$200,MATCH($Y378,'Test catalog'!$A$2:$A$200,0))),"")</f>
        <v/>
      </c>
      <c r="K378" s="13">
        <f>IF(I378="","",IF(OR(H378="",J378=""),I378,(H378+4*I378+J378)/6))</f>
        <v/>
      </c>
      <c r="L378" s="11">
        <f>IFERROR(IF(INDEX('Test catalog'!$J$2:$J$200,MATCH($Y378,'Test catalog'!$A$2:$A$200,0))="","",INDEX('Test catalog'!$J$2:$J$200,MATCH($Y378,'Test catalog'!$A$2:$A$200,0))),"")</f>
        <v/>
      </c>
      <c r="M378" s="11">
        <f>IFERROR(IF(INDEX('Test catalog'!$K$2:$K$200,MATCH($Y378,'Test catalog'!$A$2:$A$200,0))="","",INDEX('Test catalog'!$K$2:$K$200,MATCH($Y378,'Test catalog'!$A$2:$A$200,0))),"")</f>
        <v/>
      </c>
      <c r="N378" s="11">
        <f>IFERROR(IF(INDEX('Test catalog'!$L$2:$L$200,MATCH($Y378,'Test catalog'!$A$2:$A$200,0))="","",INDEX('Test catalog'!$L$2:$L$200,MATCH($Y378,'Test catalog'!$A$2:$A$200,0))),"")</f>
        <v/>
      </c>
      <c r="O378" s="11">
        <f>IFERROR(IF(INDEX('Test catalog'!$M$2:$M$200,MATCH($Y378,'Test catalog'!$A$2:$A$200,0))="","",INDEX('Test catalog'!$M$2:$M$200,MATCH($Y378,'Test catalog'!$A$2:$A$200,0))),"")</f>
        <v/>
      </c>
      <c r="P378" s="11">
        <f>IFERROR(IF(INDEX('Test catalog'!$N$2:$N$200,MATCH($Y378,'Test catalog'!$A$2:$A$200,0))="","",INDEX('Test catalog'!$N$2:$N$200,MATCH($Y378,'Test catalog'!$A$2:$A$200,0))),"")</f>
        <v/>
      </c>
      <c r="Q378" s="11">
        <f>IFERROR(IF(INDEX('Test catalog'!$O$2:$O$200,MATCH($Y378,'Test catalog'!$A$2:$A$200,0))="","",INDEX('Test catalog'!$O$2:$O$200,MATCH($Y378,'Test catalog'!$A$2:$A$200,0))),"")</f>
        <v/>
      </c>
      <c r="R378" s="11">
        <f>IFERROR(IF(INDEX('Test catalog'!$P$2:$P$200,MATCH($Y378,'Test catalog'!$A$2:$A$200,0))="","",INDEX('Test catalog'!$P$2:$P$200,MATCH($Y378,'Test catalog'!$A$2:$A$200,0))),"")</f>
        <v/>
      </c>
      <c r="S378" s="14" t="n"/>
      <c r="T378" s="5" t="inlineStr">
        <is>
          <t>N</t>
        </is>
      </c>
      <c r="U378" s="11">
        <f>IFERROR(IF(INDEX('Test catalog'!$Q$2:$Q$200,MATCH($Y378,'Test catalog'!$A$2:$A$200,0))="","",INDEX('Test catalog'!$Q$2:$Q$200,MATCH($Y378,'Test catalog'!$A$2:$A$200,0))),"")</f>
        <v/>
      </c>
      <c r="V378" s="5" t="n"/>
      <c r="W378" s="5" t="n"/>
      <c r="X378" s="5" t="n"/>
      <c r="Y378" s="5" t="inlineStr">
        <is>
          <t>ECOLI</t>
        </is>
      </c>
      <c r="Z378" s="11" t="inlineStr">
        <is>
          <t>USP &lt;1111&gt; oral solid: TAMC, TYMC, absence of E. coli; &lt;2023&gt; botanical: absence of Salmonella</t>
        </is>
      </c>
    </row>
    <row r="379">
      <c r="A379" s="11" t="inlineStr">
        <is>
          <t>F51</t>
        </is>
      </c>
      <c r="B379" s="11" t="inlineStr">
        <is>
          <t>FP</t>
        </is>
      </c>
      <c r="C379" s="11" t="inlineStr">
        <is>
          <t>Burning Fat  |  Coleus Forskohlii Root Dry Extract 10:1, Chromium Picolinate (+5 more)</t>
        </is>
      </c>
      <c r="D379" s="11" t="inlineStr">
        <is>
          <t>Absence of Salmonella (&lt;62&gt; / &lt;2022&gt;)</t>
        </is>
      </c>
      <c r="E379" s="5" t="inlineStr">
        <is>
          <t>Y</t>
        </is>
      </c>
      <c r="F379" s="5" t="n"/>
      <c r="G379" s="11">
        <f>IFERROR(IF(INDEX('Test catalog'!$F$2:$F$200,MATCH($Y379,'Test catalog'!$A$2:$A$200,0))="","",INDEX('Test catalog'!$F$2:$F$200,MATCH($Y379,'Test catalog'!$A$2:$A$200,0))),"")</f>
        <v/>
      </c>
      <c r="H379" s="11">
        <f>IFERROR(IF(INDEX('Test catalog'!$G$2:$G$200,MATCH($Y379,'Test catalog'!$A$2:$A$200,0))="","",INDEX('Test catalog'!$G$2:$G$200,MATCH($Y379,'Test catalog'!$A$2:$A$200,0))),"")</f>
        <v/>
      </c>
      <c r="I379" s="11">
        <f>IFERROR(IF(INDEX('Test catalog'!$H$2:$H$200,MATCH($Y379,'Test catalog'!$A$2:$A$200,0))="","",INDEX('Test catalog'!$H$2:$H$200,MATCH($Y379,'Test catalog'!$A$2:$A$200,0))),"")</f>
        <v/>
      </c>
      <c r="J379" s="11">
        <f>IFERROR(IF(INDEX('Test catalog'!$I$2:$I$200,MATCH($Y379,'Test catalog'!$A$2:$A$200,0))="","",INDEX('Test catalog'!$I$2:$I$200,MATCH($Y379,'Test catalog'!$A$2:$A$200,0))),"")</f>
        <v/>
      </c>
      <c r="K379" s="13">
        <f>IF(I379="","",IF(OR(H379="",J379=""),I379,(H379+4*I379+J379)/6))</f>
        <v/>
      </c>
      <c r="L379" s="11">
        <f>IFERROR(IF(INDEX('Test catalog'!$J$2:$J$200,MATCH($Y379,'Test catalog'!$A$2:$A$200,0))="","",INDEX('Test catalog'!$J$2:$J$200,MATCH($Y379,'Test catalog'!$A$2:$A$200,0))),"")</f>
        <v/>
      </c>
      <c r="M379" s="11">
        <f>IFERROR(IF(INDEX('Test catalog'!$K$2:$K$200,MATCH($Y379,'Test catalog'!$A$2:$A$200,0))="","",INDEX('Test catalog'!$K$2:$K$200,MATCH($Y379,'Test catalog'!$A$2:$A$200,0))),"")</f>
        <v/>
      </c>
      <c r="N379" s="11">
        <f>IFERROR(IF(INDEX('Test catalog'!$L$2:$L$200,MATCH($Y379,'Test catalog'!$A$2:$A$200,0))="","",INDEX('Test catalog'!$L$2:$L$200,MATCH($Y379,'Test catalog'!$A$2:$A$200,0))),"")</f>
        <v/>
      </c>
      <c r="O379" s="11">
        <f>IFERROR(IF(INDEX('Test catalog'!$M$2:$M$200,MATCH($Y379,'Test catalog'!$A$2:$A$200,0))="","",INDEX('Test catalog'!$M$2:$M$200,MATCH($Y379,'Test catalog'!$A$2:$A$200,0))),"")</f>
        <v/>
      </c>
      <c r="P379" s="11">
        <f>IFERROR(IF(INDEX('Test catalog'!$N$2:$N$200,MATCH($Y379,'Test catalog'!$A$2:$A$200,0))="","",INDEX('Test catalog'!$N$2:$N$200,MATCH($Y379,'Test catalog'!$A$2:$A$200,0))),"")</f>
        <v/>
      </c>
      <c r="Q379" s="11">
        <f>IFERROR(IF(INDEX('Test catalog'!$O$2:$O$200,MATCH($Y379,'Test catalog'!$A$2:$A$200,0))="","",INDEX('Test catalog'!$O$2:$O$200,MATCH($Y379,'Test catalog'!$A$2:$A$200,0))),"")</f>
        <v/>
      </c>
      <c r="R379" s="11">
        <f>IFERROR(IF(INDEX('Test catalog'!$P$2:$P$200,MATCH($Y379,'Test catalog'!$A$2:$A$200,0))="","",INDEX('Test catalog'!$P$2:$P$200,MATCH($Y379,'Test catalog'!$A$2:$A$200,0))),"")</f>
        <v/>
      </c>
      <c r="S379" s="14" t="n"/>
      <c r="T379" s="5" t="inlineStr">
        <is>
          <t>N</t>
        </is>
      </c>
      <c r="U379" s="11">
        <f>IFERROR(IF(INDEX('Test catalog'!$Q$2:$Q$200,MATCH($Y379,'Test catalog'!$A$2:$A$200,0))="","",INDEX('Test catalog'!$Q$2:$Q$200,MATCH($Y379,'Test catalog'!$A$2:$A$200,0))),"")</f>
        <v/>
      </c>
      <c r="V379" s="5" t="n"/>
      <c r="W379" s="5" t="n"/>
      <c r="X379" s="5" t="n"/>
      <c r="Y379" s="5" t="inlineStr">
        <is>
          <t>SALM</t>
        </is>
      </c>
      <c r="Z379" s="11" t="inlineStr">
        <is>
          <t>USP &lt;1111&gt; oral solid: TAMC, TYMC, absence of E. coli; &lt;2023&gt; botanical: absence of Salmonella</t>
        </is>
      </c>
    </row>
    <row r="380">
      <c r="A380" s="11" t="inlineStr">
        <is>
          <t>F52</t>
        </is>
      </c>
      <c r="B380" s="11" t="inlineStr">
        <is>
          <t>FP</t>
        </is>
      </c>
      <c r="C380" s="11" t="inlineStr">
        <is>
          <t>Co-Enzyme Q10 (30mg); Co-Enzyme Q10 (100mg)  |  Ubidecarenone (Co-Q10)</t>
        </is>
      </c>
      <c r="D380" s="11" t="inlineStr">
        <is>
          <t>Microbial enumeration - TAMC + TYMC (&lt;61&gt; / &lt;2021&gt;)</t>
        </is>
      </c>
      <c r="E380" s="5" t="inlineStr">
        <is>
          <t>Y</t>
        </is>
      </c>
      <c r="F380" s="5" t="n"/>
      <c r="G380" s="11">
        <f>IFERROR(IF(INDEX('Test catalog'!$F$2:$F$200,MATCH($Y380,'Test catalog'!$A$2:$A$200,0))="","",INDEX('Test catalog'!$F$2:$F$200,MATCH($Y380,'Test catalog'!$A$2:$A$200,0))),"")</f>
        <v/>
      </c>
      <c r="H380" s="11">
        <f>IFERROR(IF(INDEX('Test catalog'!$G$2:$G$200,MATCH($Y380,'Test catalog'!$A$2:$A$200,0))="","",INDEX('Test catalog'!$G$2:$G$200,MATCH($Y380,'Test catalog'!$A$2:$A$200,0))),"")</f>
        <v/>
      </c>
      <c r="I380" s="11">
        <f>IFERROR(IF(INDEX('Test catalog'!$H$2:$H$200,MATCH($Y380,'Test catalog'!$A$2:$A$200,0))="","",INDEX('Test catalog'!$H$2:$H$200,MATCH($Y380,'Test catalog'!$A$2:$A$200,0))),"")</f>
        <v/>
      </c>
      <c r="J380" s="11">
        <f>IFERROR(IF(INDEX('Test catalog'!$I$2:$I$200,MATCH($Y380,'Test catalog'!$A$2:$A$200,0))="","",INDEX('Test catalog'!$I$2:$I$200,MATCH($Y380,'Test catalog'!$A$2:$A$200,0))),"")</f>
        <v/>
      </c>
      <c r="K380" s="13">
        <f>IF(I380="","",IF(OR(H380="",J380=""),I380,(H380+4*I380+J380)/6))</f>
        <v/>
      </c>
      <c r="L380" s="11">
        <f>IFERROR(IF(INDEX('Test catalog'!$J$2:$J$200,MATCH($Y380,'Test catalog'!$A$2:$A$200,0))="","",INDEX('Test catalog'!$J$2:$J$200,MATCH($Y380,'Test catalog'!$A$2:$A$200,0))),"")</f>
        <v/>
      </c>
      <c r="M380" s="11">
        <f>IFERROR(IF(INDEX('Test catalog'!$K$2:$K$200,MATCH($Y380,'Test catalog'!$A$2:$A$200,0))="","",INDEX('Test catalog'!$K$2:$K$200,MATCH($Y380,'Test catalog'!$A$2:$A$200,0))),"")</f>
        <v/>
      </c>
      <c r="N380" s="11">
        <f>IFERROR(IF(INDEX('Test catalog'!$L$2:$L$200,MATCH($Y380,'Test catalog'!$A$2:$A$200,0))="","",INDEX('Test catalog'!$L$2:$L$200,MATCH($Y380,'Test catalog'!$A$2:$A$200,0))),"")</f>
        <v/>
      </c>
      <c r="O380" s="11">
        <f>IFERROR(IF(INDEX('Test catalog'!$M$2:$M$200,MATCH($Y380,'Test catalog'!$A$2:$A$200,0))="","",INDEX('Test catalog'!$M$2:$M$200,MATCH($Y380,'Test catalog'!$A$2:$A$200,0))),"")</f>
        <v/>
      </c>
      <c r="P380" s="11">
        <f>IFERROR(IF(INDEX('Test catalog'!$N$2:$N$200,MATCH($Y380,'Test catalog'!$A$2:$A$200,0))="","",INDEX('Test catalog'!$N$2:$N$200,MATCH($Y380,'Test catalog'!$A$2:$A$200,0))),"")</f>
        <v/>
      </c>
      <c r="Q380" s="11">
        <f>IFERROR(IF(INDEX('Test catalog'!$O$2:$O$200,MATCH($Y380,'Test catalog'!$A$2:$A$200,0))="","",INDEX('Test catalog'!$O$2:$O$200,MATCH($Y380,'Test catalog'!$A$2:$A$200,0))),"")</f>
        <v/>
      </c>
      <c r="R380" s="11">
        <f>IFERROR(IF(INDEX('Test catalog'!$P$2:$P$200,MATCH($Y380,'Test catalog'!$A$2:$A$200,0))="","",INDEX('Test catalog'!$P$2:$P$200,MATCH($Y380,'Test catalog'!$A$2:$A$200,0))),"")</f>
        <v/>
      </c>
      <c r="S380" s="14" t="n"/>
      <c r="T380" s="5" t="inlineStr">
        <is>
          <t>Y</t>
        </is>
      </c>
      <c r="U380" s="11">
        <f>IFERROR(IF(INDEX('Test catalog'!$Q$2:$Q$200,MATCH($Y380,'Test catalog'!$A$2:$A$200,0))="","",INDEX('Test catalog'!$Q$2:$Q$200,MATCH($Y380,'Test catalog'!$A$2:$A$200,0))),"")</f>
        <v/>
      </c>
      <c r="V380" s="5" t="n"/>
      <c r="W380" s="5" t="n"/>
      <c r="X380" s="5" t="n"/>
      <c r="Y380" s="5" t="inlineStr">
        <is>
          <t>ENUM</t>
        </is>
      </c>
      <c r="Z380" s="11" t="inlineStr">
        <is>
          <t>USP &lt;1111&gt; oral solid: TAMC, TYMC, absence of E. coli</t>
        </is>
      </c>
    </row>
    <row r="381">
      <c r="A381" s="11" t="inlineStr">
        <is>
          <t>F52</t>
        </is>
      </c>
      <c r="B381" s="11" t="inlineStr">
        <is>
          <t>FP</t>
        </is>
      </c>
      <c r="C381" s="11" t="inlineStr">
        <is>
          <t>Co-Enzyme Q10 (30mg); Co-Enzyme Q10 (100mg)  |  Ubidecarenone (Co-Q10)</t>
        </is>
      </c>
      <c r="D381" s="11" t="inlineStr">
        <is>
          <t>Absence of Escherichia coli (&lt;62&gt; / &lt;2022&gt;)</t>
        </is>
      </c>
      <c r="E381" s="5" t="inlineStr">
        <is>
          <t>Y</t>
        </is>
      </c>
      <c r="F381" s="5" t="n"/>
      <c r="G381" s="11">
        <f>IFERROR(IF(INDEX('Test catalog'!$F$2:$F$200,MATCH($Y381,'Test catalog'!$A$2:$A$200,0))="","",INDEX('Test catalog'!$F$2:$F$200,MATCH($Y381,'Test catalog'!$A$2:$A$200,0))),"")</f>
        <v/>
      </c>
      <c r="H381" s="11">
        <f>IFERROR(IF(INDEX('Test catalog'!$G$2:$G$200,MATCH($Y381,'Test catalog'!$A$2:$A$200,0))="","",INDEX('Test catalog'!$G$2:$G$200,MATCH($Y381,'Test catalog'!$A$2:$A$200,0))),"")</f>
        <v/>
      </c>
      <c r="I381" s="11">
        <f>IFERROR(IF(INDEX('Test catalog'!$H$2:$H$200,MATCH($Y381,'Test catalog'!$A$2:$A$200,0))="","",INDEX('Test catalog'!$H$2:$H$200,MATCH($Y381,'Test catalog'!$A$2:$A$200,0))),"")</f>
        <v/>
      </c>
      <c r="J381" s="11">
        <f>IFERROR(IF(INDEX('Test catalog'!$I$2:$I$200,MATCH($Y381,'Test catalog'!$A$2:$A$200,0))="","",INDEX('Test catalog'!$I$2:$I$200,MATCH($Y381,'Test catalog'!$A$2:$A$200,0))),"")</f>
        <v/>
      </c>
      <c r="K381" s="13">
        <f>IF(I381="","",IF(OR(H381="",J381=""),I381,(H381+4*I381+J381)/6))</f>
        <v/>
      </c>
      <c r="L381" s="11">
        <f>IFERROR(IF(INDEX('Test catalog'!$J$2:$J$200,MATCH($Y381,'Test catalog'!$A$2:$A$200,0))="","",INDEX('Test catalog'!$J$2:$J$200,MATCH($Y381,'Test catalog'!$A$2:$A$200,0))),"")</f>
        <v/>
      </c>
      <c r="M381" s="11">
        <f>IFERROR(IF(INDEX('Test catalog'!$K$2:$K$200,MATCH($Y381,'Test catalog'!$A$2:$A$200,0))="","",INDEX('Test catalog'!$K$2:$K$200,MATCH($Y381,'Test catalog'!$A$2:$A$200,0))),"")</f>
        <v/>
      </c>
      <c r="N381" s="11">
        <f>IFERROR(IF(INDEX('Test catalog'!$L$2:$L$200,MATCH($Y381,'Test catalog'!$A$2:$A$200,0))="","",INDEX('Test catalog'!$L$2:$L$200,MATCH($Y381,'Test catalog'!$A$2:$A$200,0))),"")</f>
        <v/>
      </c>
      <c r="O381" s="11">
        <f>IFERROR(IF(INDEX('Test catalog'!$M$2:$M$200,MATCH($Y381,'Test catalog'!$A$2:$A$200,0))="","",INDEX('Test catalog'!$M$2:$M$200,MATCH($Y381,'Test catalog'!$A$2:$A$200,0))),"")</f>
        <v/>
      </c>
      <c r="P381" s="11">
        <f>IFERROR(IF(INDEX('Test catalog'!$N$2:$N$200,MATCH($Y381,'Test catalog'!$A$2:$A$200,0))="","",INDEX('Test catalog'!$N$2:$N$200,MATCH($Y381,'Test catalog'!$A$2:$A$200,0))),"")</f>
        <v/>
      </c>
      <c r="Q381" s="11">
        <f>IFERROR(IF(INDEX('Test catalog'!$O$2:$O$200,MATCH($Y381,'Test catalog'!$A$2:$A$200,0))="","",INDEX('Test catalog'!$O$2:$O$200,MATCH($Y381,'Test catalog'!$A$2:$A$200,0))),"")</f>
        <v/>
      </c>
      <c r="R381" s="11">
        <f>IFERROR(IF(INDEX('Test catalog'!$P$2:$P$200,MATCH($Y381,'Test catalog'!$A$2:$A$200,0))="","",INDEX('Test catalog'!$P$2:$P$200,MATCH($Y381,'Test catalog'!$A$2:$A$200,0))),"")</f>
        <v/>
      </c>
      <c r="S381" s="14" t="n"/>
      <c r="T381" s="5" t="inlineStr">
        <is>
          <t>N</t>
        </is>
      </c>
      <c r="U381" s="11">
        <f>IFERROR(IF(INDEX('Test catalog'!$Q$2:$Q$200,MATCH($Y381,'Test catalog'!$A$2:$A$200,0))="","",INDEX('Test catalog'!$Q$2:$Q$200,MATCH($Y381,'Test catalog'!$A$2:$A$200,0))),"")</f>
        <v/>
      </c>
      <c r="V381" s="5" t="n"/>
      <c r="W381" s="5" t="n"/>
      <c r="X381" s="5" t="n"/>
      <c r="Y381" s="5" t="inlineStr">
        <is>
          <t>ECOLI</t>
        </is>
      </c>
      <c r="Z381" s="11" t="inlineStr">
        <is>
          <t>USP &lt;1111&gt; oral solid: TAMC, TYMC, absence of E. coli</t>
        </is>
      </c>
    </row>
    <row r="382">
      <c r="A382" s="11" t="inlineStr">
        <is>
          <t>F53</t>
        </is>
      </c>
      <c r="B382" s="11" t="inlineStr">
        <is>
          <t>FP</t>
        </is>
      </c>
      <c r="C382" s="11" t="inlineStr">
        <is>
          <t>Digestive Aid (30); Digestive Aid (60)  |  Marshmallow Dry Extract 3:1, Liquorice Dry Extract 8:1 (+4 more)</t>
        </is>
      </c>
      <c r="D382" s="11" t="inlineStr">
        <is>
          <t>Microbial enumeration - TAMC + TYMC (&lt;61&gt; / &lt;2021&gt;)</t>
        </is>
      </c>
      <c r="E382" s="5" t="inlineStr">
        <is>
          <t>Y</t>
        </is>
      </c>
      <c r="F382" s="5" t="n"/>
      <c r="G382" s="11">
        <f>IFERROR(IF(INDEX('Test catalog'!$F$2:$F$200,MATCH($Y382,'Test catalog'!$A$2:$A$200,0))="","",INDEX('Test catalog'!$F$2:$F$200,MATCH($Y382,'Test catalog'!$A$2:$A$200,0))),"")</f>
        <v/>
      </c>
      <c r="H382" s="11">
        <f>IFERROR(IF(INDEX('Test catalog'!$G$2:$G$200,MATCH($Y382,'Test catalog'!$A$2:$A$200,0))="","",INDEX('Test catalog'!$G$2:$G$200,MATCH($Y382,'Test catalog'!$A$2:$A$200,0))),"")</f>
        <v/>
      </c>
      <c r="I382" s="11">
        <f>IFERROR(IF(INDEX('Test catalog'!$H$2:$H$200,MATCH($Y382,'Test catalog'!$A$2:$A$200,0))="","",INDEX('Test catalog'!$H$2:$H$200,MATCH($Y382,'Test catalog'!$A$2:$A$200,0))),"")</f>
        <v/>
      </c>
      <c r="J382" s="11">
        <f>IFERROR(IF(INDEX('Test catalog'!$I$2:$I$200,MATCH($Y382,'Test catalog'!$A$2:$A$200,0))="","",INDEX('Test catalog'!$I$2:$I$200,MATCH($Y382,'Test catalog'!$A$2:$A$200,0))),"")</f>
        <v/>
      </c>
      <c r="K382" s="13">
        <f>IF(I382="","",IF(OR(H382="",J382=""),I382,(H382+4*I382+J382)/6))</f>
        <v/>
      </c>
      <c r="L382" s="11">
        <f>IFERROR(IF(INDEX('Test catalog'!$J$2:$J$200,MATCH($Y382,'Test catalog'!$A$2:$A$200,0))="","",INDEX('Test catalog'!$J$2:$J$200,MATCH($Y382,'Test catalog'!$A$2:$A$200,0))),"")</f>
        <v/>
      </c>
      <c r="M382" s="11">
        <f>IFERROR(IF(INDEX('Test catalog'!$K$2:$K$200,MATCH($Y382,'Test catalog'!$A$2:$A$200,0))="","",INDEX('Test catalog'!$K$2:$K$200,MATCH($Y382,'Test catalog'!$A$2:$A$200,0))),"")</f>
        <v/>
      </c>
      <c r="N382" s="11">
        <f>IFERROR(IF(INDEX('Test catalog'!$L$2:$L$200,MATCH($Y382,'Test catalog'!$A$2:$A$200,0))="","",INDEX('Test catalog'!$L$2:$L$200,MATCH($Y382,'Test catalog'!$A$2:$A$200,0))),"")</f>
        <v/>
      </c>
      <c r="O382" s="11">
        <f>IFERROR(IF(INDEX('Test catalog'!$M$2:$M$200,MATCH($Y382,'Test catalog'!$A$2:$A$200,0))="","",INDEX('Test catalog'!$M$2:$M$200,MATCH($Y382,'Test catalog'!$A$2:$A$200,0))),"")</f>
        <v/>
      </c>
      <c r="P382" s="11">
        <f>IFERROR(IF(INDEX('Test catalog'!$N$2:$N$200,MATCH($Y382,'Test catalog'!$A$2:$A$200,0))="","",INDEX('Test catalog'!$N$2:$N$200,MATCH($Y382,'Test catalog'!$A$2:$A$200,0))),"")</f>
        <v/>
      </c>
      <c r="Q382" s="11">
        <f>IFERROR(IF(INDEX('Test catalog'!$O$2:$O$200,MATCH($Y382,'Test catalog'!$A$2:$A$200,0))="","",INDEX('Test catalog'!$O$2:$O$200,MATCH($Y382,'Test catalog'!$A$2:$A$200,0))),"")</f>
        <v/>
      </c>
      <c r="R382" s="11">
        <f>IFERROR(IF(INDEX('Test catalog'!$P$2:$P$200,MATCH($Y382,'Test catalog'!$A$2:$A$200,0))="","",INDEX('Test catalog'!$P$2:$P$200,MATCH($Y382,'Test catalog'!$A$2:$A$200,0))),"")</f>
        <v/>
      </c>
      <c r="S382" s="14" t="n"/>
      <c r="T382" s="5" t="inlineStr">
        <is>
          <t>Y</t>
        </is>
      </c>
      <c r="U382" s="11">
        <f>IFERROR(IF(INDEX('Test catalog'!$Q$2:$Q$200,MATCH($Y382,'Test catalog'!$A$2:$A$200,0))="","",INDEX('Test catalog'!$Q$2:$Q$200,MATCH($Y382,'Test catalog'!$A$2:$A$200,0))),"")</f>
        <v/>
      </c>
      <c r="V382" s="5" t="n"/>
      <c r="W382" s="5" t="n"/>
      <c r="X382" s="5" t="n"/>
      <c r="Y382" s="5" t="inlineStr">
        <is>
          <t>ENUM</t>
        </is>
      </c>
      <c r="Z382" s="11" t="inlineStr">
        <is>
          <t>USP &lt;1111&gt; oral solid: TAMC, TYMC, absence of E. coli; &lt;2023&gt; botanical: absence of Salmonella</t>
        </is>
      </c>
    </row>
    <row r="383">
      <c r="A383" s="11" t="inlineStr">
        <is>
          <t>F53</t>
        </is>
      </c>
      <c r="B383" s="11" t="inlineStr">
        <is>
          <t>FP</t>
        </is>
      </c>
      <c r="C383" s="11" t="inlineStr">
        <is>
          <t>Digestive Aid (30); Digestive Aid (60)  |  Marshmallow Dry Extract 3:1, Liquorice Dry Extract 8:1 (+4 more)</t>
        </is>
      </c>
      <c r="D383" s="11" t="inlineStr">
        <is>
          <t>Absence of Escherichia coli (&lt;62&gt; / &lt;2022&gt;)</t>
        </is>
      </c>
      <c r="E383" s="5" t="inlineStr">
        <is>
          <t>Y</t>
        </is>
      </c>
      <c r="F383" s="5" t="n"/>
      <c r="G383" s="11">
        <f>IFERROR(IF(INDEX('Test catalog'!$F$2:$F$200,MATCH($Y383,'Test catalog'!$A$2:$A$200,0))="","",INDEX('Test catalog'!$F$2:$F$200,MATCH($Y383,'Test catalog'!$A$2:$A$200,0))),"")</f>
        <v/>
      </c>
      <c r="H383" s="11">
        <f>IFERROR(IF(INDEX('Test catalog'!$G$2:$G$200,MATCH($Y383,'Test catalog'!$A$2:$A$200,0))="","",INDEX('Test catalog'!$G$2:$G$200,MATCH($Y383,'Test catalog'!$A$2:$A$200,0))),"")</f>
        <v/>
      </c>
      <c r="I383" s="11">
        <f>IFERROR(IF(INDEX('Test catalog'!$H$2:$H$200,MATCH($Y383,'Test catalog'!$A$2:$A$200,0))="","",INDEX('Test catalog'!$H$2:$H$200,MATCH($Y383,'Test catalog'!$A$2:$A$200,0))),"")</f>
        <v/>
      </c>
      <c r="J383" s="11">
        <f>IFERROR(IF(INDEX('Test catalog'!$I$2:$I$200,MATCH($Y383,'Test catalog'!$A$2:$A$200,0))="","",INDEX('Test catalog'!$I$2:$I$200,MATCH($Y383,'Test catalog'!$A$2:$A$200,0))),"")</f>
        <v/>
      </c>
      <c r="K383" s="13">
        <f>IF(I383="","",IF(OR(H383="",J383=""),I383,(H383+4*I383+J383)/6))</f>
        <v/>
      </c>
      <c r="L383" s="11">
        <f>IFERROR(IF(INDEX('Test catalog'!$J$2:$J$200,MATCH($Y383,'Test catalog'!$A$2:$A$200,0))="","",INDEX('Test catalog'!$J$2:$J$200,MATCH($Y383,'Test catalog'!$A$2:$A$200,0))),"")</f>
        <v/>
      </c>
      <c r="M383" s="11">
        <f>IFERROR(IF(INDEX('Test catalog'!$K$2:$K$200,MATCH($Y383,'Test catalog'!$A$2:$A$200,0))="","",INDEX('Test catalog'!$K$2:$K$200,MATCH($Y383,'Test catalog'!$A$2:$A$200,0))),"")</f>
        <v/>
      </c>
      <c r="N383" s="11">
        <f>IFERROR(IF(INDEX('Test catalog'!$L$2:$L$200,MATCH($Y383,'Test catalog'!$A$2:$A$200,0))="","",INDEX('Test catalog'!$L$2:$L$200,MATCH($Y383,'Test catalog'!$A$2:$A$200,0))),"")</f>
        <v/>
      </c>
      <c r="O383" s="11">
        <f>IFERROR(IF(INDEX('Test catalog'!$M$2:$M$200,MATCH($Y383,'Test catalog'!$A$2:$A$200,0))="","",INDEX('Test catalog'!$M$2:$M$200,MATCH($Y383,'Test catalog'!$A$2:$A$200,0))),"")</f>
        <v/>
      </c>
      <c r="P383" s="11">
        <f>IFERROR(IF(INDEX('Test catalog'!$N$2:$N$200,MATCH($Y383,'Test catalog'!$A$2:$A$200,0))="","",INDEX('Test catalog'!$N$2:$N$200,MATCH($Y383,'Test catalog'!$A$2:$A$200,0))),"")</f>
        <v/>
      </c>
      <c r="Q383" s="11">
        <f>IFERROR(IF(INDEX('Test catalog'!$O$2:$O$200,MATCH($Y383,'Test catalog'!$A$2:$A$200,0))="","",INDEX('Test catalog'!$O$2:$O$200,MATCH($Y383,'Test catalog'!$A$2:$A$200,0))),"")</f>
        <v/>
      </c>
      <c r="R383" s="11">
        <f>IFERROR(IF(INDEX('Test catalog'!$P$2:$P$200,MATCH($Y383,'Test catalog'!$A$2:$A$200,0))="","",INDEX('Test catalog'!$P$2:$P$200,MATCH($Y383,'Test catalog'!$A$2:$A$200,0))),"")</f>
        <v/>
      </c>
      <c r="S383" s="14" t="n"/>
      <c r="T383" s="5" t="inlineStr">
        <is>
          <t>N</t>
        </is>
      </c>
      <c r="U383" s="11">
        <f>IFERROR(IF(INDEX('Test catalog'!$Q$2:$Q$200,MATCH($Y383,'Test catalog'!$A$2:$A$200,0))="","",INDEX('Test catalog'!$Q$2:$Q$200,MATCH($Y383,'Test catalog'!$A$2:$A$200,0))),"")</f>
        <v/>
      </c>
      <c r="V383" s="5" t="n"/>
      <c r="W383" s="5" t="n"/>
      <c r="X383" s="5" t="n"/>
      <c r="Y383" s="5" t="inlineStr">
        <is>
          <t>ECOLI</t>
        </is>
      </c>
      <c r="Z383" s="11" t="inlineStr">
        <is>
          <t>USP &lt;1111&gt; oral solid: TAMC, TYMC, absence of E. coli; &lt;2023&gt; botanical: absence of Salmonella</t>
        </is>
      </c>
    </row>
    <row r="384">
      <c r="A384" s="11" t="inlineStr">
        <is>
          <t>F53</t>
        </is>
      </c>
      <c r="B384" s="11" t="inlineStr">
        <is>
          <t>FP</t>
        </is>
      </c>
      <c r="C384" s="11" t="inlineStr">
        <is>
          <t>Digestive Aid (30); Digestive Aid (60)  |  Marshmallow Dry Extract 3:1, Liquorice Dry Extract 8:1 (+4 more)</t>
        </is>
      </c>
      <c r="D384" s="11" t="inlineStr">
        <is>
          <t>Absence of Salmonella (&lt;62&gt; / &lt;2022&gt;)</t>
        </is>
      </c>
      <c r="E384" s="5" t="inlineStr">
        <is>
          <t>Y</t>
        </is>
      </c>
      <c r="F384" s="5" t="n"/>
      <c r="G384" s="11">
        <f>IFERROR(IF(INDEX('Test catalog'!$F$2:$F$200,MATCH($Y384,'Test catalog'!$A$2:$A$200,0))="","",INDEX('Test catalog'!$F$2:$F$200,MATCH($Y384,'Test catalog'!$A$2:$A$200,0))),"")</f>
        <v/>
      </c>
      <c r="H384" s="11">
        <f>IFERROR(IF(INDEX('Test catalog'!$G$2:$G$200,MATCH($Y384,'Test catalog'!$A$2:$A$200,0))="","",INDEX('Test catalog'!$G$2:$G$200,MATCH($Y384,'Test catalog'!$A$2:$A$200,0))),"")</f>
        <v/>
      </c>
      <c r="I384" s="11">
        <f>IFERROR(IF(INDEX('Test catalog'!$H$2:$H$200,MATCH($Y384,'Test catalog'!$A$2:$A$200,0))="","",INDEX('Test catalog'!$H$2:$H$200,MATCH($Y384,'Test catalog'!$A$2:$A$200,0))),"")</f>
        <v/>
      </c>
      <c r="J384" s="11">
        <f>IFERROR(IF(INDEX('Test catalog'!$I$2:$I$200,MATCH($Y384,'Test catalog'!$A$2:$A$200,0))="","",INDEX('Test catalog'!$I$2:$I$200,MATCH($Y384,'Test catalog'!$A$2:$A$200,0))),"")</f>
        <v/>
      </c>
      <c r="K384" s="13">
        <f>IF(I384="","",IF(OR(H384="",J384=""),I384,(H384+4*I384+J384)/6))</f>
        <v/>
      </c>
      <c r="L384" s="11">
        <f>IFERROR(IF(INDEX('Test catalog'!$J$2:$J$200,MATCH($Y384,'Test catalog'!$A$2:$A$200,0))="","",INDEX('Test catalog'!$J$2:$J$200,MATCH($Y384,'Test catalog'!$A$2:$A$200,0))),"")</f>
        <v/>
      </c>
      <c r="M384" s="11">
        <f>IFERROR(IF(INDEX('Test catalog'!$K$2:$K$200,MATCH($Y384,'Test catalog'!$A$2:$A$200,0))="","",INDEX('Test catalog'!$K$2:$K$200,MATCH($Y384,'Test catalog'!$A$2:$A$200,0))),"")</f>
        <v/>
      </c>
      <c r="N384" s="11">
        <f>IFERROR(IF(INDEX('Test catalog'!$L$2:$L$200,MATCH($Y384,'Test catalog'!$A$2:$A$200,0))="","",INDEX('Test catalog'!$L$2:$L$200,MATCH($Y384,'Test catalog'!$A$2:$A$200,0))),"")</f>
        <v/>
      </c>
      <c r="O384" s="11">
        <f>IFERROR(IF(INDEX('Test catalog'!$M$2:$M$200,MATCH($Y384,'Test catalog'!$A$2:$A$200,0))="","",INDEX('Test catalog'!$M$2:$M$200,MATCH($Y384,'Test catalog'!$A$2:$A$200,0))),"")</f>
        <v/>
      </c>
      <c r="P384" s="11">
        <f>IFERROR(IF(INDEX('Test catalog'!$N$2:$N$200,MATCH($Y384,'Test catalog'!$A$2:$A$200,0))="","",INDEX('Test catalog'!$N$2:$N$200,MATCH($Y384,'Test catalog'!$A$2:$A$200,0))),"")</f>
        <v/>
      </c>
      <c r="Q384" s="11">
        <f>IFERROR(IF(INDEX('Test catalog'!$O$2:$O$200,MATCH($Y384,'Test catalog'!$A$2:$A$200,0))="","",INDEX('Test catalog'!$O$2:$O$200,MATCH($Y384,'Test catalog'!$A$2:$A$200,0))),"")</f>
        <v/>
      </c>
      <c r="R384" s="11">
        <f>IFERROR(IF(INDEX('Test catalog'!$P$2:$P$200,MATCH($Y384,'Test catalog'!$A$2:$A$200,0))="","",INDEX('Test catalog'!$P$2:$P$200,MATCH($Y384,'Test catalog'!$A$2:$A$200,0))),"")</f>
        <v/>
      </c>
      <c r="S384" s="14" t="n"/>
      <c r="T384" s="5" t="inlineStr">
        <is>
          <t>N</t>
        </is>
      </c>
      <c r="U384" s="11">
        <f>IFERROR(IF(INDEX('Test catalog'!$Q$2:$Q$200,MATCH($Y384,'Test catalog'!$A$2:$A$200,0))="","",INDEX('Test catalog'!$Q$2:$Q$200,MATCH($Y384,'Test catalog'!$A$2:$A$200,0))),"")</f>
        <v/>
      </c>
      <c r="V384" s="5" t="n"/>
      <c r="W384" s="5" t="n"/>
      <c r="X384" s="5" t="n"/>
      <c r="Y384" s="5" t="inlineStr">
        <is>
          <t>SALM</t>
        </is>
      </c>
      <c r="Z384" s="11" t="inlineStr">
        <is>
          <t>USP &lt;1111&gt; oral solid: TAMC, TYMC, absence of E. coli; &lt;2023&gt; botanical: absence of Salmonella</t>
        </is>
      </c>
    </row>
    <row r="385">
      <c r="A385" s="11" t="inlineStr">
        <is>
          <t>F54</t>
        </is>
      </c>
      <c r="B385" s="11" t="inlineStr">
        <is>
          <t>FP</t>
        </is>
      </c>
      <c r="C385" s="11" t="inlineStr">
        <is>
          <t>Celer-X Forte  |  Apium Graveolens Seed Dry Extract 6:1, Juniper Communis Fruit Dry Extract 2:1 (+1 more)</t>
        </is>
      </c>
      <c r="D385" s="11" t="inlineStr">
        <is>
          <t>Microbial enumeration - TAMC + TYMC (&lt;61&gt; / &lt;2021&gt;)</t>
        </is>
      </c>
      <c r="E385" s="5" t="inlineStr">
        <is>
          <t>Y</t>
        </is>
      </c>
      <c r="F385" s="5" t="n"/>
      <c r="G385" s="11">
        <f>IFERROR(IF(INDEX('Test catalog'!$F$2:$F$200,MATCH($Y385,'Test catalog'!$A$2:$A$200,0))="","",INDEX('Test catalog'!$F$2:$F$200,MATCH($Y385,'Test catalog'!$A$2:$A$200,0))),"")</f>
        <v/>
      </c>
      <c r="H385" s="11">
        <f>IFERROR(IF(INDEX('Test catalog'!$G$2:$G$200,MATCH($Y385,'Test catalog'!$A$2:$A$200,0))="","",INDEX('Test catalog'!$G$2:$G$200,MATCH($Y385,'Test catalog'!$A$2:$A$200,0))),"")</f>
        <v/>
      </c>
      <c r="I385" s="11">
        <f>IFERROR(IF(INDEX('Test catalog'!$H$2:$H$200,MATCH($Y385,'Test catalog'!$A$2:$A$200,0))="","",INDEX('Test catalog'!$H$2:$H$200,MATCH($Y385,'Test catalog'!$A$2:$A$200,0))),"")</f>
        <v/>
      </c>
      <c r="J385" s="11">
        <f>IFERROR(IF(INDEX('Test catalog'!$I$2:$I$200,MATCH($Y385,'Test catalog'!$A$2:$A$200,0))="","",INDEX('Test catalog'!$I$2:$I$200,MATCH($Y385,'Test catalog'!$A$2:$A$200,0))),"")</f>
        <v/>
      </c>
      <c r="K385" s="13">
        <f>IF(I385="","",IF(OR(H385="",J385=""),I385,(H385+4*I385+J385)/6))</f>
        <v/>
      </c>
      <c r="L385" s="11">
        <f>IFERROR(IF(INDEX('Test catalog'!$J$2:$J$200,MATCH($Y385,'Test catalog'!$A$2:$A$200,0))="","",INDEX('Test catalog'!$J$2:$J$200,MATCH($Y385,'Test catalog'!$A$2:$A$200,0))),"")</f>
        <v/>
      </c>
      <c r="M385" s="11">
        <f>IFERROR(IF(INDEX('Test catalog'!$K$2:$K$200,MATCH($Y385,'Test catalog'!$A$2:$A$200,0))="","",INDEX('Test catalog'!$K$2:$K$200,MATCH($Y385,'Test catalog'!$A$2:$A$200,0))),"")</f>
        <v/>
      </c>
      <c r="N385" s="11">
        <f>IFERROR(IF(INDEX('Test catalog'!$L$2:$L$200,MATCH($Y385,'Test catalog'!$A$2:$A$200,0))="","",INDEX('Test catalog'!$L$2:$L$200,MATCH($Y385,'Test catalog'!$A$2:$A$200,0))),"")</f>
        <v/>
      </c>
      <c r="O385" s="11">
        <f>IFERROR(IF(INDEX('Test catalog'!$M$2:$M$200,MATCH($Y385,'Test catalog'!$A$2:$A$200,0))="","",INDEX('Test catalog'!$M$2:$M$200,MATCH($Y385,'Test catalog'!$A$2:$A$200,0))),"")</f>
        <v/>
      </c>
      <c r="P385" s="11">
        <f>IFERROR(IF(INDEX('Test catalog'!$N$2:$N$200,MATCH($Y385,'Test catalog'!$A$2:$A$200,0))="","",INDEX('Test catalog'!$N$2:$N$200,MATCH($Y385,'Test catalog'!$A$2:$A$200,0))),"")</f>
        <v/>
      </c>
      <c r="Q385" s="11">
        <f>IFERROR(IF(INDEX('Test catalog'!$O$2:$O$200,MATCH($Y385,'Test catalog'!$A$2:$A$200,0))="","",INDEX('Test catalog'!$O$2:$O$200,MATCH($Y385,'Test catalog'!$A$2:$A$200,0))),"")</f>
        <v/>
      </c>
      <c r="R385" s="11">
        <f>IFERROR(IF(INDEX('Test catalog'!$P$2:$P$200,MATCH($Y385,'Test catalog'!$A$2:$A$200,0))="","",INDEX('Test catalog'!$P$2:$P$200,MATCH($Y385,'Test catalog'!$A$2:$A$200,0))),"")</f>
        <v/>
      </c>
      <c r="S385" s="14" t="n"/>
      <c r="T385" s="5" t="inlineStr">
        <is>
          <t>Y</t>
        </is>
      </c>
      <c r="U385" s="11">
        <f>IFERROR(IF(INDEX('Test catalog'!$Q$2:$Q$200,MATCH($Y385,'Test catalog'!$A$2:$A$200,0))="","",INDEX('Test catalog'!$Q$2:$Q$200,MATCH($Y385,'Test catalog'!$A$2:$A$200,0))),"")</f>
        <v/>
      </c>
      <c r="V385" s="5" t="n"/>
      <c r="W385" s="5" t="n"/>
      <c r="X385" s="5" t="n"/>
      <c r="Y385" s="5" t="inlineStr">
        <is>
          <t>ENUM</t>
        </is>
      </c>
      <c r="Z385" s="11" t="inlineStr">
        <is>
          <t>USP &lt;1111&gt; oral solid: TAMC, TYMC, absence of E. coli; &lt;2023&gt; botanical: absence of Salmonella</t>
        </is>
      </c>
    </row>
    <row r="386">
      <c r="A386" s="11" t="inlineStr">
        <is>
          <t>F54</t>
        </is>
      </c>
      <c r="B386" s="11" t="inlineStr">
        <is>
          <t>FP</t>
        </is>
      </c>
      <c r="C386" s="11" t="inlineStr">
        <is>
          <t>Celer-X Forte  |  Apium Graveolens Seed Dry Extract 6:1, Juniper Communis Fruit Dry Extract 2:1 (+1 more)</t>
        </is>
      </c>
      <c r="D386" s="11" t="inlineStr">
        <is>
          <t>Absence of Escherichia coli (&lt;62&gt; / &lt;2022&gt;)</t>
        </is>
      </c>
      <c r="E386" s="5" t="inlineStr">
        <is>
          <t>Y</t>
        </is>
      </c>
      <c r="F386" s="5" t="n"/>
      <c r="G386" s="11">
        <f>IFERROR(IF(INDEX('Test catalog'!$F$2:$F$200,MATCH($Y386,'Test catalog'!$A$2:$A$200,0))="","",INDEX('Test catalog'!$F$2:$F$200,MATCH($Y386,'Test catalog'!$A$2:$A$200,0))),"")</f>
        <v/>
      </c>
      <c r="H386" s="11">
        <f>IFERROR(IF(INDEX('Test catalog'!$G$2:$G$200,MATCH($Y386,'Test catalog'!$A$2:$A$200,0))="","",INDEX('Test catalog'!$G$2:$G$200,MATCH($Y386,'Test catalog'!$A$2:$A$200,0))),"")</f>
        <v/>
      </c>
      <c r="I386" s="11">
        <f>IFERROR(IF(INDEX('Test catalog'!$H$2:$H$200,MATCH($Y386,'Test catalog'!$A$2:$A$200,0))="","",INDEX('Test catalog'!$H$2:$H$200,MATCH($Y386,'Test catalog'!$A$2:$A$200,0))),"")</f>
        <v/>
      </c>
      <c r="J386" s="11">
        <f>IFERROR(IF(INDEX('Test catalog'!$I$2:$I$200,MATCH($Y386,'Test catalog'!$A$2:$A$200,0))="","",INDEX('Test catalog'!$I$2:$I$200,MATCH($Y386,'Test catalog'!$A$2:$A$200,0))),"")</f>
        <v/>
      </c>
      <c r="K386" s="13">
        <f>IF(I386="","",IF(OR(H386="",J386=""),I386,(H386+4*I386+J386)/6))</f>
        <v/>
      </c>
      <c r="L386" s="11">
        <f>IFERROR(IF(INDEX('Test catalog'!$J$2:$J$200,MATCH($Y386,'Test catalog'!$A$2:$A$200,0))="","",INDEX('Test catalog'!$J$2:$J$200,MATCH($Y386,'Test catalog'!$A$2:$A$200,0))),"")</f>
        <v/>
      </c>
      <c r="M386" s="11">
        <f>IFERROR(IF(INDEX('Test catalog'!$K$2:$K$200,MATCH($Y386,'Test catalog'!$A$2:$A$200,0))="","",INDEX('Test catalog'!$K$2:$K$200,MATCH($Y386,'Test catalog'!$A$2:$A$200,0))),"")</f>
        <v/>
      </c>
      <c r="N386" s="11">
        <f>IFERROR(IF(INDEX('Test catalog'!$L$2:$L$200,MATCH($Y386,'Test catalog'!$A$2:$A$200,0))="","",INDEX('Test catalog'!$L$2:$L$200,MATCH($Y386,'Test catalog'!$A$2:$A$200,0))),"")</f>
        <v/>
      </c>
      <c r="O386" s="11">
        <f>IFERROR(IF(INDEX('Test catalog'!$M$2:$M$200,MATCH($Y386,'Test catalog'!$A$2:$A$200,0))="","",INDEX('Test catalog'!$M$2:$M$200,MATCH($Y386,'Test catalog'!$A$2:$A$200,0))),"")</f>
        <v/>
      </c>
      <c r="P386" s="11">
        <f>IFERROR(IF(INDEX('Test catalog'!$N$2:$N$200,MATCH($Y386,'Test catalog'!$A$2:$A$200,0))="","",INDEX('Test catalog'!$N$2:$N$200,MATCH($Y386,'Test catalog'!$A$2:$A$200,0))),"")</f>
        <v/>
      </c>
      <c r="Q386" s="11">
        <f>IFERROR(IF(INDEX('Test catalog'!$O$2:$O$200,MATCH($Y386,'Test catalog'!$A$2:$A$200,0))="","",INDEX('Test catalog'!$O$2:$O$200,MATCH($Y386,'Test catalog'!$A$2:$A$200,0))),"")</f>
        <v/>
      </c>
      <c r="R386" s="11">
        <f>IFERROR(IF(INDEX('Test catalog'!$P$2:$P$200,MATCH($Y386,'Test catalog'!$A$2:$A$200,0))="","",INDEX('Test catalog'!$P$2:$P$200,MATCH($Y386,'Test catalog'!$A$2:$A$200,0))),"")</f>
        <v/>
      </c>
      <c r="S386" s="14" t="n"/>
      <c r="T386" s="5" t="inlineStr">
        <is>
          <t>N</t>
        </is>
      </c>
      <c r="U386" s="11">
        <f>IFERROR(IF(INDEX('Test catalog'!$Q$2:$Q$200,MATCH($Y386,'Test catalog'!$A$2:$A$200,0))="","",INDEX('Test catalog'!$Q$2:$Q$200,MATCH($Y386,'Test catalog'!$A$2:$A$200,0))),"")</f>
        <v/>
      </c>
      <c r="V386" s="5" t="n"/>
      <c r="W386" s="5" t="n"/>
      <c r="X386" s="5" t="n"/>
      <c r="Y386" s="5" t="inlineStr">
        <is>
          <t>ECOLI</t>
        </is>
      </c>
      <c r="Z386" s="11" t="inlineStr">
        <is>
          <t>USP &lt;1111&gt; oral solid: TAMC, TYMC, absence of E. coli; &lt;2023&gt; botanical: absence of Salmonella</t>
        </is>
      </c>
    </row>
    <row r="387">
      <c r="A387" s="11" t="inlineStr">
        <is>
          <t>F54</t>
        </is>
      </c>
      <c r="B387" s="11" t="inlineStr">
        <is>
          <t>FP</t>
        </is>
      </c>
      <c r="C387" s="11" t="inlineStr">
        <is>
          <t>Celer-X Forte  |  Apium Graveolens Seed Dry Extract 6:1, Juniper Communis Fruit Dry Extract 2:1 (+1 more)</t>
        </is>
      </c>
      <c r="D387" s="11" t="inlineStr">
        <is>
          <t>Absence of Salmonella (&lt;62&gt; / &lt;2022&gt;)</t>
        </is>
      </c>
      <c r="E387" s="5" t="inlineStr">
        <is>
          <t>Y</t>
        </is>
      </c>
      <c r="F387" s="5" t="n"/>
      <c r="G387" s="11">
        <f>IFERROR(IF(INDEX('Test catalog'!$F$2:$F$200,MATCH($Y387,'Test catalog'!$A$2:$A$200,0))="","",INDEX('Test catalog'!$F$2:$F$200,MATCH($Y387,'Test catalog'!$A$2:$A$200,0))),"")</f>
        <v/>
      </c>
      <c r="H387" s="11">
        <f>IFERROR(IF(INDEX('Test catalog'!$G$2:$G$200,MATCH($Y387,'Test catalog'!$A$2:$A$200,0))="","",INDEX('Test catalog'!$G$2:$G$200,MATCH($Y387,'Test catalog'!$A$2:$A$200,0))),"")</f>
        <v/>
      </c>
      <c r="I387" s="11">
        <f>IFERROR(IF(INDEX('Test catalog'!$H$2:$H$200,MATCH($Y387,'Test catalog'!$A$2:$A$200,0))="","",INDEX('Test catalog'!$H$2:$H$200,MATCH($Y387,'Test catalog'!$A$2:$A$200,0))),"")</f>
        <v/>
      </c>
      <c r="J387" s="11">
        <f>IFERROR(IF(INDEX('Test catalog'!$I$2:$I$200,MATCH($Y387,'Test catalog'!$A$2:$A$200,0))="","",INDEX('Test catalog'!$I$2:$I$200,MATCH($Y387,'Test catalog'!$A$2:$A$200,0))),"")</f>
        <v/>
      </c>
      <c r="K387" s="13">
        <f>IF(I387="","",IF(OR(H387="",J387=""),I387,(H387+4*I387+J387)/6))</f>
        <v/>
      </c>
      <c r="L387" s="11">
        <f>IFERROR(IF(INDEX('Test catalog'!$J$2:$J$200,MATCH($Y387,'Test catalog'!$A$2:$A$200,0))="","",INDEX('Test catalog'!$J$2:$J$200,MATCH($Y387,'Test catalog'!$A$2:$A$200,0))),"")</f>
        <v/>
      </c>
      <c r="M387" s="11">
        <f>IFERROR(IF(INDEX('Test catalog'!$K$2:$K$200,MATCH($Y387,'Test catalog'!$A$2:$A$200,0))="","",INDEX('Test catalog'!$K$2:$K$200,MATCH($Y387,'Test catalog'!$A$2:$A$200,0))),"")</f>
        <v/>
      </c>
      <c r="N387" s="11">
        <f>IFERROR(IF(INDEX('Test catalog'!$L$2:$L$200,MATCH($Y387,'Test catalog'!$A$2:$A$200,0))="","",INDEX('Test catalog'!$L$2:$L$200,MATCH($Y387,'Test catalog'!$A$2:$A$200,0))),"")</f>
        <v/>
      </c>
      <c r="O387" s="11">
        <f>IFERROR(IF(INDEX('Test catalog'!$M$2:$M$200,MATCH($Y387,'Test catalog'!$A$2:$A$200,0))="","",INDEX('Test catalog'!$M$2:$M$200,MATCH($Y387,'Test catalog'!$A$2:$A$200,0))),"")</f>
        <v/>
      </c>
      <c r="P387" s="11">
        <f>IFERROR(IF(INDEX('Test catalog'!$N$2:$N$200,MATCH($Y387,'Test catalog'!$A$2:$A$200,0))="","",INDEX('Test catalog'!$N$2:$N$200,MATCH($Y387,'Test catalog'!$A$2:$A$200,0))),"")</f>
        <v/>
      </c>
      <c r="Q387" s="11">
        <f>IFERROR(IF(INDEX('Test catalog'!$O$2:$O$200,MATCH($Y387,'Test catalog'!$A$2:$A$200,0))="","",INDEX('Test catalog'!$O$2:$O$200,MATCH($Y387,'Test catalog'!$A$2:$A$200,0))),"")</f>
        <v/>
      </c>
      <c r="R387" s="11">
        <f>IFERROR(IF(INDEX('Test catalog'!$P$2:$P$200,MATCH($Y387,'Test catalog'!$A$2:$A$200,0))="","",INDEX('Test catalog'!$P$2:$P$200,MATCH($Y387,'Test catalog'!$A$2:$A$200,0))),"")</f>
        <v/>
      </c>
      <c r="S387" s="14" t="n"/>
      <c r="T387" s="5" t="inlineStr">
        <is>
          <t>N</t>
        </is>
      </c>
      <c r="U387" s="11">
        <f>IFERROR(IF(INDEX('Test catalog'!$Q$2:$Q$200,MATCH($Y387,'Test catalog'!$A$2:$A$200,0))="","",INDEX('Test catalog'!$Q$2:$Q$200,MATCH($Y387,'Test catalog'!$A$2:$A$200,0))),"")</f>
        <v/>
      </c>
      <c r="V387" s="5" t="n"/>
      <c r="W387" s="5" t="n"/>
      <c r="X387" s="5" t="n"/>
      <c r="Y387" s="5" t="inlineStr">
        <is>
          <t>SALM</t>
        </is>
      </c>
      <c r="Z387" s="11" t="inlineStr">
        <is>
          <t>USP &lt;1111&gt; oral solid: TAMC, TYMC, absence of E. coli; &lt;2023&gt; botanical: absence of Salmonella</t>
        </is>
      </c>
    </row>
    <row r="388">
      <c r="A388" s="11" t="inlineStr">
        <is>
          <t>F55</t>
        </is>
      </c>
      <c r="B388" s="11" t="inlineStr">
        <is>
          <t>FP</t>
        </is>
      </c>
      <c r="C388" s="11" t="inlineStr">
        <is>
          <t>Opti Woman 30 Cap; Opti Woman 60 Cap  |  Biotin (Vitamin B7), Folic Acid (Vitamin B9) (+22 more)</t>
        </is>
      </c>
      <c r="D388" s="11" t="inlineStr">
        <is>
          <t>Microbial enumeration - TAMC + TYMC (&lt;61&gt; / &lt;2021&gt;)</t>
        </is>
      </c>
      <c r="E388" s="5" t="inlineStr">
        <is>
          <t>Y</t>
        </is>
      </c>
      <c r="F388" s="5" t="n"/>
      <c r="G388" s="11">
        <f>IFERROR(IF(INDEX('Test catalog'!$F$2:$F$200,MATCH($Y388,'Test catalog'!$A$2:$A$200,0))="","",INDEX('Test catalog'!$F$2:$F$200,MATCH($Y388,'Test catalog'!$A$2:$A$200,0))),"")</f>
        <v/>
      </c>
      <c r="H388" s="11">
        <f>IFERROR(IF(INDEX('Test catalog'!$G$2:$G$200,MATCH($Y388,'Test catalog'!$A$2:$A$200,0))="","",INDEX('Test catalog'!$G$2:$G$200,MATCH($Y388,'Test catalog'!$A$2:$A$200,0))),"")</f>
        <v/>
      </c>
      <c r="I388" s="11">
        <f>IFERROR(IF(INDEX('Test catalog'!$H$2:$H$200,MATCH($Y388,'Test catalog'!$A$2:$A$200,0))="","",INDEX('Test catalog'!$H$2:$H$200,MATCH($Y388,'Test catalog'!$A$2:$A$200,0))),"")</f>
        <v/>
      </c>
      <c r="J388" s="11">
        <f>IFERROR(IF(INDEX('Test catalog'!$I$2:$I$200,MATCH($Y388,'Test catalog'!$A$2:$A$200,0))="","",INDEX('Test catalog'!$I$2:$I$200,MATCH($Y388,'Test catalog'!$A$2:$A$200,0))),"")</f>
        <v/>
      </c>
      <c r="K388" s="13">
        <f>IF(I388="","",IF(OR(H388="",J388=""),I388,(H388+4*I388+J388)/6))</f>
        <v/>
      </c>
      <c r="L388" s="11">
        <f>IFERROR(IF(INDEX('Test catalog'!$J$2:$J$200,MATCH($Y388,'Test catalog'!$A$2:$A$200,0))="","",INDEX('Test catalog'!$J$2:$J$200,MATCH($Y388,'Test catalog'!$A$2:$A$200,0))),"")</f>
        <v/>
      </c>
      <c r="M388" s="11">
        <f>IFERROR(IF(INDEX('Test catalog'!$K$2:$K$200,MATCH($Y388,'Test catalog'!$A$2:$A$200,0))="","",INDEX('Test catalog'!$K$2:$K$200,MATCH($Y388,'Test catalog'!$A$2:$A$200,0))),"")</f>
        <v/>
      </c>
      <c r="N388" s="11">
        <f>IFERROR(IF(INDEX('Test catalog'!$L$2:$L$200,MATCH($Y388,'Test catalog'!$A$2:$A$200,0))="","",INDEX('Test catalog'!$L$2:$L$200,MATCH($Y388,'Test catalog'!$A$2:$A$200,0))),"")</f>
        <v/>
      </c>
      <c r="O388" s="11">
        <f>IFERROR(IF(INDEX('Test catalog'!$M$2:$M$200,MATCH($Y388,'Test catalog'!$A$2:$A$200,0))="","",INDEX('Test catalog'!$M$2:$M$200,MATCH($Y388,'Test catalog'!$A$2:$A$200,0))),"")</f>
        <v/>
      </c>
      <c r="P388" s="11">
        <f>IFERROR(IF(INDEX('Test catalog'!$N$2:$N$200,MATCH($Y388,'Test catalog'!$A$2:$A$200,0))="","",INDEX('Test catalog'!$N$2:$N$200,MATCH($Y388,'Test catalog'!$A$2:$A$200,0))),"")</f>
        <v/>
      </c>
      <c r="Q388" s="11">
        <f>IFERROR(IF(INDEX('Test catalog'!$O$2:$O$200,MATCH($Y388,'Test catalog'!$A$2:$A$200,0))="","",INDEX('Test catalog'!$O$2:$O$200,MATCH($Y388,'Test catalog'!$A$2:$A$200,0))),"")</f>
        <v/>
      </c>
      <c r="R388" s="11">
        <f>IFERROR(IF(INDEX('Test catalog'!$P$2:$P$200,MATCH($Y388,'Test catalog'!$A$2:$A$200,0))="","",INDEX('Test catalog'!$P$2:$P$200,MATCH($Y388,'Test catalog'!$A$2:$A$200,0))),"")</f>
        <v/>
      </c>
      <c r="S388" s="14" t="n"/>
      <c r="T388" s="5" t="inlineStr">
        <is>
          <t>Y</t>
        </is>
      </c>
      <c r="U388" s="11">
        <f>IFERROR(IF(INDEX('Test catalog'!$Q$2:$Q$200,MATCH($Y388,'Test catalog'!$A$2:$A$200,0))="","",INDEX('Test catalog'!$Q$2:$Q$200,MATCH($Y388,'Test catalog'!$A$2:$A$200,0))),"")</f>
        <v/>
      </c>
      <c r="V388" s="5" t="n"/>
      <c r="W388" s="5" t="n"/>
      <c r="X388" s="5" t="n"/>
      <c r="Y388" s="5" t="inlineStr">
        <is>
          <t>ENUM</t>
        </is>
      </c>
      <c r="Z388" s="11" t="inlineStr">
        <is>
          <t>USP &lt;1111&gt; oral solid: TAMC, TYMC, absence of E. coli</t>
        </is>
      </c>
    </row>
    <row r="389">
      <c r="A389" s="11" t="inlineStr">
        <is>
          <t>F55</t>
        </is>
      </c>
      <c r="B389" s="11" t="inlineStr">
        <is>
          <t>FP</t>
        </is>
      </c>
      <c r="C389" s="11" t="inlineStr">
        <is>
          <t>Opti Woman 30 Cap; Opti Woman 60 Cap  |  Biotin (Vitamin B7), Folic Acid (Vitamin B9) (+22 more)</t>
        </is>
      </c>
      <c r="D389" s="11" t="inlineStr">
        <is>
          <t>Absence of Escherichia coli (&lt;62&gt; / &lt;2022&gt;)</t>
        </is>
      </c>
      <c r="E389" s="5" t="inlineStr">
        <is>
          <t>Y</t>
        </is>
      </c>
      <c r="F389" s="5" t="n"/>
      <c r="G389" s="11">
        <f>IFERROR(IF(INDEX('Test catalog'!$F$2:$F$200,MATCH($Y389,'Test catalog'!$A$2:$A$200,0))="","",INDEX('Test catalog'!$F$2:$F$200,MATCH($Y389,'Test catalog'!$A$2:$A$200,0))),"")</f>
        <v/>
      </c>
      <c r="H389" s="11">
        <f>IFERROR(IF(INDEX('Test catalog'!$G$2:$G$200,MATCH($Y389,'Test catalog'!$A$2:$A$200,0))="","",INDEX('Test catalog'!$G$2:$G$200,MATCH($Y389,'Test catalog'!$A$2:$A$200,0))),"")</f>
        <v/>
      </c>
      <c r="I389" s="11">
        <f>IFERROR(IF(INDEX('Test catalog'!$H$2:$H$200,MATCH($Y389,'Test catalog'!$A$2:$A$200,0))="","",INDEX('Test catalog'!$H$2:$H$200,MATCH($Y389,'Test catalog'!$A$2:$A$200,0))),"")</f>
        <v/>
      </c>
      <c r="J389" s="11">
        <f>IFERROR(IF(INDEX('Test catalog'!$I$2:$I$200,MATCH($Y389,'Test catalog'!$A$2:$A$200,0))="","",INDEX('Test catalog'!$I$2:$I$200,MATCH($Y389,'Test catalog'!$A$2:$A$200,0))),"")</f>
        <v/>
      </c>
      <c r="K389" s="13">
        <f>IF(I389="","",IF(OR(H389="",J389=""),I389,(H389+4*I389+J389)/6))</f>
        <v/>
      </c>
      <c r="L389" s="11">
        <f>IFERROR(IF(INDEX('Test catalog'!$J$2:$J$200,MATCH($Y389,'Test catalog'!$A$2:$A$200,0))="","",INDEX('Test catalog'!$J$2:$J$200,MATCH($Y389,'Test catalog'!$A$2:$A$200,0))),"")</f>
        <v/>
      </c>
      <c r="M389" s="11">
        <f>IFERROR(IF(INDEX('Test catalog'!$K$2:$K$200,MATCH($Y389,'Test catalog'!$A$2:$A$200,0))="","",INDEX('Test catalog'!$K$2:$K$200,MATCH($Y389,'Test catalog'!$A$2:$A$200,0))),"")</f>
        <v/>
      </c>
      <c r="N389" s="11">
        <f>IFERROR(IF(INDEX('Test catalog'!$L$2:$L$200,MATCH($Y389,'Test catalog'!$A$2:$A$200,0))="","",INDEX('Test catalog'!$L$2:$L$200,MATCH($Y389,'Test catalog'!$A$2:$A$200,0))),"")</f>
        <v/>
      </c>
      <c r="O389" s="11">
        <f>IFERROR(IF(INDEX('Test catalog'!$M$2:$M$200,MATCH($Y389,'Test catalog'!$A$2:$A$200,0))="","",INDEX('Test catalog'!$M$2:$M$200,MATCH($Y389,'Test catalog'!$A$2:$A$200,0))),"")</f>
        <v/>
      </c>
      <c r="P389" s="11">
        <f>IFERROR(IF(INDEX('Test catalog'!$N$2:$N$200,MATCH($Y389,'Test catalog'!$A$2:$A$200,0))="","",INDEX('Test catalog'!$N$2:$N$200,MATCH($Y389,'Test catalog'!$A$2:$A$200,0))),"")</f>
        <v/>
      </c>
      <c r="Q389" s="11">
        <f>IFERROR(IF(INDEX('Test catalog'!$O$2:$O$200,MATCH($Y389,'Test catalog'!$A$2:$A$200,0))="","",INDEX('Test catalog'!$O$2:$O$200,MATCH($Y389,'Test catalog'!$A$2:$A$200,0))),"")</f>
        <v/>
      </c>
      <c r="R389" s="11">
        <f>IFERROR(IF(INDEX('Test catalog'!$P$2:$P$200,MATCH($Y389,'Test catalog'!$A$2:$A$200,0))="","",INDEX('Test catalog'!$P$2:$P$200,MATCH($Y389,'Test catalog'!$A$2:$A$200,0))),"")</f>
        <v/>
      </c>
      <c r="S389" s="14" t="n"/>
      <c r="T389" s="5" t="inlineStr">
        <is>
          <t>N</t>
        </is>
      </c>
      <c r="U389" s="11">
        <f>IFERROR(IF(INDEX('Test catalog'!$Q$2:$Q$200,MATCH($Y389,'Test catalog'!$A$2:$A$200,0))="","",INDEX('Test catalog'!$Q$2:$Q$200,MATCH($Y389,'Test catalog'!$A$2:$A$200,0))),"")</f>
        <v/>
      </c>
      <c r="V389" s="5" t="n"/>
      <c r="W389" s="5" t="n"/>
      <c r="X389" s="5" t="n"/>
      <c r="Y389" s="5" t="inlineStr">
        <is>
          <t>ECOLI</t>
        </is>
      </c>
      <c r="Z389" s="11" t="inlineStr">
        <is>
          <t>USP &lt;1111&gt; oral solid: TAMC, TYMC, absence of E. coli</t>
        </is>
      </c>
    </row>
    <row r="390">
      <c r="A390" s="11" t="inlineStr">
        <is>
          <t>F56</t>
        </is>
      </c>
      <c r="B390" s="11" t="inlineStr">
        <is>
          <t>FP</t>
        </is>
      </c>
      <c r="C390" s="11" t="inlineStr">
        <is>
          <t>Pregnalife  |  D-Alpha Tocopheryl Acetate 50% (Vitamin E), Magnesium Oxide Heavy (+13 more)</t>
        </is>
      </c>
      <c r="D390" s="11" t="inlineStr">
        <is>
          <t>Microbial enumeration - TAMC + TYMC (&lt;61&gt; / &lt;2021&gt;)</t>
        </is>
      </c>
      <c r="E390" s="5" t="inlineStr">
        <is>
          <t>Y</t>
        </is>
      </c>
      <c r="F390" s="5" t="n"/>
      <c r="G390" s="11">
        <f>IFERROR(IF(INDEX('Test catalog'!$F$2:$F$200,MATCH($Y390,'Test catalog'!$A$2:$A$200,0))="","",INDEX('Test catalog'!$F$2:$F$200,MATCH($Y390,'Test catalog'!$A$2:$A$200,0))),"")</f>
        <v/>
      </c>
      <c r="H390" s="11">
        <f>IFERROR(IF(INDEX('Test catalog'!$G$2:$G$200,MATCH($Y390,'Test catalog'!$A$2:$A$200,0))="","",INDEX('Test catalog'!$G$2:$G$200,MATCH($Y390,'Test catalog'!$A$2:$A$200,0))),"")</f>
        <v/>
      </c>
      <c r="I390" s="11">
        <f>IFERROR(IF(INDEX('Test catalog'!$H$2:$H$200,MATCH($Y390,'Test catalog'!$A$2:$A$200,0))="","",INDEX('Test catalog'!$H$2:$H$200,MATCH($Y390,'Test catalog'!$A$2:$A$200,0))),"")</f>
        <v/>
      </c>
      <c r="J390" s="11">
        <f>IFERROR(IF(INDEX('Test catalog'!$I$2:$I$200,MATCH($Y390,'Test catalog'!$A$2:$A$200,0))="","",INDEX('Test catalog'!$I$2:$I$200,MATCH($Y390,'Test catalog'!$A$2:$A$200,0))),"")</f>
        <v/>
      </c>
      <c r="K390" s="13">
        <f>IF(I390="","",IF(OR(H390="",J390=""),I390,(H390+4*I390+J390)/6))</f>
        <v/>
      </c>
      <c r="L390" s="11">
        <f>IFERROR(IF(INDEX('Test catalog'!$J$2:$J$200,MATCH($Y390,'Test catalog'!$A$2:$A$200,0))="","",INDEX('Test catalog'!$J$2:$J$200,MATCH($Y390,'Test catalog'!$A$2:$A$200,0))),"")</f>
        <v/>
      </c>
      <c r="M390" s="11">
        <f>IFERROR(IF(INDEX('Test catalog'!$K$2:$K$200,MATCH($Y390,'Test catalog'!$A$2:$A$200,0))="","",INDEX('Test catalog'!$K$2:$K$200,MATCH($Y390,'Test catalog'!$A$2:$A$200,0))),"")</f>
        <v/>
      </c>
      <c r="N390" s="11">
        <f>IFERROR(IF(INDEX('Test catalog'!$L$2:$L$200,MATCH($Y390,'Test catalog'!$A$2:$A$200,0))="","",INDEX('Test catalog'!$L$2:$L$200,MATCH($Y390,'Test catalog'!$A$2:$A$200,0))),"")</f>
        <v/>
      </c>
      <c r="O390" s="11">
        <f>IFERROR(IF(INDEX('Test catalog'!$M$2:$M$200,MATCH($Y390,'Test catalog'!$A$2:$A$200,0))="","",INDEX('Test catalog'!$M$2:$M$200,MATCH($Y390,'Test catalog'!$A$2:$A$200,0))),"")</f>
        <v/>
      </c>
      <c r="P390" s="11">
        <f>IFERROR(IF(INDEX('Test catalog'!$N$2:$N$200,MATCH($Y390,'Test catalog'!$A$2:$A$200,0))="","",INDEX('Test catalog'!$N$2:$N$200,MATCH($Y390,'Test catalog'!$A$2:$A$200,0))),"")</f>
        <v/>
      </c>
      <c r="Q390" s="11">
        <f>IFERROR(IF(INDEX('Test catalog'!$O$2:$O$200,MATCH($Y390,'Test catalog'!$A$2:$A$200,0))="","",INDEX('Test catalog'!$O$2:$O$200,MATCH($Y390,'Test catalog'!$A$2:$A$200,0))),"")</f>
        <v/>
      </c>
      <c r="R390" s="11">
        <f>IFERROR(IF(INDEX('Test catalog'!$P$2:$P$200,MATCH($Y390,'Test catalog'!$A$2:$A$200,0))="","",INDEX('Test catalog'!$P$2:$P$200,MATCH($Y390,'Test catalog'!$A$2:$A$200,0))),"")</f>
        <v/>
      </c>
      <c r="S390" s="14" t="n"/>
      <c r="T390" s="5" t="inlineStr">
        <is>
          <t>Y</t>
        </is>
      </c>
      <c r="U390" s="11">
        <f>IFERROR(IF(INDEX('Test catalog'!$Q$2:$Q$200,MATCH($Y390,'Test catalog'!$A$2:$A$200,0))="","",INDEX('Test catalog'!$Q$2:$Q$200,MATCH($Y390,'Test catalog'!$A$2:$A$200,0))),"")</f>
        <v/>
      </c>
      <c r="V390" s="5" t="n"/>
      <c r="W390" s="5" t="n"/>
      <c r="X390" s="5" t="n"/>
      <c r="Y390" s="5" t="inlineStr">
        <is>
          <t>ENUM</t>
        </is>
      </c>
      <c r="Z390" s="11" t="inlineStr">
        <is>
          <t>USP &lt;1111&gt; oral solid: TAMC, TYMC, absence of E. coli</t>
        </is>
      </c>
    </row>
    <row r="391">
      <c r="A391" s="11" t="inlineStr">
        <is>
          <t>F56</t>
        </is>
      </c>
      <c r="B391" s="11" t="inlineStr">
        <is>
          <t>FP</t>
        </is>
      </c>
      <c r="C391" s="11" t="inlineStr">
        <is>
          <t>Pregnalife  |  D-Alpha Tocopheryl Acetate 50% (Vitamin E), Magnesium Oxide Heavy (+13 more)</t>
        </is>
      </c>
      <c r="D391" s="11" t="inlineStr">
        <is>
          <t>Absence of Escherichia coli (&lt;62&gt; / &lt;2022&gt;)</t>
        </is>
      </c>
      <c r="E391" s="5" t="inlineStr">
        <is>
          <t>Y</t>
        </is>
      </c>
      <c r="F391" s="5" t="n"/>
      <c r="G391" s="11">
        <f>IFERROR(IF(INDEX('Test catalog'!$F$2:$F$200,MATCH($Y391,'Test catalog'!$A$2:$A$200,0))="","",INDEX('Test catalog'!$F$2:$F$200,MATCH($Y391,'Test catalog'!$A$2:$A$200,0))),"")</f>
        <v/>
      </c>
      <c r="H391" s="11">
        <f>IFERROR(IF(INDEX('Test catalog'!$G$2:$G$200,MATCH($Y391,'Test catalog'!$A$2:$A$200,0))="","",INDEX('Test catalog'!$G$2:$G$200,MATCH($Y391,'Test catalog'!$A$2:$A$200,0))),"")</f>
        <v/>
      </c>
      <c r="I391" s="11">
        <f>IFERROR(IF(INDEX('Test catalog'!$H$2:$H$200,MATCH($Y391,'Test catalog'!$A$2:$A$200,0))="","",INDEX('Test catalog'!$H$2:$H$200,MATCH($Y391,'Test catalog'!$A$2:$A$200,0))),"")</f>
        <v/>
      </c>
      <c r="J391" s="11">
        <f>IFERROR(IF(INDEX('Test catalog'!$I$2:$I$200,MATCH($Y391,'Test catalog'!$A$2:$A$200,0))="","",INDEX('Test catalog'!$I$2:$I$200,MATCH($Y391,'Test catalog'!$A$2:$A$200,0))),"")</f>
        <v/>
      </c>
      <c r="K391" s="13">
        <f>IF(I391="","",IF(OR(H391="",J391=""),I391,(H391+4*I391+J391)/6))</f>
        <v/>
      </c>
      <c r="L391" s="11">
        <f>IFERROR(IF(INDEX('Test catalog'!$J$2:$J$200,MATCH($Y391,'Test catalog'!$A$2:$A$200,0))="","",INDEX('Test catalog'!$J$2:$J$200,MATCH($Y391,'Test catalog'!$A$2:$A$200,0))),"")</f>
        <v/>
      </c>
      <c r="M391" s="11">
        <f>IFERROR(IF(INDEX('Test catalog'!$K$2:$K$200,MATCH($Y391,'Test catalog'!$A$2:$A$200,0))="","",INDEX('Test catalog'!$K$2:$K$200,MATCH($Y391,'Test catalog'!$A$2:$A$200,0))),"")</f>
        <v/>
      </c>
      <c r="N391" s="11">
        <f>IFERROR(IF(INDEX('Test catalog'!$L$2:$L$200,MATCH($Y391,'Test catalog'!$A$2:$A$200,0))="","",INDEX('Test catalog'!$L$2:$L$200,MATCH($Y391,'Test catalog'!$A$2:$A$200,0))),"")</f>
        <v/>
      </c>
      <c r="O391" s="11">
        <f>IFERROR(IF(INDEX('Test catalog'!$M$2:$M$200,MATCH($Y391,'Test catalog'!$A$2:$A$200,0))="","",INDEX('Test catalog'!$M$2:$M$200,MATCH($Y391,'Test catalog'!$A$2:$A$200,0))),"")</f>
        <v/>
      </c>
      <c r="P391" s="11">
        <f>IFERROR(IF(INDEX('Test catalog'!$N$2:$N$200,MATCH($Y391,'Test catalog'!$A$2:$A$200,0))="","",INDEX('Test catalog'!$N$2:$N$200,MATCH($Y391,'Test catalog'!$A$2:$A$200,0))),"")</f>
        <v/>
      </c>
      <c r="Q391" s="11">
        <f>IFERROR(IF(INDEX('Test catalog'!$O$2:$O$200,MATCH($Y391,'Test catalog'!$A$2:$A$200,0))="","",INDEX('Test catalog'!$O$2:$O$200,MATCH($Y391,'Test catalog'!$A$2:$A$200,0))),"")</f>
        <v/>
      </c>
      <c r="R391" s="11">
        <f>IFERROR(IF(INDEX('Test catalog'!$P$2:$P$200,MATCH($Y391,'Test catalog'!$A$2:$A$200,0))="","",INDEX('Test catalog'!$P$2:$P$200,MATCH($Y391,'Test catalog'!$A$2:$A$200,0))),"")</f>
        <v/>
      </c>
      <c r="S391" s="14" t="n"/>
      <c r="T391" s="5" t="inlineStr">
        <is>
          <t>N</t>
        </is>
      </c>
      <c r="U391" s="11">
        <f>IFERROR(IF(INDEX('Test catalog'!$Q$2:$Q$200,MATCH($Y391,'Test catalog'!$A$2:$A$200,0))="","",INDEX('Test catalog'!$Q$2:$Q$200,MATCH($Y391,'Test catalog'!$A$2:$A$200,0))),"")</f>
        <v/>
      </c>
      <c r="V391" s="5" t="n"/>
      <c r="W391" s="5" t="n"/>
      <c r="X391" s="5" t="n"/>
      <c r="Y391" s="5" t="inlineStr">
        <is>
          <t>ECOLI</t>
        </is>
      </c>
      <c r="Z391" s="11" t="inlineStr">
        <is>
          <t>USP &lt;1111&gt; oral solid: TAMC, TYMC, absence of E. coli</t>
        </is>
      </c>
    </row>
    <row r="392">
      <c r="A392" s="11" t="inlineStr">
        <is>
          <t>F57</t>
        </is>
      </c>
      <c r="B392" s="11" t="inlineStr">
        <is>
          <t>FP</t>
        </is>
      </c>
      <c r="C392" s="11" t="inlineStr">
        <is>
          <t>Immune AID  |  Cyanocobalamin (Vitamin B12), Folic Acid (Vitamin B9) (+13 more)</t>
        </is>
      </c>
      <c r="D392" s="11" t="inlineStr">
        <is>
          <t>Microbial enumeration - TAMC + TYMC (&lt;61&gt; / &lt;2021&gt;)</t>
        </is>
      </c>
      <c r="E392" s="5" t="inlineStr">
        <is>
          <t>Y</t>
        </is>
      </c>
      <c r="F392" s="5" t="n"/>
      <c r="G392" s="11">
        <f>IFERROR(IF(INDEX('Test catalog'!$F$2:$F$200,MATCH($Y392,'Test catalog'!$A$2:$A$200,0))="","",INDEX('Test catalog'!$F$2:$F$200,MATCH($Y392,'Test catalog'!$A$2:$A$200,0))),"")</f>
        <v/>
      </c>
      <c r="H392" s="11">
        <f>IFERROR(IF(INDEX('Test catalog'!$G$2:$G$200,MATCH($Y392,'Test catalog'!$A$2:$A$200,0))="","",INDEX('Test catalog'!$G$2:$G$200,MATCH($Y392,'Test catalog'!$A$2:$A$200,0))),"")</f>
        <v/>
      </c>
      <c r="I392" s="11">
        <f>IFERROR(IF(INDEX('Test catalog'!$H$2:$H$200,MATCH($Y392,'Test catalog'!$A$2:$A$200,0))="","",INDEX('Test catalog'!$H$2:$H$200,MATCH($Y392,'Test catalog'!$A$2:$A$200,0))),"")</f>
        <v/>
      </c>
      <c r="J392" s="11">
        <f>IFERROR(IF(INDEX('Test catalog'!$I$2:$I$200,MATCH($Y392,'Test catalog'!$A$2:$A$200,0))="","",INDEX('Test catalog'!$I$2:$I$200,MATCH($Y392,'Test catalog'!$A$2:$A$200,0))),"")</f>
        <v/>
      </c>
      <c r="K392" s="13">
        <f>IF(I392="","",IF(OR(H392="",J392=""),I392,(H392+4*I392+J392)/6))</f>
        <v/>
      </c>
      <c r="L392" s="11">
        <f>IFERROR(IF(INDEX('Test catalog'!$J$2:$J$200,MATCH($Y392,'Test catalog'!$A$2:$A$200,0))="","",INDEX('Test catalog'!$J$2:$J$200,MATCH($Y392,'Test catalog'!$A$2:$A$200,0))),"")</f>
        <v/>
      </c>
      <c r="M392" s="11">
        <f>IFERROR(IF(INDEX('Test catalog'!$K$2:$K$200,MATCH($Y392,'Test catalog'!$A$2:$A$200,0))="","",INDEX('Test catalog'!$K$2:$K$200,MATCH($Y392,'Test catalog'!$A$2:$A$200,0))),"")</f>
        <v/>
      </c>
      <c r="N392" s="11">
        <f>IFERROR(IF(INDEX('Test catalog'!$L$2:$L$200,MATCH($Y392,'Test catalog'!$A$2:$A$200,0))="","",INDEX('Test catalog'!$L$2:$L$200,MATCH($Y392,'Test catalog'!$A$2:$A$200,0))),"")</f>
        <v/>
      </c>
      <c r="O392" s="11">
        <f>IFERROR(IF(INDEX('Test catalog'!$M$2:$M$200,MATCH($Y392,'Test catalog'!$A$2:$A$200,0))="","",INDEX('Test catalog'!$M$2:$M$200,MATCH($Y392,'Test catalog'!$A$2:$A$200,0))),"")</f>
        <v/>
      </c>
      <c r="P392" s="11">
        <f>IFERROR(IF(INDEX('Test catalog'!$N$2:$N$200,MATCH($Y392,'Test catalog'!$A$2:$A$200,0))="","",INDEX('Test catalog'!$N$2:$N$200,MATCH($Y392,'Test catalog'!$A$2:$A$200,0))),"")</f>
        <v/>
      </c>
      <c r="Q392" s="11">
        <f>IFERROR(IF(INDEX('Test catalog'!$O$2:$O$200,MATCH($Y392,'Test catalog'!$A$2:$A$200,0))="","",INDEX('Test catalog'!$O$2:$O$200,MATCH($Y392,'Test catalog'!$A$2:$A$200,0))),"")</f>
        <v/>
      </c>
      <c r="R392" s="11">
        <f>IFERROR(IF(INDEX('Test catalog'!$P$2:$P$200,MATCH($Y392,'Test catalog'!$A$2:$A$200,0))="","",INDEX('Test catalog'!$P$2:$P$200,MATCH($Y392,'Test catalog'!$A$2:$A$200,0))),"")</f>
        <v/>
      </c>
      <c r="S392" s="14" t="n"/>
      <c r="T392" s="5" t="inlineStr">
        <is>
          <t>Y</t>
        </is>
      </c>
      <c r="U392" s="11">
        <f>IFERROR(IF(INDEX('Test catalog'!$Q$2:$Q$200,MATCH($Y392,'Test catalog'!$A$2:$A$200,0))="","",INDEX('Test catalog'!$Q$2:$Q$200,MATCH($Y392,'Test catalog'!$A$2:$A$200,0))),"")</f>
        <v/>
      </c>
      <c r="V392" s="5" t="n"/>
      <c r="W392" s="5" t="n"/>
      <c r="X392" s="5" t="n"/>
      <c r="Y392" s="5" t="inlineStr">
        <is>
          <t>ENUM</t>
        </is>
      </c>
      <c r="Z392" s="11" t="inlineStr">
        <is>
          <t>USP &lt;1111&gt; oral solid: TAMC, TYMC, absence of E. coli</t>
        </is>
      </c>
    </row>
    <row r="393">
      <c r="A393" s="11" t="inlineStr">
        <is>
          <t>F57</t>
        </is>
      </c>
      <c r="B393" s="11" t="inlineStr">
        <is>
          <t>FP</t>
        </is>
      </c>
      <c r="C393" s="11" t="inlineStr">
        <is>
          <t>Immune AID  |  Cyanocobalamin (Vitamin B12), Folic Acid (Vitamin B9) (+13 more)</t>
        </is>
      </c>
      <c r="D393" s="11" t="inlineStr">
        <is>
          <t>Absence of Escherichia coli (&lt;62&gt; / &lt;2022&gt;)</t>
        </is>
      </c>
      <c r="E393" s="5" t="inlineStr">
        <is>
          <t>Y</t>
        </is>
      </c>
      <c r="F393" s="5" t="n"/>
      <c r="G393" s="11">
        <f>IFERROR(IF(INDEX('Test catalog'!$F$2:$F$200,MATCH($Y393,'Test catalog'!$A$2:$A$200,0))="","",INDEX('Test catalog'!$F$2:$F$200,MATCH($Y393,'Test catalog'!$A$2:$A$200,0))),"")</f>
        <v/>
      </c>
      <c r="H393" s="11">
        <f>IFERROR(IF(INDEX('Test catalog'!$G$2:$G$200,MATCH($Y393,'Test catalog'!$A$2:$A$200,0))="","",INDEX('Test catalog'!$G$2:$G$200,MATCH($Y393,'Test catalog'!$A$2:$A$200,0))),"")</f>
        <v/>
      </c>
      <c r="I393" s="11">
        <f>IFERROR(IF(INDEX('Test catalog'!$H$2:$H$200,MATCH($Y393,'Test catalog'!$A$2:$A$200,0))="","",INDEX('Test catalog'!$H$2:$H$200,MATCH($Y393,'Test catalog'!$A$2:$A$200,0))),"")</f>
        <v/>
      </c>
      <c r="J393" s="11">
        <f>IFERROR(IF(INDEX('Test catalog'!$I$2:$I$200,MATCH($Y393,'Test catalog'!$A$2:$A$200,0))="","",INDEX('Test catalog'!$I$2:$I$200,MATCH($Y393,'Test catalog'!$A$2:$A$200,0))),"")</f>
        <v/>
      </c>
      <c r="K393" s="13">
        <f>IF(I393="","",IF(OR(H393="",J393=""),I393,(H393+4*I393+J393)/6))</f>
        <v/>
      </c>
      <c r="L393" s="11">
        <f>IFERROR(IF(INDEX('Test catalog'!$J$2:$J$200,MATCH($Y393,'Test catalog'!$A$2:$A$200,0))="","",INDEX('Test catalog'!$J$2:$J$200,MATCH($Y393,'Test catalog'!$A$2:$A$200,0))),"")</f>
        <v/>
      </c>
      <c r="M393" s="11">
        <f>IFERROR(IF(INDEX('Test catalog'!$K$2:$K$200,MATCH($Y393,'Test catalog'!$A$2:$A$200,0))="","",INDEX('Test catalog'!$K$2:$K$200,MATCH($Y393,'Test catalog'!$A$2:$A$200,0))),"")</f>
        <v/>
      </c>
      <c r="N393" s="11">
        <f>IFERROR(IF(INDEX('Test catalog'!$L$2:$L$200,MATCH($Y393,'Test catalog'!$A$2:$A$200,0))="","",INDEX('Test catalog'!$L$2:$L$200,MATCH($Y393,'Test catalog'!$A$2:$A$200,0))),"")</f>
        <v/>
      </c>
      <c r="O393" s="11">
        <f>IFERROR(IF(INDEX('Test catalog'!$M$2:$M$200,MATCH($Y393,'Test catalog'!$A$2:$A$200,0))="","",INDEX('Test catalog'!$M$2:$M$200,MATCH($Y393,'Test catalog'!$A$2:$A$200,0))),"")</f>
        <v/>
      </c>
      <c r="P393" s="11">
        <f>IFERROR(IF(INDEX('Test catalog'!$N$2:$N$200,MATCH($Y393,'Test catalog'!$A$2:$A$200,0))="","",INDEX('Test catalog'!$N$2:$N$200,MATCH($Y393,'Test catalog'!$A$2:$A$200,0))),"")</f>
        <v/>
      </c>
      <c r="Q393" s="11">
        <f>IFERROR(IF(INDEX('Test catalog'!$O$2:$O$200,MATCH($Y393,'Test catalog'!$A$2:$A$200,0))="","",INDEX('Test catalog'!$O$2:$O$200,MATCH($Y393,'Test catalog'!$A$2:$A$200,0))),"")</f>
        <v/>
      </c>
      <c r="R393" s="11">
        <f>IFERROR(IF(INDEX('Test catalog'!$P$2:$P$200,MATCH($Y393,'Test catalog'!$A$2:$A$200,0))="","",INDEX('Test catalog'!$P$2:$P$200,MATCH($Y393,'Test catalog'!$A$2:$A$200,0))),"")</f>
        <v/>
      </c>
      <c r="S393" s="14" t="n"/>
      <c r="T393" s="5" t="inlineStr">
        <is>
          <t>N</t>
        </is>
      </c>
      <c r="U393" s="11">
        <f>IFERROR(IF(INDEX('Test catalog'!$Q$2:$Q$200,MATCH($Y393,'Test catalog'!$A$2:$A$200,0))="","",INDEX('Test catalog'!$Q$2:$Q$200,MATCH($Y393,'Test catalog'!$A$2:$A$200,0))),"")</f>
        <v/>
      </c>
      <c r="V393" s="5" t="n"/>
      <c r="W393" s="5" t="n"/>
      <c r="X393" s="5" t="n"/>
      <c r="Y393" s="5" t="inlineStr">
        <is>
          <t>ECOLI</t>
        </is>
      </c>
      <c r="Z393" s="11" t="inlineStr">
        <is>
          <t>USP &lt;1111&gt; oral solid: TAMC, TYMC, absence of E. coli</t>
        </is>
      </c>
    </row>
    <row r="394">
      <c r="A394" s="11" t="inlineStr">
        <is>
          <t>F58</t>
        </is>
      </c>
      <c r="B394" s="11" t="inlineStr">
        <is>
          <t>FP</t>
        </is>
      </c>
      <c r="C394" s="11" t="inlineStr">
        <is>
          <t>Immune AID Direct  |  Cyanocobalamin (Vitamin B12), Thiamine Hydrochloride (Vitamin B1) (+14 more)</t>
        </is>
      </c>
      <c r="D394" s="11" t="inlineStr">
        <is>
          <t>Microbial enumeration - TAMC + TYMC (&lt;61&gt; / &lt;2021&gt;)</t>
        </is>
      </c>
      <c r="E394" s="5" t="inlineStr">
        <is>
          <t>Y</t>
        </is>
      </c>
      <c r="F394" s="5" t="n"/>
      <c r="G394" s="11">
        <f>IFERROR(IF(INDEX('Test catalog'!$F$2:$F$200,MATCH($Y394,'Test catalog'!$A$2:$A$200,0))="","",INDEX('Test catalog'!$F$2:$F$200,MATCH($Y394,'Test catalog'!$A$2:$A$200,0))),"")</f>
        <v/>
      </c>
      <c r="H394" s="11">
        <f>IFERROR(IF(INDEX('Test catalog'!$G$2:$G$200,MATCH($Y394,'Test catalog'!$A$2:$A$200,0))="","",INDEX('Test catalog'!$G$2:$G$200,MATCH($Y394,'Test catalog'!$A$2:$A$200,0))),"")</f>
        <v/>
      </c>
      <c r="I394" s="11">
        <f>IFERROR(IF(INDEX('Test catalog'!$H$2:$H$200,MATCH($Y394,'Test catalog'!$A$2:$A$200,0))="","",INDEX('Test catalog'!$H$2:$H$200,MATCH($Y394,'Test catalog'!$A$2:$A$200,0))),"")</f>
        <v/>
      </c>
      <c r="J394" s="11">
        <f>IFERROR(IF(INDEX('Test catalog'!$I$2:$I$200,MATCH($Y394,'Test catalog'!$A$2:$A$200,0))="","",INDEX('Test catalog'!$I$2:$I$200,MATCH($Y394,'Test catalog'!$A$2:$A$200,0))),"")</f>
        <v/>
      </c>
      <c r="K394" s="13">
        <f>IF(I394="","",IF(OR(H394="",J394=""),I394,(H394+4*I394+J394)/6))</f>
        <v/>
      </c>
      <c r="L394" s="11">
        <f>IFERROR(IF(INDEX('Test catalog'!$J$2:$J$200,MATCH($Y394,'Test catalog'!$A$2:$A$200,0))="","",INDEX('Test catalog'!$J$2:$J$200,MATCH($Y394,'Test catalog'!$A$2:$A$200,0))),"")</f>
        <v/>
      </c>
      <c r="M394" s="11">
        <f>IFERROR(IF(INDEX('Test catalog'!$K$2:$K$200,MATCH($Y394,'Test catalog'!$A$2:$A$200,0))="","",INDEX('Test catalog'!$K$2:$K$200,MATCH($Y394,'Test catalog'!$A$2:$A$200,0))),"")</f>
        <v/>
      </c>
      <c r="N394" s="11">
        <f>IFERROR(IF(INDEX('Test catalog'!$L$2:$L$200,MATCH($Y394,'Test catalog'!$A$2:$A$200,0))="","",INDEX('Test catalog'!$L$2:$L$200,MATCH($Y394,'Test catalog'!$A$2:$A$200,0))),"")</f>
        <v/>
      </c>
      <c r="O394" s="11">
        <f>IFERROR(IF(INDEX('Test catalog'!$M$2:$M$200,MATCH($Y394,'Test catalog'!$A$2:$A$200,0))="","",INDEX('Test catalog'!$M$2:$M$200,MATCH($Y394,'Test catalog'!$A$2:$A$200,0))),"")</f>
        <v/>
      </c>
      <c r="P394" s="11">
        <f>IFERROR(IF(INDEX('Test catalog'!$N$2:$N$200,MATCH($Y394,'Test catalog'!$A$2:$A$200,0))="","",INDEX('Test catalog'!$N$2:$N$200,MATCH($Y394,'Test catalog'!$A$2:$A$200,0))),"")</f>
        <v/>
      </c>
      <c r="Q394" s="11">
        <f>IFERROR(IF(INDEX('Test catalog'!$O$2:$O$200,MATCH($Y394,'Test catalog'!$A$2:$A$200,0))="","",INDEX('Test catalog'!$O$2:$O$200,MATCH($Y394,'Test catalog'!$A$2:$A$200,0))),"")</f>
        <v/>
      </c>
      <c r="R394" s="11">
        <f>IFERROR(IF(INDEX('Test catalog'!$P$2:$P$200,MATCH($Y394,'Test catalog'!$A$2:$A$200,0))="","",INDEX('Test catalog'!$P$2:$P$200,MATCH($Y394,'Test catalog'!$A$2:$A$200,0))),"")</f>
        <v/>
      </c>
      <c r="S394" s="14" t="n"/>
      <c r="T394" s="5" t="inlineStr">
        <is>
          <t>Y</t>
        </is>
      </c>
      <c r="U394" s="11">
        <f>IFERROR(IF(INDEX('Test catalog'!$Q$2:$Q$200,MATCH($Y394,'Test catalog'!$A$2:$A$200,0))="","",INDEX('Test catalog'!$Q$2:$Q$200,MATCH($Y394,'Test catalog'!$A$2:$A$200,0))),"")</f>
        <v/>
      </c>
      <c r="V394" s="5" t="n"/>
      <c r="W394" s="5" t="n"/>
      <c r="X394" s="5" t="n"/>
      <c r="Y394" s="5" t="inlineStr">
        <is>
          <t>ENUM</t>
        </is>
      </c>
      <c r="Z394" s="11" t="inlineStr">
        <is>
          <t>USP &lt;1111&gt; oral solid: TAMC, TYMC, absence of E. coli</t>
        </is>
      </c>
    </row>
    <row r="395">
      <c r="A395" s="11" t="inlineStr">
        <is>
          <t>F58</t>
        </is>
      </c>
      <c r="B395" s="11" t="inlineStr">
        <is>
          <t>FP</t>
        </is>
      </c>
      <c r="C395" s="11" t="inlineStr">
        <is>
          <t>Immune AID Direct  |  Cyanocobalamin (Vitamin B12), Thiamine Hydrochloride (Vitamin B1) (+14 more)</t>
        </is>
      </c>
      <c r="D395" s="11" t="inlineStr">
        <is>
          <t>Absence of Escherichia coli (&lt;62&gt; / &lt;2022&gt;)</t>
        </is>
      </c>
      <c r="E395" s="5" t="inlineStr">
        <is>
          <t>Y</t>
        </is>
      </c>
      <c r="F395" s="5" t="n"/>
      <c r="G395" s="11">
        <f>IFERROR(IF(INDEX('Test catalog'!$F$2:$F$200,MATCH($Y395,'Test catalog'!$A$2:$A$200,0))="","",INDEX('Test catalog'!$F$2:$F$200,MATCH($Y395,'Test catalog'!$A$2:$A$200,0))),"")</f>
        <v/>
      </c>
      <c r="H395" s="11">
        <f>IFERROR(IF(INDEX('Test catalog'!$G$2:$G$200,MATCH($Y395,'Test catalog'!$A$2:$A$200,0))="","",INDEX('Test catalog'!$G$2:$G$200,MATCH($Y395,'Test catalog'!$A$2:$A$200,0))),"")</f>
        <v/>
      </c>
      <c r="I395" s="11">
        <f>IFERROR(IF(INDEX('Test catalog'!$H$2:$H$200,MATCH($Y395,'Test catalog'!$A$2:$A$200,0))="","",INDEX('Test catalog'!$H$2:$H$200,MATCH($Y395,'Test catalog'!$A$2:$A$200,0))),"")</f>
        <v/>
      </c>
      <c r="J395" s="11">
        <f>IFERROR(IF(INDEX('Test catalog'!$I$2:$I$200,MATCH($Y395,'Test catalog'!$A$2:$A$200,0))="","",INDEX('Test catalog'!$I$2:$I$200,MATCH($Y395,'Test catalog'!$A$2:$A$200,0))),"")</f>
        <v/>
      </c>
      <c r="K395" s="13">
        <f>IF(I395="","",IF(OR(H395="",J395=""),I395,(H395+4*I395+J395)/6))</f>
        <v/>
      </c>
      <c r="L395" s="11">
        <f>IFERROR(IF(INDEX('Test catalog'!$J$2:$J$200,MATCH($Y395,'Test catalog'!$A$2:$A$200,0))="","",INDEX('Test catalog'!$J$2:$J$200,MATCH($Y395,'Test catalog'!$A$2:$A$200,0))),"")</f>
        <v/>
      </c>
      <c r="M395" s="11">
        <f>IFERROR(IF(INDEX('Test catalog'!$K$2:$K$200,MATCH($Y395,'Test catalog'!$A$2:$A$200,0))="","",INDEX('Test catalog'!$K$2:$K$200,MATCH($Y395,'Test catalog'!$A$2:$A$200,0))),"")</f>
        <v/>
      </c>
      <c r="N395" s="11">
        <f>IFERROR(IF(INDEX('Test catalog'!$L$2:$L$200,MATCH($Y395,'Test catalog'!$A$2:$A$200,0))="","",INDEX('Test catalog'!$L$2:$L$200,MATCH($Y395,'Test catalog'!$A$2:$A$200,0))),"")</f>
        <v/>
      </c>
      <c r="O395" s="11">
        <f>IFERROR(IF(INDEX('Test catalog'!$M$2:$M$200,MATCH($Y395,'Test catalog'!$A$2:$A$200,0))="","",INDEX('Test catalog'!$M$2:$M$200,MATCH($Y395,'Test catalog'!$A$2:$A$200,0))),"")</f>
        <v/>
      </c>
      <c r="P395" s="11">
        <f>IFERROR(IF(INDEX('Test catalog'!$N$2:$N$200,MATCH($Y395,'Test catalog'!$A$2:$A$200,0))="","",INDEX('Test catalog'!$N$2:$N$200,MATCH($Y395,'Test catalog'!$A$2:$A$200,0))),"")</f>
        <v/>
      </c>
      <c r="Q395" s="11">
        <f>IFERROR(IF(INDEX('Test catalog'!$O$2:$O$200,MATCH($Y395,'Test catalog'!$A$2:$A$200,0))="","",INDEX('Test catalog'!$O$2:$O$200,MATCH($Y395,'Test catalog'!$A$2:$A$200,0))),"")</f>
        <v/>
      </c>
      <c r="R395" s="11">
        <f>IFERROR(IF(INDEX('Test catalog'!$P$2:$P$200,MATCH($Y395,'Test catalog'!$A$2:$A$200,0))="","",INDEX('Test catalog'!$P$2:$P$200,MATCH($Y395,'Test catalog'!$A$2:$A$200,0))),"")</f>
        <v/>
      </c>
      <c r="S395" s="14" t="n"/>
      <c r="T395" s="5" t="inlineStr">
        <is>
          <t>N</t>
        </is>
      </c>
      <c r="U395" s="11">
        <f>IFERROR(IF(INDEX('Test catalog'!$Q$2:$Q$200,MATCH($Y395,'Test catalog'!$A$2:$A$200,0))="","",INDEX('Test catalog'!$Q$2:$Q$200,MATCH($Y395,'Test catalog'!$A$2:$A$200,0))),"")</f>
        <v/>
      </c>
      <c r="V395" s="5" t="n"/>
      <c r="W395" s="5" t="n"/>
      <c r="X395" s="5" t="n"/>
      <c r="Y395" s="5" t="inlineStr">
        <is>
          <t>ECOLI</t>
        </is>
      </c>
      <c r="Z395" s="11" t="inlineStr">
        <is>
          <t>USP &lt;1111&gt; oral solid: TAMC, TYMC, absence of E. coli</t>
        </is>
      </c>
    </row>
    <row r="396">
      <c r="A396" s="11" t="inlineStr">
        <is>
          <t>F59</t>
        </is>
      </c>
      <c r="B396" s="11" t="inlineStr">
        <is>
          <t>FP</t>
        </is>
      </c>
      <c r="C396" s="11" t="inlineStr">
        <is>
          <t>X-Ade (Blister 15 pcs); X-Ade (Bottle 30 pcs)  |  Zinc Gluconate, Magnesium Oxide Heavy (+8 more)</t>
        </is>
      </c>
      <c r="D396" s="11" t="inlineStr">
        <is>
          <t>Microbial enumeration - TAMC + TYMC (&lt;61&gt; / &lt;2021&gt;)</t>
        </is>
      </c>
      <c r="E396" s="5" t="inlineStr">
        <is>
          <t>Y</t>
        </is>
      </c>
      <c r="F396" s="5" t="n"/>
      <c r="G396" s="11">
        <f>IFERROR(IF(INDEX('Test catalog'!$F$2:$F$200,MATCH($Y396,'Test catalog'!$A$2:$A$200,0))="","",INDEX('Test catalog'!$F$2:$F$200,MATCH($Y396,'Test catalog'!$A$2:$A$200,0))),"")</f>
        <v/>
      </c>
      <c r="H396" s="11">
        <f>IFERROR(IF(INDEX('Test catalog'!$G$2:$G$200,MATCH($Y396,'Test catalog'!$A$2:$A$200,0))="","",INDEX('Test catalog'!$G$2:$G$200,MATCH($Y396,'Test catalog'!$A$2:$A$200,0))),"")</f>
        <v/>
      </c>
      <c r="I396" s="11">
        <f>IFERROR(IF(INDEX('Test catalog'!$H$2:$H$200,MATCH($Y396,'Test catalog'!$A$2:$A$200,0))="","",INDEX('Test catalog'!$H$2:$H$200,MATCH($Y396,'Test catalog'!$A$2:$A$200,0))),"")</f>
        <v/>
      </c>
      <c r="J396" s="11">
        <f>IFERROR(IF(INDEX('Test catalog'!$I$2:$I$200,MATCH($Y396,'Test catalog'!$A$2:$A$200,0))="","",INDEX('Test catalog'!$I$2:$I$200,MATCH($Y396,'Test catalog'!$A$2:$A$200,0))),"")</f>
        <v/>
      </c>
      <c r="K396" s="13">
        <f>IF(I396="","",IF(OR(H396="",J396=""),I396,(H396+4*I396+J396)/6))</f>
        <v/>
      </c>
      <c r="L396" s="11">
        <f>IFERROR(IF(INDEX('Test catalog'!$J$2:$J$200,MATCH($Y396,'Test catalog'!$A$2:$A$200,0))="","",INDEX('Test catalog'!$J$2:$J$200,MATCH($Y396,'Test catalog'!$A$2:$A$200,0))),"")</f>
        <v/>
      </c>
      <c r="M396" s="11">
        <f>IFERROR(IF(INDEX('Test catalog'!$K$2:$K$200,MATCH($Y396,'Test catalog'!$A$2:$A$200,0))="","",INDEX('Test catalog'!$K$2:$K$200,MATCH($Y396,'Test catalog'!$A$2:$A$200,0))),"")</f>
        <v/>
      </c>
      <c r="N396" s="11">
        <f>IFERROR(IF(INDEX('Test catalog'!$L$2:$L$200,MATCH($Y396,'Test catalog'!$A$2:$A$200,0))="","",INDEX('Test catalog'!$L$2:$L$200,MATCH($Y396,'Test catalog'!$A$2:$A$200,0))),"")</f>
        <v/>
      </c>
      <c r="O396" s="11">
        <f>IFERROR(IF(INDEX('Test catalog'!$M$2:$M$200,MATCH($Y396,'Test catalog'!$A$2:$A$200,0))="","",INDEX('Test catalog'!$M$2:$M$200,MATCH($Y396,'Test catalog'!$A$2:$A$200,0))),"")</f>
        <v/>
      </c>
      <c r="P396" s="11">
        <f>IFERROR(IF(INDEX('Test catalog'!$N$2:$N$200,MATCH($Y396,'Test catalog'!$A$2:$A$200,0))="","",INDEX('Test catalog'!$N$2:$N$200,MATCH($Y396,'Test catalog'!$A$2:$A$200,0))),"")</f>
        <v/>
      </c>
      <c r="Q396" s="11">
        <f>IFERROR(IF(INDEX('Test catalog'!$O$2:$O$200,MATCH($Y396,'Test catalog'!$A$2:$A$200,0))="","",INDEX('Test catalog'!$O$2:$O$200,MATCH($Y396,'Test catalog'!$A$2:$A$200,0))),"")</f>
        <v/>
      </c>
      <c r="R396" s="11">
        <f>IFERROR(IF(INDEX('Test catalog'!$P$2:$P$200,MATCH($Y396,'Test catalog'!$A$2:$A$200,0))="","",INDEX('Test catalog'!$P$2:$P$200,MATCH($Y396,'Test catalog'!$A$2:$A$200,0))),"")</f>
        <v/>
      </c>
      <c r="S396" s="14" t="n"/>
      <c r="T396" s="5" t="inlineStr">
        <is>
          <t>Y</t>
        </is>
      </c>
      <c r="U396" s="11">
        <f>IFERROR(IF(INDEX('Test catalog'!$Q$2:$Q$200,MATCH($Y396,'Test catalog'!$A$2:$A$200,0))="","",INDEX('Test catalog'!$Q$2:$Q$200,MATCH($Y396,'Test catalog'!$A$2:$A$200,0))),"")</f>
        <v/>
      </c>
      <c r="V396" s="5" t="n"/>
      <c r="W396" s="5" t="n"/>
      <c r="X396" s="5" t="n"/>
      <c r="Y396" s="5" t="inlineStr">
        <is>
          <t>ENUM</t>
        </is>
      </c>
      <c r="Z396" s="11" t="inlineStr">
        <is>
          <t>USP &lt;1111&gt; oral solid: TAMC, TYMC, absence of E. coli</t>
        </is>
      </c>
    </row>
    <row r="397">
      <c r="A397" s="11" t="inlineStr">
        <is>
          <t>F59</t>
        </is>
      </c>
      <c r="B397" s="11" t="inlineStr">
        <is>
          <t>FP</t>
        </is>
      </c>
      <c r="C397" s="11" t="inlineStr">
        <is>
          <t>X-Ade (Blister 15 pcs); X-Ade (Bottle 30 pcs)  |  Zinc Gluconate, Magnesium Oxide Heavy (+8 more)</t>
        </is>
      </c>
      <c r="D397" s="11" t="inlineStr">
        <is>
          <t>Absence of Escherichia coli (&lt;62&gt; / &lt;2022&gt;)</t>
        </is>
      </c>
      <c r="E397" s="5" t="inlineStr">
        <is>
          <t>Y</t>
        </is>
      </c>
      <c r="F397" s="5" t="n"/>
      <c r="G397" s="11">
        <f>IFERROR(IF(INDEX('Test catalog'!$F$2:$F$200,MATCH($Y397,'Test catalog'!$A$2:$A$200,0))="","",INDEX('Test catalog'!$F$2:$F$200,MATCH($Y397,'Test catalog'!$A$2:$A$200,0))),"")</f>
        <v/>
      </c>
      <c r="H397" s="11">
        <f>IFERROR(IF(INDEX('Test catalog'!$G$2:$G$200,MATCH($Y397,'Test catalog'!$A$2:$A$200,0))="","",INDEX('Test catalog'!$G$2:$G$200,MATCH($Y397,'Test catalog'!$A$2:$A$200,0))),"")</f>
        <v/>
      </c>
      <c r="I397" s="11">
        <f>IFERROR(IF(INDEX('Test catalog'!$H$2:$H$200,MATCH($Y397,'Test catalog'!$A$2:$A$200,0))="","",INDEX('Test catalog'!$H$2:$H$200,MATCH($Y397,'Test catalog'!$A$2:$A$200,0))),"")</f>
        <v/>
      </c>
      <c r="J397" s="11">
        <f>IFERROR(IF(INDEX('Test catalog'!$I$2:$I$200,MATCH($Y397,'Test catalog'!$A$2:$A$200,0))="","",INDEX('Test catalog'!$I$2:$I$200,MATCH($Y397,'Test catalog'!$A$2:$A$200,0))),"")</f>
        <v/>
      </c>
      <c r="K397" s="13">
        <f>IF(I397="","",IF(OR(H397="",J397=""),I397,(H397+4*I397+J397)/6))</f>
        <v/>
      </c>
      <c r="L397" s="11">
        <f>IFERROR(IF(INDEX('Test catalog'!$J$2:$J$200,MATCH($Y397,'Test catalog'!$A$2:$A$200,0))="","",INDEX('Test catalog'!$J$2:$J$200,MATCH($Y397,'Test catalog'!$A$2:$A$200,0))),"")</f>
        <v/>
      </c>
      <c r="M397" s="11">
        <f>IFERROR(IF(INDEX('Test catalog'!$K$2:$K$200,MATCH($Y397,'Test catalog'!$A$2:$A$200,0))="","",INDEX('Test catalog'!$K$2:$K$200,MATCH($Y397,'Test catalog'!$A$2:$A$200,0))),"")</f>
        <v/>
      </c>
      <c r="N397" s="11">
        <f>IFERROR(IF(INDEX('Test catalog'!$L$2:$L$200,MATCH($Y397,'Test catalog'!$A$2:$A$200,0))="","",INDEX('Test catalog'!$L$2:$L$200,MATCH($Y397,'Test catalog'!$A$2:$A$200,0))),"")</f>
        <v/>
      </c>
      <c r="O397" s="11">
        <f>IFERROR(IF(INDEX('Test catalog'!$M$2:$M$200,MATCH($Y397,'Test catalog'!$A$2:$A$200,0))="","",INDEX('Test catalog'!$M$2:$M$200,MATCH($Y397,'Test catalog'!$A$2:$A$200,0))),"")</f>
        <v/>
      </c>
      <c r="P397" s="11">
        <f>IFERROR(IF(INDEX('Test catalog'!$N$2:$N$200,MATCH($Y397,'Test catalog'!$A$2:$A$200,0))="","",INDEX('Test catalog'!$N$2:$N$200,MATCH($Y397,'Test catalog'!$A$2:$A$200,0))),"")</f>
        <v/>
      </c>
      <c r="Q397" s="11">
        <f>IFERROR(IF(INDEX('Test catalog'!$O$2:$O$200,MATCH($Y397,'Test catalog'!$A$2:$A$200,0))="","",INDEX('Test catalog'!$O$2:$O$200,MATCH($Y397,'Test catalog'!$A$2:$A$200,0))),"")</f>
        <v/>
      </c>
      <c r="R397" s="11">
        <f>IFERROR(IF(INDEX('Test catalog'!$P$2:$P$200,MATCH($Y397,'Test catalog'!$A$2:$A$200,0))="","",INDEX('Test catalog'!$P$2:$P$200,MATCH($Y397,'Test catalog'!$A$2:$A$200,0))),"")</f>
        <v/>
      </c>
      <c r="S397" s="14" t="n"/>
      <c r="T397" s="5" t="inlineStr">
        <is>
          <t>N</t>
        </is>
      </c>
      <c r="U397" s="11">
        <f>IFERROR(IF(INDEX('Test catalog'!$Q$2:$Q$200,MATCH($Y397,'Test catalog'!$A$2:$A$200,0))="","",INDEX('Test catalog'!$Q$2:$Q$200,MATCH($Y397,'Test catalog'!$A$2:$A$200,0))),"")</f>
        <v/>
      </c>
      <c r="V397" s="5" t="n"/>
      <c r="W397" s="5" t="n"/>
      <c r="X397" s="5" t="n"/>
      <c r="Y397" s="5" t="inlineStr">
        <is>
          <t>ECOLI</t>
        </is>
      </c>
      <c r="Z397" s="11" t="inlineStr">
        <is>
          <t>USP &lt;1111&gt; oral solid: TAMC, TYMC, absence of E. coli</t>
        </is>
      </c>
    </row>
    <row r="398">
      <c r="A398" s="11" t="inlineStr">
        <is>
          <t>F60</t>
        </is>
      </c>
      <c r="B398" s="11" t="inlineStr">
        <is>
          <t>FP</t>
        </is>
      </c>
      <c r="C398" s="11" t="inlineStr">
        <is>
          <t>Energe-X  |  actives TBD: Energe-X</t>
        </is>
      </c>
      <c r="D398" s="11" t="inlineStr">
        <is>
          <t>Microbial enumeration - TAMC + TYMC (&lt;61&gt; / &lt;2021&gt;)</t>
        </is>
      </c>
      <c r="E398" s="5" t="inlineStr">
        <is>
          <t>Y</t>
        </is>
      </c>
      <c r="F398" s="5" t="n"/>
      <c r="G398" s="11">
        <f>IFERROR(IF(INDEX('Test catalog'!$F$2:$F$200,MATCH($Y398,'Test catalog'!$A$2:$A$200,0))="","",INDEX('Test catalog'!$F$2:$F$200,MATCH($Y398,'Test catalog'!$A$2:$A$200,0))),"")</f>
        <v/>
      </c>
      <c r="H398" s="11">
        <f>IFERROR(IF(INDEX('Test catalog'!$G$2:$G$200,MATCH($Y398,'Test catalog'!$A$2:$A$200,0))="","",INDEX('Test catalog'!$G$2:$G$200,MATCH($Y398,'Test catalog'!$A$2:$A$200,0))),"")</f>
        <v/>
      </c>
      <c r="I398" s="11">
        <f>IFERROR(IF(INDEX('Test catalog'!$H$2:$H$200,MATCH($Y398,'Test catalog'!$A$2:$A$200,0))="","",INDEX('Test catalog'!$H$2:$H$200,MATCH($Y398,'Test catalog'!$A$2:$A$200,0))),"")</f>
        <v/>
      </c>
      <c r="J398" s="11">
        <f>IFERROR(IF(INDEX('Test catalog'!$I$2:$I$200,MATCH($Y398,'Test catalog'!$A$2:$A$200,0))="","",INDEX('Test catalog'!$I$2:$I$200,MATCH($Y398,'Test catalog'!$A$2:$A$200,0))),"")</f>
        <v/>
      </c>
      <c r="K398" s="13">
        <f>IF(I398="","",IF(OR(H398="",J398=""),I398,(H398+4*I398+J398)/6))</f>
        <v/>
      </c>
      <c r="L398" s="11">
        <f>IFERROR(IF(INDEX('Test catalog'!$J$2:$J$200,MATCH($Y398,'Test catalog'!$A$2:$A$200,0))="","",INDEX('Test catalog'!$J$2:$J$200,MATCH($Y398,'Test catalog'!$A$2:$A$200,0))),"")</f>
        <v/>
      </c>
      <c r="M398" s="11">
        <f>IFERROR(IF(INDEX('Test catalog'!$K$2:$K$200,MATCH($Y398,'Test catalog'!$A$2:$A$200,0))="","",INDEX('Test catalog'!$K$2:$K$200,MATCH($Y398,'Test catalog'!$A$2:$A$200,0))),"")</f>
        <v/>
      </c>
      <c r="N398" s="11">
        <f>IFERROR(IF(INDEX('Test catalog'!$L$2:$L$200,MATCH($Y398,'Test catalog'!$A$2:$A$200,0))="","",INDEX('Test catalog'!$L$2:$L$200,MATCH($Y398,'Test catalog'!$A$2:$A$200,0))),"")</f>
        <v/>
      </c>
      <c r="O398" s="11">
        <f>IFERROR(IF(INDEX('Test catalog'!$M$2:$M$200,MATCH($Y398,'Test catalog'!$A$2:$A$200,0))="","",INDEX('Test catalog'!$M$2:$M$200,MATCH($Y398,'Test catalog'!$A$2:$A$200,0))),"")</f>
        <v/>
      </c>
      <c r="P398" s="11">
        <f>IFERROR(IF(INDEX('Test catalog'!$N$2:$N$200,MATCH($Y398,'Test catalog'!$A$2:$A$200,0))="","",INDEX('Test catalog'!$N$2:$N$200,MATCH($Y398,'Test catalog'!$A$2:$A$200,0))),"")</f>
        <v/>
      </c>
      <c r="Q398" s="11">
        <f>IFERROR(IF(INDEX('Test catalog'!$O$2:$O$200,MATCH($Y398,'Test catalog'!$A$2:$A$200,0))="","",INDEX('Test catalog'!$O$2:$O$200,MATCH($Y398,'Test catalog'!$A$2:$A$200,0))),"")</f>
        <v/>
      </c>
      <c r="R398" s="11">
        <f>IFERROR(IF(INDEX('Test catalog'!$P$2:$P$200,MATCH($Y398,'Test catalog'!$A$2:$A$200,0))="","",INDEX('Test catalog'!$P$2:$P$200,MATCH($Y398,'Test catalog'!$A$2:$A$200,0))),"")</f>
        <v/>
      </c>
      <c r="S398" s="14" t="n"/>
      <c r="T398" s="5" t="inlineStr">
        <is>
          <t>Y</t>
        </is>
      </c>
      <c r="U398" s="11">
        <f>IFERROR(IF(INDEX('Test catalog'!$Q$2:$Q$200,MATCH($Y398,'Test catalog'!$A$2:$A$200,0))="","",INDEX('Test catalog'!$Q$2:$Q$200,MATCH($Y398,'Test catalog'!$A$2:$A$200,0))),"")</f>
        <v/>
      </c>
      <c r="V398" s="5" t="n"/>
      <c r="W398" s="5" t="n"/>
      <c r="X398" s="5" t="n"/>
      <c r="Y398" s="5" t="inlineStr">
        <is>
          <t>ENUM</t>
        </is>
      </c>
      <c r="Z398" s="11" t="inlineStr">
        <is>
          <t>USP &lt;1111&gt; oral solid: TAMC, TYMC, absence of E. coli</t>
        </is>
      </c>
    </row>
    <row r="399">
      <c r="A399" s="11" t="inlineStr">
        <is>
          <t>F60</t>
        </is>
      </c>
      <c r="B399" s="11" t="inlineStr">
        <is>
          <t>FP</t>
        </is>
      </c>
      <c r="C399" s="11" t="inlineStr">
        <is>
          <t>Energe-X  |  actives TBD: Energe-X</t>
        </is>
      </c>
      <c r="D399" s="11" t="inlineStr">
        <is>
          <t>Absence of Escherichia coli (&lt;62&gt; / &lt;2022&gt;)</t>
        </is>
      </c>
      <c r="E399" s="5" t="inlineStr">
        <is>
          <t>Y</t>
        </is>
      </c>
      <c r="F399" s="5" t="n"/>
      <c r="G399" s="11">
        <f>IFERROR(IF(INDEX('Test catalog'!$F$2:$F$200,MATCH($Y399,'Test catalog'!$A$2:$A$200,0))="","",INDEX('Test catalog'!$F$2:$F$200,MATCH($Y399,'Test catalog'!$A$2:$A$200,0))),"")</f>
        <v/>
      </c>
      <c r="H399" s="11">
        <f>IFERROR(IF(INDEX('Test catalog'!$G$2:$G$200,MATCH($Y399,'Test catalog'!$A$2:$A$200,0))="","",INDEX('Test catalog'!$G$2:$G$200,MATCH($Y399,'Test catalog'!$A$2:$A$200,0))),"")</f>
        <v/>
      </c>
      <c r="I399" s="11">
        <f>IFERROR(IF(INDEX('Test catalog'!$H$2:$H$200,MATCH($Y399,'Test catalog'!$A$2:$A$200,0))="","",INDEX('Test catalog'!$H$2:$H$200,MATCH($Y399,'Test catalog'!$A$2:$A$200,0))),"")</f>
        <v/>
      </c>
      <c r="J399" s="11">
        <f>IFERROR(IF(INDEX('Test catalog'!$I$2:$I$200,MATCH($Y399,'Test catalog'!$A$2:$A$200,0))="","",INDEX('Test catalog'!$I$2:$I$200,MATCH($Y399,'Test catalog'!$A$2:$A$200,0))),"")</f>
        <v/>
      </c>
      <c r="K399" s="13">
        <f>IF(I399="","",IF(OR(H399="",J399=""),I399,(H399+4*I399+J399)/6))</f>
        <v/>
      </c>
      <c r="L399" s="11">
        <f>IFERROR(IF(INDEX('Test catalog'!$J$2:$J$200,MATCH($Y399,'Test catalog'!$A$2:$A$200,0))="","",INDEX('Test catalog'!$J$2:$J$200,MATCH($Y399,'Test catalog'!$A$2:$A$200,0))),"")</f>
        <v/>
      </c>
      <c r="M399" s="11">
        <f>IFERROR(IF(INDEX('Test catalog'!$K$2:$K$200,MATCH($Y399,'Test catalog'!$A$2:$A$200,0))="","",INDEX('Test catalog'!$K$2:$K$200,MATCH($Y399,'Test catalog'!$A$2:$A$200,0))),"")</f>
        <v/>
      </c>
      <c r="N399" s="11">
        <f>IFERROR(IF(INDEX('Test catalog'!$L$2:$L$200,MATCH($Y399,'Test catalog'!$A$2:$A$200,0))="","",INDEX('Test catalog'!$L$2:$L$200,MATCH($Y399,'Test catalog'!$A$2:$A$200,0))),"")</f>
        <v/>
      </c>
      <c r="O399" s="11">
        <f>IFERROR(IF(INDEX('Test catalog'!$M$2:$M$200,MATCH($Y399,'Test catalog'!$A$2:$A$200,0))="","",INDEX('Test catalog'!$M$2:$M$200,MATCH($Y399,'Test catalog'!$A$2:$A$200,0))),"")</f>
        <v/>
      </c>
      <c r="P399" s="11">
        <f>IFERROR(IF(INDEX('Test catalog'!$N$2:$N$200,MATCH($Y399,'Test catalog'!$A$2:$A$200,0))="","",INDEX('Test catalog'!$N$2:$N$200,MATCH($Y399,'Test catalog'!$A$2:$A$200,0))),"")</f>
        <v/>
      </c>
      <c r="Q399" s="11">
        <f>IFERROR(IF(INDEX('Test catalog'!$O$2:$O$200,MATCH($Y399,'Test catalog'!$A$2:$A$200,0))="","",INDEX('Test catalog'!$O$2:$O$200,MATCH($Y399,'Test catalog'!$A$2:$A$200,0))),"")</f>
        <v/>
      </c>
      <c r="R399" s="11">
        <f>IFERROR(IF(INDEX('Test catalog'!$P$2:$P$200,MATCH($Y399,'Test catalog'!$A$2:$A$200,0))="","",INDEX('Test catalog'!$P$2:$P$200,MATCH($Y399,'Test catalog'!$A$2:$A$200,0))),"")</f>
        <v/>
      </c>
      <c r="S399" s="14" t="n"/>
      <c r="T399" s="5" t="inlineStr">
        <is>
          <t>N</t>
        </is>
      </c>
      <c r="U399" s="11">
        <f>IFERROR(IF(INDEX('Test catalog'!$Q$2:$Q$200,MATCH($Y399,'Test catalog'!$A$2:$A$200,0))="","",INDEX('Test catalog'!$Q$2:$Q$200,MATCH($Y399,'Test catalog'!$A$2:$A$200,0))),"")</f>
        <v/>
      </c>
      <c r="V399" s="5" t="n"/>
      <c r="W399" s="5" t="n"/>
      <c r="X399" s="5" t="n"/>
      <c r="Y399" s="5" t="inlineStr">
        <is>
          <t>ECOLI</t>
        </is>
      </c>
      <c r="Z399" s="11" t="inlineStr">
        <is>
          <t>USP &lt;1111&gt; oral solid: TAMC, TYMC, absence of E. coli</t>
        </is>
      </c>
    </row>
    <row r="400">
      <c r="A400" s="11" t="inlineStr">
        <is>
          <t>F61</t>
        </is>
      </c>
      <c r="B400" s="11" t="inlineStr">
        <is>
          <t>FP</t>
        </is>
      </c>
      <c r="C400" s="11" t="inlineStr">
        <is>
          <t>Dermo bella Permium 30 Cap  |  Premix Dermo Bella, L-Cystine (+1 more)</t>
        </is>
      </c>
      <c r="D400" s="11" t="inlineStr">
        <is>
          <t>Microbial enumeration - TAMC + TYMC (&lt;61&gt; / &lt;2021&gt;)</t>
        </is>
      </c>
      <c r="E400" s="5" t="inlineStr">
        <is>
          <t>Y</t>
        </is>
      </c>
      <c r="F400" s="5" t="n"/>
      <c r="G400" s="11">
        <f>IFERROR(IF(INDEX('Test catalog'!$F$2:$F$200,MATCH($Y400,'Test catalog'!$A$2:$A$200,0))="","",INDEX('Test catalog'!$F$2:$F$200,MATCH($Y400,'Test catalog'!$A$2:$A$200,0))),"")</f>
        <v/>
      </c>
      <c r="H400" s="11">
        <f>IFERROR(IF(INDEX('Test catalog'!$G$2:$G$200,MATCH($Y400,'Test catalog'!$A$2:$A$200,0))="","",INDEX('Test catalog'!$G$2:$G$200,MATCH($Y400,'Test catalog'!$A$2:$A$200,0))),"")</f>
        <v/>
      </c>
      <c r="I400" s="11">
        <f>IFERROR(IF(INDEX('Test catalog'!$H$2:$H$200,MATCH($Y400,'Test catalog'!$A$2:$A$200,0))="","",INDEX('Test catalog'!$H$2:$H$200,MATCH($Y400,'Test catalog'!$A$2:$A$200,0))),"")</f>
        <v/>
      </c>
      <c r="J400" s="11">
        <f>IFERROR(IF(INDEX('Test catalog'!$I$2:$I$200,MATCH($Y400,'Test catalog'!$A$2:$A$200,0))="","",INDEX('Test catalog'!$I$2:$I$200,MATCH($Y400,'Test catalog'!$A$2:$A$200,0))),"")</f>
        <v/>
      </c>
      <c r="K400" s="13">
        <f>IF(I400="","",IF(OR(H400="",J400=""),I400,(H400+4*I400+J400)/6))</f>
        <v/>
      </c>
      <c r="L400" s="11">
        <f>IFERROR(IF(INDEX('Test catalog'!$J$2:$J$200,MATCH($Y400,'Test catalog'!$A$2:$A$200,0))="","",INDEX('Test catalog'!$J$2:$J$200,MATCH($Y400,'Test catalog'!$A$2:$A$200,0))),"")</f>
        <v/>
      </c>
      <c r="M400" s="11">
        <f>IFERROR(IF(INDEX('Test catalog'!$K$2:$K$200,MATCH($Y400,'Test catalog'!$A$2:$A$200,0))="","",INDEX('Test catalog'!$K$2:$K$200,MATCH($Y400,'Test catalog'!$A$2:$A$200,0))),"")</f>
        <v/>
      </c>
      <c r="N400" s="11">
        <f>IFERROR(IF(INDEX('Test catalog'!$L$2:$L$200,MATCH($Y400,'Test catalog'!$A$2:$A$200,0))="","",INDEX('Test catalog'!$L$2:$L$200,MATCH($Y400,'Test catalog'!$A$2:$A$200,0))),"")</f>
        <v/>
      </c>
      <c r="O400" s="11">
        <f>IFERROR(IF(INDEX('Test catalog'!$M$2:$M$200,MATCH($Y400,'Test catalog'!$A$2:$A$200,0))="","",INDEX('Test catalog'!$M$2:$M$200,MATCH($Y400,'Test catalog'!$A$2:$A$200,0))),"")</f>
        <v/>
      </c>
      <c r="P400" s="11">
        <f>IFERROR(IF(INDEX('Test catalog'!$N$2:$N$200,MATCH($Y400,'Test catalog'!$A$2:$A$200,0))="","",INDEX('Test catalog'!$N$2:$N$200,MATCH($Y400,'Test catalog'!$A$2:$A$200,0))),"")</f>
        <v/>
      </c>
      <c r="Q400" s="11">
        <f>IFERROR(IF(INDEX('Test catalog'!$O$2:$O$200,MATCH($Y400,'Test catalog'!$A$2:$A$200,0))="","",INDEX('Test catalog'!$O$2:$O$200,MATCH($Y400,'Test catalog'!$A$2:$A$200,0))),"")</f>
        <v/>
      </c>
      <c r="R400" s="11">
        <f>IFERROR(IF(INDEX('Test catalog'!$P$2:$P$200,MATCH($Y400,'Test catalog'!$A$2:$A$200,0))="","",INDEX('Test catalog'!$P$2:$P$200,MATCH($Y400,'Test catalog'!$A$2:$A$200,0))),"")</f>
        <v/>
      </c>
      <c r="S400" s="14" t="n"/>
      <c r="T400" s="5" t="inlineStr">
        <is>
          <t>Y</t>
        </is>
      </c>
      <c r="U400" s="11">
        <f>IFERROR(IF(INDEX('Test catalog'!$Q$2:$Q$200,MATCH($Y400,'Test catalog'!$A$2:$A$200,0))="","",INDEX('Test catalog'!$Q$2:$Q$200,MATCH($Y400,'Test catalog'!$A$2:$A$200,0))),"")</f>
        <v/>
      </c>
      <c r="V400" s="5" t="n"/>
      <c r="W400" s="5" t="n"/>
      <c r="X400" s="5" t="n"/>
      <c r="Y400" s="5" t="inlineStr">
        <is>
          <t>ENUM</t>
        </is>
      </c>
      <c r="Z400" s="11" t="inlineStr">
        <is>
          <t>USP &lt;1111&gt; oral solid: TAMC, TYMC, absence of E. coli; &lt;2023&gt; botanical: absence of Salmonella</t>
        </is>
      </c>
    </row>
    <row r="401">
      <c r="A401" s="11" t="inlineStr">
        <is>
          <t>F61</t>
        </is>
      </c>
      <c r="B401" s="11" t="inlineStr">
        <is>
          <t>FP</t>
        </is>
      </c>
      <c r="C401" s="11" t="inlineStr">
        <is>
          <t>Dermo bella Permium 30 Cap  |  Premix Dermo Bella, L-Cystine (+1 more)</t>
        </is>
      </c>
      <c r="D401" s="11" t="inlineStr">
        <is>
          <t>Absence of Escherichia coli (&lt;62&gt; / &lt;2022&gt;)</t>
        </is>
      </c>
      <c r="E401" s="5" t="inlineStr">
        <is>
          <t>Y</t>
        </is>
      </c>
      <c r="F401" s="5" t="n"/>
      <c r="G401" s="11">
        <f>IFERROR(IF(INDEX('Test catalog'!$F$2:$F$200,MATCH($Y401,'Test catalog'!$A$2:$A$200,0))="","",INDEX('Test catalog'!$F$2:$F$200,MATCH($Y401,'Test catalog'!$A$2:$A$200,0))),"")</f>
        <v/>
      </c>
      <c r="H401" s="11">
        <f>IFERROR(IF(INDEX('Test catalog'!$G$2:$G$200,MATCH($Y401,'Test catalog'!$A$2:$A$200,0))="","",INDEX('Test catalog'!$G$2:$G$200,MATCH($Y401,'Test catalog'!$A$2:$A$200,0))),"")</f>
        <v/>
      </c>
      <c r="I401" s="11">
        <f>IFERROR(IF(INDEX('Test catalog'!$H$2:$H$200,MATCH($Y401,'Test catalog'!$A$2:$A$200,0))="","",INDEX('Test catalog'!$H$2:$H$200,MATCH($Y401,'Test catalog'!$A$2:$A$200,0))),"")</f>
        <v/>
      </c>
      <c r="J401" s="11">
        <f>IFERROR(IF(INDEX('Test catalog'!$I$2:$I$200,MATCH($Y401,'Test catalog'!$A$2:$A$200,0))="","",INDEX('Test catalog'!$I$2:$I$200,MATCH($Y401,'Test catalog'!$A$2:$A$200,0))),"")</f>
        <v/>
      </c>
      <c r="K401" s="13">
        <f>IF(I401="","",IF(OR(H401="",J401=""),I401,(H401+4*I401+J401)/6))</f>
        <v/>
      </c>
      <c r="L401" s="11">
        <f>IFERROR(IF(INDEX('Test catalog'!$J$2:$J$200,MATCH($Y401,'Test catalog'!$A$2:$A$200,0))="","",INDEX('Test catalog'!$J$2:$J$200,MATCH($Y401,'Test catalog'!$A$2:$A$200,0))),"")</f>
        <v/>
      </c>
      <c r="M401" s="11">
        <f>IFERROR(IF(INDEX('Test catalog'!$K$2:$K$200,MATCH($Y401,'Test catalog'!$A$2:$A$200,0))="","",INDEX('Test catalog'!$K$2:$K$200,MATCH($Y401,'Test catalog'!$A$2:$A$200,0))),"")</f>
        <v/>
      </c>
      <c r="N401" s="11">
        <f>IFERROR(IF(INDEX('Test catalog'!$L$2:$L$200,MATCH($Y401,'Test catalog'!$A$2:$A$200,0))="","",INDEX('Test catalog'!$L$2:$L$200,MATCH($Y401,'Test catalog'!$A$2:$A$200,0))),"")</f>
        <v/>
      </c>
      <c r="O401" s="11">
        <f>IFERROR(IF(INDEX('Test catalog'!$M$2:$M$200,MATCH($Y401,'Test catalog'!$A$2:$A$200,0))="","",INDEX('Test catalog'!$M$2:$M$200,MATCH($Y401,'Test catalog'!$A$2:$A$200,0))),"")</f>
        <v/>
      </c>
      <c r="P401" s="11">
        <f>IFERROR(IF(INDEX('Test catalog'!$N$2:$N$200,MATCH($Y401,'Test catalog'!$A$2:$A$200,0))="","",INDEX('Test catalog'!$N$2:$N$200,MATCH($Y401,'Test catalog'!$A$2:$A$200,0))),"")</f>
        <v/>
      </c>
      <c r="Q401" s="11">
        <f>IFERROR(IF(INDEX('Test catalog'!$O$2:$O$200,MATCH($Y401,'Test catalog'!$A$2:$A$200,0))="","",INDEX('Test catalog'!$O$2:$O$200,MATCH($Y401,'Test catalog'!$A$2:$A$200,0))),"")</f>
        <v/>
      </c>
      <c r="R401" s="11">
        <f>IFERROR(IF(INDEX('Test catalog'!$P$2:$P$200,MATCH($Y401,'Test catalog'!$A$2:$A$200,0))="","",INDEX('Test catalog'!$P$2:$P$200,MATCH($Y401,'Test catalog'!$A$2:$A$200,0))),"")</f>
        <v/>
      </c>
      <c r="S401" s="14" t="n"/>
      <c r="T401" s="5" t="inlineStr">
        <is>
          <t>N</t>
        </is>
      </c>
      <c r="U401" s="11">
        <f>IFERROR(IF(INDEX('Test catalog'!$Q$2:$Q$200,MATCH($Y401,'Test catalog'!$A$2:$A$200,0))="","",INDEX('Test catalog'!$Q$2:$Q$200,MATCH($Y401,'Test catalog'!$A$2:$A$200,0))),"")</f>
        <v/>
      </c>
      <c r="V401" s="5" t="n"/>
      <c r="W401" s="5" t="n"/>
      <c r="X401" s="5" t="n"/>
      <c r="Y401" s="5" t="inlineStr">
        <is>
          <t>ECOLI</t>
        </is>
      </c>
      <c r="Z401" s="11" t="inlineStr">
        <is>
          <t>USP &lt;1111&gt; oral solid: TAMC, TYMC, absence of E. coli; &lt;2023&gt; botanical: absence of Salmonella</t>
        </is>
      </c>
    </row>
    <row r="402">
      <c r="A402" s="11" t="inlineStr">
        <is>
          <t>F61</t>
        </is>
      </c>
      <c r="B402" s="11" t="inlineStr">
        <is>
          <t>FP</t>
        </is>
      </c>
      <c r="C402" s="11" t="inlineStr">
        <is>
          <t>Dermo bella Permium 30 Cap  |  Premix Dermo Bella, L-Cystine (+1 more)</t>
        </is>
      </c>
      <c r="D402" s="11" t="inlineStr">
        <is>
          <t>Absence of Salmonella (&lt;62&gt; / &lt;2022&gt;)</t>
        </is>
      </c>
      <c r="E402" s="5" t="inlineStr">
        <is>
          <t>Y</t>
        </is>
      </c>
      <c r="F402" s="5" t="n"/>
      <c r="G402" s="11">
        <f>IFERROR(IF(INDEX('Test catalog'!$F$2:$F$200,MATCH($Y402,'Test catalog'!$A$2:$A$200,0))="","",INDEX('Test catalog'!$F$2:$F$200,MATCH($Y402,'Test catalog'!$A$2:$A$200,0))),"")</f>
        <v/>
      </c>
      <c r="H402" s="11">
        <f>IFERROR(IF(INDEX('Test catalog'!$G$2:$G$200,MATCH($Y402,'Test catalog'!$A$2:$A$200,0))="","",INDEX('Test catalog'!$G$2:$G$200,MATCH($Y402,'Test catalog'!$A$2:$A$200,0))),"")</f>
        <v/>
      </c>
      <c r="I402" s="11">
        <f>IFERROR(IF(INDEX('Test catalog'!$H$2:$H$200,MATCH($Y402,'Test catalog'!$A$2:$A$200,0))="","",INDEX('Test catalog'!$H$2:$H$200,MATCH($Y402,'Test catalog'!$A$2:$A$200,0))),"")</f>
        <v/>
      </c>
      <c r="J402" s="11">
        <f>IFERROR(IF(INDEX('Test catalog'!$I$2:$I$200,MATCH($Y402,'Test catalog'!$A$2:$A$200,0))="","",INDEX('Test catalog'!$I$2:$I$200,MATCH($Y402,'Test catalog'!$A$2:$A$200,0))),"")</f>
        <v/>
      </c>
      <c r="K402" s="13">
        <f>IF(I402="","",IF(OR(H402="",J402=""),I402,(H402+4*I402+J402)/6))</f>
        <v/>
      </c>
      <c r="L402" s="11">
        <f>IFERROR(IF(INDEX('Test catalog'!$J$2:$J$200,MATCH($Y402,'Test catalog'!$A$2:$A$200,0))="","",INDEX('Test catalog'!$J$2:$J$200,MATCH($Y402,'Test catalog'!$A$2:$A$200,0))),"")</f>
        <v/>
      </c>
      <c r="M402" s="11">
        <f>IFERROR(IF(INDEX('Test catalog'!$K$2:$K$200,MATCH($Y402,'Test catalog'!$A$2:$A$200,0))="","",INDEX('Test catalog'!$K$2:$K$200,MATCH($Y402,'Test catalog'!$A$2:$A$200,0))),"")</f>
        <v/>
      </c>
      <c r="N402" s="11">
        <f>IFERROR(IF(INDEX('Test catalog'!$L$2:$L$200,MATCH($Y402,'Test catalog'!$A$2:$A$200,0))="","",INDEX('Test catalog'!$L$2:$L$200,MATCH($Y402,'Test catalog'!$A$2:$A$200,0))),"")</f>
        <v/>
      </c>
      <c r="O402" s="11">
        <f>IFERROR(IF(INDEX('Test catalog'!$M$2:$M$200,MATCH($Y402,'Test catalog'!$A$2:$A$200,0))="","",INDEX('Test catalog'!$M$2:$M$200,MATCH($Y402,'Test catalog'!$A$2:$A$200,0))),"")</f>
        <v/>
      </c>
      <c r="P402" s="11">
        <f>IFERROR(IF(INDEX('Test catalog'!$N$2:$N$200,MATCH($Y402,'Test catalog'!$A$2:$A$200,0))="","",INDEX('Test catalog'!$N$2:$N$200,MATCH($Y402,'Test catalog'!$A$2:$A$200,0))),"")</f>
        <v/>
      </c>
      <c r="Q402" s="11">
        <f>IFERROR(IF(INDEX('Test catalog'!$O$2:$O$200,MATCH($Y402,'Test catalog'!$A$2:$A$200,0))="","",INDEX('Test catalog'!$O$2:$O$200,MATCH($Y402,'Test catalog'!$A$2:$A$200,0))),"")</f>
        <v/>
      </c>
      <c r="R402" s="11">
        <f>IFERROR(IF(INDEX('Test catalog'!$P$2:$P$200,MATCH($Y402,'Test catalog'!$A$2:$A$200,0))="","",INDEX('Test catalog'!$P$2:$P$200,MATCH($Y402,'Test catalog'!$A$2:$A$200,0))),"")</f>
        <v/>
      </c>
      <c r="S402" s="14" t="n"/>
      <c r="T402" s="5" t="inlineStr">
        <is>
          <t>N</t>
        </is>
      </c>
      <c r="U402" s="11">
        <f>IFERROR(IF(INDEX('Test catalog'!$Q$2:$Q$200,MATCH($Y402,'Test catalog'!$A$2:$A$200,0))="","",INDEX('Test catalog'!$Q$2:$Q$200,MATCH($Y402,'Test catalog'!$A$2:$A$200,0))),"")</f>
        <v/>
      </c>
      <c r="V402" s="5" t="n"/>
      <c r="W402" s="5" t="n"/>
      <c r="X402" s="5" t="n"/>
      <c r="Y402" s="5" t="inlineStr">
        <is>
          <t>SALM</t>
        </is>
      </c>
      <c r="Z402" s="11" t="inlineStr">
        <is>
          <t>USP &lt;1111&gt; oral solid: TAMC, TYMC, absence of E. coli; &lt;2023&gt; botanical: absence of Salmonella</t>
        </is>
      </c>
    </row>
    <row r="403">
      <c r="A403" s="11" t="inlineStr">
        <is>
          <t>F62</t>
        </is>
      </c>
      <c r="B403" s="11" t="inlineStr">
        <is>
          <t>FP</t>
        </is>
      </c>
      <c r="C403" s="11" t="inlineStr">
        <is>
          <t>Zylicut 180  |  actives TBD: Zylicut 180</t>
        </is>
      </c>
      <c r="D403" s="11" t="inlineStr">
        <is>
          <t>Microbial enumeration - TAMC + TYMC (&lt;61&gt; / &lt;2021&gt;)</t>
        </is>
      </c>
      <c r="E403" s="5" t="inlineStr">
        <is>
          <t>Y</t>
        </is>
      </c>
      <c r="F403" s="5" t="n"/>
      <c r="G403" s="11">
        <f>IFERROR(IF(INDEX('Test catalog'!$F$2:$F$200,MATCH($Y403,'Test catalog'!$A$2:$A$200,0))="","",INDEX('Test catalog'!$F$2:$F$200,MATCH($Y403,'Test catalog'!$A$2:$A$200,0))),"")</f>
        <v/>
      </c>
      <c r="H403" s="11">
        <f>IFERROR(IF(INDEX('Test catalog'!$G$2:$G$200,MATCH($Y403,'Test catalog'!$A$2:$A$200,0))="","",INDEX('Test catalog'!$G$2:$G$200,MATCH($Y403,'Test catalog'!$A$2:$A$200,0))),"")</f>
        <v/>
      </c>
      <c r="I403" s="11">
        <f>IFERROR(IF(INDEX('Test catalog'!$H$2:$H$200,MATCH($Y403,'Test catalog'!$A$2:$A$200,0))="","",INDEX('Test catalog'!$H$2:$H$200,MATCH($Y403,'Test catalog'!$A$2:$A$200,0))),"")</f>
        <v/>
      </c>
      <c r="J403" s="11">
        <f>IFERROR(IF(INDEX('Test catalog'!$I$2:$I$200,MATCH($Y403,'Test catalog'!$A$2:$A$200,0))="","",INDEX('Test catalog'!$I$2:$I$200,MATCH($Y403,'Test catalog'!$A$2:$A$200,0))),"")</f>
        <v/>
      </c>
      <c r="K403" s="13">
        <f>IF(I403="","",IF(OR(H403="",J403=""),I403,(H403+4*I403+J403)/6))</f>
        <v/>
      </c>
      <c r="L403" s="11">
        <f>IFERROR(IF(INDEX('Test catalog'!$J$2:$J$200,MATCH($Y403,'Test catalog'!$A$2:$A$200,0))="","",INDEX('Test catalog'!$J$2:$J$200,MATCH($Y403,'Test catalog'!$A$2:$A$200,0))),"")</f>
        <v/>
      </c>
      <c r="M403" s="11">
        <f>IFERROR(IF(INDEX('Test catalog'!$K$2:$K$200,MATCH($Y403,'Test catalog'!$A$2:$A$200,0))="","",INDEX('Test catalog'!$K$2:$K$200,MATCH($Y403,'Test catalog'!$A$2:$A$200,0))),"")</f>
        <v/>
      </c>
      <c r="N403" s="11">
        <f>IFERROR(IF(INDEX('Test catalog'!$L$2:$L$200,MATCH($Y403,'Test catalog'!$A$2:$A$200,0))="","",INDEX('Test catalog'!$L$2:$L$200,MATCH($Y403,'Test catalog'!$A$2:$A$200,0))),"")</f>
        <v/>
      </c>
      <c r="O403" s="11">
        <f>IFERROR(IF(INDEX('Test catalog'!$M$2:$M$200,MATCH($Y403,'Test catalog'!$A$2:$A$200,0))="","",INDEX('Test catalog'!$M$2:$M$200,MATCH($Y403,'Test catalog'!$A$2:$A$200,0))),"")</f>
        <v/>
      </c>
      <c r="P403" s="11">
        <f>IFERROR(IF(INDEX('Test catalog'!$N$2:$N$200,MATCH($Y403,'Test catalog'!$A$2:$A$200,0))="","",INDEX('Test catalog'!$N$2:$N$200,MATCH($Y403,'Test catalog'!$A$2:$A$200,0))),"")</f>
        <v/>
      </c>
      <c r="Q403" s="11">
        <f>IFERROR(IF(INDEX('Test catalog'!$O$2:$O$200,MATCH($Y403,'Test catalog'!$A$2:$A$200,0))="","",INDEX('Test catalog'!$O$2:$O$200,MATCH($Y403,'Test catalog'!$A$2:$A$200,0))),"")</f>
        <v/>
      </c>
      <c r="R403" s="11">
        <f>IFERROR(IF(INDEX('Test catalog'!$P$2:$P$200,MATCH($Y403,'Test catalog'!$A$2:$A$200,0))="","",INDEX('Test catalog'!$P$2:$P$200,MATCH($Y403,'Test catalog'!$A$2:$A$200,0))),"")</f>
        <v/>
      </c>
      <c r="S403" s="14" t="n"/>
      <c r="T403" s="5" t="inlineStr">
        <is>
          <t>Y</t>
        </is>
      </c>
      <c r="U403" s="11">
        <f>IFERROR(IF(INDEX('Test catalog'!$Q$2:$Q$200,MATCH($Y403,'Test catalog'!$A$2:$A$200,0))="","",INDEX('Test catalog'!$Q$2:$Q$200,MATCH($Y403,'Test catalog'!$A$2:$A$200,0))),"")</f>
        <v/>
      </c>
      <c r="V403" s="5" t="n"/>
      <c r="W403" s="5" t="n"/>
      <c r="X403" s="5" t="n"/>
      <c r="Y403" s="5" t="inlineStr">
        <is>
          <t>ENUM</t>
        </is>
      </c>
      <c r="Z403" s="11" t="inlineStr">
        <is>
          <t>USP &lt;1111&gt; oral solid: TAMC, TYMC, absence of E. coli</t>
        </is>
      </c>
    </row>
    <row r="404">
      <c r="A404" s="11" t="inlineStr">
        <is>
          <t>F62</t>
        </is>
      </c>
      <c r="B404" s="11" t="inlineStr">
        <is>
          <t>FP</t>
        </is>
      </c>
      <c r="C404" s="11" t="inlineStr">
        <is>
          <t>Zylicut 180  |  actives TBD: Zylicut 180</t>
        </is>
      </c>
      <c r="D404" s="11" t="inlineStr">
        <is>
          <t>Absence of Escherichia coli (&lt;62&gt; / &lt;2022&gt;)</t>
        </is>
      </c>
      <c r="E404" s="5" t="inlineStr">
        <is>
          <t>Y</t>
        </is>
      </c>
      <c r="F404" s="5" t="n"/>
      <c r="G404" s="11">
        <f>IFERROR(IF(INDEX('Test catalog'!$F$2:$F$200,MATCH($Y404,'Test catalog'!$A$2:$A$200,0))="","",INDEX('Test catalog'!$F$2:$F$200,MATCH($Y404,'Test catalog'!$A$2:$A$200,0))),"")</f>
        <v/>
      </c>
      <c r="H404" s="11">
        <f>IFERROR(IF(INDEX('Test catalog'!$G$2:$G$200,MATCH($Y404,'Test catalog'!$A$2:$A$200,0))="","",INDEX('Test catalog'!$G$2:$G$200,MATCH($Y404,'Test catalog'!$A$2:$A$200,0))),"")</f>
        <v/>
      </c>
      <c r="I404" s="11">
        <f>IFERROR(IF(INDEX('Test catalog'!$H$2:$H$200,MATCH($Y404,'Test catalog'!$A$2:$A$200,0))="","",INDEX('Test catalog'!$H$2:$H$200,MATCH($Y404,'Test catalog'!$A$2:$A$200,0))),"")</f>
        <v/>
      </c>
      <c r="J404" s="11">
        <f>IFERROR(IF(INDEX('Test catalog'!$I$2:$I$200,MATCH($Y404,'Test catalog'!$A$2:$A$200,0))="","",INDEX('Test catalog'!$I$2:$I$200,MATCH($Y404,'Test catalog'!$A$2:$A$200,0))),"")</f>
        <v/>
      </c>
      <c r="K404" s="13">
        <f>IF(I404="","",IF(OR(H404="",J404=""),I404,(H404+4*I404+J404)/6))</f>
        <v/>
      </c>
      <c r="L404" s="11">
        <f>IFERROR(IF(INDEX('Test catalog'!$J$2:$J$200,MATCH($Y404,'Test catalog'!$A$2:$A$200,0))="","",INDEX('Test catalog'!$J$2:$J$200,MATCH($Y404,'Test catalog'!$A$2:$A$200,0))),"")</f>
        <v/>
      </c>
      <c r="M404" s="11">
        <f>IFERROR(IF(INDEX('Test catalog'!$K$2:$K$200,MATCH($Y404,'Test catalog'!$A$2:$A$200,0))="","",INDEX('Test catalog'!$K$2:$K$200,MATCH($Y404,'Test catalog'!$A$2:$A$200,0))),"")</f>
        <v/>
      </c>
      <c r="N404" s="11">
        <f>IFERROR(IF(INDEX('Test catalog'!$L$2:$L$200,MATCH($Y404,'Test catalog'!$A$2:$A$200,0))="","",INDEX('Test catalog'!$L$2:$L$200,MATCH($Y404,'Test catalog'!$A$2:$A$200,0))),"")</f>
        <v/>
      </c>
      <c r="O404" s="11">
        <f>IFERROR(IF(INDEX('Test catalog'!$M$2:$M$200,MATCH($Y404,'Test catalog'!$A$2:$A$200,0))="","",INDEX('Test catalog'!$M$2:$M$200,MATCH($Y404,'Test catalog'!$A$2:$A$200,0))),"")</f>
        <v/>
      </c>
      <c r="P404" s="11">
        <f>IFERROR(IF(INDEX('Test catalog'!$N$2:$N$200,MATCH($Y404,'Test catalog'!$A$2:$A$200,0))="","",INDEX('Test catalog'!$N$2:$N$200,MATCH($Y404,'Test catalog'!$A$2:$A$200,0))),"")</f>
        <v/>
      </c>
      <c r="Q404" s="11">
        <f>IFERROR(IF(INDEX('Test catalog'!$O$2:$O$200,MATCH($Y404,'Test catalog'!$A$2:$A$200,0))="","",INDEX('Test catalog'!$O$2:$O$200,MATCH($Y404,'Test catalog'!$A$2:$A$200,0))),"")</f>
        <v/>
      </c>
      <c r="R404" s="11">
        <f>IFERROR(IF(INDEX('Test catalog'!$P$2:$P$200,MATCH($Y404,'Test catalog'!$A$2:$A$200,0))="","",INDEX('Test catalog'!$P$2:$P$200,MATCH($Y404,'Test catalog'!$A$2:$A$200,0))),"")</f>
        <v/>
      </c>
      <c r="S404" s="14" t="n"/>
      <c r="T404" s="5" t="inlineStr">
        <is>
          <t>N</t>
        </is>
      </c>
      <c r="U404" s="11">
        <f>IFERROR(IF(INDEX('Test catalog'!$Q$2:$Q$200,MATCH($Y404,'Test catalog'!$A$2:$A$200,0))="","",INDEX('Test catalog'!$Q$2:$Q$200,MATCH($Y404,'Test catalog'!$A$2:$A$200,0))),"")</f>
        <v/>
      </c>
      <c r="V404" s="5" t="n"/>
      <c r="W404" s="5" t="n"/>
      <c r="X404" s="5" t="n"/>
      <c r="Y404" s="5" t="inlineStr">
        <is>
          <t>ECOLI</t>
        </is>
      </c>
      <c r="Z404" s="11" t="inlineStr">
        <is>
          <t>USP &lt;1111&gt; oral solid: TAMC, TYMC, absence of E. coli</t>
        </is>
      </c>
    </row>
    <row r="405">
      <c r="A405" s="11" t="inlineStr">
        <is>
          <t>F63</t>
        </is>
      </c>
      <c r="B405" s="11" t="inlineStr">
        <is>
          <t>FP</t>
        </is>
      </c>
      <c r="C405" s="11" t="inlineStr">
        <is>
          <t>Zylicut-Duo 180/10  |  actives TBD: Zylicut-Duo 180/10</t>
        </is>
      </c>
      <c r="D405" s="11" t="inlineStr">
        <is>
          <t>Microbial enumeration - TAMC + TYMC (&lt;61&gt; / &lt;2021&gt;)</t>
        </is>
      </c>
      <c r="E405" s="5" t="inlineStr">
        <is>
          <t>Y</t>
        </is>
      </c>
      <c r="F405" s="5" t="n"/>
      <c r="G405" s="11">
        <f>IFERROR(IF(INDEX('Test catalog'!$F$2:$F$200,MATCH($Y405,'Test catalog'!$A$2:$A$200,0))="","",INDEX('Test catalog'!$F$2:$F$200,MATCH($Y405,'Test catalog'!$A$2:$A$200,0))),"")</f>
        <v/>
      </c>
      <c r="H405" s="11">
        <f>IFERROR(IF(INDEX('Test catalog'!$G$2:$G$200,MATCH($Y405,'Test catalog'!$A$2:$A$200,0))="","",INDEX('Test catalog'!$G$2:$G$200,MATCH($Y405,'Test catalog'!$A$2:$A$200,0))),"")</f>
        <v/>
      </c>
      <c r="I405" s="11">
        <f>IFERROR(IF(INDEX('Test catalog'!$H$2:$H$200,MATCH($Y405,'Test catalog'!$A$2:$A$200,0))="","",INDEX('Test catalog'!$H$2:$H$200,MATCH($Y405,'Test catalog'!$A$2:$A$200,0))),"")</f>
        <v/>
      </c>
      <c r="J405" s="11">
        <f>IFERROR(IF(INDEX('Test catalog'!$I$2:$I$200,MATCH($Y405,'Test catalog'!$A$2:$A$200,0))="","",INDEX('Test catalog'!$I$2:$I$200,MATCH($Y405,'Test catalog'!$A$2:$A$200,0))),"")</f>
        <v/>
      </c>
      <c r="K405" s="13">
        <f>IF(I405="","",IF(OR(H405="",J405=""),I405,(H405+4*I405+J405)/6))</f>
        <v/>
      </c>
      <c r="L405" s="11">
        <f>IFERROR(IF(INDEX('Test catalog'!$J$2:$J$200,MATCH($Y405,'Test catalog'!$A$2:$A$200,0))="","",INDEX('Test catalog'!$J$2:$J$200,MATCH($Y405,'Test catalog'!$A$2:$A$200,0))),"")</f>
        <v/>
      </c>
      <c r="M405" s="11">
        <f>IFERROR(IF(INDEX('Test catalog'!$K$2:$K$200,MATCH($Y405,'Test catalog'!$A$2:$A$200,0))="","",INDEX('Test catalog'!$K$2:$K$200,MATCH($Y405,'Test catalog'!$A$2:$A$200,0))),"")</f>
        <v/>
      </c>
      <c r="N405" s="11">
        <f>IFERROR(IF(INDEX('Test catalog'!$L$2:$L$200,MATCH($Y405,'Test catalog'!$A$2:$A$200,0))="","",INDEX('Test catalog'!$L$2:$L$200,MATCH($Y405,'Test catalog'!$A$2:$A$200,0))),"")</f>
        <v/>
      </c>
      <c r="O405" s="11">
        <f>IFERROR(IF(INDEX('Test catalog'!$M$2:$M$200,MATCH($Y405,'Test catalog'!$A$2:$A$200,0))="","",INDEX('Test catalog'!$M$2:$M$200,MATCH($Y405,'Test catalog'!$A$2:$A$200,0))),"")</f>
        <v/>
      </c>
      <c r="P405" s="11">
        <f>IFERROR(IF(INDEX('Test catalog'!$N$2:$N$200,MATCH($Y405,'Test catalog'!$A$2:$A$200,0))="","",INDEX('Test catalog'!$N$2:$N$200,MATCH($Y405,'Test catalog'!$A$2:$A$200,0))),"")</f>
        <v/>
      </c>
      <c r="Q405" s="11">
        <f>IFERROR(IF(INDEX('Test catalog'!$O$2:$O$200,MATCH($Y405,'Test catalog'!$A$2:$A$200,0))="","",INDEX('Test catalog'!$O$2:$O$200,MATCH($Y405,'Test catalog'!$A$2:$A$200,0))),"")</f>
        <v/>
      </c>
      <c r="R405" s="11">
        <f>IFERROR(IF(INDEX('Test catalog'!$P$2:$P$200,MATCH($Y405,'Test catalog'!$A$2:$A$200,0))="","",INDEX('Test catalog'!$P$2:$P$200,MATCH($Y405,'Test catalog'!$A$2:$A$200,0))),"")</f>
        <v/>
      </c>
      <c r="S405" s="14" t="n"/>
      <c r="T405" s="5" t="inlineStr">
        <is>
          <t>Y</t>
        </is>
      </c>
      <c r="U405" s="11">
        <f>IFERROR(IF(INDEX('Test catalog'!$Q$2:$Q$200,MATCH($Y405,'Test catalog'!$A$2:$A$200,0))="","",INDEX('Test catalog'!$Q$2:$Q$200,MATCH($Y405,'Test catalog'!$A$2:$A$200,0))),"")</f>
        <v/>
      </c>
      <c r="V405" s="5" t="n"/>
      <c r="W405" s="5" t="n"/>
      <c r="X405" s="5" t="n"/>
      <c r="Y405" s="5" t="inlineStr">
        <is>
          <t>ENUM</t>
        </is>
      </c>
      <c r="Z405" s="11" t="inlineStr">
        <is>
          <t>USP &lt;1111&gt; oral solid: TAMC, TYMC, absence of E. coli</t>
        </is>
      </c>
    </row>
    <row r="406">
      <c r="A406" s="11" t="inlineStr">
        <is>
          <t>F63</t>
        </is>
      </c>
      <c r="B406" s="11" t="inlineStr">
        <is>
          <t>FP</t>
        </is>
      </c>
      <c r="C406" s="11" t="inlineStr">
        <is>
          <t>Zylicut-Duo 180/10  |  actives TBD: Zylicut-Duo 180/10</t>
        </is>
      </c>
      <c r="D406" s="11" t="inlineStr">
        <is>
          <t>Absence of Escherichia coli (&lt;62&gt; / &lt;2022&gt;)</t>
        </is>
      </c>
      <c r="E406" s="5" t="inlineStr">
        <is>
          <t>Y</t>
        </is>
      </c>
      <c r="F406" s="5" t="n"/>
      <c r="G406" s="11">
        <f>IFERROR(IF(INDEX('Test catalog'!$F$2:$F$200,MATCH($Y406,'Test catalog'!$A$2:$A$200,0))="","",INDEX('Test catalog'!$F$2:$F$200,MATCH($Y406,'Test catalog'!$A$2:$A$200,0))),"")</f>
        <v/>
      </c>
      <c r="H406" s="11">
        <f>IFERROR(IF(INDEX('Test catalog'!$G$2:$G$200,MATCH($Y406,'Test catalog'!$A$2:$A$200,0))="","",INDEX('Test catalog'!$G$2:$G$200,MATCH($Y406,'Test catalog'!$A$2:$A$200,0))),"")</f>
        <v/>
      </c>
      <c r="I406" s="11">
        <f>IFERROR(IF(INDEX('Test catalog'!$H$2:$H$200,MATCH($Y406,'Test catalog'!$A$2:$A$200,0))="","",INDEX('Test catalog'!$H$2:$H$200,MATCH($Y406,'Test catalog'!$A$2:$A$200,0))),"")</f>
        <v/>
      </c>
      <c r="J406" s="11">
        <f>IFERROR(IF(INDEX('Test catalog'!$I$2:$I$200,MATCH($Y406,'Test catalog'!$A$2:$A$200,0))="","",INDEX('Test catalog'!$I$2:$I$200,MATCH($Y406,'Test catalog'!$A$2:$A$200,0))),"")</f>
        <v/>
      </c>
      <c r="K406" s="13">
        <f>IF(I406="","",IF(OR(H406="",J406=""),I406,(H406+4*I406+J406)/6))</f>
        <v/>
      </c>
      <c r="L406" s="11">
        <f>IFERROR(IF(INDEX('Test catalog'!$J$2:$J$200,MATCH($Y406,'Test catalog'!$A$2:$A$200,0))="","",INDEX('Test catalog'!$J$2:$J$200,MATCH($Y406,'Test catalog'!$A$2:$A$200,0))),"")</f>
        <v/>
      </c>
      <c r="M406" s="11">
        <f>IFERROR(IF(INDEX('Test catalog'!$K$2:$K$200,MATCH($Y406,'Test catalog'!$A$2:$A$200,0))="","",INDEX('Test catalog'!$K$2:$K$200,MATCH($Y406,'Test catalog'!$A$2:$A$200,0))),"")</f>
        <v/>
      </c>
      <c r="N406" s="11">
        <f>IFERROR(IF(INDEX('Test catalog'!$L$2:$L$200,MATCH($Y406,'Test catalog'!$A$2:$A$200,0))="","",INDEX('Test catalog'!$L$2:$L$200,MATCH($Y406,'Test catalog'!$A$2:$A$200,0))),"")</f>
        <v/>
      </c>
      <c r="O406" s="11">
        <f>IFERROR(IF(INDEX('Test catalog'!$M$2:$M$200,MATCH($Y406,'Test catalog'!$A$2:$A$200,0))="","",INDEX('Test catalog'!$M$2:$M$200,MATCH($Y406,'Test catalog'!$A$2:$A$200,0))),"")</f>
        <v/>
      </c>
      <c r="P406" s="11">
        <f>IFERROR(IF(INDEX('Test catalog'!$N$2:$N$200,MATCH($Y406,'Test catalog'!$A$2:$A$200,0))="","",INDEX('Test catalog'!$N$2:$N$200,MATCH($Y406,'Test catalog'!$A$2:$A$200,0))),"")</f>
        <v/>
      </c>
      <c r="Q406" s="11">
        <f>IFERROR(IF(INDEX('Test catalog'!$O$2:$O$200,MATCH($Y406,'Test catalog'!$A$2:$A$200,0))="","",INDEX('Test catalog'!$O$2:$O$200,MATCH($Y406,'Test catalog'!$A$2:$A$200,0))),"")</f>
        <v/>
      </c>
      <c r="R406" s="11">
        <f>IFERROR(IF(INDEX('Test catalog'!$P$2:$P$200,MATCH($Y406,'Test catalog'!$A$2:$A$200,0))="","",INDEX('Test catalog'!$P$2:$P$200,MATCH($Y406,'Test catalog'!$A$2:$A$200,0))),"")</f>
        <v/>
      </c>
      <c r="S406" s="14" t="n"/>
      <c r="T406" s="5" t="inlineStr">
        <is>
          <t>N</t>
        </is>
      </c>
      <c r="U406" s="11">
        <f>IFERROR(IF(INDEX('Test catalog'!$Q$2:$Q$200,MATCH($Y406,'Test catalog'!$A$2:$A$200,0))="","",INDEX('Test catalog'!$Q$2:$Q$200,MATCH($Y406,'Test catalog'!$A$2:$A$200,0))),"")</f>
        <v/>
      </c>
      <c r="V406" s="5" t="n"/>
      <c r="W406" s="5" t="n"/>
      <c r="X406" s="5" t="n"/>
      <c r="Y406" s="5" t="inlineStr">
        <is>
          <t>ECOLI</t>
        </is>
      </c>
      <c r="Z406" s="11" t="inlineStr">
        <is>
          <t>USP &lt;1111&gt; oral solid: TAMC, TYMC, absence of E. coli</t>
        </is>
      </c>
    </row>
    <row r="407">
      <c r="A407" s="11" t="inlineStr">
        <is>
          <t>F64</t>
        </is>
      </c>
      <c r="B407" s="11" t="inlineStr">
        <is>
          <t>FP</t>
        </is>
      </c>
      <c r="C407" s="11" t="inlineStr">
        <is>
          <t>Hair and Skin  |  Biotin (Vitamin B7), Folic Acid (Vitamin B9) (+7 more)</t>
        </is>
      </c>
      <c r="D407" s="11" t="inlineStr">
        <is>
          <t>Microbial enumeration - TAMC + TYMC (&lt;61&gt; / &lt;2021&gt;)</t>
        </is>
      </c>
      <c r="E407" s="5" t="inlineStr">
        <is>
          <t>Y</t>
        </is>
      </c>
      <c r="F407" s="5" t="n"/>
      <c r="G407" s="11">
        <f>IFERROR(IF(INDEX('Test catalog'!$F$2:$F$200,MATCH($Y407,'Test catalog'!$A$2:$A$200,0))="","",INDEX('Test catalog'!$F$2:$F$200,MATCH($Y407,'Test catalog'!$A$2:$A$200,0))),"")</f>
        <v/>
      </c>
      <c r="H407" s="11">
        <f>IFERROR(IF(INDEX('Test catalog'!$G$2:$G$200,MATCH($Y407,'Test catalog'!$A$2:$A$200,0))="","",INDEX('Test catalog'!$G$2:$G$200,MATCH($Y407,'Test catalog'!$A$2:$A$200,0))),"")</f>
        <v/>
      </c>
      <c r="I407" s="11">
        <f>IFERROR(IF(INDEX('Test catalog'!$H$2:$H$200,MATCH($Y407,'Test catalog'!$A$2:$A$200,0))="","",INDEX('Test catalog'!$H$2:$H$200,MATCH($Y407,'Test catalog'!$A$2:$A$200,0))),"")</f>
        <v/>
      </c>
      <c r="J407" s="11">
        <f>IFERROR(IF(INDEX('Test catalog'!$I$2:$I$200,MATCH($Y407,'Test catalog'!$A$2:$A$200,0))="","",INDEX('Test catalog'!$I$2:$I$200,MATCH($Y407,'Test catalog'!$A$2:$A$200,0))),"")</f>
        <v/>
      </c>
      <c r="K407" s="13">
        <f>IF(I407="","",IF(OR(H407="",J407=""),I407,(H407+4*I407+J407)/6))</f>
        <v/>
      </c>
      <c r="L407" s="11">
        <f>IFERROR(IF(INDEX('Test catalog'!$J$2:$J$200,MATCH($Y407,'Test catalog'!$A$2:$A$200,0))="","",INDEX('Test catalog'!$J$2:$J$200,MATCH($Y407,'Test catalog'!$A$2:$A$200,0))),"")</f>
        <v/>
      </c>
      <c r="M407" s="11">
        <f>IFERROR(IF(INDEX('Test catalog'!$K$2:$K$200,MATCH($Y407,'Test catalog'!$A$2:$A$200,0))="","",INDEX('Test catalog'!$K$2:$K$200,MATCH($Y407,'Test catalog'!$A$2:$A$200,0))),"")</f>
        <v/>
      </c>
      <c r="N407" s="11">
        <f>IFERROR(IF(INDEX('Test catalog'!$L$2:$L$200,MATCH($Y407,'Test catalog'!$A$2:$A$200,0))="","",INDEX('Test catalog'!$L$2:$L$200,MATCH($Y407,'Test catalog'!$A$2:$A$200,0))),"")</f>
        <v/>
      </c>
      <c r="O407" s="11">
        <f>IFERROR(IF(INDEX('Test catalog'!$M$2:$M$200,MATCH($Y407,'Test catalog'!$A$2:$A$200,0))="","",INDEX('Test catalog'!$M$2:$M$200,MATCH($Y407,'Test catalog'!$A$2:$A$200,0))),"")</f>
        <v/>
      </c>
      <c r="P407" s="11">
        <f>IFERROR(IF(INDEX('Test catalog'!$N$2:$N$200,MATCH($Y407,'Test catalog'!$A$2:$A$200,0))="","",INDEX('Test catalog'!$N$2:$N$200,MATCH($Y407,'Test catalog'!$A$2:$A$200,0))),"")</f>
        <v/>
      </c>
      <c r="Q407" s="11">
        <f>IFERROR(IF(INDEX('Test catalog'!$O$2:$O$200,MATCH($Y407,'Test catalog'!$A$2:$A$200,0))="","",INDEX('Test catalog'!$O$2:$O$200,MATCH($Y407,'Test catalog'!$A$2:$A$200,0))),"")</f>
        <v/>
      </c>
      <c r="R407" s="11">
        <f>IFERROR(IF(INDEX('Test catalog'!$P$2:$P$200,MATCH($Y407,'Test catalog'!$A$2:$A$200,0))="","",INDEX('Test catalog'!$P$2:$P$200,MATCH($Y407,'Test catalog'!$A$2:$A$200,0))),"")</f>
        <v/>
      </c>
      <c r="S407" s="14" t="n"/>
      <c r="T407" s="5" t="inlineStr">
        <is>
          <t>Y</t>
        </is>
      </c>
      <c r="U407" s="11">
        <f>IFERROR(IF(INDEX('Test catalog'!$Q$2:$Q$200,MATCH($Y407,'Test catalog'!$A$2:$A$200,0))="","",INDEX('Test catalog'!$Q$2:$Q$200,MATCH($Y407,'Test catalog'!$A$2:$A$200,0))),"")</f>
        <v/>
      </c>
      <c r="V407" s="5" t="n"/>
      <c r="W407" s="5" t="n"/>
      <c r="X407" s="5" t="n"/>
      <c r="Y407" s="5" t="inlineStr">
        <is>
          <t>ENUM</t>
        </is>
      </c>
      <c r="Z407" s="11" t="inlineStr">
        <is>
          <t>USP &lt;1111&gt; oral solid: TAMC, TYMC, absence of E. coli</t>
        </is>
      </c>
    </row>
    <row r="408">
      <c r="A408" s="11" t="inlineStr">
        <is>
          <t>F64</t>
        </is>
      </c>
      <c r="B408" s="11" t="inlineStr">
        <is>
          <t>FP</t>
        </is>
      </c>
      <c r="C408" s="11" t="inlineStr">
        <is>
          <t>Hair and Skin  |  Biotin (Vitamin B7), Folic Acid (Vitamin B9) (+7 more)</t>
        </is>
      </c>
      <c r="D408" s="11" t="inlineStr">
        <is>
          <t>Absence of Escherichia coli (&lt;62&gt; / &lt;2022&gt;)</t>
        </is>
      </c>
      <c r="E408" s="5" t="inlineStr">
        <is>
          <t>Y</t>
        </is>
      </c>
      <c r="F408" s="5" t="n"/>
      <c r="G408" s="11">
        <f>IFERROR(IF(INDEX('Test catalog'!$F$2:$F$200,MATCH($Y408,'Test catalog'!$A$2:$A$200,0))="","",INDEX('Test catalog'!$F$2:$F$200,MATCH($Y408,'Test catalog'!$A$2:$A$200,0))),"")</f>
        <v/>
      </c>
      <c r="H408" s="11">
        <f>IFERROR(IF(INDEX('Test catalog'!$G$2:$G$200,MATCH($Y408,'Test catalog'!$A$2:$A$200,0))="","",INDEX('Test catalog'!$G$2:$G$200,MATCH($Y408,'Test catalog'!$A$2:$A$200,0))),"")</f>
        <v/>
      </c>
      <c r="I408" s="11">
        <f>IFERROR(IF(INDEX('Test catalog'!$H$2:$H$200,MATCH($Y408,'Test catalog'!$A$2:$A$200,0))="","",INDEX('Test catalog'!$H$2:$H$200,MATCH($Y408,'Test catalog'!$A$2:$A$200,0))),"")</f>
        <v/>
      </c>
      <c r="J408" s="11">
        <f>IFERROR(IF(INDEX('Test catalog'!$I$2:$I$200,MATCH($Y408,'Test catalog'!$A$2:$A$200,0))="","",INDEX('Test catalog'!$I$2:$I$200,MATCH($Y408,'Test catalog'!$A$2:$A$200,0))),"")</f>
        <v/>
      </c>
      <c r="K408" s="13">
        <f>IF(I408="","",IF(OR(H408="",J408=""),I408,(H408+4*I408+J408)/6))</f>
        <v/>
      </c>
      <c r="L408" s="11">
        <f>IFERROR(IF(INDEX('Test catalog'!$J$2:$J$200,MATCH($Y408,'Test catalog'!$A$2:$A$200,0))="","",INDEX('Test catalog'!$J$2:$J$200,MATCH($Y408,'Test catalog'!$A$2:$A$200,0))),"")</f>
        <v/>
      </c>
      <c r="M408" s="11">
        <f>IFERROR(IF(INDEX('Test catalog'!$K$2:$K$200,MATCH($Y408,'Test catalog'!$A$2:$A$200,0))="","",INDEX('Test catalog'!$K$2:$K$200,MATCH($Y408,'Test catalog'!$A$2:$A$200,0))),"")</f>
        <v/>
      </c>
      <c r="N408" s="11">
        <f>IFERROR(IF(INDEX('Test catalog'!$L$2:$L$200,MATCH($Y408,'Test catalog'!$A$2:$A$200,0))="","",INDEX('Test catalog'!$L$2:$L$200,MATCH($Y408,'Test catalog'!$A$2:$A$200,0))),"")</f>
        <v/>
      </c>
      <c r="O408" s="11">
        <f>IFERROR(IF(INDEX('Test catalog'!$M$2:$M$200,MATCH($Y408,'Test catalog'!$A$2:$A$200,0))="","",INDEX('Test catalog'!$M$2:$M$200,MATCH($Y408,'Test catalog'!$A$2:$A$200,0))),"")</f>
        <v/>
      </c>
      <c r="P408" s="11">
        <f>IFERROR(IF(INDEX('Test catalog'!$N$2:$N$200,MATCH($Y408,'Test catalog'!$A$2:$A$200,0))="","",INDEX('Test catalog'!$N$2:$N$200,MATCH($Y408,'Test catalog'!$A$2:$A$200,0))),"")</f>
        <v/>
      </c>
      <c r="Q408" s="11">
        <f>IFERROR(IF(INDEX('Test catalog'!$O$2:$O$200,MATCH($Y408,'Test catalog'!$A$2:$A$200,0))="","",INDEX('Test catalog'!$O$2:$O$200,MATCH($Y408,'Test catalog'!$A$2:$A$200,0))),"")</f>
        <v/>
      </c>
      <c r="R408" s="11">
        <f>IFERROR(IF(INDEX('Test catalog'!$P$2:$P$200,MATCH($Y408,'Test catalog'!$A$2:$A$200,0))="","",INDEX('Test catalog'!$P$2:$P$200,MATCH($Y408,'Test catalog'!$A$2:$A$200,0))),"")</f>
        <v/>
      </c>
      <c r="S408" s="14" t="n"/>
      <c r="T408" s="5" t="inlineStr">
        <is>
          <t>N</t>
        </is>
      </c>
      <c r="U408" s="11">
        <f>IFERROR(IF(INDEX('Test catalog'!$Q$2:$Q$200,MATCH($Y408,'Test catalog'!$A$2:$A$200,0))="","",INDEX('Test catalog'!$Q$2:$Q$200,MATCH($Y408,'Test catalog'!$A$2:$A$200,0))),"")</f>
        <v/>
      </c>
      <c r="V408" s="5" t="n"/>
      <c r="W408" s="5" t="n"/>
      <c r="X408" s="5" t="n"/>
      <c r="Y408" s="5" t="inlineStr">
        <is>
          <t>ECOLI</t>
        </is>
      </c>
      <c r="Z408" s="11" t="inlineStr">
        <is>
          <t>USP &lt;1111&gt; oral solid: TAMC, TYMC, absence of E. coli</t>
        </is>
      </c>
    </row>
  </sheetData>
  <autoFilter ref="A1:Z408"/>
  <conditionalFormatting sqref="A2:Z608">
    <cfRule type="expression" priority="1" dxfId="0" stopIfTrue="0">
      <formula>OR($E2="N",$U2="Y")</formula>
    </cfRule>
  </conditionalFormatting>
  <dataValidations count="4">
    <dataValidation sqref="E2:E608" showDropDown="0" showInputMessage="0" showErrorMessage="0" allowBlank="1" type="list">
      <formula1>"Y,N"</formula1>
    </dataValidation>
    <dataValidation sqref="T2:T608" showDropDown="0" showInputMessage="0" showErrorMessage="0" allowBlank="1" type="list">
      <formula1>"Y,N"</formula1>
    </dataValidation>
    <dataValidation sqref="U2:U608" showDropDown="0" showInputMessage="0" showErrorMessage="0" allowBlank="1" type="list">
      <formula1>"Y,N"</formula1>
    </dataValidation>
    <dataValidation sqref="W2:W60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1" customWidth="1" min="4" max="4"/>
    <col width="9" customWidth="1" min="5" max="5"/>
    <col width="10" customWidth="1" min="6" max="6"/>
    <col width="10" customWidth="1" min="7" max="7"/>
    <col width="10" customWidth="1" min="8" max="8"/>
    <col width="12" customWidth="1" min="9" max="9"/>
    <col width="9" customWidth="1" min="10" max="10"/>
    <col width="11" customWidth="1" min="11" max="11"/>
    <col width="18" customWidth="1" min="12" max="12"/>
    <col width="30" customWidth="1" min="13" max="13"/>
  </cols>
  <sheetData>
    <row r="1" ht="45" customHeight="1">
      <c r="A1" s="12" t="inlineStr">
        <is>
          <t>Programme</t>
        </is>
      </c>
      <c r="B1" s="12" t="inlineStr">
        <is>
          <t>Area / system / point group</t>
        </is>
      </c>
      <c r="C1" s="12" t="inlineStr">
        <is>
          <t>Grade / class</t>
        </is>
      </c>
      <c r="D1" s="12" t="inlineStr">
        <is>
          <t>Catalog code</t>
        </is>
      </c>
      <c r="E1" s="12" t="inlineStr">
        <is>
          <t>Points (number)</t>
        </is>
      </c>
      <c r="F1" s="12" t="inlineStr">
        <is>
          <t>Samples per point per week</t>
        </is>
      </c>
      <c r="G1" s="12" t="inlineStr">
        <is>
          <t>Weeks per year (blank = 50)</t>
        </is>
      </c>
      <c r="H1" s="12" t="inlineStr">
        <is>
          <t>Samples / yr (auto)</t>
        </is>
      </c>
      <c r="I1" s="12" t="inlineStr">
        <is>
          <t>Sampling round analyst h (walk + sampling)</t>
        </is>
      </c>
      <c r="J1" s="12" t="inlineStr">
        <is>
          <t>Rounds per week</t>
        </is>
      </c>
      <c r="K1" s="12" t="inlineStr">
        <is>
          <t>Weekend / holiday sampling (Y/N)</t>
        </is>
      </c>
      <c r="L1" s="12" t="inlineStr">
        <is>
          <t>Who samples (QC micro / production / engineering)</t>
        </is>
      </c>
      <c r="M1" s="12" t="inlineStr">
        <is>
          <t>Notes</t>
        </is>
      </c>
    </row>
    <row r="2">
      <c r="A2" s="11" t="inlineStr">
        <is>
          <t>Water</t>
        </is>
      </c>
      <c r="B2" s="11" t="inlineStr">
        <is>
          <t>Purified water - generation / storage tank</t>
        </is>
      </c>
      <c r="C2" s="5" t="n"/>
      <c r="D2" s="11" t="inlineStr">
        <is>
          <t>WATER</t>
        </is>
      </c>
      <c r="E2" s="5" t="n"/>
      <c r="F2" s="5" t="n"/>
      <c r="G2" s="5" t="n"/>
      <c r="H2" s="11">
        <f>IF(OR(E2="",F2=""),"",E2*F2*IF(G2="",50,G2))</f>
        <v/>
      </c>
      <c r="I2" s="5" t="n"/>
      <c r="J2" s="5" t="n"/>
      <c r="K2" s="5" t="n"/>
      <c r="L2" s="5" t="n"/>
      <c r="M2" s="5" t="n"/>
    </row>
    <row r="3">
      <c r="A3" s="11" t="inlineStr">
        <is>
          <t>Water</t>
        </is>
      </c>
      <c r="B3" s="11" t="inlineStr">
        <is>
          <t>Purified water - distribution loop, points of use</t>
        </is>
      </c>
      <c r="C3" s="5" t="n"/>
      <c r="D3" s="11" t="inlineStr">
        <is>
          <t>WATER</t>
        </is>
      </c>
      <c r="E3" s="5" t="n"/>
      <c r="F3" s="5" t="n"/>
      <c r="G3" s="5" t="n"/>
      <c r="H3" s="11">
        <f>IF(OR(E3="",F3=""),"",E3*F3*IF(G3="",50,G3))</f>
        <v/>
      </c>
      <c r="I3" s="5" t="n"/>
      <c r="J3" s="5" t="n"/>
      <c r="K3" s="5" t="n"/>
      <c r="L3" s="5" t="n"/>
      <c r="M3" s="5" t="n"/>
    </row>
    <row r="4">
      <c r="A4" s="11" t="inlineStr">
        <is>
          <t>Water</t>
        </is>
      </c>
      <c r="B4" s="11" t="inlineStr">
        <is>
          <t>Purified water - specified organisms (if in your specification)</t>
        </is>
      </c>
      <c r="C4" s="5" t="n"/>
      <c r="D4" s="11" t="inlineStr">
        <is>
          <t>WAT_SPEC</t>
        </is>
      </c>
      <c r="E4" s="5" t="n"/>
      <c r="F4" s="5" t="n"/>
      <c r="G4" s="5" t="n"/>
      <c r="H4" s="11">
        <f>IF(OR(E4="",F4=""),"",E4*F4*IF(G4="",50,G4))</f>
        <v/>
      </c>
      <c r="I4" s="5" t="n"/>
      <c r="J4" s="5" t="n"/>
      <c r="K4" s="5" t="n"/>
      <c r="L4" s="5" t="n"/>
      <c r="M4" s="5" t="n"/>
    </row>
    <row r="5">
      <c r="A5" s="11" t="inlineStr">
        <is>
          <t>Water</t>
        </is>
      </c>
      <c r="B5" s="11" t="inlineStr">
        <is>
          <t>Potable / feed water</t>
        </is>
      </c>
      <c r="C5" s="5" t="n"/>
      <c r="D5" s="11" t="inlineStr">
        <is>
          <t>WATER</t>
        </is>
      </c>
      <c r="E5" s="5" t="n"/>
      <c r="F5" s="5" t="n"/>
      <c r="G5" s="5" t="n"/>
      <c r="H5" s="11">
        <f>IF(OR(E5="",F5=""),"",E5*F5*IF(G5="",50,G5))</f>
        <v/>
      </c>
      <c r="I5" s="5" t="n"/>
      <c r="J5" s="5" t="n"/>
      <c r="K5" s="5" t="n"/>
      <c r="L5" s="5" t="n"/>
      <c r="M5" s="5" t="n"/>
    </row>
    <row r="6">
      <c r="A6" s="11" t="inlineStr">
        <is>
          <t>Environment</t>
        </is>
      </c>
      <c r="B6" s="11" t="inlineStr">
        <is>
          <t>Production rooms (dispensing, granulation, compression, coating, filling, packaging)</t>
        </is>
      </c>
      <c r="C6" s="5" t="n"/>
      <c r="D6" s="11" t="inlineStr">
        <is>
          <t>EM_SET</t>
        </is>
      </c>
      <c r="E6" s="5" t="n"/>
      <c r="F6" s="5" t="n"/>
      <c r="G6" s="5" t="n"/>
      <c r="H6" s="11">
        <f>IF(OR(E6="",F6=""),"",E6*F6*IF(G6="",50,G6))</f>
        <v/>
      </c>
      <c r="I6" s="5" t="n"/>
      <c r="J6" s="5" t="n"/>
      <c r="K6" s="5" t="n"/>
      <c r="L6" s="5" t="n"/>
      <c r="M6" s="5" t="n"/>
    </row>
    <row r="7">
      <c r="A7" s="11" t="inlineStr">
        <is>
          <t>Environment</t>
        </is>
      </c>
      <c r="B7" s="11" t="inlineStr">
        <is>
          <t>Production rooms (dispensing, granulation, compression, coating, filling, packaging)</t>
        </is>
      </c>
      <c r="C7" s="5" t="n"/>
      <c r="D7" s="11" t="inlineStr">
        <is>
          <t>EM_CON</t>
        </is>
      </c>
      <c r="E7" s="5" t="n"/>
      <c r="F7" s="5" t="n"/>
      <c r="G7" s="5" t="n"/>
      <c r="H7" s="11">
        <f>IF(OR(E7="",F7=""),"",E7*F7*IF(G7="",50,G7))</f>
        <v/>
      </c>
      <c r="I7" s="5" t="n"/>
      <c r="J7" s="5" t="n"/>
      <c r="K7" s="5" t="n"/>
      <c r="L7" s="5" t="n"/>
      <c r="M7" s="5" t="n"/>
    </row>
    <row r="8">
      <c r="A8" s="11" t="inlineStr">
        <is>
          <t>Environment</t>
        </is>
      </c>
      <c r="B8" s="11" t="inlineStr">
        <is>
          <t>Production rooms (dispensing, granulation, compression, coating, filling, packaging)</t>
        </is>
      </c>
      <c r="C8" s="5" t="n"/>
      <c r="D8" s="11" t="inlineStr">
        <is>
          <t>EM_AIR</t>
        </is>
      </c>
      <c r="E8" s="5" t="n"/>
      <c r="F8" s="5" t="n"/>
      <c r="G8" s="5" t="n"/>
      <c r="H8" s="11">
        <f>IF(OR(E8="",F8=""),"",E8*F8*IF(G8="",50,G8))</f>
        <v/>
      </c>
      <c r="I8" s="5" t="n"/>
      <c r="J8" s="5" t="n"/>
      <c r="K8" s="5" t="n"/>
      <c r="L8" s="5" t="n"/>
      <c r="M8" s="5" t="n"/>
    </row>
    <row r="9">
      <c r="A9" s="11" t="inlineStr">
        <is>
          <t>Environment</t>
        </is>
      </c>
      <c r="B9" s="11" t="inlineStr">
        <is>
          <t>QC micro lab (cabinets, testing room)</t>
        </is>
      </c>
      <c r="C9" s="5" t="n"/>
      <c r="D9" s="11" t="inlineStr">
        <is>
          <t>EM_SET</t>
        </is>
      </c>
      <c r="E9" s="5" t="n"/>
      <c r="F9" s="5" t="n"/>
      <c r="G9" s="5" t="n"/>
      <c r="H9" s="11">
        <f>IF(OR(E9="",F9=""),"",E9*F9*IF(G9="",50,G9))</f>
        <v/>
      </c>
      <c r="I9" s="5" t="n"/>
      <c r="J9" s="5" t="n"/>
      <c r="K9" s="5" t="n"/>
      <c r="L9" s="5" t="n"/>
      <c r="M9" s="5" t="n"/>
    </row>
    <row r="10">
      <c r="A10" s="11" t="inlineStr">
        <is>
          <t>Environment</t>
        </is>
      </c>
      <c r="B10" s="11" t="inlineStr">
        <is>
          <t>QC micro lab (cabinets, testing room)</t>
        </is>
      </c>
      <c r="C10" s="5" t="n"/>
      <c r="D10" s="11" t="inlineStr">
        <is>
          <t>EM_CON</t>
        </is>
      </c>
      <c r="E10" s="5" t="n"/>
      <c r="F10" s="5" t="n"/>
      <c r="G10" s="5" t="n"/>
      <c r="H10" s="11">
        <f>IF(OR(E10="",F10=""),"",E10*F10*IF(G10="",50,G10))</f>
        <v/>
      </c>
      <c r="I10" s="5" t="n"/>
      <c r="J10" s="5" t="n"/>
      <c r="K10" s="5" t="n"/>
      <c r="L10" s="5" t="n"/>
      <c r="M10" s="5" t="n"/>
    </row>
    <row r="11">
      <c r="A11" s="11" t="inlineStr">
        <is>
          <t>Personnel</t>
        </is>
      </c>
      <c r="B11" s="11" t="inlineStr">
        <is>
          <t>Production operators / micro analysts</t>
        </is>
      </c>
      <c r="C11" s="5" t="n"/>
      <c r="D11" s="11" t="inlineStr">
        <is>
          <t>PERS</t>
        </is>
      </c>
      <c r="E11" s="5" t="n"/>
      <c r="F11" s="5" t="n"/>
      <c r="G11" s="5" t="n"/>
      <c r="H11" s="11">
        <f>IF(OR(E11="",F11=""),"",E11*F11*IF(G11="",50,G11))</f>
        <v/>
      </c>
      <c r="I11" s="5" t="n"/>
      <c r="J11" s="5" t="n"/>
      <c r="K11" s="5" t="n"/>
      <c r="L11" s="5" t="n"/>
      <c r="M11" s="5" t="n"/>
    </row>
    <row r="12">
      <c r="A12" s="11" t="inlineStr">
        <is>
          <t>Utilities</t>
        </is>
      </c>
      <c r="B12" s="11" t="inlineStr">
        <is>
          <t>Compressed air / nitrogen in product contact</t>
        </is>
      </c>
      <c r="C12" s="5" t="n"/>
      <c r="D12" s="11" t="inlineStr">
        <is>
          <t>GAS</t>
        </is>
      </c>
      <c r="E12" s="5" t="n"/>
      <c r="F12" s="5" t="n"/>
      <c r="G12" s="5" t="n"/>
      <c r="H12" s="11">
        <f>IF(OR(E12="",F12=""),"",E12*F12*IF(G12="",50,G12))</f>
        <v/>
      </c>
      <c r="I12" s="5" t="n"/>
      <c r="J12" s="5" t="n"/>
      <c r="K12" s="5" t="n"/>
      <c r="L12" s="5" t="n"/>
      <c r="M12" s="5" t="n"/>
    </row>
    <row r="13">
      <c r="A13" s="11" t="inlineStr">
        <is>
          <t>Cleaning validation</t>
        </is>
      </c>
      <c r="B13" s="11" t="inlineStr">
        <is>
          <t>Equipment swabs / rinses (microbial)</t>
        </is>
      </c>
      <c r="C13" s="5" t="n"/>
      <c r="D13" s="11" t="inlineStr">
        <is>
          <t>SWAB</t>
        </is>
      </c>
      <c r="E13" s="5" t="n"/>
      <c r="F13" s="5" t="n"/>
      <c r="G13" s="5" t="n"/>
      <c r="H13" s="11">
        <f>IF(OR(E13="",F13=""),"",E13*F13*IF(G13="",50,G13))</f>
        <v/>
      </c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11">
        <f>IF(OR(E14="",F14=""),"",E14*F14*IF(G14="",50,G14))</f>
        <v/>
      </c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11">
        <f>IF(OR(E15="",F15=""),"",E15*F15*IF(G15="",50,G15))</f>
        <v/>
      </c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11">
        <f>IF(OR(E16="",F16=""),"",E16*F16*IF(G16="",50,G16))</f>
        <v/>
      </c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11">
        <f>IF(OR(E17="",F17=""),"",E17*F17*IF(G17="",50,G17))</f>
        <v/>
      </c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11">
        <f>IF(OR(E18="",F18=""),"",E18*F18*IF(G18="",50,G18))</f>
        <v/>
      </c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11">
        <f>IF(OR(E19="",F19=""),"",E19*F19*IF(G19="",50,G19))</f>
        <v/>
      </c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11">
        <f>IF(OR(E20="",F20=""),"",E20*F20*IF(G20="",50,G20))</f>
        <v/>
      </c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11">
        <f>IF(OR(E21="",F21=""),"",E21*F21*IF(G21="",50,G21))</f>
        <v/>
      </c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11">
        <f>IF(OR(E22="",F22=""),"",E22*F22*IF(G22="",50,G22))</f>
        <v/>
      </c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11">
        <f>IF(OR(E23="",F23=""),"",E23*F23*IF(G23="",50,G23))</f>
        <v/>
      </c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11">
        <f>IF(OR(E24="",F24=""),"",E24*F24*IF(G24="",50,G24))</f>
        <v/>
      </c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11">
        <f>IF(OR(E25="",F25=""),"",E25*F25*IF(G25="",50,G25))</f>
        <v/>
      </c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11">
        <f>IF(OR(E26="",F26=""),"",E26*F26*IF(G26="",50,G26))</f>
        <v/>
      </c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11">
        <f>IF(OR(E27="",F27=""),"",E27*F27*IF(G27="",50,G27))</f>
        <v/>
      </c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11">
        <f>IF(OR(E28="",F28=""),"",E28*F28*IF(G28="",50,G28))</f>
        <v/>
      </c>
      <c r="I28" s="5" t="n"/>
      <c r="J28" s="5" t="n"/>
      <c r="K28" s="5" t="n"/>
      <c r="L28" s="5" t="n"/>
      <c r="M28" s="5" t="n"/>
    </row>
  </sheetData>
  <autoFilter ref="A1:M28"/>
  <dataValidations count="2">
    <dataValidation sqref="D2:D228" showDropDown="0" showInputMessage="0" showErrorMessage="0" allowBlank="1" type="list">
      <formula1>"ENUM,ECOLI,SALM,PSAE,SAUR,BTGN,CALB,PET,BET,STER,WATER,WAT_SPEC,EM_SET,EM_CON,EM_AIR,PERS,GAS,SWAB"</formula1>
    </dataValidation>
    <dataValidation sqref="K2:K22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0" customWidth="1" min="4" max="4"/>
    <col width="22" customWidth="1" min="5" max="5"/>
    <col width="10" customWidth="1" min="6" max="6"/>
    <col width="18" customWidth="1" min="7" max="7"/>
    <col width="30" customWidth="1" min="8" max="8"/>
  </cols>
  <sheetData>
    <row r="1" ht="45" customHeight="1">
      <c r="A1" s="12" t="inlineStr">
        <is>
          <t>Activity</t>
        </is>
      </c>
      <c r="B1" s="12" t="inlineStr">
        <is>
          <t>Unit</t>
        </is>
      </c>
      <c r="C1" s="12" t="inlineStr">
        <is>
          <t>Units / yr</t>
        </is>
      </c>
      <c r="D1" s="12" t="inlineStr">
        <is>
          <t>Analyst h / unit</t>
        </is>
      </c>
      <c r="E1" s="12" t="inlineStr">
        <is>
          <t>Equipment occupied</t>
        </is>
      </c>
      <c r="F1" s="12" t="inlineStr">
        <is>
          <t>Equipment h / unit</t>
        </is>
      </c>
      <c r="G1" s="12" t="inlineStr">
        <is>
          <t>Done by (QC micro / other)</t>
        </is>
      </c>
      <c r="H1" s="12" t="inlineStr">
        <is>
          <t>Notes</t>
        </is>
      </c>
    </row>
    <row r="2">
      <c r="A2" s="11" t="inlineStr">
        <is>
          <t>Culture media preparation (in-house)</t>
        </is>
      </c>
      <c r="B2" s="11" t="inlineStr">
        <is>
          <t>batch</t>
        </is>
      </c>
      <c r="C2" s="5" t="n"/>
      <c r="D2" s="5" t="n"/>
      <c r="E2" s="5" t="n"/>
      <c r="F2" s="5" t="n"/>
      <c r="G2" s="5" t="n"/>
      <c r="H2" s="5" t="n"/>
    </row>
    <row r="3">
      <c r="A3" s="11" t="inlineStr">
        <is>
          <t>Ready-made media - receipt and check</t>
        </is>
      </c>
      <c r="B3" s="11" t="inlineStr">
        <is>
          <t>lot</t>
        </is>
      </c>
      <c r="C3" s="5" t="n"/>
      <c r="D3" s="5" t="n"/>
      <c r="E3" s="5" t="n"/>
      <c r="F3" s="5" t="n"/>
      <c r="G3" s="5" t="n"/>
      <c r="H3" s="5" t="n"/>
    </row>
    <row r="4">
      <c r="A4" s="11" t="inlineStr">
        <is>
          <t>Growth promotion test</t>
        </is>
      </c>
      <c r="B4" s="11" t="inlineStr">
        <is>
          <t>media lot</t>
        </is>
      </c>
      <c r="C4" s="5" t="n"/>
      <c r="D4" s="5" t="n"/>
      <c r="E4" s="5" t="n"/>
      <c r="F4" s="5" t="n"/>
      <c r="G4" s="5" t="n"/>
      <c r="H4" s="5" t="n"/>
    </row>
    <row r="5">
      <c r="A5" s="11" t="inlineStr">
        <is>
          <t>Reference cultures - maintenance and subculture</t>
        </is>
      </c>
      <c r="B5" s="11" t="inlineStr">
        <is>
          <t>week</t>
        </is>
      </c>
      <c r="C5" s="5" t="n"/>
      <c r="D5" s="5" t="n"/>
      <c r="E5" s="5" t="n"/>
      <c r="F5" s="5" t="n"/>
      <c r="G5" s="5" t="n"/>
      <c r="H5" s="5" t="n"/>
    </row>
    <row r="6">
      <c r="A6" s="11" t="inlineStr">
        <is>
          <t>Autoclave - media sterilisation</t>
        </is>
      </c>
      <c r="B6" s="11" t="inlineStr">
        <is>
          <t>load</t>
        </is>
      </c>
      <c r="C6" s="5" t="n"/>
      <c r="D6" s="5" t="n"/>
      <c r="E6" s="5" t="n"/>
      <c r="F6" s="5" t="n"/>
      <c r="G6" s="5" t="n"/>
      <c r="H6" s="5" t="n"/>
    </row>
    <row r="7">
      <c r="A7" s="11" t="inlineStr">
        <is>
          <t>Autoclave - waste decontamination</t>
        </is>
      </c>
      <c r="B7" s="11" t="inlineStr">
        <is>
          <t>load</t>
        </is>
      </c>
      <c r="C7" s="5" t="n"/>
      <c r="D7" s="5" t="n"/>
      <c r="E7" s="5" t="n"/>
      <c r="F7" s="5" t="n"/>
      <c r="G7" s="5" t="n"/>
      <c r="H7" s="5" t="n"/>
    </row>
    <row r="8">
      <c r="A8" s="11" t="inlineStr">
        <is>
          <t>Incubator / fridge temperature checks and cleaning</t>
        </is>
      </c>
      <c r="B8" s="11" t="inlineStr">
        <is>
          <t>week</t>
        </is>
      </c>
      <c r="C8" s="5" t="n"/>
      <c r="D8" s="5" t="n"/>
      <c r="E8" s="5" t="n"/>
      <c r="F8" s="5" t="n"/>
      <c r="G8" s="5" t="n"/>
      <c r="H8" s="5" t="n"/>
    </row>
    <row r="9">
      <c r="A9" s="11" t="inlineStr">
        <is>
          <t>Lab cleaning and disinfection (incl. cabinets)</t>
        </is>
      </c>
      <c r="B9" s="11" t="inlineStr">
        <is>
          <t>week</t>
        </is>
      </c>
      <c r="C9" s="5" t="n"/>
      <c r="D9" s="5" t="n"/>
      <c r="E9" s="5" t="n"/>
      <c r="F9" s="5" t="n"/>
      <c r="G9" s="5" t="n"/>
      <c r="H9" s="5" t="n"/>
    </row>
    <row r="10">
      <c r="A10" s="11" t="inlineStr">
        <is>
          <t>Positive / negative controls (if not in the test times)</t>
        </is>
      </c>
      <c r="B10" s="11" t="inlineStr">
        <is>
          <t>session</t>
        </is>
      </c>
      <c r="C10" s="5" t="n"/>
      <c r="D10" s="5" t="n"/>
      <c r="E10" s="5" t="n"/>
      <c r="F10" s="5" t="n"/>
      <c r="G10" s="5" t="n"/>
      <c r="H10" s="5" t="n"/>
    </row>
    <row r="11">
      <c r="A11" s="11" t="inlineStr">
        <is>
          <t>Method suitability - new material or product</t>
        </is>
      </c>
      <c r="B11" s="11" t="inlineStr">
        <is>
          <t>item</t>
        </is>
      </c>
      <c r="C11" s="5" t="n"/>
      <c r="D11" s="5" t="n"/>
      <c r="E11" s="5" t="n"/>
      <c r="F11" s="5" t="n"/>
      <c r="G11" s="5" t="n"/>
      <c r="H11" s="5" t="n"/>
    </row>
    <row r="12">
      <c r="A12" s="11" t="inlineStr">
        <is>
          <t>Identification of isolates (Gram stain, biochemical kit / instrument)</t>
        </is>
      </c>
      <c r="B12" s="11" t="inlineStr">
        <is>
          <t>isolate</t>
        </is>
      </c>
      <c r="C12" s="5" t="n"/>
      <c r="D12" s="5" t="n"/>
      <c r="E12" s="5" t="n"/>
      <c r="F12" s="5" t="n"/>
      <c r="G12" s="5" t="n"/>
      <c r="H12" s="5" t="n"/>
    </row>
    <row r="13">
      <c r="A13" s="11" t="inlineStr">
        <is>
          <t>Investigations - OOS, out-of-limit, EM excursions</t>
        </is>
      </c>
      <c r="B13" s="11" t="inlineStr">
        <is>
          <t>event</t>
        </is>
      </c>
      <c r="C13" s="5" t="n"/>
      <c r="D13" s="5" t="n"/>
      <c r="E13" s="5" t="n"/>
      <c r="F13" s="5" t="n"/>
      <c r="G13" s="5" t="n"/>
      <c r="H13" s="5" t="n"/>
    </row>
    <row r="14">
      <c r="A14" s="11" t="inlineStr">
        <is>
          <t>Disinfectant efficacy study</t>
        </is>
      </c>
      <c r="B14" s="11" t="inlineStr">
        <is>
          <t>study</t>
        </is>
      </c>
      <c r="C14" s="5" t="n"/>
      <c r="D14" s="5" t="n"/>
      <c r="E14" s="5" t="n"/>
      <c r="F14" s="5" t="n"/>
      <c r="G14" s="5" t="n"/>
      <c r="H14" s="5" t="n"/>
    </row>
    <row r="15">
      <c r="A15" s="11" t="inlineStr">
        <is>
          <t>Equipment qualification (incubator mapping, autoclave, cabinet certification)</t>
        </is>
      </c>
      <c r="B15" s="11" t="inlineStr">
        <is>
          <t>item</t>
        </is>
      </c>
      <c r="C15" s="5" t="n"/>
      <c r="D15" s="5" t="n"/>
      <c r="E15" s="5" t="n"/>
      <c r="F15" s="5" t="n"/>
      <c r="G15" s="5" t="n"/>
      <c r="H15" s="5" t="n"/>
    </row>
    <row r="16">
      <c r="A16" s="11" t="inlineStr">
        <is>
          <t>Gowning / aseptic technique qualification</t>
        </is>
      </c>
      <c r="B16" s="11" t="inlineStr">
        <is>
          <t>person</t>
        </is>
      </c>
      <c r="C16" s="5" t="n"/>
      <c r="D16" s="5" t="n"/>
      <c r="E16" s="5" t="n"/>
      <c r="F16" s="5" t="n"/>
      <c r="G16" s="5" t="n"/>
      <c r="H16" s="5" t="n"/>
    </row>
    <row r="17">
      <c r="A17" s="11" t="inlineStr">
        <is>
          <t>Training given and received</t>
        </is>
      </c>
      <c r="B17" s="11" t="inlineStr">
        <is>
          <t>week</t>
        </is>
      </c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</sheetData>
  <autoFilter ref="A1:H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26" customWidth="1" min="3" max="3"/>
    <col width="34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0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9" customWidth="1" min="19" max="19"/>
    <col width="10" customWidth="1" min="20" max="20"/>
    <col width="10" customWidth="1" min="21" max="21"/>
    <col width="16" customWidth="1" min="22" max="22"/>
    <col width="11" customWidth="1" min="23" max="23"/>
    <col width="30" customWidth="1" min="24" max="24"/>
    <col width="9" customWidth="1" min="25" max="25"/>
    <col width="40" customWidth="1" min="26" max="26"/>
  </cols>
  <sheetData>
    <row r="1" ht="45" customHeight="1">
      <c r="A1" s="12" t="inlineStr">
        <is>
          <t>Item (material / family)</t>
        </is>
      </c>
      <c r="B1" s="12" t="inlineStr">
        <is>
          <t>Type</t>
        </is>
      </c>
      <c r="C1" s="12" t="inlineStr">
        <is>
          <t>Description</t>
        </is>
      </c>
      <c r="D1" s="12" t="inlineStr">
        <is>
          <t>Test</t>
        </is>
      </c>
      <c r="E1" s="12" t="inlineStr">
        <is>
          <t>Applicable (Y/N)</t>
        </is>
      </c>
      <c r="F1" s="12" t="inlineStr">
        <is>
          <t>Lots / batches tested for micro (%)</t>
        </is>
      </c>
      <c r="G1" s="12" t="inlineStr">
        <is>
          <t>Setup analyst h / session</t>
        </is>
      </c>
      <c r="H1" s="12" t="inlineStr">
        <is>
          <t>Prep + inoculation h/sample – MIN</t>
        </is>
      </c>
      <c r="I1" s="12" t="inlineStr">
        <is>
          <t>Prep + inoculation – MOST LIKELY</t>
        </is>
      </c>
      <c r="J1" s="12" t="inlineStr">
        <is>
          <t>Prep + inoculation – MAX</t>
        </is>
      </c>
      <c r="K1" s="12" t="inlineStr">
        <is>
          <t>Prep PERT (auto)</t>
        </is>
      </c>
      <c r="L1" s="12" t="inlineStr">
        <is>
          <t>Reading + counting h / sample (all reads)</t>
        </is>
      </c>
      <c r="M1" s="12" t="inlineStr">
        <is>
          <t>Incubation days</t>
        </is>
      </c>
      <c r="N1" s="12" t="inlineStr">
        <is>
          <t>Plates / tubes per sample</t>
        </is>
      </c>
      <c r="O1" s="12" t="inlineStr">
        <is>
          <t>BSC / LAF h / sample</t>
        </is>
      </c>
      <c r="P1" s="12" t="inlineStr">
        <is>
          <t>Data + doc h / sample</t>
        </is>
      </c>
      <c r="Q1" s="12" t="inlineStr">
        <is>
          <t>Review h / sample</t>
        </is>
      </c>
      <c r="R1" s="12" t="inlineStr">
        <is>
          <t>Samples per session</t>
        </is>
      </c>
      <c r="S1" s="12" t="inlineStr">
        <is>
          <t>Retest / OOS %</t>
        </is>
      </c>
      <c r="T1" s="12" t="inlineStr">
        <is>
          <t>Applies to stability (Y/N)</t>
        </is>
      </c>
      <c r="U1" s="12" t="inlineStr">
        <is>
          <t>Outsourced (Y/N)</t>
        </is>
      </c>
      <c r="V1" s="12" t="inlineStr">
        <is>
          <t>Respondent(s) / source</t>
        </is>
      </c>
      <c r="W1" s="12" t="inlineStr">
        <is>
          <t>Confidence</t>
        </is>
      </c>
      <c r="X1" s="12" t="inlineStr">
        <is>
          <t>Notes / difficulty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13">
        <f>IF(I2="","",IF(OR(H2="",J2=""),I2,(H2+4*I2+J2)/6))</f>
        <v/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13">
        <f>IF(I3="","",IF(OR(H3="",J3=""),I3,(H3+4*I3+J3)/6))</f>
        <v/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13">
        <f>IF(I4="","",IF(OR(H4="",J4=""),I4,(H4+4*I4+J4)/6))</f>
        <v/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13">
        <f>IF(I5="","",IF(OR(H5="",J5=""),I5,(H5+4*I5+J5)/6))</f>
        <v/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13">
        <f>IF(I6="","",IF(OR(H6="",J6=""),I6,(H6+4*I6+J6)/6))</f>
        <v/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13">
        <f>IF(I7="","",IF(OR(H7="",J7=""),I7,(H7+4*I7+J7)/6))</f>
        <v/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13">
        <f>IF(I8="","",IF(OR(H8="",J8=""),I8,(H8+4*I8+J8)/6))</f>
        <v/>
      </c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13">
        <f>IF(I9="","",IF(OR(H9="",J9=""),I9,(H9+4*I9+J9)/6))</f>
        <v/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13">
        <f>IF(I10="","",IF(OR(H10="",J10=""),I10,(H10+4*I10+J10)/6))</f>
        <v/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13">
        <f>IF(I11="","",IF(OR(H11="",J11=""),I11,(H11+4*I11+J11)/6))</f>
        <v/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13">
        <f>IF(I12="","",IF(OR(H12="",J12=""),I12,(H12+4*I12+J12)/6))</f>
        <v/>
      </c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13">
        <f>IF(I13="","",IF(OR(H13="",J13=""),I13,(H13+4*I13+J13)/6))</f>
        <v/>
      </c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13">
        <f>IF(I14="","",IF(OR(H14="",J14=""),I14,(H14+4*I14+J14)/6))</f>
        <v/>
      </c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13">
        <f>IF(I15="","",IF(OR(H15="",J15=""),I15,(H15+4*I15+J15)/6))</f>
        <v/>
      </c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13">
        <f>IF(I16="","",IF(OR(H16="",J16=""),I16,(H16+4*I16+J16)/6))</f>
        <v/>
      </c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13">
        <f>IF(I17="","",IF(OR(H17="",J17=""),I17,(H17+4*I17+J17)/6))</f>
        <v/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13">
        <f>IF(I18="","",IF(OR(H18="",J18=""),I18,(H18+4*I18+J18)/6))</f>
        <v/>
      </c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13">
        <f>IF(I19="","",IF(OR(H19="",J19=""),I19,(H19+4*I19+J19)/6))</f>
        <v/>
      </c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13">
        <f>IF(I20="","",IF(OR(H20="",J20=""),I20,(H20+4*I20+J20)/6))</f>
        <v/>
      </c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13">
        <f>IF(I21="","",IF(OR(H21="",J21=""),I21,(H21+4*I21+J21)/6))</f>
        <v/>
      </c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13">
        <f>IF(I22="","",IF(OR(H22="",J22=""),I22,(H22+4*I22+J22)/6))</f>
        <v/>
      </c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13">
        <f>IF(I23="","",IF(OR(H23="",J23=""),I23,(H23+4*I23+J23)/6))</f>
        <v/>
      </c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13">
        <f>IF(I24="","",IF(OR(H24="",J24=""),I24,(H24+4*I24+J24)/6))</f>
        <v/>
      </c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13">
        <f>IF(I25="","",IF(OR(H25="",J25=""),I25,(H25+4*I25+J25)/6))</f>
        <v/>
      </c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13">
        <f>IF(I26="","",IF(OR(H26="",J26=""),I26,(H26+4*I26+J26)/6))</f>
        <v/>
      </c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13">
        <f>IF(I27="","",IF(OR(H27="",J27=""),I27,(H27+4*I27+J27)/6))</f>
        <v/>
      </c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13">
        <f>IF(I28="","",IF(OR(H28="",J28=""),I28,(H28+4*I28+J28)/6))</f>
        <v/>
      </c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13">
        <f>IF(I29="","",IF(OR(H29="",J29=""),I29,(H29+4*I29+J29)/6))</f>
        <v/>
      </c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13">
        <f>IF(I30="","",IF(OR(H30="",J30=""),I30,(H30+4*I30+J30)/6))</f>
        <v/>
      </c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13">
        <f>IF(I31="","",IF(OR(H31="",J31=""),I31,(H31+4*I31+J31)/6))</f>
        <v/>
      </c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13">
        <f>IF(I32="","",IF(OR(H32="",J32=""),I32,(H32+4*I32+J32)/6))</f>
        <v/>
      </c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13">
        <f>IF(I33="","",IF(OR(H33="",J33=""),I33,(H33+4*I33+J33)/6))</f>
        <v/>
      </c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13">
        <f>IF(I34="","",IF(OR(H34="",J34=""),I34,(H34+4*I34+J34)/6))</f>
        <v/>
      </c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13">
        <f>IF(I35="","",IF(OR(H35="",J35=""),I35,(H35+4*I35+J35)/6))</f>
        <v/>
      </c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13">
        <f>IF(I36="","",IF(OR(H36="",J36=""),I36,(H36+4*I36+J36)/6))</f>
        <v/>
      </c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13">
        <f>IF(I37="","",IF(OR(H37="",J37=""),I37,(H37+4*I37+J37)/6))</f>
        <v/>
      </c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13">
        <f>IF(I38="","",IF(OR(H38="",J38=""),I38,(H38+4*I38+J38)/6))</f>
        <v/>
      </c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13">
        <f>IF(I39="","",IF(OR(H39="",J39=""),I39,(H39+4*I39+J39)/6))</f>
        <v/>
      </c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13">
        <f>IF(I40="","",IF(OR(H40="",J40=""),I40,(H40+4*I40+J40)/6))</f>
        <v/>
      </c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13">
        <f>IF(I41="","",IF(OR(H41="",J41=""),I41,(H41+4*I41+J41)/6))</f>
        <v/>
      </c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</sheetData>
  <autoFilter ref="A1:X41"/>
  <conditionalFormatting sqref="A2:X241">
    <cfRule type="expression" priority="1" dxfId="0" stopIfTrue="0">
      <formula>OR($E2="N",$U2="Y")</formula>
    </cfRule>
  </conditionalFormatting>
  <dataValidations count="5">
    <dataValidation sqref="E2:E241" showDropDown="0" showInputMessage="0" showErrorMessage="0" allowBlank="1" type="list">
      <formula1>"Y,N"</formula1>
    </dataValidation>
    <dataValidation sqref="T2:T241" showDropDown="0" showInputMessage="0" showErrorMessage="0" allowBlank="1" type="list">
      <formula1>"Y,N"</formula1>
    </dataValidation>
    <dataValidation sqref="U2:U241" showDropDown="0" showInputMessage="0" showErrorMessage="0" allowBlank="1" type="list">
      <formula1>"Y,N"</formula1>
    </dataValidation>
    <dataValidation sqref="W2:W241" showDropDown="0" showInputMessage="0" showErrorMessage="0" allowBlank="1" type="list">
      <formula1>"High,Medium,Low"</formula1>
    </dataValidation>
    <dataValidation sqref="B2:B241" showDropDown="0" showInputMessage="0" showErrorMessage="0" allowBlank="1" type="list">
      <formula1>"RM,FP,Water,EM,Other"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2026-10-20T00:28:42Z</dcterms:created>
  <dcterms:modified xmlns:dcterms="http://purl.org/dc/terms/" xmlns:xsi="http://www.w3.org/2001/XMLSchema-instance" xsi:type="dcterms:W3CDTF">2026-10-20T00:28:43Z</dcterms:modified>
</cp:coreProperties>
</file>